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19"/>
  <workbookPr defaultThemeVersion="124226"/>
  <mc:AlternateContent xmlns:mc="http://schemas.openxmlformats.org/markup-compatibility/2006">
    <mc:Choice Requires="x15">
      <x15ac:absPath xmlns:x15ac="http://schemas.microsoft.com/office/spreadsheetml/2010/11/ac" url="\\Jmvsvm02\教育・学生支援部\教育学生・教務-学務\教育学生・教務\03教務係\07各種GP関係\○数理・データサイエンス教育強化\数理・データサイエンス・AI教育プログラム認定制度（リテラシーレベル）\修正依頼\文科省提出\"/>
    </mc:Choice>
  </mc:AlternateContent>
  <xr:revisionPtr revIDLastSave="0" documentId="11_7A9D716BC2EB0A6EABB815F5F05A597808479875" xr6:coauthVersionLast="47" xr6:coauthVersionMax="47" xr10:uidLastSave="{00000000-0000-0000-0000-000000000000}"/>
  <bookViews>
    <workbookView xWindow="0" yWindow="0" windowWidth="14370" windowHeight="8265" tabRatio="885" firstSheet="5" activeTab="5" xr2:uid="{00000000-000D-0000-FFFF-FFFF00000000}"/>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 name="様式７　特色ある取組" sheetId="29"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特色ある取組'!$A$1:$F$130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<sst xmlns="http://schemas.openxmlformats.org/spreadsheetml/2006/main" count="343" uniqueCount="236">
  <si>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</si>
  <si>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</si>
  <si>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</si>
  <si>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</si>
  <si>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東北大学</t>
    <phoneticPr fontId="1"/>
  </si>
  <si>
    <t>②</t>
    <phoneticPr fontId="1"/>
  </si>
  <si>
    <t>大学等の設置者</t>
  </si>
  <si>
    <t>国立大学法人　東北大学</t>
    <phoneticPr fontId="1"/>
  </si>
  <si>
    <t>③</t>
    <phoneticPr fontId="1"/>
  </si>
  <si>
    <t>設置形態</t>
  </si>
  <si>
    <t>国立大学</t>
  </si>
  <si>
    <t>④</t>
    <phoneticPr fontId="1"/>
  </si>
  <si>
    <t>所在地</t>
    <phoneticPr fontId="1"/>
  </si>
  <si>
    <t>宮城県仙台市青葉区片平2-1-1</t>
    <phoneticPr fontId="1"/>
  </si>
  <si>
    <t>⑤</t>
    <phoneticPr fontId="1"/>
  </si>
  <si>
    <t>申請するプログラム又は授業科目名称</t>
    <rPh sb="0" eb="2">
      <t>シンセイ</t>
    </rPh>
    <rPh sb="9" eb="10">
      <t>マタ</t>
    </rPh>
    <rPh sb="11" eb="13">
      <t>ジュギョウ</t>
    </rPh>
    <rPh sb="13" eb="15">
      <t>カモク</t>
    </rPh>
    <rPh sb="15" eb="17">
      <t>メイショウ</t>
    </rPh>
    <phoneticPr fontId="1"/>
  </si>
  <si>
    <t>AIMDの基礎／挑創カレッジコンピュテーショナルデータサイエンスプログラム(CDS)</t>
    <phoneticPr fontId="1"/>
  </si>
  <si>
    <t>⑥</t>
    <phoneticPr fontId="1"/>
  </si>
  <si>
    <t>プログラムの開設年度</t>
    <rPh sb="6" eb="8">
      <t>カイセツ</t>
    </rPh>
    <rPh sb="8" eb="10">
      <t>ネンド</t>
    </rPh>
    <phoneticPr fontId="1"/>
  </si>
  <si>
    <t>令和2年度</t>
    <rPh sb="0" eb="2">
      <t>レイワ</t>
    </rPh>
    <rPh sb="3" eb="4">
      <t>ネン</t>
    </rPh>
    <rPh sb="4" eb="5">
      <t>ド</t>
    </rPh>
    <phoneticPr fontId="1"/>
  </si>
  <si>
    <t>⑦</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</si>
  <si>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</si>
  <si>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</si>
  <si>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</si>
  <si>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</si>
  <si>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⑧</t>
    <phoneticPr fontId="1"/>
  </si>
  <si>
    <t>プログラムの授業を教えている教員数</t>
    <rPh sb="6" eb="8">
      <t>ジュギョウ</t>
    </rPh>
    <rPh sb="9" eb="10">
      <t>オシ</t>
    </rPh>
    <rPh sb="14" eb="16">
      <t>キョウイン</t>
    </rPh>
    <rPh sb="16" eb="17">
      <t>スウ</t>
    </rPh>
    <phoneticPr fontId="1"/>
  </si>
  <si>
    <t>⑨</t>
    <phoneticPr fontId="1"/>
  </si>
  <si>
    <t>全学部・学科の入学定員</t>
    <rPh sb="0" eb="1">
      <t>ゼン</t>
    </rPh>
    <rPh sb="4" eb="6">
      <t>ガッカ</t>
    </rPh>
    <rPh sb="7" eb="9">
      <t>ニュウガク</t>
    </rPh>
    <rPh sb="9" eb="11">
      <t>テイイン</t>
    </rPh>
    <phoneticPr fontId="1"/>
  </si>
  <si>
    <t>人</t>
  </si>
  <si>
    <t>⑩</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</si>
  <si>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</si>
  <si>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</si>
  <si>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</si>
  <si>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</si>
  <si>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</si>
  <si>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</si>
  <si>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</si>
  <si>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</si>
  <si>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⑪</t>
    <phoneticPr fontId="1"/>
  </si>
  <si>
    <t>プログラムの運営責任者</t>
    <phoneticPr fontId="1"/>
  </si>
  <si>
    <t>（責任者名）</t>
    <rPh sb="1" eb="4">
      <t>セキニンシャ</t>
    </rPh>
    <rPh sb="4" eb="5">
      <t>メイ</t>
    </rPh>
    <phoneticPr fontId="1"/>
  </si>
  <si>
    <t>滝澤　博胤</t>
    <phoneticPr fontId="1"/>
  </si>
  <si>
    <t>（役職名）</t>
    <rPh sb="1" eb="4">
      <t>ヤクショクメイ</t>
    </rPh>
    <phoneticPr fontId="1"/>
  </si>
  <si>
    <t>学務審議会委員長</t>
    <phoneticPr fontId="1"/>
  </si>
  <si>
    <t>⑫</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</si>
  <si>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</si>
  <si>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学務審議会データリテラシ共通教育基盤運営委員会 / 学務審議会挑創カレッジ運営委員会</t>
    <phoneticPr fontId="1"/>
  </si>
  <si>
    <t>早川　美徳／山口　昌弘</t>
    <phoneticPr fontId="1"/>
  </si>
  <si>
    <t>委員長</t>
    <phoneticPr fontId="1"/>
  </si>
  <si>
    <t>⑬</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</si>
  <si>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</si>
  <si>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⑭</t>
    <phoneticPr fontId="1"/>
  </si>
  <si>
    <t>申請する認定プログラム</t>
    <rPh sb="0" eb="2">
      <t>シンセイ</t>
    </rPh>
    <rPh sb="4" eb="6">
      <t>ニンテイ</t>
    </rPh>
    <phoneticPr fontId="1"/>
  </si>
  <si>
    <t>認定教育プログラムと認定教育プログラム+（プラス）</t>
  </si>
  <si>
    <t>連絡先</t>
    <rPh sb="0" eb="3">
      <t>レンラクサキ</t>
    </rPh>
    <phoneticPr fontId="1"/>
  </si>
  <si>
    <t>所属部署名</t>
    <rPh sb="0" eb="2">
      <t>ショゾク</t>
    </rPh>
    <rPh sb="2" eb="4">
      <t>ブショ</t>
    </rPh>
    <rPh sb="4" eb="5">
      <t>メイ</t>
    </rPh>
    <phoneticPr fontId="1"/>
  </si>
  <si>
    <t>教育・学生支援部教務課教務係</t>
    <phoneticPr fontId="1"/>
  </si>
  <si>
    <t>担当者名</t>
    <rPh sb="0" eb="2">
      <t>タントウ</t>
    </rPh>
    <rPh sb="2" eb="3">
      <t>シャ</t>
    </rPh>
    <rPh sb="3" eb="4">
      <t>メイ</t>
    </rPh>
    <phoneticPr fontId="1"/>
  </si>
  <si>
    <t>髙杉　一宏</t>
    <phoneticPr fontId="1"/>
  </si>
  <si>
    <t>E-mail</t>
  </si>
  <si>
    <t>kyom-g@grp.tohoku.ac.jp</t>
    <phoneticPr fontId="1"/>
  </si>
  <si>
    <t>電話番号</t>
  </si>
  <si>
    <t>022-795-3924</t>
    <phoneticPr fontId="1"/>
  </si>
  <si>
    <t>様式２</t>
    <rPh sb="0" eb="2">
      <t>ヨウシキ</t>
    </rPh>
    <phoneticPr fontId="1"/>
  </si>
  <si>
    <t>学校名：</t>
    <rPh sb="0" eb="2">
      <t>ガッコウ</t>
    </rPh>
    <rPh sb="2" eb="3">
      <t>メイ</t>
    </rPh>
    <phoneticPr fontId="1"/>
  </si>
  <si>
    <t>プログラムを構成する授業科目について</t>
    <phoneticPr fontId="1"/>
  </si>
  <si>
    <t>教育プログラムの修了要件</t>
    <rPh sb="8" eb="10">
      <t>シュウリョウ</t>
    </rPh>
    <phoneticPr fontId="1"/>
  </si>
  <si>
    <t>学部・学科によって、修了要件は相違しない</t>
  </si>
  <si>
    <t>具体的な修了要件</t>
    <rPh sb="0" eb="3">
      <t>グタイテキ</t>
    </rPh>
    <rPh sb="4" eb="6">
      <t>シュウリョウ</t>
    </rPh>
    <rPh sb="6" eb="8">
      <t>ヨウケン</t>
    </rPh>
    <phoneticPr fontId="1"/>
  </si>
  <si>
    <t>AIMD（AI, Math. &amp; Data science)の基礎科目に指定されている「情報基礎A（下記１）」および「情報基礎B（下記２）」のうち，いずれか一方の単位を取得すること．（下記３～１９はオプション科目であり，修了要件には関与しない．）</t>
    <phoneticPr fontId="1"/>
  </si>
  <si>
    <t>授業科目名称</t>
    <rPh sb="0" eb="2">
      <t>ジュギョウ</t>
    </rPh>
    <rPh sb="2" eb="4">
      <t>カモク</t>
    </rPh>
    <rPh sb="4" eb="6">
      <t>メイショウ</t>
    </rPh>
    <phoneticPr fontId="1"/>
  </si>
  <si>
    <t>情報基礎A</t>
  </si>
  <si>
    <t>情報基礎B</t>
  </si>
  <si>
    <t>実践 機械学習１</t>
  </si>
  <si>
    <t>実践 機械学習２</t>
  </si>
  <si>
    <t>機械学習アルゴリズム概論</t>
  </si>
  <si>
    <t>AIをめぐる人間と社会の過去・現在・未来</t>
  </si>
  <si>
    <t>Pythonによるデータ科学入門</t>
  </si>
  <si>
    <t>数学概論D</t>
  </si>
  <si>
    <t>数理統計学概要</t>
  </si>
  <si>
    <t>数理統計学</t>
  </si>
  <si>
    <t>数学概論A</t>
  </si>
  <si>
    <t>数学概論B</t>
  </si>
  <si>
    <t>数学概論C</t>
  </si>
  <si>
    <t>解析学概要</t>
  </si>
  <si>
    <t>線形代数学概要</t>
  </si>
  <si>
    <t>解析学A</t>
  </si>
  <si>
    <t>解析学B</t>
  </si>
  <si>
    <t>線形代数学A</t>
  </si>
  <si>
    <t>線形代数学B</t>
  </si>
  <si>
    <t>様式３</t>
    <rPh sb="0" eb="2">
      <t>ヨウシキ</t>
    </rPh>
    <phoneticPr fontId="1"/>
  </si>
  <si>
    <t>学校名：</t>
    <rPh sb="0" eb="2">
      <t>ガッコウ</t>
    </rPh>
    <phoneticPr fontId="1"/>
  </si>
  <si>
    <t>プログラムの履修者数等の実績について</t>
    <phoneticPr fontId="1"/>
  </si>
  <si>
    <t>学部・学科名称</t>
    <rPh sb="0" eb="2">
      <t>ガクブ</t>
    </rPh>
    <rPh sb="3" eb="5">
      <t>ガッカ</t>
    </rPh>
    <rPh sb="5" eb="7">
      <t>メイショウ</t>
    </rPh>
    <phoneticPr fontId="1"/>
  </si>
  <si>
    <t>収容
定員</t>
    <rPh sb="0" eb="2">
      <t>シュウヨウ</t>
    </rPh>
    <rPh sb="3" eb="5">
      <t>テイイン</t>
    </rPh>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</si>
  <si>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</si>
  <si>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</si>
  <si>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</si>
  <si>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</si>
  <si>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</si>
  <si>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</si>
  <si>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</si>
  <si>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</si>
  <si>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</si>
  <si>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</si>
  <si>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文学部（人文科学）</t>
  </si>
  <si>
    <t>教育学部（教育）</t>
  </si>
  <si>
    <t>法学部（社会科学）</t>
  </si>
  <si>
    <t>経済学部（社会科学）</t>
  </si>
  <si>
    <t>理学部（理学）</t>
  </si>
  <si>
    <t>医学部（保健）</t>
  </si>
  <si>
    <t>歯学部（保健）</t>
  </si>
  <si>
    <t>薬学部（保健）</t>
  </si>
  <si>
    <t>工学部（工学）</t>
  </si>
  <si>
    <t>農学部（農学）</t>
  </si>
  <si>
    <t>合　計</t>
    <phoneticPr fontId="1"/>
  </si>
  <si>
    <t>様式４</t>
    <rPh sb="0" eb="2">
      <t>ヨウシキ</t>
    </rPh>
    <phoneticPr fontId="1"/>
  </si>
  <si>
    <t>プログラムの授業内容・概要</t>
    <rPh sb="6" eb="8">
      <t>ジュギョウ</t>
    </rPh>
    <rPh sb="8" eb="10">
      <t>ナイヨウ</t>
    </rPh>
    <rPh sb="11" eb="13">
      <t>ガイヨウ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</si>
  <si>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</si>
  <si>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授業に含まれている内容・要素</t>
    <rPh sb="0" eb="2">
      <t>ジュギョウ</t>
    </rPh>
    <rPh sb="3" eb="4">
      <t>フク</t>
    </rPh>
    <rPh sb="9" eb="11">
      <t>ナイヨウ</t>
    </rPh>
    <rPh sb="12" eb="14">
      <t>ヨウソ</t>
    </rPh>
    <phoneticPr fontId="1"/>
  </si>
  <si>
    <t>授業概要</t>
    <rPh sb="0" eb="2">
      <t>ジュギョウ</t>
    </rPh>
    <rPh sb="2" eb="4">
      <t>ガイヨウ</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</si>
  <si>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</si>
  <si>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　修了要件である「情報基礎A」「情報基礎B」では，情報技術の基礎的利用法から数理・データサイエンス・AI（AIMD）のリテラシまで，AI時代の知的生産活動の基盤を身に付けることを目標としている．具体的には，Pythonによるプログラミングを利用した計算機科学の流儀による問題解決を学ぶと共に，チャットボットや医療画像認識などの身近なAIMD技術の活用例を通して，AIMDが社会で引き起こしている変化やその影響について学ぶ．
　加えて，全ての学部の学生に対して「AIをめぐる人間と社会の過去・現在・未来」等のオプション科目を開講している．これらの科目では，企業の実務家からAIMDの社会実装の実際について学ぶと共に，文理を問わず様々な研究者からAIMDの活用例や考え方を聞き，意見交換や議論の場を通じて，AIMDをめぐる新しい考え方や態度を涵養する機会を提供している．</t>
    <rPh sb="83" eb="84">
      <t>フ</t>
    </rPh>
    <phoneticPr fontId="1"/>
  </si>
  <si>
    <t>授業科目名称</t>
    <rPh sb="0" eb="2">
      <t>ジュギョウ</t>
    </rPh>
    <rPh sb="2" eb="6">
      <t>カモクメイショウ</t>
    </rPh>
    <phoneticPr fontId="1"/>
  </si>
  <si>
    <t>講義テーマ</t>
    <rPh sb="0" eb="2">
      <t>コウギ</t>
    </rPh>
    <phoneticPr fontId="1"/>
  </si>
  <si>
    <t>データ駆動社会，サイバーセキュリティ，コンピュテーショナル・シンキング（１，２，８～１１）</t>
    <phoneticPr fontId="1"/>
  </si>
  <si>
    <t>AIにより変わる社会，AIが社会に与えるインパクト，AIを用いた社会研究（１～５）</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</si>
  <si>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</si>
  <si>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　修了要件である「情報基礎A」「情報基礎B」では，データを通して考えることで，広範な社会課題への視座が与えられ，共通した方法論に基づいた解決の可能性が切り拓かれることを学ぶ．具体的には，データの構造に基づく情報表現の本質を，情報の圧縮と符合化を例として学ぶ他，身近な事例として，株価データを利用した演習を通して，どのようなデータが集められ，どう活用されているかを知る．
　さらに，全ての学部を対象として「Pythonによるデータ科学入門」等のオプション科目を開講している．この科目では，様々な社会活動領域で蓄積・流通している大規模なデータを，有効かつ安全に，価値創出や効率化に役立てるための見識と能力の醸成を目標としている．そこでは，実習を交えながら、実践的なデータ処理方法について学び，データの中から有効な情報を抽出し，適切に使いこなすためのスキルの習得を目指す．</t>
    <phoneticPr fontId="1"/>
  </si>
  <si>
    <t>大きなデータと統計量の適切な取扱い，データ・リテラシー（１２～１５）</t>
    <phoneticPr fontId="1"/>
  </si>
  <si>
    <t>実データを処理する過程を通じてそのエッセンスを探る（１～１５）</t>
    <phoneticPr fontId="1"/>
  </si>
  <si>
    <t>商品レコメンデーション，カメラの顔検出，医療診断（１）</t>
    <phoneticPr fontId="1"/>
  </si>
  <si>
    <t>社会の様々な場面で蓄積・流通しているデータを安全かつ有効に公共の福祉や社会活動に役立てられる見識と能力（２～７）</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</si>
  <si>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</si>
  <si>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修了要件である「情報基礎A」「情報基礎B」では，計算機科学の論理的思考や手法と共に，データ駆動型の課題解決の考え方やスキルの習得を目指している．情報の圧縮と符号化を例として，データの構造を捉え，情報として表現する考え方について理解すると共に，株価データを利用した演習を行い，AIMDを活用することによって，どのような価値が生まれ得るかを知る．また，散布図や相関係数を通して分析結果の評価や解釈について基本的な考え方を学ぶ．
　加えて，全ての学部に対して「実践機械学習１・２」等のオプション科目を提供しており，それらの中では，様々な分野でのAIMDのユースケースを紹介し，それがどのように人や社会のあり方に影響を及ぼすかについて考察したりして，AIMDによってデータから意味や価値を見出すプロセスを実体験する機会を提供している．</t>
    <phoneticPr fontId="1"/>
  </si>
  <si>
    <t>コンピュータサイエンスの手法による論理的思考・問題解決（１２～１５）</t>
    <phoneticPr fontId="1"/>
  </si>
  <si>
    <t>機械学習の基礎的な知識，データ処理の技術，データの可視化（１～１５）</t>
    <phoneticPr fontId="1"/>
  </si>
  <si>
    <t>機械学習の基礎的な知識，データ処理の技術，クラスタリング（１～１５）</t>
    <phoneticPr fontId="1"/>
  </si>
  <si>
    <t>異常検知，手書き文字の認識，クラスタリング，かな漢字変換（２～１４）</t>
    <rPh sb="0" eb="2">
      <t>イジョウ</t>
    </rPh>
    <rPh sb="2" eb="4">
      <t>ケンチ</t>
    </rPh>
    <rPh sb="5" eb="7">
      <t>テガ</t>
    </rPh>
    <rPh sb="8" eb="10">
      <t>モジ</t>
    </rPh>
    <rPh sb="11" eb="13">
      <t>ニンシキ</t>
    </rPh>
    <rPh sb="24" eb="26">
      <t>カンジ</t>
    </rPh>
    <rPh sb="26" eb="28">
      <t>ヘンカン</t>
    </rPh>
    <phoneticPr fontId="1"/>
  </si>
  <si>
    <t>AI社会をデザインする，人と AI の「へだたり」と「つながり」（８～１５）</t>
    <phoneticPr fontId="1"/>
  </si>
  <si>
    <t>データの中から価値ある情報を抽出し活用する，Pythonによるデータ処理（８～１４）</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</si>
  <si>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</si>
  <si>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　修了要件である「情報基礎A」「情報基礎B」では，情報社会の一員としてデータの活用にあたって生じる責任を自覚するマインドを醸成する．情報倫理と法をキーワードとし，AIMDを利活用する際に求められるモラルや倫理について学ぶ．また，データ駆動型社会におけるリスクについて理解することで，冷静で科学的な態度を以てAIMDを活用する術を学ぶ．さらに，著作権法，個人情報保護法，不正アクセス禁止法等を例として，個人のデータを守るために留意すべき事項を学ぶ．
　加えて，全学部に向けて「機械学習アルゴリズム概論」等のオプション科目を開講することで，AIMD活用における負の事例や，情報漏洩等の事例を通して，データやAIを巡る倫理や人権，悪意ある情報搾取から身を守る術，および研究インテグリティに関する意識を啓発する．</t>
    <phoneticPr fontId="1"/>
  </si>
  <si>
    <t>情報の科学・技術と人間との関係，情報社会における責任（６，７）</t>
    <phoneticPr fontId="1"/>
  </si>
  <si>
    <t>システム障害の社会的影響，相関と疑似相関，精度と再現率の違い（１０，１１）</t>
    <rPh sb="4" eb="6">
      <t>ショウガイ</t>
    </rPh>
    <rPh sb="7" eb="10">
      <t>シャカイテキ</t>
    </rPh>
    <rPh sb="10" eb="12">
      <t>エイキョウ</t>
    </rPh>
    <rPh sb="13" eb="15">
      <t>ソウカン</t>
    </rPh>
    <rPh sb="16" eb="18">
      <t>ギジ</t>
    </rPh>
    <rPh sb="18" eb="20">
      <t>ソウカン</t>
    </rPh>
    <rPh sb="21" eb="23">
      <t>セイド</t>
    </rPh>
    <rPh sb="28" eb="29">
      <t>チガ</t>
    </rPh>
    <phoneticPr fontId="1"/>
  </si>
  <si>
    <t>AIと人間との共存のルール，AIと法律・倫理，AI社会をデザインする（８，９）</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</si>
  <si>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</si>
  <si>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　修了要件である「情報基礎A」「情報基礎B」では，データ駆動社会にあって，大規模データとその統計量を適切に取扱うスキルの醸成を目指している．授業の前半では，レポートやプレゼンテーション資料の作成を通して，データや分析結果を適切に可視化し，説明するスキルを養う．授業の後半では，表形式のデータからの相関係数の計算，株価時系列データの移動平均と結果の可視化などをPythonで実現することで，データハンドリングのスキルを身に付ける．
　加えて、全ての学部を対象として「Pythonによるデータ科学入門」等のオプション科目を開講している．これらの授業では，プログラミングによる比較や集計等の実践的なデータ処理，データの種類に応じた効果的な可視化手法，相関と因果の違いや選択バイアスへの配慮をはじめとする統計分析の正しい理解，およびそれらの数理的な基礎について学ぶ．</t>
    <rPh sb="210" eb="211">
      <t>フ</t>
    </rPh>
    <phoneticPr fontId="1"/>
  </si>
  <si>
    <t>情報技術による知的生産の基本，コンピュテーショナル・シンキング（３～５，８～１１）</t>
    <phoneticPr fontId="1"/>
  </si>
  <si>
    <t>基本的な処理プログラム，ライブラリの使い方，人工知能を支える機械学習（１～１５）</t>
    <phoneticPr fontId="1"/>
  </si>
  <si>
    <t>機械学習
アルゴリズム概論</t>
  </si>
  <si>
    <t>ライブラリの中身，機械学習をより良く利用する方法，アルゴリズムの検証（１～１５，特に１０，１１）</t>
    <rPh sb="7" eb="8">
      <t>ミ</t>
    </rPh>
    <rPh sb="22" eb="24">
      <t>ホウホウ</t>
    </rPh>
    <rPh sb="32" eb="34">
      <t>ケンショウ</t>
    </rPh>
    <phoneticPr fontId="1"/>
  </si>
  <si>
    <t>Pythonによる
データ科学入門</t>
  </si>
  <si>
    <t>具体的・実践的なデータ処理，データから意味のある情報を抽出し解析する手法（２～１４，特に５～７）</t>
    <phoneticPr fontId="1"/>
  </si>
  <si>
    <t>数理統計学の基礎，条件付き確率，大数の法則, 中心極限定理，統計的推論（１～１５）</t>
    <phoneticPr fontId="1"/>
  </si>
  <si>
    <t>数理統計学の基礎，確率の基本，正規分布，統計的推論，仮説検定（１～１５）</t>
    <phoneticPr fontId="1"/>
  </si>
  <si>
    <t>数理統計学の基礎，確率変数，期待値・分散，統計的推論，仮説検定，広義積分・行列（１～１５）</t>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</si>
  <si>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</si>
  <si>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統計及び数理基礎</t>
    <rPh sb="0" eb="2">
      <t>トウケイ</t>
    </rPh>
    <rPh sb="2" eb="3">
      <t>オヨ</t>
    </rPh>
    <rPh sb="4" eb="6">
      <t>スウリ</t>
    </rPh>
    <rPh sb="6" eb="8">
      <t>キソ</t>
    </rPh>
    <phoneticPr fontId="1"/>
  </si>
  <si>
    <t>数学概論D，数理統計学概要，数理統計学，
数学概論A，数学概論B，数学概論C，解析学概要，線形代数学概要，解析学A，解析学B，
線形代数学A，線形代数学B</t>
    <phoneticPr fontId="1"/>
  </si>
  <si>
    <t>アルゴリズム基礎</t>
    <rPh sb="6" eb="8">
      <t>キソ</t>
    </rPh>
    <phoneticPr fontId="1"/>
  </si>
  <si>
    <t>情報基礎A，情報基礎B，実践 機械学習１，実践 機械学習２，機械学習アルゴリズム概論，
Pythonによるデータ科学入門</t>
  </si>
  <si>
    <t>データ構造とプログラミング基礎</t>
    <rPh sb="3" eb="5">
      <t>コウゾウ</t>
    </rPh>
    <rPh sb="13" eb="15">
      <t>キソ</t>
    </rPh>
    <phoneticPr fontId="1"/>
  </si>
  <si>
    <t>時系列データ解析</t>
    <rPh sb="0" eb="3">
      <t>ジケイレツ</t>
    </rPh>
    <rPh sb="6" eb="8">
      <t>カイセキ</t>
    </rPh>
    <phoneticPr fontId="1"/>
  </si>
  <si>
    <t>情報基礎A，情報基礎B，実践 機械学習１，実践 機械学習２，機械学習アルゴリズム概論</t>
  </si>
  <si>
    <t>テキスト解析</t>
    <rPh sb="4" eb="6">
      <t>カイセキ</t>
    </rPh>
    <phoneticPr fontId="1"/>
  </si>
  <si>
    <t>実践 機械学習２，機械学習アルゴリズム概論</t>
  </si>
  <si>
    <t>画像解析</t>
    <rPh sb="0" eb="2">
      <t>ガゾウ</t>
    </rPh>
    <rPh sb="2" eb="4">
      <t>カイセキ</t>
    </rPh>
    <phoneticPr fontId="1"/>
  </si>
  <si>
    <t>データハンドリング</t>
    <phoneticPr fontId="1"/>
  </si>
  <si>
    <t xml:space="preserve">AIをめぐる人間と社会の過去・現在・未来
</t>
  </si>
  <si>
    <t>データ活用実践（教師あり学習）</t>
    <rPh sb="3" eb="5">
      <t>カツヨウ</t>
    </rPh>
    <rPh sb="5" eb="7">
      <t>ジッセン</t>
    </rPh>
    <rPh sb="8" eb="10">
      <t>キョウシ</t>
    </rPh>
    <rPh sb="12" eb="14">
      <t>ガクシュウ</t>
    </rPh>
    <phoneticPr fontId="1"/>
  </si>
  <si>
    <t>実践 機械学習１，実践 機械学習２，機械学習アルゴリズム概論</t>
  </si>
  <si>
    <t>その他</t>
    <rPh sb="2" eb="3">
      <t>タ</t>
    </rPh>
    <phoneticPr fontId="1"/>
  </si>
  <si>
    <t>プログラムの授業内容等を公表しているアドレス</t>
    <rPh sb="6" eb="8">
      <t>ジュギョウ</t>
    </rPh>
    <rPh sb="8" eb="10">
      <t>ナイヨウ</t>
    </rPh>
    <rPh sb="10" eb="11">
      <t>トウ</t>
    </rPh>
    <rPh sb="12" eb="14">
      <t>コウヒョウ</t>
    </rPh>
    <phoneticPr fontId="1"/>
  </si>
  <si>
    <t>https://aimd.cds.tohoku.ac.jp/</t>
    <phoneticPr fontId="1"/>
  </si>
  <si>
    <t>プログラムの学修成果（学生等が身に付けられる能力等）</t>
  </si>
  <si>
    <t>1. 数学・数理統計学系の科目により統計および数理の基礎を学部を問わず学ぶことができる．
2. 「情報基礎A」および「情報基礎B」においては，数理やアルゴリズムなど計算機科学的な思考とそれに基づく問題解決の方法，および，データ駆動型社会におけるデータ・リテラシを修得すると共に，情報社会の責任ある市民としての自覚を涵養する．そこでは，大規模Webアンケート，テキスト，株価時系列など多様な構造を持つ実データを分析することで，統計の実践やデータハンドリングを学ぶ．
3. 「挑創カレッジ」コンピュテーショナル・データサイエンス（CDS）プログラムにおいては，より進んだ数理・統計理論，機械学習やAIの基礎を学ぶと共に，実世界ビッグデータへのAIMD応用に取組むことで，課題解決のスキルを身につける．また，eラーニングと学生間の教え合いの環境を提供し，民間団体のAIMD技能検定受験を積極支援する．</t>
    <phoneticPr fontId="1"/>
  </si>
  <si>
    <t>様式５</t>
    <rPh sb="0" eb="2">
      <t>ヨウシキ</t>
    </rPh>
    <phoneticPr fontId="1"/>
  </si>
  <si>
    <t>学校名</t>
    <rPh sb="0" eb="3">
      <t>ガッコウメイ</t>
    </rPh>
    <phoneticPr fontId="1"/>
  </si>
  <si>
    <t>：</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</si>
  <si>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</si>
  <si>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</si>
  <si>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データリテラシ共通教育基盤運営委員会設置の関する申し合わせ，および挑創カレッジ運営委員会設置に関する申し合わせ</t>
    <phoneticPr fontId="1"/>
  </si>
  <si>
    <t>体制の目的</t>
    <rPh sb="0" eb="2">
      <t>タイセイ</t>
    </rPh>
    <rPh sb="3" eb="5">
      <t>モクテキ</t>
    </rPh>
    <phoneticPr fontId="1"/>
  </si>
  <si>
    <t>1. 文部科学省「大学における数理・データサイエンスに係る教育強化」協力校の選定をもって実施する「データリテラシ共通教育基盤」事業において，本学で行う数理・データサイエンス教育の計画及び実施に関する事項等を審議し，学務審議会における必要な調整を行うこと（データリテラシ共通教育基盤運営委員会）
2. 「東北大学挑創カレッジ」として実施する教育プログラムの計画及び実施に関する事項等を審議するものとし，学務審議会における必要な調整を行うこと（挑創カレッジ運営委員会）</t>
    <phoneticPr fontId="1"/>
  </si>
  <si>
    <t>具体的な構成員</t>
    <rPh sb="0" eb="3">
      <t>グタイテキ</t>
    </rPh>
    <rPh sb="4" eb="7">
      <t>コウセイイン</t>
    </rPh>
    <phoneticPr fontId="1"/>
  </si>
  <si>
    <t>1.データリテラシ共通教育基盤運営委員会（令和2年度）10名
委員長：早川　美徳（データ駆動科学・AI教育研究センター長）
委員：島　一則（教育学研究科教授，学務審議会教職課程委員会委員長），都築　暢夫（理学研究科教授，学務審議会数学委員会委員長），安藤　晃（工学研究科教授，副研究科長（教育担当），学務審議会総合科目委員会委員長），田中　和之（情報科学研究科教授，副研究科長（教務担当）），静谷　啓樹（データ駆動科学・AI教育研究センター教授，総長特別補佐（教育企画担当），学務審議会教務委員長），中尾　光之（情報科学研究科教授，副理事（AI人材担当)），瀧川　裕貴（文学研究科准教授），鈴木　顕（情報科学研究科准教授）
2.挑創カレッジ運営委員会（令和2年度）10名
委員長：山口　昌弘（理学研究科教授，副学長（国際・教育改革））
委員：早川　美徳（データ駆動科学・AI教育研究センター長），鈴木　賢一（経済学研究科教授），土井　隆行（薬学研究科教授，学務審議会化学委員会委員長），安藤　晃（工学研究科教授，副研究科長（教育担当），学務審議会総合科目委員会委員長），田中　和之（情報科学研究科教授・副研究科長（教務担当）），末松　和子（高度教養教育・学生支援機構教授，総長特別補佐（国際交流担当），学務審議会国際教育委員会委員長），静谷　啓樹（データ駆動科学・AI教育研究センター教授，総長特別補佐（教育企画担当），学務審議会教務委員長）），甲斐　健人(教育学研究科教授，学務審議会保健体育委員会委員長)，湯上　浩雄（工学研究科教授・副理事（教育研究システム改革担当）</t>
    <rPh sb="29" eb="30">
      <t>メイ</t>
    </rPh>
    <rPh sb="31" eb="34">
      <t>イインチョウ</t>
    </rPh>
    <rPh sb="62" eb="64">
      <t>イイン</t>
    </rPh>
    <rPh sb="335" eb="336">
      <t>メイ</t>
    </rPh>
    <rPh sb="337" eb="340">
      <t>イインチョウ</t>
    </rPh>
    <rPh sb="369" eb="371">
      <t>イイン</t>
    </rPh>
    <phoneticPr fontId="1"/>
  </si>
  <si>
    <t>履修者数・履修率の向上に向けた計画</t>
    <rPh sb="5" eb="7">
      <t>リシュウ</t>
    </rPh>
    <rPh sb="7" eb="8">
      <t>リツ</t>
    </rPh>
    <phoneticPr fontId="1"/>
  </si>
  <si>
    <t>各年度の履修者数の目標を以下のとおりとする．(( )内は履修率)
　令和3年度 2,377名（50%）
　令和4年度 2,377名（75%）
　令和5年度 2,377名（100%）
　令和6年度 2,377名（100%）
　令和7年度 2,377名（100%）
本学では令和2年度から，学部新入学者全員に対して数理・データ科学・AIの基礎を学ばせることを機関として決定し（平成31年4月1日プレスリリース「AI教育を通じて大変革時代のリーダーを育成」），学務審議会データリテラシ共通教育基盤運営委員会を中心にその準備を進め，令和2年度の新入学者から１年生全員がAIMD関連科目を受講する体制を整え，AIMDの基礎科目の履修率は99%以上であった．
今後，この体制を維持すると共に，目下進行中の全学教育改革と併せて，令和4年度からは数理・データ科学・AI関連の常設科目を増やす計画である．これにより，様々な教育背景や興味を有する学生を動機づけ，彼らの学習意欲に応える．さらに，多様なeラーニングやオンデマンド・コンテンツを整備し，効率的で多様な学習を支援する．</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</si>
  <si>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</si>
  <si>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数理・データ科学・AIの基礎科目と位置づけている「情報基礎A」および「情報基礎B」は全ての学部・学科に対して開講されている．「情報基礎A」は文系や生命科学系向け，「情報基礎B」は理工学系を想定して扱われるトピックを網羅している．分野親和性によらない学びを促進するために，実例から始めて，系統的な知識に至る教授法を推奨している．また，モデルカリキュラムの内容をカバーするeラーニング教材（140分）を開発してすべての学生に提供している．これは，豊富な実例が盛り込まれ，図解とナラティブな説明を基本としたコンテンツであり，分野を問わず学生に利用されている．
また、より意欲的な学生の受講を想定した挑創カレッジCDSプログラムの科目については，各学部の時間割に配慮した上で，原則として5講時に開講しており，他の科目と並行的に学べるようになっている．</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</si>
  <si>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</si>
  <si>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新入学者に対しては，入学ガイダンス時に本学では数理・データ科学・AIを全員が学ぶ方針であることを周知すると共に，挑創カレッジでさらに高度な内容に至るまで学修が可能であることを伝達している．
さらに，数理・データ科学・AI教育についての情報を集約したウェブサイト( https://aimd.cds.tohoku.ac.jp），および、挑創カレッジコンピュテーショナル・データサイエンス・プログラムのウェブサイト（http://www2.he.tohoku.ac.jp/zengaku/zengaku_cc_1.html）等を通じて，プログラムの内容の周知に努めている．</t>
    <phoneticPr fontId="1"/>
  </si>
  <si>
    <t>できる限り多くの学生が履修・修得できるようなサポート体制</t>
    <rPh sb="26" eb="28">
      <t>タイセイ</t>
    </rPh>
    <phoneticPr fontId="1"/>
  </si>
  <si>
    <t>全員の履修を求めている「AIMDの基礎」科目である「情報基礎A」および「情報基礎B」の履修者用に独自のeラーニング AIMD for Future を開発・提供し，授業時間外などにモデルカリキュラムの内容を学べる環境を提供している．
全学教育が実施されている川内北キャンパスに情報科目相談室を設け，数理・データ科学・AIに詳しい大学院生をティーチング・アシスタントとして雇用し学習相談を実施している．相談内容は，PCの使い方から機械学習の高度な内容まで多岐にわたり授業期間の平日の日中から夜間（20時）まで1名ないし2名の体制で相談に応じている．
加えて，高度教養教育・学生支援機構が実施しているスチューデント・ラーニングアドバイザー（SLA）において学部高年次の学生や大学院生による数理・データ科学・AI関連の学習相談を実施しており，数理統計学等の科目について質問対応や学習イベントを実施している．</t>
    <phoneticPr fontId="1"/>
  </si>
  <si>
    <t>授業時間内外で学習指導、質問を受け付ける具体的な仕組み</t>
    <rPh sb="20" eb="23">
      <t>グタイテキ</t>
    </rPh>
    <phoneticPr fontId="1"/>
  </si>
  <si>
    <t>学務情報システムと連携した学習管理システム（LMS）を提供し，そのメッセージング機能や掲示板などを通じて，授業担当教員やティーチング・アシスタントと随時コミュニケーションを図ることができる環境を全ての授業について提供している．
特に、全員に履修を求めている「情報基礎A」および「情報基礎B」については，ティーチング・アシスタントを優先的に配置することが認められており，学生30名程度に対して，教育スタッフが1名以上配置できるような体制とし，授業時間外であってもキメの細かい対応に努めている．
また，前項で述べた情報科目相談室，およびスチューデント・ラーニングアドバイザー（SLA）は，いずれも授業時間外の学習指導のために実施され、実績を積んできた仕組みである．
「挑創カレッジ」CDS受講生に奨励している民間資格獲得のためのeラーニングにおいては，学生間の教え合いの環境（フォーラム）を提供している．</t>
    <phoneticPr fontId="1"/>
  </si>
  <si>
    <t>様式６</t>
    <rPh sb="0" eb="2">
      <t>ヨウシキ</t>
    </rPh>
    <phoneticPr fontId="1"/>
  </si>
  <si>
    <t>学校名：</t>
    <rPh sb="0" eb="3">
      <t>ガッコウメイ</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</si>
  <si>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</si>
  <si>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</si>
  <si>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</si>
  <si>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</si>
  <si>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</si>
  <si>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</si>
  <si>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xml:space="preserve">数理・データ科学・AI関連の科目の履修状況については，教育・学生支援部教務課が学務情報システムを通じて随時データを確認の上，学務審議会データリテラシ共通教育基盤運営委員会，および挑創カレッジ運営委員会に都度報告し，分析と対応を行っている．
加えて，全員が学ぶ「情報基礎A」および「情報基礎B」で用いているeラーニング教材（AIMD for Future）の機能によって，学習の状況について把握することができる．
</t>
  </si>
  <si>
    <t>学修成果</t>
    <rPh sb="0" eb="2">
      <t>ガクシュウ</t>
    </rPh>
    <rPh sb="2" eb="4">
      <t>セイカ</t>
    </rPh>
    <phoneticPr fontId="1"/>
  </si>
  <si>
    <t xml:space="preserve">数理・データ科学・AI関連の科目には担当の科目委員会が割当られており，科目の改善活動の一環として，それぞれの授業での成績分布データが学生の授業評価と共に委員会内で共有・分析されている．
１年生の全員が履修する「情報基礎A」および「情報基礎B」で使用しているeラーニング教材 AIMD for Futureの学習記録はデータ駆動科学・AI教育研究センターで分析の上，教育内容の改善に役立てられている他，意欲的な学生に対しては民間のAI資格検定に向けた学修支援を実施し，「腕試し」の機会を提供すると共に，合格状況についても把握している． </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</si>
  <si>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</si>
  <si>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全ての授業について「学生による授業評価」アンケートを実施し，学生自身の取り組み状況，時間外学修時間，教員の説明のわかり易さ，授業の進度，知識や技能の修得の度合い等についてデータを収集している．アンケート中の自由記述欄も含め，その結果を担当の科目委員会で共有・分析し，評価・改善に活用している．
また，民間のAI資格認定に向けた支援制度に参加した学生を対象に，学修の状況と受験結果についてアンケートを実施しており，その中で聞かれた意見をデータ駆動科学・AI教育研究センターで分析の上，新しい取り組みに向けた材料としている．</t>
  </si>
  <si>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</si>
  <si>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情報基礎」や挑創カレッジCDSプログラムの受講者からの「学生による授業評価」では，引き続いてさらに高度な内容までさらに学んでみたい，といった前向きな記述が見られ，授業が数理・データ科学・AIの学習の動機づけにつながっていることが確認された．アンケート内容をそのまま公開することは難しいものの，先輩のこうした学修の様子についてウェブ(https://aimd.cds.tohoku.ac.jp)等で紹介する予定である．</t>
  </si>
  <si>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</si>
  <si>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部新入学者全員に対してAIMDの基礎を教育する体制は令和2年度から開始され，ほぼ100%の学生が履修している状況であるため，年次進行により，令和5年度末までに本学の学部学生のほぼ全員がAIMDの基礎を修得する見込みである．
分野親和性によらない学習推進のために提供中のeラーニング（AIMD for Future）をさらに拡充する．
また，令和4年度からの全学教育改革に伴って新しいカリキュラムのもとで全学教育が実施されることになっており，AIMD関連の科目についても，開講数や時間割，および学部・学科の修了要件の見直し等によって，文系理系を問わず，履修しやすい体制が整えられる予定である．</t>
    <rPh sb="27" eb="29">
      <t>レイワ</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</si>
  <si>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</si>
  <si>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</si>
  <si>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学務審議会および高度教養教育・学生支援機構が中心となり，「東北大学の教育に関する卒業・修了者/雇用者調査」（平成29年）を実施し，学部卒業生の自己評価，および雇用者側からの修了者に対する所見を調査した実績があり，例えば，「数理的に物事を分析する能力」等についての評価・分析を行った．調査項目については適宜見直しつつ，同種の調査を今後も継続することによって，AIMD教育の充実化がどのような変化をもたらすかについて，データの収集と分析を行う予定である．</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</si>
  <si>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</si>
  <si>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データ駆動科学・AI教育研究センターに企業の実務経験者を客員教員として迎えると共に，本学と包括連携協定を締結している複数の企業のデータサイエンティストやAIエンジニアおよびマネージメント担当者と，随時ミーティングやヒアリングを実施し，意見や新しい手法についての提言等を求めている．
加えて，本学の理事，AIMDを標榜する企業，AIMD人材活用企業，AIMDベンチャー企業，地域AIMD企業，自治体からの委員によって構成される「AIMD教育アドバイザリ委員会」を令和3年度の前半に発足させたところである．今後はアドバイザリ委員会からの提言や評価をウェブ等で公開の上，改善に繋げてゆく計画である．</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</si>
  <si>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</si>
  <si>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AIMDの基礎科目である「情報基礎A」および「情報基礎B」において，産学連携を通じて独自に開発したeラーニング教材「AIMD for Future（140分）」を利用し，モデルカリキュラムの内容を，授業時間外学習を通じて学び，振り返ることができる環境を，1年生全員に提供している．AIMD for Futureは，図解とナラティブな説明を基本としたコンテンツであり，単に知識の修得に留まらず，仮想課題を通して，データ活用にあたっての倫理について，学ぶことができるように工夫されている．さらに，意欲のある学生に対しては民間のAIMD資格検定への挑戦をeラーニングの機会提供により支援してい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</si>
  <si>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</si>
  <si>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務審議会の下で，AIMDリテラシ教育全体の調整をデータリテラシ共通教育委員会が行い，関係する各科目内容の検討と実施は情報教育委員会および数学委員会によって行われている．それぞれの科目委員会では，授業評価や成績分布などを指標としたPDCAサイクルによって課題の抽出・分析と対応を継続的に実施しており，さらに学期毎に教員会議（FD)を開催することで，課題の共有と意見の集約を積み重ねている．
そうした取組の一環として，情報基礎委員会においては，標準的な講義ノートやサンプルデータ・コードを提供したり，すぐれた教育実践を担当教員全員で共有するなどの活動を行っている．</t>
    <phoneticPr fontId="1"/>
  </si>
  <si>
    <t>※公表している場合のアドレス</t>
    <rPh sb="1" eb="3">
      <t>コウヒョウ</t>
    </rPh>
    <rPh sb="7" eb="9">
      <t>バアイ</t>
    </rPh>
    <phoneticPr fontId="1"/>
  </si>
  <si>
    <t>自己点検・評価体制における意見等の公表の有無</t>
    <rPh sb="17" eb="19">
      <t>コウヒョウ</t>
    </rPh>
    <rPh sb="20" eb="22">
      <t>ウム</t>
    </rPh>
    <phoneticPr fontId="1"/>
  </si>
  <si>
    <t>有</t>
  </si>
  <si>
    <t>https://aimd.cds.tohoku.ac.jp/ai-math-data-science</t>
    <phoneticPr fontId="1"/>
  </si>
  <si>
    <t>様式７</t>
    <rPh sb="0" eb="2">
      <t>ヨウシキ</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</si>
  <si>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</si>
  <si>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授業内容</t>
    <rPh sb="0" eb="2">
      <t>ジュギョウ</t>
    </rPh>
    <rPh sb="2" eb="4">
      <t>ナイヨウ</t>
    </rPh>
    <phoneticPr fontId="1"/>
  </si>
  <si>
    <t>リテラシレベルのAIMD教育は，学生の習熟度や専門の多様性を考慮し，モデルカリキュラムの「基礎」の内容をカバーする科目群（AIMDの基礎）と，「選択」を含みより進んだ内容をカバーする挑創カレッジコンピュテーショナル・データサイエンス（CDS）プログラムの２つから構成されている．
AIMDの基礎科目群は1年生全員が前期に受講する「情報基礎A」または「情報基礎B」（それぞれ2単位・AIMDプログラム必修．Aを文系向け，Bを理系向けに設計）で，情報・データの倫理（心得」を含む）に続いて，計算機科学の論理的思考法を学ぶ．続くデータ・リテラシでは，「導入」 と「心得」を学ぶと共に，Pythonを用いた実データの処理と結果の理解を通して「基礎」を身に着ける．
AI人材育成支援企業と共同開発したeラーニング教材 AIMD for Futureは，モデルカリキュラムをカバーしており（140分），「情報基礎A,B」の中で学生の自己学習，反転学習の教材として使われる他，仮想課題によって疑似AIMD活用体験ができるように設計されている．
「AIMD科目群」は，AIMDに加え，情報，統計，数学の基礎科目群から構成されており，全ての学生に対して，各科目群から１科目以上を履修することを推奨している．
CDS科目は，モデルカリキュラムの「選択」を網羅する内容の科目群で構成されており，挑創カレッジのプログラムとしての修了認定を行うことで意欲的な学生の動機づけを図っている．令和2年度は文理を問わず140名以上が履修している．さらに，民間のAI資格検定を受験するためのeラーニングでの学びを支援している．また，研究総合大学としての特徴を活かし，材料科学，社会学，メディカルメガバンクなど先端研究分野でのAIMD活用状況を臨場感を以て体験し学びの動機づけとするための，反転学習を中心とした講義を開講している．</t>
    <phoneticPr fontId="1"/>
  </si>
  <si>
    <t>学生への学習支援</t>
    <rPh sb="0" eb="2">
      <t>ガクセイ</t>
    </rPh>
    <rPh sb="4" eb="6">
      <t>ガクシュウ</t>
    </rPh>
    <rPh sb="6" eb="8">
      <t>シエン</t>
    </rPh>
    <phoneticPr fontId="1"/>
  </si>
  <si>
    <t>1. AIMDの基礎科目である「情報基礎A」および「情報基礎B」では，ティーチング・アシスタント（TA）を優先的に配置する科目に指定されており，概ね学生30名に対して1人以上の教育スタッフが各クラスで質問への対応などあたっている．「授業評価アンケート」では，特に文系のクラスにおいて，こうしたTAによるサポートへの感謝の声が多く寄せられている．また，モデルカリキュラムをカバーしたeラーニング教材 AIMD for Futureは，学生の自己学習や仮想課題による疑似AIMD活用体験を支援している．
2. 学習に必要な教材等はウェブサイト上に情報を集約した上で公開し，学生が自宅から自由に閲覧・ダウンロードできる環境を提供してる．また，キャンパス内の端末室は授業時間外に学生に自習開放しているほか，仮想デスクトップ環境を200ライセンス取得し，自宅等のパソコンから演習室と同様のOSとソフトウェアが利用できる環境を整備している．
3. データ駆動科学・AI教育研究センターで「情報科目相談室」を設け，平日の日中から夜間（20時）まで，情報科学分野の大学院生を雇用し，全員が履修する科目「情報基礎」に関連した学習相談を行っている．さらに，同じフロアには高度教養教育・学生支援機構が雇用するスチューデント・ラーニング・アドバイザ（SLA）が，数学や統計学を含む，全学教育科目についての学習相談を実施している（オンラインも可）．
4. 学修の成果を再確認することで，学生をさらに高いレベルの学びへと動機づけるために，令和2年度，CDS履修生のうちの希望者を対象に，民間（日本ディープラーニング協会）によるAI技能検定受験のためのeラーニング受講を支援し，文系を含む学部学生のうち5名が「E資格」に，6名が「G検定」にそれぞれ合格した．この取り組みは，令和3年度以降もさらに募集の枠を拡大して継続する．</t>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</si>
  <si>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</si>
  <si>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r>
      <t>他大学・教育機関との連携・協力
・令和2年度「東北創成国立大学アライアンス」を東北地区の７国立大学（弘前，岩手，東北</t>
    </r>
    <r>
      <rPr>
        <vertAlign val="superscript"/>
        <sz val="12"/>
        <color theme="1"/>
        <rFont val="ＭＳ Ｐゴシック"/>
        <family val="3"/>
        <charset val="128"/>
        <scheme val="minor"/>
      </rPr>
      <t>*</t>
    </r>
    <r>
      <rPr>
        <sz val="12"/>
        <color theme="1"/>
        <rFont val="ＭＳ Ｐゴシック"/>
        <family val="3"/>
        <charset val="128"/>
        <scheme val="minor"/>
      </rPr>
      <t>，宮城教育，秋田，山形</t>
    </r>
    <r>
      <rPr>
        <vertAlign val="superscript"/>
        <sz val="12"/>
        <color theme="1"/>
        <rFont val="ＭＳ Ｐゴシック"/>
        <family val="3"/>
        <charset val="128"/>
        <scheme val="minor"/>
      </rPr>
      <t>*</t>
    </r>
    <r>
      <rPr>
        <sz val="12"/>
        <color theme="1"/>
        <rFont val="ＭＳ Ｐゴシック"/>
        <family val="3"/>
        <charset val="128"/>
        <scheme val="minor"/>
      </rPr>
      <t>，福島）と新潟大学</t>
    </r>
    <r>
      <rPr>
        <vertAlign val="superscript"/>
        <sz val="12"/>
        <color theme="1"/>
        <rFont val="ＭＳ Ｐゴシック"/>
        <family val="3"/>
        <charset val="128"/>
        <scheme val="minor"/>
      </rPr>
      <t>*</t>
    </r>
    <r>
      <rPr>
        <sz val="12"/>
        <color theme="1"/>
        <rFont val="ＭＳ Ｐゴシック"/>
        <family val="3"/>
        <charset val="128"/>
        <scheme val="minor"/>
      </rPr>
      <t>をメンバーに創設した．AIMD教育の連携から始めて各大学の取組やノウハウの情報共有やカリキュラムの共同開発を実施していく．（*は強化事業協力校）
・全員が履修する「情報基礎A，B」において産学連携によって開発したeラーニング教材（AIMD for Future）を利用している．それは，令和3年度から仙台地区の高等専門学校でも利用される．
・AIMD教育科目の一部は，学都仙台コンソーシアム単位互換ネットワークに登録されており他大学学生の受講実績がある．
産業界との連携・協力
・AI人材育成支援に実績のある企業と共同でeラーニング教材開発を進めており，AIMD for FutureやAI技能検定支援はその成果である．
・企業からビッグデータの提供を受け「情報基礎A，B」の演習用教材として加工・利用している．
・挑創カレッジでは，企業講師によるAIMDのビジネス応用の最前線やユースケースについての講義やセミナーを開催している．また，インターンシップも企画されている．
授業方法
・研究総合大学としての特徴を活かし，材料科学，社会学，メディカルメガバンクなど先端研究分野でのAIMD活用状況を臨場感を以て体験し学びの動機づけとするための反転学習を中心とした講義「数理・AI・データ科学－データ生成・活用の現場に立会う－」を開講している．令和2年度は「実践機械学習I」の履修生の内の希望者を対象に試行し3年度から正規科目として実施している．
社会還元
・令和2年度gacco講座「社会の中のAI～人工知能の技術と人間社会の未来展望～」（9/9～11/24）を実施し広く社会に向けて本学のAIMD教育研究を紹介した．4731名が受講した．</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</si>
</sst>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1"/>
      <color theme="1"/>
      <name val="ＭＳ Ｐゴシック"/>
      <family val="3"/>
      <charset val="128"/>
      <scheme val="minor"/>
    </font>
    <font>
      <u/>
      <sz val="11"/>
      <name val="ＭＳ Ｐゴシック"/>
      <family val="3"/>
      <charset val="128"/>
      <scheme val="minor"/>
    </font>
    <font>
      <sz val="10.5"/>
      <name val="ＭＳ Ｐゴシック"/>
      <family val="3"/>
      <charset val="128"/>
      <scheme val="minor"/>
    </font>
    <font>
      <sz val="9"/>
      <name val="ＭＳ Ｐゴシック"/>
      <family val="3"/>
      <charset val="128"/>
      <scheme val="minor"/>
    </font>
    <font>
      <sz val="11"/>
      <name val="ＭＳ Ｐゴシック"/>
      <family val="3"/>
      <charset val="128"/>
      <scheme val="minor"/>
    </font>
    <font>
      <sz val="9"/>
      <name val="ＭＳ Ｐゴシック"/>
      <family val="2"/>
      <charset val="128"/>
      <scheme val="minor"/>
    </font>
    <font>
      <vertAlign val="superscript"/>
      <sz val="12"/>
      <color theme="1"/>
      <name val="ＭＳ Ｐゴシック"/>
      <family val="3"/>
      <charset val="128"/>
      <scheme val="minor"/>
    </font>
  </fonts>
  <fills count="2">
    <fill>
      <patternFill patternType="none"/>
    </fill>
    <fill>
      <patternFill patternType="gray125"/>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5" fillId="0" borderId="0" applyFont="0" applyFill="0" applyBorder="0" applyAlignment="0" applyProtection="0">
      <alignment vertical="center"/>
    </xf>
    <xf numFmtId="0" fontId="6" fillId="0" borderId="0" applyNumberFormat="0" applyFill="0" applyBorder="0" applyAlignment="0" applyProtection="0">
      <alignment vertical="center"/>
    </xf>
  </cellStyleXfs>
  <cellXfs count="243">
    <xf numFmtId="0" fontId="0" fillId="0" borderId="0" xfId="0">
      <alignment vertical="center"/>
    </xf>
    <xf numFmtId="0" fontId="2" fillId="0" borderId="0" xfId="0" applyFont="1">
      <alignment vertical="center"/>
    </xf>
    <xf numFmtId="0" fontId="3" fillId="0" borderId="0" xfId="0" applyFont="1" applyAlignment="1">
      <alignment vertical="center"/>
    </xf>
    <xf numFmtId="0" fontId="2" fillId="0" borderId="0" xfId="0" applyFont="1" applyAlignment="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1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0" xfId="0" applyFont="1" applyAlignment="1">
      <alignment horizontal="right" vertical="center"/>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xf>
    <xf numFmtId="0" fontId="8" fillId="0" borderId="1" xfId="0" applyFont="1" applyBorder="1" applyAlignment="1">
      <alignment vertical="center" shrinkToFit="1"/>
    </xf>
    <xf numFmtId="0" fontId="3" fillId="0" borderId="0" xfId="0" applyFont="1" applyAlignment="1">
      <alignment vertical="center" shrinkToFit="1"/>
    </xf>
    <xf numFmtId="0" fontId="11"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0"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176" fontId="3" fillId="0" borderId="20"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2" xfId="0" applyNumberFormat="1" applyFont="1" applyBorder="1" applyAlignment="1">
      <alignment vertical="center" shrinkToFit="1"/>
    </xf>
    <xf numFmtId="176" fontId="3" fillId="0" borderId="23" xfId="0" applyNumberFormat="1" applyFont="1" applyBorder="1" applyAlignment="1">
      <alignment vertical="center" shrinkToFit="1"/>
    </xf>
    <xf numFmtId="0" fontId="3" fillId="0" borderId="24" xfId="0" applyFont="1" applyBorder="1" applyAlignment="1">
      <alignment vertical="center" shrinkToFit="1"/>
    </xf>
    <xf numFmtId="176" fontId="3" fillId="0" borderId="24"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26" xfId="0" applyNumberFormat="1" applyFont="1" applyBorder="1" applyAlignment="1">
      <alignment vertical="center" shrinkToFit="1"/>
    </xf>
    <xf numFmtId="176" fontId="3" fillId="0" borderId="27" xfId="0" applyNumberFormat="1" applyFont="1" applyBorder="1" applyAlignment="1">
      <alignment vertical="center" shrinkToFit="1"/>
    </xf>
    <xf numFmtId="9" fontId="3" fillId="0" borderId="26" xfId="0" applyNumberFormat="1" applyFont="1" applyBorder="1" applyAlignment="1">
      <alignment vertical="center" shrinkToFit="1"/>
    </xf>
    <xf numFmtId="176" fontId="4" fillId="0" borderId="0" xfId="0" applyNumberFormat="1" applyFont="1" applyBorder="1" applyAlignment="1">
      <alignment vertical="center" shrinkToFit="1"/>
    </xf>
    <xf numFmtId="0" fontId="8" fillId="0" borderId="0" xfId="0" applyFont="1" applyAlignment="1">
      <alignment horizontal="center" vertical="center"/>
    </xf>
    <xf numFmtId="0" fontId="8" fillId="0" borderId="10" xfId="0" applyFont="1" applyBorder="1" applyAlignment="1">
      <alignment vertical="center" shrinkToFit="1"/>
    </xf>
    <xf numFmtId="0" fontId="8" fillId="0" borderId="0" xfId="0" applyFont="1" applyFill="1">
      <alignment vertical="center"/>
    </xf>
    <xf numFmtId="0" fontId="8" fillId="0" borderId="11" xfId="0" applyFont="1" applyBorder="1" applyAlignment="1">
      <alignment horizontal="center" vertical="center"/>
    </xf>
    <xf numFmtId="0" fontId="8" fillId="0" borderId="1" xfId="0" applyFont="1" applyBorder="1" applyAlignment="1">
      <alignment vertical="center" wrapText="1"/>
    </xf>
    <xf numFmtId="0" fontId="14" fillId="0" borderId="0" xfId="0" applyFont="1" applyBorder="1" applyAlignment="1">
      <alignment vertical="top" wrapText="1"/>
    </xf>
    <xf numFmtId="0" fontId="14" fillId="0" borderId="10" xfId="0" applyFont="1" applyBorder="1" applyAlignment="1">
      <alignment vertical="top" wrapText="1"/>
    </xf>
    <xf numFmtId="0" fontId="14" fillId="0" borderId="5" xfId="0" applyFont="1" applyBorder="1" applyAlignment="1">
      <alignment vertical="top" wrapText="1"/>
    </xf>
    <xf numFmtId="0" fontId="8" fillId="0" borderId="17" xfId="0" applyFont="1" applyBorder="1">
      <alignment vertical="center"/>
    </xf>
    <xf numFmtId="0" fontId="14" fillId="0" borderId="21" xfId="0" applyFont="1" applyBorder="1" applyAlignment="1">
      <alignment vertical="top" wrapText="1"/>
    </xf>
    <xf numFmtId="0" fontId="14" fillId="0" borderId="19" xfId="0" applyFont="1" applyBorder="1" applyAlignment="1">
      <alignment vertical="top" wrapText="1"/>
    </xf>
    <xf numFmtId="0" fontId="14" fillId="0" borderId="21" xfId="0" applyFont="1" applyBorder="1" applyAlignment="1">
      <alignment vertical="top" shrinkToFit="1"/>
    </xf>
    <xf numFmtId="0" fontId="14" fillId="0" borderId="19" xfId="0" applyFont="1" applyBorder="1" applyAlignment="1">
      <alignment vertical="top" shrinkToFit="1"/>
    </xf>
    <xf numFmtId="0" fontId="8" fillId="0" borderId="0" xfId="0" applyFont="1" applyAlignment="1">
      <alignment vertical="center" wrapText="1"/>
    </xf>
    <xf numFmtId="0" fontId="15" fillId="0" borderId="0" xfId="2" applyNumberFormat="1" applyFont="1" applyBorder="1" applyAlignment="1">
      <alignment vertical="center" shrinkToFit="1"/>
    </xf>
    <xf numFmtId="0" fontId="14" fillId="0" borderId="0" xfId="0" applyFont="1" applyBorder="1" applyAlignment="1">
      <alignment vertical="center" shrinkToFit="1"/>
    </xf>
    <xf numFmtId="0" fontId="14" fillId="0" borderId="10" xfId="0" applyFont="1" applyBorder="1" applyAlignment="1">
      <alignment vertical="center" shrinkToFit="1"/>
    </xf>
    <xf numFmtId="0" fontId="8" fillId="0" borderId="0" xfId="0" applyFont="1" applyFill="1" applyBorder="1" applyAlignment="1">
      <alignment vertical="center"/>
    </xf>
    <xf numFmtId="0" fontId="14" fillId="0" borderId="0" xfId="0" applyFont="1" applyFill="1" applyBorder="1" applyAlignment="1">
      <alignment vertical="top" wrapText="1"/>
    </xf>
    <xf numFmtId="0" fontId="16" fillId="0" borderId="0" xfId="0" applyFont="1">
      <alignment vertical="center"/>
    </xf>
    <xf numFmtId="0" fontId="8" fillId="0" borderId="0" xfId="0" applyFont="1" applyBorder="1" applyAlignment="1">
      <alignment vertical="center" wrapText="1"/>
    </xf>
    <xf numFmtId="0" fontId="14" fillId="0" borderId="0" xfId="0" applyFont="1" applyBorder="1" applyAlignment="1">
      <alignment vertical="top" shrinkToFit="1"/>
    </xf>
    <xf numFmtId="0" fontId="14" fillId="0" borderId="0" xfId="0" applyFont="1" applyBorder="1" applyAlignment="1">
      <alignment vertical="center" wrapText="1"/>
    </xf>
    <xf numFmtId="0" fontId="9" fillId="0" borderId="0" xfId="0" applyFont="1" applyAlignment="1">
      <alignment horizontal="center" vertical="center"/>
    </xf>
    <xf numFmtId="176" fontId="9" fillId="0" borderId="20" xfId="0" applyNumberFormat="1" applyFont="1" applyBorder="1" applyAlignment="1">
      <alignment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2" xfId="0" applyFont="1" applyBorder="1" applyAlignment="1">
      <alignment vertical="center" shrinkToFit="1"/>
    </xf>
    <xf numFmtId="0" fontId="9" fillId="0" borderId="0" xfId="0" applyFont="1" applyAlignment="1">
      <alignment horizontal="right" vertical="center"/>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0" borderId="0" xfId="0" applyFont="1" applyBorder="1" applyAlignment="1">
      <alignment vertical="center" shrinkToFit="1"/>
    </xf>
    <xf numFmtId="0" fontId="8" fillId="0" borderId="0" xfId="0" applyFont="1" applyBorder="1" applyAlignment="1">
      <alignment vertical="top" wrapText="1"/>
    </xf>
    <xf numFmtId="0" fontId="2" fillId="0" borderId="0" xfId="0" applyFont="1" applyAlignment="1">
      <alignment horizontal="right" vertical="center"/>
    </xf>
    <xf numFmtId="0" fontId="3" fillId="0" borderId="0" xfId="0" applyFont="1" applyAlignment="1">
      <alignment horizontal="center" vertical="center"/>
    </xf>
    <xf numFmtId="0" fontId="3" fillId="0" borderId="20" xfId="0" applyFont="1" applyBorder="1" applyAlignment="1">
      <alignment vertical="center" shrinkToFit="1"/>
    </xf>
    <xf numFmtId="0" fontId="8" fillId="0" borderId="2" xfId="0" applyFont="1" applyBorder="1" applyAlignment="1">
      <alignment horizontal="left" vertical="center" shrinkToFit="1"/>
    </xf>
    <xf numFmtId="0" fontId="14" fillId="0" borderId="0" xfId="0" applyFont="1" applyAlignment="1">
      <alignment vertical="top" wrapText="1"/>
    </xf>
    <xf numFmtId="0" fontId="2" fillId="0" borderId="0" xfId="0" applyFont="1" applyAlignment="1">
      <alignment horizontal="center" vertical="center"/>
    </xf>
    <xf numFmtId="0" fontId="8" fillId="0" borderId="0" xfId="0" applyFont="1" applyBorder="1" applyAlignment="1">
      <alignmen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0" fontId="9"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49" fontId="12"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7" xfId="0" applyFont="1" applyBorder="1" applyAlignment="1">
      <alignment vertical="top" wrapText="1"/>
    </xf>
    <xf numFmtId="0" fontId="8" fillId="0" borderId="8" xfId="0" applyFont="1" applyBorder="1" applyAlignment="1">
      <alignment vertical="top" wrapText="1"/>
    </xf>
    <xf numFmtId="0" fontId="8" fillId="0" borderId="9" xfId="0" applyFont="1" applyBorder="1" applyAlignment="1">
      <alignment vertical="top" wrapText="1"/>
    </xf>
    <xf numFmtId="0" fontId="8" fillId="0" borderId="5" xfId="0" applyFont="1" applyBorder="1" applyAlignment="1">
      <alignment vertical="top" wrapText="1"/>
    </xf>
    <xf numFmtId="0" fontId="8" fillId="0" borderId="0" xfId="0" applyFont="1" applyBorder="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0" fontId="8" fillId="0" borderId="6" xfId="0" applyFont="1" applyBorder="1" applyAlignment="1">
      <alignment vertical="top" wrapText="1"/>
    </xf>
    <xf numFmtId="0" fontId="8" fillId="0" borderId="12" xfId="0" applyFont="1" applyBorder="1" applyAlignment="1">
      <alignment vertical="top" wrapText="1"/>
    </xf>
    <xf numFmtId="0" fontId="9" fillId="0" borderId="4" xfId="0" applyFont="1" applyBorder="1" applyAlignment="1">
      <alignment vertical="center" shrinkToFit="1"/>
    </xf>
    <xf numFmtId="0" fontId="8" fillId="0" borderId="0" xfId="0" applyFont="1" applyAlignment="1">
      <alignment vertical="center" shrinkToFit="1"/>
    </xf>
    <xf numFmtId="0" fontId="8" fillId="0" borderId="1" xfId="0" applyFont="1" applyBorder="1" applyAlignment="1">
      <alignment horizontal="center" vertical="center"/>
    </xf>
    <xf numFmtId="0" fontId="8" fillId="0" borderId="1" xfId="0" applyFont="1" applyBorder="1" applyAlignment="1">
      <alignment horizontal="center"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15" xfId="0" applyFont="1" applyBorder="1" applyAlignment="1">
      <alignment vertical="center" shrinkToFit="1"/>
    </xf>
    <xf numFmtId="0" fontId="3" fillId="0" borderId="36" xfId="0" applyFont="1" applyBorder="1" applyAlignment="1">
      <alignment vertical="center" shrinkToFit="1"/>
    </xf>
    <xf numFmtId="0" fontId="3" fillId="0" borderId="24" xfId="0" applyFont="1" applyBorder="1" applyAlignment="1">
      <alignment horizontal="center" vertical="center" shrinkToFit="1"/>
    </xf>
    <xf numFmtId="0" fontId="3" fillId="0" borderId="25"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37" xfId="0" applyFont="1" applyBorder="1" applyAlignment="1">
      <alignment vertical="center" shrinkToFit="1"/>
    </xf>
    <xf numFmtId="0" fontId="3" fillId="0" borderId="38" xfId="0" applyFont="1" applyBorder="1" applyAlignment="1">
      <alignment vertical="center" shrinkToFit="1"/>
    </xf>
    <xf numFmtId="0" fontId="2" fillId="0" borderId="0" xfId="0" applyFont="1" applyAlignment="1">
      <alignment horizontal="right" vertical="center"/>
    </xf>
    <xf numFmtId="0" fontId="7" fillId="0" borderId="7" xfId="0" applyFont="1" applyBorder="1" applyAlignment="1">
      <alignment horizontal="center" vertical="center" wrapText="1"/>
    </xf>
    <xf numFmtId="0" fontId="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6" xfId="0" applyFont="1" applyBorder="1" applyAlignment="1">
      <alignment horizontal="center" vertical="center"/>
    </xf>
    <xf numFmtId="0" fontId="10" fillId="0" borderId="16" xfId="0" applyFont="1" applyBorder="1" applyAlignment="1">
      <alignment horizontal="center" vertical="center" wrapText="1"/>
    </xf>
    <xf numFmtId="0" fontId="10" fillId="0" borderId="13" xfId="0" applyFont="1" applyBorder="1" applyAlignment="1">
      <alignment horizontal="center" vertical="center"/>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3" fillId="0" borderId="0" xfId="0" applyFont="1" applyAlignment="1">
      <alignment horizontal="center" vertical="center"/>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4" xfId="0" applyFont="1" applyBorder="1" applyAlignment="1">
      <alignment horizontal="left" vertical="center" shrinkToFit="1"/>
    </xf>
    <xf numFmtId="0" fontId="8" fillId="0" borderId="16" xfId="0" applyFont="1" applyBorder="1" applyAlignment="1">
      <alignment vertical="center" wrapText="1"/>
    </xf>
    <xf numFmtId="0" fontId="8" fillId="0" borderId="39" xfId="0" applyFont="1" applyBorder="1" applyAlignment="1">
      <alignment vertical="center" wrapText="1"/>
    </xf>
    <xf numFmtId="0" fontId="8" fillId="0" borderId="13" xfId="0" applyFont="1" applyBorder="1" applyAlignment="1">
      <alignment vertical="center" wrapText="1"/>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6" xfId="0" applyFont="1" applyBorder="1" applyAlignment="1">
      <alignment horizontal="left" vertical="top" wrapText="1"/>
    </xf>
    <xf numFmtId="0" fontId="8" fillId="0" borderId="12" xfId="0" applyFont="1" applyBorder="1" applyAlignment="1">
      <alignment horizontal="left" vertical="top" wrapText="1"/>
    </xf>
    <xf numFmtId="0" fontId="13" fillId="0" borderId="7" xfId="0" applyFont="1" applyBorder="1" applyAlignment="1">
      <alignment vertical="top" wrapText="1" shrinkToFi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Border="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12" fillId="0" borderId="2" xfId="2" applyFont="1" applyBorder="1" applyAlignment="1">
      <alignment vertical="center" shrinkToFit="1"/>
    </xf>
    <xf numFmtId="0" fontId="8" fillId="0" borderId="2" xfId="0" applyFont="1" applyBorder="1" applyAlignment="1">
      <alignment vertical="center" wrapText="1" shrinkToFit="1"/>
    </xf>
    <xf numFmtId="0" fontId="8" fillId="0" borderId="2" xfId="0" applyFont="1" applyBorder="1" applyAlignment="1">
      <alignment horizontal="center" vertical="center" wrapText="1" shrinkToFit="1"/>
    </xf>
    <xf numFmtId="0" fontId="8" fillId="0" borderId="7"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Border="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6" xfId="0" applyFont="1" applyBorder="1" applyAlignment="1">
      <alignment vertical="center"/>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Border="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8" fillId="0" borderId="18" xfId="0" applyFont="1" applyBorder="1" applyAlignment="1">
      <alignment vertical="center"/>
    </xf>
    <xf numFmtId="0" fontId="15" fillId="0" borderId="19" xfId="0" applyFont="1" applyBorder="1" applyAlignment="1">
      <alignment vertical="center"/>
    </xf>
    <xf numFmtId="0" fontId="8" fillId="0" borderId="18" xfId="0" applyFont="1" applyBorder="1" applyAlignment="1">
      <alignment vertical="center" wrapText="1"/>
    </xf>
    <xf numFmtId="0" fontId="8" fillId="0" borderId="19" xfId="0" applyFont="1" applyBorder="1" applyAlignment="1">
      <alignment vertical="center" wrapText="1"/>
    </xf>
    <xf numFmtId="0" fontId="8" fillId="0" borderId="21" xfId="0" applyFont="1" applyBorder="1" applyAlignment="1">
      <alignment vertical="top" wrapText="1" shrinkToFit="1"/>
    </xf>
    <xf numFmtId="0" fontId="8" fillId="0" borderId="19" xfId="0" applyFont="1" applyBorder="1" applyAlignment="1">
      <alignment vertical="top" wrapText="1" shrinkToFit="1"/>
    </xf>
    <xf numFmtId="0" fontId="8" fillId="0" borderId="20" xfId="0" applyFont="1" applyBorder="1" applyAlignment="1">
      <alignment vertical="center" wrapText="1"/>
    </xf>
    <xf numFmtId="0" fontId="8" fillId="0" borderId="21" xfId="0" applyFont="1" applyBorder="1" applyAlignment="1">
      <alignment vertical="center" wrapText="1"/>
    </xf>
    <xf numFmtId="0" fontId="12" fillId="0" borderId="2" xfId="2" applyFont="1" applyBorder="1" applyAlignment="1">
      <alignment horizontal="left" vertical="center" shrinkToFit="1"/>
    </xf>
    <xf numFmtId="0" fontId="14" fillId="0" borderId="4" xfId="0" applyFont="1" applyBorder="1" applyAlignment="1">
      <alignment horizontal="left" vertical="center" shrinkToFit="1"/>
    </xf>
    <xf numFmtId="0" fontId="3" fillId="0" borderId="20" xfId="0" applyFont="1" applyBorder="1" applyAlignment="1">
      <alignment vertical="top" wrapText="1" shrinkToFit="1"/>
    </xf>
    <xf numFmtId="0" fontId="3" fillId="0" borderId="21" xfId="0" applyFont="1" applyBorder="1" applyAlignment="1">
      <alignment vertical="top" wrapText="1" shrinkToFit="1"/>
    </xf>
    <xf numFmtId="0" fontId="3" fillId="0" borderId="19" xfId="0" applyFont="1" applyBorder="1" applyAlignment="1">
      <alignment vertical="top" wrapText="1" shrinkToFit="1"/>
    </xf>
    <xf numFmtId="0" fontId="14" fillId="0" borderId="0" xfId="0" applyFont="1" applyAlignment="1">
      <alignment vertical="top" wrapText="1"/>
    </xf>
    <xf numFmtId="0" fontId="8" fillId="0" borderId="20" xfId="0" applyFont="1" applyBorder="1" applyAlignment="1">
      <alignment vertical="top" wrapText="1" shrinkToFit="1"/>
    </xf>
    <xf numFmtId="0" fontId="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0" xfId="0" applyFont="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zoomScaleNormal="100" workbookViewId="0">
      <selection activeCell="F26" sqref="F26"/>
    </sheetView>
  </sheetViews>
  <sheetFormatPr defaultColWidth="9" defaultRowHeight="18.75" customHeight="1"/>
  <cols>
    <col min="1" max="1" width="2.5" style="6" customWidth="1"/>
    <col min="2" max="2" width="12.5" style="6" customWidth="1"/>
    <col min="3" max="8" width="6.25" style="6" customWidth="1"/>
    <col min="9" max="9" width="2.5" style="6" customWidth="1"/>
    <col min="10" max="10" width="10" style="6" customWidth="1"/>
    <col min="11" max="11" width="2.5" style="6" customWidth="1"/>
    <col min="12" max="12" width="7.5" style="6" customWidth="1"/>
    <col min="13" max="13" width="2.5" style="6" customWidth="1"/>
    <col min="14" max="14" width="7.5" style="6" customWidth="1"/>
    <col min="15" max="16384" width="9" style="6"/>
  </cols>
  <sheetData>
    <row r="1" spans="1:14" ht="22.5" customHeight="1">
      <c r="M1" s="107" t="s">
        <v>0</v>
      </c>
      <c r="N1" s="107"/>
    </row>
    <row r="2" spans="1:14" ht="22.5" customHeight="1">
      <c r="A2" s="112" t="s">
        <v>1</v>
      </c>
      <c r="B2" s="112"/>
      <c r="C2" s="112"/>
      <c r="D2" s="112"/>
      <c r="E2" s="112"/>
      <c r="F2" s="112"/>
      <c r="G2" s="112"/>
      <c r="H2" s="112"/>
      <c r="I2" s="112"/>
      <c r="J2" s="112"/>
      <c r="K2" s="112"/>
      <c r="L2" s="112"/>
      <c r="M2" s="112"/>
      <c r="N2" s="112"/>
    </row>
    <row r="3" spans="1:14" ht="22.5" customHeight="1"/>
    <row r="4" spans="1:14" ht="22.5" customHeight="1">
      <c r="A4" s="6" t="s">
        <v>2</v>
      </c>
      <c r="B4" s="8" t="s">
        <v>3</v>
      </c>
      <c r="C4" s="94" t="s">
        <v>4</v>
      </c>
      <c r="D4" s="95"/>
      <c r="E4" s="95"/>
      <c r="F4" s="95"/>
      <c r="G4" s="95"/>
      <c r="H4" s="95"/>
      <c r="I4" s="95"/>
      <c r="J4" s="95"/>
      <c r="K4" s="95"/>
      <c r="L4" s="95"/>
      <c r="M4" s="95"/>
      <c r="N4" s="96"/>
    </row>
    <row r="5" spans="1:14" ht="7.5" customHeight="1">
      <c r="B5" s="8"/>
      <c r="C5" s="8"/>
      <c r="D5" s="8"/>
      <c r="E5" s="9"/>
      <c r="F5" s="83"/>
      <c r="G5" s="83"/>
      <c r="H5" s="83"/>
      <c r="I5" s="83"/>
      <c r="J5" s="83"/>
      <c r="K5" s="83"/>
      <c r="L5" s="83"/>
      <c r="M5" s="83"/>
      <c r="N5" s="83"/>
    </row>
    <row r="6" spans="1:14" ht="22.5" customHeight="1">
      <c r="A6" s="6" t="s">
        <v>5</v>
      </c>
      <c r="B6" s="8" t="s">
        <v>6</v>
      </c>
      <c r="C6" s="8"/>
      <c r="D6" s="94" t="s">
        <v>7</v>
      </c>
      <c r="E6" s="95"/>
      <c r="F6" s="95"/>
      <c r="G6" s="95"/>
      <c r="H6" s="95"/>
      <c r="I6" s="95"/>
      <c r="J6" s="95"/>
      <c r="K6" s="95"/>
      <c r="L6" s="95"/>
      <c r="M6" s="95"/>
      <c r="N6" s="96"/>
    </row>
    <row r="7" spans="1:14" ht="7.5" customHeight="1">
      <c r="B7" s="8"/>
      <c r="C7" s="8"/>
      <c r="D7" s="8"/>
      <c r="E7" s="9"/>
      <c r="F7" s="83"/>
      <c r="G7" s="83"/>
      <c r="H7" s="83"/>
      <c r="I7" s="83"/>
      <c r="J7" s="83"/>
      <c r="K7" s="83"/>
      <c r="L7" s="83"/>
      <c r="M7" s="83"/>
      <c r="N7" s="83"/>
    </row>
    <row r="8" spans="1:14" ht="22.5" customHeight="1">
      <c r="A8" s="10" t="s">
        <v>8</v>
      </c>
      <c r="B8" s="11" t="s">
        <v>9</v>
      </c>
      <c r="C8" s="94" t="s">
        <v>10</v>
      </c>
      <c r="D8" s="95"/>
      <c r="E8" s="96"/>
      <c r="F8" s="83"/>
      <c r="G8" s="111"/>
      <c r="H8" s="111"/>
      <c r="I8" s="111"/>
      <c r="J8" s="83"/>
      <c r="K8" s="83"/>
      <c r="L8" s="83"/>
      <c r="M8" s="83"/>
      <c r="N8" s="83"/>
    </row>
    <row r="9" spans="1:14" ht="7.5" customHeight="1">
      <c r="B9" s="8"/>
      <c r="C9" s="8"/>
      <c r="D9" s="8"/>
      <c r="E9" s="9"/>
      <c r="F9" s="83"/>
      <c r="G9" s="83"/>
      <c r="H9" s="83"/>
      <c r="I9" s="83"/>
      <c r="J9" s="83"/>
      <c r="K9" s="83"/>
      <c r="L9" s="83"/>
      <c r="M9" s="83"/>
      <c r="N9" s="83"/>
    </row>
    <row r="10" spans="1:14" ht="22.5" customHeight="1">
      <c r="A10" s="6" t="s">
        <v>11</v>
      </c>
      <c r="B10" s="8" t="s">
        <v>12</v>
      </c>
      <c r="C10" s="94" t="s">
        <v>13</v>
      </c>
      <c r="D10" s="95"/>
      <c r="E10" s="95"/>
      <c r="F10" s="95"/>
      <c r="G10" s="95"/>
      <c r="H10" s="95"/>
      <c r="I10" s="95"/>
      <c r="J10" s="95"/>
      <c r="K10" s="95"/>
      <c r="L10" s="95"/>
      <c r="M10" s="95"/>
      <c r="N10" s="96"/>
    </row>
    <row r="11" spans="1:14" ht="7.5" customHeight="1">
      <c r="B11" s="8"/>
      <c r="C11" s="8"/>
      <c r="D11" s="8"/>
      <c r="E11" s="9"/>
      <c r="F11" s="83"/>
      <c r="G11" s="83"/>
      <c r="H11" s="83"/>
      <c r="I11" s="83"/>
      <c r="J11" s="83"/>
      <c r="K11" s="83"/>
      <c r="L11" s="83"/>
      <c r="M11" s="83"/>
      <c r="N11" s="83"/>
    </row>
    <row r="12" spans="1:14" ht="22.5" customHeight="1">
      <c r="A12" s="6" t="s">
        <v>14</v>
      </c>
      <c r="B12" s="8" t="s">
        <v>15</v>
      </c>
      <c r="C12" s="8"/>
      <c r="D12" s="8"/>
      <c r="E12" s="83"/>
      <c r="F12" s="53"/>
      <c r="G12" s="113" t="s">
        <v>16</v>
      </c>
      <c r="H12" s="114"/>
      <c r="I12" s="114"/>
      <c r="J12" s="114"/>
      <c r="K12" s="114"/>
      <c r="L12" s="114"/>
      <c r="M12" s="114"/>
      <c r="N12" s="115"/>
    </row>
    <row r="13" spans="1:14" ht="7.5" customHeight="1">
      <c r="B13" s="9"/>
      <c r="C13" s="9"/>
      <c r="D13" s="9"/>
      <c r="E13" s="9"/>
      <c r="F13" s="83"/>
      <c r="G13" s="83"/>
      <c r="H13" s="83"/>
      <c r="I13" s="83"/>
      <c r="J13" s="83"/>
      <c r="K13" s="83"/>
      <c r="L13" s="83"/>
      <c r="M13" s="83"/>
      <c r="N13" s="83"/>
    </row>
    <row r="14" spans="1:14" ht="22.5" customHeight="1">
      <c r="A14" s="6" t="s">
        <v>17</v>
      </c>
      <c r="B14" s="9" t="s">
        <v>18</v>
      </c>
      <c r="C14" s="9"/>
      <c r="D14" s="9"/>
      <c r="E14" s="9"/>
      <c r="F14" s="94" t="s">
        <v>19</v>
      </c>
      <c r="G14" s="95"/>
      <c r="H14" s="96"/>
      <c r="I14" s="83"/>
      <c r="J14" s="83"/>
      <c r="K14" s="83"/>
      <c r="L14" s="83"/>
      <c r="M14" s="83"/>
      <c r="N14" s="83"/>
    </row>
    <row r="15" spans="1:14" ht="7.5" customHeight="1">
      <c r="B15" s="9"/>
      <c r="C15" s="9"/>
      <c r="D15" s="9"/>
      <c r="E15" s="9"/>
      <c r="F15" s="83"/>
      <c r="G15" s="83"/>
      <c r="H15" s="83"/>
      <c r="I15" s="83"/>
      <c r="J15" s="83"/>
      <c r="K15" s="83"/>
      <c r="L15" s="83"/>
      <c r="M15" s="83"/>
      <c r="N15" s="83"/>
    </row>
    <row r="16" spans="1:14" ht="22.5" customHeight="1">
      <c r="A16" s="6" t="s">
        <v>20</v>
      </c>
      <c r="B16" s="6" t="s">
        <v>21</v>
      </c>
      <c r="C16" s="108" t="s">
        <v>22</v>
      </c>
      <c r="D16" s="109"/>
      <c r="E16" s="92">
        <v>3223</v>
      </c>
      <c r="F16" s="93"/>
      <c r="G16" s="12" t="s">
        <v>23</v>
      </c>
      <c r="I16" s="108" t="s">
        <v>24</v>
      </c>
      <c r="J16" s="109"/>
      <c r="K16" s="92">
        <v>650</v>
      </c>
      <c r="L16" s="110"/>
      <c r="M16" s="93"/>
      <c r="N16" s="13" t="s">
        <v>23</v>
      </c>
    </row>
    <row r="17" spans="1:15" ht="7.5" customHeight="1">
      <c r="F17" s="14"/>
      <c r="G17" s="14"/>
      <c r="H17" s="14"/>
      <c r="I17" s="14"/>
      <c r="J17" s="14"/>
      <c r="K17" s="14"/>
      <c r="L17" s="14"/>
      <c r="M17" s="13"/>
      <c r="N17" s="13"/>
    </row>
    <row r="18" spans="1:15" ht="22.5" customHeight="1">
      <c r="A18" s="6" t="s">
        <v>25</v>
      </c>
      <c r="B18" s="6" t="s">
        <v>26</v>
      </c>
      <c r="F18" s="14"/>
      <c r="G18" s="14"/>
      <c r="H18" s="14"/>
      <c r="I18" s="14"/>
      <c r="J18" s="14"/>
      <c r="K18" s="104">
        <v>82</v>
      </c>
      <c r="L18" s="105"/>
      <c r="M18" s="106"/>
      <c r="N18" s="13" t="s">
        <v>23</v>
      </c>
    </row>
    <row r="19" spans="1:15" ht="7.5" customHeight="1">
      <c r="F19" s="14"/>
      <c r="G19" s="14"/>
      <c r="H19" s="14"/>
      <c r="I19" s="14"/>
      <c r="J19" s="14"/>
      <c r="K19" s="14"/>
      <c r="L19" s="14"/>
      <c r="M19" s="13"/>
      <c r="N19" s="13"/>
    </row>
    <row r="20" spans="1:15" ht="22.5" customHeight="1">
      <c r="A20" s="6" t="s">
        <v>27</v>
      </c>
      <c r="B20" s="6" t="s">
        <v>28</v>
      </c>
      <c r="E20" s="92">
        <v>2377</v>
      </c>
      <c r="F20" s="93"/>
      <c r="G20" s="15" t="s">
        <v>29</v>
      </c>
      <c r="H20" s="14"/>
      <c r="K20" s="91"/>
      <c r="L20" s="91"/>
      <c r="M20" s="91"/>
      <c r="N20" s="91"/>
    </row>
    <row r="21" spans="1:15" ht="7.5" customHeight="1">
      <c r="E21" s="4"/>
      <c r="F21" s="14"/>
      <c r="G21" s="14"/>
      <c r="L21" s="77"/>
      <c r="M21" s="77"/>
      <c r="N21" s="16"/>
    </row>
    <row r="22" spans="1:15" ht="22.5" customHeight="1">
      <c r="A22" s="6" t="s">
        <v>30</v>
      </c>
      <c r="B22" s="6" t="s">
        <v>31</v>
      </c>
      <c r="E22" s="4"/>
      <c r="F22" s="14"/>
      <c r="G22" s="14"/>
      <c r="H22" s="6" t="s">
        <v>32</v>
      </c>
      <c r="J22" s="98">
        <v>10731</v>
      </c>
      <c r="K22" s="99"/>
      <c r="L22" s="100"/>
      <c r="M22" s="77" t="s">
        <v>23</v>
      </c>
      <c r="N22" s="16"/>
    </row>
    <row r="23" spans="1:15" ht="7.5" customHeight="1">
      <c r="E23" s="4"/>
      <c r="F23" s="14"/>
      <c r="G23" s="14"/>
      <c r="L23" s="77"/>
      <c r="M23" s="77"/>
      <c r="N23" s="16"/>
    </row>
    <row r="24" spans="1:15" ht="22.5" customHeight="1">
      <c r="B24" s="82" t="s">
        <v>33</v>
      </c>
      <c r="C24" s="92">
        <v>2453</v>
      </c>
      <c r="D24" s="93"/>
      <c r="E24" s="4" t="s">
        <v>23</v>
      </c>
      <c r="F24" s="14"/>
      <c r="G24" s="97" t="s">
        <v>34</v>
      </c>
      <c r="H24" s="97"/>
      <c r="I24" s="92">
        <v>2506</v>
      </c>
      <c r="J24" s="93"/>
      <c r="K24" s="10" t="s">
        <v>23</v>
      </c>
      <c r="M24" s="77"/>
      <c r="N24" s="16"/>
      <c r="O24" s="7"/>
    </row>
    <row r="25" spans="1:15" ht="7.5" customHeight="1">
      <c r="B25" s="82"/>
      <c r="C25" s="5"/>
      <c r="D25" s="5"/>
      <c r="E25" s="4"/>
      <c r="F25" s="14"/>
      <c r="G25" s="77"/>
      <c r="H25" s="77"/>
      <c r="I25" s="5"/>
      <c r="J25" s="5"/>
      <c r="K25" s="10"/>
      <c r="M25" s="77"/>
      <c r="N25" s="16"/>
      <c r="O25" s="7"/>
    </row>
    <row r="26" spans="1:15" ht="22.5" customHeight="1">
      <c r="B26" s="82" t="s">
        <v>35</v>
      </c>
      <c r="C26" s="92">
        <v>2519</v>
      </c>
      <c r="D26" s="93"/>
      <c r="E26" s="4" t="s">
        <v>23</v>
      </c>
      <c r="F26" s="14"/>
      <c r="G26" s="97" t="s">
        <v>36</v>
      </c>
      <c r="H26" s="97"/>
      <c r="I26" s="92">
        <v>2843</v>
      </c>
      <c r="J26" s="93"/>
      <c r="K26" s="10" t="s">
        <v>23</v>
      </c>
      <c r="M26" s="77"/>
      <c r="N26" s="16"/>
    </row>
    <row r="27" spans="1:15" ht="7.5" customHeight="1">
      <c r="B27" s="82"/>
      <c r="C27" s="5"/>
      <c r="D27" s="5"/>
      <c r="E27" s="4"/>
      <c r="F27" s="14"/>
      <c r="G27" s="77"/>
      <c r="H27" s="77"/>
      <c r="I27" s="5"/>
      <c r="J27" s="5"/>
      <c r="K27" s="10"/>
      <c r="M27" s="77"/>
      <c r="N27" s="16"/>
    </row>
    <row r="28" spans="1:15" ht="22.5" customHeight="1">
      <c r="B28" s="82" t="s">
        <v>37</v>
      </c>
      <c r="C28" s="92">
        <v>212</v>
      </c>
      <c r="D28" s="93"/>
      <c r="E28" s="4" t="s">
        <v>23</v>
      </c>
      <c r="F28" s="14"/>
      <c r="G28" s="97" t="s">
        <v>38</v>
      </c>
      <c r="H28" s="97"/>
      <c r="I28" s="92">
        <v>198</v>
      </c>
      <c r="J28" s="93"/>
      <c r="K28" s="10" t="s">
        <v>23</v>
      </c>
      <c r="M28" s="77"/>
      <c r="N28" s="16"/>
    </row>
    <row r="29" spans="1:15" ht="7.5" customHeight="1">
      <c r="F29" s="14"/>
      <c r="G29" s="14"/>
      <c r="M29" s="17"/>
      <c r="N29" s="17"/>
    </row>
    <row r="30" spans="1:15" ht="22.5" customHeight="1">
      <c r="A30" s="6" t="s">
        <v>39</v>
      </c>
      <c r="B30" s="8" t="s">
        <v>40</v>
      </c>
      <c r="C30" s="8"/>
      <c r="D30" s="8"/>
      <c r="E30" s="8"/>
      <c r="F30" s="10"/>
      <c r="G30" s="83"/>
      <c r="H30" s="83"/>
      <c r="I30" s="83"/>
      <c r="J30" s="19"/>
      <c r="K30" s="19"/>
      <c r="L30" s="19"/>
      <c r="M30" s="19"/>
      <c r="N30" s="19"/>
    </row>
    <row r="31" spans="1:15" s="7" customFormat="1" ht="22.5" customHeight="1">
      <c r="B31" s="101" t="s">
        <v>41</v>
      </c>
      <c r="C31" s="101"/>
      <c r="D31" s="94" t="s">
        <v>42</v>
      </c>
      <c r="E31" s="95"/>
      <c r="F31" s="95"/>
      <c r="G31" s="102" t="s">
        <v>43</v>
      </c>
      <c r="H31" s="101"/>
      <c r="I31" s="103"/>
      <c r="J31" s="94" t="s">
        <v>44</v>
      </c>
      <c r="K31" s="95"/>
      <c r="L31" s="95"/>
      <c r="M31" s="95"/>
      <c r="N31" s="96"/>
    </row>
    <row r="32" spans="1:15" ht="7.5" customHeight="1">
      <c r="F32" s="14"/>
      <c r="G32" s="14"/>
      <c r="M32" s="17"/>
      <c r="N32" s="17"/>
    </row>
    <row r="33" spans="1:14" ht="22.5" customHeight="1">
      <c r="A33" s="6" t="s">
        <v>45</v>
      </c>
      <c r="B33" s="8" t="s">
        <v>46</v>
      </c>
      <c r="C33" s="8"/>
      <c r="D33" s="8"/>
      <c r="E33" s="8"/>
      <c r="F33" s="10"/>
      <c r="G33" s="19"/>
      <c r="H33" s="19"/>
      <c r="I33" s="19"/>
      <c r="J33" s="19"/>
      <c r="K33" s="19"/>
      <c r="L33" s="19"/>
      <c r="M33" s="19"/>
      <c r="N33" s="19"/>
    </row>
    <row r="34" spans="1:14" ht="22.5" customHeight="1">
      <c r="B34" s="94" t="s">
        <v>47</v>
      </c>
      <c r="C34" s="95"/>
      <c r="D34" s="95"/>
      <c r="E34" s="95"/>
      <c r="F34" s="95"/>
      <c r="G34" s="95"/>
      <c r="H34" s="95"/>
      <c r="I34" s="95"/>
      <c r="J34" s="95"/>
      <c r="K34" s="95"/>
      <c r="L34" s="95"/>
      <c r="M34" s="95"/>
      <c r="N34" s="96"/>
    </row>
    <row r="35" spans="1:14" ht="7.5" customHeight="1">
      <c r="B35" s="81"/>
      <c r="C35" s="81"/>
      <c r="D35" s="81"/>
      <c r="E35" s="81"/>
      <c r="F35" s="81"/>
      <c r="G35" s="81"/>
      <c r="H35" s="81"/>
      <c r="I35" s="81"/>
      <c r="J35" s="81"/>
      <c r="K35" s="81"/>
      <c r="L35" s="81"/>
      <c r="M35" s="81"/>
      <c r="N35" s="81"/>
    </row>
    <row r="36" spans="1:14" s="7" customFormat="1" ht="22.5" customHeight="1">
      <c r="B36" s="101" t="s">
        <v>41</v>
      </c>
      <c r="C36" s="101"/>
      <c r="D36" s="94" t="s">
        <v>48</v>
      </c>
      <c r="E36" s="95"/>
      <c r="F36" s="95"/>
      <c r="G36" s="102" t="s">
        <v>43</v>
      </c>
      <c r="H36" s="101"/>
      <c r="I36" s="103"/>
      <c r="J36" s="94" t="s">
        <v>49</v>
      </c>
      <c r="K36" s="95"/>
      <c r="L36" s="95"/>
      <c r="M36" s="95"/>
      <c r="N36" s="96"/>
    </row>
    <row r="37" spans="1:14" ht="7.5" customHeight="1">
      <c r="F37" s="83"/>
      <c r="G37" s="83"/>
      <c r="H37" s="83"/>
      <c r="I37" s="83"/>
      <c r="J37" s="83"/>
      <c r="K37" s="83"/>
      <c r="L37" s="83"/>
      <c r="M37" s="83"/>
      <c r="N37" s="83"/>
    </row>
    <row r="38" spans="1:14" ht="22.5" customHeight="1">
      <c r="A38" s="6" t="s">
        <v>50</v>
      </c>
      <c r="B38" s="6" t="s">
        <v>51</v>
      </c>
      <c r="M38" s="17"/>
      <c r="N38" s="17"/>
    </row>
    <row r="39" spans="1:14" ht="22.5" customHeight="1">
      <c r="B39" s="94" t="s">
        <v>47</v>
      </c>
      <c r="C39" s="95"/>
      <c r="D39" s="95"/>
      <c r="E39" s="95"/>
      <c r="F39" s="95"/>
      <c r="G39" s="95"/>
      <c r="H39" s="95"/>
      <c r="I39" s="95"/>
      <c r="J39" s="95"/>
      <c r="K39" s="95"/>
      <c r="L39" s="95"/>
      <c r="M39" s="95"/>
      <c r="N39" s="96"/>
    </row>
    <row r="40" spans="1:14" ht="7.5" customHeight="1">
      <c r="F40" s="83"/>
      <c r="G40" s="83"/>
      <c r="H40" s="83"/>
      <c r="I40" s="83"/>
      <c r="J40" s="83"/>
      <c r="K40" s="83"/>
      <c r="L40" s="83"/>
      <c r="M40" s="83"/>
      <c r="N40" s="83"/>
    </row>
    <row r="41" spans="1:14" s="7" customFormat="1" ht="22.5" customHeight="1">
      <c r="B41" s="101" t="s">
        <v>41</v>
      </c>
      <c r="C41" s="101"/>
      <c r="D41" s="94" t="s">
        <v>48</v>
      </c>
      <c r="E41" s="95"/>
      <c r="F41" s="95"/>
      <c r="G41" s="102" t="s">
        <v>43</v>
      </c>
      <c r="H41" s="101"/>
      <c r="I41" s="103"/>
      <c r="J41" s="94" t="s">
        <v>49</v>
      </c>
      <c r="K41" s="95"/>
      <c r="L41" s="95"/>
      <c r="M41" s="95"/>
      <c r="N41" s="96"/>
    </row>
    <row r="42" spans="1:14" ht="7.5" customHeight="1">
      <c r="F42" s="83"/>
      <c r="G42" s="83"/>
      <c r="H42" s="83"/>
      <c r="I42" s="83"/>
      <c r="J42" s="83"/>
      <c r="K42" s="83"/>
      <c r="L42" s="83"/>
      <c r="M42" s="83"/>
      <c r="N42" s="83"/>
    </row>
    <row r="43" spans="1:14" ht="22.5" customHeight="1">
      <c r="A43" s="6" t="s">
        <v>52</v>
      </c>
      <c r="B43" s="54" t="s">
        <v>53</v>
      </c>
      <c r="E43" s="53"/>
      <c r="F43" s="94" t="s">
        <v>54</v>
      </c>
      <c r="G43" s="95"/>
      <c r="H43" s="95"/>
      <c r="I43" s="95"/>
      <c r="J43" s="95"/>
      <c r="K43" s="95"/>
      <c r="L43" s="95"/>
      <c r="M43" s="95"/>
      <c r="N43" s="96"/>
    </row>
    <row r="44" spans="1:14" ht="7.5" customHeight="1">
      <c r="F44" s="83"/>
      <c r="G44" s="83"/>
      <c r="H44" s="83"/>
      <c r="I44" s="83"/>
      <c r="J44" s="83"/>
      <c r="K44" s="83"/>
      <c r="L44" s="83"/>
      <c r="M44" s="83"/>
      <c r="N44" s="83"/>
    </row>
    <row r="45" spans="1:14" ht="22.5" customHeight="1">
      <c r="A45" s="6" t="s">
        <v>55</v>
      </c>
    </row>
    <row r="46" spans="1:14" ht="22.5" customHeight="1">
      <c r="B46" s="20" t="s">
        <v>56</v>
      </c>
      <c r="C46" s="113" t="s">
        <v>57</v>
      </c>
      <c r="D46" s="114"/>
      <c r="E46" s="114"/>
      <c r="F46" s="114"/>
      <c r="G46" s="114"/>
      <c r="H46" s="114"/>
      <c r="I46" s="21" t="s">
        <v>58</v>
      </c>
      <c r="J46" s="22"/>
      <c r="K46" s="94" t="s">
        <v>59</v>
      </c>
      <c r="L46" s="95"/>
      <c r="M46" s="95"/>
      <c r="N46" s="96"/>
    </row>
    <row r="47" spans="1:14" ht="22.5" customHeight="1">
      <c r="B47" s="20" t="s">
        <v>60</v>
      </c>
      <c r="C47" s="116" t="s">
        <v>61</v>
      </c>
      <c r="D47" s="117"/>
      <c r="E47" s="117"/>
      <c r="F47" s="117"/>
      <c r="G47" s="117"/>
      <c r="H47" s="118"/>
      <c r="I47" s="21" t="s">
        <v>62</v>
      </c>
      <c r="J47" s="22"/>
      <c r="K47" s="119" t="s">
        <v>63</v>
      </c>
      <c r="L47" s="120"/>
      <c r="M47" s="120"/>
      <c r="N47" s="121"/>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topLeftCell="A10" zoomScaleNormal="100" workbookViewId="0">
      <selection activeCell="N24" sqref="N24"/>
    </sheetView>
  </sheetViews>
  <sheetFormatPr defaultColWidth="9" defaultRowHeight="18.75" customHeight="1"/>
  <cols>
    <col min="1" max="2" width="2.5" style="6" customWidth="1"/>
    <col min="3" max="3" width="20" style="6" customWidth="1"/>
    <col min="4" max="4" width="8.75" style="6" customWidth="1"/>
    <col min="5" max="5" width="7.5" style="6" customWidth="1"/>
    <col min="6" max="6" width="2.5" style="6" customWidth="1"/>
    <col min="7" max="7" width="15" style="6" customWidth="1"/>
    <col min="8" max="8" width="12.5" style="6" customWidth="1"/>
    <col min="9" max="9" width="11.25" style="6" customWidth="1"/>
    <col min="10" max="16384" width="9" style="6"/>
  </cols>
  <sheetData>
    <row r="1" spans="1:9" ht="18.75" customHeight="1">
      <c r="I1" s="80" t="s">
        <v>64</v>
      </c>
    </row>
    <row r="2" spans="1:9" ht="18.75" customHeight="1">
      <c r="G2" s="18" t="s">
        <v>65</v>
      </c>
      <c r="H2" s="132" t="s">
        <v>4</v>
      </c>
      <c r="I2" s="132"/>
    </row>
    <row r="3" spans="1:9" ht="7.5" customHeight="1"/>
    <row r="4" spans="1:9" ht="18.75" customHeight="1">
      <c r="A4" s="112" t="s">
        <v>66</v>
      </c>
      <c r="B4" s="112"/>
      <c r="C4" s="112"/>
      <c r="D4" s="112"/>
      <c r="E4" s="112"/>
      <c r="F4" s="112"/>
      <c r="G4" s="112"/>
      <c r="H4" s="112"/>
      <c r="I4" s="112"/>
    </row>
    <row r="5" spans="1:9" ht="7.5" customHeight="1">
      <c r="C5" s="82"/>
      <c r="D5" s="82"/>
      <c r="E5" s="82"/>
      <c r="F5" s="82"/>
      <c r="G5" s="82"/>
      <c r="H5" s="82"/>
      <c r="I5" s="82"/>
    </row>
    <row r="6" spans="1:9" ht="18.75" customHeight="1">
      <c r="A6" s="6" t="s">
        <v>2</v>
      </c>
      <c r="B6" s="6" t="s">
        <v>67</v>
      </c>
      <c r="C6" s="82"/>
      <c r="D6" s="82"/>
      <c r="E6" s="98" t="s">
        <v>68</v>
      </c>
      <c r="F6" s="99"/>
      <c r="G6" s="99"/>
      <c r="H6" s="99"/>
      <c r="I6" s="100"/>
    </row>
    <row r="7" spans="1:9" ht="7.5" customHeight="1">
      <c r="C7" s="82"/>
      <c r="D7" s="82"/>
      <c r="F7" s="77"/>
      <c r="G7" s="77"/>
      <c r="H7" s="77"/>
      <c r="I7" s="77"/>
    </row>
    <row r="8" spans="1:9" ht="18.75" customHeight="1">
      <c r="A8" s="6" t="s">
        <v>5</v>
      </c>
      <c r="B8" s="6" t="s">
        <v>69</v>
      </c>
      <c r="C8" s="82"/>
      <c r="D8" s="82"/>
      <c r="E8" s="82"/>
      <c r="F8" s="82"/>
      <c r="G8" s="82"/>
      <c r="H8" s="82"/>
      <c r="I8" s="82"/>
    </row>
    <row r="9" spans="1:9" ht="18.75" customHeight="1">
      <c r="B9" s="122" t="s">
        <v>70</v>
      </c>
      <c r="C9" s="123"/>
      <c r="D9" s="123"/>
      <c r="E9" s="123"/>
      <c r="F9" s="123"/>
      <c r="G9" s="123"/>
      <c r="H9" s="123"/>
      <c r="I9" s="124"/>
    </row>
    <row r="10" spans="1:9" ht="18.75" customHeight="1">
      <c r="B10" s="125"/>
      <c r="C10" s="126"/>
      <c r="D10" s="126"/>
      <c r="E10" s="126"/>
      <c r="F10" s="126"/>
      <c r="G10" s="126"/>
      <c r="H10" s="126"/>
      <c r="I10" s="127"/>
    </row>
    <row r="11" spans="1:9" ht="18.75" customHeight="1">
      <c r="B11" s="125"/>
      <c r="C11" s="126"/>
      <c r="D11" s="126"/>
      <c r="E11" s="126"/>
      <c r="F11" s="126"/>
      <c r="G11" s="126"/>
      <c r="H11" s="126"/>
      <c r="I11" s="127"/>
    </row>
    <row r="12" spans="1:9" ht="18.75" customHeight="1">
      <c r="B12" s="125"/>
      <c r="C12" s="126"/>
      <c r="D12" s="126"/>
      <c r="E12" s="126"/>
      <c r="F12" s="126"/>
      <c r="G12" s="126"/>
      <c r="H12" s="126"/>
      <c r="I12" s="127"/>
    </row>
    <row r="13" spans="1:9" ht="18.75" customHeight="1">
      <c r="B13" s="125"/>
      <c r="C13" s="126"/>
      <c r="D13" s="126"/>
      <c r="E13" s="126"/>
      <c r="F13" s="126"/>
      <c r="G13" s="126"/>
      <c r="H13" s="126"/>
      <c r="I13" s="127"/>
    </row>
    <row r="14" spans="1:9" ht="18.75" customHeight="1">
      <c r="B14" s="125"/>
      <c r="C14" s="126"/>
      <c r="D14" s="126"/>
      <c r="E14" s="126"/>
      <c r="F14" s="126"/>
      <c r="G14" s="126"/>
      <c r="H14" s="126"/>
      <c r="I14" s="127"/>
    </row>
    <row r="15" spans="1:9" ht="18.75" customHeight="1">
      <c r="B15" s="125"/>
      <c r="C15" s="126"/>
      <c r="D15" s="126"/>
      <c r="E15" s="126"/>
      <c r="F15" s="126"/>
      <c r="G15" s="126"/>
      <c r="H15" s="126"/>
      <c r="I15" s="127"/>
    </row>
    <row r="16" spans="1:9" ht="18.75" customHeight="1">
      <c r="B16" s="128"/>
      <c r="C16" s="129"/>
      <c r="D16" s="129"/>
      <c r="E16" s="129"/>
      <c r="F16" s="129"/>
      <c r="G16" s="129"/>
      <c r="H16" s="129"/>
      <c r="I16" s="130"/>
    </row>
    <row r="17" spans="1:10" ht="7.5" customHeight="1">
      <c r="C17" s="82"/>
      <c r="D17" s="82"/>
      <c r="E17" s="82"/>
      <c r="F17" s="82"/>
      <c r="G17" s="82"/>
      <c r="H17" s="82"/>
      <c r="I17" s="82"/>
    </row>
    <row r="18" spans="1:10" ht="18.75" customHeight="1">
      <c r="A18" s="82" t="s">
        <v>8</v>
      </c>
      <c r="B18" s="8" t="s">
        <v>71</v>
      </c>
      <c r="C18" s="8"/>
      <c r="D18" s="8"/>
      <c r="E18" s="8"/>
      <c r="F18" s="82"/>
      <c r="G18" s="82"/>
      <c r="H18" s="82"/>
      <c r="I18" s="82"/>
      <c r="J18" s="82"/>
    </row>
    <row r="19" spans="1:10" ht="18.75" customHeight="1">
      <c r="A19" s="133" t="s">
        <v>71</v>
      </c>
      <c r="B19" s="133"/>
      <c r="C19" s="133"/>
      <c r="D19" s="133"/>
      <c r="E19" s="133"/>
      <c r="F19" s="134" t="s">
        <v>71</v>
      </c>
      <c r="G19" s="134"/>
      <c r="H19" s="134"/>
      <c r="I19" s="134"/>
    </row>
    <row r="20" spans="1:10" ht="18.75" customHeight="1">
      <c r="A20" s="27">
        <v>1</v>
      </c>
      <c r="B20" s="113" t="s">
        <v>72</v>
      </c>
      <c r="C20" s="114"/>
      <c r="D20" s="114"/>
      <c r="E20" s="115"/>
      <c r="F20" s="27">
        <v>26</v>
      </c>
      <c r="G20" s="113"/>
      <c r="H20" s="114"/>
      <c r="I20" s="131"/>
    </row>
    <row r="21" spans="1:10" ht="18.75" customHeight="1">
      <c r="A21" s="27">
        <v>2</v>
      </c>
      <c r="B21" s="113" t="s">
        <v>73</v>
      </c>
      <c r="C21" s="114"/>
      <c r="D21" s="114"/>
      <c r="E21" s="115"/>
      <c r="F21" s="27">
        <v>27</v>
      </c>
      <c r="G21" s="113"/>
      <c r="H21" s="114"/>
      <c r="I21" s="115"/>
    </row>
    <row r="22" spans="1:10" ht="18.75" customHeight="1">
      <c r="A22" s="27">
        <v>3</v>
      </c>
      <c r="B22" s="113" t="s">
        <v>74</v>
      </c>
      <c r="C22" s="114"/>
      <c r="D22" s="114"/>
      <c r="E22" s="115"/>
      <c r="F22" s="27">
        <v>28</v>
      </c>
      <c r="G22" s="113"/>
      <c r="H22" s="114"/>
      <c r="I22" s="115"/>
    </row>
    <row r="23" spans="1:10" ht="18.75" customHeight="1">
      <c r="A23" s="27">
        <v>4</v>
      </c>
      <c r="B23" s="113" t="s">
        <v>75</v>
      </c>
      <c r="C23" s="114"/>
      <c r="D23" s="114"/>
      <c r="E23" s="115"/>
      <c r="F23" s="27">
        <v>29</v>
      </c>
      <c r="G23" s="113"/>
      <c r="H23" s="114"/>
      <c r="I23" s="115"/>
    </row>
    <row r="24" spans="1:10" ht="18.75" customHeight="1">
      <c r="A24" s="27">
        <v>5</v>
      </c>
      <c r="B24" s="113" t="s">
        <v>76</v>
      </c>
      <c r="C24" s="114"/>
      <c r="D24" s="114"/>
      <c r="E24" s="115"/>
      <c r="F24" s="27">
        <v>30</v>
      </c>
      <c r="G24" s="113"/>
      <c r="H24" s="114"/>
      <c r="I24" s="115"/>
    </row>
    <row r="25" spans="1:10" ht="18.75" customHeight="1">
      <c r="A25" s="27">
        <v>6</v>
      </c>
      <c r="B25" s="113" t="s">
        <v>77</v>
      </c>
      <c r="C25" s="114"/>
      <c r="D25" s="114"/>
      <c r="E25" s="115"/>
      <c r="F25" s="27">
        <v>31</v>
      </c>
      <c r="G25" s="113"/>
      <c r="H25" s="114"/>
      <c r="I25" s="115"/>
    </row>
    <row r="26" spans="1:10" ht="18.75" customHeight="1">
      <c r="A26" s="27">
        <v>7</v>
      </c>
      <c r="B26" s="113" t="s">
        <v>78</v>
      </c>
      <c r="C26" s="114"/>
      <c r="D26" s="114"/>
      <c r="E26" s="115"/>
      <c r="F26" s="27">
        <v>32</v>
      </c>
      <c r="G26" s="113"/>
      <c r="H26" s="114"/>
      <c r="I26" s="115"/>
    </row>
    <row r="27" spans="1:10" ht="18.75" customHeight="1">
      <c r="A27" s="27">
        <v>8</v>
      </c>
      <c r="B27" s="113" t="s">
        <v>79</v>
      </c>
      <c r="C27" s="114"/>
      <c r="D27" s="114"/>
      <c r="E27" s="115"/>
      <c r="F27" s="27">
        <v>33</v>
      </c>
      <c r="G27" s="113"/>
      <c r="H27" s="114"/>
      <c r="I27" s="115"/>
    </row>
    <row r="28" spans="1:10" ht="18.75" customHeight="1">
      <c r="A28" s="27">
        <v>9</v>
      </c>
      <c r="B28" s="113" t="s">
        <v>80</v>
      </c>
      <c r="C28" s="114"/>
      <c r="D28" s="114"/>
      <c r="E28" s="115"/>
      <c r="F28" s="27">
        <v>34</v>
      </c>
      <c r="G28" s="113"/>
      <c r="H28" s="114"/>
      <c r="I28" s="115"/>
    </row>
    <row r="29" spans="1:10" ht="18.75" customHeight="1">
      <c r="A29" s="27">
        <v>10</v>
      </c>
      <c r="B29" s="113" t="s">
        <v>81</v>
      </c>
      <c r="C29" s="114"/>
      <c r="D29" s="114"/>
      <c r="E29" s="115"/>
      <c r="F29" s="27">
        <v>35</v>
      </c>
      <c r="G29" s="113"/>
      <c r="H29" s="114"/>
      <c r="I29" s="115"/>
    </row>
    <row r="30" spans="1:10" ht="18.75" customHeight="1">
      <c r="A30" s="27">
        <v>11</v>
      </c>
      <c r="B30" s="113" t="s">
        <v>82</v>
      </c>
      <c r="C30" s="114"/>
      <c r="D30" s="114"/>
      <c r="E30" s="115"/>
      <c r="F30" s="27">
        <v>36</v>
      </c>
      <c r="G30" s="113"/>
      <c r="H30" s="114"/>
      <c r="I30" s="115"/>
    </row>
    <row r="31" spans="1:10" ht="18.75" customHeight="1">
      <c r="A31" s="27">
        <v>12</v>
      </c>
      <c r="B31" s="113" t="s">
        <v>83</v>
      </c>
      <c r="C31" s="114"/>
      <c r="D31" s="114"/>
      <c r="E31" s="115"/>
      <c r="F31" s="27">
        <v>37</v>
      </c>
      <c r="G31" s="113"/>
      <c r="H31" s="114"/>
      <c r="I31" s="115"/>
    </row>
    <row r="32" spans="1:10" ht="18.75" customHeight="1">
      <c r="A32" s="27">
        <v>13</v>
      </c>
      <c r="B32" s="113" t="s">
        <v>84</v>
      </c>
      <c r="C32" s="114"/>
      <c r="D32" s="114"/>
      <c r="E32" s="115"/>
      <c r="F32" s="27">
        <v>38</v>
      </c>
      <c r="G32" s="113"/>
      <c r="H32" s="114"/>
      <c r="I32" s="115"/>
    </row>
    <row r="33" spans="1:9" ht="18.75" customHeight="1">
      <c r="A33" s="27">
        <v>14</v>
      </c>
      <c r="B33" s="113" t="s">
        <v>85</v>
      </c>
      <c r="C33" s="114"/>
      <c r="D33" s="114"/>
      <c r="E33" s="115"/>
      <c r="F33" s="27">
        <v>39</v>
      </c>
      <c r="G33" s="113"/>
      <c r="H33" s="114"/>
      <c r="I33" s="115"/>
    </row>
    <row r="34" spans="1:9" ht="18.75" customHeight="1">
      <c r="A34" s="27">
        <v>15</v>
      </c>
      <c r="B34" s="113" t="s">
        <v>86</v>
      </c>
      <c r="C34" s="114"/>
      <c r="D34" s="114"/>
      <c r="E34" s="115"/>
      <c r="F34" s="27">
        <v>40</v>
      </c>
      <c r="G34" s="113"/>
      <c r="H34" s="114"/>
      <c r="I34" s="115"/>
    </row>
    <row r="35" spans="1:9" ht="18.75" customHeight="1">
      <c r="A35" s="27">
        <v>16</v>
      </c>
      <c r="B35" s="113" t="s">
        <v>87</v>
      </c>
      <c r="C35" s="114"/>
      <c r="D35" s="114"/>
      <c r="E35" s="115"/>
      <c r="F35" s="27">
        <v>41</v>
      </c>
      <c r="G35" s="113"/>
      <c r="H35" s="114"/>
      <c r="I35" s="115"/>
    </row>
    <row r="36" spans="1:9" ht="18.75" customHeight="1">
      <c r="A36" s="27">
        <v>17</v>
      </c>
      <c r="B36" s="113" t="s">
        <v>88</v>
      </c>
      <c r="C36" s="114"/>
      <c r="D36" s="114"/>
      <c r="E36" s="115"/>
      <c r="F36" s="27">
        <v>42</v>
      </c>
      <c r="G36" s="113"/>
      <c r="H36" s="114"/>
      <c r="I36" s="115"/>
    </row>
    <row r="37" spans="1:9" ht="18.75" customHeight="1">
      <c r="A37" s="27">
        <v>18</v>
      </c>
      <c r="B37" s="113" t="s">
        <v>89</v>
      </c>
      <c r="C37" s="114"/>
      <c r="D37" s="114"/>
      <c r="E37" s="115"/>
      <c r="F37" s="27">
        <v>43</v>
      </c>
      <c r="G37" s="113"/>
      <c r="H37" s="114"/>
      <c r="I37" s="115"/>
    </row>
    <row r="38" spans="1:9" ht="18.75" customHeight="1">
      <c r="A38" s="27">
        <v>19</v>
      </c>
      <c r="B38" s="113" t="s">
        <v>90</v>
      </c>
      <c r="C38" s="114"/>
      <c r="D38" s="114"/>
      <c r="E38" s="115"/>
      <c r="F38" s="27">
        <v>44</v>
      </c>
      <c r="G38" s="113"/>
      <c r="H38" s="114"/>
      <c r="I38" s="115"/>
    </row>
    <row r="39" spans="1:9" ht="18.75" customHeight="1">
      <c r="A39" s="27">
        <v>20</v>
      </c>
      <c r="B39" s="113"/>
      <c r="C39" s="114"/>
      <c r="D39" s="114"/>
      <c r="E39" s="115"/>
      <c r="F39" s="27">
        <v>45</v>
      </c>
      <c r="G39" s="113"/>
      <c r="H39" s="114"/>
      <c r="I39" s="115"/>
    </row>
    <row r="40" spans="1:9" ht="18.75" customHeight="1">
      <c r="A40" s="27">
        <v>21</v>
      </c>
      <c r="B40" s="113"/>
      <c r="C40" s="114"/>
      <c r="D40" s="114"/>
      <c r="E40" s="115"/>
      <c r="F40" s="27">
        <v>46</v>
      </c>
      <c r="G40" s="113"/>
      <c r="H40" s="114"/>
      <c r="I40" s="115"/>
    </row>
    <row r="41" spans="1:9" ht="18.75" customHeight="1">
      <c r="A41" s="27">
        <v>22</v>
      </c>
      <c r="B41" s="113"/>
      <c r="C41" s="114"/>
      <c r="D41" s="114"/>
      <c r="E41" s="115"/>
      <c r="F41" s="27">
        <v>47</v>
      </c>
      <c r="G41" s="113"/>
      <c r="H41" s="114"/>
      <c r="I41" s="115"/>
    </row>
    <row r="42" spans="1:9" ht="18.75" customHeight="1">
      <c r="A42" s="27">
        <v>23</v>
      </c>
      <c r="B42" s="113"/>
      <c r="C42" s="114"/>
      <c r="D42" s="114"/>
      <c r="E42" s="115"/>
      <c r="F42" s="27">
        <v>48</v>
      </c>
      <c r="G42" s="113"/>
      <c r="H42" s="114"/>
      <c r="I42" s="115"/>
    </row>
    <row r="43" spans="1:9" ht="18.75" customHeight="1">
      <c r="A43" s="27">
        <v>24</v>
      </c>
      <c r="B43" s="113"/>
      <c r="C43" s="114"/>
      <c r="D43" s="114"/>
      <c r="E43" s="115"/>
      <c r="F43" s="27">
        <v>49</v>
      </c>
      <c r="G43" s="113"/>
      <c r="H43" s="114"/>
      <c r="I43" s="115"/>
    </row>
    <row r="44" spans="1:9" ht="18.75" customHeight="1">
      <c r="A44" s="27">
        <v>25</v>
      </c>
      <c r="B44" s="113"/>
      <c r="C44" s="114"/>
      <c r="D44" s="114"/>
      <c r="E44" s="115"/>
      <c r="F44" s="27">
        <v>50</v>
      </c>
      <c r="G44" s="113"/>
      <c r="H44" s="114"/>
      <c r="I44" s="115"/>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topLeftCell="A7" workbookViewId="0">
      <selection activeCell="N24" sqref="N24"/>
    </sheetView>
  </sheetViews>
  <sheetFormatPr defaultRowHeight="18.75" customHeight="1"/>
  <cols>
    <col min="1" max="1" width="2.5" style="1" customWidth="1"/>
    <col min="2" max="2" width="12.5" style="1" customWidth="1"/>
    <col min="3" max="3" width="21" style="1" customWidth="1"/>
    <col min="4" max="18" width="6.25" style="1" customWidth="1"/>
    <col min="19" max="16384" width="9" style="1"/>
  </cols>
  <sheetData>
    <row r="1" spans="1:20" ht="18.75" customHeight="1">
      <c r="F1" s="147" t="s">
        <v>91</v>
      </c>
      <c r="G1" s="147"/>
      <c r="H1" s="147"/>
      <c r="I1" s="147"/>
      <c r="J1" s="147"/>
      <c r="K1" s="147"/>
      <c r="L1" s="147"/>
      <c r="M1" s="147"/>
      <c r="N1" s="147"/>
      <c r="O1" s="147"/>
      <c r="P1" s="147"/>
      <c r="Q1" s="147"/>
      <c r="R1" s="147"/>
    </row>
    <row r="2" spans="1:20" ht="18.75" customHeight="1">
      <c r="D2" s="28"/>
      <c r="E2" s="28"/>
      <c r="F2" s="28"/>
      <c r="G2" s="28"/>
      <c r="H2" s="28"/>
      <c r="I2" s="28"/>
      <c r="J2" s="28"/>
      <c r="K2" s="147" t="s">
        <v>92</v>
      </c>
      <c r="L2" s="147"/>
      <c r="M2" s="2" t="s">
        <v>4</v>
      </c>
      <c r="N2" s="28"/>
      <c r="O2" s="28"/>
      <c r="P2" s="28"/>
      <c r="Q2" s="28"/>
      <c r="R2" s="28"/>
    </row>
    <row r="3" spans="1:20" ht="7.5" customHeight="1"/>
    <row r="4" spans="1:20" ht="18.75" customHeight="1">
      <c r="A4" s="157" t="s">
        <v>93</v>
      </c>
      <c r="B4" s="157"/>
      <c r="C4" s="157"/>
      <c r="D4" s="157"/>
      <c r="E4" s="157"/>
      <c r="F4" s="157"/>
      <c r="G4" s="157"/>
      <c r="H4" s="157"/>
      <c r="I4" s="157"/>
      <c r="J4" s="157"/>
      <c r="K4" s="157"/>
      <c r="L4" s="157"/>
      <c r="M4" s="157"/>
      <c r="N4" s="157"/>
      <c r="O4" s="157"/>
      <c r="P4" s="157"/>
      <c r="Q4" s="157"/>
      <c r="R4" s="157"/>
      <c r="S4" s="2"/>
    </row>
    <row r="5" spans="1:20" ht="7.5" customHeight="1">
      <c r="A5" s="86"/>
      <c r="B5" s="86"/>
      <c r="C5" s="86"/>
      <c r="D5" s="86"/>
      <c r="E5" s="86"/>
      <c r="F5" s="86"/>
      <c r="G5" s="86"/>
      <c r="H5" s="86"/>
      <c r="I5" s="86"/>
      <c r="J5" s="86"/>
      <c r="K5" s="86"/>
      <c r="L5" s="86"/>
      <c r="M5" s="86"/>
      <c r="N5" s="86"/>
      <c r="O5" s="86"/>
      <c r="P5" s="86"/>
      <c r="Q5" s="86"/>
      <c r="R5" s="86"/>
    </row>
    <row r="6" spans="1:20" ht="18.75" customHeight="1">
      <c r="B6" s="141" t="s">
        <v>94</v>
      </c>
      <c r="C6" s="142"/>
      <c r="D6" s="148" t="s">
        <v>95</v>
      </c>
      <c r="E6" s="150" t="s">
        <v>96</v>
      </c>
      <c r="F6" s="150"/>
      <c r="G6" s="150" t="s">
        <v>97</v>
      </c>
      <c r="H6" s="150"/>
      <c r="I6" s="151" t="s">
        <v>98</v>
      </c>
      <c r="J6" s="152"/>
      <c r="K6" s="151" t="s">
        <v>99</v>
      </c>
      <c r="L6" s="152"/>
      <c r="M6" s="151" t="s">
        <v>100</v>
      </c>
      <c r="N6" s="152"/>
      <c r="O6" s="151" t="s">
        <v>101</v>
      </c>
      <c r="P6" s="152"/>
      <c r="Q6" s="153" t="s">
        <v>102</v>
      </c>
      <c r="R6" s="155" t="s">
        <v>103</v>
      </c>
      <c r="T6" s="29"/>
    </row>
    <row r="7" spans="1:20" ht="18.75" customHeight="1">
      <c r="B7" s="143"/>
      <c r="C7" s="144"/>
      <c r="D7" s="149"/>
      <c r="E7" s="23" t="s">
        <v>104</v>
      </c>
      <c r="F7" s="25" t="s">
        <v>105</v>
      </c>
      <c r="G7" s="26" t="s">
        <v>104</v>
      </c>
      <c r="H7" s="24" t="s">
        <v>105</v>
      </c>
      <c r="I7" s="23" t="s">
        <v>104</v>
      </c>
      <c r="J7" s="25" t="s">
        <v>105</v>
      </c>
      <c r="K7" s="26" t="s">
        <v>104</v>
      </c>
      <c r="L7" s="24" t="s">
        <v>105</v>
      </c>
      <c r="M7" s="23" t="s">
        <v>104</v>
      </c>
      <c r="N7" s="25" t="s">
        <v>105</v>
      </c>
      <c r="O7" s="26" t="s">
        <v>104</v>
      </c>
      <c r="P7" s="24" t="s">
        <v>105</v>
      </c>
      <c r="Q7" s="154"/>
      <c r="R7" s="156"/>
      <c r="T7" s="29"/>
    </row>
    <row r="8" spans="1:20" ht="18.75" customHeight="1">
      <c r="A8" s="30"/>
      <c r="B8" s="137" t="s">
        <v>106</v>
      </c>
      <c r="C8" s="138"/>
      <c r="D8" s="31">
        <v>840</v>
      </c>
      <c r="E8" s="32">
        <v>216</v>
      </c>
      <c r="F8" s="33">
        <v>207</v>
      </c>
      <c r="G8" s="34">
        <v>0</v>
      </c>
      <c r="H8" s="35">
        <v>0</v>
      </c>
      <c r="I8" s="32">
        <v>0</v>
      </c>
      <c r="J8" s="33">
        <v>0</v>
      </c>
      <c r="K8" s="34">
        <v>0</v>
      </c>
      <c r="L8" s="35">
        <v>0</v>
      </c>
      <c r="M8" s="32">
        <v>0</v>
      </c>
      <c r="N8" s="33">
        <v>0</v>
      </c>
      <c r="O8" s="34">
        <v>0</v>
      </c>
      <c r="P8" s="35">
        <v>0</v>
      </c>
      <c r="Q8" s="36">
        <f>E8+G8+I8+K8+M8+O8</f>
        <v>216</v>
      </c>
      <c r="R8" s="37">
        <f>Q8/D8</f>
        <v>0.25714285714285712</v>
      </c>
    </row>
    <row r="9" spans="1:20" ht="18.75" customHeight="1">
      <c r="A9" s="30"/>
      <c r="B9" s="135" t="s">
        <v>107</v>
      </c>
      <c r="C9" s="136"/>
      <c r="D9" s="87">
        <v>280</v>
      </c>
      <c r="E9" s="38">
        <v>69</v>
      </c>
      <c r="F9" s="39">
        <v>64</v>
      </c>
      <c r="G9" s="40">
        <v>0</v>
      </c>
      <c r="H9" s="41">
        <v>0</v>
      </c>
      <c r="I9" s="38">
        <v>0</v>
      </c>
      <c r="J9" s="39">
        <v>0</v>
      </c>
      <c r="K9" s="40">
        <v>0</v>
      </c>
      <c r="L9" s="41">
        <v>0</v>
      </c>
      <c r="M9" s="38">
        <v>0</v>
      </c>
      <c r="N9" s="39">
        <v>0</v>
      </c>
      <c r="O9" s="40">
        <v>0</v>
      </c>
      <c r="P9" s="41">
        <v>0</v>
      </c>
      <c r="Q9" s="42">
        <f t="shared" ref="Q9:Q27" si="0">E9+G9+I9+K9+M9+O9</f>
        <v>69</v>
      </c>
      <c r="R9" s="37">
        <f t="shared" ref="R9:R27" si="1">Q9/D9</f>
        <v>0.24642857142857144</v>
      </c>
    </row>
    <row r="10" spans="1:20" ht="18.75" customHeight="1">
      <c r="A10" s="30"/>
      <c r="B10" s="135" t="s">
        <v>108</v>
      </c>
      <c r="C10" s="136"/>
      <c r="D10" s="87">
        <v>640</v>
      </c>
      <c r="E10" s="38">
        <v>168</v>
      </c>
      <c r="F10" s="39">
        <v>163</v>
      </c>
      <c r="G10" s="40">
        <v>0</v>
      </c>
      <c r="H10" s="41">
        <v>0</v>
      </c>
      <c r="I10" s="38">
        <v>0</v>
      </c>
      <c r="J10" s="39">
        <v>0</v>
      </c>
      <c r="K10" s="40">
        <v>0</v>
      </c>
      <c r="L10" s="41">
        <v>0</v>
      </c>
      <c r="M10" s="38">
        <v>0</v>
      </c>
      <c r="N10" s="39">
        <v>0</v>
      </c>
      <c r="O10" s="40">
        <v>0</v>
      </c>
      <c r="P10" s="41">
        <v>0</v>
      </c>
      <c r="Q10" s="42">
        <f t="shared" si="0"/>
        <v>168</v>
      </c>
      <c r="R10" s="37">
        <f t="shared" si="1"/>
        <v>0.26250000000000001</v>
      </c>
    </row>
    <row r="11" spans="1:20" ht="18.75" customHeight="1">
      <c r="A11" s="30"/>
      <c r="B11" s="135" t="s">
        <v>109</v>
      </c>
      <c r="C11" s="136"/>
      <c r="D11" s="87">
        <v>1080</v>
      </c>
      <c r="E11" s="38">
        <v>269</v>
      </c>
      <c r="F11" s="39">
        <v>251</v>
      </c>
      <c r="G11" s="40">
        <v>0</v>
      </c>
      <c r="H11" s="41">
        <v>0</v>
      </c>
      <c r="I11" s="38">
        <v>0</v>
      </c>
      <c r="J11" s="39">
        <v>0</v>
      </c>
      <c r="K11" s="40">
        <v>0</v>
      </c>
      <c r="L11" s="41">
        <v>0</v>
      </c>
      <c r="M11" s="38">
        <v>0</v>
      </c>
      <c r="N11" s="39">
        <v>0</v>
      </c>
      <c r="O11" s="40">
        <v>0</v>
      </c>
      <c r="P11" s="41">
        <v>0</v>
      </c>
      <c r="Q11" s="42">
        <f t="shared" si="0"/>
        <v>269</v>
      </c>
      <c r="R11" s="37">
        <f t="shared" si="1"/>
        <v>0.24907407407407409</v>
      </c>
    </row>
    <row r="12" spans="1:20" ht="18.75" customHeight="1">
      <c r="A12" s="30"/>
      <c r="B12" s="135" t="s">
        <v>110</v>
      </c>
      <c r="C12" s="136"/>
      <c r="D12" s="87">
        <v>1296</v>
      </c>
      <c r="E12" s="38">
        <v>323</v>
      </c>
      <c r="F12" s="39">
        <v>311</v>
      </c>
      <c r="G12" s="40">
        <v>0</v>
      </c>
      <c r="H12" s="41">
        <v>0</v>
      </c>
      <c r="I12" s="38">
        <v>0</v>
      </c>
      <c r="J12" s="39">
        <v>0</v>
      </c>
      <c r="K12" s="40">
        <v>0</v>
      </c>
      <c r="L12" s="41">
        <v>0</v>
      </c>
      <c r="M12" s="38">
        <v>0</v>
      </c>
      <c r="N12" s="39">
        <v>0</v>
      </c>
      <c r="O12" s="40">
        <v>0</v>
      </c>
      <c r="P12" s="41">
        <v>0</v>
      </c>
      <c r="Q12" s="42">
        <f t="shared" si="0"/>
        <v>323</v>
      </c>
      <c r="R12" s="37">
        <f t="shared" si="1"/>
        <v>0.24922839506172839</v>
      </c>
    </row>
    <row r="13" spans="1:20" ht="18.75" customHeight="1">
      <c r="A13" s="30"/>
      <c r="B13" s="135" t="s">
        <v>111</v>
      </c>
      <c r="C13" s="136"/>
      <c r="D13" s="87">
        <v>1367</v>
      </c>
      <c r="E13" s="38">
        <v>260</v>
      </c>
      <c r="F13" s="39">
        <v>260</v>
      </c>
      <c r="G13" s="40">
        <v>0</v>
      </c>
      <c r="H13" s="41">
        <v>0</v>
      </c>
      <c r="I13" s="38">
        <v>0</v>
      </c>
      <c r="J13" s="39">
        <v>0</v>
      </c>
      <c r="K13" s="40">
        <v>0</v>
      </c>
      <c r="L13" s="41">
        <v>0</v>
      </c>
      <c r="M13" s="38">
        <v>0</v>
      </c>
      <c r="N13" s="39">
        <v>0</v>
      </c>
      <c r="O13" s="40">
        <v>0</v>
      </c>
      <c r="P13" s="41">
        <v>0</v>
      </c>
      <c r="Q13" s="42">
        <f t="shared" si="0"/>
        <v>260</v>
      </c>
      <c r="R13" s="37">
        <f t="shared" si="1"/>
        <v>0.19019751280175567</v>
      </c>
    </row>
    <row r="14" spans="1:20" ht="18.75" customHeight="1">
      <c r="A14" s="30"/>
      <c r="B14" s="135" t="s">
        <v>112</v>
      </c>
      <c r="C14" s="136"/>
      <c r="D14" s="87">
        <v>318</v>
      </c>
      <c r="E14" s="38">
        <v>52</v>
      </c>
      <c r="F14" s="39">
        <v>50</v>
      </c>
      <c r="G14" s="40">
        <v>0</v>
      </c>
      <c r="H14" s="41">
        <v>0</v>
      </c>
      <c r="I14" s="38">
        <v>0</v>
      </c>
      <c r="J14" s="39">
        <v>0</v>
      </c>
      <c r="K14" s="40">
        <v>0</v>
      </c>
      <c r="L14" s="41">
        <v>0</v>
      </c>
      <c r="M14" s="38">
        <v>0</v>
      </c>
      <c r="N14" s="39">
        <v>0</v>
      </c>
      <c r="O14" s="40">
        <v>0</v>
      </c>
      <c r="P14" s="41">
        <v>0</v>
      </c>
      <c r="Q14" s="42">
        <f t="shared" si="0"/>
        <v>52</v>
      </c>
      <c r="R14" s="37">
        <f t="shared" si="1"/>
        <v>0.16352201257861634</v>
      </c>
    </row>
    <row r="15" spans="1:20" ht="18.75" customHeight="1">
      <c r="A15" s="30"/>
      <c r="B15" s="135" t="s">
        <v>113</v>
      </c>
      <c r="C15" s="136"/>
      <c r="D15" s="87">
        <v>360</v>
      </c>
      <c r="E15" s="38">
        <v>85</v>
      </c>
      <c r="F15" s="39">
        <v>84</v>
      </c>
      <c r="G15" s="40">
        <v>0</v>
      </c>
      <c r="H15" s="41">
        <v>0</v>
      </c>
      <c r="I15" s="38">
        <v>0</v>
      </c>
      <c r="J15" s="39">
        <v>0</v>
      </c>
      <c r="K15" s="40">
        <v>0</v>
      </c>
      <c r="L15" s="41">
        <v>0</v>
      </c>
      <c r="M15" s="38">
        <v>0</v>
      </c>
      <c r="N15" s="39">
        <v>0</v>
      </c>
      <c r="O15" s="40">
        <v>0</v>
      </c>
      <c r="P15" s="41">
        <v>0</v>
      </c>
      <c r="Q15" s="42">
        <f t="shared" si="0"/>
        <v>85</v>
      </c>
      <c r="R15" s="37">
        <f t="shared" si="1"/>
        <v>0.2361111111111111</v>
      </c>
    </row>
    <row r="16" spans="1:20" ht="18.75" customHeight="1">
      <c r="A16" s="30"/>
      <c r="B16" s="135" t="s">
        <v>114</v>
      </c>
      <c r="C16" s="136"/>
      <c r="D16" s="87">
        <v>3240</v>
      </c>
      <c r="E16" s="38">
        <v>813</v>
      </c>
      <c r="F16" s="39">
        <v>786</v>
      </c>
      <c r="G16" s="40">
        <v>0</v>
      </c>
      <c r="H16" s="41">
        <v>0</v>
      </c>
      <c r="I16" s="38">
        <v>0</v>
      </c>
      <c r="J16" s="39">
        <v>0</v>
      </c>
      <c r="K16" s="40">
        <v>0</v>
      </c>
      <c r="L16" s="41">
        <v>0</v>
      </c>
      <c r="M16" s="38">
        <v>0</v>
      </c>
      <c r="N16" s="39">
        <v>0</v>
      </c>
      <c r="O16" s="40">
        <v>0</v>
      </c>
      <c r="P16" s="41">
        <v>0</v>
      </c>
      <c r="Q16" s="42">
        <f>E16+G16+I16+K16+M16+O16</f>
        <v>813</v>
      </c>
      <c r="R16" s="37">
        <f t="shared" si="1"/>
        <v>0.25092592592592594</v>
      </c>
    </row>
    <row r="17" spans="1:18" ht="18.75" customHeight="1">
      <c r="A17" s="30"/>
      <c r="B17" s="135" t="s">
        <v>115</v>
      </c>
      <c r="C17" s="136"/>
      <c r="D17" s="87">
        <v>600</v>
      </c>
      <c r="E17" s="38">
        <v>157</v>
      </c>
      <c r="F17" s="39">
        <v>151</v>
      </c>
      <c r="G17" s="40">
        <v>0</v>
      </c>
      <c r="H17" s="41">
        <v>0</v>
      </c>
      <c r="I17" s="38">
        <v>0</v>
      </c>
      <c r="J17" s="39">
        <v>0</v>
      </c>
      <c r="K17" s="40">
        <v>0</v>
      </c>
      <c r="L17" s="41">
        <v>0</v>
      </c>
      <c r="M17" s="38">
        <v>0</v>
      </c>
      <c r="N17" s="39">
        <v>0</v>
      </c>
      <c r="O17" s="40">
        <v>0</v>
      </c>
      <c r="P17" s="41">
        <v>0</v>
      </c>
      <c r="Q17" s="42">
        <f t="shared" si="0"/>
        <v>157</v>
      </c>
      <c r="R17" s="37">
        <f t="shared" si="1"/>
        <v>0.26166666666666666</v>
      </c>
    </row>
    <row r="18" spans="1:18" ht="18.75" customHeight="1">
      <c r="A18" s="30"/>
      <c r="B18" s="135"/>
      <c r="C18" s="136"/>
      <c r="D18" s="87"/>
      <c r="E18" s="38"/>
      <c r="F18" s="39"/>
      <c r="G18" s="40"/>
      <c r="H18" s="41"/>
      <c r="I18" s="38"/>
      <c r="J18" s="39"/>
      <c r="K18" s="40"/>
      <c r="L18" s="41"/>
      <c r="M18" s="38"/>
      <c r="N18" s="39"/>
      <c r="O18" s="40"/>
      <c r="P18" s="41"/>
      <c r="Q18" s="42">
        <f t="shared" si="0"/>
        <v>0</v>
      </c>
      <c r="R18" s="37" t="e">
        <f t="shared" si="1"/>
        <v>#DIV/0!</v>
      </c>
    </row>
    <row r="19" spans="1:18" ht="18.75" customHeight="1">
      <c r="A19" s="30"/>
      <c r="B19" s="135"/>
      <c r="C19" s="136"/>
      <c r="D19" s="87"/>
      <c r="E19" s="38"/>
      <c r="F19" s="39"/>
      <c r="G19" s="40"/>
      <c r="H19" s="41"/>
      <c r="I19" s="38"/>
      <c r="J19" s="39"/>
      <c r="K19" s="40"/>
      <c r="L19" s="41"/>
      <c r="M19" s="38"/>
      <c r="N19" s="39"/>
      <c r="O19" s="40"/>
      <c r="P19" s="41"/>
      <c r="Q19" s="42">
        <f t="shared" si="0"/>
        <v>0</v>
      </c>
      <c r="R19" s="37" t="e">
        <f t="shared" si="1"/>
        <v>#DIV/0!</v>
      </c>
    </row>
    <row r="20" spans="1:18" ht="18.75" customHeight="1">
      <c r="A20" s="30"/>
      <c r="B20" s="135"/>
      <c r="C20" s="136"/>
      <c r="D20" s="87"/>
      <c r="E20" s="38"/>
      <c r="F20" s="39"/>
      <c r="G20" s="40"/>
      <c r="H20" s="41"/>
      <c r="I20" s="76"/>
      <c r="J20" s="39"/>
      <c r="K20" s="40"/>
      <c r="L20" s="41"/>
      <c r="M20" s="38"/>
      <c r="N20" s="39"/>
      <c r="O20" s="40"/>
      <c r="P20" s="41"/>
      <c r="Q20" s="42">
        <f t="shared" si="0"/>
        <v>0</v>
      </c>
      <c r="R20" s="37" t="e">
        <f t="shared" si="1"/>
        <v>#DIV/0!</v>
      </c>
    </row>
    <row r="21" spans="1:18" ht="18.75" customHeight="1">
      <c r="A21" s="30"/>
      <c r="B21" s="135"/>
      <c r="C21" s="136"/>
      <c r="D21" s="87"/>
      <c r="E21" s="38"/>
      <c r="F21" s="39"/>
      <c r="G21" s="40"/>
      <c r="H21" s="41"/>
      <c r="I21" s="38"/>
      <c r="J21" s="39"/>
      <c r="K21" s="40"/>
      <c r="L21" s="41"/>
      <c r="M21" s="38"/>
      <c r="N21" s="39"/>
      <c r="O21" s="40"/>
      <c r="P21" s="41"/>
      <c r="Q21" s="42">
        <f t="shared" si="0"/>
        <v>0</v>
      </c>
      <c r="R21" s="37" t="e">
        <f t="shared" si="1"/>
        <v>#DIV/0!</v>
      </c>
    </row>
    <row r="22" spans="1:18" ht="18.75" customHeight="1">
      <c r="A22" s="30"/>
      <c r="B22" s="135"/>
      <c r="C22" s="136"/>
      <c r="D22" s="87"/>
      <c r="E22" s="38"/>
      <c r="F22" s="39"/>
      <c r="G22" s="40"/>
      <c r="H22" s="41"/>
      <c r="I22" s="38"/>
      <c r="J22" s="39"/>
      <c r="K22" s="40"/>
      <c r="L22" s="41"/>
      <c r="M22" s="38"/>
      <c r="N22" s="39"/>
      <c r="O22" s="40"/>
      <c r="P22" s="41"/>
      <c r="Q22" s="42">
        <f t="shared" si="0"/>
        <v>0</v>
      </c>
      <c r="R22" s="37" t="e">
        <f t="shared" si="1"/>
        <v>#DIV/0!</v>
      </c>
    </row>
    <row r="23" spans="1:18" ht="18.75" customHeight="1">
      <c r="A23" s="30"/>
      <c r="B23" s="135"/>
      <c r="C23" s="136"/>
      <c r="D23" s="87"/>
      <c r="E23" s="38"/>
      <c r="F23" s="39"/>
      <c r="G23" s="40"/>
      <c r="H23" s="41"/>
      <c r="I23" s="38"/>
      <c r="J23" s="39"/>
      <c r="K23" s="40"/>
      <c r="L23" s="41"/>
      <c r="M23" s="38"/>
      <c r="N23" s="39"/>
      <c r="O23" s="40"/>
      <c r="P23" s="41"/>
      <c r="Q23" s="42">
        <f t="shared" si="0"/>
        <v>0</v>
      </c>
      <c r="R23" s="37" t="e">
        <f t="shared" si="1"/>
        <v>#DIV/0!</v>
      </c>
    </row>
    <row r="24" spans="1:18" ht="18.75" customHeight="1">
      <c r="A24" s="30"/>
      <c r="B24" s="135"/>
      <c r="C24" s="136"/>
      <c r="D24" s="87"/>
      <c r="E24" s="38"/>
      <c r="F24" s="39"/>
      <c r="G24" s="40"/>
      <c r="H24" s="41"/>
      <c r="I24" s="38"/>
      <c r="J24" s="39"/>
      <c r="K24" s="40"/>
      <c r="L24" s="41"/>
      <c r="M24" s="38"/>
      <c r="N24" s="39"/>
      <c r="O24" s="40"/>
      <c r="P24" s="41"/>
      <c r="Q24" s="42">
        <f t="shared" si="0"/>
        <v>0</v>
      </c>
      <c r="R24" s="37" t="e">
        <f t="shared" si="1"/>
        <v>#DIV/0!</v>
      </c>
    </row>
    <row r="25" spans="1:18" ht="18.75" customHeight="1">
      <c r="A25" s="30"/>
      <c r="B25" s="135"/>
      <c r="C25" s="136"/>
      <c r="D25" s="87"/>
      <c r="E25" s="38"/>
      <c r="F25" s="39"/>
      <c r="G25" s="40"/>
      <c r="H25" s="41"/>
      <c r="I25" s="38"/>
      <c r="J25" s="39"/>
      <c r="K25" s="40"/>
      <c r="L25" s="41"/>
      <c r="M25" s="38"/>
      <c r="N25" s="39"/>
      <c r="O25" s="40"/>
      <c r="P25" s="41"/>
      <c r="Q25" s="42">
        <f t="shared" si="0"/>
        <v>0</v>
      </c>
      <c r="R25" s="37" t="e">
        <f t="shared" si="1"/>
        <v>#DIV/0!</v>
      </c>
    </row>
    <row r="26" spans="1:18" ht="18.75" customHeight="1">
      <c r="A26" s="30"/>
      <c r="B26" s="135"/>
      <c r="C26" s="136"/>
      <c r="D26" s="87"/>
      <c r="E26" s="38"/>
      <c r="F26" s="39"/>
      <c r="G26" s="40"/>
      <c r="H26" s="41"/>
      <c r="I26" s="38"/>
      <c r="J26" s="39"/>
      <c r="K26" s="40"/>
      <c r="L26" s="41"/>
      <c r="M26" s="38"/>
      <c r="N26" s="39"/>
      <c r="O26" s="40"/>
      <c r="P26" s="41"/>
      <c r="Q26" s="42">
        <f t="shared" si="0"/>
        <v>0</v>
      </c>
      <c r="R26" s="37" t="e">
        <f t="shared" si="1"/>
        <v>#DIV/0!</v>
      </c>
    </row>
    <row r="27" spans="1:18" ht="18.75" customHeight="1" thickBot="1">
      <c r="A27" s="30"/>
      <c r="B27" s="145"/>
      <c r="C27" s="146"/>
      <c r="D27" s="31"/>
      <c r="E27" s="32"/>
      <c r="F27" s="33"/>
      <c r="G27" s="34"/>
      <c r="H27" s="35"/>
      <c r="I27" s="32"/>
      <c r="J27" s="33"/>
      <c r="K27" s="34"/>
      <c r="L27" s="35"/>
      <c r="M27" s="32"/>
      <c r="N27" s="33"/>
      <c r="O27" s="34"/>
      <c r="P27" s="35"/>
      <c r="Q27" s="43">
        <f t="shared" si="0"/>
        <v>0</v>
      </c>
      <c r="R27" s="37" t="e">
        <f t="shared" si="1"/>
        <v>#DIV/0!</v>
      </c>
    </row>
    <row r="28" spans="1:18" ht="18.75" customHeight="1" thickTop="1">
      <c r="A28" s="30"/>
      <c r="B28" s="139" t="s">
        <v>116</v>
      </c>
      <c r="C28" s="140"/>
      <c r="D28" s="44">
        <f t="shared" ref="D28:Q28" si="2">SUM(D8:D27)</f>
        <v>10021</v>
      </c>
      <c r="E28" s="45">
        <f t="shared" si="2"/>
        <v>2412</v>
      </c>
      <c r="F28" s="46">
        <f t="shared" si="2"/>
        <v>2327</v>
      </c>
      <c r="G28" s="47">
        <f t="shared" si="2"/>
        <v>0</v>
      </c>
      <c r="H28" s="48">
        <f t="shared" si="2"/>
        <v>0</v>
      </c>
      <c r="I28" s="45">
        <f t="shared" si="2"/>
        <v>0</v>
      </c>
      <c r="J28" s="46">
        <f t="shared" si="2"/>
        <v>0</v>
      </c>
      <c r="K28" s="47">
        <f t="shared" si="2"/>
        <v>0</v>
      </c>
      <c r="L28" s="48">
        <f t="shared" si="2"/>
        <v>0</v>
      </c>
      <c r="M28" s="45">
        <f t="shared" si="2"/>
        <v>0</v>
      </c>
      <c r="N28" s="46">
        <f t="shared" si="2"/>
        <v>0</v>
      </c>
      <c r="O28" s="47">
        <f t="shared" si="2"/>
        <v>0</v>
      </c>
      <c r="P28" s="48">
        <f t="shared" si="2"/>
        <v>0</v>
      </c>
      <c r="Q28" s="49">
        <f t="shared" si="2"/>
        <v>2412</v>
      </c>
      <c r="R28" s="50">
        <f>Q28/D28</f>
        <v>0.24069454146292785</v>
      </c>
    </row>
    <row r="29" spans="1:18" ht="6.75" customHeight="1">
      <c r="A29" s="30"/>
      <c r="B29" s="30"/>
      <c r="C29" s="30"/>
      <c r="D29" s="51"/>
      <c r="E29" s="51"/>
      <c r="F29" s="51"/>
      <c r="G29" s="51"/>
      <c r="H29" s="51"/>
      <c r="I29" s="51"/>
      <c r="J29" s="51"/>
      <c r="K29" s="51"/>
      <c r="L29" s="51"/>
      <c r="M29" s="51"/>
      <c r="N29" s="51"/>
      <c r="O29" s="51"/>
      <c r="P29" s="51"/>
      <c r="Q29" s="51"/>
      <c r="R29" s="51"/>
    </row>
  </sheetData>
  <mergeCells count="34">
    <mergeCell ref="F1:R1"/>
    <mergeCell ref="K2:L2"/>
    <mergeCell ref="D6:D7"/>
    <mergeCell ref="E6:F6"/>
    <mergeCell ref="G6:H6"/>
    <mergeCell ref="I6:J6"/>
    <mergeCell ref="K6:L6"/>
    <mergeCell ref="M6:N6"/>
    <mergeCell ref="O6:P6"/>
    <mergeCell ref="Q6:Q7"/>
    <mergeCell ref="R6:R7"/>
    <mergeCell ref="A4:R4"/>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50"/>
  <sheetViews>
    <sheetView workbookViewId="0">
      <selection activeCell="I8" sqref="I8"/>
    </sheetView>
  </sheetViews>
  <sheetFormatPr defaultRowHeight="14.25"/>
  <cols>
    <col min="1" max="1" width="2.5" style="6" customWidth="1"/>
    <col min="2" max="2" width="19" style="6" customWidth="1"/>
    <col min="3" max="3" width="25" style="6" customWidth="1"/>
    <col min="4" max="4" width="10" style="6" customWidth="1"/>
    <col min="5" max="7" width="25" style="6" customWidth="1"/>
    <col min="8" max="16384" width="9" style="6"/>
  </cols>
  <sheetData>
    <row r="1" spans="1:7" ht="18.75" customHeight="1">
      <c r="G1" s="80" t="s">
        <v>117</v>
      </c>
    </row>
    <row r="2" spans="1:7" ht="18.75" customHeight="1">
      <c r="F2" s="80" t="s">
        <v>65</v>
      </c>
      <c r="G2" s="6" t="s">
        <v>4</v>
      </c>
    </row>
    <row r="3" spans="1:7" ht="18.75" customHeight="1">
      <c r="A3" s="112" t="s">
        <v>118</v>
      </c>
      <c r="B3" s="112"/>
      <c r="C3" s="112"/>
      <c r="D3" s="112"/>
      <c r="E3" s="112"/>
      <c r="F3" s="112"/>
      <c r="G3" s="112"/>
    </row>
    <row r="4" spans="1:7" ht="18.75" customHeight="1">
      <c r="A4" s="6" t="s">
        <v>2</v>
      </c>
      <c r="B4" s="6" t="s">
        <v>119</v>
      </c>
    </row>
    <row r="5" spans="1:7" s="52" customFormat="1" ht="18.75" customHeight="1">
      <c r="A5" s="82"/>
      <c r="B5" s="79" t="s">
        <v>120</v>
      </c>
      <c r="C5" s="104" t="s">
        <v>121</v>
      </c>
      <c r="D5" s="105"/>
      <c r="E5" s="105"/>
      <c r="F5" s="105"/>
      <c r="G5" s="106"/>
    </row>
    <row r="6" spans="1:7" s="52" customFormat="1" ht="45" customHeight="1">
      <c r="A6" s="82"/>
      <c r="B6" s="164" t="s">
        <v>122</v>
      </c>
      <c r="C6" s="176" t="s">
        <v>123</v>
      </c>
      <c r="D6" s="177"/>
      <c r="E6" s="177"/>
      <c r="F6" s="177"/>
      <c r="G6" s="178"/>
    </row>
    <row r="7" spans="1:7" s="52" customFormat="1" ht="45" customHeight="1">
      <c r="A7" s="82"/>
      <c r="B7" s="165"/>
      <c r="C7" s="179"/>
      <c r="D7" s="180"/>
      <c r="E7" s="180"/>
      <c r="F7" s="180"/>
      <c r="G7" s="181"/>
    </row>
    <row r="8" spans="1:7" s="52" customFormat="1" ht="45" customHeight="1">
      <c r="A8" s="82"/>
      <c r="B8" s="165"/>
      <c r="C8" s="179"/>
      <c r="D8" s="180"/>
      <c r="E8" s="180"/>
      <c r="F8" s="180"/>
      <c r="G8" s="181"/>
    </row>
    <row r="9" spans="1:7" s="52" customFormat="1" ht="45" customHeight="1">
      <c r="A9" s="82"/>
      <c r="B9" s="165"/>
      <c r="C9" s="182"/>
      <c r="D9" s="183"/>
      <c r="E9" s="183"/>
      <c r="F9" s="183"/>
      <c r="G9" s="184"/>
    </row>
    <row r="10" spans="1:7" s="52" customFormat="1" ht="18.75" customHeight="1">
      <c r="A10" s="82"/>
      <c r="B10" s="165"/>
      <c r="C10" s="55" t="s">
        <v>124</v>
      </c>
      <c r="D10" s="158" t="s">
        <v>125</v>
      </c>
      <c r="E10" s="159"/>
      <c r="F10" s="159"/>
      <c r="G10" s="160"/>
    </row>
    <row r="11" spans="1:7" s="52" customFormat="1" ht="18.75" customHeight="1">
      <c r="A11" s="82"/>
      <c r="B11" s="165"/>
      <c r="C11" s="88" t="s">
        <v>72</v>
      </c>
      <c r="D11" s="161" t="s">
        <v>126</v>
      </c>
      <c r="E11" s="162"/>
      <c r="F11" s="162"/>
      <c r="G11" s="163"/>
    </row>
    <row r="12" spans="1:7" s="52" customFormat="1" ht="18.75" customHeight="1">
      <c r="A12" s="82"/>
      <c r="B12" s="165"/>
      <c r="C12" s="88" t="s">
        <v>73</v>
      </c>
      <c r="D12" s="161" t="s">
        <v>126</v>
      </c>
      <c r="E12" s="162"/>
      <c r="F12" s="162"/>
      <c r="G12" s="163"/>
    </row>
    <row r="13" spans="1:7" s="52" customFormat="1" ht="18.75" customHeight="1">
      <c r="A13" s="82"/>
      <c r="B13" s="165"/>
      <c r="C13" s="88" t="s">
        <v>77</v>
      </c>
      <c r="D13" s="161" t="s">
        <v>127</v>
      </c>
      <c r="E13" s="162"/>
      <c r="F13" s="162"/>
      <c r="G13" s="163"/>
    </row>
    <row r="14" spans="1:7" s="52" customFormat="1" ht="18.75" customHeight="1">
      <c r="A14" s="82"/>
      <c r="B14" s="165"/>
      <c r="C14" s="78"/>
      <c r="D14" s="94"/>
      <c r="E14" s="95"/>
      <c r="F14" s="95"/>
      <c r="G14" s="96"/>
    </row>
    <row r="15" spans="1:7" s="52" customFormat="1" ht="18.75" customHeight="1">
      <c r="A15" s="82"/>
      <c r="B15" s="165"/>
      <c r="C15" s="79"/>
      <c r="D15" s="98"/>
      <c r="E15" s="99"/>
      <c r="F15" s="99"/>
      <c r="G15" s="100"/>
    </row>
    <row r="16" spans="1:7" s="52" customFormat="1" ht="18.75" customHeight="1">
      <c r="A16" s="82"/>
      <c r="B16" s="165"/>
      <c r="C16" s="79"/>
      <c r="D16" s="98"/>
      <c r="E16" s="99"/>
      <c r="F16" s="99"/>
      <c r="G16" s="100"/>
    </row>
    <row r="17" spans="2:9" s="52" customFormat="1" ht="18.75" customHeight="1">
      <c r="B17" s="165"/>
      <c r="C17" s="79"/>
      <c r="D17" s="98"/>
      <c r="E17" s="99"/>
      <c r="F17" s="99"/>
      <c r="G17" s="100"/>
      <c r="H17" s="82"/>
      <c r="I17" s="82"/>
    </row>
    <row r="18" spans="2:9" s="52" customFormat="1" ht="18.75" customHeight="1">
      <c r="B18" s="165"/>
      <c r="C18" s="79"/>
      <c r="D18" s="98"/>
      <c r="E18" s="99"/>
      <c r="F18" s="99"/>
      <c r="G18" s="100"/>
      <c r="H18" s="82"/>
      <c r="I18" s="82"/>
    </row>
    <row r="19" spans="2:9" s="52" customFormat="1" ht="18.75" customHeight="1">
      <c r="B19" s="165"/>
      <c r="C19" s="79"/>
      <c r="D19" s="98"/>
      <c r="E19" s="99"/>
      <c r="F19" s="99"/>
      <c r="G19" s="100"/>
      <c r="H19" s="82"/>
      <c r="I19" s="82"/>
    </row>
    <row r="20" spans="2:9" s="52" customFormat="1" ht="18.75" customHeight="1">
      <c r="B20" s="165"/>
      <c r="C20" s="79"/>
      <c r="D20" s="98"/>
      <c r="E20" s="99"/>
      <c r="F20" s="99"/>
      <c r="G20" s="100"/>
      <c r="H20" s="82"/>
      <c r="I20" s="75"/>
    </row>
    <row r="21" spans="2:9" s="52" customFormat="1" ht="18.75" customHeight="1">
      <c r="B21" s="165"/>
      <c r="C21" s="79"/>
      <c r="D21" s="98"/>
      <c r="E21" s="99"/>
      <c r="F21" s="99"/>
      <c r="G21" s="100"/>
      <c r="H21" s="82"/>
      <c r="I21" s="82"/>
    </row>
    <row r="22" spans="2:9" s="52" customFormat="1" ht="18.75" customHeight="1">
      <c r="B22" s="165"/>
      <c r="C22" s="79"/>
      <c r="D22" s="98"/>
      <c r="E22" s="99"/>
      <c r="F22" s="99"/>
      <c r="G22" s="100"/>
      <c r="H22" s="82"/>
      <c r="I22" s="82"/>
    </row>
    <row r="23" spans="2:9" s="52" customFormat="1" ht="18.75" customHeight="1">
      <c r="B23" s="165"/>
      <c r="C23" s="79"/>
      <c r="D23" s="98"/>
      <c r="E23" s="99"/>
      <c r="F23" s="99"/>
      <c r="G23" s="100"/>
      <c r="H23" s="82"/>
      <c r="I23" s="82"/>
    </row>
    <row r="24" spans="2:9" s="52" customFormat="1" ht="18.75" customHeight="1">
      <c r="B24" s="165"/>
      <c r="C24" s="79"/>
      <c r="D24" s="98"/>
      <c r="E24" s="99"/>
      <c r="F24" s="99"/>
      <c r="G24" s="100"/>
      <c r="H24" s="82"/>
      <c r="I24" s="82"/>
    </row>
    <row r="25" spans="2:9" s="52" customFormat="1" ht="18.75" customHeight="1">
      <c r="B25" s="166"/>
      <c r="C25" s="79"/>
      <c r="D25" s="98"/>
      <c r="E25" s="99"/>
      <c r="F25" s="99"/>
      <c r="G25" s="100"/>
      <c r="H25" s="82"/>
      <c r="I25" s="82"/>
    </row>
    <row r="26" spans="2:9" ht="18.75" customHeight="1">
      <c r="B26" s="164" t="s">
        <v>128</v>
      </c>
      <c r="C26" s="104" t="s">
        <v>121</v>
      </c>
      <c r="D26" s="105"/>
      <c r="E26" s="105"/>
      <c r="F26" s="105"/>
      <c r="G26" s="106"/>
    </row>
    <row r="27" spans="2:9" ht="37.5" customHeight="1">
      <c r="B27" s="165"/>
      <c r="C27" s="167" t="s">
        <v>129</v>
      </c>
      <c r="D27" s="168"/>
      <c r="E27" s="168"/>
      <c r="F27" s="168"/>
      <c r="G27" s="169"/>
      <c r="H27" s="82"/>
    </row>
    <row r="28" spans="2:9" ht="37.5" customHeight="1">
      <c r="B28" s="165"/>
      <c r="C28" s="170"/>
      <c r="D28" s="171"/>
      <c r="E28" s="171"/>
      <c r="F28" s="171"/>
      <c r="G28" s="172"/>
    </row>
    <row r="29" spans="2:9" ht="37.5" customHeight="1">
      <c r="B29" s="165"/>
      <c r="C29" s="170"/>
      <c r="D29" s="171"/>
      <c r="E29" s="171"/>
      <c r="F29" s="171"/>
      <c r="G29" s="172"/>
    </row>
    <row r="30" spans="2:9" ht="37.5" customHeight="1">
      <c r="B30" s="165"/>
      <c r="C30" s="170"/>
      <c r="D30" s="171"/>
      <c r="E30" s="171"/>
      <c r="F30" s="171"/>
      <c r="G30" s="172"/>
    </row>
    <row r="31" spans="2:9" ht="37.5" customHeight="1">
      <c r="B31" s="165"/>
      <c r="C31" s="173"/>
      <c r="D31" s="174"/>
      <c r="E31" s="174"/>
      <c r="F31" s="174"/>
      <c r="G31" s="175"/>
    </row>
    <row r="32" spans="2:9" ht="18.75" customHeight="1">
      <c r="B32" s="165"/>
      <c r="C32" s="55" t="s">
        <v>124</v>
      </c>
      <c r="D32" s="104" t="s">
        <v>125</v>
      </c>
      <c r="E32" s="105"/>
      <c r="F32" s="105"/>
      <c r="G32" s="106"/>
    </row>
    <row r="33" spans="2:7" ht="18.75" customHeight="1">
      <c r="B33" s="165"/>
      <c r="C33" s="79" t="s">
        <v>72</v>
      </c>
      <c r="D33" s="94" t="s">
        <v>130</v>
      </c>
      <c r="E33" s="95"/>
      <c r="F33" s="95"/>
      <c r="G33" s="96"/>
    </row>
    <row r="34" spans="2:7" ht="18.75" customHeight="1">
      <c r="B34" s="165"/>
      <c r="C34" s="79" t="s">
        <v>73</v>
      </c>
      <c r="D34" s="94" t="s">
        <v>130</v>
      </c>
      <c r="E34" s="95"/>
      <c r="F34" s="95"/>
      <c r="G34" s="96"/>
    </row>
    <row r="35" spans="2:7" ht="18.75" customHeight="1">
      <c r="B35" s="165"/>
      <c r="C35" s="79" t="s">
        <v>74</v>
      </c>
      <c r="D35" s="94" t="s">
        <v>131</v>
      </c>
      <c r="E35" s="95"/>
      <c r="F35" s="95"/>
      <c r="G35" s="96"/>
    </row>
    <row r="36" spans="2:7" ht="18.75" customHeight="1">
      <c r="B36" s="165"/>
      <c r="C36" s="79" t="s">
        <v>75</v>
      </c>
      <c r="D36" s="94" t="s">
        <v>131</v>
      </c>
      <c r="E36" s="95"/>
      <c r="F36" s="95"/>
      <c r="G36" s="96"/>
    </row>
    <row r="37" spans="2:7" ht="18.75" customHeight="1">
      <c r="B37" s="165"/>
      <c r="C37" s="79" t="s">
        <v>76</v>
      </c>
      <c r="D37" s="94" t="s">
        <v>132</v>
      </c>
      <c r="E37" s="95"/>
      <c r="F37" s="95"/>
      <c r="G37" s="96"/>
    </row>
    <row r="38" spans="2:7" ht="18.75" customHeight="1">
      <c r="B38" s="165"/>
      <c r="C38" s="79" t="s">
        <v>78</v>
      </c>
      <c r="D38" s="94" t="s">
        <v>133</v>
      </c>
      <c r="E38" s="95"/>
      <c r="F38" s="95"/>
      <c r="G38" s="96"/>
    </row>
    <row r="39" spans="2:7" ht="18.75" customHeight="1">
      <c r="B39" s="165"/>
      <c r="C39" s="79"/>
      <c r="D39" s="94"/>
      <c r="E39" s="95"/>
      <c r="F39" s="95"/>
      <c r="G39" s="96"/>
    </row>
    <row r="40" spans="2:7" ht="18.75" customHeight="1">
      <c r="B40" s="165"/>
      <c r="C40" s="79"/>
      <c r="D40" s="94"/>
      <c r="E40" s="95"/>
      <c r="F40" s="95"/>
      <c r="G40" s="96"/>
    </row>
    <row r="41" spans="2:7" ht="18.75" customHeight="1">
      <c r="B41" s="165"/>
      <c r="C41" s="79"/>
      <c r="D41" s="94"/>
      <c r="E41" s="95"/>
      <c r="F41" s="95"/>
      <c r="G41" s="96"/>
    </row>
    <row r="42" spans="2:7" ht="18.75" customHeight="1">
      <c r="B42" s="165"/>
      <c r="C42" s="79"/>
      <c r="D42" s="94"/>
      <c r="E42" s="95"/>
      <c r="F42" s="95"/>
      <c r="G42" s="96"/>
    </row>
    <row r="43" spans="2:7" ht="18.75" customHeight="1">
      <c r="B43" s="165"/>
      <c r="C43" s="79"/>
      <c r="D43" s="94"/>
      <c r="E43" s="95"/>
      <c r="F43" s="95"/>
      <c r="G43" s="96"/>
    </row>
    <row r="44" spans="2:7" ht="18.75" customHeight="1">
      <c r="B44" s="165"/>
      <c r="C44" s="79"/>
      <c r="D44" s="94"/>
      <c r="E44" s="95"/>
      <c r="F44" s="95"/>
      <c r="G44" s="96"/>
    </row>
    <row r="45" spans="2:7" ht="18.75" customHeight="1">
      <c r="B45" s="165"/>
      <c r="C45" s="79"/>
      <c r="D45" s="94"/>
      <c r="E45" s="95"/>
      <c r="F45" s="95"/>
      <c r="G45" s="96"/>
    </row>
    <row r="46" spans="2:7" ht="18.75" customHeight="1">
      <c r="B46" s="165"/>
      <c r="C46" s="79"/>
      <c r="D46" s="94"/>
      <c r="E46" s="95"/>
      <c r="F46" s="95"/>
      <c r="G46" s="96"/>
    </row>
    <row r="47" spans="2:7" ht="18.75" customHeight="1">
      <c r="B47" s="165"/>
      <c r="C47" s="79"/>
      <c r="D47" s="94"/>
      <c r="E47" s="95"/>
      <c r="F47" s="95"/>
      <c r="G47" s="96"/>
    </row>
    <row r="48" spans="2:7" ht="18.75" customHeight="1">
      <c r="B48" s="165"/>
      <c r="C48" s="79"/>
      <c r="D48" s="94"/>
      <c r="E48" s="95"/>
      <c r="F48" s="95"/>
      <c r="G48" s="96"/>
    </row>
    <row r="49" spans="2:8" ht="18.75" customHeight="1">
      <c r="B49" s="165"/>
      <c r="C49" s="79"/>
      <c r="D49" s="94"/>
      <c r="E49" s="95"/>
      <c r="F49" s="95"/>
      <c r="G49" s="96"/>
    </row>
    <row r="50" spans="2:8" ht="18.75" customHeight="1">
      <c r="B50" s="166"/>
      <c r="C50" s="79"/>
      <c r="D50" s="94"/>
      <c r="E50" s="95"/>
      <c r="F50" s="95"/>
      <c r="G50" s="96"/>
    </row>
    <row r="51" spans="2:8" ht="18.75" customHeight="1">
      <c r="B51" s="164" t="s">
        <v>134</v>
      </c>
      <c r="C51" s="104" t="s">
        <v>121</v>
      </c>
      <c r="D51" s="105"/>
      <c r="E51" s="105"/>
      <c r="F51" s="105"/>
      <c r="G51" s="106"/>
    </row>
    <row r="52" spans="2:8" ht="37.5" customHeight="1">
      <c r="B52" s="165"/>
      <c r="C52" s="167" t="s">
        <v>135</v>
      </c>
      <c r="D52" s="168"/>
      <c r="E52" s="168"/>
      <c r="F52" s="168"/>
      <c r="G52" s="169"/>
      <c r="H52" s="82"/>
    </row>
    <row r="53" spans="2:8" ht="37.5" customHeight="1">
      <c r="B53" s="165"/>
      <c r="C53" s="170"/>
      <c r="D53" s="171"/>
      <c r="E53" s="171"/>
      <c r="F53" s="171"/>
      <c r="G53" s="172"/>
    </row>
    <row r="54" spans="2:8" ht="37.5" customHeight="1">
      <c r="B54" s="165"/>
      <c r="C54" s="170"/>
      <c r="D54" s="171"/>
      <c r="E54" s="171"/>
      <c r="F54" s="171"/>
      <c r="G54" s="172"/>
    </row>
    <row r="55" spans="2:8" ht="37.5" customHeight="1">
      <c r="B55" s="165"/>
      <c r="C55" s="170"/>
      <c r="D55" s="171"/>
      <c r="E55" s="171"/>
      <c r="F55" s="171"/>
      <c r="G55" s="172"/>
    </row>
    <row r="56" spans="2:8" ht="37.5" customHeight="1">
      <c r="B56" s="165"/>
      <c r="C56" s="173"/>
      <c r="D56" s="174"/>
      <c r="E56" s="174"/>
      <c r="F56" s="174"/>
      <c r="G56" s="175"/>
    </row>
    <row r="57" spans="2:8" ht="18.75" customHeight="1">
      <c r="B57" s="165"/>
      <c r="C57" s="55" t="s">
        <v>124</v>
      </c>
      <c r="D57" s="104" t="s">
        <v>125</v>
      </c>
      <c r="E57" s="105"/>
      <c r="F57" s="105"/>
      <c r="G57" s="106"/>
    </row>
    <row r="58" spans="2:8" ht="18.75" customHeight="1">
      <c r="B58" s="165"/>
      <c r="C58" s="79" t="s">
        <v>72</v>
      </c>
      <c r="D58" s="94" t="s">
        <v>136</v>
      </c>
      <c r="E58" s="95"/>
      <c r="F58" s="95"/>
      <c r="G58" s="96"/>
    </row>
    <row r="59" spans="2:8" ht="18.75" customHeight="1">
      <c r="B59" s="165"/>
      <c r="C59" s="79" t="s">
        <v>73</v>
      </c>
      <c r="D59" s="94" t="s">
        <v>136</v>
      </c>
      <c r="E59" s="95"/>
      <c r="F59" s="95"/>
      <c r="G59" s="96"/>
    </row>
    <row r="60" spans="2:8" ht="18.75" customHeight="1">
      <c r="B60" s="165"/>
      <c r="C60" s="79" t="s">
        <v>74</v>
      </c>
      <c r="D60" s="94" t="s">
        <v>137</v>
      </c>
      <c r="E60" s="95"/>
      <c r="F60" s="95"/>
      <c r="G60" s="96"/>
    </row>
    <row r="61" spans="2:8" ht="18.75" customHeight="1">
      <c r="B61" s="165"/>
      <c r="C61" s="79" t="s">
        <v>75</v>
      </c>
      <c r="D61" s="94" t="s">
        <v>138</v>
      </c>
      <c r="E61" s="95"/>
      <c r="F61" s="95"/>
      <c r="G61" s="96"/>
    </row>
    <row r="62" spans="2:8" ht="18.75" customHeight="1">
      <c r="B62" s="165"/>
      <c r="C62" s="79" t="s">
        <v>76</v>
      </c>
      <c r="D62" s="94" t="s">
        <v>139</v>
      </c>
      <c r="E62" s="95"/>
      <c r="F62" s="95"/>
      <c r="G62" s="96"/>
    </row>
    <row r="63" spans="2:8" ht="18.75" customHeight="1">
      <c r="B63" s="165"/>
      <c r="C63" s="79" t="s">
        <v>77</v>
      </c>
      <c r="D63" s="94" t="s">
        <v>140</v>
      </c>
      <c r="E63" s="95"/>
      <c r="F63" s="95"/>
      <c r="G63" s="96"/>
    </row>
    <row r="64" spans="2:8" ht="18.75" customHeight="1">
      <c r="B64" s="165"/>
      <c r="C64" s="79" t="s">
        <v>78</v>
      </c>
      <c r="D64" s="94" t="s">
        <v>141</v>
      </c>
      <c r="E64" s="95"/>
      <c r="F64" s="95"/>
      <c r="G64" s="96"/>
    </row>
    <row r="65" spans="2:8" ht="18.75" customHeight="1">
      <c r="B65" s="165"/>
      <c r="C65" s="79"/>
      <c r="D65" s="94"/>
      <c r="E65" s="95"/>
      <c r="F65" s="95"/>
      <c r="G65" s="96"/>
    </row>
    <row r="66" spans="2:8" ht="18.75" customHeight="1">
      <c r="B66" s="165"/>
      <c r="C66" s="79"/>
      <c r="D66" s="94"/>
      <c r="E66" s="95"/>
      <c r="F66" s="95"/>
      <c r="G66" s="96"/>
    </row>
    <row r="67" spans="2:8" ht="18.75" customHeight="1">
      <c r="B67" s="165"/>
      <c r="C67" s="79"/>
      <c r="D67" s="94"/>
      <c r="E67" s="95"/>
      <c r="F67" s="95"/>
      <c r="G67" s="96"/>
    </row>
    <row r="68" spans="2:8" ht="18.75" customHeight="1">
      <c r="B68" s="165"/>
      <c r="C68" s="79"/>
      <c r="D68" s="94"/>
      <c r="E68" s="95"/>
      <c r="F68" s="95"/>
      <c r="G68" s="96"/>
    </row>
    <row r="69" spans="2:8" ht="18.75" customHeight="1">
      <c r="B69" s="165"/>
      <c r="C69" s="79"/>
      <c r="D69" s="94"/>
      <c r="E69" s="95"/>
      <c r="F69" s="95"/>
      <c r="G69" s="96"/>
    </row>
    <row r="70" spans="2:8" ht="18.75" customHeight="1">
      <c r="B70" s="165"/>
      <c r="C70" s="79"/>
      <c r="D70" s="94"/>
      <c r="E70" s="95"/>
      <c r="F70" s="95"/>
      <c r="G70" s="96"/>
    </row>
    <row r="71" spans="2:8" ht="18.75" customHeight="1">
      <c r="B71" s="165"/>
      <c r="C71" s="79"/>
      <c r="D71" s="94"/>
      <c r="E71" s="95"/>
      <c r="F71" s="95"/>
      <c r="G71" s="96"/>
    </row>
    <row r="72" spans="2:8" ht="18.75" customHeight="1">
      <c r="B72" s="165"/>
      <c r="C72" s="79"/>
      <c r="D72" s="94"/>
      <c r="E72" s="95"/>
      <c r="F72" s="95"/>
      <c r="G72" s="96"/>
    </row>
    <row r="73" spans="2:8" ht="18.75" customHeight="1">
      <c r="B73" s="165"/>
      <c r="C73" s="79"/>
      <c r="D73" s="94"/>
      <c r="E73" s="95"/>
      <c r="F73" s="95"/>
      <c r="G73" s="96"/>
    </row>
    <row r="74" spans="2:8" ht="18.75" customHeight="1">
      <c r="B74" s="165"/>
      <c r="C74" s="79"/>
      <c r="D74" s="94"/>
      <c r="E74" s="95"/>
      <c r="F74" s="95"/>
      <c r="G74" s="96"/>
    </row>
    <row r="75" spans="2:8" ht="18.75" customHeight="1">
      <c r="B75" s="166"/>
      <c r="C75" s="79"/>
      <c r="D75" s="94"/>
      <c r="E75" s="95"/>
      <c r="F75" s="95"/>
      <c r="G75" s="96"/>
    </row>
    <row r="76" spans="2:8" ht="18.75" customHeight="1">
      <c r="B76" s="164" t="s">
        <v>142</v>
      </c>
      <c r="C76" s="104" t="s">
        <v>121</v>
      </c>
      <c r="D76" s="105"/>
      <c r="E76" s="105"/>
      <c r="F76" s="105"/>
      <c r="G76" s="106"/>
    </row>
    <row r="77" spans="2:8" ht="37.5" customHeight="1">
      <c r="B77" s="165"/>
      <c r="C77" s="167" t="s">
        <v>143</v>
      </c>
      <c r="D77" s="168"/>
      <c r="E77" s="168"/>
      <c r="F77" s="168"/>
      <c r="G77" s="169"/>
      <c r="H77" s="82"/>
    </row>
    <row r="78" spans="2:8" ht="37.5" customHeight="1">
      <c r="B78" s="165"/>
      <c r="C78" s="170"/>
      <c r="D78" s="171"/>
      <c r="E78" s="171"/>
      <c r="F78" s="171"/>
      <c r="G78" s="172"/>
    </row>
    <row r="79" spans="2:8" ht="37.5" customHeight="1">
      <c r="B79" s="165"/>
      <c r="C79" s="170"/>
      <c r="D79" s="171"/>
      <c r="E79" s="171"/>
      <c r="F79" s="171"/>
      <c r="G79" s="172"/>
    </row>
    <row r="80" spans="2:8" ht="37.5" customHeight="1">
      <c r="B80" s="165"/>
      <c r="C80" s="170"/>
      <c r="D80" s="171"/>
      <c r="E80" s="171"/>
      <c r="F80" s="171"/>
      <c r="G80" s="172"/>
    </row>
    <row r="81" spans="2:7" ht="37.5" customHeight="1">
      <c r="B81" s="165"/>
      <c r="C81" s="173"/>
      <c r="D81" s="174"/>
      <c r="E81" s="174"/>
      <c r="F81" s="174"/>
      <c r="G81" s="175"/>
    </row>
    <row r="82" spans="2:7" ht="18.75" customHeight="1">
      <c r="B82" s="165"/>
      <c r="C82" s="55" t="s">
        <v>124</v>
      </c>
      <c r="D82" s="104" t="s">
        <v>125</v>
      </c>
      <c r="E82" s="105"/>
      <c r="F82" s="105"/>
      <c r="G82" s="106"/>
    </row>
    <row r="83" spans="2:7" ht="18.75" customHeight="1">
      <c r="B83" s="165"/>
      <c r="C83" s="79" t="s">
        <v>72</v>
      </c>
      <c r="D83" s="94" t="s">
        <v>144</v>
      </c>
      <c r="E83" s="95"/>
      <c r="F83" s="95"/>
      <c r="G83" s="96"/>
    </row>
    <row r="84" spans="2:7" ht="18.75" customHeight="1">
      <c r="B84" s="165"/>
      <c r="C84" s="79" t="s">
        <v>73</v>
      </c>
      <c r="D84" s="94" t="s">
        <v>144</v>
      </c>
      <c r="E84" s="95"/>
      <c r="F84" s="95"/>
      <c r="G84" s="96"/>
    </row>
    <row r="85" spans="2:7" ht="18.75" customHeight="1">
      <c r="B85" s="165"/>
      <c r="C85" s="79" t="s">
        <v>76</v>
      </c>
      <c r="D85" s="94" t="s">
        <v>145</v>
      </c>
      <c r="E85" s="95"/>
      <c r="F85" s="95"/>
      <c r="G85" s="96"/>
    </row>
    <row r="86" spans="2:7" ht="18.75" customHeight="1">
      <c r="B86" s="165"/>
      <c r="C86" s="79" t="s">
        <v>77</v>
      </c>
      <c r="D86" s="94" t="s">
        <v>146</v>
      </c>
      <c r="E86" s="95"/>
      <c r="F86" s="95"/>
      <c r="G86" s="96"/>
    </row>
    <row r="87" spans="2:7" ht="18.75" customHeight="1">
      <c r="B87" s="165"/>
      <c r="C87" s="79"/>
      <c r="D87" s="94"/>
      <c r="E87" s="95"/>
      <c r="F87" s="95"/>
      <c r="G87" s="96"/>
    </row>
    <row r="88" spans="2:7" ht="18.75" customHeight="1">
      <c r="B88" s="165"/>
      <c r="C88" s="79"/>
      <c r="D88" s="94"/>
      <c r="E88" s="95"/>
      <c r="F88" s="95"/>
      <c r="G88" s="96"/>
    </row>
    <row r="89" spans="2:7" ht="18.75" customHeight="1">
      <c r="B89" s="165"/>
      <c r="C89" s="79"/>
      <c r="D89" s="94"/>
      <c r="E89" s="95"/>
      <c r="F89" s="95"/>
      <c r="G89" s="96"/>
    </row>
    <row r="90" spans="2:7" ht="18.75" customHeight="1">
      <c r="B90" s="165"/>
      <c r="C90" s="79"/>
      <c r="D90" s="94"/>
      <c r="E90" s="95"/>
      <c r="F90" s="95"/>
      <c r="G90" s="96"/>
    </row>
    <row r="91" spans="2:7" ht="18.75" customHeight="1">
      <c r="B91" s="165"/>
      <c r="C91" s="79"/>
      <c r="D91" s="94"/>
      <c r="E91" s="95"/>
      <c r="F91" s="95"/>
      <c r="G91" s="96"/>
    </row>
    <row r="92" spans="2:7" ht="18.75" customHeight="1">
      <c r="B92" s="165"/>
      <c r="C92" s="79"/>
      <c r="D92" s="94"/>
      <c r="E92" s="95"/>
      <c r="F92" s="95"/>
      <c r="G92" s="96"/>
    </row>
    <row r="93" spans="2:7" ht="18.75" customHeight="1">
      <c r="B93" s="165"/>
      <c r="C93" s="79"/>
      <c r="D93" s="94"/>
      <c r="E93" s="95"/>
      <c r="F93" s="95"/>
      <c r="G93" s="96"/>
    </row>
    <row r="94" spans="2:7" ht="18.75" customHeight="1">
      <c r="B94" s="165"/>
      <c r="C94" s="79"/>
      <c r="D94" s="94"/>
      <c r="E94" s="95"/>
      <c r="F94" s="95"/>
      <c r="G94" s="96"/>
    </row>
    <row r="95" spans="2:7" ht="18.75" customHeight="1">
      <c r="B95" s="165"/>
      <c r="C95" s="79"/>
      <c r="D95" s="94"/>
      <c r="E95" s="95"/>
      <c r="F95" s="95"/>
      <c r="G95" s="96"/>
    </row>
    <row r="96" spans="2:7" ht="18.75" customHeight="1">
      <c r="B96" s="165"/>
      <c r="C96" s="79"/>
      <c r="D96" s="94"/>
      <c r="E96" s="95"/>
      <c r="F96" s="95"/>
      <c r="G96" s="96"/>
    </row>
    <row r="97" spans="2:8" ht="18.75" customHeight="1">
      <c r="B97" s="165"/>
      <c r="C97" s="79"/>
      <c r="D97" s="94"/>
      <c r="E97" s="95"/>
      <c r="F97" s="95"/>
      <c r="G97" s="96"/>
    </row>
    <row r="98" spans="2:8" ht="18.75" customHeight="1">
      <c r="B98" s="165"/>
      <c r="C98" s="79"/>
      <c r="D98" s="94"/>
      <c r="E98" s="95"/>
      <c r="F98" s="95"/>
      <c r="G98" s="96"/>
    </row>
    <row r="99" spans="2:8" ht="18.75" customHeight="1">
      <c r="B99" s="165"/>
      <c r="C99" s="79"/>
      <c r="D99" s="94"/>
      <c r="E99" s="95"/>
      <c r="F99" s="95"/>
      <c r="G99" s="96"/>
    </row>
    <row r="100" spans="2:8" ht="18.75" customHeight="1">
      <c r="B100" s="166"/>
      <c r="C100" s="79"/>
      <c r="D100" s="94"/>
      <c r="E100" s="95"/>
      <c r="F100" s="95"/>
      <c r="G100" s="96"/>
    </row>
    <row r="101" spans="2:8" ht="18.75" customHeight="1">
      <c r="B101" s="164" t="s">
        <v>147</v>
      </c>
      <c r="C101" s="104" t="s">
        <v>121</v>
      </c>
      <c r="D101" s="105"/>
      <c r="E101" s="105"/>
      <c r="F101" s="105"/>
      <c r="G101" s="106"/>
    </row>
    <row r="102" spans="2:8" ht="37.5" customHeight="1">
      <c r="B102" s="165"/>
      <c r="C102" s="167" t="s">
        <v>148</v>
      </c>
      <c r="D102" s="168"/>
      <c r="E102" s="168"/>
      <c r="F102" s="168"/>
      <c r="G102" s="169"/>
      <c r="H102" s="82"/>
    </row>
    <row r="103" spans="2:8" ht="37.5" customHeight="1">
      <c r="B103" s="165"/>
      <c r="C103" s="170"/>
      <c r="D103" s="171"/>
      <c r="E103" s="171"/>
      <c r="F103" s="171"/>
      <c r="G103" s="172"/>
    </row>
    <row r="104" spans="2:8" ht="37.5" customHeight="1">
      <c r="B104" s="165"/>
      <c r="C104" s="170"/>
      <c r="D104" s="171"/>
      <c r="E104" s="171"/>
      <c r="F104" s="171"/>
      <c r="G104" s="172"/>
    </row>
    <row r="105" spans="2:8" ht="37.5" customHeight="1">
      <c r="B105" s="165"/>
      <c r="C105" s="170"/>
      <c r="D105" s="171"/>
      <c r="E105" s="171"/>
      <c r="F105" s="171"/>
      <c r="G105" s="172"/>
    </row>
    <row r="106" spans="2:8" ht="37.5" customHeight="1">
      <c r="B106" s="165"/>
      <c r="C106" s="173"/>
      <c r="D106" s="174"/>
      <c r="E106" s="174"/>
      <c r="F106" s="174"/>
      <c r="G106" s="175"/>
    </row>
    <row r="107" spans="2:8" ht="18.75" customHeight="1">
      <c r="B107" s="165"/>
      <c r="C107" s="55" t="s">
        <v>124</v>
      </c>
      <c r="D107" s="104" t="s">
        <v>125</v>
      </c>
      <c r="E107" s="105"/>
      <c r="F107" s="105"/>
      <c r="G107" s="106"/>
    </row>
    <row r="108" spans="2:8" ht="18.75" customHeight="1">
      <c r="B108" s="165"/>
      <c r="C108" s="79" t="s">
        <v>72</v>
      </c>
      <c r="D108" s="196" t="s">
        <v>149</v>
      </c>
      <c r="E108" s="95"/>
      <c r="F108" s="95"/>
      <c r="G108" s="96"/>
    </row>
    <row r="109" spans="2:8" ht="18.75" customHeight="1">
      <c r="B109" s="165"/>
      <c r="C109" s="79" t="s">
        <v>73</v>
      </c>
      <c r="D109" s="94" t="s">
        <v>149</v>
      </c>
      <c r="E109" s="95"/>
      <c r="F109" s="95"/>
      <c r="G109" s="96"/>
    </row>
    <row r="110" spans="2:8" ht="18.75" customHeight="1">
      <c r="B110" s="165"/>
      <c r="C110" s="79" t="s">
        <v>74</v>
      </c>
      <c r="D110" s="94" t="s">
        <v>150</v>
      </c>
      <c r="E110" s="95"/>
      <c r="F110" s="95"/>
      <c r="G110" s="96"/>
    </row>
    <row r="111" spans="2:8" ht="18.75" customHeight="1">
      <c r="B111" s="165"/>
      <c r="C111" s="79" t="s">
        <v>75</v>
      </c>
      <c r="D111" s="94" t="s">
        <v>150</v>
      </c>
      <c r="E111" s="95"/>
      <c r="F111" s="95"/>
      <c r="G111" s="96"/>
    </row>
    <row r="112" spans="2:8" ht="18.75" customHeight="1">
      <c r="B112" s="165"/>
      <c r="C112" s="79" t="s">
        <v>151</v>
      </c>
      <c r="D112" s="94" t="s">
        <v>152</v>
      </c>
      <c r="E112" s="95"/>
      <c r="F112" s="95"/>
      <c r="G112" s="96"/>
    </row>
    <row r="113" spans="1:7" ht="18.75" customHeight="1">
      <c r="B113" s="165"/>
      <c r="C113" s="79" t="s">
        <v>153</v>
      </c>
      <c r="D113" s="94" t="s">
        <v>154</v>
      </c>
      <c r="E113" s="95"/>
      <c r="F113" s="95"/>
      <c r="G113" s="96"/>
    </row>
    <row r="114" spans="1:7" ht="18.75" customHeight="1">
      <c r="B114" s="165"/>
      <c r="C114" s="79" t="s">
        <v>79</v>
      </c>
      <c r="D114" s="94" t="s">
        <v>155</v>
      </c>
      <c r="E114" s="95"/>
      <c r="F114" s="95"/>
      <c r="G114" s="96"/>
    </row>
    <row r="115" spans="1:7" ht="18.75" customHeight="1">
      <c r="B115" s="165"/>
      <c r="C115" s="79" t="s">
        <v>80</v>
      </c>
      <c r="D115" s="94" t="s">
        <v>156</v>
      </c>
      <c r="E115" s="95"/>
      <c r="F115" s="95"/>
      <c r="G115" s="96"/>
    </row>
    <row r="116" spans="1:7" ht="18.75" customHeight="1">
      <c r="B116" s="165"/>
      <c r="C116" s="79" t="s">
        <v>81</v>
      </c>
      <c r="D116" s="94" t="s">
        <v>157</v>
      </c>
      <c r="E116" s="95"/>
      <c r="F116" s="95"/>
      <c r="G116" s="96"/>
    </row>
    <row r="117" spans="1:7" ht="18.75" customHeight="1">
      <c r="B117" s="165"/>
      <c r="C117" s="79"/>
      <c r="D117" s="94"/>
      <c r="E117" s="95"/>
      <c r="F117" s="95"/>
      <c r="G117" s="96"/>
    </row>
    <row r="118" spans="1:7" ht="18.75" customHeight="1">
      <c r="B118" s="165"/>
      <c r="C118" s="79"/>
      <c r="D118" s="94"/>
      <c r="E118" s="95"/>
      <c r="F118" s="95"/>
      <c r="G118" s="96"/>
    </row>
    <row r="119" spans="1:7" ht="18.75" customHeight="1">
      <c r="B119" s="165"/>
      <c r="C119" s="79"/>
      <c r="D119" s="94"/>
      <c r="E119" s="95"/>
      <c r="F119" s="95"/>
      <c r="G119" s="96"/>
    </row>
    <row r="120" spans="1:7" ht="18.75" customHeight="1">
      <c r="B120" s="165"/>
      <c r="C120" s="79"/>
      <c r="D120" s="94"/>
      <c r="E120" s="95"/>
      <c r="F120" s="95"/>
      <c r="G120" s="96"/>
    </row>
    <row r="121" spans="1:7" ht="18.75" customHeight="1">
      <c r="B121" s="165"/>
      <c r="C121" s="79"/>
      <c r="D121" s="94"/>
      <c r="E121" s="95"/>
      <c r="F121" s="95"/>
      <c r="G121" s="96"/>
    </row>
    <row r="122" spans="1:7" ht="18.75" customHeight="1">
      <c r="B122" s="165"/>
      <c r="C122" s="79"/>
      <c r="D122" s="94"/>
      <c r="E122" s="95"/>
      <c r="F122" s="95"/>
      <c r="G122" s="96"/>
    </row>
    <row r="123" spans="1:7" ht="18.75" customHeight="1">
      <c r="B123" s="165"/>
      <c r="C123" s="79"/>
      <c r="D123" s="94"/>
      <c r="E123" s="95"/>
      <c r="F123" s="95"/>
      <c r="G123" s="96"/>
    </row>
    <row r="124" spans="1:7" ht="18.75" customHeight="1">
      <c r="B124" s="165"/>
      <c r="C124" s="79"/>
      <c r="D124" s="94"/>
      <c r="E124" s="95"/>
      <c r="F124" s="95"/>
      <c r="G124" s="96"/>
    </row>
    <row r="125" spans="1:7" ht="18.75" customHeight="1">
      <c r="B125" s="166"/>
      <c r="C125" s="79"/>
      <c r="D125" s="94"/>
      <c r="E125" s="95"/>
      <c r="F125" s="95"/>
      <c r="G125" s="96"/>
    </row>
    <row r="126" spans="1:7" ht="18.75" customHeight="1">
      <c r="A126" s="6" t="s">
        <v>5</v>
      </c>
      <c r="B126" s="6" t="s">
        <v>158</v>
      </c>
    </row>
    <row r="127" spans="1:7" ht="22.5" customHeight="1">
      <c r="B127" s="79" t="s">
        <v>120</v>
      </c>
      <c r="C127" s="98" t="s">
        <v>71</v>
      </c>
      <c r="D127" s="99"/>
      <c r="E127" s="99"/>
      <c r="F127" s="99"/>
      <c r="G127" s="100"/>
    </row>
    <row r="128" spans="1:7" ht="45" customHeight="1">
      <c r="B128" s="56" t="s">
        <v>159</v>
      </c>
      <c r="C128" s="195" t="s">
        <v>160</v>
      </c>
      <c r="D128" s="114"/>
      <c r="E128" s="114"/>
      <c r="F128" s="114"/>
      <c r="G128" s="115"/>
    </row>
    <row r="129" spans="1:7" ht="42.95" customHeight="1">
      <c r="B129" s="56" t="s">
        <v>161</v>
      </c>
      <c r="C129" s="113" t="s">
        <v>162</v>
      </c>
      <c r="D129" s="114"/>
      <c r="E129" s="114"/>
      <c r="F129" s="114"/>
      <c r="G129" s="115"/>
    </row>
    <row r="130" spans="1:7" ht="45" customHeight="1">
      <c r="B130" s="56" t="s">
        <v>163</v>
      </c>
      <c r="C130" s="113" t="s">
        <v>162</v>
      </c>
      <c r="D130" s="114"/>
      <c r="E130" s="114"/>
      <c r="F130" s="114"/>
      <c r="G130" s="115"/>
    </row>
    <row r="131" spans="1:7" ht="42.95" customHeight="1">
      <c r="B131" s="56" t="s">
        <v>164</v>
      </c>
      <c r="C131" s="113" t="s">
        <v>165</v>
      </c>
      <c r="D131" s="114"/>
      <c r="E131" s="114"/>
      <c r="F131" s="114"/>
      <c r="G131" s="115"/>
    </row>
    <row r="132" spans="1:7" ht="42.95" customHeight="1">
      <c r="B132" s="56" t="s">
        <v>166</v>
      </c>
      <c r="C132" s="113" t="s">
        <v>167</v>
      </c>
      <c r="D132" s="114"/>
      <c r="E132" s="114"/>
      <c r="F132" s="114"/>
      <c r="G132" s="115"/>
    </row>
    <row r="133" spans="1:7" ht="42.95" customHeight="1">
      <c r="B133" s="56" t="s">
        <v>168</v>
      </c>
      <c r="C133" s="113" t="s">
        <v>167</v>
      </c>
      <c r="D133" s="114"/>
      <c r="E133" s="114"/>
      <c r="F133" s="114"/>
      <c r="G133" s="115"/>
    </row>
    <row r="134" spans="1:7" ht="42.95" customHeight="1">
      <c r="B134" s="56" t="s">
        <v>169</v>
      </c>
      <c r="C134" s="113" t="s">
        <v>170</v>
      </c>
      <c r="D134" s="114"/>
      <c r="E134" s="114"/>
      <c r="F134" s="114"/>
      <c r="G134" s="115"/>
    </row>
    <row r="135" spans="1:7" ht="45" customHeight="1">
      <c r="B135" s="56" t="s">
        <v>171</v>
      </c>
      <c r="C135" s="113" t="s">
        <v>172</v>
      </c>
      <c r="D135" s="114"/>
      <c r="E135" s="114"/>
      <c r="F135" s="114"/>
      <c r="G135" s="115"/>
    </row>
    <row r="136" spans="1:7" ht="39.950000000000003" customHeight="1">
      <c r="B136" s="56" t="s">
        <v>173</v>
      </c>
      <c r="C136" s="113"/>
      <c r="D136" s="114"/>
      <c r="E136" s="114"/>
      <c r="F136" s="114"/>
      <c r="G136" s="115"/>
    </row>
    <row r="137" spans="1:7" ht="7.5" customHeight="1"/>
    <row r="138" spans="1:7" ht="18.75" customHeight="1">
      <c r="A138" s="6" t="s">
        <v>8</v>
      </c>
      <c r="B138" s="6" t="s">
        <v>174</v>
      </c>
      <c r="E138" s="194" t="s">
        <v>175</v>
      </c>
      <c r="F138" s="114"/>
      <c r="G138" s="115"/>
    </row>
    <row r="139" spans="1:7" ht="7.5" customHeight="1"/>
    <row r="140" spans="1:7" ht="18.75" customHeight="1">
      <c r="A140" s="6" t="s">
        <v>11</v>
      </c>
      <c r="B140" s="6" t="s">
        <v>176</v>
      </c>
    </row>
    <row r="141" spans="1:7" ht="23.1" customHeight="1">
      <c r="B141" s="185" t="s">
        <v>177</v>
      </c>
      <c r="C141" s="186"/>
      <c r="D141" s="186"/>
      <c r="E141" s="186"/>
      <c r="F141" s="186"/>
      <c r="G141" s="187"/>
    </row>
    <row r="142" spans="1:7" ht="23.1" customHeight="1">
      <c r="B142" s="188"/>
      <c r="C142" s="189"/>
      <c r="D142" s="189"/>
      <c r="E142" s="189"/>
      <c r="F142" s="189"/>
      <c r="G142" s="190"/>
    </row>
    <row r="143" spans="1:7" ht="23.1" customHeight="1">
      <c r="B143" s="188"/>
      <c r="C143" s="189"/>
      <c r="D143" s="189"/>
      <c r="E143" s="189"/>
      <c r="F143" s="189"/>
      <c r="G143" s="190"/>
    </row>
    <row r="144" spans="1:7" ht="23.1" customHeight="1">
      <c r="B144" s="191"/>
      <c r="C144" s="192"/>
      <c r="D144" s="192"/>
      <c r="E144" s="192"/>
      <c r="F144" s="192"/>
      <c r="G144" s="193"/>
    </row>
    <row r="145" ht="18.75" customHeight="1"/>
    <row r="146" ht="18.75" customHeight="1"/>
    <row r="147" ht="18.75" customHeight="1"/>
    <row r="148" ht="18.75" customHeight="1"/>
    <row r="149" ht="18.75" customHeight="1"/>
    <row r="150" ht="18.75" customHeight="1"/>
  </sheetData>
  <mergeCells count="120">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s>
  <phoneticPr fontId="1"/>
  <printOptions horizontalCentered="1"/>
  <pageMargins left="0.78740157480314965" right="0.78740157480314965" top="0.59055118110236227" bottom="0.3937007874015748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48"/>
  <sheetViews>
    <sheetView showZeros="0" topLeftCell="A112" zoomScaleNormal="100" workbookViewId="0">
      <selection activeCell="N24" sqref="N24"/>
    </sheetView>
  </sheetViews>
  <sheetFormatPr defaultColWidth="11.375" defaultRowHeight="18.75" customHeight="1"/>
  <cols>
    <col min="1" max="1" width="2.75" style="71" customWidth="1"/>
    <col min="2" max="2" width="54.25" style="6" customWidth="1"/>
    <col min="3" max="3" width="1.25" style="6" customWidth="1"/>
    <col min="4" max="4" width="22.5" style="6" customWidth="1"/>
    <col min="5" max="5" width="6.25" style="6" customWidth="1"/>
    <col min="6" max="16384" width="11.375" style="6"/>
  </cols>
  <sheetData>
    <row r="1" spans="1:5" ht="18.75" customHeight="1">
      <c r="E1" s="80" t="s">
        <v>178</v>
      </c>
    </row>
    <row r="2" spans="1:5" ht="18.75" customHeight="1">
      <c r="B2" s="80" t="s">
        <v>179</v>
      </c>
      <c r="C2" s="80" t="s">
        <v>180</v>
      </c>
      <c r="D2" s="132" t="s">
        <v>4</v>
      </c>
      <c r="E2" s="132"/>
    </row>
    <row r="3" spans="1:5" ht="7.5" customHeight="1">
      <c r="B3" s="80"/>
      <c r="C3" s="80"/>
      <c r="D3" s="82"/>
      <c r="E3" s="82"/>
    </row>
    <row r="4" spans="1:5" ht="18.75" customHeight="1">
      <c r="B4" s="112" t="s">
        <v>181</v>
      </c>
      <c r="C4" s="112"/>
      <c r="D4" s="112"/>
      <c r="E4" s="112"/>
    </row>
    <row r="5" spans="1:5" ht="7.5" customHeight="1">
      <c r="B5" s="82"/>
      <c r="C5" s="82"/>
      <c r="D5" s="82"/>
      <c r="E5" s="82"/>
    </row>
    <row r="6" spans="1:5" ht="18.75" customHeight="1">
      <c r="A6" s="10" t="s">
        <v>2</v>
      </c>
      <c r="B6" s="8" t="s">
        <v>182</v>
      </c>
      <c r="C6" s="82"/>
      <c r="D6" s="82"/>
      <c r="E6" s="82"/>
    </row>
    <row r="7" spans="1:5" ht="18.75" customHeight="1">
      <c r="A7" s="10"/>
      <c r="B7" s="113" t="s">
        <v>183</v>
      </c>
      <c r="C7" s="114"/>
      <c r="D7" s="114"/>
      <c r="E7" s="115"/>
    </row>
    <row r="8" spans="1:5" ht="7.5" customHeight="1">
      <c r="B8" s="82"/>
      <c r="C8" s="82"/>
      <c r="D8" s="82"/>
      <c r="E8" s="82"/>
    </row>
    <row r="9" spans="1:5" s="8" customFormat="1" ht="18.75" customHeight="1">
      <c r="A9" s="10" t="s">
        <v>5</v>
      </c>
      <c r="B9" s="10" t="s">
        <v>184</v>
      </c>
      <c r="C9" s="10"/>
      <c r="D9" s="10"/>
      <c r="E9" s="10"/>
    </row>
    <row r="10" spans="1:5" s="7" customFormat="1" ht="18.75" customHeight="1">
      <c r="A10" s="84"/>
      <c r="B10" s="197" t="s">
        <v>185</v>
      </c>
      <c r="C10" s="198"/>
      <c r="D10" s="198"/>
      <c r="E10" s="199"/>
    </row>
    <row r="11" spans="1:5" s="7" customFormat="1" ht="18.75" customHeight="1">
      <c r="A11" s="84"/>
      <c r="B11" s="200"/>
      <c r="C11" s="201"/>
      <c r="D11" s="201"/>
      <c r="E11" s="202"/>
    </row>
    <row r="12" spans="1:5" s="7" customFormat="1" ht="18.75" customHeight="1">
      <c r="A12" s="84"/>
      <c r="B12" s="200"/>
      <c r="C12" s="201"/>
      <c r="D12" s="201"/>
      <c r="E12" s="202"/>
    </row>
    <row r="13" spans="1:5" s="7" customFormat="1" ht="18.75" customHeight="1">
      <c r="A13" s="84"/>
      <c r="B13" s="200"/>
      <c r="C13" s="201"/>
      <c r="D13" s="201"/>
      <c r="E13" s="202"/>
    </row>
    <row r="14" spans="1:5" s="7" customFormat="1" ht="18.75" customHeight="1">
      <c r="A14" s="84"/>
      <c r="B14" s="203"/>
      <c r="C14" s="204"/>
      <c r="D14" s="204"/>
      <c r="E14" s="205"/>
    </row>
    <row r="15" spans="1:5" s="7" customFormat="1" ht="7.5" customHeight="1">
      <c r="A15" s="84"/>
      <c r="B15" s="84"/>
      <c r="C15" s="84"/>
      <c r="D15" s="84"/>
      <c r="E15" s="84"/>
    </row>
    <row r="16" spans="1:5" s="8" customFormat="1" ht="18.75" customHeight="1">
      <c r="A16" s="72" t="s">
        <v>8</v>
      </c>
      <c r="B16" s="72" t="s">
        <v>186</v>
      </c>
      <c r="C16" s="72"/>
      <c r="D16" s="72"/>
      <c r="E16" s="72"/>
    </row>
    <row r="17" spans="1:9" s="7" customFormat="1" ht="19.5" customHeight="1">
      <c r="A17" s="84"/>
      <c r="B17" s="185" t="s">
        <v>187</v>
      </c>
      <c r="C17" s="186"/>
      <c r="D17" s="186"/>
      <c r="E17" s="187"/>
    </row>
    <row r="18" spans="1:9" s="7" customFormat="1" ht="19.5" customHeight="1">
      <c r="A18" s="84"/>
      <c r="B18" s="188"/>
      <c r="C18" s="189"/>
      <c r="D18" s="189"/>
      <c r="E18" s="190"/>
    </row>
    <row r="19" spans="1:9" s="7" customFormat="1" ht="19.5" customHeight="1">
      <c r="A19" s="84"/>
      <c r="B19" s="188"/>
      <c r="C19" s="189"/>
      <c r="D19" s="189"/>
      <c r="E19" s="190"/>
    </row>
    <row r="20" spans="1:9" s="7" customFormat="1" ht="19.5" customHeight="1">
      <c r="A20" s="84"/>
      <c r="B20" s="188"/>
      <c r="C20" s="189"/>
      <c r="D20" s="189"/>
      <c r="E20" s="190"/>
      <c r="I20" s="6"/>
    </row>
    <row r="21" spans="1:9" s="7" customFormat="1" ht="19.5" customHeight="1">
      <c r="A21" s="84"/>
      <c r="B21" s="188"/>
      <c r="C21" s="189"/>
      <c r="D21" s="189"/>
      <c r="E21" s="190"/>
    </row>
    <row r="22" spans="1:9" s="7" customFormat="1" ht="19.5" customHeight="1">
      <c r="A22" s="84"/>
      <c r="B22" s="188"/>
      <c r="C22" s="189"/>
      <c r="D22" s="189"/>
      <c r="E22" s="190"/>
    </row>
    <row r="23" spans="1:9" s="7" customFormat="1" ht="19.5" customHeight="1">
      <c r="A23" s="84"/>
      <c r="B23" s="188"/>
      <c r="C23" s="189"/>
      <c r="D23" s="189"/>
      <c r="E23" s="190"/>
    </row>
    <row r="24" spans="1:9" s="7" customFormat="1" ht="19.5" customHeight="1">
      <c r="A24" s="84"/>
      <c r="B24" s="188"/>
      <c r="C24" s="189"/>
      <c r="D24" s="189"/>
      <c r="E24" s="190"/>
    </row>
    <row r="25" spans="1:9" s="7" customFormat="1" ht="19.5" customHeight="1">
      <c r="A25" s="84"/>
      <c r="B25" s="188"/>
      <c r="C25" s="189"/>
      <c r="D25" s="189"/>
      <c r="E25" s="190"/>
    </row>
    <row r="26" spans="1:9" s="7" customFormat="1" ht="19.5" customHeight="1">
      <c r="A26" s="84"/>
      <c r="B26" s="188"/>
      <c r="C26" s="189"/>
      <c r="D26" s="189"/>
      <c r="E26" s="190"/>
    </row>
    <row r="27" spans="1:9" s="7" customFormat="1" ht="19.5" customHeight="1">
      <c r="A27" s="84"/>
      <c r="B27" s="188"/>
      <c r="C27" s="189"/>
      <c r="D27" s="189"/>
      <c r="E27" s="190"/>
    </row>
    <row r="28" spans="1:9" s="7" customFormat="1" ht="19.5" customHeight="1">
      <c r="A28" s="84"/>
      <c r="B28" s="191"/>
      <c r="C28" s="192"/>
      <c r="D28" s="192"/>
      <c r="E28" s="193"/>
    </row>
    <row r="29" spans="1:9" ht="7.5" customHeight="1">
      <c r="A29" s="57"/>
      <c r="B29" s="57"/>
      <c r="C29" s="57"/>
      <c r="D29" s="57"/>
      <c r="E29" s="57"/>
    </row>
    <row r="30" spans="1:9" s="8" customFormat="1" ht="18.75" customHeight="1">
      <c r="A30" s="10" t="s">
        <v>11</v>
      </c>
      <c r="B30" s="10" t="s">
        <v>188</v>
      </c>
      <c r="C30" s="10"/>
      <c r="D30" s="10"/>
      <c r="E30" s="10"/>
    </row>
    <row r="31" spans="1:9" s="8" customFormat="1" ht="17.45" customHeight="1">
      <c r="A31" s="10"/>
      <c r="B31" s="197" t="s">
        <v>189</v>
      </c>
      <c r="C31" s="198"/>
      <c r="D31" s="198"/>
      <c r="E31" s="199"/>
    </row>
    <row r="32" spans="1:9" s="8" customFormat="1" ht="17.45" customHeight="1">
      <c r="A32" s="10"/>
      <c r="B32" s="200"/>
      <c r="C32" s="201"/>
      <c r="D32" s="201"/>
      <c r="E32" s="202"/>
    </row>
    <row r="33" spans="1:5" s="8" customFormat="1" ht="17.45" customHeight="1">
      <c r="A33" s="10"/>
      <c r="B33" s="200"/>
      <c r="C33" s="201"/>
      <c r="D33" s="201"/>
      <c r="E33" s="202"/>
    </row>
    <row r="34" spans="1:5" s="8" customFormat="1" ht="17.45" customHeight="1">
      <c r="A34" s="10"/>
      <c r="B34" s="200"/>
      <c r="C34" s="201"/>
      <c r="D34" s="201"/>
      <c r="E34" s="202"/>
    </row>
    <row r="35" spans="1:5" s="8" customFormat="1" ht="17.45" customHeight="1">
      <c r="A35" s="10"/>
      <c r="B35" s="200"/>
      <c r="C35" s="201"/>
      <c r="D35" s="201"/>
      <c r="E35" s="202"/>
    </row>
    <row r="36" spans="1:5" s="8" customFormat="1" ht="17.45" customHeight="1">
      <c r="A36" s="10"/>
      <c r="B36" s="200"/>
      <c r="C36" s="201"/>
      <c r="D36" s="201"/>
      <c r="E36" s="202"/>
    </row>
    <row r="37" spans="1:5" s="8" customFormat="1" ht="17.45" customHeight="1">
      <c r="A37" s="10"/>
      <c r="B37" s="200"/>
      <c r="C37" s="201"/>
      <c r="D37" s="201"/>
      <c r="E37" s="202"/>
    </row>
    <row r="38" spans="1:5" s="8" customFormat="1" ht="17.45" customHeight="1">
      <c r="A38" s="10"/>
      <c r="B38" s="200"/>
      <c r="C38" s="201"/>
      <c r="D38" s="201"/>
      <c r="E38" s="202"/>
    </row>
    <row r="39" spans="1:5" s="8" customFormat="1" ht="17.45" customHeight="1">
      <c r="A39" s="10"/>
      <c r="B39" s="200"/>
      <c r="C39" s="201"/>
      <c r="D39" s="201"/>
      <c r="E39" s="202"/>
    </row>
    <row r="40" spans="1:5" s="8" customFormat="1" ht="17.45" customHeight="1">
      <c r="A40" s="10"/>
      <c r="B40" s="200"/>
      <c r="C40" s="201"/>
      <c r="D40" s="201"/>
      <c r="E40" s="202"/>
    </row>
    <row r="41" spans="1:5" s="8" customFormat="1" ht="17.45" customHeight="1">
      <c r="A41" s="10"/>
      <c r="B41" s="200"/>
      <c r="C41" s="201"/>
      <c r="D41" s="201"/>
      <c r="E41" s="202"/>
    </row>
    <row r="42" spans="1:5" s="8" customFormat="1" ht="17.45" customHeight="1">
      <c r="A42" s="10"/>
      <c r="B42" s="200"/>
      <c r="C42" s="201"/>
      <c r="D42" s="201"/>
      <c r="E42" s="202"/>
    </row>
    <row r="43" spans="1:5" s="8" customFormat="1" ht="17.45" customHeight="1">
      <c r="A43" s="10"/>
      <c r="B43" s="200"/>
      <c r="C43" s="201"/>
      <c r="D43" s="201"/>
      <c r="E43" s="202"/>
    </row>
    <row r="44" spans="1:5" s="8" customFormat="1" ht="17.45" customHeight="1">
      <c r="A44" s="10"/>
      <c r="B44" s="200"/>
      <c r="C44" s="201"/>
      <c r="D44" s="201"/>
      <c r="E44" s="202"/>
    </row>
    <row r="45" spans="1:5" ht="17.45" customHeight="1">
      <c r="A45" s="57"/>
      <c r="B45" s="200"/>
      <c r="C45" s="201"/>
      <c r="D45" s="201"/>
      <c r="E45" s="202"/>
    </row>
    <row r="46" spans="1:5" ht="17.45" customHeight="1">
      <c r="A46" s="57"/>
      <c r="B46" s="203"/>
      <c r="C46" s="204"/>
      <c r="D46" s="204"/>
      <c r="E46" s="205"/>
    </row>
    <row r="47" spans="1:5" s="8" customFormat="1" ht="18.75" customHeight="1">
      <c r="A47" s="72" t="s">
        <v>14</v>
      </c>
      <c r="B47" s="10" t="s">
        <v>190</v>
      </c>
      <c r="C47" s="72"/>
      <c r="D47" s="72"/>
      <c r="E47" s="72"/>
    </row>
    <row r="48" spans="1:5" ht="18.75" customHeight="1">
      <c r="A48" s="57"/>
      <c r="B48" s="197" t="s">
        <v>191</v>
      </c>
      <c r="C48" s="207"/>
      <c r="D48" s="207"/>
      <c r="E48" s="208"/>
    </row>
    <row r="49" spans="1:5" ht="18.75" customHeight="1">
      <c r="A49" s="57"/>
      <c r="B49" s="209"/>
      <c r="C49" s="210"/>
      <c r="D49" s="210"/>
      <c r="E49" s="211"/>
    </row>
    <row r="50" spans="1:5" ht="18.75" customHeight="1">
      <c r="A50" s="57"/>
      <c r="B50" s="209"/>
      <c r="C50" s="210"/>
      <c r="D50" s="210"/>
      <c r="E50" s="211"/>
    </row>
    <row r="51" spans="1:5" ht="18.75" customHeight="1">
      <c r="A51" s="57"/>
      <c r="B51" s="209"/>
      <c r="C51" s="210"/>
      <c r="D51" s="210"/>
      <c r="E51" s="211"/>
    </row>
    <row r="52" spans="1:5" ht="18.75" customHeight="1">
      <c r="A52" s="57"/>
      <c r="B52" s="209"/>
      <c r="C52" s="210"/>
      <c r="D52" s="210"/>
      <c r="E52" s="211"/>
    </row>
    <row r="53" spans="1:5" ht="18.75" customHeight="1">
      <c r="A53" s="57"/>
      <c r="B53" s="209"/>
      <c r="C53" s="210"/>
      <c r="D53" s="210"/>
      <c r="E53" s="211"/>
    </row>
    <row r="54" spans="1:5" ht="18.75" customHeight="1">
      <c r="A54" s="57"/>
      <c r="B54" s="209"/>
      <c r="C54" s="210"/>
      <c r="D54" s="210"/>
      <c r="E54" s="211"/>
    </row>
    <row r="55" spans="1:5" ht="18.75" customHeight="1">
      <c r="A55" s="57"/>
      <c r="B55" s="209"/>
      <c r="C55" s="210"/>
      <c r="D55" s="210"/>
      <c r="E55" s="211"/>
    </row>
    <row r="56" spans="1:5" ht="18.75" customHeight="1">
      <c r="A56" s="57"/>
      <c r="B56" s="209"/>
      <c r="C56" s="210"/>
      <c r="D56" s="210"/>
      <c r="E56" s="211"/>
    </row>
    <row r="57" spans="1:5" ht="18.75" customHeight="1">
      <c r="A57" s="57"/>
      <c r="B57" s="209"/>
      <c r="C57" s="210"/>
      <c r="D57" s="210"/>
      <c r="E57" s="211"/>
    </row>
    <row r="58" spans="1:5" ht="18.75" customHeight="1">
      <c r="A58" s="57"/>
      <c r="B58" s="209"/>
      <c r="C58" s="210"/>
      <c r="D58" s="210"/>
      <c r="E58" s="211"/>
    </row>
    <row r="59" spans="1:5" ht="18.75" customHeight="1">
      <c r="A59" s="57"/>
      <c r="B59" s="209"/>
      <c r="C59" s="210"/>
      <c r="D59" s="210"/>
      <c r="E59" s="211"/>
    </row>
    <row r="60" spans="1:5" ht="18.75" customHeight="1">
      <c r="A60" s="57"/>
      <c r="B60" s="209"/>
      <c r="C60" s="210"/>
      <c r="D60" s="210"/>
      <c r="E60" s="211"/>
    </row>
    <row r="61" spans="1:5" ht="18.75" customHeight="1">
      <c r="A61" s="57"/>
      <c r="B61" s="209"/>
      <c r="C61" s="210"/>
      <c r="D61" s="210"/>
      <c r="E61" s="211"/>
    </row>
    <row r="62" spans="1:5" ht="18.75" customHeight="1">
      <c r="A62" s="57"/>
      <c r="B62" s="209"/>
      <c r="C62" s="210"/>
      <c r="D62" s="210"/>
      <c r="E62" s="211"/>
    </row>
    <row r="63" spans="1:5" ht="18.75" customHeight="1">
      <c r="A63" s="57"/>
      <c r="B63" s="209"/>
      <c r="C63" s="210"/>
      <c r="D63" s="210"/>
      <c r="E63" s="211"/>
    </row>
    <row r="64" spans="1:5" ht="18.75" customHeight="1">
      <c r="A64" s="57"/>
      <c r="B64" s="209"/>
      <c r="C64" s="210"/>
      <c r="D64" s="210"/>
      <c r="E64" s="211"/>
    </row>
    <row r="65" spans="1:5" ht="18.75" customHeight="1">
      <c r="A65" s="57"/>
      <c r="B65" s="209"/>
      <c r="C65" s="210"/>
      <c r="D65" s="210"/>
      <c r="E65" s="211"/>
    </row>
    <row r="66" spans="1:5" ht="18.75" customHeight="1">
      <c r="A66" s="57"/>
      <c r="B66" s="209"/>
      <c r="C66" s="210"/>
      <c r="D66" s="210"/>
      <c r="E66" s="211"/>
    </row>
    <row r="67" spans="1:5" ht="18.75" customHeight="1">
      <c r="A67" s="57"/>
      <c r="B67" s="209"/>
      <c r="C67" s="210"/>
      <c r="D67" s="210"/>
      <c r="E67" s="211"/>
    </row>
    <row r="68" spans="1:5" ht="18.75" customHeight="1">
      <c r="A68" s="57"/>
      <c r="B68" s="212"/>
      <c r="C68" s="213"/>
      <c r="D68" s="213"/>
      <c r="E68" s="214"/>
    </row>
    <row r="69" spans="1:5" ht="7.5" customHeight="1">
      <c r="A69" s="57"/>
      <c r="B69" s="57"/>
      <c r="C69" s="57"/>
      <c r="D69" s="57"/>
      <c r="E69" s="57"/>
    </row>
    <row r="70" spans="1:5" s="8" customFormat="1" ht="18.75" customHeight="1">
      <c r="A70" s="10" t="s">
        <v>17</v>
      </c>
      <c r="B70" s="10" t="s">
        <v>192</v>
      </c>
      <c r="C70" s="10"/>
      <c r="D70" s="10"/>
      <c r="E70" s="10"/>
    </row>
    <row r="71" spans="1:5" s="8" customFormat="1" ht="18.75" customHeight="1">
      <c r="A71" s="10"/>
      <c r="B71" s="197" t="s">
        <v>193</v>
      </c>
      <c r="C71" s="198"/>
      <c r="D71" s="198"/>
      <c r="E71" s="199"/>
    </row>
    <row r="72" spans="1:5" s="8" customFormat="1" ht="18.75" customHeight="1">
      <c r="A72" s="10"/>
      <c r="B72" s="200"/>
      <c r="C72" s="201"/>
      <c r="D72" s="201"/>
      <c r="E72" s="202"/>
    </row>
    <row r="73" spans="1:5" s="8" customFormat="1" ht="18.75" customHeight="1">
      <c r="A73" s="10"/>
      <c r="B73" s="200"/>
      <c r="C73" s="201"/>
      <c r="D73" s="201"/>
      <c r="E73" s="202"/>
    </row>
    <row r="74" spans="1:5" s="8" customFormat="1" ht="18.75" customHeight="1">
      <c r="A74" s="10"/>
      <c r="B74" s="200"/>
      <c r="C74" s="201"/>
      <c r="D74" s="201"/>
      <c r="E74" s="202"/>
    </row>
    <row r="75" spans="1:5" s="8" customFormat="1" ht="18.75" customHeight="1">
      <c r="A75" s="10"/>
      <c r="B75" s="200"/>
      <c r="C75" s="201"/>
      <c r="D75" s="201"/>
      <c r="E75" s="202"/>
    </row>
    <row r="76" spans="1:5" s="8" customFormat="1" ht="18.75" customHeight="1">
      <c r="A76" s="10"/>
      <c r="B76" s="200"/>
      <c r="C76" s="201"/>
      <c r="D76" s="201"/>
      <c r="E76" s="202"/>
    </row>
    <row r="77" spans="1:5" s="8" customFormat="1" ht="18.75" customHeight="1">
      <c r="A77" s="10"/>
      <c r="B77" s="200"/>
      <c r="C77" s="201"/>
      <c r="D77" s="201"/>
      <c r="E77" s="202"/>
    </row>
    <row r="78" spans="1:5" s="8" customFormat="1" ht="18.75" customHeight="1">
      <c r="A78" s="10"/>
      <c r="B78" s="200"/>
      <c r="C78" s="201"/>
      <c r="D78" s="201"/>
      <c r="E78" s="202"/>
    </row>
    <row r="79" spans="1:5" s="8" customFormat="1" ht="18.75" customHeight="1">
      <c r="A79" s="10"/>
      <c r="B79" s="200"/>
      <c r="C79" s="201"/>
      <c r="D79" s="201"/>
      <c r="E79" s="202"/>
    </row>
    <row r="80" spans="1:5" s="8" customFormat="1" ht="18.75" customHeight="1">
      <c r="A80" s="10"/>
      <c r="B80" s="200"/>
      <c r="C80" s="201"/>
      <c r="D80" s="201"/>
      <c r="E80" s="202"/>
    </row>
    <row r="81" spans="1:5" s="8" customFormat="1" ht="18.75" customHeight="1">
      <c r="A81" s="10"/>
      <c r="B81" s="200"/>
      <c r="C81" s="201"/>
      <c r="D81" s="201"/>
      <c r="E81" s="202"/>
    </row>
    <row r="82" spans="1:5" s="8" customFormat="1" ht="18.75" customHeight="1">
      <c r="A82" s="10"/>
      <c r="B82" s="200"/>
      <c r="C82" s="201"/>
      <c r="D82" s="201"/>
      <c r="E82" s="202"/>
    </row>
    <row r="83" spans="1:5" s="8" customFormat="1" ht="18.75" customHeight="1">
      <c r="A83" s="10"/>
      <c r="B83" s="200"/>
      <c r="C83" s="201"/>
      <c r="D83" s="201"/>
      <c r="E83" s="202"/>
    </row>
    <row r="84" spans="1:5" s="8" customFormat="1" ht="18.75" customHeight="1">
      <c r="A84" s="10"/>
      <c r="B84" s="200"/>
      <c r="C84" s="201"/>
      <c r="D84" s="201"/>
      <c r="E84" s="202"/>
    </row>
    <row r="85" spans="1:5" s="8" customFormat="1" ht="18.75" customHeight="1">
      <c r="A85" s="10"/>
      <c r="B85" s="200"/>
      <c r="C85" s="201"/>
      <c r="D85" s="201"/>
      <c r="E85" s="202"/>
    </row>
    <row r="86" spans="1:5" s="8" customFormat="1" ht="18.75" customHeight="1">
      <c r="A86" s="10"/>
      <c r="B86" s="200"/>
      <c r="C86" s="201"/>
      <c r="D86" s="201"/>
      <c r="E86" s="202"/>
    </row>
    <row r="87" spans="1:5" s="8" customFormat="1" ht="18.75" customHeight="1">
      <c r="A87" s="10"/>
      <c r="B87" s="200"/>
      <c r="C87" s="201"/>
      <c r="D87" s="201"/>
      <c r="E87" s="202"/>
    </row>
    <row r="88" spans="1:5" ht="18.75" customHeight="1">
      <c r="A88" s="57"/>
      <c r="B88" s="200"/>
      <c r="C88" s="201"/>
      <c r="D88" s="201"/>
      <c r="E88" s="202"/>
    </row>
    <row r="89" spans="1:5" ht="18.75" customHeight="1">
      <c r="A89" s="57"/>
      <c r="B89" s="203"/>
      <c r="C89" s="204"/>
      <c r="D89" s="204"/>
      <c r="E89" s="205"/>
    </row>
    <row r="90" spans="1:5" ht="7.5" customHeight="1">
      <c r="A90" s="57"/>
      <c r="B90" s="57"/>
      <c r="C90" s="57"/>
      <c r="D90" s="57"/>
      <c r="E90" s="57"/>
    </row>
    <row r="91" spans="1:5" s="8" customFormat="1" ht="18.75" customHeight="1">
      <c r="A91" s="10" t="s">
        <v>20</v>
      </c>
      <c r="B91" s="10" t="s">
        <v>194</v>
      </c>
      <c r="C91" s="10"/>
      <c r="D91" s="10"/>
      <c r="E91" s="10"/>
    </row>
    <row r="92" spans="1:5" s="8" customFormat="1" ht="18.75" customHeight="1">
      <c r="A92" s="10"/>
      <c r="B92" s="197" t="s">
        <v>195</v>
      </c>
      <c r="C92" s="198"/>
      <c r="D92" s="198"/>
      <c r="E92" s="199"/>
    </row>
    <row r="93" spans="1:5" s="8" customFormat="1" ht="18.75" customHeight="1">
      <c r="A93" s="10"/>
      <c r="B93" s="200"/>
      <c r="C93" s="201"/>
      <c r="D93" s="201"/>
      <c r="E93" s="202"/>
    </row>
    <row r="94" spans="1:5" s="8" customFormat="1" ht="18.75" customHeight="1">
      <c r="A94" s="10"/>
      <c r="B94" s="200"/>
      <c r="C94" s="201"/>
      <c r="D94" s="201"/>
      <c r="E94" s="202"/>
    </row>
    <row r="95" spans="1:5" s="8" customFormat="1" ht="18.75" customHeight="1">
      <c r="A95" s="10"/>
      <c r="B95" s="200"/>
      <c r="C95" s="201"/>
      <c r="D95" s="201"/>
      <c r="E95" s="202"/>
    </row>
    <row r="96" spans="1:5" s="8" customFormat="1" ht="18.75" customHeight="1">
      <c r="A96" s="10"/>
      <c r="B96" s="200"/>
      <c r="C96" s="201"/>
      <c r="D96" s="201"/>
      <c r="E96" s="202"/>
    </row>
    <row r="97" spans="1:5" s="8" customFormat="1" ht="18.75" customHeight="1">
      <c r="A97" s="10"/>
      <c r="B97" s="200"/>
      <c r="C97" s="201"/>
      <c r="D97" s="201"/>
      <c r="E97" s="202"/>
    </row>
    <row r="98" spans="1:5" s="8" customFormat="1" ht="18.75" customHeight="1">
      <c r="A98" s="10"/>
      <c r="B98" s="200"/>
      <c r="C98" s="201"/>
      <c r="D98" s="201"/>
      <c r="E98" s="202"/>
    </row>
    <row r="99" spans="1:5" s="8" customFormat="1" ht="18.75" customHeight="1">
      <c r="A99" s="10"/>
      <c r="B99" s="200"/>
      <c r="C99" s="201"/>
      <c r="D99" s="201"/>
      <c r="E99" s="202"/>
    </row>
    <row r="100" spans="1:5" s="8" customFormat="1" ht="18.75" customHeight="1">
      <c r="A100" s="10"/>
      <c r="B100" s="200"/>
      <c r="C100" s="201"/>
      <c r="D100" s="201"/>
      <c r="E100" s="202"/>
    </row>
    <row r="101" spans="1:5" s="8" customFormat="1" ht="18.75" customHeight="1">
      <c r="A101" s="10"/>
      <c r="B101" s="200"/>
      <c r="C101" s="201"/>
      <c r="D101" s="201"/>
      <c r="E101" s="202"/>
    </row>
    <row r="102" spans="1:5" s="8" customFormat="1" ht="18.75" customHeight="1">
      <c r="A102" s="10"/>
      <c r="B102" s="200"/>
      <c r="C102" s="201"/>
      <c r="D102" s="201"/>
      <c r="E102" s="202"/>
    </row>
    <row r="103" spans="1:5" s="8" customFormat="1" ht="18.75" customHeight="1">
      <c r="A103" s="10"/>
      <c r="B103" s="200"/>
      <c r="C103" s="201"/>
      <c r="D103" s="201"/>
      <c r="E103" s="202"/>
    </row>
    <row r="104" spans="1:5" s="8" customFormat="1" ht="18.75" customHeight="1">
      <c r="A104" s="10"/>
      <c r="B104" s="200"/>
      <c r="C104" s="201"/>
      <c r="D104" s="201"/>
      <c r="E104" s="202"/>
    </row>
    <row r="105" spans="1:5" s="8" customFormat="1" ht="18.75" customHeight="1">
      <c r="A105" s="10"/>
      <c r="B105" s="200"/>
      <c r="C105" s="201"/>
      <c r="D105" s="201"/>
      <c r="E105" s="202"/>
    </row>
    <row r="106" spans="1:5" s="8" customFormat="1" ht="18.75" customHeight="1">
      <c r="A106" s="10"/>
      <c r="B106" s="200"/>
      <c r="C106" s="201"/>
      <c r="D106" s="201"/>
      <c r="E106" s="202"/>
    </row>
    <row r="107" spans="1:5" s="8" customFormat="1" ht="18.75" customHeight="1">
      <c r="A107" s="10"/>
      <c r="B107" s="200"/>
      <c r="C107" s="201"/>
      <c r="D107" s="201"/>
      <c r="E107" s="202"/>
    </row>
    <row r="108" spans="1:5" s="8" customFormat="1" ht="18.75" customHeight="1">
      <c r="A108" s="10"/>
      <c r="B108" s="200"/>
      <c r="C108" s="201"/>
      <c r="D108" s="201"/>
      <c r="E108" s="202"/>
    </row>
    <row r="109" spans="1:5" s="8" customFormat="1" ht="18.75" customHeight="1">
      <c r="A109" s="10"/>
      <c r="B109" s="200"/>
      <c r="C109" s="201"/>
      <c r="D109" s="201"/>
      <c r="E109" s="202"/>
    </row>
    <row r="110" spans="1:5" ht="18.75" customHeight="1">
      <c r="A110" s="57"/>
      <c r="B110" s="200"/>
      <c r="C110" s="201"/>
      <c r="D110" s="201"/>
      <c r="E110" s="202"/>
    </row>
    <row r="111" spans="1:5" ht="18.75" customHeight="1">
      <c r="A111" s="57"/>
      <c r="B111" s="203"/>
      <c r="C111" s="204"/>
      <c r="D111" s="204"/>
      <c r="E111" s="205"/>
    </row>
    <row r="112" spans="1:5" ht="7.5" customHeight="1">
      <c r="A112" s="57"/>
      <c r="B112" s="57"/>
      <c r="C112" s="57"/>
      <c r="D112" s="57"/>
      <c r="E112" s="57"/>
    </row>
    <row r="113" spans="1:5" s="8" customFormat="1" ht="18.75" customHeight="1">
      <c r="A113" s="10" t="s">
        <v>25</v>
      </c>
      <c r="B113" s="206" t="s">
        <v>196</v>
      </c>
      <c r="C113" s="206"/>
      <c r="D113" s="206"/>
      <c r="E113" s="206"/>
    </row>
    <row r="114" spans="1:5" ht="18.75" customHeight="1">
      <c r="A114" s="57"/>
      <c r="B114" s="197" t="s">
        <v>197</v>
      </c>
      <c r="C114" s="198"/>
      <c r="D114" s="198"/>
      <c r="E114" s="199"/>
    </row>
    <row r="115" spans="1:5" ht="18.75" customHeight="1">
      <c r="A115" s="57"/>
      <c r="B115" s="200"/>
      <c r="C115" s="201"/>
      <c r="D115" s="201"/>
      <c r="E115" s="202"/>
    </row>
    <row r="116" spans="1:5" ht="18.75" customHeight="1">
      <c r="A116" s="57"/>
      <c r="B116" s="200"/>
      <c r="C116" s="201"/>
      <c r="D116" s="201"/>
      <c r="E116" s="202"/>
    </row>
    <row r="117" spans="1:5" ht="18.75" customHeight="1">
      <c r="A117" s="57"/>
      <c r="B117" s="200"/>
      <c r="C117" s="201"/>
      <c r="D117" s="201"/>
      <c r="E117" s="202"/>
    </row>
    <row r="118" spans="1:5" ht="18.75" customHeight="1">
      <c r="A118" s="57"/>
      <c r="B118" s="200"/>
      <c r="C118" s="201"/>
      <c r="D118" s="201"/>
      <c r="E118" s="202"/>
    </row>
    <row r="119" spans="1:5" ht="18.75" customHeight="1">
      <c r="A119" s="57"/>
      <c r="B119" s="200"/>
      <c r="C119" s="201"/>
      <c r="D119" s="201"/>
      <c r="E119" s="202"/>
    </row>
    <row r="120" spans="1:5" ht="18.75" customHeight="1">
      <c r="A120" s="57"/>
      <c r="B120" s="200"/>
      <c r="C120" s="201"/>
      <c r="D120" s="201"/>
      <c r="E120" s="202"/>
    </row>
    <row r="121" spans="1:5" ht="18.75" customHeight="1">
      <c r="A121" s="57"/>
      <c r="B121" s="200"/>
      <c r="C121" s="201"/>
      <c r="D121" s="201"/>
      <c r="E121" s="202"/>
    </row>
    <row r="122" spans="1:5" ht="18.75" customHeight="1">
      <c r="A122" s="57"/>
      <c r="B122" s="200"/>
      <c r="C122" s="201"/>
      <c r="D122" s="201"/>
      <c r="E122" s="202"/>
    </row>
    <row r="123" spans="1:5" ht="18.75" customHeight="1">
      <c r="A123" s="57"/>
      <c r="B123" s="200"/>
      <c r="C123" s="201"/>
      <c r="D123" s="201"/>
      <c r="E123" s="202"/>
    </row>
    <row r="124" spans="1:5" ht="18.75" customHeight="1">
      <c r="A124" s="57"/>
      <c r="B124" s="200"/>
      <c r="C124" s="201"/>
      <c r="D124" s="201"/>
      <c r="E124" s="202"/>
    </row>
    <row r="125" spans="1:5" ht="18.75" customHeight="1">
      <c r="A125" s="57"/>
      <c r="B125" s="200"/>
      <c r="C125" s="201"/>
      <c r="D125" s="201"/>
      <c r="E125" s="202"/>
    </row>
    <row r="126" spans="1:5" ht="18.75" customHeight="1">
      <c r="A126" s="57"/>
      <c r="B126" s="200"/>
      <c r="C126" s="201"/>
      <c r="D126" s="201"/>
      <c r="E126" s="202"/>
    </row>
    <row r="127" spans="1:5" ht="18.75" customHeight="1">
      <c r="A127" s="57"/>
      <c r="B127" s="200"/>
      <c r="C127" s="201"/>
      <c r="D127" s="201"/>
      <c r="E127" s="202"/>
    </row>
    <row r="128" spans="1:5" ht="18.75" customHeight="1">
      <c r="A128" s="57"/>
      <c r="B128" s="200"/>
      <c r="C128" s="201"/>
      <c r="D128" s="201"/>
      <c r="E128" s="202"/>
    </row>
    <row r="129" spans="1:5" ht="18.75" customHeight="1">
      <c r="A129" s="57"/>
      <c r="B129" s="200"/>
      <c r="C129" s="201"/>
      <c r="D129" s="201"/>
      <c r="E129" s="202"/>
    </row>
    <row r="130" spans="1:5" ht="18.75" customHeight="1">
      <c r="A130" s="57"/>
      <c r="B130" s="200"/>
      <c r="C130" s="201"/>
      <c r="D130" s="201"/>
      <c r="E130" s="202"/>
    </row>
    <row r="131" spans="1:5" ht="18.75" customHeight="1">
      <c r="A131" s="57"/>
      <c r="B131" s="200"/>
      <c r="C131" s="201"/>
      <c r="D131" s="201"/>
      <c r="E131" s="202"/>
    </row>
    <row r="132" spans="1:5" ht="18.75" customHeight="1">
      <c r="A132" s="57"/>
      <c r="B132" s="200"/>
      <c r="C132" s="201"/>
      <c r="D132" s="201"/>
      <c r="E132" s="202"/>
    </row>
    <row r="133" spans="1:5" ht="18.75" customHeight="1">
      <c r="A133" s="57"/>
      <c r="B133" s="203"/>
      <c r="C133" s="204"/>
      <c r="D133" s="204"/>
      <c r="E133" s="205"/>
    </row>
    <row r="134" spans="1:5" ht="7.5" customHeight="1">
      <c r="A134" s="57"/>
      <c r="B134" s="73"/>
      <c r="C134" s="73"/>
      <c r="D134" s="73"/>
      <c r="E134" s="73"/>
    </row>
    <row r="135" spans="1:5" ht="18.75" customHeight="1">
      <c r="A135" s="57"/>
      <c r="B135" s="57"/>
      <c r="C135" s="57"/>
      <c r="D135" s="57"/>
      <c r="E135" s="57"/>
    </row>
    <row r="136" spans="1:5" ht="18.75" customHeight="1">
      <c r="A136" s="57"/>
      <c r="B136" s="57"/>
      <c r="C136" s="57"/>
      <c r="D136" s="57"/>
      <c r="E136" s="57"/>
    </row>
    <row r="137" spans="1:5" ht="18.75" customHeight="1">
      <c r="A137" s="57"/>
      <c r="B137" s="57"/>
      <c r="C137" s="57"/>
      <c r="D137" s="57"/>
      <c r="E137" s="57"/>
    </row>
    <row r="138" spans="1:5" ht="18.75" customHeight="1">
      <c r="A138" s="57"/>
      <c r="B138" s="57"/>
      <c r="C138" s="57"/>
      <c r="D138" s="57"/>
      <c r="E138" s="57"/>
    </row>
    <row r="139" spans="1:5" ht="18.75" customHeight="1">
      <c r="A139" s="57"/>
      <c r="B139" s="57"/>
      <c r="C139" s="57"/>
      <c r="D139" s="57"/>
      <c r="E139" s="57"/>
    </row>
    <row r="140" spans="1:5" ht="18.75" customHeight="1">
      <c r="A140" s="57"/>
      <c r="B140" s="57"/>
      <c r="C140" s="57"/>
      <c r="D140" s="57"/>
      <c r="E140" s="57"/>
    </row>
    <row r="141" spans="1:5" ht="18.75" customHeight="1">
      <c r="A141" s="57"/>
      <c r="B141" s="57"/>
      <c r="C141" s="57"/>
      <c r="D141" s="57"/>
      <c r="E141" s="57"/>
    </row>
    <row r="142" spans="1:5" ht="18.75" customHeight="1">
      <c r="A142" s="57"/>
      <c r="B142" s="57"/>
      <c r="C142" s="57"/>
      <c r="D142" s="57"/>
      <c r="E142" s="57"/>
    </row>
    <row r="143" spans="1:5" ht="18.75" customHeight="1">
      <c r="A143" s="57"/>
      <c r="B143" s="57"/>
      <c r="C143" s="57"/>
      <c r="D143" s="57"/>
      <c r="E143" s="57"/>
    </row>
    <row r="144" spans="1:5" ht="18.75" customHeight="1">
      <c r="A144" s="57"/>
      <c r="B144" s="57"/>
      <c r="C144" s="57"/>
      <c r="D144" s="57"/>
      <c r="E144" s="57"/>
    </row>
    <row r="145" spans="1:5" ht="18.75" customHeight="1">
      <c r="A145" s="57"/>
      <c r="B145" s="57"/>
      <c r="C145" s="57"/>
      <c r="D145" s="57"/>
      <c r="E145" s="57"/>
    </row>
    <row r="146" spans="1:5" ht="18.75" customHeight="1">
      <c r="A146" s="57"/>
      <c r="B146" s="57"/>
      <c r="C146" s="57"/>
      <c r="D146" s="57"/>
      <c r="E146" s="57"/>
    </row>
    <row r="147" spans="1:5" ht="14.25">
      <c r="A147" s="57"/>
      <c r="B147" s="57"/>
      <c r="C147" s="57"/>
      <c r="D147" s="57"/>
      <c r="E147" s="57"/>
    </row>
    <row r="148" spans="1:5" ht="7.5" customHeight="1">
      <c r="A148" s="74"/>
      <c r="B148" s="74"/>
      <c r="C148" s="74"/>
      <c r="D148" s="74"/>
      <c r="E148" s="7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Zeros="0" tabSelected="1" topLeftCell="A16" zoomScaleNormal="100" workbookViewId="0">
      <selection activeCell="H20" sqref="H20:J20"/>
    </sheetView>
  </sheetViews>
  <sheetFormatPr defaultColWidth="11.375" defaultRowHeight="22.5" customHeight="1"/>
  <cols>
    <col min="1" max="3" width="2.5" style="6" customWidth="1"/>
    <col min="4" max="4" width="22.5" style="6" customWidth="1"/>
    <col min="5" max="5" width="21.25" style="6" customWidth="1"/>
    <col min="6" max="7" width="7.5" style="6" customWidth="1"/>
    <col min="8" max="8" width="32.5" style="6" customWidth="1"/>
    <col min="9" max="9" width="24.875" style="6" customWidth="1"/>
    <col min="10" max="10" width="6.25" style="6" customWidth="1"/>
    <col min="11" max="11" width="4.125" style="6" customWidth="1"/>
    <col min="12" max="16384" width="11.375" style="6"/>
  </cols>
  <sheetData>
    <row r="1" spans="1:10" ht="18.75" customHeight="1">
      <c r="J1" s="80" t="s">
        <v>198</v>
      </c>
    </row>
    <row r="2" spans="1:10" ht="18.75" customHeight="1">
      <c r="D2" s="80"/>
      <c r="H2" s="80" t="s">
        <v>199</v>
      </c>
      <c r="I2" s="132" t="s">
        <v>4</v>
      </c>
      <c r="J2" s="132"/>
    </row>
    <row r="3" spans="1:10" ht="18.75" customHeight="1">
      <c r="A3" s="112" t="s">
        <v>200</v>
      </c>
      <c r="B3" s="112"/>
      <c r="C3" s="112"/>
      <c r="D3" s="112"/>
      <c r="E3" s="112"/>
      <c r="F3" s="112"/>
      <c r="G3" s="112"/>
      <c r="H3" s="112"/>
      <c r="I3" s="112"/>
      <c r="J3" s="112"/>
    </row>
    <row r="4" spans="1:10" ht="7.5" customHeight="1">
      <c r="B4" s="89"/>
      <c r="C4" s="89"/>
      <c r="D4" s="231"/>
      <c r="E4" s="231"/>
      <c r="F4" s="231"/>
      <c r="G4" s="231"/>
      <c r="H4" s="231"/>
      <c r="I4" s="231"/>
      <c r="J4" s="231"/>
    </row>
    <row r="5" spans="1:10" ht="18.75" customHeight="1">
      <c r="A5" s="6" t="s">
        <v>2</v>
      </c>
      <c r="B5" s="8" t="s">
        <v>201</v>
      </c>
      <c r="C5" s="89"/>
      <c r="D5" s="89"/>
      <c r="E5" s="89"/>
      <c r="F5" s="89"/>
      <c r="G5" s="89"/>
      <c r="H5" s="89"/>
      <c r="I5" s="89"/>
      <c r="J5" s="89"/>
    </row>
    <row r="6" spans="1:10" ht="18.75" customHeight="1">
      <c r="B6" s="98" t="s">
        <v>202</v>
      </c>
      <c r="C6" s="99"/>
      <c r="D6" s="100"/>
      <c r="E6" s="99" t="s">
        <v>203</v>
      </c>
      <c r="F6" s="99"/>
      <c r="G6" s="99"/>
      <c r="H6" s="99"/>
      <c r="I6" s="99"/>
      <c r="J6" s="100"/>
    </row>
    <row r="7" spans="1:10" ht="18.75" customHeight="1">
      <c r="B7" s="12" t="s">
        <v>204</v>
      </c>
      <c r="C7" s="57"/>
      <c r="D7" s="58"/>
      <c r="E7" s="14"/>
      <c r="F7" s="14"/>
      <c r="G7" s="14"/>
      <c r="H7" s="14"/>
      <c r="I7" s="57"/>
      <c r="J7" s="58"/>
    </row>
    <row r="8" spans="1:10" ht="202.5" customHeight="1">
      <c r="B8" s="59"/>
      <c r="C8" s="220" t="s">
        <v>205</v>
      </c>
      <c r="D8" s="221"/>
      <c r="E8" s="232" t="s">
        <v>206</v>
      </c>
      <c r="F8" s="222"/>
      <c r="G8" s="222"/>
      <c r="H8" s="222"/>
      <c r="I8" s="222"/>
      <c r="J8" s="223"/>
    </row>
    <row r="9" spans="1:10" ht="202.5" customHeight="1">
      <c r="B9" s="59"/>
      <c r="C9" s="218" t="s">
        <v>207</v>
      </c>
      <c r="D9" s="219"/>
      <c r="E9" s="232" t="s">
        <v>208</v>
      </c>
      <c r="F9" s="222"/>
      <c r="G9" s="222"/>
      <c r="H9" s="222"/>
      <c r="I9" s="222"/>
      <c r="J9" s="223"/>
    </row>
    <row r="10" spans="1:10" ht="172.5" customHeight="1">
      <c r="B10" s="59"/>
      <c r="C10" s="220" t="s">
        <v>209</v>
      </c>
      <c r="D10" s="221"/>
      <c r="E10" s="232" t="s">
        <v>210</v>
      </c>
      <c r="F10" s="222"/>
      <c r="G10" s="222"/>
      <c r="H10" s="222"/>
      <c r="I10" s="222"/>
      <c r="J10" s="223"/>
    </row>
    <row r="11" spans="1:10" ht="172.5" customHeight="1">
      <c r="B11" s="59"/>
      <c r="C11" s="220" t="s">
        <v>211</v>
      </c>
      <c r="D11" s="221"/>
      <c r="E11" s="232" t="s">
        <v>212</v>
      </c>
      <c r="F11" s="222"/>
      <c r="G11" s="222"/>
      <c r="H11" s="222"/>
      <c r="I11" s="222"/>
      <c r="J11" s="223"/>
    </row>
    <row r="12" spans="1:10" ht="172.5" customHeight="1">
      <c r="B12" s="59"/>
      <c r="C12" s="220" t="s">
        <v>213</v>
      </c>
      <c r="D12" s="221"/>
      <c r="E12" s="228" t="s">
        <v>214</v>
      </c>
      <c r="F12" s="229"/>
      <c r="G12" s="229"/>
      <c r="H12" s="229"/>
      <c r="I12" s="229"/>
      <c r="J12" s="230"/>
    </row>
    <row r="13" spans="1:10" ht="18.75" customHeight="1">
      <c r="B13" s="60" t="s">
        <v>215</v>
      </c>
      <c r="C13" s="61"/>
      <c r="D13" s="62"/>
      <c r="E13" s="63"/>
      <c r="F13" s="63"/>
      <c r="G13" s="63"/>
      <c r="H13" s="63"/>
      <c r="I13" s="63"/>
      <c r="J13" s="64"/>
    </row>
    <row r="14" spans="1:10" ht="255" customHeight="1">
      <c r="B14" s="59"/>
      <c r="C14" s="220" t="s">
        <v>216</v>
      </c>
      <c r="D14" s="221"/>
      <c r="E14" s="222" t="s">
        <v>217</v>
      </c>
      <c r="F14" s="222"/>
      <c r="G14" s="222"/>
      <c r="H14" s="222"/>
      <c r="I14" s="222"/>
      <c r="J14" s="223"/>
    </row>
    <row r="15" spans="1:10" ht="255" customHeight="1">
      <c r="B15" s="59"/>
      <c r="C15" s="220" t="s">
        <v>218</v>
      </c>
      <c r="D15" s="221"/>
      <c r="E15" s="222" t="s">
        <v>219</v>
      </c>
      <c r="F15" s="222"/>
      <c r="G15" s="222"/>
      <c r="H15" s="222"/>
      <c r="I15" s="222"/>
      <c r="J15" s="223"/>
    </row>
    <row r="16" spans="1:10" ht="232.5" customHeight="1">
      <c r="B16" s="224" t="s">
        <v>220</v>
      </c>
      <c r="C16" s="225"/>
      <c r="D16" s="221"/>
      <c r="E16" s="222" t="s">
        <v>221</v>
      </c>
      <c r="F16" s="222"/>
      <c r="G16" s="222"/>
      <c r="H16" s="222"/>
      <c r="I16" s="222"/>
      <c r="J16" s="223"/>
    </row>
    <row r="17" spans="1:10" ht="232.5" customHeight="1">
      <c r="A17" s="7"/>
      <c r="B17" s="215" t="s">
        <v>222</v>
      </c>
      <c r="C17" s="216"/>
      <c r="D17" s="217"/>
      <c r="E17" s="213" t="s">
        <v>223</v>
      </c>
      <c r="F17" s="213"/>
      <c r="G17" s="213"/>
      <c r="H17" s="213"/>
      <c r="I17" s="213"/>
      <c r="J17" s="214"/>
    </row>
    <row r="18" spans="1:10" ht="7.5" customHeight="1">
      <c r="B18" s="89"/>
      <c r="C18" s="89"/>
      <c r="D18" s="89"/>
      <c r="E18" s="89"/>
      <c r="F18" s="89"/>
      <c r="G18" s="89"/>
      <c r="H18" s="89"/>
      <c r="I18" s="89"/>
      <c r="J18" s="89"/>
    </row>
    <row r="19" spans="1:10" ht="18.75" customHeight="1">
      <c r="B19" s="8"/>
      <c r="C19" s="89"/>
      <c r="D19" s="89"/>
      <c r="E19" s="89"/>
      <c r="F19" s="65"/>
      <c r="G19" s="65"/>
      <c r="H19" s="66" t="s">
        <v>224</v>
      </c>
      <c r="I19" s="67"/>
      <c r="J19" s="68"/>
    </row>
    <row r="20" spans="1:10" ht="18.75" customHeight="1">
      <c r="A20" s="14" t="s">
        <v>5</v>
      </c>
      <c r="B20" s="69" t="s">
        <v>225</v>
      </c>
      <c r="C20" s="70"/>
      <c r="D20" s="70"/>
      <c r="E20" s="70"/>
      <c r="F20" s="56" t="s">
        <v>226</v>
      </c>
      <c r="G20" s="65"/>
      <c r="H20" s="226" t="s">
        <v>227</v>
      </c>
      <c r="I20" s="162"/>
      <c r="J20" s="227"/>
    </row>
    <row r="21" spans="1:10" ht="22.5" customHeight="1">
      <c r="B21" s="89"/>
      <c r="C21" s="89"/>
      <c r="D21" s="89"/>
      <c r="E21" s="89"/>
      <c r="F21" s="89"/>
      <c r="G21" s="89"/>
      <c r="H21" s="89"/>
      <c r="I21" s="89"/>
      <c r="J21" s="89"/>
    </row>
    <row r="22" spans="1:10" ht="22.5" customHeight="1">
      <c r="B22" s="89"/>
      <c r="C22" s="89"/>
      <c r="D22" s="89"/>
      <c r="E22" s="89"/>
      <c r="F22" s="89"/>
      <c r="G22" s="89"/>
      <c r="H22" s="89"/>
      <c r="I22" s="89"/>
      <c r="J22" s="89"/>
    </row>
    <row r="23" spans="1:10" ht="22.5" customHeight="1">
      <c r="B23" s="89"/>
      <c r="C23" s="89"/>
      <c r="D23" s="89"/>
      <c r="E23" s="89"/>
      <c r="F23" s="89"/>
      <c r="G23" s="89"/>
      <c r="H23" s="89"/>
      <c r="I23" s="89"/>
      <c r="J23" s="89"/>
    </row>
    <row r="24" spans="1:10" ht="22.5" customHeight="1">
      <c r="B24" s="89"/>
      <c r="C24" s="89"/>
      <c r="D24" s="89"/>
      <c r="E24" s="89"/>
      <c r="F24" s="89"/>
      <c r="G24" s="89"/>
      <c r="H24" s="89"/>
      <c r="I24" s="89"/>
      <c r="J24" s="89"/>
    </row>
    <row r="25" spans="1:10" ht="22.5" customHeight="1">
      <c r="B25" s="89"/>
      <c r="C25" s="89"/>
      <c r="D25" s="89"/>
      <c r="E25" s="89"/>
      <c r="F25" s="89"/>
      <c r="G25" s="89"/>
      <c r="H25" s="89"/>
      <c r="I25" s="89"/>
      <c r="J25" s="89"/>
    </row>
    <row r="26" spans="1:10" ht="22.5" customHeight="1">
      <c r="B26" s="84"/>
      <c r="C26" s="84"/>
      <c r="D26" s="84"/>
      <c r="E26" s="84"/>
      <c r="F26" s="84"/>
      <c r="G26" s="84"/>
      <c r="H26" s="84"/>
      <c r="I26" s="84"/>
      <c r="J26" s="84"/>
    </row>
    <row r="27" spans="1:10" ht="22.5" customHeight="1">
      <c r="B27" s="84"/>
      <c r="C27" s="84"/>
      <c r="D27" s="84"/>
      <c r="E27" s="84"/>
      <c r="F27" s="84"/>
      <c r="G27" s="84"/>
      <c r="H27" s="84"/>
      <c r="I27" s="84"/>
      <c r="J27" s="84"/>
    </row>
    <row r="28" spans="1:10" ht="22.5" customHeight="1">
      <c r="B28" s="84"/>
      <c r="C28" s="84"/>
      <c r="D28" s="84"/>
      <c r="E28" s="84"/>
      <c r="F28" s="84"/>
      <c r="G28" s="84"/>
      <c r="H28" s="84"/>
      <c r="I28" s="84"/>
      <c r="J28" s="84"/>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30"/>
  <sheetViews>
    <sheetView showZeros="0" workbookViewId="0">
      <selection activeCell="N24" sqref="N24"/>
    </sheetView>
  </sheetViews>
  <sheetFormatPr defaultColWidth="11.375" defaultRowHeight="18.75" customHeight="1"/>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c r="E1" s="147" t="s">
        <v>228</v>
      </c>
      <c r="F1" s="147"/>
    </row>
    <row r="2" spans="1:6" ht="18.75" customHeight="1">
      <c r="C2" s="85" t="s">
        <v>179</v>
      </c>
      <c r="D2" s="85" t="s">
        <v>180</v>
      </c>
      <c r="E2" s="242" t="s">
        <v>4</v>
      </c>
      <c r="F2" s="242"/>
    </row>
    <row r="3" spans="1:6" ht="7.5" customHeight="1">
      <c r="C3" s="85"/>
      <c r="D3" s="85"/>
      <c r="E3" s="90"/>
      <c r="F3" s="90"/>
    </row>
    <row r="4" spans="1:6" ht="18.75" customHeight="1">
      <c r="A4" s="157" t="s">
        <v>229</v>
      </c>
      <c r="B4" s="157"/>
      <c r="C4" s="157"/>
      <c r="D4" s="157"/>
      <c r="E4" s="157"/>
      <c r="F4" s="157"/>
    </row>
    <row r="5" spans="1:6" ht="7.5" customHeight="1">
      <c r="A5" s="86"/>
      <c r="B5" s="86"/>
      <c r="C5" s="86"/>
      <c r="D5" s="86"/>
      <c r="E5" s="86"/>
      <c r="F5" s="86"/>
    </row>
    <row r="6" spans="1:6" ht="18.75" customHeight="1">
      <c r="A6" s="86" t="s">
        <v>2</v>
      </c>
      <c r="B6" s="2" t="s">
        <v>230</v>
      </c>
      <c r="C6" s="86"/>
      <c r="D6" s="86"/>
      <c r="E6" s="86"/>
      <c r="F6" s="86"/>
    </row>
    <row r="7" spans="1:6" ht="18.75" customHeight="1">
      <c r="A7" s="86"/>
      <c r="B7" s="233" t="s">
        <v>231</v>
      </c>
      <c r="C7" s="234"/>
      <c r="D7" s="234"/>
      <c r="E7" s="234"/>
      <c r="F7" s="235"/>
    </row>
    <row r="8" spans="1:6" ht="18.75" customHeight="1">
      <c r="A8" s="86"/>
      <c r="B8" s="236"/>
      <c r="C8" s="237"/>
      <c r="D8" s="237"/>
      <c r="E8" s="237"/>
      <c r="F8" s="238"/>
    </row>
    <row r="9" spans="1:6" ht="18.75" customHeight="1">
      <c r="A9" s="86"/>
      <c r="B9" s="236"/>
      <c r="C9" s="237"/>
      <c r="D9" s="237"/>
      <c r="E9" s="237"/>
      <c r="F9" s="238"/>
    </row>
    <row r="10" spans="1:6" ht="18.75" customHeight="1">
      <c r="A10" s="86"/>
      <c r="B10" s="236"/>
      <c r="C10" s="237"/>
      <c r="D10" s="237"/>
      <c r="E10" s="237"/>
      <c r="F10" s="238"/>
    </row>
    <row r="11" spans="1:6" ht="18.75" customHeight="1">
      <c r="A11" s="86"/>
      <c r="B11" s="236"/>
      <c r="C11" s="237"/>
      <c r="D11" s="237"/>
      <c r="E11" s="237"/>
      <c r="F11" s="238"/>
    </row>
    <row r="12" spans="1:6" ht="18.75" customHeight="1">
      <c r="A12" s="86"/>
      <c r="B12" s="236"/>
      <c r="C12" s="237"/>
      <c r="D12" s="237"/>
      <c r="E12" s="237"/>
      <c r="F12" s="238"/>
    </row>
    <row r="13" spans="1:6" ht="18.75" customHeight="1">
      <c r="A13" s="86"/>
      <c r="B13" s="236"/>
      <c r="C13" s="237"/>
      <c r="D13" s="237"/>
      <c r="E13" s="237"/>
      <c r="F13" s="238"/>
    </row>
    <row r="14" spans="1:6" ht="18.75" customHeight="1">
      <c r="A14" s="86"/>
      <c r="B14" s="236"/>
      <c r="C14" s="237"/>
      <c r="D14" s="237"/>
      <c r="E14" s="237"/>
      <c r="F14" s="238"/>
    </row>
    <row r="15" spans="1:6" ht="18.75" customHeight="1">
      <c r="A15" s="86"/>
      <c r="B15" s="236"/>
      <c r="C15" s="237"/>
      <c r="D15" s="237"/>
      <c r="E15" s="237"/>
      <c r="F15" s="238"/>
    </row>
    <row r="16" spans="1:6" ht="18.75" customHeight="1">
      <c r="A16" s="86"/>
      <c r="B16" s="236"/>
      <c r="C16" s="237"/>
      <c r="D16" s="237"/>
      <c r="E16" s="237"/>
      <c r="F16" s="238"/>
    </row>
    <row r="17" spans="1:9" ht="18.75" customHeight="1">
      <c r="A17" s="86"/>
      <c r="B17" s="236"/>
      <c r="C17" s="237"/>
      <c r="D17" s="237"/>
      <c r="E17" s="237"/>
      <c r="F17" s="238"/>
    </row>
    <row r="18" spans="1:9" ht="18.75" customHeight="1">
      <c r="A18" s="86"/>
      <c r="B18" s="236"/>
      <c r="C18" s="237"/>
      <c r="D18" s="237"/>
      <c r="E18" s="237"/>
      <c r="F18" s="238"/>
    </row>
    <row r="19" spans="1:9" ht="18.75" customHeight="1">
      <c r="A19" s="86"/>
      <c r="B19" s="236"/>
      <c r="C19" s="237"/>
      <c r="D19" s="237"/>
      <c r="E19" s="237"/>
      <c r="F19" s="238"/>
    </row>
    <row r="20" spans="1:9" ht="18.75" customHeight="1">
      <c r="A20" s="86"/>
      <c r="B20" s="236"/>
      <c r="C20" s="237"/>
      <c r="D20" s="237"/>
      <c r="E20" s="237"/>
      <c r="F20" s="238"/>
      <c r="I20" s="6"/>
    </row>
    <row r="21" spans="1:9" ht="18.75" customHeight="1">
      <c r="A21" s="86"/>
      <c r="B21" s="236"/>
      <c r="C21" s="237"/>
      <c r="D21" s="237"/>
      <c r="E21" s="237"/>
      <c r="F21" s="238"/>
    </row>
    <row r="22" spans="1:9" ht="18.75" customHeight="1">
      <c r="A22" s="86"/>
      <c r="B22" s="236"/>
      <c r="C22" s="237"/>
      <c r="D22" s="237"/>
      <c r="E22" s="237"/>
      <c r="F22" s="238"/>
    </row>
    <row r="23" spans="1:9" ht="18.75" customHeight="1">
      <c r="A23" s="86"/>
      <c r="B23" s="236"/>
      <c r="C23" s="237"/>
      <c r="D23" s="237"/>
      <c r="E23" s="237"/>
      <c r="F23" s="238"/>
    </row>
    <row r="24" spans="1:9" ht="18.75" customHeight="1">
      <c r="A24" s="86"/>
      <c r="B24" s="236"/>
      <c r="C24" s="237"/>
      <c r="D24" s="237"/>
      <c r="E24" s="237"/>
      <c r="F24" s="238"/>
    </row>
    <row r="25" spans="1:9" ht="18.75" customHeight="1">
      <c r="A25" s="86"/>
      <c r="B25" s="236"/>
      <c r="C25" s="237"/>
      <c r="D25" s="237"/>
      <c r="E25" s="237"/>
      <c r="F25" s="238"/>
    </row>
    <row r="26" spans="1:9" ht="18.75" customHeight="1">
      <c r="A26" s="86"/>
      <c r="B26" s="236"/>
      <c r="C26" s="237"/>
      <c r="D26" s="237"/>
      <c r="E26" s="237"/>
      <c r="F26" s="238"/>
    </row>
    <row r="27" spans="1:9" ht="18.75" customHeight="1">
      <c r="A27" s="86"/>
      <c r="B27" s="236"/>
      <c r="C27" s="237"/>
      <c r="D27" s="237"/>
      <c r="E27" s="237"/>
      <c r="F27" s="238"/>
    </row>
    <row r="28" spans="1:9" ht="18.75" customHeight="1">
      <c r="A28" s="86"/>
      <c r="B28" s="236"/>
      <c r="C28" s="237"/>
      <c r="D28" s="237"/>
      <c r="E28" s="237"/>
      <c r="F28" s="238"/>
    </row>
    <row r="29" spans="1:9" ht="18.75" customHeight="1">
      <c r="A29" s="86"/>
      <c r="B29" s="236"/>
      <c r="C29" s="237"/>
      <c r="D29" s="237"/>
      <c r="E29" s="237"/>
      <c r="F29" s="238"/>
    </row>
    <row r="30" spans="1:9" ht="18.75" customHeight="1">
      <c r="A30" s="86"/>
      <c r="B30" s="236"/>
      <c r="C30" s="237"/>
      <c r="D30" s="237"/>
      <c r="E30" s="237"/>
      <c r="F30" s="238"/>
    </row>
    <row r="31" spans="1:9" ht="18.75" customHeight="1">
      <c r="A31" s="86"/>
      <c r="B31" s="236"/>
      <c r="C31" s="237"/>
      <c r="D31" s="237"/>
      <c r="E31" s="237"/>
      <c r="F31" s="238"/>
    </row>
    <row r="32" spans="1:9" ht="18.75" customHeight="1">
      <c r="A32" s="86"/>
      <c r="B32" s="236"/>
      <c r="C32" s="237"/>
      <c r="D32" s="237"/>
      <c r="E32" s="237"/>
      <c r="F32" s="238"/>
    </row>
    <row r="33" spans="1:6" ht="18.75" customHeight="1">
      <c r="A33" s="86"/>
      <c r="B33" s="236"/>
      <c r="C33" s="237"/>
      <c r="D33" s="237"/>
      <c r="E33" s="237"/>
      <c r="F33" s="238"/>
    </row>
    <row r="34" spans="1:6" ht="18.75" customHeight="1">
      <c r="A34" s="86"/>
      <c r="B34" s="236"/>
      <c r="C34" s="237"/>
      <c r="D34" s="237"/>
      <c r="E34" s="237"/>
      <c r="F34" s="238"/>
    </row>
    <row r="35" spans="1:6" ht="18.75" customHeight="1">
      <c r="A35" s="86"/>
      <c r="B35" s="236"/>
      <c r="C35" s="237"/>
      <c r="D35" s="237"/>
      <c r="E35" s="237"/>
      <c r="F35" s="238"/>
    </row>
    <row r="36" spans="1:6" ht="18.75" customHeight="1">
      <c r="A36" s="86"/>
      <c r="B36" s="236"/>
      <c r="C36" s="237"/>
      <c r="D36" s="237"/>
      <c r="E36" s="237"/>
      <c r="F36" s="238"/>
    </row>
    <row r="37" spans="1:6" ht="18.75" customHeight="1">
      <c r="A37" s="86"/>
      <c r="B37" s="236"/>
      <c r="C37" s="237"/>
      <c r="D37" s="237"/>
      <c r="E37" s="237"/>
      <c r="F37" s="238"/>
    </row>
    <row r="38" spans="1:6" ht="18.75" customHeight="1">
      <c r="A38" s="86"/>
      <c r="B38" s="236"/>
      <c r="C38" s="237"/>
      <c r="D38" s="237"/>
      <c r="E38" s="237"/>
      <c r="F38" s="238"/>
    </row>
    <row r="39" spans="1:6" ht="18.75" customHeight="1">
      <c r="A39" s="86"/>
      <c r="B39" s="236"/>
      <c r="C39" s="237"/>
      <c r="D39" s="237"/>
      <c r="E39" s="237"/>
      <c r="F39" s="238"/>
    </row>
    <row r="40" spans="1:6" ht="18.75" customHeight="1">
      <c r="A40" s="86"/>
      <c r="B40" s="236"/>
      <c r="C40" s="237"/>
      <c r="D40" s="237"/>
      <c r="E40" s="237"/>
      <c r="F40" s="238"/>
    </row>
    <row r="41" spans="1:6" ht="18.75" customHeight="1">
      <c r="A41" s="86"/>
      <c r="B41" s="236"/>
      <c r="C41" s="237"/>
      <c r="D41" s="237"/>
      <c r="E41" s="237"/>
      <c r="F41" s="238"/>
    </row>
    <row r="42" spans="1:6" ht="18.75" customHeight="1">
      <c r="A42" s="86"/>
      <c r="B42" s="236"/>
      <c r="C42" s="237"/>
      <c r="D42" s="237"/>
      <c r="E42" s="237"/>
      <c r="F42" s="238"/>
    </row>
    <row r="43" spans="1:6" ht="18.75" customHeight="1">
      <c r="A43" s="86"/>
      <c r="B43" s="236"/>
      <c r="C43" s="237"/>
      <c r="D43" s="237"/>
      <c r="E43" s="237"/>
      <c r="F43" s="238"/>
    </row>
    <row r="44" spans="1:6" ht="18.75" customHeight="1">
      <c r="A44" s="86"/>
      <c r="B44" s="239"/>
      <c r="C44" s="240"/>
      <c r="D44" s="240"/>
      <c r="E44" s="240"/>
      <c r="F44" s="241"/>
    </row>
    <row r="45" spans="1:6" ht="18.75" customHeight="1">
      <c r="A45" s="86" t="s">
        <v>5</v>
      </c>
      <c r="B45" s="2" t="s">
        <v>232</v>
      </c>
      <c r="C45" s="86"/>
      <c r="D45" s="86"/>
      <c r="E45" s="86"/>
      <c r="F45" s="86"/>
    </row>
    <row r="46" spans="1:6" ht="18.75" customHeight="1">
      <c r="A46" s="86"/>
      <c r="B46" s="233" t="s">
        <v>233</v>
      </c>
      <c r="C46" s="234"/>
      <c r="D46" s="234"/>
      <c r="E46" s="234"/>
      <c r="F46" s="235"/>
    </row>
    <row r="47" spans="1:6" ht="18.75" customHeight="1">
      <c r="A47" s="86"/>
      <c r="B47" s="236"/>
      <c r="C47" s="237"/>
      <c r="D47" s="237"/>
      <c r="E47" s="237"/>
      <c r="F47" s="238"/>
    </row>
    <row r="48" spans="1:6" ht="18.75" customHeight="1">
      <c r="A48" s="86"/>
      <c r="B48" s="236"/>
      <c r="C48" s="237"/>
      <c r="D48" s="237"/>
      <c r="E48" s="237"/>
      <c r="F48" s="238"/>
    </row>
    <row r="49" spans="1:6" ht="18.75" customHeight="1">
      <c r="A49" s="86"/>
      <c r="B49" s="236"/>
      <c r="C49" s="237"/>
      <c r="D49" s="237"/>
      <c r="E49" s="237"/>
      <c r="F49" s="238"/>
    </row>
    <row r="50" spans="1:6" ht="18.75" customHeight="1">
      <c r="A50" s="86"/>
      <c r="B50" s="236"/>
      <c r="C50" s="237"/>
      <c r="D50" s="237"/>
      <c r="E50" s="237"/>
      <c r="F50" s="238"/>
    </row>
    <row r="51" spans="1:6" ht="18.75" customHeight="1">
      <c r="A51" s="86"/>
      <c r="B51" s="236"/>
      <c r="C51" s="237"/>
      <c r="D51" s="237"/>
      <c r="E51" s="237"/>
      <c r="F51" s="238"/>
    </row>
    <row r="52" spans="1:6" ht="18.75" customHeight="1">
      <c r="A52" s="86"/>
      <c r="B52" s="236"/>
      <c r="C52" s="237"/>
      <c r="D52" s="237"/>
      <c r="E52" s="237"/>
      <c r="F52" s="238"/>
    </row>
    <row r="53" spans="1:6" ht="18.75" customHeight="1">
      <c r="A53" s="86"/>
      <c r="B53" s="236"/>
      <c r="C53" s="237"/>
      <c r="D53" s="237"/>
      <c r="E53" s="237"/>
      <c r="F53" s="238"/>
    </row>
    <row r="54" spans="1:6" ht="18.75" customHeight="1">
      <c r="A54" s="86"/>
      <c r="B54" s="236"/>
      <c r="C54" s="237"/>
      <c r="D54" s="237"/>
      <c r="E54" s="237"/>
      <c r="F54" s="238"/>
    </row>
    <row r="55" spans="1:6" ht="18.75" customHeight="1">
      <c r="A55" s="86"/>
      <c r="B55" s="236"/>
      <c r="C55" s="237"/>
      <c r="D55" s="237"/>
      <c r="E55" s="237"/>
      <c r="F55" s="238"/>
    </row>
    <row r="56" spans="1:6" ht="18.75" customHeight="1">
      <c r="A56" s="86"/>
      <c r="B56" s="236"/>
      <c r="C56" s="237"/>
      <c r="D56" s="237"/>
      <c r="E56" s="237"/>
      <c r="F56" s="238"/>
    </row>
    <row r="57" spans="1:6" ht="18.75" customHeight="1">
      <c r="A57" s="86"/>
      <c r="B57" s="236"/>
      <c r="C57" s="237"/>
      <c r="D57" s="237"/>
      <c r="E57" s="237"/>
      <c r="F57" s="238"/>
    </row>
    <row r="58" spans="1:6" ht="18.75" customHeight="1">
      <c r="A58" s="86"/>
      <c r="B58" s="236"/>
      <c r="C58" s="237"/>
      <c r="D58" s="237"/>
      <c r="E58" s="237"/>
      <c r="F58" s="238"/>
    </row>
    <row r="59" spans="1:6" ht="18.75" customHeight="1">
      <c r="A59" s="86"/>
      <c r="B59" s="236"/>
      <c r="C59" s="237"/>
      <c r="D59" s="237"/>
      <c r="E59" s="237"/>
      <c r="F59" s="238"/>
    </row>
    <row r="60" spans="1:6" ht="18.75" customHeight="1">
      <c r="A60" s="86"/>
      <c r="B60" s="236"/>
      <c r="C60" s="237"/>
      <c r="D60" s="237"/>
      <c r="E60" s="237"/>
      <c r="F60" s="238"/>
    </row>
    <row r="61" spans="1:6" ht="18.75" customHeight="1">
      <c r="A61" s="86"/>
      <c r="B61" s="236"/>
      <c r="C61" s="237"/>
      <c r="D61" s="237"/>
      <c r="E61" s="237"/>
      <c r="F61" s="238"/>
    </row>
    <row r="62" spans="1:6" ht="18.75" customHeight="1">
      <c r="A62" s="86"/>
      <c r="B62" s="236"/>
      <c r="C62" s="237"/>
      <c r="D62" s="237"/>
      <c r="E62" s="237"/>
      <c r="F62" s="238"/>
    </row>
    <row r="63" spans="1:6" ht="18.75" customHeight="1">
      <c r="A63" s="86"/>
      <c r="B63" s="236"/>
      <c r="C63" s="237"/>
      <c r="D63" s="237"/>
      <c r="E63" s="237"/>
      <c r="F63" s="238"/>
    </row>
    <row r="64" spans="1:6" ht="18.75" customHeight="1">
      <c r="A64" s="86"/>
      <c r="B64" s="236"/>
      <c r="C64" s="237"/>
      <c r="D64" s="237"/>
      <c r="E64" s="237"/>
      <c r="F64" s="238"/>
    </row>
    <row r="65" spans="1:6" ht="18.75" customHeight="1">
      <c r="A65" s="86"/>
      <c r="B65" s="236"/>
      <c r="C65" s="237"/>
      <c r="D65" s="237"/>
      <c r="E65" s="237"/>
      <c r="F65" s="238"/>
    </row>
    <row r="66" spans="1:6" ht="18.75" customHeight="1">
      <c r="A66" s="86"/>
      <c r="B66" s="236"/>
      <c r="C66" s="237"/>
      <c r="D66" s="237"/>
      <c r="E66" s="237"/>
      <c r="F66" s="238"/>
    </row>
    <row r="67" spans="1:6" ht="18.75" customHeight="1">
      <c r="A67" s="86"/>
      <c r="B67" s="236"/>
      <c r="C67" s="237"/>
      <c r="D67" s="237"/>
      <c r="E67" s="237"/>
      <c r="F67" s="238"/>
    </row>
    <row r="68" spans="1:6" ht="18.75" customHeight="1">
      <c r="A68" s="86"/>
      <c r="B68" s="236"/>
      <c r="C68" s="237"/>
      <c r="D68" s="237"/>
      <c r="E68" s="237"/>
      <c r="F68" s="238"/>
    </row>
    <row r="69" spans="1:6" ht="18.75" customHeight="1">
      <c r="A69" s="86"/>
      <c r="B69" s="236"/>
      <c r="C69" s="237"/>
      <c r="D69" s="237"/>
      <c r="E69" s="237"/>
      <c r="F69" s="238"/>
    </row>
    <row r="70" spans="1:6" ht="18.75" customHeight="1">
      <c r="A70" s="86"/>
      <c r="B70" s="236"/>
      <c r="C70" s="237"/>
      <c r="D70" s="237"/>
      <c r="E70" s="237"/>
      <c r="F70" s="238"/>
    </row>
    <row r="71" spans="1:6" ht="18.75" customHeight="1">
      <c r="A71" s="86"/>
      <c r="B71" s="236"/>
      <c r="C71" s="237"/>
      <c r="D71" s="237"/>
      <c r="E71" s="237"/>
      <c r="F71" s="238"/>
    </row>
    <row r="72" spans="1:6" ht="18.75" customHeight="1">
      <c r="A72" s="86"/>
      <c r="B72" s="236"/>
      <c r="C72" s="237"/>
      <c r="D72" s="237"/>
      <c r="E72" s="237"/>
      <c r="F72" s="238"/>
    </row>
    <row r="73" spans="1:6" ht="18.75" customHeight="1">
      <c r="A73" s="86"/>
      <c r="B73" s="236"/>
      <c r="C73" s="237"/>
      <c r="D73" s="237"/>
      <c r="E73" s="237"/>
      <c r="F73" s="238"/>
    </row>
    <row r="74" spans="1:6" ht="18.75" customHeight="1">
      <c r="A74" s="86"/>
      <c r="B74" s="236"/>
      <c r="C74" s="237"/>
      <c r="D74" s="237"/>
      <c r="E74" s="237"/>
      <c r="F74" s="238"/>
    </row>
    <row r="75" spans="1:6" ht="18.75" customHeight="1">
      <c r="A75" s="86"/>
      <c r="B75" s="236"/>
      <c r="C75" s="237"/>
      <c r="D75" s="237"/>
      <c r="E75" s="237"/>
      <c r="F75" s="238"/>
    </row>
    <row r="76" spans="1:6" ht="18.75" customHeight="1">
      <c r="A76" s="86"/>
      <c r="B76" s="236"/>
      <c r="C76" s="237"/>
      <c r="D76" s="237"/>
      <c r="E76" s="237"/>
      <c r="F76" s="238"/>
    </row>
    <row r="77" spans="1:6" ht="18.75" customHeight="1">
      <c r="A77" s="86"/>
      <c r="B77" s="236"/>
      <c r="C77" s="237"/>
      <c r="D77" s="237"/>
      <c r="E77" s="237"/>
      <c r="F77" s="238"/>
    </row>
    <row r="78" spans="1:6" ht="18.75" customHeight="1">
      <c r="A78" s="86"/>
      <c r="B78" s="236"/>
      <c r="C78" s="237"/>
      <c r="D78" s="237"/>
      <c r="E78" s="237"/>
      <c r="F78" s="238"/>
    </row>
    <row r="79" spans="1:6" ht="18.75" customHeight="1">
      <c r="A79" s="86"/>
      <c r="B79" s="236"/>
      <c r="C79" s="237"/>
      <c r="D79" s="237"/>
      <c r="E79" s="237"/>
      <c r="F79" s="238"/>
    </row>
    <row r="80" spans="1:6" ht="18.75" customHeight="1">
      <c r="A80" s="86"/>
      <c r="B80" s="236"/>
      <c r="C80" s="237"/>
      <c r="D80" s="237"/>
      <c r="E80" s="237"/>
      <c r="F80" s="238"/>
    </row>
    <row r="81" spans="1:6" ht="18.75" customHeight="1">
      <c r="A81" s="86"/>
      <c r="B81" s="236"/>
      <c r="C81" s="237"/>
      <c r="D81" s="237"/>
      <c r="E81" s="237"/>
      <c r="F81" s="238"/>
    </row>
    <row r="82" spans="1:6" ht="18.75" customHeight="1">
      <c r="A82" s="86"/>
      <c r="B82" s="236"/>
      <c r="C82" s="237"/>
      <c r="D82" s="237"/>
      <c r="E82" s="237"/>
      <c r="F82" s="238"/>
    </row>
    <row r="83" spans="1:6" ht="18.75" customHeight="1">
      <c r="A83" s="86"/>
      <c r="B83" s="236"/>
      <c r="C83" s="237"/>
      <c r="D83" s="237"/>
      <c r="E83" s="237"/>
      <c r="F83" s="238"/>
    </row>
    <row r="84" spans="1:6" ht="18.75" customHeight="1">
      <c r="A84" s="86"/>
      <c r="B84" s="236"/>
      <c r="C84" s="237"/>
      <c r="D84" s="237"/>
      <c r="E84" s="237"/>
      <c r="F84" s="238"/>
    </row>
    <row r="85" spans="1:6" ht="18.75" customHeight="1">
      <c r="A85" s="86"/>
      <c r="B85" s="236"/>
      <c r="C85" s="237"/>
      <c r="D85" s="237"/>
      <c r="E85" s="237"/>
      <c r="F85" s="238"/>
    </row>
    <row r="86" spans="1:6" ht="18.75" customHeight="1">
      <c r="A86" s="86"/>
      <c r="B86" s="236"/>
      <c r="C86" s="237"/>
      <c r="D86" s="237"/>
      <c r="E86" s="237"/>
      <c r="F86" s="238"/>
    </row>
    <row r="87" spans="1:6" ht="18.75" customHeight="1">
      <c r="A87" s="86"/>
      <c r="B87" s="239"/>
      <c r="C87" s="240"/>
      <c r="D87" s="240"/>
      <c r="E87" s="240"/>
      <c r="F87" s="241"/>
    </row>
    <row r="88" spans="1:6" s="3" customFormat="1" ht="18.75" customHeight="1">
      <c r="A88" s="2" t="s">
        <v>8</v>
      </c>
      <c r="B88" s="2" t="s">
        <v>234</v>
      </c>
      <c r="C88" s="2"/>
      <c r="D88" s="2"/>
      <c r="E88" s="2"/>
      <c r="F88" s="2"/>
    </row>
    <row r="89" spans="1:6" ht="18.75" customHeight="1">
      <c r="A89" s="86"/>
      <c r="B89" s="233" t="s">
        <v>235</v>
      </c>
      <c r="C89" s="234"/>
      <c r="D89" s="234"/>
      <c r="E89" s="234"/>
      <c r="F89" s="235"/>
    </row>
    <row r="90" spans="1:6" ht="18.75" customHeight="1">
      <c r="A90" s="86"/>
      <c r="B90" s="236"/>
      <c r="C90" s="237"/>
      <c r="D90" s="237"/>
      <c r="E90" s="237"/>
      <c r="F90" s="238"/>
    </row>
    <row r="91" spans="1:6" ht="18.75" customHeight="1">
      <c r="A91" s="86"/>
      <c r="B91" s="236"/>
      <c r="C91" s="237"/>
      <c r="D91" s="237"/>
      <c r="E91" s="237"/>
      <c r="F91" s="238"/>
    </row>
    <row r="92" spans="1:6" ht="18.75" customHeight="1">
      <c r="A92" s="86"/>
      <c r="B92" s="236"/>
      <c r="C92" s="237"/>
      <c r="D92" s="237"/>
      <c r="E92" s="237"/>
      <c r="F92" s="238"/>
    </row>
    <row r="93" spans="1:6" ht="18.75" customHeight="1">
      <c r="A93" s="86"/>
      <c r="B93" s="236"/>
      <c r="C93" s="237"/>
      <c r="D93" s="237"/>
      <c r="E93" s="237"/>
      <c r="F93" s="238"/>
    </row>
    <row r="94" spans="1:6" ht="18.75" customHeight="1">
      <c r="A94" s="86"/>
      <c r="B94" s="236"/>
      <c r="C94" s="237"/>
      <c r="D94" s="237"/>
      <c r="E94" s="237"/>
      <c r="F94" s="238"/>
    </row>
    <row r="95" spans="1:6" ht="18.75" customHeight="1">
      <c r="A95" s="86"/>
      <c r="B95" s="236"/>
      <c r="C95" s="237"/>
      <c r="D95" s="237"/>
      <c r="E95" s="237"/>
      <c r="F95" s="238"/>
    </row>
    <row r="96" spans="1:6" ht="18.75" customHeight="1">
      <c r="A96" s="86"/>
      <c r="B96" s="236"/>
      <c r="C96" s="237"/>
      <c r="D96" s="237"/>
      <c r="E96" s="237"/>
      <c r="F96" s="238"/>
    </row>
    <row r="97" spans="1:6" ht="18.75" customHeight="1">
      <c r="A97" s="86"/>
      <c r="B97" s="236"/>
      <c r="C97" s="237"/>
      <c r="D97" s="237"/>
      <c r="E97" s="237"/>
      <c r="F97" s="238"/>
    </row>
    <row r="98" spans="1:6" ht="18.75" customHeight="1">
      <c r="A98" s="86"/>
      <c r="B98" s="236"/>
      <c r="C98" s="237"/>
      <c r="D98" s="237"/>
      <c r="E98" s="237"/>
      <c r="F98" s="238"/>
    </row>
    <row r="99" spans="1:6" ht="18.75" customHeight="1">
      <c r="A99" s="86"/>
      <c r="B99" s="236"/>
      <c r="C99" s="237"/>
      <c r="D99" s="237"/>
      <c r="E99" s="237"/>
      <c r="F99" s="238"/>
    </row>
    <row r="100" spans="1:6" ht="18.75" customHeight="1">
      <c r="A100" s="86"/>
      <c r="B100" s="236"/>
      <c r="C100" s="237"/>
      <c r="D100" s="237"/>
      <c r="E100" s="237"/>
      <c r="F100" s="238"/>
    </row>
    <row r="101" spans="1:6" ht="18.75" customHeight="1">
      <c r="A101" s="86"/>
      <c r="B101" s="236"/>
      <c r="C101" s="237"/>
      <c r="D101" s="237"/>
      <c r="E101" s="237"/>
      <c r="F101" s="238"/>
    </row>
    <row r="102" spans="1:6" ht="18.75" customHeight="1">
      <c r="A102" s="86"/>
      <c r="B102" s="236"/>
      <c r="C102" s="237"/>
      <c r="D102" s="237"/>
      <c r="E102" s="237"/>
      <c r="F102" s="238"/>
    </row>
    <row r="103" spans="1:6" ht="18.75" customHeight="1">
      <c r="A103" s="86"/>
      <c r="B103" s="236"/>
      <c r="C103" s="237"/>
      <c r="D103" s="237"/>
      <c r="E103" s="237"/>
      <c r="F103" s="238"/>
    </row>
    <row r="104" spans="1:6" ht="18.75" customHeight="1">
      <c r="A104" s="86"/>
      <c r="B104" s="236"/>
      <c r="C104" s="237"/>
      <c r="D104" s="237"/>
      <c r="E104" s="237"/>
      <c r="F104" s="238"/>
    </row>
    <row r="105" spans="1:6" ht="18.75" customHeight="1">
      <c r="A105" s="86"/>
      <c r="B105" s="236"/>
      <c r="C105" s="237"/>
      <c r="D105" s="237"/>
      <c r="E105" s="237"/>
      <c r="F105" s="238"/>
    </row>
    <row r="106" spans="1:6" ht="18.75" customHeight="1">
      <c r="A106" s="86"/>
      <c r="B106" s="236"/>
      <c r="C106" s="237"/>
      <c r="D106" s="237"/>
      <c r="E106" s="237"/>
      <c r="F106" s="238"/>
    </row>
    <row r="107" spans="1:6" ht="18.75" customHeight="1">
      <c r="A107" s="86"/>
      <c r="B107" s="236"/>
      <c r="C107" s="237"/>
      <c r="D107" s="237"/>
      <c r="E107" s="237"/>
      <c r="F107" s="238"/>
    </row>
    <row r="108" spans="1:6" ht="18.75" customHeight="1">
      <c r="A108" s="86"/>
      <c r="B108" s="236"/>
      <c r="C108" s="237"/>
      <c r="D108" s="237"/>
      <c r="E108" s="237"/>
      <c r="F108" s="238"/>
    </row>
    <row r="109" spans="1:6" ht="18.75" customHeight="1">
      <c r="A109" s="86"/>
      <c r="B109" s="236"/>
      <c r="C109" s="237"/>
      <c r="D109" s="237"/>
      <c r="E109" s="237"/>
      <c r="F109" s="238"/>
    </row>
    <row r="110" spans="1:6" ht="18.75" customHeight="1">
      <c r="A110" s="86"/>
      <c r="B110" s="236"/>
      <c r="C110" s="237"/>
      <c r="D110" s="237"/>
      <c r="E110" s="237"/>
      <c r="F110" s="238"/>
    </row>
    <row r="111" spans="1:6" ht="18.75" customHeight="1">
      <c r="A111" s="86"/>
      <c r="B111" s="236"/>
      <c r="C111" s="237"/>
      <c r="D111" s="237"/>
      <c r="E111" s="237"/>
      <c r="F111" s="238"/>
    </row>
    <row r="112" spans="1:6" ht="18.75" customHeight="1">
      <c r="A112" s="86"/>
      <c r="B112" s="236"/>
      <c r="C112" s="237"/>
      <c r="D112" s="237"/>
      <c r="E112" s="237"/>
      <c r="F112" s="238"/>
    </row>
    <row r="113" spans="1:6" ht="18.75" customHeight="1">
      <c r="A113" s="86"/>
      <c r="B113" s="236"/>
      <c r="C113" s="237"/>
      <c r="D113" s="237"/>
      <c r="E113" s="237"/>
      <c r="F113" s="238"/>
    </row>
    <row r="114" spans="1:6" ht="18.75" customHeight="1">
      <c r="A114" s="86"/>
      <c r="B114" s="236"/>
      <c r="C114" s="237"/>
      <c r="D114" s="237"/>
      <c r="E114" s="237"/>
      <c r="F114" s="238"/>
    </row>
    <row r="115" spans="1:6" ht="18.75" customHeight="1">
      <c r="A115" s="86"/>
      <c r="B115" s="236"/>
      <c r="C115" s="237"/>
      <c r="D115" s="237"/>
      <c r="E115" s="237"/>
      <c r="F115" s="238"/>
    </row>
    <row r="116" spans="1:6" ht="18.75" customHeight="1">
      <c r="A116" s="86"/>
      <c r="B116" s="236"/>
      <c r="C116" s="237"/>
      <c r="D116" s="237"/>
      <c r="E116" s="237"/>
      <c r="F116" s="238"/>
    </row>
    <row r="117" spans="1:6" ht="18.75" customHeight="1">
      <c r="A117" s="86"/>
      <c r="B117" s="236"/>
      <c r="C117" s="237"/>
      <c r="D117" s="237"/>
      <c r="E117" s="237"/>
      <c r="F117" s="238"/>
    </row>
    <row r="118" spans="1:6" ht="18.75" customHeight="1">
      <c r="A118" s="86"/>
      <c r="B118" s="236"/>
      <c r="C118" s="237"/>
      <c r="D118" s="237"/>
      <c r="E118" s="237"/>
      <c r="F118" s="238"/>
    </row>
    <row r="119" spans="1:6" ht="18.75" customHeight="1">
      <c r="A119" s="86"/>
      <c r="B119" s="236"/>
      <c r="C119" s="237"/>
      <c r="D119" s="237"/>
      <c r="E119" s="237"/>
      <c r="F119" s="238"/>
    </row>
    <row r="120" spans="1:6" ht="18.75" customHeight="1">
      <c r="A120" s="86"/>
      <c r="B120" s="236"/>
      <c r="C120" s="237"/>
      <c r="D120" s="237"/>
      <c r="E120" s="237"/>
      <c r="F120" s="238"/>
    </row>
    <row r="121" spans="1:6" ht="18.75" customHeight="1">
      <c r="A121" s="86"/>
      <c r="B121" s="236"/>
      <c r="C121" s="237"/>
      <c r="D121" s="237"/>
      <c r="E121" s="237"/>
      <c r="F121" s="238"/>
    </row>
    <row r="122" spans="1:6" ht="18.75" customHeight="1">
      <c r="A122" s="86"/>
      <c r="B122" s="236"/>
      <c r="C122" s="237"/>
      <c r="D122" s="237"/>
      <c r="E122" s="237"/>
      <c r="F122" s="238"/>
    </row>
    <row r="123" spans="1:6" ht="18.75" customHeight="1">
      <c r="A123" s="86"/>
      <c r="B123" s="236"/>
      <c r="C123" s="237"/>
      <c r="D123" s="237"/>
      <c r="E123" s="237"/>
      <c r="F123" s="238"/>
    </row>
    <row r="124" spans="1:6" ht="18.75" customHeight="1">
      <c r="A124" s="86"/>
      <c r="B124" s="236"/>
      <c r="C124" s="237"/>
      <c r="D124" s="237"/>
      <c r="E124" s="237"/>
      <c r="F124" s="238"/>
    </row>
    <row r="125" spans="1:6" ht="18.75" customHeight="1">
      <c r="A125" s="86"/>
      <c r="B125" s="236"/>
      <c r="C125" s="237"/>
      <c r="D125" s="237"/>
      <c r="E125" s="237"/>
      <c r="F125" s="238"/>
    </row>
    <row r="126" spans="1:6" ht="18.75" customHeight="1">
      <c r="A126" s="86"/>
      <c r="B126" s="236"/>
      <c r="C126" s="237"/>
      <c r="D126" s="237"/>
      <c r="E126" s="237"/>
      <c r="F126" s="238"/>
    </row>
    <row r="127" spans="1:6" ht="18.75" customHeight="1">
      <c r="A127" s="86"/>
      <c r="B127" s="236"/>
      <c r="C127" s="237"/>
      <c r="D127" s="237"/>
      <c r="E127" s="237"/>
      <c r="F127" s="238"/>
    </row>
    <row r="128" spans="1:6" ht="18.75" customHeight="1">
      <c r="A128" s="86"/>
      <c r="B128" s="236"/>
      <c r="C128" s="237"/>
      <c r="D128" s="237"/>
      <c r="E128" s="237"/>
      <c r="F128" s="238"/>
    </row>
    <row r="129" spans="1:6" ht="18.75" customHeight="1">
      <c r="A129" s="86"/>
      <c r="B129" s="236"/>
      <c r="C129" s="237"/>
      <c r="D129" s="237"/>
      <c r="E129" s="237"/>
      <c r="F129" s="238"/>
    </row>
    <row r="130" spans="1:6" ht="18.75" customHeight="1">
      <c r="A130" s="86"/>
      <c r="B130" s="239"/>
      <c r="C130" s="240"/>
      <c r="D130" s="240"/>
      <c r="E130" s="240"/>
      <c r="F130" s="241"/>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木谷慎一</cp:lastModifiedBy>
  <cp:revision/>
  <dcterms:created xsi:type="dcterms:W3CDTF">2011-06-14T05:32:50Z</dcterms:created>
  <dcterms:modified xsi:type="dcterms:W3CDTF">2022-02-22T09:34:04Z</dcterms:modified>
  <cp:category/>
  <cp:contentStatus/>
</cp:coreProperties>
</file>