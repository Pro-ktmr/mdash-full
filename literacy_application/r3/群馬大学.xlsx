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N:\004 情報教育推進係\☆数理データサイエンス\R3（2021）年度\★認定制度\●申請書\210501～申請\18_群馬大学\"/>
    </mc:Choice>
  </mc:AlternateContent>
  <bookViews>
    <workbookView xWindow="0" yWindow="0" windowWidth="28800" windowHeight="13515" tabRatio="885"/>
  </bookViews>
  <sheets>
    <sheet name="様式１　大学等概要" sheetId="8" r:id="rId1"/>
    <sheet name="様式２プログラムを構成する授業科目" sheetId="41" r:id="rId2"/>
    <sheet name="様式３　履修者等数の実績" sheetId="31" r:id="rId3"/>
    <sheet name="様式4　プログラムの授業内容・概要" sheetId="37" r:id="rId4"/>
    <sheet name="様式５　教育の質・履修者数を向上させるための体制・計画" sheetId="35" r:id="rId5"/>
    <sheet name="様式６　自己点検・評価" sheetId="36" r:id="rId6"/>
  </sheets>
  <definedNames>
    <definedName name="_xlnm._FilterDatabase" localSheetId="1" hidden="1">様式２プログラムを構成する授業科目!#REF!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様式２プログラムを構成する授業科目!$A$1:$I$44</definedName>
    <definedName name="_xlnm.Print_Area" localSheetId="2">'様式３　履修者等数の実績'!$A$1:$R$31</definedName>
    <definedName name="_xlnm.Print_Area" localSheetId="3">'様式4　プログラムの授業内容・概要'!$A$1:$G$144</definedName>
    <definedName name="_xlnm.Print_Area" localSheetId="4">'様式５　教育の質・履修者数を向上させるための体制・計画'!$A$1:$E$134</definedName>
    <definedName name="_xlnm.Print_Area" localSheetId="5">'様式６　自己点検・評価'!$A$1:$J$20</definedName>
  </definedNames>
  <calcPr calcId="162913"/>
</workbook>
</file>

<file path=xl/calcChain.xml><?xml version="1.0" encoding="utf-8"?>
<calcChain xmlns="http://schemas.openxmlformats.org/spreadsheetml/2006/main">
  <c r="P29" i="31" l="1"/>
  <c r="O29" i="31"/>
  <c r="N29" i="31"/>
  <c r="M29" i="31"/>
  <c r="L29" i="31"/>
  <c r="K29" i="31"/>
  <c r="J29" i="31"/>
  <c r="I29" i="31"/>
  <c r="H29" i="31"/>
  <c r="G29" i="31"/>
  <c r="F29" i="31"/>
  <c r="E29" i="31"/>
  <c r="D29" i="31"/>
  <c r="Q28" i="31"/>
  <c r="R28" i="31" s="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6" i="31"/>
  <c r="R16" i="31" s="1"/>
  <c r="Q15" i="31"/>
  <c r="R15" i="31" s="1"/>
  <c r="Q14" i="31"/>
  <c r="R14" i="31" s="1"/>
  <c r="Q13" i="31"/>
  <c r="R13" i="31" s="1"/>
  <c r="Q12" i="31"/>
  <c r="R12" i="31" s="1"/>
  <c r="Q11" i="31"/>
  <c r="R11" i="31" s="1"/>
  <c r="Q10" i="31"/>
  <c r="R10" i="31" s="1"/>
  <c r="Q9" i="31"/>
  <c r="Q29" i="31" l="1"/>
  <c r="R29" i="31" s="1"/>
  <c r="R9" i="31"/>
</calcChain>
</file>

<file path=xl/sharedStrings.xml><?xml version="1.0" encoding="utf-8"?>
<sst xmlns="http://schemas.openxmlformats.org/spreadsheetml/2006/main" count="274" uniqueCount="199">
  <si>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</si>
  <si>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</si>
  <si>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</si>
  <si>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</si>
  <si>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</si>
  <si>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</si>
  <si>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</si>
  <si>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</si>
  <si>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</si>
  <si>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</si>
  <si>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</si>
  <si>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</si>
  <si>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</si>
  <si>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</si>
  <si>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</si>
  <si>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</si>
  <si>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</si>
  <si>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</si>
  <si>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</si>
  <si>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</si>
  <si>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</si>
  <si>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</si>
  <si>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</si>
  <si>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</si>
  <si>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</si>
  <si>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</si>
  <si>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</si>
  <si>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</si>
  <si>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</si>
  <si>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</si>
  <si>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</si>
  <si>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</si>
  <si>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</si>
  <si>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</si>
  <si>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</si>
  <si>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</si>
  <si>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</si>
  <si>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</si>
  <si>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</si>
  <si>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</si>
  <si>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</si>
  <si>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</si>
  <si>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</si>
  <si>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</si>
  <si>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</si>
  <si>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</si>
  <si>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</si>
  <si>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</si>
  <si>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</si>
  <si>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</si>
  <si>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</si>
  <si>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</si>
  <si>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大学等の設置者</t>
  </si>
  <si>
    <t>設置形態</t>
  </si>
  <si>
    <t>⑫</t>
    <phoneticPr fontId="1"/>
  </si>
  <si>
    <t>総数</t>
    <rPh sb="0" eb="2">
      <t>ソウスウ</t>
    </rPh>
    <phoneticPr fontId="1"/>
  </si>
  <si>
    <t>⑧</t>
    <phoneticPr fontId="1"/>
  </si>
  <si>
    <t>⑬</t>
    <phoneticPr fontId="1"/>
  </si>
  <si>
    <t>学校名：</t>
    <rPh sb="0" eb="2">
      <t>ガッコウ</t>
    </rPh>
    <phoneticPr fontId="1"/>
  </si>
  <si>
    <t>履修率</t>
    <rPh sb="0" eb="2">
      <t>リシュウ</t>
    </rPh>
    <rPh sb="2" eb="3">
      <t>リツ</t>
    </rPh>
    <phoneticPr fontId="1"/>
  </si>
  <si>
    <t>合　計</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</si>
  <si>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</si>
  <si>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</si>
  <si>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</si>
  <si>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</si>
  <si>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</si>
  <si>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</si>
  <si>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</si>
  <si>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</si>
  <si>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</si>
  <si>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</si>
  <si>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</si>
  <si>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</si>
  <si>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</si>
  <si>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</si>
  <si>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</si>
  <si>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</si>
  <si>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</si>
  <si>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</si>
  <si>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</si>
  <si>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</si>
  <si>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</si>
  <si>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</si>
  <si>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</si>
  <si>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</si>
  <si>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</si>
  <si>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</si>
  <si>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</si>
  <si>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</si>
  <si>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</si>
  <si>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</si>
  <si>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</si>
  <si>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</si>
  <si>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</si>
  <si>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</si>
  <si>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</si>
  <si>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</si>
  <si>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</si>
  <si>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</si>
  <si>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</si>
  <si>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</si>
  <si>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</si>
  <si>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</si>
  <si>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国立大学</t>
  </si>
  <si>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</si>
  <si>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</si>
  <si>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</si>
  <si>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</si>
  <si>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</si>
  <si>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</si>
  <si>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</si>
  <si>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</si>
  <si>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</si>
  <si>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</si>
  <si>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⑪</t>
    <phoneticPr fontId="1"/>
  </si>
  <si>
    <t>申請するプログラム又は授業科目名称</t>
    <rPh sb="0" eb="2">
      <t>シンセイ</t>
    </rPh>
    <rPh sb="9" eb="10">
      <t>マタ</t>
    </rPh>
    <rPh sb="11" eb="13">
      <t>ジュギョウ</t>
    </rPh>
    <rPh sb="13" eb="15">
      <t>カモク</t>
    </rPh>
    <rPh sb="15" eb="17">
      <t>メイショウ</t>
    </rPh>
    <phoneticPr fontId="1"/>
  </si>
  <si>
    <t>学部・学科等名称</t>
    <rPh sb="0" eb="2">
      <t>ガクブ</t>
    </rPh>
    <rPh sb="3" eb="5">
      <t>ガッカ</t>
    </rPh>
    <rPh sb="5" eb="6">
      <t>トウ</t>
    </rPh>
    <rPh sb="6" eb="8">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</si>
  <si>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</si>
  <si>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</si>
  <si>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</si>
  <si>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</si>
  <si>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群馬大学</t>
    <rPh sb="0" eb="4">
      <t>グンマダイガク</t>
    </rPh>
    <phoneticPr fontId="1"/>
  </si>
  <si>
    <t>国立大学法人群馬大学</t>
    <rPh sb="0" eb="2">
      <t>コクリツ</t>
    </rPh>
    <rPh sb="2" eb="4">
      <t>ダイガク</t>
    </rPh>
    <rPh sb="4" eb="6">
      <t>ホウジン</t>
    </rPh>
    <rPh sb="6" eb="8">
      <t>グンマ</t>
    </rPh>
    <rPh sb="8" eb="10">
      <t>ダイガク</t>
    </rPh>
    <phoneticPr fontId="1"/>
  </si>
  <si>
    <t>群馬県前橋市荒牧町4丁目2番地</t>
    <rPh sb="0" eb="3">
      <t>グンマケン</t>
    </rPh>
    <rPh sb="3" eb="6">
      <t>マエバシシ</t>
    </rPh>
    <rPh sb="6" eb="8">
      <t>アラマキ</t>
    </rPh>
    <rPh sb="8" eb="9">
      <t>マチ</t>
    </rPh>
    <rPh sb="10" eb="12">
      <t>チョウメ</t>
    </rPh>
    <rPh sb="13" eb="15">
      <t>バンチ</t>
    </rPh>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</si>
  <si>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</si>
  <si>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</si>
  <si>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林　邦彦</t>
    <rPh sb="0" eb="1">
      <t>ハヤシ</t>
    </rPh>
    <rPh sb="2" eb="4">
      <t>クニヒコ</t>
    </rPh>
    <phoneticPr fontId="1"/>
  </si>
  <si>
    <t>理事（教育・評価担当）</t>
    <rPh sb="0" eb="2">
      <t>リジ</t>
    </rPh>
    <rPh sb="3" eb="5">
      <t>キョウイク</t>
    </rPh>
    <rPh sb="6" eb="8">
      <t>ヒョウカ</t>
    </rPh>
    <rPh sb="8" eb="10">
      <t>タントウ</t>
    </rPh>
    <phoneticPr fontId="1"/>
  </si>
  <si>
    <t>浅尾　高行</t>
    <rPh sb="0" eb="2">
      <t>アサオ</t>
    </rPh>
    <rPh sb="3" eb="5">
      <t>タカユキ</t>
    </rPh>
    <phoneticPr fontId="1"/>
  </si>
  <si>
    <t>数理データ科学教育研究センター長</t>
    <rPh sb="0" eb="2">
      <t>スウリ</t>
    </rPh>
    <rPh sb="5" eb="11">
      <t>カガクキョウイクケンキュウ</t>
    </rPh>
    <rPh sb="15" eb="16">
      <t>チョウ</t>
    </rPh>
    <phoneticPr fontId="1"/>
  </si>
  <si>
    <t>連絡先</t>
    <rPh sb="0" eb="3">
      <t>レンラクサキ</t>
    </rPh>
    <phoneticPr fontId="1"/>
  </si>
  <si>
    <t>データ・サイエンス</t>
    <phoneticPr fontId="1"/>
  </si>
  <si>
    <t xml:space="preserve">データ・サイエンス </t>
    <phoneticPr fontId="1"/>
  </si>
  <si>
    <t>データ・サイエンス</t>
    <phoneticPr fontId="1"/>
  </si>
  <si>
    <t>データ・サイエンス</t>
    <phoneticPr fontId="1"/>
  </si>
  <si>
    <t>グラフによるデータの可視化，複数のグラフの組み合わせ，だめなグラフの特徴（９）</t>
    <rPh sb="10" eb="13">
      <t>カシカ</t>
    </rPh>
    <rPh sb="14" eb="16">
      <t>フクスウ</t>
    </rPh>
    <rPh sb="21" eb="22">
      <t>ク</t>
    </rPh>
    <rPh sb="23" eb="24">
      <t>ア</t>
    </rPh>
    <rPh sb="34" eb="36">
      <t>トクチョウ</t>
    </rPh>
    <phoneticPr fontId="1"/>
  </si>
  <si>
    <t>データの尺度，データの代表値，代表値の使い分け（８，１０）</t>
    <rPh sb="4" eb="6">
      <t>シャクド</t>
    </rPh>
    <rPh sb="11" eb="13">
      <t>ダイヒョウ</t>
    </rPh>
    <rPh sb="13" eb="14">
      <t>チ</t>
    </rPh>
    <rPh sb="15" eb="17">
      <t>ダイヒョウ</t>
    </rPh>
    <rPh sb="17" eb="18">
      <t>チ</t>
    </rPh>
    <rPh sb="19" eb="20">
      <t>ツカ</t>
    </rPh>
    <rPh sb="21" eb="22">
      <t>ワ</t>
    </rPh>
    <phoneticPr fontId="1"/>
  </si>
  <si>
    <t>エクセルによる散布図，クロス集計表の作成（１２）</t>
    <rPh sb="7" eb="9">
      <t>サンプ</t>
    </rPh>
    <rPh sb="9" eb="10">
      <t>ズ</t>
    </rPh>
    <rPh sb="14" eb="16">
      <t>シュウケイ</t>
    </rPh>
    <rPh sb="16" eb="17">
      <t>ヒョウ</t>
    </rPh>
    <rPh sb="18" eb="20">
      <t>サクセイ</t>
    </rPh>
    <phoneticPr fontId="1"/>
  </si>
  <si>
    <t>相関と共分散（１２）</t>
    <rPh sb="0" eb="2">
      <t>ソウカン</t>
    </rPh>
    <rPh sb="3" eb="6">
      <t>キョウブンサン</t>
    </rPh>
    <phoneticPr fontId="1"/>
  </si>
  <si>
    <t>エクセルの使い方（５）</t>
    <rPh sb="5" eb="6">
      <t>ツカ</t>
    </rPh>
    <rPh sb="7" eb="8">
      <t>カタ</t>
    </rPh>
    <phoneticPr fontId="1"/>
  </si>
  <si>
    <t>プロ野球データを用いたデータ解析（１４）</t>
    <rPh sb="2" eb="4">
      <t>ヤキュウ</t>
    </rPh>
    <rPh sb="8" eb="9">
      <t>モチ</t>
    </rPh>
    <rPh sb="14" eb="16">
      <t>カイセキ</t>
    </rPh>
    <phoneticPr fontId="1"/>
  </si>
  <si>
    <t>群馬大学</t>
    <rPh sb="0" eb="2">
      <t>グンマ</t>
    </rPh>
    <rPh sb="2" eb="4">
      <t>ダイガク</t>
    </rPh>
    <phoneticPr fontId="1"/>
  </si>
  <si>
    <t>群馬大学</t>
    <rPh sb="0" eb="2">
      <t>グンマ</t>
    </rPh>
    <rPh sb="2" eb="4">
      <t>ダイガク</t>
    </rPh>
    <phoneticPr fontId="1"/>
  </si>
  <si>
    <t>様式２－1</t>
    <rPh sb="0" eb="2">
      <t>ヨウシキ</t>
    </rPh>
    <phoneticPr fontId="1"/>
  </si>
  <si>
    <t>様式４－１</t>
    <rPh sb="0" eb="2">
      <t>ヨウシキ</t>
    </rPh>
    <phoneticPr fontId="1"/>
  </si>
  <si>
    <t>最終課題の発表（プロ野球データを用いたデータ解析）（１５）</t>
    <rPh sb="0" eb="2">
      <t>サイシュウ</t>
    </rPh>
    <rPh sb="2" eb="4">
      <t>カダイ</t>
    </rPh>
    <rPh sb="5" eb="7">
      <t>ハッピョウ</t>
    </rPh>
    <rPh sb="10" eb="12">
      <t>ヤキュウ</t>
    </rPh>
    <rPh sb="16" eb="17">
      <t>モチ</t>
    </rPh>
    <rPh sb="22" eb="24">
      <t>カイセキ</t>
    </rPh>
    <phoneticPr fontId="1"/>
  </si>
  <si>
    <t>情報倫理（第4回目の講義．全24クラスあるが，クラスによって何回目かは異なる． )</t>
    <rPh sb="0" eb="2">
      <t>ジョウホウ</t>
    </rPh>
    <rPh sb="2" eb="4">
      <t>リンリ</t>
    </rPh>
    <rPh sb="5" eb="6">
      <t>ダイ</t>
    </rPh>
    <rPh sb="7" eb="9">
      <t>カイメ</t>
    </rPh>
    <rPh sb="10" eb="12">
      <t>コウギ</t>
    </rPh>
    <rPh sb="13" eb="14">
      <t>ゼン</t>
    </rPh>
    <rPh sb="30" eb="33">
      <t>ナンカイメ</t>
    </rPh>
    <rPh sb="35" eb="36">
      <t>コト</t>
    </rPh>
    <phoneticPr fontId="1"/>
  </si>
  <si>
    <t>学部・学科によって、修了要件は相違しない</t>
  </si>
  <si>
    <t>群馬大学</t>
    <rPh sb="0" eb="2">
      <t>グンマ</t>
    </rPh>
    <rPh sb="2" eb="4">
      <t>ダイガク</t>
    </rPh>
    <phoneticPr fontId="1"/>
  </si>
  <si>
    <t xml:space="preserve">新入生（1年生，学部学科問わず）全学生必修の「データ・サイエンス」の2単位を取得すること．1年次に単位を取得できなかった学生は卒業時までに単位取得のこと． </t>
    <rPh sb="0" eb="3">
      <t>シンニュウセイ</t>
    </rPh>
    <rPh sb="5" eb="7">
      <t>ネンセイ</t>
    </rPh>
    <rPh sb="8" eb="10">
      <t>ガクブ</t>
    </rPh>
    <rPh sb="10" eb="12">
      <t>ガッカ</t>
    </rPh>
    <rPh sb="12" eb="13">
      <t>ト</t>
    </rPh>
    <rPh sb="16" eb="17">
      <t>ゼン</t>
    </rPh>
    <rPh sb="17" eb="19">
      <t>ガクセイ</t>
    </rPh>
    <rPh sb="19" eb="21">
      <t>ヒッシュウ</t>
    </rPh>
    <rPh sb="35" eb="37">
      <t>タンイ</t>
    </rPh>
    <rPh sb="38" eb="40">
      <t>シュトク</t>
    </rPh>
    <rPh sb="46" eb="47">
      <t>ネン</t>
    </rPh>
    <rPh sb="47" eb="48">
      <t>ジ</t>
    </rPh>
    <rPh sb="49" eb="51">
      <t>タンイ</t>
    </rPh>
    <rPh sb="52" eb="54">
      <t>シュトク</t>
    </rPh>
    <rPh sb="60" eb="62">
      <t>ガクセイ</t>
    </rPh>
    <rPh sb="63" eb="65">
      <t>ソツギョウ</t>
    </rPh>
    <rPh sb="65" eb="66">
      <t>ジ</t>
    </rPh>
    <rPh sb="69" eb="71">
      <t>タンイ</t>
    </rPh>
    <rPh sb="71" eb="73">
      <t>シュトク</t>
    </rPh>
    <phoneticPr fontId="1"/>
  </si>
  <si>
    <t>令和2年度</t>
    <rPh sb="0" eb="1">
      <t>レイ</t>
    </rPh>
    <rPh sb="1" eb="2">
      <t>ワ</t>
    </rPh>
    <rPh sb="3" eb="4">
      <t>ネン</t>
    </rPh>
    <rPh sb="4" eb="5">
      <t>ド</t>
    </rPh>
    <phoneticPr fontId="1"/>
  </si>
  <si>
    <t>共同教育学部　（教育）</t>
    <rPh sb="0" eb="2">
      <t>キョウドウ</t>
    </rPh>
    <rPh sb="2" eb="4">
      <t>キョウイク</t>
    </rPh>
    <rPh sb="4" eb="6">
      <t>ガクブ</t>
    </rPh>
    <rPh sb="8" eb="10">
      <t>キョウイク</t>
    </rPh>
    <phoneticPr fontId="1"/>
  </si>
  <si>
    <t>社会情報学部　（社会科学）</t>
    <rPh sb="0" eb="2">
      <t>シャカイ</t>
    </rPh>
    <rPh sb="2" eb="4">
      <t>ジョウホウ</t>
    </rPh>
    <rPh sb="4" eb="6">
      <t>ガクブ</t>
    </rPh>
    <rPh sb="8" eb="9">
      <t>シャ</t>
    </rPh>
    <rPh sb="9" eb="10">
      <t>カイ</t>
    </rPh>
    <rPh sb="10" eb="12">
      <t>カガク</t>
    </rPh>
    <phoneticPr fontId="1"/>
  </si>
  <si>
    <t>理工学部　（工学）</t>
    <rPh sb="0" eb="2">
      <t>リコウ</t>
    </rPh>
    <rPh sb="2" eb="4">
      <t>ガクブ</t>
    </rPh>
    <rPh sb="6" eb="8">
      <t>コウガク</t>
    </rPh>
    <phoneticPr fontId="1"/>
  </si>
  <si>
    <t>群馬大学大学教育・学生支援機構教育アセスメント委員会</t>
    <rPh sb="0" eb="2">
      <t>グンマ</t>
    </rPh>
    <rPh sb="2" eb="4">
      <t>ダイガク</t>
    </rPh>
    <rPh sb="4" eb="6">
      <t>ダイガク</t>
    </rPh>
    <rPh sb="6" eb="8">
      <t>キョウイク</t>
    </rPh>
    <rPh sb="9" eb="11">
      <t>ガクセイ</t>
    </rPh>
    <rPh sb="11" eb="13">
      <t>シエン</t>
    </rPh>
    <rPh sb="13" eb="15">
      <t>キコウ</t>
    </rPh>
    <rPh sb="15" eb="17">
      <t>キョウイク</t>
    </rPh>
    <rPh sb="23" eb="26">
      <t>イインカイ</t>
    </rPh>
    <phoneticPr fontId="1"/>
  </si>
  <si>
    <t>https://www.cmd.gunma-u.ac.jp/authorization-system/</t>
    <phoneticPr fontId="1"/>
  </si>
  <si>
    <r>
      <t>　全体で</t>
    </r>
    <r>
      <rPr>
        <sz val="12"/>
        <color theme="1"/>
        <rFont val="ＭＳ Ｐゴシック"/>
        <family val="2"/>
        <charset val="128"/>
        <scheme val="minor"/>
      </rPr>
      <t>24</t>
    </r>
    <r>
      <rPr>
        <sz val="12"/>
        <color theme="1"/>
        <rFont val="ＭＳ Ｐゴシック"/>
        <family val="3"/>
        <charset val="128"/>
        <scheme val="minor"/>
      </rPr>
      <t>クラスに分かれているため，担当教員による差が生じないよう共通の教材</t>
    </r>
    <r>
      <rPr>
        <sz val="12"/>
        <color theme="1"/>
        <rFont val="ＭＳ Ｐゴシック"/>
        <family val="2"/>
        <charset val="128"/>
        <scheme val="minor"/>
      </rPr>
      <t>(</t>
    </r>
    <r>
      <rPr>
        <sz val="12"/>
        <color theme="1"/>
        <rFont val="ＭＳ Ｐゴシック"/>
        <family val="3"/>
        <charset val="128"/>
        <scheme val="minor"/>
      </rPr>
      <t>動画</t>
    </r>
    <r>
      <rPr>
        <sz val="12"/>
        <color theme="1"/>
        <rFont val="ＭＳ Ｐゴシック"/>
        <family val="2"/>
        <charset val="128"/>
        <scheme val="minor"/>
      </rPr>
      <t>)</t>
    </r>
    <r>
      <rPr>
        <sz val="12"/>
        <color theme="1"/>
        <rFont val="ＭＳ Ｐゴシック"/>
        <family val="3"/>
        <charset val="128"/>
        <scheme val="minor"/>
      </rPr>
      <t>を作成している．動画配信サーバーには視聴状況が自動的に記録され，授業時間外の学習状況の把握が可能となっている．動画の視聴期間を当該授業の前後</t>
    </r>
    <r>
      <rPr>
        <sz val="12"/>
        <color theme="1"/>
        <rFont val="ＭＳ Ｐゴシック"/>
        <family val="2"/>
        <charset val="128"/>
        <scheme val="minor"/>
      </rPr>
      <t>2</t>
    </r>
    <r>
      <rPr>
        <sz val="12"/>
        <color theme="1"/>
        <rFont val="ＭＳ Ｐゴシック"/>
        <family val="3"/>
        <charset val="128"/>
        <scheme val="minor"/>
      </rPr>
      <t>週間に限定し，期間内に視聴することを必須条件にすることにより履修者が学習を先延ばしせずに毎回着実に学習を進めていく措置をとっている．なお視聴期間終了後は，視聴必須の条件とはせずに，復習のために常時視聴可能にしている．
　また</t>
    </r>
    <r>
      <rPr>
        <sz val="12"/>
        <color theme="1"/>
        <rFont val="ＭＳ Ｐゴシック"/>
        <family val="2"/>
        <charset val="128"/>
        <scheme val="minor"/>
      </rPr>
      <t>LMS</t>
    </r>
    <r>
      <rPr>
        <sz val="12"/>
        <color theme="1"/>
        <rFont val="ＭＳ Ｐゴシック"/>
        <family val="3"/>
        <charset val="128"/>
        <scheme val="minor"/>
      </rPr>
      <t>では，毎回の授業内容に関する小テストを実施している．小テストも実施可能な期間を</t>
    </r>
    <r>
      <rPr>
        <sz val="12"/>
        <color theme="1"/>
        <rFont val="ＭＳ Ｐゴシック"/>
        <family val="2"/>
        <charset val="128"/>
        <scheme val="minor"/>
      </rPr>
      <t>2</t>
    </r>
    <r>
      <rPr>
        <sz val="12"/>
        <color theme="1"/>
        <rFont val="ＭＳ Ｐゴシック"/>
        <family val="3"/>
        <charset val="128"/>
        <scheme val="minor"/>
      </rPr>
      <t xml:space="preserve">週間に限定することにより，学習を先延ばししないようにしている．
　小テストは総括的評価として最終成績の一部にも反映されるが、期間内であれば何度でも受験できるように設定しており、理解を着実にするための形成的評価を目的としている．　
</t>
    </r>
    <phoneticPr fontId="1"/>
  </si>
  <si>
    <r>
      <rPr>
        <sz val="12"/>
        <color theme="1"/>
        <rFont val="ＭＳ Ｐゴシック"/>
        <family val="3"/>
        <charset val="128"/>
        <scheme val="minor"/>
      </rPr>
      <t>　現在，1年次の必修科目として学科ごとに24クラス（各クラス50名程度に分けている．学生人数の多い学科は複数のクラスに分かれる．）で講義を行っている．担当教員は数理データ科学教育研究センターから５名，総合情報メディアセンターから２名，各学科から１０名，その他非常勤講師８名から構成されている．また，単位未取得学生には2年次以降（あるいは留年生では1年次），各専門課程での講義時間と被らないように，クラス配置を行っている．</t>
    </r>
    <r>
      <rPr>
        <sz val="12"/>
        <color rgb="FFFF0000"/>
        <rFont val="ＭＳ Ｐゴシック"/>
        <family val="2"/>
        <charset val="128"/>
        <scheme val="minor"/>
      </rPr>
      <t xml:space="preserve">
</t>
    </r>
    <rPh sb="100" eb="102">
      <t>ソウゴウ</t>
    </rPh>
    <rPh sb="102" eb="104">
      <t>ジョウホウ</t>
    </rPh>
    <phoneticPr fontId="1"/>
  </si>
  <si>
    <t xml:space="preserve">　このプログラム（科目「データ・サイエンス」）では，講義15回の内，3，5，8～15回目の講義中に演習課題を設けている．特に8～15回の講義では（これらの回はe-learning可能なように，教材ビデオが各回のLMS上に配置してある．）学生毎にビデオ視聴記録や演習問題の解答結果が記録される仕組みとなっている．これらの結果により，授業内容の理解度を把握することが可能である．これらの結果と，学生の最終成績評価をもとにして，数理データ科学教育研究センターと科目担当教員との話し合いによって，本教育プログラムの評価・改善を行っている．
</t>
    <rPh sb="9" eb="11">
      <t>カモク</t>
    </rPh>
    <rPh sb="26" eb="28">
      <t>コウギ</t>
    </rPh>
    <rPh sb="30" eb="31">
      <t>カイ</t>
    </rPh>
    <rPh sb="32" eb="33">
      <t>ウチ</t>
    </rPh>
    <rPh sb="42" eb="44">
      <t>カイメ</t>
    </rPh>
    <rPh sb="45" eb="48">
      <t>コウギチュウ</t>
    </rPh>
    <rPh sb="49" eb="51">
      <t>エンシュウ</t>
    </rPh>
    <rPh sb="51" eb="53">
      <t>カダイ</t>
    </rPh>
    <rPh sb="54" eb="55">
      <t>モウ</t>
    </rPh>
    <rPh sb="60" eb="61">
      <t>トク</t>
    </rPh>
    <rPh sb="66" eb="67">
      <t>カイ</t>
    </rPh>
    <rPh sb="68" eb="70">
      <t>コウギ</t>
    </rPh>
    <rPh sb="77" eb="78">
      <t>カイ</t>
    </rPh>
    <rPh sb="89" eb="91">
      <t>カノウ</t>
    </rPh>
    <rPh sb="96" eb="98">
      <t>キョウザイ</t>
    </rPh>
    <rPh sb="102" eb="104">
      <t>カクカイ</t>
    </rPh>
    <rPh sb="108" eb="109">
      <t>ジョウ</t>
    </rPh>
    <rPh sb="110" eb="112">
      <t>ハイチ</t>
    </rPh>
    <rPh sb="118" eb="120">
      <t>ガクセイ</t>
    </rPh>
    <rPh sb="120" eb="121">
      <t>ゴト</t>
    </rPh>
    <rPh sb="125" eb="127">
      <t>シチョウ</t>
    </rPh>
    <rPh sb="127" eb="129">
      <t>キロク</t>
    </rPh>
    <rPh sb="130" eb="132">
      <t>エンシュウ</t>
    </rPh>
    <rPh sb="132" eb="134">
      <t>モンダイ</t>
    </rPh>
    <rPh sb="135" eb="137">
      <t>カイトウ</t>
    </rPh>
    <rPh sb="137" eb="139">
      <t>ケッカ</t>
    </rPh>
    <rPh sb="140" eb="142">
      <t>キロク</t>
    </rPh>
    <rPh sb="145" eb="147">
      <t>シク</t>
    </rPh>
    <rPh sb="159" eb="161">
      <t>ケッカ</t>
    </rPh>
    <rPh sb="165" eb="167">
      <t>ジュギョウ</t>
    </rPh>
    <rPh sb="167" eb="169">
      <t>ナイヨウ</t>
    </rPh>
    <rPh sb="170" eb="173">
      <t>リカイド</t>
    </rPh>
    <rPh sb="174" eb="176">
      <t>ハアク</t>
    </rPh>
    <rPh sb="181" eb="183">
      <t>カノウ</t>
    </rPh>
    <rPh sb="191" eb="193">
      <t>ケッカ</t>
    </rPh>
    <rPh sb="195" eb="197">
      <t>ガクセイ</t>
    </rPh>
    <rPh sb="198" eb="200">
      <t>サイシュウ</t>
    </rPh>
    <rPh sb="200" eb="202">
      <t>セイセキ</t>
    </rPh>
    <rPh sb="202" eb="204">
      <t>ヒョウカ</t>
    </rPh>
    <rPh sb="211" eb="213">
      <t>スウリ</t>
    </rPh>
    <rPh sb="216" eb="222">
      <t>カガクキョウイクケンキュウ</t>
    </rPh>
    <rPh sb="227" eb="229">
      <t>カモク</t>
    </rPh>
    <rPh sb="229" eb="231">
      <t>タントウ</t>
    </rPh>
    <rPh sb="231" eb="233">
      <t>キョウイン</t>
    </rPh>
    <rPh sb="235" eb="236">
      <t>ハナ</t>
    </rPh>
    <rPh sb="237" eb="238">
      <t>ア</t>
    </rPh>
    <rPh sb="244" eb="245">
      <t>ホン</t>
    </rPh>
    <rPh sb="245" eb="247">
      <t>キョウイク</t>
    </rPh>
    <rPh sb="253" eb="255">
      <t>ヒョウカ</t>
    </rPh>
    <rPh sb="256" eb="258">
      <t>カイゼン</t>
    </rPh>
    <rPh sb="259" eb="260">
      <t>オコナ</t>
    </rPh>
    <phoneticPr fontId="1"/>
  </si>
  <si>
    <r>
      <rPr>
        <sz val="12"/>
        <rFont val="ＭＳ Ｐゴシック"/>
        <family val="3"/>
        <charset val="128"/>
        <scheme val="minor"/>
      </rPr>
      <t xml:space="preserve">　科目「データ・サイエンス」に対しての学生アンケート，LMS上に設置した質問コーナーからの学生の意見，クラス毎の担当教員から寄せられた教材の使用感なども参考に次年度に向けたより良い教材作り，講義内容・実施方法を検討している．
　今年度は，来年度からの使用を想定して，反転学習とインタラクティブな教材作りを予定している．もともと，個人の技術力にばらつきの多いオンライン実習用に開発したものを応用する．これにより，教育バックグラウンドの異なる学生が受講するデータサイエンスにおいて個別最適化教育を実現し，時間枠に制限されずに自己学習ができるプログラムとして，より分かりやすく利用しやすい教材となる．
</t>
    </r>
    <r>
      <rPr>
        <sz val="12"/>
        <color rgb="FFFF0000"/>
        <rFont val="ＭＳ Ｐゴシック"/>
        <family val="3"/>
        <charset val="128"/>
        <scheme val="minor"/>
      </rPr>
      <t xml:space="preserve">
</t>
    </r>
    <phoneticPr fontId="1"/>
  </si>
  <si>
    <t xml:space="preserve">　本教育プログラム受講者全員（1年次全員の必修科目．前期20クラス，後期4クラス）に対して授業アンケートを実施している．2020年度のアンケート対象者数は１１５４名，提出者数は９１５名（回収率７９．３％）であった．アンケ―トの質問事項は多岐にわたるが，授業内容の構成，わかりやすさ，e-learningでの動画内容などの評価は概ね良好であったが，「もっと高度な内容を学びたかった」の質問に対しては「あてはまる・ややあてはまる」と回答したものの割合は高い学部で（理工学部）３０％であった．今後，データサイエンスにより興味を持ってもらうための工夫が必要と思われる．
</t>
    <rPh sb="64" eb="65">
      <t>ネン</t>
    </rPh>
    <rPh sb="65" eb="66">
      <t>ド</t>
    </rPh>
    <rPh sb="72" eb="74">
      <t>タイショウ</t>
    </rPh>
    <rPh sb="74" eb="75">
      <t>シャ</t>
    </rPh>
    <rPh sb="81" eb="82">
      <t>メイ</t>
    </rPh>
    <rPh sb="83" eb="85">
      <t>テイシュツ</t>
    </rPh>
    <rPh sb="85" eb="86">
      <t>シャ</t>
    </rPh>
    <rPh sb="86" eb="87">
      <t>スウ</t>
    </rPh>
    <rPh sb="91" eb="92">
      <t>メイ</t>
    </rPh>
    <rPh sb="93" eb="95">
      <t>カイシュウ</t>
    </rPh>
    <rPh sb="95" eb="96">
      <t>リツ</t>
    </rPh>
    <rPh sb="113" eb="115">
      <t>シツモン</t>
    </rPh>
    <rPh sb="115" eb="117">
      <t>ジコウ</t>
    </rPh>
    <rPh sb="118" eb="120">
      <t>タキ</t>
    </rPh>
    <rPh sb="126" eb="128">
      <t>ジュギョウ</t>
    </rPh>
    <rPh sb="128" eb="130">
      <t>ナイヨウ</t>
    </rPh>
    <rPh sb="131" eb="133">
      <t>コウセイ</t>
    </rPh>
    <rPh sb="153" eb="155">
      <t>ドウガ</t>
    </rPh>
    <rPh sb="155" eb="157">
      <t>ナイヨウ</t>
    </rPh>
    <rPh sb="160" eb="162">
      <t>ヒョウカ</t>
    </rPh>
    <rPh sb="163" eb="164">
      <t>オオム</t>
    </rPh>
    <rPh sb="165" eb="167">
      <t>リョウコウ</t>
    </rPh>
    <rPh sb="177" eb="179">
      <t>コウド</t>
    </rPh>
    <rPh sb="180" eb="182">
      <t>ナイヨウ</t>
    </rPh>
    <rPh sb="183" eb="184">
      <t>マナ</t>
    </rPh>
    <rPh sb="191" eb="193">
      <t>シツモン</t>
    </rPh>
    <rPh sb="194" eb="195">
      <t>タイ</t>
    </rPh>
    <rPh sb="214" eb="216">
      <t>カイトウ</t>
    </rPh>
    <rPh sb="221" eb="223">
      <t>ワリアイ</t>
    </rPh>
    <rPh sb="224" eb="225">
      <t>タカ</t>
    </rPh>
    <rPh sb="226" eb="228">
      <t>ガクブ</t>
    </rPh>
    <rPh sb="230" eb="232">
      <t>リコウ</t>
    </rPh>
    <rPh sb="232" eb="234">
      <t>ガクブ</t>
    </rPh>
    <rPh sb="243" eb="245">
      <t>コンゴ</t>
    </rPh>
    <rPh sb="257" eb="259">
      <t>キョウミ</t>
    </rPh>
    <rPh sb="260" eb="261">
      <t>モ</t>
    </rPh>
    <rPh sb="269" eb="271">
      <t>クフウ</t>
    </rPh>
    <rPh sb="272" eb="274">
      <t>ヒツヨウ</t>
    </rPh>
    <rPh sb="275" eb="276">
      <t>オモ</t>
    </rPh>
    <phoneticPr fontId="1"/>
  </si>
  <si>
    <t>　学部，学科を問わず，新入生（1年生）全員の必修科目「データ・サイエンス」の前半部分（15回中の第1回から第6回）の中の1回分を用いて「情報に関する倫理」  の講義を行っている．また，併せて（第6回の講義修了日から1週間以内までに）各自が情報倫理e-ラーニングの「りんりん姫」を受講して，総合テストで80点以上を取得することがこの科目の単位取得の必須条件としている．
　講義内容としては情報セキュリティ，知的財産権，パスワード管理，コンピュータウィルス対策，ネットワーク社会のマナー，群馬大学情報セキュリティポリシーなど多岐にわたる内容を扱う．</t>
    <rPh sb="1" eb="3">
      <t>ガクブ</t>
    </rPh>
    <rPh sb="4" eb="6">
      <t>ガッカ</t>
    </rPh>
    <rPh sb="7" eb="8">
      <t>ト</t>
    </rPh>
    <rPh sb="11" eb="14">
      <t>シンニュウセイ</t>
    </rPh>
    <rPh sb="16" eb="18">
      <t>ネンセイ</t>
    </rPh>
    <rPh sb="19" eb="21">
      <t>ゼンイン</t>
    </rPh>
    <rPh sb="22" eb="24">
      <t>ヒッシュウ</t>
    </rPh>
    <rPh sb="24" eb="26">
      <t>カモク</t>
    </rPh>
    <rPh sb="38" eb="40">
      <t>ゼンハン</t>
    </rPh>
    <rPh sb="40" eb="42">
      <t>ブブン</t>
    </rPh>
    <rPh sb="45" eb="46">
      <t>カイ</t>
    </rPh>
    <rPh sb="46" eb="47">
      <t>チュウ</t>
    </rPh>
    <rPh sb="48" eb="49">
      <t>ダイ</t>
    </rPh>
    <rPh sb="50" eb="51">
      <t>カイ</t>
    </rPh>
    <rPh sb="53" eb="54">
      <t>ダイ</t>
    </rPh>
    <rPh sb="55" eb="56">
      <t>カイ</t>
    </rPh>
    <rPh sb="58" eb="59">
      <t>ナカ</t>
    </rPh>
    <rPh sb="61" eb="63">
      <t>カイブン</t>
    </rPh>
    <rPh sb="64" eb="65">
      <t>モチ</t>
    </rPh>
    <rPh sb="68" eb="70">
      <t>ジョウホウ</t>
    </rPh>
    <rPh sb="71" eb="72">
      <t>カン</t>
    </rPh>
    <rPh sb="74" eb="76">
      <t>リンリ</t>
    </rPh>
    <rPh sb="80" eb="82">
      <t>コウギ</t>
    </rPh>
    <rPh sb="83" eb="84">
      <t>オコナ</t>
    </rPh>
    <rPh sb="92" eb="93">
      <t>アワ</t>
    </rPh>
    <rPh sb="96" eb="97">
      <t>ダイ</t>
    </rPh>
    <rPh sb="98" eb="99">
      <t>カイ</t>
    </rPh>
    <rPh sb="100" eb="102">
      <t>コウギ</t>
    </rPh>
    <rPh sb="102" eb="104">
      <t>シュウリョウ</t>
    </rPh>
    <rPh sb="119" eb="121">
      <t>ジョウホウ</t>
    </rPh>
    <rPh sb="121" eb="123">
      <t>リンリ</t>
    </rPh>
    <rPh sb="185" eb="187">
      <t>コウギ</t>
    </rPh>
    <rPh sb="187" eb="189">
      <t>ナイヨウ</t>
    </rPh>
    <rPh sb="193" eb="195">
      <t>ジョウホウ</t>
    </rPh>
    <rPh sb="202" eb="204">
      <t>チテキ</t>
    </rPh>
    <rPh sb="204" eb="207">
      <t>ザイサンケン</t>
    </rPh>
    <rPh sb="213" eb="215">
      <t>カンリ</t>
    </rPh>
    <rPh sb="226" eb="228">
      <t>タイサク</t>
    </rPh>
    <rPh sb="235" eb="237">
      <t>シャカイ</t>
    </rPh>
    <rPh sb="242" eb="244">
      <t>グンマ</t>
    </rPh>
    <rPh sb="244" eb="246">
      <t>ダイガク</t>
    </rPh>
    <rPh sb="246" eb="248">
      <t>ジョウホウ</t>
    </rPh>
    <rPh sb="260" eb="262">
      <t>タキ</t>
    </rPh>
    <rPh sb="266" eb="268">
      <t>ナイヨウ</t>
    </rPh>
    <rPh sb="269" eb="270">
      <t>アツカ</t>
    </rPh>
    <phoneticPr fontId="1"/>
  </si>
  <si>
    <t>計算機の仕組みとデータ処理（２回目の講義．クラスによって何回目かは変わる．）</t>
    <rPh sb="0" eb="2">
      <t>ケイサン</t>
    </rPh>
    <rPh sb="2" eb="3">
      <t>キ</t>
    </rPh>
    <rPh sb="4" eb="6">
      <t>シク</t>
    </rPh>
    <rPh sb="11" eb="13">
      <t>ショリ</t>
    </rPh>
    <rPh sb="15" eb="17">
      <t>カイメ</t>
    </rPh>
    <rPh sb="18" eb="20">
      <t>コウギ</t>
    </rPh>
    <rPh sb="28" eb="31">
      <t>ナンカイメ</t>
    </rPh>
    <rPh sb="33" eb="34">
      <t>カ</t>
    </rPh>
    <phoneticPr fontId="1"/>
  </si>
  <si>
    <t>ネットワークとデータ（６）</t>
    <phoneticPr fontId="1"/>
  </si>
  <si>
    <t>人口と面積などの社会における実データ（５，１２）</t>
    <rPh sb="0" eb="2">
      <t>ジンコウ</t>
    </rPh>
    <rPh sb="3" eb="5">
      <t>メンセキ</t>
    </rPh>
    <rPh sb="8" eb="10">
      <t>シャカイ</t>
    </rPh>
    <rPh sb="14" eb="15">
      <t>ジツ</t>
    </rPh>
    <phoneticPr fontId="1"/>
  </si>
  <si>
    <t>データベースの基礎（１３）</t>
    <rPh sb="7" eb="9">
      <t>キソ</t>
    </rPh>
    <phoneticPr fontId="1"/>
  </si>
  <si>
    <t>画像データ，時系列データ（８）</t>
    <rPh sb="0" eb="2">
      <t>ガゾウ</t>
    </rPh>
    <rPh sb="6" eb="9">
      <t>ジケイレツ</t>
    </rPh>
    <phoneticPr fontId="1"/>
  </si>
  <si>
    <t>実社会におけるデータの重要性を学び，利活用に関する知識，データを適切に読み解く能力が養われる．またエクセルによる基本的な統計処理方法と可視化方法，エクセル関数のデータ解析への応用方法を習得することができる．</t>
    <rPh sb="0" eb="1">
      <t>ジツ</t>
    </rPh>
    <rPh sb="1" eb="3">
      <t>シャカイ</t>
    </rPh>
    <rPh sb="11" eb="14">
      <t>ジュウヨウセイ</t>
    </rPh>
    <rPh sb="15" eb="16">
      <t>マナ</t>
    </rPh>
    <rPh sb="18" eb="21">
      <t>リカツヨウ</t>
    </rPh>
    <rPh sb="22" eb="23">
      <t>カン</t>
    </rPh>
    <rPh sb="25" eb="27">
      <t>チシキ</t>
    </rPh>
    <rPh sb="32" eb="34">
      <t>テキセツ</t>
    </rPh>
    <rPh sb="35" eb="36">
      <t>ヨ</t>
    </rPh>
    <rPh sb="37" eb="38">
      <t>ト</t>
    </rPh>
    <rPh sb="39" eb="41">
      <t>ノウリョク</t>
    </rPh>
    <rPh sb="42" eb="43">
      <t>ヤシナ</t>
    </rPh>
    <rPh sb="56" eb="59">
      <t>キホンテキ</t>
    </rPh>
    <rPh sb="60" eb="62">
      <t>トウケイ</t>
    </rPh>
    <rPh sb="62" eb="64">
      <t>ショリ</t>
    </rPh>
    <rPh sb="64" eb="66">
      <t>ホウホウ</t>
    </rPh>
    <rPh sb="67" eb="70">
      <t>カシカ</t>
    </rPh>
    <rPh sb="70" eb="72">
      <t>ホウホウ</t>
    </rPh>
    <rPh sb="77" eb="79">
      <t>カンスウ</t>
    </rPh>
    <rPh sb="83" eb="85">
      <t>カイセキ</t>
    </rPh>
    <rPh sb="87" eb="89">
      <t>オウヨウ</t>
    </rPh>
    <rPh sb="89" eb="91">
      <t>ホウホウ</t>
    </rPh>
    <rPh sb="92" eb="94">
      <t>シュウトク</t>
    </rPh>
    <phoneticPr fontId="1"/>
  </si>
  <si>
    <t>情報社会とデータ（１，８．１回目の講義はクラスによっては２回目となる．）</t>
    <rPh sb="0" eb="2">
      <t>ジョウホウ</t>
    </rPh>
    <rPh sb="2" eb="4">
      <t>シャカイ</t>
    </rPh>
    <rPh sb="14" eb="16">
      <t>カイメ</t>
    </rPh>
    <rPh sb="17" eb="19">
      <t>コウギ</t>
    </rPh>
    <rPh sb="29" eb="31">
      <t>カイメ</t>
    </rPh>
    <phoneticPr fontId="1"/>
  </si>
  <si>
    <t>AI技術の活用例，深層学習の例など（１，７．１回目の講義はクラスによっては２回目となる．）</t>
    <rPh sb="2" eb="4">
      <t>ギジュツ</t>
    </rPh>
    <rPh sb="5" eb="7">
      <t>カツヨウ</t>
    </rPh>
    <rPh sb="7" eb="8">
      <t>レイ</t>
    </rPh>
    <rPh sb="9" eb="11">
      <t>シンソウ</t>
    </rPh>
    <rPh sb="11" eb="13">
      <t>ガクシュウ</t>
    </rPh>
    <rPh sb="14" eb="15">
      <t>レイ</t>
    </rPh>
    <rPh sb="23" eb="25">
      <t>カイメ</t>
    </rPh>
    <rPh sb="26" eb="28">
      <t>コウギ</t>
    </rPh>
    <rPh sb="38" eb="40">
      <t>カイメ</t>
    </rPh>
    <phoneticPr fontId="1"/>
  </si>
  <si>
    <t xml:space="preserve">情報社会におけるデータの重要性と，データが社会活動にどのように応用されるかを学ぶ．また，データを処理する計算機の仕組みの基礎についても講義する．さらに，現在注目されている深層学習など，先端的な応用例などを概観して，データ科学に対する興味を誘うような講義となっている．各回には講義内容に関する演習問題が設けてあり，学生自身が内容が習得できたかどうかを確認できるように設計されている．
</t>
    <rPh sb="0" eb="2">
      <t>ジョウホウ</t>
    </rPh>
    <rPh sb="2" eb="4">
      <t>シャカイ</t>
    </rPh>
    <rPh sb="12" eb="15">
      <t>ジュウヨウセイ</t>
    </rPh>
    <rPh sb="21" eb="23">
      <t>シャカイ</t>
    </rPh>
    <rPh sb="23" eb="25">
      <t>カツドウ</t>
    </rPh>
    <rPh sb="31" eb="33">
      <t>オウヨウ</t>
    </rPh>
    <rPh sb="38" eb="39">
      <t>マナ</t>
    </rPh>
    <rPh sb="48" eb="50">
      <t>ショリ</t>
    </rPh>
    <rPh sb="52" eb="54">
      <t>ケイサン</t>
    </rPh>
    <rPh sb="54" eb="55">
      <t>キ</t>
    </rPh>
    <rPh sb="56" eb="58">
      <t>シク</t>
    </rPh>
    <rPh sb="60" eb="62">
      <t>キソ</t>
    </rPh>
    <rPh sb="67" eb="69">
      <t>コウギ</t>
    </rPh>
    <rPh sb="76" eb="78">
      <t>ゲンザイ</t>
    </rPh>
    <rPh sb="78" eb="80">
      <t>チュウモク</t>
    </rPh>
    <rPh sb="85" eb="87">
      <t>シンソウ</t>
    </rPh>
    <rPh sb="87" eb="89">
      <t>ガクシュウ</t>
    </rPh>
    <rPh sb="92" eb="95">
      <t>センタンテキ</t>
    </rPh>
    <rPh sb="96" eb="98">
      <t>オウヨウ</t>
    </rPh>
    <rPh sb="98" eb="99">
      <t>レイ</t>
    </rPh>
    <rPh sb="102" eb="104">
      <t>ガイカン</t>
    </rPh>
    <rPh sb="110" eb="112">
      <t>カガク</t>
    </rPh>
    <rPh sb="113" eb="114">
      <t>タイ</t>
    </rPh>
    <rPh sb="116" eb="118">
      <t>キョウミ</t>
    </rPh>
    <rPh sb="119" eb="120">
      <t>サソ</t>
    </rPh>
    <rPh sb="124" eb="126">
      <t>コウギ</t>
    </rPh>
    <rPh sb="133" eb="135">
      <t>カクカイ</t>
    </rPh>
    <rPh sb="137" eb="139">
      <t>コウギ</t>
    </rPh>
    <rPh sb="139" eb="141">
      <t>ナイヨウ</t>
    </rPh>
    <rPh sb="142" eb="143">
      <t>カン</t>
    </rPh>
    <rPh sb="145" eb="147">
      <t>エンシュウ</t>
    </rPh>
    <rPh sb="147" eb="149">
      <t>モンダイ</t>
    </rPh>
    <rPh sb="150" eb="151">
      <t>モウ</t>
    </rPh>
    <rPh sb="156" eb="158">
      <t>ガクセイ</t>
    </rPh>
    <rPh sb="158" eb="160">
      <t>ジシン</t>
    </rPh>
    <rPh sb="161" eb="163">
      <t>ナイヨウ</t>
    </rPh>
    <rPh sb="164" eb="166">
      <t>シュウトク</t>
    </rPh>
    <rPh sb="174" eb="176">
      <t>カクニン</t>
    </rPh>
    <rPh sb="182" eb="184">
      <t>セッケイ</t>
    </rPh>
    <phoneticPr fontId="1"/>
  </si>
  <si>
    <t>データの前処理（１３）</t>
    <rPh sb="4" eb="5">
      <t>マエ</t>
    </rPh>
    <rPh sb="5" eb="7">
      <t>ショリ</t>
    </rPh>
    <phoneticPr fontId="1"/>
  </si>
  <si>
    <t>　人口データなどの実データを用いて基本的なデータ処理の方法を学ぶ．画像データ，時系列データとはどのようなものか，それらがどのように処理・加工されるのかについても実例を提示して講義する．またネットワーク社会においてデータがどのように活用されているのか，IoTなどの概念を説明しつつ，データ処理の現在社会における重要性が理解できるような内容となっている．
　さらに，欠損やノイズなどの存在する実データに対して，どのような前処理方法があるのかを講義する．併せて，今後活用が見込まれるデータベースについて，データベースとは何か，どのような種類があるのかなどの基礎的な事柄を講義する．
　これらについても，各回には講義内容に関する演習問題が設けてあり，学生自身が復習，確認ができるように設計されている．</t>
    <rPh sb="1" eb="3">
      <t>ジンコウ</t>
    </rPh>
    <rPh sb="9" eb="10">
      <t>ジツ</t>
    </rPh>
    <rPh sb="14" eb="15">
      <t>モチ</t>
    </rPh>
    <rPh sb="17" eb="20">
      <t>キホンテキ</t>
    </rPh>
    <rPh sb="24" eb="26">
      <t>ショリ</t>
    </rPh>
    <rPh sb="27" eb="29">
      <t>ホウホウ</t>
    </rPh>
    <rPh sb="30" eb="31">
      <t>マナ</t>
    </rPh>
    <rPh sb="33" eb="35">
      <t>ガゾウ</t>
    </rPh>
    <rPh sb="39" eb="42">
      <t>ジケイレツ</t>
    </rPh>
    <rPh sb="65" eb="67">
      <t>ショリ</t>
    </rPh>
    <rPh sb="68" eb="70">
      <t>カコウ</t>
    </rPh>
    <rPh sb="80" eb="82">
      <t>ジツレイ</t>
    </rPh>
    <rPh sb="83" eb="85">
      <t>テイジ</t>
    </rPh>
    <rPh sb="87" eb="89">
      <t>コウギ</t>
    </rPh>
    <rPh sb="100" eb="102">
      <t>シャカイ</t>
    </rPh>
    <rPh sb="115" eb="117">
      <t>カツヨウ</t>
    </rPh>
    <rPh sb="131" eb="133">
      <t>ガイネン</t>
    </rPh>
    <rPh sb="134" eb="136">
      <t>セツメイ</t>
    </rPh>
    <rPh sb="143" eb="145">
      <t>ショリ</t>
    </rPh>
    <rPh sb="146" eb="148">
      <t>ゲンザイ</t>
    </rPh>
    <rPh sb="148" eb="150">
      <t>シャカイ</t>
    </rPh>
    <rPh sb="154" eb="157">
      <t>ジュウヨウセイ</t>
    </rPh>
    <rPh sb="158" eb="160">
      <t>リカイ</t>
    </rPh>
    <rPh sb="166" eb="168">
      <t>ナイヨウ</t>
    </rPh>
    <rPh sb="181" eb="183">
      <t>ケッソン</t>
    </rPh>
    <rPh sb="190" eb="192">
      <t>ソンザイ</t>
    </rPh>
    <rPh sb="194" eb="195">
      <t>ジツ</t>
    </rPh>
    <rPh sb="199" eb="200">
      <t>タイ</t>
    </rPh>
    <rPh sb="208" eb="209">
      <t>マエ</t>
    </rPh>
    <rPh sb="209" eb="211">
      <t>ショリ</t>
    </rPh>
    <rPh sb="211" eb="213">
      <t>ホウホウ</t>
    </rPh>
    <rPh sb="219" eb="221">
      <t>コウギ</t>
    </rPh>
    <rPh sb="224" eb="225">
      <t>アワ</t>
    </rPh>
    <rPh sb="228" eb="230">
      <t>コンゴ</t>
    </rPh>
    <rPh sb="230" eb="232">
      <t>カツヨウ</t>
    </rPh>
    <rPh sb="233" eb="235">
      <t>ミコ</t>
    </rPh>
    <rPh sb="257" eb="258">
      <t>ナニ</t>
    </rPh>
    <rPh sb="265" eb="267">
      <t>シュルイ</t>
    </rPh>
    <rPh sb="275" eb="278">
      <t>キソテキ</t>
    </rPh>
    <rPh sb="279" eb="281">
      <t>コトガラ</t>
    </rPh>
    <rPh sb="282" eb="284">
      <t>コウギ</t>
    </rPh>
    <rPh sb="326" eb="328">
      <t>フクシュウ</t>
    </rPh>
    <rPh sb="329" eb="331">
      <t>カクニン</t>
    </rPh>
    <phoneticPr fontId="1"/>
  </si>
  <si>
    <r>
      <t>　科目「データ・サイエンス」の最終課題として（科目全体の総合演習的な側面を持つ）欠損のある比較的大きな実データ（日本プロ野球のデータ．）の解析を課している．この解析（レポート提出）を通じて，雑多なデータから何を読み取るのか目標を定めて，それを達成するための方法論を模索させることにより，この「データ・サイエンス」の１３回までに学んだ事柄の総復習となっている．
　最終レポートの出来具合を（この科目全体の評価とは別に）評価し，</t>
    </r>
    <r>
      <rPr>
        <b/>
        <sz val="12"/>
        <color theme="1"/>
        <rFont val="ＭＳ Ｐゴシック"/>
        <family val="3"/>
        <charset val="128"/>
        <scheme val="minor"/>
      </rPr>
      <t>数理データ科学教育研究センター賞</t>
    </r>
    <r>
      <rPr>
        <sz val="12"/>
        <color theme="1"/>
        <rFont val="ＭＳ Ｐゴシック"/>
        <family val="2"/>
        <charset val="128"/>
        <scheme val="minor"/>
      </rPr>
      <t>として最優秀賞１名，優秀賞２名を表彰し，学生の興味・意欲をつないでいる．
　なお，野球に詳しくない学生（主に女子学生）のために，野球用語，データの見方，ルールなどを一通り解説している．</t>
    </r>
    <rPh sb="1" eb="3">
      <t>カモク</t>
    </rPh>
    <rPh sb="15" eb="17">
      <t>サイシュウ</t>
    </rPh>
    <rPh sb="17" eb="19">
      <t>カダイ</t>
    </rPh>
    <rPh sb="23" eb="25">
      <t>カモク</t>
    </rPh>
    <rPh sb="25" eb="27">
      <t>ゼンタイ</t>
    </rPh>
    <rPh sb="28" eb="30">
      <t>ソウゴウ</t>
    </rPh>
    <rPh sb="30" eb="33">
      <t>エンシュウテキ</t>
    </rPh>
    <rPh sb="34" eb="36">
      <t>ソクメン</t>
    </rPh>
    <rPh sb="37" eb="38">
      <t>モ</t>
    </rPh>
    <rPh sb="40" eb="42">
      <t>ケッソン</t>
    </rPh>
    <rPh sb="45" eb="48">
      <t>ヒカクテキ</t>
    </rPh>
    <rPh sb="48" eb="49">
      <t>オオ</t>
    </rPh>
    <rPh sb="51" eb="52">
      <t>ジツ</t>
    </rPh>
    <rPh sb="56" eb="58">
      <t>ニホン</t>
    </rPh>
    <rPh sb="60" eb="62">
      <t>ヤキュウ</t>
    </rPh>
    <rPh sb="69" eb="71">
      <t>カイセキ</t>
    </rPh>
    <rPh sb="72" eb="73">
      <t>カ</t>
    </rPh>
    <rPh sb="80" eb="82">
      <t>カイセキ</t>
    </rPh>
    <rPh sb="87" eb="89">
      <t>テイシュツ</t>
    </rPh>
    <rPh sb="91" eb="92">
      <t>ツウ</t>
    </rPh>
    <rPh sb="95" eb="97">
      <t>ザッタ</t>
    </rPh>
    <rPh sb="103" eb="104">
      <t>ナニ</t>
    </rPh>
    <rPh sb="105" eb="106">
      <t>ヨ</t>
    </rPh>
    <rPh sb="107" eb="108">
      <t>ト</t>
    </rPh>
    <rPh sb="111" eb="113">
      <t>モクヒョウ</t>
    </rPh>
    <rPh sb="114" eb="115">
      <t>サダ</t>
    </rPh>
    <rPh sb="121" eb="123">
      <t>タッセイ</t>
    </rPh>
    <rPh sb="128" eb="131">
      <t>ホウホウロン</t>
    </rPh>
    <rPh sb="132" eb="134">
      <t>モサク</t>
    </rPh>
    <rPh sb="159" eb="160">
      <t>カイ</t>
    </rPh>
    <rPh sb="163" eb="164">
      <t>マナ</t>
    </rPh>
    <rPh sb="166" eb="168">
      <t>コトガラ</t>
    </rPh>
    <rPh sb="169" eb="172">
      <t>ソウフクシュウ</t>
    </rPh>
    <rPh sb="181" eb="183">
      <t>サイシュウ</t>
    </rPh>
    <rPh sb="188" eb="190">
      <t>デキ</t>
    </rPh>
    <rPh sb="190" eb="192">
      <t>グアイ</t>
    </rPh>
    <rPh sb="208" eb="210">
      <t>ヒョウカ</t>
    </rPh>
    <rPh sb="231" eb="234">
      <t>サイユウシュウ</t>
    </rPh>
    <rPh sb="234" eb="235">
      <t>ショウ</t>
    </rPh>
    <rPh sb="236" eb="237">
      <t>メイ</t>
    </rPh>
    <rPh sb="244" eb="246">
      <t>ヒョウショウ</t>
    </rPh>
    <rPh sb="248" eb="250">
      <t>ガクセイ</t>
    </rPh>
    <rPh sb="251" eb="253">
      <t>キョウミ</t>
    </rPh>
    <rPh sb="254" eb="256">
      <t>イヨク</t>
    </rPh>
    <rPh sb="269" eb="271">
      <t>ヤキュウ</t>
    </rPh>
    <rPh sb="272" eb="273">
      <t>クワ</t>
    </rPh>
    <rPh sb="277" eb="279">
      <t>ガクセイ</t>
    </rPh>
    <rPh sb="280" eb="281">
      <t>オモ</t>
    </rPh>
    <rPh sb="282" eb="284">
      <t>ジョシ</t>
    </rPh>
    <rPh sb="284" eb="286">
      <t>ガクセイ</t>
    </rPh>
    <rPh sb="292" eb="294">
      <t>ヤキュウ</t>
    </rPh>
    <rPh sb="294" eb="296">
      <t>ヨウゴ</t>
    </rPh>
    <rPh sb="301" eb="303">
      <t>ミカタ</t>
    </rPh>
    <rPh sb="310" eb="312">
      <t>ヒトトオ</t>
    </rPh>
    <rPh sb="313" eb="315">
      <t>カイセツ</t>
    </rPh>
    <phoneticPr fontId="1"/>
  </si>
  <si>
    <t>認定教育プログラム</t>
  </si>
  <si>
    <t>学務部教務課</t>
    <rPh sb="0" eb="3">
      <t>ガクムブ</t>
    </rPh>
    <rPh sb="3" eb="6">
      <t>キョウムカ</t>
    </rPh>
    <phoneticPr fontId="1"/>
  </si>
  <si>
    <t>菊地　芳光</t>
    <rPh sb="0" eb="2">
      <t>キクチ</t>
    </rPh>
    <rPh sb="3" eb="5">
      <t>ヨシミツ</t>
    </rPh>
    <phoneticPr fontId="1"/>
  </si>
  <si>
    <t>群馬大学数理データ科学教育研究センター運営会議</t>
    <rPh sb="0" eb="2">
      <t>グンマ</t>
    </rPh>
    <rPh sb="2" eb="4">
      <t>ダイガク</t>
    </rPh>
    <rPh sb="4" eb="6">
      <t>スウリ</t>
    </rPh>
    <rPh sb="9" eb="11">
      <t>カガク</t>
    </rPh>
    <rPh sb="11" eb="13">
      <t>キョウイク</t>
    </rPh>
    <rPh sb="13" eb="15">
      <t>ケンキュウ</t>
    </rPh>
    <rPh sb="19" eb="21">
      <t>ウンエイ</t>
    </rPh>
    <rPh sb="21" eb="23">
      <t>カイギ</t>
    </rPh>
    <phoneticPr fontId="1"/>
  </si>
  <si>
    <t>大学教育・学生支援機構長</t>
    <rPh sb="0" eb="2">
      <t>ダイガク</t>
    </rPh>
    <rPh sb="2" eb="4">
      <t>キョウイク</t>
    </rPh>
    <rPh sb="5" eb="7">
      <t>ガクセイ</t>
    </rPh>
    <rPh sb="7" eb="9">
      <t>シエン</t>
    </rPh>
    <rPh sb="9" eb="12">
      <t>キコウチョウ</t>
    </rPh>
    <phoneticPr fontId="1"/>
  </si>
  <si>
    <r>
      <rPr>
        <sz val="12"/>
        <rFont val="ＭＳ Ｐゴシック"/>
        <family val="3"/>
        <charset val="128"/>
        <scheme val="minor"/>
      </rPr>
      <t>センターは,学内及び学外組織との連携により情報数理及びデータ科学を中心とした情報学分野の教育を提供するとともに，これらの素養をもった人材の育成及び研究の推進によって本学の教育研究及び社会貢献活動等の向上に資することを目的とする．</t>
    </r>
    <r>
      <rPr>
        <sz val="12"/>
        <color rgb="FFFF0000"/>
        <rFont val="ＭＳ Ｐゴシック"/>
        <family val="3"/>
        <charset val="128"/>
        <scheme val="minor"/>
      </rPr>
      <t xml:space="preserve">
</t>
    </r>
    <phoneticPr fontId="1"/>
  </si>
  <si>
    <t xml:space="preserve">　科目「データ・サイエンス」の最終課題として日本プロ野球全データ（データスタジアム株式会社から購入．2016-2018年の3年分）の解析を課している．このデータセットは欠損を含む実データであり，学生にとっては非常に大きなデータである．各クラスに割り当てるデータは特定チームとその対戦相手に絞っている．このデータから， 対象チームの打者の打率の分布，対象チームの月ごとの球速の分布などを考察させている．また，自由課題としてこのデータを用いて「ワクワクする分析をしなさい」とのレポートを課している．さらにレポート結果を担当教員間で審査して，最も優れたレポート2名に対して，数理データ科学教育研究センター賞を与えて，動機付けとしている．
</t>
    <rPh sb="1" eb="3">
      <t>カモク</t>
    </rPh>
    <rPh sb="15" eb="17">
      <t>サイシュウ</t>
    </rPh>
    <rPh sb="17" eb="19">
      <t>カダイ</t>
    </rPh>
    <rPh sb="22" eb="24">
      <t>ニホン</t>
    </rPh>
    <rPh sb="26" eb="28">
      <t>ヤキュウ</t>
    </rPh>
    <rPh sb="28" eb="29">
      <t>ゼン</t>
    </rPh>
    <rPh sb="41" eb="45">
      <t>カブシキガイシャ</t>
    </rPh>
    <rPh sb="47" eb="49">
      <t>コウニュウ</t>
    </rPh>
    <rPh sb="59" eb="60">
      <t>ネン</t>
    </rPh>
    <rPh sb="62" eb="64">
      <t>ネンブン</t>
    </rPh>
    <rPh sb="66" eb="68">
      <t>カイセキ</t>
    </rPh>
    <rPh sb="69" eb="70">
      <t>カ</t>
    </rPh>
    <rPh sb="84" eb="86">
      <t>ケッソン</t>
    </rPh>
    <rPh sb="87" eb="88">
      <t>フク</t>
    </rPh>
    <rPh sb="89" eb="90">
      <t>ジツ</t>
    </rPh>
    <rPh sb="97" eb="99">
      <t>ガクセイ</t>
    </rPh>
    <rPh sb="104" eb="106">
      <t>ヒジョウ</t>
    </rPh>
    <rPh sb="107" eb="108">
      <t>オオ</t>
    </rPh>
    <rPh sb="117" eb="118">
      <t>カク</t>
    </rPh>
    <rPh sb="122" eb="123">
      <t>ワ</t>
    </rPh>
    <rPh sb="124" eb="125">
      <t>ア</t>
    </rPh>
    <rPh sb="131" eb="133">
      <t>トクテイ</t>
    </rPh>
    <rPh sb="139" eb="141">
      <t>タイセン</t>
    </rPh>
    <rPh sb="141" eb="143">
      <t>アイテ</t>
    </rPh>
    <rPh sb="144" eb="145">
      <t>シボ</t>
    </rPh>
    <rPh sb="192" eb="194">
      <t>コウサツ</t>
    </rPh>
    <rPh sb="203" eb="205">
      <t>ジユウ</t>
    </rPh>
    <rPh sb="205" eb="207">
      <t>カダイ</t>
    </rPh>
    <rPh sb="216" eb="217">
      <t>モチ</t>
    </rPh>
    <rPh sb="226" eb="228">
      <t>ブンセキ</t>
    </rPh>
    <rPh sb="241" eb="242">
      <t>カ</t>
    </rPh>
    <rPh sb="254" eb="256">
      <t>ケッカ</t>
    </rPh>
    <rPh sb="257" eb="259">
      <t>タントウ</t>
    </rPh>
    <rPh sb="259" eb="261">
      <t>キョウイン</t>
    </rPh>
    <rPh sb="261" eb="262">
      <t>カン</t>
    </rPh>
    <rPh sb="263" eb="265">
      <t>シンサ</t>
    </rPh>
    <rPh sb="268" eb="269">
      <t>モット</t>
    </rPh>
    <rPh sb="270" eb="271">
      <t>スグ</t>
    </rPh>
    <rPh sb="278" eb="279">
      <t>メイ</t>
    </rPh>
    <rPh sb="280" eb="281">
      <t>タイ</t>
    </rPh>
    <rPh sb="284" eb="286">
      <t>スウリ</t>
    </rPh>
    <rPh sb="289" eb="295">
      <t>カガクキョウイクケンキュウ</t>
    </rPh>
    <rPh sb="299" eb="300">
      <t>ショウ</t>
    </rPh>
    <rPh sb="301" eb="302">
      <t>アタ</t>
    </rPh>
    <rPh sb="305" eb="307">
      <t>ドウキ</t>
    </rPh>
    <rPh sb="307" eb="308">
      <t>ヅ</t>
    </rPh>
    <phoneticPr fontId="1"/>
  </si>
  <si>
    <r>
      <rPr>
        <sz val="12"/>
        <rFont val="ＭＳ Ｐゴシック"/>
        <family val="3"/>
        <charset val="128"/>
        <scheme val="minor"/>
      </rPr>
      <t>　データサイエンスの基礎リテラシーを学んだ学生が，来年度申請予定の「応用基礎レベル」教育プログラムにつながるカリキュラム設計を行う．そこでは，本学が2021年6月に設立する「ICTデータサイエンスコンソーシアム」を活用して，実戦的共同研究開発への参加を推進しながら，本プログラムを企業とのシームレスな人材育成プログラムとして発展させる．このコンソーシアムの重要な機能として，社会人大学院生の受け入れ体制や卒業生の活躍状況や企業評価を把握する仕組みを構築し情報を収集する．</t>
    </r>
    <r>
      <rPr>
        <sz val="12"/>
        <color rgb="FFFF0000"/>
        <rFont val="ＭＳ Ｐゴシック"/>
        <family val="3"/>
        <charset val="128"/>
        <scheme val="minor"/>
      </rPr>
      <t xml:space="preserve">
</t>
    </r>
    <phoneticPr fontId="1"/>
  </si>
  <si>
    <t xml:space="preserve">　数理データ科学教育研究センター実施の公開Open ゼミに参加したIT企業の新人教育担当者から，仕事ができるようになるまでに２年もの社内研修が必要な現状や大学でのデータサイエンス教育への期待が聞かれた．このことが、上記のコンソーシアム設立の契機となった．本プログラムおよび、来年度申請予定の「応用基礎レベル」プログラムでは，実社会で即戦力を養うPBLの場としてコンソーシアムを活用する．ここでは企業の開発者，教員，大学院・学部生が参加して共同開発を行うと同時に、参加企業とのワークショップなどを通じて，企業側の意見を収集し，数理データ科学教育研究センターにてプログラムの改善に活用する．
</t>
    <phoneticPr fontId="1"/>
  </si>
  <si>
    <t>群馬大学数理データ科学教育研究センター規程</t>
    <rPh sb="0" eb="2">
      <t>グンマ</t>
    </rPh>
    <rPh sb="2" eb="4">
      <t>ダイガク</t>
    </rPh>
    <rPh sb="19" eb="21">
      <t>キテイ</t>
    </rPh>
    <phoneticPr fontId="1"/>
  </si>
  <si>
    <t>○数理データ科学教育研究センター
　議長：センター長　浅尾高行（教授）
　副センター長　杉山学（教授）
　教授　松浦勉
　准教授　井上仁，鈴木裕之，井手野由季
　助教　吉良元
○総合情報メディアセンター　准教授　濱元信州
○大学教育・学生支援機構　准教授　二宮祐
○共同教育学部
　教授　佐野史，准教授　青木悠樹
　講師　小熊良一，片柳雄大
○情報学部
　教授　関庸一，加藤毅
　准教授　高木理
○医学系研究科　准教授　内田満夫
○保健学研究科　教授　菊地千一郎
○理工学府
　教授　石間経章
　助教　田中勇樹，茂木和弘</t>
    <rPh sb="18" eb="20">
      <t>ギチョウ</t>
    </rPh>
    <phoneticPr fontId="1"/>
  </si>
  <si>
    <t>　「データ・サイエンス」は１年生の必修科目であるため，特に履修率向上に向けた計画はない．コロナ禍などの事情で入国できない留学生に対応するためにハイブリッド授業を行っている．さらに，1年次にこの科目の単位を取得できなかった学生に対して（2年次専門科目とぶつかるので）再履修受講が可能なクラス分けを行っている．また，講義内容の向上のため，学生評価終了時点で，担当教員間で反省会を行い，授業内容の問題点などを洗い出し，教材の修正や追加を行っている．</t>
    <rPh sb="17" eb="19">
      <t>ヒッシュウ</t>
    </rPh>
    <rPh sb="19" eb="21">
      <t>カモク</t>
    </rPh>
    <rPh sb="27" eb="28">
      <t>トク</t>
    </rPh>
    <rPh sb="29" eb="31">
      <t>リシュウ</t>
    </rPh>
    <rPh sb="31" eb="32">
      <t>リツ</t>
    </rPh>
    <rPh sb="32" eb="34">
      <t>コウジョウ</t>
    </rPh>
    <rPh sb="35" eb="36">
      <t>ム</t>
    </rPh>
    <rPh sb="38" eb="40">
      <t>ケイカク</t>
    </rPh>
    <rPh sb="91" eb="92">
      <t>ネン</t>
    </rPh>
    <rPh sb="92" eb="93">
      <t>ジ</t>
    </rPh>
    <rPh sb="96" eb="98">
      <t>カモク</t>
    </rPh>
    <rPh sb="99" eb="101">
      <t>タンイ</t>
    </rPh>
    <rPh sb="102" eb="104">
      <t>シュトク</t>
    </rPh>
    <rPh sb="110" eb="112">
      <t>ガクセイ</t>
    </rPh>
    <rPh sb="113" eb="114">
      <t>タイ</t>
    </rPh>
    <rPh sb="118" eb="119">
      <t>ネン</t>
    </rPh>
    <rPh sb="119" eb="120">
      <t>ジ</t>
    </rPh>
    <rPh sb="120" eb="122">
      <t>センモン</t>
    </rPh>
    <rPh sb="122" eb="124">
      <t>カモク</t>
    </rPh>
    <rPh sb="132" eb="133">
      <t>サイ</t>
    </rPh>
    <rPh sb="133" eb="135">
      <t>リシュウ</t>
    </rPh>
    <rPh sb="135" eb="137">
      <t>ジュコウ</t>
    </rPh>
    <rPh sb="138" eb="140">
      <t>カノウ</t>
    </rPh>
    <rPh sb="144" eb="145">
      <t>ワ</t>
    </rPh>
    <rPh sb="147" eb="148">
      <t>オコナ</t>
    </rPh>
    <rPh sb="156" eb="158">
      <t>コウギ</t>
    </rPh>
    <rPh sb="158" eb="160">
      <t>ナイヨウ</t>
    </rPh>
    <rPh sb="161" eb="163">
      <t>コウジョウ</t>
    </rPh>
    <rPh sb="167" eb="169">
      <t>ガクセイ</t>
    </rPh>
    <rPh sb="169" eb="171">
      <t>ヒョウカ</t>
    </rPh>
    <rPh sb="171" eb="173">
      <t>シュウリョウ</t>
    </rPh>
    <rPh sb="173" eb="175">
      <t>ジテン</t>
    </rPh>
    <rPh sb="177" eb="179">
      <t>タントウ</t>
    </rPh>
    <rPh sb="179" eb="181">
      <t>キョウイン</t>
    </rPh>
    <rPh sb="181" eb="182">
      <t>カン</t>
    </rPh>
    <rPh sb="183" eb="185">
      <t>ハンセイ</t>
    </rPh>
    <rPh sb="185" eb="186">
      <t>カイ</t>
    </rPh>
    <rPh sb="187" eb="188">
      <t>オコナ</t>
    </rPh>
    <rPh sb="190" eb="192">
      <t>ジュギョウ</t>
    </rPh>
    <rPh sb="192" eb="194">
      <t>ナイヨウ</t>
    </rPh>
    <rPh sb="195" eb="198">
      <t>モンダイテン</t>
    </rPh>
    <rPh sb="201" eb="202">
      <t>アラ</t>
    </rPh>
    <rPh sb="203" eb="204">
      <t>ダ</t>
    </rPh>
    <rPh sb="206" eb="208">
      <t>キョウザイ</t>
    </rPh>
    <rPh sb="209" eb="211">
      <t>シュウセイ</t>
    </rPh>
    <rPh sb="212" eb="214">
      <t>ツイカ</t>
    </rPh>
    <rPh sb="215" eb="216">
      <t>オコナ</t>
    </rPh>
    <phoneticPr fontId="1"/>
  </si>
  <si>
    <t xml:space="preserve">　このプログラムを構成する科目「データ・サイエンス」は教養教育科目の「情報」を見直し、令和２年度に、１年次生の必修科目として開設された。
令和３年度から令和７年度まで（５ヵ年）の計画は次のとおり。令和７年度以降は毎年ほぼ１００％となる．
令和３年度　２，２２６名　（４６％）
令和４年度　３，３２４名　（６９％）
令和５年度　４，４２２名　（９３％）
令和６年度　４，５０３名　（９６％）
令和７年度　４，６１１名　（９８％）
</t>
    <rPh sb="92" eb="93">
      <t>ツギ</t>
    </rPh>
    <phoneticPr fontId="1"/>
  </si>
  <si>
    <t>１００％とならないのは編入学生が分母に加わるため</t>
    <rPh sb="11" eb="14">
      <t>ヘンニュウガク</t>
    </rPh>
    <rPh sb="14" eb="15">
      <t>セイ</t>
    </rPh>
    <rPh sb="16" eb="18">
      <t>ブンボ</t>
    </rPh>
    <rPh sb="19" eb="20">
      <t>クワ</t>
    </rPh>
    <phoneticPr fontId="1"/>
  </si>
  <si>
    <t>教育学部　（教育）</t>
    <rPh sb="0" eb="2">
      <t>キョウイク</t>
    </rPh>
    <rPh sb="2" eb="4">
      <t>ガクブ</t>
    </rPh>
    <rPh sb="6" eb="8">
      <t>キョウイク</t>
    </rPh>
    <phoneticPr fontId="1"/>
  </si>
  <si>
    <t>医学部  医学科（保健）</t>
    <rPh sb="0" eb="1">
      <t>イ</t>
    </rPh>
    <rPh sb="1" eb="3">
      <t>ガクブ</t>
    </rPh>
    <rPh sb="5" eb="6">
      <t>イ</t>
    </rPh>
    <rPh sb="6" eb="8">
      <t>ガッカ</t>
    </rPh>
    <rPh sb="9" eb="11">
      <t>ホケン</t>
    </rPh>
    <phoneticPr fontId="1"/>
  </si>
  <si>
    <t>医学部  保健学科　（保健）</t>
    <rPh sb="0" eb="1">
      <t>イ</t>
    </rPh>
    <rPh sb="1" eb="3">
      <t>ガクブ</t>
    </rPh>
    <rPh sb="5" eb="7">
      <t>ホケン</t>
    </rPh>
    <rPh sb="7" eb="9">
      <t>ガッカ</t>
    </rPh>
    <rPh sb="11" eb="13">
      <t>ホケン</t>
    </rPh>
    <phoneticPr fontId="1"/>
  </si>
  <si>
    <t>gakumucoc@jimu.gunma-u.ac.jp</t>
    <phoneticPr fontId="1"/>
  </si>
  <si>
    <t>データサイエンス受講した学生にインタビューをした結果、後輩学生や他の学生への推奨について確認した．</t>
    <phoneticPr fontId="1"/>
  </si>
  <si>
    <t>　科目「データ・サイエンス」の数回にわたって，データの意味，種類，尺度，読み方，扱い方，代表的な統計量などについて扱っている．またデータ分布のグラフ化，可視化，クロス集計，相関についても説明して，データ解析の目標に合致したグラフ化・可視化方法についても学ぶ．さらに典型的な間違った可視化や間違いやすい解釈についても講義している．扱うデータとしては「前橋市の平均降水量と平均気温」や「花粉着花点数と夏の平均気温」など学生が興味を持つような具体的で身近なものを材料としている．
　上記のデータ解析やグラフ化に当たってはエクセルを用いることにより，エクセルの基本的な使用方法や基本関数の用い方なども実践的に学べるように工夫されている．
　講義の各回には講義で学んだ事柄を確認する演習問題が付いており，各学生の演習問題の取り組みが記録されるようなシステムとなっている．</t>
    <rPh sb="1" eb="3">
      <t>カモク</t>
    </rPh>
    <rPh sb="15" eb="17">
      <t>スウカイ</t>
    </rPh>
    <rPh sb="27" eb="29">
      <t>イミ</t>
    </rPh>
    <rPh sb="30" eb="32">
      <t>シュルイ</t>
    </rPh>
    <rPh sb="33" eb="35">
      <t>シャクド</t>
    </rPh>
    <rPh sb="36" eb="37">
      <t>ヨ</t>
    </rPh>
    <rPh sb="38" eb="39">
      <t>カタ</t>
    </rPh>
    <rPh sb="40" eb="41">
      <t>アツカ</t>
    </rPh>
    <rPh sb="42" eb="43">
      <t>カタ</t>
    </rPh>
    <rPh sb="44" eb="47">
      <t>ダイヒョウテキ</t>
    </rPh>
    <rPh sb="48" eb="51">
      <t>トウケイリョウ</t>
    </rPh>
    <rPh sb="57" eb="58">
      <t>アツカ</t>
    </rPh>
    <rPh sb="68" eb="70">
      <t>ブンプ</t>
    </rPh>
    <rPh sb="74" eb="75">
      <t>カ</t>
    </rPh>
    <rPh sb="76" eb="79">
      <t>カシカ</t>
    </rPh>
    <rPh sb="83" eb="85">
      <t>シュウケイ</t>
    </rPh>
    <rPh sb="86" eb="88">
      <t>ソウカン</t>
    </rPh>
    <rPh sb="93" eb="95">
      <t>セツメイ</t>
    </rPh>
    <rPh sb="101" eb="103">
      <t>カイセキ</t>
    </rPh>
    <rPh sb="104" eb="106">
      <t>モクヒョウ</t>
    </rPh>
    <rPh sb="107" eb="109">
      <t>ガッチ</t>
    </rPh>
    <rPh sb="114" eb="115">
      <t>カ</t>
    </rPh>
    <rPh sb="116" eb="119">
      <t>カシカ</t>
    </rPh>
    <rPh sb="119" eb="121">
      <t>ホウホウ</t>
    </rPh>
    <rPh sb="126" eb="127">
      <t>マナ</t>
    </rPh>
    <rPh sb="132" eb="135">
      <t>テンケイテキ</t>
    </rPh>
    <rPh sb="136" eb="138">
      <t>マチガ</t>
    </rPh>
    <rPh sb="140" eb="143">
      <t>カシカ</t>
    </rPh>
    <rPh sb="144" eb="146">
      <t>マチガ</t>
    </rPh>
    <rPh sb="150" eb="152">
      <t>カイシャク</t>
    </rPh>
    <rPh sb="157" eb="159">
      <t>コウギ</t>
    </rPh>
    <rPh sb="164" eb="165">
      <t>アツカ</t>
    </rPh>
    <rPh sb="207" eb="209">
      <t>ガクセイ</t>
    </rPh>
    <rPh sb="210" eb="212">
      <t>キョウミ</t>
    </rPh>
    <rPh sb="213" eb="214">
      <t>モ</t>
    </rPh>
    <rPh sb="218" eb="221">
      <t>グタイテキ</t>
    </rPh>
    <rPh sb="222" eb="224">
      <t>ミヂカ</t>
    </rPh>
    <rPh sb="228" eb="230">
      <t>ザイリョウ</t>
    </rPh>
    <rPh sb="238" eb="240">
      <t>ジョウキ</t>
    </rPh>
    <rPh sb="244" eb="246">
      <t>カイセキ</t>
    </rPh>
    <rPh sb="250" eb="251">
      <t>カ</t>
    </rPh>
    <rPh sb="252" eb="253">
      <t>ア</t>
    </rPh>
    <rPh sb="262" eb="263">
      <t>モチ</t>
    </rPh>
    <rPh sb="276" eb="279">
      <t>キホンテキ</t>
    </rPh>
    <rPh sb="280" eb="282">
      <t>シヨウ</t>
    </rPh>
    <rPh sb="282" eb="284">
      <t>ホウホウ</t>
    </rPh>
    <rPh sb="285" eb="287">
      <t>キホン</t>
    </rPh>
    <rPh sb="287" eb="289">
      <t>カンスウ</t>
    </rPh>
    <rPh sb="290" eb="291">
      <t>モチ</t>
    </rPh>
    <rPh sb="292" eb="293">
      <t>カタ</t>
    </rPh>
    <rPh sb="296" eb="299">
      <t>ジッセンテキ</t>
    </rPh>
    <rPh sb="300" eb="301">
      <t>マナ</t>
    </rPh>
    <rPh sb="306" eb="308">
      <t>クフウ</t>
    </rPh>
    <rPh sb="316" eb="318">
      <t>コウギ</t>
    </rPh>
    <rPh sb="319" eb="321">
      <t>カクカイ</t>
    </rPh>
    <rPh sb="323" eb="325">
      <t>コウギ</t>
    </rPh>
    <rPh sb="326" eb="327">
      <t>マナ</t>
    </rPh>
    <rPh sb="329" eb="331">
      <t>コトガラ</t>
    </rPh>
    <rPh sb="332" eb="334">
      <t>カクニン</t>
    </rPh>
    <rPh sb="336" eb="338">
      <t>エンシュウ</t>
    </rPh>
    <rPh sb="338" eb="340">
      <t>モンダイ</t>
    </rPh>
    <rPh sb="341" eb="342">
      <t>ツ</t>
    </rPh>
    <rPh sb="347" eb="350">
      <t>カクガクセイ</t>
    </rPh>
    <rPh sb="351" eb="353">
      <t>エンシュウ</t>
    </rPh>
    <rPh sb="353" eb="355">
      <t>モンダイ</t>
    </rPh>
    <rPh sb="356" eb="357">
      <t>ト</t>
    </rPh>
    <rPh sb="358" eb="359">
      <t>ク</t>
    </rPh>
    <rPh sb="361" eb="363">
      <t>キロク</t>
    </rPh>
    <phoneticPr fontId="1"/>
  </si>
  <si>
    <r>
      <rPr>
        <sz val="12"/>
        <rFont val="ＭＳ Ｐゴシック"/>
        <family val="3"/>
        <charset val="128"/>
        <scheme val="minor"/>
      </rPr>
      <t>　入学後のガイダンスとSNSで必修科目「データ・サイエンス」の説明をして周知を行っている．その際に，教養教育担当の事務，クラス毎のこの教科担当教員の連絡先を知らせて，取り組みの疑問点などを受けるようにしている．またクラス毎のLMS上で毎回の講義に関する連絡事項を掲載している．</t>
    </r>
    <r>
      <rPr>
        <sz val="12"/>
        <color theme="1"/>
        <rFont val="ＭＳ Ｐゴシック"/>
        <family val="3"/>
        <charset val="128"/>
        <scheme val="minor"/>
      </rPr>
      <t>また本学のホームページトップ画面にプログラム専用ページへのリンクを掲載して，学生が情報を受け取りやすいように配慮している．</t>
    </r>
    <r>
      <rPr>
        <sz val="12"/>
        <color rgb="FFFF0000"/>
        <rFont val="ＭＳ Ｐゴシック"/>
        <family val="2"/>
        <charset val="128"/>
        <scheme val="minor"/>
      </rPr>
      <t xml:space="preserve">
</t>
    </r>
    <phoneticPr fontId="1"/>
  </si>
  <si>
    <t xml:space="preserve">　本教育プログラムについての履修をLMS（ソニー社　Mediasiteを利用．）にて管理し，学生は授業時間以外に不明点等をシステムを通じて確認することができる．また各クラスのLMS上で，各回の講義毎に質問と回答のための掲示板を設けてあり，授業時間外でもそこから担当教員に質問できる仕組みを整備している．
　掲示板のやりとりは，取りまとめの教員も閲覧できるようにしており，担当教員ではすぐに解決できない質問やシステムのトラブルに関しては迅速に対応できるようにしている．
</t>
    <rPh sb="24" eb="25">
      <t>シャ</t>
    </rPh>
    <rPh sb="36" eb="38">
      <t>リヨウ</t>
    </rPh>
    <phoneticPr fontId="1"/>
  </si>
  <si>
    <t xml:space="preserve">　データの時代に対応するための基礎科目として，また各学科の専門課程にスムーズに入るための基礎力養成のための科目として，令和２年度より１年生（学部，学科を問わず）全員必修の科目「データ・サイエンス」を開設した．本プログラムはこの１科目によって構成されている．令和2年度の単位取得率は９４．３％だった（履修者１１５４名の内，１０８８名が単位取得．）．1年前期（20クラス），1年後期（4クラス．医学部保健学科のみ）の成績評価が完了した時点で，担当教員によるこの科目の反省会を開催し，次年度の講義内容や講義資料に反映させている．
</t>
    <rPh sb="67" eb="69">
      <t>ネンセイ</t>
    </rPh>
    <phoneticPr fontId="1"/>
  </si>
  <si>
    <t>027-220-7123</t>
    <phoneticPr fontId="1"/>
  </si>
  <si>
    <t>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</si>
</sst>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u/>
      <sz val="11"/>
      <color theme="1"/>
      <name val="ＭＳ Ｐゴシック"/>
      <family val="3"/>
      <charset val="128"/>
      <scheme val="minor"/>
    </font>
    <font>
      <sz val="12"/>
      <name val="ＭＳ Ｐゴシック"/>
      <family val="2"/>
      <charset val="128"/>
      <scheme val="minor"/>
    </font>
    <font>
      <b/>
      <sz val="12"/>
      <color theme="1"/>
      <name val="ＭＳ Ｐゴシック"/>
      <family val="3"/>
      <charset val="128"/>
      <scheme val="minor"/>
    </font>
    <font>
      <sz val="10"/>
      <name val="ＭＳ Ｐゴシック"/>
      <family val="3"/>
      <charset val="128"/>
      <scheme val="minor"/>
    </font>
    <font>
      <sz val="7"/>
      <name val="ＭＳ Ｐゴシック"/>
      <family val="3"/>
      <charset val="128"/>
      <scheme val="minor"/>
    </font>
    <font>
      <b/>
      <sz val="12"/>
      <name val="ＭＳ Ｐゴシック"/>
      <family val="3"/>
      <charset val="128"/>
      <scheme val="minor"/>
    </font>
    <font>
      <sz val="12"/>
      <color theme="0"/>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3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2" fillId="0" borderId="0" xfId="0" applyFont="1" applyAlignment="1">
      <alignment vertical="center" shrinkToFit="1"/>
    </xf>
    <xf numFmtId="0" fontId="2" fillId="0" borderId="0" xfId="0" applyFont="1" applyBorder="1" applyAlignment="1">
      <alignment vertical="center" shrinkToFit="1"/>
    </xf>
    <xf numFmtId="176" fontId="4" fillId="0" borderId="0" xfId="0" applyNumberFormat="1" applyFont="1" applyBorder="1" applyAlignment="1">
      <alignment vertical="center" shrinkToFit="1"/>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5" fillId="0" borderId="0" xfId="0" applyFont="1" applyAlignment="1">
      <alignment vertical="top" wrapTex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2" fillId="0" borderId="1" xfId="0" applyFont="1" applyBorder="1" applyAlignment="1">
      <alignment vertical="center" wrapText="1"/>
    </xf>
    <xf numFmtId="0" fontId="4" fillId="0" borderId="0" xfId="0" applyFont="1" applyAlignment="1">
      <alignment vertical="top" wrapText="1"/>
    </xf>
    <xf numFmtId="0" fontId="5" fillId="0" borderId="0" xfId="0" applyFont="1" applyAlignment="1">
      <alignment vertical="top" wrapText="1"/>
    </xf>
    <xf numFmtId="0" fontId="9" fillId="0" borderId="0" xfId="0" applyFont="1">
      <alignment vertical="center"/>
    </xf>
    <xf numFmtId="0" fontId="11" fillId="0" borderId="21" xfId="0" applyFont="1" applyBorder="1" applyAlignment="1">
      <alignment vertical="top" shrinkToFit="1"/>
    </xf>
    <xf numFmtId="0" fontId="11" fillId="0" borderId="19" xfId="0" applyFont="1" applyBorder="1" applyAlignment="1">
      <alignment vertical="top" shrinkToFit="1"/>
    </xf>
    <xf numFmtId="0" fontId="11" fillId="0" borderId="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2" fillId="0" borderId="0" xfId="2" applyNumberFormat="1" applyFont="1" applyBorder="1" applyAlignment="1">
      <alignment vertical="center" shrinkToFit="1"/>
    </xf>
    <xf numFmtId="0" fontId="3" fillId="0" borderId="0" xfId="0" applyFont="1" applyAlignment="1">
      <alignment horizontal="center" vertical="center"/>
    </xf>
    <xf numFmtId="0" fontId="10" fillId="0" borderId="2" xfId="0" applyFont="1" applyBorder="1" applyAlignment="1">
      <alignment horizontal="center" vertical="center" shrinkToFit="1"/>
    </xf>
    <xf numFmtId="0" fontId="2" fillId="0" borderId="1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3" fillId="0" borderId="0" xfId="0" applyFont="1" applyAlignment="1">
      <alignment horizontal="left" vertical="center"/>
    </xf>
    <xf numFmtId="0" fontId="3" fillId="0" borderId="0" xfId="0" applyFont="1" applyBorder="1" applyAlignment="1">
      <alignment vertical="center" shrinkToFit="1"/>
    </xf>
    <xf numFmtId="0" fontId="3" fillId="0" borderId="0" xfId="0" applyFont="1" applyBorder="1" applyAlignment="1">
      <alignment vertical="center"/>
    </xf>
    <xf numFmtId="0" fontId="3" fillId="0" borderId="10" xfId="0" applyFont="1" applyBorder="1" applyAlignment="1">
      <alignment vertical="center"/>
    </xf>
    <xf numFmtId="0" fontId="3" fillId="0" borderId="10" xfId="0" applyFont="1" applyBorder="1" applyAlignment="1">
      <alignment vertical="center" shrinkToFit="1"/>
    </xf>
    <xf numFmtId="0" fontId="3" fillId="0" borderId="5" xfId="0" applyFont="1" applyBorder="1">
      <alignment vertical="center"/>
    </xf>
    <xf numFmtId="176" fontId="3" fillId="0" borderId="0" xfId="0" applyNumberFormat="1" applyFont="1" applyBorder="1" applyAlignment="1">
      <alignment vertical="center" wrapText="1"/>
    </xf>
    <xf numFmtId="0" fontId="3" fillId="0" borderId="0" xfId="0" applyFont="1" applyBorder="1">
      <alignment vertical="center"/>
    </xf>
    <xf numFmtId="176" fontId="3" fillId="0" borderId="5" xfId="0" applyNumberFormat="1" applyFont="1" applyBorder="1" applyAlignment="1">
      <alignment vertical="center"/>
    </xf>
    <xf numFmtId="176" fontId="3" fillId="0" borderId="0" xfId="0" applyNumberFormat="1" applyFont="1" applyBorder="1">
      <alignment vertical="center"/>
    </xf>
    <xf numFmtId="0" fontId="3" fillId="0" borderId="0" xfId="0" applyFont="1" applyBorder="1" applyAlignment="1">
      <alignment horizontal="center" vertical="center"/>
    </xf>
    <xf numFmtId="176" fontId="3" fillId="0" borderId="0" xfId="0" applyNumberFormat="1" applyFont="1" applyAlignment="1">
      <alignment vertical="center" wrapText="1"/>
    </xf>
    <xf numFmtId="176" fontId="3" fillId="0" borderId="3" xfId="0" applyNumberFormat="1" applyFont="1" applyBorder="1" applyAlignment="1">
      <alignment vertical="center" shrinkToFit="1"/>
    </xf>
    <xf numFmtId="176" fontId="3" fillId="0" borderId="0" xfId="0" applyNumberFormat="1" applyFont="1" applyAlignment="1">
      <alignment horizontal="left" vertical="center" wrapText="1"/>
    </xf>
    <xf numFmtId="0" fontId="3" fillId="0" borderId="6" xfId="0" applyFont="1" applyBorder="1" applyAlignment="1">
      <alignment vertical="center" shrinkToFit="1"/>
    </xf>
    <xf numFmtId="0" fontId="3" fillId="0" borderId="0" xfId="0" applyFont="1" applyBorder="1" applyAlignment="1">
      <alignment horizontal="center" vertical="center" shrinkToFit="1"/>
    </xf>
    <xf numFmtId="0" fontId="3" fillId="0" borderId="0" xfId="0" applyFont="1" applyFill="1">
      <alignment vertical="center"/>
    </xf>
    <xf numFmtId="0" fontId="3" fillId="0" borderId="1" xfId="0" applyFont="1" applyBorder="1">
      <alignment vertical="center"/>
    </xf>
    <xf numFmtId="0" fontId="3" fillId="0" borderId="2" xfId="0" applyFont="1" applyBorder="1">
      <alignment vertical="center"/>
    </xf>
    <xf numFmtId="0" fontId="3" fillId="0" borderId="4" xfId="0" applyFont="1" applyBorder="1">
      <alignment vertical="center"/>
    </xf>
    <xf numFmtId="0" fontId="3" fillId="0" borderId="0" xfId="0" applyFont="1" applyBorder="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0" fontId="3" fillId="0" borderId="0" xfId="0" applyFont="1" applyAlignment="1">
      <alignment horizontal="right" vertical="center"/>
    </xf>
    <xf numFmtId="0" fontId="3" fillId="0" borderId="1" xfId="0" applyFont="1" applyBorder="1" applyAlignment="1">
      <alignment vertical="center" shrinkToFit="1"/>
    </xf>
    <xf numFmtId="0" fontId="2" fillId="0" borderId="2" xfId="0" applyFont="1" applyBorder="1" applyAlignment="1">
      <alignment vertical="center" shrinkToFit="1"/>
    </xf>
    <xf numFmtId="0" fontId="2" fillId="0" borderId="2" xfId="0" applyFont="1" applyBorder="1" applyAlignment="1">
      <alignment vertical="center" shrinkToFit="1"/>
    </xf>
    <xf numFmtId="0" fontId="3" fillId="0" borderId="2" xfId="0" applyFont="1" applyBorder="1" applyAlignment="1">
      <alignment horizontal="center" vertical="center" shrinkToFit="1"/>
    </xf>
    <xf numFmtId="0" fontId="2" fillId="0" borderId="2" xfId="0" applyFont="1" applyBorder="1" applyAlignment="1">
      <alignment horizontal="center" vertical="center" shrinkToFit="1"/>
    </xf>
    <xf numFmtId="0" fontId="8" fillId="0" borderId="5" xfId="0" applyFont="1" applyFill="1" applyBorder="1" applyAlignment="1">
      <alignment vertical="center" shrinkToFit="1"/>
    </xf>
    <xf numFmtId="0" fontId="8" fillId="0" borderId="20" xfId="0" applyFont="1" applyFill="1" applyBorder="1" applyAlignment="1">
      <alignment vertical="center" shrinkToFit="1"/>
    </xf>
    <xf numFmtId="0" fontId="14" fillId="0" borderId="1" xfId="0" applyFont="1" applyBorder="1" applyAlignment="1">
      <alignment vertical="center" wrapText="1"/>
    </xf>
    <xf numFmtId="0" fontId="2" fillId="0" borderId="2" xfId="0" applyFont="1" applyBorder="1" applyAlignment="1">
      <alignment vertical="center" shrinkToFit="1"/>
    </xf>
    <xf numFmtId="0" fontId="3" fillId="0" borderId="0" xfId="0" applyFont="1" applyBorder="1" applyAlignment="1">
      <alignment vertical="top" wrapText="1"/>
    </xf>
    <xf numFmtId="0" fontId="2" fillId="0" borderId="0" xfId="0" applyFont="1" applyAlignment="1">
      <alignment vertical="center"/>
    </xf>
    <xf numFmtId="0" fontId="2" fillId="0" borderId="0" xfId="0" applyFont="1" applyAlignment="1">
      <alignment horizontal="center" vertical="center"/>
    </xf>
    <xf numFmtId="0" fontId="8" fillId="0" borderId="15" xfId="0" applyFont="1" applyFill="1" applyBorder="1" applyAlignment="1">
      <alignment vertical="center" shrinkToFit="1"/>
    </xf>
    <xf numFmtId="176" fontId="8" fillId="0" borderId="15" xfId="0" applyNumberFormat="1" applyFont="1" applyFill="1" applyBorder="1" applyAlignment="1">
      <alignment vertical="center" shrinkToFit="1"/>
    </xf>
    <xf numFmtId="176" fontId="8" fillId="0" borderId="43" xfId="0" applyNumberFormat="1" applyFont="1" applyFill="1" applyBorder="1" applyAlignment="1">
      <alignment vertical="center" shrinkToFit="1"/>
    </xf>
    <xf numFmtId="176" fontId="8" fillId="0" borderId="44" xfId="0" applyNumberFormat="1" applyFont="1" applyFill="1" applyBorder="1" applyAlignment="1">
      <alignment vertical="center" shrinkToFit="1"/>
    </xf>
    <xf numFmtId="176" fontId="8" fillId="0" borderId="39" xfId="0" applyNumberFormat="1" applyFont="1" applyFill="1" applyBorder="1" applyAlignment="1">
      <alignment vertical="center" shrinkToFit="1"/>
    </xf>
    <xf numFmtId="176" fontId="8" fillId="0" borderId="14" xfId="0" applyNumberFormat="1" applyFont="1" applyFill="1" applyBorder="1" applyAlignment="1">
      <alignment vertical="center" shrinkToFit="1"/>
    </xf>
    <xf numFmtId="9" fontId="8" fillId="0" borderId="39" xfId="0" applyNumberFormat="1" applyFont="1" applyFill="1" applyBorder="1" applyAlignment="1">
      <alignment vertical="center" shrinkToFit="1"/>
    </xf>
    <xf numFmtId="176" fontId="8" fillId="0" borderId="20" xfId="0" applyNumberFormat="1" applyFont="1" applyFill="1" applyBorder="1" applyAlignment="1">
      <alignment vertical="center" shrinkToFit="1"/>
    </xf>
    <xf numFmtId="176" fontId="8" fillId="0" borderId="35" xfId="0" applyNumberFormat="1" applyFont="1" applyFill="1" applyBorder="1" applyAlignment="1">
      <alignment vertical="center" shrinkToFit="1"/>
    </xf>
    <xf numFmtId="176" fontId="8" fillId="0" borderId="36" xfId="0" applyNumberFormat="1" applyFont="1" applyFill="1" applyBorder="1" applyAlignment="1">
      <alignment vertical="center" shrinkToFit="1"/>
    </xf>
    <xf numFmtId="176" fontId="8" fillId="0" borderId="19" xfId="0" applyNumberFormat="1" applyFont="1" applyFill="1" applyBorder="1" applyAlignment="1">
      <alignment vertical="center" shrinkToFit="1"/>
    </xf>
    <xf numFmtId="176" fontId="8" fillId="0" borderId="25" xfId="0" applyNumberFormat="1" applyFont="1" applyFill="1" applyBorder="1" applyAlignment="1">
      <alignment vertical="center" shrinkToFit="1"/>
    </xf>
    <xf numFmtId="9" fontId="8" fillId="0" borderId="19" xfId="0" applyNumberFormat="1" applyFont="1" applyFill="1" applyBorder="1" applyAlignment="1">
      <alignment vertical="center" shrinkToFit="1"/>
    </xf>
    <xf numFmtId="0" fontId="17" fillId="0" borderId="11" xfId="0" applyFont="1" applyFill="1" applyBorder="1" applyAlignment="1">
      <alignment horizontal="center" vertical="center"/>
    </xf>
    <xf numFmtId="0" fontId="17" fillId="0" borderId="31" xfId="0" applyFont="1" applyFill="1" applyBorder="1" applyAlignment="1">
      <alignment horizontal="center" vertical="center" wrapText="1"/>
    </xf>
    <xf numFmtId="0" fontId="17" fillId="0" borderId="32" xfId="0" applyFont="1" applyFill="1" applyBorder="1" applyAlignment="1">
      <alignment horizontal="center" vertical="center"/>
    </xf>
    <xf numFmtId="0" fontId="17" fillId="0" borderId="12" xfId="0" applyFont="1" applyFill="1" applyBorder="1" applyAlignment="1">
      <alignment horizontal="center" vertical="center" wrapText="1"/>
    </xf>
    <xf numFmtId="176" fontId="8" fillId="0" borderId="5" xfId="0" applyNumberFormat="1" applyFont="1" applyFill="1" applyBorder="1" applyAlignment="1">
      <alignment vertical="center" shrinkToFit="1"/>
    </xf>
    <xf numFmtId="176" fontId="8" fillId="0" borderId="33" xfId="0" applyNumberFormat="1" applyFont="1" applyFill="1" applyBorder="1" applyAlignment="1">
      <alignment vertical="center" shrinkToFit="1"/>
    </xf>
    <xf numFmtId="176" fontId="8" fillId="0" borderId="34" xfId="0" applyNumberFormat="1" applyFont="1" applyFill="1" applyBorder="1" applyAlignment="1">
      <alignment vertical="center" shrinkToFit="1"/>
    </xf>
    <xf numFmtId="176" fontId="8" fillId="0" borderId="10" xfId="0" applyNumberFormat="1" applyFont="1" applyFill="1" applyBorder="1" applyAlignment="1">
      <alignment vertical="center" shrinkToFit="1"/>
    </xf>
    <xf numFmtId="0" fontId="18" fillId="0" borderId="27" xfId="0" applyFont="1" applyFill="1" applyBorder="1" applyAlignment="1">
      <alignment vertical="center" shrinkToFit="1"/>
    </xf>
    <xf numFmtId="176" fontId="8" fillId="0" borderId="27" xfId="0" applyNumberFormat="1" applyFont="1" applyFill="1" applyBorder="1" applyAlignment="1">
      <alignment vertical="center" shrinkToFit="1"/>
    </xf>
    <xf numFmtId="176" fontId="8" fillId="0" borderId="37" xfId="0" applyNumberFormat="1" applyFont="1" applyFill="1" applyBorder="1" applyAlignment="1">
      <alignment vertical="center" shrinkToFit="1"/>
    </xf>
    <xf numFmtId="176" fontId="8" fillId="0" borderId="38" xfId="0" applyNumberFormat="1" applyFont="1" applyFill="1" applyBorder="1" applyAlignment="1">
      <alignment vertical="center" shrinkToFit="1"/>
    </xf>
    <xf numFmtId="176" fontId="8" fillId="0" borderId="29" xfId="0" applyNumberFormat="1" applyFont="1" applyFill="1" applyBorder="1" applyAlignment="1">
      <alignment vertical="center" shrinkToFit="1"/>
    </xf>
    <xf numFmtId="176" fontId="18" fillId="0" borderId="30" xfId="0" applyNumberFormat="1" applyFont="1" applyFill="1" applyBorder="1" applyAlignment="1">
      <alignment vertical="center" shrinkToFit="1"/>
    </xf>
    <xf numFmtId="9" fontId="18" fillId="0" borderId="29" xfId="0" applyNumberFormat="1" applyFont="1" applyFill="1" applyBorder="1" applyAlignment="1">
      <alignment vertical="center" shrinkToFit="1"/>
    </xf>
    <xf numFmtId="176" fontId="19" fillId="0" borderId="36" xfId="0" applyNumberFormat="1" applyFont="1" applyFill="1" applyBorder="1" applyAlignment="1">
      <alignment vertical="center" shrinkToFit="1"/>
    </xf>
    <xf numFmtId="176" fontId="19" fillId="0" borderId="19" xfId="0" applyNumberFormat="1" applyFont="1" applyFill="1" applyBorder="1" applyAlignment="1">
      <alignment vertical="center" shrinkToFit="1"/>
    </xf>
    <xf numFmtId="176" fontId="19" fillId="0" borderId="20" xfId="0" applyNumberFormat="1" applyFont="1" applyFill="1" applyBorder="1" applyAlignment="1">
      <alignment vertical="center" shrinkToFit="1"/>
    </xf>
    <xf numFmtId="176" fontId="19" fillId="0" borderId="35" xfId="0" applyNumberFormat="1" applyFont="1" applyFill="1" applyBorder="1" applyAlignment="1">
      <alignment vertical="center" shrinkToFit="1"/>
    </xf>
    <xf numFmtId="176" fontId="19" fillId="0" borderId="25" xfId="0" applyNumberFormat="1" applyFont="1" applyFill="1" applyBorder="1" applyAlignment="1">
      <alignment vertical="center" shrinkToFit="1"/>
    </xf>
    <xf numFmtId="9" fontId="19" fillId="0" borderId="10" xfId="0" applyNumberFormat="1" applyFont="1" applyFill="1" applyBorder="1" applyAlignment="1">
      <alignment vertical="center" shrinkToFit="1"/>
    </xf>
    <xf numFmtId="176" fontId="19" fillId="0" borderId="34" xfId="0" applyNumberFormat="1" applyFont="1" applyFill="1" applyBorder="1" applyAlignment="1">
      <alignment vertical="center" shrinkToFit="1"/>
    </xf>
    <xf numFmtId="176" fontId="19" fillId="0" borderId="10" xfId="0" applyNumberFormat="1" applyFont="1" applyFill="1" applyBorder="1" applyAlignment="1">
      <alignment vertical="center" shrinkToFit="1"/>
    </xf>
    <xf numFmtId="176" fontId="19" fillId="0" borderId="5" xfId="0" applyNumberFormat="1" applyFont="1" applyFill="1" applyBorder="1" applyAlignment="1">
      <alignment vertical="center" shrinkToFit="1"/>
    </xf>
    <xf numFmtId="176" fontId="19" fillId="0" borderId="33" xfId="0" applyNumberFormat="1" applyFont="1" applyFill="1" applyBorder="1" applyAlignment="1">
      <alignment vertical="center" shrinkToFit="1"/>
    </xf>
    <xf numFmtId="176" fontId="19" fillId="0" borderId="26" xfId="0" applyNumberFormat="1" applyFont="1" applyFill="1" applyBorder="1" applyAlignment="1">
      <alignment vertical="center" shrinkToFit="1"/>
    </xf>
    <xf numFmtId="0" fontId="11" fillId="0" borderId="6" xfId="0" applyFont="1" applyBorder="1" applyAlignment="1">
      <alignment vertical="center" shrinkToFit="1"/>
    </xf>
    <xf numFmtId="49" fontId="13" fillId="0" borderId="2" xfId="2" applyNumberFormat="1" applyFont="1" applyBorder="1" applyAlignment="1">
      <alignment vertical="center" shrinkToFit="1"/>
    </xf>
    <xf numFmtId="49" fontId="3" fillId="0" borderId="3" xfId="0" applyNumberFormat="1" applyFont="1" applyBorder="1" applyAlignment="1">
      <alignment vertical="center" shrinkToFit="1"/>
    </xf>
    <xf numFmtId="49" fontId="3" fillId="0" borderId="4" xfId="0" applyNumberFormat="1" applyFont="1" applyBorder="1" applyAlignment="1">
      <alignment vertical="center" shrinkToFit="1"/>
    </xf>
    <xf numFmtId="49" fontId="3" fillId="0" borderId="2" xfId="1" applyNumberFormat="1" applyFont="1" applyBorder="1" applyAlignment="1">
      <alignment horizontal="center" vertical="center" shrinkToFit="1"/>
    </xf>
    <xf numFmtId="49" fontId="3" fillId="0" borderId="3" xfId="1" applyNumberFormat="1" applyFont="1" applyBorder="1" applyAlignment="1">
      <alignment horizontal="center" vertical="center" shrinkToFit="1"/>
    </xf>
    <xf numFmtId="49" fontId="3" fillId="0" borderId="4" xfId="1" applyNumberFormat="1" applyFont="1" applyBorder="1" applyAlignment="1">
      <alignment horizontal="center" vertical="center" shrinkToFit="1"/>
    </xf>
    <xf numFmtId="0" fontId="3" fillId="0" borderId="0" xfId="0" applyFont="1" applyBorder="1" applyAlignment="1">
      <alignment horizontal="center" vertical="center"/>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176" fontId="3" fillId="0" borderId="2" xfId="0" applyNumberFormat="1" applyFont="1" applyFill="1" applyBorder="1" applyAlignment="1">
      <alignment horizontal="center" vertical="center" shrinkToFit="1"/>
    </xf>
    <xf numFmtId="176" fontId="3" fillId="0" borderId="4" xfId="0" applyNumberFormat="1" applyFont="1" applyFill="1" applyBorder="1" applyAlignment="1">
      <alignment horizontal="center" vertical="center"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0" xfId="0" applyFont="1" applyBorder="1" applyAlignment="1">
      <alignment horizontal="right" vertical="center" shrinkToFit="1"/>
    </xf>
    <xf numFmtId="0" fontId="3" fillId="0" borderId="2" xfId="0" applyFont="1" applyFill="1" applyBorder="1" applyAlignment="1">
      <alignment horizontal="center" vertical="center" shrinkToFit="1"/>
    </xf>
    <xf numFmtId="0" fontId="3" fillId="0" borderId="3" xfId="0" applyFont="1" applyFill="1" applyBorder="1" applyAlignment="1">
      <alignment horizontal="center" vertical="center" shrinkToFit="1"/>
    </xf>
    <xf numFmtId="0" fontId="3" fillId="0" borderId="4" xfId="0" applyFont="1" applyFill="1" applyBorder="1" applyAlignment="1">
      <alignment horizontal="center" vertical="center" shrinkToFit="1"/>
    </xf>
    <xf numFmtId="0" fontId="3" fillId="0" borderId="5" xfId="0" applyFont="1" applyBorder="1" applyAlignment="1">
      <alignment horizontal="right" vertical="center" shrinkToFit="1"/>
    </xf>
    <xf numFmtId="0" fontId="3" fillId="0" borderId="10" xfId="0" applyFont="1" applyBorder="1" applyAlignment="1">
      <alignment horizontal="right" vertical="center" shrinkToFit="1"/>
    </xf>
    <xf numFmtId="0" fontId="2" fillId="0" borderId="0" xfId="0" applyFont="1" applyAlignment="1">
      <alignment horizontal="right" vertical="center"/>
    </xf>
    <xf numFmtId="0" fontId="3" fillId="0" borderId="0" xfId="0" applyFont="1" applyBorder="1" applyAlignment="1">
      <alignment horizontal="right" vertical="center"/>
    </xf>
    <xf numFmtId="0" fontId="3" fillId="0" borderId="10" xfId="0" applyFont="1" applyBorder="1" applyAlignment="1">
      <alignment horizontal="right" vertical="center"/>
    </xf>
    <xf numFmtId="176" fontId="3" fillId="0" borderId="3" xfId="0" applyNumberFormat="1" applyFont="1" applyFill="1" applyBorder="1" applyAlignment="1">
      <alignment horizontal="center" vertical="center" shrinkToFit="1"/>
    </xf>
    <xf numFmtId="0" fontId="3" fillId="0" borderId="0" xfId="0" applyFont="1" applyBorder="1" applyAlignment="1">
      <alignment horizontal="center" vertical="center" shrinkToFit="1"/>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3" fillId="0" borderId="0" xfId="0" applyFont="1" applyAlignment="1">
      <alignment horizontal="center" vertical="center"/>
    </xf>
    <xf numFmtId="0" fontId="3" fillId="0" borderId="2" xfId="0" applyFont="1" applyFill="1" applyBorder="1" applyAlignment="1">
      <alignment vertical="center" shrinkToFit="1"/>
    </xf>
    <xf numFmtId="0" fontId="3" fillId="0" borderId="3" xfId="0" applyFont="1" applyFill="1" applyBorder="1" applyAlignment="1">
      <alignment vertical="center" shrinkToFit="1"/>
    </xf>
    <xf numFmtId="0" fontId="3" fillId="0" borderId="4" xfId="0" applyFont="1" applyFill="1" applyBorder="1" applyAlignment="1">
      <alignment vertical="center" shrinkToFit="1"/>
    </xf>
    <xf numFmtId="0" fontId="3" fillId="0" borderId="0" xfId="0" applyFont="1" applyBorder="1" applyAlignment="1">
      <alignment vertical="center" shrinkToFit="1"/>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176" fontId="3" fillId="2" borderId="2" xfId="0" applyNumberFormat="1" applyFont="1" applyFill="1" applyBorder="1" applyAlignment="1">
      <alignment horizontal="center" vertical="center"/>
    </xf>
    <xf numFmtId="176" fontId="3" fillId="2" borderId="3" xfId="0" applyNumberFormat="1" applyFont="1" applyFill="1" applyBorder="1" applyAlignment="1">
      <alignment horizontal="center" vertical="center"/>
    </xf>
    <xf numFmtId="176" fontId="3" fillId="2" borderId="4" xfId="0" applyNumberFormat="1" applyFont="1" applyFill="1" applyBorder="1" applyAlignment="1">
      <alignment horizontal="center" vertical="center"/>
    </xf>
    <xf numFmtId="0" fontId="3" fillId="0" borderId="4" xfId="0" applyFont="1" applyBorder="1" applyAlignment="1">
      <alignment vertical="center" shrinkToFit="1"/>
    </xf>
    <xf numFmtId="0" fontId="3" fillId="0" borderId="0" xfId="0" applyFont="1" applyAlignment="1">
      <alignment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1" xfId="0" applyFont="1" applyBorder="1" applyAlignment="1">
      <alignment horizontal="center" vertical="center"/>
    </xf>
    <xf numFmtId="0" fontId="3" fillId="0" borderId="1" xfId="0" applyFont="1" applyBorder="1" applyAlignment="1">
      <alignment horizontal="center" vertical="center" shrinkToFit="1"/>
    </xf>
    <xf numFmtId="0" fontId="8" fillId="0" borderId="27" xfId="0" applyFont="1" applyFill="1" applyBorder="1" applyAlignment="1">
      <alignment horizontal="center" vertical="center" shrinkToFit="1"/>
    </xf>
    <xf numFmtId="0" fontId="8" fillId="0" borderId="28" xfId="0" applyFont="1" applyFill="1" applyBorder="1" applyAlignment="1">
      <alignment horizontal="center" vertical="center" shrinkToFit="1"/>
    </xf>
    <xf numFmtId="0" fontId="8" fillId="0" borderId="20" xfId="0" applyFont="1" applyFill="1" applyBorder="1" applyAlignment="1">
      <alignment vertical="center" shrinkToFit="1"/>
    </xf>
    <xf numFmtId="0" fontId="8" fillId="0" borderId="19" xfId="0" applyFont="1" applyFill="1" applyBorder="1" applyAlignment="1">
      <alignment vertical="center" shrinkToFit="1"/>
    </xf>
    <xf numFmtId="0" fontId="8" fillId="0" borderId="40" xfId="0" applyFont="1" applyFill="1" applyBorder="1" applyAlignment="1">
      <alignment vertical="center" shrinkToFit="1"/>
    </xf>
    <xf numFmtId="0" fontId="8" fillId="0" borderId="41" xfId="0" applyFont="1" applyFill="1" applyBorder="1" applyAlignment="1">
      <alignment vertical="center" shrinkToFit="1"/>
    </xf>
    <xf numFmtId="0" fontId="8" fillId="0" borderId="15" xfId="0" applyFont="1" applyFill="1" applyBorder="1" applyAlignment="1">
      <alignment vertical="center" shrinkToFit="1"/>
    </xf>
    <xf numFmtId="0" fontId="8" fillId="0" borderId="39" xfId="0" applyFont="1" applyFill="1" applyBorder="1" applyAlignment="1">
      <alignment vertical="center" shrinkToFit="1"/>
    </xf>
    <xf numFmtId="0" fontId="2" fillId="0" borderId="0" xfId="0" applyFont="1" applyAlignment="1">
      <alignment vertical="center"/>
    </xf>
    <xf numFmtId="0" fontId="0" fillId="0" borderId="0" xfId="0" applyAlignment="1">
      <alignment vertical="center"/>
    </xf>
    <xf numFmtId="0" fontId="2" fillId="0" borderId="0" xfId="0" applyFont="1" applyAlignment="1">
      <alignment horizontal="center" vertical="center"/>
    </xf>
    <xf numFmtId="0" fontId="14" fillId="0" borderId="7"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6" xfId="0" applyFont="1" applyFill="1" applyBorder="1" applyAlignment="1">
      <alignment horizontal="center" vertical="center"/>
    </xf>
    <xf numFmtId="0" fontId="16" fillId="0" borderId="7" xfId="0" applyFont="1" applyFill="1" applyBorder="1" applyAlignment="1">
      <alignment horizontal="center" vertical="center" wrapText="1"/>
    </xf>
    <xf numFmtId="0" fontId="16" fillId="0" borderId="11" xfId="0" applyFont="1" applyFill="1" applyBorder="1" applyAlignment="1">
      <alignment horizontal="center"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39" xfId="0" applyFont="1" applyFill="1" applyBorder="1" applyAlignment="1">
      <alignment horizontal="center" vertical="center"/>
    </xf>
    <xf numFmtId="0" fontId="17" fillId="0" borderId="16" xfId="0" applyFont="1" applyFill="1" applyBorder="1" applyAlignment="1">
      <alignment horizontal="center" vertical="center" wrapText="1"/>
    </xf>
    <xf numFmtId="0" fontId="17" fillId="0" borderId="13" xfId="0" applyFont="1" applyFill="1" applyBorder="1" applyAlignment="1">
      <alignment horizontal="center" vertical="center"/>
    </xf>
    <xf numFmtId="0" fontId="16" fillId="0" borderId="9" xfId="0" applyFont="1" applyFill="1" applyBorder="1" applyAlignment="1">
      <alignment horizontal="center" vertical="center"/>
    </xf>
    <xf numFmtId="0" fontId="16" fillId="0" borderId="12"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8"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5" xfId="0" applyFont="1" applyBorder="1" applyAlignment="1">
      <alignment horizontal="left" vertical="top" wrapText="1"/>
    </xf>
    <xf numFmtId="0" fontId="10" fillId="0" borderId="0" xfId="0" applyFont="1" applyBorder="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12" xfId="0" applyFont="1" applyBorder="1" applyAlignment="1">
      <alignment horizontal="left" vertical="top" wrapTex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3" fillId="0" borderId="2" xfId="0" applyFont="1" applyBorder="1" applyAlignment="1">
      <alignment horizontal="left" vertical="center" shrinkToFit="1"/>
    </xf>
    <xf numFmtId="0" fontId="3" fillId="0" borderId="3" xfId="0" applyFont="1" applyBorder="1" applyAlignment="1">
      <alignment horizontal="left" vertical="center" shrinkToFit="1"/>
    </xf>
    <xf numFmtId="0" fontId="3" fillId="0" borderId="4" xfId="0" applyFont="1" applyBorder="1" applyAlignment="1">
      <alignment horizontal="left" vertical="center" shrinkToFit="1"/>
    </xf>
    <xf numFmtId="0" fontId="3" fillId="0" borderId="13" xfId="0" applyFont="1" applyBorder="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Border="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4" xfId="0" applyFont="1" applyBorder="1" applyAlignment="1">
      <alignment horizontal="left"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3" fillId="0" borderId="16" xfId="0" applyFont="1" applyBorder="1" applyAlignment="1">
      <alignment horizontal="left" vertical="top" wrapText="1"/>
    </xf>
    <xf numFmtId="0" fontId="3" fillId="0" borderId="42" xfId="0" applyFont="1" applyBorder="1" applyAlignment="1">
      <alignment horizontal="left" vertical="top"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3" fillId="0" borderId="7" xfId="0" applyFont="1" applyBorder="1" applyAlignment="1">
      <alignment horizontal="left" vertical="top" wrapText="1" shrinkToFit="1"/>
    </xf>
    <xf numFmtId="0" fontId="10" fillId="0" borderId="8" xfId="0" applyFont="1" applyBorder="1" applyAlignment="1">
      <alignment horizontal="left" vertical="top" wrapText="1" shrinkToFit="1"/>
    </xf>
    <xf numFmtId="0" fontId="10" fillId="0" borderId="9" xfId="0" applyFont="1" applyBorder="1" applyAlignment="1">
      <alignment horizontal="left" vertical="top" wrapText="1" shrinkToFit="1"/>
    </xf>
    <xf numFmtId="0" fontId="10" fillId="0" borderId="5" xfId="0" applyFont="1" applyBorder="1" applyAlignment="1">
      <alignment horizontal="left" vertical="top" wrapText="1" shrinkToFit="1"/>
    </xf>
    <xf numFmtId="0" fontId="10" fillId="0" borderId="0" xfId="0" applyFont="1" applyBorder="1" applyAlignment="1">
      <alignment horizontal="left" vertical="top" wrapText="1" shrinkToFit="1"/>
    </xf>
    <xf numFmtId="0" fontId="10" fillId="0" borderId="10" xfId="0" applyFont="1" applyBorder="1" applyAlignment="1">
      <alignment horizontal="left" vertical="top" wrapText="1" shrinkToFit="1"/>
    </xf>
    <xf numFmtId="0" fontId="10" fillId="0" borderId="11" xfId="0" applyFont="1" applyBorder="1" applyAlignment="1">
      <alignment horizontal="left" vertical="top" wrapText="1" shrinkToFit="1"/>
    </xf>
    <xf numFmtId="0" fontId="10" fillId="0" borderId="6" xfId="0" applyFont="1" applyBorder="1" applyAlignment="1">
      <alignment horizontal="left" vertical="top" wrapText="1" shrinkToFit="1"/>
    </xf>
    <xf numFmtId="0" fontId="10" fillId="0" borderId="12" xfId="0" applyFont="1" applyBorder="1" applyAlignment="1">
      <alignment horizontal="left" vertical="top" wrapText="1" shrinkToFit="1"/>
    </xf>
    <xf numFmtId="0" fontId="10" fillId="0" borderId="7" xfId="0" applyFont="1" applyBorder="1" applyAlignment="1">
      <alignment vertical="top" wrapText="1" shrinkToFit="1"/>
    </xf>
    <xf numFmtId="0" fontId="10" fillId="0" borderId="8" xfId="0" applyFont="1" applyBorder="1" applyAlignment="1">
      <alignment vertical="top"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Border="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10" fillId="0" borderId="8" xfId="0" applyFont="1" applyBorder="1" applyAlignment="1">
      <alignment horizontal="left" vertical="top" shrinkToFit="1"/>
    </xf>
    <xf numFmtId="0" fontId="10" fillId="0" borderId="9" xfId="0" applyFont="1" applyBorder="1" applyAlignment="1">
      <alignment horizontal="left" vertical="top" shrinkToFit="1"/>
    </xf>
    <xf numFmtId="0" fontId="10" fillId="0" borderId="5" xfId="0" applyFont="1" applyBorder="1" applyAlignment="1">
      <alignment horizontal="left" vertical="top" shrinkToFit="1"/>
    </xf>
    <xf numFmtId="0" fontId="10" fillId="0" borderId="0" xfId="0" applyFont="1" applyBorder="1" applyAlignment="1">
      <alignment horizontal="left" vertical="top" shrinkToFit="1"/>
    </xf>
    <xf numFmtId="0" fontId="10" fillId="0" borderId="10" xfId="0" applyFont="1" applyBorder="1" applyAlignment="1">
      <alignment horizontal="left" vertical="top" shrinkToFit="1"/>
    </xf>
    <xf numFmtId="0" fontId="10" fillId="0" borderId="11" xfId="0" applyFont="1" applyBorder="1" applyAlignment="1">
      <alignment horizontal="left" vertical="top" shrinkToFit="1"/>
    </xf>
    <xf numFmtId="0" fontId="10" fillId="0" borderId="6" xfId="0" applyFont="1" applyBorder="1" applyAlignment="1">
      <alignment horizontal="left" vertical="top" shrinkToFit="1"/>
    </xf>
    <xf numFmtId="0" fontId="10" fillId="0" borderId="12" xfId="0" applyFont="1" applyBorder="1" applyAlignment="1">
      <alignment horizontal="left" vertical="top" shrinkToFit="1"/>
    </xf>
    <xf numFmtId="0" fontId="2" fillId="0" borderId="6" xfId="0" applyFont="1" applyBorder="1" applyAlignment="1">
      <alignment vertical="center"/>
    </xf>
    <xf numFmtId="0" fontId="8" fillId="0" borderId="7" xfId="0" applyFont="1" applyBorder="1" applyAlignment="1">
      <alignment vertical="top" wrapText="1" shrinkToFit="1"/>
    </xf>
    <xf numFmtId="0" fontId="2" fillId="0" borderId="0" xfId="0" applyFont="1" applyAlignment="1">
      <alignment vertical="center"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8" fillId="0" borderId="7" xfId="0" applyFont="1" applyFill="1" applyBorder="1" applyAlignment="1">
      <alignment vertical="top" wrapText="1" shrinkToFit="1"/>
    </xf>
    <xf numFmtId="0" fontId="10" fillId="0" borderId="8" xfId="0" applyFont="1" applyFill="1" applyBorder="1" applyAlignment="1">
      <alignment vertical="top" shrinkToFit="1"/>
    </xf>
    <xf numFmtId="0" fontId="10" fillId="0" borderId="9" xfId="0" applyFont="1" applyFill="1" applyBorder="1" applyAlignment="1">
      <alignment vertical="top" shrinkToFit="1"/>
    </xf>
    <xf numFmtId="0" fontId="10" fillId="0" borderId="5" xfId="0" applyFont="1" applyFill="1" applyBorder="1" applyAlignment="1">
      <alignment vertical="top" shrinkToFit="1"/>
    </xf>
    <xf numFmtId="0" fontId="10" fillId="0" borderId="0" xfId="0" applyFont="1" applyFill="1" applyBorder="1" applyAlignment="1">
      <alignment vertical="top" shrinkToFit="1"/>
    </xf>
    <xf numFmtId="0" fontId="10" fillId="0" borderId="10" xfId="0" applyFont="1" applyFill="1" applyBorder="1" applyAlignment="1">
      <alignment vertical="top" shrinkToFit="1"/>
    </xf>
    <xf numFmtId="0" fontId="10" fillId="0" borderId="11" xfId="0" applyFont="1" applyFill="1" applyBorder="1" applyAlignment="1">
      <alignment vertical="top" shrinkToFit="1"/>
    </xf>
    <xf numFmtId="0" fontId="10" fillId="0" borderId="6" xfId="0" applyFont="1" applyFill="1" applyBorder="1" applyAlignment="1">
      <alignment vertical="top" shrinkToFit="1"/>
    </xf>
    <xf numFmtId="0" fontId="10" fillId="0" borderId="12" xfId="0" applyFont="1" applyFill="1" applyBorder="1" applyAlignment="1">
      <alignment vertical="top" shrinkToFit="1"/>
    </xf>
    <xf numFmtId="0" fontId="10" fillId="0" borderId="8" xfId="0" applyFont="1" applyBorder="1" applyAlignment="1">
      <alignment vertical="top" wrapText="1" shrinkToFit="1"/>
    </xf>
    <xf numFmtId="0" fontId="10" fillId="0" borderId="9" xfId="0" applyFont="1" applyBorder="1" applyAlignment="1">
      <alignment vertical="top" wrapText="1" shrinkToFit="1"/>
    </xf>
    <xf numFmtId="0" fontId="10" fillId="0" borderId="5" xfId="0" applyFont="1" applyBorder="1" applyAlignment="1">
      <alignment vertical="top" wrapText="1" shrinkToFit="1"/>
    </xf>
    <xf numFmtId="0" fontId="10" fillId="0" borderId="0" xfId="0" applyFont="1" applyBorder="1" applyAlignment="1">
      <alignment vertical="top" wrapText="1" shrinkToFit="1"/>
    </xf>
    <xf numFmtId="0" fontId="10" fillId="0" borderId="10" xfId="0" applyFont="1" applyBorder="1" applyAlignment="1">
      <alignment vertical="top" wrapText="1" shrinkToFit="1"/>
    </xf>
    <xf numFmtId="0" fontId="10" fillId="0" borderId="11" xfId="0" applyFont="1" applyBorder="1" applyAlignment="1">
      <alignment vertical="top" wrapText="1" shrinkToFit="1"/>
    </xf>
    <xf numFmtId="0" fontId="10" fillId="0" borderId="6" xfId="0" applyFont="1" applyBorder="1" applyAlignment="1">
      <alignment vertical="top" wrapText="1" shrinkToFit="1"/>
    </xf>
    <xf numFmtId="0" fontId="10" fillId="0" borderId="12" xfId="0" applyFont="1" applyBorder="1" applyAlignment="1">
      <alignment vertical="top" wrapText="1"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8" fillId="0" borderId="20" xfId="0" applyFont="1" applyBorder="1" applyAlignment="1">
      <alignment vertical="top" wrapText="1" shrinkToFit="1"/>
    </xf>
    <xf numFmtId="0" fontId="8" fillId="0" borderId="21" xfId="0" applyFont="1" applyBorder="1" applyAlignment="1">
      <alignment vertical="top" wrapText="1" shrinkToFit="1"/>
    </xf>
    <xf numFmtId="0" fontId="8"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20" xfId="0" applyFont="1" applyFill="1" applyBorder="1" applyAlignment="1">
      <alignment horizontal="left" vertical="top" wrapText="1" shrinkToFit="1"/>
    </xf>
    <xf numFmtId="0" fontId="3" fillId="0" borderId="21" xfId="0" applyFont="1" applyFill="1" applyBorder="1" applyAlignment="1">
      <alignment horizontal="left" vertical="top" wrapText="1" shrinkToFit="1"/>
    </xf>
    <xf numFmtId="0" fontId="3" fillId="0" borderId="19" xfId="0" applyFont="1" applyFill="1" applyBorder="1" applyAlignment="1">
      <alignment horizontal="left" vertical="top" wrapText="1" shrinkToFit="1"/>
    </xf>
    <xf numFmtId="0" fontId="3" fillId="0" borderId="20" xfId="0" applyFont="1" applyBorder="1" applyAlignment="1">
      <alignment vertical="top" wrapText="1" shrinkToFit="1"/>
    </xf>
    <xf numFmtId="0" fontId="10" fillId="0" borderId="21" xfId="0" applyFont="1" applyBorder="1" applyAlignment="1">
      <alignment vertical="top" wrapText="1" shrinkToFit="1"/>
    </xf>
    <xf numFmtId="0" fontId="10" fillId="0" borderId="19" xfId="0" applyFont="1" applyBorder="1" applyAlignment="1">
      <alignment vertical="top" wrapText="1" shrinkToFit="1"/>
    </xf>
    <xf numFmtId="0" fontId="8" fillId="0" borderId="20" xfId="0" applyFont="1" applyFill="1" applyBorder="1" applyAlignment="1">
      <alignment vertical="top" wrapText="1" shrinkToFit="1"/>
    </xf>
    <xf numFmtId="0" fontId="8" fillId="0" borderId="21" xfId="0" applyFont="1" applyFill="1" applyBorder="1" applyAlignment="1">
      <alignment vertical="top" wrapText="1" shrinkToFit="1"/>
    </xf>
    <xf numFmtId="0" fontId="8" fillId="0" borderId="19" xfId="0" applyFont="1" applyFill="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22" xfId="0" applyFont="1" applyBorder="1" applyAlignment="1">
      <alignment vertical="center" wrapText="1"/>
    </xf>
    <xf numFmtId="0" fontId="2" fillId="0" borderId="23" xfId="0" applyFont="1" applyBorder="1" applyAlignment="1">
      <alignment vertical="center" wrapText="1"/>
    </xf>
    <xf numFmtId="0" fontId="3" fillId="0" borderId="24" xfId="0" applyFont="1" applyBorder="1" applyAlignment="1">
      <alignment vertical="top" wrapText="1" shrinkToFit="1"/>
    </xf>
    <xf numFmtId="0" fontId="10" fillId="0" borderId="24" xfId="0" applyFont="1" applyBorder="1" applyAlignment="1">
      <alignment vertical="top" wrapText="1" shrinkToFit="1"/>
    </xf>
    <xf numFmtId="0" fontId="10"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447676</xdr:colOff>
      <xdr:row>9</xdr:row>
      <xdr:rowOff>85724</xdr:rowOff>
    </xdr:from>
    <xdr:to>
      <xdr:col>16</xdr:col>
      <xdr:colOff>390526</xdr:colOff>
      <xdr:row>15</xdr:row>
      <xdr:rowOff>0</xdr:rowOff>
    </xdr:to>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7419976" y="1800224"/>
          <a:ext cx="4057650" cy="1343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申請する教育プログラムの修了要件を具体的に記載してください。修了要件が学部・学科</a:t>
          </a:r>
          <a:r>
            <a:rPr lang="ja-JP" altLang="en-US" sz="1100" b="0" i="0" u="none" strike="noStrike">
              <a:solidFill>
                <a:schemeClr val="dk1"/>
              </a:solidFill>
              <a:effectLst/>
              <a:latin typeface="+mn-lt"/>
              <a:ea typeface="+mn-ea"/>
              <a:cs typeface="+mn-cs"/>
            </a:rPr>
            <a:t>　</a:t>
          </a:r>
          <a:r>
            <a:rPr lang="ja-JP" altLang="en-US"/>
            <a:t> </a:t>
          </a:r>
          <a:r>
            <a:rPr lang="ja-JP" altLang="en-US" sz="1100">
              <a:solidFill>
                <a:srgbClr val="FF0000"/>
              </a:solidFill>
              <a:effectLst/>
              <a:latin typeface="游ゴシック" panose="020B0400000000000000" pitchFamily="50" charset="-128"/>
              <a:ea typeface="游ゴシック" panose="020B0400000000000000" pitchFamily="50" charset="-128"/>
              <a:cs typeface="+mn-cs"/>
            </a:rPr>
            <a:t>によって、相違する場合は①について「学部・学科によって、修了要件は相違する」を選択し、修了要件が異なるごとに本様式を作成してください。</a:t>
          </a:r>
          <a:endParaRPr kumimoji="1" lang="ja-JP" altLang="en-US" sz="1100">
            <a:solidFill>
              <a:srgbClr val="FF0000"/>
            </a:solidFill>
            <a:latin typeface="游ゴシック" panose="020B0400000000000000" pitchFamily="50" charset="-128"/>
            <a:ea typeface="游ゴシック" panose="020B0400000000000000" pitchFamily="50" charset="-128"/>
          </a:endParaRPr>
        </a:p>
      </xdr:txBody>
    </xdr:sp>
    <xdr:clientData/>
  </xdr:twoCellAnchor>
  <xdr:twoCellAnchor>
    <xdr:from>
      <xdr:col>9</xdr:col>
      <xdr:colOff>381000</xdr:colOff>
      <xdr:row>20</xdr:row>
      <xdr:rowOff>180975</xdr:rowOff>
    </xdr:from>
    <xdr:to>
      <xdr:col>15</xdr:col>
      <xdr:colOff>466724</xdr:colOff>
      <xdr:row>25</xdr:row>
      <xdr:rowOff>19050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6667500" y="4371975"/>
          <a:ext cx="4200524"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solidFill>
                <a:srgbClr val="FF0000"/>
              </a:solidFill>
              <a:latin typeface="游ゴシック" panose="020B0400000000000000" pitchFamily="50" charset="-128"/>
              <a:ea typeface="游ゴシック" panose="020B0400000000000000" pitchFamily="50" charset="-128"/>
            </a:rPr>
            <a:t>プログラムを構成する具体的な授業科目を記載してください。学部・学科によって修了要件が相違する場合、修了要件が異なるごとに本様式を作成してください。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533401</xdr:colOff>
      <xdr:row>20</xdr:row>
      <xdr:rowOff>161925</xdr:rowOff>
    </xdr:from>
    <xdr:to>
      <xdr:col>26</xdr:col>
      <xdr:colOff>323851</xdr:colOff>
      <xdr:row>28</xdr:row>
      <xdr:rowOff>133350</xdr:rowOff>
    </xdr:to>
    <xdr:sp macro="" textlink="">
      <xdr:nvSpPr>
        <xdr:cNvPr id="4" name="テキスト ボックス 3">
          <a:extLst>
            <a:ext uri="{FF2B5EF4-FFF2-40B4-BE49-F238E27FC236}">
              <a16:creationId xmlns:a16="http://schemas.microsoft.com/office/drawing/2014/main" id="{00000000-0008-0000-0200-000002000000}"/>
            </a:ext>
          </a:extLst>
        </xdr:cNvPr>
        <xdr:cNvSpPr txBox="1"/>
      </xdr:nvSpPr>
      <xdr:spPr>
        <a:xfrm>
          <a:off x="10420351" y="4638675"/>
          <a:ext cx="5276850"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・学部・学科等別に各年度における履修者数、修了者数を入力してください。（</a:t>
          </a:r>
          <a:r>
            <a:rPr lang="ja-JP" altLang="en-US" sz="1100" u="sng">
              <a:solidFill>
                <a:srgbClr val="FF0000"/>
              </a:solidFill>
              <a:effectLst/>
              <a:latin typeface="游ゴシック" panose="020B0400000000000000" pitchFamily="50" charset="-128"/>
              <a:ea typeface="游ゴシック" panose="020B0400000000000000" pitchFamily="50" charset="-128"/>
              <a:cs typeface="+mn-cs"/>
            </a:rPr>
            <a:t>直近の修業年限に相当する期間における当該教育プログラムの履修者数及び修了者数</a:t>
          </a:r>
          <a:r>
            <a:rPr lang="ja-JP" altLang="en-US" sz="1100">
              <a:solidFill>
                <a:srgbClr val="FF0000"/>
              </a:solidFill>
              <a:effectLst/>
              <a:latin typeface="游ゴシック" panose="020B0400000000000000" pitchFamily="50" charset="-128"/>
              <a:ea typeface="游ゴシック" panose="020B0400000000000000" pitchFamily="50" charset="-128"/>
              <a:cs typeface="+mn-cs"/>
            </a:rPr>
            <a:t>を入力してください。）</a:t>
          </a:r>
          <a:endParaRPr lang="en-US" altLang="ja-JP" sz="1100">
            <a:solidFill>
              <a:srgbClr val="FF0000"/>
            </a:solidFill>
            <a:effectLst/>
            <a:latin typeface="游ゴシック" panose="020B0400000000000000" pitchFamily="50" charset="-128"/>
            <a:ea typeface="游ゴシック" panose="020B0400000000000000" pitchFamily="50" charset="-128"/>
            <a:cs typeface="+mn-cs"/>
          </a:endParaRPr>
        </a:p>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・令和２年５月１日現在、大学等に所属する学生のうち、過去も含めて年度ごとに履修者数、修了者数を入力してください。</a:t>
          </a:r>
          <a:endParaRPr lang="en-US" altLang="ja-JP" sz="1100">
            <a:solidFill>
              <a:srgbClr val="FF0000"/>
            </a:solidFill>
            <a:effectLst/>
            <a:latin typeface="游ゴシック" panose="020B0400000000000000" pitchFamily="50" charset="-128"/>
            <a:ea typeface="游ゴシック" panose="020B0400000000000000" pitchFamily="50" charset="-128"/>
            <a:cs typeface="+mn-cs"/>
          </a:endParaRPr>
        </a:p>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・履修者及び修了者がいない学部・学科等は「０」と入力してください。</a:t>
          </a:r>
          <a:endParaRPr lang="en-US" altLang="ja-JP" sz="1100">
            <a:solidFill>
              <a:srgbClr val="FF0000"/>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19</xdr:col>
      <xdr:colOff>352426</xdr:colOff>
      <xdr:row>5</xdr:row>
      <xdr:rowOff>95249</xdr:rowOff>
    </xdr:from>
    <xdr:to>
      <xdr:col>23</xdr:col>
      <xdr:colOff>123825</xdr:colOff>
      <xdr:row>18</xdr:row>
      <xdr:rowOff>57149</xdr:rowOff>
    </xdr:to>
    <xdr:sp macro="" textlink="">
      <xdr:nvSpPr>
        <xdr:cNvPr id="5" name="テキスト ボックス 4">
          <a:extLst>
            <a:ext uri="{FF2B5EF4-FFF2-40B4-BE49-F238E27FC236}">
              <a16:creationId xmlns:a16="http://schemas.microsoft.com/office/drawing/2014/main" id="{00000000-0008-0000-0200-000003000000}"/>
            </a:ext>
          </a:extLst>
        </xdr:cNvPr>
        <xdr:cNvSpPr txBox="1"/>
      </xdr:nvSpPr>
      <xdr:spPr>
        <a:xfrm>
          <a:off x="10925176" y="7277099"/>
          <a:ext cx="2514599" cy="2914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・学部・学科名称の後に括弧書きで学校基本調査「学科系統分類表」の大分類の名称を記載してください。</a:t>
          </a:r>
        </a:p>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・単科大学等の場合（１学部・学科の場合）、学科等別に記載してください。学科等名称の後に括弧書きで学校基本調査「学科系統分類表」の小分類の名称を記載してください。</a:t>
          </a:r>
          <a:endParaRPr lang="en-US" altLang="ja-JP" sz="1100">
            <a:solidFill>
              <a:srgbClr val="FF0000"/>
            </a:solidFill>
            <a:effectLst/>
            <a:latin typeface="游ゴシック" panose="020B0400000000000000" pitchFamily="50" charset="-128"/>
            <a:ea typeface="游ゴシック" panose="020B0400000000000000" pitchFamily="50" charset="-128"/>
            <a:cs typeface="+mn-cs"/>
          </a:endParaRPr>
        </a:p>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・収容定員欄は令和２年５月１日現在の収容定員を入力してください。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161925</xdr:colOff>
      <xdr:row>5</xdr:row>
      <xdr:rowOff>219075</xdr:rowOff>
    </xdr:from>
    <xdr:to>
      <xdr:col>12</xdr:col>
      <xdr:colOff>438150</xdr:colOff>
      <xdr:row>7</xdr:row>
      <xdr:rowOff>466725</xdr:rowOff>
    </xdr:to>
    <xdr:sp macro="" textlink="">
      <xdr:nvSpPr>
        <xdr:cNvPr id="2" name="テキスト ボックス 1">
          <a:extLst>
            <a:ext uri="{FF2B5EF4-FFF2-40B4-BE49-F238E27FC236}">
              <a16:creationId xmlns:a16="http://schemas.microsoft.com/office/drawing/2014/main" id="{BD08006D-60C7-4CE3-9ACC-994D753256A7}"/>
            </a:ext>
          </a:extLst>
        </xdr:cNvPr>
        <xdr:cNvSpPr txBox="1"/>
      </xdr:nvSpPr>
      <xdr:spPr>
        <a:xfrm>
          <a:off x="10182225" y="1409700"/>
          <a:ext cx="3705225" cy="1390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左記の「授業に含まれている内容・要素」に対応する当該プログラムの授業概要を記載してください。記載にあたっては</a:t>
          </a:r>
          <a:r>
            <a:rPr lang="ja-JP" altLang="ja-JP" sz="1100">
              <a:solidFill>
                <a:srgbClr val="FF0000"/>
              </a:solidFill>
              <a:effectLst/>
              <a:latin typeface="游ゴシック" panose="020B0400000000000000" pitchFamily="50" charset="-128"/>
              <a:ea typeface="游ゴシック" panose="020B0400000000000000" pitchFamily="50" charset="-128"/>
              <a:cs typeface="+mn-cs"/>
            </a:rPr>
            <a:t>「数理・データサイエンス・ＡＩ（リテラシーレベル）モデルカリキュラム</a:t>
          </a:r>
          <a:r>
            <a:rPr lang="ja-JP" altLang="en-US" sz="1100">
              <a:solidFill>
                <a:srgbClr val="FF0000"/>
              </a:solidFill>
              <a:effectLst/>
              <a:latin typeface="游ゴシック" panose="020B0400000000000000" pitchFamily="50" charset="-128"/>
              <a:ea typeface="游ゴシック" panose="020B0400000000000000" pitchFamily="50" charset="-128"/>
              <a:cs typeface="+mn-cs"/>
            </a:rPr>
            <a:t>」</a:t>
          </a:r>
          <a:r>
            <a:rPr lang="ja-JP" altLang="ja-JP" sz="1100">
              <a:solidFill>
                <a:srgbClr val="FF0000"/>
              </a:solidFill>
              <a:effectLst/>
              <a:latin typeface="游ゴシック" panose="020B0400000000000000" pitchFamily="50" charset="-128"/>
              <a:ea typeface="游ゴシック" panose="020B0400000000000000" pitchFamily="50" charset="-128"/>
              <a:cs typeface="+mn-cs"/>
            </a:rPr>
            <a:t>のキーワード（知識・スキル）</a:t>
          </a:r>
          <a:r>
            <a:rPr lang="ja-JP" altLang="en-US" sz="1100">
              <a:solidFill>
                <a:srgbClr val="FF0000"/>
              </a:solidFill>
              <a:effectLst/>
              <a:latin typeface="游ゴシック" panose="020B0400000000000000" pitchFamily="50" charset="-128"/>
              <a:ea typeface="游ゴシック" panose="020B0400000000000000" pitchFamily="50" charset="-128"/>
              <a:cs typeface="+mn-cs"/>
            </a:rPr>
            <a:t>を参照してください。（以下同様）</a:t>
          </a:r>
          <a:endParaRPr kumimoji="1" lang="ja-JP" altLang="en-US" sz="1100">
            <a:solidFill>
              <a:srgbClr val="FF0000"/>
            </a:solidFill>
            <a:latin typeface="游ゴシック" panose="020B0400000000000000" pitchFamily="50" charset="-128"/>
            <a:ea typeface="游ゴシック" panose="020B0400000000000000" pitchFamily="50" charset="-128"/>
          </a:endParaRPr>
        </a:p>
      </xdr:txBody>
    </xdr:sp>
    <xdr:clientData/>
  </xdr:twoCellAnchor>
  <xdr:twoCellAnchor>
    <xdr:from>
      <xdr:col>7</xdr:col>
      <xdr:colOff>161925</xdr:colOff>
      <xdr:row>10</xdr:row>
      <xdr:rowOff>57149</xdr:rowOff>
    </xdr:from>
    <xdr:to>
      <xdr:col>12</xdr:col>
      <xdr:colOff>219075</xdr:colOff>
      <xdr:row>18</xdr:row>
      <xdr:rowOff>57150</xdr:rowOff>
    </xdr:to>
    <xdr:sp macro="" textlink="">
      <xdr:nvSpPr>
        <xdr:cNvPr id="3" name="テキスト ボックス 2">
          <a:extLst>
            <a:ext uri="{FF2B5EF4-FFF2-40B4-BE49-F238E27FC236}">
              <a16:creationId xmlns:a16="http://schemas.microsoft.com/office/drawing/2014/main" id="{2A1A4B1F-687C-48F6-AA9B-C4A73F3A2045}"/>
            </a:ext>
          </a:extLst>
        </xdr:cNvPr>
        <xdr:cNvSpPr txBox="1"/>
      </xdr:nvSpPr>
      <xdr:spPr>
        <a:xfrm>
          <a:off x="10182225" y="3771899"/>
          <a:ext cx="3486150" cy="1905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左記の「授業に含まれている内容・要素」に対応する、当該プログラムを構成する「授業科目名称」を記載してください。また、該当部分の講義について講義テーマを記載し、（　）内にその科目内の何回目の講義において実施したのかを記載してください。（以下同様）</a:t>
          </a:r>
          <a:endParaRPr lang="en-US" altLang="ja-JP" sz="1100">
            <a:solidFill>
              <a:srgbClr val="FF0000"/>
            </a:solidFill>
            <a:effectLst/>
            <a:latin typeface="游ゴシック" panose="020B0400000000000000" pitchFamily="50" charset="-128"/>
            <a:ea typeface="游ゴシック" panose="020B0400000000000000" pitchFamily="50" charset="-128"/>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58511</xdr:colOff>
      <xdr:row>21</xdr:row>
      <xdr:rowOff>232682</xdr:rowOff>
    </xdr:from>
    <xdr:to>
      <xdr:col>10</xdr:col>
      <xdr:colOff>142875</xdr:colOff>
      <xdr:row>28</xdr:row>
      <xdr:rowOff>107496</xdr:rowOff>
    </xdr:to>
    <xdr:sp macro="" textlink="">
      <xdr:nvSpPr>
        <xdr:cNvPr id="2" name="テキスト ボックス 1">
          <a:extLst>
            <a:ext uri="{FF2B5EF4-FFF2-40B4-BE49-F238E27FC236}">
              <a16:creationId xmlns:a16="http://schemas.microsoft.com/office/drawing/2014/main" id="{00000000-0008-0000-0400-000002000000}"/>
            </a:ext>
          </a:extLst>
        </xdr:cNvPr>
        <xdr:cNvSpPr txBox="1"/>
      </xdr:nvSpPr>
      <xdr:spPr>
        <a:xfrm>
          <a:off x="7554686" y="4423682"/>
          <a:ext cx="3551464" cy="8273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プログラムを改善・進化させるための体制（委員会等）を構成する委員の名前、役職・所属等を記載してください。</a:t>
          </a:r>
          <a:endParaRPr kumimoji="1" lang="ja-JP" altLang="en-US" sz="1100">
            <a:solidFill>
              <a:srgbClr val="FF0000"/>
            </a:solidFill>
            <a:latin typeface="游ゴシック" panose="020B0400000000000000" pitchFamily="50" charset="-128"/>
            <a:ea typeface="游ゴシック" panose="020B0400000000000000" pitchFamily="50" charset="-128"/>
          </a:endParaRPr>
        </a:p>
      </xdr:txBody>
    </xdr:sp>
    <xdr:clientData/>
  </xdr:twoCellAnchor>
  <xdr:twoCellAnchor>
    <xdr:from>
      <xdr:col>5</xdr:col>
      <xdr:colOff>809625</xdr:colOff>
      <xdr:row>34</xdr:row>
      <xdr:rowOff>161924</xdr:rowOff>
    </xdr:from>
    <xdr:to>
      <xdr:col>10</xdr:col>
      <xdr:colOff>466725</xdr:colOff>
      <xdr:row>41</xdr:row>
      <xdr:rowOff>219075</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7439025" y="6591299"/>
          <a:ext cx="3990975" cy="1724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令和２年度における履修者数合計・履修率の実績より高い履修者数・履修率の目標値を具体的に設定し、その目標値を達成するために令和３年度から令和７年度まで（５ヵ年）の計画を立ててください。</a:t>
          </a:r>
          <a:r>
            <a:rPr kumimoji="1" lang="ja-JP" altLang="en-US" sz="1100" b="1">
              <a:solidFill>
                <a:srgbClr val="FF0000"/>
              </a:solidFill>
              <a:effectLst/>
              <a:latin typeface="游ゴシック" panose="020B0400000000000000" pitchFamily="50" charset="-128"/>
              <a:ea typeface="游ゴシック" panose="020B0400000000000000" pitchFamily="50" charset="-128"/>
              <a:cs typeface="+mn-cs"/>
            </a:rPr>
            <a:t>なお、ここで記載する履修者数合計及び（　）内の履修率については、様式３の履修者数合計及び履修率と同一の定義とします。</a:t>
          </a:r>
          <a:endParaRPr kumimoji="1" lang="ja-JP" altLang="en-US" sz="1100" b="1">
            <a:solidFill>
              <a:srgbClr val="FF0000"/>
            </a:solidFill>
            <a:latin typeface="游ゴシック" panose="020B0400000000000000" pitchFamily="50" charset="-128"/>
            <a:ea typeface="游ゴシック" panose="020B0400000000000000" pitchFamily="50" charset="-128"/>
          </a:endParaRPr>
        </a:p>
      </xdr:txBody>
    </xdr:sp>
    <xdr:clientData/>
  </xdr:twoCellAnchor>
  <xdr:twoCellAnchor>
    <xdr:from>
      <xdr:col>5</xdr:col>
      <xdr:colOff>387803</xdr:colOff>
      <xdr:row>49</xdr:row>
      <xdr:rowOff>107498</xdr:rowOff>
    </xdr:from>
    <xdr:to>
      <xdr:col>9</xdr:col>
      <xdr:colOff>704850</xdr:colOff>
      <xdr:row>53</xdr:row>
      <xdr:rowOff>63954</xdr:rowOff>
    </xdr:to>
    <xdr:sp macro="" textlink="">
      <xdr:nvSpPr>
        <xdr:cNvPr id="4" name="テキスト ボックス 3">
          <a:extLst>
            <a:ext uri="{FF2B5EF4-FFF2-40B4-BE49-F238E27FC236}">
              <a16:creationId xmlns:a16="http://schemas.microsoft.com/office/drawing/2014/main" id="{00000000-0008-0000-0400-000004000000}"/>
            </a:ext>
          </a:extLst>
        </xdr:cNvPr>
        <xdr:cNvSpPr txBox="1"/>
      </xdr:nvSpPr>
      <xdr:spPr>
        <a:xfrm>
          <a:off x="7017203" y="11061248"/>
          <a:ext cx="3784147" cy="9089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学部・学科に関係なく希望する学生全員が受講可能となるような各大学等の特色ある体制を記載してください。</a:t>
          </a:r>
        </a:p>
      </xdr:txBody>
    </xdr:sp>
    <xdr:clientData/>
  </xdr:twoCellAnchor>
  <xdr:twoCellAnchor>
    <xdr:from>
      <xdr:col>5</xdr:col>
      <xdr:colOff>723900</xdr:colOff>
      <xdr:row>72</xdr:row>
      <xdr:rowOff>236766</xdr:rowOff>
    </xdr:from>
    <xdr:to>
      <xdr:col>10</xdr:col>
      <xdr:colOff>371475</xdr:colOff>
      <xdr:row>76</xdr:row>
      <xdr:rowOff>193221</xdr:rowOff>
    </xdr:to>
    <xdr:sp macro="" textlink="">
      <xdr:nvSpPr>
        <xdr:cNvPr id="5" name="テキスト ボックス 4">
          <a:extLst>
            <a:ext uri="{FF2B5EF4-FFF2-40B4-BE49-F238E27FC236}">
              <a16:creationId xmlns:a16="http://schemas.microsoft.com/office/drawing/2014/main" id="{00000000-0008-0000-0400-000005000000}"/>
            </a:ext>
          </a:extLst>
        </xdr:cNvPr>
        <xdr:cNvSpPr txBox="1"/>
      </xdr:nvSpPr>
      <xdr:spPr>
        <a:xfrm>
          <a:off x="7353300" y="16524516"/>
          <a:ext cx="3981450" cy="908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学部・学科に関係なく希望する学生全員が受講可能となるような各大学等の特色ある体制を記載してください。</a:t>
          </a:r>
        </a:p>
      </xdr:txBody>
    </xdr:sp>
    <xdr:clientData/>
  </xdr:twoCellAnchor>
  <xdr:twoCellAnchor>
    <xdr:from>
      <xdr:col>5</xdr:col>
      <xdr:colOff>864053</xdr:colOff>
      <xdr:row>94</xdr:row>
      <xdr:rowOff>48987</xdr:rowOff>
    </xdr:from>
    <xdr:to>
      <xdr:col>10</xdr:col>
      <xdr:colOff>266700</xdr:colOff>
      <xdr:row>98</xdr:row>
      <xdr:rowOff>5442</xdr:rowOff>
    </xdr:to>
    <xdr:sp macro="" textlink="">
      <xdr:nvSpPr>
        <xdr:cNvPr id="6" name="テキスト ボックス 5">
          <a:extLst>
            <a:ext uri="{FF2B5EF4-FFF2-40B4-BE49-F238E27FC236}">
              <a16:creationId xmlns:a16="http://schemas.microsoft.com/office/drawing/2014/main" id="{00000000-0008-0000-0400-000006000000}"/>
            </a:ext>
          </a:extLst>
        </xdr:cNvPr>
        <xdr:cNvSpPr txBox="1"/>
      </xdr:nvSpPr>
      <xdr:spPr>
        <a:xfrm>
          <a:off x="7493453" y="21432612"/>
          <a:ext cx="3736522" cy="908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できる限り多くの学生が履修・修得できるような各大学等の特色あるサポート体制を記載してください。</a:t>
          </a:r>
        </a:p>
      </xdr:txBody>
    </xdr:sp>
    <xdr:clientData/>
  </xdr:twoCellAnchor>
  <xdr:twoCellAnchor>
    <xdr:from>
      <xdr:col>6</xdr:col>
      <xdr:colOff>42182</xdr:colOff>
      <xdr:row>118</xdr:row>
      <xdr:rowOff>36740</xdr:rowOff>
    </xdr:from>
    <xdr:to>
      <xdr:col>10</xdr:col>
      <xdr:colOff>247650</xdr:colOff>
      <xdr:row>121</xdr:row>
      <xdr:rowOff>231321</xdr:rowOff>
    </xdr:to>
    <xdr:sp macro="" textlink="">
      <xdr:nvSpPr>
        <xdr:cNvPr id="7" name="テキスト ボックス 6">
          <a:extLst>
            <a:ext uri="{FF2B5EF4-FFF2-40B4-BE49-F238E27FC236}">
              <a16:creationId xmlns:a16="http://schemas.microsoft.com/office/drawing/2014/main" id="{00000000-0008-0000-0400-000007000000}"/>
            </a:ext>
          </a:extLst>
        </xdr:cNvPr>
        <xdr:cNvSpPr txBox="1"/>
      </xdr:nvSpPr>
      <xdr:spPr>
        <a:xfrm>
          <a:off x="7538357" y="26992490"/>
          <a:ext cx="3672568" cy="9089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授業時間内外で学習指導、質問を受け付ける各大学等の特色ある具体的な仕組みを記載してください。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261097</xdr:colOff>
      <xdr:row>7</xdr:row>
      <xdr:rowOff>666189</xdr:rowOff>
    </xdr:from>
    <xdr:to>
      <xdr:col>15</xdr:col>
      <xdr:colOff>2</xdr:colOff>
      <xdr:row>7</xdr:row>
      <xdr:rowOff>1647264</xdr:rowOff>
    </xdr:to>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10480862" y="2178983"/>
          <a:ext cx="3190316"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各大学等で設置されている自己点検・評価体制において、自己点検・評価の結果や不断の改善・進化に向けた取組を具体的に記載してください。（以下同様）</a:t>
          </a:r>
          <a:endParaRPr kumimoji="1" lang="ja-JP" altLang="en-US" sz="1100">
            <a:solidFill>
              <a:srgbClr val="FF0000"/>
            </a:solidFill>
            <a:latin typeface="游ゴシック" panose="020B0400000000000000" pitchFamily="50" charset="-128"/>
            <a:ea typeface="游ゴシック" panose="020B0400000000000000"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tabSelected="1" zoomScaleNormal="100" workbookViewId="0">
      <selection activeCell="J51" sqref="J51"/>
    </sheetView>
  </sheetViews>
  <sheetFormatPr defaultColWidth="9" defaultRowHeight="18.75" customHeight="1" x14ac:dyDescent="0.15"/>
  <cols>
    <col min="1" max="1" width="2.5" style="1" customWidth="1"/>
    <col min="2" max="2" width="12.5" style="1" customWidth="1"/>
    <col min="3" max="8" width="6.25" style="1" customWidth="1"/>
    <col min="9" max="9" width="2.5" style="1" customWidth="1"/>
    <col min="10" max="10" width="10" style="1" customWidth="1"/>
    <col min="11" max="11" width="2.5" style="1" customWidth="1"/>
    <col min="12" max="12" width="7.5" style="1" customWidth="1"/>
    <col min="13" max="13" width="2.5" style="1" customWidth="1"/>
    <col min="14" max="14" width="7.5" style="1" customWidth="1"/>
    <col min="15" max="16384" width="9" style="1"/>
  </cols>
  <sheetData>
    <row r="1" spans="1:14" ht="22.5" customHeight="1" x14ac:dyDescent="0.15">
      <c r="M1" s="147" t="s">
        <v>26</v>
      </c>
      <c r="N1" s="147"/>
    </row>
    <row r="2" spans="1:14" ht="22.5" customHeight="1" x14ac:dyDescent="0.15">
      <c r="A2" s="155" t="s">
        <v>120</v>
      </c>
      <c r="B2" s="155"/>
      <c r="C2" s="155"/>
      <c r="D2" s="155"/>
      <c r="E2" s="155"/>
      <c r="F2" s="155"/>
      <c r="G2" s="155"/>
      <c r="H2" s="155"/>
      <c r="I2" s="155"/>
      <c r="J2" s="155"/>
      <c r="K2" s="155"/>
      <c r="L2" s="155"/>
      <c r="M2" s="155"/>
      <c r="N2" s="155"/>
    </row>
    <row r="3" spans="1:14" ht="22.5" customHeight="1" x14ac:dyDescent="0.15"/>
    <row r="4" spans="1:14" ht="22.5" customHeight="1" x14ac:dyDescent="0.15">
      <c r="A4" s="1" t="s">
        <v>6</v>
      </c>
      <c r="B4" s="5" t="s">
        <v>18</v>
      </c>
      <c r="C4" s="134" t="s">
        <v>121</v>
      </c>
      <c r="D4" s="135"/>
      <c r="E4" s="135"/>
      <c r="F4" s="135"/>
      <c r="G4" s="135"/>
      <c r="H4" s="135"/>
      <c r="I4" s="135"/>
      <c r="J4" s="135"/>
      <c r="K4" s="135"/>
      <c r="L4" s="135"/>
      <c r="M4" s="135"/>
      <c r="N4" s="136"/>
    </row>
    <row r="5" spans="1:14" ht="7.5" customHeight="1" x14ac:dyDescent="0.15">
      <c r="B5" s="5"/>
      <c r="C5" s="5"/>
      <c r="D5" s="5"/>
      <c r="E5" s="51"/>
      <c r="F5" s="52"/>
      <c r="G5" s="52"/>
      <c r="H5" s="52"/>
      <c r="I5" s="52"/>
      <c r="J5" s="52"/>
      <c r="K5" s="52"/>
      <c r="L5" s="52"/>
      <c r="M5" s="52"/>
      <c r="N5" s="52"/>
    </row>
    <row r="6" spans="1:14" ht="22.5" customHeight="1" x14ac:dyDescent="0.15">
      <c r="A6" s="1" t="s">
        <v>11</v>
      </c>
      <c r="B6" s="5" t="s">
        <v>52</v>
      </c>
      <c r="C6" s="5"/>
      <c r="D6" s="152" t="s">
        <v>122</v>
      </c>
      <c r="E6" s="153"/>
      <c r="F6" s="153"/>
      <c r="G6" s="153"/>
      <c r="H6" s="153"/>
      <c r="I6" s="153"/>
      <c r="J6" s="153"/>
      <c r="K6" s="153"/>
      <c r="L6" s="153"/>
      <c r="M6" s="153"/>
      <c r="N6" s="154"/>
    </row>
    <row r="7" spans="1:14" ht="7.5" customHeight="1" x14ac:dyDescent="0.15">
      <c r="B7" s="5"/>
      <c r="C7" s="5"/>
      <c r="D7" s="5"/>
      <c r="E7" s="51"/>
      <c r="F7" s="52"/>
      <c r="G7" s="52"/>
      <c r="H7" s="52"/>
      <c r="I7" s="52"/>
      <c r="J7" s="52"/>
      <c r="K7" s="52"/>
      <c r="L7" s="52"/>
      <c r="M7" s="52"/>
      <c r="N7" s="52"/>
    </row>
    <row r="8" spans="1:14" ht="22.5" customHeight="1" x14ac:dyDescent="0.15">
      <c r="A8" s="53" t="s">
        <v>12</v>
      </c>
      <c r="B8" s="54" t="s">
        <v>53</v>
      </c>
      <c r="C8" s="134" t="s">
        <v>103</v>
      </c>
      <c r="D8" s="135"/>
      <c r="E8" s="136"/>
      <c r="F8" s="52"/>
      <c r="G8" s="151"/>
      <c r="H8" s="151"/>
      <c r="I8" s="151"/>
      <c r="J8" s="52"/>
      <c r="K8" s="52"/>
      <c r="L8" s="52"/>
      <c r="M8" s="52"/>
      <c r="N8" s="52"/>
    </row>
    <row r="9" spans="1:14" ht="7.5" customHeight="1" x14ac:dyDescent="0.15">
      <c r="B9" s="5"/>
      <c r="C9" s="5"/>
      <c r="D9" s="5"/>
      <c r="E9" s="51"/>
      <c r="F9" s="52"/>
      <c r="G9" s="52"/>
      <c r="H9" s="52"/>
      <c r="I9" s="52"/>
      <c r="J9" s="52"/>
      <c r="K9" s="52"/>
      <c r="L9" s="52"/>
      <c r="M9" s="52"/>
      <c r="N9" s="52"/>
    </row>
    <row r="10" spans="1:14" ht="22.5" customHeight="1" x14ac:dyDescent="0.15">
      <c r="A10" s="1" t="s">
        <v>15</v>
      </c>
      <c r="B10" s="5" t="s">
        <v>49</v>
      </c>
      <c r="C10" s="134" t="s">
        <v>123</v>
      </c>
      <c r="D10" s="135"/>
      <c r="E10" s="135"/>
      <c r="F10" s="135"/>
      <c r="G10" s="135"/>
      <c r="H10" s="135"/>
      <c r="I10" s="135"/>
      <c r="J10" s="135"/>
      <c r="K10" s="135"/>
      <c r="L10" s="135"/>
      <c r="M10" s="135"/>
      <c r="N10" s="136"/>
    </row>
    <row r="11" spans="1:14" ht="7.5" customHeight="1" x14ac:dyDescent="0.15">
      <c r="B11" s="5"/>
      <c r="C11" s="5"/>
      <c r="D11" s="5"/>
      <c r="E11" s="51"/>
      <c r="F11" s="52"/>
      <c r="G11" s="52"/>
      <c r="H11" s="52"/>
      <c r="I11" s="52"/>
      <c r="J11" s="52"/>
      <c r="K11" s="52"/>
      <c r="L11" s="52"/>
      <c r="M11" s="52"/>
      <c r="N11" s="52"/>
    </row>
    <row r="12" spans="1:14" ht="22.5" customHeight="1" x14ac:dyDescent="0.15">
      <c r="A12" s="1" t="s">
        <v>13</v>
      </c>
      <c r="B12" s="5" t="s">
        <v>115</v>
      </c>
      <c r="C12" s="5"/>
      <c r="D12" s="5"/>
      <c r="E12" s="52"/>
      <c r="F12" s="55"/>
      <c r="G12" s="156" t="s">
        <v>131</v>
      </c>
      <c r="H12" s="157"/>
      <c r="I12" s="157"/>
      <c r="J12" s="157"/>
      <c r="K12" s="157"/>
      <c r="L12" s="157"/>
      <c r="M12" s="157"/>
      <c r="N12" s="158"/>
    </row>
    <row r="13" spans="1:14" ht="7.5" customHeight="1" x14ac:dyDescent="0.15">
      <c r="B13" s="51"/>
      <c r="C13" s="51"/>
      <c r="D13" s="51"/>
      <c r="E13" s="51"/>
      <c r="F13" s="52"/>
      <c r="G13" s="52"/>
      <c r="H13" s="52"/>
      <c r="I13" s="52"/>
      <c r="J13" s="52"/>
      <c r="K13" s="52"/>
      <c r="L13" s="52"/>
      <c r="M13" s="52"/>
      <c r="N13" s="52"/>
    </row>
    <row r="14" spans="1:14" ht="22.5" customHeight="1" x14ac:dyDescent="0.15">
      <c r="A14" s="1" t="s">
        <v>16</v>
      </c>
      <c r="B14" s="51" t="s">
        <v>61</v>
      </c>
      <c r="C14" s="51"/>
      <c r="D14" s="51"/>
      <c r="E14" s="51"/>
      <c r="F14" s="142" t="s">
        <v>150</v>
      </c>
      <c r="G14" s="143"/>
      <c r="H14" s="144"/>
      <c r="I14" s="52"/>
      <c r="J14" s="52"/>
      <c r="K14" s="52"/>
      <c r="L14" s="52"/>
      <c r="M14" s="52"/>
      <c r="N14" s="52"/>
    </row>
    <row r="15" spans="1:14" ht="7.5" customHeight="1" x14ac:dyDescent="0.15">
      <c r="B15" s="51"/>
      <c r="C15" s="51"/>
      <c r="D15" s="51"/>
      <c r="E15" s="51"/>
      <c r="F15" s="52"/>
      <c r="G15" s="52"/>
      <c r="H15" s="52"/>
      <c r="I15" s="52"/>
      <c r="J15" s="52"/>
      <c r="K15" s="52"/>
      <c r="L15" s="52"/>
      <c r="M15" s="52"/>
      <c r="N15" s="52"/>
    </row>
    <row r="16" spans="1:14" ht="22.5" customHeight="1" x14ac:dyDescent="0.15">
      <c r="A16" s="1" t="s">
        <v>14</v>
      </c>
      <c r="B16" s="1" t="s">
        <v>0</v>
      </c>
      <c r="C16" s="148" t="s">
        <v>5</v>
      </c>
      <c r="D16" s="149"/>
      <c r="E16" s="137">
        <v>809</v>
      </c>
      <c r="F16" s="138"/>
      <c r="G16" s="56" t="s">
        <v>9</v>
      </c>
      <c r="I16" s="148" t="s">
        <v>10</v>
      </c>
      <c r="J16" s="149"/>
      <c r="K16" s="137">
        <v>599</v>
      </c>
      <c r="L16" s="150"/>
      <c r="M16" s="138"/>
      <c r="N16" s="57" t="s">
        <v>9</v>
      </c>
    </row>
    <row r="17" spans="1:15" ht="7.5" customHeight="1" x14ac:dyDescent="0.15">
      <c r="F17" s="58"/>
      <c r="G17" s="58"/>
      <c r="H17" s="58"/>
      <c r="I17" s="58"/>
      <c r="J17" s="58"/>
      <c r="K17" s="58"/>
      <c r="L17" s="58"/>
      <c r="M17" s="57"/>
      <c r="N17" s="57"/>
    </row>
    <row r="18" spans="1:15" ht="22.5" customHeight="1" x14ac:dyDescent="0.15">
      <c r="A18" s="1" t="s">
        <v>56</v>
      </c>
      <c r="B18" s="1" t="s">
        <v>83</v>
      </c>
      <c r="F18" s="58"/>
      <c r="G18" s="58"/>
      <c r="H18" s="58"/>
      <c r="I18" s="58"/>
      <c r="J18" s="58"/>
      <c r="K18" s="160">
        <v>25</v>
      </c>
      <c r="L18" s="161"/>
      <c r="M18" s="162"/>
      <c r="N18" s="57" t="s">
        <v>9</v>
      </c>
    </row>
    <row r="19" spans="1:15" ht="7.5" customHeight="1" x14ac:dyDescent="0.15">
      <c r="F19" s="58"/>
      <c r="G19" s="58"/>
      <c r="H19" s="58"/>
      <c r="I19" s="58"/>
      <c r="J19" s="58"/>
      <c r="K19" s="58"/>
      <c r="L19" s="58"/>
      <c r="M19" s="57"/>
      <c r="N19" s="57"/>
    </row>
    <row r="20" spans="1:15" ht="22.5" customHeight="1" x14ac:dyDescent="0.15">
      <c r="A20" s="1" t="s">
        <v>62</v>
      </c>
      <c r="B20" s="1" t="s">
        <v>124</v>
      </c>
      <c r="E20" s="137">
        <v>1098</v>
      </c>
      <c r="F20" s="138"/>
      <c r="G20" s="59" t="s">
        <v>23</v>
      </c>
      <c r="H20" s="58"/>
      <c r="K20" s="159"/>
      <c r="L20" s="159"/>
      <c r="M20" s="159"/>
      <c r="N20" s="159"/>
    </row>
    <row r="21" spans="1:15" ht="7.5" customHeight="1" x14ac:dyDescent="0.15">
      <c r="E21" s="60"/>
      <c r="F21" s="58"/>
      <c r="G21" s="58"/>
      <c r="L21" s="61"/>
      <c r="M21" s="61"/>
      <c r="N21" s="62"/>
    </row>
    <row r="22" spans="1:15" ht="22.5" customHeight="1" x14ac:dyDescent="0.15">
      <c r="A22" s="1" t="s">
        <v>25</v>
      </c>
      <c r="B22" s="1" t="s">
        <v>125</v>
      </c>
      <c r="E22" s="60"/>
      <c r="F22" s="58"/>
      <c r="G22" s="58"/>
      <c r="H22" s="1" t="s">
        <v>55</v>
      </c>
      <c r="J22" s="163">
        <v>5082</v>
      </c>
      <c r="K22" s="164"/>
      <c r="L22" s="165"/>
      <c r="M22" s="61" t="s">
        <v>9</v>
      </c>
      <c r="N22" s="62"/>
    </row>
    <row r="23" spans="1:15" ht="7.5" customHeight="1" x14ac:dyDescent="0.15">
      <c r="E23" s="60"/>
      <c r="F23" s="58"/>
      <c r="G23" s="58"/>
      <c r="L23" s="61"/>
      <c r="M23" s="61"/>
      <c r="N23" s="62"/>
    </row>
    <row r="24" spans="1:15" ht="22.5" customHeight="1" x14ac:dyDescent="0.15">
      <c r="B24" s="45" t="s">
        <v>19</v>
      </c>
      <c r="C24" s="137">
        <v>1156</v>
      </c>
      <c r="D24" s="138"/>
      <c r="E24" s="60" t="s">
        <v>9</v>
      </c>
      <c r="F24" s="58"/>
      <c r="G24" s="133" t="s">
        <v>20</v>
      </c>
      <c r="H24" s="133"/>
      <c r="I24" s="137">
        <v>1178</v>
      </c>
      <c r="J24" s="138"/>
      <c r="K24" s="53" t="s">
        <v>9</v>
      </c>
      <c r="M24" s="61"/>
      <c r="N24" s="62"/>
      <c r="O24" s="10"/>
    </row>
    <row r="25" spans="1:15" ht="7.5" customHeight="1" x14ac:dyDescent="0.15">
      <c r="B25" s="45"/>
      <c r="C25" s="63"/>
      <c r="D25" s="63"/>
      <c r="E25" s="60"/>
      <c r="F25" s="58"/>
      <c r="G25" s="61"/>
      <c r="H25" s="61"/>
      <c r="I25" s="63"/>
      <c r="J25" s="63"/>
      <c r="K25" s="53"/>
      <c r="M25" s="61"/>
      <c r="N25" s="62"/>
      <c r="O25" s="10"/>
    </row>
    <row r="26" spans="1:15" ht="22.5" customHeight="1" x14ac:dyDescent="0.15">
      <c r="B26" s="45" t="s">
        <v>21</v>
      </c>
      <c r="C26" s="137">
        <v>1239</v>
      </c>
      <c r="D26" s="138"/>
      <c r="E26" s="60" t="s">
        <v>9</v>
      </c>
      <c r="F26" s="58"/>
      <c r="G26" s="133" t="s">
        <v>22</v>
      </c>
      <c r="H26" s="133"/>
      <c r="I26" s="137">
        <v>1264</v>
      </c>
      <c r="J26" s="138"/>
      <c r="K26" s="53" t="s">
        <v>9</v>
      </c>
      <c r="M26" s="61"/>
      <c r="N26" s="62"/>
    </row>
    <row r="27" spans="1:15" ht="7.5" customHeight="1" x14ac:dyDescent="0.15">
      <c r="B27" s="45"/>
      <c r="C27" s="63"/>
      <c r="D27" s="63"/>
      <c r="E27" s="60"/>
      <c r="F27" s="58"/>
      <c r="G27" s="61"/>
      <c r="H27" s="61"/>
      <c r="I27" s="63"/>
      <c r="J27" s="63"/>
      <c r="K27" s="53"/>
      <c r="M27" s="61"/>
      <c r="N27" s="62"/>
    </row>
    <row r="28" spans="1:15" ht="22.5" customHeight="1" x14ac:dyDescent="0.15">
      <c r="B28" s="45" t="s">
        <v>50</v>
      </c>
      <c r="C28" s="137">
        <v>109</v>
      </c>
      <c r="D28" s="138"/>
      <c r="E28" s="60" t="s">
        <v>9</v>
      </c>
      <c r="F28" s="58"/>
      <c r="G28" s="133" t="s">
        <v>51</v>
      </c>
      <c r="H28" s="133"/>
      <c r="I28" s="137">
        <v>136</v>
      </c>
      <c r="J28" s="138"/>
      <c r="K28" s="53" t="s">
        <v>9</v>
      </c>
      <c r="M28" s="61"/>
      <c r="N28" s="62"/>
    </row>
    <row r="29" spans="1:15" ht="7.5" customHeight="1" x14ac:dyDescent="0.15">
      <c r="F29" s="58"/>
      <c r="G29" s="58"/>
      <c r="M29" s="64"/>
      <c r="N29" s="64"/>
    </row>
    <row r="30" spans="1:15" ht="22.5" customHeight="1" x14ac:dyDescent="0.15">
      <c r="A30" s="1" t="s">
        <v>114</v>
      </c>
      <c r="B30" s="5" t="s">
        <v>106</v>
      </c>
      <c r="C30" s="5"/>
      <c r="D30" s="5"/>
      <c r="E30" s="5"/>
      <c r="F30" s="53"/>
      <c r="G30" s="52"/>
      <c r="H30" s="52"/>
      <c r="I30" s="52"/>
      <c r="J30" s="65"/>
      <c r="K30" s="65"/>
      <c r="L30" s="65"/>
      <c r="M30" s="65"/>
      <c r="N30" s="65"/>
    </row>
    <row r="31" spans="1:15" s="10" customFormat="1" ht="22.5" customHeight="1" x14ac:dyDescent="0.15">
      <c r="B31" s="141" t="s">
        <v>105</v>
      </c>
      <c r="C31" s="141"/>
      <c r="D31" s="142" t="s">
        <v>126</v>
      </c>
      <c r="E31" s="143"/>
      <c r="F31" s="143"/>
      <c r="G31" s="145" t="s">
        <v>24</v>
      </c>
      <c r="H31" s="141"/>
      <c r="I31" s="146"/>
      <c r="J31" s="142" t="s">
        <v>127</v>
      </c>
      <c r="K31" s="143"/>
      <c r="L31" s="143"/>
      <c r="M31" s="143"/>
      <c r="N31" s="144"/>
    </row>
    <row r="32" spans="1:15" ht="7.5" customHeight="1" x14ac:dyDescent="0.15">
      <c r="F32" s="58"/>
      <c r="G32" s="58"/>
      <c r="M32" s="64"/>
      <c r="N32" s="64"/>
    </row>
    <row r="33" spans="1:14" ht="22.5" customHeight="1" x14ac:dyDescent="0.15">
      <c r="A33" s="1" t="s">
        <v>54</v>
      </c>
      <c r="B33" s="5" t="s">
        <v>117</v>
      </c>
      <c r="C33" s="5"/>
      <c r="D33" s="5"/>
      <c r="E33" s="5"/>
      <c r="F33" s="53"/>
      <c r="G33" s="65"/>
      <c r="H33" s="65"/>
      <c r="I33" s="65"/>
      <c r="J33" s="65"/>
      <c r="K33" s="65"/>
      <c r="L33" s="65"/>
      <c r="M33" s="65"/>
      <c r="N33" s="65"/>
    </row>
    <row r="34" spans="1:14" ht="22.5" customHeight="1" x14ac:dyDescent="0.15">
      <c r="B34" s="142" t="s">
        <v>177</v>
      </c>
      <c r="C34" s="143"/>
      <c r="D34" s="143"/>
      <c r="E34" s="143"/>
      <c r="F34" s="143"/>
      <c r="G34" s="143"/>
      <c r="H34" s="143"/>
      <c r="I34" s="143"/>
      <c r="J34" s="143"/>
      <c r="K34" s="143"/>
      <c r="L34" s="143"/>
      <c r="M34" s="143"/>
      <c r="N34" s="144"/>
    </row>
    <row r="35" spans="1:14" ht="7.5" customHeight="1" x14ac:dyDescent="0.15">
      <c r="B35" s="66"/>
      <c r="C35" s="66"/>
      <c r="D35" s="66"/>
      <c r="E35" s="66"/>
      <c r="F35" s="66"/>
      <c r="G35" s="66"/>
      <c r="H35" s="66"/>
      <c r="I35" s="66"/>
      <c r="J35" s="66"/>
      <c r="K35" s="66"/>
      <c r="L35" s="66"/>
      <c r="M35" s="66"/>
      <c r="N35" s="66"/>
    </row>
    <row r="36" spans="1:14" s="10" customFormat="1" ht="22.5" customHeight="1" x14ac:dyDescent="0.15">
      <c r="B36" s="141" t="s">
        <v>105</v>
      </c>
      <c r="C36" s="141"/>
      <c r="D36" s="142" t="s">
        <v>128</v>
      </c>
      <c r="E36" s="143"/>
      <c r="F36" s="143"/>
      <c r="G36" s="145" t="s">
        <v>24</v>
      </c>
      <c r="H36" s="141"/>
      <c r="I36" s="146"/>
      <c r="J36" s="142" t="s">
        <v>129</v>
      </c>
      <c r="K36" s="143"/>
      <c r="L36" s="143"/>
      <c r="M36" s="143"/>
      <c r="N36" s="144"/>
    </row>
    <row r="37" spans="1:14" ht="7.5" customHeight="1" x14ac:dyDescent="0.15">
      <c r="F37" s="52"/>
      <c r="G37" s="52"/>
      <c r="H37" s="52"/>
      <c r="I37" s="52"/>
      <c r="J37" s="52"/>
      <c r="K37" s="52"/>
      <c r="L37" s="52"/>
      <c r="M37" s="52"/>
      <c r="N37" s="52"/>
    </row>
    <row r="38" spans="1:14" ht="22.5" customHeight="1" x14ac:dyDescent="0.15">
      <c r="A38" s="1" t="s">
        <v>57</v>
      </c>
      <c r="B38" s="1" t="s">
        <v>118</v>
      </c>
      <c r="M38" s="64"/>
      <c r="N38" s="64"/>
    </row>
    <row r="39" spans="1:14" ht="22.5" customHeight="1" x14ac:dyDescent="0.15">
      <c r="B39" s="142" t="s">
        <v>154</v>
      </c>
      <c r="C39" s="143"/>
      <c r="D39" s="143"/>
      <c r="E39" s="143"/>
      <c r="F39" s="143"/>
      <c r="G39" s="143"/>
      <c r="H39" s="143"/>
      <c r="I39" s="143"/>
      <c r="J39" s="143"/>
      <c r="K39" s="143"/>
      <c r="L39" s="143"/>
      <c r="M39" s="143"/>
      <c r="N39" s="144"/>
    </row>
    <row r="40" spans="1:14" ht="7.5" customHeight="1" x14ac:dyDescent="0.15">
      <c r="F40" s="52"/>
      <c r="G40" s="52"/>
      <c r="H40" s="52"/>
      <c r="I40" s="52"/>
      <c r="J40" s="52"/>
      <c r="K40" s="52"/>
      <c r="L40" s="52"/>
      <c r="M40" s="52"/>
      <c r="N40" s="52"/>
    </row>
    <row r="41" spans="1:14" s="10" customFormat="1" ht="22.5" customHeight="1" x14ac:dyDescent="0.15">
      <c r="B41" s="141" t="s">
        <v>105</v>
      </c>
      <c r="C41" s="141"/>
      <c r="D41" s="142" t="s">
        <v>126</v>
      </c>
      <c r="E41" s="143"/>
      <c r="F41" s="143"/>
      <c r="G41" s="145" t="s">
        <v>24</v>
      </c>
      <c r="H41" s="141"/>
      <c r="I41" s="146"/>
      <c r="J41" s="142" t="s">
        <v>178</v>
      </c>
      <c r="K41" s="143"/>
      <c r="L41" s="143"/>
      <c r="M41" s="143"/>
      <c r="N41" s="144"/>
    </row>
    <row r="42" spans="1:14" ht="7.5" customHeight="1" x14ac:dyDescent="0.15">
      <c r="F42" s="52"/>
      <c r="G42" s="52"/>
      <c r="H42" s="52"/>
      <c r="I42" s="52"/>
      <c r="J42" s="52"/>
      <c r="K42" s="52"/>
      <c r="L42" s="52"/>
      <c r="M42" s="52"/>
      <c r="N42" s="52"/>
    </row>
    <row r="43" spans="1:14" ht="22.5" customHeight="1" x14ac:dyDescent="0.15">
      <c r="A43" s="1" t="s">
        <v>63</v>
      </c>
      <c r="B43" s="67" t="s">
        <v>82</v>
      </c>
      <c r="E43" s="55"/>
      <c r="F43" s="134" t="s">
        <v>174</v>
      </c>
      <c r="G43" s="135"/>
      <c r="H43" s="135"/>
      <c r="I43" s="135"/>
      <c r="J43" s="135"/>
      <c r="K43" s="135"/>
      <c r="L43" s="135"/>
      <c r="M43" s="135"/>
      <c r="N43" s="136"/>
    </row>
    <row r="44" spans="1:14" ht="7.5" customHeight="1" x14ac:dyDescent="0.15">
      <c r="F44" s="52"/>
      <c r="G44" s="52"/>
      <c r="H44" s="52"/>
      <c r="I44" s="52"/>
      <c r="J44" s="52"/>
      <c r="K44" s="52"/>
      <c r="L44" s="52"/>
      <c r="M44" s="52"/>
      <c r="N44" s="52"/>
    </row>
    <row r="45" spans="1:14" ht="22.5" customHeight="1" x14ac:dyDescent="0.15">
      <c r="A45" s="1" t="s">
        <v>130</v>
      </c>
    </row>
    <row r="46" spans="1:14" ht="22.5" customHeight="1" x14ac:dyDescent="0.15">
      <c r="B46" s="68" t="s">
        <v>1</v>
      </c>
      <c r="C46" s="139" t="s">
        <v>175</v>
      </c>
      <c r="D46" s="140"/>
      <c r="E46" s="140"/>
      <c r="F46" s="140"/>
      <c r="G46" s="140"/>
      <c r="H46" s="140"/>
      <c r="I46" s="69" t="s">
        <v>2</v>
      </c>
      <c r="J46" s="70"/>
      <c r="K46" s="134" t="s">
        <v>176</v>
      </c>
      <c r="L46" s="135"/>
      <c r="M46" s="135"/>
      <c r="N46" s="136"/>
    </row>
    <row r="47" spans="1:14" ht="22.5" customHeight="1" x14ac:dyDescent="0.15">
      <c r="B47" s="68" t="s">
        <v>4</v>
      </c>
      <c r="C47" s="127" t="s">
        <v>191</v>
      </c>
      <c r="D47" s="128"/>
      <c r="E47" s="128"/>
      <c r="F47" s="128"/>
      <c r="G47" s="128"/>
      <c r="H47" s="129"/>
      <c r="I47" s="69" t="s">
        <v>3</v>
      </c>
      <c r="J47" s="70"/>
      <c r="K47" s="130" t="s">
        <v>197</v>
      </c>
      <c r="L47" s="131"/>
      <c r="M47" s="131"/>
      <c r="N47" s="132"/>
    </row>
  </sheetData>
  <mergeCells count="45">
    <mergeCell ref="K20:N20"/>
    <mergeCell ref="K18:M18"/>
    <mergeCell ref="I24:J24"/>
    <mergeCell ref="E20:F20"/>
    <mergeCell ref="J41:N41"/>
    <mergeCell ref="B34:N34"/>
    <mergeCell ref="B39:N39"/>
    <mergeCell ref="G28:H28"/>
    <mergeCell ref="I28:J28"/>
    <mergeCell ref="J22:L22"/>
    <mergeCell ref="G24:H24"/>
    <mergeCell ref="B31:C31"/>
    <mergeCell ref="D31:F31"/>
    <mergeCell ref="G31:I31"/>
    <mergeCell ref="C28:D28"/>
    <mergeCell ref="C24:D24"/>
    <mergeCell ref="M1:N1"/>
    <mergeCell ref="C16:D16"/>
    <mergeCell ref="C8:E8"/>
    <mergeCell ref="C10:N10"/>
    <mergeCell ref="K16:M16"/>
    <mergeCell ref="G8:I8"/>
    <mergeCell ref="C4:N4"/>
    <mergeCell ref="D6:N6"/>
    <mergeCell ref="F14:H14"/>
    <mergeCell ref="A2:N2"/>
    <mergeCell ref="E16:F16"/>
    <mergeCell ref="I16:J16"/>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topLeftCell="A16" zoomScaleNormal="100" workbookViewId="0">
      <selection activeCell="T36" sqref="T36"/>
    </sheetView>
  </sheetViews>
  <sheetFormatPr defaultColWidth="9" defaultRowHeight="18.75" customHeight="1" x14ac:dyDescent="0.15"/>
  <cols>
    <col min="1" max="2" width="2.5" style="1" customWidth="1"/>
    <col min="3" max="3" width="20" style="1" customWidth="1"/>
    <col min="4" max="4" width="8.75" style="1" customWidth="1"/>
    <col min="5" max="5" width="7.5" style="1" customWidth="1"/>
    <col min="6" max="6" width="2.5" style="1" customWidth="1"/>
    <col min="7" max="7" width="15" style="1" customWidth="1"/>
    <col min="8" max="8" width="12.5" style="1" customWidth="1"/>
    <col min="9" max="9" width="11.25" style="1" customWidth="1"/>
    <col min="10" max="16384" width="9" style="1"/>
  </cols>
  <sheetData>
    <row r="1" spans="1:9" ht="18.75" customHeight="1" x14ac:dyDescent="0.15">
      <c r="I1" s="72" t="s">
        <v>143</v>
      </c>
    </row>
    <row r="2" spans="1:9" ht="18.75" customHeight="1" x14ac:dyDescent="0.15">
      <c r="G2" s="74" t="s">
        <v>29</v>
      </c>
      <c r="H2" s="167" t="s">
        <v>141</v>
      </c>
      <c r="I2" s="167"/>
    </row>
    <row r="3" spans="1:9" ht="7.5" customHeight="1" x14ac:dyDescent="0.15"/>
    <row r="4" spans="1:9" ht="18.75" customHeight="1" x14ac:dyDescent="0.15">
      <c r="A4" s="155" t="s">
        <v>80</v>
      </c>
      <c r="B4" s="155"/>
      <c r="C4" s="155"/>
      <c r="D4" s="155"/>
      <c r="E4" s="155"/>
      <c r="F4" s="155"/>
      <c r="G4" s="155"/>
      <c r="H4" s="155"/>
      <c r="I4" s="155"/>
    </row>
    <row r="5" spans="1:9" ht="7.5" customHeight="1" x14ac:dyDescent="0.15">
      <c r="C5" s="73"/>
      <c r="D5" s="73"/>
      <c r="E5" s="73"/>
      <c r="F5" s="73"/>
      <c r="G5" s="73"/>
      <c r="H5" s="73"/>
      <c r="I5" s="73"/>
    </row>
    <row r="6" spans="1:9" ht="18.75" customHeight="1" x14ac:dyDescent="0.15">
      <c r="A6" s="1" t="s">
        <v>6</v>
      </c>
      <c r="B6" s="1" t="s">
        <v>90</v>
      </c>
      <c r="C6" s="73"/>
      <c r="D6" s="73"/>
      <c r="E6" s="168" t="s">
        <v>147</v>
      </c>
      <c r="F6" s="169"/>
      <c r="G6" s="169"/>
      <c r="H6" s="169"/>
      <c r="I6" s="170"/>
    </row>
    <row r="7" spans="1:9" ht="7.5" customHeight="1" x14ac:dyDescent="0.15">
      <c r="C7" s="73"/>
      <c r="D7" s="73"/>
      <c r="E7" s="71"/>
      <c r="F7" s="71"/>
      <c r="G7" s="71"/>
      <c r="H7" s="71"/>
      <c r="I7" s="71"/>
    </row>
    <row r="8" spans="1:9" ht="18.75" customHeight="1" x14ac:dyDescent="0.15">
      <c r="A8" s="1" t="s">
        <v>11</v>
      </c>
      <c r="B8" s="1" t="s">
        <v>91</v>
      </c>
      <c r="C8" s="73"/>
      <c r="D8" s="73"/>
      <c r="E8" s="73"/>
      <c r="F8" s="73"/>
      <c r="G8" s="73"/>
      <c r="H8" s="73"/>
      <c r="I8" s="73"/>
    </row>
    <row r="9" spans="1:9" ht="18.75" customHeight="1" x14ac:dyDescent="0.15">
      <c r="B9" s="171" t="s">
        <v>149</v>
      </c>
      <c r="C9" s="172"/>
      <c r="D9" s="172"/>
      <c r="E9" s="172"/>
      <c r="F9" s="172"/>
      <c r="G9" s="172"/>
      <c r="H9" s="172"/>
      <c r="I9" s="173"/>
    </row>
    <row r="10" spans="1:9" ht="18.75" customHeight="1" x14ac:dyDescent="0.15">
      <c r="B10" s="174"/>
      <c r="C10" s="175"/>
      <c r="D10" s="175"/>
      <c r="E10" s="175"/>
      <c r="F10" s="175"/>
      <c r="G10" s="175"/>
      <c r="H10" s="175"/>
      <c r="I10" s="176"/>
    </row>
    <row r="11" spans="1:9" ht="18.75" customHeight="1" x14ac:dyDescent="0.15">
      <c r="B11" s="174"/>
      <c r="C11" s="175"/>
      <c r="D11" s="175"/>
      <c r="E11" s="175"/>
      <c r="F11" s="175"/>
      <c r="G11" s="175"/>
      <c r="H11" s="175"/>
      <c r="I11" s="176"/>
    </row>
    <row r="12" spans="1:9" ht="18.75" customHeight="1" x14ac:dyDescent="0.15">
      <c r="B12" s="174"/>
      <c r="C12" s="175"/>
      <c r="D12" s="175"/>
      <c r="E12" s="175"/>
      <c r="F12" s="175"/>
      <c r="G12" s="175"/>
      <c r="H12" s="175"/>
      <c r="I12" s="176"/>
    </row>
    <row r="13" spans="1:9" ht="18.75" customHeight="1" x14ac:dyDescent="0.15">
      <c r="B13" s="174"/>
      <c r="C13" s="175"/>
      <c r="D13" s="175"/>
      <c r="E13" s="175"/>
      <c r="F13" s="175"/>
      <c r="G13" s="175"/>
      <c r="H13" s="175"/>
      <c r="I13" s="176"/>
    </row>
    <row r="14" spans="1:9" ht="18.75" customHeight="1" x14ac:dyDescent="0.15">
      <c r="B14" s="174"/>
      <c r="C14" s="175"/>
      <c r="D14" s="175"/>
      <c r="E14" s="175"/>
      <c r="F14" s="175"/>
      <c r="G14" s="175"/>
      <c r="H14" s="175"/>
      <c r="I14" s="176"/>
    </row>
    <row r="15" spans="1:9" ht="18.75" customHeight="1" x14ac:dyDescent="0.15">
      <c r="B15" s="174"/>
      <c r="C15" s="175"/>
      <c r="D15" s="175"/>
      <c r="E15" s="175"/>
      <c r="F15" s="175"/>
      <c r="G15" s="175"/>
      <c r="H15" s="175"/>
      <c r="I15" s="176"/>
    </row>
    <row r="16" spans="1:9" ht="18.75" customHeight="1" x14ac:dyDescent="0.15">
      <c r="B16" s="177"/>
      <c r="C16" s="178"/>
      <c r="D16" s="178"/>
      <c r="E16" s="178"/>
      <c r="F16" s="178"/>
      <c r="G16" s="178"/>
      <c r="H16" s="178"/>
      <c r="I16" s="179"/>
    </row>
    <row r="17" spans="1:10" ht="7.5" customHeight="1" x14ac:dyDescent="0.15">
      <c r="C17" s="73"/>
      <c r="D17" s="73"/>
      <c r="E17" s="73"/>
      <c r="F17" s="73"/>
      <c r="G17" s="73"/>
      <c r="H17" s="73"/>
      <c r="I17" s="73"/>
    </row>
    <row r="18" spans="1:10" ht="18.75" customHeight="1" x14ac:dyDescent="0.15">
      <c r="A18" s="73" t="s">
        <v>12</v>
      </c>
      <c r="B18" s="5" t="s">
        <v>92</v>
      </c>
      <c r="C18" s="5"/>
      <c r="D18" s="5"/>
      <c r="E18" s="5"/>
      <c r="F18" s="73"/>
      <c r="G18" s="73"/>
      <c r="H18" s="73"/>
      <c r="I18" s="73"/>
      <c r="J18" s="73"/>
    </row>
    <row r="19" spans="1:10" ht="18.75" customHeight="1" x14ac:dyDescent="0.15">
      <c r="A19" s="180" t="s">
        <v>92</v>
      </c>
      <c r="B19" s="180"/>
      <c r="C19" s="180"/>
      <c r="D19" s="180"/>
      <c r="E19" s="180"/>
      <c r="F19" s="181" t="s">
        <v>92</v>
      </c>
      <c r="G19" s="181"/>
      <c r="H19" s="181"/>
      <c r="I19" s="181"/>
    </row>
    <row r="20" spans="1:10" ht="18.75" customHeight="1" x14ac:dyDescent="0.15">
      <c r="A20" s="75">
        <v>1</v>
      </c>
      <c r="B20" s="139" t="s">
        <v>131</v>
      </c>
      <c r="C20" s="140"/>
      <c r="D20" s="140"/>
      <c r="E20" s="166"/>
      <c r="F20" s="75">
        <v>26</v>
      </c>
      <c r="G20" s="139"/>
      <c r="H20" s="140"/>
      <c r="I20" s="166"/>
    </row>
    <row r="21" spans="1:10" ht="18.75" customHeight="1" x14ac:dyDescent="0.15">
      <c r="A21" s="75">
        <v>2</v>
      </c>
      <c r="B21" s="139"/>
      <c r="C21" s="140"/>
      <c r="D21" s="140"/>
      <c r="E21" s="166"/>
      <c r="F21" s="75">
        <v>27</v>
      </c>
      <c r="G21" s="139"/>
      <c r="H21" s="140"/>
      <c r="I21" s="166"/>
    </row>
    <row r="22" spans="1:10" ht="18.75" customHeight="1" x14ac:dyDescent="0.15">
      <c r="A22" s="75">
        <v>3</v>
      </c>
      <c r="B22" s="139"/>
      <c r="C22" s="140"/>
      <c r="D22" s="140"/>
      <c r="E22" s="166"/>
      <c r="F22" s="75">
        <v>28</v>
      </c>
      <c r="G22" s="139"/>
      <c r="H22" s="140"/>
      <c r="I22" s="166"/>
    </row>
    <row r="23" spans="1:10" ht="18.75" customHeight="1" x14ac:dyDescent="0.15">
      <c r="A23" s="75">
        <v>4</v>
      </c>
      <c r="B23" s="139"/>
      <c r="C23" s="140"/>
      <c r="D23" s="140"/>
      <c r="E23" s="166"/>
      <c r="F23" s="75">
        <v>29</v>
      </c>
      <c r="G23" s="139"/>
      <c r="H23" s="140"/>
      <c r="I23" s="166"/>
    </row>
    <row r="24" spans="1:10" ht="18.75" customHeight="1" x14ac:dyDescent="0.15">
      <c r="A24" s="75">
        <v>5</v>
      </c>
      <c r="B24" s="139"/>
      <c r="C24" s="140"/>
      <c r="D24" s="140"/>
      <c r="E24" s="166"/>
      <c r="F24" s="75">
        <v>30</v>
      </c>
      <c r="G24" s="139"/>
      <c r="H24" s="140"/>
      <c r="I24" s="166"/>
    </row>
    <row r="25" spans="1:10" ht="18.75" customHeight="1" x14ac:dyDescent="0.15">
      <c r="A25" s="75">
        <v>6</v>
      </c>
      <c r="B25" s="139"/>
      <c r="C25" s="140"/>
      <c r="D25" s="140"/>
      <c r="E25" s="166"/>
      <c r="F25" s="75">
        <v>31</v>
      </c>
      <c r="G25" s="139"/>
      <c r="H25" s="140"/>
      <c r="I25" s="166"/>
    </row>
    <row r="26" spans="1:10" ht="18.75" customHeight="1" x14ac:dyDescent="0.15">
      <c r="A26" s="75">
        <v>7</v>
      </c>
      <c r="B26" s="139"/>
      <c r="C26" s="140"/>
      <c r="D26" s="140"/>
      <c r="E26" s="166"/>
      <c r="F26" s="75">
        <v>32</v>
      </c>
      <c r="G26" s="139"/>
      <c r="H26" s="140"/>
      <c r="I26" s="166"/>
    </row>
    <row r="27" spans="1:10" ht="18.75" customHeight="1" x14ac:dyDescent="0.15">
      <c r="A27" s="75">
        <v>8</v>
      </c>
      <c r="B27" s="139"/>
      <c r="C27" s="140"/>
      <c r="D27" s="140"/>
      <c r="E27" s="166"/>
      <c r="F27" s="75">
        <v>33</v>
      </c>
      <c r="G27" s="139"/>
      <c r="H27" s="140"/>
      <c r="I27" s="166"/>
    </row>
    <row r="28" spans="1:10" ht="18.75" customHeight="1" x14ac:dyDescent="0.15">
      <c r="A28" s="75">
        <v>9</v>
      </c>
      <c r="B28" s="139"/>
      <c r="C28" s="140"/>
      <c r="D28" s="140"/>
      <c r="E28" s="166"/>
      <c r="F28" s="75">
        <v>34</v>
      </c>
      <c r="G28" s="139"/>
      <c r="H28" s="140"/>
      <c r="I28" s="166"/>
    </row>
    <row r="29" spans="1:10" ht="18.75" customHeight="1" x14ac:dyDescent="0.15">
      <c r="A29" s="75">
        <v>10</v>
      </c>
      <c r="B29" s="139"/>
      <c r="C29" s="140"/>
      <c r="D29" s="140"/>
      <c r="E29" s="166"/>
      <c r="F29" s="75">
        <v>35</v>
      </c>
      <c r="G29" s="139"/>
      <c r="H29" s="140"/>
      <c r="I29" s="166"/>
    </row>
    <row r="30" spans="1:10" ht="18.75" customHeight="1" x14ac:dyDescent="0.15">
      <c r="A30" s="75">
        <v>11</v>
      </c>
      <c r="B30" s="139"/>
      <c r="C30" s="140"/>
      <c r="D30" s="140"/>
      <c r="E30" s="166"/>
      <c r="F30" s="75">
        <v>36</v>
      </c>
      <c r="G30" s="139"/>
      <c r="H30" s="140"/>
      <c r="I30" s="166"/>
    </row>
    <row r="31" spans="1:10" ht="18.75" customHeight="1" x14ac:dyDescent="0.15">
      <c r="A31" s="75">
        <v>12</v>
      </c>
      <c r="B31" s="139"/>
      <c r="C31" s="140"/>
      <c r="D31" s="140"/>
      <c r="E31" s="166"/>
      <c r="F31" s="75">
        <v>37</v>
      </c>
      <c r="G31" s="139"/>
      <c r="H31" s="140"/>
      <c r="I31" s="166"/>
    </row>
    <row r="32" spans="1:10" ht="18.75" customHeight="1" x14ac:dyDescent="0.15">
      <c r="A32" s="75">
        <v>13</v>
      </c>
      <c r="B32" s="139"/>
      <c r="C32" s="140"/>
      <c r="D32" s="140"/>
      <c r="E32" s="166"/>
      <c r="F32" s="75">
        <v>38</v>
      </c>
      <c r="G32" s="139"/>
      <c r="H32" s="140"/>
      <c r="I32" s="166"/>
    </row>
    <row r="33" spans="1:9" ht="18.75" customHeight="1" x14ac:dyDescent="0.15">
      <c r="A33" s="75">
        <v>14</v>
      </c>
      <c r="B33" s="139"/>
      <c r="C33" s="140"/>
      <c r="D33" s="140"/>
      <c r="E33" s="166"/>
      <c r="F33" s="75">
        <v>39</v>
      </c>
      <c r="G33" s="139"/>
      <c r="H33" s="140"/>
      <c r="I33" s="166"/>
    </row>
    <row r="34" spans="1:9" ht="18.75" customHeight="1" x14ac:dyDescent="0.15">
      <c r="A34" s="75">
        <v>15</v>
      </c>
      <c r="B34" s="139"/>
      <c r="C34" s="140"/>
      <c r="D34" s="140"/>
      <c r="E34" s="166"/>
      <c r="F34" s="75">
        <v>40</v>
      </c>
      <c r="G34" s="139"/>
      <c r="H34" s="140"/>
      <c r="I34" s="166"/>
    </row>
    <row r="35" spans="1:9" ht="18.75" customHeight="1" x14ac:dyDescent="0.15">
      <c r="A35" s="75">
        <v>16</v>
      </c>
      <c r="B35" s="139"/>
      <c r="C35" s="140"/>
      <c r="D35" s="140"/>
      <c r="E35" s="166"/>
      <c r="F35" s="75">
        <v>41</v>
      </c>
      <c r="G35" s="139"/>
      <c r="H35" s="140"/>
      <c r="I35" s="166"/>
    </row>
    <row r="36" spans="1:9" ht="18.75" customHeight="1" x14ac:dyDescent="0.15">
      <c r="A36" s="75">
        <v>17</v>
      </c>
      <c r="B36" s="139"/>
      <c r="C36" s="140"/>
      <c r="D36" s="140"/>
      <c r="E36" s="166"/>
      <c r="F36" s="75">
        <v>42</v>
      </c>
      <c r="G36" s="139"/>
      <c r="H36" s="140"/>
      <c r="I36" s="166"/>
    </row>
    <row r="37" spans="1:9" ht="18.75" customHeight="1" x14ac:dyDescent="0.15">
      <c r="A37" s="75">
        <v>18</v>
      </c>
      <c r="B37" s="139"/>
      <c r="C37" s="140"/>
      <c r="D37" s="140"/>
      <c r="E37" s="166"/>
      <c r="F37" s="75">
        <v>43</v>
      </c>
      <c r="G37" s="139"/>
      <c r="H37" s="140"/>
      <c r="I37" s="166"/>
    </row>
    <row r="38" spans="1:9" ht="18.75" customHeight="1" x14ac:dyDescent="0.15">
      <c r="A38" s="75">
        <v>19</v>
      </c>
      <c r="B38" s="139"/>
      <c r="C38" s="140"/>
      <c r="D38" s="140"/>
      <c r="E38" s="166"/>
      <c r="F38" s="75">
        <v>44</v>
      </c>
      <c r="G38" s="139"/>
      <c r="H38" s="140"/>
      <c r="I38" s="166"/>
    </row>
    <row r="39" spans="1:9" ht="18.75" customHeight="1" x14ac:dyDescent="0.15">
      <c r="A39" s="75">
        <v>20</v>
      </c>
      <c r="B39" s="139"/>
      <c r="C39" s="140"/>
      <c r="D39" s="140"/>
      <c r="E39" s="166"/>
      <c r="F39" s="75">
        <v>45</v>
      </c>
      <c r="G39" s="139"/>
      <c r="H39" s="140"/>
      <c r="I39" s="166"/>
    </row>
    <row r="40" spans="1:9" ht="18.75" customHeight="1" x14ac:dyDescent="0.15">
      <c r="A40" s="75">
        <v>21</v>
      </c>
      <c r="B40" s="139"/>
      <c r="C40" s="140"/>
      <c r="D40" s="140"/>
      <c r="E40" s="166"/>
      <c r="F40" s="75">
        <v>46</v>
      </c>
      <c r="G40" s="139"/>
      <c r="H40" s="140"/>
      <c r="I40" s="166"/>
    </row>
    <row r="41" spans="1:9" ht="18.75" customHeight="1" x14ac:dyDescent="0.15">
      <c r="A41" s="75">
        <v>22</v>
      </c>
      <c r="B41" s="139"/>
      <c r="C41" s="140"/>
      <c r="D41" s="140"/>
      <c r="E41" s="166"/>
      <c r="F41" s="75">
        <v>47</v>
      </c>
      <c r="G41" s="139"/>
      <c r="H41" s="140"/>
      <c r="I41" s="166"/>
    </row>
    <row r="42" spans="1:9" ht="18.75" customHeight="1" x14ac:dyDescent="0.15">
      <c r="A42" s="75">
        <v>23</v>
      </c>
      <c r="B42" s="139"/>
      <c r="C42" s="140"/>
      <c r="D42" s="140"/>
      <c r="E42" s="166"/>
      <c r="F42" s="75">
        <v>48</v>
      </c>
      <c r="G42" s="139"/>
      <c r="H42" s="140"/>
      <c r="I42" s="166"/>
    </row>
    <row r="43" spans="1:9" ht="18.75" customHeight="1" x14ac:dyDescent="0.15">
      <c r="A43" s="75">
        <v>24</v>
      </c>
      <c r="B43" s="139"/>
      <c r="C43" s="140"/>
      <c r="D43" s="140"/>
      <c r="E43" s="166"/>
      <c r="F43" s="75">
        <v>49</v>
      </c>
      <c r="G43" s="139"/>
      <c r="H43" s="140"/>
      <c r="I43" s="166"/>
    </row>
    <row r="44" spans="1:9" ht="18.75" customHeight="1" x14ac:dyDescent="0.15">
      <c r="A44" s="75">
        <v>25</v>
      </c>
      <c r="B44" s="139"/>
      <c r="C44" s="140"/>
      <c r="D44" s="140"/>
      <c r="E44" s="166"/>
      <c r="F44" s="75">
        <v>50</v>
      </c>
      <c r="G44" s="139"/>
      <c r="H44" s="140"/>
      <c r="I44" s="166"/>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E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60" zoomScaleNormal="100" workbookViewId="0">
      <selection activeCell="T36" sqref="T36"/>
    </sheetView>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47" t="s">
        <v>65</v>
      </c>
      <c r="G1" s="147"/>
      <c r="H1" s="147"/>
      <c r="I1" s="147"/>
      <c r="J1" s="147"/>
      <c r="K1" s="147"/>
      <c r="L1" s="147"/>
      <c r="M1" s="147"/>
      <c r="N1" s="147"/>
      <c r="O1" s="147"/>
      <c r="P1" s="147"/>
      <c r="Q1" s="147"/>
      <c r="R1" s="147"/>
    </row>
    <row r="2" spans="1:20" ht="18.75" customHeight="1" x14ac:dyDescent="0.15">
      <c r="D2" s="21"/>
      <c r="E2" s="21"/>
      <c r="F2" s="21"/>
      <c r="G2" s="21"/>
      <c r="H2" s="21"/>
      <c r="I2" s="21"/>
      <c r="J2" s="21"/>
      <c r="K2" s="147" t="s">
        <v>58</v>
      </c>
      <c r="L2" s="147"/>
      <c r="M2" s="190" t="s">
        <v>148</v>
      </c>
      <c r="N2" s="191"/>
      <c r="O2" s="21"/>
      <c r="P2" s="21"/>
      <c r="Q2" s="21"/>
      <c r="R2" s="21"/>
    </row>
    <row r="3" spans="1:20" ht="7.5" customHeight="1" x14ac:dyDescent="0.15"/>
    <row r="5" spans="1:20" ht="18.75" customHeight="1" x14ac:dyDescent="0.15">
      <c r="A5" s="192" t="s">
        <v>113</v>
      </c>
      <c r="B5" s="192"/>
      <c r="C5" s="192"/>
      <c r="D5" s="192"/>
      <c r="E5" s="192"/>
      <c r="F5" s="192"/>
      <c r="G5" s="192"/>
      <c r="H5" s="192"/>
      <c r="I5" s="192"/>
      <c r="J5" s="192"/>
      <c r="K5" s="192"/>
      <c r="L5" s="192"/>
      <c r="M5" s="192"/>
      <c r="N5" s="192"/>
      <c r="O5" s="192"/>
      <c r="P5" s="192"/>
      <c r="Q5" s="192"/>
      <c r="R5" s="192"/>
      <c r="S5" s="85"/>
    </row>
    <row r="6" spans="1:20" ht="7.5" customHeight="1" x14ac:dyDescent="0.15">
      <c r="A6" s="86"/>
      <c r="B6" s="86"/>
      <c r="C6" s="86"/>
      <c r="D6" s="86"/>
      <c r="E6" s="86"/>
      <c r="F6" s="86"/>
      <c r="G6" s="86"/>
      <c r="H6" s="86"/>
      <c r="I6" s="86"/>
      <c r="J6" s="86"/>
      <c r="K6" s="86"/>
      <c r="L6" s="86"/>
      <c r="M6" s="86"/>
      <c r="N6" s="86"/>
      <c r="O6" s="86"/>
      <c r="P6" s="86"/>
      <c r="Q6" s="86"/>
      <c r="R6" s="86"/>
    </row>
    <row r="7" spans="1:20" ht="18.75" customHeight="1" x14ac:dyDescent="0.15">
      <c r="B7" s="193" t="s">
        <v>116</v>
      </c>
      <c r="C7" s="194"/>
      <c r="D7" s="197" t="s">
        <v>81</v>
      </c>
      <c r="E7" s="199" t="s">
        <v>107</v>
      </c>
      <c r="F7" s="199"/>
      <c r="G7" s="199" t="s">
        <v>108</v>
      </c>
      <c r="H7" s="199"/>
      <c r="I7" s="200" t="s">
        <v>109</v>
      </c>
      <c r="J7" s="201"/>
      <c r="K7" s="200" t="s">
        <v>110</v>
      </c>
      <c r="L7" s="201"/>
      <c r="M7" s="200" t="s">
        <v>111</v>
      </c>
      <c r="N7" s="201"/>
      <c r="O7" s="200" t="s">
        <v>112</v>
      </c>
      <c r="P7" s="201"/>
      <c r="Q7" s="202" t="s">
        <v>64</v>
      </c>
      <c r="R7" s="204" t="s">
        <v>59</v>
      </c>
      <c r="T7"/>
    </row>
    <row r="8" spans="1:20" ht="18.75" customHeight="1" x14ac:dyDescent="0.15">
      <c r="B8" s="195"/>
      <c r="C8" s="196"/>
      <c r="D8" s="198"/>
      <c r="E8" s="100" t="s">
        <v>48</v>
      </c>
      <c r="F8" s="101" t="s">
        <v>47</v>
      </c>
      <c r="G8" s="102" t="s">
        <v>48</v>
      </c>
      <c r="H8" s="103" t="s">
        <v>47</v>
      </c>
      <c r="I8" s="100" t="s">
        <v>48</v>
      </c>
      <c r="J8" s="101" t="s">
        <v>47</v>
      </c>
      <c r="K8" s="102" t="s">
        <v>48</v>
      </c>
      <c r="L8" s="103" t="s">
        <v>47</v>
      </c>
      <c r="M8" s="100" t="s">
        <v>48</v>
      </c>
      <c r="N8" s="101" t="s">
        <v>47</v>
      </c>
      <c r="O8" s="102" t="s">
        <v>48</v>
      </c>
      <c r="P8" s="103" t="s">
        <v>47</v>
      </c>
      <c r="Q8" s="203"/>
      <c r="R8" s="205"/>
      <c r="T8"/>
    </row>
    <row r="9" spans="1:20" ht="18.75" customHeight="1" x14ac:dyDescent="0.15">
      <c r="A9" s="22"/>
      <c r="B9" s="188" t="s">
        <v>188</v>
      </c>
      <c r="C9" s="189"/>
      <c r="D9" s="87">
        <v>660</v>
      </c>
      <c r="E9" s="88">
        <v>0</v>
      </c>
      <c r="F9" s="89">
        <v>0</v>
      </c>
      <c r="G9" s="90">
        <v>0</v>
      </c>
      <c r="H9" s="91">
        <v>0</v>
      </c>
      <c r="I9" s="88">
        <v>0</v>
      </c>
      <c r="J9" s="89">
        <v>0</v>
      </c>
      <c r="K9" s="90">
        <v>0</v>
      </c>
      <c r="L9" s="91">
        <v>0</v>
      </c>
      <c r="M9" s="88"/>
      <c r="N9" s="89"/>
      <c r="O9" s="90"/>
      <c r="P9" s="91"/>
      <c r="Q9" s="92">
        <f t="shared" ref="Q9" si="0">E9+G9+I9+K9+M9+O9</f>
        <v>0</v>
      </c>
      <c r="R9" s="93">
        <f>Q9/D9</f>
        <v>0</v>
      </c>
    </row>
    <row r="10" spans="1:20" ht="18.75" customHeight="1" x14ac:dyDescent="0.15">
      <c r="A10" s="22"/>
      <c r="B10" s="184" t="s">
        <v>151</v>
      </c>
      <c r="C10" s="185"/>
      <c r="D10" s="81">
        <v>190</v>
      </c>
      <c r="E10" s="94">
        <v>203</v>
      </c>
      <c r="F10" s="95">
        <v>195</v>
      </c>
      <c r="G10" s="96">
        <v>0</v>
      </c>
      <c r="H10" s="97">
        <v>0</v>
      </c>
      <c r="I10" s="94">
        <v>0</v>
      </c>
      <c r="J10" s="95">
        <v>0</v>
      </c>
      <c r="K10" s="96">
        <v>0</v>
      </c>
      <c r="L10" s="97">
        <v>0</v>
      </c>
      <c r="M10" s="94"/>
      <c r="N10" s="95"/>
      <c r="O10" s="96"/>
      <c r="P10" s="97"/>
      <c r="Q10" s="98">
        <f>E10+G10+I10+K10+M10+O10</f>
        <v>203</v>
      </c>
      <c r="R10" s="99">
        <f>Q10/D10</f>
        <v>1.0684210526315789</v>
      </c>
    </row>
    <row r="11" spans="1:20" ht="18.75" customHeight="1" x14ac:dyDescent="0.15">
      <c r="A11" s="22"/>
      <c r="B11" s="184" t="s">
        <v>152</v>
      </c>
      <c r="C11" s="185"/>
      <c r="D11" s="81">
        <v>440</v>
      </c>
      <c r="E11" s="94">
        <v>102</v>
      </c>
      <c r="F11" s="95">
        <v>97</v>
      </c>
      <c r="G11" s="96">
        <v>0</v>
      </c>
      <c r="H11" s="97">
        <v>0</v>
      </c>
      <c r="I11" s="94">
        <v>0</v>
      </c>
      <c r="J11" s="95">
        <v>0</v>
      </c>
      <c r="K11" s="96">
        <v>0</v>
      </c>
      <c r="L11" s="97">
        <v>0</v>
      </c>
      <c r="M11" s="94"/>
      <c r="N11" s="95"/>
      <c r="O11" s="96"/>
      <c r="P11" s="97"/>
      <c r="Q11" s="98">
        <f>E11+G11+I11+K11+M11+O11</f>
        <v>102</v>
      </c>
      <c r="R11" s="99">
        <f t="shared" ref="R11:R28" si="1">Q11/D11</f>
        <v>0.23181818181818181</v>
      </c>
    </row>
    <row r="12" spans="1:20" ht="18.75" customHeight="1" x14ac:dyDescent="0.15">
      <c r="A12" s="22"/>
      <c r="B12" s="184" t="s">
        <v>189</v>
      </c>
      <c r="C12" s="185"/>
      <c r="D12" s="81">
        <v>723</v>
      </c>
      <c r="E12" s="94">
        <v>111</v>
      </c>
      <c r="F12" s="95">
        <v>111</v>
      </c>
      <c r="G12" s="96">
        <v>0</v>
      </c>
      <c r="H12" s="97">
        <v>0</v>
      </c>
      <c r="I12" s="94">
        <v>0</v>
      </c>
      <c r="J12" s="95">
        <v>0</v>
      </c>
      <c r="K12" s="96">
        <v>0</v>
      </c>
      <c r="L12" s="97">
        <v>0</v>
      </c>
      <c r="M12" s="94">
        <v>0</v>
      </c>
      <c r="N12" s="95">
        <v>0</v>
      </c>
      <c r="O12" s="96">
        <v>0</v>
      </c>
      <c r="P12" s="97">
        <v>0</v>
      </c>
      <c r="Q12" s="98">
        <f>E12+G12+I12+K12+M12+O12</f>
        <v>111</v>
      </c>
      <c r="R12" s="99">
        <f t="shared" si="1"/>
        <v>0.15352697095435686</v>
      </c>
    </row>
    <row r="13" spans="1:20" ht="18.75" customHeight="1" x14ac:dyDescent="0.15">
      <c r="A13" s="22"/>
      <c r="B13" s="184" t="s">
        <v>190</v>
      </c>
      <c r="C13" s="185"/>
      <c r="D13" s="81">
        <v>660</v>
      </c>
      <c r="E13" s="94">
        <v>160</v>
      </c>
      <c r="F13" s="95">
        <v>156</v>
      </c>
      <c r="G13" s="96">
        <v>0</v>
      </c>
      <c r="H13" s="97">
        <v>0</v>
      </c>
      <c r="I13" s="94">
        <v>0</v>
      </c>
      <c r="J13" s="95">
        <v>0</v>
      </c>
      <c r="K13" s="96">
        <v>0</v>
      </c>
      <c r="L13" s="97">
        <v>0</v>
      </c>
      <c r="M13" s="94"/>
      <c r="N13" s="95"/>
      <c r="O13" s="96"/>
      <c r="P13" s="97"/>
      <c r="Q13" s="98">
        <f>E13+G13+I13+K13+M13+O13</f>
        <v>160</v>
      </c>
      <c r="R13" s="99">
        <f t="shared" si="1"/>
        <v>0.24242424242424243</v>
      </c>
    </row>
    <row r="14" spans="1:20" ht="18.75" customHeight="1" x14ac:dyDescent="0.15">
      <c r="A14" s="22"/>
      <c r="B14" s="184" t="s">
        <v>153</v>
      </c>
      <c r="C14" s="185"/>
      <c r="D14" s="81">
        <v>2130</v>
      </c>
      <c r="E14" s="94">
        <v>552</v>
      </c>
      <c r="F14" s="95">
        <v>513</v>
      </c>
      <c r="G14" s="96">
        <v>0</v>
      </c>
      <c r="H14" s="97">
        <v>0</v>
      </c>
      <c r="I14" s="94">
        <v>0</v>
      </c>
      <c r="J14" s="95">
        <v>0</v>
      </c>
      <c r="K14" s="96">
        <v>0</v>
      </c>
      <c r="L14" s="97">
        <v>0</v>
      </c>
      <c r="M14" s="94"/>
      <c r="N14" s="95"/>
      <c r="O14" s="96"/>
      <c r="P14" s="97"/>
      <c r="Q14" s="98">
        <f>E14+G14+I14+K14+M14+O14</f>
        <v>552</v>
      </c>
      <c r="R14" s="99">
        <f t="shared" si="1"/>
        <v>0.25915492957746478</v>
      </c>
    </row>
    <row r="15" spans="1:20" ht="18.75" customHeight="1" x14ac:dyDescent="0.15">
      <c r="A15" s="22"/>
      <c r="B15" s="184"/>
      <c r="C15" s="185"/>
      <c r="D15" s="81"/>
      <c r="E15" s="94"/>
      <c r="F15" s="95"/>
      <c r="G15" s="96"/>
      <c r="H15" s="97"/>
      <c r="I15" s="94"/>
      <c r="J15" s="95"/>
      <c r="K15" s="115"/>
      <c r="L15" s="116"/>
      <c r="M15" s="117"/>
      <c r="N15" s="118"/>
      <c r="O15" s="115"/>
      <c r="P15" s="116"/>
      <c r="Q15" s="119">
        <f t="shared" ref="Q15:Q28" si="2">E15+G15+I15+K15+M15+O15</f>
        <v>0</v>
      </c>
      <c r="R15" s="120" t="e">
        <f t="shared" si="1"/>
        <v>#DIV/0!</v>
      </c>
    </row>
    <row r="16" spans="1:20" ht="18.75" customHeight="1" x14ac:dyDescent="0.15">
      <c r="A16" s="22"/>
      <c r="B16" s="184"/>
      <c r="C16" s="185"/>
      <c r="D16" s="81"/>
      <c r="E16" s="94"/>
      <c r="F16" s="95"/>
      <c r="G16" s="96"/>
      <c r="H16" s="97"/>
      <c r="I16" s="94"/>
      <c r="J16" s="95"/>
      <c r="K16" s="115"/>
      <c r="L16" s="116"/>
      <c r="M16" s="117"/>
      <c r="N16" s="118"/>
      <c r="O16" s="115"/>
      <c r="P16" s="116"/>
      <c r="Q16" s="119">
        <f t="shared" si="2"/>
        <v>0</v>
      </c>
      <c r="R16" s="120" t="e">
        <f t="shared" si="1"/>
        <v>#DIV/0!</v>
      </c>
    </row>
    <row r="17" spans="1:18" ht="18.75" customHeight="1" x14ac:dyDescent="0.15">
      <c r="A17" s="22"/>
      <c r="B17" s="184"/>
      <c r="C17" s="185"/>
      <c r="D17" s="81"/>
      <c r="E17" s="94"/>
      <c r="F17" s="95"/>
      <c r="G17" s="96"/>
      <c r="H17" s="97"/>
      <c r="I17" s="94"/>
      <c r="J17" s="95"/>
      <c r="K17" s="115"/>
      <c r="L17" s="116"/>
      <c r="M17" s="117"/>
      <c r="N17" s="118"/>
      <c r="O17" s="115"/>
      <c r="P17" s="116"/>
      <c r="Q17" s="119">
        <f>E17+G17+I17+K17+M17+O17</f>
        <v>0</v>
      </c>
      <c r="R17" s="120" t="e">
        <f t="shared" si="1"/>
        <v>#DIV/0!</v>
      </c>
    </row>
    <row r="18" spans="1:18" ht="18.75" customHeight="1" x14ac:dyDescent="0.15">
      <c r="A18" s="22"/>
      <c r="B18" s="184"/>
      <c r="C18" s="185"/>
      <c r="D18" s="81"/>
      <c r="E18" s="94"/>
      <c r="F18" s="95"/>
      <c r="G18" s="96"/>
      <c r="H18" s="97"/>
      <c r="I18" s="94"/>
      <c r="J18" s="95"/>
      <c r="K18" s="115"/>
      <c r="L18" s="116"/>
      <c r="M18" s="117"/>
      <c r="N18" s="118"/>
      <c r="O18" s="115"/>
      <c r="P18" s="116"/>
      <c r="Q18" s="119">
        <f t="shared" si="2"/>
        <v>0</v>
      </c>
      <c r="R18" s="120" t="e">
        <f t="shared" si="1"/>
        <v>#DIV/0!</v>
      </c>
    </row>
    <row r="19" spans="1:18" ht="18.75" customHeight="1" x14ac:dyDescent="0.15">
      <c r="A19" s="22"/>
      <c r="B19" s="184"/>
      <c r="C19" s="185"/>
      <c r="D19" s="81"/>
      <c r="E19" s="94"/>
      <c r="F19" s="95"/>
      <c r="G19" s="96"/>
      <c r="H19" s="97"/>
      <c r="I19" s="94"/>
      <c r="J19" s="95"/>
      <c r="K19" s="115"/>
      <c r="L19" s="116"/>
      <c r="M19" s="117"/>
      <c r="N19" s="118"/>
      <c r="O19" s="115"/>
      <c r="P19" s="116"/>
      <c r="Q19" s="119">
        <f t="shared" si="2"/>
        <v>0</v>
      </c>
      <c r="R19" s="120" t="e">
        <f t="shared" si="1"/>
        <v>#DIV/0!</v>
      </c>
    </row>
    <row r="20" spans="1:18" ht="18.75" customHeight="1" x14ac:dyDescent="0.15">
      <c r="A20" s="22"/>
      <c r="B20" s="184"/>
      <c r="C20" s="185"/>
      <c r="D20" s="81"/>
      <c r="E20" s="94"/>
      <c r="F20" s="95"/>
      <c r="G20" s="96"/>
      <c r="H20" s="97"/>
      <c r="I20" s="94"/>
      <c r="J20" s="95"/>
      <c r="K20" s="115"/>
      <c r="L20" s="116"/>
      <c r="M20" s="117"/>
      <c r="N20" s="118"/>
      <c r="O20" s="115"/>
      <c r="P20" s="116"/>
      <c r="Q20" s="119">
        <f t="shared" si="2"/>
        <v>0</v>
      </c>
      <c r="R20" s="120" t="e">
        <f t="shared" si="1"/>
        <v>#DIV/0!</v>
      </c>
    </row>
    <row r="21" spans="1:18" ht="18.75" customHeight="1" x14ac:dyDescent="0.15">
      <c r="A21" s="22"/>
      <c r="B21" s="184"/>
      <c r="C21" s="185"/>
      <c r="D21" s="81"/>
      <c r="E21" s="94"/>
      <c r="F21" s="95"/>
      <c r="G21" s="96"/>
      <c r="H21" s="97"/>
      <c r="I21" s="94"/>
      <c r="J21" s="95"/>
      <c r="K21" s="115"/>
      <c r="L21" s="116"/>
      <c r="M21" s="117"/>
      <c r="N21" s="118"/>
      <c r="O21" s="115"/>
      <c r="P21" s="116"/>
      <c r="Q21" s="119">
        <f t="shared" si="2"/>
        <v>0</v>
      </c>
      <c r="R21" s="120" t="e">
        <f t="shared" si="1"/>
        <v>#DIV/0!</v>
      </c>
    </row>
    <row r="22" spans="1:18" ht="18.75" customHeight="1" x14ac:dyDescent="0.15">
      <c r="A22" s="22"/>
      <c r="B22" s="184"/>
      <c r="C22" s="185"/>
      <c r="D22" s="81"/>
      <c r="E22" s="94"/>
      <c r="F22" s="95"/>
      <c r="G22" s="96"/>
      <c r="H22" s="97"/>
      <c r="I22" s="94"/>
      <c r="J22" s="95"/>
      <c r="K22" s="115"/>
      <c r="L22" s="116"/>
      <c r="M22" s="117"/>
      <c r="N22" s="118"/>
      <c r="O22" s="115"/>
      <c r="P22" s="116"/>
      <c r="Q22" s="119">
        <f t="shared" si="2"/>
        <v>0</v>
      </c>
      <c r="R22" s="120" t="e">
        <f t="shared" si="1"/>
        <v>#DIV/0!</v>
      </c>
    </row>
    <row r="23" spans="1:18" ht="18.75" customHeight="1" x14ac:dyDescent="0.15">
      <c r="A23" s="22"/>
      <c r="B23" s="184"/>
      <c r="C23" s="185"/>
      <c r="D23" s="81"/>
      <c r="E23" s="94"/>
      <c r="F23" s="95"/>
      <c r="G23" s="96"/>
      <c r="H23" s="97"/>
      <c r="I23" s="94"/>
      <c r="J23" s="95"/>
      <c r="K23" s="115"/>
      <c r="L23" s="116"/>
      <c r="M23" s="117"/>
      <c r="N23" s="118"/>
      <c r="O23" s="115"/>
      <c r="P23" s="116"/>
      <c r="Q23" s="119">
        <f t="shared" si="2"/>
        <v>0</v>
      </c>
      <c r="R23" s="120" t="e">
        <f t="shared" si="1"/>
        <v>#DIV/0!</v>
      </c>
    </row>
    <row r="24" spans="1:18" ht="18.75" customHeight="1" x14ac:dyDescent="0.15">
      <c r="A24" s="22"/>
      <c r="B24" s="184"/>
      <c r="C24" s="185"/>
      <c r="D24" s="81"/>
      <c r="E24" s="94"/>
      <c r="F24" s="95"/>
      <c r="G24" s="96"/>
      <c r="H24" s="97"/>
      <c r="I24" s="94"/>
      <c r="J24" s="95"/>
      <c r="K24" s="115"/>
      <c r="L24" s="116"/>
      <c r="M24" s="117"/>
      <c r="N24" s="118"/>
      <c r="O24" s="115"/>
      <c r="P24" s="116"/>
      <c r="Q24" s="119">
        <f t="shared" si="2"/>
        <v>0</v>
      </c>
      <c r="R24" s="120" t="e">
        <f t="shared" si="1"/>
        <v>#DIV/0!</v>
      </c>
    </row>
    <row r="25" spans="1:18" ht="18.75" customHeight="1" x14ac:dyDescent="0.15">
      <c r="A25" s="22"/>
      <c r="B25" s="184"/>
      <c r="C25" s="185"/>
      <c r="D25" s="81"/>
      <c r="E25" s="94"/>
      <c r="F25" s="95"/>
      <c r="G25" s="96"/>
      <c r="H25" s="97"/>
      <c r="I25" s="94"/>
      <c r="J25" s="95"/>
      <c r="K25" s="115"/>
      <c r="L25" s="116"/>
      <c r="M25" s="117"/>
      <c r="N25" s="118"/>
      <c r="O25" s="115"/>
      <c r="P25" s="116"/>
      <c r="Q25" s="119">
        <f t="shared" si="2"/>
        <v>0</v>
      </c>
      <c r="R25" s="120" t="e">
        <f t="shared" si="1"/>
        <v>#DIV/0!</v>
      </c>
    </row>
    <row r="26" spans="1:18" ht="18.75" customHeight="1" x14ac:dyDescent="0.15">
      <c r="A26" s="22"/>
      <c r="B26" s="184"/>
      <c r="C26" s="185"/>
      <c r="D26" s="81"/>
      <c r="E26" s="94"/>
      <c r="F26" s="95"/>
      <c r="G26" s="96"/>
      <c r="H26" s="97"/>
      <c r="I26" s="94"/>
      <c r="J26" s="95"/>
      <c r="K26" s="115"/>
      <c r="L26" s="116"/>
      <c r="M26" s="117"/>
      <c r="N26" s="118"/>
      <c r="O26" s="115"/>
      <c r="P26" s="116"/>
      <c r="Q26" s="119">
        <f t="shared" si="2"/>
        <v>0</v>
      </c>
      <c r="R26" s="120" t="e">
        <f t="shared" si="1"/>
        <v>#DIV/0!</v>
      </c>
    </row>
    <row r="27" spans="1:18" ht="18.75" customHeight="1" x14ac:dyDescent="0.15">
      <c r="A27" s="22"/>
      <c r="B27" s="184"/>
      <c r="C27" s="185"/>
      <c r="D27" s="81"/>
      <c r="E27" s="94"/>
      <c r="F27" s="95"/>
      <c r="G27" s="96"/>
      <c r="H27" s="97"/>
      <c r="I27" s="94"/>
      <c r="J27" s="95"/>
      <c r="K27" s="115"/>
      <c r="L27" s="116"/>
      <c r="M27" s="117"/>
      <c r="N27" s="118"/>
      <c r="O27" s="115"/>
      <c r="P27" s="116"/>
      <c r="Q27" s="119">
        <f t="shared" si="2"/>
        <v>0</v>
      </c>
      <c r="R27" s="120" t="e">
        <f t="shared" si="1"/>
        <v>#DIV/0!</v>
      </c>
    </row>
    <row r="28" spans="1:18" ht="18.75" customHeight="1" thickBot="1" x14ac:dyDescent="0.2">
      <c r="A28" s="22"/>
      <c r="B28" s="186"/>
      <c r="C28" s="187"/>
      <c r="D28" s="80"/>
      <c r="E28" s="104"/>
      <c r="F28" s="105"/>
      <c r="G28" s="106"/>
      <c r="H28" s="107"/>
      <c r="I28" s="104"/>
      <c r="J28" s="105"/>
      <c r="K28" s="121"/>
      <c r="L28" s="122"/>
      <c r="M28" s="123"/>
      <c r="N28" s="124"/>
      <c r="O28" s="121"/>
      <c r="P28" s="122"/>
      <c r="Q28" s="125">
        <f t="shared" si="2"/>
        <v>0</v>
      </c>
      <c r="R28" s="120" t="e">
        <f t="shared" si="1"/>
        <v>#DIV/0!</v>
      </c>
    </row>
    <row r="29" spans="1:18" ht="18.75" customHeight="1" thickTop="1" x14ac:dyDescent="0.15">
      <c r="A29" s="22"/>
      <c r="B29" s="182" t="s">
        <v>60</v>
      </c>
      <c r="C29" s="183"/>
      <c r="D29" s="108">
        <f t="shared" ref="D29:Q29" si="3">SUM(D9:D28)</f>
        <v>4803</v>
      </c>
      <c r="E29" s="109">
        <f t="shared" si="3"/>
        <v>1128</v>
      </c>
      <c r="F29" s="110">
        <f t="shared" si="3"/>
        <v>1072</v>
      </c>
      <c r="G29" s="111">
        <f t="shared" si="3"/>
        <v>0</v>
      </c>
      <c r="H29" s="112">
        <f t="shared" si="3"/>
        <v>0</v>
      </c>
      <c r="I29" s="109">
        <f t="shared" si="3"/>
        <v>0</v>
      </c>
      <c r="J29" s="110">
        <f t="shared" si="3"/>
        <v>0</v>
      </c>
      <c r="K29" s="111">
        <f t="shared" si="3"/>
        <v>0</v>
      </c>
      <c r="L29" s="112">
        <f t="shared" si="3"/>
        <v>0</v>
      </c>
      <c r="M29" s="109">
        <f t="shared" si="3"/>
        <v>0</v>
      </c>
      <c r="N29" s="110">
        <f t="shared" si="3"/>
        <v>0</v>
      </c>
      <c r="O29" s="111">
        <f t="shared" si="3"/>
        <v>0</v>
      </c>
      <c r="P29" s="112">
        <f t="shared" si="3"/>
        <v>0</v>
      </c>
      <c r="Q29" s="113">
        <f t="shared" si="3"/>
        <v>1128</v>
      </c>
      <c r="R29" s="114">
        <f>Q29/D29</f>
        <v>0.2348532167395378</v>
      </c>
    </row>
    <row r="30" spans="1:18" ht="6.75" customHeight="1" x14ac:dyDescent="0.15">
      <c r="A30" s="22"/>
      <c r="B30" s="22"/>
      <c r="C30" s="22"/>
      <c r="D30" s="23"/>
      <c r="E30" s="23"/>
      <c r="F30" s="23"/>
      <c r="G30" s="23"/>
      <c r="H30" s="23"/>
      <c r="I30" s="23"/>
      <c r="J30" s="23"/>
      <c r="K30" s="23"/>
      <c r="L30" s="23"/>
      <c r="M30" s="23"/>
      <c r="N30" s="23"/>
      <c r="O30" s="23"/>
      <c r="P30" s="23"/>
      <c r="Q30" s="23"/>
      <c r="R30" s="23"/>
    </row>
  </sheetData>
  <mergeCells count="35">
    <mergeCell ref="F1:R1"/>
    <mergeCell ref="K2:L2"/>
    <mergeCell ref="M2:N2"/>
    <mergeCell ref="A5:R5"/>
    <mergeCell ref="B7:C8"/>
    <mergeCell ref="D7:D8"/>
    <mergeCell ref="E7:F7"/>
    <mergeCell ref="G7:H7"/>
    <mergeCell ref="I7:J7"/>
    <mergeCell ref="K7:L7"/>
    <mergeCell ref="M7:N7"/>
    <mergeCell ref="O7:P7"/>
    <mergeCell ref="Q7:Q8"/>
    <mergeCell ref="R7:R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9:C29"/>
    <mergeCell ref="B24:C24"/>
    <mergeCell ref="B25:C25"/>
    <mergeCell ref="B26:C26"/>
    <mergeCell ref="B27:C27"/>
    <mergeCell ref="B28:C28"/>
  </mergeCells>
  <phoneticPr fontId="1"/>
  <printOptions horizontalCentered="1"/>
  <pageMargins left="0.78740157480314965" right="0.78740157480314965" top="0.78740157480314965" bottom="0.59055118110236227" header="0.31496062992125984" footer="0.31496062992125984"/>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topLeftCell="A133" zoomScaleNormal="100" workbookViewId="0">
      <selection activeCell="C158" sqref="C15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48" t="s">
        <v>144</v>
      </c>
    </row>
    <row r="2" spans="1:7" ht="18.75" customHeight="1" x14ac:dyDescent="0.15">
      <c r="F2" s="48" t="s">
        <v>29</v>
      </c>
      <c r="G2" s="1" t="s">
        <v>142</v>
      </c>
    </row>
    <row r="3" spans="1:7" ht="18.75" customHeight="1" x14ac:dyDescent="0.15">
      <c r="A3" s="192" t="s">
        <v>85</v>
      </c>
      <c r="B3" s="192"/>
      <c r="C3" s="192"/>
      <c r="D3" s="192"/>
      <c r="E3" s="192"/>
      <c r="F3" s="192"/>
      <c r="G3" s="192"/>
    </row>
    <row r="4" spans="1:7" ht="18.75" customHeight="1" x14ac:dyDescent="0.15">
      <c r="A4" s="1" t="s">
        <v>6</v>
      </c>
      <c r="B4" s="1" t="s">
        <v>84</v>
      </c>
    </row>
    <row r="5" spans="1:7" s="49" customFormat="1" ht="18.75" customHeight="1" x14ac:dyDescent="0.15">
      <c r="B5" s="50" t="s">
        <v>66</v>
      </c>
      <c r="C5" s="206" t="s">
        <v>95</v>
      </c>
      <c r="D5" s="207"/>
      <c r="E5" s="207"/>
      <c r="F5" s="207"/>
      <c r="G5" s="208"/>
    </row>
    <row r="6" spans="1:7" s="49" customFormat="1" ht="45" customHeight="1" x14ac:dyDescent="0.15">
      <c r="B6" s="209" t="s">
        <v>98</v>
      </c>
      <c r="C6" s="211" t="s">
        <v>170</v>
      </c>
      <c r="D6" s="212"/>
      <c r="E6" s="212"/>
      <c r="F6" s="212"/>
      <c r="G6" s="213"/>
    </row>
    <row r="7" spans="1:7" s="49" customFormat="1" ht="45" customHeight="1" x14ac:dyDescent="0.15">
      <c r="B7" s="210"/>
      <c r="C7" s="214"/>
      <c r="D7" s="215"/>
      <c r="E7" s="215"/>
      <c r="F7" s="215"/>
      <c r="G7" s="216"/>
    </row>
    <row r="8" spans="1:7" s="49" customFormat="1" ht="45" customHeight="1" x14ac:dyDescent="0.15">
      <c r="B8" s="210"/>
      <c r="C8" s="214"/>
      <c r="D8" s="215"/>
      <c r="E8" s="215"/>
      <c r="F8" s="215"/>
      <c r="G8" s="216"/>
    </row>
    <row r="9" spans="1:7" s="49" customFormat="1" ht="45" customHeight="1" x14ac:dyDescent="0.15">
      <c r="B9" s="210"/>
      <c r="C9" s="217"/>
      <c r="D9" s="218"/>
      <c r="E9" s="218"/>
      <c r="F9" s="218"/>
      <c r="G9" s="219"/>
    </row>
    <row r="10" spans="1:7" s="49" customFormat="1" ht="18.75" customHeight="1" x14ac:dyDescent="0.15">
      <c r="B10" s="210"/>
      <c r="C10" s="47" t="s">
        <v>96</v>
      </c>
      <c r="D10" s="220" t="s">
        <v>97</v>
      </c>
      <c r="E10" s="221"/>
      <c r="F10" s="221"/>
      <c r="G10" s="222"/>
    </row>
    <row r="11" spans="1:7" s="49" customFormat="1" ht="18.75" customHeight="1" x14ac:dyDescent="0.15">
      <c r="B11" s="210"/>
      <c r="C11" s="79" t="s">
        <v>131</v>
      </c>
      <c r="D11" s="223" t="s">
        <v>168</v>
      </c>
      <c r="E11" s="224"/>
      <c r="F11" s="224"/>
      <c r="G11" s="225"/>
    </row>
    <row r="12" spans="1:7" s="49" customFormat="1" ht="18.75" customHeight="1" x14ac:dyDescent="0.15">
      <c r="B12" s="210"/>
      <c r="C12" s="78" t="s">
        <v>131</v>
      </c>
      <c r="D12" s="223" t="s">
        <v>169</v>
      </c>
      <c r="E12" s="224"/>
      <c r="F12" s="224"/>
      <c r="G12" s="225"/>
    </row>
    <row r="13" spans="1:7" s="49" customFormat="1" ht="18.75" customHeight="1" x14ac:dyDescent="0.15">
      <c r="B13" s="210"/>
      <c r="C13" s="78" t="s">
        <v>131</v>
      </c>
      <c r="D13" s="223" t="s">
        <v>162</v>
      </c>
      <c r="E13" s="224"/>
      <c r="F13" s="224"/>
      <c r="G13" s="225"/>
    </row>
    <row r="14" spans="1:7" s="49" customFormat="1" ht="18.75" customHeight="1" x14ac:dyDescent="0.15">
      <c r="B14" s="210"/>
      <c r="C14" s="46"/>
      <c r="D14" s="223"/>
      <c r="E14" s="224"/>
      <c r="F14" s="224"/>
      <c r="G14" s="225"/>
    </row>
    <row r="15" spans="1:7" s="49" customFormat="1" ht="18.75" customHeight="1" x14ac:dyDescent="0.15">
      <c r="B15" s="210"/>
      <c r="C15" s="50"/>
      <c r="D15" s="206"/>
      <c r="E15" s="207"/>
      <c r="F15" s="207"/>
      <c r="G15" s="208"/>
    </row>
    <row r="16" spans="1:7" s="49" customFormat="1" ht="18.75" customHeight="1" x14ac:dyDescent="0.15">
      <c r="B16" s="210"/>
      <c r="C16" s="50"/>
      <c r="D16" s="206"/>
      <c r="E16" s="207"/>
      <c r="F16" s="207"/>
      <c r="G16" s="208"/>
    </row>
    <row r="17" spans="2:7" s="49" customFormat="1" ht="18.75" customHeight="1" x14ac:dyDescent="0.15">
      <c r="B17" s="210"/>
      <c r="C17" s="50"/>
      <c r="D17" s="206"/>
      <c r="E17" s="207"/>
      <c r="F17" s="207"/>
      <c r="G17" s="208"/>
    </row>
    <row r="18" spans="2:7" s="49" customFormat="1" ht="18.75" customHeight="1" x14ac:dyDescent="0.15">
      <c r="B18" s="210"/>
      <c r="C18" s="50"/>
      <c r="D18" s="206"/>
      <c r="E18" s="207"/>
      <c r="F18" s="207"/>
      <c r="G18" s="208"/>
    </row>
    <row r="19" spans="2:7" s="49" customFormat="1" ht="18.75" customHeight="1" x14ac:dyDescent="0.15">
      <c r="B19" s="210"/>
      <c r="C19" s="50"/>
      <c r="D19" s="206"/>
      <c r="E19" s="207"/>
      <c r="F19" s="207"/>
      <c r="G19" s="208"/>
    </row>
    <row r="20" spans="2:7" s="49" customFormat="1" ht="18.75" customHeight="1" x14ac:dyDescent="0.15">
      <c r="B20" s="210"/>
      <c r="C20" s="50"/>
      <c r="D20" s="206"/>
      <c r="E20" s="207"/>
      <c r="F20" s="207"/>
      <c r="G20" s="208"/>
    </row>
    <row r="21" spans="2:7" s="49" customFormat="1" ht="18.75" customHeight="1" x14ac:dyDescent="0.15">
      <c r="B21" s="210"/>
      <c r="C21" s="50"/>
      <c r="D21" s="206"/>
      <c r="E21" s="207"/>
      <c r="F21" s="207"/>
      <c r="G21" s="208"/>
    </row>
    <row r="22" spans="2:7" s="49" customFormat="1" ht="18.75" customHeight="1" x14ac:dyDescent="0.15">
      <c r="B22" s="210"/>
      <c r="C22" s="50"/>
      <c r="D22" s="206"/>
      <c r="E22" s="207"/>
      <c r="F22" s="207"/>
      <c r="G22" s="208"/>
    </row>
    <row r="23" spans="2:7" s="49" customFormat="1" ht="18.75" customHeight="1" x14ac:dyDescent="0.15">
      <c r="B23" s="210"/>
      <c r="C23" s="50"/>
      <c r="D23" s="206"/>
      <c r="E23" s="207"/>
      <c r="F23" s="207"/>
      <c r="G23" s="208"/>
    </row>
    <row r="24" spans="2:7" s="49" customFormat="1" ht="18.75" customHeight="1" x14ac:dyDescent="0.15">
      <c r="B24" s="210"/>
      <c r="C24" s="50"/>
      <c r="D24" s="206"/>
      <c r="E24" s="207"/>
      <c r="F24" s="207"/>
      <c r="G24" s="208"/>
    </row>
    <row r="25" spans="2:7" s="49" customFormat="1" ht="18.75" customHeight="1" x14ac:dyDescent="0.15">
      <c r="B25" s="210"/>
      <c r="C25" s="50"/>
      <c r="D25" s="206"/>
      <c r="E25" s="207"/>
      <c r="F25" s="207"/>
      <c r="G25" s="208"/>
    </row>
    <row r="26" spans="2:7" ht="18.75" customHeight="1" x14ac:dyDescent="0.15">
      <c r="B26" s="209" t="s">
        <v>99</v>
      </c>
      <c r="C26" s="206" t="s">
        <v>95</v>
      </c>
      <c r="D26" s="207"/>
      <c r="E26" s="207"/>
      <c r="F26" s="207"/>
      <c r="G26" s="208"/>
    </row>
    <row r="27" spans="2:7" ht="37.5" customHeight="1" x14ac:dyDescent="0.15">
      <c r="B27" s="210"/>
      <c r="C27" s="227" t="s">
        <v>172</v>
      </c>
      <c r="D27" s="228"/>
      <c r="E27" s="228"/>
      <c r="F27" s="228"/>
      <c r="G27" s="229"/>
    </row>
    <row r="28" spans="2:7" ht="37.5" customHeight="1" x14ac:dyDescent="0.15">
      <c r="B28" s="210"/>
      <c r="C28" s="230"/>
      <c r="D28" s="231"/>
      <c r="E28" s="231"/>
      <c r="F28" s="231"/>
      <c r="G28" s="232"/>
    </row>
    <row r="29" spans="2:7" ht="37.5" customHeight="1" x14ac:dyDescent="0.15">
      <c r="B29" s="210"/>
      <c r="C29" s="230"/>
      <c r="D29" s="231"/>
      <c r="E29" s="231"/>
      <c r="F29" s="231"/>
      <c r="G29" s="232"/>
    </row>
    <row r="30" spans="2:7" ht="37.5" customHeight="1" x14ac:dyDescent="0.15">
      <c r="B30" s="210"/>
      <c r="C30" s="230"/>
      <c r="D30" s="231"/>
      <c r="E30" s="231"/>
      <c r="F30" s="231"/>
      <c r="G30" s="232"/>
    </row>
    <row r="31" spans="2:7" ht="37.5" customHeight="1" x14ac:dyDescent="0.15">
      <c r="B31" s="210"/>
      <c r="C31" s="233"/>
      <c r="D31" s="234"/>
      <c r="E31" s="234"/>
      <c r="F31" s="234"/>
      <c r="G31" s="235"/>
    </row>
    <row r="32" spans="2:7" ht="18.75" customHeight="1" x14ac:dyDescent="0.15">
      <c r="B32" s="210"/>
      <c r="C32" s="47" t="s">
        <v>96</v>
      </c>
      <c r="D32" s="206" t="s">
        <v>97</v>
      </c>
      <c r="E32" s="207"/>
      <c r="F32" s="207"/>
      <c r="G32" s="208"/>
    </row>
    <row r="33" spans="2:7" ht="18.75" customHeight="1" x14ac:dyDescent="0.15">
      <c r="B33" s="210"/>
      <c r="C33" s="50" t="s">
        <v>134</v>
      </c>
      <c r="D33" s="236" t="s">
        <v>164</v>
      </c>
      <c r="E33" s="237"/>
      <c r="F33" s="237"/>
      <c r="G33" s="238"/>
    </row>
    <row r="34" spans="2:7" ht="18.75" customHeight="1" x14ac:dyDescent="0.15">
      <c r="B34" s="210"/>
      <c r="C34" s="83" t="s">
        <v>131</v>
      </c>
      <c r="D34" s="236" t="s">
        <v>163</v>
      </c>
      <c r="E34" s="237"/>
      <c r="F34" s="237"/>
      <c r="G34" s="238"/>
    </row>
    <row r="35" spans="2:7" ht="18.75" customHeight="1" x14ac:dyDescent="0.15">
      <c r="B35" s="210"/>
      <c r="C35" s="83" t="s">
        <v>131</v>
      </c>
      <c r="D35" s="236" t="s">
        <v>166</v>
      </c>
      <c r="E35" s="237"/>
      <c r="F35" s="237"/>
      <c r="G35" s="238"/>
    </row>
    <row r="36" spans="2:7" ht="18.75" customHeight="1" x14ac:dyDescent="0.15">
      <c r="B36" s="210"/>
      <c r="C36" s="83" t="s">
        <v>131</v>
      </c>
      <c r="D36" s="236" t="s">
        <v>171</v>
      </c>
      <c r="E36" s="237"/>
      <c r="F36" s="237"/>
      <c r="G36" s="238"/>
    </row>
    <row r="37" spans="2:7" ht="18.75" customHeight="1" x14ac:dyDescent="0.15">
      <c r="B37" s="210"/>
      <c r="C37" s="83" t="s">
        <v>131</v>
      </c>
      <c r="D37" s="236" t="s">
        <v>165</v>
      </c>
      <c r="E37" s="237"/>
      <c r="F37" s="237"/>
      <c r="G37" s="238"/>
    </row>
    <row r="38" spans="2:7" ht="18.75" customHeight="1" x14ac:dyDescent="0.15">
      <c r="B38" s="210"/>
      <c r="C38" s="50"/>
      <c r="D38" s="239"/>
      <c r="E38" s="240"/>
      <c r="F38" s="240"/>
      <c r="G38" s="241"/>
    </row>
    <row r="39" spans="2:7" ht="18.75" customHeight="1" x14ac:dyDescent="0.15">
      <c r="B39" s="210"/>
      <c r="C39" s="50"/>
      <c r="D39" s="239"/>
      <c r="E39" s="240"/>
      <c r="F39" s="240"/>
      <c r="G39" s="241"/>
    </row>
    <row r="40" spans="2:7" ht="18.75" customHeight="1" x14ac:dyDescent="0.15">
      <c r="B40" s="210"/>
      <c r="C40" s="50"/>
      <c r="D40" s="239"/>
      <c r="E40" s="240"/>
      <c r="F40" s="240"/>
      <c r="G40" s="241"/>
    </row>
    <row r="41" spans="2:7" ht="18.75" customHeight="1" x14ac:dyDescent="0.15">
      <c r="B41" s="210"/>
      <c r="C41" s="50"/>
      <c r="D41" s="239"/>
      <c r="E41" s="240"/>
      <c r="F41" s="240"/>
      <c r="G41" s="241"/>
    </row>
    <row r="42" spans="2:7" ht="18.75" customHeight="1" x14ac:dyDescent="0.15">
      <c r="B42" s="210"/>
      <c r="C42" s="50"/>
      <c r="D42" s="239"/>
      <c r="E42" s="240"/>
      <c r="F42" s="240"/>
      <c r="G42" s="241"/>
    </row>
    <row r="43" spans="2:7" ht="18.75" customHeight="1" x14ac:dyDescent="0.15">
      <c r="B43" s="210"/>
      <c r="C43" s="50"/>
      <c r="D43" s="239"/>
      <c r="E43" s="240"/>
      <c r="F43" s="240"/>
      <c r="G43" s="241"/>
    </row>
    <row r="44" spans="2:7" ht="18.75" customHeight="1" x14ac:dyDescent="0.15">
      <c r="B44" s="210"/>
      <c r="C44" s="50"/>
      <c r="D44" s="239"/>
      <c r="E44" s="240"/>
      <c r="F44" s="240"/>
      <c r="G44" s="241"/>
    </row>
    <row r="45" spans="2:7" ht="18.75" customHeight="1" x14ac:dyDescent="0.15">
      <c r="B45" s="210"/>
      <c r="C45" s="50"/>
      <c r="D45" s="239"/>
      <c r="E45" s="240"/>
      <c r="F45" s="240"/>
      <c r="G45" s="241"/>
    </row>
    <row r="46" spans="2:7" ht="18.75" customHeight="1" x14ac:dyDescent="0.15">
      <c r="B46" s="210"/>
      <c r="C46" s="50"/>
      <c r="D46" s="239"/>
      <c r="E46" s="240"/>
      <c r="F46" s="240"/>
      <c r="G46" s="241"/>
    </row>
    <row r="47" spans="2:7" ht="18.75" customHeight="1" x14ac:dyDescent="0.15">
      <c r="B47" s="210"/>
      <c r="C47" s="50"/>
      <c r="D47" s="239"/>
      <c r="E47" s="240"/>
      <c r="F47" s="240"/>
      <c r="G47" s="241"/>
    </row>
    <row r="48" spans="2:7" ht="18.75" customHeight="1" x14ac:dyDescent="0.15">
      <c r="B48" s="210"/>
      <c r="C48" s="50"/>
      <c r="D48" s="239"/>
      <c r="E48" s="240"/>
      <c r="F48" s="240"/>
      <c r="G48" s="241"/>
    </row>
    <row r="49" spans="2:7" ht="18.75" customHeight="1" x14ac:dyDescent="0.15">
      <c r="B49" s="210"/>
      <c r="C49" s="50"/>
      <c r="D49" s="239"/>
      <c r="E49" s="240"/>
      <c r="F49" s="240"/>
      <c r="G49" s="241"/>
    </row>
    <row r="50" spans="2:7" ht="18.75" customHeight="1" x14ac:dyDescent="0.15">
      <c r="B50" s="226"/>
      <c r="C50" s="50"/>
      <c r="D50" s="239"/>
      <c r="E50" s="240"/>
      <c r="F50" s="240"/>
      <c r="G50" s="241"/>
    </row>
    <row r="51" spans="2:7" ht="18.75" customHeight="1" x14ac:dyDescent="0.15">
      <c r="B51" s="209" t="s">
        <v>101</v>
      </c>
      <c r="C51" s="206" t="s">
        <v>95</v>
      </c>
      <c r="D51" s="207"/>
      <c r="E51" s="207"/>
      <c r="F51" s="207"/>
      <c r="G51" s="208"/>
    </row>
    <row r="52" spans="2:7" ht="37.5" customHeight="1" x14ac:dyDescent="0.15">
      <c r="B52" s="210"/>
      <c r="C52" s="227" t="s">
        <v>173</v>
      </c>
      <c r="D52" s="228"/>
      <c r="E52" s="228"/>
      <c r="F52" s="228"/>
      <c r="G52" s="229"/>
    </row>
    <row r="53" spans="2:7" ht="37.5" customHeight="1" x14ac:dyDescent="0.15">
      <c r="B53" s="210"/>
      <c r="C53" s="230"/>
      <c r="D53" s="231"/>
      <c r="E53" s="231"/>
      <c r="F53" s="231"/>
      <c r="G53" s="232"/>
    </row>
    <row r="54" spans="2:7" ht="37.5" customHeight="1" x14ac:dyDescent="0.15">
      <c r="B54" s="210"/>
      <c r="C54" s="230"/>
      <c r="D54" s="231"/>
      <c r="E54" s="231"/>
      <c r="F54" s="231"/>
      <c r="G54" s="232"/>
    </row>
    <row r="55" spans="2:7" ht="37.5" customHeight="1" x14ac:dyDescent="0.15">
      <c r="B55" s="210"/>
      <c r="C55" s="230"/>
      <c r="D55" s="231"/>
      <c r="E55" s="231"/>
      <c r="F55" s="231"/>
      <c r="G55" s="232"/>
    </row>
    <row r="56" spans="2:7" ht="37.5" customHeight="1" x14ac:dyDescent="0.15">
      <c r="B56" s="210"/>
      <c r="C56" s="233"/>
      <c r="D56" s="234"/>
      <c r="E56" s="234"/>
      <c r="F56" s="234"/>
      <c r="G56" s="235"/>
    </row>
    <row r="57" spans="2:7" ht="18.75" customHeight="1" x14ac:dyDescent="0.15">
      <c r="B57" s="210"/>
      <c r="C57" s="47" t="s">
        <v>96</v>
      </c>
      <c r="D57" s="206" t="s">
        <v>97</v>
      </c>
      <c r="E57" s="207"/>
      <c r="F57" s="207"/>
      <c r="G57" s="208"/>
    </row>
    <row r="58" spans="2:7" ht="18.75" customHeight="1" x14ac:dyDescent="0.15">
      <c r="B58" s="210"/>
      <c r="C58" s="50" t="s">
        <v>134</v>
      </c>
      <c r="D58" s="236" t="s">
        <v>140</v>
      </c>
      <c r="E58" s="237"/>
      <c r="F58" s="237"/>
      <c r="G58" s="238"/>
    </row>
    <row r="59" spans="2:7" ht="18.75" customHeight="1" x14ac:dyDescent="0.15">
      <c r="B59" s="210"/>
      <c r="C59" s="50" t="s">
        <v>134</v>
      </c>
      <c r="D59" s="236" t="s">
        <v>145</v>
      </c>
      <c r="E59" s="237"/>
      <c r="F59" s="237"/>
      <c r="G59" s="238"/>
    </row>
    <row r="60" spans="2:7" ht="18.75" customHeight="1" x14ac:dyDescent="0.15">
      <c r="B60" s="210"/>
      <c r="C60" s="76"/>
      <c r="D60" s="239"/>
      <c r="E60" s="240"/>
      <c r="F60" s="240"/>
      <c r="G60" s="241"/>
    </row>
    <row r="61" spans="2:7" ht="18.75" customHeight="1" x14ac:dyDescent="0.15">
      <c r="B61" s="210"/>
      <c r="C61" s="50"/>
      <c r="D61" s="239"/>
      <c r="E61" s="240"/>
      <c r="F61" s="240"/>
      <c r="G61" s="241"/>
    </row>
    <row r="62" spans="2:7" ht="18.75" customHeight="1" x14ac:dyDescent="0.15">
      <c r="B62" s="210"/>
      <c r="C62" s="50"/>
      <c r="D62" s="239"/>
      <c r="E62" s="240"/>
      <c r="F62" s="240"/>
      <c r="G62" s="241"/>
    </row>
    <row r="63" spans="2:7" ht="18.75" customHeight="1" x14ac:dyDescent="0.15">
      <c r="B63" s="210"/>
      <c r="C63" s="50"/>
      <c r="D63" s="239"/>
      <c r="E63" s="240"/>
      <c r="F63" s="240"/>
      <c r="G63" s="241"/>
    </row>
    <row r="64" spans="2:7" ht="18.75" customHeight="1" x14ac:dyDescent="0.15">
      <c r="B64" s="210"/>
      <c r="C64" s="50"/>
      <c r="D64" s="239"/>
      <c r="E64" s="240"/>
      <c r="F64" s="240"/>
      <c r="G64" s="241"/>
    </row>
    <row r="65" spans="2:7" ht="18.75" customHeight="1" x14ac:dyDescent="0.15">
      <c r="B65" s="210"/>
      <c r="C65" s="50"/>
      <c r="D65" s="239"/>
      <c r="E65" s="240"/>
      <c r="F65" s="240"/>
      <c r="G65" s="241"/>
    </row>
    <row r="66" spans="2:7" ht="18.75" customHeight="1" x14ac:dyDescent="0.15">
      <c r="B66" s="210"/>
      <c r="C66" s="50"/>
      <c r="D66" s="239"/>
      <c r="E66" s="240"/>
      <c r="F66" s="240"/>
      <c r="G66" s="241"/>
    </row>
    <row r="67" spans="2:7" ht="18.75" customHeight="1" x14ac:dyDescent="0.15">
      <c r="B67" s="210"/>
      <c r="C67" s="50"/>
      <c r="D67" s="239"/>
      <c r="E67" s="240"/>
      <c r="F67" s="240"/>
      <c r="G67" s="241"/>
    </row>
    <row r="68" spans="2:7" ht="18.75" customHeight="1" x14ac:dyDescent="0.15">
      <c r="B68" s="210"/>
      <c r="C68" s="50"/>
      <c r="D68" s="239"/>
      <c r="E68" s="240"/>
      <c r="F68" s="240"/>
      <c r="G68" s="241"/>
    </row>
    <row r="69" spans="2:7" ht="18.75" customHeight="1" x14ac:dyDescent="0.15">
      <c r="B69" s="210"/>
      <c r="C69" s="50"/>
      <c r="D69" s="239"/>
      <c r="E69" s="240"/>
      <c r="F69" s="240"/>
      <c r="G69" s="241"/>
    </row>
    <row r="70" spans="2:7" ht="18.75" customHeight="1" x14ac:dyDescent="0.15">
      <c r="B70" s="210"/>
      <c r="C70" s="50"/>
      <c r="D70" s="239"/>
      <c r="E70" s="240"/>
      <c r="F70" s="240"/>
      <c r="G70" s="241"/>
    </row>
    <row r="71" spans="2:7" ht="18.75" customHeight="1" x14ac:dyDescent="0.15">
      <c r="B71" s="210"/>
      <c r="C71" s="50"/>
      <c r="D71" s="239"/>
      <c r="E71" s="240"/>
      <c r="F71" s="240"/>
      <c r="G71" s="241"/>
    </row>
    <row r="72" spans="2:7" ht="18.75" customHeight="1" x14ac:dyDescent="0.15">
      <c r="B72" s="210"/>
      <c r="C72" s="50"/>
      <c r="D72" s="239"/>
      <c r="E72" s="240"/>
      <c r="F72" s="240"/>
      <c r="G72" s="241"/>
    </row>
    <row r="73" spans="2:7" ht="18.75" customHeight="1" x14ac:dyDescent="0.15">
      <c r="B73" s="210"/>
      <c r="C73" s="50"/>
      <c r="D73" s="239"/>
      <c r="E73" s="240"/>
      <c r="F73" s="240"/>
      <c r="G73" s="241"/>
    </row>
    <row r="74" spans="2:7" ht="18.75" customHeight="1" x14ac:dyDescent="0.15">
      <c r="B74" s="210"/>
      <c r="C74" s="50"/>
      <c r="D74" s="239"/>
      <c r="E74" s="240"/>
      <c r="F74" s="240"/>
      <c r="G74" s="241"/>
    </row>
    <row r="75" spans="2:7" ht="18.75" customHeight="1" x14ac:dyDescent="0.15">
      <c r="B75" s="210"/>
      <c r="C75" s="50"/>
      <c r="D75" s="239"/>
      <c r="E75" s="240"/>
      <c r="F75" s="240"/>
      <c r="G75" s="241"/>
    </row>
    <row r="76" spans="2:7" ht="18.75" customHeight="1" x14ac:dyDescent="0.15">
      <c r="B76" s="209" t="s">
        <v>100</v>
      </c>
      <c r="C76" s="206" t="s">
        <v>95</v>
      </c>
      <c r="D76" s="207"/>
      <c r="E76" s="207"/>
      <c r="F76" s="207"/>
      <c r="G76" s="208"/>
    </row>
    <row r="77" spans="2:7" ht="37.5" customHeight="1" x14ac:dyDescent="0.15">
      <c r="B77" s="210"/>
      <c r="C77" s="227" t="s">
        <v>161</v>
      </c>
      <c r="D77" s="228"/>
      <c r="E77" s="228"/>
      <c r="F77" s="228"/>
      <c r="G77" s="229"/>
    </row>
    <row r="78" spans="2:7" ht="37.5" customHeight="1" x14ac:dyDescent="0.15">
      <c r="B78" s="210"/>
      <c r="C78" s="230"/>
      <c r="D78" s="231"/>
      <c r="E78" s="231"/>
      <c r="F78" s="231"/>
      <c r="G78" s="232"/>
    </row>
    <row r="79" spans="2:7" ht="37.5" customHeight="1" x14ac:dyDescent="0.15">
      <c r="B79" s="210"/>
      <c r="C79" s="230"/>
      <c r="D79" s="231"/>
      <c r="E79" s="231"/>
      <c r="F79" s="231"/>
      <c r="G79" s="232"/>
    </row>
    <row r="80" spans="2:7" ht="37.5" customHeight="1" x14ac:dyDescent="0.15">
      <c r="B80" s="210"/>
      <c r="C80" s="230"/>
      <c r="D80" s="231"/>
      <c r="E80" s="231"/>
      <c r="F80" s="231"/>
      <c r="G80" s="232"/>
    </row>
    <row r="81" spans="2:7" ht="37.5" customHeight="1" x14ac:dyDescent="0.15">
      <c r="B81" s="210"/>
      <c r="C81" s="233"/>
      <c r="D81" s="234"/>
      <c r="E81" s="234"/>
      <c r="F81" s="234"/>
      <c r="G81" s="235"/>
    </row>
    <row r="82" spans="2:7" ht="18.75" customHeight="1" x14ac:dyDescent="0.15">
      <c r="B82" s="210"/>
      <c r="C82" s="47" t="s">
        <v>96</v>
      </c>
      <c r="D82" s="206" t="s">
        <v>97</v>
      </c>
      <c r="E82" s="207"/>
      <c r="F82" s="207"/>
      <c r="G82" s="208"/>
    </row>
    <row r="83" spans="2:7" ht="18.75" customHeight="1" x14ac:dyDescent="0.15">
      <c r="B83" s="210"/>
      <c r="C83" s="50" t="s">
        <v>133</v>
      </c>
      <c r="D83" s="236" t="s">
        <v>146</v>
      </c>
      <c r="E83" s="237"/>
      <c r="F83" s="237"/>
      <c r="G83" s="238"/>
    </row>
    <row r="84" spans="2:7" ht="18.75" customHeight="1" x14ac:dyDescent="0.15">
      <c r="B84" s="210"/>
      <c r="C84" s="50"/>
      <c r="D84" s="239"/>
      <c r="E84" s="240"/>
      <c r="F84" s="240"/>
      <c r="G84" s="241"/>
    </row>
    <row r="85" spans="2:7" ht="18.75" customHeight="1" x14ac:dyDescent="0.15">
      <c r="B85" s="210"/>
      <c r="C85" s="50"/>
      <c r="D85" s="239"/>
      <c r="E85" s="240"/>
      <c r="F85" s="240"/>
      <c r="G85" s="241"/>
    </row>
    <row r="86" spans="2:7" ht="18.75" customHeight="1" x14ac:dyDescent="0.15">
      <c r="B86" s="210"/>
      <c r="C86" s="50"/>
      <c r="D86" s="239"/>
      <c r="E86" s="240"/>
      <c r="F86" s="240"/>
      <c r="G86" s="241"/>
    </row>
    <row r="87" spans="2:7" ht="18.75" customHeight="1" x14ac:dyDescent="0.15">
      <c r="B87" s="210"/>
      <c r="C87" s="50"/>
      <c r="D87" s="239"/>
      <c r="E87" s="240"/>
      <c r="F87" s="240"/>
      <c r="G87" s="241"/>
    </row>
    <row r="88" spans="2:7" ht="18.75" customHeight="1" x14ac:dyDescent="0.15">
      <c r="B88" s="210"/>
      <c r="C88" s="50"/>
      <c r="D88" s="239"/>
      <c r="E88" s="240"/>
      <c r="F88" s="240"/>
      <c r="G88" s="241"/>
    </row>
    <row r="89" spans="2:7" ht="18.75" customHeight="1" x14ac:dyDescent="0.15">
      <c r="B89" s="210"/>
      <c r="C89" s="50"/>
      <c r="D89" s="239"/>
      <c r="E89" s="240"/>
      <c r="F89" s="240"/>
      <c r="G89" s="241"/>
    </row>
    <row r="90" spans="2:7" ht="18.75" customHeight="1" x14ac:dyDescent="0.15">
      <c r="B90" s="210"/>
      <c r="C90" s="50"/>
      <c r="D90" s="239"/>
      <c r="E90" s="240"/>
      <c r="F90" s="240"/>
      <c r="G90" s="241"/>
    </row>
    <row r="91" spans="2:7" ht="18.75" customHeight="1" x14ac:dyDescent="0.15">
      <c r="B91" s="210"/>
      <c r="C91" s="50"/>
      <c r="D91" s="239"/>
      <c r="E91" s="240"/>
      <c r="F91" s="240"/>
      <c r="G91" s="241"/>
    </row>
    <row r="92" spans="2:7" ht="18.75" customHeight="1" x14ac:dyDescent="0.15">
      <c r="B92" s="210"/>
      <c r="C92" s="50"/>
      <c r="D92" s="239"/>
      <c r="E92" s="240"/>
      <c r="F92" s="240"/>
      <c r="G92" s="241"/>
    </row>
    <row r="93" spans="2:7" ht="18.75" customHeight="1" x14ac:dyDescent="0.15">
      <c r="B93" s="210"/>
      <c r="C93" s="50"/>
      <c r="D93" s="239"/>
      <c r="E93" s="240"/>
      <c r="F93" s="240"/>
      <c r="G93" s="241"/>
    </row>
    <row r="94" spans="2:7" ht="18.75" customHeight="1" x14ac:dyDescent="0.15">
      <c r="B94" s="210"/>
      <c r="C94" s="50"/>
      <c r="D94" s="239"/>
      <c r="E94" s="240"/>
      <c r="F94" s="240"/>
      <c r="G94" s="241"/>
    </row>
    <row r="95" spans="2:7" ht="18.75" customHeight="1" x14ac:dyDescent="0.15">
      <c r="B95" s="210"/>
      <c r="C95" s="50"/>
      <c r="D95" s="239"/>
      <c r="E95" s="240"/>
      <c r="F95" s="240"/>
      <c r="G95" s="241"/>
    </row>
    <row r="96" spans="2:7" ht="18.75" customHeight="1" x14ac:dyDescent="0.15">
      <c r="B96" s="210"/>
      <c r="C96" s="50"/>
      <c r="D96" s="239"/>
      <c r="E96" s="240"/>
      <c r="F96" s="240"/>
      <c r="G96" s="241"/>
    </row>
    <row r="97" spans="2:7" ht="18.75" customHeight="1" x14ac:dyDescent="0.15">
      <c r="B97" s="210"/>
      <c r="C97" s="50"/>
      <c r="D97" s="239"/>
      <c r="E97" s="240"/>
      <c r="F97" s="240"/>
      <c r="G97" s="241"/>
    </row>
    <row r="98" spans="2:7" ht="18.75" customHeight="1" x14ac:dyDescent="0.15">
      <c r="B98" s="210"/>
      <c r="C98" s="50"/>
      <c r="D98" s="239"/>
      <c r="E98" s="240"/>
      <c r="F98" s="240"/>
      <c r="G98" s="241"/>
    </row>
    <row r="99" spans="2:7" ht="18.75" customHeight="1" x14ac:dyDescent="0.15">
      <c r="B99" s="210"/>
      <c r="C99" s="50"/>
      <c r="D99" s="239"/>
      <c r="E99" s="240"/>
      <c r="F99" s="240"/>
      <c r="G99" s="241"/>
    </row>
    <row r="100" spans="2:7" ht="18.75" customHeight="1" x14ac:dyDescent="0.15">
      <c r="B100" s="210"/>
      <c r="C100" s="50"/>
      <c r="D100" s="239"/>
      <c r="E100" s="240"/>
      <c r="F100" s="240"/>
      <c r="G100" s="241"/>
    </row>
    <row r="101" spans="2:7" ht="18.75" customHeight="1" x14ac:dyDescent="0.15">
      <c r="B101" s="242" t="s">
        <v>102</v>
      </c>
      <c r="C101" s="206" t="s">
        <v>95</v>
      </c>
      <c r="D101" s="207"/>
      <c r="E101" s="207"/>
      <c r="F101" s="207"/>
      <c r="G101" s="208"/>
    </row>
    <row r="102" spans="2:7" ht="37.5" customHeight="1" x14ac:dyDescent="0.15">
      <c r="B102" s="243"/>
      <c r="C102" s="227" t="s">
        <v>193</v>
      </c>
      <c r="D102" s="228"/>
      <c r="E102" s="228"/>
      <c r="F102" s="228"/>
      <c r="G102" s="229"/>
    </row>
    <row r="103" spans="2:7" ht="37.5" customHeight="1" x14ac:dyDescent="0.15">
      <c r="B103" s="243"/>
      <c r="C103" s="230"/>
      <c r="D103" s="231"/>
      <c r="E103" s="231"/>
      <c r="F103" s="231"/>
      <c r="G103" s="232"/>
    </row>
    <row r="104" spans="2:7" ht="37.5" customHeight="1" x14ac:dyDescent="0.15">
      <c r="B104" s="243"/>
      <c r="C104" s="230"/>
      <c r="D104" s="231"/>
      <c r="E104" s="231"/>
      <c r="F104" s="231"/>
      <c r="G104" s="232"/>
    </row>
    <row r="105" spans="2:7" ht="37.5" customHeight="1" x14ac:dyDescent="0.15">
      <c r="B105" s="243"/>
      <c r="C105" s="230"/>
      <c r="D105" s="231"/>
      <c r="E105" s="231"/>
      <c r="F105" s="231"/>
      <c r="G105" s="232"/>
    </row>
    <row r="106" spans="2:7" ht="37.5" customHeight="1" x14ac:dyDescent="0.15">
      <c r="B106" s="243"/>
      <c r="C106" s="233"/>
      <c r="D106" s="234"/>
      <c r="E106" s="234"/>
      <c r="F106" s="234"/>
      <c r="G106" s="235"/>
    </row>
    <row r="107" spans="2:7" ht="18.75" customHeight="1" x14ac:dyDescent="0.15">
      <c r="B107" s="243"/>
      <c r="C107" s="47" t="s">
        <v>96</v>
      </c>
      <c r="D107" s="206" t="s">
        <v>97</v>
      </c>
      <c r="E107" s="207"/>
      <c r="F107" s="207"/>
      <c r="G107" s="208"/>
    </row>
    <row r="108" spans="2:7" ht="18.75" customHeight="1" x14ac:dyDescent="0.15">
      <c r="B108" s="243"/>
      <c r="C108" s="76" t="s">
        <v>134</v>
      </c>
      <c r="D108" s="236" t="s">
        <v>139</v>
      </c>
      <c r="E108" s="237"/>
      <c r="F108" s="237"/>
      <c r="G108" s="238"/>
    </row>
    <row r="109" spans="2:7" ht="18.75" customHeight="1" x14ac:dyDescent="0.15">
      <c r="B109" s="243"/>
      <c r="C109" s="77" t="s">
        <v>132</v>
      </c>
      <c r="D109" s="236" t="s">
        <v>136</v>
      </c>
      <c r="E109" s="237"/>
      <c r="F109" s="237"/>
      <c r="G109" s="238"/>
    </row>
    <row r="110" spans="2:7" ht="18.75" customHeight="1" x14ac:dyDescent="0.15">
      <c r="B110" s="243"/>
      <c r="C110" s="77" t="s">
        <v>132</v>
      </c>
      <c r="D110" s="236" t="s">
        <v>135</v>
      </c>
      <c r="E110" s="237"/>
      <c r="F110" s="237"/>
      <c r="G110" s="238"/>
    </row>
    <row r="111" spans="2:7" ht="18.75" customHeight="1" x14ac:dyDescent="0.15">
      <c r="B111" s="243"/>
      <c r="C111" s="77" t="s">
        <v>132</v>
      </c>
      <c r="D111" s="236" t="s">
        <v>137</v>
      </c>
      <c r="E111" s="237"/>
      <c r="F111" s="237"/>
      <c r="G111" s="238"/>
    </row>
    <row r="112" spans="2:7" ht="18.75" customHeight="1" x14ac:dyDescent="0.15">
      <c r="B112" s="243"/>
      <c r="C112" s="77" t="s">
        <v>131</v>
      </c>
      <c r="D112" s="236" t="s">
        <v>138</v>
      </c>
      <c r="E112" s="237"/>
      <c r="F112" s="237"/>
      <c r="G112" s="238"/>
    </row>
    <row r="113" spans="1:7" ht="18.75" customHeight="1" x14ac:dyDescent="0.15">
      <c r="B113" s="243"/>
      <c r="C113" s="77"/>
      <c r="D113" s="236"/>
      <c r="E113" s="237"/>
      <c r="F113" s="237"/>
      <c r="G113" s="238"/>
    </row>
    <row r="114" spans="1:7" ht="18.75" customHeight="1" x14ac:dyDescent="0.15">
      <c r="B114" s="243"/>
      <c r="C114" s="50"/>
      <c r="D114" s="239"/>
      <c r="E114" s="240"/>
      <c r="F114" s="240"/>
      <c r="G114" s="241"/>
    </row>
    <row r="115" spans="1:7" ht="18.75" customHeight="1" x14ac:dyDescent="0.15">
      <c r="B115" s="243"/>
      <c r="C115" s="50"/>
      <c r="D115" s="239"/>
      <c r="E115" s="240"/>
      <c r="F115" s="240"/>
      <c r="G115" s="241"/>
    </row>
    <row r="116" spans="1:7" ht="18.75" customHeight="1" x14ac:dyDescent="0.15">
      <c r="B116" s="243"/>
      <c r="C116" s="50"/>
      <c r="D116" s="239"/>
      <c r="E116" s="240"/>
      <c r="F116" s="240"/>
      <c r="G116" s="241"/>
    </row>
    <row r="117" spans="1:7" ht="18.75" customHeight="1" x14ac:dyDescent="0.15">
      <c r="B117" s="243"/>
      <c r="C117" s="50"/>
      <c r="D117" s="239"/>
      <c r="E117" s="240"/>
      <c r="F117" s="240"/>
      <c r="G117" s="241"/>
    </row>
    <row r="118" spans="1:7" ht="18.75" customHeight="1" x14ac:dyDescent="0.15">
      <c r="B118" s="243"/>
      <c r="C118" s="50"/>
      <c r="D118" s="239"/>
      <c r="E118" s="240"/>
      <c r="F118" s="240"/>
      <c r="G118" s="241"/>
    </row>
    <row r="119" spans="1:7" ht="18.75" customHeight="1" x14ac:dyDescent="0.15">
      <c r="B119" s="243"/>
      <c r="C119" s="50"/>
      <c r="D119" s="239"/>
      <c r="E119" s="240"/>
      <c r="F119" s="240"/>
      <c r="G119" s="241"/>
    </row>
    <row r="120" spans="1:7" ht="18.75" customHeight="1" x14ac:dyDescent="0.15">
      <c r="B120" s="243"/>
      <c r="C120" s="50"/>
      <c r="D120" s="239"/>
      <c r="E120" s="240"/>
      <c r="F120" s="240"/>
      <c r="G120" s="241"/>
    </row>
    <row r="121" spans="1:7" ht="18.75" customHeight="1" x14ac:dyDescent="0.15">
      <c r="B121" s="243"/>
      <c r="C121" s="50"/>
      <c r="D121" s="239"/>
      <c r="E121" s="240"/>
      <c r="F121" s="240"/>
      <c r="G121" s="241"/>
    </row>
    <row r="122" spans="1:7" ht="18.75" customHeight="1" x14ac:dyDescent="0.15">
      <c r="B122" s="243"/>
      <c r="C122" s="50"/>
      <c r="D122" s="239"/>
      <c r="E122" s="240"/>
      <c r="F122" s="240"/>
      <c r="G122" s="241"/>
    </row>
    <row r="123" spans="1:7" ht="18.75" customHeight="1" x14ac:dyDescent="0.15">
      <c r="B123" s="243"/>
      <c r="C123" s="50"/>
      <c r="D123" s="239"/>
      <c r="E123" s="240"/>
      <c r="F123" s="240"/>
      <c r="G123" s="241"/>
    </row>
    <row r="124" spans="1:7" ht="18.75" customHeight="1" x14ac:dyDescent="0.15">
      <c r="B124" s="243"/>
      <c r="C124" s="50"/>
      <c r="D124" s="239"/>
      <c r="E124" s="240"/>
      <c r="F124" s="240"/>
      <c r="G124" s="241"/>
    </row>
    <row r="125" spans="1:7" ht="18.75" customHeight="1" x14ac:dyDescent="0.15">
      <c r="B125" s="243"/>
      <c r="C125" s="50"/>
      <c r="D125" s="239"/>
      <c r="E125" s="240"/>
      <c r="F125" s="240"/>
      <c r="G125" s="241"/>
    </row>
    <row r="126" spans="1:7" ht="18.75" customHeight="1" x14ac:dyDescent="0.15">
      <c r="A126" s="1" t="s">
        <v>11</v>
      </c>
      <c r="B126" s="1" t="s">
        <v>93</v>
      </c>
    </row>
    <row r="127" spans="1:7" ht="22.5" customHeight="1" x14ac:dyDescent="0.15">
      <c r="B127" s="50" t="s">
        <v>66</v>
      </c>
      <c r="C127" s="206" t="s">
        <v>92</v>
      </c>
      <c r="D127" s="207"/>
      <c r="E127" s="207"/>
      <c r="F127" s="207"/>
      <c r="G127" s="208"/>
    </row>
    <row r="128" spans="1:7" ht="45" customHeight="1" x14ac:dyDescent="0.15">
      <c r="B128" s="34" t="s">
        <v>67</v>
      </c>
      <c r="C128" s="244"/>
      <c r="D128" s="245"/>
      <c r="E128" s="245"/>
      <c r="F128" s="245"/>
      <c r="G128" s="246"/>
    </row>
    <row r="129" spans="1:7" ht="45" customHeight="1" x14ac:dyDescent="0.15">
      <c r="B129" s="34" t="s">
        <v>68</v>
      </c>
      <c r="C129" s="244"/>
      <c r="D129" s="245"/>
      <c r="E129" s="245"/>
      <c r="F129" s="245"/>
      <c r="G129" s="246"/>
    </row>
    <row r="130" spans="1:7" ht="45" customHeight="1" x14ac:dyDescent="0.15">
      <c r="B130" s="34" t="s">
        <v>69</v>
      </c>
      <c r="C130" s="244"/>
      <c r="D130" s="245"/>
      <c r="E130" s="245"/>
      <c r="F130" s="245"/>
      <c r="G130" s="246"/>
    </row>
    <row r="131" spans="1:7" ht="45" customHeight="1" x14ac:dyDescent="0.15">
      <c r="B131" s="34" t="s">
        <v>70</v>
      </c>
      <c r="C131" s="244"/>
      <c r="D131" s="245"/>
      <c r="E131" s="245"/>
      <c r="F131" s="245"/>
      <c r="G131" s="246"/>
    </row>
    <row r="132" spans="1:7" ht="45" customHeight="1" x14ac:dyDescent="0.15">
      <c r="B132" s="34" t="s">
        <v>71</v>
      </c>
      <c r="C132" s="244"/>
      <c r="D132" s="245"/>
      <c r="E132" s="245"/>
      <c r="F132" s="245"/>
      <c r="G132" s="246"/>
    </row>
    <row r="133" spans="1:7" ht="45" customHeight="1" x14ac:dyDescent="0.15">
      <c r="B133" s="34" t="s">
        <v>72</v>
      </c>
      <c r="C133" s="244"/>
      <c r="D133" s="245"/>
      <c r="E133" s="245"/>
      <c r="F133" s="245"/>
      <c r="G133" s="246"/>
    </row>
    <row r="134" spans="1:7" ht="45" customHeight="1" x14ac:dyDescent="0.15">
      <c r="B134" s="34" t="s">
        <v>73</v>
      </c>
      <c r="C134" s="244"/>
      <c r="D134" s="245"/>
      <c r="E134" s="245"/>
      <c r="F134" s="245"/>
      <c r="G134" s="246"/>
    </row>
    <row r="135" spans="1:7" ht="45" customHeight="1" x14ac:dyDescent="0.15">
      <c r="B135" s="34" t="s">
        <v>74</v>
      </c>
      <c r="C135" s="244"/>
      <c r="D135" s="245"/>
      <c r="E135" s="245"/>
      <c r="F135" s="245"/>
      <c r="G135" s="246"/>
    </row>
    <row r="136" spans="1:7" ht="45" customHeight="1" x14ac:dyDescent="0.15">
      <c r="B136" s="34" t="s">
        <v>75</v>
      </c>
      <c r="C136" s="244"/>
      <c r="D136" s="245"/>
      <c r="E136" s="245"/>
      <c r="F136" s="245"/>
      <c r="G136" s="246"/>
    </row>
    <row r="137" spans="1:7" ht="7.5" customHeight="1" x14ac:dyDescent="0.15"/>
    <row r="138" spans="1:7" ht="18.75" customHeight="1" x14ac:dyDescent="0.15">
      <c r="A138" s="1" t="s">
        <v>12</v>
      </c>
      <c r="B138" s="1" t="s">
        <v>88</v>
      </c>
      <c r="E138" s="247" t="s">
        <v>155</v>
      </c>
      <c r="F138" s="248"/>
      <c r="G138" s="249"/>
    </row>
    <row r="139" spans="1:7" ht="7.5" customHeight="1" x14ac:dyDescent="0.15"/>
    <row r="140" spans="1:7" ht="18.75" customHeight="1" x14ac:dyDescent="0.15">
      <c r="A140" s="1" t="s">
        <v>15</v>
      </c>
      <c r="B140" s="1" t="s">
        <v>89</v>
      </c>
    </row>
    <row r="141" spans="1:7" ht="18.75" customHeight="1" x14ac:dyDescent="0.15">
      <c r="B141" s="250" t="s">
        <v>167</v>
      </c>
      <c r="C141" s="251"/>
      <c r="D141" s="251"/>
      <c r="E141" s="251"/>
      <c r="F141" s="251"/>
      <c r="G141" s="252"/>
    </row>
    <row r="142" spans="1:7" ht="18.75" customHeight="1" x14ac:dyDescent="0.15">
      <c r="B142" s="253"/>
      <c r="C142" s="254"/>
      <c r="D142" s="254"/>
      <c r="E142" s="254"/>
      <c r="F142" s="254"/>
      <c r="G142" s="255"/>
    </row>
    <row r="143" spans="1:7" ht="18.75" customHeight="1" x14ac:dyDescent="0.15">
      <c r="B143" s="253"/>
      <c r="C143" s="254"/>
      <c r="D143" s="254"/>
      <c r="E143" s="254"/>
      <c r="F143" s="254"/>
      <c r="G143" s="255"/>
    </row>
    <row r="144" spans="1:7" ht="18.75" customHeight="1" x14ac:dyDescent="0.15">
      <c r="B144" s="256"/>
      <c r="C144" s="257"/>
      <c r="D144" s="257"/>
      <c r="E144" s="257"/>
      <c r="F144" s="257"/>
      <c r="G144" s="258"/>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1"/>
  <printOptions horizontalCentered="1"/>
  <pageMargins left="0.78740157480314965" right="0.78740157480314965" top="0.59055118110236227" bottom="0.39370078740157483"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8"/>
  <sheetViews>
    <sheetView showZeros="0" topLeftCell="A102" zoomScaleNormal="100" workbookViewId="0">
      <selection activeCell="B114" sqref="B114:E133"/>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E1" s="24" t="s">
        <v>94</v>
      </c>
    </row>
    <row r="2" spans="1:5" ht="18.75" customHeight="1" x14ac:dyDescent="0.15">
      <c r="B2" s="24" t="s">
        <v>79</v>
      </c>
      <c r="C2" s="24" t="s">
        <v>7</v>
      </c>
      <c r="D2" s="278" t="s">
        <v>142</v>
      </c>
      <c r="E2" s="278"/>
    </row>
    <row r="3" spans="1:5" ht="7.5" customHeight="1" x14ac:dyDescent="0.15">
      <c r="B3" s="24"/>
      <c r="C3" s="24"/>
      <c r="D3" s="25"/>
      <c r="E3" s="25"/>
    </row>
    <row r="4" spans="1:5" ht="18.75" customHeight="1" x14ac:dyDescent="0.15">
      <c r="B4" s="155" t="s">
        <v>76</v>
      </c>
      <c r="C4" s="155"/>
      <c r="D4" s="155"/>
      <c r="E4" s="155"/>
    </row>
    <row r="5" spans="1:5" ht="7.5" customHeight="1" x14ac:dyDescent="0.15">
      <c r="B5" s="26"/>
      <c r="C5" s="26"/>
      <c r="D5" s="26"/>
      <c r="E5" s="26"/>
    </row>
    <row r="6" spans="1:5" ht="18.75" customHeight="1" x14ac:dyDescent="0.15">
      <c r="A6" s="14" t="s">
        <v>6</v>
      </c>
      <c r="B6" s="5" t="s">
        <v>87</v>
      </c>
      <c r="C6" s="31"/>
      <c r="D6" s="31"/>
      <c r="E6" s="31"/>
    </row>
    <row r="7" spans="1:5" ht="18.75" customHeight="1" x14ac:dyDescent="0.15">
      <c r="A7" s="14"/>
      <c r="B7" s="304" t="s">
        <v>183</v>
      </c>
      <c r="C7" s="305"/>
      <c r="D7" s="305"/>
      <c r="E7" s="306"/>
    </row>
    <row r="8" spans="1:5" ht="7.5" customHeight="1" x14ac:dyDescent="0.15">
      <c r="B8" s="31"/>
      <c r="C8" s="31"/>
      <c r="D8" s="31"/>
      <c r="E8" s="31"/>
    </row>
    <row r="9" spans="1:5" s="5" customFormat="1" ht="18.75" customHeight="1" x14ac:dyDescent="0.15">
      <c r="A9" s="14" t="s">
        <v>11</v>
      </c>
      <c r="B9" s="14" t="s">
        <v>42</v>
      </c>
      <c r="C9" s="14"/>
      <c r="D9" s="14"/>
      <c r="E9" s="14"/>
    </row>
    <row r="10" spans="1:5" s="10" customFormat="1" ht="18.75" customHeight="1" x14ac:dyDescent="0.15">
      <c r="A10" s="9"/>
      <c r="B10" s="259" t="s">
        <v>179</v>
      </c>
      <c r="C10" s="260"/>
      <c r="D10" s="260"/>
      <c r="E10" s="261"/>
    </row>
    <row r="11" spans="1:5" s="10" customFormat="1" ht="18.75" customHeight="1" x14ac:dyDescent="0.15">
      <c r="A11" s="9"/>
      <c r="B11" s="262"/>
      <c r="C11" s="263"/>
      <c r="D11" s="263"/>
      <c r="E11" s="264"/>
    </row>
    <row r="12" spans="1:5" s="10" customFormat="1" ht="18.75" customHeight="1" x14ac:dyDescent="0.15">
      <c r="A12" s="9"/>
      <c r="B12" s="262"/>
      <c r="C12" s="263"/>
      <c r="D12" s="263"/>
      <c r="E12" s="264"/>
    </row>
    <row r="13" spans="1:5" s="10" customFormat="1" ht="18.75" customHeight="1" x14ac:dyDescent="0.15">
      <c r="A13" s="9"/>
      <c r="B13" s="262"/>
      <c r="C13" s="263"/>
      <c r="D13" s="263"/>
      <c r="E13" s="264"/>
    </row>
    <row r="14" spans="1:5" s="10" customFormat="1" ht="18.75" customHeight="1" x14ac:dyDescent="0.15">
      <c r="A14" s="9"/>
      <c r="B14" s="265"/>
      <c r="C14" s="266"/>
      <c r="D14" s="266"/>
      <c r="E14" s="267"/>
    </row>
    <row r="15" spans="1:5" s="10" customFormat="1" ht="7.5" customHeight="1" x14ac:dyDescent="0.15">
      <c r="A15" s="9"/>
      <c r="B15" s="9"/>
      <c r="C15" s="9"/>
      <c r="D15" s="9"/>
      <c r="E15" s="9"/>
    </row>
    <row r="16" spans="1:5" s="5" customFormat="1" ht="18.75" customHeight="1" x14ac:dyDescent="0.15">
      <c r="A16" s="11" t="s">
        <v>12</v>
      </c>
      <c r="B16" s="11" t="s">
        <v>17</v>
      </c>
      <c r="C16" s="11"/>
      <c r="D16" s="11"/>
      <c r="E16" s="11"/>
    </row>
    <row r="17" spans="1:5" s="10" customFormat="1" ht="18.75" customHeight="1" x14ac:dyDescent="0.15">
      <c r="A17" s="9"/>
      <c r="B17" s="277" t="s">
        <v>184</v>
      </c>
      <c r="C17" s="279"/>
      <c r="D17" s="279"/>
      <c r="E17" s="280"/>
    </row>
    <row r="18" spans="1:5" s="10" customFormat="1" ht="18.75" customHeight="1" x14ac:dyDescent="0.15">
      <c r="A18" s="9"/>
      <c r="B18" s="281"/>
      <c r="C18" s="282"/>
      <c r="D18" s="282"/>
      <c r="E18" s="283"/>
    </row>
    <row r="19" spans="1:5" s="10" customFormat="1" ht="18.75" customHeight="1" x14ac:dyDescent="0.15">
      <c r="A19" s="9"/>
      <c r="B19" s="281"/>
      <c r="C19" s="282"/>
      <c r="D19" s="282"/>
      <c r="E19" s="283"/>
    </row>
    <row r="20" spans="1:5" s="10" customFormat="1" ht="18.75" customHeight="1" x14ac:dyDescent="0.15">
      <c r="A20" s="9"/>
      <c r="B20" s="281"/>
      <c r="C20" s="282"/>
      <c r="D20" s="282"/>
      <c r="E20" s="283"/>
    </row>
    <row r="21" spans="1:5" s="10" customFormat="1" ht="18.75" customHeight="1" x14ac:dyDescent="0.15">
      <c r="A21" s="84"/>
      <c r="B21" s="281"/>
      <c r="C21" s="282"/>
      <c r="D21" s="282"/>
      <c r="E21" s="283"/>
    </row>
    <row r="22" spans="1:5" s="10" customFormat="1" ht="18.75" customHeight="1" x14ac:dyDescent="0.15">
      <c r="A22" s="9"/>
      <c r="B22" s="281"/>
      <c r="C22" s="282"/>
      <c r="D22" s="282"/>
      <c r="E22" s="283"/>
    </row>
    <row r="23" spans="1:5" s="10" customFormat="1" ht="18.75" customHeight="1" x14ac:dyDescent="0.15">
      <c r="A23" s="84"/>
      <c r="B23" s="281"/>
      <c r="C23" s="282"/>
      <c r="D23" s="282"/>
      <c r="E23" s="283"/>
    </row>
    <row r="24" spans="1:5" s="10" customFormat="1" ht="18.75" customHeight="1" x14ac:dyDescent="0.15">
      <c r="A24" s="84"/>
      <c r="B24" s="281"/>
      <c r="C24" s="282"/>
      <c r="D24" s="282"/>
      <c r="E24" s="283"/>
    </row>
    <row r="25" spans="1:5" s="10" customFormat="1" ht="18.75" customHeight="1" x14ac:dyDescent="0.15">
      <c r="A25" s="84"/>
      <c r="B25" s="281"/>
      <c r="C25" s="282"/>
      <c r="D25" s="282"/>
      <c r="E25" s="283"/>
    </row>
    <row r="26" spans="1:5" s="10" customFormat="1" ht="18.75" customHeight="1" x14ac:dyDescent="0.15">
      <c r="A26" s="9"/>
      <c r="B26" s="281"/>
      <c r="C26" s="282"/>
      <c r="D26" s="282"/>
      <c r="E26" s="283"/>
    </row>
    <row r="27" spans="1:5" s="10" customFormat="1" ht="18.75" customHeight="1" x14ac:dyDescent="0.15">
      <c r="A27" s="9"/>
      <c r="B27" s="281"/>
      <c r="C27" s="282"/>
      <c r="D27" s="282"/>
      <c r="E27" s="283"/>
    </row>
    <row r="28" spans="1:5" s="10" customFormat="1" ht="18.75" customHeight="1" x14ac:dyDescent="0.15">
      <c r="A28" s="9"/>
      <c r="B28" s="281"/>
      <c r="C28" s="282"/>
      <c r="D28" s="282"/>
      <c r="E28" s="283"/>
    </row>
    <row r="29" spans="1:5" s="10" customFormat="1" ht="18.75" customHeight="1" x14ac:dyDescent="0.15">
      <c r="A29" s="9"/>
      <c r="B29" s="281"/>
      <c r="C29" s="282"/>
      <c r="D29" s="282"/>
      <c r="E29" s="283"/>
    </row>
    <row r="30" spans="1:5" s="10" customFormat="1" ht="18.75" customHeight="1" x14ac:dyDescent="0.15">
      <c r="A30" s="9"/>
      <c r="B30" s="281"/>
      <c r="C30" s="282"/>
      <c r="D30" s="282"/>
      <c r="E30" s="283"/>
    </row>
    <row r="31" spans="1:5" s="10" customFormat="1" ht="18.75" customHeight="1" x14ac:dyDescent="0.15">
      <c r="A31" s="9"/>
      <c r="B31" s="281"/>
      <c r="C31" s="282"/>
      <c r="D31" s="282"/>
      <c r="E31" s="283"/>
    </row>
    <row r="32" spans="1:5" s="10" customFormat="1" ht="18.75" customHeight="1" x14ac:dyDescent="0.15">
      <c r="A32" s="9"/>
      <c r="B32" s="284"/>
      <c r="C32" s="285"/>
      <c r="D32" s="285"/>
      <c r="E32" s="286"/>
    </row>
    <row r="33" spans="1:7" ht="7.5" customHeight="1" x14ac:dyDescent="0.15">
      <c r="A33" s="8"/>
      <c r="B33" s="8"/>
      <c r="C33" s="8"/>
      <c r="D33" s="8"/>
      <c r="E33" s="8"/>
    </row>
    <row r="34" spans="1:7" s="5" customFormat="1" ht="18.75" customHeight="1" x14ac:dyDescent="0.15">
      <c r="A34" s="14" t="s">
        <v>15</v>
      </c>
      <c r="B34" s="14" t="s">
        <v>27</v>
      </c>
      <c r="C34" s="14"/>
      <c r="D34" s="14"/>
      <c r="E34" s="14"/>
    </row>
    <row r="35" spans="1:7" s="5" customFormat="1" ht="18.75" customHeight="1" x14ac:dyDescent="0.15">
      <c r="A35" s="14"/>
      <c r="B35" s="287" t="s">
        <v>186</v>
      </c>
      <c r="C35" s="288"/>
      <c r="D35" s="288"/>
      <c r="E35" s="289"/>
    </row>
    <row r="36" spans="1:7" s="5" customFormat="1" ht="18.75" customHeight="1" x14ac:dyDescent="0.15">
      <c r="A36" s="14"/>
      <c r="B36" s="290"/>
      <c r="C36" s="291"/>
      <c r="D36" s="291"/>
      <c r="E36" s="292"/>
    </row>
    <row r="37" spans="1:7" s="5" customFormat="1" ht="18.75" customHeight="1" x14ac:dyDescent="0.15">
      <c r="A37" s="14"/>
      <c r="B37" s="290"/>
      <c r="C37" s="291"/>
      <c r="D37" s="291"/>
      <c r="E37" s="292"/>
    </row>
    <row r="38" spans="1:7" s="5" customFormat="1" ht="18.75" customHeight="1" x14ac:dyDescent="0.15">
      <c r="A38" s="14"/>
      <c r="B38" s="290"/>
      <c r="C38" s="291"/>
      <c r="D38" s="291"/>
      <c r="E38" s="292"/>
    </row>
    <row r="39" spans="1:7" s="5" customFormat="1" ht="18.75" customHeight="1" x14ac:dyDescent="0.15">
      <c r="A39" s="14"/>
      <c r="B39" s="290"/>
      <c r="C39" s="291"/>
      <c r="D39" s="291"/>
      <c r="E39" s="292"/>
    </row>
    <row r="40" spans="1:7" s="5" customFormat="1" ht="18.75" customHeight="1" x14ac:dyDescent="0.15">
      <c r="A40" s="14"/>
      <c r="B40" s="290"/>
      <c r="C40" s="291"/>
      <c r="D40" s="291"/>
      <c r="E40" s="292"/>
    </row>
    <row r="41" spans="1:7" s="5" customFormat="1" ht="18.75" customHeight="1" x14ac:dyDescent="0.15">
      <c r="A41" s="14"/>
      <c r="B41" s="290"/>
      <c r="C41" s="291"/>
      <c r="D41" s="291"/>
      <c r="E41" s="292"/>
    </row>
    <row r="42" spans="1:7" s="5" customFormat="1" ht="18.75" customHeight="1" x14ac:dyDescent="0.15">
      <c r="A42" s="14"/>
      <c r="B42" s="290"/>
      <c r="C42" s="291"/>
      <c r="D42" s="291"/>
      <c r="E42" s="292"/>
    </row>
    <row r="43" spans="1:7" s="5" customFormat="1" ht="18.75" customHeight="1" x14ac:dyDescent="0.15">
      <c r="A43" s="14"/>
      <c r="B43" s="290"/>
      <c r="C43" s="291"/>
      <c r="D43" s="291"/>
      <c r="E43" s="292"/>
      <c r="G43" s="5" t="s">
        <v>187</v>
      </c>
    </row>
    <row r="44" spans="1:7" s="5" customFormat="1" ht="18.75" customHeight="1" x14ac:dyDescent="0.15">
      <c r="A44" s="14"/>
      <c r="B44" s="290"/>
      <c r="C44" s="291"/>
      <c r="D44" s="291"/>
      <c r="E44" s="292"/>
    </row>
    <row r="45" spans="1:7" ht="18.75" customHeight="1" x14ac:dyDescent="0.15">
      <c r="A45" s="8"/>
      <c r="B45" s="290"/>
      <c r="C45" s="291"/>
      <c r="D45" s="291"/>
      <c r="E45" s="292"/>
    </row>
    <row r="46" spans="1:7" ht="18.75" customHeight="1" x14ac:dyDescent="0.15">
      <c r="A46" s="8"/>
      <c r="B46" s="293"/>
      <c r="C46" s="294"/>
      <c r="D46" s="294"/>
      <c r="E46" s="295"/>
    </row>
    <row r="47" spans="1:7" s="5" customFormat="1" ht="18.75" customHeight="1" x14ac:dyDescent="0.15">
      <c r="A47" s="7" t="s">
        <v>13</v>
      </c>
      <c r="B47" s="14" t="s">
        <v>77</v>
      </c>
      <c r="C47" s="7"/>
      <c r="D47" s="7"/>
      <c r="E47" s="7"/>
    </row>
    <row r="48" spans="1:7" ht="18.75" customHeight="1" x14ac:dyDescent="0.15">
      <c r="A48" s="8"/>
      <c r="B48" s="259" t="s">
        <v>157</v>
      </c>
      <c r="C48" s="296"/>
      <c r="D48" s="296"/>
      <c r="E48" s="297"/>
    </row>
    <row r="49" spans="1:5" ht="18.75" customHeight="1" x14ac:dyDescent="0.15">
      <c r="A49" s="8"/>
      <c r="B49" s="298"/>
      <c r="C49" s="299"/>
      <c r="D49" s="299"/>
      <c r="E49" s="300"/>
    </row>
    <row r="50" spans="1:5" ht="18.75" customHeight="1" x14ac:dyDescent="0.15">
      <c r="A50" s="8"/>
      <c r="B50" s="298"/>
      <c r="C50" s="299"/>
      <c r="D50" s="299"/>
      <c r="E50" s="300"/>
    </row>
    <row r="51" spans="1:5" ht="18.75" customHeight="1" x14ac:dyDescent="0.15">
      <c r="A51" s="8"/>
      <c r="B51" s="298"/>
      <c r="C51" s="299"/>
      <c r="D51" s="299"/>
      <c r="E51" s="300"/>
    </row>
    <row r="52" spans="1:5" ht="18.75" customHeight="1" x14ac:dyDescent="0.15">
      <c r="A52" s="8"/>
      <c r="B52" s="298"/>
      <c r="C52" s="299"/>
      <c r="D52" s="299"/>
      <c r="E52" s="300"/>
    </row>
    <row r="53" spans="1:5" ht="18.75" customHeight="1" x14ac:dyDescent="0.15">
      <c r="A53" s="8"/>
      <c r="B53" s="298"/>
      <c r="C53" s="299"/>
      <c r="D53" s="299"/>
      <c r="E53" s="300"/>
    </row>
    <row r="54" spans="1:5" ht="18.75" customHeight="1" x14ac:dyDescent="0.15">
      <c r="A54" s="8"/>
      <c r="B54" s="298"/>
      <c r="C54" s="299"/>
      <c r="D54" s="299"/>
      <c r="E54" s="300"/>
    </row>
    <row r="55" spans="1:5" ht="18.75" customHeight="1" x14ac:dyDescent="0.15">
      <c r="A55" s="8"/>
      <c r="B55" s="298"/>
      <c r="C55" s="299"/>
      <c r="D55" s="299"/>
      <c r="E55" s="300"/>
    </row>
    <row r="56" spans="1:5" ht="18.75" customHeight="1" x14ac:dyDescent="0.15">
      <c r="A56" s="8"/>
      <c r="B56" s="298"/>
      <c r="C56" s="299"/>
      <c r="D56" s="299"/>
      <c r="E56" s="300"/>
    </row>
    <row r="57" spans="1:5" ht="18.75" customHeight="1" x14ac:dyDescent="0.15">
      <c r="A57" s="8"/>
      <c r="B57" s="298"/>
      <c r="C57" s="299"/>
      <c r="D57" s="299"/>
      <c r="E57" s="300"/>
    </row>
    <row r="58" spans="1:5" ht="18.75" customHeight="1" x14ac:dyDescent="0.15">
      <c r="A58" s="8"/>
      <c r="B58" s="298"/>
      <c r="C58" s="299"/>
      <c r="D58" s="299"/>
      <c r="E58" s="300"/>
    </row>
    <row r="59" spans="1:5" ht="18.75" customHeight="1" x14ac:dyDescent="0.15">
      <c r="A59" s="8"/>
      <c r="B59" s="298"/>
      <c r="C59" s="299"/>
      <c r="D59" s="299"/>
      <c r="E59" s="300"/>
    </row>
    <row r="60" spans="1:5" ht="18.75" customHeight="1" x14ac:dyDescent="0.15">
      <c r="A60" s="8"/>
      <c r="B60" s="298"/>
      <c r="C60" s="299"/>
      <c r="D60" s="299"/>
      <c r="E60" s="300"/>
    </row>
    <row r="61" spans="1:5" ht="18.75" customHeight="1" x14ac:dyDescent="0.15">
      <c r="A61" s="8"/>
      <c r="B61" s="298"/>
      <c r="C61" s="299"/>
      <c r="D61" s="299"/>
      <c r="E61" s="300"/>
    </row>
    <row r="62" spans="1:5" ht="18.75" customHeight="1" x14ac:dyDescent="0.15">
      <c r="A62" s="8"/>
      <c r="B62" s="298"/>
      <c r="C62" s="299"/>
      <c r="D62" s="299"/>
      <c r="E62" s="300"/>
    </row>
    <row r="63" spans="1:5" ht="18.75" customHeight="1" x14ac:dyDescent="0.15">
      <c r="A63" s="8"/>
      <c r="B63" s="298"/>
      <c r="C63" s="299"/>
      <c r="D63" s="299"/>
      <c r="E63" s="300"/>
    </row>
    <row r="64" spans="1:5" ht="18.75" customHeight="1" x14ac:dyDescent="0.15">
      <c r="A64" s="8"/>
      <c r="B64" s="298"/>
      <c r="C64" s="299"/>
      <c r="D64" s="299"/>
      <c r="E64" s="300"/>
    </row>
    <row r="65" spans="1:5" ht="18.75" customHeight="1" x14ac:dyDescent="0.15">
      <c r="A65" s="8"/>
      <c r="B65" s="298"/>
      <c r="C65" s="299"/>
      <c r="D65" s="299"/>
      <c r="E65" s="300"/>
    </row>
    <row r="66" spans="1:5" ht="18.75" customHeight="1" x14ac:dyDescent="0.15">
      <c r="A66" s="8"/>
      <c r="B66" s="298"/>
      <c r="C66" s="299"/>
      <c r="D66" s="299"/>
      <c r="E66" s="300"/>
    </row>
    <row r="67" spans="1:5" ht="18.75" customHeight="1" x14ac:dyDescent="0.15">
      <c r="A67" s="8"/>
      <c r="B67" s="298"/>
      <c r="C67" s="299"/>
      <c r="D67" s="299"/>
      <c r="E67" s="300"/>
    </row>
    <row r="68" spans="1:5" ht="18.75" customHeight="1" x14ac:dyDescent="0.15">
      <c r="A68" s="8"/>
      <c r="B68" s="301"/>
      <c r="C68" s="302"/>
      <c r="D68" s="302"/>
      <c r="E68" s="303"/>
    </row>
    <row r="69" spans="1:5" ht="7.5" customHeight="1" x14ac:dyDescent="0.15">
      <c r="A69" s="8"/>
      <c r="B69" s="8"/>
      <c r="C69" s="8"/>
      <c r="D69" s="8"/>
      <c r="E69" s="8"/>
    </row>
    <row r="70" spans="1:5" s="5" customFormat="1" ht="18.75" customHeight="1" x14ac:dyDescent="0.15">
      <c r="A70" s="14" t="s">
        <v>16</v>
      </c>
      <c r="B70" s="14" t="s">
        <v>86</v>
      </c>
      <c r="C70" s="14"/>
      <c r="D70" s="14"/>
      <c r="E70" s="14"/>
    </row>
    <row r="71" spans="1:5" s="5" customFormat="1" ht="18.75" customHeight="1" x14ac:dyDescent="0.15">
      <c r="A71" s="14"/>
      <c r="B71" s="259" t="s">
        <v>194</v>
      </c>
      <c r="C71" s="260"/>
      <c r="D71" s="260"/>
      <c r="E71" s="261"/>
    </row>
    <row r="72" spans="1:5" s="5" customFormat="1" ht="18.75" customHeight="1" x14ac:dyDescent="0.15">
      <c r="A72" s="14"/>
      <c r="B72" s="262"/>
      <c r="C72" s="263"/>
      <c r="D72" s="263"/>
      <c r="E72" s="264"/>
    </row>
    <row r="73" spans="1:5" s="5" customFormat="1" ht="18.75" customHeight="1" x14ac:dyDescent="0.15">
      <c r="A73" s="14"/>
      <c r="B73" s="262"/>
      <c r="C73" s="263"/>
      <c r="D73" s="263"/>
      <c r="E73" s="264"/>
    </row>
    <row r="74" spans="1:5" s="5" customFormat="1" ht="18.75" customHeight="1" x14ac:dyDescent="0.15">
      <c r="A74" s="14"/>
      <c r="B74" s="262"/>
      <c r="C74" s="263"/>
      <c r="D74" s="263"/>
      <c r="E74" s="264"/>
    </row>
    <row r="75" spans="1:5" s="5" customFormat="1" ht="18.75" customHeight="1" x14ac:dyDescent="0.15">
      <c r="A75" s="14"/>
      <c r="B75" s="262"/>
      <c r="C75" s="263"/>
      <c r="D75" s="263"/>
      <c r="E75" s="264"/>
    </row>
    <row r="76" spans="1:5" s="5" customFormat="1" ht="18.75" customHeight="1" x14ac:dyDescent="0.15">
      <c r="A76" s="14"/>
      <c r="B76" s="262"/>
      <c r="C76" s="263"/>
      <c r="D76" s="263"/>
      <c r="E76" s="264"/>
    </row>
    <row r="77" spans="1:5" s="5" customFormat="1" ht="18.75" customHeight="1" x14ac:dyDescent="0.15">
      <c r="A77" s="14"/>
      <c r="B77" s="262"/>
      <c r="C77" s="263"/>
      <c r="D77" s="263"/>
      <c r="E77" s="264"/>
    </row>
    <row r="78" spans="1:5" s="5" customFormat="1" ht="18.75" customHeight="1" x14ac:dyDescent="0.15">
      <c r="A78" s="14"/>
      <c r="B78" s="262"/>
      <c r="C78" s="263"/>
      <c r="D78" s="263"/>
      <c r="E78" s="264"/>
    </row>
    <row r="79" spans="1:5" s="5" customFormat="1" ht="18.75" customHeight="1" x14ac:dyDescent="0.15">
      <c r="A79" s="14"/>
      <c r="B79" s="262"/>
      <c r="C79" s="263"/>
      <c r="D79" s="263"/>
      <c r="E79" s="264"/>
    </row>
    <row r="80" spans="1:5" s="5" customFormat="1" ht="18.75" customHeight="1" x14ac:dyDescent="0.15">
      <c r="A80" s="14"/>
      <c r="B80" s="262"/>
      <c r="C80" s="263"/>
      <c r="D80" s="263"/>
      <c r="E80" s="264"/>
    </row>
    <row r="81" spans="1:5" s="5" customFormat="1" ht="18.75" customHeight="1" x14ac:dyDescent="0.15">
      <c r="A81" s="14"/>
      <c r="B81" s="262"/>
      <c r="C81" s="263"/>
      <c r="D81" s="263"/>
      <c r="E81" s="264"/>
    </row>
    <row r="82" spans="1:5" s="5" customFormat="1" ht="18.75" customHeight="1" x14ac:dyDescent="0.15">
      <c r="A82" s="14"/>
      <c r="B82" s="262"/>
      <c r="C82" s="263"/>
      <c r="D82" s="263"/>
      <c r="E82" s="264"/>
    </row>
    <row r="83" spans="1:5" s="5" customFormat="1" ht="18.75" customHeight="1" x14ac:dyDescent="0.15">
      <c r="A83" s="14"/>
      <c r="B83" s="262"/>
      <c r="C83" s="263"/>
      <c r="D83" s="263"/>
      <c r="E83" s="264"/>
    </row>
    <row r="84" spans="1:5" s="5" customFormat="1" ht="18.75" customHeight="1" x14ac:dyDescent="0.15">
      <c r="A84" s="14"/>
      <c r="B84" s="262"/>
      <c r="C84" s="263"/>
      <c r="D84" s="263"/>
      <c r="E84" s="264"/>
    </row>
    <row r="85" spans="1:5" s="5" customFormat="1" ht="18.75" customHeight="1" x14ac:dyDescent="0.15">
      <c r="A85" s="14"/>
      <c r="B85" s="262"/>
      <c r="C85" s="263"/>
      <c r="D85" s="263"/>
      <c r="E85" s="264"/>
    </row>
    <row r="86" spans="1:5" s="5" customFormat="1" ht="18.75" customHeight="1" x14ac:dyDescent="0.15">
      <c r="A86" s="14"/>
      <c r="B86" s="262"/>
      <c r="C86" s="263"/>
      <c r="D86" s="263"/>
      <c r="E86" s="264"/>
    </row>
    <row r="87" spans="1:5" s="5" customFormat="1" ht="18.75" customHeight="1" x14ac:dyDescent="0.15">
      <c r="A87" s="14"/>
      <c r="B87" s="262"/>
      <c r="C87" s="263"/>
      <c r="D87" s="263"/>
      <c r="E87" s="264"/>
    </row>
    <row r="88" spans="1:5" ht="18.75" customHeight="1" x14ac:dyDescent="0.15">
      <c r="A88" s="8"/>
      <c r="B88" s="262"/>
      <c r="C88" s="263"/>
      <c r="D88" s="263"/>
      <c r="E88" s="264"/>
    </row>
    <row r="89" spans="1:5" ht="18.75" customHeight="1" x14ac:dyDescent="0.15">
      <c r="A89" s="8"/>
      <c r="B89" s="265"/>
      <c r="C89" s="266"/>
      <c r="D89" s="266"/>
      <c r="E89" s="267"/>
    </row>
    <row r="90" spans="1:5" ht="7.5" customHeight="1" x14ac:dyDescent="0.15">
      <c r="A90" s="8"/>
      <c r="B90" s="8"/>
      <c r="C90" s="8"/>
      <c r="D90" s="8"/>
      <c r="E90" s="8"/>
    </row>
    <row r="91" spans="1:5" s="5" customFormat="1" ht="18.75" customHeight="1" x14ac:dyDescent="0.15">
      <c r="A91" s="14" t="s">
        <v>14</v>
      </c>
      <c r="B91" s="14" t="s">
        <v>30</v>
      </c>
      <c r="C91" s="14"/>
      <c r="D91" s="14"/>
      <c r="E91" s="14"/>
    </row>
    <row r="92" spans="1:5" s="5" customFormat="1" ht="18.75" customHeight="1" x14ac:dyDescent="0.15">
      <c r="A92" s="14"/>
      <c r="B92" s="250" t="s">
        <v>156</v>
      </c>
      <c r="C92" s="268"/>
      <c r="D92" s="268"/>
      <c r="E92" s="269"/>
    </row>
    <row r="93" spans="1:5" s="5" customFormat="1" ht="18.75" customHeight="1" x14ac:dyDescent="0.15">
      <c r="A93" s="14"/>
      <c r="B93" s="270"/>
      <c r="C93" s="271"/>
      <c r="D93" s="271"/>
      <c r="E93" s="272"/>
    </row>
    <row r="94" spans="1:5" s="5" customFormat="1" ht="18.75" customHeight="1" x14ac:dyDescent="0.15">
      <c r="A94" s="14"/>
      <c r="B94" s="270"/>
      <c r="C94" s="271"/>
      <c r="D94" s="271"/>
      <c r="E94" s="272"/>
    </row>
    <row r="95" spans="1:5" s="5" customFormat="1" ht="18.75" customHeight="1" x14ac:dyDescent="0.15">
      <c r="A95" s="14"/>
      <c r="B95" s="270"/>
      <c r="C95" s="271"/>
      <c r="D95" s="271"/>
      <c r="E95" s="272"/>
    </row>
    <row r="96" spans="1:5" s="5" customFormat="1" ht="18.75" customHeight="1" x14ac:dyDescent="0.15">
      <c r="A96" s="14"/>
      <c r="B96" s="270"/>
      <c r="C96" s="271"/>
      <c r="D96" s="271"/>
      <c r="E96" s="272"/>
    </row>
    <row r="97" spans="1:5" s="5" customFormat="1" ht="18.75" customHeight="1" x14ac:dyDescent="0.15">
      <c r="A97" s="14"/>
      <c r="B97" s="270"/>
      <c r="C97" s="271"/>
      <c r="D97" s="271"/>
      <c r="E97" s="272"/>
    </row>
    <row r="98" spans="1:5" s="5" customFormat="1" ht="18.75" customHeight="1" x14ac:dyDescent="0.15">
      <c r="A98" s="14"/>
      <c r="B98" s="270"/>
      <c r="C98" s="271"/>
      <c r="D98" s="271"/>
      <c r="E98" s="272"/>
    </row>
    <row r="99" spans="1:5" s="5" customFormat="1" ht="18.75" customHeight="1" x14ac:dyDescent="0.15">
      <c r="A99" s="14"/>
      <c r="B99" s="270"/>
      <c r="C99" s="271"/>
      <c r="D99" s="271"/>
      <c r="E99" s="272"/>
    </row>
    <row r="100" spans="1:5" s="5" customFormat="1" ht="18.75" customHeight="1" x14ac:dyDescent="0.15">
      <c r="A100" s="14"/>
      <c r="B100" s="270"/>
      <c r="C100" s="271"/>
      <c r="D100" s="271"/>
      <c r="E100" s="272"/>
    </row>
    <row r="101" spans="1:5" s="5" customFormat="1" ht="18.75" customHeight="1" x14ac:dyDescent="0.15">
      <c r="A101" s="14"/>
      <c r="B101" s="270"/>
      <c r="C101" s="271"/>
      <c r="D101" s="271"/>
      <c r="E101" s="272"/>
    </row>
    <row r="102" spans="1:5" s="5" customFormat="1" ht="18.75" customHeight="1" x14ac:dyDescent="0.15">
      <c r="A102" s="14"/>
      <c r="B102" s="270"/>
      <c r="C102" s="271"/>
      <c r="D102" s="271"/>
      <c r="E102" s="272"/>
    </row>
    <row r="103" spans="1:5" s="5" customFormat="1" ht="18.75" customHeight="1" x14ac:dyDescent="0.15">
      <c r="A103" s="14"/>
      <c r="B103" s="270"/>
      <c r="C103" s="271"/>
      <c r="D103" s="271"/>
      <c r="E103" s="272"/>
    </row>
    <row r="104" spans="1:5" s="5" customFormat="1" ht="18.75" customHeight="1" x14ac:dyDescent="0.15">
      <c r="A104" s="14"/>
      <c r="B104" s="270"/>
      <c r="C104" s="271"/>
      <c r="D104" s="271"/>
      <c r="E104" s="272"/>
    </row>
    <row r="105" spans="1:5" s="5" customFormat="1" ht="18.75" customHeight="1" x14ac:dyDescent="0.15">
      <c r="A105" s="14"/>
      <c r="B105" s="270"/>
      <c r="C105" s="271"/>
      <c r="D105" s="271"/>
      <c r="E105" s="272"/>
    </row>
    <row r="106" spans="1:5" s="5" customFormat="1" ht="18.75" customHeight="1" x14ac:dyDescent="0.15">
      <c r="A106" s="14"/>
      <c r="B106" s="270"/>
      <c r="C106" s="271"/>
      <c r="D106" s="271"/>
      <c r="E106" s="272"/>
    </row>
    <row r="107" spans="1:5" s="5" customFormat="1" ht="18.75" customHeight="1" x14ac:dyDescent="0.15">
      <c r="A107" s="14"/>
      <c r="B107" s="270"/>
      <c r="C107" s="271"/>
      <c r="D107" s="271"/>
      <c r="E107" s="272"/>
    </row>
    <row r="108" spans="1:5" s="5" customFormat="1" ht="18.75" customHeight="1" x14ac:dyDescent="0.15">
      <c r="A108" s="14"/>
      <c r="B108" s="270"/>
      <c r="C108" s="271"/>
      <c r="D108" s="271"/>
      <c r="E108" s="272"/>
    </row>
    <row r="109" spans="1:5" s="5" customFormat="1" ht="18.75" customHeight="1" x14ac:dyDescent="0.15">
      <c r="A109" s="14"/>
      <c r="B109" s="270"/>
      <c r="C109" s="271"/>
      <c r="D109" s="271"/>
      <c r="E109" s="272"/>
    </row>
    <row r="110" spans="1:5" ht="18.75" customHeight="1" x14ac:dyDescent="0.15">
      <c r="A110" s="8"/>
      <c r="B110" s="270"/>
      <c r="C110" s="271"/>
      <c r="D110" s="271"/>
      <c r="E110" s="272"/>
    </row>
    <row r="111" spans="1:5" ht="18.75" customHeight="1" x14ac:dyDescent="0.15">
      <c r="A111" s="8"/>
      <c r="B111" s="273"/>
      <c r="C111" s="274"/>
      <c r="D111" s="274"/>
      <c r="E111" s="275"/>
    </row>
    <row r="112" spans="1:5" ht="7.5" customHeight="1" x14ac:dyDescent="0.15">
      <c r="A112" s="8"/>
      <c r="B112" s="8"/>
      <c r="C112" s="8"/>
      <c r="D112" s="8"/>
      <c r="E112" s="8"/>
    </row>
    <row r="113" spans="1:5" s="5" customFormat="1" ht="18.75" customHeight="1" x14ac:dyDescent="0.15">
      <c r="A113" s="14" t="s">
        <v>56</v>
      </c>
      <c r="B113" s="276" t="s">
        <v>119</v>
      </c>
      <c r="C113" s="276"/>
      <c r="D113" s="276"/>
      <c r="E113" s="276"/>
    </row>
    <row r="114" spans="1:5" ht="18.75" customHeight="1" x14ac:dyDescent="0.15">
      <c r="A114" s="8"/>
      <c r="B114" s="277" t="s">
        <v>195</v>
      </c>
      <c r="C114" s="260"/>
      <c r="D114" s="260"/>
      <c r="E114" s="261"/>
    </row>
    <row r="115" spans="1:5" ht="18.75" customHeight="1" x14ac:dyDescent="0.15">
      <c r="A115" s="8"/>
      <c r="B115" s="262"/>
      <c r="C115" s="263"/>
      <c r="D115" s="263"/>
      <c r="E115" s="264"/>
    </row>
    <row r="116" spans="1:5" ht="18.75" customHeight="1" x14ac:dyDescent="0.15">
      <c r="A116" s="8"/>
      <c r="B116" s="262"/>
      <c r="C116" s="263"/>
      <c r="D116" s="263"/>
      <c r="E116" s="264"/>
    </row>
    <row r="117" spans="1:5" ht="18.75" customHeight="1" x14ac:dyDescent="0.15">
      <c r="A117" s="8"/>
      <c r="B117" s="262"/>
      <c r="C117" s="263"/>
      <c r="D117" s="263"/>
      <c r="E117" s="264"/>
    </row>
    <row r="118" spans="1:5" ht="18.75" customHeight="1" x14ac:dyDescent="0.15">
      <c r="A118" s="8"/>
      <c r="B118" s="262"/>
      <c r="C118" s="263"/>
      <c r="D118" s="263"/>
      <c r="E118" s="264"/>
    </row>
    <row r="119" spans="1:5" ht="18.75" customHeight="1" x14ac:dyDescent="0.15">
      <c r="A119" s="8"/>
      <c r="B119" s="262"/>
      <c r="C119" s="263"/>
      <c r="D119" s="263"/>
      <c r="E119" s="264"/>
    </row>
    <row r="120" spans="1:5" ht="18.75" customHeight="1" x14ac:dyDescent="0.15">
      <c r="A120" s="8"/>
      <c r="B120" s="262"/>
      <c r="C120" s="263"/>
      <c r="D120" s="263"/>
      <c r="E120" s="264"/>
    </row>
    <row r="121" spans="1:5" ht="18.75" customHeight="1" x14ac:dyDescent="0.15">
      <c r="A121" s="8"/>
      <c r="B121" s="262"/>
      <c r="C121" s="263"/>
      <c r="D121" s="263"/>
      <c r="E121" s="264"/>
    </row>
    <row r="122" spans="1:5" ht="18.75" customHeight="1" x14ac:dyDescent="0.15">
      <c r="A122" s="8"/>
      <c r="B122" s="262"/>
      <c r="C122" s="263"/>
      <c r="D122" s="263"/>
      <c r="E122" s="264"/>
    </row>
    <row r="123" spans="1:5" ht="18.75" customHeight="1" x14ac:dyDescent="0.15">
      <c r="A123" s="8"/>
      <c r="B123" s="262"/>
      <c r="C123" s="263"/>
      <c r="D123" s="263"/>
      <c r="E123" s="264"/>
    </row>
    <row r="124" spans="1:5" ht="18.75" customHeight="1" x14ac:dyDescent="0.15">
      <c r="A124" s="8"/>
      <c r="B124" s="262"/>
      <c r="C124" s="263"/>
      <c r="D124" s="263"/>
      <c r="E124" s="264"/>
    </row>
    <row r="125" spans="1:5" ht="18.75" customHeight="1" x14ac:dyDescent="0.15">
      <c r="A125" s="8"/>
      <c r="B125" s="262"/>
      <c r="C125" s="263"/>
      <c r="D125" s="263"/>
      <c r="E125" s="264"/>
    </row>
    <row r="126" spans="1:5" ht="18.75" customHeight="1" x14ac:dyDescent="0.15">
      <c r="A126" s="8"/>
      <c r="B126" s="262"/>
      <c r="C126" s="263"/>
      <c r="D126" s="263"/>
      <c r="E126" s="264"/>
    </row>
    <row r="127" spans="1:5" ht="18.75" customHeight="1" x14ac:dyDescent="0.15">
      <c r="A127" s="8"/>
      <c r="B127" s="262"/>
      <c r="C127" s="263"/>
      <c r="D127" s="263"/>
      <c r="E127" s="264"/>
    </row>
    <row r="128" spans="1:5" ht="18.75" customHeight="1" x14ac:dyDescent="0.15">
      <c r="A128" s="8"/>
      <c r="B128" s="262"/>
      <c r="C128" s="263"/>
      <c r="D128" s="263"/>
      <c r="E128" s="264"/>
    </row>
    <row r="129" spans="1:5" ht="18.75" customHeight="1" x14ac:dyDescent="0.15">
      <c r="A129" s="8"/>
      <c r="B129" s="262"/>
      <c r="C129" s="263"/>
      <c r="D129" s="263"/>
      <c r="E129" s="264"/>
    </row>
    <row r="130" spans="1:5" ht="18.75" customHeight="1" x14ac:dyDescent="0.15">
      <c r="A130" s="8"/>
      <c r="B130" s="262"/>
      <c r="C130" s="263"/>
      <c r="D130" s="263"/>
      <c r="E130" s="264"/>
    </row>
    <row r="131" spans="1:5" ht="18.75" customHeight="1" x14ac:dyDescent="0.15">
      <c r="A131" s="8"/>
      <c r="B131" s="262"/>
      <c r="C131" s="263"/>
      <c r="D131" s="263"/>
      <c r="E131" s="264"/>
    </row>
    <row r="132" spans="1:5" ht="18.75" customHeight="1" x14ac:dyDescent="0.15">
      <c r="A132" s="8"/>
      <c r="B132" s="262"/>
      <c r="C132" s="263"/>
      <c r="D132" s="263"/>
      <c r="E132" s="264"/>
    </row>
    <row r="133" spans="1:5" ht="18.75" customHeight="1" x14ac:dyDescent="0.15">
      <c r="A133" s="8"/>
      <c r="B133" s="265"/>
      <c r="C133" s="266"/>
      <c r="D133" s="266"/>
      <c r="E133" s="267"/>
    </row>
    <row r="134" spans="1:5" ht="7.5" customHeight="1" x14ac:dyDescent="0.15">
      <c r="A134" s="8"/>
      <c r="B134" s="12"/>
      <c r="C134" s="12"/>
      <c r="D134" s="12"/>
      <c r="E134" s="12"/>
    </row>
    <row r="135" spans="1:5" ht="18.75" customHeight="1" x14ac:dyDescent="0.15">
      <c r="A135" s="8"/>
      <c r="B135" s="8"/>
      <c r="C135" s="8"/>
      <c r="D135" s="8"/>
      <c r="E135" s="8"/>
    </row>
    <row r="136" spans="1:5" ht="18.75" customHeight="1" x14ac:dyDescent="0.15">
      <c r="A136" s="8"/>
      <c r="B136" s="8"/>
      <c r="C136" s="8"/>
      <c r="D136" s="8"/>
      <c r="E136" s="8"/>
    </row>
    <row r="137" spans="1:5" ht="18.75" customHeight="1" x14ac:dyDescent="0.15">
      <c r="A137" s="8"/>
      <c r="B137" s="8"/>
      <c r="C137" s="8"/>
      <c r="D137" s="8"/>
      <c r="E137" s="8"/>
    </row>
    <row r="138" spans="1:5" ht="18.75" customHeight="1" x14ac:dyDescent="0.15">
      <c r="A138" s="8"/>
      <c r="B138" s="8"/>
      <c r="C138" s="8"/>
      <c r="D138" s="8"/>
      <c r="E138" s="8"/>
    </row>
    <row r="139" spans="1:5" ht="18.75" customHeight="1" x14ac:dyDescent="0.15">
      <c r="A139" s="8"/>
      <c r="B139" s="8"/>
      <c r="C139" s="8"/>
      <c r="D139" s="8"/>
      <c r="E139" s="8"/>
    </row>
    <row r="140" spans="1:5" ht="18.75" customHeight="1" x14ac:dyDescent="0.15">
      <c r="A140" s="8"/>
      <c r="B140" s="8"/>
      <c r="C140" s="8"/>
      <c r="D140" s="8"/>
      <c r="E140" s="8"/>
    </row>
    <row r="141" spans="1:5" ht="18.75" customHeight="1" x14ac:dyDescent="0.15">
      <c r="A141" s="8"/>
      <c r="B141" s="8"/>
      <c r="C141" s="8"/>
      <c r="D141" s="8"/>
      <c r="E141" s="8"/>
    </row>
    <row r="142" spans="1:5" ht="18.75" customHeight="1" x14ac:dyDescent="0.15">
      <c r="A142" s="8"/>
      <c r="B142" s="8"/>
      <c r="C142" s="8"/>
      <c r="D142" s="8"/>
      <c r="E142" s="8"/>
    </row>
    <row r="143" spans="1:5" ht="18.75" customHeight="1" x14ac:dyDescent="0.15">
      <c r="A143" s="8"/>
      <c r="B143" s="8"/>
      <c r="C143" s="8"/>
      <c r="D143" s="8"/>
      <c r="E143" s="8"/>
    </row>
    <row r="144" spans="1:5" ht="18.75" customHeight="1" x14ac:dyDescent="0.15">
      <c r="A144" s="8"/>
      <c r="B144" s="8"/>
      <c r="C144" s="8"/>
      <c r="D144" s="8"/>
      <c r="E144" s="8"/>
    </row>
    <row r="145" spans="1:5" ht="18.75" customHeight="1" x14ac:dyDescent="0.15">
      <c r="A145" s="8"/>
      <c r="B145" s="8"/>
      <c r="C145" s="8"/>
      <c r="D145" s="8"/>
      <c r="E145" s="8"/>
    </row>
    <row r="146" spans="1:5" ht="18.75" customHeight="1" x14ac:dyDescent="0.15">
      <c r="A146" s="8"/>
      <c r="B146" s="8"/>
      <c r="C146" s="8"/>
      <c r="D146" s="8"/>
      <c r="E146" s="8"/>
    </row>
    <row r="147" spans="1:5" ht="14.25" x14ac:dyDescent="0.15">
      <c r="A147" s="8"/>
      <c r="B147" s="8"/>
      <c r="C147" s="8"/>
      <c r="D147" s="8"/>
      <c r="E147" s="8"/>
    </row>
    <row r="148" spans="1:5" ht="7.5" customHeight="1" x14ac:dyDescent="0.15">
      <c r="A148" s="4"/>
      <c r="B148" s="4"/>
      <c r="C148" s="4"/>
      <c r="D148" s="4"/>
      <c r="E148" s="4"/>
    </row>
  </sheetData>
  <mergeCells count="11">
    <mergeCell ref="B71:E89"/>
    <mergeCell ref="B92:E111"/>
    <mergeCell ref="B113:E113"/>
    <mergeCell ref="B114:E133"/>
    <mergeCell ref="D2:E2"/>
    <mergeCell ref="B4:E4"/>
    <mergeCell ref="B10:E14"/>
    <mergeCell ref="B17:E32"/>
    <mergeCell ref="B35: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topLeftCell="A16" zoomScaleNormal="100" workbookViewId="0">
      <selection activeCell="B21" sqref="B21"/>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x14ac:dyDescent="0.15">
      <c r="J1" s="24" t="s">
        <v>8</v>
      </c>
    </row>
    <row r="2" spans="1:10" ht="18.75" customHeight="1" x14ac:dyDescent="0.15">
      <c r="D2" s="24"/>
      <c r="H2" s="24" t="s">
        <v>28</v>
      </c>
      <c r="I2" s="278" t="s">
        <v>141</v>
      </c>
      <c r="J2" s="278"/>
    </row>
    <row r="3" spans="1:10" ht="18.75" customHeight="1" x14ac:dyDescent="0.15">
      <c r="A3" s="155" t="s">
        <v>46</v>
      </c>
      <c r="B3" s="155"/>
      <c r="C3" s="155"/>
      <c r="D3" s="155"/>
      <c r="E3" s="155"/>
      <c r="F3" s="155"/>
      <c r="G3" s="155"/>
      <c r="H3" s="155"/>
      <c r="I3" s="155"/>
      <c r="J3" s="155"/>
    </row>
    <row r="4" spans="1:10" ht="7.5" customHeight="1" x14ac:dyDescent="0.15">
      <c r="B4" s="27"/>
      <c r="C4" s="27"/>
      <c r="D4" s="312"/>
      <c r="E4" s="313"/>
      <c r="F4" s="313"/>
      <c r="G4" s="313"/>
      <c r="H4" s="313"/>
      <c r="I4" s="313"/>
      <c r="J4" s="313"/>
    </row>
    <row r="5" spans="1:10" ht="18.75" customHeight="1" x14ac:dyDescent="0.15">
      <c r="A5" s="1" t="s">
        <v>6</v>
      </c>
      <c r="B5" s="5" t="s">
        <v>44</v>
      </c>
      <c r="C5" s="27"/>
      <c r="D5" s="27"/>
      <c r="E5" s="28"/>
      <c r="F5" s="30"/>
      <c r="G5" s="32"/>
      <c r="H5" s="30"/>
      <c r="I5" s="28"/>
      <c r="J5" s="28"/>
    </row>
    <row r="6" spans="1:10" ht="18.75" customHeight="1" x14ac:dyDescent="0.15">
      <c r="B6" s="206" t="s">
        <v>41</v>
      </c>
      <c r="C6" s="207"/>
      <c r="D6" s="208"/>
      <c r="E6" s="169" t="s">
        <v>43</v>
      </c>
      <c r="F6" s="169"/>
      <c r="G6" s="169"/>
      <c r="H6" s="169"/>
      <c r="I6" s="169"/>
      <c r="J6" s="170"/>
    </row>
    <row r="7" spans="1:10" ht="18.75" customHeight="1" x14ac:dyDescent="0.15">
      <c r="B7" s="6" t="s">
        <v>31</v>
      </c>
      <c r="C7" s="8"/>
      <c r="D7" s="18"/>
      <c r="E7" s="3"/>
      <c r="F7" s="3"/>
      <c r="G7" s="3"/>
      <c r="H7" s="3"/>
      <c r="I7" s="15"/>
      <c r="J7" s="16"/>
    </row>
    <row r="8" spans="1:10" ht="202.5" customHeight="1" x14ac:dyDescent="0.15">
      <c r="B8" s="17"/>
      <c r="C8" s="307" t="s">
        <v>32</v>
      </c>
      <c r="D8" s="308"/>
      <c r="E8" s="314" t="s">
        <v>196</v>
      </c>
      <c r="F8" s="315"/>
      <c r="G8" s="315"/>
      <c r="H8" s="315"/>
      <c r="I8" s="315"/>
      <c r="J8" s="316"/>
    </row>
    <row r="9" spans="1:10" ht="202.5" customHeight="1" x14ac:dyDescent="0.15">
      <c r="B9" s="17"/>
      <c r="C9" s="326" t="s">
        <v>33</v>
      </c>
      <c r="D9" s="327"/>
      <c r="E9" s="317" t="s">
        <v>158</v>
      </c>
      <c r="F9" s="318"/>
      <c r="G9" s="318"/>
      <c r="H9" s="318"/>
      <c r="I9" s="318"/>
      <c r="J9" s="319"/>
    </row>
    <row r="10" spans="1:10" ht="172.5" customHeight="1" x14ac:dyDescent="0.15">
      <c r="B10" s="17"/>
      <c r="C10" s="307" t="s">
        <v>34</v>
      </c>
      <c r="D10" s="308"/>
      <c r="E10" s="309" t="s">
        <v>160</v>
      </c>
      <c r="F10" s="318"/>
      <c r="G10" s="318"/>
      <c r="H10" s="318"/>
      <c r="I10" s="318"/>
      <c r="J10" s="319"/>
    </row>
    <row r="11" spans="1:10" ht="172.5" customHeight="1" x14ac:dyDescent="0.15">
      <c r="B11" s="17"/>
      <c r="C11" s="307" t="s">
        <v>35</v>
      </c>
      <c r="D11" s="308"/>
      <c r="E11" s="320" t="s">
        <v>192</v>
      </c>
      <c r="F11" s="321"/>
      <c r="G11" s="321"/>
      <c r="H11" s="321"/>
      <c r="I11" s="321"/>
      <c r="J11" s="322"/>
    </row>
    <row r="12" spans="1:10" ht="172.5" customHeight="1" x14ac:dyDescent="0.15">
      <c r="B12" s="17"/>
      <c r="C12" s="307" t="s">
        <v>36</v>
      </c>
      <c r="D12" s="308"/>
      <c r="E12" s="309" t="s">
        <v>185</v>
      </c>
      <c r="F12" s="310"/>
      <c r="G12" s="310"/>
      <c r="H12" s="310"/>
      <c r="I12" s="310"/>
      <c r="J12" s="311"/>
    </row>
    <row r="13" spans="1:10" ht="18.75" customHeight="1" x14ac:dyDescent="0.15">
      <c r="B13" s="20" t="s">
        <v>37</v>
      </c>
      <c r="C13" s="29"/>
      <c r="D13" s="19"/>
      <c r="E13" s="38"/>
      <c r="F13" s="38"/>
      <c r="G13" s="38"/>
      <c r="H13" s="38"/>
      <c r="I13" s="38"/>
      <c r="J13" s="39"/>
    </row>
    <row r="14" spans="1:10" ht="255" customHeight="1" x14ac:dyDescent="0.15">
      <c r="B14" s="17"/>
      <c r="C14" s="307" t="s">
        <v>38</v>
      </c>
      <c r="D14" s="308"/>
      <c r="E14" s="318" t="s">
        <v>181</v>
      </c>
      <c r="F14" s="318"/>
      <c r="G14" s="318"/>
      <c r="H14" s="318"/>
      <c r="I14" s="318"/>
      <c r="J14" s="319"/>
    </row>
    <row r="15" spans="1:10" ht="255" customHeight="1" x14ac:dyDescent="0.15">
      <c r="B15" s="17"/>
      <c r="C15" s="328" t="s">
        <v>39</v>
      </c>
      <c r="D15" s="329"/>
      <c r="E15" s="330" t="s">
        <v>182</v>
      </c>
      <c r="F15" s="331"/>
      <c r="G15" s="331"/>
      <c r="H15" s="331"/>
      <c r="I15" s="331"/>
      <c r="J15" s="332"/>
    </row>
    <row r="16" spans="1:10" ht="232.5" customHeight="1" x14ac:dyDescent="0.15">
      <c r="B16" s="333" t="s">
        <v>40</v>
      </c>
      <c r="C16" s="334"/>
      <c r="D16" s="308"/>
      <c r="E16" s="310" t="s">
        <v>180</v>
      </c>
      <c r="F16" s="318"/>
      <c r="G16" s="318"/>
      <c r="H16" s="318"/>
      <c r="I16" s="318"/>
      <c r="J16" s="319"/>
    </row>
    <row r="17" spans="1:10" ht="232.5" customHeight="1" x14ac:dyDescent="0.15">
      <c r="A17" s="37"/>
      <c r="B17" s="323" t="s">
        <v>78</v>
      </c>
      <c r="C17" s="324"/>
      <c r="D17" s="325"/>
      <c r="E17" s="302" t="s">
        <v>159</v>
      </c>
      <c r="F17" s="302"/>
      <c r="G17" s="302"/>
      <c r="H17" s="302"/>
      <c r="I17" s="302"/>
      <c r="J17" s="303"/>
    </row>
    <row r="18" spans="1:10" ht="7.5" customHeight="1" x14ac:dyDescent="0.15">
      <c r="B18" s="27"/>
      <c r="C18" s="27"/>
      <c r="D18" s="27"/>
      <c r="E18" s="28"/>
      <c r="F18" s="30"/>
      <c r="G18" s="32"/>
      <c r="H18" s="30"/>
      <c r="I18" s="28"/>
      <c r="J18" s="28"/>
    </row>
    <row r="19" spans="1:10" ht="18.75" customHeight="1" x14ac:dyDescent="0.15">
      <c r="B19" s="5"/>
      <c r="C19" s="35"/>
      <c r="D19" s="35"/>
      <c r="E19" s="36"/>
      <c r="F19" s="33"/>
      <c r="G19" s="33"/>
      <c r="H19" s="44" t="s">
        <v>104</v>
      </c>
      <c r="I19" s="40"/>
      <c r="J19" s="126"/>
    </row>
    <row r="20" spans="1:10" ht="18.75" customHeight="1" x14ac:dyDescent="0.15">
      <c r="A20" s="3" t="s">
        <v>11</v>
      </c>
      <c r="B20" s="41" t="s">
        <v>45</v>
      </c>
      <c r="C20" s="42"/>
      <c r="D20" s="42"/>
      <c r="E20" s="43"/>
      <c r="F20" s="82" t="s">
        <v>198</v>
      </c>
      <c r="G20" s="33"/>
      <c r="H20" s="247" t="s">
        <v>155</v>
      </c>
      <c r="I20" s="248"/>
      <c r="J20" s="249"/>
    </row>
    <row r="21" spans="1:10" ht="22.5" customHeight="1" x14ac:dyDescent="0.15">
      <c r="B21" s="27"/>
      <c r="C21" s="27"/>
      <c r="D21" s="27"/>
      <c r="E21" s="28"/>
      <c r="F21" s="30"/>
      <c r="G21" s="32"/>
      <c r="H21" s="30"/>
      <c r="I21" s="28"/>
      <c r="J21" s="28"/>
    </row>
    <row r="22" spans="1:10" ht="22.5" customHeight="1" x14ac:dyDescent="0.15">
      <c r="B22" s="27"/>
      <c r="C22" s="27"/>
      <c r="D22" s="27"/>
      <c r="E22" s="28"/>
      <c r="F22" s="30"/>
      <c r="G22" s="32"/>
      <c r="H22" s="30"/>
      <c r="I22" s="28"/>
      <c r="J22" s="28"/>
    </row>
    <row r="23" spans="1:10" ht="22.5" customHeight="1" x14ac:dyDescent="0.15">
      <c r="B23" s="27"/>
      <c r="C23" s="27"/>
      <c r="D23" s="27"/>
      <c r="E23" s="28"/>
      <c r="F23" s="30"/>
      <c r="G23" s="32"/>
      <c r="H23" s="30"/>
      <c r="I23" s="28"/>
      <c r="J23" s="28"/>
    </row>
    <row r="24" spans="1:10" ht="22.5" customHeight="1" x14ac:dyDescent="0.15">
      <c r="B24" s="27"/>
      <c r="C24" s="27"/>
      <c r="D24" s="27"/>
      <c r="E24" s="28"/>
      <c r="F24" s="30"/>
      <c r="G24" s="32"/>
      <c r="H24" s="30"/>
      <c r="I24" s="28"/>
      <c r="J24" s="28"/>
    </row>
    <row r="25" spans="1:10" ht="22.5" customHeight="1" x14ac:dyDescent="0.15">
      <c r="B25" s="27"/>
      <c r="C25" s="27"/>
      <c r="D25" s="27"/>
      <c r="E25" s="28"/>
      <c r="F25" s="30"/>
      <c r="G25" s="32"/>
      <c r="H25" s="30"/>
      <c r="I25" s="28"/>
      <c r="J25" s="28"/>
    </row>
    <row r="26" spans="1:10" ht="22.5" customHeight="1" x14ac:dyDescent="0.15">
      <c r="B26" s="13"/>
      <c r="C26" s="13"/>
      <c r="D26" s="13"/>
      <c r="E26" s="13"/>
      <c r="F26" s="13"/>
      <c r="G26" s="13"/>
      <c r="H26" s="13"/>
      <c r="I26" s="13"/>
      <c r="J26" s="13"/>
    </row>
    <row r="27" spans="1:10" ht="22.5" customHeight="1" x14ac:dyDescent="0.15">
      <c r="B27" s="13"/>
      <c r="C27" s="13"/>
      <c r="D27" s="13"/>
      <c r="E27" s="13"/>
      <c r="F27" s="13"/>
      <c r="G27" s="13"/>
      <c r="H27" s="13"/>
      <c r="I27" s="13"/>
      <c r="J27" s="13"/>
    </row>
    <row r="28" spans="1:10" ht="22.5" customHeight="1" x14ac:dyDescent="0.15">
      <c r="B28" s="13"/>
      <c r="C28" s="13"/>
      <c r="D28" s="13"/>
      <c r="E28" s="13"/>
      <c r="F28" s="13"/>
      <c r="G28" s="13"/>
      <c r="H28" s="13"/>
      <c r="I28" s="13"/>
      <c r="J28" s="13"/>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printOptions horizontalCentered="1"/>
  <pageMargins left="0.78740157480314965" right="0.78740157480314965" top="0.78740157480314965" bottom="0.78740157480314965" header="0.31496062992125984" footer="0.31496062992125984"/>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'様式１　大学等概要'!Print_Area</vt:lpstr>
      <vt:lpstr>様式２プログラムを構成する授業科目!Print_Area</vt:lpstr>
      <vt:lpstr>'様式３　履修者等数の実績'!Print_Area</vt:lpstr>
      <vt:lpstr>'様式4　プログラムの授業内容・概要'!Print_Area</vt:lpstr>
      <vt:lpstr>'様式５　教育の質・履修者数を向上させるための体制・計画'!Print_Area</vt:lpstr>
      <vt:lpstr>'様式６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m</cp:lastModifiedBy>
  <cp:lastPrinted>2021-05-13T12:23:45Z</cp:lastPrinted>
  <dcterms:created xsi:type="dcterms:W3CDTF">2011-06-14T05:32:50Z</dcterms:created>
  <dcterms:modified xsi:type="dcterms:W3CDTF">2021-07-15T01:42:42Z</dcterms:modified>
</cp:coreProperties>
</file>