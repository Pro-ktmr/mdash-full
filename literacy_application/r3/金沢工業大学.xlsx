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defaultThemeVersion="124226"/>
  <mc:AlternateContent xmlns:mc="http://schemas.openxmlformats.org/markup-compatibility/2006">
    <mc:Choice Requires="x15">
      <x15ac:absPath xmlns:x15ac="http://schemas.microsoft.com/office/spreadsheetml/2010/11/ac" url="C:\Users\Owner\Box\大学事務局_庶務部_共創教育推進室\補助金関係\2021_数理・DS・AI教育プログラム認制度（リテラシーレベル）\08_文科省_修正指示への対応\"/>
    </mc:Choice>
  </mc:AlternateContent>
  <xr:revisionPtr revIDLastSave="0" documentId="13_ncr:1_{7C8B71A8-1312-412F-8904-1BC5833F0668}" xr6:coauthVersionLast="36" xr6:coauthVersionMax="36" xr10:uidLastSave="{00000000-0000-0000-0000-000000000000}"/>
  <bookViews>
    <workbookView xWindow="0" yWindow="0" windowWidth="16425" windowHeight="5295" tabRatio="885" firstSheet="2" activeTab="5"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3">'様式4　プログラムの授業内容・概要'!$A$1:$G$136</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特色ある取組'!$A$1:$F$128</definedName>
  </definedNames>
  <calcPr calcId="191029"/>
</workbook>
</file>

<file path=xl/calcChain.xml><?xml version="1.0" encoding="utf-8"?>
<calcChain xmlns="http://schemas.openxmlformats.org/spreadsheetml/2006/main">
  <c r="E12" i="31" l="1"/>
  <c r="E28" i="31" s="1"/>
  <c r="F28" i="31"/>
  <c r="D28" i="31"/>
  <c r="P12" i="31"/>
  <c r="O12" i="31"/>
  <c r="N12" i="31"/>
  <c r="M12" i="31"/>
  <c r="L12" i="31"/>
  <c r="K12" i="31"/>
  <c r="J12" i="31"/>
  <c r="I12" i="31"/>
  <c r="H12" i="31"/>
  <c r="G12" i="31"/>
  <c r="F12" i="31"/>
  <c r="D12" i="31"/>
  <c r="Q11" i="31"/>
  <c r="R11" i="31" s="1"/>
  <c r="Q10" i="31"/>
  <c r="R10" i="31" s="1"/>
  <c r="Q9" i="31"/>
  <c r="R9" i="31" s="1"/>
  <c r="Q8" i="31"/>
  <c r="Q12" i="31" l="1"/>
  <c r="R12" i="31" s="1"/>
  <c r="R8" i="31"/>
  <c r="Q28" i="31" l="1"/>
  <c r="R28" i="31" s="1"/>
  <c r="P28" i="31" l="1"/>
  <c r="O28" i="31"/>
  <c r="N28" i="31"/>
  <c r="M28" i="31"/>
  <c r="L28" i="31"/>
  <c r="K28" i="31"/>
  <c r="J28" i="31"/>
  <c r="I28" i="31"/>
  <c r="H28" i="31"/>
  <c r="G28" i="31"/>
</calcChain>
</file>

<file path=xl/sharedStrings.xml><?xml version="1.0" encoding="utf-8"?>
<sst xmlns="http://schemas.openxmlformats.org/spreadsheetml/2006/main" count="300" uniqueCount="226">
  <si>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</si>
  <si>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</si>
  <si>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</si>
  <si>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</si>
  <si>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</si>
  <si>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</si>
  <si>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</si>
  <si>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</si>
  <si>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</si>
  <si>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</si>
  <si>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</si>
  <si>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</si>
  <si>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</si>
  <si>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</si>
  <si>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</si>
  <si>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</si>
  <si>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</si>
  <si>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</si>
  <si>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</si>
  <si>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</si>
  <si>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</si>
  <si>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</si>
  <si>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</si>
  <si>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</si>
  <si>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</si>
  <si>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</si>
  <si>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</si>
  <si>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</si>
  <si>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</si>
  <si>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</si>
  <si>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</si>
  <si>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</si>
  <si>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</si>
  <si>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</si>
  <si>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</si>
  <si>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</si>
  <si>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学外からの視点</t>
    <rPh sb="0" eb="2">
      <t>ガクガイ</t>
    </rPh>
    <rPh sb="5" eb="7">
      <t>シテン</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</si>
  <si>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</si>
  <si>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</si>
  <si>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</si>
  <si>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</si>
  <si>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</si>
  <si>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</si>
  <si>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</si>
  <si>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</si>
  <si>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</si>
  <si>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</si>
  <si>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</si>
  <si>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</si>
  <si>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</si>
  <si>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</si>
  <si>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</si>
  <si>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</si>
  <si>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</si>
  <si>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</si>
  <si>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</si>
  <si>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</si>
  <si>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</si>
  <si>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</si>
  <si>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</si>
  <si>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</si>
  <si>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</si>
  <si>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</si>
  <si>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</si>
  <si>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</si>
  <si>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</si>
  <si>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</si>
  <si>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</si>
  <si>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</si>
  <si>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</si>
  <si>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</si>
  <si>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</si>
  <si>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</si>
  <si>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</si>
  <si>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</si>
  <si>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</si>
  <si>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</si>
  <si>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</si>
  <si>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</si>
  <si>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</si>
  <si>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</si>
  <si>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</si>
  <si>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</si>
  <si>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</si>
  <si>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</si>
  <si>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</si>
  <si>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</si>
  <si>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</si>
  <si>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</si>
  <si>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</si>
  <si>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</si>
  <si>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</si>
  <si>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</si>
  <si>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</si>
  <si>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</si>
  <si>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</si>
  <si>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</si>
  <si>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</si>
  <si>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</si>
  <si>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</si>
  <si>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</si>
  <si>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</si>
  <si>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</si>
  <si>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</si>
  <si>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</si>
  <si>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</si>
  <si>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</si>
  <si>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</si>
  <si>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</si>
  <si>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</si>
  <si>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</si>
  <si>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</si>
  <si>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</si>
  <si>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</si>
  <si>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</si>
  <si>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</si>
  <si>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</si>
  <si>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</si>
  <si>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</si>
  <si>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</si>
  <si>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</si>
  <si>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</si>
  <si>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</si>
  <si>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金沢工業大学</t>
    <rPh sb="0" eb="6">
      <t>カナザワコウギョウダイガク</t>
    </rPh>
    <phoneticPr fontId="1"/>
  </si>
  <si>
    <t>学校法人金沢工業大学</t>
    <rPh sb="0" eb="4">
      <t>ガッコウホウジン</t>
    </rPh>
    <rPh sb="4" eb="10">
      <t>カナザワコウギョウダイガク</t>
    </rPh>
    <phoneticPr fontId="1"/>
  </si>
  <si>
    <t>私立大学</t>
  </si>
  <si>
    <t>石川県野々市市扇が丘7番1号</t>
    <rPh sb="0" eb="3">
      <t>イシカワケン</t>
    </rPh>
    <rPh sb="3" eb="7">
      <t>ノノイチシ</t>
    </rPh>
    <rPh sb="7" eb="8">
      <t>オウギ</t>
    </rPh>
    <rPh sb="9" eb="10">
      <t>オカ</t>
    </rPh>
    <rPh sb="11" eb="12">
      <t>バン</t>
    </rPh>
    <rPh sb="13" eb="14">
      <t>ゴウ</t>
    </rPh>
    <phoneticPr fontId="1"/>
  </si>
  <si>
    <t>令和2年度</t>
    <rPh sb="0" eb="2">
      <t>レイワ</t>
    </rPh>
    <rPh sb="3" eb="5">
      <t>ネンド</t>
    </rPh>
    <phoneticPr fontId="1"/>
  </si>
  <si>
    <t>大学事務局 庶務部 共創教育推進室</t>
    <rPh sb="0" eb="5">
      <t>ダイガクジムキョク</t>
    </rPh>
    <rPh sb="6" eb="9">
      <t>ショムブ</t>
    </rPh>
    <rPh sb="10" eb="17">
      <t>キョウソウキョウイクスイシンシツ</t>
    </rPh>
    <phoneticPr fontId="1"/>
  </si>
  <si>
    <t>kyousou-jimu@mlist.kanazawa-it.ac.jp</t>
    <phoneticPr fontId="1"/>
  </si>
  <si>
    <t>076-294-6743</t>
    <phoneticPr fontId="1"/>
  </si>
  <si>
    <t>学部・学科によって、修了要件は相違しない</t>
  </si>
  <si>
    <t>AI基礎</t>
    <rPh sb="2" eb="4">
      <t>キソ</t>
    </rPh>
    <phoneticPr fontId="1"/>
  </si>
  <si>
    <t>ICT基礎</t>
    <rPh sb="3" eb="5">
      <t>キソ</t>
    </rPh>
    <phoneticPr fontId="1"/>
  </si>
  <si>
    <t>プロジェクトデザイン入門（実験）</t>
    <rPh sb="10" eb="12">
      <t>ニュウモン</t>
    </rPh>
    <rPh sb="13" eb="15">
      <t>ジッケン</t>
    </rPh>
    <phoneticPr fontId="1"/>
  </si>
  <si>
    <t>工学部（工学）</t>
    <rPh sb="0" eb="3">
      <t>コウガクブ</t>
    </rPh>
    <rPh sb="4" eb="6">
      <t>コウガク</t>
    </rPh>
    <phoneticPr fontId="1"/>
  </si>
  <si>
    <t>バイオ・化学部（工学）</t>
    <rPh sb="4" eb="7">
      <t>カガクブ</t>
    </rPh>
    <rPh sb="8" eb="10">
      <t>コウガク</t>
    </rPh>
    <phoneticPr fontId="1"/>
  </si>
  <si>
    <t>建築学部（工学）</t>
    <rPh sb="0" eb="4">
      <t>ケンチクガクブ</t>
    </rPh>
    <rPh sb="5" eb="7">
      <t>コウガク</t>
    </rPh>
    <phoneticPr fontId="1"/>
  </si>
  <si>
    <t>金沢工業大学</t>
    <rPh sb="0" eb="6">
      <t>カナザワコウギョウダイガク</t>
    </rPh>
    <phoneticPr fontId="1"/>
  </si>
  <si>
    <t>プログラムの学修成果（学生等が身に付けられる能力等）</t>
    <phoneticPr fontId="1"/>
  </si>
  <si>
    <t>認定教育プログラムと認定教育プログラム+（プラス）</t>
  </si>
  <si>
    <t>西川紀子</t>
    <rPh sb="0" eb="2">
      <t>ニシカワ</t>
    </rPh>
    <rPh sb="2" eb="4">
      <t>ノリコ</t>
    </rPh>
    <phoneticPr fontId="1"/>
  </si>
  <si>
    <t>生涯学習特別講義（データサイエンス応用）</t>
    <rPh sb="17" eb="19">
      <t>オウヨウ</t>
    </rPh>
    <phoneticPr fontId="1"/>
  </si>
  <si>
    <t>情報フロンティア学部（工学）</t>
    <rPh sb="0" eb="2">
      <t>ジョウホウ</t>
    </rPh>
    <rPh sb="8" eb="10">
      <t>ガクブ</t>
    </rPh>
    <rPh sb="11" eb="13">
      <t>コウガク</t>
    </rPh>
    <phoneticPr fontId="1"/>
  </si>
  <si>
    <t>大澤　敏</t>
    <rPh sb="0" eb="2">
      <t>オオサワ</t>
    </rPh>
    <rPh sb="3" eb="4">
      <t>サトシ</t>
    </rPh>
    <phoneticPr fontId="1"/>
  </si>
  <si>
    <t>学長</t>
    <rPh sb="0" eb="2">
      <t>ガクチョウ</t>
    </rPh>
    <phoneticPr fontId="1"/>
  </si>
  <si>
    <t>様式２</t>
    <rPh sb="0" eb="2">
      <t>ヨウシキ</t>
    </rPh>
    <phoneticPr fontId="1"/>
  </si>
  <si>
    <t>様式４</t>
    <rPh sb="0" eb="2">
      <t>ヨウシキ</t>
    </rPh>
    <phoneticPr fontId="1"/>
  </si>
  <si>
    <t>　　</t>
    <phoneticPr fontId="1"/>
  </si>
  <si>
    <t>生涯学習特別講義（データサイエンス応用）</t>
    <phoneticPr fontId="1"/>
  </si>
  <si>
    <t>生涯学習特別講義（データサイエンス基礎）</t>
    <phoneticPr fontId="1"/>
  </si>
  <si>
    <t>生涯学習特別講義（AIプログラミング入門）</t>
    <rPh sb="18" eb="20">
      <t>ニュウモン</t>
    </rPh>
    <phoneticPr fontId="1"/>
  </si>
  <si>
    <t>生涯学習特別講義（AI応用Ⅰ）</t>
    <rPh sb="11" eb="13">
      <t>オウヨウ</t>
    </rPh>
    <phoneticPr fontId="1"/>
  </si>
  <si>
    <t>生涯学習特別講義（AI応用Ⅱ）</t>
    <rPh sb="11" eb="13">
      <t>オウヨウ</t>
    </rPh>
    <phoneticPr fontId="1"/>
  </si>
  <si>
    <t>修学基礎A</t>
    <rPh sb="0" eb="2">
      <t>シュウガク</t>
    </rPh>
    <rPh sb="2" eb="4">
      <t>キソ</t>
    </rPh>
    <phoneticPr fontId="1"/>
  </si>
  <si>
    <t>AI基礎</t>
    <rPh sb="2" eb="4">
      <t>キソ</t>
    </rPh>
    <phoneticPr fontId="1"/>
  </si>
  <si>
    <t>学長講話：本学の教育の特長とSociety5.0人材の育成（2）</t>
    <rPh sb="5" eb="7">
      <t>ホンガク</t>
    </rPh>
    <rPh sb="8" eb="10">
      <t>キョウイク</t>
    </rPh>
    <rPh sb="11" eb="13">
      <t>トクチョウ</t>
    </rPh>
    <rPh sb="24" eb="26">
      <t>ジンザイ</t>
    </rPh>
    <rPh sb="27" eb="29">
      <t>イクセイ</t>
    </rPh>
    <phoneticPr fontId="1"/>
  </si>
  <si>
    <t>AIの基本的働きの概要（AIモデルの紹介・画像認識の使用例）（1）</t>
    <rPh sb="18" eb="20">
      <t>ショウカイ</t>
    </rPh>
    <rPh sb="21" eb="23">
      <t>ガゾウ</t>
    </rPh>
    <rPh sb="23" eb="25">
      <t>ニンシキ</t>
    </rPh>
    <rPh sb="26" eb="29">
      <t>シヨウレイ</t>
    </rPh>
    <phoneticPr fontId="1"/>
  </si>
  <si>
    <t>学長講話：本学の教育の特長とSociety5.0人材の育成（2）、学部長・学科主任講話：専門領域と研究活動について（3）</t>
    <rPh sb="5" eb="7">
      <t>ホンガク</t>
    </rPh>
    <rPh sb="8" eb="10">
      <t>キョウイク</t>
    </rPh>
    <rPh sb="11" eb="13">
      <t>トクチョウ</t>
    </rPh>
    <rPh sb="24" eb="26">
      <t>ジンザイ</t>
    </rPh>
    <rPh sb="27" eb="29">
      <t>イクセイ</t>
    </rPh>
    <rPh sb="44" eb="46">
      <t>センモン</t>
    </rPh>
    <rPh sb="46" eb="48">
      <t>リョウイキ</t>
    </rPh>
    <rPh sb="49" eb="53">
      <t>ケンキュウカツドウ</t>
    </rPh>
    <phoneticPr fontId="1"/>
  </si>
  <si>
    <t>AIに関連する法令・倫理問題（2）</t>
    <rPh sb="3" eb="5">
      <t>カンレン</t>
    </rPh>
    <rPh sb="7" eb="9">
      <t>ホウレイ</t>
    </rPh>
    <rPh sb="10" eb="14">
      <t>リンリモンダイ</t>
    </rPh>
    <phoneticPr fontId="1"/>
  </si>
  <si>
    <t>実験・実習によるデータの収集→整理→分析→仮説→視覚化→報告するに要する「データ取り扱いスキル」の基本を学習する（1～30）※学科ごとに異なる</t>
    <rPh sb="0" eb="2">
      <t>ジッケン</t>
    </rPh>
    <rPh sb="3" eb="5">
      <t>ジッシュウ</t>
    </rPh>
    <rPh sb="63" eb="65">
      <t>ガッカ</t>
    </rPh>
    <rPh sb="68" eb="69">
      <t>コト</t>
    </rPh>
    <phoneticPr fontId="1"/>
  </si>
  <si>
    <t>プロジェクトデザインⅠ</t>
    <phoneticPr fontId="1"/>
  </si>
  <si>
    <t>技術者のための統計、生涯学習特別講義（データサイエンス基礎）</t>
    <rPh sb="0" eb="3">
      <t>ギジュツシャ</t>
    </rPh>
    <rPh sb="7" eb="9">
      <t>トウケイ</t>
    </rPh>
    <rPh sb="10" eb="14">
      <t>トクベツコウギ</t>
    </rPh>
    <rPh sb="23" eb="25">
      <t>キソ</t>
    </rPh>
    <phoneticPr fontId="1"/>
  </si>
  <si>
    <t>生涯学習特別講義（AIプログラミング入門）、生涯学習特別講義（データサイエンス応用）、生涯学習特別講義（IoT基礎）、生涯学習特別講義（IoTプログラミング入門）、生涯学習特別講義（IoT応用）、生涯学習特別講義（ロボティクス基礎）、生涯学習特別講義（エンベデッドシステム）、生涯学習特別講義（情報ネットワーク基礎）、生涯学習特別講義（ネットワークセキュリティ）</t>
    <rPh sb="39" eb="41">
      <t>オウヨウ</t>
    </rPh>
    <rPh sb="43" eb="45">
      <t>ショウガイ</t>
    </rPh>
    <rPh sb="45" eb="47">
      <t>ガクシュウ</t>
    </rPh>
    <rPh sb="47" eb="51">
      <t>トクベツコウギ</t>
    </rPh>
    <rPh sb="55" eb="57">
      <t>キソ</t>
    </rPh>
    <rPh sb="78" eb="80">
      <t>ニュウモン</t>
    </rPh>
    <rPh sb="94" eb="96">
      <t>オウヨウ</t>
    </rPh>
    <rPh sb="147" eb="149">
      <t>ジョウホウ</t>
    </rPh>
    <rPh sb="155" eb="157">
      <t>キソ</t>
    </rPh>
    <phoneticPr fontId="1"/>
  </si>
  <si>
    <t>生涯学習特別講義（AIプログラミング入門）、生涯学習特別講義（AI応用Ⅰ）、生涯学習特別講義（データサイエンス応用）、生涯学習特別講義（IoT基礎）、生涯学習特別講義（IoTプログラミング入門）、生涯学習特別講義（IoT応用）、生涯学習特別講義（ロボティクス基礎）、生涯学習特別講義（エンベデッドシステム）</t>
    <rPh sb="18" eb="20">
      <t>ニュウモン</t>
    </rPh>
    <rPh sb="55" eb="57">
      <t>オウヨウ</t>
    </rPh>
    <phoneticPr fontId="1"/>
  </si>
  <si>
    <t>生涯学習特別講義（IoT応用）</t>
    <rPh sb="12" eb="14">
      <t>オウヨウ</t>
    </rPh>
    <phoneticPr fontId="1"/>
  </si>
  <si>
    <t>生涯学習特別講義（データサイエンス基礎）、生涯学習特別講義（データサイエンス応用）、生涯学習特別講義（IoT基礎）、生涯学習特別講義（IoTプログラミング入門）、生涯学習特別講義（IoT応用）、生涯学習特別講義（エンベデッドシステム）</t>
    <phoneticPr fontId="1"/>
  </si>
  <si>
    <t>http://www.kanazawa-it.ac.jp/mdash/</t>
    <phoneticPr fontId="1"/>
  </si>
  <si>
    <t>金沢工業大学数理データサイエンス教育推進委員会規程</t>
    <rPh sb="0" eb="2">
      <t>カナザワ</t>
    </rPh>
    <rPh sb="2" eb="4">
      <t>コウギョウ</t>
    </rPh>
    <rPh sb="4" eb="6">
      <t>ダイガク</t>
    </rPh>
    <rPh sb="6" eb="8">
      <t>スウリ</t>
    </rPh>
    <rPh sb="16" eb="18">
      <t>キョウイク</t>
    </rPh>
    <rPh sb="18" eb="20">
      <t>スイシン</t>
    </rPh>
    <rPh sb="20" eb="23">
      <t>イインカイ</t>
    </rPh>
    <rPh sb="23" eb="25">
      <t>キテイ</t>
    </rPh>
    <phoneticPr fontId="1"/>
  </si>
  <si>
    <t>森本　喜隆</t>
    <rPh sb="0" eb="2">
      <t>モリモト</t>
    </rPh>
    <rPh sb="3" eb="4">
      <t>キ</t>
    </rPh>
    <rPh sb="4" eb="5">
      <t>タカシ</t>
    </rPh>
    <phoneticPr fontId="1"/>
  </si>
  <si>
    <t>教務部長・教授</t>
    <rPh sb="0" eb="4">
      <t>キョウムブチョウ</t>
    </rPh>
    <rPh sb="5" eb="7">
      <t>キョウジュ</t>
    </rPh>
    <phoneticPr fontId="1"/>
  </si>
  <si>
    <t>技術者のための統計</t>
    <rPh sb="0" eb="3">
      <t>ギジュツシャ</t>
    </rPh>
    <rPh sb="7" eb="9">
      <t>トウケイ</t>
    </rPh>
    <phoneticPr fontId="1"/>
  </si>
  <si>
    <t>生涯学習特別講義（IoT基礎）</t>
    <rPh sb="12" eb="14">
      <t>キソ</t>
    </rPh>
    <phoneticPr fontId="1"/>
  </si>
  <si>
    <t>生涯学習特別講義（IoTプログラミング入門）</t>
    <rPh sb="19" eb="21">
      <t>ニュウモン</t>
    </rPh>
    <phoneticPr fontId="1"/>
  </si>
  <si>
    <t>生涯学習特別講義（ロボティクス基礎）</t>
    <rPh sb="15" eb="17">
      <t>キソ</t>
    </rPh>
    <phoneticPr fontId="1"/>
  </si>
  <si>
    <t>生涯学習特別講義（エンベデッドシステム）</t>
    <phoneticPr fontId="1"/>
  </si>
  <si>
    <t>生涯学習特別講義（ネットワークセキュリティ）</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</si>
  <si>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</si>
  <si>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1年次前学期「修学基礎A」にて、①本学の主柱教育である問題発見解決に取組むPBL型プロジェクトデザイン教育の体系と、データに基づいた分析とそこから見出される課題の抽出から課題解決を導くプロセスの学修概要、②このプロセスを活用して地域の課題解決に挑戦できるプロジェクト活動や専門教育課程での研究活動等の解説、③専門分野の社会での役割やデータを活用した地域・企業の課題解決例を説明し、社会で活用されるデータとその活用領域が非常に広範囲であることを学修する。１年次後学期の必修科目「AI基礎」にて、AIの基本的な機能である画像認識・自然言語処理・対話型音声識別の学習から、実践的なデータの利活用とその活用領域・実社会で課題解決事例を学修する。１年次後学期の必修科目「プロジェクトデザインⅠ」にて、身近な問題に関して社会にある実データを収集・分析し、その事実に基づいた論理的な評価と意思決定の方法を学修する。</t>
    <rPh sb="22" eb="24">
      <t>キョウイク</t>
    </rPh>
    <rPh sb="34" eb="36">
      <t>トリク</t>
    </rPh>
    <rPh sb="66" eb="68">
      <t>ブンセキ</t>
    </rPh>
    <rPh sb="99" eb="101">
      <t>ガイヨウ</t>
    </rPh>
    <rPh sb="154" eb="156">
      <t>センモン</t>
    </rPh>
    <rPh sb="156" eb="158">
      <t>ブンヤ</t>
    </rPh>
    <rPh sb="170" eb="172">
      <t>カツヨウ</t>
    </rPh>
    <rPh sb="233" eb="237">
      <t>ヒッシュウカモク</t>
    </rPh>
    <rPh sb="283" eb="285">
      <t>ジッセン</t>
    </rPh>
    <rPh sb="285" eb="286">
      <t>テキ</t>
    </rPh>
    <rPh sb="291" eb="294">
      <t>リカツヨウ</t>
    </rPh>
    <rPh sb="306" eb="308">
      <t>カダイ</t>
    </rPh>
    <rPh sb="308" eb="310">
      <t>カイケツ</t>
    </rPh>
    <rPh sb="310" eb="312">
      <t>ジレイ</t>
    </rPh>
    <rPh sb="325" eb="329">
      <t>ヒッシュウカモク</t>
    </rPh>
    <rPh sb="351" eb="352">
      <t>カン</t>
    </rPh>
    <rPh sb="359" eb="360">
      <t>ジツ</t>
    </rPh>
    <rPh sb="392" eb="394">
      <t>ホウホウ</t>
    </rPh>
    <phoneticPr fontId="1"/>
  </si>
  <si>
    <t xml:space="preserve">本プログラムの「導入・基礎・心得」に該当する５科目は、卒業に必要な必修科目のため、卒業時までに必ず履修・修得することが必要である。そのため履修漏れが生じないよう、入学直後のオリエンテーションや1年次前学期に開講する必修科目「修学基礎A」にて、本学の教育課程・履修申請の方法などを指導するとともに、クラス担任に相当する修学アドバイザーによる定期的な個人面談にて個人の状況に合わせた履修指導を行う。
また、学内イントラネット上にある学生ポータルでは、パソコンやスマートフォンで個人の履修状況・単位修得状況をいつでも確認することが可能となっている。履修申請システムでは、受講可能な科目が全て表示されており、必修科目については、履修人数の制限をすることなく受け付ける。履修の受付期間中は夜間でも申請が可能である。履修申請受付時期には全学生に対して学生ポータルを通して履修受付を周知する。
</t>
    <rPh sb="43" eb="44">
      <t>ジ</t>
    </rPh>
    <rPh sb="381" eb="383">
      <t>ウケツケ</t>
    </rPh>
    <rPh sb="384" eb="386">
      <t>シュウチ</t>
    </rPh>
    <phoneticPr fontId="1"/>
  </si>
  <si>
    <t xml:space="preserve">修了要件対象である５科目の理解度に関する授業アンケート結果は以下の通り。
①授業で身につく能力の理解：よく理解できた31％、理解できた62%、あまり理解できなかった6％、理解できなかった1％
②理解を深めるための教材等：適切40％、まあ適切41％、あまり適切ではない3％、適切でない・他16％
③課題等は理解を深めるのに役立ったか：十分役立った46％、役だった50％、あまり役立たなかった3％、その他1％
以上から、適切な教材が提供され、96%が課題・レポートが理解を深めることに役立っているとの回答から、内容について理解しているといえる。
</t>
    <rPh sb="13" eb="16">
      <t>リカイド</t>
    </rPh>
    <rPh sb="17" eb="18">
      <t>カン</t>
    </rPh>
    <rPh sb="20" eb="22">
      <t>ジュギョウ</t>
    </rPh>
    <rPh sb="27" eb="29">
      <t>ケッカ</t>
    </rPh>
    <rPh sb="30" eb="32">
      <t>イカ</t>
    </rPh>
    <rPh sb="33" eb="34">
      <t>トオ</t>
    </rPh>
    <rPh sb="142" eb="143">
      <t>ホカ</t>
    </rPh>
    <rPh sb="199" eb="200">
      <t>タ</t>
    </rPh>
    <rPh sb="203" eb="205">
      <t>イジョウ</t>
    </rPh>
    <rPh sb="208" eb="210">
      <t>テキセツ</t>
    </rPh>
    <rPh sb="211" eb="213">
      <t>キョウザイ</t>
    </rPh>
    <rPh sb="214" eb="216">
      <t>テイキョウ</t>
    </rPh>
    <rPh sb="223" eb="225">
      <t>カダイ</t>
    </rPh>
    <rPh sb="231" eb="233">
      <t>リカイ</t>
    </rPh>
    <rPh sb="234" eb="235">
      <t>フカ</t>
    </rPh>
    <rPh sb="240" eb="242">
      <t>ヤクダ</t>
    </rPh>
    <rPh sb="248" eb="250">
      <t>カイトウ</t>
    </rPh>
    <phoneticPr fontId="1"/>
  </si>
  <si>
    <t>プログラムを構成する以下の科目から「修学基礎A」「AI基礎」「プロジェクトデザイン入門（実験）」「プロジェクトデザインⅠ」「ICT基礎」の5科目（合計9単位）を必修とし、単位を修得すること。</t>
    <rPh sb="6" eb="8">
      <t>コウセイ</t>
    </rPh>
    <rPh sb="10" eb="12">
      <t>イカ</t>
    </rPh>
    <rPh sb="13" eb="15">
      <t>カモク</t>
    </rPh>
    <rPh sb="18" eb="20">
      <t>シュウガク</t>
    </rPh>
    <rPh sb="20" eb="22">
      <t>キソ</t>
    </rPh>
    <rPh sb="27" eb="29">
      <t>キソ</t>
    </rPh>
    <rPh sb="41" eb="43">
      <t>ニュウモン</t>
    </rPh>
    <rPh sb="44" eb="46">
      <t>ジッケン</t>
    </rPh>
    <rPh sb="65" eb="67">
      <t>キソ</t>
    </rPh>
    <rPh sb="70" eb="72">
      <t>カモク</t>
    </rPh>
    <rPh sb="73" eb="75">
      <t>ゴウケイ</t>
    </rPh>
    <rPh sb="76" eb="78">
      <t>タンイ</t>
    </rPh>
    <rPh sb="80" eb="82">
      <t>ヒッシュウ</t>
    </rPh>
    <rPh sb="85" eb="87">
      <t>タンイ</t>
    </rPh>
    <rPh sb="88" eb="90">
      <t>シュウトク</t>
    </rPh>
    <phoneticPr fontId="1"/>
  </si>
  <si>
    <t>実生活の身近な問題に向けて必要な社会で活用されているデータを収集・分析し、データによる事実に基づき論理的な評価と意思決定することを学修する（1～30）</t>
    <phoneticPr fontId="1"/>
  </si>
  <si>
    <t>AIの画像認識と識別・自然言語処理とそのデータ分析(3)
機械学習用データ作成の基礎(3,4)、自然言語処理とそのデータ分析(5,6)
対話型音声識別について学ぶ(7)</t>
    <rPh sb="3" eb="7">
      <t>ガゾウニンシキ</t>
    </rPh>
    <rPh sb="8" eb="10">
      <t>シキベツ</t>
    </rPh>
    <rPh sb="11" eb="17">
      <t>シゼンゲンゴショリ</t>
    </rPh>
    <rPh sb="23" eb="25">
      <t>ブンセキ</t>
    </rPh>
    <rPh sb="48" eb="54">
      <t>シゼンゲンゴショリ</t>
    </rPh>
    <rPh sb="60" eb="62">
      <t>ブンセキ</t>
    </rPh>
    <phoneticPr fontId="1"/>
  </si>
  <si>
    <t>学生に「学ぶ楽しさ」「学ぶことの意義」を伝えるために、以下の内容を科目担当者間で共有をしている。
①受講開始前に、本プログラムの全体像と各々の科目間の関連・位置づけを明確に認識させること
②受講開始直後に本プログラムで修得する能力が社会から求められていることを丁寧に具体的に説明すること
③アクティブラーニングを導入し学生が主体的に学習すること
④発表会等を行い、達成感が得られるような工夫をすること
授業アンケートでは、授業に対する理解度と授業に対する満足度が高いことから、引き続き各科目担当者間の連携を行うこととし、さらに選択科目においても同様に担当者に工夫を求めていく。</t>
    <rPh sb="27" eb="29">
      <t>イカ</t>
    </rPh>
    <rPh sb="30" eb="32">
      <t>ナイヨウ</t>
    </rPh>
    <rPh sb="33" eb="38">
      <t>カモクタントウシャ</t>
    </rPh>
    <rPh sb="38" eb="39">
      <t>カン</t>
    </rPh>
    <rPh sb="40" eb="42">
      <t>キョウユウ</t>
    </rPh>
    <rPh sb="159" eb="161">
      <t>ガクセイ</t>
    </rPh>
    <rPh sb="162" eb="165">
      <t>シュタイテキ</t>
    </rPh>
    <rPh sb="166" eb="168">
      <t>ガクシュウ</t>
    </rPh>
    <rPh sb="201" eb="203">
      <t>ジュギョウ</t>
    </rPh>
    <rPh sb="211" eb="213">
      <t>ジュギョウ</t>
    </rPh>
    <rPh sb="214" eb="215">
      <t>タイ</t>
    </rPh>
    <rPh sb="217" eb="219">
      <t>リカイ</t>
    </rPh>
    <rPh sb="219" eb="220">
      <t>ド</t>
    </rPh>
    <rPh sb="221" eb="223">
      <t>ジュギョウ</t>
    </rPh>
    <rPh sb="224" eb="225">
      <t>タイ</t>
    </rPh>
    <rPh sb="227" eb="230">
      <t>マンゾクド</t>
    </rPh>
    <rPh sb="231" eb="232">
      <t>タカ</t>
    </rPh>
    <rPh sb="238" eb="239">
      <t>ヒ</t>
    </rPh>
    <rPh sb="240" eb="241">
      <t>ツヅ</t>
    </rPh>
    <rPh sb="242" eb="247">
      <t>カクカモクタントウ</t>
    </rPh>
    <rPh sb="247" eb="248">
      <t>シャ</t>
    </rPh>
    <rPh sb="248" eb="249">
      <t>カン</t>
    </rPh>
    <rPh sb="250" eb="252">
      <t>レンケイ</t>
    </rPh>
    <rPh sb="253" eb="254">
      <t>オコナ</t>
    </rPh>
    <rPh sb="263" eb="265">
      <t>センタク</t>
    </rPh>
    <rPh sb="265" eb="267">
      <t>カモク</t>
    </rPh>
    <rPh sb="272" eb="274">
      <t>ドウヨウ</t>
    </rPh>
    <rPh sb="275" eb="277">
      <t>タントウ</t>
    </rPh>
    <rPh sb="277" eb="278">
      <t>シャ</t>
    </rPh>
    <rPh sb="279" eb="281">
      <t>クフウ</t>
    </rPh>
    <rPh sb="282" eb="283">
      <t>モト</t>
    </rPh>
    <phoneticPr fontId="1"/>
  </si>
  <si>
    <t>修了要件対象である５科目は、令和2年度入学生より全学部共通の必修科目に設定している。現段階で、対象学生の履修率は100％であり、未修了の10%の学生には引き続き指導を行う。また、令和２年度以降の入学生に対しても継続的にプログラムを展開していくほか、今後は選択科目の履修状況についても分析を行い、魅力的な応用基礎レベルのプログラム構築に向けて、リテラシーレベルの選択科目の履修率向上に向けた対策を数理データサイエンス教育推進委員会で検討している。</t>
    <rPh sb="42" eb="45">
      <t>ゲンダンカイ</t>
    </rPh>
    <rPh sb="47" eb="51">
      <t>タイショウガクセイ</t>
    </rPh>
    <rPh sb="72" eb="74">
      <t>ガクセイ</t>
    </rPh>
    <rPh sb="76" eb="77">
      <t>ヒ</t>
    </rPh>
    <rPh sb="78" eb="79">
      <t>ツヅ</t>
    </rPh>
    <rPh sb="80" eb="82">
      <t>シドウ</t>
    </rPh>
    <rPh sb="83" eb="84">
      <t>オコナ</t>
    </rPh>
    <rPh sb="89" eb="91">
      <t>レイワ</t>
    </rPh>
    <rPh sb="94" eb="96">
      <t>イコウ</t>
    </rPh>
    <rPh sb="97" eb="100">
      <t>ニュウガクセイ</t>
    </rPh>
    <rPh sb="101" eb="102">
      <t>タイ</t>
    </rPh>
    <rPh sb="105" eb="108">
      <t>ケイゾクテキ</t>
    </rPh>
    <rPh sb="115" eb="117">
      <t>テンカイ</t>
    </rPh>
    <rPh sb="124" eb="126">
      <t>コンゴ</t>
    </rPh>
    <rPh sb="127" eb="131">
      <t>センタクカモク</t>
    </rPh>
    <rPh sb="132" eb="136">
      <t>リシュウジョウキョウ</t>
    </rPh>
    <rPh sb="141" eb="143">
      <t>ブンセキ</t>
    </rPh>
    <rPh sb="144" eb="145">
      <t>オコナ</t>
    </rPh>
    <rPh sb="147" eb="150">
      <t>ミリョクテキ</t>
    </rPh>
    <rPh sb="151" eb="153">
      <t>オウヨウ</t>
    </rPh>
    <rPh sb="153" eb="155">
      <t>キソ</t>
    </rPh>
    <rPh sb="164" eb="166">
      <t>コウチク</t>
    </rPh>
    <rPh sb="167" eb="168">
      <t>ム</t>
    </rPh>
    <rPh sb="180" eb="182">
      <t>センタク</t>
    </rPh>
    <rPh sb="182" eb="184">
      <t>カモク</t>
    </rPh>
    <rPh sb="185" eb="188">
      <t>リシュウリツ</t>
    </rPh>
    <rPh sb="188" eb="190">
      <t>コウジョウ</t>
    </rPh>
    <rPh sb="191" eb="192">
      <t>ム</t>
    </rPh>
    <rPh sb="194" eb="196">
      <t>タイサク</t>
    </rPh>
    <rPh sb="197" eb="199">
      <t>スウリ</t>
    </rPh>
    <rPh sb="207" eb="209">
      <t>キョウイク</t>
    </rPh>
    <rPh sb="209" eb="211">
      <t>スイシン</t>
    </rPh>
    <rPh sb="211" eb="214">
      <t>イインカイ</t>
    </rPh>
    <rPh sb="215" eb="217">
      <t>ケントウ</t>
    </rPh>
    <phoneticPr fontId="1"/>
  </si>
  <si>
    <t>その他の取組（地域連携、産業界との連携、海外の大学等との連携等）</t>
    <phoneticPr fontId="1"/>
  </si>
  <si>
    <t>KIT評価向上委員会</t>
    <rPh sb="3" eb="5">
      <t>ヒョウカ</t>
    </rPh>
    <rPh sb="5" eb="7">
      <t>コウジョウ</t>
    </rPh>
    <rPh sb="7" eb="10">
      <t>イインカイ</t>
    </rPh>
    <phoneticPr fontId="1"/>
  </si>
  <si>
    <t>生涯学習特別講義（情報ネットワーク基礎）</t>
    <rPh sb="9" eb="11">
      <t>ジョウホウ</t>
    </rPh>
    <rPh sb="17" eb="19">
      <t>キソ</t>
    </rPh>
    <phoneticPr fontId="1"/>
  </si>
  <si>
    <t>1年次前学期「修学基礎A」にて、①社会における理工系技術者の役割、②各専門技術の社会での活動領域、を解説し、各学科が関わるような機械・電気・情報・土木・メディア・心理・経営・バイオの分野では、人・モノ・行動・位置のほか、感性や人の心の動きなど目に見えないこともデータで示すなど多様な情報があり、現在行われている地域・企業における諸活動では、多くの専門分野が協力・融合して業務が成立していることを解説している。特に、各専門領域が扱うデータやその重要性・特色について具体例を示して説明し、理解を深める学修を行っている。
1年次後学期「AI基礎」では、AIの利活用について、①画像認識における活用事例、②自然言語処理における活用事例、③対話型音声識別における活用事例、の各々の解説と、社会で活用されているデータとその活用領域を一部体験し、実社会でどのような課題を克服してきたかを学修している。</t>
    <rPh sb="35" eb="37">
      <t>センモン</t>
    </rPh>
    <rPh sb="37" eb="39">
      <t>ギジュツ</t>
    </rPh>
    <rPh sb="54" eb="55">
      <t>カク</t>
    </rPh>
    <rPh sb="110" eb="112">
      <t>カンセイ</t>
    </rPh>
    <rPh sb="113" eb="114">
      <t>ヒト</t>
    </rPh>
    <rPh sb="115" eb="116">
      <t>ココロ</t>
    </rPh>
    <rPh sb="117" eb="118">
      <t>ウゴ</t>
    </rPh>
    <rPh sb="121" eb="122">
      <t>メ</t>
    </rPh>
    <rPh sb="123" eb="124">
      <t>ミ</t>
    </rPh>
    <rPh sb="134" eb="135">
      <t>シメ</t>
    </rPh>
    <rPh sb="141" eb="143">
      <t>ジョウホウ</t>
    </rPh>
    <rPh sb="207" eb="208">
      <t>カク</t>
    </rPh>
    <rPh sb="210" eb="212">
      <t>リョウイキ</t>
    </rPh>
    <rPh sb="213" eb="214">
      <t>アツカ</t>
    </rPh>
    <rPh sb="251" eb="252">
      <t>オコナ</t>
    </rPh>
    <rPh sb="294" eb="295">
      <t>ヨウ</t>
    </rPh>
    <rPh sb="310" eb="311">
      <t>ヨウ</t>
    </rPh>
    <rPh sb="327" eb="328">
      <t>ヨウ</t>
    </rPh>
    <phoneticPr fontId="1"/>
  </si>
  <si>
    <t>・数理・AI・データサイエンスの社会での利活用場面と専門との関わりを理解し、自らのキャリアデザインに結びつく意識を高めることができる。
・AIの仕組みが理解でき、工学的応用例を挙げることができる。
・機械学習（深層学習）の基礎的内容を十分理解でき、説明することができる。
・画像識別・自然言語処理、対話型音声識別の基本的仕組みを理解し、十分操作ができる。
・機械学習のためのデータを目的に応じて、十分準備できる。
・AIに関する法令を理解し遵守できる。また、AI倫理についての理解を深め、尊重することができる。
・ネットワークセキュリティやウイルス対策ソフトに関する知識と情報を修得する。
・文書作成、表計算、プレゼンテーション資料作成の基礎能力を修得する。
・表計算ソフトを使用したデータ取り扱いスキルを修得する。
・現象、対象、事象を定量的あるいは定性的に捉えることができる。
・現象、対象、事象の特徴・特性・法則性を抽出することができる。
・獲得した情報を第三者にわかりやすく伝えることができる。
・検証活動を自主的に円滑に進めることができる。</t>
    <rPh sb="1" eb="3">
      <t>スウリ</t>
    </rPh>
    <rPh sb="16" eb="18">
      <t>シャカイ</t>
    </rPh>
    <rPh sb="20" eb="23">
      <t>リカツヨウ</t>
    </rPh>
    <rPh sb="23" eb="25">
      <t>バメン</t>
    </rPh>
    <rPh sb="26" eb="28">
      <t>センモン</t>
    </rPh>
    <rPh sb="30" eb="31">
      <t>カカ</t>
    </rPh>
    <rPh sb="34" eb="36">
      <t>リカイ</t>
    </rPh>
    <rPh sb="38" eb="39">
      <t>ミズカ</t>
    </rPh>
    <rPh sb="50" eb="51">
      <t>ムス</t>
    </rPh>
    <rPh sb="54" eb="56">
      <t>イシキ</t>
    </rPh>
    <rPh sb="57" eb="58">
      <t>タカ</t>
    </rPh>
    <rPh sb="72" eb="74">
      <t>シク</t>
    </rPh>
    <rPh sb="76" eb="78">
      <t>リカイ</t>
    </rPh>
    <rPh sb="81" eb="87">
      <t>コウガクテキオウヨウレイ</t>
    </rPh>
    <rPh sb="88" eb="89">
      <t>ア</t>
    </rPh>
    <rPh sb="100" eb="104">
      <t>キカイガクシュウ</t>
    </rPh>
    <rPh sb="105" eb="107">
      <t>シンソウ</t>
    </rPh>
    <rPh sb="107" eb="109">
      <t>ガクシュウ</t>
    </rPh>
    <rPh sb="111" eb="114">
      <t>キソテキ</t>
    </rPh>
    <rPh sb="114" eb="116">
      <t>ナイヨウ</t>
    </rPh>
    <rPh sb="117" eb="119">
      <t>ジュウブン</t>
    </rPh>
    <rPh sb="119" eb="121">
      <t>リカイ</t>
    </rPh>
    <rPh sb="124" eb="126">
      <t>セツメイ</t>
    </rPh>
    <rPh sb="137" eb="141">
      <t>ガゾウシキベツ</t>
    </rPh>
    <rPh sb="142" eb="148">
      <t>シゼンゲンゴショリ</t>
    </rPh>
    <rPh sb="149" eb="156">
      <t>タイワガタオンセイシキベツ</t>
    </rPh>
    <rPh sb="157" eb="162">
      <t>キホンテキシク</t>
    </rPh>
    <rPh sb="164" eb="166">
      <t>リカイ</t>
    </rPh>
    <rPh sb="168" eb="172">
      <t>ジュウブンソウサ</t>
    </rPh>
    <rPh sb="179" eb="183">
      <t>キカイガクシュウ</t>
    </rPh>
    <rPh sb="191" eb="193">
      <t>モクテキ</t>
    </rPh>
    <rPh sb="194" eb="195">
      <t>オウ</t>
    </rPh>
    <rPh sb="198" eb="202">
      <t>ジュウブンジュンビ</t>
    </rPh>
    <rPh sb="211" eb="212">
      <t>カン</t>
    </rPh>
    <rPh sb="214" eb="216">
      <t>ホウレイ</t>
    </rPh>
    <rPh sb="217" eb="219">
      <t>リカイ</t>
    </rPh>
    <rPh sb="220" eb="222">
      <t>ジュンシュ</t>
    </rPh>
    <rPh sb="231" eb="233">
      <t>リンリ</t>
    </rPh>
    <rPh sb="238" eb="240">
      <t>リカイ</t>
    </rPh>
    <rPh sb="241" eb="242">
      <t>フカ</t>
    </rPh>
    <rPh sb="244" eb="246">
      <t>ソンチョウ</t>
    </rPh>
    <rPh sb="274" eb="276">
      <t>タイサク</t>
    </rPh>
    <rPh sb="280" eb="281">
      <t>カン</t>
    </rPh>
    <rPh sb="283" eb="285">
      <t>チシキ</t>
    </rPh>
    <rPh sb="286" eb="288">
      <t>ジョウホウ</t>
    </rPh>
    <rPh sb="289" eb="291">
      <t>シュウトク</t>
    </rPh>
    <rPh sb="296" eb="300">
      <t>ブンショサクセイ</t>
    </rPh>
    <rPh sb="301" eb="304">
      <t>ヒョウケイサン</t>
    </rPh>
    <rPh sb="314" eb="316">
      <t>シリョウ</t>
    </rPh>
    <rPh sb="316" eb="318">
      <t>サクセイ</t>
    </rPh>
    <rPh sb="319" eb="323">
      <t>キソノウリョク</t>
    </rPh>
    <rPh sb="324" eb="326">
      <t>シュウトク</t>
    </rPh>
    <rPh sb="331" eb="334">
      <t>ヒョウケイサン</t>
    </rPh>
    <rPh sb="338" eb="340">
      <t>シヨウ</t>
    </rPh>
    <rPh sb="345" eb="346">
      <t>ト</t>
    </rPh>
    <rPh sb="347" eb="348">
      <t>アツカ</t>
    </rPh>
    <rPh sb="353" eb="355">
      <t>シュウトク</t>
    </rPh>
    <rPh sb="360" eb="362">
      <t>ゲンショウ</t>
    </rPh>
    <rPh sb="363" eb="365">
      <t>タイショウ</t>
    </rPh>
    <rPh sb="366" eb="368">
      <t>ジショウ</t>
    </rPh>
    <rPh sb="369" eb="372">
      <t>テイリョウテキ</t>
    </rPh>
    <rPh sb="376" eb="379">
      <t>テイセイテキ</t>
    </rPh>
    <rPh sb="380" eb="381">
      <t>トラ</t>
    </rPh>
    <rPh sb="392" eb="394">
      <t>ゲンショウ</t>
    </rPh>
    <rPh sb="395" eb="397">
      <t>タイショウ</t>
    </rPh>
    <rPh sb="398" eb="400">
      <t>ジショウ</t>
    </rPh>
    <rPh sb="401" eb="403">
      <t>トクチョウ</t>
    </rPh>
    <rPh sb="404" eb="406">
      <t>トクセイ</t>
    </rPh>
    <rPh sb="407" eb="410">
      <t>ホウソクセイ</t>
    </rPh>
    <rPh sb="411" eb="413">
      <t>チュウシュツ</t>
    </rPh>
    <rPh sb="424" eb="426">
      <t>カクトク</t>
    </rPh>
    <rPh sb="428" eb="430">
      <t>ジョウホウ</t>
    </rPh>
    <rPh sb="431" eb="434">
      <t>ダイミシャ</t>
    </rPh>
    <rPh sb="441" eb="442">
      <t>ツタ</t>
    </rPh>
    <rPh sb="453" eb="457">
      <t>ケンショウカツドウ</t>
    </rPh>
    <rPh sb="458" eb="461">
      <t>ジシュテキ</t>
    </rPh>
    <rPh sb="462" eb="464">
      <t>エンカツ</t>
    </rPh>
    <rPh sb="465" eb="466">
      <t>スス</t>
    </rPh>
    <phoneticPr fontId="1"/>
  </si>
  <si>
    <t>Society5.0社会で活躍する人材に必要不可欠な基礎である、「社会におけるデータとその活用の重要性」、「データ分析に必要となる数理基礎知識とその活用」、「AIの基礎とその活用」、「ビッグデータの前処理とその活用」、「データリテラシー」、「データ取扱の注意点」、「AI活用の注意点」、「ネットワークの基礎」、「セキュリティの重要性」に関する知識やスキルを、全学生が修得できる体系的な教育プログラムと学修環境を構築し、この教育プログラムの運用計画、運営方法の検討、FD研修、教育プログラム全体の実施状況の把握、課題の明確化、解決策の策定、外部評価等、PDCA改善サイクルを運用し、学修効果が高い教育を実施することを目的とする。</t>
    <rPh sb="26" eb="28">
      <t>キソ</t>
    </rPh>
    <rPh sb="69" eb="71">
      <t>チシキ</t>
    </rPh>
    <rPh sb="179" eb="180">
      <t>ゼン</t>
    </rPh>
    <rPh sb="180" eb="182">
      <t>ガクセイ</t>
    </rPh>
    <rPh sb="205" eb="207">
      <t>コウチク</t>
    </rPh>
    <rPh sb="237" eb="239">
      <t>キョウイク</t>
    </rPh>
    <rPh sb="244" eb="246">
      <t>ゼンタイ</t>
    </rPh>
    <rPh sb="295" eb="296">
      <t>タカ</t>
    </rPh>
    <rPh sb="297" eb="299">
      <t>キョウイク</t>
    </rPh>
    <rPh sb="300" eb="302">
      <t>ジッシ</t>
    </rPh>
    <phoneticPr fontId="1"/>
  </si>
  <si>
    <t>本プログラムの「導入・基礎・心得」に該当する５科目は、全て１年次の必修科目である。１学年約1,500人が受講するこれらの科目は、１クラスあたり30～80名の受講生で編成し、授業中はTAやSAを配置し、教員の傍らで受講する学生のサポートを行う。
また、「修学基礎A」の学長・学部長講話や「AI基礎」「ICT基礎」は、講義内容をいつでも繰り返し学習できるように授業を録画している。これらは、インターネット環境があれば学外からでも講義の復習ができる体制を整備している。
なお、授業を担当する教員はオフィスアワーを設定し、学生が授業中に理解できなかった箇所を質問できる時間を予め決めている。さらに、「AI基礎」は数理工教育研究センター、「プロジェクトデザイン入門・Ⅰ」はプロジェクト教育センター、「ICT基礎」は情報処理サービスセンターがそれぞれ担当教員と連携し、学生の支援を行っている。</t>
    <rPh sb="30" eb="32">
      <t>ネンジ</t>
    </rPh>
    <rPh sb="42" eb="44">
      <t>ガクネン</t>
    </rPh>
    <rPh sb="44" eb="45">
      <t>ヤク</t>
    </rPh>
    <rPh sb="50" eb="51">
      <t>ニン</t>
    </rPh>
    <rPh sb="52" eb="54">
      <t>ジュコウ</t>
    </rPh>
    <rPh sb="60" eb="62">
      <t>カモク</t>
    </rPh>
    <rPh sb="78" eb="81">
      <t>ジュコウセイ</t>
    </rPh>
    <rPh sb="82" eb="84">
      <t>ヘンセイ</t>
    </rPh>
    <rPh sb="181" eb="183">
      <t>ロクガ</t>
    </rPh>
    <rPh sb="280" eb="282">
      <t>ジカン</t>
    </rPh>
    <rPh sb="283" eb="284">
      <t>アラカジ</t>
    </rPh>
    <rPh sb="285" eb="286">
      <t>キ</t>
    </rPh>
    <rPh sb="307" eb="309">
      <t>ケンキュウ</t>
    </rPh>
    <rPh sb="378" eb="380">
      <t>ガクセイ</t>
    </rPh>
    <rPh sb="381" eb="383">
      <t>シエン</t>
    </rPh>
    <phoneticPr fontId="1"/>
  </si>
  <si>
    <t>修了要件対象である５科目は、全て必修科目であり、必ず履修することとなる。教員の熱意や教材の分かりやすさなどは授業アンケート結果を公開し、主体的な受講を呼びかけている。今後は、選択科目の履修状況を分析し、受講学生の積極性の更なる向上を図るための施策を展開することを検討している。</t>
    <rPh sb="0" eb="2">
      <t>シュウリョウ</t>
    </rPh>
    <rPh sb="2" eb="4">
      <t>ヨウケン</t>
    </rPh>
    <rPh sb="4" eb="6">
      <t>タイショウ</t>
    </rPh>
    <rPh sb="10" eb="12">
      <t>カモク</t>
    </rPh>
    <rPh sb="14" eb="15">
      <t>スベ</t>
    </rPh>
    <rPh sb="16" eb="18">
      <t>ヒッシュウ</t>
    </rPh>
    <rPh sb="18" eb="20">
      <t>カモク</t>
    </rPh>
    <rPh sb="24" eb="25">
      <t>カナラ</t>
    </rPh>
    <rPh sb="26" eb="28">
      <t>リシュウ</t>
    </rPh>
    <rPh sb="36" eb="38">
      <t>キョウイン</t>
    </rPh>
    <rPh sb="39" eb="41">
      <t>ネツイ</t>
    </rPh>
    <rPh sb="42" eb="44">
      <t>キョウザイ</t>
    </rPh>
    <rPh sb="45" eb="46">
      <t>ワ</t>
    </rPh>
    <rPh sb="54" eb="56">
      <t>ジュギョウ</t>
    </rPh>
    <rPh sb="61" eb="63">
      <t>ケッカ</t>
    </rPh>
    <rPh sb="64" eb="66">
      <t>コウカイ</t>
    </rPh>
    <rPh sb="72" eb="74">
      <t>ジュコウ</t>
    </rPh>
    <rPh sb="75" eb="76">
      <t>ヨ</t>
    </rPh>
    <rPh sb="83" eb="85">
      <t>コンゴ</t>
    </rPh>
    <rPh sb="87" eb="89">
      <t>センタク</t>
    </rPh>
    <rPh sb="89" eb="91">
      <t>カモク</t>
    </rPh>
    <rPh sb="92" eb="94">
      <t>リシュウ</t>
    </rPh>
    <rPh sb="94" eb="96">
      <t>ジョウキョウ</t>
    </rPh>
    <rPh sb="97" eb="99">
      <t>ブンセキ</t>
    </rPh>
    <rPh sb="101" eb="103">
      <t>ジュコウ</t>
    </rPh>
    <rPh sb="103" eb="105">
      <t>ガクセイ</t>
    </rPh>
    <rPh sb="106" eb="108">
      <t>セッキョク</t>
    </rPh>
    <rPh sb="108" eb="109">
      <t>セイ</t>
    </rPh>
    <rPh sb="113" eb="115">
      <t>コウジョウ</t>
    </rPh>
    <rPh sb="116" eb="117">
      <t>ハカ</t>
    </rPh>
    <rPh sb="121" eb="123">
      <t>シサク</t>
    </rPh>
    <rPh sb="124" eb="126">
      <t>テンカイ</t>
    </rPh>
    <rPh sb="131" eb="133">
      <t>ケントウ</t>
    </rPh>
    <phoneticPr fontId="1"/>
  </si>
  <si>
    <t>○分かりやすさ
本プログラムの内容は高等学校までの学習の延長ではない「新しい領域」であるため、初めて学ぶ学生にとって分かりやすいことが重要である。そのため、授業開始前に本学での学習を進める上で必要となるPC・ネットワーク等の設定を行う。また、授業開始直後にSociety5.0社会の到来による社会の大変革に向けて、それをリードできる人材となるために必要となる能力を修得しておく必要があることを説明している。この後、本制度で求められる「導入・基礎・心得」に該当する教育内容の接続性を考慮した授業構成としている。
○学習意欲が高まる内容
本プログラムは、講義・演習、実験・実習科目を組み合わせて構成し、チーム活動・討論・発表をはじめとしたアクティブラーニングを取り入れている。特にPC操作やプログラミング技術の演習やチーム活動等も組み込み、学習意欲を高めている。
○学生の習熟度や専門性を踏まえた学習内容
課外にて①先輩学生が質問対応するシニアTA制度、②教育課程と並列的に設置している教育センターの教職員によるサポート体制を有している。特にPC操作スキルは習熟度の差が大きいため、利用が多い。また専門性については、エンジニアや科学者がデータ解析やアルゴリズムの開発、モデル作成に使用しているプログラミングソフト・数値計算ソフトを活用し、理工系技術者に必要なプログラミングとAIの仕組みを体験的に学修するよう設計している。
○学生の習熟度や専門性に応じた授業選択など
本プログラムの修了要件を満たす科目は全て必修科目であり、授業選択という仕組みを有していない。ただし、オプションとしての13の選択科目があり、科目各々に履修条件を明示し、「導入・基礎・心得」を学習した学生の習熟度に応じて履修できるようにしている。また、学科の専門・特色に合わせたデータに関する教材・内容を取扱うこととしている。</t>
    <rPh sb="1" eb="2">
      <t>ワ</t>
    </rPh>
    <rPh sb="84" eb="86">
      <t>ホンガク</t>
    </rPh>
    <rPh sb="153" eb="154">
      <t>ム</t>
    </rPh>
    <rPh sb="196" eb="198">
      <t>セツメイ</t>
    </rPh>
    <rPh sb="236" eb="238">
      <t>セツゾク</t>
    </rPh>
    <rPh sb="240" eb="242">
      <t>コウリョ</t>
    </rPh>
    <rPh sb="351" eb="353">
      <t>ギジュツ</t>
    </rPh>
    <rPh sb="360" eb="362">
      <t>カツドウ</t>
    </rPh>
    <rPh sb="384" eb="386">
      <t>ソウサ</t>
    </rPh>
    <rPh sb="392" eb="394">
      <t>ガクセイ</t>
    </rPh>
    <rPh sb="395" eb="398">
      <t>シュウジュクド</t>
    </rPh>
    <rPh sb="399" eb="402">
      <t>センモンセイ</t>
    </rPh>
    <rPh sb="403" eb="405">
      <t>カガイ</t>
    </rPh>
    <rPh sb="413" eb="415">
      <t>シツモン</t>
    </rPh>
    <rPh sb="479" eb="482">
      <t>シュウジュクド</t>
    </rPh>
    <rPh sb="491" eb="493">
      <t>リヨウ</t>
    </rPh>
    <rPh sb="494" eb="495">
      <t>オオ</t>
    </rPh>
    <rPh sb="598" eb="600">
      <t>ガクシュウ</t>
    </rPh>
    <rPh sb="604" eb="606">
      <t>セッケイ</t>
    </rPh>
    <rPh sb="613" eb="614">
      <t>オウ</t>
    </rPh>
    <rPh sb="642" eb="644">
      <t>シュウリョウ</t>
    </rPh>
    <rPh sb="644" eb="646">
      <t>ヨウケン</t>
    </rPh>
    <rPh sb="647" eb="648">
      <t>ミ</t>
    </rPh>
    <rPh sb="720" eb="722">
      <t>ドウニュウ</t>
    </rPh>
    <rPh sb="726" eb="728">
      <t>ココロエ</t>
    </rPh>
    <rPh sb="730" eb="732">
      <t>ガクシュウ</t>
    </rPh>
    <phoneticPr fontId="1"/>
  </si>
  <si>
    <t>本学では、授業を担当する教員全員がオフィスアワーを設定する仕組みを有しており、その時間を学生に公開することで、学習指導ならびに質問を受け付けている。また、この時間以外にも教員のメールアドレスを授業前に知らせ、随時メールでの質問に対応している。
さらに、各々の教育課程と並列して３つの教育センター（数理工教育研究センター・プロジェクト教育センター・情報処理サービスセンター）を設置し、授業外の学習に加えて、担当教員以外でも質問に応える体制をとっている。特に、数理工教育研究センターでは、テキストで表現できない数式やグラフなどをスマートフォンで写真添付して質問すると、48時間以内に解答に導くヒントをもらえるという「おタスケケータイ」サービスも展開している。</t>
    <rPh sb="104" eb="106">
      <t>ズイジ</t>
    </rPh>
    <rPh sb="233" eb="235">
      <t>ケンキュウ</t>
    </rPh>
    <rPh sb="289" eb="291">
      <t>カイトウ</t>
    </rPh>
    <rPh sb="292" eb="293">
      <t>ミチビ</t>
    </rPh>
    <phoneticPr fontId="1"/>
  </si>
  <si>
    <t>修了要件対象である５科目の成果に関する授業アンケート結果は以下の通り。
①1科目・1回の授業当たりの予習・復習時間：2時間以上25％、1～2時間 58%、1時間未満17％
②熱意を持って受講したか：受講した56％、まあ受講した41％、あまりしなかった4％、しなかった1％
③教員の熱意を感じたか：感じ取れた61％、まあ感じ取れた35％、あまり感じなかった3％、感じなかった1％
④総合的な満足度：満足57％、まあ満足40％、少し不満2％、不満1％
以上から、予習・復習を行い、意欲的に授業に参加しており、総合的にも97%が満足と感じているため、初年度としては一定の成果があったと評価している。</t>
    <rPh sb="13" eb="15">
      <t>セイカ</t>
    </rPh>
    <rPh sb="16" eb="17">
      <t>カン</t>
    </rPh>
    <rPh sb="19" eb="21">
      <t>ジュギョウ</t>
    </rPh>
    <rPh sb="26" eb="28">
      <t>ケッカ</t>
    </rPh>
    <rPh sb="29" eb="31">
      <t>イカ</t>
    </rPh>
    <rPh sb="32" eb="33">
      <t>トオ</t>
    </rPh>
    <rPh sb="224" eb="226">
      <t>イジョウ</t>
    </rPh>
    <rPh sb="235" eb="236">
      <t>オコナ</t>
    </rPh>
    <rPh sb="238" eb="241">
      <t>イヨクテキ</t>
    </rPh>
    <rPh sb="242" eb="244">
      <t>ジュギョウ</t>
    </rPh>
    <rPh sb="245" eb="247">
      <t>サンカ</t>
    </rPh>
    <rPh sb="261" eb="263">
      <t>マンゾク</t>
    </rPh>
    <rPh sb="289" eb="291">
      <t>ヒョウカ</t>
    </rPh>
    <phoneticPr fontId="1"/>
  </si>
  <si>
    <t>本プログラムは令和２年度入学生より対象としており、プログラム修了者の卒業・進学は３年後となるため、現段階では評価できていない。ただし、本学ではこれまで、本学卒業生を採用した企業に対して、３年に１度の頻度で本学卒業生にアンケート調査を実施し、本学の教育成果と問題点を企業からの意見を基に確認している。次回の調査では、本プログラムの成果に関する項目を盛り込んで実施することを予定している。</t>
    <rPh sb="113" eb="115">
      <t>チョウサ</t>
    </rPh>
    <rPh sb="120" eb="122">
      <t>ホンガク</t>
    </rPh>
    <rPh sb="123" eb="125">
      <t>キョウイク</t>
    </rPh>
    <rPh sb="125" eb="127">
      <t>セイカ</t>
    </rPh>
    <rPh sb="128" eb="131">
      <t>モンダイテン</t>
    </rPh>
    <rPh sb="132" eb="134">
      <t>キギョウ</t>
    </rPh>
    <rPh sb="137" eb="139">
      <t>イケン</t>
    </rPh>
    <rPh sb="140" eb="141">
      <t>モト</t>
    </rPh>
    <rPh sb="142" eb="144">
      <t>カクニン</t>
    </rPh>
    <phoneticPr fontId="1"/>
  </si>
  <si>
    <t>本学では「KIT評価向上委員会」を定期的に開催し、産業界の責任者ならびに大学教育に関する有識者に外部評価を依頼し、教育活動・学生の達成度等に関する評価を得ている。本プログラムに係る事項として、教育内容・科目構成・学生の達成度等もこの外部評価委員会にて評価を得ることとしている。令和２年度の実績については11月頃に評価いただく予定である。
さらに毎年９月に、企業1,100社と面談を行うセミナーを開催している。この機会を通して、本プログラムに関する企業からのニーズを把握して反映させることとしている。なお、選択科目については、実務家教員を加えた授業を実施し、産業界のニーズを取り込んだ内容としている。</t>
    <rPh sb="29" eb="32">
      <t>セキニンシャ</t>
    </rPh>
    <rPh sb="120" eb="123">
      <t>イインカイ</t>
    </rPh>
    <rPh sb="138" eb="140">
      <t>レイワ</t>
    </rPh>
    <rPh sb="141" eb="143">
      <t>ネンド</t>
    </rPh>
    <rPh sb="144" eb="146">
      <t>ジッセキ</t>
    </rPh>
    <rPh sb="153" eb="154">
      <t>ガツ</t>
    </rPh>
    <rPh sb="154" eb="155">
      <t>ゴロ</t>
    </rPh>
    <rPh sb="156" eb="158">
      <t>ヒョウカ</t>
    </rPh>
    <rPh sb="162" eb="164">
      <t>ヨテイ</t>
    </rPh>
    <rPh sb="175" eb="176">
      <t>ガツ</t>
    </rPh>
    <rPh sb="268" eb="269">
      <t>クワ</t>
    </rPh>
    <rPh sb="271" eb="273">
      <t>ジュギョウ</t>
    </rPh>
    <rPh sb="274" eb="276">
      <t>ジッシ</t>
    </rPh>
    <rPh sb="286" eb="287">
      <t>ト</t>
    </rPh>
    <rPh sb="288" eb="289">
      <t>コ</t>
    </rPh>
    <phoneticPr fontId="1"/>
  </si>
  <si>
    <t>本プログラムの必修５科目は、１科目あたりの開講クラスが多く、複数の教員で授業を行っている。複数人が担当する科目については、科目担当者間による打合せを行い、担当者によって授業内容が変わらないよう共通のシラバスで授業を行い、課題の提示、評価方法等を統一している。授業アンケートでは、①「授業内容は学習支援計画書に沿っていましたか？」は98%が予定通りの授業ができていると回答し、②「総合的な授業の満足度」も90%以上が満足している。教材の活用や課題による授業の理解度も高いことから、分かりやすい授業が行えていると評価している。引き続き、担当者間での連携を推進し、分かりやすい授業の運営に取り組む。</t>
    <rPh sb="0" eb="1">
      <t>ホン</t>
    </rPh>
    <rPh sb="10" eb="12">
      <t>カモク</t>
    </rPh>
    <rPh sb="15" eb="17">
      <t>カモク</t>
    </rPh>
    <rPh sb="21" eb="23">
      <t>カイコウ</t>
    </rPh>
    <rPh sb="27" eb="28">
      <t>オオ</t>
    </rPh>
    <rPh sb="30" eb="32">
      <t>フクスウ</t>
    </rPh>
    <rPh sb="33" eb="35">
      <t>キョウイン</t>
    </rPh>
    <rPh sb="36" eb="38">
      <t>ジュギョウ</t>
    </rPh>
    <rPh sb="39" eb="40">
      <t>オコナ</t>
    </rPh>
    <rPh sb="45" eb="48">
      <t>フクスウニン</t>
    </rPh>
    <rPh sb="49" eb="51">
      <t>タントウ</t>
    </rPh>
    <rPh sb="53" eb="55">
      <t>カモク</t>
    </rPh>
    <rPh sb="61" eb="63">
      <t>カモク</t>
    </rPh>
    <rPh sb="63" eb="66">
      <t>タントウシャ</t>
    </rPh>
    <rPh sb="66" eb="67">
      <t>カン</t>
    </rPh>
    <rPh sb="70" eb="72">
      <t>ウチアワ</t>
    </rPh>
    <rPh sb="74" eb="75">
      <t>オコナ</t>
    </rPh>
    <rPh sb="77" eb="80">
      <t>タントウシャ</t>
    </rPh>
    <rPh sb="84" eb="86">
      <t>ジュギョウ</t>
    </rPh>
    <rPh sb="86" eb="88">
      <t>ナイヨウ</t>
    </rPh>
    <rPh sb="89" eb="90">
      <t>カ</t>
    </rPh>
    <rPh sb="96" eb="98">
      <t>キョウツウ</t>
    </rPh>
    <rPh sb="104" eb="106">
      <t>ジュギョウ</t>
    </rPh>
    <rPh sb="107" eb="108">
      <t>オコナ</t>
    </rPh>
    <rPh sb="110" eb="112">
      <t>カダイ</t>
    </rPh>
    <rPh sb="113" eb="115">
      <t>テイジ</t>
    </rPh>
    <rPh sb="116" eb="118">
      <t>ヒョウカ</t>
    </rPh>
    <rPh sb="118" eb="120">
      <t>ホウホウ</t>
    </rPh>
    <rPh sb="120" eb="121">
      <t>トウ</t>
    </rPh>
    <rPh sb="122" eb="124">
      <t>トウイツ</t>
    </rPh>
    <rPh sb="129" eb="131">
      <t>ジュギョウ</t>
    </rPh>
    <rPh sb="141" eb="143">
      <t>ジュギョウ</t>
    </rPh>
    <rPh sb="143" eb="145">
      <t>ナイヨウ</t>
    </rPh>
    <rPh sb="146" eb="148">
      <t>ガクシュウ</t>
    </rPh>
    <rPh sb="148" eb="150">
      <t>シエン</t>
    </rPh>
    <rPh sb="150" eb="153">
      <t>ケイカクショ</t>
    </rPh>
    <rPh sb="154" eb="155">
      <t>ソ</t>
    </rPh>
    <rPh sb="169" eb="171">
      <t>ヨテイ</t>
    </rPh>
    <rPh sb="171" eb="172">
      <t>ドオ</t>
    </rPh>
    <rPh sb="174" eb="176">
      <t>ジュギョウ</t>
    </rPh>
    <rPh sb="183" eb="185">
      <t>カイトウ</t>
    </rPh>
    <rPh sb="189" eb="191">
      <t>ソウゴウ</t>
    </rPh>
    <rPh sb="191" eb="192">
      <t>テキ</t>
    </rPh>
    <rPh sb="193" eb="195">
      <t>ジュギョウ</t>
    </rPh>
    <rPh sb="196" eb="199">
      <t>マンゾクド</t>
    </rPh>
    <rPh sb="204" eb="206">
      <t>イジョウ</t>
    </rPh>
    <rPh sb="207" eb="209">
      <t>マンゾク</t>
    </rPh>
    <rPh sb="214" eb="216">
      <t>キョウザイ</t>
    </rPh>
    <rPh sb="217" eb="219">
      <t>カツヨウ</t>
    </rPh>
    <rPh sb="220" eb="222">
      <t>カダイ</t>
    </rPh>
    <rPh sb="225" eb="227">
      <t>ジュギョウ</t>
    </rPh>
    <rPh sb="228" eb="230">
      <t>リカイ</t>
    </rPh>
    <rPh sb="230" eb="231">
      <t>ド</t>
    </rPh>
    <rPh sb="232" eb="233">
      <t>タカ</t>
    </rPh>
    <rPh sb="239" eb="240">
      <t>ワ</t>
    </rPh>
    <rPh sb="245" eb="247">
      <t>ジュギョウ</t>
    </rPh>
    <rPh sb="248" eb="249">
      <t>オコナ</t>
    </rPh>
    <rPh sb="254" eb="256">
      <t>ヒョウカ</t>
    </rPh>
    <rPh sb="261" eb="262">
      <t>ヒ</t>
    </rPh>
    <rPh sb="263" eb="264">
      <t>ツヅ</t>
    </rPh>
    <rPh sb="266" eb="270">
      <t>タントウシャカン</t>
    </rPh>
    <rPh sb="272" eb="274">
      <t>レンケイ</t>
    </rPh>
    <rPh sb="275" eb="277">
      <t>スイシン</t>
    </rPh>
    <rPh sb="279" eb="280">
      <t>ワ</t>
    </rPh>
    <rPh sb="285" eb="287">
      <t>ジュギョウ</t>
    </rPh>
    <rPh sb="288" eb="290">
      <t>ウンエイ</t>
    </rPh>
    <rPh sb="291" eb="292">
      <t>ト</t>
    </rPh>
    <rPh sb="293" eb="294">
      <t>ク</t>
    </rPh>
    <phoneticPr fontId="1"/>
  </si>
  <si>
    <t>○学習支援システムの構築
「授業時間中に係る学習支援」と「授業時間外に係る学習支援」の2種類に大別した支援を展開している。前者は本学のラーニングマネジメントシステムである「eシラバス」にて、毎回の授業で実施する詳細な授業内容やそれに関する動画等の教材配信機能、レポート提出機能、小テスト解答機能、更には授業毎の自己点検機能等を整備し学修を支援している。また、教員へ質問を行うオフィスアワー制度を充実させ、学生が質問しやすい支援を行っている。後者は、予習・復習に関するアドバイスを上述の「eシラバス」を通して実施することに加え、教育センターでの学習支援サービスやシニアTA・SA制度を運用し、授業外の学習支援の充実を図っている。特に小テストや欠席が連続する等の躓きが現れた学生には、担当教員から教育センター等に行くよう個別指導を徹底している。
○補完的な教育の実施
習熟度にあわせた科目選択、授業外での支援体制に加え、各科目で実施する「小テスト」「レポート」「発表」等の達成度が十分でない学生を抽出し、補完的な教育を各教育センターにて個別指導を行っている。
○インターンシップ先での実践やTAとしての指導
毎年900名程の学生がインターンシップに取り組んでおり、多くの学生がインターンシップ先での活動テーマによって企業選択を行っているため、学生の受け入れ企業には数理・データサイエンス・AI等を活用した実践的なテーマを盛り込むように依頼することとしている。ここで経験を積んだ学生をTAとして採用することで、社会でのデータの利活用の方法を後輩学生へ伝えたり、自身の理解を深めさせることを計画している。
○学修成果の可視化等の導入
本プログラムでの学習過程と成果は、ポートフォリオに記載することに加えて、達成度等を示す「自己成長支援システム」にていつでも確認できるよう機能追加することを計画している。</t>
    <rPh sb="1" eb="5">
      <t>ガクシュウシエン</t>
    </rPh>
    <rPh sb="10" eb="12">
      <t>コウチク</t>
    </rPh>
    <rPh sb="119" eb="121">
      <t>ドウガ</t>
    </rPh>
    <rPh sb="121" eb="122">
      <t>トウ</t>
    </rPh>
    <rPh sb="136" eb="138">
      <t>キノウ</t>
    </rPh>
    <rPh sb="143" eb="145">
      <t>カイトウ</t>
    </rPh>
    <rPh sb="148" eb="149">
      <t>サラ</t>
    </rPh>
    <rPh sb="151" eb="153">
      <t>ジュギョウ</t>
    </rPh>
    <rPh sb="153" eb="154">
      <t>ゴト</t>
    </rPh>
    <rPh sb="155" eb="159">
      <t>ジコテンケン</t>
    </rPh>
    <rPh sb="159" eb="161">
      <t>キノウ</t>
    </rPh>
    <rPh sb="202" eb="204">
      <t>ガクセイ</t>
    </rPh>
    <rPh sb="205" eb="207">
      <t>シツモン</t>
    </rPh>
    <rPh sb="211" eb="213">
      <t>シエン</t>
    </rPh>
    <rPh sb="214" eb="215">
      <t>オコナ</t>
    </rPh>
    <rPh sb="220" eb="222">
      <t>コウシャ</t>
    </rPh>
    <rPh sb="230" eb="231">
      <t>カン</t>
    </rPh>
    <rPh sb="373" eb="376">
      <t>ホカンテキ</t>
    </rPh>
    <rPh sb="377" eb="379">
      <t>キョウイク</t>
    </rPh>
    <rPh sb="380" eb="382">
      <t>ジッシ</t>
    </rPh>
    <rPh sb="391" eb="393">
      <t>カモク</t>
    </rPh>
    <rPh sb="393" eb="395">
      <t>センタク</t>
    </rPh>
    <rPh sb="409" eb="410">
      <t>カク</t>
    </rPh>
    <rPh sb="437" eb="438">
      <t>ド</t>
    </rPh>
    <rPh sb="447" eb="449">
      <t>チュウシュツ</t>
    </rPh>
    <rPh sb="458" eb="459">
      <t>カク</t>
    </rPh>
    <rPh sb="472" eb="473">
      <t>オコナ</t>
    </rPh>
    <rPh sb="489" eb="490">
      <t>サキ</t>
    </rPh>
    <rPh sb="492" eb="494">
      <t>ジッセン</t>
    </rPh>
    <rPh sb="501" eb="503">
      <t>シドウ</t>
    </rPh>
    <rPh sb="535" eb="537">
      <t>ガクセイ</t>
    </rPh>
    <rPh sb="558" eb="560">
      <t>キギョウ</t>
    </rPh>
    <rPh sb="560" eb="562">
      <t>センタク</t>
    </rPh>
    <rPh sb="571" eb="573">
      <t>ガクセイ</t>
    </rPh>
    <rPh sb="582" eb="584">
      <t>スウリ</t>
    </rPh>
    <rPh sb="596" eb="597">
      <t>トウ</t>
    </rPh>
    <rPh sb="598" eb="600">
      <t>カツヨウ</t>
    </rPh>
    <rPh sb="602" eb="604">
      <t>ジッセン</t>
    </rPh>
    <rPh sb="604" eb="605">
      <t>テキ</t>
    </rPh>
    <rPh sb="635" eb="636">
      <t>ツ</t>
    </rPh>
    <rPh sb="638" eb="640">
      <t>ガクセイ</t>
    </rPh>
    <rPh sb="654" eb="656">
      <t>シャカイ</t>
    </rPh>
    <rPh sb="662" eb="665">
      <t>リカツヨウ</t>
    </rPh>
    <rPh sb="666" eb="668">
      <t>ホウホウ</t>
    </rPh>
    <rPh sb="671" eb="673">
      <t>ガクセイ</t>
    </rPh>
    <rPh sb="674" eb="675">
      <t>ツタ</t>
    </rPh>
    <rPh sb="703" eb="707">
      <t>ガクシュウセイカ</t>
    </rPh>
    <rPh sb="708" eb="711">
      <t>カシカ</t>
    </rPh>
    <rPh sb="711" eb="712">
      <t>トウ</t>
    </rPh>
    <rPh sb="713" eb="715">
      <t>ドウニュウ</t>
    </rPh>
    <rPh sb="762" eb="764">
      <t>セイチョウ</t>
    </rPh>
    <rPh sb="764" eb="766">
      <t>シエン</t>
    </rPh>
    <rPh sb="784" eb="786">
      <t>キノウ</t>
    </rPh>
    <rPh sb="786" eb="788">
      <t>ツイカ</t>
    </rPh>
    <rPh sb="793" eb="795">
      <t>ケイカク</t>
    </rPh>
    <phoneticPr fontId="1"/>
  </si>
  <si>
    <t>情報リテラシーその1：ﾈｯﾄﾜｰｸ利用規範［情報漏洩・ID・情報倫理学修INFOSS・著作権］（1）
情報リテラシーその2：コミュニケーションとは[情報伝達・情報の真偽]、情報社会における倫理[情報モラル・行動規範・コンピューターネットワーク利用に関する規範]（3）
情報リテラシーその3：情報に関する法と責任[知的財産権・著作権・個人情報保護]、情報セキュリティ[コンピューターウイルスとその特徴・セキュリティ対策]（4）</t>
    <rPh sb="0" eb="2">
      <t>ジョウホウ</t>
    </rPh>
    <rPh sb="17" eb="19">
      <t>リヨウ</t>
    </rPh>
    <rPh sb="19" eb="21">
      <t>キハン</t>
    </rPh>
    <rPh sb="22" eb="26">
      <t>ジョウホウロウエイ</t>
    </rPh>
    <rPh sb="30" eb="32">
      <t>ジョウホウ</t>
    </rPh>
    <rPh sb="32" eb="34">
      <t>リンリ</t>
    </rPh>
    <rPh sb="34" eb="36">
      <t>ガクシュウ</t>
    </rPh>
    <rPh sb="51" eb="53">
      <t>ジョウホウ</t>
    </rPh>
    <rPh sb="74" eb="78">
      <t>ジョウホウデンタツ</t>
    </rPh>
    <rPh sb="79" eb="81">
      <t>ジョウホウ</t>
    </rPh>
    <rPh sb="82" eb="84">
      <t>シンギ</t>
    </rPh>
    <rPh sb="86" eb="90">
      <t>ジョウホウシャカイ</t>
    </rPh>
    <rPh sb="94" eb="96">
      <t>リンリ</t>
    </rPh>
    <rPh sb="97" eb="99">
      <t>ジョウホウ</t>
    </rPh>
    <rPh sb="103" eb="107">
      <t>コウドウキハン</t>
    </rPh>
    <rPh sb="121" eb="123">
      <t>リヨウ</t>
    </rPh>
    <rPh sb="124" eb="125">
      <t>カン</t>
    </rPh>
    <rPh sb="127" eb="129">
      <t>キハン</t>
    </rPh>
    <rPh sb="134" eb="136">
      <t>ジョウホウ</t>
    </rPh>
    <rPh sb="145" eb="147">
      <t>ジョウホウ</t>
    </rPh>
    <rPh sb="148" eb="149">
      <t>カン</t>
    </rPh>
    <rPh sb="151" eb="152">
      <t>ホウ</t>
    </rPh>
    <rPh sb="153" eb="155">
      <t>セキニン</t>
    </rPh>
    <rPh sb="156" eb="161">
      <t>チテキザイサンケン</t>
    </rPh>
    <rPh sb="162" eb="165">
      <t>チョサクケン</t>
    </rPh>
    <rPh sb="166" eb="172">
      <t>コジンジョウホウホゴ</t>
    </rPh>
    <rPh sb="174" eb="176">
      <t>ジョウホウ</t>
    </rPh>
    <rPh sb="197" eb="199">
      <t>トクチョウ</t>
    </rPh>
    <rPh sb="206" eb="208">
      <t>タイサク</t>
    </rPh>
    <phoneticPr fontId="1"/>
  </si>
  <si>
    <t>AI基礎、生涯学習特別講義（AI応用Ⅱ）、生涯学習特別講義（データサイエンス基礎）、生涯学習特別講義（データサイエンス応用）</t>
    <rPh sb="2" eb="4">
      <t>キソ</t>
    </rPh>
    <rPh sb="59" eb="61">
      <t>オウヨウ</t>
    </rPh>
    <phoneticPr fontId="1"/>
  </si>
  <si>
    <t>AI基礎、生涯学習特別講義（AI応用Ⅰ）</t>
    <rPh sb="2" eb="4">
      <t>キソ</t>
    </rPh>
    <rPh sb="16" eb="18">
      <t>オウヨウ</t>
    </rPh>
    <phoneticPr fontId="1"/>
  </si>
  <si>
    <t>KIT数理データサイエンス教育プログラム</t>
    <rPh sb="3" eb="5">
      <t>スウリ</t>
    </rPh>
    <rPh sb="13" eb="15">
      <t>キョウイク</t>
    </rPh>
    <phoneticPr fontId="1"/>
  </si>
  <si>
    <t>数理データサイエンス教育推進委員会</t>
    <rPh sb="0" eb="2">
      <t>スウリ</t>
    </rPh>
    <rPh sb="10" eb="12">
      <t>キョウイク</t>
    </rPh>
    <rPh sb="12" eb="14">
      <t>スイシン</t>
    </rPh>
    <rPh sb="14" eb="17">
      <t>イインカイ</t>
    </rPh>
    <phoneticPr fontId="1"/>
  </si>
  <si>
    <t>1年次前学期の必修科目「修学基礎A」にて、学長が①近年のIT普及と共に社会活動のデジタル化が加速し、生活・教育・企業活動をはじめとした社会生活全てが変革するSociety5.0社会が到来すること、②このようなデジタル化社会において、「持続可能な社会と人中心の社会の形成」ならびに「Society5.0社会をリードできる人材」を育成する教育プログラムを展開していること、③このような社会変化と生活が密接に結びついていることを地方創生を例にして解説し、④学生個々人が具体的にどのような社会変化を感じているか、また、卒業までに社会がどう変革していくか考えること、を通して現在進行中の社会変化と学生個々人の生活が関係していることを学修する。本科目の担当教員がこれらの内容について聴講ノートの作成とグループ討議を指導し、学生は上記の内容について理解を深める学修を行っている。</t>
    <rPh sb="21" eb="23">
      <t>ガクチョウ</t>
    </rPh>
    <rPh sb="213" eb="215">
      <t>ソウセイ</t>
    </rPh>
    <rPh sb="265" eb="267">
      <t>ヘンカク</t>
    </rPh>
    <rPh sb="302" eb="304">
      <t>カンケイ</t>
    </rPh>
    <rPh sb="311" eb="313">
      <t>ガクシュウ</t>
    </rPh>
    <rPh sb="376" eb="377">
      <t>オコナ</t>
    </rPh>
    <phoneticPr fontId="1"/>
  </si>
  <si>
    <t>1年次前学期の必修科目「ICT基礎」にて、パソコンの操作を通して①ネットワークセキュリティに関する仕組みと設定、②情報漏洩やウイルス攻撃によるリスクや社会への影響とその対策に関する知識、データを扱う上での心構えや留意点を学修している。
1年次後学期の必修科目「AI基礎」にて、①AIを活用する際に関係する法令の遵守と倫理的問題、②個人情報保護法などの法令の遵守に加えて、広範な基準としての情報社会の倫理ならびにAI倫理、③人にかかわる情報やデータの取り扱いに関する倫理、を尊重する知識・態度を学修している。</t>
    <rPh sb="7" eb="9">
      <t>ヒッシュウ</t>
    </rPh>
    <rPh sb="9" eb="11">
      <t>カモク</t>
    </rPh>
    <rPh sb="26" eb="28">
      <t>ソウサ</t>
    </rPh>
    <rPh sb="29" eb="30">
      <t>トオ</t>
    </rPh>
    <rPh sb="75" eb="77">
      <t>シャカイ</t>
    </rPh>
    <rPh sb="79" eb="81">
      <t>エイキョウ</t>
    </rPh>
    <rPh sb="87" eb="88">
      <t>カン</t>
    </rPh>
    <rPh sb="102" eb="104">
      <t>ココロガマ</t>
    </rPh>
    <phoneticPr fontId="1"/>
  </si>
  <si>
    <t>1年次後学期の必修科目「AI基礎」にて、随筆「枕草子」のデータを活用して、AIによるテキスト分析と主人公の性格分析の体験・演習を行う。また、企業と連携して開発した機械学習用の教材を利用し、①データの構成や扱い、②画像認識、自然言語処理、対話型音声識別の基本操作、を演習形式で学修している。
1年次前学期の必修科目「プロジェクトデザイン入門（実験）」にて、問題発見解決プロセスを学習するうえで、身近な事象で専門と関連した特徴的なモノを対象に、①実際の調査や実験・実習により「データを収集→整理→分析→仮説→視覚化→報告」の各プロセスにおけるデータの読み取り方や取り扱い法、②実験・実習結果の口頭発表とその準備の間でデータの取り扱いスキルや、これらを他者に分かりやすく説明することを学修している。</t>
    <rPh sb="20" eb="22">
      <t>ズイヒツ</t>
    </rPh>
    <rPh sb="23" eb="24">
      <t>マクラ</t>
    </rPh>
    <rPh sb="24" eb="26">
      <t>ソウシ</t>
    </rPh>
    <rPh sb="32" eb="34">
      <t>カツヨウ</t>
    </rPh>
    <rPh sb="46" eb="48">
      <t>ブンセキ</t>
    </rPh>
    <rPh sb="49" eb="52">
      <t>シュジンコウ</t>
    </rPh>
    <rPh sb="53" eb="57">
      <t>セイカクブンセキ</t>
    </rPh>
    <rPh sb="58" eb="60">
      <t>タイケン</t>
    </rPh>
    <rPh sb="61" eb="63">
      <t>エンシュウ</t>
    </rPh>
    <rPh sb="64" eb="65">
      <t>オコナ</t>
    </rPh>
    <rPh sb="70" eb="72">
      <t>キギョウ</t>
    </rPh>
    <rPh sb="73" eb="75">
      <t>レンケイ</t>
    </rPh>
    <rPh sb="77" eb="79">
      <t>カイハツ</t>
    </rPh>
    <rPh sb="87" eb="89">
      <t>キョウザイ</t>
    </rPh>
    <rPh sb="90" eb="92">
      <t>リヨウ</t>
    </rPh>
    <rPh sb="196" eb="198">
      <t>ミジカ</t>
    </rPh>
    <rPh sb="199" eb="201">
      <t>ジショウ</t>
    </rPh>
    <rPh sb="224" eb="226">
      <t>チョウサ</t>
    </rPh>
    <rPh sb="304" eb="305">
      <t>カン</t>
    </rPh>
    <rPh sb="323" eb="325">
      <t>タシャ</t>
    </rPh>
    <rPh sb="326" eb="327">
      <t>ワ</t>
    </rPh>
    <phoneticPr fontId="1"/>
  </si>
  <si>
    <t>【委員長】森本喜隆　（教務部長・機械工学科　教授）
【副委員長】山本知仁 （情報工学科　教授）
【委員】谷口進一（数理基礎教育課程　教授）、　 中村　晃（数理基礎教育課程　教授）、
　　　　古屋栄彦（基礎実技教育課程　准教授）、 西川幸延（基礎実技教育課程　教授）、
　　　　河合宏之（ロボティクス学科　教授）、　  　 黒瀬　浩（情報工学科　教授）、
　　　　長田茂美（情報工学科　教授）、　　　　  　 松井くにお（情報工学科　教授）、
　　　　中野　淳（情報工学科　教授）、　　　　　 　 向井宏明（情報工学科　教授）、
　　　　河並　崇（情報工学科　准教授）、　　　   　鷹合大輔（情報工学科　准教授）、
　　　　武市祥司（経営情報学科　教授）　
　　　　谷　正史（大学事務局　局長）、　　　　　　　西川紀子（共創教育推進室課長）、
　　　　小松義明（教務課教務係長）
　　　　　　　　　</t>
    <rPh sb="1" eb="4">
      <t>イインチョウ</t>
    </rPh>
    <rPh sb="5" eb="7">
      <t>モリモト</t>
    </rPh>
    <rPh sb="11" eb="15">
      <t>キョウムブチョウ</t>
    </rPh>
    <rPh sb="16" eb="21">
      <t>キカイコウガクカ</t>
    </rPh>
    <rPh sb="22" eb="24">
      <t>キョウジュ</t>
    </rPh>
    <rPh sb="27" eb="31">
      <t>フクイインチョウ</t>
    </rPh>
    <rPh sb="33" eb="35">
      <t>トモヒトキョウジュ</t>
    </rPh>
    <rPh sb="74" eb="75">
      <t>アキラ</t>
    </rPh>
    <rPh sb="97" eb="98">
      <t>ヒコ</t>
    </rPh>
    <rPh sb="100" eb="102">
      <t>キソ</t>
    </rPh>
    <rPh sb="102" eb="104">
      <t>ジツギ</t>
    </rPh>
    <rPh sb="104" eb="106">
      <t>キョウイク</t>
    </rPh>
    <rPh sb="109" eb="110">
      <t>ジュン</t>
    </rPh>
    <rPh sb="115" eb="117">
      <t>ノブユキジョウホウコウガクカ</t>
    </rPh>
    <rPh sb="138" eb="140">
      <t>カワイ</t>
    </rPh>
    <rPh sb="140" eb="142">
      <t>ヒロユキ</t>
    </rPh>
    <rPh sb="149" eb="151">
      <t>ガッカ</t>
    </rPh>
    <rPh sb="152" eb="154">
      <t>キョウジュ</t>
    </rPh>
    <rPh sb="279" eb="280">
      <t>ジュン</t>
    </rPh>
    <rPh sb="302" eb="303">
      <t>ジュン</t>
    </rPh>
    <rPh sb="317" eb="319">
      <t>ケイエイ</t>
    </rPh>
    <rPh sb="319" eb="321">
      <t>ジョウホウ</t>
    </rPh>
    <rPh sb="321" eb="323">
      <t>ガッカ</t>
    </rPh>
    <rPh sb="333" eb="334">
      <t>タニ</t>
    </rPh>
    <rPh sb="344" eb="345">
      <t>キョク</t>
    </rPh>
    <phoneticPr fontId="1"/>
  </si>
  <si>
    <t>本学では、４学部12学科の全ての学生が共通して履修する科目を、修学基礎教育課程・数理基礎教育課程・基礎英語課程・基礎実技教育課程の4課程に配置している。本プログラムを構成する５科目も全てこれらの課程の授業科目である。
具体的には、「修学基礎A」は修学基礎教育課程、「AI基礎」は数理基礎教育課程、「ICT基礎」「プロジェクトデザイン入門（実験）」「プロジェクトデザインⅠ」は基礎実技教育課程に配置し、数理・データサイエンス・AI技術に関するリテラシーレベルの学修を連携して実施している。
また、本認定制度の「導入・基礎・心得」の他、「選択」となるアドバンス科目群（13科目）を修学基礎教育課程に配置しているため、学生は入学した学部・学科に関係することなく受講できる体制となっている。</t>
    <rPh sb="69" eb="71">
      <t>ハイチ</t>
    </rPh>
    <rPh sb="97" eb="99">
      <t>カテイ</t>
    </rPh>
    <rPh sb="100" eb="102">
      <t>ジュギョウ</t>
    </rPh>
    <rPh sb="169" eb="171">
      <t>ジッケン</t>
    </rPh>
    <rPh sb="196" eb="198">
      <t>ハイチ</t>
    </rPh>
    <rPh sb="200" eb="202">
      <t>スウリ</t>
    </rPh>
    <rPh sb="214" eb="216">
      <t>ギジュツ</t>
    </rPh>
    <rPh sb="217" eb="218">
      <t>カン</t>
    </rPh>
    <rPh sb="229" eb="231">
      <t>ガクシュウ</t>
    </rPh>
    <rPh sb="232" eb="234">
      <t>レンケイ</t>
    </rPh>
    <rPh sb="236" eb="238">
      <t>ジッシ</t>
    </rPh>
    <rPh sb="284" eb="286">
      <t>カモク</t>
    </rPh>
    <rPh sb="288" eb="290">
      <t>シュウガク</t>
    </rPh>
    <rPh sb="290" eb="292">
      <t>キソ</t>
    </rPh>
    <rPh sb="292" eb="294">
      <t>キョウイク</t>
    </rPh>
    <rPh sb="294" eb="296">
      <t>カテイ</t>
    </rPh>
    <rPh sb="332" eb="334">
      <t>タイセイ</t>
    </rPh>
    <phoneticPr fontId="1"/>
  </si>
  <si>
    <t xml:space="preserve">修了要件対象である５科目において、令和２年度入学生の在学者1,644人（R3.3.31時点）における本プログラムの履修率は100%である。プログラム修了率は90％であり、各科目の合格率と不合格者数は以下の通り。
①修学基礎Ａ：合格率96％、不合格者数64名
②ICT基礎：合格率97％、不合格者数45名
③AI基礎：合格率96％、不合格者数63名
④プロジェクトデザイン入門：合格率96％、不合格者数71名
⑤プロジェクトデザインⅠ：合格率97％、不合格者数56名
各科目で不合格となった学生に対しては、次年度または特別開講時に再履修するように指導している。
</t>
    <rPh sb="26" eb="29">
      <t>ザイガクシャ</t>
    </rPh>
    <rPh sb="50" eb="51">
      <t>ホン</t>
    </rPh>
    <rPh sb="59" eb="60">
      <t>リツ</t>
    </rPh>
    <rPh sb="74" eb="76">
      <t>シュウリョウ</t>
    </rPh>
    <rPh sb="76" eb="77">
      <t>リツ</t>
    </rPh>
    <rPh sb="86" eb="88">
      <t>カモク</t>
    </rPh>
    <rPh sb="99" eb="101">
      <t>イカ</t>
    </rPh>
    <rPh sb="102" eb="103">
      <t>トオ</t>
    </rPh>
    <rPh sb="233" eb="236">
      <t>カクカモク</t>
    </rPh>
    <rPh sb="252" eb="255">
      <t>ジネンド</t>
    </rPh>
    <rPh sb="258" eb="263">
      <t>トクベツカイコウジ</t>
    </rPh>
    <phoneticPr fontId="1"/>
  </si>
  <si>
    <t>○地域連携や産業界との連携
本プログラムの選択科目の科目群は、履修証明プログラム（BP認定）に該当する教育プログラムとして「情報技術教育（AIとビッグデータコース）」と「情報技術教育（IoTとロボティクスコース）」の2つを運用している。また、履修証明プログラムではないものの「情報技術教育（ICTと情報セキュリティコース）」を社会人向けのリカレント教育として運用し、学生と合同で受講している。これらのコースの中には、本プログラムの修了要件対象科目である「AI基礎」も開講しており、企業に所属する社員を中心に社会人を受け入れ、企業や受講した社会人から意見を聞くなど、科目の改善にも協力をいただいている。社員を派遣して頂いた企業とは、データサイエンスやIoTを活用した実装型共同研究活動に発展するなど、企業からの評価も高い。
なお、「AI基礎」の教材開発は、数理解析に特化した企業と共同で開発を行っており、教材にも産業界の視点を取り入れている。
○海外の大学との連携
ベトナム・ホーチミン市に所在する「越日工業大学」は、本学の支援により、本学カリキュラムの主柱である「プロジェクトデザイン教育」を導入している。長期休業期間を利用して、双方の学生がチームを組んで、グローバルな視点を必要とする問題発見解決を行う「PBL学習体験プログラム」を遠隔・対面のハイブリッド形式で行っている。今後は、地域や企業の課題をテーマとし、実データに基づいた課題発見やAI・IoTを活用した解決策の提案を行うようにグローバル型PBL学習内容の改善を図ることを計画している。</t>
    <rPh sb="1" eb="5">
      <t>チイキレンケイ</t>
    </rPh>
    <rPh sb="6" eb="9">
      <t>サンギョウカイ</t>
    </rPh>
    <rPh sb="11" eb="13">
      <t>レンケイ</t>
    </rPh>
    <rPh sb="14" eb="15">
      <t>ホン</t>
    </rPh>
    <rPh sb="21" eb="25">
      <t>センタクカモク</t>
    </rPh>
    <rPh sb="26" eb="29">
      <t>カモクグン</t>
    </rPh>
    <rPh sb="62" eb="66">
      <t>ジョウホウギジュツ</t>
    </rPh>
    <rPh sb="66" eb="68">
      <t>キョウイク</t>
    </rPh>
    <rPh sb="85" eb="87">
      <t>ジョウホウ</t>
    </rPh>
    <rPh sb="87" eb="89">
      <t>ギジュツ</t>
    </rPh>
    <rPh sb="89" eb="91">
      <t>キョウイク</t>
    </rPh>
    <rPh sb="149" eb="151">
      <t>ジョウホウ</t>
    </rPh>
    <rPh sb="163" eb="166">
      <t>シャカイジン</t>
    </rPh>
    <rPh sb="166" eb="167">
      <t>ム</t>
    </rPh>
    <rPh sb="183" eb="185">
      <t>ガクセイ</t>
    </rPh>
    <rPh sb="186" eb="188">
      <t>ゴウドウ</t>
    </rPh>
    <rPh sb="189" eb="191">
      <t>ジュコウ</t>
    </rPh>
    <rPh sb="215" eb="217">
      <t>シュウリョウ</t>
    </rPh>
    <rPh sb="217" eb="219">
      <t>ヨウケン</t>
    </rPh>
    <rPh sb="219" eb="221">
      <t>タイショウ</t>
    </rPh>
    <rPh sb="221" eb="223">
      <t>カモク</t>
    </rPh>
    <rPh sb="243" eb="245">
      <t>ショゾク</t>
    </rPh>
    <rPh sb="262" eb="264">
      <t>キギョウ</t>
    </rPh>
    <rPh sb="265" eb="267">
      <t>ジュコウ</t>
    </rPh>
    <rPh sb="269" eb="272">
      <t>シャカイジン</t>
    </rPh>
    <rPh sb="274" eb="276">
      <t>イケン</t>
    </rPh>
    <rPh sb="277" eb="278">
      <t>キ</t>
    </rPh>
    <rPh sb="282" eb="284">
      <t>カモク</t>
    </rPh>
    <rPh sb="285" eb="287">
      <t>カイゼン</t>
    </rPh>
    <rPh sb="289" eb="291">
      <t>キョウリョク</t>
    </rPh>
    <rPh sb="300" eb="302">
      <t>シャイン</t>
    </rPh>
    <rPh sb="303" eb="305">
      <t>ハケン</t>
    </rPh>
    <rPh sb="307" eb="308">
      <t>イタダ</t>
    </rPh>
    <rPh sb="310" eb="312">
      <t>キギョウ</t>
    </rPh>
    <rPh sb="328" eb="330">
      <t>カツヨウ</t>
    </rPh>
    <rPh sb="332" eb="335">
      <t>ジッソウガタ</t>
    </rPh>
    <rPh sb="335" eb="337">
      <t>キョウドウ</t>
    </rPh>
    <rPh sb="337" eb="339">
      <t>ケンキュウ</t>
    </rPh>
    <rPh sb="339" eb="341">
      <t>カツドウ</t>
    </rPh>
    <rPh sb="342" eb="344">
      <t>ハッテン</t>
    </rPh>
    <rPh sb="349" eb="351">
      <t>キギョウ</t>
    </rPh>
    <rPh sb="354" eb="356">
      <t>ヒョウカ</t>
    </rPh>
    <rPh sb="357" eb="358">
      <t>タカ</t>
    </rPh>
    <rPh sb="377" eb="381">
      <t>スウリカイセキ</t>
    </rPh>
    <rPh sb="382" eb="384">
      <t>トッカ</t>
    </rPh>
    <rPh sb="392" eb="394">
      <t>カイハツ</t>
    </rPh>
    <rPh sb="423" eb="425">
      <t>カイガイ</t>
    </rPh>
    <rPh sb="426" eb="428">
      <t>ダイガク</t>
    </rPh>
    <rPh sb="430" eb="432">
      <t>レンケイ</t>
    </rPh>
    <rPh sb="459" eb="461">
      <t>ホンガク</t>
    </rPh>
    <rPh sb="462" eb="464">
      <t>シエン</t>
    </rPh>
    <rPh sb="504" eb="506">
      <t>チョウキ</t>
    </rPh>
    <rPh sb="506" eb="508">
      <t>キュウギョウ</t>
    </rPh>
    <rPh sb="508" eb="510">
      <t>キカン</t>
    </rPh>
    <rPh sb="511" eb="513">
      <t>リヨウ</t>
    </rPh>
    <rPh sb="516" eb="518">
      <t>ソウホウ</t>
    </rPh>
    <rPh sb="519" eb="521">
      <t>ガクセイ</t>
    </rPh>
    <rPh sb="526" eb="527">
      <t>ク</t>
    </rPh>
    <rPh sb="544" eb="546">
      <t>モンダイ</t>
    </rPh>
    <rPh sb="546" eb="548">
      <t>ハッケン</t>
    </rPh>
    <rPh sb="548" eb="550">
      <t>カイケツ</t>
    </rPh>
    <rPh sb="551" eb="552">
      <t>オコナ</t>
    </rPh>
    <rPh sb="557" eb="559">
      <t>ガクシュウ</t>
    </rPh>
    <rPh sb="559" eb="561">
      <t>タイケン</t>
    </rPh>
    <rPh sb="568" eb="570">
      <t>エンカク</t>
    </rPh>
    <rPh sb="571" eb="573">
      <t>タイメン</t>
    </rPh>
    <rPh sb="580" eb="582">
      <t>ケイシキ</t>
    </rPh>
    <rPh sb="583" eb="584">
      <t>オコナ</t>
    </rPh>
    <rPh sb="589" eb="591">
      <t>コンゴ</t>
    </rPh>
    <rPh sb="593" eb="595">
      <t>チイキ</t>
    </rPh>
    <rPh sb="596" eb="598">
      <t>キギョウ</t>
    </rPh>
    <rPh sb="599" eb="601">
      <t>カダイ</t>
    </rPh>
    <rPh sb="608" eb="609">
      <t>ジツ</t>
    </rPh>
    <rPh sb="613" eb="614">
      <t>モト</t>
    </rPh>
    <rPh sb="617" eb="619">
      <t>カダイ</t>
    </rPh>
    <rPh sb="619" eb="621">
      <t>ハッケン</t>
    </rPh>
    <rPh sb="629" eb="631">
      <t>カツヨウ</t>
    </rPh>
    <rPh sb="633" eb="635">
      <t>カイケツ</t>
    </rPh>
    <rPh sb="635" eb="636">
      <t>サク</t>
    </rPh>
    <rPh sb="637" eb="639">
      <t>テイアン</t>
    </rPh>
    <rPh sb="640" eb="641">
      <t>オコナ</t>
    </rPh>
    <rPh sb="650" eb="651">
      <t>ガタ</t>
    </rPh>
    <rPh sb="654" eb="656">
      <t>ガクシュウ</t>
    </rPh>
    <rPh sb="656" eb="658">
      <t>ナイヨウ</t>
    </rPh>
    <phoneticPr fontId="1"/>
  </si>
  <si>
    <t>授業概要</t>
    <phoneticPr fontId="1"/>
  </si>
  <si>
    <t>授業概要</t>
    <rPh sb="0" eb="4">
      <t>ジュギョウガイヨウ</t>
    </rPh>
    <phoneticPr fontId="1"/>
  </si>
  <si>
    <t>プログラムの履修・修得状況</t>
    <phoneticPr fontId="1"/>
  </si>
  <si>
    <t>学修成果</t>
    <phoneticPr fontId="1"/>
  </si>
  <si>
    <t>学生アンケート等を通じた学生の内容の理解度</t>
    <phoneticPr fontId="1"/>
  </si>
  <si>
    <t>学生アンケート等を通じた後輩等他の学生への推奨度</t>
    <phoneticPr fontId="1"/>
  </si>
  <si>
    <t>全学的な履修者数、履修率向上に向けた計画の達成・進捗状況</t>
    <phoneticPr fontId="1"/>
  </si>
  <si>
    <t>教育プログラム修了者の進路、活躍状況、企業等の評価</t>
    <phoneticPr fontId="1"/>
  </si>
  <si>
    <t>産業界からの視点を含めた教育プログラム内容・手法等への意見</t>
    <phoneticPr fontId="1"/>
  </si>
  <si>
    <t>数理・データサイエンス・ＡＩを「学ぶ楽しさ」「学ぶことの意義」を理解させること</t>
    <phoneticPr fontId="1"/>
  </si>
  <si>
    <t>内容・水準を維持・向上しつつ、より「分かりやすい」授業とすること</t>
    <phoneticPr fontId="1"/>
  </si>
  <si>
    <t>本プログラムは令和２年度入学生以降の全学生（4学部12学科）を対象とし、プログラム修了要件となる科目群は、卒業要件である必修5科目で構成している。このうち、１年次前学期に3科目「修学基礎A」「ICT基礎」「プロジェクトデザイン入門（実験）」を開講し、1年次後学期に2科目「AI基礎」「プロジェクトデザインⅠ」を開講している。
本プログラムを構成する科目群は、全て必修科目であるため全入学生が履修する。このため、意欲をもって履修させるために、本プログラムの特色をホームページ等にて公表するほか、「修学基礎A」の開講直後の授業において、学長・学部長等から本学の教育の特色や数理・データサイエンス・AIの関連性と重要性について解説する。
さらに、個別の履修指導は、クラス担任に相当する修学アドバイザーの定期的な個別面談において、大学4年間のカリキュラムの説明に加えて、本プログラムに関係するその後の発展的科目の履修指導を行う。
なお、令和３年度入学生も同じ科目を開講しており、1470名が全員履修中である。よって収容定員のうち53%が現在履修中または修了済みとなっている。令和４年度も同様の対応の予定である</t>
    <rPh sb="50" eb="51">
      <t>グン</t>
    </rPh>
    <rPh sb="116" eb="118">
      <t>ジッケン</t>
    </rPh>
    <rPh sb="176" eb="177">
      <t>グン</t>
    </rPh>
    <rPh sb="407" eb="408">
      <t>オコナ</t>
    </rPh>
    <rPh sb="441" eb="443">
      <t>ゼンイン</t>
    </rPh>
    <rPh sb="483" eb="485">
      <t>レイワ</t>
    </rPh>
    <rPh sb="486" eb="488">
      <t>ネンド</t>
    </rPh>
    <rPh sb="489" eb="491">
      <t>ドウヨウ</t>
    </rPh>
    <rPh sb="492" eb="494">
      <t>タイオウ</t>
    </rPh>
    <rPh sb="495" eb="497">
      <t>ヨテイ</t>
    </rPh>
    <phoneticPr fontId="1"/>
  </si>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</sst>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u/>
      <sz val="11"/>
      <color theme="1"/>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style="hair">
        <color auto="1"/>
      </right>
      <top style="thin">
        <color auto="1"/>
      </top>
      <bottom/>
      <diagonal/>
    </border>
    <border>
      <left style="thin">
        <color auto="1"/>
      </left>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6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10" fillId="0" borderId="0" xfId="0" applyFont="1">
      <alignment vertical="center"/>
    </xf>
    <xf numFmtId="0" fontId="9" fillId="0" borderId="0" xfId="0" applyFont="1" applyAlignment="1">
      <alignment vertical="center"/>
    </xf>
    <xf numFmtId="0" fontId="9"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28" xfId="0" applyFont="1" applyBorder="1" applyAlignment="1">
      <alignment horizontal="center" vertical="center" wrapText="1"/>
    </xf>
    <xf numFmtId="0" fontId="11" fillId="0" borderId="29"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3" fillId="0" borderId="2" xfId="0" applyFont="1" applyBorder="1" applyAlignment="1">
      <alignment horizontal="center" vertical="center" shrinkToFit="1"/>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0"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2" xfId="0" applyNumberFormat="1" applyFont="1" applyBorder="1" applyAlignment="1">
      <alignment vertical="center" shrinkToFit="1"/>
    </xf>
    <xf numFmtId="176" fontId="3" fillId="0" borderId="23" xfId="0" applyNumberFormat="1" applyFont="1" applyBorder="1" applyAlignment="1">
      <alignment vertical="center" shrinkToFit="1"/>
    </xf>
    <xf numFmtId="176" fontId="3" fillId="0" borderId="24"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26" xfId="0" applyNumberFormat="1" applyFont="1" applyBorder="1" applyAlignment="1">
      <alignment vertical="center" shrinkToFit="1"/>
    </xf>
    <xf numFmtId="176" fontId="3" fillId="0" borderId="27" xfId="0" applyNumberFormat="1" applyFont="1" applyBorder="1" applyAlignment="1">
      <alignment vertical="center" shrinkToFit="1"/>
    </xf>
    <xf numFmtId="9" fontId="3" fillId="0" borderId="26" xfId="0" applyNumberFormat="1" applyFont="1" applyBorder="1" applyAlignment="1">
      <alignment vertical="center" shrinkToFit="1"/>
    </xf>
    <xf numFmtId="176" fontId="5" fillId="0" borderId="0" xfId="0" applyNumberFormat="1" applyFont="1" applyBorder="1" applyAlignment="1">
      <alignment vertical="center" shrinkToFit="1"/>
    </xf>
    <xf numFmtId="176" fontId="3" fillId="0" borderId="40" xfId="0" applyNumberFormat="1" applyFont="1" applyBorder="1" applyAlignment="1">
      <alignment vertical="center" shrinkToFit="1"/>
    </xf>
    <xf numFmtId="0" fontId="3" fillId="0" borderId="0" xfId="0" applyFont="1" applyAlignment="1">
      <alignment horizontal="center" vertical="center"/>
    </xf>
    <xf numFmtId="0" fontId="2" fillId="0" borderId="6" xfId="0" applyFont="1" applyBorder="1" applyAlignment="1">
      <alignment vertical="center"/>
    </xf>
    <xf numFmtId="0" fontId="2" fillId="0" borderId="0" xfId="0" applyFont="1" applyBorder="1" applyAlignment="1">
      <alignment horizontal="right" vertical="center"/>
    </xf>
    <xf numFmtId="0" fontId="3" fillId="0" borderId="0" xfId="0" applyFont="1" applyAlignment="1">
      <alignment horizontal="right" vertical="center"/>
    </xf>
    <xf numFmtId="0" fontId="3" fillId="0" borderId="0" xfId="0" applyFont="1" applyAlignment="1">
      <alignment horizontal="center"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vertical="center" shrinkToFit="1"/>
    </xf>
    <xf numFmtId="0" fontId="9" fillId="0" borderId="2" xfId="0" applyFont="1" applyBorder="1" applyAlignment="1">
      <alignment horizontal="center" vertical="center" shrinkToFit="1"/>
    </xf>
    <xf numFmtId="0" fontId="2" fillId="0" borderId="2" xfId="0" applyFont="1" applyBorder="1" applyAlignment="1">
      <alignment horizontal="center" vertical="center" shrinkToFit="1"/>
    </xf>
    <xf numFmtId="0" fontId="3" fillId="0" borderId="0" xfId="0" applyFont="1" applyBorder="1" applyAlignment="1">
      <alignment vertical="center"/>
    </xf>
    <xf numFmtId="0" fontId="9" fillId="0" borderId="11" xfId="0" applyFont="1" applyBorder="1" applyAlignment="1">
      <alignment horizontal="center" vertical="center"/>
    </xf>
    <xf numFmtId="0" fontId="3" fillId="0" borderId="0" xfId="0" applyFont="1" applyAlignment="1">
      <alignment horizontal="left" vertical="center"/>
    </xf>
    <xf numFmtId="0" fontId="3" fillId="0" borderId="10" xfId="0" applyFont="1" applyBorder="1" applyAlignment="1">
      <alignment vertical="center"/>
    </xf>
    <xf numFmtId="0" fontId="3" fillId="0" borderId="10" xfId="0" applyFont="1" applyBorder="1" applyAlignment="1">
      <alignment vertical="center" shrinkToFit="1"/>
    </xf>
    <xf numFmtId="0" fontId="3" fillId="0" borderId="5" xfId="0" applyFont="1" applyBorder="1">
      <alignment vertical="center"/>
    </xf>
    <xf numFmtId="176" fontId="3" fillId="0" borderId="0" xfId="0" applyNumberFormat="1" applyFont="1" applyBorder="1" applyAlignment="1">
      <alignment vertical="center" wrapText="1"/>
    </xf>
    <xf numFmtId="0" fontId="3" fillId="0" borderId="0" xfId="0" applyFont="1" applyBorder="1">
      <alignment vertical="center"/>
    </xf>
    <xf numFmtId="176" fontId="3" fillId="0" borderId="5" xfId="0" applyNumberFormat="1" applyFont="1" applyBorder="1" applyAlignment="1">
      <alignment vertical="center"/>
    </xf>
    <xf numFmtId="176" fontId="3" fillId="0" borderId="0" xfId="0" applyNumberFormat="1" applyFont="1" applyBorder="1">
      <alignment vertical="center"/>
    </xf>
    <xf numFmtId="0" fontId="3" fillId="0" borderId="0" xfId="0" applyFont="1" applyBorder="1" applyAlignment="1">
      <alignment horizontal="center" vertical="center"/>
    </xf>
    <xf numFmtId="176" fontId="3" fillId="0" borderId="0" xfId="0" applyNumberFormat="1" applyFont="1" applyAlignment="1">
      <alignment vertical="center" wrapText="1"/>
    </xf>
    <xf numFmtId="176" fontId="3" fillId="0" borderId="3" xfId="0" applyNumberFormat="1" applyFont="1" applyBorder="1" applyAlignment="1">
      <alignment vertical="center" shrinkToFit="1"/>
    </xf>
    <xf numFmtId="176" fontId="3" fillId="0" borderId="0" xfId="0" applyNumberFormat="1" applyFont="1" applyAlignment="1">
      <alignment horizontal="left" vertical="center" wrapText="1"/>
    </xf>
    <xf numFmtId="0" fontId="3" fillId="0" borderId="6" xfId="0" applyFont="1" applyBorder="1" applyAlignment="1">
      <alignment vertical="center" shrinkToFit="1"/>
    </xf>
    <xf numFmtId="0" fontId="3" fillId="0" borderId="0" xfId="0" applyFont="1" applyBorder="1" applyAlignment="1">
      <alignment horizontal="center" vertical="center" shrinkToFit="1"/>
    </xf>
    <xf numFmtId="0" fontId="3" fillId="0" borderId="0" xfId="0" applyFont="1" applyFill="1">
      <alignment vertical="center"/>
    </xf>
    <xf numFmtId="0" fontId="3" fillId="0" borderId="1" xfId="0" applyFont="1" applyBorder="1">
      <alignment vertical="center"/>
    </xf>
    <xf numFmtId="0" fontId="3" fillId="0" borderId="2" xfId="0" applyFont="1" applyBorder="1">
      <alignment vertical="center"/>
    </xf>
    <xf numFmtId="0" fontId="3" fillId="0" borderId="4" xfId="0" applyFont="1" applyBorder="1">
      <alignment vertical="center"/>
    </xf>
    <xf numFmtId="0" fontId="3" fillId="0" borderId="20" xfId="0" applyFont="1" applyBorder="1" applyAlignment="1">
      <alignment vertical="center" shrinkToFit="1"/>
    </xf>
    <xf numFmtId="176" fontId="3" fillId="0" borderId="20" xfId="0" applyNumberFormat="1" applyFont="1" applyFill="1" applyBorder="1" applyAlignment="1">
      <alignment vertical="center" shrinkToFit="1"/>
    </xf>
    <xf numFmtId="176" fontId="3" fillId="0" borderId="32" xfId="0" applyNumberFormat="1" applyFont="1" applyFill="1" applyBorder="1" applyAlignment="1">
      <alignment vertical="center" shrinkToFit="1"/>
    </xf>
    <xf numFmtId="176" fontId="3" fillId="0" borderId="24" xfId="0" applyNumberFormat="1" applyFont="1" applyFill="1" applyBorder="1" applyAlignment="1">
      <alignment vertical="center" shrinkToFit="1"/>
    </xf>
    <xf numFmtId="176" fontId="3" fillId="0" borderId="34" xfId="0" applyNumberFormat="1" applyFont="1" applyFill="1" applyBorder="1" applyAlignment="1">
      <alignment vertical="center" shrinkToFit="1"/>
    </xf>
    <xf numFmtId="0" fontId="2" fillId="0" borderId="0" xfId="0" applyFont="1" applyFill="1">
      <alignment vertical="center"/>
    </xf>
    <xf numFmtId="0" fontId="3" fillId="0" borderId="0" xfId="0" applyFont="1" applyFill="1" applyBorder="1" applyAlignment="1">
      <alignment vertical="center" wrapText="1"/>
    </xf>
    <xf numFmtId="0" fontId="3" fillId="0" borderId="0" xfId="0" applyFont="1" applyFill="1" applyAlignment="1">
      <alignment vertical="center"/>
    </xf>
    <xf numFmtId="0" fontId="2" fillId="0" borderId="0" xfId="0" applyFont="1" applyFill="1" applyAlignment="1">
      <alignment horizontal="center" vertical="center"/>
    </xf>
    <xf numFmtId="0" fontId="10" fillId="0" borderId="0" xfId="0" applyFont="1" applyFill="1">
      <alignment vertical="center"/>
    </xf>
    <xf numFmtId="0" fontId="3" fillId="0" borderId="0" xfId="0" applyFont="1" applyAlignment="1">
      <alignment horizontal="right" vertical="center"/>
    </xf>
    <xf numFmtId="0" fontId="3" fillId="0" borderId="0" xfId="0" applyFont="1" applyBorder="1" applyAlignment="1">
      <alignment horizontal="right" vertical="center"/>
    </xf>
    <xf numFmtId="0" fontId="2" fillId="0" borderId="6" xfId="0" applyFont="1" applyBorder="1" applyAlignment="1">
      <alignment horizontal="right" vertical="center"/>
    </xf>
    <xf numFmtId="0" fontId="4" fillId="0" borderId="41" xfId="0" applyFont="1" applyBorder="1" applyAlignment="1">
      <alignment vertical="top" wrapText="1"/>
    </xf>
    <xf numFmtId="0" fontId="14" fillId="0" borderId="6" xfId="0" applyFont="1" applyBorder="1" applyAlignment="1">
      <alignment vertical="center" shrinkToFit="1"/>
    </xf>
    <xf numFmtId="0" fontId="3" fillId="0" borderId="0" xfId="0" applyFont="1" applyBorder="1" applyAlignment="1">
      <alignment vertical="center" shrinkToFit="1"/>
    </xf>
    <xf numFmtId="0" fontId="3" fillId="0" borderId="20" xfId="0" applyFont="1" applyBorder="1" applyAlignment="1">
      <alignment vertical="center" shrinkToFit="1"/>
    </xf>
    <xf numFmtId="0" fontId="3" fillId="0" borderId="0" xfId="0" applyFont="1" applyBorder="1" applyAlignment="1">
      <alignment vertical="center" shrinkToFit="1"/>
    </xf>
    <xf numFmtId="176" fontId="3" fillId="0" borderId="2"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0" xfId="0" applyFont="1" applyBorder="1" applyAlignment="1">
      <alignment horizontal="center" vertical="center"/>
    </xf>
    <xf numFmtId="3" fontId="3" fillId="0" borderId="2" xfId="0" applyNumberFormat="1"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right" vertical="center" shrinkToFit="1"/>
    </xf>
    <xf numFmtId="0" fontId="3" fillId="0" borderId="5" xfId="0" applyFont="1" applyBorder="1" applyAlignment="1">
      <alignment horizontal="right" vertical="center" shrinkToFit="1"/>
    </xf>
    <xf numFmtId="0" fontId="3" fillId="0" borderId="10" xfId="0" applyFont="1" applyBorder="1" applyAlignment="1">
      <alignment horizontal="right" vertical="center" shrinkToFi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3" fillId="0" borderId="0" xfId="0" applyFont="1" applyAlignment="1">
      <alignment horizontal="right" vertical="center"/>
    </xf>
    <xf numFmtId="0" fontId="3" fillId="0" borderId="0" xfId="0" applyFont="1" applyBorder="1" applyAlignment="1">
      <alignment horizontal="right" vertical="center"/>
    </xf>
    <xf numFmtId="0" fontId="3" fillId="0" borderId="10" xfId="0" applyFont="1" applyBorder="1" applyAlignment="1">
      <alignment horizontal="right" vertical="center"/>
    </xf>
    <xf numFmtId="176" fontId="3" fillId="0" borderId="2" xfId="0" applyNumberFormat="1" applyFont="1" applyFill="1" applyBorder="1" applyAlignment="1">
      <alignment horizontal="center" vertical="center" shrinkToFit="1"/>
    </xf>
    <xf numFmtId="176" fontId="3" fillId="0" borderId="3" xfId="0" applyNumberFormat="1" applyFont="1" applyFill="1" applyBorder="1" applyAlignment="1">
      <alignment horizontal="center" vertical="center" shrinkToFit="1"/>
    </xf>
    <xf numFmtId="176" fontId="3" fillId="0" borderId="4" xfId="0" applyNumberFormat="1" applyFont="1" applyFill="1" applyBorder="1" applyAlignment="1">
      <alignment horizontal="center" vertical="center" shrinkToFit="1"/>
    </xf>
    <xf numFmtId="0" fontId="3" fillId="0" borderId="0" xfId="0" applyFont="1" applyBorder="1" applyAlignment="1">
      <alignment horizontal="center" vertical="center" shrinkToFit="1"/>
    </xf>
    <xf numFmtId="0" fontId="3" fillId="0" borderId="0" xfId="0" applyFont="1" applyAlignment="1">
      <alignment horizontal="center" vertical="center"/>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49" fontId="17" fillId="0" borderId="2" xfId="2" applyNumberFormat="1" applyFont="1" applyBorder="1" applyAlignment="1">
      <alignment vertical="center" shrinkToFit="1"/>
    </xf>
    <xf numFmtId="49" fontId="3" fillId="0" borderId="3" xfId="0" applyNumberFormat="1" applyFont="1" applyBorder="1" applyAlignment="1">
      <alignment vertical="center" shrinkToFit="1"/>
    </xf>
    <xf numFmtId="49" fontId="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9" fillId="0" borderId="5" xfId="0" applyFont="1" applyBorder="1" applyAlignment="1">
      <alignment vertical="top" wrapText="1"/>
    </xf>
    <xf numFmtId="0" fontId="9" fillId="0" borderId="0" xfId="0" applyFont="1" applyBorder="1" applyAlignment="1">
      <alignment vertical="top" wrapText="1"/>
    </xf>
    <xf numFmtId="0" fontId="9" fillId="0" borderId="10" xfId="0" applyFont="1" applyBorder="1" applyAlignment="1">
      <alignment vertical="top" wrapText="1"/>
    </xf>
    <xf numFmtId="0" fontId="9" fillId="0" borderId="11" xfId="0" applyFont="1" applyBorder="1" applyAlignment="1">
      <alignment vertical="top" wrapText="1"/>
    </xf>
    <xf numFmtId="0" fontId="9" fillId="0" borderId="6" xfId="0" applyFont="1" applyBorder="1" applyAlignment="1">
      <alignment vertical="top" wrapText="1"/>
    </xf>
    <xf numFmtId="0" fontId="9" fillId="0" borderId="6" xfId="0" applyFont="1" applyFill="1" applyBorder="1" applyAlignment="1">
      <alignment vertical="top" wrapText="1"/>
    </xf>
    <xf numFmtId="0" fontId="9" fillId="0" borderId="12" xfId="0" applyFont="1" applyBorder="1" applyAlignment="1">
      <alignment vertical="top" wrapTex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3" fillId="0" borderId="2" xfId="0" applyFont="1" applyBorder="1" applyAlignment="1">
      <alignment horizontal="center" vertical="center"/>
    </xf>
    <xf numFmtId="0" fontId="9" fillId="0" borderId="0" xfId="0" applyFont="1" applyAlignment="1">
      <alignment vertical="center" shrinkToFit="1"/>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6" xfId="0" applyFont="1" applyBorder="1" applyAlignment="1">
      <alignment vertical="center" shrinkToFit="1"/>
    </xf>
    <xf numFmtId="0" fontId="3" fillId="0" borderId="24" xfId="0" applyFont="1" applyBorder="1" applyAlignment="1">
      <alignment horizontal="center" vertical="center" shrinkToFit="1"/>
    </xf>
    <xf numFmtId="0" fontId="3" fillId="0" borderId="25"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37" xfId="0" applyFont="1" applyBorder="1" applyAlignment="1">
      <alignment vertical="center" shrinkToFit="1"/>
    </xf>
    <xf numFmtId="0" fontId="3" fillId="0" borderId="38"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6"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13" fillId="0" borderId="2" xfId="0" applyFont="1" applyBorder="1" applyAlignment="1">
      <alignment horizontal="left" vertical="center" wrapText="1" shrinkToFit="1"/>
    </xf>
    <xf numFmtId="0" fontId="13" fillId="0" borderId="3" xfId="0" applyFont="1" applyBorder="1" applyAlignment="1">
      <alignment horizontal="left" vertical="center" wrapText="1" shrinkToFit="1"/>
    </xf>
    <xf numFmtId="0" fontId="13" fillId="0" borderId="4" xfId="0" applyFont="1" applyBorder="1" applyAlignment="1">
      <alignment horizontal="left" vertical="center" wrapText="1"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Fill="1" applyBorder="1" applyAlignment="1">
      <alignment horizontal="center" vertical="center"/>
    </xf>
    <xf numFmtId="0" fontId="3" fillId="0" borderId="16" xfId="0" applyFont="1" applyBorder="1" applyAlignment="1">
      <alignment vertical="center" wrapText="1"/>
    </xf>
    <xf numFmtId="0" fontId="3" fillId="0" borderId="39" xfId="0" applyFont="1" applyBorder="1" applyAlignment="1">
      <alignment vertical="center" wrapText="1"/>
    </xf>
    <xf numFmtId="0" fontId="3" fillId="0" borderId="13" xfId="0" applyFont="1" applyBorder="1" applyAlignment="1">
      <alignment vertical="center" wrapText="1"/>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9" fillId="0" borderId="7" xfId="0" applyFont="1" applyBorder="1" applyAlignment="1">
      <alignment vertical="top" wrapText="1"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9" fillId="0" borderId="2" xfId="0" applyFont="1" applyBorder="1" applyAlignment="1">
      <alignment horizontal="left" vertical="center" wrapText="1" shrinkToFit="1"/>
    </xf>
    <xf numFmtId="0" fontId="9" fillId="0" borderId="3" xfId="0" applyFont="1" applyBorder="1" applyAlignment="1">
      <alignment horizontal="left" vertical="center" wrapText="1" shrinkToFit="1"/>
    </xf>
    <xf numFmtId="0" fontId="9" fillId="0" borderId="4" xfId="0" applyFont="1" applyBorder="1" applyAlignment="1">
      <alignment horizontal="left" vertical="center" wrapText="1" shrinkToFi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2" fillId="0" borderId="0" xfId="0" applyFont="1" applyAlignment="1">
      <alignment horizontal="center" vertical="center"/>
    </xf>
    <xf numFmtId="0" fontId="7" fillId="0" borderId="2" xfId="2"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2"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9" fillId="0" borderId="2" xfId="0" applyFont="1" applyFill="1" applyBorder="1" applyAlignment="1">
      <alignment horizontal="left" vertical="center" wrapText="1" shrinkToFit="1"/>
    </xf>
    <xf numFmtId="0" fontId="9" fillId="0" borderId="3" xfId="0" applyFont="1" applyFill="1" applyBorder="1" applyAlignment="1">
      <alignment horizontal="left" vertical="center" shrinkToFit="1"/>
    </xf>
    <xf numFmtId="0" fontId="9" fillId="0" borderId="4" xfId="0" applyFont="1" applyFill="1" applyBorder="1" applyAlignment="1">
      <alignment horizontal="left" vertical="center" shrinkToFit="1"/>
    </xf>
    <xf numFmtId="0" fontId="2" fillId="0" borderId="6" xfId="0" applyFont="1" applyBorder="1" applyAlignment="1">
      <alignment horizontal="left" vertical="center" shrinkToFit="1"/>
    </xf>
    <xf numFmtId="0" fontId="3" fillId="0" borderId="2"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2" fillId="0" borderId="0" xfId="0" applyFont="1" applyAlignment="1">
      <alignment vertical="center"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wrapText="1"/>
    </xf>
    <xf numFmtId="0" fontId="0" fillId="0" borderId="19" xfId="0" applyBorder="1" applyAlignment="1">
      <alignment vertical="center" wrapText="1"/>
    </xf>
    <xf numFmtId="0" fontId="2" fillId="0" borderId="19" xfId="0" applyFont="1" applyBorder="1" applyAlignment="1">
      <alignment vertical="center" wrapText="1"/>
    </xf>
    <xf numFmtId="0" fontId="9" fillId="0" borderId="21" xfId="0" applyFont="1" applyBorder="1" applyAlignment="1">
      <alignment vertical="top" wrapText="1" shrinkToFit="1"/>
    </xf>
    <xf numFmtId="0" fontId="9" fillId="0" borderId="19" xfId="0" applyFont="1" applyBorder="1" applyAlignment="1">
      <alignment vertical="top" wrapText="1" shrinkToFit="1"/>
    </xf>
    <xf numFmtId="0" fontId="3" fillId="0" borderId="21" xfId="0" applyFont="1" applyFill="1" applyBorder="1" applyAlignment="1">
      <alignment vertical="top" wrapText="1" shrinkToFit="1"/>
    </xf>
    <xf numFmtId="0" fontId="3" fillId="0" borderId="19" xfId="0" applyFont="1" applyFill="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9" fillId="0" borderId="21" xfId="0" applyFont="1" applyFill="1" applyBorder="1" applyAlignment="1">
      <alignment vertical="top" wrapText="1" shrinkToFit="1"/>
    </xf>
    <xf numFmtId="0" fontId="9" fillId="2" borderId="21" xfId="0" applyFont="1" applyFill="1" applyBorder="1" applyAlignment="1">
      <alignment vertical="top" wrapText="1" shrinkToFit="1"/>
    </xf>
    <xf numFmtId="0" fontId="9" fillId="2" borderId="19" xfId="0" applyFont="1" applyFill="1" applyBorder="1" applyAlignment="1">
      <alignment vertical="top" wrapText="1" shrinkToFi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9" fillId="0" borderId="20" xfId="0" applyFont="1" applyFill="1" applyBorder="1" applyAlignment="1">
      <alignment vertical="top" wrapText="1" shrinkToFit="1"/>
    </xf>
    <xf numFmtId="0" fontId="9" fillId="0" borderId="19" xfId="0" applyFont="1" applyFill="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9" fillId="0" borderId="20" xfId="0" applyFont="1" applyBorder="1" applyAlignment="1">
      <alignment vertical="top" wrapText="1" shrinkToFit="1"/>
    </xf>
    <xf numFmtId="0" fontId="9" fillId="0" borderId="6" xfId="0" applyFont="1" applyFill="1" applyBorder="1" applyAlignment="1">
      <alignment vertical="top" wrapText="1" shrinkToFit="1"/>
    </xf>
    <xf numFmtId="0" fontId="9" fillId="0" borderId="12" xfId="0" applyFont="1" applyFill="1" applyBorder="1" applyAlignment="1">
      <alignment vertical="top" wrapText="1" shrinkToFit="1"/>
    </xf>
    <xf numFmtId="0" fontId="3" fillId="0" borderId="7" xfId="0" applyFont="1" applyFill="1" applyBorder="1" applyAlignment="1">
      <alignment vertical="top" wrapText="1" shrinkToFit="1"/>
    </xf>
    <xf numFmtId="0" fontId="3" fillId="0" borderId="8" xfId="0" applyFont="1" applyFill="1" applyBorder="1" applyAlignment="1">
      <alignment vertical="top" shrinkToFit="1"/>
    </xf>
    <xf numFmtId="0" fontId="3" fillId="0" borderId="9" xfId="0" applyFont="1" applyFill="1" applyBorder="1" applyAlignment="1">
      <alignment vertical="top" shrinkToFit="1"/>
    </xf>
    <xf numFmtId="0" fontId="3" fillId="0" borderId="5" xfId="0" applyFont="1" applyFill="1" applyBorder="1" applyAlignment="1">
      <alignment vertical="top" shrinkToFit="1"/>
    </xf>
    <xf numFmtId="0" fontId="3" fillId="0" borderId="0" xfId="0" applyFont="1" applyFill="1" applyBorder="1" applyAlignment="1">
      <alignment vertical="top" shrinkToFit="1"/>
    </xf>
    <xf numFmtId="0" fontId="3" fillId="0" borderId="10" xfId="0" applyFont="1" applyFill="1" applyBorder="1" applyAlignment="1">
      <alignment vertical="top" shrinkToFit="1"/>
    </xf>
    <xf numFmtId="0" fontId="3" fillId="0" borderId="11" xfId="0" applyFont="1" applyFill="1" applyBorder="1" applyAlignment="1">
      <alignment vertical="top" shrinkToFit="1"/>
    </xf>
    <xf numFmtId="0" fontId="3" fillId="0" borderId="6" xfId="0" applyFont="1" applyFill="1" applyBorder="1" applyAlignment="1">
      <alignment vertical="top" shrinkToFit="1"/>
    </xf>
    <xf numFmtId="0" fontId="3" fillId="0" borderId="12" xfId="0" applyFont="1" applyFill="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sou-jimu@mlist.kanazawa-it.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kanazawa-it.ac.jp/mdash/"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kanazawa-it.ac.jp/mdash/"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47"/>
  <sheetViews>
    <sheetView topLeftCell="A28" zoomScale="120" zoomScaleNormal="120" workbookViewId="0"/>
  </sheetViews>
  <sheetFormatPr defaultColWidth="9" defaultRowHeight="18.75" customHeight="1" x14ac:dyDescent="0.15"/>
  <cols>
    <col min="1" max="1" width="2.5" style="10" customWidth="1"/>
    <col min="2" max="2" width="12.5" style="10" customWidth="1"/>
    <col min="3" max="8" width="6.25" style="10" customWidth="1"/>
    <col min="9" max="9" width="2.5" style="10" customWidth="1"/>
    <col min="10" max="10" width="10" style="10" customWidth="1"/>
    <col min="11" max="11" width="2.5" style="10" customWidth="1"/>
    <col min="12" max="12" width="7.5" style="10" customWidth="1"/>
    <col min="13" max="13" width="2.5" style="10" customWidth="1"/>
    <col min="14" max="14" width="7.5" style="10" customWidth="1"/>
    <col min="15" max="16384" width="9" style="10"/>
  </cols>
  <sheetData>
    <row r="1" spans="1:14" ht="22.5" customHeight="1" x14ac:dyDescent="0.15">
      <c r="M1" s="164" t="s">
        <v>29</v>
      </c>
      <c r="N1" s="164"/>
    </row>
    <row r="2" spans="1:14" ht="22.5" customHeight="1" x14ac:dyDescent="0.15">
      <c r="A2" s="171" t="s">
        <v>122</v>
      </c>
      <c r="B2" s="171"/>
      <c r="C2" s="171"/>
      <c r="D2" s="171"/>
      <c r="E2" s="171"/>
      <c r="F2" s="171"/>
      <c r="G2" s="171"/>
      <c r="H2" s="171"/>
      <c r="I2" s="171"/>
      <c r="J2" s="171"/>
      <c r="K2" s="171"/>
      <c r="L2" s="171"/>
      <c r="M2" s="171"/>
      <c r="N2" s="171"/>
    </row>
    <row r="3" spans="1:14" ht="22.5" customHeight="1" x14ac:dyDescent="0.15"/>
    <row r="4" spans="1:14" ht="22.5" customHeight="1" x14ac:dyDescent="0.15">
      <c r="A4" s="10" t="s">
        <v>7</v>
      </c>
      <c r="B4" s="5" t="s">
        <v>20</v>
      </c>
      <c r="C4" s="148" t="s">
        <v>123</v>
      </c>
      <c r="D4" s="149"/>
      <c r="E4" s="149"/>
      <c r="F4" s="149"/>
      <c r="G4" s="149"/>
      <c r="H4" s="149"/>
      <c r="I4" s="149"/>
      <c r="J4" s="149"/>
      <c r="K4" s="149"/>
      <c r="L4" s="149"/>
      <c r="M4" s="149"/>
      <c r="N4" s="150"/>
    </row>
    <row r="5" spans="1:14" ht="7.5" customHeight="1" x14ac:dyDescent="0.15">
      <c r="B5" s="5"/>
      <c r="C5" s="5"/>
      <c r="D5" s="5"/>
      <c r="E5" s="110"/>
      <c r="F5" s="74"/>
      <c r="G5" s="74"/>
      <c r="H5" s="74"/>
      <c r="I5" s="74"/>
      <c r="J5" s="74"/>
      <c r="K5" s="74"/>
      <c r="L5" s="74"/>
      <c r="M5" s="74"/>
      <c r="N5" s="74"/>
    </row>
    <row r="6" spans="1:14" ht="22.5" customHeight="1" x14ac:dyDescent="0.15">
      <c r="A6" s="10" t="s">
        <v>48</v>
      </c>
      <c r="B6" s="5" t="s">
        <v>49</v>
      </c>
      <c r="C6" s="5"/>
      <c r="D6" s="148" t="s">
        <v>124</v>
      </c>
      <c r="E6" s="149"/>
      <c r="F6" s="149"/>
      <c r="G6" s="149"/>
      <c r="H6" s="149"/>
      <c r="I6" s="149"/>
      <c r="J6" s="149"/>
      <c r="K6" s="149"/>
      <c r="L6" s="149"/>
      <c r="M6" s="149"/>
      <c r="N6" s="150"/>
    </row>
    <row r="7" spans="1:14" ht="7.5" customHeight="1" x14ac:dyDescent="0.15">
      <c r="B7" s="5"/>
      <c r="C7" s="5"/>
      <c r="D7" s="5"/>
      <c r="E7" s="110"/>
      <c r="F7" s="74"/>
      <c r="G7" s="74"/>
      <c r="H7" s="74"/>
      <c r="I7" s="74"/>
      <c r="J7" s="74"/>
      <c r="K7" s="74"/>
      <c r="L7" s="74"/>
      <c r="M7" s="74"/>
      <c r="N7" s="74"/>
    </row>
    <row r="8" spans="1:14" ht="22.5" customHeight="1" x14ac:dyDescent="0.15">
      <c r="A8" s="108" t="s">
        <v>13</v>
      </c>
      <c r="B8" s="111" t="s">
        <v>50</v>
      </c>
      <c r="C8" s="148" t="s">
        <v>125</v>
      </c>
      <c r="D8" s="149"/>
      <c r="E8" s="150"/>
      <c r="F8" s="74"/>
      <c r="G8" s="170"/>
      <c r="H8" s="170"/>
      <c r="I8" s="170"/>
      <c r="J8" s="74"/>
      <c r="K8" s="74"/>
      <c r="L8" s="74"/>
      <c r="M8" s="74"/>
      <c r="N8" s="74"/>
    </row>
    <row r="9" spans="1:14" ht="7.5" customHeight="1" x14ac:dyDescent="0.15">
      <c r="B9" s="5"/>
      <c r="C9" s="5"/>
      <c r="D9" s="5"/>
      <c r="E9" s="110"/>
      <c r="F9" s="74"/>
      <c r="G9" s="74"/>
      <c r="H9" s="74"/>
      <c r="I9" s="74"/>
      <c r="J9" s="74"/>
      <c r="K9" s="74"/>
      <c r="L9" s="74"/>
      <c r="M9" s="74"/>
      <c r="N9" s="74"/>
    </row>
    <row r="10" spans="1:14" ht="22.5" customHeight="1" x14ac:dyDescent="0.15">
      <c r="A10" s="10" t="s">
        <v>17</v>
      </c>
      <c r="B10" s="5" t="s">
        <v>45</v>
      </c>
      <c r="C10" s="148" t="s">
        <v>126</v>
      </c>
      <c r="D10" s="149"/>
      <c r="E10" s="149"/>
      <c r="F10" s="149"/>
      <c r="G10" s="149"/>
      <c r="H10" s="149"/>
      <c r="I10" s="149"/>
      <c r="J10" s="149"/>
      <c r="K10" s="149"/>
      <c r="L10" s="149"/>
      <c r="M10" s="149"/>
      <c r="N10" s="150"/>
    </row>
    <row r="11" spans="1:14" ht="7.5" customHeight="1" x14ac:dyDescent="0.15">
      <c r="B11" s="5"/>
      <c r="C11" s="5"/>
      <c r="D11" s="5"/>
      <c r="E11" s="110"/>
      <c r="F11" s="74"/>
      <c r="G11" s="74"/>
      <c r="H11" s="74"/>
      <c r="I11" s="74"/>
      <c r="J11" s="74"/>
      <c r="K11" s="74"/>
      <c r="L11" s="74"/>
      <c r="M11" s="74"/>
      <c r="N11" s="74"/>
    </row>
    <row r="12" spans="1:14" ht="22.5" customHeight="1" x14ac:dyDescent="0.15">
      <c r="A12" s="10" t="s">
        <v>14</v>
      </c>
      <c r="B12" s="5" t="s">
        <v>118</v>
      </c>
      <c r="C12" s="5"/>
      <c r="D12" s="5"/>
      <c r="E12" s="74"/>
      <c r="F12" s="112"/>
      <c r="G12" s="172" t="s">
        <v>204</v>
      </c>
      <c r="H12" s="173"/>
      <c r="I12" s="173"/>
      <c r="J12" s="173"/>
      <c r="K12" s="173"/>
      <c r="L12" s="173"/>
      <c r="M12" s="173"/>
      <c r="N12" s="174"/>
    </row>
    <row r="13" spans="1:14" ht="7.5" customHeight="1" x14ac:dyDescent="0.15">
      <c r="B13" s="110"/>
      <c r="C13" s="110"/>
      <c r="D13" s="110"/>
      <c r="E13" s="110"/>
      <c r="F13" s="74"/>
      <c r="G13" s="74"/>
      <c r="H13" s="74"/>
      <c r="I13" s="74"/>
      <c r="J13" s="74"/>
      <c r="K13" s="74"/>
      <c r="L13" s="74"/>
      <c r="M13" s="74"/>
      <c r="N13" s="74"/>
    </row>
    <row r="14" spans="1:14" ht="22.5" customHeight="1" x14ac:dyDescent="0.15">
      <c r="A14" s="10" t="s">
        <v>60</v>
      </c>
      <c r="B14" s="110" t="s">
        <v>61</v>
      </c>
      <c r="C14" s="110"/>
      <c r="D14" s="110"/>
      <c r="E14" s="110"/>
      <c r="F14" s="148" t="s">
        <v>127</v>
      </c>
      <c r="G14" s="149"/>
      <c r="H14" s="150"/>
      <c r="I14" s="74"/>
      <c r="J14" s="74"/>
      <c r="K14" s="74"/>
      <c r="L14" s="74"/>
      <c r="M14" s="74"/>
      <c r="N14" s="74"/>
    </row>
    <row r="15" spans="1:14" ht="7.5" customHeight="1" x14ac:dyDescent="0.15">
      <c r="B15" s="110"/>
      <c r="C15" s="110"/>
      <c r="D15" s="110"/>
      <c r="E15" s="110"/>
      <c r="F15" s="74"/>
      <c r="G15" s="74"/>
      <c r="H15" s="74"/>
      <c r="I15" s="74"/>
      <c r="J15" s="74"/>
      <c r="K15" s="74"/>
      <c r="L15" s="74"/>
      <c r="M15" s="74"/>
      <c r="N15" s="74"/>
    </row>
    <row r="16" spans="1:14" ht="22.5" customHeight="1" x14ac:dyDescent="0.15">
      <c r="A16" s="10" t="s">
        <v>15</v>
      </c>
      <c r="B16" s="10" t="s">
        <v>0</v>
      </c>
      <c r="C16" s="165" t="s">
        <v>6</v>
      </c>
      <c r="D16" s="166"/>
      <c r="E16" s="167">
        <v>324</v>
      </c>
      <c r="F16" s="169"/>
      <c r="G16" s="113" t="s">
        <v>10</v>
      </c>
      <c r="I16" s="165" t="s">
        <v>11</v>
      </c>
      <c r="J16" s="166"/>
      <c r="K16" s="167">
        <v>139</v>
      </c>
      <c r="L16" s="168"/>
      <c r="M16" s="169"/>
      <c r="N16" s="114" t="s">
        <v>10</v>
      </c>
    </row>
    <row r="17" spans="1:14" ht="7.5" customHeight="1" x14ac:dyDescent="0.15">
      <c r="F17" s="115"/>
      <c r="G17" s="115"/>
      <c r="H17" s="115"/>
      <c r="I17" s="115"/>
      <c r="J17" s="115"/>
      <c r="K17" s="115"/>
      <c r="L17" s="115"/>
      <c r="M17" s="114"/>
      <c r="N17" s="114"/>
    </row>
    <row r="18" spans="1:14" ht="22.5" customHeight="1" x14ac:dyDescent="0.15">
      <c r="A18" s="10" t="s">
        <v>54</v>
      </c>
      <c r="B18" s="10" t="s">
        <v>83</v>
      </c>
      <c r="F18" s="115"/>
      <c r="G18" s="115"/>
      <c r="H18" s="115"/>
      <c r="I18" s="115"/>
      <c r="J18" s="115"/>
      <c r="K18" s="161">
        <v>101</v>
      </c>
      <c r="L18" s="162"/>
      <c r="M18" s="163"/>
      <c r="N18" s="114" t="s">
        <v>52</v>
      </c>
    </row>
    <row r="19" spans="1:14" ht="7.5" customHeight="1" x14ac:dyDescent="0.15">
      <c r="F19" s="115"/>
      <c r="G19" s="115"/>
      <c r="H19" s="115"/>
      <c r="I19" s="115"/>
      <c r="J19" s="115"/>
      <c r="K19" s="115"/>
      <c r="L19" s="115"/>
      <c r="M19" s="114"/>
      <c r="N19" s="114"/>
    </row>
    <row r="20" spans="1:14" ht="22.5" customHeight="1" x14ac:dyDescent="0.15">
      <c r="A20" s="10" t="s">
        <v>62</v>
      </c>
      <c r="B20" s="10" t="s">
        <v>115</v>
      </c>
      <c r="E20" s="146">
        <v>1480</v>
      </c>
      <c r="F20" s="147"/>
      <c r="G20" s="116" t="s">
        <v>25</v>
      </c>
      <c r="H20" s="115"/>
      <c r="K20" s="145"/>
      <c r="L20" s="145"/>
      <c r="M20" s="145"/>
      <c r="N20" s="145"/>
    </row>
    <row r="21" spans="1:14" ht="7.5" customHeight="1" x14ac:dyDescent="0.15">
      <c r="E21" s="117"/>
      <c r="F21" s="115"/>
      <c r="G21" s="115"/>
      <c r="L21" s="118"/>
      <c r="M21" s="118"/>
      <c r="N21" s="119"/>
    </row>
    <row r="22" spans="1:14" ht="22.5" customHeight="1" x14ac:dyDescent="0.15">
      <c r="A22" s="10" t="s">
        <v>28</v>
      </c>
      <c r="B22" s="10" t="s">
        <v>116</v>
      </c>
      <c r="E22" s="117"/>
      <c r="F22" s="115"/>
      <c r="G22" s="115"/>
      <c r="H22" s="10" t="s">
        <v>53</v>
      </c>
      <c r="J22" s="155">
        <v>6415</v>
      </c>
      <c r="K22" s="156"/>
      <c r="L22" s="157"/>
      <c r="M22" s="118" t="s">
        <v>52</v>
      </c>
      <c r="N22" s="119"/>
    </row>
    <row r="23" spans="1:14" ht="7.5" customHeight="1" x14ac:dyDescent="0.15">
      <c r="E23" s="117"/>
      <c r="F23" s="115"/>
      <c r="G23" s="115"/>
      <c r="L23" s="118"/>
      <c r="M23" s="118"/>
      <c r="N23" s="119"/>
    </row>
    <row r="24" spans="1:14" ht="22.5" customHeight="1" x14ac:dyDescent="0.15">
      <c r="B24" s="101" t="s">
        <v>21</v>
      </c>
      <c r="C24" s="146">
        <v>1770</v>
      </c>
      <c r="D24" s="147"/>
      <c r="E24" s="117" t="s">
        <v>26</v>
      </c>
      <c r="F24" s="115"/>
      <c r="G24" s="154" t="s">
        <v>22</v>
      </c>
      <c r="H24" s="154"/>
      <c r="I24" s="146">
        <v>1541</v>
      </c>
      <c r="J24" s="147"/>
      <c r="K24" s="108" t="s">
        <v>26</v>
      </c>
      <c r="M24" s="118"/>
      <c r="N24" s="119"/>
    </row>
    <row r="25" spans="1:14" ht="7.5" customHeight="1" x14ac:dyDescent="0.15">
      <c r="B25" s="101"/>
      <c r="C25" s="120"/>
      <c r="D25" s="120"/>
      <c r="E25" s="117"/>
      <c r="F25" s="115"/>
      <c r="G25" s="118"/>
      <c r="H25" s="118"/>
      <c r="I25" s="120"/>
      <c r="J25" s="120"/>
      <c r="K25" s="108"/>
      <c r="M25" s="118"/>
      <c r="N25" s="119"/>
    </row>
    <row r="26" spans="1:14" ht="22.5" customHeight="1" x14ac:dyDescent="0.15">
      <c r="B26" s="101" t="s">
        <v>23</v>
      </c>
      <c r="C26" s="146">
        <v>1655</v>
      </c>
      <c r="D26" s="147"/>
      <c r="E26" s="117" t="s">
        <v>26</v>
      </c>
      <c r="F26" s="115"/>
      <c r="G26" s="154" t="s">
        <v>24</v>
      </c>
      <c r="H26" s="154"/>
      <c r="I26" s="146">
        <v>1449</v>
      </c>
      <c r="J26" s="147"/>
      <c r="K26" s="108" t="s">
        <v>26</v>
      </c>
      <c r="M26" s="118"/>
      <c r="N26" s="119"/>
    </row>
    <row r="27" spans="1:14" ht="7.5" customHeight="1" x14ac:dyDescent="0.15">
      <c r="B27" s="101"/>
      <c r="C27" s="120"/>
      <c r="D27" s="120"/>
      <c r="E27" s="117"/>
      <c r="F27" s="115"/>
      <c r="G27" s="118"/>
      <c r="H27" s="118"/>
      <c r="I27" s="120"/>
      <c r="J27" s="120"/>
      <c r="K27" s="108"/>
      <c r="M27" s="118"/>
      <c r="N27" s="119"/>
    </row>
    <row r="28" spans="1:14" ht="22.5" customHeight="1" x14ac:dyDescent="0.15">
      <c r="B28" s="101" t="s">
        <v>46</v>
      </c>
      <c r="C28" s="146"/>
      <c r="D28" s="147"/>
      <c r="E28" s="117" t="s">
        <v>10</v>
      </c>
      <c r="F28" s="115"/>
      <c r="G28" s="154" t="s">
        <v>47</v>
      </c>
      <c r="H28" s="154"/>
      <c r="I28" s="146"/>
      <c r="J28" s="147"/>
      <c r="K28" s="108" t="s">
        <v>10</v>
      </c>
      <c r="M28" s="118"/>
      <c r="N28" s="119"/>
    </row>
    <row r="29" spans="1:14" ht="7.5" customHeight="1" x14ac:dyDescent="0.15">
      <c r="F29" s="115"/>
      <c r="G29" s="115"/>
      <c r="M29" s="121"/>
      <c r="N29" s="121"/>
    </row>
    <row r="30" spans="1:14" ht="22.5" customHeight="1" x14ac:dyDescent="0.15">
      <c r="A30" s="10" t="s">
        <v>114</v>
      </c>
      <c r="B30" s="5" t="s">
        <v>105</v>
      </c>
      <c r="C30" s="5"/>
      <c r="D30" s="5"/>
      <c r="E30" s="5"/>
      <c r="F30" s="108"/>
      <c r="G30" s="74"/>
      <c r="H30" s="74"/>
      <c r="I30" s="74"/>
      <c r="J30" s="122"/>
      <c r="K30" s="122"/>
      <c r="L30" s="122"/>
      <c r="M30" s="122"/>
      <c r="N30" s="122"/>
    </row>
    <row r="31" spans="1:14" ht="22.5" customHeight="1" x14ac:dyDescent="0.15">
      <c r="B31" s="158" t="s">
        <v>104</v>
      </c>
      <c r="C31" s="158"/>
      <c r="D31" s="148" t="s">
        <v>169</v>
      </c>
      <c r="E31" s="149"/>
      <c r="F31" s="149"/>
      <c r="G31" s="159" t="s">
        <v>27</v>
      </c>
      <c r="H31" s="158"/>
      <c r="I31" s="160"/>
      <c r="J31" s="148" t="s">
        <v>170</v>
      </c>
      <c r="K31" s="149"/>
      <c r="L31" s="149"/>
      <c r="M31" s="149"/>
      <c r="N31" s="150"/>
    </row>
    <row r="32" spans="1:14" ht="7.5" customHeight="1" x14ac:dyDescent="0.15">
      <c r="F32" s="115"/>
      <c r="G32" s="115"/>
      <c r="M32" s="121"/>
      <c r="N32" s="121"/>
    </row>
    <row r="33" spans="1:14" ht="22.5" customHeight="1" x14ac:dyDescent="0.15">
      <c r="A33" s="10" t="s">
        <v>51</v>
      </c>
      <c r="B33" s="5" t="s">
        <v>119</v>
      </c>
      <c r="C33" s="5"/>
      <c r="D33" s="5"/>
      <c r="E33" s="5"/>
      <c r="F33" s="108"/>
      <c r="G33" s="122"/>
      <c r="H33" s="122"/>
      <c r="I33" s="122"/>
      <c r="J33" s="122"/>
      <c r="K33" s="122"/>
      <c r="L33" s="122"/>
      <c r="M33" s="122"/>
      <c r="N33" s="122"/>
    </row>
    <row r="34" spans="1:14" ht="22.5" customHeight="1" x14ac:dyDescent="0.15">
      <c r="B34" s="151" t="s">
        <v>205</v>
      </c>
      <c r="C34" s="152"/>
      <c r="D34" s="152"/>
      <c r="E34" s="152"/>
      <c r="F34" s="152"/>
      <c r="G34" s="152"/>
      <c r="H34" s="152"/>
      <c r="I34" s="152"/>
      <c r="J34" s="152"/>
      <c r="K34" s="152"/>
      <c r="L34" s="152"/>
      <c r="M34" s="152"/>
      <c r="N34" s="153"/>
    </row>
    <row r="35" spans="1:14" ht="7.5" customHeight="1" x14ac:dyDescent="0.15">
      <c r="B35" s="123"/>
      <c r="C35" s="123"/>
      <c r="D35" s="123"/>
      <c r="E35" s="123"/>
      <c r="F35" s="123"/>
      <c r="G35" s="123"/>
      <c r="H35" s="123"/>
      <c r="I35" s="123"/>
      <c r="J35" s="123"/>
      <c r="K35" s="123"/>
      <c r="L35" s="123"/>
      <c r="M35" s="123"/>
      <c r="N35" s="123"/>
    </row>
    <row r="36" spans="1:14" ht="22.5" customHeight="1" x14ac:dyDescent="0.15">
      <c r="B36" s="158" t="s">
        <v>104</v>
      </c>
      <c r="C36" s="158"/>
      <c r="D36" s="148" t="s">
        <v>169</v>
      </c>
      <c r="E36" s="149"/>
      <c r="F36" s="149"/>
      <c r="G36" s="159" t="s">
        <v>56</v>
      </c>
      <c r="H36" s="158"/>
      <c r="I36" s="160"/>
      <c r="J36" s="148" t="s">
        <v>170</v>
      </c>
      <c r="K36" s="149"/>
      <c r="L36" s="149"/>
      <c r="M36" s="149"/>
      <c r="N36" s="150"/>
    </row>
    <row r="37" spans="1:14" ht="7.5" customHeight="1" x14ac:dyDescent="0.15">
      <c r="F37" s="74"/>
      <c r="G37" s="74"/>
      <c r="H37" s="74"/>
      <c r="I37" s="74"/>
      <c r="J37" s="74"/>
      <c r="K37" s="74"/>
      <c r="L37" s="74"/>
      <c r="M37" s="74"/>
      <c r="N37" s="74"/>
    </row>
    <row r="38" spans="1:14" ht="22.5" customHeight="1" x14ac:dyDescent="0.15">
      <c r="A38" s="10" t="s">
        <v>55</v>
      </c>
      <c r="B38" s="10" t="s">
        <v>120</v>
      </c>
      <c r="M38" s="121"/>
      <c r="N38" s="121"/>
    </row>
    <row r="39" spans="1:14" ht="22.5" customHeight="1" x14ac:dyDescent="0.15">
      <c r="B39" s="151" t="s">
        <v>187</v>
      </c>
      <c r="C39" s="152"/>
      <c r="D39" s="152"/>
      <c r="E39" s="152"/>
      <c r="F39" s="152"/>
      <c r="G39" s="152"/>
      <c r="H39" s="152"/>
      <c r="I39" s="152"/>
      <c r="J39" s="152"/>
      <c r="K39" s="152"/>
      <c r="L39" s="152"/>
      <c r="M39" s="152"/>
      <c r="N39" s="153"/>
    </row>
    <row r="40" spans="1:14" ht="7.5" customHeight="1" x14ac:dyDescent="0.15">
      <c r="F40" s="74"/>
      <c r="G40" s="74"/>
      <c r="H40" s="74"/>
      <c r="I40" s="74"/>
      <c r="J40" s="74"/>
      <c r="K40" s="74"/>
      <c r="L40" s="74"/>
      <c r="M40" s="74"/>
      <c r="N40" s="74"/>
    </row>
    <row r="41" spans="1:14" ht="22.5" customHeight="1" x14ac:dyDescent="0.15">
      <c r="B41" s="158" t="s">
        <v>104</v>
      </c>
      <c r="C41" s="158"/>
      <c r="D41" s="148" t="s">
        <v>144</v>
      </c>
      <c r="E41" s="149"/>
      <c r="F41" s="149"/>
      <c r="G41" s="159" t="s">
        <v>56</v>
      </c>
      <c r="H41" s="158"/>
      <c r="I41" s="160"/>
      <c r="J41" s="148" t="s">
        <v>145</v>
      </c>
      <c r="K41" s="149"/>
      <c r="L41" s="149"/>
      <c r="M41" s="149"/>
      <c r="N41" s="150"/>
    </row>
    <row r="42" spans="1:14" ht="7.5" customHeight="1" x14ac:dyDescent="0.15">
      <c r="F42" s="74"/>
      <c r="G42" s="74"/>
      <c r="H42" s="74"/>
      <c r="I42" s="74"/>
      <c r="J42" s="74"/>
      <c r="K42" s="74"/>
      <c r="L42" s="74"/>
      <c r="M42" s="74"/>
      <c r="N42" s="74"/>
    </row>
    <row r="43" spans="1:14" ht="22.5" customHeight="1" x14ac:dyDescent="0.15">
      <c r="A43" s="10" t="s">
        <v>63</v>
      </c>
      <c r="B43" s="124" t="s">
        <v>82</v>
      </c>
      <c r="E43" s="112"/>
      <c r="F43" s="148" t="s">
        <v>140</v>
      </c>
      <c r="G43" s="149"/>
      <c r="H43" s="149"/>
      <c r="I43" s="149"/>
      <c r="J43" s="149"/>
      <c r="K43" s="149"/>
      <c r="L43" s="149"/>
      <c r="M43" s="149"/>
      <c r="N43" s="150"/>
    </row>
    <row r="44" spans="1:14" ht="7.5" customHeight="1" x14ac:dyDescent="0.15">
      <c r="F44" s="74"/>
      <c r="G44" s="74"/>
      <c r="H44" s="74"/>
      <c r="I44" s="74"/>
      <c r="J44" s="74"/>
      <c r="K44" s="74"/>
      <c r="L44" s="74"/>
      <c r="M44" s="74"/>
      <c r="N44" s="74"/>
    </row>
    <row r="45" spans="1:14" ht="22.5" customHeight="1" x14ac:dyDescent="0.15">
      <c r="A45" s="10" t="s">
        <v>3</v>
      </c>
    </row>
    <row r="46" spans="1:14" ht="22.5" customHeight="1" x14ac:dyDescent="0.15">
      <c r="B46" s="125" t="s">
        <v>1</v>
      </c>
      <c r="C46" s="172" t="s">
        <v>128</v>
      </c>
      <c r="D46" s="173"/>
      <c r="E46" s="173"/>
      <c r="F46" s="173"/>
      <c r="G46" s="173"/>
      <c r="H46" s="173"/>
      <c r="I46" s="126" t="s">
        <v>2</v>
      </c>
      <c r="J46" s="127"/>
      <c r="K46" s="148" t="s">
        <v>141</v>
      </c>
      <c r="L46" s="149"/>
      <c r="M46" s="149"/>
      <c r="N46" s="150"/>
    </row>
    <row r="47" spans="1:14" ht="22.5" customHeight="1" x14ac:dyDescent="0.15">
      <c r="B47" s="125" t="s">
        <v>5</v>
      </c>
      <c r="C47" s="175" t="s">
        <v>129</v>
      </c>
      <c r="D47" s="176"/>
      <c r="E47" s="176"/>
      <c r="F47" s="176"/>
      <c r="G47" s="176"/>
      <c r="H47" s="177"/>
      <c r="I47" s="126" t="s">
        <v>4</v>
      </c>
      <c r="J47" s="127"/>
      <c r="K47" s="178" t="s">
        <v>130</v>
      </c>
      <c r="L47" s="179"/>
      <c r="M47" s="179"/>
      <c r="N47" s="18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A05958B3-0D93-4DA4-A627-8CFCB4F8480C}"/>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4"/>
  <sheetViews>
    <sheetView showZeros="0" zoomScale="120" zoomScaleNormal="120" workbookViewId="0">
      <selection activeCell="K9" sqref="K9"/>
    </sheetView>
  </sheetViews>
  <sheetFormatPr defaultColWidth="9" defaultRowHeight="18.75" customHeight="1" x14ac:dyDescent="0.15"/>
  <cols>
    <col min="1" max="2" width="2.5" style="25" customWidth="1"/>
    <col min="3" max="3" width="20" style="25" customWidth="1"/>
    <col min="4" max="4" width="8.75" style="25" customWidth="1"/>
    <col min="5" max="5" width="7.5" style="25" customWidth="1"/>
    <col min="6" max="6" width="2.5" style="25" customWidth="1"/>
    <col min="7" max="7" width="15" style="25" customWidth="1"/>
    <col min="8" max="8" width="12.5" style="25" customWidth="1"/>
    <col min="9" max="9" width="11.25" style="25" customWidth="1"/>
    <col min="10" max="16384" width="9" style="25"/>
  </cols>
  <sheetData>
    <row r="1" spans="1:13" ht="18.75" customHeight="1" x14ac:dyDescent="0.15">
      <c r="I1" s="49" t="s">
        <v>146</v>
      </c>
    </row>
    <row r="2" spans="1:13" ht="18.75" customHeight="1" x14ac:dyDescent="0.15">
      <c r="G2" s="28" t="s">
        <v>32</v>
      </c>
      <c r="H2" s="195" t="s">
        <v>123</v>
      </c>
      <c r="I2" s="195"/>
    </row>
    <row r="3" spans="1:13" ht="7.5" customHeight="1" x14ac:dyDescent="0.15"/>
    <row r="4" spans="1:13" ht="18.75" customHeight="1" x14ac:dyDescent="0.15">
      <c r="A4" s="196" t="s">
        <v>80</v>
      </c>
      <c r="B4" s="196"/>
      <c r="C4" s="196"/>
      <c r="D4" s="196"/>
      <c r="E4" s="196"/>
      <c r="F4" s="196"/>
      <c r="G4" s="196"/>
      <c r="H4" s="196"/>
      <c r="I4" s="196"/>
    </row>
    <row r="5" spans="1:13" ht="7.5" customHeight="1" x14ac:dyDescent="0.15">
      <c r="C5" s="27"/>
      <c r="D5" s="29"/>
      <c r="E5" s="42"/>
      <c r="F5" s="27"/>
      <c r="G5" s="29"/>
      <c r="H5" s="27"/>
      <c r="I5" s="27"/>
    </row>
    <row r="6" spans="1:13" ht="18.75" customHeight="1" x14ac:dyDescent="0.15">
      <c r="A6" s="25" t="s">
        <v>7</v>
      </c>
      <c r="B6" s="25" t="s">
        <v>92</v>
      </c>
      <c r="C6" s="48"/>
      <c r="D6" s="48"/>
      <c r="E6" s="194" t="s">
        <v>131</v>
      </c>
      <c r="F6" s="156"/>
      <c r="G6" s="156"/>
      <c r="H6" s="156"/>
      <c r="I6" s="157"/>
    </row>
    <row r="7" spans="1:13" ht="7.5" customHeight="1" x14ac:dyDescent="0.15">
      <c r="C7" s="48"/>
      <c r="D7" s="48"/>
      <c r="F7" s="47"/>
      <c r="G7" s="47"/>
      <c r="H7" s="47"/>
      <c r="I7" s="47"/>
    </row>
    <row r="8" spans="1:13" ht="18.75" customHeight="1" x14ac:dyDescent="0.15">
      <c r="A8" s="25" t="s">
        <v>12</v>
      </c>
      <c r="B8" s="25" t="s">
        <v>93</v>
      </c>
      <c r="C8" s="48"/>
      <c r="D8" s="48"/>
      <c r="E8" s="48"/>
      <c r="F8" s="48"/>
      <c r="G8" s="48"/>
      <c r="H8" s="48"/>
      <c r="I8" s="48"/>
    </row>
    <row r="9" spans="1:13" ht="18.75" customHeight="1" x14ac:dyDescent="0.15">
      <c r="B9" s="181" t="s">
        <v>181</v>
      </c>
      <c r="C9" s="182"/>
      <c r="D9" s="182"/>
      <c r="E9" s="182"/>
      <c r="F9" s="182"/>
      <c r="G9" s="182"/>
      <c r="H9" s="182"/>
      <c r="I9" s="183"/>
    </row>
    <row r="10" spans="1:13" ht="18.75" customHeight="1" x14ac:dyDescent="0.15">
      <c r="B10" s="184"/>
      <c r="C10" s="185"/>
      <c r="D10" s="185"/>
      <c r="E10" s="185"/>
      <c r="F10" s="185"/>
      <c r="G10" s="185"/>
      <c r="H10" s="185"/>
      <c r="I10" s="186"/>
    </row>
    <row r="11" spans="1:13" ht="18.75" customHeight="1" x14ac:dyDescent="0.15">
      <c r="B11" s="184"/>
      <c r="C11" s="185"/>
      <c r="D11" s="185"/>
      <c r="E11" s="185"/>
      <c r="F11" s="185"/>
      <c r="G11" s="185"/>
      <c r="H11" s="185"/>
      <c r="I11" s="186"/>
    </row>
    <row r="12" spans="1:13" ht="18.75" customHeight="1" x14ac:dyDescent="0.15">
      <c r="B12" s="184"/>
      <c r="C12" s="185"/>
      <c r="D12" s="185"/>
      <c r="E12" s="185"/>
      <c r="F12" s="185"/>
      <c r="G12" s="185"/>
      <c r="H12" s="185"/>
      <c r="I12" s="186"/>
    </row>
    <row r="13" spans="1:13" ht="18.75" customHeight="1" x14ac:dyDescent="0.15">
      <c r="B13" s="184"/>
      <c r="C13" s="185"/>
      <c r="D13" s="185"/>
      <c r="E13" s="185"/>
      <c r="F13" s="185"/>
      <c r="G13" s="185"/>
      <c r="H13" s="185"/>
      <c r="I13" s="186"/>
    </row>
    <row r="14" spans="1:13" ht="18.75" customHeight="1" x14ac:dyDescent="0.15">
      <c r="B14" s="184"/>
      <c r="C14" s="185"/>
      <c r="D14" s="185"/>
      <c r="E14" s="185"/>
      <c r="F14" s="185"/>
      <c r="G14" s="185"/>
      <c r="H14" s="185"/>
      <c r="I14" s="186"/>
    </row>
    <row r="15" spans="1:13" ht="18.75" customHeight="1" x14ac:dyDescent="0.15">
      <c r="B15" s="184"/>
      <c r="C15" s="185"/>
      <c r="D15" s="185"/>
      <c r="E15" s="185"/>
      <c r="F15" s="185"/>
      <c r="G15" s="185"/>
      <c r="H15" s="185"/>
      <c r="I15" s="186"/>
    </row>
    <row r="16" spans="1:13" ht="18.75" customHeight="1" x14ac:dyDescent="0.15">
      <c r="B16" s="187"/>
      <c r="C16" s="188"/>
      <c r="D16" s="188"/>
      <c r="E16" s="189"/>
      <c r="F16" s="189"/>
      <c r="G16" s="188"/>
      <c r="H16" s="188"/>
      <c r="I16" s="190"/>
      <c r="K16" s="137"/>
      <c r="L16" s="137"/>
      <c r="M16" s="137"/>
    </row>
    <row r="17" spans="1:13" ht="7.5" customHeight="1" x14ac:dyDescent="0.15">
      <c r="C17" s="48"/>
      <c r="D17" s="48"/>
      <c r="E17" s="48"/>
      <c r="F17" s="48"/>
      <c r="G17" s="48"/>
      <c r="H17" s="48"/>
      <c r="I17" s="48"/>
    </row>
    <row r="18" spans="1:13" ht="18.75" customHeight="1" x14ac:dyDescent="0.15">
      <c r="A18" s="27" t="s">
        <v>13</v>
      </c>
      <c r="B18" s="26" t="s">
        <v>94</v>
      </c>
      <c r="C18" s="26"/>
      <c r="D18" s="26"/>
      <c r="E18" s="26"/>
      <c r="F18" s="27"/>
      <c r="G18" s="29"/>
      <c r="H18" s="27"/>
      <c r="I18" s="27"/>
      <c r="J18" s="27"/>
      <c r="K18" s="137"/>
      <c r="L18" s="137"/>
      <c r="M18" s="137"/>
    </row>
    <row r="19" spans="1:13" ht="18.75" customHeight="1" x14ac:dyDescent="0.15">
      <c r="A19" s="197" t="s">
        <v>94</v>
      </c>
      <c r="B19" s="197"/>
      <c r="C19" s="197"/>
      <c r="D19" s="197"/>
      <c r="E19" s="197"/>
      <c r="F19" s="198" t="s">
        <v>94</v>
      </c>
      <c r="G19" s="198"/>
      <c r="H19" s="198"/>
      <c r="I19" s="198"/>
    </row>
    <row r="20" spans="1:13" ht="18.75" customHeight="1" x14ac:dyDescent="0.15">
      <c r="A20" s="50">
        <v>1</v>
      </c>
      <c r="B20" s="172" t="s">
        <v>154</v>
      </c>
      <c r="C20" s="173"/>
      <c r="D20" s="173"/>
      <c r="E20" s="174"/>
      <c r="F20" s="50">
        <v>26</v>
      </c>
      <c r="G20" s="191"/>
      <c r="H20" s="192"/>
      <c r="I20" s="193"/>
    </row>
    <row r="21" spans="1:13" ht="18.75" customHeight="1" x14ac:dyDescent="0.15">
      <c r="A21" s="50">
        <v>2</v>
      </c>
      <c r="B21" s="172" t="s">
        <v>132</v>
      </c>
      <c r="C21" s="173"/>
      <c r="D21" s="173"/>
      <c r="E21" s="174"/>
      <c r="F21" s="50">
        <v>27</v>
      </c>
      <c r="G21" s="191"/>
      <c r="H21" s="192"/>
      <c r="I21" s="193"/>
    </row>
    <row r="22" spans="1:13" ht="18.75" customHeight="1" x14ac:dyDescent="0.15">
      <c r="A22" s="50">
        <v>3</v>
      </c>
      <c r="B22" s="172" t="s">
        <v>134</v>
      </c>
      <c r="C22" s="173"/>
      <c r="D22" s="173"/>
      <c r="E22" s="174"/>
      <c r="F22" s="50">
        <v>28</v>
      </c>
      <c r="G22" s="191"/>
      <c r="H22" s="192"/>
      <c r="I22" s="193"/>
    </row>
    <row r="23" spans="1:13" ht="18.75" customHeight="1" x14ac:dyDescent="0.15">
      <c r="A23" s="50">
        <v>4</v>
      </c>
      <c r="B23" s="172" t="s">
        <v>161</v>
      </c>
      <c r="C23" s="173"/>
      <c r="D23" s="173"/>
      <c r="E23" s="174"/>
      <c r="F23" s="50">
        <v>29</v>
      </c>
      <c r="G23" s="191"/>
      <c r="H23" s="192"/>
      <c r="I23" s="193"/>
    </row>
    <row r="24" spans="1:13" ht="18.75" customHeight="1" x14ac:dyDescent="0.15">
      <c r="A24" s="50">
        <v>5</v>
      </c>
      <c r="B24" s="172" t="s">
        <v>133</v>
      </c>
      <c r="C24" s="173"/>
      <c r="D24" s="173"/>
      <c r="E24" s="174"/>
      <c r="F24" s="50">
        <v>30</v>
      </c>
      <c r="G24" s="191"/>
      <c r="H24" s="192"/>
      <c r="I24" s="193"/>
    </row>
    <row r="25" spans="1:13" ht="18.75" customHeight="1" x14ac:dyDescent="0.15">
      <c r="A25" s="50">
        <v>6</v>
      </c>
      <c r="B25" s="172" t="s">
        <v>171</v>
      </c>
      <c r="C25" s="173"/>
      <c r="D25" s="173"/>
      <c r="E25" s="174"/>
      <c r="F25" s="50">
        <v>31</v>
      </c>
      <c r="G25" s="191"/>
      <c r="H25" s="192"/>
      <c r="I25" s="193"/>
    </row>
    <row r="26" spans="1:13" ht="18.75" customHeight="1" x14ac:dyDescent="0.15">
      <c r="A26" s="50">
        <v>7</v>
      </c>
      <c r="B26" s="172" t="s">
        <v>151</v>
      </c>
      <c r="C26" s="173"/>
      <c r="D26" s="173"/>
      <c r="E26" s="174"/>
      <c r="F26" s="50">
        <v>32</v>
      </c>
      <c r="G26" s="191"/>
      <c r="H26" s="192"/>
      <c r="I26" s="193"/>
    </row>
    <row r="27" spans="1:13" ht="18.75" customHeight="1" x14ac:dyDescent="0.15">
      <c r="A27" s="50">
        <v>8</v>
      </c>
      <c r="B27" s="172" t="s">
        <v>152</v>
      </c>
      <c r="C27" s="173"/>
      <c r="D27" s="173"/>
      <c r="E27" s="174"/>
      <c r="F27" s="50">
        <v>33</v>
      </c>
      <c r="G27" s="191"/>
      <c r="H27" s="192"/>
      <c r="I27" s="193"/>
    </row>
    <row r="28" spans="1:13" ht="18.75" customHeight="1" x14ac:dyDescent="0.15">
      <c r="A28" s="50">
        <v>9</v>
      </c>
      <c r="B28" s="172" t="s">
        <v>153</v>
      </c>
      <c r="C28" s="173"/>
      <c r="D28" s="173"/>
      <c r="E28" s="174"/>
      <c r="F28" s="50">
        <v>34</v>
      </c>
      <c r="G28" s="191"/>
      <c r="H28" s="192"/>
      <c r="I28" s="193"/>
    </row>
    <row r="29" spans="1:13" ht="18.75" customHeight="1" x14ac:dyDescent="0.15">
      <c r="A29" s="50">
        <v>10</v>
      </c>
      <c r="B29" s="172" t="s">
        <v>150</v>
      </c>
      <c r="C29" s="173"/>
      <c r="D29" s="173"/>
      <c r="E29" s="174"/>
      <c r="F29" s="50">
        <v>35</v>
      </c>
      <c r="G29" s="191"/>
      <c r="H29" s="192"/>
      <c r="I29" s="193"/>
    </row>
    <row r="30" spans="1:13" ht="18.75" customHeight="1" x14ac:dyDescent="0.15">
      <c r="A30" s="50">
        <v>11</v>
      </c>
      <c r="B30" s="172" t="s">
        <v>149</v>
      </c>
      <c r="C30" s="173"/>
      <c r="D30" s="173"/>
      <c r="E30" s="174"/>
      <c r="F30" s="50">
        <v>36</v>
      </c>
      <c r="G30" s="191"/>
      <c r="H30" s="192"/>
      <c r="I30" s="193"/>
    </row>
    <row r="31" spans="1:13" ht="18.75" customHeight="1" x14ac:dyDescent="0.15">
      <c r="A31" s="50">
        <v>12</v>
      </c>
      <c r="B31" s="172" t="s">
        <v>172</v>
      </c>
      <c r="C31" s="173"/>
      <c r="D31" s="173"/>
      <c r="E31" s="174"/>
      <c r="F31" s="50">
        <v>37</v>
      </c>
      <c r="G31" s="191"/>
      <c r="H31" s="192"/>
      <c r="I31" s="193"/>
    </row>
    <row r="32" spans="1:13" ht="18.75" customHeight="1" x14ac:dyDescent="0.15">
      <c r="A32" s="50">
        <v>13</v>
      </c>
      <c r="B32" s="172" t="s">
        <v>173</v>
      </c>
      <c r="C32" s="173"/>
      <c r="D32" s="173"/>
      <c r="E32" s="174"/>
      <c r="F32" s="50">
        <v>38</v>
      </c>
      <c r="G32" s="191"/>
      <c r="H32" s="192"/>
      <c r="I32" s="193"/>
    </row>
    <row r="33" spans="1:9" ht="18.75" customHeight="1" x14ac:dyDescent="0.15">
      <c r="A33" s="50">
        <v>14</v>
      </c>
      <c r="B33" s="172" t="s">
        <v>165</v>
      </c>
      <c r="C33" s="173"/>
      <c r="D33" s="173"/>
      <c r="E33" s="174"/>
      <c r="F33" s="50">
        <v>39</v>
      </c>
      <c r="G33" s="191"/>
      <c r="H33" s="192"/>
      <c r="I33" s="193"/>
    </row>
    <row r="34" spans="1:9" ht="18.75" customHeight="1" x14ac:dyDescent="0.15">
      <c r="A34" s="50">
        <v>15</v>
      </c>
      <c r="B34" s="172" t="s">
        <v>174</v>
      </c>
      <c r="C34" s="173"/>
      <c r="D34" s="173"/>
      <c r="E34" s="174"/>
      <c r="F34" s="50">
        <v>40</v>
      </c>
      <c r="G34" s="191"/>
      <c r="H34" s="192"/>
      <c r="I34" s="193"/>
    </row>
    <row r="35" spans="1:9" ht="18.75" customHeight="1" x14ac:dyDescent="0.15">
      <c r="A35" s="50">
        <v>16</v>
      </c>
      <c r="B35" s="172" t="s">
        <v>175</v>
      </c>
      <c r="C35" s="173"/>
      <c r="D35" s="173"/>
      <c r="E35" s="174"/>
      <c r="F35" s="50">
        <v>41</v>
      </c>
      <c r="G35" s="191"/>
      <c r="H35" s="192"/>
      <c r="I35" s="193"/>
    </row>
    <row r="36" spans="1:9" ht="18.75" customHeight="1" x14ac:dyDescent="0.15">
      <c r="A36" s="50">
        <v>17</v>
      </c>
      <c r="B36" s="172" t="s">
        <v>188</v>
      </c>
      <c r="C36" s="173"/>
      <c r="D36" s="173"/>
      <c r="E36" s="174"/>
      <c r="F36" s="50">
        <v>42</v>
      </c>
      <c r="G36" s="191"/>
      <c r="H36" s="192"/>
      <c r="I36" s="193"/>
    </row>
    <row r="37" spans="1:9" ht="18.75" customHeight="1" x14ac:dyDescent="0.15">
      <c r="A37" s="50">
        <v>18</v>
      </c>
      <c r="B37" s="172" t="s">
        <v>176</v>
      </c>
      <c r="C37" s="173"/>
      <c r="D37" s="173"/>
      <c r="E37" s="174"/>
      <c r="F37" s="50">
        <v>43</v>
      </c>
      <c r="G37" s="191"/>
      <c r="H37" s="192"/>
      <c r="I37" s="193"/>
    </row>
    <row r="38" spans="1:9" ht="18.75" customHeight="1" x14ac:dyDescent="0.15">
      <c r="A38" s="50">
        <v>19</v>
      </c>
      <c r="B38" s="191"/>
      <c r="C38" s="192"/>
      <c r="D38" s="192"/>
      <c r="E38" s="193"/>
      <c r="F38" s="50">
        <v>44</v>
      </c>
      <c r="G38" s="191"/>
      <c r="H38" s="192"/>
      <c r="I38" s="193"/>
    </row>
    <row r="39" spans="1:9" ht="18.75" customHeight="1" x14ac:dyDescent="0.15">
      <c r="A39" s="50">
        <v>20</v>
      </c>
      <c r="B39" s="191"/>
      <c r="C39" s="192"/>
      <c r="D39" s="192"/>
      <c r="E39" s="193"/>
      <c r="F39" s="50">
        <v>45</v>
      </c>
      <c r="G39" s="191"/>
      <c r="H39" s="192"/>
      <c r="I39" s="193"/>
    </row>
    <row r="40" spans="1:9" ht="18.75" customHeight="1" x14ac:dyDescent="0.15">
      <c r="A40" s="50">
        <v>21</v>
      </c>
      <c r="B40" s="191"/>
      <c r="C40" s="192"/>
      <c r="D40" s="192"/>
      <c r="E40" s="193"/>
      <c r="F40" s="50">
        <v>46</v>
      </c>
      <c r="G40" s="191"/>
      <c r="H40" s="192"/>
      <c r="I40" s="193"/>
    </row>
    <row r="41" spans="1:9" ht="18.75" customHeight="1" x14ac:dyDescent="0.15">
      <c r="A41" s="50">
        <v>22</v>
      </c>
      <c r="B41" s="191"/>
      <c r="C41" s="192"/>
      <c r="D41" s="192"/>
      <c r="E41" s="193"/>
      <c r="F41" s="50">
        <v>47</v>
      </c>
      <c r="G41" s="191"/>
      <c r="H41" s="192"/>
      <c r="I41" s="193"/>
    </row>
    <row r="42" spans="1:9" ht="18.75" customHeight="1" x14ac:dyDescent="0.15">
      <c r="A42" s="50">
        <v>23</v>
      </c>
      <c r="B42" s="191"/>
      <c r="C42" s="192"/>
      <c r="D42" s="192"/>
      <c r="E42" s="193"/>
      <c r="F42" s="50">
        <v>48</v>
      </c>
      <c r="G42" s="191"/>
      <c r="H42" s="192"/>
      <c r="I42" s="193"/>
    </row>
    <row r="43" spans="1:9" ht="18.75" customHeight="1" x14ac:dyDescent="0.15">
      <c r="A43" s="50">
        <v>24</v>
      </c>
      <c r="B43" s="191"/>
      <c r="C43" s="192"/>
      <c r="D43" s="192"/>
      <c r="E43" s="193"/>
      <c r="F43" s="50">
        <v>49</v>
      </c>
      <c r="G43" s="191"/>
      <c r="H43" s="192"/>
      <c r="I43" s="193"/>
    </row>
    <row r="44" spans="1:9" ht="18.75" customHeight="1" x14ac:dyDescent="0.15">
      <c r="A44" s="50">
        <v>25</v>
      </c>
      <c r="B44" s="191"/>
      <c r="C44" s="192"/>
      <c r="D44" s="192"/>
      <c r="E44" s="193"/>
      <c r="F44" s="50">
        <v>50</v>
      </c>
      <c r="G44" s="191"/>
      <c r="H44" s="192"/>
      <c r="I44" s="193"/>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30:E30"/>
    <mergeCell ref="B31:E31"/>
    <mergeCell ref="B32:E32"/>
    <mergeCell ref="B33:E33"/>
    <mergeCell ref="E6:I6"/>
    <mergeCell ref="H2:I2"/>
    <mergeCell ref="A4:I4"/>
    <mergeCell ref="A19:E19"/>
    <mergeCell ref="F19:I19"/>
    <mergeCell ref="B29:E29"/>
    <mergeCell ref="B20:E20"/>
    <mergeCell ref="B25:E25"/>
    <mergeCell ref="B27:E27"/>
    <mergeCell ref="B9:I16"/>
    <mergeCell ref="B24:E24"/>
    <mergeCell ref="B22:E22"/>
    <mergeCell ref="B21:E21"/>
    <mergeCell ref="B28:E28"/>
    <mergeCell ref="B23:E23"/>
    <mergeCell ref="G20:I20"/>
    <mergeCell ref="G25:I25"/>
    <mergeCell ref="G26:I26"/>
    <mergeCell ref="G27:I27"/>
    <mergeCell ref="G28:I28"/>
    <mergeCell ref="B26:E26"/>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zoomScale="120" zoomScaleNormal="120" workbookViewId="0"/>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211" t="s">
        <v>65</v>
      </c>
      <c r="G1" s="211"/>
      <c r="H1" s="211"/>
      <c r="I1" s="211"/>
      <c r="J1" s="211"/>
      <c r="K1" s="211"/>
      <c r="L1" s="211"/>
      <c r="M1" s="211"/>
      <c r="N1" s="211"/>
      <c r="O1" s="211"/>
      <c r="P1" s="211"/>
      <c r="Q1" s="211"/>
      <c r="R1" s="211"/>
    </row>
    <row r="2" spans="1:20" ht="18.75" customHeight="1" x14ac:dyDescent="0.15">
      <c r="D2" s="72"/>
      <c r="E2" s="72"/>
      <c r="F2" s="72"/>
      <c r="G2" s="72"/>
      <c r="H2" s="72"/>
      <c r="I2" s="72"/>
      <c r="J2" s="72"/>
      <c r="K2" s="211" t="s">
        <v>57</v>
      </c>
      <c r="L2" s="211"/>
      <c r="M2" s="5" t="s">
        <v>123</v>
      </c>
      <c r="N2" s="72"/>
      <c r="O2" s="72"/>
      <c r="P2" s="72"/>
      <c r="Q2" s="72"/>
      <c r="R2" s="72"/>
    </row>
    <row r="3" spans="1:20" ht="7.5" customHeight="1" x14ac:dyDescent="0.15"/>
    <row r="4" spans="1:20" ht="18.75" customHeight="1" x14ac:dyDescent="0.15">
      <c r="A4" s="171" t="s">
        <v>112</v>
      </c>
      <c r="B4" s="171"/>
      <c r="C4" s="171"/>
      <c r="D4" s="171"/>
      <c r="E4" s="171"/>
      <c r="F4" s="171"/>
      <c r="G4" s="171"/>
      <c r="H4" s="171"/>
      <c r="I4" s="171"/>
      <c r="J4" s="171"/>
      <c r="K4" s="171"/>
      <c r="L4" s="171"/>
      <c r="M4" s="171"/>
      <c r="N4" s="171"/>
      <c r="O4" s="171"/>
      <c r="P4" s="171"/>
      <c r="Q4" s="171"/>
      <c r="R4" s="171"/>
      <c r="S4" s="5"/>
    </row>
    <row r="5" spans="1:20" ht="7.5" customHeight="1" x14ac:dyDescent="0.15">
      <c r="A5" s="71"/>
      <c r="B5" s="71"/>
      <c r="C5" s="71"/>
      <c r="D5" s="71"/>
      <c r="E5" s="71"/>
      <c r="F5" s="71"/>
      <c r="G5" s="71"/>
      <c r="H5" s="71"/>
      <c r="I5" s="71"/>
      <c r="J5" s="71"/>
      <c r="K5" s="71"/>
      <c r="L5" s="71"/>
      <c r="M5" s="71"/>
      <c r="N5" s="71"/>
      <c r="O5" s="71"/>
      <c r="P5" s="71"/>
      <c r="Q5" s="71"/>
      <c r="R5" s="71"/>
    </row>
    <row r="6" spans="1:20" ht="18.75" customHeight="1" x14ac:dyDescent="0.15">
      <c r="B6" s="205" t="s">
        <v>117</v>
      </c>
      <c r="C6" s="206"/>
      <c r="D6" s="212" t="s">
        <v>81</v>
      </c>
      <c r="E6" s="214" t="s">
        <v>106</v>
      </c>
      <c r="F6" s="214"/>
      <c r="G6" s="214" t="s">
        <v>107</v>
      </c>
      <c r="H6" s="214"/>
      <c r="I6" s="215" t="s">
        <v>108</v>
      </c>
      <c r="J6" s="216"/>
      <c r="K6" s="215" t="s">
        <v>109</v>
      </c>
      <c r="L6" s="216"/>
      <c r="M6" s="215" t="s">
        <v>110</v>
      </c>
      <c r="N6" s="216"/>
      <c r="O6" s="215" t="s">
        <v>111</v>
      </c>
      <c r="P6" s="216"/>
      <c r="Q6" s="217" t="s">
        <v>64</v>
      </c>
      <c r="R6" s="219" t="s">
        <v>58</v>
      </c>
      <c r="T6" s="73"/>
    </row>
    <row r="7" spans="1:20" ht="18.75" customHeight="1" x14ac:dyDescent="0.15">
      <c r="B7" s="207"/>
      <c r="C7" s="208"/>
      <c r="D7" s="213"/>
      <c r="E7" s="30" t="s">
        <v>44</v>
      </c>
      <c r="F7" s="32" t="s">
        <v>43</v>
      </c>
      <c r="G7" s="33" t="s">
        <v>44</v>
      </c>
      <c r="H7" s="31" t="s">
        <v>43</v>
      </c>
      <c r="I7" s="30" t="s">
        <v>44</v>
      </c>
      <c r="J7" s="32" t="s">
        <v>43</v>
      </c>
      <c r="K7" s="33" t="s">
        <v>44</v>
      </c>
      <c r="L7" s="31" t="s">
        <v>43</v>
      </c>
      <c r="M7" s="30" t="s">
        <v>44</v>
      </c>
      <c r="N7" s="32" t="s">
        <v>43</v>
      </c>
      <c r="O7" s="33" t="s">
        <v>44</v>
      </c>
      <c r="P7" s="31" t="s">
        <v>43</v>
      </c>
      <c r="Q7" s="218"/>
      <c r="R7" s="220"/>
      <c r="T7" s="73"/>
    </row>
    <row r="8" spans="1:20" ht="18.75" customHeight="1" x14ac:dyDescent="0.15">
      <c r="A8" s="74"/>
      <c r="B8" s="201" t="s">
        <v>135</v>
      </c>
      <c r="C8" s="202"/>
      <c r="D8" s="76">
        <v>3520</v>
      </c>
      <c r="E8" s="129">
        <v>970</v>
      </c>
      <c r="F8" s="130">
        <v>870</v>
      </c>
      <c r="G8" s="78">
        <v>0</v>
      </c>
      <c r="H8" s="79">
        <v>0</v>
      </c>
      <c r="I8" s="96">
        <v>0</v>
      </c>
      <c r="J8" s="79">
        <v>0</v>
      </c>
      <c r="K8" s="96">
        <v>0</v>
      </c>
      <c r="L8" s="79">
        <v>0</v>
      </c>
      <c r="M8" s="96">
        <v>0</v>
      </c>
      <c r="N8" s="79">
        <v>0</v>
      </c>
      <c r="O8" s="96">
        <v>0</v>
      </c>
      <c r="P8" s="79">
        <v>0</v>
      </c>
      <c r="Q8" s="80">
        <f>E8+G8+I8+K8+M8+O8</f>
        <v>970</v>
      </c>
      <c r="R8" s="81">
        <f>Q8/D8</f>
        <v>0.27556818181818182</v>
      </c>
    </row>
    <row r="9" spans="1:20" ht="18.75" customHeight="1" x14ac:dyDescent="0.15">
      <c r="A9" s="74"/>
      <c r="B9" s="199" t="s">
        <v>143</v>
      </c>
      <c r="C9" s="200"/>
      <c r="D9" s="83">
        <v>960</v>
      </c>
      <c r="E9" s="129">
        <v>295</v>
      </c>
      <c r="F9" s="130">
        <v>268</v>
      </c>
      <c r="G9" s="85">
        <v>0</v>
      </c>
      <c r="H9" s="86">
        <v>0</v>
      </c>
      <c r="I9" s="85">
        <v>0</v>
      </c>
      <c r="J9" s="86">
        <v>0</v>
      </c>
      <c r="K9" s="85">
        <v>0</v>
      </c>
      <c r="L9" s="86">
        <v>0</v>
      </c>
      <c r="M9" s="85">
        <v>0</v>
      </c>
      <c r="N9" s="86">
        <v>0</v>
      </c>
      <c r="O9" s="85">
        <v>0</v>
      </c>
      <c r="P9" s="86">
        <v>0</v>
      </c>
      <c r="Q9" s="87">
        <f t="shared" ref="Q9:Q11" si="0">E9+G9+I9+K9+M9+O9</f>
        <v>295</v>
      </c>
      <c r="R9" s="81">
        <f t="shared" ref="R9:R11" si="1">Q9/D9</f>
        <v>0.30729166666666669</v>
      </c>
    </row>
    <row r="10" spans="1:20" ht="18.75" customHeight="1" x14ac:dyDescent="0.15">
      <c r="A10" s="74"/>
      <c r="B10" s="199" t="s">
        <v>137</v>
      </c>
      <c r="C10" s="200"/>
      <c r="D10" s="83">
        <v>800</v>
      </c>
      <c r="E10" s="129">
        <v>237</v>
      </c>
      <c r="F10" s="130">
        <v>230</v>
      </c>
      <c r="G10" s="85">
        <v>0</v>
      </c>
      <c r="H10" s="86">
        <v>0</v>
      </c>
      <c r="I10" s="85">
        <v>0</v>
      </c>
      <c r="J10" s="86">
        <v>0</v>
      </c>
      <c r="K10" s="85">
        <v>0</v>
      </c>
      <c r="L10" s="86">
        <v>0</v>
      </c>
      <c r="M10" s="85">
        <v>0</v>
      </c>
      <c r="N10" s="86">
        <v>0</v>
      </c>
      <c r="O10" s="85">
        <v>0</v>
      </c>
      <c r="P10" s="86">
        <v>0</v>
      </c>
      <c r="Q10" s="87">
        <f t="shared" si="0"/>
        <v>237</v>
      </c>
      <c r="R10" s="81">
        <f t="shared" si="1"/>
        <v>0.29625000000000001</v>
      </c>
    </row>
    <row r="11" spans="1:20" ht="18.75" customHeight="1" thickBot="1" x14ac:dyDescent="0.2">
      <c r="A11" s="74"/>
      <c r="B11" s="199" t="s">
        <v>136</v>
      </c>
      <c r="C11" s="200"/>
      <c r="D11" s="83">
        <v>640</v>
      </c>
      <c r="E11" s="129">
        <v>142</v>
      </c>
      <c r="F11" s="130">
        <v>116</v>
      </c>
      <c r="G11" s="85">
        <v>0</v>
      </c>
      <c r="H11" s="86">
        <v>0</v>
      </c>
      <c r="I11" s="85">
        <v>0</v>
      </c>
      <c r="J11" s="86">
        <v>0</v>
      </c>
      <c r="K11" s="85">
        <v>0</v>
      </c>
      <c r="L11" s="86">
        <v>0</v>
      </c>
      <c r="M11" s="85">
        <v>0</v>
      </c>
      <c r="N11" s="86">
        <v>0</v>
      </c>
      <c r="O11" s="85">
        <v>0</v>
      </c>
      <c r="P11" s="86">
        <v>0</v>
      </c>
      <c r="Q11" s="87">
        <f t="shared" si="0"/>
        <v>142</v>
      </c>
      <c r="R11" s="81">
        <f t="shared" si="1"/>
        <v>0.22187499999999999</v>
      </c>
    </row>
    <row r="12" spans="1:20" ht="18.75" customHeight="1" thickTop="1" x14ac:dyDescent="0.15">
      <c r="A12" s="74"/>
      <c r="B12" s="203" t="s">
        <v>59</v>
      </c>
      <c r="C12" s="204"/>
      <c r="D12" s="89">
        <f>SUM(D8:D11)</f>
        <v>5920</v>
      </c>
      <c r="E12" s="131">
        <f>SUM(E8:E11)</f>
        <v>1644</v>
      </c>
      <c r="F12" s="132">
        <f t="shared" ref="F12:Q12" si="2">SUM(F8:F11)</f>
        <v>1484</v>
      </c>
      <c r="G12" s="91">
        <f t="shared" si="2"/>
        <v>0</v>
      </c>
      <c r="H12" s="92">
        <f t="shared" si="2"/>
        <v>0</v>
      </c>
      <c r="I12" s="89">
        <f t="shared" si="2"/>
        <v>0</v>
      </c>
      <c r="J12" s="90">
        <f t="shared" si="2"/>
        <v>0</v>
      </c>
      <c r="K12" s="91">
        <f t="shared" si="2"/>
        <v>0</v>
      </c>
      <c r="L12" s="92">
        <f t="shared" si="2"/>
        <v>0</v>
      </c>
      <c r="M12" s="89">
        <f t="shared" si="2"/>
        <v>0</v>
      </c>
      <c r="N12" s="90">
        <f t="shared" si="2"/>
        <v>0</v>
      </c>
      <c r="O12" s="91">
        <f t="shared" si="2"/>
        <v>0</v>
      </c>
      <c r="P12" s="92">
        <f t="shared" si="2"/>
        <v>0</v>
      </c>
      <c r="Q12" s="93">
        <f t="shared" si="2"/>
        <v>1644</v>
      </c>
      <c r="R12" s="94">
        <f>Q12/D12</f>
        <v>0.2777027027027027</v>
      </c>
    </row>
    <row r="13" spans="1:20" ht="18.75" customHeight="1" x14ac:dyDescent="0.15">
      <c r="A13" s="74"/>
      <c r="B13" s="199"/>
      <c r="C13" s="200"/>
      <c r="D13" s="128"/>
      <c r="E13" s="83"/>
      <c r="F13" s="84"/>
      <c r="G13" s="85"/>
      <c r="H13" s="86"/>
      <c r="I13" s="83"/>
      <c r="J13" s="84"/>
      <c r="K13" s="85"/>
      <c r="L13" s="86"/>
      <c r="M13" s="83"/>
      <c r="N13" s="84"/>
      <c r="O13" s="85"/>
      <c r="P13" s="86"/>
      <c r="Q13" s="87"/>
      <c r="R13" s="81"/>
    </row>
    <row r="14" spans="1:20" ht="18.75" customHeight="1" x14ac:dyDescent="0.15">
      <c r="A14" s="143"/>
      <c r="B14" s="199"/>
      <c r="C14" s="200"/>
      <c r="D14" s="144"/>
      <c r="E14" s="83"/>
      <c r="F14" s="84"/>
      <c r="G14" s="85"/>
      <c r="H14" s="86"/>
      <c r="I14" s="83"/>
      <c r="J14" s="84"/>
      <c r="K14" s="85"/>
      <c r="L14" s="86"/>
      <c r="M14" s="83"/>
      <c r="N14" s="84"/>
      <c r="O14" s="85"/>
      <c r="P14" s="86"/>
      <c r="Q14" s="87"/>
      <c r="R14" s="81"/>
    </row>
    <row r="15" spans="1:20" ht="18.75" customHeight="1" x14ac:dyDescent="0.15">
      <c r="A15" s="143"/>
      <c r="B15" s="199"/>
      <c r="C15" s="200"/>
      <c r="D15" s="144"/>
      <c r="E15" s="83"/>
      <c r="F15" s="84"/>
      <c r="G15" s="85"/>
      <c r="H15" s="86"/>
      <c r="I15" s="83"/>
      <c r="J15" s="84"/>
      <c r="K15" s="85"/>
      <c r="L15" s="86"/>
      <c r="M15" s="83"/>
      <c r="N15" s="84"/>
      <c r="O15" s="85"/>
      <c r="P15" s="86"/>
      <c r="Q15" s="87"/>
      <c r="R15" s="81"/>
    </row>
    <row r="16" spans="1:20" ht="18.75" customHeight="1" x14ac:dyDescent="0.15">
      <c r="A16" s="143"/>
      <c r="B16" s="199"/>
      <c r="C16" s="200"/>
      <c r="D16" s="144"/>
      <c r="E16" s="83"/>
      <c r="F16" s="84"/>
      <c r="G16" s="85"/>
      <c r="H16" s="86"/>
      <c r="I16" s="83"/>
      <c r="J16" s="84"/>
      <c r="K16" s="85"/>
      <c r="L16" s="86"/>
      <c r="M16" s="83"/>
      <c r="N16" s="84"/>
      <c r="O16" s="85"/>
      <c r="P16" s="86"/>
      <c r="Q16" s="87"/>
      <c r="R16" s="81"/>
    </row>
    <row r="17" spans="1:18" ht="18.75" customHeight="1" x14ac:dyDescent="0.15">
      <c r="A17" s="143"/>
      <c r="B17" s="199"/>
      <c r="C17" s="200"/>
      <c r="D17" s="144"/>
      <c r="E17" s="83"/>
      <c r="F17" s="84"/>
      <c r="G17" s="85"/>
      <c r="H17" s="86"/>
      <c r="I17" s="83"/>
      <c r="J17" s="84"/>
      <c r="K17" s="85"/>
      <c r="L17" s="86"/>
      <c r="M17" s="83"/>
      <c r="N17" s="84"/>
      <c r="O17" s="85"/>
      <c r="P17" s="86"/>
      <c r="Q17" s="87"/>
      <c r="R17" s="81"/>
    </row>
    <row r="18" spans="1:18" ht="18.75" customHeight="1" x14ac:dyDescent="0.15">
      <c r="A18" s="143"/>
      <c r="B18" s="199"/>
      <c r="C18" s="200"/>
      <c r="D18" s="144"/>
      <c r="E18" s="83"/>
      <c r="F18" s="84"/>
      <c r="G18" s="85"/>
      <c r="H18" s="86"/>
      <c r="I18" s="83"/>
      <c r="J18" s="84"/>
      <c r="K18" s="85"/>
      <c r="L18" s="86"/>
      <c r="M18" s="83"/>
      <c r="N18" s="84"/>
      <c r="O18" s="85"/>
      <c r="P18" s="86"/>
      <c r="Q18" s="87"/>
      <c r="R18" s="81"/>
    </row>
    <row r="19" spans="1:18" ht="18.75" customHeight="1" x14ac:dyDescent="0.15">
      <c r="A19" s="143"/>
      <c r="B19" s="199"/>
      <c r="C19" s="200"/>
      <c r="D19" s="144"/>
      <c r="E19" s="83"/>
      <c r="F19" s="84"/>
      <c r="G19" s="85"/>
      <c r="H19" s="86"/>
      <c r="I19" s="83"/>
      <c r="J19" s="84"/>
      <c r="K19" s="85"/>
      <c r="L19" s="86"/>
      <c r="M19" s="83"/>
      <c r="N19" s="84"/>
      <c r="O19" s="85"/>
      <c r="P19" s="86"/>
      <c r="Q19" s="87"/>
      <c r="R19" s="81"/>
    </row>
    <row r="20" spans="1:18" ht="18.75" customHeight="1" x14ac:dyDescent="0.15">
      <c r="A20" s="74"/>
      <c r="B20" s="199"/>
      <c r="C20" s="200"/>
      <c r="D20" s="82"/>
      <c r="E20" s="83"/>
      <c r="F20" s="84"/>
      <c r="G20" s="85"/>
      <c r="H20" s="86"/>
      <c r="I20" s="83"/>
      <c r="J20" s="84"/>
      <c r="K20" s="85"/>
      <c r="L20" s="86"/>
      <c r="M20" s="83"/>
      <c r="N20" s="84"/>
      <c r="O20" s="85"/>
      <c r="P20" s="86"/>
      <c r="Q20" s="87"/>
      <c r="R20" s="81"/>
    </row>
    <row r="21" spans="1:18" ht="18.75" customHeight="1" x14ac:dyDescent="0.15">
      <c r="A21" s="74"/>
      <c r="B21" s="199"/>
      <c r="C21" s="200"/>
      <c r="D21" s="82"/>
      <c r="E21" s="83"/>
      <c r="F21" s="84"/>
      <c r="G21" s="85"/>
      <c r="H21" s="86"/>
      <c r="I21" s="83"/>
      <c r="J21" s="84"/>
      <c r="K21" s="85"/>
      <c r="L21" s="86"/>
      <c r="M21" s="83"/>
      <c r="N21" s="84"/>
      <c r="O21" s="85"/>
      <c r="P21" s="86"/>
      <c r="Q21" s="87"/>
      <c r="R21" s="81"/>
    </row>
    <row r="22" spans="1:18" ht="18.75" customHeight="1" x14ac:dyDescent="0.15">
      <c r="A22" s="74"/>
      <c r="B22" s="199"/>
      <c r="C22" s="200"/>
      <c r="D22" s="82"/>
      <c r="E22" s="83"/>
      <c r="F22" s="84"/>
      <c r="G22" s="85"/>
      <c r="H22" s="86"/>
      <c r="I22" s="83"/>
      <c r="J22" s="84"/>
      <c r="K22" s="85"/>
      <c r="L22" s="86"/>
      <c r="M22" s="83"/>
      <c r="N22" s="84"/>
      <c r="O22" s="85"/>
      <c r="P22" s="86"/>
      <c r="Q22" s="87"/>
      <c r="R22" s="81"/>
    </row>
    <row r="23" spans="1:18" ht="18.75" customHeight="1" x14ac:dyDescent="0.15">
      <c r="A23" s="74"/>
      <c r="B23" s="199"/>
      <c r="C23" s="200"/>
      <c r="D23" s="82"/>
      <c r="E23" s="83"/>
      <c r="F23" s="84"/>
      <c r="G23" s="85"/>
      <c r="H23" s="86"/>
      <c r="I23" s="83"/>
      <c r="J23" s="84"/>
      <c r="K23" s="85"/>
      <c r="L23" s="86"/>
      <c r="M23" s="83"/>
      <c r="N23" s="84"/>
      <c r="O23" s="85"/>
      <c r="P23" s="86"/>
      <c r="Q23" s="87"/>
      <c r="R23" s="81"/>
    </row>
    <row r="24" spans="1:18" ht="18.75" customHeight="1" x14ac:dyDescent="0.15">
      <c r="A24" s="74"/>
      <c r="B24" s="199"/>
      <c r="C24" s="200"/>
      <c r="D24" s="82"/>
      <c r="E24" s="83"/>
      <c r="F24" s="84"/>
      <c r="G24" s="85"/>
      <c r="H24" s="86"/>
      <c r="I24" s="83"/>
      <c r="J24" s="84"/>
      <c r="K24" s="85"/>
      <c r="L24" s="86"/>
      <c r="M24" s="83"/>
      <c r="N24" s="84"/>
      <c r="O24" s="85"/>
      <c r="P24" s="86"/>
      <c r="Q24" s="87"/>
      <c r="R24" s="81"/>
    </row>
    <row r="25" spans="1:18" ht="18.75" customHeight="1" x14ac:dyDescent="0.15">
      <c r="A25" s="74"/>
      <c r="B25" s="199"/>
      <c r="C25" s="200"/>
      <c r="D25" s="82"/>
      <c r="E25" s="83"/>
      <c r="F25" s="84"/>
      <c r="G25" s="85"/>
      <c r="H25" s="86"/>
      <c r="I25" s="83"/>
      <c r="J25" s="84"/>
      <c r="K25" s="85"/>
      <c r="L25" s="86"/>
      <c r="M25" s="83"/>
      <c r="N25" s="84"/>
      <c r="O25" s="85"/>
      <c r="P25" s="86"/>
      <c r="Q25" s="87"/>
      <c r="R25" s="81"/>
    </row>
    <row r="26" spans="1:18" ht="18.75" customHeight="1" x14ac:dyDescent="0.15">
      <c r="A26" s="74"/>
      <c r="B26" s="199"/>
      <c r="C26" s="200"/>
      <c r="D26" s="82"/>
      <c r="E26" s="83"/>
      <c r="F26" s="84"/>
      <c r="G26" s="85"/>
      <c r="H26" s="86"/>
      <c r="I26" s="83"/>
      <c r="J26" s="84"/>
      <c r="K26" s="85"/>
      <c r="L26" s="86"/>
      <c r="M26" s="83"/>
      <c r="N26" s="84"/>
      <c r="O26" s="85"/>
      <c r="P26" s="86"/>
      <c r="Q26" s="87"/>
      <c r="R26" s="81"/>
    </row>
    <row r="27" spans="1:18" ht="18.75" customHeight="1" thickBot="1" x14ac:dyDescent="0.2">
      <c r="A27" s="74"/>
      <c r="B27" s="209"/>
      <c r="C27" s="210"/>
      <c r="D27" s="75"/>
      <c r="E27" s="76"/>
      <c r="F27" s="77"/>
      <c r="G27" s="78"/>
      <c r="H27" s="79"/>
      <c r="I27" s="76"/>
      <c r="J27" s="77"/>
      <c r="K27" s="78"/>
      <c r="L27" s="79"/>
      <c r="M27" s="76"/>
      <c r="N27" s="77"/>
      <c r="O27" s="78"/>
      <c r="P27" s="79"/>
      <c r="Q27" s="88"/>
      <c r="R27" s="81"/>
    </row>
    <row r="28" spans="1:18" ht="18.75" customHeight="1" thickTop="1" x14ac:dyDescent="0.15">
      <c r="A28" s="74"/>
      <c r="B28" s="203" t="s">
        <v>59</v>
      </c>
      <c r="C28" s="204"/>
      <c r="D28" s="89">
        <f>SUM(D12)</f>
        <v>5920</v>
      </c>
      <c r="E28" s="89">
        <f>SUM(E12)</f>
        <v>1644</v>
      </c>
      <c r="F28" s="90">
        <f>SUM(F12)</f>
        <v>1484</v>
      </c>
      <c r="G28" s="91">
        <f t="shared" ref="G28:P28" si="3">SUM(G8:G27)</f>
        <v>0</v>
      </c>
      <c r="H28" s="92">
        <f t="shared" si="3"/>
        <v>0</v>
      </c>
      <c r="I28" s="89">
        <f t="shared" si="3"/>
        <v>0</v>
      </c>
      <c r="J28" s="90">
        <f t="shared" si="3"/>
        <v>0</v>
      </c>
      <c r="K28" s="91">
        <f t="shared" si="3"/>
        <v>0</v>
      </c>
      <c r="L28" s="92">
        <f t="shared" si="3"/>
        <v>0</v>
      </c>
      <c r="M28" s="89">
        <f t="shared" si="3"/>
        <v>0</v>
      </c>
      <c r="N28" s="90">
        <f t="shared" si="3"/>
        <v>0</v>
      </c>
      <c r="O28" s="91">
        <f t="shared" si="3"/>
        <v>0</v>
      </c>
      <c r="P28" s="92">
        <f t="shared" si="3"/>
        <v>0</v>
      </c>
      <c r="Q28" s="93">
        <f>SUM(Q12)</f>
        <v>1644</v>
      </c>
      <c r="R28" s="94">
        <f>Q28/D28</f>
        <v>0.2777027027027027</v>
      </c>
    </row>
    <row r="29" spans="1:18" ht="6.75" customHeight="1" x14ac:dyDescent="0.15">
      <c r="A29" s="74"/>
      <c r="B29" s="74"/>
      <c r="C29" s="74"/>
      <c r="D29" s="95"/>
      <c r="E29" s="95"/>
      <c r="F29" s="95"/>
      <c r="G29" s="95"/>
      <c r="H29" s="95"/>
      <c r="I29" s="95"/>
      <c r="J29" s="95"/>
      <c r="K29" s="95"/>
      <c r="L29" s="95"/>
      <c r="M29" s="95"/>
      <c r="N29" s="95"/>
      <c r="O29" s="95"/>
      <c r="P29" s="95"/>
      <c r="Q29" s="95"/>
      <c r="R29" s="95"/>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2"/>
  <sheetViews>
    <sheetView topLeftCell="A127" zoomScale="120" zoomScaleNormal="120" workbookViewId="0">
      <selection activeCell="E130" sqref="E130:G130"/>
    </sheetView>
  </sheetViews>
  <sheetFormatPr defaultRowHeight="14.25" x14ac:dyDescent="0.15"/>
  <cols>
    <col min="1" max="1" width="3.25" style="1" customWidth="1"/>
    <col min="2" max="2" width="19" style="1" customWidth="1"/>
    <col min="3" max="3" width="25" style="1" customWidth="1"/>
    <col min="4" max="4" width="10" style="1" customWidth="1"/>
    <col min="5" max="7" width="25" style="1" customWidth="1"/>
    <col min="8" max="16384" width="9" style="1"/>
  </cols>
  <sheetData>
    <row r="1" spans="1:13" ht="18.75" customHeight="1" x14ac:dyDescent="0.15">
      <c r="G1" s="35" t="s">
        <v>147</v>
      </c>
    </row>
    <row r="2" spans="1:13" ht="18.75" customHeight="1" x14ac:dyDescent="0.15">
      <c r="F2" s="35" t="s">
        <v>67</v>
      </c>
      <c r="G2" s="1" t="s">
        <v>138</v>
      </c>
    </row>
    <row r="3" spans="1:13" ht="18.75" customHeight="1" x14ac:dyDescent="0.15">
      <c r="A3" s="282" t="s">
        <v>86</v>
      </c>
      <c r="B3" s="282"/>
      <c r="C3" s="282"/>
      <c r="D3" s="282"/>
      <c r="E3" s="282"/>
      <c r="F3" s="282"/>
      <c r="G3" s="282"/>
    </row>
    <row r="4" spans="1:13" ht="18.75" customHeight="1" x14ac:dyDescent="0.15">
      <c r="A4" s="1" t="s">
        <v>7</v>
      </c>
      <c r="B4" s="298" t="s">
        <v>85</v>
      </c>
      <c r="C4" s="298"/>
      <c r="D4" s="298"/>
      <c r="E4" s="298"/>
      <c r="F4" s="298"/>
      <c r="G4" s="298"/>
    </row>
    <row r="5" spans="1:13" s="34" customFormat="1" ht="18.75" customHeight="1" x14ac:dyDescent="0.15">
      <c r="B5" s="54" t="s">
        <v>66</v>
      </c>
      <c r="C5" s="233" t="s">
        <v>213</v>
      </c>
      <c r="D5" s="234"/>
      <c r="E5" s="234"/>
      <c r="F5" s="234"/>
      <c r="G5" s="235"/>
    </row>
    <row r="6" spans="1:13" s="51" customFormat="1" ht="45" customHeight="1" x14ac:dyDescent="0.15">
      <c r="B6" s="237" t="s">
        <v>99</v>
      </c>
      <c r="C6" s="273" t="s">
        <v>206</v>
      </c>
      <c r="D6" s="274"/>
      <c r="E6" s="274"/>
      <c r="F6" s="274"/>
      <c r="G6" s="275"/>
      <c r="I6" s="13"/>
    </row>
    <row r="7" spans="1:13" s="51" customFormat="1" ht="45" customHeight="1" x14ac:dyDescent="0.15">
      <c r="B7" s="238"/>
      <c r="C7" s="276"/>
      <c r="D7" s="277"/>
      <c r="E7" s="277"/>
      <c r="F7" s="277"/>
      <c r="G7" s="278"/>
    </row>
    <row r="8" spans="1:13" s="51" customFormat="1" ht="45" customHeight="1" x14ac:dyDescent="0.15">
      <c r="B8" s="238"/>
      <c r="C8" s="276"/>
      <c r="D8" s="277"/>
      <c r="E8" s="277"/>
      <c r="F8" s="277"/>
      <c r="G8" s="278"/>
    </row>
    <row r="9" spans="1:13" s="51" customFormat="1" ht="45" customHeight="1" x14ac:dyDescent="0.15">
      <c r="B9" s="238"/>
      <c r="C9" s="279"/>
      <c r="D9" s="280"/>
      <c r="E9" s="280"/>
      <c r="F9" s="280"/>
      <c r="G9" s="281"/>
    </row>
    <row r="10" spans="1:13" s="53" customFormat="1" ht="18.75" customHeight="1" x14ac:dyDescent="0.15">
      <c r="B10" s="238"/>
      <c r="C10" s="109" t="s">
        <v>97</v>
      </c>
      <c r="D10" s="221" t="s">
        <v>98</v>
      </c>
      <c r="E10" s="222"/>
      <c r="F10" s="222"/>
      <c r="G10" s="223"/>
    </row>
    <row r="11" spans="1:13" s="51" customFormat="1" ht="19.5" customHeight="1" x14ac:dyDescent="0.15">
      <c r="B11" s="238"/>
      <c r="C11" s="106" t="s">
        <v>154</v>
      </c>
      <c r="D11" s="224" t="s">
        <v>156</v>
      </c>
      <c r="E11" s="225"/>
      <c r="F11" s="225"/>
      <c r="G11" s="226"/>
      <c r="I11" s="13"/>
    </row>
    <row r="12" spans="1:13" s="53" customFormat="1" ht="17.25" customHeight="1" x14ac:dyDescent="0.15">
      <c r="B12" s="238"/>
      <c r="C12" s="106"/>
      <c r="D12" s="227"/>
      <c r="E12" s="228"/>
      <c r="F12" s="228"/>
      <c r="G12" s="229"/>
    </row>
    <row r="13" spans="1:13" s="53" customFormat="1" ht="18.75" customHeight="1" x14ac:dyDescent="0.15">
      <c r="B13" s="238"/>
      <c r="C13" s="106"/>
      <c r="D13" s="227"/>
      <c r="E13" s="228"/>
      <c r="F13" s="228"/>
      <c r="G13" s="229"/>
    </row>
    <row r="14" spans="1:13" s="53" customFormat="1" ht="18.75" customHeight="1" x14ac:dyDescent="0.15">
      <c r="B14" s="238"/>
      <c r="C14" s="56"/>
      <c r="D14" s="230"/>
      <c r="E14" s="231"/>
      <c r="F14" s="231"/>
      <c r="G14" s="232"/>
    </row>
    <row r="15" spans="1:13" s="57" customFormat="1" ht="18.75" customHeight="1" x14ac:dyDescent="0.15">
      <c r="B15" s="238"/>
      <c r="C15" s="58"/>
      <c r="D15" s="233"/>
      <c r="E15" s="234"/>
      <c r="F15" s="234"/>
      <c r="G15" s="235"/>
    </row>
    <row r="16" spans="1:13" s="57" customFormat="1" ht="18.75" customHeight="1" x14ac:dyDescent="0.15">
      <c r="B16" s="238"/>
      <c r="C16" s="58"/>
      <c r="D16" s="233"/>
      <c r="E16" s="236"/>
      <c r="F16" s="236"/>
      <c r="G16" s="235"/>
      <c r="K16" s="136"/>
      <c r="L16" s="136"/>
      <c r="M16" s="136"/>
    </row>
    <row r="17" spans="2:13" s="57" customFormat="1" ht="18.75" customHeight="1" x14ac:dyDescent="0.15">
      <c r="B17" s="238"/>
      <c r="C17" s="58"/>
      <c r="D17" s="233"/>
      <c r="E17" s="234"/>
      <c r="F17" s="234"/>
      <c r="G17" s="235"/>
    </row>
    <row r="18" spans="2:13" s="57" customFormat="1" ht="18.75" customHeight="1" x14ac:dyDescent="0.15">
      <c r="B18" s="238"/>
      <c r="C18" s="58"/>
      <c r="D18" s="233"/>
      <c r="E18" s="234"/>
      <c r="F18" s="234"/>
      <c r="G18" s="235"/>
      <c r="K18" s="136"/>
      <c r="L18" s="136"/>
      <c r="M18" s="136"/>
    </row>
    <row r="19" spans="2:13" s="57" customFormat="1" ht="18.75" customHeight="1" x14ac:dyDescent="0.15">
      <c r="B19" s="238"/>
      <c r="C19" s="58"/>
      <c r="D19" s="233"/>
      <c r="E19" s="234"/>
      <c r="F19" s="234"/>
      <c r="G19" s="235"/>
    </row>
    <row r="20" spans="2:13" s="57" customFormat="1" ht="18.75" customHeight="1" x14ac:dyDescent="0.15">
      <c r="B20" s="238"/>
      <c r="C20" s="58"/>
      <c r="D20" s="233"/>
      <c r="E20" s="234"/>
      <c r="F20" s="234"/>
      <c r="G20" s="235"/>
    </row>
    <row r="21" spans="2:13" s="57" customFormat="1" ht="18.75" customHeight="1" x14ac:dyDescent="0.15">
      <c r="B21" s="238"/>
      <c r="C21" s="58"/>
      <c r="D21" s="233"/>
      <c r="E21" s="234"/>
      <c r="F21" s="234"/>
      <c r="G21" s="235"/>
    </row>
    <row r="22" spans="2:13" s="57" customFormat="1" ht="18.75" customHeight="1" x14ac:dyDescent="0.15">
      <c r="B22" s="238"/>
      <c r="C22" s="58"/>
      <c r="D22" s="233"/>
      <c r="E22" s="234"/>
      <c r="F22" s="234"/>
      <c r="G22" s="235"/>
    </row>
    <row r="23" spans="2:13" s="57" customFormat="1" ht="18.75" customHeight="1" x14ac:dyDescent="0.15">
      <c r="B23" s="238"/>
      <c r="C23" s="58"/>
      <c r="D23" s="233"/>
      <c r="E23" s="234"/>
      <c r="F23" s="234"/>
      <c r="G23" s="235"/>
    </row>
    <row r="24" spans="2:13" s="57" customFormat="1" ht="18.75" customHeight="1" x14ac:dyDescent="0.15">
      <c r="B24" s="238"/>
      <c r="C24" s="58"/>
      <c r="D24" s="233"/>
      <c r="E24" s="234"/>
      <c r="F24" s="234"/>
      <c r="G24" s="235"/>
    </row>
    <row r="25" spans="2:13" s="53" customFormat="1" ht="18.75" customHeight="1" x14ac:dyDescent="0.15">
      <c r="B25" s="239"/>
      <c r="C25" s="54"/>
      <c r="D25" s="233"/>
      <c r="E25" s="234"/>
      <c r="F25" s="234"/>
      <c r="G25" s="235"/>
    </row>
    <row r="26" spans="2:13" ht="18.75" customHeight="1" x14ac:dyDescent="0.15">
      <c r="B26" s="237" t="s">
        <v>100</v>
      </c>
      <c r="C26" s="233" t="s">
        <v>214</v>
      </c>
      <c r="D26" s="234"/>
      <c r="E26" s="234"/>
      <c r="F26" s="234"/>
      <c r="G26" s="235"/>
    </row>
    <row r="27" spans="2:13" ht="37.5" customHeight="1" x14ac:dyDescent="0.15">
      <c r="B27" s="238"/>
      <c r="C27" s="273" t="s">
        <v>178</v>
      </c>
      <c r="D27" s="274"/>
      <c r="E27" s="274"/>
      <c r="F27" s="274"/>
      <c r="G27" s="275"/>
    </row>
    <row r="28" spans="2:13" ht="37.5" customHeight="1" x14ac:dyDescent="0.15">
      <c r="B28" s="238"/>
      <c r="C28" s="276"/>
      <c r="D28" s="277"/>
      <c r="E28" s="277"/>
      <c r="F28" s="277"/>
      <c r="G28" s="278"/>
    </row>
    <row r="29" spans="2:13" ht="37.5" customHeight="1" x14ac:dyDescent="0.15">
      <c r="B29" s="238"/>
      <c r="C29" s="276"/>
      <c r="D29" s="277"/>
      <c r="E29" s="277"/>
      <c r="F29" s="277"/>
      <c r="G29" s="278"/>
    </row>
    <row r="30" spans="2:13" ht="37.5" customHeight="1" x14ac:dyDescent="0.15">
      <c r="B30" s="238"/>
      <c r="C30" s="279"/>
      <c r="D30" s="280"/>
      <c r="E30" s="280"/>
      <c r="F30" s="280"/>
      <c r="G30" s="281"/>
    </row>
    <row r="31" spans="2:13" ht="18.75" customHeight="1" x14ac:dyDescent="0.15">
      <c r="B31" s="238"/>
      <c r="C31" s="109" t="s">
        <v>97</v>
      </c>
      <c r="D31" s="221" t="s">
        <v>98</v>
      </c>
      <c r="E31" s="222"/>
      <c r="F31" s="222"/>
      <c r="G31" s="223"/>
    </row>
    <row r="32" spans="2:13" ht="34.5" customHeight="1" x14ac:dyDescent="0.15">
      <c r="B32" s="238"/>
      <c r="C32" s="106" t="s">
        <v>154</v>
      </c>
      <c r="D32" s="270" t="s">
        <v>158</v>
      </c>
      <c r="E32" s="271"/>
      <c r="F32" s="271"/>
      <c r="G32" s="272"/>
    </row>
    <row r="33" spans="2:7" ht="21" customHeight="1" x14ac:dyDescent="0.15">
      <c r="B33" s="238"/>
      <c r="C33" s="106" t="s">
        <v>155</v>
      </c>
      <c r="D33" s="270" t="s">
        <v>157</v>
      </c>
      <c r="E33" s="271"/>
      <c r="F33" s="271"/>
      <c r="G33" s="272"/>
    </row>
    <row r="34" spans="2:7" ht="30.75" customHeight="1" x14ac:dyDescent="0.15">
      <c r="B34" s="238"/>
      <c r="C34" s="107" t="s">
        <v>161</v>
      </c>
      <c r="D34" s="292" t="s">
        <v>182</v>
      </c>
      <c r="E34" s="293"/>
      <c r="F34" s="293"/>
      <c r="G34" s="294"/>
    </row>
    <row r="35" spans="2:7" ht="18.75" customHeight="1" x14ac:dyDescent="0.15">
      <c r="B35" s="238"/>
      <c r="C35" s="54"/>
      <c r="D35" s="258"/>
      <c r="E35" s="259"/>
      <c r="F35" s="259"/>
      <c r="G35" s="260"/>
    </row>
    <row r="36" spans="2:7" ht="18.75" customHeight="1" x14ac:dyDescent="0.15">
      <c r="B36" s="238"/>
      <c r="C36" s="54"/>
      <c r="D36" s="258"/>
      <c r="E36" s="259"/>
      <c r="F36" s="259"/>
      <c r="G36" s="260"/>
    </row>
    <row r="37" spans="2:7" ht="18.75" customHeight="1" x14ac:dyDescent="0.15">
      <c r="B37" s="238"/>
      <c r="C37" s="54"/>
      <c r="D37" s="258"/>
      <c r="E37" s="259"/>
      <c r="F37" s="259"/>
      <c r="G37" s="260"/>
    </row>
    <row r="38" spans="2:7" ht="18.75" customHeight="1" x14ac:dyDescent="0.15">
      <c r="B38" s="238"/>
      <c r="C38" s="54"/>
      <c r="D38" s="258"/>
      <c r="E38" s="259"/>
      <c r="F38" s="259"/>
      <c r="G38" s="260"/>
    </row>
    <row r="39" spans="2:7" ht="18.75" customHeight="1" x14ac:dyDescent="0.15">
      <c r="B39" s="238"/>
      <c r="C39" s="54"/>
      <c r="D39" s="258"/>
      <c r="E39" s="259"/>
      <c r="F39" s="259"/>
      <c r="G39" s="260"/>
    </row>
    <row r="40" spans="2:7" ht="18.75" customHeight="1" x14ac:dyDescent="0.15">
      <c r="B40" s="238"/>
      <c r="C40" s="54"/>
      <c r="D40" s="258"/>
      <c r="E40" s="259"/>
      <c r="F40" s="259"/>
      <c r="G40" s="260"/>
    </row>
    <row r="41" spans="2:7" ht="18.75" customHeight="1" x14ac:dyDescent="0.15">
      <c r="B41" s="238"/>
      <c r="C41" s="54"/>
      <c r="D41" s="258"/>
      <c r="E41" s="259"/>
      <c r="F41" s="259"/>
      <c r="G41" s="260"/>
    </row>
    <row r="42" spans="2:7" ht="18.75" customHeight="1" x14ac:dyDescent="0.15">
      <c r="B42" s="238"/>
      <c r="C42" s="54"/>
      <c r="D42" s="258"/>
      <c r="E42" s="259"/>
      <c r="F42" s="259"/>
      <c r="G42" s="260"/>
    </row>
    <row r="43" spans="2:7" ht="18.75" customHeight="1" x14ac:dyDescent="0.15">
      <c r="B43" s="238"/>
      <c r="C43" s="54"/>
      <c r="D43" s="258"/>
      <c r="E43" s="259"/>
      <c r="F43" s="259"/>
      <c r="G43" s="260"/>
    </row>
    <row r="44" spans="2:7" ht="18.75" customHeight="1" x14ac:dyDescent="0.15">
      <c r="B44" s="238"/>
      <c r="C44" s="54"/>
      <c r="D44" s="258"/>
      <c r="E44" s="259"/>
      <c r="F44" s="259"/>
      <c r="G44" s="260"/>
    </row>
    <row r="45" spans="2:7" ht="18.75" customHeight="1" x14ac:dyDescent="0.15">
      <c r="B45" s="238"/>
      <c r="C45" s="54"/>
      <c r="D45" s="258"/>
      <c r="E45" s="259"/>
      <c r="F45" s="259"/>
      <c r="G45" s="260"/>
    </row>
    <row r="46" spans="2:7" ht="18.75" customHeight="1" x14ac:dyDescent="0.15">
      <c r="B46" s="238"/>
      <c r="C46" s="54"/>
      <c r="D46" s="258"/>
      <c r="E46" s="259"/>
      <c r="F46" s="259"/>
      <c r="G46" s="260"/>
    </row>
    <row r="47" spans="2:7" ht="18.75" customHeight="1" x14ac:dyDescent="0.15">
      <c r="B47" s="238"/>
      <c r="C47" s="54"/>
      <c r="D47" s="258"/>
      <c r="E47" s="259"/>
      <c r="F47" s="259"/>
      <c r="G47" s="260"/>
    </row>
    <row r="48" spans="2:7" ht="18.75" customHeight="1" x14ac:dyDescent="0.15">
      <c r="B48" s="238"/>
      <c r="C48" s="105"/>
      <c r="D48" s="102"/>
      <c r="E48" s="103"/>
      <c r="F48" s="103"/>
      <c r="G48" s="104"/>
    </row>
    <row r="49" spans="2:7" ht="18.75" customHeight="1" x14ac:dyDescent="0.15">
      <c r="B49" s="238"/>
      <c r="C49" s="54"/>
      <c r="D49" s="258"/>
      <c r="E49" s="259"/>
      <c r="F49" s="259"/>
      <c r="G49" s="260"/>
    </row>
    <row r="50" spans="2:7" ht="18.75" customHeight="1" x14ac:dyDescent="0.15">
      <c r="B50" s="239"/>
      <c r="C50" s="54"/>
      <c r="D50" s="258"/>
      <c r="E50" s="259"/>
      <c r="F50" s="259"/>
      <c r="G50" s="260"/>
    </row>
    <row r="51" spans="2:7" ht="18.75" customHeight="1" x14ac:dyDescent="0.15">
      <c r="B51" s="237" t="s">
        <v>102</v>
      </c>
      <c r="C51" s="233" t="s">
        <v>214</v>
      </c>
      <c r="D51" s="234"/>
      <c r="E51" s="234"/>
      <c r="F51" s="234"/>
      <c r="G51" s="235"/>
    </row>
    <row r="52" spans="2:7" ht="37.5" customHeight="1" x14ac:dyDescent="0.15">
      <c r="B52" s="238"/>
      <c r="C52" s="240" t="s">
        <v>189</v>
      </c>
      <c r="D52" s="241"/>
      <c r="E52" s="241"/>
      <c r="F52" s="241"/>
      <c r="G52" s="242"/>
    </row>
    <row r="53" spans="2:7" ht="37.5" customHeight="1" x14ac:dyDescent="0.15">
      <c r="B53" s="238"/>
      <c r="C53" s="243"/>
      <c r="D53" s="244"/>
      <c r="E53" s="244"/>
      <c r="F53" s="244"/>
      <c r="G53" s="245"/>
    </row>
    <row r="54" spans="2:7" ht="37.5" customHeight="1" x14ac:dyDescent="0.15">
      <c r="B54" s="238"/>
      <c r="C54" s="243"/>
      <c r="D54" s="244"/>
      <c r="E54" s="244"/>
      <c r="F54" s="244"/>
      <c r="G54" s="245"/>
    </row>
    <row r="55" spans="2:7" ht="37.5" customHeight="1" x14ac:dyDescent="0.15">
      <c r="B55" s="238"/>
      <c r="C55" s="243"/>
      <c r="D55" s="244"/>
      <c r="E55" s="244"/>
      <c r="F55" s="244"/>
      <c r="G55" s="245"/>
    </row>
    <row r="56" spans="2:7" ht="37.5" customHeight="1" x14ac:dyDescent="0.15">
      <c r="B56" s="238"/>
      <c r="C56" s="246"/>
      <c r="D56" s="247"/>
      <c r="E56" s="247"/>
      <c r="F56" s="247"/>
      <c r="G56" s="248"/>
    </row>
    <row r="57" spans="2:7" ht="18.75" customHeight="1" x14ac:dyDescent="0.15">
      <c r="B57" s="238"/>
      <c r="C57" s="52" t="s">
        <v>97</v>
      </c>
      <c r="D57" s="233" t="s">
        <v>98</v>
      </c>
      <c r="E57" s="234"/>
      <c r="F57" s="234"/>
      <c r="G57" s="235"/>
    </row>
    <row r="58" spans="2:7" ht="30.75" customHeight="1" x14ac:dyDescent="0.15">
      <c r="B58" s="238"/>
      <c r="C58" s="106" t="s">
        <v>154</v>
      </c>
      <c r="D58" s="270" t="s">
        <v>158</v>
      </c>
      <c r="E58" s="271"/>
      <c r="F58" s="271"/>
      <c r="G58" s="272"/>
    </row>
    <row r="59" spans="2:7" ht="18.75" customHeight="1" x14ac:dyDescent="0.15">
      <c r="B59" s="238"/>
      <c r="C59" s="106" t="s">
        <v>155</v>
      </c>
      <c r="D59" s="270" t="s">
        <v>157</v>
      </c>
      <c r="E59" s="271"/>
      <c r="F59" s="271"/>
      <c r="G59" s="272"/>
    </row>
    <row r="60" spans="2:7" ht="18.75" customHeight="1" x14ac:dyDescent="0.15">
      <c r="B60" s="238"/>
      <c r="C60" s="65"/>
      <c r="D60" s="258"/>
      <c r="E60" s="259"/>
      <c r="F60" s="259"/>
      <c r="G60" s="260"/>
    </row>
    <row r="61" spans="2:7" ht="18.75" customHeight="1" x14ac:dyDescent="0.15">
      <c r="B61" s="238"/>
      <c r="C61" s="65"/>
      <c r="D61" s="258"/>
      <c r="E61" s="259"/>
      <c r="F61" s="259"/>
      <c r="G61" s="260"/>
    </row>
    <row r="62" spans="2:7" ht="18.75" customHeight="1" x14ac:dyDescent="0.15">
      <c r="B62" s="238"/>
      <c r="C62" s="65"/>
      <c r="D62" s="258"/>
      <c r="E62" s="259"/>
      <c r="F62" s="259"/>
      <c r="G62" s="260"/>
    </row>
    <row r="63" spans="2:7" ht="18.75" customHeight="1" x14ac:dyDescent="0.15">
      <c r="B63" s="238"/>
      <c r="C63" s="65"/>
      <c r="D63" s="258"/>
      <c r="E63" s="259"/>
      <c r="F63" s="259"/>
      <c r="G63" s="260"/>
    </row>
    <row r="64" spans="2:7" ht="18.75" customHeight="1" x14ac:dyDescent="0.15">
      <c r="B64" s="238"/>
      <c r="C64" s="65"/>
      <c r="D64" s="258"/>
      <c r="E64" s="259"/>
      <c r="F64" s="259"/>
      <c r="G64" s="260"/>
    </row>
    <row r="65" spans="2:7" ht="18.75" customHeight="1" x14ac:dyDescent="0.15">
      <c r="B65" s="238"/>
      <c r="C65" s="65"/>
      <c r="D65" s="258"/>
      <c r="E65" s="259"/>
      <c r="F65" s="259"/>
      <c r="G65" s="260"/>
    </row>
    <row r="66" spans="2:7" ht="18.75" customHeight="1" x14ac:dyDescent="0.15">
      <c r="B66" s="238"/>
      <c r="C66" s="65"/>
      <c r="D66" s="258"/>
      <c r="E66" s="259"/>
      <c r="F66" s="259"/>
      <c r="G66" s="260"/>
    </row>
    <row r="67" spans="2:7" ht="18.75" customHeight="1" x14ac:dyDescent="0.15">
      <c r="B67" s="238"/>
      <c r="C67" s="65"/>
      <c r="D67" s="258"/>
      <c r="E67" s="259"/>
      <c r="F67" s="259"/>
      <c r="G67" s="260"/>
    </row>
    <row r="68" spans="2:7" ht="18.75" customHeight="1" x14ac:dyDescent="0.15">
      <c r="B68" s="238"/>
      <c r="C68" s="65"/>
      <c r="D68" s="258"/>
      <c r="E68" s="259"/>
      <c r="F68" s="259"/>
      <c r="G68" s="260"/>
    </row>
    <row r="69" spans="2:7" ht="18.75" customHeight="1" x14ac:dyDescent="0.15">
      <c r="B69" s="238"/>
      <c r="C69" s="65"/>
      <c r="D69" s="258"/>
      <c r="E69" s="259"/>
      <c r="F69" s="259"/>
      <c r="G69" s="260"/>
    </row>
    <row r="70" spans="2:7" ht="18.75" customHeight="1" x14ac:dyDescent="0.15">
      <c r="B70" s="238"/>
      <c r="C70" s="65"/>
      <c r="D70" s="258"/>
      <c r="E70" s="259"/>
      <c r="F70" s="259"/>
      <c r="G70" s="260"/>
    </row>
    <row r="71" spans="2:7" ht="18.75" customHeight="1" x14ac:dyDescent="0.15">
      <c r="B71" s="238"/>
      <c r="C71" s="65"/>
      <c r="D71" s="258"/>
      <c r="E71" s="259"/>
      <c r="F71" s="259"/>
      <c r="G71" s="260"/>
    </row>
    <row r="72" spans="2:7" ht="18.75" customHeight="1" x14ac:dyDescent="0.15">
      <c r="B72" s="238"/>
      <c r="C72" s="65"/>
      <c r="D72" s="258"/>
      <c r="E72" s="259"/>
      <c r="F72" s="259"/>
      <c r="G72" s="260"/>
    </row>
    <row r="73" spans="2:7" ht="18.75" customHeight="1" x14ac:dyDescent="0.15">
      <c r="B73" s="238"/>
      <c r="C73" s="65"/>
      <c r="D73" s="258"/>
      <c r="E73" s="259"/>
      <c r="F73" s="259"/>
      <c r="G73" s="260"/>
    </row>
    <row r="74" spans="2:7" ht="18.75" customHeight="1" x14ac:dyDescent="0.15">
      <c r="B74" s="238"/>
      <c r="C74" s="54"/>
      <c r="D74" s="258"/>
      <c r="E74" s="259"/>
      <c r="F74" s="259"/>
      <c r="G74" s="260"/>
    </row>
    <row r="75" spans="2:7" ht="18.75" customHeight="1" x14ac:dyDescent="0.15">
      <c r="B75" s="239"/>
      <c r="C75" s="54"/>
      <c r="D75" s="258"/>
      <c r="E75" s="259"/>
      <c r="F75" s="259"/>
      <c r="G75" s="260"/>
    </row>
    <row r="76" spans="2:7" ht="18.75" customHeight="1" x14ac:dyDescent="0.15">
      <c r="B76" s="237" t="s">
        <v>101</v>
      </c>
      <c r="C76" s="233" t="s">
        <v>214</v>
      </c>
      <c r="D76" s="234"/>
      <c r="E76" s="234"/>
      <c r="F76" s="234"/>
      <c r="G76" s="235"/>
    </row>
    <row r="77" spans="2:7" ht="37.5" customHeight="1" x14ac:dyDescent="0.15">
      <c r="B77" s="238"/>
      <c r="C77" s="249" t="s">
        <v>207</v>
      </c>
      <c r="D77" s="250"/>
      <c r="E77" s="250"/>
      <c r="F77" s="250"/>
      <c r="G77" s="251"/>
    </row>
    <row r="78" spans="2:7" ht="37.5" customHeight="1" x14ac:dyDescent="0.15">
      <c r="B78" s="238"/>
      <c r="C78" s="252"/>
      <c r="D78" s="253"/>
      <c r="E78" s="253"/>
      <c r="F78" s="253"/>
      <c r="G78" s="254"/>
    </row>
    <row r="79" spans="2:7" ht="37.5" customHeight="1" x14ac:dyDescent="0.15">
      <c r="B79" s="238"/>
      <c r="C79" s="252"/>
      <c r="D79" s="253"/>
      <c r="E79" s="253"/>
      <c r="F79" s="253"/>
      <c r="G79" s="254"/>
    </row>
    <row r="80" spans="2:7" ht="37.5" customHeight="1" x14ac:dyDescent="0.15">
      <c r="B80" s="238"/>
      <c r="C80" s="252"/>
      <c r="D80" s="253"/>
      <c r="E80" s="253"/>
      <c r="F80" s="253"/>
      <c r="G80" s="254"/>
    </row>
    <row r="81" spans="2:7" ht="37.5" customHeight="1" x14ac:dyDescent="0.15">
      <c r="B81" s="238"/>
      <c r="C81" s="255"/>
      <c r="D81" s="256"/>
      <c r="E81" s="256"/>
      <c r="F81" s="256"/>
      <c r="G81" s="257"/>
    </row>
    <row r="82" spans="2:7" ht="18.75" customHeight="1" x14ac:dyDescent="0.15">
      <c r="B82" s="238"/>
      <c r="C82" s="52" t="s">
        <v>97</v>
      </c>
      <c r="D82" s="233" t="s">
        <v>98</v>
      </c>
      <c r="E82" s="234"/>
      <c r="F82" s="234"/>
      <c r="G82" s="235"/>
    </row>
    <row r="83" spans="2:7" ht="32.25" customHeight="1" x14ac:dyDescent="0.15">
      <c r="B83" s="238"/>
      <c r="C83" s="65" t="s">
        <v>132</v>
      </c>
      <c r="D83" s="270" t="s">
        <v>159</v>
      </c>
      <c r="E83" s="225"/>
      <c r="F83" s="225"/>
      <c r="G83" s="226"/>
    </row>
    <row r="84" spans="2:7" ht="90.75" customHeight="1" x14ac:dyDescent="0.15">
      <c r="B84" s="238"/>
      <c r="C84" s="65" t="s">
        <v>133</v>
      </c>
      <c r="D84" s="295" t="s">
        <v>201</v>
      </c>
      <c r="E84" s="296"/>
      <c r="F84" s="296"/>
      <c r="G84" s="297"/>
    </row>
    <row r="85" spans="2:7" ht="18.75" customHeight="1" x14ac:dyDescent="0.15">
      <c r="B85" s="238"/>
      <c r="C85" s="65"/>
      <c r="D85" s="258"/>
      <c r="E85" s="259"/>
      <c r="F85" s="259"/>
      <c r="G85" s="260"/>
    </row>
    <row r="86" spans="2:7" ht="18.75" customHeight="1" x14ac:dyDescent="0.15">
      <c r="B86" s="238"/>
      <c r="C86" s="65"/>
      <c r="D86" s="258"/>
      <c r="E86" s="259"/>
      <c r="F86" s="259"/>
      <c r="G86" s="260"/>
    </row>
    <row r="87" spans="2:7" ht="18.75" customHeight="1" x14ac:dyDescent="0.15">
      <c r="B87" s="238"/>
      <c r="C87" s="65"/>
      <c r="D87" s="258"/>
      <c r="E87" s="259"/>
      <c r="F87" s="259"/>
      <c r="G87" s="260"/>
    </row>
    <row r="88" spans="2:7" ht="18.75" customHeight="1" x14ac:dyDescent="0.15">
      <c r="B88" s="238"/>
      <c r="C88" s="65"/>
      <c r="D88" s="258"/>
      <c r="E88" s="259"/>
      <c r="F88" s="259"/>
      <c r="G88" s="260"/>
    </row>
    <row r="89" spans="2:7" ht="18.75" customHeight="1" x14ac:dyDescent="0.15">
      <c r="B89" s="238"/>
      <c r="C89" s="65"/>
      <c r="D89" s="258"/>
      <c r="E89" s="259"/>
      <c r="F89" s="259"/>
      <c r="G89" s="260"/>
    </row>
    <row r="90" spans="2:7" ht="18.75" customHeight="1" x14ac:dyDescent="0.15">
      <c r="B90" s="238"/>
      <c r="C90" s="65"/>
      <c r="D90" s="258"/>
      <c r="E90" s="259"/>
      <c r="F90" s="259"/>
      <c r="G90" s="260"/>
    </row>
    <row r="91" spans="2:7" ht="18.75" customHeight="1" x14ac:dyDescent="0.15">
      <c r="B91" s="238"/>
      <c r="C91" s="65"/>
      <c r="D91" s="258"/>
      <c r="E91" s="259"/>
      <c r="F91" s="259"/>
      <c r="G91" s="260"/>
    </row>
    <row r="92" spans="2:7" ht="18.75" customHeight="1" x14ac:dyDescent="0.15">
      <c r="B92" s="238"/>
      <c r="C92" s="65"/>
      <c r="D92" s="258"/>
      <c r="E92" s="259"/>
      <c r="F92" s="259"/>
      <c r="G92" s="260"/>
    </row>
    <row r="93" spans="2:7" ht="18.75" customHeight="1" x14ac:dyDescent="0.15">
      <c r="B93" s="238"/>
      <c r="C93" s="65"/>
      <c r="D93" s="258"/>
      <c r="E93" s="259"/>
      <c r="F93" s="259"/>
      <c r="G93" s="260"/>
    </row>
    <row r="94" spans="2:7" ht="18.75" customHeight="1" x14ac:dyDescent="0.15">
      <c r="B94" s="238"/>
      <c r="C94" s="65"/>
      <c r="D94" s="258"/>
      <c r="E94" s="259"/>
      <c r="F94" s="259"/>
      <c r="G94" s="260"/>
    </row>
    <row r="95" spans="2:7" ht="18.75" customHeight="1" x14ac:dyDescent="0.15">
      <c r="B95" s="238"/>
      <c r="C95" s="65"/>
      <c r="D95" s="258"/>
      <c r="E95" s="259"/>
      <c r="F95" s="259"/>
      <c r="G95" s="260"/>
    </row>
    <row r="96" spans="2:7" ht="18.75" customHeight="1" x14ac:dyDescent="0.15">
      <c r="B96" s="239"/>
      <c r="C96" s="54"/>
      <c r="D96" s="258"/>
      <c r="E96" s="259"/>
      <c r="F96" s="259"/>
      <c r="G96" s="260"/>
    </row>
    <row r="97" spans="2:7" ht="18.75" customHeight="1" x14ac:dyDescent="0.15">
      <c r="B97" s="237" t="s">
        <v>177</v>
      </c>
      <c r="C97" s="233" t="s">
        <v>213</v>
      </c>
      <c r="D97" s="234"/>
      <c r="E97" s="234"/>
      <c r="F97" s="234"/>
      <c r="G97" s="235"/>
    </row>
    <row r="98" spans="2:7" ht="37.5" customHeight="1" x14ac:dyDescent="0.15">
      <c r="B98" s="238"/>
      <c r="C98" s="261" t="s">
        <v>208</v>
      </c>
      <c r="D98" s="262"/>
      <c r="E98" s="262"/>
      <c r="F98" s="262"/>
      <c r="G98" s="263"/>
    </row>
    <row r="99" spans="2:7" ht="37.5" customHeight="1" x14ac:dyDescent="0.15">
      <c r="B99" s="238"/>
      <c r="C99" s="264"/>
      <c r="D99" s="265"/>
      <c r="E99" s="265"/>
      <c r="F99" s="265"/>
      <c r="G99" s="266"/>
    </row>
    <row r="100" spans="2:7" ht="37.5" customHeight="1" x14ac:dyDescent="0.15">
      <c r="B100" s="238"/>
      <c r="C100" s="264"/>
      <c r="D100" s="265"/>
      <c r="E100" s="265"/>
      <c r="F100" s="265"/>
      <c r="G100" s="266"/>
    </row>
    <row r="101" spans="2:7" ht="37.5" customHeight="1" x14ac:dyDescent="0.15">
      <c r="B101" s="238"/>
      <c r="C101" s="264"/>
      <c r="D101" s="265"/>
      <c r="E101" s="265"/>
      <c r="F101" s="265"/>
      <c r="G101" s="266"/>
    </row>
    <row r="102" spans="2:7" ht="37.5" customHeight="1" x14ac:dyDescent="0.15">
      <c r="B102" s="238"/>
      <c r="C102" s="267"/>
      <c r="D102" s="268"/>
      <c r="E102" s="268"/>
      <c r="F102" s="268"/>
      <c r="G102" s="269"/>
    </row>
    <row r="103" spans="2:7" ht="18.75" customHeight="1" x14ac:dyDescent="0.15">
      <c r="B103" s="238"/>
      <c r="C103" s="52" t="s">
        <v>97</v>
      </c>
      <c r="D103" s="233" t="s">
        <v>98</v>
      </c>
      <c r="E103" s="234"/>
      <c r="F103" s="234"/>
      <c r="G103" s="235"/>
    </row>
    <row r="104" spans="2:7" ht="50.25" customHeight="1" x14ac:dyDescent="0.15">
      <c r="B104" s="238"/>
      <c r="C104" s="105" t="s">
        <v>132</v>
      </c>
      <c r="D104" s="299" t="s">
        <v>183</v>
      </c>
      <c r="E104" s="300"/>
      <c r="F104" s="300"/>
      <c r="G104" s="301"/>
    </row>
    <row r="105" spans="2:7" ht="35.25" customHeight="1" x14ac:dyDescent="0.15">
      <c r="B105" s="238"/>
      <c r="C105" s="105" t="s">
        <v>134</v>
      </c>
      <c r="D105" s="292" t="s">
        <v>160</v>
      </c>
      <c r="E105" s="293"/>
      <c r="F105" s="293"/>
      <c r="G105" s="294"/>
    </row>
    <row r="106" spans="2:7" ht="18.75" customHeight="1" x14ac:dyDescent="0.15">
      <c r="B106" s="238"/>
      <c r="C106" s="105"/>
      <c r="D106" s="292"/>
      <c r="E106" s="293"/>
      <c r="F106" s="293"/>
      <c r="G106" s="294"/>
    </row>
    <row r="107" spans="2:7" ht="18.75" customHeight="1" x14ac:dyDescent="0.15">
      <c r="B107" s="238"/>
      <c r="C107" s="65"/>
      <c r="D107" s="258"/>
      <c r="E107" s="259"/>
      <c r="F107" s="259"/>
      <c r="G107" s="260"/>
    </row>
    <row r="108" spans="2:7" ht="18.75" customHeight="1" x14ac:dyDescent="0.15">
      <c r="B108" s="238"/>
      <c r="C108" s="65"/>
      <c r="D108" s="258"/>
      <c r="E108" s="259"/>
      <c r="F108" s="259"/>
      <c r="G108" s="260"/>
    </row>
    <row r="109" spans="2:7" ht="18.75" customHeight="1" x14ac:dyDescent="0.15">
      <c r="B109" s="238"/>
      <c r="C109" s="65"/>
      <c r="D109" s="258"/>
      <c r="E109" s="259"/>
      <c r="F109" s="259"/>
      <c r="G109" s="260"/>
    </row>
    <row r="110" spans="2:7" ht="18.75" customHeight="1" x14ac:dyDescent="0.15">
      <c r="B110" s="238"/>
      <c r="C110" s="65"/>
      <c r="D110" s="258"/>
      <c r="E110" s="259"/>
      <c r="F110" s="259"/>
      <c r="G110" s="260"/>
    </row>
    <row r="111" spans="2:7" ht="18.75" customHeight="1" x14ac:dyDescent="0.15">
      <c r="B111" s="238"/>
      <c r="C111" s="65"/>
      <c r="D111" s="258"/>
      <c r="E111" s="259"/>
      <c r="F111" s="259"/>
      <c r="G111" s="260"/>
    </row>
    <row r="112" spans="2:7" ht="18.75" customHeight="1" x14ac:dyDescent="0.15">
      <c r="B112" s="238"/>
      <c r="C112" s="65"/>
      <c r="D112" s="258"/>
      <c r="E112" s="259"/>
      <c r="F112" s="259"/>
      <c r="G112" s="260"/>
    </row>
    <row r="113" spans="1:7" ht="18.75" customHeight="1" x14ac:dyDescent="0.15">
      <c r="B113" s="238"/>
      <c r="C113" s="65"/>
      <c r="D113" s="258"/>
      <c r="E113" s="259"/>
      <c r="F113" s="259"/>
      <c r="G113" s="260"/>
    </row>
    <row r="114" spans="1:7" ht="18.75" customHeight="1" x14ac:dyDescent="0.15">
      <c r="B114" s="238"/>
      <c r="C114" s="65"/>
      <c r="D114" s="258"/>
      <c r="E114" s="259"/>
      <c r="F114" s="259"/>
      <c r="G114" s="260"/>
    </row>
    <row r="115" spans="1:7" ht="18.75" customHeight="1" x14ac:dyDescent="0.15">
      <c r="B115" s="238"/>
      <c r="C115" s="65"/>
      <c r="D115" s="258"/>
      <c r="E115" s="259"/>
      <c r="F115" s="259"/>
      <c r="G115" s="260"/>
    </row>
    <row r="116" spans="1:7" ht="18.75" customHeight="1" x14ac:dyDescent="0.15">
      <c r="B116" s="238"/>
      <c r="C116" s="65"/>
      <c r="D116" s="258"/>
      <c r="E116" s="259"/>
      <c r="F116" s="259"/>
      <c r="G116" s="260"/>
    </row>
    <row r="117" spans="1:7" ht="18.75" customHeight="1" x14ac:dyDescent="0.15">
      <c r="B117" s="239"/>
      <c r="C117" s="54"/>
      <c r="D117" s="258"/>
      <c r="E117" s="259"/>
      <c r="F117" s="259"/>
      <c r="G117" s="260"/>
    </row>
    <row r="118" spans="1:7" ht="18.75" customHeight="1" x14ac:dyDescent="0.15">
      <c r="A118" s="1" t="s">
        <v>12</v>
      </c>
      <c r="B118" s="1" t="s">
        <v>95</v>
      </c>
    </row>
    <row r="119" spans="1:7" ht="22.5" customHeight="1" x14ac:dyDescent="0.15">
      <c r="B119" s="54" t="s">
        <v>66</v>
      </c>
      <c r="C119" s="233" t="s">
        <v>94</v>
      </c>
      <c r="D119" s="234"/>
      <c r="E119" s="234"/>
      <c r="F119" s="234"/>
      <c r="G119" s="235"/>
    </row>
    <row r="120" spans="1:7" ht="32.25" customHeight="1" x14ac:dyDescent="0.15">
      <c r="B120" s="55" t="s">
        <v>68</v>
      </c>
      <c r="C120" s="286" t="s">
        <v>162</v>
      </c>
      <c r="D120" s="287"/>
      <c r="E120" s="287"/>
      <c r="F120" s="287"/>
      <c r="G120" s="288"/>
    </row>
    <row r="121" spans="1:7" ht="63" customHeight="1" x14ac:dyDescent="0.15">
      <c r="B121" s="55" t="s">
        <v>69</v>
      </c>
      <c r="C121" s="289" t="s">
        <v>163</v>
      </c>
      <c r="D121" s="290"/>
      <c r="E121" s="290"/>
      <c r="F121" s="290"/>
      <c r="G121" s="291"/>
    </row>
    <row r="122" spans="1:7" ht="60.75" customHeight="1" x14ac:dyDescent="0.15">
      <c r="B122" s="55" t="s">
        <v>70</v>
      </c>
      <c r="C122" s="289" t="s">
        <v>164</v>
      </c>
      <c r="D122" s="290"/>
      <c r="E122" s="290"/>
      <c r="F122" s="290"/>
      <c r="G122" s="291"/>
    </row>
    <row r="123" spans="1:7" ht="32.25" customHeight="1" x14ac:dyDescent="0.15">
      <c r="B123" s="55" t="s">
        <v>71</v>
      </c>
      <c r="C123" s="172" t="s">
        <v>165</v>
      </c>
      <c r="D123" s="173"/>
      <c r="E123" s="173"/>
      <c r="F123" s="173"/>
      <c r="G123" s="174"/>
    </row>
    <row r="124" spans="1:7" ht="32.25" customHeight="1" x14ac:dyDescent="0.15">
      <c r="B124" s="55" t="s">
        <v>72</v>
      </c>
      <c r="C124" s="286" t="s">
        <v>202</v>
      </c>
      <c r="D124" s="287"/>
      <c r="E124" s="287"/>
      <c r="F124" s="287"/>
      <c r="G124" s="288"/>
    </row>
    <row r="125" spans="1:7" ht="32.25" customHeight="1" x14ac:dyDescent="0.15">
      <c r="B125" s="55" t="s">
        <v>73</v>
      </c>
      <c r="C125" s="286" t="s">
        <v>203</v>
      </c>
      <c r="D125" s="287"/>
      <c r="E125" s="287"/>
      <c r="F125" s="287"/>
      <c r="G125" s="288"/>
    </row>
    <row r="126" spans="1:7" ht="51.75" customHeight="1" x14ac:dyDescent="0.15">
      <c r="B126" s="55" t="s">
        <v>74</v>
      </c>
      <c r="C126" s="289" t="s">
        <v>166</v>
      </c>
      <c r="D126" s="290"/>
      <c r="E126" s="290"/>
      <c r="F126" s="290"/>
      <c r="G126" s="291"/>
    </row>
    <row r="127" spans="1:7" ht="32.25" customHeight="1" x14ac:dyDescent="0.15">
      <c r="B127" s="55" t="s">
        <v>75</v>
      </c>
      <c r="C127" s="286" t="s">
        <v>142</v>
      </c>
      <c r="D127" s="287"/>
      <c r="E127" s="287"/>
      <c r="F127" s="287"/>
      <c r="G127" s="288"/>
    </row>
    <row r="128" spans="1:7" ht="32.25" customHeight="1" x14ac:dyDescent="0.15">
      <c r="B128" s="55" t="s">
        <v>76</v>
      </c>
      <c r="C128" s="286"/>
      <c r="D128" s="287"/>
      <c r="E128" s="287"/>
      <c r="F128" s="287"/>
      <c r="G128" s="288"/>
    </row>
    <row r="129" spans="1:7" ht="7.5" customHeight="1" x14ac:dyDescent="0.15"/>
    <row r="130" spans="1:7" ht="26.25" customHeight="1" x14ac:dyDescent="0.15">
      <c r="A130" s="1" t="s">
        <v>89</v>
      </c>
      <c r="B130" s="1" t="s">
        <v>90</v>
      </c>
      <c r="E130" s="283" t="s">
        <v>167</v>
      </c>
      <c r="F130" s="284"/>
      <c r="G130" s="285"/>
    </row>
    <row r="131" spans="1:7" ht="7.5" customHeight="1" x14ac:dyDescent="0.15"/>
    <row r="132" spans="1:7" ht="18.75" customHeight="1" x14ac:dyDescent="0.15">
      <c r="A132" s="1" t="s">
        <v>91</v>
      </c>
      <c r="B132" s="1" t="s">
        <v>139</v>
      </c>
    </row>
    <row r="133" spans="1:7" ht="48.75" customHeight="1" x14ac:dyDescent="0.15">
      <c r="B133" s="261" t="s">
        <v>190</v>
      </c>
      <c r="C133" s="262"/>
      <c r="D133" s="262"/>
      <c r="E133" s="262"/>
      <c r="F133" s="262"/>
      <c r="G133" s="263"/>
    </row>
    <row r="134" spans="1:7" ht="48.75" customHeight="1" x14ac:dyDescent="0.15">
      <c r="B134" s="264"/>
      <c r="C134" s="265"/>
      <c r="D134" s="265"/>
      <c r="E134" s="265"/>
      <c r="F134" s="265"/>
      <c r="G134" s="266"/>
    </row>
    <row r="135" spans="1:7" ht="48.75" customHeight="1" x14ac:dyDescent="0.15">
      <c r="B135" s="264"/>
      <c r="C135" s="265"/>
      <c r="D135" s="265"/>
      <c r="E135" s="265"/>
      <c r="F135" s="265"/>
      <c r="G135" s="266"/>
    </row>
    <row r="136" spans="1:7" ht="48.75" customHeight="1" x14ac:dyDescent="0.15">
      <c r="B136" s="267"/>
      <c r="C136" s="268"/>
      <c r="D136" s="268"/>
      <c r="E136" s="268"/>
      <c r="F136" s="268"/>
      <c r="G136" s="269"/>
    </row>
    <row r="137" spans="1:7" ht="18.75" customHeight="1" x14ac:dyDescent="0.15"/>
    <row r="138" spans="1:7" ht="18.75" customHeight="1" x14ac:dyDescent="0.15"/>
    <row r="139" spans="1:7" ht="18.75" customHeight="1" x14ac:dyDescent="0.15"/>
    <row r="140" spans="1:7" ht="18.75" customHeight="1" x14ac:dyDescent="0.15"/>
    <row r="141" spans="1:7" ht="18.75" customHeight="1" x14ac:dyDescent="0.15"/>
    <row r="142" spans="1:7" ht="18.75" customHeight="1" x14ac:dyDescent="0.15"/>
  </sheetData>
  <mergeCells count="113">
    <mergeCell ref="B4:G4"/>
    <mergeCell ref="D116:G116"/>
    <mergeCell ref="D115:G115"/>
    <mergeCell ref="D111:G111"/>
    <mergeCell ref="D112:G112"/>
    <mergeCell ref="D113:G113"/>
    <mergeCell ref="D114:G114"/>
    <mergeCell ref="D104:G104"/>
    <mergeCell ref="D105:G105"/>
    <mergeCell ref="D106:G106"/>
    <mergeCell ref="D107:G107"/>
    <mergeCell ref="D108:G108"/>
    <mergeCell ref="D109:G109"/>
    <mergeCell ref="D110:G110"/>
    <mergeCell ref="D60:G60"/>
    <mergeCell ref="D61:G61"/>
    <mergeCell ref="D62:G62"/>
    <mergeCell ref="D63:G63"/>
    <mergeCell ref="D64:G64"/>
    <mergeCell ref="D65:G65"/>
    <mergeCell ref="D73:G73"/>
    <mergeCell ref="D72:G72"/>
    <mergeCell ref="D95:G95"/>
    <mergeCell ref="D94:G94"/>
    <mergeCell ref="D91:G91"/>
    <mergeCell ref="D92:G92"/>
    <mergeCell ref="D93:G93"/>
    <mergeCell ref="D83:G83"/>
    <mergeCell ref="D84:G84"/>
    <mergeCell ref="D85:G85"/>
    <mergeCell ref="D86:G86"/>
    <mergeCell ref="D87:G87"/>
    <mergeCell ref="D88:G88"/>
    <mergeCell ref="D89:G89"/>
    <mergeCell ref="D90:G90"/>
    <mergeCell ref="A3:G3"/>
    <mergeCell ref="C5:G5"/>
    <mergeCell ref="C6:G9"/>
    <mergeCell ref="B133:G136"/>
    <mergeCell ref="E130:G130"/>
    <mergeCell ref="C119:G119"/>
    <mergeCell ref="C125:G125"/>
    <mergeCell ref="C126:G126"/>
    <mergeCell ref="C127:G127"/>
    <mergeCell ref="C128:G128"/>
    <mergeCell ref="C120:G120"/>
    <mergeCell ref="B6:B25"/>
    <mergeCell ref="C121:G121"/>
    <mergeCell ref="C122:G122"/>
    <mergeCell ref="C123:G123"/>
    <mergeCell ref="C124:G124"/>
    <mergeCell ref="D33:G33"/>
    <mergeCell ref="D34:G34"/>
    <mergeCell ref="D35:G35"/>
    <mergeCell ref="D36:G36"/>
    <mergeCell ref="D37:G37"/>
    <mergeCell ref="D38:G38"/>
    <mergeCell ref="D39:G39"/>
    <mergeCell ref="D40:G40"/>
    <mergeCell ref="B26:B50"/>
    <mergeCell ref="C26:G26"/>
    <mergeCell ref="C27:G30"/>
    <mergeCell ref="D31:G31"/>
    <mergeCell ref="D32:G32"/>
    <mergeCell ref="D41:G41"/>
    <mergeCell ref="D42:G42"/>
    <mergeCell ref="D43:G43"/>
    <mergeCell ref="D44:G44"/>
    <mergeCell ref="D45:G45"/>
    <mergeCell ref="D46:G46"/>
    <mergeCell ref="D47:G47"/>
    <mergeCell ref="D49:G49"/>
    <mergeCell ref="D50:G50"/>
    <mergeCell ref="B51:B75"/>
    <mergeCell ref="C51:G51"/>
    <mergeCell ref="C52:G56"/>
    <mergeCell ref="B76:B96"/>
    <mergeCell ref="C76:G76"/>
    <mergeCell ref="C77:G81"/>
    <mergeCell ref="D82:G82"/>
    <mergeCell ref="D96:G96"/>
    <mergeCell ref="B97:B117"/>
    <mergeCell ref="C97:G97"/>
    <mergeCell ref="C98:G102"/>
    <mergeCell ref="D103:G103"/>
    <mergeCell ref="D117:G117"/>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hyperlinks>
    <hyperlink ref="E130" r:id="rId1" xr:uid="{B0BCDA0D-311E-4225-A4B1-3F7032BDB295}"/>
  </hyperlinks>
  <printOptions horizontalCentered="1"/>
  <pageMargins left="0.78740157480314965" right="0.6" top="0.59055118110236227" bottom="0.39370078740157483" header="0.31496062992125984" footer="0.31496062992125984"/>
  <pageSetup paperSize="9" orientation="landscape" r:id="rId2"/>
  <rowBreaks count="2" manualBreakCount="2">
    <brk id="117" max="16383" man="1"/>
    <brk id="13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48"/>
  <sheetViews>
    <sheetView showZeros="0" topLeftCell="A25" zoomScale="120" zoomScaleNormal="120" workbookViewId="0">
      <selection activeCell="E30" sqref="E30"/>
    </sheetView>
  </sheetViews>
  <sheetFormatPr defaultColWidth="11.375" defaultRowHeight="18.75" customHeight="1" x14ac:dyDescent="0.15"/>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13" ht="18.75" customHeight="1" x14ac:dyDescent="0.15">
      <c r="E1" s="36" t="s">
        <v>96</v>
      </c>
    </row>
    <row r="2" spans="1:13" ht="18.75" customHeight="1" x14ac:dyDescent="0.15">
      <c r="B2" s="36" t="s">
        <v>79</v>
      </c>
      <c r="C2" s="36" t="s">
        <v>8</v>
      </c>
      <c r="D2" s="318" t="s">
        <v>138</v>
      </c>
      <c r="E2" s="318"/>
    </row>
    <row r="3" spans="1:13" ht="7.5" customHeight="1" x14ac:dyDescent="0.15">
      <c r="B3" s="36"/>
      <c r="C3" s="36"/>
      <c r="D3" s="37"/>
      <c r="E3" s="37"/>
    </row>
    <row r="4" spans="1:13" ht="18.75" customHeight="1" x14ac:dyDescent="0.15">
      <c r="B4" s="171" t="s">
        <v>77</v>
      </c>
      <c r="C4" s="171"/>
      <c r="D4" s="171"/>
      <c r="E4" s="171"/>
    </row>
    <row r="5" spans="1:13" ht="7.5" customHeight="1" x14ac:dyDescent="0.15">
      <c r="B5" s="38"/>
      <c r="C5" s="38"/>
      <c r="D5" s="38"/>
      <c r="E5" s="38"/>
    </row>
    <row r="6" spans="1:13" ht="18.75" customHeight="1" x14ac:dyDescent="0.15">
      <c r="A6" s="15" t="s">
        <v>7</v>
      </c>
      <c r="B6" s="5" t="s">
        <v>88</v>
      </c>
      <c r="C6" s="44"/>
      <c r="D6" s="44"/>
      <c r="E6" s="44"/>
    </row>
    <row r="7" spans="1:13" ht="18.75" customHeight="1" x14ac:dyDescent="0.15">
      <c r="A7" s="15"/>
      <c r="B7" s="172" t="s">
        <v>168</v>
      </c>
      <c r="C7" s="173"/>
      <c r="D7" s="173"/>
      <c r="E7" s="174"/>
    </row>
    <row r="8" spans="1:13" ht="7.5" customHeight="1" x14ac:dyDescent="0.15">
      <c r="B8" s="101"/>
      <c r="C8" s="101"/>
      <c r="D8" s="101"/>
      <c r="E8" s="101"/>
    </row>
    <row r="9" spans="1:13" s="5" customFormat="1" ht="18.75" customHeight="1" x14ac:dyDescent="0.15">
      <c r="A9" s="15" t="s">
        <v>12</v>
      </c>
      <c r="B9" s="108" t="s">
        <v>38</v>
      </c>
      <c r="C9" s="108"/>
      <c r="D9" s="10"/>
      <c r="E9" s="139"/>
    </row>
    <row r="10" spans="1:13" s="10" customFormat="1" ht="27" customHeight="1" x14ac:dyDescent="0.15">
      <c r="A10" s="9"/>
      <c r="B10" s="261" t="s">
        <v>191</v>
      </c>
      <c r="C10" s="319"/>
      <c r="D10" s="319"/>
      <c r="E10" s="320"/>
    </row>
    <row r="11" spans="1:13" s="10" customFormat="1" ht="27" customHeight="1" x14ac:dyDescent="0.15">
      <c r="A11" s="9"/>
      <c r="B11" s="321"/>
      <c r="C11" s="322"/>
      <c r="D11" s="322"/>
      <c r="E11" s="323"/>
    </row>
    <row r="12" spans="1:13" s="10" customFormat="1" ht="27" customHeight="1" x14ac:dyDescent="0.15">
      <c r="A12" s="9"/>
      <c r="B12" s="321"/>
      <c r="C12" s="322"/>
      <c r="D12" s="322"/>
      <c r="E12" s="323"/>
    </row>
    <row r="13" spans="1:13" s="10" customFormat="1" ht="27" customHeight="1" x14ac:dyDescent="0.15">
      <c r="A13" s="9"/>
      <c r="B13" s="321"/>
      <c r="C13" s="322"/>
      <c r="D13" s="322"/>
      <c r="E13" s="323"/>
    </row>
    <row r="14" spans="1:13" s="10" customFormat="1" ht="27" customHeight="1" x14ac:dyDescent="0.15">
      <c r="A14" s="9"/>
      <c r="B14" s="324"/>
      <c r="C14" s="325"/>
      <c r="D14" s="325"/>
      <c r="E14" s="326"/>
    </row>
    <row r="15" spans="1:13" s="10" customFormat="1" ht="7.5" customHeight="1" x14ac:dyDescent="0.15">
      <c r="A15" s="9"/>
      <c r="B15" s="9"/>
      <c r="C15" s="9"/>
      <c r="D15" s="9"/>
      <c r="E15" s="9"/>
    </row>
    <row r="16" spans="1:13" s="5" customFormat="1" ht="18.75" customHeight="1" x14ac:dyDescent="0.15">
      <c r="A16" s="11" t="s">
        <v>13</v>
      </c>
      <c r="B16" s="11" t="s">
        <v>19</v>
      </c>
      <c r="C16" s="11"/>
      <c r="D16" s="138"/>
      <c r="E16" s="134"/>
      <c r="F16" s="135"/>
      <c r="K16" s="135"/>
      <c r="L16" s="135"/>
      <c r="M16" s="135"/>
    </row>
    <row r="17" spans="1:13" s="10" customFormat="1" ht="14.25" customHeight="1" x14ac:dyDescent="0.15">
      <c r="A17" s="9"/>
      <c r="B17" s="261" t="s">
        <v>209</v>
      </c>
      <c r="C17" s="319"/>
      <c r="D17" s="319"/>
      <c r="E17" s="320"/>
    </row>
    <row r="18" spans="1:13" s="10" customFormat="1" ht="14.25" customHeight="1" x14ac:dyDescent="0.15">
      <c r="A18" s="9"/>
      <c r="B18" s="321"/>
      <c r="C18" s="322"/>
      <c r="D18" s="322"/>
      <c r="E18" s="323"/>
      <c r="K18" s="124"/>
      <c r="L18" s="124"/>
      <c r="M18" s="124"/>
    </row>
    <row r="19" spans="1:13" s="10" customFormat="1" ht="14.25" customHeight="1" x14ac:dyDescent="0.15">
      <c r="A19" s="9"/>
      <c r="B19" s="321"/>
      <c r="C19" s="322"/>
      <c r="D19" s="322"/>
      <c r="E19" s="323"/>
    </row>
    <row r="20" spans="1:13" s="10" customFormat="1" ht="14.25" customHeight="1" x14ac:dyDescent="0.15">
      <c r="A20" s="9"/>
      <c r="B20" s="321"/>
      <c r="C20" s="322"/>
      <c r="D20" s="322"/>
      <c r="E20" s="323"/>
    </row>
    <row r="21" spans="1:13" s="10" customFormat="1" ht="14.25" customHeight="1" x14ac:dyDescent="0.15">
      <c r="A21" s="9"/>
      <c r="B21" s="321"/>
      <c r="C21" s="322"/>
      <c r="D21" s="322"/>
      <c r="E21" s="323"/>
    </row>
    <row r="22" spans="1:13" s="10" customFormat="1" ht="14.25" customHeight="1" x14ac:dyDescent="0.15">
      <c r="A22" s="9"/>
      <c r="B22" s="321"/>
      <c r="C22" s="322"/>
      <c r="D22" s="322"/>
      <c r="E22" s="323"/>
    </row>
    <row r="23" spans="1:13" s="10" customFormat="1" ht="14.25" customHeight="1" x14ac:dyDescent="0.15">
      <c r="A23" s="9"/>
      <c r="B23" s="321"/>
      <c r="C23" s="322"/>
      <c r="D23" s="322"/>
      <c r="E23" s="323"/>
    </row>
    <row r="24" spans="1:13" s="10" customFormat="1" ht="14.25" customHeight="1" x14ac:dyDescent="0.15">
      <c r="A24" s="9"/>
      <c r="B24" s="321"/>
      <c r="C24" s="322"/>
      <c r="D24" s="322"/>
      <c r="E24" s="323"/>
    </row>
    <row r="25" spans="1:13" s="10" customFormat="1" ht="14.25" customHeight="1" x14ac:dyDescent="0.15">
      <c r="A25" s="9"/>
      <c r="B25" s="321"/>
      <c r="C25" s="322"/>
      <c r="D25" s="322"/>
      <c r="E25" s="323"/>
    </row>
    <row r="26" spans="1:13" s="10" customFormat="1" ht="14.25" customHeight="1" x14ac:dyDescent="0.15">
      <c r="A26" s="9"/>
      <c r="B26" s="321"/>
      <c r="C26" s="322"/>
      <c r="D26" s="322"/>
      <c r="E26" s="323"/>
    </row>
    <row r="27" spans="1:13" s="10" customFormat="1" ht="14.25" customHeight="1" x14ac:dyDescent="0.15">
      <c r="A27" s="9"/>
      <c r="B27" s="321"/>
      <c r="C27" s="322"/>
      <c r="D27" s="322"/>
      <c r="E27" s="323"/>
    </row>
    <row r="28" spans="1:13" s="10" customFormat="1" ht="14.25" customHeight="1" x14ac:dyDescent="0.15">
      <c r="A28" s="9"/>
      <c r="B28" s="324"/>
      <c r="C28" s="325"/>
      <c r="D28" s="325"/>
      <c r="E28" s="326"/>
    </row>
    <row r="29" spans="1:13" ht="7.5" customHeight="1" x14ac:dyDescent="0.15">
      <c r="A29" s="8"/>
      <c r="B29" s="8" t="s">
        <v>148</v>
      </c>
      <c r="C29" s="8"/>
      <c r="D29" s="8"/>
      <c r="E29" s="8"/>
    </row>
    <row r="30" spans="1:13" s="5" customFormat="1" ht="18.75" customHeight="1" x14ac:dyDescent="0.15">
      <c r="A30" s="15" t="s">
        <v>17</v>
      </c>
      <c r="B30" s="15" t="s">
        <v>30</v>
      </c>
      <c r="C30" s="15"/>
      <c r="E30" s="99"/>
    </row>
    <row r="31" spans="1:13" s="5" customFormat="1" ht="18.75" customHeight="1" x14ac:dyDescent="0.15">
      <c r="A31" s="15"/>
      <c r="B31" s="249" t="s">
        <v>224</v>
      </c>
      <c r="C31" s="310"/>
      <c r="D31" s="310"/>
      <c r="E31" s="311"/>
    </row>
    <row r="32" spans="1:13" s="5" customFormat="1" ht="18.75" customHeight="1" x14ac:dyDescent="0.15">
      <c r="A32" s="15"/>
      <c r="B32" s="312"/>
      <c r="C32" s="313"/>
      <c r="D32" s="313"/>
      <c r="E32" s="314"/>
    </row>
    <row r="33" spans="1:5" s="5" customFormat="1" ht="18.75" customHeight="1" x14ac:dyDescent="0.15">
      <c r="A33" s="15"/>
      <c r="B33" s="312"/>
      <c r="C33" s="313"/>
      <c r="D33" s="313"/>
      <c r="E33" s="314"/>
    </row>
    <row r="34" spans="1:5" s="5" customFormat="1" ht="18.75" customHeight="1" x14ac:dyDescent="0.15">
      <c r="A34" s="15"/>
      <c r="B34" s="312"/>
      <c r="C34" s="313"/>
      <c r="D34" s="313"/>
      <c r="E34" s="314"/>
    </row>
    <row r="35" spans="1:5" s="5" customFormat="1" ht="18.75" customHeight="1" x14ac:dyDescent="0.15">
      <c r="A35" s="15"/>
      <c r="B35" s="312"/>
      <c r="C35" s="313"/>
      <c r="D35" s="313"/>
      <c r="E35" s="314"/>
    </row>
    <row r="36" spans="1:5" s="5" customFormat="1" ht="18.75" customHeight="1" x14ac:dyDescent="0.15">
      <c r="A36" s="15"/>
      <c r="B36" s="312"/>
      <c r="C36" s="313"/>
      <c r="D36" s="313"/>
      <c r="E36" s="314"/>
    </row>
    <row r="37" spans="1:5" s="5" customFormat="1" ht="18.75" customHeight="1" x14ac:dyDescent="0.15">
      <c r="A37" s="15"/>
      <c r="B37" s="312"/>
      <c r="C37" s="313"/>
      <c r="D37" s="313"/>
      <c r="E37" s="314"/>
    </row>
    <row r="38" spans="1:5" s="5" customFormat="1" ht="18.75" customHeight="1" x14ac:dyDescent="0.15">
      <c r="A38" s="15"/>
      <c r="B38" s="312"/>
      <c r="C38" s="313"/>
      <c r="D38" s="313"/>
      <c r="E38" s="314"/>
    </row>
    <row r="39" spans="1:5" s="5" customFormat="1" ht="18.75" customHeight="1" x14ac:dyDescent="0.15">
      <c r="A39" s="15"/>
      <c r="B39" s="312"/>
      <c r="C39" s="313"/>
      <c r="D39" s="313"/>
      <c r="E39" s="314"/>
    </row>
    <row r="40" spans="1:5" s="5" customFormat="1" ht="18.75" customHeight="1" x14ac:dyDescent="0.15">
      <c r="A40" s="15"/>
      <c r="B40" s="312"/>
      <c r="C40" s="313"/>
      <c r="D40" s="313"/>
      <c r="E40" s="314"/>
    </row>
    <row r="41" spans="1:5" s="5" customFormat="1" ht="18.75" customHeight="1" x14ac:dyDescent="0.15">
      <c r="A41" s="15"/>
      <c r="B41" s="312"/>
      <c r="C41" s="313"/>
      <c r="D41" s="313"/>
      <c r="E41" s="314"/>
    </row>
    <row r="42" spans="1:5" s="5" customFormat="1" ht="18.75" customHeight="1" x14ac:dyDescent="0.15">
      <c r="A42" s="15"/>
      <c r="B42" s="312"/>
      <c r="C42" s="313"/>
      <c r="D42" s="313"/>
      <c r="E42" s="314"/>
    </row>
    <row r="43" spans="1:5" s="5" customFormat="1" ht="18.75" customHeight="1" x14ac:dyDescent="0.15">
      <c r="A43" s="15"/>
      <c r="B43" s="312"/>
      <c r="C43" s="313"/>
      <c r="D43" s="313"/>
      <c r="E43" s="314"/>
    </row>
    <row r="44" spans="1:5" s="5" customFormat="1" ht="18.75" customHeight="1" x14ac:dyDescent="0.15">
      <c r="A44" s="15"/>
      <c r="B44" s="312"/>
      <c r="C44" s="313"/>
      <c r="D44" s="313"/>
      <c r="E44" s="314"/>
    </row>
    <row r="45" spans="1:5" ht="18.75" customHeight="1" x14ac:dyDescent="0.15">
      <c r="A45" s="8"/>
      <c r="B45" s="312"/>
      <c r="C45" s="313"/>
      <c r="D45" s="313"/>
      <c r="E45" s="314"/>
    </row>
    <row r="46" spans="1:5" ht="18.75" customHeight="1" x14ac:dyDescent="0.15">
      <c r="A46" s="8"/>
      <c r="B46" s="315"/>
      <c r="C46" s="316"/>
      <c r="D46" s="316"/>
      <c r="E46" s="317"/>
    </row>
    <row r="47" spans="1:5" s="5" customFormat="1" ht="18.75" customHeight="1" x14ac:dyDescent="0.15">
      <c r="A47" s="7" t="s">
        <v>14</v>
      </c>
      <c r="B47" s="15" t="s">
        <v>78</v>
      </c>
      <c r="C47" s="7"/>
      <c r="D47" s="7"/>
      <c r="E47" s="99"/>
    </row>
    <row r="48" spans="1:5" ht="18.75" customHeight="1" x14ac:dyDescent="0.15">
      <c r="A48" s="8"/>
      <c r="B48" s="249" t="s">
        <v>210</v>
      </c>
      <c r="C48" s="250"/>
      <c r="D48" s="250"/>
      <c r="E48" s="251"/>
    </row>
    <row r="49" spans="1:5" ht="18.75" customHeight="1" x14ac:dyDescent="0.15">
      <c r="A49" s="8"/>
      <c r="B49" s="252"/>
      <c r="C49" s="253"/>
      <c r="D49" s="253"/>
      <c r="E49" s="254"/>
    </row>
    <row r="50" spans="1:5" ht="18.75" customHeight="1" x14ac:dyDescent="0.15">
      <c r="A50" s="8"/>
      <c r="B50" s="252"/>
      <c r="C50" s="253"/>
      <c r="D50" s="253"/>
      <c r="E50" s="254"/>
    </row>
    <row r="51" spans="1:5" ht="18.75" customHeight="1" x14ac:dyDescent="0.15">
      <c r="A51" s="8"/>
      <c r="B51" s="252"/>
      <c r="C51" s="253"/>
      <c r="D51" s="253"/>
      <c r="E51" s="254"/>
    </row>
    <row r="52" spans="1:5" ht="18.75" customHeight="1" x14ac:dyDescent="0.15">
      <c r="A52" s="8"/>
      <c r="B52" s="252"/>
      <c r="C52" s="253"/>
      <c r="D52" s="253"/>
      <c r="E52" s="254"/>
    </row>
    <row r="53" spans="1:5" ht="18.75" customHeight="1" x14ac:dyDescent="0.15">
      <c r="A53" s="8"/>
      <c r="B53" s="252"/>
      <c r="C53" s="253"/>
      <c r="D53" s="253"/>
      <c r="E53" s="254"/>
    </row>
    <row r="54" spans="1:5" ht="18.75" customHeight="1" x14ac:dyDescent="0.15">
      <c r="A54" s="8"/>
      <c r="B54" s="252"/>
      <c r="C54" s="253"/>
      <c r="D54" s="253"/>
      <c r="E54" s="254"/>
    </row>
    <row r="55" spans="1:5" ht="18.75" customHeight="1" x14ac:dyDescent="0.15">
      <c r="A55" s="8"/>
      <c r="B55" s="252"/>
      <c r="C55" s="253"/>
      <c r="D55" s="253"/>
      <c r="E55" s="254"/>
    </row>
    <row r="56" spans="1:5" ht="18.75" customHeight="1" x14ac:dyDescent="0.15">
      <c r="A56" s="8"/>
      <c r="B56" s="252"/>
      <c r="C56" s="253"/>
      <c r="D56" s="253"/>
      <c r="E56" s="254"/>
    </row>
    <row r="57" spans="1:5" ht="18.75" customHeight="1" x14ac:dyDescent="0.15">
      <c r="A57" s="8"/>
      <c r="B57" s="252"/>
      <c r="C57" s="253"/>
      <c r="D57" s="253"/>
      <c r="E57" s="254"/>
    </row>
    <row r="58" spans="1:5" ht="18.75" customHeight="1" x14ac:dyDescent="0.15">
      <c r="A58" s="8"/>
      <c r="B58" s="252"/>
      <c r="C58" s="253"/>
      <c r="D58" s="253"/>
      <c r="E58" s="254"/>
    </row>
    <row r="59" spans="1:5" ht="18.75" customHeight="1" x14ac:dyDescent="0.15">
      <c r="A59" s="8"/>
      <c r="B59" s="252"/>
      <c r="C59" s="253"/>
      <c r="D59" s="253"/>
      <c r="E59" s="254"/>
    </row>
    <row r="60" spans="1:5" ht="18.75" customHeight="1" x14ac:dyDescent="0.15">
      <c r="A60" s="8"/>
      <c r="B60" s="252"/>
      <c r="C60" s="253"/>
      <c r="D60" s="253"/>
      <c r="E60" s="254"/>
    </row>
    <row r="61" spans="1:5" ht="18.75" customHeight="1" x14ac:dyDescent="0.15">
      <c r="A61" s="8"/>
      <c r="B61" s="252"/>
      <c r="C61" s="253"/>
      <c r="D61" s="253"/>
      <c r="E61" s="254"/>
    </row>
    <row r="62" spans="1:5" ht="18.75" customHeight="1" x14ac:dyDescent="0.15">
      <c r="A62" s="8"/>
      <c r="B62" s="252"/>
      <c r="C62" s="253"/>
      <c r="D62" s="253"/>
      <c r="E62" s="254"/>
    </row>
    <row r="63" spans="1:5" ht="18.75" customHeight="1" x14ac:dyDescent="0.15">
      <c r="A63" s="8"/>
      <c r="B63" s="252"/>
      <c r="C63" s="253"/>
      <c r="D63" s="253"/>
      <c r="E63" s="254"/>
    </row>
    <row r="64" spans="1:5" ht="18.75" customHeight="1" x14ac:dyDescent="0.15">
      <c r="A64" s="8"/>
      <c r="B64" s="252"/>
      <c r="C64" s="253"/>
      <c r="D64" s="253"/>
      <c r="E64" s="254"/>
    </row>
    <row r="65" spans="1:5" ht="18.75" customHeight="1" x14ac:dyDescent="0.15">
      <c r="A65" s="8"/>
      <c r="B65" s="252"/>
      <c r="C65" s="253"/>
      <c r="D65" s="253"/>
      <c r="E65" s="254"/>
    </row>
    <row r="66" spans="1:5" ht="18.75" customHeight="1" x14ac:dyDescent="0.15">
      <c r="A66" s="8"/>
      <c r="B66" s="252"/>
      <c r="C66" s="253"/>
      <c r="D66" s="253"/>
      <c r="E66" s="254"/>
    </row>
    <row r="67" spans="1:5" ht="18.75" customHeight="1" x14ac:dyDescent="0.15">
      <c r="A67" s="8"/>
      <c r="B67" s="252"/>
      <c r="C67" s="253"/>
      <c r="D67" s="253"/>
      <c r="E67" s="254"/>
    </row>
    <row r="68" spans="1:5" ht="18.75" customHeight="1" x14ac:dyDescent="0.15">
      <c r="A68" s="8"/>
      <c r="B68" s="255"/>
      <c r="C68" s="256"/>
      <c r="D68" s="256"/>
      <c r="E68" s="257"/>
    </row>
    <row r="69" spans="1:5" ht="7.5" customHeight="1" x14ac:dyDescent="0.15">
      <c r="A69" s="8"/>
      <c r="B69" s="8"/>
      <c r="C69" s="8"/>
      <c r="D69" s="8"/>
      <c r="E69" s="8"/>
    </row>
    <row r="70" spans="1:5" s="5" customFormat="1" ht="18.75" customHeight="1" x14ac:dyDescent="0.15">
      <c r="A70" s="15" t="s">
        <v>18</v>
      </c>
      <c r="B70" s="15" t="s">
        <v>87</v>
      </c>
      <c r="C70" s="15"/>
      <c r="D70" s="99"/>
      <c r="E70" s="99"/>
    </row>
    <row r="71" spans="1:5" s="5" customFormat="1" ht="18.75" customHeight="1" x14ac:dyDescent="0.15">
      <c r="A71" s="15"/>
      <c r="B71" s="249" t="s">
        <v>179</v>
      </c>
      <c r="C71" s="302"/>
      <c r="D71" s="302"/>
      <c r="E71" s="303"/>
    </row>
    <row r="72" spans="1:5" s="5" customFormat="1" ht="18.75" customHeight="1" x14ac:dyDescent="0.15">
      <c r="A72" s="15"/>
      <c r="B72" s="304"/>
      <c r="C72" s="305"/>
      <c r="D72" s="305"/>
      <c r="E72" s="306"/>
    </row>
    <row r="73" spans="1:5" s="5" customFormat="1" ht="18.75" customHeight="1" x14ac:dyDescent="0.15">
      <c r="A73" s="15"/>
      <c r="B73" s="304"/>
      <c r="C73" s="305"/>
      <c r="D73" s="305"/>
      <c r="E73" s="306"/>
    </row>
    <row r="74" spans="1:5" s="5" customFormat="1" ht="18.75" customHeight="1" x14ac:dyDescent="0.15">
      <c r="A74" s="15"/>
      <c r="B74" s="304"/>
      <c r="C74" s="305"/>
      <c r="D74" s="305"/>
      <c r="E74" s="306"/>
    </row>
    <row r="75" spans="1:5" s="5" customFormat="1" ht="18.75" customHeight="1" x14ac:dyDescent="0.15">
      <c r="A75" s="15"/>
      <c r="B75" s="304"/>
      <c r="C75" s="305"/>
      <c r="D75" s="305"/>
      <c r="E75" s="306"/>
    </row>
    <row r="76" spans="1:5" s="5" customFormat="1" ht="18.75" customHeight="1" x14ac:dyDescent="0.15">
      <c r="A76" s="15"/>
      <c r="B76" s="304"/>
      <c r="C76" s="305"/>
      <c r="D76" s="305"/>
      <c r="E76" s="306"/>
    </row>
    <row r="77" spans="1:5" s="5" customFormat="1" ht="18.75" customHeight="1" x14ac:dyDescent="0.15">
      <c r="A77" s="15"/>
      <c r="B77" s="304"/>
      <c r="C77" s="305"/>
      <c r="D77" s="305"/>
      <c r="E77" s="306"/>
    </row>
    <row r="78" spans="1:5" s="5" customFormat="1" ht="18.75" customHeight="1" x14ac:dyDescent="0.15">
      <c r="A78" s="15"/>
      <c r="B78" s="304"/>
      <c r="C78" s="305"/>
      <c r="D78" s="305"/>
      <c r="E78" s="306"/>
    </row>
    <row r="79" spans="1:5" s="5" customFormat="1" ht="18.75" customHeight="1" x14ac:dyDescent="0.15">
      <c r="A79" s="15"/>
      <c r="B79" s="304"/>
      <c r="C79" s="305"/>
      <c r="D79" s="305"/>
      <c r="E79" s="306"/>
    </row>
    <row r="80" spans="1:5" s="5" customFormat="1" ht="18.75" customHeight="1" x14ac:dyDescent="0.15">
      <c r="A80" s="15"/>
      <c r="B80" s="304"/>
      <c r="C80" s="305"/>
      <c r="D80" s="305"/>
      <c r="E80" s="306"/>
    </row>
    <row r="81" spans="1:5" s="5" customFormat="1" ht="18.75" customHeight="1" x14ac:dyDescent="0.15">
      <c r="A81" s="15"/>
      <c r="B81" s="304"/>
      <c r="C81" s="305"/>
      <c r="D81" s="305"/>
      <c r="E81" s="306"/>
    </row>
    <row r="82" spans="1:5" s="5" customFormat="1" ht="18.75" customHeight="1" x14ac:dyDescent="0.15">
      <c r="A82" s="15"/>
      <c r="B82" s="304"/>
      <c r="C82" s="305"/>
      <c r="D82" s="305"/>
      <c r="E82" s="306"/>
    </row>
    <row r="83" spans="1:5" s="5" customFormat="1" ht="18.75" customHeight="1" x14ac:dyDescent="0.15">
      <c r="A83" s="15"/>
      <c r="B83" s="304"/>
      <c r="C83" s="305"/>
      <c r="D83" s="305"/>
      <c r="E83" s="306"/>
    </row>
    <row r="84" spans="1:5" s="5" customFormat="1" ht="18.75" customHeight="1" x14ac:dyDescent="0.15">
      <c r="A84" s="15"/>
      <c r="B84" s="304"/>
      <c r="C84" s="305"/>
      <c r="D84" s="305"/>
      <c r="E84" s="306"/>
    </row>
    <row r="85" spans="1:5" s="5" customFormat="1" ht="18.75" customHeight="1" x14ac:dyDescent="0.15">
      <c r="A85" s="15"/>
      <c r="B85" s="304"/>
      <c r="C85" s="305"/>
      <c r="D85" s="305"/>
      <c r="E85" s="306"/>
    </row>
    <row r="86" spans="1:5" s="5" customFormat="1" ht="18.75" customHeight="1" x14ac:dyDescent="0.15">
      <c r="A86" s="15"/>
      <c r="B86" s="304"/>
      <c r="C86" s="305"/>
      <c r="D86" s="305"/>
      <c r="E86" s="306"/>
    </row>
    <row r="87" spans="1:5" s="5" customFormat="1" ht="18.75" customHeight="1" x14ac:dyDescent="0.15">
      <c r="A87" s="15"/>
      <c r="B87" s="304"/>
      <c r="C87" s="305"/>
      <c r="D87" s="305"/>
      <c r="E87" s="306"/>
    </row>
    <row r="88" spans="1:5" ht="18.75" customHeight="1" x14ac:dyDescent="0.15">
      <c r="A88" s="8"/>
      <c r="B88" s="304"/>
      <c r="C88" s="305"/>
      <c r="D88" s="305"/>
      <c r="E88" s="306"/>
    </row>
    <row r="89" spans="1:5" ht="18.75" customHeight="1" x14ac:dyDescent="0.15">
      <c r="A89" s="8"/>
      <c r="B89" s="307"/>
      <c r="C89" s="308"/>
      <c r="D89" s="308"/>
      <c r="E89" s="309"/>
    </row>
    <row r="90" spans="1:5" ht="7.5" customHeight="1" x14ac:dyDescent="0.15">
      <c r="A90" s="8"/>
      <c r="B90" s="8"/>
      <c r="C90" s="8"/>
      <c r="D90" s="8"/>
      <c r="E90" s="8"/>
    </row>
    <row r="91" spans="1:5" s="5" customFormat="1" ht="18.75" customHeight="1" x14ac:dyDescent="0.15">
      <c r="A91" s="15" t="s">
        <v>15</v>
      </c>
      <c r="B91" s="15" t="s">
        <v>34</v>
      </c>
      <c r="C91" s="15"/>
      <c r="D91" s="15"/>
      <c r="E91" s="99"/>
    </row>
    <row r="92" spans="1:5" s="5" customFormat="1" ht="18.75" customHeight="1" x14ac:dyDescent="0.15">
      <c r="A92" s="15"/>
      <c r="B92" s="249" t="s">
        <v>192</v>
      </c>
      <c r="C92" s="310"/>
      <c r="D92" s="310"/>
      <c r="E92" s="311"/>
    </row>
    <row r="93" spans="1:5" s="5" customFormat="1" ht="18.75" customHeight="1" x14ac:dyDescent="0.15">
      <c r="A93" s="15"/>
      <c r="B93" s="312"/>
      <c r="C93" s="313"/>
      <c r="D93" s="313"/>
      <c r="E93" s="314"/>
    </row>
    <row r="94" spans="1:5" s="5" customFormat="1" ht="18.75" customHeight="1" x14ac:dyDescent="0.15">
      <c r="A94" s="15"/>
      <c r="B94" s="312"/>
      <c r="C94" s="313"/>
      <c r="D94" s="313"/>
      <c r="E94" s="314"/>
    </row>
    <row r="95" spans="1:5" s="5" customFormat="1" ht="18.75" customHeight="1" x14ac:dyDescent="0.15">
      <c r="A95" s="15"/>
      <c r="B95" s="312"/>
      <c r="C95" s="313"/>
      <c r="D95" s="313"/>
      <c r="E95" s="314"/>
    </row>
    <row r="96" spans="1:5" s="5" customFormat="1" ht="18.75" customHeight="1" x14ac:dyDescent="0.15">
      <c r="A96" s="15"/>
      <c r="B96" s="312"/>
      <c r="C96" s="313"/>
      <c r="D96" s="313"/>
      <c r="E96" s="314"/>
    </row>
    <row r="97" spans="1:5" s="5" customFormat="1" ht="18.75" customHeight="1" x14ac:dyDescent="0.15">
      <c r="A97" s="15"/>
      <c r="B97" s="312"/>
      <c r="C97" s="313"/>
      <c r="D97" s="313"/>
      <c r="E97" s="314"/>
    </row>
    <row r="98" spans="1:5" s="5" customFormat="1" ht="18.75" customHeight="1" x14ac:dyDescent="0.15">
      <c r="A98" s="15"/>
      <c r="B98" s="312"/>
      <c r="C98" s="313"/>
      <c r="D98" s="313"/>
      <c r="E98" s="314"/>
    </row>
    <row r="99" spans="1:5" s="5" customFormat="1" ht="18.75" customHeight="1" x14ac:dyDescent="0.15">
      <c r="A99" s="15"/>
      <c r="B99" s="312"/>
      <c r="C99" s="313"/>
      <c r="D99" s="313"/>
      <c r="E99" s="314"/>
    </row>
    <row r="100" spans="1:5" s="5" customFormat="1" ht="18.75" customHeight="1" x14ac:dyDescent="0.15">
      <c r="A100" s="15"/>
      <c r="B100" s="312"/>
      <c r="C100" s="313"/>
      <c r="D100" s="313"/>
      <c r="E100" s="314"/>
    </row>
    <row r="101" spans="1:5" s="5" customFormat="1" ht="18.75" customHeight="1" x14ac:dyDescent="0.15">
      <c r="A101" s="15"/>
      <c r="B101" s="312"/>
      <c r="C101" s="313"/>
      <c r="D101" s="313"/>
      <c r="E101" s="314"/>
    </row>
    <row r="102" spans="1:5" s="5" customFormat="1" ht="18.75" customHeight="1" x14ac:dyDescent="0.15">
      <c r="A102" s="15"/>
      <c r="B102" s="312"/>
      <c r="C102" s="313"/>
      <c r="D102" s="313"/>
      <c r="E102" s="314"/>
    </row>
    <row r="103" spans="1:5" s="5" customFormat="1" ht="18.75" customHeight="1" x14ac:dyDescent="0.15">
      <c r="A103" s="15"/>
      <c r="B103" s="312"/>
      <c r="C103" s="313"/>
      <c r="D103" s="313"/>
      <c r="E103" s="314"/>
    </row>
    <row r="104" spans="1:5" s="5" customFormat="1" ht="18.75" customHeight="1" x14ac:dyDescent="0.15">
      <c r="A104" s="15"/>
      <c r="B104" s="312"/>
      <c r="C104" s="313"/>
      <c r="D104" s="313"/>
      <c r="E104" s="314"/>
    </row>
    <row r="105" spans="1:5" s="5" customFormat="1" ht="18.75" customHeight="1" x14ac:dyDescent="0.15">
      <c r="A105" s="15"/>
      <c r="B105" s="312"/>
      <c r="C105" s="313"/>
      <c r="D105" s="313"/>
      <c r="E105" s="314"/>
    </row>
    <row r="106" spans="1:5" s="5" customFormat="1" ht="18.75" customHeight="1" x14ac:dyDescent="0.15">
      <c r="A106" s="15"/>
      <c r="B106" s="312"/>
      <c r="C106" s="313"/>
      <c r="D106" s="313"/>
      <c r="E106" s="314"/>
    </row>
    <row r="107" spans="1:5" s="5" customFormat="1" ht="18.75" customHeight="1" x14ac:dyDescent="0.15">
      <c r="A107" s="15"/>
      <c r="B107" s="312"/>
      <c r="C107" s="313"/>
      <c r="D107" s="313"/>
      <c r="E107" s="314"/>
    </row>
    <row r="108" spans="1:5" s="5" customFormat="1" ht="18.75" customHeight="1" x14ac:dyDescent="0.15">
      <c r="A108" s="15"/>
      <c r="B108" s="312"/>
      <c r="C108" s="313"/>
      <c r="D108" s="313"/>
      <c r="E108" s="314"/>
    </row>
    <row r="109" spans="1:5" s="5" customFormat="1" ht="18.75" customHeight="1" x14ac:dyDescent="0.15">
      <c r="A109" s="15"/>
      <c r="B109" s="312"/>
      <c r="C109" s="313"/>
      <c r="D109" s="313"/>
      <c r="E109" s="314"/>
    </row>
    <row r="110" spans="1:5" ht="18.75" customHeight="1" x14ac:dyDescent="0.15">
      <c r="A110" s="8"/>
      <c r="B110" s="312"/>
      <c r="C110" s="313"/>
      <c r="D110" s="313"/>
      <c r="E110" s="314"/>
    </row>
    <row r="111" spans="1:5" ht="18.75" customHeight="1" x14ac:dyDescent="0.15">
      <c r="A111" s="8"/>
      <c r="B111" s="315"/>
      <c r="C111" s="316"/>
      <c r="D111" s="316"/>
      <c r="E111" s="317"/>
    </row>
    <row r="112" spans="1:5" ht="7.5" customHeight="1" x14ac:dyDescent="0.15">
      <c r="A112" s="8"/>
      <c r="B112" s="8"/>
      <c r="C112" s="8"/>
      <c r="D112" s="8"/>
      <c r="E112" s="8"/>
    </row>
    <row r="113" spans="1:5" s="5" customFormat="1" ht="18.75" customHeight="1" x14ac:dyDescent="0.15">
      <c r="A113" s="15" t="s">
        <v>54</v>
      </c>
      <c r="B113" s="98" t="s">
        <v>121</v>
      </c>
      <c r="C113" s="98"/>
      <c r="D113" s="98"/>
      <c r="E113" s="140"/>
    </row>
    <row r="114" spans="1:5" ht="18.75" customHeight="1" x14ac:dyDescent="0.15">
      <c r="A114" s="8"/>
      <c r="B114" s="249" t="s">
        <v>195</v>
      </c>
      <c r="C114" s="310"/>
      <c r="D114" s="310"/>
      <c r="E114" s="311"/>
    </row>
    <row r="115" spans="1:5" ht="18.75" customHeight="1" x14ac:dyDescent="0.15">
      <c r="A115" s="8"/>
      <c r="B115" s="312"/>
      <c r="C115" s="313"/>
      <c r="D115" s="313"/>
      <c r="E115" s="314"/>
    </row>
    <row r="116" spans="1:5" ht="18.75" customHeight="1" x14ac:dyDescent="0.15">
      <c r="A116" s="8"/>
      <c r="B116" s="312"/>
      <c r="C116" s="313"/>
      <c r="D116" s="313"/>
      <c r="E116" s="314"/>
    </row>
    <row r="117" spans="1:5" ht="18.75" customHeight="1" x14ac:dyDescent="0.15">
      <c r="A117" s="8"/>
      <c r="B117" s="312"/>
      <c r="C117" s="313"/>
      <c r="D117" s="313"/>
      <c r="E117" s="314"/>
    </row>
    <row r="118" spans="1:5" ht="18.75" customHeight="1" x14ac:dyDescent="0.15">
      <c r="A118" s="8"/>
      <c r="B118" s="312"/>
      <c r="C118" s="313"/>
      <c r="D118" s="313"/>
      <c r="E118" s="314"/>
    </row>
    <row r="119" spans="1:5" ht="18.75" customHeight="1" x14ac:dyDescent="0.15">
      <c r="A119" s="8"/>
      <c r="B119" s="312"/>
      <c r="C119" s="313"/>
      <c r="D119" s="313"/>
      <c r="E119" s="314"/>
    </row>
    <row r="120" spans="1:5" ht="18.75" customHeight="1" x14ac:dyDescent="0.15">
      <c r="A120" s="8"/>
      <c r="B120" s="312"/>
      <c r="C120" s="313"/>
      <c r="D120" s="313"/>
      <c r="E120" s="314"/>
    </row>
    <row r="121" spans="1:5" ht="18.75" customHeight="1" x14ac:dyDescent="0.15">
      <c r="A121" s="8"/>
      <c r="B121" s="312"/>
      <c r="C121" s="313"/>
      <c r="D121" s="313"/>
      <c r="E121" s="314"/>
    </row>
    <row r="122" spans="1:5" ht="18.75" customHeight="1" x14ac:dyDescent="0.15">
      <c r="A122" s="8"/>
      <c r="B122" s="312"/>
      <c r="C122" s="313"/>
      <c r="D122" s="313"/>
      <c r="E122" s="314"/>
    </row>
    <row r="123" spans="1:5" ht="18.75" customHeight="1" x14ac:dyDescent="0.15">
      <c r="A123" s="8"/>
      <c r="B123" s="312"/>
      <c r="C123" s="313"/>
      <c r="D123" s="313"/>
      <c r="E123" s="314"/>
    </row>
    <row r="124" spans="1:5" ht="18.75" customHeight="1" x14ac:dyDescent="0.15">
      <c r="A124" s="8"/>
      <c r="B124" s="312"/>
      <c r="C124" s="313"/>
      <c r="D124" s="313"/>
      <c r="E124" s="314"/>
    </row>
    <row r="125" spans="1:5" ht="18.75" customHeight="1" x14ac:dyDescent="0.15">
      <c r="A125" s="8"/>
      <c r="B125" s="312"/>
      <c r="C125" s="313"/>
      <c r="D125" s="313"/>
      <c r="E125" s="314"/>
    </row>
    <row r="126" spans="1:5" ht="18.75" customHeight="1" x14ac:dyDescent="0.15">
      <c r="A126" s="8"/>
      <c r="B126" s="312"/>
      <c r="C126" s="313"/>
      <c r="D126" s="313"/>
      <c r="E126" s="314"/>
    </row>
    <row r="127" spans="1:5" ht="18.75" customHeight="1" x14ac:dyDescent="0.15">
      <c r="A127" s="8"/>
      <c r="B127" s="312"/>
      <c r="C127" s="313"/>
      <c r="D127" s="313"/>
      <c r="E127" s="314"/>
    </row>
    <row r="128" spans="1:5" ht="18.75" customHeight="1" x14ac:dyDescent="0.15">
      <c r="A128" s="8"/>
      <c r="B128" s="312"/>
      <c r="C128" s="313"/>
      <c r="D128" s="313"/>
      <c r="E128" s="314"/>
    </row>
    <row r="129" spans="1:5" ht="18.75" customHeight="1" x14ac:dyDescent="0.15">
      <c r="A129" s="8"/>
      <c r="B129" s="312"/>
      <c r="C129" s="313"/>
      <c r="D129" s="313"/>
      <c r="E129" s="314"/>
    </row>
    <row r="130" spans="1:5" ht="18.75" customHeight="1" x14ac:dyDescent="0.15">
      <c r="A130" s="8"/>
      <c r="B130" s="312"/>
      <c r="C130" s="313"/>
      <c r="D130" s="313"/>
      <c r="E130" s="314"/>
    </row>
    <row r="131" spans="1:5" ht="18.75" customHeight="1" x14ac:dyDescent="0.15">
      <c r="A131" s="8"/>
      <c r="B131" s="312"/>
      <c r="C131" s="313"/>
      <c r="D131" s="313"/>
      <c r="E131" s="314"/>
    </row>
    <row r="132" spans="1:5" ht="18.75" customHeight="1" x14ac:dyDescent="0.15">
      <c r="A132" s="8"/>
      <c r="B132" s="312"/>
      <c r="C132" s="313"/>
      <c r="D132" s="313"/>
      <c r="E132" s="314"/>
    </row>
    <row r="133" spans="1:5" ht="18.75" customHeight="1" x14ac:dyDescent="0.15">
      <c r="A133" s="8"/>
      <c r="B133" s="315"/>
      <c r="C133" s="316"/>
      <c r="D133" s="316"/>
      <c r="E133" s="317"/>
    </row>
    <row r="134" spans="1:5" ht="7.5" customHeight="1" x14ac:dyDescent="0.15">
      <c r="A134" s="8"/>
      <c r="B134" s="12"/>
      <c r="C134" s="12"/>
      <c r="D134" s="12"/>
      <c r="E134" s="12"/>
    </row>
    <row r="135" spans="1:5" ht="18.75" customHeight="1" x14ac:dyDescent="0.15">
      <c r="A135" s="8"/>
      <c r="B135" s="8"/>
      <c r="C135" s="8"/>
      <c r="D135" s="8"/>
      <c r="E135" s="8"/>
    </row>
    <row r="136" spans="1:5" ht="18.75" customHeight="1" x14ac:dyDescent="0.15">
      <c r="A136" s="8"/>
      <c r="B136" s="8"/>
      <c r="C136" s="8"/>
      <c r="D136" s="8"/>
      <c r="E136" s="8"/>
    </row>
    <row r="137" spans="1:5" ht="18.75" customHeight="1" x14ac:dyDescent="0.15">
      <c r="A137" s="8"/>
      <c r="B137" s="8"/>
      <c r="C137" s="8"/>
      <c r="D137" s="8"/>
      <c r="E137" s="8"/>
    </row>
    <row r="138" spans="1:5" ht="18.75" customHeight="1" x14ac:dyDescent="0.15">
      <c r="A138" s="8"/>
      <c r="B138" s="8"/>
      <c r="C138" s="8"/>
      <c r="D138" s="8"/>
      <c r="E138" s="8"/>
    </row>
    <row r="139" spans="1:5" ht="18.75" customHeight="1" x14ac:dyDescent="0.15">
      <c r="A139" s="8"/>
      <c r="B139" s="8"/>
      <c r="C139" s="8"/>
      <c r="D139" s="8"/>
      <c r="E139" s="8"/>
    </row>
    <row r="140" spans="1:5" ht="18.75" customHeight="1" x14ac:dyDescent="0.15">
      <c r="A140" s="8"/>
      <c r="B140" s="8"/>
      <c r="C140" s="8"/>
      <c r="D140" s="8"/>
      <c r="E140" s="8"/>
    </row>
    <row r="141" spans="1:5" ht="18.75" customHeight="1" x14ac:dyDescent="0.15">
      <c r="A141" s="8"/>
      <c r="B141" s="8"/>
      <c r="C141" s="8"/>
      <c r="D141" s="8"/>
      <c r="E141" s="8"/>
    </row>
    <row r="142" spans="1:5" ht="18.75" customHeight="1" x14ac:dyDescent="0.15">
      <c r="A142" s="8"/>
      <c r="B142" s="8"/>
      <c r="C142" s="8"/>
      <c r="D142" s="8"/>
      <c r="E142" s="8"/>
    </row>
    <row r="143" spans="1:5" ht="18.75" customHeight="1" x14ac:dyDescent="0.15">
      <c r="A143" s="8"/>
      <c r="B143" s="8"/>
      <c r="C143" s="8"/>
      <c r="D143" s="8"/>
      <c r="E143" s="8"/>
    </row>
    <row r="144" spans="1:5" ht="18.75" customHeight="1" x14ac:dyDescent="0.15">
      <c r="A144" s="8"/>
      <c r="B144" s="8"/>
      <c r="C144" s="8"/>
      <c r="D144" s="8"/>
      <c r="E144" s="8"/>
    </row>
    <row r="145" spans="1:5" ht="18.75" customHeight="1" x14ac:dyDescent="0.15">
      <c r="A145" s="8"/>
      <c r="B145" s="8"/>
      <c r="C145" s="8"/>
      <c r="D145" s="8"/>
      <c r="E145" s="8"/>
    </row>
    <row r="146" spans="1:5" ht="18.75" customHeight="1" x14ac:dyDescent="0.15">
      <c r="A146" s="8"/>
      <c r="B146" s="8"/>
      <c r="C146" s="8"/>
      <c r="D146" s="8"/>
      <c r="E146" s="8"/>
    </row>
    <row r="147" spans="1:5" ht="14.25" x14ac:dyDescent="0.15">
      <c r="A147" s="8"/>
      <c r="B147" s="8"/>
      <c r="C147" s="8"/>
      <c r="D147" s="8"/>
      <c r="E147" s="8"/>
    </row>
    <row r="148" spans="1:5" ht="7.5" customHeight="1" x14ac:dyDescent="0.15">
      <c r="A148" s="4"/>
      <c r="B148" s="4"/>
      <c r="C148" s="4"/>
      <c r="D148" s="4"/>
      <c r="E148" s="4"/>
    </row>
  </sheetData>
  <mergeCells count="10">
    <mergeCell ref="B71:E89"/>
    <mergeCell ref="B92:E111"/>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8"/>
  <sheetViews>
    <sheetView showZeros="0" tabSelected="1" topLeftCell="A16" zoomScale="70" zoomScaleNormal="70" workbookViewId="0">
      <selection activeCell="G20" sqref="G20"/>
    </sheetView>
  </sheetViews>
  <sheetFormatPr defaultColWidth="11.375" defaultRowHeight="22.5" customHeight="1" x14ac:dyDescent="0.15"/>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3" ht="18.75" customHeight="1" x14ac:dyDescent="0.15">
      <c r="J1" s="36" t="s">
        <v>9</v>
      </c>
    </row>
    <row r="2" spans="1:13" ht="18.75" customHeight="1" x14ac:dyDescent="0.15">
      <c r="D2" s="36"/>
      <c r="H2" s="36" t="s">
        <v>31</v>
      </c>
      <c r="I2" s="318" t="s">
        <v>138</v>
      </c>
      <c r="J2" s="318"/>
    </row>
    <row r="3" spans="1:13" ht="18.75" customHeight="1" x14ac:dyDescent="0.15">
      <c r="A3" s="171" t="s">
        <v>42</v>
      </c>
      <c r="B3" s="171"/>
      <c r="C3" s="171"/>
      <c r="D3" s="171"/>
      <c r="E3" s="171"/>
      <c r="F3" s="171"/>
      <c r="G3" s="171"/>
      <c r="H3" s="171"/>
      <c r="I3" s="171"/>
      <c r="J3" s="171"/>
    </row>
    <row r="4" spans="1:13" ht="7.5" customHeight="1" x14ac:dyDescent="0.15">
      <c r="B4" s="39"/>
      <c r="C4" s="39"/>
      <c r="D4" s="347"/>
      <c r="E4" s="348"/>
      <c r="F4" s="348"/>
      <c r="G4" s="348"/>
      <c r="H4" s="348"/>
      <c r="I4" s="348"/>
      <c r="J4" s="348"/>
    </row>
    <row r="5" spans="1:13" ht="18.75" customHeight="1" x14ac:dyDescent="0.15">
      <c r="A5" s="1" t="s">
        <v>7</v>
      </c>
      <c r="B5" s="5" t="s">
        <v>40</v>
      </c>
      <c r="C5" s="39"/>
      <c r="D5" s="39"/>
      <c r="E5" s="40"/>
      <c r="F5" s="43"/>
      <c r="G5" s="45"/>
      <c r="H5" s="43"/>
      <c r="I5" s="40"/>
      <c r="J5" s="40"/>
    </row>
    <row r="6" spans="1:13" ht="18.75" customHeight="1" x14ac:dyDescent="0.15">
      <c r="B6" s="233" t="s">
        <v>37</v>
      </c>
      <c r="C6" s="234"/>
      <c r="D6" s="235"/>
      <c r="E6" s="156" t="s">
        <v>39</v>
      </c>
      <c r="F6" s="156"/>
      <c r="G6" s="156"/>
      <c r="H6" s="156"/>
      <c r="I6" s="156"/>
      <c r="J6" s="157"/>
    </row>
    <row r="7" spans="1:13" ht="18.75" customHeight="1" x14ac:dyDescent="0.15">
      <c r="B7" s="6" t="s">
        <v>35</v>
      </c>
      <c r="C7" s="8"/>
      <c r="D7" s="19"/>
      <c r="E7" s="3"/>
      <c r="F7" s="3"/>
      <c r="G7" s="3"/>
      <c r="H7" s="3"/>
      <c r="I7" s="16"/>
      <c r="J7" s="17"/>
    </row>
    <row r="8" spans="1:13" ht="202.5" customHeight="1" x14ac:dyDescent="0.15">
      <c r="B8" s="18"/>
      <c r="C8" s="330" t="s">
        <v>215</v>
      </c>
      <c r="D8" s="332"/>
      <c r="E8" s="349" t="s">
        <v>211</v>
      </c>
      <c r="F8" s="350"/>
      <c r="G8" s="350"/>
      <c r="H8" s="350"/>
      <c r="I8" s="350"/>
      <c r="J8" s="351"/>
    </row>
    <row r="9" spans="1:13" ht="202.5" customHeight="1" x14ac:dyDescent="0.15">
      <c r="B9" s="18"/>
      <c r="C9" s="330" t="s">
        <v>216</v>
      </c>
      <c r="D9" s="331"/>
      <c r="E9" s="352" t="s">
        <v>196</v>
      </c>
      <c r="F9" s="333"/>
      <c r="G9" s="333"/>
      <c r="H9" s="333"/>
      <c r="I9" s="333"/>
      <c r="J9" s="334"/>
    </row>
    <row r="10" spans="1:13" ht="172.5" customHeight="1" x14ac:dyDescent="0.15">
      <c r="B10" s="18"/>
      <c r="C10" s="330" t="s">
        <v>217</v>
      </c>
      <c r="D10" s="332"/>
      <c r="E10" s="352" t="s">
        <v>180</v>
      </c>
      <c r="F10" s="333"/>
      <c r="G10" s="333"/>
      <c r="H10" s="333"/>
      <c r="I10" s="333"/>
      <c r="J10" s="334"/>
    </row>
    <row r="11" spans="1:13" ht="172.5" customHeight="1" x14ac:dyDescent="0.15">
      <c r="B11" s="18"/>
      <c r="C11" s="330" t="s">
        <v>218</v>
      </c>
      <c r="D11" s="332"/>
      <c r="E11" s="345" t="s">
        <v>193</v>
      </c>
      <c r="F11" s="339"/>
      <c r="G11" s="339"/>
      <c r="H11" s="339"/>
      <c r="I11" s="339"/>
      <c r="J11" s="346"/>
    </row>
    <row r="12" spans="1:13" ht="172.5" customHeight="1" x14ac:dyDescent="0.15">
      <c r="B12" s="18"/>
      <c r="C12" s="330" t="s">
        <v>219</v>
      </c>
      <c r="D12" s="332"/>
      <c r="E12" s="345" t="s">
        <v>185</v>
      </c>
      <c r="F12" s="339"/>
      <c r="G12" s="339"/>
      <c r="H12" s="339"/>
      <c r="I12" s="339"/>
      <c r="J12" s="346"/>
    </row>
    <row r="13" spans="1:13" ht="18.75" customHeight="1" x14ac:dyDescent="0.15">
      <c r="B13" s="21" t="s">
        <v>36</v>
      </c>
      <c r="C13" s="41"/>
      <c r="D13" s="20"/>
      <c r="E13" s="63"/>
      <c r="F13" s="63"/>
      <c r="G13" s="63"/>
      <c r="H13" s="63"/>
      <c r="I13" s="63"/>
      <c r="J13" s="64"/>
    </row>
    <row r="14" spans="1:13" ht="255" customHeight="1" x14ac:dyDescent="0.15">
      <c r="B14" s="18"/>
      <c r="C14" s="330" t="s">
        <v>220</v>
      </c>
      <c r="D14" s="332"/>
      <c r="E14" s="333" t="s">
        <v>197</v>
      </c>
      <c r="F14" s="333"/>
      <c r="G14" s="333"/>
      <c r="H14" s="333"/>
      <c r="I14" s="333"/>
      <c r="J14" s="334"/>
    </row>
    <row r="15" spans="1:13" ht="255" customHeight="1" x14ac:dyDescent="0.15">
      <c r="B15" s="141"/>
      <c r="C15" s="330" t="s">
        <v>221</v>
      </c>
      <c r="D15" s="332"/>
      <c r="E15" s="335" t="s">
        <v>198</v>
      </c>
      <c r="F15" s="335"/>
      <c r="G15" s="335"/>
      <c r="H15" s="335"/>
      <c r="I15" s="335"/>
      <c r="J15" s="336"/>
    </row>
    <row r="16" spans="1:13" ht="232.5" customHeight="1" x14ac:dyDescent="0.15">
      <c r="B16" s="337" t="s">
        <v>222</v>
      </c>
      <c r="C16" s="338"/>
      <c r="D16" s="332"/>
      <c r="E16" s="339" t="s">
        <v>184</v>
      </c>
      <c r="F16" s="339"/>
      <c r="G16" s="340"/>
      <c r="H16" s="340"/>
      <c r="I16" s="340"/>
      <c r="J16" s="341"/>
      <c r="K16" s="133"/>
      <c r="L16" s="133"/>
      <c r="M16" s="133"/>
    </row>
    <row r="17" spans="1:13" ht="232.5" customHeight="1" x14ac:dyDescent="0.15">
      <c r="A17" s="61"/>
      <c r="B17" s="327" t="s">
        <v>223</v>
      </c>
      <c r="C17" s="328"/>
      <c r="D17" s="329"/>
      <c r="E17" s="353" t="s">
        <v>199</v>
      </c>
      <c r="F17" s="353"/>
      <c r="G17" s="353"/>
      <c r="H17" s="353"/>
      <c r="I17" s="353"/>
      <c r="J17" s="354"/>
    </row>
    <row r="18" spans="1:13" ht="7.5" customHeight="1" x14ac:dyDescent="0.15">
      <c r="B18" s="39"/>
      <c r="C18" s="39"/>
      <c r="D18" s="39"/>
      <c r="E18" s="40"/>
      <c r="F18" s="43"/>
      <c r="G18" s="45"/>
      <c r="H18" s="43"/>
      <c r="I18" s="40"/>
      <c r="J18" s="40"/>
      <c r="K18" s="133"/>
      <c r="L18" s="133"/>
      <c r="M18" s="133"/>
    </row>
    <row r="19" spans="1:13" ht="18.75" customHeight="1" x14ac:dyDescent="0.15">
      <c r="B19" s="5"/>
      <c r="C19" s="59"/>
      <c r="D19" s="59"/>
      <c r="E19" s="60"/>
      <c r="F19" s="46"/>
      <c r="G19" s="46"/>
      <c r="H19" s="70" t="s">
        <v>103</v>
      </c>
      <c r="I19" s="66"/>
      <c r="J19" s="142"/>
    </row>
    <row r="20" spans="1:13" ht="18.75" customHeight="1" x14ac:dyDescent="0.15">
      <c r="A20" s="3" t="s">
        <v>12</v>
      </c>
      <c r="B20" s="67" t="s">
        <v>41</v>
      </c>
      <c r="C20" s="68"/>
      <c r="D20" s="68"/>
      <c r="E20" s="69"/>
      <c r="F20" s="62" t="s">
        <v>225</v>
      </c>
      <c r="G20" s="46"/>
      <c r="H20" s="342" t="s">
        <v>167</v>
      </c>
      <c r="I20" s="343"/>
      <c r="J20" s="344"/>
    </row>
    <row r="21" spans="1:13" ht="22.5" customHeight="1" x14ac:dyDescent="0.15">
      <c r="B21" s="39"/>
      <c r="C21" s="39"/>
      <c r="D21" s="39"/>
      <c r="E21" s="40"/>
      <c r="F21" s="43"/>
      <c r="G21" s="45"/>
      <c r="H21" s="43"/>
      <c r="I21" s="40"/>
      <c r="J21" s="40"/>
    </row>
    <row r="22" spans="1:13" ht="22.5" customHeight="1" x14ac:dyDescent="0.15">
      <c r="B22" s="39"/>
      <c r="C22" s="39"/>
      <c r="D22" s="39"/>
      <c r="E22" s="40"/>
      <c r="F22" s="43"/>
      <c r="G22" s="45"/>
      <c r="H22" s="43"/>
      <c r="I22" s="40"/>
      <c r="J22" s="40"/>
    </row>
    <row r="23" spans="1:13" ht="22.5" customHeight="1" x14ac:dyDescent="0.15">
      <c r="B23" s="39"/>
      <c r="C23" s="39"/>
      <c r="D23" s="39"/>
      <c r="E23" s="40"/>
      <c r="F23" s="43"/>
      <c r="G23" s="45"/>
      <c r="H23" s="43"/>
      <c r="I23" s="40"/>
      <c r="J23" s="40"/>
    </row>
    <row r="24" spans="1:13" ht="22.5" customHeight="1" x14ac:dyDescent="0.15">
      <c r="B24" s="39"/>
      <c r="C24" s="39"/>
      <c r="D24" s="39"/>
      <c r="E24" s="40"/>
      <c r="F24" s="43"/>
      <c r="G24" s="45"/>
      <c r="H24" s="43"/>
      <c r="I24" s="40"/>
      <c r="J24" s="40"/>
    </row>
    <row r="25" spans="1:13" ht="22.5" customHeight="1" x14ac:dyDescent="0.15">
      <c r="B25" s="39"/>
      <c r="C25" s="39"/>
      <c r="D25" s="39"/>
      <c r="E25" s="40"/>
      <c r="F25" s="43"/>
      <c r="G25" s="45"/>
      <c r="H25" s="43"/>
      <c r="I25" s="40"/>
      <c r="J25" s="40"/>
    </row>
    <row r="26" spans="1:13" ht="22.5" customHeight="1" x14ac:dyDescent="0.15">
      <c r="B26" s="14"/>
      <c r="C26" s="14"/>
      <c r="D26" s="14"/>
      <c r="E26" s="14"/>
      <c r="F26" s="14"/>
      <c r="G26" s="14"/>
      <c r="H26" s="14"/>
      <c r="I26" s="14"/>
      <c r="J26" s="14"/>
    </row>
    <row r="27" spans="1:13" ht="22.5" customHeight="1" x14ac:dyDescent="0.15">
      <c r="B27" s="14"/>
      <c r="C27" s="14"/>
      <c r="D27" s="14"/>
      <c r="E27" s="14"/>
      <c r="F27" s="14"/>
      <c r="G27" s="14"/>
      <c r="H27" s="14"/>
      <c r="I27" s="14"/>
      <c r="J27" s="14"/>
    </row>
    <row r="28" spans="1:13" ht="22.5" customHeight="1" x14ac:dyDescent="0.15">
      <c r="B28" s="14"/>
      <c r="C28" s="14"/>
      <c r="D28" s="14"/>
      <c r="E28" s="14"/>
      <c r="F28" s="14"/>
      <c r="G28" s="14"/>
      <c r="H28" s="14"/>
      <c r="I28" s="14"/>
      <c r="J28" s="14"/>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DFD14CDE-F436-4BCC-BAC3-E0E176B76DCC}"/>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28"/>
  <sheetViews>
    <sheetView showZeros="0" zoomScale="120" zoomScaleNormal="120" workbookViewId="0">
      <selection activeCell="F87" sqref="F87"/>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13" ht="18.75" customHeight="1" x14ac:dyDescent="0.15">
      <c r="E1" s="211" t="s">
        <v>16</v>
      </c>
      <c r="F1" s="211"/>
    </row>
    <row r="2" spans="1:13" ht="18.75" customHeight="1" x14ac:dyDescent="0.15">
      <c r="C2" s="23" t="s">
        <v>79</v>
      </c>
      <c r="D2" s="23" t="s">
        <v>8</v>
      </c>
      <c r="E2" s="282" t="s">
        <v>138</v>
      </c>
      <c r="F2" s="282"/>
    </row>
    <row r="3" spans="1:13" ht="7.5" customHeight="1" x14ac:dyDescent="0.15">
      <c r="C3" s="23"/>
      <c r="D3" s="23"/>
      <c r="E3" s="22"/>
      <c r="F3" s="22"/>
    </row>
    <row r="4" spans="1:13" ht="18.75" customHeight="1" x14ac:dyDescent="0.15">
      <c r="A4" s="171" t="s">
        <v>113</v>
      </c>
      <c r="B4" s="171"/>
      <c r="C4" s="171"/>
      <c r="D4" s="171"/>
      <c r="E4" s="171"/>
      <c r="F4" s="171"/>
    </row>
    <row r="5" spans="1:13" ht="7.5" customHeight="1" x14ac:dyDescent="0.15">
      <c r="A5" s="24"/>
      <c r="B5" s="24"/>
      <c r="C5" s="24"/>
      <c r="D5" s="24"/>
      <c r="E5" s="24"/>
      <c r="F5" s="24"/>
    </row>
    <row r="6" spans="1:13" ht="18.75" customHeight="1" x14ac:dyDescent="0.15">
      <c r="A6" s="24" t="s">
        <v>7</v>
      </c>
      <c r="B6" s="5" t="s">
        <v>33</v>
      </c>
      <c r="C6" s="97"/>
      <c r="D6" s="24"/>
      <c r="E6" s="24"/>
      <c r="F6" s="24"/>
    </row>
    <row r="7" spans="1:13" ht="18.75" customHeight="1" x14ac:dyDescent="0.15">
      <c r="A7" s="24"/>
      <c r="B7" s="355" t="s">
        <v>194</v>
      </c>
      <c r="C7" s="356"/>
      <c r="D7" s="356"/>
      <c r="E7" s="356"/>
      <c r="F7" s="357"/>
    </row>
    <row r="8" spans="1:13" ht="18.75" customHeight="1" x14ac:dyDescent="0.15">
      <c r="A8" s="38"/>
      <c r="B8" s="358"/>
      <c r="C8" s="359"/>
      <c r="D8" s="359"/>
      <c r="E8" s="359"/>
      <c r="F8" s="360"/>
    </row>
    <row r="9" spans="1:13" ht="18.75" customHeight="1" x14ac:dyDescent="0.15">
      <c r="A9" s="38"/>
      <c r="B9" s="358"/>
      <c r="C9" s="359"/>
      <c r="D9" s="359"/>
      <c r="E9" s="359"/>
      <c r="F9" s="360"/>
    </row>
    <row r="10" spans="1:13" ht="18.75" customHeight="1" x14ac:dyDescent="0.15">
      <c r="A10" s="38"/>
      <c r="B10" s="358"/>
      <c r="C10" s="359"/>
      <c r="D10" s="359"/>
      <c r="E10" s="359"/>
      <c r="F10" s="360"/>
    </row>
    <row r="11" spans="1:13" ht="18.75" customHeight="1" x14ac:dyDescent="0.15">
      <c r="A11" s="38"/>
      <c r="B11" s="358"/>
      <c r="C11" s="359"/>
      <c r="D11" s="359"/>
      <c r="E11" s="359"/>
      <c r="F11" s="360"/>
    </row>
    <row r="12" spans="1:13" ht="18.75" customHeight="1" x14ac:dyDescent="0.15">
      <c r="A12" s="38"/>
      <c r="B12" s="358"/>
      <c r="C12" s="359"/>
      <c r="D12" s="359"/>
      <c r="E12" s="359"/>
      <c r="F12" s="360"/>
    </row>
    <row r="13" spans="1:13" ht="18.75" customHeight="1" x14ac:dyDescent="0.15">
      <c r="A13" s="38"/>
      <c r="B13" s="358"/>
      <c r="C13" s="359"/>
      <c r="D13" s="359"/>
      <c r="E13" s="359"/>
      <c r="F13" s="360"/>
    </row>
    <row r="14" spans="1:13" ht="18.75" customHeight="1" x14ac:dyDescent="0.15">
      <c r="A14" s="38"/>
      <c r="B14" s="358"/>
      <c r="C14" s="359"/>
      <c r="D14" s="359"/>
      <c r="E14" s="359"/>
      <c r="F14" s="360"/>
    </row>
    <row r="15" spans="1:13" ht="18.75" customHeight="1" x14ac:dyDescent="0.15">
      <c r="A15" s="38"/>
      <c r="B15" s="358"/>
      <c r="C15" s="359"/>
      <c r="D15" s="359"/>
      <c r="E15" s="359"/>
      <c r="F15" s="360"/>
    </row>
    <row r="16" spans="1:13" ht="18.75" customHeight="1" x14ac:dyDescent="0.15">
      <c r="A16" s="38"/>
      <c r="B16" s="358"/>
      <c r="C16" s="359"/>
      <c r="D16" s="359"/>
      <c r="E16" s="359"/>
      <c r="F16" s="360"/>
      <c r="K16" s="133"/>
      <c r="L16" s="133"/>
      <c r="M16" s="133"/>
    </row>
    <row r="17" spans="1:13" ht="18.75" customHeight="1" x14ac:dyDescent="0.15">
      <c r="A17" s="38"/>
      <c r="B17" s="358"/>
      <c r="C17" s="359"/>
      <c r="D17" s="359"/>
      <c r="E17" s="359"/>
      <c r="F17" s="360"/>
    </row>
    <row r="18" spans="1:13" ht="18.75" customHeight="1" x14ac:dyDescent="0.15">
      <c r="A18" s="38"/>
      <c r="B18" s="358"/>
      <c r="C18" s="359"/>
      <c r="D18" s="359"/>
      <c r="E18" s="359"/>
      <c r="F18" s="360"/>
      <c r="K18" s="133"/>
      <c r="L18" s="133"/>
      <c r="M18" s="133"/>
    </row>
    <row r="19" spans="1:13" ht="18.75" customHeight="1" x14ac:dyDescent="0.15">
      <c r="A19" s="38"/>
      <c r="B19" s="358"/>
      <c r="C19" s="359"/>
      <c r="D19" s="359"/>
      <c r="E19" s="359"/>
      <c r="F19" s="360"/>
    </row>
    <row r="20" spans="1:13" ht="18.75" customHeight="1" x14ac:dyDescent="0.15">
      <c r="A20" s="38"/>
      <c r="B20" s="358"/>
      <c r="C20" s="359"/>
      <c r="D20" s="359"/>
      <c r="E20" s="359"/>
      <c r="F20" s="360"/>
    </row>
    <row r="21" spans="1:13" ht="18.75" customHeight="1" x14ac:dyDescent="0.15">
      <c r="A21" s="38"/>
      <c r="B21" s="358"/>
      <c r="C21" s="359"/>
      <c r="D21" s="359"/>
      <c r="E21" s="359"/>
      <c r="F21" s="360"/>
    </row>
    <row r="22" spans="1:13" ht="18.75" customHeight="1" x14ac:dyDescent="0.15">
      <c r="A22" s="38"/>
      <c r="B22" s="358"/>
      <c r="C22" s="359"/>
      <c r="D22" s="359"/>
      <c r="E22" s="359"/>
      <c r="F22" s="360"/>
    </row>
    <row r="23" spans="1:13" ht="18.75" customHeight="1" x14ac:dyDescent="0.15">
      <c r="A23" s="38"/>
      <c r="B23" s="358"/>
      <c r="C23" s="359"/>
      <c r="D23" s="359"/>
      <c r="E23" s="359"/>
      <c r="F23" s="360"/>
    </row>
    <row r="24" spans="1:13" ht="18.75" customHeight="1" x14ac:dyDescent="0.15">
      <c r="A24" s="38"/>
      <c r="B24" s="358"/>
      <c r="C24" s="359"/>
      <c r="D24" s="359"/>
      <c r="E24" s="359"/>
      <c r="F24" s="360"/>
    </row>
    <row r="25" spans="1:13" ht="18.75" customHeight="1" x14ac:dyDescent="0.15">
      <c r="A25" s="38"/>
      <c r="B25" s="358"/>
      <c r="C25" s="359"/>
      <c r="D25" s="359"/>
      <c r="E25" s="359"/>
      <c r="F25" s="360"/>
    </row>
    <row r="26" spans="1:13" ht="18.75" customHeight="1" x14ac:dyDescent="0.15">
      <c r="A26" s="38"/>
      <c r="B26" s="358"/>
      <c r="C26" s="359"/>
      <c r="D26" s="359"/>
      <c r="E26" s="359"/>
      <c r="F26" s="360"/>
    </row>
    <row r="27" spans="1:13" ht="18.75" customHeight="1" x14ac:dyDescent="0.15">
      <c r="A27" s="38"/>
      <c r="B27" s="358"/>
      <c r="C27" s="359"/>
      <c r="D27" s="359"/>
      <c r="E27" s="359"/>
      <c r="F27" s="360"/>
    </row>
    <row r="28" spans="1:13" ht="18.75" customHeight="1" x14ac:dyDescent="0.15">
      <c r="A28" s="24"/>
      <c r="B28" s="358"/>
      <c r="C28" s="359"/>
      <c r="D28" s="359"/>
      <c r="E28" s="359"/>
      <c r="F28" s="360"/>
    </row>
    <row r="29" spans="1:13" ht="18.75" customHeight="1" x14ac:dyDescent="0.15">
      <c r="A29" s="24"/>
      <c r="B29" s="358"/>
      <c r="C29" s="359"/>
      <c r="D29" s="359"/>
      <c r="E29" s="359"/>
      <c r="F29" s="360"/>
    </row>
    <row r="30" spans="1:13" ht="18.75" customHeight="1" x14ac:dyDescent="0.15">
      <c r="A30" s="24"/>
      <c r="B30" s="358"/>
      <c r="C30" s="359"/>
      <c r="D30" s="359"/>
      <c r="E30" s="359"/>
      <c r="F30" s="360"/>
    </row>
    <row r="31" spans="1:13" ht="18.75" customHeight="1" x14ac:dyDescent="0.15">
      <c r="A31" s="24"/>
      <c r="B31" s="358"/>
      <c r="C31" s="359"/>
      <c r="D31" s="359"/>
      <c r="E31" s="359"/>
      <c r="F31" s="360"/>
    </row>
    <row r="32" spans="1:13" ht="18.75" customHeight="1" x14ac:dyDescent="0.15">
      <c r="A32" s="24"/>
      <c r="B32" s="358"/>
      <c r="C32" s="359"/>
      <c r="D32" s="359"/>
      <c r="E32" s="359"/>
      <c r="F32" s="360"/>
    </row>
    <row r="33" spans="1:6" ht="18.75" customHeight="1" x14ac:dyDescent="0.15">
      <c r="A33" s="24"/>
      <c r="B33" s="358"/>
      <c r="C33" s="359"/>
      <c r="D33" s="359"/>
      <c r="E33" s="359"/>
      <c r="F33" s="360"/>
    </row>
    <row r="34" spans="1:6" ht="18.75" customHeight="1" x14ac:dyDescent="0.15">
      <c r="A34" s="24"/>
      <c r="B34" s="358"/>
      <c r="C34" s="359"/>
      <c r="D34" s="359"/>
      <c r="E34" s="359"/>
      <c r="F34" s="360"/>
    </row>
    <row r="35" spans="1:6" ht="18.75" customHeight="1" x14ac:dyDescent="0.15">
      <c r="A35" s="24"/>
      <c r="B35" s="358"/>
      <c r="C35" s="359"/>
      <c r="D35" s="359"/>
      <c r="E35" s="359"/>
      <c r="F35" s="360"/>
    </row>
    <row r="36" spans="1:6" ht="18.75" customHeight="1" x14ac:dyDescent="0.15">
      <c r="A36" s="24"/>
      <c r="B36" s="358"/>
      <c r="C36" s="359"/>
      <c r="D36" s="359"/>
      <c r="E36" s="359"/>
      <c r="F36" s="360"/>
    </row>
    <row r="37" spans="1:6" ht="18.75" customHeight="1" x14ac:dyDescent="0.15">
      <c r="A37" s="24"/>
      <c r="B37" s="358"/>
      <c r="C37" s="359"/>
      <c r="D37" s="359"/>
      <c r="E37" s="359"/>
      <c r="F37" s="360"/>
    </row>
    <row r="38" spans="1:6" ht="18.75" customHeight="1" x14ac:dyDescent="0.15">
      <c r="A38" s="24"/>
      <c r="B38" s="358"/>
      <c r="C38" s="359"/>
      <c r="D38" s="359"/>
      <c r="E38" s="359"/>
      <c r="F38" s="360"/>
    </row>
    <row r="39" spans="1:6" ht="18.75" customHeight="1" x14ac:dyDescent="0.15">
      <c r="A39" s="24"/>
      <c r="B39" s="358"/>
      <c r="C39" s="359"/>
      <c r="D39" s="359"/>
      <c r="E39" s="359"/>
      <c r="F39" s="360"/>
    </row>
    <row r="40" spans="1:6" ht="18.75" customHeight="1" x14ac:dyDescent="0.15">
      <c r="A40" s="24"/>
      <c r="B40" s="358"/>
      <c r="C40" s="359"/>
      <c r="D40" s="359"/>
      <c r="E40" s="359"/>
      <c r="F40" s="360"/>
    </row>
    <row r="41" spans="1:6" ht="18.75" customHeight="1" x14ac:dyDescent="0.15">
      <c r="A41" s="24"/>
      <c r="B41" s="358"/>
      <c r="C41" s="359"/>
      <c r="D41" s="359"/>
      <c r="E41" s="359"/>
      <c r="F41" s="360"/>
    </row>
    <row r="42" spans="1:6" ht="18.75" customHeight="1" x14ac:dyDescent="0.15">
      <c r="A42" s="24"/>
      <c r="B42" s="358"/>
      <c r="C42" s="359"/>
      <c r="D42" s="359"/>
      <c r="E42" s="359"/>
      <c r="F42" s="360"/>
    </row>
    <row r="43" spans="1:6" ht="18.75" customHeight="1" x14ac:dyDescent="0.15">
      <c r="A43" s="24"/>
      <c r="B43" s="358"/>
      <c r="C43" s="359"/>
      <c r="D43" s="359"/>
      <c r="E43" s="359"/>
      <c r="F43" s="360"/>
    </row>
    <row r="44" spans="1:6" ht="18.75" customHeight="1" x14ac:dyDescent="0.15">
      <c r="A44" s="24"/>
      <c r="B44" s="361"/>
      <c r="C44" s="362"/>
      <c r="D44" s="362"/>
      <c r="E44" s="362"/>
      <c r="F44" s="363"/>
    </row>
    <row r="45" spans="1:6" ht="18.75" customHeight="1" x14ac:dyDescent="0.15">
      <c r="A45" s="24" t="s">
        <v>12</v>
      </c>
      <c r="B45" s="5" t="s">
        <v>84</v>
      </c>
      <c r="C45" s="24"/>
      <c r="D45" s="24"/>
      <c r="E45" s="24"/>
      <c r="F45" s="24"/>
    </row>
    <row r="46" spans="1:6" ht="18.75" customHeight="1" x14ac:dyDescent="0.15">
      <c r="A46" s="24"/>
      <c r="B46" s="355" t="s">
        <v>200</v>
      </c>
      <c r="C46" s="356"/>
      <c r="D46" s="356"/>
      <c r="E46" s="356"/>
      <c r="F46" s="357"/>
    </row>
    <row r="47" spans="1:6" ht="18.75" customHeight="1" x14ac:dyDescent="0.15">
      <c r="A47" s="38"/>
      <c r="B47" s="358"/>
      <c r="C47" s="359"/>
      <c r="D47" s="359"/>
      <c r="E47" s="359"/>
      <c r="F47" s="360"/>
    </row>
    <row r="48" spans="1:6" ht="18.75" customHeight="1" x14ac:dyDescent="0.15">
      <c r="A48" s="38"/>
      <c r="B48" s="358"/>
      <c r="C48" s="359"/>
      <c r="D48" s="359"/>
      <c r="E48" s="359"/>
      <c r="F48" s="360"/>
    </row>
    <row r="49" spans="1:6" ht="18.75" customHeight="1" x14ac:dyDescent="0.15">
      <c r="A49" s="38"/>
      <c r="B49" s="358"/>
      <c r="C49" s="359"/>
      <c r="D49" s="359"/>
      <c r="E49" s="359"/>
      <c r="F49" s="360"/>
    </row>
    <row r="50" spans="1:6" ht="18.75" customHeight="1" x14ac:dyDescent="0.15">
      <c r="A50" s="38"/>
      <c r="B50" s="358"/>
      <c r="C50" s="359"/>
      <c r="D50" s="359"/>
      <c r="E50" s="359"/>
      <c r="F50" s="360"/>
    </row>
    <row r="51" spans="1:6" ht="18.75" customHeight="1" x14ac:dyDescent="0.15">
      <c r="A51" s="38"/>
      <c r="B51" s="358"/>
      <c r="C51" s="359"/>
      <c r="D51" s="359"/>
      <c r="E51" s="359"/>
      <c r="F51" s="360"/>
    </row>
    <row r="52" spans="1:6" ht="18.75" customHeight="1" x14ac:dyDescent="0.15">
      <c r="A52" s="38"/>
      <c r="B52" s="358"/>
      <c r="C52" s="359"/>
      <c r="D52" s="359"/>
      <c r="E52" s="359"/>
      <c r="F52" s="360"/>
    </row>
    <row r="53" spans="1:6" ht="18.75" customHeight="1" x14ac:dyDescent="0.15">
      <c r="A53" s="38"/>
      <c r="B53" s="358"/>
      <c r="C53" s="359"/>
      <c r="D53" s="359"/>
      <c r="E53" s="359"/>
      <c r="F53" s="360"/>
    </row>
    <row r="54" spans="1:6" ht="18.75" customHeight="1" x14ac:dyDescent="0.15">
      <c r="A54" s="38"/>
      <c r="B54" s="358"/>
      <c r="C54" s="359"/>
      <c r="D54" s="359"/>
      <c r="E54" s="359"/>
      <c r="F54" s="360"/>
    </row>
    <row r="55" spans="1:6" ht="18.75" customHeight="1" x14ac:dyDescent="0.15">
      <c r="A55" s="38"/>
      <c r="B55" s="358"/>
      <c r="C55" s="359"/>
      <c r="D55" s="359"/>
      <c r="E55" s="359"/>
      <c r="F55" s="360"/>
    </row>
    <row r="56" spans="1:6" ht="18.75" customHeight="1" x14ac:dyDescent="0.15">
      <c r="A56" s="38"/>
      <c r="B56" s="358"/>
      <c r="C56" s="359"/>
      <c r="D56" s="359"/>
      <c r="E56" s="359"/>
      <c r="F56" s="360"/>
    </row>
    <row r="57" spans="1:6" ht="18.75" customHeight="1" x14ac:dyDescent="0.15">
      <c r="A57" s="38"/>
      <c r="B57" s="358"/>
      <c r="C57" s="359"/>
      <c r="D57" s="359"/>
      <c r="E57" s="359"/>
      <c r="F57" s="360"/>
    </row>
    <row r="58" spans="1:6" ht="18.75" customHeight="1" x14ac:dyDescent="0.15">
      <c r="A58" s="38"/>
      <c r="B58" s="358"/>
      <c r="C58" s="359"/>
      <c r="D58" s="359"/>
      <c r="E58" s="359"/>
      <c r="F58" s="360"/>
    </row>
    <row r="59" spans="1:6" ht="18.75" customHeight="1" x14ac:dyDescent="0.15">
      <c r="A59" s="38"/>
      <c r="B59" s="358"/>
      <c r="C59" s="359"/>
      <c r="D59" s="359"/>
      <c r="E59" s="359"/>
      <c r="F59" s="360"/>
    </row>
    <row r="60" spans="1:6" ht="18.75" customHeight="1" x14ac:dyDescent="0.15">
      <c r="A60" s="38"/>
      <c r="B60" s="358"/>
      <c r="C60" s="359"/>
      <c r="D60" s="359"/>
      <c r="E60" s="359"/>
      <c r="F60" s="360"/>
    </row>
    <row r="61" spans="1:6" ht="18.75" customHeight="1" x14ac:dyDescent="0.15">
      <c r="A61" s="38"/>
      <c r="B61" s="358"/>
      <c r="C61" s="359"/>
      <c r="D61" s="359"/>
      <c r="E61" s="359"/>
      <c r="F61" s="360"/>
    </row>
    <row r="62" spans="1:6" ht="18.75" customHeight="1" x14ac:dyDescent="0.15">
      <c r="A62" s="38"/>
      <c r="B62" s="358"/>
      <c r="C62" s="359"/>
      <c r="D62" s="359"/>
      <c r="E62" s="359"/>
      <c r="F62" s="360"/>
    </row>
    <row r="63" spans="1:6" ht="18.75" customHeight="1" x14ac:dyDescent="0.15">
      <c r="A63" s="38"/>
      <c r="B63" s="358"/>
      <c r="C63" s="359"/>
      <c r="D63" s="359"/>
      <c r="E63" s="359"/>
      <c r="F63" s="360"/>
    </row>
    <row r="64" spans="1:6" ht="18.75" customHeight="1" x14ac:dyDescent="0.15">
      <c r="A64" s="38"/>
      <c r="B64" s="358"/>
      <c r="C64" s="359"/>
      <c r="D64" s="359"/>
      <c r="E64" s="359"/>
      <c r="F64" s="360"/>
    </row>
    <row r="65" spans="1:6" ht="18.75" customHeight="1" x14ac:dyDescent="0.15">
      <c r="A65" s="38"/>
      <c r="B65" s="358"/>
      <c r="C65" s="359"/>
      <c r="D65" s="359"/>
      <c r="E65" s="359"/>
      <c r="F65" s="360"/>
    </row>
    <row r="66" spans="1:6" ht="18.75" customHeight="1" x14ac:dyDescent="0.15">
      <c r="A66" s="38"/>
      <c r="B66" s="358"/>
      <c r="C66" s="359"/>
      <c r="D66" s="359"/>
      <c r="E66" s="359"/>
      <c r="F66" s="360"/>
    </row>
    <row r="67" spans="1:6" ht="18.75" customHeight="1" x14ac:dyDescent="0.15">
      <c r="A67" s="38"/>
      <c r="B67" s="358"/>
      <c r="C67" s="359"/>
      <c r="D67" s="359"/>
      <c r="E67" s="359"/>
      <c r="F67" s="360"/>
    </row>
    <row r="68" spans="1:6" ht="18.75" customHeight="1" x14ac:dyDescent="0.15">
      <c r="A68" s="38"/>
      <c r="B68" s="358"/>
      <c r="C68" s="359"/>
      <c r="D68" s="359"/>
      <c r="E68" s="359"/>
      <c r="F68" s="360"/>
    </row>
    <row r="69" spans="1:6" ht="18.75" customHeight="1" x14ac:dyDescent="0.15">
      <c r="A69" s="38"/>
      <c r="B69" s="358"/>
      <c r="C69" s="359"/>
      <c r="D69" s="359"/>
      <c r="E69" s="359"/>
      <c r="F69" s="360"/>
    </row>
    <row r="70" spans="1:6" ht="18.75" customHeight="1" x14ac:dyDescent="0.15">
      <c r="A70" s="24"/>
      <c r="B70" s="358"/>
      <c r="C70" s="359"/>
      <c r="D70" s="359"/>
      <c r="E70" s="359"/>
      <c r="F70" s="360"/>
    </row>
    <row r="71" spans="1:6" ht="18.75" customHeight="1" x14ac:dyDescent="0.15">
      <c r="A71" s="24"/>
      <c r="B71" s="358"/>
      <c r="C71" s="359"/>
      <c r="D71" s="359"/>
      <c r="E71" s="359"/>
      <c r="F71" s="360"/>
    </row>
    <row r="72" spans="1:6" ht="18.75" customHeight="1" x14ac:dyDescent="0.15">
      <c r="A72" s="24"/>
      <c r="B72" s="358"/>
      <c r="C72" s="359"/>
      <c r="D72" s="359"/>
      <c r="E72" s="359"/>
      <c r="F72" s="360"/>
    </row>
    <row r="73" spans="1:6" ht="18.75" customHeight="1" x14ac:dyDescent="0.15">
      <c r="A73" s="24"/>
      <c r="B73" s="358"/>
      <c r="C73" s="359"/>
      <c r="D73" s="359"/>
      <c r="E73" s="359"/>
      <c r="F73" s="360"/>
    </row>
    <row r="74" spans="1:6" ht="18.75" customHeight="1" x14ac:dyDescent="0.15">
      <c r="A74" s="24"/>
      <c r="B74" s="358"/>
      <c r="C74" s="359"/>
      <c r="D74" s="359"/>
      <c r="E74" s="359"/>
      <c r="F74" s="360"/>
    </row>
    <row r="75" spans="1:6" ht="18.75" customHeight="1" x14ac:dyDescent="0.15">
      <c r="A75" s="24"/>
      <c r="B75" s="358"/>
      <c r="C75" s="359"/>
      <c r="D75" s="359"/>
      <c r="E75" s="359"/>
      <c r="F75" s="360"/>
    </row>
    <row r="76" spans="1:6" ht="18.75" customHeight="1" x14ac:dyDescent="0.15">
      <c r="A76" s="24"/>
      <c r="B76" s="358"/>
      <c r="C76" s="359"/>
      <c r="D76" s="359"/>
      <c r="E76" s="359"/>
      <c r="F76" s="360"/>
    </row>
    <row r="77" spans="1:6" ht="18.75" customHeight="1" x14ac:dyDescent="0.15">
      <c r="A77" s="24"/>
      <c r="B77" s="358"/>
      <c r="C77" s="359"/>
      <c r="D77" s="359"/>
      <c r="E77" s="359"/>
      <c r="F77" s="360"/>
    </row>
    <row r="78" spans="1:6" ht="18.75" customHeight="1" x14ac:dyDescent="0.15">
      <c r="A78" s="24"/>
      <c r="B78" s="358"/>
      <c r="C78" s="359"/>
      <c r="D78" s="359"/>
      <c r="E78" s="359"/>
      <c r="F78" s="360"/>
    </row>
    <row r="79" spans="1:6" ht="18.75" customHeight="1" x14ac:dyDescent="0.15">
      <c r="A79" s="24"/>
      <c r="B79" s="358"/>
      <c r="C79" s="359"/>
      <c r="D79" s="359"/>
      <c r="E79" s="359"/>
      <c r="F79" s="360"/>
    </row>
    <row r="80" spans="1:6" ht="18.75" customHeight="1" x14ac:dyDescent="0.15">
      <c r="A80" s="24"/>
      <c r="B80" s="358"/>
      <c r="C80" s="359"/>
      <c r="D80" s="359"/>
      <c r="E80" s="359"/>
      <c r="F80" s="360"/>
    </row>
    <row r="81" spans="1:6" ht="18.75" customHeight="1" x14ac:dyDescent="0.15">
      <c r="A81" s="24"/>
      <c r="B81" s="358"/>
      <c r="C81" s="359"/>
      <c r="D81" s="359"/>
      <c r="E81" s="359"/>
      <c r="F81" s="360"/>
    </row>
    <row r="82" spans="1:6" ht="18.75" customHeight="1" x14ac:dyDescent="0.15">
      <c r="A82" s="24"/>
      <c r="B82" s="358"/>
      <c r="C82" s="359"/>
      <c r="D82" s="359"/>
      <c r="E82" s="359"/>
      <c r="F82" s="360"/>
    </row>
    <row r="83" spans="1:6" ht="18.75" customHeight="1" x14ac:dyDescent="0.15">
      <c r="A83" s="38"/>
      <c r="B83" s="358"/>
      <c r="C83" s="359"/>
      <c r="D83" s="359"/>
      <c r="E83" s="359"/>
      <c r="F83" s="360"/>
    </row>
    <row r="84" spans="1:6" ht="18.75" customHeight="1" x14ac:dyDescent="0.15">
      <c r="A84" s="24"/>
      <c r="B84" s="358"/>
      <c r="C84" s="359"/>
      <c r="D84" s="359"/>
      <c r="E84" s="359"/>
      <c r="F84" s="360"/>
    </row>
    <row r="85" spans="1:6" ht="18.75" customHeight="1" x14ac:dyDescent="0.15">
      <c r="A85" s="24"/>
      <c r="B85" s="358"/>
      <c r="C85" s="359"/>
      <c r="D85" s="359"/>
      <c r="E85" s="359"/>
      <c r="F85" s="360"/>
    </row>
    <row r="86" spans="1:6" ht="18.75" customHeight="1" x14ac:dyDescent="0.15">
      <c r="A86" s="24"/>
      <c r="B86" s="361"/>
      <c r="C86" s="362"/>
      <c r="D86" s="362"/>
      <c r="E86" s="362"/>
      <c r="F86" s="363"/>
    </row>
    <row r="87" spans="1:6" s="13" customFormat="1" ht="18.75" customHeight="1" x14ac:dyDescent="0.15">
      <c r="A87" s="5" t="s">
        <v>13</v>
      </c>
      <c r="B87" s="5" t="s">
        <v>186</v>
      </c>
      <c r="C87" s="5"/>
      <c r="D87" s="5"/>
      <c r="E87" s="5"/>
      <c r="F87" s="100"/>
    </row>
    <row r="88" spans="1:6" ht="18.75" customHeight="1" x14ac:dyDescent="0.15">
      <c r="A88" s="24"/>
      <c r="B88" s="355" t="s">
        <v>212</v>
      </c>
      <c r="C88" s="356"/>
      <c r="D88" s="356"/>
      <c r="E88" s="356"/>
      <c r="F88" s="357"/>
    </row>
    <row r="89" spans="1:6" ht="18.75" customHeight="1" x14ac:dyDescent="0.15">
      <c r="A89" s="24"/>
      <c r="B89" s="358"/>
      <c r="C89" s="359"/>
      <c r="D89" s="359"/>
      <c r="E89" s="359"/>
      <c r="F89" s="360"/>
    </row>
    <row r="90" spans="1:6" ht="18.75" customHeight="1" x14ac:dyDescent="0.15">
      <c r="A90" s="38"/>
      <c r="B90" s="358"/>
      <c r="C90" s="359"/>
      <c r="D90" s="359"/>
      <c r="E90" s="359"/>
      <c r="F90" s="360"/>
    </row>
    <row r="91" spans="1:6" ht="18.75" customHeight="1" x14ac:dyDescent="0.15">
      <c r="A91" s="38"/>
      <c r="B91" s="358"/>
      <c r="C91" s="359"/>
      <c r="D91" s="359"/>
      <c r="E91" s="359"/>
      <c r="F91" s="360"/>
    </row>
    <row r="92" spans="1:6" ht="18.75" customHeight="1" x14ac:dyDescent="0.15">
      <c r="A92" s="38"/>
      <c r="B92" s="358"/>
      <c r="C92" s="359"/>
      <c r="D92" s="359"/>
      <c r="E92" s="359"/>
      <c r="F92" s="360"/>
    </row>
    <row r="93" spans="1:6" ht="18.75" customHeight="1" x14ac:dyDescent="0.15">
      <c r="A93" s="38"/>
      <c r="B93" s="358"/>
      <c r="C93" s="359"/>
      <c r="D93" s="359"/>
      <c r="E93" s="359"/>
      <c r="F93" s="360"/>
    </row>
    <row r="94" spans="1:6" ht="18.75" customHeight="1" x14ac:dyDescent="0.15">
      <c r="A94" s="38"/>
      <c r="B94" s="358"/>
      <c r="C94" s="359"/>
      <c r="D94" s="359"/>
      <c r="E94" s="359"/>
      <c r="F94" s="360"/>
    </row>
    <row r="95" spans="1:6" ht="18.75" customHeight="1" x14ac:dyDescent="0.15">
      <c r="A95" s="38"/>
      <c r="B95" s="358"/>
      <c r="C95" s="359"/>
      <c r="D95" s="359"/>
      <c r="E95" s="359"/>
      <c r="F95" s="360"/>
    </row>
    <row r="96" spans="1:6" ht="18.75" customHeight="1" x14ac:dyDescent="0.15">
      <c r="A96" s="38"/>
      <c r="B96" s="358"/>
      <c r="C96" s="359"/>
      <c r="D96" s="359"/>
      <c r="E96" s="359"/>
      <c r="F96" s="360"/>
    </row>
    <row r="97" spans="1:6" ht="18.75" customHeight="1" x14ac:dyDescent="0.15">
      <c r="A97" s="38"/>
      <c r="B97" s="358"/>
      <c r="C97" s="359"/>
      <c r="D97" s="359"/>
      <c r="E97" s="359"/>
      <c r="F97" s="360"/>
    </row>
    <row r="98" spans="1:6" ht="18.75" customHeight="1" x14ac:dyDescent="0.15">
      <c r="A98" s="38"/>
      <c r="B98" s="358"/>
      <c r="C98" s="359"/>
      <c r="D98" s="359"/>
      <c r="E98" s="359"/>
      <c r="F98" s="360"/>
    </row>
    <row r="99" spans="1:6" ht="18.75" customHeight="1" x14ac:dyDescent="0.15">
      <c r="A99" s="38"/>
      <c r="B99" s="358"/>
      <c r="C99" s="359"/>
      <c r="D99" s="359"/>
      <c r="E99" s="359"/>
      <c r="F99" s="360"/>
    </row>
    <row r="100" spans="1:6" ht="18.75" customHeight="1" x14ac:dyDescent="0.15">
      <c r="A100" s="38"/>
      <c r="B100" s="358"/>
      <c r="C100" s="359"/>
      <c r="D100" s="359"/>
      <c r="E100" s="359"/>
      <c r="F100" s="360"/>
    </row>
    <row r="101" spans="1:6" ht="18.75" customHeight="1" x14ac:dyDescent="0.15">
      <c r="A101" s="38"/>
      <c r="B101" s="358"/>
      <c r="C101" s="359"/>
      <c r="D101" s="359"/>
      <c r="E101" s="359"/>
      <c r="F101" s="360"/>
    </row>
    <row r="102" spans="1:6" ht="18.75" customHeight="1" x14ac:dyDescent="0.15">
      <c r="A102" s="38"/>
      <c r="B102" s="358"/>
      <c r="C102" s="359"/>
      <c r="D102" s="359"/>
      <c r="E102" s="359"/>
      <c r="F102" s="360"/>
    </row>
    <row r="103" spans="1:6" ht="18.75" customHeight="1" x14ac:dyDescent="0.15">
      <c r="A103" s="38"/>
      <c r="B103" s="358"/>
      <c r="C103" s="359"/>
      <c r="D103" s="359"/>
      <c r="E103" s="359"/>
      <c r="F103" s="360"/>
    </row>
    <row r="104" spans="1:6" ht="18.75" customHeight="1" x14ac:dyDescent="0.15">
      <c r="A104" s="38"/>
      <c r="B104" s="358"/>
      <c r="C104" s="359"/>
      <c r="D104" s="359"/>
      <c r="E104" s="359"/>
      <c r="F104" s="360"/>
    </row>
    <row r="105" spans="1:6" ht="18.75" customHeight="1" x14ac:dyDescent="0.15">
      <c r="A105" s="38"/>
      <c r="B105" s="358"/>
      <c r="C105" s="359"/>
      <c r="D105" s="359"/>
      <c r="E105" s="359"/>
      <c r="F105" s="360"/>
    </row>
    <row r="106" spans="1:6" ht="18.75" customHeight="1" x14ac:dyDescent="0.15">
      <c r="A106" s="38"/>
      <c r="B106" s="358"/>
      <c r="C106" s="359"/>
      <c r="D106" s="359"/>
      <c r="E106" s="359"/>
      <c r="F106" s="360"/>
    </row>
    <row r="107" spans="1:6" ht="18.75" customHeight="1" x14ac:dyDescent="0.15">
      <c r="A107" s="38"/>
      <c r="B107" s="358"/>
      <c r="C107" s="359"/>
      <c r="D107" s="359"/>
      <c r="E107" s="359"/>
      <c r="F107" s="360"/>
    </row>
    <row r="108" spans="1:6" ht="18.75" customHeight="1" x14ac:dyDescent="0.15">
      <c r="A108" s="38"/>
      <c r="B108" s="358"/>
      <c r="C108" s="359"/>
      <c r="D108" s="359"/>
      <c r="E108" s="359"/>
      <c r="F108" s="360"/>
    </row>
    <row r="109" spans="1:6" ht="18.75" customHeight="1" x14ac:dyDescent="0.15">
      <c r="A109" s="38"/>
      <c r="B109" s="358"/>
      <c r="C109" s="359"/>
      <c r="D109" s="359"/>
      <c r="E109" s="359"/>
      <c r="F109" s="360"/>
    </row>
    <row r="110" spans="1:6" ht="18.75" customHeight="1" x14ac:dyDescent="0.15">
      <c r="A110" s="38"/>
      <c r="B110" s="358"/>
      <c r="C110" s="359"/>
      <c r="D110" s="359"/>
      <c r="E110" s="359"/>
      <c r="F110" s="360"/>
    </row>
    <row r="111" spans="1:6" ht="18.75" customHeight="1" x14ac:dyDescent="0.15">
      <c r="A111" s="38"/>
      <c r="B111" s="358"/>
      <c r="C111" s="359"/>
      <c r="D111" s="359"/>
      <c r="E111" s="359"/>
      <c r="F111" s="360"/>
    </row>
    <row r="112" spans="1:6" ht="18.75" customHeight="1" x14ac:dyDescent="0.15">
      <c r="A112" s="38"/>
      <c r="B112" s="358"/>
      <c r="C112" s="359"/>
      <c r="D112" s="359"/>
      <c r="E112" s="359"/>
      <c r="F112" s="360"/>
    </row>
    <row r="113" spans="1:6" ht="18.75" customHeight="1" x14ac:dyDescent="0.15">
      <c r="A113" s="38"/>
      <c r="B113" s="358"/>
      <c r="C113" s="359"/>
      <c r="D113" s="359"/>
      <c r="E113" s="359"/>
      <c r="F113" s="360"/>
    </row>
    <row r="114" spans="1:6" ht="18.75" customHeight="1" x14ac:dyDescent="0.15">
      <c r="A114" s="24"/>
      <c r="B114" s="358"/>
      <c r="C114" s="359"/>
      <c r="D114" s="359"/>
      <c r="E114" s="359"/>
      <c r="F114" s="360"/>
    </row>
    <row r="115" spans="1:6" ht="18.75" customHeight="1" x14ac:dyDescent="0.15">
      <c r="A115" s="24"/>
      <c r="B115" s="358"/>
      <c r="C115" s="359"/>
      <c r="D115" s="359"/>
      <c r="E115" s="359"/>
      <c r="F115" s="360"/>
    </row>
    <row r="116" spans="1:6" ht="18.75" customHeight="1" x14ac:dyDescent="0.15">
      <c r="A116" s="24"/>
      <c r="B116" s="358"/>
      <c r="C116" s="359"/>
      <c r="D116" s="359"/>
      <c r="E116" s="359"/>
      <c r="F116" s="360"/>
    </row>
    <row r="117" spans="1:6" ht="18.75" customHeight="1" x14ac:dyDescent="0.15">
      <c r="A117" s="24"/>
      <c r="B117" s="358"/>
      <c r="C117" s="359"/>
      <c r="D117" s="359"/>
      <c r="E117" s="359"/>
      <c r="F117" s="360"/>
    </row>
    <row r="118" spans="1:6" ht="18.75" customHeight="1" x14ac:dyDescent="0.15">
      <c r="A118" s="24"/>
      <c r="B118" s="358"/>
      <c r="C118" s="359"/>
      <c r="D118" s="359"/>
      <c r="E118" s="359"/>
      <c r="F118" s="360"/>
    </row>
    <row r="119" spans="1:6" ht="18.75" customHeight="1" x14ac:dyDescent="0.15">
      <c r="A119" s="24"/>
      <c r="B119" s="358"/>
      <c r="C119" s="359"/>
      <c r="D119" s="359"/>
      <c r="E119" s="359"/>
      <c r="F119" s="360"/>
    </row>
    <row r="120" spans="1:6" ht="18.75" customHeight="1" x14ac:dyDescent="0.15">
      <c r="A120" s="24"/>
      <c r="B120" s="358"/>
      <c r="C120" s="359"/>
      <c r="D120" s="359"/>
      <c r="E120" s="359"/>
      <c r="F120" s="360"/>
    </row>
    <row r="121" spans="1:6" ht="18.75" customHeight="1" x14ac:dyDescent="0.15">
      <c r="A121" s="24"/>
      <c r="B121" s="358"/>
      <c r="C121" s="359"/>
      <c r="D121" s="359"/>
      <c r="E121" s="359"/>
      <c r="F121" s="360"/>
    </row>
    <row r="122" spans="1:6" ht="18.75" customHeight="1" x14ac:dyDescent="0.15">
      <c r="A122" s="24"/>
      <c r="B122" s="358"/>
      <c r="C122" s="359"/>
      <c r="D122" s="359"/>
      <c r="E122" s="359"/>
      <c r="F122" s="360"/>
    </row>
    <row r="123" spans="1:6" ht="18.75" customHeight="1" x14ac:dyDescent="0.15">
      <c r="A123" s="24"/>
      <c r="B123" s="358"/>
      <c r="C123" s="359"/>
      <c r="D123" s="359"/>
      <c r="E123" s="359"/>
      <c r="F123" s="360"/>
    </row>
    <row r="124" spans="1:6" ht="18.75" customHeight="1" x14ac:dyDescent="0.15">
      <c r="A124" s="24"/>
      <c r="B124" s="358"/>
      <c r="C124" s="359"/>
      <c r="D124" s="359"/>
      <c r="E124" s="359"/>
      <c r="F124" s="360"/>
    </row>
    <row r="125" spans="1:6" ht="18.75" customHeight="1" x14ac:dyDescent="0.15">
      <c r="A125" s="24"/>
      <c r="B125" s="358"/>
      <c r="C125" s="359"/>
      <c r="D125" s="359"/>
      <c r="E125" s="359"/>
      <c r="F125" s="360"/>
    </row>
    <row r="126" spans="1:6" ht="18.75" customHeight="1" x14ac:dyDescent="0.15">
      <c r="A126" s="24"/>
      <c r="B126" s="358"/>
      <c r="C126" s="359"/>
      <c r="D126" s="359"/>
      <c r="E126" s="359"/>
      <c r="F126" s="360"/>
    </row>
    <row r="127" spans="1:6" ht="18.75" customHeight="1" x14ac:dyDescent="0.15">
      <c r="A127" s="24"/>
      <c r="B127" s="358"/>
      <c r="C127" s="359"/>
      <c r="D127" s="359"/>
      <c r="E127" s="359"/>
      <c r="F127" s="360"/>
    </row>
    <row r="128" spans="1:6" ht="18.75" customHeight="1" x14ac:dyDescent="0.15">
      <c r="A128" s="24"/>
      <c r="B128" s="361"/>
      <c r="C128" s="362"/>
      <c r="D128" s="362"/>
      <c r="E128" s="362"/>
      <c r="F128" s="363"/>
    </row>
  </sheetData>
  <mergeCells count="6">
    <mergeCell ref="B88:F128"/>
    <mergeCell ref="E1:F1"/>
    <mergeCell ref="E2:F2"/>
    <mergeCell ref="A4:F4"/>
    <mergeCell ref="B7:F44"/>
    <mergeCell ref="B46:F86"/>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Owner</cp:lastModifiedBy>
  <cp:lastPrinted>2021-05-14T01:43:45Z</cp:lastPrinted>
  <dcterms:created xsi:type="dcterms:W3CDTF">2011-06-14T05:32:50Z</dcterms:created>
  <dcterms:modified xsi:type="dcterms:W3CDTF">2021-07-01T07:00:06Z</dcterms:modified>
</cp:coreProperties>
</file>