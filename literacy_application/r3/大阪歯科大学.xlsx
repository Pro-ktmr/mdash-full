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PITTA\jinji\人事（共有）\☆．ＩＲ室\102_Society5.0（AI数理横断授業）\★2021年度申請\20210714-文科省指摘修正対応\"/>
    </mc:Choice>
  </mc:AlternateContent>
  <xr:revisionPtr revIDLastSave="0" documentId="13_ncr:1_{9F682C5B-F7D5-4410-9166-F911DBB77BBF}" xr6:coauthVersionLast="47" xr6:coauthVersionMax="47" xr10:uidLastSave="{00000000-0000-0000-0000-000000000000}"/>
  <bookViews>
    <workbookView xWindow="-120" yWindow="-120" windowWidth="29040" windowHeight="15840" tabRatio="885" xr2:uid="{00000000-000D-0000-FFFF-FFFF00000000}"/>
  </bookViews>
  <sheets>
    <sheet name="様式１　大学等概要" sheetId="8" r:id="rId1"/>
    <sheet name="様式２－１　プログラムを構成する授業科目" sheetId="9" r:id="rId2"/>
    <sheet name="様式２－２　プログラムを構成する授業科目" sheetId="37" r:id="rId3"/>
    <sheet name="様式３　履修者等数の実績" sheetId="31" r:id="rId4"/>
    <sheet name="様式4－１　プログラムの授業内容・概要" sheetId="34" r:id="rId5"/>
    <sheet name="様式4－２　プログラムの授業内容・概要" sheetId="38"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履修者等数の実績'!$A$1:$R$29</definedName>
    <definedName name="_xlnm.Print_Area" localSheetId="6">'様式５　教育の質・履修者数を向上させるための体制・計画'!$A$1:$E$134</definedName>
    <definedName name="_xlnm.Print_Area" localSheetId="7">'様式６　自己点検・評価'!$A$1:$J$20</definedName>
    <definedName name="_xlnm.Print_Area" localSheetId="8">'様式７　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8" i="31" l="1"/>
  <c r="R8" i="31" s="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28" i="31" l="1"/>
  <c r="R28" i="31" s="1"/>
</calcChain>
</file>

<file path=xl/sharedStrings.xml><?xml version="1.0" encoding="utf-8"?>
<sst xmlns="http://schemas.openxmlformats.org/spreadsheetml/2006/main" count="503" uniqueCount="322">
  <si>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</si>
  <si>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</si>
  <si>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</si>
  <si>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</si>
  <si>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</si>
  <si>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</si>
  <si>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</si>
  <si>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</si>
  <si>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</si>
  <si>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</si>
  <si>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</si>
  <si>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</si>
  <si>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</si>
  <si>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</si>
  <si>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</si>
  <si>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</si>
  <si>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</si>
  <si>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</si>
  <si>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</si>
  <si>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</si>
  <si>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</si>
  <si>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</si>
  <si>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</si>
  <si>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</si>
  <si>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</si>
  <si>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</si>
  <si>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</si>
  <si>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</si>
  <si>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</si>
  <si>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</si>
  <si>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</si>
  <si>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</si>
  <si>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</si>
  <si>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</si>
  <si>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</si>
  <si>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</si>
  <si>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</si>
  <si>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</si>
  <si>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</si>
  <si>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</si>
  <si>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</si>
  <si>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</si>
  <si>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</si>
  <si>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</si>
  <si>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</si>
  <si>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</si>
  <si>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</si>
  <si>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</si>
  <si>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</si>
  <si>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</si>
  <si>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</si>
  <si>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</si>
  <si>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</si>
  <si>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</si>
  <si>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</si>
  <si>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</si>
  <si>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</si>
  <si>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</si>
  <si>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</si>
  <si>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</si>
  <si>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</si>
  <si>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</si>
  <si>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</si>
  <si>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</si>
  <si>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</si>
  <si>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</si>
  <si>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</si>
  <si>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</si>
  <si>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</si>
  <si>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</si>
  <si>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</si>
  <si>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</si>
  <si>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</si>
  <si>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</si>
  <si>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</si>
  <si>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</si>
  <si>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</si>
  <si>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</si>
  <si>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</si>
  <si>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</si>
  <si>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</si>
  <si>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</si>
  <si>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</si>
  <si>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</si>
  <si>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</si>
  <si>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</si>
  <si>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</si>
  <si>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</si>
  <si>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</si>
  <si>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</si>
  <si>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</si>
  <si>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</si>
  <si>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</si>
  <si>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</si>
  <si>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</si>
  <si>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</si>
  <si>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</si>
  <si>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</si>
  <si>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</si>
  <si>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</si>
  <si>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</si>
  <si>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</si>
  <si>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</si>
  <si>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</si>
  <si>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</si>
  <si>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</si>
  <si>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</si>
  <si>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</si>
  <si>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</si>
  <si>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</si>
  <si>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</si>
  <si>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</si>
  <si>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</si>
  <si>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</si>
  <si>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</si>
  <si>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</si>
  <si>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</si>
  <si>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</si>
  <si>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</si>
  <si>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</si>
  <si>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</si>
  <si>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</si>
  <si>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</si>
  <si>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</si>
  <si>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</si>
  <si>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</si>
  <si>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</si>
  <si>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</si>
  <si>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</si>
  <si>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</si>
  <si>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</si>
  <si>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</si>
  <si>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</si>
  <si>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</si>
  <si>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</si>
  <si>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</si>
  <si>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大阪歯科大学</t>
    <rPh sb="0" eb="6">
      <t>オオサカシカダイガク</t>
    </rPh>
    <phoneticPr fontId="1"/>
  </si>
  <si>
    <t>学校法人　大阪歯科大学</t>
    <rPh sb="0" eb="2">
      <t>ガッコウ</t>
    </rPh>
    <rPh sb="2" eb="4">
      <t>ホウジン</t>
    </rPh>
    <rPh sb="5" eb="11">
      <t>オオサカシカダイガク</t>
    </rPh>
    <phoneticPr fontId="1"/>
  </si>
  <si>
    <t>私立大学</t>
  </si>
  <si>
    <t>大阪府枚方市楠葉花園町8番1号</t>
    <rPh sb="0" eb="3">
      <t>オオサカフ</t>
    </rPh>
    <rPh sb="3" eb="6">
      <t>ヒラカタシ</t>
    </rPh>
    <rPh sb="6" eb="8">
      <t>クズハ</t>
    </rPh>
    <rPh sb="8" eb="11">
      <t>ハナゾノチョウ</t>
    </rPh>
    <rPh sb="12" eb="13">
      <t>バン</t>
    </rPh>
    <rPh sb="14" eb="15">
      <t>ゴウ</t>
    </rPh>
    <phoneticPr fontId="1"/>
  </si>
  <si>
    <t>ODU歯科医療連携プログラム「数理・データサイエンス・AI領域」</t>
    <rPh sb="3" eb="5">
      <t>シカ</t>
    </rPh>
    <rPh sb="5" eb="7">
      <t>イリョウ</t>
    </rPh>
    <rPh sb="7" eb="9">
      <t>レンケイ</t>
    </rPh>
    <rPh sb="15" eb="17">
      <t>スウリ</t>
    </rPh>
    <rPh sb="29" eb="31">
      <t>リョウイキ</t>
    </rPh>
    <phoneticPr fontId="1"/>
  </si>
  <si>
    <t>令和２年度</t>
    <rPh sb="0" eb="2">
      <t>レイワ</t>
    </rPh>
    <rPh sb="3" eb="5">
      <t>ネンド</t>
    </rPh>
    <rPh sb="4" eb="5">
      <t>ド</t>
    </rPh>
    <phoneticPr fontId="1"/>
  </si>
  <si>
    <t>辻林　徹</t>
    <rPh sb="0" eb="2">
      <t>ツジバヤシ</t>
    </rPh>
    <rPh sb="3" eb="4">
      <t>トオル</t>
    </rPh>
    <phoneticPr fontId="1"/>
  </si>
  <si>
    <t>教育情報センター　所長</t>
    <rPh sb="0" eb="2">
      <t>キョウイク</t>
    </rPh>
    <rPh sb="2" eb="4">
      <t>ジョウホウ</t>
    </rPh>
    <rPh sb="9" eb="11">
      <t>ショチョウ</t>
    </rPh>
    <phoneticPr fontId="1"/>
  </si>
  <si>
    <t>大阪歯科大学学部等横断カリキュラム検討委員会</t>
    <phoneticPr fontId="1"/>
  </si>
  <si>
    <t>川添 堯彬</t>
    <phoneticPr fontId="1"/>
  </si>
  <si>
    <t>理事長・学長</t>
    <phoneticPr fontId="1"/>
  </si>
  <si>
    <t>数理・データサイエンス・AI教育領域運営小委員会</t>
    <phoneticPr fontId="1"/>
  </si>
  <si>
    <t>辻林　徹</t>
    <phoneticPr fontId="1"/>
  </si>
  <si>
    <t>教育情報センター　所長</t>
    <phoneticPr fontId="1"/>
  </si>
  <si>
    <t>認定教育プログラム</t>
  </si>
  <si>
    <t>大阪歯科大学法人事務局大学企画部IR室</t>
    <rPh sb="0" eb="6">
      <t>オオサカシカダイガク</t>
    </rPh>
    <rPh sb="6" eb="8">
      <t>ホウジン</t>
    </rPh>
    <rPh sb="8" eb="11">
      <t>ジムキョク</t>
    </rPh>
    <rPh sb="11" eb="13">
      <t>ダイガク</t>
    </rPh>
    <rPh sb="13" eb="15">
      <t>キカク</t>
    </rPh>
    <rPh sb="15" eb="16">
      <t>ブ</t>
    </rPh>
    <rPh sb="18" eb="19">
      <t>シツ</t>
    </rPh>
    <phoneticPr fontId="1"/>
  </si>
  <si>
    <t>sakashita@rn.osaka-dent.ac.jp</t>
  </si>
  <si>
    <t>坂下　和子</t>
    <rPh sb="0" eb="2">
      <t>サカシタ</t>
    </rPh>
    <rPh sb="3" eb="5">
      <t>カズコ</t>
    </rPh>
    <phoneticPr fontId="1"/>
  </si>
  <si>
    <t>072-864-3003</t>
  </si>
  <si>
    <t>様式２－１</t>
    <rPh sb="0" eb="2">
      <t>ヨウシキ</t>
    </rPh>
    <phoneticPr fontId="1"/>
  </si>
  <si>
    <t>学部・学科によって、修了要件は相違する</t>
  </si>
  <si>
    <t>数学</t>
  </si>
  <si>
    <t>臨床歯科医学情報科学</t>
  </si>
  <si>
    <t>微生物学Ⅱ</t>
  </si>
  <si>
    <t>衛生学・公衆衛生学</t>
  </si>
  <si>
    <t>社会歯科学・口腔衛生学</t>
  </si>
  <si>
    <t>歯科栄養学</t>
  </si>
  <si>
    <t>医療統計学</t>
  </si>
  <si>
    <t>歯科放射線学</t>
  </si>
  <si>
    <t>様式２－２</t>
    <rPh sb="0" eb="2">
      <t>ヨウシキ</t>
    </rPh>
    <phoneticPr fontId="1"/>
  </si>
  <si>
    <t>情報科学Ⅱ</t>
  </si>
  <si>
    <t>統計学</t>
  </si>
  <si>
    <t>社会福祉論Ⅰ</t>
  </si>
  <si>
    <t>社会調査学</t>
  </si>
  <si>
    <t>地域福祉論Ⅱ</t>
  </si>
  <si>
    <t>社会福祉調査学</t>
  </si>
  <si>
    <t>口腔デジタル基礎工学</t>
  </si>
  <si>
    <t>審美歯科学</t>
  </si>
  <si>
    <t>医科歯科連携学</t>
  </si>
  <si>
    <t>歯学部</t>
    <rPh sb="0" eb="3">
      <t>シガクブ</t>
    </rPh>
    <phoneticPr fontId="1"/>
  </si>
  <si>
    <t>医療保健学部</t>
    <rPh sb="0" eb="2">
      <t>イリョウ</t>
    </rPh>
    <rPh sb="2" eb="4">
      <t>ホケン</t>
    </rPh>
    <rPh sb="4" eb="6">
      <t>ガクブ</t>
    </rPh>
    <phoneticPr fontId="1"/>
  </si>
  <si>
    <t>様式４－１</t>
    <rPh sb="0" eb="2">
      <t>ヨウシキ</t>
    </rPh>
    <phoneticPr fontId="1"/>
  </si>
  <si>
    <t>臨床歯科医学情報科学</t>
    <phoneticPr fontId="1"/>
  </si>
  <si>
    <t>臨床歯科医学情報科学</t>
    <phoneticPr fontId="1"/>
  </si>
  <si>
    <t>衛生学・公衆衛生学</t>
    <rPh sb="0" eb="3">
      <t>エイセイガク</t>
    </rPh>
    <rPh sb="4" eb="6">
      <t>コウシュウ</t>
    </rPh>
    <rPh sb="6" eb="9">
      <t>エイセイガク</t>
    </rPh>
    <phoneticPr fontId="1"/>
  </si>
  <si>
    <t>社会歯科学・口腔衛生学</t>
    <rPh sb="0" eb="2">
      <t>シャカイ</t>
    </rPh>
    <rPh sb="2" eb="4">
      <t>シカ</t>
    </rPh>
    <rPh sb="4" eb="5">
      <t>ガク</t>
    </rPh>
    <rPh sb="6" eb="8">
      <t>コウクウ</t>
    </rPh>
    <rPh sb="8" eb="10">
      <t>エイセイ</t>
    </rPh>
    <rPh sb="10" eb="11">
      <t>ガク</t>
    </rPh>
    <phoneticPr fontId="1"/>
  </si>
  <si>
    <t>様式４－２</t>
    <rPh sb="0" eb="2">
      <t>ヨウシキ</t>
    </rPh>
    <phoneticPr fontId="1"/>
  </si>
  <si>
    <t>口腔デジタル基礎工学</t>
    <rPh sb="0" eb="2">
      <t>コウクウ</t>
    </rPh>
    <rPh sb="6" eb="8">
      <t>キソ</t>
    </rPh>
    <rPh sb="8" eb="10">
      <t>コウガク</t>
    </rPh>
    <phoneticPr fontId="1"/>
  </si>
  <si>
    <t>大阪歯科大学学部等横断カリキュラム検討委員会規程</t>
  </si>
  <si>
    <t>（委員長）理事長・学長　（川添 堯彬）
（委員）
歯学部学部長（理事長・学長　川添 堯彬）
医療保健学部学部長（副学長　今井弘一）
教務部長・歯学部カリキュラム委員会委員長（副学長　田中昭男）
医療保健学部カリキュラム委員会委員長（医療保健学部口腔工学科長　柿本和俊）
教育情報センター所長（物理学教室主任教授　辻林徹）
人権教育室（専任教授　樫則章）
医療保健学部口腔保健学科（教授　濱島淑惠）
法人事務局長（局長　児玉孝）
大学事務部長（部長　東真一郎）
大学企画部長（部長　髙須聡）
歯学部教務学生課（課長　小池　政善）
医療保健学部事務室（課長　加奥奏哉）
大学企画部IR室（主任　坂下和子）</t>
    <rPh sb="1" eb="4">
      <t>イインチョウ</t>
    </rPh>
    <rPh sb="21" eb="23">
      <t>イイン</t>
    </rPh>
    <rPh sb="87" eb="88">
      <t>フク</t>
    </rPh>
    <rPh sb="88" eb="90">
      <t>ガクチョウ</t>
    </rPh>
    <rPh sb="91" eb="93">
      <t>タナカ</t>
    </rPh>
    <rPh sb="93" eb="95">
      <t>アキオ</t>
    </rPh>
    <rPh sb="116" eb="118">
      <t>イリョウ</t>
    </rPh>
    <rPh sb="118" eb="120">
      <t>ホケン</t>
    </rPh>
    <rPh sb="120" eb="122">
      <t>ガクブ</t>
    </rPh>
    <rPh sb="122" eb="124">
      <t>コウクウ</t>
    </rPh>
    <rPh sb="124" eb="127">
      <t>コウガッカ</t>
    </rPh>
    <rPh sb="127" eb="128">
      <t>チョウ</t>
    </rPh>
    <rPh sb="135" eb="137">
      <t>キョウイク</t>
    </rPh>
    <rPh sb="137" eb="139">
      <t>ジョウホウ</t>
    </rPh>
    <rPh sb="143" eb="145">
      <t>ショチョウ</t>
    </rPh>
    <rPh sb="146" eb="149">
      <t>ブツリガク</t>
    </rPh>
    <rPh sb="149" eb="151">
      <t>キョウシツ</t>
    </rPh>
    <rPh sb="151" eb="153">
      <t>シュニン</t>
    </rPh>
    <rPh sb="153" eb="155">
      <t>キョウジュ</t>
    </rPh>
    <rPh sb="156" eb="158">
      <t>ツジバヤシ</t>
    </rPh>
    <rPh sb="158" eb="159">
      <t>トオル</t>
    </rPh>
    <rPh sb="161" eb="163">
      <t>ジンケン</t>
    </rPh>
    <rPh sb="163" eb="165">
      <t>キョウイク</t>
    </rPh>
    <rPh sb="165" eb="166">
      <t>シツ</t>
    </rPh>
    <rPh sb="167" eb="169">
      <t>センニン</t>
    </rPh>
    <rPh sb="169" eb="171">
      <t>キョウジュ</t>
    </rPh>
    <rPh sb="199" eb="201">
      <t>ホウジン</t>
    </rPh>
    <rPh sb="201" eb="203">
      <t>ジム</t>
    </rPh>
    <rPh sb="203" eb="205">
      <t>キョクチョウ</t>
    </rPh>
    <rPh sb="206" eb="208">
      <t>キョクチョウ</t>
    </rPh>
    <rPh sb="209" eb="211">
      <t>コダマ</t>
    </rPh>
    <rPh sb="211" eb="212">
      <t>タカシ</t>
    </rPh>
    <rPh sb="214" eb="216">
      <t>ダイガク</t>
    </rPh>
    <rPh sb="216" eb="218">
      <t>ジム</t>
    </rPh>
    <rPh sb="218" eb="220">
      <t>ブチョウ</t>
    </rPh>
    <rPh sb="221" eb="223">
      <t>ブチョウ</t>
    </rPh>
    <rPh sb="224" eb="225">
      <t>ヒガシ</t>
    </rPh>
    <rPh sb="230" eb="232">
      <t>ダイガク</t>
    </rPh>
    <rPh sb="232" eb="234">
      <t>キカク</t>
    </rPh>
    <rPh sb="234" eb="236">
      <t>ブチョウ</t>
    </rPh>
    <rPh sb="237" eb="239">
      <t>ブチョウ</t>
    </rPh>
    <rPh sb="240" eb="242">
      <t>タカス</t>
    </rPh>
    <rPh sb="242" eb="243">
      <t>サトシ</t>
    </rPh>
    <rPh sb="245" eb="248">
      <t>シガクブ</t>
    </rPh>
    <rPh sb="248" eb="250">
      <t>キョウム</t>
    </rPh>
    <rPh sb="250" eb="252">
      <t>ガクセイ</t>
    </rPh>
    <rPh sb="252" eb="253">
      <t>カ</t>
    </rPh>
    <rPh sb="254" eb="256">
      <t>カチョウ</t>
    </rPh>
    <rPh sb="264" eb="266">
      <t>イリョウ</t>
    </rPh>
    <rPh sb="266" eb="268">
      <t>ホケン</t>
    </rPh>
    <rPh sb="268" eb="270">
      <t>ガクブ</t>
    </rPh>
    <rPh sb="283" eb="285">
      <t>ダイガク</t>
    </rPh>
    <rPh sb="285" eb="287">
      <t>キカク</t>
    </rPh>
    <rPh sb="287" eb="288">
      <t>ブ</t>
    </rPh>
    <rPh sb="290" eb="291">
      <t>シツ</t>
    </rPh>
    <rPh sb="292" eb="294">
      <t>シュニン</t>
    </rPh>
    <rPh sb="295" eb="297">
      <t>サカシタ</t>
    </rPh>
    <rPh sb="297" eb="299">
      <t>カズコ</t>
    </rPh>
    <phoneticPr fontId="1"/>
  </si>
  <si>
    <t>微生物学Ⅰ</t>
    <rPh sb="0" eb="4">
      <t>ビセイブツガク</t>
    </rPh>
    <phoneticPr fontId="1"/>
  </si>
  <si>
    <t>微生物学Ⅱ</t>
    <rPh sb="0" eb="4">
      <t>ビセイブツガク</t>
    </rPh>
    <phoneticPr fontId="1"/>
  </si>
  <si>
    <t>情報科学</t>
    <rPh sb="0" eb="2">
      <t>ジョウホウ</t>
    </rPh>
    <rPh sb="2" eb="4">
      <t>カガク</t>
    </rPh>
    <phoneticPr fontId="1"/>
  </si>
  <si>
    <t>歯科栄養学</t>
    <rPh sb="0" eb="5">
      <t>シカエイヨウガク</t>
    </rPh>
    <phoneticPr fontId="1"/>
  </si>
  <si>
    <t>歯科医療（安全）管理学</t>
    <rPh sb="0" eb="4">
      <t>シカイリョウ</t>
    </rPh>
    <rPh sb="5" eb="7">
      <t>アンゼン</t>
    </rPh>
    <rPh sb="8" eb="11">
      <t>カンリガク</t>
    </rPh>
    <phoneticPr fontId="1"/>
  </si>
  <si>
    <t>小児歯科学</t>
    <rPh sb="0" eb="2">
      <t>ショウニ</t>
    </rPh>
    <rPh sb="2" eb="4">
      <t>シカ</t>
    </rPh>
    <rPh sb="4" eb="5">
      <t>ガク</t>
    </rPh>
    <phoneticPr fontId="1"/>
  </si>
  <si>
    <t>数学</t>
    <phoneticPr fontId="1"/>
  </si>
  <si>
    <t>（１）　データサイエンスやAIを活用し、歯科医療の専門職に求められる倫理観・医療安全、地域包括ケアシステム、健康長寿社会などの多様化するニーズに対応する力
（２）　データサイエンスやAIの特性を理解し、種々の情報を自ら収集・分析する科学的探究心を涵養し、自ら問題を発見し、解決する力
（３）　データサイエンスやAIの知識や技術を活用し、多職種連携・チーム医療の実践に向けて主体的に取り組む力</t>
    <rPh sb="16" eb="18">
      <t>カツヨウ</t>
    </rPh>
    <rPh sb="94" eb="96">
      <t>トクセイ</t>
    </rPh>
    <rPh sb="97" eb="99">
      <t>リカイ</t>
    </rPh>
    <phoneticPr fontId="1"/>
  </si>
  <si>
    <t>疫学調査の方法 （4）</t>
    <phoneticPr fontId="1"/>
  </si>
  <si>
    <t>疫学とEBMの目的 （3）</t>
    <phoneticPr fontId="1"/>
  </si>
  <si>
    <t>スクリーニング （5）</t>
    <phoneticPr fontId="1"/>
  </si>
  <si>
    <t>歯科疾患の疫学特性 （17）</t>
    <phoneticPr fontId="1"/>
  </si>
  <si>
    <t>微生物学総論（次世代シーケンサー解析によるヒト常在細菌叢のプロファイリングの活用）（1）</t>
    <phoneticPr fontId="1"/>
  </si>
  <si>
    <t>口腔微生物学総論（次世代シーケンサー解析によるヒト常在細菌叢のプロファイリングの活用）（1）</t>
    <phoneticPr fontId="1"/>
  </si>
  <si>
    <t>医用画像処理、CAD/CAM、光造形、メディカルメカトロニクス、シミュレーション、データベース（11・13）</t>
    <phoneticPr fontId="1"/>
  </si>
  <si>
    <t>電子カルテ（企業の実データに基づいた電子カルテの分析）（12）</t>
    <phoneticPr fontId="1"/>
  </si>
  <si>
    <t>保健医療統計・保健医療情報 （7）</t>
    <phoneticPr fontId="1"/>
  </si>
  <si>
    <t>国民健康・栄養調査　食事摂取基準 （13）</t>
    <phoneticPr fontId="1"/>
  </si>
  <si>
    <t>デジタルイメージングシステム（デジタルエックス線システム） （8）</t>
    <phoneticPr fontId="1"/>
  </si>
  <si>
    <t>デジタル画像処理、画質理解・画像評価 （32・35)（基礎実習）</t>
    <phoneticPr fontId="1"/>
  </si>
  <si>
    <t>レポート作成の基本（表計算ソフト活用によるﾚﾎﾟｰﾄ作成） （13）</t>
    <rPh sb="4" eb="6">
      <t>サクセイ</t>
    </rPh>
    <rPh sb="7" eb="9">
      <t>キホン</t>
    </rPh>
    <phoneticPr fontId="1"/>
  </si>
  <si>
    <t>データサイエンス入門（２）（表計算ソフトによるデータベース機能の活用） （12）</t>
    <rPh sb="29" eb="31">
      <t>キノウ</t>
    </rPh>
    <phoneticPr fontId="1"/>
  </si>
  <si>
    <t>データサイエンス入門（１）（表計算ソフトによるグラフ作成・関数） （9～11）</t>
    <phoneticPr fontId="1"/>
  </si>
  <si>
    <t>細菌の細胞形態・代謝・遺伝（次世代シーケンサー解析によるヒト常在細菌叢のプロファイリングの活用） （4）　</t>
    <phoneticPr fontId="1"/>
  </si>
  <si>
    <t>医用画像処理、CAD/CAM、光造形、メディカルメカトロニクス、シミュレーション、データベース（11・13）</t>
    <phoneticPr fontId="1"/>
  </si>
  <si>
    <t>電子カルテ（企業の実データに基づいた電子カルテの分析） （12）</t>
    <phoneticPr fontId="1"/>
  </si>
  <si>
    <t>栄養ケアマネジメント （4）</t>
    <phoneticPr fontId="1"/>
  </si>
  <si>
    <t>情報倫理（情報化社会特有の危険性と対処法が理解できる） （1）</t>
    <phoneticPr fontId="1"/>
  </si>
  <si>
    <t>臨床歯科医学情報科学総論1（医療情報倫理の重要性） （1）</t>
    <phoneticPr fontId="1"/>
  </si>
  <si>
    <t>臨床歯科医学情報科学総論2（患者情報のセキュリティの重要性） （2）</t>
    <phoneticPr fontId="1"/>
  </si>
  <si>
    <t>歯科医院の医療情報ネットワーク（医療ネットワークの危険性／患者デンタルスタッフの保護／医療ネットワークの盲点）（5）</t>
    <phoneticPr fontId="1"/>
  </si>
  <si>
    <t>情報倫理（スタッフへの情報倫理教育） （8）</t>
    <rPh sb="0" eb="2">
      <t>ジョウホウ</t>
    </rPh>
    <rPh sb="2" eb="4">
      <t>リンリ</t>
    </rPh>
    <phoneticPr fontId="1"/>
  </si>
  <si>
    <t>・ 一見、関連性がないように見える歯科医療分野の専門科目がどのように数理・データサイエンス・AI分野と結びついているのか、受講者自身が実習・演習を行い、これらの領域と歯科医療専門領域の有機的な連関を理解する。
・ 確率統計に関連する基本的な数学を学び、数量的汎用能力を身に付ける。
・ 初等数学・微積分・確率統計の基礎を学ぶことにより、身の回りの種々の情報を自ら分析することができる論理的思考力と数量的汎用能力を身に付ける。
・ 小児から高齢者まで、さまざまな実データ・実課題を用いた演習をとおして「データを読む、説明する、扱う」といった数理・データサイエンス・ＡＩの基本的な活用法に関することを学び、EBM（Evidence-Based Medicine）の実践手法を身につける。</t>
    <rPh sb="67" eb="69">
      <t>ジッシュウ</t>
    </rPh>
    <rPh sb="70" eb="72">
      <t>エンシュウ</t>
    </rPh>
    <rPh sb="73" eb="74">
      <t>オコナ</t>
    </rPh>
    <rPh sb="80" eb="82">
      <t>リョウイキ</t>
    </rPh>
    <rPh sb="83" eb="85">
      <t>シカ</t>
    </rPh>
    <rPh sb="85" eb="87">
      <t>イリョウ</t>
    </rPh>
    <rPh sb="87" eb="89">
      <t>センモン</t>
    </rPh>
    <rPh sb="89" eb="91">
      <t>リョウイキ</t>
    </rPh>
    <rPh sb="92" eb="95">
      <t>ユウキテキ</t>
    </rPh>
    <rPh sb="96" eb="98">
      <t>レンカン</t>
    </rPh>
    <rPh sb="99" eb="101">
      <t>リカイ</t>
    </rPh>
    <rPh sb="330" eb="332">
      <t>ジッセン</t>
    </rPh>
    <rPh sb="332" eb="334">
      <t>シュホウ</t>
    </rPh>
    <rPh sb="335" eb="336">
      <t>ミ</t>
    </rPh>
    <phoneticPr fontId="1"/>
  </si>
  <si>
    <t>カイ二乗検定とZ検定／分散解析とノンパラメトリック法／回帰／Bayes推定／MCMC法　（23～29）</t>
    <phoneticPr fontId="1"/>
  </si>
  <si>
    <t>実習３　細菌の測定と抗菌薬の効果・薬剤耐性 （19～21）</t>
    <phoneticPr fontId="1"/>
  </si>
  <si>
    <t>国民健康・栄養調査食事摂取基準 （13）</t>
    <phoneticPr fontId="1"/>
  </si>
  <si>
    <t>各種研究デザインと根拠の水準 （2）</t>
    <phoneticPr fontId="1"/>
  </si>
  <si>
    <t>P値／対応のある差の平均／Welch法／ｶｲ二乗検定・Z検定／ﾉﾝﾊﾟﾗﾒｯﾄﾘｯｸ法 （3～14）</t>
    <phoneticPr fontId="1"/>
  </si>
  <si>
    <t>栄養スクリーニング・アセスメント （5・6）</t>
    <phoneticPr fontId="1"/>
  </si>
  <si>
    <t>患者と歯科医師の関係(6. 患者のプライバシー/7. 患者情報の守秘義務) （5）</t>
    <phoneticPr fontId="1"/>
  </si>
  <si>
    <t>医療と記録・法(5. 個人情報の保護) （12）</t>
    <phoneticPr fontId="1"/>
  </si>
  <si>
    <t>臨床歯科医学情報科学総論1（臨床歯科医学情報科学の意義） （1）</t>
    <rPh sb="0" eb="2">
      <t>リンショウ</t>
    </rPh>
    <rPh sb="2" eb="4">
      <t>シカ</t>
    </rPh>
    <rPh sb="4" eb="6">
      <t>イガク</t>
    </rPh>
    <rPh sb="6" eb="8">
      <t>ジョウホウ</t>
    </rPh>
    <rPh sb="8" eb="10">
      <t>カガク</t>
    </rPh>
    <rPh sb="10" eb="12">
      <t>ソウロン</t>
    </rPh>
    <rPh sb="14" eb="16">
      <t>リンショウ</t>
    </rPh>
    <rPh sb="16" eb="18">
      <t>シカ</t>
    </rPh>
    <rPh sb="18" eb="20">
      <t>イガク</t>
    </rPh>
    <rPh sb="20" eb="22">
      <t>ジョウホウ</t>
    </rPh>
    <rPh sb="22" eb="24">
      <t>カガク</t>
    </rPh>
    <rPh sb="25" eb="27">
      <t>イギ</t>
    </rPh>
    <phoneticPr fontId="1"/>
  </si>
  <si>
    <t>臨床歯科医学情報科学総論2（歯科医師の視点・患者の視点からみた情報科学） （2）</t>
    <rPh sb="0" eb="2">
      <t>リンショウ</t>
    </rPh>
    <rPh sb="2" eb="4">
      <t>シカ</t>
    </rPh>
    <rPh sb="4" eb="6">
      <t>イガク</t>
    </rPh>
    <rPh sb="6" eb="8">
      <t>ジョウホウ</t>
    </rPh>
    <rPh sb="8" eb="10">
      <t>カガク</t>
    </rPh>
    <rPh sb="10" eb="12">
      <t>ソウロン</t>
    </rPh>
    <phoneticPr fontId="1"/>
  </si>
  <si>
    <t>コンピュータと歯科医院ネットワーク（各種情報の分類／医療用情報機器類のハード・ソフトウェア　／医療情報ネットワーク等） （3）</t>
    <rPh sb="7" eb="9">
      <t>シカ</t>
    </rPh>
    <rPh sb="9" eb="11">
      <t>イイン</t>
    </rPh>
    <rPh sb="18" eb="20">
      <t>カクシュ</t>
    </rPh>
    <rPh sb="20" eb="22">
      <t>ジョウホウ</t>
    </rPh>
    <rPh sb="23" eb="25">
      <t>ブンルイ</t>
    </rPh>
    <rPh sb="26" eb="29">
      <t>イリョウヨウ</t>
    </rPh>
    <rPh sb="29" eb="31">
      <t>ジョウホウ</t>
    </rPh>
    <rPh sb="31" eb="33">
      <t>キキ</t>
    </rPh>
    <rPh sb="33" eb="34">
      <t>ルイ</t>
    </rPh>
    <rPh sb="57" eb="58">
      <t>ナド</t>
    </rPh>
    <phoneticPr fontId="1"/>
  </si>
  <si>
    <t>歯科医院の医療情報ネットワーク（歯科医院における地域医療ネットワーク） （4）</t>
    <rPh sb="0" eb="2">
      <t>シカ</t>
    </rPh>
    <rPh sb="2" eb="4">
      <t>イイン</t>
    </rPh>
    <rPh sb="5" eb="7">
      <t>イリョウ</t>
    </rPh>
    <rPh sb="7" eb="9">
      <t>ジョウホウ</t>
    </rPh>
    <rPh sb="16" eb="18">
      <t>シカ</t>
    </rPh>
    <rPh sb="18" eb="20">
      <t>イイン</t>
    </rPh>
    <rPh sb="24" eb="26">
      <t>チイキ</t>
    </rPh>
    <rPh sb="26" eb="28">
      <t>イリョウ</t>
    </rPh>
    <phoneticPr fontId="1"/>
  </si>
  <si>
    <t>歯科医療における情報システム2（診療情報システム・院内LANシステムの構築等）（6）</t>
    <rPh sb="0" eb="2">
      <t>シカ</t>
    </rPh>
    <rPh sb="2" eb="4">
      <t>イリョウ</t>
    </rPh>
    <rPh sb="8" eb="10">
      <t>ジョウホウ</t>
    </rPh>
    <rPh sb="16" eb="18">
      <t>シンリョウ</t>
    </rPh>
    <rPh sb="18" eb="20">
      <t>ジョウホウ</t>
    </rPh>
    <rPh sb="25" eb="27">
      <t>インナイ</t>
    </rPh>
    <rPh sb="35" eb="37">
      <t>コウチク</t>
    </rPh>
    <rPh sb="37" eb="38">
      <t>ナド</t>
    </rPh>
    <phoneticPr fontId="1"/>
  </si>
  <si>
    <t>歯科医院の医療情報ネットワーク（歯科医院における地域医療ネットワーク、危険性、盲点等） （4・5）</t>
    <rPh sb="0" eb="2">
      <t>シカ</t>
    </rPh>
    <rPh sb="2" eb="4">
      <t>イイン</t>
    </rPh>
    <rPh sb="5" eb="7">
      <t>イリョウ</t>
    </rPh>
    <rPh sb="7" eb="9">
      <t>ジョウホウ</t>
    </rPh>
    <rPh sb="16" eb="18">
      <t>シカ</t>
    </rPh>
    <rPh sb="18" eb="20">
      <t>イイン</t>
    </rPh>
    <rPh sb="24" eb="26">
      <t>チイキ</t>
    </rPh>
    <rPh sb="26" eb="28">
      <t>イリョウ</t>
    </rPh>
    <rPh sb="35" eb="38">
      <t>キケンセイ</t>
    </rPh>
    <rPh sb="39" eb="41">
      <t>モウテン</t>
    </rPh>
    <rPh sb="41" eb="42">
      <t>トウ</t>
    </rPh>
    <phoneticPr fontId="1"/>
  </si>
  <si>
    <t>論理と集合 （1）、整数 （2）、行列 （5）</t>
    <rPh sb="3" eb="5">
      <t>シュウゴウ</t>
    </rPh>
    <rPh sb="10" eb="12">
      <t>セイスウ</t>
    </rPh>
    <phoneticPr fontId="1"/>
  </si>
  <si>
    <t>仮説検定／t検定／自由度 （19～22）</t>
    <phoneticPr fontId="1"/>
  </si>
  <si>
    <t>離散分布／期待値／正規分布 （15～１8）</t>
    <phoneticPr fontId="1"/>
  </si>
  <si>
    <t>小児の口腔健康管理（地域歯科保健）（日本小児歯科学会実施調査データ等使用）  （28）</t>
    <rPh sb="33" eb="34">
      <t>トウ</t>
    </rPh>
    <phoneticPr fontId="1"/>
  </si>
  <si>
    <t>児童虐待（日本小児歯科学会実施調査データ等使用） （27）</t>
    <rPh sb="20" eb="21">
      <t>トウ</t>
    </rPh>
    <phoneticPr fontId="1"/>
  </si>
  <si>
    <t>小児の歯の外傷①（日本小児歯科学会実施調査データ等使用） （20）</t>
    <rPh sb="24" eb="25">
      <t>トウ</t>
    </rPh>
    <phoneticPr fontId="1"/>
  </si>
  <si>
    <t>小児の歯周疾患（日本小児歯科学会実施調査データ等使用） （11）</t>
    <rPh sb="23" eb="24">
      <t>トウ</t>
    </rPh>
    <phoneticPr fontId="1"/>
  </si>
  <si>
    <t>幼若永久歯の齲蝕（日本小児歯科学会実施調査データ等使用） （9）</t>
    <rPh sb="24" eb="25">
      <t>トウ</t>
    </rPh>
    <phoneticPr fontId="1"/>
  </si>
  <si>
    <t>乳歯齲蝕（日本小児歯科学会実施調査データ等使用） （8）</t>
    <rPh sb="20" eb="21">
      <t>トウ</t>
    </rPh>
    <phoneticPr fontId="1"/>
  </si>
  <si>
    <t>歯の発育と異常　（日本小児歯科学会実施調査データ等使用） （5）</t>
    <rPh sb="17" eb="19">
      <t>ジッシ</t>
    </rPh>
    <rPh sb="19" eb="21">
      <t>チョウサ</t>
    </rPh>
    <rPh sb="24" eb="25">
      <t>トウ</t>
    </rPh>
    <rPh sb="25" eb="27">
      <t>シヨウ</t>
    </rPh>
    <phoneticPr fontId="1"/>
  </si>
  <si>
    <t>情報科学Ⅰ</t>
    <rPh sb="0" eb="2">
      <t>ジョウホウ</t>
    </rPh>
    <rPh sb="2" eb="4">
      <t>カガク</t>
    </rPh>
    <phoneticPr fontId="1"/>
  </si>
  <si>
    <t>情報科学Ⅱ</t>
    <phoneticPr fontId="1"/>
  </si>
  <si>
    <t>（１）　データサイエンスやAIを活用し、歯科医療・福祉の専門職に求められる倫理観・医療安全、地域包括ケアシステム、健康長寿社会などの多様化するニーズに対応する力
（２）　データサイエンスやAIの特性を理解し、種々の情報を自ら収集・分析する科学的探究心を涵養し、自ら問題を発見し、解決する力
（３）　データサイエンスやAIの知識や技術を活用し、多職種連携・チーム医療の実践に向けて主体的に取り組む力</t>
    <rPh sb="16" eb="18">
      <t>カツヨウ</t>
    </rPh>
    <rPh sb="25" eb="27">
      <t>フクシ</t>
    </rPh>
    <rPh sb="97" eb="99">
      <t>トクセイ</t>
    </rPh>
    <rPh sb="100" eb="102">
      <t>リカイ</t>
    </rPh>
    <phoneticPr fontId="1"/>
  </si>
  <si>
    <t>CAD/CAMでの製造工程の流れと特徴 （3）</t>
    <rPh sb="9" eb="11">
      <t>セイゾウ</t>
    </rPh>
    <rPh sb="11" eb="13">
      <t>コウテイ</t>
    </rPh>
    <rPh sb="14" eb="15">
      <t>ナガ</t>
    </rPh>
    <rPh sb="17" eb="19">
      <t>トクチョウ</t>
    </rPh>
    <phoneticPr fontId="1"/>
  </si>
  <si>
    <t>歯科用CAD/CAMシステムの構造と特性／ 歯科用CAMによる加工方法と特徴 （5・6）</t>
    <phoneticPr fontId="1"/>
  </si>
  <si>
    <t>歯科における三次元積層造形法（アディティブ・マニュファクチャリング）技術の特徴 （7）</t>
    <rPh sb="0" eb="2">
      <t>シカ</t>
    </rPh>
    <rPh sb="6" eb="9">
      <t>サンジゲン</t>
    </rPh>
    <rPh sb="9" eb="11">
      <t>セキソウ</t>
    </rPh>
    <rPh sb="11" eb="13">
      <t>ゾウケイ</t>
    </rPh>
    <rPh sb="13" eb="14">
      <t>ホウ</t>
    </rPh>
    <phoneticPr fontId="1"/>
  </si>
  <si>
    <t>CAD/CAMシステムで製作した装置の臨床応用 （8）</t>
    <phoneticPr fontId="1"/>
  </si>
  <si>
    <t>医療連携ツールと多職種が用いる代表的評価法（地域連携クリティカルパス／IT活用やデータ集積など）（4）</t>
    <phoneticPr fontId="1"/>
  </si>
  <si>
    <t>社会調査とは／質的調査方法とは／リサーチマインド （1～3）</t>
    <phoneticPr fontId="1"/>
  </si>
  <si>
    <t>社会福祉をとりまく状況－家族・労働・少子高齢化 （2）</t>
    <phoneticPr fontId="1"/>
  </si>
  <si>
    <t>社会福祉制度の体系－生活保護・児童福祉・高齢者福祉・障がい者福祉 （5）</t>
    <phoneticPr fontId="1"/>
  </si>
  <si>
    <t>地域における福祉ニーズの把握方法と実際 （7）</t>
    <phoneticPr fontId="1"/>
  </si>
  <si>
    <t>デジタルデンティストリー（CAD/CAMテクノロジー／CAD/CAMテクノロジーに用いる材料および修復物）（7）</t>
    <phoneticPr fontId="1"/>
  </si>
  <si>
    <t>情報倫理 （1）</t>
    <phoneticPr fontId="1"/>
  </si>
  <si>
    <t>社会調査における倫理と個人情報の保護 （4）</t>
    <phoneticPr fontId="1"/>
  </si>
  <si>
    <t>社会調査における倫理と個人情報の保護 （2）</t>
    <phoneticPr fontId="1"/>
  </si>
  <si>
    <t>数式の扱いと数値の可視化（1 数式の利用（相対参照と絶対参照）2 グラフの種類と作成）（1）</t>
    <phoneticPr fontId="1"/>
  </si>
  <si>
    <t>関数を利用したデータ処理（合計、平均、最大最小、順位／アルゴリズムなど）（2～4）</t>
    <phoneticPr fontId="1"/>
  </si>
  <si>
    <t>基本統計量の算出（データベース関数、統計用関数／グラフ機能を利用した分析、散布図と単回帰分析）（5）</t>
    <phoneticPr fontId="1"/>
  </si>
  <si>
    <t>検定用ツールを活用した検定 （7・8）</t>
    <phoneticPr fontId="1"/>
  </si>
  <si>
    <t>統計学とは・記述統計学① （1）</t>
    <phoneticPr fontId="1"/>
  </si>
  <si>
    <t>記述統計学②・正規分布の特性 （2）</t>
    <phoneticPr fontId="1"/>
  </si>
  <si>
    <t>推計学・母平均の検定 （3）</t>
    <phoneticPr fontId="1"/>
  </si>
  <si>
    <t>１標本ｔ検定 （4）</t>
    <phoneticPr fontId="1"/>
  </si>
  <si>
    <t>2×2分割表の検定 （8）</t>
    <phoneticPr fontId="1"/>
  </si>
  <si>
    <t>社会調査とは／社会調査の対象と目的／社会調査の種類 （1）</t>
    <phoneticPr fontId="1"/>
  </si>
  <si>
    <t>量的調査法と量的データの分析（記述統計） （5）</t>
    <phoneticPr fontId="1"/>
  </si>
  <si>
    <t>量的データの分析（相関・差の検定） （6・7）</t>
    <phoneticPr fontId="1"/>
  </si>
  <si>
    <t>・ プログラムを構成する開講科目の過半数が「必修科目」であることから、在籍するすべての学部・学科の学生が受講可能なプログラムとして開設した。
・ 毎年度実施する自己点検・評価の結果を踏まえて、プログラムの改善を行うにあたっては、課程年度による差が生じないよう、プログラム受講対象者全員が受講できるよう配慮する。
・ 本学のLMS（GoogleClassroom、SHISIHN-web、Aポータル等）を活用し、オンデマンドコンテンツとして配信が可能な体制を整えている。</t>
    <rPh sb="35" eb="37">
      <t>ザイセキ</t>
    </rPh>
    <rPh sb="43" eb="45">
      <t>ガクブ</t>
    </rPh>
    <rPh sb="46" eb="48">
      <t>ガッカ</t>
    </rPh>
    <rPh sb="49" eb="51">
      <t>ガクセイ</t>
    </rPh>
    <rPh sb="52" eb="54">
      <t>ジュコウ</t>
    </rPh>
    <rPh sb="54" eb="56">
      <t>カノウ</t>
    </rPh>
    <rPh sb="65" eb="67">
      <t>カイセツ</t>
    </rPh>
    <rPh sb="73" eb="75">
      <t>マイネン</t>
    </rPh>
    <rPh sb="75" eb="76">
      <t>ド</t>
    </rPh>
    <rPh sb="76" eb="78">
      <t>ジッシ</t>
    </rPh>
    <rPh sb="80" eb="82">
      <t>ジコ</t>
    </rPh>
    <rPh sb="82" eb="84">
      <t>テンケン</t>
    </rPh>
    <rPh sb="85" eb="87">
      <t>ヒョウカ</t>
    </rPh>
    <rPh sb="88" eb="90">
      <t>ケッカ</t>
    </rPh>
    <rPh sb="91" eb="92">
      <t>フ</t>
    </rPh>
    <rPh sb="102" eb="104">
      <t>カイゼン</t>
    </rPh>
    <rPh sb="105" eb="106">
      <t>オコナ</t>
    </rPh>
    <rPh sb="114" eb="116">
      <t>カテイ</t>
    </rPh>
    <rPh sb="116" eb="118">
      <t>ネンド</t>
    </rPh>
    <rPh sb="121" eb="122">
      <t>サ</t>
    </rPh>
    <rPh sb="123" eb="124">
      <t>ショウ</t>
    </rPh>
    <rPh sb="135" eb="137">
      <t>ジュコウ</t>
    </rPh>
    <rPh sb="137" eb="139">
      <t>タイショウ</t>
    </rPh>
    <rPh sb="139" eb="140">
      <t>シャ</t>
    </rPh>
    <rPh sb="140" eb="142">
      <t>ゼンイン</t>
    </rPh>
    <rPh sb="143" eb="145">
      <t>ジュコウ</t>
    </rPh>
    <rPh sb="150" eb="152">
      <t>ハイリョ</t>
    </rPh>
    <rPh sb="158" eb="160">
      <t>ホンガク</t>
    </rPh>
    <rPh sb="198" eb="199">
      <t>トウ</t>
    </rPh>
    <rPh sb="201" eb="203">
      <t>カツヨウ</t>
    </rPh>
    <rPh sb="219" eb="221">
      <t>ハイシン</t>
    </rPh>
    <rPh sb="222" eb="224">
      <t>カノウ</t>
    </rPh>
    <rPh sb="225" eb="227">
      <t>タイセイ</t>
    </rPh>
    <rPh sb="228" eb="229">
      <t>トトノ</t>
    </rPh>
    <phoneticPr fontId="1"/>
  </si>
  <si>
    <t>・ 両学部・学科とも必修科目を基盤とするプログラム編成であることから、別途の履修登録手続きは不要とした。
・ 本学のLMS（GoogleClassroom、SHISIHN-web、Aポータル等）によるお知らせのほか、大学ホームページへの掲載、学年毎のホームルーム等で説明を行うことで周知を行う。
・ 令和３年度からは、プログラムマップ等をわかりやすくデザインしたリーフレットを作成し、配布する。</t>
    <rPh sb="2" eb="3">
      <t>リョウ</t>
    </rPh>
    <rPh sb="3" eb="5">
      <t>ガクブ</t>
    </rPh>
    <rPh sb="6" eb="8">
      <t>ガッカ</t>
    </rPh>
    <rPh sb="10" eb="12">
      <t>ヒッシュウ</t>
    </rPh>
    <rPh sb="12" eb="14">
      <t>カモク</t>
    </rPh>
    <rPh sb="15" eb="17">
      <t>キバン</t>
    </rPh>
    <rPh sb="25" eb="27">
      <t>ヘンセイ</t>
    </rPh>
    <rPh sb="35" eb="37">
      <t>ベット</t>
    </rPh>
    <rPh sb="38" eb="40">
      <t>リシュウ</t>
    </rPh>
    <rPh sb="40" eb="42">
      <t>トウロク</t>
    </rPh>
    <rPh sb="42" eb="44">
      <t>テツヅ</t>
    </rPh>
    <rPh sb="46" eb="48">
      <t>フヨウ</t>
    </rPh>
    <rPh sb="101" eb="102">
      <t>シ</t>
    </rPh>
    <rPh sb="108" eb="110">
      <t>ダイガク</t>
    </rPh>
    <rPh sb="118" eb="120">
      <t>ケイサイ</t>
    </rPh>
    <rPh sb="121" eb="123">
      <t>ガクネン</t>
    </rPh>
    <rPh sb="123" eb="124">
      <t>ゴト</t>
    </rPh>
    <rPh sb="131" eb="132">
      <t>トウ</t>
    </rPh>
    <rPh sb="133" eb="135">
      <t>セツメイ</t>
    </rPh>
    <rPh sb="136" eb="137">
      <t>オコナ</t>
    </rPh>
    <rPh sb="141" eb="143">
      <t>シュウチ</t>
    </rPh>
    <rPh sb="144" eb="145">
      <t>オコナ</t>
    </rPh>
    <rPh sb="150" eb="152">
      <t>レイワ</t>
    </rPh>
    <rPh sb="153" eb="155">
      <t>ネンド</t>
    </rPh>
    <rPh sb="167" eb="168">
      <t>トウ</t>
    </rPh>
    <rPh sb="188" eb="190">
      <t>サクセイ</t>
    </rPh>
    <rPh sb="192" eb="194">
      <t>ハイフ</t>
    </rPh>
    <phoneticPr fontId="1"/>
  </si>
  <si>
    <t>・ オンデマンドコンテンツは、本学のLMSにアーカイブされるため自学自習に活用することが可能である。
・ 通常の授業運営と同様に、オフィスアワーのほか、LMSを活用した質疑応答が可能である。
・ 歯学部は、LMSの双方向機能を活用して質疑応答を行ったり、フォーラム機能を活用したグループディスカッション・討議を行うことができる。
・ 医療保健学部は、プログラム関連科目を担当する実務家教員によるフィールドワークや実データを用いた実習・演習を行うなど、アクティブラーニング型の学習を行っている。
・大学附属病院に設置された歯科CAD／CAMセンターでは最新の機器を活用した学習を行っている。</t>
    <rPh sb="15" eb="17">
      <t>ホンガク</t>
    </rPh>
    <rPh sb="32" eb="34">
      <t>ジガク</t>
    </rPh>
    <rPh sb="34" eb="36">
      <t>ジシュウ</t>
    </rPh>
    <rPh sb="37" eb="39">
      <t>カツヨウ</t>
    </rPh>
    <rPh sb="44" eb="46">
      <t>カノウ</t>
    </rPh>
    <rPh sb="53" eb="55">
      <t>ツウジョウ</t>
    </rPh>
    <rPh sb="56" eb="58">
      <t>ジュギョウ</t>
    </rPh>
    <rPh sb="58" eb="60">
      <t>ウンエイ</t>
    </rPh>
    <rPh sb="61" eb="63">
      <t>ドウヨウ</t>
    </rPh>
    <rPh sb="80" eb="82">
      <t>カツヨウ</t>
    </rPh>
    <rPh sb="84" eb="86">
      <t>シツギ</t>
    </rPh>
    <rPh sb="86" eb="88">
      <t>オウトウ</t>
    </rPh>
    <rPh sb="89" eb="91">
      <t>カノウ</t>
    </rPh>
    <rPh sb="98" eb="101">
      <t>シガクブ</t>
    </rPh>
    <rPh sb="107" eb="110">
      <t>ソウホウコウ</t>
    </rPh>
    <rPh sb="110" eb="112">
      <t>キノウ</t>
    </rPh>
    <rPh sb="113" eb="115">
      <t>カツヨウ</t>
    </rPh>
    <rPh sb="117" eb="119">
      <t>シツギ</t>
    </rPh>
    <rPh sb="119" eb="121">
      <t>オウトウ</t>
    </rPh>
    <rPh sb="122" eb="123">
      <t>オコナ</t>
    </rPh>
    <rPh sb="132" eb="134">
      <t>キノウ</t>
    </rPh>
    <rPh sb="135" eb="137">
      <t>カツヨウ</t>
    </rPh>
    <rPh sb="152" eb="154">
      <t>トウギ</t>
    </rPh>
    <rPh sb="155" eb="156">
      <t>オコナ</t>
    </rPh>
    <rPh sb="167" eb="169">
      <t>イリョウ</t>
    </rPh>
    <rPh sb="169" eb="171">
      <t>ホケン</t>
    </rPh>
    <rPh sb="171" eb="173">
      <t>ガクブ</t>
    </rPh>
    <rPh sb="180" eb="182">
      <t>カンレン</t>
    </rPh>
    <rPh sb="182" eb="184">
      <t>カモク</t>
    </rPh>
    <rPh sb="185" eb="187">
      <t>タントウ</t>
    </rPh>
    <rPh sb="189" eb="192">
      <t>ジツムカ</t>
    </rPh>
    <rPh sb="192" eb="194">
      <t>キョウイン</t>
    </rPh>
    <rPh sb="206" eb="207">
      <t>ジツ</t>
    </rPh>
    <rPh sb="211" eb="212">
      <t>モチ</t>
    </rPh>
    <rPh sb="214" eb="216">
      <t>ジッシュウ</t>
    </rPh>
    <rPh sb="217" eb="219">
      <t>エンシュウ</t>
    </rPh>
    <rPh sb="220" eb="221">
      <t>オコナ</t>
    </rPh>
    <rPh sb="235" eb="236">
      <t>ガタ</t>
    </rPh>
    <rPh sb="237" eb="239">
      <t>ガクシュウ</t>
    </rPh>
    <rPh sb="240" eb="241">
      <t>オコナ</t>
    </rPh>
    <rPh sb="248" eb="250">
      <t>ダイガク</t>
    </rPh>
    <rPh sb="250" eb="252">
      <t>フゾク</t>
    </rPh>
    <rPh sb="252" eb="254">
      <t>ビョウイン</t>
    </rPh>
    <rPh sb="255" eb="257">
      <t>セッチ</t>
    </rPh>
    <rPh sb="260" eb="262">
      <t>シカ</t>
    </rPh>
    <rPh sb="275" eb="277">
      <t>サイシン</t>
    </rPh>
    <rPh sb="278" eb="280">
      <t>キキ</t>
    </rPh>
    <rPh sb="281" eb="283">
      <t>カツヨウ</t>
    </rPh>
    <rPh sb="285" eb="287">
      <t>ガクシュウ</t>
    </rPh>
    <rPh sb="288" eb="289">
      <t>オコナ</t>
    </rPh>
    <phoneticPr fontId="1"/>
  </si>
  <si>
    <t>・ 前項に記載のとおり、通常の授業運営と同様に、オフィスアワーのほか、LMSを活用した質疑応答が可能。
・ 本学では教員と学生一人ひとりがコミュニケーションをとりやすい環境をつくり、信頼関係を築き、スムーズな学習へと導くため、「指導教授・助言教員制」を導入している。
・ 履修に関する相談、個別指導を適宜行うほか、学習面から生活面まで幅広くサポートしている。</t>
    <rPh sb="2" eb="4">
      <t>ゼンコウ</t>
    </rPh>
    <rPh sb="5" eb="7">
      <t>キサイ</t>
    </rPh>
    <rPh sb="12" eb="14">
      <t>ツウジョウ</t>
    </rPh>
    <rPh sb="15" eb="17">
      <t>ジュギョウ</t>
    </rPh>
    <rPh sb="17" eb="19">
      <t>ウンエイ</t>
    </rPh>
    <rPh sb="20" eb="22">
      <t>ドウヨウ</t>
    </rPh>
    <rPh sb="39" eb="41">
      <t>カツヨウ</t>
    </rPh>
    <rPh sb="43" eb="45">
      <t>シツギ</t>
    </rPh>
    <rPh sb="45" eb="47">
      <t>オウトウ</t>
    </rPh>
    <rPh sb="48" eb="50">
      <t>カノウ</t>
    </rPh>
    <rPh sb="54" eb="56">
      <t>ホンガク</t>
    </rPh>
    <rPh sb="114" eb="116">
      <t>シドウ</t>
    </rPh>
    <rPh sb="116" eb="118">
      <t>キョウジュ</t>
    </rPh>
    <rPh sb="119" eb="121">
      <t>ジョゲン</t>
    </rPh>
    <rPh sb="121" eb="123">
      <t>キョウイン</t>
    </rPh>
    <rPh sb="123" eb="124">
      <t>セイ</t>
    </rPh>
    <rPh sb="126" eb="128">
      <t>ドウニュウ</t>
    </rPh>
    <rPh sb="136" eb="138">
      <t>リシュウ</t>
    </rPh>
    <rPh sb="139" eb="140">
      <t>カン</t>
    </rPh>
    <rPh sb="142" eb="144">
      <t>ソウダン</t>
    </rPh>
    <rPh sb="145" eb="147">
      <t>コベツ</t>
    </rPh>
    <rPh sb="147" eb="149">
      <t>シドウ</t>
    </rPh>
    <rPh sb="150" eb="152">
      <t>テキギ</t>
    </rPh>
    <rPh sb="152" eb="153">
      <t>オコナ</t>
    </rPh>
    <phoneticPr fontId="1"/>
  </si>
  <si>
    <t xml:space="preserve">・ 本プログラムの自己点検・評価を行うため、大阪歯科大学学部等横断カリキュラム検討委員会に「数理・データサイエンス・AI教育領域運営小委員会」を設置し、プログラムの履修状況、受講者の満足度、学習成果、外部評価などを総合的に分析し、継続的なプログラムの教学マネジメント活動を行っている。
・ 委員会の構成員に本学IR担当を加え、エビデンスベースでの教学マネジメント活動を行っている。
（収集エビデンスと分析の例）
・ 教務システムデータベースを活用した履修・成績情報の収集と分析
・ LMSを活用した授業評価アンケートの実施とデータの活用・分析
</t>
    <rPh sb="2" eb="3">
      <t>ホン</t>
    </rPh>
    <rPh sb="9" eb="11">
      <t>ジコ</t>
    </rPh>
    <rPh sb="11" eb="13">
      <t>テンケン</t>
    </rPh>
    <rPh sb="14" eb="16">
      <t>ヒョウカ</t>
    </rPh>
    <rPh sb="17" eb="18">
      <t>オコナ</t>
    </rPh>
    <rPh sb="72" eb="74">
      <t>セッチ</t>
    </rPh>
    <rPh sb="91" eb="94">
      <t>マンゾクド</t>
    </rPh>
    <rPh sb="95" eb="97">
      <t>ガクシュウ</t>
    </rPh>
    <rPh sb="97" eb="99">
      <t>セイカ</t>
    </rPh>
    <rPh sb="100" eb="102">
      <t>ガイブ</t>
    </rPh>
    <rPh sb="102" eb="104">
      <t>ヒョウカ</t>
    </rPh>
    <rPh sb="107" eb="110">
      <t>ソウゴウテキ</t>
    </rPh>
    <rPh sb="111" eb="113">
      <t>ブンセキ</t>
    </rPh>
    <rPh sb="115" eb="118">
      <t>ケイゾクテキ</t>
    </rPh>
    <rPh sb="125" eb="127">
      <t>キョウガク</t>
    </rPh>
    <rPh sb="133" eb="135">
      <t>カツドウ</t>
    </rPh>
    <rPh sb="136" eb="137">
      <t>オコナ</t>
    </rPh>
    <rPh sb="145" eb="148">
      <t>イインカイ</t>
    </rPh>
    <rPh sb="149" eb="152">
      <t>コウセイイン</t>
    </rPh>
    <rPh sb="153" eb="155">
      <t>ホンガク</t>
    </rPh>
    <rPh sb="157" eb="159">
      <t>タントウ</t>
    </rPh>
    <rPh sb="160" eb="161">
      <t>クワ</t>
    </rPh>
    <rPh sb="173" eb="175">
      <t>キョウガク</t>
    </rPh>
    <rPh sb="181" eb="183">
      <t>カツドウ</t>
    </rPh>
    <rPh sb="184" eb="185">
      <t>オコナ</t>
    </rPh>
    <rPh sb="193" eb="195">
      <t>シュウシュウ</t>
    </rPh>
    <rPh sb="201" eb="203">
      <t>ブンセキ</t>
    </rPh>
    <rPh sb="204" eb="205">
      <t>レイ</t>
    </rPh>
    <rPh sb="209" eb="211">
      <t>キョウム</t>
    </rPh>
    <rPh sb="222" eb="224">
      <t>カツヨウ</t>
    </rPh>
    <rPh sb="226" eb="228">
      <t>リシュウ</t>
    </rPh>
    <rPh sb="229" eb="231">
      <t>セイセキ</t>
    </rPh>
    <rPh sb="231" eb="233">
      <t>ジョウホウ</t>
    </rPh>
    <rPh sb="234" eb="236">
      <t>シュウシュウ</t>
    </rPh>
    <rPh sb="237" eb="239">
      <t>ブンセキ</t>
    </rPh>
    <rPh sb="246" eb="248">
      <t>カツヨウ</t>
    </rPh>
    <rPh sb="250" eb="252">
      <t>ジュギョウ</t>
    </rPh>
    <rPh sb="252" eb="254">
      <t>ヒョウカ</t>
    </rPh>
    <rPh sb="260" eb="262">
      <t>ジッシ</t>
    </rPh>
    <rPh sb="267" eb="269">
      <t>カツヨウ</t>
    </rPh>
    <rPh sb="270" eb="272">
      <t>ブンセキ</t>
    </rPh>
    <phoneticPr fontId="1"/>
  </si>
  <si>
    <t>・ 本プログラムは、本学の情報教育に関する数理・データサイエンス・AI関連の既存科目群を体系的に整理し、一見、関連性がないように見える歯科医療分野の科目がどのように数理・データサイエンス・AI分野と結びついているのか、受講者自身が意識し、理解を深めることで、実践力を身につけることを目標としている。
・ 学修成果としての単位取得状況、科目成績等の検証に加えて、受講者の能動的・主体的な学習が促進されているか、数理・データサイエンス・AI領域への興味関心が高まっているかについても検証する。
（学修成果に関する自己点検指標）
学生によるプログラム関連科目の評価（領域関連性の理解度）
学生によるプログラム関連科目の評価（学習意欲の向上・興味喚起度）
学生による自己達成度評価（学生のメタ認知力）</t>
    <rPh sb="2" eb="3">
      <t>ホン</t>
    </rPh>
    <rPh sb="152" eb="154">
      <t>ガクシュウ</t>
    </rPh>
    <rPh sb="154" eb="156">
      <t>セイカ</t>
    </rPh>
    <rPh sb="160" eb="162">
      <t>タンイ</t>
    </rPh>
    <rPh sb="162" eb="164">
      <t>シュトク</t>
    </rPh>
    <rPh sb="164" eb="166">
      <t>ジョウキョウ</t>
    </rPh>
    <rPh sb="167" eb="169">
      <t>カモク</t>
    </rPh>
    <rPh sb="169" eb="171">
      <t>セイセキ</t>
    </rPh>
    <rPh sb="171" eb="172">
      <t>トウ</t>
    </rPh>
    <rPh sb="173" eb="175">
      <t>ケンショウ</t>
    </rPh>
    <rPh sb="176" eb="177">
      <t>クワ</t>
    </rPh>
    <rPh sb="239" eb="241">
      <t>ケンショウ</t>
    </rPh>
    <rPh sb="247" eb="249">
      <t>ガクシュウ</t>
    </rPh>
    <rPh sb="249" eb="251">
      <t>セイカ</t>
    </rPh>
    <rPh sb="252" eb="253">
      <t>カン</t>
    </rPh>
    <phoneticPr fontId="1"/>
  </si>
  <si>
    <t>・ 前項記載の学生アンケートを活用し、本学ホームページやLMSのプログラム紹介ページに「受講者の声」として掲載するため、現在ページ制作を行っている。（令和３年６月公開予定）
・ ホームルームを通じてプログラムの趣旨や受講メリットについて周知を行う。</t>
    <rPh sb="96" eb="97">
      <t>ツウ</t>
    </rPh>
    <rPh sb="105" eb="107">
      <t>シュシ</t>
    </rPh>
    <rPh sb="108" eb="110">
      <t>ジュコウ</t>
    </rPh>
    <rPh sb="118" eb="120">
      <t>シュウチ</t>
    </rPh>
    <rPh sb="121" eb="122">
      <t>オコナ</t>
    </rPh>
    <phoneticPr fontId="1"/>
  </si>
  <si>
    <t>・ 本プログラムの「歯科医療分野の専門教育と数理・データサイエンス・AI分野の有機的な連関について理解を深めることで、実践力を身につける」という趣旨を鑑み、プログラムの質向上を目的として、本学のすべての開講科目を対象とした授業改善活動に関する照会調査を毎年度行う。
・ 令和２年度実施の調査の結果、令和３年度以降に数理・データサイエンス・AI関連のテーマで授業を行う科目が新たに判明したため、随時プログラム関連科目として取り入れ、受講者への周知を行うこととした。
・ 初年度の自己点検・評価を踏まえた改善活動のひとつとして、オンデマンドによる動画コンテンツの配信を計画し、受講者の理解度・満足度向上に努めることとした。</t>
    <rPh sb="2" eb="3">
      <t>ホン</t>
    </rPh>
    <rPh sb="17" eb="19">
      <t>センモン</t>
    </rPh>
    <rPh sb="19" eb="21">
      <t>キョウイク</t>
    </rPh>
    <rPh sb="39" eb="42">
      <t>ユウキテキ</t>
    </rPh>
    <rPh sb="43" eb="45">
      <t>レンカン</t>
    </rPh>
    <rPh sb="72" eb="74">
      <t>シュシ</t>
    </rPh>
    <rPh sb="75" eb="76">
      <t>カンガ</t>
    </rPh>
    <rPh sb="84" eb="85">
      <t>シツ</t>
    </rPh>
    <rPh sb="85" eb="87">
      <t>コウジョウ</t>
    </rPh>
    <rPh sb="94" eb="96">
      <t>ホンガク</t>
    </rPh>
    <rPh sb="101" eb="103">
      <t>カイコウ</t>
    </rPh>
    <rPh sb="103" eb="105">
      <t>カモク</t>
    </rPh>
    <rPh sb="106" eb="108">
      <t>タイショウ</t>
    </rPh>
    <rPh sb="111" eb="113">
      <t>ジュギョウ</t>
    </rPh>
    <rPh sb="113" eb="115">
      <t>カイゼン</t>
    </rPh>
    <rPh sb="115" eb="117">
      <t>カツドウ</t>
    </rPh>
    <rPh sb="118" eb="119">
      <t>カン</t>
    </rPh>
    <rPh sb="121" eb="123">
      <t>ショウカイ</t>
    </rPh>
    <rPh sb="123" eb="125">
      <t>チョウサ</t>
    </rPh>
    <rPh sb="149" eb="151">
      <t>レイワ</t>
    </rPh>
    <rPh sb="152" eb="154">
      <t>ネンド</t>
    </rPh>
    <rPh sb="154" eb="156">
      <t>イコウ</t>
    </rPh>
    <rPh sb="178" eb="180">
      <t>ジュギョウ</t>
    </rPh>
    <rPh sb="181" eb="182">
      <t>オコナ</t>
    </rPh>
    <rPh sb="183" eb="185">
      <t>カモク</t>
    </rPh>
    <rPh sb="186" eb="187">
      <t>アラ</t>
    </rPh>
    <rPh sb="189" eb="191">
      <t>ハンメイ</t>
    </rPh>
    <rPh sb="196" eb="198">
      <t>ズイジ</t>
    </rPh>
    <rPh sb="203" eb="205">
      <t>カンレン</t>
    </rPh>
    <rPh sb="205" eb="207">
      <t>カモク</t>
    </rPh>
    <rPh sb="210" eb="211">
      <t>ト</t>
    </rPh>
    <rPh sb="212" eb="213">
      <t>イ</t>
    </rPh>
    <rPh sb="215" eb="218">
      <t>ジュコウシャ</t>
    </rPh>
    <rPh sb="220" eb="222">
      <t>シュウチ</t>
    </rPh>
    <rPh sb="223" eb="224">
      <t>オコナ</t>
    </rPh>
    <rPh sb="234" eb="237">
      <t>ショネンド</t>
    </rPh>
    <rPh sb="238" eb="240">
      <t>ジコ</t>
    </rPh>
    <rPh sb="240" eb="242">
      <t>テンケン</t>
    </rPh>
    <rPh sb="243" eb="245">
      <t>ヒョウカ</t>
    </rPh>
    <rPh sb="246" eb="247">
      <t>フ</t>
    </rPh>
    <rPh sb="250" eb="252">
      <t>カイゼン</t>
    </rPh>
    <rPh sb="252" eb="254">
      <t>カツドウ</t>
    </rPh>
    <rPh sb="271" eb="273">
      <t>ドウガ</t>
    </rPh>
    <rPh sb="279" eb="281">
      <t>ハイシン</t>
    </rPh>
    <rPh sb="282" eb="284">
      <t>ケイカク</t>
    </rPh>
    <rPh sb="286" eb="289">
      <t>ジュコウシャ</t>
    </rPh>
    <rPh sb="290" eb="293">
      <t>リカイド</t>
    </rPh>
    <rPh sb="294" eb="297">
      <t>マンゾクド</t>
    </rPh>
    <rPh sb="297" eb="299">
      <t>コウジョウ</t>
    </rPh>
    <rPh sb="300" eb="301">
      <t>ツト</t>
    </rPh>
    <phoneticPr fontId="1"/>
  </si>
  <si>
    <t>・ 本プログラムは令和２年度開設のため、卒業生の修了者は未輩出である。
・ 「プログラムの実施に関する企業等からの評価・意見募集」を行うため、定期で実施している本学卒業生の進路先へのアンケート調査にプログラム評価に関する設問を加えて令和３年度のアンケート調査を実施した。
・ 医療保健学部は令和３年度卒業生より修了者が輩出されるため、令和３年度以降に実施する卒業生アンケートに同様の項目を追加する。</t>
    <rPh sb="2" eb="3">
      <t>ホン</t>
    </rPh>
    <rPh sb="9" eb="11">
      <t>レイワ</t>
    </rPh>
    <rPh sb="12" eb="14">
      <t>ネンド</t>
    </rPh>
    <rPh sb="14" eb="16">
      <t>カイセツ</t>
    </rPh>
    <rPh sb="20" eb="23">
      <t>ソツギョウセイ</t>
    </rPh>
    <rPh sb="24" eb="27">
      <t>シュウリョウシャ</t>
    </rPh>
    <rPh sb="28" eb="29">
      <t>ミ</t>
    </rPh>
    <rPh sb="29" eb="31">
      <t>ハイシュツ</t>
    </rPh>
    <rPh sb="45" eb="47">
      <t>ジッシ</t>
    </rPh>
    <rPh sb="48" eb="49">
      <t>カン</t>
    </rPh>
    <rPh sb="51" eb="53">
      <t>キギョウ</t>
    </rPh>
    <rPh sb="53" eb="54">
      <t>トウ</t>
    </rPh>
    <rPh sb="57" eb="59">
      <t>ヒョウカ</t>
    </rPh>
    <rPh sb="60" eb="62">
      <t>イケン</t>
    </rPh>
    <rPh sb="62" eb="64">
      <t>ボシュウ</t>
    </rPh>
    <rPh sb="66" eb="67">
      <t>オコナ</t>
    </rPh>
    <rPh sb="71" eb="73">
      <t>テイキ</t>
    </rPh>
    <rPh sb="74" eb="76">
      <t>ジッシ</t>
    </rPh>
    <rPh sb="80" eb="82">
      <t>ホンガク</t>
    </rPh>
    <rPh sb="82" eb="85">
      <t>ソツギョウセイ</t>
    </rPh>
    <rPh sb="86" eb="88">
      <t>シンロ</t>
    </rPh>
    <rPh sb="88" eb="89">
      <t>サキ</t>
    </rPh>
    <rPh sb="96" eb="98">
      <t>チョウサ</t>
    </rPh>
    <rPh sb="104" eb="106">
      <t>ヒョウカ</t>
    </rPh>
    <rPh sb="107" eb="108">
      <t>カン</t>
    </rPh>
    <rPh sb="110" eb="112">
      <t>セツモン</t>
    </rPh>
    <rPh sb="113" eb="114">
      <t>クワ</t>
    </rPh>
    <rPh sb="116" eb="118">
      <t>レイワ</t>
    </rPh>
    <rPh sb="119" eb="121">
      <t>ネンド</t>
    </rPh>
    <rPh sb="127" eb="129">
      <t>チョウサ</t>
    </rPh>
    <rPh sb="130" eb="132">
      <t>ジッシ</t>
    </rPh>
    <rPh sb="138" eb="140">
      <t>イリョウ</t>
    </rPh>
    <rPh sb="140" eb="142">
      <t>ホケン</t>
    </rPh>
    <rPh sb="142" eb="144">
      <t>ガクブ</t>
    </rPh>
    <rPh sb="145" eb="147">
      <t>レイワ</t>
    </rPh>
    <rPh sb="148" eb="150">
      <t>ネンド</t>
    </rPh>
    <rPh sb="150" eb="153">
      <t>ソツギョウセイ</t>
    </rPh>
    <rPh sb="155" eb="158">
      <t>シュウリョウシャ</t>
    </rPh>
    <rPh sb="159" eb="161">
      <t>ハイシュツ</t>
    </rPh>
    <rPh sb="167" eb="169">
      <t>レイワ</t>
    </rPh>
    <rPh sb="170" eb="172">
      <t>ネンド</t>
    </rPh>
    <rPh sb="172" eb="174">
      <t>イコウ</t>
    </rPh>
    <rPh sb="175" eb="177">
      <t>ジッシ</t>
    </rPh>
    <rPh sb="179" eb="182">
      <t>ソツギョウセイ</t>
    </rPh>
    <rPh sb="188" eb="190">
      <t>ドウヨウ</t>
    </rPh>
    <rPh sb="191" eb="193">
      <t>コウモク</t>
    </rPh>
    <rPh sb="194" eb="196">
      <t>ツイカ</t>
    </rPh>
    <phoneticPr fontId="1"/>
  </si>
  <si>
    <t>・ 本プログラムの質向上、改善活動に生かすため、進路先のなかでも歯科医療領域において、数理・データサイエンス・AI領域の研究成果を活用している企業等に対し、本プログラムの評価に関するアンケート調査を実施している。
（アンケートの設問例）
【設問】 取り扱いテーマに関する評価
本学では以下のようなテーマで数理・データサイエンス・AI領域の授業を実施しています。
貴殿が所属される事業所・業界において学士課程修了者が修得しておくべき内容として有用だと思いますか。
あたなの考えにもっとも当てはまるものを選んでください。（選択肢から選ぶ）
【設問】 歯科医療・福祉分野において数理・データサイエンス・AI領域の教育に期待すること
貴殿が所属される事業所・業界において、医療系の学士課程修了者（社会人1年目）の臨床研修医・新入社員に期待することは何ですか。あたなの考えにもっとも当てはまるものを選んでください。（即戦力レベル～知識不要まで4件法で回答）</t>
    <rPh sb="2" eb="3">
      <t>ホン</t>
    </rPh>
    <rPh sb="9" eb="10">
      <t>シツ</t>
    </rPh>
    <rPh sb="10" eb="12">
      <t>コウジョウ</t>
    </rPh>
    <rPh sb="13" eb="15">
      <t>カイゼン</t>
    </rPh>
    <rPh sb="15" eb="17">
      <t>カツドウ</t>
    </rPh>
    <rPh sb="18" eb="19">
      <t>イ</t>
    </rPh>
    <rPh sb="24" eb="26">
      <t>シンロ</t>
    </rPh>
    <rPh sb="26" eb="27">
      <t>サキ</t>
    </rPh>
    <rPh sb="32" eb="34">
      <t>シカ</t>
    </rPh>
    <rPh sb="34" eb="36">
      <t>イリョウ</t>
    </rPh>
    <rPh sb="36" eb="38">
      <t>リョウイキ</t>
    </rPh>
    <rPh sb="43" eb="45">
      <t>スウリ</t>
    </rPh>
    <rPh sb="57" eb="59">
      <t>リョウイキ</t>
    </rPh>
    <rPh sb="60" eb="62">
      <t>ケンキュウ</t>
    </rPh>
    <rPh sb="62" eb="64">
      <t>セイカ</t>
    </rPh>
    <rPh sb="65" eb="67">
      <t>カツヨウ</t>
    </rPh>
    <rPh sb="71" eb="73">
      <t>キギョウ</t>
    </rPh>
    <rPh sb="73" eb="74">
      <t>トウ</t>
    </rPh>
    <rPh sb="75" eb="76">
      <t>タイ</t>
    </rPh>
    <rPh sb="78" eb="79">
      <t>ホン</t>
    </rPh>
    <rPh sb="85" eb="87">
      <t>ヒョウカ</t>
    </rPh>
    <rPh sb="88" eb="89">
      <t>カン</t>
    </rPh>
    <rPh sb="96" eb="98">
      <t>チョウサ</t>
    </rPh>
    <rPh sb="99" eb="101">
      <t>ジッシ</t>
    </rPh>
    <rPh sb="115" eb="117">
      <t>セツモン</t>
    </rPh>
    <rPh sb="117" eb="118">
      <t>レイ</t>
    </rPh>
    <rPh sb="260" eb="263">
      <t>センタクシ</t>
    </rPh>
    <rPh sb="265" eb="266">
      <t>エラ</t>
    </rPh>
    <rPh sb="405" eb="408">
      <t>ソクセンリョク</t>
    </rPh>
    <rPh sb="412" eb="414">
      <t>チシキ</t>
    </rPh>
    <rPh sb="414" eb="416">
      <t>フヨウ</t>
    </rPh>
    <rPh sb="419" eb="420">
      <t>ケン</t>
    </rPh>
    <rPh sb="420" eb="421">
      <t>ホウ</t>
    </rPh>
    <rPh sb="422" eb="424">
      <t>カイトウ</t>
    </rPh>
    <phoneticPr fontId="1"/>
  </si>
  <si>
    <t>・ 本プログラムの関連科目のほとんどがアクティブ・ラーニング型の授業となっている。
・ 各科目においては、担当教員が実データを使う、実験・実習・演習型の授業をとおして主体的な学習を進めるような工夫を行っている。
・ 開設初年度である令和２年度の自己点検結果のなかでも学生によるアンケート調査の回答結果を踏まえ、令和３年度は以下の①～③の改善事項を予定している。
（改善事項）
① 希望の多かった「歯科医療・医療・福祉領域の最新事例」を取り上げた動画コンテンツの制作とオンデマンド配信
② 希望の多かった「歯科医療・医療・福祉領域の最新事例」を取り上げる予定の科目を新たにプログラム対象科目として追加
③ 入学前の履修率が高まっている表計算ソフトに加えて、履修状況にばらつきのある「プログラミング」に関する授業を追加</t>
    <rPh sb="133" eb="135">
      <t>ガクセイ</t>
    </rPh>
    <rPh sb="143" eb="145">
      <t>チョウサ</t>
    </rPh>
    <rPh sb="146" eb="148">
      <t>カイトウ</t>
    </rPh>
    <rPh sb="148" eb="150">
      <t>ケッカ</t>
    </rPh>
    <rPh sb="155" eb="157">
      <t>レイワ</t>
    </rPh>
    <rPh sb="158" eb="160">
      <t>ネンド</t>
    </rPh>
    <rPh sb="161" eb="163">
      <t>イカ</t>
    </rPh>
    <rPh sb="168" eb="170">
      <t>カイゼン</t>
    </rPh>
    <rPh sb="170" eb="172">
      <t>ジコウ</t>
    </rPh>
    <rPh sb="173" eb="175">
      <t>ヨテイ</t>
    </rPh>
    <rPh sb="183" eb="185">
      <t>カイゼン</t>
    </rPh>
    <rPh sb="185" eb="187">
      <t>ジコウ</t>
    </rPh>
    <rPh sb="191" eb="193">
      <t>キボウ</t>
    </rPh>
    <rPh sb="194" eb="195">
      <t>オオ</t>
    </rPh>
    <rPh sb="199" eb="201">
      <t>シカ</t>
    </rPh>
    <rPh sb="201" eb="203">
      <t>イリョウ</t>
    </rPh>
    <rPh sb="204" eb="206">
      <t>イリョウ</t>
    </rPh>
    <rPh sb="207" eb="209">
      <t>フクシ</t>
    </rPh>
    <rPh sb="209" eb="211">
      <t>リョウイキ</t>
    </rPh>
    <rPh sb="212" eb="214">
      <t>サイシン</t>
    </rPh>
    <rPh sb="214" eb="216">
      <t>ジレイ</t>
    </rPh>
    <rPh sb="218" eb="219">
      <t>ト</t>
    </rPh>
    <rPh sb="220" eb="221">
      <t>ア</t>
    </rPh>
    <rPh sb="223" eb="225">
      <t>ドウガ</t>
    </rPh>
    <rPh sb="231" eb="233">
      <t>セイサク</t>
    </rPh>
    <rPh sb="240" eb="242">
      <t>ハイシン</t>
    </rPh>
    <rPh sb="245" eb="247">
      <t>キボウ</t>
    </rPh>
    <rPh sb="248" eb="249">
      <t>オオ</t>
    </rPh>
    <rPh sb="253" eb="255">
      <t>シカ</t>
    </rPh>
    <rPh sb="255" eb="257">
      <t>イリョウ</t>
    </rPh>
    <rPh sb="258" eb="260">
      <t>イリョウ</t>
    </rPh>
    <rPh sb="261" eb="263">
      <t>フクシ</t>
    </rPh>
    <rPh sb="263" eb="265">
      <t>リョウイキ</t>
    </rPh>
    <rPh sb="266" eb="268">
      <t>サイシン</t>
    </rPh>
    <rPh sb="268" eb="270">
      <t>ジレイ</t>
    </rPh>
    <rPh sb="272" eb="273">
      <t>ト</t>
    </rPh>
    <rPh sb="274" eb="275">
      <t>ア</t>
    </rPh>
    <rPh sb="277" eb="279">
      <t>ヨテイ</t>
    </rPh>
    <rPh sb="280" eb="282">
      <t>カモク</t>
    </rPh>
    <rPh sb="283" eb="284">
      <t>アラ</t>
    </rPh>
    <rPh sb="291" eb="293">
      <t>タイショウ</t>
    </rPh>
    <rPh sb="293" eb="295">
      <t>カモク</t>
    </rPh>
    <rPh sb="298" eb="300">
      <t>ツイカ</t>
    </rPh>
    <rPh sb="303" eb="306">
      <t>ニュウガクマエ</t>
    </rPh>
    <rPh sb="307" eb="309">
      <t>リシュウ</t>
    </rPh>
    <rPh sb="309" eb="310">
      <t>リツ</t>
    </rPh>
    <rPh sb="311" eb="312">
      <t>タカ</t>
    </rPh>
    <rPh sb="317" eb="320">
      <t>ヒョウケイサン</t>
    </rPh>
    <rPh sb="324" eb="325">
      <t>クワ</t>
    </rPh>
    <rPh sb="328" eb="330">
      <t>リシュウ</t>
    </rPh>
    <rPh sb="330" eb="332">
      <t>ジョウキョウ</t>
    </rPh>
    <rPh sb="350" eb="351">
      <t>カン</t>
    </rPh>
    <rPh sb="353" eb="355">
      <t>ジュギョウ</t>
    </rPh>
    <rPh sb="356" eb="358">
      <t>ツイカ</t>
    </rPh>
    <phoneticPr fontId="1"/>
  </si>
  <si>
    <t>・ 各科目で積極的に数理・データサイエンス・AI教育の教材を取り入れられるよう、アクティブ・ラーニングの手法・事例をFD活動をとおして学内共有することを計画している。
（例）
・ 放送大学等が提供するオンデマンド講義の教材を反転授業などに活用する
・ 本学LMSの機能活用例（グループ討議、反転授業など）の紹介
・ データサイエンス・AI関連の取り組み事例が含まれるティーチング・ポートフォリオの紹介
 ・データサイエンス・AI関連の取り組み事例が含まれる本学SDGｓ事例の紹介</t>
    <rPh sb="2" eb="3">
      <t>カク</t>
    </rPh>
    <rPh sb="3" eb="5">
      <t>カモク</t>
    </rPh>
    <rPh sb="6" eb="9">
      <t>セッキョクテキ</t>
    </rPh>
    <rPh sb="10" eb="12">
      <t>スウリ</t>
    </rPh>
    <rPh sb="24" eb="26">
      <t>キョウイク</t>
    </rPh>
    <rPh sb="27" eb="29">
      <t>キョウザイ</t>
    </rPh>
    <rPh sb="30" eb="31">
      <t>ト</t>
    </rPh>
    <rPh sb="32" eb="33">
      <t>イ</t>
    </rPh>
    <rPh sb="52" eb="54">
      <t>シュホウ</t>
    </rPh>
    <rPh sb="55" eb="57">
      <t>ジレイ</t>
    </rPh>
    <rPh sb="60" eb="62">
      <t>カツドウ</t>
    </rPh>
    <rPh sb="67" eb="69">
      <t>ガクナイ</t>
    </rPh>
    <rPh sb="69" eb="71">
      <t>キョウユウ</t>
    </rPh>
    <rPh sb="76" eb="78">
      <t>ケイカク</t>
    </rPh>
    <rPh sb="86" eb="87">
      <t>レイ</t>
    </rPh>
    <rPh sb="91" eb="93">
      <t>ホウソウ</t>
    </rPh>
    <rPh sb="93" eb="95">
      <t>ダイガク</t>
    </rPh>
    <rPh sb="95" eb="96">
      <t>トウ</t>
    </rPh>
    <rPh sb="97" eb="99">
      <t>テイキョウ</t>
    </rPh>
    <rPh sb="107" eb="109">
      <t>コウギ</t>
    </rPh>
    <rPh sb="110" eb="112">
      <t>キョウザイ</t>
    </rPh>
    <rPh sb="113" eb="115">
      <t>ハンテン</t>
    </rPh>
    <rPh sb="115" eb="117">
      <t>ジュギョウ</t>
    </rPh>
    <rPh sb="120" eb="122">
      <t>カツヨウ</t>
    </rPh>
    <rPh sb="127" eb="129">
      <t>ホンガク</t>
    </rPh>
    <rPh sb="133" eb="135">
      <t>キノウ</t>
    </rPh>
    <rPh sb="135" eb="137">
      <t>カツヨウ</t>
    </rPh>
    <rPh sb="137" eb="138">
      <t>レイ</t>
    </rPh>
    <rPh sb="143" eb="145">
      <t>トウギ</t>
    </rPh>
    <rPh sb="146" eb="148">
      <t>ハンテン</t>
    </rPh>
    <rPh sb="148" eb="150">
      <t>ジュギョウ</t>
    </rPh>
    <rPh sb="154" eb="156">
      <t>ショウカイ</t>
    </rPh>
    <rPh sb="170" eb="172">
      <t>カンレン</t>
    </rPh>
    <rPh sb="173" eb="174">
      <t>ト</t>
    </rPh>
    <rPh sb="175" eb="176">
      <t>ク</t>
    </rPh>
    <rPh sb="177" eb="179">
      <t>ジレイ</t>
    </rPh>
    <rPh sb="180" eb="181">
      <t>フク</t>
    </rPh>
    <rPh sb="199" eb="201">
      <t>ショウカイ</t>
    </rPh>
    <rPh sb="229" eb="231">
      <t>ホンガク</t>
    </rPh>
    <rPh sb="235" eb="237">
      <t>ジレイ</t>
    </rPh>
    <rPh sb="238" eb="240">
      <t>ショウカイ</t>
    </rPh>
    <phoneticPr fontId="1"/>
  </si>
  <si>
    <t>・ 開講年度となる令和2年度は歯学部第1～3学年を対象として「数理・データサイエンスAI関連科目に関するアンケート調査」を実施し、分析用のエビデンスを収集した。
・ 令和3年度からは、授業評価に加える形で全受講者を対象として同様のアンケート調査を実施し、理解度に加えて、授業内容のレベル設定やコンテンツの設定に活用し、受講者の満足度と修得率向上をはかる。
（アンケート項目の例）
・ 「数理・データサイエンス・AIと歯科医療との結びつきがわかった」「数理・データサイエンス・AIが対象とするデータは歯科医療領域における課題解決に有用なツールだとわかった」などの設問について、表記された授業が「よくあてはまる～まったく当てはまらない」までの5件法で回答させる。
・ 数理データサイエンスAI分野について学んでみたいことを選択肢から回答させる。
・ 高校時代（入学前）までに学習したことのある項目を選択肢から回答させる。</t>
    <rPh sb="2" eb="4">
      <t>カイコウ</t>
    </rPh>
    <rPh sb="4" eb="6">
      <t>ネンド</t>
    </rPh>
    <rPh sb="9" eb="11">
      <t>レイワ</t>
    </rPh>
    <rPh sb="12" eb="14">
      <t>ネンド</t>
    </rPh>
    <rPh sb="15" eb="18">
      <t>シガクブ</t>
    </rPh>
    <rPh sb="18" eb="19">
      <t>ダイ</t>
    </rPh>
    <rPh sb="22" eb="24">
      <t>ガクネン</t>
    </rPh>
    <rPh sb="25" eb="27">
      <t>タイショウ</t>
    </rPh>
    <rPh sb="65" eb="68">
      <t>ブンセキヨウ</t>
    </rPh>
    <rPh sb="75" eb="77">
      <t>シュウシュウ</t>
    </rPh>
    <rPh sb="112" eb="114">
      <t>ドウヨウ</t>
    </rPh>
    <rPh sb="123" eb="125">
      <t>ジッシ</t>
    </rPh>
    <rPh sb="127" eb="130">
      <t>リカイド</t>
    </rPh>
    <rPh sb="131" eb="132">
      <t>クワ</t>
    </rPh>
    <rPh sb="135" eb="137">
      <t>ジュギョウ</t>
    </rPh>
    <rPh sb="137" eb="139">
      <t>ナイヨウ</t>
    </rPh>
    <rPh sb="143" eb="145">
      <t>セッテイ</t>
    </rPh>
    <rPh sb="152" eb="154">
      <t>セッテイ</t>
    </rPh>
    <rPh sb="155" eb="157">
      <t>カツヨウ</t>
    </rPh>
    <rPh sb="159" eb="162">
      <t>ジュコウシャ</t>
    </rPh>
    <rPh sb="163" eb="166">
      <t>マンゾクド</t>
    </rPh>
    <rPh sb="167" eb="169">
      <t>シュウトク</t>
    </rPh>
    <rPh sb="169" eb="170">
      <t>リツ</t>
    </rPh>
    <rPh sb="170" eb="172">
      <t>コウジョウ</t>
    </rPh>
    <rPh sb="185" eb="187">
      <t>コウモク</t>
    </rPh>
    <rPh sb="188" eb="189">
      <t>レイ</t>
    </rPh>
    <rPh sb="281" eb="283">
      <t>セツモン</t>
    </rPh>
    <rPh sb="288" eb="290">
      <t>ヒョウキ</t>
    </rPh>
    <rPh sb="293" eb="295">
      <t>ジュギョウ</t>
    </rPh>
    <rPh sb="309" eb="310">
      <t>ア</t>
    </rPh>
    <rPh sb="321" eb="322">
      <t>ケン</t>
    </rPh>
    <rPh sb="322" eb="323">
      <t>ホウ</t>
    </rPh>
    <rPh sb="324" eb="326">
      <t>カイトウ</t>
    </rPh>
    <rPh sb="360" eb="363">
      <t>センタクシ</t>
    </rPh>
    <rPh sb="365" eb="367">
      <t>カイトウ</t>
    </rPh>
    <rPh sb="374" eb="376">
      <t>コウコウ</t>
    </rPh>
    <rPh sb="376" eb="378">
      <t>ジダイ</t>
    </rPh>
    <rPh sb="379" eb="381">
      <t>ニュウガク</t>
    </rPh>
    <rPh sb="381" eb="382">
      <t>マエ</t>
    </rPh>
    <rPh sb="386" eb="388">
      <t>ガクシュウ</t>
    </rPh>
    <rPh sb="395" eb="397">
      <t>コウモク</t>
    </rPh>
    <rPh sb="398" eb="401">
      <t>センタクシ</t>
    </rPh>
    <rPh sb="403" eb="405">
      <t>カイトウ</t>
    </rPh>
    <phoneticPr fontId="1"/>
  </si>
  <si>
    <t>・ データ駆動型社会とも現在の社会では、ゲノム情報、電子カルテ、各種のセンサーを備えたウエアラブルデバイス、それらから得られたビッグデータの解析など、数理・データサイエンス・ＡＩが医療・介護領域にも浸透していることを紹介する。
・ Soceity5.0の実現のなかでも特に医療・介護領域における数理・データサイエンス・AIの最新動向を中心に臨床歯科医学・情報科学を起点としたものの見方、学ぶ意義を知る。
・ 高齢化が加速するわが国において、持続可能な社会の実現に向けた仕組み構築における医療ビッグデータの種類や対象となる領域、医療ビジネスにおける取り扱いなど、利活用の実際について学ぶ。
・ センサーやウエアラブルデバイスなどの IoT がヘルスケア分野にも大きく浸透し、AI（人口知能）の活用も進んできている。患者が納得して治療を受けるためにも、科学的根拠に基づく医療（Evidence-Based Medicine：EBM）の推進にデータ解析が果たす役割が大きいことを知る。</t>
    <rPh sb="177" eb="179">
      <t>ジョウホウ</t>
    </rPh>
    <rPh sb="179" eb="181">
      <t>カガク</t>
    </rPh>
    <rPh sb="252" eb="254">
      <t>シュルイ</t>
    </rPh>
    <rPh sb="255" eb="257">
      <t>タイショウ</t>
    </rPh>
    <rPh sb="260" eb="262">
      <t>リョウイキ</t>
    </rPh>
    <rPh sb="263" eb="265">
      <t>イリョウ</t>
    </rPh>
    <rPh sb="273" eb="274">
      <t>ト</t>
    </rPh>
    <rPh sb="275" eb="276">
      <t>アツカ</t>
    </rPh>
    <rPh sb="280" eb="283">
      <t>リカツヨウ</t>
    </rPh>
    <rPh sb="284" eb="286">
      <t>ジッサイ</t>
    </rPh>
    <rPh sb="290" eb="291">
      <t>マナ</t>
    </rPh>
    <rPh sb="339" eb="341">
      <t>ジンコウ</t>
    </rPh>
    <rPh sb="341" eb="343">
      <t>チノウ</t>
    </rPh>
    <rPh sb="430" eb="431">
      <t>オオ</t>
    </rPh>
    <rPh sb="436" eb="437">
      <t>シ</t>
    </rPh>
    <phoneticPr fontId="1"/>
  </si>
  <si>
    <t>・ 医用画像処理、CAD/CAM、電子カルテなど、歯科分野でのデータサイエンス・ＡＩの具体的な活用事例を紹介する。
・ 歯科医療領域における専門教育と日常生活や社会との接点を意識しながら学習を進められるよう、歯科医療の臨床現場や研究で活用されている各種のオープンデータを用いて事例研究を行い、データ・AIの利活用領域の広がりを知る。
・ 歯科医療領域で特に実用化が進んでいるデジタルイメージングシステム、医用画像処理、電子カルテや医療情報ネットワークの最新技術を学び、健康寿命延伸に向けた課題解決にそれらの技術が活かされていることを学ぶ。
・ 仮説検証、知識発見、原因究明、計画策定、判断支援などの各プロセスにおいてAIやデータサイエンスがどのように活かされているのかを専門科目の授業のなかで実例を通して学ぶ。</t>
    <rPh sb="60" eb="62">
      <t>シカ</t>
    </rPh>
    <rPh sb="62" eb="64">
      <t>イリョウ</t>
    </rPh>
    <rPh sb="64" eb="66">
      <t>リョウイキ</t>
    </rPh>
    <rPh sb="70" eb="72">
      <t>センモン</t>
    </rPh>
    <rPh sb="72" eb="74">
      <t>キョウイク</t>
    </rPh>
    <rPh sb="75" eb="77">
      <t>ニチジョウ</t>
    </rPh>
    <rPh sb="77" eb="79">
      <t>セイカツ</t>
    </rPh>
    <rPh sb="80" eb="82">
      <t>シャカイ</t>
    </rPh>
    <rPh sb="84" eb="86">
      <t>セッテン</t>
    </rPh>
    <rPh sb="87" eb="89">
      <t>イシキ</t>
    </rPh>
    <rPh sb="93" eb="95">
      <t>ガクシュウ</t>
    </rPh>
    <rPh sb="96" eb="97">
      <t>スス</t>
    </rPh>
    <rPh sb="135" eb="136">
      <t>モチ</t>
    </rPh>
    <rPh sb="138" eb="140">
      <t>ジレイ</t>
    </rPh>
    <rPh sb="140" eb="142">
      <t>ケンキュウ</t>
    </rPh>
    <rPh sb="143" eb="144">
      <t>オコナ</t>
    </rPh>
    <rPh sb="153" eb="154">
      <t>リ</t>
    </rPh>
    <rPh sb="154" eb="156">
      <t>カツヨウ</t>
    </rPh>
    <rPh sb="156" eb="158">
      <t>リョウイキ</t>
    </rPh>
    <rPh sb="159" eb="160">
      <t>ヒロ</t>
    </rPh>
    <rPh sb="163" eb="164">
      <t>シ</t>
    </rPh>
    <rPh sb="169" eb="171">
      <t>シカ</t>
    </rPh>
    <rPh sb="171" eb="173">
      <t>イリョウ</t>
    </rPh>
    <rPh sb="173" eb="175">
      <t>リョウイキ</t>
    </rPh>
    <rPh sb="176" eb="177">
      <t>トク</t>
    </rPh>
    <rPh sb="178" eb="181">
      <t>ジツヨウカ</t>
    </rPh>
    <rPh sb="182" eb="183">
      <t>スス</t>
    </rPh>
    <rPh sb="209" eb="211">
      <t>デンシ</t>
    </rPh>
    <rPh sb="215" eb="217">
      <t>イリョウ</t>
    </rPh>
    <rPh sb="217" eb="219">
      <t>ジョウホウ</t>
    </rPh>
    <rPh sb="226" eb="228">
      <t>サイシン</t>
    </rPh>
    <rPh sb="228" eb="230">
      <t>ギジュツ</t>
    </rPh>
    <rPh sb="231" eb="232">
      <t>マナ</t>
    </rPh>
    <rPh sb="234" eb="236">
      <t>ケンコウ</t>
    </rPh>
    <rPh sb="236" eb="238">
      <t>ジュミョウ</t>
    </rPh>
    <rPh sb="238" eb="240">
      <t>エンシン</t>
    </rPh>
    <rPh sb="241" eb="242">
      <t>ム</t>
    </rPh>
    <rPh sb="244" eb="246">
      <t>カダイ</t>
    </rPh>
    <rPh sb="246" eb="248">
      <t>カイケツ</t>
    </rPh>
    <rPh sb="253" eb="255">
      <t>ギジュツ</t>
    </rPh>
    <rPh sb="256" eb="257">
      <t>イ</t>
    </rPh>
    <rPh sb="292" eb="294">
      <t>ハンダン</t>
    </rPh>
    <rPh sb="294" eb="296">
      <t>シエン</t>
    </rPh>
    <rPh sb="299" eb="300">
      <t>カク</t>
    </rPh>
    <rPh sb="325" eb="326">
      <t>イ</t>
    </rPh>
    <phoneticPr fontId="1"/>
  </si>
  <si>
    <t xml:space="preserve">・ インターネット上で公開されている種々のデータを取得し、表計算ソフトを使って初歩的な解析を行い、データ解析がどのようなものであるか体験するとともに、手作業の部分にＡＩを活用するための条件を考える。
・ 表計算ソフトを用いてデータの可視化における基本的な技術と手順を演習を通して学ぶ。
・ 表計算ソフトを用いてデータ解析やデータ予測、シミュレーションに必要となる基礎的な知識と技術を習得する。
・ 数理・データサイエンス・ＡＩが日常生活や社会における課題解決の有用なツールになり得ることを医療・福祉に関連する実データを用いて学ぶ。
・ 歯科医療の中でもICTやビジネスなどその他の業界における技術との組み合わせによって実用化が進んでいる最新事例を学ぶ。
</t>
    <rPh sb="102" eb="105">
      <t>ヒョウケイサン</t>
    </rPh>
    <rPh sb="109" eb="110">
      <t>モチ</t>
    </rPh>
    <rPh sb="116" eb="119">
      <t>カシカ</t>
    </rPh>
    <rPh sb="123" eb="126">
      <t>キホンテキ</t>
    </rPh>
    <rPh sb="127" eb="129">
      <t>ギジュツ</t>
    </rPh>
    <rPh sb="130" eb="132">
      <t>テジュン</t>
    </rPh>
    <rPh sb="133" eb="135">
      <t>エンシュウ</t>
    </rPh>
    <rPh sb="136" eb="137">
      <t>トオ</t>
    </rPh>
    <rPh sb="139" eb="140">
      <t>マナ</t>
    </rPh>
    <phoneticPr fontId="1"/>
  </si>
  <si>
    <t>・ 医療情報は個人情報の集積であることを認識し、ＡＩの利用を含め、データを利活用するための倫理的な制約、守らなければならない規則、その実現のためのセキュリティの確保について学ぶ。
・ 取り扱う情報・電子データが医療、歯科医療及び医学・歯学研究に係るものであることを十分に認識し、医療倫理・研究倫理を遵守するために必要となる知識と態度を身に付ける。</t>
    <rPh sb="92" eb="93">
      <t>ト</t>
    </rPh>
    <rPh sb="94" eb="95">
      <t>アツカ</t>
    </rPh>
    <rPh sb="96" eb="98">
      <t>ジョウホウ</t>
    </rPh>
    <rPh sb="99" eb="101">
      <t>デンシ</t>
    </rPh>
    <rPh sb="122" eb="123">
      <t>カカ</t>
    </rPh>
    <rPh sb="132" eb="134">
      <t>ジュウブン</t>
    </rPh>
    <rPh sb="135" eb="137">
      <t>ニンシキ</t>
    </rPh>
    <rPh sb="156" eb="158">
      <t>ヒツヨウ</t>
    </rPh>
    <phoneticPr fontId="1"/>
  </si>
  <si>
    <t>情報科学</t>
    <rPh sb="0" eb="2">
      <t>ジョウホウ</t>
    </rPh>
    <rPh sb="2" eb="4">
      <t>カガク</t>
    </rPh>
    <phoneticPr fontId="1"/>
  </si>
  <si>
    <t>・ データ駆動型社会とも呼ばれる現在の社会では、ゲノム情報、電子カルテ、各種のセンサーを備えたウエアラブルデバイス、それらから得られたビッグデータの解析など、数理・データサイエンス・ＡＩが医療・福祉・介護領域にも浸透していることを紹介する。
・ 医療現場でのパソコンやタブレット型端末等の活用、遠隔診療・保健指導の導入、検査機器・医療機器の高度化などの最新動向を通して、コメディカル領域の従事者が数理・データサイエンス・AIに関する基礎的能力を養う意義を知る。
・ 患者を中心とした質の高い医療の提供には、保健・医療・福祉・介護の現場における多職種連携が重要であり、相互の円滑な情報共有に必要となるデータを起点としたものの見方や仕組みを学ぶ。
・ Soceity5.0の実現のなかでも特に保健・医療・福祉・介護領域における数理・データサイエンス・AIの最新動向をとおして学ぶ意義を知る。</t>
    <rPh sb="160" eb="162">
      <t>ケンサ</t>
    </rPh>
    <rPh sb="162" eb="164">
      <t>キキ</t>
    </rPh>
    <rPh sb="176" eb="178">
      <t>サイシン</t>
    </rPh>
    <rPh sb="178" eb="180">
      <t>ドウコウ</t>
    </rPh>
    <rPh sb="181" eb="182">
      <t>トオ</t>
    </rPh>
    <rPh sb="198" eb="200">
      <t>スウリ</t>
    </rPh>
    <rPh sb="213" eb="214">
      <t>カン</t>
    </rPh>
    <rPh sb="224" eb="226">
      <t>イギ</t>
    </rPh>
    <rPh sb="227" eb="228">
      <t>シ</t>
    </rPh>
    <rPh sb="294" eb="296">
      <t>ヒツヨウ</t>
    </rPh>
    <rPh sb="303" eb="305">
      <t>キテン</t>
    </rPh>
    <rPh sb="311" eb="313">
      <t>ミカタ</t>
    </rPh>
    <rPh sb="314" eb="316">
      <t>シク</t>
    </rPh>
    <rPh sb="318" eb="319">
      <t>マナ</t>
    </rPh>
    <rPh sb="344" eb="346">
      <t>ホケン</t>
    </rPh>
    <rPh sb="347" eb="349">
      <t>イリョウ</t>
    </rPh>
    <rPh sb="350" eb="352">
      <t>フクシ</t>
    </rPh>
    <phoneticPr fontId="1"/>
  </si>
  <si>
    <t>・ 医用画像処理、CAD/CAM、電子カルテなど、歯科分野でのデータサイエンス・ＡＩの具体的な活用事例を紹介する。
・ 歯科医療や福祉の領域における専門教育と日常生活や社会との接点を意識しながら学習を進められるよう、医療・福祉や研究で活用されている各種のオープンデータを用いて事例研究を行う。
・ 医療・福祉領域における調査手法などを学び、ニーズの把握方法や調査結果の活用方法を知る。
・ 仮説検証、知識発見、原因究明、計画策定、判断支援などの各プロセスにおいてAIやデータサイエンスがどのように活かされているのかを専門科目の授業のなかで実例を通して学ぶ。</t>
    <rPh sb="60" eb="62">
      <t>シカ</t>
    </rPh>
    <rPh sb="62" eb="64">
      <t>イリョウ</t>
    </rPh>
    <rPh sb="65" eb="67">
      <t>フクシ</t>
    </rPh>
    <rPh sb="68" eb="70">
      <t>リョウイキ</t>
    </rPh>
    <rPh sb="74" eb="76">
      <t>センモン</t>
    </rPh>
    <rPh sb="76" eb="78">
      <t>キョウイク</t>
    </rPh>
    <rPh sb="79" eb="81">
      <t>ニチジョウ</t>
    </rPh>
    <rPh sb="81" eb="83">
      <t>セイカツ</t>
    </rPh>
    <rPh sb="84" eb="86">
      <t>シャカイ</t>
    </rPh>
    <rPh sb="88" eb="90">
      <t>セッテン</t>
    </rPh>
    <rPh sb="91" eb="93">
      <t>イシキ</t>
    </rPh>
    <rPh sb="97" eb="99">
      <t>ガクシュウ</t>
    </rPh>
    <rPh sb="100" eb="101">
      <t>スス</t>
    </rPh>
    <rPh sb="108" eb="110">
      <t>イリョウ</t>
    </rPh>
    <rPh sb="111" eb="113">
      <t>フクシ</t>
    </rPh>
    <rPh sb="135" eb="136">
      <t>モチ</t>
    </rPh>
    <rPh sb="138" eb="140">
      <t>ジレイ</t>
    </rPh>
    <rPh sb="140" eb="142">
      <t>ケンキュウ</t>
    </rPh>
    <rPh sb="143" eb="144">
      <t>オコナ</t>
    </rPh>
    <rPh sb="149" eb="151">
      <t>イリョウ</t>
    </rPh>
    <rPh sb="152" eb="154">
      <t>フクシ</t>
    </rPh>
    <rPh sb="154" eb="156">
      <t>リョウイキ</t>
    </rPh>
    <rPh sb="160" eb="162">
      <t>チョウサ</t>
    </rPh>
    <rPh sb="162" eb="164">
      <t>シュホウ</t>
    </rPh>
    <rPh sb="167" eb="168">
      <t>マナ</t>
    </rPh>
    <rPh sb="174" eb="176">
      <t>ハアク</t>
    </rPh>
    <rPh sb="176" eb="178">
      <t>ホウホウ</t>
    </rPh>
    <rPh sb="179" eb="181">
      <t>チョウサ</t>
    </rPh>
    <rPh sb="181" eb="183">
      <t>ケッカ</t>
    </rPh>
    <rPh sb="184" eb="186">
      <t>カツヨウ</t>
    </rPh>
    <rPh sb="186" eb="188">
      <t>ホウホウ</t>
    </rPh>
    <rPh sb="189" eb="190">
      <t>シ</t>
    </rPh>
    <rPh sb="215" eb="217">
      <t>ハンダン</t>
    </rPh>
    <rPh sb="217" eb="219">
      <t>シエン</t>
    </rPh>
    <rPh sb="222" eb="223">
      <t>カク</t>
    </rPh>
    <rPh sb="248" eb="249">
      <t>イ</t>
    </rPh>
    <phoneticPr fontId="1"/>
  </si>
  <si>
    <t xml:space="preserve">・ 歯科医療領域で実用化が進んでいるデジタルデンティストリーや医用画像処理の最新技術を学び、健康寿命延伸に向けた課題解決にそれらの技術が生かされていることを学ぶ。
・ 歯科用CAD/CAMを例に、デジタルデータをどのように取得し、ＡＩを活用しながら加工するかを理解する。
・ 数理・データサイエンス・ＡＩが日常生活や社会における課題解決の有用なツールになり得ることを医療・福祉に関連する実データを用いて学ぶ。
・ 医科歯科連携におけるデータサイエンスの利活用の方法を事例研究を通して学ぶ。
</t>
    <rPh sb="207" eb="209">
      <t>イカ</t>
    </rPh>
    <rPh sb="209" eb="211">
      <t>シカ</t>
    </rPh>
    <rPh sb="211" eb="213">
      <t>レンケイ</t>
    </rPh>
    <rPh sb="226" eb="227">
      <t>リ</t>
    </rPh>
    <rPh sb="227" eb="229">
      <t>カツヨウ</t>
    </rPh>
    <rPh sb="230" eb="232">
      <t>ホウホウ</t>
    </rPh>
    <rPh sb="235" eb="237">
      <t>ケンキュウ</t>
    </rPh>
    <rPh sb="238" eb="239">
      <t>トオ</t>
    </rPh>
    <phoneticPr fontId="1"/>
  </si>
  <si>
    <t>・ 医療情報は個人情報の集積であることを認識し、ＡＩの利用を含め、データを利活用するための倫理的な制約、守らなければならない規則、その実現のためのセキュリティの確保について学ぶ。
・ 取り扱う情報・電子データが医療、歯科医療、健康福祉及び医学・歯学研究に係るものであることを十分に認識し、医療倫理・研究倫理を遵守するために必要となる知識と態度を身に付ける。</t>
    <rPh sb="92" eb="93">
      <t>ト</t>
    </rPh>
    <rPh sb="94" eb="95">
      <t>アツカ</t>
    </rPh>
    <rPh sb="96" eb="98">
      <t>ジョウホウ</t>
    </rPh>
    <rPh sb="99" eb="101">
      <t>デンシ</t>
    </rPh>
    <rPh sb="113" eb="115">
      <t>ケンコウ</t>
    </rPh>
    <rPh sb="115" eb="117">
      <t>フクシ</t>
    </rPh>
    <rPh sb="127" eb="128">
      <t>カカ</t>
    </rPh>
    <rPh sb="137" eb="139">
      <t>ジュウブン</t>
    </rPh>
    <rPh sb="140" eb="142">
      <t>ニンシキ</t>
    </rPh>
    <rPh sb="161" eb="163">
      <t>ヒツヨウ</t>
    </rPh>
    <phoneticPr fontId="1"/>
  </si>
  <si>
    <t>・ 統計学における基本的な指標を学び、社会調査で得られるデータの読み方やＡＩの活用の仕方を理解する。
・ 初等数学・微積分・確率統計の基礎を学ぶことにより、身の回りの種々の情報を自ら分析することができる論理的思考力と数量的汎用能力を身に付ける。
・ 健康・福祉に関するさまざまな実データ・実課題を用いた演習をとおして「データを読む、説明する、扱う」といった数理・データサイエンス・ＡＩの基本的な活用法に関することを学ぶ。</t>
    <rPh sb="125" eb="127">
      <t>ケンコウ</t>
    </rPh>
    <rPh sb="128" eb="130">
      <t>フクシ</t>
    </rPh>
    <rPh sb="131" eb="132">
      <t>カン</t>
    </rPh>
    <phoneticPr fontId="1"/>
  </si>
  <si>
    <t>　本プログラムは、歯科医療の専門職に求められる多様なニーズに対応する実践力を身につけることを目的とする学部横断型の「ODU歯科医療連携プログラム」のひとつとして開設した。
　数理・データサイエンス・ＡＩの視点から、既開設の科目を有機的に組み合わせ、一定の知識、技能、態度を修得できるよう、体系的に編成するものである。当該委員会を運営主体とし、プログラムが適正に編成されているか継続的に評価し、不断の教学改善活動を行う。</t>
    <phoneticPr fontId="1"/>
  </si>
  <si>
    <t>https://www.osaka-dent.ac.jp/faculty/dentalcarefaculties.html</t>
    <phoneticPr fontId="1"/>
  </si>
  <si>
    <r>
      <rPr>
        <sz val="12"/>
        <color rgb="FFFF0000"/>
        <rFont val="ＭＳ Ｐゴシック"/>
        <family val="3"/>
        <charset val="128"/>
        <scheme val="minor"/>
      </rPr>
      <t xml:space="preserve">1) </t>
    </r>
    <r>
      <rPr>
        <sz val="12"/>
        <rFont val="ＭＳ Ｐゴシック"/>
        <family val="3"/>
        <charset val="128"/>
        <scheme val="minor"/>
      </rPr>
      <t>情報科学　</t>
    </r>
    <r>
      <rPr>
        <sz val="12"/>
        <color rgb="FFFF0000"/>
        <rFont val="ＭＳ Ｐゴシック"/>
        <family val="3"/>
        <charset val="128"/>
        <scheme val="minor"/>
      </rPr>
      <t>【2】</t>
    </r>
    <phoneticPr fontId="1"/>
  </si>
  <si>
    <r>
      <rPr>
        <sz val="12"/>
        <color rgb="FFFF0000"/>
        <rFont val="ＭＳ Ｐゴシック"/>
        <family val="3"/>
        <charset val="128"/>
        <scheme val="minor"/>
      </rPr>
      <t xml:space="preserve">1) </t>
    </r>
    <r>
      <rPr>
        <sz val="12"/>
        <rFont val="ＭＳ Ｐゴシック"/>
        <family val="3"/>
        <charset val="128"/>
        <scheme val="minor"/>
      </rPr>
      <t>数学　</t>
    </r>
    <r>
      <rPr>
        <sz val="12"/>
        <color rgb="FFFF0000"/>
        <rFont val="ＭＳ Ｐゴシック"/>
        <family val="3"/>
        <charset val="128"/>
        <scheme val="minor"/>
      </rPr>
      <t>【2】</t>
    </r>
    <phoneticPr fontId="1"/>
  </si>
  <si>
    <r>
      <rPr>
        <sz val="12"/>
        <color rgb="FFFF0000"/>
        <rFont val="ＭＳ Ｐゴシック"/>
        <family val="3"/>
        <charset val="128"/>
        <scheme val="minor"/>
      </rPr>
      <t xml:space="preserve">3) </t>
    </r>
    <r>
      <rPr>
        <sz val="12"/>
        <rFont val="ＭＳ Ｐゴシック"/>
        <family val="3"/>
        <charset val="128"/>
        <scheme val="minor"/>
      </rPr>
      <t>衛生学・公衆衛生学　</t>
    </r>
    <r>
      <rPr>
        <sz val="12"/>
        <color rgb="FFFF0000"/>
        <rFont val="ＭＳ Ｐゴシック"/>
        <family val="3"/>
        <charset val="128"/>
        <scheme val="minor"/>
      </rPr>
      <t>【1.5】</t>
    </r>
    <phoneticPr fontId="1"/>
  </si>
  <si>
    <r>
      <rPr>
        <sz val="12"/>
        <color rgb="FFFF0000"/>
        <rFont val="ＭＳ Ｐゴシック"/>
        <family val="3"/>
        <charset val="128"/>
        <scheme val="minor"/>
      </rPr>
      <t>3)</t>
    </r>
    <r>
      <rPr>
        <sz val="12"/>
        <rFont val="ＭＳ Ｐゴシック"/>
        <family val="3"/>
        <charset val="128"/>
        <scheme val="minor"/>
      </rPr>
      <t xml:space="preserve"> 社会歯科学・口腔衛生学　</t>
    </r>
    <r>
      <rPr>
        <sz val="12"/>
        <color rgb="FFFF0000"/>
        <rFont val="ＭＳ Ｐゴシック"/>
        <family val="3"/>
        <charset val="128"/>
        <scheme val="minor"/>
      </rPr>
      <t>【2】</t>
    </r>
    <phoneticPr fontId="1"/>
  </si>
  <si>
    <r>
      <rPr>
        <sz val="12"/>
        <color rgb="FFFF0000"/>
        <rFont val="ＭＳ Ｐゴシック"/>
        <family val="3"/>
        <charset val="128"/>
        <scheme val="minor"/>
      </rPr>
      <t>3)</t>
    </r>
    <r>
      <rPr>
        <sz val="12"/>
        <rFont val="ＭＳ Ｐゴシック"/>
        <family val="3"/>
        <charset val="128"/>
        <scheme val="minor"/>
      </rPr>
      <t xml:space="preserve"> 歯科栄養学　</t>
    </r>
    <r>
      <rPr>
        <sz val="12"/>
        <color rgb="FFFF0000"/>
        <rFont val="ＭＳ Ｐゴシック"/>
        <family val="3"/>
        <charset val="128"/>
        <scheme val="minor"/>
      </rPr>
      <t>【0.5】</t>
    </r>
    <phoneticPr fontId="1"/>
  </si>
  <si>
    <r>
      <rPr>
        <sz val="12"/>
        <color rgb="FFFF0000"/>
        <rFont val="ＭＳ Ｐゴシック"/>
        <family val="3"/>
        <charset val="128"/>
        <scheme val="minor"/>
      </rPr>
      <t>3)</t>
    </r>
    <r>
      <rPr>
        <sz val="12"/>
        <rFont val="ＭＳ Ｐゴシック"/>
        <family val="3"/>
        <charset val="128"/>
        <scheme val="minor"/>
      </rPr>
      <t xml:space="preserve"> 医療統計学　</t>
    </r>
    <r>
      <rPr>
        <sz val="12"/>
        <color rgb="FFFF0000"/>
        <rFont val="ＭＳ Ｐゴシック"/>
        <family val="3"/>
        <charset val="128"/>
        <scheme val="minor"/>
      </rPr>
      <t>【1】</t>
    </r>
    <phoneticPr fontId="1"/>
  </si>
  <si>
    <r>
      <rPr>
        <sz val="12"/>
        <color rgb="FFFF0000"/>
        <rFont val="ＭＳ Ｐゴシック"/>
        <family val="3"/>
        <charset val="128"/>
        <scheme val="minor"/>
      </rPr>
      <t>2)</t>
    </r>
    <r>
      <rPr>
        <sz val="12"/>
        <rFont val="ＭＳ Ｐゴシック"/>
        <family val="3"/>
        <charset val="128"/>
        <scheme val="minor"/>
      </rPr>
      <t xml:space="preserve"> 微生物学Ⅰ　</t>
    </r>
    <r>
      <rPr>
        <sz val="12"/>
        <color rgb="FFFF0000"/>
        <rFont val="ＭＳ Ｐゴシック"/>
        <family val="3"/>
        <charset val="128"/>
        <scheme val="minor"/>
      </rPr>
      <t>【3】</t>
    </r>
    <phoneticPr fontId="1"/>
  </si>
  <si>
    <r>
      <rPr>
        <sz val="12"/>
        <color rgb="FFFF0000"/>
        <rFont val="ＭＳ Ｐゴシック"/>
        <family val="3"/>
        <charset val="128"/>
        <scheme val="minor"/>
      </rPr>
      <t>2)</t>
    </r>
    <r>
      <rPr>
        <sz val="12"/>
        <rFont val="ＭＳ Ｐゴシック"/>
        <family val="3"/>
        <charset val="128"/>
        <scheme val="minor"/>
      </rPr>
      <t xml:space="preserve"> 微生物学Ⅱ</t>
    </r>
    <r>
      <rPr>
        <sz val="12"/>
        <color rgb="FFFF0000"/>
        <rFont val="ＭＳ Ｐゴシック"/>
        <family val="3"/>
        <charset val="128"/>
        <scheme val="minor"/>
      </rPr>
      <t>　【3】</t>
    </r>
    <phoneticPr fontId="1"/>
  </si>
  <si>
    <r>
      <rPr>
        <sz val="12"/>
        <color rgb="FFFF0000"/>
        <rFont val="ＭＳ Ｐゴシック"/>
        <family val="3"/>
        <charset val="128"/>
        <scheme val="minor"/>
      </rPr>
      <t xml:space="preserve">4) </t>
    </r>
    <r>
      <rPr>
        <sz val="12"/>
        <rFont val="ＭＳ Ｐゴシック"/>
        <family val="3"/>
        <charset val="128"/>
        <scheme val="minor"/>
      </rPr>
      <t>歯科放射線学　</t>
    </r>
    <r>
      <rPr>
        <sz val="12"/>
        <color rgb="FFFF0000"/>
        <rFont val="ＭＳ Ｐゴシック"/>
        <family val="3"/>
        <charset val="128"/>
        <scheme val="minor"/>
      </rPr>
      <t>【3】</t>
    </r>
    <phoneticPr fontId="1"/>
  </si>
  <si>
    <r>
      <rPr>
        <sz val="12"/>
        <color rgb="FFFF0000"/>
        <rFont val="ＭＳ Ｐゴシック"/>
        <family val="3"/>
        <charset val="128"/>
        <scheme val="minor"/>
      </rPr>
      <t>4)</t>
    </r>
    <r>
      <rPr>
        <sz val="12"/>
        <rFont val="ＭＳ Ｐゴシック"/>
        <family val="3"/>
        <charset val="128"/>
        <scheme val="minor"/>
      </rPr>
      <t xml:space="preserve"> 小児歯科学　</t>
    </r>
    <r>
      <rPr>
        <sz val="12"/>
        <color rgb="FFFF0000"/>
        <rFont val="ＭＳ Ｐゴシック"/>
        <family val="3"/>
        <charset val="128"/>
        <scheme val="minor"/>
      </rPr>
      <t>【3.5】</t>
    </r>
    <phoneticPr fontId="1"/>
  </si>
  <si>
    <r>
      <rPr>
        <sz val="12"/>
        <color rgb="FFFF0000"/>
        <rFont val="ＭＳ Ｐゴシック"/>
        <family val="3"/>
        <charset val="128"/>
        <scheme val="minor"/>
      </rPr>
      <t>3)</t>
    </r>
    <r>
      <rPr>
        <sz val="12"/>
        <rFont val="ＭＳ Ｐゴシック"/>
        <family val="3"/>
        <charset val="128"/>
        <scheme val="minor"/>
      </rPr>
      <t xml:space="preserve"> 歯科医療（安全）管理学　</t>
    </r>
    <r>
      <rPr>
        <sz val="12"/>
        <color rgb="FFFF0000"/>
        <rFont val="ＭＳ Ｐゴシック"/>
        <family val="3"/>
        <charset val="128"/>
        <scheme val="minor"/>
      </rPr>
      <t>【1】</t>
    </r>
    <phoneticPr fontId="1"/>
  </si>
  <si>
    <r>
      <rPr>
        <sz val="12"/>
        <color rgb="FFFF0000"/>
        <rFont val="ＭＳ Ｐゴシック"/>
        <family val="3"/>
        <charset val="128"/>
        <scheme val="minor"/>
      </rPr>
      <t xml:space="preserve">1) </t>
    </r>
    <r>
      <rPr>
        <sz val="12"/>
        <rFont val="ＭＳ Ｐゴシック"/>
        <family val="3"/>
        <charset val="128"/>
        <scheme val="minor"/>
      </rPr>
      <t>情報科学Ⅰ　</t>
    </r>
    <r>
      <rPr>
        <sz val="12"/>
        <color rgb="FFFF0000"/>
        <rFont val="ＭＳ Ｐゴシック"/>
        <family val="3"/>
        <charset val="128"/>
        <scheme val="minor"/>
      </rPr>
      <t>【1】</t>
    </r>
    <phoneticPr fontId="1"/>
  </si>
  <si>
    <r>
      <rPr>
        <sz val="12"/>
        <color rgb="FFFF0000"/>
        <rFont val="ＭＳ Ｐゴシック"/>
        <family val="3"/>
        <charset val="128"/>
        <scheme val="minor"/>
      </rPr>
      <t xml:space="preserve">1) </t>
    </r>
    <r>
      <rPr>
        <sz val="12"/>
        <rFont val="ＭＳ Ｐゴシック"/>
        <family val="3"/>
        <charset val="128"/>
        <scheme val="minor"/>
      </rPr>
      <t>情報科学Ⅱ　</t>
    </r>
    <r>
      <rPr>
        <sz val="12"/>
        <color rgb="FFFF0000"/>
        <rFont val="ＭＳ Ｐゴシック"/>
        <family val="3"/>
        <charset val="128"/>
        <scheme val="minor"/>
      </rPr>
      <t>【1】</t>
    </r>
    <phoneticPr fontId="1"/>
  </si>
  <si>
    <r>
      <rPr>
        <sz val="12"/>
        <color rgb="FFFF0000"/>
        <rFont val="ＭＳ Ｐゴシック"/>
        <family val="3"/>
        <charset val="128"/>
        <scheme val="minor"/>
      </rPr>
      <t>1)</t>
    </r>
    <r>
      <rPr>
        <sz val="12"/>
        <rFont val="ＭＳ Ｐゴシック"/>
        <family val="3"/>
        <charset val="128"/>
        <scheme val="minor"/>
      </rPr>
      <t xml:space="preserve"> 統計学　</t>
    </r>
    <r>
      <rPr>
        <sz val="12"/>
        <color rgb="FFFF0000"/>
        <rFont val="ＭＳ Ｐゴシック"/>
        <family val="3"/>
        <charset val="128"/>
        <scheme val="minor"/>
      </rPr>
      <t>【1】</t>
    </r>
    <phoneticPr fontId="1"/>
  </si>
  <si>
    <r>
      <rPr>
        <sz val="12"/>
        <color rgb="FFFF0000"/>
        <rFont val="ＭＳ Ｐゴシック"/>
        <family val="3"/>
        <charset val="128"/>
        <scheme val="minor"/>
      </rPr>
      <t xml:space="preserve">2) </t>
    </r>
    <r>
      <rPr>
        <sz val="12"/>
        <rFont val="ＭＳ Ｐゴシック"/>
        <family val="3"/>
        <charset val="128"/>
        <scheme val="minor"/>
      </rPr>
      <t>社会福祉論Ⅰ　</t>
    </r>
    <r>
      <rPr>
        <sz val="12"/>
        <color rgb="FFFF0000"/>
        <rFont val="ＭＳ Ｐゴシック"/>
        <family val="3"/>
        <charset val="128"/>
        <scheme val="minor"/>
      </rPr>
      <t>【2】</t>
    </r>
    <phoneticPr fontId="1"/>
  </si>
  <si>
    <r>
      <rPr>
        <sz val="12"/>
        <color rgb="FFFF0000"/>
        <rFont val="ＭＳ Ｐゴシック"/>
        <family val="3"/>
        <charset val="128"/>
        <scheme val="minor"/>
      </rPr>
      <t xml:space="preserve">2) </t>
    </r>
    <r>
      <rPr>
        <sz val="12"/>
        <rFont val="ＭＳ Ｐゴシック"/>
        <family val="3"/>
        <charset val="128"/>
        <scheme val="minor"/>
      </rPr>
      <t>社会調査学　</t>
    </r>
    <r>
      <rPr>
        <sz val="12"/>
        <color rgb="FFFF0000"/>
        <rFont val="ＭＳ Ｐゴシック"/>
        <family val="3"/>
        <charset val="128"/>
        <scheme val="minor"/>
      </rPr>
      <t>【1】</t>
    </r>
    <phoneticPr fontId="1"/>
  </si>
  <si>
    <r>
      <rPr>
        <sz val="12"/>
        <color rgb="FFFF0000"/>
        <rFont val="ＭＳ Ｐゴシック"/>
        <family val="3"/>
        <charset val="128"/>
        <scheme val="minor"/>
      </rPr>
      <t xml:space="preserve">2)* </t>
    </r>
    <r>
      <rPr>
        <sz val="12"/>
        <rFont val="ＭＳ Ｐゴシック"/>
        <family val="3"/>
        <charset val="128"/>
        <scheme val="minor"/>
      </rPr>
      <t>地域福祉論Ⅱ　</t>
    </r>
    <r>
      <rPr>
        <sz val="12"/>
        <color rgb="FFFF0000"/>
        <rFont val="ＭＳ Ｐゴシック"/>
        <family val="3"/>
        <charset val="128"/>
        <scheme val="minor"/>
      </rPr>
      <t>【2】</t>
    </r>
    <phoneticPr fontId="1"/>
  </si>
  <si>
    <r>
      <rPr>
        <sz val="12"/>
        <color rgb="FFFF0000"/>
        <rFont val="ＭＳ Ｐゴシック"/>
        <family val="3"/>
        <charset val="128"/>
        <scheme val="minor"/>
      </rPr>
      <t xml:space="preserve">2)* </t>
    </r>
    <r>
      <rPr>
        <sz val="12"/>
        <rFont val="ＭＳ Ｐゴシック"/>
        <family val="3"/>
        <charset val="128"/>
        <scheme val="minor"/>
      </rPr>
      <t>社会福祉調査学　</t>
    </r>
    <r>
      <rPr>
        <sz val="12"/>
        <color rgb="FFFF0000"/>
        <rFont val="ＭＳ Ｐゴシック"/>
        <family val="3"/>
        <charset val="128"/>
        <scheme val="minor"/>
      </rPr>
      <t>【1】</t>
    </r>
    <phoneticPr fontId="1"/>
  </si>
  <si>
    <r>
      <rPr>
        <sz val="12"/>
        <color rgb="FFFF0000"/>
        <rFont val="ＭＳ Ｐゴシック"/>
        <family val="3"/>
        <charset val="128"/>
        <scheme val="minor"/>
      </rPr>
      <t xml:space="preserve">3) </t>
    </r>
    <r>
      <rPr>
        <sz val="12"/>
        <rFont val="ＭＳ Ｐゴシック"/>
        <family val="3"/>
        <charset val="128"/>
        <scheme val="minor"/>
      </rPr>
      <t>口腔デジタル基礎工学　</t>
    </r>
    <r>
      <rPr>
        <sz val="12"/>
        <color rgb="FFFF0000"/>
        <rFont val="ＭＳ Ｐゴシック"/>
        <family val="3"/>
        <charset val="128"/>
        <scheme val="minor"/>
      </rPr>
      <t>【1】</t>
    </r>
    <phoneticPr fontId="1"/>
  </si>
  <si>
    <r>
      <rPr>
        <sz val="12"/>
        <color rgb="FFFF0000"/>
        <rFont val="ＭＳ Ｐゴシック"/>
        <family val="3"/>
        <charset val="128"/>
        <scheme val="minor"/>
      </rPr>
      <t>3)</t>
    </r>
    <r>
      <rPr>
        <sz val="12"/>
        <rFont val="ＭＳ Ｐゴシック"/>
        <family val="3"/>
        <charset val="128"/>
        <scheme val="minor"/>
      </rPr>
      <t xml:space="preserve"> 審美歯科学　</t>
    </r>
    <r>
      <rPr>
        <sz val="12"/>
        <color rgb="FFFF0000"/>
        <rFont val="ＭＳ Ｐゴシック"/>
        <family val="3"/>
        <charset val="128"/>
        <scheme val="minor"/>
      </rPr>
      <t>【1】</t>
    </r>
    <phoneticPr fontId="1"/>
  </si>
  <si>
    <r>
      <rPr>
        <sz val="12"/>
        <color rgb="FFFF0000"/>
        <rFont val="ＭＳ Ｐゴシック"/>
        <family val="3"/>
        <charset val="128"/>
        <scheme val="minor"/>
      </rPr>
      <t xml:space="preserve">3) </t>
    </r>
    <r>
      <rPr>
        <sz val="12"/>
        <rFont val="ＭＳ Ｐゴシック"/>
        <family val="3"/>
        <charset val="128"/>
        <scheme val="minor"/>
      </rPr>
      <t>医科歯科連携学　</t>
    </r>
    <r>
      <rPr>
        <sz val="12"/>
        <color rgb="FFFF0000"/>
        <rFont val="ＭＳ Ｐゴシック"/>
        <family val="3"/>
        <charset val="128"/>
        <scheme val="minor"/>
      </rPr>
      <t>【1】</t>
    </r>
    <phoneticPr fontId="1"/>
  </si>
  <si>
    <t>有</t>
  </si>
  <si>
    <r>
      <t xml:space="preserve">各年度の履修者数の目標を以下のとおりとする。（（　）内は履修率。）
【歯学部】　
</t>
    </r>
    <r>
      <rPr>
        <sz val="12"/>
        <color rgb="FFFF0000"/>
        <rFont val="ＭＳ Ｐゴシック"/>
        <family val="3"/>
        <charset val="128"/>
        <scheme val="minor"/>
      </rPr>
      <t>令和３年度　512名　（66.6％）　令和４年度　512名　（80％）　令和５年度　512名　（93.3％）
令和６年度　512名　（100％）　令和７年度　512名　（100％）
・歯学部の入学定員は160名（収容定員960名）であるが、定員管理計画により、募集定員128名としている。（令和３年度歯学部在籍者数は804名）
・本プログラムはリテラシーレベルであることから、歯学部低学年（第4学年まで）に開講される必須科目を対象とし、履修者は4学年までを対象として算出する。（128名×4学年＝512名が履修対象）
・履修必修プログラムとして位置づけ、修了者は年々増加することから、履修者数、履修率については目標を十分達成できる見込みである。</t>
    </r>
    <r>
      <rPr>
        <sz val="12"/>
        <rFont val="ＭＳ Ｐゴシック"/>
        <family val="3"/>
        <charset val="128"/>
        <scheme val="minor"/>
      </rPr>
      <t xml:space="preserve">
【医療保健学部】
</t>
    </r>
    <r>
      <rPr>
        <sz val="12"/>
        <color rgb="FFFF0000"/>
        <rFont val="ＭＳ Ｐゴシック"/>
        <family val="3"/>
        <charset val="128"/>
        <scheme val="minor"/>
      </rPr>
      <t>令和３年度　400名　（100％）　　令和４年度　400名　（100％）　令和５年度　400名　（100％）
令和６年度　400名　（100％）　令和７年度　400名　（100％）
・ 「必修科目」を中心にプログラムを構成しており、履修率は開設初年度（令和２年度）より60％を超えている。</t>
    </r>
    <r>
      <rPr>
        <sz val="12"/>
        <rFont val="ＭＳ Ｐゴシック"/>
        <family val="3"/>
        <charset val="128"/>
        <scheme val="minor"/>
      </rPr>
      <t xml:space="preserve">
・ </t>
    </r>
    <r>
      <rPr>
        <sz val="12"/>
        <color rgb="FFFF0000"/>
        <rFont val="ＭＳ Ｐゴシック"/>
        <family val="3"/>
        <charset val="128"/>
        <scheme val="minor"/>
      </rPr>
      <t>自己点検評価及び学生による</t>
    </r>
    <r>
      <rPr>
        <sz val="12"/>
        <rFont val="ＭＳ Ｐゴシック"/>
        <family val="3"/>
        <charset val="128"/>
        <scheme val="minor"/>
      </rPr>
      <t>授業評価アンケートの結果を踏まえ、LMSの活用によるアクティブラーニング型のオンデマンド教材の活用などにより学習意欲を高め、</t>
    </r>
    <r>
      <rPr>
        <sz val="12"/>
        <color rgb="FFFF0000"/>
        <rFont val="ＭＳ Ｐゴシック"/>
        <family val="3"/>
        <charset val="128"/>
        <scheme val="minor"/>
      </rPr>
      <t>履修率に加えてプログラム修了率を高める計画である。</t>
    </r>
    <rPh sb="35" eb="38">
      <t>シガクブ</t>
    </rPh>
    <rPh sb="50" eb="51">
      <t>メイ</t>
    </rPh>
    <rPh sb="60" eb="62">
      <t>レイワ</t>
    </rPh>
    <rPh sb="63" eb="65">
      <t>ネンド</t>
    </rPh>
    <rPh sb="69" eb="70">
      <t>メイ</t>
    </rPh>
    <rPh sb="77" eb="79">
      <t>レイワ</t>
    </rPh>
    <rPh sb="80" eb="82">
      <t>ネンド</t>
    </rPh>
    <rPh sb="86" eb="87">
      <t>メイ</t>
    </rPh>
    <rPh sb="96" eb="98">
      <t>レイワ</t>
    </rPh>
    <rPh sb="99" eb="101">
      <t>ネンド</t>
    </rPh>
    <rPh sb="105" eb="106">
      <t>メイ</t>
    </rPh>
    <rPh sb="114" eb="116">
      <t>レイワ</t>
    </rPh>
    <rPh sb="117" eb="119">
      <t>ネンド</t>
    </rPh>
    <rPh sb="123" eb="124">
      <t>メイ</t>
    </rPh>
    <rPh sb="133" eb="136">
      <t>シガクブ</t>
    </rPh>
    <rPh sb="137" eb="139">
      <t>ニュウガク</t>
    </rPh>
    <rPh sb="139" eb="141">
      <t>テイイン</t>
    </rPh>
    <rPh sb="145" eb="146">
      <t>メイ</t>
    </rPh>
    <rPh sb="161" eb="163">
      <t>テイイン</t>
    </rPh>
    <rPh sb="163" eb="165">
      <t>カンリ</t>
    </rPh>
    <rPh sb="165" eb="167">
      <t>ケイカク</t>
    </rPh>
    <rPh sb="171" eb="173">
      <t>ボシュウ</t>
    </rPh>
    <rPh sb="173" eb="175">
      <t>テイイン</t>
    </rPh>
    <rPh sb="178" eb="179">
      <t>メイ</t>
    </rPh>
    <rPh sb="186" eb="188">
      <t>レイワ</t>
    </rPh>
    <rPh sb="189" eb="191">
      <t>ネンド</t>
    </rPh>
    <rPh sb="191" eb="194">
      <t>シガクブ</t>
    </rPh>
    <rPh sb="194" eb="198">
      <t>ザイセキシャスウ</t>
    </rPh>
    <rPh sb="202" eb="203">
      <t>メイ</t>
    </rPh>
    <rPh sb="206" eb="207">
      <t>ホン</t>
    </rPh>
    <rPh sb="229" eb="232">
      <t>シガクブ</t>
    </rPh>
    <rPh sb="232" eb="235">
      <t>テイガクネン</t>
    </rPh>
    <rPh sb="236" eb="237">
      <t>ダイ</t>
    </rPh>
    <rPh sb="238" eb="240">
      <t>ガクネン</t>
    </rPh>
    <rPh sb="244" eb="246">
      <t>カイコウ</t>
    </rPh>
    <rPh sb="249" eb="253">
      <t>ヒッスカモク</t>
    </rPh>
    <rPh sb="254" eb="256">
      <t>タイショウ</t>
    </rPh>
    <rPh sb="269" eb="271">
      <t>タイショウ</t>
    </rPh>
    <rPh sb="274" eb="276">
      <t>サンシュツ</t>
    </rPh>
    <rPh sb="292" eb="293">
      <t>メイ</t>
    </rPh>
    <rPh sb="294" eb="296">
      <t>リシュウ</t>
    </rPh>
    <rPh sb="296" eb="298">
      <t>タイショウ</t>
    </rPh>
    <rPh sb="301" eb="303">
      <t>リシュウ</t>
    </rPh>
    <rPh sb="303" eb="305">
      <t>ヒッシュウ</t>
    </rPh>
    <rPh sb="318" eb="321">
      <t>シュウリョウシャ</t>
    </rPh>
    <rPh sb="322" eb="324">
      <t>ネンネン</t>
    </rPh>
    <rPh sb="324" eb="326">
      <t>ゾウカ</t>
    </rPh>
    <rPh sb="333" eb="337">
      <t>リシュウシャスウ</t>
    </rPh>
    <rPh sb="338" eb="341">
      <t>リシュウリツ</t>
    </rPh>
    <rPh sb="346" eb="348">
      <t>モクヒョウ</t>
    </rPh>
    <rPh sb="349" eb="351">
      <t>ジュウブン</t>
    </rPh>
    <rPh sb="351" eb="353">
      <t>タッセイ</t>
    </rPh>
    <rPh sb="356" eb="358">
      <t>ミコ</t>
    </rPh>
    <rPh sb="365" eb="367">
      <t>イリョウ</t>
    </rPh>
    <rPh sb="367" eb="369">
      <t>ホケン</t>
    </rPh>
    <rPh sb="410" eb="412">
      <t>レイワ</t>
    </rPh>
    <rPh sb="413" eb="415">
      <t>ネンド</t>
    </rPh>
    <rPh sb="419" eb="420">
      <t>メイ</t>
    </rPh>
    <rPh sb="428" eb="430">
      <t>レイワ</t>
    </rPh>
    <rPh sb="431" eb="433">
      <t>ネンド</t>
    </rPh>
    <rPh sb="437" eb="438">
      <t>メイ</t>
    </rPh>
    <rPh sb="446" eb="448">
      <t>レイワ</t>
    </rPh>
    <rPh sb="449" eb="451">
      <t>ネンド</t>
    </rPh>
    <rPh sb="455" eb="456">
      <t>メイ</t>
    </rPh>
    <rPh sb="467" eb="469">
      <t>ヒッシュウ</t>
    </rPh>
    <rPh sb="469" eb="471">
      <t>カモク</t>
    </rPh>
    <rPh sb="473" eb="475">
      <t>チュウシン</t>
    </rPh>
    <rPh sb="482" eb="484">
      <t>コウセイ</t>
    </rPh>
    <rPh sb="489" eb="491">
      <t>リシュウ</t>
    </rPh>
    <rPh sb="491" eb="492">
      <t>リツ</t>
    </rPh>
    <rPh sb="493" eb="495">
      <t>カイセツ</t>
    </rPh>
    <rPh sb="495" eb="498">
      <t>ショネンド</t>
    </rPh>
    <rPh sb="499" eb="501">
      <t>レイワ</t>
    </rPh>
    <rPh sb="502" eb="504">
      <t>ネンド</t>
    </rPh>
    <rPh sb="511" eb="512">
      <t>コ</t>
    </rPh>
    <rPh sb="520" eb="524">
      <t>ジコテンケン</t>
    </rPh>
    <rPh sb="524" eb="526">
      <t>ヒョウカ</t>
    </rPh>
    <rPh sb="526" eb="527">
      <t>オヨ</t>
    </rPh>
    <rPh sb="528" eb="530">
      <t>ガクセイ</t>
    </rPh>
    <rPh sb="533" eb="535">
      <t>ジュギョウ</t>
    </rPh>
    <rPh sb="535" eb="537">
      <t>ヒョウカ</t>
    </rPh>
    <rPh sb="543" eb="545">
      <t>ケッカ</t>
    </rPh>
    <rPh sb="546" eb="547">
      <t>フ</t>
    </rPh>
    <rPh sb="554" eb="556">
      <t>カツヨウ</t>
    </rPh>
    <rPh sb="569" eb="570">
      <t>ガタ</t>
    </rPh>
    <rPh sb="577" eb="579">
      <t>キョウザイ</t>
    </rPh>
    <rPh sb="580" eb="582">
      <t>カツヨウ</t>
    </rPh>
    <rPh sb="587" eb="589">
      <t>ガクシュウ</t>
    </rPh>
    <rPh sb="589" eb="591">
      <t>イヨク</t>
    </rPh>
    <rPh sb="592" eb="593">
      <t>タカ</t>
    </rPh>
    <rPh sb="595" eb="598">
      <t>リシュウリツ</t>
    </rPh>
    <rPh sb="599" eb="600">
      <t>クワ</t>
    </rPh>
    <rPh sb="607" eb="609">
      <t>シュウリョウ</t>
    </rPh>
    <rPh sb="609" eb="610">
      <t>リツ</t>
    </rPh>
    <rPh sb="611" eb="612">
      <t>タカ</t>
    </rPh>
    <rPh sb="614" eb="616">
      <t>ケイカク</t>
    </rPh>
    <phoneticPr fontId="1"/>
  </si>
  <si>
    <r>
      <rPr>
        <sz val="12"/>
        <color rgb="FFFF0000"/>
        <rFont val="ＭＳ Ｐゴシック"/>
        <family val="3"/>
        <charset val="128"/>
        <scheme val="minor"/>
      </rPr>
      <t xml:space="preserve">1) </t>
    </r>
    <r>
      <rPr>
        <sz val="12"/>
        <rFont val="ＭＳ Ｐゴシック"/>
        <family val="3"/>
        <charset val="128"/>
        <scheme val="minor"/>
      </rPr>
      <t>臨床歯科医学情報科学　</t>
    </r>
    <r>
      <rPr>
        <sz val="12"/>
        <color rgb="FFFF0000"/>
        <rFont val="ＭＳ Ｐゴシック"/>
        <family val="3"/>
        <charset val="128"/>
        <scheme val="minor"/>
      </rPr>
      <t>【1】</t>
    </r>
    <phoneticPr fontId="1"/>
  </si>
  <si>
    <r>
      <t>【歯学部】　</t>
    </r>
    <r>
      <rPr>
        <sz val="12"/>
        <color rgb="FFFF0000"/>
        <rFont val="ＭＳ Ｐゴシック"/>
        <family val="3"/>
        <charset val="128"/>
        <scheme val="minor"/>
      </rPr>
      <t>第１～４学年に開講する12科目23.5単位（③授業科目名称の【】内の合計）</t>
    </r>
    <r>
      <rPr>
        <sz val="12"/>
        <rFont val="ＭＳ Ｐゴシック"/>
        <family val="3"/>
        <charset val="128"/>
        <scheme val="minor"/>
      </rPr>
      <t xml:space="preserve">
1) 「語学・情報科学教育コース」及び「基礎科学教育コース」（必修３科目５単位）
2) 基礎系歯科医学教育の中で数理・データサイエンス・AIを実践的に学習する科目群
　　（必修２科目５単位）
3) 社会系歯科医学教育の中で数理・データサイエンス・AIを実践的に学習する科目群
　　（必修５科目６単位）
4) 臨床系歯科医学教育の中で数理・データサイエンス・AIを実践的に学習する科目群
　　（必修２科目６単位）
</t>
    </r>
    <r>
      <rPr>
        <sz val="12"/>
        <color rgb="FFFF0000"/>
        <rFont val="ＭＳ Ｐゴシック"/>
        <family val="3"/>
        <charset val="128"/>
        <scheme val="minor"/>
      </rPr>
      <t>上記の</t>
    </r>
    <r>
      <rPr>
        <sz val="12"/>
        <rFont val="ＭＳ Ｐゴシック"/>
        <family val="3"/>
        <charset val="128"/>
        <scheme val="minor"/>
      </rPr>
      <t>うち、1)～3)の合計10科目16単位及び、4）の中から２科目６単位</t>
    </r>
    <r>
      <rPr>
        <sz val="12"/>
        <color rgb="FFFF0000"/>
        <rFont val="ＭＳ Ｐゴシック"/>
        <family val="3"/>
        <charset val="128"/>
        <scheme val="minor"/>
      </rPr>
      <t>を含む合計22単位以上の取得</t>
    </r>
    <r>
      <rPr>
        <sz val="12"/>
        <rFont val="ＭＳ Ｐゴシック"/>
        <family val="3"/>
        <charset val="128"/>
        <scheme val="minor"/>
      </rPr>
      <t>を修了要件とする。</t>
    </r>
    <r>
      <rPr>
        <sz val="12"/>
        <color rgb="FFFF0000"/>
        <rFont val="ＭＳ Ｐゴシック"/>
        <family val="3"/>
        <charset val="128"/>
        <scheme val="minor"/>
      </rPr>
      <t>（すべて歯学部卒業要件の必修科目）</t>
    </r>
    <rPh sb="38" eb="39">
      <t>ナイ</t>
    </rPh>
    <rPh sb="98" eb="99">
      <t>ナカ</t>
    </rPh>
    <rPh sb="153" eb="154">
      <t>ナカ</t>
    </rPh>
    <rPh sb="208" eb="209">
      <t>ナカ</t>
    </rPh>
    <rPh sb="250" eb="252">
      <t>ジョウキ</t>
    </rPh>
    <rPh sb="288" eb="289">
      <t>フク</t>
    </rPh>
    <rPh sb="290" eb="292">
      <t>ゴウケイ</t>
    </rPh>
    <rPh sb="294" eb="296">
      <t>タンイ</t>
    </rPh>
    <rPh sb="296" eb="298">
      <t>イジョウ</t>
    </rPh>
    <rPh sb="299" eb="301">
      <t>シュトク</t>
    </rPh>
    <rPh sb="314" eb="317">
      <t>シガクブ</t>
    </rPh>
    <phoneticPr fontId="1"/>
  </si>
  <si>
    <r>
      <rPr>
        <sz val="12"/>
        <color rgb="FFFF0000"/>
        <rFont val="ＭＳ Ｐゴシック"/>
        <family val="3"/>
        <charset val="128"/>
        <scheme val="minor"/>
      </rPr>
      <t>【医療保健学部】第１～３学年に開講する10科目12単位（③授業科目名称の【】内の合計）</t>
    </r>
    <r>
      <rPr>
        <sz val="12"/>
        <rFont val="ＭＳ Ｐゴシック"/>
        <family val="3"/>
        <charset val="128"/>
        <scheme val="minor"/>
      </rPr>
      <t xml:space="preserve">
1) 基礎科目（情報教育・教養教育）の中で数理・データサイエンス・AIに関する科目群
　　（必修３科目３単位）
2) 専門基礎科目（社会系口腔科学・社会福祉学）の中で数理・データサイエンス・AIに関する科目群（必修２科目３単位</t>
    </r>
    <r>
      <rPr>
        <sz val="12"/>
        <color rgb="FFFF0000"/>
        <rFont val="ＭＳ Ｐゴシック"/>
        <family val="3"/>
        <charset val="128"/>
        <scheme val="minor"/>
      </rPr>
      <t>及び</t>
    </r>
    <r>
      <rPr>
        <sz val="12"/>
        <rFont val="ＭＳ Ｐゴシック"/>
        <family val="3"/>
        <charset val="128"/>
        <scheme val="minor"/>
      </rPr>
      <t>自由選択２科目３単位</t>
    </r>
    <r>
      <rPr>
        <sz val="12"/>
        <color rgb="FFFF0000"/>
        <rFont val="ＭＳ Ｐゴシック"/>
        <family val="3"/>
        <charset val="128"/>
        <scheme val="minor"/>
      </rPr>
      <t>（③授業科目名称の*）</t>
    </r>
    <r>
      <rPr>
        <sz val="12"/>
        <rFont val="ＭＳ Ｐゴシック"/>
        <family val="3"/>
        <charset val="128"/>
        <scheme val="minor"/>
      </rPr>
      <t>の中から３単位以上）
3) 専門科目（臨床系専門教育・総合医学教育）の中で数理・データサイエンス・AIに関する科目群 （必修３科目３単位）</t>
    </r>
    <r>
      <rPr>
        <sz val="12"/>
        <color rgb="FFFF0000"/>
        <rFont val="ＭＳ Ｐゴシック"/>
        <family val="3"/>
        <charset val="128"/>
        <scheme val="minor"/>
      </rPr>
      <t xml:space="preserve">
上記</t>
    </r>
    <r>
      <rPr>
        <sz val="12"/>
        <rFont val="ＭＳ Ｐゴシック"/>
        <family val="3"/>
        <charset val="128"/>
        <scheme val="minor"/>
      </rPr>
      <t>のうち1)～3)合計８科目９単位以上</t>
    </r>
    <r>
      <rPr>
        <sz val="12"/>
        <color rgb="FFFF0000"/>
        <rFont val="ＭＳ Ｐゴシック"/>
        <family val="3"/>
        <charset val="128"/>
        <scheme val="minor"/>
      </rPr>
      <t>の取得</t>
    </r>
    <r>
      <rPr>
        <sz val="12"/>
        <rFont val="ＭＳ Ｐゴシック"/>
        <family val="3"/>
        <charset val="128"/>
        <scheme val="minor"/>
      </rPr>
      <t>を修了要件とする。</t>
    </r>
    <r>
      <rPr>
        <sz val="12"/>
        <color rgb="FFFF0000"/>
        <rFont val="ＭＳ Ｐゴシック"/>
        <family val="3"/>
        <charset val="128"/>
        <scheme val="minor"/>
      </rPr>
      <t>（*は自由選択科目）</t>
    </r>
    <rPh sb="8" eb="9">
      <t>ダイ</t>
    </rPh>
    <rPh sb="12" eb="14">
      <t>ガクネン</t>
    </rPh>
    <rPh sb="38" eb="39">
      <t>ナイ</t>
    </rPh>
    <rPh sb="63" eb="64">
      <t>ナカ</t>
    </rPh>
    <rPh sb="125" eb="126">
      <t>ナカ</t>
    </rPh>
    <rPh sb="157" eb="158">
      <t>オヨ</t>
    </rPh>
    <rPh sb="171" eb="173">
      <t>ジュギョウ</t>
    </rPh>
    <rPh sb="173" eb="175">
      <t>カモク</t>
    </rPh>
    <rPh sb="175" eb="177">
      <t>メイショウ</t>
    </rPh>
    <rPh sb="215" eb="216">
      <t>ナカ</t>
    </rPh>
    <rPh sb="250" eb="252">
      <t>ジョウキ</t>
    </rPh>
    <rPh sb="271" eb="273">
      <t>シュトク</t>
    </rPh>
    <rPh sb="285" eb="289">
      <t>ジユウセンタク</t>
    </rPh>
    <rPh sb="289" eb="291">
      <t>カモク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</si>
</sst>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3"/>
      <charset val="128"/>
      <scheme val="minor"/>
    </font>
    <font>
      <u/>
      <sz val="11"/>
      <color rgb="FFFF0000"/>
      <name val="ＭＳ Ｐゴシック"/>
      <family val="2"/>
      <charset val="128"/>
      <scheme val="minor"/>
    </font>
    <font>
      <sz val="11"/>
      <color theme="1"/>
      <name val="ＭＳ Ｐゴシック"/>
      <family val="3"/>
      <charset val="128"/>
      <scheme val="minor"/>
    </font>
    <font>
      <u/>
      <sz val="11"/>
      <name val="ＭＳ Ｐゴシック"/>
      <family val="3"/>
      <charset val="128"/>
      <scheme val="minor"/>
    </font>
    <font>
      <sz val="9"/>
      <name val="ＭＳ Ｐゴシック"/>
      <family val="2"/>
      <charset val="128"/>
      <scheme val="minor"/>
    </font>
    <font>
      <sz val="9"/>
      <name val="ＭＳ Ｐゴシック"/>
      <family val="3"/>
      <charset val="128"/>
      <scheme val="minor"/>
    </font>
    <font>
      <sz val="11"/>
      <name val="ＭＳ Ｐゴシック"/>
      <family val="3"/>
      <charset val="128"/>
      <scheme val="minor"/>
    </font>
    <font>
      <u/>
      <sz val="11"/>
      <color rgb="FFFF0000"/>
      <name val="ＭＳ Ｐゴシック"/>
      <family val="3"/>
      <charset val="128"/>
      <scheme val="minor"/>
    </font>
    <font>
      <sz val="9"/>
      <color rgb="FFFF0000"/>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0" fontId="8"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2"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3"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4" fillId="0" borderId="0" xfId="0" applyNumberFormat="1" applyFont="1" applyBorder="1" applyAlignment="1">
      <alignment vertical="center" shrinkToFit="1"/>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2" xfId="0" applyFont="1" applyBorder="1" applyAlignment="1">
      <alignment vertical="center" shrinkToFit="1"/>
    </xf>
    <xf numFmtId="0" fontId="8" fillId="0" borderId="11" xfId="0" applyFont="1" applyBorder="1" applyAlignment="1">
      <alignment horizontal="center" vertical="center"/>
    </xf>
    <xf numFmtId="0" fontId="8" fillId="0" borderId="2" xfId="0" applyFont="1" applyBorder="1" applyAlignment="1">
      <alignment horizontal="left" vertical="center" shrinkToFit="1"/>
    </xf>
    <xf numFmtId="0" fontId="2" fillId="0" borderId="2" xfId="0" applyFont="1" applyBorder="1" applyAlignment="1">
      <alignment horizontal="left" vertical="center" shrinkToFit="1"/>
    </xf>
    <xf numFmtId="0" fontId="8" fillId="0" borderId="10" xfId="0" applyFont="1" applyBorder="1" applyAlignment="1">
      <alignment vertical="center" shrinkToFit="1"/>
    </xf>
    <xf numFmtId="0" fontId="8" fillId="0" borderId="0" xfId="0" applyFont="1" applyFill="1">
      <alignment vertical="center"/>
    </xf>
    <xf numFmtId="0" fontId="8" fillId="0" borderId="1" xfId="0" applyFont="1" applyBorder="1" applyAlignment="1">
      <alignment vertical="center" wrapText="1"/>
    </xf>
    <xf numFmtId="0" fontId="15" fillId="0" borderId="0" xfId="0" applyFont="1">
      <alignment vertical="center"/>
    </xf>
    <xf numFmtId="0" fontId="8" fillId="0" borderId="0" xfId="0" applyFont="1" applyBorder="1" applyAlignment="1">
      <alignment vertical="top" wrapText="1"/>
    </xf>
    <xf numFmtId="0" fontId="8" fillId="0" borderId="0" xfId="0" applyFont="1" applyBorder="1" applyAlignment="1">
      <alignment vertical="center" wrapText="1"/>
    </xf>
    <xf numFmtId="0" fontId="16" fillId="0" borderId="0" xfId="0" applyFont="1" applyBorder="1" applyAlignment="1">
      <alignment vertical="top" wrapText="1"/>
    </xf>
    <xf numFmtId="0" fontId="16" fillId="0" borderId="0" xfId="0" applyFont="1" applyBorder="1" applyAlignment="1">
      <alignment vertical="top" shrinkToFit="1"/>
    </xf>
    <xf numFmtId="0" fontId="16" fillId="0" borderId="0" xfId="0" applyFont="1" applyBorder="1" applyAlignment="1">
      <alignment vertical="center" wrapText="1"/>
    </xf>
    <xf numFmtId="0" fontId="16" fillId="0" borderId="0" xfId="0" applyFont="1" applyAlignment="1">
      <alignment vertical="top" wrapText="1"/>
    </xf>
    <xf numFmtId="0" fontId="16" fillId="0" borderId="10" xfId="0" applyFont="1" applyBorder="1" applyAlignment="1">
      <alignment vertical="top" wrapText="1"/>
    </xf>
    <xf numFmtId="0" fontId="16" fillId="0" borderId="5" xfId="0" applyFont="1" applyBorder="1" applyAlignment="1">
      <alignment vertical="top" wrapText="1"/>
    </xf>
    <xf numFmtId="0" fontId="8" fillId="0" borderId="17" xfId="0" applyFont="1" applyBorder="1">
      <alignment vertical="center"/>
    </xf>
    <xf numFmtId="0" fontId="16" fillId="0" borderId="21" xfId="0" applyFont="1" applyBorder="1" applyAlignment="1">
      <alignment vertical="top" wrapText="1"/>
    </xf>
    <xf numFmtId="0" fontId="16" fillId="0" borderId="19" xfId="0" applyFont="1" applyBorder="1" applyAlignment="1">
      <alignment vertical="top" wrapText="1"/>
    </xf>
    <xf numFmtId="0" fontId="16" fillId="0" borderId="21" xfId="0" applyFont="1" applyBorder="1" applyAlignment="1">
      <alignment vertical="top" shrinkToFit="1"/>
    </xf>
    <xf numFmtId="0" fontId="16" fillId="0" borderId="19" xfId="0" applyFont="1" applyBorder="1" applyAlignment="1">
      <alignment vertical="top" shrinkToFit="1"/>
    </xf>
    <xf numFmtId="0" fontId="8" fillId="0" borderId="0" xfId="0" applyFont="1" applyAlignment="1">
      <alignment vertical="center" wrapText="1"/>
    </xf>
    <xf numFmtId="0" fontId="17" fillId="0" borderId="0" xfId="2" applyNumberFormat="1" applyFont="1" applyBorder="1" applyAlignment="1">
      <alignment vertical="center"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8" fillId="0" borderId="0" xfId="0" applyFont="1" applyFill="1" applyBorder="1" applyAlignment="1">
      <alignment vertical="center"/>
    </xf>
    <xf numFmtId="0" fontId="16" fillId="0" borderId="0" xfId="0" applyFont="1" applyFill="1" applyBorder="1" applyAlignment="1">
      <alignment vertical="top" wrapText="1"/>
    </xf>
    <xf numFmtId="0" fontId="11" fillId="0" borderId="1" xfId="0" applyFont="1" applyBorder="1" applyAlignment="1">
      <alignment vertical="center" wrapText="1"/>
    </xf>
    <xf numFmtId="0" fontId="8" fillId="0" borderId="0" xfId="0" applyFont="1" applyBorder="1" applyAlignment="1">
      <alignmen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49" fontId="14"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40" xfId="0" applyFont="1" applyBorder="1" applyAlignment="1">
      <alignment vertical="center" shrinkToFit="1"/>
    </xf>
    <xf numFmtId="0" fontId="3" fillId="0" borderId="41" xfId="0" applyFont="1" applyBorder="1" applyAlignment="1">
      <alignment vertical="center" shrinkToFi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0" fillId="0" borderId="16" xfId="0" applyFont="1" applyBorder="1" applyAlignment="1">
      <alignment horizontal="center" vertical="center" wrapText="1"/>
    </xf>
    <xf numFmtId="0" fontId="10"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Border="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3" fillId="0" borderId="13" xfId="0" applyFont="1" applyBorder="1" applyAlignment="1">
      <alignment vertical="center" wrapText="1"/>
    </xf>
    <xf numFmtId="0" fontId="2" fillId="0" borderId="0" xfId="0" applyFont="1" applyAlignment="1">
      <alignment horizontal="center" vertical="center"/>
    </xf>
    <xf numFmtId="0" fontId="9"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9"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12" fillId="0" borderId="2" xfId="2"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6" fillId="0" borderId="2" xfId="2"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16" xfId="0" applyFont="1" applyBorder="1" applyAlignment="1">
      <alignment vertical="center" wrapText="1"/>
    </xf>
    <xf numFmtId="0" fontId="8" fillId="0" borderId="42" xfId="0" applyFont="1" applyBorder="1" applyAlignment="1">
      <alignment vertical="center" wrapText="1"/>
    </xf>
    <xf numFmtId="0" fontId="8" fillId="0" borderId="7" xfId="0" applyFont="1" applyBorder="1" applyAlignment="1">
      <alignment horizontal="left" vertical="top" wrapText="1" shrinkToFit="1"/>
    </xf>
    <xf numFmtId="0" fontId="8" fillId="0" borderId="13" xfId="0" applyFont="1" applyBorder="1" applyAlignment="1">
      <alignment vertical="center" wrapText="1"/>
    </xf>
    <xf numFmtId="0" fontId="8" fillId="0" borderId="7" xfId="0" applyFont="1" applyBorder="1" applyAlignment="1">
      <alignment horizontal="left" vertical="top" wrapTex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6" xfId="0" applyFont="1" applyBorder="1" applyAlignment="1">
      <alignment vertical="center"/>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7" fillId="0" borderId="19" xfId="0" applyFont="1" applyBorder="1" applyAlignment="1">
      <alignment vertical="center"/>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Border="1" applyAlignment="1">
      <alignment vertical="top" wrapText="1" shrinkToFit="1"/>
    </xf>
    <xf numFmtId="0" fontId="8" fillId="0" borderId="23"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18" fillId="0" borderId="2" xfId="2" applyFont="1" applyBorder="1" applyAlignment="1">
      <alignment horizontal="left" vertical="center" shrinkToFit="1"/>
    </xf>
    <xf numFmtId="0" fontId="19" fillId="0" borderId="3" xfId="0" applyFont="1" applyBorder="1" applyAlignment="1">
      <alignment horizontal="left" vertical="center" shrinkToFit="1"/>
    </xf>
    <xf numFmtId="0" fontId="19" fillId="0" borderId="4" xfId="0" applyFont="1" applyBorder="1" applyAlignment="1">
      <alignment horizontal="left" vertical="center" shrinkToFit="1"/>
    </xf>
    <xf numFmtId="0" fontId="8" fillId="0" borderId="20" xfId="0" applyFont="1" applyBorder="1" applyAlignment="1">
      <alignment vertical="top" wrapText="1" shrinkToFit="1"/>
    </xf>
    <xf numFmtId="0" fontId="16" fillId="0" borderId="0" xfId="0" applyFont="1" applyAlignment="1">
      <alignment vertical="top" wrapText="1"/>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osaka-dent.ac.jp/faculty/dentalcarefaculties.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osaka-dent.ac.jp/faculty/dentalcarefaculties.html"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topLeftCell="A28" zoomScaleNormal="100" workbookViewId="0">
      <selection activeCell="R48" sqref="R48"/>
    </sheetView>
  </sheetViews>
  <sheetFormatPr defaultColWidth="9" defaultRowHeight="18.75" customHeight="1" x14ac:dyDescent="0.15"/>
  <cols>
    <col min="1" max="1" width="2.5" style="9" customWidth="1"/>
    <col min="2" max="2" width="12.5" style="9" customWidth="1"/>
    <col min="3" max="8" width="6.25" style="9" customWidth="1"/>
    <col min="9" max="9" width="2.5" style="9" customWidth="1"/>
    <col min="10" max="10" width="10" style="9" customWidth="1"/>
    <col min="11" max="11" width="2.5" style="9" customWidth="1"/>
    <col min="12" max="12" width="7.5" style="9" customWidth="1"/>
    <col min="13" max="13" width="2.5" style="9" customWidth="1"/>
    <col min="14" max="14" width="7.5" style="9" customWidth="1"/>
    <col min="15" max="16384" width="9" style="9"/>
  </cols>
  <sheetData>
    <row r="1" spans="1:14" ht="22.5" customHeight="1" x14ac:dyDescent="0.15">
      <c r="M1" s="114" t="s">
        <v>29</v>
      </c>
      <c r="N1" s="114"/>
    </row>
    <row r="2" spans="1:14" ht="22.5" customHeight="1" x14ac:dyDescent="0.15">
      <c r="A2" s="119" t="s">
        <v>135</v>
      </c>
      <c r="B2" s="119"/>
      <c r="C2" s="119"/>
      <c r="D2" s="119"/>
      <c r="E2" s="119"/>
      <c r="F2" s="119"/>
      <c r="G2" s="119"/>
      <c r="H2" s="119"/>
      <c r="I2" s="119"/>
      <c r="J2" s="119"/>
      <c r="K2" s="119"/>
      <c r="L2" s="119"/>
      <c r="M2" s="119"/>
      <c r="N2" s="119"/>
    </row>
    <row r="3" spans="1:14" ht="22.5" customHeight="1" x14ac:dyDescent="0.15"/>
    <row r="4" spans="1:14" ht="22.5" customHeight="1" x14ac:dyDescent="0.15">
      <c r="A4" s="9" t="s">
        <v>7</v>
      </c>
      <c r="B4" s="11" t="s">
        <v>20</v>
      </c>
      <c r="C4" s="104" t="s">
        <v>136</v>
      </c>
      <c r="D4" s="105"/>
      <c r="E4" s="105"/>
      <c r="F4" s="105"/>
      <c r="G4" s="105"/>
      <c r="H4" s="105"/>
      <c r="I4" s="105"/>
      <c r="J4" s="105"/>
      <c r="K4" s="105"/>
      <c r="L4" s="105"/>
      <c r="M4" s="105"/>
      <c r="N4" s="106"/>
    </row>
    <row r="5" spans="1:14" ht="7.5" customHeight="1" x14ac:dyDescent="0.15">
      <c r="B5" s="11"/>
      <c r="C5" s="11"/>
      <c r="D5" s="11"/>
      <c r="E5" s="12"/>
      <c r="F5" s="72"/>
      <c r="G5" s="72"/>
      <c r="H5" s="72"/>
      <c r="I5" s="72"/>
      <c r="J5" s="72"/>
      <c r="K5" s="72"/>
      <c r="L5" s="72"/>
      <c r="M5" s="72"/>
      <c r="N5" s="72"/>
    </row>
    <row r="6" spans="1:14" ht="22.5" customHeight="1" x14ac:dyDescent="0.15">
      <c r="A6" s="9" t="s">
        <v>56</v>
      </c>
      <c r="B6" s="11" t="s">
        <v>57</v>
      </c>
      <c r="C6" s="11"/>
      <c r="D6" s="104" t="s">
        <v>137</v>
      </c>
      <c r="E6" s="105"/>
      <c r="F6" s="105"/>
      <c r="G6" s="105"/>
      <c r="H6" s="105"/>
      <c r="I6" s="105"/>
      <c r="J6" s="105"/>
      <c r="K6" s="105"/>
      <c r="L6" s="105"/>
      <c r="M6" s="105"/>
      <c r="N6" s="106"/>
    </row>
    <row r="7" spans="1:14" ht="7.5" customHeight="1" x14ac:dyDescent="0.15">
      <c r="B7" s="11"/>
      <c r="C7" s="11"/>
      <c r="D7" s="11"/>
      <c r="E7" s="12"/>
      <c r="F7" s="72"/>
      <c r="G7" s="72"/>
      <c r="H7" s="72"/>
      <c r="I7" s="72"/>
      <c r="J7" s="72"/>
      <c r="K7" s="72"/>
      <c r="L7" s="72"/>
      <c r="M7" s="72"/>
      <c r="N7" s="72"/>
    </row>
    <row r="8" spans="1:14" ht="22.5" customHeight="1" x14ac:dyDescent="0.15">
      <c r="A8" s="13" t="s">
        <v>13</v>
      </c>
      <c r="B8" s="14" t="s">
        <v>58</v>
      </c>
      <c r="C8" s="104" t="s">
        <v>138</v>
      </c>
      <c r="D8" s="105"/>
      <c r="E8" s="106"/>
      <c r="F8" s="72"/>
      <c r="G8" s="118"/>
      <c r="H8" s="118"/>
      <c r="I8" s="118"/>
      <c r="J8" s="72"/>
      <c r="K8" s="72"/>
      <c r="L8" s="72"/>
      <c r="M8" s="72"/>
      <c r="N8" s="72"/>
    </row>
    <row r="9" spans="1:14" ht="7.5" customHeight="1" x14ac:dyDescent="0.15">
      <c r="B9" s="11"/>
      <c r="C9" s="11"/>
      <c r="D9" s="11"/>
      <c r="E9" s="12"/>
      <c r="F9" s="72"/>
      <c r="G9" s="72"/>
      <c r="H9" s="72"/>
      <c r="I9" s="72"/>
      <c r="J9" s="72"/>
      <c r="K9" s="72"/>
      <c r="L9" s="72"/>
      <c r="M9" s="72"/>
      <c r="N9" s="72"/>
    </row>
    <row r="10" spans="1:14" ht="22.5" customHeight="1" x14ac:dyDescent="0.15">
      <c r="A10" s="9" t="s">
        <v>17</v>
      </c>
      <c r="B10" s="11" t="s">
        <v>53</v>
      </c>
      <c r="C10" s="104" t="s">
        <v>139</v>
      </c>
      <c r="D10" s="105"/>
      <c r="E10" s="105"/>
      <c r="F10" s="105"/>
      <c r="G10" s="105"/>
      <c r="H10" s="105"/>
      <c r="I10" s="105"/>
      <c r="J10" s="105"/>
      <c r="K10" s="105"/>
      <c r="L10" s="105"/>
      <c r="M10" s="105"/>
      <c r="N10" s="106"/>
    </row>
    <row r="11" spans="1:14" ht="7.5" customHeight="1" x14ac:dyDescent="0.15">
      <c r="B11" s="11"/>
      <c r="C11" s="11"/>
      <c r="D11" s="11"/>
      <c r="E11" s="12"/>
      <c r="F11" s="72"/>
      <c r="G11" s="72"/>
      <c r="H11" s="72"/>
      <c r="I11" s="72"/>
      <c r="J11" s="72"/>
      <c r="K11" s="72"/>
      <c r="L11" s="72"/>
      <c r="M11" s="72"/>
      <c r="N11" s="72"/>
    </row>
    <row r="12" spans="1:14" ht="22.5" customHeight="1" x14ac:dyDescent="0.15">
      <c r="A12" s="9" t="s">
        <v>14</v>
      </c>
      <c r="B12" s="11" t="s">
        <v>131</v>
      </c>
      <c r="C12" s="11"/>
      <c r="D12" s="11"/>
      <c r="E12" s="72"/>
      <c r="F12" s="77"/>
      <c r="G12" s="120" t="s">
        <v>140</v>
      </c>
      <c r="H12" s="121"/>
      <c r="I12" s="121"/>
      <c r="J12" s="121"/>
      <c r="K12" s="121"/>
      <c r="L12" s="121"/>
      <c r="M12" s="121"/>
      <c r="N12" s="122"/>
    </row>
    <row r="13" spans="1:14" ht="7.5" customHeight="1" x14ac:dyDescent="0.15">
      <c r="B13" s="12"/>
      <c r="C13" s="12"/>
      <c r="D13" s="12"/>
      <c r="E13" s="12"/>
      <c r="F13" s="72"/>
      <c r="G13" s="72"/>
      <c r="H13" s="72"/>
      <c r="I13" s="72"/>
      <c r="J13" s="72"/>
      <c r="K13" s="72"/>
      <c r="L13" s="72"/>
      <c r="M13" s="72"/>
      <c r="N13" s="72"/>
    </row>
    <row r="14" spans="1:14" ht="22.5" customHeight="1" x14ac:dyDescent="0.15">
      <c r="A14" s="9" t="s">
        <v>68</v>
      </c>
      <c r="B14" s="12" t="s">
        <v>69</v>
      </c>
      <c r="C14" s="12"/>
      <c r="D14" s="12"/>
      <c r="E14" s="12"/>
      <c r="F14" s="104" t="s">
        <v>141</v>
      </c>
      <c r="G14" s="105"/>
      <c r="H14" s="106"/>
      <c r="I14" s="72"/>
      <c r="J14" s="72"/>
      <c r="K14" s="72"/>
      <c r="L14" s="72"/>
      <c r="M14" s="72"/>
      <c r="N14" s="72"/>
    </row>
    <row r="15" spans="1:14" ht="7.5" customHeight="1" x14ac:dyDescent="0.15">
      <c r="B15" s="12"/>
      <c r="C15" s="12"/>
      <c r="D15" s="12"/>
      <c r="E15" s="12"/>
      <c r="F15" s="72"/>
      <c r="G15" s="72"/>
      <c r="H15" s="72"/>
      <c r="I15" s="72"/>
      <c r="J15" s="72"/>
      <c r="K15" s="72"/>
      <c r="L15" s="72"/>
      <c r="M15" s="72"/>
      <c r="N15" s="72"/>
    </row>
    <row r="16" spans="1:14" ht="22.5" customHeight="1" x14ac:dyDescent="0.15">
      <c r="A16" s="9" t="s">
        <v>15</v>
      </c>
      <c r="B16" s="9" t="s">
        <v>0</v>
      </c>
      <c r="C16" s="115" t="s">
        <v>6</v>
      </c>
      <c r="D16" s="116"/>
      <c r="E16" s="102">
        <v>198</v>
      </c>
      <c r="F16" s="103"/>
      <c r="G16" s="15" t="s">
        <v>10</v>
      </c>
      <c r="I16" s="115" t="s">
        <v>11</v>
      </c>
      <c r="J16" s="116"/>
      <c r="K16" s="102">
        <v>467</v>
      </c>
      <c r="L16" s="117"/>
      <c r="M16" s="103"/>
      <c r="N16" s="16" t="s">
        <v>10</v>
      </c>
    </row>
    <row r="17" spans="1:15" ht="7.5" customHeight="1" x14ac:dyDescent="0.15">
      <c r="F17" s="17"/>
      <c r="G17" s="17"/>
      <c r="H17" s="17"/>
      <c r="I17" s="17"/>
      <c r="J17" s="17"/>
      <c r="K17" s="17"/>
      <c r="L17" s="17"/>
      <c r="M17" s="16"/>
      <c r="N17" s="16"/>
    </row>
    <row r="18" spans="1:15" ht="22.5" customHeight="1" x14ac:dyDescent="0.15">
      <c r="A18" s="9" t="s">
        <v>62</v>
      </c>
      <c r="B18" s="9" t="s">
        <v>92</v>
      </c>
      <c r="F18" s="17"/>
      <c r="G18" s="17"/>
      <c r="H18" s="17"/>
      <c r="I18" s="17"/>
      <c r="J18" s="17"/>
      <c r="K18" s="108">
        <v>40</v>
      </c>
      <c r="L18" s="109"/>
      <c r="M18" s="110"/>
      <c r="N18" s="16" t="s">
        <v>60</v>
      </c>
    </row>
    <row r="19" spans="1:15" ht="7.5" customHeight="1" x14ac:dyDescent="0.15">
      <c r="F19" s="17"/>
      <c r="G19" s="17"/>
      <c r="H19" s="17"/>
      <c r="I19" s="17"/>
      <c r="J19" s="17"/>
      <c r="K19" s="17"/>
      <c r="L19" s="17"/>
      <c r="M19" s="16"/>
      <c r="N19" s="16"/>
    </row>
    <row r="20" spans="1:15" ht="22.5" customHeight="1" x14ac:dyDescent="0.15">
      <c r="A20" s="9" t="s">
        <v>70</v>
      </c>
      <c r="B20" s="9" t="s">
        <v>128</v>
      </c>
      <c r="E20" s="102">
        <v>260</v>
      </c>
      <c r="F20" s="103"/>
      <c r="G20" s="18" t="s">
        <v>25</v>
      </c>
      <c r="H20" s="17"/>
      <c r="K20" s="101"/>
      <c r="L20" s="101"/>
      <c r="M20" s="101"/>
      <c r="N20" s="101"/>
    </row>
    <row r="21" spans="1:15" ht="7.5" customHeight="1" x14ac:dyDescent="0.15">
      <c r="E21" s="7"/>
      <c r="F21" s="17"/>
      <c r="G21" s="17"/>
      <c r="L21" s="68"/>
      <c r="M21" s="68"/>
      <c r="N21" s="19"/>
    </row>
    <row r="22" spans="1:15" ht="22.5" customHeight="1" x14ac:dyDescent="0.15">
      <c r="A22" s="9" t="s">
        <v>28</v>
      </c>
      <c r="B22" s="9" t="s">
        <v>129</v>
      </c>
      <c r="E22" s="7"/>
      <c r="F22" s="17"/>
      <c r="G22" s="17"/>
      <c r="H22" s="9" t="s">
        <v>61</v>
      </c>
      <c r="J22" s="108">
        <v>1142</v>
      </c>
      <c r="K22" s="109"/>
      <c r="L22" s="110"/>
      <c r="M22" s="68" t="s">
        <v>60</v>
      </c>
      <c r="N22" s="19"/>
    </row>
    <row r="23" spans="1:15" ht="7.5" customHeight="1" x14ac:dyDescent="0.15">
      <c r="E23" s="7"/>
      <c r="F23" s="17"/>
      <c r="G23" s="17"/>
      <c r="L23" s="68"/>
      <c r="M23" s="68"/>
      <c r="N23" s="19"/>
    </row>
    <row r="24" spans="1:15" ht="22.5" customHeight="1" x14ac:dyDescent="0.15">
      <c r="B24" s="71" t="s">
        <v>21</v>
      </c>
      <c r="C24" s="102">
        <v>241</v>
      </c>
      <c r="D24" s="103"/>
      <c r="E24" s="7" t="s">
        <v>26</v>
      </c>
      <c r="F24" s="17"/>
      <c r="G24" s="107" t="s">
        <v>22</v>
      </c>
      <c r="H24" s="107"/>
      <c r="I24" s="102">
        <v>227</v>
      </c>
      <c r="J24" s="103"/>
      <c r="K24" s="13" t="s">
        <v>26</v>
      </c>
      <c r="M24" s="68"/>
      <c r="N24" s="19"/>
      <c r="O24" s="10"/>
    </row>
    <row r="25" spans="1:15" ht="7.5" customHeight="1" x14ac:dyDescent="0.15">
      <c r="B25" s="71"/>
      <c r="C25" s="8"/>
      <c r="D25" s="8"/>
      <c r="E25" s="7"/>
      <c r="F25" s="17"/>
      <c r="G25" s="68"/>
      <c r="H25" s="68"/>
      <c r="I25" s="8"/>
      <c r="J25" s="8"/>
      <c r="K25" s="13"/>
      <c r="M25" s="68"/>
      <c r="N25" s="19"/>
      <c r="O25" s="10"/>
    </row>
    <row r="26" spans="1:15" ht="22.5" customHeight="1" x14ac:dyDescent="0.15">
      <c r="B26" s="71" t="s">
        <v>23</v>
      </c>
      <c r="C26" s="102">
        <v>211</v>
      </c>
      <c r="D26" s="103"/>
      <c r="E26" s="7" t="s">
        <v>26</v>
      </c>
      <c r="F26" s="17"/>
      <c r="G26" s="107" t="s">
        <v>24</v>
      </c>
      <c r="H26" s="107"/>
      <c r="I26" s="102">
        <v>193</v>
      </c>
      <c r="J26" s="103"/>
      <c r="K26" s="13" t="s">
        <v>26</v>
      </c>
      <c r="M26" s="68"/>
      <c r="N26" s="19"/>
    </row>
    <row r="27" spans="1:15" ht="7.5" customHeight="1" x14ac:dyDescent="0.15">
      <c r="B27" s="71"/>
      <c r="C27" s="8"/>
      <c r="D27" s="8"/>
      <c r="E27" s="7"/>
      <c r="F27" s="17"/>
      <c r="G27" s="68"/>
      <c r="H27" s="68"/>
      <c r="I27" s="8"/>
      <c r="J27" s="8"/>
      <c r="K27" s="13"/>
      <c r="M27" s="68"/>
      <c r="N27" s="19"/>
    </row>
    <row r="28" spans="1:15" ht="22.5" customHeight="1" x14ac:dyDescent="0.15">
      <c r="B28" s="71" t="s">
        <v>54</v>
      </c>
      <c r="C28" s="102">
        <v>126</v>
      </c>
      <c r="D28" s="103"/>
      <c r="E28" s="7" t="s">
        <v>10</v>
      </c>
      <c r="F28" s="17"/>
      <c r="G28" s="107" t="s">
        <v>55</v>
      </c>
      <c r="H28" s="107"/>
      <c r="I28" s="102">
        <v>144</v>
      </c>
      <c r="J28" s="103"/>
      <c r="K28" s="13" t="s">
        <v>10</v>
      </c>
      <c r="M28" s="68"/>
      <c r="N28" s="19"/>
    </row>
    <row r="29" spans="1:15" ht="7.5" customHeight="1" x14ac:dyDescent="0.15">
      <c r="F29" s="17"/>
      <c r="G29" s="17"/>
      <c r="M29" s="20"/>
      <c r="N29" s="20"/>
    </row>
    <row r="30" spans="1:15" ht="22.5" customHeight="1" x14ac:dyDescent="0.15">
      <c r="A30" s="9" t="s">
        <v>127</v>
      </c>
      <c r="B30" s="11" t="s">
        <v>118</v>
      </c>
      <c r="C30" s="11"/>
      <c r="D30" s="11"/>
      <c r="E30" s="11"/>
      <c r="F30" s="13"/>
      <c r="G30" s="72"/>
      <c r="H30" s="72"/>
      <c r="I30" s="72"/>
      <c r="J30" s="22"/>
      <c r="K30" s="22"/>
      <c r="L30" s="22"/>
      <c r="M30" s="22"/>
      <c r="N30" s="22"/>
    </row>
    <row r="31" spans="1:15" s="10" customFormat="1" ht="22.5" customHeight="1" x14ac:dyDescent="0.15">
      <c r="B31" s="111" t="s">
        <v>117</v>
      </c>
      <c r="C31" s="111"/>
      <c r="D31" s="104" t="s">
        <v>142</v>
      </c>
      <c r="E31" s="105"/>
      <c r="F31" s="105"/>
      <c r="G31" s="112" t="s">
        <v>27</v>
      </c>
      <c r="H31" s="111"/>
      <c r="I31" s="113"/>
      <c r="J31" s="104" t="s">
        <v>143</v>
      </c>
      <c r="K31" s="105"/>
      <c r="L31" s="105"/>
      <c r="M31" s="105"/>
      <c r="N31" s="106"/>
    </row>
    <row r="32" spans="1:15" ht="7.5" customHeight="1" x14ac:dyDescent="0.15">
      <c r="F32" s="17"/>
      <c r="G32" s="17"/>
      <c r="M32" s="20"/>
      <c r="N32" s="20"/>
    </row>
    <row r="33" spans="1:14" ht="22.5" customHeight="1" x14ac:dyDescent="0.15">
      <c r="A33" s="9" t="s">
        <v>59</v>
      </c>
      <c r="B33" s="11" t="s">
        <v>132</v>
      </c>
      <c r="C33" s="11"/>
      <c r="D33" s="11"/>
      <c r="E33" s="11"/>
      <c r="F33" s="13"/>
      <c r="G33" s="22"/>
      <c r="H33" s="22"/>
      <c r="I33" s="22"/>
      <c r="J33" s="22"/>
      <c r="K33" s="22"/>
      <c r="L33" s="22"/>
      <c r="M33" s="22"/>
      <c r="N33" s="22"/>
    </row>
    <row r="34" spans="1:14" ht="22.5" customHeight="1" x14ac:dyDescent="0.15">
      <c r="B34" s="104" t="s">
        <v>144</v>
      </c>
      <c r="C34" s="105"/>
      <c r="D34" s="105"/>
      <c r="E34" s="105"/>
      <c r="F34" s="105"/>
      <c r="G34" s="105"/>
      <c r="H34" s="105"/>
      <c r="I34" s="105"/>
      <c r="J34" s="105"/>
      <c r="K34" s="105"/>
      <c r="L34" s="105"/>
      <c r="M34" s="105"/>
      <c r="N34" s="106"/>
    </row>
    <row r="35" spans="1:14" ht="7.5" customHeight="1" x14ac:dyDescent="0.15">
      <c r="B35" s="70"/>
      <c r="C35" s="70"/>
      <c r="D35" s="70"/>
      <c r="E35" s="70"/>
      <c r="F35" s="70"/>
      <c r="G35" s="70"/>
      <c r="H35" s="70"/>
      <c r="I35" s="70"/>
      <c r="J35" s="70"/>
      <c r="K35" s="70"/>
      <c r="L35" s="70"/>
      <c r="M35" s="70"/>
      <c r="N35" s="70"/>
    </row>
    <row r="36" spans="1:14" s="10" customFormat="1" ht="22.5" customHeight="1" x14ac:dyDescent="0.15">
      <c r="B36" s="111" t="s">
        <v>117</v>
      </c>
      <c r="C36" s="111"/>
      <c r="D36" s="104" t="s">
        <v>145</v>
      </c>
      <c r="E36" s="105"/>
      <c r="F36" s="105"/>
      <c r="G36" s="112" t="s">
        <v>64</v>
      </c>
      <c r="H36" s="111"/>
      <c r="I36" s="113"/>
      <c r="J36" s="104" t="s">
        <v>146</v>
      </c>
      <c r="K36" s="105"/>
      <c r="L36" s="105"/>
      <c r="M36" s="105"/>
      <c r="N36" s="106"/>
    </row>
    <row r="37" spans="1:14" ht="7.5" customHeight="1" x14ac:dyDescent="0.15">
      <c r="F37" s="72"/>
      <c r="G37" s="72"/>
      <c r="H37" s="72"/>
      <c r="I37" s="72"/>
      <c r="J37" s="72"/>
      <c r="K37" s="72"/>
      <c r="L37" s="72"/>
      <c r="M37" s="72"/>
      <c r="N37" s="72"/>
    </row>
    <row r="38" spans="1:14" ht="22.5" customHeight="1" x14ac:dyDescent="0.15">
      <c r="A38" s="9" t="s">
        <v>63</v>
      </c>
      <c r="B38" s="9" t="s">
        <v>133</v>
      </c>
      <c r="M38" s="20"/>
      <c r="N38" s="20"/>
    </row>
    <row r="39" spans="1:14" ht="22.5" customHeight="1" x14ac:dyDescent="0.15">
      <c r="B39" s="104" t="s">
        <v>147</v>
      </c>
      <c r="C39" s="105"/>
      <c r="D39" s="105"/>
      <c r="E39" s="105"/>
      <c r="F39" s="105"/>
      <c r="G39" s="105"/>
      <c r="H39" s="105"/>
      <c r="I39" s="105"/>
      <c r="J39" s="105"/>
      <c r="K39" s="105"/>
      <c r="L39" s="105"/>
      <c r="M39" s="105"/>
      <c r="N39" s="106"/>
    </row>
    <row r="40" spans="1:14" ht="7.5" customHeight="1" x14ac:dyDescent="0.15">
      <c r="F40" s="72"/>
      <c r="G40" s="72"/>
      <c r="H40" s="72"/>
      <c r="I40" s="72"/>
      <c r="J40" s="72"/>
      <c r="K40" s="72"/>
      <c r="L40" s="72"/>
      <c r="M40" s="72"/>
      <c r="N40" s="72"/>
    </row>
    <row r="41" spans="1:14" s="10" customFormat="1" ht="22.5" customHeight="1" x14ac:dyDescent="0.15">
      <c r="B41" s="111" t="s">
        <v>117</v>
      </c>
      <c r="C41" s="111"/>
      <c r="D41" s="104" t="s">
        <v>148</v>
      </c>
      <c r="E41" s="105"/>
      <c r="F41" s="105"/>
      <c r="G41" s="112" t="s">
        <v>64</v>
      </c>
      <c r="H41" s="111"/>
      <c r="I41" s="113"/>
      <c r="J41" s="104" t="s">
        <v>149</v>
      </c>
      <c r="K41" s="105"/>
      <c r="L41" s="105"/>
      <c r="M41" s="105"/>
      <c r="N41" s="106"/>
    </row>
    <row r="42" spans="1:14" ht="7.5" customHeight="1" x14ac:dyDescent="0.15">
      <c r="F42" s="72"/>
      <c r="G42" s="72"/>
      <c r="H42" s="72"/>
      <c r="I42" s="72"/>
      <c r="J42" s="72"/>
      <c r="K42" s="72"/>
      <c r="L42" s="72"/>
      <c r="M42" s="72"/>
      <c r="N42" s="72"/>
    </row>
    <row r="43" spans="1:14" ht="22.5" customHeight="1" x14ac:dyDescent="0.15">
      <c r="A43" s="9" t="s">
        <v>71</v>
      </c>
      <c r="B43" s="78" t="s">
        <v>91</v>
      </c>
      <c r="E43" s="77"/>
      <c r="F43" s="104" t="s">
        <v>150</v>
      </c>
      <c r="G43" s="105"/>
      <c r="H43" s="105"/>
      <c r="I43" s="105"/>
      <c r="J43" s="105"/>
      <c r="K43" s="105"/>
      <c r="L43" s="105"/>
      <c r="M43" s="105"/>
      <c r="N43" s="106"/>
    </row>
    <row r="44" spans="1:14" ht="7.5" customHeight="1" x14ac:dyDescent="0.15">
      <c r="F44" s="72"/>
      <c r="G44" s="72"/>
      <c r="H44" s="72"/>
      <c r="I44" s="72"/>
      <c r="J44" s="72"/>
      <c r="K44" s="72"/>
      <c r="L44" s="72"/>
      <c r="M44" s="72"/>
      <c r="N44" s="72"/>
    </row>
    <row r="45" spans="1:14" ht="22.5" customHeight="1" x14ac:dyDescent="0.15">
      <c r="A45" s="9" t="s">
        <v>3</v>
      </c>
    </row>
    <row r="46" spans="1:14" ht="22.5" customHeight="1" x14ac:dyDescent="0.15">
      <c r="B46" s="23" t="s">
        <v>1</v>
      </c>
      <c r="C46" s="120" t="s">
        <v>151</v>
      </c>
      <c r="D46" s="121"/>
      <c r="E46" s="121"/>
      <c r="F46" s="121"/>
      <c r="G46" s="121"/>
      <c r="H46" s="121"/>
      <c r="I46" s="24" t="s">
        <v>2</v>
      </c>
      <c r="J46" s="25"/>
      <c r="K46" s="104" t="s">
        <v>153</v>
      </c>
      <c r="L46" s="105"/>
      <c r="M46" s="105"/>
      <c r="N46" s="106"/>
    </row>
    <row r="47" spans="1:14" ht="22.5" customHeight="1" x14ac:dyDescent="0.15">
      <c r="B47" s="23" t="s">
        <v>5</v>
      </c>
      <c r="C47" s="123" t="s">
        <v>152</v>
      </c>
      <c r="D47" s="124"/>
      <c r="E47" s="124"/>
      <c r="F47" s="124"/>
      <c r="G47" s="124"/>
      <c r="H47" s="125"/>
      <c r="I47" s="24" t="s">
        <v>4</v>
      </c>
      <c r="J47" s="25"/>
      <c r="K47" s="126" t="s">
        <v>154</v>
      </c>
      <c r="L47" s="127"/>
      <c r="M47" s="127"/>
      <c r="N47" s="128"/>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Normal="100" workbookViewId="0">
      <selection activeCell="S39" sqref="S39"/>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6384" width="9" style="9"/>
  </cols>
  <sheetData>
    <row r="1" spans="1:9" ht="18.75" customHeight="1" x14ac:dyDescent="0.15">
      <c r="I1" s="69" t="s">
        <v>155</v>
      </c>
    </row>
    <row r="2" spans="1:9" ht="18.75" customHeight="1" x14ac:dyDescent="0.15">
      <c r="G2" s="21" t="s">
        <v>32</v>
      </c>
      <c r="H2" s="138" t="s">
        <v>136</v>
      </c>
      <c r="I2" s="138"/>
    </row>
    <row r="3" spans="1:9" ht="7.5" customHeight="1" x14ac:dyDescent="0.15"/>
    <row r="4" spans="1:9" ht="18.75" customHeight="1" x14ac:dyDescent="0.15">
      <c r="A4" s="119" t="s">
        <v>89</v>
      </c>
      <c r="B4" s="119"/>
      <c r="C4" s="119"/>
      <c r="D4" s="119"/>
      <c r="E4" s="119"/>
      <c r="F4" s="119"/>
      <c r="G4" s="119"/>
      <c r="H4" s="119"/>
      <c r="I4" s="119"/>
    </row>
    <row r="5" spans="1:9" ht="7.5" customHeight="1" x14ac:dyDescent="0.15">
      <c r="C5" s="71"/>
      <c r="D5" s="71"/>
      <c r="E5" s="71"/>
      <c r="F5" s="71"/>
      <c r="G5" s="71"/>
      <c r="H5" s="71"/>
      <c r="I5" s="71"/>
    </row>
    <row r="6" spans="1:9" ht="18.75" customHeight="1" x14ac:dyDescent="0.15">
      <c r="A6" s="9" t="s">
        <v>7</v>
      </c>
      <c r="B6" s="9" t="s">
        <v>103</v>
      </c>
      <c r="C6" s="71"/>
      <c r="D6" s="71"/>
      <c r="E6" s="108" t="s">
        <v>156</v>
      </c>
      <c r="F6" s="109"/>
      <c r="G6" s="109"/>
      <c r="H6" s="109"/>
      <c r="I6" s="110"/>
    </row>
    <row r="7" spans="1:9" ht="7.5" customHeight="1" x14ac:dyDescent="0.15">
      <c r="C7" s="71"/>
      <c r="D7" s="71"/>
      <c r="F7" s="68"/>
      <c r="G7" s="68"/>
      <c r="H7" s="68"/>
      <c r="I7" s="68"/>
    </row>
    <row r="8" spans="1:9" ht="18.75" customHeight="1" x14ac:dyDescent="0.15">
      <c r="A8" s="9" t="s">
        <v>12</v>
      </c>
      <c r="B8" s="9" t="s">
        <v>104</v>
      </c>
      <c r="C8" s="71"/>
      <c r="D8" s="71"/>
      <c r="E8" s="71"/>
      <c r="F8" s="71"/>
      <c r="G8" s="71"/>
      <c r="H8" s="71"/>
      <c r="I8" s="71"/>
    </row>
    <row r="9" spans="1:9" ht="18.75" customHeight="1" x14ac:dyDescent="0.15">
      <c r="B9" s="129" t="s">
        <v>320</v>
      </c>
      <c r="C9" s="130"/>
      <c r="D9" s="130"/>
      <c r="E9" s="130"/>
      <c r="F9" s="130"/>
      <c r="G9" s="130"/>
      <c r="H9" s="130"/>
      <c r="I9" s="131"/>
    </row>
    <row r="10" spans="1:9" ht="18.75" customHeight="1" x14ac:dyDescent="0.15">
      <c r="B10" s="132"/>
      <c r="C10" s="133"/>
      <c r="D10" s="133"/>
      <c r="E10" s="133"/>
      <c r="F10" s="133"/>
      <c r="G10" s="133"/>
      <c r="H10" s="133"/>
      <c r="I10" s="134"/>
    </row>
    <row r="11" spans="1:9" ht="18.75" customHeight="1" x14ac:dyDescent="0.15">
      <c r="B11" s="132"/>
      <c r="C11" s="133"/>
      <c r="D11" s="133"/>
      <c r="E11" s="133"/>
      <c r="F11" s="133"/>
      <c r="G11" s="133"/>
      <c r="H11" s="133"/>
      <c r="I11" s="134"/>
    </row>
    <row r="12" spans="1:9" ht="18.75" customHeight="1" x14ac:dyDescent="0.15">
      <c r="B12" s="132"/>
      <c r="C12" s="133"/>
      <c r="D12" s="133"/>
      <c r="E12" s="133"/>
      <c r="F12" s="133"/>
      <c r="G12" s="133"/>
      <c r="H12" s="133"/>
      <c r="I12" s="134"/>
    </row>
    <row r="13" spans="1:9" ht="18.75" customHeight="1" x14ac:dyDescent="0.15">
      <c r="B13" s="132"/>
      <c r="C13" s="133"/>
      <c r="D13" s="133"/>
      <c r="E13" s="133"/>
      <c r="F13" s="133"/>
      <c r="G13" s="133"/>
      <c r="H13" s="133"/>
      <c r="I13" s="134"/>
    </row>
    <row r="14" spans="1:9" ht="18.75" customHeight="1" x14ac:dyDescent="0.15">
      <c r="B14" s="132"/>
      <c r="C14" s="133"/>
      <c r="D14" s="133"/>
      <c r="E14" s="133"/>
      <c r="F14" s="133"/>
      <c r="G14" s="133"/>
      <c r="H14" s="133"/>
      <c r="I14" s="134"/>
    </row>
    <row r="15" spans="1:9" ht="18.75" customHeight="1" x14ac:dyDescent="0.15">
      <c r="B15" s="132"/>
      <c r="C15" s="133"/>
      <c r="D15" s="133"/>
      <c r="E15" s="133"/>
      <c r="F15" s="133"/>
      <c r="G15" s="133"/>
      <c r="H15" s="133"/>
      <c r="I15" s="134"/>
    </row>
    <row r="16" spans="1:9" ht="18.75" customHeight="1" x14ac:dyDescent="0.15">
      <c r="B16" s="135"/>
      <c r="C16" s="136"/>
      <c r="D16" s="136"/>
      <c r="E16" s="136"/>
      <c r="F16" s="136"/>
      <c r="G16" s="136"/>
      <c r="H16" s="136"/>
      <c r="I16" s="137"/>
    </row>
    <row r="17" spans="1:10" ht="7.5" customHeight="1" x14ac:dyDescent="0.15">
      <c r="C17" s="71"/>
      <c r="D17" s="71"/>
      <c r="E17" s="71"/>
      <c r="F17" s="71"/>
      <c r="G17" s="71"/>
      <c r="H17" s="71"/>
      <c r="I17" s="71"/>
    </row>
    <row r="18" spans="1:10" ht="18.75" customHeight="1" x14ac:dyDescent="0.15">
      <c r="A18" s="71" t="s">
        <v>13</v>
      </c>
      <c r="B18" s="11" t="s">
        <v>105</v>
      </c>
      <c r="C18" s="11"/>
      <c r="D18" s="11"/>
      <c r="E18" s="11"/>
      <c r="F18" s="71"/>
      <c r="G18" s="71"/>
      <c r="H18" s="71"/>
      <c r="I18" s="71"/>
      <c r="J18" s="71"/>
    </row>
    <row r="19" spans="1:10" ht="18.75" customHeight="1" x14ac:dyDescent="0.15">
      <c r="A19" s="139" t="s">
        <v>105</v>
      </c>
      <c r="B19" s="139"/>
      <c r="C19" s="139"/>
      <c r="D19" s="139"/>
      <c r="E19" s="139"/>
      <c r="F19" s="140" t="s">
        <v>105</v>
      </c>
      <c r="G19" s="140"/>
      <c r="H19" s="140"/>
      <c r="I19" s="140"/>
    </row>
    <row r="20" spans="1:10" ht="18.75" customHeight="1" x14ac:dyDescent="0.15">
      <c r="A20" s="33">
        <v>1</v>
      </c>
      <c r="B20" s="120" t="s">
        <v>296</v>
      </c>
      <c r="C20" s="121"/>
      <c r="D20" s="121"/>
      <c r="E20" s="122"/>
      <c r="F20" s="33">
        <v>26</v>
      </c>
      <c r="G20" s="120"/>
      <c r="H20" s="121"/>
      <c r="I20" s="122"/>
    </row>
    <row r="21" spans="1:10" ht="18.75" customHeight="1" x14ac:dyDescent="0.15">
      <c r="A21" s="33">
        <v>2</v>
      </c>
      <c r="B21" s="120" t="s">
        <v>297</v>
      </c>
      <c r="C21" s="121"/>
      <c r="D21" s="121"/>
      <c r="E21" s="122"/>
      <c r="F21" s="33">
        <v>27</v>
      </c>
      <c r="G21" s="120"/>
      <c r="H21" s="121"/>
      <c r="I21" s="122"/>
    </row>
    <row r="22" spans="1:10" ht="18.75" customHeight="1" x14ac:dyDescent="0.15">
      <c r="A22" s="33">
        <v>3</v>
      </c>
      <c r="B22" s="120" t="s">
        <v>319</v>
      </c>
      <c r="C22" s="121"/>
      <c r="D22" s="121"/>
      <c r="E22" s="122"/>
      <c r="F22" s="33">
        <v>28</v>
      </c>
      <c r="G22" s="120"/>
      <c r="H22" s="121"/>
      <c r="I22" s="122"/>
    </row>
    <row r="23" spans="1:10" ht="18.75" customHeight="1" x14ac:dyDescent="0.15">
      <c r="A23" s="33">
        <v>4</v>
      </c>
      <c r="B23" s="120" t="s">
        <v>302</v>
      </c>
      <c r="C23" s="121"/>
      <c r="D23" s="121"/>
      <c r="E23" s="122"/>
      <c r="F23" s="33">
        <v>29</v>
      </c>
      <c r="G23" s="120"/>
      <c r="H23" s="121"/>
      <c r="I23" s="122"/>
    </row>
    <row r="24" spans="1:10" ht="18.75" customHeight="1" x14ac:dyDescent="0.15">
      <c r="A24" s="33">
        <v>5</v>
      </c>
      <c r="B24" s="120" t="s">
        <v>303</v>
      </c>
      <c r="C24" s="121"/>
      <c r="D24" s="121"/>
      <c r="E24" s="122"/>
      <c r="F24" s="33">
        <v>30</v>
      </c>
      <c r="G24" s="120"/>
      <c r="H24" s="121"/>
      <c r="I24" s="122"/>
    </row>
    <row r="25" spans="1:10" ht="18.75" customHeight="1" x14ac:dyDescent="0.15">
      <c r="A25" s="33">
        <v>6</v>
      </c>
      <c r="B25" s="120" t="s">
        <v>298</v>
      </c>
      <c r="C25" s="121"/>
      <c r="D25" s="121"/>
      <c r="E25" s="122"/>
      <c r="F25" s="33">
        <v>31</v>
      </c>
      <c r="G25" s="120"/>
      <c r="H25" s="121"/>
      <c r="I25" s="122"/>
    </row>
    <row r="26" spans="1:10" ht="18.75" customHeight="1" x14ac:dyDescent="0.15">
      <c r="A26" s="33">
        <v>7</v>
      </c>
      <c r="B26" s="120" t="s">
        <v>299</v>
      </c>
      <c r="C26" s="121"/>
      <c r="D26" s="121"/>
      <c r="E26" s="122"/>
      <c r="F26" s="33">
        <v>32</v>
      </c>
      <c r="G26" s="120"/>
      <c r="H26" s="121"/>
      <c r="I26" s="122"/>
    </row>
    <row r="27" spans="1:10" ht="18.75" customHeight="1" x14ac:dyDescent="0.15">
      <c r="A27" s="33">
        <v>8</v>
      </c>
      <c r="B27" s="120" t="s">
        <v>300</v>
      </c>
      <c r="C27" s="121"/>
      <c r="D27" s="121"/>
      <c r="E27" s="122"/>
      <c r="F27" s="33">
        <v>33</v>
      </c>
      <c r="G27" s="120"/>
      <c r="H27" s="121"/>
      <c r="I27" s="122"/>
    </row>
    <row r="28" spans="1:10" ht="18.75" customHeight="1" x14ac:dyDescent="0.15">
      <c r="A28" s="33">
        <v>9</v>
      </c>
      <c r="B28" s="120" t="s">
        <v>306</v>
      </c>
      <c r="C28" s="121"/>
      <c r="D28" s="121"/>
      <c r="E28" s="122"/>
      <c r="F28" s="33">
        <v>34</v>
      </c>
      <c r="G28" s="120"/>
      <c r="H28" s="121"/>
      <c r="I28" s="122"/>
    </row>
    <row r="29" spans="1:10" ht="18.75" customHeight="1" x14ac:dyDescent="0.15">
      <c r="A29" s="33">
        <v>10</v>
      </c>
      <c r="B29" s="120" t="s">
        <v>301</v>
      </c>
      <c r="C29" s="121"/>
      <c r="D29" s="121"/>
      <c r="E29" s="122"/>
      <c r="F29" s="33">
        <v>35</v>
      </c>
      <c r="G29" s="120"/>
      <c r="H29" s="121"/>
      <c r="I29" s="122"/>
    </row>
    <row r="30" spans="1:10" ht="18.75" customHeight="1" x14ac:dyDescent="0.15">
      <c r="A30" s="33">
        <v>11</v>
      </c>
      <c r="B30" s="120" t="s">
        <v>304</v>
      </c>
      <c r="C30" s="121"/>
      <c r="D30" s="121"/>
      <c r="E30" s="122"/>
      <c r="F30" s="33">
        <v>36</v>
      </c>
      <c r="G30" s="120"/>
      <c r="H30" s="121"/>
      <c r="I30" s="122"/>
    </row>
    <row r="31" spans="1:10" ht="18.75" customHeight="1" x14ac:dyDescent="0.15">
      <c r="A31" s="33">
        <v>12</v>
      </c>
      <c r="B31" s="120" t="s">
        <v>305</v>
      </c>
      <c r="C31" s="121"/>
      <c r="D31" s="121"/>
      <c r="E31" s="122"/>
      <c r="F31" s="33">
        <v>37</v>
      </c>
      <c r="G31" s="120"/>
      <c r="H31" s="121"/>
      <c r="I31" s="122"/>
    </row>
    <row r="32" spans="1:10" ht="18.75" customHeight="1" x14ac:dyDescent="0.15">
      <c r="A32" s="33">
        <v>13</v>
      </c>
      <c r="B32" s="120"/>
      <c r="C32" s="121"/>
      <c r="D32" s="121"/>
      <c r="E32" s="122"/>
      <c r="F32" s="33">
        <v>38</v>
      </c>
      <c r="G32" s="120"/>
      <c r="H32" s="121"/>
      <c r="I32" s="122"/>
    </row>
    <row r="33" spans="1:9" ht="18.75" customHeight="1" x14ac:dyDescent="0.15">
      <c r="A33" s="33">
        <v>14</v>
      </c>
      <c r="B33" s="120"/>
      <c r="C33" s="121"/>
      <c r="D33" s="121"/>
      <c r="E33" s="122"/>
      <c r="F33" s="33">
        <v>39</v>
      </c>
      <c r="G33" s="120"/>
      <c r="H33" s="121"/>
      <c r="I33" s="122"/>
    </row>
    <row r="34" spans="1:9" ht="18.75" customHeight="1" x14ac:dyDescent="0.15">
      <c r="A34" s="33">
        <v>15</v>
      </c>
      <c r="B34" s="120"/>
      <c r="C34" s="121"/>
      <c r="D34" s="121"/>
      <c r="E34" s="122"/>
      <c r="F34" s="33">
        <v>40</v>
      </c>
      <c r="G34" s="120"/>
      <c r="H34" s="121"/>
      <c r="I34" s="122"/>
    </row>
    <row r="35" spans="1:9" ht="18.75" customHeight="1" x14ac:dyDescent="0.15">
      <c r="A35" s="33">
        <v>16</v>
      </c>
      <c r="B35" s="120"/>
      <c r="C35" s="121"/>
      <c r="D35" s="121"/>
      <c r="E35" s="122"/>
      <c r="F35" s="33">
        <v>41</v>
      </c>
      <c r="G35" s="120"/>
      <c r="H35" s="121"/>
      <c r="I35" s="122"/>
    </row>
    <row r="36" spans="1:9" ht="18.75" customHeight="1" x14ac:dyDescent="0.15">
      <c r="A36" s="33">
        <v>17</v>
      </c>
      <c r="B36" s="120"/>
      <c r="C36" s="121"/>
      <c r="D36" s="121"/>
      <c r="E36" s="122"/>
      <c r="F36" s="33">
        <v>42</v>
      </c>
      <c r="G36" s="120"/>
      <c r="H36" s="121"/>
      <c r="I36" s="122"/>
    </row>
    <row r="37" spans="1:9" ht="18.75" customHeight="1" x14ac:dyDescent="0.15">
      <c r="A37" s="33">
        <v>18</v>
      </c>
      <c r="B37" s="120"/>
      <c r="C37" s="121"/>
      <c r="D37" s="121"/>
      <c r="E37" s="122"/>
      <c r="F37" s="33">
        <v>43</v>
      </c>
      <c r="G37" s="120"/>
      <c r="H37" s="121"/>
      <c r="I37" s="122"/>
    </row>
    <row r="38" spans="1:9" ht="18.75" customHeight="1" x14ac:dyDescent="0.15">
      <c r="A38" s="33">
        <v>19</v>
      </c>
      <c r="B38" s="120"/>
      <c r="C38" s="121"/>
      <c r="D38" s="121"/>
      <c r="E38" s="122"/>
      <c r="F38" s="33">
        <v>44</v>
      </c>
      <c r="G38" s="120"/>
      <c r="H38" s="121"/>
      <c r="I38" s="122"/>
    </row>
    <row r="39" spans="1:9" ht="18.75" customHeight="1" x14ac:dyDescent="0.15">
      <c r="A39" s="33">
        <v>20</v>
      </c>
      <c r="B39" s="120"/>
      <c r="C39" s="121"/>
      <c r="D39" s="121"/>
      <c r="E39" s="122"/>
      <c r="F39" s="33">
        <v>45</v>
      </c>
      <c r="G39" s="120"/>
      <c r="H39" s="121"/>
      <c r="I39" s="122"/>
    </row>
    <row r="40" spans="1:9" ht="18.75" customHeight="1" x14ac:dyDescent="0.15">
      <c r="A40" s="33">
        <v>21</v>
      </c>
      <c r="B40" s="120"/>
      <c r="C40" s="121"/>
      <c r="D40" s="121"/>
      <c r="E40" s="122"/>
      <c r="F40" s="33">
        <v>46</v>
      </c>
      <c r="G40" s="120"/>
      <c r="H40" s="121"/>
      <c r="I40" s="122"/>
    </row>
    <row r="41" spans="1:9" ht="18.75" customHeight="1" x14ac:dyDescent="0.15">
      <c r="A41" s="33">
        <v>22</v>
      </c>
      <c r="B41" s="120"/>
      <c r="C41" s="121"/>
      <c r="D41" s="121"/>
      <c r="E41" s="122"/>
      <c r="F41" s="33">
        <v>47</v>
      </c>
      <c r="G41" s="120"/>
      <c r="H41" s="121"/>
      <c r="I41" s="122"/>
    </row>
    <row r="42" spans="1:9" ht="18.75" customHeight="1" x14ac:dyDescent="0.15">
      <c r="A42" s="33">
        <v>23</v>
      </c>
      <c r="B42" s="120"/>
      <c r="C42" s="121"/>
      <c r="D42" s="121"/>
      <c r="E42" s="122"/>
      <c r="F42" s="33">
        <v>48</v>
      </c>
      <c r="G42" s="120"/>
      <c r="H42" s="121"/>
      <c r="I42" s="122"/>
    </row>
    <row r="43" spans="1:9" ht="18.75" customHeight="1" x14ac:dyDescent="0.15">
      <c r="A43" s="33">
        <v>24</v>
      </c>
      <c r="B43" s="120"/>
      <c r="C43" s="121"/>
      <c r="D43" s="121"/>
      <c r="E43" s="122"/>
      <c r="F43" s="33">
        <v>49</v>
      </c>
      <c r="G43" s="120"/>
      <c r="H43" s="121"/>
      <c r="I43" s="122"/>
    </row>
    <row r="44" spans="1:9" ht="18.75" customHeight="1" x14ac:dyDescent="0.15">
      <c r="A44" s="33">
        <v>25</v>
      </c>
      <c r="B44" s="120"/>
      <c r="C44" s="121"/>
      <c r="D44" s="121"/>
      <c r="E44" s="122"/>
      <c r="F44" s="33">
        <v>50</v>
      </c>
      <c r="G44" s="120"/>
      <c r="H44" s="121"/>
      <c r="I44" s="122"/>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4"/>
  <sheetViews>
    <sheetView showZeros="0" zoomScaleNormal="100" workbookViewId="0">
      <selection activeCell="S39" sqref="S39"/>
    </sheetView>
  </sheetViews>
  <sheetFormatPr defaultColWidth="9" defaultRowHeight="18.75" customHeight="1" x14ac:dyDescent="0.15"/>
  <cols>
    <col min="1" max="2" width="2.5" style="9" customWidth="1"/>
    <col min="3" max="3" width="20" style="9" customWidth="1"/>
    <col min="4" max="4" width="8.75" style="9" customWidth="1"/>
    <col min="5" max="5" width="7.5" style="9" customWidth="1"/>
    <col min="6" max="6" width="2.5" style="9" customWidth="1"/>
    <col min="7" max="7" width="15" style="9" customWidth="1"/>
    <col min="8" max="8" width="12.5" style="9" customWidth="1"/>
    <col min="9" max="9" width="11.25" style="9" customWidth="1"/>
    <col min="10" max="16384" width="9" style="9"/>
  </cols>
  <sheetData>
    <row r="1" spans="1:9" ht="18.75" customHeight="1" x14ac:dyDescent="0.15">
      <c r="I1" s="69" t="s">
        <v>165</v>
      </c>
    </row>
    <row r="2" spans="1:9" ht="18.75" customHeight="1" x14ac:dyDescent="0.15">
      <c r="G2" s="21" t="s">
        <v>32</v>
      </c>
      <c r="H2" s="138" t="s">
        <v>136</v>
      </c>
      <c r="I2" s="138"/>
    </row>
    <row r="3" spans="1:9" ht="7.5" customHeight="1" x14ac:dyDescent="0.15"/>
    <row r="4" spans="1:9" ht="18.75" customHeight="1" x14ac:dyDescent="0.15">
      <c r="A4" s="119" t="s">
        <v>89</v>
      </c>
      <c r="B4" s="119"/>
      <c r="C4" s="119"/>
      <c r="D4" s="119"/>
      <c r="E4" s="119"/>
      <c r="F4" s="119"/>
      <c r="G4" s="119"/>
      <c r="H4" s="119"/>
      <c r="I4" s="119"/>
    </row>
    <row r="5" spans="1:9" ht="7.5" customHeight="1" x14ac:dyDescent="0.15">
      <c r="C5" s="71"/>
      <c r="D5" s="71"/>
      <c r="E5" s="71"/>
      <c r="F5" s="71"/>
      <c r="G5" s="71"/>
      <c r="H5" s="71"/>
      <c r="I5" s="71"/>
    </row>
    <row r="6" spans="1:9" ht="18.75" customHeight="1" x14ac:dyDescent="0.15">
      <c r="A6" s="9" t="s">
        <v>7</v>
      </c>
      <c r="B6" s="9" t="s">
        <v>103</v>
      </c>
      <c r="C6" s="71"/>
      <c r="D6" s="71"/>
      <c r="E6" s="108" t="s">
        <v>156</v>
      </c>
      <c r="F6" s="109"/>
      <c r="G6" s="109"/>
      <c r="H6" s="109"/>
      <c r="I6" s="110"/>
    </row>
    <row r="7" spans="1:9" ht="7.5" customHeight="1" x14ac:dyDescent="0.15">
      <c r="C7" s="71"/>
      <c r="D7" s="71"/>
      <c r="F7" s="68"/>
      <c r="G7" s="68"/>
      <c r="H7" s="68"/>
      <c r="I7" s="68"/>
    </row>
    <row r="8" spans="1:9" ht="18.75" customHeight="1" x14ac:dyDescent="0.15">
      <c r="A8" s="9" t="s">
        <v>12</v>
      </c>
      <c r="B8" s="9" t="s">
        <v>104</v>
      </c>
      <c r="C8" s="71"/>
      <c r="D8" s="71"/>
      <c r="E8" s="71"/>
      <c r="F8" s="71"/>
      <c r="G8" s="71"/>
      <c r="H8" s="71"/>
      <c r="I8" s="71"/>
    </row>
    <row r="9" spans="1:9" ht="18.75" customHeight="1" x14ac:dyDescent="0.15">
      <c r="B9" s="129" t="s">
        <v>321</v>
      </c>
      <c r="C9" s="130"/>
      <c r="D9" s="130"/>
      <c r="E9" s="130"/>
      <c r="F9" s="130"/>
      <c r="G9" s="130"/>
      <c r="H9" s="130"/>
      <c r="I9" s="131"/>
    </row>
    <row r="10" spans="1:9" ht="18.75" customHeight="1" x14ac:dyDescent="0.15">
      <c r="B10" s="132"/>
      <c r="C10" s="133"/>
      <c r="D10" s="133"/>
      <c r="E10" s="133"/>
      <c r="F10" s="133"/>
      <c r="G10" s="133"/>
      <c r="H10" s="133"/>
      <c r="I10" s="134"/>
    </row>
    <row r="11" spans="1:9" ht="18.75" customHeight="1" x14ac:dyDescent="0.15">
      <c r="B11" s="132"/>
      <c r="C11" s="133"/>
      <c r="D11" s="133"/>
      <c r="E11" s="133"/>
      <c r="F11" s="133"/>
      <c r="G11" s="133"/>
      <c r="H11" s="133"/>
      <c r="I11" s="134"/>
    </row>
    <row r="12" spans="1:9" ht="18.75" customHeight="1" x14ac:dyDescent="0.15">
      <c r="B12" s="132"/>
      <c r="C12" s="133"/>
      <c r="D12" s="133"/>
      <c r="E12" s="133"/>
      <c r="F12" s="133"/>
      <c r="G12" s="133"/>
      <c r="H12" s="133"/>
      <c r="I12" s="134"/>
    </row>
    <row r="13" spans="1:9" ht="18.75" customHeight="1" x14ac:dyDescent="0.15">
      <c r="B13" s="132"/>
      <c r="C13" s="133"/>
      <c r="D13" s="133"/>
      <c r="E13" s="133"/>
      <c r="F13" s="133"/>
      <c r="G13" s="133"/>
      <c r="H13" s="133"/>
      <c r="I13" s="134"/>
    </row>
    <row r="14" spans="1:9" ht="18.75" customHeight="1" x14ac:dyDescent="0.15">
      <c r="B14" s="132"/>
      <c r="C14" s="133"/>
      <c r="D14" s="133"/>
      <c r="E14" s="133"/>
      <c r="F14" s="133"/>
      <c r="G14" s="133"/>
      <c r="H14" s="133"/>
      <c r="I14" s="134"/>
    </row>
    <row r="15" spans="1:9" ht="18.75" customHeight="1" x14ac:dyDescent="0.15">
      <c r="B15" s="132"/>
      <c r="C15" s="133"/>
      <c r="D15" s="133"/>
      <c r="E15" s="133"/>
      <c r="F15" s="133"/>
      <c r="G15" s="133"/>
      <c r="H15" s="133"/>
      <c r="I15" s="134"/>
    </row>
    <row r="16" spans="1:9" ht="18.75" customHeight="1" x14ac:dyDescent="0.15">
      <c r="B16" s="135"/>
      <c r="C16" s="136"/>
      <c r="D16" s="136"/>
      <c r="E16" s="136"/>
      <c r="F16" s="136"/>
      <c r="G16" s="136"/>
      <c r="H16" s="136"/>
      <c r="I16" s="137"/>
    </row>
    <row r="17" spans="1:10" ht="7.5" customHeight="1" x14ac:dyDescent="0.15">
      <c r="C17" s="71"/>
      <c r="D17" s="71"/>
      <c r="E17" s="71"/>
      <c r="F17" s="71"/>
      <c r="G17" s="71"/>
      <c r="H17" s="71"/>
      <c r="I17" s="71"/>
    </row>
    <row r="18" spans="1:10" ht="18.75" customHeight="1" x14ac:dyDescent="0.15">
      <c r="A18" s="71" t="s">
        <v>13</v>
      </c>
      <c r="B18" s="11" t="s">
        <v>105</v>
      </c>
      <c r="C18" s="11"/>
      <c r="D18" s="11"/>
      <c r="E18" s="11"/>
      <c r="F18" s="71"/>
      <c r="G18" s="71"/>
      <c r="H18" s="71"/>
      <c r="I18" s="71"/>
      <c r="J18" s="71"/>
    </row>
    <row r="19" spans="1:10" ht="18.75" customHeight="1" x14ac:dyDescent="0.15">
      <c r="A19" s="139" t="s">
        <v>105</v>
      </c>
      <c r="B19" s="139"/>
      <c r="C19" s="139"/>
      <c r="D19" s="139"/>
      <c r="E19" s="139"/>
      <c r="F19" s="140" t="s">
        <v>105</v>
      </c>
      <c r="G19" s="140"/>
      <c r="H19" s="140"/>
      <c r="I19" s="140"/>
    </row>
    <row r="20" spans="1:10" ht="18.75" customHeight="1" x14ac:dyDescent="0.15">
      <c r="A20" s="33">
        <v>1</v>
      </c>
      <c r="B20" s="120" t="s">
        <v>307</v>
      </c>
      <c r="C20" s="121"/>
      <c r="D20" s="121"/>
      <c r="E20" s="122"/>
      <c r="F20" s="33">
        <v>26</v>
      </c>
      <c r="G20" s="120"/>
      <c r="H20" s="121"/>
      <c r="I20" s="122"/>
    </row>
    <row r="21" spans="1:10" ht="18.75" customHeight="1" x14ac:dyDescent="0.15">
      <c r="A21" s="33">
        <v>2</v>
      </c>
      <c r="B21" s="120" t="s">
        <v>308</v>
      </c>
      <c r="C21" s="121"/>
      <c r="D21" s="121"/>
      <c r="E21" s="122"/>
      <c r="F21" s="33">
        <v>27</v>
      </c>
      <c r="G21" s="120"/>
      <c r="H21" s="121"/>
      <c r="I21" s="122"/>
    </row>
    <row r="22" spans="1:10" ht="18.75" customHeight="1" x14ac:dyDescent="0.15">
      <c r="A22" s="33">
        <v>3</v>
      </c>
      <c r="B22" s="120" t="s">
        <v>309</v>
      </c>
      <c r="C22" s="121"/>
      <c r="D22" s="121"/>
      <c r="E22" s="122"/>
      <c r="F22" s="33">
        <v>28</v>
      </c>
      <c r="G22" s="120"/>
      <c r="H22" s="121"/>
      <c r="I22" s="122"/>
    </row>
    <row r="23" spans="1:10" ht="18.75" customHeight="1" x14ac:dyDescent="0.15">
      <c r="A23" s="33">
        <v>4</v>
      </c>
      <c r="B23" s="120" t="s">
        <v>310</v>
      </c>
      <c r="C23" s="121"/>
      <c r="D23" s="121"/>
      <c r="E23" s="122"/>
      <c r="F23" s="33">
        <v>29</v>
      </c>
      <c r="G23" s="120"/>
      <c r="H23" s="121"/>
      <c r="I23" s="122"/>
    </row>
    <row r="24" spans="1:10" ht="18.75" customHeight="1" x14ac:dyDescent="0.15">
      <c r="A24" s="33">
        <v>5</v>
      </c>
      <c r="B24" s="120" t="s">
        <v>311</v>
      </c>
      <c r="C24" s="121"/>
      <c r="D24" s="121"/>
      <c r="E24" s="122"/>
      <c r="F24" s="33">
        <v>30</v>
      </c>
      <c r="G24" s="120"/>
      <c r="H24" s="121"/>
      <c r="I24" s="122"/>
    </row>
    <row r="25" spans="1:10" ht="18.75" customHeight="1" x14ac:dyDescent="0.15">
      <c r="A25" s="33">
        <v>6</v>
      </c>
      <c r="B25" s="120" t="s">
        <v>312</v>
      </c>
      <c r="C25" s="121"/>
      <c r="D25" s="121"/>
      <c r="E25" s="122"/>
      <c r="F25" s="33">
        <v>31</v>
      </c>
      <c r="G25" s="120"/>
      <c r="H25" s="121"/>
      <c r="I25" s="122"/>
    </row>
    <row r="26" spans="1:10" ht="18.75" customHeight="1" x14ac:dyDescent="0.15">
      <c r="A26" s="33">
        <v>7</v>
      </c>
      <c r="B26" s="120" t="s">
        <v>313</v>
      </c>
      <c r="C26" s="121"/>
      <c r="D26" s="121"/>
      <c r="E26" s="122"/>
      <c r="F26" s="33">
        <v>32</v>
      </c>
      <c r="G26" s="120"/>
      <c r="H26" s="121"/>
      <c r="I26" s="122"/>
    </row>
    <row r="27" spans="1:10" ht="18.75" customHeight="1" x14ac:dyDescent="0.15">
      <c r="A27" s="33">
        <v>8</v>
      </c>
      <c r="B27" s="120" t="s">
        <v>314</v>
      </c>
      <c r="C27" s="121"/>
      <c r="D27" s="121"/>
      <c r="E27" s="122"/>
      <c r="F27" s="33">
        <v>33</v>
      </c>
      <c r="G27" s="120"/>
      <c r="H27" s="121"/>
      <c r="I27" s="122"/>
    </row>
    <row r="28" spans="1:10" ht="18.75" customHeight="1" x14ac:dyDescent="0.15">
      <c r="A28" s="33">
        <v>9</v>
      </c>
      <c r="B28" s="120" t="s">
        <v>315</v>
      </c>
      <c r="C28" s="121"/>
      <c r="D28" s="121"/>
      <c r="E28" s="122"/>
      <c r="F28" s="33">
        <v>34</v>
      </c>
      <c r="G28" s="120"/>
      <c r="H28" s="121"/>
      <c r="I28" s="122"/>
    </row>
    <row r="29" spans="1:10" ht="18.75" customHeight="1" x14ac:dyDescent="0.15">
      <c r="A29" s="33">
        <v>10</v>
      </c>
      <c r="B29" s="120" t="s">
        <v>316</v>
      </c>
      <c r="C29" s="121"/>
      <c r="D29" s="121"/>
      <c r="E29" s="122"/>
      <c r="F29" s="33">
        <v>35</v>
      </c>
      <c r="G29" s="120"/>
      <c r="H29" s="121"/>
      <c r="I29" s="122"/>
    </row>
    <row r="30" spans="1:10" ht="18.75" customHeight="1" x14ac:dyDescent="0.15">
      <c r="A30" s="33">
        <v>11</v>
      </c>
      <c r="B30" s="120"/>
      <c r="C30" s="121"/>
      <c r="D30" s="121"/>
      <c r="E30" s="122"/>
      <c r="F30" s="33">
        <v>36</v>
      </c>
      <c r="G30" s="120"/>
      <c r="H30" s="121"/>
      <c r="I30" s="122"/>
    </row>
    <row r="31" spans="1:10" ht="18.75" customHeight="1" x14ac:dyDescent="0.15">
      <c r="A31" s="33">
        <v>12</v>
      </c>
      <c r="B31" s="120"/>
      <c r="C31" s="121"/>
      <c r="D31" s="121"/>
      <c r="E31" s="122"/>
      <c r="F31" s="33">
        <v>37</v>
      </c>
      <c r="G31" s="120"/>
      <c r="H31" s="121"/>
      <c r="I31" s="122"/>
    </row>
    <row r="32" spans="1:10" ht="18.75" customHeight="1" x14ac:dyDescent="0.15">
      <c r="A32" s="33">
        <v>13</v>
      </c>
      <c r="B32" s="120"/>
      <c r="C32" s="121"/>
      <c r="D32" s="121"/>
      <c r="E32" s="122"/>
      <c r="F32" s="33">
        <v>38</v>
      </c>
      <c r="G32" s="120"/>
      <c r="H32" s="121"/>
      <c r="I32" s="122"/>
    </row>
    <row r="33" spans="1:9" ht="18.75" customHeight="1" x14ac:dyDescent="0.15">
      <c r="A33" s="33">
        <v>14</v>
      </c>
      <c r="B33" s="120"/>
      <c r="C33" s="121"/>
      <c r="D33" s="121"/>
      <c r="E33" s="122"/>
      <c r="F33" s="33">
        <v>39</v>
      </c>
      <c r="G33" s="120"/>
      <c r="H33" s="121"/>
      <c r="I33" s="122"/>
    </row>
    <row r="34" spans="1:9" ht="18.75" customHeight="1" x14ac:dyDescent="0.15">
      <c r="A34" s="33">
        <v>15</v>
      </c>
      <c r="B34" s="120"/>
      <c r="C34" s="121"/>
      <c r="D34" s="121"/>
      <c r="E34" s="122"/>
      <c r="F34" s="33">
        <v>40</v>
      </c>
      <c r="G34" s="120"/>
      <c r="H34" s="121"/>
      <c r="I34" s="122"/>
    </row>
    <row r="35" spans="1:9" ht="18.75" customHeight="1" x14ac:dyDescent="0.15">
      <c r="A35" s="33">
        <v>16</v>
      </c>
      <c r="B35" s="120"/>
      <c r="C35" s="121"/>
      <c r="D35" s="121"/>
      <c r="E35" s="122"/>
      <c r="F35" s="33">
        <v>41</v>
      </c>
      <c r="G35" s="120"/>
      <c r="H35" s="121"/>
      <c r="I35" s="122"/>
    </row>
    <row r="36" spans="1:9" ht="18.75" customHeight="1" x14ac:dyDescent="0.15">
      <c r="A36" s="33">
        <v>17</v>
      </c>
      <c r="B36" s="120"/>
      <c r="C36" s="121"/>
      <c r="D36" s="121"/>
      <c r="E36" s="122"/>
      <c r="F36" s="33">
        <v>42</v>
      </c>
      <c r="G36" s="120"/>
      <c r="H36" s="121"/>
      <c r="I36" s="122"/>
    </row>
    <row r="37" spans="1:9" ht="18.75" customHeight="1" x14ac:dyDescent="0.15">
      <c r="A37" s="33">
        <v>18</v>
      </c>
      <c r="B37" s="120"/>
      <c r="C37" s="121"/>
      <c r="D37" s="121"/>
      <c r="E37" s="122"/>
      <c r="F37" s="33">
        <v>43</v>
      </c>
      <c r="G37" s="120"/>
      <c r="H37" s="121"/>
      <c r="I37" s="122"/>
    </row>
    <row r="38" spans="1:9" ht="18.75" customHeight="1" x14ac:dyDescent="0.15">
      <c r="A38" s="33">
        <v>19</v>
      </c>
      <c r="B38" s="120"/>
      <c r="C38" s="121"/>
      <c r="D38" s="121"/>
      <c r="E38" s="122"/>
      <c r="F38" s="33">
        <v>44</v>
      </c>
      <c r="G38" s="120"/>
      <c r="H38" s="121"/>
      <c r="I38" s="122"/>
    </row>
    <row r="39" spans="1:9" ht="18.75" customHeight="1" x14ac:dyDescent="0.15">
      <c r="A39" s="33">
        <v>20</v>
      </c>
      <c r="B39" s="120"/>
      <c r="C39" s="121"/>
      <c r="D39" s="121"/>
      <c r="E39" s="122"/>
      <c r="F39" s="33">
        <v>45</v>
      </c>
      <c r="G39" s="120"/>
      <c r="H39" s="121"/>
      <c r="I39" s="122"/>
    </row>
    <row r="40" spans="1:9" ht="18.75" customHeight="1" x14ac:dyDescent="0.15">
      <c r="A40" s="33">
        <v>21</v>
      </c>
      <c r="B40" s="120"/>
      <c r="C40" s="121"/>
      <c r="D40" s="121"/>
      <c r="E40" s="122"/>
      <c r="F40" s="33">
        <v>46</v>
      </c>
      <c r="G40" s="120"/>
      <c r="H40" s="121"/>
      <c r="I40" s="122"/>
    </row>
    <row r="41" spans="1:9" ht="18.75" customHeight="1" x14ac:dyDescent="0.15">
      <c r="A41" s="33">
        <v>22</v>
      </c>
      <c r="B41" s="120"/>
      <c r="C41" s="121"/>
      <c r="D41" s="121"/>
      <c r="E41" s="122"/>
      <c r="F41" s="33">
        <v>47</v>
      </c>
      <c r="G41" s="120"/>
      <c r="H41" s="121"/>
      <c r="I41" s="122"/>
    </row>
    <row r="42" spans="1:9" ht="18.75" customHeight="1" x14ac:dyDescent="0.15">
      <c r="A42" s="33">
        <v>23</v>
      </c>
      <c r="B42" s="120"/>
      <c r="C42" s="121"/>
      <c r="D42" s="121"/>
      <c r="E42" s="122"/>
      <c r="F42" s="33">
        <v>48</v>
      </c>
      <c r="G42" s="120"/>
      <c r="H42" s="121"/>
      <c r="I42" s="122"/>
    </row>
    <row r="43" spans="1:9" ht="18.75" customHeight="1" x14ac:dyDescent="0.15">
      <c r="A43" s="33">
        <v>24</v>
      </c>
      <c r="B43" s="120"/>
      <c r="C43" s="121"/>
      <c r="D43" s="121"/>
      <c r="E43" s="122"/>
      <c r="F43" s="33">
        <v>49</v>
      </c>
      <c r="G43" s="120"/>
      <c r="H43" s="121"/>
      <c r="I43" s="122"/>
    </row>
    <row r="44" spans="1:9" ht="18.75" customHeight="1" x14ac:dyDescent="0.15">
      <c r="A44" s="33">
        <v>25</v>
      </c>
      <c r="B44" s="120"/>
      <c r="C44" s="121"/>
      <c r="D44" s="121"/>
      <c r="E44" s="122"/>
      <c r="F44" s="33">
        <v>50</v>
      </c>
      <c r="G44" s="120"/>
      <c r="H44" s="121"/>
      <c r="I44" s="122"/>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29"/>
  <sheetViews>
    <sheetView topLeftCell="D1" workbookViewId="0">
      <selection activeCell="S39" sqref="S39"/>
    </sheetView>
  </sheetViews>
  <sheetFormatPr defaultRowHeight="18.75" customHeight="1" x14ac:dyDescent="0.15"/>
  <cols>
    <col min="1" max="1" width="2.5" style="1" customWidth="1"/>
    <col min="2" max="2" width="12.5" style="1" customWidth="1"/>
    <col min="3" max="3" width="21" style="1" customWidth="1"/>
    <col min="4" max="18" width="6.25" style="1" customWidth="1"/>
    <col min="19" max="16384" width="9" style="1"/>
  </cols>
  <sheetData>
    <row r="1" spans="1:20" ht="18.75" customHeight="1" x14ac:dyDescent="0.15">
      <c r="F1" s="153" t="s">
        <v>73</v>
      </c>
      <c r="G1" s="153"/>
      <c r="H1" s="153"/>
      <c r="I1" s="153"/>
      <c r="J1" s="153"/>
      <c r="K1" s="153"/>
      <c r="L1" s="153"/>
      <c r="M1" s="153"/>
      <c r="N1" s="153"/>
      <c r="O1" s="153"/>
      <c r="P1" s="153"/>
      <c r="Q1" s="153"/>
      <c r="R1" s="153"/>
    </row>
    <row r="2" spans="1:20" ht="18.75" customHeight="1" x14ac:dyDescent="0.15">
      <c r="D2" s="43"/>
      <c r="E2" s="43"/>
      <c r="F2" s="43"/>
      <c r="G2" s="43"/>
      <c r="H2" s="43"/>
      <c r="I2" s="43"/>
      <c r="J2" s="43"/>
      <c r="K2" s="153" t="s">
        <v>65</v>
      </c>
      <c r="L2" s="153"/>
      <c r="M2" s="2" t="s">
        <v>136</v>
      </c>
      <c r="N2" s="43"/>
      <c r="O2" s="43"/>
      <c r="P2" s="43"/>
      <c r="Q2" s="43"/>
      <c r="R2" s="43"/>
    </row>
    <row r="3" spans="1:20" ht="7.5" customHeight="1" x14ac:dyDescent="0.15"/>
    <row r="4" spans="1:20" ht="18.75" customHeight="1" x14ac:dyDescent="0.15">
      <c r="A4" s="163" t="s">
        <v>125</v>
      </c>
      <c r="B4" s="163"/>
      <c r="C4" s="163"/>
      <c r="D4" s="163"/>
      <c r="E4" s="163"/>
      <c r="F4" s="163"/>
      <c r="G4" s="163"/>
      <c r="H4" s="163"/>
      <c r="I4" s="163"/>
      <c r="J4" s="163"/>
      <c r="K4" s="163"/>
      <c r="L4" s="163"/>
      <c r="M4" s="163"/>
      <c r="N4" s="163"/>
      <c r="O4" s="163"/>
      <c r="P4" s="163"/>
      <c r="Q4" s="163"/>
      <c r="R4" s="163"/>
      <c r="S4" s="2"/>
    </row>
    <row r="5" spans="1:20" ht="7.5" customHeight="1" x14ac:dyDescent="0.15">
      <c r="A5" s="42"/>
      <c r="B5" s="42"/>
      <c r="C5" s="42"/>
      <c r="D5" s="42"/>
      <c r="E5" s="42"/>
      <c r="F5" s="42"/>
      <c r="G5" s="42"/>
      <c r="H5" s="42"/>
      <c r="I5" s="42"/>
      <c r="J5" s="42"/>
      <c r="K5" s="42"/>
      <c r="L5" s="42"/>
      <c r="M5" s="42"/>
      <c r="N5" s="42"/>
      <c r="O5" s="42"/>
      <c r="P5" s="42"/>
      <c r="Q5" s="42"/>
      <c r="R5" s="42"/>
    </row>
    <row r="6" spans="1:20" ht="18.75" customHeight="1" x14ac:dyDescent="0.15">
      <c r="B6" s="147" t="s">
        <v>130</v>
      </c>
      <c r="C6" s="148"/>
      <c r="D6" s="154" t="s">
        <v>90</v>
      </c>
      <c r="E6" s="156" t="s">
        <v>119</v>
      </c>
      <c r="F6" s="156"/>
      <c r="G6" s="156" t="s">
        <v>120</v>
      </c>
      <c r="H6" s="156"/>
      <c r="I6" s="157" t="s">
        <v>121</v>
      </c>
      <c r="J6" s="158"/>
      <c r="K6" s="157" t="s">
        <v>122</v>
      </c>
      <c r="L6" s="158"/>
      <c r="M6" s="157" t="s">
        <v>123</v>
      </c>
      <c r="N6" s="158"/>
      <c r="O6" s="157" t="s">
        <v>124</v>
      </c>
      <c r="P6" s="158"/>
      <c r="Q6" s="159" t="s">
        <v>72</v>
      </c>
      <c r="R6" s="161" t="s">
        <v>66</v>
      </c>
      <c r="T6" s="44"/>
    </row>
    <row r="7" spans="1:20" ht="18.75" customHeight="1" x14ac:dyDescent="0.15">
      <c r="B7" s="149"/>
      <c r="C7" s="150"/>
      <c r="D7" s="155"/>
      <c r="E7" s="26" t="s">
        <v>52</v>
      </c>
      <c r="F7" s="28" t="s">
        <v>51</v>
      </c>
      <c r="G7" s="29" t="s">
        <v>52</v>
      </c>
      <c r="H7" s="27" t="s">
        <v>51</v>
      </c>
      <c r="I7" s="26" t="s">
        <v>52</v>
      </c>
      <c r="J7" s="28" t="s">
        <v>51</v>
      </c>
      <c r="K7" s="29" t="s">
        <v>52</v>
      </c>
      <c r="L7" s="27" t="s">
        <v>51</v>
      </c>
      <c r="M7" s="26" t="s">
        <v>52</v>
      </c>
      <c r="N7" s="28" t="s">
        <v>51</v>
      </c>
      <c r="O7" s="29" t="s">
        <v>52</v>
      </c>
      <c r="P7" s="27" t="s">
        <v>51</v>
      </c>
      <c r="Q7" s="160"/>
      <c r="R7" s="162"/>
      <c r="T7" s="44"/>
    </row>
    <row r="8" spans="1:20" ht="18.75" customHeight="1" x14ac:dyDescent="0.15">
      <c r="A8" s="45"/>
      <c r="B8" s="143" t="s">
        <v>175</v>
      </c>
      <c r="C8" s="144"/>
      <c r="D8" s="46">
        <v>960</v>
      </c>
      <c r="E8" s="47">
        <v>549</v>
      </c>
      <c r="F8" s="48">
        <v>126</v>
      </c>
      <c r="G8" s="49"/>
      <c r="H8" s="50"/>
      <c r="I8" s="47"/>
      <c r="J8" s="48"/>
      <c r="K8" s="49"/>
      <c r="L8" s="50"/>
      <c r="M8" s="47"/>
      <c r="N8" s="48"/>
      <c r="O8" s="49"/>
      <c r="P8" s="50"/>
      <c r="Q8" s="51">
        <f>E8+G8+I8+K8+M8+O8</f>
        <v>549</v>
      </c>
      <c r="R8" s="52">
        <f>Q8/D8</f>
        <v>0.57187500000000002</v>
      </c>
    </row>
    <row r="9" spans="1:20" ht="18.75" customHeight="1" x14ac:dyDescent="0.15">
      <c r="A9" s="45"/>
      <c r="B9" s="141" t="s">
        <v>176</v>
      </c>
      <c r="C9" s="142"/>
      <c r="D9" s="53">
        <v>400</v>
      </c>
      <c r="E9" s="54">
        <v>277</v>
      </c>
      <c r="F9" s="55">
        <v>75</v>
      </c>
      <c r="G9" s="56"/>
      <c r="H9" s="57"/>
      <c r="I9" s="54"/>
      <c r="J9" s="55"/>
      <c r="K9" s="56"/>
      <c r="L9" s="57"/>
      <c r="M9" s="54"/>
      <c r="N9" s="55"/>
      <c r="O9" s="56"/>
      <c r="P9" s="57"/>
      <c r="Q9" s="58">
        <f t="shared" ref="Q9:Q27" si="0">E9+G9+I9+K9+M9+O9</f>
        <v>277</v>
      </c>
      <c r="R9" s="52">
        <f t="shared" ref="R9:R27" si="1">Q9/D9</f>
        <v>0.6925</v>
      </c>
    </row>
    <row r="10" spans="1:20" ht="18.75" customHeight="1" x14ac:dyDescent="0.15">
      <c r="A10" s="45"/>
      <c r="B10" s="141"/>
      <c r="C10" s="142"/>
      <c r="D10" s="53"/>
      <c r="E10" s="54"/>
      <c r="F10" s="55"/>
      <c r="G10" s="56"/>
      <c r="H10" s="57"/>
      <c r="I10" s="54"/>
      <c r="J10" s="55"/>
      <c r="K10" s="56"/>
      <c r="L10" s="57"/>
      <c r="M10" s="54"/>
      <c r="N10" s="55"/>
      <c r="O10" s="56"/>
      <c r="P10" s="57"/>
      <c r="Q10" s="58">
        <f t="shared" si="0"/>
        <v>0</v>
      </c>
      <c r="R10" s="52" t="e">
        <f t="shared" si="1"/>
        <v>#DIV/0!</v>
      </c>
    </row>
    <row r="11" spans="1:20" ht="18.75" customHeight="1" x14ac:dyDescent="0.15">
      <c r="A11" s="45"/>
      <c r="B11" s="141"/>
      <c r="C11" s="142"/>
      <c r="D11" s="53"/>
      <c r="E11" s="54"/>
      <c r="F11" s="55"/>
      <c r="G11" s="56"/>
      <c r="H11" s="57"/>
      <c r="I11" s="54"/>
      <c r="J11" s="55"/>
      <c r="K11" s="56"/>
      <c r="L11" s="57"/>
      <c r="M11" s="54"/>
      <c r="N11" s="55"/>
      <c r="O11" s="56"/>
      <c r="P11" s="57"/>
      <c r="Q11" s="58">
        <f t="shared" si="0"/>
        <v>0</v>
      </c>
      <c r="R11" s="52" t="e">
        <f t="shared" si="1"/>
        <v>#DIV/0!</v>
      </c>
    </row>
    <row r="12" spans="1:20" ht="18.75" customHeight="1" x14ac:dyDescent="0.15">
      <c r="A12" s="45"/>
      <c r="B12" s="141"/>
      <c r="C12" s="142"/>
      <c r="D12" s="53"/>
      <c r="E12" s="54"/>
      <c r="F12" s="55"/>
      <c r="G12" s="56"/>
      <c r="H12" s="57"/>
      <c r="I12" s="54"/>
      <c r="J12" s="55"/>
      <c r="K12" s="56"/>
      <c r="L12" s="57"/>
      <c r="M12" s="54"/>
      <c r="N12" s="55"/>
      <c r="O12" s="56"/>
      <c r="P12" s="57"/>
      <c r="Q12" s="58">
        <f t="shared" si="0"/>
        <v>0</v>
      </c>
      <c r="R12" s="52" t="e">
        <f t="shared" si="1"/>
        <v>#DIV/0!</v>
      </c>
    </row>
    <row r="13" spans="1:20" ht="18.75" customHeight="1" x14ac:dyDescent="0.15">
      <c r="A13" s="45"/>
      <c r="B13" s="141"/>
      <c r="C13" s="142"/>
      <c r="D13" s="53"/>
      <c r="E13" s="54"/>
      <c r="F13" s="55"/>
      <c r="G13" s="56"/>
      <c r="H13" s="57"/>
      <c r="I13" s="54"/>
      <c r="J13" s="55"/>
      <c r="K13" s="56"/>
      <c r="L13" s="57"/>
      <c r="M13" s="54"/>
      <c r="N13" s="55"/>
      <c r="O13" s="56"/>
      <c r="P13" s="57"/>
      <c r="Q13" s="58">
        <f t="shared" si="0"/>
        <v>0</v>
      </c>
      <c r="R13" s="52" t="e">
        <f t="shared" si="1"/>
        <v>#DIV/0!</v>
      </c>
    </row>
    <row r="14" spans="1:20" ht="18.75" customHeight="1" x14ac:dyDescent="0.15">
      <c r="A14" s="45"/>
      <c r="B14" s="141"/>
      <c r="C14" s="142"/>
      <c r="D14" s="53"/>
      <c r="E14" s="54"/>
      <c r="F14" s="55"/>
      <c r="G14" s="56"/>
      <c r="H14" s="57"/>
      <c r="I14" s="54"/>
      <c r="J14" s="55"/>
      <c r="K14" s="56"/>
      <c r="L14" s="57"/>
      <c r="M14" s="54"/>
      <c r="N14" s="55"/>
      <c r="O14" s="56"/>
      <c r="P14" s="57"/>
      <c r="Q14" s="58">
        <f t="shared" si="0"/>
        <v>0</v>
      </c>
      <c r="R14" s="52" t="e">
        <f t="shared" si="1"/>
        <v>#DIV/0!</v>
      </c>
    </row>
    <row r="15" spans="1:20" ht="18.75" customHeight="1" x14ac:dyDescent="0.15">
      <c r="A15" s="45"/>
      <c r="B15" s="141"/>
      <c r="C15" s="142"/>
      <c r="D15" s="53"/>
      <c r="E15" s="54"/>
      <c r="F15" s="55"/>
      <c r="G15" s="56"/>
      <c r="H15" s="57"/>
      <c r="I15" s="54"/>
      <c r="J15" s="55"/>
      <c r="K15" s="56"/>
      <c r="L15" s="57"/>
      <c r="M15" s="54"/>
      <c r="N15" s="55"/>
      <c r="O15" s="56"/>
      <c r="P15" s="57"/>
      <c r="Q15" s="58">
        <f t="shared" si="0"/>
        <v>0</v>
      </c>
      <c r="R15" s="52" t="e">
        <f t="shared" si="1"/>
        <v>#DIV/0!</v>
      </c>
    </row>
    <row r="16" spans="1:20" ht="18.75" customHeight="1" x14ac:dyDescent="0.15">
      <c r="A16" s="45"/>
      <c r="B16" s="141"/>
      <c r="C16" s="142"/>
      <c r="D16" s="53"/>
      <c r="E16" s="54"/>
      <c r="F16" s="55"/>
      <c r="G16" s="56"/>
      <c r="H16" s="57"/>
      <c r="I16" s="54"/>
      <c r="J16" s="55"/>
      <c r="K16" s="56"/>
      <c r="L16" s="57"/>
      <c r="M16" s="54"/>
      <c r="N16" s="55"/>
      <c r="O16" s="56"/>
      <c r="P16" s="57"/>
      <c r="Q16" s="58">
        <f>E16+G16+I16+K16+M16+O16</f>
        <v>0</v>
      </c>
      <c r="R16" s="52" t="e">
        <f t="shared" si="1"/>
        <v>#DIV/0!</v>
      </c>
    </row>
    <row r="17" spans="1:18" ht="18.75" customHeight="1" x14ac:dyDescent="0.15">
      <c r="A17" s="45"/>
      <c r="B17" s="141"/>
      <c r="C17" s="142"/>
      <c r="D17" s="53"/>
      <c r="E17" s="54"/>
      <c r="F17" s="55"/>
      <c r="G17" s="56"/>
      <c r="H17" s="57"/>
      <c r="I17" s="54"/>
      <c r="J17" s="55"/>
      <c r="K17" s="56"/>
      <c r="L17" s="57"/>
      <c r="M17" s="54"/>
      <c r="N17" s="55"/>
      <c r="O17" s="56"/>
      <c r="P17" s="57"/>
      <c r="Q17" s="58">
        <f t="shared" si="0"/>
        <v>0</v>
      </c>
      <c r="R17" s="52" t="e">
        <f t="shared" si="1"/>
        <v>#DIV/0!</v>
      </c>
    </row>
    <row r="18" spans="1:18" ht="18.75" customHeight="1" x14ac:dyDescent="0.15">
      <c r="A18" s="45"/>
      <c r="B18" s="141"/>
      <c r="C18" s="142"/>
      <c r="D18" s="53"/>
      <c r="E18" s="54"/>
      <c r="F18" s="55"/>
      <c r="G18" s="56"/>
      <c r="H18" s="57"/>
      <c r="I18" s="54"/>
      <c r="J18" s="55"/>
      <c r="K18" s="56"/>
      <c r="L18" s="57"/>
      <c r="M18" s="54"/>
      <c r="N18" s="55"/>
      <c r="O18" s="56"/>
      <c r="P18" s="57"/>
      <c r="Q18" s="58">
        <f t="shared" si="0"/>
        <v>0</v>
      </c>
      <c r="R18" s="52" t="e">
        <f t="shared" si="1"/>
        <v>#DIV/0!</v>
      </c>
    </row>
    <row r="19" spans="1:18" ht="18.75" customHeight="1" x14ac:dyDescent="0.15">
      <c r="A19" s="45"/>
      <c r="B19" s="141"/>
      <c r="C19" s="142"/>
      <c r="D19" s="53"/>
      <c r="E19" s="54"/>
      <c r="F19" s="55"/>
      <c r="G19" s="56"/>
      <c r="H19" s="57"/>
      <c r="I19" s="54"/>
      <c r="J19" s="55"/>
      <c r="K19" s="56"/>
      <c r="L19" s="57"/>
      <c r="M19" s="54"/>
      <c r="N19" s="55"/>
      <c r="O19" s="56"/>
      <c r="P19" s="57"/>
      <c r="Q19" s="58">
        <f t="shared" si="0"/>
        <v>0</v>
      </c>
      <c r="R19" s="52" t="e">
        <f t="shared" si="1"/>
        <v>#DIV/0!</v>
      </c>
    </row>
    <row r="20" spans="1:18" ht="18.75" customHeight="1" x14ac:dyDescent="0.15">
      <c r="A20" s="45"/>
      <c r="B20" s="141"/>
      <c r="C20" s="142"/>
      <c r="D20" s="53"/>
      <c r="E20" s="54"/>
      <c r="F20" s="55"/>
      <c r="G20" s="56"/>
      <c r="H20" s="57"/>
      <c r="I20" s="54"/>
      <c r="J20" s="55"/>
      <c r="K20" s="56"/>
      <c r="L20" s="57"/>
      <c r="M20" s="54"/>
      <c r="N20" s="55"/>
      <c r="O20" s="56"/>
      <c r="P20" s="57"/>
      <c r="Q20" s="58">
        <f t="shared" si="0"/>
        <v>0</v>
      </c>
      <c r="R20" s="52" t="e">
        <f t="shared" si="1"/>
        <v>#DIV/0!</v>
      </c>
    </row>
    <row r="21" spans="1:18" ht="18.75" customHeight="1" x14ac:dyDescent="0.15">
      <c r="A21" s="45"/>
      <c r="B21" s="141"/>
      <c r="C21" s="142"/>
      <c r="D21" s="53"/>
      <c r="E21" s="54"/>
      <c r="F21" s="55"/>
      <c r="G21" s="56"/>
      <c r="H21" s="57"/>
      <c r="I21" s="54"/>
      <c r="J21" s="55"/>
      <c r="K21" s="56"/>
      <c r="L21" s="57"/>
      <c r="M21" s="54"/>
      <c r="N21" s="55"/>
      <c r="O21" s="56"/>
      <c r="P21" s="57"/>
      <c r="Q21" s="58">
        <f t="shared" si="0"/>
        <v>0</v>
      </c>
      <c r="R21" s="52" t="e">
        <f t="shared" si="1"/>
        <v>#DIV/0!</v>
      </c>
    </row>
    <row r="22" spans="1:18" ht="18.75" customHeight="1" x14ac:dyDescent="0.15">
      <c r="A22" s="45"/>
      <c r="B22" s="141"/>
      <c r="C22" s="142"/>
      <c r="D22" s="53"/>
      <c r="E22" s="54"/>
      <c r="F22" s="55"/>
      <c r="G22" s="56"/>
      <c r="H22" s="57"/>
      <c r="I22" s="54"/>
      <c r="J22" s="55"/>
      <c r="K22" s="56"/>
      <c r="L22" s="57"/>
      <c r="M22" s="54"/>
      <c r="N22" s="55"/>
      <c r="O22" s="56"/>
      <c r="P22" s="57"/>
      <c r="Q22" s="58">
        <f t="shared" si="0"/>
        <v>0</v>
      </c>
      <c r="R22" s="52" t="e">
        <f t="shared" si="1"/>
        <v>#DIV/0!</v>
      </c>
    </row>
    <row r="23" spans="1:18" ht="18.75" customHeight="1" x14ac:dyDescent="0.15">
      <c r="A23" s="45"/>
      <c r="B23" s="141"/>
      <c r="C23" s="142"/>
      <c r="D23" s="53"/>
      <c r="E23" s="54"/>
      <c r="F23" s="55"/>
      <c r="G23" s="56"/>
      <c r="H23" s="57"/>
      <c r="I23" s="54"/>
      <c r="J23" s="55"/>
      <c r="K23" s="56"/>
      <c r="L23" s="57"/>
      <c r="M23" s="54"/>
      <c r="N23" s="55"/>
      <c r="O23" s="56"/>
      <c r="P23" s="57"/>
      <c r="Q23" s="58">
        <f t="shared" si="0"/>
        <v>0</v>
      </c>
      <c r="R23" s="52" t="e">
        <f t="shared" si="1"/>
        <v>#DIV/0!</v>
      </c>
    </row>
    <row r="24" spans="1:18" ht="18.75" customHeight="1" x14ac:dyDescent="0.15">
      <c r="A24" s="45"/>
      <c r="B24" s="141"/>
      <c r="C24" s="142"/>
      <c r="D24" s="53"/>
      <c r="E24" s="54"/>
      <c r="F24" s="55"/>
      <c r="G24" s="56"/>
      <c r="H24" s="57"/>
      <c r="I24" s="54"/>
      <c r="J24" s="55"/>
      <c r="K24" s="56"/>
      <c r="L24" s="57"/>
      <c r="M24" s="54"/>
      <c r="N24" s="55"/>
      <c r="O24" s="56"/>
      <c r="P24" s="57"/>
      <c r="Q24" s="58">
        <f t="shared" si="0"/>
        <v>0</v>
      </c>
      <c r="R24" s="52" t="e">
        <f t="shared" si="1"/>
        <v>#DIV/0!</v>
      </c>
    </row>
    <row r="25" spans="1:18" ht="18.75" customHeight="1" x14ac:dyDescent="0.15">
      <c r="A25" s="45"/>
      <c r="B25" s="141"/>
      <c r="C25" s="142"/>
      <c r="D25" s="53"/>
      <c r="E25" s="54"/>
      <c r="F25" s="55"/>
      <c r="G25" s="56"/>
      <c r="H25" s="57"/>
      <c r="I25" s="54"/>
      <c r="J25" s="55"/>
      <c r="K25" s="56"/>
      <c r="L25" s="57"/>
      <c r="M25" s="54"/>
      <c r="N25" s="55"/>
      <c r="O25" s="56"/>
      <c r="P25" s="57"/>
      <c r="Q25" s="58">
        <f t="shared" si="0"/>
        <v>0</v>
      </c>
      <c r="R25" s="52" t="e">
        <f t="shared" si="1"/>
        <v>#DIV/0!</v>
      </c>
    </row>
    <row r="26" spans="1:18" ht="18.75" customHeight="1" x14ac:dyDescent="0.15">
      <c r="A26" s="45"/>
      <c r="B26" s="141"/>
      <c r="C26" s="142"/>
      <c r="D26" s="53"/>
      <c r="E26" s="54"/>
      <c r="F26" s="55"/>
      <c r="G26" s="56"/>
      <c r="H26" s="57"/>
      <c r="I26" s="54"/>
      <c r="J26" s="55"/>
      <c r="K26" s="56"/>
      <c r="L26" s="57"/>
      <c r="M26" s="54"/>
      <c r="N26" s="55"/>
      <c r="O26" s="56"/>
      <c r="P26" s="57"/>
      <c r="Q26" s="58">
        <f t="shared" si="0"/>
        <v>0</v>
      </c>
      <c r="R26" s="52" t="e">
        <f t="shared" si="1"/>
        <v>#DIV/0!</v>
      </c>
    </row>
    <row r="27" spans="1:18" ht="18.75" customHeight="1" thickBot="1" x14ac:dyDescent="0.2">
      <c r="A27" s="45"/>
      <c r="B27" s="151"/>
      <c r="C27" s="152"/>
      <c r="D27" s="46"/>
      <c r="E27" s="47"/>
      <c r="F27" s="48"/>
      <c r="G27" s="49"/>
      <c r="H27" s="50"/>
      <c r="I27" s="47"/>
      <c r="J27" s="48"/>
      <c r="K27" s="49"/>
      <c r="L27" s="50"/>
      <c r="M27" s="47"/>
      <c r="N27" s="48"/>
      <c r="O27" s="49"/>
      <c r="P27" s="50"/>
      <c r="Q27" s="59">
        <f t="shared" si="0"/>
        <v>0</v>
      </c>
      <c r="R27" s="52" t="e">
        <f t="shared" si="1"/>
        <v>#DIV/0!</v>
      </c>
    </row>
    <row r="28" spans="1:18" ht="18.75" customHeight="1" thickTop="1" x14ac:dyDescent="0.15">
      <c r="A28" s="45"/>
      <c r="B28" s="145" t="s">
        <v>67</v>
      </c>
      <c r="C28" s="146"/>
      <c r="D28" s="60">
        <f t="shared" ref="D28:Q28" si="2">SUM(D8:D27)</f>
        <v>1360</v>
      </c>
      <c r="E28" s="61">
        <f t="shared" si="2"/>
        <v>826</v>
      </c>
      <c r="F28" s="62">
        <f t="shared" si="2"/>
        <v>201</v>
      </c>
      <c r="G28" s="63">
        <f t="shared" si="2"/>
        <v>0</v>
      </c>
      <c r="H28" s="64">
        <f t="shared" si="2"/>
        <v>0</v>
      </c>
      <c r="I28" s="61">
        <f t="shared" si="2"/>
        <v>0</v>
      </c>
      <c r="J28" s="62">
        <f t="shared" si="2"/>
        <v>0</v>
      </c>
      <c r="K28" s="63">
        <f t="shared" si="2"/>
        <v>0</v>
      </c>
      <c r="L28" s="64">
        <f t="shared" si="2"/>
        <v>0</v>
      </c>
      <c r="M28" s="61">
        <f t="shared" si="2"/>
        <v>0</v>
      </c>
      <c r="N28" s="62">
        <f t="shared" si="2"/>
        <v>0</v>
      </c>
      <c r="O28" s="63">
        <f t="shared" si="2"/>
        <v>0</v>
      </c>
      <c r="P28" s="64">
        <f t="shared" si="2"/>
        <v>0</v>
      </c>
      <c r="Q28" s="65">
        <f t="shared" si="2"/>
        <v>826</v>
      </c>
      <c r="R28" s="66">
        <f>Q28/D28</f>
        <v>0.60735294117647054</v>
      </c>
    </row>
    <row r="29" spans="1:18" ht="6.75" customHeight="1" x14ac:dyDescent="0.15">
      <c r="A29" s="45"/>
      <c r="B29" s="45"/>
      <c r="C29" s="45"/>
      <c r="D29" s="67"/>
      <c r="E29" s="67"/>
      <c r="F29" s="67"/>
      <c r="G29" s="67"/>
      <c r="H29" s="67"/>
      <c r="I29" s="67"/>
      <c r="J29" s="67"/>
      <c r="K29" s="67"/>
      <c r="L29" s="67"/>
      <c r="M29" s="67"/>
      <c r="N29" s="67"/>
      <c r="O29" s="67"/>
      <c r="P29" s="67"/>
      <c r="Q29" s="67"/>
      <c r="R29" s="67"/>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0"/>
  <sheetViews>
    <sheetView topLeftCell="A100" workbookViewId="0">
      <selection activeCell="S39" sqref="S39"/>
    </sheetView>
  </sheetViews>
  <sheetFormatPr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G1" s="31" t="s">
        <v>177</v>
      </c>
    </row>
    <row r="2" spans="1:7" ht="18.75" customHeight="1" x14ac:dyDescent="0.15">
      <c r="F2" s="31" t="s">
        <v>75</v>
      </c>
      <c r="G2" s="1" t="s">
        <v>136</v>
      </c>
    </row>
    <row r="3" spans="1:7" ht="18.75" customHeight="1" x14ac:dyDescent="0.15">
      <c r="A3" s="194" t="s">
        <v>96</v>
      </c>
      <c r="B3" s="194"/>
      <c r="C3" s="194"/>
      <c r="D3" s="194"/>
      <c r="E3" s="194"/>
      <c r="F3" s="194"/>
      <c r="G3" s="194"/>
    </row>
    <row r="4" spans="1:7" ht="18.75" customHeight="1" x14ac:dyDescent="0.15">
      <c r="A4" s="1" t="s">
        <v>7</v>
      </c>
      <c r="B4" s="1" t="s">
        <v>95</v>
      </c>
    </row>
    <row r="5" spans="1:7" s="30" customFormat="1" ht="18.75" customHeight="1" x14ac:dyDescent="0.15">
      <c r="B5" s="37" t="s">
        <v>74</v>
      </c>
      <c r="C5" s="170" t="s">
        <v>108</v>
      </c>
      <c r="D5" s="171"/>
      <c r="E5" s="171"/>
      <c r="F5" s="171"/>
      <c r="G5" s="172"/>
    </row>
    <row r="6" spans="1:7" s="34" customFormat="1" ht="45" customHeight="1" x14ac:dyDescent="0.15">
      <c r="B6" s="176" t="s">
        <v>111</v>
      </c>
      <c r="C6" s="195" t="s">
        <v>284</v>
      </c>
      <c r="D6" s="196"/>
      <c r="E6" s="196"/>
      <c r="F6" s="196"/>
      <c r="G6" s="197"/>
    </row>
    <row r="7" spans="1:7" s="34" customFormat="1" ht="45" customHeight="1" x14ac:dyDescent="0.15">
      <c r="B7" s="177"/>
      <c r="C7" s="198"/>
      <c r="D7" s="199"/>
      <c r="E7" s="199"/>
      <c r="F7" s="199"/>
      <c r="G7" s="200"/>
    </row>
    <row r="8" spans="1:7" s="34" customFormat="1" ht="45" customHeight="1" x14ac:dyDescent="0.15">
      <c r="B8" s="177"/>
      <c r="C8" s="198"/>
      <c r="D8" s="199"/>
      <c r="E8" s="199"/>
      <c r="F8" s="199"/>
      <c r="G8" s="200"/>
    </row>
    <row r="9" spans="1:7" s="34" customFormat="1" ht="45" customHeight="1" x14ac:dyDescent="0.15">
      <c r="B9" s="177"/>
      <c r="C9" s="201"/>
      <c r="D9" s="202"/>
      <c r="E9" s="202"/>
      <c r="F9" s="202"/>
      <c r="G9" s="203"/>
    </row>
    <row r="10" spans="1:7" s="36" customFormat="1" ht="18.75" customHeight="1" x14ac:dyDescent="0.15">
      <c r="B10" s="177"/>
      <c r="C10" s="74" t="s">
        <v>109</v>
      </c>
      <c r="D10" s="164" t="s">
        <v>110</v>
      </c>
      <c r="E10" s="165"/>
      <c r="F10" s="165"/>
      <c r="G10" s="166"/>
    </row>
    <row r="11" spans="1:7" s="34" customFormat="1" ht="18.75" customHeight="1" x14ac:dyDescent="0.15">
      <c r="B11" s="177"/>
      <c r="C11" s="75" t="s">
        <v>178</v>
      </c>
      <c r="D11" s="167" t="s">
        <v>227</v>
      </c>
      <c r="E11" s="168"/>
      <c r="F11" s="168"/>
      <c r="G11" s="169"/>
    </row>
    <row r="12" spans="1:7" s="36" customFormat="1" ht="18.75" customHeight="1" x14ac:dyDescent="0.15">
      <c r="B12" s="177"/>
      <c r="C12" s="75" t="s">
        <v>179</v>
      </c>
      <c r="D12" s="167" t="s">
        <v>228</v>
      </c>
      <c r="E12" s="168"/>
      <c r="F12" s="168"/>
      <c r="G12" s="169"/>
    </row>
    <row r="13" spans="1:7" s="36" customFormat="1" ht="18.75" customHeight="1" x14ac:dyDescent="0.15">
      <c r="B13" s="177"/>
      <c r="C13" s="75" t="s">
        <v>178</v>
      </c>
      <c r="D13" s="167" t="s">
        <v>229</v>
      </c>
      <c r="E13" s="168"/>
      <c r="F13" s="168"/>
      <c r="G13" s="169"/>
    </row>
    <row r="14" spans="1:7" s="36" customFormat="1" ht="18.75" customHeight="1" x14ac:dyDescent="0.15">
      <c r="B14" s="177"/>
      <c r="C14" s="75" t="s">
        <v>178</v>
      </c>
      <c r="D14" s="167" t="s">
        <v>230</v>
      </c>
      <c r="E14" s="168"/>
      <c r="F14" s="168"/>
      <c r="G14" s="169"/>
    </row>
    <row r="15" spans="1:7" s="39" customFormat="1" ht="18.75" customHeight="1" x14ac:dyDescent="0.15">
      <c r="B15" s="177"/>
      <c r="C15" s="76" t="s">
        <v>178</v>
      </c>
      <c r="D15" s="173" t="s">
        <v>231</v>
      </c>
      <c r="E15" s="174"/>
      <c r="F15" s="174"/>
      <c r="G15" s="175"/>
    </row>
    <row r="16" spans="1:7" s="39" customFormat="1" ht="18.75" customHeight="1" x14ac:dyDescent="0.15">
      <c r="B16" s="177"/>
      <c r="C16" s="76" t="s">
        <v>180</v>
      </c>
      <c r="D16" s="173" t="s">
        <v>195</v>
      </c>
      <c r="E16" s="174"/>
      <c r="F16" s="174"/>
      <c r="G16" s="175"/>
    </row>
    <row r="17" spans="2:7" s="39" customFormat="1" ht="18.75" customHeight="1" x14ac:dyDescent="0.15">
      <c r="B17" s="177"/>
      <c r="C17" s="76" t="s">
        <v>180</v>
      </c>
      <c r="D17" s="173" t="s">
        <v>194</v>
      </c>
      <c r="E17" s="174"/>
      <c r="F17" s="174"/>
      <c r="G17" s="175"/>
    </row>
    <row r="18" spans="2:7" s="39" customFormat="1" ht="18.75" customHeight="1" x14ac:dyDescent="0.15">
      <c r="B18" s="177"/>
      <c r="C18" s="76" t="s">
        <v>180</v>
      </c>
      <c r="D18" s="173" t="s">
        <v>196</v>
      </c>
      <c r="E18" s="174"/>
      <c r="F18" s="174"/>
      <c r="G18" s="175"/>
    </row>
    <row r="19" spans="2:7" s="39" customFormat="1" ht="18.75" customHeight="1" x14ac:dyDescent="0.15">
      <c r="B19" s="177"/>
      <c r="C19" s="76" t="s">
        <v>181</v>
      </c>
      <c r="D19" s="173" t="s">
        <v>197</v>
      </c>
      <c r="E19" s="174"/>
      <c r="F19" s="174"/>
      <c r="G19" s="175"/>
    </row>
    <row r="20" spans="2:7" s="39" customFormat="1" ht="18.75" customHeight="1" x14ac:dyDescent="0.15">
      <c r="B20" s="177"/>
      <c r="C20" s="40"/>
      <c r="D20" s="170"/>
      <c r="E20" s="171"/>
      <c r="F20" s="171"/>
      <c r="G20" s="172"/>
    </row>
    <row r="21" spans="2:7" s="39" customFormat="1" ht="18.75" customHeight="1" x14ac:dyDescent="0.15">
      <c r="B21" s="177"/>
      <c r="C21" s="40"/>
      <c r="D21" s="170"/>
      <c r="E21" s="171"/>
      <c r="F21" s="171"/>
      <c r="G21" s="172"/>
    </row>
    <row r="22" spans="2:7" s="39" customFormat="1" ht="18.75" customHeight="1" x14ac:dyDescent="0.15">
      <c r="B22" s="177"/>
      <c r="C22" s="40"/>
      <c r="D22" s="170"/>
      <c r="E22" s="171"/>
      <c r="F22" s="171"/>
      <c r="G22" s="172"/>
    </row>
    <row r="23" spans="2:7" s="39" customFormat="1" ht="18.75" customHeight="1" x14ac:dyDescent="0.15">
      <c r="B23" s="177"/>
      <c r="C23" s="40"/>
      <c r="D23" s="170"/>
      <c r="E23" s="171"/>
      <c r="F23" s="171"/>
      <c r="G23" s="172"/>
    </row>
    <row r="24" spans="2:7" s="39" customFormat="1" ht="18.75" customHeight="1" x14ac:dyDescent="0.15">
      <c r="B24" s="177"/>
      <c r="C24" s="40"/>
      <c r="D24" s="170"/>
      <c r="E24" s="171"/>
      <c r="F24" s="171"/>
      <c r="G24" s="172"/>
    </row>
    <row r="25" spans="2:7" s="36" customFormat="1" ht="18.75" customHeight="1" x14ac:dyDescent="0.15">
      <c r="B25" s="177"/>
      <c r="C25" s="37"/>
      <c r="D25" s="170"/>
      <c r="E25" s="171"/>
      <c r="F25" s="171"/>
      <c r="G25" s="172"/>
    </row>
    <row r="26" spans="2:7" ht="18.75" customHeight="1" x14ac:dyDescent="0.15">
      <c r="B26" s="176" t="s">
        <v>112</v>
      </c>
      <c r="C26" s="170" t="s">
        <v>108</v>
      </c>
      <c r="D26" s="171"/>
      <c r="E26" s="171"/>
      <c r="F26" s="171"/>
      <c r="G26" s="172"/>
    </row>
    <row r="27" spans="2:7" ht="37.5" customHeight="1" x14ac:dyDescent="0.15">
      <c r="B27" s="177"/>
      <c r="C27" s="178" t="s">
        <v>285</v>
      </c>
      <c r="D27" s="179"/>
      <c r="E27" s="179"/>
      <c r="F27" s="179"/>
      <c r="G27" s="180"/>
    </row>
    <row r="28" spans="2:7" ht="37.5" customHeight="1" x14ac:dyDescent="0.15">
      <c r="B28" s="177"/>
      <c r="C28" s="181"/>
      <c r="D28" s="182"/>
      <c r="E28" s="182"/>
      <c r="F28" s="182"/>
      <c r="G28" s="183"/>
    </row>
    <row r="29" spans="2:7" ht="37.5" customHeight="1" x14ac:dyDescent="0.15">
      <c r="B29" s="177"/>
      <c r="C29" s="181"/>
      <c r="D29" s="182"/>
      <c r="E29" s="182"/>
      <c r="F29" s="182"/>
      <c r="G29" s="183"/>
    </row>
    <row r="30" spans="2:7" ht="37.5" customHeight="1" x14ac:dyDescent="0.15">
      <c r="B30" s="177"/>
      <c r="C30" s="181"/>
      <c r="D30" s="182"/>
      <c r="E30" s="182"/>
      <c r="F30" s="182"/>
      <c r="G30" s="183"/>
    </row>
    <row r="31" spans="2:7" ht="37.5" customHeight="1" x14ac:dyDescent="0.15">
      <c r="B31" s="177"/>
      <c r="C31" s="184"/>
      <c r="D31" s="185"/>
      <c r="E31" s="185"/>
      <c r="F31" s="185"/>
      <c r="G31" s="186"/>
    </row>
    <row r="32" spans="2:7" ht="18.75" customHeight="1" x14ac:dyDescent="0.15">
      <c r="B32" s="177"/>
      <c r="C32" s="35" t="s">
        <v>109</v>
      </c>
      <c r="D32" s="170" t="s">
        <v>110</v>
      </c>
      <c r="E32" s="171"/>
      <c r="F32" s="171"/>
      <c r="G32" s="172"/>
    </row>
    <row r="33" spans="2:7" ht="18.75" customHeight="1" x14ac:dyDescent="0.15">
      <c r="B33" s="177"/>
      <c r="C33" s="76" t="s">
        <v>186</v>
      </c>
      <c r="D33" s="190" t="s">
        <v>198</v>
      </c>
      <c r="E33" s="191"/>
      <c r="F33" s="191"/>
      <c r="G33" s="192"/>
    </row>
    <row r="34" spans="2:7" ht="18.75" customHeight="1" x14ac:dyDescent="0.15">
      <c r="B34" s="177"/>
      <c r="C34" s="76" t="s">
        <v>187</v>
      </c>
      <c r="D34" s="190" t="s">
        <v>199</v>
      </c>
      <c r="E34" s="191"/>
      <c r="F34" s="191"/>
      <c r="G34" s="192"/>
    </row>
    <row r="35" spans="2:7" ht="18.75" customHeight="1" x14ac:dyDescent="0.15">
      <c r="B35" s="177"/>
      <c r="C35" s="76" t="s">
        <v>158</v>
      </c>
      <c r="D35" s="167" t="s">
        <v>229</v>
      </c>
      <c r="E35" s="168"/>
      <c r="F35" s="168"/>
      <c r="G35" s="169"/>
    </row>
    <row r="36" spans="2:7" ht="18.75" customHeight="1" x14ac:dyDescent="0.15">
      <c r="B36" s="177"/>
      <c r="C36" s="76" t="s">
        <v>158</v>
      </c>
      <c r="D36" s="167" t="s">
        <v>232</v>
      </c>
      <c r="E36" s="168"/>
      <c r="F36" s="168"/>
      <c r="G36" s="169"/>
    </row>
    <row r="37" spans="2:7" ht="18.75" customHeight="1" x14ac:dyDescent="0.15">
      <c r="B37" s="177"/>
      <c r="C37" s="76" t="s">
        <v>158</v>
      </c>
      <c r="D37" s="173" t="s">
        <v>231</v>
      </c>
      <c r="E37" s="174"/>
      <c r="F37" s="174"/>
      <c r="G37" s="175"/>
    </row>
    <row r="38" spans="2:7" ht="18.75" customHeight="1" x14ac:dyDescent="0.15">
      <c r="B38" s="177"/>
      <c r="C38" s="76" t="s">
        <v>158</v>
      </c>
      <c r="D38" s="190" t="s">
        <v>200</v>
      </c>
      <c r="E38" s="191"/>
      <c r="F38" s="191"/>
      <c r="G38" s="192"/>
    </row>
    <row r="39" spans="2:7" ht="18.75" customHeight="1" x14ac:dyDescent="0.15">
      <c r="B39" s="177"/>
      <c r="C39" s="76" t="s">
        <v>158</v>
      </c>
      <c r="D39" s="190" t="s">
        <v>201</v>
      </c>
      <c r="E39" s="191"/>
      <c r="F39" s="191"/>
      <c r="G39" s="192"/>
    </row>
    <row r="40" spans="2:7" ht="18.75" customHeight="1" x14ac:dyDescent="0.15">
      <c r="B40" s="177"/>
      <c r="C40" s="76" t="s">
        <v>160</v>
      </c>
      <c r="D40" s="190" t="s">
        <v>202</v>
      </c>
      <c r="E40" s="191"/>
      <c r="F40" s="191"/>
      <c r="G40" s="192"/>
    </row>
    <row r="41" spans="2:7" ht="18.75" customHeight="1" x14ac:dyDescent="0.15">
      <c r="B41" s="177"/>
      <c r="C41" s="76" t="s">
        <v>160</v>
      </c>
      <c r="D41" s="190" t="s">
        <v>203</v>
      </c>
      <c r="E41" s="191"/>
      <c r="F41" s="191"/>
      <c r="G41" s="192"/>
    </row>
    <row r="42" spans="2:7" ht="18.75" customHeight="1" x14ac:dyDescent="0.15">
      <c r="B42" s="177"/>
      <c r="C42" s="76" t="s">
        <v>164</v>
      </c>
      <c r="D42" s="190" t="s">
        <v>204</v>
      </c>
      <c r="E42" s="191"/>
      <c r="F42" s="191"/>
      <c r="G42" s="192"/>
    </row>
    <row r="43" spans="2:7" ht="18.75" customHeight="1" x14ac:dyDescent="0.15">
      <c r="B43" s="177"/>
      <c r="C43" s="76" t="s">
        <v>164</v>
      </c>
      <c r="D43" s="190" t="s">
        <v>205</v>
      </c>
      <c r="E43" s="191"/>
      <c r="F43" s="191"/>
      <c r="G43" s="192"/>
    </row>
    <row r="44" spans="2:7" ht="18.75" customHeight="1" x14ac:dyDescent="0.15">
      <c r="B44" s="177"/>
      <c r="C44" s="37"/>
      <c r="D44" s="187"/>
      <c r="E44" s="188"/>
      <c r="F44" s="188"/>
      <c r="G44" s="189"/>
    </row>
    <row r="45" spans="2:7" ht="18.75" customHeight="1" x14ac:dyDescent="0.15">
      <c r="B45" s="177"/>
      <c r="C45" s="37"/>
      <c r="D45" s="187"/>
      <c r="E45" s="188"/>
      <c r="F45" s="188"/>
      <c r="G45" s="189"/>
    </row>
    <row r="46" spans="2:7" ht="18.75" customHeight="1" x14ac:dyDescent="0.15">
      <c r="B46" s="177"/>
      <c r="C46" s="37"/>
      <c r="D46" s="187"/>
      <c r="E46" s="188"/>
      <c r="F46" s="188"/>
      <c r="G46" s="189"/>
    </row>
    <row r="47" spans="2:7" ht="18.75" customHeight="1" x14ac:dyDescent="0.15">
      <c r="B47" s="177"/>
      <c r="C47" s="37"/>
      <c r="D47" s="187"/>
      <c r="E47" s="188"/>
      <c r="F47" s="188"/>
      <c r="G47" s="189"/>
    </row>
    <row r="48" spans="2:7" ht="18.75" customHeight="1" x14ac:dyDescent="0.15">
      <c r="B48" s="177"/>
      <c r="C48" s="37"/>
      <c r="D48" s="187"/>
      <c r="E48" s="188"/>
      <c r="F48" s="188"/>
      <c r="G48" s="189"/>
    </row>
    <row r="49" spans="2:7" ht="18.75" customHeight="1" x14ac:dyDescent="0.15">
      <c r="B49" s="177"/>
      <c r="C49" s="37"/>
      <c r="D49" s="187"/>
      <c r="E49" s="188"/>
      <c r="F49" s="188"/>
      <c r="G49" s="189"/>
    </row>
    <row r="50" spans="2:7" ht="18.75" customHeight="1" x14ac:dyDescent="0.15">
      <c r="B50" s="193"/>
      <c r="C50" s="37"/>
      <c r="D50" s="187"/>
      <c r="E50" s="188"/>
      <c r="F50" s="188"/>
      <c r="G50" s="189"/>
    </row>
    <row r="51" spans="2:7" ht="18.75" customHeight="1" x14ac:dyDescent="0.15">
      <c r="B51" s="176" t="s">
        <v>114</v>
      </c>
      <c r="C51" s="170" t="s">
        <v>108</v>
      </c>
      <c r="D51" s="171"/>
      <c r="E51" s="171"/>
      <c r="F51" s="171"/>
      <c r="G51" s="172"/>
    </row>
    <row r="52" spans="2:7" ht="37.5" customHeight="1" x14ac:dyDescent="0.15">
      <c r="B52" s="177"/>
      <c r="C52" s="178" t="s">
        <v>286</v>
      </c>
      <c r="D52" s="179"/>
      <c r="E52" s="179"/>
      <c r="F52" s="179"/>
      <c r="G52" s="180"/>
    </row>
    <row r="53" spans="2:7" ht="37.5" customHeight="1" x14ac:dyDescent="0.15">
      <c r="B53" s="177"/>
      <c r="C53" s="181"/>
      <c r="D53" s="182"/>
      <c r="E53" s="182"/>
      <c r="F53" s="182"/>
      <c r="G53" s="183"/>
    </row>
    <row r="54" spans="2:7" ht="37.5" customHeight="1" x14ac:dyDescent="0.15">
      <c r="B54" s="177"/>
      <c r="C54" s="181"/>
      <c r="D54" s="182"/>
      <c r="E54" s="182"/>
      <c r="F54" s="182"/>
      <c r="G54" s="183"/>
    </row>
    <row r="55" spans="2:7" ht="37.5" customHeight="1" x14ac:dyDescent="0.15">
      <c r="B55" s="177"/>
      <c r="C55" s="181"/>
      <c r="D55" s="182"/>
      <c r="E55" s="182"/>
      <c r="F55" s="182"/>
      <c r="G55" s="183"/>
    </row>
    <row r="56" spans="2:7" ht="37.5" customHeight="1" x14ac:dyDescent="0.15">
      <c r="B56" s="177"/>
      <c r="C56" s="184"/>
      <c r="D56" s="185"/>
      <c r="E56" s="185"/>
      <c r="F56" s="185"/>
      <c r="G56" s="186"/>
    </row>
    <row r="57" spans="2:7" ht="18.75" customHeight="1" x14ac:dyDescent="0.15">
      <c r="B57" s="177"/>
      <c r="C57" s="35" t="s">
        <v>109</v>
      </c>
      <c r="D57" s="170" t="s">
        <v>110</v>
      </c>
      <c r="E57" s="171"/>
      <c r="F57" s="171"/>
      <c r="G57" s="172"/>
    </row>
    <row r="58" spans="2:7" ht="18.75" customHeight="1" x14ac:dyDescent="0.15">
      <c r="B58" s="177"/>
      <c r="C58" s="76" t="s">
        <v>188</v>
      </c>
      <c r="D58" s="190" t="s">
        <v>208</v>
      </c>
      <c r="E58" s="191"/>
      <c r="F58" s="191"/>
      <c r="G58" s="192"/>
    </row>
    <row r="59" spans="2:7" ht="18.75" customHeight="1" x14ac:dyDescent="0.15">
      <c r="B59" s="177"/>
      <c r="C59" s="76" t="s">
        <v>188</v>
      </c>
      <c r="D59" s="190" t="s">
        <v>207</v>
      </c>
      <c r="E59" s="191"/>
      <c r="F59" s="191"/>
      <c r="G59" s="192"/>
    </row>
    <row r="60" spans="2:7" ht="18.75" customHeight="1" x14ac:dyDescent="0.15">
      <c r="B60" s="177"/>
      <c r="C60" s="76" t="s">
        <v>188</v>
      </c>
      <c r="D60" s="190" t="s">
        <v>206</v>
      </c>
      <c r="E60" s="191"/>
      <c r="F60" s="191"/>
      <c r="G60" s="192"/>
    </row>
    <row r="61" spans="2:7" ht="18.75" customHeight="1" x14ac:dyDescent="0.15">
      <c r="B61" s="177"/>
      <c r="C61" s="76" t="s">
        <v>186</v>
      </c>
      <c r="D61" s="190" t="s">
        <v>209</v>
      </c>
      <c r="E61" s="191"/>
      <c r="F61" s="191"/>
      <c r="G61" s="192"/>
    </row>
    <row r="62" spans="2:7" ht="18.75" customHeight="1" x14ac:dyDescent="0.15">
      <c r="B62" s="177"/>
      <c r="C62" s="76" t="s">
        <v>178</v>
      </c>
      <c r="D62" s="190" t="s">
        <v>210</v>
      </c>
      <c r="E62" s="191"/>
      <c r="F62" s="191"/>
      <c r="G62" s="192"/>
    </row>
    <row r="63" spans="2:7" ht="18.75" customHeight="1" x14ac:dyDescent="0.15">
      <c r="B63" s="177"/>
      <c r="C63" s="76" t="s">
        <v>158</v>
      </c>
      <c r="D63" s="190" t="s">
        <v>211</v>
      </c>
      <c r="E63" s="191"/>
      <c r="F63" s="191"/>
      <c r="G63" s="192"/>
    </row>
    <row r="64" spans="2:7" ht="18.75" customHeight="1" x14ac:dyDescent="0.15">
      <c r="B64" s="177"/>
      <c r="C64" s="76" t="s">
        <v>189</v>
      </c>
      <c r="D64" s="190" t="s">
        <v>212</v>
      </c>
      <c r="E64" s="191"/>
      <c r="F64" s="191"/>
      <c r="G64" s="192"/>
    </row>
    <row r="65" spans="2:7" ht="18.75" customHeight="1" x14ac:dyDescent="0.15">
      <c r="B65" s="177"/>
      <c r="C65" s="41"/>
      <c r="D65" s="187"/>
      <c r="E65" s="188"/>
      <c r="F65" s="188"/>
      <c r="G65" s="189"/>
    </row>
    <row r="66" spans="2:7" ht="18.75" customHeight="1" x14ac:dyDescent="0.15">
      <c r="B66" s="177"/>
      <c r="C66" s="41"/>
      <c r="D66" s="187"/>
      <c r="E66" s="188"/>
      <c r="F66" s="188"/>
      <c r="G66" s="189"/>
    </row>
    <row r="67" spans="2:7" ht="18.75" customHeight="1" x14ac:dyDescent="0.15">
      <c r="B67" s="177"/>
      <c r="C67" s="41"/>
      <c r="D67" s="187"/>
      <c r="E67" s="188"/>
      <c r="F67" s="188"/>
      <c r="G67" s="189"/>
    </row>
    <row r="68" spans="2:7" ht="18.75" customHeight="1" x14ac:dyDescent="0.15">
      <c r="B68" s="177"/>
      <c r="C68" s="41"/>
      <c r="D68" s="187"/>
      <c r="E68" s="188"/>
      <c r="F68" s="188"/>
      <c r="G68" s="189"/>
    </row>
    <row r="69" spans="2:7" ht="18.75" customHeight="1" x14ac:dyDescent="0.15">
      <c r="B69" s="177"/>
      <c r="C69" s="41"/>
      <c r="D69" s="187"/>
      <c r="E69" s="188"/>
      <c r="F69" s="188"/>
      <c r="G69" s="189"/>
    </row>
    <row r="70" spans="2:7" ht="18.75" customHeight="1" x14ac:dyDescent="0.15">
      <c r="B70" s="177"/>
      <c r="C70" s="41"/>
      <c r="D70" s="187"/>
      <c r="E70" s="188"/>
      <c r="F70" s="188"/>
      <c r="G70" s="189"/>
    </row>
    <row r="71" spans="2:7" ht="18.75" customHeight="1" x14ac:dyDescent="0.15">
      <c r="B71" s="177"/>
      <c r="C71" s="41"/>
      <c r="D71" s="187"/>
      <c r="E71" s="188"/>
      <c r="F71" s="188"/>
      <c r="G71" s="189"/>
    </row>
    <row r="72" spans="2:7" ht="18.75" customHeight="1" x14ac:dyDescent="0.15">
      <c r="B72" s="177"/>
      <c r="C72" s="41"/>
      <c r="D72" s="187"/>
      <c r="E72" s="188"/>
      <c r="F72" s="188"/>
      <c r="G72" s="189"/>
    </row>
    <row r="73" spans="2:7" ht="18.75" customHeight="1" x14ac:dyDescent="0.15">
      <c r="B73" s="177"/>
      <c r="C73" s="41"/>
      <c r="D73" s="187"/>
      <c r="E73" s="188"/>
      <c r="F73" s="188"/>
      <c r="G73" s="189"/>
    </row>
    <row r="74" spans="2:7" ht="18.75" customHeight="1" x14ac:dyDescent="0.15">
      <c r="B74" s="177"/>
      <c r="C74" s="37"/>
      <c r="D74" s="187"/>
      <c r="E74" s="188"/>
      <c r="F74" s="188"/>
      <c r="G74" s="189"/>
    </row>
    <row r="75" spans="2:7" ht="18.75" customHeight="1" x14ac:dyDescent="0.15">
      <c r="B75" s="177"/>
      <c r="C75" s="37"/>
      <c r="D75" s="187"/>
      <c r="E75" s="188"/>
      <c r="F75" s="188"/>
      <c r="G75" s="189"/>
    </row>
    <row r="76" spans="2:7" ht="18.75" customHeight="1" x14ac:dyDescent="0.15">
      <c r="B76" s="176" t="s">
        <v>113</v>
      </c>
      <c r="C76" s="170" t="s">
        <v>108</v>
      </c>
      <c r="D76" s="171"/>
      <c r="E76" s="171"/>
      <c r="F76" s="171"/>
      <c r="G76" s="172"/>
    </row>
    <row r="77" spans="2:7" ht="37.5" customHeight="1" x14ac:dyDescent="0.15">
      <c r="B77" s="177"/>
      <c r="C77" s="178" t="s">
        <v>287</v>
      </c>
      <c r="D77" s="179"/>
      <c r="E77" s="179"/>
      <c r="F77" s="179"/>
      <c r="G77" s="180"/>
    </row>
    <row r="78" spans="2:7" ht="37.5" customHeight="1" x14ac:dyDescent="0.15">
      <c r="B78" s="177"/>
      <c r="C78" s="181"/>
      <c r="D78" s="182"/>
      <c r="E78" s="182"/>
      <c r="F78" s="182"/>
      <c r="G78" s="183"/>
    </row>
    <row r="79" spans="2:7" ht="37.5" customHeight="1" x14ac:dyDescent="0.15">
      <c r="B79" s="177"/>
      <c r="C79" s="181"/>
      <c r="D79" s="182"/>
      <c r="E79" s="182"/>
      <c r="F79" s="182"/>
      <c r="G79" s="183"/>
    </row>
    <row r="80" spans="2:7" ht="37.5" customHeight="1" x14ac:dyDescent="0.15">
      <c r="B80" s="177"/>
      <c r="C80" s="181"/>
      <c r="D80" s="182"/>
      <c r="E80" s="182"/>
      <c r="F80" s="182"/>
      <c r="G80" s="183"/>
    </row>
    <row r="81" spans="2:7" ht="37.5" customHeight="1" x14ac:dyDescent="0.15">
      <c r="B81" s="177"/>
      <c r="C81" s="184"/>
      <c r="D81" s="185"/>
      <c r="E81" s="185"/>
      <c r="F81" s="185"/>
      <c r="G81" s="186"/>
    </row>
    <row r="82" spans="2:7" ht="18.75" customHeight="1" x14ac:dyDescent="0.15">
      <c r="B82" s="177"/>
      <c r="C82" s="35" t="s">
        <v>109</v>
      </c>
      <c r="D82" s="170" t="s">
        <v>110</v>
      </c>
      <c r="E82" s="171"/>
      <c r="F82" s="171"/>
      <c r="G82" s="172"/>
    </row>
    <row r="83" spans="2:7" ht="18.75" customHeight="1" x14ac:dyDescent="0.15">
      <c r="B83" s="177"/>
      <c r="C83" s="76" t="s">
        <v>188</v>
      </c>
      <c r="D83" s="190" t="s">
        <v>213</v>
      </c>
      <c r="E83" s="191"/>
      <c r="F83" s="191"/>
      <c r="G83" s="192"/>
    </row>
    <row r="84" spans="2:7" ht="18.75" customHeight="1" x14ac:dyDescent="0.15">
      <c r="B84" s="177"/>
      <c r="C84" s="76" t="s">
        <v>190</v>
      </c>
      <c r="D84" s="190" t="s">
        <v>225</v>
      </c>
      <c r="E84" s="191"/>
      <c r="F84" s="191"/>
      <c r="G84" s="192"/>
    </row>
    <row r="85" spans="2:7" ht="18.75" customHeight="1" x14ac:dyDescent="0.15">
      <c r="B85" s="177"/>
      <c r="C85" s="76" t="s">
        <v>190</v>
      </c>
      <c r="D85" s="190" t="s">
        <v>226</v>
      </c>
      <c r="E85" s="191"/>
      <c r="F85" s="191"/>
      <c r="G85" s="192"/>
    </row>
    <row r="86" spans="2:7" ht="18.75" customHeight="1" x14ac:dyDescent="0.15">
      <c r="B86" s="177"/>
      <c r="C86" s="76" t="s">
        <v>158</v>
      </c>
      <c r="D86" s="190" t="s">
        <v>214</v>
      </c>
      <c r="E86" s="191"/>
      <c r="F86" s="191"/>
      <c r="G86" s="192"/>
    </row>
    <row r="87" spans="2:7" ht="18.75" customHeight="1" x14ac:dyDescent="0.15">
      <c r="B87" s="177"/>
      <c r="C87" s="76" t="s">
        <v>158</v>
      </c>
      <c r="D87" s="190" t="s">
        <v>215</v>
      </c>
      <c r="E87" s="191"/>
      <c r="F87" s="191"/>
      <c r="G87" s="192"/>
    </row>
    <row r="88" spans="2:7" ht="18.75" customHeight="1" x14ac:dyDescent="0.15">
      <c r="B88" s="177"/>
      <c r="C88" s="76" t="s">
        <v>158</v>
      </c>
      <c r="D88" s="190" t="s">
        <v>216</v>
      </c>
      <c r="E88" s="191"/>
      <c r="F88" s="191"/>
      <c r="G88" s="192"/>
    </row>
    <row r="89" spans="2:7" ht="18.75" customHeight="1" x14ac:dyDescent="0.15">
      <c r="B89" s="177"/>
      <c r="C89" s="76" t="s">
        <v>158</v>
      </c>
      <c r="D89" s="190" t="s">
        <v>217</v>
      </c>
      <c r="E89" s="191"/>
      <c r="F89" s="191"/>
      <c r="G89" s="192"/>
    </row>
    <row r="90" spans="2:7" ht="18.75" customHeight="1" x14ac:dyDescent="0.15">
      <c r="B90" s="177"/>
      <c r="C90" s="76"/>
      <c r="D90" s="190"/>
      <c r="E90" s="191"/>
      <c r="F90" s="191"/>
      <c r="G90" s="192"/>
    </row>
    <row r="91" spans="2:7" ht="18.75" customHeight="1" x14ac:dyDescent="0.15">
      <c r="B91" s="177"/>
      <c r="C91" s="41"/>
      <c r="D91" s="187"/>
      <c r="E91" s="188"/>
      <c r="F91" s="188"/>
      <c r="G91" s="189"/>
    </row>
    <row r="92" spans="2:7" ht="18.75" customHeight="1" x14ac:dyDescent="0.15">
      <c r="B92" s="177"/>
      <c r="C92" s="41"/>
      <c r="D92" s="187"/>
      <c r="E92" s="188"/>
      <c r="F92" s="188"/>
      <c r="G92" s="189"/>
    </row>
    <row r="93" spans="2:7" ht="18.75" customHeight="1" x14ac:dyDescent="0.15">
      <c r="B93" s="177"/>
      <c r="C93" s="41"/>
      <c r="D93" s="187"/>
      <c r="E93" s="188"/>
      <c r="F93" s="188"/>
      <c r="G93" s="189"/>
    </row>
    <row r="94" spans="2:7" ht="18.75" customHeight="1" x14ac:dyDescent="0.15">
      <c r="B94" s="177"/>
      <c r="C94" s="41"/>
      <c r="D94" s="187"/>
      <c r="E94" s="188"/>
      <c r="F94" s="188"/>
      <c r="G94" s="189"/>
    </row>
    <row r="95" spans="2:7" ht="18.75" customHeight="1" x14ac:dyDescent="0.15">
      <c r="B95" s="177"/>
      <c r="C95" s="41"/>
      <c r="D95" s="187"/>
      <c r="E95" s="188"/>
      <c r="F95" s="188"/>
      <c r="G95" s="189"/>
    </row>
    <row r="96" spans="2:7" ht="18.75" customHeight="1" x14ac:dyDescent="0.15">
      <c r="B96" s="177"/>
      <c r="C96" s="41"/>
      <c r="D96" s="187"/>
      <c r="E96" s="188"/>
      <c r="F96" s="188"/>
      <c r="G96" s="189"/>
    </row>
    <row r="97" spans="2:7" ht="18.75" customHeight="1" x14ac:dyDescent="0.15">
      <c r="B97" s="177"/>
      <c r="C97" s="41"/>
      <c r="D97" s="187"/>
      <c r="E97" s="188"/>
      <c r="F97" s="188"/>
      <c r="G97" s="189"/>
    </row>
    <row r="98" spans="2:7" ht="18.75" customHeight="1" x14ac:dyDescent="0.15">
      <c r="B98" s="177"/>
      <c r="C98" s="41"/>
      <c r="D98" s="187"/>
      <c r="E98" s="188"/>
      <c r="F98" s="188"/>
      <c r="G98" s="189"/>
    </row>
    <row r="99" spans="2:7" ht="18.75" customHeight="1" x14ac:dyDescent="0.15">
      <c r="B99" s="177"/>
      <c r="C99" s="41"/>
      <c r="D99" s="187"/>
      <c r="E99" s="188"/>
      <c r="F99" s="188"/>
      <c r="G99" s="189"/>
    </row>
    <row r="100" spans="2:7" ht="18.75" customHeight="1" x14ac:dyDescent="0.15">
      <c r="B100" s="177"/>
      <c r="C100" s="37"/>
      <c r="D100" s="187"/>
      <c r="E100" s="188"/>
      <c r="F100" s="188"/>
      <c r="G100" s="189"/>
    </row>
    <row r="101" spans="2:7" ht="18.75" customHeight="1" x14ac:dyDescent="0.15">
      <c r="B101" s="176" t="s">
        <v>115</v>
      </c>
      <c r="C101" s="170" t="s">
        <v>108</v>
      </c>
      <c r="D101" s="171"/>
      <c r="E101" s="171"/>
      <c r="F101" s="171"/>
      <c r="G101" s="172"/>
    </row>
    <row r="102" spans="2:7" ht="37.5" customHeight="1" x14ac:dyDescent="0.15">
      <c r="B102" s="177"/>
      <c r="C102" s="178" t="s">
        <v>218</v>
      </c>
      <c r="D102" s="179"/>
      <c r="E102" s="179"/>
      <c r="F102" s="179"/>
      <c r="G102" s="180"/>
    </row>
    <row r="103" spans="2:7" ht="37.5" customHeight="1" x14ac:dyDescent="0.15">
      <c r="B103" s="177"/>
      <c r="C103" s="181"/>
      <c r="D103" s="182"/>
      <c r="E103" s="182"/>
      <c r="F103" s="182"/>
      <c r="G103" s="183"/>
    </row>
    <row r="104" spans="2:7" ht="37.5" customHeight="1" x14ac:dyDescent="0.15">
      <c r="B104" s="177"/>
      <c r="C104" s="181"/>
      <c r="D104" s="182"/>
      <c r="E104" s="182"/>
      <c r="F104" s="182"/>
      <c r="G104" s="183"/>
    </row>
    <row r="105" spans="2:7" ht="37.5" customHeight="1" x14ac:dyDescent="0.15">
      <c r="B105" s="177"/>
      <c r="C105" s="181"/>
      <c r="D105" s="182"/>
      <c r="E105" s="182"/>
      <c r="F105" s="182"/>
      <c r="G105" s="183"/>
    </row>
    <row r="106" spans="2:7" ht="37.5" customHeight="1" x14ac:dyDescent="0.15">
      <c r="B106" s="177"/>
      <c r="C106" s="184"/>
      <c r="D106" s="185"/>
      <c r="E106" s="185"/>
      <c r="F106" s="185"/>
      <c r="G106" s="186"/>
    </row>
    <row r="107" spans="2:7" ht="18.75" customHeight="1" x14ac:dyDescent="0.15">
      <c r="B107" s="177"/>
      <c r="C107" s="35" t="s">
        <v>109</v>
      </c>
      <c r="D107" s="170" t="s">
        <v>110</v>
      </c>
      <c r="E107" s="171"/>
      <c r="F107" s="171"/>
      <c r="G107" s="172"/>
    </row>
    <row r="108" spans="2:7" ht="18.75" customHeight="1" x14ac:dyDescent="0.15">
      <c r="B108" s="177"/>
      <c r="C108" s="76" t="s">
        <v>157</v>
      </c>
      <c r="D108" s="190" t="s">
        <v>233</v>
      </c>
      <c r="E108" s="191"/>
      <c r="F108" s="191"/>
      <c r="G108" s="192"/>
    </row>
    <row r="109" spans="2:7" ht="18.75" customHeight="1" x14ac:dyDescent="0.15">
      <c r="B109" s="177"/>
      <c r="C109" s="76" t="s">
        <v>157</v>
      </c>
      <c r="D109" s="190" t="s">
        <v>235</v>
      </c>
      <c r="E109" s="191"/>
      <c r="F109" s="191"/>
      <c r="G109" s="192"/>
    </row>
    <row r="110" spans="2:7" ht="18.75" customHeight="1" x14ac:dyDescent="0.15">
      <c r="B110" s="177"/>
      <c r="C110" s="76" t="s">
        <v>157</v>
      </c>
      <c r="D110" s="190" t="s">
        <v>234</v>
      </c>
      <c r="E110" s="191"/>
      <c r="F110" s="191"/>
      <c r="G110" s="192"/>
    </row>
    <row r="111" spans="2:7" ht="18.75" customHeight="1" x14ac:dyDescent="0.15">
      <c r="B111" s="177"/>
      <c r="C111" s="76" t="s">
        <v>157</v>
      </c>
      <c r="D111" s="190" t="s">
        <v>219</v>
      </c>
      <c r="E111" s="191"/>
      <c r="F111" s="191"/>
      <c r="G111" s="192"/>
    </row>
    <row r="112" spans="2:7" ht="18.75" customHeight="1" x14ac:dyDescent="0.15">
      <c r="B112" s="177"/>
      <c r="C112" s="76" t="s">
        <v>159</v>
      </c>
      <c r="D112" s="190" t="s">
        <v>220</v>
      </c>
      <c r="E112" s="191"/>
      <c r="F112" s="191"/>
      <c r="G112" s="192"/>
    </row>
    <row r="113" spans="1:7" ht="18.75" customHeight="1" x14ac:dyDescent="0.15">
      <c r="B113" s="177"/>
      <c r="C113" s="76" t="s">
        <v>160</v>
      </c>
      <c r="D113" s="190" t="s">
        <v>202</v>
      </c>
      <c r="E113" s="191"/>
      <c r="F113" s="191"/>
      <c r="G113" s="192"/>
    </row>
    <row r="114" spans="1:7" ht="18.75" customHeight="1" x14ac:dyDescent="0.15">
      <c r="B114" s="177"/>
      <c r="C114" s="76" t="s">
        <v>160</v>
      </c>
      <c r="D114" s="190" t="s">
        <v>221</v>
      </c>
      <c r="E114" s="191"/>
      <c r="F114" s="191"/>
      <c r="G114" s="192"/>
    </row>
    <row r="115" spans="1:7" ht="18.75" customHeight="1" x14ac:dyDescent="0.15">
      <c r="B115" s="177"/>
      <c r="C115" s="76" t="s">
        <v>161</v>
      </c>
      <c r="D115" s="190" t="s">
        <v>197</v>
      </c>
      <c r="E115" s="191"/>
      <c r="F115" s="191"/>
      <c r="G115" s="192"/>
    </row>
    <row r="116" spans="1:7" ht="18.75" customHeight="1" x14ac:dyDescent="0.15">
      <c r="B116" s="177"/>
      <c r="C116" s="76" t="s">
        <v>163</v>
      </c>
      <c r="D116" s="190" t="s">
        <v>222</v>
      </c>
      <c r="E116" s="191"/>
      <c r="F116" s="191"/>
      <c r="G116" s="192"/>
    </row>
    <row r="117" spans="1:7" ht="18.75" customHeight="1" x14ac:dyDescent="0.15">
      <c r="B117" s="177"/>
      <c r="C117" s="76" t="s">
        <v>163</v>
      </c>
      <c r="D117" s="190" t="s">
        <v>223</v>
      </c>
      <c r="E117" s="191"/>
      <c r="F117" s="191"/>
      <c r="G117" s="192"/>
    </row>
    <row r="118" spans="1:7" ht="18.75" customHeight="1" x14ac:dyDescent="0.15">
      <c r="B118" s="177"/>
      <c r="C118" s="76" t="s">
        <v>162</v>
      </c>
      <c r="D118" s="190" t="s">
        <v>224</v>
      </c>
      <c r="E118" s="191"/>
      <c r="F118" s="191"/>
      <c r="G118" s="192"/>
    </row>
    <row r="119" spans="1:7" ht="18.75" customHeight="1" x14ac:dyDescent="0.15">
      <c r="B119" s="177"/>
      <c r="C119" s="76" t="s">
        <v>191</v>
      </c>
      <c r="D119" s="190" t="s">
        <v>242</v>
      </c>
      <c r="E119" s="191"/>
      <c r="F119" s="191"/>
      <c r="G119" s="192"/>
    </row>
    <row r="120" spans="1:7" ht="18.75" customHeight="1" x14ac:dyDescent="0.15">
      <c r="B120" s="177"/>
      <c r="C120" s="76" t="s">
        <v>191</v>
      </c>
      <c r="D120" s="190" t="s">
        <v>241</v>
      </c>
      <c r="E120" s="191"/>
      <c r="F120" s="191"/>
      <c r="G120" s="192"/>
    </row>
    <row r="121" spans="1:7" ht="18.75" customHeight="1" x14ac:dyDescent="0.15">
      <c r="B121" s="177"/>
      <c r="C121" s="76" t="s">
        <v>191</v>
      </c>
      <c r="D121" s="190" t="s">
        <v>240</v>
      </c>
      <c r="E121" s="191"/>
      <c r="F121" s="191"/>
      <c r="G121" s="192"/>
    </row>
    <row r="122" spans="1:7" ht="18.75" customHeight="1" x14ac:dyDescent="0.15">
      <c r="B122" s="177"/>
      <c r="C122" s="76" t="s">
        <v>191</v>
      </c>
      <c r="D122" s="190" t="s">
        <v>239</v>
      </c>
      <c r="E122" s="191"/>
      <c r="F122" s="191"/>
      <c r="G122" s="192"/>
    </row>
    <row r="123" spans="1:7" ht="18.75" customHeight="1" x14ac:dyDescent="0.15">
      <c r="B123" s="177"/>
      <c r="C123" s="76" t="s">
        <v>191</v>
      </c>
      <c r="D123" s="190" t="s">
        <v>238</v>
      </c>
      <c r="E123" s="191"/>
      <c r="F123" s="191"/>
      <c r="G123" s="192"/>
    </row>
    <row r="124" spans="1:7" ht="18.75" customHeight="1" x14ac:dyDescent="0.15">
      <c r="B124" s="177"/>
      <c r="C124" s="76" t="s">
        <v>191</v>
      </c>
      <c r="D124" s="190" t="s">
        <v>237</v>
      </c>
      <c r="E124" s="191"/>
      <c r="F124" s="191"/>
      <c r="G124" s="192"/>
    </row>
    <row r="125" spans="1:7" ht="18.75" customHeight="1" x14ac:dyDescent="0.15">
      <c r="B125" s="177"/>
      <c r="C125" s="76" t="s">
        <v>191</v>
      </c>
      <c r="D125" s="190" t="s">
        <v>236</v>
      </c>
      <c r="E125" s="191"/>
      <c r="F125" s="191"/>
      <c r="G125" s="192"/>
    </row>
    <row r="126" spans="1:7" ht="18.75" customHeight="1" x14ac:dyDescent="0.15">
      <c r="A126" s="1" t="s">
        <v>12</v>
      </c>
      <c r="B126" s="1" t="s">
        <v>106</v>
      </c>
    </row>
    <row r="127" spans="1:7" ht="22.5" customHeight="1" x14ac:dyDescent="0.15">
      <c r="B127" s="37" t="s">
        <v>74</v>
      </c>
      <c r="C127" s="170" t="s">
        <v>105</v>
      </c>
      <c r="D127" s="171"/>
      <c r="E127" s="171"/>
      <c r="F127" s="171"/>
      <c r="G127" s="172"/>
    </row>
    <row r="128" spans="1:7" ht="45" customHeight="1" x14ac:dyDescent="0.15">
      <c r="B128" s="38" t="s">
        <v>76</v>
      </c>
      <c r="C128" s="216" t="s">
        <v>192</v>
      </c>
      <c r="D128" s="217"/>
      <c r="E128" s="217"/>
      <c r="F128" s="217"/>
      <c r="G128" s="218"/>
    </row>
    <row r="129" spans="1:7" ht="45" customHeight="1" x14ac:dyDescent="0.15">
      <c r="B129" s="38" t="s">
        <v>77</v>
      </c>
      <c r="C129" s="216" t="s">
        <v>288</v>
      </c>
      <c r="D129" s="217"/>
      <c r="E129" s="217"/>
      <c r="F129" s="217"/>
      <c r="G129" s="218"/>
    </row>
    <row r="130" spans="1:7" ht="45" customHeight="1" x14ac:dyDescent="0.15">
      <c r="B130" s="38" t="s">
        <v>78</v>
      </c>
      <c r="C130" s="216"/>
      <c r="D130" s="217"/>
      <c r="E130" s="217"/>
      <c r="F130" s="217"/>
      <c r="G130" s="218"/>
    </row>
    <row r="131" spans="1:7" ht="45" customHeight="1" x14ac:dyDescent="0.15">
      <c r="B131" s="38" t="s">
        <v>79</v>
      </c>
      <c r="C131" s="216"/>
      <c r="D131" s="217"/>
      <c r="E131" s="217"/>
      <c r="F131" s="217"/>
      <c r="G131" s="218"/>
    </row>
    <row r="132" spans="1:7" ht="45" customHeight="1" x14ac:dyDescent="0.15">
      <c r="B132" s="38" t="s">
        <v>80</v>
      </c>
      <c r="C132" s="216"/>
      <c r="D132" s="217"/>
      <c r="E132" s="217"/>
      <c r="F132" s="217"/>
      <c r="G132" s="218"/>
    </row>
    <row r="133" spans="1:7" ht="45" customHeight="1" x14ac:dyDescent="0.15">
      <c r="B133" s="38" t="s">
        <v>81</v>
      </c>
      <c r="C133" s="216"/>
      <c r="D133" s="217"/>
      <c r="E133" s="217"/>
      <c r="F133" s="217"/>
      <c r="G133" s="218"/>
    </row>
    <row r="134" spans="1:7" ht="45" customHeight="1" x14ac:dyDescent="0.15">
      <c r="B134" s="38" t="s">
        <v>82</v>
      </c>
      <c r="C134" s="216"/>
      <c r="D134" s="217"/>
      <c r="E134" s="217"/>
      <c r="F134" s="217"/>
      <c r="G134" s="218"/>
    </row>
    <row r="135" spans="1:7" ht="45" customHeight="1" x14ac:dyDescent="0.15">
      <c r="B135" s="38" t="s">
        <v>83</v>
      </c>
      <c r="C135" s="216"/>
      <c r="D135" s="217"/>
      <c r="E135" s="217"/>
      <c r="F135" s="217"/>
      <c r="G135" s="218"/>
    </row>
    <row r="136" spans="1:7" ht="45" customHeight="1" x14ac:dyDescent="0.15">
      <c r="B136" s="38" t="s">
        <v>84</v>
      </c>
      <c r="C136" s="216"/>
      <c r="D136" s="217"/>
      <c r="E136" s="217"/>
      <c r="F136" s="217"/>
      <c r="G136" s="218"/>
    </row>
    <row r="137" spans="1:7" ht="7.5" customHeight="1" x14ac:dyDescent="0.15"/>
    <row r="138" spans="1:7" ht="18.75" customHeight="1" x14ac:dyDescent="0.15">
      <c r="A138" s="1" t="s">
        <v>99</v>
      </c>
      <c r="B138" s="1" t="s">
        <v>100</v>
      </c>
      <c r="E138" s="213" t="s">
        <v>295</v>
      </c>
      <c r="F138" s="214"/>
      <c r="G138" s="215"/>
    </row>
    <row r="139" spans="1:7" ht="7.5" customHeight="1" x14ac:dyDescent="0.15"/>
    <row r="140" spans="1:7" ht="18.75" customHeight="1" x14ac:dyDescent="0.15">
      <c r="A140" s="1" t="s">
        <v>101</v>
      </c>
      <c r="B140" s="1" t="s">
        <v>102</v>
      </c>
    </row>
    <row r="141" spans="1:7" ht="18.75" customHeight="1" x14ac:dyDescent="0.15">
      <c r="B141" s="204" t="s">
        <v>193</v>
      </c>
      <c r="C141" s="205"/>
      <c r="D141" s="205"/>
      <c r="E141" s="205"/>
      <c r="F141" s="205"/>
      <c r="G141" s="206"/>
    </row>
    <row r="142" spans="1:7" ht="18.75" customHeight="1" x14ac:dyDescent="0.15">
      <c r="B142" s="207"/>
      <c r="C142" s="208"/>
      <c r="D142" s="208"/>
      <c r="E142" s="208"/>
      <c r="F142" s="208"/>
      <c r="G142" s="209"/>
    </row>
    <row r="143" spans="1:7" ht="18.75" customHeight="1" x14ac:dyDescent="0.15">
      <c r="B143" s="207"/>
      <c r="C143" s="208"/>
      <c r="D143" s="208"/>
      <c r="E143" s="208"/>
      <c r="F143" s="208"/>
      <c r="G143" s="209"/>
    </row>
    <row r="144" spans="1:7" ht="18.75" customHeight="1" x14ac:dyDescent="0.15">
      <c r="B144" s="210"/>
      <c r="C144" s="211"/>
      <c r="D144" s="211"/>
      <c r="E144" s="211"/>
      <c r="F144" s="211"/>
      <c r="G144" s="21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1"/>
  <printOptions horizontalCentered="1"/>
  <pageMargins left="0.78740157480314965" right="0.78740157480314965" top="0.59055118110236227" bottom="0.39370078740157483" header="0.31496062992125984" footer="0.31496062992125984"/>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0"/>
  <sheetViews>
    <sheetView topLeftCell="A130" workbookViewId="0">
      <selection activeCell="S39" sqref="S39"/>
    </sheetView>
  </sheetViews>
  <sheetFormatPr defaultRowHeight="14.25" x14ac:dyDescent="0.15"/>
  <cols>
    <col min="1" max="1" width="2.5" style="9" customWidth="1"/>
    <col min="2" max="2" width="19" style="9" customWidth="1"/>
    <col min="3" max="3" width="25" style="9" customWidth="1"/>
    <col min="4" max="4" width="10" style="9" customWidth="1"/>
    <col min="5" max="7" width="25" style="9" customWidth="1"/>
    <col min="8" max="16384" width="9" style="9"/>
  </cols>
  <sheetData>
    <row r="1" spans="1:7" ht="18.75" customHeight="1" x14ac:dyDescent="0.15">
      <c r="G1" s="69" t="s">
        <v>182</v>
      </c>
    </row>
    <row r="2" spans="1:7" ht="18.75" customHeight="1" x14ac:dyDescent="0.15">
      <c r="F2" s="69" t="s">
        <v>32</v>
      </c>
      <c r="G2" s="9" t="s">
        <v>136</v>
      </c>
    </row>
    <row r="3" spans="1:7" ht="18.75" customHeight="1" x14ac:dyDescent="0.15">
      <c r="A3" s="119" t="s">
        <v>96</v>
      </c>
      <c r="B3" s="119"/>
      <c r="C3" s="119"/>
      <c r="D3" s="119"/>
      <c r="E3" s="119"/>
      <c r="F3" s="119"/>
      <c r="G3" s="119"/>
    </row>
    <row r="4" spans="1:7" ht="18.75" customHeight="1" x14ac:dyDescent="0.15">
      <c r="A4" s="9" t="s">
        <v>7</v>
      </c>
      <c r="B4" s="9" t="s">
        <v>95</v>
      </c>
    </row>
    <row r="5" spans="1:7" s="71" customFormat="1" ht="18.75" customHeight="1" x14ac:dyDescent="0.15">
      <c r="B5" s="73" t="s">
        <v>74</v>
      </c>
      <c r="C5" s="108" t="s">
        <v>108</v>
      </c>
      <c r="D5" s="109"/>
      <c r="E5" s="109"/>
      <c r="F5" s="109"/>
      <c r="G5" s="110"/>
    </row>
    <row r="6" spans="1:7" s="71" customFormat="1" ht="45" customHeight="1" x14ac:dyDescent="0.15">
      <c r="B6" s="229" t="s">
        <v>111</v>
      </c>
      <c r="C6" s="233" t="s">
        <v>289</v>
      </c>
      <c r="D6" s="196"/>
      <c r="E6" s="196"/>
      <c r="F6" s="196"/>
      <c r="G6" s="197"/>
    </row>
    <row r="7" spans="1:7" s="71" customFormat="1" ht="45" customHeight="1" x14ac:dyDescent="0.15">
      <c r="B7" s="230"/>
      <c r="C7" s="198"/>
      <c r="D7" s="199"/>
      <c r="E7" s="199"/>
      <c r="F7" s="199"/>
      <c r="G7" s="200"/>
    </row>
    <row r="8" spans="1:7" s="71" customFormat="1" ht="45" customHeight="1" x14ac:dyDescent="0.15">
      <c r="B8" s="230"/>
      <c r="C8" s="198"/>
      <c r="D8" s="199"/>
      <c r="E8" s="199"/>
      <c r="F8" s="199"/>
      <c r="G8" s="200"/>
    </row>
    <row r="9" spans="1:7" s="71" customFormat="1" ht="45" customHeight="1" x14ac:dyDescent="0.15">
      <c r="B9" s="230"/>
      <c r="C9" s="201"/>
      <c r="D9" s="202"/>
      <c r="E9" s="202"/>
      <c r="F9" s="202"/>
      <c r="G9" s="203"/>
    </row>
    <row r="10" spans="1:7" s="71" customFormat="1" ht="18.75" customHeight="1" x14ac:dyDescent="0.15">
      <c r="B10" s="230"/>
      <c r="C10" s="74" t="s">
        <v>109</v>
      </c>
      <c r="D10" s="164" t="s">
        <v>110</v>
      </c>
      <c r="E10" s="165"/>
      <c r="F10" s="165"/>
      <c r="G10" s="166"/>
    </row>
    <row r="11" spans="1:7" s="71" customFormat="1" ht="18.75" customHeight="1" x14ac:dyDescent="0.15">
      <c r="B11" s="230"/>
      <c r="C11" s="75" t="s">
        <v>183</v>
      </c>
      <c r="D11" s="167" t="s">
        <v>246</v>
      </c>
      <c r="E11" s="168"/>
      <c r="F11" s="168"/>
      <c r="G11" s="169"/>
    </row>
    <row r="12" spans="1:7" s="71" customFormat="1" ht="18.75" customHeight="1" x14ac:dyDescent="0.15">
      <c r="B12" s="230"/>
      <c r="C12" s="75" t="s">
        <v>183</v>
      </c>
      <c r="D12" s="167" t="s">
        <v>247</v>
      </c>
      <c r="E12" s="168"/>
      <c r="F12" s="168"/>
      <c r="G12" s="169"/>
    </row>
    <row r="13" spans="1:7" s="71" customFormat="1" ht="18.75" customHeight="1" x14ac:dyDescent="0.15">
      <c r="B13" s="230"/>
      <c r="C13" s="75" t="s">
        <v>183</v>
      </c>
      <c r="D13" s="167" t="s">
        <v>248</v>
      </c>
      <c r="E13" s="168"/>
      <c r="F13" s="168"/>
      <c r="G13" s="169"/>
    </row>
    <row r="14" spans="1:7" s="71" customFormat="1" ht="18.75" customHeight="1" x14ac:dyDescent="0.15">
      <c r="B14" s="230"/>
      <c r="C14" s="75" t="s">
        <v>183</v>
      </c>
      <c r="D14" s="167" t="s">
        <v>249</v>
      </c>
      <c r="E14" s="168"/>
      <c r="F14" s="168"/>
      <c r="G14" s="169"/>
    </row>
    <row r="15" spans="1:7" s="71" customFormat="1" ht="18.75" customHeight="1" x14ac:dyDescent="0.15">
      <c r="B15" s="230"/>
      <c r="C15" s="75" t="s">
        <v>174</v>
      </c>
      <c r="D15" s="167" t="s">
        <v>250</v>
      </c>
      <c r="E15" s="168"/>
      <c r="F15" s="168"/>
      <c r="G15" s="169"/>
    </row>
    <row r="16" spans="1:7" s="71" customFormat="1" ht="18.75" customHeight="1" x14ac:dyDescent="0.15">
      <c r="B16" s="230"/>
      <c r="C16" s="73"/>
      <c r="D16" s="108"/>
      <c r="E16" s="109"/>
      <c r="F16" s="109"/>
      <c r="G16" s="110"/>
    </row>
    <row r="17" spans="2:7" s="71" customFormat="1" ht="18.75" customHeight="1" x14ac:dyDescent="0.15">
      <c r="B17" s="230"/>
      <c r="C17" s="73"/>
      <c r="D17" s="108"/>
      <c r="E17" s="109"/>
      <c r="F17" s="109"/>
      <c r="G17" s="110"/>
    </row>
    <row r="18" spans="2:7" s="71" customFormat="1" ht="18.75" customHeight="1" x14ac:dyDescent="0.15">
      <c r="B18" s="230"/>
      <c r="C18" s="73"/>
      <c r="D18" s="108"/>
      <c r="E18" s="109"/>
      <c r="F18" s="109"/>
      <c r="G18" s="110"/>
    </row>
    <row r="19" spans="2:7" s="71" customFormat="1" ht="18.75" customHeight="1" x14ac:dyDescent="0.15">
      <c r="B19" s="230"/>
      <c r="C19" s="73"/>
      <c r="D19" s="108"/>
      <c r="E19" s="109"/>
      <c r="F19" s="109"/>
      <c r="G19" s="110"/>
    </row>
    <row r="20" spans="2:7" s="71" customFormat="1" ht="18.75" customHeight="1" x14ac:dyDescent="0.15">
      <c r="B20" s="230"/>
      <c r="C20" s="73"/>
      <c r="D20" s="108"/>
      <c r="E20" s="109"/>
      <c r="F20" s="109"/>
      <c r="G20" s="110"/>
    </row>
    <row r="21" spans="2:7" s="71" customFormat="1" ht="18.75" customHeight="1" x14ac:dyDescent="0.15">
      <c r="B21" s="230"/>
      <c r="C21" s="73"/>
      <c r="D21" s="108"/>
      <c r="E21" s="109"/>
      <c r="F21" s="109"/>
      <c r="G21" s="110"/>
    </row>
    <row r="22" spans="2:7" s="71" customFormat="1" ht="18.75" customHeight="1" x14ac:dyDescent="0.15">
      <c r="B22" s="230"/>
      <c r="C22" s="73"/>
      <c r="D22" s="108"/>
      <c r="E22" s="109"/>
      <c r="F22" s="109"/>
      <c r="G22" s="110"/>
    </row>
    <row r="23" spans="2:7" s="71" customFormat="1" ht="18.75" customHeight="1" x14ac:dyDescent="0.15">
      <c r="B23" s="230"/>
      <c r="C23" s="73"/>
      <c r="D23" s="108"/>
      <c r="E23" s="109"/>
      <c r="F23" s="109"/>
      <c r="G23" s="110"/>
    </row>
    <row r="24" spans="2:7" s="71" customFormat="1" ht="18.75" customHeight="1" x14ac:dyDescent="0.15">
      <c r="B24" s="230"/>
      <c r="C24" s="73"/>
      <c r="D24" s="108"/>
      <c r="E24" s="109"/>
      <c r="F24" s="109"/>
      <c r="G24" s="110"/>
    </row>
    <row r="25" spans="2:7" s="71" customFormat="1" ht="18.75" customHeight="1" x14ac:dyDescent="0.15">
      <c r="B25" s="230"/>
      <c r="C25" s="73"/>
      <c r="D25" s="108"/>
      <c r="E25" s="109"/>
      <c r="F25" s="109"/>
      <c r="G25" s="110"/>
    </row>
    <row r="26" spans="2:7" ht="18.75" customHeight="1" x14ac:dyDescent="0.15">
      <c r="B26" s="229" t="s">
        <v>112</v>
      </c>
      <c r="C26" s="108" t="s">
        <v>108</v>
      </c>
      <c r="D26" s="109"/>
      <c r="E26" s="109"/>
      <c r="F26" s="109"/>
      <c r="G26" s="110"/>
    </row>
    <row r="27" spans="2:7" ht="37.5" customHeight="1" x14ac:dyDescent="0.15">
      <c r="B27" s="230"/>
      <c r="C27" s="231" t="s">
        <v>290</v>
      </c>
      <c r="D27" s="205"/>
      <c r="E27" s="205"/>
      <c r="F27" s="205"/>
      <c r="G27" s="206"/>
    </row>
    <row r="28" spans="2:7" ht="37.5" customHeight="1" x14ac:dyDescent="0.15">
      <c r="B28" s="230"/>
      <c r="C28" s="207"/>
      <c r="D28" s="208"/>
      <c r="E28" s="208"/>
      <c r="F28" s="208"/>
      <c r="G28" s="209"/>
    </row>
    <row r="29" spans="2:7" ht="37.5" customHeight="1" x14ac:dyDescent="0.15">
      <c r="B29" s="230"/>
      <c r="C29" s="207"/>
      <c r="D29" s="208"/>
      <c r="E29" s="208"/>
      <c r="F29" s="208"/>
      <c r="G29" s="209"/>
    </row>
    <row r="30" spans="2:7" ht="37.5" customHeight="1" x14ac:dyDescent="0.15">
      <c r="B30" s="230"/>
      <c r="C30" s="207"/>
      <c r="D30" s="208"/>
      <c r="E30" s="208"/>
      <c r="F30" s="208"/>
      <c r="G30" s="209"/>
    </row>
    <row r="31" spans="2:7" ht="37.5" customHeight="1" x14ac:dyDescent="0.15">
      <c r="B31" s="230"/>
      <c r="C31" s="210"/>
      <c r="D31" s="211"/>
      <c r="E31" s="211"/>
      <c r="F31" s="211"/>
      <c r="G31" s="212"/>
    </row>
    <row r="32" spans="2:7" ht="18.75" customHeight="1" x14ac:dyDescent="0.15">
      <c r="B32" s="230"/>
      <c r="C32" s="74" t="s">
        <v>109</v>
      </c>
      <c r="D32" s="108" t="s">
        <v>110</v>
      </c>
      <c r="E32" s="109"/>
      <c r="F32" s="109"/>
      <c r="G32" s="110"/>
    </row>
    <row r="33" spans="2:7" ht="18.75" customHeight="1" x14ac:dyDescent="0.15">
      <c r="B33" s="230"/>
      <c r="C33" s="75" t="s">
        <v>168</v>
      </c>
      <c r="D33" s="167" t="s">
        <v>252</v>
      </c>
      <c r="E33" s="168"/>
      <c r="F33" s="168"/>
      <c r="G33" s="169"/>
    </row>
    <row r="34" spans="2:7" ht="18.75" customHeight="1" x14ac:dyDescent="0.15">
      <c r="B34" s="230"/>
      <c r="C34" s="75" t="s">
        <v>168</v>
      </c>
      <c r="D34" s="167" t="s">
        <v>253</v>
      </c>
      <c r="E34" s="168"/>
      <c r="F34" s="168"/>
      <c r="G34" s="169"/>
    </row>
    <row r="35" spans="2:7" ht="18.75" customHeight="1" x14ac:dyDescent="0.15">
      <c r="B35" s="230"/>
      <c r="C35" s="75" t="s">
        <v>170</v>
      </c>
      <c r="D35" s="167" t="s">
        <v>254</v>
      </c>
      <c r="E35" s="168"/>
      <c r="F35" s="168"/>
      <c r="G35" s="169"/>
    </row>
    <row r="36" spans="2:7" ht="18.75" customHeight="1" x14ac:dyDescent="0.15">
      <c r="B36" s="230"/>
      <c r="C36" s="75" t="s">
        <v>171</v>
      </c>
      <c r="D36" s="167" t="s">
        <v>251</v>
      </c>
      <c r="E36" s="168"/>
      <c r="F36" s="168"/>
      <c r="G36" s="169"/>
    </row>
    <row r="37" spans="2:7" ht="18.75" customHeight="1" x14ac:dyDescent="0.15">
      <c r="B37" s="230"/>
      <c r="C37" s="73"/>
      <c r="D37" s="104"/>
      <c r="E37" s="105"/>
      <c r="F37" s="105"/>
      <c r="G37" s="106"/>
    </row>
    <row r="38" spans="2:7" ht="18.75" customHeight="1" x14ac:dyDescent="0.15">
      <c r="B38" s="230"/>
      <c r="C38" s="73"/>
      <c r="D38" s="104"/>
      <c r="E38" s="105"/>
      <c r="F38" s="105"/>
      <c r="G38" s="106"/>
    </row>
    <row r="39" spans="2:7" ht="18.75" customHeight="1" x14ac:dyDescent="0.15">
      <c r="B39" s="230"/>
      <c r="C39" s="73"/>
      <c r="D39" s="104"/>
      <c r="E39" s="105"/>
      <c r="F39" s="105"/>
      <c r="G39" s="106"/>
    </row>
    <row r="40" spans="2:7" ht="18.75" customHeight="1" x14ac:dyDescent="0.15">
      <c r="B40" s="230"/>
      <c r="C40" s="73"/>
      <c r="D40" s="104"/>
      <c r="E40" s="105"/>
      <c r="F40" s="105"/>
      <c r="G40" s="106"/>
    </row>
    <row r="41" spans="2:7" ht="18.75" customHeight="1" x14ac:dyDescent="0.15">
      <c r="B41" s="230"/>
      <c r="C41" s="73"/>
      <c r="D41" s="104"/>
      <c r="E41" s="105"/>
      <c r="F41" s="105"/>
      <c r="G41" s="106"/>
    </row>
    <row r="42" spans="2:7" ht="18.75" customHeight="1" x14ac:dyDescent="0.15">
      <c r="B42" s="230"/>
      <c r="C42" s="73"/>
      <c r="D42" s="104"/>
      <c r="E42" s="105"/>
      <c r="F42" s="105"/>
      <c r="G42" s="106"/>
    </row>
    <row r="43" spans="2:7" ht="18.75" customHeight="1" x14ac:dyDescent="0.15">
      <c r="B43" s="230"/>
      <c r="C43" s="73"/>
      <c r="D43" s="104"/>
      <c r="E43" s="105"/>
      <c r="F43" s="105"/>
      <c r="G43" s="106"/>
    </row>
    <row r="44" spans="2:7" ht="18.75" customHeight="1" x14ac:dyDescent="0.15">
      <c r="B44" s="230"/>
      <c r="C44" s="73"/>
      <c r="D44" s="104"/>
      <c r="E44" s="105"/>
      <c r="F44" s="105"/>
      <c r="G44" s="106"/>
    </row>
    <row r="45" spans="2:7" ht="18.75" customHeight="1" x14ac:dyDescent="0.15">
      <c r="B45" s="230"/>
      <c r="C45" s="73"/>
      <c r="D45" s="104"/>
      <c r="E45" s="105"/>
      <c r="F45" s="105"/>
      <c r="G45" s="106"/>
    </row>
    <row r="46" spans="2:7" ht="18.75" customHeight="1" x14ac:dyDescent="0.15">
      <c r="B46" s="230"/>
      <c r="C46" s="73"/>
      <c r="D46" s="104"/>
      <c r="E46" s="105"/>
      <c r="F46" s="105"/>
      <c r="G46" s="106"/>
    </row>
    <row r="47" spans="2:7" ht="18.75" customHeight="1" x14ac:dyDescent="0.15">
      <c r="B47" s="230"/>
      <c r="C47" s="73"/>
      <c r="D47" s="104"/>
      <c r="E47" s="105"/>
      <c r="F47" s="105"/>
      <c r="G47" s="106"/>
    </row>
    <row r="48" spans="2:7" ht="18.75" customHeight="1" x14ac:dyDescent="0.15">
      <c r="B48" s="230"/>
      <c r="C48" s="73"/>
      <c r="D48" s="104"/>
      <c r="E48" s="105"/>
      <c r="F48" s="105"/>
      <c r="G48" s="106"/>
    </row>
    <row r="49" spans="2:7" ht="18.75" customHeight="1" x14ac:dyDescent="0.15">
      <c r="B49" s="230"/>
      <c r="C49" s="73"/>
      <c r="D49" s="104"/>
      <c r="E49" s="105"/>
      <c r="F49" s="105"/>
      <c r="G49" s="106"/>
    </row>
    <row r="50" spans="2:7" ht="18.75" customHeight="1" x14ac:dyDescent="0.15">
      <c r="B50" s="232"/>
      <c r="C50" s="73"/>
      <c r="D50" s="104"/>
      <c r="E50" s="105"/>
      <c r="F50" s="105"/>
      <c r="G50" s="106"/>
    </row>
    <row r="51" spans="2:7" ht="18.75" customHeight="1" x14ac:dyDescent="0.15">
      <c r="B51" s="229" t="s">
        <v>114</v>
      </c>
      <c r="C51" s="108" t="s">
        <v>108</v>
      </c>
      <c r="D51" s="109"/>
      <c r="E51" s="109"/>
      <c r="F51" s="109"/>
      <c r="G51" s="110"/>
    </row>
    <row r="52" spans="2:7" ht="37.5" customHeight="1" x14ac:dyDescent="0.15">
      <c r="B52" s="230"/>
      <c r="C52" s="231" t="s">
        <v>291</v>
      </c>
      <c r="D52" s="205"/>
      <c r="E52" s="205"/>
      <c r="F52" s="205"/>
      <c r="G52" s="206"/>
    </row>
    <row r="53" spans="2:7" ht="37.5" customHeight="1" x14ac:dyDescent="0.15">
      <c r="B53" s="230"/>
      <c r="C53" s="207"/>
      <c r="D53" s="208"/>
      <c r="E53" s="208"/>
      <c r="F53" s="208"/>
      <c r="G53" s="209"/>
    </row>
    <row r="54" spans="2:7" ht="37.5" customHeight="1" x14ac:dyDescent="0.15">
      <c r="B54" s="230"/>
      <c r="C54" s="207"/>
      <c r="D54" s="208"/>
      <c r="E54" s="208"/>
      <c r="F54" s="208"/>
      <c r="G54" s="209"/>
    </row>
    <row r="55" spans="2:7" ht="37.5" customHeight="1" x14ac:dyDescent="0.15">
      <c r="B55" s="230"/>
      <c r="C55" s="207"/>
      <c r="D55" s="208"/>
      <c r="E55" s="208"/>
      <c r="F55" s="208"/>
      <c r="G55" s="209"/>
    </row>
    <row r="56" spans="2:7" ht="37.5" customHeight="1" x14ac:dyDescent="0.15">
      <c r="B56" s="230"/>
      <c r="C56" s="210"/>
      <c r="D56" s="211"/>
      <c r="E56" s="211"/>
      <c r="F56" s="211"/>
      <c r="G56" s="212"/>
    </row>
    <row r="57" spans="2:7" ht="18.75" customHeight="1" x14ac:dyDescent="0.15">
      <c r="B57" s="230"/>
      <c r="C57" s="74" t="s">
        <v>109</v>
      </c>
      <c r="D57" s="108" t="s">
        <v>110</v>
      </c>
      <c r="E57" s="109"/>
      <c r="F57" s="109"/>
      <c r="G57" s="110"/>
    </row>
    <row r="58" spans="2:7" ht="18.75" customHeight="1" x14ac:dyDescent="0.15">
      <c r="B58" s="230"/>
      <c r="C58" s="75" t="s">
        <v>173</v>
      </c>
      <c r="D58" s="167" t="s">
        <v>255</v>
      </c>
      <c r="E58" s="168"/>
      <c r="F58" s="168"/>
      <c r="G58" s="169"/>
    </row>
    <row r="59" spans="2:7" ht="18.75" customHeight="1" x14ac:dyDescent="0.15">
      <c r="B59" s="230"/>
      <c r="C59" s="75" t="s">
        <v>172</v>
      </c>
      <c r="D59" s="167" t="s">
        <v>246</v>
      </c>
      <c r="E59" s="168"/>
      <c r="F59" s="168"/>
      <c r="G59" s="169"/>
    </row>
    <row r="60" spans="2:7" ht="18.75" customHeight="1" x14ac:dyDescent="0.15">
      <c r="B60" s="230"/>
      <c r="C60" s="75" t="s">
        <v>172</v>
      </c>
      <c r="D60" s="167" t="s">
        <v>247</v>
      </c>
      <c r="E60" s="168"/>
      <c r="F60" s="168"/>
      <c r="G60" s="169"/>
    </row>
    <row r="61" spans="2:7" ht="18.75" customHeight="1" x14ac:dyDescent="0.15">
      <c r="B61" s="230"/>
      <c r="C61" s="75" t="s">
        <v>172</v>
      </c>
      <c r="D61" s="167" t="s">
        <v>248</v>
      </c>
      <c r="E61" s="168"/>
      <c r="F61" s="168"/>
      <c r="G61" s="169"/>
    </row>
    <row r="62" spans="2:7" ht="18.75" customHeight="1" x14ac:dyDescent="0.15">
      <c r="B62" s="230"/>
      <c r="C62" s="75" t="s">
        <v>172</v>
      </c>
      <c r="D62" s="167" t="s">
        <v>249</v>
      </c>
      <c r="E62" s="168"/>
      <c r="F62" s="168"/>
      <c r="G62" s="169"/>
    </row>
    <row r="63" spans="2:7" ht="18.75" customHeight="1" x14ac:dyDescent="0.15">
      <c r="B63" s="230"/>
      <c r="C63" s="75" t="s">
        <v>174</v>
      </c>
      <c r="D63" s="167" t="s">
        <v>250</v>
      </c>
      <c r="E63" s="168"/>
      <c r="F63" s="168"/>
      <c r="G63" s="169"/>
    </row>
    <row r="64" spans="2:7" ht="18.75" customHeight="1" x14ac:dyDescent="0.15">
      <c r="B64" s="230"/>
      <c r="C64" s="73"/>
      <c r="D64" s="104"/>
      <c r="E64" s="105"/>
      <c r="F64" s="105"/>
      <c r="G64" s="106"/>
    </row>
    <row r="65" spans="2:7" ht="18.75" customHeight="1" x14ac:dyDescent="0.15">
      <c r="B65" s="230"/>
      <c r="C65" s="73"/>
      <c r="D65" s="104"/>
      <c r="E65" s="105"/>
      <c r="F65" s="105"/>
      <c r="G65" s="106"/>
    </row>
    <row r="66" spans="2:7" ht="18.75" customHeight="1" x14ac:dyDescent="0.15">
      <c r="B66" s="230"/>
      <c r="C66" s="73"/>
      <c r="D66" s="104"/>
      <c r="E66" s="105"/>
      <c r="F66" s="105"/>
      <c r="G66" s="106"/>
    </row>
    <row r="67" spans="2:7" ht="18.75" customHeight="1" x14ac:dyDescent="0.15">
      <c r="B67" s="230"/>
      <c r="C67" s="73"/>
      <c r="D67" s="104"/>
      <c r="E67" s="105"/>
      <c r="F67" s="105"/>
      <c r="G67" s="106"/>
    </row>
    <row r="68" spans="2:7" ht="18.75" customHeight="1" x14ac:dyDescent="0.15">
      <c r="B68" s="230"/>
      <c r="C68" s="73"/>
      <c r="D68" s="104"/>
      <c r="E68" s="105"/>
      <c r="F68" s="105"/>
      <c r="G68" s="106"/>
    </row>
    <row r="69" spans="2:7" ht="18.75" customHeight="1" x14ac:dyDescent="0.15">
      <c r="B69" s="230"/>
      <c r="C69" s="73"/>
      <c r="D69" s="104"/>
      <c r="E69" s="105"/>
      <c r="F69" s="105"/>
      <c r="G69" s="106"/>
    </row>
    <row r="70" spans="2:7" ht="18.75" customHeight="1" x14ac:dyDescent="0.15">
      <c r="B70" s="230"/>
      <c r="C70" s="73"/>
      <c r="D70" s="104"/>
      <c r="E70" s="105"/>
      <c r="F70" s="105"/>
      <c r="G70" s="106"/>
    </row>
    <row r="71" spans="2:7" ht="18.75" customHeight="1" x14ac:dyDescent="0.15">
      <c r="B71" s="230"/>
      <c r="C71" s="73"/>
      <c r="D71" s="104"/>
      <c r="E71" s="105"/>
      <c r="F71" s="105"/>
      <c r="G71" s="106"/>
    </row>
    <row r="72" spans="2:7" ht="18.75" customHeight="1" x14ac:dyDescent="0.15">
      <c r="B72" s="230"/>
      <c r="C72" s="73"/>
      <c r="D72" s="104"/>
      <c r="E72" s="105"/>
      <c r="F72" s="105"/>
      <c r="G72" s="106"/>
    </row>
    <row r="73" spans="2:7" ht="18.75" customHeight="1" x14ac:dyDescent="0.15">
      <c r="B73" s="230"/>
      <c r="C73" s="73"/>
      <c r="D73" s="104"/>
      <c r="E73" s="105"/>
      <c r="F73" s="105"/>
      <c r="G73" s="106"/>
    </row>
    <row r="74" spans="2:7" ht="18.75" customHeight="1" x14ac:dyDescent="0.15">
      <c r="B74" s="230"/>
      <c r="C74" s="73"/>
      <c r="D74" s="104"/>
      <c r="E74" s="105"/>
      <c r="F74" s="105"/>
      <c r="G74" s="106"/>
    </row>
    <row r="75" spans="2:7" ht="18.75" customHeight="1" x14ac:dyDescent="0.15">
      <c r="B75" s="230"/>
      <c r="C75" s="73"/>
      <c r="D75" s="104"/>
      <c r="E75" s="105"/>
      <c r="F75" s="105"/>
      <c r="G75" s="106"/>
    </row>
    <row r="76" spans="2:7" ht="18.75" customHeight="1" x14ac:dyDescent="0.15">
      <c r="B76" s="229" t="s">
        <v>113</v>
      </c>
      <c r="C76" s="108" t="s">
        <v>108</v>
      </c>
      <c r="D76" s="109"/>
      <c r="E76" s="109"/>
      <c r="F76" s="109"/>
      <c r="G76" s="110"/>
    </row>
    <row r="77" spans="2:7" ht="37.5" customHeight="1" x14ac:dyDescent="0.15">
      <c r="B77" s="230"/>
      <c r="C77" s="231" t="s">
        <v>292</v>
      </c>
      <c r="D77" s="205"/>
      <c r="E77" s="205"/>
      <c r="F77" s="205"/>
      <c r="G77" s="206"/>
    </row>
    <row r="78" spans="2:7" ht="37.5" customHeight="1" x14ac:dyDescent="0.15">
      <c r="B78" s="230"/>
      <c r="C78" s="207"/>
      <c r="D78" s="208"/>
      <c r="E78" s="208"/>
      <c r="F78" s="208"/>
      <c r="G78" s="209"/>
    </row>
    <row r="79" spans="2:7" ht="37.5" customHeight="1" x14ac:dyDescent="0.15">
      <c r="B79" s="230"/>
      <c r="C79" s="207"/>
      <c r="D79" s="208"/>
      <c r="E79" s="208"/>
      <c r="F79" s="208"/>
      <c r="G79" s="209"/>
    </row>
    <row r="80" spans="2:7" ht="37.5" customHeight="1" x14ac:dyDescent="0.15">
      <c r="B80" s="230"/>
      <c r="C80" s="207"/>
      <c r="D80" s="208"/>
      <c r="E80" s="208"/>
      <c r="F80" s="208"/>
      <c r="G80" s="209"/>
    </row>
    <row r="81" spans="2:7" ht="37.5" customHeight="1" x14ac:dyDescent="0.15">
      <c r="B81" s="230"/>
      <c r="C81" s="210"/>
      <c r="D81" s="211"/>
      <c r="E81" s="211"/>
      <c r="F81" s="211"/>
      <c r="G81" s="212"/>
    </row>
    <row r="82" spans="2:7" ht="18.75" customHeight="1" x14ac:dyDescent="0.15">
      <c r="B82" s="230"/>
      <c r="C82" s="74" t="s">
        <v>109</v>
      </c>
      <c r="D82" s="108" t="s">
        <v>110</v>
      </c>
      <c r="E82" s="109"/>
      <c r="F82" s="109"/>
      <c r="G82" s="110"/>
    </row>
    <row r="83" spans="2:7" ht="18.75" customHeight="1" x14ac:dyDescent="0.15">
      <c r="B83" s="230"/>
      <c r="C83" s="75" t="s">
        <v>243</v>
      </c>
      <c r="D83" s="167" t="s">
        <v>256</v>
      </c>
      <c r="E83" s="168"/>
      <c r="F83" s="168"/>
      <c r="G83" s="169"/>
    </row>
    <row r="84" spans="2:7" ht="18.75" customHeight="1" x14ac:dyDescent="0.15">
      <c r="B84" s="230"/>
      <c r="C84" s="75" t="s">
        <v>169</v>
      </c>
      <c r="D84" s="167" t="s">
        <v>258</v>
      </c>
      <c r="E84" s="168"/>
      <c r="F84" s="168"/>
      <c r="G84" s="169"/>
    </row>
    <row r="85" spans="2:7" ht="18.75" customHeight="1" x14ac:dyDescent="0.15">
      <c r="B85" s="230"/>
      <c r="C85" s="75" t="s">
        <v>171</v>
      </c>
      <c r="D85" s="167" t="s">
        <v>257</v>
      </c>
      <c r="E85" s="168"/>
      <c r="F85" s="168"/>
      <c r="G85" s="169"/>
    </row>
    <row r="86" spans="2:7" ht="18.75" customHeight="1" x14ac:dyDescent="0.15">
      <c r="B86" s="230"/>
      <c r="C86" s="73"/>
      <c r="D86" s="104"/>
      <c r="E86" s="105"/>
      <c r="F86" s="105"/>
      <c r="G86" s="106"/>
    </row>
    <row r="87" spans="2:7" ht="18.75" customHeight="1" x14ac:dyDescent="0.15">
      <c r="B87" s="230"/>
      <c r="C87" s="73"/>
      <c r="D87" s="104"/>
      <c r="E87" s="105"/>
      <c r="F87" s="105"/>
      <c r="G87" s="106"/>
    </row>
    <row r="88" spans="2:7" ht="18.75" customHeight="1" x14ac:dyDescent="0.15">
      <c r="B88" s="230"/>
      <c r="C88" s="73"/>
      <c r="D88" s="104"/>
      <c r="E88" s="105"/>
      <c r="F88" s="105"/>
      <c r="G88" s="106"/>
    </row>
    <row r="89" spans="2:7" ht="18.75" customHeight="1" x14ac:dyDescent="0.15">
      <c r="B89" s="230"/>
      <c r="C89" s="73"/>
      <c r="D89" s="104"/>
      <c r="E89" s="105"/>
      <c r="F89" s="105"/>
      <c r="G89" s="106"/>
    </row>
    <row r="90" spans="2:7" ht="18.75" customHeight="1" x14ac:dyDescent="0.15">
      <c r="B90" s="230"/>
      <c r="C90" s="73"/>
      <c r="D90" s="104"/>
      <c r="E90" s="105"/>
      <c r="F90" s="105"/>
      <c r="G90" s="106"/>
    </row>
    <row r="91" spans="2:7" ht="18.75" customHeight="1" x14ac:dyDescent="0.15">
      <c r="B91" s="230"/>
      <c r="C91" s="73"/>
      <c r="D91" s="104"/>
      <c r="E91" s="105"/>
      <c r="F91" s="105"/>
      <c r="G91" s="106"/>
    </row>
    <row r="92" spans="2:7" ht="18.75" customHeight="1" x14ac:dyDescent="0.15">
      <c r="B92" s="230"/>
      <c r="C92" s="73"/>
      <c r="D92" s="104"/>
      <c r="E92" s="105"/>
      <c r="F92" s="105"/>
      <c r="G92" s="106"/>
    </row>
    <row r="93" spans="2:7" ht="18.75" customHeight="1" x14ac:dyDescent="0.15">
      <c r="B93" s="230"/>
      <c r="C93" s="73"/>
      <c r="D93" s="104"/>
      <c r="E93" s="105"/>
      <c r="F93" s="105"/>
      <c r="G93" s="106"/>
    </row>
    <row r="94" spans="2:7" ht="18.75" customHeight="1" x14ac:dyDescent="0.15">
      <c r="B94" s="230"/>
      <c r="C94" s="73"/>
      <c r="D94" s="104"/>
      <c r="E94" s="105"/>
      <c r="F94" s="105"/>
      <c r="G94" s="106"/>
    </row>
    <row r="95" spans="2:7" ht="18.75" customHeight="1" x14ac:dyDescent="0.15">
      <c r="B95" s="230"/>
      <c r="C95" s="73"/>
      <c r="D95" s="104"/>
      <c r="E95" s="105"/>
      <c r="F95" s="105"/>
      <c r="G95" s="106"/>
    </row>
    <row r="96" spans="2:7" ht="18.75" customHeight="1" x14ac:dyDescent="0.15">
      <c r="B96" s="230"/>
      <c r="C96" s="73"/>
      <c r="D96" s="104"/>
      <c r="E96" s="105"/>
      <c r="F96" s="105"/>
      <c r="G96" s="106"/>
    </row>
    <row r="97" spans="2:7" ht="18.75" customHeight="1" x14ac:dyDescent="0.15">
      <c r="B97" s="230"/>
      <c r="C97" s="73"/>
      <c r="D97" s="104"/>
      <c r="E97" s="105"/>
      <c r="F97" s="105"/>
      <c r="G97" s="106"/>
    </row>
    <row r="98" spans="2:7" ht="18.75" customHeight="1" x14ac:dyDescent="0.15">
      <c r="B98" s="230"/>
      <c r="C98" s="73"/>
      <c r="D98" s="104"/>
      <c r="E98" s="105"/>
      <c r="F98" s="105"/>
      <c r="G98" s="106"/>
    </row>
    <row r="99" spans="2:7" ht="18.75" customHeight="1" x14ac:dyDescent="0.15">
      <c r="B99" s="230"/>
      <c r="C99" s="73"/>
      <c r="D99" s="104"/>
      <c r="E99" s="105"/>
      <c r="F99" s="105"/>
      <c r="G99" s="106"/>
    </row>
    <row r="100" spans="2:7" ht="18.75" customHeight="1" x14ac:dyDescent="0.15">
      <c r="B100" s="230"/>
      <c r="C100" s="73"/>
      <c r="D100" s="104"/>
      <c r="E100" s="105"/>
      <c r="F100" s="105"/>
      <c r="G100" s="106"/>
    </row>
    <row r="101" spans="2:7" ht="18.75" customHeight="1" x14ac:dyDescent="0.15">
      <c r="B101" s="229" t="s">
        <v>115</v>
      </c>
      <c r="C101" s="108" t="s">
        <v>108</v>
      </c>
      <c r="D101" s="109"/>
      <c r="E101" s="109"/>
      <c r="F101" s="109"/>
      <c r="G101" s="110"/>
    </row>
    <row r="102" spans="2:7" ht="37.5" customHeight="1" x14ac:dyDescent="0.15">
      <c r="B102" s="230"/>
      <c r="C102" s="231" t="s">
        <v>293</v>
      </c>
      <c r="D102" s="205"/>
      <c r="E102" s="205"/>
      <c r="F102" s="205"/>
      <c r="G102" s="206"/>
    </row>
    <row r="103" spans="2:7" ht="37.5" customHeight="1" x14ac:dyDescent="0.15">
      <c r="B103" s="230"/>
      <c r="C103" s="207"/>
      <c r="D103" s="208"/>
      <c r="E103" s="208"/>
      <c r="F103" s="208"/>
      <c r="G103" s="209"/>
    </row>
    <row r="104" spans="2:7" ht="37.5" customHeight="1" x14ac:dyDescent="0.15">
      <c r="B104" s="230"/>
      <c r="C104" s="207"/>
      <c r="D104" s="208"/>
      <c r="E104" s="208"/>
      <c r="F104" s="208"/>
      <c r="G104" s="209"/>
    </row>
    <row r="105" spans="2:7" ht="37.5" customHeight="1" x14ac:dyDescent="0.15">
      <c r="B105" s="230"/>
      <c r="C105" s="207"/>
      <c r="D105" s="208"/>
      <c r="E105" s="208"/>
      <c r="F105" s="208"/>
      <c r="G105" s="209"/>
    </row>
    <row r="106" spans="2:7" ht="37.5" customHeight="1" x14ac:dyDescent="0.15">
      <c r="B106" s="230"/>
      <c r="C106" s="210"/>
      <c r="D106" s="211"/>
      <c r="E106" s="211"/>
      <c r="F106" s="211"/>
      <c r="G106" s="212"/>
    </row>
    <row r="107" spans="2:7" ht="18.75" customHeight="1" x14ac:dyDescent="0.15">
      <c r="B107" s="230"/>
      <c r="C107" s="74" t="s">
        <v>109</v>
      </c>
      <c r="D107" s="108" t="s">
        <v>110</v>
      </c>
      <c r="E107" s="109"/>
      <c r="F107" s="109"/>
      <c r="G107" s="110"/>
    </row>
    <row r="108" spans="2:7" ht="18.75" customHeight="1" x14ac:dyDescent="0.15">
      <c r="B108" s="230"/>
      <c r="C108" s="75" t="s">
        <v>166</v>
      </c>
      <c r="D108" s="167" t="s">
        <v>259</v>
      </c>
      <c r="E108" s="168"/>
      <c r="F108" s="168"/>
      <c r="G108" s="169"/>
    </row>
    <row r="109" spans="2:7" ht="18.75" customHeight="1" x14ac:dyDescent="0.15">
      <c r="B109" s="230"/>
      <c r="C109" s="75" t="s">
        <v>166</v>
      </c>
      <c r="D109" s="167" t="s">
        <v>260</v>
      </c>
      <c r="E109" s="168"/>
      <c r="F109" s="168"/>
      <c r="G109" s="169"/>
    </row>
    <row r="110" spans="2:7" ht="18.75" customHeight="1" x14ac:dyDescent="0.15">
      <c r="B110" s="230"/>
      <c r="C110" s="75" t="s">
        <v>166</v>
      </c>
      <c r="D110" s="167" t="s">
        <v>261</v>
      </c>
      <c r="E110" s="168"/>
      <c r="F110" s="168"/>
      <c r="G110" s="169"/>
    </row>
    <row r="111" spans="2:7" ht="18.75" customHeight="1" x14ac:dyDescent="0.15">
      <c r="B111" s="230"/>
      <c r="C111" s="75" t="s">
        <v>166</v>
      </c>
      <c r="D111" s="167" t="s">
        <v>262</v>
      </c>
      <c r="E111" s="168"/>
      <c r="F111" s="168"/>
      <c r="G111" s="169"/>
    </row>
    <row r="112" spans="2:7" ht="18.75" customHeight="1" x14ac:dyDescent="0.15">
      <c r="B112" s="230"/>
      <c r="C112" s="75" t="s">
        <v>167</v>
      </c>
      <c r="D112" s="167" t="s">
        <v>263</v>
      </c>
      <c r="E112" s="168"/>
      <c r="F112" s="168"/>
      <c r="G112" s="169"/>
    </row>
    <row r="113" spans="1:7" ht="18.75" customHeight="1" x14ac:dyDescent="0.15">
      <c r="B113" s="230"/>
      <c r="C113" s="75" t="s">
        <v>167</v>
      </c>
      <c r="D113" s="167" t="s">
        <v>264</v>
      </c>
      <c r="E113" s="168"/>
      <c r="F113" s="168"/>
      <c r="G113" s="169"/>
    </row>
    <row r="114" spans="1:7" ht="18.75" customHeight="1" x14ac:dyDescent="0.15">
      <c r="B114" s="230"/>
      <c r="C114" s="75" t="s">
        <v>167</v>
      </c>
      <c r="D114" s="167" t="s">
        <v>265</v>
      </c>
      <c r="E114" s="168"/>
      <c r="F114" s="168"/>
      <c r="G114" s="169"/>
    </row>
    <row r="115" spans="1:7" ht="18.75" customHeight="1" x14ac:dyDescent="0.15">
      <c r="B115" s="230"/>
      <c r="C115" s="75" t="s">
        <v>167</v>
      </c>
      <c r="D115" s="167" t="s">
        <v>266</v>
      </c>
      <c r="E115" s="168"/>
      <c r="F115" s="168"/>
      <c r="G115" s="169"/>
    </row>
    <row r="116" spans="1:7" ht="18.75" customHeight="1" x14ac:dyDescent="0.15">
      <c r="B116" s="230"/>
      <c r="C116" s="75" t="s">
        <v>167</v>
      </c>
      <c r="D116" s="167" t="s">
        <v>267</v>
      </c>
      <c r="E116" s="168"/>
      <c r="F116" s="168"/>
      <c r="G116" s="169"/>
    </row>
    <row r="117" spans="1:7" ht="18.75" customHeight="1" x14ac:dyDescent="0.15">
      <c r="B117" s="230"/>
      <c r="C117" s="75" t="s">
        <v>169</v>
      </c>
      <c r="D117" s="167" t="s">
        <v>268</v>
      </c>
      <c r="E117" s="168"/>
      <c r="F117" s="168"/>
      <c r="G117" s="169"/>
    </row>
    <row r="118" spans="1:7" ht="18.75" customHeight="1" x14ac:dyDescent="0.15">
      <c r="B118" s="230"/>
      <c r="C118" s="75" t="s">
        <v>169</v>
      </c>
      <c r="D118" s="167" t="s">
        <v>269</v>
      </c>
      <c r="E118" s="168"/>
      <c r="F118" s="168"/>
      <c r="G118" s="169"/>
    </row>
    <row r="119" spans="1:7" ht="18.75" customHeight="1" x14ac:dyDescent="0.15">
      <c r="B119" s="230"/>
      <c r="C119" s="75" t="s">
        <v>169</v>
      </c>
      <c r="D119" s="167" t="s">
        <v>270</v>
      </c>
      <c r="E119" s="168"/>
      <c r="F119" s="168"/>
      <c r="G119" s="169"/>
    </row>
    <row r="120" spans="1:7" ht="18.75" customHeight="1" x14ac:dyDescent="0.15">
      <c r="B120" s="230"/>
      <c r="C120" s="75" t="s">
        <v>171</v>
      </c>
      <c r="D120" s="167" t="s">
        <v>251</v>
      </c>
      <c r="E120" s="168"/>
      <c r="F120" s="168"/>
      <c r="G120" s="169"/>
    </row>
    <row r="121" spans="1:7" ht="18.75" customHeight="1" x14ac:dyDescent="0.15">
      <c r="B121" s="230"/>
      <c r="C121" s="73"/>
      <c r="D121" s="104"/>
      <c r="E121" s="105"/>
      <c r="F121" s="105"/>
      <c r="G121" s="106"/>
    </row>
    <row r="122" spans="1:7" ht="18.75" customHeight="1" x14ac:dyDescent="0.15">
      <c r="B122" s="230"/>
      <c r="C122" s="73"/>
      <c r="D122" s="104"/>
      <c r="E122" s="105"/>
      <c r="F122" s="105"/>
      <c r="G122" s="106"/>
    </row>
    <row r="123" spans="1:7" ht="18.75" customHeight="1" x14ac:dyDescent="0.15">
      <c r="B123" s="230"/>
      <c r="C123" s="73"/>
      <c r="D123" s="104"/>
      <c r="E123" s="105"/>
      <c r="F123" s="105"/>
      <c r="G123" s="106"/>
    </row>
    <row r="124" spans="1:7" ht="18.75" customHeight="1" x14ac:dyDescent="0.15">
      <c r="B124" s="230"/>
      <c r="C124" s="73"/>
      <c r="D124" s="104"/>
      <c r="E124" s="105"/>
      <c r="F124" s="105"/>
      <c r="G124" s="106"/>
    </row>
    <row r="125" spans="1:7" ht="18.75" customHeight="1" x14ac:dyDescent="0.15">
      <c r="B125" s="230"/>
      <c r="C125" s="73"/>
      <c r="D125" s="104"/>
      <c r="E125" s="105"/>
      <c r="F125" s="105"/>
      <c r="G125" s="106"/>
    </row>
    <row r="126" spans="1:7" ht="18.75" customHeight="1" x14ac:dyDescent="0.15">
      <c r="A126" s="9" t="s">
        <v>12</v>
      </c>
      <c r="B126" s="9" t="s">
        <v>106</v>
      </c>
    </row>
    <row r="127" spans="1:7" ht="22.5" customHeight="1" x14ac:dyDescent="0.15">
      <c r="B127" s="73" t="s">
        <v>74</v>
      </c>
      <c r="C127" s="108" t="s">
        <v>105</v>
      </c>
      <c r="D127" s="109"/>
      <c r="E127" s="109"/>
      <c r="F127" s="109"/>
      <c r="G127" s="110"/>
    </row>
    <row r="128" spans="1:7" ht="45" customHeight="1" x14ac:dyDescent="0.15">
      <c r="B128" s="79" t="s">
        <v>76</v>
      </c>
      <c r="C128" s="120" t="s">
        <v>244</v>
      </c>
      <c r="D128" s="121"/>
      <c r="E128" s="121"/>
      <c r="F128" s="121"/>
      <c r="G128" s="122"/>
    </row>
    <row r="129" spans="1:7" ht="45" customHeight="1" x14ac:dyDescent="0.15">
      <c r="B129" s="79" t="s">
        <v>77</v>
      </c>
      <c r="C129" s="120" t="s">
        <v>244</v>
      </c>
      <c r="D129" s="121"/>
      <c r="E129" s="121"/>
      <c r="F129" s="121"/>
      <c r="G129" s="122"/>
    </row>
    <row r="130" spans="1:7" ht="45" customHeight="1" x14ac:dyDescent="0.15">
      <c r="B130" s="79" t="s">
        <v>78</v>
      </c>
      <c r="C130" s="120"/>
      <c r="D130" s="121"/>
      <c r="E130" s="121"/>
      <c r="F130" s="121"/>
      <c r="G130" s="122"/>
    </row>
    <row r="131" spans="1:7" ht="45" customHeight="1" x14ac:dyDescent="0.15">
      <c r="B131" s="79" t="s">
        <v>79</v>
      </c>
      <c r="C131" s="120"/>
      <c r="D131" s="121"/>
      <c r="E131" s="121"/>
      <c r="F131" s="121"/>
      <c r="G131" s="122"/>
    </row>
    <row r="132" spans="1:7" ht="45" customHeight="1" x14ac:dyDescent="0.15">
      <c r="B132" s="79" t="s">
        <v>80</v>
      </c>
      <c r="C132" s="120"/>
      <c r="D132" s="121"/>
      <c r="E132" s="121"/>
      <c r="F132" s="121"/>
      <c r="G132" s="122"/>
    </row>
    <row r="133" spans="1:7" ht="45" customHeight="1" x14ac:dyDescent="0.15">
      <c r="B133" s="79" t="s">
        <v>81</v>
      </c>
      <c r="C133" s="120"/>
      <c r="D133" s="121"/>
      <c r="E133" s="121"/>
      <c r="F133" s="121"/>
      <c r="G133" s="122"/>
    </row>
    <row r="134" spans="1:7" ht="45" customHeight="1" x14ac:dyDescent="0.15">
      <c r="B134" s="79" t="s">
        <v>82</v>
      </c>
      <c r="C134" s="120"/>
      <c r="D134" s="121"/>
      <c r="E134" s="121"/>
      <c r="F134" s="121"/>
      <c r="G134" s="122"/>
    </row>
    <row r="135" spans="1:7" ht="45" customHeight="1" x14ac:dyDescent="0.15">
      <c r="B135" s="79" t="s">
        <v>83</v>
      </c>
      <c r="C135" s="120"/>
      <c r="D135" s="121"/>
      <c r="E135" s="121"/>
      <c r="F135" s="121"/>
      <c r="G135" s="122"/>
    </row>
    <row r="136" spans="1:7" ht="45" customHeight="1" x14ac:dyDescent="0.15">
      <c r="B136" s="79" t="s">
        <v>84</v>
      </c>
      <c r="C136" s="120"/>
      <c r="D136" s="121"/>
      <c r="E136" s="121"/>
      <c r="F136" s="121"/>
      <c r="G136" s="122"/>
    </row>
    <row r="137" spans="1:7" ht="7.5" customHeight="1" x14ac:dyDescent="0.15"/>
    <row r="138" spans="1:7" ht="18.75" customHeight="1" x14ac:dyDescent="0.15">
      <c r="A138" s="9" t="s">
        <v>13</v>
      </c>
      <c r="B138" s="9" t="s">
        <v>100</v>
      </c>
      <c r="E138" s="219" t="s">
        <v>295</v>
      </c>
      <c r="F138" s="121"/>
      <c r="G138" s="122"/>
    </row>
    <row r="139" spans="1:7" ht="7.5" customHeight="1" x14ac:dyDescent="0.15"/>
    <row r="140" spans="1:7" ht="18.75" customHeight="1" x14ac:dyDescent="0.15">
      <c r="A140" s="9" t="s">
        <v>17</v>
      </c>
      <c r="B140" s="9" t="s">
        <v>102</v>
      </c>
    </row>
    <row r="141" spans="1:7" ht="18.75" customHeight="1" x14ac:dyDescent="0.15">
      <c r="B141" s="220" t="s">
        <v>245</v>
      </c>
      <c r="C141" s="221"/>
      <c r="D141" s="221"/>
      <c r="E141" s="221"/>
      <c r="F141" s="221"/>
      <c r="G141" s="222"/>
    </row>
    <row r="142" spans="1:7" ht="18.75" customHeight="1" x14ac:dyDescent="0.15">
      <c r="B142" s="223"/>
      <c r="C142" s="224"/>
      <c r="D142" s="224"/>
      <c r="E142" s="224"/>
      <c r="F142" s="224"/>
      <c r="G142" s="225"/>
    </row>
    <row r="143" spans="1:7" ht="18.75" customHeight="1" x14ac:dyDescent="0.15">
      <c r="B143" s="223"/>
      <c r="C143" s="224"/>
      <c r="D143" s="224"/>
      <c r="E143" s="224"/>
      <c r="F143" s="224"/>
      <c r="G143" s="225"/>
    </row>
    <row r="144" spans="1:7" ht="18.75" customHeight="1" x14ac:dyDescent="0.15">
      <c r="B144" s="226"/>
      <c r="C144" s="227"/>
      <c r="D144" s="227"/>
      <c r="E144" s="227"/>
      <c r="F144" s="227"/>
      <c r="G144" s="228"/>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123:G123"/>
    <mergeCell ref="D124:G124"/>
    <mergeCell ref="D125:G125"/>
    <mergeCell ref="C127:G127"/>
    <mergeCell ref="C128:G128"/>
    <mergeCell ref="D116:G116"/>
    <mergeCell ref="D117:G117"/>
    <mergeCell ref="D118:G118"/>
    <mergeCell ref="D119:G119"/>
    <mergeCell ref="D120:G120"/>
    <mergeCell ref="D121:G121"/>
    <mergeCell ref="C135:G135"/>
    <mergeCell ref="C136:G136"/>
    <mergeCell ref="E138:G138"/>
    <mergeCell ref="B141:G144"/>
    <mergeCell ref="C129:G129"/>
    <mergeCell ref="C130:G130"/>
    <mergeCell ref="C131:G131"/>
    <mergeCell ref="C132:G132"/>
    <mergeCell ref="C133:G133"/>
    <mergeCell ref="C134:G134"/>
  </mergeCells>
  <phoneticPr fontId="1"/>
  <hyperlinks>
    <hyperlink ref="E138" r:id="rId1" xr:uid="{5CD8185E-C9DF-4E14-9502-C8EFB875B9D9}"/>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48"/>
  <sheetViews>
    <sheetView showZeros="0" topLeftCell="A34" zoomScaleNormal="100" workbookViewId="0">
      <selection activeCell="S39" sqref="S39"/>
    </sheetView>
  </sheetViews>
  <sheetFormatPr defaultColWidth="11.375" defaultRowHeight="18.75" customHeight="1" x14ac:dyDescent="0.15"/>
  <cols>
    <col min="1" max="1" width="2.75" style="80" customWidth="1"/>
    <col min="2" max="2" width="54.25" style="9" customWidth="1"/>
    <col min="3" max="3" width="1.25" style="9" customWidth="1"/>
    <col min="4" max="4" width="22.5" style="9" customWidth="1"/>
    <col min="5" max="5" width="6.25" style="9" customWidth="1"/>
    <col min="6" max="16384" width="11.375" style="9"/>
  </cols>
  <sheetData>
    <row r="1" spans="1:5" ht="18.75" customHeight="1" x14ac:dyDescent="0.15">
      <c r="E1" s="69" t="s">
        <v>107</v>
      </c>
    </row>
    <row r="2" spans="1:5" ht="18.75" customHeight="1" x14ac:dyDescent="0.15">
      <c r="B2" s="69" t="s">
        <v>88</v>
      </c>
      <c r="C2" s="69" t="s">
        <v>8</v>
      </c>
      <c r="D2" s="138" t="s">
        <v>136</v>
      </c>
      <c r="E2" s="138"/>
    </row>
    <row r="3" spans="1:5" ht="7.5" customHeight="1" x14ac:dyDescent="0.15">
      <c r="B3" s="69"/>
      <c r="C3" s="69"/>
      <c r="D3" s="71"/>
      <c r="E3" s="71"/>
    </row>
    <row r="4" spans="1:5" ht="18.75" customHeight="1" x14ac:dyDescent="0.15">
      <c r="B4" s="119" t="s">
        <v>85</v>
      </c>
      <c r="C4" s="119"/>
      <c r="D4" s="119"/>
      <c r="E4" s="119"/>
    </row>
    <row r="5" spans="1:5" ht="7.5" customHeight="1" x14ac:dyDescent="0.15">
      <c r="B5" s="71"/>
      <c r="C5" s="71"/>
      <c r="D5" s="71"/>
      <c r="E5" s="71"/>
    </row>
    <row r="6" spans="1:5" ht="18.75" customHeight="1" x14ac:dyDescent="0.15">
      <c r="A6" s="13" t="s">
        <v>7</v>
      </c>
      <c r="B6" s="11" t="s">
        <v>98</v>
      </c>
      <c r="C6" s="71"/>
      <c r="D6" s="71"/>
      <c r="E6" s="71"/>
    </row>
    <row r="7" spans="1:5" ht="18.75" customHeight="1" x14ac:dyDescent="0.15">
      <c r="A7" s="13"/>
      <c r="B7" s="120" t="s">
        <v>184</v>
      </c>
      <c r="C7" s="121"/>
      <c r="D7" s="121"/>
      <c r="E7" s="122"/>
    </row>
    <row r="8" spans="1:5" ht="7.5" customHeight="1" x14ac:dyDescent="0.15">
      <c r="B8" s="71"/>
      <c r="C8" s="71"/>
      <c r="D8" s="71"/>
      <c r="E8" s="71"/>
    </row>
    <row r="9" spans="1:5" s="11" customFormat="1" ht="18.75" customHeight="1" x14ac:dyDescent="0.15">
      <c r="A9" s="13" t="s">
        <v>12</v>
      </c>
      <c r="B9" s="13" t="s">
        <v>46</v>
      </c>
      <c r="C9" s="13"/>
      <c r="D9" s="13"/>
      <c r="E9" s="13"/>
    </row>
    <row r="10" spans="1:5" s="10" customFormat="1" ht="23.25" customHeight="1" x14ac:dyDescent="0.15">
      <c r="A10" s="81"/>
      <c r="B10" s="220" t="s">
        <v>294</v>
      </c>
      <c r="C10" s="234"/>
      <c r="D10" s="234"/>
      <c r="E10" s="235"/>
    </row>
    <row r="11" spans="1:5" s="10" customFormat="1" ht="23.25" customHeight="1" x14ac:dyDescent="0.15">
      <c r="A11" s="81"/>
      <c r="B11" s="236"/>
      <c r="C11" s="237"/>
      <c r="D11" s="237"/>
      <c r="E11" s="238"/>
    </row>
    <row r="12" spans="1:5" s="10" customFormat="1" ht="23.25" customHeight="1" x14ac:dyDescent="0.15">
      <c r="A12" s="81"/>
      <c r="B12" s="236"/>
      <c r="C12" s="237"/>
      <c r="D12" s="237"/>
      <c r="E12" s="238"/>
    </row>
    <row r="13" spans="1:5" s="10" customFormat="1" ht="23.25" customHeight="1" x14ac:dyDescent="0.15">
      <c r="A13" s="81"/>
      <c r="B13" s="236"/>
      <c r="C13" s="237"/>
      <c r="D13" s="237"/>
      <c r="E13" s="238"/>
    </row>
    <row r="14" spans="1:5" s="10" customFormat="1" ht="17.25" customHeight="1" x14ac:dyDescent="0.15">
      <c r="A14" s="81"/>
      <c r="B14" s="239"/>
      <c r="C14" s="240"/>
      <c r="D14" s="240"/>
      <c r="E14" s="241"/>
    </row>
    <row r="15" spans="1:5" s="10" customFormat="1" ht="7.5" customHeight="1" x14ac:dyDescent="0.15">
      <c r="A15" s="81"/>
      <c r="B15" s="81"/>
      <c r="C15" s="81"/>
      <c r="D15" s="81"/>
      <c r="E15" s="81"/>
    </row>
    <row r="16" spans="1:5" s="11" customFormat="1" ht="18.75" customHeight="1" x14ac:dyDescent="0.15">
      <c r="A16" s="82" t="s">
        <v>13</v>
      </c>
      <c r="B16" s="82" t="s">
        <v>19</v>
      </c>
      <c r="C16" s="82"/>
      <c r="D16" s="82"/>
      <c r="E16" s="82"/>
    </row>
    <row r="17" spans="1:5" s="10" customFormat="1" ht="18.75" customHeight="1" x14ac:dyDescent="0.15">
      <c r="A17" s="81"/>
      <c r="B17" s="220" t="s">
        <v>185</v>
      </c>
      <c r="C17" s="234"/>
      <c r="D17" s="234"/>
      <c r="E17" s="235"/>
    </row>
    <row r="18" spans="1:5" s="10" customFormat="1" ht="18.75" customHeight="1" x14ac:dyDescent="0.15">
      <c r="A18" s="81"/>
      <c r="B18" s="236"/>
      <c r="C18" s="237"/>
      <c r="D18" s="237"/>
      <c r="E18" s="238"/>
    </row>
    <row r="19" spans="1:5" s="10" customFormat="1" ht="18.75" customHeight="1" x14ac:dyDescent="0.15">
      <c r="A19" s="81"/>
      <c r="B19" s="236"/>
      <c r="C19" s="237"/>
      <c r="D19" s="237"/>
      <c r="E19" s="238"/>
    </row>
    <row r="20" spans="1:5" s="10" customFormat="1" ht="18.75" customHeight="1" x14ac:dyDescent="0.15">
      <c r="A20" s="81"/>
      <c r="B20" s="236"/>
      <c r="C20" s="237"/>
      <c r="D20" s="237"/>
      <c r="E20" s="238"/>
    </row>
    <row r="21" spans="1:5" s="10" customFormat="1" ht="18.75" customHeight="1" x14ac:dyDescent="0.15">
      <c r="A21" s="81"/>
      <c r="B21" s="236"/>
      <c r="C21" s="237"/>
      <c r="D21" s="237"/>
      <c r="E21" s="238"/>
    </row>
    <row r="22" spans="1:5" s="10" customFormat="1" ht="18.75" customHeight="1" x14ac:dyDescent="0.15">
      <c r="A22" s="81"/>
      <c r="B22" s="236"/>
      <c r="C22" s="237"/>
      <c r="D22" s="237"/>
      <c r="E22" s="238"/>
    </row>
    <row r="23" spans="1:5" s="10" customFormat="1" ht="18.75" customHeight="1" x14ac:dyDescent="0.15">
      <c r="A23" s="81"/>
      <c r="B23" s="236"/>
      <c r="C23" s="237"/>
      <c r="D23" s="237"/>
      <c r="E23" s="238"/>
    </row>
    <row r="24" spans="1:5" s="10" customFormat="1" ht="18.75" customHeight="1" x14ac:dyDescent="0.15">
      <c r="A24" s="81"/>
      <c r="B24" s="236"/>
      <c r="C24" s="237"/>
      <c r="D24" s="237"/>
      <c r="E24" s="238"/>
    </row>
    <row r="25" spans="1:5" s="10" customFormat="1" ht="18.75" customHeight="1" x14ac:dyDescent="0.15">
      <c r="A25" s="81"/>
      <c r="B25" s="236"/>
      <c r="C25" s="237"/>
      <c r="D25" s="237"/>
      <c r="E25" s="238"/>
    </row>
    <row r="26" spans="1:5" s="10" customFormat="1" ht="18.75" customHeight="1" x14ac:dyDescent="0.15">
      <c r="A26" s="81"/>
      <c r="B26" s="236"/>
      <c r="C26" s="237"/>
      <c r="D26" s="237"/>
      <c r="E26" s="238"/>
    </row>
    <row r="27" spans="1:5" s="10" customFormat="1" ht="18.75" customHeight="1" x14ac:dyDescent="0.15">
      <c r="A27" s="81"/>
      <c r="B27" s="236"/>
      <c r="C27" s="237"/>
      <c r="D27" s="237"/>
      <c r="E27" s="238"/>
    </row>
    <row r="28" spans="1:5" s="10" customFormat="1" ht="18.75" customHeight="1" x14ac:dyDescent="0.15">
      <c r="A28" s="81"/>
      <c r="B28" s="239"/>
      <c r="C28" s="240"/>
      <c r="D28" s="240"/>
      <c r="E28" s="241"/>
    </row>
    <row r="29" spans="1:5" ht="7.5" customHeight="1" x14ac:dyDescent="0.15">
      <c r="A29" s="83"/>
      <c r="B29" s="83"/>
      <c r="C29" s="83"/>
      <c r="D29" s="83"/>
      <c r="E29" s="83"/>
    </row>
    <row r="30" spans="1:5" s="11" customFormat="1" ht="18.75" customHeight="1" x14ac:dyDescent="0.15">
      <c r="A30" s="13" t="s">
        <v>17</v>
      </c>
      <c r="B30" s="13" t="s">
        <v>30</v>
      </c>
      <c r="C30" s="13"/>
      <c r="D30" s="13"/>
      <c r="E30" s="13"/>
    </row>
    <row r="31" spans="1:5" s="11" customFormat="1" ht="17.25" customHeight="1" x14ac:dyDescent="0.15">
      <c r="A31" s="13"/>
      <c r="B31" s="220" t="s">
        <v>318</v>
      </c>
      <c r="C31" s="234"/>
      <c r="D31" s="234"/>
      <c r="E31" s="235"/>
    </row>
    <row r="32" spans="1:5" s="11" customFormat="1" ht="17.25" customHeight="1" x14ac:dyDescent="0.15">
      <c r="A32" s="13"/>
      <c r="B32" s="236"/>
      <c r="C32" s="237"/>
      <c r="D32" s="237"/>
      <c r="E32" s="238"/>
    </row>
    <row r="33" spans="1:5" s="11" customFormat="1" ht="17.25" customHeight="1" x14ac:dyDescent="0.15">
      <c r="A33" s="13"/>
      <c r="B33" s="236"/>
      <c r="C33" s="237"/>
      <c r="D33" s="237"/>
      <c r="E33" s="238"/>
    </row>
    <row r="34" spans="1:5" s="11" customFormat="1" ht="17.25" customHeight="1" x14ac:dyDescent="0.15">
      <c r="A34" s="13"/>
      <c r="B34" s="236"/>
      <c r="C34" s="237"/>
      <c r="D34" s="237"/>
      <c r="E34" s="238"/>
    </row>
    <row r="35" spans="1:5" s="11" customFormat="1" ht="17.25" customHeight="1" x14ac:dyDescent="0.15">
      <c r="A35" s="13"/>
      <c r="B35" s="236"/>
      <c r="C35" s="237"/>
      <c r="D35" s="237"/>
      <c r="E35" s="238"/>
    </row>
    <row r="36" spans="1:5" s="11" customFormat="1" ht="17.25" customHeight="1" x14ac:dyDescent="0.15">
      <c r="A36" s="13"/>
      <c r="B36" s="236"/>
      <c r="C36" s="237"/>
      <c r="D36" s="237"/>
      <c r="E36" s="238"/>
    </row>
    <row r="37" spans="1:5" s="11" customFormat="1" ht="17.25" customHeight="1" x14ac:dyDescent="0.15">
      <c r="A37" s="13"/>
      <c r="B37" s="236"/>
      <c r="C37" s="237"/>
      <c r="D37" s="237"/>
      <c r="E37" s="238"/>
    </row>
    <row r="38" spans="1:5" s="11" customFormat="1" ht="17.25" customHeight="1" x14ac:dyDescent="0.15">
      <c r="A38" s="13"/>
      <c r="B38" s="236"/>
      <c r="C38" s="237"/>
      <c r="D38" s="237"/>
      <c r="E38" s="238"/>
    </row>
    <row r="39" spans="1:5" s="11" customFormat="1" ht="17.25" customHeight="1" x14ac:dyDescent="0.15">
      <c r="A39" s="13"/>
      <c r="B39" s="236"/>
      <c r="C39" s="237"/>
      <c r="D39" s="237"/>
      <c r="E39" s="238"/>
    </row>
    <row r="40" spans="1:5" s="11" customFormat="1" ht="17.25" customHeight="1" x14ac:dyDescent="0.15">
      <c r="A40" s="13"/>
      <c r="B40" s="236"/>
      <c r="C40" s="237"/>
      <c r="D40" s="237"/>
      <c r="E40" s="238"/>
    </row>
    <row r="41" spans="1:5" s="11" customFormat="1" ht="17.25" customHeight="1" x14ac:dyDescent="0.15">
      <c r="A41" s="13"/>
      <c r="B41" s="236"/>
      <c r="C41" s="237"/>
      <c r="D41" s="237"/>
      <c r="E41" s="238"/>
    </row>
    <row r="42" spans="1:5" s="11" customFormat="1" ht="17.25" customHeight="1" x14ac:dyDescent="0.15">
      <c r="A42" s="13"/>
      <c r="B42" s="236"/>
      <c r="C42" s="237"/>
      <c r="D42" s="237"/>
      <c r="E42" s="238"/>
    </row>
    <row r="43" spans="1:5" s="11" customFormat="1" ht="17.25" customHeight="1" x14ac:dyDescent="0.15">
      <c r="A43" s="13"/>
      <c r="B43" s="236"/>
      <c r="C43" s="237"/>
      <c r="D43" s="237"/>
      <c r="E43" s="238"/>
    </row>
    <row r="44" spans="1:5" s="11" customFormat="1" ht="17.25" customHeight="1" x14ac:dyDescent="0.15">
      <c r="A44" s="13"/>
      <c r="B44" s="236"/>
      <c r="C44" s="237"/>
      <c r="D44" s="237"/>
      <c r="E44" s="238"/>
    </row>
    <row r="45" spans="1:5" ht="17.25" customHeight="1" x14ac:dyDescent="0.15">
      <c r="A45" s="83"/>
      <c r="B45" s="236"/>
      <c r="C45" s="237"/>
      <c r="D45" s="237"/>
      <c r="E45" s="238"/>
    </row>
    <row r="46" spans="1:5" ht="20.25" customHeight="1" x14ac:dyDescent="0.15">
      <c r="A46" s="83"/>
      <c r="B46" s="239"/>
      <c r="C46" s="240"/>
      <c r="D46" s="240"/>
      <c r="E46" s="241"/>
    </row>
    <row r="47" spans="1:5" s="11" customFormat="1" ht="18.75" customHeight="1" x14ac:dyDescent="0.15">
      <c r="A47" s="82" t="s">
        <v>14</v>
      </c>
      <c r="B47" s="13" t="s">
        <v>86</v>
      </c>
      <c r="C47" s="82"/>
      <c r="D47" s="82"/>
      <c r="E47" s="82"/>
    </row>
    <row r="48" spans="1:5" ht="18.75" customHeight="1" x14ac:dyDescent="0.15">
      <c r="A48" s="83"/>
      <c r="B48" s="220" t="s">
        <v>271</v>
      </c>
      <c r="C48" s="221"/>
      <c r="D48" s="221"/>
      <c r="E48" s="222"/>
    </row>
    <row r="49" spans="1:5" ht="18.75" customHeight="1" x14ac:dyDescent="0.15">
      <c r="A49" s="83"/>
      <c r="B49" s="223"/>
      <c r="C49" s="224"/>
      <c r="D49" s="224"/>
      <c r="E49" s="225"/>
    </row>
    <row r="50" spans="1:5" ht="18.75" customHeight="1" x14ac:dyDescent="0.15">
      <c r="A50" s="83"/>
      <c r="B50" s="223"/>
      <c r="C50" s="224"/>
      <c r="D50" s="224"/>
      <c r="E50" s="225"/>
    </row>
    <row r="51" spans="1:5" ht="18.75" customHeight="1" x14ac:dyDescent="0.15">
      <c r="A51" s="83"/>
      <c r="B51" s="223"/>
      <c r="C51" s="224"/>
      <c r="D51" s="224"/>
      <c r="E51" s="225"/>
    </row>
    <row r="52" spans="1:5" ht="18.75" customHeight="1" x14ac:dyDescent="0.15">
      <c r="A52" s="83"/>
      <c r="B52" s="223"/>
      <c r="C52" s="224"/>
      <c r="D52" s="224"/>
      <c r="E52" s="225"/>
    </row>
    <row r="53" spans="1:5" ht="18.75" customHeight="1" x14ac:dyDescent="0.15">
      <c r="A53" s="83"/>
      <c r="B53" s="223"/>
      <c r="C53" s="224"/>
      <c r="D53" s="224"/>
      <c r="E53" s="225"/>
    </row>
    <row r="54" spans="1:5" ht="18.75" customHeight="1" x14ac:dyDescent="0.15">
      <c r="A54" s="83"/>
      <c r="B54" s="223"/>
      <c r="C54" s="224"/>
      <c r="D54" s="224"/>
      <c r="E54" s="225"/>
    </row>
    <row r="55" spans="1:5" ht="18.75" customHeight="1" x14ac:dyDescent="0.15">
      <c r="A55" s="83"/>
      <c r="B55" s="223"/>
      <c r="C55" s="224"/>
      <c r="D55" s="224"/>
      <c r="E55" s="225"/>
    </row>
    <row r="56" spans="1:5" ht="18.75" customHeight="1" x14ac:dyDescent="0.15">
      <c r="A56" s="83"/>
      <c r="B56" s="223"/>
      <c r="C56" s="224"/>
      <c r="D56" s="224"/>
      <c r="E56" s="225"/>
    </row>
    <row r="57" spans="1:5" ht="18.75" customHeight="1" x14ac:dyDescent="0.15">
      <c r="A57" s="83"/>
      <c r="B57" s="223"/>
      <c r="C57" s="224"/>
      <c r="D57" s="224"/>
      <c r="E57" s="225"/>
    </row>
    <row r="58" spans="1:5" ht="18.75" customHeight="1" x14ac:dyDescent="0.15">
      <c r="A58" s="83"/>
      <c r="B58" s="223"/>
      <c r="C58" s="224"/>
      <c r="D58" s="224"/>
      <c r="E58" s="225"/>
    </row>
    <row r="59" spans="1:5" ht="18.75" customHeight="1" x14ac:dyDescent="0.15">
      <c r="A59" s="83"/>
      <c r="B59" s="223"/>
      <c r="C59" s="224"/>
      <c r="D59" s="224"/>
      <c r="E59" s="225"/>
    </row>
    <row r="60" spans="1:5" ht="18.75" customHeight="1" x14ac:dyDescent="0.15">
      <c r="A60" s="83"/>
      <c r="B60" s="223"/>
      <c r="C60" s="224"/>
      <c r="D60" s="224"/>
      <c r="E60" s="225"/>
    </row>
    <row r="61" spans="1:5" ht="18.75" customHeight="1" x14ac:dyDescent="0.15">
      <c r="A61" s="83"/>
      <c r="B61" s="223"/>
      <c r="C61" s="224"/>
      <c r="D61" s="224"/>
      <c r="E61" s="225"/>
    </row>
    <row r="62" spans="1:5" ht="18.75" customHeight="1" x14ac:dyDescent="0.15">
      <c r="A62" s="83"/>
      <c r="B62" s="223"/>
      <c r="C62" s="224"/>
      <c r="D62" s="224"/>
      <c r="E62" s="225"/>
    </row>
    <row r="63" spans="1:5" ht="18.75" customHeight="1" x14ac:dyDescent="0.15">
      <c r="A63" s="83"/>
      <c r="B63" s="223"/>
      <c r="C63" s="224"/>
      <c r="D63" s="224"/>
      <c r="E63" s="225"/>
    </row>
    <row r="64" spans="1:5" ht="18.75" customHeight="1" x14ac:dyDescent="0.15">
      <c r="A64" s="83"/>
      <c r="B64" s="223"/>
      <c r="C64" s="224"/>
      <c r="D64" s="224"/>
      <c r="E64" s="225"/>
    </row>
    <row r="65" spans="1:5" ht="18.75" customHeight="1" x14ac:dyDescent="0.15">
      <c r="A65" s="83"/>
      <c r="B65" s="223"/>
      <c r="C65" s="224"/>
      <c r="D65" s="224"/>
      <c r="E65" s="225"/>
    </row>
    <row r="66" spans="1:5" ht="18.75" customHeight="1" x14ac:dyDescent="0.15">
      <c r="A66" s="83"/>
      <c r="B66" s="223"/>
      <c r="C66" s="224"/>
      <c r="D66" s="224"/>
      <c r="E66" s="225"/>
    </row>
    <row r="67" spans="1:5" ht="18.75" customHeight="1" x14ac:dyDescent="0.15">
      <c r="A67" s="83"/>
      <c r="B67" s="223"/>
      <c r="C67" s="224"/>
      <c r="D67" s="224"/>
      <c r="E67" s="225"/>
    </row>
    <row r="68" spans="1:5" ht="18.75" customHeight="1" x14ac:dyDescent="0.15">
      <c r="A68" s="83"/>
      <c r="B68" s="226"/>
      <c r="C68" s="227"/>
      <c r="D68" s="227"/>
      <c r="E68" s="228"/>
    </row>
    <row r="69" spans="1:5" ht="7.5" customHeight="1" x14ac:dyDescent="0.15">
      <c r="A69" s="83"/>
      <c r="B69" s="83"/>
      <c r="C69" s="83"/>
      <c r="D69" s="83"/>
      <c r="E69" s="83"/>
    </row>
    <row r="70" spans="1:5" s="11" customFormat="1" ht="18.75" customHeight="1" x14ac:dyDescent="0.15">
      <c r="A70" s="13" t="s">
        <v>18</v>
      </c>
      <c r="B70" s="13" t="s">
        <v>97</v>
      </c>
      <c r="C70" s="13"/>
      <c r="D70" s="13"/>
      <c r="E70" s="13"/>
    </row>
    <row r="71" spans="1:5" s="11" customFormat="1" ht="18.75" customHeight="1" x14ac:dyDescent="0.15">
      <c r="A71" s="13"/>
      <c r="B71" s="220" t="s">
        <v>272</v>
      </c>
      <c r="C71" s="234"/>
      <c r="D71" s="234"/>
      <c r="E71" s="235"/>
    </row>
    <row r="72" spans="1:5" s="11" customFormat="1" ht="18.75" customHeight="1" x14ac:dyDescent="0.15">
      <c r="A72" s="13"/>
      <c r="B72" s="236"/>
      <c r="C72" s="237"/>
      <c r="D72" s="237"/>
      <c r="E72" s="238"/>
    </row>
    <row r="73" spans="1:5" s="11" customFormat="1" ht="18.75" customHeight="1" x14ac:dyDescent="0.15">
      <c r="A73" s="13"/>
      <c r="B73" s="236"/>
      <c r="C73" s="237"/>
      <c r="D73" s="237"/>
      <c r="E73" s="238"/>
    </row>
    <row r="74" spans="1:5" s="11" customFormat="1" ht="18.75" customHeight="1" x14ac:dyDescent="0.15">
      <c r="A74" s="13"/>
      <c r="B74" s="236"/>
      <c r="C74" s="237"/>
      <c r="D74" s="237"/>
      <c r="E74" s="238"/>
    </row>
    <row r="75" spans="1:5" s="11" customFormat="1" ht="18.75" customHeight="1" x14ac:dyDescent="0.15">
      <c r="A75" s="13"/>
      <c r="B75" s="236"/>
      <c r="C75" s="237"/>
      <c r="D75" s="237"/>
      <c r="E75" s="238"/>
    </row>
    <row r="76" spans="1:5" s="11" customFormat="1" ht="18.75" customHeight="1" x14ac:dyDescent="0.15">
      <c r="A76" s="13"/>
      <c r="B76" s="236"/>
      <c r="C76" s="237"/>
      <c r="D76" s="237"/>
      <c r="E76" s="238"/>
    </row>
    <row r="77" spans="1:5" s="11" customFormat="1" ht="18.75" customHeight="1" x14ac:dyDescent="0.15">
      <c r="A77" s="13"/>
      <c r="B77" s="236"/>
      <c r="C77" s="237"/>
      <c r="D77" s="237"/>
      <c r="E77" s="238"/>
    </row>
    <row r="78" spans="1:5" s="11" customFormat="1" ht="18.75" customHeight="1" x14ac:dyDescent="0.15">
      <c r="A78" s="13"/>
      <c r="B78" s="236"/>
      <c r="C78" s="237"/>
      <c r="D78" s="237"/>
      <c r="E78" s="238"/>
    </row>
    <row r="79" spans="1:5" s="11" customFormat="1" ht="18.75" customHeight="1" x14ac:dyDescent="0.15">
      <c r="A79" s="13"/>
      <c r="B79" s="236"/>
      <c r="C79" s="237"/>
      <c r="D79" s="237"/>
      <c r="E79" s="238"/>
    </row>
    <row r="80" spans="1:5" s="11" customFormat="1" ht="18.75" customHeight="1" x14ac:dyDescent="0.15">
      <c r="A80" s="13"/>
      <c r="B80" s="236"/>
      <c r="C80" s="237"/>
      <c r="D80" s="237"/>
      <c r="E80" s="238"/>
    </row>
    <row r="81" spans="1:5" s="11" customFormat="1" ht="18.75" customHeight="1" x14ac:dyDescent="0.15">
      <c r="A81" s="13"/>
      <c r="B81" s="236"/>
      <c r="C81" s="237"/>
      <c r="D81" s="237"/>
      <c r="E81" s="238"/>
    </row>
    <row r="82" spans="1:5" s="11" customFormat="1" ht="18.75" customHeight="1" x14ac:dyDescent="0.15">
      <c r="A82" s="13"/>
      <c r="B82" s="236"/>
      <c r="C82" s="237"/>
      <c r="D82" s="237"/>
      <c r="E82" s="238"/>
    </row>
    <row r="83" spans="1:5" s="11" customFormat="1" ht="18.75" customHeight="1" x14ac:dyDescent="0.15">
      <c r="A83" s="13"/>
      <c r="B83" s="236"/>
      <c r="C83" s="237"/>
      <c r="D83" s="237"/>
      <c r="E83" s="238"/>
    </row>
    <row r="84" spans="1:5" s="11" customFormat="1" ht="18.75" customHeight="1" x14ac:dyDescent="0.15">
      <c r="A84" s="13"/>
      <c r="B84" s="236"/>
      <c r="C84" s="237"/>
      <c r="D84" s="237"/>
      <c r="E84" s="238"/>
    </row>
    <row r="85" spans="1:5" s="11" customFormat="1" ht="18.75" customHeight="1" x14ac:dyDescent="0.15">
      <c r="A85" s="13"/>
      <c r="B85" s="236"/>
      <c r="C85" s="237"/>
      <c r="D85" s="237"/>
      <c r="E85" s="238"/>
    </row>
    <row r="86" spans="1:5" s="11" customFormat="1" ht="18.75" customHeight="1" x14ac:dyDescent="0.15">
      <c r="A86" s="13"/>
      <c r="B86" s="236"/>
      <c r="C86" s="237"/>
      <c r="D86" s="237"/>
      <c r="E86" s="238"/>
    </row>
    <row r="87" spans="1:5" s="11" customFormat="1" ht="18.75" customHeight="1" x14ac:dyDescent="0.15">
      <c r="A87" s="13"/>
      <c r="B87" s="236"/>
      <c r="C87" s="237"/>
      <c r="D87" s="237"/>
      <c r="E87" s="238"/>
    </row>
    <row r="88" spans="1:5" ht="18.75" customHeight="1" x14ac:dyDescent="0.15">
      <c r="A88" s="83"/>
      <c r="B88" s="236"/>
      <c r="C88" s="237"/>
      <c r="D88" s="237"/>
      <c r="E88" s="238"/>
    </row>
    <row r="89" spans="1:5" ht="18.75" customHeight="1" x14ac:dyDescent="0.15">
      <c r="A89" s="83"/>
      <c r="B89" s="239"/>
      <c r="C89" s="240"/>
      <c r="D89" s="240"/>
      <c r="E89" s="241"/>
    </row>
    <row r="90" spans="1:5" ht="7.5" customHeight="1" x14ac:dyDescent="0.15">
      <c r="A90" s="83"/>
      <c r="B90" s="83"/>
      <c r="C90" s="83"/>
      <c r="D90" s="83"/>
      <c r="E90" s="83"/>
    </row>
    <row r="91" spans="1:5" s="11" customFormat="1" ht="18.75" customHeight="1" x14ac:dyDescent="0.15">
      <c r="A91" s="13" t="s">
        <v>15</v>
      </c>
      <c r="B91" s="13" t="s">
        <v>34</v>
      </c>
      <c r="C91" s="13"/>
      <c r="D91" s="13"/>
      <c r="E91" s="13"/>
    </row>
    <row r="92" spans="1:5" s="11" customFormat="1" ht="18.75" customHeight="1" x14ac:dyDescent="0.15">
      <c r="A92" s="13"/>
      <c r="B92" s="220" t="s">
        <v>273</v>
      </c>
      <c r="C92" s="234"/>
      <c r="D92" s="234"/>
      <c r="E92" s="235"/>
    </row>
    <row r="93" spans="1:5" s="11" customFormat="1" ht="18.75" customHeight="1" x14ac:dyDescent="0.15">
      <c r="A93" s="13"/>
      <c r="B93" s="236"/>
      <c r="C93" s="237"/>
      <c r="D93" s="237"/>
      <c r="E93" s="238"/>
    </row>
    <row r="94" spans="1:5" s="11" customFormat="1" ht="18.75" customHeight="1" x14ac:dyDescent="0.15">
      <c r="A94" s="13"/>
      <c r="B94" s="236"/>
      <c r="C94" s="237"/>
      <c r="D94" s="237"/>
      <c r="E94" s="238"/>
    </row>
    <row r="95" spans="1:5" s="11" customFormat="1" ht="18.75" customHeight="1" x14ac:dyDescent="0.15">
      <c r="A95" s="13"/>
      <c r="B95" s="236"/>
      <c r="C95" s="237"/>
      <c r="D95" s="237"/>
      <c r="E95" s="238"/>
    </row>
    <row r="96" spans="1:5" s="11" customFormat="1" ht="18.75" customHeight="1" x14ac:dyDescent="0.15">
      <c r="A96" s="13"/>
      <c r="B96" s="236"/>
      <c r="C96" s="237"/>
      <c r="D96" s="237"/>
      <c r="E96" s="238"/>
    </row>
    <row r="97" spans="1:5" s="11" customFormat="1" ht="18.75" customHeight="1" x14ac:dyDescent="0.15">
      <c r="A97" s="13"/>
      <c r="B97" s="236"/>
      <c r="C97" s="237"/>
      <c r="D97" s="237"/>
      <c r="E97" s="238"/>
    </row>
    <row r="98" spans="1:5" s="11" customFormat="1" ht="18.75" customHeight="1" x14ac:dyDescent="0.15">
      <c r="A98" s="13"/>
      <c r="B98" s="236"/>
      <c r="C98" s="237"/>
      <c r="D98" s="237"/>
      <c r="E98" s="238"/>
    </row>
    <row r="99" spans="1:5" s="11" customFormat="1" ht="18.75" customHeight="1" x14ac:dyDescent="0.15">
      <c r="A99" s="13"/>
      <c r="B99" s="236"/>
      <c r="C99" s="237"/>
      <c r="D99" s="237"/>
      <c r="E99" s="238"/>
    </row>
    <row r="100" spans="1:5" s="11" customFormat="1" ht="18.75" customHeight="1" x14ac:dyDescent="0.15">
      <c r="A100" s="13"/>
      <c r="B100" s="236"/>
      <c r="C100" s="237"/>
      <c r="D100" s="237"/>
      <c r="E100" s="238"/>
    </row>
    <row r="101" spans="1:5" s="11" customFormat="1" ht="18.75" customHeight="1" x14ac:dyDescent="0.15">
      <c r="A101" s="13"/>
      <c r="B101" s="236"/>
      <c r="C101" s="237"/>
      <c r="D101" s="237"/>
      <c r="E101" s="238"/>
    </row>
    <row r="102" spans="1:5" s="11" customFormat="1" ht="18.75" customHeight="1" x14ac:dyDescent="0.15">
      <c r="A102" s="13"/>
      <c r="B102" s="236"/>
      <c r="C102" s="237"/>
      <c r="D102" s="237"/>
      <c r="E102" s="238"/>
    </row>
    <row r="103" spans="1:5" s="11" customFormat="1" ht="18.75" customHeight="1" x14ac:dyDescent="0.15">
      <c r="A103" s="13"/>
      <c r="B103" s="236"/>
      <c r="C103" s="237"/>
      <c r="D103" s="237"/>
      <c r="E103" s="238"/>
    </row>
    <row r="104" spans="1:5" s="11" customFormat="1" ht="18.75" customHeight="1" x14ac:dyDescent="0.15">
      <c r="A104" s="13"/>
      <c r="B104" s="236"/>
      <c r="C104" s="237"/>
      <c r="D104" s="237"/>
      <c r="E104" s="238"/>
    </row>
    <row r="105" spans="1:5" s="11" customFormat="1" ht="18.75" customHeight="1" x14ac:dyDescent="0.15">
      <c r="A105" s="13"/>
      <c r="B105" s="236"/>
      <c r="C105" s="237"/>
      <c r="D105" s="237"/>
      <c r="E105" s="238"/>
    </row>
    <row r="106" spans="1:5" s="11" customFormat="1" ht="18.75" customHeight="1" x14ac:dyDescent="0.15">
      <c r="A106" s="13"/>
      <c r="B106" s="236"/>
      <c r="C106" s="237"/>
      <c r="D106" s="237"/>
      <c r="E106" s="238"/>
    </row>
    <row r="107" spans="1:5" s="11" customFormat="1" ht="18.75" customHeight="1" x14ac:dyDescent="0.15">
      <c r="A107" s="13"/>
      <c r="B107" s="236"/>
      <c r="C107" s="237"/>
      <c r="D107" s="237"/>
      <c r="E107" s="238"/>
    </row>
    <row r="108" spans="1:5" s="11" customFormat="1" ht="18.75" customHeight="1" x14ac:dyDescent="0.15">
      <c r="A108" s="13"/>
      <c r="B108" s="236"/>
      <c r="C108" s="237"/>
      <c r="D108" s="237"/>
      <c r="E108" s="238"/>
    </row>
    <row r="109" spans="1:5" s="11" customFormat="1" ht="18.75" customHeight="1" x14ac:dyDescent="0.15">
      <c r="A109" s="13"/>
      <c r="B109" s="236"/>
      <c r="C109" s="237"/>
      <c r="D109" s="237"/>
      <c r="E109" s="238"/>
    </row>
    <row r="110" spans="1:5" ht="18.75" customHeight="1" x14ac:dyDescent="0.15">
      <c r="A110" s="83"/>
      <c r="B110" s="236"/>
      <c r="C110" s="237"/>
      <c r="D110" s="237"/>
      <c r="E110" s="238"/>
    </row>
    <row r="111" spans="1:5" ht="18.75" customHeight="1" x14ac:dyDescent="0.15">
      <c r="A111" s="83"/>
      <c r="B111" s="239"/>
      <c r="C111" s="240"/>
      <c r="D111" s="240"/>
      <c r="E111" s="241"/>
    </row>
    <row r="112" spans="1:5" ht="7.5" customHeight="1" x14ac:dyDescent="0.15">
      <c r="A112" s="83"/>
      <c r="B112" s="83"/>
      <c r="C112" s="83"/>
      <c r="D112" s="83"/>
      <c r="E112" s="83"/>
    </row>
    <row r="113" spans="1:5" s="11" customFormat="1" ht="18.75" customHeight="1" x14ac:dyDescent="0.15">
      <c r="A113" s="13" t="s">
        <v>62</v>
      </c>
      <c r="B113" s="242" t="s">
        <v>134</v>
      </c>
      <c r="C113" s="242"/>
      <c r="D113" s="242"/>
      <c r="E113" s="242"/>
    </row>
    <row r="114" spans="1:5" ht="18.75" customHeight="1" x14ac:dyDescent="0.15">
      <c r="A114" s="83"/>
      <c r="B114" s="220" t="s">
        <v>274</v>
      </c>
      <c r="C114" s="234"/>
      <c r="D114" s="234"/>
      <c r="E114" s="235"/>
    </row>
    <row r="115" spans="1:5" ht="18.75" customHeight="1" x14ac:dyDescent="0.15">
      <c r="A115" s="83"/>
      <c r="B115" s="236"/>
      <c r="C115" s="237"/>
      <c r="D115" s="237"/>
      <c r="E115" s="238"/>
    </row>
    <row r="116" spans="1:5" ht="18.75" customHeight="1" x14ac:dyDescent="0.15">
      <c r="A116" s="83"/>
      <c r="B116" s="236"/>
      <c r="C116" s="237"/>
      <c r="D116" s="237"/>
      <c r="E116" s="238"/>
    </row>
    <row r="117" spans="1:5" ht="18.75" customHeight="1" x14ac:dyDescent="0.15">
      <c r="A117" s="83"/>
      <c r="B117" s="236"/>
      <c r="C117" s="237"/>
      <c r="D117" s="237"/>
      <c r="E117" s="238"/>
    </row>
    <row r="118" spans="1:5" ht="18.75" customHeight="1" x14ac:dyDescent="0.15">
      <c r="A118" s="83"/>
      <c r="B118" s="236"/>
      <c r="C118" s="237"/>
      <c r="D118" s="237"/>
      <c r="E118" s="238"/>
    </row>
    <row r="119" spans="1:5" ht="18.75" customHeight="1" x14ac:dyDescent="0.15">
      <c r="A119" s="83"/>
      <c r="B119" s="236"/>
      <c r="C119" s="237"/>
      <c r="D119" s="237"/>
      <c r="E119" s="238"/>
    </row>
    <row r="120" spans="1:5" ht="18.75" customHeight="1" x14ac:dyDescent="0.15">
      <c r="A120" s="83"/>
      <c r="B120" s="236"/>
      <c r="C120" s="237"/>
      <c r="D120" s="237"/>
      <c r="E120" s="238"/>
    </row>
    <row r="121" spans="1:5" ht="18.75" customHeight="1" x14ac:dyDescent="0.15">
      <c r="A121" s="83"/>
      <c r="B121" s="236"/>
      <c r="C121" s="237"/>
      <c r="D121" s="237"/>
      <c r="E121" s="238"/>
    </row>
    <row r="122" spans="1:5" ht="18.75" customHeight="1" x14ac:dyDescent="0.15">
      <c r="A122" s="83"/>
      <c r="B122" s="236"/>
      <c r="C122" s="237"/>
      <c r="D122" s="237"/>
      <c r="E122" s="238"/>
    </row>
    <row r="123" spans="1:5" ht="18.75" customHeight="1" x14ac:dyDescent="0.15">
      <c r="A123" s="83"/>
      <c r="B123" s="236"/>
      <c r="C123" s="237"/>
      <c r="D123" s="237"/>
      <c r="E123" s="238"/>
    </row>
    <row r="124" spans="1:5" ht="18.75" customHeight="1" x14ac:dyDescent="0.15">
      <c r="A124" s="83"/>
      <c r="B124" s="236"/>
      <c r="C124" s="237"/>
      <c r="D124" s="237"/>
      <c r="E124" s="238"/>
    </row>
    <row r="125" spans="1:5" ht="18.75" customHeight="1" x14ac:dyDescent="0.15">
      <c r="A125" s="83"/>
      <c r="B125" s="236"/>
      <c r="C125" s="237"/>
      <c r="D125" s="237"/>
      <c r="E125" s="238"/>
    </row>
    <row r="126" spans="1:5" ht="18.75" customHeight="1" x14ac:dyDescent="0.15">
      <c r="A126" s="83"/>
      <c r="B126" s="236"/>
      <c r="C126" s="237"/>
      <c r="D126" s="237"/>
      <c r="E126" s="238"/>
    </row>
    <row r="127" spans="1:5" ht="18.75" customHeight="1" x14ac:dyDescent="0.15">
      <c r="A127" s="83"/>
      <c r="B127" s="236"/>
      <c r="C127" s="237"/>
      <c r="D127" s="237"/>
      <c r="E127" s="238"/>
    </row>
    <row r="128" spans="1:5" ht="18.75" customHeight="1" x14ac:dyDescent="0.15">
      <c r="A128" s="83"/>
      <c r="B128" s="236"/>
      <c r="C128" s="237"/>
      <c r="D128" s="237"/>
      <c r="E128" s="238"/>
    </row>
    <row r="129" spans="1:5" ht="18.75" customHeight="1" x14ac:dyDescent="0.15">
      <c r="A129" s="83"/>
      <c r="B129" s="236"/>
      <c r="C129" s="237"/>
      <c r="D129" s="237"/>
      <c r="E129" s="238"/>
    </row>
    <row r="130" spans="1:5" ht="18.75" customHeight="1" x14ac:dyDescent="0.15">
      <c r="A130" s="83"/>
      <c r="B130" s="236"/>
      <c r="C130" s="237"/>
      <c r="D130" s="237"/>
      <c r="E130" s="238"/>
    </row>
    <row r="131" spans="1:5" ht="18.75" customHeight="1" x14ac:dyDescent="0.15">
      <c r="A131" s="83"/>
      <c r="B131" s="236"/>
      <c r="C131" s="237"/>
      <c r="D131" s="237"/>
      <c r="E131" s="238"/>
    </row>
    <row r="132" spans="1:5" ht="18.75" customHeight="1" x14ac:dyDescent="0.15">
      <c r="A132" s="83"/>
      <c r="B132" s="236"/>
      <c r="C132" s="237"/>
      <c r="D132" s="237"/>
      <c r="E132" s="238"/>
    </row>
    <row r="133" spans="1:5" ht="18.75" customHeight="1" x14ac:dyDescent="0.15">
      <c r="A133" s="83"/>
      <c r="B133" s="239"/>
      <c r="C133" s="240"/>
      <c r="D133" s="240"/>
      <c r="E133" s="241"/>
    </row>
    <row r="134" spans="1:5" ht="7.5" customHeight="1" x14ac:dyDescent="0.15">
      <c r="A134" s="83"/>
      <c r="B134" s="84"/>
      <c r="C134" s="84"/>
      <c r="D134" s="84"/>
      <c r="E134" s="84"/>
    </row>
    <row r="135" spans="1:5" ht="18.75" customHeight="1" x14ac:dyDescent="0.15">
      <c r="A135" s="83"/>
      <c r="B135" s="83"/>
      <c r="C135" s="83"/>
      <c r="D135" s="83"/>
      <c r="E135" s="83"/>
    </row>
    <row r="136" spans="1:5" ht="18.75" customHeight="1" x14ac:dyDescent="0.15">
      <c r="A136" s="83"/>
      <c r="B136" s="83"/>
      <c r="C136" s="83"/>
      <c r="D136" s="83"/>
      <c r="E136" s="83"/>
    </row>
    <row r="137" spans="1:5" ht="18.75" customHeight="1" x14ac:dyDescent="0.15">
      <c r="A137" s="83"/>
      <c r="B137" s="83"/>
      <c r="C137" s="83"/>
      <c r="D137" s="83"/>
      <c r="E137" s="83"/>
    </row>
    <row r="138" spans="1:5" ht="18.75" customHeight="1" x14ac:dyDescent="0.15">
      <c r="A138" s="83"/>
      <c r="B138" s="83"/>
      <c r="C138" s="83"/>
      <c r="D138" s="83"/>
      <c r="E138" s="83"/>
    </row>
    <row r="139" spans="1:5" ht="18.75" customHeight="1" x14ac:dyDescent="0.15">
      <c r="A139" s="83"/>
      <c r="B139" s="83"/>
      <c r="C139" s="83"/>
      <c r="D139" s="83"/>
      <c r="E139" s="83"/>
    </row>
    <row r="140" spans="1:5" ht="18.75" customHeight="1" x14ac:dyDescent="0.15">
      <c r="A140" s="83"/>
      <c r="B140" s="83"/>
      <c r="C140" s="83"/>
      <c r="D140" s="83"/>
      <c r="E140" s="83"/>
    </row>
    <row r="141" spans="1:5" ht="18.75" customHeight="1" x14ac:dyDescent="0.15">
      <c r="A141" s="83"/>
      <c r="B141" s="83"/>
      <c r="C141" s="83"/>
      <c r="D141" s="83"/>
      <c r="E141" s="83"/>
    </row>
    <row r="142" spans="1:5" ht="18.75" customHeight="1" x14ac:dyDescent="0.15">
      <c r="A142" s="83"/>
      <c r="B142" s="83"/>
      <c r="C142" s="83"/>
      <c r="D142" s="83"/>
      <c r="E142" s="83"/>
    </row>
    <row r="143" spans="1:5" ht="18.75" customHeight="1" x14ac:dyDescent="0.15">
      <c r="A143" s="83"/>
      <c r="B143" s="83"/>
      <c r="C143" s="83"/>
      <c r="D143" s="83"/>
      <c r="E143" s="83"/>
    </row>
    <row r="144" spans="1:5" ht="18.75" customHeight="1" x14ac:dyDescent="0.15">
      <c r="A144" s="83"/>
      <c r="B144" s="83"/>
      <c r="C144" s="83"/>
      <c r="D144" s="83"/>
      <c r="E144" s="83"/>
    </row>
    <row r="145" spans="1:5" ht="18.75" customHeight="1" x14ac:dyDescent="0.15">
      <c r="A145" s="83"/>
      <c r="B145" s="83"/>
      <c r="C145" s="83"/>
      <c r="D145" s="83"/>
      <c r="E145" s="83"/>
    </row>
    <row r="146" spans="1:5" ht="18.75" customHeight="1" x14ac:dyDescent="0.15">
      <c r="A146" s="83"/>
      <c r="B146" s="83"/>
      <c r="C146" s="83"/>
      <c r="D146" s="83"/>
      <c r="E146" s="83"/>
    </row>
    <row r="147" spans="1:5" ht="14.25" x14ac:dyDescent="0.15">
      <c r="A147" s="83"/>
      <c r="B147" s="83"/>
      <c r="C147" s="83"/>
      <c r="D147" s="83"/>
      <c r="E147" s="83"/>
    </row>
    <row r="148" spans="1:5" ht="7.5" customHeight="1" x14ac:dyDescent="0.15">
      <c r="A148" s="85"/>
      <c r="B148" s="85"/>
      <c r="C148" s="85"/>
      <c r="D148" s="85"/>
      <c r="E148" s="85"/>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Zeros="0" topLeftCell="A16" zoomScaleNormal="100" workbookViewId="0">
      <selection activeCell="S39" sqref="S39"/>
    </sheetView>
  </sheetViews>
  <sheetFormatPr defaultColWidth="11.375" defaultRowHeight="22.5" customHeight="1" x14ac:dyDescent="0.15"/>
  <cols>
    <col min="1" max="3" width="2.5" style="9" customWidth="1"/>
    <col min="4" max="4" width="22.5" style="9" customWidth="1"/>
    <col min="5" max="5" width="21.25" style="9" customWidth="1"/>
    <col min="6" max="7" width="7.5" style="9" customWidth="1"/>
    <col min="8" max="8" width="32.5" style="9" customWidth="1"/>
    <col min="9" max="9" width="24.875" style="9" customWidth="1"/>
    <col min="10" max="10" width="6.25" style="9" customWidth="1"/>
    <col min="11" max="11" width="4.125" style="9" customWidth="1"/>
    <col min="12" max="16384" width="11.375" style="9"/>
  </cols>
  <sheetData>
    <row r="1" spans="1:10" ht="18.75" customHeight="1" x14ac:dyDescent="0.15">
      <c r="J1" s="69" t="s">
        <v>9</v>
      </c>
    </row>
    <row r="2" spans="1:10" ht="18.75" customHeight="1" x14ac:dyDescent="0.15">
      <c r="D2" s="69"/>
      <c r="H2" s="69" t="s">
        <v>31</v>
      </c>
      <c r="I2" s="138" t="s">
        <v>136</v>
      </c>
      <c r="J2" s="138"/>
    </row>
    <row r="3" spans="1:10" ht="18.75" customHeight="1" x14ac:dyDescent="0.15">
      <c r="A3" s="119" t="s">
        <v>50</v>
      </c>
      <c r="B3" s="119"/>
      <c r="C3" s="119"/>
      <c r="D3" s="119"/>
      <c r="E3" s="119"/>
      <c r="F3" s="119"/>
      <c r="G3" s="119"/>
      <c r="H3" s="119"/>
      <c r="I3" s="119"/>
      <c r="J3" s="119"/>
    </row>
    <row r="4" spans="1:10" ht="7.5" customHeight="1" x14ac:dyDescent="0.15">
      <c r="B4" s="86"/>
      <c r="C4" s="86"/>
      <c r="D4" s="262"/>
      <c r="E4" s="262"/>
      <c r="F4" s="262"/>
      <c r="G4" s="262"/>
      <c r="H4" s="262"/>
      <c r="I4" s="262"/>
      <c r="J4" s="262"/>
    </row>
    <row r="5" spans="1:10" ht="18.75" customHeight="1" x14ac:dyDescent="0.15">
      <c r="A5" s="9" t="s">
        <v>7</v>
      </c>
      <c r="B5" s="11" t="s">
        <v>48</v>
      </c>
      <c r="C5" s="86"/>
      <c r="D5" s="86"/>
      <c r="E5" s="86"/>
      <c r="F5" s="86"/>
      <c r="G5" s="86"/>
      <c r="H5" s="86"/>
      <c r="I5" s="86"/>
      <c r="J5" s="86"/>
    </row>
    <row r="6" spans="1:10" ht="18.75" customHeight="1" x14ac:dyDescent="0.15">
      <c r="B6" s="108" t="s">
        <v>45</v>
      </c>
      <c r="C6" s="109"/>
      <c r="D6" s="110"/>
      <c r="E6" s="109" t="s">
        <v>47</v>
      </c>
      <c r="F6" s="109"/>
      <c r="G6" s="109"/>
      <c r="H6" s="109"/>
      <c r="I6" s="109"/>
      <c r="J6" s="110"/>
    </row>
    <row r="7" spans="1:10" ht="18.75" customHeight="1" x14ac:dyDescent="0.15">
      <c r="B7" s="15" t="s">
        <v>35</v>
      </c>
      <c r="C7" s="83"/>
      <c r="D7" s="87"/>
      <c r="E7" s="17"/>
      <c r="F7" s="17"/>
      <c r="G7" s="17"/>
      <c r="H7" s="17"/>
      <c r="I7" s="83"/>
      <c r="J7" s="87"/>
    </row>
    <row r="8" spans="1:10" ht="202.5" customHeight="1" x14ac:dyDescent="0.15">
      <c r="B8" s="88"/>
      <c r="C8" s="248" t="s">
        <v>36</v>
      </c>
      <c r="D8" s="249"/>
      <c r="E8" s="261" t="s">
        <v>275</v>
      </c>
      <c r="F8" s="250"/>
      <c r="G8" s="250"/>
      <c r="H8" s="250"/>
      <c r="I8" s="250"/>
      <c r="J8" s="251"/>
    </row>
    <row r="9" spans="1:10" ht="202.5" customHeight="1" x14ac:dyDescent="0.15">
      <c r="B9" s="88"/>
      <c r="C9" s="246" t="s">
        <v>37</v>
      </c>
      <c r="D9" s="247"/>
      <c r="E9" s="261" t="s">
        <v>276</v>
      </c>
      <c r="F9" s="250"/>
      <c r="G9" s="250"/>
      <c r="H9" s="250"/>
      <c r="I9" s="250"/>
      <c r="J9" s="251"/>
    </row>
    <row r="10" spans="1:10" ht="172.5" customHeight="1" x14ac:dyDescent="0.15">
      <c r="B10" s="88"/>
      <c r="C10" s="248" t="s">
        <v>38</v>
      </c>
      <c r="D10" s="249"/>
      <c r="E10" s="261" t="s">
        <v>283</v>
      </c>
      <c r="F10" s="250"/>
      <c r="G10" s="250"/>
      <c r="H10" s="250"/>
      <c r="I10" s="250"/>
      <c r="J10" s="251"/>
    </row>
    <row r="11" spans="1:10" ht="172.5" customHeight="1" x14ac:dyDescent="0.15">
      <c r="B11" s="88"/>
      <c r="C11" s="248" t="s">
        <v>39</v>
      </c>
      <c r="D11" s="249"/>
      <c r="E11" s="261" t="s">
        <v>277</v>
      </c>
      <c r="F11" s="250"/>
      <c r="G11" s="250"/>
      <c r="H11" s="250"/>
      <c r="I11" s="250"/>
      <c r="J11" s="251"/>
    </row>
    <row r="12" spans="1:10" ht="172.5" customHeight="1" x14ac:dyDescent="0.15">
      <c r="B12" s="88"/>
      <c r="C12" s="248" t="s">
        <v>40</v>
      </c>
      <c r="D12" s="249"/>
      <c r="E12" s="261" t="s">
        <v>278</v>
      </c>
      <c r="F12" s="250"/>
      <c r="G12" s="250"/>
      <c r="H12" s="250"/>
      <c r="I12" s="250"/>
      <c r="J12" s="251"/>
    </row>
    <row r="13" spans="1:10" ht="18.75" customHeight="1" x14ac:dyDescent="0.15">
      <c r="B13" s="89" t="s">
        <v>41</v>
      </c>
      <c r="C13" s="90"/>
      <c r="D13" s="91"/>
      <c r="E13" s="92"/>
      <c r="F13" s="92"/>
      <c r="G13" s="92"/>
      <c r="H13" s="92"/>
      <c r="I13" s="92"/>
      <c r="J13" s="93"/>
    </row>
    <row r="14" spans="1:10" ht="255" customHeight="1" x14ac:dyDescent="0.15">
      <c r="B14" s="88"/>
      <c r="C14" s="248" t="s">
        <v>42</v>
      </c>
      <c r="D14" s="249"/>
      <c r="E14" s="250" t="s">
        <v>279</v>
      </c>
      <c r="F14" s="250"/>
      <c r="G14" s="250"/>
      <c r="H14" s="250"/>
      <c r="I14" s="250"/>
      <c r="J14" s="251"/>
    </row>
    <row r="15" spans="1:10" ht="255" customHeight="1" x14ac:dyDescent="0.15">
      <c r="B15" s="88"/>
      <c r="C15" s="252" t="s">
        <v>43</v>
      </c>
      <c r="D15" s="253"/>
      <c r="E15" s="254" t="s">
        <v>280</v>
      </c>
      <c r="F15" s="254"/>
      <c r="G15" s="254"/>
      <c r="H15" s="254"/>
      <c r="I15" s="254"/>
      <c r="J15" s="255"/>
    </row>
    <row r="16" spans="1:10" ht="232.5" customHeight="1" x14ac:dyDescent="0.15">
      <c r="B16" s="256" t="s">
        <v>44</v>
      </c>
      <c r="C16" s="257"/>
      <c r="D16" s="249"/>
      <c r="E16" s="250" t="s">
        <v>281</v>
      </c>
      <c r="F16" s="250"/>
      <c r="G16" s="250"/>
      <c r="H16" s="250"/>
      <c r="I16" s="250"/>
      <c r="J16" s="251"/>
    </row>
    <row r="17" spans="1:10" ht="232.5" customHeight="1" x14ac:dyDescent="0.15">
      <c r="A17" s="10"/>
      <c r="B17" s="243" t="s">
        <v>87</v>
      </c>
      <c r="C17" s="244"/>
      <c r="D17" s="245"/>
      <c r="E17" s="227" t="s">
        <v>282</v>
      </c>
      <c r="F17" s="227"/>
      <c r="G17" s="227"/>
      <c r="H17" s="227"/>
      <c r="I17" s="227"/>
      <c r="J17" s="228"/>
    </row>
    <row r="18" spans="1:10" ht="7.5" customHeight="1" x14ac:dyDescent="0.15">
      <c r="B18" s="86"/>
      <c r="C18" s="86"/>
      <c r="D18" s="86"/>
      <c r="E18" s="86"/>
      <c r="F18" s="86"/>
      <c r="G18" s="86"/>
      <c r="H18" s="86"/>
      <c r="I18" s="86"/>
      <c r="J18" s="86"/>
    </row>
    <row r="19" spans="1:10" ht="18.75" customHeight="1" x14ac:dyDescent="0.15">
      <c r="B19" s="11"/>
      <c r="C19" s="86"/>
      <c r="D19" s="86"/>
      <c r="E19" s="86"/>
      <c r="F19" s="94"/>
      <c r="G19" s="94"/>
      <c r="H19" s="95" t="s">
        <v>116</v>
      </c>
      <c r="I19" s="96"/>
      <c r="J19" s="97"/>
    </row>
    <row r="20" spans="1:10" ht="18.75" customHeight="1" x14ac:dyDescent="0.15">
      <c r="A20" s="17" t="s">
        <v>12</v>
      </c>
      <c r="B20" s="98" t="s">
        <v>49</v>
      </c>
      <c r="C20" s="99"/>
      <c r="D20" s="99"/>
      <c r="E20" s="99"/>
      <c r="F20" s="100" t="s">
        <v>317</v>
      </c>
      <c r="G20" s="94"/>
      <c r="H20" s="258" t="s">
        <v>295</v>
      </c>
      <c r="I20" s="259"/>
      <c r="J20" s="260"/>
    </row>
    <row r="21" spans="1:10" ht="22.5" customHeight="1" x14ac:dyDescent="0.15">
      <c r="B21" s="86"/>
      <c r="C21" s="86"/>
      <c r="D21" s="86"/>
      <c r="E21" s="86"/>
      <c r="F21" s="86"/>
      <c r="G21" s="86"/>
      <c r="H21" s="86"/>
      <c r="I21" s="86"/>
      <c r="J21" s="86"/>
    </row>
    <row r="22" spans="1:10" ht="22.5" customHeight="1" x14ac:dyDescent="0.15">
      <c r="B22" s="86"/>
      <c r="C22" s="86"/>
      <c r="D22" s="86"/>
      <c r="E22" s="86"/>
      <c r="F22" s="86"/>
      <c r="G22" s="86"/>
      <c r="H22" s="86"/>
      <c r="I22" s="86"/>
      <c r="J22" s="86"/>
    </row>
    <row r="23" spans="1:10" ht="22.5" customHeight="1" x14ac:dyDescent="0.15">
      <c r="B23" s="86"/>
      <c r="C23" s="86"/>
      <c r="D23" s="86"/>
      <c r="E23" s="86"/>
      <c r="F23" s="86"/>
      <c r="G23" s="86"/>
      <c r="H23" s="86"/>
      <c r="I23" s="86"/>
      <c r="J23" s="86"/>
    </row>
    <row r="24" spans="1:10" ht="22.5" customHeight="1" x14ac:dyDescent="0.15">
      <c r="B24" s="86"/>
      <c r="C24" s="86"/>
      <c r="D24" s="86"/>
      <c r="E24" s="86"/>
      <c r="F24" s="86"/>
      <c r="G24" s="86"/>
      <c r="H24" s="86"/>
      <c r="I24" s="86"/>
      <c r="J24" s="86"/>
    </row>
    <row r="25" spans="1:10" ht="22.5" customHeight="1" x14ac:dyDescent="0.15">
      <c r="B25" s="86"/>
      <c r="C25" s="86"/>
      <c r="D25" s="86"/>
      <c r="E25" s="86"/>
      <c r="F25" s="86"/>
      <c r="G25" s="86"/>
      <c r="H25" s="86"/>
      <c r="I25" s="86"/>
      <c r="J25" s="86"/>
    </row>
    <row r="26" spans="1:10" ht="22.5" customHeight="1" x14ac:dyDescent="0.15">
      <c r="B26" s="81"/>
      <c r="C26" s="81"/>
      <c r="D26" s="81"/>
      <c r="E26" s="81"/>
      <c r="F26" s="81"/>
      <c r="G26" s="81"/>
      <c r="H26" s="81"/>
      <c r="I26" s="81"/>
      <c r="J26" s="81"/>
    </row>
    <row r="27" spans="1:10" ht="22.5" customHeight="1" x14ac:dyDescent="0.15">
      <c r="B27" s="81"/>
      <c r="C27" s="81"/>
      <c r="D27" s="81"/>
      <c r="E27" s="81"/>
      <c r="F27" s="81"/>
      <c r="G27" s="81"/>
      <c r="H27" s="81"/>
      <c r="I27" s="81"/>
      <c r="J27" s="81"/>
    </row>
    <row r="28" spans="1:10" ht="22.5" customHeight="1" x14ac:dyDescent="0.15">
      <c r="B28" s="81"/>
      <c r="C28" s="81"/>
      <c r="D28" s="81"/>
      <c r="E28" s="81"/>
      <c r="F28" s="81"/>
      <c r="G28" s="81"/>
      <c r="H28" s="81"/>
      <c r="I28" s="81"/>
      <c r="J28" s="81"/>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1"/>
  <dataValidations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hyperlinks>
    <hyperlink ref="H20" r:id="rId1" xr:uid="{D09F3E78-2B99-477E-B08E-D2F5B184E84D}"/>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30"/>
  <sheetViews>
    <sheetView showZeros="0" workbookViewId="0">
      <selection sqref="A1:XFD1048576"/>
    </sheetView>
  </sheetViews>
  <sheetFormatPr defaultColWidth="11.375" defaultRowHeight="18.75" customHeight="1" x14ac:dyDescent="0.15"/>
  <cols>
    <col min="1" max="1" width="2.5" style="1" customWidth="1"/>
    <col min="2" max="2" width="15" style="1" customWidth="1"/>
    <col min="3" max="3" width="37.5" style="1" customWidth="1"/>
    <col min="4" max="4" width="1.25" style="1" customWidth="1"/>
    <col min="5" max="5" width="21.125" style="1" customWidth="1"/>
    <col min="6" max="6" width="8.75" style="1" customWidth="1"/>
    <col min="7" max="7" width="2.25" style="1" customWidth="1"/>
    <col min="8" max="8" width="2.125" style="1" customWidth="1"/>
    <col min="9" max="16384" width="11.375" style="1"/>
  </cols>
  <sheetData>
    <row r="1" spans="1:6" ht="18.75" customHeight="1" x14ac:dyDescent="0.15">
      <c r="E1" s="153" t="s">
        <v>16</v>
      </c>
      <c r="F1" s="153"/>
    </row>
    <row r="2" spans="1:6" ht="18.75" customHeight="1" x14ac:dyDescent="0.15">
      <c r="C2" s="5" t="s">
        <v>88</v>
      </c>
      <c r="D2" s="5" t="s">
        <v>8</v>
      </c>
      <c r="E2" s="194"/>
      <c r="F2" s="194"/>
    </row>
    <row r="3" spans="1:6" ht="7.5" customHeight="1" x14ac:dyDescent="0.15">
      <c r="C3" s="5"/>
      <c r="D3" s="5"/>
      <c r="E3" s="4"/>
      <c r="F3" s="4"/>
    </row>
    <row r="4" spans="1:6" ht="18.75" customHeight="1" x14ac:dyDescent="0.15">
      <c r="A4" s="163" t="s">
        <v>126</v>
      </c>
      <c r="B4" s="163"/>
      <c r="C4" s="163"/>
      <c r="D4" s="163"/>
      <c r="E4" s="163"/>
      <c r="F4" s="163"/>
    </row>
    <row r="5" spans="1:6" ht="7.5" customHeight="1" x14ac:dyDescent="0.15">
      <c r="A5" s="6"/>
      <c r="B5" s="6"/>
      <c r="C5" s="6"/>
      <c r="D5" s="6"/>
      <c r="E5" s="6"/>
      <c r="F5" s="6"/>
    </row>
    <row r="6" spans="1:6" ht="18.75" customHeight="1" x14ac:dyDescent="0.15">
      <c r="A6" s="6" t="s">
        <v>7</v>
      </c>
      <c r="B6" s="2" t="s">
        <v>33</v>
      </c>
      <c r="C6" s="6"/>
      <c r="D6" s="6"/>
      <c r="E6" s="6"/>
      <c r="F6" s="6"/>
    </row>
    <row r="7" spans="1:6" ht="18.75" customHeight="1" x14ac:dyDescent="0.15">
      <c r="A7" s="6"/>
      <c r="B7" s="263"/>
      <c r="C7" s="264"/>
      <c r="D7" s="264"/>
      <c r="E7" s="264"/>
      <c r="F7" s="265"/>
    </row>
    <row r="8" spans="1:6" ht="18.75" customHeight="1" x14ac:dyDescent="0.15">
      <c r="A8" s="32"/>
      <c r="B8" s="266"/>
      <c r="C8" s="267"/>
      <c r="D8" s="267"/>
      <c r="E8" s="267"/>
      <c r="F8" s="268"/>
    </row>
    <row r="9" spans="1:6" ht="18.75" customHeight="1" x14ac:dyDescent="0.15">
      <c r="A9" s="32"/>
      <c r="B9" s="266"/>
      <c r="C9" s="267"/>
      <c r="D9" s="267"/>
      <c r="E9" s="267"/>
      <c r="F9" s="268"/>
    </row>
    <row r="10" spans="1:6" ht="18.75" customHeight="1" x14ac:dyDescent="0.15">
      <c r="A10" s="32"/>
      <c r="B10" s="266"/>
      <c r="C10" s="267"/>
      <c r="D10" s="267"/>
      <c r="E10" s="267"/>
      <c r="F10" s="268"/>
    </row>
    <row r="11" spans="1:6" ht="18.75" customHeight="1" x14ac:dyDescent="0.15">
      <c r="A11" s="32"/>
      <c r="B11" s="266"/>
      <c r="C11" s="267"/>
      <c r="D11" s="267"/>
      <c r="E11" s="267"/>
      <c r="F11" s="268"/>
    </row>
    <row r="12" spans="1:6" ht="18.75" customHeight="1" x14ac:dyDescent="0.15">
      <c r="A12" s="32"/>
      <c r="B12" s="266"/>
      <c r="C12" s="267"/>
      <c r="D12" s="267"/>
      <c r="E12" s="267"/>
      <c r="F12" s="268"/>
    </row>
    <row r="13" spans="1:6" ht="18.75" customHeight="1" x14ac:dyDescent="0.15">
      <c r="A13" s="32"/>
      <c r="B13" s="266"/>
      <c r="C13" s="267"/>
      <c r="D13" s="267"/>
      <c r="E13" s="267"/>
      <c r="F13" s="268"/>
    </row>
    <row r="14" spans="1:6" ht="18.75" customHeight="1" x14ac:dyDescent="0.15">
      <c r="A14" s="32"/>
      <c r="B14" s="266"/>
      <c r="C14" s="267"/>
      <c r="D14" s="267"/>
      <c r="E14" s="267"/>
      <c r="F14" s="268"/>
    </row>
    <row r="15" spans="1:6" ht="18.75" customHeight="1" x14ac:dyDescent="0.15">
      <c r="A15" s="32"/>
      <c r="B15" s="266"/>
      <c r="C15" s="267"/>
      <c r="D15" s="267"/>
      <c r="E15" s="267"/>
      <c r="F15" s="268"/>
    </row>
    <row r="16" spans="1:6" ht="18.75" customHeight="1" x14ac:dyDescent="0.15">
      <c r="A16" s="32"/>
      <c r="B16" s="266"/>
      <c r="C16" s="267"/>
      <c r="D16" s="267"/>
      <c r="E16" s="267"/>
      <c r="F16" s="268"/>
    </row>
    <row r="17" spans="1:6" ht="18.75" customHeight="1" x14ac:dyDescent="0.15">
      <c r="A17" s="32"/>
      <c r="B17" s="266"/>
      <c r="C17" s="267"/>
      <c r="D17" s="267"/>
      <c r="E17" s="267"/>
      <c r="F17" s="268"/>
    </row>
    <row r="18" spans="1:6" ht="18.75" customHeight="1" x14ac:dyDescent="0.15">
      <c r="A18" s="32"/>
      <c r="B18" s="266"/>
      <c r="C18" s="267"/>
      <c r="D18" s="267"/>
      <c r="E18" s="267"/>
      <c r="F18" s="268"/>
    </row>
    <row r="19" spans="1:6" ht="18.75" customHeight="1" x14ac:dyDescent="0.15">
      <c r="A19" s="32"/>
      <c r="B19" s="266"/>
      <c r="C19" s="267"/>
      <c r="D19" s="267"/>
      <c r="E19" s="267"/>
      <c r="F19" s="268"/>
    </row>
    <row r="20" spans="1:6" ht="18.75" customHeight="1" x14ac:dyDescent="0.15">
      <c r="A20" s="32"/>
      <c r="B20" s="266"/>
      <c r="C20" s="267"/>
      <c r="D20" s="267"/>
      <c r="E20" s="267"/>
      <c r="F20" s="268"/>
    </row>
    <row r="21" spans="1:6" ht="18.75" customHeight="1" x14ac:dyDescent="0.15">
      <c r="A21" s="32"/>
      <c r="B21" s="266"/>
      <c r="C21" s="267"/>
      <c r="D21" s="267"/>
      <c r="E21" s="267"/>
      <c r="F21" s="268"/>
    </row>
    <row r="22" spans="1:6" ht="18.75" customHeight="1" x14ac:dyDescent="0.15">
      <c r="A22" s="32"/>
      <c r="B22" s="266"/>
      <c r="C22" s="267"/>
      <c r="D22" s="267"/>
      <c r="E22" s="267"/>
      <c r="F22" s="268"/>
    </row>
    <row r="23" spans="1:6" ht="18.75" customHeight="1" x14ac:dyDescent="0.15">
      <c r="A23" s="32"/>
      <c r="B23" s="266"/>
      <c r="C23" s="267"/>
      <c r="D23" s="267"/>
      <c r="E23" s="267"/>
      <c r="F23" s="268"/>
    </row>
    <row r="24" spans="1:6" ht="18.75" customHeight="1" x14ac:dyDescent="0.15">
      <c r="A24" s="32"/>
      <c r="B24" s="266"/>
      <c r="C24" s="267"/>
      <c r="D24" s="267"/>
      <c r="E24" s="267"/>
      <c r="F24" s="268"/>
    </row>
    <row r="25" spans="1:6" ht="18.75" customHeight="1" x14ac:dyDescent="0.15">
      <c r="A25" s="32"/>
      <c r="B25" s="266"/>
      <c r="C25" s="267"/>
      <c r="D25" s="267"/>
      <c r="E25" s="267"/>
      <c r="F25" s="268"/>
    </row>
    <row r="26" spans="1:6" ht="18.75" customHeight="1" x14ac:dyDescent="0.15">
      <c r="A26" s="32"/>
      <c r="B26" s="266"/>
      <c r="C26" s="267"/>
      <c r="D26" s="267"/>
      <c r="E26" s="267"/>
      <c r="F26" s="268"/>
    </row>
    <row r="27" spans="1:6" ht="18.75" customHeight="1" x14ac:dyDescent="0.15">
      <c r="A27" s="32"/>
      <c r="B27" s="266"/>
      <c r="C27" s="267"/>
      <c r="D27" s="267"/>
      <c r="E27" s="267"/>
      <c r="F27" s="268"/>
    </row>
    <row r="28" spans="1:6" ht="18.75" customHeight="1" x14ac:dyDescent="0.15">
      <c r="A28" s="6"/>
      <c r="B28" s="266"/>
      <c r="C28" s="267"/>
      <c r="D28" s="267"/>
      <c r="E28" s="267"/>
      <c r="F28" s="268"/>
    </row>
    <row r="29" spans="1:6" ht="18.75" customHeight="1" x14ac:dyDescent="0.15">
      <c r="A29" s="6"/>
      <c r="B29" s="266"/>
      <c r="C29" s="267"/>
      <c r="D29" s="267"/>
      <c r="E29" s="267"/>
      <c r="F29" s="268"/>
    </row>
    <row r="30" spans="1:6" ht="18.75" customHeight="1" x14ac:dyDescent="0.15">
      <c r="A30" s="6"/>
      <c r="B30" s="266"/>
      <c r="C30" s="267"/>
      <c r="D30" s="267"/>
      <c r="E30" s="267"/>
      <c r="F30" s="268"/>
    </row>
    <row r="31" spans="1:6" ht="18.75" customHeight="1" x14ac:dyDescent="0.15">
      <c r="A31" s="6"/>
      <c r="B31" s="266"/>
      <c r="C31" s="267"/>
      <c r="D31" s="267"/>
      <c r="E31" s="267"/>
      <c r="F31" s="268"/>
    </row>
    <row r="32" spans="1:6" ht="18.75" customHeight="1" x14ac:dyDescent="0.15">
      <c r="A32" s="6"/>
      <c r="B32" s="266"/>
      <c r="C32" s="267"/>
      <c r="D32" s="267"/>
      <c r="E32" s="267"/>
      <c r="F32" s="268"/>
    </row>
    <row r="33" spans="1:6" ht="18.75" customHeight="1" x14ac:dyDescent="0.15">
      <c r="A33" s="6"/>
      <c r="B33" s="266"/>
      <c r="C33" s="267"/>
      <c r="D33" s="267"/>
      <c r="E33" s="267"/>
      <c r="F33" s="268"/>
    </row>
    <row r="34" spans="1:6" ht="18.75" customHeight="1" x14ac:dyDescent="0.15">
      <c r="A34" s="6"/>
      <c r="B34" s="266"/>
      <c r="C34" s="267"/>
      <c r="D34" s="267"/>
      <c r="E34" s="267"/>
      <c r="F34" s="268"/>
    </row>
    <row r="35" spans="1:6" ht="18.75" customHeight="1" x14ac:dyDescent="0.15">
      <c r="A35" s="6"/>
      <c r="B35" s="266"/>
      <c r="C35" s="267"/>
      <c r="D35" s="267"/>
      <c r="E35" s="267"/>
      <c r="F35" s="268"/>
    </row>
    <row r="36" spans="1:6" ht="18.75" customHeight="1" x14ac:dyDescent="0.15">
      <c r="A36" s="6"/>
      <c r="B36" s="266"/>
      <c r="C36" s="267"/>
      <c r="D36" s="267"/>
      <c r="E36" s="267"/>
      <c r="F36" s="268"/>
    </row>
    <row r="37" spans="1:6" ht="18.75" customHeight="1" x14ac:dyDescent="0.15">
      <c r="A37" s="6"/>
      <c r="B37" s="266"/>
      <c r="C37" s="267"/>
      <c r="D37" s="267"/>
      <c r="E37" s="267"/>
      <c r="F37" s="268"/>
    </row>
    <row r="38" spans="1:6" ht="18.75" customHeight="1" x14ac:dyDescent="0.15">
      <c r="A38" s="6"/>
      <c r="B38" s="266"/>
      <c r="C38" s="267"/>
      <c r="D38" s="267"/>
      <c r="E38" s="267"/>
      <c r="F38" s="268"/>
    </row>
    <row r="39" spans="1:6" ht="18.75" customHeight="1" x14ac:dyDescent="0.15">
      <c r="A39" s="6"/>
      <c r="B39" s="266"/>
      <c r="C39" s="267"/>
      <c r="D39" s="267"/>
      <c r="E39" s="267"/>
      <c r="F39" s="268"/>
    </row>
    <row r="40" spans="1:6" ht="18.75" customHeight="1" x14ac:dyDescent="0.15">
      <c r="A40" s="6"/>
      <c r="B40" s="266"/>
      <c r="C40" s="267"/>
      <c r="D40" s="267"/>
      <c r="E40" s="267"/>
      <c r="F40" s="268"/>
    </row>
    <row r="41" spans="1:6" ht="18.75" customHeight="1" x14ac:dyDescent="0.15">
      <c r="A41" s="6"/>
      <c r="B41" s="266"/>
      <c r="C41" s="267"/>
      <c r="D41" s="267"/>
      <c r="E41" s="267"/>
      <c r="F41" s="268"/>
    </row>
    <row r="42" spans="1:6" ht="18.75" customHeight="1" x14ac:dyDescent="0.15">
      <c r="A42" s="6"/>
      <c r="B42" s="266"/>
      <c r="C42" s="267"/>
      <c r="D42" s="267"/>
      <c r="E42" s="267"/>
      <c r="F42" s="268"/>
    </row>
    <row r="43" spans="1:6" ht="18.75" customHeight="1" x14ac:dyDescent="0.15">
      <c r="A43" s="6"/>
      <c r="B43" s="266"/>
      <c r="C43" s="267"/>
      <c r="D43" s="267"/>
      <c r="E43" s="267"/>
      <c r="F43" s="268"/>
    </row>
    <row r="44" spans="1:6" ht="18.75" customHeight="1" x14ac:dyDescent="0.15">
      <c r="A44" s="6"/>
      <c r="B44" s="269"/>
      <c r="C44" s="270"/>
      <c r="D44" s="270"/>
      <c r="E44" s="270"/>
      <c r="F44" s="271"/>
    </row>
    <row r="45" spans="1:6" ht="18.75" customHeight="1" x14ac:dyDescent="0.15">
      <c r="A45" s="6" t="s">
        <v>12</v>
      </c>
      <c r="B45" s="2" t="s">
        <v>93</v>
      </c>
      <c r="C45" s="6"/>
      <c r="D45" s="6"/>
      <c r="E45" s="6"/>
      <c r="F45" s="6"/>
    </row>
    <row r="46" spans="1:6" ht="18.75" customHeight="1" x14ac:dyDescent="0.15">
      <c r="A46" s="6"/>
      <c r="B46" s="263"/>
      <c r="C46" s="264"/>
      <c r="D46" s="264"/>
      <c r="E46" s="264"/>
      <c r="F46" s="265"/>
    </row>
    <row r="47" spans="1:6" ht="18.75" customHeight="1" x14ac:dyDescent="0.15">
      <c r="A47" s="32"/>
      <c r="B47" s="266"/>
      <c r="C47" s="267"/>
      <c r="D47" s="267"/>
      <c r="E47" s="267"/>
      <c r="F47" s="268"/>
    </row>
    <row r="48" spans="1:6" ht="18.75" customHeight="1" x14ac:dyDescent="0.15">
      <c r="A48" s="32"/>
      <c r="B48" s="266"/>
      <c r="C48" s="267"/>
      <c r="D48" s="267"/>
      <c r="E48" s="267"/>
      <c r="F48" s="268"/>
    </row>
    <row r="49" spans="1:6" ht="18.75" customHeight="1" x14ac:dyDescent="0.15">
      <c r="A49" s="32"/>
      <c r="B49" s="266"/>
      <c r="C49" s="267"/>
      <c r="D49" s="267"/>
      <c r="E49" s="267"/>
      <c r="F49" s="268"/>
    </row>
    <row r="50" spans="1:6" ht="18.75" customHeight="1" x14ac:dyDescent="0.15">
      <c r="A50" s="32"/>
      <c r="B50" s="266"/>
      <c r="C50" s="267"/>
      <c r="D50" s="267"/>
      <c r="E50" s="267"/>
      <c r="F50" s="268"/>
    </row>
    <row r="51" spans="1:6" ht="18.75" customHeight="1" x14ac:dyDescent="0.15">
      <c r="A51" s="32"/>
      <c r="B51" s="266"/>
      <c r="C51" s="267"/>
      <c r="D51" s="267"/>
      <c r="E51" s="267"/>
      <c r="F51" s="268"/>
    </row>
    <row r="52" spans="1:6" ht="18.75" customHeight="1" x14ac:dyDescent="0.15">
      <c r="A52" s="32"/>
      <c r="B52" s="266"/>
      <c r="C52" s="267"/>
      <c r="D52" s="267"/>
      <c r="E52" s="267"/>
      <c r="F52" s="268"/>
    </row>
    <row r="53" spans="1:6" ht="18.75" customHeight="1" x14ac:dyDescent="0.15">
      <c r="A53" s="32"/>
      <c r="B53" s="266"/>
      <c r="C53" s="267"/>
      <c r="D53" s="267"/>
      <c r="E53" s="267"/>
      <c r="F53" s="268"/>
    </row>
    <row r="54" spans="1:6" ht="18.75" customHeight="1" x14ac:dyDescent="0.15">
      <c r="A54" s="32"/>
      <c r="B54" s="266"/>
      <c r="C54" s="267"/>
      <c r="D54" s="267"/>
      <c r="E54" s="267"/>
      <c r="F54" s="268"/>
    </row>
    <row r="55" spans="1:6" ht="18.75" customHeight="1" x14ac:dyDescent="0.15">
      <c r="A55" s="32"/>
      <c r="B55" s="266"/>
      <c r="C55" s="267"/>
      <c r="D55" s="267"/>
      <c r="E55" s="267"/>
      <c r="F55" s="268"/>
    </row>
    <row r="56" spans="1:6" ht="18.75" customHeight="1" x14ac:dyDescent="0.15">
      <c r="A56" s="32"/>
      <c r="B56" s="266"/>
      <c r="C56" s="267"/>
      <c r="D56" s="267"/>
      <c r="E56" s="267"/>
      <c r="F56" s="268"/>
    </row>
    <row r="57" spans="1:6" ht="18.75" customHeight="1" x14ac:dyDescent="0.15">
      <c r="A57" s="32"/>
      <c r="B57" s="266"/>
      <c r="C57" s="267"/>
      <c r="D57" s="267"/>
      <c r="E57" s="267"/>
      <c r="F57" s="268"/>
    </row>
    <row r="58" spans="1:6" ht="18.75" customHeight="1" x14ac:dyDescent="0.15">
      <c r="A58" s="32"/>
      <c r="B58" s="266"/>
      <c r="C58" s="267"/>
      <c r="D58" s="267"/>
      <c r="E58" s="267"/>
      <c r="F58" s="268"/>
    </row>
    <row r="59" spans="1:6" ht="18.75" customHeight="1" x14ac:dyDescent="0.15">
      <c r="A59" s="32"/>
      <c r="B59" s="266"/>
      <c r="C59" s="267"/>
      <c r="D59" s="267"/>
      <c r="E59" s="267"/>
      <c r="F59" s="268"/>
    </row>
    <row r="60" spans="1:6" ht="18.75" customHeight="1" x14ac:dyDescent="0.15">
      <c r="A60" s="32"/>
      <c r="B60" s="266"/>
      <c r="C60" s="267"/>
      <c r="D60" s="267"/>
      <c r="E60" s="267"/>
      <c r="F60" s="268"/>
    </row>
    <row r="61" spans="1:6" ht="18.75" customHeight="1" x14ac:dyDescent="0.15">
      <c r="A61" s="32"/>
      <c r="B61" s="266"/>
      <c r="C61" s="267"/>
      <c r="D61" s="267"/>
      <c r="E61" s="267"/>
      <c r="F61" s="268"/>
    </row>
    <row r="62" spans="1:6" ht="18.75" customHeight="1" x14ac:dyDescent="0.15">
      <c r="A62" s="32"/>
      <c r="B62" s="266"/>
      <c r="C62" s="267"/>
      <c r="D62" s="267"/>
      <c r="E62" s="267"/>
      <c r="F62" s="268"/>
    </row>
    <row r="63" spans="1:6" ht="18.75" customHeight="1" x14ac:dyDescent="0.15">
      <c r="A63" s="32"/>
      <c r="B63" s="266"/>
      <c r="C63" s="267"/>
      <c r="D63" s="267"/>
      <c r="E63" s="267"/>
      <c r="F63" s="268"/>
    </row>
    <row r="64" spans="1:6" ht="18.75" customHeight="1" x14ac:dyDescent="0.15">
      <c r="A64" s="32"/>
      <c r="B64" s="266"/>
      <c r="C64" s="267"/>
      <c r="D64" s="267"/>
      <c r="E64" s="267"/>
      <c r="F64" s="268"/>
    </row>
    <row r="65" spans="1:6" ht="18.75" customHeight="1" x14ac:dyDescent="0.15">
      <c r="A65" s="32"/>
      <c r="B65" s="266"/>
      <c r="C65" s="267"/>
      <c r="D65" s="267"/>
      <c r="E65" s="267"/>
      <c r="F65" s="268"/>
    </row>
    <row r="66" spans="1:6" ht="18.75" customHeight="1" x14ac:dyDescent="0.15">
      <c r="A66" s="32"/>
      <c r="B66" s="266"/>
      <c r="C66" s="267"/>
      <c r="D66" s="267"/>
      <c r="E66" s="267"/>
      <c r="F66" s="268"/>
    </row>
    <row r="67" spans="1:6" ht="18.75" customHeight="1" x14ac:dyDescent="0.15">
      <c r="A67" s="32"/>
      <c r="B67" s="266"/>
      <c r="C67" s="267"/>
      <c r="D67" s="267"/>
      <c r="E67" s="267"/>
      <c r="F67" s="268"/>
    </row>
    <row r="68" spans="1:6" ht="18.75" customHeight="1" x14ac:dyDescent="0.15">
      <c r="A68" s="32"/>
      <c r="B68" s="266"/>
      <c r="C68" s="267"/>
      <c r="D68" s="267"/>
      <c r="E68" s="267"/>
      <c r="F68" s="268"/>
    </row>
    <row r="69" spans="1:6" ht="18.75" customHeight="1" x14ac:dyDescent="0.15">
      <c r="A69" s="32"/>
      <c r="B69" s="266"/>
      <c r="C69" s="267"/>
      <c r="D69" s="267"/>
      <c r="E69" s="267"/>
      <c r="F69" s="268"/>
    </row>
    <row r="70" spans="1:6" ht="18.75" customHeight="1" x14ac:dyDescent="0.15">
      <c r="A70" s="6"/>
      <c r="B70" s="266"/>
      <c r="C70" s="267"/>
      <c r="D70" s="267"/>
      <c r="E70" s="267"/>
      <c r="F70" s="268"/>
    </row>
    <row r="71" spans="1:6" ht="18.75" customHeight="1" x14ac:dyDescent="0.15">
      <c r="A71" s="6"/>
      <c r="B71" s="266"/>
      <c r="C71" s="267"/>
      <c r="D71" s="267"/>
      <c r="E71" s="267"/>
      <c r="F71" s="268"/>
    </row>
    <row r="72" spans="1:6" ht="18.75" customHeight="1" x14ac:dyDescent="0.15">
      <c r="A72" s="6"/>
      <c r="B72" s="266"/>
      <c r="C72" s="267"/>
      <c r="D72" s="267"/>
      <c r="E72" s="267"/>
      <c r="F72" s="268"/>
    </row>
    <row r="73" spans="1:6" ht="18.75" customHeight="1" x14ac:dyDescent="0.15">
      <c r="A73" s="6"/>
      <c r="B73" s="266"/>
      <c r="C73" s="267"/>
      <c r="D73" s="267"/>
      <c r="E73" s="267"/>
      <c r="F73" s="268"/>
    </row>
    <row r="74" spans="1:6" ht="18.75" customHeight="1" x14ac:dyDescent="0.15">
      <c r="A74" s="6"/>
      <c r="B74" s="266"/>
      <c r="C74" s="267"/>
      <c r="D74" s="267"/>
      <c r="E74" s="267"/>
      <c r="F74" s="268"/>
    </row>
    <row r="75" spans="1:6" ht="18.75" customHeight="1" x14ac:dyDescent="0.15">
      <c r="A75" s="6"/>
      <c r="B75" s="266"/>
      <c r="C75" s="267"/>
      <c r="D75" s="267"/>
      <c r="E75" s="267"/>
      <c r="F75" s="268"/>
    </row>
    <row r="76" spans="1:6" ht="18.75" customHeight="1" x14ac:dyDescent="0.15">
      <c r="A76" s="6"/>
      <c r="B76" s="266"/>
      <c r="C76" s="267"/>
      <c r="D76" s="267"/>
      <c r="E76" s="267"/>
      <c r="F76" s="268"/>
    </row>
    <row r="77" spans="1:6" ht="18.75" customHeight="1" x14ac:dyDescent="0.15">
      <c r="A77" s="6"/>
      <c r="B77" s="266"/>
      <c r="C77" s="267"/>
      <c r="D77" s="267"/>
      <c r="E77" s="267"/>
      <c r="F77" s="268"/>
    </row>
    <row r="78" spans="1:6" ht="18.75" customHeight="1" x14ac:dyDescent="0.15">
      <c r="A78" s="6"/>
      <c r="B78" s="266"/>
      <c r="C78" s="267"/>
      <c r="D78" s="267"/>
      <c r="E78" s="267"/>
      <c r="F78" s="268"/>
    </row>
    <row r="79" spans="1:6" ht="18.75" customHeight="1" x14ac:dyDescent="0.15">
      <c r="A79" s="6"/>
      <c r="B79" s="266"/>
      <c r="C79" s="267"/>
      <c r="D79" s="267"/>
      <c r="E79" s="267"/>
      <c r="F79" s="268"/>
    </row>
    <row r="80" spans="1:6" ht="18.75" customHeight="1" x14ac:dyDescent="0.15">
      <c r="A80" s="6"/>
      <c r="B80" s="266"/>
      <c r="C80" s="267"/>
      <c r="D80" s="267"/>
      <c r="E80" s="267"/>
      <c r="F80" s="268"/>
    </row>
    <row r="81" spans="1:6" ht="18.75" customHeight="1" x14ac:dyDescent="0.15">
      <c r="A81" s="6"/>
      <c r="B81" s="266"/>
      <c r="C81" s="267"/>
      <c r="D81" s="267"/>
      <c r="E81" s="267"/>
      <c r="F81" s="268"/>
    </row>
    <row r="82" spans="1:6" ht="18.75" customHeight="1" x14ac:dyDescent="0.15">
      <c r="A82" s="6"/>
      <c r="B82" s="266"/>
      <c r="C82" s="267"/>
      <c r="D82" s="267"/>
      <c r="E82" s="267"/>
      <c r="F82" s="268"/>
    </row>
    <row r="83" spans="1:6" ht="18.75" customHeight="1" x14ac:dyDescent="0.15">
      <c r="A83" s="32"/>
      <c r="B83" s="266"/>
      <c r="C83" s="267"/>
      <c r="D83" s="267"/>
      <c r="E83" s="267"/>
      <c r="F83" s="268"/>
    </row>
    <row r="84" spans="1:6" ht="18.75" customHeight="1" x14ac:dyDescent="0.15">
      <c r="A84" s="6"/>
      <c r="B84" s="266"/>
      <c r="C84" s="267"/>
      <c r="D84" s="267"/>
      <c r="E84" s="267"/>
      <c r="F84" s="268"/>
    </row>
    <row r="85" spans="1:6" ht="18.75" customHeight="1" x14ac:dyDescent="0.15">
      <c r="A85" s="6"/>
      <c r="B85" s="266"/>
      <c r="C85" s="267"/>
      <c r="D85" s="267"/>
      <c r="E85" s="267"/>
      <c r="F85" s="268"/>
    </row>
    <row r="86" spans="1:6" ht="18.75" customHeight="1" x14ac:dyDescent="0.15">
      <c r="A86" s="6"/>
      <c r="B86" s="266"/>
      <c r="C86" s="267"/>
      <c r="D86" s="267"/>
      <c r="E86" s="267"/>
      <c r="F86" s="268"/>
    </row>
    <row r="87" spans="1:6" ht="18.75" customHeight="1" x14ac:dyDescent="0.15">
      <c r="A87" s="6"/>
      <c r="B87" s="269"/>
      <c r="C87" s="270"/>
      <c r="D87" s="270"/>
      <c r="E87" s="270"/>
      <c r="F87" s="271"/>
    </row>
    <row r="88" spans="1:6" s="3" customFormat="1" ht="18.75" customHeight="1" x14ac:dyDescent="0.15">
      <c r="A88" s="2" t="s">
        <v>13</v>
      </c>
      <c r="B88" s="2" t="s">
        <v>94</v>
      </c>
      <c r="C88" s="2"/>
      <c r="D88" s="2"/>
      <c r="E88" s="2"/>
      <c r="F88" s="2"/>
    </row>
    <row r="89" spans="1:6" ht="18.75" customHeight="1" x14ac:dyDescent="0.15">
      <c r="A89" s="6"/>
      <c r="B89" s="263"/>
      <c r="C89" s="264"/>
      <c r="D89" s="264"/>
      <c r="E89" s="264"/>
      <c r="F89" s="265"/>
    </row>
    <row r="90" spans="1:6" ht="18.75" customHeight="1" x14ac:dyDescent="0.15">
      <c r="A90" s="6"/>
      <c r="B90" s="266"/>
      <c r="C90" s="267"/>
      <c r="D90" s="267"/>
      <c r="E90" s="267"/>
      <c r="F90" s="268"/>
    </row>
    <row r="91" spans="1:6" ht="18.75" customHeight="1" x14ac:dyDescent="0.15">
      <c r="A91" s="32"/>
      <c r="B91" s="266"/>
      <c r="C91" s="267"/>
      <c r="D91" s="267"/>
      <c r="E91" s="267"/>
      <c r="F91" s="268"/>
    </row>
    <row r="92" spans="1:6" ht="18.75" customHeight="1" x14ac:dyDescent="0.15">
      <c r="A92" s="32"/>
      <c r="B92" s="266"/>
      <c r="C92" s="267"/>
      <c r="D92" s="267"/>
      <c r="E92" s="267"/>
      <c r="F92" s="268"/>
    </row>
    <row r="93" spans="1:6" ht="18.75" customHeight="1" x14ac:dyDescent="0.15">
      <c r="A93" s="32"/>
      <c r="B93" s="266"/>
      <c r="C93" s="267"/>
      <c r="D93" s="267"/>
      <c r="E93" s="267"/>
      <c r="F93" s="268"/>
    </row>
    <row r="94" spans="1:6" ht="18.75" customHeight="1" x14ac:dyDescent="0.15">
      <c r="A94" s="32"/>
      <c r="B94" s="266"/>
      <c r="C94" s="267"/>
      <c r="D94" s="267"/>
      <c r="E94" s="267"/>
      <c r="F94" s="268"/>
    </row>
    <row r="95" spans="1:6" ht="18.75" customHeight="1" x14ac:dyDescent="0.15">
      <c r="A95" s="32"/>
      <c r="B95" s="266"/>
      <c r="C95" s="267"/>
      <c r="D95" s="267"/>
      <c r="E95" s="267"/>
      <c r="F95" s="268"/>
    </row>
    <row r="96" spans="1:6" ht="18.75" customHeight="1" x14ac:dyDescent="0.15">
      <c r="A96" s="32"/>
      <c r="B96" s="266"/>
      <c r="C96" s="267"/>
      <c r="D96" s="267"/>
      <c r="E96" s="267"/>
      <c r="F96" s="268"/>
    </row>
    <row r="97" spans="1:6" ht="18.75" customHeight="1" x14ac:dyDescent="0.15">
      <c r="A97" s="32"/>
      <c r="B97" s="266"/>
      <c r="C97" s="267"/>
      <c r="D97" s="267"/>
      <c r="E97" s="267"/>
      <c r="F97" s="268"/>
    </row>
    <row r="98" spans="1:6" ht="18.75" customHeight="1" x14ac:dyDescent="0.15">
      <c r="A98" s="32"/>
      <c r="B98" s="266"/>
      <c r="C98" s="267"/>
      <c r="D98" s="267"/>
      <c r="E98" s="267"/>
      <c r="F98" s="268"/>
    </row>
    <row r="99" spans="1:6" ht="18.75" customHeight="1" x14ac:dyDescent="0.15">
      <c r="A99" s="32"/>
      <c r="B99" s="266"/>
      <c r="C99" s="267"/>
      <c r="D99" s="267"/>
      <c r="E99" s="267"/>
      <c r="F99" s="268"/>
    </row>
    <row r="100" spans="1:6" ht="18.75" customHeight="1" x14ac:dyDescent="0.15">
      <c r="A100" s="32"/>
      <c r="B100" s="266"/>
      <c r="C100" s="267"/>
      <c r="D100" s="267"/>
      <c r="E100" s="267"/>
      <c r="F100" s="268"/>
    </row>
    <row r="101" spans="1:6" ht="18.75" customHeight="1" x14ac:dyDescent="0.15">
      <c r="A101" s="32"/>
      <c r="B101" s="266"/>
      <c r="C101" s="267"/>
      <c r="D101" s="267"/>
      <c r="E101" s="267"/>
      <c r="F101" s="268"/>
    </row>
    <row r="102" spans="1:6" ht="18.75" customHeight="1" x14ac:dyDescent="0.15">
      <c r="A102" s="32"/>
      <c r="B102" s="266"/>
      <c r="C102" s="267"/>
      <c r="D102" s="267"/>
      <c r="E102" s="267"/>
      <c r="F102" s="268"/>
    </row>
    <row r="103" spans="1:6" ht="18.75" customHeight="1" x14ac:dyDescent="0.15">
      <c r="A103" s="32"/>
      <c r="B103" s="266"/>
      <c r="C103" s="267"/>
      <c r="D103" s="267"/>
      <c r="E103" s="267"/>
      <c r="F103" s="268"/>
    </row>
    <row r="104" spans="1:6" ht="18.75" customHeight="1" x14ac:dyDescent="0.15">
      <c r="A104" s="32"/>
      <c r="B104" s="266"/>
      <c r="C104" s="267"/>
      <c r="D104" s="267"/>
      <c r="E104" s="267"/>
      <c r="F104" s="268"/>
    </row>
    <row r="105" spans="1:6" ht="18.75" customHeight="1" x14ac:dyDescent="0.15">
      <c r="A105" s="32"/>
      <c r="B105" s="266"/>
      <c r="C105" s="267"/>
      <c r="D105" s="267"/>
      <c r="E105" s="267"/>
      <c r="F105" s="268"/>
    </row>
    <row r="106" spans="1:6" ht="18.75" customHeight="1" x14ac:dyDescent="0.15">
      <c r="A106" s="32"/>
      <c r="B106" s="266"/>
      <c r="C106" s="267"/>
      <c r="D106" s="267"/>
      <c r="E106" s="267"/>
      <c r="F106" s="268"/>
    </row>
    <row r="107" spans="1:6" ht="18.75" customHeight="1" x14ac:dyDescent="0.15">
      <c r="A107" s="32"/>
      <c r="B107" s="266"/>
      <c r="C107" s="267"/>
      <c r="D107" s="267"/>
      <c r="E107" s="267"/>
      <c r="F107" s="268"/>
    </row>
    <row r="108" spans="1:6" ht="18.75" customHeight="1" x14ac:dyDescent="0.15">
      <c r="A108" s="32"/>
      <c r="B108" s="266"/>
      <c r="C108" s="267"/>
      <c r="D108" s="267"/>
      <c r="E108" s="267"/>
      <c r="F108" s="268"/>
    </row>
    <row r="109" spans="1:6" ht="18.75" customHeight="1" x14ac:dyDescent="0.15">
      <c r="A109" s="32"/>
      <c r="B109" s="266"/>
      <c r="C109" s="267"/>
      <c r="D109" s="267"/>
      <c r="E109" s="267"/>
      <c r="F109" s="268"/>
    </row>
    <row r="110" spans="1:6" ht="18.75" customHeight="1" x14ac:dyDescent="0.15">
      <c r="A110" s="32"/>
      <c r="B110" s="266"/>
      <c r="C110" s="267"/>
      <c r="D110" s="267"/>
      <c r="E110" s="267"/>
      <c r="F110" s="268"/>
    </row>
    <row r="111" spans="1:6" ht="18.75" customHeight="1" x14ac:dyDescent="0.15">
      <c r="A111" s="32"/>
      <c r="B111" s="266"/>
      <c r="C111" s="267"/>
      <c r="D111" s="267"/>
      <c r="E111" s="267"/>
      <c r="F111" s="268"/>
    </row>
    <row r="112" spans="1:6" ht="18.75" customHeight="1" x14ac:dyDescent="0.15">
      <c r="A112" s="32"/>
      <c r="B112" s="266"/>
      <c r="C112" s="267"/>
      <c r="D112" s="267"/>
      <c r="E112" s="267"/>
      <c r="F112" s="268"/>
    </row>
    <row r="113" spans="1:6" ht="18.75" customHeight="1" x14ac:dyDescent="0.15">
      <c r="A113" s="32"/>
      <c r="B113" s="266"/>
      <c r="C113" s="267"/>
      <c r="D113" s="267"/>
      <c r="E113" s="267"/>
      <c r="F113" s="268"/>
    </row>
    <row r="114" spans="1:6" ht="18.75" customHeight="1" x14ac:dyDescent="0.15">
      <c r="A114" s="32"/>
      <c r="B114" s="266"/>
      <c r="C114" s="267"/>
      <c r="D114" s="267"/>
      <c r="E114" s="267"/>
      <c r="F114" s="268"/>
    </row>
    <row r="115" spans="1:6" ht="18.75" customHeight="1" x14ac:dyDescent="0.15">
      <c r="A115" s="6"/>
      <c r="B115" s="266"/>
      <c r="C115" s="267"/>
      <c r="D115" s="267"/>
      <c r="E115" s="267"/>
      <c r="F115" s="268"/>
    </row>
    <row r="116" spans="1:6" ht="18.75" customHeight="1" x14ac:dyDescent="0.15">
      <c r="A116" s="6"/>
      <c r="B116" s="266"/>
      <c r="C116" s="267"/>
      <c r="D116" s="267"/>
      <c r="E116" s="267"/>
      <c r="F116" s="268"/>
    </row>
    <row r="117" spans="1:6" ht="18.75" customHeight="1" x14ac:dyDescent="0.15">
      <c r="A117" s="6"/>
      <c r="B117" s="266"/>
      <c r="C117" s="267"/>
      <c r="D117" s="267"/>
      <c r="E117" s="267"/>
      <c r="F117" s="268"/>
    </row>
    <row r="118" spans="1:6" ht="18.75" customHeight="1" x14ac:dyDescent="0.15">
      <c r="A118" s="6"/>
      <c r="B118" s="266"/>
      <c r="C118" s="267"/>
      <c r="D118" s="267"/>
      <c r="E118" s="267"/>
      <c r="F118" s="268"/>
    </row>
    <row r="119" spans="1:6" ht="18.75" customHeight="1" x14ac:dyDescent="0.15">
      <c r="A119" s="6"/>
      <c r="B119" s="266"/>
      <c r="C119" s="267"/>
      <c r="D119" s="267"/>
      <c r="E119" s="267"/>
      <c r="F119" s="268"/>
    </row>
    <row r="120" spans="1:6" ht="18.75" customHeight="1" x14ac:dyDescent="0.15">
      <c r="A120" s="6"/>
      <c r="B120" s="266"/>
      <c r="C120" s="267"/>
      <c r="D120" s="267"/>
      <c r="E120" s="267"/>
      <c r="F120" s="268"/>
    </row>
    <row r="121" spans="1:6" ht="18.75" customHeight="1" x14ac:dyDescent="0.15">
      <c r="A121" s="6"/>
      <c r="B121" s="266"/>
      <c r="C121" s="267"/>
      <c r="D121" s="267"/>
      <c r="E121" s="267"/>
      <c r="F121" s="268"/>
    </row>
    <row r="122" spans="1:6" ht="18.75" customHeight="1" x14ac:dyDescent="0.15">
      <c r="A122" s="6"/>
      <c r="B122" s="266"/>
      <c r="C122" s="267"/>
      <c r="D122" s="267"/>
      <c r="E122" s="267"/>
      <c r="F122" s="268"/>
    </row>
    <row r="123" spans="1:6" ht="18.75" customHeight="1" x14ac:dyDescent="0.15">
      <c r="A123" s="6"/>
      <c r="B123" s="266"/>
      <c r="C123" s="267"/>
      <c r="D123" s="267"/>
      <c r="E123" s="267"/>
      <c r="F123" s="268"/>
    </row>
    <row r="124" spans="1:6" ht="18.75" customHeight="1" x14ac:dyDescent="0.15">
      <c r="A124" s="6"/>
      <c r="B124" s="266"/>
      <c r="C124" s="267"/>
      <c r="D124" s="267"/>
      <c r="E124" s="267"/>
      <c r="F124" s="268"/>
    </row>
    <row r="125" spans="1:6" ht="18.75" customHeight="1" x14ac:dyDescent="0.15">
      <c r="A125" s="6"/>
      <c r="B125" s="266"/>
      <c r="C125" s="267"/>
      <c r="D125" s="267"/>
      <c r="E125" s="267"/>
      <c r="F125" s="268"/>
    </row>
    <row r="126" spans="1:6" ht="18.75" customHeight="1" x14ac:dyDescent="0.15">
      <c r="A126" s="6"/>
      <c r="B126" s="266"/>
      <c r="C126" s="267"/>
      <c r="D126" s="267"/>
      <c r="E126" s="267"/>
      <c r="F126" s="268"/>
    </row>
    <row r="127" spans="1:6" ht="18.75" customHeight="1" x14ac:dyDescent="0.15">
      <c r="A127" s="6"/>
      <c r="B127" s="266"/>
      <c r="C127" s="267"/>
      <c r="D127" s="267"/>
      <c r="E127" s="267"/>
      <c r="F127" s="268"/>
    </row>
    <row r="128" spans="1:6" ht="18.75" customHeight="1" x14ac:dyDescent="0.15">
      <c r="A128" s="6"/>
      <c r="B128" s="266"/>
      <c r="C128" s="267"/>
      <c r="D128" s="267"/>
      <c r="E128" s="267"/>
      <c r="F128" s="268"/>
    </row>
    <row r="129" spans="1:6" ht="18.75" customHeight="1" x14ac:dyDescent="0.15">
      <c r="A129" s="6"/>
      <c r="B129" s="266"/>
      <c r="C129" s="267"/>
      <c r="D129" s="267"/>
      <c r="E129" s="267"/>
      <c r="F129" s="268"/>
    </row>
    <row r="130" spans="1:6" ht="18.75" customHeight="1" x14ac:dyDescent="0.15">
      <c r="A130" s="6"/>
      <c r="B130" s="269"/>
      <c r="C130" s="270"/>
      <c r="D130" s="270"/>
      <c r="E130" s="270"/>
      <c r="F130" s="271"/>
    </row>
  </sheetData>
  <mergeCells count="6">
    <mergeCell ref="B89:F130"/>
    <mergeCell ref="E1:F1"/>
    <mergeCell ref="E2:F2"/>
    <mergeCell ref="A4:F4"/>
    <mergeCell ref="B7:F44"/>
    <mergeCell ref="B46:F87"/>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7</vt:i4>
      </vt:variant>
    </vt:vector>
  </HeadingPairs>
  <TitlesOfParts>
    <vt:vector size="16" baseType="lpstr">
      <vt:lpstr>様式１　大学等概要</vt:lpstr>
      <vt:lpstr>様式２－１　プログラムを構成する授業科目</vt:lpstr>
      <vt:lpstr>様式２－２　プログラムを構成する授業科目</vt:lpstr>
      <vt:lpstr>様式３　履修者等数の実績</vt:lpstr>
      <vt:lpstr>様式4－１　プログラムの授業内容・概要</vt:lpstr>
      <vt:lpstr>様式4－２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rn05</cp:lastModifiedBy>
  <cp:lastPrinted>2021-07-14T02:27:01Z</cp:lastPrinted>
  <dcterms:created xsi:type="dcterms:W3CDTF">2011-06-14T05:32:50Z</dcterms:created>
  <dcterms:modified xsi:type="dcterms:W3CDTF">2021-07-14T02:27:17Z</dcterms:modified>
</cp:coreProperties>
</file>