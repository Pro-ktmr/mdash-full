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1"/>
  <workbookPr defaultThemeVersion="166925"/>
  <mc:AlternateContent xmlns:mc="http://schemas.openxmlformats.org/markup-compatibility/2006">
    <mc:Choice Requires="x15">
      <x15ac:absPath xmlns:x15ac="http://schemas.microsoft.com/office/spreadsheetml/2010/11/ac" url="W:\04本部\学務部\学務企画課\06.教務第一係\10010. 諸会議\900. その他会議等\05 数理・データサイエンスＴＦ\数理・データサイエンス・AI教育プログラム認定制度_リテラシーレベル\06.文科省再修正依頼\"/>
    </mc:Choice>
  </mc:AlternateContent>
  <xr:revisionPtr revIDLastSave="0" documentId="13_ncr:1_{9580B2C1-2B9A-47E1-B62B-B64A24BE9400}" xr6:coauthVersionLast="36" xr6:coauthVersionMax="47" xr10:uidLastSave="{00000000-0000-0000-0000-000000000000}"/>
  <bookViews>
    <workbookView xWindow="0" yWindow="0" windowWidth="16425" windowHeight="11430" tabRatio="500" firstSheet="9" activeTab="9" xr2:uid="{00000000-000D-0000-FFFF-FFFF00000000}"/>
  </bookViews>
  <sheets>
    <sheet name="様式１　大学等概要" sheetId="1" r:id="rId1"/>
    <sheet name="様式２－1　プログラムを構成する授業科目" sheetId="27" r:id="rId2"/>
    <sheet name="様式２－2　プログラムを構成する授業科目" sheetId="24" r:id="rId3"/>
    <sheet name="様式２－3　プログラムを構成する授業科目" sheetId="4" r:id="rId4"/>
    <sheet name="様式２－4　プログラムを構成する授業科目" sheetId="28" r:id="rId5"/>
    <sheet name="様式２－5　プログラムを構成する授業科目" sheetId="29" r:id="rId6"/>
    <sheet name="様式２－6　プログラムを構成する授業科目" sheetId="30" r:id="rId7"/>
    <sheet name="様式２－7　プログラムを構成する授業科目" sheetId="8" r:id="rId8"/>
    <sheet name="様式３　履修者等数の実績" sheetId="9" r:id="rId9"/>
    <sheet name="様式4－1　プログラムの授業内容・概要" sheetId="31" r:id="rId10"/>
    <sheet name="様式4－２　プログラムの授業内容・概要" sheetId="36" r:id="rId11"/>
    <sheet name="様式4－3　プログラムの授業内容・概要" sheetId="21" r:id="rId12"/>
    <sheet name="様式4－4　プログラムの授業内容・概要" sheetId="32" r:id="rId13"/>
    <sheet name="様式4－5　プログラムの授業内容・概要" sheetId="33" r:id="rId14"/>
    <sheet name="様式4－6　プログラムの授業内容・概要" sheetId="34" r:id="rId15"/>
    <sheet name="様式4－7　プログラムの授業内容・概要" sheetId="35" r:id="rId16"/>
    <sheet name="様式５　教育の質・履修者数を向上させるための体制・計画" sheetId="25" r:id="rId17"/>
    <sheet name="様式６　自己点検・評価" sheetId="26" r:id="rId18"/>
    <sheet name="様式７　特色ある取組" sheetId="19" r:id="rId19"/>
  </sheets>
  <definedNames>
    <definedName name="_xlnm._FilterDatabase" localSheetId="1">'様式２－1　プログラムを構成する授業科目'!#REF!</definedName>
    <definedName name="_xlnm._FilterDatabase" localSheetId="2">'様式２－2　プログラムを構成する授業科目'!#REF!</definedName>
    <definedName name="_xlnm._FilterDatabase" localSheetId="3">'様式２－3　プログラムを構成する授業科目'!#REF!</definedName>
    <definedName name="_xlnm._FilterDatabase" localSheetId="4">'様式２－4　プログラムを構成する授業科目'!#REF!</definedName>
    <definedName name="_xlnm._FilterDatabase" localSheetId="5">'様式２－5　プログラムを構成する授業科目'!#REF!</definedName>
    <definedName name="_xlnm._FilterDatabase" localSheetId="6">'様式２－6　プログラムを構成する授業科目'!#REF!</definedName>
    <definedName name="_xlnm._FilterDatabase" localSheetId="7">'様式２－7　プログラムを構成する授業科目'!#REF!</definedName>
    <definedName name="_xlnm._FilterDatabase" localSheetId="8">'様式３　履修者等数の実績'!#REF!</definedName>
    <definedName name="_xlnm.Print_Area" localSheetId="0">'様式１　大学等概要'!$A$1:$N$47</definedName>
    <definedName name="_xlnm.Print_Area" localSheetId="1">'様式２－1　プログラムを構成する授業科目'!$A$1:$I$44</definedName>
    <definedName name="_xlnm.Print_Area" localSheetId="2">'様式２－2　プログラムを構成する授業科目'!$A$1:$I$44</definedName>
    <definedName name="_xlnm.Print_Area" localSheetId="3">'様式２－3　プログラムを構成する授業科目'!$A$1:$I$44</definedName>
    <definedName name="_xlnm.Print_Area" localSheetId="4">'様式２－4　プログラムを構成する授業科目'!$A$1:$I$44</definedName>
    <definedName name="_xlnm.Print_Area" localSheetId="5">'様式２－5　プログラムを構成する授業科目'!$A$1:$I$44</definedName>
    <definedName name="_xlnm.Print_Area" localSheetId="6">'様式２－6　プログラムを構成する授業科目'!$A$1:$I$44</definedName>
    <definedName name="_xlnm.Print_Area" localSheetId="7">'様式２－7　プログラムを構成する授業科目'!$A$1:$I$44</definedName>
    <definedName name="_xlnm.Print_Area" localSheetId="8">'様式３　履修者等数の実績'!$A$1:$R$29</definedName>
    <definedName name="_xlnm.Print_Area" localSheetId="9">'様式4－1　プログラムの授業内容・概要'!$A$1:$H$144</definedName>
    <definedName name="_xlnm.Print_Area" localSheetId="10">'様式4－２　プログラムの授業内容・概要'!$A$1:$H$144</definedName>
    <definedName name="_xlnm.Print_Area" localSheetId="11">'様式4－3　プログラムの授業内容・概要'!$A$1:$H$144</definedName>
    <definedName name="_xlnm.Print_Area" localSheetId="12">'様式4－4　プログラムの授業内容・概要'!$A$1:$H$144</definedName>
    <definedName name="_xlnm.Print_Area" localSheetId="13">'様式4－5　プログラムの授業内容・概要'!$A$1:$H$144</definedName>
    <definedName name="_xlnm.Print_Area" localSheetId="14">'様式4－6　プログラムの授業内容・概要'!$A$1:$H$144</definedName>
    <definedName name="_xlnm.Print_Area" localSheetId="15">'様式4－7　プログラムの授業内容・概要'!$A$1:$G$144</definedName>
    <definedName name="_xlnm.Print_Area" localSheetId="16">'様式５　教育の質・履修者数を向上させるための体制・計画'!$A$1:$E$134</definedName>
    <definedName name="_xlnm.Print_Area" localSheetId="17">'様式６　自己点検・評価'!$A$1:$J$20</definedName>
    <definedName name="_xlnm.Print_Area" localSheetId="18">'様式７　特色ある取組'!$A$1:$F$130</definedName>
  </definedNames>
  <calcPr calcId="191028"/>
  <extLst>
    <ext xmlns:loext="http://schemas.libreoffice.org/" uri="{7626C862-2A13-11E5-B345-FEFF819CDC9F}">
      <loext:extCalcPr stringRefSyntax="ExcelA1"/>
    </ext>
  </extLst>
</workbook>
</file>

<file path=xl/calcChain.xml><?xml version="1.0" encoding="utf-8"?>
<calcChain xmlns="http://schemas.openxmlformats.org/spreadsheetml/2006/main">
  <c r="P28" i="9" l="1"/>
  <c r="O28" i="9"/>
  <c r="N28" i="9"/>
  <c r="M28" i="9"/>
  <c r="L28" i="9"/>
  <c r="K28" i="9"/>
  <c r="J28" i="9"/>
  <c r="I28" i="9"/>
  <c r="H28" i="9"/>
  <c r="G28" i="9"/>
  <c r="F28" i="9"/>
  <c r="E28" i="9"/>
  <c r="D28" i="9"/>
  <c r="Q18" i="9"/>
  <c r="R18" i="9" s="1"/>
  <c r="Q17" i="9"/>
  <c r="R17" i="9" s="1"/>
  <c r="Q16" i="9"/>
  <c r="R16" i="9" s="1"/>
  <c r="Q15" i="9"/>
  <c r="R15" i="9" s="1"/>
  <c r="Q14" i="9"/>
  <c r="R14" i="9" s="1"/>
  <c r="Q13" i="9"/>
  <c r="R13" i="9" s="1"/>
  <c r="Q12" i="9"/>
  <c r="R12" i="9" s="1"/>
  <c r="Q11" i="9"/>
  <c r="R11" i="9" s="1"/>
  <c r="Q10" i="9"/>
  <c r="R10" i="9" s="1"/>
  <c r="Q9" i="9"/>
  <c r="R9" i="9" s="1"/>
  <c r="Q8" i="9"/>
  <c r="Q28" i="9" l="1"/>
  <c r="R28" i="9" s="1"/>
  <c r="R8" i="9"/>
</calcChain>
</file>

<file path=xl/sharedStrings.xml><?xml version="1.0" encoding="utf-8"?>
<sst xmlns="http://schemas.openxmlformats.org/spreadsheetml/2006/main" count="784" uniqueCount="291">
  <si>
    <t>様式１</t>
  </si>
  <si>
    <t>数理・データサイエンス・AI教育プログラム認定制度（リテラシーレベル）　申請様式</t>
  </si>
  <si>
    <t>①</t>
  </si>
  <si>
    <t>学校名</t>
  </si>
  <si>
    <t>岡山大学</t>
  </si>
  <si>
    <t>②</t>
  </si>
  <si>
    <t>大学等の設置者</t>
  </si>
  <si>
    <t>国立大学法人岡山大学</t>
  </si>
  <si>
    <t>③</t>
  </si>
  <si>
    <t>設置形態</t>
  </si>
  <si>
    <t>国立大学</t>
  </si>
  <si>
    <t>④</t>
  </si>
  <si>
    <t>所在地</t>
  </si>
  <si>
    <t>岡山県岡山市北区津島中１－１－１</t>
  </si>
  <si>
    <t>⑤</t>
  </si>
  <si>
    <t>申請するプログラム又は授業科目名称</t>
  </si>
  <si>
    <t>文系から理系までの学生を遍く対象とする数理・データサイエンス教育プログラム</t>
  </si>
  <si>
    <t>⑥</t>
  </si>
  <si>
    <t>プログラムの開設年度</t>
  </si>
  <si>
    <t>令和元年度</t>
  </si>
  <si>
    <t>⑦</t>
  </si>
  <si>
    <t>教員数</t>
  </si>
  <si>
    <t>（常勤）</t>
  </si>
  <si>
    <t>人</t>
  </si>
  <si>
    <t>（非常勤）</t>
  </si>
  <si>
    <t>⑧</t>
  </si>
  <si>
    <t>プログラムの授業を教えている教員数</t>
  </si>
  <si>
    <t>⑨</t>
  </si>
  <si>
    <t>全学部・学科の入学定員</t>
  </si>
  <si>
    <t>⑩</t>
  </si>
  <si>
    <t>全学部・学科の学生数（学年別）</t>
  </si>
  <si>
    <t>総数</t>
  </si>
  <si>
    <t>１年次</t>
  </si>
  <si>
    <t>２年次</t>
  </si>
  <si>
    <t>３年次</t>
  </si>
  <si>
    <t>４年次</t>
  </si>
  <si>
    <t>５年次</t>
  </si>
  <si>
    <t>６年次</t>
  </si>
  <si>
    <t>⑪</t>
  </si>
  <si>
    <t>プログラムの運営責任者</t>
  </si>
  <si>
    <t>（責任者名）</t>
  </si>
  <si>
    <t>佐野寛</t>
  </si>
  <si>
    <t>（役職名）</t>
  </si>
  <si>
    <t>教育担当理事</t>
  </si>
  <si>
    <t>⑫</t>
  </si>
  <si>
    <t>プログラムを改善・進化させるための体制（委員会・組織等）</t>
  </si>
  <si>
    <t>数理・データサイエンス教育タスクフォース，全学教育推進委員会</t>
  </si>
  <si>
    <t>⑬</t>
  </si>
  <si>
    <t>プログラムの自己点検・評価を行う体制（委員会・組織等）</t>
  </si>
  <si>
    <t>数理・データサイエンス教育タスクフォース，全学教育推進委員会教養教育専門委員会学系部会</t>
  </si>
  <si>
    <t>⑭</t>
  </si>
  <si>
    <t>申請する認定プログラム</t>
  </si>
  <si>
    <t>認定教育プログラムと認定教育プログラム+（プラス）</t>
  </si>
  <si>
    <t>連絡先</t>
  </si>
  <si>
    <t>所属部署名</t>
  </si>
  <si>
    <t>学務部学務企画課</t>
  </si>
  <si>
    <t>担当者名</t>
  </si>
  <si>
    <t>坂部　範章</t>
  </si>
  <si>
    <t>E-mail</t>
  </si>
  <si>
    <t>sakabe-n@adm.okayama-u.ac.jp</t>
  </si>
  <si>
    <t>電話番号</t>
  </si>
  <si>
    <t>086-251-8457</t>
  </si>
  <si>
    <t>様式２－１</t>
  </si>
  <si>
    <t>学校名：</t>
  </si>
  <si>
    <t>プログラムを構成する授業科目について</t>
  </si>
  <si>
    <t>教育プログラムの修了要件</t>
  </si>
  <si>
    <t>学部・学科によって、修了要件は相違する</t>
  </si>
  <si>
    <t>具体的な修了要件</t>
  </si>
  <si>
    <t>授業科目名称</t>
  </si>
  <si>
    <t>「数理・データサイエンスの基礎」</t>
  </si>
  <si>
    <t>様式２－２</t>
  </si>
  <si>
    <t>岡山大学</t>
    <rPh sb="0" eb="4">
      <t>オカヤマダイガク</t>
    </rPh>
    <phoneticPr fontId="18"/>
  </si>
  <si>
    <t>様式２－３</t>
  </si>
  <si>
    <t>様式２－４</t>
  </si>
  <si>
    <t>様式２－５</t>
  </si>
  <si>
    <t>様式２－６</t>
  </si>
  <si>
    <t>様式２－７</t>
  </si>
  <si>
    <t>様式３</t>
  </si>
  <si>
    <t>プログラムの履修者数等の実績について</t>
  </si>
  <si>
    <t>学部・学科名称</t>
  </si>
  <si>
    <t>収容
定員</t>
  </si>
  <si>
    <t>令和2年度</t>
  </si>
  <si>
    <t>平成30年度</t>
  </si>
  <si>
    <t>平成29年度</t>
  </si>
  <si>
    <t>平成28年度</t>
  </si>
  <si>
    <t>平成27年度</t>
  </si>
  <si>
    <t>履修者数
合計</t>
  </si>
  <si>
    <t>履修率</t>
  </si>
  <si>
    <t>履修者数</t>
  </si>
  <si>
    <t>修了者数</t>
  </si>
  <si>
    <t>文学部</t>
  </si>
  <si>
    <t>教育学部</t>
  </si>
  <si>
    <t>法学部</t>
  </si>
  <si>
    <t>経済学部</t>
  </si>
  <si>
    <t>理学部</t>
  </si>
  <si>
    <t>医学部</t>
  </si>
  <si>
    <t>歯学部</t>
  </si>
  <si>
    <t>薬学部</t>
  </si>
  <si>
    <t>工学部</t>
  </si>
  <si>
    <t>環境理工学部</t>
  </si>
  <si>
    <t>農学部</t>
  </si>
  <si>
    <t>合　計</t>
  </si>
  <si>
    <t>様式４－１</t>
  </si>
  <si>
    <t>プログラムの授業内容・概要</t>
  </si>
  <si>
    <t>プログラムを構成する授業の内容・概要（数理・データサイエンス・AI（リテラシーレベル）モデルカリキュラムの「導入」、「基礎」、「心得」に相当）</t>
  </si>
  <si>
    <t>授業に含まれている内容・要素</t>
  </si>
  <si>
    <t>授業概要</t>
  </si>
  <si>
    <t>（１）現在進行中の社会変化（第４次産業革命、Society 5.0、データ駆動型社会等）に深く寄与しているものであり、それが自らの生活と密接に結びついている
※モデルカリキュラム導入１－１、導入１－６が該当</t>
  </si>
  <si>
    <r>
      <t>近年の計算機処理性能の増加とともに扱うデータ量も増大し、</t>
    </r>
    <r>
      <rPr>
        <u/>
        <sz val="12"/>
        <rFont val="ＭＳ Ｐゴシック"/>
        <family val="3"/>
        <charset val="128"/>
      </rPr>
      <t>ビッグデータ</t>
    </r>
    <r>
      <rPr>
        <sz val="12"/>
        <rFont val="ＭＳ Ｐゴシック"/>
        <family val="3"/>
        <charset val="128"/>
      </rPr>
      <t>と呼ばれる大量のデータが新たなビジネス資源となってきており「21世紀の石油」とも呼ばれている。また、</t>
    </r>
    <r>
      <rPr>
        <u/>
        <sz val="12"/>
        <rFont val="ＭＳ Ｐゴシック"/>
        <family val="3"/>
        <charset val="128"/>
      </rPr>
      <t>機械学習・AI</t>
    </r>
    <r>
      <rPr>
        <sz val="12"/>
        <rFont val="ＭＳ Ｐゴシック"/>
        <family val="3"/>
        <charset val="128"/>
      </rPr>
      <t xml:space="preserve">の進展によって高性能なモデルが自動的に作成できるようになり、さまざまな分野に応用されてきている。
</t>
    </r>
    <r>
      <rPr>
        <b/>
        <sz val="12"/>
        <rFont val="ＭＳ Ｐゴシック"/>
        <family val="3"/>
        <charset val="128"/>
      </rPr>
      <t xml:space="preserve">モデルカリキュラムに対応するキーワード
</t>
    </r>
    <r>
      <rPr>
        <sz val="12"/>
        <rFont val="ＭＳ Ｐゴシック"/>
        <family val="3"/>
        <charset val="128"/>
      </rPr>
      <t xml:space="preserve">・導入1-1：ビッグデータ，人間の知的活動とAIサービス
・導入1-6：AI最新技術の活用例（強化学習）など
</t>
    </r>
  </si>
  <si>
    <t>講義テーマ</t>
  </si>
  <si>
    <t>数理・データサイエンスの基礎</t>
  </si>
  <si>
    <t>現代社会におけるデータサイエンス（1,2,7,8）</t>
  </si>
  <si>
    <t>機械学習の事例紹介（11,12）</t>
    <phoneticPr fontId="18"/>
  </si>
  <si>
    <t>（1,2はシラバスの1回目、3,4は2回目、……、13,14は7回目に対応。以下同様）</t>
  </si>
  <si>
    <t>（２）「社会で活用されているデータ」や「データの活用領域」は非常に広範囲であって、日常生活や社会の課題を解決する有用なツールになり得るもの
※モデルカリキュラム導入１－２、導入１－３が該当</t>
  </si>
  <si>
    <r>
      <t>データには数値のみでなく、</t>
    </r>
    <r>
      <rPr>
        <u/>
        <sz val="12"/>
        <rFont val="ＭＳ Ｐゴシック"/>
        <family val="3"/>
        <charset val="128"/>
      </rPr>
      <t>テキストや画像</t>
    </r>
    <r>
      <rPr>
        <sz val="12"/>
        <rFont val="ＭＳ Ｐゴシック"/>
        <family val="3"/>
        <charset val="128"/>
      </rPr>
      <t>なども増えてきている。データは、個人や組織が独自に収集するほかに、誰でも利用できるように官民が作成して公開しているデータ（</t>
    </r>
    <r>
      <rPr>
        <u/>
        <sz val="12"/>
        <rFont val="ＭＳ Ｐゴシック"/>
        <family val="3"/>
        <charset val="128"/>
      </rPr>
      <t>オープンデータ</t>
    </r>
    <r>
      <rPr>
        <sz val="12"/>
        <rFont val="ＭＳ Ｐゴシック"/>
        <family val="3"/>
        <charset val="128"/>
      </rPr>
      <t>）を入手することもできる。これらのデータや</t>
    </r>
    <r>
      <rPr>
        <u/>
        <sz val="12"/>
        <rFont val="ＭＳ Ｐゴシック"/>
        <family val="3"/>
        <charset val="128"/>
      </rPr>
      <t>機械学習が活用</t>
    </r>
    <r>
      <rPr>
        <sz val="12"/>
        <rFont val="ＭＳ Ｐゴシック"/>
        <family val="3"/>
        <charset val="128"/>
      </rPr>
      <t xml:space="preserve">される領域は非常に広く、研究開発・製造・マーケティング・政策決定などに欠かせない。
</t>
    </r>
    <r>
      <rPr>
        <b/>
        <sz val="12"/>
        <rFont val="ＭＳ Ｐゴシック"/>
        <family val="3"/>
        <charset val="128"/>
      </rPr>
      <t xml:space="preserve">
モデルカリキュラムに対応するキーワード
</t>
    </r>
    <r>
      <rPr>
        <sz val="12"/>
        <rFont val="ＭＳ Ｐゴシック"/>
        <family val="3"/>
        <charset val="128"/>
      </rPr>
      <t xml:space="preserve">・導入1-2：実験データ、人の行動ログデータ、機械の稼働ログデータ、非構造化データなど
・導入1-3：データ・AI活用領域の広がり
</t>
    </r>
    <phoneticPr fontId="18"/>
  </si>
  <si>
    <t>機械学習の事例紹介（11,12）</t>
  </si>
  <si>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</si>
  <si>
    <r>
      <t>取得したデータを分析するための手法には</t>
    </r>
    <r>
      <rPr>
        <u/>
        <sz val="12"/>
        <rFont val="ＭＳ Ｐゴシック"/>
        <family val="3"/>
        <charset val="128"/>
      </rPr>
      <t>集計・分類・予測</t>
    </r>
    <r>
      <rPr>
        <sz val="12"/>
        <rFont val="ＭＳ Ｐゴシック"/>
        <family val="3"/>
        <charset val="128"/>
      </rPr>
      <t>などがあり、手法の選択や結果の評価のためにはグラフや図によるデータの</t>
    </r>
    <r>
      <rPr>
        <u/>
        <sz val="12"/>
        <rFont val="ＭＳ Ｐゴシック"/>
        <family val="3"/>
        <charset val="128"/>
      </rPr>
      <t>可視化</t>
    </r>
    <r>
      <rPr>
        <sz val="12"/>
        <rFont val="ＭＳ Ｐゴシック"/>
        <family val="3"/>
        <charset val="128"/>
      </rPr>
      <t>も欠かせない。データの種類や目的に応じてどのような分析モデルを適用するか設計する必要がある。 課題の解決には、データ分析を1度行って終わりではなく、</t>
    </r>
    <r>
      <rPr>
        <u/>
        <sz val="12"/>
        <rFont val="ＭＳ Ｐゴシック"/>
        <family val="3"/>
        <charset val="128"/>
      </rPr>
      <t>PPDACといったサイクル</t>
    </r>
    <r>
      <rPr>
        <sz val="12"/>
        <rFont val="ＭＳ Ｐゴシック"/>
        <family val="3"/>
        <charset val="128"/>
      </rPr>
      <t xml:space="preserve">を利用して洗練させていく。データサイエンスや機械学習の実世界での活用事例についても紹介する。
</t>
    </r>
    <r>
      <rPr>
        <b/>
        <sz val="12"/>
        <rFont val="ＭＳ Ｐゴシック"/>
        <family val="3"/>
        <charset val="128"/>
      </rPr>
      <t xml:space="preserve">
モデルカリキュラムに対応するキーワード
</t>
    </r>
    <r>
      <rPr>
        <sz val="12"/>
        <rFont val="ＭＳ Ｐゴシック"/>
        <family val="3"/>
        <charset val="128"/>
      </rPr>
      <t xml:space="preserve">・導入1-4：データ解析，データ可視化（複合グラフ，2軸グラフ，多次元の可視化など），非構造化データ：画像処理など
・導入1-5：探索的データ解析，ヘルスケア等におけるデータ・AI利活用事例紹介
</t>
    </r>
    <phoneticPr fontId="18"/>
  </si>
  <si>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</si>
  <si>
    <r>
      <t>取得したデータはそのまま分析に利用できるとは限らない。データの欠損や異常値、表記ゆれ等がある場合には、事前に整形する必要がある。また、元のデータが</t>
    </r>
    <r>
      <rPr>
        <u/>
        <sz val="12"/>
        <rFont val="ＭＳ Ｐゴシック"/>
        <family val="3"/>
        <charset val="128"/>
      </rPr>
      <t>個人情報</t>
    </r>
    <r>
      <rPr>
        <sz val="12"/>
        <rFont val="ＭＳ Ｐゴシック"/>
        <family val="3"/>
        <charset val="128"/>
      </rPr>
      <t>を含む場合は、</t>
    </r>
    <r>
      <rPr>
        <u/>
        <sz val="12"/>
        <rFont val="ＭＳ Ｐゴシック"/>
        <family val="3"/>
        <charset val="128"/>
      </rPr>
      <t>個人情報保護</t>
    </r>
    <r>
      <rPr>
        <sz val="12"/>
        <rFont val="ＭＳ Ｐゴシック"/>
        <family val="3"/>
        <charset val="128"/>
      </rPr>
      <t>の観点から、一部の情報を削除するなど匿名化した</t>
    </r>
    <r>
      <rPr>
        <u/>
        <sz val="12"/>
        <rFont val="ＭＳ Ｐゴシック"/>
        <family val="3"/>
        <charset val="128"/>
      </rPr>
      <t>匿名加工情報</t>
    </r>
    <r>
      <rPr>
        <sz val="12"/>
        <rFont val="ＭＳ Ｐゴシック"/>
        <family val="3"/>
        <charset val="128"/>
      </rPr>
      <t xml:space="preserve">として扱うことが必要な場合もある
</t>
    </r>
    <r>
      <rPr>
        <b/>
        <sz val="12"/>
        <rFont val="ＭＳ Ｐゴシック"/>
        <family val="3"/>
        <charset val="128"/>
      </rPr>
      <t xml:space="preserve">
モデルカリキュラムに対応するキーワード
</t>
    </r>
    <r>
      <rPr>
        <sz val="12"/>
        <rFont val="ＭＳ Ｐゴシック"/>
        <family val="3"/>
        <charset val="128"/>
      </rPr>
      <t>・心得3-1：個人情報保護
・心得3-2：匿名加工情報、暗号化、パスワード</t>
    </r>
  </si>
  <si>
    <t>現代社会におけるデータサイエンス（1,2）</t>
  </si>
  <si>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</si>
  <si>
    <r>
      <rPr>
        <sz val="12"/>
        <rFont val="ＭＳ Ｐゴシック"/>
        <family val="3"/>
        <charset val="128"/>
      </rPr>
      <t>データには</t>
    </r>
    <r>
      <rPr>
        <u/>
        <sz val="12"/>
        <rFont val="ＭＳ Ｐゴシック"/>
        <family val="3"/>
        <charset val="128"/>
      </rPr>
      <t>量的変数</t>
    </r>
    <r>
      <rPr>
        <sz val="12"/>
        <rFont val="ＭＳ Ｐゴシック"/>
        <family val="3"/>
        <charset val="128"/>
      </rPr>
      <t>と</t>
    </r>
    <r>
      <rPr>
        <u/>
        <sz val="12"/>
        <rFont val="ＭＳ Ｐゴシック"/>
        <family val="3"/>
        <charset val="128"/>
      </rPr>
      <t>質的変数</t>
    </r>
    <r>
      <rPr>
        <sz val="12"/>
        <rFont val="ＭＳ Ｐゴシック"/>
        <family val="3"/>
        <charset val="128"/>
      </rPr>
      <t>がある。一つの量的変数の分布は</t>
    </r>
    <r>
      <rPr>
        <u/>
        <sz val="12"/>
        <rFont val="ＭＳ Ｐゴシック"/>
        <family val="3"/>
        <charset val="128"/>
      </rPr>
      <t>平均値などの代表値</t>
    </r>
    <r>
      <rPr>
        <sz val="12"/>
        <rFont val="ＭＳ Ｐゴシック"/>
        <family val="3"/>
        <charset val="128"/>
      </rPr>
      <t>と</t>
    </r>
    <r>
      <rPr>
        <u/>
        <sz val="12"/>
        <rFont val="ＭＳ Ｐゴシック"/>
        <family val="3"/>
        <charset val="128"/>
      </rPr>
      <t>分散</t>
    </r>
    <r>
      <rPr>
        <sz val="12"/>
        <rFont val="ＭＳ Ｐゴシック"/>
        <family val="3"/>
        <charset val="128"/>
      </rPr>
      <t>などの数値で要約されるほか、</t>
    </r>
    <r>
      <rPr>
        <u/>
        <sz val="12"/>
        <rFont val="ＭＳ Ｐゴシック"/>
        <family val="3"/>
        <charset val="128"/>
      </rPr>
      <t>ヒストグラム</t>
    </r>
    <r>
      <rPr>
        <sz val="12"/>
        <rFont val="ＭＳ Ｐゴシック"/>
        <family val="3"/>
        <charset val="128"/>
      </rPr>
      <t>により可視化することができる。時間など異なる条件で分布を見るには</t>
    </r>
    <r>
      <rPr>
        <u/>
        <sz val="12"/>
        <rFont val="ＭＳ Ｐゴシック"/>
        <family val="3"/>
        <charset val="128"/>
      </rPr>
      <t>箱ひげ図</t>
    </r>
    <r>
      <rPr>
        <sz val="12"/>
        <rFont val="ＭＳ Ｐゴシック"/>
        <family val="3"/>
        <charset val="128"/>
      </rPr>
      <t>などが使われる。二つの量的変数の分布は</t>
    </r>
    <r>
      <rPr>
        <u/>
        <sz val="12"/>
        <rFont val="ＭＳ Ｐゴシック"/>
        <family val="3"/>
        <charset val="128"/>
      </rPr>
      <t>散布図</t>
    </r>
    <r>
      <rPr>
        <sz val="12"/>
        <rFont val="ＭＳ Ｐゴシック"/>
        <family val="3"/>
        <charset val="128"/>
      </rPr>
      <t>で可視化でき、その直線的な関係の強さは</t>
    </r>
    <r>
      <rPr>
        <u/>
        <sz val="12"/>
        <rFont val="ＭＳ Ｐゴシック"/>
        <family val="3"/>
        <charset val="128"/>
      </rPr>
      <t>相関係数</t>
    </r>
    <r>
      <rPr>
        <sz val="12"/>
        <rFont val="ＭＳ Ｐゴシック"/>
        <family val="3"/>
        <charset val="128"/>
      </rPr>
      <t>で要約される。</t>
    </r>
    <r>
      <rPr>
        <u/>
        <sz val="12"/>
        <rFont val="ＭＳ Ｐゴシック"/>
        <family val="3"/>
        <charset val="128"/>
      </rPr>
      <t>相関関係</t>
    </r>
    <r>
      <rPr>
        <sz val="12"/>
        <rFont val="ＭＳ Ｐゴシック"/>
        <family val="3"/>
        <charset val="128"/>
      </rPr>
      <t>があっても</t>
    </r>
    <r>
      <rPr>
        <u/>
        <sz val="12"/>
        <rFont val="ＭＳ Ｐゴシック"/>
        <family val="3"/>
        <charset val="128"/>
      </rPr>
      <t>因果関係</t>
    </r>
    <r>
      <rPr>
        <sz val="12"/>
        <rFont val="ＭＳ Ｐゴシック"/>
        <family val="3"/>
        <charset val="128"/>
      </rPr>
      <t>があるとは限らないことに注意が必要である。データの</t>
    </r>
    <r>
      <rPr>
        <u/>
        <sz val="12"/>
        <rFont val="ＭＳ Ｐゴシック"/>
        <family val="3"/>
        <charset val="128"/>
      </rPr>
      <t>母集団</t>
    </r>
    <r>
      <rPr>
        <sz val="12"/>
        <rFont val="ＭＳ Ｐゴシック"/>
        <family val="3"/>
        <charset val="128"/>
      </rPr>
      <t>での調査が困難な場合には</t>
    </r>
    <r>
      <rPr>
        <u/>
        <sz val="12"/>
        <rFont val="ＭＳ Ｐゴシック"/>
        <family val="3"/>
        <charset val="128"/>
      </rPr>
      <t>標本抽出</t>
    </r>
    <r>
      <rPr>
        <sz val="12"/>
        <rFont val="ＭＳ Ｐゴシック"/>
        <family val="3"/>
        <charset val="128"/>
      </rPr>
      <t>を行うが、なるべく偏りのない抽出方法を選択する。Excelなどの</t>
    </r>
    <r>
      <rPr>
        <u/>
        <sz val="12"/>
        <rFont val="ＭＳ Ｐゴシック"/>
        <family val="3"/>
        <charset val="128"/>
      </rPr>
      <t>スプレッドシート</t>
    </r>
    <r>
      <rPr>
        <sz val="12"/>
        <rFont val="ＭＳ Ｐゴシック"/>
        <family val="3"/>
        <charset val="128"/>
      </rPr>
      <t>を用いれば簡便にデータの分析が可能である。</t>
    </r>
    <r>
      <rPr>
        <u/>
        <sz val="12"/>
        <rFont val="ＭＳ Ｐゴシック"/>
        <family val="3"/>
        <charset val="128"/>
      </rPr>
      <t>表形式のデータ</t>
    </r>
    <r>
      <rPr>
        <sz val="12"/>
        <rFont val="ＭＳ Ｐゴシック"/>
        <family val="3"/>
        <charset val="128"/>
      </rPr>
      <t>のやりとりには</t>
    </r>
    <r>
      <rPr>
        <u/>
        <sz val="12"/>
        <rFont val="ＭＳ Ｐゴシック"/>
        <family val="3"/>
        <charset val="128"/>
      </rPr>
      <t>CSV</t>
    </r>
    <r>
      <rPr>
        <sz val="12"/>
        <rFont val="ＭＳ Ｐゴシック"/>
        <family val="3"/>
        <charset val="128"/>
      </rPr>
      <t>と呼ばれるテキストデータを用いることが多い。</t>
    </r>
    <r>
      <rPr>
        <b/>
        <sz val="12"/>
        <rFont val="ＭＳ Ｐゴシック"/>
        <family val="3"/>
        <charset val="128"/>
      </rPr>
      <t xml:space="preserve">
</t>
    </r>
    <r>
      <rPr>
        <sz val="12"/>
        <rFont val="ＭＳ Ｐゴシック"/>
        <family val="3"/>
        <charset val="128"/>
      </rPr>
      <t xml:space="preserve">
</t>
    </r>
    <r>
      <rPr>
        <b/>
        <sz val="12"/>
        <rFont val="ＭＳ Ｐゴシック"/>
        <family val="3"/>
        <charset val="128"/>
      </rPr>
      <t xml:space="preserve">モデルカリキュラムに対応するキーワード
</t>
    </r>
    <r>
      <rPr>
        <sz val="12"/>
        <rFont val="ＭＳ Ｐゴシック"/>
        <family val="3"/>
        <charset val="128"/>
      </rPr>
      <t>・基礎2-1：データの種類など
・基礎2-2：データ表現（散布図）
・基礎2-3: データの集計（平均）、データ解析ツール（スプレッドシート）、表形式のデータ（csv）</t>
    </r>
    <phoneticPr fontId="18"/>
  </si>
  <si>
    <t>データ分析の基礎（3,4,7,8）</t>
  </si>
  <si>
    <t>コンピュータを用いたデータ分析（5,6）</t>
  </si>
  <si>
    <t>機械学習の基礎（13,14）</t>
  </si>
  <si>
    <t>プログラムを構成する授業の内容・概要（数理・データサイエンス・AI（リテラシーレベル）モデルカリキュラムの「選択」に相当）</t>
  </si>
  <si>
    <t>統計及び数理基礎</t>
  </si>
  <si>
    <t>アルゴリズム基礎</t>
  </si>
  <si>
    <t>データ構造とプログラミング基礎</t>
  </si>
  <si>
    <t>時系列データ解析</t>
  </si>
  <si>
    <t>テキスト解析</t>
  </si>
  <si>
    <t>画像解析</t>
  </si>
  <si>
    <t>データハンドリング</t>
  </si>
  <si>
    <t>データ活用実践（教師あり学習）</t>
  </si>
  <si>
    <t>その他</t>
  </si>
  <si>
    <t>プログラムの授業内容等を公表しているアドレス</t>
  </si>
  <si>
    <t>プログラムの学修成果（学生等が身に付けられる能力等）</t>
  </si>
  <si>
    <t>(1) 現実の課題に対するデータサイエンスの役割を理解する。
(2) データの基本的な分析方法を理解し、コンピュータを用いて実践することができる。
(3) 機械学習の基礎を理解する。
(4) 自分の専門分野におけるデータサイエンスの活用事例を述べることができる。</t>
  </si>
  <si>
    <t>様式４－２</t>
  </si>
  <si>
    <t>ICTが進化したことにより多様なデータが取得され、膨大なデータ（ビッグデータ）が蓄積されている。IoTがデータの爆発的増大に寄与している。ビッグデータの登場と機械学習によりAIが急速な進化を遂げ、現在、日常の様々な場面でAIが活用されている。
モデルカリキュラムに対応するキーワード
・導入1-1：ビッグデータ、データ量の増加
・導入1-6：AI等を活用した新しいビジネスモデル（自動運転等）</t>
  </si>
  <si>
    <t>AIと機械学習（７）　</t>
  </si>
  <si>
    <t>元々教育現場においては生徒の個人情報、成績等の多くのデータが扱われてきていたが、近年では学校経営、生徒指導、授業評価など様々な場面で、調査データ、実験データに基づく検討が行われている。様々な場面で説明責任を求められるケースがあり、エビデンスに基づく決定にはデータの活用が不可欠である。
モデルカリキュラムに対応するキーワード
・導入1-2：調査データ、実験データなど
・導入1-3：データ・AI活用領域の広がり</t>
  </si>
  <si>
    <t>教育とデータサイエンス（１）</t>
  </si>
  <si>
    <t>データを活用するためには、①課題を明確にし、②仮説を立て、③仮説を検証するためのデータの入手方法を検討し、④実際にデータを入手し、⑤入手したデータを基に仮説の検証を行う、という基本ステップが必要になる。データを用いた分析を行う際には、グラフ等による可視化が有効である。
モデルカリキュラムに対応するキーワード
・導入1-4：データ解析、データ可視化
・導入1-5：データサイエンスのサイクル</t>
  </si>
  <si>
    <t>標準化、散布図、共分散と演習（３）</t>
  </si>
  <si>
    <t>具体的なデータ活用の基本的な考え方（５）</t>
    <phoneticPr fontId="18"/>
  </si>
  <si>
    <t>「スポーツで勝つこと」を目的としたデータ活用（６）</t>
    <phoneticPr fontId="18"/>
  </si>
  <si>
    <r>
      <t>教育現場においては生徒の個人情報を扱うことから、</t>
    </r>
    <r>
      <rPr>
        <u/>
        <sz val="12"/>
        <rFont val="ＭＳ Ｐゴシック"/>
        <family val="3"/>
        <charset val="128"/>
      </rPr>
      <t>個人情報保護</t>
    </r>
    <r>
      <rPr>
        <sz val="12"/>
        <rFont val="ＭＳ Ｐゴシック"/>
        <family val="3"/>
        <charset val="128"/>
      </rPr>
      <t>の規範を常に念頭に置いて業務を行う必要がある。個人情報の</t>
    </r>
    <r>
      <rPr>
        <u/>
        <sz val="12"/>
        <rFont val="ＭＳ Ｐゴシック"/>
        <family val="3"/>
        <charset val="128"/>
      </rPr>
      <t>学外へ持ち出しは原則禁止</t>
    </r>
    <r>
      <rPr>
        <sz val="12"/>
        <rFont val="ＭＳ Ｐゴシック"/>
        <family val="3"/>
        <charset val="128"/>
      </rPr>
      <t>されている。また児童生徒の調べ学習等における</t>
    </r>
    <r>
      <rPr>
        <u/>
        <sz val="12"/>
        <rFont val="ＭＳ Ｐゴシック"/>
        <family val="3"/>
        <charset val="128"/>
      </rPr>
      <t>著作権</t>
    </r>
    <r>
      <rPr>
        <sz val="12"/>
        <rFont val="ＭＳ Ｐゴシック"/>
        <family val="3"/>
        <charset val="128"/>
      </rPr>
      <t>の侵害についても注意が必要である。教員は</t>
    </r>
    <r>
      <rPr>
        <u/>
        <sz val="12"/>
        <rFont val="ＭＳ Ｐゴシック"/>
        <family val="3"/>
        <charset val="128"/>
      </rPr>
      <t>情報セキュリティ</t>
    </r>
    <r>
      <rPr>
        <sz val="12"/>
        <rFont val="ＭＳ Ｐゴシック"/>
        <family val="3"/>
        <charset val="128"/>
      </rPr>
      <t xml:space="preserve">に関する知識が必要となる。
</t>
    </r>
    <r>
      <rPr>
        <b/>
        <sz val="12"/>
        <rFont val="ＭＳ Ｐゴシック"/>
        <family val="3"/>
        <charset val="128"/>
      </rPr>
      <t>モデルカリキュラムに対応するキーワード</t>
    </r>
    <r>
      <rPr>
        <sz val="12"/>
        <rFont val="ＭＳ Ｐゴシック"/>
        <family val="3"/>
        <charset val="128"/>
      </rPr>
      <t xml:space="preserve">
・導入3-1：個人情報保護、データ倫理など
・導入1-5：情報セキュリティなど</t>
    </r>
    <rPh sb="112" eb="114">
      <t>キョウイン</t>
    </rPh>
    <rPh sb="115" eb="117">
      <t>ジョウホウ</t>
    </rPh>
    <rPh sb="124" eb="125">
      <t>カン</t>
    </rPh>
    <rPh sb="127" eb="129">
      <t>チシキ</t>
    </rPh>
    <rPh sb="130" eb="132">
      <t>ヒツヨウ</t>
    </rPh>
    <rPh sb="165" eb="171">
      <t>コジンジョウホウホゴ</t>
    </rPh>
    <rPh sb="175" eb="177">
      <t>リンリ</t>
    </rPh>
    <rPh sb="187" eb="189">
      <t>ジョウホウ</t>
    </rPh>
    <phoneticPr fontId="18"/>
  </si>
  <si>
    <t>データの種類、データの分布と代表値、代表値の性質の違い、データのばらつき、相関と因果（相関関係）等について学習するとともに、場面によって選択するデータが異なったり、その判断が難しいケースについてグループ討論を行う。
モデルカリキュラムに対応するキーワード
・導入2-1：データの種類、データの分布と代表値など
・導入2-2：データ表現など</t>
  </si>
  <si>
    <t>1変数の記述統計と演習（２）</t>
  </si>
  <si>
    <t>2変数の記述統計と演習（４）</t>
  </si>
  <si>
    <t>数理・データサイエンスの基礎</t>
    <phoneticPr fontId="18"/>
  </si>
  <si>
    <t>(1)1変数・2変数の記述統計について、基本的な概念を正しく理解できる。
(2)学んだ知識を用いて、データを多面的に読み解く力を身につける（クリティカルシンキング）。
(3)教育、研究、企業活動等において、データサイエンスの知識・スキルが活用される具体的場面について理解する。</t>
    <rPh sb="64" eb="65">
      <t>ミ</t>
    </rPh>
    <phoneticPr fontId="18"/>
  </si>
  <si>
    <t>様式４－３</t>
    <rPh sb="0" eb="2">
      <t>ヨウシキ</t>
    </rPh>
    <phoneticPr fontId="19"/>
  </si>
  <si>
    <t>学校名：</t>
    <rPh sb="0" eb="2">
      <t>ガッコウ</t>
    </rPh>
    <rPh sb="2" eb="3">
      <t>メイ</t>
    </rPh>
    <phoneticPr fontId="19"/>
  </si>
  <si>
    <t>岡山大学</t>
    <rPh sb="0" eb="4">
      <t>オカヤマダイガク</t>
    </rPh>
    <phoneticPr fontId="19"/>
  </si>
  <si>
    <t>プログラムの授業内容・概要</t>
    <rPh sb="6" eb="8">
      <t>ジュギョウ</t>
    </rPh>
    <rPh sb="8" eb="10">
      <t>ナイヨウ</t>
    </rPh>
    <rPh sb="11" eb="13">
      <t>ガイヨウ</t>
    </rPh>
    <phoneticPr fontId="19"/>
  </si>
  <si>
    <t>①</t>
    <phoneticPr fontId="19"/>
  </si>
  <si>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9"/>
  </si>
  <si>
    <t>授業に含まれている内容・要素</t>
    <rPh sb="0" eb="2">
      <t>ジュギョウ</t>
    </rPh>
    <rPh sb="3" eb="4">
      <t>フク</t>
    </rPh>
    <rPh sb="9" eb="11">
      <t>ナイヨウ</t>
    </rPh>
    <rPh sb="12" eb="14">
      <t>ヨウソ</t>
    </rPh>
    <phoneticPr fontId="19"/>
  </si>
  <si>
    <t>授業概要</t>
    <rPh sb="0" eb="2">
      <t>ジュギョウ</t>
    </rPh>
    <rPh sb="2" eb="4">
      <t>ガイヨウ</t>
    </rPh>
    <phoneticPr fontId="19"/>
  </si>
  <si>
    <t>（１）現在進行中の社会変化（第４次産業革命、Society 5.0、データ駆動型社会等）に深く寄与しているものであり、それが自らの生活と密接に結びついている
※モデルカリキュラム導入１－１、導入１－６が該当</t>
    <phoneticPr fontId="19"/>
  </si>
  <si>
    <r>
      <rPr>
        <u/>
        <sz val="12"/>
        <rFont val="ＭＳ Ｐゴシック"/>
        <family val="3"/>
        <charset val="128"/>
      </rPr>
      <t>Society 5.0 超スマート社会</t>
    </r>
    <r>
      <rPr>
        <sz val="12"/>
        <rFont val="ＭＳ Ｐゴシック"/>
        <family val="3"/>
        <charset val="128"/>
      </rPr>
      <t>の実現のために数理・データサイエンス・AIの学習が重要となっている。近年の計算機処理性能の増加とともに扱うデータ量も増大し、</t>
    </r>
    <r>
      <rPr>
        <u/>
        <sz val="12"/>
        <rFont val="ＭＳ Ｐゴシック"/>
        <family val="3"/>
        <charset val="128"/>
      </rPr>
      <t>ビッグデータ</t>
    </r>
    <r>
      <rPr>
        <sz val="12"/>
        <rFont val="ＭＳ Ｐゴシック"/>
        <family val="3"/>
        <charset val="128"/>
      </rPr>
      <t>と呼ばれる大量のデータが新たなビジネス資源となってきており「21世紀の石油」とも呼ばれている。また、</t>
    </r>
    <r>
      <rPr>
        <u/>
        <sz val="12"/>
        <rFont val="ＭＳ Ｐゴシック"/>
        <family val="3"/>
        <charset val="128"/>
      </rPr>
      <t>機械学習・AI</t>
    </r>
    <r>
      <rPr>
        <sz val="12"/>
        <rFont val="ＭＳ Ｐゴシック"/>
        <family val="3"/>
        <charset val="128"/>
      </rPr>
      <t xml:space="preserve">の進展によって高性能なモデルが自動的に作成できるようになり、さまざまな分野に応用されてきている。
</t>
    </r>
    <r>
      <rPr>
        <b/>
        <sz val="12"/>
        <rFont val="ＭＳ Ｐゴシック"/>
        <family val="3"/>
        <charset val="128"/>
      </rPr>
      <t>モデルカリキュラムに対応するキーワード</t>
    </r>
    <r>
      <rPr>
        <sz val="12"/>
        <rFont val="ＭＳ Ｐゴシック"/>
        <family val="3"/>
        <charset val="128"/>
      </rPr>
      <t xml:space="preserve">
・導入1-1：ビッグデータ，人間の知的活動とAIサービス, Society 5.0
・導入1-6：AI最新技術の活用例など
</t>
    </r>
    <rPh sb="12" eb="13">
      <t>チョウ</t>
    </rPh>
    <rPh sb="20" eb="22">
      <t>ジテゥ</t>
    </rPh>
    <rPh sb="26" eb="28">
      <t>スウ</t>
    </rPh>
    <rPh sb="41" eb="43">
      <t>ガク</t>
    </rPh>
    <rPh sb="44" eb="46">
      <t>ジュウヨウ</t>
    </rPh>
    <rPh sb="53" eb="55">
      <t>キンネン</t>
    </rPh>
    <rPh sb="56" eb="59">
      <t>ケイサンキ</t>
    </rPh>
    <rPh sb="59" eb="61">
      <t>ショリ</t>
    </rPh>
    <rPh sb="61" eb="63">
      <t>セイノウ</t>
    </rPh>
    <rPh sb="64" eb="66">
      <t>ゾウカ</t>
    </rPh>
    <rPh sb="70" eb="71">
      <t>アツカ</t>
    </rPh>
    <rPh sb="75" eb="76">
      <t>リョウ</t>
    </rPh>
    <rPh sb="77" eb="79">
      <t>ゾウダイ</t>
    </rPh>
    <rPh sb="88" eb="89">
      <t>ヨ</t>
    </rPh>
    <rPh sb="92" eb="94">
      <t>タイリョウ</t>
    </rPh>
    <rPh sb="99" eb="100">
      <t>アラ</t>
    </rPh>
    <rPh sb="106" eb="108">
      <t>シゲン</t>
    </rPh>
    <rPh sb="119" eb="121">
      <t>セイキ</t>
    </rPh>
    <rPh sb="122" eb="124">
      <t>セキユ</t>
    </rPh>
    <rPh sb="127" eb="128">
      <t>ヨ</t>
    </rPh>
    <rPh sb="137" eb="139">
      <t>キカイ</t>
    </rPh>
    <rPh sb="139" eb="141">
      <t>ガクシュウ</t>
    </rPh>
    <rPh sb="145" eb="147">
      <t>シンテン</t>
    </rPh>
    <rPh sb="151" eb="154">
      <t>コウセイノウ</t>
    </rPh>
    <rPh sb="159" eb="162">
      <t>ジドウテキ</t>
    </rPh>
    <rPh sb="163" eb="165">
      <t>サクセイ</t>
    </rPh>
    <rPh sb="179" eb="181">
      <t>ブンヤ</t>
    </rPh>
    <rPh sb="182" eb="184">
      <t>オウヨウ</t>
    </rPh>
    <phoneticPr fontId="19"/>
  </si>
  <si>
    <t>授業科目名称</t>
    <rPh sb="0" eb="2">
      <t>ジュギョウ</t>
    </rPh>
    <rPh sb="2" eb="6">
      <t>カモクメイショウ</t>
    </rPh>
    <phoneticPr fontId="19"/>
  </si>
  <si>
    <t>講義テーマ</t>
    <rPh sb="0" eb="2">
      <t>コウギ</t>
    </rPh>
    <phoneticPr fontId="19"/>
  </si>
  <si>
    <t>数理・データサイエンスの基礎</t>
    <phoneticPr fontId="19"/>
  </si>
  <si>
    <t>データ分析の基礎(1)</t>
  </si>
  <si>
    <t>現代社会におけるデータサイエンス（3,4）</t>
    <phoneticPr fontId="19"/>
  </si>
  <si>
    <t>（２）「社会で活用されているデータ」や「データの活用領域」は非常に広範囲であって、日常生活や社会の課題を解決する有用なツールになり得るもの
※モデルカリキュラム導入１－２、導入１－３が該当</t>
    <phoneticPr fontId="19"/>
  </si>
  <si>
    <r>
      <rPr>
        <sz val="12"/>
        <rFont val="ＭＳ Ｐゴシック"/>
        <family val="3"/>
        <charset val="128"/>
      </rPr>
      <t>データには数値のみでなく、</t>
    </r>
    <r>
      <rPr>
        <u/>
        <sz val="12"/>
        <rFont val="ＭＳ Ｐゴシック"/>
        <family val="3"/>
        <charset val="128"/>
      </rPr>
      <t>テキストや画像</t>
    </r>
    <r>
      <rPr>
        <sz val="12"/>
        <rFont val="ＭＳ Ｐゴシック"/>
        <family val="3"/>
        <charset val="128"/>
      </rPr>
      <t>なども増えてきている。データは、個人や組織が独自に収集するほかに、誰でも利用できるように官民が作成して公開しているデータ（</t>
    </r>
    <r>
      <rPr>
        <u/>
        <sz val="12"/>
        <rFont val="ＭＳ Ｐゴシック"/>
        <family val="3"/>
        <charset val="128"/>
      </rPr>
      <t>オープンデータ</t>
    </r>
    <r>
      <rPr>
        <sz val="12"/>
        <rFont val="ＭＳ Ｐゴシック"/>
        <family val="3"/>
        <charset val="128"/>
      </rPr>
      <t>）を入手することもできる。これらのデータや</t>
    </r>
    <r>
      <rPr>
        <u/>
        <sz val="12"/>
        <rFont val="ＭＳ Ｐゴシック"/>
        <family val="3"/>
        <charset val="128"/>
      </rPr>
      <t>機械学習が活用</t>
    </r>
    <r>
      <rPr>
        <sz val="12"/>
        <rFont val="ＭＳ Ｐゴシック"/>
        <family val="3"/>
        <charset val="128"/>
      </rPr>
      <t xml:space="preserve">される領域は非常に広く、研究開発・製造・マーケティング・政策決定などに欠かせない。
</t>
    </r>
    <r>
      <rPr>
        <b/>
        <sz val="12"/>
        <rFont val="ＭＳ Ｐゴシック"/>
        <family val="3"/>
        <charset val="128"/>
      </rPr>
      <t>モデルカリキュラムに対応するキーワード</t>
    </r>
    <r>
      <rPr>
        <sz val="12"/>
        <rFont val="ＭＳ Ｐゴシック"/>
        <family val="3"/>
        <charset val="128"/>
      </rPr>
      <t xml:space="preserve">
・導入1-2：実験データ、人の行動ログデータ、機械の稼働ログデータ、非構造的データ(画像、音声)など
・導入1-3：データ・AI活用領域の広がり
</t>
    </r>
    <rPh sb="213" eb="217">
      <t>ヒコウゾウ</t>
    </rPh>
    <rPh sb="221" eb="223">
      <t>ガゾウ</t>
    </rPh>
    <rPh sb="224" eb="226">
      <t>オンセイ</t>
    </rPh>
    <phoneticPr fontId="19"/>
  </si>
  <si>
    <t>現代社会におけるデータサイエンス（7,8）</t>
    <rPh sb="0" eb="2">
      <t>ゲンダイ</t>
    </rPh>
    <rPh sb="2" eb="4">
      <t>シャカイ</t>
    </rPh>
    <phoneticPr fontId="19"/>
  </si>
  <si>
    <t>コンピュータを用いたデータ分析(1)</t>
    <phoneticPr fontId="19"/>
  </si>
  <si>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9"/>
  </si>
  <si>
    <r>
      <t>取得したデータを分析するための手法には</t>
    </r>
    <r>
      <rPr>
        <u/>
        <sz val="12"/>
        <rFont val="ＭＳ Ｐゴシック"/>
        <family val="3"/>
        <charset val="128"/>
      </rPr>
      <t>集計・分類・予測</t>
    </r>
    <r>
      <rPr>
        <sz val="12"/>
        <rFont val="ＭＳ Ｐゴシック"/>
        <family val="3"/>
        <charset val="128"/>
      </rPr>
      <t>などがあり、手法の選択や結果の評価のためにはグラフや図による</t>
    </r>
    <r>
      <rPr>
        <u/>
        <sz val="12"/>
        <rFont val="ＭＳ Ｐゴシック"/>
        <family val="3"/>
        <charset val="128"/>
      </rPr>
      <t>データの可視化</t>
    </r>
    <r>
      <rPr>
        <sz val="12"/>
        <rFont val="ＭＳ Ｐゴシック"/>
        <family val="3"/>
        <charset val="128"/>
      </rPr>
      <t>も欠かせない。データの種類や目的に応じてどのような分析モデルを適用するか設計する必要がある。 課題の解決には、データ分析を1度行って終わりではなく、</t>
    </r>
    <r>
      <rPr>
        <u/>
        <sz val="12"/>
        <rFont val="ＭＳ Ｐゴシック"/>
        <family val="3"/>
        <charset val="128"/>
      </rPr>
      <t>PPDACといったサイクル</t>
    </r>
    <r>
      <rPr>
        <sz val="12"/>
        <rFont val="ＭＳ Ｐゴシック"/>
        <family val="3"/>
        <charset val="128"/>
      </rPr>
      <t xml:space="preserve">を利用して洗練させていく。保険・マーケティングリサーチ・遺伝子に関する研究・品質管理などにおいてデータサイエンスの実世界での活用事例についても紹介する。
</t>
    </r>
    <r>
      <rPr>
        <b/>
        <sz val="12"/>
        <rFont val="ＭＳ Ｐゴシック"/>
        <family val="3"/>
        <charset val="128"/>
      </rPr>
      <t>モデルカリキュラムに対応するキーワード</t>
    </r>
    <r>
      <rPr>
        <sz val="12"/>
        <rFont val="ＭＳ Ｐゴシック"/>
        <family val="3"/>
        <charset val="128"/>
      </rPr>
      <t xml:space="preserve">
・導入1-4：データ解析，データ可視化（複合グラフ，2軸グラフ，多次元の可視化など）など
・導入1-5：データ・探索的データ解析，ヘルスケア等におけるデータ・AI利活用事例紹介
</t>
    </r>
    <rPh sb="164" eb="166">
      <t>ホケン</t>
    </rPh>
    <rPh sb="179" eb="182">
      <t>イデn</t>
    </rPh>
    <rPh sb="183" eb="184">
      <t>カンスル</t>
    </rPh>
    <rPh sb="186" eb="188">
      <t>ケンキュウ</t>
    </rPh>
    <rPh sb="189" eb="193">
      <t>ヒンシテゥ</t>
    </rPh>
    <phoneticPr fontId="19"/>
  </si>
  <si>
    <t>コンピューターを用いたデータ分析(2,5)</t>
    <phoneticPr fontId="19"/>
  </si>
  <si>
    <t>データ分析の基礎（2,5）</t>
    <phoneticPr fontId="19"/>
  </si>
  <si>
    <t>データサイエンスの応用事例（11,12）</t>
    <phoneticPr fontId="19"/>
  </si>
  <si>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9"/>
  </si>
  <si>
    <r>
      <rPr>
        <sz val="12"/>
        <rFont val="ＭＳ Ｐゴシック"/>
        <family val="3"/>
        <charset val="128"/>
      </rPr>
      <t>取得したデータはそのまま分析に利用できるとは限らない。データの欠損や異常値、表記ゆれ等がある場合には、事前に整形する必要がある。また、元のデータが</t>
    </r>
    <r>
      <rPr>
        <u/>
        <sz val="12"/>
        <rFont val="ＭＳ Ｐゴシック"/>
        <family val="3"/>
        <charset val="128"/>
      </rPr>
      <t>個人情報</t>
    </r>
    <r>
      <rPr>
        <sz val="12"/>
        <rFont val="ＭＳ Ｐゴシック"/>
        <family val="3"/>
        <charset val="128"/>
      </rPr>
      <t>を含む場合は、</t>
    </r>
    <r>
      <rPr>
        <u/>
        <sz val="12"/>
        <rFont val="ＭＳ Ｐゴシック"/>
        <family val="3"/>
        <charset val="128"/>
      </rPr>
      <t>個人情報保護</t>
    </r>
    <r>
      <rPr>
        <sz val="12"/>
        <rFont val="ＭＳ Ｐゴシック"/>
        <family val="3"/>
        <charset val="128"/>
      </rPr>
      <t>の観点から、一部の情報を削除するなど匿名化した</t>
    </r>
    <r>
      <rPr>
        <u/>
        <sz val="12"/>
        <rFont val="ＭＳ Ｐゴシック"/>
        <family val="3"/>
        <charset val="128"/>
      </rPr>
      <t>匿名加工情報</t>
    </r>
    <r>
      <rPr>
        <sz val="12"/>
        <rFont val="ＭＳ Ｐゴシック"/>
        <family val="3"/>
        <charset val="128"/>
      </rPr>
      <t xml:space="preserve">として扱うことが必要な場合もある。標本調査をする場合やデータ分析における注意すべき点を理解しておく必要がある。
</t>
    </r>
    <r>
      <rPr>
        <b/>
        <sz val="12"/>
        <rFont val="ＭＳ Ｐゴシック"/>
        <family val="3"/>
        <charset val="128"/>
      </rPr>
      <t>モデルカリキュラムに対応するキーワード</t>
    </r>
    <r>
      <rPr>
        <sz val="12"/>
        <rFont val="ＭＳ Ｐゴシック"/>
        <family val="3"/>
        <charset val="128"/>
      </rPr>
      <t xml:space="preserve">
・心得3-1：個人情報保護、データバイアスなど
・心得3-2：匿名加工情報、暗号化、パスワード</t>
    </r>
    <rPh sb="0" eb="2">
      <t>シュトク</t>
    </rPh>
    <rPh sb="12" eb="14">
      <t>ブンセキ</t>
    </rPh>
    <rPh sb="15" eb="17">
      <t>リヨウ</t>
    </rPh>
    <rPh sb="22" eb="23">
      <t>カギ</t>
    </rPh>
    <rPh sb="31" eb="33">
      <t>ケッソン</t>
    </rPh>
    <rPh sb="34" eb="37">
      <t>イジョウチ</t>
    </rPh>
    <rPh sb="38" eb="40">
      <t>ヒョウキ</t>
    </rPh>
    <rPh sb="42" eb="43">
      <t>トウ</t>
    </rPh>
    <rPh sb="46" eb="48">
      <t>バアイ</t>
    </rPh>
    <rPh sb="51" eb="53">
      <t>ジゼン</t>
    </rPh>
    <rPh sb="54" eb="56">
      <t>セイケイ</t>
    </rPh>
    <rPh sb="58" eb="60">
      <t>ヒツヨウ</t>
    </rPh>
    <rPh sb="67" eb="68">
      <t>モト</t>
    </rPh>
    <rPh sb="73" eb="75">
      <t>コジン</t>
    </rPh>
    <rPh sb="75" eb="77">
      <t>ジョウホウ</t>
    </rPh>
    <rPh sb="78" eb="79">
      <t>フク</t>
    </rPh>
    <rPh sb="80" eb="82">
      <t>バアイ</t>
    </rPh>
    <rPh sb="99" eb="101">
      <t>ジョウホウ</t>
    </rPh>
    <rPh sb="102" eb="104">
      <t>サクジョ</t>
    </rPh>
    <rPh sb="108" eb="111">
      <t>トクメイカ</t>
    </rPh>
    <rPh sb="113" eb="115">
      <t>トクメイ</t>
    </rPh>
    <rPh sb="115" eb="117">
      <t>カコウ</t>
    </rPh>
    <rPh sb="117" eb="119">
      <t>ジョウホウ</t>
    </rPh>
    <rPh sb="122" eb="123">
      <t>アツカ</t>
    </rPh>
    <rPh sb="127" eb="129">
      <t>ヒツヨウ</t>
    </rPh>
    <rPh sb="130" eb="132">
      <t>バアイ</t>
    </rPh>
    <rPh sb="136" eb="140">
      <t>ヒョウホn</t>
    </rPh>
    <rPh sb="149" eb="151">
      <t>ブンセキ</t>
    </rPh>
    <rPh sb="155" eb="157">
      <t>チュウイ</t>
    </rPh>
    <rPh sb="160" eb="161">
      <t>テn</t>
    </rPh>
    <rPh sb="162" eb="164">
      <t>リカイ</t>
    </rPh>
    <rPh sb="168" eb="170">
      <t>ヒツヨウ</t>
    </rPh>
    <phoneticPr fontId="19"/>
  </si>
  <si>
    <t>現代社会におけるデータサイエンス（3）</t>
    <rPh sb="0" eb="2">
      <t>ゲンダイ</t>
    </rPh>
    <rPh sb="2" eb="4">
      <t>シャカイ</t>
    </rPh>
    <phoneticPr fontId="19"/>
  </si>
  <si>
    <t>データ分析の基礎（9,10）</t>
    <rPh sb="3" eb="5">
      <t>ブンセキ</t>
    </rPh>
    <rPh sb="6" eb="8">
      <t>キソ</t>
    </rPh>
    <phoneticPr fontId="19"/>
  </si>
  <si>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9"/>
  </si>
  <si>
    <r>
      <t>データには</t>
    </r>
    <r>
      <rPr>
        <u/>
        <sz val="12"/>
        <rFont val="ＭＳ Ｐゴシック"/>
        <family val="3"/>
        <charset val="128"/>
      </rPr>
      <t>量的変数と質的変数</t>
    </r>
    <r>
      <rPr>
        <sz val="12"/>
        <rFont val="ＭＳ Ｐゴシック"/>
        <family val="3"/>
        <charset val="128"/>
      </rPr>
      <t>がある。一つの量的変数の分布は</t>
    </r>
    <r>
      <rPr>
        <u/>
        <sz val="12"/>
        <rFont val="ＭＳ Ｐゴシック"/>
        <family val="3"/>
        <charset val="128"/>
      </rPr>
      <t>平均値などの代表値</t>
    </r>
    <r>
      <rPr>
        <sz val="12"/>
        <rFont val="ＭＳ Ｐゴシック"/>
        <family val="3"/>
        <charset val="128"/>
      </rPr>
      <t>と</t>
    </r>
    <r>
      <rPr>
        <u/>
        <sz val="12"/>
        <rFont val="ＭＳ Ｐゴシック"/>
        <family val="3"/>
        <charset val="128"/>
      </rPr>
      <t>分散</t>
    </r>
    <r>
      <rPr>
        <sz val="12"/>
        <rFont val="ＭＳ Ｐゴシック"/>
        <family val="3"/>
        <charset val="128"/>
      </rPr>
      <t>などの数値で要約されるほか、</t>
    </r>
    <r>
      <rPr>
        <u/>
        <sz val="12"/>
        <rFont val="ＭＳ Ｐゴシック"/>
        <family val="3"/>
        <charset val="128"/>
      </rPr>
      <t>ヒストグラム</t>
    </r>
    <r>
      <rPr>
        <sz val="12"/>
        <rFont val="ＭＳ Ｐゴシック"/>
        <family val="3"/>
        <charset val="128"/>
      </rPr>
      <t>により可視化することができる。時間など異なる条件で分布を見るには</t>
    </r>
    <r>
      <rPr>
        <u/>
        <sz val="12"/>
        <rFont val="ＭＳ Ｐゴシック"/>
        <family val="3"/>
        <charset val="128"/>
      </rPr>
      <t>箱ひげ図</t>
    </r>
    <r>
      <rPr>
        <sz val="12"/>
        <rFont val="ＭＳ Ｐゴシック"/>
        <family val="3"/>
        <charset val="128"/>
      </rPr>
      <t>などが使われる。二つの量的変数の分布は</t>
    </r>
    <r>
      <rPr>
        <u/>
        <sz val="12"/>
        <rFont val="ＭＳ Ｐゴシック"/>
        <family val="3"/>
        <charset val="128"/>
      </rPr>
      <t>散布図</t>
    </r>
    <r>
      <rPr>
        <sz val="12"/>
        <rFont val="ＭＳ Ｐゴシック"/>
        <family val="3"/>
        <charset val="128"/>
      </rPr>
      <t>で可視化でき、その直線的な関係の強さは</t>
    </r>
    <r>
      <rPr>
        <u/>
        <sz val="12"/>
        <rFont val="ＭＳ Ｐゴシック"/>
        <family val="3"/>
        <charset val="128"/>
      </rPr>
      <t>相関係数</t>
    </r>
    <r>
      <rPr>
        <sz val="12"/>
        <rFont val="ＭＳ Ｐゴシック"/>
        <family val="3"/>
        <charset val="128"/>
      </rPr>
      <t>で要約される。</t>
    </r>
    <r>
      <rPr>
        <u/>
        <sz val="12"/>
        <rFont val="ＭＳ Ｐゴシック"/>
        <family val="3"/>
        <charset val="128"/>
      </rPr>
      <t>相関関係</t>
    </r>
    <r>
      <rPr>
        <sz val="12"/>
        <rFont val="ＭＳ Ｐゴシック"/>
        <family val="3"/>
        <charset val="128"/>
      </rPr>
      <t>があっても</t>
    </r>
    <r>
      <rPr>
        <u/>
        <sz val="12"/>
        <rFont val="ＭＳ Ｐゴシック"/>
        <family val="3"/>
        <charset val="128"/>
      </rPr>
      <t>因果関係</t>
    </r>
    <r>
      <rPr>
        <sz val="12"/>
        <rFont val="ＭＳ Ｐゴシック"/>
        <family val="3"/>
        <charset val="128"/>
      </rPr>
      <t>があるとは限らないことに注意が必要である。データの</t>
    </r>
    <r>
      <rPr>
        <u/>
        <sz val="12"/>
        <rFont val="ＭＳ Ｐゴシック"/>
        <family val="3"/>
        <charset val="128"/>
      </rPr>
      <t>母集団</t>
    </r>
    <r>
      <rPr>
        <sz val="12"/>
        <rFont val="ＭＳ Ｐゴシック"/>
        <family val="3"/>
        <charset val="128"/>
      </rPr>
      <t>での調査が困難な場合には</t>
    </r>
    <r>
      <rPr>
        <u/>
        <sz val="12"/>
        <rFont val="ＭＳ Ｐゴシック"/>
        <family val="3"/>
        <charset val="128"/>
      </rPr>
      <t>標本抽出</t>
    </r>
    <r>
      <rPr>
        <sz val="12"/>
        <rFont val="ＭＳ Ｐゴシック"/>
        <family val="3"/>
        <charset val="128"/>
      </rPr>
      <t>を行うが、なるべく偏りのない抽出方法を選択する。Excelなどの</t>
    </r>
    <r>
      <rPr>
        <u/>
        <sz val="12"/>
        <rFont val="ＭＳ Ｐゴシック"/>
        <family val="3"/>
        <charset val="128"/>
      </rPr>
      <t>スプレッドシート</t>
    </r>
    <r>
      <rPr>
        <sz val="12"/>
        <rFont val="ＭＳ Ｐゴシック"/>
        <family val="3"/>
        <charset val="128"/>
      </rPr>
      <t>を用いれば簡便にデータの分析が可能である。RやPythonも用いられる。</t>
    </r>
    <r>
      <rPr>
        <u/>
        <sz val="12"/>
        <rFont val="ＭＳ Ｐゴシック"/>
        <family val="3"/>
        <charset val="128"/>
      </rPr>
      <t>表形式</t>
    </r>
    <r>
      <rPr>
        <sz val="12"/>
        <rFont val="ＭＳ Ｐゴシック"/>
        <family val="3"/>
        <charset val="128"/>
      </rPr>
      <t>のデータのやりとりには</t>
    </r>
    <r>
      <rPr>
        <u/>
        <sz val="12"/>
        <rFont val="ＭＳ Ｐゴシック"/>
        <family val="3"/>
        <charset val="128"/>
      </rPr>
      <t>CSV</t>
    </r>
    <r>
      <rPr>
        <sz val="12"/>
        <rFont val="ＭＳ Ｐゴシック"/>
        <family val="3"/>
        <charset val="128"/>
      </rPr>
      <t xml:space="preserve">と呼ばれるテキストデータを用いることが多い。
</t>
    </r>
    <r>
      <rPr>
        <b/>
        <sz val="12"/>
        <rFont val="ＭＳ Ｐゴシック"/>
        <family val="3"/>
        <charset val="128"/>
      </rPr>
      <t>モデルカリキュラムに対応するキーワード</t>
    </r>
    <r>
      <rPr>
        <sz val="12"/>
        <rFont val="ＭＳ Ｐゴシック"/>
        <family val="3"/>
        <charset val="128"/>
      </rPr>
      <t xml:space="preserve">
・基礎2-1：データの種類など
・基礎2-2：データの表現、比較など
・基礎2-3:データの集計、表形式のデータ</t>
    </r>
    <rPh sb="5" eb="7">
      <t>リョウテキ</t>
    </rPh>
    <rPh sb="7" eb="9">
      <t>ヘンスウ</t>
    </rPh>
    <rPh sb="10" eb="12">
      <t>シツテキ</t>
    </rPh>
    <rPh sb="12" eb="14">
      <t>ヘンスウ</t>
    </rPh>
    <rPh sb="18" eb="19">
      <t>ヒト</t>
    </rPh>
    <rPh sb="21" eb="23">
      <t>リョウテキ</t>
    </rPh>
    <rPh sb="23" eb="25">
      <t>ヘンスウ</t>
    </rPh>
    <rPh sb="26" eb="28">
      <t>ブンプ</t>
    </rPh>
    <rPh sb="29" eb="32">
      <t>ヘイキンチ</t>
    </rPh>
    <rPh sb="35" eb="38">
      <t>ダイヒョウチ</t>
    </rPh>
    <rPh sb="39" eb="41">
      <t>ブンサン</t>
    </rPh>
    <rPh sb="44" eb="46">
      <t>スウチ</t>
    </rPh>
    <rPh sb="47" eb="49">
      <t>ヨウヤク</t>
    </rPh>
    <rPh sb="64" eb="67">
      <t>カシカ</t>
    </rPh>
    <rPh sb="76" eb="78">
      <t>ジカン</t>
    </rPh>
    <rPh sb="80" eb="81">
      <t>コト</t>
    </rPh>
    <rPh sb="83" eb="85">
      <t>ジョウケン</t>
    </rPh>
    <rPh sb="86" eb="88">
      <t>ブンプ</t>
    </rPh>
    <rPh sb="89" eb="90">
      <t>ミ</t>
    </rPh>
    <rPh sb="93" eb="94">
      <t>ハコ</t>
    </rPh>
    <rPh sb="96" eb="97">
      <t>ズ</t>
    </rPh>
    <rPh sb="100" eb="101">
      <t>ツカ</t>
    </rPh>
    <rPh sb="105" eb="106">
      <t>フタ</t>
    </rPh>
    <rPh sb="108" eb="110">
      <t>リョウテキ</t>
    </rPh>
    <rPh sb="110" eb="112">
      <t>ヘンスウ</t>
    </rPh>
    <rPh sb="113" eb="115">
      <t>ブンプ</t>
    </rPh>
    <rPh sb="116" eb="119">
      <t>サンプズ</t>
    </rPh>
    <rPh sb="120" eb="123">
      <t>カシカ</t>
    </rPh>
    <rPh sb="128" eb="130">
      <t>チョクセン</t>
    </rPh>
    <rPh sb="130" eb="131">
      <t>テキ</t>
    </rPh>
    <rPh sb="132" eb="134">
      <t>カンケイ</t>
    </rPh>
    <rPh sb="135" eb="136">
      <t>ツヨ</t>
    </rPh>
    <rPh sb="138" eb="140">
      <t>ソウカン</t>
    </rPh>
    <rPh sb="140" eb="142">
      <t>ケイスウ</t>
    </rPh>
    <rPh sb="149" eb="151">
      <t>ソウカン</t>
    </rPh>
    <rPh sb="151" eb="153">
      <t>カンケイ</t>
    </rPh>
    <rPh sb="158" eb="160">
      <t>インガ</t>
    </rPh>
    <rPh sb="160" eb="162">
      <t>カンケイ</t>
    </rPh>
    <rPh sb="167" eb="168">
      <t>カギ</t>
    </rPh>
    <rPh sb="174" eb="176">
      <t>チュウイ</t>
    </rPh>
    <rPh sb="177" eb="179">
      <t>ヒツヨウ</t>
    </rPh>
    <rPh sb="187" eb="190">
      <t>ボシュウダン</t>
    </rPh>
    <rPh sb="192" eb="194">
      <t>チョウサ</t>
    </rPh>
    <rPh sb="195" eb="197">
      <t>コンナン</t>
    </rPh>
    <rPh sb="198" eb="200">
      <t>バアイ</t>
    </rPh>
    <rPh sb="202" eb="204">
      <t>ヒョウホン</t>
    </rPh>
    <rPh sb="204" eb="206">
      <t>チュウシュツ</t>
    </rPh>
    <rPh sb="207" eb="208">
      <t>オコナ</t>
    </rPh>
    <rPh sb="215" eb="216">
      <t>カタヨ</t>
    </rPh>
    <rPh sb="220" eb="222">
      <t>チュウシュツ</t>
    </rPh>
    <rPh sb="222" eb="224">
      <t>ホウホウ</t>
    </rPh>
    <rPh sb="225" eb="227">
      <t>センタク</t>
    </rPh>
    <rPh sb="247" eb="248">
      <t>モチ</t>
    </rPh>
    <rPh sb="251" eb="253">
      <t>カンベン</t>
    </rPh>
    <rPh sb="258" eb="260">
      <t>ブンセキ</t>
    </rPh>
    <rPh sb="261" eb="263">
      <t>カノウ</t>
    </rPh>
    <rPh sb="276" eb="277">
      <t>モチイラレ</t>
    </rPh>
    <rPh sb="282" eb="283">
      <t>ヒョウ</t>
    </rPh>
    <rPh sb="283" eb="285">
      <t>ケイシキ</t>
    </rPh>
    <rPh sb="300" eb="301">
      <t>ヨ</t>
    </rPh>
    <rPh sb="312" eb="313">
      <t>モチ</t>
    </rPh>
    <rPh sb="318" eb="319">
      <t>オオヒカクヒョウケイ</t>
    </rPh>
    <phoneticPr fontId="19"/>
  </si>
  <si>
    <t>コンピュータを用いたデータ分析（2,6,9,10,13,14）</t>
    <phoneticPr fontId="19"/>
  </si>
  <si>
    <t>②</t>
    <phoneticPr fontId="19"/>
  </si>
  <si>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9"/>
  </si>
  <si>
    <t>授業科目名称</t>
    <rPh sb="0" eb="2">
      <t>ジュギョウ</t>
    </rPh>
    <rPh sb="2" eb="4">
      <t>カモク</t>
    </rPh>
    <rPh sb="4" eb="6">
      <t>メイショウ</t>
    </rPh>
    <phoneticPr fontId="19"/>
  </si>
  <si>
    <t>統計及び数理基礎</t>
    <rPh sb="0" eb="2">
      <t>トウケイ</t>
    </rPh>
    <rPh sb="2" eb="3">
      <t>オヨ</t>
    </rPh>
    <rPh sb="4" eb="6">
      <t>スウリ</t>
    </rPh>
    <rPh sb="6" eb="8">
      <t>キソ</t>
    </rPh>
    <phoneticPr fontId="19"/>
  </si>
  <si>
    <t>アルゴリズム基礎</t>
    <rPh sb="6" eb="8">
      <t>キソ</t>
    </rPh>
    <phoneticPr fontId="19"/>
  </si>
  <si>
    <t>データ構造とプログラミング基礎</t>
    <rPh sb="3" eb="5">
      <t>コウゾウ</t>
    </rPh>
    <rPh sb="13" eb="15">
      <t>キソ</t>
    </rPh>
    <phoneticPr fontId="19"/>
  </si>
  <si>
    <t>時系列データ解析</t>
    <rPh sb="0" eb="3">
      <t>ジケイレツ</t>
    </rPh>
    <rPh sb="6" eb="8">
      <t>カイセキ</t>
    </rPh>
    <phoneticPr fontId="19"/>
  </si>
  <si>
    <t>テキスト解析</t>
    <rPh sb="4" eb="6">
      <t>カイセキ</t>
    </rPh>
    <phoneticPr fontId="19"/>
  </si>
  <si>
    <t>画像解析</t>
    <rPh sb="0" eb="2">
      <t>ガゾウ</t>
    </rPh>
    <rPh sb="2" eb="4">
      <t>カイセキ</t>
    </rPh>
    <phoneticPr fontId="19"/>
  </si>
  <si>
    <t>データハンドリング</t>
    <phoneticPr fontId="19"/>
  </si>
  <si>
    <t>データ活用実践（教師あり学習）</t>
    <rPh sb="3" eb="5">
      <t>カツヨウ</t>
    </rPh>
    <rPh sb="5" eb="7">
      <t>ジッセン</t>
    </rPh>
    <rPh sb="8" eb="10">
      <t>キョウシ</t>
    </rPh>
    <rPh sb="12" eb="14">
      <t>ガクシュウ</t>
    </rPh>
    <phoneticPr fontId="19"/>
  </si>
  <si>
    <t>その他</t>
    <rPh sb="2" eb="3">
      <t>タ</t>
    </rPh>
    <phoneticPr fontId="19"/>
  </si>
  <si>
    <t>③</t>
    <phoneticPr fontId="19"/>
  </si>
  <si>
    <t>プログラムの授業内容等を公表しているアドレス</t>
    <rPh sb="6" eb="8">
      <t>ジュギョウ</t>
    </rPh>
    <rPh sb="8" eb="10">
      <t>ナイヨウ</t>
    </rPh>
    <rPh sb="10" eb="11">
      <t>トウ</t>
    </rPh>
    <rPh sb="12" eb="14">
      <t>コウヒョウ</t>
    </rPh>
    <phoneticPr fontId="19"/>
  </si>
  <si>
    <t>④</t>
    <phoneticPr fontId="19"/>
  </si>
  <si>
    <t>(1) データの基本的な分析方法を知り、コンピュータを用いて実践することができる。
(2) データサイエンスの応用事例を知り、現実の課題に対するデータサイエンスや機械学習の役割を述べることができる。
(3) 自分の専門分野におけるデータサイエンスの活用事例を述べることができる。</t>
    <phoneticPr fontId="19"/>
  </si>
  <si>
    <t>様式４－４</t>
  </si>
  <si>
    <t>現代社会におけるデータサイエンス（3,4,9,10）</t>
  </si>
  <si>
    <t>機械学習の基礎と応用事例（11,12）</t>
  </si>
  <si>
    <t>機械学習の基礎と応用事例（11,12）</t>
    <phoneticPr fontId="18"/>
  </si>
  <si>
    <t>現代社会におけるデータサイエンス（3,4）</t>
  </si>
  <si>
    <t>データ分析の基礎（5,6,9,10）</t>
  </si>
  <si>
    <t>コンピュータを用いたデータ分析（7,8）</t>
  </si>
  <si>
    <t>様式４－５</t>
  </si>
  <si>
    <t>様式４－６</t>
  </si>
  <si>
    <t>(1) データの基本的な分析方法を知り、コンピュータを用いて実践することができる。
(2) データサイエンスの応用事例を知り、現実の課題に対するデータサイエンスの役割を述べることができる。
(3) 機械学習の基礎を知り、その可能性と限界について考えることができる。
(4) 自分の専門分野におけるデータサイエンスの活用事例を述べることができる。</t>
  </si>
  <si>
    <t>様式４－７</t>
  </si>
  <si>
    <r>
      <rPr>
        <sz val="12"/>
        <rFont val="ＭＳ Ｐゴシック"/>
        <family val="3"/>
        <charset val="128"/>
      </rPr>
      <t>近年の計算機処理性能の増加とともに扱うデータ量も増大し、</t>
    </r>
    <r>
      <rPr>
        <u/>
        <sz val="12"/>
        <rFont val="ＭＳ Ｐゴシック"/>
        <family val="3"/>
        <charset val="128"/>
      </rPr>
      <t>ビッグデータ</t>
    </r>
    <r>
      <rPr>
        <sz val="12"/>
        <rFont val="ＭＳ Ｐゴシック"/>
        <family val="3"/>
        <charset val="128"/>
      </rPr>
      <t>と呼ばれる大量のデータが新たなビジネス資源となってきており「21世紀の石油」とも呼ばれている。また、</t>
    </r>
    <r>
      <rPr>
        <u/>
        <sz val="12"/>
        <rFont val="ＭＳ Ｐゴシック"/>
        <family val="3"/>
        <charset val="128"/>
      </rPr>
      <t>機械学習・AI</t>
    </r>
    <r>
      <rPr>
        <sz val="12"/>
        <rFont val="ＭＳ Ｐゴシック"/>
        <family val="3"/>
        <charset val="128"/>
      </rPr>
      <t>の進展によって高性能なモデルが自動的に作成できるようになり、さまざまな分野に応用されてきている。</t>
    </r>
    <r>
      <rPr>
        <b/>
        <sz val="12"/>
        <rFont val="ＭＳ Ｐゴシック"/>
        <family val="3"/>
        <charset val="128"/>
      </rPr>
      <t xml:space="preserve">
モデルカリキュラムに対応するキーワード
</t>
    </r>
    <r>
      <rPr>
        <sz val="12"/>
        <rFont val="ＭＳ Ｐゴシック"/>
        <family val="3"/>
        <charset val="128"/>
      </rPr>
      <t>・導入1-1：ビッグデータ，人間の知的活動とAI
・導入1-6：AI最新技術の活用例（強化学習）など</t>
    </r>
    <phoneticPr fontId="18"/>
  </si>
  <si>
    <t>現代社会におけるデータサイエンス（1）</t>
  </si>
  <si>
    <t>機械学習の基礎と応用事例（9, 10）</t>
  </si>
  <si>
    <r>
      <rPr>
        <sz val="12"/>
        <rFont val="ＭＳ Ｐゴシック"/>
        <family val="3"/>
        <charset val="128"/>
      </rPr>
      <t>データには数値のみでなく、</t>
    </r>
    <r>
      <rPr>
        <u/>
        <sz val="12"/>
        <rFont val="ＭＳ Ｐゴシック"/>
        <family val="3"/>
        <charset val="128"/>
      </rPr>
      <t>テキストや画像</t>
    </r>
    <r>
      <rPr>
        <sz val="12"/>
        <rFont val="ＭＳ Ｐゴシック"/>
        <family val="3"/>
        <charset val="128"/>
      </rPr>
      <t>なども増えてきている。データは、個人や組織が独自に収集するほかに、誰でも利用できるように官民が作成して公開しているデータ（</t>
    </r>
    <r>
      <rPr>
        <u/>
        <sz val="12"/>
        <rFont val="ＭＳ Ｐゴシック"/>
        <family val="3"/>
        <charset val="128"/>
      </rPr>
      <t>オープンデータ</t>
    </r>
    <r>
      <rPr>
        <sz val="12"/>
        <rFont val="ＭＳ Ｐゴシック"/>
        <family val="3"/>
        <charset val="128"/>
      </rPr>
      <t>）を入手することもできる。これらのデータや機械学習が</t>
    </r>
    <r>
      <rPr>
        <u/>
        <sz val="12"/>
        <rFont val="ＭＳ Ｐゴシック"/>
        <family val="3"/>
        <charset val="128"/>
      </rPr>
      <t>活用</t>
    </r>
    <r>
      <rPr>
        <sz val="12"/>
        <rFont val="ＭＳ Ｐゴシック"/>
        <family val="3"/>
        <charset val="128"/>
      </rPr>
      <t>される領域は非常に広く、研究開発・製造・マーケティング・政策決定などに欠かせない。</t>
    </r>
    <r>
      <rPr>
        <b/>
        <sz val="12"/>
        <rFont val="ＭＳ Ｐゴシック"/>
        <family val="3"/>
        <charset val="128"/>
      </rPr>
      <t xml:space="preserve">
モデルカリキュラムに対応するキーワード
</t>
    </r>
    <r>
      <rPr>
        <sz val="12"/>
        <rFont val="ＭＳ Ｐゴシック"/>
        <family val="3"/>
        <charset val="128"/>
      </rPr>
      <t xml:space="preserve">・導入1-2：調査・実験データ、構造化／非構造化データ、オープンデータなど
・導入1-3：データ・AI活用領域の広がり、計画策定、知識発見など
</t>
    </r>
    <rPh sb="186" eb="188">
      <t>チョウサ</t>
    </rPh>
    <rPh sb="195" eb="198">
      <t>コウゾウカ</t>
    </rPh>
    <rPh sb="199" eb="200">
      <t>ヒ</t>
    </rPh>
    <rPh sb="200" eb="203">
      <t>コウゾウカ</t>
    </rPh>
    <rPh sb="239" eb="243">
      <t>ケイカクサクテイ</t>
    </rPh>
    <rPh sb="244" eb="246">
      <t>チシキ</t>
    </rPh>
    <rPh sb="246" eb="248">
      <t>ハッケン</t>
    </rPh>
    <phoneticPr fontId="18"/>
  </si>
  <si>
    <t>現代社会におけるデータサイエンス（2, 8）</t>
  </si>
  <si>
    <r>
      <t>取得したデータを分析するための手法には</t>
    </r>
    <r>
      <rPr>
        <u/>
        <sz val="12"/>
        <rFont val="ＭＳ Ｐゴシック"/>
        <family val="3"/>
        <charset val="128"/>
      </rPr>
      <t>集計・分類・予測</t>
    </r>
    <r>
      <rPr>
        <sz val="12"/>
        <rFont val="ＭＳ Ｐゴシック"/>
        <family val="3"/>
        <charset val="128"/>
      </rPr>
      <t>などがあり、手法の選択や結果の評価のためにはグラフや図による</t>
    </r>
    <r>
      <rPr>
        <u/>
        <sz val="12"/>
        <rFont val="ＭＳ Ｐゴシック"/>
        <family val="3"/>
        <charset val="128"/>
      </rPr>
      <t>データの可視化</t>
    </r>
    <r>
      <rPr>
        <sz val="12"/>
        <rFont val="ＭＳ Ｐゴシック"/>
        <family val="3"/>
        <charset val="128"/>
      </rPr>
      <t>も欠かせない。データの種類や目的に応じてどのような分析モデルを適用するか設計する必要がある。 課題の解決には、データ分析を1度行って終わりではなく、</t>
    </r>
    <r>
      <rPr>
        <u/>
        <sz val="12"/>
        <rFont val="ＭＳ Ｐゴシック"/>
        <family val="3"/>
        <charset val="128"/>
      </rPr>
      <t>PPDAC</t>
    </r>
    <r>
      <rPr>
        <sz val="12"/>
        <rFont val="ＭＳ Ｐゴシック"/>
        <family val="3"/>
        <charset val="128"/>
      </rPr>
      <t xml:space="preserve">といったサイクルを利用して洗練させていく。データサイエンスや機械学習の実世界での活用事例についても紹介する。
</t>
    </r>
    <r>
      <rPr>
        <b/>
        <sz val="12"/>
        <rFont val="ＭＳ Ｐゴシック"/>
        <family val="3"/>
        <charset val="128"/>
      </rPr>
      <t>モデルカリキュラムに対応するキーワード</t>
    </r>
    <r>
      <rPr>
        <sz val="12"/>
        <rFont val="ＭＳ Ｐゴシック"/>
        <family val="3"/>
        <charset val="128"/>
      </rPr>
      <t xml:space="preserve">
・導入1-4：データ解析，データ可視化（複合グラフ，2軸グラフ，多次元の可視化など），非構造化データ：画像処理など
・導入1-5：データ・探索的データ解析，環境・生命科学分野におけるデータ・AI利活用事例紹介
</t>
    </r>
    <rPh sb="297" eb="299">
      <t>カンキョウ</t>
    </rPh>
    <rPh sb="300" eb="304">
      <t>セイメイカガク</t>
    </rPh>
    <rPh sb="304" eb="306">
      <t>ブンヤ</t>
    </rPh>
    <phoneticPr fontId="18"/>
  </si>
  <si>
    <t>現代社会におけるデータサイエンス (2, 8）</t>
  </si>
  <si>
    <t>データ活用事例の紹介（11～14）</t>
  </si>
  <si>
    <r>
      <t>取得したデータはそのまま分析に利用できるとは限らない。データの欠損や異常値、表記ゆれ等がある場合には、事前に整形する必要がある。また、元のデータが</t>
    </r>
    <r>
      <rPr>
        <u/>
        <sz val="12"/>
        <rFont val="ＭＳ Ｐゴシック"/>
        <family val="3"/>
        <charset val="128"/>
      </rPr>
      <t>個人情報</t>
    </r>
    <r>
      <rPr>
        <sz val="12"/>
        <rFont val="ＭＳ Ｐゴシック"/>
        <family val="3"/>
        <charset val="128"/>
      </rPr>
      <t>を含む場合は、</t>
    </r>
    <r>
      <rPr>
        <u/>
        <sz val="12"/>
        <rFont val="ＭＳ Ｐゴシック"/>
        <family val="3"/>
        <charset val="128"/>
      </rPr>
      <t>個人情報保護</t>
    </r>
    <r>
      <rPr>
        <sz val="12"/>
        <rFont val="ＭＳ Ｐゴシック"/>
        <family val="3"/>
        <charset val="128"/>
      </rPr>
      <t>の観点から、一部の情報を削除するなど匿名化した</t>
    </r>
    <r>
      <rPr>
        <u/>
        <sz val="12"/>
        <rFont val="ＭＳ Ｐゴシック"/>
        <family val="3"/>
        <charset val="128"/>
      </rPr>
      <t>匿名加工情報</t>
    </r>
    <r>
      <rPr>
        <sz val="12"/>
        <rFont val="ＭＳ Ｐゴシック"/>
        <family val="3"/>
        <charset val="128"/>
      </rPr>
      <t xml:space="preserve">として扱うことが必要な場合もある。
</t>
    </r>
    <r>
      <rPr>
        <b/>
        <sz val="12"/>
        <rFont val="ＭＳ Ｐゴシック"/>
        <family val="3"/>
        <charset val="128"/>
      </rPr>
      <t>モデルカリキュラムに対応するキーワード</t>
    </r>
    <r>
      <rPr>
        <sz val="12"/>
        <rFont val="ＭＳ Ｐゴシック"/>
        <family val="3"/>
        <charset val="128"/>
      </rPr>
      <t xml:space="preserve">
・心得3-1：個人情報保護
・心得3-2：匿名加工情報、暗号化、パスワード</t>
    </r>
    <phoneticPr fontId="18"/>
  </si>
  <si>
    <t>現代社会におけるデータサイエンス（1, 2, 8）</t>
  </si>
  <si>
    <r>
      <t>データには</t>
    </r>
    <r>
      <rPr>
        <u/>
        <sz val="12"/>
        <rFont val="ＭＳ Ｐゴシック"/>
        <family val="3"/>
        <charset val="128"/>
      </rPr>
      <t>量的変数と質的変数</t>
    </r>
    <r>
      <rPr>
        <sz val="12"/>
        <rFont val="ＭＳ Ｐゴシック"/>
        <family val="3"/>
        <charset val="128"/>
      </rPr>
      <t>がある。一つの量的変数の分布は</t>
    </r>
    <r>
      <rPr>
        <u/>
        <sz val="12"/>
        <rFont val="ＭＳ Ｐゴシック"/>
        <family val="3"/>
        <charset val="128"/>
      </rPr>
      <t>平均値などの代表値</t>
    </r>
    <r>
      <rPr>
        <sz val="12"/>
        <rFont val="ＭＳ Ｐゴシック"/>
        <family val="3"/>
        <charset val="128"/>
      </rPr>
      <t>と</t>
    </r>
    <r>
      <rPr>
        <u/>
        <sz val="12"/>
        <rFont val="ＭＳ Ｐゴシック"/>
        <family val="3"/>
        <charset val="128"/>
      </rPr>
      <t>分散</t>
    </r>
    <r>
      <rPr>
        <sz val="12"/>
        <rFont val="ＭＳ Ｐゴシック"/>
        <family val="3"/>
        <charset val="128"/>
      </rPr>
      <t>などの数値で要約されるほか、</t>
    </r>
    <r>
      <rPr>
        <u/>
        <sz val="12"/>
        <rFont val="ＭＳ Ｐゴシック"/>
        <family val="3"/>
        <charset val="128"/>
      </rPr>
      <t>ヒストグラム</t>
    </r>
    <r>
      <rPr>
        <sz val="12"/>
        <rFont val="ＭＳ Ｐゴシック"/>
        <family val="3"/>
        <charset val="128"/>
      </rPr>
      <t>により可視化することができる。時間など異なる条件で分布を見るには</t>
    </r>
    <r>
      <rPr>
        <u/>
        <sz val="12"/>
        <rFont val="ＭＳ Ｐゴシック"/>
        <family val="3"/>
        <charset val="128"/>
      </rPr>
      <t>箱ひげ図</t>
    </r>
    <r>
      <rPr>
        <sz val="12"/>
        <rFont val="ＭＳ Ｐゴシック"/>
        <family val="3"/>
        <charset val="128"/>
      </rPr>
      <t>などが使われる。二つの量的変数の分布は</t>
    </r>
    <r>
      <rPr>
        <u/>
        <sz val="12"/>
        <rFont val="ＭＳ Ｐゴシック"/>
        <family val="3"/>
        <charset val="128"/>
      </rPr>
      <t>散布図</t>
    </r>
    <r>
      <rPr>
        <sz val="12"/>
        <rFont val="ＭＳ Ｐゴシック"/>
        <family val="3"/>
        <charset val="128"/>
      </rPr>
      <t>で可視化でき、その直線的な関係の強さは</t>
    </r>
    <r>
      <rPr>
        <u/>
        <sz val="12"/>
        <rFont val="ＭＳ Ｐゴシック"/>
        <family val="3"/>
        <charset val="128"/>
      </rPr>
      <t>相関係数</t>
    </r>
    <r>
      <rPr>
        <sz val="12"/>
        <rFont val="ＭＳ Ｐゴシック"/>
        <family val="3"/>
        <charset val="128"/>
      </rPr>
      <t>で要約される。</t>
    </r>
    <r>
      <rPr>
        <u/>
        <sz val="12"/>
        <rFont val="ＭＳ Ｐゴシック"/>
        <family val="3"/>
        <charset val="128"/>
      </rPr>
      <t>相関関係</t>
    </r>
    <r>
      <rPr>
        <sz val="12"/>
        <rFont val="ＭＳ Ｐゴシック"/>
        <family val="3"/>
        <charset val="128"/>
      </rPr>
      <t>があっても</t>
    </r>
    <r>
      <rPr>
        <u/>
        <sz val="12"/>
        <rFont val="ＭＳ Ｐゴシック"/>
        <family val="3"/>
        <charset val="128"/>
      </rPr>
      <t>因果関係</t>
    </r>
    <r>
      <rPr>
        <sz val="12"/>
        <rFont val="ＭＳ Ｐゴシック"/>
        <family val="3"/>
        <charset val="128"/>
      </rPr>
      <t>があるとは限らないことに注意が必要である。データの母集団での調査が困難な場合には</t>
    </r>
    <r>
      <rPr>
        <u/>
        <sz val="12"/>
        <rFont val="ＭＳ Ｐゴシック"/>
        <family val="3"/>
        <charset val="128"/>
      </rPr>
      <t>標本抽出</t>
    </r>
    <r>
      <rPr>
        <sz val="12"/>
        <rFont val="ＭＳ Ｐゴシック"/>
        <family val="3"/>
        <charset val="128"/>
      </rPr>
      <t>を行うが、なるべく偏りのない抽出方法を選択する。Excelなどの</t>
    </r>
    <r>
      <rPr>
        <u/>
        <sz val="12"/>
        <rFont val="ＭＳ Ｐゴシック"/>
        <family val="3"/>
        <charset val="128"/>
      </rPr>
      <t>スプレッドシート</t>
    </r>
    <r>
      <rPr>
        <sz val="12"/>
        <rFont val="ＭＳ Ｐゴシック"/>
        <family val="3"/>
        <charset val="128"/>
      </rPr>
      <t>を用いれば簡便にデータの分析が可能である。</t>
    </r>
    <r>
      <rPr>
        <u/>
        <sz val="12"/>
        <rFont val="ＭＳ Ｐゴシック"/>
        <family val="3"/>
        <charset val="128"/>
      </rPr>
      <t>表形式のデータ</t>
    </r>
    <r>
      <rPr>
        <sz val="12"/>
        <rFont val="ＭＳ Ｐゴシック"/>
        <family val="3"/>
        <charset val="128"/>
      </rPr>
      <t>のやりとりには</t>
    </r>
    <r>
      <rPr>
        <u/>
        <sz val="12"/>
        <rFont val="ＭＳ Ｐゴシック"/>
        <family val="3"/>
        <charset val="128"/>
      </rPr>
      <t>CSV</t>
    </r>
    <r>
      <rPr>
        <sz val="12"/>
        <rFont val="ＭＳ Ｐゴシック"/>
        <family val="3"/>
        <charset val="128"/>
      </rPr>
      <t xml:space="preserve">と呼ばれるテキストデータを用いることが多い。
</t>
    </r>
    <r>
      <rPr>
        <b/>
        <sz val="12"/>
        <rFont val="ＭＳ Ｐゴシック"/>
        <family val="3"/>
        <charset val="128"/>
      </rPr>
      <t xml:space="preserve">モデルカリキュラムに対応するキーワード
</t>
    </r>
    <r>
      <rPr>
        <sz val="12"/>
        <rFont val="ＭＳ Ｐゴシック"/>
        <family val="3"/>
        <charset val="128"/>
      </rPr>
      <t>・基礎2-1：データの種類、分布、標本抽出など
・基礎2-2：データの図表表現など
・基礎2-3:データの集計（和、平均）、スプレッドシートなど</t>
    </r>
    <rPh sb="342" eb="344">
      <t>ブンプ</t>
    </rPh>
    <rPh sb="345" eb="347">
      <t>ヒョウホン</t>
    </rPh>
    <rPh sb="347" eb="349">
      <t>チュウシュツ</t>
    </rPh>
    <phoneticPr fontId="18"/>
  </si>
  <si>
    <t>データ分析の基礎（3～4）</t>
  </si>
  <si>
    <t>コンピュータを用いたデータ分析（5～6）</t>
  </si>
  <si>
    <t>機械学習の基礎と応用事例（9～10）</t>
  </si>
  <si>
    <t>様式５</t>
  </si>
  <si>
    <t>：</t>
  </si>
  <si>
    <t>教育の質・履修者数を向上させるための体制・計画について</t>
  </si>
  <si>
    <t>プログラムを改善・進化させるための体制を定める規則名称</t>
  </si>
  <si>
    <t>数理・データサイエンス教育タスクフォース,全学教育推進委員会</t>
    <phoneticPr fontId="18"/>
  </si>
  <si>
    <t>体制の目的</t>
  </si>
  <si>
    <t xml:space="preserve">「数理及びデータサイエンスに係る教育強化」の協力校として，文系から理系までの全学生約2,200 名（理系1,300 名＋文系900名）を遍く対象とする数理・データサイエンス教育を展開し，医療・金融・法律など様々な専門分野において,データに基づく社会的課題解決や新たな価値創造が可能な人材育成を行うことをめざし, その基礎を構築する目的で数理・データサイエンス教育タスクフォースを設置した。タスクフォースによって策定された教育プログラムの実施計画は，全学教育推進委員会で審議・承認されたのち，全学の協力体制の下で執行されている。さらに令和3年度中に，AI・データサイエンス教育研究センター（仮）を設置し，より強化した形で改善・進化させるための体制を整える。
</t>
    <rPh sb="205" eb="207">
      <t>サクテイ</t>
    </rPh>
    <rPh sb="210" eb="212">
      <t>キョウイク</t>
    </rPh>
    <rPh sb="218" eb="220">
      <t>ジッシ</t>
    </rPh>
    <rPh sb="220" eb="222">
      <t>ケイカク</t>
    </rPh>
    <rPh sb="224" eb="228">
      <t>ゼンガクキョウイク</t>
    </rPh>
    <rPh sb="228" eb="233">
      <t>スイシンイインカイ</t>
    </rPh>
    <rPh sb="234" eb="236">
      <t>シンギ</t>
    </rPh>
    <rPh sb="237" eb="239">
      <t>ショウニン</t>
    </rPh>
    <rPh sb="245" eb="247">
      <t>ゼンガク</t>
    </rPh>
    <rPh sb="248" eb="250">
      <t>キョウリョク</t>
    </rPh>
    <rPh sb="250" eb="252">
      <t>タイセイ</t>
    </rPh>
    <rPh sb="253" eb="254">
      <t>モト</t>
    </rPh>
    <rPh sb="255" eb="257">
      <t>シッコウ</t>
    </rPh>
    <phoneticPr fontId="18"/>
  </si>
  <si>
    <t>具体的な構成員</t>
  </si>
  <si>
    <r>
      <t xml:space="preserve">数理・データサイエンス教育タスクフォース
</t>
    </r>
    <r>
      <rPr>
        <sz val="12"/>
        <rFont val="ＭＳ Ｐゴシック"/>
        <family val="3"/>
        <charset val="128"/>
      </rPr>
      <t>環境理工学部 (座長) 教授 栗原 考次
教育学部 教授 稲田 佳彦
教育学部 教授 入江　隆
法学部(法務研究科)　助教 羅 明振
経済学部 助教 國米 充之
理学部 教授 市岡 優典
工学部 教授 門田 暁人
環境理工学部 教授 坂本 亘
全学教育・学生支援機構 教授 飯塚 誠也
全学教育・学生支援機構 准教授 籠谷 裕人
全学教育・学生支援機構 特任教授 佐々木 健二
全学教育・学生支援機構 教授 花谷 正
工学部 助教 小寺 雄太
学務部 主査 坂部 範章
学務部 主査 松下 友洋</t>
    </r>
  </si>
  <si>
    <t>履修者数・履修率の向上に向けた計画</t>
  </si>
  <si>
    <t>各年度の履修者数（夜間主を除く）の目標を以下のとおりとする。（（　）内は履修率。）
令和３年度　2100名　（34％）
令和４年度　2100名　（56％）
令和５年度　2100名　（79％）
令和６年度　2100名　（100％）
令和７年度　2100名　（100％）
これらの目標を実現するために，「数理・データサイエンスの基礎」を令和2年度より理系学部1年次生（例外的に2年次の学部あり）を対象に必修科目として開講した。さらに令和3年度より文系学部１年次生にも必修科目とする予定としており，令和3年度で全学部必修科目とするカリキュラム設定が完了することとなる。
このように，履修者については年々増加する計画となっているので，履修者数，履修率については目標を充分達成できる見込みである。</t>
    <rPh sb="9" eb="12">
      <t>ヤカンシュ</t>
    </rPh>
    <rPh sb="13" eb="14">
      <t>ノゾ</t>
    </rPh>
    <rPh sb="181" eb="182">
      <t>セイ</t>
    </rPh>
    <rPh sb="197" eb="199">
      <t>タイショウ</t>
    </rPh>
    <rPh sb="200" eb="202">
      <t>ヒッシュウ</t>
    </rPh>
    <rPh sb="202" eb="204">
      <t>カモク</t>
    </rPh>
    <rPh sb="207" eb="209">
      <t>カイコウ</t>
    </rPh>
    <rPh sb="229" eb="230">
      <t>セイ</t>
    </rPh>
    <rPh sb="269" eb="271">
      <t>セッテイ</t>
    </rPh>
    <rPh sb="272" eb="274">
      <t>カンリョウ</t>
    </rPh>
    <rPh sb="330" eb="332">
      <t>ジュウブン</t>
    </rPh>
    <phoneticPr fontId="18"/>
  </si>
  <si>
    <t>学部・学科に関係なく希望する学生全員が受講可能となるような必要な体制・取組等</t>
  </si>
  <si>
    <t>数理・データサイエンス教育タスクフォースは発足以来，「数理・データサイエンスの基礎」の全学必修化を目標に検討しており，令和3年度には本科目は全学部対象必修科目として開講されるため，１年次生全員が受講する履修体制が実現することとなる。
各学部の必修科目として行うため，本科目においては拠点校（滋賀大学）が作成したオンライン教材を活用したLMSコンテンツを用意することにより，「数理・データサイエンスの基礎」の主要な教育コンテンツを多くの学部で共有することとしている。
各学部の専任教員が授業担当者として本授業を行うこととしており，タスクフォースが用意したコンテンツを利用する回に加え，各学部の専門分野での数理・データサイエンス・AIの活用事例や利用場面などを授業する回もあり，より大学での数理・データサイエンス・AIの学びを深化させる工夫をしている。</t>
    <rPh sb="21" eb="25">
      <t>ホッソクイライ</t>
    </rPh>
    <rPh sb="59" eb="61">
      <t>レイワ</t>
    </rPh>
    <rPh sb="62" eb="64">
      <t>ネンド</t>
    </rPh>
    <rPh sb="66" eb="69">
      <t>ホンカモク</t>
    </rPh>
    <rPh sb="75" eb="79">
      <t>ヒッシュウカモク</t>
    </rPh>
    <rPh sb="82" eb="84">
      <t>カイコウ</t>
    </rPh>
    <rPh sb="94" eb="96">
      <t>ゼンイン</t>
    </rPh>
    <rPh sb="97" eb="99">
      <t>ジュコウ</t>
    </rPh>
    <rPh sb="101" eb="105">
      <t>リシュウタイセイ</t>
    </rPh>
    <rPh sb="106" eb="108">
      <t>ジツゲン</t>
    </rPh>
    <phoneticPr fontId="18"/>
  </si>
  <si>
    <t>できる限り多くの学生が履修できるような具体的な周知方法・取組</t>
  </si>
  <si>
    <t>令和元年度より，特別開講で本プログラムに該当する授業を行っているがその周知のため，令和元年後半，令和２年前半には本授業に関するポスターも大学内に掲示し学生が情報を受け取りやすいよう告知をし，さらに，学生の目に触れやすい大学構内８箇所に本授業に関する大きな立看板を設置している。
令和２年度からは「数理・データサイエンスの基礎」は理系学部では必修科目となったため，当該学部の学生便覧に明記するとともに，入学時のガイダンスにより全学生に周知している。
また，数理・データサイエンスタスクフォースのホームページも令和元年より用意し，数理・データサイエンス・AIに関する取り組みを周知している。
このように，学生が本学の数理・データサイエンス教育に関する情報を受け取りやすい環境を用意し，本プログラムへの関心を深めるようにしている。</t>
    <rPh sb="139" eb="141">
      <t>レイワ</t>
    </rPh>
    <rPh sb="142" eb="144">
      <t>ネンド</t>
    </rPh>
    <rPh sb="164" eb="168">
      <t>リケイガクブ</t>
    </rPh>
    <rPh sb="181" eb="183">
      <t>トウガイ</t>
    </rPh>
    <rPh sb="340" eb="341">
      <t>ホン</t>
    </rPh>
    <rPh sb="348" eb="350">
      <t>カンシン</t>
    </rPh>
    <rPh sb="351" eb="352">
      <t>フカ</t>
    </rPh>
    <phoneticPr fontId="18"/>
  </si>
  <si>
    <t>できる限り多くの学生が履修・修得できるようなサポート体制</t>
  </si>
  <si>
    <t>本教育プログラムの授業は，多くの学部で１年次第3学期必修科目としているが，数理・データサイエンス教育タスクフォースが用意しているコンテンツはLMS上で展開されており，多くの学生がいつでも授業の内容について閲覧が可能な環境を構築している。また，また，さらに当該授業で利用する滋賀大学の動画コンテンツも，履修開始から半年間いつでも閲覧可能となっており，学生が容易に自由にアクセスできる環境も整っている。</t>
  </si>
  <si>
    <t>授業時間内外で学習指導、質問を受け付ける具体的な仕組み</t>
  </si>
  <si>
    <t>本教育プログラムについては，授業コンテンツはLMSで管理している。学生は，授業時間外に，LMSやテレビ会議システム，電子メール等を通じて，担当教員に不明点，質問等を問い合わせることができるようになっている。また，さらに当該授業で利用する滋賀大学の動画コンテンツについては，「大学生のためのデータサイエンスI」，「大学生のためのデータサイエンスII」「統計学I」「統計学II」を契約し，半年間閲覧可能としてあるため，履修中，履修後も数理・データサイエンス・AIに関するコンテンツを用い更なる学習も可能としている。さらに「数理・データサイエンスの基礎」履修者は，選択科目としてデータサイエンスで利用されるソフトウェアの利用に関する「数理・データサイエンス基礎演習A」を履修することができることとしている。</t>
    <phoneticPr fontId="18"/>
  </si>
  <si>
    <t>様式６</t>
  </si>
  <si>
    <t>自己点検・評価について</t>
  </si>
  <si>
    <t>自己点検・評価体制における意見等</t>
  </si>
  <si>
    <t>自己点検・評価の視点</t>
  </si>
  <si>
    <t>自己点検・評価体制における意見・結果・改善に向けた取組等</t>
  </si>
  <si>
    <t>学内からの視点</t>
  </si>
  <si>
    <t>プログラムの履修・修得状況</t>
  </si>
  <si>
    <t>数理・データサイエンス教育タスクフォースにおいて，プログラムの履修・修得状況の報告を定期的に行い，タスクフォース内で学生の出席状況や授業の進行状況を把握している。また，LMSを活用し，受講者ごとに課題の提出状況や進捗状況を把握することができる。これらの点検をもとに，次期開講のクラス編成や授業実施形態などの改善に結び付けている。</t>
    <phoneticPr fontId="18"/>
  </si>
  <si>
    <t>学修成果</t>
  </si>
  <si>
    <t>本教育プログラムの授業内容と学修成果に関する点検・評価は，数理・データサイエンス教育タスクフォースが教養教育専門委員会学系部会と協同で行っている。
本教育プログラムの目標とする学修成果は，各科目のシラバス中に到達目標として明記するとともに，コンピテンシーとして学生に示している。また，学務情報システムから提供される各授業科目の成績分布や，受講者全員に対して行う授業評価アンケート結果をもとに，学生の理解度と学修成果の獲得状況を点検することによって，授業内容と教育方法及び評価方法の改善を図っている。</t>
    <rPh sb="59" eb="61">
      <t>ガッケイ</t>
    </rPh>
    <rPh sb="94" eb="97">
      <t>カクカモク</t>
    </rPh>
    <rPh sb="102" eb="103">
      <t>ナカ</t>
    </rPh>
    <rPh sb="104" eb="108">
      <t>トウタツモクヒョウ</t>
    </rPh>
    <rPh sb="111" eb="113">
      <t>メイキ</t>
    </rPh>
    <phoneticPr fontId="18"/>
  </si>
  <si>
    <t>学生アンケート等を通じた学生の内容の理解度</t>
  </si>
  <si>
    <t>本教育プログラム受講者（「数理・データサイエンスの基礎」履修者）のための授業コンテンツと学習プログラムはLMSで管理している。各授業において小テストや提出課題を用意し学生の内容の理解度をはかっている。また滋賀大学の動画コンテンツにおいても，確認テストが用意されておりこちらも利用し理解度を把握している。
さらに受講者全員に対して授業評価アンケートを実施しており，説明や提示資料のわかりやすさ等を分析し，授業内容や授業方法の改善に活かしている。</t>
    <rPh sb="44" eb="46">
      <t>ガクシュウ</t>
    </rPh>
    <rPh sb="201" eb="205">
      <t>ジュギョウナイヨウ</t>
    </rPh>
    <rPh sb="206" eb="208">
      <t>ジュギョウ</t>
    </rPh>
    <rPh sb="208" eb="210">
      <t>ホウホウ</t>
    </rPh>
    <phoneticPr fontId="18"/>
  </si>
  <si>
    <t>学生アンケート等を通じた後輩等他の学生への推奨度</t>
  </si>
  <si>
    <t>本教育プログラム受講者（「数理・データサイエンスの基礎」履修者）全員に対して授業評価アンケートを実施しており，授業全体の満足度，説明のわかりやすさ，教材のわかりやすさなどを調査し，後輩等への学生の推奨度が上がるよう改善をしている。また全教養教育科目では，授業評価アンケートの中の「授業全体の満足度」に関する評価結果を全学生に公開しているので，当該授業の評価が高くなれば，次年度履修生への推奨度が上がることになる。</t>
    <phoneticPr fontId="18"/>
  </si>
  <si>
    <t>全学的な履修者数、履修率向上に向けた計画の達成・進捗状況</t>
  </si>
  <si>
    <t>本教育プログラムを構成する科目「数理・データサイエンスの基礎」については，令和2年度に理系学部，令和3年度から文系学部で必修科目として開講することが決まっており，履修率の向上に向けては順調に計画が進んでいる。基本的に各学部の専任教員が，各学部の数理・データサイエンス・AIの利活用等，実態に合った授業内容を展開しており，各専門分野ごとの基礎科目として常に改善をしている。</t>
    <phoneticPr fontId="18"/>
  </si>
  <si>
    <t>学外からの視点</t>
  </si>
  <si>
    <t>教育プログラム修了者の進路、活躍状況、企業等の評価</t>
  </si>
  <si>
    <t>卒業生・修了生・就職先アンケートを定期的に実施しており，本教育プログラムを終了した卒業生の進路や活躍状況の把握が可能である。基本的に令和3年度より全学部必修科目として実施するため4年後以降は本教育プログラム履修生の調査となる。また企業や公務員団体に対して，調査を実施し本プログラム修了者の採用状況や活躍状況を把握する仕組みを計画している。</t>
    <rPh sb="4" eb="7">
      <t>シュウリョウセイ</t>
    </rPh>
    <rPh sb="8" eb="11">
      <t>シュウショクサキ</t>
    </rPh>
    <rPh sb="103" eb="106">
      <t>リシュウセイ</t>
    </rPh>
    <phoneticPr fontId="18"/>
  </si>
  <si>
    <t>産業界からの視点を含めた教育プログラム内容・手法等への意見</t>
  </si>
  <si>
    <t xml:space="preserve">岡山大学数理・データサイエンス教育ワークショップを2021年3月15日に開催した。その中で「岡山県におけるIoT推進に係る取り組み」と題して，産官学連携推進の観点から，本学の教育プログラムなどの取り組みへの提言をいただいた。また，アンケートを実施して，本学の教育プログラムについて意見を収集した。今後もワークショップやFD研修などの場で定期的に意見を収集できる体制を整えている。
</t>
  </si>
  <si>
    <t>数理・データサイエンス・ＡＩを「学ぶ楽しさ」「学ぶことの意義」を理解させること</t>
  </si>
  <si>
    <t>本学の本教育プログラムは，各学部の専任教員が担当教員となり，「数理・データサイエンスの基礎」を行っている。動画コンテンツを利用することによりモデルカリキュラムリテラシーレベルに準じた内容を展開するとともに，数理・データサイエンス・AIが学生が所属する学部の領域で活用されている最新の事例，実例などを，その学部の専任教員が授業し，学生にとっては興味を持ちやすい内容となっている。</t>
  </si>
  <si>
    <t>内容・水準を維持・向上しつつ、より「分かりやすい」授業とすること</t>
  </si>
  <si>
    <t>数理・データサイエンス教育タスクフォースにおいて，学生アンケートや関連学会の動向，他大学の授業内容，地域企業，官公庁からの意見を参考に，授業の内容，実施方法の見直し，改善をしており，今後も継続していく。</t>
    <phoneticPr fontId="18"/>
  </si>
  <si>
    <t>※公表している場合のアドレス</t>
  </si>
  <si>
    <t>自己点検・評価体制における意見等の公表の有無</t>
  </si>
  <si>
    <t>有</t>
  </si>
  <si>
    <t>https://www.iess.ccsv.okayama-u.ac.jp/kikan/ds/literacylevel/</t>
  </si>
  <si>
    <t>様式７</t>
  </si>
  <si>
    <t>数理・データサイエンス・AI教育プログラム認定制度（リテラシーレベル）プラス　申請書</t>
  </si>
  <si>
    <t>授業内容</t>
  </si>
  <si>
    <t xml:space="preserve">岡山大学は11学部を擁する総合大学であり，一学年で約2,200名の学生が在籍している。本プログラムには大きな特徴が2つある。
一つ目は，「数理・データサイエンス教育強化拠点コンソーシアム」と連携を取り，拠点校（滋賀大学）が作成したオンライン教材を活用し，文系理系を問わず遍く数理・データサイエンス科目「数理・データサイエンスの基礎」を必修として履修させる点にある。すなわち，岡山大学の全学生を対象に，数理・データサイエンス・AI教育のリテラシーレベル質保証を行っている。
二つ目は，学部ごとに授業を構成し，その学部の専任教員が授業を行うことである。「数理・データサイエンス教育タスクフォース」を設置し，各部局のベースとなる知識・レベルやデータサイエンスの専門への応用が異なることへの対応について議論してきた。検討の結果，学生が所属する学部の専任教員がデータサイエンスに対するオリエンテーション的な授業を行うこととした。このような授業は，入学した学部での数理・データサイエンス・AIの有用性を学習でき，その後の学修，研究において数理・データサイエンス・AIがより身近なものとなる。さらに、その学部の専門性に応じた数理・データサイエンス・AIに関する知識，活用事例を1年時に履修することの意義は非常に大きい。
プログラムの進捗状況については，令和2年度には理系学部１年次生向けに開講しており，令和3年度には文系学部１年次生向けに開講する予定である。当初計画以前に入学した学生にも「数理・データサイエンス・AI」の教育プログラムの門戸を開くため，特別開講として令和2年度入学以前の学生（令和2年度に2年次生以上および文系学部）対象に，特別開講として令和元年に全学年対象の選択科目，令和2年度に文系学部向けに「数理・データサイエンスの基礎（選択科目）」を開講した。
</t>
    <phoneticPr fontId="18"/>
  </si>
  <si>
    <t>学生への学習支援</t>
  </si>
  <si>
    <t>文系理系学生の基礎知識の差が予想されることから，大学院生のティーチングアシスタント（TA）を配置し，きめ細かな指導を行う。独創性の１つは，このTAの活用にある。TAに採用する学生は，彼らが企業に就職した後も数理・データサイエンス・AIのエバンジェリスト的な活躍が期待される。本プログラムではTAを経験することによって，数理・データサイエンス・AIに疎い学生への教え方のノウハウを獲得させるとともに，就職後にも職場における数理・データサイエンスの普及を意識づける。
また，授業における基礎的な共通部分については，「数理・データサイエンス教育タスクフォース」において授業内容を準備している。具体的には，拠点校（滋賀大学）が作成したオンライン教材を大いに活用する。このオンライン教材はトピックごとに確認テストを行うことができ学生の習熟度や理解度などを把握できるようになっている。また，本学においてもその説明を補助する形で本学独自の資料や小テスト，課題を含んだ本学のLMS上にテンプレートとなるコースを用意し，全学部の担当者が学生の習熟度を把握し授業に役立てることとができる環境を提供している。
本プログラムで利用する滋賀大学のオンライン動画教材は，契約上「大学生のためのデータサイエンスI」「大学生のためのデータサイエンスII」「統計学I」「統計学II」が半年間視聴できる契約としている。本授業では，主に「大学生のためのデータサイエンスI」「大学生のためのデータサイエンスII」を取り扱うが，授業で取り扱わなかったコンテンツを学生独自で視聴し確認テストを受講できるなど興味ある学生にとっては更なる学習も可能な状況となっている。
また，更なる学習を希望する学生には，「数理・データサイエンスの基礎演習A」としてデータサイエンスで利用されるソフトウェアを実際に利用する演習を履修できることとしている。</t>
  </si>
  <si>
    <t>その他の取組（地域連携、産業界との連携、海外の大学等との連携等）</t>
  </si>
  <si>
    <t>数理・データサイエンス・AIにおけるリテラシーレベルの授業に関しては，FD活動を通じ地域の他の公私立大学への普及を目的とし「数理・データサイエンス科目」を普及させていく予定である。本学は，岡山県内の１８大学で構成された「大学コンソーシアム岡山」に加盟しており，大学相互での単位互換履修の仕組みがある。令和3年度には，「数理・データサイエンスの基礎」を提供している。また岡山には，比較的，数理・データサイエンス・ＡＩ分野で活躍している大学教員も多い。これを活かし，近隣の他大学の学生は直接履修，遠隔地の他大学の学生には遠隔講義システムの活用などにより，本プログラムによる「数理・データサイエンス科目」を普及させていく予定である。
また，産業界や経済界においては，現在数理・データサイエンス・AIに関する人材の需要が高まっている。企業，公務員団体においてはIoT,AIの取り組みが促進されており，本プログラムを修了しリテラシーレベルを修得した学生は，卒業後の活躍が期待され，更なる発展が期待される。卒業後においても，数理・データサイエンス・AIの知識は，今後必須となるため，岡山大学は産業界の岡山県や中国経済連合会とともに中国地域の企業で活躍できるデータサイエンティストをの育成を目指し，教育プログラムの普及を検討している。
2021年3月15日には岡山大学において，数理・データサイエンス教育ワークショップを開催した。その中で「岡山県におけるIoT推進に係る取り組み」と題して，産官学連携推進の観点から，本学の教育プログラムなどの取り組みへの提言をいただいた。また，アンケートを実施して，本学の教育プログラムについて意見を収集した。ワークショップやFD研修などの場で定期的に意見を収集できる体制を整えている。</t>
    <phoneticPr fontId="18"/>
  </si>
  <si>
    <t>https://www.iess.ccsv.okayama-u.ac.jp/kikan/ds/literacylevel/</t>
    <phoneticPr fontId="18"/>
  </si>
  <si>
    <t xml:space="preserve">文学部，法学部，経済学部，医学部，農学部では，教養教育科目「数理・データサイエンスの基礎」1単位を選択科目として取得すること。
なお，この授業科目は，1日に2時限を連続して開講しているため，シラバスでは1，2時限は1日目として示している。
</t>
    <rPh sb="49" eb="51">
      <t>センタク</t>
    </rPh>
    <rPh sb="51" eb="53">
      <t>カモク</t>
    </rPh>
    <phoneticPr fontId="18"/>
  </si>
  <si>
    <t>教育学部では，教養教育科目「数理・データサイエンスの基礎」1単位を選択科目として取得すること。
なお，この授業科目は，1日に2時限を連続して開講している。</t>
    <rPh sb="9" eb="11">
      <t>キョウイク</t>
    </rPh>
    <rPh sb="33" eb="35">
      <t>センタク</t>
    </rPh>
    <rPh sb="35" eb="37">
      <t>カモク</t>
    </rPh>
    <phoneticPr fontId="18"/>
  </si>
  <si>
    <t>理学部では，教養教育科目「数理・データサイエンスの基礎」1単位を必修科目として取得すること。
なお，この授業科目は，1日に2時限を連続して開講している。</t>
    <rPh sb="32" eb="34">
      <t>ヒッシュウ</t>
    </rPh>
    <rPh sb="34" eb="36">
      <t>カモク</t>
    </rPh>
    <phoneticPr fontId="18"/>
  </si>
  <si>
    <r>
      <t xml:space="preserve">歯学部では，教養教育科目「数理・データサイエンスの基礎」1単位を必修科目として取得すること。
</t>
    </r>
    <r>
      <rPr>
        <sz val="12"/>
        <color rgb="FFFF0000"/>
        <rFont val="ＭＳ Ｐゴシック"/>
        <family val="2"/>
        <charset val="1"/>
      </rPr>
      <t xml:space="preserve">なお，この授業科目は，1日に2時限を連続して開講しているため，シラバスでは1，2時限は1日目として示している。
</t>
    </r>
    <rPh sb="32" eb="34">
      <t>ヒッシュウ</t>
    </rPh>
    <rPh sb="34" eb="36">
      <t>カモク</t>
    </rPh>
    <phoneticPr fontId="18"/>
  </si>
  <si>
    <r>
      <t xml:space="preserve">薬学部では，教養教育科目「数理・データサイエンスの基礎」1単位を必修科目として取得すること。
</t>
    </r>
    <r>
      <rPr>
        <sz val="12"/>
        <color rgb="FFFF0000"/>
        <rFont val="ＭＳ Ｐゴシック"/>
        <family val="2"/>
        <charset val="1"/>
      </rPr>
      <t xml:space="preserve">なお，この授業科目は，1日に2時限を連続して開講しているため，シラバスでは1，2時限は1日目として示している。
</t>
    </r>
    <rPh sb="32" eb="34">
      <t>ヒッシュウ</t>
    </rPh>
    <rPh sb="34" eb="36">
      <t>カモク</t>
    </rPh>
    <phoneticPr fontId="18"/>
  </si>
  <si>
    <r>
      <t xml:space="preserve">工学部では，教養教育科目「数理・データサイエンスの基礎」1単位を必修科目として取得すること。
</t>
    </r>
    <r>
      <rPr>
        <sz val="12"/>
        <color rgb="FFFF0000"/>
        <rFont val="ＭＳ Ｐゴシック"/>
        <family val="2"/>
        <charset val="1"/>
      </rPr>
      <t xml:space="preserve">なお，この授業科目は，1日に2時限を連続して開講しているため，シラバスでは1，2時限は1日目として示している。
</t>
    </r>
    <rPh sb="32" eb="34">
      <t>ヒッシュウ</t>
    </rPh>
    <rPh sb="34" eb="36">
      <t>カモク</t>
    </rPh>
    <phoneticPr fontId="18"/>
  </si>
  <si>
    <t xml:space="preserve">環境理工学部では，教養教育科目「数理・データサイエンスの基礎」1単位を必修科目として取得すること。
なお，この授業科目は，1日に2時限を連続して開講している。
</t>
    <rPh sb="35" eb="37">
      <t>ヒッシュウ</t>
    </rPh>
    <rPh sb="37" eb="39">
      <t>カモク</t>
    </rPh>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</si>
</sst>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x14ac:knownFonts="1">
    <font>
      <sz val="11"/>
      <color rgb="FF000000"/>
      <name val="ＭＳ Ｐゴシック"/>
      <family val="2"/>
      <charset val="128"/>
    </font>
    <font>
      <sz val="11"/>
      <color theme="1"/>
      <name val="游ゴシック"/>
      <family val="2"/>
      <charset val="128"/>
      <scheme val="minor"/>
    </font>
    <font>
      <sz val="11"/>
      <color theme="1"/>
      <name val="游ゴシック"/>
      <family val="2"/>
      <charset val="128"/>
      <scheme val="minor"/>
    </font>
    <font>
      <sz val="12"/>
      <name val="ＭＳ Ｐゴシック"/>
      <family val="2"/>
      <charset val="128"/>
    </font>
    <font>
      <sz val="12"/>
      <name val="ＭＳ Ｐゴシック"/>
      <family val="3"/>
      <charset val="128"/>
    </font>
    <font>
      <sz val="12"/>
      <color rgb="FFFF0000"/>
      <name val="ＭＳ Ｐゴシック"/>
      <family val="3"/>
      <charset val="128"/>
    </font>
    <font>
      <u/>
      <sz val="11"/>
      <color rgb="FF0000FF"/>
      <name val="ＭＳ Ｐゴシック"/>
      <family val="2"/>
      <charset val="128"/>
    </font>
    <font>
      <sz val="12"/>
      <color rgb="FFFF0000"/>
      <name val="ＭＳ Ｐゴシック"/>
      <family val="2"/>
      <charset val="128"/>
    </font>
    <font>
      <sz val="12"/>
      <color rgb="FF000000"/>
      <name val="ＭＳ Ｐゴシック"/>
      <family val="2"/>
      <charset val="128"/>
    </font>
    <font>
      <sz val="12"/>
      <color rgb="FF000000"/>
      <name val="ＭＳ Ｐゴシック"/>
      <family val="3"/>
      <charset val="128"/>
    </font>
    <font>
      <sz val="10"/>
      <color rgb="FF000000"/>
      <name val="ＭＳ Ｐゴシック"/>
      <family val="3"/>
      <charset val="128"/>
    </font>
    <font>
      <sz val="7"/>
      <color rgb="FF000000"/>
      <name val="ＭＳ Ｐゴシック"/>
      <family val="3"/>
      <charset val="128"/>
    </font>
    <font>
      <sz val="9"/>
      <color rgb="FF000000"/>
      <name val="ＭＳ Ｐゴシック"/>
      <family val="3"/>
      <charset val="128"/>
    </font>
    <font>
      <sz val="9"/>
      <color rgb="FF000000"/>
      <name val="ＭＳ Ｐゴシック"/>
      <family val="2"/>
      <charset val="128"/>
    </font>
    <font>
      <b/>
      <sz val="12"/>
      <color rgb="FF4F81BD"/>
      <name val="ＭＳ Ｐゴシック"/>
      <family val="3"/>
      <charset val="128"/>
    </font>
    <font>
      <sz val="9"/>
      <color rgb="FFFF0000"/>
      <name val="ＭＳ Ｐゴシック"/>
      <family val="3"/>
      <charset val="128"/>
    </font>
    <font>
      <sz val="11"/>
      <name val="ＭＳ Ｐゴシック"/>
      <family val="2"/>
      <charset val="128"/>
    </font>
    <font>
      <sz val="11"/>
      <color rgb="FF000000"/>
      <name val="ＭＳ Ｐゴシック"/>
      <family val="2"/>
      <charset val="128"/>
    </font>
    <font>
      <sz val="6"/>
      <name val="ＭＳ Ｐゴシック"/>
      <family val="2"/>
      <charset val="128"/>
    </font>
    <font>
      <sz val="6"/>
      <name val="游ゴシック"/>
      <family val="2"/>
      <charset val="128"/>
      <scheme val="minor"/>
    </font>
    <font>
      <u/>
      <sz val="11"/>
      <color theme="10"/>
      <name val="游ゴシック"/>
      <family val="2"/>
      <charset val="128"/>
      <scheme val="minor"/>
    </font>
    <font>
      <u/>
      <sz val="12"/>
      <name val="ＭＳ Ｐゴシック"/>
      <family val="3"/>
      <charset val="128"/>
    </font>
    <font>
      <sz val="12"/>
      <color rgb="FFFF0000"/>
      <name val="ＭＳ Ｐゴシック"/>
      <family val="2"/>
      <charset val="1"/>
    </font>
    <font>
      <b/>
      <sz val="12"/>
      <name val="ＭＳ Ｐゴシック"/>
      <family val="3"/>
      <charset val="128"/>
    </font>
    <font>
      <sz val="12"/>
      <color theme="1"/>
      <name val="ＭＳ Ｐゴシック"/>
      <family val="3"/>
      <charset val="128"/>
    </font>
    <font>
      <b/>
      <sz val="12"/>
      <color theme="4"/>
      <name val="ＭＳ Ｐゴシック"/>
      <family val="3"/>
      <charset val="128"/>
    </font>
    <font>
      <u/>
      <sz val="11"/>
      <color theme="10"/>
      <name val="ＭＳ Ｐゴシック"/>
      <family val="2"/>
      <charset val="128"/>
    </font>
  </fonts>
  <fills count="2">
    <fill>
      <patternFill patternType="none"/>
    </fill>
    <fill>
      <patternFill patternType="gray125"/>
    </fill>
  </fills>
  <borders count="3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style="thin">
        <color auto="1"/>
      </left>
      <right/>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right style="thin">
        <color auto="1"/>
      </right>
      <top/>
      <bottom style="thin">
        <color auto="1"/>
      </bottom>
      <diagonal/>
    </border>
    <border>
      <left style="hair">
        <color auto="1"/>
      </left>
      <right style="thin">
        <color auto="1"/>
      </right>
      <top/>
      <bottom/>
      <diagonal/>
    </border>
    <border>
      <left style="thin">
        <color auto="1"/>
      </left>
      <right style="hair">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diagonal/>
    </border>
    <border>
      <left style="thin">
        <color auto="1"/>
      </left>
      <right/>
      <top style="hair">
        <color auto="1"/>
      </top>
      <bottom/>
      <diagonal/>
    </border>
    <border>
      <left/>
      <right/>
      <top style="hair">
        <color auto="1"/>
      </top>
      <bottom style="hair">
        <color auto="1"/>
      </bottom>
      <diagonal/>
    </border>
    <border>
      <left style="hair">
        <color auto="1"/>
      </left>
      <right style="thin">
        <color auto="1"/>
      </right>
      <top style="hair">
        <color auto="1"/>
      </top>
      <bottom/>
      <diagonal/>
    </border>
    <border>
      <left/>
      <right style="thin">
        <color auto="1"/>
      </right>
      <top style="hair">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s>
  <cellStyleXfs count="7">
    <xf numFmtId="0" fontId="0" fillId="0" borderId="0">
      <alignment vertical="center"/>
    </xf>
    <xf numFmtId="0" fontId="6" fillId="0" borderId="0" applyBorder="0" applyProtection="0">
      <alignment vertical="center"/>
    </xf>
    <xf numFmtId="38" fontId="17" fillId="0" borderId="0" applyBorder="0" applyProtection="0">
      <alignment vertical="center"/>
    </xf>
    <xf numFmtId="0" fontId="2" fillId="0" borderId="0">
      <alignment vertical="center"/>
    </xf>
    <xf numFmtId="0" fontId="20" fillId="0" borderId="0" applyNumberFormat="0" applyFill="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cellStyleXfs>
  <cellXfs count="236">
    <xf numFmtId="0" fontId="0" fillId="0" borderId="0" xfId="0">
      <alignment vertical="center"/>
    </xf>
    <xf numFmtId="0" fontId="3" fillId="0" borderId="0" xfId="0" applyFont="1">
      <alignment vertical="center"/>
    </xf>
    <xf numFmtId="0" fontId="4" fillId="0" borderId="0" xfId="0" applyFont="1" applyAlignment="1">
      <alignment vertical="center"/>
    </xf>
    <xf numFmtId="0" fontId="4" fillId="0" borderId="0" xfId="0" applyFont="1" applyAlignment="1">
      <alignment horizontal="left" vertical="center"/>
    </xf>
    <xf numFmtId="0" fontId="4" fillId="0" borderId="0" xfId="0" applyFont="1" applyBorder="1" applyAlignment="1">
      <alignment vertical="center"/>
    </xf>
    <xf numFmtId="0" fontId="4" fillId="0" borderId="2" xfId="0" applyFont="1" applyBorder="1" applyAlignment="1">
      <alignment vertical="center"/>
    </xf>
    <xf numFmtId="0" fontId="5" fillId="0" borderId="0" xfId="0" applyFont="1" applyBorder="1" applyAlignment="1">
      <alignment vertical="center" shrinkToFit="1"/>
    </xf>
    <xf numFmtId="0" fontId="5" fillId="0" borderId="2" xfId="0" applyFont="1" applyBorder="1" applyAlignment="1">
      <alignment vertical="center" shrinkToFit="1"/>
    </xf>
    <xf numFmtId="0" fontId="4" fillId="0" borderId="3" xfId="0" applyFont="1" applyBorder="1">
      <alignment vertical="center"/>
    </xf>
    <xf numFmtId="176" fontId="4" fillId="0" borderId="0" xfId="0" applyNumberFormat="1" applyFont="1" applyBorder="1" applyAlignment="1">
      <alignment vertical="center" wrapText="1"/>
    </xf>
    <xf numFmtId="0" fontId="4" fillId="0" borderId="0" xfId="0" applyFont="1" applyBorder="1">
      <alignment vertical="center"/>
    </xf>
    <xf numFmtId="176" fontId="4" fillId="0" borderId="3" xfId="0" applyNumberFormat="1" applyFont="1" applyBorder="1" applyAlignment="1">
      <alignment vertical="center"/>
    </xf>
    <xf numFmtId="176" fontId="4" fillId="0" borderId="0" xfId="0" applyNumberFormat="1" applyFont="1" applyBorder="1">
      <alignment vertical="center"/>
    </xf>
    <xf numFmtId="176" fontId="4" fillId="0" borderId="0" xfId="0" applyNumberFormat="1" applyFont="1" applyAlignment="1">
      <alignment vertical="center" wrapText="1"/>
    </xf>
    <xf numFmtId="0" fontId="4" fillId="0" borderId="0" xfId="0" applyFont="1" applyAlignment="1">
      <alignment horizontal="center" vertical="center"/>
    </xf>
    <xf numFmtId="0" fontId="4" fillId="0" borderId="0" xfId="0" applyFont="1">
      <alignment vertical="center"/>
    </xf>
    <xf numFmtId="176" fontId="4" fillId="0" borderId="4" xfId="0" applyNumberFormat="1" applyFont="1" applyBorder="1" applyAlignment="1">
      <alignment vertical="center" shrinkToFit="1"/>
    </xf>
    <xf numFmtId="176" fontId="4" fillId="0" borderId="0" xfId="0" applyNumberFormat="1" applyFont="1" applyAlignment="1">
      <alignment horizontal="left" vertical="center" wrapText="1"/>
    </xf>
    <xf numFmtId="0" fontId="4" fillId="0" borderId="5" xfId="0" applyFont="1" applyBorder="1" applyAlignment="1">
      <alignment vertical="center" shrinkToFit="1"/>
    </xf>
    <xf numFmtId="0" fontId="3" fillId="0" borderId="0" xfId="0" applyFont="1">
      <alignment vertical="center"/>
    </xf>
    <xf numFmtId="0" fontId="3" fillId="0" borderId="2" xfId="0" applyFont="1" applyBorder="1" applyAlignment="1">
      <alignment vertical="center" shrinkToFit="1"/>
    </xf>
    <xf numFmtId="0" fontId="4" fillId="0" borderId="1" xfId="0" applyFont="1" applyBorder="1">
      <alignment vertical="center"/>
    </xf>
    <xf numFmtId="0" fontId="4" fillId="0" borderId="6" xfId="0" applyFont="1" applyBorder="1">
      <alignment vertical="center"/>
    </xf>
    <xf numFmtId="0" fontId="4" fillId="0" borderId="8" xfId="0" applyFont="1" applyBorder="1">
      <alignment vertical="center"/>
    </xf>
    <xf numFmtId="0" fontId="3" fillId="0" borderId="0" xfId="0" applyFont="1" applyAlignment="1">
      <alignment horizontal="right" vertical="center"/>
    </xf>
    <xf numFmtId="0" fontId="4" fillId="0" borderId="0" xfId="0" applyFont="1" applyAlignment="1">
      <alignment horizontal="right" vertical="center"/>
    </xf>
    <xf numFmtId="0" fontId="8" fillId="0" borderId="0" xfId="0" applyFont="1">
      <alignment vertical="center"/>
    </xf>
    <xf numFmtId="0" fontId="9" fillId="0" borderId="0" xfId="0" applyFont="1" applyAlignment="1">
      <alignment vertical="center" shrinkToFit="1"/>
    </xf>
    <xf numFmtId="0" fontId="9" fillId="0" borderId="0" xfId="0" applyFont="1" applyAlignment="1">
      <alignment vertical="center"/>
    </xf>
    <xf numFmtId="0" fontId="9" fillId="0" borderId="0" xfId="0" applyFont="1" applyAlignment="1">
      <alignment horizontal="center" vertical="center"/>
    </xf>
    <xf numFmtId="0" fontId="8" fillId="0" borderId="0" xfId="0" applyFont="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wrapText="1"/>
    </xf>
    <xf numFmtId="0" fontId="11" fillId="0" borderId="12" xfId="0" applyFont="1" applyBorder="1" applyAlignment="1">
      <alignment horizontal="center" vertical="center"/>
    </xf>
    <xf numFmtId="0" fontId="11" fillId="0" borderId="13" xfId="0" applyFont="1" applyBorder="1" applyAlignment="1">
      <alignment horizontal="center" vertical="center" wrapText="1"/>
    </xf>
    <xf numFmtId="0" fontId="9" fillId="0" borderId="0" xfId="0" applyFont="1" applyBorder="1" applyAlignment="1">
      <alignment vertical="center" shrinkToFit="1"/>
    </xf>
    <xf numFmtId="0" fontId="9" fillId="0" borderId="3" xfId="0" applyFont="1" applyBorder="1" applyAlignment="1">
      <alignment vertical="center" shrinkToFit="1"/>
    </xf>
    <xf numFmtId="176" fontId="9" fillId="0" borderId="3" xfId="0" applyNumberFormat="1" applyFont="1" applyBorder="1" applyAlignment="1">
      <alignment vertical="center" shrinkToFit="1"/>
    </xf>
    <xf numFmtId="176" fontId="9" fillId="0" borderId="14" xfId="0" applyNumberFormat="1" applyFont="1" applyBorder="1" applyAlignment="1">
      <alignment vertical="center" shrinkToFit="1"/>
    </xf>
    <xf numFmtId="176" fontId="9" fillId="0" borderId="15" xfId="0" applyNumberFormat="1" applyFont="1" applyBorder="1" applyAlignment="1">
      <alignment vertical="center" shrinkToFit="1"/>
    </xf>
    <xf numFmtId="176" fontId="9" fillId="0" borderId="2" xfId="0" applyNumberFormat="1" applyFont="1" applyBorder="1" applyAlignment="1">
      <alignment vertical="center" shrinkToFit="1"/>
    </xf>
    <xf numFmtId="176" fontId="9" fillId="0" borderId="9" xfId="0" applyNumberFormat="1" applyFont="1" applyBorder="1" applyAlignment="1">
      <alignment vertical="center" shrinkToFit="1"/>
    </xf>
    <xf numFmtId="9" fontId="9" fillId="0" borderId="2" xfId="0" applyNumberFormat="1" applyFont="1" applyBorder="1" applyAlignment="1">
      <alignment vertical="center" shrinkToFit="1"/>
    </xf>
    <xf numFmtId="0" fontId="9" fillId="0" borderId="17" xfId="0" applyFont="1" applyBorder="1" applyAlignment="1">
      <alignment vertical="center" shrinkToFit="1"/>
    </xf>
    <xf numFmtId="176" fontId="9" fillId="0" borderId="17" xfId="0" applyNumberFormat="1" applyFont="1" applyBorder="1" applyAlignment="1">
      <alignment vertical="center" shrinkToFit="1"/>
    </xf>
    <xf numFmtId="176" fontId="9" fillId="0" borderId="18" xfId="0" applyNumberFormat="1" applyFont="1" applyBorder="1" applyAlignment="1">
      <alignment vertical="center" shrinkToFit="1"/>
    </xf>
    <xf numFmtId="176" fontId="9" fillId="0" borderId="19" xfId="0" applyNumberFormat="1" applyFont="1" applyBorder="1" applyAlignment="1">
      <alignment vertical="center" shrinkToFit="1"/>
    </xf>
    <xf numFmtId="176" fontId="9" fillId="0" borderId="20" xfId="0" applyNumberFormat="1" applyFont="1" applyBorder="1" applyAlignment="1">
      <alignment vertical="center" shrinkToFit="1"/>
    </xf>
    <xf numFmtId="176" fontId="9" fillId="0" borderId="16" xfId="0" applyNumberFormat="1" applyFont="1" applyBorder="1" applyAlignment="1">
      <alignment vertical="center" shrinkToFit="1"/>
    </xf>
    <xf numFmtId="176" fontId="9" fillId="0" borderId="21" xfId="0" applyNumberFormat="1" applyFont="1" applyBorder="1" applyAlignment="1">
      <alignment vertical="center" shrinkToFit="1"/>
    </xf>
    <xf numFmtId="0" fontId="9" fillId="0" borderId="22" xfId="0" applyFont="1" applyBorder="1" applyAlignment="1">
      <alignment vertical="center" shrinkToFit="1"/>
    </xf>
    <xf numFmtId="176" fontId="9" fillId="0" borderId="22" xfId="0" applyNumberFormat="1" applyFont="1" applyBorder="1" applyAlignment="1">
      <alignment vertical="center" shrinkToFit="1"/>
    </xf>
    <xf numFmtId="176" fontId="9" fillId="0" borderId="23" xfId="0" applyNumberFormat="1" applyFont="1" applyBorder="1" applyAlignment="1">
      <alignment vertical="center" shrinkToFit="1"/>
    </xf>
    <xf numFmtId="176" fontId="9" fillId="0" borderId="24" xfId="0" applyNumberFormat="1" applyFont="1" applyBorder="1" applyAlignment="1">
      <alignment vertical="center" shrinkToFit="1"/>
    </xf>
    <xf numFmtId="176" fontId="9" fillId="0" borderId="25" xfId="0" applyNumberFormat="1" applyFont="1" applyBorder="1" applyAlignment="1">
      <alignment vertical="center" shrinkToFit="1"/>
    </xf>
    <xf numFmtId="176" fontId="9" fillId="0" borderId="26" xfId="0" applyNumberFormat="1" applyFont="1" applyBorder="1" applyAlignment="1">
      <alignment vertical="center" shrinkToFit="1"/>
    </xf>
    <xf numFmtId="9" fontId="9" fillId="0" borderId="25" xfId="0" applyNumberFormat="1" applyFont="1" applyBorder="1" applyAlignment="1">
      <alignment vertical="center" shrinkToFit="1"/>
    </xf>
    <xf numFmtId="176" fontId="12" fillId="0" borderId="0" xfId="0" applyNumberFormat="1" applyFont="1" applyBorder="1" applyAlignment="1">
      <alignment vertical="center" shrinkToFi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0" xfId="0" applyFont="1" applyBorder="1" applyAlignment="1">
      <alignment horizontal="center" vertical="center"/>
    </xf>
    <xf numFmtId="0" fontId="8" fillId="0" borderId="1" xfId="0" applyFont="1" applyBorder="1" applyAlignment="1">
      <alignment vertical="center" wrapText="1"/>
    </xf>
    <xf numFmtId="0" fontId="13" fillId="0" borderId="0" xfId="0" applyFont="1">
      <alignment vertical="center"/>
    </xf>
    <xf numFmtId="0" fontId="8" fillId="0" borderId="0" xfId="0" applyFont="1" applyBorder="1" applyAlignment="1">
      <alignment vertical="center"/>
    </xf>
    <xf numFmtId="0" fontId="9" fillId="0" borderId="0" xfId="0" applyFont="1" applyBorder="1" applyAlignment="1">
      <alignment vertical="top" wrapText="1"/>
    </xf>
    <xf numFmtId="0" fontId="9" fillId="0" borderId="0" xfId="0" applyFont="1">
      <alignment vertical="center"/>
    </xf>
    <xf numFmtId="0" fontId="9" fillId="0" borderId="0" xfId="0" applyFont="1" applyBorder="1" applyAlignment="1">
      <alignment vertical="center" wrapText="1"/>
    </xf>
    <xf numFmtId="0" fontId="8" fillId="0" borderId="0" xfId="0" applyFont="1" applyBorder="1" applyAlignment="1">
      <alignment vertical="center" wrapText="1"/>
    </xf>
    <xf numFmtId="0" fontId="13" fillId="0" borderId="0" xfId="0" applyFont="1" applyBorder="1" applyAlignment="1">
      <alignment vertical="top" shrinkToFit="1"/>
    </xf>
    <xf numFmtId="0" fontId="13" fillId="0" borderId="0" xfId="0" applyFont="1" applyBorder="1" applyAlignment="1">
      <alignment vertical="center" wrapText="1"/>
    </xf>
    <xf numFmtId="0" fontId="13" fillId="0" borderId="0" xfId="0" applyFont="1" applyAlignment="1">
      <alignment vertical="top" wrapText="1"/>
    </xf>
    <xf numFmtId="0" fontId="12" fillId="0" borderId="0" xfId="0" applyFont="1" applyAlignment="1">
      <alignment vertical="top" wrapText="1"/>
    </xf>
    <xf numFmtId="0" fontId="8" fillId="0" borderId="3" xfId="0" applyFont="1" applyBorder="1">
      <alignment vertical="center"/>
    </xf>
    <xf numFmtId="0" fontId="13" fillId="0" borderId="2" xfId="0" applyFont="1" applyBorder="1" applyAlignment="1">
      <alignment vertical="top" wrapText="1"/>
    </xf>
    <xf numFmtId="0" fontId="8" fillId="0" borderId="0" xfId="0" applyFont="1" applyBorder="1">
      <alignment vertical="center"/>
    </xf>
    <xf numFmtId="0" fontId="12" fillId="0" borderId="2" xfId="0" applyFont="1" applyBorder="1" applyAlignment="1">
      <alignment vertical="top" wrapText="1"/>
    </xf>
    <xf numFmtId="0" fontId="13" fillId="0" borderId="3" xfId="0" applyFont="1" applyBorder="1" applyAlignment="1">
      <alignment vertical="top" wrapText="1"/>
    </xf>
    <xf numFmtId="0" fontId="8" fillId="0" borderId="28" xfId="0" applyFont="1" applyBorder="1">
      <alignment vertical="center"/>
    </xf>
    <xf numFmtId="0" fontId="13" fillId="0" borderId="29" xfId="0" applyFont="1" applyBorder="1" applyAlignment="1">
      <alignment vertical="top" wrapText="1"/>
    </xf>
    <xf numFmtId="0" fontId="13" fillId="0" borderId="20" xfId="0" applyFont="1" applyBorder="1" applyAlignment="1">
      <alignment vertical="top" wrapText="1"/>
    </xf>
    <xf numFmtId="0" fontId="15" fillId="0" borderId="29" xfId="0" applyFont="1" applyBorder="1" applyAlignment="1">
      <alignment vertical="top" shrinkToFit="1"/>
    </xf>
    <xf numFmtId="0" fontId="15" fillId="0" borderId="20" xfId="0" applyFont="1" applyBorder="1" applyAlignment="1">
      <alignment vertical="top" shrinkToFit="1"/>
    </xf>
    <xf numFmtId="0" fontId="7" fillId="0" borderId="0" xfId="0" applyFont="1">
      <alignment vertical="center"/>
    </xf>
    <xf numFmtId="0" fontId="9" fillId="0" borderId="0" xfId="0" applyFont="1" applyAlignment="1">
      <alignment vertical="center" wrapText="1"/>
    </xf>
    <xf numFmtId="0" fontId="16" fillId="0" borderId="0" xfId="1" applyFont="1" applyBorder="1" applyAlignment="1" applyProtection="1">
      <alignment vertical="center" shrinkToFit="1"/>
    </xf>
    <xf numFmtId="0" fontId="15" fillId="0" borderId="0" xfId="0" applyFont="1" applyBorder="1" applyAlignment="1">
      <alignment vertical="center" shrinkToFit="1"/>
    </xf>
    <xf numFmtId="0" fontId="15" fillId="0" borderId="2" xfId="0" applyFont="1" applyBorder="1" applyAlignment="1">
      <alignment vertical="center" shrinkToFit="1"/>
    </xf>
    <xf numFmtId="0" fontId="9" fillId="0" borderId="0" xfId="0" applyFont="1" applyBorder="1" applyAlignment="1">
      <alignment vertical="center"/>
    </xf>
    <xf numFmtId="0" fontId="12" fillId="0" borderId="0" xfId="0" applyFont="1" applyBorder="1" applyAlignment="1">
      <alignment vertical="top" wrapText="1"/>
    </xf>
    <xf numFmtId="0" fontId="7" fillId="0" borderId="1" xfId="0" applyFont="1" applyBorder="1" applyAlignment="1">
      <alignment vertical="center" wrapText="1"/>
    </xf>
    <xf numFmtId="0" fontId="8" fillId="0" borderId="0" xfId="0" applyFont="1" applyBorder="1" applyAlignment="1">
      <alignment vertical="top" wrapText="1"/>
    </xf>
    <xf numFmtId="0" fontId="8" fillId="0" borderId="0" xfId="0" applyFont="1" applyAlignment="1">
      <alignment vertical="center"/>
    </xf>
    <xf numFmtId="0" fontId="4" fillId="0" borderId="6" xfId="0" applyFont="1" applyBorder="1" applyAlignment="1">
      <alignment horizontal="center" vertical="center" shrinkToFit="1"/>
    </xf>
    <xf numFmtId="0" fontId="4" fillId="0" borderId="6" xfId="0" applyFont="1" applyBorder="1" applyAlignment="1">
      <alignment vertical="center" shrinkToFit="1"/>
    </xf>
    <xf numFmtId="0" fontId="4" fillId="0" borderId="10" xfId="0" applyFont="1" applyBorder="1" applyAlignment="1">
      <alignment horizontal="center" vertical="center"/>
    </xf>
    <xf numFmtId="0" fontId="24" fillId="0" borderId="0" xfId="5" applyFont="1">
      <alignment vertical="center"/>
    </xf>
    <xf numFmtId="0" fontId="24" fillId="0" borderId="0" xfId="5" applyFont="1" applyAlignment="1">
      <alignment horizontal="right" vertical="center"/>
    </xf>
    <xf numFmtId="0" fontId="24" fillId="0" borderId="0" xfId="5" applyFont="1" applyAlignment="1">
      <alignment horizontal="center" vertical="center"/>
    </xf>
    <xf numFmtId="0" fontId="24" fillId="0" borderId="10" xfId="5" applyFont="1" applyBorder="1" applyAlignment="1">
      <alignment horizontal="center" vertical="center"/>
    </xf>
    <xf numFmtId="0" fontId="24" fillId="0" borderId="1" xfId="5" applyFont="1" applyBorder="1" applyAlignment="1">
      <alignment vertical="center" wrapText="1"/>
    </xf>
    <xf numFmtId="0" fontId="5" fillId="0" borderId="6" xfId="0" applyFont="1" applyBorder="1" applyAlignment="1">
      <alignment horizontal="center" vertical="center" shrinkToFit="1"/>
    </xf>
    <xf numFmtId="0" fontId="4" fillId="0" borderId="0" xfId="0" applyFont="1" applyBorder="1" applyAlignment="1">
      <alignment horizontal="center" vertical="center"/>
    </xf>
    <xf numFmtId="0" fontId="4" fillId="0" borderId="0" xfId="0" applyFont="1" applyBorder="1" applyAlignment="1">
      <alignment horizontal="center" vertical="center" shrinkToFit="1"/>
    </xf>
    <xf numFmtId="0" fontId="4" fillId="0" borderId="0" xfId="0" applyFont="1" applyBorder="1" applyAlignment="1">
      <alignment vertical="center" shrinkToFit="1"/>
    </xf>
    <xf numFmtId="0" fontId="4" fillId="0" borderId="1" xfId="0" applyFont="1" applyBorder="1" applyAlignment="1">
      <alignment vertical="center" shrinkToFit="1"/>
    </xf>
    <xf numFmtId="0" fontId="24" fillId="0" borderId="0" xfId="5" applyFont="1" applyAlignment="1">
      <alignment horizontal="center" vertical="center"/>
    </xf>
    <xf numFmtId="0" fontId="4" fillId="0" borderId="6" xfId="5" applyFont="1" applyBorder="1" applyAlignment="1">
      <alignment horizontal="center" vertical="center" shrinkToFit="1"/>
    </xf>
    <xf numFmtId="0" fontId="5" fillId="0" borderId="6" xfId="5" applyFont="1" applyBorder="1" applyAlignment="1">
      <alignment horizontal="center" vertical="center" shrinkToFit="1"/>
    </xf>
    <xf numFmtId="0" fontId="24" fillId="0" borderId="6" xfId="5" applyFont="1" applyBorder="1" applyAlignment="1">
      <alignment vertical="center" shrinkToFit="1"/>
    </xf>
    <xf numFmtId="0" fontId="4" fillId="0" borderId="6" xfId="5" applyFont="1" applyBorder="1" applyAlignment="1">
      <alignment vertical="center" shrinkToFit="1"/>
    </xf>
    <xf numFmtId="0" fontId="13" fillId="0" borderId="0" xfId="0" applyFont="1" applyBorder="1" applyAlignment="1">
      <alignment vertical="top" wrapText="1"/>
    </xf>
    <xf numFmtId="0" fontId="3" fillId="0" borderId="0" xfId="0" applyFont="1" applyBorder="1" applyAlignment="1">
      <alignment horizontal="right" vertical="center"/>
    </xf>
    <xf numFmtId="0" fontId="4" fillId="0" borderId="0" xfId="0" applyFont="1" applyBorder="1" applyAlignment="1">
      <alignment horizontal="center" vertical="center"/>
    </xf>
    <xf numFmtId="0" fontId="5" fillId="0" borderId="1" xfId="0" applyFont="1" applyBorder="1" applyAlignment="1">
      <alignment horizontal="center" vertical="center" shrinkToFit="1"/>
    </xf>
    <xf numFmtId="0" fontId="5" fillId="0" borderId="1" xfId="0" applyFont="1" applyBorder="1" applyAlignment="1">
      <alignment vertical="center" shrinkToFit="1"/>
    </xf>
    <xf numFmtId="0" fontId="4" fillId="0" borderId="0" xfId="0" applyFont="1" applyBorder="1" applyAlignment="1">
      <alignment horizontal="center" vertical="center" shrinkToFit="1"/>
    </xf>
    <xf numFmtId="176" fontId="5" fillId="0" borderId="1" xfId="0" applyNumberFormat="1" applyFont="1" applyBorder="1" applyAlignment="1">
      <alignment horizontal="center" vertical="center" shrinkToFit="1"/>
    </xf>
    <xf numFmtId="0" fontId="4" fillId="0" borderId="0" xfId="0" applyFont="1" applyBorder="1" applyAlignment="1">
      <alignment vertical="center" shrinkToFit="1"/>
    </xf>
    <xf numFmtId="0" fontId="5" fillId="0" borderId="1" xfId="0" applyFont="1" applyBorder="1" applyAlignment="1">
      <alignment horizontal="center" vertical="center"/>
    </xf>
    <xf numFmtId="0" fontId="4" fillId="0" borderId="2" xfId="0" applyFont="1" applyBorder="1" applyAlignment="1">
      <alignment horizontal="right" vertical="center"/>
    </xf>
    <xf numFmtId="0" fontId="4" fillId="0" borderId="0" xfId="0" applyFont="1" applyBorder="1" applyAlignment="1">
      <alignment horizontal="right" vertical="center" shrinkToFit="1"/>
    </xf>
    <xf numFmtId="0" fontId="5" fillId="0" borderId="6" xfId="0" applyFont="1" applyBorder="1" applyAlignment="1">
      <alignment horizontal="center" vertical="center" shrinkToFit="1"/>
    </xf>
    <xf numFmtId="0" fontId="4" fillId="0" borderId="7" xfId="0" applyFont="1" applyBorder="1" applyAlignment="1">
      <alignment horizontal="right" vertical="center" shrinkToFit="1"/>
    </xf>
    <xf numFmtId="49" fontId="6" fillId="0" borderId="1" xfId="1" applyNumberFormat="1" applyFont="1" applyBorder="1" applyAlignment="1" applyProtection="1">
      <alignment vertical="center" shrinkToFit="1"/>
    </xf>
    <xf numFmtId="49" fontId="5" fillId="0" borderId="1" xfId="2" applyNumberFormat="1" applyFont="1" applyBorder="1" applyAlignment="1" applyProtection="1">
      <alignment horizontal="center" vertical="center" shrinkToFit="1"/>
    </xf>
    <xf numFmtId="0" fontId="5" fillId="0" borderId="6" xfId="0" applyFont="1" applyBorder="1" applyAlignment="1">
      <alignment vertical="center" shrinkToFit="1"/>
    </xf>
    <xf numFmtId="0" fontId="4" fillId="0" borderId="1" xfId="0" applyFont="1" applyBorder="1" applyAlignment="1">
      <alignment vertical="center" shrinkToFit="1"/>
    </xf>
    <xf numFmtId="0" fontId="7" fillId="0" borderId="1" xfId="0" applyFont="1" applyBorder="1" applyAlignment="1">
      <alignment vertical="top" wrapText="1"/>
    </xf>
    <xf numFmtId="0" fontId="4" fillId="0" borderId="1" xfId="0" applyFont="1" applyBorder="1" applyAlignment="1">
      <alignment horizontal="center" vertical="center"/>
    </xf>
    <xf numFmtId="0" fontId="4" fillId="0" borderId="1" xfId="0" applyFont="1" applyBorder="1" applyAlignment="1">
      <alignment horizontal="center" vertical="center" shrinkToFit="1"/>
    </xf>
    <xf numFmtId="0" fontId="8" fillId="0" borderId="0" xfId="0" applyFont="1" applyBorder="1" applyAlignment="1">
      <alignment horizontal="right" vertical="center"/>
    </xf>
    <xf numFmtId="0" fontId="9" fillId="0" borderId="0" xfId="0" applyFont="1" applyBorder="1" applyAlignment="1">
      <alignment horizontal="center" vertical="center"/>
    </xf>
    <xf numFmtId="0" fontId="9" fillId="0" borderId="9" xfId="0" applyFont="1" applyBorder="1" applyAlignment="1">
      <alignment horizontal="center" vertical="center"/>
    </xf>
    <xf numFmtId="0" fontId="11" fillId="0" borderId="1" xfId="0" applyFont="1" applyBorder="1" applyAlignment="1">
      <alignment horizontal="center" vertical="center" wrapText="1"/>
    </xf>
    <xf numFmtId="0" fontId="10" fillId="0" borderId="8" xfId="0" applyFont="1" applyBorder="1" applyAlignment="1">
      <alignment horizontal="center" vertical="center"/>
    </xf>
    <xf numFmtId="0" fontId="9" fillId="0" borderId="6" xfId="0" applyFont="1" applyBorder="1" applyAlignment="1">
      <alignment horizontal="center" vertical="center"/>
    </xf>
    <xf numFmtId="0" fontId="10" fillId="0" borderId="6" xfId="0" applyFont="1" applyBorder="1" applyAlignment="1">
      <alignment horizontal="center" vertical="center" wrapText="1"/>
    </xf>
    <xf numFmtId="0" fontId="9" fillId="0" borderId="9" xfId="0" applyFont="1" applyBorder="1" applyAlignment="1">
      <alignment vertical="center" shrinkToFit="1"/>
    </xf>
    <xf numFmtId="0" fontId="9" fillId="0" borderId="16" xfId="0" applyFont="1" applyBorder="1" applyAlignment="1">
      <alignment vertical="center" shrinkToFit="1"/>
    </xf>
    <xf numFmtId="0" fontId="9" fillId="0" borderId="21" xfId="0" applyFont="1" applyBorder="1" applyAlignment="1">
      <alignment vertical="center" shrinkToFit="1"/>
    </xf>
    <xf numFmtId="0" fontId="9" fillId="0" borderId="22" xfId="0" applyFont="1" applyBorder="1" applyAlignment="1">
      <alignment horizontal="center" vertical="center" shrinkToFit="1"/>
    </xf>
    <xf numFmtId="0" fontId="3" fillId="0" borderId="1" xfId="0" applyFont="1" applyBorder="1" applyAlignment="1">
      <alignment vertical="top" wrapText="1" shrinkToFit="1"/>
    </xf>
    <xf numFmtId="0" fontId="3" fillId="0" borderId="1" xfId="0" applyFont="1" applyBorder="1" applyAlignment="1">
      <alignment vertical="center" shrinkToFit="1"/>
    </xf>
    <xf numFmtId="0" fontId="8" fillId="0" borderId="1" xfId="0" applyFont="1" applyBorder="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9" fillId="0" borderId="27" xfId="0" applyFont="1" applyBorder="1" applyAlignment="1">
      <alignment vertical="center" wrapText="1"/>
    </xf>
    <xf numFmtId="0" fontId="23" fillId="0" borderId="1" xfId="0" applyFont="1" applyBorder="1" applyAlignment="1">
      <alignment horizontal="left" vertical="top" wrapText="1"/>
    </xf>
    <xf numFmtId="0" fontId="4" fillId="0" borderId="1" xfId="0" applyFont="1" applyBorder="1" applyAlignment="1">
      <alignment horizontal="left" vertical="top" wrapText="1"/>
    </xf>
    <xf numFmtId="0" fontId="9" fillId="0" borderId="1" xfId="0" applyFont="1" applyBorder="1" applyAlignment="1">
      <alignment vertical="center" wrapText="1"/>
    </xf>
    <xf numFmtId="0" fontId="14" fillId="0" borderId="1" xfId="0" applyFont="1" applyBorder="1" applyAlignment="1">
      <alignment horizontal="center" vertical="center" shrinkToFit="1"/>
    </xf>
    <xf numFmtId="0" fontId="8" fillId="0" borderId="0" xfId="0" applyFont="1" applyBorder="1" applyAlignment="1">
      <alignment horizontal="center" vertical="center"/>
    </xf>
    <xf numFmtId="0" fontId="14" fillId="0" borderId="1" xfId="0" applyFont="1" applyBorder="1" applyAlignment="1">
      <alignment horizontal="left" vertical="top" wrapText="1"/>
    </xf>
    <xf numFmtId="0" fontId="3" fillId="0" borderId="1" xfId="0" applyFont="1" applyBorder="1" applyAlignment="1">
      <alignment vertical="top" wrapText="1"/>
    </xf>
    <xf numFmtId="0" fontId="4" fillId="0" borderId="33" xfId="5" applyFont="1" applyBorder="1" applyAlignment="1">
      <alignment vertical="top" wrapText="1" shrinkToFit="1"/>
    </xf>
    <xf numFmtId="0" fontId="4" fillId="0" borderId="34" xfId="5" applyFont="1" applyBorder="1" applyAlignment="1">
      <alignment vertical="top" shrinkToFit="1"/>
    </xf>
    <xf numFmtId="0" fontId="4" fillId="0" borderId="35" xfId="5" applyFont="1" applyBorder="1" applyAlignment="1">
      <alignment vertical="top" shrinkToFit="1"/>
    </xf>
    <xf numFmtId="0" fontId="4" fillId="0" borderId="3" xfId="5" applyFont="1" applyBorder="1" applyAlignment="1">
      <alignment vertical="top" shrinkToFit="1"/>
    </xf>
    <xf numFmtId="0" fontId="4" fillId="0" borderId="0" xfId="5" applyFont="1" applyBorder="1" applyAlignment="1">
      <alignment vertical="top" shrinkToFit="1"/>
    </xf>
    <xf numFmtId="0" fontId="4" fillId="0" borderId="2" xfId="5" applyFont="1" applyBorder="1" applyAlignment="1">
      <alignment vertical="top" shrinkToFit="1"/>
    </xf>
    <xf numFmtId="0" fontId="4" fillId="0" borderId="10" xfId="5" applyFont="1" applyBorder="1" applyAlignment="1">
      <alignment vertical="top" shrinkToFit="1"/>
    </xf>
    <xf numFmtId="0" fontId="4" fillId="0" borderId="5" xfId="5" applyFont="1" applyBorder="1" applyAlignment="1">
      <alignment vertical="top" shrinkToFit="1"/>
    </xf>
    <xf numFmtId="0" fontId="4" fillId="0" borderId="13" xfId="5" applyFont="1" applyBorder="1" applyAlignment="1">
      <alignment vertical="top" shrinkToFit="1"/>
    </xf>
    <xf numFmtId="0" fontId="24" fillId="0" borderId="6" xfId="5" applyFont="1" applyBorder="1" applyAlignment="1">
      <alignment vertical="center" shrinkToFit="1"/>
    </xf>
    <xf numFmtId="0" fontId="24" fillId="0" borderId="4" xfId="5" applyFont="1" applyBorder="1" applyAlignment="1">
      <alignment vertical="center" shrinkToFit="1"/>
    </xf>
    <xf numFmtId="0" fontId="24" fillId="0" borderId="8" xfId="5" applyFont="1" applyBorder="1" applyAlignment="1">
      <alignment vertical="center" shrinkToFit="1"/>
    </xf>
    <xf numFmtId="0" fontId="24" fillId="0" borderId="6" xfId="5" applyFont="1" applyBorder="1" applyAlignment="1">
      <alignment horizontal="center" vertical="center"/>
    </xf>
    <xf numFmtId="0" fontId="24" fillId="0" borderId="4" xfId="5" applyFont="1" applyBorder="1" applyAlignment="1">
      <alignment horizontal="center" vertical="center"/>
    </xf>
    <xf numFmtId="0" fontId="24" fillId="0" borderId="8" xfId="5" applyFont="1" applyBorder="1" applyAlignment="1">
      <alignment horizontal="center" vertical="center"/>
    </xf>
    <xf numFmtId="0" fontId="24" fillId="0" borderId="6" xfId="5" applyFont="1" applyBorder="1" applyAlignment="1">
      <alignment horizontal="center" vertical="center" shrinkToFit="1"/>
    </xf>
    <xf numFmtId="0" fontId="24" fillId="0" borderId="4" xfId="5" applyFont="1" applyBorder="1" applyAlignment="1">
      <alignment horizontal="center" vertical="center" shrinkToFit="1"/>
    </xf>
    <xf numFmtId="0" fontId="24" fillId="0" borderId="8" xfId="5" applyFont="1" applyBorder="1" applyAlignment="1">
      <alignment horizontal="center" vertical="center" shrinkToFit="1"/>
    </xf>
    <xf numFmtId="0" fontId="4" fillId="0" borderId="6" xfId="5" applyFont="1" applyBorder="1" applyAlignment="1">
      <alignment vertical="center" shrinkToFit="1"/>
    </xf>
    <xf numFmtId="0" fontId="4" fillId="0" borderId="4" xfId="5" applyFont="1" applyBorder="1" applyAlignment="1">
      <alignment vertical="center" shrinkToFit="1"/>
    </xf>
    <xf numFmtId="0" fontId="4" fillId="0" borderId="8" xfId="5" applyFont="1" applyBorder="1" applyAlignment="1">
      <alignment vertical="center" shrinkToFit="1"/>
    </xf>
    <xf numFmtId="0" fontId="4" fillId="0" borderId="6" xfId="5" applyFont="1" applyBorder="1" applyAlignment="1">
      <alignment horizontal="center" vertical="center" shrinkToFit="1"/>
    </xf>
    <xf numFmtId="0" fontId="4" fillId="0" borderId="4" xfId="5" applyFont="1" applyBorder="1" applyAlignment="1">
      <alignment horizontal="center" vertical="center" shrinkToFit="1"/>
    </xf>
    <xf numFmtId="0" fontId="4" fillId="0" borderId="8" xfId="5" applyFont="1" applyBorder="1" applyAlignment="1">
      <alignment horizontal="center" vertical="center" shrinkToFit="1"/>
    </xf>
    <xf numFmtId="0" fontId="25" fillId="0" borderId="6" xfId="5" applyFont="1" applyBorder="1" applyAlignment="1">
      <alignment horizontal="center" vertical="center" shrinkToFit="1"/>
    </xf>
    <xf numFmtId="0" fontId="25" fillId="0" borderId="4" xfId="5" applyFont="1" applyBorder="1" applyAlignment="1">
      <alignment horizontal="center" vertical="center" shrinkToFit="1"/>
    </xf>
    <xf numFmtId="0" fontId="25" fillId="0" borderId="8" xfId="5" applyFont="1" applyBorder="1" applyAlignment="1">
      <alignment horizontal="center" vertical="center" shrinkToFit="1"/>
    </xf>
    <xf numFmtId="0" fontId="24" fillId="0" borderId="27" xfId="5" applyFont="1" applyBorder="1" applyAlignment="1">
      <alignment vertical="center" wrapText="1"/>
    </xf>
    <xf numFmtId="0" fontId="24" fillId="0" borderId="7" xfId="5" applyFont="1" applyBorder="1" applyAlignment="1">
      <alignment vertical="center" wrapText="1"/>
    </xf>
    <xf numFmtId="0" fontId="4" fillId="0" borderId="33" xfId="5" applyFont="1" applyBorder="1" applyAlignment="1">
      <alignment horizontal="left" vertical="top" wrapText="1"/>
    </xf>
    <xf numFmtId="0" fontId="4" fillId="0" borderId="34" xfId="5" applyFont="1" applyBorder="1" applyAlignment="1">
      <alignment horizontal="left" vertical="top" wrapText="1"/>
    </xf>
    <xf numFmtId="0" fontId="4" fillId="0" borderId="35" xfId="5" applyFont="1" applyBorder="1" applyAlignment="1">
      <alignment horizontal="left" vertical="top" wrapText="1"/>
    </xf>
    <xf numFmtId="0" fontId="4" fillId="0" borderId="3" xfId="5" applyFont="1" applyBorder="1" applyAlignment="1">
      <alignment horizontal="left" vertical="top" wrapText="1"/>
    </xf>
    <xf numFmtId="0" fontId="4" fillId="0" borderId="0" xfId="5" applyFont="1" applyBorder="1" applyAlignment="1">
      <alignment horizontal="left" vertical="top" wrapText="1"/>
    </xf>
    <xf numFmtId="0" fontId="4" fillId="0" borderId="2" xfId="5" applyFont="1" applyBorder="1" applyAlignment="1">
      <alignment horizontal="left" vertical="top" wrapText="1"/>
    </xf>
    <xf numFmtId="0" fontId="4" fillId="0" borderId="10" xfId="5" applyFont="1" applyBorder="1" applyAlignment="1">
      <alignment horizontal="left" vertical="top" wrapText="1"/>
    </xf>
    <xf numFmtId="0" fontId="4" fillId="0" borderId="5" xfId="5" applyFont="1" applyBorder="1" applyAlignment="1">
      <alignment horizontal="left" vertical="top" wrapText="1"/>
    </xf>
    <xf numFmtId="0" fontId="4" fillId="0" borderId="13" xfId="5" applyFont="1" applyBorder="1" applyAlignment="1">
      <alignment horizontal="left" vertical="top" wrapText="1"/>
    </xf>
    <xf numFmtId="0" fontId="23" fillId="0" borderId="33" xfId="5" applyFont="1" applyBorder="1" applyAlignment="1">
      <alignment horizontal="left" vertical="top" wrapText="1"/>
    </xf>
    <xf numFmtId="0" fontId="25" fillId="0" borderId="34" xfId="5" applyFont="1" applyBorder="1" applyAlignment="1">
      <alignment horizontal="left" vertical="top" wrapText="1"/>
    </xf>
    <xf numFmtId="0" fontId="25" fillId="0" borderId="35" xfId="5" applyFont="1" applyBorder="1" applyAlignment="1">
      <alignment horizontal="left" vertical="top" wrapText="1"/>
    </xf>
    <xf numFmtId="0" fontId="25" fillId="0" borderId="3" xfId="5" applyFont="1" applyBorder="1" applyAlignment="1">
      <alignment horizontal="left" vertical="top" wrapText="1"/>
    </xf>
    <xf numFmtId="0" fontId="25" fillId="0" borderId="0" xfId="5" applyFont="1" applyBorder="1" applyAlignment="1">
      <alignment horizontal="left" vertical="top" wrapText="1"/>
    </xf>
    <xf numFmtId="0" fontId="25" fillId="0" borderId="2" xfId="5" applyFont="1" applyBorder="1" applyAlignment="1">
      <alignment horizontal="left" vertical="top" wrapText="1"/>
    </xf>
    <xf numFmtId="0" fontId="25" fillId="0" borderId="10" xfId="5" applyFont="1" applyBorder="1" applyAlignment="1">
      <alignment horizontal="left" vertical="top" wrapText="1"/>
    </xf>
    <xf numFmtId="0" fontId="25" fillId="0" borderId="5" xfId="5" applyFont="1" applyBorder="1" applyAlignment="1">
      <alignment horizontal="left" vertical="top" wrapText="1"/>
    </xf>
    <xf numFmtId="0" fontId="25" fillId="0" borderId="13" xfId="5" applyFont="1" applyBorder="1" applyAlignment="1">
      <alignment horizontal="left" vertical="top" wrapText="1"/>
    </xf>
    <xf numFmtId="0" fontId="24" fillId="0" borderId="32" xfId="5" applyFont="1" applyBorder="1" applyAlignment="1">
      <alignment vertical="center" wrapText="1"/>
    </xf>
    <xf numFmtId="0" fontId="24" fillId="0" borderId="0" xfId="5" applyFont="1" applyAlignment="1">
      <alignment horizontal="center" vertical="center"/>
    </xf>
    <xf numFmtId="0" fontId="24" fillId="0" borderId="6" xfId="5" applyFont="1" applyFill="1" applyBorder="1" applyAlignment="1">
      <alignment horizontal="center" vertical="center" shrinkToFit="1"/>
    </xf>
    <xf numFmtId="0" fontId="24" fillId="0" borderId="4" xfId="5" applyFont="1" applyFill="1" applyBorder="1" applyAlignment="1">
      <alignment horizontal="center" vertical="center" shrinkToFit="1"/>
    </xf>
    <xf numFmtId="0" fontId="24" fillId="0" borderId="8" xfId="5" applyFont="1" applyFill="1" applyBorder="1" applyAlignment="1">
      <alignment horizontal="center" vertical="center" shrinkToFit="1"/>
    </xf>
    <xf numFmtId="0" fontId="5" fillId="0" borderId="6" xfId="5" applyFont="1" applyBorder="1" applyAlignment="1">
      <alignment horizontal="center" vertical="center" shrinkToFit="1"/>
    </xf>
    <xf numFmtId="0" fontId="5" fillId="0" borderId="4" xfId="5" applyFont="1" applyBorder="1" applyAlignment="1">
      <alignment horizontal="center" vertical="center" shrinkToFit="1"/>
    </xf>
    <xf numFmtId="0" fontId="5" fillId="0" borderId="8" xfId="5" applyFont="1" applyBorder="1" applyAlignment="1">
      <alignment horizontal="center" vertical="center" shrinkToFit="1"/>
    </xf>
    <xf numFmtId="0" fontId="4" fillId="0" borderId="33" xfId="0" applyFont="1" applyBorder="1" applyAlignment="1">
      <alignment horizontal="left" vertical="top" wrapText="1"/>
    </xf>
    <xf numFmtId="0" fontId="4" fillId="0" borderId="34" xfId="0" applyFont="1" applyBorder="1" applyAlignment="1">
      <alignment horizontal="left" vertical="top" wrapText="1"/>
    </xf>
    <xf numFmtId="0" fontId="4" fillId="0" borderId="35" xfId="0" applyFont="1" applyBorder="1" applyAlignment="1">
      <alignment horizontal="left" vertical="top" wrapText="1"/>
    </xf>
    <xf numFmtId="0" fontId="4"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2" xfId="0" applyFont="1" applyBorder="1" applyAlignment="1">
      <alignment horizontal="left" vertical="top" wrapText="1"/>
    </xf>
    <xf numFmtId="0" fontId="4" fillId="0" borderId="10" xfId="0" applyFont="1" applyBorder="1" applyAlignment="1">
      <alignment horizontal="left" vertical="top" wrapText="1"/>
    </xf>
    <xf numFmtId="0" fontId="4" fillId="0" borderId="5" xfId="0" applyFont="1" applyBorder="1" applyAlignment="1">
      <alignment horizontal="left" vertical="top" wrapText="1"/>
    </xf>
    <xf numFmtId="0" fontId="4" fillId="0" borderId="13" xfId="0" applyFont="1" applyBorder="1" applyAlignment="1">
      <alignment horizontal="left" vertical="top" wrapText="1"/>
    </xf>
    <xf numFmtId="0" fontId="4" fillId="0" borderId="1" xfId="0" applyFont="1" applyBorder="1" applyAlignment="1">
      <alignment vertical="top" wrapText="1" shrinkToFit="1"/>
    </xf>
    <xf numFmtId="0" fontId="21" fillId="0" borderId="1" xfId="0" applyFont="1" applyBorder="1" applyAlignment="1">
      <alignment vertical="top" wrapText="1" shrinkToFit="1"/>
    </xf>
    <xf numFmtId="0" fontId="8" fillId="0" borderId="0" xfId="0" applyFont="1" applyBorder="1" applyAlignment="1">
      <alignment vertical="center" shrinkToFit="1"/>
    </xf>
    <xf numFmtId="0" fontId="8" fillId="0" borderId="5" xfId="0" applyFont="1" applyBorder="1" applyAlignment="1">
      <alignment vertical="center"/>
    </xf>
    <xf numFmtId="0" fontId="13" fillId="0" borderId="0" xfId="0" applyFont="1" applyBorder="1" applyAlignment="1">
      <alignment vertical="top" wrapText="1"/>
    </xf>
    <xf numFmtId="0" fontId="8" fillId="0" borderId="18" xfId="0" applyFont="1" applyBorder="1" applyAlignment="1">
      <alignment vertical="center"/>
    </xf>
    <xf numFmtId="0" fontId="4" fillId="0" borderId="16" xfId="0" applyFont="1" applyBorder="1" applyAlignment="1">
      <alignment vertical="top" wrapText="1" shrinkToFit="1"/>
    </xf>
    <xf numFmtId="0" fontId="8" fillId="0" borderId="18" xfId="0" applyFont="1" applyBorder="1" applyAlignment="1">
      <alignment vertical="center" wrapText="1"/>
    </xf>
    <xf numFmtId="0" fontId="9" fillId="0" borderId="8" xfId="0" applyFont="1" applyBorder="1" applyAlignment="1">
      <alignment horizontal="center" vertical="center"/>
    </xf>
    <xf numFmtId="0" fontId="4" fillId="0" borderId="20" xfId="0" applyFont="1" applyBorder="1" applyAlignment="1">
      <alignment vertical="top" wrapText="1" shrinkToFit="1"/>
    </xf>
    <xf numFmtId="0" fontId="8" fillId="0" borderId="30" xfId="0" applyFont="1" applyBorder="1" applyAlignment="1">
      <alignment vertical="center" wrapText="1"/>
    </xf>
    <xf numFmtId="0" fontId="4" fillId="0" borderId="31" xfId="0" applyFont="1" applyBorder="1" applyAlignment="1">
      <alignment vertical="top" wrapText="1" shrinkToFit="1"/>
    </xf>
    <xf numFmtId="0" fontId="26" fillId="0" borderId="1" xfId="6" applyBorder="1" applyAlignment="1" applyProtection="1">
      <alignment horizontal="left" vertical="center" shrinkToFit="1"/>
    </xf>
    <xf numFmtId="0" fontId="8" fillId="0" borderId="16" xfId="0" applyFont="1" applyBorder="1" applyAlignment="1">
      <alignment vertical="center" wrapText="1"/>
    </xf>
    <xf numFmtId="0" fontId="8" fillId="0" borderId="32" xfId="0" applyFont="1" applyBorder="1" applyAlignment="1">
      <alignment vertical="center" wrapText="1"/>
    </xf>
    <xf numFmtId="0" fontId="4" fillId="0" borderId="13" xfId="0" applyFont="1" applyBorder="1" applyAlignment="1">
      <alignment vertical="top" wrapText="1" shrinkToFit="1"/>
    </xf>
    <xf numFmtId="0" fontId="9" fillId="0" borderId="27" xfId="0" applyFont="1" applyBorder="1" applyAlignment="1">
      <alignment vertical="top" wrapText="1" shrinkToFit="1"/>
    </xf>
    <xf numFmtId="0" fontId="6" fillId="0" borderId="0" xfId="1">
      <alignment vertical="center"/>
    </xf>
  </cellXfs>
  <cellStyles count="7">
    <cellStyle name="Excel Built-in Comma [0]" xfId="2" xr:uid="{00000000-0005-0000-0000-000007000000}"/>
    <cellStyle name="Hyperlink" xfId="6" xr:uid="{00000000-000B-0000-0000-000008000000}"/>
    <cellStyle name="ハイパーリンク" xfId="1" builtinId="8"/>
    <cellStyle name="ハイパーリンク 2" xfId="4" xr:uid="{C8AEE78D-178F-4AB5-B1CB-1AF0A7565F73}"/>
    <cellStyle name="標準" xfId="0" builtinId="0"/>
    <cellStyle name="標準 2" xfId="3" xr:uid="{701B8206-4D61-4833-A960-FCC3A61A2BAB}"/>
    <cellStyle name="標準 2 2" xfId="5" xr:uid="{C8DCBC45-A103-4A05-96CA-C676309A102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C7C7C"/>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003366"/>
      <rgbColor rgb="FF00A933"/>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sakabe-n@adm.okayama-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iess.ccsv.okayama-u.ac.jp/kikan/ds/literacylevel/"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iess.ccsv.okayama-u.ac.jp/kikan/ds/literacylevel/"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iess.ccsv.okayama-u.ac.jp/kikan/ds/literacylevel/"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iess.ccsv.okayama-u.ac.jp/kikan/ds/literacylevel/"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iess.ccsv.okayama-u.ac.jp/kikan/ds/literacylevel/"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ess.ccsv.okayama-u.ac.jp/kikan/ds/literacylevel/"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www.iess.ccsv.okayama-u.ac.jp/kikan/ds/literacylevel/"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iess.ccsv.okayama-u.ac.jp/kikan/ds/literacylevel/"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view="pageBreakPreview" topLeftCell="A28" zoomScaleNormal="100" workbookViewId="0">
      <selection activeCell="E54" sqref="E54"/>
    </sheetView>
  </sheetViews>
  <sheetFormatPr defaultColWidth="9" defaultRowHeight="14.25" x14ac:dyDescent="0.15"/>
  <cols>
    <col min="1" max="1" width="2.375" style="1" customWidth="1"/>
    <col min="2" max="2" width="12.375" style="1" customWidth="1"/>
    <col min="3" max="8" width="6.25" style="1" customWidth="1"/>
    <col min="9" max="9" width="2.375" style="1" customWidth="1"/>
    <col min="10" max="10" width="10" style="1" customWidth="1"/>
    <col min="11" max="11" width="2.375" style="1" customWidth="1"/>
    <col min="12" max="12" width="7.375" style="1" customWidth="1"/>
    <col min="13" max="13" width="2.375" style="1" customWidth="1"/>
    <col min="14" max="14" width="7.375" style="1" customWidth="1"/>
    <col min="15" max="15" width="9" style="1"/>
  </cols>
  <sheetData>
    <row r="1" spans="1:14" ht="22.5" customHeight="1" x14ac:dyDescent="0.15">
      <c r="A1" s="19"/>
      <c r="B1" s="19"/>
      <c r="C1" s="19"/>
      <c r="D1" s="19"/>
      <c r="E1" s="19"/>
      <c r="F1" s="19"/>
      <c r="G1" s="19"/>
      <c r="H1" s="19"/>
      <c r="I1" s="19"/>
      <c r="J1" s="19"/>
      <c r="K1" s="19"/>
      <c r="L1" s="19"/>
      <c r="M1" s="111" t="s">
        <v>0</v>
      </c>
      <c r="N1" s="111"/>
    </row>
    <row r="2" spans="1:14" ht="22.5" customHeight="1" x14ac:dyDescent="0.15">
      <c r="A2" s="112" t="s">
        <v>1</v>
      </c>
      <c r="B2" s="112"/>
      <c r="C2" s="112"/>
      <c r="D2" s="112"/>
      <c r="E2" s="112"/>
      <c r="F2" s="112"/>
      <c r="G2" s="112"/>
      <c r="H2" s="112"/>
      <c r="I2" s="112"/>
      <c r="J2" s="112"/>
      <c r="K2" s="112"/>
      <c r="L2" s="112"/>
      <c r="M2" s="112"/>
      <c r="N2" s="112"/>
    </row>
    <row r="3" spans="1:14" ht="22.5" customHeight="1" x14ac:dyDescent="0.15">
      <c r="A3" s="19"/>
      <c r="B3" s="19"/>
      <c r="C3" s="19"/>
      <c r="D3" s="19"/>
      <c r="E3" s="19"/>
      <c r="F3" s="19"/>
      <c r="G3" s="19"/>
      <c r="H3" s="19"/>
      <c r="I3" s="19"/>
      <c r="J3" s="19"/>
      <c r="K3" s="19"/>
      <c r="L3" s="19"/>
      <c r="M3" s="19"/>
      <c r="N3" s="19"/>
    </row>
    <row r="4" spans="1:14" ht="22.5" customHeight="1" x14ac:dyDescent="0.15">
      <c r="A4" s="19" t="s">
        <v>2</v>
      </c>
      <c r="B4" s="2" t="s">
        <v>3</v>
      </c>
      <c r="C4" s="113" t="s">
        <v>4</v>
      </c>
      <c r="D4" s="113"/>
      <c r="E4" s="113"/>
      <c r="F4" s="113"/>
      <c r="G4" s="113"/>
      <c r="H4" s="113"/>
      <c r="I4" s="113"/>
      <c r="J4" s="113"/>
      <c r="K4" s="113"/>
      <c r="L4" s="113"/>
      <c r="M4" s="113"/>
      <c r="N4" s="113"/>
    </row>
    <row r="5" spans="1:14" ht="7.5" customHeight="1" x14ac:dyDescent="0.15">
      <c r="A5" s="19"/>
      <c r="B5" s="2"/>
      <c r="C5" s="2"/>
      <c r="D5" s="2"/>
      <c r="E5" s="3"/>
      <c r="F5" s="103"/>
      <c r="G5" s="103"/>
      <c r="H5" s="103"/>
      <c r="I5" s="103"/>
      <c r="J5" s="103"/>
      <c r="K5" s="103"/>
      <c r="L5" s="103"/>
      <c r="M5" s="103"/>
      <c r="N5" s="103"/>
    </row>
    <row r="6" spans="1:14" ht="22.5" customHeight="1" x14ac:dyDescent="0.15">
      <c r="A6" s="19" t="s">
        <v>5</v>
      </c>
      <c r="B6" s="2" t="s">
        <v>6</v>
      </c>
      <c r="C6" s="2"/>
      <c r="D6" s="113" t="s">
        <v>7</v>
      </c>
      <c r="E6" s="113"/>
      <c r="F6" s="113"/>
      <c r="G6" s="113"/>
      <c r="H6" s="113"/>
      <c r="I6" s="113"/>
      <c r="J6" s="113"/>
      <c r="K6" s="113"/>
      <c r="L6" s="113"/>
      <c r="M6" s="113"/>
      <c r="N6" s="113"/>
    </row>
    <row r="7" spans="1:14" ht="7.5" customHeight="1" x14ac:dyDescent="0.15">
      <c r="A7" s="19"/>
      <c r="B7" s="2"/>
      <c r="C7" s="2"/>
      <c r="D7" s="2"/>
      <c r="E7" s="3"/>
      <c r="F7" s="103"/>
      <c r="G7" s="103"/>
      <c r="H7" s="103"/>
      <c r="I7" s="103"/>
      <c r="J7" s="103"/>
      <c r="K7" s="103"/>
      <c r="L7" s="103"/>
      <c r="M7" s="103"/>
      <c r="N7" s="103"/>
    </row>
    <row r="8" spans="1:14" ht="22.5" customHeight="1" x14ac:dyDescent="0.15">
      <c r="A8" s="4" t="s">
        <v>8</v>
      </c>
      <c r="B8" s="5" t="s">
        <v>9</v>
      </c>
      <c r="C8" s="113" t="s">
        <v>10</v>
      </c>
      <c r="D8" s="113"/>
      <c r="E8" s="113"/>
      <c r="F8" s="103"/>
      <c r="G8" s="115"/>
      <c r="H8" s="115"/>
      <c r="I8" s="115"/>
      <c r="J8" s="103"/>
      <c r="K8" s="103"/>
      <c r="L8" s="103"/>
      <c r="M8" s="103"/>
      <c r="N8" s="103"/>
    </row>
    <row r="9" spans="1:14" ht="7.5" customHeight="1" x14ac:dyDescent="0.15">
      <c r="A9" s="19"/>
      <c r="B9" s="2"/>
      <c r="C9" s="2"/>
      <c r="D9" s="2"/>
      <c r="E9" s="3"/>
      <c r="F9" s="103"/>
      <c r="G9" s="103"/>
      <c r="H9" s="103"/>
      <c r="I9" s="103"/>
      <c r="J9" s="103"/>
      <c r="K9" s="103"/>
      <c r="L9" s="103"/>
      <c r="M9" s="103"/>
      <c r="N9" s="103"/>
    </row>
    <row r="10" spans="1:14" ht="22.5" customHeight="1" x14ac:dyDescent="0.15">
      <c r="A10" s="19" t="s">
        <v>11</v>
      </c>
      <c r="B10" s="2" t="s">
        <v>12</v>
      </c>
      <c r="C10" s="113" t="s">
        <v>13</v>
      </c>
      <c r="D10" s="113"/>
      <c r="E10" s="113"/>
      <c r="F10" s="113"/>
      <c r="G10" s="113"/>
      <c r="H10" s="113"/>
      <c r="I10" s="113"/>
      <c r="J10" s="113"/>
      <c r="K10" s="113"/>
      <c r="L10" s="113"/>
      <c r="M10" s="113"/>
      <c r="N10" s="113"/>
    </row>
    <row r="11" spans="1:14" ht="7.5" customHeight="1" x14ac:dyDescent="0.15">
      <c r="A11" s="19"/>
      <c r="B11" s="2"/>
      <c r="C11" s="2"/>
      <c r="D11" s="2"/>
      <c r="E11" s="3"/>
      <c r="F11" s="103"/>
      <c r="G11" s="103"/>
      <c r="H11" s="103"/>
      <c r="I11" s="103"/>
      <c r="J11" s="103"/>
      <c r="K11" s="103"/>
      <c r="L11" s="103"/>
      <c r="M11" s="103"/>
      <c r="N11" s="103"/>
    </row>
    <row r="12" spans="1:14" ht="22.5" customHeight="1" x14ac:dyDescent="0.15">
      <c r="A12" s="19" t="s">
        <v>14</v>
      </c>
      <c r="B12" s="2" t="s">
        <v>15</v>
      </c>
      <c r="C12" s="2"/>
      <c r="D12" s="2"/>
      <c r="E12" s="6"/>
      <c r="F12" s="7"/>
      <c r="G12" s="114" t="s">
        <v>16</v>
      </c>
      <c r="H12" s="114"/>
      <c r="I12" s="114"/>
      <c r="J12" s="114"/>
      <c r="K12" s="114"/>
      <c r="L12" s="114"/>
      <c r="M12" s="114"/>
      <c r="N12" s="114"/>
    </row>
    <row r="13" spans="1:14" ht="7.5" customHeight="1" x14ac:dyDescent="0.15">
      <c r="A13" s="19"/>
      <c r="B13" s="3"/>
      <c r="C13" s="3"/>
      <c r="D13" s="3"/>
      <c r="E13" s="3"/>
      <c r="F13" s="103"/>
      <c r="G13" s="103"/>
      <c r="H13" s="103"/>
      <c r="I13" s="103"/>
      <c r="J13" s="103"/>
      <c r="K13" s="103"/>
      <c r="L13" s="103"/>
      <c r="M13" s="103"/>
      <c r="N13" s="103"/>
    </row>
    <row r="14" spans="1:14" ht="22.5" customHeight="1" x14ac:dyDescent="0.15">
      <c r="A14" s="19" t="s">
        <v>17</v>
      </c>
      <c r="B14" s="3" t="s">
        <v>18</v>
      </c>
      <c r="C14" s="3"/>
      <c r="D14" s="3"/>
      <c r="E14" s="3"/>
      <c r="F14" s="113" t="s">
        <v>19</v>
      </c>
      <c r="G14" s="113"/>
      <c r="H14" s="113"/>
      <c r="I14" s="103"/>
      <c r="J14" s="103"/>
      <c r="K14" s="103"/>
      <c r="L14" s="103"/>
      <c r="M14" s="103"/>
      <c r="N14" s="103"/>
    </row>
    <row r="15" spans="1:14" ht="7.5" customHeight="1" x14ac:dyDescent="0.15">
      <c r="A15" s="19"/>
      <c r="B15" s="3"/>
      <c r="C15" s="3"/>
      <c r="D15" s="3"/>
      <c r="E15" s="3"/>
      <c r="F15" s="103"/>
      <c r="G15" s="103"/>
      <c r="H15" s="103"/>
      <c r="I15" s="103"/>
      <c r="J15" s="103"/>
      <c r="K15" s="103"/>
      <c r="L15" s="103"/>
      <c r="M15" s="103"/>
      <c r="N15" s="103"/>
    </row>
    <row r="16" spans="1:14" ht="22.5" customHeight="1" x14ac:dyDescent="0.15">
      <c r="A16" s="19" t="s">
        <v>20</v>
      </c>
      <c r="B16" s="19" t="s">
        <v>21</v>
      </c>
      <c r="C16" s="119" t="s">
        <v>22</v>
      </c>
      <c r="D16" s="119"/>
      <c r="E16" s="116">
        <v>1457</v>
      </c>
      <c r="F16" s="116"/>
      <c r="G16" s="8" t="s">
        <v>23</v>
      </c>
      <c r="H16" s="19"/>
      <c r="I16" s="119" t="s">
        <v>24</v>
      </c>
      <c r="J16" s="119"/>
      <c r="K16" s="116">
        <v>609</v>
      </c>
      <c r="L16" s="116"/>
      <c r="M16" s="116"/>
      <c r="N16" s="9" t="s">
        <v>23</v>
      </c>
    </row>
    <row r="17" spans="1:14" ht="7.5" customHeight="1" x14ac:dyDescent="0.15">
      <c r="A17" s="19"/>
      <c r="B17" s="19"/>
      <c r="C17" s="19"/>
      <c r="D17" s="19"/>
      <c r="E17" s="19"/>
      <c r="F17" s="10"/>
      <c r="G17" s="10"/>
      <c r="H17" s="10"/>
      <c r="I17" s="10"/>
      <c r="J17" s="10"/>
      <c r="K17" s="10"/>
      <c r="L17" s="10"/>
      <c r="M17" s="9"/>
      <c r="N17" s="9"/>
    </row>
    <row r="18" spans="1:14" ht="22.5" customHeight="1" x14ac:dyDescent="0.15">
      <c r="A18" s="19" t="s">
        <v>25</v>
      </c>
      <c r="B18" s="19" t="s">
        <v>26</v>
      </c>
      <c r="C18" s="19"/>
      <c r="D18" s="19"/>
      <c r="E18" s="19"/>
      <c r="F18" s="10"/>
      <c r="G18" s="10"/>
      <c r="H18" s="10"/>
      <c r="I18" s="10"/>
      <c r="J18" s="10"/>
      <c r="K18" s="118">
        <v>18</v>
      </c>
      <c r="L18" s="118"/>
      <c r="M18" s="118"/>
      <c r="N18" s="9" t="s">
        <v>23</v>
      </c>
    </row>
    <row r="19" spans="1:14" ht="7.5" customHeight="1" x14ac:dyDescent="0.15">
      <c r="A19" s="19"/>
      <c r="B19" s="19"/>
      <c r="C19" s="19"/>
      <c r="D19" s="19"/>
      <c r="E19" s="19"/>
      <c r="F19" s="10"/>
      <c r="G19" s="10"/>
      <c r="H19" s="10"/>
      <c r="I19" s="10"/>
      <c r="J19" s="10"/>
      <c r="K19" s="10"/>
      <c r="L19" s="10"/>
      <c r="M19" s="9"/>
      <c r="N19" s="9"/>
    </row>
    <row r="20" spans="1:14" ht="22.5" customHeight="1" x14ac:dyDescent="0.15">
      <c r="A20" s="19" t="s">
        <v>27</v>
      </c>
      <c r="B20" s="19" t="s">
        <v>28</v>
      </c>
      <c r="C20" s="19"/>
      <c r="D20" s="19"/>
      <c r="E20" s="116">
        <v>2275</v>
      </c>
      <c r="F20" s="116"/>
      <c r="G20" s="11" t="s">
        <v>23</v>
      </c>
      <c r="H20" s="10"/>
      <c r="I20" s="19"/>
      <c r="J20" s="19"/>
      <c r="K20" s="117"/>
      <c r="L20" s="117"/>
      <c r="M20" s="117"/>
      <c r="N20" s="117"/>
    </row>
    <row r="21" spans="1:14" ht="7.5" customHeight="1" x14ac:dyDescent="0.15">
      <c r="A21" s="19"/>
      <c r="B21" s="19"/>
      <c r="C21" s="19"/>
      <c r="D21" s="19"/>
      <c r="E21" s="12"/>
      <c r="F21" s="10"/>
      <c r="G21" s="10"/>
      <c r="H21" s="19"/>
      <c r="I21" s="19"/>
      <c r="J21" s="19"/>
      <c r="K21" s="19"/>
      <c r="L21" s="101"/>
      <c r="M21" s="101"/>
      <c r="N21" s="13"/>
    </row>
    <row r="22" spans="1:14" ht="22.5" customHeight="1" x14ac:dyDescent="0.15">
      <c r="A22" s="19" t="s">
        <v>29</v>
      </c>
      <c r="B22" s="19" t="s">
        <v>30</v>
      </c>
      <c r="C22" s="19"/>
      <c r="D22" s="19"/>
      <c r="E22" s="12"/>
      <c r="F22" s="10"/>
      <c r="G22" s="10"/>
      <c r="H22" s="19" t="s">
        <v>31</v>
      </c>
      <c r="I22" s="19"/>
      <c r="J22" s="118">
        <v>10105</v>
      </c>
      <c r="K22" s="118"/>
      <c r="L22" s="118"/>
      <c r="M22" s="101" t="s">
        <v>23</v>
      </c>
      <c r="N22" s="13"/>
    </row>
    <row r="23" spans="1:14" ht="7.5" customHeight="1" x14ac:dyDescent="0.15">
      <c r="A23" s="19"/>
      <c r="B23" s="19"/>
      <c r="C23" s="19"/>
      <c r="D23" s="19"/>
      <c r="E23" s="12"/>
      <c r="F23" s="10"/>
      <c r="G23" s="10"/>
      <c r="H23" s="19"/>
      <c r="I23" s="19"/>
      <c r="J23" s="19"/>
      <c r="K23" s="19"/>
      <c r="L23" s="101"/>
      <c r="M23" s="101"/>
      <c r="N23" s="13"/>
    </row>
    <row r="24" spans="1:14" ht="22.5" customHeight="1" x14ac:dyDescent="0.15">
      <c r="A24" s="19"/>
      <c r="B24" s="14" t="s">
        <v>32</v>
      </c>
      <c r="C24" s="116">
        <v>2308</v>
      </c>
      <c r="D24" s="116"/>
      <c r="E24" s="12" t="s">
        <v>23</v>
      </c>
      <c r="F24" s="10"/>
      <c r="G24" s="112" t="s">
        <v>33</v>
      </c>
      <c r="H24" s="112"/>
      <c r="I24" s="116">
        <v>2371</v>
      </c>
      <c r="J24" s="116"/>
      <c r="K24" s="4" t="s">
        <v>23</v>
      </c>
      <c r="L24" s="19"/>
      <c r="M24" s="101"/>
      <c r="N24" s="13"/>
    </row>
    <row r="25" spans="1:14" ht="7.5" customHeight="1" x14ac:dyDescent="0.15">
      <c r="A25" s="19"/>
      <c r="B25" s="14"/>
      <c r="C25" s="16"/>
      <c r="D25" s="16"/>
      <c r="E25" s="12"/>
      <c r="F25" s="10"/>
      <c r="G25" s="101"/>
      <c r="H25" s="101"/>
      <c r="I25" s="16"/>
      <c r="J25" s="16"/>
      <c r="K25" s="4"/>
      <c r="L25" s="19"/>
      <c r="M25" s="101"/>
      <c r="N25" s="13"/>
    </row>
    <row r="26" spans="1:14" ht="22.5" customHeight="1" x14ac:dyDescent="0.15">
      <c r="A26" s="19"/>
      <c r="B26" s="14" t="s">
        <v>34</v>
      </c>
      <c r="C26" s="116">
        <v>2446</v>
      </c>
      <c r="D26" s="116"/>
      <c r="E26" s="12" t="s">
        <v>23</v>
      </c>
      <c r="F26" s="10"/>
      <c r="G26" s="112" t="s">
        <v>35</v>
      </c>
      <c r="H26" s="112"/>
      <c r="I26" s="116">
        <v>2548</v>
      </c>
      <c r="J26" s="116"/>
      <c r="K26" s="4" t="s">
        <v>23</v>
      </c>
      <c r="L26" s="19"/>
      <c r="M26" s="101"/>
      <c r="N26" s="13"/>
    </row>
    <row r="27" spans="1:14" ht="7.5" customHeight="1" x14ac:dyDescent="0.15">
      <c r="A27" s="19"/>
      <c r="B27" s="14"/>
      <c r="C27" s="16"/>
      <c r="D27" s="16"/>
      <c r="E27" s="12"/>
      <c r="F27" s="10"/>
      <c r="G27" s="101"/>
      <c r="H27" s="101"/>
      <c r="I27" s="16"/>
      <c r="J27" s="16"/>
      <c r="K27" s="4"/>
      <c r="L27" s="19"/>
      <c r="M27" s="101"/>
      <c r="N27" s="13"/>
    </row>
    <row r="28" spans="1:14" ht="22.5" customHeight="1" x14ac:dyDescent="0.15">
      <c r="A28" s="19"/>
      <c r="B28" s="14" t="s">
        <v>36</v>
      </c>
      <c r="C28" s="116">
        <v>221</v>
      </c>
      <c r="D28" s="116"/>
      <c r="E28" s="12" t="s">
        <v>23</v>
      </c>
      <c r="F28" s="10"/>
      <c r="G28" s="112" t="s">
        <v>37</v>
      </c>
      <c r="H28" s="112"/>
      <c r="I28" s="116">
        <v>211</v>
      </c>
      <c r="J28" s="116"/>
      <c r="K28" s="4" t="s">
        <v>23</v>
      </c>
      <c r="L28" s="19"/>
      <c r="M28" s="101"/>
      <c r="N28" s="13"/>
    </row>
    <row r="29" spans="1:14" ht="7.5" customHeight="1" x14ac:dyDescent="0.15">
      <c r="A29" s="19"/>
      <c r="B29" s="19"/>
      <c r="C29" s="19"/>
      <c r="D29" s="19"/>
      <c r="E29" s="19"/>
      <c r="F29" s="10"/>
      <c r="G29" s="10"/>
      <c r="H29" s="19"/>
      <c r="I29" s="19"/>
      <c r="J29" s="19"/>
      <c r="K29" s="19"/>
      <c r="L29" s="19"/>
      <c r="M29" s="17"/>
      <c r="N29" s="17"/>
    </row>
    <row r="30" spans="1:14" ht="22.5" customHeight="1" x14ac:dyDescent="0.15">
      <c r="A30" s="19" t="s">
        <v>38</v>
      </c>
      <c r="B30" s="2" t="s">
        <v>39</v>
      </c>
      <c r="C30" s="2"/>
      <c r="D30" s="2"/>
      <c r="E30" s="2"/>
      <c r="F30" s="4"/>
      <c r="G30" s="103"/>
      <c r="H30" s="103"/>
      <c r="I30" s="103"/>
      <c r="J30" s="18"/>
      <c r="K30" s="18"/>
      <c r="L30" s="18"/>
      <c r="M30" s="18"/>
      <c r="N30" s="18"/>
    </row>
    <row r="31" spans="1:14" s="15" customFormat="1" ht="22.5" customHeight="1" x14ac:dyDescent="0.15">
      <c r="B31" s="120" t="s">
        <v>40</v>
      </c>
      <c r="C31" s="120"/>
      <c r="D31" s="121" t="s">
        <v>41</v>
      </c>
      <c r="E31" s="121"/>
      <c r="F31" s="121"/>
      <c r="G31" s="122" t="s">
        <v>42</v>
      </c>
      <c r="H31" s="122"/>
      <c r="I31" s="122"/>
      <c r="J31" s="113" t="s">
        <v>43</v>
      </c>
      <c r="K31" s="113"/>
      <c r="L31" s="113"/>
      <c r="M31" s="113"/>
      <c r="N31" s="113"/>
    </row>
    <row r="32" spans="1:14" ht="7.5" customHeight="1" x14ac:dyDescent="0.15">
      <c r="A32" s="19"/>
      <c r="B32" s="19"/>
      <c r="C32" s="19"/>
      <c r="D32" s="19"/>
      <c r="E32" s="19"/>
      <c r="F32" s="10"/>
      <c r="G32" s="10"/>
      <c r="H32" s="19"/>
      <c r="I32" s="19"/>
      <c r="J32" s="19"/>
      <c r="K32" s="19"/>
      <c r="L32" s="19"/>
      <c r="M32" s="17"/>
      <c r="N32" s="17"/>
    </row>
    <row r="33" spans="1:14" ht="22.5" customHeight="1" x14ac:dyDescent="0.15">
      <c r="A33" s="19" t="s">
        <v>44</v>
      </c>
      <c r="B33" s="2" t="s">
        <v>45</v>
      </c>
      <c r="C33" s="2"/>
      <c r="D33" s="2"/>
      <c r="E33" s="2"/>
      <c r="F33" s="4"/>
      <c r="G33" s="18"/>
      <c r="H33" s="18"/>
      <c r="I33" s="18"/>
      <c r="J33" s="18"/>
      <c r="K33" s="18"/>
      <c r="L33" s="18"/>
      <c r="M33" s="18"/>
      <c r="N33" s="18"/>
    </row>
    <row r="34" spans="1:14" ht="22.5" customHeight="1" x14ac:dyDescent="0.15">
      <c r="A34" s="19"/>
      <c r="B34" s="113" t="s">
        <v>46</v>
      </c>
      <c r="C34" s="113"/>
      <c r="D34" s="113"/>
      <c r="E34" s="113"/>
      <c r="F34" s="113"/>
      <c r="G34" s="113"/>
      <c r="H34" s="113"/>
      <c r="I34" s="113"/>
      <c r="J34" s="113"/>
      <c r="K34" s="113"/>
      <c r="L34" s="113"/>
      <c r="M34" s="113"/>
      <c r="N34" s="113"/>
    </row>
    <row r="35" spans="1:14" ht="7.5" customHeight="1" x14ac:dyDescent="0.15">
      <c r="A35" s="19"/>
      <c r="B35" s="102"/>
      <c r="C35" s="102"/>
      <c r="D35" s="102"/>
      <c r="E35" s="102"/>
      <c r="F35" s="102"/>
      <c r="G35" s="102"/>
      <c r="H35" s="102"/>
      <c r="I35" s="102"/>
      <c r="J35" s="102"/>
      <c r="K35" s="102"/>
      <c r="L35" s="102"/>
      <c r="M35" s="102"/>
      <c r="N35" s="102"/>
    </row>
    <row r="36" spans="1:14" s="15" customFormat="1" ht="22.5" customHeight="1" x14ac:dyDescent="0.15">
      <c r="B36" s="120" t="s">
        <v>40</v>
      </c>
      <c r="C36" s="120"/>
      <c r="D36" s="121" t="s">
        <v>41</v>
      </c>
      <c r="E36" s="121"/>
      <c r="F36" s="121"/>
      <c r="G36" s="122" t="s">
        <v>42</v>
      </c>
      <c r="H36" s="122"/>
      <c r="I36" s="122"/>
      <c r="J36" s="113" t="s">
        <v>43</v>
      </c>
      <c r="K36" s="113"/>
      <c r="L36" s="113"/>
      <c r="M36" s="113"/>
      <c r="N36" s="113"/>
    </row>
    <row r="37" spans="1:14" ht="7.5" customHeight="1" x14ac:dyDescent="0.15">
      <c r="A37" s="19"/>
      <c r="B37" s="19"/>
      <c r="C37" s="19"/>
      <c r="D37" s="19"/>
      <c r="E37" s="19"/>
      <c r="F37" s="103"/>
      <c r="G37" s="103"/>
      <c r="H37" s="103"/>
      <c r="I37" s="103"/>
      <c r="J37" s="103"/>
      <c r="K37" s="103"/>
      <c r="L37" s="103"/>
      <c r="M37" s="103"/>
      <c r="N37" s="103"/>
    </row>
    <row r="38" spans="1:14" ht="22.5" customHeight="1" x14ac:dyDescent="0.15">
      <c r="A38" s="19" t="s">
        <v>47</v>
      </c>
      <c r="B38" s="19" t="s">
        <v>48</v>
      </c>
      <c r="C38" s="19"/>
      <c r="D38" s="19"/>
      <c r="E38" s="19"/>
      <c r="F38" s="19"/>
      <c r="G38" s="19"/>
      <c r="H38" s="19"/>
      <c r="I38" s="19"/>
      <c r="J38" s="19"/>
      <c r="K38" s="19"/>
      <c r="L38" s="19"/>
      <c r="M38" s="17"/>
      <c r="N38" s="17"/>
    </row>
    <row r="39" spans="1:14" ht="22.5" customHeight="1" x14ac:dyDescent="0.15">
      <c r="A39" s="19"/>
      <c r="B39" s="113" t="s">
        <v>49</v>
      </c>
      <c r="C39" s="113"/>
      <c r="D39" s="113"/>
      <c r="E39" s="113"/>
      <c r="F39" s="113"/>
      <c r="G39" s="113"/>
      <c r="H39" s="113"/>
      <c r="I39" s="113"/>
      <c r="J39" s="113"/>
      <c r="K39" s="113"/>
      <c r="L39" s="113"/>
      <c r="M39" s="113"/>
      <c r="N39" s="113"/>
    </row>
    <row r="40" spans="1:14" ht="7.5" customHeight="1" x14ac:dyDescent="0.15">
      <c r="A40" s="19"/>
      <c r="B40" s="19"/>
      <c r="C40" s="19"/>
      <c r="D40" s="19"/>
      <c r="E40" s="19"/>
      <c r="F40" s="103"/>
      <c r="G40" s="103"/>
      <c r="H40" s="103"/>
      <c r="I40" s="103"/>
      <c r="J40" s="103"/>
      <c r="K40" s="103"/>
      <c r="L40" s="103"/>
      <c r="M40" s="103"/>
      <c r="N40" s="103"/>
    </row>
    <row r="41" spans="1:14" s="15" customFormat="1" ht="22.5" customHeight="1" x14ac:dyDescent="0.15">
      <c r="B41" s="120" t="s">
        <v>40</v>
      </c>
      <c r="C41" s="120"/>
      <c r="D41" s="121" t="s">
        <v>41</v>
      </c>
      <c r="E41" s="121"/>
      <c r="F41" s="121"/>
      <c r="G41" s="122" t="s">
        <v>42</v>
      </c>
      <c r="H41" s="122"/>
      <c r="I41" s="122"/>
      <c r="J41" s="113" t="s">
        <v>43</v>
      </c>
      <c r="K41" s="113"/>
      <c r="L41" s="113"/>
      <c r="M41" s="113"/>
      <c r="N41" s="113"/>
    </row>
    <row r="42" spans="1:14" ht="7.5" customHeight="1" x14ac:dyDescent="0.15">
      <c r="A42" s="19"/>
      <c r="B42" s="19"/>
      <c r="C42" s="19"/>
      <c r="D42" s="19"/>
      <c r="E42" s="19"/>
      <c r="F42" s="103"/>
      <c r="G42" s="103"/>
      <c r="H42" s="103"/>
      <c r="I42" s="103"/>
      <c r="J42" s="103"/>
      <c r="K42" s="103"/>
      <c r="L42" s="103"/>
      <c r="M42" s="103"/>
      <c r="N42" s="103"/>
    </row>
    <row r="43" spans="1:14" ht="22.5" customHeight="1" x14ac:dyDescent="0.15">
      <c r="A43" s="19" t="s">
        <v>50</v>
      </c>
      <c r="B43" s="19" t="s">
        <v>51</v>
      </c>
      <c r="C43" s="19"/>
      <c r="D43" s="19"/>
      <c r="E43" s="20"/>
      <c r="F43" s="113" t="s">
        <v>52</v>
      </c>
      <c r="G43" s="113"/>
      <c r="H43" s="113"/>
      <c r="I43" s="113"/>
      <c r="J43" s="113"/>
      <c r="K43" s="113"/>
      <c r="L43" s="113"/>
      <c r="M43" s="113"/>
      <c r="N43" s="113"/>
    </row>
    <row r="44" spans="1:14" ht="7.5" customHeight="1" x14ac:dyDescent="0.15">
      <c r="A44" s="19"/>
      <c r="B44" s="19"/>
      <c r="C44" s="19"/>
      <c r="D44" s="19"/>
      <c r="E44" s="19"/>
      <c r="F44" s="103"/>
      <c r="G44" s="103"/>
      <c r="H44" s="103"/>
      <c r="I44" s="103"/>
      <c r="J44" s="103"/>
      <c r="K44" s="103"/>
      <c r="L44" s="103"/>
      <c r="M44" s="103"/>
      <c r="N44" s="103"/>
    </row>
    <row r="45" spans="1:14" ht="22.5" customHeight="1" x14ac:dyDescent="0.15">
      <c r="A45" s="19" t="s">
        <v>53</v>
      </c>
      <c r="B45" s="19"/>
      <c r="C45" s="19"/>
      <c r="D45" s="19"/>
      <c r="E45" s="19"/>
      <c r="F45" s="19"/>
      <c r="G45" s="19"/>
      <c r="H45" s="19"/>
      <c r="I45" s="19"/>
      <c r="J45" s="19"/>
      <c r="K45" s="19"/>
      <c r="L45" s="19"/>
      <c r="M45" s="19"/>
      <c r="N45" s="19"/>
    </row>
    <row r="46" spans="1:14" ht="22.5" customHeight="1" x14ac:dyDescent="0.15">
      <c r="A46" s="19"/>
      <c r="B46" s="21" t="s">
        <v>54</v>
      </c>
      <c r="C46" s="125" t="s">
        <v>55</v>
      </c>
      <c r="D46" s="125"/>
      <c r="E46" s="125"/>
      <c r="F46" s="125"/>
      <c r="G46" s="125"/>
      <c r="H46" s="125"/>
      <c r="I46" s="22" t="s">
        <v>56</v>
      </c>
      <c r="J46" s="23"/>
      <c r="K46" s="113" t="s">
        <v>57</v>
      </c>
      <c r="L46" s="113"/>
      <c r="M46" s="113"/>
      <c r="N46" s="113"/>
    </row>
    <row r="47" spans="1:14" ht="22.5" customHeight="1" x14ac:dyDescent="0.15">
      <c r="A47" s="19"/>
      <c r="B47" s="21" t="s">
        <v>58</v>
      </c>
      <c r="C47" s="123" t="s">
        <v>59</v>
      </c>
      <c r="D47" s="123"/>
      <c r="E47" s="123"/>
      <c r="F47" s="123"/>
      <c r="G47" s="123"/>
      <c r="H47" s="123"/>
      <c r="I47" s="22" t="s">
        <v>60</v>
      </c>
      <c r="J47" s="23"/>
      <c r="K47" s="124" t="s">
        <v>61</v>
      </c>
      <c r="L47" s="124"/>
      <c r="M47" s="124"/>
      <c r="N47" s="124"/>
    </row>
  </sheetData>
  <mergeCells count="45">
    <mergeCell ref="C47:H47"/>
    <mergeCell ref="K47:N47"/>
    <mergeCell ref="F43:N43"/>
    <mergeCell ref="C46:H46"/>
    <mergeCell ref="K46:N46"/>
    <mergeCell ref="B39:N39"/>
    <mergeCell ref="B41:C41"/>
    <mergeCell ref="D41:F41"/>
    <mergeCell ref="G41:I41"/>
    <mergeCell ref="J41:N41"/>
    <mergeCell ref="B34:N34"/>
    <mergeCell ref="B36:C36"/>
    <mergeCell ref="D36:F36"/>
    <mergeCell ref="G36:I36"/>
    <mergeCell ref="J36:N36"/>
    <mergeCell ref="B31:C31"/>
    <mergeCell ref="D31:F31"/>
    <mergeCell ref="G31:I31"/>
    <mergeCell ref="J31:N31"/>
    <mergeCell ref="C28:D28"/>
    <mergeCell ref="G28:H28"/>
    <mergeCell ref="I28:J28"/>
    <mergeCell ref="C26:D26"/>
    <mergeCell ref="G26:H26"/>
    <mergeCell ref="I26:J26"/>
    <mergeCell ref="C24:D24"/>
    <mergeCell ref="G24:H24"/>
    <mergeCell ref="I24:J24"/>
    <mergeCell ref="J22:L22"/>
    <mergeCell ref="K18:M18"/>
    <mergeCell ref="C16:D16"/>
    <mergeCell ref="E16:F16"/>
    <mergeCell ref="I16:J16"/>
    <mergeCell ref="K16:M16"/>
    <mergeCell ref="F14:H14"/>
    <mergeCell ref="D6:N6"/>
    <mergeCell ref="C8:E8"/>
    <mergeCell ref="G8:I8"/>
    <mergeCell ref="E20:F20"/>
    <mergeCell ref="K20:N20"/>
    <mergeCell ref="M1:N1"/>
    <mergeCell ref="A2:N2"/>
    <mergeCell ref="C4:N4"/>
    <mergeCell ref="C10:N10"/>
    <mergeCell ref="G12:N12"/>
  </mergeCells>
  <phoneticPr fontId="18"/>
  <dataValidations count="2">
    <dataValidation type="list" allowBlank="1" showInputMessage="1" showErrorMessage="1" sqref="C8" xr:uid="{00000000-0002-0000-0000-000000000000}">
      <formula1>"国立大学,公立大学,私立大学,短期大学,高等専門学校,その他"</formula1>
      <formula2>0</formula2>
    </dataValidation>
    <dataValidation type="list" allowBlank="1" showInputMessage="1" showErrorMessage="1" sqref="F43" xr:uid="{00000000-0002-0000-0000-000001000000}">
      <formula1>"認定教育プログラム,認定教育プログラムと認定教育プログラム+（プラス）"</formula1>
      <formula2>0</formula2>
    </dataValidation>
  </dataValidations>
  <hyperlinks>
    <hyperlink ref="C47" r:id="rId1" xr:uid="{00000000-0004-0000-0000-000000000000}"/>
  </hyperlink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12D7C-4F7A-46F4-B412-EA6EEA69620F}">
  <dimension ref="A1:J44"/>
  <sheetViews>
    <sheetView view="pageBreakPreview" zoomScaleNormal="100" zoomScaleSheetLayoutView="100" zoomScalePageLayoutView="145" workbookViewId="0">
      <selection activeCell="B17" sqref="B17"/>
    </sheetView>
  </sheetViews>
  <sheetFormatPr defaultColWidth="9" defaultRowHeight="14.25" x14ac:dyDescent="0.15"/>
  <cols>
    <col min="1" max="2" width="2.375" style="19" customWidth="1"/>
    <col min="3" max="3" width="20" style="19" customWidth="1"/>
    <col min="4" max="4" width="8.75" style="19" customWidth="1"/>
    <col min="5" max="5" width="7.375" style="19" customWidth="1"/>
    <col min="6" max="6" width="2.375" style="19" customWidth="1"/>
    <col min="7" max="7" width="15" style="19" customWidth="1"/>
    <col min="8" max="8" width="12.375" style="19" customWidth="1"/>
    <col min="9" max="9" width="11.25" style="19" customWidth="1"/>
    <col min="10" max="10" width="9" style="19"/>
  </cols>
  <sheetData>
    <row r="1" spans="1:9" ht="18.75" customHeight="1" x14ac:dyDescent="0.15">
      <c r="I1" s="24" t="s">
        <v>62</v>
      </c>
    </row>
    <row r="2" spans="1:9" ht="18.75" customHeight="1" x14ac:dyDescent="0.15">
      <c r="G2" s="25" t="s">
        <v>63</v>
      </c>
      <c r="H2" s="117" t="s">
        <v>4</v>
      </c>
      <c r="I2" s="117"/>
    </row>
    <row r="3" spans="1:9" ht="7.5" customHeight="1" x14ac:dyDescent="0.15"/>
    <row r="4" spans="1:9" ht="18.75" customHeight="1" x14ac:dyDescent="0.15">
      <c r="A4" s="112" t="s">
        <v>64</v>
      </c>
      <c r="B4" s="112"/>
      <c r="C4" s="112"/>
      <c r="D4" s="112"/>
      <c r="E4" s="112"/>
      <c r="F4" s="112"/>
      <c r="G4" s="112"/>
      <c r="H4" s="112"/>
      <c r="I4" s="112"/>
    </row>
    <row r="5" spans="1:9" ht="7.5" customHeight="1" x14ac:dyDescent="0.15">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C7" s="14"/>
      <c r="D7" s="14"/>
      <c r="F7" s="101"/>
      <c r="G7" s="101"/>
      <c r="H7" s="101"/>
      <c r="I7" s="101"/>
    </row>
    <row r="8" spans="1:9" ht="18.75" customHeight="1" x14ac:dyDescent="0.15">
      <c r="A8" s="19" t="s">
        <v>5</v>
      </c>
      <c r="B8" s="19" t="s">
        <v>67</v>
      </c>
      <c r="C8" s="14"/>
      <c r="D8" s="14"/>
      <c r="E8" s="14"/>
      <c r="F8" s="14"/>
      <c r="G8" s="14"/>
      <c r="H8" s="14"/>
      <c r="I8" s="14"/>
    </row>
    <row r="9" spans="1:9" ht="18.75" customHeight="1" x14ac:dyDescent="0.15">
      <c r="B9" s="127" t="s">
        <v>284</v>
      </c>
      <c r="C9" s="127"/>
      <c r="D9" s="127"/>
      <c r="E9" s="127"/>
      <c r="F9" s="127"/>
      <c r="G9" s="127"/>
      <c r="H9" s="127"/>
      <c r="I9" s="127"/>
    </row>
    <row r="10" spans="1:9" ht="18.75" customHeight="1" x14ac:dyDescent="0.15">
      <c r="B10" s="127"/>
      <c r="C10" s="127"/>
      <c r="D10" s="127"/>
      <c r="E10" s="127"/>
      <c r="F10" s="127"/>
      <c r="G10" s="127"/>
      <c r="H10" s="127"/>
      <c r="I10" s="127"/>
    </row>
    <row r="11" spans="1:9" ht="18.75" customHeight="1" x14ac:dyDescent="0.15">
      <c r="B11" s="127"/>
      <c r="C11" s="127"/>
      <c r="D11" s="127"/>
      <c r="E11" s="127"/>
      <c r="F11" s="127"/>
      <c r="G11" s="127"/>
      <c r="H11" s="127"/>
      <c r="I11" s="127"/>
    </row>
    <row r="12" spans="1:9" ht="18.75" customHeight="1" x14ac:dyDescent="0.15">
      <c r="B12" s="127"/>
      <c r="C12" s="127"/>
      <c r="D12" s="127"/>
      <c r="E12" s="127"/>
      <c r="F12" s="127"/>
      <c r="G12" s="127"/>
      <c r="H12" s="127"/>
      <c r="I12" s="127"/>
    </row>
    <row r="13" spans="1:9" ht="18.75" customHeight="1" x14ac:dyDescent="0.15">
      <c r="B13" s="127"/>
      <c r="C13" s="127"/>
      <c r="D13" s="127"/>
      <c r="E13" s="127"/>
      <c r="F13" s="127"/>
      <c r="G13" s="127"/>
      <c r="H13" s="127"/>
      <c r="I13" s="127"/>
    </row>
    <row r="14" spans="1:9" ht="18.75" customHeight="1" x14ac:dyDescent="0.15">
      <c r="B14" s="127"/>
      <c r="C14" s="127"/>
      <c r="D14" s="127"/>
      <c r="E14" s="127"/>
      <c r="F14" s="127"/>
      <c r="G14" s="127"/>
      <c r="H14" s="127"/>
      <c r="I14" s="127"/>
    </row>
    <row r="15" spans="1:9" ht="18.75" customHeight="1" x14ac:dyDescent="0.15">
      <c r="B15" s="127"/>
      <c r="C15" s="127"/>
      <c r="D15" s="127"/>
      <c r="E15" s="127"/>
      <c r="F15" s="127"/>
      <c r="G15" s="127"/>
      <c r="H15" s="127"/>
      <c r="I15" s="127"/>
    </row>
    <row r="16" spans="1:9" ht="18.75" customHeight="1" x14ac:dyDescent="0.15">
      <c r="B16" s="127"/>
      <c r="C16" s="127"/>
      <c r="D16" s="127"/>
      <c r="E16" s="127"/>
      <c r="F16" s="127"/>
      <c r="G16" s="127"/>
      <c r="H16" s="127"/>
      <c r="I16" s="127"/>
    </row>
    <row r="17" spans="1:9" ht="7.5" customHeight="1" x14ac:dyDescent="0.15">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H2:I2"/>
    <mergeCell ref="A4:I4"/>
    <mergeCell ref="E6:I6"/>
    <mergeCell ref="B20:E20"/>
    <mergeCell ref="G20:I20"/>
    <mergeCell ref="B21:E21"/>
    <mergeCell ref="G21:I21"/>
    <mergeCell ref="B9:I16"/>
    <mergeCell ref="A19:E19"/>
    <mergeCell ref="F19:I19"/>
    <mergeCell ref="B24:E24"/>
    <mergeCell ref="G24:I24"/>
    <mergeCell ref="B25:E25"/>
    <mergeCell ref="G25:I25"/>
    <mergeCell ref="B22:E22"/>
    <mergeCell ref="G22:I22"/>
    <mergeCell ref="B23:E23"/>
    <mergeCell ref="G23:I23"/>
    <mergeCell ref="B28:E28"/>
    <mergeCell ref="G28:I28"/>
    <mergeCell ref="B29:E29"/>
    <mergeCell ref="G29:I29"/>
    <mergeCell ref="B26:E26"/>
    <mergeCell ref="G26:I26"/>
    <mergeCell ref="B27:E27"/>
    <mergeCell ref="G27:I27"/>
    <mergeCell ref="B32:E32"/>
    <mergeCell ref="G32:I32"/>
    <mergeCell ref="B33:E33"/>
    <mergeCell ref="G33:I33"/>
    <mergeCell ref="B30:E30"/>
    <mergeCell ref="G30:I30"/>
    <mergeCell ref="B31:E31"/>
    <mergeCell ref="G31:I31"/>
    <mergeCell ref="B36:E36"/>
    <mergeCell ref="G36:I36"/>
    <mergeCell ref="B37:E37"/>
    <mergeCell ref="G37:I37"/>
    <mergeCell ref="B34:E34"/>
    <mergeCell ref="G34:I34"/>
    <mergeCell ref="B35:E35"/>
    <mergeCell ref="G35:I35"/>
    <mergeCell ref="B40:E40"/>
    <mergeCell ref="G40:I40"/>
    <mergeCell ref="B41:E41"/>
    <mergeCell ref="G41:I41"/>
    <mergeCell ref="B38:E38"/>
    <mergeCell ref="G38:I38"/>
    <mergeCell ref="B39:E39"/>
    <mergeCell ref="G39:I39"/>
    <mergeCell ref="B44:E44"/>
    <mergeCell ref="G44:I44"/>
    <mergeCell ref="B42:E42"/>
    <mergeCell ref="G42:I42"/>
    <mergeCell ref="B43:E43"/>
    <mergeCell ref="G43:I43"/>
  </mergeCells>
  <phoneticPr fontId="18"/>
  <dataValidations count="2">
    <dataValidation type="list" allowBlank="1" showInputMessage="1" showErrorMessage="1" sqref="E6:I6" xr:uid="{93FB72A8-7076-43B1-93CC-665D113871AE}">
      <formula1>"学部・学科によって、修了要件は相違する,学部・学科によって、修了要件は相違しない"</formula1>
      <formula2>0</formula2>
    </dataValidation>
    <dataValidation type="list" allowBlank="1" showInputMessage="1" showErrorMessage="1" sqref="F7:I7" xr:uid="{D677E77D-FC5B-4854-B0F9-F1BF2C04A4DC}">
      <formula1>"学部等によって、認定要件は相違する,学部等によって、認定要件は相違しない"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269DC-A68D-4351-B743-B82709F9AE29}">
  <dimension ref="A1:J44"/>
  <sheetViews>
    <sheetView view="pageBreakPreview" zoomScaleNormal="100" zoomScaleSheetLayoutView="100" zoomScalePageLayoutView="80" workbookViewId="0">
      <selection activeCell="J9" sqref="J9"/>
    </sheetView>
  </sheetViews>
  <sheetFormatPr defaultColWidth="9" defaultRowHeight="14.25" x14ac:dyDescent="0.15"/>
  <cols>
    <col min="1" max="2" width="2.375" style="19" customWidth="1"/>
    <col min="3" max="3" width="20" style="19" customWidth="1"/>
    <col min="4" max="4" width="8.75" style="19" customWidth="1"/>
    <col min="5" max="5" width="7.375" style="19" customWidth="1"/>
    <col min="6" max="6" width="2.375" style="19" customWidth="1"/>
    <col min="7" max="7" width="15" style="19" customWidth="1"/>
    <col min="8" max="8" width="12.375" style="19" customWidth="1"/>
    <col min="9" max="9" width="11.25" style="19" customWidth="1"/>
    <col min="10" max="10" width="9" style="19"/>
  </cols>
  <sheetData>
    <row r="1" spans="1:9" ht="18.75" customHeight="1" x14ac:dyDescent="0.15">
      <c r="I1" s="24" t="s">
        <v>70</v>
      </c>
    </row>
    <row r="2" spans="1:9" ht="18.75" customHeight="1" x14ac:dyDescent="0.15">
      <c r="G2" s="25" t="s">
        <v>63</v>
      </c>
      <c r="H2" s="117" t="s">
        <v>71</v>
      </c>
      <c r="I2" s="117"/>
    </row>
    <row r="3" spans="1:9" ht="7.5" customHeight="1" x14ac:dyDescent="0.15"/>
    <row r="4" spans="1:9" ht="18.75" customHeight="1" x14ac:dyDescent="0.15">
      <c r="A4" s="112" t="s">
        <v>64</v>
      </c>
      <c r="B4" s="112"/>
      <c r="C4" s="112"/>
      <c r="D4" s="112"/>
      <c r="E4" s="112"/>
      <c r="F4" s="112"/>
      <c r="G4" s="112"/>
      <c r="H4" s="112"/>
      <c r="I4" s="112"/>
    </row>
    <row r="5" spans="1:9" ht="7.5" customHeight="1" x14ac:dyDescent="0.15">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C7" s="14"/>
      <c r="D7" s="14"/>
      <c r="F7" s="101"/>
      <c r="G7" s="101"/>
      <c r="H7" s="101"/>
      <c r="I7" s="101"/>
    </row>
    <row r="8" spans="1:9" ht="18.75" customHeight="1" x14ac:dyDescent="0.15">
      <c r="A8" s="19" t="s">
        <v>5</v>
      </c>
      <c r="B8" s="19" t="s">
        <v>67</v>
      </c>
      <c r="C8" s="14"/>
      <c r="D8" s="14"/>
      <c r="E8" s="14"/>
      <c r="F8" s="14"/>
      <c r="G8" s="14"/>
      <c r="H8" s="14"/>
      <c r="I8" s="14"/>
    </row>
    <row r="9" spans="1:9" ht="18.75" customHeight="1" x14ac:dyDescent="0.15">
      <c r="B9" s="127" t="s">
        <v>285</v>
      </c>
      <c r="C9" s="127"/>
      <c r="D9" s="127"/>
      <c r="E9" s="127"/>
      <c r="F9" s="127"/>
      <c r="G9" s="127"/>
      <c r="H9" s="127"/>
      <c r="I9" s="127"/>
    </row>
    <row r="10" spans="1:9" ht="18.75" customHeight="1" x14ac:dyDescent="0.15">
      <c r="B10" s="127"/>
      <c r="C10" s="127"/>
      <c r="D10" s="127"/>
      <c r="E10" s="127"/>
      <c r="F10" s="127"/>
      <c r="G10" s="127"/>
      <c r="H10" s="127"/>
      <c r="I10" s="127"/>
    </row>
    <row r="11" spans="1:9" ht="18.75" customHeight="1" x14ac:dyDescent="0.15">
      <c r="B11" s="127"/>
      <c r="C11" s="127"/>
      <c r="D11" s="127"/>
      <c r="E11" s="127"/>
      <c r="F11" s="127"/>
      <c r="G11" s="127"/>
      <c r="H11" s="127"/>
      <c r="I11" s="127"/>
    </row>
    <row r="12" spans="1:9" ht="18.75" customHeight="1" x14ac:dyDescent="0.15">
      <c r="B12" s="127"/>
      <c r="C12" s="127"/>
      <c r="D12" s="127"/>
      <c r="E12" s="127"/>
      <c r="F12" s="127"/>
      <c r="G12" s="127"/>
      <c r="H12" s="127"/>
      <c r="I12" s="127"/>
    </row>
    <row r="13" spans="1:9" ht="18.75" customHeight="1" x14ac:dyDescent="0.15">
      <c r="B13" s="127"/>
      <c r="C13" s="127"/>
      <c r="D13" s="127"/>
      <c r="E13" s="127"/>
      <c r="F13" s="127"/>
      <c r="G13" s="127"/>
      <c r="H13" s="127"/>
      <c r="I13" s="127"/>
    </row>
    <row r="14" spans="1:9" ht="18.75" customHeight="1" x14ac:dyDescent="0.15">
      <c r="B14" s="127"/>
      <c r="C14" s="127"/>
      <c r="D14" s="127"/>
      <c r="E14" s="127"/>
      <c r="F14" s="127"/>
      <c r="G14" s="127"/>
      <c r="H14" s="127"/>
      <c r="I14" s="127"/>
    </row>
    <row r="15" spans="1:9" ht="18.75" customHeight="1" x14ac:dyDescent="0.15">
      <c r="B15" s="127"/>
      <c r="C15" s="127"/>
      <c r="D15" s="127"/>
      <c r="E15" s="127"/>
      <c r="F15" s="127"/>
      <c r="G15" s="127"/>
      <c r="H15" s="127"/>
      <c r="I15" s="127"/>
    </row>
    <row r="16" spans="1:9" ht="18.75" customHeight="1" x14ac:dyDescent="0.15">
      <c r="B16" s="127"/>
      <c r="C16" s="127"/>
      <c r="D16" s="127"/>
      <c r="E16" s="127"/>
      <c r="F16" s="127"/>
      <c r="G16" s="127"/>
      <c r="H16" s="127"/>
      <c r="I16" s="127"/>
    </row>
    <row r="17" spans="1:9" ht="7.5" customHeight="1" x14ac:dyDescent="0.15">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H2:I2"/>
    <mergeCell ref="A4:I4"/>
    <mergeCell ref="E6:I6"/>
    <mergeCell ref="B20:E20"/>
    <mergeCell ref="G20:I20"/>
    <mergeCell ref="B21:E21"/>
    <mergeCell ref="G21:I21"/>
    <mergeCell ref="B9:I16"/>
    <mergeCell ref="A19:E19"/>
    <mergeCell ref="F19:I19"/>
    <mergeCell ref="B24:E24"/>
    <mergeCell ref="G24:I24"/>
    <mergeCell ref="B25:E25"/>
    <mergeCell ref="G25:I25"/>
    <mergeCell ref="B22:E22"/>
    <mergeCell ref="G22:I22"/>
    <mergeCell ref="B23:E23"/>
    <mergeCell ref="G23:I23"/>
    <mergeCell ref="B28:E28"/>
    <mergeCell ref="G28:I28"/>
    <mergeCell ref="B29:E29"/>
    <mergeCell ref="G29:I29"/>
    <mergeCell ref="B26:E26"/>
    <mergeCell ref="G26:I26"/>
    <mergeCell ref="B27:E27"/>
    <mergeCell ref="G27:I27"/>
    <mergeCell ref="B32:E32"/>
    <mergeCell ref="G32:I32"/>
    <mergeCell ref="B33:E33"/>
    <mergeCell ref="G33:I33"/>
    <mergeCell ref="B30:E30"/>
    <mergeCell ref="G30:I30"/>
    <mergeCell ref="B31:E31"/>
    <mergeCell ref="G31:I31"/>
    <mergeCell ref="B36:E36"/>
    <mergeCell ref="G36:I36"/>
    <mergeCell ref="B37:E37"/>
    <mergeCell ref="G37:I37"/>
    <mergeCell ref="B34:E34"/>
    <mergeCell ref="G34:I34"/>
    <mergeCell ref="B35:E35"/>
    <mergeCell ref="G35:I35"/>
    <mergeCell ref="B40:E40"/>
    <mergeCell ref="G40:I40"/>
    <mergeCell ref="B41:E41"/>
    <mergeCell ref="G41:I41"/>
    <mergeCell ref="B38:E38"/>
    <mergeCell ref="G38:I38"/>
    <mergeCell ref="B39:E39"/>
    <mergeCell ref="G39:I39"/>
    <mergeCell ref="B44:E44"/>
    <mergeCell ref="G44:I44"/>
    <mergeCell ref="B42:E42"/>
    <mergeCell ref="G42:I42"/>
    <mergeCell ref="B43:E43"/>
    <mergeCell ref="G43:I43"/>
  </mergeCells>
  <phoneticPr fontId="18"/>
  <dataValidations count="2">
    <dataValidation type="list" allowBlank="1" showInputMessage="1" showErrorMessage="1" sqref="F7:I7" xr:uid="{A6029D6E-A694-48BB-AE13-D7C832099771}">
      <formula1>"学部等によって、認定要件は相違する,学部等によって、認定要件は相違しない"</formula1>
      <formula2>0</formula2>
    </dataValidation>
    <dataValidation type="list" allowBlank="1" showInputMessage="1" showErrorMessage="1" sqref="E6:I6" xr:uid="{4B8D6BF1-D292-43DB-8E30-890A84D57417}">
      <formula1>"学部・学科によって、修了要件は相違する,学部・学科によって、修了要件は相違しない"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view="pageBreakPreview" zoomScaleNormal="100" zoomScaleSheetLayoutView="100" zoomScalePageLayoutView="80" workbookViewId="0">
      <selection activeCell="J9" sqref="J9"/>
    </sheetView>
  </sheetViews>
  <sheetFormatPr defaultColWidth="9" defaultRowHeight="14.25" x14ac:dyDescent="0.15"/>
  <cols>
    <col min="1" max="2" width="2.375" style="1" customWidth="1"/>
    <col min="3" max="3" width="20" style="1" customWidth="1"/>
    <col min="4" max="4" width="8.75" style="1" customWidth="1"/>
    <col min="5" max="5" width="7.375" style="1" customWidth="1"/>
    <col min="6" max="6" width="2.375" style="1" customWidth="1"/>
    <col min="7" max="7" width="15" style="1" customWidth="1"/>
    <col min="8" max="8" width="12.375" style="1" customWidth="1"/>
    <col min="9" max="9" width="11.25" style="1" customWidth="1"/>
    <col min="10" max="10" width="9" style="1"/>
  </cols>
  <sheetData>
    <row r="1" spans="1:9" ht="18.75" customHeight="1" x14ac:dyDescent="0.15">
      <c r="A1" s="19"/>
      <c r="B1" s="19"/>
      <c r="C1" s="19"/>
      <c r="D1" s="19"/>
      <c r="E1" s="19"/>
      <c r="F1" s="19"/>
      <c r="G1" s="19"/>
      <c r="H1" s="19"/>
      <c r="I1" s="24" t="s">
        <v>72</v>
      </c>
    </row>
    <row r="2" spans="1:9" ht="18.75" customHeight="1" x14ac:dyDescent="0.15">
      <c r="A2" s="19"/>
      <c r="B2" s="19"/>
      <c r="C2" s="19"/>
      <c r="D2" s="19"/>
      <c r="E2" s="19"/>
      <c r="F2" s="19"/>
      <c r="G2" s="25" t="s">
        <v>63</v>
      </c>
      <c r="H2" s="117" t="s">
        <v>71</v>
      </c>
      <c r="I2" s="117"/>
    </row>
    <row r="3" spans="1:9" ht="7.5" customHeight="1" x14ac:dyDescent="0.15">
      <c r="A3" s="19"/>
      <c r="B3" s="19"/>
      <c r="C3" s="19"/>
      <c r="D3" s="19"/>
      <c r="E3" s="19"/>
      <c r="F3" s="19"/>
      <c r="G3" s="19"/>
      <c r="H3" s="19"/>
      <c r="I3" s="19"/>
    </row>
    <row r="4" spans="1:9" ht="18.75" customHeight="1" x14ac:dyDescent="0.15">
      <c r="A4" s="112" t="s">
        <v>64</v>
      </c>
      <c r="B4" s="112"/>
      <c r="C4" s="112"/>
      <c r="D4" s="112"/>
      <c r="E4" s="112"/>
      <c r="F4" s="112"/>
      <c r="G4" s="112"/>
      <c r="H4" s="112"/>
      <c r="I4" s="112"/>
    </row>
    <row r="5" spans="1:9" ht="7.5" customHeight="1" x14ac:dyDescent="0.15">
      <c r="A5" s="19"/>
      <c r="B5" s="19"/>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A7" s="19"/>
      <c r="B7" s="19"/>
      <c r="C7" s="14"/>
      <c r="D7" s="14"/>
      <c r="E7" s="19"/>
      <c r="F7" s="101"/>
      <c r="G7" s="101"/>
      <c r="H7" s="101"/>
      <c r="I7" s="101"/>
    </row>
    <row r="8" spans="1:9" ht="18.75" customHeight="1" x14ac:dyDescent="0.15">
      <c r="A8" s="19" t="s">
        <v>5</v>
      </c>
      <c r="B8" s="19" t="s">
        <v>67</v>
      </c>
      <c r="C8" s="14"/>
      <c r="D8" s="14"/>
      <c r="E8" s="14"/>
      <c r="F8" s="14"/>
      <c r="G8" s="14"/>
      <c r="H8" s="14"/>
      <c r="I8" s="14"/>
    </row>
    <row r="9" spans="1:9" ht="18.75" customHeight="1" x14ac:dyDescent="0.15">
      <c r="A9" s="19"/>
      <c r="B9" s="127" t="s">
        <v>286</v>
      </c>
      <c r="C9" s="127"/>
      <c r="D9" s="127"/>
      <c r="E9" s="127"/>
      <c r="F9" s="127"/>
      <c r="G9" s="127"/>
      <c r="H9" s="127"/>
      <c r="I9" s="127"/>
    </row>
    <row r="10" spans="1:9" ht="18.75" customHeight="1" x14ac:dyDescent="0.15">
      <c r="A10" s="19"/>
      <c r="B10" s="127"/>
      <c r="C10" s="127"/>
      <c r="D10" s="127"/>
      <c r="E10" s="127"/>
      <c r="F10" s="127"/>
      <c r="G10" s="127"/>
      <c r="H10" s="127"/>
      <c r="I10" s="127"/>
    </row>
    <row r="11" spans="1:9" ht="18.75" customHeight="1" x14ac:dyDescent="0.15">
      <c r="A11" s="19"/>
      <c r="B11" s="127"/>
      <c r="C11" s="127"/>
      <c r="D11" s="127"/>
      <c r="E11" s="127"/>
      <c r="F11" s="127"/>
      <c r="G11" s="127"/>
      <c r="H11" s="127"/>
      <c r="I11" s="127"/>
    </row>
    <row r="12" spans="1:9" ht="18.75" customHeight="1" x14ac:dyDescent="0.15">
      <c r="A12" s="19"/>
      <c r="B12" s="127"/>
      <c r="C12" s="127"/>
      <c r="D12" s="127"/>
      <c r="E12" s="127"/>
      <c r="F12" s="127"/>
      <c r="G12" s="127"/>
      <c r="H12" s="127"/>
      <c r="I12" s="127"/>
    </row>
    <row r="13" spans="1:9" ht="18.75" customHeight="1" x14ac:dyDescent="0.15">
      <c r="A13" s="19"/>
      <c r="B13" s="127"/>
      <c r="C13" s="127"/>
      <c r="D13" s="127"/>
      <c r="E13" s="127"/>
      <c r="F13" s="127"/>
      <c r="G13" s="127"/>
      <c r="H13" s="127"/>
      <c r="I13" s="127"/>
    </row>
    <row r="14" spans="1:9" ht="18.75" customHeight="1" x14ac:dyDescent="0.15">
      <c r="A14" s="19"/>
      <c r="B14" s="127"/>
      <c r="C14" s="127"/>
      <c r="D14" s="127"/>
      <c r="E14" s="127"/>
      <c r="F14" s="127"/>
      <c r="G14" s="127"/>
      <c r="H14" s="127"/>
      <c r="I14" s="127"/>
    </row>
    <row r="15" spans="1:9" ht="18.75" customHeight="1" x14ac:dyDescent="0.15">
      <c r="A15" s="19"/>
      <c r="B15" s="127"/>
      <c r="C15" s="127"/>
      <c r="D15" s="127"/>
      <c r="E15" s="127"/>
      <c r="F15" s="127"/>
      <c r="G15" s="127"/>
      <c r="H15" s="127"/>
      <c r="I15" s="127"/>
    </row>
    <row r="16" spans="1:9" ht="18.75" customHeight="1" x14ac:dyDescent="0.15">
      <c r="A16" s="19"/>
      <c r="B16" s="127"/>
      <c r="C16" s="127"/>
      <c r="D16" s="127"/>
      <c r="E16" s="127"/>
      <c r="F16" s="127"/>
      <c r="G16" s="127"/>
      <c r="H16" s="127"/>
      <c r="I16" s="127"/>
    </row>
    <row r="17" spans="1:9" ht="7.5" customHeight="1" x14ac:dyDescent="0.15">
      <c r="A17" s="19"/>
      <c r="B17" s="19"/>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8"/>
  <dataValidations count="2">
    <dataValidation type="list" allowBlank="1" showInputMessage="1" showErrorMessage="1" sqref="E6:I6" xr:uid="{00000000-0002-0000-0300-000000000000}">
      <formula1>"学部・学科によって、修了要件は相違する,学部・学科によって、修了要件は相違しない"</formula1>
      <formula2>0</formula2>
    </dataValidation>
    <dataValidation type="list" allowBlank="1" showInputMessage="1" showErrorMessage="1" sqref="F7:I7" xr:uid="{00000000-0002-0000-0300-000001000000}">
      <formula1>"学部等によって、認定要件は相違する,学部等によって、認定要件は相違しない"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2701-80C1-4B91-A335-B9C151A9593F}">
  <dimension ref="A1:J44"/>
  <sheetViews>
    <sheetView view="pageBreakPreview" zoomScaleNormal="100" zoomScaleSheetLayoutView="100" zoomScalePageLayoutView="80" workbookViewId="0">
      <selection activeCell="B17" sqref="B17"/>
    </sheetView>
  </sheetViews>
  <sheetFormatPr defaultColWidth="9" defaultRowHeight="14.25" x14ac:dyDescent="0.15"/>
  <cols>
    <col min="1" max="2" width="2.375" style="19" customWidth="1"/>
    <col min="3" max="3" width="20" style="19" customWidth="1"/>
    <col min="4" max="4" width="8.75" style="19" customWidth="1"/>
    <col min="5" max="5" width="7.375" style="19" customWidth="1"/>
    <col min="6" max="6" width="2.375" style="19" customWidth="1"/>
    <col min="7" max="7" width="15" style="19" customWidth="1"/>
    <col min="8" max="8" width="12.375" style="19" customWidth="1"/>
    <col min="9" max="9" width="11.25" style="19" customWidth="1"/>
    <col min="10" max="10" width="9" style="19"/>
  </cols>
  <sheetData>
    <row r="1" spans="1:9" ht="18.75" customHeight="1" x14ac:dyDescent="0.15">
      <c r="I1" s="24" t="s">
        <v>73</v>
      </c>
    </row>
    <row r="2" spans="1:9" ht="18.75" customHeight="1" x14ac:dyDescent="0.15">
      <c r="G2" s="25" t="s">
        <v>63</v>
      </c>
      <c r="H2" s="117" t="s">
        <v>4</v>
      </c>
      <c r="I2" s="117"/>
    </row>
    <row r="3" spans="1:9" ht="7.5" customHeight="1" x14ac:dyDescent="0.15"/>
    <row r="4" spans="1:9" ht="18.75" customHeight="1" x14ac:dyDescent="0.15">
      <c r="A4" s="112" t="s">
        <v>64</v>
      </c>
      <c r="B4" s="112"/>
      <c r="C4" s="112"/>
      <c r="D4" s="112"/>
      <c r="E4" s="112"/>
      <c r="F4" s="112"/>
      <c r="G4" s="112"/>
      <c r="H4" s="112"/>
      <c r="I4" s="112"/>
    </row>
    <row r="5" spans="1:9" ht="7.5" customHeight="1" x14ac:dyDescent="0.15">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C7" s="14"/>
      <c r="D7" s="14"/>
      <c r="F7" s="101"/>
      <c r="G7" s="101"/>
      <c r="H7" s="101"/>
      <c r="I7" s="101"/>
    </row>
    <row r="8" spans="1:9" ht="18.75" customHeight="1" x14ac:dyDescent="0.15">
      <c r="A8" s="19" t="s">
        <v>5</v>
      </c>
      <c r="B8" s="19" t="s">
        <v>67</v>
      </c>
      <c r="C8" s="14"/>
      <c r="D8" s="14"/>
      <c r="E8" s="14"/>
      <c r="F8" s="14"/>
      <c r="G8" s="14"/>
      <c r="H8" s="14"/>
      <c r="I8" s="14"/>
    </row>
    <row r="9" spans="1:9" ht="18.75" customHeight="1" x14ac:dyDescent="0.15">
      <c r="B9" s="127" t="s">
        <v>287</v>
      </c>
      <c r="C9" s="127"/>
      <c r="D9" s="127"/>
      <c r="E9" s="127"/>
      <c r="F9" s="127"/>
      <c r="G9" s="127"/>
      <c r="H9" s="127"/>
      <c r="I9" s="127"/>
    </row>
    <row r="10" spans="1:9" ht="18.75" customHeight="1" x14ac:dyDescent="0.15">
      <c r="B10" s="127"/>
      <c r="C10" s="127"/>
      <c r="D10" s="127"/>
      <c r="E10" s="127"/>
      <c r="F10" s="127"/>
      <c r="G10" s="127"/>
      <c r="H10" s="127"/>
      <c r="I10" s="127"/>
    </row>
    <row r="11" spans="1:9" ht="18.75" customHeight="1" x14ac:dyDescent="0.15">
      <c r="B11" s="127"/>
      <c r="C11" s="127"/>
      <c r="D11" s="127"/>
      <c r="E11" s="127"/>
      <c r="F11" s="127"/>
      <c r="G11" s="127"/>
      <c r="H11" s="127"/>
      <c r="I11" s="127"/>
    </row>
    <row r="12" spans="1:9" ht="18.75" customHeight="1" x14ac:dyDescent="0.15">
      <c r="B12" s="127"/>
      <c r="C12" s="127"/>
      <c r="D12" s="127"/>
      <c r="E12" s="127"/>
      <c r="F12" s="127"/>
      <c r="G12" s="127"/>
      <c r="H12" s="127"/>
      <c r="I12" s="127"/>
    </row>
    <row r="13" spans="1:9" ht="18.75" customHeight="1" x14ac:dyDescent="0.15">
      <c r="B13" s="127"/>
      <c r="C13" s="127"/>
      <c r="D13" s="127"/>
      <c r="E13" s="127"/>
      <c r="F13" s="127"/>
      <c r="G13" s="127"/>
      <c r="H13" s="127"/>
      <c r="I13" s="127"/>
    </row>
    <row r="14" spans="1:9" ht="18.75" customHeight="1" x14ac:dyDescent="0.15">
      <c r="B14" s="127"/>
      <c r="C14" s="127"/>
      <c r="D14" s="127"/>
      <c r="E14" s="127"/>
      <c r="F14" s="127"/>
      <c r="G14" s="127"/>
      <c r="H14" s="127"/>
      <c r="I14" s="127"/>
    </row>
    <row r="15" spans="1:9" ht="18.75" customHeight="1" x14ac:dyDescent="0.15">
      <c r="B15" s="127"/>
      <c r="C15" s="127"/>
      <c r="D15" s="127"/>
      <c r="E15" s="127"/>
      <c r="F15" s="127"/>
      <c r="G15" s="127"/>
      <c r="H15" s="127"/>
      <c r="I15" s="127"/>
    </row>
    <row r="16" spans="1:9" ht="18.75" customHeight="1" x14ac:dyDescent="0.15">
      <c r="B16" s="127"/>
      <c r="C16" s="127"/>
      <c r="D16" s="127"/>
      <c r="E16" s="127"/>
      <c r="F16" s="127"/>
      <c r="G16" s="127"/>
      <c r="H16" s="127"/>
      <c r="I16" s="127"/>
    </row>
    <row r="17" spans="1:9" ht="7.5" customHeight="1" x14ac:dyDescent="0.15">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H2:I2"/>
    <mergeCell ref="A4:I4"/>
    <mergeCell ref="E6:I6"/>
    <mergeCell ref="B20:E20"/>
    <mergeCell ref="G20:I20"/>
    <mergeCell ref="B21:E21"/>
    <mergeCell ref="G21:I21"/>
    <mergeCell ref="B9:I16"/>
    <mergeCell ref="A19:E19"/>
    <mergeCell ref="F19:I19"/>
    <mergeCell ref="B24:E24"/>
    <mergeCell ref="G24:I24"/>
    <mergeCell ref="B25:E25"/>
    <mergeCell ref="G25:I25"/>
    <mergeCell ref="B22:E22"/>
    <mergeCell ref="G22:I22"/>
    <mergeCell ref="B23:E23"/>
    <mergeCell ref="G23:I23"/>
    <mergeCell ref="B28:E28"/>
    <mergeCell ref="G28:I28"/>
    <mergeCell ref="B29:E29"/>
    <mergeCell ref="G29:I29"/>
    <mergeCell ref="B26:E26"/>
    <mergeCell ref="G26:I26"/>
    <mergeCell ref="B27:E27"/>
    <mergeCell ref="G27:I27"/>
    <mergeCell ref="B32:E32"/>
    <mergeCell ref="G32:I32"/>
    <mergeCell ref="B33:E33"/>
    <mergeCell ref="G33:I33"/>
    <mergeCell ref="B30:E30"/>
    <mergeCell ref="G30:I30"/>
    <mergeCell ref="B31:E31"/>
    <mergeCell ref="G31:I31"/>
    <mergeCell ref="B36:E36"/>
    <mergeCell ref="G36:I36"/>
    <mergeCell ref="B37:E37"/>
    <mergeCell ref="G37:I37"/>
    <mergeCell ref="B34:E34"/>
    <mergeCell ref="G34:I34"/>
    <mergeCell ref="B35:E35"/>
    <mergeCell ref="G35:I35"/>
    <mergeCell ref="B40:E40"/>
    <mergeCell ref="G40:I40"/>
    <mergeCell ref="B41:E41"/>
    <mergeCell ref="G41:I41"/>
    <mergeCell ref="B38:E38"/>
    <mergeCell ref="G38:I38"/>
    <mergeCell ref="B39:E39"/>
    <mergeCell ref="G39:I39"/>
    <mergeCell ref="B44:E44"/>
    <mergeCell ref="G44:I44"/>
    <mergeCell ref="B42:E42"/>
    <mergeCell ref="G42:I42"/>
    <mergeCell ref="B43:E43"/>
    <mergeCell ref="G43:I43"/>
  </mergeCells>
  <phoneticPr fontId="18"/>
  <dataValidations count="2">
    <dataValidation type="list" allowBlank="1" showInputMessage="1" showErrorMessage="1" sqref="E6:I6" xr:uid="{49107B33-4F88-4AAE-9B8C-808C928CB5C2}">
      <formula1>"学部・学科によって、修了要件は相違する,学部・学科によって、修了要件は相違しない"</formula1>
      <formula2>0</formula2>
    </dataValidation>
    <dataValidation type="list" allowBlank="1" showInputMessage="1" showErrorMessage="1" sqref="F7:I7" xr:uid="{33EDFDB3-F0C3-4E0B-A9EF-4B425F4D0228}">
      <formula1>"学部等によって、認定要件は相違する,学部等によって、認定要件は相違しない"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C7B1-1415-4447-8A4E-0B1288B9D8D7}">
  <dimension ref="A1:J44"/>
  <sheetViews>
    <sheetView view="pageBreakPreview" topLeftCell="B1" zoomScaleNormal="100" zoomScaleSheetLayoutView="100" zoomScalePageLayoutView="80" workbookViewId="0">
      <selection activeCell="B17" sqref="B17"/>
    </sheetView>
  </sheetViews>
  <sheetFormatPr defaultColWidth="9" defaultRowHeight="14.25" x14ac:dyDescent="0.15"/>
  <cols>
    <col min="1" max="2" width="2.375" style="19" customWidth="1"/>
    <col min="3" max="3" width="20" style="19" customWidth="1"/>
    <col min="4" max="4" width="8.75" style="19" customWidth="1"/>
    <col min="5" max="5" width="7.375" style="19" customWidth="1"/>
    <col min="6" max="6" width="2.375" style="19" customWidth="1"/>
    <col min="7" max="7" width="15" style="19" customWidth="1"/>
    <col min="8" max="8" width="12.375" style="19" customWidth="1"/>
    <col min="9" max="9" width="11.25" style="19" customWidth="1"/>
    <col min="10" max="10" width="9" style="19"/>
  </cols>
  <sheetData>
    <row r="1" spans="1:9" ht="18.75" customHeight="1" x14ac:dyDescent="0.15">
      <c r="I1" s="24" t="s">
        <v>74</v>
      </c>
    </row>
    <row r="2" spans="1:9" ht="18.75" customHeight="1" x14ac:dyDescent="0.15">
      <c r="G2" s="25" t="s">
        <v>63</v>
      </c>
      <c r="H2" s="117" t="s">
        <v>4</v>
      </c>
      <c r="I2" s="117"/>
    </row>
    <row r="3" spans="1:9" ht="7.5" customHeight="1" x14ac:dyDescent="0.15"/>
    <row r="4" spans="1:9" ht="18.75" customHeight="1" x14ac:dyDescent="0.15">
      <c r="A4" s="112" t="s">
        <v>64</v>
      </c>
      <c r="B4" s="112"/>
      <c r="C4" s="112"/>
      <c r="D4" s="112"/>
      <c r="E4" s="112"/>
      <c r="F4" s="112"/>
      <c r="G4" s="112"/>
      <c r="H4" s="112"/>
      <c r="I4" s="112"/>
    </row>
    <row r="5" spans="1:9" ht="7.5" customHeight="1" x14ac:dyDescent="0.15">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C7" s="14"/>
      <c r="D7" s="14"/>
      <c r="F7" s="101"/>
      <c r="G7" s="101"/>
      <c r="H7" s="101"/>
      <c r="I7" s="101"/>
    </row>
    <row r="8" spans="1:9" ht="18.75" customHeight="1" x14ac:dyDescent="0.15">
      <c r="A8" s="19" t="s">
        <v>5</v>
      </c>
      <c r="B8" s="19" t="s">
        <v>67</v>
      </c>
      <c r="C8" s="14"/>
      <c r="D8" s="14"/>
      <c r="E8" s="14"/>
      <c r="F8" s="14"/>
      <c r="G8" s="14"/>
      <c r="H8" s="14"/>
      <c r="I8" s="14"/>
    </row>
    <row r="9" spans="1:9" ht="18.75" customHeight="1" x14ac:dyDescent="0.15">
      <c r="B9" s="127" t="s">
        <v>288</v>
      </c>
      <c r="C9" s="127"/>
      <c r="D9" s="127"/>
      <c r="E9" s="127"/>
      <c r="F9" s="127"/>
      <c r="G9" s="127"/>
      <c r="H9" s="127"/>
      <c r="I9" s="127"/>
    </row>
    <row r="10" spans="1:9" ht="18.75" customHeight="1" x14ac:dyDescent="0.15">
      <c r="B10" s="127"/>
      <c r="C10" s="127"/>
      <c r="D10" s="127"/>
      <c r="E10" s="127"/>
      <c r="F10" s="127"/>
      <c r="G10" s="127"/>
      <c r="H10" s="127"/>
      <c r="I10" s="127"/>
    </row>
    <row r="11" spans="1:9" ht="18.75" customHeight="1" x14ac:dyDescent="0.15">
      <c r="B11" s="127"/>
      <c r="C11" s="127"/>
      <c r="D11" s="127"/>
      <c r="E11" s="127"/>
      <c r="F11" s="127"/>
      <c r="G11" s="127"/>
      <c r="H11" s="127"/>
      <c r="I11" s="127"/>
    </row>
    <row r="12" spans="1:9" ht="18.75" customHeight="1" x14ac:dyDescent="0.15">
      <c r="B12" s="127"/>
      <c r="C12" s="127"/>
      <c r="D12" s="127"/>
      <c r="E12" s="127"/>
      <c r="F12" s="127"/>
      <c r="G12" s="127"/>
      <c r="H12" s="127"/>
      <c r="I12" s="127"/>
    </row>
    <row r="13" spans="1:9" ht="18.75" customHeight="1" x14ac:dyDescent="0.15">
      <c r="B13" s="127"/>
      <c r="C13" s="127"/>
      <c r="D13" s="127"/>
      <c r="E13" s="127"/>
      <c r="F13" s="127"/>
      <c r="G13" s="127"/>
      <c r="H13" s="127"/>
      <c r="I13" s="127"/>
    </row>
    <row r="14" spans="1:9" ht="18.75" customHeight="1" x14ac:dyDescent="0.15">
      <c r="B14" s="127"/>
      <c r="C14" s="127"/>
      <c r="D14" s="127"/>
      <c r="E14" s="127"/>
      <c r="F14" s="127"/>
      <c r="G14" s="127"/>
      <c r="H14" s="127"/>
      <c r="I14" s="127"/>
    </row>
    <row r="15" spans="1:9" ht="18.75" customHeight="1" x14ac:dyDescent="0.15">
      <c r="B15" s="127"/>
      <c r="C15" s="127"/>
      <c r="D15" s="127"/>
      <c r="E15" s="127"/>
      <c r="F15" s="127"/>
      <c r="G15" s="127"/>
      <c r="H15" s="127"/>
      <c r="I15" s="127"/>
    </row>
    <row r="16" spans="1:9" ht="18.75" customHeight="1" x14ac:dyDescent="0.15">
      <c r="B16" s="127"/>
      <c r="C16" s="127"/>
      <c r="D16" s="127"/>
      <c r="E16" s="127"/>
      <c r="F16" s="127"/>
      <c r="G16" s="127"/>
      <c r="H16" s="127"/>
      <c r="I16" s="127"/>
    </row>
    <row r="17" spans="1:9" ht="7.5" customHeight="1" x14ac:dyDescent="0.15">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H2:I2"/>
    <mergeCell ref="A4:I4"/>
    <mergeCell ref="E6:I6"/>
    <mergeCell ref="B20:E20"/>
    <mergeCell ref="G20:I20"/>
    <mergeCell ref="B21:E21"/>
    <mergeCell ref="G21:I21"/>
    <mergeCell ref="B9:I16"/>
    <mergeCell ref="A19:E19"/>
    <mergeCell ref="F19:I19"/>
    <mergeCell ref="B24:E24"/>
    <mergeCell ref="G24:I24"/>
    <mergeCell ref="B25:E25"/>
    <mergeCell ref="G25:I25"/>
    <mergeCell ref="B22:E22"/>
    <mergeCell ref="G22:I22"/>
    <mergeCell ref="B23:E23"/>
    <mergeCell ref="G23:I23"/>
    <mergeCell ref="B28:E28"/>
    <mergeCell ref="G28:I28"/>
    <mergeCell ref="B29:E29"/>
    <mergeCell ref="G29:I29"/>
    <mergeCell ref="B26:E26"/>
    <mergeCell ref="G26:I26"/>
    <mergeCell ref="B27:E27"/>
    <mergeCell ref="G27:I27"/>
    <mergeCell ref="B32:E32"/>
    <mergeCell ref="G32:I32"/>
    <mergeCell ref="B33:E33"/>
    <mergeCell ref="G33:I33"/>
    <mergeCell ref="B30:E30"/>
    <mergeCell ref="G30:I30"/>
    <mergeCell ref="B31:E31"/>
    <mergeCell ref="G31:I31"/>
    <mergeCell ref="B36:E36"/>
    <mergeCell ref="G36:I36"/>
    <mergeCell ref="B37:E37"/>
    <mergeCell ref="G37:I37"/>
    <mergeCell ref="B34:E34"/>
    <mergeCell ref="G34:I34"/>
    <mergeCell ref="B35:E35"/>
    <mergeCell ref="G35:I35"/>
    <mergeCell ref="B40:E40"/>
    <mergeCell ref="G40:I40"/>
    <mergeCell ref="B41:E41"/>
    <mergeCell ref="G41:I41"/>
    <mergeCell ref="B38:E38"/>
    <mergeCell ref="G38:I38"/>
    <mergeCell ref="B39:E39"/>
    <mergeCell ref="G39:I39"/>
    <mergeCell ref="B44:E44"/>
    <mergeCell ref="G44:I44"/>
    <mergeCell ref="B42:E42"/>
    <mergeCell ref="G42:I42"/>
    <mergeCell ref="B43:E43"/>
    <mergeCell ref="G43:I43"/>
  </mergeCells>
  <phoneticPr fontId="18"/>
  <dataValidations count="2">
    <dataValidation type="list" allowBlank="1" showInputMessage="1" showErrorMessage="1" sqref="F7:I7" xr:uid="{BCC52A7F-872A-4376-81AA-97F8D6892C0F}">
      <formula1>"学部等によって、認定要件は相違する,学部等によって、認定要件は相違しない"</formula1>
      <formula2>0</formula2>
    </dataValidation>
    <dataValidation type="list" allowBlank="1" showInputMessage="1" showErrorMessage="1" sqref="E6:I6" xr:uid="{0FF61D74-3C9C-4E08-8D5A-37E6CCE6DEE8}">
      <formula1>"学部・学科によって、修了要件は相違する,学部・学科によって、修了要件は相違しない"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98E0F-A155-4C47-98C4-E4E1A9686BC2}">
  <dimension ref="A1:J44"/>
  <sheetViews>
    <sheetView view="pageBreakPreview" topLeftCell="B1" zoomScaleNormal="100" zoomScaleSheetLayoutView="100" zoomScalePageLayoutView="80" workbookViewId="0">
      <selection activeCell="J9" sqref="J9"/>
    </sheetView>
  </sheetViews>
  <sheetFormatPr defaultColWidth="9" defaultRowHeight="14.25" x14ac:dyDescent="0.15"/>
  <cols>
    <col min="1" max="2" width="2.375" style="19" customWidth="1"/>
    <col min="3" max="3" width="20" style="19" customWidth="1"/>
    <col min="4" max="4" width="8.75" style="19" customWidth="1"/>
    <col min="5" max="5" width="7.375" style="19" customWidth="1"/>
    <col min="6" max="6" width="2.375" style="19" customWidth="1"/>
    <col min="7" max="7" width="15" style="19" customWidth="1"/>
    <col min="8" max="8" width="12.375" style="19" customWidth="1"/>
    <col min="9" max="9" width="11.25" style="19" customWidth="1"/>
    <col min="10" max="10" width="9" style="19"/>
  </cols>
  <sheetData>
    <row r="1" spans="1:9" ht="18.75" customHeight="1" x14ac:dyDescent="0.15">
      <c r="I1" s="24" t="s">
        <v>75</v>
      </c>
    </row>
    <row r="2" spans="1:9" ht="18.75" customHeight="1" x14ac:dyDescent="0.15">
      <c r="G2" s="25" t="s">
        <v>63</v>
      </c>
      <c r="H2" s="117" t="s">
        <v>4</v>
      </c>
      <c r="I2" s="117"/>
    </row>
    <row r="3" spans="1:9" ht="7.5" customHeight="1" x14ac:dyDescent="0.15"/>
    <row r="4" spans="1:9" ht="18.75" customHeight="1" x14ac:dyDescent="0.15">
      <c r="A4" s="112" t="s">
        <v>64</v>
      </c>
      <c r="B4" s="112"/>
      <c r="C4" s="112"/>
      <c r="D4" s="112"/>
      <c r="E4" s="112"/>
      <c r="F4" s="112"/>
      <c r="G4" s="112"/>
      <c r="H4" s="112"/>
      <c r="I4" s="112"/>
    </row>
    <row r="5" spans="1:9" ht="7.5" customHeight="1" x14ac:dyDescent="0.15">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C7" s="14"/>
      <c r="D7" s="14"/>
      <c r="F7" s="101"/>
      <c r="G7" s="101"/>
      <c r="H7" s="101"/>
      <c r="I7" s="101"/>
    </row>
    <row r="8" spans="1:9" ht="18.75" customHeight="1" x14ac:dyDescent="0.15">
      <c r="A8" s="19" t="s">
        <v>5</v>
      </c>
      <c r="B8" s="19" t="s">
        <v>67</v>
      </c>
      <c r="C8" s="14"/>
      <c r="D8" s="14"/>
      <c r="E8" s="14"/>
      <c r="F8" s="14"/>
      <c r="G8" s="14"/>
      <c r="H8" s="14"/>
      <c r="I8" s="14"/>
    </row>
    <row r="9" spans="1:9" ht="18.75" customHeight="1" x14ac:dyDescent="0.15">
      <c r="B9" s="127" t="s">
        <v>289</v>
      </c>
      <c r="C9" s="127"/>
      <c r="D9" s="127"/>
      <c r="E9" s="127"/>
      <c r="F9" s="127"/>
      <c r="G9" s="127"/>
      <c r="H9" s="127"/>
      <c r="I9" s="127"/>
    </row>
    <row r="10" spans="1:9" ht="18.75" customHeight="1" x14ac:dyDescent="0.15">
      <c r="B10" s="127"/>
      <c r="C10" s="127"/>
      <c r="D10" s="127"/>
      <c r="E10" s="127"/>
      <c r="F10" s="127"/>
      <c r="G10" s="127"/>
      <c r="H10" s="127"/>
      <c r="I10" s="127"/>
    </row>
    <row r="11" spans="1:9" ht="18.75" customHeight="1" x14ac:dyDescent="0.15">
      <c r="B11" s="127"/>
      <c r="C11" s="127"/>
      <c r="D11" s="127"/>
      <c r="E11" s="127"/>
      <c r="F11" s="127"/>
      <c r="G11" s="127"/>
      <c r="H11" s="127"/>
      <c r="I11" s="127"/>
    </row>
    <row r="12" spans="1:9" ht="18.75" customHeight="1" x14ac:dyDescent="0.15">
      <c r="B12" s="127"/>
      <c r="C12" s="127"/>
      <c r="D12" s="127"/>
      <c r="E12" s="127"/>
      <c r="F12" s="127"/>
      <c r="G12" s="127"/>
      <c r="H12" s="127"/>
      <c r="I12" s="127"/>
    </row>
    <row r="13" spans="1:9" ht="18.75" customHeight="1" x14ac:dyDescent="0.15">
      <c r="B13" s="127"/>
      <c r="C13" s="127"/>
      <c r="D13" s="127"/>
      <c r="E13" s="127"/>
      <c r="F13" s="127"/>
      <c r="G13" s="127"/>
      <c r="H13" s="127"/>
      <c r="I13" s="127"/>
    </row>
    <row r="14" spans="1:9" ht="18.75" customHeight="1" x14ac:dyDescent="0.15">
      <c r="B14" s="127"/>
      <c r="C14" s="127"/>
      <c r="D14" s="127"/>
      <c r="E14" s="127"/>
      <c r="F14" s="127"/>
      <c r="G14" s="127"/>
      <c r="H14" s="127"/>
      <c r="I14" s="127"/>
    </row>
    <row r="15" spans="1:9" ht="18.75" customHeight="1" x14ac:dyDescent="0.15">
      <c r="B15" s="127"/>
      <c r="C15" s="127"/>
      <c r="D15" s="127"/>
      <c r="E15" s="127"/>
      <c r="F15" s="127"/>
      <c r="G15" s="127"/>
      <c r="H15" s="127"/>
      <c r="I15" s="127"/>
    </row>
    <row r="16" spans="1:9" ht="18.75" customHeight="1" x14ac:dyDescent="0.15">
      <c r="B16" s="127"/>
      <c r="C16" s="127"/>
      <c r="D16" s="127"/>
      <c r="E16" s="127"/>
      <c r="F16" s="127"/>
      <c r="G16" s="127"/>
      <c r="H16" s="127"/>
      <c r="I16" s="127"/>
    </row>
    <row r="17" spans="1:9" ht="7.5" customHeight="1" x14ac:dyDescent="0.15">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H2:I2"/>
    <mergeCell ref="A4:I4"/>
    <mergeCell ref="E6:I6"/>
    <mergeCell ref="B20:E20"/>
    <mergeCell ref="G20:I20"/>
    <mergeCell ref="B21:E21"/>
    <mergeCell ref="G21:I21"/>
    <mergeCell ref="B9:I16"/>
    <mergeCell ref="A19:E19"/>
    <mergeCell ref="F19:I19"/>
    <mergeCell ref="B24:E24"/>
    <mergeCell ref="G24:I24"/>
    <mergeCell ref="B25:E25"/>
    <mergeCell ref="G25:I25"/>
    <mergeCell ref="B22:E22"/>
    <mergeCell ref="G22:I22"/>
    <mergeCell ref="B23:E23"/>
    <mergeCell ref="G23:I23"/>
    <mergeCell ref="B28:E28"/>
    <mergeCell ref="G28:I28"/>
    <mergeCell ref="B29:E29"/>
    <mergeCell ref="G29:I29"/>
    <mergeCell ref="B26:E26"/>
    <mergeCell ref="G26:I26"/>
    <mergeCell ref="B27:E27"/>
    <mergeCell ref="G27:I27"/>
    <mergeCell ref="B32:E32"/>
    <mergeCell ref="G32:I32"/>
    <mergeCell ref="B33:E33"/>
    <mergeCell ref="G33:I33"/>
    <mergeCell ref="B30:E30"/>
    <mergeCell ref="G30:I30"/>
    <mergeCell ref="B31:E31"/>
    <mergeCell ref="G31:I31"/>
    <mergeCell ref="B36:E36"/>
    <mergeCell ref="G36:I36"/>
    <mergeCell ref="B37:E37"/>
    <mergeCell ref="G37:I37"/>
    <mergeCell ref="B34:E34"/>
    <mergeCell ref="G34:I34"/>
    <mergeCell ref="B35:E35"/>
    <mergeCell ref="G35:I35"/>
    <mergeCell ref="B40:E40"/>
    <mergeCell ref="G40:I40"/>
    <mergeCell ref="B41:E41"/>
    <mergeCell ref="G41:I41"/>
    <mergeCell ref="B38:E38"/>
    <mergeCell ref="G38:I38"/>
    <mergeCell ref="B39:E39"/>
    <mergeCell ref="G39:I39"/>
    <mergeCell ref="B44:E44"/>
    <mergeCell ref="G44:I44"/>
    <mergeCell ref="B42:E42"/>
    <mergeCell ref="G42:I42"/>
    <mergeCell ref="B43:E43"/>
    <mergeCell ref="G43:I43"/>
  </mergeCells>
  <phoneticPr fontId="18"/>
  <dataValidations count="2">
    <dataValidation type="list" allowBlank="1" showInputMessage="1" showErrorMessage="1" sqref="E6:I6" xr:uid="{DC36EDE5-C661-4B55-85DA-6E3540C948A9}">
      <formula1>"学部・学科によって、修了要件は相違する,学部・学科によって、修了要件は相違しない"</formula1>
      <formula2>0</formula2>
    </dataValidation>
    <dataValidation type="list" allowBlank="1" showInputMessage="1" showErrorMessage="1" sqref="F7:I7" xr:uid="{36F79B7E-F814-4FCD-890F-4F9068FDC1E3}">
      <formula1>"学部等によって、認定要件は相違する,学部等によって、認定要件は相違しない"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4"/>
  <sheetViews>
    <sheetView view="pageBreakPreview" zoomScaleNormal="100" zoomScaleSheetLayoutView="100" zoomScalePageLayoutView="80" workbookViewId="0">
      <selection activeCell="J9" sqref="J9"/>
    </sheetView>
  </sheetViews>
  <sheetFormatPr defaultColWidth="9" defaultRowHeight="14.25" x14ac:dyDescent="0.15"/>
  <cols>
    <col min="1" max="2" width="2.375" style="1" customWidth="1"/>
    <col min="3" max="3" width="20" style="1" customWidth="1"/>
    <col min="4" max="4" width="8.75" style="1" customWidth="1"/>
    <col min="5" max="5" width="7.375" style="1" customWidth="1"/>
    <col min="6" max="6" width="2.375" style="1" customWidth="1"/>
    <col min="7" max="7" width="15" style="1" customWidth="1"/>
    <col min="8" max="8" width="12.375" style="1" customWidth="1"/>
    <col min="9" max="9" width="11.25" style="1" customWidth="1"/>
    <col min="10" max="10" width="9" style="1"/>
  </cols>
  <sheetData>
    <row r="1" spans="1:9" ht="18.75" customHeight="1" x14ac:dyDescent="0.15">
      <c r="A1" s="19"/>
      <c r="B1" s="19"/>
      <c r="C1" s="19"/>
      <c r="D1" s="19"/>
      <c r="E1" s="19"/>
      <c r="F1" s="19"/>
      <c r="G1" s="19"/>
      <c r="H1" s="19"/>
      <c r="I1" s="24" t="s">
        <v>76</v>
      </c>
    </row>
    <row r="2" spans="1:9" ht="18.75" customHeight="1" x14ac:dyDescent="0.15">
      <c r="A2" s="19"/>
      <c r="B2" s="19"/>
      <c r="C2" s="19"/>
      <c r="D2" s="19"/>
      <c r="E2" s="19"/>
      <c r="F2" s="19"/>
      <c r="G2" s="25" t="s">
        <v>63</v>
      </c>
      <c r="H2" s="117" t="s">
        <v>71</v>
      </c>
      <c r="I2" s="117"/>
    </row>
    <row r="3" spans="1:9" ht="7.5" customHeight="1" x14ac:dyDescent="0.15">
      <c r="A3" s="19"/>
      <c r="B3" s="19"/>
      <c r="C3" s="19"/>
      <c r="D3" s="19"/>
      <c r="E3" s="19"/>
      <c r="F3" s="19"/>
      <c r="G3" s="19"/>
      <c r="H3" s="19"/>
      <c r="I3" s="19"/>
    </row>
    <row r="4" spans="1:9" ht="18.75" customHeight="1" x14ac:dyDescent="0.15">
      <c r="A4" s="112" t="s">
        <v>64</v>
      </c>
      <c r="B4" s="112"/>
      <c r="C4" s="112"/>
      <c r="D4" s="112"/>
      <c r="E4" s="112"/>
      <c r="F4" s="112"/>
      <c r="G4" s="112"/>
      <c r="H4" s="112"/>
      <c r="I4" s="112"/>
    </row>
    <row r="5" spans="1:9" ht="7.5" customHeight="1" x14ac:dyDescent="0.15">
      <c r="A5" s="19"/>
      <c r="B5" s="19"/>
      <c r="C5" s="14"/>
      <c r="D5" s="14"/>
      <c r="E5" s="14"/>
      <c r="F5" s="14"/>
      <c r="G5" s="14"/>
      <c r="H5" s="14"/>
      <c r="I5" s="14"/>
    </row>
    <row r="6" spans="1:9" ht="18.75" customHeight="1" x14ac:dyDescent="0.15">
      <c r="A6" s="19" t="s">
        <v>2</v>
      </c>
      <c r="B6" s="19" t="s">
        <v>65</v>
      </c>
      <c r="C6" s="14"/>
      <c r="D6" s="14"/>
      <c r="E6" s="118" t="s">
        <v>66</v>
      </c>
      <c r="F6" s="118"/>
      <c r="G6" s="118"/>
      <c r="H6" s="118"/>
      <c r="I6" s="118"/>
    </row>
    <row r="7" spans="1:9" ht="7.5" customHeight="1" x14ac:dyDescent="0.15">
      <c r="A7" s="19"/>
      <c r="B7" s="19"/>
      <c r="C7" s="14"/>
      <c r="D7" s="14"/>
      <c r="E7" s="19"/>
      <c r="F7" s="101"/>
      <c r="G7" s="101"/>
      <c r="H7" s="101"/>
      <c r="I7" s="101"/>
    </row>
    <row r="8" spans="1:9" ht="18.75" customHeight="1" x14ac:dyDescent="0.15">
      <c r="A8" s="19" t="s">
        <v>5</v>
      </c>
      <c r="B8" s="19" t="s">
        <v>67</v>
      </c>
      <c r="C8" s="14"/>
      <c r="D8" s="14"/>
      <c r="E8" s="14"/>
      <c r="F8" s="14"/>
      <c r="G8" s="14"/>
      <c r="H8" s="14"/>
      <c r="I8" s="14"/>
    </row>
    <row r="9" spans="1:9" ht="18.75" customHeight="1" x14ac:dyDescent="0.15">
      <c r="A9" s="19"/>
      <c r="B9" s="127" t="s">
        <v>290</v>
      </c>
      <c r="C9" s="127"/>
      <c r="D9" s="127"/>
      <c r="E9" s="127"/>
      <c r="F9" s="127"/>
      <c r="G9" s="127"/>
      <c r="H9" s="127"/>
      <c r="I9" s="127"/>
    </row>
    <row r="10" spans="1:9" ht="18.75" customHeight="1" x14ac:dyDescent="0.15">
      <c r="A10" s="19"/>
      <c r="B10" s="127"/>
      <c r="C10" s="127"/>
      <c r="D10" s="127"/>
      <c r="E10" s="127"/>
      <c r="F10" s="127"/>
      <c r="G10" s="127"/>
      <c r="H10" s="127"/>
      <c r="I10" s="127"/>
    </row>
    <row r="11" spans="1:9" ht="18.75" customHeight="1" x14ac:dyDescent="0.15">
      <c r="A11" s="19"/>
      <c r="B11" s="127"/>
      <c r="C11" s="127"/>
      <c r="D11" s="127"/>
      <c r="E11" s="127"/>
      <c r="F11" s="127"/>
      <c r="G11" s="127"/>
      <c r="H11" s="127"/>
      <c r="I11" s="127"/>
    </row>
    <row r="12" spans="1:9" ht="18.75" customHeight="1" x14ac:dyDescent="0.15">
      <c r="A12" s="19"/>
      <c r="B12" s="127"/>
      <c r="C12" s="127"/>
      <c r="D12" s="127"/>
      <c r="E12" s="127"/>
      <c r="F12" s="127"/>
      <c r="G12" s="127"/>
      <c r="H12" s="127"/>
      <c r="I12" s="127"/>
    </row>
    <row r="13" spans="1:9" ht="18.75" customHeight="1" x14ac:dyDescent="0.15">
      <c r="A13" s="19"/>
      <c r="B13" s="127"/>
      <c r="C13" s="127"/>
      <c r="D13" s="127"/>
      <c r="E13" s="127"/>
      <c r="F13" s="127"/>
      <c r="G13" s="127"/>
      <c r="H13" s="127"/>
      <c r="I13" s="127"/>
    </row>
    <row r="14" spans="1:9" ht="18.75" customHeight="1" x14ac:dyDescent="0.15">
      <c r="A14" s="19"/>
      <c r="B14" s="127"/>
      <c r="C14" s="127"/>
      <c r="D14" s="127"/>
      <c r="E14" s="127"/>
      <c r="F14" s="127"/>
      <c r="G14" s="127"/>
      <c r="H14" s="127"/>
      <c r="I14" s="127"/>
    </row>
    <row r="15" spans="1:9" ht="18.75" customHeight="1" x14ac:dyDescent="0.15">
      <c r="A15" s="19"/>
      <c r="B15" s="127"/>
      <c r="C15" s="127"/>
      <c r="D15" s="127"/>
      <c r="E15" s="127"/>
      <c r="F15" s="127"/>
      <c r="G15" s="127"/>
      <c r="H15" s="127"/>
      <c r="I15" s="127"/>
    </row>
    <row r="16" spans="1:9" ht="18.75" customHeight="1" x14ac:dyDescent="0.15">
      <c r="A16" s="19"/>
      <c r="B16" s="127"/>
      <c r="C16" s="127"/>
      <c r="D16" s="127"/>
      <c r="E16" s="127"/>
      <c r="F16" s="127"/>
      <c r="G16" s="127"/>
      <c r="H16" s="127"/>
      <c r="I16" s="127"/>
    </row>
    <row r="17" spans="1:9" ht="7.5" customHeight="1" x14ac:dyDescent="0.15">
      <c r="A17" s="19"/>
      <c r="B17" s="19"/>
      <c r="C17" s="14"/>
      <c r="D17" s="14"/>
      <c r="E17" s="14"/>
      <c r="F17" s="14"/>
      <c r="G17" s="14"/>
      <c r="H17" s="14"/>
      <c r="I17" s="14"/>
    </row>
    <row r="18" spans="1:9" ht="18.75" customHeight="1" x14ac:dyDescent="0.15">
      <c r="A18" s="14" t="s">
        <v>8</v>
      </c>
      <c r="B18" s="2" t="s">
        <v>68</v>
      </c>
      <c r="C18" s="2"/>
      <c r="D18" s="2"/>
      <c r="E18" s="2"/>
      <c r="F18" s="14"/>
      <c r="G18" s="14"/>
      <c r="H18" s="14"/>
      <c r="I18" s="14"/>
    </row>
    <row r="19" spans="1:9" ht="18.75" customHeight="1" x14ac:dyDescent="0.15">
      <c r="A19" s="128" t="s">
        <v>68</v>
      </c>
      <c r="B19" s="128"/>
      <c r="C19" s="128"/>
      <c r="D19" s="128"/>
      <c r="E19" s="128"/>
      <c r="F19" s="129" t="s">
        <v>68</v>
      </c>
      <c r="G19" s="129"/>
      <c r="H19" s="129"/>
      <c r="I19" s="129"/>
    </row>
    <row r="20" spans="1:9" ht="18.75" customHeight="1" x14ac:dyDescent="0.15">
      <c r="A20" s="104">
        <v>1</v>
      </c>
      <c r="B20" s="114" t="s">
        <v>69</v>
      </c>
      <c r="C20" s="114"/>
      <c r="D20" s="114"/>
      <c r="E20" s="114"/>
      <c r="F20" s="104">
        <v>26</v>
      </c>
      <c r="G20" s="126"/>
      <c r="H20" s="126"/>
      <c r="I20" s="126"/>
    </row>
    <row r="21" spans="1:9" ht="18.75" customHeight="1" x14ac:dyDescent="0.15">
      <c r="A21" s="104">
        <v>2</v>
      </c>
      <c r="B21" s="114"/>
      <c r="C21" s="114"/>
      <c r="D21" s="114"/>
      <c r="E21" s="114"/>
      <c r="F21" s="104">
        <v>27</v>
      </c>
      <c r="G21" s="126"/>
      <c r="H21" s="126"/>
      <c r="I21" s="126"/>
    </row>
    <row r="22" spans="1:9" ht="18.75" customHeight="1" x14ac:dyDescent="0.15">
      <c r="A22" s="104">
        <v>3</v>
      </c>
      <c r="B22" s="114"/>
      <c r="C22" s="114"/>
      <c r="D22" s="114"/>
      <c r="E22" s="114"/>
      <c r="F22" s="104">
        <v>28</v>
      </c>
      <c r="G22" s="126"/>
      <c r="H22" s="126"/>
      <c r="I22" s="126"/>
    </row>
    <row r="23" spans="1:9" ht="18.75" customHeight="1" x14ac:dyDescent="0.15">
      <c r="A23" s="104">
        <v>4</v>
      </c>
      <c r="B23" s="114"/>
      <c r="C23" s="114"/>
      <c r="D23" s="114"/>
      <c r="E23" s="114"/>
      <c r="F23" s="104">
        <v>29</v>
      </c>
      <c r="G23" s="126"/>
      <c r="H23" s="126"/>
      <c r="I23" s="126"/>
    </row>
    <row r="24" spans="1:9" ht="18.75" customHeight="1" x14ac:dyDescent="0.15">
      <c r="A24" s="104">
        <v>5</v>
      </c>
      <c r="B24" s="114"/>
      <c r="C24" s="114"/>
      <c r="D24" s="114"/>
      <c r="E24" s="114"/>
      <c r="F24" s="104">
        <v>30</v>
      </c>
      <c r="G24" s="126"/>
      <c r="H24" s="126"/>
      <c r="I24" s="126"/>
    </row>
    <row r="25" spans="1:9" ht="18.75" customHeight="1" x14ac:dyDescent="0.15">
      <c r="A25" s="104">
        <v>6</v>
      </c>
      <c r="B25" s="114"/>
      <c r="C25" s="114"/>
      <c r="D25" s="114"/>
      <c r="E25" s="114"/>
      <c r="F25" s="104">
        <v>31</v>
      </c>
      <c r="G25" s="126"/>
      <c r="H25" s="126"/>
      <c r="I25" s="126"/>
    </row>
    <row r="26" spans="1:9" ht="18.75" customHeight="1" x14ac:dyDescent="0.15">
      <c r="A26" s="104">
        <v>7</v>
      </c>
      <c r="B26" s="114"/>
      <c r="C26" s="114"/>
      <c r="D26" s="114"/>
      <c r="E26" s="114"/>
      <c r="F26" s="104">
        <v>32</v>
      </c>
      <c r="G26" s="126"/>
      <c r="H26" s="126"/>
      <c r="I26" s="126"/>
    </row>
    <row r="27" spans="1:9" ht="18.75" customHeight="1" x14ac:dyDescent="0.15">
      <c r="A27" s="104">
        <v>8</v>
      </c>
      <c r="B27" s="114"/>
      <c r="C27" s="114"/>
      <c r="D27" s="114"/>
      <c r="E27" s="114"/>
      <c r="F27" s="104">
        <v>33</v>
      </c>
      <c r="G27" s="126"/>
      <c r="H27" s="126"/>
      <c r="I27" s="126"/>
    </row>
    <row r="28" spans="1:9" ht="18.75" customHeight="1" x14ac:dyDescent="0.15">
      <c r="A28" s="104">
        <v>9</v>
      </c>
      <c r="B28" s="114"/>
      <c r="C28" s="114"/>
      <c r="D28" s="114"/>
      <c r="E28" s="114"/>
      <c r="F28" s="104">
        <v>34</v>
      </c>
      <c r="G28" s="126"/>
      <c r="H28" s="126"/>
      <c r="I28" s="126"/>
    </row>
    <row r="29" spans="1:9" ht="18.75" customHeight="1" x14ac:dyDescent="0.15">
      <c r="A29" s="104">
        <v>10</v>
      </c>
      <c r="B29" s="114"/>
      <c r="C29" s="114"/>
      <c r="D29" s="114"/>
      <c r="E29" s="114"/>
      <c r="F29" s="104">
        <v>35</v>
      </c>
      <c r="G29" s="126"/>
      <c r="H29" s="126"/>
      <c r="I29" s="126"/>
    </row>
    <row r="30" spans="1:9" ht="18.75" customHeight="1" x14ac:dyDescent="0.15">
      <c r="A30" s="104">
        <v>11</v>
      </c>
      <c r="B30" s="126"/>
      <c r="C30" s="126"/>
      <c r="D30" s="126"/>
      <c r="E30" s="126"/>
      <c r="F30" s="104">
        <v>36</v>
      </c>
      <c r="G30" s="126"/>
      <c r="H30" s="126"/>
      <c r="I30" s="126"/>
    </row>
    <row r="31" spans="1:9" ht="18.75" customHeight="1" x14ac:dyDescent="0.15">
      <c r="A31" s="104">
        <v>12</v>
      </c>
      <c r="B31" s="126"/>
      <c r="C31" s="126"/>
      <c r="D31" s="126"/>
      <c r="E31" s="126"/>
      <c r="F31" s="104">
        <v>37</v>
      </c>
      <c r="G31" s="126"/>
      <c r="H31" s="126"/>
      <c r="I31" s="126"/>
    </row>
    <row r="32" spans="1:9" ht="18.75" customHeight="1" x14ac:dyDescent="0.15">
      <c r="A32" s="104">
        <v>13</v>
      </c>
      <c r="B32" s="126"/>
      <c r="C32" s="126"/>
      <c r="D32" s="126"/>
      <c r="E32" s="126"/>
      <c r="F32" s="104">
        <v>38</v>
      </c>
      <c r="G32" s="126"/>
      <c r="H32" s="126"/>
      <c r="I32" s="126"/>
    </row>
    <row r="33" spans="1:9" ht="18.75" customHeight="1" x14ac:dyDescent="0.15">
      <c r="A33" s="104">
        <v>14</v>
      </c>
      <c r="B33" s="126"/>
      <c r="C33" s="126"/>
      <c r="D33" s="126"/>
      <c r="E33" s="126"/>
      <c r="F33" s="104">
        <v>39</v>
      </c>
      <c r="G33" s="126"/>
      <c r="H33" s="126"/>
      <c r="I33" s="126"/>
    </row>
    <row r="34" spans="1:9" ht="18.75" customHeight="1" x14ac:dyDescent="0.15">
      <c r="A34" s="104">
        <v>15</v>
      </c>
      <c r="B34" s="126"/>
      <c r="C34" s="126"/>
      <c r="D34" s="126"/>
      <c r="E34" s="126"/>
      <c r="F34" s="104">
        <v>40</v>
      </c>
      <c r="G34" s="126"/>
      <c r="H34" s="126"/>
      <c r="I34" s="126"/>
    </row>
    <row r="35" spans="1:9" ht="18.75" customHeight="1" x14ac:dyDescent="0.15">
      <c r="A35" s="104">
        <v>16</v>
      </c>
      <c r="B35" s="126"/>
      <c r="C35" s="126"/>
      <c r="D35" s="126"/>
      <c r="E35" s="126"/>
      <c r="F35" s="104">
        <v>41</v>
      </c>
      <c r="G35" s="126"/>
      <c r="H35" s="126"/>
      <c r="I35" s="126"/>
    </row>
    <row r="36" spans="1:9" ht="18.75" customHeight="1" x14ac:dyDescent="0.15">
      <c r="A36" s="104">
        <v>17</v>
      </c>
      <c r="B36" s="126"/>
      <c r="C36" s="126"/>
      <c r="D36" s="126"/>
      <c r="E36" s="126"/>
      <c r="F36" s="104">
        <v>42</v>
      </c>
      <c r="G36" s="126"/>
      <c r="H36" s="126"/>
      <c r="I36" s="126"/>
    </row>
    <row r="37" spans="1:9" ht="18.75" customHeight="1" x14ac:dyDescent="0.15">
      <c r="A37" s="104">
        <v>18</v>
      </c>
      <c r="B37" s="126"/>
      <c r="C37" s="126"/>
      <c r="D37" s="126"/>
      <c r="E37" s="126"/>
      <c r="F37" s="104">
        <v>43</v>
      </c>
      <c r="G37" s="126"/>
      <c r="H37" s="126"/>
      <c r="I37" s="126"/>
    </row>
    <row r="38" spans="1:9" ht="18.75" customHeight="1" x14ac:dyDescent="0.15">
      <c r="A38" s="104">
        <v>19</v>
      </c>
      <c r="B38" s="126"/>
      <c r="C38" s="126"/>
      <c r="D38" s="126"/>
      <c r="E38" s="126"/>
      <c r="F38" s="104">
        <v>44</v>
      </c>
      <c r="G38" s="126"/>
      <c r="H38" s="126"/>
      <c r="I38" s="126"/>
    </row>
    <row r="39" spans="1:9" ht="18.75" customHeight="1" x14ac:dyDescent="0.15">
      <c r="A39" s="104">
        <v>20</v>
      </c>
      <c r="B39" s="126"/>
      <c r="C39" s="126"/>
      <c r="D39" s="126"/>
      <c r="E39" s="126"/>
      <c r="F39" s="104">
        <v>45</v>
      </c>
      <c r="G39" s="126"/>
      <c r="H39" s="126"/>
      <c r="I39" s="126"/>
    </row>
    <row r="40" spans="1:9" ht="18.75" customHeight="1" x14ac:dyDescent="0.15">
      <c r="A40" s="104">
        <v>21</v>
      </c>
      <c r="B40" s="126"/>
      <c r="C40" s="126"/>
      <c r="D40" s="126"/>
      <c r="E40" s="126"/>
      <c r="F40" s="104">
        <v>46</v>
      </c>
      <c r="G40" s="126"/>
      <c r="H40" s="126"/>
      <c r="I40" s="126"/>
    </row>
    <row r="41" spans="1:9" ht="18.75" customHeight="1" x14ac:dyDescent="0.15">
      <c r="A41" s="104">
        <v>22</v>
      </c>
      <c r="B41" s="126"/>
      <c r="C41" s="126"/>
      <c r="D41" s="126"/>
      <c r="E41" s="126"/>
      <c r="F41" s="104">
        <v>47</v>
      </c>
      <c r="G41" s="126"/>
      <c r="H41" s="126"/>
      <c r="I41" s="126"/>
    </row>
    <row r="42" spans="1:9" ht="18.75" customHeight="1" x14ac:dyDescent="0.15">
      <c r="A42" s="104">
        <v>23</v>
      </c>
      <c r="B42" s="126"/>
      <c r="C42" s="126"/>
      <c r="D42" s="126"/>
      <c r="E42" s="126"/>
      <c r="F42" s="104">
        <v>48</v>
      </c>
      <c r="G42" s="126"/>
      <c r="H42" s="126"/>
      <c r="I42" s="126"/>
    </row>
    <row r="43" spans="1:9" ht="18.75" customHeight="1" x14ac:dyDescent="0.15">
      <c r="A43" s="104">
        <v>24</v>
      </c>
      <c r="B43" s="126"/>
      <c r="C43" s="126"/>
      <c r="D43" s="126"/>
      <c r="E43" s="126"/>
      <c r="F43" s="104">
        <v>49</v>
      </c>
      <c r="G43" s="126"/>
      <c r="H43" s="126"/>
      <c r="I43" s="126"/>
    </row>
    <row r="44" spans="1:9" ht="18.75" customHeight="1" x14ac:dyDescent="0.15">
      <c r="A44" s="104">
        <v>25</v>
      </c>
      <c r="B44" s="126"/>
      <c r="C44" s="126"/>
      <c r="D44" s="126"/>
      <c r="E44" s="126"/>
      <c r="F44" s="104">
        <v>50</v>
      </c>
      <c r="G44" s="126"/>
      <c r="H44" s="126"/>
      <c r="I44" s="126"/>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8"/>
  <dataValidations count="2">
    <dataValidation type="list" allowBlank="1" showInputMessage="1" showErrorMessage="1" sqref="E6:I6" xr:uid="{00000000-0002-0000-0700-000000000000}">
      <formula1>"学部・学科によって、修了要件は相違する,学部・学科によって、修了要件は相違しない"</formula1>
      <formula2>0</formula2>
    </dataValidation>
    <dataValidation type="list" allowBlank="1" showInputMessage="1" showErrorMessage="1" sqref="F7:I7" xr:uid="{00000000-0002-0000-0700-000001000000}">
      <formula1>"学部等によって、認定要件は相違する,学部等によって、認定要件は相違しない"</formula1>
      <formula2>0</formula2>
    </dataValidation>
  </dataValidations>
  <printOptions horizontalCentered="1"/>
  <pageMargins left="0.78749999999999998" right="0.78749999999999998" top="0.78749999999999998" bottom="0.39374999999999999" header="0.51180555555555496" footer="0.51180555555555496"/>
  <pageSetup paperSize="9" firstPageNumber="0"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29"/>
  <sheetViews>
    <sheetView view="pageBreakPreview" topLeftCell="L10" zoomScaleNormal="100" workbookViewId="0">
      <selection activeCell="T10" sqref="T1:XFD1048576"/>
    </sheetView>
  </sheetViews>
  <sheetFormatPr defaultColWidth="9" defaultRowHeight="14.25" x14ac:dyDescent="0.15"/>
  <cols>
    <col min="1" max="1" width="2.375" style="26" customWidth="1"/>
    <col min="2" max="2" width="12.375" style="26" customWidth="1"/>
    <col min="3" max="3" width="21" style="26" customWidth="1"/>
    <col min="4" max="18" width="6.25" style="26" customWidth="1"/>
    <col min="19" max="19" width="9" style="26"/>
  </cols>
  <sheetData>
    <row r="1" spans="1:18" ht="18.75" customHeight="1" x14ac:dyDescent="0.15">
      <c r="F1" s="130" t="s">
        <v>77</v>
      </c>
      <c r="G1" s="130"/>
      <c r="H1" s="130"/>
      <c r="I1" s="130"/>
      <c r="J1" s="130"/>
      <c r="K1" s="130"/>
      <c r="L1" s="130"/>
      <c r="M1" s="130"/>
      <c r="N1" s="130"/>
      <c r="O1" s="130"/>
      <c r="P1" s="130"/>
      <c r="Q1" s="130"/>
      <c r="R1" s="130"/>
    </row>
    <row r="2" spans="1:18" ht="18.75" customHeight="1" x14ac:dyDescent="0.15">
      <c r="D2" s="27"/>
      <c r="E2" s="27"/>
      <c r="F2" s="27"/>
      <c r="G2" s="27"/>
      <c r="H2" s="27"/>
      <c r="I2" s="27"/>
      <c r="J2" s="27"/>
      <c r="K2" s="130" t="s">
        <v>63</v>
      </c>
      <c r="L2" s="130"/>
      <c r="M2" s="27" t="s">
        <v>71</v>
      </c>
      <c r="N2" s="27"/>
      <c r="O2" s="27"/>
      <c r="P2" s="27"/>
      <c r="Q2" s="27"/>
      <c r="R2" s="27"/>
    </row>
    <row r="3" spans="1:18" ht="7.5" customHeight="1" x14ac:dyDescent="0.15"/>
    <row r="4" spans="1:18" ht="18.75" customHeight="1" x14ac:dyDescent="0.15">
      <c r="A4" s="131" t="s">
        <v>78</v>
      </c>
      <c r="B4" s="131"/>
      <c r="C4" s="131"/>
      <c r="D4" s="131"/>
      <c r="E4" s="131"/>
      <c r="F4" s="131"/>
      <c r="G4" s="131"/>
      <c r="H4" s="131"/>
      <c r="I4" s="131"/>
      <c r="J4" s="131"/>
      <c r="K4" s="131"/>
      <c r="L4" s="131"/>
      <c r="M4" s="131"/>
      <c r="N4" s="131"/>
      <c r="O4" s="131"/>
      <c r="P4" s="131"/>
      <c r="Q4" s="131"/>
      <c r="R4" s="131"/>
    </row>
    <row r="5" spans="1:18" ht="7.5" customHeight="1" x14ac:dyDescent="0.15">
      <c r="A5" s="29"/>
      <c r="B5" s="29"/>
      <c r="C5" s="29"/>
      <c r="D5" s="29"/>
      <c r="E5" s="29"/>
      <c r="F5" s="29"/>
      <c r="G5" s="29"/>
      <c r="H5" s="29"/>
      <c r="I5" s="29"/>
      <c r="J5" s="29"/>
      <c r="K5" s="29"/>
      <c r="L5" s="29"/>
      <c r="M5" s="29"/>
      <c r="N5" s="29"/>
      <c r="O5" s="29"/>
      <c r="P5" s="29"/>
      <c r="Q5" s="29"/>
      <c r="R5" s="29"/>
    </row>
    <row r="6" spans="1:18" ht="18.75" customHeight="1" x14ac:dyDescent="0.15">
      <c r="B6" s="135" t="s">
        <v>79</v>
      </c>
      <c r="C6" s="135"/>
      <c r="D6" s="136" t="s">
        <v>80</v>
      </c>
      <c r="E6" s="132" t="s">
        <v>81</v>
      </c>
      <c r="F6" s="132"/>
      <c r="G6" s="132" t="s">
        <v>19</v>
      </c>
      <c r="H6" s="132"/>
      <c r="I6" s="132" t="s">
        <v>82</v>
      </c>
      <c r="J6" s="132"/>
      <c r="K6" s="132" t="s">
        <v>83</v>
      </c>
      <c r="L6" s="132"/>
      <c r="M6" s="132" t="s">
        <v>84</v>
      </c>
      <c r="N6" s="132"/>
      <c r="O6" s="132" t="s">
        <v>85</v>
      </c>
      <c r="P6" s="132"/>
      <c r="Q6" s="133" t="s">
        <v>86</v>
      </c>
      <c r="R6" s="134" t="s">
        <v>87</v>
      </c>
    </row>
    <row r="7" spans="1:18" ht="18.75" customHeight="1" x14ac:dyDescent="0.15">
      <c r="B7" s="135"/>
      <c r="C7" s="135"/>
      <c r="D7" s="136"/>
      <c r="E7" s="31" t="s">
        <v>88</v>
      </c>
      <c r="F7" s="32" t="s">
        <v>89</v>
      </c>
      <c r="G7" s="33" t="s">
        <v>88</v>
      </c>
      <c r="H7" s="34" t="s">
        <v>89</v>
      </c>
      <c r="I7" s="31" t="s">
        <v>88</v>
      </c>
      <c r="J7" s="32" t="s">
        <v>89</v>
      </c>
      <c r="K7" s="33" t="s">
        <v>88</v>
      </c>
      <c r="L7" s="34" t="s">
        <v>89</v>
      </c>
      <c r="M7" s="31" t="s">
        <v>88</v>
      </c>
      <c r="N7" s="32" t="s">
        <v>89</v>
      </c>
      <c r="O7" s="33" t="s">
        <v>88</v>
      </c>
      <c r="P7" s="34" t="s">
        <v>89</v>
      </c>
      <c r="Q7" s="133"/>
      <c r="R7" s="134"/>
    </row>
    <row r="8" spans="1:18" ht="18.75" customHeight="1" x14ac:dyDescent="0.15">
      <c r="A8" s="35"/>
      <c r="B8" s="137" t="s">
        <v>90</v>
      </c>
      <c r="C8" s="137"/>
      <c r="D8" s="36">
        <v>700</v>
      </c>
      <c r="E8" s="37">
        <v>16</v>
      </c>
      <c r="F8" s="38">
        <v>16</v>
      </c>
      <c r="G8" s="39">
        <v>0</v>
      </c>
      <c r="H8" s="40">
        <v>0</v>
      </c>
      <c r="I8" s="37">
        <v>0</v>
      </c>
      <c r="J8" s="38">
        <v>0</v>
      </c>
      <c r="K8" s="39">
        <v>0</v>
      </c>
      <c r="L8" s="40">
        <v>0</v>
      </c>
      <c r="M8" s="37">
        <v>0</v>
      </c>
      <c r="N8" s="38">
        <v>0</v>
      </c>
      <c r="O8" s="39">
        <v>0</v>
      </c>
      <c r="P8" s="40">
        <v>0</v>
      </c>
      <c r="Q8" s="41">
        <f t="shared" ref="Q8:Q18" si="0">E8+G8+I8+K8+M8+O8</f>
        <v>16</v>
      </c>
      <c r="R8" s="42">
        <f t="shared" ref="R8:R28" si="1">Q8/D8</f>
        <v>2.2857142857142857E-2</v>
      </c>
    </row>
    <row r="9" spans="1:18" ht="18.75" customHeight="1" x14ac:dyDescent="0.15">
      <c r="A9" s="35"/>
      <c r="B9" s="138" t="s">
        <v>91</v>
      </c>
      <c r="C9" s="138"/>
      <c r="D9" s="43">
        <v>1120</v>
      </c>
      <c r="E9" s="44">
        <v>35</v>
      </c>
      <c r="F9" s="45">
        <v>33</v>
      </c>
      <c r="G9" s="46">
        <v>1</v>
      </c>
      <c r="H9" s="47">
        <v>1</v>
      </c>
      <c r="I9" s="44">
        <v>0</v>
      </c>
      <c r="J9" s="45">
        <v>0</v>
      </c>
      <c r="K9" s="46">
        <v>0</v>
      </c>
      <c r="L9" s="47">
        <v>0</v>
      </c>
      <c r="M9" s="44">
        <v>0</v>
      </c>
      <c r="N9" s="45">
        <v>0</v>
      </c>
      <c r="O9" s="46">
        <v>0</v>
      </c>
      <c r="P9" s="47">
        <v>0</v>
      </c>
      <c r="Q9" s="48">
        <f t="shared" si="0"/>
        <v>36</v>
      </c>
      <c r="R9" s="42">
        <f t="shared" si="1"/>
        <v>3.214285714285714E-2</v>
      </c>
    </row>
    <row r="10" spans="1:18" ht="18.75" customHeight="1" x14ac:dyDescent="0.15">
      <c r="A10" s="35"/>
      <c r="B10" s="138" t="s">
        <v>92</v>
      </c>
      <c r="C10" s="138"/>
      <c r="D10" s="43">
        <v>900</v>
      </c>
      <c r="E10" s="44">
        <v>42</v>
      </c>
      <c r="F10" s="45">
        <v>31</v>
      </c>
      <c r="G10" s="46">
        <v>1</v>
      </c>
      <c r="H10" s="47">
        <v>1</v>
      </c>
      <c r="I10" s="44">
        <v>0</v>
      </c>
      <c r="J10" s="45">
        <v>0</v>
      </c>
      <c r="K10" s="46">
        <v>0</v>
      </c>
      <c r="L10" s="47">
        <v>0</v>
      </c>
      <c r="M10" s="44">
        <v>0</v>
      </c>
      <c r="N10" s="45">
        <v>0</v>
      </c>
      <c r="O10" s="46">
        <v>0</v>
      </c>
      <c r="P10" s="47">
        <v>0</v>
      </c>
      <c r="Q10" s="48">
        <f t="shared" si="0"/>
        <v>43</v>
      </c>
      <c r="R10" s="42">
        <f t="shared" si="1"/>
        <v>4.777777777777778E-2</v>
      </c>
    </row>
    <row r="11" spans="1:18" ht="18.75" customHeight="1" x14ac:dyDescent="0.15">
      <c r="A11" s="35"/>
      <c r="B11" s="138" t="s">
        <v>93</v>
      </c>
      <c r="C11" s="138"/>
      <c r="D11" s="43">
        <v>980</v>
      </c>
      <c r="E11" s="44">
        <v>41</v>
      </c>
      <c r="F11" s="45">
        <v>36</v>
      </c>
      <c r="G11" s="46">
        <v>14</v>
      </c>
      <c r="H11" s="47">
        <v>14</v>
      </c>
      <c r="I11" s="44">
        <v>0</v>
      </c>
      <c r="J11" s="45">
        <v>0</v>
      </c>
      <c r="K11" s="46">
        <v>0</v>
      </c>
      <c r="L11" s="47">
        <v>0</v>
      </c>
      <c r="M11" s="44">
        <v>0</v>
      </c>
      <c r="N11" s="45">
        <v>0</v>
      </c>
      <c r="O11" s="46">
        <v>0</v>
      </c>
      <c r="P11" s="47">
        <v>0</v>
      </c>
      <c r="Q11" s="48">
        <f t="shared" si="0"/>
        <v>55</v>
      </c>
      <c r="R11" s="42">
        <f t="shared" si="1"/>
        <v>5.6122448979591837E-2</v>
      </c>
    </row>
    <row r="12" spans="1:18" ht="18.75" customHeight="1" x14ac:dyDescent="0.15">
      <c r="A12" s="35"/>
      <c r="B12" s="138" t="s">
        <v>94</v>
      </c>
      <c r="C12" s="138"/>
      <c r="D12" s="43">
        <v>600</v>
      </c>
      <c r="E12" s="44">
        <v>141</v>
      </c>
      <c r="F12" s="45">
        <v>134</v>
      </c>
      <c r="G12" s="46">
        <v>8</v>
      </c>
      <c r="H12" s="47">
        <v>7</v>
      </c>
      <c r="I12" s="44">
        <v>0</v>
      </c>
      <c r="J12" s="45">
        <v>0</v>
      </c>
      <c r="K12" s="46">
        <v>0</v>
      </c>
      <c r="L12" s="47">
        <v>0</v>
      </c>
      <c r="M12" s="44">
        <v>0</v>
      </c>
      <c r="N12" s="45">
        <v>0</v>
      </c>
      <c r="O12" s="46">
        <v>0</v>
      </c>
      <c r="P12" s="47">
        <v>0</v>
      </c>
      <c r="Q12" s="48">
        <f t="shared" si="0"/>
        <v>149</v>
      </c>
      <c r="R12" s="42">
        <f t="shared" si="1"/>
        <v>0.24833333333333332</v>
      </c>
    </row>
    <row r="13" spans="1:18" ht="18.75" customHeight="1" x14ac:dyDescent="0.15">
      <c r="A13" s="35"/>
      <c r="B13" s="138" t="s">
        <v>95</v>
      </c>
      <c r="C13" s="138"/>
      <c r="D13" s="43">
        <v>1386</v>
      </c>
      <c r="E13" s="44">
        <v>4</v>
      </c>
      <c r="F13" s="45">
        <v>4</v>
      </c>
      <c r="G13" s="46">
        <v>10</v>
      </c>
      <c r="H13" s="47">
        <v>10</v>
      </c>
      <c r="I13" s="44">
        <v>0</v>
      </c>
      <c r="J13" s="45">
        <v>0</v>
      </c>
      <c r="K13" s="46">
        <v>0</v>
      </c>
      <c r="L13" s="47">
        <v>0</v>
      </c>
      <c r="M13" s="44">
        <v>0</v>
      </c>
      <c r="N13" s="45">
        <v>0</v>
      </c>
      <c r="O13" s="46">
        <v>0</v>
      </c>
      <c r="P13" s="47">
        <v>0</v>
      </c>
      <c r="Q13" s="48">
        <f t="shared" si="0"/>
        <v>14</v>
      </c>
      <c r="R13" s="42">
        <f t="shared" si="1"/>
        <v>1.0101010101010102E-2</v>
      </c>
    </row>
    <row r="14" spans="1:18" ht="18.75" customHeight="1" x14ac:dyDescent="0.15">
      <c r="A14" s="35"/>
      <c r="B14" s="138" t="s">
        <v>96</v>
      </c>
      <c r="C14" s="138"/>
      <c r="D14" s="43">
        <v>313</v>
      </c>
      <c r="E14" s="44">
        <v>47</v>
      </c>
      <c r="F14" s="45">
        <v>46</v>
      </c>
      <c r="G14" s="46">
        <v>0</v>
      </c>
      <c r="H14" s="47">
        <v>0</v>
      </c>
      <c r="I14" s="44">
        <v>0</v>
      </c>
      <c r="J14" s="45">
        <v>0</v>
      </c>
      <c r="K14" s="46">
        <v>0</v>
      </c>
      <c r="L14" s="47">
        <v>0</v>
      </c>
      <c r="M14" s="44">
        <v>0</v>
      </c>
      <c r="N14" s="45">
        <v>0</v>
      </c>
      <c r="O14" s="46">
        <v>0</v>
      </c>
      <c r="P14" s="47">
        <v>0</v>
      </c>
      <c r="Q14" s="48">
        <f t="shared" si="0"/>
        <v>47</v>
      </c>
      <c r="R14" s="42">
        <f t="shared" si="1"/>
        <v>0.15015974440894569</v>
      </c>
    </row>
    <row r="15" spans="1:18" ht="18.75" customHeight="1" x14ac:dyDescent="0.15">
      <c r="A15" s="35"/>
      <c r="B15" s="138" t="s">
        <v>97</v>
      </c>
      <c r="C15" s="138"/>
      <c r="D15" s="43">
        <v>400</v>
      </c>
      <c r="E15" s="44">
        <v>84</v>
      </c>
      <c r="F15" s="45">
        <v>81</v>
      </c>
      <c r="G15" s="46">
        <v>2</v>
      </c>
      <c r="H15" s="47">
        <v>2</v>
      </c>
      <c r="I15" s="44">
        <v>0</v>
      </c>
      <c r="J15" s="45">
        <v>0</v>
      </c>
      <c r="K15" s="46">
        <v>0</v>
      </c>
      <c r="L15" s="47">
        <v>0</v>
      </c>
      <c r="M15" s="44">
        <v>0</v>
      </c>
      <c r="N15" s="45">
        <v>0</v>
      </c>
      <c r="O15" s="46">
        <v>0</v>
      </c>
      <c r="P15" s="47">
        <v>0</v>
      </c>
      <c r="Q15" s="48">
        <f t="shared" si="0"/>
        <v>86</v>
      </c>
      <c r="R15" s="42">
        <f t="shared" si="1"/>
        <v>0.215</v>
      </c>
    </row>
    <row r="16" spans="1:18" ht="18.75" customHeight="1" x14ac:dyDescent="0.15">
      <c r="A16" s="35"/>
      <c r="B16" s="138" t="s">
        <v>98</v>
      </c>
      <c r="C16" s="138"/>
      <c r="D16" s="43">
        <v>1900</v>
      </c>
      <c r="E16" s="44">
        <v>468</v>
      </c>
      <c r="F16" s="45">
        <v>451</v>
      </c>
      <c r="G16" s="46">
        <v>13</v>
      </c>
      <c r="H16" s="47">
        <v>13</v>
      </c>
      <c r="I16" s="44">
        <v>0</v>
      </c>
      <c r="J16" s="45">
        <v>0</v>
      </c>
      <c r="K16" s="46">
        <v>0</v>
      </c>
      <c r="L16" s="47">
        <v>0</v>
      </c>
      <c r="M16" s="44">
        <v>0</v>
      </c>
      <c r="N16" s="45">
        <v>0</v>
      </c>
      <c r="O16" s="46">
        <v>0</v>
      </c>
      <c r="P16" s="47">
        <v>0</v>
      </c>
      <c r="Q16" s="48">
        <f t="shared" si="0"/>
        <v>481</v>
      </c>
      <c r="R16" s="42">
        <f t="shared" si="1"/>
        <v>0.25315789473684208</v>
      </c>
    </row>
    <row r="17" spans="1:18" ht="18.75" customHeight="1" x14ac:dyDescent="0.15">
      <c r="A17" s="35"/>
      <c r="B17" s="138" t="s">
        <v>99</v>
      </c>
      <c r="C17" s="138"/>
      <c r="D17" s="43">
        <v>600</v>
      </c>
      <c r="E17" s="44">
        <v>164</v>
      </c>
      <c r="F17" s="45">
        <v>162</v>
      </c>
      <c r="G17" s="46">
        <v>7</v>
      </c>
      <c r="H17" s="47">
        <v>7</v>
      </c>
      <c r="I17" s="44">
        <v>0</v>
      </c>
      <c r="J17" s="45">
        <v>0</v>
      </c>
      <c r="K17" s="46">
        <v>0</v>
      </c>
      <c r="L17" s="47">
        <v>0</v>
      </c>
      <c r="M17" s="44">
        <v>0</v>
      </c>
      <c r="N17" s="45">
        <v>0</v>
      </c>
      <c r="O17" s="46">
        <v>0</v>
      </c>
      <c r="P17" s="47">
        <v>0</v>
      </c>
      <c r="Q17" s="48">
        <f t="shared" si="0"/>
        <v>171</v>
      </c>
      <c r="R17" s="42">
        <f t="shared" si="1"/>
        <v>0.28499999999999998</v>
      </c>
    </row>
    <row r="18" spans="1:18" ht="18.75" customHeight="1" x14ac:dyDescent="0.15">
      <c r="A18" s="35"/>
      <c r="B18" s="138" t="s">
        <v>100</v>
      </c>
      <c r="C18" s="138"/>
      <c r="D18" s="43">
        <v>480</v>
      </c>
      <c r="E18" s="44">
        <v>1</v>
      </c>
      <c r="F18" s="45">
        <v>1</v>
      </c>
      <c r="G18" s="46">
        <v>0</v>
      </c>
      <c r="H18" s="47">
        <v>0</v>
      </c>
      <c r="I18" s="44">
        <v>0</v>
      </c>
      <c r="J18" s="45">
        <v>0</v>
      </c>
      <c r="K18" s="46">
        <v>0</v>
      </c>
      <c r="L18" s="47">
        <v>0</v>
      </c>
      <c r="M18" s="44">
        <v>0</v>
      </c>
      <c r="N18" s="45">
        <v>0</v>
      </c>
      <c r="O18" s="46">
        <v>0</v>
      </c>
      <c r="P18" s="47">
        <v>0</v>
      </c>
      <c r="Q18" s="48">
        <f t="shared" si="0"/>
        <v>1</v>
      </c>
      <c r="R18" s="42">
        <f t="shared" si="1"/>
        <v>2.0833333333333333E-3</v>
      </c>
    </row>
    <row r="19" spans="1:18" ht="18.75" customHeight="1" x14ac:dyDescent="0.15">
      <c r="A19" s="35"/>
      <c r="B19" s="138"/>
      <c r="C19" s="138"/>
      <c r="D19" s="43"/>
      <c r="E19" s="44"/>
      <c r="F19" s="45"/>
      <c r="G19" s="46"/>
      <c r="H19" s="47"/>
      <c r="I19" s="44"/>
      <c r="J19" s="45"/>
      <c r="K19" s="46"/>
      <c r="L19" s="47"/>
      <c r="M19" s="44"/>
      <c r="N19" s="45"/>
      <c r="O19" s="46"/>
      <c r="P19" s="47"/>
      <c r="Q19" s="48"/>
      <c r="R19" s="42"/>
    </row>
    <row r="20" spans="1:18" ht="18.75" customHeight="1" x14ac:dyDescent="0.15">
      <c r="A20" s="35"/>
      <c r="B20" s="138"/>
      <c r="C20" s="138"/>
      <c r="D20" s="43"/>
      <c r="E20" s="44"/>
      <c r="F20" s="45"/>
      <c r="G20" s="46"/>
      <c r="H20" s="47"/>
      <c r="I20" s="44"/>
      <c r="J20" s="45"/>
      <c r="K20" s="46"/>
      <c r="L20" s="47"/>
      <c r="M20" s="44"/>
      <c r="N20" s="45"/>
      <c r="O20" s="46"/>
      <c r="P20" s="47"/>
      <c r="Q20" s="48"/>
      <c r="R20" s="42"/>
    </row>
    <row r="21" spans="1:18" ht="18.75" customHeight="1" x14ac:dyDescent="0.15">
      <c r="A21" s="35"/>
      <c r="B21" s="138"/>
      <c r="C21" s="138"/>
      <c r="D21" s="43"/>
      <c r="E21" s="44"/>
      <c r="F21" s="45"/>
      <c r="G21" s="46"/>
      <c r="H21" s="47"/>
      <c r="I21" s="44"/>
      <c r="J21" s="45"/>
      <c r="K21" s="46"/>
      <c r="L21" s="47"/>
      <c r="M21" s="44"/>
      <c r="N21" s="45"/>
      <c r="O21" s="46"/>
      <c r="P21" s="47"/>
      <c r="Q21" s="48"/>
      <c r="R21" s="42"/>
    </row>
    <row r="22" spans="1:18" ht="18.75" customHeight="1" x14ac:dyDescent="0.15">
      <c r="A22" s="35"/>
      <c r="B22" s="138"/>
      <c r="C22" s="138"/>
      <c r="D22" s="43"/>
      <c r="E22" s="44"/>
      <c r="F22" s="45"/>
      <c r="G22" s="46"/>
      <c r="H22" s="47"/>
      <c r="I22" s="44"/>
      <c r="J22" s="45"/>
      <c r="K22" s="46"/>
      <c r="L22" s="47"/>
      <c r="M22" s="44"/>
      <c r="N22" s="45"/>
      <c r="O22" s="46"/>
      <c r="P22" s="47"/>
      <c r="Q22" s="48"/>
      <c r="R22" s="42"/>
    </row>
    <row r="23" spans="1:18" ht="18.75" customHeight="1" x14ac:dyDescent="0.15">
      <c r="A23" s="35"/>
      <c r="B23" s="138"/>
      <c r="C23" s="138"/>
      <c r="D23" s="43"/>
      <c r="E23" s="44"/>
      <c r="F23" s="45"/>
      <c r="G23" s="46"/>
      <c r="H23" s="47"/>
      <c r="I23" s="44"/>
      <c r="J23" s="45"/>
      <c r="K23" s="46"/>
      <c r="L23" s="47"/>
      <c r="M23" s="44"/>
      <c r="N23" s="45"/>
      <c r="O23" s="46"/>
      <c r="P23" s="47"/>
      <c r="Q23" s="48"/>
      <c r="R23" s="42"/>
    </row>
    <row r="24" spans="1:18" ht="18.75" customHeight="1" x14ac:dyDescent="0.15">
      <c r="A24" s="35"/>
      <c r="B24" s="138"/>
      <c r="C24" s="138"/>
      <c r="D24" s="43"/>
      <c r="E24" s="44"/>
      <c r="F24" s="45"/>
      <c r="G24" s="46"/>
      <c r="H24" s="47"/>
      <c r="I24" s="44"/>
      <c r="J24" s="45"/>
      <c r="K24" s="46"/>
      <c r="L24" s="47"/>
      <c r="M24" s="44"/>
      <c r="N24" s="45"/>
      <c r="O24" s="46"/>
      <c r="P24" s="47"/>
      <c r="Q24" s="48"/>
      <c r="R24" s="42"/>
    </row>
    <row r="25" spans="1:18" ht="18.75" customHeight="1" x14ac:dyDescent="0.15">
      <c r="A25" s="35"/>
      <c r="B25" s="138"/>
      <c r="C25" s="138"/>
      <c r="D25" s="43"/>
      <c r="E25" s="44"/>
      <c r="F25" s="45"/>
      <c r="G25" s="46"/>
      <c r="H25" s="47"/>
      <c r="I25" s="44"/>
      <c r="J25" s="45"/>
      <c r="K25" s="46"/>
      <c r="L25" s="47"/>
      <c r="M25" s="44"/>
      <c r="N25" s="45"/>
      <c r="O25" s="46"/>
      <c r="P25" s="47"/>
      <c r="Q25" s="48"/>
      <c r="R25" s="42"/>
    </row>
    <row r="26" spans="1:18" ht="18.75" customHeight="1" x14ac:dyDescent="0.15">
      <c r="A26" s="35"/>
      <c r="B26" s="138"/>
      <c r="C26" s="138"/>
      <c r="D26" s="43"/>
      <c r="E26" s="44"/>
      <c r="F26" s="45"/>
      <c r="G26" s="46"/>
      <c r="H26" s="47"/>
      <c r="I26" s="44"/>
      <c r="J26" s="45"/>
      <c r="K26" s="46"/>
      <c r="L26" s="47"/>
      <c r="M26" s="44"/>
      <c r="N26" s="45"/>
      <c r="O26" s="46"/>
      <c r="P26" s="47"/>
      <c r="Q26" s="48"/>
      <c r="R26" s="42"/>
    </row>
    <row r="27" spans="1:18" ht="18.75" customHeight="1" x14ac:dyDescent="0.15">
      <c r="A27" s="35"/>
      <c r="B27" s="139"/>
      <c r="C27" s="139"/>
      <c r="D27" s="36"/>
      <c r="E27" s="37"/>
      <c r="F27" s="38"/>
      <c r="G27" s="39"/>
      <c r="H27" s="40"/>
      <c r="I27" s="37"/>
      <c r="J27" s="38"/>
      <c r="K27" s="39"/>
      <c r="L27" s="40"/>
      <c r="M27" s="37"/>
      <c r="N27" s="38"/>
      <c r="O27" s="39"/>
      <c r="P27" s="40"/>
      <c r="Q27" s="49"/>
      <c r="R27" s="42"/>
    </row>
    <row r="28" spans="1:18" ht="18.75" customHeight="1" x14ac:dyDescent="0.15">
      <c r="A28" s="35"/>
      <c r="B28" s="140" t="s">
        <v>101</v>
      </c>
      <c r="C28" s="140"/>
      <c r="D28" s="50">
        <f t="shared" ref="D28:Q28" si="2">SUM(D8:D27)</f>
        <v>9379</v>
      </c>
      <c r="E28" s="51">
        <f t="shared" si="2"/>
        <v>1043</v>
      </c>
      <c r="F28" s="52">
        <f t="shared" si="2"/>
        <v>995</v>
      </c>
      <c r="G28" s="53">
        <f t="shared" si="2"/>
        <v>56</v>
      </c>
      <c r="H28" s="54">
        <f t="shared" si="2"/>
        <v>55</v>
      </c>
      <c r="I28" s="51">
        <f t="shared" si="2"/>
        <v>0</v>
      </c>
      <c r="J28" s="52">
        <f t="shared" si="2"/>
        <v>0</v>
      </c>
      <c r="K28" s="53">
        <f t="shared" si="2"/>
        <v>0</v>
      </c>
      <c r="L28" s="54">
        <f t="shared" si="2"/>
        <v>0</v>
      </c>
      <c r="M28" s="51">
        <f t="shared" si="2"/>
        <v>0</v>
      </c>
      <c r="N28" s="52">
        <f t="shared" si="2"/>
        <v>0</v>
      </c>
      <c r="O28" s="53">
        <f t="shared" si="2"/>
        <v>0</v>
      </c>
      <c r="P28" s="54">
        <f t="shared" si="2"/>
        <v>0</v>
      </c>
      <c r="Q28" s="55">
        <f t="shared" si="2"/>
        <v>1099</v>
      </c>
      <c r="R28" s="56">
        <f t="shared" si="1"/>
        <v>0.11717667128691758</v>
      </c>
    </row>
    <row r="29" spans="1:18" ht="6.75" customHeight="1" x14ac:dyDescent="0.15">
      <c r="A29" s="35"/>
      <c r="B29" s="35"/>
      <c r="C29" s="35"/>
      <c r="D29" s="57"/>
      <c r="E29" s="57"/>
      <c r="F29" s="57"/>
      <c r="G29" s="57"/>
      <c r="H29" s="57"/>
      <c r="I29" s="57"/>
      <c r="J29" s="57"/>
      <c r="K29" s="57"/>
      <c r="L29" s="57"/>
      <c r="M29" s="57"/>
      <c r="N29" s="57"/>
      <c r="O29" s="57"/>
      <c r="P29" s="57"/>
      <c r="Q29" s="57"/>
      <c r="R29" s="57"/>
    </row>
  </sheetData>
  <mergeCells count="34">
    <mergeCell ref="B26:C26"/>
    <mergeCell ref="B27:C27"/>
    <mergeCell ref="B28:C28"/>
    <mergeCell ref="B23:C23"/>
    <mergeCell ref="B24:C24"/>
    <mergeCell ref="B25:C25"/>
    <mergeCell ref="B20:C20"/>
    <mergeCell ref="B21:C21"/>
    <mergeCell ref="B22:C22"/>
    <mergeCell ref="B17:C17"/>
    <mergeCell ref="B18:C18"/>
    <mergeCell ref="B19:C19"/>
    <mergeCell ref="B14:C14"/>
    <mergeCell ref="B15:C15"/>
    <mergeCell ref="B16:C16"/>
    <mergeCell ref="B11:C11"/>
    <mergeCell ref="B12:C12"/>
    <mergeCell ref="B13:C13"/>
    <mergeCell ref="B8:C8"/>
    <mergeCell ref="B9:C9"/>
    <mergeCell ref="B10:C10"/>
    <mergeCell ref="K6:L6"/>
    <mergeCell ref="M6:N6"/>
    <mergeCell ref="F1:R1"/>
    <mergeCell ref="K2:L2"/>
    <mergeCell ref="A4:R4"/>
    <mergeCell ref="O6:P6"/>
    <mergeCell ref="Q6:Q7"/>
    <mergeCell ref="R6:R7"/>
    <mergeCell ref="B6:C7"/>
    <mergeCell ref="D6:D7"/>
    <mergeCell ref="E6:F6"/>
    <mergeCell ref="G6:H6"/>
    <mergeCell ref="I6:J6"/>
  </mergeCells>
  <phoneticPr fontId="18"/>
  <printOptions horizontalCentered="1"/>
  <pageMargins left="0.78749999999999998" right="0.78749999999999998" top="0.78749999999999998" bottom="0.59027777777777801" header="0.51180555555555496" footer="0.51180555555555496"/>
  <pageSetup paperSize="9" firstPageNumber="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6D41C-DC34-4B1C-9090-58519D240408}">
  <sheetPr>
    <pageSetUpPr fitToPage="1"/>
  </sheetPr>
  <dimension ref="A1:I150"/>
  <sheetViews>
    <sheetView tabSelected="1" view="pageBreakPreview" topLeftCell="A129" zoomScale="90" zoomScaleNormal="100" zoomScaleSheetLayoutView="90" zoomScalePageLayoutView="85"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2.375" style="26" customWidth="1"/>
    <col min="9" max="9" width="9" style="26"/>
  </cols>
  <sheetData>
    <row r="1" spans="1:7" ht="18.75" customHeight="1" x14ac:dyDescent="0.15">
      <c r="G1" s="58" t="s">
        <v>102</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8" t="s">
        <v>108</v>
      </c>
      <c r="D6" s="148"/>
      <c r="E6" s="148"/>
      <c r="F6" s="148"/>
      <c r="G6" s="148"/>
    </row>
    <row r="7" spans="1:7" s="30" customFormat="1" ht="45" customHeight="1" x14ac:dyDescent="0.15">
      <c r="B7" s="146"/>
      <c r="C7" s="148"/>
      <c r="D7" s="148"/>
      <c r="E7" s="148"/>
      <c r="F7" s="148"/>
      <c r="G7" s="148"/>
    </row>
    <row r="8" spans="1:7" s="30" customFormat="1" ht="45" customHeight="1" x14ac:dyDescent="0.15">
      <c r="B8" s="146"/>
      <c r="C8" s="148"/>
      <c r="D8" s="148"/>
      <c r="E8" s="148"/>
      <c r="F8" s="148"/>
      <c r="G8" s="148"/>
    </row>
    <row r="9" spans="1:7" s="30" customFormat="1" ht="45" customHeight="1" x14ac:dyDescent="0.15">
      <c r="B9" s="146"/>
      <c r="C9" s="148"/>
      <c r="D9" s="148"/>
      <c r="E9" s="148"/>
      <c r="F9" s="148"/>
      <c r="G9" s="148"/>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111</v>
      </c>
      <c r="E11" s="129"/>
      <c r="F11" s="129"/>
      <c r="G11" s="129"/>
    </row>
    <row r="12" spans="1:7" s="30" customFormat="1" ht="18.75" customHeight="1" x14ac:dyDescent="0.15">
      <c r="B12" s="146"/>
      <c r="C12" s="92"/>
      <c r="D12" s="129" t="s">
        <v>112</v>
      </c>
      <c r="E12" s="129"/>
      <c r="F12" s="129"/>
      <c r="G12" s="129"/>
    </row>
    <row r="13" spans="1:7" s="30" customFormat="1" ht="18.75" customHeight="1" x14ac:dyDescent="0.15">
      <c r="B13" s="146"/>
      <c r="C13" s="92"/>
      <c r="D13" s="129" t="s">
        <v>113</v>
      </c>
      <c r="E13" s="129"/>
      <c r="F13" s="129"/>
      <c r="G13" s="129"/>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8" t="s">
        <v>115</v>
      </c>
      <c r="D27" s="148"/>
      <c r="E27" s="148"/>
      <c r="F27" s="148"/>
      <c r="G27" s="148"/>
    </row>
    <row r="28" spans="2:7" ht="37.5" customHeight="1" x14ac:dyDescent="0.15">
      <c r="B28" s="149"/>
      <c r="C28" s="148"/>
      <c r="D28" s="148"/>
      <c r="E28" s="148"/>
      <c r="F28" s="148"/>
      <c r="G28" s="148"/>
    </row>
    <row r="29" spans="2:7" ht="37.5" customHeight="1" x14ac:dyDescent="0.15">
      <c r="B29" s="149"/>
      <c r="C29" s="148"/>
      <c r="D29" s="148"/>
      <c r="E29" s="148"/>
      <c r="F29" s="148"/>
      <c r="G29" s="148"/>
    </row>
    <row r="30" spans="2:7" ht="37.5" customHeight="1" x14ac:dyDescent="0.15">
      <c r="B30" s="149"/>
      <c r="C30" s="148"/>
      <c r="D30" s="148"/>
      <c r="E30" s="148"/>
      <c r="F30" s="148"/>
      <c r="G30" s="148"/>
    </row>
    <row r="31" spans="2:7" ht="37.5" customHeight="1" x14ac:dyDescent="0.15">
      <c r="B31" s="149"/>
      <c r="C31" s="148"/>
      <c r="D31" s="148"/>
      <c r="E31" s="148"/>
      <c r="F31" s="148"/>
      <c r="G31" s="148"/>
    </row>
    <row r="32" spans="2:7" ht="18.75" customHeight="1" x14ac:dyDescent="0.15">
      <c r="B32" s="149"/>
      <c r="C32" s="60" t="s">
        <v>68</v>
      </c>
      <c r="D32" s="144" t="s">
        <v>109</v>
      </c>
      <c r="E32" s="144"/>
      <c r="F32" s="144"/>
      <c r="G32" s="144"/>
    </row>
    <row r="33" spans="2:7" ht="18.75" customHeight="1" x14ac:dyDescent="0.15">
      <c r="B33" s="149"/>
      <c r="C33" s="92" t="s">
        <v>110</v>
      </c>
      <c r="D33" s="129" t="s">
        <v>111</v>
      </c>
      <c r="E33" s="129"/>
      <c r="F33" s="129"/>
      <c r="G33" s="129"/>
    </row>
    <row r="34" spans="2:7" ht="18.75" customHeight="1" x14ac:dyDescent="0.15">
      <c r="B34" s="149"/>
      <c r="C34" s="93"/>
      <c r="D34" s="129" t="s">
        <v>116</v>
      </c>
      <c r="E34" s="129"/>
      <c r="F34" s="129"/>
      <c r="G34" s="129"/>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118</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111</v>
      </c>
      <c r="E58" s="129"/>
      <c r="F58" s="129"/>
      <c r="G58" s="129"/>
    </row>
    <row r="59" spans="2:7" ht="18.75" customHeight="1" x14ac:dyDescent="0.15">
      <c r="B59" s="146"/>
      <c r="C59" s="93"/>
      <c r="D59" s="129" t="s">
        <v>116</v>
      </c>
      <c r="E59" s="129"/>
      <c r="F59" s="129"/>
      <c r="G59" s="129"/>
    </row>
    <row r="60" spans="2:7" ht="18.75" customHeight="1" x14ac:dyDescent="0.15">
      <c r="B60" s="146"/>
      <c r="C60" s="59"/>
      <c r="D60" s="150"/>
      <c r="E60" s="150"/>
      <c r="F60" s="150"/>
      <c r="G60" s="150"/>
    </row>
    <row r="61" spans="2:7" ht="18.75" customHeight="1" x14ac:dyDescent="0.15">
      <c r="B61" s="146"/>
      <c r="C61" s="59"/>
      <c r="D61" s="150"/>
      <c r="E61" s="150"/>
      <c r="F61" s="150"/>
      <c r="G61" s="150"/>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120</v>
      </c>
      <c r="D77" s="148"/>
      <c r="E77" s="148"/>
      <c r="F77" s="148"/>
      <c r="G77" s="148"/>
    </row>
    <row r="78" spans="2:7" ht="37.5" customHeight="1" x14ac:dyDescent="0.15">
      <c r="B78" s="146"/>
      <c r="C78" s="148"/>
      <c r="D78" s="148"/>
      <c r="E78" s="148"/>
      <c r="F78" s="148"/>
      <c r="G78" s="148"/>
    </row>
    <row r="79" spans="2:7" ht="37.5" customHeight="1" x14ac:dyDescent="0.15">
      <c r="B79" s="146"/>
      <c r="C79" s="148"/>
      <c r="D79" s="148"/>
      <c r="E79" s="148"/>
      <c r="F79" s="148"/>
      <c r="G79" s="148"/>
    </row>
    <row r="80" spans="2:7" ht="37.5" customHeight="1" x14ac:dyDescent="0.15">
      <c r="B80" s="146"/>
      <c r="C80" s="148"/>
      <c r="D80" s="148"/>
      <c r="E80" s="148"/>
      <c r="F80" s="148"/>
      <c r="G80" s="148"/>
    </row>
    <row r="81" spans="2:7" ht="37.5" customHeight="1" x14ac:dyDescent="0.15">
      <c r="B81" s="146"/>
      <c r="C81" s="148"/>
      <c r="D81" s="148"/>
      <c r="E81" s="148"/>
      <c r="F81" s="148"/>
      <c r="G81" s="148"/>
    </row>
    <row r="82" spans="2:7" ht="18.75" customHeight="1" x14ac:dyDescent="0.15">
      <c r="B82" s="146"/>
      <c r="C82" s="94" t="s">
        <v>68</v>
      </c>
      <c r="D82" s="128" t="s">
        <v>109</v>
      </c>
      <c r="E82" s="128"/>
      <c r="F82" s="128"/>
      <c r="G82" s="128"/>
    </row>
    <row r="83" spans="2:7" ht="18.75" customHeight="1" x14ac:dyDescent="0.15">
      <c r="B83" s="146"/>
      <c r="C83" s="92" t="s">
        <v>110</v>
      </c>
      <c r="D83" s="129" t="s">
        <v>121</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147" t="s">
        <v>123</v>
      </c>
      <c r="D102" s="147"/>
      <c r="E102" s="147"/>
      <c r="F102" s="147"/>
      <c r="G102" s="147"/>
    </row>
    <row r="103" spans="2:7" ht="37.5" customHeight="1" x14ac:dyDescent="0.15">
      <c r="B103" s="146"/>
      <c r="C103" s="147"/>
      <c r="D103" s="147"/>
      <c r="E103" s="147"/>
      <c r="F103" s="147"/>
      <c r="G103" s="147"/>
    </row>
    <row r="104" spans="2:7" ht="37.5" customHeight="1" x14ac:dyDescent="0.15">
      <c r="B104" s="146"/>
      <c r="C104" s="147"/>
      <c r="D104" s="147"/>
      <c r="E104" s="147"/>
      <c r="F104" s="147"/>
      <c r="G104" s="147"/>
    </row>
    <row r="105" spans="2:7" ht="37.5" customHeight="1" x14ac:dyDescent="0.15">
      <c r="B105" s="146"/>
      <c r="C105" s="147"/>
      <c r="D105" s="147"/>
      <c r="E105" s="147"/>
      <c r="F105" s="147"/>
      <c r="G105" s="147"/>
    </row>
    <row r="106" spans="2:7" ht="37.5" customHeight="1" x14ac:dyDescent="0.15">
      <c r="B106" s="146"/>
      <c r="C106" s="147"/>
      <c r="D106" s="147"/>
      <c r="E106" s="147"/>
      <c r="F106" s="147"/>
      <c r="G106" s="147"/>
    </row>
    <row r="107" spans="2:7" ht="18.75" customHeight="1" x14ac:dyDescent="0.15">
      <c r="B107" s="146"/>
      <c r="C107" s="94" t="s">
        <v>68</v>
      </c>
      <c r="D107" s="128" t="s">
        <v>109</v>
      </c>
      <c r="E107" s="128"/>
      <c r="F107" s="128"/>
      <c r="G107" s="128"/>
    </row>
    <row r="108" spans="2:7" ht="18.75" customHeight="1" x14ac:dyDescent="0.15">
      <c r="B108" s="146"/>
      <c r="C108" s="92" t="s">
        <v>110</v>
      </c>
      <c r="D108" s="129" t="s">
        <v>124</v>
      </c>
      <c r="E108" s="129"/>
      <c r="F108" s="129"/>
      <c r="G108" s="129"/>
    </row>
    <row r="109" spans="2:7" ht="18.75" customHeight="1" x14ac:dyDescent="0.15">
      <c r="B109" s="146"/>
      <c r="C109" s="93"/>
      <c r="D109" s="129" t="s">
        <v>125</v>
      </c>
      <c r="E109" s="129"/>
      <c r="F109" s="129"/>
      <c r="G109" s="129"/>
    </row>
    <row r="110" spans="2:7" ht="18.75" customHeight="1" x14ac:dyDescent="0.15">
      <c r="B110" s="146"/>
      <c r="C110" s="93"/>
      <c r="D110" s="129" t="s">
        <v>126</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2" t="s">
        <v>110</v>
      </c>
      <c r="D128" s="142"/>
      <c r="E128" s="142"/>
      <c r="F128" s="142"/>
      <c r="G128" s="142"/>
    </row>
    <row r="129" spans="1:7" ht="45" customHeight="1" x14ac:dyDescent="0.15">
      <c r="B129" s="61" t="s">
        <v>129</v>
      </c>
      <c r="C129" s="126"/>
      <c r="D129" s="126"/>
      <c r="E129" s="126"/>
      <c r="F129" s="126"/>
      <c r="G129" s="126"/>
    </row>
    <row r="130" spans="1:7" ht="45" customHeight="1" x14ac:dyDescent="0.15">
      <c r="B130" s="61" t="s">
        <v>130</v>
      </c>
      <c r="C130" s="126"/>
      <c r="D130" s="126"/>
      <c r="E130" s="126"/>
      <c r="F130" s="126"/>
      <c r="G130" s="126"/>
    </row>
    <row r="131" spans="1:7" ht="45" customHeight="1" x14ac:dyDescent="0.15">
      <c r="B131" s="61" t="s">
        <v>131</v>
      </c>
      <c r="C131" s="126"/>
      <c r="D131" s="126"/>
      <c r="E131" s="126"/>
      <c r="F131" s="126"/>
      <c r="G131" s="126"/>
    </row>
    <row r="132" spans="1:7" ht="45" customHeight="1" x14ac:dyDescent="0.15">
      <c r="B132" s="61" t="s">
        <v>132</v>
      </c>
      <c r="C132" s="126"/>
      <c r="D132" s="126"/>
      <c r="E132" s="126"/>
      <c r="F132" s="126"/>
      <c r="G132" s="126"/>
    </row>
    <row r="133" spans="1:7" ht="45" customHeight="1" x14ac:dyDescent="0.15">
      <c r="B133" s="61" t="s">
        <v>133</v>
      </c>
      <c r="C133" s="142" t="s">
        <v>110</v>
      </c>
      <c r="D133" s="142"/>
      <c r="E133" s="142"/>
      <c r="F133" s="142"/>
      <c r="G133" s="142"/>
    </row>
    <row r="134" spans="1:7" ht="45" customHeight="1" x14ac:dyDescent="0.15">
      <c r="B134" s="61" t="s">
        <v>134</v>
      </c>
      <c r="C134" s="126"/>
      <c r="D134" s="126"/>
      <c r="E134" s="126"/>
      <c r="F134" s="126"/>
      <c r="G134" s="126"/>
    </row>
    <row r="135" spans="1:7" ht="45" customHeight="1" x14ac:dyDescent="0.15">
      <c r="B135" s="61" t="s">
        <v>135</v>
      </c>
      <c r="C135" s="142" t="s">
        <v>110</v>
      </c>
      <c r="D135" s="142"/>
      <c r="E135" s="142"/>
      <c r="F135" s="142"/>
      <c r="G135" s="142"/>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41" t="s">
        <v>139</v>
      </c>
      <c r="C141" s="141"/>
      <c r="D141" s="141"/>
      <c r="E141" s="141"/>
      <c r="F141" s="141"/>
      <c r="G141" s="141"/>
    </row>
    <row r="142" spans="1:7" ht="18.75" customHeight="1" x14ac:dyDescent="0.15">
      <c r="B142" s="141"/>
      <c r="C142" s="141"/>
      <c r="D142" s="141"/>
      <c r="E142" s="141"/>
      <c r="F142" s="141"/>
      <c r="G142" s="141"/>
    </row>
    <row r="143" spans="1:7" ht="18.75" customHeight="1" x14ac:dyDescent="0.15">
      <c r="B143" s="141"/>
      <c r="C143" s="141"/>
      <c r="D143" s="141"/>
      <c r="E143" s="141"/>
      <c r="F143" s="141"/>
      <c r="G143" s="141"/>
    </row>
    <row r="144" spans="1:7" ht="18.75" customHeight="1" x14ac:dyDescent="0.15">
      <c r="B144" s="141"/>
      <c r="C144" s="141"/>
      <c r="D144" s="141"/>
      <c r="E144" s="141"/>
      <c r="F144" s="141"/>
      <c r="G144" s="1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7:G17"/>
    <mergeCell ref="D18:G18"/>
    <mergeCell ref="D19:G19"/>
    <mergeCell ref="D14:G14"/>
    <mergeCell ref="D15:G15"/>
    <mergeCell ref="D16:G16"/>
    <mergeCell ref="D23:G23"/>
    <mergeCell ref="D24:G24"/>
    <mergeCell ref="D25:G25"/>
    <mergeCell ref="D20:G20"/>
    <mergeCell ref="D21:G21"/>
    <mergeCell ref="D22:G22"/>
    <mergeCell ref="D35:G35"/>
    <mergeCell ref="D36:G36"/>
    <mergeCell ref="D37:G37"/>
    <mergeCell ref="D33:G33"/>
    <mergeCell ref="D34:G34"/>
    <mergeCell ref="C27:G31"/>
    <mergeCell ref="D32:G32"/>
    <mergeCell ref="D41:G41"/>
    <mergeCell ref="D42:G42"/>
    <mergeCell ref="D43:G43"/>
    <mergeCell ref="D38:G38"/>
    <mergeCell ref="D39:G39"/>
    <mergeCell ref="D40:G40"/>
    <mergeCell ref="D47:G47"/>
    <mergeCell ref="D48:G48"/>
    <mergeCell ref="D49:G49"/>
    <mergeCell ref="D44:G44"/>
    <mergeCell ref="D45:G45"/>
    <mergeCell ref="D46:G46"/>
    <mergeCell ref="D50:G50"/>
    <mergeCell ref="B51:B75"/>
    <mergeCell ref="C51:G51"/>
    <mergeCell ref="C52:G56"/>
    <mergeCell ref="B26:B50"/>
    <mergeCell ref="C26:G26"/>
    <mergeCell ref="D60:G60"/>
    <mergeCell ref="D61:G61"/>
    <mergeCell ref="D62:G62"/>
    <mergeCell ref="D57:G57"/>
    <mergeCell ref="D58:G58"/>
    <mergeCell ref="D59:G59"/>
    <mergeCell ref="D66:G66"/>
    <mergeCell ref="D67:G67"/>
    <mergeCell ref="D68:G68"/>
    <mergeCell ref="D63:G63"/>
    <mergeCell ref="D64:G64"/>
    <mergeCell ref="D65:G65"/>
    <mergeCell ref="D72:G72"/>
    <mergeCell ref="D73:G73"/>
    <mergeCell ref="D74:G74"/>
    <mergeCell ref="D69:G69"/>
    <mergeCell ref="D70:G70"/>
    <mergeCell ref="D71:G71"/>
    <mergeCell ref="D75:G75"/>
    <mergeCell ref="B76:B100"/>
    <mergeCell ref="C76:G76"/>
    <mergeCell ref="C77:G81"/>
    <mergeCell ref="D85:G85"/>
    <mergeCell ref="D86:G86"/>
    <mergeCell ref="D87:G87"/>
    <mergeCell ref="D82:G82"/>
    <mergeCell ref="D83:G83"/>
    <mergeCell ref="D84:G84"/>
    <mergeCell ref="D91:G91"/>
    <mergeCell ref="D92:G92"/>
    <mergeCell ref="D93:G93"/>
    <mergeCell ref="D88:G88"/>
    <mergeCell ref="D89:G89"/>
    <mergeCell ref="D90:G90"/>
    <mergeCell ref="D97:G97"/>
    <mergeCell ref="D98:G98"/>
    <mergeCell ref="D99:G99"/>
    <mergeCell ref="D94:G94"/>
    <mergeCell ref="D95:G95"/>
    <mergeCell ref="D96:G96"/>
    <mergeCell ref="D107:G107"/>
    <mergeCell ref="D108:G108"/>
    <mergeCell ref="D109:G109"/>
    <mergeCell ref="D100:G100"/>
    <mergeCell ref="B101:B125"/>
    <mergeCell ref="C101:G101"/>
    <mergeCell ref="C102:G106"/>
    <mergeCell ref="D114:G114"/>
    <mergeCell ref="D115:G115"/>
    <mergeCell ref="D116:G116"/>
    <mergeCell ref="D110:G110"/>
    <mergeCell ref="D111:G111"/>
    <mergeCell ref="D112:G112"/>
    <mergeCell ref="D113:G113"/>
    <mergeCell ref="D117:G117"/>
    <mergeCell ref="D118:G118"/>
    <mergeCell ref="D119:G119"/>
    <mergeCell ref="D120:G120"/>
    <mergeCell ref="D124:G124"/>
    <mergeCell ref="D125:G125"/>
    <mergeCell ref="E138:G138"/>
    <mergeCell ref="B141:G144"/>
    <mergeCell ref="C134:G134"/>
    <mergeCell ref="C135:G135"/>
    <mergeCell ref="C136:G136"/>
    <mergeCell ref="C127:G127"/>
    <mergeCell ref="D121:G121"/>
    <mergeCell ref="D122:G122"/>
    <mergeCell ref="D123:G123"/>
    <mergeCell ref="C131:G131"/>
    <mergeCell ref="C132:G132"/>
    <mergeCell ref="C133:G133"/>
    <mergeCell ref="C128:G128"/>
    <mergeCell ref="C129:G129"/>
    <mergeCell ref="C130:G130"/>
  </mergeCells>
  <phoneticPr fontId="18"/>
  <hyperlinks>
    <hyperlink ref="E138:G138" r:id="rId1" display="https://www.iess.ccsv.okayama-u.ac.jp/kikan/ds/literacylevel/" xr:uid="{E2B16E10-87F7-41B2-8E62-99F85BA46FF3}"/>
  </hyperlinks>
  <printOptions horizontalCentered="1"/>
  <pageMargins left="0.78749999999999998" right="0.78749999999999998" top="0.59027777777777801" bottom="0.39374999999999999" header="0.51180555555555496" footer="0.51180555555555496"/>
  <pageSetup paperSize="9" scale="65" firstPageNumber="0" fitToHeight="0" orientation="portrait" horizontalDpi="300" verticalDpi="300" r:id="rId2"/>
  <rowBreaks count="2" manualBreakCount="2">
    <brk id="50" max="16383" man="1"/>
    <brk id="10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2176-6673-4FB9-80A8-68B91F00B475}">
  <sheetPr>
    <pageSetUpPr fitToPage="1"/>
  </sheetPr>
  <dimension ref="A1:I150"/>
  <sheetViews>
    <sheetView view="pageBreakPreview" topLeftCell="A127" zoomScale="90" zoomScaleNormal="100" zoomScaleSheetLayoutView="90" zoomScalePageLayoutView="130"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2.375" style="26" customWidth="1"/>
    <col min="9" max="9" width="9" style="26"/>
  </cols>
  <sheetData>
    <row r="1" spans="1:7" ht="18.75" customHeight="1" x14ac:dyDescent="0.15">
      <c r="G1" s="58" t="s">
        <v>140</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8" t="s">
        <v>141</v>
      </c>
      <c r="D6" s="152"/>
      <c r="E6" s="152"/>
      <c r="F6" s="152"/>
      <c r="G6" s="152"/>
    </row>
    <row r="7" spans="1:7" s="30" customFormat="1" ht="45" customHeight="1" x14ac:dyDescent="0.15">
      <c r="B7" s="146"/>
      <c r="C7" s="152"/>
      <c r="D7" s="152"/>
      <c r="E7" s="152"/>
      <c r="F7" s="152"/>
      <c r="G7" s="152"/>
    </row>
    <row r="8" spans="1:7" s="30" customFormat="1" ht="45" customHeight="1" x14ac:dyDescent="0.15">
      <c r="B8" s="146"/>
      <c r="C8" s="152"/>
      <c r="D8" s="152"/>
      <c r="E8" s="152"/>
      <c r="F8" s="152"/>
      <c r="G8" s="152"/>
    </row>
    <row r="9" spans="1:7" s="30" customFormat="1" ht="45" customHeight="1" x14ac:dyDescent="0.15">
      <c r="B9" s="146"/>
      <c r="C9" s="152"/>
      <c r="D9" s="152"/>
      <c r="E9" s="152"/>
      <c r="F9" s="152"/>
      <c r="G9" s="152"/>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142</v>
      </c>
      <c r="E11" s="129"/>
      <c r="F11" s="129"/>
      <c r="G11" s="129"/>
    </row>
    <row r="12" spans="1:7" s="30" customFormat="1" ht="18.75" customHeight="1" x14ac:dyDescent="0.15">
      <c r="B12" s="146"/>
      <c r="C12" s="100"/>
      <c r="D12" s="150"/>
      <c r="E12" s="150"/>
      <c r="F12" s="150"/>
      <c r="G12" s="150"/>
    </row>
    <row r="13" spans="1:7" s="30" customFormat="1" ht="18.75" customHeight="1" x14ac:dyDescent="0.15">
      <c r="B13" s="146"/>
      <c r="C13" s="100"/>
      <c r="D13" s="113"/>
      <c r="E13" s="113"/>
      <c r="F13" s="113"/>
      <c r="G13" s="113"/>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8" t="s">
        <v>143</v>
      </c>
      <c r="D27" s="152"/>
      <c r="E27" s="152"/>
      <c r="F27" s="152"/>
      <c r="G27" s="152"/>
    </row>
    <row r="28" spans="2:7" ht="37.5" customHeight="1" x14ac:dyDescent="0.15">
      <c r="B28" s="149"/>
      <c r="C28" s="152"/>
      <c r="D28" s="152"/>
      <c r="E28" s="152"/>
      <c r="F28" s="152"/>
      <c r="G28" s="152"/>
    </row>
    <row r="29" spans="2:7" ht="37.5" customHeight="1" x14ac:dyDescent="0.15">
      <c r="B29" s="149"/>
      <c r="C29" s="152"/>
      <c r="D29" s="152"/>
      <c r="E29" s="152"/>
      <c r="F29" s="152"/>
      <c r="G29" s="152"/>
    </row>
    <row r="30" spans="2:7" ht="37.5" customHeight="1" x14ac:dyDescent="0.15">
      <c r="B30" s="149"/>
      <c r="C30" s="152"/>
      <c r="D30" s="152"/>
      <c r="E30" s="152"/>
      <c r="F30" s="152"/>
      <c r="G30" s="152"/>
    </row>
    <row r="31" spans="2:7" ht="37.5" customHeight="1" x14ac:dyDescent="0.15">
      <c r="B31" s="149"/>
      <c r="C31" s="152"/>
      <c r="D31" s="152"/>
      <c r="E31" s="152"/>
      <c r="F31" s="152"/>
      <c r="G31" s="152"/>
    </row>
    <row r="32" spans="2:7" ht="18.75" customHeight="1" x14ac:dyDescent="0.15">
      <c r="B32" s="149"/>
      <c r="C32" s="60" t="s">
        <v>68</v>
      </c>
      <c r="D32" s="144" t="s">
        <v>109</v>
      </c>
      <c r="E32" s="144"/>
      <c r="F32" s="144"/>
      <c r="G32" s="144"/>
    </row>
    <row r="33" spans="2:7" ht="18.75" customHeight="1" x14ac:dyDescent="0.15">
      <c r="B33" s="149"/>
      <c r="C33" s="92" t="s">
        <v>110</v>
      </c>
      <c r="D33" s="129" t="s">
        <v>144</v>
      </c>
      <c r="E33" s="129"/>
      <c r="F33" s="129"/>
      <c r="G33" s="129"/>
    </row>
    <row r="34" spans="2:7" ht="18.75" customHeight="1" x14ac:dyDescent="0.15">
      <c r="B34" s="149"/>
      <c r="C34" s="59"/>
      <c r="D34" s="150"/>
      <c r="E34" s="150"/>
      <c r="F34" s="150"/>
      <c r="G34" s="150"/>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145</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146</v>
      </c>
      <c r="E58" s="129"/>
      <c r="F58" s="129"/>
      <c r="G58" s="129"/>
    </row>
    <row r="59" spans="2:7" ht="18.75" customHeight="1" x14ac:dyDescent="0.15">
      <c r="B59" s="146"/>
      <c r="C59" s="93"/>
      <c r="D59" s="129" t="s">
        <v>147</v>
      </c>
      <c r="E59" s="129"/>
      <c r="F59" s="129"/>
      <c r="G59" s="129"/>
    </row>
    <row r="60" spans="2:7" ht="18.75" customHeight="1" x14ac:dyDescent="0.15">
      <c r="B60" s="146"/>
      <c r="C60" s="93"/>
      <c r="D60" s="129" t="s">
        <v>148</v>
      </c>
      <c r="E60" s="129"/>
      <c r="F60" s="129"/>
      <c r="G60" s="129"/>
    </row>
    <row r="61" spans="2:7" ht="18.75" customHeight="1" x14ac:dyDescent="0.15">
      <c r="B61" s="146"/>
      <c r="C61" s="59"/>
      <c r="D61" s="150"/>
      <c r="E61" s="150"/>
      <c r="F61" s="150"/>
      <c r="G61" s="150"/>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149</v>
      </c>
      <c r="D77" s="152"/>
      <c r="E77" s="152"/>
      <c r="F77" s="152"/>
      <c r="G77" s="152"/>
    </row>
    <row r="78" spans="2:7" ht="37.5" customHeight="1" x14ac:dyDescent="0.15">
      <c r="B78" s="146"/>
      <c r="C78" s="152"/>
      <c r="D78" s="152"/>
      <c r="E78" s="152"/>
      <c r="F78" s="152"/>
      <c r="G78" s="152"/>
    </row>
    <row r="79" spans="2:7" ht="37.5" customHeight="1" x14ac:dyDescent="0.15">
      <c r="B79" s="146"/>
      <c r="C79" s="152"/>
      <c r="D79" s="152"/>
      <c r="E79" s="152"/>
      <c r="F79" s="152"/>
      <c r="G79" s="152"/>
    </row>
    <row r="80" spans="2:7" ht="37.5" customHeight="1" x14ac:dyDescent="0.15">
      <c r="B80" s="146"/>
      <c r="C80" s="152"/>
      <c r="D80" s="152"/>
      <c r="E80" s="152"/>
      <c r="F80" s="152"/>
      <c r="G80" s="152"/>
    </row>
    <row r="81" spans="2:7" ht="37.5" customHeight="1" x14ac:dyDescent="0.15">
      <c r="B81" s="146"/>
      <c r="C81" s="152"/>
      <c r="D81" s="152"/>
      <c r="E81" s="152"/>
      <c r="F81" s="152"/>
      <c r="G81" s="152"/>
    </row>
    <row r="82" spans="2:7" ht="18.75" customHeight="1" x14ac:dyDescent="0.15">
      <c r="B82" s="146"/>
      <c r="C82" s="60" t="s">
        <v>68</v>
      </c>
      <c r="D82" s="144" t="s">
        <v>109</v>
      </c>
      <c r="E82" s="144"/>
      <c r="F82" s="144"/>
      <c r="G82" s="144"/>
    </row>
    <row r="83" spans="2:7" ht="18.75" customHeight="1" x14ac:dyDescent="0.15">
      <c r="B83" s="146"/>
      <c r="C83" s="92" t="s">
        <v>110</v>
      </c>
      <c r="D83" s="129" t="s">
        <v>144</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148" t="s">
        <v>150</v>
      </c>
      <c r="D102" s="152"/>
      <c r="E102" s="152"/>
      <c r="F102" s="152"/>
      <c r="G102" s="152"/>
    </row>
    <row r="103" spans="2:7" ht="37.5" customHeight="1" x14ac:dyDescent="0.15">
      <c r="B103" s="146"/>
      <c r="C103" s="152"/>
      <c r="D103" s="152"/>
      <c r="E103" s="152"/>
      <c r="F103" s="152"/>
      <c r="G103" s="152"/>
    </row>
    <row r="104" spans="2:7" ht="37.5" customHeight="1" x14ac:dyDescent="0.15">
      <c r="B104" s="146"/>
      <c r="C104" s="152"/>
      <c r="D104" s="152"/>
      <c r="E104" s="152"/>
      <c r="F104" s="152"/>
      <c r="G104" s="152"/>
    </row>
    <row r="105" spans="2:7" ht="37.5" customHeight="1" x14ac:dyDescent="0.15">
      <c r="B105" s="146"/>
      <c r="C105" s="152"/>
      <c r="D105" s="152"/>
      <c r="E105" s="152"/>
      <c r="F105" s="152"/>
      <c r="G105" s="152"/>
    </row>
    <row r="106" spans="2:7" ht="37.5" customHeight="1" x14ac:dyDescent="0.15">
      <c r="B106" s="146"/>
      <c r="C106" s="152"/>
      <c r="D106" s="152"/>
      <c r="E106" s="152"/>
      <c r="F106" s="152"/>
      <c r="G106" s="152"/>
    </row>
    <row r="107" spans="2:7" ht="18.75" customHeight="1" x14ac:dyDescent="0.15">
      <c r="B107" s="146"/>
      <c r="C107" s="60" t="s">
        <v>68</v>
      </c>
      <c r="D107" s="144" t="s">
        <v>109</v>
      </c>
      <c r="E107" s="144"/>
      <c r="F107" s="144"/>
      <c r="G107" s="144"/>
    </row>
    <row r="108" spans="2:7" ht="18.75" customHeight="1" x14ac:dyDescent="0.15">
      <c r="B108" s="146"/>
      <c r="C108" s="92" t="s">
        <v>110</v>
      </c>
      <c r="D108" s="129" t="s">
        <v>151</v>
      </c>
      <c r="E108" s="129"/>
      <c r="F108" s="129"/>
      <c r="G108" s="129"/>
    </row>
    <row r="109" spans="2:7" ht="18.75" customHeight="1" x14ac:dyDescent="0.15">
      <c r="B109" s="146"/>
      <c r="C109" s="93"/>
      <c r="D109" s="129" t="s">
        <v>146</v>
      </c>
      <c r="E109" s="129"/>
      <c r="F109" s="129"/>
      <c r="G109" s="129"/>
    </row>
    <row r="110" spans="2:7" ht="18.75" customHeight="1" x14ac:dyDescent="0.15">
      <c r="B110" s="146"/>
      <c r="C110" s="93"/>
      <c r="D110" s="129" t="s">
        <v>152</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3" t="s">
        <v>153</v>
      </c>
      <c r="D128" s="143"/>
      <c r="E128" s="143"/>
      <c r="F128" s="143"/>
      <c r="G128" s="143"/>
    </row>
    <row r="129" spans="1:7" ht="45" customHeight="1" x14ac:dyDescent="0.15">
      <c r="B129" s="61" t="s">
        <v>129</v>
      </c>
      <c r="C129" s="143"/>
      <c r="D129" s="143"/>
      <c r="E129" s="143"/>
      <c r="F129" s="143"/>
      <c r="G129" s="143"/>
    </row>
    <row r="130" spans="1:7" ht="45" customHeight="1" x14ac:dyDescent="0.15">
      <c r="B130" s="61" t="s">
        <v>130</v>
      </c>
      <c r="C130" s="143"/>
      <c r="D130" s="143"/>
      <c r="E130" s="143"/>
      <c r="F130" s="143"/>
      <c r="G130" s="143"/>
    </row>
    <row r="131" spans="1:7" ht="45" customHeight="1" x14ac:dyDescent="0.15">
      <c r="B131" s="61" t="s">
        <v>131</v>
      </c>
      <c r="C131" s="143"/>
      <c r="D131" s="143"/>
      <c r="E131" s="143"/>
      <c r="F131" s="143"/>
      <c r="G131" s="143"/>
    </row>
    <row r="132" spans="1:7" ht="45" customHeight="1" x14ac:dyDescent="0.15">
      <c r="B132" s="61" t="s">
        <v>132</v>
      </c>
      <c r="C132" s="143"/>
      <c r="D132" s="143"/>
      <c r="E132" s="143"/>
      <c r="F132" s="143"/>
      <c r="G132" s="143"/>
    </row>
    <row r="133" spans="1:7" ht="45" customHeight="1" x14ac:dyDescent="0.15">
      <c r="B133" s="61" t="s">
        <v>133</v>
      </c>
      <c r="C133" s="143"/>
      <c r="D133" s="143"/>
      <c r="E133" s="143"/>
      <c r="F133" s="143"/>
      <c r="G133" s="143"/>
    </row>
    <row r="134" spans="1:7" ht="45" customHeight="1" x14ac:dyDescent="0.15">
      <c r="B134" s="61" t="s">
        <v>134</v>
      </c>
      <c r="C134" s="143" t="s">
        <v>153</v>
      </c>
      <c r="D134" s="143"/>
      <c r="E134" s="143"/>
      <c r="F134" s="143"/>
      <c r="G134" s="143"/>
    </row>
    <row r="135" spans="1:7" ht="45" customHeight="1" x14ac:dyDescent="0.15">
      <c r="B135" s="61" t="s">
        <v>135</v>
      </c>
      <c r="C135" s="143"/>
      <c r="D135" s="143"/>
      <c r="E135" s="143"/>
      <c r="F135" s="143"/>
      <c r="G135" s="143"/>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53" t="s">
        <v>154</v>
      </c>
      <c r="C141" s="153"/>
      <c r="D141" s="153"/>
      <c r="E141" s="153"/>
      <c r="F141" s="153"/>
      <c r="G141" s="153"/>
    </row>
    <row r="142" spans="1:7" ht="18.75" customHeight="1" x14ac:dyDescent="0.15">
      <c r="B142" s="153"/>
      <c r="C142" s="153"/>
      <c r="D142" s="153"/>
      <c r="E142" s="153"/>
      <c r="F142" s="153"/>
      <c r="G142" s="153"/>
    </row>
    <row r="143" spans="1:7" ht="18.75" customHeight="1" x14ac:dyDescent="0.15">
      <c r="B143" s="153"/>
      <c r="C143" s="153"/>
      <c r="D143" s="153"/>
      <c r="E143" s="153"/>
      <c r="F143" s="153"/>
      <c r="G143" s="153"/>
    </row>
    <row r="144" spans="1:7" ht="18.75" customHeight="1" x14ac:dyDescent="0.15">
      <c r="B144" s="153"/>
      <c r="C144" s="153"/>
      <c r="D144" s="153"/>
      <c r="E144" s="153"/>
      <c r="F144" s="153"/>
      <c r="G144" s="153"/>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E138:G138"/>
    <mergeCell ref="B141:G144"/>
    <mergeCell ref="C134:G134"/>
    <mergeCell ref="C135:G135"/>
    <mergeCell ref="C136:G136"/>
    <mergeCell ref="C131:G131"/>
    <mergeCell ref="C132:G132"/>
    <mergeCell ref="C133:G133"/>
    <mergeCell ref="C128:G128"/>
    <mergeCell ref="C129:G129"/>
    <mergeCell ref="C130:G130"/>
    <mergeCell ref="C127:G127"/>
    <mergeCell ref="D121:G121"/>
    <mergeCell ref="D122:G122"/>
    <mergeCell ref="D123:G123"/>
    <mergeCell ref="D111:G111"/>
    <mergeCell ref="D112:G112"/>
    <mergeCell ref="D113:G113"/>
    <mergeCell ref="D117:G117"/>
    <mergeCell ref="D118:G118"/>
    <mergeCell ref="D119:G119"/>
    <mergeCell ref="D120:G120"/>
    <mergeCell ref="D107:G107"/>
    <mergeCell ref="D108:G108"/>
    <mergeCell ref="D109:G109"/>
    <mergeCell ref="D100:G100"/>
    <mergeCell ref="B101:B125"/>
    <mergeCell ref="C101:G101"/>
    <mergeCell ref="C102:G106"/>
    <mergeCell ref="D114:G114"/>
    <mergeCell ref="D115:G115"/>
    <mergeCell ref="D116:G116"/>
    <mergeCell ref="D110:G110"/>
    <mergeCell ref="D124:G124"/>
    <mergeCell ref="D125:G125"/>
    <mergeCell ref="D88:G88"/>
    <mergeCell ref="D89:G89"/>
    <mergeCell ref="D90:G90"/>
    <mergeCell ref="D75:G75"/>
    <mergeCell ref="B76:B100"/>
    <mergeCell ref="C76:G76"/>
    <mergeCell ref="C77:G81"/>
    <mergeCell ref="D85:G85"/>
    <mergeCell ref="D86:G86"/>
    <mergeCell ref="D87:G87"/>
    <mergeCell ref="D82:G82"/>
    <mergeCell ref="D83:G83"/>
    <mergeCell ref="D84:G84"/>
    <mergeCell ref="D97:G97"/>
    <mergeCell ref="D98:G98"/>
    <mergeCell ref="D99:G99"/>
    <mergeCell ref="D94:G94"/>
    <mergeCell ref="D95:G95"/>
    <mergeCell ref="D96:G96"/>
    <mergeCell ref="D91:G91"/>
    <mergeCell ref="D92:G92"/>
    <mergeCell ref="D93:G93"/>
    <mergeCell ref="D72:G72"/>
    <mergeCell ref="D73:G73"/>
    <mergeCell ref="D74:G74"/>
    <mergeCell ref="D69:G69"/>
    <mergeCell ref="D70:G70"/>
    <mergeCell ref="D71:G71"/>
    <mergeCell ref="D59:G59"/>
    <mergeCell ref="D66:G66"/>
    <mergeCell ref="D67:G67"/>
    <mergeCell ref="D68:G68"/>
    <mergeCell ref="D63:G63"/>
    <mergeCell ref="D64:G64"/>
    <mergeCell ref="D65:G65"/>
    <mergeCell ref="D50:G50"/>
    <mergeCell ref="B51:B75"/>
    <mergeCell ref="C51:G51"/>
    <mergeCell ref="C52:G56"/>
    <mergeCell ref="B26:B50"/>
    <mergeCell ref="C26:G26"/>
    <mergeCell ref="D60:G60"/>
    <mergeCell ref="D61:G61"/>
    <mergeCell ref="D62:G62"/>
    <mergeCell ref="D57:G57"/>
    <mergeCell ref="D58:G58"/>
    <mergeCell ref="D48:G48"/>
    <mergeCell ref="D49:G49"/>
    <mergeCell ref="D44:G44"/>
    <mergeCell ref="D45:G45"/>
    <mergeCell ref="D46:G46"/>
    <mergeCell ref="D43:G43"/>
    <mergeCell ref="D38:G38"/>
    <mergeCell ref="D39:G39"/>
    <mergeCell ref="D40:G40"/>
    <mergeCell ref="D47:G47"/>
    <mergeCell ref="D35:G35"/>
    <mergeCell ref="D36:G36"/>
    <mergeCell ref="D37:G37"/>
    <mergeCell ref="D33:G33"/>
    <mergeCell ref="D34:G34"/>
    <mergeCell ref="C27:G31"/>
    <mergeCell ref="D32:G32"/>
    <mergeCell ref="D41:G41"/>
    <mergeCell ref="D42:G42"/>
    <mergeCell ref="D24:G24"/>
    <mergeCell ref="D25:G25"/>
    <mergeCell ref="D20:G20"/>
    <mergeCell ref="D21:G21"/>
    <mergeCell ref="D22:G22"/>
    <mergeCell ref="D19:G19"/>
    <mergeCell ref="D14:G14"/>
    <mergeCell ref="D15:G15"/>
    <mergeCell ref="D16:G16"/>
    <mergeCell ref="D23:G23"/>
    <mergeCell ref="A3:G3"/>
    <mergeCell ref="C5:G5"/>
    <mergeCell ref="B6:B25"/>
    <mergeCell ref="C6:G9"/>
    <mergeCell ref="D10:G10"/>
    <mergeCell ref="D11:G11"/>
    <mergeCell ref="D12:G12"/>
    <mergeCell ref="D13:G13"/>
    <mergeCell ref="D17:G17"/>
    <mergeCell ref="D18:G18"/>
  </mergeCells>
  <phoneticPr fontId="18"/>
  <hyperlinks>
    <hyperlink ref="E138:G138" r:id="rId1" display="https://www.iess.ccsv.okayama-u.ac.jp/kikan/ds/literacylevel/" xr:uid="{A9BBAE92-58E7-4834-9382-AC3EE6D53837}"/>
  </hyperlinks>
  <printOptions horizontalCentered="1"/>
  <pageMargins left="0.78749999999999998" right="0.78749999999999998" top="0.59027777777777801" bottom="0.39374999999999999" header="0.51180555555555496" footer="0.51180555555555496"/>
  <pageSetup paperSize="9" scale="65" firstPageNumber="0" fitToHeight="0" orientation="portrait" horizontalDpi="300" verticalDpi="300" r:id="rId2"/>
  <rowBreaks count="2" manualBreakCount="2">
    <brk id="50" max="16383" man="1"/>
    <brk id="100"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40D6-9AB3-4B89-8A1C-A216579AF257}">
  <sheetPr>
    <pageSetUpPr fitToPage="1"/>
  </sheetPr>
  <dimension ref="A1:G150"/>
  <sheetViews>
    <sheetView view="pageBreakPreview" topLeftCell="A127" zoomScale="90" zoomScaleNormal="100" zoomScaleSheetLayoutView="90" workbookViewId="0">
      <selection activeCell="E138" sqref="E138:G138"/>
    </sheetView>
  </sheetViews>
  <sheetFormatPr defaultColWidth="9" defaultRowHeight="14.25" x14ac:dyDescent="0.15"/>
  <cols>
    <col min="1" max="1" width="2.375" style="95" customWidth="1"/>
    <col min="2" max="2" width="19" style="95" customWidth="1"/>
    <col min="3" max="3" width="25" style="95" customWidth="1"/>
    <col min="4" max="4" width="10" style="95" customWidth="1"/>
    <col min="5" max="7" width="25" style="95" customWidth="1"/>
    <col min="8" max="8" width="2.375" style="95" customWidth="1"/>
    <col min="9" max="16384" width="9" style="95"/>
  </cols>
  <sheetData>
    <row r="1" spans="1:7" ht="18.75" customHeight="1" x14ac:dyDescent="0.15">
      <c r="G1" s="96" t="s">
        <v>155</v>
      </c>
    </row>
    <row r="2" spans="1:7" ht="18.75" customHeight="1" x14ac:dyDescent="0.15">
      <c r="F2" s="96" t="s">
        <v>156</v>
      </c>
      <c r="G2" s="95" t="s">
        <v>157</v>
      </c>
    </row>
    <row r="3" spans="1:7" ht="18.75" customHeight="1" x14ac:dyDescent="0.15">
      <c r="A3" s="202" t="s">
        <v>158</v>
      </c>
      <c r="B3" s="202"/>
      <c r="C3" s="202"/>
      <c r="D3" s="202"/>
      <c r="E3" s="202"/>
      <c r="F3" s="202"/>
      <c r="G3" s="202"/>
    </row>
    <row r="4" spans="1:7" ht="18.75" customHeight="1" x14ac:dyDescent="0.15">
      <c r="A4" s="95" t="s">
        <v>159</v>
      </c>
      <c r="B4" s="95" t="s">
        <v>160</v>
      </c>
    </row>
    <row r="5" spans="1:7" s="97" customFormat="1" ht="18.75" customHeight="1" x14ac:dyDescent="0.15">
      <c r="A5" s="105"/>
      <c r="B5" s="108" t="s">
        <v>161</v>
      </c>
      <c r="C5" s="166" t="s">
        <v>162</v>
      </c>
      <c r="D5" s="167"/>
      <c r="E5" s="167"/>
      <c r="F5" s="167"/>
      <c r="G5" s="168"/>
    </row>
    <row r="6" spans="1:7" s="97" customFormat="1" ht="45" customHeight="1" x14ac:dyDescent="0.15">
      <c r="A6" s="105"/>
      <c r="B6" s="181" t="s">
        <v>163</v>
      </c>
      <c r="C6" s="183" t="s">
        <v>164</v>
      </c>
      <c r="D6" s="184"/>
      <c r="E6" s="184"/>
      <c r="F6" s="184"/>
      <c r="G6" s="185"/>
    </row>
    <row r="7" spans="1:7" s="97" customFormat="1" ht="45" customHeight="1" x14ac:dyDescent="0.15">
      <c r="A7" s="105"/>
      <c r="B7" s="182"/>
      <c r="C7" s="186"/>
      <c r="D7" s="187"/>
      <c r="E7" s="187"/>
      <c r="F7" s="187"/>
      <c r="G7" s="188"/>
    </row>
    <row r="8" spans="1:7" s="97" customFormat="1" ht="45" customHeight="1" x14ac:dyDescent="0.15">
      <c r="A8" s="105"/>
      <c r="B8" s="182"/>
      <c r="C8" s="186"/>
      <c r="D8" s="187"/>
      <c r="E8" s="187"/>
      <c r="F8" s="187"/>
      <c r="G8" s="188"/>
    </row>
    <row r="9" spans="1:7" s="97" customFormat="1" ht="45" customHeight="1" x14ac:dyDescent="0.15">
      <c r="A9" s="105"/>
      <c r="B9" s="182"/>
      <c r="C9" s="189"/>
      <c r="D9" s="190"/>
      <c r="E9" s="190"/>
      <c r="F9" s="190"/>
      <c r="G9" s="191"/>
    </row>
    <row r="10" spans="1:7" s="97" customFormat="1" ht="18.75" customHeight="1" x14ac:dyDescent="0.15">
      <c r="A10" s="105"/>
      <c r="B10" s="182"/>
      <c r="C10" s="98" t="s">
        <v>165</v>
      </c>
      <c r="D10" s="203" t="s">
        <v>166</v>
      </c>
      <c r="E10" s="204"/>
      <c r="F10" s="204"/>
      <c r="G10" s="205"/>
    </row>
    <row r="11" spans="1:7" s="97" customFormat="1" ht="18.75" customHeight="1" x14ac:dyDescent="0.15">
      <c r="A11" s="105"/>
      <c r="B11" s="182"/>
      <c r="C11" s="106" t="s">
        <v>167</v>
      </c>
      <c r="D11" s="175" t="s">
        <v>168</v>
      </c>
      <c r="E11" s="176"/>
      <c r="F11" s="176"/>
      <c r="G11" s="177"/>
    </row>
    <row r="12" spans="1:7" s="97" customFormat="1" ht="18.75" customHeight="1" x14ac:dyDescent="0.15">
      <c r="A12" s="105"/>
      <c r="B12" s="182"/>
      <c r="C12" s="106"/>
      <c r="D12" s="175" t="s">
        <v>169</v>
      </c>
      <c r="E12" s="176"/>
      <c r="F12" s="176"/>
      <c r="G12" s="177"/>
    </row>
    <row r="13" spans="1:7" s="97" customFormat="1" ht="18.75" customHeight="1" x14ac:dyDescent="0.15">
      <c r="A13" s="105"/>
      <c r="B13" s="182"/>
      <c r="C13" s="107"/>
      <c r="D13" s="206"/>
      <c r="E13" s="207"/>
      <c r="F13" s="207"/>
      <c r="G13" s="208"/>
    </row>
    <row r="14" spans="1:7" s="97" customFormat="1" ht="18.75" customHeight="1" x14ac:dyDescent="0.15">
      <c r="A14" s="105"/>
      <c r="B14" s="182"/>
      <c r="C14" s="107"/>
      <c r="D14" s="206"/>
      <c r="E14" s="207"/>
      <c r="F14" s="207"/>
      <c r="G14" s="208"/>
    </row>
    <row r="15" spans="1:7" s="97" customFormat="1" ht="18.75" customHeight="1" x14ac:dyDescent="0.15">
      <c r="A15" s="105"/>
      <c r="B15" s="182"/>
      <c r="C15" s="108"/>
      <c r="D15" s="166"/>
      <c r="E15" s="167"/>
      <c r="F15" s="167"/>
      <c r="G15" s="168"/>
    </row>
    <row r="16" spans="1:7" s="97" customFormat="1" ht="18.75" customHeight="1" x14ac:dyDescent="0.15">
      <c r="A16" s="105"/>
      <c r="B16" s="182"/>
      <c r="C16" s="108"/>
      <c r="D16" s="166"/>
      <c r="E16" s="167"/>
      <c r="F16" s="167"/>
      <c r="G16" s="168"/>
    </row>
    <row r="17" spans="2:7" s="97" customFormat="1" ht="18.75" customHeight="1" x14ac:dyDescent="0.15">
      <c r="B17" s="182"/>
      <c r="C17" s="108"/>
      <c r="D17" s="166"/>
      <c r="E17" s="167"/>
      <c r="F17" s="167"/>
      <c r="G17" s="168"/>
    </row>
    <row r="18" spans="2:7" s="97" customFormat="1" ht="18.75" customHeight="1" x14ac:dyDescent="0.15">
      <c r="B18" s="182"/>
      <c r="C18" s="108"/>
      <c r="D18" s="166"/>
      <c r="E18" s="167"/>
      <c r="F18" s="167"/>
      <c r="G18" s="168"/>
    </row>
    <row r="19" spans="2:7" s="97" customFormat="1" ht="18.75" customHeight="1" x14ac:dyDescent="0.15">
      <c r="B19" s="182"/>
      <c r="C19" s="108"/>
      <c r="D19" s="166"/>
      <c r="E19" s="167"/>
      <c r="F19" s="167"/>
      <c r="G19" s="168"/>
    </row>
    <row r="20" spans="2:7" s="97" customFormat="1" ht="18.75" customHeight="1" x14ac:dyDescent="0.15">
      <c r="B20" s="182"/>
      <c r="C20" s="108"/>
      <c r="D20" s="166"/>
      <c r="E20" s="167"/>
      <c r="F20" s="167"/>
      <c r="G20" s="168"/>
    </row>
    <row r="21" spans="2:7" s="97" customFormat="1" ht="18.75" customHeight="1" x14ac:dyDescent="0.15">
      <c r="B21" s="182"/>
      <c r="C21" s="108"/>
      <c r="D21" s="166"/>
      <c r="E21" s="167"/>
      <c r="F21" s="167"/>
      <c r="G21" s="168"/>
    </row>
    <row r="22" spans="2:7" s="97" customFormat="1" ht="18.75" customHeight="1" x14ac:dyDescent="0.15">
      <c r="B22" s="182"/>
      <c r="C22" s="108"/>
      <c r="D22" s="166"/>
      <c r="E22" s="167"/>
      <c r="F22" s="167"/>
      <c r="G22" s="168"/>
    </row>
    <row r="23" spans="2:7" s="97" customFormat="1" ht="18.75" customHeight="1" x14ac:dyDescent="0.15">
      <c r="B23" s="182"/>
      <c r="C23" s="108"/>
      <c r="D23" s="166"/>
      <c r="E23" s="167"/>
      <c r="F23" s="167"/>
      <c r="G23" s="168"/>
    </row>
    <row r="24" spans="2:7" s="97" customFormat="1" ht="18.75" customHeight="1" x14ac:dyDescent="0.15">
      <c r="B24" s="182"/>
      <c r="C24" s="108"/>
      <c r="D24" s="166"/>
      <c r="E24" s="167"/>
      <c r="F24" s="167"/>
      <c r="G24" s="168"/>
    </row>
    <row r="25" spans="2:7" s="97" customFormat="1" ht="18.75" customHeight="1" x14ac:dyDescent="0.15">
      <c r="B25" s="182"/>
      <c r="C25" s="108"/>
      <c r="D25" s="166"/>
      <c r="E25" s="167"/>
      <c r="F25" s="167"/>
      <c r="G25" s="168"/>
    </row>
    <row r="26" spans="2:7" ht="18.75" customHeight="1" x14ac:dyDescent="0.15">
      <c r="B26" s="181" t="s">
        <v>170</v>
      </c>
      <c r="C26" s="166" t="s">
        <v>162</v>
      </c>
      <c r="D26" s="167"/>
      <c r="E26" s="167"/>
      <c r="F26" s="167"/>
      <c r="G26" s="168"/>
    </row>
    <row r="27" spans="2:7" ht="37.5" customHeight="1" x14ac:dyDescent="0.15">
      <c r="B27" s="182"/>
      <c r="C27" s="192" t="s">
        <v>171</v>
      </c>
      <c r="D27" s="193"/>
      <c r="E27" s="193"/>
      <c r="F27" s="193"/>
      <c r="G27" s="194"/>
    </row>
    <row r="28" spans="2:7" ht="37.5" customHeight="1" x14ac:dyDescent="0.15">
      <c r="B28" s="182"/>
      <c r="C28" s="195"/>
      <c r="D28" s="196"/>
      <c r="E28" s="196"/>
      <c r="F28" s="196"/>
      <c r="G28" s="197"/>
    </row>
    <row r="29" spans="2:7" ht="37.5" customHeight="1" x14ac:dyDescent="0.15">
      <c r="B29" s="182"/>
      <c r="C29" s="195"/>
      <c r="D29" s="196"/>
      <c r="E29" s="196"/>
      <c r="F29" s="196"/>
      <c r="G29" s="197"/>
    </row>
    <row r="30" spans="2:7" ht="37.5" customHeight="1" x14ac:dyDescent="0.15">
      <c r="B30" s="182"/>
      <c r="C30" s="195"/>
      <c r="D30" s="196"/>
      <c r="E30" s="196"/>
      <c r="F30" s="196"/>
      <c r="G30" s="197"/>
    </row>
    <row r="31" spans="2:7" ht="37.5" customHeight="1" x14ac:dyDescent="0.15">
      <c r="B31" s="182"/>
      <c r="C31" s="198"/>
      <c r="D31" s="199"/>
      <c r="E31" s="199"/>
      <c r="F31" s="199"/>
      <c r="G31" s="200"/>
    </row>
    <row r="32" spans="2:7" ht="18.75" customHeight="1" x14ac:dyDescent="0.15">
      <c r="B32" s="182"/>
      <c r="C32" s="98" t="s">
        <v>165</v>
      </c>
      <c r="D32" s="166" t="s">
        <v>166</v>
      </c>
      <c r="E32" s="167"/>
      <c r="F32" s="167"/>
      <c r="G32" s="168"/>
    </row>
    <row r="33" spans="2:7" ht="18.75" customHeight="1" x14ac:dyDescent="0.15">
      <c r="B33" s="182"/>
      <c r="C33" s="106" t="s">
        <v>167</v>
      </c>
      <c r="D33" s="175" t="s">
        <v>172</v>
      </c>
      <c r="E33" s="176"/>
      <c r="F33" s="176"/>
      <c r="G33" s="177"/>
    </row>
    <row r="34" spans="2:7" ht="18.75" customHeight="1" x14ac:dyDescent="0.15">
      <c r="B34" s="182"/>
      <c r="C34" s="109"/>
      <c r="D34" s="175" t="s">
        <v>173</v>
      </c>
      <c r="E34" s="176"/>
      <c r="F34" s="176"/>
      <c r="G34" s="177"/>
    </row>
    <row r="35" spans="2:7" ht="18.75" customHeight="1" x14ac:dyDescent="0.15">
      <c r="B35" s="182"/>
      <c r="C35" s="108"/>
      <c r="D35" s="169"/>
      <c r="E35" s="170"/>
      <c r="F35" s="170"/>
      <c r="G35" s="171"/>
    </row>
    <row r="36" spans="2:7" ht="18.75" customHeight="1" x14ac:dyDescent="0.15">
      <c r="B36" s="182"/>
      <c r="C36" s="108"/>
      <c r="D36" s="169"/>
      <c r="E36" s="170"/>
      <c r="F36" s="170"/>
      <c r="G36" s="171"/>
    </row>
    <row r="37" spans="2:7" ht="18.75" customHeight="1" x14ac:dyDescent="0.15">
      <c r="B37" s="182"/>
      <c r="C37" s="108"/>
      <c r="D37" s="169"/>
      <c r="E37" s="170"/>
      <c r="F37" s="170"/>
      <c r="G37" s="171"/>
    </row>
    <row r="38" spans="2:7" ht="18.75" customHeight="1" x14ac:dyDescent="0.15">
      <c r="B38" s="182"/>
      <c r="C38" s="108"/>
      <c r="D38" s="169"/>
      <c r="E38" s="170"/>
      <c r="F38" s="170"/>
      <c r="G38" s="171"/>
    </row>
    <row r="39" spans="2:7" ht="18.75" customHeight="1" x14ac:dyDescent="0.15">
      <c r="B39" s="182"/>
      <c r="C39" s="108"/>
      <c r="D39" s="169"/>
      <c r="E39" s="170"/>
      <c r="F39" s="170"/>
      <c r="G39" s="171"/>
    </row>
    <row r="40" spans="2:7" ht="18.75" customHeight="1" x14ac:dyDescent="0.15">
      <c r="B40" s="182"/>
      <c r="C40" s="108"/>
      <c r="D40" s="169"/>
      <c r="E40" s="170"/>
      <c r="F40" s="170"/>
      <c r="G40" s="171"/>
    </row>
    <row r="41" spans="2:7" ht="18.75" customHeight="1" x14ac:dyDescent="0.15">
      <c r="B41" s="182"/>
      <c r="C41" s="108"/>
      <c r="D41" s="169"/>
      <c r="E41" s="170"/>
      <c r="F41" s="170"/>
      <c r="G41" s="171"/>
    </row>
    <row r="42" spans="2:7" ht="18.75" customHeight="1" x14ac:dyDescent="0.15">
      <c r="B42" s="182"/>
      <c r="C42" s="108"/>
      <c r="D42" s="169"/>
      <c r="E42" s="170"/>
      <c r="F42" s="170"/>
      <c r="G42" s="171"/>
    </row>
    <row r="43" spans="2:7" ht="18.75" customHeight="1" x14ac:dyDescent="0.15">
      <c r="B43" s="182"/>
      <c r="C43" s="108"/>
      <c r="D43" s="169"/>
      <c r="E43" s="170"/>
      <c r="F43" s="170"/>
      <c r="G43" s="171"/>
    </row>
    <row r="44" spans="2:7" ht="18.75" customHeight="1" x14ac:dyDescent="0.15">
      <c r="B44" s="182"/>
      <c r="C44" s="108"/>
      <c r="D44" s="169"/>
      <c r="E44" s="170"/>
      <c r="F44" s="170"/>
      <c r="G44" s="171"/>
    </row>
    <row r="45" spans="2:7" ht="18.75" customHeight="1" x14ac:dyDescent="0.15">
      <c r="B45" s="182"/>
      <c r="C45" s="108"/>
      <c r="D45" s="169"/>
      <c r="E45" s="170"/>
      <c r="F45" s="170"/>
      <c r="G45" s="171"/>
    </row>
    <row r="46" spans="2:7" ht="18.75" customHeight="1" x14ac:dyDescent="0.15">
      <c r="B46" s="182"/>
      <c r="C46" s="108"/>
      <c r="D46" s="169"/>
      <c r="E46" s="170"/>
      <c r="F46" s="170"/>
      <c r="G46" s="171"/>
    </row>
    <row r="47" spans="2:7" ht="18.75" customHeight="1" x14ac:dyDescent="0.15">
      <c r="B47" s="182"/>
      <c r="C47" s="108"/>
      <c r="D47" s="169"/>
      <c r="E47" s="170"/>
      <c r="F47" s="170"/>
      <c r="G47" s="171"/>
    </row>
    <row r="48" spans="2:7" ht="18.75" customHeight="1" x14ac:dyDescent="0.15">
      <c r="B48" s="182"/>
      <c r="C48" s="108"/>
      <c r="D48" s="169"/>
      <c r="E48" s="170"/>
      <c r="F48" s="170"/>
      <c r="G48" s="171"/>
    </row>
    <row r="49" spans="2:7" ht="18.75" customHeight="1" x14ac:dyDescent="0.15">
      <c r="B49" s="182"/>
      <c r="C49" s="108"/>
      <c r="D49" s="169"/>
      <c r="E49" s="170"/>
      <c r="F49" s="170"/>
      <c r="G49" s="171"/>
    </row>
    <row r="50" spans="2:7" ht="18.75" customHeight="1" x14ac:dyDescent="0.15">
      <c r="B50" s="201"/>
      <c r="C50" s="108"/>
      <c r="D50" s="169"/>
      <c r="E50" s="170"/>
      <c r="F50" s="170"/>
      <c r="G50" s="171"/>
    </row>
    <row r="51" spans="2:7" ht="18.75" customHeight="1" x14ac:dyDescent="0.15">
      <c r="B51" s="181" t="s">
        <v>174</v>
      </c>
      <c r="C51" s="166" t="s">
        <v>162</v>
      </c>
      <c r="D51" s="167"/>
      <c r="E51" s="167"/>
      <c r="F51" s="167"/>
      <c r="G51" s="168"/>
    </row>
    <row r="52" spans="2:7" ht="37.5" customHeight="1" x14ac:dyDescent="0.15">
      <c r="B52" s="182"/>
      <c r="C52" s="183" t="s">
        <v>175</v>
      </c>
      <c r="D52" s="184"/>
      <c r="E52" s="184"/>
      <c r="F52" s="184"/>
      <c r="G52" s="185"/>
    </row>
    <row r="53" spans="2:7" ht="37.5" customHeight="1" x14ac:dyDescent="0.15">
      <c r="B53" s="182"/>
      <c r="C53" s="186"/>
      <c r="D53" s="187"/>
      <c r="E53" s="187"/>
      <c r="F53" s="187"/>
      <c r="G53" s="188"/>
    </row>
    <row r="54" spans="2:7" ht="37.5" customHeight="1" x14ac:dyDescent="0.15">
      <c r="B54" s="182"/>
      <c r="C54" s="186"/>
      <c r="D54" s="187"/>
      <c r="E54" s="187"/>
      <c r="F54" s="187"/>
      <c r="G54" s="188"/>
    </row>
    <row r="55" spans="2:7" ht="37.5" customHeight="1" x14ac:dyDescent="0.15">
      <c r="B55" s="182"/>
      <c r="C55" s="186"/>
      <c r="D55" s="187"/>
      <c r="E55" s="187"/>
      <c r="F55" s="187"/>
      <c r="G55" s="188"/>
    </row>
    <row r="56" spans="2:7" ht="37.5" customHeight="1" x14ac:dyDescent="0.15">
      <c r="B56" s="182"/>
      <c r="C56" s="189"/>
      <c r="D56" s="190"/>
      <c r="E56" s="190"/>
      <c r="F56" s="190"/>
      <c r="G56" s="191"/>
    </row>
    <row r="57" spans="2:7" ht="18.75" customHeight="1" x14ac:dyDescent="0.15">
      <c r="B57" s="182"/>
      <c r="C57" s="98" t="s">
        <v>165</v>
      </c>
      <c r="D57" s="166" t="s">
        <v>166</v>
      </c>
      <c r="E57" s="167"/>
      <c r="F57" s="167"/>
      <c r="G57" s="168"/>
    </row>
    <row r="58" spans="2:7" ht="18.75" customHeight="1" x14ac:dyDescent="0.15">
      <c r="B58" s="182"/>
      <c r="C58" s="106" t="s">
        <v>167</v>
      </c>
      <c r="D58" s="175" t="s">
        <v>176</v>
      </c>
      <c r="E58" s="176"/>
      <c r="F58" s="176"/>
      <c r="G58" s="177"/>
    </row>
    <row r="59" spans="2:7" ht="18.75" customHeight="1" x14ac:dyDescent="0.15">
      <c r="B59" s="182"/>
      <c r="C59" s="109"/>
      <c r="D59" s="175" t="s">
        <v>177</v>
      </c>
      <c r="E59" s="176"/>
      <c r="F59" s="176"/>
      <c r="G59" s="177"/>
    </row>
    <row r="60" spans="2:7" ht="18.75" customHeight="1" x14ac:dyDescent="0.15">
      <c r="B60" s="182"/>
      <c r="C60" s="109"/>
      <c r="D60" s="175" t="s">
        <v>178</v>
      </c>
      <c r="E60" s="176"/>
      <c r="F60" s="176"/>
      <c r="G60" s="177"/>
    </row>
    <row r="61" spans="2:7" ht="18.75" customHeight="1" x14ac:dyDescent="0.15">
      <c r="B61" s="182"/>
      <c r="C61" s="108"/>
      <c r="D61" s="178"/>
      <c r="E61" s="179"/>
      <c r="F61" s="179"/>
      <c r="G61" s="180"/>
    </row>
    <row r="62" spans="2:7" ht="18.75" customHeight="1" x14ac:dyDescent="0.15">
      <c r="B62" s="182"/>
      <c r="C62" s="108"/>
      <c r="D62" s="169"/>
      <c r="E62" s="170"/>
      <c r="F62" s="170"/>
      <c r="G62" s="171"/>
    </row>
    <row r="63" spans="2:7" ht="18.75" customHeight="1" x14ac:dyDescent="0.15">
      <c r="B63" s="182"/>
      <c r="C63" s="108"/>
      <c r="D63" s="169"/>
      <c r="E63" s="170"/>
      <c r="F63" s="170"/>
      <c r="G63" s="171"/>
    </row>
    <row r="64" spans="2:7" ht="18.75" customHeight="1" x14ac:dyDescent="0.15">
      <c r="B64" s="182"/>
      <c r="C64" s="108"/>
      <c r="D64" s="169"/>
      <c r="E64" s="170"/>
      <c r="F64" s="170"/>
      <c r="G64" s="171"/>
    </row>
    <row r="65" spans="2:7" ht="18.75" customHeight="1" x14ac:dyDescent="0.15">
      <c r="B65" s="182"/>
      <c r="C65" s="108"/>
      <c r="D65" s="169"/>
      <c r="E65" s="170"/>
      <c r="F65" s="170"/>
      <c r="G65" s="171"/>
    </row>
    <row r="66" spans="2:7" ht="18.75" customHeight="1" x14ac:dyDescent="0.15">
      <c r="B66" s="182"/>
      <c r="C66" s="108"/>
      <c r="D66" s="169"/>
      <c r="E66" s="170"/>
      <c r="F66" s="170"/>
      <c r="G66" s="171"/>
    </row>
    <row r="67" spans="2:7" ht="18.75" customHeight="1" x14ac:dyDescent="0.15">
      <c r="B67" s="182"/>
      <c r="C67" s="108"/>
      <c r="D67" s="169"/>
      <c r="E67" s="170"/>
      <c r="F67" s="170"/>
      <c r="G67" s="171"/>
    </row>
    <row r="68" spans="2:7" ht="18.75" customHeight="1" x14ac:dyDescent="0.15">
      <c r="B68" s="182"/>
      <c r="C68" s="108"/>
      <c r="D68" s="169"/>
      <c r="E68" s="170"/>
      <c r="F68" s="170"/>
      <c r="G68" s="171"/>
    </row>
    <row r="69" spans="2:7" ht="18.75" customHeight="1" x14ac:dyDescent="0.15">
      <c r="B69" s="182"/>
      <c r="C69" s="108"/>
      <c r="D69" s="169"/>
      <c r="E69" s="170"/>
      <c r="F69" s="170"/>
      <c r="G69" s="171"/>
    </row>
    <row r="70" spans="2:7" ht="18.75" customHeight="1" x14ac:dyDescent="0.15">
      <c r="B70" s="182"/>
      <c r="C70" s="108"/>
      <c r="D70" s="169"/>
      <c r="E70" s="170"/>
      <c r="F70" s="170"/>
      <c r="G70" s="171"/>
    </row>
    <row r="71" spans="2:7" ht="18.75" customHeight="1" x14ac:dyDescent="0.15">
      <c r="B71" s="182"/>
      <c r="C71" s="108"/>
      <c r="D71" s="169"/>
      <c r="E71" s="170"/>
      <c r="F71" s="170"/>
      <c r="G71" s="171"/>
    </row>
    <row r="72" spans="2:7" ht="18.75" customHeight="1" x14ac:dyDescent="0.15">
      <c r="B72" s="182"/>
      <c r="C72" s="108"/>
      <c r="D72" s="169"/>
      <c r="E72" s="170"/>
      <c r="F72" s="170"/>
      <c r="G72" s="171"/>
    </row>
    <row r="73" spans="2:7" ht="18.75" customHeight="1" x14ac:dyDescent="0.15">
      <c r="B73" s="182"/>
      <c r="C73" s="108"/>
      <c r="D73" s="169"/>
      <c r="E73" s="170"/>
      <c r="F73" s="170"/>
      <c r="G73" s="171"/>
    </row>
    <row r="74" spans="2:7" ht="18.75" customHeight="1" x14ac:dyDescent="0.15">
      <c r="B74" s="182"/>
      <c r="C74" s="108"/>
      <c r="D74" s="169"/>
      <c r="E74" s="170"/>
      <c r="F74" s="170"/>
      <c r="G74" s="171"/>
    </row>
    <row r="75" spans="2:7" ht="18.75" customHeight="1" x14ac:dyDescent="0.15">
      <c r="B75" s="182"/>
      <c r="C75" s="108"/>
      <c r="D75" s="169"/>
      <c r="E75" s="170"/>
      <c r="F75" s="170"/>
      <c r="G75" s="171"/>
    </row>
    <row r="76" spans="2:7" ht="18.75" customHeight="1" x14ac:dyDescent="0.15">
      <c r="B76" s="181" t="s">
        <v>179</v>
      </c>
      <c r="C76" s="166" t="s">
        <v>162</v>
      </c>
      <c r="D76" s="167"/>
      <c r="E76" s="167"/>
      <c r="F76" s="167"/>
      <c r="G76" s="168"/>
    </row>
    <row r="77" spans="2:7" ht="37.5" customHeight="1" x14ac:dyDescent="0.15">
      <c r="B77" s="182"/>
      <c r="C77" s="192" t="s">
        <v>180</v>
      </c>
      <c r="D77" s="193"/>
      <c r="E77" s="193"/>
      <c r="F77" s="193"/>
      <c r="G77" s="194"/>
    </row>
    <row r="78" spans="2:7" ht="37.5" customHeight="1" x14ac:dyDescent="0.15">
      <c r="B78" s="182"/>
      <c r="C78" s="195"/>
      <c r="D78" s="196"/>
      <c r="E78" s="196"/>
      <c r="F78" s="196"/>
      <c r="G78" s="197"/>
    </row>
    <row r="79" spans="2:7" ht="37.5" customHeight="1" x14ac:dyDescent="0.15">
      <c r="B79" s="182"/>
      <c r="C79" s="195"/>
      <c r="D79" s="196"/>
      <c r="E79" s="196"/>
      <c r="F79" s="196"/>
      <c r="G79" s="197"/>
    </row>
    <row r="80" spans="2:7" ht="37.5" customHeight="1" x14ac:dyDescent="0.15">
      <c r="B80" s="182"/>
      <c r="C80" s="195"/>
      <c r="D80" s="196"/>
      <c r="E80" s="196"/>
      <c r="F80" s="196"/>
      <c r="G80" s="197"/>
    </row>
    <row r="81" spans="2:7" ht="37.5" customHeight="1" x14ac:dyDescent="0.15">
      <c r="B81" s="182"/>
      <c r="C81" s="198"/>
      <c r="D81" s="199"/>
      <c r="E81" s="199"/>
      <c r="F81" s="199"/>
      <c r="G81" s="200"/>
    </row>
    <row r="82" spans="2:7" ht="18.75" customHeight="1" x14ac:dyDescent="0.15">
      <c r="B82" s="182"/>
      <c r="C82" s="98" t="s">
        <v>165</v>
      </c>
      <c r="D82" s="166" t="s">
        <v>166</v>
      </c>
      <c r="E82" s="167"/>
      <c r="F82" s="167"/>
      <c r="G82" s="168"/>
    </row>
    <row r="83" spans="2:7" ht="18.75" customHeight="1" x14ac:dyDescent="0.15">
      <c r="B83" s="182"/>
      <c r="C83" s="106" t="s">
        <v>167</v>
      </c>
      <c r="D83" s="175" t="s">
        <v>181</v>
      </c>
      <c r="E83" s="176"/>
      <c r="F83" s="176"/>
      <c r="G83" s="177"/>
    </row>
    <row r="84" spans="2:7" ht="18.75" customHeight="1" x14ac:dyDescent="0.15">
      <c r="B84" s="182"/>
      <c r="C84" s="109"/>
      <c r="D84" s="175" t="s">
        <v>182</v>
      </c>
      <c r="E84" s="176"/>
      <c r="F84" s="176"/>
      <c r="G84" s="177"/>
    </row>
    <row r="85" spans="2:7" ht="18.75" customHeight="1" x14ac:dyDescent="0.15">
      <c r="B85" s="182"/>
      <c r="C85" s="108"/>
      <c r="D85" s="169"/>
      <c r="E85" s="170"/>
      <c r="F85" s="170"/>
      <c r="G85" s="171"/>
    </row>
    <row r="86" spans="2:7" ht="18.75" customHeight="1" x14ac:dyDescent="0.15">
      <c r="B86" s="182"/>
      <c r="C86" s="108"/>
      <c r="D86" s="169"/>
      <c r="E86" s="170"/>
      <c r="F86" s="170"/>
      <c r="G86" s="171"/>
    </row>
    <row r="87" spans="2:7" ht="18.75" customHeight="1" x14ac:dyDescent="0.15">
      <c r="B87" s="182"/>
      <c r="C87" s="108"/>
      <c r="D87" s="169"/>
      <c r="E87" s="170"/>
      <c r="F87" s="170"/>
      <c r="G87" s="171"/>
    </row>
    <row r="88" spans="2:7" ht="18.75" customHeight="1" x14ac:dyDescent="0.15">
      <c r="B88" s="182"/>
      <c r="C88" s="108"/>
      <c r="D88" s="169"/>
      <c r="E88" s="170"/>
      <c r="F88" s="170"/>
      <c r="G88" s="171"/>
    </row>
    <row r="89" spans="2:7" ht="18.75" customHeight="1" x14ac:dyDescent="0.15">
      <c r="B89" s="182"/>
      <c r="C89" s="108"/>
      <c r="D89" s="169"/>
      <c r="E89" s="170"/>
      <c r="F89" s="170"/>
      <c r="G89" s="171"/>
    </row>
    <row r="90" spans="2:7" ht="18.75" customHeight="1" x14ac:dyDescent="0.15">
      <c r="B90" s="182"/>
      <c r="C90" s="108"/>
      <c r="D90" s="169"/>
      <c r="E90" s="170"/>
      <c r="F90" s="170"/>
      <c r="G90" s="171"/>
    </row>
    <row r="91" spans="2:7" ht="18.75" customHeight="1" x14ac:dyDescent="0.15">
      <c r="B91" s="182"/>
      <c r="C91" s="108"/>
      <c r="D91" s="169"/>
      <c r="E91" s="170"/>
      <c r="F91" s="170"/>
      <c r="G91" s="171"/>
    </row>
    <row r="92" spans="2:7" ht="18.75" customHeight="1" x14ac:dyDescent="0.15">
      <c r="B92" s="182"/>
      <c r="C92" s="108"/>
      <c r="D92" s="169"/>
      <c r="E92" s="170"/>
      <c r="F92" s="170"/>
      <c r="G92" s="171"/>
    </row>
    <row r="93" spans="2:7" ht="18.75" customHeight="1" x14ac:dyDescent="0.15">
      <c r="B93" s="182"/>
      <c r="C93" s="108"/>
      <c r="D93" s="169"/>
      <c r="E93" s="170"/>
      <c r="F93" s="170"/>
      <c r="G93" s="171"/>
    </row>
    <row r="94" spans="2:7" ht="18.75" customHeight="1" x14ac:dyDescent="0.15">
      <c r="B94" s="182"/>
      <c r="C94" s="108"/>
      <c r="D94" s="169"/>
      <c r="E94" s="170"/>
      <c r="F94" s="170"/>
      <c r="G94" s="171"/>
    </row>
    <row r="95" spans="2:7" ht="18.75" customHeight="1" x14ac:dyDescent="0.15">
      <c r="B95" s="182"/>
      <c r="C95" s="108"/>
      <c r="D95" s="169"/>
      <c r="E95" s="170"/>
      <c r="F95" s="170"/>
      <c r="G95" s="171"/>
    </row>
    <row r="96" spans="2:7" ht="18.75" customHeight="1" x14ac:dyDescent="0.15">
      <c r="B96" s="182"/>
      <c r="C96" s="108"/>
      <c r="D96" s="169"/>
      <c r="E96" s="170"/>
      <c r="F96" s="170"/>
      <c r="G96" s="171"/>
    </row>
    <row r="97" spans="2:7" ht="18.75" customHeight="1" x14ac:dyDescent="0.15">
      <c r="B97" s="182"/>
      <c r="C97" s="108"/>
      <c r="D97" s="169"/>
      <c r="E97" s="170"/>
      <c r="F97" s="170"/>
      <c r="G97" s="171"/>
    </row>
    <row r="98" spans="2:7" ht="18.75" customHeight="1" x14ac:dyDescent="0.15">
      <c r="B98" s="182"/>
      <c r="C98" s="108"/>
      <c r="D98" s="169"/>
      <c r="E98" s="170"/>
      <c r="F98" s="170"/>
      <c r="G98" s="171"/>
    </row>
    <row r="99" spans="2:7" ht="18.75" customHeight="1" x14ac:dyDescent="0.15">
      <c r="B99" s="182"/>
      <c r="C99" s="108"/>
      <c r="D99" s="169"/>
      <c r="E99" s="170"/>
      <c r="F99" s="170"/>
      <c r="G99" s="171"/>
    </row>
    <row r="100" spans="2:7" ht="18.75" customHeight="1" x14ac:dyDescent="0.15">
      <c r="B100" s="182"/>
      <c r="C100" s="108"/>
      <c r="D100" s="169"/>
      <c r="E100" s="170"/>
      <c r="F100" s="170"/>
      <c r="G100" s="171"/>
    </row>
    <row r="101" spans="2:7" ht="18.75" customHeight="1" x14ac:dyDescent="0.15">
      <c r="B101" s="181" t="s">
        <v>183</v>
      </c>
      <c r="C101" s="166" t="s">
        <v>162</v>
      </c>
      <c r="D101" s="167"/>
      <c r="E101" s="167"/>
      <c r="F101" s="167"/>
      <c r="G101" s="168"/>
    </row>
    <row r="102" spans="2:7" ht="37.5" customHeight="1" x14ac:dyDescent="0.15">
      <c r="B102" s="182"/>
      <c r="C102" s="183" t="s">
        <v>184</v>
      </c>
      <c r="D102" s="184"/>
      <c r="E102" s="184"/>
      <c r="F102" s="184"/>
      <c r="G102" s="185"/>
    </row>
    <row r="103" spans="2:7" ht="37.5" customHeight="1" x14ac:dyDescent="0.15">
      <c r="B103" s="182"/>
      <c r="C103" s="186"/>
      <c r="D103" s="187"/>
      <c r="E103" s="187"/>
      <c r="F103" s="187"/>
      <c r="G103" s="188"/>
    </row>
    <row r="104" spans="2:7" ht="37.5" customHeight="1" x14ac:dyDescent="0.15">
      <c r="B104" s="182"/>
      <c r="C104" s="186"/>
      <c r="D104" s="187"/>
      <c r="E104" s="187"/>
      <c r="F104" s="187"/>
      <c r="G104" s="188"/>
    </row>
    <row r="105" spans="2:7" ht="37.5" customHeight="1" x14ac:dyDescent="0.15">
      <c r="B105" s="182"/>
      <c r="C105" s="186"/>
      <c r="D105" s="187"/>
      <c r="E105" s="187"/>
      <c r="F105" s="187"/>
      <c r="G105" s="188"/>
    </row>
    <row r="106" spans="2:7" ht="37.5" customHeight="1" x14ac:dyDescent="0.15">
      <c r="B106" s="182"/>
      <c r="C106" s="189"/>
      <c r="D106" s="190"/>
      <c r="E106" s="190"/>
      <c r="F106" s="190"/>
      <c r="G106" s="191"/>
    </row>
    <row r="107" spans="2:7" ht="18.75" customHeight="1" x14ac:dyDescent="0.15">
      <c r="B107" s="182"/>
      <c r="C107" s="98" t="s">
        <v>165</v>
      </c>
      <c r="D107" s="166" t="s">
        <v>166</v>
      </c>
      <c r="E107" s="167"/>
      <c r="F107" s="167"/>
      <c r="G107" s="168"/>
    </row>
    <row r="108" spans="2:7" ht="18.75" customHeight="1" x14ac:dyDescent="0.15">
      <c r="B108" s="182"/>
      <c r="C108" s="106" t="s">
        <v>167</v>
      </c>
      <c r="D108" s="175" t="s">
        <v>185</v>
      </c>
      <c r="E108" s="176"/>
      <c r="F108" s="176"/>
      <c r="G108" s="177"/>
    </row>
    <row r="109" spans="2:7" ht="18.75" customHeight="1" x14ac:dyDescent="0.15">
      <c r="B109" s="182"/>
      <c r="C109" s="108"/>
      <c r="D109" s="178"/>
      <c r="E109" s="179"/>
      <c r="F109" s="179"/>
      <c r="G109" s="180"/>
    </row>
    <row r="110" spans="2:7" ht="18.75" customHeight="1" x14ac:dyDescent="0.15">
      <c r="B110" s="182"/>
      <c r="C110" s="108"/>
      <c r="D110" s="178"/>
      <c r="E110" s="179"/>
      <c r="F110" s="179"/>
      <c r="G110" s="180"/>
    </row>
    <row r="111" spans="2:7" ht="18.75" customHeight="1" x14ac:dyDescent="0.15">
      <c r="B111" s="182"/>
      <c r="C111" s="108"/>
      <c r="D111" s="169"/>
      <c r="E111" s="170"/>
      <c r="F111" s="170"/>
      <c r="G111" s="171"/>
    </row>
    <row r="112" spans="2:7" ht="18.75" customHeight="1" x14ac:dyDescent="0.15">
      <c r="B112" s="182"/>
      <c r="C112" s="108"/>
      <c r="D112" s="169"/>
      <c r="E112" s="170"/>
      <c r="F112" s="170"/>
      <c r="G112" s="171"/>
    </row>
    <row r="113" spans="1:7" ht="18.75" customHeight="1" x14ac:dyDescent="0.15">
      <c r="B113" s="182"/>
      <c r="C113" s="108"/>
      <c r="D113" s="169"/>
      <c r="E113" s="170"/>
      <c r="F113" s="170"/>
      <c r="G113" s="171"/>
    </row>
    <row r="114" spans="1:7" ht="18.75" customHeight="1" x14ac:dyDescent="0.15">
      <c r="B114" s="182"/>
      <c r="C114" s="108"/>
      <c r="D114" s="169"/>
      <c r="E114" s="170"/>
      <c r="F114" s="170"/>
      <c r="G114" s="171"/>
    </row>
    <row r="115" spans="1:7" ht="18.75" customHeight="1" x14ac:dyDescent="0.15">
      <c r="B115" s="182"/>
      <c r="C115" s="108"/>
      <c r="D115" s="169"/>
      <c r="E115" s="170"/>
      <c r="F115" s="170"/>
      <c r="G115" s="171"/>
    </row>
    <row r="116" spans="1:7" ht="18.75" customHeight="1" x14ac:dyDescent="0.15">
      <c r="B116" s="182"/>
      <c r="C116" s="108"/>
      <c r="D116" s="169"/>
      <c r="E116" s="170"/>
      <c r="F116" s="170"/>
      <c r="G116" s="171"/>
    </row>
    <row r="117" spans="1:7" ht="18.75" customHeight="1" x14ac:dyDescent="0.15">
      <c r="B117" s="182"/>
      <c r="C117" s="108"/>
      <c r="D117" s="169"/>
      <c r="E117" s="170"/>
      <c r="F117" s="170"/>
      <c r="G117" s="171"/>
    </row>
    <row r="118" spans="1:7" ht="18.75" customHeight="1" x14ac:dyDescent="0.15">
      <c r="B118" s="182"/>
      <c r="C118" s="108"/>
      <c r="D118" s="169"/>
      <c r="E118" s="170"/>
      <c r="F118" s="170"/>
      <c r="G118" s="171"/>
    </row>
    <row r="119" spans="1:7" ht="18.75" customHeight="1" x14ac:dyDescent="0.15">
      <c r="B119" s="182"/>
      <c r="C119" s="108"/>
      <c r="D119" s="169"/>
      <c r="E119" s="170"/>
      <c r="F119" s="170"/>
      <c r="G119" s="171"/>
    </row>
    <row r="120" spans="1:7" ht="18.75" customHeight="1" x14ac:dyDescent="0.15">
      <c r="B120" s="182"/>
      <c r="C120" s="108"/>
      <c r="D120" s="169"/>
      <c r="E120" s="170"/>
      <c r="F120" s="170"/>
      <c r="G120" s="171"/>
    </row>
    <row r="121" spans="1:7" ht="18.75" customHeight="1" x14ac:dyDescent="0.15">
      <c r="B121" s="182"/>
      <c r="C121" s="108"/>
      <c r="D121" s="169"/>
      <c r="E121" s="170"/>
      <c r="F121" s="170"/>
      <c r="G121" s="171"/>
    </row>
    <row r="122" spans="1:7" ht="18.75" customHeight="1" x14ac:dyDescent="0.15">
      <c r="B122" s="182"/>
      <c r="C122" s="108"/>
      <c r="D122" s="169"/>
      <c r="E122" s="170"/>
      <c r="F122" s="170"/>
      <c r="G122" s="171"/>
    </row>
    <row r="123" spans="1:7" ht="18.75" customHeight="1" x14ac:dyDescent="0.15">
      <c r="B123" s="182"/>
      <c r="C123" s="108"/>
      <c r="D123" s="169"/>
      <c r="E123" s="170"/>
      <c r="F123" s="170"/>
      <c r="G123" s="171"/>
    </row>
    <row r="124" spans="1:7" ht="18.75" customHeight="1" x14ac:dyDescent="0.15">
      <c r="B124" s="182"/>
      <c r="C124" s="108"/>
      <c r="D124" s="169"/>
      <c r="E124" s="170"/>
      <c r="F124" s="170"/>
      <c r="G124" s="171"/>
    </row>
    <row r="125" spans="1:7" ht="18.75" customHeight="1" x14ac:dyDescent="0.15">
      <c r="B125" s="182"/>
      <c r="C125" s="108"/>
      <c r="D125" s="169"/>
      <c r="E125" s="170"/>
      <c r="F125" s="170"/>
      <c r="G125" s="171"/>
    </row>
    <row r="126" spans="1:7" ht="18.75" customHeight="1" x14ac:dyDescent="0.15">
      <c r="A126" s="95" t="s">
        <v>186</v>
      </c>
      <c r="B126" s="95" t="s">
        <v>187</v>
      </c>
    </row>
    <row r="127" spans="1:7" ht="22.5" customHeight="1" x14ac:dyDescent="0.15">
      <c r="B127" s="108" t="s">
        <v>161</v>
      </c>
      <c r="C127" s="166" t="s">
        <v>188</v>
      </c>
      <c r="D127" s="167"/>
      <c r="E127" s="167"/>
      <c r="F127" s="167"/>
      <c r="G127" s="168"/>
    </row>
    <row r="128" spans="1:7" ht="45" customHeight="1" x14ac:dyDescent="0.15">
      <c r="B128" s="99" t="s">
        <v>189</v>
      </c>
      <c r="C128" s="172" t="s">
        <v>167</v>
      </c>
      <c r="D128" s="173"/>
      <c r="E128" s="173"/>
      <c r="F128" s="173"/>
      <c r="G128" s="174"/>
    </row>
    <row r="129" spans="1:7" ht="45" customHeight="1" x14ac:dyDescent="0.15">
      <c r="B129" s="99" t="s">
        <v>190</v>
      </c>
      <c r="C129" s="172"/>
      <c r="D129" s="173"/>
      <c r="E129" s="173"/>
      <c r="F129" s="173"/>
      <c r="G129" s="174"/>
    </row>
    <row r="130" spans="1:7" ht="45" customHeight="1" x14ac:dyDescent="0.15">
      <c r="B130" s="99" t="s">
        <v>191</v>
      </c>
      <c r="C130" s="172" t="s">
        <v>167</v>
      </c>
      <c r="D130" s="173"/>
      <c r="E130" s="173"/>
      <c r="F130" s="173"/>
      <c r="G130" s="174"/>
    </row>
    <row r="131" spans="1:7" ht="45" customHeight="1" x14ac:dyDescent="0.15">
      <c r="B131" s="99" t="s">
        <v>192</v>
      </c>
      <c r="C131" s="163"/>
      <c r="D131" s="164"/>
      <c r="E131" s="164"/>
      <c r="F131" s="164"/>
      <c r="G131" s="165"/>
    </row>
    <row r="132" spans="1:7" ht="45" customHeight="1" x14ac:dyDescent="0.15">
      <c r="B132" s="99" t="s">
        <v>193</v>
      </c>
      <c r="C132" s="163"/>
      <c r="D132" s="164"/>
      <c r="E132" s="164"/>
      <c r="F132" s="164"/>
      <c r="G132" s="165"/>
    </row>
    <row r="133" spans="1:7" ht="45" customHeight="1" x14ac:dyDescent="0.15">
      <c r="B133" s="99" t="s">
        <v>194</v>
      </c>
      <c r="C133" s="163"/>
      <c r="D133" s="164"/>
      <c r="E133" s="164"/>
      <c r="F133" s="164"/>
      <c r="G133" s="165"/>
    </row>
    <row r="134" spans="1:7" ht="45" customHeight="1" x14ac:dyDescent="0.15">
      <c r="B134" s="99" t="s">
        <v>195</v>
      </c>
      <c r="C134" s="163"/>
      <c r="D134" s="164"/>
      <c r="E134" s="164"/>
      <c r="F134" s="164"/>
      <c r="G134" s="165"/>
    </row>
    <row r="135" spans="1:7" ht="45" customHeight="1" x14ac:dyDescent="0.15">
      <c r="B135" s="99" t="s">
        <v>196</v>
      </c>
      <c r="C135" s="163"/>
      <c r="D135" s="164"/>
      <c r="E135" s="164"/>
      <c r="F135" s="164"/>
      <c r="G135" s="165"/>
    </row>
    <row r="136" spans="1:7" ht="45" customHeight="1" x14ac:dyDescent="0.15">
      <c r="B136" s="99" t="s">
        <v>197</v>
      </c>
      <c r="C136" s="163"/>
      <c r="D136" s="164"/>
      <c r="E136" s="164"/>
      <c r="F136" s="164"/>
      <c r="G136" s="165"/>
    </row>
    <row r="137" spans="1:7" ht="7.5" customHeight="1" x14ac:dyDescent="0.15"/>
    <row r="138" spans="1:7" ht="18.75" customHeight="1" x14ac:dyDescent="0.15">
      <c r="A138" s="95" t="s">
        <v>198</v>
      </c>
      <c r="B138" s="95" t="s">
        <v>199</v>
      </c>
      <c r="E138" s="235" t="s">
        <v>283</v>
      </c>
      <c r="F138" s="235"/>
      <c r="G138" s="235"/>
    </row>
    <row r="139" spans="1:7" ht="7.5" customHeight="1" x14ac:dyDescent="0.15"/>
    <row r="140" spans="1:7" ht="18.75" customHeight="1" x14ac:dyDescent="0.15">
      <c r="A140" s="95" t="s">
        <v>200</v>
      </c>
      <c r="B140" s="95" t="s">
        <v>138</v>
      </c>
    </row>
    <row r="141" spans="1:7" ht="18.75" customHeight="1" x14ac:dyDescent="0.15">
      <c r="B141" s="154" t="s">
        <v>201</v>
      </c>
      <c r="C141" s="155"/>
      <c r="D141" s="155"/>
      <c r="E141" s="155"/>
      <c r="F141" s="155"/>
      <c r="G141" s="156"/>
    </row>
    <row r="142" spans="1:7" ht="18.75" customHeight="1" x14ac:dyDescent="0.15">
      <c r="B142" s="157"/>
      <c r="C142" s="158"/>
      <c r="D142" s="158"/>
      <c r="E142" s="158"/>
      <c r="F142" s="158"/>
      <c r="G142" s="159"/>
    </row>
    <row r="143" spans="1:7" ht="18.75" customHeight="1" x14ac:dyDescent="0.15">
      <c r="B143" s="157"/>
      <c r="C143" s="158"/>
      <c r="D143" s="158"/>
      <c r="E143" s="158"/>
      <c r="F143" s="158"/>
      <c r="G143" s="159"/>
    </row>
    <row r="144" spans="1:7" ht="18.75" customHeight="1" x14ac:dyDescent="0.15">
      <c r="B144" s="160"/>
      <c r="C144" s="161"/>
      <c r="D144" s="161"/>
      <c r="E144" s="161"/>
      <c r="F144" s="161"/>
      <c r="G144" s="162"/>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7:G17"/>
    <mergeCell ref="D18:G18"/>
    <mergeCell ref="D19:G19"/>
    <mergeCell ref="D14:G14"/>
    <mergeCell ref="D15:G15"/>
    <mergeCell ref="D16:G16"/>
    <mergeCell ref="D23:G23"/>
    <mergeCell ref="D24:G24"/>
    <mergeCell ref="D25:G25"/>
    <mergeCell ref="D20:G20"/>
    <mergeCell ref="D21:G21"/>
    <mergeCell ref="D22:G22"/>
    <mergeCell ref="D35:G35"/>
    <mergeCell ref="D36:G36"/>
    <mergeCell ref="D37:G37"/>
    <mergeCell ref="D33:G33"/>
    <mergeCell ref="D34:G34"/>
    <mergeCell ref="C27:G31"/>
    <mergeCell ref="D32:G32"/>
    <mergeCell ref="D41:G41"/>
    <mergeCell ref="D42:G42"/>
    <mergeCell ref="D43:G43"/>
    <mergeCell ref="D38:G38"/>
    <mergeCell ref="D39:G39"/>
    <mergeCell ref="D40:G40"/>
    <mergeCell ref="D47:G47"/>
    <mergeCell ref="D48:G48"/>
    <mergeCell ref="D49:G49"/>
    <mergeCell ref="D44:G44"/>
    <mergeCell ref="D45:G45"/>
    <mergeCell ref="D46:G46"/>
    <mergeCell ref="D50:G50"/>
    <mergeCell ref="B51:B75"/>
    <mergeCell ref="C51:G51"/>
    <mergeCell ref="C52:G56"/>
    <mergeCell ref="B26:B50"/>
    <mergeCell ref="C26:G26"/>
    <mergeCell ref="D60:G60"/>
    <mergeCell ref="D61:G61"/>
    <mergeCell ref="D62:G62"/>
    <mergeCell ref="D57:G57"/>
    <mergeCell ref="D58:G58"/>
    <mergeCell ref="D59:G59"/>
    <mergeCell ref="D66:G66"/>
    <mergeCell ref="D67:G67"/>
    <mergeCell ref="D68:G68"/>
    <mergeCell ref="D63:G63"/>
    <mergeCell ref="D64:G64"/>
    <mergeCell ref="D65:G65"/>
    <mergeCell ref="D72:G72"/>
    <mergeCell ref="D73:G73"/>
    <mergeCell ref="D74:G74"/>
    <mergeCell ref="D69:G69"/>
    <mergeCell ref="D70:G70"/>
    <mergeCell ref="D71:G71"/>
    <mergeCell ref="D75:G75"/>
    <mergeCell ref="B76:B100"/>
    <mergeCell ref="C76:G76"/>
    <mergeCell ref="C77:G81"/>
    <mergeCell ref="D85:G85"/>
    <mergeCell ref="D86:G86"/>
    <mergeCell ref="D87:G87"/>
    <mergeCell ref="D82:G82"/>
    <mergeCell ref="D83:G83"/>
    <mergeCell ref="D84:G84"/>
    <mergeCell ref="D91:G91"/>
    <mergeCell ref="D92:G92"/>
    <mergeCell ref="D93:G93"/>
    <mergeCell ref="D88:G88"/>
    <mergeCell ref="D89:G89"/>
    <mergeCell ref="D90:G90"/>
    <mergeCell ref="D97:G97"/>
    <mergeCell ref="D98:G98"/>
    <mergeCell ref="D99:G99"/>
    <mergeCell ref="D94:G94"/>
    <mergeCell ref="D95:G95"/>
    <mergeCell ref="D96:G96"/>
    <mergeCell ref="D107:G107"/>
    <mergeCell ref="D108:G108"/>
    <mergeCell ref="D109:G109"/>
    <mergeCell ref="D100:G100"/>
    <mergeCell ref="B101:B125"/>
    <mergeCell ref="C101:G101"/>
    <mergeCell ref="C102:G106"/>
    <mergeCell ref="D114:G114"/>
    <mergeCell ref="D115:G115"/>
    <mergeCell ref="D116:G116"/>
    <mergeCell ref="D110:G110"/>
    <mergeCell ref="D111:G111"/>
    <mergeCell ref="D112:G112"/>
    <mergeCell ref="D113:G113"/>
    <mergeCell ref="D117:G117"/>
    <mergeCell ref="D118:G118"/>
    <mergeCell ref="D119:G119"/>
    <mergeCell ref="D120:G120"/>
    <mergeCell ref="D124:G124"/>
    <mergeCell ref="D125:G125"/>
    <mergeCell ref="E138:G138"/>
    <mergeCell ref="B141:G144"/>
    <mergeCell ref="C134:G134"/>
    <mergeCell ref="C135:G135"/>
    <mergeCell ref="C136:G136"/>
    <mergeCell ref="C127:G127"/>
    <mergeCell ref="D121:G121"/>
    <mergeCell ref="D122:G122"/>
    <mergeCell ref="D123:G123"/>
    <mergeCell ref="C131:G131"/>
    <mergeCell ref="C132:G132"/>
    <mergeCell ref="C133:G133"/>
    <mergeCell ref="C128:G128"/>
    <mergeCell ref="C129:G129"/>
    <mergeCell ref="C130:G130"/>
  </mergeCells>
  <phoneticPr fontId="18"/>
  <hyperlinks>
    <hyperlink ref="E138:G138" r:id="rId1" display="https://www.iess.ccsv.okayama-u.ac.jp/kikan/ds/literacylevel/" xr:uid="{885C912A-46EC-49D5-93DD-9EDE8D80B8E8}"/>
  </hyperlinks>
  <printOptions horizontalCentered="1"/>
  <pageMargins left="0.78740157480314965" right="0.78740157480314965" top="0.59055118110236227" bottom="0.39370078740157483" header="0.31496062992125984" footer="0.31496062992125984"/>
  <pageSetup paperSize="9" scale="63" fitToHeight="0" orientation="portrait" r:id="rId2"/>
  <rowBreaks count="2" manualBreakCount="2">
    <brk id="50" max="7" man="1"/>
    <brk id="100" max="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A12D1-0F51-4ABA-B759-73C41AD435CF}">
  <sheetPr>
    <pageSetUpPr fitToPage="1"/>
  </sheetPr>
  <dimension ref="A1:I150"/>
  <sheetViews>
    <sheetView view="pageBreakPreview" topLeftCell="A130" zoomScale="90" zoomScaleNormal="100" zoomScaleSheetLayoutView="90" zoomScalePageLayoutView="70"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2.375" style="26" customWidth="1"/>
    <col min="9" max="9" width="9" style="26"/>
  </cols>
  <sheetData>
    <row r="1" spans="1:7" ht="18.75" customHeight="1" x14ac:dyDescent="0.15">
      <c r="G1" s="58" t="s">
        <v>202</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8" t="s">
        <v>108</v>
      </c>
      <c r="D6" s="148"/>
      <c r="E6" s="148"/>
      <c r="F6" s="148"/>
      <c r="G6" s="148"/>
    </row>
    <row r="7" spans="1:7" s="30" customFormat="1" ht="45" customHeight="1" x14ac:dyDescent="0.15">
      <c r="B7" s="146"/>
      <c r="C7" s="148"/>
      <c r="D7" s="148"/>
      <c r="E7" s="148"/>
      <c r="F7" s="148"/>
      <c r="G7" s="148"/>
    </row>
    <row r="8" spans="1:7" s="30" customFormat="1" ht="45" customHeight="1" x14ac:dyDescent="0.15">
      <c r="B8" s="146"/>
      <c r="C8" s="148"/>
      <c r="D8" s="148"/>
      <c r="E8" s="148"/>
      <c r="F8" s="148"/>
      <c r="G8" s="148"/>
    </row>
    <row r="9" spans="1:7" s="30" customFormat="1" ht="45" customHeight="1" x14ac:dyDescent="0.15">
      <c r="B9" s="146"/>
      <c r="C9" s="148"/>
      <c r="D9" s="148"/>
      <c r="E9" s="148"/>
      <c r="F9" s="148"/>
      <c r="G9" s="148"/>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203</v>
      </c>
      <c r="E11" s="129"/>
      <c r="F11" s="129"/>
      <c r="G11" s="129"/>
    </row>
    <row r="12" spans="1:7" s="30" customFormat="1" ht="18.75" customHeight="1" x14ac:dyDescent="0.15">
      <c r="B12" s="146"/>
      <c r="C12" s="92"/>
      <c r="D12" s="129" t="s">
        <v>204</v>
      </c>
      <c r="E12" s="129"/>
      <c r="F12" s="129"/>
      <c r="G12" s="129"/>
    </row>
    <row r="13" spans="1:7" s="30" customFormat="1" ht="18.75" customHeight="1" x14ac:dyDescent="0.15">
      <c r="B13" s="146"/>
      <c r="C13" s="92"/>
      <c r="D13" s="129" t="s">
        <v>113</v>
      </c>
      <c r="E13" s="129"/>
      <c r="F13" s="129"/>
      <c r="G13" s="129"/>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8" t="s">
        <v>115</v>
      </c>
      <c r="D27" s="148"/>
      <c r="E27" s="148"/>
      <c r="F27" s="148"/>
      <c r="G27" s="148"/>
    </row>
    <row r="28" spans="2:7" ht="37.5" customHeight="1" x14ac:dyDescent="0.15">
      <c r="B28" s="149"/>
      <c r="C28" s="148"/>
      <c r="D28" s="148"/>
      <c r="E28" s="148"/>
      <c r="F28" s="148"/>
      <c r="G28" s="148"/>
    </row>
    <row r="29" spans="2:7" ht="37.5" customHeight="1" x14ac:dyDescent="0.15">
      <c r="B29" s="149"/>
      <c r="C29" s="148"/>
      <c r="D29" s="148"/>
      <c r="E29" s="148"/>
      <c r="F29" s="148"/>
      <c r="G29" s="148"/>
    </row>
    <row r="30" spans="2:7" ht="37.5" customHeight="1" x14ac:dyDescent="0.15">
      <c r="B30" s="149"/>
      <c r="C30" s="148"/>
      <c r="D30" s="148"/>
      <c r="E30" s="148"/>
      <c r="F30" s="148"/>
      <c r="G30" s="148"/>
    </row>
    <row r="31" spans="2:7" ht="37.5" customHeight="1" x14ac:dyDescent="0.15">
      <c r="B31" s="149"/>
      <c r="C31" s="148"/>
      <c r="D31" s="148"/>
      <c r="E31" s="148"/>
      <c r="F31" s="148"/>
      <c r="G31" s="148"/>
    </row>
    <row r="32" spans="2:7" ht="18.75" customHeight="1" x14ac:dyDescent="0.15">
      <c r="B32" s="149"/>
      <c r="C32" s="60" t="s">
        <v>68</v>
      </c>
      <c r="D32" s="144" t="s">
        <v>109</v>
      </c>
      <c r="E32" s="144"/>
      <c r="F32" s="144"/>
      <c r="G32" s="144"/>
    </row>
    <row r="33" spans="2:7" ht="18.75" customHeight="1" x14ac:dyDescent="0.15">
      <c r="B33" s="149"/>
      <c r="C33" s="92" t="s">
        <v>110</v>
      </c>
      <c r="D33" s="129" t="s">
        <v>203</v>
      </c>
      <c r="E33" s="129"/>
      <c r="F33" s="129"/>
      <c r="G33" s="129"/>
    </row>
    <row r="34" spans="2:7" ht="18.75" customHeight="1" x14ac:dyDescent="0.15">
      <c r="B34" s="149"/>
      <c r="C34" s="93"/>
      <c r="D34" s="129" t="s">
        <v>204</v>
      </c>
      <c r="E34" s="129"/>
      <c r="F34" s="129"/>
      <c r="G34" s="129"/>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118</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203</v>
      </c>
      <c r="E58" s="129"/>
      <c r="F58" s="129"/>
      <c r="G58" s="129"/>
    </row>
    <row r="59" spans="2:7" ht="18.75" customHeight="1" x14ac:dyDescent="0.15">
      <c r="B59" s="146"/>
      <c r="C59" s="93"/>
      <c r="D59" s="129" t="s">
        <v>205</v>
      </c>
      <c r="E59" s="129"/>
      <c r="F59" s="129"/>
      <c r="G59" s="129"/>
    </row>
    <row r="60" spans="2:7" ht="18.75" customHeight="1" x14ac:dyDescent="0.15">
      <c r="B60" s="146"/>
      <c r="C60" s="59"/>
      <c r="D60" s="150"/>
      <c r="E60" s="150"/>
      <c r="F60" s="150"/>
      <c r="G60" s="150"/>
    </row>
    <row r="61" spans="2:7" ht="18.75" customHeight="1" x14ac:dyDescent="0.15">
      <c r="B61" s="146"/>
      <c r="C61" s="59"/>
      <c r="D61" s="150"/>
      <c r="E61" s="150"/>
      <c r="F61" s="150"/>
      <c r="G61" s="150"/>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120</v>
      </c>
      <c r="D77" s="148"/>
      <c r="E77" s="148"/>
      <c r="F77" s="148"/>
      <c r="G77" s="148"/>
    </row>
    <row r="78" spans="2:7" ht="37.5" customHeight="1" x14ac:dyDescent="0.15">
      <c r="B78" s="146"/>
      <c r="C78" s="148"/>
      <c r="D78" s="148"/>
      <c r="E78" s="148"/>
      <c r="F78" s="148"/>
      <c r="G78" s="148"/>
    </row>
    <row r="79" spans="2:7" ht="37.5" customHeight="1" x14ac:dyDescent="0.15">
      <c r="B79" s="146"/>
      <c r="C79" s="148"/>
      <c r="D79" s="148"/>
      <c r="E79" s="148"/>
      <c r="F79" s="148"/>
      <c r="G79" s="148"/>
    </row>
    <row r="80" spans="2:7" ht="37.5" customHeight="1" x14ac:dyDescent="0.15">
      <c r="B80" s="146"/>
      <c r="C80" s="148"/>
      <c r="D80" s="148"/>
      <c r="E80" s="148"/>
      <c r="F80" s="148"/>
      <c r="G80" s="148"/>
    </row>
    <row r="81" spans="2:7" ht="37.5" customHeight="1" x14ac:dyDescent="0.15">
      <c r="B81" s="146"/>
      <c r="C81" s="148"/>
      <c r="D81" s="148"/>
      <c r="E81" s="148"/>
      <c r="F81" s="148"/>
      <c r="G81" s="148"/>
    </row>
    <row r="82" spans="2:7" ht="18.75" customHeight="1" x14ac:dyDescent="0.15">
      <c r="B82" s="146"/>
      <c r="C82" s="60" t="s">
        <v>68</v>
      </c>
      <c r="D82" s="144" t="s">
        <v>109</v>
      </c>
      <c r="E82" s="144"/>
      <c r="F82" s="144"/>
      <c r="G82" s="144"/>
    </row>
    <row r="83" spans="2:7" ht="18.75" customHeight="1" x14ac:dyDescent="0.15">
      <c r="B83" s="146"/>
      <c r="C83" s="92" t="s">
        <v>110</v>
      </c>
      <c r="D83" s="129" t="s">
        <v>206</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147" t="s">
        <v>123</v>
      </c>
      <c r="D102" s="147"/>
      <c r="E102" s="147"/>
      <c r="F102" s="147"/>
      <c r="G102" s="147"/>
    </row>
    <row r="103" spans="2:7" ht="37.5" customHeight="1" x14ac:dyDescent="0.15">
      <c r="B103" s="146"/>
      <c r="C103" s="147"/>
      <c r="D103" s="147"/>
      <c r="E103" s="147"/>
      <c r="F103" s="147"/>
      <c r="G103" s="147"/>
    </row>
    <row r="104" spans="2:7" ht="37.5" customHeight="1" x14ac:dyDescent="0.15">
      <c r="B104" s="146"/>
      <c r="C104" s="147"/>
      <c r="D104" s="147"/>
      <c r="E104" s="147"/>
      <c r="F104" s="147"/>
      <c r="G104" s="147"/>
    </row>
    <row r="105" spans="2:7" ht="37.5" customHeight="1" x14ac:dyDescent="0.15">
      <c r="B105" s="146"/>
      <c r="C105" s="147"/>
      <c r="D105" s="147"/>
      <c r="E105" s="147"/>
      <c r="F105" s="147"/>
      <c r="G105" s="147"/>
    </row>
    <row r="106" spans="2:7" ht="37.5" customHeight="1" x14ac:dyDescent="0.15">
      <c r="B106" s="146"/>
      <c r="C106" s="147"/>
      <c r="D106" s="147"/>
      <c r="E106" s="147"/>
      <c r="F106" s="147"/>
      <c r="G106" s="147"/>
    </row>
    <row r="107" spans="2:7" ht="18.75" customHeight="1" x14ac:dyDescent="0.15">
      <c r="B107" s="146"/>
      <c r="C107" s="60" t="s">
        <v>68</v>
      </c>
      <c r="D107" s="144" t="s">
        <v>109</v>
      </c>
      <c r="E107" s="144"/>
      <c r="F107" s="144"/>
      <c r="G107" s="144"/>
    </row>
    <row r="108" spans="2:7" ht="18.75" customHeight="1" x14ac:dyDescent="0.15">
      <c r="B108" s="146"/>
      <c r="C108" s="92" t="s">
        <v>110</v>
      </c>
      <c r="D108" s="129" t="s">
        <v>207</v>
      </c>
      <c r="E108" s="129"/>
      <c r="F108" s="129"/>
      <c r="G108" s="129"/>
    </row>
    <row r="109" spans="2:7" ht="18.75" customHeight="1" x14ac:dyDescent="0.15">
      <c r="B109" s="146"/>
      <c r="C109" s="93"/>
      <c r="D109" s="129" t="s">
        <v>208</v>
      </c>
      <c r="E109" s="129"/>
      <c r="F109" s="129"/>
      <c r="G109" s="129"/>
    </row>
    <row r="110" spans="2:7" ht="18.75" customHeight="1" x14ac:dyDescent="0.15">
      <c r="B110" s="146"/>
      <c r="C110" s="93"/>
      <c r="D110" s="129" t="s">
        <v>204</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2" t="s">
        <v>110</v>
      </c>
      <c r="D128" s="142"/>
      <c r="E128" s="142"/>
      <c r="F128" s="142"/>
      <c r="G128" s="142"/>
    </row>
    <row r="129" spans="1:7" ht="45" customHeight="1" x14ac:dyDescent="0.15">
      <c r="B129" s="61" t="s">
        <v>129</v>
      </c>
      <c r="C129" s="126"/>
      <c r="D129" s="126"/>
      <c r="E129" s="126"/>
      <c r="F129" s="126"/>
      <c r="G129" s="126"/>
    </row>
    <row r="130" spans="1:7" ht="45" customHeight="1" x14ac:dyDescent="0.15">
      <c r="B130" s="61" t="s">
        <v>130</v>
      </c>
      <c r="C130" s="126"/>
      <c r="D130" s="126"/>
      <c r="E130" s="126"/>
      <c r="F130" s="126"/>
      <c r="G130" s="126"/>
    </row>
    <row r="131" spans="1:7" ht="45" customHeight="1" x14ac:dyDescent="0.15">
      <c r="B131" s="61" t="s">
        <v>131</v>
      </c>
      <c r="C131" s="126"/>
      <c r="D131" s="126"/>
      <c r="E131" s="126"/>
      <c r="F131" s="126"/>
      <c r="G131" s="126"/>
    </row>
    <row r="132" spans="1:7" ht="45" customHeight="1" x14ac:dyDescent="0.15">
      <c r="B132" s="61" t="s">
        <v>132</v>
      </c>
      <c r="C132" s="126"/>
      <c r="D132" s="126"/>
      <c r="E132" s="126"/>
      <c r="F132" s="126"/>
      <c r="G132" s="126"/>
    </row>
    <row r="133" spans="1:7" ht="45" customHeight="1" x14ac:dyDescent="0.15">
      <c r="B133" s="61" t="s">
        <v>133</v>
      </c>
      <c r="C133" s="142" t="s">
        <v>110</v>
      </c>
      <c r="D133" s="142"/>
      <c r="E133" s="142"/>
      <c r="F133" s="142"/>
      <c r="G133" s="142"/>
    </row>
    <row r="134" spans="1:7" ht="45" customHeight="1" x14ac:dyDescent="0.15">
      <c r="B134" s="61" t="s">
        <v>134</v>
      </c>
      <c r="C134" s="126"/>
      <c r="D134" s="126"/>
      <c r="E134" s="126"/>
      <c r="F134" s="126"/>
      <c r="G134" s="126"/>
    </row>
    <row r="135" spans="1:7" ht="45" customHeight="1" x14ac:dyDescent="0.15">
      <c r="B135" s="61" t="s">
        <v>135</v>
      </c>
      <c r="C135" s="142" t="s">
        <v>110</v>
      </c>
      <c r="D135" s="142"/>
      <c r="E135" s="142"/>
      <c r="F135" s="142"/>
      <c r="G135" s="142"/>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41" t="s">
        <v>139</v>
      </c>
      <c r="C141" s="141"/>
      <c r="D141" s="141"/>
      <c r="E141" s="141"/>
      <c r="F141" s="141"/>
      <c r="G141" s="141"/>
    </row>
    <row r="142" spans="1:7" ht="18.75" customHeight="1" x14ac:dyDescent="0.15">
      <c r="B142" s="141"/>
      <c r="C142" s="141"/>
      <c r="D142" s="141"/>
      <c r="E142" s="141"/>
      <c r="F142" s="141"/>
      <c r="G142" s="141"/>
    </row>
    <row r="143" spans="1:7" ht="18.75" customHeight="1" x14ac:dyDescent="0.15">
      <c r="B143" s="141"/>
      <c r="C143" s="141"/>
      <c r="D143" s="141"/>
      <c r="E143" s="141"/>
      <c r="F143" s="141"/>
      <c r="G143" s="141"/>
    </row>
    <row r="144" spans="1:7" ht="18.75" customHeight="1" x14ac:dyDescent="0.15">
      <c r="B144" s="141"/>
      <c r="C144" s="141"/>
      <c r="D144" s="141"/>
      <c r="E144" s="141"/>
      <c r="F144" s="141"/>
      <c r="G144" s="1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7:G17"/>
    <mergeCell ref="D18:G18"/>
    <mergeCell ref="D19:G19"/>
    <mergeCell ref="D14:G14"/>
    <mergeCell ref="D15:G15"/>
    <mergeCell ref="D16:G16"/>
    <mergeCell ref="D23:G23"/>
    <mergeCell ref="D24:G24"/>
    <mergeCell ref="D25:G25"/>
    <mergeCell ref="D20:G20"/>
    <mergeCell ref="D21:G21"/>
    <mergeCell ref="D22:G22"/>
    <mergeCell ref="D35:G35"/>
    <mergeCell ref="D36:G36"/>
    <mergeCell ref="D37:G37"/>
    <mergeCell ref="D33:G33"/>
    <mergeCell ref="D34:G34"/>
    <mergeCell ref="C27:G31"/>
    <mergeCell ref="D32:G32"/>
    <mergeCell ref="D41:G41"/>
    <mergeCell ref="D42:G42"/>
    <mergeCell ref="D43:G43"/>
    <mergeCell ref="D38:G38"/>
    <mergeCell ref="D39:G39"/>
    <mergeCell ref="D40:G40"/>
    <mergeCell ref="D47:G47"/>
    <mergeCell ref="D48:G48"/>
    <mergeCell ref="D49:G49"/>
    <mergeCell ref="D44:G44"/>
    <mergeCell ref="D45:G45"/>
    <mergeCell ref="D46:G46"/>
    <mergeCell ref="D50:G50"/>
    <mergeCell ref="B51:B75"/>
    <mergeCell ref="C51:G51"/>
    <mergeCell ref="C52:G56"/>
    <mergeCell ref="B26:B50"/>
    <mergeCell ref="C26:G26"/>
    <mergeCell ref="D60:G60"/>
    <mergeCell ref="D61:G61"/>
    <mergeCell ref="D62:G62"/>
    <mergeCell ref="D57:G57"/>
    <mergeCell ref="D58:G58"/>
    <mergeCell ref="D59:G59"/>
    <mergeCell ref="D66:G66"/>
    <mergeCell ref="D67:G67"/>
    <mergeCell ref="D68:G68"/>
    <mergeCell ref="D63:G63"/>
    <mergeCell ref="D64:G64"/>
    <mergeCell ref="D65:G65"/>
    <mergeCell ref="D72:G72"/>
    <mergeCell ref="D73:G73"/>
    <mergeCell ref="D74:G74"/>
    <mergeCell ref="D69:G69"/>
    <mergeCell ref="D70:G70"/>
    <mergeCell ref="D71:G71"/>
    <mergeCell ref="D75:G75"/>
    <mergeCell ref="B76:B100"/>
    <mergeCell ref="C76:G76"/>
    <mergeCell ref="C77:G81"/>
    <mergeCell ref="D85:G85"/>
    <mergeCell ref="D86:G86"/>
    <mergeCell ref="D87:G87"/>
    <mergeCell ref="D82:G82"/>
    <mergeCell ref="D83:G83"/>
    <mergeCell ref="D84:G84"/>
    <mergeCell ref="D91:G91"/>
    <mergeCell ref="D92:G92"/>
    <mergeCell ref="D93:G93"/>
    <mergeCell ref="D88:G88"/>
    <mergeCell ref="D89:G89"/>
    <mergeCell ref="D90:G90"/>
    <mergeCell ref="D97:G97"/>
    <mergeCell ref="D98:G98"/>
    <mergeCell ref="D99:G99"/>
    <mergeCell ref="D94:G94"/>
    <mergeCell ref="D95:G95"/>
    <mergeCell ref="D96:G96"/>
    <mergeCell ref="D107:G107"/>
    <mergeCell ref="D108:G108"/>
    <mergeCell ref="D109:G109"/>
    <mergeCell ref="D100:G100"/>
    <mergeCell ref="B101:B125"/>
    <mergeCell ref="C101:G101"/>
    <mergeCell ref="C102:G106"/>
    <mergeCell ref="D114:G114"/>
    <mergeCell ref="D115:G115"/>
    <mergeCell ref="D116:G116"/>
    <mergeCell ref="D110:G110"/>
    <mergeCell ref="D111:G111"/>
    <mergeCell ref="D112:G112"/>
    <mergeCell ref="D113:G113"/>
    <mergeCell ref="D117:G117"/>
    <mergeCell ref="D118:G118"/>
    <mergeCell ref="D119:G119"/>
    <mergeCell ref="D120:G120"/>
    <mergeCell ref="D124:G124"/>
    <mergeCell ref="D125:G125"/>
    <mergeCell ref="E138:G138"/>
    <mergeCell ref="B141:G144"/>
    <mergeCell ref="C134:G134"/>
    <mergeCell ref="C135:G135"/>
    <mergeCell ref="C136:G136"/>
    <mergeCell ref="C127:G127"/>
    <mergeCell ref="D121:G121"/>
    <mergeCell ref="D122:G122"/>
    <mergeCell ref="D123:G123"/>
    <mergeCell ref="C131:G131"/>
    <mergeCell ref="C132:G132"/>
    <mergeCell ref="C133:G133"/>
    <mergeCell ref="C128:G128"/>
    <mergeCell ref="C129:G129"/>
    <mergeCell ref="C130:G130"/>
  </mergeCells>
  <phoneticPr fontId="18"/>
  <hyperlinks>
    <hyperlink ref="E138:G138" r:id="rId1" display="https://www.iess.ccsv.okayama-u.ac.jp/kikan/ds/literacylevel/" xr:uid="{A2DB78E9-16A7-4367-85F0-2D270F983934}"/>
  </hyperlinks>
  <printOptions horizontalCentered="1"/>
  <pageMargins left="0.78749999999999998" right="0.78749999999999998" top="0.59027777777777801" bottom="0.39374999999999999" header="0.51180555555555496" footer="0.51180555555555496"/>
  <pageSetup paperSize="9" scale="65" firstPageNumber="0" fitToHeight="0" orientation="portrait" horizontalDpi="300" verticalDpi="300" r:id="rId2"/>
  <rowBreaks count="2" manualBreakCount="2">
    <brk id="50" max="16383" man="1"/>
    <brk id="100"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E6C6-FCBE-45B0-A2BC-EBA8C89527B3}">
  <sheetPr>
    <pageSetUpPr fitToPage="1"/>
  </sheetPr>
  <dimension ref="A1:I150"/>
  <sheetViews>
    <sheetView view="pageBreakPreview" topLeftCell="A129" zoomScale="90" zoomScaleNormal="100" zoomScaleSheetLayoutView="90" zoomScalePageLayoutView="70"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2.375" style="26" customWidth="1"/>
    <col min="9" max="9" width="9" style="26"/>
  </cols>
  <sheetData>
    <row r="1" spans="1:7" ht="18.75" customHeight="1" x14ac:dyDescent="0.15">
      <c r="G1" s="58" t="s">
        <v>209</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8" t="s">
        <v>108</v>
      </c>
      <c r="D6" s="148"/>
      <c r="E6" s="148"/>
      <c r="F6" s="148"/>
      <c r="G6" s="148"/>
    </row>
    <row r="7" spans="1:7" s="30" customFormat="1" ht="45" customHeight="1" x14ac:dyDescent="0.15">
      <c r="B7" s="146"/>
      <c r="C7" s="148"/>
      <c r="D7" s="148"/>
      <c r="E7" s="148"/>
      <c r="F7" s="148"/>
      <c r="G7" s="148"/>
    </row>
    <row r="8" spans="1:7" s="30" customFormat="1" ht="45" customHeight="1" x14ac:dyDescent="0.15">
      <c r="B8" s="146"/>
      <c r="C8" s="148"/>
      <c r="D8" s="148"/>
      <c r="E8" s="148"/>
      <c r="F8" s="148"/>
      <c r="G8" s="148"/>
    </row>
    <row r="9" spans="1:7" s="30" customFormat="1" ht="45" customHeight="1" x14ac:dyDescent="0.15">
      <c r="B9" s="146"/>
      <c r="C9" s="148"/>
      <c r="D9" s="148"/>
      <c r="E9" s="148"/>
      <c r="F9" s="148"/>
      <c r="G9" s="148"/>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203</v>
      </c>
      <c r="E11" s="129"/>
      <c r="F11" s="129"/>
      <c r="G11" s="129"/>
    </row>
    <row r="12" spans="1:7" s="30" customFormat="1" ht="18.75" customHeight="1" x14ac:dyDescent="0.15">
      <c r="B12" s="146"/>
      <c r="C12" s="92"/>
      <c r="D12" s="129" t="s">
        <v>204</v>
      </c>
      <c r="E12" s="129"/>
      <c r="F12" s="129"/>
      <c r="G12" s="129"/>
    </row>
    <row r="13" spans="1:7" s="30" customFormat="1" ht="18.75" customHeight="1" x14ac:dyDescent="0.15">
      <c r="B13" s="146"/>
      <c r="C13" s="92"/>
      <c r="D13" s="129" t="s">
        <v>113</v>
      </c>
      <c r="E13" s="129"/>
      <c r="F13" s="129"/>
      <c r="G13" s="129"/>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8" t="s">
        <v>115</v>
      </c>
      <c r="D27" s="148"/>
      <c r="E27" s="148"/>
      <c r="F27" s="148"/>
      <c r="G27" s="148"/>
    </row>
    <row r="28" spans="2:7" ht="37.5" customHeight="1" x14ac:dyDescent="0.15">
      <c r="B28" s="149"/>
      <c r="C28" s="148"/>
      <c r="D28" s="148"/>
      <c r="E28" s="148"/>
      <c r="F28" s="148"/>
      <c r="G28" s="148"/>
    </row>
    <row r="29" spans="2:7" ht="37.5" customHeight="1" x14ac:dyDescent="0.15">
      <c r="B29" s="149"/>
      <c r="C29" s="148"/>
      <c r="D29" s="148"/>
      <c r="E29" s="148"/>
      <c r="F29" s="148"/>
      <c r="G29" s="148"/>
    </row>
    <row r="30" spans="2:7" ht="37.5" customHeight="1" x14ac:dyDescent="0.15">
      <c r="B30" s="149"/>
      <c r="C30" s="148"/>
      <c r="D30" s="148"/>
      <c r="E30" s="148"/>
      <c r="F30" s="148"/>
      <c r="G30" s="148"/>
    </row>
    <row r="31" spans="2:7" ht="37.5" customHeight="1" x14ac:dyDescent="0.15">
      <c r="B31" s="149"/>
      <c r="C31" s="148"/>
      <c r="D31" s="148"/>
      <c r="E31" s="148"/>
      <c r="F31" s="148"/>
      <c r="G31" s="148"/>
    </row>
    <row r="32" spans="2:7" ht="18.75" customHeight="1" x14ac:dyDescent="0.15">
      <c r="B32" s="149"/>
      <c r="C32" s="60" t="s">
        <v>68</v>
      </c>
      <c r="D32" s="144" t="s">
        <v>109</v>
      </c>
      <c r="E32" s="144"/>
      <c r="F32" s="144"/>
      <c r="G32" s="144"/>
    </row>
    <row r="33" spans="2:7" ht="18.75" customHeight="1" x14ac:dyDescent="0.15">
      <c r="B33" s="149"/>
      <c r="C33" s="92" t="s">
        <v>110</v>
      </c>
      <c r="D33" s="129" t="s">
        <v>203</v>
      </c>
      <c r="E33" s="129"/>
      <c r="F33" s="129"/>
      <c r="G33" s="129"/>
    </row>
    <row r="34" spans="2:7" ht="18.75" customHeight="1" x14ac:dyDescent="0.15">
      <c r="B34" s="149"/>
      <c r="C34" s="93"/>
      <c r="D34" s="129" t="s">
        <v>204</v>
      </c>
      <c r="E34" s="129"/>
      <c r="F34" s="129"/>
      <c r="G34" s="129"/>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118</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203</v>
      </c>
      <c r="E58" s="129"/>
      <c r="F58" s="129"/>
      <c r="G58" s="129"/>
    </row>
    <row r="59" spans="2:7" ht="18.75" customHeight="1" x14ac:dyDescent="0.15">
      <c r="B59" s="146"/>
      <c r="C59" s="93"/>
      <c r="D59" s="129" t="s">
        <v>204</v>
      </c>
      <c r="E59" s="129"/>
      <c r="F59" s="129"/>
      <c r="G59" s="129"/>
    </row>
    <row r="60" spans="2:7" ht="18.75" customHeight="1" x14ac:dyDescent="0.15">
      <c r="B60" s="146"/>
      <c r="C60" s="59"/>
      <c r="D60" s="150"/>
      <c r="E60" s="150"/>
      <c r="F60" s="150"/>
      <c r="G60" s="150"/>
    </row>
    <row r="61" spans="2:7" ht="18.75" customHeight="1" x14ac:dyDescent="0.15">
      <c r="B61" s="146"/>
      <c r="C61" s="59"/>
      <c r="D61" s="150"/>
      <c r="E61" s="150"/>
      <c r="F61" s="150"/>
      <c r="G61" s="150"/>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120</v>
      </c>
      <c r="D77" s="148"/>
      <c r="E77" s="148"/>
      <c r="F77" s="148"/>
      <c r="G77" s="148"/>
    </row>
    <row r="78" spans="2:7" ht="37.5" customHeight="1" x14ac:dyDescent="0.15">
      <c r="B78" s="146"/>
      <c r="C78" s="148"/>
      <c r="D78" s="148"/>
      <c r="E78" s="148"/>
      <c r="F78" s="148"/>
      <c r="G78" s="148"/>
    </row>
    <row r="79" spans="2:7" ht="37.5" customHeight="1" x14ac:dyDescent="0.15">
      <c r="B79" s="146"/>
      <c r="C79" s="148"/>
      <c r="D79" s="148"/>
      <c r="E79" s="148"/>
      <c r="F79" s="148"/>
      <c r="G79" s="148"/>
    </row>
    <row r="80" spans="2:7" ht="37.5" customHeight="1" x14ac:dyDescent="0.15">
      <c r="B80" s="146"/>
      <c r="C80" s="148"/>
      <c r="D80" s="148"/>
      <c r="E80" s="148"/>
      <c r="F80" s="148"/>
      <c r="G80" s="148"/>
    </row>
    <row r="81" spans="2:7" ht="37.5" customHeight="1" x14ac:dyDescent="0.15">
      <c r="B81" s="146"/>
      <c r="C81" s="148"/>
      <c r="D81" s="148"/>
      <c r="E81" s="148"/>
      <c r="F81" s="148"/>
      <c r="G81" s="148"/>
    </row>
    <row r="82" spans="2:7" ht="18.75" customHeight="1" x14ac:dyDescent="0.15">
      <c r="B82" s="146"/>
      <c r="C82" s="60" t="s">
        <v>68</v>
      </c>
      <c r="D82" s="144" t="s">
        <v>109</v>
      </c>
      <c r="E82" s="144"/>
      <c r="F82" s="144"/>
      <c r="G82" s="144"/>
    </row>
    <row r="83" spans="2:7" ht="18.75" customHeight="1" x14ac:dyDescent="0.15">
      <c r="B83" s="146"/>
      <c r="C83" s="92" t="s">
        <v>110</v>
      </c>
      <c r="D83" s="129" t="s">
        <v>206</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147" t="s">
        <v>123</v>
      </c>
      <c r="D102" s="147"/>
      <c r="E102" s="147"/>
      <c r="F102" s="147"/>
      <c r="G102" s="147"/>
    </row>
    <row r="103" spans="2:7" ht="37.5" customHeight="1" x14ac:dyDescent="0.15">
      <c r="B103" s="146"/>
      <c r="C103" s="147"/>
      <c r="D103" s="147"/>
      <c r="E103" s="147"/>
      <c r="F103" s="147"/>
      <c r="G103" s="147"/>
    </row>
    <row r="104" spans="2:7" ht="37.5" customHeight="1" x14ac:dyDescent="0.15">
      <c r="B104" s="146"/>
      <c r="C104" s="147"/>
      <c r="D104" s="147"/>
      <c r="E104" s="147"/>
      <c r="F104" s="147"/>
      <c r="G104" s="147"/>
    </row>
    <row r="105" spans="2:7" ht="37.5" customHeight="1" x14ac:dyDescent="0.15">
      <c r="B105" s="146"/>
      <c r="C105" s="147"/>
      <c r="D105" s="147"/>
      <c r="E105" s="147"/>
      <c r="F105" s="147"/>
      <c r="G105" s="147"/>
    </row>
    <row r="106" spans="2:7" ht="37.5" customHeight="1" x14ac:dyDescent="0.15">
      <c r="B106" s="146"/>
      <c r="C106" s="147"/>
      <c r="D106" s="147"/>
      <c r="E106" s="147"/>
      <c r="F106" s="147"/>
      <c r="G106" s="147"/>
    </row>
    <row r="107" spans="2:7" ht="18.75" customHeight="1" x14ac:dyDescent="0.15">
      <c r="B107" s="146"/>
      <c r="C107" s="60" t="s">
        <v>68</v>
      </c>
      <c r="D107" s="144" t="s">
        <v>109</v>
      </c>
      <c r="E107" s="144"/>
      <c r="F107" s="144"/>
      <c r="G107" s="144"/>
    </row>
    <row r="108" spans="2:7" ht="18.75" customHeight="1" x14ac:dyDescent="0.15">
      <c r="B108" s="146"/>
      <c r="C108" s="92" t="s">
        <v>110</v>
      </c>
      <c r="D108" s="129" t="s">
        <v>207</v>
      </c>
      <c r="E108" s="129"/>
      <c r="F108" s="129"/>
      <c r="G108" s="129"/>
    </row>
    <row r="109" spans="2:7" ht="18.75" customHeight="1" x14ac:dyDescent="0.15">
      <c r="B109" s="146"/>
      <c r="C109" s="93"/>
      <c r="D109" s="129" t="s">
        <v>208</v>
      </c>
      <c r="E109" s="129"/>
      <c r="F109" s="129"/>
      <c r="G109" s="129"/>
    </row>
    <row r="110" spans="2:7" ht="18.75" customHeight="1" x14ac:dyDescent="0.15">
      <c r="B110" s="146"/>
      <c r="C110" s="93"/>
      <c r="D110" s="129" t="s">
        <v>204</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2" t="s">
        <v>110</v>
      </c>
      <c r="D128" s="142"/>
      <c r="E128" s="142"/>
      <c r="F128" s="142"/>
      <c r="G128" s="142"/>
    </row>
    <row r="129" spans="1:7" ht="45" customHeight="1" x14ac:dyDescent="0.15">
      <c r="B129" s="61" t="s">
        <v>129</v>
      </c>
      <c r="C129" s="126"/>
      <c r="D129" s="126"/>
      <c r="E129" s="126"/>
      <c r="F129" s="126"/>
      <c r="G129" s="126"/>
    </row>
    <row r="130" spans="1:7" ht="45" customHeight="1" x14ac:dyDescent="0.15">
      <c r="B130" s="61" t="s">
        <v>130</v>
      </c>
      <c r="C130" s="126"/>
      <c r="D130" s="126"/>
      <c r="E130" s="126"/>
      <c r="F130" s="126"/>
      <c r="G130" s="126"/>
    </row>
    <row r="131" spans="1:7" ht="45" customHeight="1" x14ac:dyDescent="0.15">
      <c r="B131" s="61" t="s">
        <v>131</v>
      </c>
      <c r="C131" s="126"/>
      <c r="D131" s="126"/>
      <c r="E131" s="126"/>
      <c r="F131" s="126"/>
      <c r="G131" s="126"/>
    </row>
    <row r="132" spans="1:7" ht="45" customHeight="1" x14ac:dyDescent="0.15">
      <c r="B132" s="61" t="s">
        <v>132</v>
      </c>
      <c r="C132" s="126"/>
      <c r="D132" s="126"/>
      <c r="E132" s="126"/>
      <c r="F132" s="126"/>
      <c r="G132" s="126"/>
    </row>
    <row r="133" spans="1:7" ht="45" customHeight="1" x14ac:dyDescent="0.15">
      <c r="B133" s="61" t="s">
        <v>133</v>
      </c>
      <c r="C133" s="142" t="s">
        <v>110</v>
      </c>
      <c r="D133" s="142"/>
      <c r="E133" s="142"/>
      <c r="F133" s="142"/>
      <c r="G133" s="142"/>
    </row>
    <row r="134" spans="1:7" ht="45" customHeight="1" x14ac:dyDescent="0.15">
      <c r="B134" s="61" t="s">
        <v>134</v>
      </c>
      <c r="C134" s="126"/>
      <c r="D134" s="126"/>
      <c r="E134" s="126"/>
      <c r="F134" s="126"/>
      <c r="G134" s="126"/>
    </row>
    <row r="135" spans="1:7" ht="45" customHeight="1" x14ac:dyDescent="0.15">
      <c r="B135" s="61" t="s">
        <v>135</v>
      </c>
      <c r="C135" s="142" t="s">
        <v>110</v>
      </c>
      <c r="D135" s="142"/>
      <c r="E135" s="142"/>
      <c r="F135" s="142"/>
      <c r="G135" s="142"/>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41" t="s">
        <v>139</v>
      </c>
      <c r="C141" s="141"/>
      <c r="D141" s="141"/>
      <c r="E141" s="141"/>
      <c r="F141" s="141"/>
      <c r="G141" s="141"/>
    </row>
    <row r="142" spans="1:7" ht="18.75" customHeight="1" x14ac:dyDescent="0.15">
      <c r="B142" s="141"/>
      <c r="C142" s="141"/>
      <c r="D142" s="141"/>
      <c r="E142" s="141"/>
      <c r="F142" s="141"/>
      <c r="G142" s="141"/>
    </row>
    <row r="143" spans="1:7" ht="18.75" customHeight="1" x14ac:dyDescent="0.15">
      <c r="B143" s="141"/>
      <c r="C143" s="141"/>
      <c r="D143" s="141"/>
      <c r="E143" s="141"/>
      <c r="F143" s="141"/>
      <c r="G143" s="141"/>
    </row>
    <row r="144" spans="1:7" ht="18.75" customHeight="1" x14ac:dyDescent="0.15">
      <c r="B144" s="141"/>
      <c r="C144" s="141"/>
      <c r="D144" s="141"/>
      <c r="E144" s="141"/>
      <c r="F144" s="141"/>
      <c r="G144" s="1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7:G17"/>
    <mergeCell ref="D18:G18"/>
    <mergeCell ref="D19:G19"/>
    <mergeCell ref="D14:G14"/>
    <mergeCell ref="D15:G15"/>
    <mergeCell ref="D16:G16"/>
    <mergeCell ref="D23:G23"/>
    <mergeCell ref="D24:G24"/>
    <mergeCell ref="D25:G25"/>
    <mergeCell ref="D20:G20"/>
    <mergeCell ref="D21:G21"/>
    <mergeCell ref="D22:G22"/>
    <mergeCell ref="D35:G35"/>
    <mergeCell ref="D36:G36"/>
    <mergeCell ref="D37:G37"/>
    <mergeCell ref="D33:G33"/>
    <mergeCell ref="D34:G34"/>
    <mergeCell ref="C27:G31"/>
    <mergeCell ref="D32:G32"/>
    <mergeCell ref="D41:G41"/>
    <mergeCell ref="D42:G42"/>
    <mergeCell ref="D43:G43"/>
    <mergeCell ref="D38:G38"/>
    <mergeCell ref="D39:G39"/>
    <mergeCell ref="D40:G40"/>
    <mergeCell ref="D47:G47"/>
    <mergeCell ref="D48:G48"/>
    <mergeCell ref="D49:G49"/>
    <mergeCell ref="D44:G44"/>
    <mergeCell ref="D45:G45"/>
    <mergeCell ref="D46:G46"/>
    <mergeCell ref="D50:G50"/>
    <mergeCell ref="B51:B75"/>
    <mergeCell ref="C51:G51"/>
    <mergeCell ref="C52:G56"/>
    <mergeCell ref="B26:B50"/>
    <mergeCell ref="C26:G26"/>
    <mergeCell ref="D60:G60"/>
    <mergeCell ref="D61:G61"/>
    <mergeCell ref="D62:G62"/>
    <mergeCell ref="D57:G57"/>
    <mergeCell ref="D58:G58"/>
    <mergeCell ref="D59:G59"/>
    <mergeCell ref="D66:G66"/>
    <mergeCell ref="D67:G67"/>
    <mergeCell ref="D68:G68"/>
    <mergeCell ref="D63:G63"/>
    <mergeCell ref="D64:G64"/>
    <mergeCell ref="D65:G65"/>
    <mergeCell ref="D72:G72"/>
    <mergeCell ref="D73:G73"/>
    <mergeCell ref="D74:G74"/>
    <mergeCell ref="D69:G69"/>
    <mergeCell ref="D70:G70"/>
    <mergeCell ref="D71:G71"/>
    <mergeCell ref="D75:G75"/>
    <mergeCell ref="B76:B100"/>
    <mergeCell ref="C76:G76"/>
    <mergeCell ref="C77:G81"/>
    <mergeCell ref="D85:G85"/>
    <mergeCell ref="D86:G86"/>
    <mergeCell ref="D87:G87"/>
    <mergeCell ref="D82:G82"/>
    <mergeCell ref="D83:G83"/>
    <mergeCell ref="D84:G84"/>
    <mergeCell ref="D91:G91"/>
    <mergeCell ref="D92:G92"/>
    <mergeCell ref="D93:G93"/>
    <mergeCell ref="D88:G88"/>
    <mergeCell ref="D89:G89"/>
    <mergeCell ref="D90:G90"/>
    <mergeCell ref="D97:G97"/>
    <mergeCell ref="D98:G98"/>
    <mergeCell ref="D99:G99"/>
    <mergeCell ref="D94:G94"/>
    <mergeCell ref="D95:G95"/>
    <mergeCell ref="D96:G96"/>
    <mergeCell ref="D107:G107"/>
    <mergeCell ref="D108:G108"/>
    <mergeCell ref="D109:G109"/>
    <mergeCell ref="D100:G100"/>
    <mergeCell ref="B101:B125"/>
    <mergeCell ref="C101:G101"/>
    <mergeCell ref="C102:G106"/>
    <mergeCell ref="D114:G114"/>
    <mergeCell ref="D115:G115"/>
    <mergeCell ref="D116:G116"/>
    <mergeCell ref="D110:G110"/>
    <mergeCell ref="D111:G111"/>
    <mergeCell ref="D112:G112"/>
    <mergeCell ref="D113:G113"/>
    <mergeCell ref="D117:G117"/>
    <mergeCell ref="D118:G118"/>
    <mergeCell ref="D119:G119"/>
    <mergeCell ref="D120:G120"/>
    <mergeCell ref="D124:G124"/>
    <mergeCell ref="D125:G125"/>
    <mergeCell ref="E138:G138"/>
    <mergeCell ref="B141:G144"/>
    <mergeCell ref="C134:G134"/>
    <mergeCell ref="C135:G135"/>
    <mergeCell ref="C136:G136"/>
    <mergeCell ref="C127:G127"/>
    <mergeCell ref="D121:G121"/>
    <mergeCell ref="D122:G122"/>
    <mergeCell ref="D123:G123"/>
    <mergeCell ref="C131:G131"/>
    <mergeCell ref="C132:G132"/>
    <mergeCell ref="C133:G133"/>
    <mergeCell ref="C128:G128"/>
    <mergeCell ref="C129:G129"/>
    <mergeCell ref="C130:G130"/>
  </mergeCells>
  <phoneticPr fontId="18"/>
  <hyperlinks>
    <hyperlink ref="E138:G138" r:id="rId1" display="https://www.iess.ccsv.okayama-u.ac.jp/kikan/ds/literacylevel/" xr:uid="{B30B7F7A-315C-4455-8E41-8704BA982802}"/>
  </hyperlinks>
  <printOptions horizontalCentered="1"/>
  <pageMargins left="0.78749999999999998" right="0.78749999999999998" top="0.59027777777777801" bottom="0.39374999999999999" header="0.51180555555555496" footer="0.51180555555555496"/>
  <pageSetup paperSize="9" scale="65" firstPageNumber="0" fitToHeight="0" orientation="portrait" horizontalDpi="300" verticalDpi="300" r:id="rId2"/>
  <rowBreaks count="2" manualBreakCount="2">
    <brk id="50" max="16383" man="1"/>
    <brk id="10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9E4E-7FBD-4577-A625-9E89E38B712E}">
  <sheetPr>
    <pageSetUpPr fitToPage="1"/>
  </sheetPr>
  <dimension ref="A1:I150"/>
  <sheetViews>
    <sheetView view="pageBreakPreview" topLeftCell="A127" zoomScale="90" zoomScaleNormal="100" zoomScaleSheetLayoutView="90" zoomScalePageLayoutView="70"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2.375" style="26" customWidth="1"/>
    <col min="9" max="9" width="9" style="26"/>
  </cols>
  <sheetData>
    <row r="1" spans="1:7" ht="18.75" customHeight="1" x14ac:dyDescent="0.15">
      <c r="G1" s="58" t="s">
        <v>210</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8" t="s">
        <v>108</v>
      </c>
      <c r="D6" s="148"/>
      <c r="E6" s="148"/>
      <c r="F6" s="148"/>
      <c r="G6" s="148"/>
    </row>
    <row r="7" spans="1:7" s="30" customFormat="1" ht="45" customHeight="1" x14ac:dyDescent="0.15">
      <c r="B7" s="146"/>
      <c r="C7" s="148"/>
      <c r="D7" s="148"/>
      <c r="E7" s="148"/>
      <c r="F7" s="148"/>
      <c r="G7" s="148"/>
    </row>
    <row r="8" spans="1:7" s="30" customFormat="1" ht="45" customHeight="1" x14ac:dyDescent="0.15">
      <c r="B8" s="146"/>
      <c r="C8" s="148"/>
      <c r="D8" s="148"/>
      <c r="E8" s="148"/>
      <c r="F8" s="148"/>
      <c r="G8" s="148"/>
    </row>
    <row r="9" spans="1:7" s="30" customFormat="1" ht="45" customHeight="1" x14ac:dyDescent="0.15">
      <c r="B9" s="146"/>
      <c r="C9" s="148"/>
      <c r="D9" s="148"/>
      <c r="E9" s="148"/>
      <c r="F9" s="148"/>
      <c r="G9" s="148"/>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111</v>
      </c>
      <c r="E11" s="129"/>
      <c r="F11" s="129"/>
      <c r="G11" s="129"/>
    </row>
    <row r="12" spans="1:7" s="30" customFormat="1" ht="18.75" customHeight="1" x14ac:dyDescent="0.15">
      <c r="B12" s="146"/>
      <c r="C12" s="92"/>
      <c r="D12" s="129" t="s">
        <v>116</v>
      </c>
      <c r="E12" s="129"/>
      <c r="F12" s="129"/>
      <c r="G12" s="129"/>
    </row>
    <row r="13" spans="1:7" s="30" customFormat="1" ht="18.75" customHeight="1" x14ac:dyDescent="0.15">
      <c r="B13" s="146"/>
      <c r="C13" s="92"/>
      <c r="D13" s="129" t="s">
        <v>113</v>
      </c>
      <c r="E13" s="129"/>
      <c r="F13" s="129"/>
      <c r="G13" s="129"/>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8" t="s">
        <v>115</v>
      </c>
      <c r="D27" s="148"/>
      <c r="E27" s="148"/>
      <c r="F27" s="148"/>
      <c r="G27" s="148"/>
    </row>
    <row r="28" spans="2:7" ht="37.5" customHeight="1" x14ac:dyDescent="0.15">
      <c r="B28" s="149"/>
      <c r="C28" s="148"/>
      <c r="D28" s="148"/>
      <c r="E28" s="148"/>
      <c r="F28" s="148"/>
      <c r="G28" s="148"/>
    </row>
    <row r="29" spans="2:7" ht="37.5" customHeight="1" x14ac:dyDescent="0.15">
      <c r="B29" s="149"/>
      <c r="C29" s="148"/>
      <c r="D29" s="148"/>
      <c r="E29" s="148"/>
      <c r="F29" s="148"/>
      <c r="G29" s="148"/>
    </row>
    <row r="30" spans="2:7" ht="37.5" customHeight="1" x14ac:dyDescent="0.15">
      <c r="B30" s="149"/>
      <c r="C30" s="148"/>
      <c r="D30" s="148"/>
      <c r="E30" s="148"/>
      <c r="F30" s="148"/>
      <c r="G30" s="148"/>
    </row>
    <row r="31" spans="2:7" ht="37.5" customHeight="1" x14ac:dyDescent="0.15">
      <c r="B31" s="149"/>
      <c r="C31" s="148"/>
      <c r="D31" s="148"/>
      <c r="E31" s="148"/>
      <c r="F31" s="148"/>
      <c r="G31" s="148"/>
    </row>
    <row r="32" spans="2:7" ht="18.75" customHeight="1" x14ac:dyDescent="0.15">
      <c r="B32" s="149"/>
      <c r="C32" s="60" t="s">
        <v>68</v>
      </c>
      <c r="D32" s="144" t="s">
        <v>109</v>
      </c>
      <c r="E32" s="144"/>
      <c r="F32" s="144"/>
      <c r="G32" s="144"/>
    </row>
    <row r="33" spans="2:7" ht="18.75" customHeight="1" x14ac:dyDescent="0.15">
      <c r="B33" s="149"/>
      <c r="C33" s="92" t="s">
        <v>110</v>
      </c>
      <c r="D33" s="129" t="s">
        <v>111</v>
      </c>
      <c r="E33" s="129"/>
      <c r="F33" s="129"/>
      <c r="G33" s="129"/>
    </row>
    <row r="34" spans="2:7" ht="18.75" customHeight="1" x14ac:dyDescent="0.15">
      <c r="B34" s="149"/>
      <c r="C34" s="93"/>
      <c r="D34" s="129" t="s">
        <v>116</v>
      </c>
      <c r="E34" s="129"/>
      <c r="F34" s="129"/>
      <c r="G34" s="129"/>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118</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111</v>
      </c>
      <c r="E58" s="129"/>
      <c r="F58" s="129"/>
      <c r="G58" s="129"/>
    </row>
    <row r="59" spans="2:7" ht="18.75" customHeight="1" x14ac:dyDescent="0.15">
      <c r="B59" s="146"/>
      <c r="C59" s="93"/>
      <c r="D59" s="129" t="s">
        <v>116</v>
      </c>
      <c r="E59" s="129"/>
      <c r="F59" s="129"/>
      <c r="G59" s="129"/>
    </row>
    <row r="60" spans="2:7" ht="18.75" customHeight="1" x14ac:dyDescent="0.15">
      <c r="B60" s="146"/>
      <c r="C60" s="59"/>
      <c r="D60" s="150"/>
      <c r="E60" s="150"/>
      <c r="F60" s="150"/>
      <c r="G60" s="150"/>
    </row>
    <row r="61" spans="2:7" ht="18.75" customHeight="1" x14ac:dyDescent="0.15">
      <c r="B61" s="146"/>
      <c r="C61" s="59"/>
      <c r="D61" s="150"/>
      <c r="E61" s="150"/>
      <c r="F61" s="150"/>
      <c r="G61" s="150"/>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120</v>
      </c>
      <c r="D77" s="148"/>
      <c r="E77" s="148"/>
      <c r="F77" s="148"/>
      <c r="G77" s="148"/>
    </row>
    <row r="78" spans="2:7" ht="37.5" customHeight="1" x14ac:dyDescent="0.15">
      <c r="B78" s="146"/>
      <c r="C78" s="148"/>
      <c r="D78" s="148"/>
      <c r="E78" s="148"/>
      <c r="F78" s="148"/>
      <c r="G78" s="148"/>
    </row>
    <row r="79" spans="2:7" ht="37.5" customHeight="1" x14ac:dyDescent="0.15">
      <c r="B79" s="146"/>
      <c r="C79" s="148"/>
      <c r="D79" s="148"/>
      <c r="E79" s="148"/>
      <c r="F79" s="148"/>
      <c r="G79" s="148"/>
    </row>
    <row r="80" spans="2:7" ht="37.5" customHeight="1" x14ac:dyDescent="0.15">
      <c r="B80" s="146"/>
      <c r="C80" s="148"/>
      <c r="D80" s="148"/>
      <c r="E80" s="148"/>
      <c r="F80" s="148"/>
      <c r="G80" s="148"/>
    </row>
    <row r="81" spans="2:7" ht="37.5" customHeight="1" x14ac:dyDescent="0.15">
      <c r="B81" s="146"/>
      <c r="C81" s="148"/>
      <c r="D81" s="148"/>
      <c r="E81" s="148"/>
      <c r="F81" s="148"/>
      <c r="G81" s="148"/>
    </row>
    <row r="82" spans="2:7" ht="18.75" customHeight="1" x14ac:dyDescent="0.15">
      <c r="B82" s="146"/>
      <c r="C82" s="60" t="s">
        <v>68</v>
      </c>
      <c r="D82" s="144" t="s">
        <v>109</v>
      </c>
      <c r="E82" s="144"/>
      <c r="F82" s="144"/>
      <c r="G82" s="144"/>
    </row>
    <row r="83" spans="2:7" ht="18.75" customHeight="1" x14ac:dyDescent="0.15">
      <c r="B83" s="146"/>
      <c r="C83" s="92" t="s">
        <v>110</v>
      </c>
      <c r="D83" s="129" t="s">
        <v>121</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147" t="s">
        <v>123</v>
      </c>
      <c r="D102" s="147"/>
      <c r="E102" s="147"/>
      <c r="F102" s="147"/>
      <c r="G102" s="147"/>
    </row>
    <row r="103" spans="2:7" ht="37.5" customHeight="1" x14ac:dyDescent="0.15">
      <c r="B103" s="146"/>
      <c r="C103" s="147"/>
      <c r="D103" s="147"/>
      <c r="E103" s="147"/>
      <c r="F103" s="147"/>
      <c r="G103" s="147"/>
    </row>
    <row r="104" spans="2:7" ht="37.5" customHeight="1" x14ac:dyDescent="0.15">
      <c r="B104" s="146"/>
      <c r="C104" s="147"/>
      <c r="D104" s="147"/>
      <c r="E104" s="147"/>
      <c r="F104" s="147"/>
      <c r="G104" s="147"/>
    </row>
    <row r="105" spans="2:7" ht="37.5" customHeight="1" x14ac:dyDescent="0.15">
      <c r="B105" s="146"/>
      <c r="C105" s="147"/>
      <c r="D105" s="147"/>
      <c r="E105" s="147"/>
      <c r="F105" s="147"/>
      <c r="G105" s="147"/>
    </row>
    <row r="106" spans="2:7" ht="37.5" customHeight="1" x14ac:dyDescent="0.15">
      <c r="B106" s="146"/>
      <c r="C106" s="147"/>
      <c r="D106" s="147"/>
      <c r="E106" s="147"/>
      <c r="F106" s="147"/>
      <c r="G106" s="147"/>
    </row>
    <row r="107" spans="2:7" ht="18.75" customHeight="1" x14ac:dyDescent="0.15">
      <c r="B107" s="146"/>
      <c r="C107" s="60" t="s">
        <v>68</v>
      </c>
      <c r="D107" s="144" t="s">
        <v>109</v>
      </c>
      <c r="E107" s="144"/>
      <c r="F107" s="144"/>
      <c r="G107" s="144"/>
    </row>
    <row r="108" spans="2:7" ht="18.75" customHeight="1" x14ac:dyDescent="0.15">
      <c r="B108" s="146"/>
      <c r="C108" s="92" t="s">
        <v>110</v>
      </c>
      <c r="D108" s="129" t="s">
        <v>124</v>
      </c>
      <c r="E108" s="129"/>
      <c r="F108" s="129"/>
      <c r="G108" s="129"/>
    </row>
    <row r="109" spans="2:7" ht="18.75" customHeight="1" x14ac:dyDescent="0.15">
      <c r="B109" s="146"/>
      <c r="C109" s="93"/>
      <c r="D109" s="129" t="s">
        <v>125</v>
      </c>
      <c r="E109" s="129"/>
      <c r="F109" s="129"/>
      <c r="G109" s="129"/>
    </row>
    <row r="110" spans="2:7" ht="18.75" customHeight="1" x14ac:dyDescent="0.15">
      <c r="B110" s="146"/>
      <c r="C110" s="93"/>
      <c r="D110" s="129" t="s">
        <v>126</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2" t="s">
        <v>110</v>
      </c>
      <c r="D128" s="142"/>
      <c r="E128" s="142"/>
      <c r="F128" s="142"/>
      <c r="G128" s="142"/>
    </row>
    <row r="129" spans="1:7" ht="45" customHeight="1" x14ac:dyDescent="0.15">
      <c r="B129" s="61" t="s">
        <v>129</v>
      </c>
      <c r="C129" s="126"/>
      <c r="D129" s="126"/>
      <c r="E129" s="126"/>
      <c r="F129" s="126"/>
      <c r="G129" s="126"/>
    </row>
    <row r="130" spans="1:7" ht="45" customHeight="1" x14ac:dyDescent="0.15">
      <c r="B130" s="61" t="s">
        <v>130</v>
      </c>
      <c r="C130" s="126"/>
      <c r="D130" s="126"/>
      <c r="E130" s="126"/>
      <c r="F130" s="126"/>
      <c r="G130" s="126"/>
    </row>
    <row r="131" spans="1:7" ht="45" customHeight="1" x14ac:dyDescent="0.15">
      <c r="B131" s="61" t="s">
        <v>131</v>
      </c>
      <c r="C131" s="126"/>
      <c r="D131" s="126"/>
      <c r="E131" s="126"/>
      <c r="F131" s="126"/>
      <c r="G131" s="126"/>
    </row>
    <row r="132" spans="1:7" ht="45" customHeight="1" x14ac:dyDescent="0.15">
      <c r="B132" s="61" t="s">
        <v>132</v>
      </c>
      <c r="C132" s="126"/>
      <c r="D132" s="126"/>
      <c r="E132" s="126"/>
      <c r="F132" s="126"/>
      <c r="G132" s="126"/>
    </row>
    <row r="133" spans="1:7" ht="45" customHeight="1" x14ac:dyDescent="0.15">
      <c r="B133" s="61" t="s">
        <v>133</v>
      </c>
      <c r="C133" s="142" t="s">
        <v>110</v>
      </c>
      <c r="D133" s="142"/>
      <c r="E133" s="142"/>
      <c r="F133" s="142"/>
      <c r="G133" s="142"/>
    </row>
    <row r="134" spans="1:7" ht="45" customHeight="1" x14ac:dyDescent="0.15">
      <c r="B134" s="61" t="s">
        <v>134</v>
      </c>
      <c r="C134" s="126"/>
      <c r="D134" s="126"/>
      <c r="E134" s="126"/>
      <c r="F134" s="126"/>
      <c r="G134" s="126"/>
    </row>
    <row r="135" spans="1:7" ht="45" customHeight="1" x14ac:dyDescent="0.15">
      <c r="B135" s="61" t="s">
        <v>135</v>
      </c>
      <c r="C135" s="142" t="s">
        <v>110</v>
      </c>
      <c r="D135" s="142"/>
      <c r="E135" s="142"/>
      <c r="F135" s="142"/>
      <c r="G135" s="142"/>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41" t="s">
        <v>211</v>
      </c>
      <c r="C141" s="141"/>
      <c r="D141" s="141"/>
      <c r="E141" s="141"/>
      <c r="F141" s="141"/>
      <c r="G141" s="141"/>
    </row>
    <row r="142" spans="1:7" ht="18.75" customHeight="1" x14ac:dyDescent="0.15">
      <c r="B142" s="141"/>
      <c r="C142" s="141"/>
      <c r="D142" s="141"/>
      <c r="E142" s="141"/>
      <c r="F142" s="141"/>
      <c r="G142" s="141"/>
    </row>
    <row r="143" spans="1:7" ht="18.75" customHeight="1" x14ac:dyDescent="0.15">
      <c r="B143" s="141"/>
      <c r="C143" s="141"/>
      <c r="D143" s="141"/>
      <c r="E143" s="141"/>
      <c r="F143" s="141"/>
      <c r="G143" s="141"/>
    </row>
    <row r="144" spans="1:7" ht="18.75" customHeight="1" x14ac:dyDescent="0.15">
      <c r="B144" s="141"/>
      <c r="C144" s="141"/>
      <c r="D144" s="141"/>
      <c r="E144" s="141"/>
      <c r="F144" s="141"/>
      <c r="G144" s="1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A3:G3"/>
    <mergeCell ref="C5:G5"/>
    <mergeCell ref="B6:B25"/>
    <mergeCell ref="C6:G9"/>
    <mergeCell ref="D10:G10"/>
    <mergeCell ref="D11:G11"/>
    <mergeCell ref="D12:G12"/>
    <mergeCell ref="D13:G13"/>
    <mergeCell ref="D17:G17"/>
    <mergeCell ref="D18:G18"/>
    <mergeCell ref="D19:G19"/>
    <mergeCell ref="D14:G14"/>
    <mergeCell ref="D15:G15"/>
    <mergeCell ref="D16:G16"/>
    <mergeCell ref="D23:G23"/>
    <mergeCell ref="D24:G24"/>
    <mergeCell ref="D25:G25"/>
    <mergeCell ref="D20:G20"/>
    <mergeCell ref="D21:G21"/>
    <mergeCell ref="D22:G22"/>
    <mergeCell ref="D35:G35"/>
    <mergeCell ref="D36:G36"/>
    <mergeCell ref="D37:G37"/>
    <mergeCell ref="D33:G33"/>
    <mergeCell ref="D34:G34"/>
    <mergeCell ref="C27:G31"/>
    <mergeCell ref="D32:G32"/>
    <mergeCell ref="D41:G41"/>
    <mergeCell ref="D42:G42"/>
    <mergeCell ref="D43:G43"/>
    <mergeCell ref="D38:G38"/>
    <mergeCell ref="D39:G39"/>
    <mergeCell ref="D40:G40"/>
    <mergeCell ref="D47:G47"/>
    <mergeCell ref="D48:G48"/>
    <mergeCell ref="D49:G49"/>
    <mergeCell ref="D44:G44"/>
    <mergeCell ref="D45:G45"/>
    <mergeCell ref="D46:G46"/>
    <mergeCell ref="D50:G50"/>
    <mergeCell ref="B51:B75"/>
    <mergeCell ref="C51:G51"/>
    <mergeCell ref="C52:G56"/>
    <mergeCell ref="B26:B50"/>
    <mergeCell ref="C26:G26"/>
    <mergeCell ref="D60:G60"/>
    <mergeCell ref="D61:G61"/>
    <mergeCell ref="D62:G62"/>
    <mergeCell ref="D57:G57"/>
    <mergeCell ref="D58:G58"/>
    <mergeCell ref="D59:G59"/>
    <mergeCell ref="D66:G66"/>
    <mergeCell ref="D67:G67"/>
    <mergeCell ref="D68:G68"/>
    <mergeCell ref="D63:G63"/>
    <mergeCell ref="D64:G64"/>
    <mergeCell ref="D65:G65"/>
    <mergeCell ref="D72:G72"/>
    <mergeCell ref="D73:G73"/>
    <mergeCell ref="D74:G74"/>
    <mergeCell ref="D69:G69"/>
    <mergeCell ref="D70:G70"/>
    <mergeCell ref="D71:G71"/>
    <mergeCell ref="D75:G75"/>
    <mergeCell ref="B76:B100"/>
    <mergeCell ref="C76:G76"/>
    <mergeCell ref="C77:G81"/>
    <mergeCell ref="D85:G85"/>
    <mergeCell ref="D86:G86"/>
    <mergeCell ref="D87:G87"/>
    <mergeCell ref="D82:G82"/>
    <mergeCell ref="D83:G83"/>
    <mergeCell ref="D84:G84"/>
    <mergeCell ref="D91:G91"/>
    <mergeCell ref="D92:G92"/>
    <mergeCell ref="D93:G93"/>
    <mergeCell ref="D88:G88"/>
    <mergeCell ref="D89:G89"/>
    <mergeCell ref="D90:G90"/>
    <mergeCell ref="D97:G97"/>
    <mergeCell ref="D98:G98"/>
    <mergeCell ref="D99:G99"/>
    <mergeCell ref="D94:G94"/>
    <mergeCell ref="D95:G95"/>
    <mergeCell ref="D96:G96"/>
    <mergeCell ref="D107:G107"/>
    <mergeCell ref="D108:G108"/>
    <mergeCell ref="D109:G109"/>
    <mergeCell ref="D100:G100"/>
    <mergeCell ref="B101:B125"/>
    <mergeCell ref="C101:G101"/>
    <mergeCell ref="C102:G106"/>
    <mergeCell ref="D114:G114"/>
    <mergeCell ref="D115:G115"/>
    <mergeCell ref="D116:G116"/>
    <mergeCell ref="D110:G110"/>
    <mergeCell ref="D111:G111"/>
    <mergeCell ref="D112:G112"/>
    <mergeCell ref="D113:G113"/>
    <mergeCell ref="D117:G117"/>
    <mergeCell ref="D118:G118"/>
    <mergeCell ref="D119:G119"/>
    <mergeCell ref="D120:G120"/>
    <mergeCell ref="D124:G124"/>
    <mergeCell ref="D125:G125"/>
    <mergeCell ref="E138:G138"/>
    <mergeCell ref="B141:G144"/>
    <mergeCell ref="C134:G134"/>
    <mergeCell ref="C135:G135"/>
    <mergeCell ref="C136:G136"/>
    <mergeCell ref="C127:G127"/>
    <mergeCell ref="D121:G121"/>
    <mergeCell ref="D122:G122"/>
    <mergeCell ref="D123:G123"/>
    <mergeCell ref="C131:G131"/>
    <mergeCell ref="C132:G132"/>
    <mergeCell ref="C133:G133"/>
    <mergeCell ref="C128:G128"/>
    <mergeCell ref="C129:G129"/>
    <mergeCell ref="C130:G130"/>
  </mergeCells>
  <phoneticPr fontId="18"/>
  <hyperlinks>
    <hyperlink ref="E138:G138" r:id="rId1" display="https://www.iess.ccsv.okayama-u.ac.jp/kikan/ds/literacylevel/" xr:uid="{B41DFC26-3D7F-4C37-B4BF-7C6B16F00BC8}"/>
  </hyperlinks>
  <printOptions horizontalCentered="1"/>
  <pageMargins left="0.78749999999999998" right="0.78749999999999998" top="0.59027777777777801" bottom="0.39374999999999999" header="0.51180555555555496" footer="0.51180555555555496"/>
  <pageSetup paperSize="9" scale="65" firstPageNumber="0" fitToHeight="0" orientation="portrait" horizontalDpi="300" verticalDpi="300" r:id="rId2"/>
  <rowBreaks count="2" manualBreakCount="2">
    <brk id="50" max="16383" man="1"/>
    <brk id="10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CBE9-947C-415F-B679-B475A7C1A6D4}">
  <sheetPr>
    <pageSetUpPr fitToPage="1"/>
  </sheetPr>
  <dimension ref="A1:H150"/>
  <sheetViews>
    <sheetView view="pageBreakPreview" topLeftCell="A126" zoomScale="90" zoomScaleNormal="100" zoomScaleSheetLayoutView="90" zoomScalePageLayoutView="70" workbookViewId="0">
      <selection activeCell="E138" sqref="E138:G138"/>
    </sheetView>
  </sheetViews>
  <sheetFormatPr defaultColWidth="9" defaultRowHeight="14.25" x14ac:dyDescent="0.15"/>
  <cols>
    <col min="1" max="1" width="2.375" style="26" customWidth="1"/>
    <col min="2" max="2" width="19" style="26" customWidth="1"/>
    <col min="3" max="3" width="25" style="26" customWidth="1"/>
    <col min="4" max="4" width="10" style="26" customWidth="1"/>
    <col min="5" max="7" width="25" style="26" customWidth="1"/>
    <col min="8" max="8" width="9" style="26"/>
  </cols>
  <sheetData>
    <row r="1" spans="1:7" ht="18.75" customHeight="1" x14ac:dyDescent="0.15">
      <c r="G1" s="58" t="s">
        <v>212</v>
      </c>
    </row>
    <row r="2" spans="1:7" ht="18.75" customHeight="1" x14ac:dyDescent="0.15">
      <c r="F2" s="58" t="s">
        <v>63</v>
      </c>
      <c r="G2" s="26" t="s">
        <v>4</v>
      </c>
    </row>
    <row r="3" spans="1:7" ht="18.75" customHeight="1" x14ac:dyDescent="0.15">
      <c r="A3" s="151" t="s">
        <v>103</v>
      </c>
      <c r="B3" s="151"/>
      <c r="C3" s="151"/>
      <c r="D3" s="151"/>
      <c r="E3" s="151"/>
      <c r="F3" s="151"/>
      <c r="G3" s="151"/>
    </row>
    <row r="4" spans="1:7" ht="18.75" customHeight="1" x14ac:dyDescent="0.15">
      <c r="A4" s="26" t="s">
        <v>2</v>
      </c>
      <c r="B4" s="26" t="s">
        <v>104</v>
      </c>
    </row>
    <row r="5" spans="1:7" s="30" customFormat="1" ht="18.75" customHeight="1" x14ac:dyDescent="0.15">
      <c r="B5" s="59" t="s">
        <v>105</v>
      </c>
      <c r="C5" s="144" t="s">
        <v>106</v>
      </c>
      <c r="D5" s="144"/>
      <c r="E5" s="144"/>
      <c r="F5" s="144"/>
      <c r="G5" s="144"/>
    </row>
    <row r="6" spans="1:7" s="30" customFormat="1" ht="45" customHeight="1" x14ac:dyDescent="0.15">
      <c r="B6" s="146" t="s">
        <v>107</v>
      </c>
      <c r="C6" s="147" t="s">
        <v>213</v>
      </c>
      <c r="D6" s="147"/>
      <c r="E6" s="147"/>
      <c r="F6" s="147"/>
      <c r="G6" s="147"/>
    </row>
    <row r="7" spans="1:7" s="30" customFormat="1" ht="45" customHeight="1" x14ac:dyDescent="0.15">
      <c r="B7" s="146"/>
      <c r="C7" s="147"/>
      <c r="D7" s="147"/>
      <c r="E7" s="147"/>
      <c r="F7" s="147"/>
      <c r="G7" s="147"/>
    </row>
    <row r="8" spans="1:7" s="30" customFormat="1" ht="45" customHeight="1" x14ac:dyDescent="0.15">
      <c r="B8" s="146"/>
      <c r="C8" s="147"/>
      <c r="D8" s="147"/>
      <c r="E8" s="147"/>
      <c r="F8" s="147"/>
      <c r="G8" s="147"/>
    </row>
    <row r="9" spans="1:7" s="30" customFormat="1" ht="45" customHeight="1" x14ac:dyDescent="0.15">
      <c r="B9" s="146"/>
      <c r="C9" s="147"/>
      <c r="D9" s="147"/>
      <c r="E9" s="147"/>
      <c r="F9" s="147"/>
      <c r="G9" s="147"/>
    </row>
    <row r="10" spans="1:7" s="30" customFormat="1" ht="18.75" customHeight="1" x14ac:dyDescent="0.15">
      <c r="B10" s="146"/>
      <c r="C10" s="60" t="s">
        <v>68</v>
      </c>
      <c r="D10" s="145" t="s">
        <v>109</v>
      </c>
      <c r="E10" s="145"/>
      <c r="F10" s="145"/>
      <c r="G10" s="145"/>
    </row>
    <row r="11" spans="1:7" s="30" customFormat="1" ht="18.75" customHeight="1" x14ac:dyDescent="0.15">
      <c r="B11" s="146"/>
      <c r="C11" s="92" t="s">
        <v>110</v>
      </c>
      <c r="D11" s="129" t="s">
        <v>214</v>
      </c>
      <c r="E11" s="129"/>
      <c r="F11" s="129"/>
      <c r="G11" s="129"/>
    </row>
    <row r="12" spans="1:7" s="30" customFormat="1" ht="18.75" customHeight="1" x14ac:dyDescent="0.15">
      <c r="B12" s="146"/>
      <c r="C12" s="92"/>
      <c r="D12" s="129" t="s">
        <v>215</v>
      </c>
      <c r="E12" s="129"/>
      <c r="F12" s="129"/>
      <c r="G12" s="129"/>
    </row>
    <row r="13" spans="1:7" s="30" customFormat="1" ht="18.75" customHeight="1" x14ac:dyDescent="0.15">
      <c r="B13" s="146"/>
      <c r="C13" s="100"/>
      <c r="D13" s="113"/>
      <c r="E13" s="113"/>
      <c r="F13" s="113"/>
      <c r="G13" s="113"/>
    </row>
    <row r="14" spans="1:7" s="30" customFormat="1" ht="18.75" customHeight="1" x14ac:dyDescent="0.15">
      <c r="B14" s="146"/>
      <c r="C14" s="100"/>
      <c r="D14" s="113"/>
      <c r="E14" s="113"/>
      <c r="F14" s="113"/>
      <c r="G14" s="113"/>
    </row>
    <row r="15" spans="1:7" s="30" customFormat="1" ht="18.75" customHeight="1" x14ac:dyDescent="0.15">
      <c r="B15" s="146"/>
      <c r="C15" s="59"/>
      <c r="D15" s="144"/>
      <c r="E15" s="144"/>
      <c r="F15" s="144"/>
      <c r="G15" s="144"/>
    </row>
    <row r="16" spans="1:7" s="30" customFormat="1" ht="18.75" customHeight="1" x14ac:dyDescent="0.15">
      <c r="B16" s="146"/>
      <c r="C16" s="59"/>
      <c r="D16" s="144"/>
      <c r="E16" s="144"/>
      <c r="F16" s="144"/>
      <c r="G16" s="144"/>
    </row>
    <row r="17" spans="2:7" s="30" customFormat="1" ht="18.75" customHeight="1" x14ac:dyDescent="0.15">
      <c r="B17" s="146"/>
      <c r="C17" s="59"/>
      <c r="D17" s="144"/>
      <c r="E17" s="144"/>
      <c r="F17" s="144"/>
      <c r="G17" s="144"/>
    </row>
    <row r="18" spans="2:7" s="30" customFormat="1" ht="18.75" customHeight="1" x14ac:dyDescent="0.15">
      <c r="B18" s="146"/>
      <c r="C18" s="59"/>
      <c r="D18" s="144"/>
      <c r="E18" s="144"/>
      <c r="F18" s="144"/>
      <c r="G18" s="144"/>
    </row>
    <row r="19" spans="2:7" s="30" customFormat="1" ht="18.75" customHeight="1" x14ac:dyDescent="0.15">
      <c r="B19" s="146"/>
      <c r="C19" s="59"/>
      <c r="D19" s="144"/>
      <c r="E19" s="144"/>
      <c r="F19" s="144"/>
      <c r="G19" s="144"/>
    </row>
    <row r="20" spans="2:7" s="30" customFormat="1" ht="18.75" customHeight="1" x14ac:dyDescent="0.15">
      <c r="B20" s="146"/>
      <c r="C20" s="59"/>
      <c r="D20" s="144"/>
      <c r="E20" s="144"/>
      <c r="F20" s="144"/>
      <c r="G20" s="144"/>
    </row>
    <row r="21" spans="2:7" s="30" customFormat="1" ht="18.75" customHeight="1" x14ac:dyDescent="0.15">
      <c r="B21" s="146"/>
      <c r="C21" s="59"/>
      <c r="D21" s="144"/>
      <c r="E21" s="144"/>
      <c r="F21" s="144"/>
      <c r="G21" s="144"/>
    </row>
    <row r="22" spans="2:7" s="30" customFormat="1" ht="18.75" customHeight="1" x14ac:dyDescent="0.15">
      <c r="B22" s="146"/>
      <c r="C22" s="59"/>
      <c r="D22" s="144"/>
      <c r="E22" s="144"/>
      <c r="F22" s="144"/>
      <c r="G22" s="144"/>
    </row>
    <row r="23" spans="2:7" s="30" customFormat="1" ht="18.75" customHeight="1" x14ac:dyDescent="0.15">
      <c r="B23" s="146"/>
      <c r="C23" s="59"/>
      <c r="D23" s="144"/>
      <c r="E23" s="144"/>
      <c r="F23" s="144"/>
      <c r="G23" s="144"/>
    </row>
    <row r="24" spans="2:7" s="30" customFormat="1" ht="18.75" customHeight="1" x14ac:dyDescent="0.15">
      <c r="B24" s="146"/>
      <c r="C24" s="59"/>
      <c r="D24" s="144"/>
      <c r="E24" s="144"/>
      <c r="F24" s="144"/>
      <c r="G24" s="144"/>
    </row>
    <row r="25" spans="2:7" s="30" customFormat="1" ht="18.75" customHeight="1" x14ac:dyDescent="0.15">
      <c r="B25" s="146"/>
      <c r="C25" s="59"/>
      <c r="D25" s="144"/>
      <c r="E25" s="144"/>
      <c r="F25" s="144"/>
      <c r="G25" s="144"/>
    </row>
    <row r="26" spans="2:7" ht="18.75" customHeight="1" x14ac:dyDescent="0.15">
      <c r="B26" s="149" t="s">
        <v>114</v>
      </c>
      <c r="C26" s="144" t="s">
        <v>106</v>
      </c>
      <c r="D26" s="144"/>
      <c r="E26" s="144"/>
      <c r="F26" s="144"/>
      <c r="G26" s="144"/>
    </row>
    <row r="27" spans="2:7" ht="37.5" customHeight="1" x14ac:dyDescent="0.15">
      <c r="B27" s="149"/>
      <c r="C27" s="147" t="s">
        <v>216</v>
      </c>
      <c r="D27" s="152"/>
      <c r="E27" s="152"/>
      <c r="F27" s="152"/>
      <c r="G27" s="152"/>
    </row>
    <row r="28" spans="2:7" ht="37.5" customHeight="1" x14ac:dyDescent="0.15">
      <c r="B28" s="149"/>
      <c r="C28" s="152"/>
      <c r="D28" s="152"/>
      <c r="E28" s="152"/>
      <c r="F28" s="152"/>
      <c r="G28" s="152"/>
    </row>
    <row r="29" spans="2:7" ht="37.5" customHeight="1" x14ac:dyDescent="0.15">
      <c r="B29" s="149"/>
      <c r="C29" s="152"/>
      <c r="D29" s="152"/>
      <c r="E29" s="152"/>
      <c r="F29" s="152"/>
      <c r="G29" s="152"/>
    </row>
    <row r="30" spans="2:7" ht="37.5" customHeight="1" x14ac:dyDescent="0.15">
      <c r="B30" s="149"/>
      <c r="C30" s="152"/>
      <c r="D30" s="152"/>
      <c r="E30" s="152"/>
      <c r="F30" s="152"/>
      <c r="G30" s="152"/>
    </row>
    <row r="31" spans="2:7" ht="37.5" customHeight="1" x14ac:dyDescent="0.15">
      <c r="B31" s="149"/>
      <c r="C31" s="152"/>
      <c r="D31" s="152"/>
      <c r="E31" s="152"/>
      <c r="F31" s="152"/>
      <c r="G31" s="152"/>
    </row>
    <row r="32" spans="2:7" ht="18.75" customHeight="1" x14ac:dyDescent="0.15">
      <c r="B32" s="149"/>
      <c r="C32" s="60" t="s">
        <v>68</v>
      </c>
      <c r="D32" s="144" t="s">
        <v>109</v>
      </c>
      <c r="E32" s="144"/>
      <c r="F32" s="144"/>
      <c r="G32" s="144"/>
    </row>
    <row r="33" spans="2:7" ht="18.75" customHeight="1" x14ac:dyDescent="0.15">
      <c r="B33" s="149"/>
      <c r="C33" s="92" t="s">
        <v>110</v>
      </c>
      <c r="D33" s="129" t="s">
        <v>217</v>
      </c>
      <c r="E33" s="129"/>
      <c r="F33" s="129"/>
      <c r="G33" s="129"/>
    </row>
    <row r="34" spans="2:7" ht="18.75" customHeight="1" x14ac:dyDescent="0.15">
      <c r="B34" s="149"/>
      <c r="C34" s="93"/>
      <c r="D34" s="129" t="s">
        <v>215</v>
      </c>
      <c r="E34" s="129"/>
      <c r="F34" s="129"/>
      <c r="G34" s="129"/>
    </row>
    <row r="35" spans="2:7" ht="18.75" customHeight="1" x14ac:dyDescent="0.15">
      <c r="B35" s="149"/>
      <c r="C35" s="59"/>
      <c r="D35" s="145"/>
      <c r="E35" s="145"/>
      <c r="F35" s="145"/>
      <c r="G35" s="145"/>
    </row>
    <row r="36" spans="2:7" ht="18.75" customHeight="1" x14ac:dyDescent="0.15">
      <c r="B36" s="149"/>
      <c r="C36" s="59"/>
      <c r="D36" s="145"/>
      <c r="E36" s="145"/>
      <c r="F36" s="145"/>
      <c r="G36" s="145"/>
    </row>
    <row r="37" spans="2:7" ht="18.75" customHeight="1" x14ac:dyDescent="0.15">
      <c r="B37" s="149"/>
      <c r="C37" s="59"/>
      <c r="D37" s="145"/>
      <c r="E37" s="145"/>
      <c r="F37" s="145"/>
      <c r="G37" s="145"/>
    </row>
    <row r="38" spans="2:7" ht="18.75" customHeight="1" x14ac:dyDescent="0.15">
      <c r="B38" s="149"/>
      <c r="C38" s="59"/>
      <c r="D38" s="145"/>
      <c r="E38" s="145"/>
      <c r="F38" s="145"/>
      <c r="G38" s="145"/>
    </row>
    <row r="39" spans="2:7" ht="18.75" customHeight="1" x14ac:dyDescent="0.15">
      <c r="B39" s="149"/>
      <c r="C39" s="59"/>
      <c r="D39" s="145"/>
      <c r="E39" s="145"/>
      <c r="F39" s="145"/>
      <c r="G39" s="145"/>
    </row>
    <row r="40" spans="2:7" ht="18.75" customHeight="1" x14ac:dyDescent="0.15">
      <c r="B40" s="149"/>
      <c r="C40" s="59"/>
      <c r="D40" s="145"/>
      <c r="E40" s="145"/>
      <c r="F40" s="145"/>
      <c r="G40" s="145"/>
    </row>
    <row r="41" spans="2:7" ht="18.75" customHeight="1" x14ac:dyDescent="0.15">
      <c r="B41" s="149"/>
      <c r="C41" s="59"/>
      <c r="D41" s="145"/>
      <c r="E41" s="145"/>
      <c r="F41" s="145"/>
      <c r="G41" s="145"/>
    </row>
    <row r="42" spans="2:7" ht="18.75" customHeight="1" x14ac:dyDescent="0.15">
      <c r="B42" s="149"/>
      <c r="C42" s="59"/>
      <c r="D42" s="145"/>
      <c r="E42" s="145"/>
      <c r="F42" s="145"/>
      <c r="G42" s="145"/>
    </row>
    <row r="43" spans="2:7" ht="18.75" customHeight="1" x14ac:dyDescent="0.15">
      <c r="B43" s="149"/>
      <c r="C43" s="59"/>
      <c r="D43" s="145"/>
      <c r="E43" s="145"/>
      <c r="F43" s="145"/>
      <c r="G43" s="145"/>
    </row>
    <row r="44" spans="2:7" ht="18.75" customHeight="1" x14ac:dyDescent="0.15">
      <c r="B44" s="149"/>
      <c r="C44" s="59"/>
      <c r="D44" s="145"/>
      <c r="E44" s="145"/>
      <c r="F44" s="145"/>
      <c r="G44" s="145"/>
    </row>
    <row r="45" spans="2:7" ht="18.75" customHeight="1" x14ac:dyDescent="0.15">
      <c r="B45" s="149"/>
      <c r="C45" s="59"/>
      <c r="D45" s="145"/>
      <c r="E45" s="145"/>
      <c r="F45" s="145"/>
      <c r="G45" s="145"/>
    </row>
    <row r="46" spans="2:7" ht="18.75" customHeight="1" x14ac:dyDescent="0.15">
      <c r="B46" s="149"/>
      <c r="C46" s="59"/>
      <c r="D46" s="145"/>
      <c r="E46" s="145"/>
      <c r="F46" s="145"/>
      <c r="G46" s="145"/>
    </row>
    <row r="47" spans="2:7" ht="18.75" customHeight="1" x14ac:dyDescent="0.15">
      <c r="B47" s="149"/>
      <c r="C47" s="59"/>
      <c r="D47" s="145"/>
      <c r="E47" s="145"/>
      <c r="F47" s="145"/>
      <c r="G47" s="145"/>
    </row>
    <row r="48" spans="2:7" ht="18.75" customHeight="1" x14ac:dyDescent="0.15">
      <c r="B48" s="149"/>
      <c r="C48" s="59"/>
      <c r="D48" s="145"/>
      <c r="E48" s="145"/>
      <c r="F48" s="145"/>
      <c r="G48" s="145"/>
    </row>
    <row r="49" spans="2:7" ht="18.75" customHeight="1" x14ac:dyDescent="0.15">
      <c r="B49" s="149"/>
      <c r="C49" s="59"/>
      <c r="D49" s="145"/>
      <c r="E49" s="145"/>
      <c r="F49" s="145"/>
      <c r="G49" s="145"/>
    </row>
    <row r="50" spans="2:7" ht="18.75" customHeight="1" x14ac:dyDescent="0.15">
      <c r="B50" s="149"/>
      <c r="C50" s="59"/>
      <c r="D50" s="145"/>
      <c r="E50" s="145"/>
      <c r="F50" s="145"/>
      <c r="G50" s="145"/>
    </row>
    <row r="51" spans="2:7" ht="18.75" customHeight="1" x14ac:dyDescent="0.15">
      <c r="B51" s="146" t="s">
        <v>117</v>
      </c>
      <c r="C51" s="144" t="s">
        <v>106</v>
      </c>
      <c r="D51" s="144"/>
      <c r="E51" s="144"/>
      <c r="F51" s="144"/>
      <c r="G51" s="144"/>
    </row>
    <row r="52" spans="2:7" ht="37.5" customHeight="1" x14ac:dyDescent="0.15">
      <c r="B52" s="146"/>
      <c r="C52" s="148" t="s">
        <v>218</v>
      </c>
      <c r="D52" s="148"/>
      <c r="E52" s="148"/>
      <c r="F52" s="148"/>
      <c r="G52" s="148"/>
    </row>
    <row r="53" spans="2:7" ht="37.5" customHeight="1" x14ac:dyDescent="0.15">
      <c r="B53" s="146"/>
      <c r="C53" s="148"/>
      <c r="D53" s="148"/>
      <c r="E53" s="148"/>
      <c r="F53" s="148"/>
      <c r="G53" s="148"/>
    </row>
    <row r="54" spans="2:7" ht="37.5" customHeight="1" x14ac:dyDescent="0.15">
      <c r="B54" s="146"/>
      <c r="C54" s="148"/>
      <c r="D54" s="148"/>
      <c r="E54" s="148"/>
      <c r="F54" s="148"/>
      <c r="G54" s="148"/>
    </row>
    <row r="55" spans="2:7" ht="37.5" customHeight="1" x14ac:dyDescent="0.15">
      <c r="B55" s="146"/>
      <c r="C55" s="148"/>
      <c r="D55" s="148"/>
      <c r="E55" s="148"/>
      <c r="F55" s="148"/>
      <c r="G55" s="148"/>
    </row>
    <row r="56" spans="2:7" ht="37.5" customHeight="1" x14ac:dyDescent="0.15">
      <c r="B56" s="146"/>
      <c r="C56" s="148"/>
      <c r="D56" s="148"/>
      <c r="E56" s="148"/>
      <c r="F56" s="148"/>
      <c r="G56" s="148"/>
    </row>
    <row r="57" spans="2:7" ht="18.75" customHeight="1" x14ac:dyDescent="0.15">
      <c r="B57" s="146"/>
      <c r="C57" s="60" t="s">
        <v>68</v>
      </c>
      <c r="D57" s="144" t="s">
        <v>109</v>
      </c>
      <c r="E57" s="144"/>
      <c r="F57" s="144"/>
      <c r="G57" s="144"/>
    </row>
    <row r="58" spans="2:7" ht="18.75" customHeight="1" x14ac:dyDescent="0.15">
      <c r="B58" s="146"/>
      <c r="C58" s="92" t="s">
        <v>110</v>
      </c>
      <c r="D58" s="129" t="s">
        <v>219</v>
      </c>
      <c r="E58" s="129"/>
      <c r="F58" s="129"/>
      <c r="G58" s="129"/>
    </row>
    <row r="59" spans="2:7" ht="18.75" customHeight="1" x14ac:dyDescent="0.15">
      <c r="B59" s="146"/>
      <c r="C59" s="93"/>
      <c r="D59" s="129" t="s">
        <v>215</v>
      </c>
      <c r="E59" s="129"/>
      <c r="F59" s="129"/>
      <c r="G59" s="129"/>
    </row>
    <row r="60" spans="2:7" ht="18.75" customHeight="1" x14ac:dyDescent="0.15">
      <c r="B60" s="146"/>
      <c r="C60" s="93"/>
      <c r="D60" s="129" t="s">
        <v>220</v>
      </c>
      <c r="E60" s="129"/>
      <c r="F60" s="129"/>
      <c r="G60" s="129"/>
    </row>
    <row r="61" spans="2:7" ht="18.75" customHeight="1" x14ac:dyDescent="0.15">
      <c r="B61" s="146"/>
      <c r="C61" s="93"/>
      <c r="D61" s="129"/>
      <c r="E61" s="129"/>
      <c r="F61" s="129"/>
      <c r="G61" s="129"/>
    </row>
    <row r="62" spans="2:7" ht="18.75" customHeight="1" x14ac:dyDescent="0.15">
      <c r="B62" s="146"/>
      <c r="C62" s="59"/>
      <c r="D62" s="145"/>
      <c r="E62" s="145"/>
      <c r="F62" s="145"/>
      <c r="G62" s="145"/>
    </row>
    <row r="63" spans="2:7" ht="18.75" customHeight="1" x14ac:dyDescent="0.15">
      <c r="B63" s="146"/>
      <c r="C63" s="59"/>
      <c r="D63" s="145"/>
      <c r="E63" s="145"/>
      <c r="F63" s="145"/>
      <c r="G63" s="145"/>
    </row>
    <row r="64" spans="2:7" ht="18.75" customHeight="1" x14ac:dyDescent="0.15">
      <c r="B64" s="146"/>
      <c r="C64" s="59"/>
      <c r="D64" s="145"/>
      <c r="E64" s="145"/>
      <c r="F64" s="145"/>
      <c r="G64" s="145"/>
    </row>
    <row r="65" spans="2:7" ht="18.75" customHeight="1" x14ac:dyDescent="0.15">
      <c r="B65" s="146"/>
      <c r="C65" s="59"/>
      <c r="D65" s="145"/>
      <c r="E65" s="145"/>
      <c r="F65" s="145"/>
      <c r="G65" s="145"/>
    </row>
    <row r="66" spans="2:7" ht="18.75" customHeight="1" x14ac:dyDescent="0.15">
      <c r="B66" s="146"/>
      <c r="C66" s="59"/>
      <c r="D66" s="145"/>
      <c r="E66" s="145"/>
      <c r="F66" s="145"/>
      <c r="G66" s="145"/>
    </row>
    <row r="67" spans="2:7" ht="18.75" customHeight="1" x14ac:dyDescent="0.15">
      <c r="B67" s="146"/>
      <c r="C67" s="59"/>
      <c r="D67" s="145"/>
      <c r="E67" s="145"/>
      <c r="F67" s="145"/>
      <c r="G67" s="145"/>
    </row>
    <row r="68" spans="2:7" ht="18.75" customHeight="1" x14ac:dyDescent="0.15">
      <c r="B68" s="146"/>
      <c r="C68" s="59"/>
      <c r="D68" s="145"/>
      <c r="E68" s="145"/>
      <c r="F68" s="145"/>
      <c r="G68" s="145"/>
    </row>
    <row r="69" spans="2:7" ht="18.75" customHeight="1" x14ac:dyDescent="0.15">
      <c r="B69" s="146"/>
      <c r="C69" s="59"/>
      <c r="D69" s="145"/>
      <c r="E69" s="145"/>
      <c r="F69" s="145"/>
      <c r="G69" s="145"/>
    </row>
    <row r="70" spans="2:7" ht="18.75" customHeight="1" x14ac:dyDescent="0.15">
      <c r="B70" s="146"/>
      <c r="C70" s="59"/>
      <c r="D70" s="145"/>
      <c r="E70" s="145"/>
      <c r="F70" s="145"/>
      <c r="G70" s="145"/>
    </row>
    <row r="71" spans="2:7" ht="18.75" customHeight="1" x14ac:dyDescent="0.15">
      <c r="B71" s="146"/>
      <c r="C71" s="59"/>
      <c r="D71" s="145"/>
      <c r="E71" s="145"/>
      <c r="F71" s="145"/>
      <c r="G71" s="145"/>
    </row>
    <row r="72" spans="2:7" ht="18.75" customHeight="1" x14ac:dyDescent="0.15">
      <c r="B72" s="146"/>
      <c r="C72" s="59"/>
      <c r="D72" s="145"/>
      <c r="E72" s="145"/>
      <c r="F72" s="145"/>
      <c r="G72" s="145"/>
    </row>
    <row r="73" spans="2:7" ht="18.75" customHeight="1" x14ac:dyDescent="0.15">
      <c r="B73" s="146"/>
      <c r="C73" s="59"/>
      <c r="D73" s="145"/>
      <c r="E73" s="145"/>
      <c r="F73" s="145"/>
      <c r="G73" s="145"/>
    </row>
    <row r="74" spans="2:7" ht="18.75" customHeight="1" x14ac:dyDescent="0.15">
      <c r="B74" s="146"/>
      <c r="C74" s="59"/>
      <c r="D74" s="145"/>
      <c r="E74" s="145"/>
      <c r="F74" s="145"/>
      <c r="G74" s="145"/>
    </row>
    <row r="75" spans="2:7" ht="18.75" customHeight="1" x14ac:dyDescent="0.15">
      <c r="B75" s="146"/>
      <c r="C75" s="59"/>
      <c r="D75" s="145"/>
      <c r="E75" s="145"/>
      <c r="F75" s="145"/>
      <c r="G75" s="145"/>
    </row>
    <row r="76" spans="2:7" ht="18.75" customHeight="1" x14ac:dyDescent="0.15">
      <c r="B76" s="146" t="s">
        <v>119</v>
      </c>
      <c r="C76" s="144" t="s">
        <v>106</v>
      </c>
      <c r="D76" s="144"/>
      <c r="E76" s="144"/>
      <c r="F76" s="144"/>
      <c r="G76" s="144"/>
    </row>
    <row r="77" spans="2:7" ht="37.5" customHeight="1" x14ac:dyDescent="0.15">
      <c r="B77" s="146"/>
      <c r="C77" s="148" t="s">
        <v>221</v>
      </c>
      <c r="D77" s="148"/>
      <c r="E77" s="148"/>
      <c r="F77" s="148"/>
      <c r="G77" s="148"/>
    </row>
    <row r="78" spans="2:7" ht="37.5" customHeight="1" x14ac:dyDescent="0.15">
      <c r="B78" s="146"/>
      <c r="C78" s="148"/>
      <c r="D78" s="148"/>
      <c r="E78" s="148"/>
      <c r="F78" s="148"/>
      <c r="G78" s="148"/>
    </row>
    <row r="79" spans="2:7" ht="37.5" customHeight="1" x14ac:dyDescent="0.15">
      <c r="B79" s="146"/>
      <c r="C79" s="148"/>
      <c r="D79" s="148"/>
      <c r="E79" s="148"/>
      <c r="F79" s="148"/>
      <c r="G79" s="148"/>
    </row>
    <row r="80" spans="2:7" ht="37.5" customHeight="1" x14ac:dyDescent="0.15">
      <c r="B80" s="146"/>
      <c r="C80" s="148"/>
      <c r="D80" s="148"/>
      <c r="E80" s="148"/>
      <c r="F80" s="148"/>
      <c r="G80" s="148"/>
    </row>
    <row r="81" spans="2:7" ht="37.5" customHeight="1" x14ac:dyDescent="0.15">
      <c r="B81" s="146"/>
      <c r="C81" s="148"/>
      <c r="D81" s="148"/>
      <c r="E81" s="148"/>
      <c r="F81" s="148"/>
      <c r="G81" s="148"/>
    </row>
    <row r="82" spans="2:7" ht="18.75" customHeight="1" x14ac:dyDescent="0.15">
      <c r="B82" s="146"/>
      <c r="C82" s="60" t="s">
        <v>68</v>
      </c>
      <c r="D82" s="144" t="s">
        <v>109</v>
      </c>
      <c r="E82" s="144"/>
      <c r="F82" s="144"/>
      <c r="G82" s="144"/>
    </row>
    <row r="83" spans="2:7" ht="18.75" customHeight="1" x14ac:dyDescent="0.15">
      <c r="B83" s="146"/>
      <c r="C83" s="92" t="s">
        <v>110</v>
      </c>
      <c r="D83" s="129" t="s">
        <v>222</v>
      </c>
      <c r="E83" s="129"/>
      <c r="F83" s="129"/>
      <c r="G83" s="129"/>
    </row>
    <row r="84" spans="2:7" ht="18.75" customHeight="1" x14ac:dyDescent="0.15">
      <c r="B84" s="146"/>
      <c r="C84" s="59"/>
      <c r="D84" s="145"/>
      <c r="E84" s="145"/>
      <c r="F84" s="145"/>
      <c r="G84" s="145"/>
    </row>
    <row r="85" spans="2:7" ht="18.75" customHeight="1" x14ac:dyDescent="0.15">
      <c r="B85" s="146"/>
      <c r="C85" s="59"/>
      <c r="D85" s="145"/>
      <c r="E85" s="145"/>
      <c r="F85" s="145"/>
      <c r="G85" s="145"/>
    </row>
    <row r="86" spans="2:7" ht="18.75" customHeight="1" x14ac:dyDescent="0.15">
      <c r="B86" s="146"/>
      <c r="C86" s="59"/>
      <c r="D86" s="145"/>
      <c r="E86" s="145"/>
      <c r="F86" s="145"/>
      <c r="G86" s="145"/>
    </row>
    <row r="87" spans="2:7" ht="18.75" customHeight="1" x14ac:dyDescent="0.15">
      <c r="B87" s="146"/>
      <c r="C87" s="59"/>
      <c r="D87" s="145"/>
      <c r="E87" s="145"/>
      <c r="F87" s="145"/>
      <c r="G87" s="145"/>
    </row>
    <row r="88" spans="2:7" ht="18.75" customHeight="1" x14ac:dyDescent="0.15">
      <c r="B88" s="146"/>
      <c r="C88" s="59"/>
      <c r="D88" s="145"/>
      <c r="E88" s="145"/>
      <c r="F88" s="145"/>
      <c r="G88" s="145"/>
    </row>
    <row r="89" spans="2:7" ht="18.75" customHeight="1" x14ac:dyDescent="0.15">
      <c r="B89" s="146"/>
      <c r="C89" s="59"/>
      <c r="D89" s="145"/>
      <c r="E89" s="145"/>
      <c r="F89" s="145"/>
      <c r="G89" s="145"/>
    </row>
    <row r="90" spans="2:7" ht="18.75" customHeight="1" x14ac:dyDescent="0.15">
      <c r="B90" s="146"/>
      <c r="C90" s="59"/>
      <c r="D90" s="145"/>
      <c r="E90" s="145"/>
      <c r="F90" s="145"/>
      <c r="G90" s="145"/>
    </row>
    <row r="91" spans="2:7" ht="18.75" customHeight="1" x14ac:dyDescent="0.15">
      <c r="B91" s="146"/>
      <c r="C91" s="59"/>
      <c r="D91" s="145"/>
      <c r="E91" s="145"/>
      <c r="F91" s="145"/>
      <c r="G91" s="145"/>
    </row>
    <row r="92" spans="2:7" ht="18.75" customHeight="1" x14ac:dyDescent="0.15">
      <c r="B92" s="146"/>
      <c r="C92" s="59"/>
      <c r="D92" s="145"/>
      <c r="E92" s="145"/>
      <c r="F92" s="145"/>
      <c r="G92" s="145"/>
    </row>
    <row r="93" spans="2:7" ht="18.75" customHeight="1" x14ac:dyDescent="0.15">
      <c r="B93" s="146"/>
      <c r="C93" s="59"/>
      <c r="D93" s="145"/>
      <c r="E93" s="145"/>
      <c r="F93" s="145"/>
      <c r="G93" s="145"/>
    </row>
    <row r="94" spans="2:7" ht="18.75" customHeight="1" x14ac:dyDescent="0.15">
      <c r="B94" s="146"/>
      <c r="C94" s="59"/>
      <c r="D94" s="145"/>
      <c r="E94" s="145"/>
      <c r="F94" s="145"/>
      <c r="G94" s="145"/>
    </row>
    <row r="95" spans="2:7" ht="18.75" customHeight="1" x14ac:dyDescent="0.15">
      <c r="B95" s="146"/>
      <c r="C95" s="59"/>
      <c r="D95" s="145"/>
      <c r="E95" s="145"/>
      <c r="F95" s="145"/>
      <c r="G95" s="145"/>
    </row>
    <row r="96" spans="2:7" ht="18.75" customHeight="1" x14ac:dyDescent="0.15">
      <c r="B96" s="146"/>
      <c r="C96" s="59"/>
      <c r="D96" s="145"/>
      <c r="E96" s="145"/>
      <c r="F96" s="145"/>
      <c r="G96" s="145"/>
    </row>
    <row r="97" spans="2:7" ht="18.75" customHeight="1" x14ac:dyDescent="0.15">
      <c r="B97" s="146"/>
      <c r="C97" s="59"/>
      <c r="D97" s="145"/>
      <c r="E97" s="145"/>
      <c r="F97" s="145"/>
      <c r="G97" s="145"/>
    </row>
    <row r="98" spans="2:7" ht="18.75" customHeight="1" x14ac:dyDescent="0.15">
      <c r="B98" s="146"/>
      <c r="C98" s="59"/>
      <c r="D98" s="145"/>
      <c r="E98" s="145"/>
      <c r="F98" s="145"/>
      <c r="G98" s="145"/>
    </row>
    <row r="99" spans="2:7" ht="18.75" customHeight="1" x14ac:dyDescent="0.15">
      <c r="B99" s="146"/>
      <c r="C99" s="59"/>
      <c r="D99" s="145"/>
      <c r="E99" s="145"/>
      <c r="F99" s="145"/>
      <c r="G99" s="145"/>
    </row>
    <row r="100" spans="2:7" ht="18.75" customHeight="1" x14ac:dyDescent="0.15">
      <c r="B100" s="146"/>
      <c r="C100" s="59"/>
      <c r="D100" s="145"/>
      <c r="E100" s="145"/>
      <c r="F100" s="145"/>
      <c r="G100" s="145"/>
    </row>
    <row r="101" spans="2:7" ht="18.75" customHeight="1" x14ac:dyDescent="0.15">
      <c r="B101" s="146" t="s">
        <v>122</v>
      </c>
      <c r="C101" s="144" t="s">
        <v>106</v>
      </c>
      <c r="D101" s="144"/>
      <c r="E101" s="144"/>
      <c r="F101" s="144"/>
      <c r="G101" s="144"/>
    </row>
    <row r="102" spans="2:7" ht="37.5" customHeight="1" x14ac:dyDescent="0.15">
      <c r="B102" s="146"/>
      <c r="C102" s="209" t="s">
        <v>223</v>
      </c>
      <c r="D102" s="210"/>
      <c r="E102" s="210"/>
      <c r="F102" s="210"/>
      <c r="G102" s="211"/>
    </row>
    <row r="103" spans="2:7" ht="37.5" customHeight="1" x14ac:dyDescent="0.15">
      <c r="B103" s="146"/>
      <c r="C103" s="212"/>
      <c r="D103" s="213"/>
      <c r="E103" s="213"/>
      <c r="F103" s="213"/>
      <c r="G103" s="214"/>
    </row>
    <row r="104" spans="2:7" ht="37.5" customHeight="1" x14ac:dyDescent="0.15">
      <c r="B104" s="146"/>
      <c r="C104" s="212"/>
      <c r="D104" s="213"/>
      <c r="E104" s="213"/>
      <c r="F104" s="213"/>
      <c r="G104" s="214"/>
    </row>
    <row r="105" spans="2:7" ht="37.5" customHeight="1" x14ac:dyDescent="0.15">
      <c r="B105" s="146"/>
      <c r="C105" s="212"/>
      <c r="D105" s="213"/>
      <c r="E105" s="213"/>
      <c r="F105" s="213"/>
      <c r="G105" s="214"/>
    </row>
    <row r="106" spans="2:7" ht="37.5" customHeight="1" x14ac:dyDescent="0.15">
      <c r="B106" s="146"/>
      <c r="C106" s="215"/>
      <c r="D106" s="216"/>
      <c r="E106" s="216"/>
      <c r="F106" s="216"/>
      <c r="G106" s="217"/>
    </row>
    <row r="107" spans="2:7" ht="18.75" customHeight="1" x14ac:dyDescent="0.15">
      <c r="B107" s="146"/>
      <c r="C107" s="60" t="s">
        <v>68</v>
      </c>
      <c r="D107" s="144" t="s">
        <v>109</v>
      </c>
      <c r="E107" s="144"/>
      <c r="F107" s="144"/>
      <c r="G107" s="144"/>
    </row>
    <row r="108" spans="2:7" ht="18.75" customHeight="1" x14ac:dyDescent="0.15">
      <c r="B108" s="146"/>
      <c r="C108" s="92" t="s">
        <v>110</v>
      </c>
      <c r="D108" s="129" t="s">
        <v>224</v>
      </c>
      <c r="E108" s="129"/>
      <c r="F108" s="129"/>
      <c r="G108" s="129"/>
    </row>
    <row r="109" spans="2:7" ht="18.75" customHeight="1" x14ac:dyDescent="0.15">
      <c r="B109" s="146"/>
      <c r="C109" s="93"/>
      <c r="D109" s="129" t="s">
        <v>225</v>
      </c>
      <c r="E109" s="129"/>
      <c r="F109" s="129"/>
      <c r="G109" s="129"/>
    </row>
    <row r="110" spans="2:7" ht="18.75" customHeight="1" x14ac:dyDescent="0.15">
      <c r="B110" s="146"/>
      <c r="C110" s="93"/>
      <c r="D110" s="129" t="s">
        <v>226</v>
      </c>
      <c r="E110" s="129"/>
      <c r="F110" s="129"/>
      <c r="G110" s="129"/>
    </row>
    <row r="111" spans="2:7" ht="18.75" customHeight="1" x14ac:dyDescent="0.15">
      <c r="B111" s="146"/>
      <c r="C111" s="59"/>
      <c r="D111" s="145"/>
      <c r="E111" s="145"/>
      <c r="F111" s="145"/>
      <c r="G111" s="145"/>
    </row>
    <row r="112" spans="2:7" ht="18.75" customHeight="1" x14ac:dyDescent="0.15">
      <c r="B112" s="146"/>
      <c r="C112" s="59"/>
      <c r="D112" s="145"/>
      <c r="E112" s="145"/>
      <c r="F112" s="145"/>
      <c r="G112" s="145"/>
    </row>
    <row r="113" spans="1:7" ht="18.75" customHeight="1" x14ac:dyDescent="0.15">
      <c r="B113" s="146"/>
      <c r="C113" s="59"/>
      <c r="D113" s="145"/>
      <c r="E113" s="145"/>
      <c r="F113" s="145"/>
      <c r="G113" s="145"/>
    </row>
    <row r="114" spans="1:7" ht="18.75" customHeight="1" x14ac:dyDescent="0.15">
      <c r="B114" s="146"/>
      <c r="C114" s="59"/>
      <c r="D114" s="145"/>
      <c r="E114" s="145"/>
      <c r="F114" s="145"/>
      <c r="G114" s="145"/>
    </row>
    <row r="115" spans="1:7" ht="18.75" customHeight="1" x14ac:dyDescent="0.15">
      <c r="B115" s="146"/>
      <c r="C115" s="59"/>
      <c r="D115" s="145"/>
      <c r="E115" s="145"/>
      <c r="F115" s="145"/>
      <c r="G115" s="145"/>
    </row>
    <row r="116" spans="1:7" ht="18.75" customHeight="1" x14ac:dyDescent="0.15">
      <c r="B116" s="146"/>
      <c r="C116" s="59"/>
      <c r="D116" s="145"/>
      <c r="E116" s="145"/>
      <c r="F116" s="145"/>
      <c r="G116" s="145"/>
    </row>
    <row r="117" spans="1:7" ht="18.75" customHeight="1" x14ac:dyDescent="0.15">
      <c r="B117" s="146"/>
      <c r="C117" s="59"/>
      <c r="D117" s="145"/>
      <c r="E117" s="145"/>
      <c r="F117" s="145"/>
      <c r="G117" s="145"/>
    </row>
    <row r="118" spans="1:7" ht="18.75" customHeight="1" x14ac:dyDescent="0.15">
      <c r="B118" s="146"/>
      <c r="C118" s="59"/>
      <c r="D118" s="145"/>
      <c r="E118" s="145"/>
      <c r="F118" s="145"/>
      <c r="G118" s="145"/>
    </row>
    <row r="119" spans="1:7" ht="18.75" customHeight="1" x14ac:dyDescent="0.15">
      <c r="B119" s="146"/>
      <c r="C119" s="59"/>
      <c r="D119" s="145"/>
      <c r="E119" s="145"/>
      <c r="F119" s="145"/>
      <c r="G119" s="145"/>
    </row>
    <row r="120" spans="1:7" ht="18.75" customHeight="1" x14ac:dyDescent="0.15">
      <c r="B120" s="146"/>
      <c r="C120" s="59"/>
      <c r="D120" s="145"/>
      <c r="E120" s="145"/>
      <c r="F120" s="145"/>
      <c r="G120" s="145"/>
    </row>
    <row r="121" spans="1:7" ht="18.75" customHeight="1" x14ac:dyDescent="0.15">
      <c r="B121" s="146"/>
      <c r="C121" s="59"/>
      <c r="D121" s="145"/>
      <c r="E121" s="145"/>
      <c r="F121" s="145"/>
      <c r="G121" s="145"/>
    </row>
    <row r="122" spans="1:7" ht="18.75" customHeight="1" x14ac:dyDescent="0.15">
      <c r="B122" s="146"/>
      <c r="C122" s="59"/>
      <c r="D122" s="145"/>
      <c r="E122" s="145"/>
      <c r="F122" s="145"/>
      <c r="G122" s="145"/>
    </row>
    <row r="123" spans="1:7" ht="18.75" customHeight="1" x14ac:dyDescent="0.15">
      <c r="B123" s="146"/>
      <c r="C123" s="59"/>
      <c r="D123" s="145"/>
      <c r="E123" s="145"/>
      <c r="F123" s="145"/>
      <c r="G123" s="145"/>
    </row>
    <row r="124" spans="1:7" ht="18.75" customHeight="1" x14ac:dyDescent="0.15">
      <c r="B124" s="146"/>
      <c r="C124" s="59"/>
      <c r="D124" s="145"/>
      <c r="E124" s="145"/>
      <c r="F124" s="145"/>
      <c r="G124" s="145"/>
    </row>
    <row r="125" spans="1:7" ht="18.75" customHeight="1" x14ac:dyDescent="0.15">
      <c r="B125" s="146"/>
      <c r="C125" s="59"/>
      <c r="D125" s="145"/>
      <c r="E125" s="145"/>
      <c r="F125" s="145"/>
      <c r="G125" s="145"/>
    </row>
    <row r="126" spans="1:7" ht="18.75" customHeight="1" x14ac:dyDescent="0.15">
      <c r="A126" s="26" t="s">
        <v>5</v>
      </c>
      <c r="B126" s="26" t="s">
        <v>127</v>
      </c>
    </row>
    <row r="127" spans="1:7" ht="22.5" customHeight="1" x14ac:dyDescent="0.15">
      <c r="B127" s="59" t="s">
        <v>105</v>
      </c>
      <c r="C127" s="144" t="s">
        <v>68</v>
      </c>
      <c r="D127" s="144"/>
      <c r="E127" s="144"/>
      <c r="F127" s="144"/>
      <c r="G127" s="144"/>
    </row>
    <row r="128" spans="1:7" ht="45" customHeight="1" x14ac:dyDescent="0.15">
      <c r="B128" s="61" t="s">
        <v>128</v>
      </c>
      <c r="C128" s="143" t="s">
        <v>110</v>
      </c>
      <c r="D128" s="143"/>
      <c r="E128" s="143"/>
      <c r="F128" s="143"/>
      <c r="G128" s="143"/>
    </row>
    <row r="129" spans="1:7" ht="45" customHeight="1" x14ac:dyDescent="0.15">
      <c r="B129" s="61" t="s">
        <v>129</v>
      </c>
      <c r="C129" s="143"/>
      <c r="D129" s="143"/>
      <c r="E129" s="143"/>
      <c r="F129" s="143"/>
      <c r="G129" s="143"/>
    </row>
    <row r="130" spans="1:7" ht="45" customHeight="1" x14ac:dyDescent="0.15">
      <c r="B130" s="61" t="s">
        <v>130</v>
      </c>
      <c r="C130" s="143"/>
      <c r="D130" s="143"/>
      <c r="E130" s="143"/>
      <c r="F130" s="143"/>
      <c r="G130" s="143"/>
    </row>
    <row r="131" spans="1:7" ht="45" customHeight="1" x14ac:dyDescent="0.15">
      <c r="B131" s="61" t="s">
        <v>131</v>
      </c>
      <c r="C131" s="143"/>
      <c r="D131" s="143"/>
      <c r="E131" s="143"/>
      <c r="F131" s="143"/>
      <c r="G131" s="143"/>
    </row>
    <row r="132" spans="1:7" ht="45" customHeight="1" x14ac:dyDescent="0.15">
      <c r="B132" s="61" t="s">
        <v>132</v>
      </c>
      <c r="C132" s="143"/>
      <c r="D132" s="143"/>
      <c r="E132" s="143"/>
      <c r="F132" s="143"/>
      <c r="G132" s="143"/>
    </row>
    <row r="133" spans="1:7" ht="45" customHeight="1" x14ac:dyDescent="0.15">
      <c r="B133" s="61" t="s">
        <v>133</v>
      </c>
      <c r="C133" s="142" t="s">
        <v>110</v>
      </c>
      <c r="D133" s="126"/>
      <c r="E133" s="126"/>
      <c r="F133" s="126"/>
      <c r="G133" s="126"/>
    </row>
    <row r="134" spans="1:7" ht="45" customHeight="1" x14ac:dyDescent="0.15">
      <c r="B134" s="61" t="s">
        <v>134</v>
      </c>
      <c r="C134" s="126"/>
      <c r="D134" s="126"/>
      <c r="E134" s="126"/>
      <c r="F134" s="126"/>
      <c r="G134" s="126"/>
    </row>
    <row r="135" spans="1:7" ht="45" customHeight="1" x14ac:dyDescent="0.15">
      <c r="B135" s="61" t="s">
        <v>135</v>
      </c>
      <c r="C135" s="126" t="s">
        <v>110</v>
      </c>
      <c r="D135" s="126"/>
      <c r="E135" s="126"/>
      <c r="F135" s="126"/>
      <c r="G135" s="126"/>
    </row>
    <row r="136" spans="1:7" ht="45" customHeight="1" x14ac:dyDescent="0.15">
      <c r="B136" s="61" t="s">
        <v>136</v>
      </c>
      <c r="C136" s="143"/>
      <c r="D136" s="143"/>
      <c r="E136" s="143"/>
      <c r="F136" s="143"/>
      <c r="G136" s="143"/>
    </row>
    <row r="137" spans="1:7" ht="7.5" customHeight="1" x14ac:dyDescent="0.15"/>
    <row r="138" spans="1:7" ht="18.75" customHeight="1" x14ac:dyDescent="0.15">
      <c r="A138" s="26" t="s">
        <v>8</v>
      </c>
      <c r="B138" s="26" t="s">
        <v>137</v>
      </c>
      <c r="E138" s="235" t="s">
        <v>283</v>
      </c>
      <c r="F138" s="235"/>
      <c r="G138" s="235"/>
    </row>
    <row r="139" spans="1:7" ht="7.5" customHeight="1" x14ac:dyDescent="0.15"/>
    <row r="140" spans="1:7" ht="18.75" customHeight="1" x14ac:dyDescent="0.15">
      <c r="A140" s="26" t="s">
        <v>11</v>
      </c>
      <c r="B140" s="26" t="s">
        <v>138</v>
      </c>
    </row>
    <row r="141" spans="1:7" ht="18.75" customHeight="1" x14ac:dyDescent="0.15">
      <c r="B141" s="141" t="s">
        <v>211</v>
      </c>
      <c r="C141" s="141"/>
      <c r="D141" s="141"/>
      <c r="E141" s="141"/>
      <c r="F141" s="141"/>
      <c r="G141" s="141"/>
    </row>
    <row r="142" spans="1:7" ht="18.75" customHeight="1" x14ac:dyDescent="0.15">
      <c r="B142" s="141"/>
      <c r="C142" s="141"/>
      <c r="D142" s="141"/>
      <c r="E142" s="141"/>
      <c r="F142" s="141"/>
      <c r="G142" s="141"/>
    </row>
    <row r="143" spans="1:7" ht="18.75" customHeight="1" x14ac:dyDescent="0.15">
      <c r="B143" s="141"/>
      <c r="C143" s="141"/>
      <c r="D143" s="141"/>
      <c r="E143" s="141"/>
      <c r="F143" s="141"/>
      <c r="G143" s="141"/>
    </row>
    <row r="144" spans="1:7" ht="18.75" customHeight="1" x14ac:dyDescent="0.15">
      <c r="B144" s="141"/>
      <c r="C144" s="141"/>
      <c r="D144" s="141"/>
      <c r="E144" s="141"/>
      <c r="F144" s="141"/>
      <c r="G144" s="141"/>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E138:G138"/>
    <mergeCell ref="B141:G144"/>
    <mergeCell ref="C134:G134"/>
    <mergeCell ref="C135:G135"/>
    <mergeCell ref="C136:G136"/>
    <mergeCell ref="C131:G131"/>
    <mergeCell ref="C132:G132"/>
    <mergeCell ref="C133:G133"/>
    <mergeCell ref="C128:G128"/>
    <mergeCell ref="C129:G129"/>
    <mergeCell ref="C130:G130"/>
    <mergeCell ref="C127:G127"/>
    <mergeCell ref="D121:G121"/>
    <mergeCell ref="D122:G122"/>
    <mergeCell ref="D123:G123"/>
    <mergeCell ref="D111:G111"/>
    <mergeCell ref="D112:G112"/>
    <mergeCell ref="D113:G113"/>
    <mergeCell ref="D117:G117"/>
    <mergeCell ref="D118:G118"/>
    <mergeCell ref="D119:G119"/>
    <mergeCell ref="D120:G120"/>
    <mergeCell ref="D107:G107"/>
    <mergeCell ref="D108:G108"/>
    <mergeCell ref="D109:G109"/>
    <mergeCell ref="D100:G100"/>
    <mergeCell ref="B101:B125"/>
    <mergeCell ref="C101:G101"/>
    <mergeCell ref="C102:G106"/>
    <mergeCell ref="D114:G114"/>
    <mergeCell ref="D115:G115"/>
    <mergeCell ref="D116:G116"/>
    <mergeCell ref="D110:G110"/>
    <mergeCell ref="D124:G124"/>
    <mergeCell ref="D125:G125"/>
    <mergeCell ref="D88:G88"/>
    <mergeCell ref="D89:G89"/>
    <mergeCell ref="D90:G90"/>
    <mergeCell ref="D75:G75"/>
    <mergeCell ref="B76:B100"/>
    <mergeCell ref="C76:G76"/>
    <mergeCell ref="C77:G81"/>
    <mergeCell ref="D85:G85"/>
    <mergeCell ref="D86:G86"/>
    <mergeCell ref="D87:G87"/>
    <mergeCell ref="D82:G82"/>
    <mergeCell ref="D83:G83"/>
    <mergeCell ref="D84:G84"/>
    <mergeCell ref="D97:G97"/>
    <mergeCell ref="D98:G98"/>
    <mergeCell ref="D99:G99"/>
    <mergeCell ref="D94:G94"/>
    <mergeCell ref="D95:G95"/>
    <mergeCell ref="D96:G96"/>
    <mergeCell ref="D91:G91"/>
    <mergeCell ref="D92:G92"/>
    <mergeCell ref="D93:G93"/>
    <mergeCell ref="D72:G72"/>
    <mergeCell ref="D73:G73"/>
    <mergeCell ref="D74:G74"/>
    <mergeCell ref="D69:G69"/>
    <mergeCell ref="D70:G70"/>
    <mergeCell ref="D71:G71"/>
    <mergeCell ref="D59:G59"/>
    <mergeCell ref="D66:G66"/>
    <mergeCell ref="D67:G67"/>
    <mergeCell ref="D68:G68"/>
    <mergeCell ref="D63:G63"/>
    <mergeCell ref="D64:G64"/>
    <mergeCell ref="D65:G65"/>
    <mergeCell ref="D50:G50"/>
    <mergeCell ref="B51:B75"/>
    <mergeCell ref="C51:G51"/>
    <mergeCell ref="C52:G56"/>
    <mergeCell ref="B26:B50"/>
    <mergeCell ref="C26:G26"/>
    <mergeCell ref="D60:G60"/>
    <mergeCell ref="D61:G61"/>
    <mergeCell ref="D62:G62"/>
    <mergeCell ref="D57:G57"/>
    <mergeCell ref="D58:G58"/>
    <mergeCell ref="D48:G48"/>
    <mergeCell ref="D49:G49"/>
    <mergeCell ref="D44:G44"/>
    <mergeCell ref="D45:G45"/>
    <mergeCell ref="D46:G46"/>
    <mergeCell ref="D43:G43"/>
    <mergeCell ref="D38:G38"/>
    <mergeCell ref="D39:G39"/>
    <mergeCell ref="D40:G40"/>
    <mergeCell ref="D47:G47"/>
    <mergeCell ref="D35:G35"/>
    <mergeCell ref="D36:G36"/>
    <mergeCell ref="D37:G37"/>
    <mergeCell ref="D33:G33"/>
    <mergeCell ref="D34:G34"/>
    <mergeCell ref="C27:G31"/>
    <mergeCell ref="D32:G32"/>
    <mergeCell ref="D41:G41"/>
    <mergeCell ref="D42:G42"/>
    <mergeCell ref="D24:G24"/>
    <mergeCell ref="D25:G25"/>
    <mergeCell ref="D20:G20"/>
    <mergeCell ref="D21:G21"/>
    <mergeCell ref="D22:G22"/>
    <mergeCell ref="D19:G19"/>
    <mergeCell ref="D14:G14"/>
    <mergeCell ref="D15:G15"/>
    <mergeCell ref="D16:G16"/>
    <mergeCell ref="D23:G23"/>
    <mergeCell ref="A3:G3"/>
    <mergeCell ref="C5:G5"/>
    <mergeCell ref="B6:B25"/>
    <mergeCell ref="C6:G9"/>
    <mergeCell ref="D10:G10"/>
    <mergeCell ref="D11:G11"/>
    <mergeCell ref="D12:G12"/>
    <mergeCell ref="D13:G13"/>
    <mergeCell ref="D17:G17"/>
    <mergeCell ref="D18:G18"/>
  </mergeCells>
  <phoneticPr fontId="18"/>
  <hyperlinks>
    <hyperlink ref="E138:G138" r:id="rId1" display="https://www.iess.ccsv.okayama-u.ac.jp/kikan/ds/literacylevel/" xr:uid="{3CA1A49F-598B-43E7-86E8-C10E99B93895}"/>
  </hyperlinks>
  <printOptions horizontalCentered="1"/>
  <pageMargins left="0.78749999999999998" right="0.78749999999999998" top="0.59027777777777801" bottom="0.39374999999999999" header="0.51180555555555496" footer="0.51180555555555496"/>
  <pageSetup paperSize="9" scale="66" firstPageNumber="0" fitToHeight="0" orientation="portrait" horizontalDpi="300" verticalDpi="300" r:id="rId2"/>
  <rowBreaks count="2" manualBreakCount="2">
    <brk id="50" max="16383" man="1"/>
    <brk id="100"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6F3E4-54E7-4021-A9C1-9DB93927B54A}">
  <dimension ref="A1:F148"/>
  <sheetViews>
    <sheetView view="pageBreakPreview" topLeftCell="C22" zoomScaleNormal="100" zoomScaleSheetLayoutView="100" workbookViewId="0">
      <selection activeCell="G22" sqref="G1:XFD1048576"/>
    </sheetView>
  </sheetViews>
  <sheetFormatPr defaultColWidth="11.375" defaultRowHeight="14.25" x14ac:dyDescent="0.15"/>
  <cols>
    <col min="1" max="1" width="2.75" style="62" customWidth="1"/>
    <col min="2" max="2" width="54.25" style="26" customWidth="1"/>
    <col min="3" max="3" width="1.25" style="26" customWidth="1"/>
    <col min="4" max="4" width="22.375" style="26" customWidth="1"/>
    <col min="5" max="5" width="6.25" style="26" customWidth="1"/>
    <col min="6" max="6" width="11.375" style="26"/>
  </cols>
  <sheetData>
    <row r="1" spans="1:5" ht="18.75" customHeight="1" x14ac:dyDescent="0.15">
      <c r="E1" s="58" t="s">
        <v>227</v>
      </c>
    </row>
    <row r="2" spans="1:5" ht="18.75" customHeight="1" x14ac:dyDescent="0.15">
      <c r="B2" s="58" t="s">
        <v>3</v>
      </c>
      <c r="C2" s="58" t="s">
        <v>228</v>
      </c>
      <c r="D2" s="220" t="s">
        <v>4</v>
      </c>
      <c r="E2" s="220"/>
    </row>
    <row r="3" spans="1:5" ht="7.5" customHeight="1" x14ac:dyDescent="0.15">
      <c r="B3" s="58"/>
      <c r="C3" s="58"/>
      <c r="D3" s="30"/>
      <c r="E3" s="30"/>
    </row>
    <row r="4" spans="1:5" ht="18.75" customHeight="1" x14ac:dyDescent="0.15">
      <c r="B4" s="131" t="s">
        <v>229</v>
      </c>
      <c r="C4" s="131"/>
      <c r="D4" s="131"/>
      <c r="E4" s="131"/>
    </row>
    <row r="5" spans="1:5" ht="7.5" customHeight="1" x14ac:dyDescent="0.15">
      <c r="B5" s="29"/>
      <c r="C5" s="29"/>
      <c r="D5" s="29"/>
      <c r="E5" s="29"/>
    </row>
    <row r="6" spans="1:5" ht="18.75" customHeight="1" x14ac:dyDescent="0.15">
      <c r="A6" s="63" t="s">
        <v>2</v>
      </c>
      <c r="B6" s="28" t="s">
        <v>230</v>
      </c>
      <c r="C6" s="29"/>
      <c r="D6" s="29"/>
      <c r="E6" s="29"/>
    </row>
    <row r="7" spans="1:5" ht="18.75" customHeight="1" x14ac:dyDescent="0.15">
      <c r="A7" s="63"/>
      <c r="B7" s="126" t="s">
        <v>231</v>
      </c>
      <c r="C7" s="126"/>
      <c r="D7" s="126"/>
      <c r="E7" s="126"/>
    </row>
    <row r="8" spans="1:5" ht="7.5" customHeight="1" x14ac:dyDescent="0.15">
      <c r="B8" s="29"/>
      <c r="C8" s="29"/>
      <c r="D8" s="29"/>
      <c r="E8" s="29"/>
    </row>
    <row r="9" spans="1:5" s="28" customFormat="1" ht="18.75" customHeight="1" x14ac:dyDescent="0.15">
      <c r="A9" s="63" t="s">
        <v>5</v>
      </c>
      <c r="B9" s="63" t="s">
        <v>232</v>
      </c>
      <c r="C9" s="63"/>
      <c r="D9" s="63"/>
      <c r="E9" s="63"/>
    </row>
    <row r="10" spans="1:5" s="65" customFormat="1" ht="24" customHeight="1" x14ac:dyDescent="0.15">
      <c r="A10" s="64"/>
      <c r="B10" s="218" t="s">
        <v>233</v>
      </c>
      <c r="C10" s="218"/>
      <c r="D10" s="218"/>
      <c r="E10" s="218"/>
    </row>
    <row r="11" spans="1:5" s="65" customFormat="1" ht="24" customHeight="1" x14ac:dyDescent="0.15">
      <c r="A11" s="64"/>
      <c r="B11" s="218"/>
      <c r="C11" s="218"/>
      <c r="D11" s="218"/>
      <c r="E11" s="218"/>
    </row>
    <row r="12" spans="1:5" s="65" customFormat="1" ht="24" customHeight="1" x14ac:dyDescent="0.15">
      <c r="A12" s="64"/>
      <c r="B12" s="218"/>
      <c r="C12" s="218"/>
      <c r="D12" s="218"/>
      <c r="E12" s="218"/>
    </row>
    <row r="13" spans="1:5" s="65" customFormat="1" ht="24" customHeight="1" x14ac:dyDescent="0.15">
      <c r="A13" s="64"/>
      <c r="B13" s="218"/>
      <c r="C13" s="218"/>
      <c r="D13" s="218"/>
      <c r="E13" s="218"/>
    </row>
    <row r="14" spans="1:5" s="65" customFormat="1" ht="24" customHeight="1" x14ac:dyDescent="0.15">
      <c r="A14" s="64"/>
      <c r="B14" s="218"/>
      <c r="C14" s="218"/>
      <c r="D14" s="218"/>
      <c r="E14" s="218"/>
    </row>
    <row r="15" spans="1:5" s="65" customFormat="1" ht="7.5" customHeight="1" x14ac:dyDescent="0.15">
      <c r="A15" s="64"/>
      <c r="B15" s="64"/>
      <c r="C15" s="64"/>
      <c r="D15" s="64"/>
      <c r="E15" s="64"/>
    </row>
    <row r="16" spans="1:5" s="28" customFormat="1" ht="18.75" customHeight="1" x14ac:dyDescent="0.15">
      <c r="A16" s="66" t="s">
        <v>8</v>
      </c>
      <c r="B16" s="66" t="s">
        <v>234</v>
      </c>
      <c r="C16" s="66"/>
      <c r="D16" s="66"/>
      <c r="E16" s="66"/>
    </row>
    <row r="17" spans="1:5" s="65" customFormat="1" ht="21" customHeight="1" x14ac:dyDescent="0.15">
      <c r="A17" s="64"/>
      <c r="B17" s="219" t="s">
        <v>235</v>
      </c>
      <c r="C17" s="219"/>
      <c r="D17" s="219"/>
      <c r="E17" s="219"/>
    </row>
    <row r="18" spans="1:5" s="65" customFormat="1" ht="21" customHeight="1" x14ac:dyDescent="0.15">
      <c r="A18" s="64"/>
      <c r="B18" s="219"/>
      <c r="C18" s="219"/>
      <c r="D18" s="219"/>
      <c r="E18" s="219"/>
    </row>
    <row r="19" spans="1:5" s="65" customFormat="1" ht="21" customHeight="1" x14ac:dyDescent="0.15">
      <c r="A19" s="64"/>
      <c r="B19" s="219"/>
      <c r="C19" s="219"/>
      <c r="D19" s="219"/>
      <c r="E19" s="219"/>
    </row>
    <row r="20" spans="1:5" s="65" customFormat="1" ht="21" customHeight="1" x14ac:dyDescent="0.15">
      <c r="A20" s="64"/>
      <c r="B20" s="219"/>
      <c r="C20" s="219"/>
      <c r="D20" s="219"/>
      <c r="E20" s="219"/>
    </row>
    <row r="21" spans="1:5" s="65" customFormat="1" ht="21" customHeight="1" x14ac:dyDescent="0.15">
      <c r="A21" s="64"/>
      <c r="B21" s="219"/>
      <c r="C21" s="219"/>
      <c r="D21" s="219"/>
      <c r="E21" s="219"/>
    </row>
    <row r="22" spans="1:5" s="65" customFormat="1" ht="21" customHeight="1" x14ac:dyDescent="0.15">
      <c r="A22" s="64"/>
      <c r="B22" s="219"/>
      <c r="C22" s="219"/>
      <c r="D22" s="219"/>
      <c r="E22" s="219"/>
    </row>
    <row r="23" spans="1:5" s="65" customFormat="1" ht="21" customHeight="1" x14ac:dyDescent="0.15">
      <c r="A23" s="64"/>
      <c r="B23" s="219"/>
      <c r="C23" s="219"/>
      <c r="D23" s="219"/>
      <c r="E23" s="219"/>
    </row>
    <row r="24" spans="1:5" s="65" customFormat="1" ht="21" customHeight="1" x14ac:dyDescent="0.15">
      <c r="A24" s="64"/>
      <c r="B24" s="219"/>
      <c r="C24" s="219"/>
      <c r="D24" s="219"/>
      <c r="E24" s="219"/>
    </row>
    <row r="25" spans="1:5" s="65" customFormat="1" ht="21" customHeight="1" x14ac:dyDescent="0.15">
      <c r="A25" s="64"/>
      <c r="B25" s="219"/>
      <c r="C25" s="219"/>
      <c r="D25" s="219"/>
      <c r="E25" s="219"/>
    </row>
    <row r="26" spans="1:5" s="65" customFormat="1" ht="21" customHeight="1" x14ac:dyDescent="0.15">
      <c r="A26" s="64"/>
      <c r="B26" s="219"/>
      <c r="C26" s="219"/>
      <c r="D26" s="219"/>
      <c r="E26" s="219"/>
    </row>
    <row r="27" spans="1:5" s="65" customFormat="1" ht="21" customHeight="1" x14ac:dyDescent="0.15">
      <c r="A27" s="64"/>
      <c r="B27" s="219"/>
      <c r="C27" s="219"/>
      <c r="D27" s="219"/>
      <c r="E27" s="219"/>
    </row>
    <row r="28" spans="1:5" s="65" customFormat="1" ht="21" customHeight="1" x14ac:dyDescent="0.15">
      <c r="A28" s="64"/>
      <c r="B28" s="219"/>
      <c r="C28" s="219"/>
      <c r="D28" s="219"/>
      <c r="E28" s="219"/>
    </row>
    <row r="29" spans="1:5" ht="7.5" customHeight="1" x14ac:dyDescent="0.15">
      <c r="A29" s="110"/>
      <c r="B29" s="110"/>
      <c r="C29" s="110"/>
      <c r="D29" s="110"/>
      <c r="E29" s="110"/>
    </row>
    <row r="30" spans="1:5" s="28" customFormat="1" ht="18.75" customHeight="1" x14ac:dyDescent="0.15">
      <c r="A30" s="63" t="s">
        <v>11</v>
      </c>
      <c r="B30" s="63" t="s">
        <v>236</v>
      </c>
      <c r="C30" s="63"/>
      <c r="D30" s="63"/>
      <c r="E30" s="63"/>
    </row>
    <row r="31" spans="1:5" s="28" customFormat="1" ht="12.75" customHeight="1" x14ac:dyDescent="0.15">
      <c r="A31" s="63"/>
      <c r="B31" s="218" t="s">
        <v>237</v>
      </c>
      <c r="C31" s="218"/>
      <c r="D31" s="218"/>
      <c r="E31" s="218"/>
    </row>
    <row r="32" spans="1:5" s="28" customFormat="1" ht="12.75" customHeight="1" x14ac:dyDescent="0.15">
      <c r="A32" s="63"/>
      <c r="B32" s="218"/>
      <c r="C32" s="218"/>
      <c r="D32" s="218"/>
      <c r="E32" s="218"/>
    </row>
    <row r="33" spans="1:5" s="28" customFormat="1" ht="12.75" customHeight="1" x14ac:dyDescent="0.15">
      <c r="A33" s="63"/>
      <c r="B33" s="218"/>
      <c r="C33" s="218"/>
      <c r="D33" s="218"/>
      <c r="E33" s="218"/>
    </row>
    <row r="34" spans="1:5" s="28" customFormat="1" ht="12.75" customHeight="1" x14ac:dyDescent="0.15">
      <c r="A34" s="63"/>
      <c r="B34" s="218"/>
      <c r="C34" s="218"/>
      <c r="D34" s="218"/>
      <c r="E34" s="218"/>
    </row>
    <row r="35" spans="1:5" s="28" customFormat="1" ht="12.75" customHeight="1" x14ac:dyDescent="0.15">
      <c r="A35" s="63"/>
      <c r="B35" s="218"/>
      <c r="C35" s="218"/>
      <c r="D35" s="218"/>
      <c r="E35" s="218"/>
    </row>
    <row r="36" spans="1:5" s="28" customFormat="1" ht="12.75" customHeight="1" x14ac:dyDescent="0.15">
      <c r="A36" s="63"/>
      <c r="B36" s="218"/>
      <c r="C36" s="218"/>
      <c r="D36" s="218"/>
      <c r="E36" s="218"/>
    </row>
    <row r="37" spans="1:5" s="28" customFormat="1" ht="12.75" customHeight="1" x14ac:dyDescent="0.15">
      <c r="A37" s="63"/>
      <c r="B37" s="218"/>
      <c r="C37" s="218"/>
      <c r="D37" s="218"/>
      <c r="E37" s="218"/>
    </row>
    <row r="38" spans="1:5" s="28" customFormat="1" ht="12.75" customHeight="1" x14ac:dyDescent="0.15">
      <c r="A38" s="63"/>
      <c r="B38" s="218"/>
      <c r="C38" s="218"/>
      <c r="D38" s="218"/>
      <c r="E38" s="218"/>
    </row>
    <row r="39" spans="1:5" s="28" customFormat="1" ht="12.75" customHeight="1" x14ac:dyDescent="0.15">
      <c r="A39" s="63"/>
      <c r="B39" s="218"/>
      <c r="C39" s="218"/>
      <c r="D39" s="218"/>
      <c r="E39" s="218"/>
    </row>
    <row r="40" spans="1:5" s="28" customFormat="1" ht="12.75" customHeight="1" x14ac:dyDescent="0.15">
      <c r="A40" s="63"/>
      <c r="B40" s="218"/>
      <c r="C40" s="218"/>
      <c r="D40" s="218"/>
      <c r="E40" s="218"/>
    </row>
    <row r="41" spans="1:5" s="28" customFormat="1" ht="12.75" customHeight="1" x14ac:dyDescent="0.15">
      <c r="A41" s="63"/>
      <c r="B41" s="218"/>
      <c r="C41" s="218"/>
      <c r="D41" s="218"/>
      <c r="E41" s="218"/>
    </row>
    <row r="42" spans="1:5" s="28" customFormat="1" ht="12.75" customHeight="1" x14ac:dyDescent="0.15">
      <c r="A42" s="63"/>
      <c r="B42" s="218"/>
      <c r="C42" s="218"/>
      <c r="D42" s="218"/>
      <c r="E42" s="218"/>
    </row>
    <row r="43" spans="1:5" s="28" customFormat="1" ht="12.75" customHeight="1" x14ac:dyDescent="0.15">
      <c r="A43" s="63"/>
      <c r="B43" s="218"/>
      <c r="C43" s="218"/>
      <c r="D43" s="218"/>
      <c r="E43" s="218"/>
    </row>
    <row r="44" spans="1:5" s="28" customFormat="1" ht="12.75" customHeight="1" x14ac:dyDescent="0.15">
      <c r="A44" s="63"/>
      <c r="B44" s="218"/>
      <c r="C44" s="218"/>
      <c r="D44" s="218"/>
      <c r="E44" s="218"/>
    </row>
    <row r="45" spans="1:5" ht="12.75" customHeight="1" x14ac:dyDescent="0.15">
      <c r="A45" s="110"/>
      <c r="B45" s="218"/>
      <c r="C45" s="218"/>
      <c r="D45" s="218"/>
      <c r="E45" s="218"/>
    </row>
    <row r="46" spans="1:5" ht="12.75" customHeight="1" x14ac:dyDescent="0.15">
      <c r="A46" s="110"/>
      <c r="B46" s="218"/>
      <c r="C46" s="218"/>
      <c r="D46" s="218"/>
      <c r="E46" s="218"/>
    </row>
    <row r="47" spans="1:5" s="28" customFormat="1" ht="18.75" customHeight="1" x14ac:dyDescent="0.15">
      <c r="A47" s="67" t="s">
        <v>14</v>
      </c>
      <c r="B47" s="63" t="s">
        <v>238</v>
      </c>
      <c r="C47" s="67"/>
      <c r="D47" s="67"/>
      <c r="E47" s="67"/>
    </row>
    <row r="48" spans="1:5" ht="18.75" customHeight="1" x14ac:dyDescent="0.15">
      <c r="A48" s="110"/>
      <c r="B48" s="218" t="s">
        <v>239</v>
      </c>
      <c r="C48" s="218"/>
      <c r="D48" s="218"/>
      <c r="E48" s="218"/>
    </row>
    <row r="49" spans="1:5" ht="18.75" customHeight="1" x14ac:dyDescent="0.15">
      <c r="A49" s="110"/>
      <c r="B49" s="218"/>
      <c r="C49" s="218"/>
      <c r="D49" s="218"/>
      <c r="E49" s="218"/>
    </row>
    <row r="50" spans="1:5" ht="18.75" customHeight="1" x14ac:dyDescent="0.15">
      <c r="A50" s="110"/>
      <c r="B50" s="218"/>
      <c r="C50" s="218"/>
      <c r="D50" s="218"/>
      <c r="E50" s="218"/>
    </row>
    <row r="51" spans="1:5" ht="18.75" customHeight="1" x14ac:dyDescent="0.15">
      <c r="A51" s="110"/>
      <c r="B51" s="218"/>
      <c r="C51" s="218"/>
      <c r="D51" s="218"/>
      <c r="E51" s="218"/>
    </row>
    <row r="52" spans="1:5" ht="18.75" customHeight="1" x14ac:dyDescent="0.15">
      <c r="A52" s="110"/>
      <c r="B52" s="218"/>
      <c r="C52" s="218"/>
      <c r="D52" s="218"/>
      <c r="E52" s="218"/>
    </row>
    <row r="53" spans="1:5" ht="18.75" customHeight="1" x14ac:dyDescent="0.15">
      <c r="A53" s="110"/>
      <c r="B53" s="218"/>
      <c r="C53" s="218"/>
      <c r="D53" s="218"/>
      <c r="E53" s="218"/>
    </row>
    <row r="54" spans="1:5" ht="18.75" customHeight="1" x14ac:dyDescent="0.15">
      <c r="A54" s="110"/>
      <c r="B54" s="218"/>
      <c r="C54" s="218"/>
      <c r="D54" s="218"/>
      <c r="E54" s="218"/>
    </row>
    <row r="55" spans="1:5" ht="18.75" customHeight="1" x14ac:dyDescent="0.15">
      <c r="A55" s="110"/>
      <c r="B55" s="218"/>
      <c r="C55" s="218"/>
      <c r="D55" s="218"/>
      <c r="E55" s="218"/>
    </row>
    <row r="56" spans="1:5" ht="18.75" customHeight="1" x14ac:dyDescent="0.15">
      <c r="A56" s="110"/>
      <c r="B56" s="218"/>
      <c r="C56" s="218"/>
      <c r="D56" s="218"/>
      <c r="E56" s="218"/>
    </row>
    <row r="57" spans="1:5" ht="18.75" customHeight="1" x14ac:dyDescent="0.15">
      <c r="A57" s="110"/>
      <c r="B57" s="218"/>
      <c r="C57" s="218"/>
      <c r="D57" s="218"/>
      <c r="E57" s="218"/>
    </row>
    <row r="58" spans="1:5" ht="18.75" customHeight="1" x14ac:dyDescent="0.15">
      <c r="A58" s="110"/>
      <c r="B58" s="218"/>
      <c r="C58" s="218"/>
      <c r="D58" s="218"/>
      <c r="E58" s="218"/>
    </row>
    <row r="59" spans="1:5" ht="18.75" customHeight="1" x14ac:dyDescent="0.15">
      <c r="A59" s="110"/>
      <c r="B59" s="218"/>
      <c r="C59" s="218"/>
      <c r="D59" s="218"/>
      <c r="E59" s="218"/>
    </row>
    <row r="60" spans="1:5" ht="18.75" customHeight="1" x14ac:dyDescent="0.15">
      <c r="A60" s="110"/>
      <c r="B60" s="218"/>
      <c r="C60" s="218"/>
      <c r="D60" s="218"/>
      <c r="E60" s="218"/>
    </row>
    <row r="61" spans="1:5" ht="18.75" customHeight="1" x14ac:dyDescent="0.15">
      <c r="A61" s="110"/>
      <c r="B61" s="218"/>
      <c r="C61" s="218"/>
      <c r="D61" s="218"/>
      <c r="E61" s="218"/>
    </row>
    <row r="62" spans="1:5" ht="18.75" customHeight="1" x14ac:dyDescent="0.15">
      <c r="A62" s="110"/>
      <c r="B62" s="218"/>
      <c r="C62" s="218"/>
      <c r="D62" s="218"/>
      <c r="E62" s="218"/>
    </row>
    <row r="63" spans="1:5" ht="18.75" customHeight="1" x14ac:dyDescent="0.15">
      <c r="A63" s="110"/>
      <c r="B63" s="218"/>
      <c r="C63" s="218"/>
      <c r="D63" s="218"/>
      <c r="E63" s="218"/>
    </row>
    <row r="64" spans="1:5" ht="18.75" customHeight="1" x14ac:dyDescent="0.15">
      <c r="A64" s="110"/>
      <c r="B64" s="218"/>
      <c r="C64" s="218"/>
      <c r="D64" s="218"/>
      <c r="E64" s="218"/>
    </row>
    <row r="65" spans="1:5" ht="18.75" customHeight="1" x14ac:dyDescent="0.15">
      <c r="A65" s="110"/>
      <c r="B65" s="218"/>
      <c r="C65" s="218"/>
      <c r="D65" s="218"/>
      <c r="E65" s="218"/>
    </row>
    <row r="66" spans="1:5" ht="18.75" customHeight="1" x14ac:dyDescent="0.15">
      <c r="A66" s="110"/>
      <c r="B66" s="218"/>
      <c r="C66" s="218"/>
      <c r="D66" s="218"/>
      <c r="E66" s="218"/>
    </row>
    <row r="67" spans="1:5" ht="18.75" customHeight="1" x14ac:dyDescent="0.15">
      <c r="A67" s="110"/>
      <c r="B67" s="218"/>
      <c r="C67" s="218"/>
      <c r="D67" s="218"/>
      <c r="E67" s="218"/>
    </row>
    <row r="68" spans="1:5" ht="18.75" customHeight="1" x14ac:dyDescent="0.15">
      <c r="A68" s="110"/>
      <c r="B68" s="218"/>
      <c r="C68" s="218"/>
      <c r="D68" s="218"/>
      <c r="E68" s="218"/>
    </row>
    <row r="69" spans="1:5" ht="7.5" customHeight="1" x14ac:dyDescent="0.15">
      <c r="A69" s="110"/>
      <c r="B69" s="110"/>
      <c r="C69" s="110"/>
      <c r="D69" s="110"/>
      <c r="E69" s="110"/>
    </row>
    <row r="70" spans="1:5" s="28" customFormat="1" ht="18.75" customHeight="1" x14ac:dyDescent="0.15">
      <c r="A70" s="63" t="s">
        <v>17</v>
      </c>
      <c r="B70" s="63" t="s">
        <v>240</v>
      </c>
      <c r="C70" s="63"/>
      <c r="D70" s="63"/>
      <c r="E70" s="63"/>
    </row>
    <row r="71" spans="1:5" s="28" customFormat="1" ht="17.25" customHeight="1" x14ac:dyDescent="0.15">
      <c r="A71" s="63"/>
      <c r="B71" s="218" t="s">
        <v>241</v>
      </c>
      <c r="C71" s="218"/>
      <c r="D71" s="218"/>
      <c r="E71" s="218"/>
    </row>
    <row r="72" spans="1:5" s="28" customFormat="1" ht="17.25" customHeight="1" x14ac:dyDescent="0.15">
      <c r="A72" s="63"/>
      <c r="B72" s="218"/>
      <c r="C72" s="218"/>
      <c r="D72" s="218"/>
      <c r="E72" s="218"/>
    </row>
    <row r="73" spans="1:5" s="28" customFormat="1" ht="17.25" customHeight="1" x14ac:dyDescent="0.15">
      <c r="A73" s="63"/>
      <c r="B73" s="218"/>
      <c r="C73" s="218"/>
      <c r="D73" s="218"/>
      <c r="E73" s="218"/>
    </row>
    <row r="74" spans="1:5" s="28" customFormat="1" ht="17.25" customHeight="1" x14ac:dyDescent="0.15">
      <c r="A74" s="63"/>
      <c r="B74" s="218"/>
      <c r="C74" s="218"/>
      <c r="D74" s="218"/>
      <c r="E74" s="218"/>
    </row>
    <row r="75" spans="1:5" s="28" customFormat="1" ht="17.25" customHeight="1" x14ac:dyDescent="0.15">
      <c r="A75" s="63"/>
      <c r="B75" s="218"/>
      <c r="C75" s="218"/>
      <c r="D75" s="218"/>
      <c r="E75" s="218"/>
    </row>
    <row r="76" spans="1:5" s="28" customFormat="1" ht="17.25" customHeight="1" x14ac:dyDescent="0.15">
      <c r="A76" s="63"/>
      <c r="B76" s="218"/>
      <c r="C76" s="218"/>
      <c r="D76" s="218"/>
      <c r="E76" s="218"/>
    </row>
    <row r="77" spans="1:5" s="28" customFormat="1" ht="17.25" customHeight="1" x14ac:dyDescent="0.15">
      <c r="A77" s="63"/>
      <c r="B77" s="218"/>
      <c r="C77" s="218"/>
      <c r="D77" s="218"/>
      <c r="E77" s="218"/>
    </row>
    <row r="78" spans="1:5" s="28" customFormat="1" ht="17.25" customHeight="1" x14ac:dyDescent="0.15">
      <c r="A78" s="63"/>
      <c r="B78" s="218"/>
      <c r="C78" s="218"/>
      <c r="D78" s="218"/>
      <c r="E78" s="218"/>
    </row>
    <row r="79" spans="1:5" s="28" customFormat="1" ht="17.25" customHeight="1" x14ac:dyDescent="0.15">
      <c r="A79" s="63"/>
      <c r="B79" s="218"/>
      <c r="C79" s="218"/>
      <c r="D79" s="218"/>
      <c r="E79" s="218"/>
    </row>
    <row r="80" spans="1:5" s="28" customFormat="1" ht="17.25" customHeight="1" x14ac:dyDescent="0.15">
      <c r="A80" s="63"/>
      <c r="B80" s="218"/>
      <c r="C80" s="218"/>
      <c r="D80" s="218"/>
      <c r="E80" s="218"/>
    </row>
    <row r="81" spans="1:5" s="28" customFormat="1" ht="17.25" customHeight="1" x14ac:dyDescent="0.15">
      <c r="A81" s="63"/>
      <c r="B81" s="218"/>
      <c r="C81" s="218"/>
      <c r="D81" s="218"/>
      <c r="E81" s="218"/>
    </row>
    <row r="82" spans="1:5" s="28" customFormat="1" ht="17.25" customHeight="1" x14ac:dyDescent="0.15">
      <c r="A82" s="63"/>
      <c r="B82" s="218"/>
      <c r="C82" s="218"/>
      <c r="D82" s="218"/>
      <c r="E82" s="218"/>
    </row>
    <row r="83" spans="1:5" s="28" customFormat="1" ht="17.25" customHeight="1" x14ac:dyDescent="0.15">
      <c r="A83" s="63"/>
      <c r="B83" s="218"/>
      <c r="C83" s="218"/>
      <c r="D83" s="218"/>
      <c r="E83" s="218"/>
    </row>
    <row r="84" spans="1:5" s="28" customFormat="1" ht="17.25" customHeight="1" x14ac:dyDescent="0.15">
      <c r="A84" s="63"/>
      <c r="B84" s="218"/>
      <c r="C84" s="218"/>
      <c r="D84" s="218"/>
      <c r="E84" s="218"/>
    </row>
    <row r="85" spans="1:5" s="28" customFormat="1" ht="17.25" customHeight="1" x14ac:dyDescent="0.15">
      <c r="A85" s="63"/>
      <c r="B85" s="218"/>
      <c r="C85" s="218"/>
      <c r="D85" s="218"/>
      <c r="E85" s="218"/>
    </row>
    <row r="86" spans="1:5" s="28" customFormat="1" ht="17.25" customHeight="1" x14ac:dyDescent="0.15">
      <c r="A86" s="63"/>
      <c r="B86" s="218"/>
      <c r="C86" s="218"/>
      <c r="D86" s="218"/>
      <c r="E86" s="218"/>
    </row>
    <row r="87" spans="1:5" s="28" customFormat="1" ht="17.25" customHeight="1" x14ac:dyDescent="0.15">
      <c r="A87" s="63"/>
      <c r="B87" s="218"/>
      <c r="C87" s="218"/>
      <c r="D87" s="218"/>
      <c r="E87" s="218"/>
    </row>
    <row r="88" spans="1:5" ht="17.25" customHeight="1" x14ac:dyDescent="0.15">
      <c r="A88" s="110"/>
      <c r="B88" s="218"/>
      <c r="C88" s="218"/>
      <c r="D88" s="218"/>
      <c r="E88" s="218"/>
    </row>
    <row r="89" spans="1:5" ht="17.25" customHeight="1" x14ac:dyDescent="0.15">
      <c r="A89" s="110"/>
      <c r="B89" s="218"/>
      <c r="C89" s="218"/>
      <c r="D89" s="218"/>
      <c r="E89" s="218"/>
    </row>
    <row r="90" spans="1:5" ht="7.5" customHeight="1" x14ac:dyDescent="0.15">
      <c r="A90" s="110"/>
      <c r="B90" s="110"/>
      <c r="C90" s="110"/>
      <c r="D90" s="110"/>
      <c r="E90" s="110"/>
    </row>
    <row r="91" spans="1:5" s="28" customFormat="1" ht="18.75" customHeight="1" x14ac:dyDescent="0.15">
      <c r="A91" s="63" t="s">
        <v>20</v>
      </c>
      <c r="B91" s="63" t="s">
        <v>242</v>
      </c>
      <c r="C91" s="63"/>
      <c r="D91" s="63"/>
      <c r="E91" s="63"/>
    </row>
    <row r="92" spans="1:5" s="28" customFormat="1" ht="18.75" customHeight="1" x14ac:dyDescent="0.15">
      <c r="A92" s="63"/>
      <c r="B92" s="141" t="s">
        <v>243</v>
      </c>
      <c r="C92" s="141"/>
      <c r="D92" s="141"/>
      <c r="E92" s="141"/>
    </row>
    <row r="93" spans="1:5" s="28" customFormat="1" ht="18.75" customHeight="1" x14ac:dyDescent="0.15">
      <c r="A93" s="63"/>
      <c r="B93" s="141"/>
      <c r="C93" s="141"/>
      <c r="D93" s="141"/>
      <c r="E93" s="141"/>
    </row>
    <row r="94" spans="1:5" s="28" customFormat="1" ht="18.75" customHeight="1" x14ac:dyDescent="0.15">
      <c r="A94" s="63"/>
      <c r="B94" s="141"/>
      <c r="C94" s="141"/>
      <c r="D94" s="141"/>
      <c r="E94" s="141"/>
    </row>
    <row r="95" spans="1:5" s="28" customFormat="1" ht="18.75" customHeight="1" x14ac:dyDescent="0.15">
      <c r="A95" s="63"/>
      <c r="B95" s="141"/>
      <c r="C95" s="141"/>
      <c r="D95" s="141"/>
      <c r="E95" s="141"/>
    </row>
    <row r="96" spans="1:5" s="28" customFormat="1" ht="18.75" customHeight="1" x14ac:dyDescent="0.15">
      <c r="A96" s="63"/>
      <c r="B96" s="141"/>
      <c r="C96" s="141"/>
      <c r="D96" s="141"/>
      <c r="E96" s="141"/>
    </row>
    <row r="97" spans="1:5" s="28" customFormat="1" ht="18.75" customHeight="1" x14ac:dyDescent="0.15">
      <c r="A97" s="63"/>
      <c r="B97" s="141"/>
      <c r="C97" s="141"/>
      <c r="D97" s="141"/>
      <c r="E97" s="141"/>
    </row>
    <row r="98" spans="1:5" s="28" customFormat="1" ht="18.75" customHeight="1" x14ac:dyDescent="0.15">
      <c r="A98" s="63"/>
      <c r="B98" s="141"/>
      <c r="C98" s="141"/>
      <c r="D98" s="141"/>
      <c r="E98" s="141"/>
    </row>
    <row r="99" spans="1:5" s="28" customFormat="1" ht="18.75" customHeight="1" x14ac:dyDescent="0.15">
      <c r="A99" s="63"/>
      <c r="B99" s="141"/>
      <c r="C99" s="141"/>
      <c r="D99" s="141"/>
      <c r="E99" s="141"/>
    </row>
    <row r="100" spans="1:5" s="28" customFormat="1" ht="18.75" customHeight="1" x14ac:dyDescent="0.15">
      <c r="A100" s="63"/>
      <c r="B100" s="141"/>
      <c r="C100" s="141"/>
      <c r="D100" s="141"/>
      <c r="E100" s="141"/>
    </row>
    <row r="101" spans="1:5" s="28" customFormat="1" ht="18.75" customHeight="1" x14ac:dyDescent="0.15">
      <c r="A101" s="63"/>
      <c r="B101" s="141"/>
      <c r="C101" s="141"/>
      <c r="D101" s="141"/>
      <c r="E101" s="141"/>
    </row>
    <row r="102" spans="1:5" s="28" customFormat="1" ht="18.75" customHeight="1" x14ac:dyDescent="0.15">
      <c r="A102" s="63"/>
      <c r="B102" s="141"/>
      <c r="C102" s="141"/>
      <c r="D102" s="141"/>
      <c r="E102" s="141"/>
    </row>
    <row r="103" spans="1:5" s="28" customFormat="1" ht="18.75" customHeight="1" x14ac:dyDescent="0.15">
      <c r="A103" s="63"/>
      <c r="B103" s="141"/>
      <c r="C103" s="141"/>
      <c r="D103" s="141"/>
      <c r="E103" s="141"/>
    </row>
    <row r="104" spans="1:5" s="28" customFormat="1" ht="18.75" customHeight="1" x14ac:dyDescent="0.15">
      <c r="A104" s="63"/>
      <c r="B104" s="141"/>
      <c r="C104" s="141"/>
      <c r="D104" s="141"/>
      <c r="E104" s="141"/>
    </row>
    <row r="105" spans="1:5" s="28" customFormat="1" ht="18.75" customHeight="1" x14ac:dyDescent="0.15">
      <c r="A105" s="63"/>
      <c r="B105" s="141"/>
      <c r="C105" s="141"/>
      <c r="D105" s="141"/>
      <c r="E105" s="141"/>
    </row>
    <row r="106" spans="1:5" s="28" customFormat="1" ht="18.75" customHeight="1" x14ac:dyDescent="0.15">
      <c r="A106" s="63"/>
      <c r="B106" s="141"/>
      <c r="C106" s="141"/>
      <c r="D106" s="141"/>
      <c r="E106" s="141"/>
    </row>
    <row r="107" spans="1:5" s="28" customFormat="1" ht="18.75" customHeight="1" x14ac:dyDescent="0.15">
      <c r="A107" s="63"/>
      <c r="B107" s="141"/>
      <c r="C107" s="141"/>
      <c r="D107" s="141"/>
      <c r="E107" s="141"/>
    </row>
    <row r="108" spans="1:5" s="28" customFormat="1" ht="18.75" customHeight="1" x14ac:dyDescent="0.15">
      <c r="A108" s="63"/>
      <c r="B108" s="141"/>
      <c r="C108" s="141"/>
      <c r="D108" s="141"/>
      <c r="E108" s="141"/>
    </row>
    <row r="109" spans="1:5" s="28" customFormat="1" ht="18.75" customHeight="1" x14ac:dyDescent="0.15">
      <c r="A109" s="63"/>
      <c r="B109" s="141"/>
      <c r="C109" s="141"/>
      <c r="D109" s="141"/>
      <c r="E109" s="141"/>
    </row>
    <row r="110" spans="1:5" ht="18.75" customHeight="1" x14ac:dyDescent="0.15">
      <c r="A110" s="110"/>
      <c r="B110" s="141"/>
      <c r="C110" s="141"/>
      <c r="D110" s="141"/>
      <c r="E110" s="141"/>
    </row>
    <row r="111" spans="1:5" ht="18.75" customHeight="1" x14ac:dyDescent="0.15">
      <c r="A111" s="110"/>
      <c r="B111" s="141"/>
      <c r="C111" s="141"/>
      <c r="D111" s="141"/>
      <c r="E111" s="141"/>
    </row>
    <row r="112" spans="1:5" ht="7.5" customHeight="1" x14ac:dyDescent="0.15">
      <c r="A112" s="110"/>
      <c r="B112" s="110"/>
      <c r="C112" s="110"/>
      <c r="D112" s="110"/>
      <c r="E112" s="110"/>
    </row>
    <row r="113" spans="1:5" s="28" customFormat="1" ht="18.75" customHeight="1" x14ac:dyDescent="0.15">
      <c r="A113" s="63" t="s">
        <v>25</v>
      </c>
      <c r="B113" s="221" t="s">
        <v>244</v>
      </c>
      <c r="C113" s="221"/>
      <c r="D113" s="221"/>
      <c r="E113" s="221"/>
    </row>
    <row r="114" spans="1:5" ht="18" customHeight="1" x14ac:dyDescent="0.15">
      <c r="A114" s="110"/>
      <c r="B114" s="218" t="s">
        <v>245</v>
      </c>
      <c r="C114" s="218"/>
      <c r="D114" s="218"/>
      <c r="E114" s="218"/>
    </row>
    <row r="115" spans="1:5" ht="18" customHeight="1" x14ac:dyDescent="0.15">
      <c r="A115" s="110"/>
      <c r="B115" s="218"/>
      <c r="C115" s="218"/>
      <c r="D115" s="218"/>
      <c r="E115" s="218"/>
    </row>
    <row r="116" spans="1:5" ht="18" customHeight="1" x14ac:dyDescent="0.15">
      <c r="A116" s="110"/>
      <c r="B116" s="218"/>
      <c r="C116" s="218"/>
      <c r="D116" s="218"/>
      <c r="E116" s="218"/>
    </row>
    <row r="117" spans="1:5" ht="18" customHeight="1" x14ac:dyDescent="0.15">
      <c r="A117" s="110"/>
      <c r="B117" s="218"/>
      <c r="C117" s="218"/>
      <c r="D117" s="218"/>
      <c r="E117" s="218"/>
    </row>
    <row r="118" spans="1:5" ht="18" customHeight="1" x14ac:dyDescent="0.15">
      <c r="A118" s="110"/>
      <c r="B118" s="218"/>
      <c r="C118" s="218"/>
      <c r="D118" s="218"/>
      <c r="E118" s="218"/>
    </row>
    <row r="119" spans="1:5" ht="18" customHeight="1" x14ac:dyDescent="0.15">
      <c r="A119" s="110"/>
      <c r="B119" s="218"/>
      <c r="C119" s="218"/>
      <c r="D119" s="218"/>
      <c r="E119" s="218"/>
    </row>
    <row r="120" spans="1:5" ht="18" customHeight="1" x14ac:dyDescent="0.15">
      <c r="A120" s="110"/>
      <c r="B120" s="218"/>
      <c r="C120" s="218"/>
      <c r="D120" s="218"/>
      <c r="E120" s="218"/>
    </row>
    <row r="121" spans="1:5" ht="18" customHeight="1" x14ac:dyDescent="0.15">
      <c r="A121" s="110"/>
      <c r="B121" s="218"/>
      <c r="C121" s="218"/>
      <c r="D121" s="218"/>
      <c r="E121" s="218"/>
    </row>
    <row r="122" spans="1:5" ht="18" customHeight="1" x14ac:dyDescent="0.15">
      <c r="A122" s="110"/>
      <c r="B122" s="218"/>
      <c r="C122" s="218"/>
      <c r="D122" s="218"/>
      <c r="E122" s="218"/>
    </row>
    <row r="123" spans="1:5" ht="18" customHeight="1" x14ac:dyDescent="0.15">
      <c r="A123" s="110"/>
      <c r="B123" s="218"/>
      <c r="C123" s="218"/>
      <c r="D123" s="218"/>
      <c r="E123" s="218"/>
    </row>
    <row r="124" spans="1:5" ht="18" customHeight="1" x14ac:dyDescent="0.15">
      <c r="A124" s="110"/>
      <c r="B124" s="218"/>
      <c r="C124" s="218"/>
      <c r="D124" s="218"/>
      <c r="E124" s="218"/>
    </row>
    <row r="125" spans="1:5" ht="18" customHeight="1" x14ac:dyDescent="0.15">
      <c r="A125" s="110"/>
      <c r="B125" s="218"/>
      <c r="C125" s="218"/>
      <c r="D125" s="218"/>
      <c r="E125" s="218"/>
    </row>
    <row r="126" spans="1:5" ht="18" customHeight="1" x14ac:dyDescent="0.15">
      <c r="A126" s="110"/>
      <c r="B126" s="218"/>
      <c r="C126" s="218"/>
      <c r="D126" s="218"/>
      <c r="E126" s="218"/>
    </row>
    <row r="127" spans="1:5" ht="18" customHeight="1" x14ac:dyDescent="0.15">
      <c r="A127" s="110"/>
      <c r="B127" s="218"/>
      <c r="C127" s="218"/>
      <c r="D127" s="218"/>
      <c r="E127" s="218"/>
    </row>
    <row r="128" spans="1:5" ht="18" customHeight="1" x14ac:dyDescent="0.15">
      <c r="A128" s="110"/>
      <c r="B128" s="218"/>
      <c r="C128" s="218"/>
      <c r="D128" s="218"/>
      <c r="E128" s="218"/>
    </row>
    <row r="129" spans="1:5" ht="18" customHeight="1" x14ac:dyDescent="0.15">
      <c r="A129" s="110"/>
      <c r="B129" s="218"/>
      <c r="C129" s="218"/>
      <c r="D129" s="218"/>
      <c r="E129" s="218"/>
    </row>
    <row r="130" spans="1:5" ht="18" customHeight="1" x14ac:dyDescent="0.15">
      <c r="A130" s="110"/>
      <c r="B130" s="218"/>
      <c r="C130" s="218"/>
      <c r="D130" s="218"/>
      <c r="E130" s="218"/>
    </row>
    <row r="131" spans="1:5" ht="18" customHeight="1" x14ac:dyDescent="0.15">
      <c r="A131" s="110"/>
      <c r="B131" s="218"/>
      <c r="C131" s="218"/>
      <c r="D131" s="218"/>
      <c r="E131" s="218"/>
    </row>
    <row r="132" spans="1:5" ht="18" customHeight="1" x14ac:dyDescent="0.15">
      <c r="A132" s="110"/>
      <c r="B132" s="218"/>
      <c r="C132" s="218"/>
      <c r="D132" s="218"/>
      <c r="E132" s="218"/>
    </row>
    <row r="133" spans="1:5" ht="18" customHeight="1" x14ac:dyDescent="0.15">
      <c r="A133" s="110"/>
      <c r="B133" s="218"/>
      <c r="C133" s="218"/>
      <c r="D133" s="218"/>
      <c r="E133" s="218"/>
    </row>
    <row r="134" spans="1:5" ht="7.5" customHeight="1" x14ac:dyDescent="0.15">
      <c r="A134" s="110"/>
      <c r="B134" s="68"/>
      <c r="C134" s="68"/>
      <c r="D134" s="68"/>
      <c r="E134" s="68"/>
    </row>
    <row r="135" spans="1:5" ht="18.75" customHeight="1" x14ac:dyDescent="0.15">
      <c r="A135" s="110"/>
      <c r="B135" s="110"/>
      <c r="C135" s="110"/>
      <c r="D135" s="110"/>
      <c r="E135" s="110"/>
    </row>
    <row r="136" spans="1:5" ht="18.75" customHeight="1" x14ac:dyDescent="0.15">
      <c r="A136" s="110"/>
      <c r="B136" s="110"/>
      <c r="C136" s="110"/>
      <c r="D136" s="110"/>
      <c r="E136" s="110"/>
    </row>
    <row r="137" spans="1:5" ht="18.75" customHeight="1" x14ac:dyDescent="0.15">
      <c r="A137" s="110"/>
      <c r="B137" s="110"/>
      <c r="C137" s="110"/>
      <c r="D137" s="110"/>
      <c r="E137" s="110"/>
    </row>
    <row r="138" spans="1:5" ht="18.75" customHeight="1" x14ac:dyDescent="0.15">
      <c r="A138" s="110"/>
      <c r="B138" s="110"/>
      <c r="C138" s="110"/>
      <c r="D138" s="110"/>
      <c r="E138" s="110"/>
    </row>
    <row r="139" spans="1:5" ht="18.75" customHeight="1" x14ac:dyDescent="0.15">
      <c r="A139" s="110"/>
      <c r="B139" s="110"/>
      <c r="C139" s="110"/>
      <c r="D139" s="110"/>
      <c r="E139" s="110"/>
    </row>
    <row r="140" spans="1:5" ht="18.75" customHeight="1" x14ac:dyDescent="0.15">
      <c r="A140" s="110"/>
      <c r="B140" s="110"/>
      <c r="C140" s="110"/>
      <c r="D140" s="110"/>
      <c r="E140" s="110"/>
    </row>
    <row r="141" spans="1:5" ht="18.75" customHeight="1" x14ac:dyDescent="0.15">
      <c r="A141" s="110"/>
      <c r="B141" s="110"/>
      <c r="C141" s="110"/>
      <c r="D141" s="110"/>
      <c r="E141" s="110"/>
    </row>
    <row r="142" spans="1:5" ht="18.75" customHeight="1" x14ac:dyDescent="0.15">
      <c r="A142" s="110"/>
      <c r="B142" s="110"/>
      <c r="C142" s="110"/>
      <c r="D142" s="110"/>
      <c r="E142" s="110"/>
    </row>
    <row r="143" spans="1:5" ht="18.75" customHeight="1" x14ac:dyDescent="0.15">
      <c r="A143" s="110"/>
      <c r="B143" s="110"/>
      <c r="C143" s="110"/>
      <c r="D143" s="110"/>
      <c r="E143" s="110"/>
    </row>
    <row r="144" spans="1:5" ht="18.75" customHeight="1" x14ac:dyDescent="0.15">
      <c r="A144" s="110"/>
      <c r="B144" s="110"/>
      <c r="C144" s="110"/>
      <c r="D144" s="110"/>
      <c r="E144" s="110"/>
    </row>
    <row r="145" spans="1:5" ht="18.75" customHeight="1" x14ac:dyDescent="0.15">
      <c r="A145" s="110"/>
      <c r="B145" s="110"/>
      <c r="C145" s="110"/>
      <c r="D145" s="110"/>
      <c r="E145" s="110"/>
    </row>
    <row r="146" spans="1:5" ht="18.75" customHeight="1" x14ac:dyDescent="0.15">
      <c r="A146" s="110"/>
      <c r="B146" s="110"/>
      <c r="C146" s="110"/>
      <c r="D146" s="110"/>
      <c r="E146" s="110"/>
    </row>
    <row r="147" spans="1:5" x14ac:dyDescent="0.15">
      <c r="A147" s="110"/>
      <c r="B147" s="110"/>
      <c r="C147" s="110"/>
      <c r="D147" s="110"/>
      <c r="E147" s="110"/>
    </row>
    <row r="148" spans="1:5" ht="7.5" customHeight="1" x14ac:dyDescent="0.15">
      <c r="A148" s="69"/>
      <c r="B148" s="69"/>
      <c r="C148" s="69"/>
      <c r="D148" s="69"/>
      <c r="E148" s="69"/>
    </row>
  </sheetData>
  <mergeCells count="11">
    <mergeCell ref="B113:E113"/>
    <mergeCell ref="B114:E133"/>
    <mergeCell ref="B48:E68"/>
    <mergeCell ref="B71:E89"/>
    <mergeCell ref="B92:E111"/>
    <mergeCell ref="B10:E14"/>
    <mergeCell ref="B17:E28"/>
    <mergeCell ref="B31:E46"/>
    <mergeCell ref="D2:E2"/>
    <mergeCell ref="B4:E4"/>
    <mergeCell ref="B7:E7"/>
  </mergeCells>
  <phoneticPr fontId="18"/>
  <printOptions horizontalCentered="1"/>
  <pageMargins left="0.78749999999999998" right="0.78749999999999998" top="0.78749999999999998" bottom="0.78749999999999998" header="0.51180555555555496" footer="0.51180555555555496"/>
  <pageSetup paperSize="9" firstPageNumber="0" orientation="portrait" horizontalDpi="300" verticalDpi="300" r:id="rId1"/>
  <rowBreaks count="2" manualBreakCount="2">
    <brk id="46" max="4" man="1"/>
    <brk id="90" max="4"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72586-6D8D-4A96-B378-94BF874BAC86}">
  <sheetPr>
    <pageSetUpPr fitToPage="1"/>
  </sheetPr>
  <dimension ref="A1:K28"/>
  <sheetViews>
    <sheetView view="pageBreakPreview" topLeftCell="D17" zoomScaleNormal="100" workbookViewId="0">
      <selection activeCell="F20" sqref="F20"/>
    </sheetView>
  </sheetViews>
  <sheetFormatPr defaultColWidth="11.375" defaultRowHeight="14.25" x14ac:dyDescent="0.15"/>
  <cols>
    <col min="1" max="3" width="2.375" style="26" customWidth="1"/>
    <col min="4" max="4" width="22.375" style="26" customWidth="1"/>
    <col min="5" max="5" width="21.25" style="26" customWidth="1"/>
    <col min="6" max="7" width="7.375" style="26" customWidth="1"/>
    <col min="8" max="8" width="32.375" style="26" customWidth="1"/>
    <col min="9" max="9" width="24.875" style="26" customWidth="1"/>
    <col min="10" max="10" width="6.25" style="26" customWidth="1"/>
    <col min="11" max="11" width="11.375" style="26"/>
  </cols>
  <sheetData>
    <row r="1" spans="1:10" ht="18.75" customHeight="1" x14ac:dyDescent="0.15">
      <c r="J1" s="58" t="s">
        <v>246</v>
      </c>
    </row>
    <row r="2" spans="1:10" ht="18.75" customHeight="1" x14ac:dyDescent="0.15">
      <c r="D2" s="58"/>
      <c r="H2" s="58" t="s">
        <v>63</v>
      </c>
      <c r="I2" s="220" t="s">
        <v>4</v>
      </c>
      <c r="J2" s="220"/>
    </row>
    <row r="3" spans="1:10" ht="18.75" customHeight="1" x14ac:dyDescent="0.15">
      <c r="A3" s="131" t="s">
        <v>247</v>
      </c>
      <c r="B3" s="131"/>
      <c r="C3" s="131"/>
      <c r="D3" s="131"/>
      <c r="E3" s="131"/>
      <c r="F3" s="131"/>
      <c r="G3" s="131"/>
      <c r="H3" s="131"/>
      <c r="I3" s="131"/>
      <c r="J3" s="131"/>
    </row>
    <row r="4" spans="1:10" ht="7.5" customHeight="1" x14ac:dyDescent="0.15">
      <c r="B4" s="70"/>
      <c r="C4" s="70"/>
      <c r="D4" s="222"/>
      <c r="E4" s="222"/>
      <c r="F4" s="222"/>
      <c r="G4" s="222"/>
      <c r="H4" s="222"/>
      <c r="I4" s="222"/>
      <c r="J4" s="222"/>
    </row>
    <row r="5" spans="1:10" ht="18.75" customHeight="1" x14ac:dyDescent="0.15">
      <c r="A5" s="26" t="s">
        <v>2</v>
      </c>
      <c r="B5" s="28" t="s">
        <v>248</v>
      </c>
      <c r="C5" s="70"/>
      <c r="D5" s="70"/>
      <c r="E5" s="71"/>
      <c r="F5" s="71"/>
      <c r="G5" s="71"/>
      <c r="H5" s="71"/>
      <c r="I5" s="71"/>
      <c r="J5" s="71"/>
    </row>
    <row r="6" spans="1:10" ht="18.75" customHeight="1" x14ac:dyDescent="0.15">
      <c r="B6" s="144" t="s">
        <v>249</v>
      </c>
      <c r="C6" s="144"/>
      <c r="D6" s="144"/>
      <c r="E6" s="226" t="s">
        <v>250</v>
      </c>
      <c r="F6" s="226"/>
      <c r="G6" s="226"/>
      <c r="H6" s="226"/>
      <c r="I6" s="226"/>
      <c r="J6" s="226"/>
    </row>
    <row r="7" spans="1:10" ht="18.75" customHeight="1" x14ac:dyDescent="0.15">
      <c r="B7" s="72" t="s">
        <v>251</v>
      </c>
      <c r="C7" s="110"/>
      <c r="D7" s="73"/>
      <c r="E7" s="74"/>
      <c r="F7" s="74"/>
      <c r="G7" s="74"/>
      <c r="H7" s="74"/>
      <c r="I7" s="88"/>
      <c r="J7" s="75"/>
    </row>
    <row r="8" spans="1:10" ht="200.25" customHeight="1" x14ac:dyDescent="0.15">
      <c r="B8" s="76"/>
      <c r="C8" s="225" t="s">
        <v>252</v>
      </c>
      <c r="D8" s="225"/>
      <c r="E8" s="224" t="s">
        <v>253</v>
      </c>
      <c r="F8" s="224"/>
      <c r="G8" s="224"/>
      <c r="H8" s="224"/>
      <c r="I8" s="224"/>
      <c r="J8" s="224"/>
    </row>
    <row r="9" spans="1:10" ht="200.25" customHeight="1" x14ac:dyDescent="0.15">
      <c r="B9" s="76"/>
      <c r="C9" s="223" t="s">
        <v>254</v>
      </c>
      <c r="D9" s="223"/>
      <c r="E9" s="224" t="s">
        <v>255</v>
      </c>
      <c r="F9" s="224"/>
      <c r="G9" s="224"/>
      <c r="H9" s="224"/>
      <c r="I9" s="224"/>
      <c r="J9" s="224"/>
    </row>
    <row r="10" spans="1:10" ht="172.5" customHeight="1" x14ac:dyDescent="0.15">
      <c r="B10" s="76"/>
      <c r="C10" s="225" t="s">
        <v>256</v>
      </c>
      <c r="D10" s="225"/>
      <c r="E10" s="224" t="s">
        <v>257</v>
      </c>
      <c r="F10" s="224"/>
      <c r="G10" s="224"/>
      <c r="H10" s="224"/>
      <c r="I10" s="224"/>
      <c r="J10" s="224"/>
    </row>
    <row r="11" spans="1:10" ht="172.5" customHeight="1" x14ac:dyDescent="0.15">
      <c r="B11" s="76"/>
      <c r="C11" s="225" t="s">
        <v>258</v>
      </c>
      <c r="D11" s="225"/>
      <c r="E11" s="224" t="s">
        <v>259</v>
      </c>
      <c r="F11" s="224"/>
      <c r="G11" s="224"/>
      <c r="H11" s="224"/>
      <c r="I11" s="224"/>
      <c r="J11" s="224"/>
    </row>
    <row r="12" spans="1:10" ht="172.5" customHeight="1" x14ac:dyDescent="0.15">
      <c r="B12" s="76"/>
      <c r="C12" s="225" t="s">
        <v>260</v>
      </c>
      <c r="D12" s="225"/>
      <c r="E12" s="224" t="s">
        <v>261</v>
      </c>
      <c r="F12" s="224"/>
      <c r="G12" s="224"/>
      <c r="H12" s="224"/>
      <c r="I12" s="224"/>
      <c r="J12" s="224"/>
    </row>
    <row r="13" spans="1:10" ht="18.75" customHeight="1" x14ac:dyDescent="0.15">
      <c r="B13" s="77" t="s">
        <v>262</v>
      </c>
      <c r="C13" s="78"/>
      <c r="D13" s="79"/>
      <c r="E13" s="80"/>
      <c r="F13" s="80"/>
      <c r="G13" s="80"/>
      <c r="H13" s="80"/>
      <c r="I13" s="80"/>
      <c r="J13" s="81"/>
    </row>
    <row r="14" spans="1:10" ht="250.5" customHeight="1" x14ac:dyDescent="0.15">
      <c r="B14" s="76"/>
      <c r="C14" s="225" t="s">
        <v>263</v>
      </c>
      <c r="D14" s="225"/>
      <c r="E14" s="227" t="s">
        <v>264</v>
      </c>
      <c r="F14" s="227"/>
      <c r="G14" s="227"/>
      <c r="H14" s="227"/>
      <c r="I14" s="227"/>
      <c r="J14" s="227"/>
    </row>
    <row r="15" spans="1:10" ht="250.5" customHeight="1" x14ac:dyDescent="0.15">
      <c r="B15" s="76"/>
      <c r="C15" s="228" t="s">
        <v>265</v>
      </c>
      <c r="D15" s="228"/>
      <c r="E15" s="229" t="s">
        <v>266</v>
      </c>
      <c r="F15" s="229"/>
      <c r="G15" s="229"/>
      <c r="H15" s="229"/>
      <c r="I15" s="229"/>
      <c r="J15" s="229"/>
    </row>
    <row r="16" spans="1:10" ht="232.5" customHeight="1" x14ac:dyDescent="0.15">
      <c r="B16" s="231" t="s">
        <v>267</v>
      </c>
      <c r="C16" s="231"/>
      <c r="D16" s="231"/>
      <c r="E16" s="227" t="s">
        <v>268</v>
      </c>
      <c r="F16" s="227"/>
      <c r="G16" s="227"/>
      <c r="H16" s="227"/>
      <c r="I16" s="227"/>
      <c r="J16" s="227"/>
    </row>
    <row r="17" spans="1:10" ht="232.5" customHeight="1" x14ac:dyDescent="0.15">
      <c r="A17" s="82"/>
      <c r="B17" s="232" t="s">
        <v>269</v>
      </c>
      <c r="C17" s="232"/>
      <c r="D17" s="232"/>
      <c r="E17" s="233" t="s">
        <v>270</v>
      </c>
      <c r="F17" s="233"/>
      <c r="G17" s="233"/>
      <c r="H17" s="233"/>
      <c r="I17" s="233"/>
      <c r="J17" s="233"/>
    </row>
    <row r="18" spans="1:10" ht="7.5" customHeight="1" x14ac:dyDescent="0.15">
      <c r="B18" s="70"/>
      <c r="C18" s="70"/>
      <c r="D18" s="70"/>
      <c r="E18" s="71"/>
      <c r="F18" s="71"/>
      <c r="G18" s="71"/>
      <c r="H18" s="71"/>
      <c r="I18" s="71"/>
      <c r="J18" s="71"/>
    </row>
    <row r="19" spans="1:10" ht="18.75" customHeight="1" x14ac:dyDescent="0.15">
      <c r="B19" s="28"/>
      <c r="C19" s="70"/>
      <c r="D19" s="70"/>
      <c r="E19" s="71"/>
      <c r="F19" s="83"/>
      <c r="G19" s="83"/>
      <c r="H19" s="84" t="s">
        <v>271</v>
      </c>
      <c r="I19" s="85"/>
      <c r="J19" s="86"/>
    </row>
    <row r="20" spans="1:10" ht="18.75" customHeight="1" x14ac:dyDescent="0.15">
      <c r="A20" s="74" t="s">
        <v>5</v>
      </c>
      <c r="B20" s="87" t="s">
        <v>272</v>
      </c>
      <c r="C20" s="110"/>
      <c r="D20" s="110"/>
      <c r="E20" s="88"/>
      <c r="F20" s="89" t="s">
        <v>273</v>
      </c>
      <c r="G20" s="83"/>
      <c r="H20" s="230" t="s">
        <v>274</v>
      </c>
      <c r="I20" s="230"/>
      <c r="J20" s="230"/>
    </row>
    <row r="21" spans="1:10" ht="22.5" customHeight="1" x14ac:dyDescent="0.15">
      <c r="B21" s="70"/>
      <c r="C21" s="70"/>
      <c r="D21" s="70"/>
      <c r="E21" s="71"/>
      <c r="F21" s="71"/>
      <c r="G21" s="71"/>
      <c r="H21" s="71"/>
      <c r="I21" s="71"/>
      <c r="J21" s="71"/>
    </row>
    <row r="22" spans="1:10" ht="22.5" customHeight="1" x14ac:dyDescent="0.15">
      <c r="B22" s="70"/>
      <c r="C22" s="70"/>
      <c r="D22" s="70"/>
      <c r="E22" s="71"/>
      <c r="F22" s="71"/>
      <c r="G22" s="71"/>
      <c r="H22" s="71"/>
      <c r="I22" s="71"/>
      <c r="J22" s="71"/>
    </row>
    <row r="23" spans="1:10" ht="22.5" customHeight="1" x14ac:dyDescent="0.15">
      <c r="B23" s="70"/>
      <c r="C23" s="70"/>
      <c r="D23" s="70"/>
      <c r="E23" s="71"/>
      <c r="F23" s="71"/>
      <c r="G23" s="71"/>
      <c r="H23" s="71"/>
      <c r="I23" s="71"/>
      <c r="J23" s="71"/>
    </row>
    <row r="24" spans="1:10" ht="22.5" customHeight="1" x14ac:dyDescent="0.15">
      <c r="B24" s="70"/>
      <c r="C24" s="70"/>
      <c r="D24" s="70"/>
      <c r="E24" s="71"/>
      <c r="F24" s="71"/>
      <c r="G24" s="71"/>
      <c r="H24" s="71"/>
      <c r="I24" s="71"/>
      <c r="J24" s="71"/>
    </row>
    <row r="25" spans="1:10" ht="22.5" customHeight="1" x14ac:dyDescent="0.15">
      <c r="B25" s="70"/>
      <c r="C25" s="70"/>
      <c r="D25" s="70"/>
      <c r="E25" s="71"/>
      <c r="F25" s="71"/>
      <c r="G25" s="71"/>
      <c r="H25" s="71"/>
      <c r="I25" s="71"/>
      <c r="J25" s="71"/>
    </row>
    <row r="26" spans="1:10" ht="22.5" customHeight="1" x14ac:dyDescent="0.15">
      <c r="B26" s="90"/>
      <c r="C26" s="90"/>
      <c r="D26" s="90"/>
      <c r="E26" s="90"/>
      <c r="F26" s="90"/>
      <c r="G26" s="90"/>
      <c r="H26" s="90"/>
      <c r="I26" s="90"/>
      <c r="J26" s="90"/>
    </row>
    <row r="27" spans="1:10" ht="22.5" customHeight="1" x14ac:dyDescent="0.15">
      <c r="B27" s="90"/>
      <c r="C27" s="90"/>
      <c r="D27" s="90"/>
      <c r="E27" s="90"/>
      <c r="F27" s="90"/>
      <c r="G27" s="90"/>
      <c r="H27" s="90"/>
      <c r="I27" s="90"/>
      <c r="J27" s="90"/>
    </row>
    <row r="28" spans="1:10" ht="22.5" customHeight="1" x14ac:dyDescent="0.15">
      <c r="B28" s="90"/>
      <c r="C28" s="90"/>
      <c r="D28" s="90"/>
      <c r="E28" s="90"/>
      <c r="F28" s="90"/>
      <c r="G28" s="90"/>
      <c r="H28" s="90"/>
      <c r="I28" s="90"/>
      <c r="J28" s="90"/>
    </row>
  </sheetData>
  <mergeCells count="24">
    <mergeCell ref="H20:J20"/>
    <mergeCell ref="B16:D16"/>
    <mergeCell ref="E16:J16"/>
    <mergeCell ref="B17:D17"/>
    <mergeCell ref="E17:J17"/>
    <mergeCell ref="C14:D14"/>
    <mergeCell ref="E14:J14"/>
    <mergeCell ref="C15:D15"/>
    <mergeCell ref="E15:J15"/>
    <mergeCell ref="C11:D11"/>
    <mergeCell ref="E11:J11"/>
    <mergeCell ref="C12:D12"/>
    <mergeCell ref="E12:J12"/>
    <mergeCell ref="C10:D10"/>
    <mergeCell ref="E10:J10"/>
    <mergeCell ref="B6:D6"/>
    <mergeCell ref="E6:J6"/>
    <mergeCell ref="C8:D8"/>
    <mergeCell ref="E8:J8"/>
    <mergeCell ref="I2:J2"/>
    <mergeCell ref="A3:J3"/>
    <mergeCell ref="D4:J4"/>
    <mergeCell ref="C9:D9"/>
    <mergeCell ref="E9:J9"/>
  </mergeCells>
  <phoneticPr fontId="18"/>
  <dataValidations count="2">
    <dataValidation type="list" allowBlank="1" showInputMessage="1" showErrorMessage="1" sqref="F20" xr:uid="{225BEDD2-AD01-4009-9E64-F18C4D9DC97C}">
      <formula1>"有,無,予定"</formula1>
      <formula2>0</formula2>
    </dataValidation>
    <dataValidation type="list" allowBlank="1" showInputMessage="1" showErrorMessage="1" sqref="F19:G19" xr:uid="{6A53FE20-D962-4263-92BD-393EEEB4666C}">
      <formula1>#REF!</formula1>
      <formula2>0</formula2>
    </dataValidation>
  </dataValidations>
  <hyperlinks>
    <hyperlink ref="H20:J20" r:id="rId1" display="https://www.iess.ccsv.okayama-u.ac.jp/kikan/ds/literacylevel/" xr:uid="{24AF5552-0931-456B-B89A-1F074DC5DA67}"/>
  </hyperlinks>
  <printOptions horizontalCentered="1"/>
  <pageMargins left="0.78740157480314965" right="0.78740157480314965" top="0.78740157480314965" bottom="0.78740157480314965" header="0.31496062992125984" footer="0.31496062992125984"/>
  <pageSetup paperSize="9" firstPageNumber="0" fitToHeight="0" orientation="landscape" horizontalDpi="300" verticalDpi="300" r:id="rId2"/>
  <rowBreaks count="3" manualBreakCount="3">
    <brk id="9" max="9" man="1"/>
    <brk id="12" max="9" man="1"/>
    <brk id="15" max="9"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130"/>
  <sheetViews>
    <sheetView view="pageBreakPreview" topLeftCell="A49" zoomScaleNormal="100" workbookViewId="0">
      <selection activeCell="G22" sqref="G22"/>
    </sheetView>
  </sheetViews>
  <sheetFormatPr defaultColWidth="11.375" defaultRowHeight="14.25" x14ac:dyDescent="0.15"/>
  <cols>
    <col min="1" max="1" width="2.375" style="26" customWidth="1"/>
    <col min="2" max="2" width="15" style="26" customWidth="1"/>
    <col min="3" max="3" width="37.375" style="26" customWidth="1"/>
    <col min="4" max="4" width="1.25" style="26" customWidth="1"/>
    <col min="5" max="5" width="21.125" style="26" customWidth="1"/>
    <col min="6" max="6" width="8.75" style="26" customWidth="1"/>
    <col min="7" max="7" width="2.25" style="26" customWidth="1"/>
  </cols>
  <sheetData>
    <row r="1" spans="1:6" ht="18.75" customHeight="1" x14ac:dyDescent="0.15">
      <c r="E1" s="130" t="s">
        <v>275</v>
      </c>
      <c r="F1" s="130"/>
    </row>
    <row r="2" spans="1:6" ht="18.75" customHeight="1" x14ac:dyDescent="0.15">
      <c r="C2" s="58" t="s">
        <v>3</v>
      </c>
      <c r="D2" s="58" t="s">
        <v>228</v>
      </c>
      <c r="E2" s="151" t="s">
        <v>4</v>
      </c>
      <c r="F2" s="151"/>
    </row>
    <row r="3" spans="1:6" ht="7.5" customHeight="1" x14ac:dyDescent="0.15">
      <c r="C3" s="58"/>
      <c r="D3" s="58"/>
      <c r="E3" s="30"/>
      <c r="F3" s="30"/>
    </row>
    <row r="4" spans="1:6" ht="18.75" customHeight="1" x14ac:dyDescent="0.15">
      <c r="A4" s="131" t="s">
        <v>276</v>
      </c>
      <c r="B4" s="131"/>
      <c r="C4" s="131"/>
      <c r="D4" s="131"/>
      <c r="E4" s="131"/>
      <c r="F4" s="131"/>
    </row>
    <row r="5" spans="1:6" ht="7.5" customHeight="1" x14ac:dyDescent="0.15">
      <c r="A5" s="29"/>
      <c r="B5" s="29"/>
      <c r="C5" s="29"/>
      <c r="D5" s="29"/>
      <c r="E5" s="29"/>
      <c r="F5" s="29"/>
    </row>
    <row r="6" spans="1:6" ht="18.75" customHeight="1" x14ac:dyDescent="0.15">
      <c r="A6" s="29" t="s">
        <v>2</v>
      </c>
      <c r="B6" s="28" t="s">
        <v>277</v>
      </c>
      <c r="C6" s="29"/>
      <c r="D6" s="29"/>
      <c r="E6" s="29"/>
      <c r="F6" s="29"/>
    </row>
    <row r="7" spans="1:6" ht="18.75" customHeight="1" x14ac:dyDescent="0.15">
      <c r="A7" s="29"/>
      <c r="B7" s="218" t="s">
        <v>278</v>
      </c>
      <c r="C7" s="218"/>
      <c r="D7" s="218"/>
      <c r="E7" s="218"/>
      <c r="F7" s="218"/>
    </row>
    <row r="8" spans="1:6" ht="18.75" customHeight="1" x14ac:dyDescent="0.15">
      <c r="A8" s="29"/>
      <c r="B8" s="218"/>
      <c r="C8" s="218"/>
      <c r="D8" s="218"/>
      <c r="E8" s="218"/>
      <c r="F8" s="218"/>
    </row>
    <row r="9" spans="1:6" ht="18.75" customHeight="1" x14ac:dyDescent="0.15">
      <c r="A9" s="29"/>
      <c r="B9" s="218"/>
      <c r="C9" s="218"/>
      <c r="D9" s="218"/>
      <c r="E9" s="218"/>
      <c r="F9" s="218"/>
    </row>
    <row r="10" spans="1:6" ht="18.75" customHeight="1" x14ac:dyDescent="0.15">
      <c r="A10" s="29"/>
      <c r="B10" s="218"/>
      <c r="C10" s="218"/>
      <c r="D10" s="218"/>
      <c r="E10" s="218"/>
      <c r="F10" s="218"/>
    </row>
    <row r="11" spans="1:6" ht="18.75" customHeight="1" x14ac:dyDescent="0.15">
      <c r="A11" s="29"/>
      <c r="B11" s="218"/>
      <c r="C11" s="218"/>
      <c r="D11" s="218"/>
      <c r="E11" s="218"/>
      <c r="F11" s="218"/>
    </row>
    <row r="12" spans="1:6" ht="18.75" customHeight="1" x14ac:dyDescent="0.15">
      <c r="A12" s="29"/>
      <c r="B12" s="218"/>
      <c r="C12" s="218"/>
      <c r="D12" s="218"/>
      <c r="E12" s="218"/>
      <c r="F12" s="218"/>
    </row>
    <row r="13" spans="1:6" ht="18.75" customHeight="1" x14ac:dyDescent="0.15">
      <c r="A13" s="29"/>
      <c r="B13" s="218"/>
      <c r="C13" s="218"/>
      <c r="D13" s="218"/>
      <c r="E13" s="218"/>
      <c r="F13" s="218"/>
    </row>
    <row r="14" spans="1:6" ht="18.75" customHeight="1" x14ac:dyDescent="0.15">
      <c r="A14" s="29"/>
      <c r="B14" s="218"/>
      <c r="C14" s="218"/>
      <c r="D14" s="218"/>
      <c r="E14" s="218"/>
      <c r="F14" s="218"/>
    </row>
    <row r="15" spans="1:6" ht="18.75" customHeight="1" x14ac:dyDescent="0.15">
      <c r="A15" s="29"/>
      <c r="B15" s="218"/>
      <c r="C15" s="218"/>
      <c r="D15" s="218"/>
      <c r="E15" s="218"/>
      <c r="F15" s="218"/>
    </row>
    <row r="16" spans="1:6" ht="18.75" customHeight="1" x14ac:dyDescent="0.15">
      <c r="A16" s="29"/>
      <c r="B16" s="218"/>
      <c r="C16" s="218"/>
      <c r="D16" s="218"/>
      <c r="E16" s="218"/>
      <c r="F16" s="218"/>
    </row>
    <row r="17" spans="1:6" ht="18.75" customHeight="1" x14ac:dyDescent="0.15">
      <c r="A17" s="29"/>
      <c r="B17" s="218"/>
      <c r="C17" s="218"/>
      <c r="D17" s="218"/>
      <c r="E17" s="218"/>
      <c r="F17" s="218"/>
    </row>
    <row r="18" spans="1:6" ht="18.75" customHeight="1" x14ac:dyDescent="0.15">
      <c r="A18" s="29"/>
      <c r="B18" s="218"/>
      <c r="C18" s="218"/>
      <c r="D18" s="218"/>
      <c r="E18" s="218"/>
      <c r="F18" s="218"/>
    </row>
    <row r="19" spans="1:6" ht="18.75" customHeight="1" x14ac:dyDescent="0.15">
      <c r="A19" s="29"/>
      <c r="B19" s="218"/>
      <c r="C19" s="218"/>
      <c r="D19" s="218"/>
      <c r="E19" s="218"/>
      <c r="F19" s="218"/>
    </row>
    <row r="20" spans="1:6" ht="18.75" customHeight="1" x14ac:dyDescent="0.15">
      <c r="A20" s="29"/>
      <c r="B20" s="218"/>
      <c r="C20" s="218"/>
      <c r="D20" s="218"/>
      <c r="E20" s="218"/>
      <c r="F20" s="218"/>
    </row>
    <row r="21" spans="1:6" ht="18.75" customHeight="1" x14ac:dyDescent="0.15">
      <c r="A21" s="29"/>
      <c r="B21" s="218"/>
      <c r="C21" s="218"/>
      <c r="D21" s="218"/>
      <c r="E21" s="218"/>
      <c r="F21" s="218"/>
    </row>
    <row r="22" spans="1:6" ht="18.75" customHeight="1" x14ac:dyDescent="0.15">
      <c r="A22" s="29"/>
      <c r="B22" s="218"/>
      <c r="C22" s="218"/>
      <c r="D22" s="218"/>
      <c r="E22" s="218"/>
      <c r="F22" s="218"/>
    </row>
    <row r="23" spans="1:6" ht="18.75" customHeight="1" x14ac:dyDescent="0.15">
      <c r="A23" s="29"/>
      <c r="B23" s="218"/>
      <c r="C23" s="218"/>
      <c r="D23" s="218"/>
      <c r="E23" s="218"/>
      <c r="F23" s="218"/>
    </row>
    <row r="24" spans="1:6" ht="18.75" customHeight="1" x14ac:dyDescent="0.15">
      <c r="A24" s="29"/>
      <c r="B24" s="218"/>
      <c r="C24" s="218"/>
      <c r="D24" s="218"/>
      <c r="E24" s="218"/>
      <c r="F24" s="218"/>
    </row>
    <row r="25" spans="1:6" ht="18.75" customHeight="1" x14ac:dyDescent="0.15">
      <c r="A25" s="29"/>
      <c r="B25" s="218"/>
      <c r="C25" s="218"/>
      <c r="D25" s="218"/>
      <c r="E25" s="218"/>
      <c r="F25" s="218"/>
    </row>
    <row r="26" spans="1:6" ht="18.75" customHeight="1" x14ac:dyDescent="0.15">
      <c r="A26" s="29"/>
      <c r="B26" s="218"/>
      <c r="C26" s="218"/>
      <c r="D26" s="218"/>
      <c r="E26" s="218"/>
      <c r="F26" s="218"/>
    </row>
    <row r="27" spans="1:6" ht="18.75" customHeight="1" x14ac:dyDescent="0.15">
      <c r="A27" s="29"/>
      <c r="B27" s="218"/>
      <c r="C27" s="218"/>
      <c r="D27" s="218"/>
      <c r="E27" s="218"/>
      <c r="F27" s="218"/>
    </row>
    <row r="28" spans="1:6" ht="18.75" customHeight="1" x14ac:dyDescent="0.15">
      <c r="A28" s="29"/>
      <c r="B28" s="218"/>
      <c r="C28" s="218"/>
      <c r="D28" s="218"/>
      <c r="E28" s="218"/>
      <c r="F28" s="218"/>
    </row>
    <row r="29" spans="1:6" ht="18.75" customHeight="1" x14ac:dyDescent="0.15">
      <c r="A29" s="29"/>
      <c r="B29" s="218"/>
      <c r="C29" s="218"/>
      <c r="D29" s="218"/>
      <c r="E29" s="218"/>
      <c r="F29" s="218"/>
    </row>
    <row r="30" spans="1:6" ht="18.75" customHeight="1" x14ac:dyDescent="0.15">
      <c r="A30" s="29"/>
      <c r="B30" s="218"/>
      <c r="C30" s="218"/>
      <c r="D30" s="218"/>
      <c r="E30" s="218"/>
      <c r="F30" s="218"/>
    </row>
    <row r="31" spans="1:6" ht="18.75" customHeight="1" x14ac:dyDescent="0.15">
      <c r="A31" s="29"/>
      <c r="B31" s="218"/>
      <c r="C31" s="218"/>
      <c r="D31" s="218"/>
      <c r="E31" s="218"/>
      <c r="F31" s="218"/>
    </row>
    <row r="32" spans="1:6" ht="18.75" customHeight="1" x14ac:dyDescent="0.15">
      <c r="A32" s="29"/>
      <c r="B32" s="218"/>
      <c r="C32" s="218"/>
      <c r="D32" s="218"/>
      <c r="E32" s="218"/>
      <c r="F32" s="218"/>
    </row>
    <row r="33" spans="1:6" ht="18.75" customHeight="1" x14ac:dyDescent="0.15">
      <c r="A33" s="29"/>
      <c r="B33" s="218"/>
      <c r="C33" s="218"/>
      <c r="D33" s="218"/>
      <c r="E33" s="218"/>
      <c r="F33" s="218"/>
    </row>
    <row r="34" spans="1:6" ht="18.75" customHeight="1" x14ac:dyDescent="0.15">
      <c r="A34" s="29"/>
      <c r="B34" s="218"/>
      <c r="C34" s="218"/>
      <c r="D34" s="218"/>
      <c r="E34" s="218"/>
      <c r="F34" s="218"/>
    </row>
    <row r="35" spans="1:6" ht="18.75" customHeight="1" x14ac:dyDescent="0.15">
      <c r="A35" s="29"/>
      <c r="B35" s="218"/>
      <c r="C35" s="218"/>
      <c r="D35" s="218"/>
      <c r="E35" s="218"/>
      <c r="F35" s="218"/>
    </row>
    <row r="36" spans="1:6" ht="18.75" customHeight="1" x14ac:dyDescent="0.15">
      <c r="A36" s="29"/>
      <c r="B36" s="218"/>
      <c r="C36" s="218"/>
      <c r="D36" s="218"/>
      <c r="E36" s="218"/>
      <c r="F36" s="218"/>
    </row>
    <row r="37" spans="1:6" ht="18.75" customHeight="1" x14ac:dyDescent="0.15">
      <c r="A37" s="29"/>
      <c r="B37" s="218"/>
      <c r="C37" s="218"/>
      <c r="D37" s="218"/>
      <c r="E37" s="218"/>
      <c r="F37" s="218"/>
    </row>
    <row r="38" spans="1:6" ht="18.75" customHeight="1" x14ac:dyDescent="0.15">
      <c r="A38" s="29"/>
      <c r="B38" s="218"/>
      <c r="C38" s="218"/>
      <c r="D38" s="218"/>
      <c r="E38" s="218"/>
      <c r="F38" s="218"/>
    </row>
    <row r="39" spans="1:6" ht="18.75" customHeight="1" x14ac:dyDescent="0.15">
      <c r="A39" s="29"/>
      <c r="B39" s="218"/>
      <c r="C39" s="218"/>
      <c r="D39" s="218"/>
      <c r="E39" s="218"/>
      <c r="F39" s="218"/>
    </row>
    <row r="40" spans="1:6" ht="18.75" customHeight="1" x14ac:dyDescent="0.15">
      <c r="A40" s="29"/>
      <c r="B40" s="218"/>
      <c r="C40" s="218"/>
      <c r="D40" s="218"/>
      <c r="E40" s="218"/>
      <c r="F40" s="218"/>
    </row>
    <row r="41" spans="1:6" ht="18.75" customHeight="1" x14ac:dyDescent="0.15">
      <c r="A41" s="29"/>
      <c r="B41" s="218"/>
      <c r="C41" s="218"/>
      <c r="D41" s="218"/>
      <c r="E41" s="218"/>
      <c r="F41" s="218"/>
    </row>
    <row r="42" spans="1:6" ht="18.75" customHeight="1" x14ac:dyDescent="0.15">
      <c r="A42" s="29"/>
      <c r="B42" s="218"/>
      <c r="C42" s="218"/>
      <c r="D42" s="218"/>
      <c r="E42" s="218"/>
      <c r="F42" s="218"/>
    </row>
    <row r="43" spans="1:6" ht="18.75" customHeight="1" x14ac:dyDescent="0.15">
      <c r="A43" s="29"/>
      <c r="B43" s="218"/>
      <c r="C43" s="218"/>
      <c r="D43" s="218"/>
      <c r="E43" s="218"/>
      <c r="F43" s="218"/>
    </row>
    <row r="44" spans="1:6" ht="18.75" customHeight="1" x14ac:dyDescent="0.15">
      <c r="A44" s="29"/>
      <c r="B44" s="218"/>
      <c r="C44" s="218"/>
      <c r="D44" s="218"/>
      <c r="E44" s="218"/>
      <c r="F44" s="218"/>
    </row>
    <row r="45" spans="1:6" ht="18.75" customHeight="1" x14ac:dyDescent="0.15">
      <c r="A45" s="29" t="s">
        <v>5</v>
      </c>
      <c r="B45" s="28" t="s">
        <v>279</v>
      </c>
      <c r="C45" s="29"/>
      <c r="D45" s="29"/>
      <c r="E45" s="29"/>
      <c r="F45" s="29"/>
    </row>
    <row r="46" spans="1:6" ht="18.75" customHeight="1" x14ac:dyDescent="0.15">
      <c r="A46" s="29"/>
      <c r="B46" s="218" t="s">
        <v>280</v>
      </c>
      <c r="C46" s="218"/>
      <c r="D46" s="218"/>
      <c r="E46" s="218"/>
      <c r="F46" s="218"/>
    </row>
    <row r="47" spans="1:6" ht="18.75" customHeight="1" x14ac:dyDescent="0.15">
      <c r="A47" s="29"/>
      <c r="B47" s="218"/>
      <c r="C47" s="218"/>
      <c r="D47" s="218"/>
      <c r="E47" s="218"/>
      <c r="F47" s="218"/>
    </row>
    <row r="48" spans="1:6" ht="18.75" customHeight="1" x14ac:dyDescent="0.15">
      <c r="A48" s="29"/>
      <c r="B48" s="218"/>
      <c r="C48" s="218"/>
      <c r="D48" s="218"/>
      <c r="E48" s="218"/>
      <c r="F48" s="218"/>
    </row>
    <row r="49" spans="1:6" ht="18.75" customHeight="1" x14ac:dyDescent="0.15">
      <c r="A49" s="29"/>
      <c r="B49" s="218"/>
      <c r="C49" s="218"/>
      <c r="D49" s="218"/>
      <c r="E49" s="218"/>
      <c r="F49" s="218"/>
    </row>
    <row r="50" spans="1:6" ht="18.75" customHeight="1" x14ac:dyDescent="0.15">
      <c r="A50" s="29"/>
      <c r="B50" s="218"/>
      <c r="C50" s="218"/>
      <c r="D50" s="218"/>
      <c r="E50" s="218"/>
      <c r="F50" s="218"/>
    </row>
    <row r="51" spans="1:6" ht="18.75" customHeight="1" x14ac:dyDescent="0.15">
      <c r="A51" s="29"/>
      <c r="B51" s="218"/>
      <c r="C51" s="218"/>
      <c r="D51" s="218"/>
      <c r="E51" s="218"/>
      <c r="F51" s="218"/>
    </row>
    <row r="52" spans="1:6" ht="18.75" customHeight="1" x14ac:dyDescent="0.15">
      <c r="A52" s="29"/>
      <c r="B52" s="218"/>
      <c r="C52" s="218"/>
      <c r="D52" s="218"/>
      <c r="E52" s="218"/>
      <c r="F52" s="218"/>
    </row>
    <row r="53" spans="1:6" ht="18.75" customHeight="1" x14ac:dyDescent="0.15">
      <c r="A53" s="29"/>
      <c r="B53" s="218"/>
      <c r="C53" s="218"/>
      <c r="D53" s="218"/>
      <c r="E53" s="218"/>
      <c r="F53" s="218"/>
    </row>
    <row r="54" spans="1:6" ht="18.75" customHeight="1" x14ac:dyDescent="0.15">
      <c r="A54" s="29"/>
      <c r="B54" s="218"/>
      <c r="C54" s="218"/>
      <c r="D54" s="218"/>
      <c r="E54" s="218"/>
      <c r="F54" s="218"/>
    </row>
    <row r="55" spans="1:6" ht="18.75" customHeight="1" x14ac:dyDescent="0.15">
      <c r="A55" s="29"/>
      <c r="B55" s="218"/>
      <c r="C55" s="218"/>
      <c r="D55" s="218"/>
      <c r="E55" s="218"/>
      <c r="F55" s="218"/>
    </row>
    <row r="56" spans="1:6" ht="18.75" customHeight="1" x14ac:dyDescent="0.15">
      <c r="A56" s="29"/>
      <c r="B56" s="218"/>
      <c r="C56" s="218"/>
      <c r="D56" s="218"/>
      <c r="E56" s="218"/>
      <c r="F56" s="218"/>
    </row>
    <row r="57" spans="1:6" ht="18.75" customHeight="1" x14ac:dyDescent="0.15">
      <c r="A57" s="29"/>
      <c r="B57" s="218"/>
      <c r="C57" s="218"/>
      <c r="D57" s="218"/>
      <c r="E57" s="218"/>
      <c r="F57" s="218"/>
    </row>
    <row r="58" spans="1:6" ht="18.75" customHeight="1" x14ac:dyDescent="0.15">
      <c r="A58" s="29"/>
      <c r="B58" s="218"/>
      <c r="C58" s="218"/>
      <c r="D58" s="218"/>
      <c r="E58" s="218"/>
      <c r="F58" s="218"/>
    </row>
    <row r="59" spans="1:6" ht="18.75" customHeight="1" x14ac:dyDescent="0.15">
      <c r="A59" s="29"/>
      <c r="B59" s="218"/>
      <c r="C59" s="218"/>
      <c r="D59" s="218"/>
      <c r="E59" s="218"/>
      <c r="F59" s="218"/>
    </row>
    <row r="60" spans="1:6" ht="18.75" customHeight="1" x14ac:dyDescent="0.15">
      <c r="A60" s="29"/>
      <c r="B60" s="218"/>
      <c r="C60" s="218"/>
      <c r="D60" s="218"/>
      <c r="E60" s="218"/>
      <c r="F60" s="218"/>
    </row>
    <row r="61" spans="1:6" ht="18.75" customHeight="1" x14ac:dyDescent="0.15">
      <c r="A61" s="29"/>
      <c r="B61" s="218"/>
      <c r="C61" s="218"/>
      <c r="D61" s="218"/>
      <c r="E61" s="218"/>
      <c r="F61" s="218"/>
    </row>
    <row r="62" spans="1:6" ht="18.75" customHeight="1" x14ac:dyDescent="0.15">
      <c r="A62" s="29"/>
      <c r="B62" s="218"/>
      <c r="C62" s="218"/>
      <c r="D62" s="218"/>
      <c r="E62" s="218"/>
      <c r="F62" s="218"/>
    </row>
    <row r="63" spans="1:6" ht="18.75" customHeight="1" x14ac:dyDescent="0.15">
      <c r="A63" s="29"/>
      <c r="B63" s="218"/>
      <c r="C63" s="218"/>
      <c r="D63" s="218"/>
      <c r="E63" s="218"/>
      <c r="F63" s="218"/>
    </row>
    <row r="64" spans="1:6" ht="18.75" customHeight="1" x14ac:dyDescent="0.15">
      <c r="A64" s="29"/>
      <c r="B64" s="218"/>
      <c r="C64" s="218"/>
      <c r="D64" s="218"/>
      <c r="E64" s="218"/>
      <c r="F64" s="218"/>
    </row>
    <row r="65" spans="1:6" ht="18.75" customHeight="1" x14ac:dyDescent="0.15">
      <c r="A65" s="29"/>
      <c r="B65" s="218"/>
      <c r="C65" s="218"/>
      <c r="D65" s="218"/>
      <c r="E65" s="218"/>
      <c r="F65" s="218"/>
    </row>
    <row r="66" spans="1:6" ht="18.75" customHeight="1" x14ac:dyDescent="0.15">
      <c r="A66" s="29"/>
      <c r="B66" s="218"/>
      <c r="C66" s="218"/>
      <c r="D66" s="218"/>
      <c r="E66" s="218"/>
      <c r="F66" s="218"/>
    </row>
    <row r="67" spans="1:6" ht="18.75" customHeight="1" x14ac:dyDescent="0.15">
      <c r="A67" s="29"/>
      <c r="B67" s="218"/>
      <c r="C67" s="218"/>
      <c r="D67" s="218"/>
      <c r="E67" s="218"/>
      <c r="F67" s="218"/>
    </row>
    <row r="68" spans="1:6" ht="18.75" customHeight="1" x14ac:dyDescent="0.15">
      <c r="A68" s="29"/>
      <c r="B68" s="218"/>
      <c r="C68" s="218"/>
      <c r="D68" s="218"/>
      <c r="E68" s="218"/>
      <c r="F68" s="218"/>
    </row>
    <row r="69" spans="1:6" ht="18.75" customHeight="1" x14ac:dyDescent="0.15">
      <c r="A69" s="29"/>
      <c r="B69" s="218"/>
      <c r="C69" s="218"/>
      <c r="D69" s="218"/>
      <c r="E69" s="218"/>
      <c r="F69" s="218"/>
    </row>
    <row r="70" spans="1:6" ht="18.75" customHeight="1" x14ac:dyDescent="0.15">
      <c r="A70" s="29"/>
      <c r="B70" s="218"/>
      <c r="C70" s="218"/>
      <c r="D70" s="218"/>
      <c r="E70" s="218"/>
      <c r="F70" s="218"/>
    </row>
    <row r="71" spans="1:6" ht="18.75" customHeight="1" x14ac:dyDescent="0.15">
      <c r="A71" s="29"/>
      <c r="B71" s="218"/>
      <c r="C71" s="218"/>
      <c r="D71" s="218"/>
      <c r="E71" s="218"/>
      <c r="F71" s="218"/>
    </row>
    <row r="72" spans="1:6" ht="18.75" customHeight="1" x14ac:dyDescent="0.15">
      <c r="A72" s="29"/>
      <c r="B72" s="218"/>
      <c r="C72" s="218"/>
      <c r="D72" s="218"/>
      <c r="E72" s="218"/>
      <c r="F72" s="218"/>
    </row>
    <row r="73" spans="1:6" ht="18.75" customHeight="1" x14ac:dyDescent="0.15">
      <c r="A73" s="29"/>
      <c r="B73" s="218"/>
      <c r="C73" s="218"/>
      <c r="D73" s="218"/>
      <c r="E73" s="218"/>
      <c r="F73" s="218"/>
    </row>
    <row r="74" spans="1:6" ht="18.75" customHeight="1" x14ac:dyDescent="0.15">
      <c r="A74" s="29"/>
      <c r="B74" s="218"/>
      <c r="C74" s="218"/>
      <c r="D74" s="218"/>
      <c r="E74" s="218"/>
      <c r="F74" s="218"/>
    </row>
    <row r="75" spans="1:6" ht="18.75" customHeight="1" x14ac:dyDescent="0.15">
      <c r="A75" s="29"/>
      <c r="B75" s="218"/>
      <c r="C75" s="218"/>
      <c r="D75" s="218"/>
      <c r="E75" s="218"/>
      <c r="F75" s="218"/>
    </row>
    <row r="76" spans="1:6" ht="18.75" customHeight="1" x14ac:dyDescent="0.15">
      <c r="A76" s="29"/>
      <c r="B76" s="218"/>
      <c r="C76" s="218"/>
      <c r="D76" s="218"/>
      <c r="E76" s="218"/>
      <c r="F76" s="218"/>
    </row>
    <row r="77" spans="1:6" ht="18.75" customHeight="1" x14ac:dyDescent="0.15">
      <c r="A77" s="29"/>
      <c r="B77" s="218"/>
      <c r="C77" s="218"/>
      <c r="D77" s="218"/>
      <c r="E77" s="218"/>
      <c r="F77" s="218"/>
    </row>
    <row r="78" spans="1:6" ht="18.75" customHeight="1" x14ac:dyDescent="0.15">
      <c r="A78" s="29"/>
      <c r="B78" s="218"/>
      <c r="C78" s="218"/>
      <c r="D78" s="218"/>
      <c r="E78" s="218"/>
      <c r="F78" s="218"/>
    </row>
    <row r="79" spans="1:6" ht="18.75" customHeight="1" x14ac:dyDescent="0.15">
      <c r="A79" s="29"/>
      <c r="B79" s="218"/>
      <c r="C79" s="218"/>
      <c r="D79" s="218"/>
      <c r="E79" s="218"/>
      <c r="F79" s="218"/>
    </row>
    <row r="80" spans="1:6" ht="18.75" customHeight="1" x14ac:dyDescent="0.15">
      <c r="A80" s="29"/>
      <c r="B80" s="218"/>
      <c r="C80" s="218"/>
      <c r="D80" s="218"/>
      <c r="E80" s="218"/>
      <c r="F80" s="218"/>
    </row>
    <row r="81" spans="1:6" ht="18.75" customHeight="1" x14ac:dyDescent="0.15">
      <c r="A81" s="29"/>
      <c r="B81" s="218"/>
      <c r="C81" s="218"/>
      <c r="D81" s="218"/>
      <c r="E81" s="218"/>
      <c r="F81" s="218"/>
    </row>
    <row r="82" spans="1:6" ht="18.75" customHeight="1" x14ac:dyDescent="0.15">
      <c r="A82" s="29"/>
      <c r="B82" s="218"/>
      <c r="C82" s="218"/>
      <c r="D82" s="218"/>
      <c r="E82" s="218"/>
      <c r="F82" s="218"/>
    </row>
    <row r="83" spans="1:6" ht="18.75" customHeight="1" x14ac:dyDescent="0.15">
      <c r="A83" s="29"/>
      <c r="B83" s="218"/>
      <c r="C83" s="218"/>
      <c r="D83" s="218"/>
      <c r="E83" s="218"/>
      <c r="F83" s="218"/>
    </row>
    <row r="84" spans="1:6" ht="18.75" customHeight="1" x14ac:dyDescent="0.15">
      <c r="A84" s="29"/>
      <c r="B84" s="234"/>
      <c r="C84" s="234"/>
      <c r="D84" s="234"/>
      <c r="E84" s="234"/>
      <c r="F84" s="234"/>
    </row>
    <row r="85" spans="1:6" ht="18.75" customHeight="1" x14ac:dyDescent="0.15">
      <c r="A85" s="29"/>
      <c r="B85" s="234"/>
      <c r="C85" s="234"/>
      <c r="D85" s="234"/>
      <c r="E85" s="234"/>
      <c r="F85" s="234"/>
    </row>
    <row r="86" spans="1:6" ht="18.75" customHeight="1" x14ac:dyDescent="0.15">
      <c r="A86" s="29"/>
      <c r="B86" s="234"/>
      <c r="C86" s="234"/>
      <c r="D86" s="234"/>
      <c r="E86" s="234"/>
      <c r="F86" s="234"/>
    </row>
    <row r="87" spans="1:6" ht="18.75" customHeight="1" x14ac:dyDescent="0.15">
      <c r="A87" s="29"/>
      <c r="B87" s="234"/>
      <c r="C87" s="234"/>
      <c r="D87" s="234"/>
      <c r="E87" s="234"/>
      <c r="F87" s="234"/>
    </row>
    <row r="88" spans="1:6" s="91" customFormat="1" ht="18.75" customHeight="1" x14ac:dyDescent="0.15">
      <c r="A88" s="28" t="s">
        <v>8</v>
      </c>
      <c r="B88" s="28" t="s">
        <v>281</v>
      </c>
      <c r="C88" s="28"/>
      <c r="D88" s="28"/>
      <c r="E88" s="28"/>
      <c r="F88" s="28"/>
    </row>
    <row r="89" spans="1:6" ht="18.75" customHeight="1" x14ac:dyDescent="0.15">
      <c r="A89" s="29"/>
      <c r="B89" s="218" t="s">
        <v>282</v>
      </c>
      <c r="C89" s="218"/>
      <c r="D89" s="218"/>
      <c r="E89" s="218"/>
      <c r="F89" s="218"/>
    </row>
    <row r="90" spans="1:6" ht="18.75" customHeight="1" x14ac:dyDescent="0.15">
      <c r="A90" s="29"/>
      <c r="B90" s="218"/>
      <c r="C90" s="218"/>
      <c r="D90" s="218"/>
      <c r="E90" s="218"/>
      <c r="F90" s="218"/>
    </row>
    <row r="91" spans="1:6" ht="18.75" customHeight="1" x14ac:dyDescent="0.15">
      <c r="A91" s="29"/>
      <c r="B91" s="218"/>
      <c r="C91" s="218"/>
      <c r="D91" s="218"/>
      <c r="E91" s="218"/>
      <c r="F91" s="218"/>
    </row>
    <row r="92" spans="1:6" ht="18.75" customHeight="1" x14ac:dyDescent="0.15">
      <c r="A92" s="29"/>
      <c r="B92" s="218"/>
      <c r="C92" s="218"/>
      <c r="D92" s="218"/>
      <c r="E92" s="218"/>
      <c r="F92" s="218"/>
    </row>
    <row r="93" spans="1:6" ht="18.75" customHeight="1" x14ac:dyDescent="0.15">
      <c r="A93" s="29"/>
      <c r="B93" s="218"/>
      <c r="C93" s="218"/>
      <c r="D93" s="218"/>
      <c r="E93" s="218"/>
      <c r="F93" s="218"/>
    </row>
    <row r="94" spans="1:6" ht="18.75" customHeight="1" x14ac:dyDescent="0.15">
      <c r="A94" s="29"/>
      <c r="B94" s="218"/>
      <c r="C94" s="218"/>
      <c r="D94" s="218"/>
      <c r="E94" s="218"/>
      <c r="F94" s="218"/>
    </row>
    <row r="95" spans="1:6" ht="18.75" customHeight="1" x14ac:dyDescent="0.15">
      <c r="A95" s="29"/>
      <c r="B95" s="218"/>
      <c r="C95" s="218"/>
      <c r="D95" s="218"/>
      <c r="E95" s="218"/>
      <c r="F95" s="218"/>
    </row>
    <row r="96" spans="1:6" ht="18.75" customHeight="1" x14ac:dyDescent="0.15">
      <c r="A96" s="29"/>
      <c r="B96" s="218"/>
      <c r="C96" s="218"/>
      <c r="D96" s="218"/>
      <c r="E96" s="218"/>
      <c r="F96" s="218"/>
    </row>
    <row r="97" spans="1:6" ht="18.75" customHeight="1" x14ac:dyDescent="0.15">
      <c r="A97" s="29"/>
      <c r="B97" s="218"/>
      <c r="C97" s="218"/>
      <c r="D97" s="218"/>
      <c r="E97" s="218"/>
      <c r="F97" s="218"/>
    </row>
    <row r="98" spans="1:6" ht="18.75" customHeight="1" x14ac:dyDescent="0.15">
      <c r="A98" s="29"/>
      <c r="B98" s="218"/>
      <c r="C98" s="218"/>
      <c r="D98" s="218"/>
      <c r="E98" s="218"/>
      <c r="F98" s="218"/>
    </row>
    <row r="99" spans="1:6" ht="18.75" customHeight="1" x14ac:dyDescent="0.15">
      <c r="A99" s="29"/>
      <c r="B99" s="218"/>
      <c r="C99" s="218"/>
      <c r="D99" s="218"/>
      <c r="E99" s="218"/>
      <c r="F99" s="218"/>
    </row>
    <row r="100" spans="1:6" ht="18.75" customHeight="1" x14ac:dyDescent="0.15">
      <c r="A100" s="29"/>
      <c r="B100" s="218"/>
      <c r="C100" s="218"/>
      <c r="D100" s="218"/>
      <c r="E100" s="218"/>
      <c r="F100" s="218"/>
    </row>
    <row r="101" spans="1:6" ht="18.75" customHeight="1" x14ac:dyDescent="0.15">
      <c r="A101" s="29"/>
      <c r="B101" s="218"/>
      <c r="C101" s="218"/>
      <c r="D101" s="218"/>
      <c r="E101" s="218"/>
      <c r="F101" s="218"/>
    </row>
    <row r="102" spans="1:6" ht="18.75" customHeight="1" x14ac:dyDescent="0.15">
      <c r="A102" s="29"/>
      <c r="B102" s="218"/>
      <c r="C102" s="218"/>
      <c r="D102" s="218"/>
      <c r="E102" s="218"/>
      <c r="F102" s="218"/>
    </row>
    <row r="103" spans="1:6" ht="18.75" customHeight="1" x14ac:dyDescent="0.15">
      <c r="A103" s="29"/>
      <c r="B103" s="218"/>
      <c r="C103" s="218"/>
      <c r="D103" s="218"/>
      <c r="E103" s="218"/>
      <c r="F103" s="218"/>
    </row>
    <row r="104" spans="1:6" ht="18.75" customHeight="1" x14ac:dyDescent="0.15">
      <c r="A104" s="29"/>
      <c r="B104" s="218"/>
      <c r="C104" s="218"/>
      <c r="D104" s="218"/>
      <c r="E104" s="218"/>
      <c r="F104" s="218"/>
    </row>
    <row r="105" spans="1:6" ht="18.75" customHeight="1" x14ac:dyDescent="0.15">
      <c r="A105" s="29"/>
      <c r="B105" s="218"/>
      <c r="C105" s="218"/>
      <c r="D105" s="218"/>
      <c r="E105" s="218"/>
      <c r="F105" s="218"/>
    </row>
    <row r="106" spans="1:6" ht="18.75" customHeight="1" x14ac:dyDescent="0.15">
      <c r="A106" s="29"/>
      <c r="B106" s="218"/>
      <c r="C106" s="218"/>
      <c r="D106" s="218"/>
      <c r="E106" s="218"/>
      <c r="F106" s="218"/>
    </row>
    <row r="107" spans="1:6" ht="18.75" customHeight="1" x14ac:dyDescent="0.15">
      <c r="A107" s="29"/>
      <c r="B107" s="218"/>
      <c r="C107" s="218"/>
      <c r="D107" s="218"/>
      <c r="E107" s="218"/>
      <c r="F107" s="218"/>
    </row>
    <row r="108" spans="1:6" ht="18.75" customHeight="1" x14ac:dyDescent="0.15">
      <c r="A108" s="29"/>
      <c r="B108" s="218"/>
      <c r="C108" s="218"/>
      <c r="D108" s="218"/>
      <c r="E108" s="218"/>
      <c r="F108" s="218"/>
    </row>
    <row r="109" spans="1:6" ht="18.75" customHeight="1" x14ac:dyDescent="0.15">
      <c r="A109" s="29"/>
      <c r="B109" s="218"/>
      <c r="C109" s="218"/>
      <c r="D109" s="218"/>
      <c r="E109" s="218"/>
      <c r="F109" s="218"/>
    </row>
    <row r="110" spans="1:6" ht="18.75" customHeight="1" x14ac:dyDescent="0.15">
      <c r="A110" s="29"/>
      <c r="B110" s="218"/>
      <c r="C110" s="218"/>
      <c r="D110" s="218"/>
      <c r="E110" s="218"/>
      <c r="F110" s="218"/>
    </row>
    <row r="111" spans="1:6" ht="18.75" customHeight="1" x14ac:dyDescent="0.15">
      <c r="A111" s="29"/>
      <c r="B111" s="218"/>
      <c r="C111" s="218"/>
      <c r="D111" s="218"/>
      <c r="E111" s="218"/>
      <c r="F111" s="218"/>
    </row>
    <row r="112" spans="1:6" ht="18.75" customHeight="1" x14ac:dyDescent="0.15">
      <c r="A112" s="29"/>
      <c r="B112" s="218"/>
      <c r="C112" s="218"/>
      <c r="D112" s="218"/>
      <c r="E112" s="218"/>
      <c r="F112" s="218"/>
    </row>
    <row r="113" spans="1:6" ht="18.75" customHeight="1" x14ac:dyDescent="0.15">
      <c r="A113" s="29"/>
      <c r="B113" s="218"/>
      <c r="C113" s="218"/>
      <c r="D113" s="218"/>
      <c r="E113" s="218"/>
      <c r="F113" s="218"/>
    </row>
    <row r="114" spans="1:6" ht="18.75" customHeight="1" x14ac:dyDescent="0.15">
      <c r="A114" s="29"/>
      <c r="B114" s="218"/>
      <c r="C114" s="218"/>
      <c r="D114" s="218"/>
      <c r="E114" s="218"/>
      <c r="F114" s="218"/>
    </row>
    <row r="115" spans="1:6" ht="18.75" customHeight="1" x14ac:dyDescent="0.15">
      <c r="A115" s="29"/>
      <c r="B115" s="218"/>
      <c r="C115" s="218"/>
      <c r="D115" s="218"/>
      <c r="E115" s="218"/>
      <c r="F115" s="218"/>
    </row>
    <row r="116" spans="1:6" ht="18.75" customHeight="1" x14ac:dyDescent="0.15">
      <c r="A116" s="29"/>
      <c r="B116" s="218"/>
      <c r="C116" s="218"/>
      <c r="D116" s="218"/>
      <c r="E116" s="218"/>
      <c r="F116" s="218"/>
    </row>
    <row r="117" spans="1:6" ht="18.75" customHeight="1" x14ac:dyDescent="0.15">
      <c r="A117" s="29"/>
      <c r="B117" s="218"/>
      <c r="C117" s="218"/>
      <c r="D117" s="218"/>
      <c r="E117" s="218"/>
      <c r="F117" s="218"/>
    </row>
    <row r="118" spans="1:6" ht="18.75" customHeight="1" x14ac:dyDescent="0.15">
      <c r="A118" s="29"/>
      <c r="B118" s="218"/>
      <c r="C118" s="218"/>
      <c r="D118" s="218"/>
      <c r="E118" s="218"/>
      <c r="F118" s="218"/>
    </row>
    <row r="119" spans="1:6" ht="18.75" customHeight="1" x14ac:dyDescent="0.15">
      <c r="A119" s="29"/>
      <c r="B119" s="218"/>
      <c r="C119" s="218"/>
      <c r="D119" s="218"/>
      <c r="E119" s="218"/>
      <c r="F119" s="218"/>
    </row>
    <row r="120" spans="1:6" ht="18.75" customHeight="1" x14ac:dyDescent="0.15">
      <c r="A120" s="29"/>
      <c r="B120" s="218"/>
      <c r="C120" s="218"/>
      <c r="D120" s="218"/>
      <c r="E120" s="218"/>
      <c r="F120" s="218"/>
    </row>
    <row r="121" spans="1:6" ht="18.75" customHeight="1" x14ac:dyDescent="0.15">
      <c r="A121" s="29"/>
      <c r="B121" s="218"/>
      <c r="C121" s="218"/>
      <c r="D121" s="218"/>
      <c r="E121" s="218"/>
      <c r="F121" s="218"/>
    </row>
    <row r="122" spans="1:6" ht="18.75" customHeight="1" x14ac:dyDescent="0.15">
      <c r="A122" s="29"/>
      <c r="B122" s="218"/>
      <c r="C122" s="218"/>
      <c r="D122" s="218"/>
      <c r="E122" s="218"/>
      <c r="F122" s="218"/>
    </row>
    <row r="123" spans="1:6" ht="18.75" customHeight="1" x14ac:dyDescent="0.15">
      <c r="A123" s="29"/>
      <c r="B123" s="218"/>
      <c r="C123" s="218"/>
      <c r="D123" s="218"/>
      <c r="E123" s="218"/>
      <c r="F123" s="218"/>
    </row>
    <row r="124" spans="1:6" ht="18.75" customHeight="1" x14ac:dyDescent="0.15">
      <c r="A124" s="29"/>
      <c r="B124" s="218"/>
      <c r="C124" s="218"/>
      <c r="D124" s="218"/>
      <c r="E124" s="218"/>
      <c r="F124" s="218"/>
    </row>
    <row r="125" spans="1:6" ht="18.75" customHeight="1" x14ac:dyDescent="0.15">
      <c r="A125" s="29"/>
      <c r="B125" s="218"/>
      <c r="C125" s="218"/>
      <c r="D125" s="218"/>
      <c r="E125" s="218"/>
      <c r="F125" s="218"/>
    </row>
    <row r="126" spans="1:6" ht="18.75" customHeight="1" x14ac:dyDescent="0.15">
      <c r="A126" s="29"/>
      <c r="B126" s="218"/>
      <c r="C126" s="218"/>
      <c r="D126" s="218"/>
      <c r="E126" s="218"/>
      <c r="F126" s="218"/>
    </row>
    <row r="127" spans="1:6" ht="18.75" customHeight="1" x14ac:dyDescent="0.15">
      <c r="A127" s="29"/>
      <c r="B127" s="218"/>
      <c r="C127" s="218"/>
      <c r="D127" s="218"/>
      <c r="E127" s="218"/>
      <c r="F127" s="218"/>
    </row>
    <row r="128" spans="1:6" ht="18.75" customHeight="1" x14ac:dyDescent="0.15">
      <c r="A128" s="29"/>
      <c r="B128" s="218"/>
      <c r="C128" s="218"/>
      <c r="D128" s="218"/>
      <c r="E128" s="218"/>
      <c r="F128" s="218"/>
    </row>
    <row r="129" spans="1:6" ht="18.75" customHeight="1" x14ac:dyDescent="0.15">
      <c r="A129" s="29"/>
      <c r="B129" s="218"/>
      <c r="C129" s="218"/>
      <c r="D129" s="218"/>
      <c r="E129" s="218"/>
      <c r="F129" s="218"/>
    </row>
    <row r="130" spans="1:6" ht="18.75" customHeight="1" x14ac:dyDescent="0.15">
      <c r="A130" s="29"/>
      <c r="B130" s="218"/>
      <c r="C130" s="218"/>
      <c r="D130" s="218"/>
      <c r="E130" s="218"/>
      <c r="F130" s="218"/>
    </row>
  </sheetData>
  <mergeCells count="7">
    <mergeCell ref="B89:F130"/>
    <mergeCell ref="B7:F44"/>
    <mergeCell ref="B46:F83"/>
    <mergeCell ref="B84:F87"/>
    <mergeCell ref="E1:F1"/>
    <mergeCell ref="E2:F2"/>
    <mergeCell ref="A4:F4"/>
  </mergeCells>
  <phoneticPr fontId="18"/>
  <printOptions horizontalCentered="1"/>
  <pageMargins left="0.78749999999999998" right="0.78749999999999998" top="0.78749999999999998" bottom="0.78749999999999998" header="0.51180555555555496" footer="0.51180555555555496"/>
  <pageSetup paperSize="9" scale="99" firstPageNumber="0" orientation="portrait" horizontalDpi="300" verticalDpi="300" r:id="rId1"/>
  <rowBreaks count="2" manualBreakCount="2">
    <brk id="44" max="16383" man="1"/>
    <brk id="8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75E3B0C77CE72045A8A95D9C0C154274" ma:contentTypeVersion="6" ma:contentTypeDescription="新しいドキュメントを作成します。" ma:contentTypeScope="" ma:versionID="f31eefb10998c9aacdf6a5f19c04db3b">
  <xsd:schema xmlns:xsd="http://www.w3.org/2001/XMLSchema" xmlns:xs="http://www.w3.org/2001/XMLSchema" xmlns:p="http://schemas.microsoft.com/office/2006/metadata/properties" xmlns:ns2="c11ae298-a484-4309-b13f-11e1b7c7741a" targetNamespace="http://schemas.microsoft.com/office/2006/metadata/properties" ma:root="true" ma:fieldsID="6c18d968f5e7f114ee6af5f83df0f335" ns2:_="">
    <xsd:import namespace="c11ae298-a484-4309-b13f-11e1b7c7741a"/>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ae298-a484-4309-b13f-11e1b7c774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049AF8C-0534-437C-9553-7A4C88CC946D}">
  <ds:schemaRefs>
    <ds:schemaRef ds:uri="http://schemas.microsoft.com/sharepoint/v3/contenttype/forms"/>
  </ds:schemaRefs>
</ds:datastoreItem>
</file>

<file path=customXml/itemProps2.xml><?xml version="1.0" encoding="utf-8"?>
<ds:datastoreItem xmlns:ds="http://schemas.openxmlformats.org/officeDocument/2006/customXml" ds:itemID="{2ACEB27F-BBA2-455D-A530-5F485348234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ae298-a484-4309-b13f-11e1b7c774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F34D6E-076C-4A4B-8CBB-72EADC68848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19</vt:i4>
      </vt:variant>
    </vt:vector>
  </HeadingPairs>
  <TitlesOfParts>
    <vt:vector size="38" baseType="lpstr">
      <vt:lpstr>様式１　大学等概要</vt:lpstr>
      <vt:lpstr>様式２－1　プログラムを構成する授業科目</vt:lpstr>
      <vt:lpstr>様式２－2　プログラムを構成する授業科目</vt:lpstr>
      <vt:lpstr>様式２－3　プログラムを構成する授業科目</vt:lpstr>
      <vt:lpstr>様式２－4　プログラムを構成する授業科目</vt:lpstr>
      <vt:lpstr>様式２－5　プログラムを構成する授業科目</vt:lpstr>
      <vt:lpstr>様式２－6　プログラムを構成する授業科目</vt:lpstr>
      <vt:lpstr>様式２－7　プログラムを構成する授業科目</vt:lpstr>
      <vt:lpstr>様式３　履修者等数の実績</vt:lpstr>
      <vt:lpstr>様式4－1　プログラムの授業内容・概要</vt:lpstr>
      <vt:lpstr>様式4－２　プログラムの授業内容・概要</vt:lpstr>
      <vt:lpstr>様式4－3　プログラムの授業内容・概要</vt:lpstr>
      <vt:lpstr>様式4－4　プログラムの授業内容・概要</vt:lpstr>
      <vt:lpstr>様式4－5　プログラムの授業内容・概要</vt:lpstr>
      <vt:lpstr>様式4－6　プログラムの授業内容・概要</vt:lpstr>
      <vt:lpstr>様式4－7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'様式２－1　プログラムを構成する授業科目'!Print_Area</vt:lpstr>
      <vt:lpstr>'様式２－2　プログラムを構成する授業科目'!Print_Area</vt:lpstr>
      <vt:lpstr>'様式２－3　プログラムを構成する授業科目'!Print_Area</vt:lpstr>
      <vt:lpstr>'様式２－4　プログラムを構成する授業科目'!Print_Area</vt:lpstr>
      <vt:lpstr>'様式２－5　プログラムを構成する授業科目'!Print_Area</vt:lpstr>
      <vt:lpstr>'様式２－6　プログラムを構成する授業科目'!Print_Area</vt:lpstr>
      <vt:lpstr>'様式２－7　プログラムを構成する授業科目'!Print_Area</vt:lpstr>
      <vt:lpstr>'様式３　履修者等数の実績'!Print_Area</vt:lpstr>
      <vt:lpstr>'様式4－1　プログラムの授業内容・概要'!Print_Area</vt:lpstr>
      <vt:lpstr>'様式4－２　プログラムの授業内容・概要'!Print_Area</vt:lpstr>
      <vt:lpstr>'様式4－3　プログラムの授業内容・概要'!Print_Area</vt:lpstr>
      <vt:lpstr>'様式4－4　プログラムの授業内容・概要'!Print_Area</vt:lpstr>
      <vt:lpstr>'様式4－5　プログラムの授業内容・概要'!Print_Area</vt:lpstr>
      <vt:lpstr>'様式4－6　プログラムの授業内容・概要'!Print_Area</vt:lpstr>
      <vt:lpstr>'様式4－7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坂部 範章</cp:lastModifiedBy>
  <cp:revision>1</cp:revision>
  <dcterms:created xsi:type="dcterms:W3CDTF">2011-06-14T05:32:50Z</dcterms:created>
  <dcterms:modified xsi:type="dcterms:W3CDTF">2021-06-23T02:44:44Z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ContentTypeId">
    <vt:lpwstr>0x01010075E3B0C77CE72045A8A95D9C0C154274</vt:lpwstr>
  </property>
</Properties>
</file>