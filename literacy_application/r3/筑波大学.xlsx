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defaultThemeVersion="124226"/>
  <mc:AlternateContent xmlns:mc="http://schemas.openxmlformats.org/markup-compatibility/2006">
    <mc:Choice Requires="x15">
      <x15ac:absPath xmlns:x15ac="http://schemas.microsoft.com/office/spreadsheetml/2010/11/ac" url="D:\2020　教育推進課\数理DS\認定制度\提出版\提出資料（差し替え）\6月30日文科省からの確認頼\4 提出版\"/>
    </mc:Choice>
  </mc:AlternateContent>
  <xr:revisionPtr revIDLastSave="0" documentId="11_B0C6E12AC7051A6BB240F205E9107D752C1960A6" xr6:coauthVersionLast="47" xr6:coauthVersionMax="47" xr10:uidLastSave="{00000000-0000-0000-0000-000000000000}"/>
  <bookViews>
    <workbookView xWindow="0" yWindow="0" windowWidth="21570" windowHeight="7245" tabRatio="885" xr2:uid="{00000000-000D-0000-FFFF-FFFF00000000}"/>
  </bookViews>
  <sheets>
    <sheet name="様式１　大学等概要" sheetId="1" r:id="rId1"/>
    <sheet name="様式２　プログラムを構成する授業科目" sheetId="2" r:id="rId2"/>
    <sheet name="様式３　履修者等数の実績（講義）" sheetId="3" r:id="rId3"/>
    <sheet name="様式4  プログラムの授業内容・概要" sheetId="5" r:id="rId4"/>
    <sheet name="様式５　教育の質・履修者数を向上させるための体制・計画" sheetId="6" r:id="rId5"/>
    <sheet name="様式６　自己点検・評価" sheetId="7" r:id="rId6"/>
    <sheet name="様式７　特色ある取組" sheetId="8" r:id="rId7"/>
  </sheets>
  <definedNames>
    <definedName name="_xlnm._FilterDatabase" localSheetId="1" hidden="1">'様式２　プログラムを構成する授業科目'!#REF!</definedName>
    <definedName name="_xlnm._FilterDatabase" localSheetId="2" hidden="1">'様式３　履修者等数の実績（講義）'!#REF!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履修者等数の実績（講義）'!$A$1:$R$32</definedName>
    <definedName name="_xlnm.Print_Area" localSheetId="3">'様式4  プログラムの授業内容・概要'!$A$1:$G$144</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 name="Z_5055547B_B170_416F_A083_CC8E7809C104_.wvu.PrintArea" localSheetId="0" hidden="1">'様式１　大学等概要'!$A$1:$N$47</definedName>
    <definedName name="Z_5055547B_B170_416F_A083_CC8E7809C104_.wvu.PrintArea" localSheetId="1" hidden="1">'様式２　プログラムを構成する授業科目'!$A$1:$I$44</definedName>
    <definedName name="Z_5055547B_B170_416F_A083_CC8E7809C104_.wvu.PrintArea" localSheetId="2" hidden="1">'様式３　履修者等数の実績（講義）'!$A$1:$R$32</definedName>
    <definedName name="Z_5055547B_B170_416F_A083_CC8E7809C104_.wvu.PrintArea" localSheetId="3" hidden="1">'様式4  プログラムの授業内容・概要'!$A$1:$G$144</definedName>
    <definedName name="Z_5055547B_B170_416F_A083_CC8E7809C104_.wvu.PrintArea" localSheetId="4" hidden="1">'様式５　教育の質・履修者数を向上させるための体制・計画'!$A$1:$E$134</definedName>
    <definedName name="Z_5055547B_B170_416F_A083_CC8E7809C104_.wvu.PrintArea" localSheetId="5" hidden="1">'様式６　自己点検・評価'!$A$1:$J$20</definedName>
    <definedName name="Z_5055547B_B170_416F_A083_CC8E7809C104_.wvu.PrintArea" localSheetId="6" hidden="1">'様式７　特色ある取組'!$A$1:$F$130</definedName>
  </definedNames>
  <calcPr calcId="191028"/>
  <customWorkbookViews>
    <customWorkbookView name="佐藤　賢介 - 個人用ビュー" guid="{5055547B-B170-416F-A083-CC8E7809C104}" mergeInterval="0" personalView="1" maximized="1" xWindow="-8" yWindow="-8" windowWidth="2576" windowHeight="1056" tabRatio="885"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7" l="1"/>
  <c r="Q8" i="3"/>
  <c r="Q16" i="3" l="1"/>
  <c r="R16" i="3" s="1"/>
  <c r="P28" i="3" l="1"/>
  <c r="O28" i="3"/>
  <c r="N28" i="3"/>
  <c r="M28" i="3"/>
  <c r="L28" i="3"/>
  <c r="K28" i="3"/>
  <c r="J28" i="3"/>
  <c r="I28" i="3"/>
  <c r="H28" i="3"/>
  <c r="G28" i="3"/>
  <c r="F28" i="3"/>
  <c r="E28" i="3"/>
  <c r="D28" i="3"/>
  <c r="Q27" i="3"/>
  <c r="R27" i="3" s="1"/>
  <c r="Q26" i="3"/>
  <c r="R26" i="3" s="1"/>
  <c r="Q25" i="3"/>
  <c r="R25" i="3" s="1"/>
  <c r="Q24" i="3"/>
  <c r="R24" i="3" s="1"/>
  <c r="Q23" i="3"/>
  <c r="R23" i="3" s="1"/>
  <c r="Q22" i="3"/>
  <c r="R22" i="3" s="1"/>
  <c r="Q21" i="3"/>
  <c r="R21" i="3" s="1"/>
  <c r="Q20" i="3"/>
  <c r="R20" i="3" s="1"/>
  <c r="Q19" i="3"/>
  <c r="R19" i="3" s="1"/>
  <c r="Q18" i="3"/>
  <c r="R18" i="3" s="1"/>
  <c r="Q17" i="3"/>
  <c r="R17" i="3" s="1"/>
  <c r="Q15" i="3"/>
  <c r="R15" i="3" s="1"/>
  <c r="Q14" i="3"/>
  <c r="R14" i="3" s="1"/>
  <c r="Q13" i="3"/>
  <c r="R13" i="3" s="1"/>
  <c r="Q12" i="3"/>
  <c r="R12" i="3" s="1"/>
  <c r="Q11" i="3"/>
  <c r="R11" i="3" s="1"/>
  <c r="Q10" i="3"/>
  <c r="R10" i="3" s="1"/>
  <c r="Q9" i="3"/>
  <c r="R9" i="3" l="1"/>
  <c r="Q28" i="3"/>
  <c r="R28" i="3" s="1"/>
  <c r="R8" i="3"/>
</calcChain>
</file>

<file path=xl/sharedStrings.xml><?xml version="1.0" encoding="utf-8"?>
<sst xmlns="http://schemas.openxmlformats.org/spreadsheetml/2006/main" count="361" uniqueCount="238">
  <si>
    <t>様式１</t>
    <rPh sb="0" eb="2">
      <t>ヨウシキ</t>
    </rPh>
    <phoneticPr fontId="3"/>
  </si>
  <si>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3"/>
  </si>
  <si>
    <t>①</t>
    <phoneticPr fontId="3"/>
  </si>
  <si>
    <t>学校名</t>
    <rPh sb="0" eb="2">
      <t>ガッコウ</t>
    </rPh>
    <rPh sb="2" eb="3">
      <t>メイ</t>
    </rPh>
    <phoneticPr fontId="3"/>
  </si>
  <si>
    <t>筑波大学</t>
    <rPh sb="0" eb="2">
      <t>ツクバ</t>
    </rPh>
    <rPh sb="2" eb="4">
      <t>ダイガク</t>
    </rPh>
    <phoneticPr fontId="3"/>
  </si>
  <si>
    <t>②</t>
    <phoneticPr fontId="3"/>
  </si>
  <si>
    <t>大学等の設置者</t>
  </si>
  <si>
    <t>国立大学法人　筑波大学</t>
    <rPh sb="0" eb="2">
      <t>コクリツ</t>
    </rPh>
    <rPh sb="2" eb="4">
      <t>ダイガク</t>
    </rPh>
    <rPh sb="4" eb="6">
      <t>ホウジン</t>
    </rPh>
    <rPh sb="7" eb="9">
      <t>ツクバ</t>
    </rPh>
    <rPh sb="9" eb="11">
      <t>ダイガク</t>
    </rPh>
    <phoneticPr fontId="3"/>
  </si>
  <si>
    <t>③</t>
    <phoneticPr fontId="3"/>
  </si>
  <si>
    <t>設置形態</t>
  </si>
  <si>
    <t>国立大学</t>
  </si>
  <si>
    <t>④</t>
    <phoneticPr fontId="3"/>
  </si>
  <si>
    <t>所在地</t>
    <phoneticPr fontId="3"/>
  </si>
  <si>
    <t>茨城県つくば市天王台1-1-1</t>
    <rPh sb="0" eb="3">
      <t>イバラキケン</t>
    </rPh>
    <rPh sb="6" eb="7">
      <t>シ</t>
    </rPh>
    <rPh sb="7" eb="10">
      <t>テンノウダイ</t>
    </rPh>
    <phoneticPr fontId="3"/>
  </si>
  <si>
    <t>⑤</t>
    <phoneticPr fontId="3"/>
  </si>
  <si>
    <t>申請するプログラム又は授業科目名称</t>
    <rPh sb="0" eb="2">
      <t>シンセイ</t>
    </rPh>
    <rPh sb="9" eb="10">
      <t>マタ</t>
    </rPh>
    <rPh sb="11" eb="13">
      <t>ジュギョウ</t>
    </rPh>
    <rPh sb="13" eb="15">
      <t>カモク</t>
    </rPh>
    <rPh sb="15" eb="17">
      <t>メイショウ</t>
    </rPh>
    <phoneticPr fontId="3"/>
  </si>
  <si>
    <t>データサイエンス・リテラシープログラム</t>
    <phoneticPr fontId="3"/>
  </si>
  <si>
    <t>⑥</t>
    <phoneticPr fontId="3"/>
  </si>
  <si>
    <t>プログラムの開設年度</t>
    <rPh sb="6" eb="8">
      <t>カイセツ</t>
    </rPh>
    <rPh sb="8" eb="10">
      <t>ネンド</t>
    </rPh>
    <phoneticPr fontId="3"/>
  </si>
  <si>
    <t>令和元年度</t>
    <rPh sb="0" eb="2">
      <t>レイワ</t>
    </rPh>
    <rPh sb="2" eb="3">
      <t>モト</t>
    </rPh>
    <rPh sb="3" eb="5">
      <t>ネンド</t>
    </rPh>
    <phoneticPr fontId="3"/>
  </si>
  <si>
    <t>⑦</t>
    <phoneticPr fontId="3"/>
  </si>
  <si>
    <t>教員数</t>
    <rPh sb="0" eb="2">
      <t>キョウイン</t>
    </rPh>
    <rPh sb="2" eb="3">
      <t>スウ</t>
    </rPh>
    <phoneticPr fontId="3"/>
  </si>
  <si>
    <t>（常勤）</t>
    <rPh sb="1" eb="3">
      <t>ジョウキン</t>
    </rPh>
    <phoneticPr fontId="3"/>
  </si>
  <si>
    <t>人</t>
    <rPh sb="0" eb="1">
      <t>ニン</t>
    </rPh>
    <phoneticPr fontId="3"/>
  </si>
  <si>
    <t>（非常勤）</t>
    <rPh sb="1" eb="4">
      <t>ヒジョウキン</t>
    </rPh>
    <phoneticPr fontId="3"/>
  </si>
  <si>
    <t>⑧</t>
    <phoneticPr fontId="3"/>
  </si>
  <si>
    <t>プログラムの授業を教えている教員数</t>
    <rPh sb="6" eb="8">
      <t>ジュギョウ</t>
    </rPh>
    <rPh sb="9" eb="10">
      <t>オシ</t>
    </rPh>
    <rPh sb="14" eb="16">
      <t>キョウイン</t>
    </rPh>
    <rPh sb="16" eb="17">
      <t>スウ</t>
    </rPh>
    <phoneticPr fontId="3"/>
  </si>
  <si>
    <t>⑨</t>
    <phoneticPr fontId="3"/>
  </si>
  <si>
    <t>全学部・学科の入学定員</t>
    <rPh sb="0" eb="1">
      <t>ゼン</t>
    </rPh>
    <rPh sb="4" eb="6">
      <t>ガッカ</t>
    </rPh>
    <rPh sb="7" eb="9">
      <t>ニュウガク</t>
    </rPh>
    <rPh sb="9" eb="11">
      <t>テイイン</t>
    </rPh>
    <phoneticPr fontId="3"/>
  </si>
  <si>
    <t>人</t>
  </si>
  <si>
    <t>⑩</t>
    <phoneticPr fontId="3"/>
  </si>
  <si>
    <t>全学部・学科の学生数（学年別）</t>
    <rPh sb="0" eb="1">
      <t>ゼン</t>
    </rPh>
    <rPh sb="4" eb="6">
      <t>ガッカ</t>
    </rPh>
    <rPh sb="7" eb="10">
      <t>ガクセイスウ</t>
    </rPh>
    <rPh sb="11" eb="13">
      <t>ガクネン</t>
    </rPh>
    <rPh sb="13" eb="14">
      <t>ベツ</t>
    </rPh>
    <phoneticPr fontId="3"/>
  </si>
  <si>
    <t>総数</t>
    <rPh sb="0" eb="2">
      <t>ソウスウ</t>
    </rPh>
    <phoneticPr fontId="3"/>
  </si>
  <si>
    <t>１年次</t>
    <rPh sb="1" eb="2">
      <t>ネン</t>
    </rPh>
    <rPh sb="2" eb="3">
      <t>ツギ</t>
    </rPh>
    <phoneticPr fontId="3"/>
  </si>
  <si>
    <t>２年次</t>
    <rPh sb="1" eb="2">
      <t>ネン</t>
    </rPh>
    <rPh sb="2" eb="3">
      <t>ツギ</t>
    </rPh>
    <phoneticPr fontId="3"/>
  </si>
  <si>
    <t>３年次</t>
    <rPh sb="1" eb="2">
      <t>ネン</t>
    </rPh>
    <rPh sb="2" eb="3">
      <t>ツギ</t>
    </rPh>
    <phoneticPr fontId="3"/>
  </si>
  <si>
    <t>４年次</t>
    <rPh sb="1" eb="2">
      <t>ネン</t>
    </rPh>
    <rPh sb="2" eb="3">
      <t>ツギ</t>
    </rPh>
    <phoneticPr fontId="3"/>
  </si>
  <si>
    <t>５年次</t>
    <rPh sb="1" eb="2">
      <t>ネン</t>
    </rPh>
    <rPh sb="2" eb="3">
      <t>ツギ</t>
    </rPh>
    <phoneticPr fontId="3"/>
  </si>
  <si>
    <t>６年次</t>
    <rPh sb="1" eb="2">
      <t>ネン</t>
    </rPh>
    <rPh sb="2" eb="3">
      <t>ツギ</t>
    </rPh>
    <phoneticPr fontId="3"/>
  </si>
  <si>
    <t>⑪</t>
    <phoneticPr fontId="3"/>
  </si>
  <si>
    <t>プログラムの運営責任者</t>
    <phoneticPr fontId="3"/>
  </si>
  <si>
    <t>（責任者名）</t>
    <rPh sb="1" eb="4">
      <t>セキニンシャ</t>
    </rPh>
    <rPh sb="4" eb="5">
      <t>メイ</t>
    </rPh>
    <phoneticPr fontId="3"/>
  </si>
  <si>
    <t>佐久間　淳</t>
    <rPh sb="0" eb="3">
      <t>サクマ</t>
    </rPh>
    <rPh sb="4" eb="5">
      <t>ジュン</t>
    </rPh>
    <phoneticPr fontId="3"/>
  </si>
  <si>
    <t>（役職名）</t>
    <rPh sb="1" eb="4">
      <t>ヤクショクメイ</t>
    </rPh>
    <phoneticPr fontId="3"/>
  </si>
  <si>
    <t>「情報」専門部会　部会長</t>
    <rPh sb="1" eb="3">
      <t>ジョウホウ</t>
    </rPh>
    <rPh sb="4" eb="6">
      <t>センモン</t>
    </rPh>
    <rPh sb="6" eb="8">
      <t>ブカイ</t>
    </rPh>
    <rPh sb="9" eb="12">
      <t>ブカイチョウ</t>
    </rPh>
    <phoneticPr fontId="3"/>
  </si>
  <si>
    <t>⑫</t>
    <phoneticPr fontId="3"/>
  </si>
  <si>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3"/>
  </si>
  <si>
    <t>「情報」推進室</t>
    <rPh sb="1" eb="3">
      <t>ジョウホウ</t>
    </rPh>
    <rPh sb="4" eb="6">
      <t>スイシン</t>
    </rPh>
    <rPh sb="6" eb="7">
      <t>シツ</t>
    </rPh>
    <phoneticPr fontId="3"/>
  </si>
  <si>
    <t>「情報」推進室長</t>
    <rPh sb="1" eb="3">
      <t>ジョウホウ</t>
    </rPh>
    <rPh sb="4" eb="6">
      <t>スイシン</t>
    </rPh>
    <rPh sb="6" eb="7">
      <t>シツ</t>
    </rPh>
    <rPh sb="7" eb="8">
      <t>チョウ</t>
    </rPh>
    <phoneticPr fontId="3"/>
  </si>
  <si>
    <t>⑬</t>
    <phoneticPr fontId="3"/>
  </si>
  <si>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3"/>
  </si>
  <si>
    <t>「情報」専門部会</t>
    <rPh sb="1" eb="3">
      <t>ジョウホウ</t>
    </rPh>
    <rPh sb="4" eb="6">
      <t>センモン</t>
    </rPh>
    <rPh sb="6" eb="8">
      <t>ブカイ</t>
    </rPh>
    <phoneticPr fontId="3"/>
  </si>
  <si>
    <t>「情報」専門部会長</t>
    <rPh sb="1" eb="3">
      <t>ジョウホウ</t>
    </rPh>
    <rPh sb="4" eb="6">
      <t>センモン</t>
    </rPh>
    <rPh sb="6" eb="8">
      <t>ブカイ</t>
    </rPh>
    <rPh sb="8" eb="9">
      <t>チョウ</t>
    </rPh>
    <phoneticPr fontId="3"/>
  </si>
  <si>
    <t>⑭</t>
    <phoneticPr fontId="3"/>
  </si>
  <si>
    <t>申請する認定プログラム</t>
    <rPh sb="0" eb="2">
      <t>シンセイ</t>
    </rPh>
    <rPh sb="4" eb="6">
      <t>ニンテイ</t>
    </rPh>
    <phoneticPr fontId="3"/>
  </si>
  <si>
    <t>認定教育プログラムと認定教育プログラム+（プラス）</t>
  </si>
  <si>
    <t>連絡先</t>
    <rPh sb="0" eb="3">
      <t>レンラクサキ</t>
    </rPh>
    <phoneticPr fontId="3"/>
  </si>
  <si>
    <t>所属部署名</t>
    <rPh sb="0" eb="2">
      <t>ショゾク</t>
    </rPh>
    <rPh sb="2" eb="4">
      <t>ブショ</t>
    </rPh>
    <rPh sb="4" eb="5">
      <t>メイ</t>
    </rPh>
    <phoneticPr fontId="3"/>
  </si>
  <si>
    <t>教育推進部教育推進課</t>
    <rPh sb="0" eb="2">
      <t>キョウイク</t>
    </rPh>
    <rPh sb="2" eb="4">
      <t>スイシン</t>
    </rPh>
    <rPh sb="4" eb="5">
      <t>ブ</t>
    </rPh>
    <rPh sb="5" eb="7">
      <t>キョウイク</t>
    </rPh>
    <rPh sb="7" eb="9">
      <t>スイシン</t>
    </rPh>
    <rPh sb="9" eb="10">
      <t>カ</t>
    </rPh>
    <phoneticPr fontId="3"/>
  </si>
  <si>
    <t>担当者名</t>
    <rPh sb="0" eb="2">
      <t>タントウ</t>
    </rPh>
    <rPh sb="2" eb="3">
      <t>シャ</t>
    </rPh>
    <rPh sb="3" eb="4">
      <t>メイ</t>
    </rPh>
    <phoneticPr fontId="3"/>
  </si>
  <si>
    <t>木内　芳行</t>
    <phoneticPr fontId="3"/>
  </si>
  <si>
    <t>E-mail</t>
  </si>
  <si>
    <t>k-suishin@un.tsukuba.ac.jp</t>
    <phoneticPr fontId="3"/>
  </si>
  <si>
    <t>電話番号</t>
  </si>
  <si>
    <t>029-853-2202</t>
    <phoneticPr fontId="3"/>
  </si>
  <si>
    <t>様式２</t>
    <rPh sb="0" eb="2">
      <t>ヨウシキ</t>
    </rPh>
    <phoneticPr fontId="3"/>
  </si>
  <si>
    <t>学校名：</t>
    <rPh sb="0" eb="2">
      <t>ガッコウ</t>
    </rPh>
    <rPh sb="2" eb="3">
      <t>メイ</t>
    </rPh>
    <phoneticPr fontId="3"/>
  </si>
  <si>
    <t>プログラムを構成する授業科目について</t>
    <phoneticPr fontId="3"/>
  </si>
  <si>
    <t>教育プログラムの修了要件</t>
    <rPh sb="8" eb="10">
      <t>シュウリョウ</t>
    </rPh>
    <phoneticPr fontId="3"/>
  </si>
  <si>
    <t>学部・学科によって，修了要件は相違しない</t>
  </si>
  <si>
    <t>具体的な修了要件</t>
    <rPh sb="0" eb="3">
      <t>グタイテキ</t>
    </rPh>
    <rPh sb="4" eb="6">
      <t>シュウリョウ</t>
    </rPh>
    <rPh sb="6" eb="8">
      <t>ヨウケン</t>
    </rPh>
    <phoneticPr fontId="3"/>
  </si>
  <si>
    <t xml:space="preserve">情報リテラシー（講義）1単位及びデータサイエンス2単位の2科目3単位を取得する. 情報リテラシー（講義）では, 試験, レポート課題などを総合的に評価され, A＋〜Dの評語が決定される. 単位を取得するためにはC以上の評価を得ることである. データサイエンスにおいても, 試験, レポート課題などを総合的に評価され, A＋〜Dの評語が決定される. 単位を取得するためにはC以上の評価を得ることである. </t>
    <rPh sb="94" eb="96">
      <t>タンイ</t>
    </rPh>
    <rPh sb="97" eb="99">
      <t>シュトク</t>
    </rPh>
    <phoneticPr fontId="3"/>
  </si>
  <si>
    <t>授業科目名称</t>
    <rPh sb="0" eb="2">
      <t>ジュギョウ</t>
    </rPh>
    <rPh sb="2" eb="4">
      <t>カモク</t>
    </rPh>
    <rPh sb="4" eb="6">
      <t>メイショウ</t>
    </rPh>
    <phoneticPr fontId="3"/>
  </si>
  <si>
    <t>情報リテラシー（講義）</t>
    <phoneticPr fontId="3"/>
  </si>
  <si>
    <t>データサイエンス</t>
    <phoneticPr fontId="3"/>
  </si>
  <si>
    <t>様式３</t>
    <rPh sb="0" eb="2">
      <t>ヨウシキ</t>
    </rPh>
    <phoneticPr fontId="3"/>
  </si>
  <si>
    <t>学校名：</t>
    <rPh sb="0" eb="2">
      <t>ガッコウ</t>
    </rPh>
    <phoneticPr fontId="3"/>
  </si>
  <si>
    <t>プログラムの履修者数等の実績について</t>
    <phoneticPr fontId="3"/>
  </si>
  <si>
    <t>学部・学科名称</t>
    <rPh sb="0" eb="2">
      <t>ガクブ</t>
    </rPh>
    <rPh sb="3" eb="5">
      <t>ガッカ</t>
    </rPh>
    <rPh sb="5" eb="7">
      <t>メイショウ</t>
    </rPh>
    <phoneticPr fontId="3"/>
  </si>
  <si>
    <t>収容
定員</t>
    <rPh sb="0" eb="2">
      <t>シュウヨウ</t>
    </rPh>
    <rPh sb="3" eb="5">
      <t>テイイン</t>
    </rPh>
    <phoneticPr fontId="3"/>
  </si>
  <si>
    <t>令和2年度</t>
    <rPh sb="0" eb="2">
      <t>レイワ</t>
    </rPh>
    <rPh sb="3" eb="5">
      <t>ネンド</t>
    </rPh>
    <phoneticPr fontId="3"/>
  </si>
  <si>
    <t>令和元年度</t>
    <rPh sb="0" eb="2">
      <t>レイワ</t>
    </rPh>
    <rPh sb="2" eb="3">
      <t>ゲン</t>
    </rPh>
    <rPh sb="3" eb="5">
      <t>ネンド</t>
    </rPh>
    <phoneticPr fontId="3"/>
  </si>
  <si>
    <t>平成30年度</t>
    <rPh sb="0" eb="2">
      <t>ヘイセイ</t>
    </rPh>
    <rPh sb="4" eb="6">
      <t>ネンド</t>
    </rPh>
    <phoneticPr fontId="3"/>
  </si>
  <si>
    <t>平成29年度</t>
    <rPh sb="0" eb="2">
      <t>ヘイセイ</t>
    </rPh>
    <rPh sb="4" eb="6">
      <t>ネンド</t>
    </rPh>
    <phoneticPr fontId="3"/>
  </si>
  <si>
    <t>平成28年度</t>
    <rPh sb="0" eb="2">
      <t>ヘイセイ</t>
    </rPh>
    <rPh sb="4" eb="6">
      <t>ネンド</t>
    </rPh>
    <phoneticPr fontId="3"/>
  </si>
  <si>
    <t>平成27年度</t>
    <rPh sb="0" eb="2">
      <t>ヘイセイ</t>
    </rPh>
    <rPh sb="4" eb="6">
      <t>ネンド</t>
    </rPh>
    <phoneticPr fontId="3"/>
  </si>
  <si>
    <t>履修者数
合計</t>
    <rPh sb="0" eb="2">
      <t>リシュウ</t>
    </rPh>
    <rPh sb="2" eb="3">
      <t>シャ</t>
    </rPh>
    <rPh sb="3" eb="4">
      <t>スウ</t>
    </rPh>
    <rPh sb="5" eb="7">
      <t>ゴウケイ</t>
    </rPh>
    <phoneticPr fontId="3"/>
  </si>
  <si>
    <t>履修率</t>
    <rPh sb="0" eb="2">
      <t>リシュウ</t>
    </rPh>
    <rPh sb="2" eb="3">
      <t>リツ</t>
    </rPh>
    <phoneticPr fontId="3"/>
  </si>
  <si>
    <t>履修者数</t>
    <rPh sb="0" eb="2">
      <t>リシュウ</t>
    </rPh>
    <rPh sb="2" eb="3">
      <t>シャ</t>
    </rPh>
    <rPh sb="3" eb="4">
      <t>スウ</t>
    </rPh>
    <phoneticPr fontId="3"/>
  </si>
  <si>
    <t>修了者数</t>
    <rPh sb="0" eb="3">
      <t>シュウリョウシャ</t>
    </rPh>
    <rPh sb="3" eb="4">
      <t>スウ</t>
    </rPh>
    <phoneticPr fontId="3"/>
  </si>
  <si>
    <t>人文・文化学群　（人文科学）</t>
    <rPh sb="0" eb="2">
      <t>ジンブン</t>
    </rPh>
    <rPh sb="3" eb="5">
      <t>ブンカ</t>
    </rPh>
    <rPh sb="5" eb="7">
      <t>ガクグン</t>
    </rPh>
    <rPh sb="9" eb="11">
      <t>ジンブン</t>
    </rPh>
    <rPh sb="11" eb="13">
      <t>カガク</t>
    </rPh>
    <phoneticPr fontId="3"/>
  </si>
  <si>
    <t>社会・国際学群　（社会科学）</t>
    <rPh sb="0" eb="2">
      <t>シャカイ</t>
    </rPh>
    <rPh sb="3" eb="5">
      <t>コクサイ</t>
    </rPh>
    <rPh sb="5" eb="7">
      <t>ガクグン</t>
    </rPh>
    <rPh sb="9" eb="11">
      <t>シャカイ</t>
    </rPh>
    <rPh sb="11" eb="13">
      <t>カガク</t>
    </rPh>
    <phoneticPr fontId="3"/>
  </si>
  <si>
    <t>人間学群　（教育・人文科学）</t>
    <rPh sb="0" eb="2">
      <t>ニンゲン</t>
    </rPh>
    <rPh sb="2" eb="4">
      <t>ガクグン</t>
    </rPh>
    <rPh sb="6" eb="8">
      <t>キョウイク</t>
    </rPh>
    <rPh sb="9" eb="11">
      <t>ジンブン</t>
    </rPh>
    <rPh sb="11" eb="13">
      <t>カガク</t>
    </rPh>
    <phoneticPr fontId="3"/>
  </si>
  <si>
    <t>生命環境学群　（理学・農学）</t>
    <rPh sb="0" eb="2">
      <t>セイメイ</t>
    </rPh>
    <rPh sb="2" eb="4">
      <t>カンキョウ</t>
    </rPh>
    <rPh sb="4" eb="6">
      <t>ガクグン</t>
    </rPh>
    <rPh sb="8" eb="10">
      <t>リガク</t>
    </rPh>
    <rPh sb="11" eb="13">
      <t>ノウガク</t>
    </rPh>
    <phoneticPr fontId="3"/>
  </si>
  <si>
    <t>理工学群　（理学・工学）</t>
    <rPh sb="0" eb="2">
      <t>リコウ</t>
    </rPh>
    <rPh sb="2" eb="4">
      <t>ガクグン</t>
    </rPh>
    <rPh sb="6" eb="8">
      <t>リガク</t>
    </rPh>
    <rPh sb="9" eb="11">
      <t>コウガク</t>
    </rPh>
    <phoneticPr fontId="3"/>
  </si>
  <si>
    <t>情報学群　（工学・その他）</t>
    <rPh sb="6" eb="8">
      <t>コウガク</t>
    </rPh>
    <rPh sb="11" eb="12">
      <t>タ</t>
    </rPh>
    <phoneticPr fontId="3"/>
  </si>
  <si>
    <t>医学群　（保健）</t>
    <rPh sb="0" eb="1">
      <t>イ</t>
    </rPh>
    <rPh sb="1" eb="2">
      <t>ガク</t>
    </rPh>
    <rPh sb="2" eb="3">
      <t>グン</t>
    </rPh>
    <rPh sb="5" eb="7">
      <t>ホケン</t>
    </rPh>
    <phoneticPr fontId="3"/>
  </si>
  <si>
    <t>体育専門学群　（教育）</t>
    <rPh sb="0" eb="2">
      <t>タイイク</t>
    </rPh>
    <rPh sb="2" eb="4">
      <t>センモン</t>
    </rPh>
    <rPh sb="4" eb="6">
      <t>ガクグン</t>
    </rPh>
    <rPh sb="8" eb="10">
      <t>キョウイク</t>
    </rPh>
    <phoneticPr fontId="3"/>
  </si>
  <si>
    <t>芸術専門学群　（芸術）</t>
    <rPh sb="0" eb="2">
      <t>ゲイジュツ</t>
    </rPh>
    <rPh sb="2" eb="4">
      <t>センモン</t>
    </rPh>
    <rPh sb="4" eb="6">
      <t>ガクグン</t>
    </rPh>
    <rPh sb="8" eb="10">
      <t>ゲイジュツ</t>
    </rPh>
    <phoneticPr fontId="3"/>
  </si>
  <si>
    <t>合　計</t>
    <phoneticPr fontId="3"/>
  </si>
  <si>
    <t>様式４</t>
    <rPh sb="0" eb="2">
      <t>ヨウシキ</t>
    </rPh>
    <phoneticPr fontId="3"/>
  </si>
  <si>
    <t>プログラムの授業内容・概要</t>
    <rPh sb="6" eb="8">
      <t>ジュギョウ</t>
    </rPh>
    <rPh sb="8" eb="10">
      <t>ナイヨウ</t>
    </rPh>
    <rPh sb="11" eb="13">
      <t>ガイヨウ</t>
    </rPh>
    <phoneticPr fontId="3"/>
  </si>
  <si>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3"/>
  </si>
  <si>
    <t>授業に含まれている内容・要素</t>
    <rPh sb="0" eb="2">
      <t>ジュギョウ</t>
    </rPh>
    <rPh sb="3" eb="4">
      <t>フク</t>
    </rPh>
    <rPh sb="9" eb="11">
      <t>ナイヨウ</t>
    </rPh>
    <rPh sb="12" eb="14">
      <t>ヨウソ</t>
    </rPh>
    <phoneticPr fontId="3"/>
  </si>
  <si>
    <t>授業概要</t>
    <rPh sb="0" eb="2">
      <t>ジュギョウ</t>
    </rPh>
    <rPh sb="2" eb="4">
      <t>ガイヨウ</t>
    </rPh>
    <phoneticPr fontId="3"/>
  </si>
  <si>
    <t>（１）現在進行中の社会変化（第４次産業革命，Society 5.0，データ駆動型社会等）に深く寄与しているものであり，それが自らの生活と密接に結びついている
※モデルカリキュラム導入１－１，導入１－６が該当</t>
  </si>
  <si>
    <t>日常生活に密接に結びついているデータサイエンスについて学ぶ．筑波大学の教員の専門性を活用し，情報分野のみならず，医学，スポーツ，社会，芸術，気象・防災などで活用されているデータサイエンスについても広く学ぶことにより，データサイエンスのモチベーションを高める．3本のビデオ講義「ビッグデータとIoT/CPS 　(Cyber-Physical System)」「人工知能と機械学習」「データ駆動型社会における津波高即時予測」を通して，データサイエンスの産業活用に関して学習するとともに，「現代サッカーボールの空力特性」「サッカーの上達にデータを生かす」を通して，学生に馴染みのある事柄におけるデータサイエンスを学習する．これらのビデオ講義は，講義中でも触れるとともに，学生はいつでもビデオ講義の受講が可能である．Society5.0にも触れ，我々の生活でどのようにデータが活用されているかを理解する．</t>
    <rPh sb="8" eb="9">
      <t>ムス</t>
    </rPh>
    <phoneticPr fontId="3"/>
  </si>
  <si>
    <t>授業科目名称</t>
    <rPh sb="0" eb="2">
      <t>ジュギョウ</t>
    </rPh>
    <rPh sb="2" eb="6">
      <t>カモクメイショウ</t>
    </rPh>
    <phoneticPr fontId="3"/>
  </si>
  <si>
    <t>講義テーマ</t>
    <rPh sb="0" eb="2">
      <t>コウギ</t>
    </rPh>
    <phoneticPr fontId="3"/>
  </si>
  <si>
    <t>データサイエンス</t>
    <rPh sb="0" eb="2">
      <t>データサイエンス</t>
    </rPh>
    <phoneticPr fontId="3"/>
  </si>
  <si>
    <t>ビッグデータ，IoT，AI，ロボット (1, 5, 10)</t>
  </si>
  <si>
    <t>データ量の増加 (1)</t>
    <phoneticPr fontId="3"/>
  </si>
  <si>
    <t>第4次産業革命，Society 5.0，データ駆動型社会 (1)</t>
  </si>
  <si>
    <t>複数技術を組み合わせたAIサービス (10)</t>
    <phoneticPr fontId="3"/>
  </si>
  <si>
    <t>人間の知的活動とAIの関係性 (10)</t>
    <phoneticPr fontId="3"/>
  </si>
  <si>
    <t>データを起点としたものの見方，人間の知的活動を起点としたものの見方 (1, 10)</t>
  </si>
  <si>
    <t>AI等を活用した新しいビジネスモデル (10)</t>
    <phoneticPr fontId="3"/>
  </si>
  <si>
    <t>AI最新技術の活用例 (1, 5, 10)</t>
    <phoneticPr fontId="3"/>
  </si>
  <si>
    <t>計算機の処理性能の向上 (7)</t>
    <phoneticPr fontId="3"/>
  </si>
  <si>
    <t>（２）「社会で活用されているデータ」や「データの活用領域」は非常に広範囲であって，日常生活や社会の課題を解決する有用なツールになり得るもの
※モデルカリキュラム導入１－２，導入１－３が該当</t>
  </si>
  <si>
    <t>集団と標本などのデータ分析に必要な知識を学び，全数調査と標本調査の違いについても理解する．標本調査において，無作為抽出の重要性についても理解する．受講学生に，自分自身のデータの提供を依頼し，講師が匿名化を適切に行なった上で学生にデータの提供を行い，データ分析を行う演習を行っている．「データサイエンス」授業の後半ではデータ分析を演習として行うが，そのための前処理の演習を行う．この演習を通して，1次データと2次データの違い，データの作成_x0008_の手法，データの前処理の方法などを理解する．学生自身が何らかの仮説を立て，政府統計の総合窓口e-Statを用いて，分析に必要となるデータの探索を行い，そのデータを分析し，仮説検証，知識発見などを行っている．発展した内容として，ビデオ講義「生命科学とデータサイエンス」も受講可能である．</t>
    <rPh sb="151" eb="153">
      <t>ジュギョウ</t>
    </rPh>
    <rPh sb="353" eb="355">
      <t xml:space="preserve">ジュコウ </t>
    </rPh>
    <rPh sb="355" eb="357">
      <t xml:space="preserve">カノウデアル </t>
    </rPh>
    <phoneticPr fontId="3"/>
  </si>
  <si>
    <t>調査データ，実験データ，人の行動ログデータ，機械の稼働ログデータなど (1, 2, 3, 4, 5)</t>
  </si>
  <si>
    <t>1次データ，2次データ，データのメタ化 (2, 3, 4)</t>
  </si>
  <si>
    <t>情報リテラシー（講義）</t>
    <rPh sb="0" eb="2">
      <t>ジョウホウリテ</t>
    </rPh>
    <rPh sb="8" eb="10">
      <t xml:space="preserve">コウギ </t>
    </rPh>
    <phoneticPr fontId="3"/>
  </si>
  <si>
    <t>構造化データ，非構造化データ (6)</t>
  </si>
  <si>
    <t>データ作成 (2, 3, 4)</t>
    <phoneticPr fontId="3"/>
  </si>
  <si>
    <t>データのオープン化（オープンデータ） (3)</t>
    <phoneticPr fontId="3"/>
  </si>
  <si>
    <t>データ・AI活用領域の広がり (2, 3, 4)</t>
    <phoneticPr fontId="3"/>
  </si>
  <si>
    <t>仮説検証，知識発見，原因究明，計画策定，判断支援など (1, 6, 7, 8, 9, 10)</t>
  </si>
  <si>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</si>
  <si>
    <t>筑波大学教員によるビデオ講義により，情報学を始め，医療などの様々な分野のデータサイエンスの活用事例に関して学ぶ．具体的には，講義の初期段階で，ビデオ講義「ヒューマンインタラクション」「デジタル・ヒューマニティーズ—人文学と情報学の接点が導く新たな知識の世界」「臨床医学・社会医学とデータサイエンスーヘルスサービスリサーチの視点から」「セシウム137全球データベースおよび環境放射能データの検索と公開サイト」「データサイエンスと社会科学」を選択的に学ぶ．データ分析のサイクルについて学び，目的設定，分析計画，データ設計，データ収集などから構成されることを理解する．仮説の設定からはじめ，データの収集，分析，可視化，考察というサイクルを演習時に実際に行うことにより，理論だけでなく，実際の運用に関して理解する．さらに学生自身から収集したデータを分析することにより，実社会への応用に向けた準備を行っている．</t>
    <phoneticPr fontId="3"/>
  </si>
  <si>
    <t>データ解析：予測，パターン発見，最適化，シミュレーションなど (1, 6, 7, 8, 9, 10)</t>
  </si>
  <si>
    <t>データ可視化：複合グラフ，2軸グラフ，多次元の可視化，関係性の可視化など (6, 7, 8, 9)</t>
  </si>
  <si>
    <t>特化型AIと汎用AI，今のAIで出来ることと出来ないこと，AIとビッグデータ (10)</t>
  </si>
  <si>
    <t>認識技術，自動化技術 (10)</t>
  </si>
  <si>
    <t>データサイエンスのサイクル (9)</t>
    <phoneticPr fontId="3"/>
  </si>
  <si>
    <t>サービス，インフラ，公共，ヘルスケア等におけるデータ・AI利活用事例紹介 (1, 5, 10)</t>
  </si>
  <si>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</si>
  <si>
    <t>我々の生活で必須となる情報セキュリティ技術について学ぶ．適切にパスワードを設定することの重要性をはじめとして，SSL/TLSなどに使われている暗号技術について学ぶ．スパムメール，マルウェア，フィッシング詐欺，DDoS攻撃などの社会問題となっている攻撃に関しても理解を深め，インターネット利用に潜む危険性，特に，情報漏洩の危険性について理解し，安全に使用するための方法を学ぶ．個人情報保護法，EUの一般データ保護規則GDPR，研究倫理，データ倫理などの倫理的，法的，社会問題についても学び，データの活用における取扱いの重要性を理解する．収集したデータを安全に利活用する際に必要となる仮名技術，匿名技術についても学ぶ．ビデオ講義「人工知能における倫理的，法的，社会的問題」により，人工知能を活用する上で必要となる問題についても学ぶ．</t>
    <phoneticPr fontId="3"/>
  </si>
  <si>
    <t>ELSI（Ethical, Legal and Social Issues） (1)</t>
    <phoneticPr fontId="3"/>
  </si>
  <si>
    <t>個人情報保護，EU一般データ保護規則(GDPR)，忘れられる権利，オプトアウト (2)</t>
  </si>
  <si>
    <t>データ倫理：データのねつ造，改ざん，プライバシー保護 (2)</t>
  </si>
  <si>
    <t>AI社会原則（公平性，説明責任，透明性，人間中心の判断） (1)</t>
    <phoneticPr fontId="3"/>
  </si>
  <si>
    <t>データバイアス，アルゴリズムバイアス (1, 2)</t>
  </si>
  <si>
    <t>AIサービスの責任論 (1)</t>
    <phoneticPr fontId="3"/>
  </si>
  <si>
    <t>盗用(3)</t>
    <rPh sb="0" eb="2">
      <t xml:space="preserve">トウヨウ </t>
    </rPh>
    <phoneticPr fontId="3"/>
  </si>
  <si>
    <t>情報セキュリティ：機密性，完全性，可用性 (3)</t>
  </si>
  <si>
    <t>匿名加工情報，暗号化，パスワード，悪意ある情報搾取 (3)</t>
  </si>
  <si>
    <t>情報漏洩等によるセキュリティ事故の事例紹介 (3)</t>
    <phoneticPr fontId="3"/>
  </si>
  <si>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</si>
  <si>
    <t>質的変数，量的変数などデータの種類について学んだ上で，視覚属性とグラフの選び方の総論を学び，ヒストグラム，散布図，折れ線グラフなどの様々なデータの可視化手法を学ぶ．不適切な可視化の例について学び，自身で可視化を行う際の参考とする．質的データに関して，度数分布表の作成と視覚化の方法を学ぶ，クロス集計表やオッズ比について理解する．量的データに関して，ヒストグラムの作成法を学んだ上で，平均値，中央値，最頻値の違いを理解し，さらに分散，標準偏差などの記述統計量を学ぶ．二つのデータの間の相関係数の計算法やその解釈方法，移動平均や指数化などの時系列データの可視化手法を学ぶ．二つのデータの間の関係について学び，相関関係と因果関係の違いなどを理解する．特に，疑似相関や逆の相関，偶然の一致などの実社会で考慮すべき事柄について理解する．ビデオ講義「仮説検定入門」により，いつでも反復学習が可能である．</t>
    <rPh sb="384" eb="386">
      <t>ハンプク</t>
    </rPh>
    <phoneticPr fontId="3"/>
  </si>
  <si>
    <t>データの種類（量的変数，質的変数） (2)</t>
  </si>
  <si>
    <t>データの分布(ヒストグラム)と代表値（平均値，中央値，最頻値） (6, 7)</t>
  </si>
  <si>
    <t>代表値の性質の違い（実社会では平均値＝最頻値でないことが多い） (7)</t>
    <phoneticPr fontId="3"/>
  </si>
  <si>
    <t>データのばらつき（分散，標準偏差，偏差値） (1, 7)</t>
  </si>
  <si>
    <t>観測データに含まれる誤差の扱い (1, 3)</t>
    <phoneticPr fontId="3"/>
  </si>
  <si>
    <t>打ち切りや脱落を含むデータ，層別の必要なデータ (1, 3)</t>
  </si>
  <si>
    <t>相関と因果（相関係数，擬似相関，交絡） (1, 8, 9)</t>
  </si>
  <si>
    <t>母集団と標本抽出（国勢調査，アンケート調査，全数調査，単純無作為抽出） (1, 2)</t>
  </si>
  <si>
    <t>クロス集計表，分割表，相関係数行列，散布図行列 (6, 8)</t>
    <phoneticPr fontId="3"/>
  </si>
  <si>
    <t>統計情報の正しい理解（誇張表現に惑わされない） (6)</t>
    <phoneticPr fontId="3"/>
  </si>
  <si>
    <t>データ表現（棒グラフ，折線グラフ，散布図） (6, 7, 8, 9)</t>
  </si>
  <si>
    <t>データの図表表現（チャート化） (6)</t>
    <phoneticPr fontId="3"/>
  </si>
  <si>
    <t>データの比較（条件をそろえた比較)(7)</t>
    <phoneticPr fontId="3"/>
  </si>
  <si>
    <r>
      <t>不適切なグラフ表現（</t>
    </r>
    <r>
      <rPr>
        <sz val="12"/>
        <color theme="1"/>
        <rFont val="ＭＳ Ｐゴシック"/>
        <family val="2"/>
        <charset val="128"/>
        <scheme val="minor"/>
      </rPr>
      <t>不必要な視覚的要素） (6)</t>
    </r>
    <phoneticPr fontId="3"/>
  </si>
  <si>
    <t>優れた可視化事例の紹介（可視化することによって新たな気づきがあった事例など）(9)</t>
    <phoneticPr fontId="3"/>
  </si>
  <si>
    <t>データの集計，データの並び替え，ランキング，データ解析ツール (2-9)</t>
    <phoneticPr fontId="3"/>
  </si>
  <si>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3"/>
  </si>
  <si>
    <t>統計及び数理基礎</t>
    <rPh sb="0" eb="2">
      <t>トウケイ</t>
    </rPh>
    <rPh sb="2" eb="3">
      <t>オヨ</t>
    </rPh>
    <rPh sb="4" eb="6">
      <t>スウリ</t>
    </rPh>
    <rPh sb="6" eb="8">
      <t>キソ</t>
    </rPh>
    <phoneticPr fontId="3"/>
  </si>
  <si>
    <t>アルゴリズム基礎</t>
    <rPh sb="6" eb="8">
      <t>キソ</t>
    </rPh>
    <phoneticPr fontId="3"/>
  </si>
  <si>
    <t>データ構造とプログラミング基礎</t>
    <rPh sb="3" eb="5">
      <t>コウゾウ</t>
    </rPh>
    <rPh sb="13" eb="15">
      <t>キソ</t>
    </rPh>
    <phoneticPr fontId="3"/>
  </si>
  <si>
    <t>時系列データ解析</t>
    <rPh sb="0" eb="3">
      <t>ジケイレツ</t>
    </rPh>
    <rPh sb="6" eb="8">
      <t>カイセキ</t>
    </rPh>
    <phoneticPr fontId="3"/>
  </si>
  <si>
    <t>テキスト解析</t>
    <rPh sb="4" eb="6">
      <t>カイセキ</t>
    </rPh>
    <phoneticPr fontId="3"/>
  </si>
  <si>
    <t>画像解析</t>
    <rPh sb="0" eb="2">
      <t>ガゾウ</t>
    </rPh>
    <rPh sb="2" eb="4">
      <t>カイセキ</t>
    </rPh>
    <phoneticPr fontId="3"/>
  </si>
  <si>
    <t>データハンドリング</t>
    <phoneticPr fontId="3"/>
  </si>
  <si>
    <t>データ活用実践（教師あり学習）</t>
    <rPh sb="3" eb="5">
      <t>カツヨウ</t>
    </rPh>
    <rPh sb="5" eb="7">
      <t>ジッセン</t>
    </rPh>
    <rPh sb="8" eb="10">
      <t>キョウシ</t>
    </rPh>
    <rPh sb="12" eb="14">
      <t>ガクシュウ</t>
    </rPh>
    <phoneticPr fontId="3"/>
  </si>
  <si>
    <t>その他</t>
    <rPh sb="2" eb="3">
      <t>タ</t>
    </rPh>
    <phoneticPr fontId="3"/>
  </si>
  <si>
    <t>プログラムの授業内容等を公表しているアドレス</t>
    <rPh sb="6" eb="8">
      <t>ジュギョウ</t>
    </rPh>
    <rPh sb="8" eb="10">
      <t>ナイヨウ</t>
    </rPh>
    <rPh sb="10" eb="11">
      <t>トウ</t>
    </rPh>
    <rPh sb="12" eb="14">
      <t>コウヒョウ</t>
    </rPh>
    <phoneticPr fontId="3"/>
  </si>
  <si>
    <t>https://www.dsp.cs.tsukuba.ac.jp</t>
    <phoneticPr fontId="3"/>
  </si>
  <si>
    <t>プログラムの学修成果（学生等が身に付けられる能力等）</t>
  </si>
  <si>
    <r>
      <t>データの利活用に関する講義および演習を通して，分析の目標設定，データの収集，前処理，分析，分析結果のフィードバックという，一連のデータサイエンスにおける</t>
    </r>
    <r>
      <rPr>
        <sz val="12"/>
        <color theme="1"/>
        <rFont val="ＭＳ Ｐゴシック"/>
        <family val="2"/>
        <charset val="128"/>
        <scheme val="minor"/>
      </rPr>
      <t>サイクルを一通り体験する．これにより，社会における諸問題を主体的に分析し，より良い社会の実現に向けた改善する能力を身につけることが可能である．AIに関する講義を通して，AI前提の社会で行く抜くために必須の知識を得る．</t>
    </r>
    <phoneticPr fontId="3"/>
  </si>
  <si>
    <t>様式５</t>
    <rPh sb="0" eb="2">
      <t>ヨウシキ</t>
    </rPh>
    <phoneticPr fontId="3"/>
  </si>
  <si>
    <t>学校名</t>
    <rPh sb="0" eb="3">
      <t>ガッコウメイ</t>
    </rPh>
    <phoneticPr fontId="3"/>
  </si>
  <si>
    <t>：</t>
    <phoneticPr fontId="3"/>
  </si>
  <si>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3"/>
  </si>
  <si>
    <t>プログラムを改善・進化させるための体制を定める規則名称</t>
    <phoneticPr fontId="3"/>
  </si>
  <si>
    <t>学群共通科目部会に置く専門部会の設置取扱いについて</t>
    <phoneticPr fontId="3"/>
  </si>
  <si>
    <t>体制の目的</t>
    <rPh sb="0" eb="2">
      <t>タイセイ</t>
    </rPh>
    <rPh sb="3" eb="5">
      <t>モクテキ</t>
    </rPh>
    <phoneticPr fontId="3"/>
  </si>
  <si>
    <t>共通科目「情報」の企画，充実及び編成並びに固定時間割の作成に関することを調査審議
するため，「情報」専門部会(以下「専門部会」という．)を設置．
専門部会は，共通科目「情報」に関し，次に掲げる事項について調査審議を行う．
(1) 翌年度の情報教育の基本方針に関すること．
(2) 翌年度のカリキュラム編成及びシラバスに関すること．
(3) 全学計算機システムに関すること．
(4) 授業の実施方法の改善に関すること．
(5) その他情報教育に関すること．
専門部会に「情報」推進室(以下「推進室」という．)を設置し，専門部会で決定した基本方針等に
基づき，推進室においてカリキュラムの策定と実施等を行う．</t>
    <rPh sb="69" eb="71">
      <t>セッチ</t>
    </rPh>
    <rPh sb="107" eb="108">
      <t>オコナ</t>
    </rPh>
    <phoneticPr fontId="3"/>
  </si>
  <si>
    <t>具体的な構成員</t>
    <rPh sb="0" eb="3">
      <t>グタイテキ</t>
    </rPh>
    <rPh sb="4" eb="7">
      <t>コウセイイン</t>
    </rPh>
    <phoneticPr fontId="3"/>
  </si>
  <si>
    <t>共通科目「情報」専門部会
部会長　　佐久間 淳 教授　システム情報系　（情報学群）
副部会長　三末 和男 教授　システム情報系　（情報学群）
委員　　　伊藤 誠 教授   　システム情報系（情報学群情報科学類長）
委員　　　和氣 愛仁 准教授　人文社会系（人文・文化学群）
委員　　　亀山 啓輔 教授　システム情報系（社会・国際学群）
委員　　　登藤 直弥 助教　人間系（人間学群）
委員　　　伊藤 希 講師　生命環境系（生命環境学群）
委員　　　武内 勇司 准教授　数理物質系（理工学群）
委員　　　中井 央 准教授　図書館情報メディア系（情報学群）
委員　　　浅野 美礼 准教授　医学医療系（医学群）
委員　　　古川 拓生 准教授　体育系（体育専門学群）
委員　　　宮坂 慎司 助教　芸術系（芸術専門学群）
委員　　　中井 央 准教授　図書館情報メディア系（学術情報メディアセンター）
委員　　　松井 圭介 教授　生命環境系（総合学域群）
共通科目「情報」推進室
佐久間 淳　 　　　　　　　　　　　　　システム情報系　教授  　 （情報学群）　
國廣 昇　　　　　　　　　　　　　　　　システム情報系　教授　　 （情報学群）　
滝沢 穂高　 　　　　　　　　　　　　　システム情報系　教授　   （情報学群）　
三末 和男  　　 　　　　　　　　　　　システム情報系　教授　   （情報学群）　
三谷 純      　　　　　　　　　　　　　システム情報系　教授　   （情報学群）　
五十嵐 康彦　　　　　　　　　　　　　システム情報系　准教授　（情報学群）
乾 孝司　　　　　　　　　　　　　　　　システム情報系　准教授　（情報学群）
今倉 暁　　　　　　　　　　　　　　　　システム情報系　准教授　（情報学群）
海野 広志　　　　　　　　　　　　　　 システム情報系　准教授　（情報学群）
岡 瑞起　　　　　　　　　　　　　　　　システム情報系　准教授　（情報学群）
平田 祥人　　　　　　　　　　　　　　 システム情報系　准教授　（情報学群）
山口 佳樹　　　　　　　　　　　　　　 システム情報系　准教授　（情報学群）　
青砥 隆仁　　　　　　　　　　　　　　 システム情報系　助教     （情報学群）
遠藤 結城　　　　　　　　　　　　　　 システム情報系　助教     （情報学群）
VASILACHE SIMONA MIRELA　  システム情報系　助教     （情報学群）
金澤 健治　　　　　　　　　　　　　　 システム情報系　助教     （情報学群）
川口 一画　　　                        システム情報系　助教     （情報学群）
津川 翔　　　　　                       システム情報系　助教     （情報学群）
福地 一斗　　　　                      システム情報系　助教     （情報学群）</t>
    <rPh sb="0" eb="4">
      <t xml:space="preserve">キョウツウカモク </t>
    </rPh>
    <rPh sb="5" eb="7">
      <t xml:space="preserve">ジョウホウ </t>
    </rPh>
    <rPh sb="8" eb="12">
      <t xml:space="preserve">センモンブカイ </t>
    </rPh>
    <rPh sb="12" eb="16">
      <t xml:space="preserve">キョウツウカモク </t>
    </rPh>
    <rPh sb="17" eb="19">
      <t xml:space="preserve">ジョウホウ </t>
    </rPh>
    <rPh sb="20" eb="23">
      <t xml:space="preserve">スイシンシツ </t>
    </rPh>
    <phoneticPr fontId="3"/>
  </si>
  <si>
    <t>履修者数・履修率の向上に向けた計画</t>
    <rPh sb="5" eb="7">
      <t>リシュウ</t>
    </rPh>
    <rPh sb="7" eb="8">
      <t>リツ</t>
    </rPh>
    <phoneticPr fontId="3"/>
  </si>
  <si>
    <t>本学では「情報リテラシー（講義）」および「データサイエンス」で構成される「数理・データサイエンス」科目」は令和元年度から全学必修の授業となっている．
令和元年度からの開講であることから, 様式3における履修率（履修者数/収容定員数）としては現時点で「情報リテラシー（講義）」が50％, 「データサイエンス」が50％となっているものの, 令和元年度以降入学の学生は全員履修することとなっているため, 令和元年度入学の医学群医学類（標準履修年限が6年）の学生が最終年次になる令和6年度以降は, 履修率はほぼ100％に近い高い水準になる見込みである。</t>
    <rPh sb="31" eb="33">
      <t>コウセイ</t>
    </rPh>
    <rPh sb="53" eb="55">
      <t>レイワ</t>
    </rPh>
    <rPh sb="55" eb="57">
      <t>ガンネン</t>
    </rPh>
    <rPh sb="57" eb="58">
      <t>ド</t>
    </rPh>
    <rPh sb="95" eb="97">
      <t>ヨウシキ</t>
    </rPh>
    <rPh sb="106" eb="108">
      <t>リシュウ</t>
    </rPh>
    <rPh sb="108" eb="109">
      <t>シャ</t>
    </rPh>
    <rPh sb="109" eb="110">
      <t>スウ</t>
    </rPh>
    <rPh sb="111" eb="113">
      <t>シュウヨウ</t>
    </rPh>
    <rPh sb="113" eb="115">
      <t>テイイン</t>
    </rPh>
    <rPh sb="115" eb="116">
      <t>スウ</t>
    </rPh>
    <rPh sb="121" eb="124">
      <t>ゲンジテン</t>
    </rPh>
    <rPh sb="169" eb="171">
      <t>レイワ</t>
    </rPh>
    <rPh sb="171" eb="172">
      <t>ガン</t>
    </rPh>
    <rPh sb="172" eb="174">
      <t>ネンド</t>
    </rPh>
    <rPh sb="174" eb="176">
      <t>イコウ</t>
    </rPh>
    <rPh sb="176" eb="178">
      <t>ニュウガク</t>
    </rPh>
    <rPh sb="179" eb="181">
      <t>ガクセイ</t>
    </rPh>
    <rPh sb="182" eb="184">
      <t>ゼンイン</t>
    </rPh>
    <rPh sb="200" eb="202">
      <t>レイワ</t>
    </rPh>
    <rPh sb="202" eb="203">
      <t>ガン</t>
    </rPh>
    <rPh sb="203" eb="205">
      <t>ネンド</t>
    </rPh>
    <rPh sb="205" eb="207">
      <t>ニュウガク</t>
    </rPh>
    <rPh sb="211" eb="213">
      <t>イガク</t>
    </rPh>
    <rPh sb="213" eb="214">
      <t>ルイ</t>
    </rPh>
    <rPh sb="226" eb="228">
      <t>ガクセイ</t>
    </rPh>
    <rPh sb="229" eb="231">
      <t>サイシュウ</t>
    </rPh>
    <rPh sb="231" eb="233">
      <t>ネンジ</t>
    </rPh>
    <rPh sb="236" eb="238">
      <t>レイワ</t>
    </rPh>
    <rPh sb="239" eb="241">
      <t>ネンド</t>
    </rPh>
    <rPh sb="241" eb="243">
      <t>イコウ</t>
    </rPh>
    <rPh sb="246" eb="248">
      <t>リシュウ</t>
    </rPh>
    <rPh sb="248" eb="249">
      <t>リツ</t>
    </rPh>
    <rPh sb="257" eb="258">
      <t>チカ</t>
    </rPh>
    <rPh sb="259" eb="260">
      <t>タカ</t>
    </rPh>
    <rPh sb="261" eb="263">
      <t>スイジュン</t>
    </rPh>
    <rPh sb="266" eb="268">
      <t>ミコ</t>
    </rPh>
    <phoneticPr fontId="3"/>
  </si>
  <si>
    <t>学部・学科に関係なく希望する学生全員が受講可能となるような必要な体制・取組等</t>
    <rPh sb="29" eb="31">
      <t>ヒツヨウ</t>
    </rPh>
    <rPh sb="32" eb="34">
      <t>タイセイ</t>
    </rPh>
    <rPh sb="35" eb="37">
      <t>トリクミ</t>
    </rPh>
    <rPh sb="37" eb="38">
      <t>トウ</t>
    </rPh>
    <phoneticPr fontId="3"/>
  </si>
  <si>
    <t>情報リテラシー（講義）およびデータサイエンスは，全学１年次必修科目である．全学学生が履修できるように，情報リテラシー（講義）は27クラスの日本語科目及び１クラスの英語科目，データサイエンスは50クラス分の日本語科目及び1クラス分の英語科目を開講している．データサイエンスにおいては，受講者の属性に合わせた学習難易度となるよう，三段階の難易度のモデルカルキュラムを準備し，理学・工学分野から非理工系分野まで，全ての学士課程に対応可能で社会のニーズに合致する教材を作成している．さらに，全履修学生を対象とした教育効果測定や履修者アンケート，講師を対象としたアンケート，授業担当教員からの教材フィードバックの結果を教材設計に活用し，データサイエンスに馴染みがない学生，より高度な学習を望む学生など，様々な分野の学生に対応できるような教材となるよう工夫している．</t>
    <rPh sb="0" eb="2">
      <t xml:space="preserve">ジョウホウリテラシー </t>
    </rPh>
    <rPh sb="8" eb="10">
      <t xml:space="preserve">コウギ </t>
    </rPh>
    <rPh sb="27" eb="29">
      <t>ネn</t>
    </rPh>
    <rPh sb="37" eb="39">
      <t xml:space="preserve">ゼンガク </t>
    </rPh>
    <rPh sb="39" eb="41">
      <t xml:space="preserve">ガクセイ </t>
    </rPh>
    <rPh sb="42" eb="44">
      <t xml:space="preserve">リシュウ </t>
    </rPh>
    <rPh sb="69" eb="72">
      <t xml:space="preserve">ニホンゴ </t>
    </rPh>
    <rPh sb="72" eb="74">
      <t xml:space="preserve">カモク </t>
    </rPh>
    <rPh sb="74" eb="75">
      <t xml:space="preserve">オヨビ </t>
    </rPh>
    <rPh sb="81" eb="83">
      <t xml:space="preserve">エイゴ </t>
    </rPh>
    <rPh sb="83" eb="85">
      <t xml:space="preserve">カモク </t>
    </rPh>
    <rPh sb="105" eb="107">
      <t xml:space="preserve">カモク </t>
    </rPh>
    <rPh sb="241" eb="246">
      <t xml:space="preserve">ゼンリシュウガクセイ </t>
    </rPh>
    <rPh sb="259" eb="262">
      <t xml:space="preserve">リシュウシャアンケート </t>
    </rPh>
    <rPh sb="268" eb="270">
      <t xml:space="preserve">コウシヲ </t>
    </rPh>
    <rPh sb="271" eb="273">
      <t xml:space="preserve">タイショウトシタ </t>
    </rPh>
    <rPh sb="283" eb="284">
      <t xml:space="preserve">オコナイ </t>
    </rPh>
    <rPh sb="288" eb="290">
      <t xml:space="preserve">ブンセキ </t>
    </rPh>
    <rPh sb="293" eb="297">
      <t xml:space="preserve">キョウザイセッケイニ </t>
    </rPh>
    <rPh sb="298" eb="300">
      <t xml:space="preserve">カツヨウシ </t>
    </rPh>
    <rPh sb="301" eb="303">
      <t xml:space="preserve">ケッカヲ </t>
    </rPh>
    <phoneticPr fontId="3"/>
  </si>
  <si>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3"/>
  </si>
  <si>
    <t>本学では情報リテラシー（講義）およびデータサイエンスから構成される「数理・データサイエンス」科目は全学必修科目である．両科目ともにシラバスがweb公開されており受講者が内容を把握できる．本学では従来の学部と異なる「学群・学類」を置き，学生の教育のための組織と教員の研究のための組織を分離した体制のもとで学士課程の教育を実施してきており，この教育システムにより一つの組織内で閉じることなく，教育の必要性に応じて全学から担当教員を配置することを可能としている．
「数理・データサイエンス」科目においても，科目設置の狙い及び目標である学群スタンダード(https://www.tsukuba.ac.jp/education/policy-tstandard/ugstandard/pdf/ug_00-1.pdf　)が公開されており，本学が保証する教育の質を広く社会に公表する仕組みが確立されている．</t>
  </si>
  <si>
    <t>できる限り多くの学生が履修・修得できるようなサポート体制</t>
    <rPh sb="26" eb="28">
      <t>タイセイ</t>
    </rPh>
    <phoneticPr fontId="3"/>
  </si>
  <si>
    <t>本学では「数理・データサイエンス」科目は全１年次生必修科目である．
・クラスに応じた授業内容調整の工夫
データの収集，管理，分析といった幅広い教育内容を一貫して教育する講義と，実際のデータに触れさせる演習を中心としたカリキュラムにより，学生がより実践的に学べる授業を実施している．また教育効果測定結果を学類別に分析し，授業担当教員から教材のフィードバックを収集することで，様々な分野の学生に対応できる三段階の標準教材を準備している．
・TAを用いた理解促進のサポート体制
授業の実習時間やオフィスアワーにTAを導入し，学生の理解促進のサポートを行っている．
・LMSシステムmanabaを用いた教育管理
昨年度のオンデマンド型の授業実施に伴う動画教材の作成や，TAを活用したリモート環境における演習支援，クラウド型教育支援サービスを利用した授業支援と達成度の可視化などの教育管理を実施している．</t>
    <rPh sb="85" eb="87">
      <t>コウギ</t>
    </rPh>
    <rPh sb="119" eb="121">
      <t>ガクセイ</t>
    </rPh>
    <rPh sb="126" eb="127">
      <t>テキ</t>
    </rPh>
    <rPh sb="128" eb="129">
      <t>マナベ</t>
    </rPh>
    <rPh sb="131" eb="133">
      <t>ジュギョウ</t>
    </rPh>
    <rPh sb="134" eb="136">
      <t>ジッシ</t>
    </rPh>
    <rPh sb="149" eb="151">
      <t>ケッカ</t>
    </rPh>
    <rPh sb="201" eb="204">
      <t>３ダ</t>
    </rPh>
    <rPh sb="205" eb="207">
      <t>ヒョウジュn</t>
    </rPh>
    <rPh sb="210" eb="212">
      <t>ジュn</t>
    </rPh>
    <rPh sb="388" eb="390">
      <t>キョウイク</t>
    </rPh>
    <rPh sb="390" eb="392">
      <t>カンリ</t>
    </rPh>
    <phoneticPr fontId="3"/>
  </si>
  <si>
    <t>授業時間内外で学習指導，質問を受け付ける具体的な仕組み</t>
    <rPh sb="20" eb="23">
      <t>グタイテキ</t>
    </rPh>
    <phoneticPr fontId="3"/>
  </si>
  <si>
    <t>授業時間においては，授業内容のレベルの調整が，三段階で可能な標準教材を準備し，学生のレベルに応じた学習指導の環境を準備している．また，授業時間外においては，オフィスアワーの時間及び教員の連絡先をシラバスに明記することで学生が質問を気軽に行える環境を整備している．さらに，LMSシステム「manaba」を用いた掲示板形式よる質疑応答により他の人の質問事項及び回答を共有可能にし，円滑な学習指導環境を構築している．
また，新型コロナウィルス感染拡大防止の観点から当該授業も令和2年度はオンデマンド授業に変更となったが，前述のmanabaを利用し授業時間によらない授業動画の配布や質疑応答を円滑に行うことができた．オフィスアワーに関しては，Teamsなどのオンライン会議システムを用いた質疑応答を可能にし，場合によっては画面共有機能を用いた双方の画面を見せ合うことによる円滑な学習指導及び質問受けを実現した．</t>
    <rPh sb="209" eb="211">
      <t>シンガタ</t>
    </rPh>
    <rPh sb="218" eb="220">
      <t>カンセン</t>
    </rPh>
    <rPh sb="220" eb="222">
      <t>カクダイ</t>
    </rPh>
    <rPh sb="222" eb="224">
      <t>ボウシ</t>
    </rPh>
    <rPh sb="225" eb="227">
      <t>カンテン</t>
    </rPh>
    <rPh sb="234" eb="236">
      <t>レイワ</t>
    </rPh>
    <rPh sb="237" eb="239">
      <t>ネンド</t>
    </rPh>
    <phoneticPr fontId="3"/>
  </si>
  <si>
    <t>様式６</t>
    <rPh sb="0" eb="2">
      <t>ヨウシキ</t>
    </rPh>
    <phoneticPr fontId="3"/>
  </si>
  <si>
    <t>学校名：</t>
    <rPh sb="0" eb="3">
      <t>ガッコウメイ</t>
    </rPh>
    <phoneticPr fontId="3"/>
  </si>
  <si>
    <t>自己点検・評価について</t>
    <rPh sb="0" eb="2">
      <t>ジコ</t>
    </rPh>
    <rPh sb="2" eb="4">
      <t>テンケン</t>
    </rPh>
    <rPh sb="5" eb="7">
      <t>ヒョウカ</t>
    </rPh>
    <phoneticPr fontId="3"/>
  </si>
  <si>
    <t>自己点検・評価体制における意見等</t>
    <rPh sb="15" eb="16">
      <t>トウ</t>
    </rPh>
    <phoneticPr fontId="3"/>
  </si>
  <si>
    <t>自己点検・評価の視点</t>
    <rPh sb="0" eb="2">
      <t>ジコ</t>
    </rPh>
    <rPh sb="2" eb="4">
      <t>テンケン</t>
    </rPh>
    <rPh sb="5" eb="7">
      <t>ヒョウカ</t>
    </rPh>
    <rPh sb="8" eb="10">
      <t>シテン</t>
    </rPh>
    <phoneticPr fontId="3"/>
  </si>
  <si>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3"/>
  </si>
  <si>
    <t>学内からの視点</t>
    <rPh sb="0" eb="2">
      <t>ガクナイ</t>
    </rPh>
    <rPh sb="5" eb="7">
      <t>シテン</t>
    </rPh>
    <phoneticPr fontId="3"/>
  </si>
  <si>
    <t>プログラムの履修・修得状況</t>
    <rPh sb="6" eb="8">
      <t>リシュウ</t>
    </rPh>
    <rPh sb="9" eb="11">
      <t>シュウトク</t>
    </rPh>
    <rPh sb="11" eb="13">
      <t>ジョウキョウ</t>
    </rPh>
    <phoneticPr fontId="3"/>
  </si>
  <si>
    <t>令和元年度より，本申請の教育プログラムは全学必修科目のみで構成されており，卒業までに全学群生が履修・修得する．</t>
    <rPh sb="0" eb="2">
      <t xml:space="preserve">レイワガンネンド </t>
    </rPh>
    <rPh sb="2" eb="5">
      <t xml:space="preserve">ガンネンド </t>
    </rPh>
    <rPh sb="8" eb="11">
      <t xml:space="preserve">ホンシンセイ </t>
    </rPh>
    <rPh sb="12" eb="14">
      <t xml:space="preserve">キョウイクプログラム </t>
    </rPh>
    <rPh sb="20" eb="22">
      <t xml:space="preserve">ゼンガク </t>
    </rPh>
    <rPh sb="22" eb="24">
      <t xml:space="preserve">ヒッシュウ </t>
    </rPh>
    <rPh sb="24" eb="26">
      <t xml:space="preserve">カモク </t>
    </rPh>
    <rPh sb="29" eb="31">
      <t xml:space="preserve">コウセイ </t>
    </rPh>
    <rPh sb="37" eb="39">
      <t>ソツギョウ</t>
    </rPh>
    <rPh sb="42" eb="43">
      <t>ゼン</t>
    </rPh>
    <rPh sb="43" eb="45">
      <t>ガクグン</t>
    </rPh>
    <rPh sb="45" eb="46">
      <t>セイ</t>
    </rPh>
    <rPh sb="47" eb="49">
      <t>リシュウ</t>
    </rPh>
    <rPh sb="50" eb="52">
      <t>シュウトク</t>
    </rPh>
    <phoneticPr fontId="3"/>
  </si>
  <si>
    <t>学修成果</t>
    <rPh sb="0" eb="2">
      <t>ガクシュウ</t>
    </rPh>
    <rPh sb="2" eb="4">
      <t>セイカ</t>
    </rPh>
    <phoneticPr fontId="3"/>
  </si>
  <si>
    <t>・共通科目「情報」推進室：
教育効果測定と授業評価アンケートを実施し，その結果を元に学生の学習動機や学修成果を把握し，FD活動に活用
・共通科目「情報」専門部会：
シラバス，利用教材，授業評価アンケート結果等から学生の学習動機や学修成果を把握し本プログラムが目指す基本方針を継続的に検討
・懇談会（全担当講師および関連する教育組織の長が参加）：
教育効果測定やアンケートを共有し効果的な授業方法や成績評価の様態について情報共有及び議論を実施
・数理・データサイエンス教育強化拠点コンソーシアムの拠点大学と連携し，教育効果測定の分析結果を含む本校の取り組みについて講演を行い，学修成果について議論</t>
    <rPh sb="1" eb="2">
      <t xml:space="preserve">ホンプログラムノ </t>
    </rPh>
    <rPh sb="8" eb="9">
      <t xml:space="preserve">ナカデ </t>
    </rPh>
    <rPh sb="11" eb="12">
      <t xml:space="preserve">トクニ </t>
    </rPh>
    <rPh sb="13" eb="17">
      <t xml:space="preserve">キョウツウカモク </t>
    </rPh>
    <rPh sb="18" eb="20">
      <t xml:space="preserve">ジョウホウ </t>
    </rPh>
    <rPh sb="20" eb="24">
      <t xml:space="preserve">ジョウホウガクグン </t>
    </rPh>
    <rPh sb="27" eb="29">
      <t xml:space="preserve">スイシンニ </t>
    </rPh>
    <rPh sb="44" eb="45">
      <t xml:space="preserve">サンカ </t>
    </rPh>
    <rPh sb="53" eb="55">
      <t xml:space="preserve">タイショウ </t>
    </rPh>
    <rPh sb="67" eb="71">
      <t xml:space="preserve">ジュギョウヒョウカ </t>
    </rPh>
    <rPh sb="74" eb="76">
      <t xml:space="preserve">ガクセイ </t>
    </rPh>
    <rPh sb="88" eb="90">
      <t xml:space="preserve">ケッカヲ </t>
    </rPh>
    <rPh sb="94" eb="96">
      <t xml:space="preserve">ガクセイ </t>
    </rPh>
    <rPh sb="97" eb="101">
      <t xml:space="preserve">ガクシュウドウキ </t>
    </rPh>
    <rPh sb="107" eb="110">
      <t xml:space="preserve">テイキテキニ </t>
    </rPh>
    <rPh sb="111" eb="113">
      <t xml:space="preserve">ハアクシ </t>
    </rPh>
    <rPh sb="114" eb="116">
      <t>ガクシュウ</t>
    </rPh>
    <rPh sb="120" eb="121">
      <t xml:space="preserve">ハジメトスル </t>
    </rPh>
    <rPh sb="127" eb="129">
      <t xml:space="preserve">カツドウ </t>
    </rPh>
    <rPh sb="130" eb="132">
      <t xml:space="preserve">カツヨウ </t>
    </rPh>
    <rPh sb="137" eb="141">
      <t xml:space="preserve">キョウツウカモク </t>
    </rPh>
    <rPh sb="142" eb="144">
      <t xml:space="preserve">ジョウホウ </t>
    </rPh>
    <rPh sb="145" eb="154">
      <t xml:space="preserve">センモンブカイ </t>
    </rPh>
    <rPh sb="162" eb="166">
      <t xml:space="preserve">キホンホウシンヲ </t>
    </rPh>
    <rPh sb="170" eb="172">
      <t xml:space="preserve">ケントウスル </t>
    </rPh>
    <rPh sb="182" eb="184">
      <t xml:space="preserve">センシュツ </t>
    </rPh>
    <rPh sb="187" eb="192">
      <t xml:space="preserve">キョウインガ </t>
    </rPh>
    <rPh sb="198" eb="200">
      <t xml:space="preserve">リヨウ </t>
    </rPh>
    <rPh sb="200" eb="202">
      <t xml:space="preserve">キョウザイ </t>
    </rPh>
    <rPh sb="207" eb="211">
      <t xml:space="preserve">ジュギョウヒョウカ </t>
    </rPh>
    <rPh sb="217" eb="218">
      <t xml:space="preserve">トウ </t>
    </rPh>
    <rPh sb="239" eb="240">
      <t xml:space="preserve">ホンプログラム </t>
    </rPh>
    <rPh sb="246" eb="248">
      <t xml:space="preserve">メザス </t>
    </rPh>
    <rPh sb="249" eb="253">
      <t xml:space="preserve">キホンホウシンヲ </t>
    </rPh>
    <rPh sb="258" eb="260">
      <t xml:space="preserve">ケントウシ </t>
    </rPh>
    <rPh sb="265" eb="268">
      <t xml:space="preserve">ホウコウセイヲ </t>
    </rPh>
    <rPh sb="269" eb="271">
      <t xml:space="preserve">ケントウノウエ </t>
    </rPh>
    <rPh sb="272" eb="274">
      <t xml:space="preserve">ギロンｓｈ </t>
    </rPh>
    <rPh sb="287" eb="289">
      <t xml:space="preserve">ケッカヲ ゼンタントウｋジョウシ コウシ カンレンスル キョウイクソシキノ チョウ サンカスル キョウユウシ コウカテキナ ジュギョウホウヨウ ホウホウ セイセキヒョウカ ジッシ ジョウホウキョウユウオヨビ ケイゾク キョウイクコウカソクテイ ケッカ ホンコウノトリクムニツイテ コウエン オコナイ ブンセキ </t>
    </rPh>
    <phoneticPr fontId="3"/>
  </si>
  <si>
    <t>学生アンケート等を通じた学生の内容の理解度</t>
    <rPh sb="0" eb="2">
      <t>ガクセイ</t>
    </rPh>
    <rPh sb="7" eb="8">
      <t>トウ</t>
    </rPh>
    <rPh sb="9" eb="10">
      <t>ツウ</t>
    </rPh>
    <rPh sb="12" eb="14">
      <t>ガクセイ</t>
    </rPh>
    <rPh sb="15" eb="17">
      <t>ナイヨウ</t>
    </rPh>
    <rPh sb="18" eb="21">
      <t>リカイド</t>
    </rPh>
    <phoneticPr fontId="3"/>
  </si>
  <si>
    <t>・授業評価アンケートを継続的に実施し，学生の授業内容の理解度を把握する取り組みを続けている．
・本プログラムでは学生のデータサイエンスの主観的理解度および客観的理解度を測定することを目的とした教育効果測定を行っている．授業初回において，主観的理解度調査，および第九回において主観的理解度および客観的理解度を調査し，教材改善に活用している．
・学生アンケートおよび教育効果測定の結果は，「情報」推進室が統計分析を行ったうえで取りまとめ，「情報」専門部会，懇談会，数理・データサイエンス教育強化拠点コンソーシアムのブロック会議やワークショップを通じて，FD活動に活用されている．</t>
    <rPh sb="1" eb="3">
      <t xml:space="preserve">ホンコウ </t>
    </rPh>
    <rPh sb="21" eb="23">
      <t xml:space="preserve">ジュギョウ </t>
    </rPh>
    <rPh sb="27" eb="28">
      <t xml:space="preserve">ツウジテ </t>
    </rPh>
    <rPh sb="30" eb="32">
      <t xml:space="preserve">ガクセイノリヨウヲ </t>
    </rPh>
    <rPh sb="33" eb="35">
      <t xml:space="preserve">ナイヨウ </t>
    </rPh>
    <rPh sb="36" eb="39">
      <t xml:space="preserve">リカイドヲ </t>
    </rPh>
    <rPh sb="40" eb="42">
      <t xml:space="preserve">ハアクスルトリクミヲ </t>
    </rPh>
    <rPh sb="50" eb="52">
      <t xml:space="preserve">ナガネン </t>
    </rPh>
    <rPh sb="52" eb="53">
      <t xml:space="preserve">ツヅケテオリ </t>
    </rPh>
    <rPh sb="58" eb="59">
      <t xml:space="preserve">ホンキョウイクプログラム </t>
    </rPh>
    <rPh sb="65" eb="66">
      <t xml:space="preserve">フクマレル </t>
    </rPh>
    <rPh sb="78" eb="82">
      <t xml:space="preserve">ジュギョウヒョウカ </t>
    </rPh>
    <rPh sb="88" eb="91">
      <t xml:space="preserve">ケイゾクテキニ </t>
    </rPh>
    <rPh sb="92" eb="94">
      <t xml:space="preserve">ジッシシテイル </t>
    </rPh>
    <rPh sb="102" eb="105">
      <t xml:space="preserve">リカイドノ </t>
    </rPh>
    <rPh sb="110" eb="112">
      <t xml:space="preserve">ハアクニツトメテイル </t>
    </rPh>
    <rPh sb="121" eb="123">
      <t xml:space="preserve">ガクセイ </t>
    </rPh>
    <rPh sb="135" eb="138">
      <t xml:space="preserve">シュカンテキ </t>
    </rPh>
    <rPh sb="138" eb="141">
      <t xml:space="preserve">リカイド </t>
    </rPh>
    <rPh sb="144" eb="150">
      <t xml:space="preserve">キャッカンテキリカイド </t>
    </rPh>
    <rPh sb="151" eb="153">
      <t xml:space="preserve">ソクテイスルコトヲ </t>
    </rPh>
    <rPh sb="158" eb="160">
      <t xml:space="preserve">モクテキトシ </t>
    </rPh>
    <rPh sb="164" eb="166">
      <t xml:space="preserve">ジュギョウ </t>
    </rPh>
    <rPh sb="166" eb="168">
      <t xml:space="preserve">ショカイ </t>
    </rPh>
    <rPh sb="170" eb="171">
      <t xml:space="preserve">オコナッテイル </t>
    </rPh>
    <rPh sb="182" eb="185">
      <t xml:space="preserve">ダイキュウカイ </t>
    </rPh>
    <rPh sb="185" eb="187">
      <t xml:space="preserve">チョウサ </t>
    </rPh>
    <rPh sb="213" eb="215">
      <t xml:space="preserve">チョウサヲ </t>
    </rPh>
    <rPh sb="222" eb="224">
      <t xml:space="preserve">イカ </t>
    </rPh>
    <rPh sb="226" eb="228">
      <t xml:space="preserve">キョウイクコウカ </t>
    </rPh>
    <rPh sb="230" eb="234">
      <t xml:space="preserve">キョウザイカイゼン </t>
    </rPh>
    <rPh sb="235" eb="237">
      <t xml:space="preserve">カツヨウシテイル </t>
    </rPh>
    <rPh sb="248" eb="250">
      <t xml:space="preserve">キョウイクコウｋ </t>
    </rPh>
    <rPh sb="250" eb="254">
      <t xml:space="preserve">コウカソクテイノ </t>
    </rPh>
    <rPh sb="255" eb="257">
      <t xml:space="preserve">ケッカハ </t>
    </rPh>
    <phoneticPr fontId="3"/>
  </si>
  <si>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3"/>
  </si>
  <si>
    <t>本学では情報リテラシー（講義）およびデータサイエンスから構成される「数理・データサイエンス」科目は全学必修科目であるため，推奨度に関わらず履修する必要がある．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</si>
  <si>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3"/>
  </si>
  <si>
    <t>本学では情報リテラシー（講義）およびデータサイエンスから構成される「数理・データサイエンス」科目は全学必修科目であるため履修者数，履修率向上に向けた取組は達成していると言える．</t>
  </si>
  <si>
    <t>学外からの視点</t>
    <rPh sb="0" eb="2">
      <t>ガクガイ</t>
    </rPh>
    <rPh sb="5" eb="7">
      <t>シテン</t>
    </rPh>
    <phoneticPr fontId="3"/>
  </si>
  <si>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3"/>
  </si>
  <si>
    <t>本申請のプログラムは全１年次必修科目であり，現状では本申請のプログラム修了者の進路調査，活躍状況の調査や企業からの評価は受けていない．令和4年度に最初の卒業生を輩出することになるが，進路調査・活躍状況については本学就職課において進路統計を実施しており，企業等の評価については，教育推進部において実施している企業アンケートにおいて，「貴社で採用された本学卒業生が貴社が求める人材像との比較において，データ・情報リテラシーの能力等はどのように感じるか」という項目を設けて実施しており，本申請プログラム以前の卒業生との比較も含めて検証する準備は整備されている。</t>
    <rPh sb="0" eb="3">
      <t xml:space="preserve">ホンシンセイ </t>
    </rPh>
    <rPh sb="10" eb="11">
      <t>ゼン</t>
    </rPh>
    <rPh sb="13" eb="14">
      <t xml:space="preserve">ジ </t>
    </rPh>
    <rPh sb="14" eb="16">
      <t xml:space="preserve">ヒッシュウ </t>
    </rPh>
    <rPh sb="16" eb="18">
      <t xml:space="preserve">カモク </t>
    </rPh>
    <rPh sb="22" eb="24">
      <t xml:space="preserve">ゲンジョウ </t>
    </rPh>
    <rPh sb="41" eb="43">
      <t xml:space="preserve">チョウサ </t>
    </rPh>
    <rPh sb="49" eb="51">
      <t xml:space="preserve">チョウサシテイナイ </t>
    </rPh>
    <rPh sb="52" eb="54">
      <t xml:space="preserve">キギョウカラノ </t>
    </rPh>
    <rPh sb="57" eb="59">
      <t xml:space="preserve">ヒョウカハ </t>
    </rPh>
    <rPh sb="60" eb="61">
      <t xml:space="preserve">ウケテ </t>
    </rPh>
    <rPh sb="67" eb="69">
      <t>レイワ</t>
    </rPh>
    <rPh sb="70" eb="72">
      <t>ネンド</t>
    </rPh>
    <rPh sb="73" eb="75">
      <t>サイショ</t>
    </rPh>
    <rPh sb="76" eb="78">
      <t>ソツギョウ</t>
    </rPh>
    <rPh sb="78" eb="79">
      <t>セイ</t>
    </rPh>
    <rPh sb="80" eb="82">
      <t>ハイシュツ</t>
    </rPh>
    <rPh sb="91" eb="93">
      <t>シンロ</t>
    </rPh>
    <rPh sb="93" eb="95">
      <t>チョウサ</t>
    </rPh>
    <rPh sb="96" eb="98">
      <t>カツヤク</t>
    </rPh>
    <rPh sb="98" eb="100">
      <t>ジョウキョウ</t>
    </rPh>
    <rPh sb="105" eb="107">
      <t>ホンガク</t>
    </rPh>
    <rPh sb="107" eb="109">
      <t>シュウショク</t>
    </rPh>
    <rPh sb="109" eb="110">
      <t>カ</t>
    </rPh>
    <rPh sb="114" eb="116">
      <t>シンロ</t>
    </rPh>
    <rPh sb="116" eb="118">
      <t>トウケイ</t>
    </rPh>
    <rPh sb="119" eb="121">
      <t>ジッシ</t>
    </rPh>
    <rPh sb="126" eb="128">
      <t>キギョウ</t>
    </rPh>
    <rPh sb="128" eb="129">
      <t>トウ</t>
    </rPh>
    <rPh sb="130" eb="132">
      <t>ヒョウカ</t>
    </rPh>
    <rPh sb="138" eb="140">
      <t>キョウイク</t>
    </rPh>
    <rPh sb="140" eb="142">
      <t>スイシン</t>
    </rPh>
    <rPh sb="142" eb="143">
      <t>ブ</t>
    </rPh>
    <rPh sb="147" eb="149">
      <t>ジッシ</t>
    </rPh>
    <rPh sb="153" eb="155">
      <t>キギョウ</t>
    </rPh>
    <rPh sb="166" eb="168">
      <t>キシャ</t>
    </rPh>
    <rPh sb="169" eb="171">
      <t xml:space="preserve">サイヨウサレタ </t>
    </rPh>
    <rPh sb="174" eb="176">
      <t xml:space="preserve">ホンガクガクセイ </t>
    </rPh>
    <rPh sb="176" eb="179">
      <t xml:space="preserve">ソツギョウセイ </t>
    </rPh>
    <rPh sb="180" eb="182">
      <t xml:space="preserve">キシャガ </t>
    </rPh>
    <rPh sb="183" eb="184">
      <t>モト</t>
    </rPh>
    <rPh sb="186" eb="188">
      <t>ジンザイ</t>
    </rPh>
    <rPh sb="188" eb="189">
      <t>ゾウ</t>
    </rPh>
    <rPh sb="191" eb="193">
      <t>ヒカク</t>
    </rPh>
    <rPh sb="202" eb="204">
      <t>ジョウホウ</t>
    </rPh>
    <rPh sb="210" eb="212">
      <t>ノウリョク</t>
    </rPh>
    <rPh sb="212" eb="213">
      <t>トウ</t>
    </rPh>
    <rPh sb="219" eb="220">
      <t>カン</t>
    </rPh>
    <rPh sb="227" eb="229">
      <t>コウモク</t>
    </rPh>
    <rPh sb="230" eb="231">
      <t>モウ</t>
    </rPh>
    <rPh sb="233" eb="235">
      <t>ジッシ</t>
    </rPh>
    <rPh sb="240" eb="243">
      <t xml:space="preserve">ホンシンセイ </t>
    </rPh>
    <rPh sb="248" eb="250">
      <t xml:space="preserve">イゼンノ </t>
    </rPh>
    <rPh sb="251" eb="254">
      <t xml:space="preserve">ソツギョウセイ </t>
    </rPh>
    <rPh sb="256" eb="258">
      <t xml:space="preserve">ヒカク </t>
    </rPh>
    <rPh sb="259" eb="260">
      <t xml:space="preserve">フクメテ </t>
    </rPh>
    <rPh sb="262" eb="264">
      <t>ケンショウ</t>
    </rPh>
    <rPh sb="266" eb="268">
      <t>ジュンビ</t>
    </rPh>
    <rPh sb="269" eb="271">
      <t>セイビ</t>
    </rPh>
    <phoneticPr fontId="3"/>
  </si>
  <si>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3"/>
  </si>
  <si>
    <t>・FDイベントとして，懇談会（全担当講師および関連する教育組織の長が参加）を年二回，数理・データサイエンス教育強化拠点コンソーシアムワークショップ（一般公開）を年一回本学にて開催，学生アンケート・講師アンケート・教育効果測定の結果などを共有し担当講師同士の授業ノウハウの共有と議論を実行
・懇談会：民間企業でデータ解析業務に携わる複数の授業担当講師から，教育内容や授業の進め方などについて様々な意見を収集
・コンソーシアムワークショップ：本プログラムの担当講師を対象に，民間企業でデータ解析業務に携わる実務家による招待講演を行い，社会が学生に求めるデータサイエンスリテラシーについて提言を頂いている．</t>
    <rPh sb="1" eb="2">
      <t xml:space="preserve">ホンプログラム </t>
    </rPh>
    <rPh sb="45" eb="48">
      <t xml:space="preserve">ネンニカイ </t>
    </rPh>
    <rPh sb="66" eb="68">
      <t xml:space="preserve">コウシアンケート </t>
    </rPh>
    <rPh sb="81" eb="85">
      <t xml:space="preserve">イッパンコウカイ </t>
    </rPh>
    <rPh sb="90" eb="92">
      <t xml:space="preserve">タントウコウシ </t>
    </rPh>
    <rPh sb="92" eb="94">
      <t xml:space="preserve">ドウシ </t>
    </rPh>
    <rPh sb="95" eb="97">
      <t xml:space="preserve">ジュギョウノウハウノ </t>
    </rPh>
    <rPh sb="102" eb="104">
      <t xml:space="preserve">キョウユウ </t>
    </rPh>
    <rPh sb="105" eb="107">
      <t xml:space="preserve">ギロン </t>
    </rPh>
    <rPh sb="108" eb="109">
      <t xml:space="preserve">オコナッテイル </t>
    </rPh>
    <rPh sb="115" eb="119">
      <t xml:space="preserve">ミンカンキギョウ </t>
    </rPh>
    <rPh sb="128" eb="129">
      <t xml:space="preserve">タズサワル </t>
    </rPh>
    <rPh sb="131" eb="133">
      <t xml:space="preserve">ヒジョウキンコウシ </t>
    </rPh>
    <rPh sb="139" eb="140">
      <t xml:space="preserve">ホンプログラム </t>
    </rPh>
    <rPh sb="146" eb="150">
      <t xml:space="preserve">ジュギョウタントウ </t>
    </rPh>
    <rPh sb="155" eb="158">
      <t xml:space="preserve">コンダンカイニ </t>
    </rPh>
    <rPh sb="162" eb="164">
      <t xml:space="preserve">フクスウノ </t>
    </rPh>
    <rPh sb="166" eb="168">
      <t xml:space="preserve">ジョウホウキョウユウ </t>
    </rPh>
    <rPh sb="171" eb="172">
      <t xml:space="preserve">ホンプログラム </t>
    </rPh>
    <rPh sb="177" eb="179">
      <t xml:space="preserve">ジョウキ </t>
    </rPh>
    <rPh sb="180" eb="184">
      <t xml:space="preserve">キョウイクナイヨウ </t>
    </rPh>
    <rPh sb="187" eb="188">
      <t xml:space="preserve">ジュギョウノススメカタ </t>
    </rPh>
    <rPh sb="198" eb="199">
      <t xml:space="preserve">サマザマナ </t>
    </rPh>
    <rPh sb="201" eb="202">
      <t xml:space="preserve">イケンヲ </t>
    </rPh>
    <rPh sb="202" eb="203">
      <t xml:space="preserve">イタダイテイル </t>
    </rPh>
    <rPh sb="211" eb="214">
      <t xml:space="preserve">コンダンカイ </t>
    </rPh>
    <rPh sb="217" eb="218">
      <t xml:space="preserve">ツウジテ </t>
    </rPh>
    <rPh sb="220" eb="223">
      <t xml:space="preserve">サンギョウカイカラノシテン </t>
    </rPh>
    <rPh sb="224" eb="228">
      <t xml:space="preserve">タントウコウシヲ </t>
    </rPh>
    <rPh sb="229" eb="231">
      <t xml:space="preserve">タイショウトシ </t>
    </rPh>
    <rPh sb="238" eb="240">
      <t xml:space="preserve">シテン </t>
    </rPh>
    <rPh sb="246" eb="249">
      <t xml:space="preserve">ジツムカ </t>
    </rPh>
    <rPh sb="252" eb="256">
      <t xml:space="preserve">ショウタイコウエンヲ </t>
    </rPh>
    <rPh sb="257" eb="258">
      <t xml:space="preserve">オコナイ </t>
    </rPh>
    <rPh sb="261" eb="262">
      <t xml:space="preserve">モトメル </t>
    </rPh>
    <rPh sb="287" eb="289">
      <t xml:space="preserve">テイゲン </t>
    </rPh>
    <rPh sb="289" eb="290">
      <t xml:space="preserve">イタダイテイル </t>
    </rPh>
    <rPh sb="297" eb="299">
      <t xml:space="preserve">レイワ ニネンｄｐ ド </t>
    </rPh>
    <phoneticPr fontId="3"/>
  </si>
  <si>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3"/>
  </si>
  <si>
    <t>・学生の「数理・データサイエンス」技術の重要性理解と学習動機向上を目的とし，データ活用を専門の様々な分野の本学教員によるビデオ講義を導入
・統計に加え，「数理・データサイエンス」を取り巻く工学的技術や社会における位置づけ，エビデンスに基づき意思決定する者全員が理解すべき人権・法制度・プライバシー保護・倫理観の理解など，データを扱うために必要な基礎的教養の修得を目的としたシラバスを構成
・計算機を用いた演習を通じ，学生自身がデータの収集・管理・分析の一連の作業を実践可能なシラバスを構成
・学生自身から収集したデータを分析する演習を通じ，データサイエンスを自分ごととして捉えられるような仕組みを導入</t>
    <rPh sb="1" eb="2">
      <t xml:space="preserve">ヒ </t>
    </rPh>
    <rPh sb="2" eb="5">
      <t xml:space="preserve">リコウケイ </t>
    </rPh>
    <rPh sb="6" eb="8">
      <t xml:space="preserve">ガクセイ </t>
    </rPh>
    <rPh sb="26" eb="29">
      <t xml:space="preserve">ジュウヨウセイヲ </t>
    </rPh>
    <rPh sb="30" eb="32">
      <t xml:space="preserve">リカイシ </t>
    </rPh>
    <rPh sb="43" eb="45">
      <t xml:space="preserve">ガクシュウヲ </t>
    </rPh>
    <rPh sb="46" eb="48">
      <t xml:space="preserve">ドウキヅケルタメ </t>
    </rPh>
    <rPh sb="56" eb="58">
      <t xml:space="preserve">モクテキトシ </t>
    </rPh>
    <rPh sb="61" eb="65">
      <t xml:space="preserve">ツクバダイガク </t>
    </rPh>
    <rPh sb="97" eb="102">
      <t xml:space="preserve">レイワニネンド </t>
    </rPh>
    <rPh sb="105" eb="106">
      <t xml:space="preserve">ホン </t>
    </rPh>
    <rPh sb="108" eb="110">
      <t xml:space="preserve">ヨウイシ </t>
    </rPh>
    <rPh sb="112" eb="116">
      <t xml:space="preserve">ガクシュウコウモクニ </t>
    </rPh>
    <rPh sb="117" eb="118">
      <t xml:space="preserve">クミコンデイル コウセイシテイル ザガク ケイサンキシツ エンシュウヲ ツウジテ ジブンノ テ シュウシュウ カンリ ブンセキ サギョウヲ ジッセン コウセイシテイル エンシュウヲ トリイレルコトデ ジブンゴト トラエラレルヨウナ トリイレテイル </t>
    </rPh>
    <rPh sb="178" eb="180">
      <t>シュウトク</t>
    </rPh>
    <phoneticPr fontId="3"/>
  </si>
  <si>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3"/>
  </si>
  <si>
    <t>・授業の分かりやすさの向上：全１年次生必修科目の授業内容及び水準を維持するため，共通科目「情報」推進室では様々な背景を持つ学生に対応可能な標準教材（難易度が三段階のスライド・講義動画・小テスト・演習課題）を作成．担当講師が各学群やクラスごとの学生の特性に合わせて標準教材を改良．
・教材改善：授業評価アンケート，教育効果測定，講師を対象としたアンケートの結果を統合し，授業内容理解の客観評価を高めるための要因の探索，専門用語の理解に対する主観評価や授業満足度の向上のための演習課題の厳選，学習の動機付け向上を目的とした学生が該当する各専門分野教員によるデータサイエンスへの導入ビデオ講義の導入</t>
    <rPh sb="5" eb="6">
      <t xml:space="preserve">ゼンガクグンヲ </t>
    </rPh>
    <rPh sb="52" eb="54">
      <t xml:space="preserve">カモク </t>
    </rPh>
    <rPh sb="77" eb="81">
      <t xml:space="preserve">キョウツウカモク </t>
    </rPh>
    <rPh sb="82" eb="84">
      <t xml:space="preserve">ジョウホウ </t>
    </rPh>
    <rPh sb="85" eb="88">
      <t xml:space="preserve">スイシンシツ </t>
    </rPh>
    <rPh sb="90" eb="91">
      <t xml:space="preserve">サマザマナ </t>
    </rPh>
    <rPh sb="102" eb="103">
      <t xml:space="preserve">モツ </t>
    </rPh>
    <rPh sb="122" eb="126">
      <t xml:space="preserve">コウギドウガ </t>
    </rPh>
    <rPh sb="127" eb="128">
      <t xml:space="preserve">ショウテスト </t>
    </rPh>
    <rPh sb="134" eb="136">
      <t xml:space="preserve">カダイ </t>
    </rPh>
    <rPh sb="145" eb="149">
      <t xml:space="preserve">ヒョウジュンキョウザイハ </t>
    </rPh>
    <rPh sb="187" eb="189">
      <t xml:space="preserve">ゼンテイトシ </t>
    </rPh>
    <rPh sb="192" eb="194">
      <t xml:space="preserve">ガクセイ </t>
    </rPh>
    <rPh sb="205" eb="207">
      <t xml:space="preserve">センモンチシイニ </t>
    </rPh>
    <rPh sb="210" eb="211">
      <t xml:space="preserve">アワセ </t>
    </rPh>
    <rPh sb="214" eb="217">
      <t xml:space="preserve">ケイリョウバン </t>
    </rPh>
    <rPh sb="218" eb="220">
      <t xml:space="preserve">ヒョウジュン </t>
    </rPh>
    <rPh sb="221" eb="223">
      <t xml:space="preserve">ハッテン </t>
    </rPh>
    <rPh sb="225" eb="228">
      <t xml:space="preserve">サンダンカイ </t>
    </rPh>
    <rPh sb="229" eb="231">
      <t xml:space="preserve">ナニド </t>
    </rPh>
    <rPh sb="231" eb="233">
      <t xml:space="preserve">チョウセイ </t>
    </rPh>
    <rPh sb="239" eb="241">
      <t xml:space="preserve">ジュンビ </t>
    </rPh>
    <rPh sb="249" eb="253">
      <t xml:space="preserve">ジュギョウヒョウカ </t>
    </rPh>
    <rPh sb="259" eb="263">
      <t xml:space="preserve">キョウイクコウカ </t>
    </rPh>
    <rPh sb="263" eb="265">
      <t xml:space="preserve">ソクテイ </t>
    </rPh>
    <rPh sb="266" eb="268">
      <t xml:space="preserve">コウシヲ </t>
    </rPh>
    <rPh sb="269" eb="271">
      <t xml:space="preserve">タイショウトシテ </t>
    </rPh>
    <rPh sb="280" eb="282">
      <t xml:space="preserve">ケッカ </t>
    </rPh>
    <rPh sb="283" eb="285">
      <t xml:space="preserve">トウゴウシ </t>
    </rPh>
    <rPh sb="287" eb="293">
      <t xml:space="preserve">ジュギョウナイヨウリカイノ キャッカンヒョウカヲ タカメル ヨウインヲ タンサクシ キョウザイカイゼンニ カツヨウシテイル イカハ ブンセキ キョウザイカイゼン ヤクダツイチレイ タトエバ レイワ ブンセキケッカ シタ ガタ カナラズシモ サマタゲニ イッポウデ ドウ エンシュウリョウノ ゾウカ エンシュウ カダイ ナガクナリスギタ センモンヨウゴ シュカンヒョウカハ マンゾクド テイカシテイル スイソクサレタ キカイテキニ エンシュウカダイヲ オワレ ジュギョウナイヨウヲ フリカエリナガラ ハアクスル ヨユウガ レイワ３ネンド エンシュウリョウ ゲンセンシ フタンケイゲン カクセンモンブニャ キョウインノ ドウニュウ ジュギョウショカイニ モチイテイルガ カナラズシモ ゼンブンヤ ドウニュウサレイテウｒ ガクルイ ドウキ ヅケ サガ アラワレテイタタメ レイワ ガクルイニ センモンブンヤ サクセイスルコトトナッタ </t>
    </rPh>
    <phoneticPr fontId="3"/>
  </si>
  <si>
    <t>※公表している場合のアドレス</t>
    <rPh sb="1" eb="3">
      <t>コウヒョウ</t>
    </rPh>
    <rPh sb="7" eb="9">
      <t>バアイ</t>
    </rPh>
    <phoneticPr fontId="3"/>
  </si>
  <si>
    <t>自己点検・評価体制における意見等の公表の有無</t>
    <rPh sb="17" eb="19">
      <t>コウヒョウ</t>
    </rPh>
    <rPh sb="20" eb="22">
      <t>ウム</t>
    </rPh>
    <phoneticPr fontId="3"/>
  </si>
  <si>
    <t>有</t>
  </si>
  <si>
    <t>様式７</t>
    <rPh sb="0" eb="2">
      <t>ヨウシキ</t>
    </rPh>
    <phoneticPr fontId="3"/>
  </si>
  <si>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3"/>
  </si>
  <si>
    <t>授業内容</t>
    <rPh sb="0" eb="2">
      <t>ジュギョウ</t>
    </rPh>
    <rPh sb="2" eb="4">
      <t>ナイヨウ</t>
    </rPh>
    <phoneticPr fontId="3"/>
  </si>
  <si>
    <t>授業の実施対象：
本学は，一般的な文系・理系だけでなく体育や芸術など，総合大学としては他に例を見ない幅広い学問分野を有しており，これら全学に対する必修科目として，情報リテラシー（講義）とデータサイエンスについて計79クラスの授業を実施している点が，本教育プログラム最大の特色といえる．異なる興味や知識を持つ学生に対して，学習の動機や習熟度を高められるように，以下の3点の取り組みを推進している．
講義について：
データサイエンスを活用する様々な専門分野の教員によるビデオ講義を取り入れている．ビッグデータや人工知能などの一般的な内容から，臨床医学やスポーツ分野における活用事例まで，現時点で13本のビデオ教材を有しており，様々な背景を持つ学生の学習動機および教育効果の向上に利用している．また本ビデオ教材は，誰でも視聴可能な教材としてインターネット上でOCWとして提供しており，今後もさらなる充実化を目指す．
演習について：
多様なデータを扱った豊富な演習を実施している．学生自身から収集したデータの分析課題においては，データサイエンスによる分析がもたらす効果を実感させ，データサイエンスを自分ごととして捉えられるような演習課題を構成している．また公的に収集されたデータの分析課題においては，分析目的の設定から結果の解釈までを行う演習を通して実践的なスキル習得を可能にしている．オープンデータを用いた異なる難易度の演習も複数備えており，学生の知識やスキルに合わせたコース設計を可能にしている．
教材について：
学生授業評価アンケートのみならず，データサイエンスの学習動機や理解の客観評価を行う教育効果測定，民間企業における実務経験者を含む担当講師を対象としたアンケートを通して得られた，授業内容や学習の意欲・定着度などに関する情報をまとめ，共通科目「情報」推進室における教材の改善に努めている．</t>
    <rPh sb="317" eb="318">
      <t xml:space="preserve">サマザマナ </t>
    </rPh>
    <rPh sb="329" eb="330">
      <t xml:space="preserve">モツ </t>
    </rPh>
    <rPh sb="349" eb="351">
      <t xml:space="preserve">ガクシュウヲ </t>
    </rPh>
    <rPh sb="352" eb="354">
      <t xml:space="preserve">ドウキヅケル </t>
    </rPh>
    <rPh sb="357" eb="359">
      <t xml:space="preserve">ドウガ </t>
    </rPh>
    <rPh sb="360" eb="362">
      <t xml:space="preserve">ドウニュウブウン </t>
    </rPh>
    <rPh sb="362" eb="364">
      <t xml:space="preserve">ブブン </t>
    </rPh>
    <rPh sb="368" eb="370">
      <t xml:space="preserve">シチョウ </t>
    </rPh>
    <rPh sb="385" eb="389">
      <t xml:space="preserve">ガクシュウドウキ </t>
    </rPh>
    <rPh sb="539" eb="542">
      <t xml:space="preserve">カクブンヤ </t>
    </rPh>
    <rPh sb="544" eb="546">
      <t xml:space="preserve">キョウミ </t>
    </rPh>
    <rPh sb="553" eb="555">
      <t xml:space="preserve">ショウライ </t>
    </rPh>
    <rPh sb="568" eb="572">
      <t xml:space="preserve">ガクセイジシンカラ </t>
    </rPh>
    <rPh sb="574" eb="576">
      <t xml:space="preserve">シュウシュウシタ </t>
    </rPh>
    <rPh sb="642" eb="646">
      <t xml:space="preserve">エンシュウカダイヲ </t>
    </rPh>
    <rPh sb="656" eb="658">
      <t xml:space="preserve">コウテキ </t>
    </rPh>
    <rPh sb="659" eb="661">
      <t xml:space="preserve">シュウシュウ </t>
    </rPh>
    <rPh sb="670" eb="672">
      <t xml:space="preserve">カダイ </t>
    </rPh>
    <rPh sb="774" eb="776">
      <t xml:space="preserve">カノウニシテイル ガクシュウドウキ リカイノ キャッカンヒョウカヲ オコナウ ミンカンキギョウ タントウ タイショウトシタ キョウザイ ツトメテイル </t>
    </rPh>
    <phoneticPr fontId="3"/>
  </si>
  <si>
    <t>学生への学習支援</t>
    <rPh sb="0" eb="2">
      <t>ガクセイ</t>
    </rPh>
    <rPh sb="4" eb="6">
      <t>ガクシュウ</t>
    </rPh>
    <rPh sb="6" eb="8">
      <t>シエン</t>
    </rPh>
    <phoneticPr fontId="3"/>
  </si>
  <si>
    <t>本申請プログラムを構成する科目では，
(1) LMS の活用
(2) TA による支援
(3) オンデマンド講義動画の配信
(4) データに基づく教材の難易度調整
を柱とした，きめ細かい学習支援を実施している．
(1) LMS を活用することで，各クラスの担当教員が受講生の理解度を詳細に把握し，それに基づく適切な指導を可能にする体制を構築している．各週の課題は，LMS 上で管理し，提出された課題の回答を教員が確認することで，各受講生の理解度を詳細に把握可能である．課題に対する採点結果やコメントを受講生にフィードバックするなどし，それぞれの学生に合わせた緻密な指導を可能としている．
(2) 「データサイエンス」では，受講生40人に対して1人程度の TA を配置する手厚い支援体制を整えている．演習におけるささいなつまづきは，TAの補助によって早期に解決でき，受講生がデータサイエンスの本質的な部分の学習に集中できる体制となっている．
(3) 2020年度は全ての回の講義動画をオンデマンド配信し，各受講生が任意の時間に試聴できる環境を構築した．これにより学生自身の理解度に応じた適切なペースで授業内容の予習/復習が可能になった．
(4) 「データサイエンス」では，学類のバックグラウンドに応じて，担当教員が適切な難易度を選択できるよう，様々な難易度の教材・演習課題を作成している．これらの教材・課題は，授業評価アンケートならびに達成度評価のデータに基づき，改訂されている．
これらの学習支援の効果もあって，全学的な単位修得率は「情報リテラシー（講義）」約99％，「データサイエンス」約96％という高い水準を維持してきた．本学の学生支援体制は，本プログラム最大の特徴である全学必修を実現する鍵であり，今後全学的に必修で情報教育を実施しようとする総合大学の模範となると確信している．</t>
    <phoneticPr fontId="3"/>
  </si>
  <si>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3"/>
  </si>
  <si>
    <t>地域連携：　
筑波大学では全国に先駆け2019年度からデータサイエンス科目の全学必修化を開始し，データサイエンスの全学展開を検討する多くの大学から学習内容の選定や体制構築等について問い合わせがあり，以下の講演や個別対応を通じて様々な観点で協力を行ってきた．
1.データサイエンティスト育成シンポジウム2021，招待講演，新潟大学，2021.1.25
2. FD・SD講演会, 招待講演，中央大学, 2020.10.3
3. 関東・首都圏ブロックワークショップ講演，第２回ワークショップ，2020.9.17
4. 関東・首都圏ブロックワークショップ講演，第１回ワークショップ，2020.8.5
また，筑波大学におけるデータサイエンスの全学必修化の知見を提供する以下の論文を出版した：
和田ら, 筑波大学における全学必修のデータサイエンス教育, オペレーションズ・リサーチ学会論文誌, Vol．65，Issue 11，pp．573-578，2020
産業界の連携：
筑波大学では「データサイエンス」を51科目開設し，うち8科目は民間企業，4科目は国立研究所においてデータサイエンスに関連した業務に携わる非常勤講師が授業を担当した．授業資料の提供や年１回開催のFDイベントにおける授業ノウハウの共有，民間企業におけるデータサイエンスの取組事例に関する講演などを通じてデータサイエンス教育における産学連携を促進している．
海外の大学等との連携:
筑波大学では7種類の学位プログラムにおいて英語で学位取得が可能であり，これに合わせて必修科目として「データサイエンス」・「情報リテラシー（講義）」を英語で各1クラス開講している．これらの英語科目は，科目ジュークボックスシステムを通じて，7カ国に及ぶCampus-in-Campusパートナー大学7校の学生に提供されている．</t>
    <rPh sb="0" eb="4">
      <t xml:space="preserve">チイキレンケイ </t>
    </rPh>
    <rPh sb="9" eb="13">
      <t xml:space="preserve">ツクバダイガク </t>
    </rPh>
    <rPh sb="22" eb="24">
      <t xml:space="preserve">サンカ </t>
    </rPh>
    <rPh sb="24" eb="25">
      <t xml:space="preserve">コウ </t>
    </rPh>
    <rPh sb="26" eb="27">
      <t xml:space="preserve">ハジメ </t>
    </rPh>
    <rPh sb="38" eb="40">
      <t xml:space="preserve">ゼンガク </t>
    </rPh>
    <rPh sb="40" eb="42">
      <t xml:space="preserve">テンカイヲ </t>
    </rPh>
    <rPh sb="43" eb="45">
      <t xml:space="preserve">ケントウスル </t>
    </rPh>
    <rPh sb="57" eb="58">
      <t xml:space="preserve">ゴト </t>
    </rPh>
    <rPh sb="59" eb="61">
      <t xml:space="preserve">ハイケイヲ </t>
    </rPh>
    <rPh sb="62" eb="64">
      <t xml:space="preserve">コウリョシタ </t>
    </rPh>
    <rPh sb="70" eb="72">
      <t xml:space="preserve">キョウイクナヨウヲ </t>
    </rPh>
    <rPh sb="74" eb="75">
      <t xml:space="preserve">セッケイ </t>
    </rPh>
    <rPh sb="76" eb="78">
      <t xml:space="preserve">ガクブ </t>
    </rPh>
    <rPh sb="86" eb="88">
      <t xml:space="preserve">ガクシュウ </t>
    </rPh>
    <rPh sb="88" eb="90">
      <t xml:space="preserve">ナイヨウノ </t>
    </rPh>
    <rPh sb="91" eb="93">
      <t xml:space="preserve">セッケイ </t>
    </rPh>
    <rPh sb="94" eb="96">
      <t xml:space="preserve">キョウイクタイセイ </t>
    </rPh>
    <rPh sb="99" eb="103">
      <t xml:space="preserve">キョウイクソシキ </t>
    </rPh>
    <rPh sb="104" eb="106">
      <t xml:space="preserve">コウチク </t>
    </rPh>
    <rPh sb="106" eb="107">
      <t xml:space="preserve">トウ </t>
    </rPh>
    <rPh sb="107" eb="108">
      <t xml:space="preserve">サマザマ </t>
    </rPh>
    <rPh sb="110" eb="112">
      <t xml:space="preserve">カンテンデ </t>
    </rPh>
    <rPh sb="113" eb="115">
      <t xml:space="preserve">キョウリョクヲ </t>
    </rPh>
    <rPh sb="116" eb="117">
      <t xml:space="preserve">オコナッテキタ </t>
    </rPh>
    <rPh sb="122" eb="125">
      <t xml:space="preserve">グタイテキニハ </t>
    </rPh>
    <rPh sb="128" eb="130">
      <t xml:space="preserve">イカノコウエン </t>
    </rPh>
    <rPh sb="131" eb="133">
      <t xml:space="preserve">コウエン </t>
    </rPh>
    <rPh sb="159" eb="162">
      <t xml:space="preserve">サクマ </t>
    </rPh>
    <rPh sb="162" eb="163">
      <t xml:space="preserve">ジュン </t>
    </rPh>
    <rPh sb="166" eb="170">
      <t xml:space="preserve">ニイガタダイガク </t>
    </rPh>
    <rPh sb="192" eb="196">
      <t xml:space="preserve">チュウオウダイガク </t>
    </rPh>
    <rPh sb="267" eb="270">
      <t xml:space="preserve">サクマ </t>
    </rPh>
    <rPh sb="270" eb="271">
      <t xml:space="preserve">ジュン </t>
    </rPh>
    <rPh sb="277" eb="280">
      <t xml:space="preserve">チュウオウダイガク </t>
    </rPh>
    <rPh sb="400" eb="402">
      <t xml:space="preserve">シュサイ </t>
    </rPh>
    <rPh sb="604" eb="606">
      <t xml:space="preserve">ゼンコクノ </t>
    </rPh>
    <rPh sb="615" eb="618">
      <t xml:space="preserve">ヒッシュウカヲ </t>
    </rPh>
    <rPh sb="619" eb="621">
      <t xml:space="preserve">メザス </t>
    </rPh>
    <rPh sb="622" eb="624">
      <t xml:space="preserve">ダイガク </t>
    </rPh>
    <rPh sb="626" eb="630">
      <t xml:space="preserve">ツクバダイガクノ チケンヲ </t>
    </rPh>
    <rPh sb="631" eb="633">
      <t>シュルイ</t>
    </rPh>
    <rPh sb="633" eb="635">
      <t xml:space="preserve">シュッパンシタ </t>
    </rPh>
    <rPh sb="640" eb="642">
      <t xml:space="preserve">ワダ </t>
    </rPh>
    <rPh sb="685" eb="688">
      <t xml:space="preserve">ロンブンシ </t>
    </rPh>
    <rPh sb="769" eb="772">
      <t xml:space="preserve">サンギョウカイノ レンケイ ツクバダイガク カモク カイセツシテイル カモク ミンカンキギョウ トウ カモク コクリツケンキュウジョ カンレンシタ ギョウム タズサワレウ ヒジョウキン コウシ ジュギョウヲ タントウシテイル コウシ ジュギョウタントウ リヨウシタ ジュギョウシリョウノ テイキョウ ネンニイッカイ カイサイサレル ジュギョウノウハウノ キョウユウナドニ ミンカンンキギョウ トリクミジレイ イカ コウエン キョウリョク イタダイテオリ キョウイクブンヤノ サンガクレンケイ ソクシンシテイル ツクバダイガク キョウイク エイゴ ガクイヲシュトク カノウナ ヒッシュウカモクトシテオｎ エイゴ カイコウサレテイル エイゴ カモクジュークボックス ツウジテ コウ ガクセイ テイキョウサレテイル </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</si>
</sst>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font>
      <sz val="11"/>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2"/>
      <color theme="1"/>
      <name val="ＭＳ Ｐゴシック"/>
      <family val="2"/>
      <charset val="128"/>
    </font>
    <font>
      <sz val="12"/>
      <color theme="1"/>
      <name val="ＭＳ Ｐゴシック"/>
      <family val="3"/>
      <charset val="128"/>
    </font>
    <font>
      <strike/>
      <sz val="12"/>
      <color theme="1"/>
      <name val="ＭＳ Ｐゴシック"/>
      <family val="2"/>
      <charset val="128"/>
    </font>
    <font>
      <u/>
      <sz val="11"/>
      <name val="ＭＳ Ｐゴシック"/>
      <family val="3"/>
      <charset val="128"/>
      <scheme val="minor"/>
    </font>
    <font>
      <sz val="11"/>
      <name val="ＭＳ Ｐゴシック"/>
      <family val="3"/>
      <charset val="128"/>
      <scheme val="minor"/>
    </font>
    <font>
      <sz val="12"/>
      <name val="ＭＳ Ｐゴシック"/>
      <family val="3"/>
      <charset val="128"/>
    </font>
    <font>
      <sz val="9"/>
      <name val="ＭＳ Ｐゴシック"/>
      <family val="2"/>
      <charset val="128"/>
      <scheme val="minor"/>
    </font>
    <font>
      <sz val="9"/>
      <name val="ＭＳ Ｐゴシック"/>
      <family val="3"/>
      <charset val="128"/>
      <scheme val="minor"/>
    </font>
  </fonts>
  <fills count="2">
    <fill>
      <patternFill patternType="none"/>
    </fill>
    <fill>
      <patternFill patternType="gray125"/>
    </fill>
  </fills>
  <borders count="4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top/>
      <bottom style="hair">
        <color auto="1"/>
      </bottom>
      <diagonal/>
    </border>
    <border>
      <left/>
      <right style="thin">
        <color auto="1"/>
      </right>
      <top/>
      <bottom style="hair">
        <color auto="1"/>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302">
    <xf numFmtId="0" fontId="0" fillId="0" borderId="0" xfId="0">
      <alignment vertical="center"/>
    </xf>
    <xf numFmtId="0" fontId="4" fillId="0" borderId="0" xfId="0" applyFont="1">
      <alignment vertical="center"/>
    </xf>
    <xf numFmtId="0" fontId="5" fillId="0" borderId="0" xfId="0" applyFont="1" applyAlignment="1">
      <alignment vertical="center"/>
    </xf>
    <xf numFmtId="0" fontId="4" fillId="0" borderId="0" xfId="0" applyFont="1" applyAlignment="1">
      <alignment vertical="center"/>
    </xf>
    <xf numFmtId="176" fontId="10" fillId="0" borderId="0" xfId="0" applyNumberFormat="1" applyFont="1" applyBorder="1">
      <alignment vertical="center"/>
    </xf>
    <xf numFmtId="176" fontId="10" fillId="0" borderId="3" xfId="0" applyNumberFormat="1" applyFont="1" applyBorder="1" applyAlignment="1">
      <alignment vertical="center" shrinkToFit="1"/>
    </xf>
    <xf numFmtId="0" fontId="11" fillId="0" borderId="0" xfId="0" applyFont="1">
      <alignment vertical="center"/>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Border="1" applyAlignment="1">
      <alignment vertical="center"/>
    </xf>
    <xf numFmtId="0" fontId="10" fillId="0" borderId="10" xfId="0" applyFont="1" applyBorder="1" applyAlignment="1">
      <alignment vertical="center"/>
    </xf>
    <xf numFmtId="0" fontId="10" fillId="0" borderId="5" xfId="0" applyFont="1" applyBorder="1">
      <alignment vertical="center"/>
    </xf>
    <xf numFmtId="176" fontId="10" fillId="0" borderId="0" xfId="0" applyNumberFormat="1" applyFont="1" applyBorder="1" applyAlignment="1">
      <alignment vertical="center" wrapText="1"/>
    </xf>
    <xf numFmtId="0" fontId="10" fillId="0" borderId="0" xfId="0" applyFont="1" applyBorder="1">
      <alignment vertical="center"/>
    </xf>
    <xf numFmtId="176" fontId="10" fillId="0" borderId="5" xfId="0" applyNumberFormat="1" applyFont="1" applyBorder="1" applyAlignment="1">
      <alignment vertical="center"/>
    </xf>
    <xf numFmtId="176" fontId="10" fillId="0" borderId="0" xfId="0" applyNumberFormat="1" applyFont="1" applyAlignment="1">
      <alignment vertical="center" wrapText="1"/>
    </xf>
    <xf numFmtId="176" fontId="10" fillId="0" borderId="0" xfId="0" applyNumberFormat="1" applyFont="1" applyAlignment="1">
      <alignment horizontal="left" vertical="center" wrapText="1"/>
    </xf>
    <xf numFmtId="0" fontId="10" fillId="0" borderId="0" xfId="0" applyFont="1" applyAlignment="1">
      <alignment horizontal="right" vertical="center"/>
    </xf>
    <xf numFmtId="0" fontId="10" fillId="0" borderId="6" xfId="0" applyFont="1" applyBorder="1" applyAlignment="1">
      <alignment vertical="center" shrinkToFit="1"/>
    </xf>
    <xf numFmtId="0" fontId="10" fillId="0" borderId="1" xfId="0" applyFont="1" applyBorder="1">
      <alignment vertical="center"/>
    </xf>
    <xf numFmtId="0" fontId="10" fillId="0" borderId="2" xfId="0" applyFont="1" applyBorder="1">
      <alignment vertical="center"/>
    </xf>
    <xf numFmtId="0" fontId="10" fillId="0" borderId="4" xfId="0" applyFont="1" applyBorder="1">
      <alignment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2" xfId="0" applyFont="1" applyBorder="1" applyAlignment="1">
      <alignment horizontal="center" vertical="center"/>
    </xf>
    <xf numFmtId="0" fontId="10" fillId="0" borderId="1" xfId="0" applyFont="1" applyBorder="1" applyAlignment="1">
      <alignment vertical="center" shrinkToFit="1"/>
    </xf>
    <xf numFmtId="0" fontId="5" fillId="0" borderId="0" xfId="0" applyFont="1" applyAlignment="1">
      <alignment vertical="center" shrinkToFit="1"/>
    </xf>
    <xf numFmtId="0" fontId="15" fillId="0" borderId="0" xfId="0" applyFont="1">
      <alignment vertical="center"/>
    </xf>
    <xf numFmtId="0" fontId="5" fillId="0" borderId="0" xfId="0" applyFont="1" applyBorder="1" applyAlignment="1">
      <alignment vertical="center" shrinkToFit="1"/>
    </xf>
    <xf numFmtId="0" fontId="5" fillId="0" borderId="5" xfId="0" applyFont="1" applyBorder="1" applyAlignment="1">
      <alignment vertical="center" shrinkToFit="1"/>
    </xf>
    <xf numFmtId="176" fontId="5" fillId="0" borderId="5" xfId="0" applyNumberFormat="1" applyFont="1" applyBorder="1" applyAlignment="1">
      <alignment vertical="center" shrinkToFit="1"/>
    </xf>
    <xf numFmtId="176" fontId="5" fillId="0" borderId="33" xfId="0" applyNumberFormat="1" applyFont="1" applyBorder="1" applyAlignment="1">
      <alignment vertical="center" shrinkToFit="1"/>
    </xf>
    <xf numFmtId="176" fontId="5" fillId="0" borderId="34" xfId="0" applyNumberFormat="1" applyFont="1" applyBorder="1" applyAlignment="1">
      <alignment vertical="center" shrinkToFit="1"/>
    </xf>
    <xf numFmtId="176" fontId="5" fillId="0" borderId="10" xfId="0" applyNumberFormat="1" applyFont="1" applyBorder="1" applyAlignment="1">
      <alignment vertical="center" shrinkToFit="1"/>
    </xf>
    <xf numFmtId="9" fontId="5" fillId="0" borderId="10" xfId="0" applyNumberFormat="1" applyFont="1" applyBorder="1" applyAlignment="1">
      <alignment vertical="center" shrinkToFit="1"/>
    </xf>
    <xf numFmtId="176" fontId="5" fillId="0" borderId="20" xfId="0" applyNumberFormat="1" applyFont="1" applyBorder="1" applyAlignment="1">
      <alignment vertical="center" shrinkToFit="1"/>
    </xf>
    <xf numFmtId="176" fontId="5" fillId="0" borderId="35" xfId="0" applyNumberFormat="1" applyFont="1" applyBorder="1" applyAlignment="1">
      <alignment vertical="center" shrinkToFit="1"/>
    </xf>
    <xf numFmtId="176" fontId="5" fillId="0" borderId="36" xfId="0" applyNumberFormat="1" applyFont="1" applyBorder="1" applyAlignment="1">
      <alignment vertical="center" shrinkToFit="1"/>
    </xf>
    <xf numFmtId="176" fontId="5" fillId="0" borderId="19" xfId="0" applyNumberFormat="1" applyFont="1" applyBorder="1" applyAlignment="1">
      <alignment vertical="center" shrinkToFit="1"/>
    </xf>
    <xf numFmtId="176" fontId="5" fillId="0" borderId="25" xfId="0" applyNumberFormat="1" applyFont="1" applyBorder="1" applyAlignment="1">
      <alignment vertical="center" shrinkToFit="1"/>
    </xf>
    <xf numFmtId="176" fontId="5" fillId="0" borderId="26" xfId="0" applyNumberFormat="1" applyFont="1" applyBorder="1" applyAlignment="1">
      <alignment vertical="center" shrinkToFit="1"/>
    </xf>
    <xf numFmtId="0" fontId="5" fillId="0" borderId="27" xfId="0" applyFont="1" applyBorder="1" applyAlignment="1">
      <alignment vertical="center" shrinkToFit="1"/>
    </xf>
    <xf numFmtId="176" fontId="6" fillId="0" borderId="0" xfId="0" applyNumberFormat="1" applyFont="1" applyBorder="1" applyAlignment="1">
      <alignment vertical="center" shrinkToFit="1"/>
    </xf>
    <xf numFmtId="176" fontId="5" fillId="0" borderId="20" xfId="0" applyNumberFormat="1" applyFont="1" applyFill="1" applyBorder="1" applyAlignment="1">
      <alignment vertical="center" shrinkToFit="1"/>
    </xf>
    <xf numFmtId="176" fontId="5" fillId="0" borderId="35" xfId="0" applyNumberFormat="1" applyFont="1" applyFill="1" applyBorder="1" applyAlignment="1">
      <alignment vertical="center" shrinkToFit="1"/>
    </xf>
    <xf numFmtId="176" fontId="5" fillId="0" borderId="36" xfId="0" applyNumberFormat="1" applyFont="1" applyFill="1" applyBorder="1" applyAlignment="1">
      <alignment vertical="center" shrinkToFit="1"/>
    </xf>
    <xf numFmtId="176" fontId="5" fillId="0" borderId="19" xfId="0" applyNumberFormat="1" applyFont="1" applyFill="1" applyBorder="1" applyAlignment="1">
      <alignment vertical="center" shrinkToFit="1"/>
    </xf>
    <xf numFmtId="0" fontId="2" fillId="0" borderId="0" xfId="0" applyFont="1">
      <alignment vertical="center"/>
    </xf>
    <xf numFmtId="0" fontId="13" fillId="0" borderId="0" xfId="0" applyFont="1" applyAlignment="1">
      <alignment horizontal="center" vertical="center"/>
    </xf>
    <xf numFmtId="0" fontId="2" fillId="0" borderId="0" xfId="0" applyFont="1" applyAlignment="1">
      <alignment horizontal="center" vertical="center"/>
    </xf>
    <xf numFmtId="0" fontId="10" fillId="0" borderId="10" xfId="0" applyFont="1" applyBorder="1" applyAlignment="1">
      <alignment vertical="center" shrinkToFit="1"/>
    </xf>
    <xf numFmtId="0" fontId="10" fillId="0" borderId="0" xfId="0" applyFont="1" applyFill="1">
      <alignment vertical="center"/>
    </xf>
    <xf numFmtId="0" fontId="22" fillId="0" borderId="0" xfId="0" applyFont="1">
      <alignment vertical="center"/>
    </xf>
    <xf numFmtId="0" fontId="10" fillId="0" borderId="0" xfId="0" applyFont="1" applyAlignment="1">
      <alignment vertical="center" wrapText="1"/>
    </xf>
    <xf numFmtId="0" fontId="23" fillId="0" borderId="0" xfId="0" applyFont="1" applyAlignment="1">
      <alignment vertical="top" shrinkToFit="1"/>
    </xf>
    <xf numFmtId="0" fontId="23" fillId="0" borderId="0" xfId="0" applyFont="1" applyAlignment="1">
      <alignment vertical="center" wrapText="1"/>
    </xf>
    <xf numFmtId="0" fontId="23" fillId="0" borderId="10" xfId="0" applyFont="1" applyBorder="1" applyAlignment="1">
      <alignment vertical="top" wrapText="1"/>
    </xf>
    <xf numFmtId="0" fontId="23" fillId="0" borderId="5" xfId="0" applyFont="1" applyBorder="1" applyAlignment="1">
      <alignment vertical="top" wrapText="1"/>
    </xf>
    <xf numFmtId="0" fontId="10" fillId="0" borderId="17" xfId="0" applyFont="1" applyBorder="1">
      <alignment vertical="center"/>
    </xf>
    <xf numFmtId="0" fontId="23" fillId="0" borderId="21" xfId="0" applyFont="1" applyBorder="1" applyAlignment="1">
      <alignment vertical="top" wrapText="1"/>
    </xf>
    <xf numFmtId="0" fontId="23" fillId="0" borderId="19" xfId="0" applyFont="1" applyBorder="1" applyAlignment="1">
      <alignment vertical="top" wrapText="1"/>
    </xf>
    <xf numFmtId="0" fontId="23" fillId="0" borderId="21" xfId="0" applyFont="1" applyBorder="1" applyAlignment="1">
      <alignment vertical="top" shrinkToFit="1"/>
    </xf>
    <xf numFmtId="0" fontId="23" fillId="0" borderId="19" xfId="0" applyFont="1" applyBorder="1" applyAlignment="1">
      <alignment vertical="top" shrinkToFit="1"/>
    </xf>
    <xf numFmtId="0" fontId="20" fillId="0" borderId="0" xfId="2" applyNumberFormat="1" applyFont="1" applyBorder="1" applyAlignment="1">
      <alignment vertical="center" shrinkToFit="1"/>
    </xf>
    <xf numFmtId="0" fontId="23" fillId="0" borderId="0" xfId="0" applyFont="1" applyAlignment="1">
      <alignment vertical="center" shrinkToFit="1"/>
    </xf>
    <xf numFmtId="0" fontId="23" fillId="0" borderId="10" xfId="0" applyFont="1" applyBorder="1" applyAlignment="1">
      <alignment vertical="center" shrinkToFit="1"/>
    </xf>
    <xf numFmtId="0" fontId="10" fillId="0" borderId="1" xfId="0" applyFont="1" applyBorder="1" applyAlignment="1">
      <alignment vertical="center" wrapText="1"/>
    </xf>
    <xf numFmtId="0" fontId="1" fillId="0" borderId="0" xfId="0" applyFont="1">
      <alignment vertical="center"/>
    </xf>
    <xf numFmtId="176" fontId="10" fillId="0" borderId="5" xfId="0" applyNumberFormat="1" applyFont="1" applyBorder="1" applyAlignment="1">
      <alignment vertical="center" shrinkToFit="1"/>
    </xf>
    <xf numFmtId="176" fontId="10" fillId="0" borderId="33" xfId="0" applyNumberFormat="1" applyFont="1" applyBorder="1" applyAlignment="1">
      <alignment vertical="center" shrinkToFit="1"/>
    </xf>
    <xf numFmtId="176" fontId="10" fillId="0" borderId="34" xfId="0" applyNumberFormat="1" applyFont="1" applyBorder="1" applyAlignment="1">
      <alignment vertical="center" shrinkToFit="1"/>
    </xf>
    <xf numFmtId="176" fontId="10" fillId="0" borderId="10" xfId="0" applyNumberFormat="1" applyFont="1" applyBorder="1" applyAlignment="1">
      <alignment vertical="center" shrinkToFit="1"/>
    </xf>
    <xf numFmtId="176" fontId="10" fillId="0" borderId="14" xfId="0" applyNumberFormat="1" applyFont="1" applyBorder="1" applyAlignment="1">
      <alignment vertical="center" shrinkToFit="1"/>
    </xf>
    <xf numFmtId="9" fontId="10" fillId="0" borderId="10" xfId="0" applyNumberFormat="1" applyFont="1" applyBorder="1" applyAlignment="1">
      <alignment vertical="center" shrinkToFit="1"/>
    </xf>
    <xf numFmtId="176" fontId="10" fillId="0" borderId="20" xfId="0" applyNumberFormat="1" applyFont="1" applyBorder="1" applyAlignment="1">
      <alignment vertical="center" shrinkToFit="1"/>
    </xf>
    <xf numFmtId="176" fontId="10" fillId="0" borderId="35" xfId="0" applyNumberFormat="1" applyFont="1" applyBorder="1" applyAlignment="1">
      <alignment vertical="center" shrinkToFit="1"/>
    </xf>
    <xf numFmtId="176" fontId="10" fillId="0" borderId="36" xfId="0" applyNumberFormat="1" applyFont="1" applyBorder="1" applyAlignment="1">
      <alignment vertical="center" shrinkToFit="1"/>
    </xf>
    <xf numFmtId="176" fontId="10" fillId="0" borderId="19" xfId="0" applyNumberFormat="1" applyFont="1" applyBorder="1" applyAlignment="1">
      <alignment vertical="center" shrinkToFit="1"/>
    </xf>
    <xf numFmtId="176" fontId="10" fillId="0" borderId="25" xfId="0" applyNumberFormat="1" applyFont="1" applyBorder="1" applyAlignment="1">
      <alignment vertical="center" shrinkToFit="1"/>
    </xf>
    <xf numFmtId="176" fontId="10" fillId="0" borderId="27" xfId="0" applyNumberFormat="1" applyFont="1" applyBorder="1" applyAlignment="1">
      <alignment vertical="center" shrinkToFit="1"/>
    </xf>
    <xf numFmtId="176" fontId="10" fillId="0" borderId="37" xfId="0" applyNumberFormat="1" applyFont="1" applyBorder="1" applyAlignment="1">
      <alignment vertical="center" shrinkToFit="1"/>
    </xf>
    <xf numFmtId="176" fontId="10" fillId="0" borderId="38" xfId="0" applyNumberFormat="1" applyFont="1" applyBorder="1" applyAlignment="1">
      <alignment vertical="center" shrinkToFit="1"/>
    </xf>
    <xf numFmtId="176" fontId="10" fillId="0" borderId="29" xfId="0" applyNumberFormat="1" applyFont="1" applyBorder="1" applyAlignment="1">
      <alignment vertical="center" shrinkToFit="1"/>
    </xf>
    <xf numFmtId="176" fontId="10" fillId="0" borderId="30" xfId="0" applyNumberFormat="1" applyFont="1" applyBorder="1" applyAlignment="1">
      <alignment vertical="center" shrinkToFit="1"/>
    </xf>
    <xf numFmtId="9" fontId="10" fillId="0" borderId="29" xfId="0" applyNumberFormat="1" applyFont="1" applyBorder="1" applyAlignment="1">
      <alignment vertical="center" shrinkToFit="1"/>
    </xf>
    <xf numFmtId="0" fontId="10" fillId="0" borderId="0" xfId="0" applyFont="1" applyBorder="1" applyAlignment="1">
      <alignment horizontal="center" vertical="center"/>
    </xf>
    <xf numFmtId="0" fontId="11" fillId="0" borderId="0" xfId="0" applyFont="1" applyAlignment="1">
      <alignment horizontal="right" vertical="center"/>
    </xf>
    <xf numFmtId="0" fontId="10" fillId="0" borderId="0" xfId="0" applyFont="1" applyBorder="1" applyAlignment="1">
      <alignment horizontal="center" vertical="center" shrinkToFit="1"/>
    </xf>
    <xf numFmtId="0" fontId="10" fillId="0" borderId="0" xfId="0" applyFont="1" applyAlignment="1">
      <alignment horizontal="center" vertical="center"/>
    </xf>
    <xf numFmtId="0" fontId="10" fillId="0" borderId="0" xfId="0" applyFont="1" applyBorder="1" applyAlignment="1">
      <alignment vertical="center" shrinkToFit="1"/>
    </xf>
    <xf numFmtId="0" fontId="10" fillId="0" borderId="0" xfId="0" applyFont="1" applyAlignment="1">
      <alignment vertical="top" wrapText="1"/>
    </xf>
    <xf numFmtId="0" fontId="5" fillId="0" borderId="20" xfId="0" applyFont="1" applyBorder="1" applyAlignment="1">
      <alignment vertical="center" shrinkToFit="1"/>
    </xf>
    <xf numFmtId="0" fontId="1" fillId="0" borderId="2" xfId="0" applyFont="1" applyBorder="1" applyAlignment="1">
      <alignment vertical="center" shrinkToFit="1"/>
    </xf>
    <xf numFmtId="0" fontId="23" fillId="0" borderId="0" xfId="0" applyFont="1" applyAlignment="1">
      <alignment vertical="top" wrapText="1"/>
    </xf>
    <xf numFmtId="0" fontId="5" fillId="0" borderId="0" xfId="0" applyFont="1" applyAlignment="1">
      <alignment horizontal="center" vertical="center"/>
    </xf>
    <xf numFmtId="0" fontId="10" fillId="0" borderId="0" xfId="0" applyFont="1" applyBorder="1" applyAlignment="1">
      <alignment vertical="center" shrinkToFit="1"/>
    </xf>
    <xf numFmtId="176" fontId="10" fillId="0" borderId="2" xfId="0" applyNumberFormat="1" applyFont="1" applyBorder="1" applyAlignment="1">
      <alignment horizontal="center" vertical="center" shrinkToFit="1"/>
    </xf>
    <xf numFmtId="176" fontId="10" fillId="0" borderId="4" xfId="0" applyNumberFormat="1"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0"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Border="1" applyAlignment="1">
      <alignment horizontal="right" vertical="center" shrinkToFit="1"/>
    </xf>
    <xf numFmtId="0" fontId="10" fillId="0" borderId="5" xfId="0" applyFont="1" applyBorder="1" applyAlignment="1">
      <alignment horizontal="right" vertical="center" shrinkToFit="1"/>
    </xf>
    <xf numFmtId="0" fontId="10" fillId="0" borderId="10" xfId="0" applyFont="1" applyBorder="1" applyAlignment="1">
      <alignment horizontal="right" vertical="center" shrinkToFit="1"/>
    </xf>
    <xf numFmtId="0" fontId="11" fillId="0" borderId="0" xfId="0" applyFont="1" applyAlignment="1">
      <alignment horizontal="right" vertical="center"/>
    </xf>
    <xf numFmtId="0" fontId="10" fillId="0" borderId="0" xfId="0" applyFont="1" applyBorder="1" applyAlignment="1">
      <alignment horizontal="right" vertical="center"/>
    </xf>
    <xf numFmtId="0" fontId="10" fillId="0" borderId="10" xfId="0" applyFont="1" applyBorder="1" applyAlignment="1">
      <alignment horizontal="right" vertical="center"/>
    </xf>
    <xf numFmtId="176" fontId="10" fillId="0" borderId="3" xfId="0" applyNumberFormat="1" applyFont="1" applyBorder="1" applyAlignment="1">
      <alignment horizontal="center" vertical="center" shrinkToFit="1"/>
    </xf>
    <xf numFmtId="0" fontId="10" fillId="0" borderId="0" xfId="0" applyFont="1" applyBorder="1" applyAlignment="1">
      <alignment horizontal="center" vertical="center" shrinkToFit="1"/>
    </xf>
    <xf numFmtId="0" fontId="10" fillId="0" borderId="0" xfId="0" applyFont="1" applyAlignment="1">
      <alignment horizontal="center" vertical="center"/>
    </xf>
    <xf numFmtId="49" fontId="8" fillId="0" borderId="2" xfId="2" applyNumberFormat="1" applyBorder="1" applyAlignment="1">
      <alignment vertical="center" shrinkToFit="1"/>
    </xf>
    <xf numFmtId="49" fontId="10" fillId="0" borderId="3" xfId="0" applyNumberFormat="1" applyFont="1" applyBorder="1" applyAlignment="1">
      <alignment vertical="center" shrinkToFit="1"/>
    </xf>
    <xf numFmtId="49" fontId="10" fillId="0" borderId="4" xfId="0" applyNumberFormat="1" applyFont="1" applyBorder="1" applyAlignment="1">
      <alignment vertical="center" shrinkToFit="1"/>
    </xf>
    <xf numFmtId="49" fontId="10" fillId="0" borderId="2" xfId="1" applyNumberFormat="1" applyFont="1" applyBorder="1" applyAlignment="1">
      <alignment horizontal="center" vertical="center" shrinkToFit="1"/>
    </xf>
    <xf numFmtId="49" fontId="10" fillId="0" borderId="3" xfId="1" applyNumberFormat="1" applyFont="1" applyBorder="1" applyAlignment="1">
      <alignment horizontal="center" vertical="center" shrinkToFit="1"/>
    </xf>
    <xf numFmtId="49" fontId="10" fillId="0" borderId="4" xfId="1" applyNumberFormat="1" applyFont="1" applyBorder="1" applyAlignment="1">
      <alignment horizontal="center" vertical="center" shrinkToFit="1"/>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0" xfId="0" applyFont="1" applyAlignment="1">
      <alignment vertical="center" shrinkToFit="1"/>
    </xf>
    <xf numFmtId="0" fontId="10" fillId="0" borderId="1" xfId="0" applyFont="1" applyBorder="1" applyAlignment="1">
      <alignment horizontal="center" vertical="center"/>
    </xf>
    <xf numFmtId="0" fontId="10" fillId="0" borderId="1" xfId="0" applyFont="1" applyBorder="1" applyAlignment="1">
      <alignment horizontal="center" vertical="center" shrinkToFit="1"/>
    </xf>
    <xf numFmtId="0" fontId="14" fillId="0" borderId="2" xfId="0" applyFont="1" applyBorder="1" applyAlignment="1">
      <alignment vertical="center" shrinkToFit="1"/>
    </xf>
    <xf numFmtId="0" fontId="14" fillId="0" borderId="3" xfId="0" applyFont="1" applyBorder="1" applyAlignment="1">
      <alignment vertical="center" shrinkToFit="1"/>
    </xf>
    <xf numFmtId="0" fontId="14" fillId="0" borderId="4" xfId="0" applyFont="1" applyBorder="1" applyAlignment="1">
      <alignment vertical="center" shrinkToFit="1"/>
    </xf>
    <xf numFmtId="0" fontId="10" fillId="0" borderId="4" xfId="0" applyFont="1" applyBorder="1" applyAlignment="1">
      <alignment vertical="center" shrinkToFit="1"/>
    </xf>
    <xf numFmtId="0" fontId="21"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7" fillId="0" borderId="2" xfId="0" applyFont="1" applyBorder="1" applyAlignment="1">
      <alignment vertical="center" shrinkToFi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15" xfId="0" applyFont="1" applyBorder="1" applyAlignment="1">
      <alignment vertical="center" shrinkToFit="1"/>
    </xf>
    <xf numFmtId="0" fontId="5" fillId="0" borderId="39" xfId="0" applyFont="1" applyBorder="1" applyAlignment="1">
      <alignment vertical="center" shrinkToFit="1"/>
    </xf>
    <xf numFmtId="0" fontId="5" fillId="0" borderId="20" xfId="0" applyFont="1" applyBorder="1" applyAlignment="1">
      <alignment vertical="center" shrinkToFit="1"/>
    </xf>
    <xf numFmtId="0" fontId="5" fillId="0" borderId="19" xfId="0" applyFont="1" applyBorder="1" applyAlignment="1">
      <alignment vertical="center" shrinkToFit="1"/>
    </xf>
    <xf numFmtId="0" fontId="5" fillId="0" borderId="27" xfId="0" applyFont="1" applyBorder="1" applyAlignment="1">
      <alignment horizontal="center" vertical="center" shrinkToFit="1"/>
    </xf>
    <xf numFmtId="0" fontId="5" fillId="0" borderId="28" xfId="0" applyFont="1" applyBorder="1" applyAlignment="1">
      <alignment horizontal="center" vertical="center" shrinkToFi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11" xfId="0" applyFont="1" applyBorder="1" applyAlignment="1">
      <alignment horizontal="center" vertical="center"/>
    </xf>
    <xf numFmtId="0" fontId="5" fillId="0" borderId="6" xfId="0" applyFont="1" applyBorder="1" applyAlignment="1">
      <alignment horizontal="center" vertical="center"/>
    </xf>
    <xf numFmtId="0" fontId="5" fillId="0" borderId="40" xfId="0" applyFont="1" applyBorder="1" applyAlignment="1">
      <alignment vertical="center" shrinkToFit="1"/>
    </xf>
    <xf numFmtId="0" fontId="5" fillId="0" borderId="41" xfId="0" applyFont="1" applyBorder="1" applyAlignment="1">
      <alignment vertical="center" shrinkToFit="1"/>
    </xf>
    <xf numFmtId="0" fontId="9" fillId="0" borderId="7" xfId="0" applyFont="1" applyBorder="1" applyAlignment="1">
      <alignment horizontal="center" vertical="center" wrapText="1"/>
    </xf>
    <xf numFmtId="0" fontId="9" fillId="0" borderId="11"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39" xfId="0" applyFont="1" applyBorder="1" applyAlignment="1">
      <alignment horizontal="center" vertical="center"/>
    </xf>
    <xf numFmtId="0" fontId="12" fillId="0" borderId="16" xfId="0" applyFont="1" applyBorder="1" applyAlignment="1">
      <alignment horizontal="center" vertical="center" wrapText="1"/>
    </xf>
    <xf numFmtId="0" fontId="12" fillId="0" borderId="13"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1" fillId="0" borderId="2" xfId="0" applyFont="1" applyBorder="1" applyAlignment="1">
      <alignment vertical="center" shrinkToFit="1"/>
    </xf>
    <xf numFmtId="0" fontId="16" fillId="0" borderId="2" xfId="0" applyFont="1" applyBorder="1" applyAlignment="1">
      <alignment vertical="center" shrinkToFit="1"/>
    </xf>
    <xf numFmtId="0" fontId="5" fillId="0" borderId="16" xfId="0" applyFont="1" applyBorder="1" applyAlignment="1">
      <alignment vertical="center" wrapText="1"/>
    </xf>
    <xf numFmtId="0" fontId="5" fillId="0" borderId="42" xfId="0" applyFont="1" applyBorder="1" applyAlignment="1">
      <alignment vertical="center" wrapText="1"/>
    </xf>
    <xf numFmtId="0" fontId="0" fillId="0" borderId="7" xfId="0" applyFont="1" applyBorder="1" applyAlignment="1">
      <alignment horizontal="left" vertical="top" wrapText="1" shrinkToFit="1"/>
    </xf>
    <xf numFmtId="0" fontId="5" fillId="0" borderId="13" xfId="0" applyFont="1" applyBorder="1" applyAlignment="1">
      <alignment vertical="center" wrapText="1"/>
    </xf>
    <xf numFmtId="0" fontId="18" fillId="0" borderId="3" xfId="0" applyFont="1" applyBorder="1" applyAlignment="1">
      <alignment vertical="center" shrinkToFit="1"/>
    </xf>
    <xf numFmtId="0" fontId="18" fillId="0" borderId="4" xfId="0" applyFont="1" applyBorder="1" applyAlignment="1">
      <alignment vertical="center" shrinkToFit="1"/>
    </xf>
    <xf numFmtId="0" fontId="5" fillId="0" borderId="2" xfId="0" applyFont="1" applyBorder="1" applyAlignment="1">
      <alignment horizontal="left" vertical="top" shrinkToFit="1"/>
    </xf>
    <xf numFmtId="0" fontId="0" fillId="0" borderId="7" xfId="0" applyFont="1" applyBorder="1" applyAlignment="1">
      <alignment horizontal="left" vertical="top" wrapText="1"/>
    </xf>
    <xf numFmtId="0" fontId="16" fillId="0" borderId="2" xfId="0" applyFont="1" applyBorder="1" applyAlignment="1">
      <alignment horizontal="left" vertical="center" shrinkToFit="1"/>
    </xf>
    <xf numFmtId="0" fontId="21" fillId="0" borderId="7" xfId="0" applyFont="1" applyBorder="1" applyAlignment="1">
      <alignment vertical="top" wrapText="1" shrinkToFit="1"/>
    </xf>
    <xf numFmtId="0" fontId="10" fillId="0" borderId="8" xfId="0" applyFont="1" applyBorder="1" applyAlignment="1">
      <alignment vertical="top"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0" fillId="0" borderId="8" xfId="0" applyFont="1" applyBorder="1" applyAlignment="1">
      <alignment vertical="top" wrapText="1" shrinkToFit="1"/>
    </xf>
    <xf numFmtId="0" fontId="10" fillId="0" borderId="9" xfId="0" applyFont="1" applyBorder="1" applyAlignment="1">
      <alignment vertical="top" wrapText="1" shrinkToFit="1"/>
    </xf>
    <xf numFmtId="0" fontId="10" fillId="0" borderId="5" xfId="0" applyFont="1" applyBorder="1" applyAlignment="1">
      <alignment vertical="top" wrapText="1" shrinkToFit="1"/>
    </xf>
    <xf numFmtId="0" fontId="10" fillId="0" borderId="0" xfId="0" applyFont="1" applyAlignment="1">
      <alignment vertical="top" wrapText="1" shrinkToFit="1"/>
    </xf>
    <xf numFmtId="0" fontId="10" fillId="0" borderId="10" xfId="0" applyFont="1" applyBorder="1" applyAlignment="1">
      <alignment vertical="top" wrapText="1" shrinkToFit="1"/>
    </xf>
    <xf numFmtId="0" fontId="10" fillId="0" borderId="11" xfId="0" applyFont="1" applyBorder="1" applyAlignment="1">
      <alignment vertical="top" wrapText="1" shrinkToFi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20" fillId="0" borderId="7" xfId="0" applyFont="1" applyBorder="1" applyAlignment="1">
      <alignment vertical="top" wrapText="1" shrinkToFit="1"/>
    </xf>
    <xf numFmtId="0" fontId="20" fillId="0" borderId="24" xfId="0" applyFont="1" applyBorder="1" applyAlignment="1">
      <alignment vertical="top" wrapText="1" shrinkToFit="1"/>
    </xf>
    <xf numFmtId="0" fontId="10" fillId="0" borderId="24" xfId="0" applyFont="1" applyBorder="1" applyAlignment="1">
      <alignment vertical="top" wrapText="1" shrinkToFit="1"/>
    </xf>
    <xf numFmtId="0" fontId="10" fillId="0" borderId="23" xfId="0" applyFont="1" applyBorder="1" applyAlignment="1">
      <alignment vertical="top" wrapText="1" shrinkToFit="1"/>
    </xf>
    <xf numFmtId="0" fontId="10" fillId="0" borderId="20" xfId="0" applyFont="1" applyBorder="1" applyAlignment="1">
      <alignment vertical="center" wrapText="1"/>
    </xf>
    <xf numFmtId="0" fontId="10" fillId="0" borderId="21" xfId="0" applyFont="1" applyBorder="1" applyAlignment="1">
      <alignment vertical="center" wrapText="1"/>
    </xf>
    <xf numFmtId="0" fontId="10" fillId="0" borderId="19" xfId="0" applyFont="1" applyBorder="1" applyAlignment="1">
      <alignment vertical="center" wrapText="1"/>
    </xf>
    <xf numFmtId="0" fontId="20" fillId="0" borderId="21" xfId="0" applyFont="1" applyBorder="1" applyAlignment="1">
      <alignment vertical="top" wrapText="1" shrinkToFit="1"/>
    </xf>
    <xf numFmtId="0" fontId="10" fillId="0" borderId="21" xfId="0" applyFont="1" applyBorder="1" applyAlignment="1">
      <alignment vertical="top" wrapText="1" shrinkToFit="1"/>
    </xf>
    <xf numFmtId="0" fontId="10" fillId="0" borderId="19" xfId="0" applyFont="1" applyBorder="1" applyAlignment="1">
      <alignment vertical="top" wrapText="1" shrinkToFit="1"/>
    </xf>
    <xf numFmtId="0" fontId="20" fillId="0" borderId="20" xfId="0" applyFont="1" applyBorder="1" applyAlignment="1">
      <alignment vertical="top" wrapText="1" shrinkToFit="1"/>
    </xf>
    <xf numFmtId="0" fontId="10" fillId="0" borderId="18" xfId="0" applyFont="1" applyBorder="1" applyAlignment="1">
      <alignment vertical="center" wrapText="1"/>
    </xf>
    <xf numFmtId="0" fontId="19" fillId="0" borderId="2" xfId="2" applyFont="1" applyBorder="1" applyAlignment="1">
      <alignment horizontal="left" vertical="center" shrinkToFit="1"/>
    </xf>
    <xf numFmtId="0" fontId="23" fillId="0" borderId="3" xfId="0" applyFont="1" applyBorder="1" applyAlignment="1">
      <alignment horizontal="left" vertical="center" shrinkToFit="1"/>
    </xf>
    <xf numFmtId="0" fontId="23" fillId="0" borderId="4" xfId="0" applyFont="1" applyBorder="1" applyAlignment="1">
      <alignment horizontal="left" vertical="center" shrinkToFit="1"/>
    </xf>
    <xf numFmtId="0" fontId="23" fillId="0" borderId="0" xfId="0" applyFont="1" applyAlignment="1">
      <alignment vertical="top" wrapText="1"/>
    </xf>
    <xf numFmtId="0" fontId="21" fillId="0" borderId="6" xfId="0" applyFont="1" applyBorder="1" applyAlignment="1">
      <alignment vertical="top" wrapText="1"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10" fillId="0" borderId="22" xfId="0" applyFont="1" applyBorder="1" applyAlignment="1">
      <alignment vertical="center" wrapText="1"/>
    </xf>
    <xf numFmtId="0" fontId="10" fillId="0" borderId="23" xfId="0" applyFont="1" applyBorder="1" applyAlignment="1">
      <alignment vertical="center" wrapTex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5"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5" fillId="0" borderId="11" xfId="0" applyFont="1" applyBorder="1" applyAlignment="1">
      <alignment vertical="top" wrapText="1"/>
    </xf>
    <xf numFmtId="0" fontId="5" fillId="0" borderId="6" xfId="0" applyFont="1" applyBorder="1" applyAlignment="1">
      <alignment vertical="top" wrapText="1"/>
    </xf>
    <xf numFmtId="0" fontId="5" fillId="0" borderId="12" xfId="0" applyFont="1" applyBorder="1" applyAlignment="1">
      <alignment vertical="top" wrapText="1"/>
    </xf>
    <xf numFmtId="0" fontId="5" fillId="0" borderId="0" xfId="0" applyFont="1" applyAlignment="1">
      <alignment horizontal="center" vertical="center"/>
    </xf>
    <xf numFmtId="0" fontId="5" fillId="0" borderId="7" xfId="0" applyFont="1" applyBorder="1" applyAlignment="1">
      <alignment vertical="top" wrapText="1"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5" xfId="0" applyFont="1" applyBorder="1" applyAlignment="1">
      <alignment vertical="top" shrinkToFit="1"/>
    </xf>
    <xf numFmtId="0" fontId="5" fillId="0" borderId="0" xfId="0" applyFont="1" applyBorder="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6" xfId="0" applyFont="1" applyBorder="1" applyAlignment="1">
      <alignment vertical="top" shrinkToFit="1"/>
    </xf>
    <xf numFmtId="0" fontId="5" fillId="0" borderId="12" xfId="0" applyFont="1" applyBorder="1" applyAlignment="1">
      <alignment vertical="top" shrinkToFit="1"/>
    </xf>
    <xf numFmtId="0" fontId="10" fillId="0" borderId="7" xfId="0" applyFont="1" applyBorder="1" applyAlignment="1">
      <alignment vertical="top" wrapText="1" shrinkToFit="1"/>
    </xf>
    <xf numFmtId="0" fontId="10" fillId="0" borderId="0" xfId="0" applyFont="1" applyBorder="1" applyAlignment="1">
      <alignment vertical="top" shrinkToFit="1"/>
    </xf>
    <xf numFmtId="0" fontId="1"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6" xfId="0" applyFont="1" applyBorder="1" applyAlignment="1">
      <alignment horizontal="left" vertical="top" wrapText="1"/>
    </xf>
    <xf numFmtId="0" fontId="1" fillId="0" borderId="12" xfId="0" applyFont="1" applyBorder="1" applyAlignment="1">
      <alignment horizontal="left" vertical="top" wrapText="1"/>
    </xf>
    <xf numFmtId="0" fontId="1" fillId="0" borderId="11" xfId="0" applyFont="1" applyBorder="1" applyAlignment="1">
      <alignment horizontal="center" vertical="center"/>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2" xfId="0" applyFont="1" applyBorder="1" applyAlignment="1">
      <alignment horizontal="left" vertical="center" shrinkToFi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3" xfId="0" applyFont="1" applyBorder="1" applyAlignment="1">
      <alignment horizontal="left" vertical="top" shrinkToFit="1"/>
    </xf>
    <xf numFmtId="0" fontId="1" fillId="0" borderId="4" xfId="0" applyFont="1" applyBorder="1" applyAlignment="1">
      <alignment horizontal="left" vertical="top" shrinkToFit="1"/>
    </xf>
    <xf numFmtId="0" fontId="1" fillId="0" borderId="8" xfId="0" applyFont="1" applyBorder="1" applyAlignment="1">
      <alignment horizontal="left" vertical="top" shrinkToFit="1"/>
    </xf>
    <xf numFmtId="0" fontId="1" fillId="0" borderId="9" xfId="0" applyFont="1" applyBorder="1" applyAlignment="1">
      <alignment horizontal="left" vertical="top" shrinkToFit="1"/>
    </xf>
    <xf numFmtId="0" fontId="1" fillId="0" borderId="5" xfId="0" applyFont="1" applyBorder="1" applyAlignment="1">
      <alignment horizontal="left" vertical="top" shrinkToFit="1"/>
    </xf>
    <xf numFmtId="0" fontId="1" fillId="0" borderId="0" xfId="0" applyFont="1" applyAlignment="1">
      <alignment horizontal="left" vertical="top" shrinkToFit="1"/>
    </xf>
    <xf numFmtId="0" fontId="1" fillId="0" borderId="10" xfId="0" applyFont="1" applyBorder="1" applyAlignment="1">
      <alignment horizontal="left" vertical="top" shrinkToFit="1"/>
    </xf>
    <xf numFmtId="0" fontId="1" fillId="0" borderId="11" xfId="0" applyFont="1" applyBorder="1" applyAlignment="1">
      <alignment horizontal="left" vertical="top" shrinkToFit="1"/>
    </xf>
    <xf numFmtId="0" fontId="1" fillId="0" borderId="6" xfId="0" applyFont="1" applyBorder="1" applyAlignment="1">
      <alignment horizontal="left" vertical="top" shrinkToFit="1"/>
    </xf>
    <xf numFmtId="0" fontId="1" fillId="0" borderId="12" xfId="0" applyFont="1" applyBorder="1" applyAlignment="1">
      <alignment horizontal="left" vertical="top"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1" fillId="0" borderId="7" xfId="0" applyFont="1" applyBorder="1" applyAlignment="1">
      <alignment horizontal="left" vertical="top" wrapText="1" shrinkToFit="1"/>
    </xf>
    <xf numFmtId="0" fontId="1" fillId="0" borderId="8" xfId="0" applyFont="1" applyBorder="1" applyAlignment="1">
      <alignment horizontal="left" vertical="top" wrapText="1" shrinkToFit="1"/>
    </xf>
    <xf numFmtId="0" fontId="1" fillId="0" borderId="9" xfId="0" applyFont="1" applyBorder="1" applyAlignment="1">
      <alignment horizontal="left" vertical="top" wrapText="1" shrinkToFit="1"/>
    </xf>
    <xf numFmtId="0" fontId="1" fillId="0" borderId="5" xfId="0" applyFont="1" applyBorder="1" applyAlignment="1">
      <alignment horizontal="left" vertical="top" wrapText="1" shrinkToFit="1"/>
    </xf>
    <xf numFmtId="0" fontId="1" fillId="0" borderId="0" xfId="0" applyFont="1" applyAlignment="1">
      <alignment horizontal="left" vertical="top" wrapText="1" shrinkToFit="1"/>
    </xf>
    <xf numFmtId="0" fontId="1" fillId="0" borderId="10" xfId="0" applyFont="1" applyBorder="1" applyAlignment="1">
      <alignment horizontal="left" vertical="top" wrapText="1" shrinkToFit="1"/>
    </xf>
    <xf numFmtId="0" fontId="1" fillId="0" borderId="11" xfId="0" applyFont="1" applyBorder="1" applyAlignment="1">
      <alignment horizontal="left" vertical="top" wrapText="1" shrinkToFit="1"/>
    </xf>
    <xf numFmtId="0" fontId="1" fillId="0" borderId="6" xfId="0" applyFont="1" applyBorder="1" applyAlignment="1">
      <alignment horizontal="left" vertical="top" wrapText="1" shrinkToFit="1"/>
    </xf>
    <xf numFmtId="0" fontId="1" fillId="0" borderId="12" xfId="0" applyFont="1" applyBorder="1" applyAlignment="1">
      <alignment horizontal="left" vertical="top" wrapText="1" shrinkToFit="1"/>
    </xf>
    <xf numFmtId="0" fontId="1" fillId="0" borderId="2" xfId="0" applyFont="1" applyBorder="1" applyAlignment="1">
      <alignment vertical="center" wrapText="1" shrinkToFit="1"/>
    </xf>
    <xf numFmtId="0" fontId="1" fillId="0" borderId="3" xfId="0" applyFont="1" applyBorder="1" applyAlignment="1">
      <alignment vertical="center" wrapText="1" shrinkToFit="1"/>
    </xf>
    <xf numFmtId="0" fontId="1" fillId="0" borderId="4" xfId="0" applyFont="1" applyBorder="1" applyAlignment="1">
      <alignment vertical="center" wrapText="1" shrinkToFit="1"/>
    </xf>
    <xf numFmtId="0" fontId="1" fillId="0" borderId="1" xfId="0" applyFont="1" applyBorder="1" applyAlignment="1">
      <alignment vertical="center" wrapText="1"/>
    </xf>
    <xf numFmtId="0" fontId="8" fillId="0" borderId="0" xfId="2" applyAlignment="1">
      <alignment vertical="center"/>
    </xf>
    <xf numFmtId="0" fontId="0" fillId="0" borderId="0" xfId="0" applyAlignment="1">
      <alignment vertical="center"/>
    </xf>
    <xf numFmtId="0" fontId="1" fillId="0" borderId="7" xfId="0" applyFont="1" applyBorder="1" applyAlignment="1">
      <alignment vertical="top" wrapText="1" shrinkToFit="1"/>
    </xf>
    <xf numFmtId="0" fontId="1" fillId="0" borderId="8" xfId="0" applyFont="1" applyBorder="1" applyAlignment="1">
      <alignment vertical="top" wrapText="1" shrinkToFit="1"/>
    </xf>
    <xf numFmtId="0" fontId="1" fillId="0" borderId="9" xfId="0" applyFont="1" applyBorder="1" applyAlignment="1">
      <alignment vertical="top" wrapText="1" shrinkToFit="1"/>
    </xf>
    <xf numFmtId="0" fontId="1" fillId="0" borderId="5" xfId="0" applyFont="1" applyBorder="1" applyAlignment="1">
      <alignment vertical="top" wrapText="1" shrinkToFit="1"/>
    </xf>
    <xf numFmtId="0" fontId="1" fillId="0" borderId="0" xfId="0" applyFont="1" applyAlignment="1">
      <alignment vertical="top" wrapText="1" shrinkToFit="1"/>
    </xf>
    <xf numFmtId="0" fontId="1" fillId="0" borderId="10" xfId="0" applyFont="1" applyBorder="1" applyAlignment="1">
      <alignment vertical="top" wrapText="1" shrinkToFit="1"/>
    </xf>
    <xf numFmtId="0" fontId="1" fillId="0" borderId="11" xfId="0" applyFont="1" applyBorder="1" applyAlignment="1">
      <alignment vertical="top" wrapText="1" shrinkToFit="1"/>
    </xf>
    <xf numFmtId="0" fontId="1" fillId="0" borderId="6" xfId="0" applyFont="1" applyBorder="1" applyAlignment="1">
      <alignment vertical="top" wrapText="1" shrinkToFit="1"/>
    </xf>
    <xf numFmtId="0" fontId="1" fillId="0" borderId="12" xfId="0" applyFont="1" applyBorder="1" applyAlignment="1">
      <alignment vertical="top" wrapText="1" shrinkToFit="1"/>
    </xf>
    <xf numFmtId="0" fontId="10" fillId="0" borderId="6" xfId="0" applyFont="1" applyBorder="1" applyAlignment="1">
      <alignment vertical="center"/>
    </xf>
    <xf numFmtId="0" fontId="10" fillId="0" borderId="18" xfId="0" applyFont="1" applyBorder="1" applyAlignment="1">
      <alignment vertical="center"/>
    </xf>
    <xf numFmtId="0" fontId="20" fillId="0" borderId="19" xfId="0" applyFont="1" applyBorder="1" applyAlignment="1">
      <alignment vertical="center"/>
    </xf>
    <xf numFmtId="0" fontId="1" fillId="0" borderId="0" xfId="0" applyFont="1" applyAlignment="1">
      <alignment vertical="center" wrapText="1"/>
    </xf>
    <xf numFmtId="0" fontId="1" fillId="0" borderId="0" xfId="0" applyFont="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k-suishin@un.tsukuba.ac.jp" TargetMode="Externa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dsp.cs.tsukuba.ac.jp/" TargetMode="External"/><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dsp.cs.tsukuba.ac.jp/" TargetMode="External"/><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abSelected="1" zoomScaleNormal="100" workbookViewId="0">
      <selection activeCell="B6" sqref="B6"/>
    </sheetView>
  </sheetViews>
  <sheetFormatPr defaultColWidth="9" defaultRowHeight="18.75" customHeight="1"/>
  <cols>
    <col min="1" max="1" width="2.5" style="6" customWidth="1"/>
    <col min="2" max="2" width="12.5" style="6" customWidth="1"/>
    <col min="3" max="8" width="6.125" style="6" customWidth="1"/>
    <col min="9" max="9" width="2.5" style="6" customWidth="1"/>
    <col min="10" max="10" width="10" style="6" customWidth="1"/>
    <col min="11" max="11" width="2.5" style="6" customWidth="1"/>
    <col min="12" max="12" width="7.5" style="6" customWidth="1"/>
    <col min="13" max="13" width="2.5" style="6" customWidth="1"/>
    <col min="14" max="14" width="7.5" style="6" customWidth="1"/>
    <col min="15" max="16384" width="9" style="6"/>
  </cols>
  <sheetData>
    <row r="1" spans="1:14" ht="22.5" customHeight="1">
      <c r="M1" s="110" t="s">
        <v>0</v>
      </c>
      <c r="N1" s="110"/>
    </row>
    <row r="2" spans="1:14" ht="22.5" customHeight="1">
      <c r="A2" s="115" t="s">
        <v>1</v>
      </c>
      <c r="B2" s="115"/>
      <c r="C2" s="115"/>
      <c r="D2" s="115"/>
      <c r="E2" s="115"/>
      <c r="F2" s="115"/>
      <c r="G2" s="115"/>
      <c r="H2" s="115"/>
      <c r="I2" s="115"/>
      <c r="J2" s="115"/>
      <c r="K2" s="115"/>
      <c r="L2" s="115"/>
      <c r="M2" s="115"/>
      <c r="N2" s="115"/>
    </row>
    <row r="3" spans="1:14" ht="22.5" customHeight="1"/>
    <row r="4" spans="1:14" ht="22.5" customHeight="1">
      <c r="A4" s="6" t="s">
        <v>2</v>
      </c>
      <c r="B4" s="8" t="s">
        <v>3</v>
      </c>
      <c r="C4" s="100" t="s">
        <v>4</v>
      </c>
      <c r="D4" s="101"/>
      <c r="E4" s="101"/>
      <c r="F4" s="101"/>
      <c r="G4" s="101"/>
      <c r="H4" s="101"/>
      <c r="I4" s="101"/>
      <c r="J4" s="101"/>
      <c r="K4" s="101"/>
      <c r="L4" s="101"/>
      <c r="M4" s="101"/>
      <c r="N4" s="102"/>
    </row>
    <row r="5" spans="1:14" ht="7.5" customHeight="1">
      <c r="B5" s="8"/>
      <c r="C5" s="8"/>
      <c r="D5" s="8"/>
      <c r="E5" s="9"/>
      <c r="F5" s="91"/>
      <c r="G5" s="91"/>
      <c r="H5" s="91"/>
      <c r="I5" s="91"/>
      <c r="J5" s="91"/>
      <c r="K5" s="91"/>
      <c r="L5" s="91"/>
      <c r="M5" s="91"/>
      <c r="N5" s="91"/>
    </row>
    <row r="6" spans="1:14" ht="22.5" customHeight="1">
      <c r="A6" s="6" t="s">
        <v>5</v>
      </c>
      <c r="B6" s="8" t="s">
        <v>6</v>
      </c>
      <c r="C6" s="8"/>
      <c r="D6" s="100" t="s">
        <v>7</v>
      </c>
      <c r="E6" s="101"/>
      <c r="F6" s="101"/>
      <c r="G6" s="101"/>
      <c r="H6" s="101"/>
      <c r="I6" s="101"/>
      <c r="J6" s="101"/>
      <c r="K6" s="101"/>
      <c r="L6" s="101"/>
      <c r="M6" s="101"/>
      <c r="N6" s="102"/>
    </row>
    <row r="7" spans="1:14" ht="7.5" customHeight="1">
      <c r="B7" s="8"/>
      <c r="C7" s="8"/>
      <c r="D7" s="8"/>
      <c r="E7" s="9"/>
      <c r="F7" s="91"/>
      <c r="G7" s="91"/>
      <c r="H7" s="91"/>
      <c r="I7" s="91"/>
      <c r="J7" s="91"/>
      <c r="K7" s="91"/>
      <c r="L7" s="91"/>
      <c r="M7" s="91"/>
      <c r="N7" s="91"/>
    </row>
    <row r="8" spans="1:14" ht="22.5" customHeight="1">
      <c r="A8" s="10" t="s">
        <v>8</v>
      </c>
      <c r="B8" s="11" t="s">
        <v>9</v>
      </c>
      <c r="C8" s="100" t="s">
        <v>10</v>
      </c>
      <c r="D8" s="101"/>
      <c r="E8" s="102"/>
      <c r="F8" s="91"/>
      <c r="G8" s="114"/>
      <c r="H8" s="114"/>
      <c r="I8" s="114"/>
      <c r="J8" s="91"/>
      <c r="K8" s="91"/>
      <c r="L8" s="91"/>
      <c r="M8" s="91"/>
      <c r="N8" s="91"/>
    </row>
    <row r="9" spans="1:14" ht="7.5" customHeight="1">
      <c r="B9" s="8"/>
      <c r="C9" s="8"/>
      <c r="D9" s="8"/>
      <c r="E9" s="9"/>
      <c r="F9" s="91"/>
      <c r="G9" s="91"/>
      <c r="H9" s="91"/>
      <c r="I9" s="91"/>
      <c r="J9" s="91"/>
      <c r="K9" s="91"/>
      <c r="L9" s="91"/>
      <c r="M9" s="91"/>
      <c r="N9" s="91"/>
    </row>
    <row r="10" spans="1:14" ht="22.5" customHeight="1">
      <c r="A10" s="6" t="s">
        <v>11</v>
      </c>
      <c r="B10" s="8" t="s">
        <v>12</v>
      </c>
      <c r="C10" s="100" t="s">
        <v>13</v>
      </c>
      <c r="D10" s="101"/>
      <c r="E10" s="101"/>
      <c r="F10" s="101"/>
      <c r="G10" s="101"/>
      <c r="H10" s="101"/>
      <c r="I10" s="101"/>
      <c r="J10" s="101"/>
      <c r="K10" s="101"/>
      <c r="L10" s="101"/>
      <c r="M10" s="101"/>
      <c r="N10" s="102"/>
    </row>
    <row r="11" spans="1:14" ht="7.5" customHeight="1">
      <c r="B11" s="8"/>
      <c r="C11" s="8"/>
      <c r="D11" s="8"/>
      <c r="E11" s="9"/>
      <c r="F11" s="91"/>
      <c r="G11" s="91"/>
      <c r="H11" s="91"/>
      <c r="I11" s="91"/>
      <c r="J11" s="91"/>
      <c r="K11" s="91"/>
      <c r="L11" s="91"/>
      <c r="M11" s="91"/>
      <c r="N11" s="91"/>
    </row>
    <row r="12" spans="1:14" ht="22.5" customHeight="1">
      <c r="A12" s="6" t="s">
        <v>14</v>
      </c>
      <c r="B12" s="8" t="s">
        <v>15</v>
      </c>
      <c r="C12" s="8"/>
      <c r="D12" s="8"/>
      <c r="E12" s="91"/>
      <c r="F12" s="52"/>
      <c r="G12" s="100" t="s">
        <v>16</v>
      </c>
      <c r="H12" s="101"/>
      <c r="I12" s="101"/>
      <c r="J12" s="101"/>
      <c r="K12" s="101"/>
      <c r="L12" s="101"/>
      <c r="M12" s="101"/>
      <c r="N12" s="102"/>
    </row>
    <row r="13" spans="1:14" ht="7.5" customHeight="1">
      <c r="B13" s="9"/>
      <c r="C13" s="9"/>
      <c r="D13" s="9"/>
      <c r="E13" s="9"/>
      <c r="F13" s="91"/>
      <c r="G13" s="91"/>
      <c r="H13" s="91"/>
      <c r="I13" s="91"/>
      <c r="J13" s="91"/>
      <c r="K13" s="91"/>
      <c r="L13" s="91"/>
      <c r="M13" s="91"/>
      <c r="N13" s="91"/>
    </row>
    <row r="14" spans="1:14" ht="22.5" customHeight="1">
      <c r="A14" s="6" t="s">
        <v>17</v>
      </c>
      <c r="B14" s="9" t="s">
        <v>18</v>
      </c>
      <c r="C14" s="9"/>
      <c r="D14" s="9"/>
      <c r="E14" s="9"/>
      <c r="F14" s="100" t="s">
        <v>19</v>
      </c>
      <c r="G14" s="101"/>
      <c r="H14" s="102"/>
      <c r="I14" s="91"/>
      <c r="J14" s="91"/>
      <c r="K14" s="91"/>
      <c r="L14" s="91"/>
      <c r="M14" s="91"/>
      <c r="N14" s="91"/>
    </row>
    <row r="15" spans="1:14" ht="7.5" customHeight="1">
      <c r="B15" s="9"/>
      <c r="C15" s="9"/>
      <c r="D15" s="9"/>
      <c r="E15" s="9"/>
      <c r="F15" s="91"/>
      <c r="G15" s="91"/>
      <c r="H15" s="91"/>
      <c r="I15" s="91"/>
      <c r="J15" s="91"/>
      <c r="K15" s="91"/>
      <c r="L15" s="91"/>
      <c r="M15" s="91"/>
      <c r="N15" s="91"/>
    </row>
    <row r="16" spans="1:14" ht="22.5" customHeight="1">
      <c r="A16" s="6" t="s">
        <v>20</v>
      </c>
      <c r="B16" s="6" t="s">
        <v>21</v>
      </c>
      <c r="C16" s="111" t="s">
        <v>22</v>
      </c>
      <c r="D16" s="112"/>
      <c r="E16" s="98">
        <v>1898</v>
      </c>
      <c r="F16" s="99"/>
      <c r="G16" s="12" t="s">
        <v>23</v>
      </c>
      <c r="I16" s="111" t="s">
        <v>24</v>
      </c>
      <c r="J16" s="112"/>
      <c r="K16" s="98">
        <v>736</v>
      </c>
      <c r="L16" s="113"/>
      <c r="M16" s="99"/>
      <c r="N16" s="13" t="s">
        <v>23</v>
      </c>
    </row>
    <row r="17" spans="1:15" ht="7.5" customHeight="1">
      <c r="F17" s="14"/>
      <c r="G17" s="14"/>
      <c r="H17" s="14"/>
      <c r="I17" s="14"/>
      <c r="J17" s="14"/>
      <c r="K17" s="14"/>
      <c r="L17" s="14"/>
      <c r="M17" s="13"/>
      <c r="N17" s="13"/>
    </row>
    <row r="18" spans="1:15" ht="22.5" customHeight="1">
      <c r="A18" s="6" t="s">
        <v>25</v>
      </c>
      <c r="B18" s="6" t="s">
        <v>26</v>
      </c>
      <c r="F18" s="14"/>
      <c r="G18" s="14"/>
      <c r="H18" s="14"/>
      <c r="I18" s="14"/>
      <c r="J18" s="14"/>
      <c r="K18" s="104">
        <v>72</v>
      </c>
      <c r="L18" s="105"/>
      <c r="M18" s="106"/>
      <c r="N18" s="13" t="s">
        <v>23</v>
      </c>
    </row>
    <row r="19" spans="1:15" ht="7.5" customHeight="1">
      <c r="F19" s="14"/>
      <c r="G19" s="14"/>
      <c r="H19" s="14"/>
      <c r="I19" s="14"/>
      <c r="J19" s="14"/>
      <c r="K19" s="14"/>
      <c r="L19" s="14"/>
      <c r="M19" s="13"/>
      <c r="N19" s="13"/>
    </row>
    <row r="20" spans="1:15" ht="22.5" customHeight="1">
      <c r="A20" s="6" t="s">
        <v>27</v>
      </c>
      <c r="B20" s="6" t="s">
        <v>28</v>
      </c>
      <c r="E20" s="98">
        <v>2179</v>
      </c>
      <c r="F20" s="99"/>
      <c r="G20" s="15" t="s">
        <v>29</v>
      </c>
      <c r="H20" s="14"/>
      <c r="K20" s="97"/>
      <c r="L20" s="97"/>
      <c r="M20" s="97"/>
      <c r="N20" s="97"/>
    </row>
    <row r="21" spans="1:15" ht="7.5" customHeight="1">
      <c r="E21" s="4"/>
      <c r="F21" s="14"/>
      <c r="G21" s="14"/>
      <c r="L21" s="87"/>
      <c r="M21" s="87"/>
      <c r="N21" s="16"/>
    </row>
    <row r="22" spans="1:15" ht="22.5" customHeight="1">
      <c r="A22" s="6" t="s">
        <v>30</v>
      </c>
      <c r="B22" s="6" t="s">
        <v>31</v>
      </c>
      <c r="E22" s="4"/>
      <c r="F22" s="14"/>
      <c r="G22" s="14"/>
      <c r="H22" s="6" t="s">
        <v>32</v>
      </c>
      <c r="J22" s="104">
        <v>9797</v>
      </c>
      <c r="K22" s="105"/>
      <c r="L22" s="106"/>
      <c r="M22" s="87" t="s">
        <v>23</v>
      </c>
      <c r="N22" s="16"/>
    </row>
    <row r="23" spans="1:15" ht="7.5" customHeight="1">
      <c r="E23" s="4"/>
      <c r="F23" s="14"/>
      <c r="G23" s="14"/>
      <c r="L23" s="87"/>
      <c r="M23" s="87"/>
      <c r="N23" s="16"/>
    </row>
    <row r="24" spans="1:15" ht="22.5" customHeight="1">
      <c r="B24" s="90" t="s">
        <v>33</v>
      </c>
      <c r="C24" s="98">
        <v>2192</v>
      </c>
      <c r="D24" s="99"/>
      <c r="E24" s="4" t="s">
        <v>23</v>
      </c>
      <c r="F24" s="14"/>
      <c r="G24" s="103" t="s">
        <v>34</v>
      </c>
      <c r="H24" s="103"/>
      <c r="I24" s="98">
        <v>2200</v>
      </c>
      <c r="J24" s="99"/>
      <c r="K24" s="10" t="s">
        <v>23</v>
      </c>
      <c r="M24" s="87"/>
      <c r="N24" s="16"/>
      <c r="O24" s="7"/>
    </row>
    <row r="25" spans="1:15" ht="7.5" customHeight="1">
      <c r="B25" s="90"/>
      <c r="C25" s="5"/>
      <c r="D25" s="5"/>
      <c r="E25" s="4"/>
      <c r="F25" s="14"/>
      <c r="G25" s="87"/>
      <c r="H25" s="87"/>
      <c r="I25" s="5"/>
      <c r="J25" s="5"/>
      <c r="K25" s="10"/>
      <c r="M25" s="87"/>
      <c r="N25" s="16"/>
      <c r="O25" s="7"/>
    </row>
    <row r="26" spans="1:15" ht="22.5" customHeight="1">
      <c r="B26" s="90" t="s">
        <v>35</v>
      </c>
      <c r="C26" s="98">
        <v>2331</v>
      </c>
      <c r="D26" s="99"/>
      <c r="E26" s="4" t="s">
        <v>23</v>
      </c>
      <c r="F26" s="14"/>
      <c r="G26" s="103" t="s">
        <v>36</v>
      </c>
      <c r="H26" s="103"/>
      <c r="I26" s="98">
        <v>2777</v>
      </c>
      <c r="J26" s="99"/>
      <c r="K26" s="10" t="s">
        <v>23</v>
      </c>
      <c r="M26" s="87"/>
      <c r="N26" s="16"/>
    </row>
    <row r="27" spans="1:15" ht="7.5" customHeight="1">
      <c r="B27" s="90"/>
      <c r="C27" s="5"/>
      <c r="D27" s="5"/>
      <c r="E27" s="4"/>
      <c r="F27" s="14"/>
      <c r="G27" s="87"/>
      <c r="H27" s="87"/>
      <c r="I27" s="5"/>
      <c r="J27" s="5"/>
      <c r="K27" s="10"/>
      <c r="M27" s="87"/>
      <c r="N27" s="16"/>
    </row>
    <row r="28" spans="1:15" ht="22.5" customHeight="1">
      <c r="B28" s="90" t="s">
        <v>37</v>
      </c>
      <c r="C28" s="98">
        <v>142</v>
      </c>
      <c r="D28" s="99"/>
      <c r="E28" s="4" t="s">
        <v>23</v>
      </c>
      <c r="F28" s="14"/>
      <c r="G28" s="103" t="s">
        <v>38</v>
      </c>
      <c r="H28" s="103"/>
      <c r="I28" s="98">
        <v>155</v>
      </c>
      <c r="J28" s="99"/>
      <c r="K28" s="10" t="s">
        <v>23</v>
      </c>
      <c r="M28" s="87"/>
      <c r="N28" s="16"/>
    </row>
    <row r="29" spans="1:15" ht="7.5" customHeight="1">
      <c r="F29" s="14"/>
      <c r="G29" s="14"/>
      <c r="M29" s="17"/>
      <c r="N29" s="17"/>
    </row>
    <row r="30" spans="1:15" ht="22.5" customHeight="1">
      <c r="A30" s="6" t="s">
        <v>39</v>
      </c>
      <c r="B30" s="8" t="s">
        <v>40</v>
      </c>
      <c r="C30" s="8"/>
      <c r="D30" s="8"/>
      <c r="E30" s="8"/>
      <c r="F30" s="10"/>
      <c r="G30" s="91"/>
      <c r="H30" s="91"/>
      <c r="I30" s="91"/>
      <c r="J30" s="19"/>
      <c r="K30" s="19"/>
      <c r="L30" s="19"/>
      <c r="M30" s="19"/>
      <c r="N30" s="19"/>
    </row>
    <row r="31" spans="1:15" s="7" customFormat="1" ht="22.5" customHeight="1">
      <c r="B31" s="107" t="s">
        <v>41</v>
      </c>
      <c r="C31" s="107"/>
      <c r="D31" s="100" t="s">
        <v>42</v>
      </c>
      <c r="E31" s="101"/>
      <c r="F31" s="101"/>
      <c r="G31" s="108" t="s">
        <v>43</v>
      </c>
      <c r="H31" s="107"/>
      <c r="I31" s="109"/>
      <c r="J31" s="100" t="s">
        <v>44</v>
      </c>
      <c r="K31" s="101"/>
      <c r="L31" s="101"/>
      <c r="M31" s="101"/>
      <c r="N31" s="102"/>
    </row>
    <row r="32" spans="1:15" ht="7.5" customHeight="1">
      <c r="F32" s="14"/>
      <c r="G32" s="14"/>
      <c r="M32" s="17"/>
      <c r="N32" s="17"/>
    </row>
    <row r="33" spans="1:14" ht="22.5" customHeight="1">
      <c r="A33" s="6" t="s">
        <v>45</v>
      </c>
      <c r="B33" s="8" t="s">
        <v>46</v>
      </c>
      <c r="C33" s="8"/>
      <c r="D33" s="8"/>
      <c r="E33" s="8"/>
      <c r="F33" s="10"/>
      <c r="G33" s="19"/>
      <c r="H33" s="19"/>
      <c r="I33" s="19"/>
      <c r="J33" s="19"/>
      <c r="K33" s="19"/>
      <c r="L33" s="19"/>
      <c r="M33" s="19"/>
      <c r="N33" s="19"/>
    </row>
    <row r="34" spans="1:14" ht="22.5" customHeight="1">
      <c r="B34" s="100" t="s">
        <v>47</v>
      </c>
      <c r="C34" s="101"/>
      <c r="D34" s="101"/>
      <c r="E34" s="101"/>
      <c r="F34" s="101"/>
      <c r="G34" s="101"/>
      <c r="H34" s="101"/>
      <c r="I34" s="101"/>
      <c r="J34" s="101"/>
      <c r="K34" s="101"/>
      <c r="L34" s="101"/>
      <c r="M34" s="101"/>
      <c r="N34" s="102"/>
    </row>
    <row r="35" spans="1:14" ht="7.5" customHeight="1">
      <c r="B35" s="89"/>
      <c r="C35" s="89"/>
      <c r="D35" s="89"/>
      <c r="E35" s="89"/>
      <c r="F35" s="89"/>
      <c r="G35" s="89"/>
      <c r="H35" s="89"/>
      <c r="I35" s="89"/>
      <c r="J35" s="89"/>
      <c r="K35" s="89"/>
      <c r="L35" s="89"/>
      <c r="M35" s="89"/>
      <c r="N35" s="89"/>
    </row>
    <row r="36" spans="1:14" s="7" customFormat="1" ht="22.5" customHeight="1">
      <c r="B36" s="107" t="s">
        <v>41</v>
      </c>
      <c r="C36" s="107"/>
      <c r="D36" s="100" t="s">
        <v>42</v>
      </c>
      <c r="E36" s="101"/>
      <c r="F36" s="101"/>
      <c r="G36" s="108" t="s">
        <v>43</v>
      </c>
      <c r="H36" s="107"/>
      <c r="I36" s="109"/>
      <c r="J36" s="100" t="s">
        <v>48</v>
      </c>
      <c r="K36" s="101"/>
      <c r="L36" s="101"/>
      <c r="M36" s="101"/>
      <c r="N36" s="102"/>
    </row>
    <row r="37" spans="1:14" ht="7.5" customHeight="1">
      <c r="F37" s="91"/>
      <c r="G37" s="91"/>
      <c r="H37" s="91"/>
      <c r="I37" s="91"/>
      <c r="J37" s="91"/>
      <c r="K37" s="91"/>
      <c r="L37" s="91"/>
      <c r="M37" s="91"/>
      <c r="N37" s="91"/>
    </row>
    <row r="38" spans="1:14" ht="22.5" customHeight="1">
      <c r="A38" s="6" t="s">
        <v>49</v>
      </c>
      <c r="B38" s="6" t="s">
        <v>50</v>
      </c>
      <c r="M38" s="17"/>
      <c r="N38" s="17"/>
    </row>
    <row r="39" spans="1:14" ht="22.5" customHeight="1">
      <c r="B39" s="100" t="s">
        <v>51</v>
      </c>
      <c r="C39" s="101"/>
      <c r="D39" s="101"/>
      <c r="E39" s="101"/>
      <c r="F39" s="101"/>
      <c r="G39" s="101"/>
      <c r="H39" s="101"/>
      <c r="I39" s="101"/>
      <c r="J39" s="101"/>
      <c r="K39" s="101"/>
      <c r="L39" s="101"/>
      <c r="M39" s="101"/>
      <c r="N39" s="102"/>
    </row>
    <row r="40" spans="1:14" ht="7.5" customHeight="1">
      <c r="F40" s="91"/>
      <c r="G40" s="91"/>
      <c r="H40" s="91"/>
      <c r="I40" s="91"/>
      <c r="J40" s="91"/>
      <c r="K40" s="91"/>
      <c r="L40" s="91"/>
      <c r="M40" s="91"/>
      <c r="N40" s="91"/>
    </row>
    <row r="41" spans="1:14" s="7" customFormat="1" ht="22.5" customHeight="1">
      <c r="B41" s="107" t="s">
        <v>41</v>
      </c>
      <c r="C41" s="107"/>
      <c r="D41" s="100" t="s">
        <v>42</v>
      </c>
      <c r="E41" s="101"/>
      <c r="F41" s="101"/>
      <c r="G41" s="108" t="s">
        <v>43</v>
      </c>
      <c r="H41" s="107"/>
      <c r="I41" s="109"/>
      <c r="J41" s="100" t="s">
        <v>52</v>
      </c>
      <c r="K41" s="101"/>
      <c r="L41" s="101"/>
      <c r="M41" s="101"/>
      <c r="N41" s="102"/>
    </row>
    <row r="42" spans="1:14" ht="7.5" customHeight="1">
      <c r="F42" s="91"/>
      <c r="G42" s="91"/>
      <c r="H42" s="91"/>
      <c r="I42" s="91"/>
      <c r="J42" s="91"/>
      <c r="K42" s="91"/>
      <c r="L42" s="91"/>
      <c r="M42" s="91"/>
      <c r="N42" s="91"/>
    </row>
    <row r="43" spans="1:14" ht="22.5" customHeight="1">
      <c r="A43" s="6" t="s">
        <v>53</v>
      </c>
      <c r="B43" s="53" t="s">
        <v>54</v>
      </c>
      <c r="E43" s="52"/>
      <c r="F43" s="100" t="s">
        <v>55</v>
      </c>
      <c r="G43" s="101"/>
      <c r="H43" s="101"/>
      <c r="I43" s="101"/>
      <c r="J43" s="101"/>
      <c r="K43" s="101"/>
      <c r="L43" s="101"/>
      <c r="M43" s="101"/>
      <c r="N43" s="102"/>
    </row>
    <row r="44" spans="1:14" ht="7.5" customHeight="1">
      <c r="F44" s="91"/>
      <c r="G44" s="91"/>
      <c r="H44" s="91"/>
      <c r="I44" s="91"/>
      <c r="J44" s="91"/>
      <c r="K44" s="91"/>
      <c r="L44" s="91"/>
      <c r="M44" s="91"/>
      <c r="N44" s="91"/>
    </row>
    <row r="45" spans="1:14" ht="22.5" customHeight="1">
      <c r="A45" s="6" t="s">
        <v>56</v>
      </c>
    </row>
    <row r="46" spans="1:14" ht="22.5" customHeight="1">
      <c r="B46" s="20" t="s">
        <v>57</v>
      </c>
      <c r="C46" s="122" t="s">
        <v>58</v>
      </c>
      <c r="D46" s="123"/>
      <c r="E46" s="123"/>
      <c r="F46" s="123"/>
      <c r="G46" s="123"/>
      <c r="H46" s="123"/>
      <c r="I46" s="21" t="s">
        <v>59</v>
      </c>
      <c r="J46" s="22"/>
      <c r="K46" s="100" t="s">
        <v>60</v>
      </c>
      <c r="L46" s="101"/>
      <c r="M46" s="101"/>
      <c r="N46" s="102"/>
    </row>
    <row r="47" spans="1:14" ht="22.5" customHeight="1">
      <c r="B47" s="20" t="s">
        <v>61</v>
      </c>
      <c r="C47" s="116" t="s">
        <v>62</v>
      </c>
      <c r="D47" s="117"/>
      <c r="E47" s="117"/>
      <c r="F47" s="117"/>
      <c r="G47" s="117"/>
      <c r="H47" s="118"/>
      <c r="I47" s="21" t="s">
        <v>63</v>
      </c>
      <c r="J47" s="22"/>
      <c r="K47" s="119" t="s">
        <v>64</v>
      </c>
      <c r="L47" s="120"/>
      <c r="M47" s="120"/>
      <c r="N47" s="121"/>
    </row>
  </sheetData>
  <customSheetViews>
    <customSheetView guid="{5055547B-B170-416F-A083-CC8E7809C104}" fitToPage="1" topLeftCell="A19">
      <selection activeCell="F52" sqref="F52"/>
      <pageMargins left="0" right="0" top="0" bottom="0" header="0" footer="0"/>
      <printOptions horizontalCentered="1"/>
      <pageSetup paperSize="9" orientation="portrait" r:id="rId1"/>
    </customSheetView>
  </customSheetViews>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3"/>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2"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E6" sqref="E6:I6"/>
    </sheetView>
  </sheetViews>
  <sheetFormatPr defaultColWidth="9" defaultRowHeight="18.75" customHeight="1"/>
  <cols>
    <col min="1" max="2" width="2.5" style="6" customWidth="1"/>
    <col min="3" max="3" width="20" style="6" customWidth="1"/>
    <col min="4" max="4" width="8.875" style="6" customWidth="1"/>
    <col min="5" max="5" width="7.5" style="6" customWidth="1"/>
    <col min="6" max="6" width="2.5" style="6" customWidth="1"/>
    <col min="7" max="7" width="15" style="6" customWidth="1"/>
    <col min="8" max="8" width="12.5" style="6" customWidth="1"/>
    <col min="9" max="9" width="11.125" style="6" customWidth="1"/>
    <col min="10" max="16384" width="9" style="6"/>
  </cols>
  <sheetData>
    <row r="1" spans="1:9" ht="18.75" customHeight="1">
      <c r="I1" s="88" t="s">
        <v>65</v>
      </c>
    </row>
    <row r="2" spans="1:9" ht="18.75" customHeight="1">
      <c r="G2" s="18" t="s">
        <v>66</v>
      </c>
      <c r="H2" s="124" t="s">
        <v>4</v>
      </c>
      <c r="I2" s="124"/>
    </row>
    <row r="3" spans="1:9" ht="7.5" customHeight="1"/>
    <row r="4" spans="1:9" ht="18.75" customHeight="1">
      <c r="A4" s="115" t="s">
        <v>67</v>
      </c>
      <c r="B4" s="115"/>
      <c r="C4" s="115"/>
      <c r="D4" s="115"/>
      <c r="E4" s="115"/>
      <c r="F4" s="115"/>
      <c r="G4" s="115"/>
      <c r="H4" s="115"/>
      <c r="I4" s="115"/>
    </row>
    <row r="5" spans="1:9" ht="7.5" customHeight="1">
      <c r="C5" s="90"/>
      <c r="D5" s="90"/>
      <c r="E5" s="90"/>
      <c r="F5" s="90"/>
      <c r="G5" s="90"/>
      <c r="H5" s="90"/>
      <c r="I5" s="90"/>
    </row>
    <row r="6" spans="1:9" ht="18.75" customHeight="1">
      <c r="A6" s="6" t="s">
        <v>2</v>
      </c>
      <c r="B6" s="6" t="s">
        <v>68</v>
      </c>
      <c r="C6" s="90"/>
      <c r="D6" s="90"/>
      <c r="E6" s="104" t="s">
        <v>69</v>
      </c>
      <c r="F6" s="105"/>
      <c r="G6" s="105"/>
      <c r="H6" s="105"/>
      <c r="I6" s="106"/>
    </row>
    <row r="7" spans="1:9" ht="7.5" customHeight="1">
      <c r="C7" s="90"/>
      <c r="D7" s="90"/>
      <c r="F7" s="90"/>
      <c r="G7" s="90"/>
      <c r="H7" s="90"/>
      <c r="I7" s="90"/>
    </row>
    <row r="8" spans="1:9" ht="18.75" customHeight="1">
      <c r="A8" s="6" t="s">
        <v>5</v>
      </c>
      <c r="B8" s="6" t="s">
        <v>70</v>
      </c>
      <c r="C8" s="90"/>
      <c r="D8" s="90"/>
      <c r="E8" s="90"/>
      <c r="F8" s="90"/>
      <c r="G8" s="90"/>
      <c r="H8" s="90"/>
      <c r="I8" s="90"/>
    </row>
    <row r="9" spans="1:9" ht="18.75" customHeight="1">
      <c r="B9" s="131" t="s">
        <v>71</v>
      </c>
      <c r="C9" s="132"/>
      <c r="D9" s="132"/>
      <c r="E9" s="132"/>
      <c r="F9" s="132"/>
      <c r="G9" s="132"/>
      <c r="H9" s="132"/>
      <c r="I9" s="133"/>
    </row>
    <row r="10" spans="1:9" ht="18.75" customHeight="1">
      <c r="B10" s="134"/>
      <c r="C10" s="135"/>
      <c r="D10" s="135"/>
      <c r="E10" s="135"/>
      <c r="F10" s="135"/>
      <c r="G10" s="135"/>
      <c r="H10" s="135"/>
      <c r="I10" s="136"/>
    </row>
    <row r="11" spans="1:9" ht="18.75" customHeight="1">
      <c r="B11" s="134"/>
      <c r="C11" s="135"/>
      <c r="D11" s="135"/>
      <c r="E11" s="135"/>
      <c r="F11" s="135"/>
      <c r="G11" s="135"/>
      <c r="H11" s="135"/>
      <c r="I11" s="136"/>
    </row>
    <row r="12" spans="1:9" ht="18.75" customHeight="1">
      <c r="B12" s="134"/>
      <c r="C12" s="135"/>
      <c r="D12" s="135"/>
      <c r="E12" s="135"/>
      <c r="F12" s="135"/>
      <c r="G12" s="135"/>
      <c r="H12" s="135"/>
      <c r="I12" s="136"/>
    </row>
    <row r="13" spans="1:9" ht="18.75" customHeight="1">
      <c r="B13" s="134"/>
      <c r="C13" s="135"/>
      <c r="D13" s="135"/>
      <c r="E13" s="135"/>
      <c r="F13" s="135"/>
      <c r="G13" s="135"/>
      <c r="H13" s="135"/>
      <c r="I13" s="136"/>
    </row>
    <row r="14" spans="1:9" ht="18.75" customHeight="1">
      <c r="B14" s="134"/>
      <c r="C14" s="135"/>
      <c r="D14" s="135"/>
      <c r="E14" s="135"/>
      <c r="F14" s="135"/>
      <c r="G14" s="135"/>
      <c r="H14" s="135"/>
      <c r="I14" s="136"/>
    </row>
    <row r="15" spans="1:9" ht="18.75" customHeight="1">
      <c r="B15" s="134"/>
      <c r="C15" s="135"/>
      <c r="D15" s="135"/>
      <c r="E15" s="135"/>
      <c r="F15" s="135"/>
      <c r="G15" s="135"/>
      <c r="H15" s="135"/>
      <c r="I15" s="136"/>
    </row>
    <row r="16" spans="1:9" ht="18.75" customHeight="1">
      <c r="B16" s="137"/>
      <c r="C16" s="138"/>
      <c r="D16" s="138"/>
      <c r="E16" s="138"/>
      <c r="F16" s="138"/>
      <c r="G16" s="138"/>
      <c r="H16" s="138"/>
      <c r="I16" s="139"/>
    </row>
    <row r="17" spans="1:10" ht="7.5" customHeight="1">
      <c r="C17" s="90"/>
      <c r="D17" s="90"/>
      <c r="E17" s="90"/>
      <c r="F17" s="90"/>
      <c r="G17" s="90"/>
      <c r="H17" s="90"/>
      <c r="I17" s="90"/>
    </row>
    <row r="18" spans="1:10" ht="18.75" customHeight="1">
      <c r="A18" s="90" t="s">
        <v>8</v>
      </c>
      <c r="B18" s="7" t="s">
        <v>72</v>
      </c>
      <c r="C18" s="7"/>
      <c r="D18" s="7"/>
      <c r="E18" s="7"/>
      <c r="F18" s="90"/>
      <c r="G18" s="90"/>
      <c r="H18" s="90"/>
      <c r="I18" s="90"/>
      <c r="J18" s="90"/>
    </row>
    <row r="19" spans="1:10" ht="18.75" customHeight="1">
      <c r="A19" s="125" t="s">
        <v>72</v>
      </c>
      <c r="B19" s="125"/>
      <c r="C19" s="125"/>
      <c r="D19" s="125"/>
      <c r="E19" s="125"/>
      <c r="F19" s="126" t="s">
        <v>72</v>
      </c>
      <c r="G19" s="126"/>
      <c r="H19" s="126"/>
      <c r="I19" s="126"/>
    </row>
    <row r="20" spans="1:10" ht="18.75" customHeight="1">
      <c r="A20" s="27">
        <v>1</v>
      </c>
      <c r="B20" s="140" t="s">
        <v>73</v>
      </c>
      <c r="C20" s="128"/>
      <c r="D20" s="128"/>
      <c r="E20" s="129"/>
      <c r="F20" s="27">
        <v>26</v>
      </c>
      <c r="G20" s="122"/>
      <c r="H20" s="123"/>
      <c r="I20" s="130"/>
    </row>
    <row r="21" spans="1:10" ht="18.75" customHeight="1">
      <c r="A21" s="27">
        <v>2</v>
      </c>
      <c r="B21" s="140" t="s">
        <v>74</v>
      </c>
      <c r="C21" s="128"/>
      <c r="D21" s="128"/>
      <c r="E21" s="129"/>
      <c r="F21" s="27">
        <v>27</v>
      </c>
      <c r="G21" s="122"/>
      <c r="H21" s="123"/>
      <c r="I21" s="130"/>
    </row>
    <row r="22" spans="1:10" ht="18.75" customHeight="1">
      <c r="A22" s="27">
        <v>3</v>
      </c>
      <c r="B22" s="127"/>
      <c r="C22" s="128"/>
      <c r="D22" s="128"/>
      <c r="E22" s="129"/>
      <c r="F22" s="27">
        <v>28</v>
      </c>
      <c r="G22" s="122"/>
      <c r="H22" s="123"/>
      <c r="I22" s="130"/>
    </row>
    <row r="23" spans="1:10" ht="18.75" customHeight="1">
      <c r="A23" s="27">
        <v>4</v>
      </c>
      <c r="B23" s="127"/>
      <c r="C23" s="128"/>
      <c r="D23" s="128"/>
      <c r="E23" s="129"/>
      <c r="F23" s="27">
        <v>29</v>
      </c>
      <c r="G23" s="122"/>
      <c r="H23" s="123"/>
      <c r="I23" s="130"/>
    </row>
    <row r="24" spans="1:10" ht="18.75" customHeight="1">
      <c r="A24" s="27">
        <v>5</v>
      </c>
      <c r="B24" s="127"/>
      <c r="C24" s="128"/>
      <c r="D24" s="128"/>
      <c r="E24" s="129"/>
      <c r="F24" s="27">
        <v>30</v>
      </c>
      <c r="G24" s="122"/>
      <c r="H24" s="123"/>
      <c r="I24" s="130"/>
    </row>
    <row r="25" spans="1:10" ht="18.75" customHeight="1">
      <c r="A25" s="27">
        <v>6</v>
      </c>
      <c r="B25" s="127"/>
      <c r="C25" s="128"/>
      <c r="D25" s="128"/>
      <c r="E25" s="129"/>
      <c r="F25" s="27">
        <v>31</v>
      </c>
      <c r="G25" s="122"/>
      <c r="H25" s="123"/>
      <c r="I25" s="130"/>
    </row>
    <row r="26" spans="1:10" ht="18.75" customHeight="1">
      <c r="A26" s="27">
        <v>7</v>
      </c>
      <c r="B26" s="127"/>
      <c r="C26" s="128"/>
      <c r="D26" s="128"/>
      <c r="E26" s="129"/>
      <c r="F26" s="27">
        <v>32</v>
      </c>
      <c r="G26" s="122"/>
      <c r="H26" s="123"/>
      <c r="I26" s="130"/>
    </row>
    <row r="27" spans="1:10" ht="18.75" customHeight="1">
      <c r="A27" s="27">
        <v>8</v>
      </c>
      <c r="B27" s="127"/>
      <c r="C27" s="128"/>
      <c r="D27" s="128"/>
      <c r="E27" s="129"/>
      <c r="F27" s="27">
        <v>33</v>
      </c>
      <c r="G27" s="122"/>
      <c r="H27" s="123"/>
      <c r="I27" s="130"/>
    </row>
    <row r="28" spans="1:10" ht="18.75" customHeight="1">
      <c r="A28" s="27">
        <v>9</v>
      </c>
      <c r="B28" s="127"/>
      <c r="C28" s="128"/>
      <c r="D28" s="128"/>
      <c r="E28" s="129"/>
      <c r="F28" s="27">
        <v>34</v>
      </c>
      <c r="G28" s="122"/>
      <c r="H28" s="123"/>
      <c r="I28" s="130"/>
    </row>
    <row r="29" spans="1:10" ht="18.75" customHeight="1">
      <c r="A29" s="27">
        <v>10</v>
      </c>
      <c r="B29" s="127"/>
      <c r="C29" s="128"/>
      <c r="D29" s="128"/>
      <c r="E29" s="129"/>
      <c r="F29" s="27">
        <v>35</v>
      </c>
      <c r="G29" s="122"/>
      <c r="H29" s="123"/>
      <c r="I29" s="130"/>
    </row>
    <row r="30" spans="1:10" ht="18.75" customHeight="1">
      <c r="A30" s="27">
        <v>11</v>
      </c>
      <c r="B30" s="122"/>
      <c r="C30" s="123"/>
      <c r="D30" s="123"/>
      <c r="E30" s="130"/>
      <c r="F30" s="27">
        <v>36</v>
      </c>
      <c r="G30" s="122"/>
      <c r="H30" s="123"/>
      <c r="I30" s="130"/>
    </row>
    <row r="31" spans="1:10" ht="18.75" customHeight="1">
      <c r="A31" s="27">
        <v>12</v>
      </c>
      <c r="B31" s="122"/>
      <c r="C31" s="123"/>
      <c r="D31" s="123"/>
      <c r="E31" s="130"/>
      <c r="F31" s="27">
        <v>37</v>
      </c>
      <c r="G31" s="122"/>
      <c r="H31" s="123"/>
      <c r="I31" s="130"/>
    </row>
    <row r="32" spans="1:10" ht="18.75" customHeight="1">
      <c r="A32" s="27">
        <v>13</v>
      </c>
      <c r="B32" s="122"/>
      <c r="C32" s="123"/>
      <c r="D32" s="123"/>
      <c r="E32" s="130"/>
      <c r="F32" s="27">
        <v>38</v>
      </c>
      <c r="G32" s="122"/>
      <c r="H32" s="123"/>
      <c r="I32" s="130"/>
    </row>
    <row r="33" spans="1:9" ht="18.75" customHeight="1">
      <c r="A33" s="27">
        <v>14</v>
      </c>
      <c r="B33" s="122"/>
      <c r="C33" s="123"/>
      <c r="D33" s="123"/>
      <c r="E33" s="130"/>
      <c r="F33" s="27">
        <v>39</v>
      </c>
      <c r="G33" s="122"/>
      <c r="H33" s="123"/>
      <c r="I33" s="130"/>
    </row>
    <row r="34" spans="1:9" ht="18.75" customHeight="1">
      <c r="A34" s="27">
        <v>15</v>
      </c>
      <c r="B34" s="122"/>
      <c r="C34" s="123"/>
      <c r="D34" s="123"/>
      <c r="E34" s="130"/>
      <c r="F34" s="27">
        <v>40</v>
      </c>
      <c r="G34" s="122"/>
      <c r="H34" s="123"/>
      <c r="I34" s="130"/>
    </row>
    <row r="35" spans="1:9" ht="18.75" customHeight="1">
      <c r="A35" s="27">
        <v>16</v>
      </c>
      <c r="B35" s="122"/>
      <c r="C35" s="123"/>
      <c r="D35" s="123"/>
      <c r="E35" s="130"/>
      <c r="F35" s="27">
        <v>41</v>
      </c>
      <c r="G35" s="122"/>
      <c r="H35" s="123"/>
      <c r="I35" s="130"/>
    </row>
    <row r="36" spans="1:9" ht="18.75" customHeight="1">
      <c r="A36" s="27">
        <v>17</v>
      </c>
      <c r="B36" s="122"/>
      <c r="C36" s="123"/>
      <c r="D36" s="123"/>
      <c r="E36" s="130"/>
      <c r="F36" s="27">
        <v>42</v>
      </c>
      <c r="G36" s="122"/>
      <c r="H36" s="123"/>
      <c r="I36" s="130"/>
    </row>
    <row r="37" spans="1:9" ht="18.75" customHeight="1">
      <c r="A37" s="27">
        <v>18</v>
      </c>
      <c r="B37" s="122"/>
      <c r="C37" s="123"/>
      <c r="D37" s="123"/>
      <c r="E37" s="130"/>
      <c r="F37" s="27">
        <v>43</v>
      </c>
      <c r="G37" s="122"/>
      <c r="H37" s="123"/>
      <c r="I37" s="130"/>
    </row>
    <row r="38" spans="1:9" ht="18.75" customHeight="1">
      <c r="A38" s="27">
        <v>19</v>
      </c>
      <c r="B38" s="122"/>
      <c r="C38" s="123"/>
      <c r="D38" s="123"/>
      <c r="E38" s="130"/>
      <c r="F38" s="27">
        <v>44</v>
      </c>
      <c r="G38" s="122"/>
      <c r="H38" s="123"/>
      <c r="I38" s="130"/>
    </row>
    <row r="39" spans="1:9" ht="18.75" customHeight="1">
      <c r="A39" s="27">
        <v>20</v>
      </c>
      <c r="B39" s="122"/>
      <c r="C39" s="123"/>
      <c r="D39" s="123"/>
      <c r="E39" s="130"/>
      <c r="F39" s="27">
        <v>45</v>
      </c>
      <c r="G39" s="122"/>
      <c r="H39" s="123"/>
      <c r="I39" s="130"/>
    </row>
    <row r="40" spans="1:9" ht="18.75" customHeight="1">
      <c r="A40" s="27">
        <v>21</v>
      </c>
      <c r="B40" s="122"/>
      <c r="C40" s="123"/>
      <c r="D40" s="123"/>
      <c r="E40" s="130"/>
      <c r="F40" s="27">
        <v>46</v>
      </c>
      <c r="G40" s="122"/>
      <c r="H40" s="123"/>
      <c r="I40" s="130"/>
    </row>
    <row r="41" spans="1:9" ht="18.75" customHeight="1">
      <c r="A41" s="27">
        <v>22</v>
      </c>
      <c r="B41" s="122"/>
      <c r="C41" s="123"/>
      <c r="D41" s="123"/>
      <c r="E41" s="130"/>
      <c r="F41" s="27">
        <v>47</v>
      </c>
      <c r="G41" s="122"/>
      <c r="H41" s="123"/>
      <c r="I41" s="130"/>
    </row>
    <row r="42" spans="1:9" ht="18.75" customHeight="1">
      <c r="A42" s="27">
        <v>23</v>
      </c>
      <c r="B42" s="122"/>
      <c r="C42" s="123"/>
      <c r="D42" s="123"/>
      <c r="E42" s="130"/>
      <c r="F42" s="27">
        <v>48</v>
      </c>
      <c r="G42" s="122"/>
      <c r="H42" s="123"/>
      <c r="I42" s="130"/>
    </row>
    <row r="43" spans="1:9" ht="18.75" customHeight="1">
      <c r="A43" s="27">
        <v>24</v>
      </c>
      <c r="B43" s="122"/>
      <c r="C43" s="123"/>
      <c r="D43" s="123"/>
      <c r="E43" s="130"/>
      <c r="F43" s="27">
        <v>49</v>
      </c>
      <c r="G43" s="122"/>
      <c r="H43" s="123"/>
      <c r="I43" s="130"/>
    </row>
    <row r="44" spans="1:9" ht="18.75" customHeight="1">
      <c r="A44" s="27">
        <v>25</v>
      </c>
      <c r="B44" s="122"/>
      <c r="C44" s="123"/>
      <c r="D44" s="123"/>
      <c r="E44" s="130"/>
      <c r="F44" s="27">
        <v>50</v>
      </c>
      <c r="G44" s="122"/>
      <c r="H44" s="123"/>
      <c r="I44" s="130"/>
    </row>
  </sheetData>
  <customSheetViews>
    <customSheetView guid="{5055547B-B170-416F-A083-CC8E7809C104}" zeroValues="0">
      <selection activeCell="B18" sqref="B18"/>
      <pageMargins left="0" right="0" top="0" bottom="0" header="0" footer="0"/>
      <printOptions horizontalCentered="1"/>
      <pageSetup paperSize="9" orientation="portrait" r:id="rId1"/>
    </customSheetView>
  </customSheetViews>
  <mergeCells count="56">
    <mergeCell ref="B44:E44"/>
    <mergeCell ref="B42:E42"/>
    <mergeCell ref="B43:E43"/>
    <mergeCell ref="B38:E38"/>
    <mergeCell ref="G44:I44"/>
    <mergeCell ref="G39:I39"/>
    <mergeCell ref="G40:I40"/>
    <mergeCell ref="G41:I41"/>
    <mergeCell ref="G42:I42"/>
    <mergeCell ref="G43:I43"/>
    <mergeCell ref="G32:I32"/>
    <mergeCell ref="G33:I33"/>
    <mergeCell ref="B39:E39"/>
    <mergeCell ref="B40:E40"/>
    <mergeCell ref="B41:E41"/>
    <mergeCell ref="B34:E34"/>
    <mergeCell ref="B35:E35"/>
    <mergeCell ref="B36:E36"/>
    <mergeCell ref="B37:E37"/>
    <mergeCell ref="G34:I34"/>
    <mergeCell ref="G35:I35"/>
    <mergeCell ref="G36:I36"/>
    <mergeCell ref="G37:I37"/>
    <mergeCell ref="G38:I38"/>
    <mergeCell ref="B32:E32"/>
    <mergeCell ref="B33:E33"/>
    <mergeCell ref="B27:E27"/>
    <mergeCell ref="B28:E28"/>
    <mergeCell ref="B23:E23"/>
    <mergeCell ref="B24:E24"/>
    <mergeCell ref="G31:I31"/>
    <mergeCell ref="G23:I23"/>
    <mergeCell ref="G24:I24"/>
    <mergeCell ref="G29:I29"/>
    <mergeCell ref="G30:I30"/>
    <mergeCell ref="B29:E29"/>
    <mergeCell ref="B30:E30"/>
    <mergeCell ref="B31:E31"/>
    <mergeCell ref="B26:E26"/>
    <mergeCell ref="G26:I26"/>
    <mergeCell ref="G27:I27"/>
    <mergeCell ref="G28:I28"/>
    <mergeCell ref="H2:I2"/>
    <mergeCell ref="A4:I4"/>
    <mergeCell ref="A19:E19"/>
    <mergeCell ref="F19:I19"/>
    <mergeCell ref="B25:E25"/>
    <mergeCell ref="E6:I6"/>
    <mergeCell ref="G20:I20"/>
    <mergeCell ref="G25:I25"/>
    <mergeCell ref="B9:I16"/>
    <mergeCell ref="B20:E20"/>
    <mergeCell ref="B21:E21"/>
    <mergeCell ref="B22:E22"/>
    <mergeCell ref="G21:I21"/>
    <mergeCell ref="G22:I22"/>
  </mergeCells>
  <phoneticPr fontId="3"/>
  <dataValidations count="2">
    <dataValidation type="list" allowBlank="1" showInputMessage="1" showErrorMessage="1" sqref="E6:I6" xr:uid="{00000000-0002-0000-0100-000000000000}">
      <formula1>"学部・学科によって、修了要件は相違する,学部・学科によって、修了要件は相違しない"</formula1>
    </dataValidation>
    <dataValidation type="list" allowBlank="1" showInputMessage="1" showErrorMessage="1" sqref="F7:I7" xr:uid="{00000000-0002-0000-01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2"/>
  <sheetViews>
    <sheetView view="pageBreakPreview" zoomScaleNormal="100" zoomScaleSheetLayoutView="100" workbookViewId="0">
      <selection activeCell="B32" sqref="B32"/>
    </sheetView>
  </sheetViews>
  <sheetFormatPr defaultColWidth="9" defaultRowHeight="18.75" customHeight="1"/>
  <cols>
    <col min="1" max="1" width="2.5" style="1" customWidth="1"/>
    <col min="2" max="2" width="12.5" style="1" customWidth="1"/>
    <col min="3" max="3" width="21" style="1" customWidth="1"/>
    <col min="4" max="18" width="6.125" style="1" customWidth="1"/>
    <col min="19" max="16384" width="9" style="1"/>
  </cols>
  <sheetData>
    <row r="1" spans="1:20" ht="18.75" customHeight="1">
      <c r="A1" s="69"/>
      <c r="B1" s="69"/>
      <c r="C1" s="69"/>
      <c r="D1" s="69"/>
      <c r="E1" s="69"/>
      <c r="F1" s="235" t="s">
        <v>75</v>
      </c>
      <c r="G1" s="235"/>
      <c r="H1" s="235"/>
      <c r="I1" s="235"/>
      <c r="J1" s="235"/>
      <c r="K1" s="235"/>
      <c r="L1" s="235"/>
      <c r="M1" s="235"/>
      <c r="N1" s="235"/>
      <c r="O1" s="235"/>
      <c r="P1" s="235"/>
      <c r="Q1" s="235"/>
      <c r="R1" s="235"/>
      <c r="S1" s="69"/>
      <c r="T1" s="69"/>
    </row>
    <row r="2" spans="1:20" ht="18.75" customHeight="1">
      <c r="A2" s="69"/>
      <c r="B2" s="69"/>
      <c r="C2" s="69"/>
      <c r="D2" s="28"/>
      <c r="E2" s="28"/>
      <c r="F2" s="28"/>
      <c r="G2" s="28"/>
      <c r="H2" s="28"/>
      <c r="I2" s="28"/>
      <c r="J2" s="28"/>
      <c r="K2" s="235" t="s">
        <v>76</v>
      </c>
      <c r="L2" s="235"/>
      <c r="M2" s="28" t="s">
        <v>4</v>
      </c>
      <c r="N2" s="28"/>
      <c r="O2" s="28"/>
      <c r="P2" s="28"/>
      <c r="Q2" s="28"/>
      <c r="R2" s="28"/>
      <c r="S2" s="69"/>
      <c r="T2" s="69"/>
    </row>
    <row r="3" spans="1:20" ht="7.5" customHeight="1">
      <c r="A3" s="69"/>
      <c r="B3" s="69"/>
      <c r="C3" s="69"/>
      <c r="D3" s="69"/>
      <c r="E3" s="69"/>
      <c r="F3" s="69"/>
      <c r="G3" s="69"/>
      <c r="H3" s="69"/>
      <c r="I3" s="69"/>
      <c r="J3" s="69"/>
      <c r="K3" s="69"/>
      <c r="L3" s="69"/>
      <c r="M3" s="69"/>
      <c r="N3" s="69"/>
      <c r="O3" s="69"/>
      <c r="P3" s="69"/>
      <c r="Q3" s="69"/>
      <c r="R3" s="69"/>
      <c r="S3" s="69"/>
      <c r="T3" s="69"/>
    </row>
    <row r="4" spans="1:20" ht="18.75" customHeight="1">
      <c r="A4" s="115" t="s">
        <v>77</v>
      </c>
      <c r="B4" s="115"/>
      <c r="C4" s="115"/>
      <c r="D4" s="115"/>
      <c r="E4" s="115"/>
      <c r="F4" s="115"/>
      <c r="G4" s="115"/>
      <c r="H4" s="115"/>
      <c r="I4" s="115"/>
      <c r="J4" s="115"/>
      <c r="K4" s="115"/>
      <c r="L4" s="115"/>
      <c r="M4" s="115"/>
      <c r="N4" s="115"/>
      <c r="O4" s="115"/>
      <c r="P4" s="115"/>
      <c r="Q4" s="115"/>
      <c r="R4" s="115"/>
      <c r="S4" s="2"/>
      <c r="T4" s="69"/>
    </row>
    <row r="5" spans="1:20" ht="7.5" customHeight="1">
      <c r="A5" s="96"/>
      <c r="B5" s="96"/>
      <c r="C5" s="96"/>
      <c r="D5" s="96"/>
      <c r="E5" s="96"/>
      <c r="F5" s="96"/>
      <c r="G5" s="96"/>
      <c r="H5" s="96"/>
      <c r="I5" s="96"/>
      <c r="J5" s="96"/>
      <c r="K5" s="96"/>
      <c r="L5" s="96"/>
      <c r="M5" s="96"/>
      <c r="N5" s="96"/>
      <c r="O5" s="96"/>
      <c r="P5" s="96"/>
      <c r="Q5" s="96"/>
      <c r="R5" s="96"/>
      <c r="S5" s="69"/>
      <c r="T5" s="69"/>
    </row>
    <row r="6" spans="1:20" ht="18.75" customHeight="1">
      <c r="A6" s="69"/>
      <c r="B6" s="149" t="s">
        <v>78</v>
      </c>
      <c r="C6" s="150"/>
      <c r="D6" s="155" t="s">
        <v>79</v>
      </c>
      <c r="E6" s="157" t="s">
        <v>80</v>
      </c>
      <c r="F6" s="157"/>
      <c r="G6" s="157" t="s">
        <v>81</v>
      </c>
      <c r="H6" s="157"/>
      <c r="I6" s="158" t="s">
        <v>82</v>
      </c>
      <c r="J6" s="159"/>
      <c r="K6" s="158" t="s">
        <v>83</v>
      </c>
      <c r="L6" s="159"/>
      <c r="M6" s="158" t="s">
        <v>84</v>
      </c>
      <c r="N6" s="159"/>
      <c r="O6" s="158" t="s">
        <v>85</v>
      </c>
      <c r="P6" s="159"/>
      <c r="Q6" s="160" t="s">
        <v>86</v>
      </c>
      <c r="R6" s="162" t="s">
        <v>87</v>
      </c>
      <c r="S6" s="69"/>
      <c r="T6" s="29"/>
    </row>
    <row r="7" spans="1:20" ht="18.75" customHeight="1">
      <c r="A7" s="69"/>
      <c r="B7" s="151"/>
      <c r="C7" s="152"/>
      <c r="D7" s="156"/>
      <c r="E7" s="23" t="s">
        <v>88</v>
      </c>
      <c r="F7" s="25" t="s">
        <v>89</v>
      </c>
      <c r="G7" s="26" t="s">
        <v>88</v>
      </c>
      <c r="H7" s="24" t="s">
        <v>89</v>
      </c>
      <c r="I7" s="23" t="s">
        <v>88</v>
      </c>
      <c r="J7" s="25" t="s">
        <v>89</v>
      </c>
      <c r="K7" s="26" t="s">
        <v>88</v>
      </c>
      <c r="L7" s="24" t="s">
        <v>89</v>
      </c>
      <c r="M7" s="23" t="s">
        <v>88</v>
      </c>
      <c r="N7" s="25" t="s">
        <v>89</v>
      </c>
      <c r="O7" s="26" t="s">
        <v>88</v>
      </c>
      <c r="P7" s="24" t="s">
        <v>89</v>
      </c>
      <c r="Q7" s="161"/>
      <c r="R7" s="163"/>
      <c r="S7" s="69"/>
      <c r="T7" s="29"/>
    </row>
    <row r="8" spans="1:20" ht="18.75" customHeight="1">
      <c r="A8" s="30"/>
      <c r="B8" s="143" t="s">
        <v>90</v>
      </c>
      <c r="C8" s="144"/>
      <c r="D8" s="31">
        <v>960</v>
      </c>
      <c r="E8" s="70">
        <v>245</v>
      </c>
      <c r="F8" s="71">
        <v>235</v>
      </c>
      <c r="G8" s="72">
        <v>250</v>
      </c>
      <c r="H8" s="73">
        <v>241</v>
      </c>
      <c r="I8" s="70"/>
      <c r="J8" s="71"/>
      <c r="K8" s="72"/>
      <c r="L8" s="73"/>
      <c r="M8" s="70"/>
      <c r="N8" s="71"/>
      <c r="O8" s="72"/>
      <c r="P8" s="73"/>
      <c r="Q8" s="74">
        <f>E8+G8+I8+K8+M8+O8</f>
        <v>495</v>
      </c>
      <c r="R8" s="75">
        <f>Q8/D8</f>
        <v>0.515625</v>
      </c>
      <c r="S8" s="69"/>
      <c r="T8" s="69"/>
    </row>
    <row r="9" spans="1:20" ht="18.75" customHeight="1">
      <c r="A9" s="30"/>
      <c r="B9" s="145" t="s">
        <v>91</v>
      </c>
      <c r="C9" s="146"/>
      <c r="D9" s="93">
        <v>660</v>
      </c>
      <c r="E9" s="76">
        <v>156</v>
      </c>
      <c r="F9" s="77">
        <v>152</v>
      </c>
      <c r="G9" s="78">
        <v>163</v>
      </c>
      <c r="H9" s="79">
        <v>161</v>
      </c>
      <c r="I9" s="76"/>
      <c r="J9" s="77"/>
      <c r="K9" s="78"/>
      <c r="L9" s="79"/>
      <c r="M9" s="76"/>
      <c r="N9" s="77"/>
      <c r="O9" s="78"/>
      <c r="P9" s="79"/>
      <c r="Q9" s="80">
        <f t="shared" ref="Q9:Q27" si="0">E9+G9+I9+K9+M9+O9</f>
        <v>319</v>
      </c>
      <c r="R9" s="75">
        <f t="shared" ref="R9:R27" si="1">Q9/D9</f>
        <v>0.48333333333333334</v>
      </c>
      <c r="S9" s="69"/>
      <c r="T9" s="69"/>
    </row>
    <row r="10" spans="1:20" ht="18.75" customHeight="1">
      <c r="A10" s="30"/>
      <c r="B10" s="145" t="s">
        <v>92</v>
      </c>
      <c r="C10" s="146"/>
      <c r="D10" s="93">
        <v>480</v>
      </c>
      <c r="E10" s="76">
        <v>124</v>
      </c>
      <c r="F10" s="77">
        <v>122</v>
      </c>
      <c r="G10" s="78">
        <v>125</v>
      </c>
      <c r="H10" s="79">
        <v>123</v>
      </c>
      <c r="I10" s="76"/>
      <c r="J10" s="77"/>
      <c r="K10" s="78"/>
      <c r="L10" s="79"/>
      <c r="M10" s="76"/>
      <c r="N10" s="77"/>
      <c r="O10" s="78"/>
      <c r="P10" s="79"/>
      <c r="Q10" s="80">
        <f t="shared" si="0"/>
        <v>249</v>
      </c>
      <c r="R10" s="75">
        <f t="shared" si="1"/>
        <v>0.51875000000000004</v>
      </c>
      <c r="S10" s="69"/>
      <c r="T10" s="69"/>
    </row>
    <row r="11" spans="1:20" ht="18.75" customHeight="1">
      <c r="A11" s="30"/>
      <c r="B11" s="145" t="s">
        <v>93</v>
      </c>
      <c r="C11" s="146"/>
      <c r="D11" s="93">
        <v>1020</v>
      </c>
      <c r="E11" s="76">
        <v>255</v>
      </c>
      <c r="F11" s="77">
        <v>246</v>
      </c>
      <c r="G11" s="78">
        <v>248</v>
      </c>
      <c r="H11" s="79">
        <v>244</v>
      </c>
      <c r="I11" s="76"/>
      <c r="J11" s="77"/>
      <c r="K11" s="78"/>
      <c r="L11" s="79"/>
      <c r="M11" s="76"/>
      <c r="N11" s="77"/>
      <c r="O11" s="78"/>
      <c r="P11" s="79"/>
      <c r="Q11" s="80">
        <f t="shared" si="0"/>
        <v>503</v>
      </c>
      <c r="R11" s="75">
        <f t="shared" si="1"/>
        <v>0.49313725490196081</v>
      </c>
      <c r="S11" s="69"/>
      <c r="T11" s="69"/>
    </row>
    <row r="12" spans="1:20" ht="18.75" customHeight="1">
      <c r="A12" s="30"/>
      <c r="B12" s="145" t="s">
        <v>94</v>
      </c>
      <c r="C12" s="146"/>
      <c r="D12" s="93">
        <v>2100</v>
      </c>
      <c r="E12" s="76">
        <v>528</v>
      </c>
      <c r="F12" s="77">
        <v>509</v>
      </c>
      <c r="G12" s="78">
        <v>528</v>
      </c>
      <c r="H12" s="79">
        <v>497</v>
      </c>
      <c r="I12" s="76"/>
      <c r="J12" s="77"/>
      <c r="K12" s="78"/>
      <c r="L12" s="79"/>
      <c r="M12" s="76"/>
      <c r="N12" s="77"/>
      <c r="O12" s="78"/>
      <c r="P12" s="79"/>
      <c r="Q12" s="80">
        <f t="shared" si="0"/>
        <v>1056</v>
      </c>
      <c r="R12" s="75">
        <f t="shared" si="1"/>
        <v>0.50285714285714289</v>
      </c>
      <c r="S12" s="69"/>
      <c r="T12" s="69"/>
    </row>
    <row r="13" spans="1:20" ht="18.75" customHeight="1">
      <c r="A13" s="30"/>
      <c r="B13" s="145" t="s">
        <v>95</v>
      </c>
      <c r="C13" s="146"/>
      <c r="D13" s="93">
        <v>980</v>
      </c>
      <c r="E13" s="76">
        <v>239</v>
      </c>
      <c r="F13" s="77">
        <v>224</v>
      </c>
      <c r="G13" s="78">
        <v>244</v>
      </c>
      <c r="H13" s="79">
        <v>229</v>
      </c>
      <c r="I13" s="76"/>
      <c r="J13" s="77"/>
      <c r="K13" s="78"/>
      <c r="L13" s="79"/>
      <c r="M13" s="76"/>
      <c r="N13" s="77"/>
      <c r="O13" s="78"/>
      <c r="P13" s="79"/>
      <c r="Q13" s="80">
        <f t="shared" si="0"/>
        <v>483</v>
      </c>
      <c r="R13" s="75">
        <f t="shared" si="1"/>
        <v>0.49285714285714288</v>
      </c>
      <c r="S13" s="69"/>
      <c r="T13" s="69"/>
    </row>
    <row r="14" spans="1:20" ht="18.75" customHeight="1">
      <c r="A14" s="30"/>
      <c r="B14" s="145" t="s">
        <v>96</v>
      </c>
      <c r="C14" s="146"/>
      <c r="D14" s="93">
        <v>1280</v>
      </c>
      <c r="E14" s="76">
        <v>249</v>
      </c>
      <c r="F14" s="77">
        <v>242</v>
      </c>
      <c r="G14" s="78">
        <v>241</v>
      </c>
      <c r="H14" s="79">
        <v>238</v>
      </c>
      <c r="I14" s="76"/>
      <c r="J14" s="77"/>
      <c r="K14" s="78"/>
      <c r="L14" s="79"/>
      <c r="M14" s="76"/>
      <c r="N14" s="77"/>
      <c r="O14" s="78"/>
      <c r="P14" s="79"/>
      <c r="Q14" s="80">
        <f t="shared" si="0"/>
        <v>490</v>
      </c>
      <c r="R14" s="75">
        <f t="shared" si="1"/>
        <v>0.3828125</v>
      </c>
      <c r="S14" s="69"/>
      <c r="T14" s="69"/>
    </row>
    <row r="15" spans="1:20" ht="18.75" customHeight="1">
      <c r="A15" s="30"/>
      <c r="B15" s="145" t="s">
        <v>97</v>
      </c>
      <c r="C15" s="146"/>
      <c r="D15" s="93">
        <v>960</v>
      </c>
      <c r="E15" s="76">
        <v>248</v>
      </c>
      <c r="F15" s="77">
        <v>243</v>
      </c>
      <c r="G15" s="78">
        <v>250</v>
      </c>
      <c r="H15" s="79">
        <v>231</v>
      </c>
      <c r="I15" s="76"/>
      <c r="J15" s="77"/>
      <c r="K15" s="78"/>
      <c r="L15" s="79"/>
      <c r="M15" s="76"/>
      <c r="N15" s="77"/>
      <c r="O15" s="78"/>
      <c r="P15" s="79"/>
      <c r="Q15" s="80">
        <f t="shared" si="0"/>
        <v>498</v>
      </c>
      <c r="R15" s="75">
        <f t="shared" si="1"/>
        <v>0.51875000000000004</v>
      </c>
      <c r="S15" s="69"/>
      <c r="T15" s="69"/>
    </row>
    <row r="16" spans="1:20" ht="18.75" customHeight="1">
      <c r="A16" s="30"/>
      <c r="B16" s="145" t="s">
        <v>98</v>
      </c>
      <c r="C16" s="146"/>
      <c r="D16" s="93">
        <v>400</v>
      </c>
      <c r="E16" s="76">
        <v>100</v>
      </c>
      <c r="F16" s="77">
        <v>95</v>
      </c>
      <c r="G16" s="78">
        <v>105</v>
      </c>
      <c r="H16" s="79">
        <v>97</v>
      </c>
      <c r="I16" s="76"/>
      <c r="J16" s="77"/>
      <c r="K16" s="78"/>
      <c r="L16" s="79"/>
      <c r="M16" s="76"/>
      <c r="N16" s="77"/>
      <c r="O16" s="78"/>
      <c r="P16" s="79"/>
      <c r="Q16" s="80">
        <f>E16+G16+I16+K16+M16+O16</f>
        <v>205</v>
      </c>
      <c r="R16" s="75">
        <f t="shared" si="1"/>
        <v>0.51249999999999996</v>
      </c>
      <c r="S16" s="69"/>
      <c r="T16" s="69"/>
    </row>
    <row r="17" spans="1:18" ht="18.75" customHeight="1">
      <c r="A17" s="30"/>
      <c r="B17" s="145"/>
      <c r="C17" s="146"/>
      <c r="D17" s="93"/>
      <c r="E17" s="76"/>
      <c r="F17" s="77"/>
      <c r="G17" s="78"/>
      <c r="H17" s="79"/>
      <c r="I17" s="76"/>
      <c r="J17" s="77"/>
      <c r="K17" s="78"/>
      <c r="L17" s="79"/>
      <c r="M17" s="76"/>
      <c r="N17" s="77"/>
      <c r="O17" s="78"/>
      <c r="P17" s="79"/>
      <c r="Q17" s="80">
        <f t="shared" si="0"/>
        <v>0</v>
      </c>
      <c r="R17" s="75" t="e">
        <f t="shared" si="1"/>
        <v>#DIV/0!</v>
      </c>
    </row>
    <row r="18" spans="1:18" ht="18.75" customHeight="1">
      <c r="A18" s="30"/>
      <c r="B18" s="141"/>
      <c r="C18" s="142"/>
      <c r="D18" s="31"/>
      <c r="E18" s="37"/>
      <c r="F18" s="38"/>
      <c r="G18" s="39"/>
      <c r="H18" s="40"/>
      <c r="I18" s="37"/>
      <c r="J18" s="38"/>
      <c r="K18" s="39"/>
      <c r="L18" s="40"/>
      <c r="M18" s="37"/>
      <c r="N18" s="38"/>
      <c r="O18" s="39"/>
      <c r="P18" s="40"/>
      <c r="Q18" s="41">
        <f t="shared" si="0"/>
        <v>0</v>
      </c>
      <c r="R18" s="36" t="e">
        <f t="shared" si="1"/>
        <v>#DIV/0!</v>
      </c>
    </row>
    <row r="19" spans="1:18" ht="18.75" customHeight="1">
      <c r="A19" s="30"/>
      <c r="B19" s="145"/>
      <c r="C19" s="146"/>
      <c r="D19" s="93"/>
      <c r="E19" s="37"/>
      <c r="F19" s="38"/>
      <c r="G19" s="39"/>
      <c r="H19" s="40"/>
      <c r="I19" s="37"/>
      <c r="J19" s="38"/>
      <c r="K19" s="39"/>
      <c r="L19" s="40"/>
      <c r="M19" s="37"/>
      <c r="N19" s="38"/>
      <c r="O19" s="39"/>
      <c r="P19" s="40"/>
      <c r="Q19" s="41">
        <f t="shared" si="0"/>
        <v>0</v>
      </c>
      <c r="R19" s="36" t="e">
        <f t="shared" si="1"/>
        <v>#DIV/0!</v>
      </c>
    </row>
    <row r="20" spans="1:18" ht="18.75" customHeight="1">
      <c r="A20" s="30"/>
      <c r="B20" s="145"/>
      <c r="C20" s="146"/>
      <c r="D20" s="93"/>
      <c r="E20" s="37"/>
      <c r="F20" s="38"/>
      <c r="G20" s="39"/>
      <c r="H20" s="40"/>
      <c r="I20" s="37"/>
      <c r="J20" s="38"/>
      <c r="K20" s="39"/>
      <c r="L20" s="40"/>
      <c r="M20" s="37"/>
      <c r="N20" s="38"/>
      <c r="O20" s="39"/>
      <c r="P20" s="40"/>
      <c r="Q20" s="41">
        <f t="shared" si="0"/>
        <v>0</v>
      </c>
      <c r="R20" s="36" t="e">
        <f t="shared" si="1"/>
        <v>#DIV/0!</v>
      </c>
    </row>
    <row r="21" spans="1:18" ht="18.75" customHeight="1">
      <c r="A21" s="30"/>
      <c r="B21" s="145"/>
      <c r="C21" s="146"/>
      <c r="D21" s="93"/>
      <c r="E21" s="37"/>
      <c r="F21" s="38"/>
      <c r="G21" s="39"/>
      <c r="H21" s="40"/>
      <c r="I21" s="37"/>
      <c r="J21" s="38"/>
      <c r="K21" s="39"/>
      <c r="L21" s="40"/>
      <c r="M21" s="37"/>
      <c r="N21" s="38"/>
      <c r="O21" s="39"/>
      <c r="P21" s="40"/>
      <c r="Q21" s="41">
        <f t="shared" si="0"/>
        <v>0</v>
      </c>
      <c r="R21" s="36" t="e">
        <f t="shared" si="1"/>
        <v>#DIV/0!</v>
      </c>
    </row>
    <row r="22" spans="1:18" ht="18.75" customHeight="1">
      <c r="A22" s="30"/>
      <c r="B22" s="145"/>
      <c r="C22" s="146"/>
      <c r="D22" s="93"/>
      <c r="E22" s="37"/>
      <c r="F22" s="38"/>
      <c r="G22" s="39"/>
      <c r="H22" s="40"/>
      <c r="I22" s="37"/>
      <c r="J22" s="38"/>
      <c r="K22" s="39"/>
      <c r="L22" s="40"/>
      <c r="M22" s="37"/>
      <c r="N22" s="38"/>
      <c r="O22" s="39"/>
      <c r="P22" s="40"/>
      <c r="Q22" s="41">
        <f t="shared" si="0"/>
        <v>0</v>
      </c>
      <c r="R22" s="36" t="e">
        <f t="shared" si="1"/>
        <v>#DIV/0!</v>
      </c>
    </row>
    <row r="23" spans="1:18" ht="18.75" customHeight="1">
      <c r="A23" s="30"/>
      <c r="B23" s="145"/>
      <c r="C23" s="146"/>
      <c r="D23" s="93"/>
      <c r="E23" s="37"/>
      <c r="F23" s="38"/>
      <c r="G23" s="39"/>
      <c r="H23" s="40"/>
      <c r="I23" s="37"/>
      <c r="J23" s="38"/>
      <c r="K23" s="39"/>
      <c r="L23" s="40"/>
      <c r="M23" s="37"/>
      <c r="N23" s="38"/>
      <c r="O23" s="39"/>
      <c r="P23" s="40"/>
      <c r="Q23" s="41">
        <f t="shared" si="0"/>
        <v>0</v>
      </c>
      <c r="R23" s="36" t="e">
        <f t="shared" si="1"/>
        <v>#DIV/0!</v>
      </c>
    </row>
    <row r="24" spans="1:18" ht="18.75" customHeight="1">
      <c r="A24" s="30"/>
      <c r="B24" s="145"/>
      <c r="C24" s="146"/>
      <c r="D24" s="93"/>
      <c r="E24" s="37"/>
      <c r="F24" s="38"/>
      <c r="G24" s="39"/>
      <c r="H24" s="40"/>
      <c r="I24" s="37"/>
      <c r="J24" s="38"/>
      <c r="K24" s="39"/>
      <c r="L24" s="40"/>
      <c r="M24" s="37"/>
      <c r="N24" s="38"/>
      <c r="O24" s="39"/>
      <c r="P24" s="40"/>
      <c r="Q24" s="41">
        <f t="shared" si="0"/>
        <v>0</v>
      </c>
      <c r="R24" s="36" t="e">
        <f t="shared" si="1"/>
        <v>#DIV/0!</v>
      </c>
    </row>
    <row r="25" spans="1:18" ht="18.75" customHeight="1">
      <c r="A25" s="30"/>
      <c r="B25" s="145"/>
      <c r="C25" s="146"/>
      <c r="D25" s="93"/>
      <c r="E25" s="37"/>
      <c r="F25" s="38"/>
      <c r="G25" s="39"/>
      <c r="H25" s="40"/>
      <c r="I25" s="45"/>
      <c r="J25" s="46"/>
      <c r="K25" s="47"/>
      <c r="L25" s="48"/>
      <c r="M25" s="45"/>
      <c r="N25" s="46"/>
      <c r="O25" s="47"/>
      <c r="P25" s="48"/>
      <c r="Q25" s="41">
        <f t="shared" si="0"/>
        <v>0</v>
      </c>
      <c r="R25" s="36" t="e">
        <f t="shared" si="1"/>
        <v>#DIV/0!</v>
      </c>
    </row>
    <row r="26" spans="1:18" ht="18.75" customHeight="1">
      <c r="A26" s="30"/>
      <c r="B26" s="145"/>
      <c r="C26" s="146"/>
      <c r="D26" s="93"/>
      <c r="E26" s="37"/>
      <c r="F26" s="38"/>
      <c r="G26" s="39"/>
      <c r="H26" s="40"/>
      <c r="I26" s="37"/>
      <c r="J26" s="38"/>
      <c r="K26" s="39"/>
      <c r="L26" s="40"/>
      <c r="M26" s="37"/>
      <c r="N26" s="38"/>
      <c r="O26" s="39"/>
      <c r="P26" s="40"/>
      <c r="Q26" s="41">
        <f t="shared" si="0"/>
        <v>0</v>
      </c>
      <c r="R26" s="36" t="e">
        <f t="shared" si="1"/>
        <v>#DIV/0!</v>
      </c>
    </row>
    <row r="27" spans="1:18" ht="18.75" customHeight="1" thickBot="1">
      <c r="A27" s="30"/>
      <c r="B27" s="153"/>
      <c r="C27" s="154"/>
      <c r="D27" s="31"/>
      <c r="E27" s="32"/>
      <c r="F27" s="33"/>
      <c r="G27" s="34"/>
      <c r="H27" s="35"/>
      <c r="I27" s="32"/>
      <c r="J27" s="33"/>
      <c r="K27" s="34"/>
      <c r="L27" s="35"/>
      <c r="M27" s="32"/>
      <c r="N27" s="33"/>
      <c r="O27" s="34"/>
      <c r="P27" s="35"/>
      <c r="Q27" s="42">
        <f t="shared" si="0"/>
        <v>0</v>
      </c>
      <c r="R27" s="36" t="e">
        <f t="shared" si="1"/>
        <v>#DIV/0!</v>
      </c>
    </row>
    <row r="28" spans="1:18" ht="18.75" customHeight="1" thickTop="1">
      <c r="A28" s="30"/>
      <c r="B28" s="147" t="s">
        <v>99</v>
      </c>
      <c r="C28" s="148"/>
      <c r="D28" s="43">
        <f t="shared" ref="D28:P28" si="2">SUM(D8:D27)</f>
        <v>8840</v>
      </c>
      <c r="E28" s="81">
        <f t="shared" si="2"/>
        <v>2144</v>
      </c>
      <c r="F28" s="82">
        <f t="shared" si="2"/>
        <v>2068</v>
      </c>
      <c r="G28" s="83">
        <f t="shared" si="2"/>
        <v>2154</v>
      </c>
      <c r="H28" s="84">
        <f t="shared" si="2"/>
        <v>2061</v>
      </c>
      <c r="I28" s="81">
        <f t="shared" si="2"/>
        <v>0</v>
      </c>
      <c r="J28" s="82">
        <f t="shared" si="2"/>
        <v>0</v>
      </c>
      <c r="K28" s="83">
        <f t="shared" si="2"/>
        <v>0</v>
      </c>
      <c r="L28" s="84">
        <f t="shared" si="2"/>
        <v>0</v>
      </c>
      <c r="M28" s="81">
        <f t="shared" si="2"/>
        <v>0</v>
      </c>
      <c r="N28" s="82">
        <f t="shared" si="2"/>
        <v>0</v>
      </c>
      <c r="O28" s="83">
        <f t="shared" si="2"/>
        <v>0</v>
      </c>
      <c r="P28" s="84">
        <f t="shared" si="2"/>
        <v>0</v>
      </c>
      <c r="Q28" s="85">
        <f>SUM(Q8:Q27)</f>
        <v>4298</v>
      </c>
      <c r="R28" s="86">
        <f>Q28/D28</f>
        <v>0.48619909502262443</v>
      </c>
    </row>
    <row r="29" spans="1:18" ht="6.75" customHeight="1">
      <c r="A29" s="30"/>
      <c r="B29" s="30"/>
      <c r="C29" s="30"/>
      <c r="D29" s="44"/>
      <c r="E29" s="44"/>
      <c r="F29" s="44"/>
      <c r="G29" s="44"/>
      <c r="H29" s="44"/>
      <c r="I29" s="44"/>
      <c r="J29" s="44"/>
      <c r="K29" s="44"/>
      <c r="L29" s="44"/>
      <c r="M29" s="44"/>
      <c r="N29" s="44"/>
      <c r="O29" s="44"/>
      <c r="P29" s="44"/>
      <c r="Q29" s="44"/>
      <c r="R29" s="44"/>
    </row>
    <row r="31" spans="1:18" ht="18.75" customHeight="1">
      <c r="A31" s="69"/>
      <c r="B31" s="69"/>
      <c r="C31" s="69"/>
      <c r="D31" s="69"/>
      <c r="E31" s="69"/>
      <c r="F31" s="69"/>
      <c r="G31" s="69"/>
      <c r="H31" s="69"/>
      <c r="I31" s="69"/>
      <c r="J31" s="69"/>
      <c r="K31" s="69"/>
      <c r="L31" s="69"/>
      <c r="M31" s="69"/>
      <c r="N31" s="69"/>
      <c r="O31" s="69"/>
      <c r="P31" s="69"/>
      <c r="Q31" s="69"/>
      <c r="R31" s="69"/>
    </row>
    <row r="32" spans="1:18" ht="18.75" customHeight="1">
      <c r="A32" s="69"/>
      <c r="B32" s="6"/>
      <c r="C32" s="69"/>
      <c r="D32" s="69"/>
      <c r="E32" s="69"/>
      <c r="F32" s="69"/>
      <c r="G32" s="69"/>
      <c r="H32" s="69"/>
      <c r="I32" s="69"/>
      <c r="J32" s="69"/>
      <c r="K32" s="69"/>
      <c r="L32" s="69"/>
      <c r="M32" s="69"/>
      <c r="N32" s="69"/>
      <c r="O32" s="69"/>
      <c r="P32" s="69"/>
      <c r="Q32" s="69"/>
      <c r="R32" s="69"/>
    </row>
  </sheetData>
  <customSheetViews>
    <customSheetView guid="{5055547B-B170-416F-A083-CC8E7809C104}" showPageBreaks="1" printArea="1" view="pageBreakPreview">
      <selection activeCell="K22" sqref="K22"/>
      <pageMargins left="0" right="0" top="0" bottom="0" header="0" footer="0"/>
      <printOptions horizontalCentered="1"/>
      <pageSetup paperSize="9" scale="94" orientation="landscape" r:id="rId1"/>
    </customSheetView>
  </customSheetViews>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3"/>
  <printOptions horizontalCentered="1"/>
  <pageMargins left="0.78740157480314965" right="0.78740157480314965" top="0.78740157480314965" bottom="0.59055118110236227" header="0.31496062992125984" footer="0.31496062992125984"/>
  <pageSetup paperSize="9" scale="94"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0"/>
  <sheetViews>
    <sheetView zoomScaleNormal="100" workbookViewId="0">
      <selection activeCell="H102" sqref="H102"/>
    </sheetView>
  </sheetViews>
  <sheetFormatPr defaultColWidth="9" defaultRowHeight="14.25"/>
  <cols>
    <col min="1" max="1" width="2.5" style="49" customWidth="1"/>
    <col min="2" max="2" width="19" style="49" customWidth="1"/>
    <col min="3" max="3" width="25" style="49" customWidth="1"/>
    <col min="4" max="4" width="10" style="49" customWidth="1"/>
    <col min="5" max="7" width="25" style="49" customWidth="1"/>
    <col min="8" max="16384" width="9" style="49"/>
  </cols>
  <sheetData>
    <row r="1" spans="1:7" ht="18.75" customHeight="1">
      <c r="A1" s="69"/>
      <c r="B1" s="69"/>
      <c r="C1" s="69"/>
      <c r="D1" s="69"/>
      <c r="E1" s="69"/>
      <c r="F1" s="69"/>
      <c r="G1" s="236" t="s">
        <v>100</v>
      </c>
    </row>
    <row r="2" spans="1:7" ht="18.75" customHeight="1">
      <c r="A2" s="69"/>
      <c r="B2" s="69"/>
      <c r="C2" s="69"/>
      <c r="D2" s="69"/>
      <c r="E2" s="69"/>
      <c r="F2" s="236" t="s">
        <v>66</v>
      </c>
      <c r="G2" s="69" t="s">
        <v>4</v>
      </c>
    </row>
    <row r="3" spans="1:7" ht="18.75" customHeight="1">
      <c r="A3" s="237" t="s">
        <v>101</v>
      </c>
      <c r="B3" s="237"/>
      <c r="C3" s="237"/>
      <c r="D3" s="237"/>
      <c r="E3" s="237"/>
      <c r="F3" s="237"/>
      <c r="G3" s="237"/>
    </row>
    <row r="4" spans="1:7" ht="18.75" customHeight="1">
      <c r="A4" s="69" t="s">
        <v>2</v>
      </c>
      <c r="B4" s="69" t="s">
        <v>102</v>
      </c>
      <c r="C4" s="69"/>
      <c r="D4" s="69"/>
      <c r="E4" s="69"/>
      <c r="F4" s="69"/>
      <c r="G4" s="69"/>
    </row>
    <row r="5" spans="1:7" s="51" customFormat="1" ht="18.75" customHeight="1">
      <c r="A5" s="238"/>
      <c r="B5" s="94" t="s">
        <v>103</v>
      </c>
      <c r="C5" s="239" t="s">
        <v>104</v>
      </c>
      <c r="D5" s="240"/>
      <c r="E5" s="240"/>
      <c r="F5" s="240"/>
      <c r="G5" s="241"/>
    </row>
    <row r="6" spans="1:7" s="51" customFormat="1" ht="45" customHeight="1">
      <c r="A6" s="238"/>
      <c r="B6" s="166" t="s">
        <v>105</v>
      </c>
      <c r="C6" s="173" t="s">
        <v>106</v>
      </c>
      <c r="D6" s="242"/>
      <c r="E6" s="242"/>
      <c r="F6" s="242"/>
      <c r="G6" s="243"/>
    </row>
    <row r="7" spans="1:7" s="51" customFormat="1" ht="45" customHeight="1">
      <c r="A7" s="238"/>
      <c r="B7" s="167"/>
      <c r="C7" s="244"/>
      <c r="D7" s="245"/>
      <c r="E7" s="245"/>
      <c r="F7" s="245"/>
      <c r="G7" s="246"/>
    </row>
    <row r="8" spans="1:7" s="51" customFormat="1" ht="45" customHeight="1">
      <c r="A8" s="238"/>
      <c r="B8" s="167"/>
      <c r="C8" s="244"/>
      <c r="D8" s="245"/>
      <c r="E8" s="245"/>
      <c r="F8" s="245"/>
      <c r="G8" s="246"/>
    </row>
    <row r="9" spans="1:7" s="51" customFormat="1" ht="45" customHeight="1">
      <c r="A9" s="238"/>
      <c r="B9" s="167"/>
      <c r="C9" s="247"/>
      <c r="D9" s="248"/>
      <c r="E9" s="248"/>
      <c r="F9" s="248"/>
      <c r="G9" s="249"/>
    </row>
    <row r="10" spans="1:7" s="51" customFormat="1" ht="18.75" customHeight="1">
      <c r="A10" s="238"/>
      <c r="B10" s="167"/>
      <c r="C10" s="250" t="s">
        <v>107</v>
      </c>
      <c r="D10" s="251" t="s">
        <v>108</v>
      </c>
      <c r="E10" s="252"/>
      <c r="F10" s="252"/>
      <c r="G10" s="253"/>
    </row>
    <row r="11" spans="1:7" s="51" customFormat="1" ht="18.75" customHeight="1">
      <c r="A11" s="238"/>
      <c r="B11" s="167"/>
      <c r="C11" s="254" t="s">
        <v>109</v>
      </c>
      <c r="D11" s="255" t="s">
        <v>110</v>
      </c>
      <c r="E11" s="256"/>
      <c r="F11" s="256"/>
      <c r="G11" s="257"/>
    </row>
    <row r="12" spans="1:7" s="51" customFormat="1" ht="18.75" customHeight="1">
      <c r="A12" s="238"/>
      <c r="B12" s="167"/>
      <c r="C12" s="254" t="s">
        <v>109</v>
      </c>
      <c r="D12" s="255" t="s">
        <v>111</v>
      </c>
      <c r="E12" s="256"/>
      <c r="F12" s="256"/>
      <c r="G12" s="257"/>
    </row>
    <row r="13" spans="1:7" s="51" customFormat="1" ht="18.75" customHeight="1">
      <c r="A13" s="238"/>
      <c r="B13" s="167"/>
      <c r="C13" s="254" t="s">
        <v>109</v>
      </c>
      <c r="D13" s="255" t="s">
        <v>112</v>
      </c>
      <c r="E13" s="256"/>
      <c r="F13" s="256"/>
      <c r="G13" s="257"/>
    </row>
    <row r="14" spans="1:7" s="51" customFormat="1" ht="18.75" customHeight="1">
      <c r="A14" s="238"/>
      <c r="B14" s="167"/>
      <c r="C14" s="254" t="s">
        <v>109</v>
      </c>
      <c r="D14" s="174" t="s">
        <v>113</v>
      </c>
      <c r="E14" s="256"/>
      <c r="F14" s="256"/>
      <c r="G14" s="257"/>
    </row>
    <row r="15" spans="1:7" s="51" customFormat="1" ht="18.75" customHeight="1">
      <c r="A15" s="238"/>
      <c r="B15" s="167"/>
      <c r="C15" s="254" t="s">
        <v>109</v>
      </c>
      <c r="D15" s="258" t="s">
        <v>114</v>
      </c>
      <c r="E15" s="259"/>
      <c r="F15" s="259"/>
      <c r="G15" s="260"/>
    </row>
    <row r="16" spans="1:7" s="51" customFormat="1" ht="18.75" customHeight="1">
      <c r="A16" s="238"/>
      <c r="B16" s="167"/>
      <c r="C16" s="254" t="s">
        <v>109</v>
      </c>
      <c r="D16" s="258" t="s">
        <v>115</v>
      </c>
      <c r="E16" s="259"/>
      <c r="F16" s="259"/>
      <c r="G16" s="260"/>
    </row>
    <row r="17" spans="2:8" s="51" customFormat="1" ht="18.75" customHeight="1">
      <c r="B17" s="167"/>
      <c r="C17" s="254" t="s">
        <v>109</v>
      </c>
      <c r="D17" s="258" t="s">
        <v>116</v>
      </c>
      <c r="E17" s="259"/>
      <c r="F17" s="259"/>
      <c r="G17" s="260"/>
      <c r="H17" s="238"/>
    </row>
    <row r="18" spans="2:8" s="51" customFormat="1" ht="18.75" customHeight="1">
      <c r="B18" s="167"/>
      <c r="C18" s="254" t="s">
        <v>109</v>
      </c>
      <c r="D18" s="258" t="s">
        <v>117</v>
      </c>
      <c r="E18" s="259"/>
      <c r="F18" s="259"/>
      <c r="G18" s="260"/>
      <c r="H18" s="238"/>
    </row>
    <row r="19" spans="2:8" s="51" customFormat="1" ht="18.75" customHeight="1">
      <c r="B19" s="167"/>
      <c r="C19" s="94" t="s">
        <v>73</v>
      </c>
      <c r="D19" s="172" t="s">
        <v>118</v>
      </c>
      <c r="E19" s="261"/>
      <c r="F19" s="261"/>
      <c r="G19" s="262"/>
      <c r="H19" s="238"/>
    </row>
    <row r="20" spans="2:8" s="51" customFormat="1" ht="18.75" customHeight="1">
      <c r="B20" s="167"/>
      <c r="C20" s="94"/>
      <c r="D20" s="239"/>
      <c r="E20" s="240"/>
      <c r="F20" s="240"/>
      <c r="G20" s="241"/>
      <c r="H20" s="238"/>
    </row>
    <row r="21" spans="2:8" s="51" customFormat="1" ht="18.75" customHeight="1">
      <c r="B21" s="167"/>
      <c r="C21" s="94"/>
      <c r="D21" s="239"/>
      <c r="E21" s="240"/>
      <c r="F21" s="240"/>
      <c r="G21" s="241"/>
      <c r="H21" s="238"/>
    </row>
    <row r="22" spans="2:8" s="51" customFormat="1" ht="18.75" customHeight="1">
      <c r="B22" s="167"/>
      <c r="C22" s="94"/>
      <c r="D22" s="239"/>
      <c r="E22" s="240"/>
      <c r="F22" s="240"/>
      <c r="G22" s="241"/>
      <c r="H22" s="238"/>
    </row>
    <row r="23" spans="2:8" s="51" customFormat="1" ht="18.75" customHeight="1">
      <c r="B23" s="167"/>
      <c r="C23" s="94"/>
      <c r="D23" s="239"/>
      <c r="E23" s="240"/>
      <c r="F23" s="240"/>
      <c r="G23" s="241"/>
      <c r="H23" s="238"/>
    </row>
    <row r="24" spans="2:8" s="51" customFormat="1" ht="18.75" customHeight="1">
      <c r="B24" s="167"/>
      <c r="C24" s="94"/>
      <c r="D24" s="239"/>
      <c r="E24" s="240"/>
      <c r="F24" s="240"/>
      <c r="G24" s="241"/>
      <c r="H24" s="238"/>
    </row>
    <row r="25" spans="2:8" s="51" customFormat="1" ht="18.75" customHeight="1">
      <c r="B25" s="167"/>
      <c r="C25" s="94"/>
      <c r="D25" s="239"/>
      <c r="E25" s="240"/>
      <c r="F25" s="240"/>
      <c r="G25" s="241"/>
      <c r="H25" s="238"/>
    </row>
    <row r="26" spans="2:8" ht="18.75" customHeight="1">
      <c r="B26" s="166" t="s">
        <v>119</v>
      </c>
      <c r="C26" s="239" t="s">
        <v>104</v>
      </c>
      <c r="D26" s="240"/>
      <c r="E26" s="240"/>
      <c r="F26" s="240"/>
      <c r="G26" s="241"/>
      <c r="H26" s="69"/>
    </row>
    <row r="27" spans="2:8" ht="37.5" customHeight="1">
      <c r="B27" s="167"/>
      <c r="C27" s="168" t="s">
        <v>120</v>
      </c>
      <c r="D27" s="263"/>
      <c r="E27" s="263"/>
      <c r="F27" s="263"/>
      <c r="G27" s="264"/>
      <c r="H27" s="238"/>
    </row>
    <row r="28" spans="2:8" ht="37.5" customHeight="1">
      <c r="B28" s="167"/>
      <c r="C28" s="265"/>
      <c r="D28" s="266"/>
      <c r="E28" s="266"/>
      <c r="F28" s="266"/>
      <c r="G28" s="267"/>
      <c r="H28" s="69"/>
    </row>
    <row r="29" spans="2:8" ht="37.5" customHeight="1">
      <c r="B29" s="167"/>
      <c r="C29" s="265"/>
      <c r="D29" s="266"/>
      <c r="E29" s="266"/>
      <c r="F29" s="266"/>
      <c r="G29" s="267"/>
      <c r="H29" s="69"/>
    </row>
    <row r="30" spans="2:8" ht="37.5" customHeight="1">
      <c r="B30" s="167"/>
      <c r="C30" s="265"/>
      <c r="D30" s="266"/>
      <c r="E30" s="266"/>
      <c r="F30" s="266"/>
      <c r="G30" s="267"/>
      <c r="H30" s="69"/>
    </row>
    <row r="31" spans="2:8" ht="37.5" customHeight="1">
      <c r="B31" s="167"/>
      <c r="C31" s="268"/>
      <c r="D31" s="269"/>
      <c r="E31" s="269"/>
      <c r="F31" s="269"/>
      <c r="G31" s="270"/>
      <c r="H31" s="69"/>
    </row>
    <row r="32" spans="2:8" ht="18.75" customHeight="1">
      <c r="B32" s="167"/>
      <c r="C32" s="250" t="s">
        <v>107</v>
      </c>
      <c r="D32" s="239" t="s">
        <v>108</v>
      </c>
      <c r="E32" s="240"/>
      <c r="F32" s="240"/>
      <c r="G32" s="241"/>
      <c r="H32" s="69"/>
    </row>
    <row r="33" spans="2:7" ht="18.75" customHeight="1">
      <c r="B33" s="167"/>
      <c r="C33" s="254" t="s">
        <v>74</v>
      </c>
      <c r="D33" s="164" t="s">
        <v>121</v>
      </c>
      <c r="E33" s="271"/>
      <c r="F33" s="271"/>
      <c r="G33" s="272"/>
    </row>
    <row r="34" spans="2:7" ht="18.75" customHeight="1">
      <c r="B34" s="167"/>
      <c r="C34" s="254" t="s">
        <v>109</v>
      </c>
      <c r="D34" s="164" t="s">
        <v>122</v>
      </c>
      <c r="E34" s="271"/>
      <c r="F34" s="271"/>
      <c r="G34" s="272"/>
    </row>
    <row r="35" spans="2:7" ht="18.75" customHeight="1">
      <c r="B35" s="167"/>
      <c r="C35" s="254" t="s">
        <v>123</v>
      </c>
      <c r="D35" s="164" t="s">
        <v>124</v>
      </c>
      <c r="E35" s="271"/>
      <c r="F35" s="271"/>
      <c r="G35" s="272"/>
    </row>
    <row r="36" spans="2:7" ht="18.75" customHeight="1">
      <c r="B36" s="167"/>
      <c r="C36" s="254" t="s">
        <v>109</v>
      </c>
      <c r="D36" s="164" t="s">
        <v>125</v>
      </c>
      <c r="E36" s="271"/>
      <c r="F36" s="271"/>
      <c r="G36" s="272"/>
    </row>
    <row r="37" spans="2:7" ht="18.75" customHeight="1">
      <c r="B37" s="167"/>
      <c r="C37" s="254" t="s">
        <v>109</v>
      </c>
      <c r="D37" s="164" t="s">
        <v>126</v>
      </c>
      <c r="E37" s="271"/>
      <c r="F37" s="271"/>
      <c r="G37" s="272"/>
    </row>
    <row r="38" spans="2:7" ht="18.75" customHeight="1">
      <c r="B38" s="167"/>
      <c r="C38" s="254" t="s">
        <v>109</v>
      </c>
      <c r="D38" s="164" t="s">
        <v>127</v>
      </c>
      <c r="E38" s="271"/>
      <c r="F38" s="271"/>
      <c r="G38" s="272"/>
    </row>
    <row r="39" spans="2:7" ht="18.75" customHeight="1">
      <c r="B39" s="167"/>
      <c r="C39" s="254" t="s">
        <v>109</v>
      </c>
      <c r="D39" s="165" t="s">
        <v>128</v>
      </c>
      <c r="E39" s="170"/>
      <c r="F39" s="170"/>
      <c r="G39" s="171"/>
    </row>
    <row r="40" spans="2:7" ht="18.75" customHeight="1">
      <c r="B40" s="167"/>
      <c r="C40" s="254"/>
      <c r="D40" s="164"/>
      <c r="E40" s="271"/>
      <c r="F40" s="271"/>
      <c r="G40" s="272"/>
    </row>
    <row r="41" spans="2:7" ht="18.75" customHeight="1">
      <c r="B41" s="167"/>
      <c r="C41" s="94"/>
      <c r="D41" s="251"/>
      <c r="E41" s="252"/>
      <c r="F41" s="252"/>
      <c r="G41" s="253"/>
    </row>
    <row r="42" spans="2:7" ht="18.75" customHeight="1">
      <c r="B42" s="167"/>
      <c r="C42" s="94"/>
      <c r="D42" s="251"/>
      <c r="E42" s="252"/>
      <c r="F42" s="252"/>
      <c r="G42" s="253"/>
    </row>
    <row r="43" spans="2:7" ht="18.75" customHeight="1">
      <c r="B43" s="167"/>
      <c r="C43" s="94"/>
      <c r="D43" s="251"/>
      <c r="E43" s="252"/>
      <c r="F43" s="252"/>
      <c r="G43" s="253"/>
    </row>
    <row r="44" spans="2:7" ht="18.75" customHeight="1">
      <c r="B44" s="167"/>
      <c r="C44" s="94"/>
      <c r="D44" s="251"/>
      <c r="E44" s="252"/>
      <c r="F44" s="252"/>
      <c r="G44" s="253"/>
    </row>
    <row r="45" spans="2:7" ht="18.75" customHeight="1">
      <c r="B45" s="167"/>
      <c r="C45" s="94"/>
      <c r="D45" s="251"/>
      <c r="E45" s="252"/>
      <c r="F45" s="252"/>
      <c r="G45" s="253"/>
    </row>
    <row r="46" spans="2:7" ht="18.75" customHeight="1">
      <c r="B46" s="167"/>
      <c r="C46" s="94"/>
      <c r="D46" s="251"/>
      <c r="E46" s="252"/>
      <c r="F46" s="252"/>
      <c r="G46" s="253"/>
    </row>
    <row r="47" spans="2:7" ht="18.75" customHeight="1">
      <c r="B47" s="167"/>
      <c r="C47" s="94"/>
      <c r="D47" s="251"/>
      <c r="E47" s="252"/>
      <c r="F47" s="252"/>
      <c r="G47" s="253"/>
    </row>
    <row r="48" spans="2:7" ht="18.75" customHeight="1">
      <c r="B48" s="167"/>
      <c r="C48" s="94"/>
      <c r="D48" s="251"/>
      <c r="E48" s="252"/>
      <c r="F48" s="252"/>
      <c r="G48" s="253"/>
    </row>
    <row r="49" spans="2:8" ht="18.75" customHeight="1">
      <c r="B49" s="167"/>
      <c r="C49" s="94"/>
      <c r="D49" s="251"/>
      <c r="E49" s="252"/>
      <c r="F49" s="252"/>
      <c r="G49" s="253"/>
      <c r="H49" s="69"/>
    </row>
    <row r="50" spans="2:8" ht="18.75" customHeight="1">
      <c r="B50" s="169"/>
      <c r="C50" s="94"/>
      <c r="D50" s="251"/>
      <c r="E50" s="252"/>
      <c r="F50" s="252"/>
      <c r="G50" s="253"/>
      <c r="H50" s="69"/>
    </row>
    <row r="51" spans="2:8" ht="18.75" customHeight="1">
      <c r="B51" s="166" t="s">
        <v>129</v>
      </c>
      <c r="C51" s="239" t="s">
        <v>104</v>
      </c>
      <c r="D51" s="240"/>
      <c r="E51" s="240"/>
      <c r="F51" s="240"/>
      <c r="G51" s="241"/>
      <c r="H51" s="69"/>
    </row>
    <row r="52" spans="2:8" ht="37.5" customHeight="1">
      <c r="B52" s="167"/>
      <c r="C52" s="273" t="s">
        <v>130</v>
      </c>
      <c r="D52" s="274"/>
      <c r="E52" s="274"/>
      <c r="F52" s="274"/>
      <c r="G52" s="275"/>
      <c r="H52" s="50"/>
    </row>
    <row r="53" spans="2:8" ht="37.5" customHeight="1">
      <c r="B53" s="167"/>
      <c r="C53" s="276"/>
      <c r="D53" s="277"/>
      <c r="E53" s="277"/>
      <c r="F53" s="277"/>
      <c r="G53" s="278"/>
      <c r="H53" s="69"/>
    </row>
    <row r="54" spans="2:8" ht="37.5" customHeight="1">
      <c r="B54" s="167"/>
      <c r="C54" s="276"/>
      <c r="D54" s="277"/>
      <c r="E54" s="277"/>
      <c r="F54" s="277"/>
      <c r="G54" s="278"/>
      <c r="H54" s="69"/>
    </row>
    <row r="55" spans="2:8" ht="37.5" customHeight="1">
      <c r="B55" s="167"/>
      <c r="C55" s="276"/>
      <c r="D55" s="277"/>
      <c r="E55" s="277"/>
      <c r="F55" s="277"/>
      <c r="G55" s="278"/>
      <c r="H55" s="69"/>
    </row>
    <row r="56" spans="2:8" ht="37.5" customHeight="1">
      <c r="B56" s="167"/>
      <c r="C56" s="279"/>
      <c r="D56" s="280"/>
      <c r="E56" s="280"/>
      <c r="F56" s="280"/>
      <c r="G56" s="281"/>
      <c r="H56" s="69"/>
    </row>
    <row r="57" spans="2:8" ht="18.75" customHeight="1">
      <c r="B57" s="167"/>
      <c r="C57" s="250" t="s">
        <v>107</v>
      </c>
      <c r="D57" s="239" t="s">
        <v>108</v>
      </c>
      <c r="E57" s="240"/>
      <c r="F57" s="240"/>
      <c r="G57" s="241"/>
      <c r="H57" s="69"/>
    </row>
    <row r="58" spans="2:8" ht="18.75" customHeight="1">
      <c r="B58" s="167"/>
      <c r="C58" s="254" t="s">
        <v>74</v>
      </c>
      <c r="D58" s="164" t="s">
        <v>131</v>
      </c>
      <c r="E58" s="271"/>
      <c r="F58" s="271"/>
      <c r="G58" s="272"/>
      <c r="H58" s="69"/>
    </row>
    <row r="59" spans="2:8" ht="18.75" customHeight="1">
      <c r="B59" s="167"/>
      <c r="C59" s="254" t="s">
        <v>109</v>
      </c>
      <c r="D59" s="164" t="s">
        <v>132</v>
      </c>
      <c r="E59" s="271"/>
      <c r="F59" s="271"/>
      <c r="G59" s="272"/>
      <c r="H59" s="69"/>
    </row>
    <row r="60" spans="2:8" ht="18.75" customHeight="1">
      <c r="B60" s="167"/>
      <c r="C60" s="254" t="s">
        <v>109</v>
      </c>
      <c r="D60" s="165" t="s">
        <v>133</v>
      </c>
      <c r="E60" s="271"/>
      <c r="F60" s="271"/>
      <c r="G60" s="272"/>
      <c r="H60" s="69"/>
    </row>
    <row r="61" spans="2:8" ht="18.75" customHeight="1">
      <c r="B61" s="167"/>
      <c r="C61" s="254" t="s">
        <v>109</v>
      </c>
      <c r="D61" s="164" t="s">
        <v>134</v>
      </c>
      <c r="E61" s="271"/>
      <c r="F61" s="271"/>
      <c r="G61" s="272"/>
      <c r="H61" s="69"/>
    </row>
    <row r="62" spans="2:8" ht="18.75" customHeight="1">
      <c r="B62" s="167"/>
      <c r="C62" s="254" t="s">
        <v>109</v>
      </c>
      <c r="D62" s="164" t="s">
        <v>135</v>
      </c>
      <c r="E62" s="271"/>
      <c r="F62" s="271"/>
      <c r="G62" s="272"/>
      <c r="H62" s="69"/>
    </row>
    <row r="63" spans="2:8" ht="18.75" customHeight="1">
      <c r="B63" s="167"/>
      <c r="C63" s="254" t="s">
        <v>109</v>
      </c>
      <c r="D63" s="164" t="s">
        <v>136</v>
      </c>
      <c r="E63" s="271"/>
      <c r="F63" s="271"/>
      <c r="G63" s="272"/>
      <c r="H63" s="69"/>
    </row>
    <row r="64" spans="2:8" ht="18.75" customHeight="1">
      <c r="B64" s="167"/>
      <c r="C64" s="254"/>
      <c r="D64" s="164"/>
      <c r="E64" s="271"/>
      <c r="F64" s="271"/>
      <c r="G64" s="272"/>
      <c r="H64" s="69"/>
    </row>
    <row r="65" spans="2:8" ht="18.75" customHeight="1">
      <c r="B65" s="167"/>
      <c r="C65" s="94"/>
      <c r="D65" s="251"/>
      <c r="E65" s="252"/>
      <c r="F65" s="252"/>
      <c r="G65" s="253"/>
      <c r="H65" s="69"/>
    </row>
    <row r="66" spans="2:8" ht="18.75" customHeight="1">
      <c r="B66" s="167"/>
      <c r="C66" s="94"/>
      <c r="D66" s="251"/>
      <c r="E66" s="252"/>
      <c r="F66" s="252"/>
      <c r="G66" s="253"/>
      <c r="H66" s="69"/>
    </row>
    <row r="67" spans="2:8" ht="18.75" customHeight="1">
      <c r="B67" s="167"/>
      <c r="C67" s="94"/>
      <c r="D67" s="251"/>
      <c r="E67" s="252"/>
      <c r="F67" s="252"/>
      <c r="G67" s="253"/>
      <c r="H67" s="69"/>
    </row>
    <row r="68" spans="2:8" ht="18.75" customHeight="1">
      <c r="B68" s="167"/>
      <c r="C68" s="94"/>
      <c r="D68" s="251"/>
      <c r="E68" s="252"/>
      <c r="F68" s="252"/>
      <c r="G68" s="253"/>
      <c r="H68" s="69"/>
    </row>
    <row r="69" spans="2:8" ht="18.75" customHeight="1">
      <c r="B69" s="167"/>
      <c r="C69" s="94"/>
      <c r="D69" s="251"/>
      <c r="E69" s="252"/>
      <c r="F69" s="252"/>
      <c r="G69" s="253"/>
      <c r="H69" s="69"/>
    </row>
    <row r="70" spans="2:8" ht="18.75" customHeight="1">
      <c r="B70" s="167"/>
      <c r="C70" s="94"/>
      <c r="D70" s="251"/>
      <c r="E70" s="252"/>
      <c r="F70" s="252"/>
      <c r="G70" s="253"/>
      <c r="H70" s="69"/>
    </row>
    <row r="71" spans="2:8" ht="18.75" customHeight="1">
      <c r="B71" s="167"/>
      <c r="C71" s="94"/>
      <c r="D71" s="251"/>
      <c r="E71" s="252"/>
      <c r="F71" s="252"/>
      <c r="G71" s="253"/>
      <c r="H71" s="69"/>
    </row>
    <row r="72" spans="2:8" ht="18.75" customHeight="1">
      <c r="B72" s="167"/>
      <c r="C72" s="94"/>
      <c r="D72" s="251"/>
      <c r="E72" s="252"/>
      <c r="F72" s="252"/>
      <c r="G72" s="253"/>
      <c r="H72" s="69"/>
    </row>
    <row r="73" spans="2:8" ht="18.75" customHeight="1">
      <c r="B73" s="167"/>
      <c r="C73" s="94"/>
      <c r="D73" s="251"/>
      <c r="E73" s="252"/>
      <c r="F73" s="252"/>
      <c r="G73" s="253"/>
      <c r="H73" s="69"/>
    </row>
    <row r="74" spans="2:8" ht="18.75" customHeight="1">
      <c r="B74" s="167"/>
      <c r="C74" s="94"/>
      <c r="D74" s="251"/>
      <c r="E74" s="252"/>
      <c r="F74" s="252"/>
      <c r="G74" s="253"/>
      <c r="H74" s="69"/>
    </row>
    <row r="75" spans="2:8" ht="18.75" customHeight="1">
      <c r="B75" s="167"/>
      <c r="C75" s="94"/>
      <c r="D75" s="251"/>
      <c r="E75" s="252"/>
      <c r="F75" s="252"/>
      <c r="G75" s="253"/>
      <c r="H75" s="69"/>
    </row>
    <row r="76" spans="2:8" ht="18.75" customHeight="1">
      <c r="B76" s="166" t="s">
        <v>137</v>
      </c>
      <c r="C76" s="239" t="s">
        <v>104</v>
      </c>
      <c r="D76" s="240"/>
      <c r="E76" s="240"/>
      <c r="F76" s="240"/>
      <c r="G76" s="241"/>
      <c r="H76" s="69"/>
    </row>
    <row r="77" spans="2:8" ht="37.5" customHeight="1">
      <c r="B77" s="167"/>
      <c r="C77" s="273" t="s">
        <v>138</v>
      </c>
      <c r="D77" s="263"/>
      <c r="E77" s="263"/>
      <c r="F77" s="263"/>
      <c r="G77" s="264"/>
      <c r="H77" s="238"/>
    </row>
    <row r="78" spans="2:8" ht="37.5" customHeight="1">
      <c r="B78" s="167"/>
      <c r="C78" s="265"/>
      <c r="D78" s="266"/>
      <c r="E78" s="266"/>
      <c r="F78" s="266"/>
      <c r="G78" s="267"/>
      <c r="H78" s="69"/>
    </row>
    <row r="79" spans="2:8" ht="37.5" customHeight="1">
      <c r="B79" s="167"/>
      <c r="C79" s="265"/>
      <c r="D79" s="266"/>
      <c r="E79" s="266"/>
      <c r="F79" s="266"/>
      <c r="G79" s="267"/>
      <c r="H79" s="69"/>
    </row>
    <row r="80" spans="2:8" ht="37.5" customHeight="1">
      <c r="B80" s="167"/>
      <c r="C80" s="265"/>
      <c r="D80" s="266"/>
      <c r="E80" s="266"/>
      <c r="F80" s="266"/>
      <c r="G80" s="267"/>
      <c r="H80" s="69"/>
    </row>
    <row r="81" spans="2:7" ht="37.5" customHeight="1">
      <c r="B81" s="167"/>
      <c r="C81" s="268"/>
      <c r="D81" s="269"/>
      <c r="E81" s="269"/>
      <c r="F81" s="269"/>
      <c r="G81" s="270"/>
    </row>
    <row r="82" spans="2:7" ht="18.75" customHeight="1">
      <c r="B82" s="167"/>
      <c r="C82" s="250" t="s">
        <v>107</v>
      </c>
      <c r="D82" s="239" t="s">
        <v>108</v>
      </c>
      <c r="E82" s="240"/>
      <c r="F82" s="240"/>
      <c r="G82" s="241"/>
    </row>
    <row r="83" spans="2:7" ht="18.75" customHeight="1">
      <c r="B83" s="167"/>
      <c r="C83" s="254" t="s">
        <v>74</v>
      </c>
      <c r="D83" s="164" t="s">
        <v>139</v>
      </c>
      <c r="E83" s="271"/>
      <c r="F83" s="271"/>
      <c r="G83" s="272"/>
    </row>
    <row r="84" spans="2:7" ht="18.75" customHeight="1">
      <c r="B84" s="167"/>
      <c r="C84" s="254" t="s">
        <v>74</v>
      </c>
      <c r="D84" s="164" t="s">
        <v>140</v>
      </c>
      <c r="E84" s="271"/>
      <c r="F84" s="271"/>
      <c r="G84" s="272"/>
    </row>
    <row r="85" spans="2:7" ht="18.75" customHeight="1">
      <c r="B85" s="167"/>
      <c r="C85" s="254" t="s">
        <v>74</v>
      </c>
      <c r="D85" s="164" t="s">
        <v>141</v>
      </c>
      <c r="E85" s="271"/>
      <c r="F85" s="271"/>
      <c r="G85" s="272"/>
    </row>
    <row r="86" spans="2:7" ht="18.75" customHeight="1">
      <c r="B86" s="167"/>
      <c r="C86" s="254" t="s">
        <v>74</v>
      </c>
      <c r="D86" s="164" t="s">
        <v>142</v>
      </c>
      <c r="E86" s="271"/>
      <c r="F86" s="271"/>
      <c r="G86" s="272"/>
    </row>
    <row r="87" spans="2:7" ht="18.75" customHeight="1">
      <c r="B87" s="167"/>
      <c r="C87" s="254" t="s">
        <v>74</v>
      </c>
      <c r="D87" s="164" t="s">
        <v>143</v>
      </c>
      <c r="E87" s="271"/>
      <c r="F87" s="271"/>
      <c r="G87" s="272"/>
    </row>
    <row r="88" spans="2:7" ht="18.75" customHeight="1">
      <c r="B88" s="167"/>
      <c r="C88" s="254" t="s">
        <v>74</v>
      </c>
      <c r="D88" s="164" t="s">
        <v>144</v>
      </c>
      <c r="E88" s="271"/>
      <c r="F88" s="271"/>
      <c r="G88" s="272"/>
    </row>
    <row r="89" spans="2:7" ht="18.75" customHeight="1">
      <c r="B89" s="167"/>
      <c r="C89" s="254" t="s">
        <v>123</v>
      </c>
      <c r="D89" s="165" t="s">
        <v>145</v>
      </c>
      <c r="E89" s="271"/>
      <c r="F89" s="271"/>
      <c r="G89" s="272"/>
    </row>
    <row r="90" spans="2:7" ht="18.75" customHeight="1">
      <c r="B90" s="167"/>
      <c r="C90" s="254" t="s">
        <v>123</v>
      </c>
      <c r="D90" s="164" t="s">
        <v>146</v>
      </c>
      <c r="E90" s="271"/>
      <c r="F90" s="271"/>
      <c r="G90" s="272"/>
    </row>
    <row r="91" spans="2:7" ht="18.75" customHeight="1">
      <c r="B91" s="167"/>
      <c r="C91" s="254" t="s">
        <v>123</v>
      </c>
      <c r="D91" s="164" t="s">
        <v>147</v>
      </c>
      <c r="E91" s="271"/>
      <c r="F91" s="271"/>
      <c r="G91" s="272"/>
    </row>
    <row r="92" spans="2:7" ht="18.75" customHeight="1">
      <c r="B92" s="167"/>
      <c r="C92" s="254" t="s">
        <v>123</v>
      </c>
      <c r="D92" s="164" t="s">
        <v>148</v>
      </c>
      <c r="E92" s="271"/>
      <c r="F92" s="271"/>
      <c r="G92" s="272"/>
    </row>
    <row r="93" spans="2:7" ht="18.75" customHeight="1">
      <c r="B93" s="167"/>
      <c r="C93" s="94"/>
      <c r="D93" s="251"/>
      <c r="E93" s="252"/>
      <c r="F93" s="252"/>
      <c r="G93" s="253"/>
    </row>
    <row r="94" spans="2:7" ht="18.75" customHeight="1">
      <c r="B94" s="167"/>
      <c r="C94" s="94"/>
      <c r="D94" s="251"/>
      <c r="E94" s="252"/>
      <c r="F94" s="252"/>
      <c r="G94" s="253"/>
    </row>
    <row r="95" spans="2:7" ht="18.75" customHeight="1">
      <c r="B95" s="167"/>
      <c r="C95" s="94"/>
      <c r="D95" s="251"/>
      <c r="E95" s="252"/>
      <c r="F95" s="252"/>
      <c r="G95" s="253"/>
    </row>
    <row r="96" spans="2:7" ht="18.75" customHeight="1">
      <c r="B96" s="167"/>
      <c r="C96" s="94"/>
      <c r="D96" s="251"/>
      <c r="E96" s="252"/>
      <c r="F96" s="252"/>
      <c r="G96" s="253"/>
    </row>
    <row r="97" spans="2:8" ht="18.75" customHeight="1">
      <c r="B97" s="167"/>
      <c r="C97" s="94"/>
      <c r="D97" s="251"/>
      <c r="E97" s="252"/>
      <c r="F97" s="252"/>
      <c r="G97" s="253"/>
      <c r="H97" s="69"/>
    </row>
    <row r="98" spans="2:8" ht="18.75" customHeight="1">
      <c r="B98" s="167"/>
      <c r="C98" s="94"/>
      <c r="D98" s="251"/>
      <c r="E98" s="252"/>
      <c r="F98" s="252"/>
      <c r="G98" s="253"/>
      <c r="H98" s="69"/>
    </row>
    <row r="99" spans="2:8" ht="18.75" customHeight="1">
      <c r="B99" s="167"/>
      <c r="C99" s="94"/>
      <c r="D99" s="251"/>
      <c r="E99" s="252"/>
      <c r="F99" s="252"/>
      <c r="G99" s="253"/>
      <c r="H99" s="69"/>
    </row>
    <row r="100" spans="2:8" ht="18.75" customHeight="1">
      <c r="B100" s="167"/>
      <c r="C100" s="94"/>
      <c r="D100" s="251"/>
      <c r="E100" s="252"/>
      <c r="F100" s="252"/>
      <c r="G100" s="253"/>
      <c r="H100" s="69"/>
    </row>
    <row r="101" spans="2:8" ht="18.75" customHeight="1">
      <c r="B101" s="166" t="s">
        <v>149</v>
      </c>
      <c r="C101" s="239" t="s">
        <v>104</v>
      </c>
      <c r="D101" s="240"/>
      <c r="E101" s="240"/>
      <c r="F101" s="240"/>
      <c r="G101" s="241"/>
      <c r="H101" s="69"/>
    </row>
    <row r="102" spans="2:8" ht="37.5" customHeight="1">
      <c r="B102" s="167"/>
      <c r="C102" s="168" t="s">
        <v>150</v>
      </c>
      <c r="D102" s="263"/>
      <c r="E102" s="263"/>
      <c r="F102" s="263"/>
      <c r="G102" s="264"/>
      <c r="H102" s="50"/>
    </row>
    <row r="103" spans="2:8" ht="37.5" customHeight="1">
      <c r="B103" s="167"/>
      <c r="C103" s="265"/>
      <c r="D103" s="266"/>
      <c r="E103" s="266"/>
      <c r="F103" s="266"/>
      <c r="G103" s="267"/>
      <c r="H103" s="69"/>
    </row>
    <row r="104" spans="2:8" ht="37.5" customHeight="1">
      <c r="B104" s="167"/>
      <c r="C104" s="265"/>
      <c r="D104" s="266"/>
      <c r="E104" s="266"/>
      <c r="F104" s="266"/>
      <c r="G104" s="267"/>
      <c r="H104" s="69"/>
    </row>
    <row r="105" spans="2:8" ht="37.5" customHeight="1">
      <c r="B105" s="167"/>
      <c r="C105" s="265"/>
      <c r="D105" s="266"/>
      <c r="E105" s="266"/>
      <c r="F105" s="266"/>
      <c r="G105" s="267"/>
      <c r="H105" s="69"/>
    </row>
    <row r="106" spans="2:8" ht="37.5" customHeight="1">
      <c r="B106" s="167"/>
      <c r="C106" s="268"/>
      <c r="D106" s="269"/>
      <c r="E106" s="269"/>
      <c r="F106" s="269"/>
      <c r="G106" s="270"/>
      <c r="H106" s="69"/>
    </row>
    <row r="107" spans="2:8" ht="18.75" customHeight="1">
      <c r="B107" s="167"/>
      <c r="C107" s="250" t="s">
        <v>107</v>
      </c>
      <c r="D107" s="239" t="s">
        <v>108</v>
      </c>
      <c r="E107" s="240"/>
      <c r="F107" s="240"/>
      <c r="G107" s="241"/>
      <c r="H107" s="69"/>
    </row>
    <row r="108" spans="2:8" ht="18.75" customHeight="1">
      <c r="B108" s="167"/>
      <c r="C108" s="254" t="s">
        <v>74</v>
      </c>
      <c r="D108" s="282" t="s">
        <v>151</v>
      </c>
      <c r="E108" s="283"/>
      <c r="F108" s="283"/>
      <c r="G108" s="284"/>
      <c r="H108" s="69"/>
    </row>
    <row r="109" spans="2:8" ht="18.75" customHeight="1">
      <c r="B109" s="167"/>
      <c r="C109" s="254" t="s">
        <v>74</v>
      </c>
      <c r="D109" s="164" t="s">
        <v>152</v>
      </c>
      <c r="E109" s="271"/>
      <c r="F109" s="271"/>
      <c r="G109" s="272"/>
      <c r="H109" s="69"/>
    </row>
    <row r="110" spans="2:8" ht="18.75" customHeight="1">
      <c r="B110" s="167"/>
      <c r="C110" s="254" t="s">
        <v>74</v>
      </c>
      <c r="D110" s="164" t="s">
        <v>153</v>
      </c>
      <c r="E110" s="271"/>
      <c r="F110" s="271"/>
      <c r="G110" s="272"/>
      <c r="H110" s="69"/>
    </row>
    <row r="111" spans="2:8" ht="18.75" customHeight="1">
      <c r="B111" s="167"/>
      <c r="C111" s="254" t="s">
        <v>74</v>
      </c>
      <c r="D111" s="164" t="s">
        <v>154</v>
      </c>
      <c r="E111" s="271"/>
      <c r="F111" s="271"/>
      <c r="G111" s="272"/>
      <c r="H111" s="69"/>
    </row>
    <row r="112" spans="2:8" ht="18.75" customHeight="1">
      <c r="B112" s="167"/>
      <c r="C112" s="254" t="s">
        <v>74</v>
      </c>
      <c r="D112" s="164" t="s">
        <v>155</v>
      </c>
      <c r="E112" s="271"/>
      <c r="F112" s="271"/>
      <c r="G112" s="272"/>
      <c r="H112" s="69"/>
    </row>
    <row r="113" spans="1:7" ht="18.75" customHeight="1">
      <c r="A113" s="69"/>
      <c r="B113" s="167"/>
      <c r="C113" s="254" t="s">
        <v>74</v>
      </c>
      <c r="D113" s="164" t="s">
        <v>156</v>
      </c>
      <c r="E113" s="271"/>
      <c r="F113" s="271"/>
      <c r="G113" s="272"/>
    </row>
    <row r="114" spans="1:7" ht="18.75" customHeight="1">
      <c r="A114" s="69"/>
      <c r="B114" s="167"/>
      <c r="C114" s="254" t="s">
        <v>74</v>
      </c>
      <c r="D114" s="164" t="s">
        <v>157</v>
      </c>
      <c r="E114" s="271"/>
      <c r="F114" s="271"/>
      <c r="G114" s="272"/>
    </row>
    <row r="115" spans="1:7" ht="18.75" customHeight="1">
      <c r="A115" s="69"/>
      <c r="B115" s="167"/>
      <c r="C115" s="254" t="s">
        <v>74</v>
      </c>
      <c r="D115" s="164" t="s">
        <v>158</v>
      </c>
      <c r="E115" s="271"/>
      <c r="F115" s="271"/>
      <c r="G115" s="272"/>
    </row>
    <row r="116" spans="1:7" ht="18.75" customHeight="1">
      <c r="A116" s="69"/>
      <c r="B116" s="167"/>
      <c r="C116" s="254" t="s">
        <v>74</v>
      </c>
      <c r="D116" s="164" t="s">
        <v>159</v>
      </c>
      <c r="E116" s="271"/>
      <c r="F116" s="271"/>
      <c r="G116" s="272"/>
    </row>
    <row r="117" spans="1:7" ht="18.75" customHeight="1">
      <c r="A117" s="69"/>
      <c r="B117" s="167"/>
      <c r="C117" s="254" t="s">
        <v>74</v>
      </c>
      <c r="D117" s="164" t="s">
        <v>160</v>
      </c>
      <c r="E117" s="271"/>
      <c r="F117" s="271"/>
      <c r="G117" s="272"/>
    </row>
    <row r="118" spans="1:7" ht="18.75" customHeight="1">
      <c r="A118" s="69"/>
      <c r="B118" s="167"/>
      <c r="C118" s="254" t="s">
        <v>74</v>
      </c>
      <c r="D118" s="164" t="s">
        <v>161</v>
      </c>
      <c r="E118" s="271"/>
      <c r="F118" s="271"/>
      <c r="G118" s="272"/>
    </row>
    <row r="119" spans="1:7" ht="18.75" customHeight="1">
      <c r="A119" s="69"/>
      <c r="B119" s="167"/>
      <c r="C119" s="254" t="s">
        <v>74</v>
      </c>
      <c r="D119" s="164" t="s">
        <v>162</v>
      </c>
      <c r="E119" s="271"/>
      <c r="F119" s="271"/>
      <c r="G119" s="272"/>
    </row>
    <row r="120" spans="1:7" ht="18.75" customHeight="1">
      <c r="A120" s="69"/>
      <c r="B120" s="167"/>
      <c r="C120" s="254" t="s">
        <v>74</v>
      </c>
      <c r="D120" s="165" t="s">
        <v>163</v>
      </c>
      <c r="E120" s="271"/>
      <c r="F120" s="271"/>
      <c r="G120" s="272"/>
    </row>
    <row r="121" spans="1:7" ht="18.75" customHeight="1">
      <c r="A121" s="69"/>
      <c r="B121" s="167"/>
      <c r="C121" s="254" t="s">
        <v>74</v>
      </c>
      <c r="D121" s="164" t="s">
        <v>164</v>
      </c>
      <c r="E121" s="271"/>
      <c r="F121" s="271"/>
      <c r="G121" s="272"/>
    </row>
    <row r="122" spans="1:7" ht="18.75" customHeight="1">
      <c r="A122" s="69"/>
      <c r="B122" s="167"/>
      <c r="C122" s="254" t="s">
        <v>74</v>
      </c>
      <c r="D122" s="165" t="s">
        <v>165</v>
      </c>
      <c r="E122" s="271"/>
      <c r="F122" s="271"/>
      <c r="G122" s="272"/>
    </row>
    <row r="123" spans="1:7" ht="18.75" customHeight="1">
      <c r="A123" s="69"/>
      <c r="B123" s="167"/>
      <c r="C123" s="254" t="s">
        <v>74</v>
      </c>
      <c r="D123" s="164" t="s">
        <v>166</v>
      </c>
      <c r="E123" s="271"/>
      <c r="F123" s="271"/>
      <c r="G123" s="272"/>
    </row>
    <row r="124" spans="1:7" ht="18.75" customHeight="1">
      <c r="A124" s="69"/>
      <c r="B124" s="167"/>
      <c r="C124" s="254"/>
      <c r="D124" s="164"/>
      <c r="E124" s="271"/>
      <c r="F124" s="271"/>
      <c r="G124" s="272"/>
    </row>
    <row r="125" spans="1:7" ht="18.75" customHeight="1">
      <c r="A125" s="69"/>
      <c r="B125" s="167"/>
      <c r="C125" s="254"/>
      <c r="D125" s="164"/>
      <c r="E125" s="271"/>
      <c r="F125" s="271"/>
      <c r="G125" s="272"/>
    </row>
    <row r="126" spans="1:7" ht="18.75" customHeight="1">
      <c r="A126" s="69" t="s">
        <v>5</v>
      </c>
      <c r="B126" s="69" t="s">
        <v>167</v>
      </c>
      <c r="C126" s="69"/>
      <c r="D126" s="69"/>
      <c r="E126" s="69"/>
      <c r="F126" s="69"/>
      <c r="G126" s="69"/>
    </row>
    <row r="127" spans="1:7" ht="22.5" customHeight="1">
      <c r="A127" s="69"/>
      <c r="B127" s="94" t="s">
        <v>103</v>
      </c>
      <c r="C127" s="239" t="s">
        <v>72</v>
      </c>
      <c r="D127" s="240"/>
      <c r="E127" s="240"/>
      <c r="F127" s="240"/>
      <c r="G127" s="241"/>
    </row>
    <row r="128" spans="1:7" ht="45" customHeight="1">
      <c r="A128" s="69"/>
      <c r="B128" s="285" t="s">
        <v>168</v>
      </c>
      <c r="C128" s="164" t="s">
        <v>74</v>
      </c>
      <c r="D128" s="271"/>
      <c r="E128" s="271"/>
      <c r="F128" s="271"/>
      <c r="G128" s="272"/>
    </row>
    <row r="129" spans="1:7" ht="45" customHeight="1">
      <c r="A129" s="69"/>
      <c r="B129" s="285" t="s">
        <v>169</v>
      </c>
      <c r="C129" s="164" t="s">
        <v>123</v>
      </c>
      <c r="D129" s="271"/>
      <c r="E129" s="271"/>
      <c r="F129" s="271"/>
      <c r="G129" s="272"/>
    </row>
    <row r="130" spans="1:7" ht="45" customHeight="1">
      <c r="A130" s="69"/>
      <c r="B130" s="285" t="s">
        <v>170</v>
      </c>
      <c r="C130" s="164" t="s">
        <v>123</v>
      </c>
      <c r="D130" s="271"/>
      <c r="E130" s="271"/>
      <c r="F130" s="271"/>
      <c r="G130" s="272"/>
    </row>
    <row r="131" spans="1:7" ht="45" customHeight="1">
      <c r="A131" s="69"/>
      <c r="B131" s="285" t="s">
        <v>171</v>
      </c>
      <c r="C131" s="164" t="s">
        <v>74</v>
      </c>
      <c r="D131" s="271"/>
      <c r="E131" s="271"/>
      <c r="F131" s="271"/>
      <c r="G131" s="272"/>
    </row>
    <row r="132" spans="1:7" ht="45" customHeight="1">
      <c r="A132" s="69"/>
      <c r="B132" s="285" t="s">
        <v>172</v>
      </c>
      <c r="C132" s="164"/>
      <c r="D132" s="271"/>
      <c r="E132" s="271"/>
      <c r="F132" s="271"/>
      <c r="G132" s="272"/>
    </row>
    <row r="133" spans="1:7" ht="45" customHeight="1">
      <c r="A133" s="69"/>
      <c r="B133" s="285" t="s">
        <v>173</v>
      </c>
      <c r="C133" s="164"/>
      <c r="D133" s="271"/>
      <c r="E133" s="271"/>
      <c r="F133" s="271"/>
      <c r="G133" s="272"/>
    </row>
    <row r="134" spans="1:7" ht="45" customHeight="1">
      <c r="A134" s="69"/>
      <c r="B134" s="285" t="s">
        <v>174</v>
      </c>
      <c r="C134" s="164" t="s">
        <v>74</v>
      </c>
      <c r="D134" s="271"/>
      <c r="E134" s="271"/>
      <c r="F134" s="271"/>
      <c r="G134" s="272"/>
    </row>
    <row r="135" spans="1:7" ht="45" customHeight="1">
      <c r="A135" s="69"/>
      <c r="B135" s="285" t="s">
        <v>175</v>
      </c>
      <c r="C135" s="164" t="s">
        <v>74</v>
      </c>
      <c r="D135" s="271"/>
      <c r="E135" s="271"/>
      <c r="F135" s="271"/>
      <c r="G135" s="272"/>
    </row>
    <row r="136" spans="1:7" ht="45" customHeight="1">
      <c r="A136" s="69"/>
      <c r="B136" s="285" t="s">
        <v>176</v>
      </c>
      <c r="C136" s="164"/>
      <c r="D136" s="271"/>
      <c r="E136" s="271"/>
      <c r="F136" s="271"/>
      <c r="G136" s="272"/>
    </row>
    <row r="137" spans="1:7" ht="7.5" customHeight="1">
      <c r="A137" s="69"/>
      <c r="B137" s="69"/>
      <c r="C137" s="69"/>
      <c r="D137" s="69"/>
      <c r="E137" s="69"/>
      <c r="F137" s="69"/>
      <c r="G137" s="69"/>
    </row>
    <row r="138" spans="1:7" ht="18.75" customHeight="1">
      <c r="A138" s="69" t="s">
        <v>8</v>
      </c>
      <c r="B138" s="69" t="s">
        <v>177</v>
      </c>
      <c r="C138" s="69"/>
      <c r="D138" s="69"/>
      <c r="E138" s="286" t="s">
        <v>178</v>
      </c>
      <c r="F138" s="287"/>
      <c r="G138" s="287"/>
    </row>
    <row r="139" spans="1:7" ht="7.5" customHeight="1">
      <c r="A139" s="69"/>
      <c r="B139" s="69"/>
      <c r="C139" s="69"/>
      <c r="D139" s="69"/>
      <c r="E139" s="69"/>
      <c r="F139" s="69"/>
      <c r="G139" s="69"/>
    </row>
    <row r="140" spans="1:7" ht="18.75" customHeight="1">
      <c r="A140" s="69" t="s">
        <v>11</v>
      </c>
      <c r="B140" s="69" t="s">
        <v>179</v>
      </c>
      <c r="C140" s="69"/>
      <c r="D140" s="69"/>
      <c r="E140" s="69"/>
      <c r="F140" s="69"/>
      <c r="G140" s="69"/>
    </row>
    <row r="141" spans="1:7" ht="18.75" customHeight="1">
      <c r="A141" s="69"/>
      <c r="B141" s="288" t="s">
        <v>180</v>
      </c>
      <c r="C141" s="289"/>
      <c r="D141" s="289"/>
      <c r="E141" s="289"/>
      <c r="F141" s="289"/>
      <c r="G141" s="290"/>
    </row>
    <row r="142" spans="1:7" ht="18.75" customHeight="1">
      <c r="A142" s="69"/>
      <c r="B142" s="291"/>
      <c r="C142" s="292"/>
      <c r="D142" s="292"/>
      <c r="E142" s="292"/>
      <c r="F142" s="292"/>
      <c r="G142" s="293"/>
    </row>
    <row r="143" spans="1:7" ht="18.75" customHeight="1">
      <c r="A143" s="69"/>
      <c r="B143" s="291"/>
      <c r="C143" s="292"/>
      <c r="D143" s="292"/>
      <c r="E143" s="292"/>
      <c r="F143" s="292"/>
      <c r="G143" s="293"/>
    </row>
    <row r="144" spans="1:7" ht="18.75" customHeight="1">
      <c r="A144" s="69"/>
      <c r="B144" s="294"/>
      <c r="C144" s="295"/>
      <c r="D144" s="295"/>
      <c r="E144" s="295"/>
      <c r="F144" s="295"/>
      <c r="G144" s="296"/>
    </row>
    <row r="145" ht="18.75" customHeight="1"/>
    <row r="146" ht="18.75" customHeight="1"/>
    <row r="147" ht="18.75" customHeight="1"/>
    <row r="148" ht="18.75" customHeight="1"/>
    <row r="149" ht="18.75" customHeight="1"/>
    <row r="150" ht="18.75" customHeight="1"/>
  </sheetData>
  <customSheetViews>
    <customSheetView guid="{5055547B-B170-416F-A083-CC8E7809C104}">
      <selection activeCell="D124" sqref="D124:G124"/>
      <rowBreaks count="1" manualBreakCount="1">
        <brk id="25" max="6" man="1"/>
      </rowBreaks>
      <pageMargins left="0" right="0" top="0" bottom="0" header="0" footer="0"/>
      <printOptions horizontalCentered="1"/>
      <pageSetup paperSize="9" scale="98" orientation="landscape" r:id="rId1"/>
    </customSheetView>
  </customSheetViews>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3"/>
  <hyperlinks>
    <hyperlink ref="E138" r:id="rId2" xr:uid="{00000000-0004-0000-0300-000000000000}"/>
  </hyperlinks>
  <printOptions horizontalCentered="1"/>
  <pageMargins left="0.78740157480314965" right="0.78740157480314965" top="0.59055118110236227" bottom="0.39370078740157483" header="0.31496062992125984" footer="0.31496062992125984"/>
  <pageSetup paperSize="9" scale="98" orientation="landscape" r:id="rId3"/>
  <rowBreaks count="5" manualBreakCount="5">
    <brk id="25" max="6" man="1"/>
    <brk id="50" max="6" man="1"/>
    <brk id="75" max="6" man="1"/>
    <brk id="100" max="6" man="1"/>
    <brk id="12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zoomScaleNormal="100" workbookViewId="0">
      <selection activeCell="G133" sqref="G133"/>
    </sheetView>
  </sheetViews>
  <sheetFormatPr defaultColWidth="11.125" defaultRowHeight="18.75" customHeight="1"/>
  <cols>
    <col min="1" max="1" width="2.875" style="54" customWidth="1"/>
    <col min="2" max="2" width="54.125" style="6" customWidth="1"/>
    <col min="3" max="3" width="1.125" style="6" customWidth="1"/>
    <col min="4" max="4" width="22.5" style="6" customWidth="1"/>
    <col min="5" max="5" width="6.125" style="6" customWidth="1"/>
    <col min="6" max="16384" width="11.125" style="6"/>
  </cols>
  <sheetData>
    <row r="1" spans="1:5" ht="18.75" customHeight="1">
      <c r="E1" s="88" t="s">
        <v>181</v>
      </c>
    </row>
    <row r="2" spans="1:5" ht="18.75" customHeight="1">
      <c r="B2" s="88" t="s">
        <v>182</v>
      </c>
      <c r="C2" s="88" t="s">
        <v>183</v>
      </c>
      <c r="D2" s="124" t="s">
        <v>4</v>
      </c>
      <c r="E2" s="124"/>
    </row>
    <row r="3" spans="1:5" ht="7.5" customHeight="1">
      <c r="B3" s="88"/>
      <c r="C3" s="88"/>
      <c r="D3" s="90"/>
      <c r="E3" s="90"/>
    </row>
    <row r="4" spans="1:5" ht="18.75" customHeight="1">
      <c r="B4" s="115" t="s">
        <v>184</v>
      </c>
      <c r="C4" s="115"/>
      <c r="D4" s="115"/>
      <c r="E4" s="115"/>
    </row>
    <row r="5" spans="1:5" ht="7.5" customHeight="1">
      <c r="B5" s="90"/>
      <c r="C5" s="90"/>
      <c r="D5" s="90"/>
      <c r="E5" s="90"/>
    </row>
    <row r="6" spans="1:5" ht="18.75" customHeight="1">
      <c r="A6" s="6" t="s">
        <v>2</v>
      </c>
      <c r="B6" s="7" t="s">
        <v>185</v>
      </c>
      <c r="C6" s="90"/>
      <c r="D6" s="90"/>
      <c r="E6" s="90"/>
    </row>
    <row r="7" spans="1:5" ht="18.75" customHeight="1">
      <c r="A7" s="6"/>
      <c r="B7" s="122" t="s">
        <v>186</v>
      </c>
      <c r="C7" s="123"/>
      <c r="D7" s="123"/>
      <c r="E7" s="130"/>
    </row>
    <row r="8" spans="1:5" ht="7.5" customHeight="1">
      <c r="B8" s="90"/>
      <c r="C8" s="90"/>
      <c r="D8" s="90"/>
      <c r="E8" s="90"/>
    </row>
    <row r="9" spans="1:5" s="7" customFormat="1" ht="18.75" customHeight="1">
      <c r="A9" s="6" t="s">
        <v>5</v>
      </c>
      <c r="B9" s="6" t="s">
        <v>187</v>
      </c>
      <c r="C9" s="6"/>
      <c r="D9" s="6"/>
      <c r="E9" s="6"/>
    </row>
    <row r="10" spans="1:5" s="7" customFormat="1" ht="18.75" customHeight="1">
      <c r="A10" s="92"/>
      <c r="B10" s="192" t="s">
        <v>188</v>
      </c>
      <c r="C10" s="176"/>
      <c r="D10" s="176"/>
      <c r="E10" s="177"/>
    </row>
    <row r="11" spans="1:5" s="7" customFormat="1" ht="18.75" customHeight="1">
      <c r="A11" s="92"/>
      <c r="B11" s="178"/>
      <c r="C11" s="179"/>
      <c r="D11" s="179"/>
      <c r="E11" s="180"/>
    </row>
    <row r="12" spans="1:5" s="7" customFormat="1" ht="18.75" customHeight="1">
      <c r="A12" s="92"/>
      <c r="B12" s="178"/>
      <c r="C12" s="179"/>
      <c r="D12" s="179"/>
      <c r="E12" s="180"/>
    </row>
    <row r="13" spans="1:5" s="7" customFormat="1" ht="18.75" customHeight="1">
      <c r="A13" s="92"/>
      <c r="B13" s="178"/>
      <c r="C13" s="179"/>
      <c r="D13" s="179"/>
      <c r="E13" s="180"/>
    </row>
    <row r="14" spans="1:5" s="7" customFormat="1" ht="83.85" customHeight="1">
      <c r="A14" s="92"/>
      <c r="B14" s="181"/>
      <c r="C14" s="182"/>
      <c r="D14" s="182"/>
      <c r="E14" s="183"/>
    </row>
    <row r="15" spans="1:5" s="7" customFormat="1" ht="7.5" customHeight="1">
      <c r="A15" s="92"/>
      <c r="B15" s="92"/>
      <c r="C15" s="92"/>
      <c r="D15" s="92"/>
      <c r="E15" s="92"/>
    </row>
    <row r="16" spans="1:5" s="7" customFormat="1" ht="18.75" customHeight="1">
      <c r="A16" s="55" t="s">
        <v>8</v>
      </c>
      <c r="B16" s="55" t="s">
        <v>189</v>
      </c>
      <c r="C16" s="55"/>
      <c r="D16" s="55"/>
      <c r="E16" s="55"/>
    </row>
    <row r="17" spans="1:5" s="7" customFormat="1" ht="18.75" customHeight="1">
      <c r="A17" s="92"/>
      <c r="B17" s="175" t="s">
        <v>190</v>
      </c>
      <c r="C17" s="176"/>
      <c r="D17" s="176"/>
      <c r="E17" s="177"/>
    </row>
    <row r="18" spans="1:5" s="7" customFormat="1" ht="18.75" customHeight="1">
      <c r="A18" s="92"/>
      <c r="B18" s="178"/>
      <c r="C18" s="179"/>
      <c r="D18" s="179"/>
      <c r="E18" s="180"/>
    </row>
    <row r="19" spans="1:5" s="7" customFormat="1" ht="18.75" customHeight="1">
      <c r="A19" s="92"/>
      <c r="B19" s="178"/>
      <c r="C19" s="179"/>
      <c r="D19" s="179"/>
      <c r="E19" s="180"/>
    </row>
    <row r="20" spans="1:5" s="7" customFormat="1" ht="18.75" customHeight="1">
      <c r="A20" s="92"/>
      <c r="B20" s="178"/>
      <c r="C20" s="179"/>
      <c r="D20" s="179"/>
      <c r="E20" s="180"/>
    </row>
    <row r="21" spans="1:5" s="7" customFormat="1" ht="18.75" customHeight="1">
      <c r="A21" s="92"/>
      <c r="B21" s="178"/>
      <c r="C21" s="179"/>
      <c r="D21" s="179"/>
      <c r="E21" s="180"/>
    </row>
    <row r="22" spans="1:5" s="7" customFormat="1" ht="18.75" customHeight="1">
      <c r="A22" s="92"/>
      <c r="B22" s="178"/>
      <c r="C22" s="179"/>
      <c r="D22" s="179"/>
      <c r="E22" s="180"/>
    </row>
    <row r="23" spans="1:5" s="7" customFormat="1" ht="18.75" customHeight="1">
      <c r="A23" s="92"/>
      <c r="B23" s="178"/>
      <c r="C23" s="179"/>
      <c r="D23" s="179"/>
      <c r="E23" s="180"/>
    </row>
    <row r="24" spans="1:5" s="7" customFormat="1" ht="18.75" customHeight="1">
      <c r="A24" s="92"/>
      <c r="B24" s="178"/>
      <c r="C24" s="179"/>
      <c r="D24" s="179"/>
      <c r="E24" s="180"/>
    </row>
    <row r="25" spans="1:5" s="7" customFormat="1" ht="18.75" customHeight="1">
      <c r="A25" s="92"/>
      <c r="B25" s="178"/>
      <c r="C25" s="179"/>
      <c r="D25" s="179"/>
      <c r="E25" s="180"/>
    </row>
    <row r="26" spans="1:5" s="7" customFormat="1" ht="18.75" customHeight="1">
      <c r="A26" s="92"/>
      <c r="B26" s="178"/>
      <c r="C26" s="179"/>
      <c r="D26" s="179"/>
      <c r="E26" s="180"/>
    </row>
    <row r="27" spans="1:5" s="7" customFormat="1" ht="18.75" customHeight="1">
      <c r="A27" s="92"/>
      <c r="B27" s="178"/>
      <c r="C27" s="179"/>
      <c r="D27" s="179"/>
      <c r="E27" s="180"/>
    </row>
    <row r="28" spans="1:5" s="7" customFormat="1" ht="349.7" customHeight="1">
      <c r="A28" s="92"/>
      <c r="B28" s="181"/>
      <c r="C28" s="182"/>
      <c r="D28" s="182"/>
      <c r="E28" s="183"/>
    </row>
    <row r="29" spans="1:5" ht="7.5" customHeight="1">
      <c r="A29" s="95"/>
      <c r="B29" s="95"/>
      <c r="C29" s="95"/>
      <c r="D29" s="95"/>
      <c r="E29" s="95"/>
    </row>
    <row r="30" spans="1:5" s="7" customFormat="1" ht="18.75" customHeight="1">
      <c r="A30" s="6" t="s">
        <v>11</v>
      </c>
      <c r="B30" s="6" t="s">
        <v>191</v>
      </c>
      <c r="C30" s="6"/>
      <c r="D30" s="6"/>
      <c r="E30" s="6"/>
    </row>
    <row r="31" spans="1:5" s="7" customFormat="1" ht="18.75" customHeight="1">
      <c r="A31" s="6"/>
      <c r="B31" s="175" t="s">
        <v>192</v>
      </c>
      <c r="C31" s="176"/>
      <c r="D31" s="176"/>
      <c r="E31" s="177"/>
    </row>
    <row r="32" spans="1:5" s="7" customFormat="1" ht="18.75" customHeight="1">
      <c r="A32" s="6"/>
      <c r="B32" s="178"/>
      <c r="C32" s="179"/>
      <c r="D32" s="179"/>
      <c r="E32" s="180"/>
    </row>
    <row r="33" spans="1:5" s="7" customFormat="1" ht="18.75" customHeight="1">
      <c r="A33" s="6"/>
      <c r="B33" s="178"/>
      <c r="C33" s="179"/>
      <c r="D33" s="179"/>
      <c r="E33" s="180"/>
    </row>
    <row r="34" spans="1:5" s="7" customFormat="1" ht="18.75" customHeight="1">
      <c r="A34" s="6"/>
      <c r="B34" s="178"/>
      <c r="C34" s="179"/>
      <c r="D34" s="179"/>
      <c r="E34" s="180"/>
    </row>
    <row r="35" spans="1:5" s="7" customFormat="1" ht="18.75" customHeight="1">
      <c r="A35" s="6"/>
      <c r="B35" s="178"/>
      <c r="C35" s="179"/>
      <c r="D35" s="179"/>
      <c r="E35" s="180"/>
    </row>
    <row r="36" spans="1:5" s="7" customFormat="1" ht="18.75" customHeight="1">
      <c r="A36" s="6"/>
      <c r="B36" s="178"/>
      <c r="C36" s="179"/>
      <c r="D36" s="179"/>
      <c r="E36" s="180"/>
    </row>
    <row r="37" spans="1:5" s="7" customFormat="1" ht="18.75" customHeight="1">
      <c r="A37" s="6"/>
      <c r="B37" s="178"/>
      <c r="C37" s="179"/>
      <c r="D37" s="179"/>
      <c r="E37" s="180"/>
    </row>
    <row r="38" spans="1:5" s="7" customFormat="1" ht="18.75" customHeight="1">
      <c r="A38" s="6"/>
      <c r="B38" s="178"/>
      <c r="C38" s="179"/>
      <c r="D38" s="179"/>
      <c r="E38" s="180"/>
    </row>
    <row r="39" spans="1:5" s="7" customFormat="1" ht="18.75" customHeight="1">
      <c r="A39" s="6"/>
      <c r="B39" s="178"/>
      <c r="C39" s="179"/>
      <c r="D39" s="179"/>
      <c r="E39" s="180"/>
    </row>
    <row r="40" spans="1:5" s="7" customFormat="1" ht="18.75" customHeight="1">
      <c r="A40" s="6"/>
      <c r="B40" s="178"/>
      <c r="C40" s="179"/>
      <c r="D40" s="179"/>
      <c r="E40" s="180"/>
    </row>
    <row r="41" spans="1:5" s="7" customFormat="1" ht="18.75" customHeight="1">
      <c r="A41" s="6"/>
      <c r="B41" s="178"/>
      <c r="C41" s="179"/>
      <c r="D41" s="179"/>
      <c r="E41" s="180"/>
    </row>
    <row r="42" spans="1:5" s="7" customFormat="1" ht="18.75" customHeight="1">
      <c r="A42" s="6"/>
      <c r="B42" s="178"/>
      <c r="C42" s="179"/>
      <c r="D42" s="179"/>
      <c r="E42" s="180"/>
    </row>
    <row r="43" spans="1:5" s="7" customFormat="1" ht="18.75" customHeight="1">
      <c r="A43" s="6"/>
      <c r="B43" s="178"/>
      <c r="C43" s="179"/>
      <c r="D43" s="179"/>
      <c r="E43" s="180"/>
    </row>
    <row r="44" spans="1:5" s="7" customFormat="1" ht="18.75" customHeight="1">
      <c r="A44" s="6"/>
      <c r="B44" s="178"/>
      <c r="C44" s="179"/>
      <c r="D44" s="179"/>
      <c r="E44" s="180"/>
    </row>
    <row r="45" spans="1:5" ht="18.75" customHeight="1">
      <c r="A45" s="95"/>
      <c r="B45" s="178"/>
      <c r="C45" s="179"/>
      <c r="D45" s="179"/>
      <c r="E45" s="180"/>
    </row>
    <row r="46" spans="1:5" ht="18.75" customHeight="1">
      <c r="A46" s="95"/>
      <c r="B46" s="181"/>
      <c r="C46" s="182"/>
      <c r="D46" s="182"/>
      <c r="E46" s="183"/>
    </row>
    <row r="47" spans="1:5" s="7" customFormat="1" ht="18.75" customHeight="1">
      <c r="A47" s="55" t="s">
        <v>14</v>
      </c>
      <c r="B47" s="6" t="s">
        <v>193</v>
      </c>
      <c r="C47" s="55"/>
      <c r="D47" s="55"/>
      <c r="E47" s="55"/>
    </row>
    <row r="48" spans="1:5" ht="18.75" customHeight="1">
      <c r="A48" s="95"/>
      <c r="B48" s="175" t="s">
        <v>194</v>
      </c>
      <c r="C48" s="184"/>
      <c r="D48" s="184"/>
      <c r="E48" s="185"/>
    </row>
    <row r="49" spans="1:5" ht="18.75" customHeight="1">
      <c r="A49" s="95"/>
      <c r="B49" s="186"/>
      <c r="C49" s="187"/>
      <c r="D49" s="187"/>
      <c r="E49" s="188"/>
    </row>
    <row r="50" spans="1:5" ht="18.75" customHeight="1">
      <c r="A50" s="95"/>
      <c r="B50" s="186"/>
      <c r="C50" s="187"/>
      <c r="D50" s="187"/>
      <c r="E50" s="188"/>
    </row>
    <row r="51" spans="1:5" ht="18.75" customHeight="1">
      <c r="A51" s="95"/>
      <c r="B51" s="186"/>
      <c r="C51" s="187"/>
      <c r="D51" s="187"/>
      <c r="E51" s="188"/>
    </row>
    <row r="52" spans="1:5" ht="18.75" customHeight="1">
      <c r="A52" s="95"/>
      <c r="B52" s="186"/>
      <c r="C52" s="187"/>
      <c r="D52" s="187"/>
      <c r="E52" s="188"/>
    </row>
    <row r="53" spans="1:5" ht="18.75" customHeight="1">
      <c r="A53" s="95"/>
      <c r="B53" s="186"/>
      <c r="C53" s="187"/>
      <c r="D53" s="187"/>
      <c r="E53" s="188"/>
    </row>
    <row r="54" spans="1:5" ht="18.75" customHeight="1">
      <c r="A54" s="95"/>
      <c r="B54" s="186"/>
      <c r="C54" s="187"/>
      <c r="D54" s="187"/>
      <c r="E54" s="188"/>
    </row>
    <row r="55" spans="1:5" ht="18.75" customHeight="1">
      <c r="A55" s="95"/>
      <c r="B55" s="186"/>
      <c r="C55" s="187"/>
      <c r="D55" s="187"/>
      <c r="E55" s="188"/>
    </row>
    <row r="56" spans="1:5" ht="18.75" customHeight="1">
      <c r="A56" s="95"/>
      <c r="B56" s="186"/>
      <c r="C56" s="187"/>
      <c r="D56" s="187"/>
      <c r="E56" s="188"/>
    </row>
    <row r="57" spans="1:5" ht="18.75" customHeight="1">
      <c r="A57" s="95"/>
      <c r="B57" s="186"/>
      <c r="C57" s="187"/>
      <c r="D57" s="187"/>
      <c r="E57" s="188"/>
    </row>
    <row r="58" spans="1:5" ht="18.75" customHeight="1">
      <c r="A58" s="95"/>
      <c r="B58" s="186"/>
      <c r="C58" s="187"/>
      <c r="D58" s="187"/>
      <c r="E58" s="188"/>
    </row>
    <row r="59" spans="1:5" ht="18.75" customHeight="1">
      <c r="A59" s="95"/>
      <c r="B59" s="186"/>
      <c r="C59" s="187"/>
      <c r="D59" s="187"/>
      <c r="E59" s="188"/>
    </row>
    <row r="60" spans="1:5" ht="18.75" customHeight="1">
      <c r="A60" s="95"/>
      <c r="B60" s="186"/>
      <c r="C60" s="187"/>
      <c r="D60" s="187"/>
      <c r="E60" s="188"/>
    </row>
    <row r="61" spans="1:5" ht="18.75" customHeight="1">
      <c r="A61" s="95"/>
      <c r="B61" s="186"/>
      <c r="C61" s="187"/>
      <c r="D61" s="187"/>
      <c r="E61" s="188"/>
    </row>
    <row r="62" spans="1:5" ht="18.75" customHeight="1">
      <c r="A62" s="95"/>
      <c r="B62" s="186"/>
      <c r="C62" s="187"/>
      <c r="D62" s="187"/>
      <c r="E62" s="188"/>
    </row>
    <row r="63" spans="1:5" ht="18.75" customHeight="1">
      <c r="A63" s="95"/>
      <c r="B63" s="186"/>
      <c r="C63" s="187"/>
      <c r="D63" s="187"/>
      <c r="E63" s="188"/>
    </row>
    <row r="64" spans="1:5" ht="18.75" customHeight="1">
      <c r="A64" s="95"/>
      <c r="B64" s="186"/>
      <c r="C64" s="187"/>
      <c r="D64" s="187"/>
      <c r="E64" s="188"/>
    </row>
    <row r="65" spans="1:5" ht="18.75" customHeight="1">
      <c r="A65" s="95"/>
      <c r="B65" s="186"/>
      <c r="C65" s="187"/>
      <c r="D65" s="187"/>
      <c r="E65" s="188"/>
    </row>
    <row r="66" spans="1:5" ht="18.75" customHeight="1">
      <c r="A66" s="95"/>
      <c r="B66" s="186"/>
      <c r="C66" s="187"/>
      <c r="D66" s="187"/>
      <c r="E66" s="188"/>
    </row>
    <row r="67" spans="1:5" ht="18.75" customHeight="1">
      <c r="A67" s="95"/>
      <c r="B67" s="186"/>
      <c r="C67" s="187"/>
      <c r="D67" s="187"/>
      <c r="E67" s="188"/>
    </row>
    <row r="68" spans="1:5" ht="18.75" customHeight="1">
      <c r="A68" s="95"/>
      <c r="B68" s="189"/>
      <c r="C68" s="190"/>
      <c r="D68" s="190"/>
      <c r="E68" s="191"/>
    </row>
    <row r="69" spans="1:5" ht="7.5" customHeight="1">
      <c r="A69" s="95"/>
      <c r="B69" s="95"/>
      <c r="C69" s="95"/>
      <c r="D69" s="95"/>
      <c r="E69" s="95"/>
    </row>
    <row r="70" spans="1:5" s="7" customFormat="1" ht="18.75" customHeight="1">
      <c r="A70" s="6" t="s">
        <v>17</v>
      </c>
      <c r="B70" s="6" t="s">
        <v>195</v>
      </c>
      <c r="C70" s="6"/>
      <c r="D70" s="6"/>
      <c r="E70" s="6"/>
    </row>
    <row r="71" spans="1:5" s="7" customFormat="1" ht="18.75" customHeight="1">
      <c r="A71" s="6"/>
      <c r="B71" s="175" t="s">
        <v>196</v>
      </c>
      <c r="C71" s="176"/>
      <c r="D71" s="176"/>
      <c r="E71" s="177"/>
    </row>
    <row r="72" spans="1:5" s="7" customFormat="1" ht="18.75" customHeight="1">
      <c r="A72" s="6"/>
      <c r="B72" s="178"/>
      <c r="C72" s="179"/>
      <c r="D72" s="179"/>
      <c r="E72" s="180"/>
    </row>
    <row r="73" spans="1:5" s="7" customFormat="1" ht="18.75" customHeight="1">
      <c r="A73" s="6"/>
      <c r="B73" s="178"/>
      <c r="C73" s="179"/>
      <c r="D73" s="179"/>
      <c r="E73" s="180"/>
    </row>
    <row r="74" spans="1:5" s="7" customFormat="1" ht="18.75" customHeight="1">
      <c r="A74" s="6"/>
      <c r="B74" s="178"/>
      <c r="C74" s="179"/>
      <c r="D74" s="179"/>
      <c r="E74" s="180"/>
    </row>
    <row r="75" spans="1:5" s="7" customFormat="1" ht="18.75" customHeight="1">
      <c r="A75" s="6"/>
      <c r="B75" s="178"/>
      <c r="C75" s="179"/>
      <c r="D75" s="179"/>
      <c r="E75" s="180"/>
    </row>
    <row r="76" spans="1:5" s="7" customFormat="1" ht="18.75" customHeight="1">
      <c r="A76" s="6"/>
      <c r="B76" s="178"/>
      <c r="C76" s="179"/>
      <c r="D76" s="179"/>
      <c r="E76" s="180"/>
    </row>
    <row r="77" spans="1:5" s="7" customFormat="1" ht="18.75" customHeight="1">
      <c r="A77" s="6"/>
      <c r="B77" s="178"/>
      <c r="C77" s="179"/>
      <c r="D77" s="179"/>
      <c r="E77" s="180"/>
    </row>
    <row r="78" spans="1:5" s="7" customFormat="1" ht="18.75" customHeight="1">
      <c r="A78" s="6"/>
      <c r="B78" s="178"/>
      <c r="C78" s="179"/>
      <c r="D78" s="179"/>
      <c r="E78" s="180"/>
    </row>
    <row r="79" spans="1:5" s="7" customFormat="1" ht="18.75" customHeight="1">
      <c r="A79" s="6"/>
      <c r="B79" s="178"/>
      <c r="C79" s="179"/>
      <c r="D79" s="179"/>
      <c r="E79" s="180"/>
    </row>
    <row r="80" spans="1:5" s="7" customFormat="1" ht="18.75" customHeight="1">
      <c r="A80" s="6"/>
      <c r="B80" s="178"/>
      <c r="C80" s="179"/>
      <c r="D80" s="179"/>
      <c r="E80" s="180"/>
    </row>
    <row r="81" spans="1:5" s="7" customFormat="1" ht="18.75" customHeight="1">
      <c r="A81" s="6"/>
      <c r="B81" s="178"/>
      <c r="C81" s="179"/>
      <c r="D81" s="179"/>
      <c r="E81" s="180"/>
    </row>
    <row r="82" spans="1:5" s="7" customFormat="1" ht="18.75" customHeight="1">
      <c r="A82" s="6"/>
      <c r="B82" s="178"/>
      <c r="C82" s="179"/>
      <c r="D82" s="179"/>
      <c r="E82" s="180"/>
    </row>
    <row r="83" spans="1:5" s="7" customFormat="1" ht="18.75" customHeight="1">
      <c r="A83" s="6"/>
      <c r="B83" s="178"/>
      <c r="C83" s="179"/>
      <c r="D83" s="179"/>
      <c r="E83" s="180"/>
    </row>
    <row r="84" spans="1:5" s="7" customFormat="1" ht="18.75" customHeight="1">
      <c r="A84" s="6"/>
      <c r="B84" s="178"/>
      <c r="C84" s="179"/>
      <c r="D84" s="179"/>
      <c r="E84" s="180"/>
    </row>
    <row r="85" spans="1:5" s="7" customFormat="1" ht="18.75" customHeight="1">
      <c r="A85" s="6"/>
      <c r="B85" s="178"/>
      <c r="C85" s="179"/>
      <c r="D85" s="179"/>
      <c r="E85" s="180"/>
    </row>
    <row r="86" spans="1:5" s="7" customFormat="1" ht="18.75" customHeight="1">
      <c r="A86" s="6"/>
      <c r="B86" s="178"/>
      <c r="C86" s="179"/>
      <c r="D86" s="179"/>
      <c r="E86" s="180"/>
    </row>
    <row r="87" spans="1:5" s="7" customFormat="1" ht="18.75" customHeight="1">
      <c r="A87" s="6"/>
      <c r="B87" s="178"/>
      <c r="C87" s="179"/>
      <c r="D87" s="179"/>
      <c r="E87" s="180"/>
    </row>
    <row r="88" spans="1:5" ht="18.75" customHeight="1">
      <c r="A88" s="95"/>
      <c r="B88" s="178"/>
      <c r="C88" s="179"/>
      <c r="D88" s="179"/>
      <c r="E88" s="180"/>
    </row>
    <row r="89" spans="1:5" ht="18.75" customHeight="1">
      <c r="A89" s="95"/>
      <c r="B89" s="181"/>
      <c r="C89" s="182"/>
      <c r="D89" s="182"/>
      <c r="E89" s="183"/>
    </row>
    <row r="90" spans="1:5" ht="7.5" customHeight="1">
      <c r="A90" s="95"/>
      <c r="B90" s="95"/>
      <c r="C90" s="95"/>
      <c r="D90" s="95"/>
      <c r="E90" s="95"/>
    </row>
    <row r="91" spans="1:5" s="7" customFormat="1" ht="18.75" customHeight="1">
      <c r="A91" s="6" t="s">
        <v>20</v>
      </c>
      <c r="B91" s="6" t="s">
        <v>197</v>
      </c>
      <c r="C91" s="6"/>
      <c r="D91" s="6"/>
      <c r="E91" s="6"/>
    </row>
    <row r="92" spans="1:5" s="7" customFormat="1" ht="18.75" customHeight="1">
      <c r="A92" s="6"/>
      <c r="B92" s="175" t="s">
        <v>198</v>
      </c>
      <c r="C92" s="176"/>
      <c r="D92" s="176"/>
      <c r="E92" s="177"/>
    </row>
    <row r="93" spans="1:5" s="7" customFormat="1" ht="18.75" customHeight="1">
      <c r="A93" s="6"/>
      <c r="B93" s="178"/>
      <c r="C93" s="179"/>
      <c r="D93" s="179"/>
      <c r="E93" s="180"/>
    </row>
    <row r="94" spans="1:5" s="7" customFormat="1" ht="18.75" customHeight="1">
      <c r="A94" s="6"/>
      <c r="B94" s="178"/>
      <c r="C94" s="179"/>
      <c r="D94" s="179"/>
      <c r="E94" s="180"/>
    </row>
    <row r="95" spans="1:5" s="7" customFormat="1" ht="18.75" customHeight="1">
      <c r="A95" s="6"/>
      <c r="B95" s="178"/>
      <c r="C95" s="179"/>
      <c r="D95" s="179"/>
      <c r="E95" s="180"/>
    </row>
    <row r="96" spans="1:5" s="7" customFormat="1" ht="18.75" customHeight="1">
      <c r="A96" s="6"/>
      <c r="B96" s="178"/>
      <c r="C96" s="179"/>
      <c r="D96" s="179"/>
      <c r="E96" s="180"/>
    </row>
    <row r="97" spans="1:5" s="7" customFormat="1" ht="18.75" customHeight="1">
      <c r="A97" s="6"/>
      <c r="B97" s="178"/>
      <c r="C97" s="179"/>
      <c r="D97" s="179"/>
      <c r="E97" s="180"/>
    </row>
    <row r="98" spans="1:5" s="7" customFormat="1" ht="18.75" customHeight="1">
      <c r="A98" s="6"/>
      <c r="B98" s="178"/>
      <c r="C98" s="179"/>
      <c r="D98" s="179"/>
      <c r="E98" s="180"/>
    </row>
    <row r="99" spans="1:5" s="7" customFormat="1" ht="18.75" customHeight="1">
      <c r="A99" s="6"/>
      <c r="B99" s="178"/>
      <c r="C99" s="179"/>
      <c r="D99" s="179"/>
      <c r="E99" s="180"/>
    </row>
    <row r="100" spans="1:5" s="7" customFormat="1" ht="18.75" customHeight="1">
      <c r="A100" s="6"/>
      <c r="B100" s="178"/>
      <c r="C100" s="179"/>
      <c r="D100" s="179"/>
      <c r="E100" s="180"/>
    </row>
    <row r="101" spans="1:5" s="7" customFormat="1" ht="18.75" customHeight="1">
      <c r="A101" s="6"/>
      <c r="B101" s="178"/>
      <c r="C101" s="179"/>
      <c r="D101" s="179"/>
      <c r="E101" s="180"/>
    </row>
    <row r="102" spans="1:5" s="7" customFormat="1" ht="18.75" customHeight="1">
      <c r="A102" s="6"/>
      <c r="B102" s="178"/>
      <c r="C102" s="179"/>
      <c r="D102" s="179"/>
      <c r="E102" s="180"/>
    </row>
    <row r="103" spans="1:5" s="7" customFormat="1" ht="18.75" customHeight="1">
      <c r="A103" s="6"/>
      <c r="B103" s="178"/>
      <c r="C103" s="179"/>
      <c r="D103" s="179"/>
      <c r="E103" s="180"/>
    </row>
    <row r="104" spans="1:5" s="7" customFormat="1" ht="18.75" customHeight="1">
      <c r="A104" s="6"/>
      <c r="B104" s="178"/>
      <c r="C104" s="179"/>
      <c r="D104" s="179"/>
      <c r="E104" s="180"/>
    </row>
    <row r="105" spans="1:5" s="7" customFormat="1" ht="18.75" customHeight="1">
      <c r="A105" s="6"/>
      <c r="B105" s="178"/>
      <c r="C105" s="179"/>
      <c r="D105" s="179"/>
      <c r="E105" s="180"/>
    </row>
    <row r="106" spans="1:5" s="7" customFormat="1" ht="18.75" customHeight="1">
      <c r="A106" s="6"/>
      <c r="B106" s="178"/>
      <c r="C106" s="179"/>
      <c r="D106" s="179"/>
      <c r="E106" s="180"/>
    </row>
    <row r="107" spans="1:5" s="7" customFormat="1" ht="18.75" customHeight="1">
      <c r="A107" s="6"/>
      <c r="B107" s="178"/>
      <c r="C107" s="179"/>
      <c r="D107" s="179"/>
      <c r="E107" s="180"/>
    </row>
    <row r="108" spans="1:5" s="7" customFormat="1" ht="18.75" customHeight="1">
      <c r="A108" s="6"/>
      <c r="B108" s="178"/>
      <c r="C108" s="179"/>
      <c r="D108" s="179"/>
      <c r="E108" s="180"/>
    </row>
    <row r="109" spans="1:5" s="7" customFormat="1" ht="18.75" customHeight="1">
      <c r="A109" s="6"/>
      <c r="B109" s="178"/>
      <c r="C109" s="179"/>
      <c r="D109" s="179"/>
      <c r="E109" s="180"/>
    </row>
    <row r="110" spans="1:5" ht="18.75" customHeight="1">
      <c r="A110" s="95"/>
      <c r="B110" s="178"/>
      <c r="C110" s="179"/>
      <c r="D110" s="179"/>
      <c r="E110" s="180"/>
    </row>
    <row r="111" spans="1:5" ht="18.75" customHeight="1">
      <c r="A111" s="95"/>
      <c r="B111" s="181"/>
      <c r="C111" s="182"/>
      <c r="D111" s="182"/>
      <c r="E111" s="183"/>
    </row>
    <row r="112" spans="1:5" ht="7.5" customHeight="1">
      <c r="A112" s="95"/>
      <c r="B112" s="95"/>
      <c r="C112" s="95"/>
      <c r="D112" s="95"/>
      <c r="E112" s="95"/>
    </row>
    <row r="113" spans="1:5" s="7" customFormat="1" ht="18.75" customHeight="1">
      <c r="A113" s="6" t="s">
        <v>25</v>
      </c>
      <c r="B113" s="297" t="s">
        <v>199</v>
      </c>
      <c r="C113" s="297"/>
      <c r="D113" s="297"/>
      <c r="E113" s="297"/>
    </row>
    <row r="114" spans="1:5" ht="18.75" customHeight="1">
      <c r="A114" s="95"/>
      <c r="B114" s="175" t="s">
        <v>200</v>
      </c>
      <c r="C114" s="176"/>
      <c r="D114" s="176"/>
      <c r="E114" s="177"/>
    </row>
    <row r="115" spans="1:5" ht="18.75" customHeight="1">
      <c r="A115" s="95"/>
      <c r="B115" s="178"/>
      <c r="C115" s="179"/>
      <c r="D115" s="179"/>
      <c r="E115" s="180"/>
    </row>
    <row r="116" spans="1:5" ht="18.75" customHeight="1">
      <c r="A116" s="95"/>
      <c r="B116" s="178"/>
      <c r="C116" s="179"/>
      <c r="D116" s="179"/>
      <c r="E116" s="180"/>
    </row>
    <row r="117" spans="1:5" ht="18.75" customHeight="1">
      <c r="A117" s="95"/>
      <c r="B117" s="178"/>
      <c r="C117" s="179"/>
      <c r="D117" s="179"/>
      <c r="E117" s="180"/>
    </row>
    <row r="118" spans="1:5" ht="18.75" customHeight="1">
      <c r="A118" s="95"/>
      <c r="B118" s="178"/>
      <c r="C118" s="179"/>
      <c r="D118" s="179"/>
      <c r="E118" s="180"/>
    </row>
    <row r="119" spans="1:5" ht="18.75" customHeight="1">
      <c r="A119" s="95"/>
      <c r="B119" s="178"/>
      <c r="C119" s="179"/>
      <c r="D119" s="179"/>
      <c r="E119" s="180"/>
    </row>
    <row r="120" spans="1:5" ht="18.75" customHeight="1">
      <c r="A120" s="95"/>
      <c r="B120" s="178"/>
      <c r="C120" s="179"/>
      <c r="D120" s="179"/>
      <c r="E120" s="180"/>
    </row>
    <row r="121" spans="1:5" ht="18.75" customHeight="1">
      <c r="A121" s="95"/>
      <c r="B121" s="178"/>
      <c r="C121" s="179"/>
      <c r="D121" s="179"/>
      <c r="E121" s="180"/>
    </row>
    <row r="122" spans="1:5" ht="18.75" customHeight="1">
      <c r="A122" s="95"/>
      <c r="B122" s="178"/>
      <c r="C122" s="179"/>
      <c r="D122" s="179"/>
      <c r="E122" s="180"/>
    </row>
    <row r="123" spans="1:5" ht="18.75" customHeight="1">
      <c r="A123" s="95"/>
      <c r="B123" s="178"/>
      <c r="C123" s="179"/>
      <c r="D123" s="179"/>
      <c r="E123" s="180"/>
    </row>
    <row r="124" spans="1:5" ht="18.75" customHeight="1">
      <c r="A124" s="95"/>
      <c r="B124" s="178"/>
      <c r="C124" s="179"/>
      <c r="D124" s="179"/>
      <c r="E124" s="180"/>
    </row>
    <row r="125" spans="1:5" ht="18.75" customHeight="1">
      <c r="A125" s="95"/>
      <c r="B125" s="178"/>
      <c r="C125" s="179"/>
      <c r="D125" s="179"/>
      <c r="E125" s="180"/>
    </row>
    <row r="126" spans="1:5" ht="18.75" customHeight="1">
      <c r="A126" s="95"/>
      <c r="B126" s="178"/>
      <c r="C126" s="179"/>
      <c r="D126" s="179"/>
      <c r="E126" s="180"/>
    </row>
    <row r="127" spans="1:5" ht="18.75" customHeight="1">
      <c r="A127" s="95"/>
      <c r="B127" s="178"/>
      <c r="C127" s="179"/>
      <c r="D127" s="179"/>
      <c r="E127" s="180"/>
    </row>
    <row r="128" spans="1:5" ht="18.75" customHeight="1">
      <c r="A128" s="95"/>
      <c r="B128" s="178"/>
      <c r="C128" s="179"/>
      <c r="D128" s="179"/>
      <c r="E128" s="180"/>
    </row>
    <row r="129" spans="1:5" ht="18.75" customHeight="1">
      <c r="A129" s="95"/>
      <c r="B129" s="178"/>
      <c r="C129" s="179"/>
      <c r="D129" s="179"/>
      <c r="E129" s="180"/>
    </row>
    <row r="130" spans="1:5" ht="18.75" customHeight="1">
      <c r="A130" s="95"/>
      <c r="B130" s="178"/>
      <c r="C130" s="179"/>
      <c r="D130" s="179"/>
      <c r="E130" s="180"/>
    </row>
    <row r="131" spans="1:5" ht="18.75" customHeight="1">
      <c r="A131" s="95"/>
      <c r="B131" s="178"/>
      <c r="C131" s="179"/>
      <c r="D131" s="179"/>
      <c r="E131" s="180"/>
    </row>
    <row r="132" spans="1:5" ht="18.75" customHeight="1">
      <c r="A132" s="95"/>
      <c r="B132" s="178"/>
      <c r="C132" s="179"/>
      <c r="D132" s="179"/>
      <c r="E132" s="180"/>
    </row>
    <row r="133" spans="1:5" ht="18.75" customHeight="1">
      <c r="A133" s="95"/>
      <c r="B133" s="181"/>
      <c r="C133" s="182"/>
      <c r="D133" s="182"/>
      <c r="E133" s="183"/>
    </row>
    <row r="134" spans="1:5" ht="7.5" customHeight="1">
      <c r="A134" s="95"/>
      <c r="B134" s="56"/>
      <c r="C134" s="56"/>
      <c r="D134" s="56"/>
      <c r="E134" s="56"/>
    </row>
    <row r="135" spans="1:5" ht="18.75" customHeight="1">
      <c r="A135" s="95"/>
      <c r="B135" s="95"/>
      <c r="C135" s="95"/>
      <c r="D135" s="95"/>
      <c r="E135" s="95"/>
    </row>
    <row r="136" spans="1:5" ht="18.75" customHeight="1">
      <c r="A136" s="95"/>
      <c r="B136" s="95"/>
      <c r="C136" s="95"/>
      <c r="D136" s="95"/>
      <c r="E136" s="95"/>
    </row>
    <row r="137" spans="1:5" ht="18.75" customHeight="1">
      <c r="A137" s="95"/>
      <c r="B137" s="95"/>
      <c r="C137" s="95"/>
      <c r="D137" s="95"/>
      <c r="E137" s="95"/>
    </row>
    <row r="138" spans="1:5" ht="18.75" customHeight="1">
      <c r="A138" s="95"/>
      <c r="B138" s="95"/>
      <c r="C138" s="95"/>
      <c r="D138" s="95"/>
      <c r="E138" s="95"/>
    </row>
    <row r="139" spans="1:5" ht="18.75" customHeight="1">
      <c r="A139" s="95"/>
      <c r="B139" s="95"/>
      <c r="C139" s="95"/>
      <c r="D139" s="95"/>
      <c r="E139" s="95"/>
    </row>
    <row r="140" spans="1:5" ht="18.75" customHeight="1">
      <c r="A140" s="95"/>
      <c r="B140" s="95"/>
      <c r="C140" s="95"/>
      <c r="D140" s="95"/>
      <c r="E140" s="95"/>
    </row>
    <row r="141" spans="1:5" ht="18.75" customHeight="1">
      <c r="A141" s="95"/>
      <c r="B141" s="95"/>
      <c r="C141" s="95"/>
      <c r="D141" s="95"/>
      <c r="E141" s="95"/>
    </row>
    <row r="142" spans="1:5" ht="18.75" customHeight="1">
      <c r="A142" s="95"/>
      <c r="B142" s="95"/>
      <c r="C142" s="95"/>
      <c r="D142" s="95"/>
      <c r="E142" s="95"/>
    </row>
    <row r="143" spans="1:5" ht="18.75" customHeight="1">
      <c r="A143" s="95"/>
      <c r="B143" s="95"/>
      <c r="C143" s="95"/>
      <c r="D143" s="95"/>
      <c r="E143" s="95"/>
    </row>
    <row r="144" spans="1:5" ht="18.75" customHeight="1">
      <c r="A144" s="95"/>
      <c r="B144" s="95"/>
      <c r="C144" s="95"/>
      <c r="D144" s="95"/>
      <c r="E144" s="95"/>
    </row>
    <row r="145" spans="1:5" ht="18.75" customHeight="1">
      <c r="A145" s="95"/>
      <c r="B145" s="95"/>
      <c r="C145" s="95"/>
      <c r="D145" s="95"/>
      <c r="E145" s="95"/>
    </row>
    <row r="146" spans="1:5" ht="18.75" customHeight="1">
      <c r="A146" s="95"/>
      <c r="B146" s="95"/>
      <c r="C146" s="95"/>
      <c r="D146" s="95"/>
      <c r="E146" s="95"/>
    </row>
    <row r="147" spans="1:5" ht="14.25">
      <c r="A147" s="95"/>
      <c r="B147" s="95"/>
      <c r="C147" s="95"/>
      <c r="D147" s="95"/>
      <c r="E147" s="95"/>
    </row>
    <row r="148" spans="1:5" ht="7.5" customHeight="1">
      <c r="A148" s="57"/>
      <c r="B148" s="57"/>
      <c r="C148" s="57"/>
      <c r="D148" s="57"/>
      <c r="E148" s="57"/>
    </row>
  </sheetData>
  <customSheetViews>
    <customSheetView guid="{5055547B-B170-416F-A083-CC8E7809C104}" zeroValues="0" topLeftCell="A31">
      <selection activeCell="F37" sqref="F37"/>
      <rowBreaks count="4" manualBreakCount="4">
        <brk id="15" max="4" man="1"/>
        <brk id="28" max="4" man="1"/>
        <brk id="68" max="4" man="1"/>
        <brk id="112" max="4" man="1"/>
      </rowBreaks>
      <pageMargins left="0" right="0" top="0" bottom="0" header="0" footer="0"/>
      <printOptions horizontalCentered="1"/>
      <pageSetup paperSize="9" scale="99" orientation="portrait" r:id="rId1"/>
    </customSheetView>
  </customSheetViews>
  <mergeCells count="11">
    <mergeCell ref="D2:E2"/>
    <mergeCell ref="B4:E4"/>
    <mergeCell ref="B10:E14"/>
    <mergeCell ref="B17:E28"/>
    <mergeCell ref="B31:E46"/>
    <mergeCell ref="B7:E7"/>
    <mergeCell ref="B71:E89"/>
    <mergeCell ref="B92:E111"/>
    <mergeCell ref="B113:E113"/>
    <mergeCell ref="B114:E133"/>
    <mergeCell ref="B48:E68"/>
  </mergeCells>
  <phoneticPr fontId="3"/>
  <printOptions horizontalCentered="1"/>
  <pageMargins left="0.78740157480314965" right="0.78740157480314965" top="0.78740157480314965" bottom="0.78740157480314965" header="0.31496062992125984" footer="0.31496062992125984"/>
  <pageSetup paperSize="9" scale="99" orientation="portrait" r:id="rId2"/>
  <rowBreaks count="4" manualBreakCount="4">
    <brk id="15" max="4" man="1"/>
    <brk id="28" max="4" man="1"/>
    <brk id="68" max="4" man="1"/>
    <brk id="112"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28"/>
  <sheetViews>
    <sheetView showZeros="0" view="pageBreakPreview" zoomScale="90" zoomScaleNormal="90" zoomScaleSheetLayoutView="90" workbookViewId="0">
      <selection activeCell="E17" sqref="E17:J17"/>
    </sheetView>
  </sheetViews>
  <sheetFormatPr defaultColWidth="11.125" defaultRowHeight="22.5" customHeight="1"/>
  <cols>
    <col min="1" max="3" width="2.5" style="6" customWidth="1"/>
    <col min="4" max="4" width="22.5" style="6" customWidth="1"/>
    <col min="5" max="5" width="21.125" style="6" customWidth="1"/>
    <col min="6" max="7" width="7.5" style="6" customWidth="1"/>
    <col min="8" max="8" width="32.5" style="6" customWidth="1"/>
    <col min="9" max="9" width="24.875" style="6" customWidth="1"/>
    <col min="10" max="10" width="6.125" style="6" customWidth="1"/>
    <col min="11" max="11" width="4.125" style="6" customWidth="1"/>
    <col min="12" max="12" width="11.625" style="6" customWidth="1"/>
    <col min="13" max="16384" width="11.125" style="6"/>
  </cols>
  <sheetData>
    <row r="1" spans="1:14" ht="18.75" customHeight="1">
      <c r="J1" s="88" t="s">
        <v>201</v>
      </c>
    </row>
    <row r="2" spans="1:14" ht="18.75" customHeight="1">
      <c r="D2" s="88"/>
      <c r="H2" s="88" t="s">
        <v>202</v>
      </c>
      <c r="I2" s="124" t="s">
        <v>4</v>
      </c>
      <c r="J2" s="124"/>
    </row>
    <row r="3" spans="1:14" ht="18.75" customHeight="1">
      <c r="A3" s="115" t="s">
        <v>203</v>
      </c>
      <c r="B3" s="115"/>
      <c r="C3" s="115"/>
      <c r="D3" s="115"/>
      <c r="E3" s="115"/>
      <c r="F3" s="115"/>
      <c r="G3" s="115"/>
      <c r="H3" s="115"/>
      <c r="I3" s="115"/>
      <c r="J3" s="115"/>
    </row>
    <row r="4" spans="1:14" ht="7.5" customHeight="1">
      <c r="B4" s="95"/>
      <c r="C4" s="95"/>
      <c r="D4" s="207"/>
      <c r="E4" s="207"/>
      <c r="F4" s="207"/>
      <c r="G4" s="207"/>
      <c r="H4" s="207"/>
      <c r="I4" s="207"/>
      <c r="J4" s="207"/>
    </row>
    <row r="5" spans="1:14" ht="18.75" customHeight="1">
      <c r="A5" s="6" t="s">
        <v>2</v>
      </c>
      <c r="B5" s="7" t="s">
        <v>204</v>
      </c>
      <c r="C5" s="95"/>
      <c r="D5" s="95"/>
      <c r="E5" s="95"/>
      <c r="F5" s="95"/>
      <c r="G5" s="95"/>
      <c r="H5" s="95"/>
      <c r="I5" s="95"/>
      <c r="J5" s="95"/>
    </row>
    <row r="6" spans="1:14" ht="18.75" customHeight="1">
      <c r="B6" s="104" t="s">
        <v>205</v>
      </c>
      <c r="C6" s="105"/>
      <c r="D6" s="106"/>
      <c r="E6" s="105" t="s">
        <v>206</v>
      </c>
      <c r="F6" s="105"/>
      <c r="G6" s="105"/>
      <c r="H6" s="105"/>
      <c r="I6" s="105"/>
      <c r="J6" s="106"/>
    </row>
    <row r="7" spans="1:14" ht="18.75" customHeight="1">
      <c r="B7" s="12" t="s">
        <v>207</v>
      </c>
      <c r="C7" s="95"/>
      <c r="D7" s="58"/>
      <c r="I7" s="95"/>
      <c r="J7" s="58"/>
    </row>
    <row r="8" spans="1:14" ht="202.5" customHeight="1">
      <c r="B8" s="59"/>
      <c r="C8" s="203" t="s">
        <v>208</v>
      </c>
      <c r="D8" s="198"/>
      <c r="E8" s="202" t="s">
        <v>209</v>
      </c>
      <c r="F8" s="200"/>
      <c r="G8" s="200"/>
      <c r="H8" s="200"/>
      <c r="I8" s="200"/>
      <c r="J8" s="201"/>
      <c r="L8" s="7"/>
    </row>
    <row r="9" spans="1:14" ht="202.5" customHeight="1">
      <c r="B9" s="59"/>
      <c r="C9" s="298" t="s">
        <v>210</v>
      </c>
      <c r="D9" s="299"/>
      <c r="E9" s="202" t="s">
        <v>211</v>
      </c>
      <c r="F9" s="200"/>
      <c r="G9" s="200"/>
      <c r="H9" s="200"/>
      <c r="I9" s="200"/>
      <c r="J9" s="201"/>
      <c r="L9" s="7"/>
      <c r="M9" s="7"/>
      <c r="N9" s="7"/>
    </row>
    <row r="10" spans="1:14" ht="172.5" customHeight="1">
      <c r="B10" s="59"/>
      <c r="C10" s="203" t="s">
        <v>212</v>
      </c>
      <c r="D10" s="198"/>
      <c r="E10" s="202" t="s">
        <v>213</v>
      </c>
      <c r="F10" s="200"/>
      <c r="G10" s="200"/>
      <c r="H10" s="200"/>
      <c r="I10" s="200"/>
      <c r="J10" s="201"/>
      <c r="L10" s="55"/>
      <c r="M10" s="7">
        <f>LEN(E10)</f>
        <v>287</v>
      </c>
      <c r="N10" s="7"/>
    </row>
    <row r="11" spans="1:14" ht="172.5" customHeight="1">
      <c r="B11" s="59"/>
      <c r="C11" s="203" t="s">
        <v>214</v>
      </c>
      <c r="D11" s="198"/>
      <c r="E11" s="202" t="s">
        <v>215</v>
      </c>
      <c r="F11" s="200"/>
      <c r="G11" s="200"/>
      <c r="H11" s="200"/>
      <c r="I11" s="200"/>
      <c r="J11" s="201"/>
      <c r="L11" s="7"/>
    </row>
    <row r="12" spans="1:14" ht="172.5" customHeight="1">
      <c r="B12" s="59"/>
      <c r="C12" s="203" t="s">
        <v>216</v>
      </c>
      <c r="D12" s="198"/>
      <c r="E12" s="202" t="s">
        <v>217</v>
      </c>
      <c r="F12" s="200"/>
      <c r="G12" s="200"/>
      <c r="H12" s="200"/>
      <c r="I12" s="200"/>
      <c r="J12" s="201"/>
    </row>
    <row r="13" spans="1:14" ht="18.75" customHeight="1">
      <c r="B13" s="60" t="s">
        <v>218</v>
      </c>
      <c r="C13" s="61"/>
      <c r="D13" s="62"/>
      <c r="E13" s="63"/>
      <c r="F13" s="63"/>
      <c r="G13" s="63"/>
      <c r="H13" s="63"/>
      <c r="I13" s="63"/>
      <c r="J13" s="64"/>
    </row>
    <row r="14" spans="1:14" ht="255" customHeight="1">
      <c r="B14" s="59"/>
      <c r="C14" s="203" t="s">
        <v>219</v>
      </c>
      <c r="D14" s="198"/>
      <c r="E14" s="200" t="s">
        <v>220</v>
      </c>
      <c r="F14" s="200"/>
      <c r="G14" s="200"/>
      <c r="H14" s="200"/>
      <c r="I14" s="200"/>
      <c r="J14" s="201"/>
      <c r="L14" s="7"/>
    </row>
    <row r="15" spans="1:14" ht="255" customHeight="1">
      <c r="B15" s="59"/>
      <c r="C15" s="212" t="s">
        <v>221</v>
      </c>
      <c r="D15" s="213"/>
      <c r="E15" s="193" t="s">
        <v>222</v>
      </c>
      <c r="F15" s="194"/>
      <c r="G15" s="194"/>
      <c r="H15" s="194"/>
      <c r="I15" s="194"/>
      <c r="J15" s="195"/>
      <c r="L15" s="55"/>
    </row>
    <row r="16" spans="1:14" ht="232.5" customHeight="1">
      <c r="B16" s="196" t="s">
        <v>223</v>
      </c>
      <c r="C16" s="197"/>
      <c r="D16" s="198"/>
      <c r="E16" s="199" t="s">
        <v>224</v>
      </c>
      <c r="F16" s="200"/>
      <c r="G16" s="200"/>
      <c r="H16" s="200"/>
      <c r="I16" s="200"/>
      <c r="J16" s="201"/>
    </row>
    <row r="17" spans="1:12" ht="232.5" customHeight="1">
      <c r="A17" s="7"/>
      <c r="B17" s="209" t="s">
        <v>225</v>
      </c>
      <c r="C17" s="210"/>
      <c r="D17" s="211"/>
      <c r="E17" s="208" t="s">
        <v>226</v>
      </c>
      <c r="F17" s="190"/>
      <c r="G17" s="190"/>
      <c r="H17" s="190"/>
      <c r="I17" s="190"/>
      <c r="J17" s="191"/>
      <c r="L17" s="55"/>
    </row>
    <row r="18" spans="1:12" ht="7.5" customHeight="1">
      <c r="B18" s="95"/>
      <c r="C18" s="95"/>
      <c r="D18" s="95"/>
      <c r="E18" s="95"/>
      <c r="F18" s="95"/>
      <c r="G18" s="95"/>
      <c r="H18" s="95"/>
      <c r="I18" s="95"/>
      <c r="J18" s="95"/>
    </row>
    <row r="19" spans="1:12" ht="18.75" customHeight="1">
      <c r="B19" s="7"/>
      <c r="C19" s="95"/>
      <c r="D19" s="95"/>
      <c r="E19" s="95"/>
      <c r="F19" s="55"/>
      <c r="G19" s="55"/>
      <c r="H19" s="65" t="s">
        <v>227</v>
      </c>
      <c r="I19" s="66"/>
      <c r="J19" s="67"/>
    </row>
    <row r="20" spans="1:12" ht="18.75" customHeight="1">
      <c r="A20" s="6" t="s">
        <v>5</v>
      </c>
      <c r="B20" s="7" t="s">
        <v>228</v>
      </c>
      <c r="C20" s="95"/>
      <c r="D20" s="95"/>
      <c r="E20" s="95"/>
      <c r="F20" s="68" t="s">
        <v>229</v>
      </c>
      <c r="G20" s="55"/>
      <c r="H20" s="204" t="s">
        <v>178</v>
      </c>
      <c r="I20" s="205"/>
      <c r="J20" s="206"/>
    </row>
    <row r="21" spans="1:12" ht="22.5" customHeight="1">
      <c r="B21" s="95"/>
      <c r="C21" s="95"/>
      <c r="D21" s="95"/>
      <c r="E21" s="95"/>
      <c r="F21" s="95"/>
      <c r="G21" s="95"/>
      <c r="H21" s="95"/>
      <c r="I21" s="95"/>
      <c r="J21" s="95"/>
    </row>
    <row r="22" spans="1:12" ht="22.5" customHeight="1">
      <c r="B22" s="95"/>
      <c r="C22" s="95"/>
      <c r="D22" s="95"/>
      <c r="E22" s="95"/>
      <c r="F22" s="95"/>
      <c r="G22" s="95"/>
      <c r="H22" s="95"/>
      <c r="I22" s="95"/>
      <c r="J22" s="95"/>
    </row>
    <row r="23" spans="1:12" ht="22.5" customHeight="1">
      <c r="B23" s="95"/>
      <c r="C23" s="95"/>
      <c r="D23" s="95"/>
      <c r="E23" s="95"/>
      <c r="F23" s="95"/>
      <c r="G23" s="95"/>
      <c r="H23" s="95"/>
      <c r="I23" s="95"/>
      <c r="J23" s="95"/>
    </row>
    <row r="24" spans="1:12" ht="22.5" customHeight="1">
      <c r="B24" s="95"/>
      <c r="C24" s="95"/>
      <c r="D24" s="95"/>
      <c r="E24" s="95"/>
      <c r="F24" s="95"/>
      <c r="G24" s="95"/>
      <c r="H24" s="95"/>
      <c r="I24" s="95"/>
      <c r="J24" s="95"/>
    </row>
    <row r="25" spans="1:12" ht="22.5" customHeight="1">
      <c r="B25" s="95"/>
      <c r="C25" s="95"/>
      <c r="D25" s="95"/>
      <c r="E25" s="95"/>
      <c r="F25" s="95"/>
      <c r="G25" s="95"/>
      <c r="H25" s="95"/>
      <c r="I25" s="95"/>
      <c r="J25" s="95"/>
    </row>
    <row r="26" spans="1:12" ht="22.5" customHeight="1">
      <c r="B26" s="92"/>
      <c r="C26" s="92"/>
      <c r="D26" s="92"/>
      <c r="E26" s="92"/>
      <c r="F26" s="92"/>
      <c r="G26" s="92"/>
      <c r="H26" s="92"/>
      <c r="I26" s="92"/>
      <c r="J26" s="92"/>
    </row>
    <row r="27" spans="1:12" ht="22.5" customHeight="1">
      <c r="B27" s="92"/>
      <c r="C27" s="92"/>
      <c r="D27" s="92"/>
      <c r="E27" s="92"/>
      <c r="F27" s="92"/>
      <c r="G27" s="92"/>
      <c r="H27" s="92"/>
      <c r="I27" s="92"/>
      <c r="J27" s="92"/>
    </row>
    <row r="28" spans="1:12" ht="22.5" customHeight="1">
      <c r="B28" s="92"/>
      <c r="C28" s="92"/>
      <c r="D28" s="92"/>
      <c r="E28" s="92"/>
      <c r="F28" s="92"/>
      <c r="G28" s="92"/>
      <c r="H28" s="92"/>
      <c r="I28" s="92"/>
      <c r="J28" s="92"/>
    </row>
  </sheetData>
  <customSheetViews>
    <customSheetView guid="{5055547B-B170-416F-A083-CC8E7809C104}" scale="90" showPageBreaks="1" zeroValues="0" fitToPage="1" printArea="1" view="pageBreakPreview">
      <selection activeCell="E9" sqref="E9:J9"/>
      <rowBreaks count="1" manualBreakCount="1">
        <brk id="12" max="9" man="1"/>
      </rowBreaks>
      <pageMargins left="0" right="0" top="0" bottom="0" header="0" footer="0"/>
      <printOptions horizontalCentered="1"/>
      <pageSetup paperSize="9" scale="65" fitToHeight="0" orientation="portrait" r:id="rId1"/>
    </customSheetView>
  </customSheetViews>
  <mergeCells count="24">
    <mergeCell ref="H20:J20"/>
    <mergeCell ref="C12:D12"/>
    <mergeCell ref="E12:J12"/>
    <mergeCell ref="I2:J2"/>
    <mergeCell ref="A3:J3"/>
    <mergeCell ref="D4:J4"/>
    <mergeCell ref="B6:D6"/>
    <mergeCell ref="E6:J6"/>
    <mergeCell ref="C8:D8"/>
    <mergeCell ref="E8:J8"/>
    <mergeCell ref="E17:J17"/>
    <mergeCell ref="B17:D17"/>
    <mergeCell ref="C9:D9"/>
    <mergeCell ref="C14:D14"/>
    <mergeCell ref="E14:J14"/>
    <mergeCell ref="C15:D15"/>
    <mergeCell ref="E15:J15"/>
    <mergeCell ref="B16:D16"/>
    <mergeCell ref="E16:J16"/>
    <mergeCell ref="E9:J9"/>
    <mergeCell ref="C10:D10"/>
    <mergeCell ref="E10:J10"/>
    <mergeCell ref="C11:D11"/>
    <mergeCell ref="E11:J11"/>
  </mergeCells>
  <phoneticPr fontId="3"/>
  <dataValidations count="2">
    <dataValidation type="list" allowBlank="1" showInputMessage="1" showErrorMessage="1" sqref="F20" xr:uid="{00000000-0002-0000-0500-000000000000}">
      <formula1>"有,無,予定"</formula1>
    </dataValidation>
    <dataValidation type="list" allowBlank="1" showInputMessage="1" showErrorMessage="1" sqref="F19:G19" xr:uid="{00000000-0002-0000-0500-000001000000}">
      <formula1>#REF!</formula1>
    </dataValidation>
  </dataValidations>
  <hyperlinks>
    <hyperlink ref="H20" r:id="rId2" xr:uid="{00000000-0004-0000-0500-000000000000}"/>
  </hyperlinks>
  <printOptions horizontalCentered="1"/>
  <pageMargins left="0.78740157480314965" right="0.78740157480314965" top="0.78740157480314965" bottom="0.78740157480314965" header="0.31496062992125984" footer="0.31496062992125984"/>
  <pageSetup paperSize="9" fitToHeight="0" orientation="landscape" r:id="rId3"/>
  <rowBreaks count="1" manualBreakCount="1">
    <brk id="1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30"/>
  <sheetViews>
    <sheetView showZeros="0" zoomScaleNormal="100" workbookViewId="0">
      <selection activeCell="J11" sqref="J11"/>
    </sheetView>
  </sheetViews>
  <sheetFormatPr defaultColWidth="11.125" defaultRowHeight="18.75" customHeight="1"/>
  <cols>
    <col min="1" max="1" width="2.5" style="1" customWidth="1"/>
    <col min="2" max="2" width="15" style="1" customWidth="1"/>
    <col min="3" max="3" width="37.5" style="1" customWidth="1"/>
    <col min="4" max="4" width="1.125" style="1" customWidth="1"/>
    <col min="5" max="5" width="21.125" style="1" customWidth="1"/>
    <col min="6" max="6" width="8.875" style="1" customWidth="1"/>
    <col min="7" max="8" width="2.125" style="1" customWidth="1"/>
    <col min="9" max="16384" width="11.125" style="1"/>
  </cols>
  <sheetData>
    <row r="1" spans="1:14" ht="18.75" customHeight="1">
      <c r="A1" s="69"/>
      <c r="B1" s="69"/>
      <c r="C1" s="69"/>
      <c r="D1" s="69"/>
      <c r="E1" s="235" t="s">
        <v>230</v>
      </c>
      <c r="F1" s="235"/>
      <c r="G1" s="69"/>
      <c r="H1" s="69"/>
      <c r="I1" s="69"/>
      <c r="J1" s="69"/>
      <c r="K1" s="69"/>
      <c r="L1" s="69"/>
      <c r="M1" s="69"/>
      <c r="N1" s="69"/>
    </row>
    <row r="2" spans="1:14" ht="18.75" customHeight="1">
      <c r="A2" s="69"/>
      <c r="B2" s="69"/>
      <c r="C2" s="236" t="s">
        <v>182</v>
      </c>
      <c r="D2" s="236" t="s">
        <v>183</v>
      </c>
      <c r="E2" s="237" t="s">
        <v>4</v>
      </c>
      <c r="F2" s="237"/>
      <c r="G2" s="69"/>
      <c r="H2" s="69"/>
      <c r="I2" s="69"/>
      <c r="J2" s="69"/>
      <c r="K2" s="69"/>
      <c r="L2" s="69"/>
      <c r="M2" s="69"/>
      <c r="N2" s="69"/>
    </row>
    <row r="3" spans="1:14" ht="7.5" customHeight="1">
      <c r="A3" s="69"/>
      <c r="B3" s="69"/>
      <c r="C3" s="236"/>
      <c r="D3" s="236"/>
      <c r="E3" s="238"/>
      <c r="F3" s="238"/>
      <c r="G3" s="69"/>
      <c r="H3" s="69"/>
      <c r="I3" s="69"/>
      <c r="J3" s="69"/>
      <c r="K3" s="69"/>
      <c r="L3" s="69"/>
      <c r="M3" s="69"/>
      <c r="N3" s="69"/>
    </row>
    <row r="4" spans="1:14" ht="18.75" customHeight="1">
      <c r="A4" s="223" t="s">
        <v>231</v>
      </c>
      <c r="B4" s="223"/>
      <c r="C4" s="223"/>
      <c r="D4" s="223"/>
      <c r="E4" s="223"/>
      <c r="F4" s="223"/>
      <c r="G4" s="69"/>
      <c r="H4" s="69"/>
      <c r="I4" s="69"/>
      <c r="J4" s="69"/>
      <c r="K4" s="69"/>
      <c r="L4" s="69"/>
      <c r="M4" s="69"/>
      <c r="N4" s="69"/>
    </row>
    <row r="5" spans="1:14" ht="7.5" customHeight="1">
      <c r="A5" s="96"/>
      <c r="B5" s="96"/>
      <c r="C5" s="96"/>
      <c r="D5" s="96"/>
      <c r="E5" s="96"/>
      <c r="F5" s="96"/>
      <c r="G5" s="69"/>
      <c r="H5" s="69"/>
      <c r="I5" s="69"/>
      <c r="J5" s="69"/>
      <c r="K5" s="69"/>
      <c r="L5" s="69"/>
      <c r="M5" s="69"/>
      <c r="N5" s="69"/>
    </row>
    <row r="6" spans="1:14" ht="18.75" customHeight="1">
      <c r="A6" s="96" t="s">
        <v>2</v>
      </c>
      <c r="B6" s="2" t="s">
        <v>232</v>
      </c>
      <c r="C6" s="96"/>
      <c r="D6" s="96"/>
      <c r="E6" s="96"/>
      <c r="F6" s="96"/>
      <c r="G6" s="69"/>
      <c r="H6" s="69"/>
      <c r="I6" s="69"/>
      <c r="J6" s="69"/>
      <c r="K6" s="69"/>
      <c r="L6" s="69"/>
      <c r="M6" s="69"/>
      <c r="N6" s="69"/>
    </row>
    <row r="7" spans="1:14" ht="18.75" customHeight="1">
      <c r="A7" s="96"/>
      <c r="B7" s="224" t="s">
        <v>233</v>
      </c>
      <c r="C7" s="225"/>
      <c r="D7" s="225"/>
      <c r="E7" s="225"/>
      <c r="F7" s="226"/>
      <c r="G7" s="69"/>
      <c r="H7" s="69"/>
      <c r="I7" s="300"/>
      <c r="J7" s="301"/>
      <c r="K7" s="301"/>
      <c r="L7" s="301"/>
      <c r="M7" s="301"/>
      <c r="N7" s="301"/>
    </row>
    <row r="8" spans="1:14" ht="18.75" customHeight="1">
      <c r="A8" s="96"/>
      <c r="B8" s="227"/>
      <c r="C8" s="228"/>
      <c r="D8" s="228"/>
      <c r="E8" s="228"/>
      <c r="F8" s="229"/>
      <c r="G8" s="69"/>
      <c r="H8" s="69"/>
      <c r="I8" s="301"/>
      <c r="J8" s="301"/>
      <c r="K8" s="301"/>
      <c r="L8" s="301"/>
      <c r="M8" s="301"/>
      <c r="N8" s="301"/>
    </row>
    <row r="9" spans="1:14" ht="18.75" customHeight="1">
      <c r="A9" s="96"/>
      <c r="B9" s="227"/>
      <c r="C9" s="228"/>
      <c r="D9" s="228"/>
      <c r="E9" s="228"/>
      <c r="F9" s="229"/>
      <c r="G9" s="69"/>
      <c r="H9" s="69"/>
      <c r="I9" s="301"/>
      <c r="J9" s="301"/>
      <c r="K9" s="301"/>
      <c r="L9" s="301"/>
      <c r="M9" s="301"/>
      <c r="N9" s="301"/>
    </row>
    <row r="10" spans="1:14" ht="18.75" customHeight="1">
      <c r="A10" s="96"/>
      <c r="B10" s="227"/>
      <c r="C10" s="228"/>
      <c r="D10" s="228"/>
      <c r="E10" s="228"/>
      <c r="F10" s="229"/>
      <c r="G10" s="69"/>
      <c r="H10" s="69"/>
      <c r="I10" s="301"/>
      <c r="J10" s="301"/>
      <c r="K10" s="301"/>
      <c r="L10" s="301"/>
      <c r="M10" s="301"/>
      <c r="N10" s="301"/>
    </row>
    <row r="11" spans="1:14" ht="18.75" customHeight="1">
      <c r="A11" s="96"/>
      <c r="B11" s="227"/>
      <c r="C11" s="228"/>
      <c r="D11" s="228"/>
      <c r="E11" s="228"/>
      <c r="F11" s="229"/>
      <c r="G11" s="69"/>
      <c r="H11" s="69"/>
      <c r="I11" s="301"/>
      <c r="J11" s="301"/>
      <c r="K11" s="301"/>
      <c r="L11" s="301"/>
      <c r="M11" s="301"/>
      <c r="N11" s="301"/>
    </row>
    <row r="12" spans="1:14" ht="18.75" customHeight="1">
      <c r="A12" s="96"/>
      <c r="B12" s="227"/>
      <c r="C12" s="228"/>
      <c r="D12" s="228"/>
      <c r="E12" s="228"/>
      <c r="F12" s="229"/>
      <c r="G12" s="69"/>
      <c r="H12" s="69"/>
      <c r="I12" s="301"/>
      <c r="J12" s="301"/>
      <c r="K12" s="301"/>
      <c r="L12" s="301"/>
      <c r="M12" s="301"/>
      <c r="N12" s="301"/>
    </row>
    <row r="13" spans="1:14" ht="18.75" customHeight="1">
      <c r="A13" s="96"/>
      <c r="B13" s="227"/>
      <c r="C13" s="228"/>
      <c r="D13" s="228"/>
      <c r="E13" s="228"/>
      <c r="F13" s="229"/>
      <c r="G13" s="69"/>
      <c r="H13" s="69"/>
      <c r="I13" s="301"/>
      <c r="J13" s="301"/>
      <c r="K13" s="301"/>
      <c r="L13" s="301"/>
      <c r="M13" s="301"/>
      <c r="N13" s="301"/>
    </row>
    <row r="14" spans="1:14" ht="18.75" customHeight="1">
      <c r="A14" s="96"/>
      <c r="B14" s="227"/>
      <c r="C14" s="228"/>
      <c r="D14" s="228"/>
      <c r="E14" s="228"/>
      <c r="F14" s="229"/>
      <c r="G14" s="69"/>
      <c r="H14" s="69"/>
      <c r="I14" s="301"/>
      <c r="J14" s="301"/>
      <c r="K14" s="301"/>
      <c r="L14" s="301"/>
      <c r="M14" s="301"/>
      <c r="N14" s="301"/>
    </row>
    <row r="15" spans="1:14" ht="18.75" customHeight="1">
      <c r="A15" s="96"/>
      <c r="B15" s="227"/>
      <c r="C15" s="228"/>
      <c r="D15" s="228"/>
      <c r="E15" s="228"/>
      <c r="F15" s="229"/>
      <c r="G15" s="69"/>
      <c r="H15" s="69"/>
      <c r="I15" s="301"/>
      <c r="J15" s="301"/>
      <c r="K15" s="301"/>
      <c r="L15" s="301"/>
      <c r="M15" s="301"/>
      <c r="N15" s="301"/>
    </row>
    <row r="16" spans="1:14" ht="18.75" customHeight="1">
      <c r="A16" s="96"/>
      <c r="B16" s="227"/>
      <c r="C16" s="228"/>
      <c r="D16" s="228"/>
      <c r="E16" s="228"/>
      <c r="F16" s="229"/>
      <c r="G16" s="69"/>
      <c r="H16" s="69"/>
      <c r="I16" s="301"/>
      <c r="J16" s="301"/>
      <c r="K16" s="301"/>
      <c r="L16" s="301"/>
      <c r="M16" s="301"/>
      <c r="N16" s="301"/>
    </row>
    <row r="17" spans="1:14" ht="18.75" customHeight="1">
      <c r="A17" s="96"/>
      <c r="B17" s="227"/>
      <c r="C17" s="228"/>
      <c r="D17" s="228"/>
      <c r="E17" s="228"/>
      <c r="F17" s="229"/>
      <c r="G17" s="69"/>
      <c r="H17" s="69"/>
      <c r="I17" s="301"/>
      <c r="J17" s="301"/>
      <c r="K17" s="301"/>
      <c r="L17" s="301"/>
      <c r="M17" s="301"/>
      <c r="N17" s="301"/>
    </row>
    <row r="18" spans="1:14" ht="18.75" customHeight="1">
      <c r="A18" s="96"/>
      <c r="B18" s="227"/>
      <c r="C18" s="228"/>
      <c r="D18" s="228"/>
      <c r="E18" s="228"/>
      <c r="F18" s="229"/>
      <c r="G18" s="69"/>
      <c r="H18" s="69"/>
      <c r="I18" s="301"/>
      <c r="J18" s="301"/>
      <c r="K18" s="301"/>
      <c r="L18" s="301"/>
      <c r="M18" s="301"/>
      <c r="N18" s="301"/>
    </row>
    <row r="19" spans="1:14" ht="18.75" customHeight="1">
      <c r="A19" s="96"/>
      <c r="B19" s="227"/>
      <c r="C19" s="228"/>
      <c r="D19" s="228"/>
      <c r="E19" s="228"/>
      <c r="F19" s="229"/>
      <c r="G19" s="69"/>
      <c r="H19" s="69"/>
      <c r="I19" s="301"/>
      <c r="J19" s="301"/>
      <c r="K19" s="301"/>
      <c r="L19" s="301"/>
      <c r="M19" s="301"/>
      <c r="N19" s="301"/>
    </row>
    <row r="20" spans="1:14" ht="18.75" customHeight="1">
      <c r="A20" s="96"/>
      <c r="B20" s="227"/>
      <c r="C20" s="228"/>
      <c r="D20" s="228"/>
      <c r="E20" s="228"/>
      <c r="F20" s="229"/>
      <c r="G20" s="69"/>
      <c r="H20" s="69"/>
      <c r="I20" s="301"/>
      <c r="J20" s="301"/>
      <c r="K20" s="301"/>
      <c r="L20" s="301"/>
      <c r="M20" s="301"/>
      <c r="N20" s="301"/>
    </row>
    <row r="21" spans="1:14" ht="18.75" customHeight="1">
      <c r="A21" s="96"/>
      <c r="B21" s="227"/>
      <c r="C21" s="228"/>
      <c r="D21" s="228"/>
      <c r="E21" s="228"/>
      <c r="F21" s="229"/>
      <c r="G21" s="69"/>
      <c r="H21" s="69"/>
      <c r="I21" s="301"/>
      <c r="J21" s="301"/>
      <c r="K21" s="301"/>
      <c r="L21" s="301"/>
      <c r="M21" s="301"/>
      <c r="N21" s="301"/>
    </row>
    <row r="22" spans="1:14" ht="18.75" customHeight="1">
      <c r="A22" s="96"/>
      <c r="B22" s="227"/>
      <c r="C22" s="228"/>
      <c r="D22" s="228"/>
      <c r="E22" s="228"/>
      <c r="F22" s="229"/>
      <c r="G22" s="69"/>
      <c r="H22" s="69"/>
      <c r="I22" s="301"/>
      <c r="J22" s="301"/>
      <c r="K22" s="301"/>
      <c r="L22" s="301"/>
      <c r="M22" s="301"/>
      <c r="N22" s="301"/>
    </row>
    <row r="23" spans="1:14" ht="18.75" customHeight="1">
      <c r="A23" s="96"/>
      <c r="B23" s="227"/>
      <c r="C23" s="228"/>
      <c r="D23" s="228"/>
      <c r="E23" s="228"/>
      <c r="F23" s="229"/>
      <c r="G23" s="69"/>
      <c r="H23" s="69"/>
      <c r="I23" s="301"/>
      <c r="J23" s="301"/>
      <c r="K23" s="301"/>
      <c r="L23" s="301"/>
      <c r="M23" s="301"/>
      <c r="N23" s="301"/>
    </row>
    <row r="24" spans="1:14" ht="18.75" customHeight="1">
      <c r="A24" s="96"/>
      <c r="B24" s="227"/>
      <c r="C24" s="228"/>
      <c r="D24" s="228"/>
      <c r="E24" s="228"/>
      <c r="F24" s="229"/>
      <c r="G24" s="69"/>
      <c r="H24" s="69"/>
      <c r="I24" s="301"/>
      <c r="J24" s="301"/>
      <c r="K24" s="301"/>
      <c r="L24" s="301"/>
      <c r="M24" s="301"/>
      <c r="N24" s="301"/>
    </row>
    <row r="25" spans="1:14" ht="18.75" customHeight="1">
      <c r="A25" s="96"/>
      <c r="B25" s="227"/>
      <c r="C25" s="228"/>
      <c r="D25" s="228"/>
      <c r="E25" s="228"/>
      <c r="F25" s="229"/>
      <c r="G25" s="69"/>
      <c r="H25" s="69"/>
      <c r="I25" s="301"/>
      <c r="J25" s="301"/>
      <c r="K25" s="301"/>
      <c r="L25" s="301"/>
      <c r="M25" s="301"/>
      <c r="N25" s="301"/>
    </row>
    <row r="26" spans="1:14" ht="18.75" customHeight="1">
      <c r="A26" s="96"/>
      <c r="B26" s="227"/>
      <c r="C26" s="228"/>
      <c r="D26" s="228"/>
      <c r="E26" s="228"/>
      <c r="F26" s="229"/>
      <c r="G26" s="69"/>
      <c r="H26" s="69"/>
      <c r="I26" s="301"/>
      <c r="J26" s="301"/>
      <c r="K26" s="301"/>
      <c r="L26" s="301"/>
      <c r="M26" s="301"/>
      <c r="N26" s="301"/>
    </row>
    <row r="27" spans="1:14" ht="18.75" customHeight="1">
      <c r="A27" s="96"/>
      <c r="B27" s="227"/>
      <c r="C27" s="228"/>
      <c r="D27" s="228"/>
      <c r="E27" s="228"/>
      <c r="F27" s="229"/>
      <c r="G27" s="69"/>
      <c r="H27" s="69"/>
      <c r="I27" s="301"/>
      <c r="J27" s="301"/>
      <c r="K27" s="301"/>
      <c r="L27" s="301"/>
      <c r="M27" s="301"/>
      <c r="N27" s="301"/>
    </row>
    <row r="28" spans="1:14" ht="18.75" customHeight="1">
      <c r="A28" s="96"/>
      <c r="B28" s="227"/>
      <c r="C28" s="228"/>
      <c r="D28" s="228"/>
      <c r="E28" s="228"/>
      <c r="F28" s="229"/>
      <c r="G28" s="69"/>
      <c r="H28" s="69"/>
      <c r="I28" s="301"/>
      <c r="J28" s="301"/>
      <c r="K28" s="301"/>
      <c r="L28" s="301"/>
      <c r="M28" s="301"/>
      <c r="N28" s="301"/>
    </row>
    <row r="29" spans="1:14" ht="18.75" customHeight="1">
      <c r="A29" s="96"/>
      <c r="B29" s="227"/>
      <c r="C29" s="228"/>
      <c r="D29" s="228"/>
      <c r="E29" s="228"/>
      <c r="F29" s="229"/>
      <c r="G29" s="69"/>
      <c r="H29" s="69"/>
      <c r="I29" s="301"/>
      <c r="J29" s="301"/>
      <c r="K29" s="301"/>
      <c r="L29" s="301"/>
      <c r="M29" s="301"/>
      <c r="N29" s="301"/>
    </row>
    <row r="30" spans="1:14" ht="18.75" customHeight="1">
      <c r="A30" s="96"/>
      <c r="B30" s="227"/>
      <c r="C30" s="228"/>
      <c r="D30" s="228"/>
      <c r="E30" s="228"/>
      <c r="F30" s="229"/>
      <c r="G30" s="69"/>
      <c r="H30" s="69"/>
      <c r="I30" s="301"/>
      <c r="J30" s="301"/>
      <c r="K30" s="301"/>
      <c r="L30" s="301"/>
      <c r="M30" s="301"/>
      <c r="N30" s="301"/>
    </row>
    <row r="31" spans="1:14" ht="18.75" customHeight="1">
      <c r="A31" s="96"/>
      <c r="B31" s="227"/>
      <c r="C31" s="228"/>
      <c r="D31" s="228"/>
      <c r="E31" s="228"/>
      <c r="F31" s="229"/>
      <c r="G31" s="69"/>
      <c r="H31" s="69"/>
      <c r="I31" s="301"/>
      <c r="J31" s="301"/>
      <c r="K31" s="301"/>
      <c r="L31" s="301"/>
      <c r="M31" s="301"/>
      <c r="N31" s="301"/>
    </row>
    <row r="32" spans="1:14" ht="18.75" customHeight="1">
      <c r="A32" s="96"/>
      <c r="B32" s="227"/>
      <c r="C32" s="228"/>
      <c r="D32" s="228"/>
      <c r="E32" s="228"/>
      <c r="F32" s="229"/>
      <c r="G32" s="69"/>
      <c r="H32" s="69"/>
      <c r="I32" s="301"/>
      <c r="J32" s="301"/>
      <c r="K32" s="301"/>
      <c r="L32" s="301"/>
      <c r="M32" s="301"/>
      <c r="N32" s="301"/>
    </row>
    <row r="33" spans="1:14" ht="18.75" customHeight="1">
      <c r="A33" s="96"/>
      <c r="B33" s="227"/>
      <c r="C33" s="228"/>
      <c r="D33" s="228"/>
      <c r="E33" s="228"/>
      <c r="F33" s="229"/>
      <c r="G33" s="69"/>
      <c r="H33" s="69"/>
      <c r="I33" s="301"/>
      <c r="J33" s="301"/>
      <c r="K33" s="301"/>
      <c r="L33" s="301"/>
      <c r="M33" s="301"/>
      <c r="N33" s="301"/>
    </row>
    <row r="34" spans="1:14" ht="18.75" customHeight="1">
      <c r="A34" s="96"/>
      <c r="B34" s="227"/>
      <c r="C34" s="228"/>
      <c r="D34" s="228"/>
      <c r="E34" s="228"/>
      <c r="F34" s="229"/>
      <c r="G34" s="69"/>
      <c r="H34" s="69"/>
      <c r="I34" s="301"/>
      <c r="J34" s="301"/>
      <c r="K34" s="301"/>
      <c r="L34" s="301"/>
      <c r="M34" s="301"/>
      <c r="N34" s="301"/>
    </row>
    <row r="35" spans="1:14" ht="18.75" customHeight="1">
      <c r="A35" s="96"/>
      <c r="B35" s="227"/>
      <c r="C35" s="228"/>
      <c r="D35" s="228"/>
      <c r="E35" s="228"/>
      <c r="F35" s="229"/>
      <c r="G35" s="69"/>
      <c r="H35" s="69"/>
      <c r="I35" s="301"/>
      <c r="J35" s="301"/>
      <c r="K35" s="301"/>
      <c r="L35" s="301"/>
      <c r="M35" s="301"/>
      <c r="N35" s="301"/>
    </row>
    <row r="36" spans="1:14" ht="18.75" customHeight="1">
      <c r="A36" s="96"/>
      <c r="B36" s="227"/>
      <c r="C36" s="228"/>
      <c r="D36" s="228"/>
      <c r="E36" s="228"/>
      <c r="F36" s="229"/>
      <c r="G36" s="69"/>
      <c r="H36" s="69"/>
      <c r="I36" s="301"/>
      <c r="J36" s="301"/>
      <c r="K36" s="301"/>
      <c r="L36" s="301"/>
      <c r="M36" s="301"/>
      <c r="N36" s="301"/>
    </row>
    <row r="37" spans="1:14" ht="18.75" customHeight="1">
      <c r="A37" s="96"/>
      <c r="B37" s="227"/>
      <c r="C37" s="228"/>
      <c r="D37" s="228"/>
      <c r="E37" s="228"/>
      <c r="F37" s="229"/>
      <c r="G37" s="69"/>
      <c r="H37" s="69"/>
      <c r="I37" s="301"/>
      <c r="J37" s="301"/>
      <c r="K37" s="301"/>
      <c r="L37" s="301"/>
      <c r="M37" s="301"/>
      <c r="N37" s="301"/>
    </row>
    <row r="38" spans="1:14" ht="18.75" customHeight="1">
      <c r="A38" s="96"/>
      <c r="B38" s="227"/>
      <c r="C38" s="228"/>
      <c r="D38" s="228"/>
      <c r="E38" s="228"/>
      <c r="F38" s="229"/>
      <c r="G38" s="69"/>
      <c r="H38" s="69"/>
      <c r="I38" s="301"/>
      <c r="J38" s="301"/>
      <c r="K38" s="301"/>
      <c r="L38" s="301"/>
      <c r="M38" s="301"/>
      <c r="N38" s="301"/>
    </row>
    <row r="39" spans="1:14" ht="18.75" customHeight="1">
      <c r="A39" s="96"/>
      <c r="B39" s="227"/>
      <c r="C39" s="228"/>
      <c r="D39" s="228"/>
      <c r="E39" s="228"/>
      <c r="F39" s="229"/>
      <c r="G39" s="69"/>
      <c r="H39" s="69"/>
      <c r="I39" s="301"/>
      <c r="J39" s="301"/>
      <c r="K39" s="301"/>
      <c r="L39" s="301"/>
      <c r="M39" s="301"/>
      <c r="N39" s="301"/>
    </row>
    <row r="40" spans="1:14" ht="18.75" customHeight="1">
      <c r="A40" s="96"/>
      <c r="B40" s="227"/>
      <c r="C40" s="228"/>
      <c r="D40" s="228"/>
      <c r="E40" s="228"/>
      <c r="F40" s="229"/>
      <c r="G40" s="69"/>
      <c r="H40" s="69"/>
      <c r="I40" s="301"/>
      <c r="J40" s="301"/>
      <c r="K40" s="301"/>
      <c r="L40" s="301"/>
      <c r="M40" s="301"/>
      <c r="N40" s="301"/>
    </row>
    <row r="41" spans="1:14" ht="18.75" customHeight="1">
      <c r="A41" s="96"/>
      <c r="B41" s="227"/>
      <c r="C41" s="228"/>
      <c r="D41" s="228"/>
      <c r="E41" s="228"/>
      <c r="F41" s="229"/>
      <c r="G41" s="69"/>
      <c r="H41" s="69"/>
      <c r="I41" s="301"/>
      <c r="J41" s="301"/>
      <c r="K41" s="301"/>
      <c r="L41" s="301"/>
      <c r="M41" s="301"/>
      <c r="N41" s="301"/>
    </row>
    <row r="42" spans="1:14" ht="18.75" customHeight="1">
      <c r="A42" s="96"/>
      <c r="B42" s="227"/>
      <c r="C42" s="228"/>
      <c r="D42" s="228"/>
      <c r="E42" s="228"/>
      <c r="F42" s="229"/>
      <c r="G42" s="69"/>
      <c r="H42" s="69"/>
      <c r="I42" s="301"/>
      <c r="J42" s="301"/>
      <c r="K42" s="301"/>
      <c r="L42" s="301"/>
      <c r="M42" s="301"/>
      <c r="N42" s="301"/>
    </row>
    <row r="43" spans="1:14" ht="18.75" customHeight="1">
      <c r="A43" s="96"/>
      <c r="B43" s="227"/>
      <c r="C43" s="228"/>
      <c r="D43" s="228"/>
      <c r="E43" s="228"/>
      <c r="F43" s="229"/>
      <c r="G43" s="69"/>
      <c r="H43" s="69"/>
      <c r="I43" s="301"/>
      <c r="J43" s="301"/>
      <c r="K43" s="301"/>
      <c r="L43" s="301"/>
      <c r="M43" s="301"/>
      <c r="N43" s="301"/>
    </row>
    <row r="44" spans="1:14" ht="18.75" customHeight="1">
      <c r="A44" s="96"/>
      <c r="B44" s="230"/>
      <c r="C44" s="231"/>
      <c r="D44" s="231"/>
      <c r="E44" s="231"/>
      <c r="F44" s="232"/>
      <c r="G44" s="69"/>
      <c r="H44" s="69"/>
      <c r="I44" s="69"/>
      <c r="J44" s="69"/>
      <c r="K44" s="69"/>
      <c r="L44" s="69"/>
      <c r="M44" s="69"/>
      <c r="N44" s="69"/>
    </row>
    <row r="45" spans="1:14" ht="18.75" customHeight="1">
      <c r="A45" s="96" t="s">
        <v>5</v>
      </c>
      <c r="B45" s="2" t="s">
        <v>234</v>
      </c>
      <c r="C45" s="96"/>
      <c r="D45" s="96"/>
      <c r="E45" s="96"/>
      <c r="F45" s="96"/>
      <c r="G45" s="69"/>
      <c r="H45" s="69"/>
      <c r="I45" s="69"/>
      <c r="J45" s="69"/>
      <c r="K45" s="69"/>
      <c r="L45" s="69"/>
      <c r="M45" s="69"/>
      <c r="N45" s="69"/>
    </row>
    <row r="46" spans="1:14" ht="18.75" customHeight="1">
      <c r="A46" s="96"/>
      <c r="B46" s="233" t="s">
        <v>235</v>
      </c>
      <c r="C46" s="176"/>
      <c r="D46" s="176"/>
      <c r="E46" s="176"/>
      <c r="F46" s="177"/>
      <c r="G46" s="69"/>
      <c r="H46" s="69"/>
      <c r="I46" s="69"/>
      <c r="J46" s="69"/>
      <c r="K46" s="69"/>
      <c r="L46" s="69"/>
      <c r="M46" s="69"/>
      <c r="N46" s="69"/>
    </row>
    <row r="47" spans="1:14" ht="18.75" customHeight="1">
      <c r="A47" s="96"/>
      <c r="B47" s="178"/>
      <c r="C47" s="234"/>
      <c r="D47" s="234"/>
      <c r="E47" s="234"/>
      <c r="F47" s="180"/>
      <c r="G47" s="69"/>
      <c r="H47" s="69"/>
      <c r="I47" s="69"/>
      <c r="J47" s="69"/>
      <c r="K47" s="69"/>
      <c r="L47" s="69"/>
      <c r="M47" s="69"/>
      <c r="N47" s="69"/>
    </row>
    <row r="48" spans="1:14" ht="18.75" customHeight="1">
      <c r="A48" s="96"/>
      <c r="B48" s="178"/>
      <c r="C48" s="234"/>
      <c r="D48" s="234"/>
      <c r="E48" s="234"/>
      <c r="F48" s="180"/>
      <c r="G48" s="69"/>
      <c r="H48" s="69"/>
      <c r="I48" s="69"/>
      <c r="J48" s="69"/>
      <c r="K48" s="69"/>
      <c r="L48" s="69"/>
      <c r="M48" s="69"/>
      <c r="N48" s="69"/>
    </row>
    <row r="49" spans="1:6" ht="18.75" customHeight="1">
      <c r="A49" s="96"/>
      <c r="B49" s="178"/>
      <c r="C49" s="234"/>
      <c r="D49" s="234"/>
      <c r="E49" s="234"/>
      <c r="F49" s="180"/>
    </row>
    <row r="50" spans="1:6" ht="18.75" customHeight="1">
      <c r="A50" s="96"/>
      <c r="B50" s="178"/>
      <c r="C50" s="234"/>
      <c r="D50" s="234"/>
      <c r="E50" s="234"/>
      <c r="F50" s="180"/>
    </row>
    <row r="51" spans="1:6" ht="18.75" customHeight="1">
      <c r="A51" s="96"/>
      <c r="B51" s="178"/>
      <c r="C51" s="234"/>
      <c r="D51" s="234"/>
      <c r="E51" s="234"/>
      <c r="F51" s="180"/>
    </row>
    <row r="52" spans="1:6" ht="18.75" customHeight="1">
      <c r="A52" s="96"/>
      <c r="B52" s="178"/>
      <c r="C52" s="234"/>
      <c r="D52" s="234"/>
      <c r="E52" s="234"/>
      <c r="F52" s="180"/>
    </row>
    <row r="53" spans="1:6" ht="18.75" customHeight="1">
      <c r="A53" s="96"/>
      <c r="B53" s="178"/>
      <c r="C53" s="234"/>
      <c r="D53" s="234"/>
      <c r="E53" s="234"/>
      <c r="F53" s="180"/>
    </row>
    <row r="54" spans="1:6" ht="18.75" customHeight="1">
      <c r="A54" s="96"/>
      <c r="B54" s="178"/>
      <c r="C54" s="234"/>
      <c r="D54" s="234"/>
      <c r="E54" s="234"/>
      <c r="F54" s="180"/>
    </row>
    <row r="55" spans="1:6" ht="18.75" customHeight="1">
      <c r="A55" s="96"/>
      <c r="B55" s="178"/>
      <c r="C55" s="234"/>
      <c r="D55" s="234"/>
      <c r="E55" s="234"/>
      <c r="F55" s="180"/>
    </row>
    <row r="56" spans="1:6" ht="18.75" customHeight="1">
      <c r="A56" s="96"/>
      <c r="B56" s="178"/>
      <c r="C56" s="234"/>
      <c r="D56" s="234"/>
      <c r="E56" s="234"/>
      <c r="F56" s="180"/>
    </row>
    <row r="57" spans="1:6" ht="18.75" customHeight="1">
      <c r="A57" s="96"/>
      <c r="B57" s="178"/>
      <c r="C57" s="234"/>
      <c r="D57" s="234"/>
      <c r="E57" s="234"/>
      <c r="F57" s="180"/>
    </row>
    <row r="58" spans="1:6" ht="18.75" customHeight="1">
      <c r="A58" s="96"/>
      <c r="B58" s="178"/>
      <c r="C58" s="234"/>
      <c r="D58" s="234"/>
      <c r="E58" s="234"/>
      <c r="F58" s="180"/>
    </row>
    <row r="59" spans="1:6" ht="18.75" customHeight="1">
      <c r="A59" s="96"/>
      <c r="B59" s="178"/>
      <c r="C59" s="234"/>
      <c r="D59" s="234"/>
      <c r="E59" s="234"/>
      <c r="F59" s="180"/>
    </row>
    <row r="60" spans="1:6" ht="18.75" customHeight="1">
      <c r="A60" s="96"/>
      <c r="B60" s="178"/>
      <c r="C60" s="234"/>
      <c r="D60" s="234"/>
      <c r="E60" s="234"/>
      <c r="F60" s="180"/>
    </row>
    <row r="61" spans="1:6" ht="18.75" customHeight="1">
      <c r="A61" s="96"/>
      <c r="B61" s="178"/>
      <c r="C61" s="234"/>
      <c r="D61" s="234"/>
      <c r="E61" s="234"/>
      <c r="F61" s="180"/>
    </row>
    <row r="62" spans="1:6" ht="18.75" customHeight="1">
      <c r="A62" s="96"/>
      <c r="B62" s="178"/>
      <c r="C62" s="234"/>
      <c r="D62" s="234"/>
      <c r="E62" s="234"/>
      <c r="F62" s="180"/>
    </row>
    <row r="63" spans="1:6" ht="18.75" customHeight="1">
      <c r="A63" s="96"/>
      <c r="B63" s="178"/>
      <c r="C63" s="234"/>
      <c r="D63" s="234"/>
      <c r="E63" s="234"/>
      <c r="F63" s="180"/>
    </row>
    <row r="64" spans="1:6" ht="18.75" customHeight="1">
      <c r="A64" s="96"/>
      <c r="B64" s="178"/>
      <c r="C64" s="234"/>
      <c r="D64" s="234"/>
      <c r="E64" s="234"/>
      <c r="F64" s="180"/>
    </row>
    <row r="65" spans="1:6" ht="18.75" customHeight="1">
      <c r="A65" s="96"/>
      <c r="B65" s="178"/>
      <c r="C65" s="234"/>
      <c r="D65" s="234"/>
      <c r="E65" s="234"/>
      <c r="F65" s="180"/>
    </row>
    <row r="66" spans="1:6" ht="18.75" customHeight="1">
      <c r="A66" s="96"/>
      <c r="B66" s="178"/>
      <c r="C66" s="234"/>
      <c r="D66" s="234"/>
      <c r="E66" s="234"/>
      <c r="F66" s="180"/>
    </row>
    <row r="67" spans="1:6" ht="18.75" customHeight="1">
      <c r="A67" s="96"/>
      <c r="B67" s="178"/>
      <c r="C67" s="234"/>
      <c r="D67" s="234"/>
      <c r="E67" s="234"/>
      <c r="F67" s="180"/>
    </row>
    <row r="68" spans="1:6" ht="18.75" customHeight="1">
      <c r="A68" s="96"/>
      <c r="B68" s="178"/>
      <c r="C68" s="234"/>
      <c r="D68" s="234"/>
      <c r="E68" s="234"/>
      <c r="F68" s="180"/>
    </row>
    <row r="69" spans="1:6" ht="18.75" customHeight="1">
      <c r="A69" s="96"/>
      <c r="B69" s="178"/>
      <c r="C69" s="234"/>
      <c r="D69" s="234"/>
      <c r="E69" s="234"/>
      <c r="F69" s="180"/>
    </row>
    <row r="70" spans="1:6" ht="18.75" customHeight="1">
      <c r="A70" s="96"/>
      <c r="B70" s="178"/>
      <c r="C70" s="234"/>
      <c r="D70" s="234"/>
      <c r="E70" s="234"/>
      <c r="F70" s="180"/>
    </row>
    <row r="71" spans="1:6" ht="18.75" customHeight="1">
      <c r="A71" s="96"/>
      <c r="B71" s="178"/>
      <c r="C71" s="234"/>
      <c r="D71" s="234"/>
      <c r="E71" s="234"/>
      <c r="F71" s="180"/>
    </row>
    <row r="72" spans="1:6" ht="18.75" customHeight="1">
      <c r="A72" s="96"/>
      <c r="B72" s="178"/>
      <c r="C72" s="234"/>
      <c r="D72" s="234"/>
      <c r="E72" s="234"/>
      <c r="F72" s="180"/>
    </row>
    <row r="73" spans="1:6" ht="18.75" customHeight="1">
      <c r="A73" s="96"/>
      <c r="B73" s="178"/>
      <c r="C73" s="234"/>
      <c r="D73" s="234"/>
      <c r="E73" s="234"/>
      <c r="F73" s="180"/>
    </row>
    <row r="74" spans="1:6" ht="18.75" customHeight="1">
      <c r="A74" s="96"/>
      <c r="B74" s="178"/>
      <c r="C74" s="234"/>
      <c r="D74" s="234"/>
      <c r="E74" s="234"/>
      <c r="F74" s="180"/>
    </row>
    <row r="75" spans="1:6" ht="18.75" customHeight="1">
      <c r="A75" s="96"/>
      <c r="B75" s="178"/>
      <c r="C75" s="234"/>
      <c r="D75" s="234"/>
      <c r="E75" s="234"/>
      <c r="F75" s="180"/>
    </row>
    <row r="76" spans="1:6" ht="18.75" customHeight="1">
      <c r="A76" s="96"/>
      <c r="B76" s="178"/>
      <c r="C76" s="234"/>
      <c r="D76" s="234"/>
      <c r="E76" s="234"/>
      <c r="F76" s="180"/>
    </row>
    <row r="77" spans="1:6" ht="18.75" customHeight="1">
      <c r="A77" s="96"/>
      <c r="B77" s="178"/>
      <c r="C77" s="234"/>
      <c r="D77" s="234"/>
      <c r="E77" s="234"/>
      <c r="F77" s="180"/>
    </row>
    <row r="78" spans="1:6" ht="18.75" customHeight="1">
      <c r="A78" s="96"/>
      <c r="B78" s="178"/>
      <c r="C78" s="234"/>
      <c r="D78" s="234"/>
      <c r="E78" s="234"/>
      <c r="F78" s="180"/>
    </row>
    <row r="79" spans="1:6" ht="18.75" customHeight="1">
      <c r="A79" s="96"/>
      <c r="B79" s="178"/>
      <c r="C79" s="234"/>
      <c r="D79" s="234"/>
      <c r="E79" s="234"/>
      <c r="F79" s="180"/>
    </row>
    <row r="80" spans="1:6" ht="18.75" customHeight="1">
      <c r="A80" s="96"/>
      <c r="B80" s="178"/>
      <c r="C80" s="234"/>
      <c r="D80" s="234"/>
      <c r="E80" s="234"/>
      <c r="F80" s="180"/>
    </row>
    <row r="81" spans="1:6" ht="18.75" customHeight="1">
      <c r="A81" s="96"/>
      <c r="B81" s="178"/>
      <c r="C81" s="234"/>
      <c r="D81" s="234"/>
      <c r="E81" s="234"/>
      <c r="F81" s="180"/>
    </row>
    <row r="82" spans="1:6" ht="18.75" customHeight="1">
      <c r="A82" s="96"/>
      <c r="B82" s="178"/>
      <c r="C82" s="234"/>
      <c r="D82" s="234"/>
      <c r="E82" s="234"/>
      <c r="F82" s="180"/>
    </row>
    <row r="83" spans="1:6" ht="18.75" customHeight="1">
      <c r="A83" s="96"/>
      <c r="B83" s="178"/>
      <c r="C83" s="234"/>
      <c r="D83" s="234"/>
      <c r="E83" s="234"/>
      <c r="F83" s="180"/>
    </row>
    <row r="84" spans="1:6" ht="18.75" customHeight="1">
      <c r="A84" s="96"/>
      <c r="B84" s="178"/>
      <c r="C84" s="234"/>
      <c r="D84" s="234"/>
      <c r="E84" s="234"/>
      <c r="F84" s="180"/>
    </row>
    <row r="85" spans="1:6" ht="18.75" customHeight="1">
      <c r="A85" s="96"/>
      <c r="B85" s="178"/>
      <c r="C85" s="234"/>
      <c r="D85" s="234"/>
      <c r="E85" s="234"/>
      <c r="F85" s="180"/>
    </row>
    <row r="86" spans="1:6" ht="18.75" customHeight="1">
      <c r="A86" s="96"/>
      <c r="B86" s="178"/>
      <c r="C86" s="234"/>
      <c r="D86" s="234"/>
      <c r="E86" s="234"/>
      <c r="F86" s="180"/>
    </row>
    <row r="87" spans="1:6" ht="18.75" customHeight="1">
      <c r="A87" s="96"/>
      <c r="B87" s="181"/>
      <c r="C87" s="182"/>
      <c r="D87" s="182"/>
      <c r="E87" s="182"/>
      <c r="F87" s="183"/>
    </row>
    <row r="88" spans="1:6" s="3" customFormat="1" ht="18.75" customHeight="1">
      <c r="A88" s="2" t="s">
        <v>8</v>
      </c>
      <c r="B88" s="2" t="s">
        <v>236</v>
      </c>
      <c r="C88" s="2"/>
      <c r="D88" s="2"/>
      <c r="E88" s="2"/>
      <c r="F88" s="2"/>
    </row>
    <row r="89" spans="1:6" ht="18.75" customHeight="1">
      <c r="A89" s="96"/>
      <c r="B89" s="214" t="s">
        <v>237</v>
      </c>
      <c r="C89" s="215"/>
      <c r="D89" s="215"/>
      <c r="E89" s="215"/>
      <c r="F89" s="216"/>
    </row>
    <row r="90" spans="1:6" ht="18.75" customHeight="1">
      <c r="A90" s="96"/>
      <c r="B90" s="217"/>
      <c r="C90" s="218"/>
      <c r="D90" s="218"/>
      <c r="E90" s="218"/>
      <c r="F90" s="219"/>
    </row>
    <row r="91" spans="1:6" ht="18.75" customHeight="1">
      <c r="A91" s="96"/>
      <c r="B91" s="217"/>
      <c r="C91" s="218"/>
      <c r="D91" s="218"/>
      <c r="E91" s="218"/>
      <c r="F91" s="219"/>
    </row>
    <row r="92" spans="1:6" ht="18.75" customHeight="1">
      <c r="A92" s="96"/>
      <c r="B92" s="217"/>
      <c r="C92" s="218"/>
      <c r="D92" s="218"/>
      <c r="E92" s="218"/>
      <c r="F92" s="219"/>
    </row>
    <row r="93" spans="1:6" ht="18.75" customHeight="1">
      <c r="A93" s="96"/>
      <c r="B93" s="217"/>
      <c r="C93" s="218"/>
      <c r="D93" s="218"/>
      <c r="E93" s="218"/>
      <c r="F93" s="219"/>
    </row>
    <row r="94" spans="1:6" ht="18.75" customHeight="1">
      <c r="A94" s="96"/>
      <c r="B94" s="217"/>
      <c r="C94" s="218"/>
      <c r="D94" s="218"/>
      <c r="E94" s="218"/>
      <c r="F94" s="219"/>
    </row>
    <row r="95" spans="1:6" ht="18.75" customHeight="1">
      <c r="A95" s="96"/>
      <c r="B95" s="217"/>
      <c r="C95" s="218"/>
      <c r="D95" s="218"/>
      <c r="E95" s="218"/>
      <c r="F95" s="219"/>
    </row>
    <row r="96" spans="1:6" ht="18.75" customHeight="1">
      <c r="A96" s="96"/>
      <c r="B96" s="217"/>
      <c r="C96" s="218"/>
      <c r="D96" s="218"/>
      <c r="E96" s="218"/>
      <c r="F96" s="219"/>
    </row>
    <row r="97" spans="1:6" ht="18.75" customHeight="1">
      <c r="A97" s="96"/>
      <c r="B97" s="217"/>
      <c r="C97" s="218"/>
      <c r="D97" s="218"/>
      <c r="E97" s="218"/>
      <c r="F97" s="219"/>
    </row>
    <row r="98" spans="1:6" ht="18.75" customHeight="1">
      <c r="A98" s="96"/>
      <c r="B98" s="217"/>
      <c r="C98" s="218"/>
      <c r="D98" s="218"/>
      <c r="E98" s="218"/>
      <c r="F98" s="219"/>
    </row>
    <row r="99" spans="1:6" ht="18.75" customHeight="1">
      <c r="A99" s="96"/>
      <c r="B99" s="217"/>
      <c r="C99" s="218"/>
      <c r="D99" s="218"/>
      <c r="E99" s="218"/>
      <c r="F99" s="219"/>
    </row>
    <row r="100" spans="1:6" ht="18.75" customHeight="1">
      <c r="A100" s="96"/>
      <c r="B100" s="217"/>
      <c r="C100" s="218"/>
      <c r="D100" s="218"/>
      <c r="E100" s="218"/>
      <c r="F100" s="219"/>
    </row>
    <row r="101" spans="1:6" ht="18.75" customHeight="1">
      <c r="A101" s="96"/>
      <c r="B101" s="217"/>
      <c r="C101" s="218"/>
      <c r="D101" s="218"/>
      <c r="E101" s="218"/>
      <c r="F101" s="219"/>
    </row>
    <row r="102" spans="1:6" ht="18.75" customHeight="1">
      <c r="A102" s="96"/>
      <c r="B102" s="217"/>
      <c r="C102" s="218"/>
      <c r="D102" s="218"/>
      <c r="E102" s="218"/>
      <c r="F102" s="219"/>
    </row>
    <row r="103" spans="1:6" ht="18.75" customHeight="1">
      <c r="A103" s="96"/>
      <c r="B103" s="217"/>
      <c r="C103" s="218"/>
      <c r="D103" s="218"/>
      <c r="E103" s="218"/>
      <c r="F103" s="219"/>
    </row>
    <row r="104" spans="1:6" ht="18.75" customHeight="1">
      <c r="A104" s="96"/>
      <c r="B104" s="217"/>
      <c r="C104" s="218"/>
      <c r="D104" s="218"/>
      <c r="E104" s="218"/>
      <c r="F104" s="219"/>
    </row>
    <row r="105" spans="1:6" ht="18.75" customHeight="1">
      <c r="A105" s="96"/>
      <c r="B105" s="217"/>
      <c r="C105" s="218"/>
      <c r="D105" s="218"/>
      <c r="E105" s="218"/>
      <c r="F105" s="219"/>
    </row>
    <row r="106" spans="1:6" ht="18.75" customHeight="1">
      <c r="A106" s="96"/>
      <c r="B106" s="217"/>
      <c r="C106" s="218"/>
      <c r="D106" s="218"/>
      <c r="E106" s="218"/>
      <c r="F106" s="219"/>
    </row>
    <row r="107" spans="1:6" ht="18.75" customHeight="1">
      <c r="A107" s="96"/>
      <c r="B107" s="217"/>
      <c r="C107" s="218"/>
      <c r="D107" s="218"/>
      <c r="E107" s="218"/>
      <c r="F107" s="219"/>
    </row>
    <row r="108" spans="1:6" ht="18.75" customHeight="1">
      <c r="A108" s="96"/>
      <c r="B108" s="217"/>
      <c r="C108" s="218"/>
      <c r="D108" s="218"/>
      <c r="E108" s="218"/>
      <c r="F108" s="219"/>
    </row>
    <row r="109" spans="1:6" ht="18.75" customHeight="1">
      <c r="A109" s="96"/>
      <c r="B109" s="217"/>
      <c r="C109" s="218"/>
      <c r="D109" s="218"/>
      <c r="E109" s="218"/>
      <c r="F109" s="219"/>
    </row>
    <row r="110" spans="1:6" ht="18.75" customHeight="1">
      <c r="A110" s="96"/>
      <c r="B110" s="217"/>
      <c r="C110" s="218"/>
      <c r="D110" s="218"/>
      <c r="E110" s="218"/>
      <c r="F110" s="219"/>
    </row>
    <row r="111" spans="1:6" ht="18.75" customHeight="1">
      <c r="A111" s="96"/>
      <c r="B111" s="217"/>
      <c r="C111" s="218"/>
      <c r="D111" s="218"/>
      <c r="E111" s="218"/>
      <c r="F111" s="219"/>
    </row>
    <row r="112" spans="1:6" ht="18.75" customHeight="1">
      <c r="A112" s="96"/>
      <c r="B112" s="217"/>
      <c r="C112" s="218"/>
      <c r="D112" s="218"/>
      <c r="E112" s="218"/>
      <c r="F112" s="219"/>
    </row>
    <row r="113" spans="1:6" ht="18.75" customHeight="1">
      <c r="A113" s="96"/>
      <c r="B113" s="217"/>
      <c r="C113" s="218"/>
      <c r="D113" s="218"/>
      <c r="E113" s="218"/>
      <c r="F113" s="219"/>
    </row>
    <row r="114" spans="1:6" ht="18.75" customHeight="1">
      <c r="A114" s="96"/>
      <c r="B114" s="217"/>
      <c r="C114" s="218"/>
      <c r="D114" s="218"/>
      <c r="E114" s="218"/>
      <c r="F114" s="219"/>
    </row>
    <row r="115" spans="1:6" ht="18.75" customHeight="1">
      <c r="A115" s="96"/>
      <c r="B115" s="217"/>
      <c r="C115" s="218"/>
      <c r="D115" s="218"/>
      <c r="E115" s="218"/>
      <c r="F115" s="219"/>
    </row>
    <row r="116" spans="1:6" ht="18.75" customHeight="1">
      <c r="A116" s="96"/>
      <c r="B116" s="217"/>
      <c r="C116" s="218"/>
      <c r="D116" s="218"/>
      <c r="E116" s="218"/>
      <c r="F116" s="219"/>
    </row>
    <row r="117" spans="1:6" ht="18.75" customHeight="1">
      <c r="A117" s="96"/>
      <c r="B117" s="217"/>
      <c r="C117" s="218"/>
      <c r="D117" s="218"/>
      <c r="E117" s="218"/>
      <c r="F117" s="219"/>
    </row>
    <row r="118" spans="1:6" ht="18.75" customHeight="1">
      <c r="A118" s="96"/>
      <c r="B118" s="217"/>
      <c r="C118" s="218"/>
      <c r="D118" s="218"/>
      <c r="E118" s="218"/>
      <c r="F118" s="219"/>
    </row>
    <row r="119" spans="1:6" ht="18.75" customHeight="1">
      <c r="A119" s="96"/>
      <c r="B119" s="217"/>
      <c r="C119" s="218"/>
      <c r="D119" s="218"/>
      <c r="E119" s="218"/>
      <c r="F119" s="219"/>
    </row>
    <row r="120" spans="1:6" ht="18.75" customHeight="1">
      <c r="A120" s="96"/>
      <c r="B120" s="217"/>
      <c r="C120" s="218"/>
      <c r="D120" s="218"/>
      <c r="E120" s="218"/>
      <c r="F120" s="219"/>
    </row>
    <row r="121" spans="1:6" ht="18.75" customHeight="1">
      <c r="A121" s="96"/>
      <c r="B121" s="217"/>
      <c r="C121" s="218"/>
      <c r="D121" s="218"/>
      <c r="E121" s="218"/>
      <c r="F121" s="219"/>
    </row>
    <row r="122" spans="1:6" ht="18.75" customHeight="1">
      <c r="A122" s="96"/>
      <c r="B122" s="217"/>
      <c r="C122" s="218"/>
      <c r="D122" s="218"/>
      <c r="E122" s="218"/>
      <c r="F122" s="219"/>
    </row>
    <row r="123" spans="1:6" ht="18.75" customHeight="1">
      <c r="A123" s="96"/>
      <c r="B123" s="217"/>
      <c r="C123" s="218"/>
      <c r="D123" s="218"/>
      <c r="E123" s="218"/>
      <c r="F123" s="219"/>
    </row>
    <row r="124" spans="1:6" ht="18.75" customHeight="1">
      <c r="A124" s="96"/>
      <c r="B124" s="217"/>
      <c r="C124" s="218"/>
      <c r="D124" s="218"/>
      <c r="E124" s="218"/>
      <c r="F124" s="219"/>
    </row>
    <row r="125" spans="1:6" ht="18.75" customHeight="1">
      <c r="A125" s="96"/>
      <c r="B125" s="217"/>
      <c r="C125" s="218"/>
      <c r="D125" s="218"/>
      <c r="E125" s="218"/>
      <c r="F125" s="219"/>
    </row>
    <row r="126" spans="1:6" ht="18.75" customHeight="1">
      <c r="A126" s="96"/>
      <c r="B126" s="217"/>
      <c r="C126" s="218"/>
      <c r="D126" s="218"/>
      <c r="E126" s="218"/>
      <c r="F126" s="219"/>
    </row>
    <row r="127" spans="1:6" ht="18.75" customHeight="1">
      <c r="A127" s="96"/>
      <c r="B127" s="217"/>
      <c r="C127" s="218"/>
      <c r="D127" s="218"/>
      <c r="E127" s="218"/>
      <c r="F127" s="219"/>
    </row>
    <row r="128" spans="1:6" ht="18.75" customHeight="1">
      <c r="A128" s="96"/>
      <c r="B128" s="217"/>
      <c r="C128" s="218"/>
      <c r="D128" s="218"/>
      <c r="E128" s="218"/>
      <c r="F128" s="219"/>
    </row>
    <row r="129" spans="1:6" ht="18.75" customHeight="1">
      <c r="A129" s="96"/>
      <c r="B129" s="217"/>
      <c r="C129" s="218"/>
      <c r="D129" s="218"/>
      <c r="E129" s="218"/>
      <c r="F129" s="219"/>
    </row>
    <row r="130" spans="1:6" ht="18.75" customHeight="1">
      <c r="A130" s="96"/>
      <c r="B130" s="220"/>
      <c r="C130" s="221"/>
      <c r="D130" s="221"/>
      <c r="E130" s="221"/>
      <c r="F130" s="222"/>
    </row>
  </sheetData>
  <customSheetViews>
    <customSheetView guid="{5055547B-B170-416F-A083-CC8E7809C104}" zeroValues="0">
      <selection activeCell="B7" sqref="B7:F44"/>
      <rowBreaks count="1" manualBreakCount="1">
        <brk id="44" max="5" man="1"/>
      </rowBreaks>
      <pageMargins left="0" right="0" top="0" bottom="0" header="0" footer="0"/>
      <printOptions horizontalCentered="1"/>
      <pageSetup paperSize="9" scale="96" orientation="portrait" r:id="rId1"/>
    </customSheetView>
  </customSheetViews>
  <mergeCells count="6">
    <mergeCell ref="B89:F130"/>
    <mergeCell ref="E1:F1"/>
    <mergeCell ref="E2:F2"/>
    <mergeCell ref="A4:F4"/>
    <mergeCell ref="B7:F44"/>
    <mergeCell ref="B46:F87"/>
  </mergeCells>
  <phoneticPr fontId="3"/>
  <printOptions horizontalCentered="1"/>
  <pageMargins left="0.78740157480314965" right="0.78740157480314965" top="0.78740157480314965" bottom="0.78740157480314965" header="0.31496062992125984" footer="0.31496062992125984"/>
  <pageSetup paperSize="9" scale="96" orientation="portrait" r:id="rId2"/>
  <rowBreaks count="2" manualBreakCount="2">
    <brk id="44" max="5" man="1"/>
    <brk id="87" max="5"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2022-02-22T09:45:27Z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cd3dd6bc-c364-471a-890f-43bfe92cd4be</vt:lpwstr>
  </property>
</Properties>
</file>