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P:\staff\Common\(AP)大学教育再生加速プログラム\#AP大学教育再生加速プログラム\★AP事業以外の仕事の箱\RJ 理事長依頼事項②　数理データサイエンスAI =研修会(9月17日, R2 9月25日実施済)、認定制度\2. 数理・データサイエンス・AI教育プログラム認定制度 2021.03.02\3. 文部科学省へ　提出した書類 4月9日\"/>
    </mc:Choice>
  </mc:AlternateContent>
  <bookViews>
    <workbookView xWindow="0" yWindow="0" windowWidth="18084" windowHeight="12096" tabRatio="885"/>
  </bookViews>
  <sheets>
    <sheet name="様式１　大学等概要" sheetId="8" r:id="rId1"/>
    <sheet name="様式２－１　プログラムを構成する授業科目" sheetId="9" r:id="rId2"/>
    <sheet name="様式２－２　プログラムを構成する授業科目 " sheetId="37" r:id="rId3"/>
    <sheet name="様式３　履修者等数の実績" sheetId="31" r:id="rId4"/>
    <sheet name="様式4－１　プログラムの授業内容・概要 " sheetId="39" r:id="rId5"/>
    <sheet name="様式4－２　プログラムの授業内容・概要 " sheetId="38" r:id="rId6"/>
    <sheet name="様式５　教育の質・履修者数を向上させるための体制・計画" sheetId="40" r:id="rId7"/>
    <sheet name="様式６　自己点検・評価" sheetId="36" r:id="rId8"/>
  </sheets>
  <definedNames>
    <definedName name="_xlnm._FilterDatabase" localSheetId="1" hidden="1">'様式２－１　プログラムを構成する授業科目'!#REF!</definedName>
    <definedName name="_xlnm._FilterDatabase" localSheetId="2" hidden="1">'様式２－２　プログラムを構成する授業科目 '!#REF!</definedName>
    <definedName name="_xlnm._FilterDatabase" localSheetId="3" hidden="1">'様式３　履修者等数の実績'!#REF!</definedName>
    <definedName name="_xlnm.Print_Area" localSheetId="0">'様式１　大学等概要'!$A$1:$N$47</definedName>
    <definedName name="_xlnm.Print_Area" localSheetId="1">'様式２－１　プログラムを構成する授業科目'!$A$1:$I$44</definedName>
    <definedName name="_xlnm.Print_Area" localSheetId="2">'様式２－２　プログラムを構成する授業科目 '!$A$1:$I$44</definedName>
    <definedName name="_xlnm.Print_Area" localSheetId="3">'様式３　履修者等数の実績'!$A$1:$R$29</definedName>
    <definedName name="_xlnm.Print_Area" localSheetId="4">'様式4－１　プログラムの授業内容・概要 '!$A$1:$G$82</definedName>
    <definedName name="_xlnm.Print_Area" localSheetId="6">'様式５　教育の質・履修者数を向上させるための体制・計画'!$A$1:$E$134</definedName>
    <definedName name="_xlnm.Print_Area" localSheetId="7">'様式６　自己点検・評価'!$A$1:$J$20</definedName>
  </definedNames>
  <calcPr calcId="152511"/>
</workbook>
</file>

<file path=xl/calcChain.xml><?xml version="1.0" encoding="utf-8"?>
<calcChain xmlns="http://schemas.openxmlformats.org/spreadsheetml/2006/main">
  <c r="Q9" i="31" l="1"/>
  <c r="Q8" i="31"/>
  <c r="R9" i="31" l="1"/>
  <c r="R8" i="31" l="1"/>
  <c r="P28" i="31" l="1"/>
  <c r="O28" i="31"/>
  <c r="N28" i="31"/>
  <c r="M28" i="31"/>
  <c r="L28" i="31"/>
  <c r="K28" i="31"/>
  <c r="J28" i="31"/>
  <c r="I28" i="31"/>
  <c r="H28" i="31"/>
  <c r="G28" i="31"/>
  <c r="F28" i="31"/>
  <c r="E28" i="31"/>
  <c r="D28" i="31"/>
  <c r="Q28" i="31" l="1"/>
  <c r="R28" i="31" s="1"/>
</calcChain>
</file>

<file path=xl/sharedStrings.xml><?xml version="1.0" encoding="utf-8"?>
<sst xmlns="http://schemas.openxmlformats.org/spreadsheetml/2006/main" count="325" uniqueCount="218">
  <si>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</si>
  <si>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</si>
  <si>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</si>
  <si>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</si>
  <si>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</si>
  <si>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</si>
  <si>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</si>
  <si>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</si>
  <si>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</si>
  <si>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</si>
  <si>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</si>
  <si>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</si>
  <si>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</si>
  <si>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</si>
  <si>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</si>
  <si>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</si>
  <si>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</si>
  <si>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</si>
  <si>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</si>
  <si>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</si>
  <si>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</si>
  <si>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</si>
  <si>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</si>
  <si>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</si>
  <si>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</si>
  <si>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</si>
  <si>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</si>
  <si>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</si>
  <si>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</si>
  <si>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</si>
  <si>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</si>
  <si>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</si>
  <si>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</si>
  <si>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</si>
  <si>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</si>
  <si>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</si>
  <si>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</si>
  <si>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</si>
  <si>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</si>
  <si>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</si>
  <si>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</si>
  <si>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</si>
  <si>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</si>
  <si>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</si>
  <si>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</si>
  <si>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</si>
  <si>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</si>
  <si>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</si>
  <si>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</si>
  <si>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</si>
  <si>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</si>
  <si>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</si>
  <si>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</si>
  <si>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</si>
  <si>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</si>
  <si>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</si>
  <si>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</si>
  <si>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</si>
  <si>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</si>
  <si>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</si>
  <si>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</si>
  <si>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</si>
  <si>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</si>
  <si>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</si>
  <si>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</si>
  <si>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</si>
  <si>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</si>
  <si>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</si>
  <si>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</si>
  <si>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</si>
  <si>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</si>
  <si>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</si>
  <si>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</si>
  <si>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</si>
  <si>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</si>
  <si>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</si>
  <si>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</si>
  <si>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</si>
  <si>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</si>
  <si>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</si>
  <si>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</si>
  <si>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</si>
  <si>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</si>
  <si>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</si>
  <si>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</si>
  <si>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</si>
  <si>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</si>
  <si>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</si>
  <si>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</si>
  <si>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</si>
  <si>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</si>
  <si>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</si>
  <si>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</si>
  <si>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</si>
  <si>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</si>
  <si>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</si>
  <si>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</si>
  <si>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</si>
  <si>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</si>
  <si>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</si>
  <si>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</si>
  <si>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</si>
  <si>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</si>
  <si>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</si>
  <si>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</si>
  <si>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認定教育プログラム</t>
  </si>
  <si>
    <t>有</t>
  </si>
  <si>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</si>
  <si>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</si>
  <si>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</si>
  <si>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プログラムの履修者数等の実績について</t>
    <phoneticPr fontId="1"/>
  </si>
  <si>
    <t>⑪</t>
    <phoneticPr fontId="1"/>
  </si>
  <si>
    <t>全学部・学科の入学定員</t>
    <rPh sb="0" eb="1">
      <t>ゼン</t>
    </rPh>
    <rPh sb="1" eb="3">
      <t>ガクブ</t>
    </rPh>
    <rPh sb="4" eb="6">
      <t>ガッカ</t>
    </rPh>
    <rPh sb="7" eb="9">
      <t>ニュウガク</t>
    </rPh>
    <rPh sb="9" eb="11">
      <t>テイイン</t>
    </rPh>
    <phoneticPr fontId="1"/>
  </si>
  <si>
    <t>全学部・学科の学生数（学年別）</t>
    <rPh sb="0" eb="1">
      <t>ゼン</t>
    </rPh>
    <rPh sb="1" eb="3">
      <t>ガクブ</t>
    </rPh>
    <rPh sb="4" eb="6">
      <t>ガッカ</t>
    </rPh>
    <rPh sb="7" eb="10">
      <t>ガクセイスウ</t>
    </rPh>
    <rPh sb="11" eb="13">
      <t>ガクネン</t>
    </rPh>
    <rPh sb="13" eb="14">
      <t>ベツ</t>
    </rPh>
    <phoneticPr fontId="1"/>
  </si>
  <si>
    <t>学部・学科によって、修了要件は相違する</t>
  </si>
  <si>
    <t>申請するプログラム又は授業科目名称</t>
    <rPh sb="0" eb="2">
      <t>シンセイ</t>
    </rPh>
    <rPh sb="9" eb="10">
      <t>マタ</t>
    </rPh>
    <rPh sb="11" eb="13">
      <t>ジュギョウ</t>
    </rPh>
    <rPh sb="13" eb="15">
      <t>カモク</t>
    </rPh>
    <rPh sb="15" eb="17">
      <t>メイショウ</t>
    </rPh>
    <phoneticPr fontId="1"/>
  </si>
  <si>
    <t>⑮連絡先</t>
    <rPh sb="1" eb="4">
      <t>レンラクサキ</t>
    </rPh>
    <phoneticPr fontId="1"/>
  </si>
  <si>
    <t>学部・学科等名称</t>
    <rPh sb="0" eb="2">
      <t>ガクブ</t>
    </rPh>
    <rPh sb="3" eb="5">
      <t>ガッカ</t>
    </rPh>
    <rPh sb="5" eb="6">
      <t>トウ</t>
    </rPh>
    <rPh sb="6" eb="8">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</si>
  <si>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</si>
  <si>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</si>
  <si>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</si>
  <si>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</si>
  <si>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宮崎国際大学</t>
    <rPh sb="0" eb="2">
      <t>ミヤザキ</t>
    </rPh>
    <rPh sb="2" eb="4">
      <t>コクサイ</t>
    </rPh>
    <rPh sb="4" eb="6">
      <t>ダイガク</t>
    </rPh>
    <phoneticPr fontId="1"/>
  </si>
  <si>
    <t>学校法人　宮崎学園</t>
    <rPh sb="0" eb="2">
      <t>ガッコウ</t>
    </rPh>
    <rPh sb="2" eb="4">
      <t>ホウジン</t>
    </rPh>
    <rPh sb="5" eb="7">
      <t>ミヤザキ</t>
    </rPh>
    <rPh sb="7" eb="9">
      <t>ガクエン</t>
    </rPh>
    <phoneticPr fontId="1"/>
  </si>
  <si>
    <t>宮崎県宮崎市清武町加納丙1405番地</t>
    <rPh sb="0" eb="2">
      <t>ミヤザキ</t>
    </rPh>
    <rPh sb="2" eb="3">
      <t>ケン</t>
    </rPh>
    <rPh sb="3" eb="6">
      <t>ミヤザキシ</t>
    </rPh>
    <rPh sb="6" eb="8">
      <t>キヨタケ</t>
    </rPh>
    <rPh sb="8" eb="9">
      <t>チョウ</t>
    </rPh>
    <rPh sb="9" eb="11">
      <t>カノウ</t>
    </rPh>
    <rPh sb="11" eb="12">
      <t>ヘイ</t>
    </rPh>
    <rPh sb="16" eb="18">
      <t>バンチ</t>
    </rPh>
    <phoneticPr fontId="1"/>
  </si>
  <si>
    <t>分野横断カリキュラム検討委員会</t>
    <rPh sb="0" eb="2">
      <t>ブンヤ</t>
    </rPh>
    <rPh sb="2" eb="4">
      <t>オウダン</t>
    </rPh>
    <rPh sb="10" eb="12">
      <t>ケントウ</t>
    </rPh>
    <rPh sb="12" eb="14">
      <t>イイン</t>
    </rPh>
    <rPh sb="14" eb="15">
      <t>カイ</t>
    </rPh>
    <phoneticPr fontId="1"/>
  </si>
  <si>
    <t>保田　昌秀</t>
    <rPh sb="0" eb="2">
      <t>ヤスダ</t>
    </rPh>
    <rPh sb="3" eb="5">
      <t>マサヒデ</t>
    </rPh>
    <phoneticPr fontId="1"/>
  </si>
  <si>
    <t>0985-85-5931</t>
    <phoneticPr fontId="1"/>
  </si>
  <si>
    <t>情報通信技術概論</t>
    <rPh sb="0" eb="2">
      <t>ジョウホウ</t>
    </rPh>
    <rPh sb="2" eb="4">
      <t>ツウシン</t>
    </rPh>
    <rPh sb="4" eb="6">
      <t>ギジュツ</t>
    </rPh>
    <rPh sb="6" eb="8">
      <t>ガイロン</t>
    </rPh>
    <phoneticPr fontId="1"/>
  </si>
  <si>
    <t>情報処理</t>
    <rPh sb="0" eb="2">
      <t>ジョウホウ</t>
    </rPh>
    <rPh sb="2" eb="4">
      <t>ショリ</t>
    </rPh>
    <phoneticPr fontId="1"/>
  </si>
  <si>
    <t>忍ケ丘教養Ⅱ</t>
    <rPh sb="0" eb="3">
      <t>シノブガオカ</t>
    </rPh>
    <rPh sb="3" eb="5">
      <t>キョウヨウ</t>
    </rPh>
    <phoneticPr fontId="1"/>
  </si>
  <si>
    <t>宮崎国際大学</t>
    <rPh sb="0" eb="2">
      <t>ミヤザキ</t>
    </rPh>
    <rPh sb="2" eb="4">
      <t>コクサイ</t>
    </rPh>
    <rPh sb="4" eb="6">
      <t>ダイガク</t>
    </rPh>
    <phoneticPr fontId="1"/>
  </si>
  <si>
    <t>情報処理</t>
    <rPh sb="2" eb="4">
      <t>ショリ</t>
    </rPh>
    <phoneticPr fontId="1"/>
  </si>
  <si>
    <t>https://www.mic.ac.jp/disclosure/</t>
    <phoneticPr fontId="1"/>
  </si>
  <si>
    <t>保田　昌秀</t>
    <phoneticPr fontId="1"/>
  </si>
  <si>
    <t>IRセンター長・教授</t>
    <rPh sb="6" eb="7">
      <t>チョウ</t>
    </rPh>
    <rPh sb="8" eb="10">
      <t>キョウジュ</t>
    </rPh>
    <phoneticPr fontId="1"/>
  </si>
  <si>
    <t>保田昌秀</t>
    <rPh sb="0" eb="2">
      <t>ヤスダ</t>
    </rPh>
    <rPh sb="2" eb="4">
      <t>マサヒデ</t>
    </rPh>
    <phoneticPr fontId="1"/>
  </si>
  <si>
    <t>myasuda@sky.miyazaki-mic.ac.jp</t>
    <phoneticPr fontId="1"/>
  </si>
  <si>
    <t>宮崎国際大学  IRセンター</t>
    <rPh sb="0" eb="2">
      <t>ミヤザキ</t>
    </rPh>
    <rPh sb="2" eb="4">
      <t>コクサイ</t>
    </rPh>
    <rPh sb="4" eb="6">
      <t>ダイガク</t>
    </rPh>
    <phoneticPr fontId="1"/>
  </si>
  <si>
    <t>国際教養学部・学部長</t>
    <rPh sb="0" eb="2">
      <t>コクサイ</t>
    </rPh>
    <rPh sb="2" eb="4">
      <t>キョウヨウ</t>
    </rPh>
    <rPh sb="4" eb="6">
      <t>ガクブ</t>
    </rPh>
    <rPh sb="7" eb="10">
      <t>ガクブチョウ</t>
    </rPh>
    <phoneticPr fontId="1"/>
  </si>
  <si>
    <t>情報処理</t>
    <rPh sb="0" eb="4">
      <t>ジョウホウショリ</t>
    </rPh>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</si>
  <si>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</si>
  <si>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私立大学</t>
  </si>
  <si>
    <t>様式２－１</t>
    <rPh sb="0" eb="2">
      <t>ヨウシキ</t>
    </rPh>
    <phoneticPr fontId="1"/>
  </si>
  <si>
    <t>様式２－２</t>
    <rPh sb="0" eb="2">
      <t>ヨウシキ</t>
    </rPh>
    <phoneticPr fontId="1"/>
  </si>
  <si>
    <t>教育学部（教育）</t>
    <rPh sb="0" eb="2">
      <t>キョウイク</t>
    </rPh>
    <rPh sb="2" eb="4">
      <t>ガクブ</t>
    </rPh>
    <phoneticPr fontId="1"/>
  </si>
  <si>
    <t>国際教養学部（人文科学）</t>
    <rPh sb="0" eb="2">
      <t>コクサイ</t>
    </rPh>
    <rPh sb="2" eb="4">
      <t>キョウヨウ</t>
    </rPh>
    <rPh sb="4" eb="6">
      <t>ガクブ</t>
    </rPh>
    <rPh sb="7" eb="9">
      <t>ジンブン</t>
    </rPh>
    <rPh sb="9" eb="11">
      <t>カガク</t>
    </rPh>
    <phoneticPr fontId="1"/>
  </si>
  <si>
    <t>様式４－1</t>
    <rPh sb="0" eb="2">
      <t>ヨウシキ</t>
    </rPh>
    <phoneticPr fontId="1"/>
  </si>
  <si>
    <t>様式４－2</t>
    <rPh sb="0" eb="2">
      <t>ヨウシキ</t>
    </rPh>
    <phoneticPr fontId="1"/>
  </si>
  <si>
    <t>宮崎国際大学</t>
    <rPh sb="0" eb="2">
      <t>ミヤザキ</t>
    </rPh>
    <rPh sb="2" eb="4">
      <t>コクサイ</t>
    </rPh>
    <rPh sb="4" eb="6">
      <t>ダイガク</t>
    </rPh>
    <phoneticPr fontId="1"/>
  </si>
  <si>
    <t>宮崎国際大学 数理・データサイエンス・AI教育プログラム</t>
    <rPh sb="0" eb="2">
      <t>ミヤザキ</t>
    </rPh>
    <rPh sb="2" eb="4">
      <t>コクサイ</t>
    </rPh>
    <rPh sb="4" eb="6">
      <t>ダイガク</t>
    </rPh>
    <rPh sb="7" eb="9">
      <t>スウリ</t>
    </rPh>
    <rPh sb="21" eb="23">
      <t>キョウイク</t>
    </rPh>
    <phoneticPr fontId="1"/>
  </si>
  <si>
    <t>忍ケ丘教養Ⅱ</t>
    <phoneticPr fontId="1"/>
  </si>
  <si>
    <t>情報処理</t>
    <phoneticPr fontId="1"/>
  </si>
  <si>
    <t>宮崎国際大学</t>
    <rPh sb="0" eb="2">
      <t>ミヤザキ</t>
    </rPh>
    <rPh sb="2" eb="4">
      <t>コクサイ</t>
    </rPh>
    <rPh sb="4" eb="6">
      <t>ダイガク</t>
    </rPh>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</si>
  <si>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</si>
  <si>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インターネットを介したコミュニケーションやプレゼンテーションのツール（SNSやZOOMなど）が社会に深く寄与することを踏まえ、現在の情報社会（数理・データサイエンス・AI教育）について講演を聞き、理解する（15）</t>
    <phoneticPr fontId="1"/>
  </si>
  <si>
    <t>令和2年度</t>
    <rPh sb="0" eb="2">
      <t>レイワ</t>
    </rPh>
    <rPh sb="3" eb="5">
      <t>ネンド</t>
    </rPh>
    <rPh sb="4" eb="5">
      <t>ド</t>
    </rPh>
    <phoneticPr fontId="1"/>
  </si>
  <si>
    <t>　教育支援システム”ユニバーサル・パスポート”を宮崎国際大学と宮崎学園短期大学が共同で導入し、令和2年度より運用開始した。履修登録・出席管理・成績管理などの機能がある。本プログラムの履修状況および単位取得状況をユニバーサル・パスポートで確認することができる。また、授業評価アンケートを、ユニバーサル・パスポートを使って、オンラインで実施している。IRセンターでは、学期終了後に、「教員が行った授業ごとの成績評価の分布」と「学生ごとのGPA分布」の分析、および授業評価アンケートの評価点の授業毎の平均値および自由記述欄の学生の意見を集約して、部局長会議等に報告している</t>
    <rPh sb="24" eb="26">
      <t>ミヤザキ</t>
    </rPh>
    <rPh sb="26" eb="28">
      <t>コクサイ</t>
    </rPh>
    <rPh sb="28" eb="30">
      <t>ダイガク</t>
    </rPh>
    <rPh sb="31" eb="33">
      <t>ミヤザキ</t>
    </rPh>
    <rPh sb="33" eb="35">
      <t>ガクエン</t>
    </rPh>
    <rPh sb="35" eb="37">
      <t>タンキ</t>
    </rPh>
    <rPh sb="37" eb="39">
      <t>ダイガク</t>
    </rPh>
    <rPh sb="40" eb="42">
      <t>キョウドウ</t>
    </rPh>
    <rPh sb="84" eb="85">
      <t>ホン</t>
    </rPh>
    <rPh sb="182" eb="184">
      <t>ガッキ</t>
    </rPh>
    <rPh sb="184" eb="187">
      <t>シュウリョウゴ</t>
    </rPh>
    <rPh sb="190" eb="192">
      <t>キョウイン</t>
    </rPh>
    <rPh sb="193" eb="194">
      <t>オコナ</t>
    </rPh>
    <rPh sb="196" eb="198">
      <t>ジュギョウ</t>
    </rPh>
    <rPh sb="201" eb="203">
      <t>セイセキ</t>
    </rPh>
    <rPh sb="203" eb="205">
      <t>ヒョウカ</t>
    </rPh>
    <rPh sb="206" eb="208">
      <t>ブンプ</t>
    </rPh>
    <rPh sb="211" eb="213">
      <t>ガクセイ</t>
    </rPh>
    <rPh sb="219" eb="221">
      <t>ブンプ</t>
    </rPh>
    <rPh sb="223" eb="225">
      <t>ブンセキ</t>
    </rPh>
    <rPh sb="239" eb="241">
      <t>ヒョウカ</t>
    </rPh>
    <rPh sb="241" eb="242">
      <t>テン</t>
    </rPh>
    <rPh sb="247" eb="250">
      <t>ヘイキンチ</t>
    </rPh>
    <rPh sb="253" eb="255">
      <t>ジユウ</t>
    </rPh>
    <rPh sb="255" eb="257">
      <t>キジュツ</t>
    </rPh>
    <rPh sb="257" eb="258">
      <t>ラン</t>
    </rPh>
    <rPh sb="259" eb="261">
      <t>ガクセイ</t>
    </rPh>
    <rPh sb="262" eb="264">
      <t>イケン</t>
    </rPh>
    <rPh sb="265" eb="267">
      <t>シュウヤク</t>
    </rPh>
    <rPh sb="270" eb="273">
      <t>ブキョクチョウ</t>
    </rPh>
    <rPh sb="273" eb="275">
      <t>カイギ</t>
    </rPh>
    <rPh sb="275" eb="276">
      <t>トウ</t>
    </rPh>
    <rPh sb="277" eb="279">
      <t>ホウコク</t>
    </rPh>
    <phoneticPr fontId="1"/>
  </si>
  <si>
    <t>　産業界・教育界からの外部評価委員4名による「外部点検評価委員会（202年10月26日実施）」が実施され、委員長から、「2年前くらいから国際教養学部の学生数が非常に増えている。一歩門を入れば“ここは日本ではない”という環境があるということは、宮崎において特筆すべきものであり、非常に売りになる点である。教職員は英語ベースで動いている大学である。可能であれば、そのような大学での総合研修なども取り組んでいただき、よりアイデンティティの高い大学として今後発展して頂きたい。」との意見があった。このように、本学の取組は産業界から高く評価されている。
　</t>
    <rPh sb="1" eb="4">
      <t>サンギョウカイ</t>
    </rPh>
    <rPh sb="5" eb="7">
      <t>キョウイク</t>
    </rPh>
    <rPh sb="7" eb="8">
      <t>カイ</t>
    </rPh>
    <rPh sb="11" eb="13">
      <t>ガイブ</t>
    </rPh>
    <rPh sb="13" eb="15">
      <t>ヒョウカ</t>
    </rPh>
    <rPh sb="15" eb="17">
      <t>イイン</t>
    </rPh>
    <rPh sb="18" eb="19">
      <t>メイ</t>
    </rPh>
    <rPh sb="23" eb="25">
      <t>ガイブ</t>
    </rPh>
    <rPh sb="25" eb="27">
      <t>テンケン</t>
    </rPh>
    <rPh sb="27" eb="29">
      <t>ヒョウカ</t>
    </rPh>
    <rPh sb="29" eb="32">
      <t>イインカイ</t>
    </rPh>
    <rPh sb="48" eb="50">
      <t>ジッシ</t>
    </rPh>
    <rPh sb="53" eb="56">
      <t>イインチョウ</t>
    </rPh>
    <rPh sb="229" eb="230">
      <t>イタダ</t>
    </rPh>
    <rPh sb="237" eb="239">
      <t>イケン</t>
    </rPh>
    <rPh sb="250" eb="252">
      <t>ホンガク</t>
    </rPh>
    <rPh sb="253" eb="255">
      <t>トリクミ</t>
    </rPh>
    <rPh sb="256" eb="259">
      <t>サンギョウカイ</t>
    </rPh>
    <rPh sb="261" eb="262">
      <t>タカ</t>
    </rPh>
    <rPh sb="263" eb="265">
      <t>ヒョウカ</t>
    </rPh>
    <phoneticPr fontId="1"/>
  </si>
  <si>
    <t>　授業評価アンケートを学期ごとに全開講科目に対して実施しており、4段階で評価する18問の全授業科目の平均値、および自由記述欄に記載された意見を集約したものをHPで公表している。すべての学生がアンケート結果を見ることができる。「この授業を他の学生にも勧めたいですか。」の質問に対して、情報通信技術概論（2020年度、国際教養学部）の平均点は3.4、情報処理（2020年度、教育学部）の平均点は3.6と高く、後輩へ勧めたい科目となっている。</t>
    <rPh sb="16" eb="17">
      <t>ゼン</t>
    </rPh>
    <rPh sb="17" eb="19">
      <t>カイコウ</t>
    </rPh>
    <rPh sb="19" eb="21">
      <t>カモク</t>
    </rPh>
    <rPh sb="22" eb="23">
      <t>タイ</t>
    </rPh>
    <rPh sb="134" eb="136">
      <t>シツモン</t>
    </rPh>
    <rPh sb="137" eb="138">
      <t>タイ</t>
    </rPh>
    <rPh sb="173" eb="175">
      <t>ジョウホウ</t>
    </rPh>
    <rPh sb="175" eb="177">
      <t>ショリ</t>
    </rPh>
    <rPh sb="182" eb="184">
      <t>ネンド</t>
    </rPh>
    <rPh sb="185" eb="187">
      <t>キョウイク</t>
    </rPh>
    <rPh sb="187" eb="189">
      <t>ガクブ</t>
    </rPh>
    <rPh sb="191" eb="193">
      <t>ヘイキン</t>
    </rPh>
    <rPh sb="193" eb="194">
      <t>テン</t>
    </rPh>
    <rPh sb="199" eb="200">
      <t>タカ</t>
    </rPh>
    <rPh sb="202" eb="204">
      <t>コウハイ</t>
    </rPh>
    <rPh sb="205" eb="206">
      <t>スス</t>
    </rPh>
    <rPh sb="209" eb="211">
      <t>カモク</t>
    </rPh>
    <phoneticPr fontId="1"/>
  </si>
  <si>
    <t xml:space="preserve">　学期ごとに実施する授業評価アンケート中の「この授業のシラバスの記述･説明は適切でしたか。」、「この授業の内容を充分理解できましたか。」の質問に対する学生評価を分析することによって、授業内容の学生の理解度を把握することができる。さらに、国際教養学部では、ユニバーサル・パスポートとは別に、ディプロマ・ポリシー（DP）達成度の学生による自己評価を行うラーニング・マネジメント・システム”Mahara”も整備している。国際教養学部学生は半期ごとに5つのDPについて、40項目のDPルーブリック（評価の観点）で各DPの達成度評価を行っている。教育学部おいては、各授業の達成と自己評価を「履修カルテ」で達行っている。
</t>
    <rPh sb="1" eb="3">
      <t>ガッキ</t>
    </rPh>
    <rPh sb="6" eb="8">
      <t>ジッシ</t>
    </rPh>
    <rPh sb="10" eb="12">
      <t>ジュギョウ</t>
    </rPh>
    <rPh sb="12" eb="14">
      <t>ヒョウカ</t>
    </rPh>
    <rPh sb="19" eb="20">
      <t>チュウ</t>
    </rPh>
    <rPh sb="69" eb="71">
      <t>シツモン</t>
    </rPh>
    <rPh sb="72" eb="73">
      <t>タイ</t>
    </rPh>
    <rPh sb="75" eb="77">
      <t>ガクセイ</t>
    </rPh>
    <rPh sb="77" eb="79">
      <t>ヒョウカ</t>
    </rPh>
    <rPh sb="118" eb="120">
      <t>コクサイ</t>
    </rPh>
    <rPh sb="120" eb="122">
      <t>キョウヨウ</t>
    </rPh>
    <rPh sb="122" eb="124">
      <t>ガクブ</t>
    </rPh>
    <rPh sb="167" eb="169">
      <t>ジコ</t>
    </rPh>
    <rPh sb="233" eb="235">
      <t>コウモク</t>
    </rPh>
    <rPh sb="245" eb="247">
      <t>ヒョウカ</t>
    </rPh>
    <rPh sb="248" eb="250">
      <t>カンテン</t>
    </rPh>
    <rPh sb="252" eb="253">
      <t>カク</t>
    </rPh>
    <rPh sb="277" eb="280">
      <t>カクジュギョウ</t>
    </rPh>
    <rPh sb="281" eb="283">
      <t>タッセイ</t>
    </rPh>
    <rPh sb="284" eb="286">
      <t>ジコ</t>
    </rPh>
    <rPh sb="286" eb="288">
      <t>ヒョウカ</t>
    </rPh>
    <rPh sb="298" eb="299">
      <t>オコナ</t>
    </rPh>
    <phoneticPr fontId="1"/>
  </si>
  <si>
    <t>　本学の数理・データサイエンス・AI教育プログラムの自己点検・評価を担当する「分野横断カリキュラム検討委員会」で、学生による授業評価アンケートの結果、外部点検評価委員会の意見を参考にして、本プログラム”の内容および水準について検討する。2年後の2023度に、数理・データサイエンス・AI教育プログラムに特化した、外部点検評価会を実施して、継続的な見直しを行う。</t>
    <rPh sb="1" eb="3">
      <t>ホンガク</t>
    </rPh>
    <rPh sb="26" eb="28">
      <t>ジコ</t>
    </rPh>
    <rPh sb="28" eb="30">
      <t>テンケン</t>
    </rPh>
    <rPh sb="31" eb="33">
      <t>ヒョウカ</t>
    </rPh>
    <rPh sb="34" eb="36">
      <t>タントウ</t>
    </rPh>
    <rPh sb="57" eb="59">
      <t>ガクセイ</t>
    </rPh>
    <rPh sb="62" eb="64">
      <t>ジュギョウ</t>
    </rPh>
    <rPh sb="64" eb="66">
      <t>ヒョウカ</t>
    </rPh>
    <rPh sb="72" eb="74">
      <t>ケッカ</t>
    </rPh>
    <rPh sb="75" eb="77">
      <t>ガイブ</t>
    </rPh>
    <rPh sb="77" eb="79">
      <t>テンケン</t>
    </rPh>
    <rPh sb="79" eb="81">
      <t>ヒョウカ</t>
    </rPh>
    <rPh sb="81" eb="84">
      <t>イインカイ</t>
    </rPh>
    <rPh sb="88" eb="90">
      <t>サンコウ</t>
    </rPh>
    <rPh sb="102" eb="104">
      <t>ナイヨウ</t>
    </rPh>
    <rPh sb="107" eb="109">
      <t>スイジュン</t>
    </rPh>
    <rPh sb="113" eb="115">
      <t>ケントウ</t>
    </rPh>
    <rPh sb="119" eb="121">
      <t>ネンゴ</t>
    </rPh>
    <rPh sb="126" eb="127">
      <t>ド</t>
    </rPh>
    <rPh sb="151" eb="153">
      <t>トッカ</t>
    </rPh>
    <rPh sb="156" eb="158">
      <t>ガイブ</t>
    </rPh>
    <rPh sb="158" eb="160">
      <t>テンケン</t>
    </rPh>
    <rPh sb="160" eb="162">
      <t>ヒョウカ</t>
    </rPh>
    <phoneticPr fontId="1"/>
  </si>
  <si>
    <t>　データ・サイエンスに必要な留意事項（個人情報、データ倫理、ＡＩ社会原則等）を考慮し、情報セキュリティや情報漏洩等、データを守るための留意点を理解をする。SNSやインターネット利用の中での間で起こりうることとして、SNSやインターネットを通じた著作物の違法アップロードやダウンロードがある。著作権についての情報モラル教育も必要である。</t>
    <rPh sb="14" eb="16">
      <t>リュウイ</t>
    </rPh>
    <rPh sb="16" eb="18">
      <t>ジコウ</t>
    </rPh>
    <phoneticPr fontId="1"/>
  </si>
  <si>
    <t>　国際教養学部では、「基礎教育科目」から情報通信技術概論（必修、４単位）を取得すること。</t>
    <rPh sb="1" eb="3">
      <t>コクサイ</t>
    </rPh>
    <rPh sb="3" eb="5">
      <t>キョウヨウ</t>
    </rPh>
    <rPh sb="5" eb="7">
      <t>ガクブ</t>
    </rPh>
    <rPh sb="11" eb="13">
      <t>キソ</t>
    </rPh>
    <rPh sb="13" eb="15">
      <t>キョウイク</t>
    </rPh>
    <rPh sb="15" eb="17">
      <t>カモク</t>
    </rPh>
    <rPh sb="29" eb="31">
      <t>ヒッシュウ</t>
    </rPh>
    <rPh sb="33" eb="35">
      <t>タンイ</t>
    </rPh>
    <rPh sb="37" eb="39">
      <t>シュトク</t>
    </rPh>
    <phoneticPr fontId="1"/>
  </si>
  <si>
    <t>　社会におけるデータ・ＡＩ利活用に関する知識や常識を疑うこと、データの裏にあることをなどのデータを適切に読み解く能力を身に付けさせ、国際教養学部のディプロマ・ポリシーに掲げる「DP1 クリティカル・チンキング（批判的・分析的思考法）をベースにした高度な思考（比較、分析、総合、評価）能力を身に付けている」および「DP5 情報技術活用能力を身につけている」を達成する。</t>
    <rPh sb="59" eb="60">
      <t>ミ</t>
    </rPh>
    <rPh sb="61" eb="62">
      <t>ツ</t>
    </rPh>
    <rPh sb="66" eb="68">
      <t>コクサイ</t>
    </rPh>
    <rPh sb="68" eb="70">
      <t>キョウヨウ</t>
    </rPh>
    <rPh sb="70" eb="72">
      <t>ガクブ</t>
    </rPh>
    <rPh sb="160" eb="162">
      <t>ジョウホウ</t>
    </rPh>
    <rPh sb="162" eb="164">
      <t>ギジュツ</t>
    </rPh>
    <rPh sb="164" eb="166">
      <t>カツヨウ</t>
    </rPh>
    <rPh sb="166" eb="168">
      <t>ノウリョク</t>
    </rPh>
    <rPh sb="169" eb="170">
      <t>ミ</t>
    </rPh>
    <rPh sb="178" eb="180">
      <t>タッセイ</t>
    </rPh>
    <phoneticPr fontId="1"/>
  </si>
  <si>
    <t>数理・データサイエンス・AI教育が、現在の情報社会に深く寄与しており、生活と密接に結びついていることを学ぶ（22-26）。これらの授業はすべて英語で行われる。</t>
    <phoneticPr fontId="1"/>
  </si>
  <si>
    <t>社会で活用されているデータは、日常生活や社会の課題を解決する有用なツールになることを理解する（7-9）。これらの授業はすべて英語で行われる。</t>
    <phoneticPr fontId="1"/>
  </si>
  <si>
    <t>データ利活用事例を、流通、製造、金融、サービス等から学ぶ（9，15）。これらの授業はすべて英語で行われる。</t>
    <rPh sb="3" eb="4">
      <t>リ</t>
    </rPh>
    <rPh sb="4" eb="6">
      <t>カツヨウ</t>
    </rPh>
    <rPh sb="6" eb="8">
      <t>ジレイ</t>
    </rPh>
    <rPh sb="10" eb="12">
      <t>リュウツウ</t>
    </rPh>
    <rPh sb="13" eb="15">
      <t>セイゾウ</t>
    </rPh>
    <rPh sb="16" eb="18">
      <t>キンユウ</t>
    </rPh>
    <rPh sb="23" eb="24">
      <t>トウ</t>
    </rPh>
    <rPh sb="26" eb="27">
      <t>マナ</t>
    </rPh>
    <phoneticPr fontId="1"/>
  </si>
  <si>
    <t>数理・データサイエンス・AIについての留意事項（個人情報保護、情報倫理等）について理解をする（23）。これらの授業はすべて英語で行われる。</t>
    <phoneticPr fontId="1"/>
  </si>
  <si>
    <t>社会での実例を題材として、「データを読む、説明する、扱う」の基本活用法を学ぶ（12－14）。これらの授業はすべて英語で行われる。</t>
    <phoneticPr fontId="1"/>
  </si>
  <si>
    <t>　データ利活用事例について、流通、製造、金融、サービス等の実データ用いたデータサイエンス（分析、評価等）を学び、常識を疑うこと、データの裏にあることを読み解く能力を養う。これらの能力の習熟度測定を、eラーニング・プラットフォーム"Kahoot"を用いたクイズ形式によって、オンラインで行う。課題達成者にはCritical Thinker のバッジが与えられるなどの学生が意欲を出せる工夫がなされている。これらは、国際教養学部のディプロマ・ポリシーに掲げる「DP1:クリティカル・チンキング（批判的・分析的思考法）をベースにした高度な思考（比較、分析、総合、評価）能力を身に付けている」の達成に関連付けられる。</t>
    <rPh sb="29" eb="30">
      <t>ジツ</t>
    </rPh>
    <rPh sb="33" eb="34">
      <t>モチ</t>
    </rPh>
    <rPh sb="45" eb="47">
      <t>ブンセキ</t>
    </rPh>
    <rPh sb="48" eb="50">
      <t>ヒョウカ</t>
    </rPh>
    <rPh sb="50" eb="51">
      <t>トウ</t>
    </rPh>
    <rPh sb="53" eb="54">
      <t>マナ</t>
    </rPh>
    <rPh sb="89" eb="91">
      <t>ノウリョク</t>
    </rPh>
    <rPh sb="145" eb="147">
      <t>カダイ</t>
    </rPh>
    <rPh sb="147" eb="149">
      <t>タッセイ</t>
    </rPh>
    <rPh sb="149" eb="150">
      <t>シャ</t>
    </rPh>
    <rPh sb="174" eb="175">
      <t>アタ</t>
    </rPh>
    <rPh sb="182" eb="184">
      <t>ガクセイ</t>
    </rPh>
    <rPh sb="185" eb="187">
      <t>イヨク</t>
    </rPh>
    <rPh sb="188" eb="189">
      <t>ダ</t>
    </rPh>
    <rPh sb="191" eb="193">
      <t>クフウ</t>
    </rPh>
    <phoneticPr fontId="1"/>
  </si>
  <si>
    <t>データ分析として、代表値と散布度（正規分布・標準偏差）を学習し、さらに、統計処理と検定、二つの変数間の相関係数・回帰直線について学ぶ（12－14）</t>
    <rPh sb="28" eb="30">
      <t>ガクシュウ</t>
    </rPh>
    <rPh sb="44" eb="45">
      <t>フタ</t>
    </rPh>
    <rPh sb="47" eb="49">
      <t>ヘンスウ</t>
    </rPh>
    <rPh sb="49" eb="50">
      <t>カン</t>
    </rPh>
    <rPh sb="64" eb="65">
      <t>マナ</t>
    </rPh>
    <phoneticPr fontId="1"/>
  </si>
  <si>
    <t xml:space="preserve">　工業社会（Society 3.0）や情報社会（Society 4.0）を一歩進めたSociety 5.0社会では、ICT技術を使って現実空間をサイバー空間につなぐ社会と、第５期科学技術基本計画で定義されている。人文科学系の国際教養学部では、リベラル・アーツを主に学修しているが、今後の情報社会で活躍できる人材を育成するためには、STEAM教育：Science（科学）、Technology（技術）、Engineering（工学）、Art（芸術・教養）、Mathematics（数学）が必要であると思われる。そこで、数理・データサイエンス・AIリテラシーが、生活と密接に関連して重要であることを学修する。
</t>
    <rPh sb="37" eb="39">
      <t>イッポ</t>
    </rPh>
    <rPh sb="39" eb="40">
      <t>スス</t>
    </rPh>
    <rPh sb="53" eb="55">
      <t>シャカイ</t>
    </rPh>
    <rPh sb="61" eb="63">
      <t>ギジュツ</t>
    </rPh>
    <rPh sb="64" eb="65">
      <t>ツカ</t>
    </rPh>
    <rPh sb="67" eb="69">
      <t>ゲンジツ</t>
    </rPh>
    <rPh sb="69" eb="71">
      <t>クウカン</t>
    </rPh>
    <rPh sb="76" eb="78">
      <t>クウカン</t>
    </rPh>
    <rPh sb="82" eb="84">
      <t>シャカイ</t>
    </rPh>
    <rPh sb="98" eb="100">
      <t>テイギ</t>
    </rPh>
    <rPh sb="106" eb="110">
      <t>ジンブンカガク</t>
    </rPh>
    <rPh sb="110" eb="111">
      <t>ケイ</t>
    </rPh>
    <rPh sb="112" eb="114">
      <t>コクサイ</t>
    </rPh>
    <rPh sb="114" eb="116">
      <t>キョウヨウ</t>
    </rPh>
    <rPh sb="116" eb="118">
      <t>ガクブ</t>
    </rPh>
    <rPh sb="130" eb="131">
      <t>オモ</t>
    </rPh>
    <rPh sb="132" eb="134">
      <t>ガクシュウ</t>
    </rPh>
    <rPh sb="148" eb="150">
      <t>カツヤク</t>
    </rPh>
    <rPh sb="153" eb="155">
      <t>ジンザイ</t>
    </rPh>
    <rPh sb="156" eb="158">
      <t>イクセイ</t>
    </rPh>
    <rPh sb="243" eb="245">
      <t>ヒツヨウ</t>
    </rPh>
    <rPh sb="249" eb="250">
      <t>オモ</t>
    </rPh>
    <rPh sb="285" eb="287">
      <t>カンレン</t>
    </rPh>
    <rPh sb="289" eb="291">
      <t>ジュウヨウ</t>
    </rPh>
    <rPh sb="297" eb="299">
      <t>ガクシュウ</t>
    </rPh>
    <phoneticPr fontId="1"/>
  </si>
  <si>
    <t>　新学習指導要領で示されるように、各学校では、2020 年度から「主体的・対話的で深い学び」の視点からの授業改善を通して、豊かな創造性を備えた持続可能な社会の創り手を育成する観点も踏まえ、児童生徒に生きる力を育むことが求められている。小学校では、ICT教育によって教室のプロジェクタに図表を拡大投影したり、パソコン教室でインターネットを使って調べ学習をしたりする等「情報手段に慣れ親しみ、適切に活用する学習活動を充実する」とされている。プログラミング教育やGIGAスクール構想が令和3年度から始まる。この様な背景から小学校教員の養成を行っている教育学部においては、数理・データサイエンス・AI教育が重要である。教育界だけでなく、流通、製造、金融、サービス業などの多くの産業で、データが活用されている。数理・データサイエンス・AI教育が現在の情報社会や生活と密接に結びついていることを学ぶ。</t>
    <rPh sb="9" eb="10">
      <t>シメ</t>
    </rPh>
    <rPh sb="17" eb="20">
      <t>カクガッコウ</t>
    </rPh>
    <rPh sb="117" eb="120">
      <t>ショウガッコウ</t>
    </rPh>
    <rPh sb="225" eb="227">
      <t>キョウイク</t>
    </rPh>
    <rPh sb="236" eb="238">
      <t>コウソウ</t>
    </rPh>
    <rPh sb="239" eb="241">
      <t>レイワ</t>
    </rPh>
    <rPh sb="242" eb="244">
      <t>ネンド</t>
    </rPh>
    <rPh sb="246" eb="247">
      <t>ハジ</t>
    </rPh>
    <rPh sb="252" eb="253">
      <t>ヨウ</t>
    </rPh>
    <rPh sb="254" eb="256">
      <t>ハイケイ</t>
    </rPh>
    <rPh sb="258" eb="261">
      <t>ショウガッコウ</t>
    </rPh>
    <rPh sb="261" eb="263">
      <t>キョウイン</t>
    </rPh>
    <rPh sb="264" eb="266">
      <t>ヨウセイ</t>
    </rPh>
    <rPh sb="267" eb="268">
      <t>オコナ</t>
    </rPh>
    <rPh sb="272" eb="275">
      <t>キョウイクガク</t>
    </rPh>
    <rPh sb="275" eb="276">
      <t>ブ</t>
    </rPh>
    <rPh sb="299" eb="301">
      <t>ジュウヨウ</t>
    </rPh>
    <rPh sb="305" eb="307">
      <t>キョウイク</t>
    </rPh>
    <rPh sb="307" eb="308">
      <t>カイ</t>
    </rPh>
    <rPh sb="327" eb="328">
      <t>ギョウ</t>
    </rPh>
    <rPh sb="331" eb="332">
      <t>オオ</t>
    </rPh>
    <rPh sb="334" eb="336">
      <t>サンギョウ</t>
    </rPh>
    <rPh sb="342" eb="344">
      <t>カツヨウ</t>
    </rPh>
    <rPh sb="367" eb="369">
      <t>ゲンザイ</t>
    </rPh>
    <phoneticPr fontId="1"/>
  </si>
  <si>
    <t>　データ利活用事例について、地域企業（流通、製造、金融、サービス等）から提供された実データおよび宮崎県の統計データ（人口の推移など）、宮崎地方気象台の年間気温データなどを用いて、データ活用方法について学ぶ。令和2年度には、地域金融機関から提供された地域企業への貸付金残高の年次推移のデータを用いて、業種別融資先の分析等を行ってレポートにまとめるデータサイエンス教育を実施した。</t>
    <rPh sb="14" eb="16">
      <t>チイキ</t>
    </rPh>
    <rPh sb="16" eb="18">
      <t>キギョウ</t>
    </rPh>
    <rPh sb="36" eb="38">
      <t>テイキョウ</t>
    </rPh>
    <rPh sb="41" eb="42">
      <t>ジツ</t>
    </rPh>
    <rPh sb="48" eb="50">
      <t>ミヤザキ</t>
    </rPh>
    <rPh sb="50" eb="51">
      <t>ケン</t>
    </rPh>
    <rPh sb="52" eb="54">
      <t>トウケイ</t>
    </rPh>
    <rPh sb="58" eb="60">
      <t>ジンコウ</t>
    </rPh>
    <rPh sb="61" eb="63">
      <t>スイイ</t>
    </rPh>
    <rPh sb="67" eb="69">
      <t>ミヤザキ</t>
    </rPh>
    <rPh sb="69" eb="71">
      <t>チホウ</t>
    </rPh>
    <rPh sb="71" eb="74">
      <t>キショウダイ</t>
    </rPh>
    <rPh sb="75" eb="77">
      <t>ネンカン</t>
    </rPh>
    <rPh sb="77" eb="79">
      <t>キオン</t>
    </rPh>
    <rPh sb="85" eb="86">
      <t>モチ</t>
    </rPh>
    <rPh sb="92" eb="94">
      <t>カツヨウ</t>
    </rPh>
    <rPh sb="94" eb="96">
      <t>ホウホウ</t>
    </rPh>
    <rPh sb="100" eb="101">
      <t>マナ</t>
    </rPh>
    <rPh sb="103" eb="105">
      <t>レイワ</t>
    </rPh>
    <rPh sb="106" eb="108">
      <t>ネンド</t>
    </rPh>
    <rPh sb="158" eb="159">
      <t>トウ</t>
    </rPh>
    <phoneticPr fontId="1"/>
  </si>
  <si>
    <t>　データ分析の演習として、ソウトウエア（Excelなど）を使った数値計算（平均値、最大値、最小値、合計、分散、標準偏差など）、および度数分布（ヒストグラム）の作成について学習する。IF関数、Count関数、Rank関数などの使い方を学び、表やグラフを作成する。小学校の成績管理を念頭にして、児童の成績解析結果を分かりやすく表示する方法をソフトウエア（Word, Power pointなど）を使って学ぶ。また、二つの変数（複数の教科の成績）間の相関について、相関係数および回帰直線の意味について学ぶ。さらに、インターネットを活用した調査方法およびデータ集計方法（Google formsなど）についても学ぶ。これらの学修によって「データを読む、説明する、扱う」の数理・データサイエンス・ＡＩの基本的な活用法を習得する。</t>
    <rPh sb="7" eb="9">
      <t>エンシュウ</t>
    </rPh>
    <rPh sb="29" eb="30">
      <t>ツカ</t>
    </rPh>
    <rPh sb="32" eb="34">
      <t>スウチ</t>
    </rPh>
    <rPh sb="34" eb="36">
      <t>ケイサン</t>
    </rPh>
    <rPh sb="37" eb="40">
      <t>ヘイキンチ</t>
    </rPh>
    <rPh sb="41" eb="43">
      <t>サイダイ</t>
    </rPh>
    <rPh sb="43" eb="44">
      <t>アタイ</t>
    </rPh>
    <rPh sb="45" eb="48">
      <t>サイショウチ</t>
    </rPh>
    <rPh sb="49" eb="51">
      <t>ゴウケイ</t>
    </rPh>
    <rPh sb="52" eb="54">
      <t>ブンサン</t>
    </rPh>
    <rPh sb="79" eb="81">
      <t>サクセイ</t>
    </rPh>
    <rPh sb="85" eb="87">
      <t>ガクシュウ</t>
    </rPh>
    <rPh sb="92" eb="94">
      <t>カンスウ</t>
    </rPh>
    <rPh sb="100" eb="102">
      <t>カンスウ</t>
    </rPh>
    <rPh sb="107" eb="109">
      <t>カンスウ</t>
    </rPh>
    <rPh sb="112" eb="113">
      <t>ツカ</t>
    </rPh>
    <rPh sb="114" eb="115">
      <t>カタ</t>
    </rPh>
    <rPh sb="116" eb="117">
      <t>マナ</t>
    </rPh>
    <rPh sb="119" eb="120">
      <t>ヒョウ</t>
    </rPh>
    <rPh sb="125" eb="127">
      <t>サクセイ</t>
    </rPh>
    <rPh sb="130" eb="133">
      <t>ショウガッコウ</t>
    </rPh>
    <rPh sb="134" eb="136">
      <t>セイセキ</t>
    </rPh>
    <rPh sb="136" eb="138">
      <t>カンリ</t>
    </rPh>
    <rPh sb="139" eb="141">
      <t>ネントウ</t>
    </rPh>
    <rPh sb="145" eb="147">
      <t>ジドウ</t>
    </rPh>
    <rPh sb="148" eb="150">
      <t>セイセキ</t>
    </rPh>
    <rPh sb="150" eb="152">
      <t>カイセキ</t>
    </rPh>
    <rPh sb="152" eb="154">
      <t>ケッカ</t>
    </rPh>
    <rPh sb="155" eb="156">
      <t>ワ</t>
    </rPh>
    <rPh sb="161" eb="163">
      <t>ヒョウジ</t>
    </rPh>
    <rPh sb="165" eb="167">
      <t>ホウホウ</t>
    </rPh>
    <rPh sb="196" eb="197">
      <t>ツカ</t>
    </rPh>
    <rPh sb="199" eb="200">
      <t>マナ</t>
    </rPh>
    <rPh sb="211" eb="213">
      <t>フクスウ</t>
    </rPh>
    <rPh sb="214" eb="216">
      <t>キョウカ</t>
    </rPh>
    <rPh sb="217" eb="219">
      <t>セイセキ</t>
    </rPh>
    <rPh sb="262" eb="264">
      <t>カツヨウ</t>
    </rPh>
    <rPh sb="266" eb="268">
      <t>チョウサ</t>
    </rPh>
    <rPh sb="268" eb="270">
      <t>ホウホウ</t>
    </rPh>
    <rPh sb="276" eb="278">
      <t>シュウケイ</t>
    </rPh>
    <rPh sb="278" eb="280">
      <t>ホウホウ</t>
    </rPh>
    <rPh sb="301" eb="302">
      <t>マナ</t>
    </rPh>
    <rPh sb="308" eb="310">
      <t>ガクシュウ</t>
    </rPh>
    <rPh sb="354" eb="356">
      <t>シュウトク</t>
    </rPh>
    <phoneticPr fontId="1"/>
  </si>
  <si>
    <t>　社会におけるデータ・ＡＩ利活用に関する知識やデータを適切に読み解く能力を身につけ、教育学部のディプロマ・ポリシーである「社会・教育等に関連する国内外の様々な問題について、現状・課題を認識し、その解決策を考察できる能力を身につけている」を達成する。</t>
    <rPh sb="37" eb="38">
      <t>ミ</t>
    </rPh>
    <rPh sb="42" eb="44">
      <t>キョウイク</t>
    </rPh>
    <rPh sb="44" eb="46">
      <t>ガクブ</t>
    </rPh>
    <rPh sb="61" eb="63">
      <t>シャカイ</t>
    </rPh>
    <rPh sb="64" eb="66">
      <t>キョウイク</t>
    </rPh>
    <rPh sb="66" eb="67">
      <t>トウ</t>
    </rPh>
    <rPh sb="68" eb="70">
      <t>カンレン</t>
    </rPh>
    <rPh sb="72" eb="75">
      <t>コクナイガイ</t>
    </rPh>
    <rPh sb="76" eb="78">
      <t>サマザマ</t>
    </rPh>
    <rPh sb="79" eb="81">
      <t>モンダイ</t>
    </rPh>
    <rPh sb="86" eb="88">
      <t>ゲンジョウ</t>
    </rPh>
    <rPh sb="89" eb="91">
      <t>カダイ</t>
    </rPh>
    <rPh sb="92" eb="94">
      <t>ニンシキ</t>
    </rPh>
    <rPh sb="98" eb="101">
      <t>カイケツサク</t>
    </rPh>
    <rPh sb="102" eb="104">
      <t>コウサツ</t>
    </rPh>
    <rPh sb="107" eb="109">
      <t>ノウリョク</t>
    </rPh>
    <rPh sb="110" eb="111">
      <t>ミ</t>
    </rPh>
    <rPh sb="119" eb="121">
      <t>タッセイ</t>
    </rPh>
    <phoneticPr fontId="1"/>
  </si>
  <si>
    <t>自己点検評価委員会</t>
    <rPh sb="0" eb="2">
      <t>ジコ</t>
    </rPh>
    <rPh sb="2" eb="4">
      <t>テンケン</t>
    </rPh>
    <rPh sb="4" eb="6">
      <t>ヒョウカ</t>
    </rPh>
    <rPh sb="6" eb="9">
      <t>イインカイ</t>
    </rPh>
    <phoneticPr fontId="1"/>
  </si>
  <si>
    <t>学長補佐・教授</t>
    <rPh sb="0" eb="2">
      <t>ガクチョウ</t>
    </rPh>
    <rPh sb="2" eb="4">
      <t>ホサ</t>
    </rPh>
    <rPh sb="5" eb="7">
      <t>キョウジュ</t>
    </rPh>
    <phoneticPr fontId="1"/>
  </si>
  <si>
    <t>アンデルソン・パッソス</t>
    <phoneticPr fontId="1"/>
  </si>
  <si>
    <t>　スプレッド・シートを使ったオンラインでのデータ入力方法およびデータ活用方法として数学演算（平均値、パーセンテージの計算）およびフィルターリング、オーダーリングなどを使ったデータ集団の整理方法について学ぶ。さらに、数式、演算式を使ったデータ集団の計算およびデータからチャートを作図する方法について学ぶ。これらに関する課題の提出をムードル（Moodle）で行い、学修度の評価は、あらかじめ準備した5項目の評価基準（ルーブリック）によって行う。これらは、国際教養学部のディプロマ・ポリシー「DP5 情報技術活用能力を身につけている」に関連付けられ、データ解析が社会の課題を解決するツールになることを理解する。</t>
    <rPh sb="11" eb="12">
      <t>ツカ</t>
    </rPh>
    <rPh sb="24" eb="26">
      <t>ニュウリョク</t>
    </rPh>
    <rPh sb="26" eb="28">
      <t>ホウホウ</t>
    </rPh>
    <rPh sb="34" eb="36">
      <t>カツヨウ</t>
    </rPh>
    <rPh sb="36" eb="38">
      <t>ホウホウ</t>
    </rPh>
    <rPh sb="41" eb="43">
      <t>スウガク</t>
    </rPh>
    <rPh sb="43" eb="45">
      <t>エンザン</t>
    </rPh>
    <rPh sb="46" eb="49">
      <t>ヘイキンチ</t>
    </rPh>
    <rPh sb="58" eb="60">
      <t>ケイサン</t>
    </rPh>
    <rPh sb="83" eb="84">
      <t>ツカ</t>
    </rPh>
    <rPh sb="100" eb="101">
      <t>マナ</t>
    </rPh>
    <rPh sb="107" eb="109">
      <t>スウシキ</t>
    </rPh>
    <rPh sb="110" eb="113">
      <t>エンザンシキ</t>
    </rPh>
    <rPh sb="114" eb="115">
      <t>ツカ</t>
    </rPh>
    <rPh sb="120" eb="122">
      <t>シュウダン</t>
    </rPh>
    <rPh sb="123" eb="125">
      <t>ケイサン</t>
    </rPh>
    <rPh sb="138" eb="140">
      <t>サクズ</t>
    </rPh>
    <rPh sb="142" eb="144">
      <t>ホウホウ</t>
    </rPh>
    <rPh sb="148" eb="149">
      <t>マナ</t>
    </rPh>
    <rPh sb="155" eb="156">
      <t>カン</t>
    </rPh>
    <rPh sb="158" eb="160">
      <t>カダイ</t>
    </rPh>
    <rPh sb="161" eb="163">
      <t>テイシュツ</t>
    </rPh>
    <rPh sb="177" eb="178">
      <t>オコナ</t>
    </rPh>
    <rPh sb="193" eb="195">
      <t>ジュンビ</t>
    </rPh>
    <rPh sb="198" eb="200">
      <t>コウモク</t>
    </rPh>
    <rPh sb="201" eb="203">
      <t>ヒョウカ</t>
    </rPh>
    <rPh sb="203" eb="205">
      <t>キジュン</t>
    </rPh>
    <rPh sb="217" eb="218">
      <t>オコナ</t>
    </rPh>
    <rPh sb="225" eb="227">
      <t>コクサイ</t>
    </rPh>
    <rPh sb="227" eb="229">
      <t>キョウヨウ</t>
    </rPh>
    <rPh sb="229" eb="231">
      <t>ガクブ</t>
    </rPh>
    <rPh sb="265" eb="268">
      <t>カンレンヅ</t>
    </rPh>
    <rPh sb="275" eb="277">
      <t>カイセキ</t>
    </rPh>
    <rPh sb="297" eb="299">
      <t>リカイ</t>
    </rPh>
    <phoneticPr fontId="1"/>
  </si>
  <si>
    <t>：</t>
    <phoneticPr fontId="1"/>
  </si>
  <si>
    <t>①</t>
    <phoneticPr fontId="1"/>
  </si>
  <si>
    <t>プログラムを改善・進化させるための体制を定める規則名称</t>
    <phoneticPr fontId="1"/>
  </si>
  <si>
    <t>②</t>
    <phoneticPr fontId="1"/>
  </si>
  <si>
    <t>③</t>
    <phoneticPr fontId="1"/>
  </si>
  <si>
    <t>④</t>
    <phoneticPr fontId="1"/>
  </si>
  <si>
    <t>⑤</t>
    <phoneticPr fontId="1"/>
  </si>
  <si>
    <t>⑥</t>
    <phoneticPr fontId="1"/>
  </si>
  <si>
    <t>⑦</t>
    <phoneticPr fontId="1"/>
  </si>
  <si>
    <t>⑧</t>
    <phoneticPr fontId="1"/>
  </si>
  <si>
    <t>分野横断カリキュラム検討委員会規程</t>
    <phoneticPr fontId="1"/>
  </si>
  <si>
    <t>　本プログラムを構成する授業科目は、すべて必修科目であり。各年度の履修者数の目標は令和３年度～令和7年度150名（履修率100%）である。充実した内容の「数理・データサイエンス・AI教育」を実施するために、分野横断カリキュラム検討委員会が授業内容を点検し、授業時間内外での学習指導、質問を受け付ける仕組みや教育上の工夫、学生指導・学修サポートについて検討を行う。さらに、「学生による授業評価アンケート」の意見を集約して、担当教員にフィードバックし、教育内容の充実と教授法の改善を促す。さらに、「数理・データサイエンス・AI教育のためのFD研修会」を開催して、本認定制度の周知を図る。このように、令和3年度には、委員会による点検とFD研修会等によって、学生の数理・データサイエンス・AI教育（リテラシー・レベル）の学修を促進するシステムを構築する。令和3年度以降の関係する授業科目のシラバスに、SDGs目標を記載する。例えば「情報処理」では、「SDGs目標4．質の高い教育をみんなにすべての人々に包摂的かつ公平で質の高い教育を提供し、生涯学習の機会を促進する」を掲げ、学生の意識を向上させることとした。</t>
    <rPh sb="279" eb="280">
      <t>ホン</t>
    </rPh>
    <rPh sb="280" eb="282">
      <t>ニンテイ</t>
    </rPh>
    <rPh sb="282" eb="284">
      <t>セイド</t>
    </rPh>
    <rPh sb="373" eb="375">
      <t>レイワ</t>
    </rPh>
    <rPh sb="376" eb="378">
      <t>ネンド</t>
    </rPh>
    <rPh sb="378" eb="380">
      <t>イコウ</t>
    </rPh>
    <rPh sb="387" eb="389">
      <t>カモク</t>
    </rPh>
    <rPh sb="403" eb="405">
      <t>キサイ</t>
    </rPh>
    <rPh sb="408" eb="409">
      <t>タト</t>
    </rPh>
    <rPh sb="412" eb="414">
      <t>ジョウホウ</t>
    </rPh>
    <rPh sb="414" eb="416">
      <t>ショリ</t>
    </rPh>
    <rPh sb="480" eb="481">
      <t>カカ</t>
    </rPh>
    <rPh sb="483" eb="485">
      <t>ガクセイ</t>
    </rPh>
    <rPh sb="486" eb="488">
      <t>イシキ</t>
    </rPh>
    <rPh sb="489" eb="491">
      <t>コウジョウ</t>
    </rPh>
    <phoneticPr fontId="1"/>
  </si>
  <si>
    <t xml:space="preserve">　倫理的・法的・社会的課題（ELS: Ethical, Legal and Social Issues）、情報倫理、個人情報保護などについての教材を、全学部・全学年のすべての学生がオンデマンドで受講できるように、数理・データサイエンス教育強化拠点コンソーシアムが推奨するコンテントなどを参考にして、教材の整備を分野横断カリキュラム検討委員会において検討する。また、一般社団法人学修評価・教育開発協議会（加盟校8校： 関西国際大学、淑徳大学, 北陸学院大学, 北陸学院大学短期大学部、共愛学園前橋国際大学, 富山国際大学, 宮崎国際大学, 宮崎学園短期大学）が連携して、「数理・データサイエンス・AI教育」に関する研修会を開き、意見交換を行う。これらの取組が、日進月歩する「数理・データサイエンス・AI教育」に即したプログラムの提供につながると思われる。
</t>
    <phoneticPr fontId="1"/>
  </si>
  <si>
    <t>　 本プログラムを構成する授業科目はすべて必修科目であり、履修率１００％であるが、ホームページ（HP）に、「数理・データサイエンス・AI教育プログラム」のページを設け、プログラムの内容を学生に広く周知する。また、同プログラムに関連する授業科目のシラバスもHPで公開し、学修目標・授業内容・成績評価方法などの詳細についても示す。出欠情報および成績などの履修状況は、教育支援システムユニバーサル・パスポート上で、学生が各授業科目についてオンラインで確認することができる。</t>
    <phoneticPr fontId="1"/>
  </si>
  <si>
    <t>　オンデマンド授業や双方向オンライン授業などの多様な授業形態に対応できるように、新入生オリエンテーションにて、パソコン操作、教育支援システム“ユニバーサル・パスポート”へのアクセス方法、Ｗeb会議システム“Zoom”の設定、ラーニング・マネジメント・システム（LMS)“Mahara”による課題の提出およびポートフォリオの作成方法について、プログラム履修対象となる新入生に入念に説明を行う。また、さらに、今後の授業が遠隔授業になった場合に備えて、ネット環境の悪い学生に対しては教室を一部開放し、さらに、パソコンを所有してない学生には、大学が保有するタブレットPC（245台）を貸与して、遠隔授業でも「数理・データサイエンス・AI教育」を円滑に受講できるように学修環境を整える。</t>
    <phoneticPr fontId="1"/>
  </si>
  <si>
    <t>　各授業にはオフィス・アワーを設定してあり、各教員は授業時間外で授業に対する質問に対応している。従来のオフィス・アワーでの対面による質問対応に加えて、令和3年度よりメールやチャット、Web会議ツールZOOMで使って遠隔で回答するような体制も構築する。国際教養学部では、メールおよびLMS/Maharaによる講義資料の送付を行うことができる。教育学部では、メールによる講義資料の送付などを行い、学生の理解度の向上に努める。</t>
    <phoneticPr fontId="1"/>
  </si>
  <si>
    <t>分野横断カリキュラム検討委員会
委員長　 宮崎国際大学IRセンター長・教授　保田昌秀
委員　　　宮崎学園短期大学　IRセンター長・教授　御手洗正文
　　　　　　宮崎学園短期大学　准教授　井上浩義
　　　　　　宮崎学園短期大学　教務課　佐土原敦
　　　　　　宮崎国際大学国際教養学部　講師　ウイリアム・ホール
　　　　　　宮崎国際大学教育学部　　講師　田川一希
　　　　　　宮崎学園短期大学　教務課　係長　簑部初</t>
    <rPh sb="16" eb="19">
      <t>イインチョウ</t>
    </rPh>
    <rPh sb="21" eb="23">
      <t>ミヤザキ</t>
    </rPh>
    <rPh sb="23" eb="25">
      <t>コクサイ</t>
    </rPh>
    <rPh sb="25" eb="27">
      <t>ダイガク</t>
    </rPh>
    <rPh sb="33" eb="34">
      <t>チョウ</t>
    </rPh>
    <rPh sb="35" eb="37">
      <t>キョウジュ</t>
    </rPh>
    <rPh sb="38" eb="40">
      <t>ヤスダ</t>
    </rPh>
    <rPh sb="40" eb="42">
      <t>マサヒデ</t>
    </rPh>
    <rPh sb="43" eb="45">
      <t>イイン</t>
    </rPh>
    <rPh sb="48" eb="50">
      <t>ミヤザキ</t>
    </rPh>
    <rPh sb="50" eb="52">
      <t>ガクエン</t>
    </rPh>
    <rPh sb="52" eb="54">
      <t>タンキ</t>
    </rPh>
    <rPh sb="54" eb="56">
      <t>ダイガク</t>
    </rPh>
    <rPh sb="63" eb="64">
      <t>チョウ</t>
    </rPh>
    <rPh sb="65" eb="67">
      <t>キョウジュ</t>
    </rPh>
    <rPh sb="89" eb="92">
      <t>ジュンキョウジュ</t>
    </rPh>
    <rPh sb="113" eb="115">
      <t>キョウム</t>
    </rPh>
    <rPh sb="115" eb="116">
      <t>カ</t>
    </rPh>
    <rPh sb="128" eb="130">
      <t>ミヤザキ</t>
    </rPh>
    <rPh sb="130" eb="132">
      <t>コクサイ</t>
    </rPh>
    <rPh sb="132" eb="134">
      <t>ダイガク</t>
    </rPh>
    <rPh sb="134" eb="136">
      <t>コクサイ</t>
    </rPh>
    <rPh sb="136" eb="138">
      <t>キョウヨウ</t>
    </rPh>
    <rPh sb="138" eb="140">
      <t>ガクブ</t>
    </rPh>
    <rPh sb="141" eb="143">
      <t>コウシ</t>
    </rPh>
    <rPh sb="166" eb="168">
      <t>キョウイク</t>
    </rPh>
    <rPh sb="168" eb="170">
      <t>ガクブ</t>
    </rPh>
    <rPh sb="172" eb="174">
      <t>コウシ</t>
    </rPh>
    <rPh sb="186" eb="188">
      <t>ミヤザキ</t>
    </rPh>
    <rPh sb="188" eb="190">
      <t>ガクエン</t>
    </rPh>
    <rPh sb="190" eb="192">
      <t>タンキ</t>
    </rPh>
    <rPh sb="192" eb="194">
      <t>ダイガク</t>
    </rPh>
    <rPh sb="195" eb="198">
      <t>キョウムカ</t>
    </rPh>
    <rPh sb="199" eb="201">
      <t>カカリチョウ</t>
    </rPh>
    <phoneticPr fontId="1"/>
  </si>
  <si>
    <t xml:space="preserve">　国際教養学部卒業生の多くは航空業界やホテル業などの観光接客業に、教育学部卒業生の多くは小学校・幼稚園・保育園に就職している。「卒業生及び就職先へのアンケート調査」を卒後１年に実施し、本教育プログラムを修了した卒業生の進路先や活躍状況の把握が可能である。調査内容は、学部のディプロマ・ポリシーが見に付いているかを問う内容になっている。令和2年10月に実施した同アンケートでは、卒業生21名（アンケート対象者82名）から回答を得ている。また民間企業、公務員団体などの企業等71社にアンケートを実施し、34社から回答を得ている（回収率48%）。回答の平均値で、概ね身に付いているとの回答が得られている。
</t>
    <rPh sb="1" eb="3">
      <t>コクサイ</t>
    </rPh>
    <rPh sb="3" eb="5">
      <t>キョウヨウ</t>
    </rPh>
    <rPh sb="5" eb="7">
      <t>ガクブ</t>
    </rPh>
    <rPh sb="7" eb="10">
      <t>ソツギョウセイ</t>
    </rPh>
    <rPh sb="11" eb="12">
      <t>オオ</t>
    </rPh>
    <rPh sb="14" eb="16">
      <t>コウクウ</t>
    </rPh>
    <rPh sb="16" eb="18">
      <t>ギョウカイ</t>
    </rPh>
    <rPh sb="22" eb="23">
      <t>ギョウ</t>
    </rPh>
    <rPh sb="26" eb="28">
      <t>カンコウ</t>
    </rPh>
    <rPh sb="28" eb="30">
      <t>セッキャク</t>
    </rPh>
    <rPh sb="30" eb="31">
      <t>ギョウ</t>
    </rPh>
    <rPh sb="33" eb="35">
      <t>キョウイク</t>
    </rPh>
    <rPh sb="35" eb="37">
      <t>ガクブ</t>
    </rPh>
    <rPh sb="37" eb="40">
      <t>ソツギョウセイ</t>
    </rPh>
    <rPh sb="41" eb="42">
      <t>オオ</t>
    </rPh>
    <rPh sb="44" eb="47">
      <t>ショウガッコウ</t>
    </rPh>
    <rPh sb="48" eb="51">
      <t>ヨウチエン</t>
    </rPh>
    <rPh sb="52" eb="55">
      <t>ホイクエン</t>
    </rPh>
    <rPh sb="56" eb="58">
      <t>シュウショク</t>
    </rPh>
    <rPh sb="64" eb="67">
      <t>ソツギョウセイ</t>
    </rPh>
    <rPh sb="67" eb="68">
      <t>オヨ</t>
    </rPh>
    <rPh sb="69" eb="71">
      <t>シュウショク</t>
    </rPh>
    <rPh sb="71" eb="72">
      <t>サキ</t>
    </rPh>
    <rPh sb="79" eb="81">
      <t>チョウサ</t>
    </rPh>
    <rPh sb="83" eb="85">
      <t>ソツゴ</t>
    </rPh>
    <rPh sb="86" eb="87">
      <t>ネン</t>
    </rPh>
    <rPh sb="88" eb="90">
      <t>ジッシ</t>
    </rPh>
    <rPh sb="92" eb="95">
      <t>ホンキョウイク</t>
    </rPh>
    <rPh sb="101" eb="103">
      <t>シュウリョウ</t>
    </rPh>
    <rPh sb="105" eb="108">
      <t>ソツギョウセイ</t>
    </rPh>
    <rPh sb="109" eb="111">
      <t>シンロ</t>
    </rPh>
    <rPh sb="111" eb="112">
      <t>サキ</t>
    </rPh>
    <rPh sb="113" eb="115">
      <t>カツヤク</t>
    </rPh>
    <rPh sb="115" eb="117">
      <t>ジョウキョウ</t>
    </rPh>
    <rPh sb="118" eb="120">
      <t>ハアク</t>
    </rPh>
    <rPh sb="121" eb="123">
      <t>カノウ</t>
    </rPh>
    <rPh sb="127" eb="129">
      <t>チョウサ</t>
    </rPh>
    <rPh sb="129" eb="131">
      <t>ナイヨウ</t>
    </rPh>
    <rPh sb="133" eb="135">
      <t>ガクブ</t>
    </rPh>
    <rPh sb="147" eb="148">
      <t>ミ</t>
    </rPh>
    <rPh sb="149" eb="150">
      <t>ツ</t>
    </rPh>
    <rPh sb="156" eb="157">
      <t>ト</t>
    </rPh>
    <rPh sb="158" eb="160">
      <t>ナイヨウ</t>
    </rPh>
    <rPh sb="167" eb="169">
      <t>レイワ</t>
    </rPh>
    <rPh sb="170" eb="171">
      <t>ネン</t>
    </rPh>
    <rPh sb="173" eb="174">
      <t>ガツ</t>
    </rPh>
    <rPh sb="175" eb="177">
      <t>ジッシ</t>
    </rPh>
    <rPh sb="179" eb="180">
      <t>ドウ</t>
    </rPh>
    <rPh sb="188" eb="190">
      <t>ソツギョウ</t>
    </rPh>
    <rPh sb="190" eb="191">
      <t>セイ</t>
    </rPh>
    <rPh sb="193" eb="194">
      <t>メイ</t>
    </rPh>
    <rPh sb="200" eb="203">
      <t>タイショウシャ</t>
    </rPh>
    <rPh sb="205" eb="206">
      <t>メイ</t>
    </rPh>
    <rPh sb="209" eb="211">
      <t>カイトウ</t>
    </rPh>
    <rPh sb="212" eb="213">
      <t>エ</t>
    </rPh>
    <rPh sb="219" eb="221">
      <t>ミンカン</t>
    </rPh>
    <rPh sb="221" eb="223">
      <t>キギョウ</t>
    </rPh>
    <rPh sb="224" eb="227">
      <t>コウムイン</t>
    </rPh>
    <rPh sb="227" eb="229">
      <t>ダンタイ</t>
    </rPh>
    <rPh sb="232" eb="234">
      <t>キギョウ</t>
    </rPh>
    <rPh sb="234" eb="235">
      <t>トウ</t>
    </rPh>
    <rPh sb="237" eb="238">
      <t>シャ</t>
    </rPh>
    <rPh sb="245" eb="247">
      <t>ジッシ</t>
    </rPh>
    <rPh sb="251" eb="252">
      <t>シャ</t>
    </rPh>
    <rPh sb="254" eb="256">
      <t>カイトウ</t>
    </rPh>
    <rPh sb="257" eb="258">
      <t>エ</t>
    </rPh>
    <rPh sb="262" eb="264">
      <t>カイシュウ</t>
    </rPh>
    <rPh sb="264" eb="265">
      <t>リツ</t>
    </rPh>
    <rPh sb="270" eb="272">
      <t>カイトウ</t>
    </rPh>
    <rPh sb="273" eb="276">
      <t>ヘイキンチ</t>
    </rPh>
    <rPh sb="278" eb="279">
      <t>オオム</t>
    </rPh>
    <rPh sb="280" eb="281">
      <t>ミ</t>
    </rPh>
    <rPh sb="282" eb="283">
      <t>ツ</t>
    </rPh>
    <rPh sb="289" eb="291">
      <t>カイトウ</t>
    </rPh>
    <rPh sb="292" eb="293">
      <t>エ</t>
    </rPh>
    <phoneticPr fontId="1"/>
  </si>
  <si>
    <t>　分野横断カリキュラム検討委員会は、宮崎国際大学と宮崎学園短期大学が合同で、リベラルアーツ教育やSTEAM（Science, Technology, Engineering, Art, Mathematic）などの分野・学部等横断カリキュラムについて総合的に検討するために、両大学が合同で令和2年度に設置した委員会である。同委員会規程の第1条（趣旨）には、次の目標が掲げられている。
　「宮崎国際大学および宮崎学園短期大学は、分野・学部を超えた横断的な視点から、各分野の専任教員の参画により、リベラルアーツ教育やSTEAM、分野・学部等横断カリキュラムについて総合的に検討するために、分野横断カリキュラム検討委員会（以下「委員会」という。）を置く。」　この趣旨に基づき、委員会は、数理・データサイエンス・AI教育プログラムの改善・進化を担当する。</t>
    <rPh sb="362" eb="364">
      <t>カイゼン</t>
    </rPh>
    <rPh sb="365" eb="367">
      <t>シンカ</t>
    </rPh>
    <phoneticPr fontId="1"/>
  </si>
  <si>
    <t>　インターネットを活用した調査方法およびデータ集計方法（Google formsなど）について学ぶ。また、データ解析したグラフをプレゼンテーション・ソフトウエア（Power Pointsなど）を使ってプレゼンテーションを行う。これらの学修によって「データを読む、説明する、扱う」の数理・データサイエンス・ＡＩの基本的な活用法を習得する。プレゼンテーションの学修度の評価は、あらかじめ準備した9項目の評価基準（ルーブリック）よって行い、課題達成者には IT Skills（Main, Secondary）のバッジが与え、学生が意欲を出せる工夫がなされている。</t>
    <rPh sb="97" eb="98">
      <t>ツカ</t>
    </rPh>
    <rPh sb="110" eb="111">
      <t>オコナ</t>
    </rPh>
    <rPh sb="117" eb="119">
      <t>ガクシュウ</t>
    </rPh>
    <rPh sb="163" eb="165">
      <t>シュウトク</t>
    </rPh>
    <rPh sb="196" eb="198">
      <t>コウモク</t>
    </rPh>
    <phoneticPr fontId="1"/>
  </si>
  <si>
    <t>　データ活用方法として、代表値（平均値）、分散、散布図などを使ったデータ集団の客観的な整理方法について学ぶ。社会で活用されているデータは、一定の法則に従って分散していることを知り、代表的な分散である正規分布について学ぶ。また、データの集団から無作為抽出した少ないデータで、集団全体の解析を行う検定についても学ぶ。この様な客観的な手法は、日常生活や社会の課題を解決する有用なツールになることを理解する。また、小学校における属性（学年、クラス、科目）ごとの成績の解析、および科目間の成績などの二つの変量の関係（相関）についての解析などに活用することができる。</t>
    <rPh sb="4" eb="6">
      <t>カツヨウ</t>
    </rPh>
    <rPh sb="6" eb="8">
      <t>ホウホウ</t>
    </rPh>
    <rPh sb="12" eb="14">
      <t>ダイヒョウ</t>
    </rPh>
    <rPh sb="14" eb="15">
      <t>チ</t>
    </rPh>
    <rPh sb="16" eb="19">
      <t>ヘイキンチ</t>
    </rPh>
    <rPh sb="21" eb="23">
      <t>ブンサン</t>
    </rPh>
    <rPh sb="24" eb="26">
      <t>サンプ</t>
    </rPh>
    <rPh sb="30" eb="31">
      <t>ツカ</t>
    </rPh>
    <rPh sb="39" eb="42">
      <t>キャッカンテキ</t>
    </rPh>
    <rPh sb="51" eb="52">
      <t>マナ</t>
    </rPh>
    <rPh sb="69" eb="71">
      <t>イッテイ</t>
    </rPh>
    <rPh sb="72" eb="74">
      <t>ホウソク</t>
    </rPh>
    <rPh sb="75" eb="76">
      <t>シタガ</t>
    </rPh>
    <rPh sb="78" eb="80">
      <t>ブンサン</t>
    </rPh>
    <rPh sb="87" eb="88">
      <t>シ</t>
    </rPh>
    <rPh sb="90" eb="93">
      <t>ダイヒョウテキ</t>
    </rPh>
    <rPh sb="94" eb="96">
      <t>ブンサン</t>
    </rPh>
    <rPh sb="99" eb="101">
      <t>セイキ</t>
    </rPh>
    <rPh sb="101" eb="103">
      <t>ブンプ</t>
    </rPh>
    <rPh sb="107" eb="108">
      <t>マナ</t>
    </rPh>
    <rPh sb="117" eb="119">
      <t>シュウダン</t>
    </rPh>
    <rPh sb="121" eb="124">
      <t>ムサクイ</t>
    </rPh>
    <rPh sb="124" eb="126">
      <t>チュウシュツ</t>
    </rPh>
    <rPh sb="128" eb="129">
      <t>スク</t>
    </rPh>
    <rPh sb="136" eb="138">
      <t>シュウダン</t>
    </rPh>
    <rPh sb="138" eb="140">
      <t>ゼンタイ</t>
    </rPh>
    <rPh sb="141" eb="143">
      <t>カイセキ</t>
    </rPh>
    <rPh sb="144" eb="145">
      <t>オコナ</t>
    </rPh>
    <rPh sb="146" eb="148">
      <t>ケンテイ</t>
    </rPh>
    <rPh sb="153" eb="154">
      <t>マナ</t>
    </rPh>
    <rPh sb="158" eb="159">
      <t>ヨウ</t>
    </rPh>
    <rPh sb="203" eb="206">
      <t>ショウガッコウ</t>
    </rPh>
    <rPh sb="213" eb="215">
      <t>ガクネン</t>
    </rPh>
    <rPh sb="226" eb="228">
      <t>セイセキ</t>
    </rPh>
    <rPh sb="229" eb="231">
      <t>カイセキ</t>
    </rPh>
    <rPh sb="235" eb="237">
      <t>カモク</t>
    </rPh>
    <rPh sb="237" eb="238">
      <t>カン</t>
    </rPh>
    <rPh sb="239" eb="241">
      <t>セイセキ</t>
    </rPh>
    <rPh sb="244" eb="245">
      <t>フタ</t>
    </rPh>
    <rPh sb="247" eb="249">
      <t>ヘンリョウ</t>
    </rPh>
    <rPh sb="250" eb="252">
      <t>カンケイ</t>
    </rPh>
    <rPh sb="253" eb="255">
      <t>ソウカン</t>
    </rPh>
    <rPh sb="261" eb="263">
      <t>カイセキ</t>
    </rPh>
    <phoneticPr fontId="1"/>
  </si>
  <si>
    <t xml:space="preserve">　データ・サイエンスに必要な留意事項（個人情報、データ倫理、ＡＩ社会原則等）を考慮し、情報セキュリティや情報漏洩等、データを守るための留意点を理解をする。また、小学校における情報モラル教育として、子どものSNSやインターネット通じての「個人情報や顔写真の公開・送信」の危険性、「ネット内いじめ」「ネット・SNS依存」などの弊害について、オンデマンド教材等を使って学習をする。児童生徒がSNSやインターネット利用の中での間で起こりうることとして、SNSやインターネットを通じた著作物の違法アップロードやダウンロードである。著作権についての情報モラル教育も必要である。
</t>
    <rPh sb="14" eb="16">
      <t>リュウイ</t>
    </rPh>
    <rPh sb="16" eb="18">
      <t>ジコウ</t>
    </rPh>
    <rPh sb="80" eb="83">
      <t>ショウガッコウ</t>
    </rPh>
    <rPh sb="113" eb="114">
      <t>ツウ</t>
    </rPh>
    <rPh sb="134" eb="137">
      <t>キケンセイ</t>
    </rPh>
    <rPh sb="161" eb="163">
      <t>ヘイガイ</t>
    </rPh>
    <rPh sb="174" eb="176">
      <t>キョウザイ</t>
    </rPh>
    <rPh sb="176" eb="177">
      <t>トウ</t>
    </rPh>
    <rPh sb="178" eb="179">
      <t>ツカ</t>
    </rPh>
    <rPh sb="181" eb="183">
      <t>ガクシュウ</t>
    </rPh>
    <phoneticPr fontId="1"/>
  </si>
  <si>
    <t>データ集団の検定：データの抽出と検定について学び、社会で活用されるデータ活用について学習する（11）。</t>
    <rPh sb="3" eb="5">
      <t>シュウダン</t>
    </rPh>
    <rPh sb="6" eb="8">
      <t>ケンテイ</t>
    </rPh>
    <rPh sb="13" eb="15">
      <t>チュウシュツ</t>
    </rPh>
    <rPh sb="16" eb="18">
      <t>ケンテイ</t>
    </rPh>
    <rPh sb="22" eb="23">
      <t>マナ</t>
    </rPh>
    <rPh sb="25" eb="27">
      <t>シャカイ</t>
    </rPh>
    <rPh sb="28" eb="30">
      <t>カツヨウ</t>
    </rPh>
    <rPh sb="36" eb="38">
      <t>カツヨウ</t>
    </rPh>
    <rPh sb="42" eb="44">
      <t>ガクシュウ</t>
    </rPh>
    <phoneticPr fontId="1"/>
  </si>
  <si>
    <t>地域金融機関から提供された実データ（貸付金残高の年次推移など）を用いて、業種別融資先の分析を行い、データサイエンス教育を実施している（7，15）。</t>
    <rPh sb="0" eb="2">
      <t>チイキ</t>
    </rPh>
    <rPh sb="2" eb="4">
      <t>キンユウ</t>
    </rPh>
    <rPh sb="4" eb="6">
      <t>キカン</t>
    </rPh>
    <rPh sb="8" eb="10">
      <t>テイキョウ</t>
    </rPh>
    <rPh sb="13" eb="14">
      <t>ジツ</t>
    </rPh>
    <rPh sb="18" eb="20">
      <t>カシツケ</t>
    </rPh>
    <rPh sb="20" eb="21">
      <t>キン</t>
    </rPh>
    <rPh sb="21" eb="23">
      <t>ザンダカ</t>
    </rPh>
    <rPh sb="24" eb="26">
      <t>ネンジ</t>
    </rPh>
    <rPh sb="26" eb="28">
      <t>スイイ</t>
    </rPh>
    <rPh sb="32" eb="33">
      <t>モチ</t>
    </rPh>
    <rPh sb="36" eb="38">
      <t>ギョウシュ</t>
    </rPh>
    <rPh sb="38" eb="39">
      <t>ベツ</t>
    </rPh>
    <rPh sb="39" eb="41">
      <t>ユウシ</t>
    </rPh>
    <rPh sb="41" eb="42">
      <t>サキ</t>
    </rPh>
    <rPh sb="43" eb="45">
      <t>ブンセキ</t>
    </rPh>
    <rPh sb="46" eb="47">
      <t>オコナ</t>
    </rPh>
    <rPh sb="57" eb="59">
      <t>キョウイク</t>
    </rPh>
    <rPh sb="60" eb="62">
      <t>ジッシ</t>
    </rPh>
    <phoneticPr fontId="1"/>
  </si>
  <si>
    <t>https://www.mic.ac.jp/disclosure/datascience</t>
    <phoneticPr fontId="1"/>
  </si>
  <si>
    <t>https://www.mic.ac.jp/disclosure/datascience</t>
    <phoneticPr fontId="1"/>
  </si>
  <si>
    <t>平成28年度</t>
    <rPh sb="0" eb="2">
      <t>ヘイセイ</t>
    </rPh>
    <rPh sb="4" eb="6">
      <t>ネンド</t>
    </rPh>
    <phoneticPr fontId="1"/>
  </si>
  <si>
    <t>平成27年度</t>
    <rPh sb="0" eb="2">
      <t>ヘイセイ</t>
    </rPh>
    <rPh sb="4" eb="6">
      <t>ネンド</t>
    </rPh>
    <phoneticPr fontId="1"/>
  </si>
  <si>
    <t>宮崎県におけるGIGAスクール・ICT教育・プログラミング教育などのデータサイエンスを取り扱う授業（数理・データサイエンス・AI教育）について、必要な個人情報保護、情報倫理等に関するアンケートを実施し、情報モラルについて理解をする（11）</t>
    <rPh sb="88" eb="89">
      <t>カン</t>
    </rPh>
    <rPh sb="97" eb="99">
      <t>ジッシ</t>
    </rPh>
    <rPh sb="101" eb="103">
      <t>ジョウホウ</t>
    </rPh>
    <phoneticPr fontId="1"/>
  </si>
  <si>
    <t>　教育学部では、「教養教育分野　教養基礎科目」から忍ケ丘教養Ⅱ（必修、２単位）および「教養教育分野　教養発展科目」から情報処理（必修、2単位）、合計4単位を取得すること。</t>
    <rPh sb="1" eb="3">
      <t>キョウイク</t>
    </rPh>
    <rPh sb="3" eb="5">
      <t>ガクブ</t>
    </rPh>
    <rPh sb="9" eb="11">
      <t>キョウヨウ</t>
    </rPh>
    <rPh sb="11" eb="13">
      <t>キョウイク</t>
    </rPh>
    <rPh sb="13" eb="15">
      <t>ブンヤ</t>
    </rPh>
    <rPh sb="16" eb="18">
      <t>キョウヨウ</t>
    </rPh>
    <rPh sb="18" eb="20">
      <t>キソ</t>
    </rPh>
    <rPh sb="20" eb="22">
      <t>カモク</t>
    </rPh>
    <rPh sb="25" eb="28">
      <t>シノブガオカ</t>
    </rPh>
    <rPh sb="28" eb="30">
      <t>キョウヨウ</t>
    </rPh>
    <rPh sb="32" eb="34">
      <t>ヒッシュウ</t>
    </rPh>
    <rPh sb="36" eb="38">
      <t>タンイ</t>
    </rPh>
    <rPh sb="43" eb="45">
      <t>キョウヨウ</t>
    </rPh>
    <rPh sb="45" eb="47">
      <t>キョウイク</t>
    </rPh>
    <rPh sb="47" eb="49">
      <t>ブンヤ</t>
    </rPh>
    <rPh sb="50" eb="52">
      <t>キョウヨウ</t>
    </rPh>
    <rPh sb="52" eb="54">
      <t>ハッテン</t>
    </rPh>
    <rPh sb="54" eb="56">
      <t>カモク</t>
    </rPh>
    <rPh sb="59" eb="61">
      <t>ジョウホウ</t>
    </rPh>
    <rPh sb="61" eb="63">
      <t>ショリ</t>
    </rPh>
    <rPh sb="64" eb="66">
      <t>ヒッシュウ</t>
    </rPh>
    <rPh sb="68" eb="70">
      <t>タンイ</t>
    </rPh>
    <rPh sb="72" eb="74">
      <t>ゴウケイ</t>
    </rPh>
    <rPh sb="75" eb="77">
      <t>タンイ</t>
    </rPh>
    <rPh sb="78" eb="80">
      <t>シュトク</t>
    </rPh>
    <phoneticPr fontId="1"/>
  </si>
  <si>
    <t>　本教育プログラムを構成する科目は、令和３年度も必修することが決定されている。そのために、履修率は100%を達成できる。履修者数および履修率は、教育支援システム”ユニバーサル・パスポート”を使って、リアルタイムで把握することができる。さらに、国際教養学部では学部長が、「情報通信技術概論」を含めた各授業についての「コース・エバリュエーション」を作成している。教育学部では、授業点検シートを使って担当教員が「忍ケ丘教養Ⅱ」、「情報処理」の点検を実施している。</t>
    <rPh sb="31" eb="33">
      <t>ケッテイ</t>
    </rPh>
    <rPh sb="54" eb="56">
      <t>タッセイ</t>
    </rPh>
    <rPh sb="60" eb="62">
      <t>リシュウ</t>
    </rPh>
    <rPh sb="62" eb="63">
      <t>シャ</t>
    </rPh>
    <rPh sb="63" eb="64">
      <t>スウ</t>
    </rPh>
    <rPh sb="67" eb="69">
      <t>リシュウ</t>
    </rPh>
    <rPh sb="69" eb="70">
      <t>リツ</t>
    </rPh>
    <rPh sb="95" eb="96">
      <t>ツカ</t>
    </rPh>
    <rPh sb="106" eb="108">
      <t>ハアク</t>
    </rPh>
    <rPh sb="121" eb="123">
      <t>コクサイ</t>
    </rPh>
    <rPh sb="123" eb="125">
      <t>キョウヨウ</t>
    </rPh>
    <rPh sb="125" eb="127">
      <t>ガクブ</t>
    </rPh>
    <rPh sb="129" eb="132">
      <t>ガクブチョウ</t>
    </rPh>
    <rPh sb="135" eb="137">
      <t>ジョウホウ</t>
    </rPh>
    <rPh sb="137" eb="139">
      <t>ツウシン</t>
    </rPh>
    <rPh sb="139" eb="141">
      <t>ギジュツ</t>
    </rPh>
    <rPh sb="141" eb="143">
      <t>ガイロン</t>
    </rPh>
    <rPh sb="145" eb="146">
      <t>フク</t>
    </rPh>
    <rPh sb="148" eb="151">
      <t>カクジュギョウ</t>
    </rPh>
    <rPh sb="172" eb="174">
      <t>サクセイ</t>
    </rPh>
    <rPh sb="179" eb="181">
      <t>キョウイク</t>
    </rPh>
    <rPh sb="181" eb="183">
      <t>ガクブ</t>
    </rPh>
    <rPh sb="194" eb="195">
      <t>ツカ</t>
    </rPh>
    <rPh sb="197" eb="199">
      <t>タントウ</t>
    </rPh>
    <rPh sb="199" eb="201">
      <t>キョウイン</t>
    </rPh>
    <rPh sb="203" eb="206">
      <t>シノブガオカ</t>
    </rPh>
    <rPh sb="206" eb="208">
      <t>キョウヨウ</t>
    </rPh>
    <rPh sb="212" eb="214">
      <t>ジョウホウ</t>
    </rPh>
    <rPh sb="214" eb="216">
      <t>ショリ</t>
    </rPh>
    <rPh sb="218" eb="220">
      <t>テンケン</t>
    </rPh>
    <rPh sb="221" eb="223">
      <t>ジッシ</t>
    </rPh>
    <phoneticPr fontId="1"/>
  </si>
  <si>
    <t>　数理・データサイエンス・AI教育を、①現代社会との関係、②情報機器・インターネットの仕組み、③データ分析、④情報倫理、⑤情報活用法の観点から学ぶ。国際教養学部では「情報通信技術概論（4単位）」で、教育学部では「忍ケ丘教養Ⅱ（2単位）」および「情報処理（2単位）」において、これらの5つの内容の授業を実施する。特筆すべきこととしては、これからのグローバル化に対応して、国際教養学部の「情報通信技術概論」は、すべて英語で実施している。また、教育学部「情報処理」では、地元金融機関から提供された実データを用いたデータ解析を授業に取り入れている。数理・データサイエンス・AI教育のモデルカリキュラムの内容についての分かりやすい授業に努める。</t>
    <rPh sb="1" eb="3">
      <t>スウリ</t>
    </rPh>
    <rPh sb="15" eb="17">
      <t>キョウイク</t>
    </rPh>
    <rPh sb="22" eb="24">
      <t>シャカイ</t>
    </rPh>
    <rPh sb="26" eb="28">
      <t>カンケイ</t>
    </rPh>
    <rPh sb="30" eb="32">
      <t>ジョウホウ</t>
    </rPh>
    <rPh sb="32" eb="34">
      <t>キキ</t>
    </rPh>
    <rPh sb="43" eb="45">
      <t>シク</t>
    </rPh>
    <rPh sb="51" eb="53">
      <t>ブンセキ</t>
    </rPh>
    <rPh sb="55" eb="57">
      <t>ジョウホウ</t>
    </rPh>
    <rPh sb="57" eb="59">
      <t>リンリ</t>
    </rPh>
    <rPh sb="61" eb="63">
      <t>ジョウホウ</t>
    </rPh>
    <rPh sb="63" eb="65">
      <t>カツヨウ</t>
    </rPh>
    <rPh sb="65" eb="66">
      <t>ホウ</t>
    </rPh>
    <rPh sb="67" eb="69">
      <t>カンテン</t>
    </rPh>
    <rPh sb="71" eb="72">
      <t>マナ</t>
    </rPh>
    <rPh sb="74" eb="76">
      <t>コクサイ</t>
    </rPh>
    <rPh sb="76" eb="78">
      <t>キョウヨウ</t>
    </rPh>
    <rPh sb="78" eb="80">
      <t>ガクブ</t>
    </rPh>
    <rPh sb="83" eb="85">
      <t>ジョウホウ</t>
    </rPh>
    <rPh sb="85" eb="87">
      <t>ツウシン</t>
    </rPh>
    <rPh sb="87" eb="89">
      <t>ギジュツ</t>
    </rPh>
    <rPh sb="89" eb="91">
      <t>ガイロン</t>
    </rPh>
    <rPh sb="93" eb="95">
      <t>タンイ</t>
    </rPh>
    <rPh sb="99" eb="101">
      <t>キョウイク</t>
    </rPh>
    <rPh sb="101" eb="103">
      <t>ガクブ</t>
    </rPh>
    <rPh sb="106" eb="109">
      <t>シノブガオカ</t>
    </rPh>
    <rPh sb="109" eb="111">
      <t>キョウヨウ</t>
    </rPh>
    <rPh sb="114" eb="116">
      <t>タンイ</t>
    </rPh>
    <rPh sb="122" eb="124">
      <t>ジョウホウ</t>
    </rPh>
    <rPh sb="124" eb="126">
      <t>ショリ</t>
    </rPh>
    <rPh sb="128" eb="130">
      <t>タンイ</t>
    </rPh>
    <rPh sb="144" eb="146">
      <t>ナイヨウ</t>
    </rPh>
    <rPh sb="147" eb="149">
      <t>ジュギョウ</t>
    </rPh>
    <rPh sb="150" eb="152">
      <t>ジッシ</t>
    </rPh>
    <rPh sb="155" eb="157">
      <t>トクヒツ</t>
    </rPh>
    <rPh sb="177" eb="178">
      <t>カ</t>
    </rPh>
    <rPh sb="179" eb="181">
      <t>タイオウ</t>
    </rPh>
    <rPh sb="206" eb="208">
      <t>エイゴ</t>
    </rPh>
    <rPh sb="209" eb="211">
      <t>ジッシ</t>
    </rPh>
    <rPh sb="219" eb="221">
      <t>キョウイク</t>
    </rPh>
    <rPh sb="221" eb="223">
      <t>ガクブ</t>
    </rPh>
    <rPh sb="232" eb="234">
      <t>ジモト</t>
    </rPh>
    <rPh sb="234" eb="236">
      <t>キンユウ</t>
    </rPh>
    <rPh sb="236" eb="238">
      <t>キカン</t>
    </rPh>
    <rPh sb="240" eb="242">
      <t>テイキョウ</t>
    </rPh>
    <rPh sb="245" eb="246">
      <t>ジツ</t>
    </rPh>
    <rPh sb="250" eb="251">
      <t>モチ</t>
    </rPh>
    <rPh sb="256" eb="258">
      <t>カイセキ</t>
    </rPh>
    <rPh sb="259" eb="261">
      <t>ジュギョウ</t>
    </rPh>
    <rPh sb="262" eb="263">
      <t>ト</t>
    </rPh>
    <rPh sb="264" eb="265">
      <t>イ</t>
    </rPh>
    <rPh sb="297" eb="299">
      <t>ナイヨウ</t>
    </rPh>
    <rPh sb="304" eb="305">
      <t>ワ</t>
    </rPh>
    <rPh sb="310" eb="312">
      <t>ジュギョウ</t>
    </rPh>
    <rPh sb="313" eb="314">
      <t>ツト</t>
    </rPh>
    <phoneticPr fontId="1"/>
  </si>
  <si>
    <t xml:space="preserve">　本プログラムの授業科目（情報通信技術概論、情報処理、忍ケ丘教養Ⅱ）に対する授業評価アンケートは、他の科目と同様に4段階（4＝最も肯定的回答 → 1＝最も否定的な回答）で評価する18問と4つの自由記述の合計22問で実施している。「この授業の学習内容の量はあなたにとって適切でしたか?」、「授業にメリハリがあり、重要なポイントがはっきりと示されていましたか」、「授業方法は、学生の理解度や到達度に留意し工夫されていましたか 」などの18問の学生評価の平均値は、令和2年度の国際教養学部で3.64、教育学部で3.76と、高い評価となっており、理解度は高いと判断できる。
</t>
    <rPh sb="1" eb="2">
      <t>ホン</t>
    </rPh>
    <rPh sb="8" eb="10">
      <t>ジュギョウ</t>
    </rPh>
    <rPh sb="10" eb="12">
      <t>カモク</t>
    </rPh>
    <rPh sb="13" eb="15">
      <t>ジョウホウ</t>
    </rPh>
    <rPh sb="15" eb="17">
      <t>ツウシン</t>
    </rPh>
    <rPh sb="17" eb="19">
      <t>ギジュツ</t>
    </rPh>
    <rPh sb="19" eb="21">
      <t>ガイロン</t>
    </rPh>
    <rPh sb="22" eb="24">
      <t>ジョウホウ</t>
    </rPh>
    <rPh sb="24" eb="26">
      <t>ショリ</t>
    </rPh>
    <rPh sb="27" eb="30">
      <t>シノブガオカ</t>
    </rPh>
    <rPh sb="30" eb="32">
      <t>キョウヨウ</t>
    </rPh>
    <rPh sb="35" eb="36">
      <t>タイ</t>
    </rPh>
    <rPh sb="49" eb="50">
      <t>タ</t>
    </rPh>
    <rPh sb="51" eb="53">
      <t>カモク</t>
    </rPh>
    <rPh sb="54" eb="56">
      <t>ドウヨウ</t>
    </rPh>
    <rPh sb="101" eb="103">
      <t>ゴウケイ</t>
    </rPh>
    <rPh sb="105" eb="106">
      <t>モン</t>
    </rPh>
    <rPh sb="107" eb="109">
      <t>ジッシ</t>
    </rPh>
    <rPh sb="217" eb="218">
      <t>モン</t>
    </rPh>
    <rPh sb="224" eb="227">
      <t>ヘイキンチ</t>
    </rPh>
    <rPh sb="229" eb="231">
      <t>レイワ</t>
    </rPh>
    <rPh sb="232" eb="233">
      <t>ネン</t>
    </rPh>
    <rPh sb="233" eb="234">
      <t>ド</t>
    </rPh>
    <rPh sb="235" eb="237">
      <t>コクサイ</t>
    </rPh>
    <rPh sb="237" eb="239">
      <t>キョウヨウ</t>
    </rPh>
    <rPh sb="239" eb="241">
      <t>ガクブ</t>
    </rPh>
    <rPh sb="247" eb="249">
      <t>キョウイク</t>
    </rPh>
    <rPh sb="249" eb="251">
      <t>ガクブ</t>
    </rPh>
    <rPh sb="258" eb="259">
      <t>タカ</t>
    </rPh>
    <rPh sb="260" eb="262">
      <t>ヒョウカ</t>
    </rPh>
    <rPh sb="269" eb="272">
      <t>リカイド</t>
    </rPh>
    <rPh sb="273" eb="274">
      <t>タカ</t>
    </rPh>
    <rPh sb="276" eb="278">
      <t>ハンダン</t>
    </rPh>
    <phoneticPr fontId="1"/>
  </si>
  <si>
    <t>令和２年度</t>
    <rPh sb="0" eb="2">
      <t>レイワ</t>
    </rPh>
    <rPh sb="3" eb="5">
      <t>ネンド</t>
    </rPh>
    <phoneticPr fontId="1"/>
  </si>
  <si>
    <t>令和元年度</t>
    <rPh sb="0" eb="2">
      <t>レイワ</t>
    </rPh>
    <rPh sb="2" eb="4">
      <t>ガンネン</t>
    </rPh>
    <rPh sb="3" eb="5">
      <t>ネンド</t>
    </rPh>
    <phoneticPr fontId="1"/>
  </si>
  <si>
    <t>平成30年度</t>
    <rPh sb="0" eb="2">
      <t>ヘイセイ</t>
    </rPh>
    <rPh sb="4" eb="6">
      <t>ネンド</t>
    </rPh>
    <phoneticPr fontId="1"/>
  </si>
  <si>
    <t>平成29年度</t>
    <rPh sb="0" eb="2">
      <t>ヘイセイ</t>
    </rPh>
    <rPh sb="4" eb="6">
      <t>ネンド</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</si>
</sst>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 "/>
  </numFmts>
  <fonts count="22">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u/>
      <sz val="11"/>
      <name val="ＭＳ Ｐゴシック"/>
      <family val="3"/>
      <charset val="128"/>
      <scheme val="minor"/>
    </font>
    <font>
      <sz val="10"/>
      <name val="ＭＳ Ｐゴシック"/>
      <family val="3"/>
      <charset val="128"/>
      <scheme val="minor"/>
    </font>
    <font>
      <sz val="7"/>
      <name val="ＭＳ Ｐゴシック"/>
      <family val="3"/>
      <charset val="128"/>
      <scheme val="minor"/>
    </font>
    <font>
      <sz val="9"/>
      <name val="ＭＳ Ｐゴシック"/>
      <family val="2"/>
      <charset val="128"/>
      <scheme val="minor"/>
    </font>
    <font>
      <sz val="9"/>
      <name val="ＭＳ Ｐゴシック"/>
      <family val="3"/>
      <charset val="128"/>
      <scheme val="minor"/>
    </font>
    <font>
      <sz val="11"/>
      <name val="ＭＳ Ｐゴシック"/>
      <family val="3"/>
      <charset val="128"/>
      <scheme val="minor"/>
    </font>
    <font>
      <sz val="10.5"/>
      <color rgb="FF000000"/>
      <name val="Arial"/>
      <family val="2"/>
    </font>
    <font>
      <sz val="10.5"/>
      <color rgb="FFFF0000"/>
      <name val="Arial"/>
      <family val="2"/>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80">
    <xf numFmtId="0" fontId="0" fillId="0" borderId="0" xfId="0">
      <alignment vertical="center"/>
    </xf>
    <xf numFmtId="0" fontId="2" fillId="0" borderId="0" xfId="0" applyFont="1">
      <alignment vertical="center"/>
    </xf>
    <xf numFmtId="0" fontId="2" fillId="0" borderId="0" xfId="0" applyFont="1" applyBorder="1">
      <alignment vertical="center"/>
    </xf>
    <xf numFmtId="0" fontId="3" fillId="0" borderId="0" xfId="0" applyFont="1" applyAlignment="1">
      <alignment vertical="center"/>
    </xf>
    <xf numFmtId="0" fontId="2" fillId="0" borderId="0" xfId="0" applyFont="1" applyAlignment="1">
      <alignment vertical="center"/>
    </xf>
    <xf numFmtId="0" fontId="2" fillId="0" borderId="0" xfId="0" applyFont="1" applyBorder="1" applyAlignment="1">
      <alignment vertical="top" wrapText="1"/>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2" fillId="0" borderId="0" xfId="0" applyFont="1" applyAlignment="1">
      <alignment horizontal="center" vertical="center"/>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1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0" xfId="0" applyFont="1" applyAlignment="1">
      <alignment horizontal="right" vertical="center"/>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2" fillId="0" borderId="0" xfId="0" applyFont="1" applyAlignment="1">
      <alignment horizontal="center" vertical="center"/>
    </xf>
    <xf numFmtId="0" fontId="2" fillId="0" borderId="0" xfId="0" applyFont="1" applyAlignment="1">
      <alignment vertical="center" shrinkToFit="1"/>
    </xf>
    <xf numFmtId="176" fontId="2" fillId="0" borderId="25" xfId="0" applyNumberFormat="1" applyFont="1" applyBorder="1" applyAlignment="1">
      <alignment vertical="center" shrinkToFit="1"/>
    </xf>
    <xf numFmtId="0" fontId="2" fillId="0" borderId="0" xfId="0" applyFont="1" applyBorder="1" applyAlignment="1">
      <alignment vertical="center" shrinkToFit="1"/>
    </xf>
    <xf numFmtId="176" fontId="4" fillId="0" borderId="0" xfId="0" applyNumberFormat="1" applyFont="1" applyBorder="1" applyAlignment="1">
      <alignment vertical="center" shrinkToFit="1"/>
    </xf>
    <xf numFmtId="0" fontId="2" fillId="0" borderId="5" xfId="0" applyFont="1" applyBorder="1" applyAlignment="1">
      <alignment vertical="center" shrinkToFit="1"/>
    </xf>
    <xf numFmtId="0" fontId="2" fillId="0" borderId="20" xfId="0" applyFont="1" applyBorder="1" applyAlignment="1">
      <alignment vertical="center" shrinkToFit="1"/>
    </xf>
    <xf numFmtId="9" fontId="2" fillId="0" borderId="10" xfId="0" applyNumberFormat="1" applyFont="1" applyBorder="1" applyAlignment="1">
      <alignment vertical="center" shrinkToFit="1"/>
    </xf>
    <xf numFmtId="176" fontId="2" fillId="0" borderId="5" xfId="0" applyNumberFormat="1" applyFont="1" applyBorder="1" applyAlignment="1">
      <alignment vertical="center" shrinkToFit="1"/>
    </xf>
    <xf numFmtId="176" fontId="2" fillId="0" borderId="20" xfId="0" applyNumberFormat="1" applyFont="1" applyBorder="1" applyAlignment="1">
      <alignment vertical="center" shrinkToFit="1"/>
    </xf>
    <xf numFmtId="176" fontId="2" fillId="0" borderId="10" xfId="0" applyNumberFormat="1" applyFont="1" applyBorder="1" applyAlignment="1">
      <alignment vertical="center" shrinkToFit="1"/>
    </xf>
    <xf numFmtId="176" fontId="2" fillId="0" borderId="19" xfId="0" applyNumberFormat="1" applyFont="1" applyBorder="1" applyAlignment="1">
      <alignment vertical="center" shrinkToFit="1"/>
    </xf>
    <xf numFmtId="176" fontId="2" fillId="0" borderId="33" xfId="0" applyNumberFormat="1" applyFont="1" applyBorder="1" applyAlignment="1">
      <alignment vertical="center" shrinkToFit="1"/>
    </xf>
    <xf numFmtId="176" fontId="2" fillId="0" borderId="34" xfId="0" applyNumberFormat="1" applyFont="1" applyBorder="1" applyAlignment="1">
      <alignment vertical="center" shrinkToFit="1"/>
    </xf>
    <xf numFmtId="176" fontId="2" fillId="0" borderId="35" xfId="0" applyNumberFormat="1" applyFont="1" applyBorder="1" applyAlignment="1">
      <alignment vertical="center" shrinkToFit="1"/>
    </xf>
    <xf numFmtId="176" fontId="2" fillId="0" borderId="36" xfId="0" applyNumberFormat="1" applyFont="1" applyBorder="1" applyAlignment="1">
      <alignment vertical="center" shrinkToFit="1"/>
    </xf>
    <xf numFmtId="176" fontId="2" fillId="0" borderId="26" xfId="0" applyNumberFormat="1" applyFont="1" applyBorder="1" applyAlignment="1">
      <alignment vertical="center" shrinkToFit="1"/>
    </xf>
    <xf numFmtId="0" fontId="2" fillId="0" borderId="0" xfId="0" applyFont="1" applyAlignment="1">
      <alignment horizontal="right" vertical="center"/>
    </xf>
    <xf numFmtId="0" fontId="4" fillId="0" borderId="0" xfId="0" applyFont="1" applyAlignment="1">
      <alignment vertical="top" wrapText="1"/>
    </xf>
    <xf numFmtId="0" fontId="5" fillId="0" borderId="0" xfId="0" applyFont="1" applyAlignment="1">
      <alignment vertical="top" wrapText="1"/>
    </xf>
    <xf numFmtId="0" fontId="2" fillId="0" borderId="20" xfId="0" applyFont="1" applyBorder="1" applyAlignment="1">
      <alignment vertical="center" shrinkToFit="1"/>
    </xf>
    <xf numFmtId="0" fontId="5" fillId="0" borderId="0" xfId="0" applyFont="1" applyAlignment="1">
      <alignment vertical="top" wrapText="1"/>
    </xf>
    <xf numFmtId="0" fontId="5" fillId="0" borderId="0" xfId="0" applyFont="1" applyAlignment="1">
      <alignment vertical="top" wrapText="1"/>
    </xf>
    <xf numFmtId="0" fontId="3" fillId="0" borderId="0" xfId="0" applyFont="1" applyAlignment="1">
      <alignment vertical="center" wrapText="1"/>
    </xf>
    <xf numFmtId="0" fontId="8" fillId="0" borderId="1" xfId="0" applyFont="1" applyBorder="1" applyAlignment="1">
      <alignment vertical="center" shrinkToFit="1"/>
    </xf>
    <xf numFmtId="9" fontId="11" fillId="0" borderId="10" xfId="0" applyNumberFormat="1" applyFont="1" applyBorder="1" applyAlignment="1">
      <alignment vertical="center" shrinkToFit="1"/>
    </xf>
    <xf numFmtId="0" fontId="11" fillId="0" borderId="20" xfId="0" applyFont="1" applyBorder="1" applyAlignment="1">
      <alignment vertical="center" shrinkToFit="1"/>
    </xf>
    <xf numFmtId="176" fontId="11" fillId="0" borderId="20" xfId="0" applyNumberFormat="1" applyFont="1" applyBorder="1" applyAlignment="1">
      <alignment vertical="center" shrinkToFit="1"/>
    </xf>
    <xf numFmtId="176" fontId="11" fillId="0" borderId="35" xfId="0" applyNumberFormat="1" applyFont="1" applyBorder="1" applyAlignment="1">
      <alignment vertical="center" shrinkToFit="1"/>
    </xf>
    <xf numFmtId="176" fontId="11" fillId="0" borderId="36" xfId="0" applyNumberFormat="1" applyFont="1" applyBorder="1" applyAlignment="1">
      <alignment vertical="center" shrinkToFit="1"/>
    </xf>
    <xf numFmtId="176" fontId="11" fillId="0" borderId="19" xfId="0" applyNumberFormat="1" applyFont="1" applyBorder="1" applyAlignment="1">
      <alignment vertical="center" shrinkToFit="1"/>
    </xf>
    <xf numFmtId="176" fontId="11" fillId="0" borderId="25" xfId="0" applyNumberFormat="1" applyFont="1" applyBorder="1" applyAlignment="1">
      <alignment vertical="center" shrinkToFit="1"/>
    </xf>
    <xf numFmtId="0" fontId="4" fillId="0" borderId="0" xfId="0" applyFont="1" applyAlignment="1">
      <alignment vertical="top" wrapText="1"/>
    </xf>
    <xf numFmtId="0" fontId="5" fillId="0" borderId="0" xfId="0" applyFont="1" applyAlignment="1">
      <alignment vertical="top" wrapText="1"/>
    </xf>
    <xf numFmtId="0" fontId="10" fillId="0" borderId="1" xfId="0" applyFont="1" applyBorder="1" applyAlignment="1">
      <alignment vertical="center" wrapText="1"/>
    </xf>
    <xf numFmtId="0" fontId="12" fillId="0" borderId="0" xfId="0" applyFont="1" applyBorder="1" applyAlignment="1">
      <alignment vertical="center" shrinkToFit="1"/>
    </xf>
    <xf numFmtId="0" fontId="12"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3" fillId="0" borderId="0" xfId="2" applyNumberFormat="1" applyFont="1" applyBorder="1" applyAlignment="1">
      <alignment vertical="center" shrinkToFit="1"/>
    </xf>
    <xf numFmtId="0" fontId="2" fillId="0" borderId="0" xfId="0" applyFont="1" applyAlignment="1">
      <alignment horizontal="center" vertical="center"/>
    </xf>
    <xf numFmtId="0" fontId="8" fillId="0" borderId="0" xfId="0" applyFont="1" applyBorder="1" applyAlignment="1">
      <alignment horizontal="center" vertical="center"/>
    </xf>
    <xf numFmtId="0" fontId="9" fillId="0" borderId="0" xfId="0" applyFont="1" applyAlignment="1">
      <alignment horizontal="right" vertical="center"/>
    </xf>
    <xf numFmtId="0" fontId="8" fillId="0" borderId="0" xfId="0" applyFont="1" applyBorder="1" applyAlignment="1">
      <alignment horizontal="center" vertical="center" shrinkToFit="1"/>
    </xf>
    <xf numFmtId="0" fontId="8" fillId="0" borderId="0" xfId="0" applyFont="1" applyAlignment="1">
      <alignment horizontal="center" vertical="center"/>
    </xf>
    <xf numFmtId="0" fontId="8" fillId="0" borderId="0" xfId="0" applyFont="1" applyBorder="1" applyAlignment="1">
      <alignment vertical="center" shrinkToFit="1"/>
    </xf>
    <xf numFmtId="0" fontId="8" fillId="0" borderId="2"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0" fontId="16" fillId="0" borderId="11" xfId="0" applyFont="1" applyFill="1" applyBorder="1" applyAlignment="1">
      <alignment horizontal="center" vertical="center"/>
    </xf>
    <xf numFmtId="0" fontId="16" fillId="0" borderId="31" xfId="0" applyFont="1" applyFill="1" applyBorder="1" applyAlignment="1">
      <alignment horizontal="center" vertical="center" wrapText="1"/>
    </xf>
    <xf numFmtId="0" fontId="16" fillId="0" borderId="32" xfId="0" applyFont="1" applyFill="1" applyBorder="1" applyAlignment="1">
      <alignment horizontal="center" vertical="center"/>
    </xf>
    <xf numFmtId="0" fontId="16" fillId="0" borderId="12" xfId="0" applyFont="1" applyFill="1" applyBorder="1" applyAlignment="1">
      <alignment horizontal="center" vertical="center" wrapText="1"/>
    </xf>
    <xf numFmtId="0" fontId="8" fillId="0" borderId="5" xfId="0" applyFont="1" applyFill="1" applyBorder="1" applyAlignment="1">
      <alignment vertical="center" shrinkToFit="1"/>
    </xf>
    <xf numFmtId="176" fontId="8" fillId="0" borderId="5" xfId="0" applyNumberFormat="1" applyFont="1" applyFill="1" applyBorder="1" applyAlignment="1">
      <alignment vertical="center" shrinkToFit="1"/>
    </xf>
    <xf numFmtId="176" fontId="8" fillId="0" borderId="33" xfId="0" applyNumberFormat="1" applyFont="1" applyFill="1" applyBorder="1" applyAlignment="1">
      <alignment vertical="center" shrinkToFit="1"/>
    </xf>
    <xf numFmtId="176" fontId="8" fillId="0" borderId="34" xfId="0" applyNumberFormat="1" applyFont="1" applyFill="1" applyBorder="1" applyAlignment="1">
      <alignment vertical="center" shrinkToFit="1"/>
    </xf>
    <xf numFmtId="176" fontId="8" fillId="0" borderId="10" xfId="0" applyNumberFormat="1" applyFont="1" applyFill="1" applyBorder="1" applyAlignment="1">
      <alignment vertical="center" shrinkToFit="1"/>
    </xf>
    <xf numFmtId="176" fontId="8" fillId="0" borderId="14" xfId="0" applyNumberFormat="1" applyFont="1" applyFill="1" applyBorder="1" applyAlignment="1">
      <alignment vertical="center" shrinkToFit="1"/>
    </xf>
    <xf numFmtId="9" fontId="8" fillId="0" borderId="10" xfId="0" applyNumberFormat="1" applyFont="1" applyFill="1" applyBorder="1" applyAlignment="1">
      <alignment vertical="center" shrinkToFit="1"/>
    </xf>
    <xf numFmtId="0" fontId="8" fillId="0" borderId="20" xfId="0" applyFont="1" applyFill="1" applyBorder="1" applyAlignment="1">
      <alignment vertical="center" shrinkToFit="1"/>
    </xf>
    <xf numFmtId="176" fontId="8" fillId="0" borderId="20" xfId="0" applyNumberFormat="1" applyFont="1" applyFill="1" applyBorder="1" applyAlignment="1">
      <alignment vertical="center" shrinkToFit="1"/>
    </xf>
    <xf numFmtId="176" fontId="8" fillId="0" borderId="35" xfId="0" applyNumberFormat="1" applyFont="1" applyFill="1" applyBorder="1" applyAlignment="1">
      <alignment vertical="center" shrinkToFit="1"/>
    </xf>
    <xf numFmtId="176" fontId="8" fillId="0" borderId="36" xfId="0" applyNumberFormat="1" applyFont="1" applyFill="1" applyBorder="1" applyAlignment="1">
      <alignment vertical="center" shrinkToFit="1"/>
    </xf>
    <xf numFmtId="176" fontId="8" fillId="0" borderId="19" xfId="0" applyNumberFormat="1" applyFont="1" applyFill="1" applyBorder="1" applyAlignment="1">
      <alignment vertical="center" shrinkToFit="1"/>
    </xf>
    <xf numFmtId="176" fontId="8" fillId="0" borderId="25" xfId="0" applyNumberFormat="1" applyFont="1" applyFill="1" applyBorder="1" applyAlignment="1">
      <alignment vertical="center" shrinkToFit="1"/>
    </xf>
    <xf numFmtId="0" fontId="8" fillId="0" borderId="11" xfId="0" applyFont="1" applyBorder="1" applyAlignment="1">
      <alignment horizontal="center" vertical="center"/>
    </xf>
    <xf numFmtId="0" fontId="8" fillId="0" borderId="2" xfId="0" applyFont="1" applyBorder="1" applyAlignment="1">
      <alignment horizontal="center" vertical="center" shrinkToFit="1"/>
    </xf>
    <xf numFmtId="0" fontId="8" fillId="0" borderId="1" xfId="0" applyFont="1" applyBorder="1" applyAlignment="1">
      <alignment vertical="center" wrapText="1"/>
    </xf>
    <xf numFmtId="0" fontId="17" fillId="0" borderId="0" xfId="0" applyFont="1">
      <alignment vertical="center"/>
    </xf>
    <xf numFmtId="0" fontId="8" fillId="0" borderId="0" xfId="0" applyFont="1" applyBorder="1" applyAlignment="1">
      <alignment vertical="center" wrapText="1"/>
    </xf>
    <xf numFmtId="0" fontId="18" fillId="0" borderId="0" xfId="0" applyFont="1" applyBorder="1" applyAlignment="1">
      <alignment vertical="top" wrapText="1"/>
    </xf>
    <xf numFmtId="0" fontId="18" fillId="0" borderId="0" xfId="0" applyFont="1" applyBorder="1" applyAlignment="1">
      <alignment vertical="top" shrinkToFit="1"/>
    </xf>
    <xf numFmtId="0" fontId="18" fillId="0" borderId="0" xfId="0" applyFont="1" applyBorder="1" applyAlignment="1">
      <alignment vertical="center" wrapText="1"/>
    </xf>
    <xf numFmtId="0" fontId="18" fillId="0" borderId="0" xfId="0" applyFont="1" applyAlignment="1">
      <alignment vertical="top" wrapText="1"/>
    </xf>
    <xf numFmtId="0" fontId="18" fillId="0" borderId="10" xfId="0" applyFont="1" applyBorder="1" applyAlignment="1">
      <alignment vertical="top" wrapText="1"/>
    </xf>
    <xf numFmtId="0" fontId="18" fillId="0" borderId="5" xfId="0" applyFont="1" applyBorder="1" applyAlignment="1">
      <alignment vertical="top" wrapText="1"/>
    </xf>
    <xf numFmtId="0" fontId="8" fillId="0" borderId="17" xfId="0" applyFont="1" applyBorder="1">
      <alignment vertical="center"/>
    </xf>
    <xf numFmtId="0" fontId="18" fillId="0" borderId="21" xfId="0" applyFont="1" applyBorder="1" applyAlignment="1">
      <alignment vertical="top" wrapText="1"/>
    </xf>
    <xf numFmtId="0" fontId="18" fillId="0" borderId="19" xfId="0" applyFont="1" applyBorder="1" applyAlignment="1">
      <alignment vertical="top" wrapText="1"/>
    </xf>
    <xf numFmtId="0" fontId="18" fillId="0" borderId="21" xfId="0" applyFont="1" applyBorder="1" applyAlignment="1">
      <alignment vertical="top" shrinkToFit="1"/>
    </xf>
    <xf numFmtId="0" fontId="18" fillId="0" borderId="19" xfId="0" applyFont="1" applyBorder="1" applyAlignment="1">
      <alignment vertical="top" shrinkToFit="1"/>
    </xf>
    <xf numFmtId="0" fontId="8" fillId="0" borderId="2" xfId="0" applyFont="1" applyBorder="1" applyAlignment="1">
      <alignment horizontal="center" vertical="center"/>
    </xf>
    <xf numFmtId="0" fontId="20" fillId="0" borderId="0" xfId="0" applyFont="1" applyBorder="1" applyAlignment="1">
      <alignment horizontal="center" vertical="center"/>
    </xf>
    <xf numFmtId="0" fontId="21" fillId="0" borderId="0" xfId="0" applyFont="1" applyBorder="1" applyAlignment="1">
      <alignment horizontal="center" vertical="center"/>
    </xf>
    <xf numFmtId="0" fontId="9" fillId="0" borderId="0" xfId="0" applyFont="1" applyBorder="1">
      <alignment vertical="center"/>
    </xf>
    <xf numFmtId="0" fontId="2" fillId="0" borderId="27" xfId="0" applyFont="1" applyBorder="1" applyAlignment="1">
      <alignment vertical="center" shrinkToFit="1"/>
    </xf>
    <xf numFmtId="176" fontId="2" fillId="0" borderId="27" xfId="0" applyNumberFormat="1" applyFont="1" applyBorder="1" applyAlignment="1">
      <alignment vertical="center" shrinkToFit="1"/>
    </xf>
    <xf numFmtId="176" fontId="2" fillId="0" borderId="37" xfId="0" applyNumberFormat="1" applyFont="1" applyBorder="1" applyAlignment="1">
      <alignment vertical="center" shrinkToFit="1"/>
    </xf>
    <xf numFmtId="176" fontId="2" fillId="0" borderId="38" xfId="0" applyNumberFormat="1" applyFont="1" applyBorder="1" applyAlignment="1">
      <alignment vertical="center" shrinkToFit="1"/>
    </xf>
    <xf numFmtId="176" fontId="2" fillId="0" borderId="29" xfId="0" applyNumberFormat="1" applyFont="1" applyBorder="1" applyAlignment="1">
      <alignment vertical="center" shrinkToFit="1"/>
    </xf>
    <xf numFmtId="176" fontId="2" fillId="0" borderId="30" xfId="0" applyNumberFormat="1" applyFont="1" applyBorder="1" applyAlignment="1">
      <alignment vertical="center" shrinkToFit="1"/>
    </xf>
    <xf numFmtId="9" fontId="2" fillId="0" borderId="29" xfId="0" applyNumberFormat="1" applyFont="1" applyBorder="1" applyAlignment="1">
      <alignment vertical="center" shrinkToFit="1"/>
    </xf>
    <xf numFmtId="0" fontId="9" fillId="0" borderId="0" xfId="0" applyFont="1" applyAlignment="1">
      <alignment horizontal="right" vertical="center"/>
    </xf>
    <xf numFmtId="0" fontId="8" fillId="0" borderId="0" xfId="0" applyFont="1" applyAlignment="1">
      <alignment horizontal="center" vertical="center"/>
    </xf>
    <xf numFmtId="0" fontId="8" fillId="0" borderId="0" xfId="0" applyFont="1" applyBorder="1" applyAlignment="1">
      <alignment vertical="top" wrapText="1"/>
    </xf>
    <xf numFmtId="49" fontId="14"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9"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8" fillId="0" borderId="0" xfId="0" applyFont="1" applyBorder="1" applyAlignment="1">
      <alignment horizontal="center" vertical="center" shrinkToFit="1"/>
    </xf>
    <xf numFmtId="0" fontId="8" fillId="0" borderId="0" xfId="0" applyFont="1" applyAlignment="1">
      <alignment horizontal="center" vertical="center"/>
    </xf>
    <xf numFmtId="0" fontId="8" fillId="0" borderId="0" xfId="0" applyFont="1" applyBorder="1" applyAlignment="1">
      <alignment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4" xfId="0" applyFont="1" applyBorder="1" applyAlignment="1">
      <alignment vertical="center" shrinkToFit="1"/>
    </xf>
    <xf numFmtId="0" fontId="8" fillId="0" borderId="0" xfId="0" applyFont="1" applyAlignment="1">
      <alignment vertical="center" shrinkToFit="1"/>
    </xf>
    <xf numFmtId="0" fontId="8" fillId="0" borderId="1" xfId="0" applyFont="1" applyBorder="1" applyAlignment="1">
      <alignment horizontal="center" vertical="center"/>
    </xf>
    <xf numFmtId="0" fontId="8" fillId="0" borderId="1" xfId="0" applyFont="1" applyBorder="1" applyAlignment="1">
      <alignment horizontal="center" vertical="center" shrinkToFit="1"/>
    </xf>
    <xf numFmtId="0" fontId="8" fillId="0" borderId="7" xfId="0" applyFont="1" applyBorder="1" applyAlignment="1">
      <alignment vertical="top" wrapText="1"/>
    </xf>
    <xf numFmtId="0" fontId="8" fillId="0" borderId="8" xfId="0" applyFont="1" applyBorder="1" applyAlignment="1">
      <alignment vertical="top" wrapText="1"/>
    </xf>
    <xf numFmtId="0" fontId="8" fillId="0" borderId="9" xfId="0" applyFont="1" applyBorder="1" applyAlignment="1">
      <alignment vertical="top" wrapText="1"/>
    </xf>
    <xf numFmtId="0" fontId="8" fillId="0" borderId="5" xfId="0" applyFont="1" applyBorder="1" applyAlignment="1">
      <alignment vertical="top" wrapText="1"/>
    </xf>
    <xf numFmtId="0" fontId="8" fillId="0" borderId="0" xfId="0" applyFont="1" applyBorder="1" applyAlignment="1">
      <alignment vertical="top" wrapText="1"/>
    </xf>
    <xf numFmtId="0" fontId="8" fillId="0" borderId="10" xfId="0" applyFont="1" applyBorder="1" applyAlignment="1">
      <alignment vertical="top" wrapText="1"/>
    </xf>
    <xf numFmtId="0" fontId="8" fillId="0" borderId="11" xfId="0" applyFont="1" applyBorder="1" applyAlignment="1">
      <alignment vertical="top" wrapText="1"/>
    </xf>
    <xf numFmtId="0" fontId="8" fillId="0" borderId="6" xfId="0" applyFont="1" applyBorder="1" applyAlignment="1">
      <alignment vertical="top" wrapText="1"/>
    </xf>
    <xf numFmtId="0" fontId="8" fillId="0" borderId="12" xfId="0" applyFont="1" applyBorder="1" applyAlignment="1">
      <alignment vertical="top" wrapText="1"/>
    </xf>
    <xf numFmtId="0" fontId="2" fillId="0" borderId="0" xfId="0" applyFont="1" applyAlignment="1">
      <alignment horizontal="right" vertical="center"/>
    </xf>
    <xf numFmtId="0" fontId="15" fillId="0" borderId="7" xfId="0" applyFont="1" applyFill="1" applyBorder="1" applyAlignment="1">
      <alignment horizontal="center" vertical="center" wrapText="1"/>
    </xf>
    <xf numFmtId="0" fontId="15" fillId="0" borderId="11" xfId="0" applyFont="1" applyFill="1" applyBorder="1" applyAlignment="1">
      <alignment horizontal="center" vertical="center"/>
    </xf>
    <xf numFmtId="0" fontId="8" fillId="0" borderId="1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39" xfId="0" applyFont="1" applyFill="1" applyBorder="1" applyAlignment="1">
      <alignment horizontal="center" vertical="center"/>
    </xf>
    <xf numFmtId="0" fontId="16" fillId="0" borderId="16" xfId="0" applyFont="1" applyFill="1" applyBorder="1" applyAlignment="1">
      <alignment horizontal="center" vertical="center" wrapText="1"/>
    </xf>
    <xf numFmtId="0" fontId="16" fillId="0" borderId="13" xfId="0" applyFont="1" applyFill="1" applyBorder="1" applyAlignment="1">
      <alignment horizontal="center" vertical="center"/>
    </xf>
    <xf numFmtId="0" fontId="15" fillId="0" borderId="9" xfId="0" applyFont="1" applyFill="1" applyBorder="1" applyAlignment="1">
      <alignment horizontal="center" vertical="center"/>
    </xf>
    <xf numFmtId="0" fontId="15" fillId="0" borderId="12" xfId="0" applyFont="1" applyFill="1" applyBorder="1" applyAlignment="1">
      <alignment horizontal="center" vertical="center"/>
    </xf>
    <xf numFmtId="0" fontId="2" fillId="0" borderId="0" xfId="0" applyFont="1" applyAlignment="1">
      <alignment horizontal="center" vertical="center"/>
    </xf>
    <xf numFmtId="0" fontId="2" fillId="0" borderId="27" xfId="0" applyFont="1" applyBorder="1" applyAlignment="1">
      <alignment horizontal="center" vertical="center" shrinkToFit="1"/>
    </xf>
    <xf numFmtId="0" fontId="2" fillId="0" borderId="28" xfId="0" applyFont="1" applyBorder="1" applyAlignment="1">
      <alignment horizontal="center" vertical="center" shrinkToFit="1"/>
    </xf>
    <xf numFmtId="0" fontId="9" fillId="0" borderId="7" xfId="0" applyFont="1" applyFill="1" applyBorder="1" applyAlignment="1">
      <alignment horizontal="center" vertical="center"/>
    </xf>
    <xf numFmtId="0" fontId="8" fillId="0" borderId="8" xfId="0" applyFont="1" applyFill="1" applyBorder="1" applyAlignment="1">
      <alignment horizontal="center" vertical="center"/>
    </xf>
    <xf numFmtId="0" fontId="8" fillId="0" borderId="11" xfId="0" applyFont="1" applyFill="1" applyBorder="1" applyAlignment="1">
      <alignment horizontal="center" vertical="center"/>
    </xf>
    <xf numFmtId="0" fontId="8" fillId="0" borderId="6" xfId="0" applyFont="1" applyFill="1" applyBorder="1" applyAlignment="1">
      <alignment horizontal="center" vertical="center"/>
    </xf>
    <xf numFmtId="0" fontId="2" fillId="0" borderId="20" xfId="0" applyFont="1" applyBorder="1" applyAlignment="1">
      <alignment vertical="center" shrinkToFit="1"/>
    </xf>
    <xf numFmtId="0" fontId="2" fillId="0" borderId="19" xfId="0" applyFont="1" applyBorder="1" applyAlignment="1">
      <alignment vertical="center" shrinkToFit="1"/>
    </xf>
    <xf numFmtId="0" fontId="2" fillId="0" borderId="40" xfId="0" applyFont="1" applyBorder="1" applyAlignment="1">
      <alignment vertical="center" shrinkToFit="1"/>
    </xf>
    <xf numFmtId="0" fontId="2" fillId="0" borderId="41" xfId="0" applyFont="1" applyBorder="1" applyAlignment="1">
      <alignment vertical="center" shrinkToFit="1"/>
    </xf>
    <xf numFmtId="0" fontId="11" fillId="0" borderId="20" xfId="0" applyFont="1" applyBorder="1" applyAlignment="1">
      <alignment vertical="center" shrinkToFit="1"/>
    </xf>
    <xf numFmtId="0" fontId="11" fillId="0" borderId="19" xfId="0" applyFont="1" applyBorder="1" applyAlignment="1">
      <alignment vertical="center" shrinkToFit="1"/>
    </xf>
    <xf numFmtId="0" fontId="8" fillId="0" borderId="15" xfId="0" applyFont="1" applyFill="1" applyBorder="1" applyAlignment="1">
      <alignment vertical="center" shrinkToFit="1"/>
    </xf>
    <xf numFmtId="0" fontId="8" fillId="0" borderId="39" xfId="0" applyFont="1" applyFill="1" applyBorder="1" applyAlignment="1">
      <alignment vertical="center" shrinkToFit="1"/>
    </xf>
    <xf numFmtId="0" fontId="8" fillId="0" borderId="20" xfId="0" applyFont="1" applyFill="1" applyBorder="1" applyAlignment="1">
      <alignment vertical="center" shrinkToFit="1"/>
    </xf>
    <xf numFmtId="0" fontId="8" fillId="0" borderId="19" xfId="0" applyFont="1" applyFill="1" applyBorder="1" applyAlignment="1">
      <alignment vertical="center" shrinkToFit="1"/>
    </xf>
    <xf numFmtId="0" fontId="7" fillId="0" borderId="2" xfId="2" applyBorder="1" applyAlignment="1">
      <alignment vertical="center"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2"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Border="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8" fillId="0" borderId="16" xfId="0" applyFont="1" applyBorder="1" applyAlignment="1">
      <alignment vertical="center" wrapText="1"/>
    </xf>
    <xf numFmtId="0" fontId="8" fillId="0" borderId="42" xfId="0" applyFont="1" applyBorder="1" applyAlignment="1">
      <alignment vertical="center" wrapText="1"/>
    </xf>
    <xf numFmtId="0" fontId="8" fillId="0" borderId="7" xfId="0" applyFont="1" applyBorder="1" applyAlignment="1">
      <alignment horizontal="left" vertical="top" wrapText="1" shrinkToFit="1"/>
    </xf>
    <xf numFmtId="0" fontId="8" fillId="0" borderId="8" xfId="0" applyFont="1" applyBorder="1" applyAlignment="1">
      <alignment horizontal="left" vertical="top" wrapText="1" shrinkToFit="1"/>
    </xf>
    <xf numFmtId="0" fontId="8" fillId="0" borderId="9" xfId="0" applyFont="1" applyBorder="1" applyAlignment="1">
      <alignment horizontal="left" vertical="top" wrapText="1" shrinkToFit="1"/>
    </xf>
    <xf numFmtId="0" fontId="8" fillId="0" borderId="5" xfId="0" applyFont="1" applyBorder="1" applyAlignment="1">
      <alignment horizontal="left" vertical="top" wrapText="1" shrinkToFit="1"/>
    </xf>
    <xf numFmtId="0" fontId="8" fillId="0" borderId="0" xfId="0" applyFont="1" applyBorder="1" applyAlignment="1">
      <alignment horizontal="left" vertical="top" wrapText="1" shrinkToFit="1"/>
    </xf>
    <xf numFmtId="0" fontId="8" fillId="0" borderId="10" xfId="0" applyFont="1" applyBorder="1" applyAlignment="1">
      <alignment horizontal="left" vertical="top" wrapText="1" shrinkToFit="1"/>
    </xf>
    <xf numFmtId="0" fontId="8" fillId="0" borderId="11" xfId="0" applyFont="1" applyBorder="1" applyAlignment="1">
      <alignment horizontal="left" vertical="top" wrapText="1" shrinkToFit="1"/>
    </xf>
    <xf numFmtId="0" fontId="8" fillId="0" borderId="6" xfId="0" applyFont="1" applyBorder="1" applyAlignment="1">
      <alignment horizontal="left" vertical="top" wrapText="1" shrinkToFit="1"/>
    </xf>
    <xf numFmtId="0" fontId="8" fillId="0" borderId="12" xfId="0" applyFont="1" applyBorder="1" applyAlignment="1">
      <alignment horizontal="left" vertical="top" wrapText="1" shrinkToFit="1"/>
    </xf>
    <xf numFmtId="0" fontId="8" fillId="0" borderId="2" xfId="0" applyFont="1" applyBorder="1" applyAlignment="1">
      <alignment horizontal="left" vertical="center" wrapText="1" shrinkToFit="1"/>
    </xf>
    <xf numFmtId="0" fontId="8" fillId="0" borderId="3" xfId="0" applyFont="1" applyBorder="1" applyAlignment="1">
      <alignment horizontal="left" vertical="center" shrinkToFit="1"/>
    </xf>
    <xf numFmtId="0" fontId="8" fillId="0" borderId="4" xfId="0" applyFont="1" applyBorder="1" applyAlignment="1">
      <alignment horizontal="left" vertical="center" shrinkToFi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Border="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6" xfId="0" applyFont="1" applyBorder="1" applyAlignment="1">
      <alignment horizontal="left" vertical="top" wrapText="1"/>
    </xf>
    <xf numFmtId="0" fontId="8" fillId="0" borderId="12" xfId="0" applyFont="1" applyBorder="1" applyAlignment="1">
      <alignment horizontal="left" vertical="top" wrapText="1"/>
    </xf>
    <xf numFmtId="0" fontId="8" fillId="0" borderId="2" xfId="0" applyFont="1" applyBorder="1" applyAlignment="1">
      <alignment vertical="center" wrapText="1"/>
    </xf>
    <xf numFmtId="0" fontId="8" fillId="0" borderId="3" xfId="0" applyFont="1" applyBorder="1" applyAlignment="1">
      <alignment vertical="center" wrapText="1"/>
    </xf>
    <xf numFmtId="0" fontId="8" fillId="0" borderId="4" xfId="0" applyFont="1" applyBorder="1" applyAlignment="1">
      <alignment vertical="center" wrapText="1"/>
    </xf>
    <xf numFmtId="0" fontId="8" fillId="0" borderId="3" xfId="0" applyFont="1" applyBorder="1" applyAlignment="1">
      <alignment horizontal="left" vertical="center" wrapText="1" shrinkToFit="1"/>
    </xf>
    <xf numFmtId="0" fontId="8" fillId="0" borderId="4" xfId="0" applyFont="1" applyBorder="1" applyAlignment="1">
      <alignment horizontal="left" vertical="center" wrapText="1" shrinkToFit="1"/>
    </xf>
    <xf numFmtId="0" fontId="8" fillId="0" borderId="13" xfId="0" applyFont="1" applyBorder="1" applyAlignment="1">
      <alignment vertical="center"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2" xfId="0" applyFont="1" applyFill="1" applyBorder="1" applyAlignment="1">
      <alignment horizontal="center" vertical="center" shrinkToFit="1"/>
    </xf>
    <xf numFmtId="0" fontId="8" fillId="0" borderId="3" xfId="0" applyFont="1" applyFill="1" applyBorder="1" applyAlignment="1">
      <alignment horizontal="center" vertical="center" shrinkToFit="1"/>
    </xf>
    <xf numFmtId="0" fontId="8" fillId="0" borderId="4" xfId="0" applyFont="1" applyFill="1" applyBorder="1" applyAlignment="1">
      <alignment horizontal="center" vertical="center" shrinkToFit="1"/>
    </xf>
    <xf numFmtId="0" fontId="8" fillId="0" borderId="2" xfId="0" applyFont="1" applyBorder="1" applyAlignment="1">
      <alignment horizontal="left" vertical="center" shrinkToFit="1"/>
    </xf>
    <xf numFmtId="0" fontId="7" fillId="0" borderId="2" xfId="2" applyBorder="1" applyAlignment="1">
      <alignment vertical="center" wrapText="1" shrinkToFit="1"/>
    </xf>
    <xf numFmtId="0" fontId="8" fillId="0" borderId="7"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Border="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Border="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6" xfId="0" applyFont="1" applyBorder="1" applyAlignment="1">
      <alignment vertical="center"/>
    </xf>
    <xf numFmtId="0" fontId="7" fillId="0" borderId="2" xfId="2" applyBorder="1" applyAlignment="1">
      <alignment horizontal="left" vertical="center" shrinkToFit="1"/>
    </xf>
    <xf numFmtId="0" fontId="12" fillId="0" borderId="3" xfId="0" applyFont="1" applyBorder="1" applyAlignment="1">
      <alignment horizontal="left" vertical="center" shrinkToFit="1"/>
    </xf>
    <xf numFmtId="0" fontId="12" fillId="0" borderId="4" xfId="0" applyFont="1" applyBorder="1" applyAlignment="1">
      <alignment horizontal="left" vertical="center" shrinkToFit="1"/>
    </xf>
    <xf numFmtId="0" fontId="8" fillId="0" borderId="18" xfId="0" applyFont="1" applyBorder="1" applyAlignment="1">
      <alignment vertical="center" wrapText="1"/>
    </xf>
    <xf numFmtId="0" fontId="8" fillId="0" borderId="19" xfId="0" applyFont="1" applyBorder="1" applyAlignment="1">
      <alignment vertical="center" wrapText="1"/>
    </xf>
    <xf numFmtId="0" fontId="8" fillId="0" borderId="20" xfId="0" applyFont="1" applyBorder="1" applyAlignment="1">
      <alignment vertical="top" wrapText="1" shrinkToFit="1"/>
    </xf>
    <xf numFmtId="0" fontId="8" fillId="0" borderId="21" xfId="0" applyFont="1" applyBorder="1" applyAlignment="1">
      <alignment vertical="top" wrapText="1" shrinkToFit="1"/>
    </xf>
    <xf numFmtId="0" fontId="8" fillId="0" borderId="19" xfId="0" applyFont="1" applyBorder="1" applyAlignment="1">
      <alignment vertical="top" wrapText="1" shrinkToFit="1"/>
    </xf>
    <xf numFmtId="0" fontId="2"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8" fillId="0" borderId="11"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8" fillId="0" borderId="18" xfId="0" applyFont="1" applyBorder="1" applyAlignment="1">
      <alignment vertical="center"/>
    </xf>
    <xf numFmtId="0" fontId="19" fillId="0" borderId="19" xfId="0" applyFont="1" applyBorder="1" applyAlignment="1">
      <alignment vertical="center"/>
    </xf>
    <xf numFmtId="0" fontId="8" fillId="0" borderId="22" xfId="0" applyFont="1" applyBorder="1" applyAlignment="1">
      <alignment vertical="center" wrapText="1"/>
    </xf>
    <xf numFmtId="0" fontId="8" fillId="0" borderId="23" xfId="0" applyFont="1" applyBorder="1" applyAlignment="1">
      <alignment vertical="center" wrapText="1"/>
    </xf>
    <xf numFmtId="0" fontId="8" fillId="0" borderId="24" xfId="0" applyFont="1" applyBorder="1" applyAlignment="1">
      <alignment vertical="top" wrapText="1" shrinkToFit="1"/>
    </xf>
    <xf numFmtId="0" fontId="8" fillId="0" borderId="23" xfId="0" applyFont="1" applyBorder="1" applyAlignment="1">
      <alignment vertical="top" wrapText="1" shrinkToFit="1"/>
    </xf>
    <xf numFmtId="0" fontId="8" fillId="0" borderId="20" xfId="0" applyFont="1" applyBorder="1" applyAlignment="1">
      <alignment vertical="center" wrapText="1"/>
    </xf>
    <xf numFmtId="0" fontId="8" fillId="0" borderId="21"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yasuda@sky.miyazaki-mic.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mic.ac.jp/disclosure/datascience"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mic.ac.jp/disclosure/datascience"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mic.ac.jp/disclosu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7"/>
  <sheetViews>
    <sheetView tabSelected="1" zoomScaleNormal="100" workbookViewId="0">
      <selection activeCell="K18" sqref="K18:M18"/>
    </sheetView>
  </sheetViews>
  <sheetFormatPr defaultColWidth="9" defaultRowHeight="18.75" customHeight="1"/>
  <cols>
    <col min="1" max="1" width="2.44140625" style="9" customWidth="1"/>
    <col min="2" max="2" width="12.44140625" style="9" customWidth="1"/>
    <col min="3" max="8" width="6.21875" style="9" customWidth="1"/>
    <col min="9" max="9" width="2.44140625" style="9" customWidth="1"/>
    <col min="10" max="10" width="10" style="9" customWidth="1"/>
    <col min="11" max="11" width="2.44140625" style="9" customWidth="1"/>
    <col min="12" max="12" width="7.44140625" style="9" customWidth="1"/>
    <col min="13" max="13" width="2.44140625" style="9" customWidth="1"/>
    <col min="14" max="14" width="7.44140625" style="9" customWidth="1"/>
    <col min="15" max="16384" width="9" style="9"/>
  </cols>
  <sheetData>
    <row r="1" spans="1:14" ht="22.5" customHeight="1">
      <c r="M1" s="140" t="s">
        <v>25</v>
      </c>
      <c r="N1" s="140"/>
    </row>
    <row r="2" spans="1:14" ht="22.5" customHeight="1">
      <c r="A2" s="145" t="s">
        <v>121</v>
      </c>
      <c r="B2" s="145"/>
      <c r="C2" s="145"/>
      <c r="D2" s="145"/>
      <c r="E2" s="145"/>
      <c r="F2" s="145"/>
      <c r="G2" s="145"/>
      <c r="H2" s="145"/>
      <c r="I2" s="145"/>
      <c r="J2" s="145"/>
      <c r="K2" s="145"/>
      <c r="L2" s="145"/>
      <c r="M2" s="145"/>
      <c r="N2" s="145"/>
    </row>
    <row r="3" spans="1:14" ht="22.5" customHeight="1"/>
    <row r="4" spans="1:14" ht="22.5" customHeight="1">
      <c r="A4" s="9" t="s">
        <v>6</v>
      </c>
      <c r="B4" s="11" t="s">
        <v>16</v>
      </c>
      <c r="C4" s="130" t="s">
        <v>122</v>
      </c>
      <c r="D4" s="131"/>
      <c r="E4" s="131"/>
      <c r="F4" s="131"/>
      <c r="G4" s="131"/>
      <c r="H4" s="131"/>
      <c r="I4" s="131"/>
      <c r="J4" s="131"/>
      <c r="K4" s="131"/>
      <c r="L4" s="131"/>
      <c r="M4" s="131"/>
      <c r="N4" s="132"/>
    </row>
    <row r="5" spans="1:14" ht="7.5" customHeight="1">
      <c r="B5" s="11"/>
      <c r="C5" s="11"/>
      <c r="D5" s="11"/>
      <c r="E5" s="12"/>
      <c r="F5" s="72"/>
      <c r="G5" s="72"/>
      <c r="H5" s="72"/>
      <c r="I5" s="72"/>
      <c r="J5" s="72"/>
      <c r="K5" s="72"/>
      <c r="L5" s="72"/>
      <c r="M5" s="72"/>
      <c r="N5" s="72"/>
    </row>
    <row r="6" spans="1:14" ht="22.5" customHeight="1">
      <c r="A6" s="9" t="s">
        <v>51</v>
      </c>
      <c r="B6" s="11" t="s">
        <v>52</v>
      </c>
      <c r="C6" s="11"/>
      <c r="D6" s="130" t="s">
        <v>123</v>
      </c>
      <c r="E6" s="131"/>
      <c r="F6" s="131"/>
      <c r="G6" s="131"/>
      <c r="H6" s="131"/>
      <c r="I6" s="131"/>
      <c r="J6" s="131"/>
      <c r="K6" s="131"/>
      <c r="L6" s="131"/>
      <c r="M6" s="131"/>
      <c r="N6" s="132"/>
    </row>
    <row r="7" spans="1:14" ht="7.5" customHeight="1">
      <c r="B7" s="11"/>
      <c r="C7" s="11"/>
      <c r="D7" s="11"/>
      <c r="E7" s="12"/>
      <c r="F7" s="72"/>
      <c r="G7" s="72"/>
      <c r="H7" s="72"/>
      <c r="I7" s="72"/>
      <c r="J7" s="72"/>
      <c r="K7" s="72"/>
      <c r="L7" s="72"/>
      <c r="M7" s="72"/>
      <c r="N7" s="72"/>
    </row>
    <row r="8" spans="1:14" ht="22.5" customHeight="1">
      <c r="A8" s="13" t="s">
        <v>11</v>
      </c>
      <c r="B8" s="14" t="s">
        <v>53</v>
      </c>
      <c r="C8" s="130" t="s">
        <v>142</v>
      </c>
      <c r="D8" s="131"/>
      <c r="E8" s="132"/>
      <c r="F8" s="72"/>
      <c r="G8" s="144"/>
      <c r="H8" s="144"/>
      <c r="I8" s="144"/>
      <c r="J8" s="72"/>
      <c r="K8" s="72"/>
      <c r="L8" s="72"/>
      <c r="M8" s="72"/>
      <c r="N8" s="72"/>
    </row>
    <row r="9" spans="1:14" ht="7.5" customHeight="1">
      <c r="B9" s="11"/>
      <c r="C9" s="11"/>
      <c r="D9" s="11"/>
      <c r="E9" s="12"/>
      <c r="F9" s="72"/>
      <c r="G9" s="72"/>
      <c r="H9" s="72"/>
      <c r="I9" s="72"/>
      <c r="J9" s="72"/>
      <c r="K9" s="72"/>
      <c r="L9" s="72"/>
      <c r="M9" s="72"/>
      <c r="N9" s="72"/>
    </row>
    <row r="10" spans="1:14" ht="22.5" customHeight="1">
      <c r="A10" s="9" t="s">
        <v>14</v>
      </c>
      <c r="B10" s="11" t="s">
        <v>48</v>
      </c>
      <c r="C10" s="130" t="s">
        <v>124</v>
      </c>
      <c r="D10" s="131"/>
      <c r="E10" s="131"/>
      <c r="F10" s="131"/>
      <c r="G10" s="131"/>
      <c r="H10" s="131"/>
      <c r="I10" s="131"/>
      <c r="J10" s="131"/>
      <c r="K10" s="131"/>
      <c r="L10" s="131"/>
      <c r="M10" s="131"/>
      <c r="N10" s="132"/>
    </row>
    <row r="11" spans="1:14" ht="7.5" customHeight="1">
      <c r="B11" s="11"/>
      <c r="C11" s="11"/>
      <c r="D11" s="11"/>
      <c r="E11" s="12"/>
      <c r="F11" s="72"/>
      <c r="G11" s="72"/>
      <c r="H11" s="72"/>
      <c r="I11" s="72"/>
      <c r="J11" s="72"/>
      <c r="K11" s="72"/>
      <c r="L11" s="72"/>
      <c r="M11" s="72"/>
      <c r="N11" s="72"/>
    </row>
    <row r="12" spans="1:14" ht="22.5" customHeight="1">
      <c r="A12" s="9" t="s">
        <v>12</v>
      </c>
      <c r="B12" s="11" t="s">
        <v>115</v>
      </c>
      <c r="C12" s="11"/>
      <c r="D12" s="11"/>
      <c r="E12" s="72"/>
      <c r="F12" s="72"/>
      <c r="G12" s="130" t="s">
        <v>150</v>
      </c>
      <c r="H12" s="131"/>
      <c r="I12" s="131"/>
      <c r="J12" s="131"/>
      <c r="K12" s="131"/>
      <c r="L12" s="131"/>
      <c r="M12" s="131"/>
      <c r="N12" s="132"/>
    </row>
    <row r="13" spans="1:14" ht="7.5" customHeight="1">
      <c r="B13" s="12"/>
      <c r="C13" s="12"/>
      <c r="D13" s="12"/>
      <c r="E13" s="12"/>
      <c r="F13" s="72"/>
      <c r="G13" s="72"/>
      <c r="H13" s="72"/>
      <c r="I13" s="72"/>
      <c r="J13" s="72"/>
      <c r="K13" s="72"/>
      <c r="L13" s="72"/>
      <c r="M13" s="72"/>
      <c r="N13" s="72"/>
    </row>
    <row r="14" spans="1:14" ht="22.5" customHeight="1">
      <c r="A14" s="9" t="s">
        <v>63</v>
      </c>
      <c r="B14" s="12" t="s">
        <v>64</v>
      </c>
      <c r="C14" s="12"/>
      <c r="D14" s="12"/>
      <c r="E14" s="12"/>
      <c r="F14" s="130" t="s">
        <v>156</v>
      </c>
      <c r="G14" s="131"/>
      <c r="H14" s="132"/>
      <c r="I14" s="72"/>
      <c r="J14" s="72"/>
      <c r="K14" s="72"/>
      <c r="L14" s="72"/>
      <c r="M14" s="72"/>
      <c r="N14" s="72"/>
    </row>
    <row r="15" spans="1:14" ht="7.5" customHeight="1">
      <c r="B15" s="12"/>
      <c r="C15" s="12"/>
      <c r="D15" s="12"/>
      <c r="E15" s="12"/>
      <c r="F15" s="72"/>
      <c r="G15" s="72"/>
      <c r="H15" s="72"/>
      <c r="I15" s="72"/>
      <c r="J15" s="72"/>
      <c r="K15" s="72"/>
      <c r="L15" s="72"/>
      <c r="M15" s="72"/>
      <c r="N15" s="72"/>
    </row>
    <row r="16" spans="1:14" ht="22.5" customHeight="1">
      <c r="A16" s="9" t="s">
        <v>13</v>
      </c>
      <c r="B16" s="9" t="s">
        <v>0</v>
      </c>
      <c r="C16" s="141" t="s">
        <v>5</v>
      </c>
      <c r="D16" s="142"/>
      <c r="E16" s="133">
        <v>42</v>
      </c>
      <c r="F16" s="134"/>
      <c r="G16" s="15" t="s">
        <v>8</v>
      </c>
      <c r="I16" s="141" t="s">
        <v>9</v>
      </c>
      <c r="J16" s="142"/>
      <c r="K16" s="133">
        <v>43</v>
      </c>
      <c r="L16" s="143"/>
      <c r="M16" s="134"/>
      <c r="N16" s="16" t="s">
        <v>8</v>
      </c>
    </row>
    <row r="17" spans="1:17" ht="7.5" customHeight="1">
      <c r="F17" s="17"/>
      <c r="G17" s="17"/>
      <c r="H17" s="17"/>
      <c r="I17" s="17"/>
      <c r="J17" s="17"/>
      <c r="K17" s="17"/>
      <c r="L17" s="17"/>
      <c r="M17" s="16"/>
      <c r="N17" s="16"/>
    </row>
    <row r="18" spans="1:17" ht="22.5" customHeight="1">
      <c r="A18" s="9" t="s">
        <v>57</v>
      </c>
      <c r="B18" s="9" t="s">
        <v>86</v>
      </c>
      <c r="F18" s="17"/>
      <c r="G18" s="17"/>
      <c r="H18" s="17"/>
      <c r="I18" s="17"/>
      <c r="J18" s="17"/>
      <c r="K18" s="147">
        <v>5</v>
      </c>
      <c r="L18" s="148"/>
      <c r="M18" s="149"/>
      <c r="N18" s="16" t="s">
        <v>55</v>
      </c>
    </row>
    <row r="19" spans="1:17" ht="7.5" customHeight="1">
      <c r="F19" s="17"/>
      <c r="G19" s="17"/>
      <c r="H19" s="17"/>
      <c r="I19" s="17"/>
      <c r="J19" s="17"/>
      <c r="K19" s="17"/>
      <c r="L19" s="17"/>
      <c r="M19" s="16"/>
      <c r="N19" s="16"/>
    </row>
    <row r="20" spans="1:17" ht="22.5" customHeight="1">
      <c r="A20" s="9" t="s">
        <v>65</v>
      </c>
      <c r="B20" s="9" t="s">
        <v>112</v>
      </c>
      <c r="E20" s="133">
        <v>150</v>
      </c>
      <c r="F20" s="134"/>
      <c r="G20" s="18" t="s">
        <v>21</v>
      </c>
      <c r="H20" s="17"/>
      <c r="K20" s="146"/>
      <c r="L20" s="146"/>
      <c r="M20" s="146"/>
      <c r="N20" s="146"/>
      <c r="Q20" s="110"/>
    </row>
    <row r="21" spans="1:17" ht="7.5" customHeight="1">
      <c r="E21" s="6"/>
      <c r="F21" s="17"/>
      <c r="G21" s="17"/>
      <c r="L21" s="68"/>
      <c r="M21" s="68"/>
      <c r="N21" s="19"/>
      <c r="Q21" s="110"/>
    </row>
    <row r="22" spans="1:17" ht="22.5" customHeight="1">
      <c r="A22" s="9" t="s">
        <v>24</v>
      </c>
      <c r="B22" s="9" t="s">
        <v>113</v>
      </c>
      <c r="E22" s="6"/>
      <c r="F22" s="17"/>
      <c r="G22" s="17"/>
      <c r="H22" s="9" t="s">
        <v>56</v>
      </c>
      <c r="J22" s="147">
        <v>559</v>
      </c>
      <c r="K22" s="148"/>
      <c r="L22" s="149"/>
      <c r="M22" s="68" t="s">
        <v>55</v>
      </c>
      <c r="N22" s="19"/>
      <c r="Q22" s="110"/>
    </row>
    <row r="23" spans="1:17" ht="7.5" customHeight="1">
      <c r="E23" s="6"/>
      <c r="F23" s="17"/>
      <c r="G23" s="17"/>
      <c r="L23" s="68"/>
      <c r="M23" s="68"/>
      <c r="N23" s="19"/>
      <c r="Q23" s="110"/>
    </row>
    <row r="24" spans="1:17" ht="22.5" customHeight="1">
      <c r="B24" s="71" t="s">
        <v>17</v>
      </c>
      <c r="C24" s="133">
        <v>161</v>
      </c>
      <c r="D24" s="134"/>
      <c r="E24" s="6" t="s">
        <v>22</v>
      </c>
      <c r="F24" s="17"/>
      <c r="G24" s="129" t="s">
        <v>18</v>
      </c>
      <c r="H24" s="129"/>
      <c r="I24" s="133">
        <v>180</v>
      </c>
      <c r="J24" s="134"/>
      <c r="K24" s="13" t="s">
        <v>22</v>
      </c>
      <c r="M24" s="68"/>
      <c r="N24" s="19"/>
      <c r="O24" s="10"/>
      <c r="Q24" s="111"/>
    </row>
    <row r="25" spans="1:17" ht="7.5" customHeight="1">
      <c r="B25" s="71"/>
      <c r="C25" s="7"/>
      <c r="D25" s="7"/>
      <c r="E25" s="6"/>
      <c r="F25" s="17"/>
      <c r="G25" s="68"/>
      <c r="H25" s="68"/>
      <c r="I25" s="7"/>
      <c r="J25" s="7"/>
      <c r="K25" s="13"/>
      <c r="M25" s="68"/>
      <c r="N25" s="19"/>
      <c r="O25" s="10"/>
      <c r="Q25" s="112"/>
    </row>
    <row r="26" spans="1:17" ht="22.5" customHeight="1">
      <c r="B26" s="71" t="s">
        <v>19</v>
      </c>
      <c r="C26" s="133">
        <v>119</v>
      </c>
      <c r="D26" s="134"/>
      <c r="E26" s="6" t="s">
        <v>22</v>
      </c>
      <c r="F26" s="17"/>
      <c r="G26" s="129" t="s">
        <v>20</v>
      </c>
      <c r="H26" s="129"/>
      <c r="I26" s="133">
        <v>99</v>
      </c>
      <c r="J26" s="134"/>
      <c r="K26" s="13" t="s">
        <v>22</v>
      </c>
      <c r="M26" s="68"/>
      <c r="N26" s="19"/>
    </row>
    <row r="27" spans="1:17" ht="7.5" customHeight="1">
      <c r="B27" s="71"/>
      <c r="C27" s="7"/>
      <c r="D27" s="7"/>
      <c r="E27" s="6"/>
      <c r="F27" s="17"/>
      <c r="G27" s="68"/>
      <c r="H27" s="68"/>
      <c r="I27" s="7"/>
      <c r="J27" s="7"/>
      <c r="K27" s="13"/>
      <c r="M27" s="68"/>
      <c r="N27" s="19"/>
    </row>
    <row r="28" spans="1:17" ht="22.5" customHeight="1">
      <c r="B28" s="71" t="s">
        <v>49</v>
      </c>
      <c r="C28" s="133">
        <v>0</v>
      </c>
      <c r="D28" s="134"/>
      <c r="E28" s="6" t="s">
        <v>8</v>
      </c>
      <c r="F28" s="17"/>
      <c r="G28" s="129" t="s">
        <v>50</v>
      </c>
      <c r="H28" s="129"/>
      <c r="I28" s="133">
        <v>0</v>
      </c>
      <c r="J28" s="134"/>
      <c r="K28" s="13" t="s">
        <v>8</v>
      </c>
      <c r="M28" s="68"/>
      <c r="N28" s="19"/>
    </row>
    <row r="29" spans="1:17" ht="7.5" customHeight="1">
      <c r="F29" s="17"/>
      <c r="G29" s="17"/>
      <c r="M29" s="20"/>
      <c r="N29" s="20"/>
    </row>
    <row r="30" spans="1:17" ht="22.5" customHeight="1">
      <c r="A30" s="9" t="s">
        <v>111</v>
      </c>
      <c r="B30" s="11" t="s">
        <v>109</v>
      </c>
      <c r="C30" s="11"/>
      <c r="D30" s="11"/>
      <c r="E30" s="11"/>
      <c r="F30" s="13"/>
      <c r="G30" s="72"/>
      <c r="H30" s="72"/>
      <c r="I30" s="72"/>
      <c r="J30" s="22"/>
      <c r="K30" s="22"/>
      <c r="L30" s="22"/>
      <c r="M30" s="22"/>
      <c r="N30" s="22"/>
    </row>
    <row r="31" spans="1:17" s="10" customFormat="1" ht="22.5" customHeight="1">
      <c r="B31" s="137" t="s">
        <v>108</v>
      </c>
      <c r="C31" s="137"/>
      <c r="D31" s="130" t="s">
        <v>179</v>
      </c>
      <c r="E31" s="131"/>
      <c r="F31" s="131"/>
      <c r="G31" s="138" t="s">
        <v>23</v>
      </c>
      <c r="H31" s="137"/>
      <c r="I31" s="139"/>
      <c r="J31" s="130" t="s">
        <v>139</v>
      </c>
      <c r="K31" s="131"/>
      <c r="L31" s="131"/>
      <c r="M31" s="131"/>
      <c r="N31" s="132"/>
    </row>
    <row r="32" spans="1:17" ht="7.5" customHeight="1">
      <c r="F32" s="17"/>
      <c r="G32" s="17"/>
      <c r="M32" s="20"/>
      <c r="N32" s="20"/>
    </row>
    <row r="33" spans="1:14" ht="22.5" customHeight="1">
      <c r="A33" s="9" t="s">
        <v>54</v>
      </c>
      <c r="B33" s="11" t="s">
        <v>118</v>
      </c>
      <c r="C33" s="11"/>
      <c r="D33" s="11"/>
      <c r="E33" s="11"/>
      <c r="F33" s="13"/>
      <c r="G33" s="22"/>
      <c r="H33" s="22"/>
      <c r="I33" s="22"/>
      <c r="J33" s="22"/>
      <c r="K33" s="22"/>
      <c r="L33" s="22"/>
      <c r="M33" s="22"/>
      <c r="N33" s="22"/>
    </row>
    <row r="34" spans="1:14" ht="22.5" customHeight="1">
      <c r="B34" s="130" t="s">
        <v>125</v>
      </c>
      <c r="C34" s="131"/>
      <c r="D34" s="131"/>
      <c r="E34" s="131"/>
      <c r="F34" s="131"/>
      <c r="G34" s="131"/>
      <c r="H34" s="131"/>
      <c r="I34" s="131"/>
      <c r="J34" s="131"/>
      <c r="K34" s="131"/>
      <c r="L34" s="131"/>
      <c r="M34" s="131"/>
      <c r="N34" s="132"/>
    </row>
    <row r="35" spans="1:14" ht="7.5" customHeight="1">
      <c r="B35" s="70"/>
      <c r="C35" s="70"/>
      <c r="D35" s="70"/>
      <c r="E35" s="70"/>
      <c r="F35" s="70"/>
      <c r="G35" s="70"/>
      <c r="H35" s="70"/>
      <c r="I35" s="70"/>
      <c r="J35" s="70"/>
      <c r="K35" s="70"/>
      <c r="L35" s="70"/>
      <c r="M35" s="70"/>
      <c r="N35" s="70"/>
    </row>
    <row r="36" spans="1:14" s="10" customFormat="1" ht="22.5" customHeight="1">
      <c r="B36" s="137" t="s">
        <v>108</v>
      </c>
      <c r="C36" s="137"/>
      <c r="D36" s="130" t="s">
        <v>126</v>
      </c>
      <c r="E36" s="131"/>
      <c r="F36" s="131"/>
      <c r="G36" s="138" t="s">
        <v>59</v>
      </c>
      <c r="H36" s="137"/>
      <c r="I36" s="139"/>
      <c r="J36" s="130" t="s">
        <v>178</v>
      </c>
      <c r="K36" s="131"/>
      <c r="L36" s="131"/>
      <c r="M36" s="131"/>
      <c r="N36" s="132"/>
    </row>
    <row r="37" spans="1:14" ht="7.5" customHeight="1">
      <c r="F37" s="72"/>
      <c r="G37" s="72"/>
      <c r="H37" s="72"/>
      <c r="I37" s="72"/>
      <c r="J37" s="72"/>
      <c r="K37" s="72"/>
      <c r="L37" s="72"/>
      <c r="M37" s="72"/>
      <c r="N37" s="72"/>
    </row>
    <row r="38" spans="1:14" ht="22.5" customHeight="1">
      <c r="A38" s="9" t="s">
        <v>58</v>
      </c>
      <c r="B38" s="9" t="s">
        <v>119</v>
      </c>
      <c r="M38" s="20"/>
      <c r="N38" s="20"/>
    </row>
    <row r="39" spans="1:14" ht="22.5" customHeight="1">
      <c r="B39" s="130" t="s">
        <v>177</v>
      </c>
      <c r="C39" s="131"/>
      <c r="D39" s="131"/>
      <c r="E39" s="131"/>
      <c r="F39" s="131"/>
      <c r="G39" s="131"/>
      <c r="H39" s="131"/>
      <c r="I39" s="131"/>
      <c r="J39" s="131"/>
      <c r="K39" s="131"/>
      <c r="L39" s="131"/>
      <c r="M39" s="131"/>
      <c r="N39" s="132"/>
    </row>
    <row r="40" spans="1:14" ht="7.5" customHeight="1">
      <c r="F40" s="72"/>
      <c r="G40" s="72"/>
      <c r="H40" s="72"/>
      <c r="I40" s="72"/>
      <c r="J40" s="72"/>
      <c r="K40" s="72"/>
      <c r="L40" s="72"/>
      <c r="M40" s="72"/>
      <c r="N40" s="72"/>
    </row>
    <row r="41" spans="1:14" s="10" customFormat="1" ht="22.5" customHeight="1">
      <c r="B41" s="137" t="s">
        <v>108</v>
      </c>
      <c r="C41" s="137"/>
      <c r="D41" s="130" t="s">
        <v>134</v>
      </c>
      <c r="E41" s="131"/>
      <c r="F41" s="131"/>
      <c r="G41" s="138" t="s">
        <v>59</v>
      </c>
      <c r="H41" s="137"/>
      <c r="I41" s="139"/>
      <c r="J41" s="130" t="s">
        <v>135</v>
      </c>
      <c r="K41" s="131"/>
      <c r="L41" s="131"/>
      <c r="M41" s="131"/>
      <c r="N41" s="132"/>
    </row>
    <row r="42" spans="1:14" ht="7.5" customHeight="1">
      <c r="F42" s="72"/>
      <c r="G42" s="72"/>
      <c r="H42" s="72"/>
      <c r="I42" s="72"/>
      <c r="J42" s="72"/>
      <c r="K42" s="72"/>
      <c r="L42" s="72"/>
      <c r="M42" s="72"/>
      <c r="N42" s="72"/>
    </row>
    <row r="43" spans="1:14" ht="22.5" customHeight="1">
      <c r="A43" s="9" t="s">
        <v>66</v>
      </c>
      <c r="B43" s="74" t="s">
        <v>85</v>
      </c>
      <c r="E43" s="75"/>
      <c r="F43" s="130" t="s">
        <v>105</v>
      </c>
      <c r="G43" s="131"/>
      <c r="H43" s="131"/>
      <c r="I43" s="131"/>
      <c r="J43" s="131"/>
      <c r="K43" s="131"/>
      <c r="L43" s="131"/>
      <c r="M43" s="131"/>
      <c r="N43" s="132"/>
    </row>
    <row r="44" spans="1:14" ht="7.5" customHeight="1">
      <c r="F44" s="72"/>
      <c r="G44" s="72"/>
      <c r="H44" s="72"/>
      <c r="I44" s="72"/>
      <c r="J44" s="72"/>
      <c r="K44" s="72"/>
      <c r="L44" s="72"/>
      <c r="M44" s="72"/>
      <c r="N44" s="72"/>
    </row>
    <row r="45" spans="1:14" ht="22.5" customHeight="1">
      <c r="A45" s="9" t="s">
        <v>116</v>
      </c>
    </row>
    <row r="46" spans="1:14" ht="22.5" customHeight="1">
      <c r="B46" s="23" t="s">
        <v>1</v>
      </c>
      <c r="C46" s="135" t="s">
        <v>138</v>
      </c>
      <c r="D46" s="136"/>
      <c r="E46" s="136"/>
      <c r="F46" s="136"/>
      <c r="G46" s="136"/>
      <c r="H46" s="136"/>
      <c r="I46" s="24" t="s">
        <v>2</v>
      </c>
      <c r="J46" s="25"/>
      <c r="K46" s="130" t="s">
        <v>136</v>
      </c>
      <c r="L46" s="131"/>
      <c r="M46" s="131"/>
      <c r="N46" s="132"/>
    </row>
    <row r="47" spans="1:14" ht="22.5" customHeight="1">
      <c r="B47" s="23" t="s">
        <v>4</v>
      </c>
      <c r="C47" s="123" t="s">
        <v>137</v>
      </c>
      <c r="D47" s="124"/>
      <c r="E47" s="124"/>
      <c r="F47" s="124"/>
      <c r="G47" s="124"/>
      <c r="H47" s="125"/>
      <c r="I47" s="24" t="s">
        <v>3</v>
      </c>
      <c r="J47" s="25"/>
      <c r="K47" s="126" t="s">
        <v>127</v>
      </c>
      <c r="L47" s="127"/>
      <c r="M47" s="127"/>
      <c r="N47" s="128"/>
    </row>
  </sheetData>
  <mergeCells count="45">
    <mergeCell ref="K20:N20"/>
    <mergeCell ref="K18:M18"/>
    <mergeCell ref="I24:J24"/>
    <mergeCell ref="E20:F20"/>
    <mergeCell ref="J41:N41"/>
    <mergeCell ref="B34:N34"/>
    <mergeCell ref="B39:N39"/>
    <mergeCell ref="G28:H28"/>
    <mergeCell ref="I28:J28"/>
    <mergeCell ref="J22:L22"/>
    <mergeCell ref="G24:H24"/>
    <mergeCell ref="B31:C31"/>
    <mergeCell ref="D31:F31"/>
    <mergeCell ref="G31:I31"/>
    <mergeCell ref="C28:D28"/>
    <mergeCell ref="C24:D24"/>
    <mergeCell ref="M1:N1"/>
    <mergeCell ref="C16:D16"/>
    <mergeCell ref="C8:E8"/>
    <mergeCell ref="C10:N10"/>
    <mergeCell ref="K16:M16"/>
    <mergeCell ref="G8:I8"/>
    <mergeCell ref="C4:N4"/>
    <mergeCell ref="D6:N6"/>
    <mergeCell ref="F14:H14"/>
    <mergeCell ref="A2:N2"/>
    <mergeCell ref="E16:F16"/>
    <mergeCell ref="I16:J16"/>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formula1>"国立大学, 公立大学, 私立大学, 短期大学, 高等専門学校, その他"</formula1>
    </dataValidation>
    <dataValidation type="list" allowBlank="1" showInputMessage="1" showErrorMessage="1" sqref="F43">
      <formula1>"認定教育プログラム,認定教育プログラムと認定教育プログラム+（プラス）"</formula1>
    </dataValidation>
  </dataValidations>
  <hyperlinks>
    <hyperlink ref="C47" r:id="rId1"/>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topLeftCell="A34" zoomScaleNormal="100" workbookViewId="0">
      <selection activeCell="A19" sqref="A19:E19"/>
    </sheetView>
  </sheetViews>
  <sheetFormatPr defaultColWidth="9" defaultRowHeight="18.75" customHeight="1"/>
  <cols>
    <col min="1" max="2" width="2.44140625" style="9" customWidth="1"/>
    <col min="3" max="3" width="20" style="9" customWidth="1"/>
    <col min="4" max="4" width="8.77734375" style="9" customWidth="1"/>
    <col min="5" max="5" width="7.44140625" style="9" customWidth="1"/>
    <col min="6" max="6" width="2.44140625" style="9" customWidth="1"/>
    <col min="7" max="7" width="15" style="9" customWidth="1"/>
    <col min="8" max="8" width="12.44140625" style="9" customWidth="1"/>
    <col min="9" max="9" width="11.21875" style="9" customWidth="1"/>
    <col min="10" max="16384" width="9" style="9"/>
  </cols>
  <sheetData>
    <row r="1" spans="1:9" ht="18.75" customHeight="1">
      <c r="I1" s="69" t="s">
        <v>143</v>
      </c>
    </row>
    <row r="2" spans="1:9" ht="18.75" customHeight="1">
      <c r="G2" s="21" t="s">
        <v>28</v>
      </c>
      <c r="H2" s="151" t="s">
        <v>131</v>
      </c>
      <c r="I2" s="151"/>
    </row>
    <row r="3" spans="1:9" ht="7.5" customHeight="1"/>
    <row r="4" spans="1:9" ht="18.75" customHeight="1">
      <c r="A4" s="145" t="s">
        <v>83</v>
      </c>
      <c r="B4" s="145"/>
      <c r="C4" s="145"/>
      <c r="D4" s="145"/>
      <c r="E4" s="145"/>
      <c r="F4" s="145"/>
      <c r="G4" s="145"/>
      <c r="H4" s="145"/>
      <c r="I4" s="145"/>
    </row>
    <row r="5" spans="1:9" ht="7.5" customHeight="1">
      <c r="C5" s="71"/>
      <c r="D5" s="71"/>
      <c r="E5" s="71"/>
      <c r="F5" s="71"/>
      <c r="G5" s="71"/>
      <c r="H5" s="71"/>
      <c r="I5" s="71"/>
    </row>
    <row r="6" spans="1:9" ht="18.75" customHeight="1">
      <c r="A6" s="9" t="s">
        <v>6</v>
      </c>
      <c r="B6" s="9" t="s">
        <v>94</v>
      </c>
      <c r="C6" s="71"/>
      <c r="D6" s="71"/>
      <c r="E6" s="147" t="s">
        <v>114</v>
      </c>
      <c r="F6" s="148"/>
      <c r="G6" s="148"/>
      <c r="H6" s="148"/>
      <c r="I6" s="149"/>
    </row>
    <row r="7" spans="1:9" ht="7.5" customHeight="1">
      <c r="C7" s="71"/>
      <c r="D7" s="71"/>
      <c r="E7" s="68"/>
      <c r="F7" s="68"/>
      <c r="G7" s="68"/>
      <c r="H7" s="68"/>
      <c r="I7" s="68"/>
    </row>
    <row r="8" spans="1:9" ht="18.75" customHeight="1">
      <c r="A8" s="9" t="s">
        <v>10</v>
      </c>
      <c r="B8" s="9" t="s">
        <v>95</v>
      </c>
      <c r="C8" s="71"/>
      <c r="D8" s="71"/>
      <c r="E8" s="71"/>
      <c r="F8" s="71"/>
      <c r="G8" s="71"/>
      <c r="H8" s="71"/>
      <c r="I8" s="71"/>
    </row>
    <row r="9" spans="1:9" ht="18.75" customHeight="1">
      <c r="B9" s="154" t="s">
        <v>163</v>
      </c>
      <c r="C9" s="155"/>
      <c r="D9" s="155"/>
      <c r="E9" s="155"/>
      <c r="F9" s="155"/>
      <c r="G9" s="155"/>
      <c r="H9" s="155"/>
      <c r="I9" s="156"/>
    </row>
    <row r="10" spans="1:9" ht="18.75" customHeight="1">
      <c r="B10" s="157"/>
      <c r="C10" s="158"/>
      <c r="D10" s="158"/>
      <c r="E10" s="158"/>
      <c r="F10" s="158"/>
      <c r="G10" s="158"/>
      <c r="H10" s="158"/>
      <c r="I10" s="159"/>
    </row>
    <row r="11" spans="1:9" ht="18.75" customHeight="1">
      <c r="B11" s="157"/>
      <c r="C11" s="158"/>
      <c r="D11" s="158"/>
      <c r="E11" s="158"/>
      <c r="F11" s="158"/>
      <c r="G11" s="158"/>
      <c r="H11" s="158"/>
      <c r="I11" s="159"/>
    </row>
    <row r="12" spans="1:9" ht="18.75" customHeight="1">
      <c r="B12" s="157"/>
      <c r="C12" s="158"/>
      <c r="D12" s="158"/>
      <c r="E12" s="158"/>
      <c r="F12" s="158"/>
      <c r="G12" s="158"/>
      <c r="H12" s="158"/>
      <c r="I12" s="159"/>
    </row>
    <row r="13" spans="1:9" ht="18.75" customHeight="1">
      <c r="B13" s="157"/>
      <c r="C13" s="158"/>
      <c r="D13" s="158"/>
      <c r="E13" s="158"/>
      <c r="F13" s="158"/>
      <c r="G13" s="158"/>
      <c r="H13" s="158"/>
      <c r="I13" s="159"/>
    </row>
    <row r="14" spans="1:9" ht="18.75" customHeight="1">
      <c r="B14" s="157"/>
      <c r="C14" s="158"/>
      <c r="D14" s="158"/>
      <c r="E14" s="158"/>
      <c r="F14" s="158"/>
      <c r="G14" s="158"/>
      <c r="H14" s="158"/>
      <c r="I14" s="159"/>
    </row>
    <row r="15" spans="1:9" ht="18.75" customHeight="1">
      <c r="B15" s="157"/>
      <c r="C15" s="158"/>
      <c r="D15" s="158"/>
      <c r="E15" s="158"/>
      <c r="F15" s="158"/>
      <c r="G15" s="158"/>
      <c r="H15" s="158"/>
      <c r="I15" s="159"/>
    </row>
    <row r="16" spans="1:9" ht="18.75" customHeight="1">
      <c r="B16" s="160"/>
      <c r="C16" s="161"/>
      <c r="D16" s="161"/>
      <c r="E16" s="161"/>
      <c r="F16" s="161"/>
      <c r="G16" s="161"/>
      <c r="H16" s="161"/>
      <c r="I16" s="162"/>
    </row>
    <row r="17" spans="1:10" ht="7.5" customHeight="1">
      <c r="C17" s="71"/>
      <c r="D17" s="71"/>
      <c r="E17" s="71"/>
      <c r="F17" s="71"/>
      <c r="G17" s="71"/>
      <c r="H17" s="71"/>
      <c r="I17" s="71"/>
    </row>
    <row r="18" spans="1:10" ht="18.75" customHeight="1">
      <c r="A18" s="71" t="s">
        <v>11</v>
      </c>
      <c r="B18" s="11" t="s">
        <v>96</v>
      </c>
      <c r="C18" s="11"/>
      <c r="D18" s="11"/>
      <c r="E18" s="11"/>
      <c r="F18" s="71"/>
      <c r="G18" s="71"/>
      <c r="H18" s="71"/>
      <c r="I18" s="71"/>
      <c r="J18" s="71"/>
    </row>
    <row r="19" spans="1:10" ht="18.75" customHeight="1">
      <c r="A19" s="152" t="s">
        <v>96</v>
      </c>
      <c r="B19" s="152"/>
      <c r="C19" s="152"/>
      <c r="D19" s="152"/>
      <c r="E19" s="152"/>
      <c r="F19" s="153" t="s">
        <v>96</v>
      </c>
      <c r="G19" s="153"/>
      <c r="H19" s="153"/>
      <c r="I19" s="153"/>
    </row>
    <row r="20" spans="1:10" ht="18.75" customHeight="1">
      <c r="A20" s="50">
        <v>1</v>
      </c>
      <c r="B20" s="135" t="s">
        <v>128</v>
      </c>
      <c r="C20" s="136"/>
      <c r="D20" s="136"/>
      <c r="E20" s="150"/>
      <c r="F20" s="50">
        <v>26</v>
      </c>
      <c r="G20" s="135"/>
      <c r="H20" s="136"/>
      <c r="I20" s="150"/>
    </row>
    <row r="21" spans="1:10" ht="18.75" customHeight="1">
      <c r="A21" s="50">
        <v>2</v>
      </c>
      <c r="B21" s="135"/>
      <c r="C21" s="136"/>
      <c r="D21" s="136"/>
      <c r="E21" s="150"/>
      <c r="F21" s="50">
        <v>27</v>
      </c>
      <c r="G21" s="135"/>
      <c r="H21" s="136"/>
      <c r="I21" s="150"/>
    </row>
    <row r="22" spans="1:10" ht="18.75" customHeight="1">
      <c r="A22" s="50">
        <v>3</v>
      </c>
      <c r="B22" s="135"/>
      <c r="C22" s="136"/>
      <c r="D22" s="136"/>
      <c r="E22" s="150"/>
      <c r="F22" s="50">
        <v>28</v>
      </c>
      <c r="G22" s="135"/>
      <c r="H22" s="136"/>
      <c r="I22" s="150"/>
    </row>
    <row r="23" spans="1:10" ht="18.75" customHeight="1">
      <c r="A23" s="50">
        <v>4</v>
      </c>
      <c r="B23" s="135"/>
      <c r="C23" s="136"/>
      <c r="D23" s="136"/>
      <c r="E23" s="150"/>
      <c r="F23" s="50">
        <v>29</v>
      </c>
      <c r="G23" s="135"/>
      <c r="H23" s="136"/>
      <c r="I23" s="150"/>
    </row>
    <row r="24" spans="1:10" ht="18.75" customHeight="1">
      <c r="A24" s="50">
        <v>5</v>
      </c>
      <c r="B24" s="135"/>
      <c r="C24" s="136"/>
      <c r="D24" s="136"/>
      <c r="E24" s="150"/>
      <c r="F24" s="50">
        <v>30</v>
      </c>
      <c r="G24" s="135"/>
      <c r="H24" s="136"/>
      <c r="I24" s="150"/>
    </row>
    <row r="25" spans="1:10" ht="18.75" customHeight="1">
      <c r="A25" s="50">
        <v>6</v>
      </c>
      <c r="B25" s="135"/>
      <c r="C25" s="136"/>
      <c r="D25" s="136"/>
      <c r="E25" s="150"/>
      <c r="F25" s="50">
        <v>31</v>
      </c>
      <c r="G25" s="135"/>
      <c r="H25" s="136"/>
      <c r="I25" s="150"/>
    </row>
    <row r="26" spans="1:10" ht="18.75" customHeight="1">
      <c r="A26" s="50">
        <v>7</v>
      </c>
      <c r="B26" s="135"/>
      <c r="C26" s="136"/>
      <c r="D26" s="136"/>
      <c r="E26" s="150"/>
      <c r="F26" s="50">
        <v>32</v>
      </c>
      <c r="G26" s="135"/>
      <c r="H26" s="136"/>
      <c r="I26" s="150"/>
    </row>
    <row r="27" spans="1:10" ht="18.75" customHeight="1">
      <c r="A27" s="50">
        <v>8</v>
      </c>
      <c r="B27" s="135"/>
      <c r="C27" s="136"/>
      <c r="D27" s="136"/>
      <c r="E27" s="150"/>
      <c r="F27" s="50">
        <v>33</v>
      </c>
      <c r="G27" s="135"/>
      <c r="H27" s="136"/>
      <c r="I27" s="150"/>
    </row>
    <row r="28" spans="1:10" ht="18.75" customHeight="1">
      <c r="A28" s="50">
        <v>9</v>
      </c>
      <c r="B28" s="135"/>
      <c r="C28" s="136"/>
      <c r="D28" s="136"/>
      <c r="E28" s="150"/>
      <c r="F28" s="50">
        <v>34</v>
      </c>
      <c r="G28" s="135"/>
      <c r="H28" s="136"/>
      <c r="I28" s="150"/>
    </row>
    <row r="29" spans="1:10" ht="18.75" customHeight="1">
      <c r="A29" s="50">
        <v>10</v>
      </c>
      <c r="B29" s="135"/>
      <c r="C29" s="136"/>
      <c r="D29" s="136"/>
      <c r="E29" s="150"/>
      <c r="F29" s="50">
        <v>35</v>
      </c>
      <c r="G29" s="135"/>
      <c r="H29" s="136"/>
      <c r="I29" s="150"/>
    </row>
    <row r="30" spans="1:10" ht="18.75" customHeight="1">
      <c r="A30" s="50">
        <v>11</v>
      </c>
      <c r="B30" s="135"/>
      <c r="C30" s="136"/>
      <c r="D30" s="136"/>
      <c r="E30" s="150"/>
      <c r="F30" s="50">
        <v>36</v>
      </c>
      <c r="G30" s="135"/>
      <c r="H30" s="136"/>
      <c r="I30" s="150"/>
    </row>
    <row r="31" spans="1:10" ht="18.75" customHeight="1">
      <c r="A31" s="50">
        <v>12</v>
      </c>
      <c r="B31" s="135"/>
      <c r="C31" s="136"/>
      <c r="D31" s="136"/>
      <c r="E31" s="150"/>
      <c r="F31" s="50">
        <v>37</v>
      </c>
      <c r="G31" s="135"/>
      <c r="H31" s="136"/>
      <c r="I31" s="150"/>
    </row>
    <row r="32" spans="1:10" ht="18.75" customHeight="1">
      <c r="A32" s="50">
        <v>13</v>
      </c>
      <c r="B32" s="135"/>
      <c r="C32" s="136"/>
      <c r="D32" s="136"/>
      <c r="E32" s="150"/>
      <c r="F32" s="50">
        <v>38</v>
      </c>
      <c r="G32" s="135"/>
      <c r="H32" s="136"/>
      <c r="I32" s="150"/>
    </row>
    <row r="33" spans="1:9" ht="18.75" customHeight="1">
      <c r="A33" s="50">
        <v>14</v>
      </c>
      <c r="B33" s="135"/>
      <c r="C33" s="136"/>
      <c r="D33" s="136"/>
      <c r="E33" s="150"/>
      <c r="F33" s="50">
        <v>39</v>
      </c>
      <c r="G33" s="135"/>
      <c r="H33" s="136"/>
      <c r="I33" s="150"/>
    </row>
    <row r="34" spans="1:9" ht="18.75" customHeight="1">
      <c r="A34" s="50">
        <v>15</v>
      </c>
      <c r="B34" s="135"/>
      <c r="C34" s="136"/>
      <c r="D34" s="136"/>
      <c r="E34" s="150"/>
      <c r="F34" s="50">
        <v>40</v>
      </c>
      <c r="G34" s="135"/>
      <c r="H34" s="136"/>
      <c r="I34" s="150"/>
    </row>
    <row r="35" spans="1:9" ht="18.75" customHeight="1">
      <c r="A35" s="50">
        <v>16</v>
      </c>
      <c r="B35" s="135"/>
      <c r="C35" s="136"/>
      <c r="D35" s="136"/>
      <c r="E35" s="150"/>
      <c r="F35" s="50">
        <v>41</v>
      </c>
      <c r="G35" s="135"/>
      <c r="H35" s="136"/>
      <c r="I35" s="150"/>
    </row>
    <row r="36" spans="1:9" ht="18.75" customHeight="1">
      <c r="A36" s="50">
        <v>17</v>
      </c>
      <c r="B36" s="135"/>
      <c r="C36" s="136"/>
      <c r="D36" s="136"/>
      <c r="E36" s="150"/>
      <c r="F36" s="50">
        <v>42</v>
      </c>
      <c r="G36" s="135"/>
      <c r="H36" s="136"/>
      <c r="I36" s="150"/>
    </row>
    <row r="37" spans="1:9" ht="18.75" customHeight="1">
      <c r="A37" s="50">
        <v>18</v>
      </c>
      <c r="B37" s="135"/>
      <c r="C37" s="136"/>
      <c r="D37" s="136"/>
      <c r="E37" s="150"/>
      <c r="F37" s="50">
        <v>43</v>
      </c>
      <c r="G37" s="135"/>
      <c r="H37" s="136"/>
      <c r="I37" s="150"/>
    </row>
    <row r="38" spans="1:9" ht="18.75" customHeight="1">
      <c r="A38" s="50">
        <v>19</v>
      </c>
      <c r="B38" s="135"/>
      <c r="C38" s="136"/>
      <c r="D38" s="136"/>
      <c r="E38" s="150"/>
      <c r="F38" s="50">
        <v>44</v>
      </c>
      <c r="G38" s="135"/>
      <c r="H38" s="136"/>
      <c r="I38" s="150"/>
    </row>
    <row r="39" spans="1:9" ht="18.75" customHeight="1">
      <c r="A39" s="50">
        <v>20</v>
      </c>
      <c r="B39" s="135"/>
      <c r="C39" s="136"/>
      <c r="D39" s="136"/>
      <c r="E39" s="150"/>
      <c r="F39" s="50">
        <v>45</v>
      </c>
      <c r="G39" s="135"/>
      <c r="H39" s="136"/>
      <c r="I39" s="150"/>
    </row>
    <row r="40" spans="1:9" ht="18.75" customHeight="1">
      <c r="A40" s="50">
        <v>21</v>
      </c>
      <c r="B40" s="135"/>
      <c r="C40" s="136"/>
      <c r="D40" s="136"/>
      <c r="E40" s="150"/>
      <c r="F40" s="50">
        <v>46</v>
      </c>
      <c r="G40" s="135"/>
      <c r="H40" s="136"/>
      <c r="I40" s="150"/>
    </row>
    <row r="41" spans="1:9" ht="18.75" customHeight="1">
      <c r="A41" s="50">
        <v>22</v>
      </c>
      <c r="B41" s="135"/>
      <c r="C41" s="136"/>
      <c r="D41" s="136"/>
      <c r="E41" s="150"/>
      <c r="F41" s="50">
        <v>47</v>
      </c>
      <c r="G41" s="135"/>
      <c r="H41" s="136"/>
      <c r="I41" s="150"/>
    </row>
    <row r="42" spans="1:9" ht="18.75" customHeight="1">
      <c r="A42" s="50">
        <v>23</v>
      </c>
      <c r="B42" s="135"/>
      <c r="C42" s="136"/>
      <c r="D42" s="136"/>
      <c r="E42" s="150"/>
      <c r="F42" s="50">
        <v>48</v>
      </c>
      <c r="G42" s="135"/>
      <c r="H42" s="136"/>
      <c r="I42" s="150"/>
    </row>
    <row r="43" spans="1:9" ht="18.75" customHeight="1">
      <c r="A43" s="50">
        <v>24</v>
      </c>
      <c r="B43" s="135"/>
      <c r="C43" s="136"/>
      <c r="D43" s="136"/>
      <c r="E43" s="150"/>
      <c r="F43" s="50">
        <v>49</v>
      </c>
      <c r="G43" s="135"/>
      <c r="H43" s="136"/>
      <c r="I43" s="150"/>
    </row>
    <row r="44" spans="1:9" ht="18.75" customHeight="1">
      <c r="A44" s="50">
        <v>25</v>
      </c>
      <c r="B44" s="135"/>
      <c r="C44" s="136"/>
      <c r="D44" s="136"/>
      <c r="E44" s="150"/>
      <c r="F44" s="50">
        <v>50</v>
      </c>
      <c r="G44" s="135"/>
      <c r="H44" s="136"/>
      <c r="I44" s="150"/>
    </row>
  </sheetData>
  <mergeCells count="5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count="2">
    <dataValidation type="list" allowBlank="1" showInputMessage="1" showErrorMessage="1" sqref="E7:I7">
      <formula1>"学部等によって、認定要件は相違する,学部等によって、認定要件は相違しない"</formula1>
    </dataValidation>
    <dataValidation type="list" allowBlank="1" showInputMessage="1" showErrorMessage="1" sqref="E6:I6">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
  <sheetViews>
    <sheetView showZeros="0" topLeftCell="A5" zoomScaleNormal="100" workbookViewId="0">
      <selection activeCell="B9" sqref="B9:I16"/>
    </sheetView>
  </sheetViews>
  <sheetFormatPr defaultColWidth="9" defaultRowHeight="18.75" customHeight="1"/>
  <cols>
    <col min="1" max="2" width="2.44140625" style="9" customWidth="1"/>
    <col min="3" max="3" width="20" style="9" customWidth="1"/>
    <col min="4" max="4" width="8.77734375" style="9" customWidth="1"/>
    <col min="5" max="5" width="7.44140625" style="9" customWidth="1"/>
    <col min="6" max="6" width="2.44140625" style="9" customWidth="1"/>
    <col min="7" max="7" width="15" style="9" customWidth="1"/>
    <col min="8" max="8" width="12.44140625" style="9" customWidth="1"/>
    <col min="9" max="9" width="11.21875" style="9" customWidth="1"/>
    <col min="10" max="16384" width="9" style="9"/>
  </cols>
  <sheetData>
    <row r="1" spans="1:9" ht="18.75" customHeight="1">
      <c r="I1" s="69" t="s">
        <v>144</v>
      </c>
    </row>
    <row r="2" spans="1:9" ht="18.75" customHeight="1">
      <c r="G2" s="21" t="s">
        <v>28</v>
      </c>
      <c r="H2" s="151" t="s">
        <v>122</v>
      </c>
      <c r="I2" s="151"/>
    </row>
    <row r="3" spans="1:9" ht="7.5" customHeight="1"/>
    <row r="4" spans="1:9" ht="18.75" customHeight="1">
      <c r="A4" s="145" t="s">
        <v>83</v>
      </c>
      <c r="B4" s="145"/>
      <c r="C4" s="145"/>
      <c r="D4" s="145"/>
      <c r="E4" s="145"/>
      <c r="F4" s="145"/>
      <c r="G4" s="145"/>
      <c r="H4" s="145"/>
      <c r="I4" s="145"/>
    </row>
    <row r="5" spans="1:9" ht="7.5" customHeight="1">
      <c r="C5" s="71"/>
      <c r="D5" s="71"/>
      <c r="E5" s="71"/>
      <c r="F5" s="71"/>
      <c r="G5" s="71"/>
      <c r="H5" s="71"/>
      <c r="I5" s="71"/>
    </row>
    <row r="6" spans="1:9" ht="18.75" customHeight="1">
      <c r="A6" s="9" t="s">
        <v>6</v>
      </c>
      <c r="B6" s="9" t="s">
        <v>94</v>
      </c>
      <c r="C6" s="71"/>
      <c r="D6" s="71"/>
      <c r="E6" s="147" t="s">
        <v>114</v>
      </c>
      <c r="F6" s="148"/>
      <c r="G6" s="148"/>
      <c r="H6" s="148"/>
      <c r="I6" s="149"/>
    </row>
    <row r="7" spans="1:9" ht="7.5" customHeight="1">
      <c r="C7" s="71"/>
      <c r="D7" s="71"/>
      <c r="E7" s="68"/>
      <c r="F7" s="68"/>
      <c r="G7" s="68"/>
      <c r="H7" s="68"/>
      <c r="I7" s="68"/>
    </row>
    <row r="8" spans="1:9" ht="18.75" customHeight="1">
      <c r="A8" s="9" t="s">
        <v>10</v>
      </c>
      <c r="B8" s="9" t="s">
        <v>95</v>
      </c>
      <c r="C8" s="71"/>
      <c r="D8" s="71"/>
      <c r="E8" s="71"/>
      <c r="F8" s="71"/>
      <c r="G8" s="71"/>
      <c r="H8" s="71"/>
      <c r="I8" s="71"/>
    </row>
    <row r="9" spans="1:9" ht="18.75" customHeight="1">
      <c r="B9" s="154" t="s">
        <v>210</v>
      </c>
      <c r="C9" s="155"/>
      <c r="D9" s="155"/>
      <c r="E9" s="155"/>
      <c r="F9" s="155"/>
      <c r="G9" s="155"/>
      <c r="H9" s="155"/>
      <c r="I9" s="156"/>
    </row>
    <row r="10" spans="1:9" ht="18.75" customHeight="1">
      <c r="B10" s="157"/>
      <c r="C10" s="158"/>
      <c r="D10" s="158"/>
      <c r="E10" s="158"/>
      <c r="F10" s="158"/>
      <c r="G10" s="158"/>
      <c r="H10" s="158"/>
      <c r="I10" s="159"/>
    </row>
    <row r="11" spans="1:9" ht="18.75" customHeight="1">
      <c r="B11" s="157"/>
      <c r="C11" s="158"/>
      <c r="D11" s="158"/>
      <c r="E11" s="158"/>
      <c r="F11" s="158"/>
      <c r="G11" s="158"/>
      <c r="H11" s="158"/>
      <c r="I11" s="159"/>
    </row>
    <row r="12" spans="1:9" ht="18.75" customHeight="1">
      <c r="B12" s="157"/>
      <c r="C12" s="158"/>
      <c r="D12" s="158"/>
      <c r="E12" s="158"/>
      <c r="F12" s="158"/>
      <c r="G12" s="158"/>
      <c r="H12" s="158"/>
      <c r="I12" s="159"/>
    </row>
    <row r="13" spans="1:9" ht="18.75" customHeight="1">
      <c r="B13" s="157"/>
      <c r="C13" s="158"/>
      <c r="D13" s="158"/>
      <c r="E13" s="158"/>
      <c r="F13" s="158"/>
      <c r="G13" s="158"/>
      <c r="H13" s="158"/>
      <c r="I13" s="159"/>
    </row>
    <row r="14" spans="1:9" ht="18.75" customHeight="1">
      <c r="B14" s="157"/>
      <c r="C14" s="158"/>
      <c r="D14" s="158"/>
      <c r="E14" s="158"/>
      <c r="F14" s="158"/>
      <c r="G14" s="158"/>
      <c r="H14" s="158"/>
      <c r="I14" s="159"/>
    </row>
    <row r="15" spans="1:9" ht="18.75" customHeight="1">
      <c r="B15" s="157"/>
      <c r="C15" s="158"/>
      <c r="D15" s="158"/>
      <c r="E15" s="158"/>
      <c r="F15" s="158"/>
      <c r="G15" s="158"/>
      <c r="H15" s="158"/>
      <c r="I15" s="159"/>
    </row>
    <row r="16" spans="1:9" ht="18.75" customHeight="1">
      <c r="B16" s="160"/>
      <c r="C16" s="161"/>
      <c r="D16" s="161"/>
      <c r="E16" s="161"/>
      <c r="F16" s="161"/>
      <c r="G16" s="161"/>
      <c r="H16" s="161"/>
      <c r="I16" s="162"/>
    </row>
    <row r="17" spans="1:10" ht="7.5" customHeight="1">
      <c r="C17" s="71"/>
      <c r="D17" s="71"/>
      <c r="E17" s="71"/>
      <c r="F17" s="71"/>
      <c r="G17" s="71"/>
      <c r="H17" s="71"/>
      <c r="I17" s="71"/>
    </row>
    <row r="18" spans="1:10" ht="18.75" customHeight="1">
      <c r="A18" s="71" t="s">
        <v>11</v>
      </c>
      <c r="B18" s="11" t="s">
        <v>96</v>
      </c>
      <c r="C18" s="11"/>
      <c r="D18" s="11"/>
      <c r="E18" s="11"/>
      <c r="F18" s="71"/>
      <c r="G18" s="71"/>
      <c r="H18" s="71"/>
      <c r="I18" s="71"/>
      <c r="J18" s="71"/>
    </row>
    <row r="19" spans="1:10" ht="18.75" customHeight="1">
      <c r="A19" s="152" t="s">
        <v>96</v>
      </c>
      <c r="B19" s="152"/>
      <c r="C19" s="152"/>
      <c r="D19" s="152"/>
      <c r="E19" s="152"/>
      <c r="F19" s="153" t="s">
        <v>96</v>
      </c>
      <c r="G19" s="153"/>
      <c r="H19" s="153"/>
      <c r="I19" s="153"/>
    </row>
    <row r="20" spans="1:10" ht="18.75" customHeight="1">
      <c r="A20" s="50">
        <v>1</v>
      </c>
      <c r="B20" s="135" t="s">
        <v>151</v>
      </c>
      <c r="C20" s="136"/>
      <c r="D20" s="136"/>
      <c r="E20" s="150"/>
      <c r="F20" s="50">
        <v>26</v>
      </c>
      <c r="G20" s="135"/>
      <c r="H20" s="136"/>
      <c r="I20" s="150"/>
    </row>
    <row r="21" spans="1:10" ht="18.75" customHeight="1">
      <c r="A21" s="50">
        <v>2</v>
      </c>
      <c r="B21" s="135" t="s">
        <v>152</v>
      </c>
      <c r="C21" s="136"/>
      <c r="D21" s="136"/>
      <c r="E21" s="150"/>
      <c r="F21" s="50">
        <v>27</v>
      </c>
      <c r="G21" s="135"/>
      <c r="H21" s="136"/>
      <c r="I21" s="150"/>
    </row>
    <row r="22" spans="1:10" ht="18.75" customHeight="1">
      <c r="A22" s="50">
        <v>3</v>
      </c>
      <c r="B22" s="135"/>
      <c r="C22" s="136"/>
      <c r="D22" s="136"/>
      <c r="E22" s="150"/>
      <c r="F22" s="50">
        <v>28</v>
      </c>
      <c r="G22" s="135"/>
      <c r="H22" s="136"/>
      <c r="I22" s="150"/>
    </row>
    <row r="23" spans="1:10" ht="18.75" customHeight="1">
      <c r="A23" s="50">
        <v>4</v>
      </c>
      <c r="B23" s="135"/>
      <c r="C23" s="136"/>
      <c r="D23" s="136"/>
      <c r="E23" s="150"/>
      <c r="F23" s="50">
        <v>29</v>
      </c>
      <c r="G23" s="135"/>
      <c r="H23" s="136"/>
      <c r="I23" s="150"/>
    </row>
    <row r="24" spans="1:10" ht="18.75" customHeight="1">
      <c r="A24" s="50">
        <v>5</v>
      </c>
      <c r="B24" s="135"/>
      <c r="C24" s="136"/>
      <c r="D24" s="136"/>
      <c r="E24" s="150"/>
      <c r="F24" s="50">
        <v>30</v>
      </c>
      <c r="G24" s="135"/>
      <c r="H24" s="136"/>
      <c r="I24" s="150"/>
    </row>
    <row r="25" spans="1:10" ht="18.75" customHeight="1">
      <c r="A25" s="50">
        <v>6</v>
      </c>
      <c r="B25" s="135"/>
      <c r="C25" s="136"/>
      <c r="D25" s="136"/>
      <c r="E25" s="150"/>
      <c r="F25" s="50">
        <v>31</v>
      </c>
      <c r="G25" s="135"/>
      <c r="H25" s="136"/>
      <c r="I25" s="150"/>
    </row>
    <row r="26" spans="1:10" ht="18.75" customHeight="1">
      <c r="A26" s="50">
        <v>7</v>
      </c>
      <c r="B26" s="135"/>
      <c r="C26" s="136"/>
      <c r="D26" s="136"/>
      <c r="E26" s="150"/>
      <c r="F26" s="50">
        <v>32</v>
      </c>
      <c r="G26" s="135"/>
      <c r="H26" s="136"/>
      <c r="I26" s="150"/>
    </row>
    <row r="27" spans="1:10" ht="18.75" customHeight="1">
      <c r="A27" s="50">
        <v>8</v>
      </c>
      <c r="B27" s="135"/>
      <c r="C27" s="136"/>
      <c r="D27" s="136"/>
      <c r="E27" s="150"/>
      <c r="F27" s="50">
        <v>33</v>
      </c>
      <c r="G27" s="135"/>
      <c r="H27" s="136"/>
      <c r="I27" s="150"/>
    </row>
    <row r="28" spans="1:10" ht="18.75" customHeight="1">
      <c r="A28" s="50">
        <v>9</v>
      </c>
      <c r="B28" s="135"/>
      <c r="C28" s="136"/>
      <c r="D28" s="136"/>
      <c r="E28" s="150"/>
      <c r="F28" s="50">
        <v>34</v>
      </c>
      <c r="G28" s="135"/>
      <c r="H28" s="136"/>
      <c r="I28" s="150"/>
    </row>
    <row r="29" spans="1:10" ht="18.75" customHeight="1">
      <c r="A29" s="50">
        <v>10</v>
      </c>
      <c r="B29" s="135"/>
      <c r="C29" s="136"/>
      <c r="D29" s="136"/>
      <c r="E29" s="150"/>
      <c r="F29" s="50">
        <v>35</v>
      </c>
      <c r="G29" s="135"/>
      <c r="H29" s="136"/>
      <c r="I29" s="150"/>
    </row>
    <row r="30" spans="1:10" ht="18.75" customHeight="1">
      <c r="A30" s="50">
        <v>11</v>
      </c>
      <c r="B30" s="135"/>
      <c r="C30" s="136"/>
      <c r="D30" s="136"/>
      <c r="E30" s="150"/>
      <c r="F30" s="50">
        <v>36</v>
      </c>
      <c r="G30" s="135"/>
      <c r="H30" s="136"/>
      <c r="I30" s="150"/>
    </row>
    <row r="31" spans="1:10" ht="18.75" customHeight="1">
      <c r="A31" s="50">
        <v>12</v>
      </c>
      <c r="B31" s="135"/>
      <c r="C31" s="136"/>
      <c r="D31" s="136"/>
      <c r="E31" s="150"/>
      <c r="F31" s="50">
        <v>37</v>
      </c>
      <c r="G31" s="135"/>
      <c r="H31" s="136"/>
      <c r="I31" s="150"/>
    </row>
    <row r="32" spans="1:10" ht="18.75" customHeight="1">
      <c r="A32" s="50">
        <v>13</v>
      </c>
      <c r="B32" s="135"/>
      <c r="C32" s="136"/>
      <c r="D32" s="136"/>
      <c r="E32" s="150"/>
      <c r="F32" s="50">
        <v>38</v>
      </c>
      <c r="G32" s="135"/>
      <c r="H32" s="136"/>
      <c r="I32" s="150"/>
    </row>
    <row r="33" spans="1:9" ht="18.75" customHeight="1">
      <c r="A33" s="50">
        <v>14</v>
      </c>
      <c r="B33" s="135"/>
      <c r="C33" s="136"/>
      <c r="D33" s="136"/>
      <c r="E33" s="150"/>
      <c r="F33" s="50">
        <v>39</v>
      </c>
      <c r="G33" s="135"/>
      <c r="H33" s="136"/>
      <c r="I33" s="150"/>
    </row>
    <row r="34" spans="1:9" ht="18.75" customHeight="1">
      <c r="A34" s="50">
        <v>15</v>
      </c>
      <c r="B34" s="135"/>
      <c r="C34" s="136"/>
      <c r="D34" s="136"/>
      <c r="E34" s="150"/>
      <c r="F34" s="50">
        <v>40</v>
      </c>
      <c r="G34" s="135"/>
      <c r="H34" s="136"/>
      <c r="I34" s="150"/>
    </row>
    <row r="35" spans="1:9" ht="18.75" customHeight="1">
      <c r="A35" s="50">
        <v>16</v>
      </c>
      <c r="B35" s="135"/>
      <c r="C35" s="136"/>
      <c r="D35" s="136"/>
      <c r="E35" s="150"/>
      <c r="F35" s="50">
        <v>41</v>
      </c>
      <c r="G35" s="135"/>
      <c r="H35" s="136"/>
      <c r="I35" s="150"/>
    </row>
    <row r="36" spans="1:9" ht="18.75" customHeight="1">
      <c r="A36" s="50">
        <v>17</v>
      </c>
      <c r="B36" s="135"/>
      <c r="C36" s="136"/>
      <c r="D36" s="136"/>
      <c r="E36" s="150"/>
      <c r="F36" s="50">
        <v>42</v>
      </c>
      <c r="G36" s="135"/>
      <c r="H36" s="136"/>
      <c r="I36" s="150"/>
    </row>
    <row r="37" spans="1:9" ht="18.75" customHeight="1">
      <c r="A37" s="50">
        <v>18</v>
      </c>
      <c r="B37" s="135"/>
      <c r="C37" s="136"/>
      <c r="D37" s="136"/>
      <c r="E37" s="150"/>
      <c r="F37" s="50">
        <v>43</v>
      </c>
      <c r="G37" s="135"/>
      <c r="H37" s="136"/>
      <c r="I37" s="150"/>
    </row>
    <row r="38" spans="1:9" ht="18.75" customHeight="1">
      <c r="A38" s="50">
        <v>19</v>
      </c>
      <c r="B38" s="135"/>
      <c r="C38" s="136"/>
      <c r="D38" s="136"/>
      <c r="E38" s="150"/>
      <c r="F38" s="50">
        <v>44</v>
      </c>
      <c r="G38" s="135"/>
      <c r="H38" s="136"/>
      <c r="I38" s="150"/>
    </row>
    <row r="39" spans="1:9" ht="18.75" customHeight="1">
      <c r="A39" s="50">
        <v>20</v>
      </c>
      <c r="B39" s="135"/>
      <c r="C39" s="136"/>
      <c r="D39" s="136"/>
      <c r="E39" s="150"/>
      <c r="F39" s="50">
        <v>45</v>
      </c>
      <c r="G39" s="135"/>
      <c r="H39" s="136"/>
      <c r="I39" s="150"/>
    </row>
    <row r="40" spans="1:9" ht="18.75" customHeight="1">
      <c r="A40" s="50">
        <v>21</v>
      </c>
      <c r="B40" s="135"/>
      <c r="C40" s="136"/>
      <c r="D40" s="136"/>
      <c r="E40" s="150"/>
      <c r="F40" s="50">
        <v>46</v>
      </c>
      <c r="G40" s="135"/>
      <c r="H40" s="136"/>
      <c r="I40" s="150"/>
    </row>
    <row r="41" spans="1:9" ht="18.75" customHeight="1">
      <c r="A41" s="50">
        <v>22</v>
      </c>
      <c r="B41" s="135"/>
      <c r="C41" s="136"/>
      <c r="D41" s="136"/>
      <c r="E41" s="150"/>
      <c r="F41" s="50">
        <v>47</v>
      </c>
      <c r="G41" s="135"/>
      <c r="H41" s="136"/>
      <c r="I41" s="150"/>
    </row>
    <row r="42" spans="1:9" ht="18.75" customHeight="1">
      <c r="A42" s="50">
        <v>23</v>
      </c>
      <c r="B42" s="135"/>
      <c r="C42" s="136"/>
      <c r="D42" s="136"/>
      <c r="E42" s="150"/>
      <c r="F42" s="50">
        <v>48</v>
      </c>
      <c r="G42" s="135"/>
      <c r="H42" s="136"/>
      <c r="I42" s="150"/>
    </row>
    <row r="43" spans="1:9" ht="18.75" customHeight="1">
      <c r="A43" s="50">
        <v>24</v>
      </c>
      <c r="B43" s="135"/>
      <c r="C43" s="136"/>
      <c r="D43" s="136"/>
      <c r="E43" s="150"/>
      <c r="F43" s="50">
        <v>49</v>
      </c>
      <c r="G43" s="135"/>
      <c r="H43" s="136"/>
      <c r="I43" s="150"/>
    </row>
    <row r="44" spans="1:9" ht="18.75" customHeight="1">
      <c r="A44" s="50">
        <v>25</v>
      </c>
      <c r="B44" s="135"/>
      <c r="C44" s="136"/>
      <c r="D44" s="136"/>
      <c r="E44" s="150"/>
      <c r="F44" s="50">
        <v>50</v>
      </c>
      <c r="G44" s="135"/>
      <c r="H44" s="136"/>
      <c r="I44" s="150"/>
    </row>
  </sheetData>
  <mergeCells count="56">
    <mergeCell ref="H2:I2"/>
    <mergeCell ref="A4:I4"/>
    <mergeCell ref="E6:I6"/>
    <mergeCell ref="B9:I16"/>
    <mergeCell ref="A19:E19"/>
    <mergeCell ref="F19:I19"/>
    <mergeCell ref="B20:E20"/>
    <mergeCell ref="G20:I20"/>
    <mergeCell ref="B21:E21"/>
    <mergeCell ref="G21:I21"/>
    <mergeCell ref="B22:E22"/>
    <mergeCell ref="G22:I22"/>
    <mergeCell ref="B23:E23"/>
    <mergeCell ref="G23:I23"/>
    <mergeCell ref="B24:E24"/>
    <mergeCell ref="G24:I24"/>
    <mergeCell ref="B25:E25"/>
    <mergeCell ref="G25:I25"/>
    <mergeCell ref="B26:E26"/>
    <mergeCell ref="G26:I26"/>
    <mergeCell ref="B27:E27"/>
    <mergeCell ref="G27:I27"/>
    <mergeCell ref="B28:E28"/>
    <mergeCell ref="G28:I28"/>
    <mergeCell ref="B29:E29"/>
    <mergeCell ref="G29:I29"/>
    <mergeCell ref="B30:E30"/>
    <mergeCell ref="G30:I30"/>
    <mergeCell ref="B31:E31"/>
    <mergeCell ref="G31:I31"/>
    <mergeCell ref="B32:E32"/>
    <mergeCell ref="G32:I32"/>
    <mergeCell ref="B33:E33"/>
    <mergeCell ref="G33:I33"/>
    <mergeCell ref="B34:E34"/>
    <mergeCell ref="G34:I34"/>
    <mergeCell ref="B35:E35"/>
    <mergeCell ref="G35:I35"/>
    <mergeCell ref="B36:E36"/>
    <mergeCell ref="G36:I36"/>
    <mergeCell ref="B37:E37"/>
    <mergeCell ref="G37:I37"/>
    <mergeCell ref="B38:E38"/>
    <mergeCell ref="G38:I38"/>
    <mergeCell ref="B39:E39"/>
    <mergeCell ref="G39:I39"/>
    <mergeCell ref="B40:E40"/>
    <mergeCell ref="G40:I40"/>
    <mergeCell ref="B44:E44"/>
    <mergeCell ref="G44:I44"/>
    <mergeCell ref="B41:E41"/>
    <mergeCell ref="G41:I41"/>
    <mergeCell ref="B42:E42"/>
    <mergeCell ref="G42:I42"/>
    <mergeCell ref="B43:E43"/>
    <mergeCell ref="G43:I43"/>
  </mergeCells>
  <phoneticPr fontId="1"/>
  <dataValidations count="2">
    <dataValidation type="list" allowBlank="1" showInputMessage="1" showErrorMessage="1" sqref="E6:I6">
      <formula1>"学部・学科によって、修了要件は相違する,学部・学科によって、修了要件は相違しない"</formula1>
    </dataValidation>
    <dataValidation type="list" allowBlank="1" showInputMessage="1" showErrorMessage="1" sqref="E7:I7">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9"/>
  <sheetViews>
    <sheetView workbookViewId="0">
      <selection activeCell="T22" sqref="T22"/>
    </sheetView>
  </sheetViews>
  <sheetFormatPr defaultColWidth="9" defaultRowHeight="18.75" customHeight="1"/>
  <cols>
    <col min="1" max="1" width="2.44140625" style="1" customWidth="1"/>
    <col min="2" max="2" width="12.44140625" style="1" customWidth="1"/>
    <col min="3" max="3" width="21" style="1" customWidth="1"/>
    <col min="4" max="18" width="6.21875" style="1" customWidth="1"/>
    <col min="19" max="16384" width="9" style="1"/>
  </cols>
  <sheetData>
    <row r="1" spans="1:20" ht="18.75" customHeight="1">
      <c r="F1" s="163" t="s">
        <v>68</v>
      </c>
      <c r="G1" s="163"/>
      <c r="H1" s="163"/>
      <c r="I1" s="163"/>
      <c r="J1" s="163"/>
      <c r="K1" s="163"/>
      <c r="L1" s="163"/>
      <c r="M1" s="163"/>
      <c r="N1" s="163"/>
      <c r="O1" s="163"/>
      <c r="P1" s="163"/>
      <c r="Q1" s="163"/>
      <c r="R1" s="163"/>
    </row>
    <row r="2" spans="1:20" ht="18.75" customHeight="1">
      <c r="D2" s="27"/>
      <c r="E2" s="27"/>
      <c r="F2" s="27"/>
      <c r="G2" s="27"/>
      <c r="H2" s="27"/>
      <c r="I2" s="27"/>
      <c r="J2" s="27"/>
      <c r="K2" s="163" t="s">
        <v>60</v>
      </c>
      <c r="L2" s="163"/>
      <c r="M2" s="4" t="s">
        <v>153</v>
      </c>
      <c r="N2" s="27"/>
      <c r="O2" s="27"/>
      <c r="P2" s="27"/>
      <c r="Q2" s="27"/>
      <c r="R2" s="27"/>
    </row>
    <row r="3" spans="1:20" ht="7.5" customHeight="1"/>
    <row r="4" spans="1:20" ht="18.75" customHeight="1">
      <c r="A4" s="173" t="s">
        <v>110</v>
      </c>
      <c r="B4" s="173"/>
      <c r="C4" s="173"/>
      <c r="D4" s="173"/>
      <c r="E4" s="173"/>
      <c r="F4" s="173"/>
      <c r="G4" s="173"/>
      <c r="H4" s="173"/>
      <c r="I4" s="173"/>
      <c r="J4" s="173"/>
      <c r="K4" s="173"/>
      <c r="L4" s="173"/>
      <c r="M4" s="173"/>
      <c r="N4" s="173"/>
      <c r="O4" s="173"/>
      <c r="P4" s="173"/>
      <c r="Q4" s="173"/>
      <c r="R4" s="173"/>
      <c r="S4" s="4"/>
    </row>
    <row r="5" spans="1:20" ht="7.5" customHeight="1">
      <c r="A5" s="8"/>
      <c r="B5" s="8"/>
      <c r="C5" s="8"/>
      <c r="D5" s="8"/>
      <c r="E5" s="8"/>
      <c r="F5" s="8"/>
      <c r="G5" s="26"/>
      <c r="H5" s="26"/>
      <c r="I5" s="26"/>
      <c r="J5" s="26"/>
      <c r="K5" s="26"/>
      <c r="L5" s="26"/>
      <c r="M5" s="26"/>
      <c r="N5" s="26"/>
      <c r="O5" s="26"/>
      <c r="P5" s="26"/>
      <c r="Q5" s="26"/>
      <c r="R5" s="8"/>
    </row>
    <row r="6" spans="1:20" ht="18.75" customHeight="1">
      <c r="B6" s="176" t="s">
        <v>117</v>
      </c>
      <c r="C6" s="177"/>
      <c r="D6" s="164" t="s">
        <v>84</v>
      </c>
      <c r="E6" s="166" t="s">
        <v>214</v>
      </c>
      <c r="F6" s="166"/>
      <c r="G6" s="166" t="s">
        <v>215</v>
      </c>
      <c r="H6" s="166"/>
      <c r="I6" s="167" t="s">
        <v>216</v>
      </c>
      <c r="J6" s="168"/>
      <c r="K6" s="167" t="s">
        <v>217</v>
      </c>
      <c r="L6" s="168"/>
      <c r="M6" s="167" t="s">
        <v>207</v>
      </c>
      <c r="N6" s="168"/>
      <c r="O6" s="167" t="s">
        <v>208</v>
      </c>
      <c r="P6" s="168"/>
      <c r="Q6" s="169" t="s">
        <v>67</v>
      </c>
      <c r="R6" s="171" t="s">
        <v>61</v>
      </c>
      <c r="T6"/>
    </row>
    <row r="7" spans="1:20" ht="18.75" customHeight="1">
      <c r="B7" s="178"/>
      <c r="C7" s="179"/>
      <c r="D7" s="165"/>
      <c r="E7" s="76" t="s">
        <v>47</v>
      </c>
      <c r="F7" s="77" t="s">
        <v>46</v>
      </c>
      <c r="G7" s="78" t="s">
        <v>47</v>
      </c>
      <c r="H7" s="79" t="s">
        <v>46</v>
      </c>
      <c r="I7" s="76" t="s">
        <v>47</v>
      </c>
      <c r="J7" s="77" t="s">
        <v>46</v>
      </c>
      <c r="K7" s="78" t="s">
        <v>47</v>
      </c>
      <c r="L7" s="79" t="s">
        <v>46</v>
      </c>
      <c r="M7" s="76" t="s">
        <v>47</v>
      </c>
      <c r="N7" s="77" t="s">
        <v>46</v>
      </c>
      <c r="O7" s="78" t="s">
        <v>47</v>
      </c>
      <c r="P7" s="79" t="s">
        <v>46</v>
      </c>
      <c r="Q7" s="170"/>
      <c r="R7" s="172"/>
      <c r="T7"/>
    </row>
    <row r="8" spans="1:20" ht="18.75" customHeight="1">
      <c r="A8" s="29"/>
      <c r="B8" s="186" t="s">
        <v>146</v>
      </c>
      <c r="C8" s="187"/>
      <c r="D8" s="80">
        <v>400</v>
      </c>
      <c r="E8" s="83">
        <v>116</v>
      </c>
      <c r="F8" s="84">
        <v>99</v>
      </c>
      <c r="G8" s="83"/>
      <c r="H8" s="84"/>
      <c r="I8" s="81"/>
      <c r="J8" s="82"/>
      <c r="K8" s="83"/>
      <c r="L8" s="84"/>
      <c r="M8" s="81"/>
      <c r="N8" s="82"/>
      <c r="O8" s="53"/>
      <c r="P8" s="54"/>
      <c r="Q8" s="85">
        <f>O8+G8+I8+K8+M8+E8</f>
        <v>116</v>
      </c>
      <c r="R8" s="86">
        <f>Q8/D8</f>
        <v>0.28999999999999998</v>
      </c>
    </row>
    <row r="9" spans="1:20" ht="18.75" customHeight="1">
      <c r="A9" s="29"/>
      <c r="B9" s="188" t="s">
        <v>145</v>
      </c>
      <c r="C9" s="189"/>
      <c r="D9" s="87">
        <v>200</v>
      </c>
      <c r="E9" s="90">
        <v>44</v>
      </c>
      <c r="F9" s="91">
        <v>43</v>
      </c>
      <c r="G9" s="90"/>
      <c r="H9" s="91"/>
      <c r="I9" s="88"/>
      <c r="J9" s="89"/>
      <c r="K9" s="90"/>
      <c r="L9" s="91"/>
      <c r="M9" s="88"/>
      <c r="N9" s="89"/>
      <c r="O9" s="53"/>
      <c r="P9" s="54"/>
      <c r="Q9" s="92">
        <f>O9+G9+I9+K9+M9+E9</f>
        <v>44</v>
      </c>
      <c r="R9" s="86">
        <f t="shared" ref="R9" si="0">Q9/D9</f>
        <v>0.22</v>
      </c>
    </row>
    <row r="10" spans="1:20" ht="18.75" customHeight="1">
      <c r="A10" s="29"/>
      <c r="B10" s="184"/>
      <c r="C10" s="185"/>
      <c r="D10" s="52"/>
      <c r="E10" s="53"/>
      <c r="F10" s="54"/>
      <c r="G10" s="55"/>
      <c r="H10" s="56"/>
      <c r="I10" s="53"/>
      <c r="J10" s="54"/>
      <c r="K10" s="55"/>
      <c r="L10" s="56"/>
      <c r="M10" s="53"/>
      <c r="N10" s="54"/>
      <c r="O10" s="55"/>
      <c r="P10" s="56"/>
      <c r="Q10" s="57"/>
      <c r="R10" s="51"/>
    </row>
    <row r="11" spans="1:20" ht="18.75" customHeight="1">
      <c r="A11" s="29"/>
      <c r="B11" s="184"/>
      <c r="C11" s="185"/>
      <c r="D11" s="52"/>
      <c r="E11" s="53"/>
      <c r="F11" s="54"/>
      <c r="G11" s="55"/>
      <c r="H11" s="56"/>
      <c r="I11" s="53"/>
      <c r="J11" s="54"/>
      <c r="K11" s="55"/>
      <c r="L11" s="56"/>
      <c r="M11" s="53"/>
      <c r="N11" s="54"/>
      <c r="O11" s="55"/>
      <c r="P11" s="56"/>
      <c r="Q11" s="57"/>
      <c r="R11" s="51"/>
    </row>
    <row r="12" spans="1:20" ht="18.75" customHeight="1">
      <c r="A12" s="29"/>
      <c r="B12" s="184"/>
      <c r="C12" s="185"/>
      <c r="D12" s="52"/>
      <c r="E12" s="53"/>
      <c r="F12" s="54"/>
      <c r="G12" s="55"/>
      <c r="H12" s="56"/>
      <c r="I12" s="53"/>
      <c r="J12" s="54"/>
      <c r="K12" s="55"/>
      <c r="L12" s="56"/>
      <c r="M12" s="53"/>
      <c r="N12" s="54"/>
      <c r="O12" s="55"/>
      <c r="P12" s="56"/>
      <c r="Q12" s="57"/>
      <c r="R12" s="51"/>
    </row>
    <row r="13" spans="1:20" ht="18.75" customHeight="1">
      <c r="A13" s="29"/>
      <c r="B13" s="184"/>
      <c r="C13" s="185"/>
      <c r="D13" s="52"/>
      <c r="E13" s="53"/>
      <c r="F13" s="54"/>
      <c r="G13" s="55"/>
      <c r="H13" s="56"/>
      <c r="I13" s="53"/>
      <c r="J13" s="54"/>
      <c r="K13" s="55"/>
      <c r="L13" s="56"/>
      <c r="M13" s="53"/>
      <c r="N13" s="54"/>
      <c r="O13" s="55"/>
      <c r="P13" s="56"/>
      <c r="Q13" s="57"/>
      <c r="R13" s="51"/>
    </row>
    <row r="14" spans="1:20" ht="18.75" customHeight="1">
      <c r="A14" s="29"/>
      <c r="B14" s="180"/>
      <c r="C14" s="181"/>
      <c r="D14" s="32"/>
      <c r="E14" s="35"/>
      <c r="F14" s="40"/>
      <c r="G14" s="41"/>
      <c r="H14" s="37"/>
      <c r="I14" s="35"/>
      <c r="J14" s="40"/>
      <c r="K14" s="41"/>
      <c r="L14" s="37"/>
      <c r="M14" s="35"/>
      <c r="N14" s="40"/>
      <c r="O14" s="41"/>
      <c r="P14" s="37"/>
      <c r="Q14" s="28"/>
      <c r="R14" s="33"/>
    </row>
    <row r="15" spans="1:20" ht="18.75" customHeight="1">
      <c r="A15" s="29"/>
      <c r="B15" s="180"/>
      <c r="C15" s="181"/>
      <c r="D15" s="32"/>
      <c r="E15" s="35"/>
      <c r="F15" s="40"/>
      <c r="G15" s="41"/>
      <c r="H15" s="37"/>
      <c r="I15" s="35"/>
      <c r="J15" s="40"/>
      <c r="K15" s="41"/>
      <c r="L15" s="37"/>
      <c r="M15" s="35"/>
      <c r="N15" s="40"/>
      <c r="O15" s="41"/>
      <c r="P15" s="37"/>
      <c r="Q15" s="28"/>
      <c r="R15" s="33"/>
    </row>
    <row r="16" spans="1:20" ht="18.75" customHeight="1">
      <c r="A16" s="29"/>
      <c r="B16" s="180"/>
      <c r="C16" s="181"/>
      <c r="D16" s="46"/>
      <c r="E16" s="35"/>
      <c r="F16" s="40"/>
      <c r="G16" s="41"/>
      <c r="H16" s="37"/>
      <c r="I16" s="35"/>
      <c r="J16" s="40"/>
      <c r="K16" s="41"/>
      <c r="L16" s="37"/>
      <c r="M16" s="35"/>
      <c r="N16" s="40"/>
      <c r="O16" s="41"/>
      <c r="P16" s="37"/>
      <c r="Q16" s="28"/>
      <c r="R16" s="33"/>
    </row>
    <row r="17" spans="1:18" ht="18.75" customHeight="1">
      <c r="A17" s="29"/>
      <c r="B17" s="180"/>
      <c r="C17" s="181"/>
      <c r="D17" s="32"/>
      <c r="E17" s="35"/>
      <c r="F17" s="40"/>
      <c r="G17" s="41"/>
      <c r="H17" s="37"/>
      <c r="I17" s="35"/>
      <c r="J17" s="40"/>
      <c r="K17" s="41"/>
      <c r="L17" s="37"/>
      <c r="M17" s="35"/>
      <c r="N17" s="40"/>
      <c r="O17" s="41"/>
      <c r="P17" s="37"/>
      <c r="Q17" s="28"/>
      <c r="R17" s="33"/>
    </row>
    <row r="18" spans="1:18" ht="18.75" customHeight="1">
      <c r="A18" s="29"/>
      <c r="B18" s="180"/>
      <c r="C18" s="181"/>
      <c r="D18" s="32"/>
      <c r="E18" s="35"/>
      <c r="F18" s="40"/>
      <c r="G18" s="41"/>
      <c r="H18" s="37"/>
      <c r="I18" s="35"/>
      <c r="J18" s="40"/>
      <c r="K18" s="41"/>
      <c r="L18" s="37"/>
      <c r="M18" s="35"/>
      <c r="N18" s="40"/>
      <c r="O18" s="41"/>
      <c r="P18" s="37"/>
      <c r="Q18" s="28"/>
      <c r="R18" s="33"/>
    </row>
    <row r="19" spans="1:18" ht="18.75" customHeight="1">
      <c r="A19" s="29"/>
      <c r="B19" s="180"/>
      <c r="C19" s="181"/>
      <c r="D19" s="32"/>
      <c r="E19" s="35"/>
      <c r="F19" s="40"/>
      <c r="G19" s="41"/>
      <c r="H19" s="37"/>
      <c r="I19" s="35"/>
      <c r="J19" s="40"/>
      <c r="K19" s="41"/>
      <c r="L19" s="37"/>
      <c r="M19" s="35"/>
      <c r="N19" s="40"/>
      <c r="O19" s="41"/>
      <c r="P19" s="37"/>
      <c r="Q19" s="28"/>
      <c r="R19" s="33"/>
    </row>
    <row r="20" spans="1:18" ht="18.75" customHeight="1">
      <c r="A20" s="29"/>
      <c r="B20" s="180"/>
      <c r="C20" s="181"/>
      <c r="D20" s="32"/>
      <c r="E20" s="35"/>
      <c r="F20" s="40"/>
      <c r="G20" s="41"/>
      <c r="H20" s="37"/>
      <c r="I20" s="35"/>
      <c r="J20" s="40"/>
      <c r="K20" s="41"/>
      <c r="L20" s="37"/>
      <c r="M20" s="35"/>
      <c r="N20" s="40"/>
      <c r="O20" s="41"/>
      <c r="P20" s="37"/>
      <c r="Q20" s="28"/>
      <c r="R20" s="33"/>
    </row>
    <row r="21" spans="1:18" ht="18.75" customHeight="1">
      <c r="A21" s="29"/>
      <c r="B21" s="180"/>
      <c r="C21" s="181"/>
      <c r="D21" s="32"/>
      <c r="E21" s="35"/>
      <c r="F21" s="40"/>
      <c r="G21" s="41"/>
      <c r="H21" s="37"/>
      <c r="I21" s="35"/>
      <c r="J21" s="40"/>
      <c r="K21" s="41"/>
      <c r="L21" s="37"/>
      <c r="M21" s="35"/>
      <c r="N21" s="40"/>
      <c r="O21" s="41"/>
      <c r="P21" s="37"/>
      <c r="Q21" s="28"/>
      <c r="R21" s="33"/>
    </row>
    <row r="22" spans="1:18" ht="18.75" customHeight="1">
      <c r="A22" s="29"/>
      <c r="B22" s="180"/>
      <c r="C22" s="181"/>
      <c r="D22" s="32"/>
      <c r="E22" s="35"/>
      <c r="F22" s="40"/>
      <c r="G22" s="41"/>
      <c r="H22" s="37"/>
      <c r="I22" s="35"/>
      <c r="J22" s="40"/>
      <c r="K22" s="41"/>
      <c r="L22" s="37"/>
      <c r="M22" s="35"/>
      <c r="N22" s="40"/>
      <c r="O22" s="41"/>
      <c r="P22" s="37"/>
      <c r="Q22" s="28"/>
      <c r="R22" s="33"/>
    </row>
    <row r="23" spans="1:18" ht="18.75" customHeight="1">
      <c r="A23" s="29"/>
      <c r="B23" s="180"/>
      <c r="C23" s="181"/>
      <c r="D23" s="32"/>
      <c r="E23" s="35"/>
      <c r="F23" s="40"/>
      <c r="G23" s="41"/>
      <c r="H23" s="37"/>
      <c r="I23" s="35"/>
      <c r="J23" s="40"/>
      <c r="K23" s="41"/>
      <c r="L23" s="37"/>
      <c r="M23" s="35"/>
      <c r="N23" s="40"/>
      <c r="O23" s="41"/>
      <c r="P23" s="37"/>
      <c r="Q23" s="28"/>
      <c r="R23" s="33"/>
    </row>
    <row r="24" spans="1:18" ht="18.75" customHeight="1">
      <c r="A24" s="29"/>
      <c r="B24" s="180"/>
      <c r="C24" s="181"/>
      <c r="D24" s="32"/>
      <c r="E24" s="35"/>
      <c r="F24" s="40"/>
      <c r="G24" s="41"/>
      <c r="H24" s="37"/>
      <c r="I24" s="35"/>
      <c r="J24" s="40"/>
      <c r="K24" s="41"/>
      <c r="L24" s="37"/>
      <c r="M24" s="35"/>
      <c r="N24" s="40"/>
      <c r="O24" s="41"/>
      <c r="P24" s="37"/>
      <c r="Q24" s="28"/>
      <c r="R24" s="33"/>
    </row>
    <row r="25" spans="1:18" ht="18.75" customHeight="1">
      <c r="A25" s="29"/>
      <c r="B25" s="180"/>
      <c r="C25" s="181"/>
      <c r="D25" s="32"/>
      <c r="E25" s="35"/>
      <c r="F25" s="40"/>
      <c r="G25" s="41"/>
      <c r="H25" s="37"/>
      <c r="I25" s="35"/>
      <c r="J25" s="40"/>
      <c r="K25" s="41"/>
      <c r="L25" s="37"/>
      <c r="M25" s="35"/>
      <c r="N25" s="40"/>
      <c r="O25" s="41"/>
      <c r="P25" s="37"/>
      <c r="Q25" s="28"/>
      <c r="R25" s="33"/>
    </row>
    <row r="26" spans="1:18" ht="18.75" customHeight="1">
      <c r="A26" s="29"/>
      <c r="B26" s="180"/>
      <c r="C26" s="181"/>
      <c r="D26" s="32"/>
      <c r="E26" s="35"/>
      <c r="F26" s="40"/>
      <c r="G26" s="41"/>
      <c r="H26" s="37"/>
      <c r="I26" s="35"/>
      <c r="J26" s="40"/>
      <c r="K26" s="41"/>
      <c r="L26" s="37"/>
      <c r="M26" s="35"/>
      <c r="N26" s="40"/>
      <c r="O26" s="41"/>
      <c r="P26" s="37"/>
      <c r="Q26" s="28"/>
      <c r="R26" s="33"/>
    </row>
    <row r="27" spans="1:18" ht="18.75" customHeight="1" thickBot="1">
      <c r="A27" s="29"/>
      <c r="B27" s="182"/>
      <c r="C27" s="183"/>
      <c r="D27" s="31"/>
      <c r="E27" s="34"/>
      <c r="F27" s="38"/>
      <c r="G27" s="39"/>
      <c r="H27" s="36"/>
      <c r="I27" s="34"/>
      <c r="J27" s="38"/>
      <c r="K27" s="39"/>
      <c r="L27" s="36"/>
      <c r="M27" s="34"/>
      <c r="N27" s="38"/>
      <c r="O27" s="39"/>
      <c r="P27" s="36"/>
      <c r="Q27" s="42"/>
      <c r="R27" s="33"/>
    </row>
    <row r="28" spans="1:18" ht="18.75" customHeight="1" thickTop="1">
      <c r="A28" s="29"/>
      <c r="B28" s="174" t="s">
        <v>62</v>
      </c>
      <c r="C28" s="175"/>
      <c r="D28" s="113">
        <f t="shared" ref="D28:Q28" si="1">SUM(D8:D27)</f>
        <v>600</v>
      </c>
      <c r="E28" s="114">
        <f>SUM(E8:E27)</f>
        <v>160</v>
      </c>
      <c r="F28" s="115">
        <f>SUM(F8:F27)</f>
        <v>142</v>
      </c>
      <c r="G28" s="116">
        <f t="shared" si="1"/>
        <v>0</v>
      </c>
      <c r="H28" s="117">
        <f t="shared" si="1"/>
        <v>0</v>
      </c>
      <c r="I28" s="114">
        <f t="shared" si="1"/>
        <v>0</v>
      </c>
      <c r="J28" s="115">
        <f t="shared" si="1"/>
        <v>0</v>
      </c>
      <c r="K28" s="116">
        <f t="shared" si="1"/>
        <v>0</v>
      </c>
      <c r="L28" s="117">
        <f t="shared" si="1"/>
        <v>0</v>
      </c>
      <c r="M28" s="114">
        <f t="shared" si="1"/>
        <v>0</v>
      </c>
      <c r="N28" s="115">
        <f t="shared" si="1"/>
        <v>0</v>
      </c>
      <c r="O28" s="116">
        <f t="shared" si="1"/>
        <v>0</v>
      </c>
      <c r="P28" s="117">
        <f t="shared" si="1"/>
        <v>0</v>
      </c>
      <c r="Q28" s="118">
        <f t="shared" si="1"/>
        <v>160</v>
      </c>
      <c r="R28" s="119">
        <f>Q28/D28</f>
        <v>0.26666666666666666</v>
      </c>
    </row>
    <row r="29" spans="1:18" ht="6.75" customHeight="1">
      <c r="A29" s="29"/>
      <c r="B29" s="29"/>
      <c r="C29" s="29"/>
      <c r="D29" s="30"/>
      <c r="E29" s="30"/>
      <c r="F29" s="30"/>
      <c r="G29" s="30"/>
      <c r="H29" s="30"/>
      <c r="I29" s="30"/>
      <c r="J29" s="30"/>
      <c r="K29" s="30"/>
      <c r="L29" s="30"/>
      <c r="M29" s="30"/>
      <c r="N29" s="30"/>
      <c r="O29" s="30"/>
      <c r="P29" s="30"/>
      <c r="Q29" s="30"/>
      <c r="R29" s="30"/>
    </row>
  </sheetData>
  <mergeCells count="34">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8"/>
  <sheetViews>
    <sheetView topLeftCell="A68" workbookViewId="0">
      <selection activeCell="C25" sqref="C25:G29"/>
    </sheetView>
  </sheetViews>
  <sheetFormatPr defaultColWidth="9" defaultRowHeight="14.4"/>
  <cols>
    <col min="1" max="1" width="3.21875" style="1" customWidth="1"/>
    <col min="2" max="2" width="19" style="1" customWidth="1"/>
    <col min="3" max="3" width="25" style="1" customWidth="1"/>
    <col min="4" max="4" width="10" style="1" customWidth="1"/>
    <col min="5" max="6" width="25" style="1" customWidth="1"/>
    <col min="7" max="7" width="21.33203125" style="1" customWidth="1"/>
    <col min="8" max="8" width="8.88671875" style="1" customWidth="1"/>
    <col min="9" max="16384" width="9" style="1"/>
  </cols>
  <sheetData>
    <row r="1" spans="1:7" ht="18.75" customHeight="1">
      <c r="A1" s="9"/>
      <c r="B1" s="9"/>
      <c r="C1" s="9"/>
      <c r="D1" s="9"/>
      <c r="E1" s="9"/>
      <c r="F1" s="9"/>
      <c r="G1" s="69" t="s">
        <v>147</v>
      </c>
    </row>
    <row r="2" spans="1:7" ht="18.75" customHeight="1">
      <c r="A2" s="9"/>
      <c r="B2" s="9"/>
      <c r="C2" s="9"/>
      <c r="D2" s="9"/>
      <c r="E2" s="9"/>
      <c r="F2" s="69" t="s">
        <v>28</v>
      </c>
      <c r="G2" s="9" t="s">
        <v>122</v>
      </c>
    </row>
    <row r="3" spans="1:7" ht="18.75" customHeight="1">
      <c r="A3" s="145" t="s">
        <v>88</v>
      </c>
      <c r="B3" s="145"/>
      <c r="C3" s="145"/>
      <c r="D3" s="145"/>
      <c r="E3" s="145"/>
      <c r="F3" s="145"/>
      <c r="G3" s="145"/>
    </row>
    <row r="4" spans="1:7" ht="18.75" customHeight="1">
      <c r="A4" s="9" t="s">
        <v>6</v>
      </c>
      <c r="B4" s="9" t="s">
        <v>87</v>
      </c>
      <c r="C4" s="9"/>
      <c r="D4" s="9"/>
      <c r="E4" s="9"/>
      <c r="F4" s="9"/>
      <c r="G4" s="9"/>
    </row>
    <row r="5" spans="1:7" s="67" customFormat="1" ht="18.75" customHeight="1">
      <c r="A5" s="71"/>
      <c r="B5" s="73" t="s">
        <v>69</v>
      </c>
      <c r="C5" s="147" t="s">
        <v>99</v>
      </c>
      <c r="D5" s="148"/>
      <c r="E5" s="148"/>
      <c r="F5" s="148"/>
      <c r="G5" s="149"/>
    </row>
    <row r="6" spans="1:7" s="67" customFormat="1" ht="21.6" customHeight="1">
      <c r="A6" s="71"/>
      <c r="B6" s="202" t="s">
        <v>102</v>
      </c>
      <c r="C6" s="216" t="s">
        <v>172</v>
      </c>
      <c r="D6" s="217"/>
      <c r="E6" s="217"/>
      <c r="F6" s="217"/>
      <c r="G6" s="218"/>
    </row>
    <row r="7" spans="1:7" s="67" customFormat="1" ht="45" customHeight="1">
      <c r="A7" s="71"/>
      <c r="B7" s="203"/>
      <c r="C7" s="219"/>
      <c r="D7" s="220"/>
      <c r="E7" s="220"/>
      <c r="F7" s="220"/>
      <c r="G7" s="221"/>
    </row>
    <row r="8" spans="1:7" s="67" customFormat="1" ht="12.6" customHeight="1">
      <c r="A8" s="71"/>
      <c r="B8" s="203"/>
      <c r="C8" s="219"/>
      <c r="D8" s="220"/>
      <c r="E8" s="220"/>
      <c r="F8" s="220"/>
      <c r="G8" s="221"/>
    </row>
    <row r="9" spans="1:7" s="67" customFormat="1" ht="5.4" customHeight="1">
      <c r="A9" s="71"/>
      <c r="B9" s="203"/>
      <c r="C9" s="222"/>
      <c r="D9" s="223"/>
      <c r="E9" s="223"/>
      <c r="F9" s="223"/>
      <c r="G9" s="224"/>
    </row>
    <row r="10" spans="1:7" s="67" customFormat="1" ht="18.75" customHeight="1">
      <c r="A10" s="71"/>
      <c r="B10" s="203"/>
      <c r="C10" s="93" t="s">
        <v>100</v>
      </c>
      <c r="D10" s="234" t="s">
        <v>101</v>
      </c>
      <c r="E10" s="235"/>
      <c r="F10" s="235"/>
      <c r="G10" s="236"/>
    </row>
    <row r="11" spans="1:7" s="67" customFormat="1" ht="48.6" customHeight="1">
      <c r="A11" s="71"/>
      <c r="B11" s="203"/>
      <c r="C11" s="94" t="s">
        <v>128</v>
      </c>
      <c r="D11" s="213" t="s">
        <v>165</v>
      </c>
      <c r="E11" s="228"/>
      <c r="F11" s="228"/>
      <c r="G11" s="229"/>
    </row>
    <row r="12" spans="1:7" s="67" customFormat="1" ht="18.75" customHeight="1">
      <c r="A12" s="71"/>
      <c r="B12" s="203"/>
      <c r="C12" s="94"/>
      <c r="D12" s="237"/>
      <c r="E12" s="214"/>
      <c r="F12" s="214"/>
      <c r="G12" s="215"/>
    </row>
    <row r="13" spans="1:7" s="67" customFormat="1" ht="18.75" customHeight="1">
      <c r="A13" s="71"/>
      <c r="B13" s="203"/>
      <c r="C13" s="73"/>
      <c r="D13" s="147"/>
      <c r="E13" s="148"/>
      <c r="F13" s="148"/>
      <c r="G13" s="149"/>
    </row>
    <row r="14" spans="1:7" ht="18.75" customHeight="1">
      <c r="A14" s="9"/>
      <c r="B14" s="202" t="s">
        <v>103</v>
      </c>
      <c r="C14" s="147" t="s">
        <v>99</v>
      </c>
      <c r="D14" s="148"/>
      <c r="E14" s="148"/>
      <c r="F14" s="148"/>
      <c r="G14" s="149"/>
    </row>
    <row r="15" spans="1:7" ht="37.5" customHeight="1">
      <c r="A15" s="9"/>
      <c r="B15" s="203"/>
      <c r="C15" s="204" t="s">
        <v>180</v>
      </c>
      <c r="D15" s="205"/>
      <c r="E15" s="205"/>
      <c r="F15" s="205"/>
      <c r="G15" s="206"/>
    </row>
    <row r="16" spans="1:7" ht="37.5" customHeight="1">
      <c r="A16" s="9"/>
      <c r="B16" s="203"/>
      <c r="C16" s="207"/>
      <c r="D16" s="208"/>
      <c r="E16" s="208"/>
      <c r="F16" s="208"/>
      <c r="G16" s="209"/>
    </row>
    <row r="17" spans="1:7" ht="4.2" customHeight="1">
      <c r="A17" s="9"/>
      <c r="B17" s="203"/>
      <c r="C17" s="207"/>
      <c r="D17" s="208"/>
      <c r="E17" s="208"/>
      <c r="F17" s="208"/>
      <c r="G17" s="209"/>
    </row>
    <row r="18" spans="1:7" ht="37.200000000000003" hidden="1" customHeight="1">
      <c r="A18" s="9"/>
      <c r="B18" s="203"/>
      <c r="C18" s="207"/>
      <c r="D18" s="208"/>
      <c r="E18" s="208"/>
      <c r="F18" s="208"/>
      <c r="G18" s="209"/>
    </row>
    <row r="19" spans="1:7" ht="67.2" customHeight="1">
      <c r="A19" s="9"/>
      <c r="B19" s="203"/>
      <c r="C19" s="210"/>
      <c r="D19" s="211"/>
      <c r="E19" s="211"/>
      <c r="F19" s="211"/>
      <c r="G19" s="212"/>
    </row>
    <row r="20" spans="1:7" ht="18.75" customHeight="1">
      <c r="A20" s="9"/>
      <c r="B20" s="203"/>
      <c r="C20" s="93"/>
      <c r="D20" s="147" t="s">
        <v>101</v>
      </c>
      <c r="E20" s="148"/>
      <c r="F20" s="148"/>
      <c r="G20" s="149"/>
    </row>
    <row r="21" spans="1:7" ht="37.200000000000003" customHeight="1">
      <c r="A21" s="9"/>
      <c r="B21" s="203"/>
      <c r="C21" s="73" t="s">
        <v>128</v>
      </c>
      <c r="D21" s="231" t="s">
        <v>166</v>
      </c>
      <c r="E21" s="232"/>
      <c r="F21" s="232"/>
      <c r="G21" s="233"/>
    </row>
    <row r="22" spans="1:7" ht="18.75" customHeight="1">
      <c r="A22" s="9"/>
      <c r="B22" s="203"/>
      <c r="C22" s="73"/>
      <c r="D22" s="130"/>
      <c r="E22" s="131"/>
      <c r="F22" s="131"/>
      <c r="G22" s="132"/>
    </row>
    <row r="23" spans="1:7" ht="18.600000000000001" customHeight="1">
      <c r="A23" s="9"/>
      <c r="B23" s="230"/>
      <c r="C23" s="73"/>
      <c r="D23" s="130"/>
      <c r="E23" s="131"/>
      <c r="F23" s="131"/>
      <c r="G23" s="132"/>
    </row>
    <row r="24" spans="1:7" ht="18.75" customHeight="1">
      <c r="A24" s="9"/>
      <c r="B24" s="202" t="s">
        <v>104</v>
      </c>
      <c r="C24" s="147" t="s">
        <v>99</v>
      </c>
      <c r="D24" s="148"/>
      <c r="E24" s="148"/>
      <c r="F24" s="148"/>
      <c r="G24" s="149"/>
    </row>
    <row r="25" spans="1:7" ht="23.4" customHeight="1">
      <c r="A25" s="9"/>
      <c r="B25" s="203"/>
      <c r="C25" s="216" t="s">
        <v>170</v>
      </c>
      <c r="D25" s="217"/>
      <c r="E25" s="217"/>
      <c r="F25" s="217"/>
      <c r="G25" s="218"/>
    </row>
    <row r="26" spans="1:7" ht="50.4" customHeight="1">
      <c r="A26" s="9"/>
      <c r="B26" s="203"/>
      <c r="C26" s="219"/>
      <c r="D26" s="220"/>
      <c r="E26" s="220"/>
      <c r="F26" s="220"/>
      <c r="G26" s="221"/>
    </row>
    <row r="27" spans="1:7" ht="4.2" hidden="1" customHeight="1">
      <c r="A27" s="9"/>
      <c r="B27" s="203"/>
      <c r="C27" s="219"/>
      <c r="D27" s="220"/>
      <c r="E27" s="220"/>
      <c r="F27" s="220"/>
      <c r="G27" s="221"/>
    </row>
    <row r="28" spans="1:7" ht="37.200000000000003" hidden="1" customHeight="1">
      <c r="A28" s="9"/>
      <c r="B28" s="203"/>
      <c r="C28" s="219"/>
      <c r="D28" s="220"/>
      <c r="E28" s="220"/>
      <c r="F28" s="220"/>
      <c r="G28" s="221"/>
    </row>
    <row r="29" spans="1:7" ht="21" customHeight="1">
      <c r="A29" s="9"/>
      <c r="B29" s="203"/>
      <c r="C29" s="222"/>
      <c r="D29" s="223"/>
      <c r="E29" s="223"/>
      <c r="F29" s="223"/>
      <c r="G29" s="224"/>
    </row>
    <row r="30" spans="1:7" ht="18.75" customHeight="1">
      <c r="A30" s="9"/>
      <c r="B30" s="203"/>
      <c r="C30" s="109" t="s">
        <v>100</v>
      </c>
      <c r="D30" s="147" t="s">
        <v>101</v>
      </c>
      <c r="E30" s="148"/>
      <c r="F30" s="148"/>
      <c r="G30" s="149"/>
    </row>
    <row r="31" spans="1:7" ht="33" customHeight="1">
      <c r="A31" s="9"/>
      <c r="B31" s="203"/>
      <c r="C31" s="73" t="s">
        <v>128</v>
      </c>
      <c r="D31" s="213" t="s">
        <v>167</v>
      </c>
      <c r="E31" s="228"/>
      <c r="F31" s="228"/>
      <c r="G31" s="229"/>
    </row>
    <row r="32" spans="1:7" ht="18.75" customHeight="1">
      <c r="A32" s="9"/>
      <c r="B32" s="203"/>
      <c r="C32" s="73"/>
      <c r="D32" s="130"/>
      <c r="E32" s="131"/>
      <c r="F32" s="131"/>
      <c r="G32" s="132"/>
    </row>
    <row r="33" spans="1:7" ht="18.75" customHeight="1">
      <c r="A33" s="9"/>
      <c r="B33" s="203"/>
      <c r="C33" s="73"/>
      <c r="D33" s="130"/>
      <c r="E33" s="131"/>
      <c r="F33" s="131"/>
      <c r="G33" s="132"/>
    </row>
    <row r="34" spans="1:7" ht="18.75" customHeight="1">
      <c r="A34" s="9"/>
      <c r="B34" s="203"/>
      <c r="C34" s="73"/>
      <c r="D34" s="130"/>
      <c r="E34" s="131"/>
      <c r="F34" s="131"/>
      <c r="G34" s="132"/>
    </row>
    <row r="35" spans="1:7" ht="18.75" customHeight="1">
      <c r="A35" s="9"/>
      <c r="B35" s="203"/>
      <c r="C35" s="73"/>
      <c r="D35" s="130"/>
      <c r="E35" s="131"/>
      <c r="F35" s="131"/>
      <c r="G35" s="132"/>
    </row>
    <row r="36" spans="1:7" ht="18.75" customHeight="1">
      <c r="A36" s="9"/>
      <c r="B36" s="203"/>
      <c r="C36" s="73"/>
      <c r="D36" s="130"/>
      <c r="E36" s="131"/>
      <c r="F36" s="131"/>
      <c r="G36" s="132"/>
    </row>
    <row r="37" spans="1:7" ht="18.75" customHeight="1">
      <c r="A37" s="9"/>
      <c r="B37" s="203"/>
      <c r="C37" s="73"/>
      <c r="D37" s="130"/>
      <c r="E37" s="131"/>
      <c r="F37" s="131"/>
      <c r="G37" s="132"/>
    </row>
    <row r="38" spans="1:7" ht="18.75" customHeight="1">
      <c r="A38" s="9"/>
      <c r="B38" s="203"/>
      <c r="C38" s="73"/>
      <c r="D38" s="130"/>
      <c r="E38" s="131"/>
      <c r="F38" s="131"/>
      <c r="G38" s="132"/>
    </row>
    <row r="39" spans="1:7" ht="18.75" customHeight="1">
      <c r="A39" s="9"/>
      <c r="B39" s="203"/>
      <c r="C39" s="73"/>
      <c r="D39" s="130"/>
      <c r="E39" s="131"/>
      <c r="F39" s="131"/>
      <c r="G39" s="132"/>
    </row>
    <row r="40" spans="1:7" ht="18.75" customHeight="1">
      <c r="A40" s="9"/>
      <c r="B40" s="202" t="s">
        <v>141</v>
      </c>
      <c r="C40" s="147" t="s">
        <v>99</v>
      </c>
      <c r="D40" s="148"/>
      <c r="E40" s="148"/>
      <c r="F40" s="148"/>
      <c r="G40" s="149"/>
    </row>
    <row r="41" spans="1:7" ht="37.5" customHeight="1">
      <c r="A41" s="9"/>
      <c r="B41" s="203"/>
      <c r="C41" s="216" t="s">
        <v>162</v>
      </c>
      <c r="D41" s="217"/>
      <c r="E41" s="217"/>
      <c r="F41" s="217"/>
      <c r="G41" s="218"/>
    </row>
    <row r="42" spans="1:7" ht="37.5" customHeight="1">
      <c r="A42" s="9"/>
      <c r="B42" s="203"/>
      <c r="C42" s="219"/>
      <c r="D42" s="220"/>
      <c r="E42" s="220"/>
      <c r="F42" s="220"/>
      <c r="G42" s="221"/>
    </row>
    <row r="43" spans="1:7" ht="21" customHeight="1">
      <c r="A43" s="9"/>
      <c r="B43" s="203"/>
      <c r="C43" s="219"/>
      <c r="D43" s="220"/>
      <c r="E43" s="220"/>
      <c r="F43" s="220"/>
      <c r="G43" s="221"/>
    </row>
    <row r="44" spans="1:7" ht="37.200000000000003" hidden="1" customHeight="1">
      <c r="A44" s="9"/>
      <c r="B44" s="203"/>
      <c r="C44" s="219"/>
      <c r="D44" s="220"/>
      <c r="E44" s="220"/>
      <c r="F44" s="220"/>
      <c r="G44" s="221"/>
    </row>
    <row r="45" spans="1:7" ht="37.200000000000003" hidden="1" customHeight="1">
      <c r="A45" s="9"/>
      <c r="B45" s="203"/>
      <c r="C45" s="222"/>
      <c r="D45" s="223"/>
      <c r="E45" s="223"/>
      <c r="F45" s="223"/>
      <c r="G45" s="224"/>
    </row>
    <row r="46" spans="1:7" ht="18.75" customHeight="1">
      <c r="A46" s="9"/>
      <c r="B46" s="203"/>
      <c r="C46" s="109" t="s">
        <v>100</v>
      </c>
      <c r="D46" s="147" t="s">
        <v>101</v>
      </c>
      <c r="E46" s="148"/>
      <c r="F46" s="148"/>
      <c r="G46" s="149"/>
    </row>
    <row r="47" spans="1:7" ht="48.6" customHeight="1">
      <c r="A47" s="9"/>
      <c r="B47" s="203"/>
      <c r="C47" s="73" t="s">
        <v>128</v>
      </c>
      <c r="D47" s="225" t="s">
        <v>168</v>
      </c>
      <c r="E47" s="226"/>
      <c r="F47" s="226"/>
      <c r="G47" s="227"/>
    </row>
    <row r="48" spans="1:7" ht="18.75" customHeight="1">
      <c r="A48" s="9"/>
      <c r="B48" s="203"/>
      <c r="C48" s="73"/>
      <c r="D48" s="130"/>
      <c r="E48" s="131"/>
      <c r="F48" s="131"/>
      <c r="G48" s="132"/>
    </row>
    <row r="49" spans="1:7" ht="18.75" customHeight="1">
      <c r="A49" s="9"/>
      <c r="B49" s="203"/>
      <c r="C49" s="73"/>
      <c r="D49" s="130"/>
      <c r="E49" s="131"/>
      <c r="F49" s="131"/>
      <c r="G49" s="132"/>
    </row>
    <row r="50" spans="1:7" ht="18.75" customHeight="1">
      <c r="A50" s="9"/>
      <c r="B50" s="203"/>
      <c r="C50" s="73"/>
      <c r="D50" s="130"/>
      <c r="E50" s="131"/>
      <c r="F50" s="131"/>
      <c r="G50" s="132"/>
    </row>
    <row r="51" spans="1:7" ht="18.75" customHeight="1">
      <c r="A51" s="9"/>
      <c r="B51" s="203"/>
      <c r="C51" s="73"/>
      <c r="D51" s="130"/>
      <c r="E51" s="131"/>
      <c r="F51" s="131"/>
      <c r="G51" s="132"/>
    </row>
    <row r="52" spans="1:7" ht="30.6" customHeight="1">
      <c r="A52" s="9"/>
      <c r="B52" s="202" t="s">
        <v>154</v>
      </c>
      <c r="C52" s="147" t="s">
        <v>99</v>
      </c>
      <c r="D52" s="148"/>
      <c r="E52" s="148"/>
      <c r="F52" s="148"/>
      <c r="G52" s="149"/>
    </row>
    <row r="53" spans="1:7" ht="37.5" customHeight="1">
      <c r="A53" s="9"/>
      <c r="B53" s="203"/>
      <c r="C53" s="204" t="s">
        <v>200</v>
      </c>
      <c r="D53" s="205"/>
      <c r="E53" s="205"/>
      <c r="F53" s="205"/>
      <c r="G53" s="206"/>
    </row>
    <row r="54" spans="1:7" ht="36" customHeight="1">
      <c r="A54" s="9"/>
      <c r="B54" s="203"/>
      <c r="C54" s="207"/>
      <c r="D54" s="208"/>
      <c r="E54" s="208"/>
      <c r="F54" s="208"/>
      <c r="G54" s="209"/>
    </row>
    <row r="55" spans="1:7" ht="45.6" hidden="1" customHeight="1">
      <c r="A55" s="9"/>
      <c r="B55" s="203"/>
      <c r="C55" s="207"/>
      <c r="D55" s="208"/>
      <c r="E55" s="208"/>
      <c r="F55" s="208"/>
      <c r="G55" s="209"/>
    </row>
    <row r="56" spans="1:7" ht="22.2" hidden="1" customHeight="1">
      <c r="A56" s="9"/>
      <c r="B56" s="203"/>
      <c r="C56" s="207"/>
      <c r="D56" s="208"/>
      <c r="E56" s="208"/>
      <c r="F56" s="208"/>
      <c r="G56" s="209"/>
    </row>
    <row r="57" spans="1:7" ht="12" customHeight="1">
      <c r="A57" s="9"/>
      <c r="B57" s="203"/>
      <c r="C57" s="210"/>
      <c r="D57" s="211"/>
      <c r="E57" s="211"/>
      <c r="F57" s="211"/>
      <c r="G57" s="212"/>
    </row>
    <row r="58" spans="1:7" ht="18.75" customHeight="1">
      <c r="A58" s="9"/>
      <c r="B58" s="203"/>
      <c r="C58" s="109" t="s">
        <v>100</v>
      </c>
      <c r="D58" s="147" t="s">
        <v>101</v>
      </c>
      <c r="E58" s="148"/>
      <c r="F58" s="148"/>
      <c r="G58" s="149"/>
    </row>
    <row r="59" spans="1:7" ht="34.200000000000003" customHeight="1">
      <c r="A59" s="9"/>
      <c r="B59" s="203"/>
      <c r="C59" s="73" t="s">
        <v>128</v>
      </c>
      <c r="D59" s="213" t="s">
        <v>169</v>
      </c>
      <c r="E59" s="214"/>
      <c r="F59" s="214"/>
      <c r="G59" s="215"/>
    </row>
    <row r="60" spans="1:7" ht="18.75" customHeight="1">
      <c r="A60" s="9"/>
      <c r="B60" s="203"/>
      <c r="C60" s="73"/>
      <c r="D60" s="130"/>
      <c r="E60" s="131"/>
      <c r="F60" s="131"/>
      <c r="G60" s="132"/>
    </row>
    <row r="61" spans="1:7" ht="18.75" customHeight="1">
      <c r="A61" s="9"/>
      <c r="B61" s="203"/>
      <c r="C61" s="73"/>
      <c r="D61" s="130"/>
      <c r="E61" s="131"/>
      <c r="F61" s="131"/>
      <c r="G61" s="132"/>
    </row>
    <row r="62" spans="1:7" ht="18.75" customHeight="1">
      <c r="A62" s="9"/>
      <c r="B62" s="203"/>
      <c r="C62" s="73"/>
      <c r="D62" s="130"/>
      <c r="E62" s="131"/>
      <c r="F62" s="131"/>
      <c r="G62" s="132"/>
    </row>
    <row r="63" spans="1:7" ht="18.75" customHeight="1">
      <c r="A63" s="9"/>
      <c r="B63" s="203"/>
      <c r="C63" s="73"/>
      <c r="D63" s="130"/>
      <c r="E63" s="131"/>
      <c r="F63" s="131"/>
      <c r="G63" s="132"/>
    </row>
    <row r="64" spans="1:7" ht="24" customHeight="1">
      <c r="A64" s="9" t="s">
        <v>10</v>
      </c>
      <c r="B64" s="9" t="s">
        <v>97</v>
      </c>
      <c r="C64" s="9"/>
      <c r="D64" s="9"/>
      <c r="E64" s="9"/>
      <c r="F64" s="9"/>
      <c r="G64" s="9"/>
    </row>
    <row r="65" spans="1:7" ht="22.5" customHeight="1">
      <c r="A65" s="9"/>
      <c r="B65" s="73" t="s">
        <v>69</v>
      </c>
      <c r="C65" s="147" t="s">
        <v>96</v>
      </c>
      <c r="D65" s="148"/>
      <c r="E65" s="148"/>
      <c r="F65" s="148"/>
      <c r="G65" s="149"/>
    </row>
    <row r="66" spans="1:7" ht="45" customHeight="1">
      <c r="A66" s="9"/>
      <c r="B66" s="95" t="s">
        <v>70</v>
      </c>
      <c r="C66" s="135"/>
      <c r="D66" s="136"/>
      <c r="E66" s="136"/>
      <c r="F66" s="136"/>
      <c r="G66" s="150"/>
    </row>
    <row r="67" spans="1:7" ht="45" customHeight="1">
      <c r="A67" s="9"/>
      <c r="B67" s="95" t="s">
        <v>71</v>
      </c>
      <c r="C67" s="135"/>
      <c r="D67" s="136"/>
      <c r="E67" s="136"/>
      <c r="F67" s="136"/>
      <c r="G67" s="150"/>
    </row>
    <row r="68" spans="1:7" ht="45" customHeight="1">
      <c r="A68" s="9"/>
      <c r="B68" s="95" t="s">
        <v>72</v>
      </c>
      <c r="C68" s="135"/>
      <c r="D68" s="136"/>
      <c r="E68" s="136"/>
      <c r="F68" s="136"/>
      <c r="G68" s="150"/>
    </row>
    <row r="69" spans="1:7" ht="45" customHeight="1">
      <c r="A69" s="9"/>
      <c r="B69" s="95" t="s">
        <v>73</v>
      </c>
      <c r="C69" s="135"/>
      <c r="D69" s="136"/>
      <c r="E69" s="136"/>
      <c r="F69" s="136"/>
      <c r="G69" s="150"/>
    </row>
    <row r="70" spans="1:7" ht="37.200000000000003" customHeight="1">
      <c r="A70" s="9"/>
      <c r="B70" s="95" t="s">
        <v>74</v>
      </c>
      <c r="C70" s="135"/>
      <c r="D70" s="136"/>
      <c r="E70" s="136"/>
      <c r="F70" s="136"/>
      <c r="G70" s="150"/>
    </row>
    <row r="71" spans="1:7" ht="25.8" customHeight="1">
      <c r="A71" s="9"/>
      <c r="B71" s="95" t="s">
        <v>75</v>
      </c>
      <c r="C71" s="135"/>
      <c r="D71" s="136"/>
      <c r="E71" s="136"/>
      <c r="F71" s="136"/>
      <c r="G71" s="150"/>
    </row>
    <row r="72" spans="1:7" ht="29.4" customHeight="1">
      <c r="A72" s="9"/>
      <c r="B72" s="95" t="s">
        <v>76</v>
      </c>
      <c r="C72" s="135"/>
      <c r="D72" s="136"/>
      <c r="E72" s="136"/>
      <c r="F72" s="136"/>
      <c r="G72" s="150"/>
    </row>
    <row r="73" spans="1:7" ht="45" customHeight="1">
      <c r="A73" s="9"/>
      <c r="B73" s="95" t="s">
        <v>77</v>
      </c>
      <c r="C73" s="135"/>
      <c r="D73" s="136"/>
      <c r="E73" s="136"/>
      <c r="F73" s="136"/>
      <c r="G73" s="150"/>
    </row>
    <row r="74" spans="1:7" ht="45" customHeight="1">
      <c r="A74" s="9"/>
      <c r="B74" s="95" t="s">
        <v>78</v>
      </c>
      <c r="C74" s="135"/>
      <c r="D74" s="136"/>
      <c r="E74" s="136"/>
      <c r="F74" s="136"/>
      <c r="G74" s="150"/>
    </row>
    <row r="75" spans="1:7" ht="7.5" customHeight="1"/>
    <row r="76" spans="1:7" ht="18.75" customHeight="1">
      <c r="A76" s="1" t="s">
        <v>90</v>
      </c>
      <c r="B76" s="1" t="s">
        <v>91</v>
      </c>
      <c r="E76" s="190" t="s">
        <v>206</v>
      </c>
      <c r="F76" s="191"/>
      <c r="G76" s="192"/>
    </row>
    <row r="77" spans="1:7" ht="7.5" customHeight="1"/>
    <row r="78" spans="1:7" ht="18.75" customHeight="1">
      <c r="A78" s="1" t="s">
        <v>92</v>
      </c>
      <c r="B78" s="1" t="s">
        <v>93</v>
      </c>
    </row>
    <row r="79" spans="1:7" ht="18.75" customHeight="1">
      <c r="B79" s="193" t="s">
        <v>164</v>
      </c>
      <c r="C79" s="194"/>
      <c r="D79" s="194"/>
      <c r="E79" s="194"/>
      <c r="F79" s="194"/>
      <c r="G79" s="195"/>
    </row>
    <row r="80" spans="1:7" ht="18.75" customHeight="1">
      <c r="B80" s="196"/>
      <c r="C80" s="197"/>
      <c r="D80" s="197"/>
      <c r="E80" s="197"/>
      <c r="F80" s="197"/>
      <c r="G80" s="198"/>
    </row>
    <row r="81" spans="2:7" ht="7.2" customHeight="1">
      <c r="B81" s="196"/>
      <c r="C81" s="197"/>
      <c r="D81" s="197"/>
      <c r="E81" s="197"/>
      <c r="F81" s="197"/>
      <c r="G81" s="198"/>
    </row>
    <row r="82" spans="2:7" ht="9" customHeight="1">
      <c r="B82" s="199"/>
      <c r="C82" s="200"/>
      <c r="D82" s="200"/>
      <c r="E82" s="200"/>
      <c r="F82" s="200"/>
      <c r="G82" s="201"/>
    </row>
    <row r="83" spans="2:7" ht="18.75" customHeight="1"/>
    <row r="84" spans="2:7" ht="18.75" customHeight="1"/>
    <row r="85" spans="2:7" ht="18.75" customHeight="1"/>
    <row r="86" spans="2:7" ht="18.75" customHeight="1"/>
    <row r="87" spans="2:7" ht="18.75" customHeight="1"/>
    <row r="88" spans="2:7" ht="18.75" customHeight="1"/>
  </sheetData>
  <mergeCells count="58">
    <mergeCell ref="A3:G3"/>
    <mergeCell ref="C5:G5"/>
    <mergeCell ref="B6:B13"/>
    <mergeCell ref="C6:G9"/>
    <mergeCell ref="D10:G10"/>
    <mergeCell ref="D11:G11"/>
    <mergeCell ref="D12:G12"/>
    <mergeCell ref="D13:G13"/>
    <mergeCell ref="D33:G33"/>
    <mergeCell ref="D34:G34"/>
    <mergeCell ref="D35:G35"/>
    <mergeCell ref="D36:G36"/>
    <mergeCell ref="B14:B23"/>
    <mergeCell ref="C14:G14"/>
    <mergeCell ref="C15:G19"/>
    <mergeCell ref="D20:G20"/>
    <mergeCell ref="D21:G21"/>
    <mergeCell ref="D22:G22"/>
    <mergeCell ref="D23:G23"/>
    <mergeCell ref="D37:G37"/>
    <mergeCell ref="D38:G38"/>
    <mergeCell ref="D39:G39"/>
    <mergeCell ref="B40:B51"/>
    <mergeCell ref="C40:G40"/>
    <mergeCell ref="C41:G45"/>
    <mergeCell ref="D46:G46"/>
    <mergeCell ref="D47:G47"/>
    <mergeCell ref="D48:G48"/>
    <mergeCell ref="D49:G49"/>
    <mergeCell ref="B24:B39"/>
    <mergeCell ref="C24:G24"/>
    <mergeCell ref="C25:G29"/>
    <mergeCell ref="D30:G30"/>
    <mergeCell ref="D31:G31"/>
    <mergeCell ref="D32:G32"/>
    <mergeCell ref="C68:G68"/>
    <mergeCell ref="D50:G50"/>
    <mergeCell ref="D51:G51"/>
    <mergeCell ref="B52:B63"/>
    <mergeCell ref="C52:G52"/>
    <mergeCell ref="C53:G57"/>
    <mergeCell ref="D58:G58"/>
    <mergeCell ref="D59:G59"/>
    <mergeCell ref="D60:G60"/>
    <mergeCell ref="D61:G61"/>
    <mergeCell ref="D62:G62"/>
    <mergeCell ref="D63:G63"/>
    <mergeCell ref="C65:G65"/>
    <mergeCell ref="C66:G66"/>
    <mergeCell ref="C67:G67"/>
    <mergeCell ref="E76:G76"/>
    <mergeCell ref="B79:G82"/>
    <mergeCell ref="C69:G69"/>
    <mergeCell ref="C70:G70"/>
    <mergeCell ref="C71:G71"/>
    <mergeCell ref="C72:G72"/>
    <mergeCell ref="C73:G73"/>
    <mergeCell ref="C74:G74"/>
  </mergeCells>
  <phoneticPr fontId="1"/>
  <hyperlinks>
    <hyperlink ref="E76"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1"/>
  <sheetViews>
    <sheetView topLeftCell="A56" workbookViewId="0">
      <selection activeCell="J43" sqref="J43"/>
    </sheetView>
  </sheetViews>
  <sheetFormatPr defaultColWidth="9" defaultRowHeight="14.4"/>
  <cols>
    <col min="1" max="1" width="2.44140625" style="9" customWidth="1"/>
    <col min="2" max="2" width="19" style="9" customWidth="1"/>
    <col min="3" max="3" width="25" style="9" customWidth="1"/>
    <col min="4" max="4" width="10" style="9" customWidth="1"/>
    <col min="5" max="7" width="25" style="9" customWidth="1"/>
    <col min="8" max="16384" width="9" style="9"/>
  </cols>
  <sheetData>
    <row r="1" spans="1:7" ht="18.75" customHeight="1">
      <c r="G1" s="69" t="s">
        <v>148</v>
      </c>
    </row>
    <row r="2" spans="1:7" ht="18.75" customHeight="1">
      <c r="F2" s="69" t="s">
        <v>28</v>
      </c>
      <c r="G2" s="9" t="s">
        <v>131</v>
      </c>
    </row>
    <row r="3" spans="1:7" ht="18.75" customHeight="1">
      <c r="A3" s="145" t="s">
        <v>88</v>
      </c>
      <c r="B3" s="145"/>
      <c r="C3" s="145"/>
      <c r="D3" s="145"/>
      <c r="E3" s="145"/>
      <c r="F3" s="145"/>
      <c r="G3" s="145"/>
    </row>
    <row r="4" spans="1:7" ht="18.75" customHeight="1">
      <c r="A4" s="9" t="s">
        <v>6</v>
      </c>
      <c r="B4" s="9" t="s">
        <v>87</v>
      </c>
    </row>
    <row r="5" spans="1:7" s="71" customFormat="1" ht="18.75" customHeight="1">
      <c r="B5" s="73" t="s">
        <v>69</v>
      </c>
      <c r="C5" s="147" t="s">
        <v>99</v>
      </c>
      <c r="D5" s="148"/>
      <c r="E5" s="148"/>
      <c r="F5" s="148"/>
      <c r="G5" s="149"/>
    </row>
    <row r="6" spans="1:7" s="71" customFormat="1" ht="45" customHeight="1">
      <c r="B6" s="202" t="s">
        <v>102</v>
      </c>
      <c r="C6" s="216" t="s">
        <v>173</v>
      </c>
      <c r="D6" s="217"/>
      <c r="E6" s="217"/>
      <c r="F6" s="217"/>
      <c r="G6" s="218"/>
    </row>
    <row r="7" spans="1:7" s="71" customFormat="1" ht="45" customHeight="1">
      <c r="B7" s="203"/>
      <c r="C7" s="219"/>
      <c r="D7" s="220"/>
      <c r="E7" s="220"/>
      <c r="F7" s="220"/>
      <c r="G7" s="221"/>
    </row>
    <row r="8" spans="1:7" s="71" customFormat="1" ht="27" customHeight="1">
      <c r="B8" s="203"/>
      <c r="C8" s="219"/>
      <c r="D8" s="220"/>
      <c r="E8" s="220"/>
      <c r="F8" s="220"/>
      <c r="G8" s="221"/>
    </row>
    <row r="9" spans="1:7" s="71" customFormat="1" ht="5.4" customHeight="1">
      <c r="B9" s="203"/>
      <c r="C9" s="222"/>
      <c r="D9" s="223"/>
      <c r="E9" s="223"/>
      <c r="F9" s="223"/>
      <c r="G9" s="224"/>
    </row>
    <row r="10" spans="1:7" s="71" customFormat="1" ht="18.75" customHeight="1">
      <c r="B10" s="203"/>
      <c r="C10" s="93" t="s">
        <v>100</v>
      </c>
      <c r="D10" s="234" t="s">
        <v>101</v>
      </c>
      <c r="E10" s="235"/>
      <c r="F10" s="235"/>
      <c r="G10" s="236"/>
    </row>
    <row r="11" spans="1:7" s="71" customFormat="1" ht="48.6" customHeight="1">
      <c r="B11" s="203"/>
      <c r="C11" s="94" t="s">
        <v>130</v>
      </c>
      <c r="D11" s="213" t="s">
        <v>155</v>
      </c>
      <c r="E11" s="228"/>
      <c r="F11" s="228"/>
      <c r="G11" s="229"/>
    </row>
    <row r="12" spans="1:7" s="71" customFormat="1" ht="18.75" customHeight="1">
      <c r="B12" s="203"/>
      <c r="C12" s="94"/>
      <c r="D12" s="237"/>
      <c r="E12" s="214"/>
      <c r="F12" s="214"/>
      <c r="G12" s="215"/>
    </row>
    <row r="13" spans="1:7" s="71" customFormat="1" ht="18.75" customHeight="1">
      <c r="B13" s="203"/>
      <c r="C13" s="73"/>
      <c r="D13" s="147"/>
      <c r="E13" s="148"/>
      <c r="F13" s="148"/>
      <c r="G13" s="149"/>
    </row>
    <row r="14" spans="1:7" ht="18.75" customHeight="1">
      <c r="B14" s="202" t="s">
        <v>103</v>
      </c>
      <c r="C14" s="147" t="s">
        <v>99</v>
      </c>
      <c r="D14" s="148"/>
      <c r="E14" s="148"/>
      <c r="F14" s="148"/>
      <c r="G14" s="149"/>
    </row>
    <row r="15" spans="1:7" ht="37.5" customHeight="1">
      <c r="B15" s="203"/>
      <c r="C15" s="204" t="s">
        <v>201</v>
      </c>
      <c r="D15" s="205"/>
      <c r="E15" s="205"/>
      <c r="F15" s="205"/>
      <c r="G15" s="206"/>
    </row>
    <row r="16" spans="1:7" ht="37.5" customHeight="1">
      <c r="B16" s="203"/>
      <c r="C16" s="207"/>
      <c r="D16" s="208"/>
      <c r="E16" s="208"/>
      <c r="F16" s="208"/>
      <c r="G16" s="209"/>
    </row>
    <row r="17" spans="2:7" ht="4.2" customHeight="1">
      <c r="B17" s="203"/>
      <c r="C17" s="207"/>
      <c r="D17" s="208"/>
      <c r="E17" s="208"/>
      <c r="F17" s="208"/>
      <c r="G17" s="209"/>
    </row>
    <row r="18" spans="2:7" ht="37.200000000000003" hidden="1" customHeight="1">
      <c r="B18" s="203"/>
      <c r="C18" s="207"/>
      <c r="D18" s="208"/>
      <c r="E18" s="208"/>
      <c r="F18" s="208"/>
      <c r="G18" s="209"/>
    </row>
    <row r="19" spans="2:7" ht="19.8" customHeight="1">
      <c r="B19" s="203"/>
      <c r="C19" s="210"/>
      <c r="D19" s="211"/>
      <c r="E19" s="211"/>
      <c r="F19" s="211"/>
      <c r="G19" s="212"/>
    </row>
    <row r="20" spans="2:7" ht="18.75" customHeight="1">
      <c r="B20" s="203"/>
      <c r="C20" s="93" t="s">
        <v>100</v>
      </c>
      <c r="D20" s="147" t="s">
        <v>101</v>
      </c>
      <c r="E20" s="148"/>
      <c r="F20" s="148"/>
      <c r="G20" s="149"/>
    </row>
    <row r="21" spans="2:7" ht="37.200000000000003" customHeight="1">
      <c r="B21" s="203"/>
      <c r="C21" s="73" t="s">
        <v>132</v>
      </c>
      <c r="D21" s="231" t="s">
        <v>203</v>
      </c>
      <c r="E21" s="232"/>
      <c r="F21" s="232"/>
      <c r="G21" s="233"/>
    </row>
    <row r="22" spans="2:7" ht="18.75" customHeight="1">
      <c r="B22" s="203"/>
      <c r="C22" s="73"/>
      <c r="D22" s="130"/>
      <c r="E22" s="131"/>
      <c r="F22" s="131"/>
      <c r="G22" s="132"/>
    </row>
    <row r="23" spans="2:7" ht="18.75" customHeight="1">
      <c r="B23" s="203"/>
      <c r="C23" s="73"/>
      <c r="D23" s="130"/>
      <c r="E23" s="131"/>
      <c r="F23" s="131"/>
      <c r="G23" s="132"/>
    </row>
    <row r="24" spans="2:7" ht="18.75" customHeight="1">
      <c r="B24" s="203"/>
      <c r="C24" s="73"/>
      <c r="D24" s="130"/>
      <c r="E24" s="131"/>
      <c r="F24" s="131"/>
      <c r="G24" s="132"/>
    </row>
    <row r="25" spans="2:7" ht="18.600000000000001" customHeight="1">
      <c r="B25" s="230"/>
      <c r="C25" s="73"/>
      <c r="D25" s="130"/>
      <c r="E25" s="131"/>
      <c r="F25" s="131"/>
      <c r="G25" s="132"/>
    </row>
    <row r="26" spans="2:7" ht="18.75" customHeight="1">
      <c r="B26" s="202" t="s">
        <v>104</v>
      </c>
      <c r="C26" s="147" t="s">
        <v>99</v>
      </c>
      <c r="D26" s="148"/>
      <c r="E26" s="148"/>
      <c r="F26" s="148"/>
      <c r="G26" s="149"/>
    </row>
    <row r="27" spans="2:7" ht="37.5" customHeight="1">
      <c r="B27" s="203"/>
      <c r="C27" s="216" t="s">
        <v>174</v>
      </c>
      <c r="D27" s="217"/>
      <c r="E27" s="217"/>
      <c r="F27" s="217"/>
      <c r="G27" s="218"/>
    </row>
    <row r="28" spans="2:7" ht="27" customHeight="1">
      <c r="B28" s="203"/>
      <c r="C28" s="219"/>
      <c r="D28" s="220"/>
      <c r="E28" s="220"/>
      <c r="F28" s="220"/>
      <c r="G28" s="221"/>
    </row>
    <row r="29" spans="2:7" ht="4.2" customHeight="1">
      <c r="B29" s="203"/>
      <c r="C29" s="219"/>
      <c r="D29" s="220"/>
      <c r="E29" s="220"/>
      <c r="F29" s="220"/>
      <c r="G29" s="221"/>
    </row>
    <row r="30" spans="2:7" ht="37.200000000000003" hidden="1" customHeight="1">
      <c r="B30" s="203"/>
      <c r="C30" s="219"/>
      <c r="D30" s="220"/>
      <c r="E30" s="220"/>
      <c r="F30" s="220"/>
      <c r="G30" s="221"/>
    </row>
    <row r="31" spans="2:7" ht="37.200000000000003" hidden="1" customHeight="1">
      <c r="B31" s="203"/>
      <c r="C31" s="222"/>
      <c r="D31" s="223"/>
      <c r="E31" s="223"/>
      <c r="F31" s="223"/>
      <c r="G31" s="224"/>
    </row>
    <row r="32" spans="2:7" ht="18.75" customHeight="1">
      <c r="B32" s="203"/>
      <c r="C32" s="109" t="s">
        <v>100</v>
      </c>
      <c r="D32" s="147" t="s">
        <v>101</v>
      </c>
      <c r="E32" s="148"/>
      <c r="F32" s="148"/>
      <c r="G32" s="149"/>
    </row>
    <row r="33" spans="2:7" ht="33" customHeight="1">
      <c r="B33" s="203"/>
      <c r="C33" s="73" t="s">
        <v>129</v>
      </c>
      <c r="D33" s="213" t="s">
        <v>204</v>
      </c>
      <c r="E33" s="228"/>
      <c r="F33" s="228"/>
      <c r="G33" s="229"/>
    </row>
    <row r="34" spans="2:7" ht="18.75" customHeight="1">
      <c r="B34" s="203"/>
      <c r="C34" s="73"/>
      <c r="D34" s="130"/>
      <c r="E34" s="131"/>
      <c r="F34" s="131"/>
      <c r="G34" s="132"/>
    </row>
    <row r="35" spans="2:7" ht="18.75" customHeight="1">
      <c r="B35" s="203"/>
      <c r="C35" s="73"/>
      <c r="D35" s="130"/>
      <c r="E35" s="131"/>
      <c r="F35" s="131"/>
      <c r="G35" s="132"/>
    </row>
    <row r="36" spans="2:7" ht="18.75" customHeight="1">
      <c r="B36" s="203"/>
      <c r="C36" s="73"/>
      <c r="D36" s="130"/>
      <c r="E36" s="131"/>
      <c r="F36" s="131"/>
      <c r="G36" s="132"/>
    </row>
    <row r="37" spans="2:7" ht="18.75" customHeight="1">
      <c r="B37" s="203"/>
      <c r="C37" s="73"/>
      <c r="D37" s="130"/>
      <c r="E37" s="131"/>
      <c r="F37" s="131"/>
      <c r="G37" s="132"/>
    </row>
    <row r="38" spans="2:7" ht="18.75" customHeight="1">
      <c r="B38" s="203"/>
      <c r="C38" s="73"/>
      <c r="D38" s="130"/>
      <c r="E38" s="131"/>
      <c r="F38" s="131"/>
      <c r="G38" s="132"/>
    </row>
    <row r="39" spans="2:7" ht="18.75" customHeight="1">
      <c r="B39" s="203"/>
      <c r="C39" s="73"/>
      <c r="D39" s="130"/>
      <c r="E39" s="131"/>
      <c r="F39" s="131"/>
      <c r="G39" s="132"/>
    </row>
    <row r="40" spans="2:7" ht="18.75" customHeight="1">
      <c r="B40" s="203"/>
      <c r="C40" s="73"/>
      <c r="D40" s="130"/>
      <c r="E40" s="131"/>
      <c r="F40" s="131"/>
      <c r="G40" s="132"/>
    </row>
    <row r="41" spans="2:7" ht="18.75" customHeight="1">
      <c r="B41" s="203"/>
      <c r="C41" s="73"/>
      <c r="D41" s="130"/>
      <c r="E41" s="131"/>
      <c r="F41" s="131"/>
      <c r="G41" s="132"/>
    </row>
    <row r="42" spans="2:7" ht="18.75" customHeight="1">
      <c r="B42" s="202" t="s">
        <v>141</v>
      </c>
      <c r="C42" s="147" t="s">
        <v>99</v>
      </c>
      <c r="D42" s="148"/>
      <c r="E42" s="148"/>
      <c r="F42" s="148"/>
      <c r="G42" s="149"/>
    </row>
    <row r="43" spans="2:7" ht="37.5" customHeight="1">
      <c r="B43" s="203"/>
      <c r="C43" s="216" t="s">
        <v>202</v>
      </c>
      <c r="D43" s="217"/>
      <c r="E43" s="217"/>
      <c r="F43" s="217"/>
      <c r="G43" s="218"/>
    </row>
    <row r="44" spans="2:7" ht="37.5" customHeight="1">
      <c r="B44" s="203"/>
      <c r="C44" s="219"/>
      <c r="D44" s="220"/>
      <c r="E44" s="220"/>
      <c r="F44" s="220"/>
      <c r="G44" s="221"/>
    </row>
    <row r="45" spans="2:7" ht="21" customHeight="1">
      <c r="B45" s="203"/>
      <c r="C45" s="219"/>
      <c r="D45" s="220"/>
      <c r="E45" s="220"/>
      <c r="F45" s="220"/>
      <c r="G45" s="221"/>
    </row>
    <row r="46" spans="2:7" ht="37.200000000000003" hidden="1" customHeight="1">
      <c r="B46" s="203"/>
      <c r="C46" s="219"/>
      <c r="D46" s="220"/>
      <c r="E46" s="220"/>
      <c r="F46" s="220"/>
      <c r="G46" s="221"/>
    </row>
    <row r="47" spans="2:7" ht="37.200000000000003" hidden="1" customHeight="1">
      <c r="B47" s="203"/>
      <c r="C47" s="222"/>
      <c r="D47" s="223"/>
      <c r="E47" s="223"/>
      <c r="F47" s="223"/>
      <c r="G47" s="224"/>
    </row>
    <row r="48" spans="2:7" ht="18.75" customHeight="1">
      <c r="B48" s="203"/>
      <c r="C48" s="109" t="s">
        <v>100</v>
      </c>
      <c r="D48" s="147" t="s">
        <v>101</v>
      </c>
      <c r="E48" s="148"/>
      <c r="F48" s="148"/>
      <c r="G48" s="149"/>
    </row>
    <row r="49" spans="2:7" ht="48.6" customHeight="1">
      <c r="B49" s="203"/>
      <c r="C49" s="73" t="s">
        <v>140</v>
      </c>
      <c r="D49" s="225" t="s">
        <v>209</v>
      </c>
      <c r="E49" s="226"/>
      <c r="F49" s="226"/>
      <c r="G49" s="227"/>
    </row>
    <row r="50" spans="2:7" ht="18.75" customHeight="1">
      <c r="B50" s="203"/>
      <c r="C50" s="73"/>
      <c r="D50" s="130"/>
      <c r="E50" s="131"/>
      <c r="F50" s="131"/>
      <c r="G50" s="132"/>
    </row>
    <row r="51" spans="2:7" ht="18.75" customHeight="1">
      <c r="B51" s="203"/>
      <c r="C51" s="73"/>
      <c r="D51" s="130"/>
      <c r="E51" s="131"/>
      <c r="F51" s="131"/>
      <c r="G51" s="132"/>
    </row>
    <row r="52" spans="2:7" ht="18.75" customHeight="1">
      <c r="B52" s="203"/>
      <c r="C52" s="73"/>
      <c r="D52" s="130"/>
      <c r="E52" s="131"/>
      <c r="F52" s="131"/>
      <c r="G52" s="132"/>
    </row>
    <row r="53" spans="2:7" ht="18.75" customHeight="1">
      <c r="B53" s="203"/>
      <c r="C53" s="73"/>
      <c r="D53" s="130"/>
      <c r="E53" s="131"/>
      <c r="F53" s="131"/>
      <c r="G53" s="132"/>
    </row>
    <row r="54" spans="2:7" ht="18.75" customHeight="1">
      <c r="B54" s="203"/>
      <c r="C54" s="73"/>
      <c r="D54" s="130"/>
      <c r="E54" s="131"/>
      <c r="F54" s="131"/>
      <c r="G54" s="132"/>
    </row>
    <row r="55" spans="2:7" ht="18.75" customHeight="1">
      <c r="B55" s="202" t="s">
        <v>154</v>
      </c>
      <c r="C55" s="147" t="s">
        <v>99</v>
      </c>
      <c r="D55" s="148"/>
      <c r="E55" s="148"/>
      <c r="F55" s="148"/>
      <c r="G55" s="149"/>
    </row>
    <row r="56" spans="2:7" ht="37.5" customHeight="1">
      <c r="B56" s="203"/>
      <c r="C56" s="204" t="s">
        <v>175</v>
      </c>
      <c r="D56" s="205"/>
      <c r="E56" s="205"/>
      <c r="F56" s="205"/>
      <c r="G56" s="206"/>
    </row>
    <row r="57" spans="2:7" ht="37.5" customHeight="1">
      <c r="B57" s="203"/>
      <c r="C57" s="207"/>
      <c r="D57" s="208"/>
      <c r="E57" s="208"/>
      <c r="F57" s="208"/>
      <c r="G57" s="209"/>
    </row>
    <row r="58" spans="2:7" ht="45.6" customHeight="1">
      <c r="B58" s="203"/>
      <c r="C58" s="207"/>
      <c r="D58" s="208"/>
      <c r="E58" s="208"/>
      <c r="F58" s="208"/>
      <c r="G58" s="209"/>
    </row>
    <row r="59" spans="2:7" ht="22.2" hidden="1" customHeight="1">
      <c r="B59" s="203"/>
      <c r="C59" s="207"/>
      <c r="D59" s="208"/>
      <c r="E59" s="208"/>
      <c r="F59" s="208"/>
      <c r="G59" s="209"/>
    </row>
    <row r="60" spans="2:7" ht="37.200000000000003" hidden="1" customHeight="1">
      <c r="B60" s="203"/>
      <c r="C60" s="210"/>
      <c r="D60" s="211"/>
      <c r="E60" s="211"/>
      <c r="F60" s="211"/>
      <c r="G60" s="212"/>
    </row>
    <row r="61" spans="2:7" ht="18.75" customHeight="1">
      <c r="B61" s="203"/>
      <c r="C61" s="109" t="s">
        <v>100</v>
      </c>
      <c r="D61" s="147" t="s">
        <v>101</v>
      </c>
      <c r="E61" s="148"/>
      <c r="F61" s="148"/>
      <c r="G61" s="149"/>
    </row>
    <row r="62" spans="2:7" ht="34.200000000000003" customHeight="1">
      <c r="B62" s="203"/>
      <c r="C62" s="73" t="s">
        <v>132</v>
      </c>
      <c r="D62" s="213" t="s">
        <v>171</v>
      </c>
      <c r="E62" s="214"/>
      <c r="F62" s="214"/>
      <c r="G62" s="215"/>
    </row>
    <row r="63" spans="2:7" ht="18.75" customHeight="1">
      <c r="B63" s="203"/>
      <c r="C63" s="73"/>
      <c r="D63" s="130"/>
      <c r="E63" s="131"/>
      <c r="F63" s="131"/>
      <c r="G63" s="132"/>
    </row>
    <row r="64" spans="2:7" ht="18.75" customHeight="1">
      <c r="B64" s="203"/>
      <c r="C64" s="73"/>
      <c r="D64" s="130"/>
      <c r="E64" s="131"/>
      <c r="F64" s="131"/>
      <c r="G64" s="132"/>
    </row>
    <row r="65" spans="1:7" ht="18.75" customHeight="1">
      <c r="B65" s="203"/>
      <c r="C65" s="73"/>
      <c r="D65" s="130"/>
      <c r="E65" s="131"/>
      <c r="F65" s="131"/>
      <c r="G65" s="132"/>
    </row>
    <row r="66" spans="1:7" ht="18.75" customHeight="1">
      <c r="B66" s="203"/>
      <c r="C66" s="73"/>
      <c r="D66" s="130"/>
      <c r="E66" s="131"/>
      <c r="F66" s="131"/>
      <c r="G66" s="132"/>
    </row>
    <row r="67" spans="1:7" ht="18.75" customHeight="1">
      <c r="A67" s="9" t="s">
        <v>10</v>
      </c>
      <c r="B67" s="9" t="s">
        <v>97</v>
      </c>
    </row>
    <row r="68" spans="1:7" ht="22.5" customHeight="1">
      <c r="B68" s="73" t="s">
        <v>69</v>
      </c>
      <c r="C68" s="147" t="s">
        <v>96</v>
      </c>
      <c r="D68" s="148"/>
      <c r="E68" s="148"/>
      <c r="F68" s="148"/>
      <c r="G68" s="149"/>
    </row>
    <row r="69" spans="1:7" ht="45" customHeight="1">
      <c r="B69" s="95" t="s">
        <v>70</v>
      </c>
      <c r="C69" s="135" t="s">
        <v>140</v>
      </c>
      <c r="D69" s="136"/>
      <c r="E69" s="136"/>
      <c r="F69" s="136"/>
      <c r="G69" s="150"/>
    </row>
    <row r="70" spans="1:7" ht="45" customHeight="1">
      <c r="B70" s="95" t="s">
        <v>71</v>
      </c>
      <c r="C70" s="135"/>
      <c r="D70" s="136"/>
      <c r="E70" s="136"/>
      <c r="F70" s="136"/>
      <c r="G70" s="150"/>
    </row>
    <row r="71" spans="1:7" ht="45" customHeight="1">
      <c r="B71" s="95" t="s">
        <v>72</v>
      </c>
      <c r="C71" s="135" t="s">
        <v>130</v>
      </c>
      <c r="D71" s="136"/>
      <c r="E71" s="136"/>
      <c r="F71" s="136"/>
      <c r="G71" s="150"/>
    </row>
    <row r="72" spans="1:7" ht="45" customHeight="1">
      <c r="B72" s="95" t="s">
        <v>73</v>
      </c>
      <c r="C72" s="135"/>
      <c r="D72" s="136"/>
      <c r="E72" s="136"/>
      <c r="F72" s="136"/>
      <c r="G72" s="150"/>
    </row>
    <row r="73" spans="1:7" ht="45" customHeight="1">
      <c r="B73" s="95" t="s">
        <v>74</v>
      </c>
      <c r="C73" s="135"/>
      <c r="D73" s="136"/>
      <c r="E73" s="136"/>
      <c r="F73" s="136"/>
      <c r="G73" s="150"/>
    </row>
    <row r="74" spans="1:7" ht="45" customHeight="1">
      <c r="B74" s="95" t="s">
        <v>75</v>
      </c>
      <c r="C74" s="135"/>
      <c r="D74" s="136"/>
      <c r="E74" s="136"/>
      <c r="F74" s="136"/>
      <c r="G74" s="150"/>
    </row>
    <row r="75" spans="1:7" ht="45" customHeight="1">
      <c r="B75" s="95" t="s">
        <v>76</v>
      </c>
      <c r="C75" s="135"/>
      <c r="D75" s="136"/>
      <c r="E75" s="136"/>
      <c r="F75" s="136"/>
      <c r="G75" s="150"/>
    </row>
    <row r="76" spans="1:7" ht="45" customHeight="1">
      <c r="B76" s="95" t="s">
        <v>77</v>
      </c>
      <c r="C76" s="135"/>
      <c r="D76" s="136"/>
      <c r="E76" s="136"/>
      <c r="F76" s="136"/>
      <c r="G76" s="150"/>
    </row>
    <row r="77" spans="1:7" ht="34.200000000000003" customHeight="1">
      <c r="B77" s="95" t="s">
        <v>78</v>
      </c>
      <c r="C77" s="135"/>
      <c r="D77" s="136"/>
      <c r="E77" s="136"/>
      <c r="F77" s="136"/>
      <c r="G77" s="150"/>
    </row>
    <row r="78" spans="1:7" ht="7.5" customHeight="1"/>
    <row r="79" spans="1:7" ht="43.2" customHeight="1">
      <c r="A79" s="9" t="s">
        <v>90</v>
      </c>
      <c r="B79" s="9" t="s">
        <v>91</v>
      </c>
      <c r="E79" s="238" t="s">
        <v>205</v>
      </c>
      <c r="F79" s="136"/>
      <c r="G79" s="150"/>
    </row>
    <row r="80" spans="1:7" ht="7.5" customHeight="1"/>
    <row r="81" spans="1:7" ht="18.75" customHeight="1">
      <c r="A81" s="9" t="s">
        <v>92</v>
      </c>
      <c r="B81" s="9" t="s">
        <v>93</v>
      </c>
    </row>
    <row r="82" spans="1:7" ht="18.75" customHeight="1">
      <c r="B82" s="154" t="s">
        <v>176</v>
      </c>
      <c r="C82" s="155"/>
      <c r="D82" s="155"/>
      <c r="E82" s="155"/>
      <c r="F82" s="155"/>
      <c r="G82" s="156"/>
    </row>
    <row r="83" spans="1:7" ht="9" customHeight="1">
      <c r="B83" s="157"/>
      <c r="C83" s="158"/>
      <c r="D83" s="158"/>
      <c r="E83" s="158"/>
      <c r="F83" s="158"/>
      <c r="G83" s="159"/>
    </row>
    <row r="84" spans="1:7" ht="18.600000000000001" hidden="1" customHeight="1">
      <c r="B84" s="157"/>
      <c r="C84" s="158"/>
      <c r="D84" s="158"/>
      <c r="E84" s="158"/>
      <c r="F84" s="158"/>
      <c r="G84" s="159"/>
    </row>
    <row r="85" spans="1:7" ht="18.600000000000001" customHeight="1">
      <c r="B85" s="160"/>
      <c r="C85" s="161"/>
      <c r="D85" s="161"/>
      <c r="E85" s="161"/>
      <c r="F85" s="161"/>
      <c r="G85" s="162"/>
    </row>
    <row r="86" spans="1:7" ht="18.75" customHeight="1"/>
    <row r="87" spans="1:7" ht="18.75" customHeight="1"/>
    <row r="88" spans="1:7" ht="18.75" customHeight="1"/>
    <row r="89" spans="1:7" ht="18.75" customHeight="1"/>
    <row r="90" spans="1:7" ht="18.75" customHeight="1"/>
    <row r="91" spans="1:7" ht="18.75" customHeight="1"/>
  </sheetData>
  <mergeCells count="61">
    <mergeCell ref="A3:G3"/>
    <mergeCell ref="C5:G5"/>
    <mergeCell ref="B6:B13"/>
    <mergeCell ref="C6:G9"/>
    <mergeCell ref="D10:G10"/>
    <mergeCell ref="D11:G11"/>
    <mergeCell ref="D12:G12"/>
    <mergeCell ref="D13:G13"/>
    <mergeCell ref="B14:B25"/>
    <mergeCell ref="C14:G14"/>
    <mergeCell ref="C15:G19"/>
    <mergeCell ref="D20:G20"/>
    <mergeCell ref="D21:G21"/>
    <mergeCell ref="D22:G22"/>
    <mergeCell ref="D23:G23"/>
    <mergeCell ref="D24:G24"/>
    <mergeCell ref="D25:G25"/>
    <mergeCell ref="B26:B41"/>
    <mergeCell ref="C26:G26"/>
    <mergeCell ref="C27:G31"/>
    <mergeCell ref="D32:G32"/>
    <mergeCell ref="D33:G33"/>
    <mergeCell ref="D34:G34"/>
    <mergeCell ref="D35:G35"/>
    <mergeCell ref="D36:G36"/>
    <mergeCell ref="D37:G37"/>
    <mergeCell ref="D38:G38"/>
    <mergeCell ref="D39:G39"/>
    <mergeCell ref="D40:G40"/>
    <mergeCell ref="D41:G41"/>
    <mergeCell ref="C42:G42"/>
    <mergeCell ref="C43:G47"/>
    <mergeCell ref="D48:G48"/>
    <mergeCell ref="D49:G49"/>
    <mergeCell ref="B42:B54"/>
    <mergeCell ref="D51:G51"/>
    <mergeCell ref="D52:G52"/>
    <mergeCell ref="D53:G53"/>
    <mergeCell ref="D50:G50"/>
    <mergeCell ref="D64:G64"/>
    <mergeCell ref="D65:G65"/>
    <mergeCell ref="D54:G54"/>
    <mergeCell ref="D66:G66"/>
    <mergeCell ref="B55:B66"/>
    <mergeCell ref="C55:G55"/>
    <mergeCell ref="C56:G60"/>
    <mergeCell ref="D61:G61"/>
    <mergeCell ref="D62:G62"/>
    <mergeCell ref="D63:G63"/>
    <mergeCell ref="C68:G68"/>
    <mergeCell ref="C69:G69"/>
    <mergeCell ref="C76:G76"/>
    <mergeCell ref="C77:G77"/>
    <mergeCell ref="E79:G79"/>
    <mergeCell ref="B82:G85"/>
    <mergeCell ref="C70:G70"/>
    <mergeCell ref="C71:G71"/>
    <mergeCell ref="C72:G72"/>
    <mergeCell ref="C73:G73"/>
    <mergeCell ref="C74:G74"/>
    <mergeCell ref="C75:G75"/>
  </mergeCells>
  <phoneticPr fontId="1"/>
  <hyperlinks>
    <hyperlink ref="E79" r:id="rId1"/>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
  <sheetViews>
    <sheetView showZeros="0" topLeftCell="A17" zoomScaleNormal="100" workbookViewId="0">
      <selection activeCell="H90" sqref="H90"/>
    </sheetView>
  </sheetViews>
  <sheetFormatPr defaultColWidth="11.33203125" defaultRowHeight="18.75" customHeight="1"/>
  <cols>
    <col min="1" max="1" width="2.77734375" style="96" customWidth="1"/>
    <col min="2" max="2" width="54.21875" style="9" customWidth="1"/>
    <col min="3" max="3" width="1.21875" style="9" customWidth="1"/>
    <col min="4" max="4" width="22.44140625" style="9" customWidth="1"/>
    <col min="5" max="5" width="6.21875" style="9" customWidth="1"/>
    <col min="6" max="16384" width="11.33203125" style="9"/>
  </cols>
  <sheetData>
    <row r="1" spans="1:5" ht="18.75" customHeight="1">
      <c r="E1" s="120" t="s">
        <v>98</v>
      </c>
    </row>
    <row r="2" spans="1:5" ht="18.75" customHeight="1">
      <c r="B2" s="120" t="s">
        <v>82</v>
      </c>
      <c r="C2" s="120" t="s">
        <v>181</v>
      </c>
      <c r="D2" s="151" t="s">
        <v>122</v>
      </c>
      <c r="E2" s="151"/>
    </row>
    <row r="3" spans="1:5" ht="7.5" customHeight="1">
      <c r="B3" s="120"/>
      <c r="C3" s="120"/>
      <c r="D3" s="121"/>
      <c r="E3" s="121"/>
    </row>
    <row r="4" spans="1:5" ht="18.75" customHeight="1">
      <c r="B4" s="145" t="s">
        <v>79</v>
      </c>
      <c r="C4" s="145"/>
      <c r="D4" s="145"/>
      <c r="E4" s="145"/>
    </row>
    <row r="5" spans="1:5" ht="7.5" customHeight="1">
      <c r="B5" s="121"/>
      <c r="C5" s="121"/>
      <c r="D5" s="121"/>
      <c r="E5" s="121"/>
    </row>
    <row r="6" spans="1:5" ht="18.75" customHeight="1">
      <c r="A6" s="13" t="s">
        <v>182</v>
      </c>
      <c r="B6" s="11" t="s">
        <v>183</v>
      </c>
      <c r="C6" s="121"/>
      <c r="D6" s="121"/>
      <c r="E6" s="121"/>
    </row>
    <row r="7" spans="1:5" ht="18.75" customHeight="1">
      <c r="A7" s="13"/>
      <c r="B7" s="135" t="s">
        <v>191</v>
      </c>
      <c r="C7" s="136"/>
      <c r="D7" s="136"/>
      <c r="E7" s="150"/>
    </row>
    <row r="8" spans="1:5" ht="7.5" customHeight="1">
      <c r="B8" s="121"/>
      <c r="C8" s="121"/>
      <c r="D8" s="121"/>
      <c r="E8" s="121"/>
    </row>
    <row r="9" spans="1:5" s="11" customFormat="1" ht="18.75" customHeight="1">
      <c r="A9" s="13" t="s">
        <v>184</v>
      </c>
      <c r="B9" s="13" t="s">
        <v>41</v>
      </c>
      <c r="C9" s="13"/>
      <c r="D9" s="13"/>
      <c r="E9" s="13"/>
    </row>
    <row r="10" spans="1:5" s="10" customFormat="1" ht="18.75" customHeight="1">
      <c r="A10" s="122"/>
      <c r="B10" s="239" t="s">
        <v>199</v>
      </c>
      <c r="C10" s="240"/>
      <c r="D10" s="240"/>
      <c r="E10" s="241"/>
    </row>
    <row r="11" spans="1:5" s="10" customFormat="1" ht="18.75" customHeight="1">
      <c r="A11" s="122"/>
      <c r="B11" s="242"/>
      <c r="C11" s="243"/>
      <c r="D11" s="243"/>
      <c r="E11" s="244"/>
    </row>
    <row r="12" spans="1:5" s="10" customFormat="1" ht="18.75" customHeight="1">
      <c r="A12" s="122"/>
      <c r="B12" s="242"/>
      <c r="C12" s="243"/>
      <c r="D12" s="243"/>
      <c r="E12" s="244"/>
    </row>
    <row r="13" spans="1:5" s="10" customFormat="1" ht="18.75" customHeight="1">
      <c r="A13" s="122"/>
      <c r="B13" s="242"/>
      <c r="C13" s="243"/>
      <c r="D13" s="243"/>
      <c r="E13" s="244"/>
    </row>
    <row r="14" spans="1:5" s="10" customFormat="1" ht="78" customHeight="1">
      <c r="A14" s="122"/>
      <c r="B14" s="245"/>
      <c r="C14" s="246"/>
      <c r="D14" s="246"/>
      <c r="E14" s="247"/>
    </row>
    <row r="15" spans="1:5" s="10" customFormat="1" ht="15.6" customHeight="1">
      <c r="A15" s="122"/>
      <c r="B15" s="122"/>
      <c r="C15" s="122"/>
      <c r="D15" s="122"/>
      <c r="E15" s="122"/>
    </row>
    <row r="16" spans="1:5" s="11" customFormat="1" ht="26.4" customHeight="1">
      <c r="A16" s="97" t="s">
        <v>185</v>
      </c>
      <c r="B16" s="97" t="s">
        <v>15</v>
      </c>
      <c r="C16" s="97"/>
      <c r="D16" s="97"/>
      <c r="E16" s="97"/>
    </row>
    <row r="17" spans="1:5" s="10" customFormat="1" ht="18.75" customHeight="1">
      <c r="A17" s="122"/>
      <c r="B17" s="239" t="s">
        <v>197</v>
      </c>
      <c r="C17" s="240"/>
      <c r="D17" s="240"/>
      <c r="E17" s="241"/>
    </row>
    <row r="18" spans="1:5" s="10" customFormat="1" ht="38.4" customHeight="1">
      <c r="A18" s="122"/>
      <c r="B18" s="242"/>
      <c r="C18" s="243"/>
      <c r="D18" s="243"/>
      <c r="E18" s="244"/>
    </row>
    <row r="19" spans="1:5" s="10" customFormat="1" ht="18.75" customHeight="1">
      <c r="A19" s="122"/>
      <c r="B19" s="242"/>
      <c r="C19" s="243"/>
      <c r="D19" s="243"/>
      <c r="E19" s="244"/>
    </row>
    <row r="20" spans="1:5" s="10" customFormat="1" ht="22.2" customHeight="1">
      <c r="A20" s="122"/>
      <c r="B20" s="242"/>
      <c r="C20" s="243"/>
      <c r="D20" s="243"/>
      <c r="E20" s="244"/>
    </row>
    <row r="21" spans="1:5" s="10" customFormat="1" ht="10.199999999999999" customHeight="1">
      <c r="A21" s="122"/>
      <c r="B21" s="242"/>
      <c r="C21" s="243"/>
      <c r="D21" s="243"/>
      <c r="E21" s="244"/>
    </row>
    <row r="22" spans="1:5" s="10" customFormat="1" ht="5.4" customHeight="1">
      <c r="A22" s="122"/>
      <c r="B22" s="242"/>
      <c r="C22" s="243"/>
      <c r="D22" s="243"/>
      <c r="E22" s="244"/>
    </row>
    <row r="23" spans="1:5" s="10" customFormat="1" ht="40.799999999999997" hidden="1" customHeight="1">
      <c r="A23" s="122"/>
      <c r="B23" s="242"/>
      <c r="C23" s="243"/>
      <c r="D23" s="243"/>
      <c r="E23" s="244"/>
    </row>
    <row r="24" spans="1:5" s="10" customFormat="1" ht="18.600000000000001" hidden="1" customHeight="1">
      <c r="A24" s="122"/>
      <c r="B24" s="242"/>
      <c r="C24" s="243"/>
      <c r="D24" s="243"/>
      <c r="E24" s="244"/>
    </row>
    <row r="25" spans="1:5" s="10" customFormat="1" ht="18.600000000000001" hidden="1" customHeight="1">
      <c r="A25" s="122"/>
      <c r="B25" s="242"/>
      <c r="C25" s="243"/>
      <c r="D25" s="243"/>
      <c r="E25" s="244"/>
    </row>
    <row r="26" spans="1:5" s="10" customFormat="1" ht="18.600000000000001" hidden="1" customHeight="1">
      <c r="A26" s="122"/>
      <c r="B26" s="242"/>
      <c r="C26" s="243"/>
      <c r="D26" s="243"/>
      <c r="E26" s="244"/>
    </row>
    <row r="27" spans="1:5" s="10" customFormat="1" ht="18.600000000000001" hidden="1" customHeight="1">
      <c r="A27" s="122"/>
      <c r="B27" s="242"/>
      <c r="C27" s="243"/>
      <c r="D27" s="243"/>
      <c r="E27" s="244"/>
    </row>
    <row r="28" spans="1:5" s="10" customFormat="1" ht="11.4" customHeight="1">
      <c r="A28" s="122"/>
      <c r="B28" s="245"/>
      <c r="C28" s="246"/>
      <c r="D28" s="246"/>
      <c r="E28" s="247"/>
    </row>
    <row r="29" spans="1:5" ht="18.600000000000001" customHeight="1">
      <c r="A29" s="98"/>
      <c r="B29" s="98"/>
      <c r="C29" s="98"/>
      <c r="D29" s="98"/>
      <c r="E29" s="98"/>
    </row>
    <row r="30" spans="1:5" s="11" customFormat="1" ht="18.75" customHeight="1">
      <c r="A30" s="13" t="s">
        <v>186</v>
      </c>
      <c r="B30" s="13" t="s">
        <v>26</v>
      </c>
      <c r="C30" s="13"/>
      <c r="D30" s="13"/>
      <c r="E30" s="13"/>
    </row>
    <row r="31" spans="1:5" s="11" customFormat="1" ht="18.75" customHeight="1">
      <c r="A31" s="13"/>
      <c r="B31" s="239" t="s">
        <v>192</v>
      </c>
      <c r="C31" s="240"/>
      <c r="D31" s="240"/>
      <c r="E31" s="241"/>
    </row>
    <row r="32" spans="1:5" s="11" customFormat="1" ht="18.75" customHeight="1">
      <c r="A32" s="13"/>
      <c r="B32" s="242"/>
      <c r="C32" s="243"/>
      <c r="D32" s="243"/>
      <c r="E32" s="244"/>
    </row>
    <row r="33" spans="1:5" s="11" customFormat="1" ht="18.75" customHeight="1">
      <c r="A33" s="13"/>
      <c r="B33" s="242"/>
      <c r="C33" s="243"/>
      <c r="D33" s="243"/>
      <c r="E33" s="244"/>
    </row>
    <row r="34" spans="1:5" s="11" customFormat="1" ht="18.75" customHeight="1">
      <c r="A34" s="13"/>
      <c r="B34" s="242"/>
      <c r="C34" s="243"/>
      <c r="D34" s="243"/>
      <c r="E34" s="244"/>
    </row>
    <row r="35" spans="1:5" s="11" customFormat="1" ht="18.75" customHeight="1">
      <c r="A35" s="13"/>
      <c r="B35" s="242"/>
      <c r="C35" s="243"/>
      <c r="D35" s="243"/>
      <c r="E35" s="244"/>
    </row>
    <row r="36" spans="1:5" s="11" customFormat="1" ht="18.75" customHeight="1">
      <c r="A36" s="13"/>
      <c r="B36" s="242"/>
      <c r="C36" s="243"/>
      <c r="D36" s="243"/>
      <c r="E36" s="244"/>
    </row>
    <row r="37" spans="1:5" s="11" customFormat="1" ht="18.75" customHeight="1">
      <c r="A37" s="13"/>
      <c r="B37" s="242"/>
      <c r="C37" s="243"/>
      <c r="D37" s="243"/>
      <c r="E37" s="244"/>
    </row>
    <row r="38" spans="1:5" s="11" customFormat="1" ht="18.75" customHeight="1">
      <c r="A38" s="13"/>
      <c r="B38" s="242"/>
      <c r="C38" s="243"/>
      <c r="D38" s="243"/>
      <c r="E38" s="244"/>
    </row>
    <row r="39" spans="1:5" s="11" customFormat="1" ht="10.8" customHeight="1">
      <c r="A39" s="13"/>
      <c r="B39" s="242"/>
      <c r="C39" s="243"/>
      <c r="D39" s="243"/>
      <c r="E39" s="244"/>
    </row>
    <row r="40" spans="1:5" s="11" customFormat="1" ht="16.8" hidden="1" customHeight="1">
      <c r="A40" s="13"/>
      <c r="B40" s="242"/>
      <c r="C40" s="243"/>
      <c r="D40" s="243"/>
      <c r="E40" s="244"/>
    </row>
    <row r="41" spans="1:5" s="11" customFormat="1" ht="18.600000000000001" hidden="1" customHeight="1">
      <c r="A41" s="13"/>
      <c r="B41" s="242"/>
      <c r="C41" s="243"/>
      <c r="D41" s="243"/>
      <c r="E41" s="244"/>
    </row>
    <row r="42" spans="1:5" s="11" customFormat="1" ht="0.6" customHeight="1">
      <c r="A42" s="13"/>
      <c r="B42" s="242"/>
      <c r="C42" s="243"/>
      <c r="D42" s="243"/>
      <c r="E42" s="244"/>
    </row>
    <row r="43" spans="1:5" s="11" customFormat="1" ht="18.600000000000001" hidden="1" customHeight="1">
      <c r="A43" s="13"/>
      <c r="B43" s="242"/>
      <c r="C43" s="243"/>
      <c r="D43" s="243"/>
      <c r="E43" s="244"/>
    </row>
    <row r="44" spans="1:5" s="11" customFormat="1" ht="18.600000000000001" hidden="1" customHeight="1">
      <c r="A44" s="13"/>
      <c r="B44" s="242"/>
      <c r="C44" s="243"/>
      <c r="D44" s="243"/>
      <c r="E44" s="244"/>
    </row>
    <row r="45" spans="1:5" ht="18.600000000000001" hidden="1" customHeight="1">
      <c r="A45" s="98"/>
      <c r="B45" s="242"/>
      <c r="C45" s="243"/>
      <c r="D45" s="243"/>
      <c r="E45" s="244"/>
    </row>
    <row r="46" spans="1:5" ht="25.8" customHeight="1">
      <c r="A46" s="98"/>
      <c r="B46" s="245"/>
      <c r="C46" s="246"/>
      <c r="D46" s="246"/>
      <c r="E46" s="247"/>
    </row>
    <row r="47" spans="1:5" s="11" customFormat="1" ht="18.75" customHeight="1">
      <c r="A47" s="97" t="s">
        <v>187</v>
      </c>
      <c r="B47" s="13" t="s">
        <v>80</v>
      </c>
      <c r="C47" s="97"/>
      <c r="D47" s="97"/>
      <c r="E47" s="97"/>
    </row>
    <row r="48" spans="1:5" ht="18.75" customHeight="1">
      <c r="A48" s="98"/>
      <c r="B48" s="239" t="s">
        <v>193</v>
      </c>
      <c r="C48" s="248"/>
      <c r="D48" s="248"/>
      <c r="E48" s="249"/>
    </row>
    <row r="49" spans="1:5" ht="18.75" customHeight="1">
      <c r="A49" s="98"/>
      <c r="B49" s="250"/>
      <c r="C49" s="251"/>
      <c r="D49" s="251"/>
      <c r="E49" s="252"/>
    </row>
    <row r="50" spans="1:5" ht="18.75" customHeight="1">
      <c r="A50" s="98"/>
      <c r="B50" s="250"/>
      <c r="C50" s="251"/>
      <c r="D50" s="251"/>
      <c r="E50" s="252"/>
    </row>
    <row r="51" spans="1:5" ht="18.75" customHeight="1">
      <c r="A51" s="98"/>
      <c r="B51" s="250"/>
      <c r="C51" s="251"/>
      <c r="D51" s="251"/>
      <c r="E51" s="252"/>
    </row>
    <row r="52" spans="1:5" ht="18.75" customHeight="1">
      <c r="A52" s="98"/>
      <c r="B52" s="250"/>
      <c r="C52" s="251"/>
      <c r="D52" s="251"/>
      <c r="E52" s="252"/>
    </row>
    <row r="53" spans="1:5" ht="18.75" customHeight="1">
      <c r="A53" s="98"/>
      <c r="B53" s="250"/>
      <c r="C53" s="251"/>
      <c r="D53" s="251"/>
      <c r="E53" s="252"/>
    </row>
    <row r="54" spans="1:5" ht="2.4" customHeight="1">
      <c r="A54" s="98"/>
      <c r="B54" s="250"/>
      <c r="C54" s="251"/>
      <c r="D54" s="251"/>
      <c r="E54" s="252"/>
    </row>
    <row r="55" spans="1:5" ht="3" customHeight="1">
      <c r="A55" s="98"/>
      <c r="B55" s="250"/>
      <c r="C55" s="251"/>
      <c r="D55" s="251"/>
      <c r="E55" s="252"/>
    </row>
    <row r="56" spans="1:5" ht="0.6" customHeight="1">
      <c r="A56" s="98"/>
      <c r="B56" s="250"/>
      <c r="C56" s="251"/>
      <c r="D56" s="251"/>
      <c r="E56" s="252"/>
    </row>
    <row r="57" spans="1:5" ht="18.600000000000001" hidden="1" customHeight="1">
      <c r="A57" s="98"/>
      <c r="B57" s="250"/>
      <c r="C57" s="251"/>
      <c r="D57" s="251"/>
      <c r="E57" s="252"/>
    </row>
    <row r="58" spans="1:5" ht="18.600000000000001" hidden="1" customHeight="1">
      <c r="A58" s="98"/>
      <c r="B58" s="250"/>
      <c r="C58" s="251"/>
      <c r="D58" s="251"/>
      <c r="E58" s="252"/>
    </row>
    <row r="59" spans="1:5" ht="18.600000000000001" hidden="1" customHeight="1">
      <c r="A59" s="98"/>
      <c r="B59" s="250"/>
      <c r="C59" s="251"/>
      <c r="D59" s="251"/>
      <c r="E59" s="252"/>
    </row>
    <row r="60" spans="1:5" ht="18.600000000000001" hidden="1" customHeight="1">
      <c r="A60" s="98"/>
      <c r="B60" s="250"/>
      <c r="C60" s="251"/>
      <c r="D60" s="251"/>
      <c r="E60" s="252"/>
    </row>
    <row r="61" spans="1:5" ht="18.600000000000001" hidden="1" customHeight="1">
      <c r="A61" s="98"/>
      <c r="B61" s="250"/>
      <c r="C61" s="251"/>
      <c r="D61" s="251"/>
      <c r="E61" s="252"/>
    </row>
    <row r="62" spans="1:5" ht="18.600000000000001" hidden="1" customHeight="1">
      <c r="A62" s="98"/>
      <c r="B62" s="250"/>
      <c r="C62" s="251"/>
      <c r="D62" s="251"/>
      <c r="E62" s="252"/>
    </row>
    <row r="63" spans="1:5" ht="18.600000000000001" hidden="1" customHeight="1">
      <c r="A63" s="98"/>
      <c r="B63" s="250"/>
      <c r="C63" s="251"/>
      <c r="D63" s="251"/>
      <c r="E63" s="252"/>
    </row>
    <row r="64" spans="1:5" ht="18.600000000000001" hidden="1" customHeight="1">
      <c r="A64" s="98"/>
      <c r="B64" s="250"/>
      <c r="C64" s="251"/>
      <c r="D64" s="251"/>
      <c r="E64" s="252"/>
    </row>
    <row r="65" spans="1:5" ht="18.600000000000001" hidden="1" customHeight="1">
      <c r="A65" s="98"/>
      <c r="B65" s="250"/>
      <c r="C65" s="251"/>
      <c r="D65" s="251"/>
      <c r="E65" s="252"/>
    </row>
    <row r="66" spans="1:5" ht="18.600000000000001" hidden="1" customHeight="1">
      <c r="A66" s="98"/>
      <c r="B66" s="250"/>
      <c r="C66" s="251"/>
      <c r="D66" s="251"/>
      <c r="E66" s="252"/>
    </row>
    <row r="67" spans="1:5" ht="18.600000000000001" hidden="1" customHeight="1">
      <c r="A67" s="98"/>
      <c r="B67" s="250"/>
      <c r="C67" s="251"/>
      <c r="D67" s="251"/>
      <c r="E67" s="252"/>
    </row>
    <row r="68" spans="1:5" ht="18.75" customHeight="1">
      <c r="A68" s="98"/>
      <c r="B68" s="253"/>
      <c r="C68" s="254"/>
      <c r="D68" s="254"/>
      <c r="E68" s="255"/>
    </row>
    <row r="69" spans="1:5" ht="7.5" customHeight="1">
      <c r="A69" s="98"/>
      <c r="B69" s="98"/>
      <c r="C69" s="98"/>
      <c r="D69" s="98"/>
      <c r="E69" s="98"/>
    </row>
    <row r="70" spans="1:5" s="11" customFormat="1" ht="18.75" customHeight="1">
      <c r="A70" s="13" t="s">
        <v>188</v>
      </c>
      <c r="B70" s="13" t="s">
        <v>89</v>
      </c>
      <c r="C70" s="13"/>
      <c r="D70" s="13"/>
      <c r="E70" s="13"/>
    </row>
    <row r="71" spans="1:5" s="11" customFormat="1" ht="18.75" customHeight="1">
      <c r="A71" s="13"/>
      <c r="B71" s="239" t="s">
        <v>194</v>
      </c>
      <c r="C71" s="240"/>
      <c r="D71" s="240"/>
      <c r="E71" s="241"/>
    </row>
    <row r="72" spans="1:5" s="11" customFormat="1" ht="18.75" customHeight="1">
      <c r="A72" s="13"/>
      <c r="B72" s="242"/>
      <c r="C72" s="243"/>
      <c r="D72" s="243"/>
      <c r="E72" s="244"/>
    </row>
    <row r="73" spans="1:5" s="11" customFormat="1" ht="18.75" customHeight="1">
      <c r="A73" s="13"/>
      <c r="B73" s="242"/>
      <c r="C73" s="243"/>
      <c r="D73" s="243"/>
      <c r="E73" s="244"/>
    </row>
    <row r="74" spans="1:5" s="11" customFormat="1" ht="18.75" customHeight="1">
      <c r="A74" s="13"/>
      <c r="B74" s="242"/>
      <c r="C74" s="243"/>
      <c r="D74" s="243"/>
      <c r="E74" s="244"/>
    </row>
    <row r="75" spans="1:5" s="11" customFormat="1" ht="1.2" customHeight="1">
      <c r="A75" s="13"/>
      <c r="B75" s="242"/>
      <c r="C75" s="243"/>
      <c r="D75" s="243"/>
      <c r="E75" s="244"/>
    </row>
    <row r="76" spans="1:5" s="11" customFormat="1" ht="6.6" customHeight="1">
      <c r="A76" s="13"/>
      <c r="B76" s="242"/>
      <c r="C76" s="243"/>
      <c r="D76" s="243"/>
      <c r="E76" s="244"/>
    </row>
    <row r="77" spans="1:5" s="11" customFormat="1" ht="18.600000000000001" hidden="1" customHeight="1">
      <c r="A77" s="13"/>
      <c r="B77" s="242"/>
      <c r="C77" s="243"/>
      <c r="D77" s="243"/>
      <c r="E77" s="244"/>
    </row>
    <row r="78" spans="1:5" s="11" customFormat="1" ht="18.600000000000001" hidden="1" customHeight="1">
      <c r="A78" s="13"/>
      <c r="B78" s="242"/>
      <c r="C78" s="243"/>
      <c r="D78" s="243"/>
      <c r="E78" s="244"/>
    </row>
    <row r="79" spans="1:5" s="11" customFormat="1" ht="18.600000000000001" hidden="1" customHeight="1">
      <c r="A79" s="13"/>
      <c r="B79" s="242"/>
      <c r="C79" s="243"/>
      <c r="D79" s="243"/>
      <c r="E79" s="244"/>
    </row>
    <row r="80" spans="1:5" s="11" customFormat="1" ht="18.600000000000001" hidden="1" customHeight="1">
      <c r="A80" s="13"/>
      <c r="B80" s="242"/>
      <c r="C80" s="243"/>
      <c r="D80" s="243"/>
      <c r="E80" s="244"/>
    </row>
    <row r="81" spans="1:5" s="11" customFormat="1" ht="18.600000000000001" hidden="1" customHeight="1">
      <c r="A81" s="13"/>
      <c r="B81" s="242"/>
      <c r="C81" s="243"/>
      <c r="D81" s="243"/>
      <c r="E81" s="244"/>
    </row>
    <row r="82" spans="1:5" s="11" customFormat="1" ht="18.600000000000001" hidden="1" customHeight="1">
      <c r="A82" s="13"/>
      <c r="B82" s="242"/>
      <c r="C82" s="243"/>
      <c r="D82" s="243"/>
      <c r="E82" s="244"/>
    </row>
    <row r="83" spans="1:5" s="11" customFormat="1" ht="18.600000000000001" hidden="1" customHeight="1">
      <c r="A83" s="13"/>
      <c r="B83" s="242"/>
      <c r="C83" s="243"/>
      <c r="D83" s="243"/>
      <c r="E83" s="244"/>
    </row>
    <row r="84" spans="1:5" s="11" customFormat="1" ht="18.600000000000001" hidden="1" customHeight="1">
      <c r="A84" s="13"/>
      <c r="B84" s="242"/>
      <c r="C84" s="243"/>
      <c r="D84" s="243"/>
      <c r="E84" s="244"/>
    </row>
    <row r="85" spans="1:5" s="11" customFormat="1" ht="18.600000000000001" hidden="1" customHeight="1">
      <c r="A85" s="13"/>
      <c r="B85" s="242"/>
      <c r="C85" s="243"/>
      <c r="D85" s="243"/>
      <c r="E85" s="244"/>
    </row>
    <row r="86" spans="1:5" s="11" customFormat="1" ht="18.600000000000001" hidden="1" customHeight="1">
      <c r="A86" s="13"/>
      <c r="B86" s="242"/>
      <c r="C86" s="243"/>
      <c r="D86" s="243"/>
      <c r="E86" s="244"/>
    </row>
    <row r="87" spans="1:5" s="11" customFormat="1" ht="18.600000000000001" hidden="1" customHeight="1">
      <c r="A87" s="13"/>
      <c r="B87" s="242"/>
      <c r="C87" s="243"/>
      <c r="D87" s="243"/>
      <c r="E87" s="244"/>
    </row>
    <row r="88" spans="1:5" ht="12.6" customHeight="1">
      <c r="A88" s="98"/>
      <c r="B88" s="242"/>
      <c r="C88" s="243"/>
      <c r="D88" s="243"/>
      <c r="E88" s="244"/>
    </row>
    <row r="89" spans="1:5" ht="10.8" customHeight="1">
      <c r="A89" s="98"/>
      <c r="B89" s="245"/>
      <c r="C89" s="246"/>
      <c r="D89" s="246"/>
      <c r="E89" s="247"/>
    </row>
    <row r="90" spans="1:5" ht="12.6" customHeight="1">
      <c r="A90" s="98"/>
      <c r="B90" s="98"/>
      <c r="C90" s="98"/>
      <c r="D90" s="98"/>
      <c r="E90" s="98"/>
    </row>
    <row r="91" spans="1:5" s="11" customFormat="1" ht="18.75" customHeight="1">
      <c r="A91" s="13" t="s">
        <v>189</v>
      </c>
      <c r="B91" s="13" t="s">
        <v>29</v>
      </c>
      <c r="C91" s="13"/>
      <c r="D91" s="13"/>
      <c r="E91" s="13"/>
    </row>
    <row r="92" spans="1:5" s="11" customFormat="1" ht="18.75" customHeight="1">
      <c r="A92" s="13"/>
      <c r="B92" s="239" t="s">
        <v>195</v>
      </c>
      <c r="C92" s="240"/>
      <c r="D92" s="240"/>
      <c r="E92" s="241"/>
    </row>
    <row r="93" spans="1:5" s="11" customFormat="1" ht="18.75" customHeight="1">
      <c r="A93" s="13"/>
      <c r="B93" s="242"/>
      <c r="C93" s="243"/>
      <c r="D93" s="243"/>
      <c r="E93" s="244"/>
    </row>
    <row r="94" spans="1:5" s="11" customFormat="1" ht="18.75" customHeight="1">
      <c r="A94" s="13"/>
      <c r="B94" s="242"/>
      <c r="C94" s="243"/>
      <c r="D94" s="243"/>
      <c r="E94" s="244"/>
    </row>
    <row r="95" spans="1:5" s="11" customFormat="1" ht="18.75" customHeight="1">
      <c r="A95" s="13"/>
      <c r="B95" s="242"/>
      <c r="C95" s="243"/>
      <c r="D95" s="243"/>
      <c r="E95" s="244"/>
    </row>
    <row r="96" spans="1:5" s="11" customFormat="1" ht="18.75" customHeight="1">
      <c r="A96" s="13"/>
      <c r="B96" s="242"/>
      <c r="C96" s="243"/>
      <c r="D96" s="243"/>
      <c r="E96" s="244"/>
    </row>
    <row r="97" spans="1:5" s="11" customFormat="1" ht="18.75" customHeight="1">
      <c r="A97" s="13"/>
      <c r="B97" s="242"/>
      <c r="C97" s="243"/>
      <c r="D97" s="243"/>
      <c r="E97" s="244"/>
    </row>
    <row r="98" spans="1:5" s="11" customFormat="1" ht="15" customHeight="1">
      <c r="A98" s="13"/>
      <c r="B98" s="242"/>
      <c r="C98" s="243"/>
      <c r="D98" s="243"/>
      <c r="E98" s="244"/>
    </row>
    <row r="99" spans="1:5" s="11" customFormat="1" ht="18.600000000000001" hidden="1" customHeight="1">
      <c r="A99" s="13"/>
      <c r="B99" s="242"/>
      <c r="C99" s="243"/>
      <c r="D99" s="243"/>
      <c r="E99" s="244"/>
    </row>
    <row r="100" spans="1:5" s="11" customFormat="1" ht="18.600000000000001" hidden="1" customHeight="1">
      <c r="A100" s="13"/>
      <c r="B100" s="242"/>
      <c r="C100" s="243"/>
      <c r="D100" s="243"/>
      <c r="E100" s="244"/>
    </row>
    <row r="101" spans="1:5" s="11" customFormat="1" ht="18.600000000000001" hidden="1" customHeight="1">
      <c r="A101" s="13"/>
      <c r="B101" s="242"/>
      <c r="C101" s="243"/>
      <c r="D101" s="243"/>
      <c r="E101" s="244"/>
    </row>
    <row r="102" spans="1:5" s="11" customFormat="1" ht="18" hidden="1" customHeight="1">
      <c r="A102" s="13"/>
      <c r="B102" s="242"/>
      <c r="C102" s="243"/>
      <c r="D102" s="243"/>
      <c r="E102" s="244"/>
    </row>
    <row r="103" spans="1:5" s="11" customFormat="1" ht="18.600000000000001" hidden="1" customHeight="1">
      <c r="A103" s="13"/>
      <c r="B103" s="242"/>
      <c r="C103" s="243"/>
      <c r="D103" s="243"/>
      <c r="E103" s="244"/>
    </row>
    <row r="104" spans="1:5" s="11" customFormat="1" ht="18.600000000000001" hidden="1" customHeight="1">
      <c r="A104" s="13"/>
      <c r="B104" s="242"/>
      <c r="C104" s="243"/>
      <c r="D104" s="243"/>
      <c r="E104" s="244"/>
    </row>
    <row r="105" spans="1:5" s="11" customFormat="1" ht="18.600000000000001" hidden="1" customHeight="1">
      <c r="A105" s="13"/>
      <c r="B105" s="242"/>
      <c r="C105" s="243"/>
      <c r="D105" s="243"/>
      <c r="E105" s="244"/>
    </row>
    <row r="106" spans="1:5" s="11" customFormat="1" ht="18.600000000000001" hidden="1" customHeight="1">
      <c r="A106" s="13"/>
      <c r="B106" s="242"/>
      <c r="C106" s="243"/>
      <c r="D106" s="243"/>
      <c r="E106" s="244"/>
    </row>
    <row r="107" spans="1:5" s="11" customFormat="1" ht="18.600000000000001" hidden="1" customHeight="1">
      <c r="A107" s="13"/>
      <c r="B107" s="242"/>
      <c r="C107" s="243"/>
      <c r="D107" s="243"/>
      <c r="E107" s="244"/>
    </row>
    <row r="108" spans="1:5" s="11" customFormat="1" ht="18.600000000000001" hidden="1" customHeight="1">
      <c r="A108" s="13"/>
      <c r="B108" s="242"/>
      <c r="C108" s="243"/>
      <c r="D108" s="243"/>
      <c r="E108" s="244"/>
    </row>
    <row r="109" spans="1:5" s="11" customFormat="1" ht="18.600000000000001" hidden="1" customHeight="1">
      <c r="A109" s="13"/>
      <c r="B109" s="242"/>
      <c r="C109" s="243"/>
      <c r="D109" s="243"/>
      <c r="E109" s="244"/>
    </row>
    <row r="110" spans="1:5" ht="18.600000000000001" hidden="1" customHeight="1">
      <c r="A110" s="98"/>
      <c r="B110" s="242"/>
      <c r="C110" s="243"/>
      <c r="D110" s="243"/>
      <c r="E110" s="244"/>
    </row>
    <row r="111" spans="1:5" ht="18.75" customHeight="1">
      <c r="A111" s="98"/>
      <c r="B111" s="245"/>
      <c r="C111" s="246"/>
      <c r="D111" s="246"/>
      <c r="E111" s="247"/>
    </row>
    <row r="112" spans="1:5" ht="7.5" customHeight="1">
      <c r="A112" s="98"/>
      <c r="B112" s="98"/>
      <c r="C112" s="98"/>
      <c r="D112" s="98"/>
      <c r="E112" s="98"/>
    </row>
    <row r="113" spans="1:5" s="11" customFormat="1" ht="18.75" customHeight="1">
      <c r="A113" s="13" t="s">
        <v>190</v>
      </c>
      <c r="B113" s="256" t="s">
        <v>120</v>
      </c>
      <c r="C113" s="256"/>
      <c r="D113" s="256"/>
      <c r="E113" s="256"/>
    </row>
    <row r="114" spans="1:5" ht="18.75" customHeight="1">
      <c r="A114" s="98"/>
      <c r="B114" s="239" t="s">
        <v>196</v>
      </c>
      <c r="C114" s="240"/>
      <c r="D114" s="240"/>
      <c r="E114" s="241"/>
    </row>
    <row r="115" spans="1:5" ht="18.75" customHeight="1">
      <c r="A115" s="98"/>
      <c r="B115" s="242"/>
      <c r="C115" s="243"/>
      <c r="D115" s="243"/>
      <c r="E115" s="244"/>
    </row>
    <row r="116" spans="1:5" ht="18.75" customHeight="1">
      <c r="A116" s="98"/>
      <c r="B116" s="242"/>
      <c r="C116" s="243"/>
      <c r="D116" s="243"/>
      <c r="E116" s="244"/>
    </row>
    <row r="117" spans="1:5" ht="18.600000000000001" customHeight="1">
      <c r="A117" s="98"/>
      <c r="B117" s="242"/>
      <c r="C117" s="243"/>
      <c r="D117" s="243"/>
      <c r="E117" s="244"/>
    </row>
    <row r="118" spans="1:5" ht="6.6" customHeight="1">
      <c r="A118" s="98"/>
      <c r="B118" s="242"/>
      <c r="C118" s="243"/>
      <c r="D118" s="243"/>
      <c r="E118" s="244"/>
    </row>
    <row r="119" spans="1:5" ht="4.8" hidden="1" customHeight="1">
      <c r="A119" s="98"/>
      <c r="B119" s="242"/>
      <c r="C119" s="243"/>
      <c r="D119" s="243"/>
      <c r="E119" s="244"/>
    </row>
    <row r="120" spans="1:5" ht="18.600000000000001" hidden="1" customHeight="1">
      <c r="A120" s="98"/>
      <c r="B120" s="242"/>
      <c r="C120" s="243"/>
      <c r="D120" s="243"/>
      <c r="E120" s="244"/>
    </row>
    <row r="121" spans="1:5" ht="18.600000000000001" hidden="1" customHeight="1">
      <c r="A121" s="98"/>
      <c r="B121" s="242"/>
      <c r="C121" s="243"/>
      <c r="D121" s="243"/>
      <c r="E121" s="244"/>
    </row>
    <row r="122" spans="1:5" ht="18.600000000000001" hidden="1" customHeight="1">
      <c r="A122" s="98"/>
      <c r="B122" s="242"/>
      <c r="C122" s="243"/>
      <c r="D122" s="243"/>
      <c r="E122" s="244"/>
    </row>
    <row r="123" spans="1:5" ht="18.600000000000001" hidden="1" customHeight="1">
      <c r="A123" s="98"/>
      <c r="B123" s="242"/>
      <c r="C123" s="243"/>
      <c r="D123" s="243"/>
      <c r="E123" s="244"/>
    </row>
    <row r="124" spans="1:5" ht="18.600000000000001" hidden="1" customHeight="1">
      <c r="A124" s="98"/>
      <c r="B124" s="242"/>
      <c r="C124" s="243"/>
      <c r="D124" s="243"/>
      <c r="E124" s="244"/>
    </row>
    <row r="125" spans="1:5" ht="18.600000000000001" hidden="1" customHeight="1">
      <c r="A125" s="98"/>
      <c r="B125" s="242"/>
      <c r="C125" s="243"/>
      <c r="D125" s="243"/>
      <c r="E125" s="244"/>
    </row>
    <row r="126" spans="1:5" ht="18.600000000000001" hidden="1" customHeight="1">
      <c r="A126" s="98"/>
      <c r="B126" s="242"/>
      <c r="C126" s="243"/>
      <c r="D126" s="243"/>
      <c r="E126" s="244"/>
    </row>
    <row r="127" spans="1:5" ht="18.600000000000001" hidden="1" customHeight="1">
      <c r="A127" s="98"/>
      <c r="B127" s="242"/>
      <c r="C127" s="243"/>
      <c r="D127" s="243"/>
      <c r="E127" s="244"/>
    </row>
    <row r="128" spans="1:5" ht="18.600000000000001" hidden="1" customHeight="1">
      <c r="A128" s="98"/>
      <c r="B128" s="242"/>
      <c r="C128" s="243"/>
      <c r="D128" s="243"/>
      <c r="E128" s="244"/>
    </row>
    <row r="129" spans="1:5" ht="18.600000000000001" hidden="1" customHeight="1">
      <c r="A129" s="98"/>
      <c r="B129" s="242"/>
      <c r="C129" s="243"/>
      <c r="D129" s="243"/>
      <c r="E129" s="244"/>
    </row>
    <row r="130" spans="1:5" ht="18.600000000000001" hidden="1" customHeight="1">
      <c r="A130" s="98"/>
      <c r="B130" s="242"/>
      <c r="C130" s="243"/>
      <c r="D130" s="243"/>
      <c r="E130" s="244"/>
    </row>
    <row r="131" spans="1:5" ht="18.600000000000001" hidden="1" customHeight="1">
      <c r="A131" s="98"/>
      <c r="B131" s="242"/>
      <c r="C131" s="243"/>
      <c r="D131" s="243"/>
      <c r="E131" s="244"/>
    </row>
    <row r="132" spans="1:5" ht="18.600000000000001" hidden="1" customHeight="1">
      <c r="A132" s="98"/>
      <c r="B132" s="242"/>
      <c r="C132" s="243"/>
      <c r="D132" s="243"/>
      <c r="E132" s="244"/>
    </row>
    <row r="133" spans="1:5" ht="17.399999999999999" customHeight="1">
      <c r="A133" s="98"/>
      <c r="B133" s="245"/>
      <c r="C133" s="246"/>
      <c r="D133" s="246"/>
      <c r="E133" s="247"/>
    </row>
    <row r="134" spans="1:5" ht="7.5" customHeight="1">
      <c r="A134" s="98"/>
      <c r="B134" s="99"/>
      <c r="C134" s="99"/>
      <c r="D134" s="99"/>
      <c r="E134" s="99"/>
    </row>
    <row r="135" spans="1:5" ht="18.75" customHeight="1">
      <c r="A135" s="98"/>
      <c r="B135" s="98"/>
      <c r="C135" s="98"/>
      <c r="D135" s="98"/>
      <c r="E135" s="98"/>
    </row>
    <row r="136" spans="1:5" ht="18.75" customHeight="1">
      <c r="A136" s="98"/>
      <c r="B136" s="98"/>
      <c r="C136" s="98"/>
      <c r="D136" s="98"/>
      <c r="E136" s="98"/>
    </row>
    <row r="137" spans="1:5" ht="18.75" customHeight="1">
      <c r="A137" s="98"/>
      <c r="B137" s="98"/>
      <c r="C137" s="98"/>
      <c r="D137" s="98"/>
      <c r="E137" s="98"/>
    </row>
    <row r="138" spans="1:5" ht="18.75" customHeight="1">
      <c r="A138" s="98"/>
      <c r="B138" s="98"/>
      <c r="C138" s="98"/>
      <c r="D138" s="98"/>
      <c r="E138" s="98"/>
    </row>
    <row r="139" spans="1:5" ht="18.75" customHeight="1">
      <c r="A139" s="98"/>
      <c r="B139" s="98"/>
      <c r="C139" s="98"/>
      <c r="D139" s="98"/>
      <c r="E139" s="98"/>
    </row>
    <row r="140" spans="1:5" ht="18.75" customHeight="1">
      <c r="A140" s="98"/>
      <c r="B140" s="98"/>
      <c r="C140" s="98"/>
      <c r="D140" s="98"/>
      <c r="E140" s="98"/>
    </row>
    <row r="141" spans="1:5" ht="18.75" customHeight="1">
      <c r="A141" s="98"/>
      <c r="B141" s="98"/>
      <c r="C141" s="98"/>
      <c r="D141" s="98"/>
      <c r="E141" s="98"/>
    </row>
    <row r="142" spans="1:5" ht="18.75" customHeight="1">
      <c r="A142" s="98"/>
      <c r="B142" s="98"/>
      <c r="C142" s="98"/>
      <c r="D142" s="98"/>
      <c r="E142" s="98"/>
    </row>
    <row r="143" spans="1:5" ht="18.75" customHeight="1">
      <c r="A143" s="98"/>
      <c r="B143" s="98"/>
      <c r="C143" s="98"/>
      <c r="D143" s="98"/>
      <c r="E143" s="98"/>
    </row>
    <row r="144" spans="1:5" ht="18.75" customHeight="1">
      <c r="A144" s="98"/>
      <c r="B144" s="98"/>
      <c r="C144" s="98"/>
      <c r="D144" s="98"/>
      <c r="E144" s="98"/>
    </row>
    <row r="145" spans="1:5" ht="18.75" customHeight="1">
      <c r="A145" s="98"/>
      <c r="B145" s="98"/>
      <c r="C145" s="98"/>
      <c r="D145" s="98"/>
      <c r="E145" s="98"/>
    </row>
    <row r="146" spans="1:5" ht="18.75" customHeight="1">
      <c r="A146" s="98"/>
      <c r="B146" s="98"/>
      <c r="C146" s="98"/>
      <c r="D146" s="98"/>
      <c r="E146" s="98"/>
    </row>
    <row r="147" spans="1:5" ht="14.4">
      <c r="A147" s="98"/>
      <c r="B147" s="98"/>
      <c r="C147" s="98"/>
      <c r="D147" s="98"/>
      <c r="E147" s="98"/>
    </row>
    <row r="148" spans="1:5" ht="7.5" customHeight="1">
      <c r="A148" s="100"/>
      <c r="B148" s="100"/>
      <c r="C148" s="100"/>
      <c r="D148" s="100"/>
      <c r="E148" s="100"/>
    </row>
  </sheetData>
  <mergeCells count="11">
    <mergeCell ref="B48:E68"/>
    <mergeCell ref="B71:E89"/>
    <mergeCell ref="B92:E111"/>
    <mergeCell ref="B113:E113"/>
    <mergeCell ref="B114:E133"/>
    <mergeCell ref="B31:E46"/>
    <mergeCell ref="D2:E2"/>
    <mergeCell ref="B4:E4"/>
    <mergeCell ref="B7:E7"/>
    <mergeCell ref="B10:E14"/>
    <mergeCell ref="B17:E28"/>
  </mergeCells>
  <phoneticPr fontId="1"/>
  <printOptions horizontalCentered="1"/>
  <pageMargins left="0.78740157480314965" right="0.78740157480314965" top="0.78740157480314965" bottom="0.78740157480314965"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showZeros="0" topLeftCell="A45" zoomScaleNormal="100" workbookViewId="0">
      <selection activeCell="E16" sqref="E16:J16"/>
    </sheetView>
  </sheetViews>
  <sheetFormatPr defaultColWidth="11.33203125" defaultRowHeight="22.5" customHeight="1"/>
  <cols>
    <col min="1" max="3" width="2.44140625" style="1" customWidth="1"/>
    <col min="4" max="4" width="22.44140625" style="1" customWidth="1"/>
    <col min="5" max="5" width="21.21875" style="1" customWidth="1"/>
    <col min="6" max="7" width="7.44140625" style="1" customWidth="1"/>
    <col min="8" max="8" width="32.44140625" style="1" customWidth="1"/>
    <col min="9" max="9" width="24.88671875" style="1" customWidth="1"/>
    <col min="10" max="10" width="6.21875" style="1" customWidth="1"/>
    <col min="11" max="11" width="4.109375" style="1" customWidth="1"/>
    <col min="12" max="16384" width="11.33203125" style="1"/>
  </cols>
  <sheetData>
    <row r="1" spans="1:10" ht="18.75" customHeight="1">
      <c r="J1" s="43" t="s">
        <v>7</v>
      </c>
    </row>
    <row r="2" spans="1:10" ht="18.75" customHeight="1">
      <c r="D2" s="43"/>
      <c r="H2" s="43" t="s">
        <v>27</v>
      </c>
      <c r="I2" s="265" t="s">
        <v>149</v>
      </c>
      <c r="J2" s="265"/>
    </row>
    <row r="3" spans="1:10" ht="18.75" customHeight="1">
      <c r="A3" s="266" t="s">
        <v>45</v>
      </c>
      <c r="B3" s="266"/>
      <c r="C3" s="266"/>
      <c r="D3" s="266"/>
      <c r="E3" s="266"/>
      <c r="F3" s="266"/>
      <c r="G3" s="266"/>
      <c r="H3" s="266"/>
      <c r="I3" s="266"/>
      <c r="J3" s="266"/>
    </row>
    <row r="4" spans="1:10" ht="7.5" customHeight="1">
      <c r="B4" s="44"/>
      <c r="C4" s="44"/>
      <c r="D4" s="267"/>
      <c r="E4" s="268"/>
      <c r="F4" s="268"/>
      <c r="G4" s="268"/>
      <c r="H4" s="268"/>
      <c r="I4" s="268"/>
      <c r="J4" s="268"/>
    </row>
    <row r="5" spans="1:10" ht="18.75" customHeight="1">
      <c r="A5" s="9" t="s">
        <v>6</v>
      </c>
      <c r="B5" s="11" t="s">
        <v>43</v>
      </c>
      <c r="C5" s="101"/>
      <c r="D5" s="101"/>
      <c r="E5" s="101"/>
      <c r="F5" s="101"/>
      <c r="G5" s="101"/>
      <c r="H5" s="101"/>
      <c r="I5" s="101"/>
      <c r="J5" s="101"/>
    </row>
    <row r="6" spans="1:10" ht="18.75" customHeight="1">
      <c r="A6" s="9"/>
      <c r="B6" s="147" t="s">
        <v>40</v>
      </c>
      <c r="C6" s="148"/>
      <c r="D6" s="149"/>
      <c r="E6" s="148" t="s">
        <v>42</v>
      </c>
      <c r="F6" s="148"/>
      <c r="G6" s="148"/>
      <c r="H6" s="148"/>
      <c r="I6" s="148"/>
      <c r="J6" s="149"/>
    </row>
    <row r="7" spans="1:10" ht="18.75" customHeight="1">
      <c r="A7" s="9"/>
      <c r="B7" s="15" t="s">
        <v>30</v>
      </c>
      <c r="C7" s="98"/>
      <c r="D7" s="102"/>
      <c r="E7" s="17"/>
      <c r="F7" s="17"/>
      <c r="G7" s="17"/>
      <c r="H7" s="17"/>
      <c r="I7" s="98"/>
      <c r="J7" s="102"/>
    </row>
    <row r="8" spans="1:10" ht="91.8" customHeight="1">
      <c r="A8" s="9"/>
      <c r="B8" s="103"/>
      <c r="C8" s="260" t="s">
        <v>31</v>
      </c>
      <c r="D8" s="261"/>
      <c r="E8" s="262" t="s">
        <v>157</v>
      </c>
      <c r="F8" s="263"/>
      <c r="G8" s="263"/>
      <c r="H8" s="263"/>
      <c r="I8" s="263"/>
      <c r="J8" s="264"/>
    </row>
    <row r="9" spans="1:10" ht="106.2" customHeight="1">
      <c r="A9" s="9"/>
      <c r="B9" s="103"/>
      <c r="C9" s="272" t="s">
        <v>32</v>
      </c>
      <c r="D9" s="273"/>
      <c r="E9" s="262" t="s">
        <v>160</v>
      </c>
      <c r="F9" s="263"/>
      <c r="G9" s="263"/>
      <c r="H9" s="263"/>
      <c r="I9" s="263"/>
      <c r="J9" s="264"/>
    </row>
    <row r="10" spans="1:10" ht="88.2" customHeight="1">
      <c r="A10" s="9"/>
      <c r="B10" s="103"/>
      <c r="C10" s="260" t="s">
        <v>33</v>
      </c>
      <c r="D10" s="261"/>
      <c r="E10" s="262" t="s">
        <v>213</v>
      </c>
      <c r="F10" s="263"/>
      <c r="G10" s="263"/>
      <c r="H10" s="263"/>
      <c r="I10" s="263"/>
      <c r="J10" s="264"/>
    </row>
    <row r="11" spans="1:10" ht="74.400000000000006" customHeight="1">
      <c r="A11" s="9"/>
      <c r="B11" s="103"/>
      <c r="C11" s="260" t="s">
        <v>34</v>
      </c>
      <c r="D11" s="261"/>
      <c r="E11" s="262" t="s">
        <v>159</v>
      </c>
      <c r="F11" s="263"/>
      <c r="G11" s="263"/>
      <c r="H11" s="263"/>
      <c r="I11" s="263"/>
      <c r="J11" s="264"/>
    </row>
    <row r="12" spans="1:10" ht="84.6" customHeight="1">
      <c r="A12" s="9"/>
      <c r="B12" s="103"/>
      <c r="C12" s="260" t="s">
        <v>35</v>
      </c>
      <c r="D12" s="261"/>
      <c r="E12" s="262" t="s">
        <v>211</v>
      </c>
      <c r="F12" s="263"/>
      <c r="G12" s="263"/>
      <c r="H12" s="263"/>
      <c r="I12" s="263"/>
      <c r="J12" s="264"/>
    </row>
    <row r="13" spans="1:10" ht="18.75" customHeight="1">
      <c r="A13" s="9"/>
      <c r="B13" s="104" t="s">
        <v>36</v>
      </c>
      <c r="C13" s="105"/>
      <c r="D13" s="106"/>
      <c r="E13" s="107"/>
      <c r="F13" s="107"/>
      <c r="G13" s="107"/>
      <c r="H13" s="107"/>
      <c r="I13" s="107"/>
      <c r="J13" s="108"/>
    </row>
    <row r="14" spans="1:10" ht="108" customHeight="1">
      <c r="A14" s="9"/>
      <c r="B14" s="103"/>
      <c r="C14" s="260" t="s">
        <v>37</v>
      </c>
      <c r="D14" s="261"/>
      <c r="E14" s="263" t="s">
        <v>198</v>
      </c>
      <c r="F14" s="263"/>
      <c r="G14" s="263"/>
      <c r="H14" s="263"/>
      <c r="I14" s="263"/>
      <c r="J14" s="264"/>
    </row>
    <row r="15" spans="1:10" ht="90.6" customHeight="1">
      <c r="A15" s="9"/>
      <c r="B15" s="103"/>
      <c r="C15" s="274" t="s">
        <v>38</v>
      </c>
      <c r="D15" s="275"/>
      <c r="E15" s="276" t="s">
        <v>158</v>
      </c>
      <c r="F15" s="276"/>
      <c r="G15" s="276"/>
      <c r="H15" s="276"/>
      <c r="I15" s="276"/>
      <c r="J15" s="277"/>
    </row>
    <row r="16" spans="1:10" ht="106.2" customHeight="1">
      <c r="A16" s="9"/>
      <c r="B16" s="278" t="s">
        <v>39</v>
      </c>
      <c r="C16" s="279"/>
      <c r="D16" s="261"/>
      <c r="E16" s="263" t="s">
        <v>212</v>
      </c>
      <c r="F16" s="263"/>
      <c r="G16" s="263"/>
      <c r="H16" s="263"/>
      <c r="I16" s="263"/>
      <c r="J16" s="264"/>
    </row>
    <row r="17" spans="1:10" ht="62.4" customHeight="1">
      <c r="A17" s="10"/>
      <c r="B17" s="269" t="s">
        <v>81</v>
      </c>
      <c r="C17" s="270"/>
      <c r="D17" s="271"/>
      <c r="E17" s="254" t="s">
        <v>161</v>
      </c>
      <c r="F17" s="254"/>
      <c r="G17" s="254"/>
      <c r="H17" s="254"/>
      <c r="I17" s="254"/>
      <c r="J17" s="255"/>
    </row>
    <row r="18" spans="1:10" ht="7.5" customHeight="1">
      <c r="B18" s="44"/>
      <c r="C18" s="44"/>
      <c r="D18" s="44"/>
      <c r="E18" s="45"/>
      <c r="F18" s="47"/>
      <c r="G18" s="48"/>
      <c r="H18" s="47"/>
      <c r="I18" s="45"/>
      <c r="J18" s="45"/>
    </row>
    <row r="19" spans="1:10" ht="18.75" customHeight="1">
      <c r="B19" s="3"/>
      <c r="C19" s="58"/>
      <c r="D19" s="58"/>
      <c r="E19" s="59"/>
      <c r="F19" s="49"/>
      <c r="G19" s="49"/>
      <c r="H19" s="66" t="s">
        <v>107</v>
      </c>
      <c r="I19" s="61"/>
      <c r="J19" s="62"/>
    </row>
    <row r="20" spans="1:10" ht="18.75" customHeight="1">
      <c r="A20" s="2" t="s">
        <v>10</v>
      </c>
      <c r="B20" s="63" t="s">
        <v>44</v>
      </c>
      <c r="C20" s="64"/>
      <c r="D20" s="64"/>
      <c r="E20" s="65"/>
      <c r="F20" s="60" t="s">
        <v>106</v>
      </c>
      <c r="G20" s="49"/>
      <c r="H20" s="257" t="s">
        <v>133</v>
      </c>
      <c r="I20" s="258"/>
      <c r="J20" s="259"/>
    </row>
    <row r="21" spans="1:10" ht="22.5" customHeight="1">
      <c r="B21" s="44"/>
      <c r="C21" s="44"/>
      <c r="D21" s="44"/>
      <c r="E21" s="45"/>
      <c r="F21" s="47"/>
      <c r="G21" s="48"/>
      <c r="H21" s="47"/>
      <c r="I21" s="45"/>
      <c r="J21" s="45"/>
    </row>
    <row r="22" spans="1:10" ht="22.5" customHeight="1">
      <c r="B22" s="44"/>
      <c r="C22" s="44"/>
      <c r="D22" s="44"/>
      <c r="E22" s="45"/>
      <c r="F22" s="47"/>
      <c r="G22" s="48"/>
      <c r="H22" s="47"/>
      <c r="I22" s="45"/>
      <c r="J22" s="45"/>
    </row>
    <row r="23" spans="1:10" ht="22.5" customHeight="1">
      <c r="B23" s="44"/>
      <c r="C23" s="44"/>
      <c r="D23" s="44"/>
      <c r="E23" s="45"/>
      <c r="F23" s="47"/>
      <c r="G23" s="48"/>
      <c r="H23" s="47"/>
      <c r="I23" s="45"/>
      <c r="J23" s="45"/>
    </row>
    <row r="24" spans="1:10" ht="22.5" customHeight="1">
      <c r="B24" s="44"/>
      <c r="C24" s="44"/>
      <c r="D24" s="44"/>
      <c r="E24" s="45"/>
      <c r="F24" s="47"/>
      <c r="G24" s="48"/>
      <c r="H24" s="47"/>
      <c r="I24" s="45"/>
      <c r="J24" s="45"/>
    </row>
    <row r="25" spans="1:10" ht="22.5" customHeight="1">
      <c r="B25" s="44"/>
      <c r="C25" s="44"/>
      <c r="D25" s="44"/>
      <c r="E25" s="45"/>
      <c r="F25" s="47"/>
      <c r="G25" s="48"/>
      <c r="H25" s="47"/>
      <c r="I25" s="45"/>
      <c r="J25" s="45"/>
    </row>
    <row r="26" spans="1:10" ht="22.5" customHeight="1">
      <c r="B26" s="5"/>
      <c r="C26" s="5"/>
      <c r="D26" s="5"/>
      <c r="E26" s="5"/>
      <c r="F26" s="5"/>
      <c r="G26" s="5"/>
      <c r="H26" s="5"/>
      <c r="I26" s="5"/>
      <c r="J26" s="5"/>
    </row>
    <row r="27" spans="1:10" ht="22.5" customHeight="1">
      <c r="B27" s="5"/>
      <c r="C27" s="5"/>
      <c r="D27" s="5"/>
      <c r="E27" s="5"/>
      <c r="F27" s="5"/>
      <c r="G27" s="5"/>
      <c r="H27" s="5"/>
      <c r="I27" s="5"/>
      <c r="J27" s="5"/>
    </row>
    <row r="28" spans="1:10" ht="22.5" customHeight="1">
      <c r="B28" s="5"/>
      <c r="C28" s="5"/>
      <c r="D28" s="5"/>
      <c r="E28" s="5"/>
      <c r="F28" s="5"/>
      <c r="G28" s="5"/>
      <c r="H28" s="5"/>
      <c r="I28" s="5"/>
      <c r="J28" s="5"/>
    </row>
  </sheetData>
  <mergeCells count="24">
    <mergeCell ref="B17:D17"/>
    <mergeCell ref="C9:D9"/>
    <mergeCell ref="C14:D14"/>
    <mergeCell ref="E14:J14"/>
    <mergeCell ref="C15:D15"/>
    <mergeCell ref="E15:J15"/>
    <mergeCell ref="B16:D16"/>
    <mergeCell ref="E16:J16"/>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s>
  <phoneticPr fontId="1"/>
  <dataValidations count="2">
    <dataValidation type="list" allowBlank="1" showInputMessage="1" showErrorMessage="1" sqref="F19:G19">
      <formula1>#REF!</formula1>
    </dataValidation>
    <dataValidation type="list" allowBlank="1" showInputMessage="1" showErrorMessage="1" sqref="F20">
      <formula1>"有,無,予定"</formula1>
    </dataValidation>
  </dataValidations>
  <hyperlinks>
    <hyperlink ref="H20" r:id="rId1"/>
  </hyperlinks>
  <printOptions horizontalCentered="1"/>
  <pageMargins left="0.78740157480314965" right="0.78740157480314965" top="0.78740157480314965" bottom="0.78740157480314965" header="0.31496062992125984" footer="0.31496062992125984"/>
  <pageSetup paperSize="9"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7</vt:i4>
      </vt:variant>
    </vt:vector>
  </HeadingPairs>
  <TitlesOfParts>
    <vt:vector size="15" baseType="lpstr">
      <vt:lpstr>様式１　大学等概要</vt:lpstr>
      <vt:lpstr>様式２－１　プログラムを構成する授業科目</vt:lpstr>
      <vt:lpstr>様式２－２　プログラムを構成する授業科目 </vt:lpstr>
      <vt:lpstr>様式３　履修者等数の実績</vt:lpstr>
      <vt:lpstr>様式4－１　プログラムの授業内容・概要 </vt:lpstr>
      <vt:lpstr>様式4－２　プログラムの授業内容・概要 </vt:lpstr>
      <vt:lpstr>様式５　教育の質・履修者数を向上させるための体制・計画</vt:lpstr>
      <vt:lpstr>様式６　自己点検・評価</vt:lpstr>
      <vt:lpstr>'様式１　大学等概要'!Print_Area</vt:lpstr>
      <vt:lpstr>'様式２－１　プログラムを構成する授業科目'!Print_Area</vt:lpstr>
      <vt:lpstr>'様式２－２　プログラムを構成する授業科目 '!Print_Area</vt:lpstr>
      <vt:lpstr>'様式３　履修者等数の実績'!Print_Area</vt:lpstr>
      <vt:lpstr>'様式4－１　プログラムの授業内容・概要 '!Print_Area</vt:lpstr>
      <vt:lpstr>'様式５　教育の質・履修者数を向上させるための体制・計画'!Print_Area</vt:lpstr>
      <vt:lpstr>'様式６　自己点検・評価'!Print_Area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SO</cp:lastModifiedBy>
  <cp:lastPrinted>2021-04-01T04:51:23Z</cp:lastPrinted>
  <dcterms:created xsi:type="dcterms:W3CDTF">2011-06-14T05:32:50Z</dcterms:created>
  <dcterms:modified xsi:type="dcterms:W3CDTF">2021-07-13T22:49:58Z</dcterms:modified>
</cp:coreProperties>
</file>