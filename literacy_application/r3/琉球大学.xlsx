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defaultThemeVersion="124226"/>
  <mc:AlternateContent xmlns:mc="http://schemas.openxmlformats.org/markup-compatibility/2006">
    <mc:Choice Requires="x15">
      <x15ac:absPath xmlns:x15ac="http://schemas.microsoft.com/office/spreadsheetml/2010/11/ac" url="D:\Desktop\"/>
    </mc:Choice>
  </mc:AlternateContent>
  <xr:revisionPtr revIDLastSave="0" documentId="13_ncr:1_{664C4D5B-DC5E-4A04-BD53-BC64065DCA28}" xr6:coauthVersionLast="47" xr6:coauthVersionMax="47" xr10:uidLastSave="{00000000-0000-0000-0000-000000000000}"/>
  <bookViews>
    <workbookView xWindow="-120" yWindow="-120" windowWidth="29040" windowHeight="15840" tabRatio="885" xr2:uid="{00000000-000D-0000-FFFF-FFFF00000000}"/>
  </bookViews>
  <sheets>
    <sheet name="様式１　大学等概要" sheetId="8" r:id="rId1"/>
    <sheet name="様式2　プログラムを構成する授業科目" sheetId="9" r:id="rId2"/>
    <sheet name="様式３　履修者等数の実績" sheetId="31" r:id="rId3"/>
    <sheet name="様式4　プログラムの授業内容・概要" sheetId="39" r:id="rId4"/>
    <sheet name="様式５　教育の質・履修者数を向上させるための体制・計画 " sheetId="37" r:id="rId5"/>
    <sheet name="様式６　自己点検・評価" sheetId="40" r:id="rId6"/>
  </sheets>
  <definedNames>
    <definedName name="_xlnm._FilterDatabase" localSheetId="1" hidden="1">'様式2　プログラムを構成する授業科目'!#REF!</definedName>
    <definedName name="_xlnm._FilterDatabase" localSheetId="2" hidden="1">'様式３　履修者等数の実績'!#REF!</definedName>
    <definedName name="_xlnm.Print_Area" localSheetId="0">'様式１　大学等概要'!$A$1:$N$47</definedName>
    <definedName name="_xlnm.Print_Area" localSheetId="1">'様式2　プログラムを構成する授業科目'!$A$1:$I$44</definedName>
    <definedName name="_xlnm.Print_Area" localSheetId="2">'様式３　履修者等数の実績'!$A$1:$R$29</definedName>
    <definedName name="_xlnm.Print_Area" localSheetId="4">'様式５　教育の質・履修者数を向上させるための体制・計画 '!$A$1:$E$48</definedName>
    <definedName name="_xlnm.Print_Area" localSheetId="5">'様式６　自己点検・評価'!$A$1:$J$20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<sst xmlns="http://schemas.openxmlformats.org/spreadsheetml/2006/main" count="288" uniqueCount="214">
  <si>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</si>
  <si>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</si>
  <si>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</si>
  <si>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</si>
  <si>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</si>
  <si>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</si>
  <si>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</si>
  <si>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</si>
  <si>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</si>
  <si>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</si>
  <si>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</si>
  <si>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</si>
  <si>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</si>
  <si>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</si>
  <si>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</si>
  <si>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</si>
  <si>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</si>
  <si>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</si>
  <si>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</si>
  <si>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</si>
  <si>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</si>
  <si>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</si>
  <si>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</si>
  <si>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</si>
  <si>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</si>
  <si>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</si>
  <si>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</si>
  <si>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</si>
  <si>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</si>
  <si>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</si>
  <si>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</si>
  <si>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</si>
  <si>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</si>
  <si>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</si>
  <si>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</si>
  <si>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</si>
  <si>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</si>
  <si>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</si>
  <si>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</si>
  <si>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</si>
  <si>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</si>
  <si>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</si>
  <si>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</si>
  <si>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</si>
  <si>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</si>
  <si>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</si>
  <si>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</si>
  <si>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</si>
  <si>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</si>
  <si>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</si>
  <si>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</si>
  <si>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</si>
  <si>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</si>
  <si>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</si>
  <si>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</si>
  <si>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</si>
  <si>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</si>
  <si>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</si>
  <si>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</si>
  <si>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</si>
  <si>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</si>
  <si>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</si>
  <si>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</si>
  <si>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</si>
  <si>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</si>
  <si>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</si>
  <si>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</si>
  <si>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</si>
  <si>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</si>
  <si>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</si>
  <si>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</si>
  <si>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</si>
  <si>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</si>
  <si>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</si>
  <si>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</si>
  <si>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</si>
  <si>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</si>
  <si>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</si>
  <si>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</si>
  <si>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</si>
  <si>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</si>
  <si>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</si>
  <si>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</si>
  <si>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</si>
  <si>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</si>
  <si>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</si>
  <si>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</si>
  <si>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</si>
  <si>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</si>
  <si>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</si>
  <si>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</si>
  <si>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</si>
  <si>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</si>
  <si>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</si>
  <si>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プログラムの授業内容等を公表しているアドレス</t>
    <rPh sb="6" eb="8">
      <t>ジュギョウ</t>
    </rPh>
    <rPh sb="8" eb="10">
      <t>ナイヨウ</t>
    </rPh>
    <rPh sb="10" eb="11">
      <t>トウ</t>
    </rPh>
    <rPh sb="12" eb="14">
      <t>コウヒョウ</t>
    </rPh>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</si>
  <si>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</si>
  <si>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</si>
  <si>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</si>
  <si>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</si>
  <si>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</si>
  <si>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</si>
  <si>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</si>
  <si>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</si>
  <si>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</si>
  <si>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</si>
  <si>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</si>
  <si>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</si>
  <si>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</si>
  <si>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</si>
  <si>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</si>
  <si>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</si>
  <si>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</si>
  <si>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</si>
  <si>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</si>
  <si>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</si>
  <si>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</si>
  <si>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</si>
  <si>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</si>
  <si>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</si>
  <si>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</si>
  <si>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</si>
  <si>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</si>
  <si>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</si>
  <si>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</si>
  <si>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</si>
  <si>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</si>
  <si>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</si>
  <si>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</si>
  <si>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令和２年度</t>
    <rPh sb="0" eb="2">
      <t>レイワ</t>
    </rPh>
    <rPh sb="3" eb="5">
      <t>ネンド</t>
    </rPh>
    <phoneticPr fontId="1"/>
  </si>
  <si>
    <t>国立大学</t>
  </si>
  <si>
    <t>データサイエンティスト養成履修カリキュラム </t>
    <phoneticPr fontId="1"/>
  </si>
  <si>
    <t>認定教育プログラム</t>
  </si>
  <si>
    <t>学部・学科によって、修了要件は相違しない</t>
  </si>
  <si>
    <t>データサイエンスのための基礎数学</t>
    <rPh sb="12" eb="16">
      <t>キソスウガク</t>
    </rPh>
    <phoneticPr fontId="1"/>
  </si>
  <si>
    <t>基礎統計学</t>
    <rPh sb="0" eb="5">
      <t>キソトウケイガク</t>
    </rPh>
    <phoneticPr fontId="1"/>
  </si>
  <si>
    <t>経済数学基礎</t>
    <rPh sb="0" eb="4">
      <t>ケイザイスウガク</t>
    </rPh>
    <rPh sb="4" eb="6">
      <t>キソ</t>
    </rPh>
    <phoneticPr fontId="1"/>
  </si>
  <si>
    <t>経済数学応用</t>
    <rPh sb="0" eb="4">
      <t>ケイザイスウガク</t>
    </rPh>
    <rPh sb="4" eb="6">
      <t>オウヨウ</t>
    </rPh>
    <phoneticPr fontId="1"/>
  </si>
  <si>
    <t>データサイエンティスト養成履修カリキュラムとして開設される科目のうち１０単位以上修得すること。ただし、そのうち８単位は必修科目から取得することとする。</t>
    <rPh sb="11" eb="13">
      <t>ヨウセイ</t>
    </rPh>
    <rPh sb="13" eb="15">
      <t>リシュウ</t>
    </rPh>
    <rPh sb="24" eb="26">
      <t>カイセツ</t>
    </rPh>
    <rPh sb="29" eb="31">
      <t>カモク</t>
    </rPh>
    <rPh sb="36" eb="38">
      <t>タンイ</t>
    </rPh>
    <rPh sb="38" eb="40">
      <t>イジョウ</t>
    </rPh>
    <rPh sb="40" eb="42">
      <t>シュウトク</t>
    </rPh>
    <rPh sb="56" eb="58">
      <t>タンイ</t>
    </rPh>
    <rPh sb="59" eb="61">
      <t>ヒッシュウ</t>
    </rPh>
    <rPh sb="61" eb="63">
      <t>カモク</t>
    </rPh>
    <rPh sb="65" eb="67">
      <t>シュトク</t>
    </rPh>
    <phoneticPr fontId="1"/>
  </si>
  <si>
    <t>データサイエンス初級（必修）</t>
    <rPh sb="8" eb="10">
      <t>ショキュウ</t>
    </rPh>
    <rPh sb="11" eb="13">
      <t>ヒッシュウ</t>
    </rPh>
    <phoneticPr fontId="1"/>
  </si>
  <si>
    <t>データサイエンス初級（必修）</t>
    <phoneticPr fontId="1"/>
  </si>
  <si>
    <t>データサイエンスとは何か？なぜデータサイエンスを学ぶのか？（1）</t>
    <phoneticPr fontId="1"/>
  </si>
  <si>
    <t>データサイエンス中級（必修）</t>
    <rPh sb="8" eb="10">
      <t>チュウキュウ</t>
    </rPh>
    <phoneticPr fontId="1"/>
  </si>
  <si>
    <t>社会科学のための統計入門（必修）</t>
  </si>
  <si>
    <t>国立大学法人琉球大学</t>
    <rPh sb="0" eb="6">
      <t>コクリツダイガクホウジン</t>
    </rPh>
    <rPh sb="6" eb="8">
      <t>リュウキュウ</t>
    </rPh>
    <rPh sb="8" eb="10">
      <t>ダイガク</t>
    </rPh>
    <phoneticPr fontId="1"/>
  </si>
  <si>
    <t>琉球大学数理データサイエンス教育普及展開事業運営委員会</t>
    <rPh sb="0" eb="4">
      <t>リュウキュウダイガク</t>
    </rPh>
    <rPh sb="4" eb="6">
      <t>スウリ</t>
    </rPh>
    <rPh sb="14" eb="16">
      <t>キョウイク</t>
    </rPh>
    <rPh sb="16" eb="18">
      <t>フキュウ</t>
    </rPh>
    <rPh sb="18" eb="20">
      <t>テンカイ</t>
    </rPh>
    <rPh sb="20" eb="22">
      <t>ジギョウ</t>
    </rPh>
    <rPh sb="22" eb="24">
      <t>ウンエイ</t>
    </rPh>
    <rPh sb="24" eb="27">
      <t>イインカイ</t>
    </rPh>
    <phoneticPr fontId="1"/>
  </si>
  <si>
    <t>島嶼地域である地理的特性がもたらす地域課題解決・新産業創出を見据えた特色ある数理・データサイエンス教育を実施し普及展開させることで、実践的教育モデルの構築に繋げることを目的に運営委員会を設置。
委員会は、本学の教育の目的と理念に沿って、教育水準の向上とグローバル化を図るとともに、学生を入学から進路決定まで一貫して支援し、社会に求められる人材を育成することを目的として、学内共同教育研究施設を統合し設置されたグローバル教育支援機構のもと、本学における数理データサイエンス教育の先導的役割を担う国際地域創造学部教員を中心に、実施担当者同士の情報交換と交流を積極的に図るとともに、全学展開に向けたプログラムを実施している。</t>
    <rPh sb="84" eb="86">
      <t>モクテキ</t>
    </rPh>
    <rPh sb="87" eb="89">
      <t>ウンエイ</t>
    </rPh>
    <rPh sb="89" eb="91">
      <t>イイン</t>
    </rPh>
    <rPh sb="91" eb="92">
      <t>カイ</t>
    </rPh>
    <rPh sb="93" eb="95">
      <t>セッチ</t>
    </rPh>
    <rPh sb="97" eb="99">
      <t>イイン</t>
    </rPh>
    <rPh sb="99" eb="100">
      <t>カイ</t>
    </rPh>
    <rPh sb="209" eb="215">
      <t>キョウイクシエンキコウ</t>
    </rPh>
    <rPh sb="219" eb="221">
      <t>ホンガク</t>
    </rPh>
    <rPh sb="225" eb="227">
      <t>スウリ</t>
    </rPh>
    <rPh sb="235" eb="237">
      <t>キョウイク</t>
    </rPh>
    <rPh sb="238" eb="241">
      <t>センドウテキ</t>
    </rPh>
    <rPh sb="241" eb="243">
      <t>ヤクワリ</t>
    </rPh>
    <rPh sb="244" eb="245">
      <t>ニナ</t>
    </rPh>
    <rPh sb="246" eb="254">
      <t>コクサイチイキソウゾウガクブ</t>
    </rPh>
    <rPh sb="254" eb="256">
      <t>キョウイン</t>
    </rPh>
    <rPh sb="257" eb="259">
      <t>チュウシン</t>
    </rPh>
    <rPh sb="261" eb="263">
      <t>ジッシ</t>
    </rPh>
    <rPh sb="263" eb="265">
      <t>タントウ</t>
    </rPh>
    <rPh sb="265" eb="266">
      <t>シャ</t>
    </rPh>
    <rPh sb="266" eb="268">
      <t>ドウシ</t>
    </rPh>
    <rPh sb="269" eb="271">
      <t>ジョウホウ</t>
    </rPh>
    <rPh sb="271" eb="273">
      <t>コウカン</t>
    </rPh>
    <rPh sb="274" eb="276">
      <t>コウリュウ</t>
    </rPh>
    <rPh sb="277" eb="280">
      <t>セッキョクテキ</t>
    </rPh>
    <rPh sb="281" eb="282">
      <t>ハカ</t>
    </rPh>
    <rPh sb="288" eb="290">
      <t>ゼンガク</t>
    </rPh>
    <rPh sb="290" eb="292">
      <t>テンカイ</t>
    </rPh>
    <rPh sb="293" eb="294">
      <t>ム</t>
    </rPh>
    <rPh sb="302" eb="304">
      <t>ジッシ</t>
    </rPh>
    <phoneticPr fontId="1"/>
  </si>
  <si>
    <t>国際地域創造学部教授　獺口浩一（事業責任者）
工学部　教授　岡﨑威生（学長補佐、データサイエンス教育推進担当）
農学部　教授　鹿内健志（大学教育支援部門長）
国際地域創造学部　教授　山城新（国際地域創造学部教務委員長）
国際地域創造学部　教授　越野泰成（評価IR担当副理事）
国際地域創造学部　准教授　山田健太（データサイエンス教育推進担当）
※　役職はR2年度時点</t>
    <rPh sb="0" eb="8">
      <t>コクサイチイキソウゾウガクブ</t>
    </rPh>
    <rPh sb="8" eb="10">
      <t>キョウジュ</t>
    </rPh>
    <rPh sb="11" eb="13">
      <t>オソグチ</t>
    </rPh>
    <rPh sb="13" eb="15">
      <t>コウイチ</t>
    </rPh>
    <rPh sb="16" eb="18">
      <t>ジギョウ</t>
    </rPh>
    <rPh sb="18" eb="21">
      <t>セキニンシャ</t>
    </rPh>
    <rPh sb="23" eb="26">
      <t>コウガクブ</t>
    </rPh>
    <rPh sb="30" eb="32">
      <t>オカザキ</t>
    </rPh>
    <rPh sb="32" eb="33">
      <t>イ</t>
    </rPh>
    <rPh sb="33" eb="34">
      <t>ウ</t>
    </rPh>
    <rPh sb="35" eb="37">
      <t>ガクチョウ</t>
    </rPh>
    <rPh sb="37" eb="39">
      <t>ホサ</t>
    </rPh>
    <rPh sb="48" eb="50">
      <t>キョウイク</t>
    </rPh>
    <rPh sb="50" eb="52">
      <t>スイシン</t>
    </rPh>
    <rPh sb="52" eb="54">
      <t>タントウ</t>
    </rPh>
    <rPh sb="56" eb="59">
      <t>ノウガクブ</t>
    </rPh>
    <rPh sb="63" eb="65">
      <t>シカナイ</t>
    </rPh>
    <rPh sb="65" eb="67">
      <t>タケシ</t>
    </rPh>
    <rPh sb="68" eb="70">
      <t>ダイガク</t>
    </rPh>
    <rPh sb="70" eb="72">
      <t>キョウイク</t>
    </rPh>
    <rPh sb="72" eb="74">
      <t>シエン</t>
    </rPh>
    <rPh sb="74" eb="76">
      <t>ブモン</t>
    </rPh>
    <rPh sb="76" eb="77">
      <t>チョウ</t>
    </rPh>
    <rPh sb="79" eb="87">
      <t>コクサイチイキソウゾウガクブ</t>
    </rPh>
    <rPh sb="88" eb="90">
      <t>キョウジュ</t>
    </rPh>
    <rPh sb="91" eb="93">
      <t>ヤマシロ</t>
    </rPh>
    <rPh sb="93" eb="94">
      <t>シン</t>
    </rPh>
    <rPh sb="95" eb="103">
      <t>コクサイチイキソウゾウガクブ</t>
    </rPh>
    <rPh sb="103" eb="105">
      <t>キョウム</t>
    </rPh>
    <rPh sb="105" eb="107">
      <t>イイン</t>
    </rPh>
    <rPh sb="107" eb="108">
      <t>チョウ</t>
    </rPh>
    <rPh sb="110" eb="118">
      <t>コクサイチイキソウゾウガクブ</t>
    </rPh>
    <rPh sb="119" eb="121">
      <t>キョウジュ</t>
    </rPh>
    <rPh sb="122" eb="124">
      <t>コシノ</t>
    </rPh>
    <rPh sb="124" eb="126">
      <t>ヤスナリ</t>
    </rPh>
    <rPh sb="127" eb="129">
      <t>ヒョウカ</t>
    </rPh>
    <rPh sb="131" eb="133">
      <t>タントウ</t>
    </rPh>
    <rPh sb="133" eb="136">
      <t>フクリジ</t>
    </rPh>
    <rPh sb="138" eb="146">
      <t>コクサイチイキソウゾウガクブ</t>
    </rPh>
    <rPh sb="147" eb="150">
      <t>ジュンキョウジュ</t>
    </rPh>
    <rPh sb="151" eb="153">
      <t>ヤマダ</t>
    </rPh>
    <rPh sb="153" eb="155">
      <t>ケンタ</t>
    </rPh>
    <rPh sb="164" eb="166">
      <t>キョウイク</t>
    </rPh>
    <rPh sb="166" eb="168">
      <t>スイシン</t>
    </rPh>
    <rPh sb="168" eb="170">
      <t>タントウ</t>
    </rPh>
    <rPh sb="175" eb="177">
      <t>ヤクショク</t>
    </rPh>
    <rPh sb="180" eb="182">
      <t>ネンド</t>
    </rPh>
    <rPh sb="182" eb="184">
      <t>ジテン</t>
    </rPh>
    <phoneticPr fontId="1"/>
  </si>
  <si>
    <t>石原昌英</t>
    <rPh sb="0" eb="2">
      <t>イシハラ</t>
    </rPh>
    <rPh sb="2" eb="3">
      <t>アキラ</t>
    </rPh>
    <phoneticPr fontId="1"/>
  </si>
  <si>
    <t>学部長</t>
    <rPh sb="0" eb="1">
      <t>ガク</t>
    </rPh>
    <rPh sb="1" eb="2">
      <t>ブ</t>
    </rPh>
    <rPh sb="2" eb="3">
      <t>チョウ</t>
    </rPh>
    <phoneticPr fontId="1"/>
  </si>
  <si>
    <t>琉球大学数理データサイエンス教育普及展開事業運営委員会</t>
    <phoneticPr fontId="1"/>
  </si>
  <si>
    <t>獺口浩一</t>
    <rPh sb="0" eb="4">
      <t>オソグチコウイチ</t>
    </rPh>
    <phoneticPr fontId="1"/>
  </si>
  <si>
    <t>教授</t>
    <rPh sb="0" eb="2">
      <t>キョウジュ</t>
    </rPh>
    <phoneticPr fontId="1"/>
  </si>
  <si>
    <t>令和２年度に策定した「琉球大学における数理データサイエンス教育に関する基本方針」に基づき、令和３年度以降、計画的に各学士プログラムにおける数理データサイエンス教育科目の体系化に取り組むこととし、各プログラムでの数理的思考力とデータ分析・活用能力を持つ人材の育成に向けた大学教育システムの構築を行い、全学的な履修者数、履修率向上に向けた取組みを推進している。</t>
    <rPh sb="164" eb="165">
      <t>ム</t>
    </rPh>
    <rPh sb="167" eb="169">
      <t>トリク</t>
    </rPh>
    <phoneticPr fontId="1"/>
  </si>
  <si>
    <t>社会科学のための統計入門</t>
    <phoneticPr fontId="1"/>
  </si>
  <si>
    <t xml:space="preserve"> 社会科学と統計学(１)</t>
    <phoneticPr fontId="1"/>
  </si>
  <si>
    <t>基本的な統計科学の知識を体系的に学習する(2-15)</t>
    <rPh sb="0" eb="3">
      <t>キホンテ</t>
    </rPh>
    <rPh sb="4" eb="6">
      <t>トウケイ</t>
    </rPh>
    <rPh sb="6" eb="8">
      <t>カガク</t>
    </rPh>
    <rPh sb="9" eb="11">
      <t>チシキ</t>
    </rPh>
    <rPh sb="12" eb="15">
      <t>タイケイ</t>
    </rPh>
    <rPh sb="16" eb="18">
      <t>ガクシュウ</t>
    </rPh>
    <phoneticPr fontId="1"/>
  </si>
  <si>
    <t>実データを「Excel」「Python」を用いて自らの手で解析，グラフ化を行い簡単なレポートにまとめる（2～13）</t>
    <phoneticPr fontId="1"/>
  </si>
  <si>
    <t>データサイエンス中級（必修）</t>
    <phoneticPr fontId="1"/>
  </si>
  <si>
    <t>Pythonを用いた機械学習(2-9)</t>
    <phoneticPr fontId="1"/>
  </si>
  <si>
    <t>データサイエンスのための基礎数学(選択)</t>
    <rPh sb="12" eb="16">
      <t>キソ</t>
    </rPh>
    <rPh sb="17" eb="19">
      <t>センタク</t>
    </rPh>
    <phoneticPr fontId="1"/>
  </si>
  <si>
    <t>関数，微分積分，行列などの基本的数学を数学が苦手な学生にもわかりやすく伝える(1-15)</t>
    <rPh sb="0" eb="2">
      <t>カンスウ</t>
    </rPh>
    <rPh sb="3" eb="7">
      <t>ビブn</t>
    </rPh>
    <rPh sb="8" eb="10">
      <t>ギョウ</t>
    </rPh>
    <rPh sb="13" eb="16">
      <t>キホn</t>
    </rPh>
    <rPh sb="16" eb="18">
      <t>スウ</t>
    </rPh>
    <rPh sb="19" eb="21">
      <t>スウガクガ</t>
    </rPh>
    <rPh sb="22" eb="24">
      <t>ニガテ</t>
    </rPh>
    <rPh sb="25" eb="27">
      <t>ガクセイ</t>
    </rPh>
    <rPh sb="35" eb="36">
      <t>ツタエ</t>
    </rPh>
    <phoneticPr fontId="1"/>
  </si>
  <si>
    <t>基礎統計学(選択)</t>
    <rPh sb="0" eb="5">
      <t>キソ</t>
    </rPh>
    <rPh sb="6" eb="8">
      <t>センタク</t>
    </rPh>
    <phoneticPr fontId="1"/>
  </si>
  <si>
    <t>経済数学基礎(選択)</t>
    <rPh sb="0" eb="4">
      <t>ケイザイ</t>
    </rPh>
    <rPh sb="4" eb="6">
      <t xml:space="preserve">キソ </t>
    </rPh>
    <rPh sb="7" eb="9">
      <t>センタク</t>
    </rPh>
    <phoneticPr fontId="1"/>
  </si>
  <si>
    <t>様々な関数や微分法など基本的な数学の知識を獲得する(1-7)</t>
    <rPh sb="0" eb="1">
      <t>サマ</t>
    </rPh>
    <rPh sb="3" eb="5">
      <t>カンスウ</t>
    </rPh>
    <rPh sb="6" eb="8">
      <t xml:space="preserve">ビブン </t>
    </rPh>
    <rPh sb="8" eb="9">
      <t>ホウ</t>
    </rPh>
    <rPh sb="11" eb="14">
      <t>キホn</t>
    </rPh>
    <rPh sb="15" eb="17">
      <t>スウ</t>
    </rPh>
    <rPh sb="21" eb="23">
      <t>カクトク</t>
    </rPh>
    <phoneticPr fontId="1"/>
  </si>
  <si>
    <t>経済数学応用(選択)</t>
    <rPh sb="0" eb="1">
      <t>ケイザイ</t>
    </rPh>
    <rPh sb="4" eb="6">
      <t>オウ</t>
    </rPh>
    <rPh sb="7" eb="9">
      <t>センタク</t>
    </rPh>
    <phoneticPr fontId="1"/>
  </si>
  <si>
    <t>条件付き最適化問題などの数学の知識を獲得する(1-7)</t>
    <rPh sb="0" eb="3">
      <t>ジョウケn</t>
    </rPh>
    <rPh sb="4" eb="7">
      <t>サイテキ</t>
    </rPh>
    <rPh sb="7" eb="9">
      <t>モンダイ</t>
    </rPh>
    <rPh sb="12" eb="14">
      <t>スウガク</t>
    </rPh>
    <rPh sb="15" eb="17">
      <t>チシキ</t>
    </rPh>
    <rPh sb="18" eb="20">
      <t>カクトク</t>
    </rPh>
    <phoneticPr fontId="1"/>
  </si>
  <si>
    <t>・プログラミング言語（Python)を用いて、数値データに加えテキストデータを処理する方法や統計解析の手法を学びデータ解析の力を養う。（データサイエンス初級）
・プログラミング言語（Python)を用いて、主に機械学習の分類問題を学ぶ。（データサイエンス中級）</t>
    <phoneticPr fontId="1"/>
  </si>
  <si>
    <t>自分の興味のある現象や課題に対して，「Excel」や「Python」を用いたデータ解析ができるようになる（14～15）</t>
    <phoneticPr fontId="1"/>
  </si>
  <si>
    <t>機械学習と興味あるデータを用いて分類器を作成する(10-15)</t>
    <phoneticPr fontId="1"/>
  </si>
  <si>
    <t xml:space="preserve">・プログラミング言語（Python)を用いて、数値データに加えテキストデータを処理する方法や統計解析の手法を学びデータ解析の力を養う。（データサイエンス初級）
</t>
    <phoneticPr fontId="1"/>
  </si>
  <si>
    <t>データサイエンス中級（必修）</t>
    <rPh sb="8" eb="10">
      <t>チュウ</t>
    </rPh>
    <phoneticPr fontId="1"/>
  </si>
  <si>
    <t>機械学習と興味あるデータを用いて分類器を作成する(10-15)</t>
    <rPh sb="0" eb="4">
      <t>キカイ</t>
    </rPh>
    <rPh sb="5" eb="7">
      <t>キョウミ</t>
    </rPh>
    <rPh sb="13" eb="14">
      <t>モチイ</t>
    </rPh>
    <rPh sb="16" eb="18">
      <t>ブンルイ</t>
    </rPh>
    <rPh sb="18" eb="19">
      <t xml:space="preserve">キ </t>
    </rPh>
    <rPh sb="20" eb="22">
      <t>サクセイ</t>
    </rPh>
    <phoneticPr fontId="1"/>
  </si>
  <si>
    <t>社会科学のための統計入門（必修），経済数学基礎（選択），経済数学応用（選択），基礎統計学（選択）</t>
    <rPh sb="0" eb="4">
      <t>ケイザイ</t>
    </rPh>
    <rPh sb="4" eb="6">
      <t>k</t>
    </rPh>
    <rPh sb="7" eb="11">
      <t>ケイザイ</t>
    </rPh>
    <rPh sb="11" eb="13">
      <t>オウヨウ</t>
    </rPh>
    <rPh sb="14" eb="16">
      <t>sh</t>
    </rPh>
    <rPh sb="17" eb="19">
      <t>カガク</t>
    </rPh>
    <rPh sb="23" eb="27">
      <t>トウケイ</t>
    </rPh>
    <rPh sb="28" eb="32">
      <t>キソ</t>
    </rPh>
    <phoneticPr fontId="1"/>
  </si>
  <si>
    <t>データサイエンス初級（必修），データサイエンス中級（必修）</t>
    <phoneticPr fontId="1"/>
  </si>
  <si>
    <t>プログラムは基本的な内容から学習できるように設計されているため，理科系の学部に所属する学生だけでなく，数学が苦手な文科系の学部に所属する学生も，様々なデータ(数値，テキスト，画像など)を活用するための知識を体系的に学習することができる．そして，獲得した知識を利用するデータ分析プロジェクトを実施しており，知識をアウトプットする機会が設けられ，実践的な能力が獲得できるよう配慮されている．また，データサイエンスが社会のどのような現場で活用されているかの実例やプライバシーなどデータ分析を行う上での注意点についても学習を行い，社会に出てからも役立つ知識を身につけられるプログラムとなっている．</t>
    <rPh sb="6" eb="9">
      <t>キホn</t>
    </rPh>
    <rPh sb="10" eb="12">
      <t>ナイヨウ</t>
    </rPh>
    <rPh sb="14" eb="16">
      <t>ガクシュウ</t>
    </rPh>
    <rPh sb="22" eb="24">
      <t>セッケイ</t>
    </rPh>
    <rPh sb="32" eb="35">
      <t>リカケイ</t>
    </rPh>
    <rPh sb="36" eb="38">
      <t>ガクブ</t>
    </rPh>
    <rPh sb="39" eb="41">
      <t>ショゾクス</t>
    </rPh>
    <rPh sb="43" eb="45">
      <t>ガクセイ</t>
    </rPh>
    <rPh sb="51" eb="53">
      <t>スウガクガ</t>
    </rPh>
    <rPh sb="54" eb="56">
      <t>ニガテン</t>
    </rPh>
    <rPh sb="57" eb="60">
      <t>ブンカ</t>
    </rPh>
    <rPh sb="61" eb="63">
      <t>ガクブ</t>
    </rPh>
    <rPh sb="64" eb="66">
      <t>ショゾク</t>
    </rPh>
    <rPh sb="68" eb="70">
      <t>ガクセイ</t>
    </rPh>
    <rPh sb="72" eb="73">
      <t>サマザマ</t>
    </rPh>
    <rPh sb="79" eb="81">
      <t>スウ</t>
    </rPh>
    <rPh sb="87" eb="89">
      <t>ガゾウ</t>
    </rPh>
    <rPh sb="93" eb="95">
      <t>カツヨウ</t>
    </rPh>
    <rPh sb="100" eb="102">
      <t>チシキ</t>
    </rPh>
    <rPh sb="103" eb="106">
      <t>タイケイ</t>
    </rPh>
    <rPh sb="107" eb="109">
      <t>ガクシュウ</t>
    </rPh>
    <rPh sb="122" eb="124">
      <t>カクトク</t>
    </rPh>
    <rPh sb="126" eb="128">
      <t>チシキ</t>
    </rPh>
    <rPh sb="129" eb="131">
      <t>リヨウ</t>
    </rPh>
    <rPh sb="145" eb="147">
      <t>ジッシス</t>
    </rPh>
    <rPh sb="152" eb="154">
      <t>チシキ</t>
    </rPh>
    <rPh sb="163" eb="165">
      <t>キカイ</t>
    </rPh>
    <rPh sb="166" eb="167">
      <t>モウケ</t>
    </rPh>
    <rPh sb="171" eb="174">
      <t>ジッセn</t>
    </rPh>
    <rPh sb="175" eb="177">
      <t>ノウリョク</t>
    </rPh>
    <rPh sb="178" eb="180">
      <t>カクトク</t>
    </rPh>
    <rPh sb="185" eb="187">
      <t>ハイリョサル</t>
    </rPh>
    <rPh sb="205" eb="207">
      <t>シャカイ</t>
    </rPh>
    <rPh sb="213" eb="215">
      <t>ゲンバ</t>
    </rPh>
    <rPh sb="216" eb="218">
      <t>カツヨウ</t>
    </rPh>
    <rPh sb="225" eb="227">
      <t>ジテゥ</t>
    </rPh>
    <rPh sb="239" eb="241">
      <t>ブンセキ</t>
    </rPh>
    <rPh sb="242" eb="243">
      <t>オコナウウエ</t>
    </rPh>
    <rPh sb="247" eb="250">
      <t>チュウ</t>
    </rPh>
    <rPh sb="255" eb="257">
      <t>ガクシュウ</t>
    </rPh>
    <rPh sb="258" eb="259">
      <t>オコナウ</t>
    </rPh>
    <rPh sb="261" eb="263">
      <t>sh</t>
    </rPh>
    <rPh sb="264" eb="265">
      <t>デテク</t>
    </rPh>
    <rPh sb="269" eb="271">
      <t>ヤク</t>
    </rPh>
    <rPh sb="272" eb="274">
      <t>チシキ</t>
    </rPh>
    <rPh sb="275" eb="276">
      <t>ミニツケ</t>
    </rPh>
    <phoneticPr fontId="1"/>
  </si>
  <si>
    <t>社会科学のための統計入門(必修)</t>
    <rPh sb="0" eb="1">
      <t>シャカイ</t>
    </rPh>
    <rPh sb="5" eb="8">
      <t>タメノ</t>
    </rPh>
    <rPh sb="8" eb="9">
      <t>トウケイ</t>
    </rPh>
    <rPh sb="10" eb="12">
      <t>ニュウモn</t>
    </rPh>
    <rPh sb="13" eb="15">
      <t>ヒッシュウ</t>
    </rPh>
    <phoneticPr fontId="1"/>
  </si>
  <si>
    <t>各年度の履修者数の目標を以下のとおりとする。（（　）内は履修率。）
令和３年度　　５１６名　（　　８％）
令和４年度　２１５３名　（　３３％）
令和５年度　３７９０名　（　５８％）
令和６年度　５１６９名　（　７９％）
令和７年度　６５４７名　（１００％）
目標を実現するために、令和２年度に策定した「琉球大学における数理データサイエンス教育に関する基本方針」に基づき、令和３年度以降、計画的に各学士プログラムにおける数理データサイエンス教育科目の体系化に取り組むこととし、各プログラムでの数理的思考力とデータ分析・活用能力を持つ人材の育成に向けた大学教育システムの構築を行う計画である。</t>
    <rPh sb="147" eb="149">
      <t>サクテイ</t>
    </rPh>
    <rPh sb="182" eb="183">
      <t>モト</t>
    </rPh>
    <rPh sb="186" eb="188">
      <t>レイワ</t>
    </rPh>
    <rPh sb="189" eb="191">
      <t>ネンド</t>
    </rPh>
    <rPh sb="191" eb="193">
      <t>イコウ</t>
    </rPh>
    <rPh sb="194" eb="197">
      <t>ケイカクテキ</t>
    </rPh>
    <rPh sb="198" eb="201">
      <t>カクガクシ</t>
    </rPh>
    <rPh sb="210" eb="212">
      <t>スウリ</t>
    </rPh>
    <rPh sb="220" eb="222">
      <t>キョウイク</t>
    </rPh>
    <rPh sb="222" eb="224">
      <t>カモク</t>
    </rPh>
    <rPh sb="225" eb="228">
      <t>タイケイカ</t>
    </rPh>
    <rPh sb="229" eb="230">
      <t>ト</t>
    </rPh>
    <rPh sb="231" eb="232">
      <t>ク</t>
    </rPh>
    <rPh sb="238" eb="239">
      <t>カク</t>
    </rPh>
    <rPh sb="287" eb="288">
      <t>オコナ</t>
    </rPh>
    <rPh sb="289" eb="291">
      <t>ケイカク</t>
    </rPh>
    <phoneticPr fontId="1"/>
  </si>
  <si>
    <t>これまでも、グローバル教育支援機構のホームページにおいて、数理データサイエンス教育に関する特設ページを開設し、学生が情報を受け取りやすい環境を整備しているが、より具体的なプログラムの内容や履修制度の詳細等を周知するため、本学の数理データサイエンス教育の先導的役割を担う国際地域創造学部のホームページにおいてプログラム専用ページを拡充し、教育内容や認定制度等の独自の取組みを積極的に発信することとしている。</t>
    <rPh sb="11" eb="17">
      <t>キョウイクシエンキコウ</t>
    </rPh>
    <rPh sb="29" eb="31">
      <t>スウリ</t>
    </rPh>
    <rPh sb="39" eb="41">
      <t>キョウイク</t>
    </rPh>
    <rPh sb="42" eb="43">
      <t>カン</t>
    </rPh>
    <rPh sb="45" eb="47">
      <t>トクセツ</t>
    </rPh>
    <rPh sb="51" eb="53">
      <t>カイセツ</t>
    </rPh>
    <rPh sb="55" eb="57">
      <t>ガクセイ</t>
    </rPh>
    <rPh sb="58" eb="60">
      <t>ジョウホウ</t>
    </rPh>
    <rPh sb="61" eb="62">
      <t>ウ</t>
    </rPh>
    <rPh sb="63" eb="64">
      <t>ト</t>
    </rPh>
    <rPh sb="68" eb="70">
      <t>カンキョウ</t>
    </rPh>
    <rPh sb="71" eb="73">
      <t>セイビ</t>
    </rPh>
    <rPh sb="81" eb="84">
      <t>グタイテキ</t>
    </rPh>
    <rPh sb="91" eb="93">
      <t>ナイヨウ</t>
    </rPh>
    <rPh sb="94" eb="96">
      <t>リシュウ</t>
    </rPh>
    <rPh sb="96" eb="98">
      <t>セイド</t>
    </rPh>
    <rPh sb="99" eb="101">
      <t>ショウサイ</t>
    </rPh>
    <rPh sb="101" eb="102">
      <t>トウ</t>
    </rPh>
    <rPh sb="103" eb="105">
      <t>シュウチ</t>
    </rPh>
    <rPh sb="110" eb="112">
      <t>ホンガク</t>
    </rPh>
    <rPh sb="113" eb="115">
      <t>スウリ</t>
    </rPh>
    <rPh sb="123" eb="125">
      <t>キョウイク</t>
    </rPh>
    <rPh sb="126" eb="128">
      <t>センドウ</t>
    </rPh>
    <rPh sb="128" eb="129">
      <t>テキ</t>
    </rPh>
    <rPh sb="129" eb="131">
      <t>ヤクワリ</t>
    </rPh>
    <rPh sb="132" eb="133">
      <t>ニナ</t>
    </rPh>
    <rPh sb="134" eb="142">
      <t>コクサイチイキソウゾウガクブ</t>
    </rPh>
    <rPh sb="158" eb="160">
      <t>センヨウ</t>
    </rPh>
    <rPh sb="164" eb="166">
      <t>カクジュウ</t>
    </rPh>
    <rPh sb="168" eb="170">
      <t>キョウイク</t>
    </rPh>
    <rPh sb="170" eb="172">
      <t>ナイヨウ</t>
    </rPh>
    <rPh sb="173" eb="175">
      <t>ニンテイ</t>
    </rPh>
    <rPh sb="175" eb="177">
      <t>セイド</t>
    </rPh>
    <rPh sb="177" eb="178">
      <t>トウ</t>
    </rPh>
    <rPh sb="179" eb="181">
      <t>ドクジ</t>
    </rPh>
    <rPh sb="182" eb="184">
      <t>トリク</t>
    </rPh>
    <rPh sb="186" eb="189">
      <t>セッキョクテキ</t>
    </rPh>
    <rPh sb="190" eb="192">
      <t>ハッシン</t>
    </rPh>
    <phoneticPr fontId="1"/>
  </si>
  <si>
    <t>従来、対面を原則として実施していた数理データサイエンス教育について、できる限り多くの学生が履修・修得できるよう、数理・データサイエンス教育強化拠点コンソーシアムの取りまとめたモデルカリキュラム(リテラシーレベル）に準拠した教育コンテンツを、本学のLMSと連携した動画配信システムを令和２年度に整備し、多くの学生がいつでも講義の閲覧が可能となる環境を構築する計画である。また、今後、モデルカリキュラムに準じた教育コンテンツの充実を図っていく予定である。</t>
    <rPh sb="0" eb="2">
      <t>ジュウライ</t>
    </rPh>
    <rPh sb="3" eb="5">
      <t>タイメン</t>
    </rPh>
    <rPh sb="6" eb="8">
      <t>ゲンソク</t>
    </rPh>
    <rPh sb="11" eb="13">
      <t>ジッシ</t>
    </rPh>
    <rPh sb="17" eb="19">
      <t>スウリ</t>
    </rPh>
    <rPh sb="27" eb="29">
      <t>キョウイク</t>
    </rPh>
    <rPh sb="37" eb="38">
      <t>カギ</t>
    </rPh>
    <rPh sb="39" eb="40">
      <t>オオ</t>
    </rPh>
    <rPh sb="42" eb="44">
      <t>ガクセイ</t>
    </rPh>
    <rPh sb="45" eb="47">
      <t>リシュウ</t>
    </rPh>
    <rPh sb="48" eb="50">
      <t>シュウトク</t>
    </rPh>
    <rPh sb="120" eb="122">
      <t>ホンガク</t>
    </rPh>
    <rPh sb="127" eb="129">
      <t>レンケイ</t>
    </rPh>
    <rPh sb="131" eb="133">
      <t>ドウガ</t>
    </rPh>
    <rPh sb="133" eb="135">
      <t>ハイシン</t>
    </rPh>
    <rPh sb="140" eb="142">
      <t>レイワ</t>
    </rPh>
    <rPh sb="143" eb="145">
      <t>ネンド</t>
    </rPh>
    <rPh sb="146" eb="148">
      <t>セイビ</t>
    </rPh>
    <rPh sb="150" eb="151">
      <t>オオ</t>
    </rPh>
    <rPh sb="153" eb="155">
      <t>ガクセイ</t>
    </rPh>
    <rPh sb="160" eb="162">
      <t>コウギ</t>
    </rPh>
    <rPh sb="163" eb="165">
      <t>エツラン</t>
    </rPh>
    <rPh sb="166" eb="168">
      <t>カノウ</t>
    </rPh>
    <rPh sb="171" eb="173">
      <t>カンキョウ</t>
    </rPh>
    <rPh sb="174" eb="176">
      <t>コウチク</t>
    </rPh>
    <rPh sb="178" eb="180">
      <t>ケイカク</t>
    </rPh>
    <rPh sb="187" eb="189">
      <t>コンゴ</t>
    </rPh>
    <rPh sb="200" eb="201">
      <t>ジュン</t>
    </rPh>
    <rPh sb="203" eb="205">
      <t>キョウイク</t>
    </rPh>
    <rPh sb="211" eb="213">
      <t>ジュウジツ</t>
    </rPh>
    <rPh sb="214" eb="215">
      <t>ハカ</t>
    </rPh>
    <rPh sb="219" eb="221">
      <t>ヨテイ</t>
    </rPh>
    <phoneticPr fontId="1"/>
  </si>
  <si>
    <t>従来から、各学士プログラムで開設する数理データサイエンス教育科目毎に、独自でオフィスアワーを設けるなどして、学生の疑問・質問に対応する体制を整備していたが、LMSやチームコラボレーションツール（Microsoft365、Slack等）を活用した授業方法と連携し、サポート体制の充実に向けて取り組んでいる。</t>
    <rPh sb="0" eb="2">
      <t>ジュウライ</t>
    </rPh>
    <rPh sb="5" eb="8">
      <t>カクガクシ</t>
    </rPh>
    <rPh sb="14" eb="16">
      <t>カイセツ</t>
    </rPh>
    <rPh sb="18" eb="20">
      <t>スウリ</t>
    </rPh>
    <rPh sb="28" eb="30">
      <t>キョウイク</t>
    </rPh>
    <rPh sb="30" eb="32">
      <t>カモク</t>
    </rPh>
    <rPh sb="32" eb="33">
      <t>ゴト</t>
    </rPh>
    <rPh sb="35" eb="37">
      <t>ドクジ</t>
    </rPh>
    <rPh sb="46" eb="47">
      <t>モウ</t>
    </rPh>
    <rPh sb="54" eb="56">
      <t>ガクセイ</t>
    </rPh>
    <rPh sb="57" eb="59">
      <t>ギモン</t>
    </rPh>
    <rPh sb="60" eb="62">
      <t>シツモン</t>
    </rPh>
    <rPh sb="63" eb="65">
      <t>タイオウ</t>
    </rPh>
    <rPh sb="67" eb="69">
      <t>タイセイ</t>
    </rPh>
    <rPh sb="70" eb="72">
      <t>セイビ</t>
    </rPh>
    <rPh sb="115" eb="116">
      <t>トウ</t>
    </rPh>
    <rPh sb="118" eb="120">
      <t>カツヨウ</t>
    </rPh>
    <rPh sb="122" eb="124">
      <t>ジュギョウ</t>
    </rPh>
    <rPh sb="124" eb="126">
      <t>ホウホウ</t>
    </rPh>
    <rPh sb="127" eb="129">
      <t>レンケイ</t>
    </rPh>
    <rPh sb="135" eb="137">
      <t>タイセイ</t>
    </rPh>
    <rPh sb="138" eb="140">
      <t>ジュウジツ</t>
    </rPh>
    <rPh sb="141" eb="142">
      <t>ム</t>
    </rPh>
    <rPh sb="144" eb="145">
      <t>ト</t>
    </rPh>
    <rPh sb="146" eb="147">
      <t>ク</t>
    </rPh>
    <phoneticPr fontId="1"/>
  </si>
  <si>
    <t>様式２</t>
    <rPh sb="0" eb="2">
      <t>ヨウシキ</t>
    </rPh>
    <phoneticPr fontId="1"/>
  </si>
  <si>
    <t>様式４</t>
    <rPh sb="0" eb="2">
      <t>ヨウシキ</t>
    </rPh>
    <phoneticPr fontId="1"/>
  </si>
  <si>
    <t>学生部教育支援課</t>
    <rPh sb="0" eb="3">
      <t>ガクセイブ</t>
    </rPh>
    <rPh sb="3" eb="5">
      <t>キョウイク</t>
    </rPh>
    <rPh sb="5" eb="7">
      <t>シエン</t>
    </rPh>
    <rPh sb="7" eb="8">
      <t>カ</t>
    </rPh>
    <phoneticPr fontId="1"/>
  </si>
  <si>
    <t>植田聡</t>
    <rPh sb="0" eb="2">
      <t>ウエタ</t>
    </rPh>
    <rPh sb="2" eb="3">
      <t>サトシ</t>
    </rPh>
    <phoneticPr fontId="1"/>
  </si>
  <si>
    <t>kykikaku@acs.u-ryukyu.ac.jp</t>
    <phoneticPr fontId="1"/>
  </si>
  <si>
    <t>098-895-8124</t>
    <phoneticPr fontId="1"/>
  </si>
  <si>
    <t>国立大学法人琉球大学</t>
    <rPh sb="0" eb="6">
      <t>コクリツダイガクホウジン</t>
    </rPh>
    <rPh sb="6" eb="10">
      <t>リュウキュウダイガク</t>
    </rPh>
    <phoneticPr fontId="1"/>
  </si>
  <si>
    <t>ガイダンス+Python の復習（1）</t>
    <rPh sb="14" eb="16">
      <t>フクシュウ</t>
    </rPh>
    <phoneticPr fontId="1"/>
  </si>
  <si>
    <t>学部・学科に関係なく学生が受講するためには、数理データサイエンス教育を教授することのできる教員の確保・育成が課題であるが、本学ではこれらを解決するため、事業運営委員会で数理・データサイエンス教育強化拠点コンソーシアムの取りまとめたモデルカリキュラム(リテラシーレベル）に準拠した教育コンテンツを作成し、④で体系化した各学士プログラムの状況に応じて、全学生が数理データサイエンス教育を学ぶことが出来る体制を構築することとしている。</t>
    <rPh sb="0" eb="2">
      <t>ガクブ</t>
    </rPh>
    <rPh sb="3" eb="5">
      <t>ガッカ</t>
    </rPh>
    <rPh sb="6" eb="8">
      <t>カンケイ</t>
    </rPh>
    <rPh sb="10" eb="12">
      <t>ガクセイ</t>
    </rPh>
    <rPh sb="13" eb="15">
      <t>ジュコウ</t>
    </rPh>
    <rPh sb="22" eb="24">
      <t>スウリ</t>
    </rPh>
    <rPh sb="32" eb="34">
      <t>キョウイク</t>
    </rPh>
    <rPh sb="35" eb="37">
      <t>キョウジュ</t>
    </rPh>
    <rPh sb="45" eb="47">
      <t>キョウイン</t>
    </rPh>
    <rPh sb="48" eb="50">
      <t>カクホ</t>
    </rPh>
    <rPh sb="51" eb="53">
      <t>イクセイ</t>
    </rPh>
    <rPh sb="54" eb="56">
      <t>カダイ</t>
    </rPh>
    <rPh sb="61" eb="63">
      <t>ホンガク</t>
    </rPh>
    <rPh sb="69" eb="71">
      <t>カイケツ</t>
    </rPh>
    <rPh sb="147" eb="149">
      <t>サクセイ</t>
    </rPh>
    <rPh sb="153" eb="156">
      <t>タイケイカ</t>
    </rPh>
    <rPh sb="158" eb="161">
      <t>カクガクシ</t>
    </rPh>
    <rPh sb="167" eb="169">
      <t>ジョウキョウ</t>
    </rPh>
    <rPh sb="170" eb="171">
      <t>オウ</t>
    </rPh>
    <rPh sb="174" eb="176">
      <t>ゼンガク</t>
    </rPh>
    <rPh sb="176" eb="177">
      <t>セイ</t>
    </rPh>
    <rPh sb="199" eb="201">
      <t>タイセイ</t>
    </rPh>
    <rPh sb="202" eb="204">
      <t>コウチク</t>
    </rPh>
    <phoneticPr fontId="1"/>
  </si>
  <si>
    <t>データサイエンティスト養成履修カリキュラムの履修状況を分析し、受講者毎の講義演習進捗状況や課題への回答状況を琉球大学数理データサイエンス教育普及展開事業運営委員会が把握し、改善に向けた取り組みを行っている。</t>
    <rPh sb="27" eb="29">
      <t>ブンセキハアク</t>
    </rPh>
    <rPh sb="86" eb="88">
      <t>カイゼン</t>
    </rPh>
    <rPh sb="89" eb="90">
      <t>ム</t>
    </rPh>
    <rPh sb="92" eb="93">
      <t>ト</t>
    </rPh>
    <rPh sb="94" eb="95">
      <t>ク</t>
    </rPh>
    <rPh sb="97" eb="98">
      <t>オコナ</t>
    </rPh>
    <phoneticPr fontId="1"/>
  </si>
  <si>
    <t>データサイエンティスト養成履修カリキュラムにおいて、科目レベルで授業評価アンケート等の項目を分析することによって、授業内容の学生の理解度を把握することができ、その結果を琉球大学数理データサイエンス教育普及展開事業運営委員会と連携し、本プログラムの評価・改善に活用している。</t>
    <rPh sb="26" eb="28">
      <t>カモク</t>
    </rPh>
    <rPh sb="32" eb="34">
      <t>ジュギョウ</t>
    </rPh>
    <rPh sb="34" eb="36">
      <t>ヒョウカ</t>
    </rPh>
    <rPh sb="41" eb="42">
      <t>トウ</t>
    </rPh>
    <rPh sb="43" eb="45">
      <t>コウモク</t>
    </rPh>
    <rPh sb="46" eb="48">
      <t>ブンセキ</t>
    </rPh>
    <phoneticPr fontId="1"/>
  </si>
  <si>
    <t>データサイエンティスト養成履修カリキュラムにおいて、受講者全員に対して授業アンケートを実施しており、個々の学生の理解度を分析している。理解度の分析に基づき、次年度の授業内容や科目を柔軟に見直し、データサイエンスへの関心を促す内容やプログラミング技能の修得に特化した内容を強化するなど、理解度に応じた改善に努めている。</t>
    <rPh sb="26" eb="29">
      <t>ジュコウシャ</t>
    </rPh>
    <rPh sb="29" eb="31">
      <t>ゼンイン</t>
    </rPh>
    <rPh sb="32" eb="33">
      <t>タイ</t>
    </rPh>
    <rPh sb="35" eb="37">
      <t>ジュギョウ</t>
    </rPh>
    <rPh sb="43" eb="45">
      <t>ジッシ</t>
    </rPh>
    <rPh sb="50" eb="52">
      <t>ココ</t>
    </rPh>
    <rPh sb="53" eb="55">
      <t>ガクセイ</t>
    </rPh>
    <rPh sb="56" eb="59">
      <t>リカイド</t>
    </rPh>
    <rPh sb="60" eb="62">
      <t>ブンセキ</t>
    </rPh>
    <rPh sb="67" eb="70">
      <t>リカイド</t>
    </rPh>
    <rPh sb="71" eb="73">
      <t>ブンセキ</t>
    </rPh>
    <rPh sb="74" eb="75">
      <t>モト</t>
    </rPh>
    <rPh sb="78" eb="81">
      <t>ジネンド</t>
    </rPh>
    <rPh sb="82" eb="84">
      <t>ジュギョウ</t>
    </rPh>
    <rPh sb="84" eb="86">
      <t>ナイヨウ</t>
    </rPh>
    <rPh sb="87" eb="89">
      <t>カモク</t>
    </rPh>
    <rPh sb="90" eb="92">
      <t>ジュウナン</t>
    </rPh>
    <rPh sb="93" eb="95">
      <t>ミナオ</t>
    </rPh>
    <rPh sb="107" eb="109">
      <t>カンシン</t>
    </rPh>
    <rPh sb="110" eb="111">
      <t>ウナガ</t>
    </rPh>
    <rPh sb="112" eb="114">
      <t>ナイヨウ</t>
    </rPh>
    <rPh sb="122" eb="124">
      <t>ギノウ</t>
    </rPh>
    <rPh sb="125" eb="127">
      <t>シュウトク</t>
    </rPh>
    <rPh sb="128" eb="130">
      <t>トッカ</t>
    </rPh>
    <rPh sb="132" eb="134">
      <t>ナイヨウ</t>
    </rPh>
    <rPh sb="135" eb="137">
      <t>キョウカ</t>
    </rPh>
    <rPh sb="142" eb="145">
      <t>リカイド</t>
    </rPh>
    <rPh sb="146" eb="147">
      <t>オウ</t>
    </rPh>
    <rPh sb="149" eb="151">
      <t>カイゼン</t>
    </rPh>
    <rPh sb="152" eb="153">
      <t>ツト</t>
    </rPh>
    <phoneticPr fontId="1"/>
  </si>
  <si>
    <t>授業評価アンケート自由記述欄から、データサイエンスの知識と技能の修得に対し受講者が高い関心を示していることを確認しており、受講者がデータサイエンス科目を他の学生や後輩学生に受講を促すなどの事例が確認されている。また、データサイエンス事業並びにデータサイエンティスト養成履修カリキュラムの専用ウェブページにおいて、受講の感想等の意見を掲載し、講義受講の推奨に活用している。</t>
    <rPh sb="0" eb="2">
      <t>ジュギョウ</t>
    </rPh>
    <rPh sb="2" eb="4">
      <t>ヒョウカ</t>
    </rPh>
    <rPh sb="9" eb="11">
      <t>ジユウ</t>
    </rPh>
    <rPh sb="11" eb="13">
      <t>キジュツ</t>
    </rPh>
    <rPh sb="13" eb="14">
      <t>ラン</t>
    </rPh>
    <rPh sb="26" eb="28">
      <t>チシキ</t>
    </rPh>
    <rPh sb="29" eb="31">
      <t>ギノウ</t>
    </rPh>
    <rPh sb="32" eb="34">
      <t>シュウトク</t>
    </rPh>
    <rPh sb="35" eb="36">
      <t>タイ</t>
    </rPh>
    <rPh sb="37" eb="39">
      <t>ジュコウ</t>
    </rPh>
    <rPh sb="39" eb="40">
      <t>シャ</t>
    </rPh>
    <rPh sb="41" eb="42">
      <t>タカ</t>
    </rPh>
    <rPh sb="43" eb="45">
      <t>カンシン</t>
    </rPh>
    <rPh sb="46" eb="47">
      <t>シメ</t>
    </rPh>
    <rPh sb="54" eb="56">
      <t>カクニン</t>
    </rPh>
    <rPh sb="61" eb="64">
      <t>ジュコウシャ</t>
    </rPh>
    <rPh sb="73" eb="75">
      <t>カモク</t>
    </rPh>
    <rPh sb="76" eb="77">
      <t>タ</t>
    </rPh>
    <rPh sb="78" eb="80">
      <t>ガクセイ</t>
    </rPh>
    <rPh sb="81" eb="83">
      <t>コウハイ</t>
    </rPh>
    <rPh sb="83" eb="85">
      <t>ガクセイ</t>
    </rPh>
    <rPh sb="86" eb="88">
      <t>ジュコウ</t>
    </rPh>
    <rPh sb="89" eb="90">
      <t>ウナガ</t>
    </rPh>
    <rPh sb="94" eb="96">
      <t>ジレイ</t>
    </rPh>
    <rPh sb="97" eb="99">
      <t>カクニン</t>
    </rPh>
    <rPh sb="118" eb="119">
      <t>ナラ</t>
    </rPh>
    <rPh sb="149" eb="150">
      <t>ナド</t>
    </rPh>
    <rPh sb="151" eb="153">
      <t>イケン</t>
    </rPh>
    <rPh sb="158" eb="160">
      <t>コウギ</t>
    </rPh>
    <phoneticPr fontId="1"/>
  </si>
  <si>
    <t>令和２年度末時点で、カリキュラム修了者が輩出されていないため、現時点では評価が出来ないが、修了者が輩出され次第、その就職先等への調査を通じて、修了者の活躍状況、企業からの評価を行うこととしている。</t>
    <rPh sb="5" eb="6">
      <t>マツ</t>
    </rPh>
    <rPh sb="6" eb="8">
      <t>ジテン</t>
    </rPh>
    <rPh sb="16" eb="19">
      <t>シュウリョウシャ</t>
    </rPh>
    <rPh sb="20" eb="22">
      <t>ハイシュツ</t>
    </rPh>
    <rPh sb="31" eb="34">
      <t>ゲンジテン</t>
    </rPh>
    <rPh sb="36" eb="38">
      <t>ヒョウカ</t>
    </rPh>
    <rPh sb="39" eb="41">
      <t>デキ</t>
    </rPh>
    <rPh sb="45" eb="48">
      <t>シュウリョウシャ</t>
    </rPh>
    <rPh sb="49" eb="51">
      <t>ハイシュツ</t>
    </rPh>
    <rPh sb="53" eb="55">
      <t>シダイ</t>
    </rPh>
    <rPh sb="58" eb="60">
      <t>シュウショク</t>
    </rPh>
    <rPh sb="60" eb="61">
      <t>サキ</t>
    </rPh>
    <rPh sb="61" eb="62">
      <t>トウ</t>
    </rPh>
    <rPh sb="64" eb="66">
      <t>チョウサ</t>
    </rPh>
    <rPh sb="67" eb="68">
      <t>ツウ</t>
    </rPh>
    <rPh sb="71" eb="74">
      <t>シュウリョウシャ</t>
    </rPh>
    <rPh sb="75" eb="77">
      <t>カツヤク</t>
    </rPh>
    <rPh sb="77" eb="79">
      <t>ジョウキョウ</t>
    </rPh>
    <rPh sb="80" eb="82">
      <t>キギョウ</t>
    </rPh>
    <rPh sb="85" eb="87">
      <t>ヒョウカ</t>
    </rPh>
    <rPh sb="88" eb="89">
      <t>オコナ</t>
    </rPh>
    <phoneticPr fontId="1"/>
  </si>
  <si>
    <t>本学において開催した「数理データサイエンス教育普及展開シンポジウム」等においてデータサイエンス人材の育成に対する意見を収集するとともに、産業課題ニーズの把握及び、それらの教育プログラムへの反映を目的とし、「琉球大学数理・データサイエンス人材事業に関する企業ニーズ調査」と題し、過去５年間のうち本学より２人以上の学生が就職した民間企業及び本学教員とかかわりのある県内外企業405社にアンケート調査を行い、政府方針「AI戦略2019」への関心や、データ活用が可能な人材需要及びその業種、データ活用が可能な人材に期待する能力等を調査している。カリキュラム修了者が輩出された場合は、その就職先等へも調査を行うことしている。</t>
    <rPh sb="34" eb="35">
      <t>トウ</t>
    </rPh>
    <rPh sb="97" eb="99">
      <t>モクテキ</t>
    </rPh>
    <rPh sb="103" eb="107">
      <t>リュウキュウダイガク</t>
    </rPh>
    <rPh sb="107" eb="109">
      <t>スウリ</t>
    </rPh>
    <rPh sb="118" eb="120">
      <t>ジンザイ</t>
    </rPh>
    <rPh sb="120" eb="122">
      <t>ジギョウ</t>
    </rPh>
    <rPh sb="123" eb="124">
      <t>カン</t>
    </rPh>
    <rPh sb="126" eb="128">
      <t>キギョウ</t>
    </rPh>
    <rPh sb="131" eb="133">
      <t>チョウサ</t>
    </rPh>
    <rPh sb="135" eb="136">
      <t>ダイ</t>
    </rPh>
    <rPh sb="138" eb="140">
      <t>カコ</t>
    </rPh>
    <rPh sb="141" eb="143">
      <t>ネンカン</t>
    </rPh>
    <rPh sb="146" eb="148">
      <t>ホンガク</t>
    </rPh>
    <rPh sb="151" eb="154">
      <t>ニンイジョウ</t>
    </rPh>
    <rPh sb="155" eb="157">
      <t>ガクセイ</t>
    </rPh>
    <rPh sb="158" eb="160">
      <t>シュウショク</t>
    </rPh>
    <rPh sb="162" eb="164">
      <t>ミンカン</t>
    </rPh>
    <rPh sb="164" eb="166">
      <t>キギョウ</t>
    </rPh>
    <rPh sb="166" eb="167">
      <t>オヨ</t>
    </rPh>
    <rPh sb="168" eb="170">
      <t>ホンガク</t>
    </rPh>
    <rPh sb="170" eb="172">
      <t>キョウイン</t>
    </rPh>
    <rPh sb="180" eb="182">
      <t>ケンナイ</t>
    </rPh>
    <rPh sb="182" eb="183">
      <t>ガイ</t>
    </rPh>
    <rPh sb="183" eb="185">
      <t>キギョウ</t>
    </rPh>
    <rPh sb="195" eb="197">
      <t>チョウサ</t>
    </rPh>
    <rPh sb="198" eb="199">
      <t>オコナ</t>
    </rPh>
    <rPh sb="201" eb="203">
      <t>セイフ</t>
    </rPh>
    <rPh sb="203" eb="205">
      <t>ホウシン</t>
    </rPh>
    <rPh sb="208" eb="210">
      <t>センリャク</t>
    </rPh>
    <rPh sb="217" eb="219">
      <t>カンシン</t>
    </rPh>
    <rPh sb="224" eb="226">
      <t>カツヨウ</t>
    </rPh>
    <rPh sb="227" eb="229">
      <t>カノウ</t>
    </rPh>
    <rPh sb="230" eb="232">
      <t>ジンザイ</t>
    </rPh>
    <rPh sb="232" eb="234">
      <t>ジュヨウ</t>
    </rPh>
    <rPh sb="234" eb="235">
      <t>オヨ</t>
    </rPh>
    <rPh sb="238" eb="240">
      <t>ギョウシュ</t>
    </rPh>
    <rPh sb="244" eb="246">
      <t>カツヨウ</t>
    </rPh>
    <rPh sb="247" eb="249">
      <t>カノウ</t>
    </rPh>
    <rPh sb="250" eb="252">
      <t>ジンザイ</t>
    </rPh>
    <rPh sb="253" eb="255">
      <t>キタイ</t>
    </rPh>
    <rPh sb="257" eb="259">
      <t>ノウリョク</t>
    </rPh>
    <rPh sb="259" eb="260">
      <t>トウ</t>
    </rPh>
    <rPh sb="261" eb="263">
      <t>チョウサ</t>
    </rPh>
    <rPh sb="276" eb="280">
      <t>リシュウヨウセイ</t>
    </rPh>
    <rPh sb="296" eb="299">
      <t>シュウリョウシャ</t>
    </rPh>
    <rPh sb="300" eb="302">
      <t>ハイシュツ</t>
    </rPh>
    <rPh sb="305" eb="307">
      <t>バアイジンザイイクセイタイイケンシュウシュウ</t>
    </rPh>
    <phoneticPr fontId="1"/>
  </si>
  <si>
    <t>琉球大学数理データサイエンス教育普及展開事業運営委員会を中心に作成した、モデルカリキュラムリテラシーレベルの導入部分に準じた内容を含めた教育コンテンツの展開や、令和３年度からは「データサイエンス概論」において、スポーツ、社会経済、生物・生態、製造、在庫管理など様々な分野における最先端のデータサイエンスに関する研究を講師の先生に紹介してもらい、背景（ドメイン）知識、データの取得から下処理・分析・モデリングの方法、そして実社会への応用などを学ぶことによってデータサイエンスの知識を深める講義を行うこととしている。</t>
    <rPh sb="28" eb="30">
      <t>チュウシン</t>
    </rPh>
    <rPh sb="31" eb="33">
      <t>サクセイ</t>
    </rPh>
    <rPh sb="54" eb="56">
      <t>ドウニュウ</t>
    </rPh>
    <rPh sb="56" eb="58">
      <t>ブブン</t>
    </rPh>
    <rPh sb="59" eb="60">
      <t>ジュン</t>
    </rPh>
    <rPh sb="62" eb="64">
      <t>ナイヨウ</t>
    </rPh>
    <rPh sb="65" eb="66">
      <t>フク</t>
    </rPh>
    <rPh sb="68" eb="70">
      <t>キョウイク</t>
    </rPh>
    <rPh sb="76" eb="78">
      <t>テンカイ</t>
    </rPh>
    <rPh sb="80" eb="82">
      <t>レイワ</t>
    </rPh>
    <rPh sb="83" eb="85">
      <t>ネンド</t>
    </rPh>
    <rPh sb="97" eb="99">
      <t>ガイロン</t>
    </rPh>
    <rPh sb="243" eb="245">
      <t>コウギ</t>
    </rPh>
    <rPh sb="246" eb="247">
      <t>オコナ</t>
    </rPh>
    <phoneticPr fontId="1"/>
  </si>
  <si>
    <t>データサイエンティスト養成履修カリキュラムにおいて実施している、授業評価アンケートや企業調査の結果を踏まえて、内容・水準を維持・向上しつつ、より「分かりやすい」授業とできるよう、事業運営委員会や学部教務委員会等で内容・実施方法の検討を行っている。また、データサイエンスの活用事例は豊富に紹介する導入部分の充実や、受講者のログを解析し、学生の分かりにくい点を把握し、教育方法の改善に活かす取組を進めている。</t>
    <rPh sb="25" eb="27">
      <t>ジッシ</t>
    </rPh>
    <rPh sb="32" eb="34">
      <t>ジュギョウ</t>
    </rPh>
    <rPh sb="34" eb="36">
      <t>ヒョウカ</t>
    </rPh>
    <rPh sb="42" eb="44">
      <t>キギョウ</t>
    </rPh>
    <rPh sb="44" eb="46">
      <t>チョウサ</t>
    </rPh>
    <rPh sb="47" eb="49">
      <t>ケッカ</t>
    </rPh>
    <rPh sb="50" eb="51">
      <t>フ</t>
    </rPh>
    <rPh sb="89" eb="93">
      <t>ジギョウウンエイ</t>
    </rPh>
    <rPh sb="93" eb="96">
      <t>イインカイ</t>
    </rPh>
    <rPh sb="97" eb="99">
      <t>ガクブ</t>
    </rPh>
    <rPh sb="99" eb="101">
      <t>キョウム</t>
    </rPh>
    <rPh sb="101" eb="103">
      <t>イイン</t>
    </rPh>
    <rPh sb="103" eb="104">
      <t>カイ</t>
    </rPh>
    <rPh sb="104" eb="105">
      <t>トウ</t>
    </rPh>
    <rPh sb="106" eb="108">
      <t>ナイヨウ</t>
    </rPh>
    <rPh sb="109" eb="111">
      <t>ジッシ</t>
    </rPh>
    <rPh sb="111" eb="113">
      <t>ホウホウ</t>
    </rPh>
    <rPh sb="114" eb="116">
      <t>ケントウ</t>
    </rPh>
    <rPh sb="117" eb="118">
      <t>オコナ</t>
    </rPh>
    <rPh sb="135" eb="137">
      <t>カツヨウ</t>
    </rPh>
    <rPh sb="137" eb="139">
      <t>ジレイ</t>
    </rPh>
    <rPh sb="140" eb="142">
      <t>ホウフ</t>
    </rPh>
    <rPh sb="143" eb="145">
      <t>ショウカイ</t>
    </rPh>
    <rPh sb="147" eb="149">
      <t>ドウニュウ</t>
    </rPh>
    <rPh sb="149" eb="151">
      <t>ブブン</t>
    </rPh>
    <rPh sb="152" eb="154">
      <t>ジュウジツ</t>
    </rPh>
    <rPh sb="156" eb="159">
      <t>ジュコウシャ</t>
    </rPh>
    <rPh sb="163" eb="165">
      <t>カイセキ</t>
    </rPh>
    <rPh sb="167" eb="169">
      <t>ガクセイ</t>
    </rPh>
    <rPh sb="170" eb="171">
      <t>ワ</t>
    </rPh>
    <rPh sb="176" eb="177">
      <t>テン</t>
    </rPh>
    <rPh sb="178" eb="180">
      <t>ハアク</t>
    </rPh>
    <phoneticPr fontId="1"/>
  </si>
  <si>
    <t>統計学の知識を体系的に学習する(1-15)</t>
    <phoneticPr fontId="1"/>
  </si>
  <si>
    <t>沖縄県中頭郡西原町字千原１番地</t>
    <rPh sb="0" eb="3">
      <t>オキナワケン</t>
    </rPh>
    <rPh sb="3" eb="6">
      <t>ナカガミグン</t>
    </rPh>
    <rPh sb="6" eb="9">
      <t>ニシハラチョウ</t>
    </rPh>
    <rPh sb="9" eb="10">
      <t>アザ</t>
    </rPh>
    <rPh sb="10" eb="12">
      <t>センバル</t>
    </rPh>
    <rPh sb="13" eb="15">
      <t>バンチ</t>
    </rPh>
    <phoneticPr fontId="1"/>
  </si>
  <si>
    <t>人文社会学部　（人文科学）</t>
    <rPh sb="0" eb="4">
      <t>ジンブンシャカイ</t>
    </rPh>
    <rPh sb="4" eb="6">
      <t>ガクブ</t>
    </rPh>
    <rPh sb="8" eb="12">
      <t>ジンブンカガク</t>
    </rPh>
    <phoneticPr fontId="1"/>
  </si>
  <si>
    <t>国際地域創造学部　（社会科学）</t>
    <rPh sb="0" eb="8">
      <t>コクサイチイキソウゾウガクブ</t>
    </rPh>
    <rPh sb="10" eb="14">
      <t>シャカイカガク</t>
    </rPh>
    <phoneticPr fontId="1"/>
  </si>
  <si>
    <t>教育学部　（教育）</t>
    <rPh sb="0" eb="4">
      <t>キョウイクガクブ</t>
    </rPh>
    <rPh sb="6" eb="8">
      <t>キョウイク</t>
    </rPh>
    <phoneticPr fontId="1"/>
  </si>
  <si>
    <t>理学部　（理学）</t>
    <rPh sb="0" eb="3">
      <t>リガクブ</t>
    </rPh>
    <rPh sb="5" eb="7">
      <t>リガク</t>
    </rPh>
    <phoneticPr fontId="1"/>
  </si>
  <si>
    <t>医学部　（保健）</t>
    <rPh sb="0" eb="3">
      <t>イガクブ</t>
    </rPh>
    <rPh sb="5" eb="7">
      <t>ホケン</t>
    </rPh>
    <phoneticPr fontId="1"/>
  </si>
  <si>
    <t>工学部　（工学）</t>
    <rPh sb="0" eb="3">
      <t>コウガクブ</t>
    </rPh>
    <rPh sb="5" eb="7">
      <t>コウガク</t>
    </rPh>
    <phoneticPr fontId="1"/>
  </si>
  <si>
    <t>農学部　（農学）</t>
    <rPh sb="0" eb="3">
      <t>ノウガクブ</t>
    </rPh>
    <rPh sb="5" eb="7">
      <t>ノウガク</t>
    </rPh>
    <phoneticPr fontId="1"/>
  </si>
  <si>
    <t>観光産業科学部　（社会科学）</t>
    <rPh sb="0" eb="4">
      <t>カンコウサンギョウ</t>
    </rPh>
    <rPh sb="4" eb="6">
      <t>カガク</t>
    </rPh>
    <rPh sb="6" eb="7">
      <t>ブ</t>
    </rPh>
    <rPh sb="9" eb="13">
      <t>シャカイカガク</t>
    </rPh>
    <phoneticPr fontId="1"/>
  </si>
  <si>
    <t>法文学部　（人文科学）</t>
    <rPh sb="0" eb="2">
      <t>ホウブン</t>
    </rPh>
    <rPh sb="2" eb="4">
      <t>ガクブ</t>
    </rPh>
    <rPh sb="6" eb="10">
      <t>ジンブンカガク</t>
    </rPh>
    <phoneticPr fontId="1"/>
  </si>
  <si>
    <t>http://www.ged.skr.u-ryukyu.ac.jp/ds_literacy</t>
    <phoneticPr fontId="1"/>
  </si>
  <si>
    <t>有</t>
  </si>
  <si>
    <t>http://www.ged.skr.u-ryukyu.ac.jp/wp-content/uploads/2021/07/f17ac2bb51161d20d0f45ac2bbe4ff2e.pdf</t>
    <phoneticPr fontId="1"/>
  </si>
  <si>
    <t>琉球大学</t>
    <rPh sb="0" eb="4">
      <t>リュウキュウダイガク</t>
    </rPh>
    <phoneticPr fontId="1"/>
  </si>
  <si>
    <t xml:space="preserve">
・社会科学研究を行う上で修得すべき基礎的なデータ処理と統計学の基礎を講義する。（社会科学のための統計入門）
・プログラミング言語（Python)を用いて、数値データに加えテキストデータを処理する方法や統計解析の手法を学びデータ解析の力を養う。（データサイエンス初級）
・プログラミング言語（Python)を用いて、主に機械学習の分類問題を学ぶ。（データサイエンス中級）
</t>
    <rPh sb="54" eb="58">
      <t>シャカイカガク</t>
    </rPh>
    <rPh sb="58" eb="60">
      <t>ケンキュウ</t>
    </rPh>
    <rPh sb="61" eb="62">
      <t>オコナ</t>
    </rPh>
    <rPh sb="63" eb="64">
      <t>ウエ</t>
    </rPh>
    <rPh sb="65" eb="67">
      <t>シュウトク</t>
    </rPh>
    <rPh sb="70" eb="73">
      <t>キソテキ</t>
    </rPh>
    <rPh sb="77" eb="79">
      <t>ショリ</t>
    </rPh>
    <rPh sb="80" eb="83">
      <t>トウケイガク</t>
    </rPh>
    <rPh sb="84" eb="86">
      <t>キソ</t>
    </rPh>
    <rPh sb="87" eb="89">
      <t>コウギ</t>
    </rPh>
    <rPh sb="93" eb="97">
      <t>シャカイカガク</t>
    </rPh>
    <rPh sb="101" eb="105">
      <t>トウケイニュウモン</t>
    </rPh>
    <rPh sb="117" eb="118">
      <t>マナ</t>
    </rPh>
    <rPh sb="119" eb="120">
      <t>ウエ</t>
    </rPh>
    <rPh sb="121" eb="123">
      <t>ヒッス</t>
    </rPh>
    <rPh sb="126" eb="129">
      <t>キホンテキ</t>
    </rPh>
    <rPh sb="130" eb="132">
      <t>スウガク</t>
    </rPh>
    <rPh sb="133" eb="134">
      <t>チシキ</t>
    </rPh>
    <rPh sb="134" eb="136">
      <t>スウガク</t>
    </rPh>
    <rPh sb="137" eb="139">
      <t>ニガテ</t>
    </rPh>
    <rPh sb="140" eb="142">
      <t>ガクセイ</t>
    </rPh>
    <rPh sb="144" eb="146">
      <t>ハイリョ</t>
    </rPh>
    <rPh sb="153" eb="154">
      <t>マナ</t>
    </rPh>
    <rPh sb="169" eb="173">
      <t>キソスウガク</t>
    </rPh>
    <rPh sb="183" eb="185">
      <t>ゲンゴショキュウケイザイブンセキオコナヒツヨウキソテキトウケイガクリロンコウギキソトウケイガクオモブンルイモンダイマナチュウキュウシンソウガクシュウチュウシンマナジョウキュウ</t>
    </rPh>
    <phoneticPr fontId="1"/>
  </si>
  <si>
    <t xml:space="preserve">・社会科学研究を行う上で修得すべき基礎的なデータ処理と統計学の基礎を講義する。（社会科学のための統計入門）
・データサイエンスを学ぶ上で必須となる基本的な数学の知識を数学が苦手な学生にも配慮してじっくりと学ぶ。（データサイエンスのための基礎数学）
・プログラミング言語（Python)を用いて、数値データに加えテキストデータを処理する方法や統計解析の手法を学びデータ解析の力を養う。（データサイエンス初級）
・経済学の修得に最低限必要な数学を学習する。（経済数学基礎、経済数学応用）
・経済データの分析を行うために必要な基礎的な統計学の理論について講義する。（基礎統計学）
・プログラミング言語（Python)を用いて、主に機械学習の分類問題を学ぶ。（データサイエンス中級）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</si>
</sst>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7"/>
      <color theme="1"/>
      <name val="ＭＳ Ｐゴシック"/>
      <family val="3"/>
      <charset val="128"/>
      <scheme val="minor"/>
    </font>
    <font>
      <sz val="11"/>
      <color theme="1"/>
      <name val="ＭＳ Ｐゴシック"/>
      <family val="3"/>
      <charset val="128"/>
      <scheme val="minor"/>
    </font>
    <font>
      <sz val="9"/>
      <name val="ＭＳ Ｐゴシック"/>
      <family val="3"/>
      <charset val="128"/>
      <scheme val="minor"/>
    </font>
    <font>
      <u/>
      <sz val="11"/>
      <name val="ＭＳ Ｐゴシック"/>
      <family val="3"/>
      <charset val="128"/>
      <scheme val="minor"/>
    </font>
    <font>
      <sz val="11"/>
      <name val="ＭＳ Ｐゴシック"/>
      <family val="3"/>
      <charset val="128"/>
      <scheme val="minor"/>
    </font>
    <font>
      <sz val="12"/>
      <color rgb="FFFF0000"/>
      <name val="ＭＳ Ｐゴシック"/>
      <family val="3"/>
      <charset val="128"/>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5" fillId="0" borderId="0" applyFont="0" applyFill="0" applyBorder="0" applyAlignment="0" applyProtection="0">
      <alignment vertical="center"/>
    </xf>
    <xf numFmtId="0" fontId="6" fillId="0" borderId="0" applyNumberForma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3" fillId="0" borderId="0" xfId="0" applyFont="1" applyAlignment="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1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0" xfId="0" applyFont="1" applyAlignment="1">
      <alignment horizontal="right" vertical="center"/>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9" fillId="0" borderId="11" xfId="0" applyFont="1" applyBorder="1" applyAlignment="1">
      <alignment horizontal="center" vertical="center"/>
    </xf>
    <xf numFmtId="0" fontId="9" fillId="0" borderId="12"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31" xfId="0" applyFont="1" applyBorder="1" applyAlignment="1">
      <alignment horizontal="center" vertical="center"/>
    </xf>
    <xf numFmtId="0" fontId="8" fillId="0" borderId="1"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0"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10"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4" xfId="0" applyNumberFormat="1" applyFont="1" applyBorder="1" applyAlignment="1">
      <alignment vertical="center" shrinkToFit="1"/>
    </xf>
    <xf numFmtId="176" fontId="3" fillId="0" borderId="25" xfId="0" applyNumberFormat="1" applyFont="1" applyBorder="1" applyAlignment="1">
      <alignment vertical="center" shrinkToFit="1"/>
    </xf>
    <xf numFmtId="0" fontId="3" fillId="0" borderId="26" xfId="0" applyFont="1" applyBorder="1" applyAlignment="1">
      <alignment vertical="center" shrinkToFit="1"/>
    </xf>
    <xf numFmtId="176" fontId="3" fillId="0" borderId="26"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28" xfId="0" applyNumberFormat="1" applyFont="1" applyBorder="1" applyAlignment="1">
      <alignment vertical="center" shrinkToFit="1"/>
    </xf>
    <xf numFmtId="176" fontId="3" fillId="0" borderId="29" xfId="0" applyNumberFormat="1" applyFont="1" applyBorder="1" applyAlignment="1">
      <alignment vertical="center" shrinkToFit="1"/>
    </xf>
    <xf numFmtId="9" fontId="3" fillId="0" borderId="28" xfId="0" applyNumberFormat="1" applyFont="1" applyBorder="1" applyAlignment="1">
      <alignment vertical="center" shrinkToFit="1"/>
    </xf>
    <xf numFmtId="176" fontId="4" fillId="0" borderId="0" xfId="0" applyNumberFormat="1" applyFont="1" applyBorder="1" applyAlignment="1">
      <alignment vertical="center" shrinkToFit="1"/>
    </xf>
    <xf numFmtId="0" fontId="8" fillId="0" borderId="0" xfId="0" applyFont="1" applyAlignment="1">
      <alignment vertical="top" wrapText="1"/>
    </xf>
    <xf numFmtId="0" fontId="8" fillId="0" borderId="0" xfId="0" applyFont="1" applyAlignment="1">
      <alignment vertical="center" wrapText="1"/>
    </xf>
    <xf numFmtId="0" fontId="11" fillId="0" borderId="0" xfId="0" applyFont="1" applyAlignment="1">
      <alignment vertical="top" wrapText="1"/>
    </xf>
    <xf numFmtId="0" fontId="11" fillId="0" borderId="0" xfId="0" applyFont="1" applyAlignment="1">
      <alignment vertical="top" shrinkToFit="1"/>
    </xf>
    <xf numFmtId="0" fontId="11" fillId="0" borderId="0" xfId="0" applyFont="1" applyAlignment="1">
      <alignment vertical="center" wrapText="1"/>
    </xf>
    <xf numFmtId="0" fontId="8" fillId="0" borderId="0" xfId="0" applyFont="1" applyBorder="1" applyAlignment="1">
      <alignment vertical="center" shrinkToFit="1"/>
    </xf>
    <xf numFmtId="0" fontId="8" fillId="0" borderId="0" xfId="0" applyFont="1" applyBorder="1" applyAlignment="1">
      <alignment horizontal="center" vertical="center"/>
    </xf>
    <xf numFmtId="0" fontId="8" fillId="0" borderId="0" xfId="0" applyFont="1" applyAlignment="1">
      <alignment horizontal="center" vertical="center"/>
    </xf>
    <xf numFmtId="0" fontId="8" fillId="0" borderId="0" xfId="0" applyFont="1" applyAlignment="1">
      <alignment vertical="center" shrinkToFit="1"/>
    </xf>
    <xf numFmtId="0" fontId="8" fillId="0" borderId="2" xfId="0" applyFont="1" applyBorder="1" applyAlignment="1">
      <alignment vertical="center" shrinkToFit="1"/>
    </xf>
    <xf numFmtId="0" fontId="8" fillId="2" borderId="0" xfId="0" applyFont="1" applyFill="1" applyBorder="1">
      <alignment vertical="center"/>
    </xf>
    <xf numFmtId="176" fontId="8" fillId="2" borderId="0" xfId="0" applyNumberFormat="1" applyFont="1" applyFill="1" applyAlignment="1">
      <alignment horizontal="left" vertical="center" wrapText="1"/>
    </xf>
    <xf numFmtId="0" fontId="8" fillId="2" borderId="0" xfId="0" applyFont="1" applyFill="1" applyAlignment="1">
      <alignment vertical="center"/>
    </xf>
    <xf numFmtId="0" fontId="8" fillId="2" borderId="0" xfId="0" applyFont="1" applyFill="1" applyBorder="1" applyAlignment="1">
      <alignment vertical="center"/>
    </xf>
    <xf numFmtId="0" fontId="8" fillId="2" borderId="6" xfId="0" applyFont="1" applyFill="1" applyBorder="1" applyAlignment="1">
      <alignment vertical="center" shrinkToFit="1"/>
    </xf>
    <xf numFmtId="0" fontId="8" fillId="2" borderId="0" xfId="0" applyFont="1" applyFill="1" applyBorder="1" applyAlignment="1">
      <alignment horizontal="center" vertical="center" shrinkToFit="1"/>
    </xf>
    <xf numFmtId="0" fontId="8" fillId="2" borderId="0" xfId="0" applyFont="1" applyFill="1" applyBorder="1" applyAlignment="1">
      <alignment vertical="center" shrinkToFit="1"/>
    </xf>
    <xf numFmtId="0" fontId="8" fillId="0" borderId="5" xfId="0" applyFont="1" applyBorder="1" applyAlignment="1">
      <alignment vertical="center" shrinkToFit="1"/>
    </xf>
    <xf numFmtId="176" fontId="8" fillId="0" borderId="5" xfId="0" applyNumberFormat="1" applyFont="1" applyBorder="1" applyAlignment="1">
      <alignment vertical="center" shrinkToFit="1"/>
    </xf>
    <xf numFmtId="176" fontId="8" fillId="0" borderId="32" xfId="0" applyNumberFormat="1" applyFont="1" applyBorder="1" applyAlignment="1">
      <alignment vertical="center" shrinkToFit="1"/>
    </xf>
    <xf numFmtId="176" fontId="8" fillId="0" borderId="33" xfId="0" applyNumberFormat="1" applyFont="1" applyBorder="1" applyAlignment="1">
      <alignment vertical="center" shrinkToFit="1"/>
    </xf>
    <xf numFmtId="176" fontId="8" fillId="0" borderId="10" xfId="0" applyNumberFormat="1" applyFont="1" applyBorder="1" applyAlignment="1">
      <alignment vertical="center" shrinkToFit="1"/>
    </xf>
    <xf numFmtId="176" fontId="8" fillId="0" borderId="14" xfId="0" applyNumberFormat="1" applyFont="1" applyBorder="1" applyAlignment="1">
      <alignment vertical="center" shrinkToFit="1"/>
    </xf>
    <xf numFmtId="9" fontId="8" fillId="0" borderId="10" xfId="0" applyNumberFormat="1" applyFont="1" applyBorder="1" applyAlignment="1">
      <alignment vertical="center" shrinkToFit="1"/>
    </xf>
    <xf numFmtId="0" fontId="8" fillId="0" borderId="20" xfId="0" applyFont="1" applyBorder="1" applyAlignment="1">
      <alignment vertical="center" shrinkToFit="1"/>
    </xf>
    <xf numFmtId="176" fontId="8" fillId="0" borderId="20" xfId="0" applyNumberFormat="1" applyFont="1" applyBorder="1" applyAlignment="1">
      <alignment vertical="center" shrinkToFit="1"/>
    </xf>
    <xf numFmtId="176" fontId="8" fillId="0" borderId="34" xfId="0" applyNumberFormat="1" applyFont="1" applyBorder="1" applyAlignment="1">
      <alignment vertical="center" shrinkToFit="1"/>
    </xf>
    <xf numFmtId="176" fontId="8" fillId="0" borderId="35" xfId="0" applyNumberFormat="1" applyFont="1" applyBorder="1" applyAlignment="1">
      <alignment vertical="center" shrinkToFit="1"/>
    </xf>
    <xf numFmtId="176" fontId="8" fillId="0" borderId="19" xfId="0" applyNumberFormat="1" applyFont="1" applyBorder="1" applyAlignment="1">
      <alignment vertical="center" shrinkToFit="1"/>
    </xf>
    <xf numFmtId="176" fontId="8" fillId="0" borderId="24" xfId="0" applyNumberFormat="1" applyFont="1" applyBorder="1" applyAlignment="1">
      <alignment vertical="center" shrinkToFit="1"/>
    </xf>
    <xf numFmtId="0" fontId="8" fillId="0" borderId="10" xfId="0" applyFont="1" applyBorder="1" applyAlignment="1">
      <alignment vertical="center" shrinkToFit="1"/>
    </xf>
    <xf numFmtId="38" fontId="8" fillId="0" borderId="0" xfId="0" applyNumberFormat="1" applyFont="1">
      <alignment vertical="center"/>
    </xf>
    <xf numFmtId="0" fontId="8" fillId="2" borderId="0" xfId="0" applyFont="1" applyFill="1">
      <alignment vertical="center"/>
    </xf>
    <xf numFmtId="0" fontId="8" fillId="0" borderId="0" xfId="0" applyFont="1" applyFill="1">
      <alignment vertical="center"/>
    </xf>
    <xf numFmtId="0" fontId="8" fillId="0" borderId="11" xfId="0" applyFont="1" applyBorder="1" applyAlignment="1">
      <alignment horizontal="center" vertical="center"/>
    </xf>
    <xf numFmtId="0" fontId="8" fillId="0" borderId="2" xfId="0" applyFont="1" applyBorder="1" applyAlignment="1">
      <alignment horizontal="center" vertical="center" shrinkToFit="1"/>
    </xf>
    <xf numFmtId="0" fontId="8" fillId="0" borderId="1" xfId="0" applyFont="1" applyBorder="1" applyAlignment="1">
      <alignment vertical="center" wrapText="1"/>
    </xf>
    <xf numFmtId="0" fontId="11" fillId="0" borderId="0" xfId="0" applyFont="1">
      <alignment vertical="center"/>
    </xf>
    <xf numFmtId="0" fontId="11" fillId="0" borderId="10" xfId="0" applyFont="1" applyBorder="1" applyAlignment="1">
      <alignment vertical="top" wrapText="1"/>
    </xf>
    <xf numFmtId="0" fontId="11" fillId="0" borderId="5" xfId="0" applyFont="1" applyBorder="1" applyAlignment="1">
      <alignment vertical="top" wrapText="1"/>
    </xf>
    <xf numFmtId="0" fontId="8" fillId="0" borderId="17" xfId="0" applyFont="1" applyBorder="1">
      <alignment vertical="center"/>
    </xf>
    <xf numFmtId="0" fontId="11" fillId="0" borderId="21" xfId="0" applyFont="1" applyBorder="1" applyAlignment="1">
      <alignment vertical="top" wrapText="1"/>
    </xf>
    <xf numFmtId="0" fontId="11" fillId="0" borderId="19" xfId="0" applyFont="1" applyBorder="1" applyAlignment="1">
      <alignment vertical="top" wrapText="1"/>
    </xf>
    <xf numFmtId="0" fontId="11" fillId="0" borderId="21" xfId="0" applyFont="1" applyBorder="1" applyAlignment="1">
      <alignment vertical="top" shrinkToFit="1"/>
    </xf>
    <xf numFmtId="0" fontId="11" fillId="0" borderId="19" xfId="0" applyFont="1" applyBorder="1" applyAlignment="1">
      <alignment vertical="top" shrinkToFit="1"/>
    </xf>
    <xf numFmtId="0" fontId="13" fillId="0" borderId="0" xfId="2" applyNumberFormat="1" applyFont="1" applyBorder="1" applyAlignment="1">
      <alignment vertical="center" shrinkToFit="1"/>
    </xf>
    <xf numFmtId="0" fontId="11" fillId="0" borderId="0" xfId="0" applyFont="1" applyAlignment="1">
      <alignment vertical="center" shrinkToFit="1"/>
    </xf>
    <xf numFmtId="0" fontId="11" fillId="0" borderId="10" xfId="0" applyFont="1" applyBorder="1" applyAlignment="1">
      <alignment vertical="center" shrinkToFit="1"/>
    </xf>
    <xf numFmtId="0" fontId="8" fillId="0" borderId="2" xfId="0" applyFont="1" applyBorder="1" applyAlignment="1">
      <alignment horizontal="center" vertical="center" shrinkToFit="1"/>
    </xf>
    <xf numFmtId="0" fontId="8" fillId="0" borderId="2" xfId="0" applyFont="1" applyBorder="1" applyAlignment="1">
      <alignment vertical="center" shrinkToFit="1"/>
    </xf>
    <xf numFmtId="0" fontId="8" fillId="0" borderId="2" xfId="0" applyFont="1" applyBorder="1" applyAlignment="1">
      <alignment vertical="center" shrinkToFit="1"/>
    </xf>
    <xf numFmtId="0" fontId="8" fillId="0" borderId="2" xfId="0" applyFont="1" applyBorder="1" applyAlignment="1">
      <alignment vertical="center" shrinkToFit="1"/>
    </xf>
    <xf numFmtId="49" fontId="12" fillId="0" borderId="2" xfId="2" applyNumberFormat="1" applyFon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0" xfId="0" applyFont="1" applyBorder="1" applyAlignment="1">
      <alignment horizontal="center" vertical="center"/>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4" xfId="0" applyFont="1" applyBorder="1" applyAlignment="1">
      <alignment horizontal="center"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2" borderId="0" xfId="0" applyFont="1" applyFill="1" applyBorder="1" applyAlignment="1">
      <alignment horizontal="right" vertical="center" shrinkToFit="1"/>
    </xf>
    <xf numFmtId="0" fontId="8" fillId="2" borderId="2" xfId="0" applyFont="1" applyFill="1" applyBorder="1" applyAlignment="1">
      <alignment horizontal="center" vertical="center" shrinkToFit="1"/>
    </xf>
    <xf numFmtId="0" fontId="8" fillId="2" borderId="3" xfId="0" applyFont="1" applyFill="1" applyBorder="1" applyAlignment="1">
      <alignment horizontal="center" vertical="center" shrinkToFit="1"/>
    </xf>
    <xf numFmtId="0" fontId="8" fillId="2" borderId="4" xfId="0" applyFont="1" applyFill="1" applyBorder="1" applyAlignment="1">
      <alignment horizontal="center" vertical="center" shrinkToFit="1"/>
    </xf>
    <xf numFmtId="0" fontId="8" fillId="2" borderId="5" xfId="0" applyFont="1" applyFill="1" applyBorder="1" applyAlignment="1">
      <alignment horizontal="right" vertical="center" shrinkToFit="1"/>
    </xf>
    <xf numFmtId="0" fontId="8" fillId="2" borderId="10" xfId="0" applyFont="1" applyFill="1" applyBorder="1" applyAlignment="1">
      <alignment horizontal="right" vertical="center" shrinkToFit="1"/>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8" fillId="0" borderId="0" xfId="0" applyFont="1" applyBorder="1" applyAlignment="1">
      <alignment horizontal="center" vertical="center" shrinkToFit="1"/>
    </xf>
    <xf numFmtId="0" fontId="8" fillId="0" borderId="0" xfId="0" applyFont="1" applyAlignment="1">
      <alignment horizontal="center" vertical="center"/>
    </xf>
    <xf numFmtId="0" fontId="8" fillId="0" borderId="4" xfId="0" applyFont="1" applyBorder="1" applyAlignment="1">
      <alignment vertical="center" shrinkToFit="1"/>
    </xf>
    <xf numFmtId="0" fontId="8" fillId="0" borderId="0" xfId="0" applyFont="1" applyBorder="1" applyAlignment="1">
      <alignment vertical="center" shrinkToFit="1"/>
    </xf>
    <xf numFmtId="38" fontId="8" fillId="0" borderId="2" xfId="1" applyFont="1" applyBorder="1" applyAlignment="1">
      <alignment horizontal="center" vertical="center"/>
    </xf>
    <xf numFmtId="38" fontId="8" fillId="0" borderId="3" xfId="1" applyFont="1" applyBorder="1" applyAlignment="1">
      <alignment horizontal="center" vertical="center"/>
    </xf>
    <xf numFmtId="38" fontId="8" fillId="0" borderId="4" xfId="1" applyFont="1" applyBorder="1" applyAlignment="1">
      <alignment horizontal="center"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0" xfId="0" applyFont="1" applyAlignment="1">
      <alignment vertical="center" shrinkToFit="1"/>
    </xf>
    <xf numFmtId="0" fontId="8" fillId="0" borderId="1" xfId="0" applyFont="1" applyBorder="1" applyAlignment="1">
      <alignment horizontal="center" vertical="center"/>
    </xf>
    <xf numFmtId="0" fontId="8" fillId="0" borderId="1" xfId="0" applyFont="1" applyBorder="1" applyAlignment="1">
      <alignment horizontal="center" vertical="center" shrinkToFit="1"/>
    </xf>
    <xf numFmtId="0" fontId="8" fillId="0" borderId="2" xfId="0" applyFont="1" applyBorder="1" applyAlignment="1">
      <alignment vertical="center" wrapText="1" shrinkToFit="1"/>
    </xf>
    <xf numFmtId="0" fontId="14"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8" fillId="0" borderId="7" xfId="0" applyFont="1" applyBorder="1" applyAlignment="1">
      <alignment vertical="top" wrapText="1"/>
    </xf>
    <xf numFmtId="0" fontId="8" fillId="0" borderId="8" xfId="0" applyFont="1" applyBorder="1" applyAlignment="1">
      <alignment vertical="top" wrapText="1"/>
    </xf>
    <xf numFmtId="0" fontId="8" fillId="0" borderId="9" xfId="0" applyFont="1" applyBorder="1" applyAlignment="1">
      <alignment vertical="top" wrapText="1"/>
    </xf>
    <xf numFmtId="0" fontId="8" fillId="0" borderId="5" xfId="0" applyFont="1" applyBorder="1" applyAlignment="1">
      <alignment vertical="top" wrapText="1"/>
    </xf>
    <xf numFmtId="0" fontId="8" fillId="0" borderId="0" xfId="0" applyFont="1" applyBorder="1" applyAlignment="1">
      <alignment vertical="top" wrapText="1"/>
    </xf>
    <xf numFmtId="0" fontId="8" fillId="0" borderId="10" xfId="0" applyFont="1" applyBorder="1" applyAlignment="1">
      <alignment vertical="top" wrapText="1"/>
    </xf>
    <xf numFmtId="0" fontId="8" fillId="0" borderId="11" xfId="0" applyFont="1" applyBorder="1" applyAlignment="1">
      <alignment vertical="top" wrapText="1"/>
    </xf>
    <xf numFmtId="0" fontId="8" fillId="0" borderId="6" xfId="0" applyFont="1" applyBorder="1" applyAlignment="1">
      <alignment vertical="top" wrapText="1"/>
    </xf>
    <xf numFmtId="0" fontId="8" fillId="0" borderId="12" xfId="0" applyFont="1" applyBorder="1" applyAlignment="1">
      <alignment vertical="top" wrapText="1"/>
    </xf>
    <xf numFmtId="0" fontId="2" fillId="0" borderId="0" xfId="0" applyFont="1" applyAlignment="1">
      <alignment horizontal="right" vertical="center"/>
    </xf>
    <xf numFmtId="0" fontId="7" fillId="0" borderId="7" xfId="0" applyFont="1" applyBorder="1" applyAlignment="1">
      <alignment horizontal="center" vertical="center" wrapText="1"/>
    </xf>
    <xf numFmtId="0" fontId="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8" xfId="0" applyFont="1" applyBorder="1" applyAlignment="1">
      <alignment horizontal="center" vertical="center"/>
    </xf>
    <xf numFmtId="0" fontId="9" fillId="0" borderId="16" xfId="0" applyFont="1" applyBorder="1" applyAlignment="1">
      <alignment horizontal="center" vertical="center" wrapText="1"/>
    </xf>
    <xf numFmtId="0" fontId="9" fillId="0" borderId="13" xfId="0" applyFont="1" applyBorder="1" applyAlignment="1">
      <alignment horizontal="center" vertical="center"/>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3" fillId="0" borderId="0" xfId="0" applyFont="1" applyAlignment="1">
      <alignment horizontal="center" vertical="center"/>
    </xf>
    <xf numFmtId="0" fontId="3" fillId="0" borderId="26" xfId="0" applyFont="1" applyBorder="1" applyAlignment="1">
      <alignment horizontal="center" vertical="center" shrinkToFit="1"/>
    </xf>
    <xf numFmtId="0" fontId="3" fillId="0" borderId="27"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8" fillId="0" borderId="20" xfId="0" applyFont="1" applyBorder="1" applyAlignment="1">
      <alignment vertical="center" shrinkToFit="1"/>
    </xf>
    <xf numFmtId="0" fontId="8" fillId="0" borderId="19" xfId="0" applyFont="1" applyBorder="1" applyAlignment="1">
      <alignment vertical="center" shrinkToFit="1"/>
    </xf>
    <xf numFmtId="0" fontId="3" fillId="0" borderId="39" xfId="0" applyFont="1" applyBorder="1" applyAlignment="1">
      <alignment vertical="center" shrinkToFit="1"/>
    </xf>
    <xf numFmtId="0" fontId="3" fillId="0" borderId="40" xfId="0" applyFont="1" applyBorder="1" applyAlignment="1">
      <alignment vertical="center" shrinkToFit="1"/>
    </xf>
    <xf numFmtId="0" fontId="8" fillId="0" borderId="15" xfId="0" applyFont="1" applyBorder="1" applyAlignment="1">
      <alignment vertical="center" shrinkToFit="1"/>
    </xf>
    <xf numFmtId="0" fontId="8" fillId="0" borderId="38" xfId="0" applyFont="1" applyBorder="1" applyAlignment="1">
      <alignment vertical="center" shrinkToFit="1"/>
    </xf>
    <xf numFmtId="0" fontId="8" fillId="0" borderId="7" xfId="0" applyFont="1" applyBorder="1" applyAlignment="1">
      <alignment horizontal="left" vertical="top" wrapText="1" shrinkToFit="1"/>
    </xf>
    <xf numFmtId="0" fontId="8" fillId="0" borderId="8" xfId="0" applyFont="1" applyBorder="1" applyAlignment="1">
      <alignment horizontal="left" vertical="top" wrapText="1" shrinkToFit="1"/>
    </xf>
    <xf numFmtId="0" fontId="8" fillId="0" borderId="9" xfId="0" applyFont="1" applyBorder="1" applyAlignment="1">
      <alignment horizontal="left" vertical="top" wrapText="1" shrinkToFit="1"/>
    </xf>
    <xf numFmtId="0" fontId="8" fillId="0" borderId="5" xfId="0" applyFont="1" applyBorder="1" applyAlignment="1">
      <alignment horizontal="left" vertical="top" wrapText="1" shrinkToFit="1"/>
    </xf>
    <xf numFmtId="0" fontId="8" fillId="0" borderId="0" xfId="0" applyFont="1" applyBorder="1" applyAlignment="1">
      <alignment horizontal="left" vertical="top" wrapText="1" shrinkToFit="1"/>
    </xf>
    <xf numFmtId="0" fontId="8" fillId="0" borderId="10" xfId="0" applyFont="1" applyBorder="1" applyAlignment="1">
      <alignment horizontal="left" vertical="top" wrapText="1" shrinkToFit="1"/>
    </xf>
    <xf numFmtId="0" fontId="8" fillId="0" borderId="11" xfId="0" applyFont="1" applyBorder="1" applyAlignment="1">
      <alignment horizontal="left" vertical="top" wrapText="1" shrinkToFit="1"/>
    </xf>
    <xf numFmtId="0" fontId="8" fillId="0" borderId="6" xfId="0" applyFont="1" applyBorder="1" applyAlignment="1">
      <alignment horizontal="left" vertical="top" wrapText="1" shrinkToFit="1"/>
    </xf>
    <xf numFmtId="0" fontId="8" fillId="0" borderId="12" xfId="0" applyFont="1" applyBorder="1" applyAlignment="1">
      <alignment horizontal="left" vertical="top" wrapText="1" shrinkToFit="1"/>
    </xf>
    <xf numFmtId="0" fontId="8" fillId="0" borderId="16" xfId="0" applyFont="1" applyBorder="1" applyAlignment="1">
      <alignment vertical="center" wrapText="1"/>
    </xf>
    <xf numFmtId="0" fontId="8" fillId="0" borderId="41" xfId="0" applyFont="1" applyBorder="1" applyAlignment="1">
      <alignment vertical="center"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6" xfId="0" applyFont="1" applyBorder="1" applyAlignment="1">
      <alignment horizontal="left" vertical="top" wrapText="1"/>
    </xf>
    <xf numFmtId="0" fontId="8" fillId="0" borderId="12" xfId="0" applyFont="1" applyBorder="1" applyAlignment="1">
      <alignment horizontal="left" vertical="top" wrapText="1"/>
    </xf>
    <xf numFmtId="0" fontId="8" fillId="0" borderId="13" xfId="0" applyFont="1" applyBorder="1" applyAlignment="1">
      <alignment vertical="center" wrapText="1"/>
    </xf>
    <xf numFmtId="0" fontId="8" fillId="0" borderId="7" xfId="0" applyFont="1" applyBorder="1" applyAlignment="1">
      <alignment horizontal="left" vertical="center" wrapText="1" shrinkToFit="1"/>
    </xf>
    <xf numFmtId="0" fontId="8" fillId="0" borderId="8"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10" xfId="0" applyFont="1" applyBorder="1" applyAlignment="1">
      <alignment horizontal="left" vertical="center" shrinkToFit="1"/>
    </xf>
    <xf numFmtId="0" fontId="8" fillId="0" borderId="11" xfId="0" applyFont="1" applyBorder="1" applyAlignment="1">
      <alignment horizontal="left" vertical="center" shrinkToFit="1"/>
    </xf>
    <xf numFmtId="0" fontId="8" fillId="0" borderId="6" xfId="0" applyFont="1" applyBorder="1" applyAlignment="1">
      <alignment horizontal="left" vertical="center" shrinkToFit="1"/>
    </xf>
    <xf numFmtId="0" fontId="8" fillId="0" borderId="12" xfId="0" applyFont="1" applyBorder="1" applyAlignment="1">
      <alignment horizontal="left" vertical="center" shrinkToFit="1"/>
    </xf>
    <xf numFmtId="0" fontId="6" fillId="0" borderId="2" xfId="2" applyBorder="1" applyAlignment="1">
      <alignment vertical="center" shrinkToFit="1"/>
    </xf>
    <xf numFmtId="0" fontId="13" fillId="0" borderId="7" xfId="0" applyFont="1" applyFill="1" applyBorder="1" applyAlignment="1">
      <alignment vertical="top" wrapText="1" shrinkToFit="1"/>
    </xf>
    <xf numFmtId="0" fontId="13" fillId="0" borderId="8" xfId="0" applyFont="1" applyFill="1" applyBorder="1" applyAlignment="1">
      <alignment vertical="top" shrinkToFit="1"/>
    </xf>
    <xf numFmtId="0" fontId="13" fillId="0" borderId="9" xfId="0" applyFont="1" applyFill="1" applyBorder="1" applyAlignment="1">
      <alignment vertical="top" shrinkToFit="1"/>
    </xf>
    <xf numFmtId="0" fontId="13" fillId="0" borderId="5" xfId="0" applyFont="1" applyFill="1" applyBorder="1" applyAlignment="1">
      <alignment vertical="top" shrinkToFit="1"/>
    </xf>
    <xf numFmtId="0" fontId="13" fillId="0" borderId="0" xfId="0" applyFont="1" applyFill="1" applyAlignment="1">
      <alignment vertical="top" shrinkToFit="1"/>
    </xf>
    <xf numFmtId="0" fontId="13" fillId="0" borderId="10" xfId="0" applyFont="1" applyFill="1" applyBorder="1" applyAlignment="1">
      <alignment vertical="top" shrinkToFit="1"/>
    </xf>
    <xf numFmtId="0" fontId="13" fillId="0" borderId="11" xfId="0" applyFont="1" applyFill="1" applyBorder="1" applyAlignment="1">
      <alignment vertical="top" shrinkToFit="1"/>
    </xf>
    <xf numFmtId="0" fontId="13" fillId="0" borderId="6" xfId="0" applyFont="1" applyFill="1" applyBorder="1" applyAlignment="1">
      <alignment vertical="top" shrinkToFit="1"/>
    </xf>
    <xf numFmtId="0" fontId="13" fillId="0" borderId="12" xfId="0" applyFont="1" applyFill="1" applyBorder="1" applyAlignment="1">
      <alignment vertical="top"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13" fillId="0" borderId="7" xfId="0" applyFont="1" applyBorder="1" applyAlignment="1">
      <alignment vertical="top" wrapText="1" shrinkToFit="1"/>
    </xf>
    <xf numFmtId="0" fontId="13" fillId="0" borderId="8" xfId="0" applyFont="1" applyBorder="1" applyAlignment="1">
      <alignment vertical="top" shrinkToFit="1"/>
    </xf>
    <xf numFmtId="0" fontId="13" fillId="0" borderId="9" xfId="0" applyFont="1" applyBorder="1" applyAlignment="1">
      <alignment vertical="top" shrinkToFit="1"/>
    </xf>
    <xf numFmtId="0" fontId="13" fillId="0" borderId="5" xfId="0" applyFont="1" applyBorder="1" applyAlignment="1">
      <alignment vertical="top" shrinkToFit="1"/>
    </xf>
    <xf numFmtId="0" fontId="13" fillId="0" borderId="0" xfId="0" applyFont="1" applyAlignment="1">
      <alignment vertical="top" shrinkToFit="1"/>
    </xf>
    <xf numFmtId="0" fontId="13" fillId="0" borderId="10" xfId="0" applyFont="1" applyBorder="1" applyAlignment="1">
      <alignment vertical="top" shrinkToFit="1"/>
    </xf>
    <xf numFmtId="0" fontId="13" fillId="0" borderId="11" xfId="0" applyFont="1" applyBorder="1" applyAlignment="1">
      <alignment vertical="top" shrinkToFit="1"/>
    </xf>
    <xf numFmtId="0" fontId="13" fillId="0" borderId="6" xfId="0" applyFont="1" applyBorder="1" applyAlignment="1">
      <alignment vertical="top" shrinkToFit="1"/>
    </xf>
    <xf numFmtId="0" fontId="13" fillId="0" borderId="12" xfId="0" applyFont="1" applyBorder="1" applyAlignment="1">
      <alignment vertical="top" shrinkToFit="1"/>
    </xf>
    <xf numFmtId="0" fontId="13" fillId="0" borderId="8" xfId="0" applyFont="1" applyBorder="1" applyAlignment="1">
      <alignment vertical="top" wrapText="1" shrinkToFit="1"/>
    </xf>
    <xf numFmtId="0" fontId="13" fillId="0" borderId="9" xfId="0" applyFont="1" applyBorder="1" applyAlignment="1">
      <alignment vertical="top" wrapText="1" shrinkToFit="1"/>
    </xf>
    <xf numFmtId="0" fontId="13" fillId="0" borderId="5" xfId="0" applyFont="1" applyBorder="1" applyAlignment="1">
      <alignment vertical="top" wrapText="1" shrinkToFit="1"/>
    </xf>
    <xf numFmtId="0" fontId="13" fillId="0" borderId="0" xfId="0" applyFont="1" applyAlignment="1">
      <alignment vertical="top" wrapText="1" shrinkToFit="1"/>
    </xf>
    <xf numFmtId="0" fontId="13" fillId="0" borderId="10" xfId="0" applyFont="1" applyBorder="1" applyAlignment="1">
      <alignment vertical="top" wrapText="1" shrinkToFit="1"/>
    </xf>
    <xf numFmtId="0" fontId="13" fillId="0" borderId="11" xfId="0" applyFont="1" applyBorder="1" applyAlignment="1">
      <alignment vertical="top" wrapText="1" shrinkToFit="1"/>
    </xf>
    <xf numFmtId="0" fontId="13" fillId="0" borderId="6" xfId="0" applyFont="1" applyBorder="1" applyAlignment="1">
      <alignment vertical="top" wrapText="1" shrinkToFit="1"/>
    </xf>
    <xf numFmtId="0" fontId="13" fillId="0" borderId="12" xfId="0" applyFont="1" applyBorder="1" applyAlignment="1">
      <alignment vertical="top" wrapText="1" shrinkToFit="1"/>
    </xf>
    <xf numFmtId="0" fontId="8" fillId="0" borderId="6" xfId="0" applyFont="1" applyBorder="1">
      <alignment vertical="center"/>
    </xf>
    <xf numFmtId="0" fontId="8" fillId="0" borderId="22" xfId="0" applyFont="1" applyBorder="1" applyAlignment="1">
      <alignment vertical="center" wrapText="1"/>
    </xf>
    <xf numFmtId="0" fontId="8" fillId="0" borderId="23" xfId="0" applyFont="1" applyBorder="1" applyAlignment="1">
      <alignment vertical="center" wrapText="1"/>
    </xf>
    <xf numFmtId="0" fontId="8" fillId="0" borderId="21" xfId="0" applyFont="1" applyBorder="1" applyAlignment="1">
      <alignment vertical="top" wrapText="1" shrinkToFit="1"/>
    </xf>
    <xf numFmtId="0" fontId="8" fillId="0" borderId="19" xfId="0" applyFont="1" applyBorder="1" applyAlignment="1">
      <alignment vertical="top" wrapText="1" shrinkToFit="1"/>
    </xf>
    <xf numFmtId="0" fontId="6" fillId="0" borderId="2" xfId="2" applyBorder="1" applyAlignment="1">
      <alignment horizontal="left" vertical="center" shrinkToFit="1"/>
    </xf>
    <xf numFmtId="0" fontId="11" fillId="0" borderId="3" xfId="0" applyFont="1" applyBorder="1" applyAlignment="1">
      <alignment horizontal="left" vertical="center" shrinkToFit="1"/>
    </xf>
    <xf numFmtId="0" fontId="11" fillId="0" borderId="4" xfId="0" applyFont="1" applyBorder="1" applyAlignment="1">
      <alignment horizontal="left" vertical="center" shrinkToFit="1"/>
    </xf>
    <xf numFmtId="0" fontId="8" fillId="0" borderId="20" xfId="0" applyFont="1" applyBorder="1" applyAlignment="1">
      <alignment vertical="center" wrapText="1"/>
    </xf>
    <xf numFmtId="0" fontId="8" fillId="0" borderId="21" xfId="0" applyFont="1" applyBorder="1" applyAlignment="1">
      <alignment vertical="center" wrapText="1"/>
    </xf>
    <xf numFmtId="0" fontId="8" fillId="0" borderId="19" xfId="0" applyFont="1" applyBorder="1" applyAlignment="1">
      <alignment vertical="center" wrapText="1"/>
    </xf>
    <xf numFmtId="0" fontId="8" fillId="0" borderId="11" xfId="0" applyFont="1" applyBorder="1" applyAlignment="1">
      <alignment vertical="center" wrapText="1"/>
    </xf>
    <xf numFmtId="0" fontId="8" fillId="0" borderId="6" xfId="0" applyFont="1" applyBorder="1" applyAlignment="1">
      <alignment vertical="center" wrapText="1"/>
    </xf>
    <xf numFmtId="0" fontId="8" fillId="0" borderId="12" xfId="0" applyFont="1" applyBorder="1" applyAlignment="1">
      <alignment vertical="center" wrapText="1"/>
    </xf>
    <xf numFmtId="0" fontId="8" fillId="0" borderId="20" xfId="0" applyFont="1" applyBorder="1" applyAlignment="1">
      <alignment vertical="top" wrapText="1" shrinkToFit="1"/>
    </xf>
    <xf numFmtId="0" fontId="8" fillId="0" borderId="18" xfId="0" applyFont="1" applyBorder="1" applyAlignment="1">
      <alignment vertical="center" wrapText="1"/>
    </xf>
    <xf numFmtId="0" fontId="8" fillId="0" borderId="18" xfId="0" applyFont="1" applyBorder="1">
      <alignment vertical="center"/>
    </xf>
    <xf numFmtId="0" fontId="13" fillId="0" borderId="19" xfId="0" applyFont="1" applyBorder="1">
      <alignment vertical="center"/>
    </xf>
    <xf numFmtId="0" fontId="8" fillId="2" borderId="20" xfId="0" applyFont="1" applyFill="1" applyBorder="1" applyAlignment="1">
      <alignment vertical="top" wrapText="1" shrinkToFit="1"/>
    </xf>
    <xf numFmtId="0" fontId="8" fillId="2" borderId="21" xfId="0" applyFont="1" applyFill="1" applyBorder="1" applyAlignment="1">
      <alignment vertical="top" wrapText="1" shrinkToFit="1"/>
    </xf>
    <xf numFmtId="0" fontId="8" fillId="2" borderId="19" xfId="0" applyFont="1" applyFill="1" applyBorder="1" applyAlignment="1">
      <alignment vertical="top" wrapText="1" shrinkToFit="1"/>
    </xf>
    <xf numFmtId="0" fontId="11" fillId="0" borderId="0" xfId="0" applyFont="1" applyAlignment="1">
      <alignment vertical="top" wrapTex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kikaku@acs.u-ryuky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ged.skr.u-ryukyu.ac.jp/ds_literacy"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ged.skr.u-ryukyu.ac.jp/wp-content/uploads/2021/07/f17ac2bb51161d20d0f45ac2bbe4ff2e.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47"/>
  <sheetViews>
    <sheetView tabSelected="1" zoomScaleNormal="100" workbookViewId="0">
      <selection activeCell="V16" sqref="V16"/>
    </sheetView>
  </sheetViews>
  <sheetFormatPr defaultColWidth="9" defaultRowHeight="18.75" customHeight="1" x14ac:dyDescent="0.15"/>
  <cols>
    <col min="1" max="1" width="2.5" style="5" customWidth="1"/>
    <col min="2" max="2" width="12.5" style="5" customWidth="1"/>
    <col min="3" max="8" width="6.125" style="5" customWidth="1"/>
    <col min="9" max="9" width="2.5" style="5" customWidth="1"/>
    <col min="10" max="10" width="10" style="5" customWidth="1"/>
    <col min="11" max="11" width="2.5" style="5" customWidth="1"/>
    <col min="12" max="12" width="7.5" style="5" customWidth="1"/>
    <col min="13" max="13" width="2.5" style="5" customWidth="1"/>
    <col min="14" max="14" width="7.5" style="5" customWidth="1"/>
    <col min="15" max="16384" width="9" style="5"/>
  </cols>
  <sheetData>
    <row r="1" spans="1:14" ht="22.5" customHeight="1" x14ac:dyDescent="0.15">
      <c r="M1" s="126" t="s">
        <v>28</v>
      </c>
      <c r="N1" s="126"/>
    </row>
    <row r="2" spans="1:14" ht="22.5" customHeight="1" x14ac:dyDescent="0.15">
      <c r="A2" s="131" t="s">
        <v>127</v>
      </c>
      <c r="B2" s="131"/>
      <c r="C2" s="131"/>
      <c r="D2" s="131"/>
      <c r="E2" s="131"/>
      <c r="F2" s="131"/>
      <c r="G2" s="131"/>
      <c r="H2" s="131"/>
      <c r="I2" s="131"/>
      <c r="J2" s="131"/>
      <c r="K2" s="131"/>
      <c r="L2" s="131"/>
      <c r="M2" s="131"/>
      <c r="N2" s="131"/>
    </row>
    <row r="3" spans="1:14" ht="22.5" customHeight="1" x14ac:dyDescent="0.15"/>
    <row r="4" spans="1:14" ht="22.5" customHeight="1" x14ac:dyDescent="0.15">
      <c r="A4" s="5" t="s">
        <v>7</v>
      </c>
      <c r="B4" s="6" t="s">
        <v>19</v>
      </c>
      <c r="C4" s="110" t="s">
        <v>211</v>
      </c>
      <c r="D4" s="111"/>
      <c r="E4" s="111"/>
      <c r="F4" s="111"/>
      <c r="G4" s="111"/>
      <c r="H4" s="111"/>
      <c r="I4" s="111"/>
      <c r="J4" s="111"/>
      <c r="K4" s="111"/>
      <c r="L4" s="111"/>
      <c r="M4" s="111"/>
      <c r="N4" s="112"/>
    </row>
    <row r="5" spans="1:14" ht="7.5" customHeight="1" x14ac:dyDescent="0.15">
      <c r="B5" s="6"/>
      <c r="C5" s="6"/>
      <c r="D5" s="6"/>
      <c r="E5" s="7"/>
      <c r="F5" s="56"/>
      <c r="G5" s="56"/>
      <c r="H5" s="56"/>
      <c r="I5" s="56"/>
      <c r="J5" s="56"/>
      <c r="K5" s="56"/>
      <c r="L5" s="56"/>
      <c r="M5" s="56"/>
      <c r="N5" s="56"/>
    </row>
    <row r="6" spans="1:14" ht="22.5" customHeight="1" x14ac:dyDescent="0.15">
      <c r="A6" s="5" t="s">
        <v>54</v>
      </c>
      <c r="B6" s="6" t="s">
        <v>55</v>
      </c>
      <c r="C6" s="6"/>
      <c r="D6" s="110" t="s">
        <v>186</v>
      </c>
      <c r="E6" s="111"/>
      <c r="F6" s="111"/>
      <c r="G6" s="111"/>
      <c r="H6" s="111"/>
      <c r="I6" s="111"/>
      <c r="J6" s="111"/>
      <c r="K6" s="111"/>
      <c r="L6" s="111"/>
      <c r="M6" s="111"/>
      <c r="N6" s="112"/>
    </row>
    <row r="7" spans="1:14" ht="7.5" customHeight="1" x14ac:dyDescent="0.15">
      <c r="B7" s="6"/>
      <c r="C7" s="6"/>
      <c r="D7" s="6"/>
      <c r="E7" s="7"/>
      <c r="F7" s="56"/>
      <c r="G7" s="56"/>
      <c r="H7" s="56"/>
      <c r="I7" s="56"/>
      <c r="J7" s="56"/>
      <c r="K7" s="56"/>
      <c r="L7" s="56"/>
      <c r="M7" s="56"/>
      <c r="N7" s="56"/>
    </row>
    <row r="8" spans="1:14" ht="22.5" customHeight="1" x14ac:dyDescent="0.15">
      <c r="A8" s="8" t="s">
        <v>13</v>
      </c>
      <c r="B8" s="9" t="s">
        <v>56</v>
      </c>
      <c r="C8" s="110" t="s">
        <v>129</v>
      </c>
      <c r="D8" s="111"/>
      <c r="E8" s="112"/>
      <c r="F8" s="56"/>
      <c r="G8" s="130"/>
      <c r="H8" s="130"/>
      <c r="I8" s="130"/>
      <c r="J8" s="56"/>
      <c r="K8" s="56"/>
      <c r="L8" s="56"/>
      <c r="M8" s="56"/>
      <c r="N8" s="56"/>
    </row>
    <row r="9" spans="1:14" ht="7.5" customHeight="1" x14ac:dyDescent="0.15">
      <c r="B9" s="6"/>
      <c r="C9" s="6"/>
      <c r="D9" s="6"/>
      <c r="E9" s="7"/>
      <c r="F9" s="56"/>
      <c r="G9" s="56"/>
      <c r="H9" s="56"/>
      <c r="I9" s="56"/>
      <c r="J9" s="56"/>
      <c r="K9" s="56"/>
      <c r="L9" s="56"/>
      <c r="M9" s="56"/>
      <c r="N9" s="56"/>
    </row>
    <row r="10" spans="1:14" ht="22.5" customHeight="1" x14ac:dyDescent="0.15">
      <c r="A10" s="5" t="s">
        <v>16</v>
      </c>
      <c r="B10" s="6" t="s">
        <v>51</v>
      </c>
      <c r="C10" s="110" t="s">
        <v>198</v>
      </c>
      <c r="D10" s="111"/>
      <c r="E10" s="111"/>
      <c r="F10" s="111"/>
      <c r="G10" s="111"/>
      <c r="H10" s="111"/>
      <c r="I10" s="111"/>
      <c r="J10" s="111"/>
      <c r="K10" s="111"/>
      <c r="L10" s="111"/>
      <c r="M10" s="111"/>
      <c r="N10" s="112"/>
    </row>
    <row r="11" spans="1:14" ht="7.5" customHeight="1" x14ac:dyDescent="0.15">
      <c r="B11" s="6"/>
      <c r="C11" s="6"/>
      <c r="D11" s="6"/>
      <c r="E11" s="7"/>
      <c r="F11" s="56"/>
      <c r="G11" s="56"/>
      <c r="H11" s="56"/>
      <c r="I11" s="56"/>
      <c r="J11" s="56"/>
      <c r="K11" s="56"/>
      <c r="L11" s="56"/>
      <c r="M11" s="56"/>
      <c r="N11" s="56"/>
    </row>
    <row r="12" spans="1:14" ht="22.5" customHeight="1" x14ac:dyDescent="0.15">
      <c r="A12" s="5" t="s">
        <v>14</v>
      </c>
      <c r="B12" s="6" t="s">
        <v>123</v>
      </c>
      <c r="C12" s="6"/>
      <c r="D12" s="6"/>
      <c r="E12" s="56"/>
      <c r="F12" s="81"/>
      <c r="G12" s="115" t="s">
        <v>130</v>
      </c>
      <c r="H12" s="116"/>
      <c r="I12" s="116"/>
      <c r="J12" s="116"/>
      <c r="K12" s="116"/>
      <c r="L12" s="116"/>
      <c r="M12" s="116"/>
      <c r="N12" s="132"/>
    </row>
    <row r="13" spans="1:14" ht="7.5" customHeight="1" x14ac:dyDescent="0.15">
      <c r="B13" s="7"/>
      <c r="C13" s="7"/>
      <c r="D13" s="7"/>
      <c r="E13" s="7"/>
      <c r="F13" s="56"/>
      <c r="G13" s="56"/>
      <c r="H13" s="56"/>
      <c r="I13" s="56"/>
      <c r="J13" s="56"/>
      <c r="K13" s="56"/>
      <c r="L13" s="56"/>
      <c r="M13" s="56"/>
      <c r="N13" s="56"/>
    </row>
    <row r="14" spans="1:14" ht="22.5" customHeight="1" x14ac:dyDescent="0.15">
      <c r="A14" s="5" t="s">
        <v>66</v>
      </c>
      <c r="B14" s="7" t="s">
        <v>67</v>
      </c>
      <c r="C14" s="7"/>
      <c r="D14" s="7"/>
      <c r="E14" s="7"/>
      <c r="F14" s="110" t="s">
        <v>128</v>
      </c>
      <c r="G14" s="111"/>
      <c r="H14" s="112"/>
      <c r="I14" s="56"/>
      <c r="J14" s="56"/>
      <c r="K14" s="56"/>
      <c r="L14" s="56"/>
      <c r="M14" s="56"/>
      <c r="N14" s="56"/>
    </row>
    <row r="15" spans="1:14" ht="7.5" customHeight="1" x14ac:dyDescent="0.15">
      <c r="B15" s="7"/>
      <c r="C15" s="7"/>
      <c r="D15" s="7"/>
      <c r="E15" s="7"/>
      <c r="F15" s="56"/>
      <c r="G15" s="56"/>
      <c r="H15" s="56"/>
      <c r="I15" s="56"/>
      <c r="J15" s="56"/>
      <c r="K15" s="56"/>
      <c r="L15" s="56"/>
      <c r="M15" s="56"/>
      <c r="N15" s="56"/>
    </row>
    <row r="16" spans="1:14" ht="22.5" customHeight="1" x14ac:dyDescent="0.15">
      <c r="A16" s="5" t="s">
        <v>15</v>
      </c>
      <c r="B16" s="5" t="s">
        <v>0</v>
      </c>
      <c r="C16" s="127" t="s">
        <v>6</v>
      </c>
      <c r="D16" s="128"/>
      <c r="E16" s="113">
        <v>826</v>
      </c>
      <c r="F16" s="114"/>
      <c r="G16" s="10" t="s">
        <v>10</v>
      </c>
      <c r="I16" s="127" t="s">
        <v>11</v>
      </c>
      <c r="J16" s="128"/>
      <c r="K16" s="113">
        <v>383</v>
      </c>
      <c r="L16" s="129"/>
      <c r="M16" s="114"/>
      <c r="N16" s="11" t="s">
        <v>10</v>
      </c>
    </row>
    <row r="17" spans="1:15" ht="7.5" customHeight="1" x14ac:dyDescent="0.15">
      <c r="F17" s="12"/>
      <c r="G17" s="12"/>
      <c r="H17" s="12"/>
      <c r="I17" s="12"/>
      <c r="J17" s="12"/>
      <c r="K17" s="12"/>
      <c r="L17" s="12"/>
      <c r="M17" s="11"/>
      <c r="N17" s="11"/>
    </row>
    <row r="18" spans="1:15" ht="22.5" customHeight="1" x14ac:dyDescent="0.15">
      <c r="A18" s="5" t="s">
        <v>60</v>
      </c>
      <c r="B18" s="5" t="s">
        <v>89</v>
      </c>
      <c r="F18" s="12"/>
      <c r="G18" s="12"/>
      <c r="H18" s="12"/>
      <c r="I18" s="12"/>
      <c r="J18" s="12"/>
      <c r="K18" s="123">
        <v>4</v>
      </c>
      <c r="L18" s="124"/>
      <c r="M18" s="125"/>
      <c r="N18" s="11" t="s">
        <v>58</v>
      </c>
    </row>
    <row r="19" spans="1:15" ht="7.5" customHeight="1" x14ac:dyDescent="0.15">
      <c r="F19" s="12"/>
      <c r="G19" s="12"/>
      <c r="H19" s="12"/>
      <c r="I19" s="12"/>
      <c r="J19" s="12"/>
      <c r="K19" s="12"/>
      <c r="L19" s="12"/>
      <c r="M19" s="11"/>
      <c r="N19" s="11"/>
    </row>
    <row r="20" spans="1:15" ht="22.5" customHeight="1" x14ac:dyDescent="0.15">
      <c r="A20" s="5" t="s">
        <v>68</v>
      </c>
      <c r="B20" s="5" t="s">
        <v>120</v>
      </c>
      <c r="E20" s="113">
        <v>1547</v>
      </c>
      <c r="F20" s="114"/>
      <c r="G20" s="13" t="s">
        <v>24</v>
      </c>
      <c r="H20" s="12"/>
      <c r="K20" s="133"/>
      <c r="L20" s="133"/>
      <c r="M20" s="133"/>
      <c r="N20" s="133"/>
    </row>
    <row r="21" spans="1:15" ht="7.5" customHeight="1" x14ac:dyDescent="0.15">
      <c r="E21" s="3"/>
      <c r="F21" s="12"/>
      <c r="G21" s="12"/>
      <c r="L21" s="57"/>
      <c r="M21" s="57"/>
      <c r="N21" s="14"/>
    </row>
    <row r="22" spans="1:15" ht="22.5" customHeight="1" x14ac:dyDescent="0.15">
      <c r="A22" s="5" t="s">
        <v>27</v>
      </c>
      <c r="B22" s="5" t="s">
        <v>121</v>
      </c>
      <c r="E22" s="3"/>
      <c r="F22" s="12"/>
      <c r="G22" s="12"/>
      <c r="H22" s="5" t="s">
        <v>59</v>
      </c>
      <c r="J22" s="134">
        <v>7094</v>
      </c>
      <c r="K22" s="135"/>
      <c r="L22" s="136"/>
      <c r="M22" s="57" t="s">
        <v>58</v>
      </c>
      <c r="N22" s="14"/>
    </row>
    <row r="23" spans="1:15" ht="7.5" customHeight="1" x14ac:dyDescent="0.15">
      <c r="E23" s="3"/>
      <c r="F23" s="12"/>
      <c r="G23" s="12"/>
      <c r="L23" s="57"/>
      <c r="M23" s="57"/>
      <c r="N23" s="14"/>
    </row>
    <row r="24" spans="1:15" ht="22.5" customHeight="1" x14ac:dyDescent="0.15">
      <c r="B24" s="58" t="s">
        <v>20</v>
      </c>
      <c r="C24" s="113">
        <v>1614</v>
      </c>
      <c r="D24" s="114"/>
      <c r="E24" s="3" t="s">
        <v>25</v>
      </c>
      <c r="F24" s="12"/>
      <c r="G24" s="109" t="s">
        <v>21</v>
      </c>
      <c r="H24" s="109"/>
      <c r="I24" s="113">
        <v>1625</v>
      </c>
      <c r="J24" s="114"/>
      <c r="K24" s="8" t="s">
        <v>25</v>
      </c>
      <c r="M24" s="57"/>
      <c r="N24" s="14"/>
    </row>
    <row r="25" spans="1:15" ht="7.5" customHeight="1" x14ac:dyDescent="0.15">
      <c r="B25" s="58"/>
      <c r="C25" s="4"/>
      <c r="D25" s="4"/>
      <c r="E25" s="3"/>
      <c r="F25" s="12"/>
      <c r="G25" s="57"/>
      <c r="H25" s="57"/>
      <c r="I25" s="4"/>
      <c r="J25" s="4"/>
      <c r="K25" s="8"/>
      <c r="M25" s="57"/>
      <c r="N25" s="14"/>
    </row>
    <row r="26" spans="1:15" ht="22.5" customHeight="1" x14ac:dyDescent="0.15">
      <c r="B26" s="58" t="s">
        <v>22</v>
      </c>
      <c r="C26" s="113">
        <v>1708</v>
      </c>
      <c r="D26" s="114"/>
      <c r="E26" s="3" t="s">
        <v>25</v>
      </c>
      <c r="F26" s="12"/>
      <c r="G26" s="109" t="s">
        <v>23</v>
      </c>
      <c r="H26" s="109"/>
      <c r="I26" s="113">
        <v>1909</v>
      </c>
      <c r="J26" s="114"/>
      <c r="K26" s="8" t="s">
        <v>25</v>
      </c>
      <c r="M26" s="57"/>
      <c r="N26" s="14"/>
    </row>
    <row r="27" spans="1:15" ht="7.5" customHeight="1" x14ac:dyDescent="0.15">
      <c r="B27" s="58"/>
      <c r="C27" s="4"/>
      <c r="D27" s="4"/>
      <c r="E27" s="3"/>
      <c r="F27" s="12"/>
      <c r="G27" s="57"/>
      <c r="H27" s="57"/>
      <c r="I27" s="4"/>
      <c r="J27" s="4"/>
      <c r="K27" s="8"/>
      <c r="M27" s="57"/>
      <c r="N27" s="14"/>
    </row>
    <row r="28" spans="1:15" ht="22.5" customHeight="1" x14ac:dyDescent="0.15">
      <c r="B28" s="58" t="s">
        <v>52</v>
      </c>
      <c r="C28" s="113">
        <v>115</v>
      </c>
      <c r="D28" s="114"/>
      <c r="E28" s="3" t="s">
        <v>10</v>
      </c>
      <c r="F28" s="12"/>
      <c r="G28" s="109" t="s">
        <v>53</v>
      </c>
      <c r="H28" s="109"/>
      <c r="I28" s="113">
        <v>123</v>
      </c>
      <c r="J28" s="114"/>
      <c r="K28" s="8" t="s">
        <v>10</v>
      </c>
      <c r="M28" s="57"/>
      <c r="N28" s="14"/>
      <c r="O28" s="82"/>
    </row>
    <row r="29" spans="1:15" ht="7.5" customHeight="1" x14ac:dyDescent="0.15">
      <c r="F29" s="12"/>
      <c r="G29" s="12"/>
      <c r="M29" s="15"/>
      <c r="N29" s="15"/>
    </row>
    <row r="30" spans="1:15" ht="22.5" customHeight="1" x14ac:dyDescent="0.15">
      <c r="A30" s="5" t="s">
        <v>119</v>
      </c>
      <c r="B30" s="6" t="s">
        <v>111</v>
      </c>
      <c r="C30" s="6"/>
      <c r="D30" s="6"/>
      <c r="E30" s="6"/>
      <c r="F30" s="8"/>
      <c r="G30" s="56"/>
      <c r="H30" s="56"/>
      <c r="I30" s="56"/>
      <c r="J30" s="17"/>
      <c r="K30" s="17"/>
      <c r="L30" s="17"/>
      <c r="M30" s="17"/>
      <c r="N30" s="17"/>
    </row>
    <row r="31" spans="1:15" ht="22.5" customHeight="1" x14ac:dyDescent="0.15">
      <c r="B31" s="117" t="s">
        <v>110</v>
      </c>
      <c r="C31" s="117"/>
      <c r="D31" s="118" t="s">
        <v>147</v>
      </c>
      <c r="E31" s="119"/>
      <c r="F31" s="119"/>
      <c r="G31" s="121" t="s">
        <v>26</v>
      </c>
      <c r="H31" s="117"/>
      <c r="I31" s="122"/>
      <c r="J31" s="118" t="s">
        <v>148</v>
      </c>
      <c r="K31" s="119"/>
      <c r="L31" s="119"/>
      <c r="M31" s="119"/>
      <c r="N31" s="120"/>
    </row>
    <row r="32" spans="1:15" ht="7.5" customHeight="1" x14ac:dyDescent="0.15">
      <c r="B32" s="83"/>
      <c r="C32" s="83"/>
      <c r="D32" s="83"/>
      <c r="E32" s="83"/>
      <c r="F32" s="61"/>
      <c r="G32" s="61"/>
      <c r="H32" s="83"/>
      <c r="I32" s="83"/>
      <c r="J32" s="83"/>
      <c r="K32" s="83"/>
      <c r="L32" s="83"/>
      <c r="M32" s="62"/>
      <c r="N32" s="62"/>
    </row>
    <row r="33" spans="1:14" ht="22.5" customHeight="1" x14ac:dyDescent="0.15">
      <c r="A33" s="5" t="s">
        <v>57</v>
      </c>
      <c r="B33" s="63" t="s">
        <v>124</v>
      </c>
      <c r="C33" s="63"/>
      <c r="D33" s="63"/>
      <c r="E33" s="63"/>
      <c r="F33" s="64"/>
      <c r="G33" s="65"/>
      <c r="H33" s="65"/>
      <c r="I33" s="65"/>
      <c r="J33" s="65"/>
      <c r="K33" s="65"/>
      <c r="L33" s="65"/>
      <c r="M33" s="65"/>
      <c r="N33" s="65"/>
    </row>
    <row r="34" spans="1:14" ht="22.5" customHeight="1" x14ac:dyDescent="0.15">
      <c r="B34" s="118" t="s">
        <v>149</v>
      </c>
      <c r="C34" s="119"/>
      <c r="D34" s="119"/>
      <c r="E34" s="119"/>
      <c r="F34" s="119"/>
      <c r="G34" s="119"/>
      <c r="H34" s="119"/>
      <c r="I34" s="119"/>
      <c r="J34" s="119"/>
      <c r="K34" s="119"/>
      <c r="L34" s="119"/>
      <c r="M34" s="119"/>
      <c r="N34" s="120"/>
    </row>
    <row r="35" spans="1:14" ht="7.5" customHeight="1" x14ac:dyDescent="0.15">
      <c r="B35" s="66"/>
      <c r="C35" s="66"/>
      <c r="D35" s="66"/>
      <c r="E35" s="66"/>
      <c r="F35" s="66"/>
      <c r="G35" s="66"/>
      <c r="H35" s="66"/>
      <c r="I35" s="66"/>
      <c r="J35" s="66"/>
      <c r="K35" s="66"/>
      <c r="L35" s="66"/>
      <c r="M35" s="66"/>
      <c r="N35" s="66"/>
    </row>
    <row r="36" spans="1:14" ht="22.5" customHeight="1" x14ac:dyDescent="0.15">
      <c r="B36" s="117" t="s">
        <v>110</v>
      </c>
      <c r="C36" s="117"/>
      <c r="D36" s="118" t="s">
        <v>150</v>
      </c>
      <c r="E36" s="119"/>
      <c r="F36" s="119"/>
      <c r="G36" s="121" t="s">
        <v>62</v>
      </c>
      <c r="H36" s="117"/>
      <c r="I36" s="122"/>
      <c r="J36" s="118" t="s">
        <v>151</v>
      </c>
      <c r="K36" s="119"/>
      <c r="L36" s="119"/>
      <c r="M36" s="119"/>
      <c r="N36" s="120"/>
    </row>
    <row r="37" spans="1:14" ht="7.5" customHeight="1" x14ac:dyDescent="0.15">
      <c r="B37" s="83"/>
      <c r="C37" s="83"/>
      <c r="D37" s="83"/>
      <c r="E37" s="83"/>
      <c r="F37" s="67"/>
      <c r="G37" s="67"/>
      <c r="H37" s="67"/>
      <c r="I37" s="67"/>
      <c r="J37" s="67"/>
      <c r="K37" s="67"/>
      <c r="L37" s="67"/>
      <c r="M37" s="67"/>
      <c r="N37" s="67"/>
    </row>
    <row r="38" spans="1:14" ht="22.5" customHeight="1" x14ac:dyDescent="0.15">
      <c r="A38" s="5" t="s">
        <v>61</v>
      </c>
      <c r="B38" s="83" t="s">
        <v>125</v>
      </c>
      <c r="C38" s="83"/>
      <c r="D38" s="83"/>
      <c r="E38" s="83"/>
      <c r="F38" s="83"/>
      <c r="G38" s="83"/>
      <c r="H38" s="83"/>
      <c r="I38" s="83"/>
      <c r="J38" s="83"/>
      <c r="K38" s="83"/>
      <c r="L38" s="83"/>
      <c r="M38" s="62"/>
      <c r="N38" s="62"/>
    </row>
    <row r="39" spans="1:14" ht="22.5" customHeight="1" x14ac:dyDescent="0.15">
      <c r="B39" s="118" t="s">
        <v>149</v>
      </c>
      <c r="C39" s="119"/>
      <c r="D39" s="119"/>
      <c r="E39" s="119"/>
      <c r="F39" s="119"/>
      <c r="G39" s="119"/>
      <c r="H39" s="119"/>
      <c r="I39" s="119"/>
      <c r="J39" s="119"/>
      <c r="K39" s="119"/>
      <c r="L39" s="119"/>
      <c r="M39" s="119"/>
      <c r="N39" s="120"/>
    </row>
    <row r="40" spans="1:14" ht="7.5" customHeight="1" x14ac:dyDescent="0.15">
      <c r="B40" s="83"/>
      <c r="C40" s="83"/>
      <c r="D40" s="83"/>
      <c r="E40" s="83"/>
      <c r="F40" s="67"/>
      <c r="G40" s="67"/>
      <c r="H40" s="67"/>
      <c r="I40" s="67"/>
      <c r="J40" s="67"/>
      <c r="K40" s="67"/>
      <c r="L40" s="67"/>
      <c r="M40" s="67"/>
      <c r="N40" s="67"/>
    </row>
    <row r="41" spans="1:14" ht="22.5" customHeight="1" x14ac:dyDescent="0.15">
      <c r="B41" s="117" t="s">
        <v>110</v>
      </c>
      <c r="C41" s="117"/>
      <c r="D41" s="118" t="s">
        <v>150</v>
      </c>
      <c r="E41" s="119"/>
      <c r="F41" s="119"/>
      <c r="G41" s="121" t="s">
        <v>62</v>
      </c>
      <c r="H41" s="117"/>
      <c r="I41" s="122"/>
      <c r="J41" s="118" t="s">
        <v>151</v>
      </c>
      <c r="K41" s="119"/>
      <c r="L41" s="119"/>
      <c r="M41" s="119"/>
      <c r="N41" s="120"/>
    </row>
    <row r="42" spans="1:14" ht="7.5" customHeight="1" x14ac:dyDescent="0.15">
      <c r="F42" s="56"/>
      <c r="G42" s="56"/>
      <c r="H42" s="56"/>
      <c r="I42" s="56"/>
      <c r="J42" s="56"/>
      <c r="K42" s="56"/>
      <c r="L42" s="56"/>
      <c r="M42" s="56"/>
      <c r="N42" s="56"/>
    </row>
    <row r="43" spans="1:14" ht="22.5" customHeight="1" x14ac:dyDescent="0.15">
      <c r="A43" s="5" t="s">
        <v>69</v>
      </c>
      <c r="B43" s="84" t="s">
        <v>88</v>
      </c>
      <c r="E43" s="81"/>
      <c r="F43" s="110" t="s">
        <v>131</v>
      </c>
      <c r="G43" s="111"/>
      <c r="H43" s="111"/>
      <c r="I43" s="111"/>
      <c r="J43" s="111"/>
      <c r="K43" s="111"/>
      <c r="L43" s="111"/>
      <c r="M43" s="111"/>
      <c r="N43" s="112"/>
    </row>
    <row r="44" spans="1:14" ht="7.5" customHeight="1" x14ac:dyDescent="0.15">
      <c r="F44" s="56"/>
      <c r="G44" s="56"/>
      <c r="H44" s="56"/>
      <c r="I44" s="56"/>
      <c r="J44" s="56"/>
      <c r="K44" s="56"/>
      <c r="L44" s="56"/>
      <c r="M44" s="56"/>
      <c r="N44" s="56"/>
    </row>
    <row r="45" spans="1:14" ht="22.5" customHeight="1" x14ac:dyDescent="0.15">
      <c r="A45" s="5" t="s">
        <v>3</v>
      </c>
    </row>
    <row r="46" spans="1:14" ht="22.5" customHeight="1" x14ac:dyDescent="0.15">
      <c r="B46" s="18" t="s">
        <v>1</v>
      </c>
      <c r="C46" s="115" t="s">
        <v>182</v>
      </c>
      <c r="D46" s="116"/>
      <c r="E46" s="116"/>
      <c r="F46" s="116"/>
      <c r="G46" s="116"/>
      <c r="H46" s="116"/>
      <c r="I46" s="19" t="s">
        <v>2</v>
      </c>
      <c r="J46" s="20"/>
      <c r="K46" s="110" t="s">
        <v>183</v>
      </c>
      <c r="L46" s="111"/>
      <c r="M46" s="111"/>
      <c r="N46" s="112"/>
    </row>
    <row r="47" spans="1:14" ht="22.5" customHeight="1" x14ac:dyDescent="0.15">
      <c r="B47" s="18" t="s">
        <v>5</v>
      </c>
      <c r="C47" s="103" t="s">
        <v>184</v>
      </c>
      <c r="D47" s="104"/>
      <c r="E47" s="104"/>
      <c r="F47" s="104"/>
      <c r="G47" s="104"/>
      <c r="H47" s="105"/>
      <c r="I47" s="19" t="s">
        <v>4</v>
      </c>
      <c r="J47" s="20"/>
      <c r="K47" s="106" t="s">
        <v>185</v>
      </c>
      <c r="L47" s="107"/>
      <c r="M47" s="107"/>
      <c r="N47" s="108"/>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1338CD80-A2ED-4BCB-A9EE-47C3C2EC5219}"/>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4"/>
  <sheetViews>
    <sheetView showZeros="0" zoomScale="85" zoomScaleNormal="85" workbookViewId="0">
      <selection activeCell="B32" sqref="B32:E32"/>
    </sheetView>
  </sheetViews>
  <sheetFormatPr defaultColWidth="9" defaultRowHeight="18.75" customHeight="1" x14ac:dyDescent="0.15"/>
  <cols>
    <col min="1" max="2" width="2.5" style="5" customWidth="1"/>
    <col min="3" max="3" width="20" style="5" customWidth="1"/>
    <col min="4" max="4" width="8.625" style="5" customWidth="1"/>
    <col min="5" max="5" width="7.5" style="5" customWidth="1"/>
    <col min="6" max="6" width="2.5" style="5" customWidth="1"/>
    <col min="7" max="7" width="15" style="5" customWidth="1"/>
    <col min="8" max="8" width="12.5" style="5" customWidth="1"/>
    <col min="9" max="9" width="11.125" style="5" customWidth="1"/>
    <col min="10" max="16384" width="9" style="5"/>
  </cols>
  <sheetData>
    <row r="1" spans="1:9" ht="18.75" customHeight="1" x14ac:dyDescent="0.15">
      <c r="I1" s="16" t="s">
        <v>180</v>
      </c>
    </row>
    <row r="2" spans="1:9" ht="18.75" customHeight="1" x14ac:dyDescent="0.15">
      <c r="G2" s="16" t="s">
        <v>31</v>
      </c>
      <c r="H2" s="140" t="s">
        <v>186</v>
      </c>
      <c r="I2" s="140"/>
    </row>
    <row r="3" spans="1:9" ht="7.5" customHeight="1" x14ac:dyDescent="0.15"/>
    <row r="4" spans="1:9" ht="18.75" customHeight="1" x14ac:dyDescent="0.15">
      <c r="A4" s="131" t="s">
        <v>86</v>
      </c>
      <c r="B4" s="131"/>
      <c r="C4" s="131"/>
      <c r="D4" s="131"/>
      <c r="E4" s="131"/>
      <c r="F4" s="131"/>
      <c r="G4" s="131"/>
      <c r="H4" s="131"/>
      <c r="I4" s="131"/>
    </row>
    <row r="5" spans="1:9" ht="7.5" customHeight="1" x14ac:dyDescent="0.15">
      <c r="C5" s="58"/>
      <c r="D5" s="58"/>
      <c r="E5" s="58"/>
      <c r="F5" s="58"/>
      <c r="G5" s="58"/>
      <c r="H5" s="58"/>
      <c r="I5" s="58"/>
    </row>
    <row r="6" spans="1:9" ht="18.75" customHeight="1" x14ac:dyDescent="0.15">
      <c r="A6" s="5" t="s">
        <v>7</v>
      </c>
      <c r="B6" s="5" t="s">
        <v>96</v>
      </c>
      <c r="C6" s="58"/>
      <c r="D6" s="58"/>
      <c r="E6" s="137" t="s">
        <v>132</v>
      </c>
      <c r="F6" s="138"/>
      <c r="G6" s="138"/>
      <c r="H6" s="138"/>
      <c r="I6" s="139"/>
    </row>
    <row r="7" spans="1:9" ht="7.5" customHeight="1" x14ac:dyDescent="0.15">
      <c r="C7" s="58"/>
      <c r="D7" s="58"/>
      <c r="F7" s="57"/>
      <c r="G7" s="57"/>
      <c r="H7" s="57"/>
      <c r="I7" s="57"/>
    </row>
    <row r="8" spans="1:9" ht="18.75" customHeight="1" x14ac:dyDescent="0.15">
      <c r="A8" s="5" t="s">
        <v>12</v>
      </c>
      <c r="B8" s="5" t="s">
        <v>97</v>
      </c>
      <c r="C8" s="58"/>
      <c r="D8" s="58"/>
      <c r="E8" s="58"/>
      <c r="F8" s="58"/>
      <c r="G8" s="58"/>
      <c r="H8" s="58"/>
      <c r="I8" s="58"/>
    </row>
    <row r="9" spans="1:9" ht="18.75" customHeight="1" x14ac:dyDescent="0.15">
      <c r="B9" s="147" t="s">
        <v>137</v>
      </c>
      <c r="C9" s="148"/>
      <c r="D9" s="148"/>
      <c r="E9" s="148"/>
      <c r="F9" s="148"/>
      <c r="G9" s="148"/>
      <c r="H9" s="148"/>
      <c r="I9" s="149"/>
    </row>
    <row r="10" spans="1:9" ht="18.75" customHeight="1" x14ac:dyDescent="0.15">
      <c r="B10" s="150"/>
      <c r="C10" s="151"/>
      <c r="D10" s="151"/>
      <c r="E10" s="151"/>
      <c r="F10" s="151"/>
      <c r="G10" s="151"/>
      <c r="H10" s="151"/>
      <c r="I10" s="152"/>
    </row>
    <row r="11" spans="1:9" ht="18.75" customHeight="1" x14ac:dyDescent="0.15">
      <c r="B11" s="150"/>
      <c r="C11" s="151"/>
      <c r="D11" s="151"/>
      <c r="E11" s="151"/>
      <c r="F11" s="151"/>
      <c r="G11" s="151"/>
      <c r="H11" s="151"/>
      <c r="I11" s="152"/>
    </row>
    <row r="12" spans="1:9" ht="18.75" customHeight="1" x14ac:dyDescent="0.15">
      <c r="B12" s="150"/>
      <c r="C12" s="151"/>
      <c r="D12" s="151"/>
      <c r="E12" s="151"/>
      <c r="F12" s="151"/>
      <c r="G12" s="151"/>
      <c r="H12" s="151"/>
      <c r="I12" s="152"/>
    </row>
    <row r="13" spans="1:9" ht="18.75" customHeight="1" x14ac:dyDescent="0.15">
      <c r="B13" s="150"/>
      <c r="C13" s="151"/>
      <c r="D13" s="151"/>
      <c r="E13" s="151"/>
      <c r="F13" s="151"/>
      <c r="G13" s="151"/>
      <c r="H13" s="151"/>
      <c r="I13" s="152"/>
    </row>
    <row r="14" spans="1:9" ht="18.75" customHeight="1" x14ac:dyDescent="0.15">
      <c r="B14" s="150"/>
      <c r="C14" s="151"/>
      <c r="D14" s="151"/>
      <c r="E14" s="151"/>
      <c r="F14" s="151"/>
      <c r="G14" s="151"/>
      <c r="H14" s="151"/>
      <c r="I14" s="152"/>
    </row>
    <row r="15" spans="1:9" ht="18.75" customHeight="1" x14ac:dyDescent="0.15">
      <c r="B15" s="150"/>
      <c r="C15" s="151"/>
      <c r="D15" s="151"/>
      <c r="E15" s="151"/>
      <c r="F15" s="151"/>
      <c r="G15" s="151"/>
      <c r="H15" s="151"/>
      <c r="I15" s="152"/>
    </row>
    <row r="16" spans="1:9" ht="18.75" customHeight="1" x14ac:dyDescent="0.15">
      <c r="B16" s="153"/>
      <c r="C16" s="154"/>
      <c r="D16" s="154"/>
      <c r="E16" s="154"/>
      <c r="F16" s="154"/>
      <c r="G16" s="154"/>
      <c r="H16" s="154"/>
      <c r="I16" s="155"/>
    </row>
    <row r="17" spans="1:10" ht="7.5" customHeight="1" x14ac:dyDescent="0.15">
      <c r="C17" s="58"/>
      <c r="D17" s="58"/>
      <c r="E17" s="58"/>
      <c r="F17" s="58"/>
      <c r="G17" s="58"/>
      <c r="H17" s="58"/>
      <c r="I17" s="58"/>
    </row>
    <row r="18" spans="1:10" ht="18.75" customHeight="1" x14ac:dyDescent="0.15">
      <c r="A18" s="58" t="s">
        <v>13</v>
      </c>
      <c r="B18" s="6" t="s">
        <v>98</v>
      </c>
      <c r="C18" s="6"/>
      <c r="D18" s="6"/>
      <c r="E18" s="6"/>
      <c r="F18" s="58"/>
      <c r="G18" s="58"/>
      <c r="H18" s="58"/>
      <c r="I18" s="58"/>
      <c r="J18" s="58"/>
    </row>
    <row r="19" spans="1:10" ht="18.75" customHeight="1" x14ac:dyDescent="0.15">
      <c r="A19" s="141" t="s">
        <v>98</v>
      </c>
      <c r="B19" s="141"/>
      <c r="C19" s="141"/>
      <c r="D19" s="141"/>
      <c r="E19" s="141"/>
      <c r="F19" s="142" t="s">
        <v>98</v>
      </c>
      <c r="G19" s="142"/>
      <c r="H19" s="142"/>
      <c r="I19" s="142"/>
    </row>
    <row r="20" spans="1:10" ht="18.75" customHeight="1" x14ac:dyDescent="0.15">
      <c r="A20" s="25">
        <v>1</v>
      </c>
      <c r="B20" s="115" t="s">
        <v>142</v>
      </c>
      <c r="C20" s="116"/>
      <c r="D20" s="116"/>
      <c r="E20" s="132"/>
      <c r="F20" s="25">
        <v>26</v>
      </c>
      <c r="G20" s="115"/>
      <c r="H20" s="116"/>
      <c r="I20" s="132"/>
    </row>
    <row r="21" spans="1:10" ht="18.75" customHeight="1" x14ac:dyDescent="0.15">
      <c r="A21" s="25">
        <v>2</v>
      </c>
      <c r="B21" s="115" t="s">
        <v>133</v>
      </c>
      <c r="C21" s="116"/>
      <c r="D21" s="116"/>
      <c r="E21" s="132"/>
      <c r="F21" s="25">
        <v>27</v>
      </c>
      <c r="G21" s="115"/>
      <c r="H21" s="116"/>
      <c r="I21" s="132"/>
    </row>
    <row r="22" spans="1:10" ht="18.75" customHeight="1" x14ac:dyDescent="0.15">
      <c r="A22" s="25">
        <v>3</v>
      </c>
      <c r="B22" s="115" t="s">
        <v>138</v>
      </c>
      <c r="C22" s="116"/>
      <c r="D22" s="116"/>
      <c r="E22" s="132"/>
      <c r="F22" s="25">
        <v>28</v>
      </c>
      <c r="G22" s="115"/>
      <c r="H22" s="116"/>
      <c r="I22" s="132"/>
    </row>
    <row r="23" spans="1:10" ht="18.75" customHeight="1" x14ac:dyDescent="0.15">
      <c r="A23" s="25">
        <v>4</v>
      </c>
      <c r="B23" s="115" t="s">
        <v>135</v>
      </c>
      <c r="C23" s="116"/>
      <c r="D23" s="116"/>
      <c r="E23" s="132"/>
      <c r="F23" s="25">
        <v>29</v>
      </c>
      <c r="G23" s="115"/>
      <c r="H23" s="116"/>
      <c r="I23" s="132"/>
    </row>
    <row r="24" spans="1:10" ht="18.75" customHeight="1" x14ac:dyDescent="0.15">
      <c r="A24" s="25">
        <v>5</v>
      </c>
      <c r="B24" s="115" t="s">
        <v>136</v>
      </c>
      <c r="C24" s="116"/>
      <c r="D24" s="116"/>
      <c r="E24" s="132"/>
      <c r="F24" s="25">
        <v>30</v>
      </c>
      <c r="G24" s="115"/>
      <c r="H24" s="116"/>
      <c r="I24" s="132"/>
    </row>
    <row r="25" spans="1:10" ht="18.75" customHeight="1" x14ac:dyDescent="0.15">
      <c r="A25" s="25">
        <v>6</v>
      </c>
      <c r="B25" s="115" t="s">
        <v>134</v>
      </c>
      <c r="C25" s="116"/>
      <c r="D25" s="116"/>
      <c r="E25" s="132"/>
      <c r="F25" s="25">
        <v>31</v>
      </c>
      <c r="G25" s="115"/>
      <c r="H25" s="116"/>
      <c r="I25" s="132"/>
    </row>
    <row r="26" spans="1:10" ht="18.75" customHeight="1" x14ac:dyDescent="0.15">
      <c r="A26" s="25">
        <v>7</v>
      </c>
      <c r="B26" s="115" t="s">
        <v>141</v>
      </c>
      <c r="C26" s="116"/>
      <c r="D26" s="116"/>
      <c r="E26" s="132"/>
      <c r="F26" s="25">
        <v>32</v>
      </c>
      <c r="G26" s="115"/>
      <c r="H26" s="116"/>
      <c r="I26" s="132"/>
    </row>
    <row r="27" spans="1:10" ht="18.75" customHeight="1" x14ac:dyDescent="0.15">
      <c r="A27" s="25">
        <v>8</v>
      </c>
      <c r="B27" s="143"/>
      <c r="C27" s="116"/>
      <c r="D27" s="116"/>
      <c r="E27" s="132"/>
      <c r="F27" s="25">
        <v>33</v>
      </c>
      <c r="G27" s="115"/>
      <c r="H27" s="116"/>
      <c r="I27" s="132"/>
    </row>
    <row r="28" spans="1:10" ht="20.25" customHeight="1" x14ac:dyDescent="0.15">
      <c r="A28" s="25">
        <v>9</v>
      </c>
      <c r="B28" s="144"/>
      <c r="C28" s="145"/>
      <c r="D28" s="145"/>
      <c r="E28" s="146"/>
      <c r="F28" s="25">
        <v>34</v>
      </c>
      <c r="G28" s="115"/>
      <c r="H28" s="116"/>
      <c r="I28" s="132"/>
    </row>
    <row r="29" spans="1:10" ht="18.75" customHeight="1" x14ac:dyDescent="0.15">
      <c r="A29" s="25">
        <v>10</v>
      </c>
      <c r="B29" s="115"/>
      <c r="C29" s="116"/>
      <c r="D29" s="116"/>
      <c r="E29" s="132"/>
      <c r="F29" s="25">
        <v>35</v>
      </c>
      <c r="G29" s="115"/>
      <c r="H29" s="116"/>
      <c r="I29" s="132"/>
    </row>
    <row r="30" spans="1:10" ht="18.75" customHeight="1" x14ac:dyDescent="0.15">
      <c r="A30" s="25">
        <v>11</v>
      </c>
      <c r="B30" s="115"/>
      <c r="C30" s="116"/>
      <c r="D30" s="116"/>
      <c r="E30" s="132"/>
      <c r="F30" s="25">
        <v>36</v>
      </c>
      <c r="G30" s="115"/>
      <c r="H30" s="116"/>
      <c r="I30" s="132"/>
    </row>
    <row r="31" spans="1:10" ht="18.75" customHeight="1" x14ac:dyDescent="0.15">
      <c r="A31" s="25">
        <v>12</v>
      </c>
      <c r="B31" s="115"/>
      <c r="C31" s="116"/>
      <c r="D31" s="116"/>
      <c r="E31" s="132"/>
      <c r="F31" s="25">
        <v>37</v>
      </c>
      <c r="G31" s="115"/>
      <c r="H31" s="116"/>
      <c r="I31" s="132"/>
    </row>
    <row r="32" spans="1:10" ht="18.75" customHeight="1" x14ac:dyDescent="0.15">
      <c r="A32" s="25">
        <v>13</v>
      </c>
      <c r="B32" s="115"/>
      <c r="C32" s="116"/>
      <c r="D32" s="116"/>
      <c r="E32" s="132"/>
      <c r="F32" s="25">
        <v>38</v>
      </c>
      <c r="G32" s="115"/>
      <c r="H32" s="116"/>
      <c r="I32" s="132"/>
    </row>
    <row r="33" spans="1:9" ht="18.75" customHeight="1" x14ac:dyDescent="0.15">
      <c r="A33" s="25">
        <v>14</v>
      </c>
      <c r="B33" s="115"/>
      <c r="C33" s="116"/>
      <c r="D33" s="116"/>
      <c r="E33" s="132"/>
      <c r="F33" s="25">
        <v>39</v>
      </c>
      <c r="G33" s="115"/>
      <c r="H33" s="116"/>
      <c r="I33" s="132"/>
    </row>
    <row r="34" spans="1:9" ht="18.75" customHeight="1" x14ac:dyDescent="0.15">
      <c r="A34" s="25">
        <v>15</v>
      </c>
      <c r="B34" s="115"/>
      <c r="C34" s="116"/>
      <c r="D34" s="116"/>
      <c r="E34" s="132"/>
      <c r="F34" s="25">
        <v>40</v>
      </c>
      <c r="G34" s="115"/>
      <c r="H34" s="116"/>
      <c r="I34" s="132"/>
    </row>
    <row r="35" spans="1:9" ht="18.75" customHeight="1" x14ac:dyDescent="0.15">
      <c r="A35" s="25">
        <v>16</v>
      </c>
      <c r="B35" s="115"/>
      <c r="C35" s="116"/>
      <c r="D35" s="116"/>
      <c r="E35" s="132"/>
      <c r="F35" s="25">
        <v>41</v>
      </c>
      <c r="G35" s="115"/>
      <c r="H35" s="116"/>
      <c r="I35" s="132"/>
    </row>
    <row r="36" spans="1:9" ht="18.75" customHeight="1" x14ac:dyDescent="0.15">
      <c r="A36" s="25">
        <v>17</v>
      </c>
      <c r="B36" s="115"/>
      <c r="C36" s="116"/>
      <c r="D36" s="116"/>
      <c r="E36" s="132"/>
      <c r="F36" s="25">
        <v>42</v>
      </c>
      <c r="G36" s="115"/>
      <c r="H36" s="116"/>
      <c r="I36" s="132"/>
    </row>
    <row r="37" spans="1:9" ht="18.75" customHeight="1" x14ac:dyDescent="0.15">
      <c r="A37" s="25">
        <v>18</v>
      </c>
      <c r="B37" s="115"/>
      <c r="C37" s="116"/>
      <c r="D37" s="116"/>
      <c r="E37" s="132"/>
      <c r="F37" s="25">
        <v>43</v>
      </c>
      <c r="G37" s="115"/>
      <c r="H37" s="116"/>
      <c r="I37" s="132"/>
    </row>
    <row r="38" spans="1:9" ht="18.75" customHeight="1" x14ac:dyDescent="0.15">
      <c r="A38" s="25">
        <v>19</v>
      </c>
      <c r="B38" s="115"/>
      <c r="C38" s="116"/>
      <c r="D38" s="116"/>
      <c r="E38" s="132"/>
      <c r="F38" s="25">
        <v>44</v>
      </c>
      <c r="G38" s="115"/>
      <c r="H38" s="116"/>
      <c r="I38" s="132"/>
    </row>
    <row r="39" spans="1:9" ht="18.75" customHeight="1" x14ac:dyDescent="0.15">
      <c r="A39" s="25">
        <v>20</v>
      </c>
      <c r="B39" s="115"/>
      <c r="C39" s="116"/>
      <c r="D39" s="116"/>
      <c r="E39" s="132"/>
      <c r="F39" s="25">
        <v>45</v>
      </c>
      <c r="G39" s="115"/>
      <c r="H39" s="116"/>
      <c r="I39" s="132"/>
    </row>
    <row r="40" spans="1:9" ht="18.75" customHeight="1" x14ac:dyDescent="0.15">
      <c r="A40" s="25">
        <v>21</v>
      </c>
      <c r="B40" s="115"/>
      <c r="C40" s="116"/>
      <c r="D40" s="116"/>
      <c r="E40" s="132"/>
      <c r="F40" s="25">
        <v>46</v>
      </c>
      <c r="G40" s="115"/>
      <c r="H40" s="116"/>
      <c r="I40" s="132"/>
    </row>
    <row r="41" spans="1:9" ht="18.75" customHeight="1" x14ac:dyDescent="0.15">
      <c r="A41" s="25">
        <v>22</v>
      </c>
      <c r="B41" s="115"/>
      <c r="C41" s="116"/>
      <c r="D41" s="116"/>
      <c r="E41" s="132"/>
      <c r="F41" s="25">
        <v>47</v>
      </c>
      <c r="G41" s="115"/>
      <c r="H41" s="116"/>
      <c r="I41" s="132"/>
    </row>
    <row r="42" spans="1:9" ht="18.75" customHeight="1" x14ac:dyDescent="0.15">
      <c r="A42" s="25">
        <v>23</v>
      </c>
      <c r="B42" s="115"/>
      <c r="C42" s="116"/>
      <c r="D42" s="116"/>
      <c r="E42" s="132"/>
      <c r="F42" s="25">
        <v>48</v>
      </c>
      <c r="G42" s="115"/>
      <c r="H42" s="116"/>
      <c r="I42" s="132"/>
    </row>
    <row r="43" spans="1:9" ht="18.75" customHeight="1" x14ac:dyDescent="0.15">
      <c r="A43" s="25">
        <v>24</v>
      </c>
      <c r="B43" s="115"/>
      <c r="C43" s="116"/>
      <c r="D43" s="116"/>
      <c r="E43" s="132"/>
      <c r="F43" s="25">
        <v>49</v>
      </c>
      <c r="G43" s="115"/>
      <c r="H43" s="116"/>
      <c r="I43" s="132"/>
    </row>
    <row r="44" spans="1:9" ht="18.75" customHeight="1" x14ac:dyDescent="0.15">
      <c r="A44" s="25">
        <v>25</v>
      </c>
      <c r="B44" s="115"/>
      <c r="C44" s="116"/>
      <c r="D44" s="116"/>
      <c r="E44" s="132"/>
      <c r="F44" s="25">
        <v>50</v>
      </c>
      <c r="G44" s="115"/>
      <c r="H44" s="116"/>
      <c r="I44" s="132"/>
    </row>
  </sheetData>
  <mergeCells count="56">
    <mergeCell ref="B25:E25"/>
    <mergeCell ref="B26:E26"/>
    <mergeCell ref="B27:E27"/>
    <mergeCell ref="B28:E28"/>
    <mergeCell ref="B9:I16"/>
    <mergeCell ref="B24:E24"/>
    <mergeCell ref="B20:E20"/>
    <mergeCell ref="B21:E21"/>
    <mergeCell ref="B22:E22"/>
    <mergeCell ref="B23:E23"/>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78740157480314965" right="0.78740157480314965" top="0.78740157480314965" bottom="0.3937007874015748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29"/>
  <sheetViews>
    <sheetView workbookViewId="0">
      <selection activeCell="E23" sqref="E23"/>
    </sheetView>
  </sheetViews>
  <sheetFormatPr defaultColWidth="9" defaultRowHeight="18.75" customHeight="1" x14ac:dyDescent="0.15"/>
  <cols>
    <col min="1" max="1" width="2.5" style="1" customWidth="1"/>
    <col min="2" max="2" width="12.5" style="1" customWidth="1"/>
    <col min="3" max="3" width="21" style="1" customWidth="1"/>
    <col min="4" max="18" width="6.125" style="1" customWidth="1"/>
    <col min="19" max="16384" width="9" style="1"/>
  </cols>
  <sheetData>
    <row r="1" spans="1:20" ht="18.75" customHeight="1" x14ac:dyDescent="0.15">
      <c r="F1" s="156" t="s">
        <v>71</v>
      </c>
      <c r="G1" s="156"/>
      <c r="H1" s="156"/>
      <c r="I1" s="156"/>
      <c r="J1" s="156"/>
      <c r="K1" s="156"/>
      <c r="L1" s="156"/>
      <c r="M1" s="156"/>
      <c r="N1" s="156"/>
      <c r="O1" s="156"/>
      <c r="P1" s="156"/>
      <c r="Q1" s="156"/>
      <c r="R1" s="156"/>
    </row>
    <row r="2" spans="1:20" ht="18.75" customHeight="1" x14ac:dyDescent="0.15">
      <c r="D2" s="27"/>
      <c r="E2" s="27"/>
      <c r="F2" s="27"/>
      <c r="G2" s="27"/>
      <c r="H2" s="27"/>
      <c r="I2" s="27"/>
      <c r="J2" s="27"/>
      <c r="K2" s="156" t="s">
        <v>63</v>
      </c>
      <c r="L2" s="156"/>
      <c r="M2" s="140" t="s">
        <v>186</v>
      </c>
      <c r="N2" s="140"/>
      <c r="O2" s="27"/>
      <c r="P2" s="27"/>
      <c r="Q2" s="27"/>
      <c r="R2" s="27"/>
    </row>
    <row r="3" spans="1:20" ht="7.5" customHeight="1" x14ac:dyDescent="0.15"/>
    <row r="4" spans="1:20" ht="18.75" customHeight="1" x14ac:dyDescent="0.15">
      <c r="A4" s="166" t="s">
        <v>118</v>
      </c>
      <c r="B4" s="166"/>
      <c r="C4" s="166"/>
      <c r="D4" s="166"/>
      <c r="E4" s="166"/>
      <c r="F4" s="166"/>
      <c r="G4" s="166"/>
      <c r="H4" s="166"/>
      <c r="I4" s="166"/>
      <c r="J4" s="166"/>
      <c r="K4" s="166"/>
      <c r="L4" s="166"/>
      <c r="M4" s="166"/>
      <c r="N4" s="166"/>
      <c r="O4" s="166"/>
      <c r="P4" s="166"/>
      <c r="Q4" s="166"/>
      <c r="R4" s="166"/>
      <c r="S4" s="2"/>
    </row>
    <row r="5" spans="1:20" ht="7.5" customHeight="1" x14ac:dyDescent="0.15">
      <c r="A5" s="26"/>
      <c r="B5" s="26"/>
      <c r="C5" s="26"/>
      <c r="D5" s="26"/>
      <c r="E5" s="26"/>
      <c r="F5" s="26"/>
      <c r="G5" s="26"/>
      <c r="H5" s="26"/>
      <c r="I5" s="26"/>
      <c r="J5" s="26"/>
      <c r="K5" s="26"/>
      <c r="L5" s="26"/>
      <c r="M5" s="26"/>
      <c r="N5" s="26"/>
      <c r="O5" s="26"/>
      <c r="P5" s="26"/>
      <c r="Q5" s="26"/>
      <c r="R5" s="26"/>
    </row>
    <row r="6" spans="1:20" ht="18.75" customHeight="1" x14ac:dyDescent="0.15">
      <c r="B6" s="169" t="s">
        <v>122</v>
      </c>
      <c r="C6" s="170"/>
      <c r="D6" s="157" t="s">
        <v>87</v>
      </c>
      <c r="E6" s="159" t="s">
        <v>112</v>
      </c>
      <c r="F6" s="159"/>
      <c r="G6" s="159" t="s">
        <v>113</v>
      </c>
      <c r="H6" s="159"/>
      <c r="I6" s="160" t="s">
        <v>114</v>
      </c>
      <c r="J6" s="161"/>
      <c r="K6" s="160" t="s">
        <v>115</v>
      </c>
      <c r="L6" s="161"/>
      <c r="M6" s="160" t="s">
        <v>116</v>
      </c>
      <c r="N6" s="161"/>
      <c r="O6" s="160" t="s">
        <v>117</v>
      </c>
      <c r="P6" s="161"/>
      <c r="Q6" s="162" t="s">
        <v>70</v>
      </c>
      <c r="R6" s="164" t="s">
        <v>64</v>
      </c>
      <c r="T6" s="28"/>
    </row>
    <row r="7" spans="1:20" ht="18.75" customHeight="1" x14ac:dyDescent="0.15">
      <c r="B7" s="171"/>
      <c r="C7" s="172"/>
      <c r="D7" s="158"/>
      <c r="E7" s="21" t="s">
        <v>50</v>
      </c>
      <c r="F7" s="23" t="s">
        <v>49</v>
      </c>
      <c r="G7" s="24" t="s">
        <v>50</v>
      </c>
      <c r="H7" s="22" t="s">
        <v>49</v>
      </c>
      <c r="I7" s="21" t="s">
        <v>50</v>
      </c>
      <c r="J7" s="23" t="s">
        <v>49</v>
      </c>
      <c r="K7" s="24" t="s">
        <v>50</v>
      </c>
      <c r="L7" s="22" t="s">
        <v>49</v>
      </c>
      <c r="M7" s="21" t="s">
        <v>50</v>
      </c>
      <c r="N7" s="23" t="s">
        <v>49</v>
      </c>
      <c r="O7" s="24" t="s">
        <v>50</v>
      </c>
      <c r="P7" s="22" t="s">
        <v>49</v>
      </c>
      <c r="Q7" s="163"/>
      <c r="R7" s="165"/>
      <c r="T7" s="28"/>
    </row>
    <row r="8" spans="1:20" ht="18.75" customHeight="1" x14ac:dyDescent="0.15">
      <c r="A8" s="29"/>
      <c r="B8" s="179" t="s">
        <v>199</v>
      </c>
      <c r="C8" s="180"/>
      <c r="D8" s="68">
        <v>610</v>
      </c>
      <c r="E8" s="69">
        <v>0</v>
      </c>
      <c r="F8" s="70">
        <v>0</v>
      </c>
      <c r="G8" s="71"/>
      <c r="H8" s="72"/>
      <c r="I8" s="69"/>
      <c r="J8" s="70"/>
      <c r="K8" s="71"/>
      <c r="L8" s="72"/>
      <c r="M8" s="69"/>
      <c r="N8" s="70"/>
      <c r="O8" s="71"/>
      <c r="P8" s="72"/>
      <c r="Q8" s="73">
        <f>E8+G8+I8+K8+M8+O8</f>
        <v>0</v>
      </c>
      <c r="R8" s="74">
        <f>Q8/D8</f>
        <v>0</v>
      </c>
    </row>
    <row r="9" spans="1:20" ht="18.75" customHeight="1" x14ac:dyDescent="0.15">
      <c r="A9" s="29"/>
      <c r="B9" s="175" t="s">
        <v>200</v>
      </c>
      <c r="C9" s="176"/>
      <c r="D9" s="75">
        <v>1055</v>
      </c>
      <c r="E9" s="76">
        <v>233</v>
      </c>
      <c r="F9" s="77">
        <v>0</v>
      </c>
      <c r="G9" s="78"/>
      <c r="H9" s="79"/>
      <c r="I9" s="76"/>
      <c r="J9" s="77"/>
      <c r="K9" s="78"/>
      <c r="L9" s="79"/>
      <c r="M9" s="76"/>
      <c r="N9" s="77"/>
      <c r="O9" s="78"/>
      <c r="P9" s="79"/>
      <c r="Q9" s="80">
        <f t="shared" ref="Q9:Q27" si="0">E9+G9+I9+K9+M9+O9</f>
        <v>233</v>
      </c>
      <c r="R9" s="74">
        <f t="shared" ref="R9:R27" si="1">Q9/D9</f>
        <v>0.22085308056872038</v>
      </c>
    </row>
    <row r="10" spans="1:20" ht="18.75" customHeight="1" x14ac:dyDescent="0.15">
      <c r="A10" s="29"/>
      <c r="B10" s="175" t="s">
        <v>201</v>
      </c>
      <c r="C10" s="176"/>
      <c r="D10" s="75">
        <v>560</v>
      </c>
      <c r="E10" s="76">
        <v>0</v>
      </c>
      <c r="F10" s="77">
        <v>0</v>
      </c>
      <c r="G10" s="78"/>
      <c r="H10" s="79"/>
      <c r="I10" s="76"/>
      <c r="J10" s="77"/>
      <c r="K10" s="78"/>
      <c r="L10" s="79"/>
      <c r="M10" s="76"/>
      <c r="N10" s="77"/>
      <c r="O10" s="78"/>
      <c r="P10" s="79"/>
      <c r="Q10" s="80">
        <f t="shared" si="0"/>
        <v>0</v>
      </c>
      <c r="R10" s="74">
        <f t="shared" si="1"/>
        <v>0</v>
      </c>
    </row>
    <row r="11" spans="1:20" ht="18.75" customHeight="1" x14ac:dyDescent="0.15">
      <c r="A11" s="29"/>
      <c r="B11" s="175" t="s">
        <v>202</v>
      </c>
      <c r="C11" s="176"/>
      <c r="D11" s="75">
        <v>800</v>
      </c>
      <c r="E11" s="76">
        <v>10</v>
      </c>
      <c r="F11" s="77">
        <v>0</v>
      </c>
      <c r="G11" s="78"/>
      <c r="H11" s="79"/>
      <c r="I11" s="76"/>
      <c r="J11" s="77"/>
      <c r="K11" s="78"/>
      <c r="L11" s="79"/>
      <c r="M11" s="76"/>
      <c r="N11" s="77"/>
      <c r="O11" s="78"/>
      <c r="P11" s="79"/>
      <c r="Q11" s="80">
        <f t="shared" si="0"/>
        <v>10</v>
      </c>
      <c r="R11" s="74">
        <f t="shared" si="1"/>
        <v>1.2500000000000001E-2</v>
      </c>
    </row>
    <row r="12" spans="1:20" ht="18.75" customHeight="1" x14ac:dyDescent="0.15">
      <c r="A12" s="29"/>
      <c r="B12" s="175" t="s">
        <v>203</v>
      </c>
      <c r="C12" s="176"/>
      <c r="D12" s="75">
        <v>937</v>
      </c>
      <c r="E12" s="76">
        <v>1</v>
      </c>
      <c r="F12" s="77">
        <v>0</v>
      </c>
      <c r="G12" s="78"/>
      <c r="H12" s="79"/>
      <c r="I12" s="76"/>
      <c r="J12" s="77"/>
      <c r="K12" s="78"/>
      <c r="L12" s="79"/>
      <c r="M12" s="76"/>
      <c r="N12" s="77"/>
      <c r="O12" s="78"/>
      <c r="P12" s="79"/>
      <c r="Q12" s="80">
        <f t="shared" si="0"/>
        <v>1</v>
      </c>
      <c r="R12" s="74">
        <f t="shared" si="1"/>
        <v>1.0672358591248667E-3</v>
      </c>
    </row>
    <row r="13" spans="1:20" ht="18.75" customHeight="1" x14ac:dyDescent="0.15">
      <c r="A13" s="29"/>
      <c r="B13" s="175" t="s">
        <v>204</v>
      </c>
      <c r="C13" s="176"/>
      <c r="D13" s="75">
        <v>1440</v>
      </c>
      <c r="E13" s="76">
        <v>1</v>
      </c>
      <c r="F13" s="77">
        <v>0</v>
      </c>
      <c r="G13" s="78"/>
      <c r="H13" s="79"/>
      <c r="I13" s="76"/>
      <c r="J13" s="77"/>
      <c r="K13" s="78"/>
      <c r="L13" s="79"/>
      <c r="M13" s="76"/>
      <c r="N13" s="77"/>
      <c r="O13" s="78"/>
      <c r="P13" s="79"/>
      <c r="Q13" s="80">
        <f t="shared" si="0"/>
        <v>1</v>
      </c>
      <c r="R13" s="74">
        <f t="shared" si="1"/>
        <v>6.9444444444444447E-4</v>
      </c>
    </row>
    <row r="14" spans="1:20" ht="18.75" customHeight="1" x14ac:dyDescent="0.15">
      <c r="A14" s="29"/>
      <c r="B14" s="175" t="s">
        <v>205</v>
      </c>
      <c r="C14" s="176"/>
      <c r="D14" s="75">
        <v>570</v>
      </c>
      <c r="E14" s="76">
        <v>0</v>
      </c>
      <c r="F14" s="77">
        <v>0</v>
      </c>
      <c r="G14" s="78"/>
      <c r="H14" s="79"/>
      <c r="I14" s="76"/>
      <c r="J14" s="77"/>
      <c r="K14" s="78"/>
      <c r="L14" s="79"/>
      <c r="M14" s="76"/>
      <c r="N14" s="77"/>
      <c r="O14" s="78"/>
      <c r="P14" s="79"/>
      <c r="Q14" s="80">
        <f t="shared" si="0"/>
        <v>0</v>
      </c>
      <c r="R14" s="74">
        <f t="shared" si="1"/>
        <v>0</v>
      </c>
    </row>
    <row r="15" spans="1:20" ht="18.75" customHeight="1" x14ac:dyDescent="0.15">
      <c r="A15" s="29"/>
      <c r="B15" s="175" t="s">
        <v>206</v>
      </c>
      <c r="C15" s="176"/>
      <c r="D15" s="75">
        <v>144</v>
      </c>
      <c r="E15" s="76">
        <v>5</v>
      </c>
      <c r="F15" s="77">
        <v>0</v>
      </c>
      <c r="G15" s="78"/>
      <c r="H15" s="79"/>
      <c r="I15" s="76"/>
      <c r="J15" s="77"/>
      <c r="K15" s="78"/>
      <c r="L15" s="79"/>
      <c r="M15" s="76"/>
      <c r="N15" s="77"/>
      <c r="O15" s="78"/>
      <c r="P15" s="79"/>
      <c r="Q15" s="80">
        <f t="shared" si="0"/>
        <v>5</v>
      </c>
      <c r="R15" s="74">
        <f t="shared" si="1"/>
        <v>3.4722222222222224E-2</v>
      </c>
    </row>
    <row r="16" spans="1:20" ht="18.75" customHeight="1" x14ac:dyDescent="0.15">
      <c r="A16" s="29"/>
      <c r="B16" s="175" t="s">
        <v>207</v>
      </c>
      <c r="C16" s="176"/>
      <c r="D16" s="75">
        <v>431</v>
      </c>
      <c r="E16" s="76">
        <v>8</v>
      </c>
      <c r="F16" s="77">
        <v>0</v>
      </c>
      <c r="G16" s="78"/>
      <c r="H16" s="79"/>
      <c r="I16" s="76"/>
      <c r="J16" s="77"/>
      <c r="K16" s="78"/>
      <c r="L16" s="79"/>
      <c r="M16" s="76"/>
      <c r="N16" s="77"/>
      <c r="O16" s="78"/>
      <c r="P16" s="79"/>
      <c r="Q16" s="80">
        <f>E16+G16+I16+K16+M16+O16</f>
        <v>8</v>
      </c>
      <c r="R16" s="74">
        <f t="shared" si="1"/>
        <v>1.8561484918793503E-2</v>
      </c>
    </row>
    <row r="17" spans="1:18" ht="18.75" customHeight="1" x14ac:dyDescent="0.15">
      <c r="A17" s="29"/>
      <c r="B17" s="173"/>
      <c r="C17" s="174"/>
      <c r="D17" s="36"/>
      <c r="E17" s="37"/>
      <c r="F17" s="38"/>
      <c r="G17" s="39"/>
      <c r="H17" s="40"/>
      <c r="I17" s="37"/>
      <c r="J17" s="38"/>
      <c r="K17" s="39"/>
      <c r="L17" s="40"/>
      <c r="M17" s="37"/>
      <c r="N17" s="38"/>
      <c r="O17" s="39"/>
      <c r="P17" s="40"/>
      <c r="Q17" s="41">
        <f t="shared" si="0"/>
        <v>0</v>
      </c>
      <c r="R17" s="35" t="e">
        <f t="shared" si="1"/>
        <v>#DIV/0!</v>
      </c>
    </row>
    <row r="18" spans="1:18" ht="18.75" customHeight="1" x14ac:dyDescent="0.15">
      <c r="A18" s="29"/>
      <c r="B18" s="173"/>
      <c r="C18" s="174"/>
      <c r="D18" s="36"/>
      <c r="E18" s="37"/>
      <c r="F18" s="38"/>
      <c r="G18" s="39"/>
      <c r="H18" s="40"/>
      <c r="I18" s="37"/>
      <c r="J18" s="38"/>
      <c r="K18" s="39"/>
      <c r="L18" s="40"/>
      <c r="M18" s="37"/>
      <c r="N18" s="38"/>
      <c r="O18" s="39"/>
      <c r="P18" s="40"/>
      <c r="Q18" s="41">
        <f t="shared" si="0"/>
        <v>0</v>
      </c>
      <c r="R18" s="35" t="e">
        <f t="shared" si="1"/>
        <v>#DIV/0!</v>
      </c>
    </row>
    <row r="19" spans="1:18" ht="18.75" customHeight="1" x14ac:dyDescent="0.15">
      <c r="A19" s="29"/>
      <c r="B19" s="173"/>
      <c r="C19" s="174"/>
      <c r="D19" s="36"/>
      <c r="E19" s="37"/>
      <c r="F19" s="38"/>
      <c r="G19" s="39"/>
      <c r="H19" s="40"/>
      <c r="I19" s="37"/>
      <c r="J19" s="38"/>
      <c r="K19" s="39"/>
      <c r="L19" s="40"/>
      <c r="M19" s="37"/>
      <c r="N19" s="38"/>
      <c r="O19" s="39"/>
      <c r="P19" s="40"/>
      <c r="Q19" s="41">
        <f t="shared" si="0"/>
        <v>0</v>
      </c>
      <c r="R19" s="35" t="e">
        <f t="shared" si="1"/>
        <v>#DIV/0!</v>
      </c>
    </row>
    <row r="20" spans="1:18" ht="18.75" customHeight="1" x14ac:dyDescent="0.15">
      <c r="A20" s="29"/>
      <c r="B20" s="173"/>
      <c r="C20" s="174"/>
      <c r="D20" s="36"/>
      <c r="E20" s="37"/>
      <c r="F20" s="38"/>
      <c r="G20" s="39"/>
      <c r="H20" s="40"/>
      <c r="I20" s="37"/>
      <c r="J20" s="38"/>
      <c r="K20" s="39"/>
      <c r="L20" s="40"/>
      <c r="M20" s="37"/>
      <c r="N20" s="38"/>
      <c r="O20" s="39"/>
      <c r="P20" s="40"/>
      <c r="Q20" s="41">
        <f t="shared" si="0"/>
        <v>0</v>
      </c>
      <c r="R20" s="35" t="e">
        <f t="shared" si="1"/>
        <v>#DIV/0!</v>
      </c>
    </row>
    <row r="21" spans="1:18" ht="18.75" customHeight="1" x14ac:dyDescent="0.15">
      <c r="A21" s="29"/>
      <c r="B21" s="173"/>
      <c r="C21" s="174"/>
      <c r="D21" s="36"/>
      <c r="E21" s="37"/>
      <c r="F21" s="38"/>
      <c r="G21" s="39"/>
      <c r="H21" s="40"/>
      <c r="I21" s="37"/>
      <c r="J21" s="38"/>
      <c r="K21" s="39"/>
      <c r="L21" s="40"/>
      <c r="M21" s="37"/>
      <c r="N21" s="38"/>
      <c r="O21" s="39"/>
      <c r="P21" s="40"/>
      <c r="Q21" s="41">
        <f t="shared" si="0"/>
        <v>0</v>
      </c>
      <c r="R21" s="35" t="e">
        <f t="shared" si="1"/>
        <v>#DIV/0!</v>
      </c>
    </row>
    <row r="22" spans="1:18" ht="18.75" customHeight="1" x14ac:dyDescent="0.15">
      <c r="A22" s="29"/>
      <c r="B22" s="173"/>
      <c r="C22" s="174"/>
      <c r="D22" s="36"/>
      <c r="E22" s="37"/>
      <c r="F22" s="38"/>
      <c r="G22" s="39"/>
      <c r="H22" s="40"/>
      <c r="I22" s="37"/>
      <c r="J22" s="38"/>
      <c r="K22" s="39"/>
      <c r="L22" s="40"/>
      <c r="M22" s="37"/>
      <c r="N22" s="38"/>
      <c r="O22" s="39"/>
      <c r="P22" s="40"/>
      <c r="Q22" s="41">
        <f t="shared" si="0"/>
        <v>0</v>
      </c>
      <c r="R22" s="35" t="e">
        <f t="shared" si="1"/>
        <v>#DIV/0!</v>
      </c>
    </row>
    <row r="23" spans="1:18" ht="18.75" customHeight="1" x14ac:dyDescent="0.15">
      <c r="A23" s="29"/>
      <c r="B23" s="173"/>
      <c r="C23" s="174"/>
      <c r="D23" s="36"/>
      <c r="E23" s="37"/>
      <c r="F23" s="38"/>
      <c r="G23" s="39"/>
      <c r="H23" s="40"/>
      <c r="I23" s="37"/>
      <c r="J23" s="38"/>
      <c r="K23" s="39"/>
      <c r="L23" s="40"/>
      <c r="M23" s="37"/>
      <c r="N23" s="38"/>
      <c r="O23" s="39"/>
      <c r="P23" s="40"/>
      <c r="Q23" s="41">
        <f t="shared" si="0"/>
        <v>0</v>
      </c>
      <c r="R23" s="35" t="e">
        <f t="shared" si="1"/>
        <v>#DIV/0!</v>
      </c>
    </row>
    <row r="24" spans="1:18" ht="18.75" customHeight="1" x14ac:dyDescent="0.15">
      <c r="A24" s="29"/>
      <c r="B24" s="173"/>
      <c r="C24" s="174"/>
      <c r="D24" s="36"/>
      <c r="E24" s="37"/>
      <c r="F24" s="38"/>
      <c r="G24" s="39"/>
      <c r="H24" s="40"/>
      <c r="I24" s="37"/>
      <c r="J24" s="38"/>
      <c r="K24" s="39"/>
      <c r="L24" s="40"/>
      <c r="M24" s="37"/>
      <c r="N24" s="38"/>
      <c r="O24" s="39"/>
      <c r="P24" s="40"/>
      <c r="Q24" s="41">
        <f t="shared" si="0"/>
        <v>0</v>
      </c>
      <c r="R24" s="35" t="e">
        <f t="shared" si="1"/>
        <v>#DIV/0!</v>
      </c>
    </row>
    <row r="25" spans="1:18" ht="18.75" customHeight="1" x14ac:dyDescent="0.15">
      <c r="A25" s="29"/>
      <c r="B25" s="173"/>
      <c r="C25" s="174"/>
      <c r="D25" s="36"/>
      <c r="E25" s="37"/>
      <c r="F25" s="38"/>
      <c r="G25" s="39"/>
      <c r="H25" s="40"/>
      <c r="I25" s="37"/>
      <c r="J25" s="38"/>
      <c r="K25" s="39"/>
      <c r="L25" s="40"/>
      <c r="M25" s="37"/>
      <c r="N25" s="38"/>
      <c r="O25" s="39"/>
      <c r="P25" s="40"/>
      <c r="Q25" s="41">
        <f t="shared" si="0"/>
        <v>0</v>
      </c>
      <c r="R25" s="35" t="e">
        <f t="shared" si="1"/>
        <v>#DIV/0!</v>
      </c>
    </row>
    <row r="26" spans="1:18" ht="18.75" customHeight="1" x14ac:dyDescent="0.15">
      <c r="A26" s="29"/>
      <c r="B26" s="173"/>
      <c r="C26" s="174"/>
      <c r="D26" s="36"/>
      <c r="E26" s="37"/>
      <c r="F26" s="38"/>
      <c r="G26" s="39"/>
      <c r="H26" s="40"/>
      <c r="I26" s="37"/>
      <c r="J26" s="38"/>
      <c r="K26" s="39"/>
      <c r="L26" s="40"/>
      <c r="M26" s="37"/>
      <c r="N26" s="38"/>
      <c r="O26" s="39"/>
      <c r="P26" s="40"/>
      <c r="Q26" s="41">
        <f t="shared" si="0"/>
        <v>0</v>
      </c>
      <c r="R26" s="35" t="e">
        <f t="shared" si="1"/>
        <v>#DIV/0!</v>
      </c>
    </row>
    <row r="27" spans="1:18" ht="18.75" customHeight="1" thickBot="1" x14ac:dyDescent="0.2">
      <c r="A27" s="29"/>
      <c r="B27" s="177"/>
      <c r="C27" s="178"/>
      <c r="D27" s="30"/>
      <c r="E27" s="31"/>
      <c r="F27" s="32"/>
      <c r="G27" s="33"/>
      <c r="H27" s="34"/>
      <c r="I27" s="31"/>
      <c r="J27" s="32"/>
      <c r="K27" s="33"/>
      <c r="L27" s="34"/>
      <c r="M27" s="31"/>
      <c r="N27" s="32"/>
      <c r="O27" s="33"/>
      <c r="P27" s="34"/>
      <c r="Q27" s="42">
        <f t="shared" si="0"/>
        <v>0</v>
      </c>
      <c r="R27" s="35" t="e">
        <f t="shared" si="1"/>
        <v>#DIV/0!</v>
      </c>
    </row>
    <row r="28" spans="1:18" ht="18.75" customHeight="1" thickTop="1" x14ac:dyDescent="0.15">
      <c r="A28" s="29"/>
      <c r="B28" s="167" t="s">
        <v>65</v>
      </c>
      <c r="C28" s="168"/>
      <c r="D28" s="43">
        <f t="shared" ref="D28:Q28" si="2">SUM(D8:D27)</f>
        <v>6547</v>
      </c>
      <c r="E28" s="44">
        <f t="shared" si="2"/>
        <v>258</v>
      </c>
      <c r="F28" s="45">
        <f t="shared" si="2"/>
        <v>0</v>
      </c>
      <c r="G28" s="46">
        <f t="shared" si="2"/>
        <v>0</v>
      </c>
      <c r="H28" s="47">
        <f t="shared" si="2"/>
        <v>0</v>
      </c>
      <c r="I28" s="44">
        <f t="shared" si="2"/>
        <v>0</v>
      </c>
      <c r="J28" s="45">
        <f t="shared" si="2"/>
        <v>0</v>
      </c>
      <c r="K28" s="46">
        <f t="shared" si="2"/>
        <v>0</v>
      </c>
      <c r="L28" s="47">
        <f t="shared" si="2"/>
        <v>0</v>
      </c>
      <c r="M28" s="44">
        <f t="shared" si="2"/>
        <v>0</v>
      </c>
      <c r="N28" s="45">
        <f t="shared" si="2"/>
        <v>0</v>
      </c>
      <c r="O28" s="46">
        <f t="shared" si="2"/>
        <v>0</v>
      </c>
      <c r="P28" s="47">
        <f t="shared" si="2"/>
        <v>0</v>
      </c>
      <c r="Q28" s="48">
        <f t="shared" si="2"/>
        <v>258</v>
      </c>
      <c r="R28" s="49">
        <f>Q28/D28</f>
        <v>3.940736215060333E-2</v>
      </c>
    </row>
    <row r="29" spans="1:18" ht="6.75" customHeight="1" x14ac:dyDescent="0.15">
      <c r="A29" s="29"/>
      <c r="B29" s="29"/>
      <c r="C29" s="29"/>
      <c r="D29" s="50"/>
      <c r="E29" s="50"/>
      <c r="F29" s="50"/>
      <c r="G29" s="50"/>
      <c r="H29" s="50"/>
      <c r="I29" s="50"/>
      <c r="J29" s="50"/>
      <c r="K29" s="50"/>
      <c r="L29" s="50"/>
      <c r="M29" s="50"/>
      <c r="N29" s="50"/>
      <c r="O29" s="50"/>
      <c r="P29" s="50"/>
      <c r="Q29" s="50"/>
      <c r="R29" s="50"/>
    </row>
  </sheetData>
  <mergeCells count="35">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 ref="M2:N2"/>
  </mergeCells>
  <phoneticPr fontId="1"/>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3C24E-9428-4A39-AA9D-150E91083EAF}">
  <dimension ref="A1:Q151"/>
  <sheetViews>
    <sheetView topLeftCell="A99" zoomScale="90" zoomScaleNormal="90" zoomScaleSheetLayoutView="80" workbookViewId="0">
      <selection activeCell="D14" sqref="D14:G14"/>
    </sheetView>
  </sheetViews>
  <sheetFormatPr defaultColWidth="9" defaultRowHeight="14.25" x14ac:dyDescent="0.15"/>
  <cols>
    <col min="1" max="1" width="2.625" style="5" customWidth="1"/>
    <col min="2" max="2" width="19" style="5" customWidth="1"/>
    <col min="3" max="3" width="25" style="5" customWidth="1"/>
    <col min="4" max="4" width="10" style="5" customWidth="1"/>
    <col min="5" max="7" width="25" style="5" customWidth="1"/>
    <col min="8" max="16384" width="9" style="5"/>
  </cols>
  <sheetData>
    <row r="1" spans="1:17" ht="18.75" customHeight="1" x14ac:dyDescent="0.15">
      <c r="G1" s="16" t="s">
        <v>181</v>
      </c>
    </row>
    <row r="2" spans="1:17" ht="18.75" customHeight="1" x14ac:dyDescent="0.15">
      <c r="F2" s="16" t="s">
        <v>31</v>
      </c>
      <c r="G2" s="59" t="s">
        <v>186</v>
      </c>
      <c r="H2" s="59"/>
    </row>
    <row r="3" spans="1:17" ht="18.75" customHeight="1" x14ac:dyDescent="0.15">
      <c r="A3" s="131" t="s">
        <v>91</v>
      </c>
      <c r="B3" s="131"/>
      <c r="C3" s="131"/>
      <c r="D3" s="131"/>
      <c r="E3" s="131"/>
      <c r="F3" s="131"/>
      <c r="G3" s="131"/>
    </row>
    <row r="4" spans="1:17" ht="18.75" customHeight="1" x14ac:dyDescent="0.15">
      <c r="A4" s="5" t="s">
        <v>7</v>
      </c>
      <c r="B4" s="5" t="s">
        <v>90</v>
      </c>
    </row>
    <row r="5" spans="1:17" s="58" customFormat="1" ht="18.75" customHeight="1" x14ac:dyDescent="0.15">
      <c r="B5" s="60" t="s">
        <v>72</v>
      </c>
      <c r="C5" s="137" t="s">
        <v>101</v>
      </c>
      <c r="D5" s="138"/>
      <c r="E5" s="138"/>
      <c r="F5" s="138"/>
      <c r="G5" s="139"/>
    </row>
    <row r="6" spans="1:17" s="58" customFormat="1" ht="45" customHeight="1" x14ac:dyDescent="0.15">
      <c r="B6" s="190" t="s">
        <v>104</v>
      </c>
      <c r="C6" s="192" t="s">
        <v>212</v>
      </c>
      <c r="D6" s="193"/>
      <c r="E6" s="193"/>
      <c r="F6" s="193"/>
      <c r="G6" s="194"/>
    </row>
    <row r="7" spans="1:17" s="58" customFormat="1" ht="45" customHeight="1" x14ac:dyDescent="0.15">
      <c r="B7" s="191"/>
      <c r="C7" s="195"/>
      <c r="D7" s="196"/>
      <c r="E7" s="196"/>
      <c r="F7" s="196"/>
      <c r="G7" s="197"/>
      <c r="I7" s="7"/>
    </row>
    <row r="8" spans="1:17" s="58" customFormat="1" ht="45" customHeight="1" x14ac:dyDescent="0.15">
      <c r="B8" s="191"/>
      <c r="C8" s="195"/>
      <c r="D8" s="196"/>
      <c r="E8" s="196"/>
      <c r="F8" s="196"/>
      <c r="G8" s="197"/>
    </row>
    <row r="9" spans="1:17" s="58" customFormat="1" ht="45" customHeight="1" x14ac:dyDescent="0.15">
      <c r="B9" s="191"/>
      <c r="C9" s="198"/>
      <c r="D9" s="199"/>
      <c r="E9" s="199"/>
      <c r="F9" s="199"/>
      <c r="G9" s="200"/>
    </row>
    <row r="10" spans="1:17" s="58" customFormat="1" ht="18.75" customHeight="1" x14ac:dyDescent="0.15">
      <c r="B10" s="191"/>
      <c r="C10" s="85" t="s">
        <v>102</v>
      </c>
      <c r="D10" s="110" t="s">
        <v>103</v>
      </c>
      <c r="E10" s="111"/>
      <c r="F10" s="111"/>
      <c r="G10" s="112"/>
    </row>
    <row r="11" spans="1:17" s="58" customFormat="1" ht="18.75" customHeight="1" x14ac:dyDescent="0.15">
      <c r="B11" s="191"/>
      <c r="C11" s="99" t="s">
        <v>153</v>
      </c>
      <c r="D11" s="110" t="s">
        <v>154</v>
      </c>
      <c r="E11" s="111"/>
      <c r="F11" s="111"/>
      <c r="G11" s="112"/>
    </row>
    <row r="12" spans="1:17" s="58" customFormat="1" ht="18.75" customHeight="1" x14ac:dyDescent="0.15">
      <c r="B12" s="191"/>
      <c r="C12" s="86" t="s">
        <v>139</v>
      </c>
      <c r="D12" s="110" t="s">
        <v>140</v>
      </c>
      <c r="E12" s="111"/>
      <c r="F12" s="111"/>
      <c r="G12" s="112"/>
    </row>
    <row r="13" spans="1:17" s="58" customFormat="1" ht="18.75" customHeight="1" x14ac:dyDescent="0.15">
      <c r="B13" s="191"/>
      <c r="C13" s="86" t="s">
        <v>170</v>
      </c>
      <c r="D13" s="110" t="s">
        <v>187</v>
      </c>
      <c r="E13" s="111"/>
      <c r="F13" s="111"/>
      <c r="G13" s="112"/>
    </row>
    <row r="14" spans="1:17" s="58" customFormat="1" ht="18.75" customHeight="1" x14ac:dyDescent="0.15">
      <c r="B14" s="191"/>
      <c r="C14" s="86"/>
      <c r="D14" s="110"/>
      <c r="E14" s="111"/>
      <c r="F14" s="111"/>
      <c r="G14" s="112"/>
    </row>
    <row r="15" spans="1:17" s="58" customFormat="1" ht="18.75" customHeight="1" x14ac:dyDescent="0.15">
      <c r="B15" s="191"/>
      <c r="C15" s="60"/>
      <c r="D15" s="137"/>
      <c r="E15" s="138"/>
      <c r="F15" s="138"/>
      <c r="G15" s="139"/>
      <c r="I15" s="5"/>
      <c r="J15" s="5"/>
      <c r="K15" s="5"/>
      <c r="L15" s="5"/>
      <c r="N15" s="5"/>
      <c r="O15" s="59"/>
      <c r="P15" s="59"/>
      <c r="Q15" s="59"/>
    </row>
    <row r="16" spans="1:17" s="58" customFormat="1" ht="18.75" customHeight="1" x14ac:dyDescent="0.15">
      <c r="B16" s="191"/>
      <c r="C16" s="60"/>
      <c r="D16" s="137"/>
      <c r="E16" s="138"/>
      <c r="F16" s="138"/>
      <c r="G16" s="139"/>
      <c r="I16" s="5"/>
      <c r="J16" s="5"/>
      <c r="K16" s="5"/>
      <c r="L16" s="5"/>
      <c r="N16" s="5"/>
      <c r="O16" s="5"/>
      <c r="P16" s="5"/>
      <c r="Q16" s="5"/>
    </row>
    <row r="17" spans="2:17" s="58" customFormat="1" ht="18.75" customHeight="1" x14ac:dyDescent="0.15">
      <c r="B17" s="191"/>
      <c r="C17" s="60"/>
      <c r="D17" s="137"/>
      <c r="E17" s="138"/>
      <c r="F17" s="138"/>
      <c r="G17" s="139"/>
      <c r="I17" s="5"/>
      <c r="J17" s="5"/>
      <c r="K17" s="5"/>
      <c r="L17" s="5"/>
      <c r="N17" s="5"/>
      <c r="O17" s="5"/>
      <c r="P17" s="5"/>
      <c r="Q17" s="5"/>
    </row>
    <row r="18" spans="2:17" s="58" customFormat="1" ht="18.75" customHeight="1" x14ac:dyDescent="0.15">
      <c r="B18" s="191"/>
      <c r="C18" s="60"/>
      <c r="D18" s="137"/>
      <c r="E18" s="138"/>
      <c r="F18" s="138"/>
      <c r="G18" s="139"/>
      <c r="I18" s="5"/>
      <c r="J18" s="5"/>
      <c r="K18" s="5"/>
      <c r="L18" s="5"/>
      <c r="N18" s="5"/>
      <c r="O18" s="5"/>
      <c r="P18" s="5"/>
      <c r="Q18" s="5"/>
    </row>
    <row r="19" spans="2:17" s="58" customFormat="1" ht="18.75" customHeight="1" x14ac:dyDescent="0.15">
      <c r="B19" s="191"/>
      <c r="C19" s="60"/>
      <c r="D19" s="137"/>
      <c r="E19" s="138"/>
      <c r="F19" s="138"/>
      <c r="G19" s="139"/>
      <c r="I19" s="5"/>
      <c r="J19" s="5"/>
      <c r="K19" s="5"/>
      <c r="L19" s="5"/>
      <c r="N19" s="5"/>
      <c r="O19" s="5"/>
      <c r="P19" s="5"/>
      <c r="Q19" s="5"/>
    </row>
    <row r="20" spans="2:17" s="58" customFormat="1" ht="18.75" customHeight="1" x14ac:dyDescent="0.15">
      <c r="B20" s="191"/>
      <c r="C20" s="60"/>
      <c r="D20" s="137"/>
      <c r="E20" s="138"/>
      <c r="F20" s="138"/>
      <c r="G20" s="139"/>
      <c r="I20" s="5"/>
      <c r="J20" s="5"/>
      <c r="K20" s="5"/>
      <c r="L20" s="5"/>
      <c r="N20" s="5"/>
      <c r="O20" s="5"/>
      <c r="P20" s="5"/>
      <c r="Q20" s="5"/>
    </row>
    <row r="21" spans="2:17" s="58" customFormat="1" ht="18.75" customHeight="1" x14ac:dyDescent="0.15">
      <c r="B21" s="191"/>
      <c r="C21" s="60"/>
      <c r="D21" s="137"/>
      <c r="E21" s="138"/>
      <c r="F21" s="138"/>
      <c r="G21" s="139"/>
      <c r="I21" s="5"/>
      <c r="J21" s="5"/>
      <c r="K21" s="5"/>
      <c r="L21" s="5"/>
      <c r="N21" s="5"/>
      <c r="O21" s="5"/>
      <c r="P21" s="5"/>
      <c r="Q21" s="5"/>
    </row>
    <row r="22" spans="2:17" s="58" customFormat="1" ht="18.75" customHeight="1" x14ac:dyDescent="0.15">
      <c r="B22" s="191"/>
      <c r="C22" s="60"/>
      <c r="D22" s="137"/>
      <c r="E22" s="138"/>
      <c r="F22" s="138"/>
      <c r="G22" s="139"/>
      <c r="I22" s="5"/>
      <c r="J22" s="5"/>
      <c r="K22" s="5"/>
      <c r="L22" s="5"/>
      <c r="N22" s="5"/>
      <c r="O22" s="5"/>
      <c r="P22" s="5"/>
      <c r="Q22" s="5"/>
    </row>
    <row r="23" spans="2:17" s="58" customFormat="1" ht="18.75" customHeight="1" x14ac:dyDescent="0.15">
      <c r="B23" s="191"/>
      <c r="C23" s="60"/>
      <c r="D23" s="137"/>
      <c r="E23" s="138"/>
      <c r="F23" s="138"/>
      <c r="G23" s="139"/>
    </row>
    <row r="24" spans="2:17" s="58" customFormat="1" ht="18.75" customHeight="1" x14ac:dyDescent="0.15">
      <c r="B24" s="191"/>
      <c r="C24" s="60"/>
      <c r="D24" s="137"/>
      <c r="E24" s="138"/>
      <c r="F24" s="138"/>
      <c r="G24" s="139"/>
    </row>
    <row r="25" spans="2:17" s="58" customFormat="1" ht="18.75" customHeight="1" x14ac:dyDescent="0.15">
      <c r="B25" s="191"/>
      <c r="C25" s="60"/>
      <c r="D25" s="137"/>
      <c r="E25" s="138"/>
      <c r="F25" s="138"/>
      <c r="G25" s="139"/>
    </row>
    <row r="26" spans="2:17" ht="18.75" customHeight="1" x14ac:dyDescent="0.15">
      <c r="B26" s="190" t="s">
        <v>105</v>
      </c>
      <c r="C26" s="137" t="s">
        <v>101</v>
      </c>
      <c r="D26" s="138"/>
      <c r="E26" s="138"/>
      <c r="F26" s="138"/>
      <c r="G26" s="139"/>
    </row>
    <row r="27" spans="2:17" ht="37.5" customHeight="1" x14ac:dyDescent="0.15">
      <c r="B27" s="191"/>
      <c r="C27" s="202" t="s">
        <v>213</v>
      </c>
      <c r="D27" s="203"/>
      <c r="E27" s="203"/>
      <c r="F27" s="203"/>
      <c r="G27" s="204"/>
    </row>
    <row r="28" spans="2:17" ht="37.5" customHeight="1" x14ac:dyDescent="0.15">
      <c r="B28" s="191"/>
      <c r="C28" s="205"/>
      <c r="D28" s="206"/>
      <c r="E28" s="206"/>
      <c r="F28" s="206"/>
      <c r="G28" s="207"/>
    </row>
    <row r="29" spans="2:17" ht="37.5" customHeight="1" x14ac:dyDescent="0.15">
      <c r="B29" s="191"/>
      <c r="C29" s="205"/>
      <c r="D29" s="206"/>
      <c r="E29" s="206"/>
      <c r="F29" s="206"/>
      <c r="G29" s="207"/>
    </row>
    <row r="30" spans="2:17" ht="37.5" customHeight="1" x14ac:dyDescent="0.15">
      <c r="B30" s="191"/>
      <c r="C30" s="205"/>
      <c r="D30" s="206"/>
      <c r="E30" s="206"/>
      <c r="F30" s="206"/>
      <c r="G30" s="207"/>
    </row>
    <row r="31" spans="2:17" ht="37.5" customHeight="1" x14ac:dyDescent="0.15">
      <c r="B31" s="191"/>
      <c r="C31" s="208"/>
      <c r="D31" s="209"/>
      <c r="E31" s="209"/>
      <c r="F31" s="209"/>
      <c r="G31" s="210"/>
    </row>
    <row r="32" spans="2:17" ht="18.75" customHeight="1" x14ac:dyDescent="0.15">
      <c r="B32" s="191"/>
      <c r="C32" s="85" t="s">
        <v>102</v>
      </c>
      <c r="D32" s="137" t="s">
        <v>103</v>
      </c>
      <c r="E32" s="138"/>
      <c r="F32" s="138"/>
      <c r="G32" s="139"/>
    </row>
    <row r="33" spans="2:7" ht="18.75" customHeight="1" x14ac:dyDescent="0.15">
      <c r="B33" s="191"/>
      <c r="C33" s="60" t="s">
        <v>175</v>
      </c>
      <c r="D33" s="110" t="s">
        <v>155</v>
      </c>
      <c r="E33" s="111"/>
      <c r="F33" s="111"/>
      <c r="G33" s="112"/>
    </row>
    <row r="34" spans="2:7" ht="18.75" customHeight="1" x14ac:dyDescent="0.15">
      <c r="B34" s="191"/>
      <c r="C34" s="100" t="s">
        <v>159</v>
      </c>
      <c r="D34" s="110" t="s">
        <v>160</v>
      </c>
      <c r="E34" s="111"/>
      <c r="F34" s="111"/>
      <c r="G34" s="112"/>
    </row>
    <row r="35" spans="2:7" ht="18.75" customHeight="1" x14ac:dyDescent="0.15">
      <c r="B35" s="191"/>
      <c r="C35" s="86" t="s">
        <v>139</v>
      </c>
      <c r="D35" s="110" t="s">
        <v>156</v>
      </c>
      <c r="E35" s="111"/>
      <c r="F35" s="111"/>
      <c r="G35" s="112"/>
    </row>
    <row r="36" spans="2:7" ht="18.75" customHeight="1" x14ac:dyDescent="0.15">
      <c r="B36" s="191"/>
      <c r="C36" s="100" t="s">
        <v>162</v>
      </c>
      <c r="D36" s="110" t="s">
        <v>163</v>
      </c>
      <c r="E36" s="111"/>
      <c r="F36" s="111"/>
      <c r="G36" s="112"/>
    </row>
    <row r="37" spans="2:7" ht="18.75" customHeight="1" x14ac:dyDescent="0.15">
      <c r="B37" s="191"/>
      <c r="C37" s="100" t="s">
        <v>164</v>
      </c>
      <c r="D37" s="110" t="s">
        <v>165</v>
      </c>
      <c r="E37" s="111"/>
      <c r="F37" s="111"/>
      <c r="G37" s="112"/>
    </row>
    <row r="38" spans="2:7" ht="18.75" customHeight="1" x14ac:dyDescent="0.15">
      <c r="B38" s="191"/>
      <c r="C38" s="60" t="s">
        <v>157</v>
      </c>
      <c r="D38" s="110" t="s">
        <v>158</v>
      </c>
      <c r="E38" s="111"/>
      <c r="F38" s="111"/>
      <c r="G38" s="112"/>
    </row>
    <row r="39" spans="2:7" ht="18.75" customHeight="1" x14ac:dyDescent="0.15">
      <c r="B39" s="191"/>
      <c r="C39" s="102" t="s">
        <v>161</v>
      </c>
      <c r="D39" s="110" t="s">
        <v>197</v>
      </c>
      <c r="E39" s="111"/>
      <c r="F39" s="111"/>
      <c r="G39" s="112"/>
    </row>
    <row r="40" spans="2:7" ht="18.75" customHeight="1" x14ac:dyDescent="0.15">
      <c r="B40" s="191"/>
      <c r="C40" s="101"/>
      <c r="D40" s="110"/>
      <c r="E40" s="111"/>
      <c r="F40" s="111"/>
      <c r="G40" s="112"/>
    </row>
    <row r="41" spans="2:7" ht="18.75" customHeight="1" x14ac:dyDescent="0.15">
      <c r="B41" s="191"/>
      <c r="C41" s="101"/>
      <c r="D41" s="110"/>
      <c r="E41" s="111"/>
      <c r="F41" s="111"/>
      <c r="G41" s="112"/>
    </row>
    <row r="42" spans="2:7" ht="18.75" customHeight="1" x14ac:dyDescent="0.15">
      <c r="B42" s="191"/>
      <c r="C42" s="60"/>
      <c r="D42" s="110"/>
      <c r="E42" s="111"/>
      <c r="F42" s="111"/>
      <c r="G42" s="112"/>
    </row>
    <row r="43" spans="2:7" ht="18.75" customHeight="1" x14ac:dyDescent="0.15">
      <c r="B43" s="191"/>
      <c r="C43" s="60"/>
      <c r="D43" s="110"/>
      <c r="E43" s="111"/>
      <c r="F43" s="111"/>
      <c r="G43" s="112"/>
    </row>
    <row r="44" spans="2:7" ht="18.75" customHeight="1" x14ac:dyDescent="0.15">
      <c r="B44" s="191"/>
      <c r="C44" s="60"/>
      <c r="D44" s="110"/>
      <c r="E44" s="111"/>
      <c r="F44" s="111"/>
      <c r="G44" s="112"/>
    </row>
    <row r="45" spans="2:7" ht="18.75" customHeight="1" x14ac:dyDescent="0.15">
      <c r="B45" s="191"/>
      <c r="C45" s="60"/>
      <c r="D45" s="110"/>
      <c r="E45" s="111"/>
      <c r="F45" s="111"/>
      <c r="G45" s="112"/>
    </row>
    <row r="46" spans="2:7" ht="18.75" customHeight="1" x14ac:dyDescent="0.15">
      <c r="B46" s="191"/>
      <c r="C46" s="60"/>
      <c r="D46" s="110"/>
      <c r="E46" s="111"/>
      <c r="F46" s="111"/>
      <c r="G46" s="112"/>
    </row>
    <row r="47" spans="2:7" ht="18.75" customHeight="1" x14ac:dyDescent="0.15">
      <c r="B47" s="191"/>
      <c r="C47" s="60"/>
      <c r="D47" s="110"/>
      <c r="E47" s="111"/>
      <c r="F47" s="111"/>
      <c r="G47" s="112"/>
    </row>
    <row r="48" spans="2:7" ht="18.75" customHeight="1" x14ac:dyDescent="0.15">
      <c r="B48" s="191"/>
      <c r="C48" s="60"/>
      <c r="D48" s="110"/>
      <c r="E48" s="111"/>
      <c r="F48" s="111"/>
      <c r="G48" s="112"/>
    </row>
    <row r="49" spans="2:7" ht="18.75" customHeight="1" x14ac:dyDescent="0.15">
      <c r="B49" s="191"/>
      <c r="C49" s="60"/>
      <c r="D49" s="110"/>
      <c r="E49" s="111"/>
      <c r="F49" s="111"/>
      <c r="G49" s="112"/>
    </row>
    <row r="50" spans="2:7" ht="18.75" customHeight="1" x14ac:dyDescent="0.15">
      <c r="B50" s="201"/>
      <c r="C50" s="60"/>
      <c r="D50" s="110"/>
      <c r="E50" s="111"/>
      <c r="F50" s="111"/>
      <c r="G50" s="112"/>
    </row>
    <row r="51" spans="2:7" ht="18.75" customHeight="1" x14ac:dyDescent="0.15">
      <c r="B51" s="190" t="s">
        <v>107</v>
      </c>
      <c r="C51" s="137" t="s">
        <v>101</v>
      </c>
      <c r="D51" s="138"/>
      <c r="E51" s="138"/>
      <c r="F51" s="138"/>
      <c r="G51" s="139"/>
    </row>
    <row r="52" spans="2:7" ht="37.5" customHeight="1" x14ac:dyDescent="0.15">
      <c r="B52" s="191"/>
      <c r="C52" s="202" t="s">
        <v>166</v>
      </c>
      <c r="D52" s="203"/>
      <c r="E52" s="203"/>
      <c r="F52" s="203"/>
      <c r="G52" s="204"/>
    </row>
    <row r="53" spans="2:7" ht="37.5" customHeight="1" x14ac:dyDescent="0.15">
      <c r="B53" s="191"/>
      <c r="C53" s="205"/>
      <c r="D53" s="206"/>
      <c r="E53" s="206"/>
      <c r="F53" s="206"/>
      <c r="G53" s="207"/>
    </row>
    <row r="54" spans="2:7" ht="37.5" customHeight="1" x14ac:dyDescent="0.15">
      <c r="B54" s="191"/>
      <c r="C54" s="205"/>
      <c r="D54" s="206"/>
      <c r="E54" s="206"/>
      <c r="F54" s="206"/>
      <c r="G54" s="207"/>
    </row>
    <row r="55" spans="2:7" ht="37.5" customHeight="1" x14ac:dyDescent="0.15">
      <c r="B55" s="191"/>
      <c r="C55" s="205"/>
      <c r="D55" s="206"/>
      <c r="E55" s="206"/>
      <c r="F55" s="206"/>
      <c r="G55" s="207"/>
    </row>
    <row r="56" spans="2:7" ht="37.5" customHeight="1" x14ac:dyDescent="0.15">
      <c r="B56" s="191"/>
      <c r="C56" s="208"/>
      <c r="D56" s="209"/>
      <c r="E56" s="209"/>
      <c r="F56" s="209"/>
      <c r="G56" s="210"/>
    </row>
    <row r="57" spans="2:7" ht="18.75" customHeight="1" x14ac:dyDescent="0.15">
      <c r="B57" s="191"/>
      <c r="C57" s="85" t="s">
        <v>102</v>
      </c>
      <c r="D57" s="137" t="s">
        <v>103</v>
      </c>
      <c r="E57" s="138"/>
      <c r="F57" s="138"/>
      <c r="G57" s="139"/>
    </row>
    <row r="58" spans="2:7" ht="18.75" customHeight="1" x14ac:dyDescent="0.15">
      <c r="B58" s="191"/>
      <c r="C58" s="60" t="s">
        <v>139</v>
      </c>
      <c r="D58" s="110" t="s">
        <v>140</v>
      </c>
      <c r="E58" s="111"/>
      <c r="F58" s="111"/>
      <c r="G58" s="112"/>
    </row>
    <row r="59" spans="2:7" ht="18.75" customHeight="1" x14ac:dyDescent="0.15">
      <c r="B59" s="191"/>
      <c r="C59" s="86" t="s">
        <v>139</v>
      </c>
      <c r="D59" s="110" t="s">
        <v>167</v>
      </c>
      <c r="E59" s="111"/>
      <c r="F59" s="111"/>
      <c r="G59" s="112"/>
    </row>
    <row r="60" spans="2:7" ht="18.75" customHeight="1" x14ac:dyDescent="0.15">
      <c r="B60" s="191"/>
      <c r="C60" s="60" t="s">
        <v>157</v>
      </c>
      <c r="D60" s="110" t="s">
        <v>168</v>
      </c>
      <c r="E60" s="111"/>
      <c r="F60" s="111"/>
      <c r="G60" s="112"/>
    </row>
    <row r="61" spans="2:7" ht="18.75" customHeight="1" x14ac:dyDescent="0.15">
      <c r="B61" s="191"/>
      <c r="C61" s="60"/>
      <c r="D61" s="110"/>
      <c r="E61" s="111"/>
      <c r="F61" s="111"/>
      <c r="G61" s="112"/>
    </row>
    <row r="62" spans="2:7" ht="18.75" customHeight="1" x14ac:dyDescent="0.15">
      <c r="B62" s="191"/>
      <c r="C62" s="60"/>
      <c r="D62" s="110"/>
      <c r="E62" s="111"/>
      <c r="F62" s="111"/>
      <c r="G62" s="112"/>
    </row>
    <row r="63" spans="2:7" ht="18.75" customHeight="1" x14ac:dyDescent="0.15">
      <c r="B63" s="191"/>
      <c r="C63" s="60"/>
      <c r="D63" s="110"/>
      <c r="E63" s="111"/>
      <c r="F63" s="111"/>
      <c r="G63" s="112"/>
    </row>
    <row r="64" spans="2:7" ht="18.75" customHeight="1" x14ac:dyDescent="0.15">
      <c r="B64" s="191"/>
      <c r="C64" s="60"/>
      <c r="D64" s="110"/>
      <c r="E64" s="111"/>
      <c r="F64" s="111"/>
      <c r="G64" s="112"/>
    </row>
    <row r="65" spans="2:7" ht="18.75" customHeight="1" x14ac:dyDescent="0.15">
      <c r="B65" s="191"/>
      <c r="C65" s="60"/>
      <c r="D65" s="110"/>
      <c r="E65" s="111"/>
      <c r="F65" s="111"/>
      <c r="G65" s="112"/>
    </row>
    <row r="66" spans="2:7" ht="18.75" customHeight="1" x14ac:dyDescent="0.15">
      <c r="B66" s="191"/>
      <c r="C66" s="60"/>
      <c r="D66" s="110"/>
      <c r="E66" s="111"/>
      <c r="F66" s="111"/>
      <c r="G66" s="112"/>
    </row>
    <row r="67" spans="2:7" ht="18.75" customHeight="1" x14ac:dyDescent="0.15">
      <c r="B67" s="191"/>
      <c r="C67" s="60"/>
      <c r="D67" s="110"/>
      <c r="E67" s="111"/>
      <c r="F67" s="111"/>
      <c r="G67" s="112"/>
    </row>
    <row r="68" spans="2:7" ht="18.75" customHeight="1" x14ac:dyDescent="0.15">
      <c r="B68" s="191"/>
      <c r="C68" s="60"/>
      <c r="D68" s="110"/>
      <c r="E68" s="111"/>
      <c r="F68" s="111"/>
      <c r="G68" s="112"/>
    </row>
    <row r="69" spans="2:7" ht="18.75" customHeight="1" x14ac:dyDescent="0.15">
      <c r="B69" s="191"/>
      <c r="C69" s="60"/>
      <c r="D69" s="110"/>
      <c r="E69" s="111"/>
      <c r="F69" s="111"/>
      <c r="G69" s="112"/>
    </row>
    <row r="70" spans="2:7" ht="18.75" customHeight="1" x14ac:dyDescent="0.15">
      <c r="B70" s="191"/>
      <c r="C70" s="60"/>
      <c r="D70" s="110"/>
      <c r="E70" s="111"/>
      <c r="F70" s="111"/>
      <c r="G70" s="112"/>
    </row>
    <row r="71" spans="2:7" ht="18.75" customHeight="1" x14ac:dyDescent="0.15">
      <c r="B71" s="191"/>
      <c r="C71" s="60"/>
      <c r="D71" s="110"/>
      <c r="E71" s="111"/>
      <c r="F71" s="111"/>
      <c r="G71" s="112"/>
    </row>
    <row r="72" spans="2:7" ht="18.75" customHeight="1" x14ac:dyDescent="0.15">
      <c r="B72" s="191"/>
      <c r="C72" s="60"/>
      <c r="D72" s="110"/>
      <c r="E72" s="111"/>
      <c r="F72" s="111"/>
      <c r="G72" s="112"/>
    </row>
    <row r="73" spans="2:7" ht="18.75" customHeight="1" x14ac:dyDescent="0.15">
      <c r="B73" s="191"/>
      <c r="C73" s="60"/>
      <c r="D73" s="110"/>
      <c r="E73" s="111"/>
      <c r="F73" s="111"/>
      <c r="G73" s="112"/>
    </row>
    <row r="74" spans="2:7" ht="18.75" customHeight="1" x14ac:dyDescent="0.15">
      <c r="B74" s="191"/>
      <c r="C74" s="60"/>
      <c r="D74" s="110"/>
      <c r="E74" s="111"/>
      <c r="F74" s="111"/>
      <c r="G74" s="112"/>
    </row>
    <row r="75" spans="2:7" ht="18.75" customHeight="1" x14ac:dyDescent="0.15">
      <c r="B75" s="191"/>
      <c r="C75" s="60"/>
      <c r="D75" s="110"/>
      <c r="E75" s="111"/>
      <c r="F75" s="111"/>
      <c r="G75" s="112"/>
    </row>
    <row r="76" spans="2:7" ht="18.75" customHeight="1" x14ac:dyDescent="0.15">
      <c r="B76" s="190" t="s">
        <v>106</v>
      </c>
      <c r="C76" s="137" t="s">
        <v>101</v>
      </c>
      <c r="D76" s="138"/>
      <c r="E76" s="138"/>
      <c r="F76" s="138"/>
      <c r="G76" s="139"/>
    </row>
    <row r="77" spans="2:7" ht="37.5" customHeight="1" x14ac:dyDescent="0.15">
      <c r="B77" s="191"/>
      <c r="C77" s="202" t="s">
        <v>169</v>
      </c>
      <c r="D77" s="203"/>
      <c r="E77" s="203"/>
      <c r="F77" s="203"/>
      <c r="G77" s="204"/>
    </row>
    <row r="78" spans="2:7" ht="37.5" customHeight="1" x14ac:dyDescent="0.15">
      <c r="B78" s="191"/>
      <c r="C78" s="205"/>
      <c r="D78" s="206"/>
      <c r="E78" s="206"/>
      <c r="F78" s="206"/>
      <c r="G78" s="207"/>
    </row>
    <row r="79" spans="2:7" ht="37.5" customHeight="1" x14ac:dyDescent="0.15">
      <c r="B79" s="191"/>
      <c r="C79" s="205"/>
      <c r="D79" s="206"/>
      <c r="E79" s="206"/>
      <c r="F79" s="206"/>
      <c r="G79" s="207"/>
    </row>
    <row r="80" spans="2:7" ht="37.5" customHeight="1" x14ac:dyDescent="0.15">
      <c r="B80" s="191"/>
      <c r="C80" s="205"/>
      <c r="D80" s="206"/>
      <c r="E80" s="206"/>
      <c r="F80" s="206"/>
      <c r="G80" s="207"/>
    </row>
    <row r="81" spans="2:7" ht="37.5" customHeight="1" x14ac:dyDescent="0.15">
      <c r="B81" s="191"/>
      <c r="C81" s="208"/>
      <c r="D81" s="209"/>
      <c r="E81" s="209"/>
      <c r="F81" s="209"/>
      <c r="G81" s="210"/>
    </row>
    <row r="82" spans="2:7" ht="18.75" customHeight="1" x14ac:dyDescent="0.15">
      <c r="B82" s="191"/>
      <c r="C82" s="85" t="s">
        <v>102</v>
      </c>
      <c r="D82" s="137" t="s">
        <v>103</v>
      </c>
      <c r="E82" s="138"/>
      <c r="F82" s="138"/>
      <c r="G82" s="139"/>
    </row>
    <row r="83" spans="2:7" ht="18.75" customHeight="1" x14ac:dyDescent="0.15">
      <c r="B83" s="191"/>
      <c r="C83" s="60" t="s">
        <v>139</v>
      </c>
      <c r="D83" s="110" t="s">
        <v>140</v>
      </c>
      <c r="E83" s="111"/>
      <c r="F83" s="111"/>
      <c r="G83" s="112"/>
    </row>
    <row r="84" spans="2:7" ht="18.75" customHeight="1" x14ac:dyDescent="0.15">
      <c r="B84" s="191"/>
      <c r="C84" s="86"/>
      <c r="D84" s="110"/>
      <c r="E84" s="111"/>
      <c r="F84" s="111"/>
      <c r="G84" s="112"/>
    </row>
    <row r="85" spans="2:7" ht="18.75" customHeight="1" x14ac:dyDescent="0.15">
      <c r="B85" s="191"/>
      <c r="C85" s="60"/>
      <c r="D85" s="110"/>
      <c r="E85" s="111"/>
      <c r="F85" s="111"/>
      <c r="G85" s="112"/>
    </row>
    <row r="86" spans="2:7" ht="18.75" customHeight="1" x14ac:dyDescent="0.15">
      <c r="B86" s="191"/>
      <c r="C86" s="60"/>
      <c r="D86" s="110"/>
      <c r="E86" s="111"/>
      <c r="F86" s="111"/>
      <c r="G86" s="112"/>
    </row>
    <row r="87" spans="2:7" ht="18.75" customHeight="1" x14ac:dyDescent="0.15">
      <c r="B87" s="191"/>
      <c r="C87" s="60"/>
      <c r="D87" s="110"/>
      <c r="E87" s="111"/>
      <c r="F87" s="111"/>
      <c r="G87" s="112"/>
    </row>
    <row r="88" spans="2:7" ht="18.75" customHeight="1" x14ac:dyDescent="0.15">
      <c r="B88" s="191"/>
      <c r="C88" s="60"/>
      <c r="D88" s="110"/>
      <c r="E88" s="111"/>
      <c r="F88" s="111"/>
      <c r="G88" s="112"/>
    </row>
    <row r="89" spans="2:7" ht="18.75" customHeight="1" x14ac:dyDescent="0.15">
      <c r="B89" s="191"/>
      <c r="C89" s="60"/>
      <c r="D89" s="110"/>
      <c r="E89" s="111"/>
      <c r="F89" s="111"/>
      <c r="G89" s="112"/>
    </row>
    <row r="90" spans="2:7" ht="18.75" customHeight="1" x14ac:dyDescent="0.15">
      <c r="B90" s="191"/>
      <c r="C90" s="60"/>
      <c r="D90" s="110"/>
      <c r="E90" s="111"/>
      <c r="F90" s="111"/>
      <c r="G90" s="112"/>
    </row>
    <row r="91" spans="2:7" ht="18.75" customHeight="1" x14ac:dyDescent="0.15">
      <c r="B91" s="191"/>
      <c r="C91" s="60"/>
      <c r="D91" s="110"/>
      <c r="E91" s="111"/>
      <c r="F91" s="111"/>
      <c r="G91" s="112"/>
    </row>
    <row r="92" spans="2:7" ht="18.75" customHeight="1" x14ac:dyDescent="0.15">
      <c r="B92" s="191"/>
      <c r="C92" s="60"/>
      <c r="D92" s="110"/>
      <c r="E92" s="111"/>
      <c r="F92" s="111"/>
      <c r="G92" s="112"/>
    </row>
    <row r="93" spans="2:7" ht="18.75" customHeight="1" x14ac:dyDescent="0.15">
      <c r="B93" s="191"/>
      <c r="C93" s="60"/>
      <c r="D93" s="110"/>
      <c r="E93" s="111"/>
      <c r="F93" s="111"/>
      <c r="G93" s="112"/>
    </row>
    <row r="94" spans="2:7" ht="18.75" customHeight="1" x14ac:dyDescent="0.15">
      <c r="B94" s="191"/>
      <c r="C94" s="60"/>
      <c r="D94" s="110"/>
      <c r="E94" s="111"/>
      <c r="F94" s="111"/>
      <c r="G94" s="112"/>
    </row>
    <row r="95" spans="2:7" ht="18.75" customHeight="1" x14ac:dyDescent="0.15">
      <c r="B95" s="191"/>
      <c r="C95" s="60"/>
      <c r="D95" s="110"/>
      <c r="E95" s="111"/>
      <c r="F95" s="111"/>
      <c r="G95" s="112"/>
    </row>
    <row r="96" spans="2:7" ht="18.75" customHeight="1" x14ac:dyDescent="0.15">
      <c r="B96" s="191"/>
      <c r="C96" s="60"/>
      <c r="D96" s="110"/>
      <c r="E96" s="111"/>
      <c r="F96" s="111"/>
      <c r="G96" s="112"/>
    </row>
    <row r="97" spans="2:7" ht="18.75" customHeight="1" x14ac:dyDescent="0.15">
      <c r="B97" s="191"/>
      <c r="C97" s="60"/>
      <c r="D97" s="110"/>
      <c r="E97" s="111"/>
      <c r="F97" s="111"/>
      <c r="G97" s="112"/>
    </row>
    <row r="98" spans="2:7" ht="18.75" customHeight="1" x14ac:dyDescent="0.15">
      <c r="B98" s="191"/>
      <c r="C98" s="60"/>
      <c r="D98" s="110"/>
      <c r="E98" s="111"/>
      <c r="F98" s="111"/>
      <c r="G98" s="112"/>
    </row>
    <row r="99" spans="2:7" ht="18.75" customHeight="1" x14ac:dyDescent="0.15">
      <c r="B99" s="191"/>
      <c r="C99" s="60"/>
      <c r="D99" s="110"/>
      <c r="E99" s="111"/>
      <c r="F99" s="111"/>
      <c r="G99" s="112"/>
    </row>
    <row r="100" spans="2:7" ht="18.75" customHeight="1" x14ac:dyDescent="0.15">
      <c r="B100" s="191"/>
      <c r="C100" s="60"/>
      <c r="D100" s="110"/>
      <c r="E100" s="111"/>
      <c r="F100" s="111"/>
      <c r="G100" s="112"/>
    </row>
    <row r="101" spans="2:7" ht="18.75" customHeight="1" x14ac:dyDescent="0.15">
      <c r="B101" s="190" t="s">
        <v>108</v>
      </c>
      <c r="C101" s="137" t="s">
        <v>101</v>
      </c>
      <c r="D101" s="138"/>
      <c r="E101" s="138"/>
      <c r="F101" s="138"/>
      <c r="G101" s="139"/>
    </row>
    <row r="102" spans="2:7" ht="37.5" customHeight="1" x14ac:dyDescent="0.15">
      <c r="B102" s="191"/>
      <c r="C102" s="202" t="s">
        <v>166</v>
      </c>
      <c r="D102" s="203"/>
      <c r="E102" s="203"/>
      <c r="F102" s="203"/>
      <c r="G102" s="204"/>
    </row>
    <row r="103" spans="2:7" ht="37.5" customHeight="1" x14ac:dyDescent="0.15">
      <c r="B103" s="191"/>
      <c r="C103" s="205"/>
      <c r="D103" s="206"/>
      <c r="E103" s="206"/>
      <c r="F103" s="206"/>
      <c r="G103" s="207"/>
    </row>
    <row r="104" spans="2:7" ht="37.5" customHeight="1" x14ac:dyDescent="0.15">
      <c r="B104" s="191"/>
      <c r="C104" s="205"/>
      <c r="D104" s="206"/>
      <c r="E104" s="206"/>
      <c r="F104" s="206"/>
      <c r="G104" s="207"/>
    </row>
    <row r="105" spans="2:7" ht="37.5" customHeight="1" x14ac:dyDescent="0.15">
      <c r="B105" s="191"/>
      <c r="C105" s="205"/>
      <c r="D105" s="206"/>
      <c r="E105" s="206"/>
      <c r="F105" s="206"/>
      <c r="G105" s="207"/>
    </row>
    <row r="106" spans="2:7" ht="37.5" customHeight="1" x14ac:dyDescent="0.15">
      <c r="B106" s="191"/>
      <c r="C106" s="208"/>
      <c r="D106" s="209"/>
      <c r="E106" s="209"/>
      <c r="F106" s="209"/>
      <c r="G106" s="210"/>
    </row>
    <row r="107" spans="2:7" ht="18.75" customHeight="1" x14ac:dyDescent="0.15">
      <c r="B107" s="191"/>
      <c r="C107" s="85" t="s">
        <v>102</v>
      </c>
      <c r="D107" s="137" t="s">
        <v>103</v>
      </c>
      <c r="E107" s="138"/>
      <c r="F107" s="138"/>
      <c r="G107" s="139"/>
    </row>
    <row r="108" spans="2:7" ht="18.75" customHeight="1" x14ac:dyDescent="0.15">
      <c r="B108" s="191"/>
      <c r="C108" s="60" t="s">
        <v>139</v>
      </c>
      <c r="D108" s="110" t="s">
        <v>167</v>
      </c>
      <c r="E108" s="111"/>
      <c r="F108" s="111"/>
      <c r="G108" s="112"/>
    </row>
    <row r="109" spans="2:7" ht="18.75" customHeight="1" x14ac:dyDescent="0.15">
      <c r="B109" s="191"/>
      <c r="C109" s="86" t="s">
        <v>170</v>
      </c>
      <c r="D109" s="110" t="s">
        <v>171</v>
      </c>
      <c r="E109" s="111"/>
      <c r="F109" s="111"/>
      <c r="G109" s="112"/>
    </row>
    <row r="110" spans="2:7" ht="18.75" customHeight="1" x14ac:dyDescent="0.15">
      <c r="B110" s="191"/>
      <c r="C110" s="60"/>
      <c r="D110" s="110"/>
      <c r="E110" s="111"/>
      <c r="F110" s="111"/>
      <c r="G110" s="112"/>
    </row>
    <row r="111" spans="2:7" ht="18.75" customHeight="1" x14ac:dyDescent="0.15">
      <c r="B111" s="191"/>
      <c r="C111" s="60"/>
      <c r="D111" s="110"/>
      <c r="E111" s="111"/>
      <c r="F111" s="111"/>
      <c r="G111" s="112"/>
    </row>
    <row r="112" spans="2:7" ht="18.75" customHeight="1" x14ac:dyDescent="0.15">
      <c r="B112" s="191"/>
      <c r="C112" s="60"/>
      <c r="D112" s="110"/>
      <c r="E112" s="111"/>
      <c r="F112" s="111"/>
      <c r="G112" s="112"/>
    </row>
    <row r="113" spans="1:7" ht="18.75" customHeight="1" x14ac:dyDescent="0.15">
      <c r="B113" s="191"/>
      <c r="C113" s="60"/>
      <c r="D113" s="110"/>
      <c r="E113" s="111"/>
      <c r="F113" s="111"/>
      <c r="G113" s="112"/>
    </row>
    <row r="114" spans="1:7" ht="18.75" customHeight="1" x14ac:dyDescent="0.15">
      <c r="B114" s="191"/>
      <c r="C114" s="60"/>
      <c r="D114" s="110"/>
      <c r="E114" s="111"/>
      <c r="F114" s="111"/>
      <c r="G114" s="112"/>
    </row>
    <row r="115" spans="1:7" ht="18.75" customHeight="1" x14ac:dyDescent="0.15">
      <c r="B115" s="191"/>
      <c r="C115" s="60"/>
      <c r="D115" s="110"/>
      <c r="E115" s="111"/>
      <c r="F115" s="111"/>
      <c r="G115" s="112"/>
    </row>
    <row r="116" spans="1:7" ht="18.75" customHeight="1" x14ac:dyDescent="0.15">
      <c r="B116" s="191"/>
      <c r="C116" s="60"/>
      <c r="D116" s="110"/>
      <c r="E116" s="111"/>
      <c r="F116" s="111"/>
      <c r="G116" s="112"/>
    </row>
    <row r="117" spans="1:7" ht="18.75" customHeight="1" x14ac:dyDescent="0.15">
      <c r="B117" s="191"/>
      <c r="C117" s="60"/>
      <c r="D117" s="110"/>
      <c r="E117" s="111"/>
      <c r="F117" s="111"/>
      <c r="G117" s="112"/>
    </row>
    <row r="118" spans="1:7" ht="18.75" customHeight="1" x14ac:dyDescent="0.15">
      <c r="B118" s="191"/>
      <c r="C118" s="60"/>
      <c r="D118" s="110"/>
      <c r="E118" s="111"/>
      <c r="F118" s="111"/>
      <c r="G118" s="112"/>
    </row>
    <row r="119" spans="1:7" ht="18.75" customHeight="1" x14ac:dyDescent="0.15">
      <c r="B119" s="191"/>
      <c r="C119" s="60"/>
      <c r="D119" s="110"/>
      <c r="E119" s="111"/>
      <c r="F119" s="111"/>
      <c r="G119" s="112"/>
    </row>
    <row r="120" spans="1:7" ht="18.75" customHeight="1" x14ac:dyDescent="0.15">
      <c r="B120" s="191"/>
      <c r="C120" s="60"/>
      <c r="D120" s="110"/>
      <c r="E120" s="111"/>
      <c r="F120" s="111"/>
      <c r="G120" s="112"/>
    </row>
    <row r="121" spans="1:7" ht="18.75" customHeight="1" x14ac:dyDescent="0.15">
      <c r="B121" s="191"/>
      <c r="C121" s="60"/>
      <c r="D121" s="110"/>
      <c r="E121" s="111"/>
      <c r="F121" s="111"/>
      <c r="G121" s="112"/>
    </row>
    <row r="122" spans="1:7" ht="18.75" customHeight="1" x14ac:dyDescent="0.15">
      <c r="B122" s="191"/>
      <c r="C122" s="60"/>
      <c r="D122" s="110"/>
      <c r="E122" s="111"/>
      <c r="F122" s="111"/>
      <c r="G122" s="112"/>
    </row>
    <row r="123" spans="1:7" ht="18.75" customHeight="1" x14ac:dyDescent="0.15">
      <c r="B123" s="191"/>
      <c r="C123" s="60"/>
      <c r="D123" s="110"/>
      <c r="E123" s="111"/>
      <c r="F123" s="111"/>
      <c r="G123" s="112"/>
    </row>
    <row r="124" spans="1:7" ht="18.75" customHeight="1" x14ac:dyDescent="0.15">
      <c r="B124" s="191"/>
      <c r="C124" s="60"/>
      <c r="D124" s="110"/>
      <c r="E124" s="111"/>
      <c r="F124" s="111"/>
      <c r="G124" s="112"/>
    </row>
    <row r="125" spans="1:7" ht="18.75" customHeight="1" x14ac:dyDescent="0.15">
      <c r="B125" s="191"/>
      <c r="C125" s="60"/>
      <c r="D125" s="110"/>
      <c r="E125" s="111"/>
      <c r="F125" s="111"/>
      <c r="G125" s="112"/>
    </row>
    <row r="126" spans="1:7" ht="18.75" customHeight="1" x14ac:dyDescent="0.15">
      <c r="A126" s="5" t="s">
        <v>12</v>
      </c>
      <c r="B126" s="5" t="s">
        <v>99</v>
      </c>
    </row>
    <row r="127" spans="1:7" ht="22.5" customHeight="1" x14ac:dyDescent="0.15">
      <c r="B127" s="60" t="s">
        <v>72</v>
      </c>
      <c r="C127" s="137" t="s">
        <v>98</v>
      </c>
      <c r="D127" s="138"/>
      <c r="E127" s="138"/>
      <c r="F127" s="138"/>
      <c r="G127" s="139"/>
    </row>
    <row r="128" spans="1:7" ht="45" customHeight="1" x14ac:dyDescent="0.15">
      <c r="B128" s="87" t="s">
        <v>73</v>
      </c>
      <c r="C128" s="115" t="s">
        <v>172</v>
      </c>
      <c r="D128" s="116"/>
      <c r="E128" s="116"/>
      <c r="F128" s="116"/>
      <c r="G128" s="132"/>
    </row>
    <row r="129" spans="1:7" ht="45" customHeight="1" x14ac:dyDescent="0.15">
      <c r="B129" s="87" t="s">
        <v>74</v>
      </c>
      <c r="C129" s="115"/>
      <c r="D129" s="116"/>
      <c r="E129" s="116"/>
      <c r="F129" s="116"/>
      <c r="G129" s="132"/>
    </row>
    <row r="130" spans="1:7" ht="45" customHeight="1" x14ac:dyDescent="0.15">
      <c r="B130" s="87" t="s">
        <v>75</v>
      </c>
      <c r="C130" s="115" t="s">
        <v>173</v>
      </c>
      <c r="D130" s="116"/>
      <c r="E130" s="116"/>
      <c r="F130" s="116"/>
      <c r="G130" s="132"/>
    </row>
    <row r="131" spans="1:7" ht="45" customHeight="1" x14ac:dyDescent="0.15">
      <c r="B131" s="87" t="s">
        <v>76</v>
      </c>
      <c r="C131" s="115"/>
      <c r="D131" s="116"/>
      <c r="E131" s="116"/>
      <c r="F131" s="116"/>
      <c r="G131" s="132"/>
    </row>
    <row r="132" spans="1:7" ht="45" customHeight="1" x14ac:dyDescent="0.15">
      <c r="B132" s="87" t="s">
        <v>77</v>
      </c>
      <c r="C132" s="115" t="s">
        <v>173</v>
      </c>
      <c r="D132" s="116"/>
      <c r="E132" s="116"/>
      <c r="F132" s="116"/>
      <c r="G132" s="132"/>
    </row>
    <row r="133" spans="1:7" ht="45" customHeight="1" x14ac:dyDescent="0.15">
      <c r="B133" s="87" t="s">
        <v>78</v>
      </c>
      <c r="C133" s="115" t="s">
        <v>157</v>
      </c>
      <c r="D133" s="116"/>
      <c r="E133" s="116"/>
      <c r="F133" s="116"/>
      <c r="G133" s="132"/>
    </row>
    <row r="134" spans="1:7" ht="45" customHeight="1" x14ac:dyDescent="0.15">
      <c r="B134" s="87" t="s">
        <v>79</v>
      </c>
      <c r="C134" s="115" t="s">
        <v>173</v>
      </c>
      <c r="D134" s="116"/>
      <c r="E134" s="116"/>
      <c r="F134" s="116"/>
      <c r="G134" s="132"/>
    </row>
    <row r="135" spans="1:7" ht="45" customHeight="1" x14ac:dyDescent="0.15">
      <c r="B135" s="87" t="s">
        <v>80</v>
      </c>
      <c r="C135" s="115" t="s">
        <v>173</v>
      </c>
      <c r="D135" s="116"/>
      <c r="E135" s="116"/>
      <c r="F135" s="116"/>
      <c r="G135" s="132"/>
    </row>
    <row r="136" spans="1:7" ht="45" customHeight="1" x14ac:dyDescent="0.15">
      <c r="B136" s="87" t="s">
        <v>81</v>
      </c>
      <c r="C136" s="115"/>
      <c r="D136" s="116"/>
      <c r="E136" s="116"/>
      <c r="F136" s="116"/>
      <c r="G136" s="132"/>
    </row>
    <row r="137" spans="1:7" ht="7.5" customHeight="1" x14ac:dyDescent="0.15"/>
    <row r="138" spans="1:7" ht="18.75" customHeight="1" x14ac:dyDescent="0.15">
      <c r="A138" s="5" t="s">
        <v>13</v>
      </c>
      <c r="B138" s="5" t="s">
        <v>94</v>
      </c>
      <c r="E138" s="211" t="s">
        <v>208</v>
      </c>
      <c r="F138" s="116"/>
      <c r="G138" s="132"/>
    </row>
    <row r="139" spans="1:7" ht="7.5" customHeight="1" x14ac:dyDescent="0.15"/>
    <row r="140" spans="1:7" ht="18.75" customHeight="1" x14ac:dyDescent="0.15">
      <c r="A140" s="5" t="s">
        <v>16</v>
      </c>
      <c r="B140" s="5" t="s">
        <v>95</v>
      </c>
    </row>
    <row r="141" spans="1:7" ht="18.75" customHeight="1" x14ac:dyDescent="0.15">
      <c r="B141" s="181" t="s">
        <v>174</v>
      </c>
      <c r="C141" s="182"/>
      <c r="D141" s="182"/>
      <c r="E141" s="182"/>
      <c r="F141" s="182"/>
      <c r="G141" s="183"/>
    </row>
    <row r="142" spans="1:7" ht="18.75" customHeight="1" x14ac:dyDescent="0.15">
      <c r="B142" s="184"/>
      <c r="C142" s="185"/>
      <c r="D142" s="185"/>
      <c r="E142" s="185"/>
      <c r="F142" s="185"/>
      <c r="G142" s="186"/>
    </row>
    <row r="143" spans="1:7" ht="18.75" customHeight="1" x14ac:dyDescent="0.15">
      <c r="B143" s="184"/>
      <c r="C143" s="185"/>
      <c r="D143" s="185"/>
      <c r="E143" s="185"/>
      <c r="F143" s="185"/>
      <c r="G143" s="186"/>
    </row>
    <row r="144" spans="1:7" ht="18.75" customHeight="1" x14ac:dyDescent="0.15">
      <c r="B144" s="184"/>
      <c r="C144" s="185"/>
      <c r="D144" s="185"/>
      <c r="E144" s="185"/>
      <c r="F144" s="185"/>
      <c r="G144" s="186"/>
    </row>
    <row r="145" spans="2:7" ht="18.75" customHeight="1" x14ac:dyDescent="0.15">
      <c r="B145" s="187"/>
      <c r="C145" s="188"/>
      <c r="D145" s="188"/>
      <c r="E145" s="188"/>
      <c r="F145" s="188"/>
      <c r="G145" s="189"/>
    </row>
    <row r="146" spans="2:7" ht="18.75" customHeight="1" x14ac:dyDescent="0.15"/>
    <row r="147" spans="2:7" ht="18.75" customHeight="1" x14ac:dyDescent="0.15"/>
    <row r="148" spans="2:7" ht="18.75" customHeight="1" x14ac:dyDescent="0.15"/>
    <row r="149" spans="2:7" ht="18.75" customHeight="1" x14ac:dyDescent="0.15"/>
    <row r="150" spans="2:7" ht="18.75" customHeight="1" x14ac:dyDescent="0.15"/>
    <row r="151" spans="2:7" ht="18.75" customHeight="1" x14ac:dyDescent="0.15"/>
  </sheetData>
  <mergeCells count="120">
    <mergeCell ref="C135:G135"/>
    <mergeCell ref="C136:G136"/>
    <mergeCell ref="E138:G138"/>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D46:G46"/>
    <mergeCell ref="D38:G38"/>
    <mergeCell ref="D39:G39"/>
    <mergeCell ref="D40:G40"/>
    <mergeCell ref="D47:G47"/>
    <mergeCell ref="D48:G48"/>
    <mergeCell ref="D49:G49"/>
    <mergeCell ref="D50:G50"/>
    <mergeCell ref="D34:G34"/>
    <mergeCell ref="D36:G36"/>
    <mergeCell ref="D32:G32"/>
    <mergeCell ref="D33:G33"/>
    <mergeCell ref="D35:G35"/>
    <mergeCell ref="D41:G41"/>
    <mergeCell ref="D42:G42"/>
    <mergeCell ref="D43:G43"/>
    <mergeCell ref="D44:G44"/>
    <mergeCell ref="D45:G45"/>
    <mergeCell ref="D37:G37"/>
    <mergeCell ref="B141:G145"/>
    <mergeCell ref="D16:G16"/>
    <mergeCell ref="D17:G17"/>
    <mergeCell ref="D18:G18"/>
    <mergeCell ref="D19:G19"/>
    <mergeCell ref="D20:G20"/>
    <mergeCell ref="D21:G21"/>
    <mergeCell ref="A3:G3"/>
    <mergeCell ref="C5:G5"/>
    <mergeCell ref="B6:B25"/>
    <mergeCell ref="C6:G9"/>
    <mergeCell ref="D10:G10"/>
    <mergeCell ref="D12:G12"/>
    <mergeCell ref="D13:G13"/>
    <mergeCell ref="D14:G14"/>
    <mergeCell ref="D15:G15"/>
    <mergeCell ref="D22:G22"/>
    <mergeCell ref="D23:G23"/>
    <mergeCell ref="D24:G24"/>
    <mergeCell ref="D25:G25"/>
    <mergeCell ref="D11:G11"/>
    <mergeCell ref="B26:B50"/>
    <mergeCell ref="C26:G26"/>
    <mergeCell ref="C27:G31"/>
  </mergeCells>
  <phoneticPr fontId="1"/>
  <hyperlinks>
    <hyperlink ref="E138" r:id="rId1" xr:uid="{30A37BCF-A6FD-4F46-9919-697221214DEB}"/>
  </hyperlinks>
  <printOptions horizontalCentered="1"/>
  <pageMargins left="0.7" right="0.7" top="0.75" bottom="0.75" header="0.3" footer="0.3"/>
  <pageSetup paperSize="9" scale="67" fitToHeight="6" orientation="portrait" r:id="rId2"/>
  <rowBreaks count="2" manualBreakCount="2">
    <brk id="50" max="16383" man="1"/>
    <brk id="10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131C1-D939-4351-A383-DFF4AA6951E7}">
  <sheetPr>
    <pageSetUpPr fitToPage="1"/>
  </sheetPr>
  <dimension ref="A1:E62"/>
  <sheetViews>
    <sheetView showZeros="0" topLeftCell="A25" zoomScaleNormal="100" zoomScaleSheetLayoutView="100" workbookViewId="0">
      <selection activeCell="B21" sqref="B21:E24"/>
    </sheetView>
  </sheetViews>
  <sheetFormatPr defaultColWidth="11.375" defaultRowHeight="18.75" customHeight="1" x14ac:dyDescent="0.15"/>
  <cols>
    <col min="1" max="1" width="2.625" style="88" customWidth="1"/>
    <col min="2" max="2" width="54.125" style="5" customWidth="1"/>
    <col min="3" max="3" width="1.125" style="5" customWidth="1"/>
    <col min="4" max="4" width="22.5" style="5" customWidth="1"/>
    <col min="5" max="5" width="6.125" style="5" customWidth="1"/>
    <col min="6" max="16384" width="11.375" style="5"/>
  </cols>
  <sheetData>
    <row r="1" spans="1:5" ht="18.75" customHeight="1" x14ac:dyDescent="0.15">
      <c r="A1" s="5"/>
      <c r="E1" s="16" t="s">
        <v>100</v>
      </c>
    </row>
    <row r="2" spans="1:5" ht="18.75" customHeight="1" x14ac:dyDescent="0.15">
      <c r="B2" s="16" t="s">
        <v>85</v>
      </c>
      <c r="C2" s="16" t="s">
        <v>8</v>
      </c>
      <c r="D2" s="140" t="s">
        <v>143</v>
      </c>
      <c r="E2" s="140"/>
    </row>
    <row r="3" spans="1:5" ht="7.5" customHeight="1" x14ac:dyDescent="0.15">
      <c r="B3" s="16"/>
      <c r="C3" s="16"/>
      <c r="D3" s="58"/>
      <c r="E3" s="58"/>
    </row>
    <row r="4" spans="1:5" ht="18.75" customHeight="1" x14ac:dyDescent="0.15">
      <c r="B4" s="131" t="s">
        <v>82</v>
      </c>
      <c r="C4" s="131"/>
      <c r="D4" s="131"/>
      <c r="E4" s="131"/>
    </row>
    <row r="5" spans="1:5" ht="7.5" customHeight="1" x14ac:dyDescent="0.15">
      <c r="B5" s="58"/>
      <c r="C5" s="58"/>
      <c r="D5" s="58"/>
      <c r="E5" s="58"/>
    </row>
    <row r="6" spans="1:5" ht="18.75" customHeight="1" x14ac:dyDescent="0.15">
      <c r="A6" s="5" t="s">
        <v>7</v>
      </c>
      <c r="B6" s="5" t="s">
        <v>93</v>
      </c>
      <c r="C6" s="58"/>
      <c r="D6" s="58"/>
      <c r="E6" s="58"/>
    </row>
    <row r="7" spans="1:5" ht="18.75" customHeight="1" x14ac:dyDescent="0.15">
      <c r="A7" s="5"/>
      <c r="B7" s="221" t="s">
        <v>144</v>
      </c>
      <c r="C7" s="222"/>
      <c r="D7" s="222"/>
      <c r="E7" s="223"/>
    </row>
    <row r="8" spans="1:5" ht="7.5" customHeight="1" x14ac:dyDescent="0.15">
      <c r="B8" s="58"/>
      <c r="C8" s="58"/>
      <c r="D8" s="58"/>
      <c r="E8" s="58"/>
    </row>
    <row r="9" spans="1:5" ht="18.75" customHeight="1" x14ac:dyDescent="0.15">
      <c r="A9" s="5" t="s">
        <v>12</v>
      </c>
      <c r="B9" s="5" t="s">
        <v>44</v>
      </c>
    </row>
    <row r="10" spans="1:5" ht="36.75" customHeight="1" x14ac:dyDescent="0.15">
      <c r="A10" s="51"/>
      <c r="B10" s="224" t="s">
        <v>145</v>
      </c>
      <c r="C10" s="225"/>
      <c r="D10" s="225"/>
      <c r="E10" s="226"/>
    </row>
    <row r="11" spans="1:5" ht="36.75" customHeight="1" x14ac:dyDescent="0.15">
      <c r="A11" s="51"/>
      <c r="B11" s="227"/>
      <c r="C11" s="228"/>
      <c r="D11" s="228"/>
      <c r="E11" s="229"/>
    </row>
    <row r="12" spans="1:5" ht="48.75" customHeight="1" x14ac:dyDescent="0.15">
      <c r="A12" s="51"/>
      <c r="B12" s="230"/>
      <c r="C12" s="231"/>
      <c r="D12" s="231"/>
      <c r="E12" s="232"/>
    </row>
    <row r="13" spans="1:5" ht="7.5" customHeight="1" x14ac:dyDescent="0.15">
      <c r="A13" s="51"/>
      <c r="B13" s="51"/>
      <c r="C13" s="51"/>
      <c r="D13" s="51"/>
      <c r="E13" s="51"/>
    </row>
    <row r="14" spans="1:5" ht="18.75" customHeight="1" x14ac:dyDescent="0.15">
      <c r="A14" s="52" t="s">
        <v>13</v>
      </c>
      <c r="B14" s="52" t="s">
        <v>18</v>
      </c>
      <c r="C14" s="52"/>
      <c r="D14" s="52"/>
      <c r="E14" s="52"/>
    </row>
    <row r="15" spans="1:5" ht="30" customHeight="1" x14ac:dyDescent="0.15">
      <c r="A15" s="51"/>
      <c r="B15" s="224" t="s">
        <v>146</v>
      </c>
      <c r="C15" s="225"/>
      <c r="D15" s="225"/>
      <c r="E15" s="226"/>
    </row>
    <row r="16" spans="1:5" ht="30" customHeight="1" x14ac:dyDescent="0.15">
      <c r="A16" s="51"/>
      <c r="B16" s="227"/>
      <c r="C16" s="228"/>
      <c r="D16" s="228"/>
      <c r="E16" s="229"/>
    </row>
    <row r="17" spans="1:5" ht="30" customHeight="1" x14ac:dyDescent="0.15">
      <c r="A17" s="51"/>
      <c r="B17" s="227"/>
      <c r="C17" s="228"/>
      <c r="D17" s="228"/>
      <c r="E17" s="229"/>
    </row>
    <row r="18" spans="1:5" ht="30" customHeight="1" x14ac:dyDescent="0.15">
      <c r="A18" s="51"/>
      <c r="B18" s="230"/>
      <c r="C18" s="231"/>
      <c r="D18" s="231"/>
      <c r="E18" s="232"/>
    </row>
    <row r="19" spans="1:5" ht="7.5" customHeight="1" x14ac:dyDescent="0.15">
      <c r="A19" s="53"/>
      <c r="B19" s="53"/>
      <c r="C19" s="53"/>
      <c r="D19" s="53"/>
      <c r="E19" s="53"/>
    </row>
    <row r="20" spans="1:5" ht="18.75" customHeight="1" x14ac:dyDescent="0.15">
      <c r="A20" s="5" t="s">
        <v>16</v>
      </c>
      <c r="B20" s="5" t="s">
        <v>29</v>
      </c>
    </row>
    <row r="21" spans="1:5" ht="61.5" customHeight="1" x14ac:dyDescent="0.15">
      <c r="A21" s="5"/>
      <c r="B21" s="212" t="s">
        <v>176</v>
      </c>
      <c r="C21" s="213"/>
      <c r="D21" s="213"/>
      <c r="E21" s="214"/>
    </row>
    <row r="22" spans="1:5" ht="33" customHeight="1" x14ac:dyDescent="0.15">
      <c r="A22" s="5"/>
      <c r="B22" s="215"/>
      <c r="C22" s="216"/>
      <c r="D22" s="216"/>
      <c r="E22" s="217"/>
    </row>
    <row r="23" spans="1:5" ht="36.75" customHeight="1" x14ac:dyDescent="0.15">
      <c r="A23" s="5"/>
      <c r="B23" s="215"/>
      <c r="C23" s="216"/>
      <c r="D23" s="216"/>
      <c r="E23" s="217"/>
    </row>
    <row r="24" spans="1:5" ht="61.5" customHeight="1" x14ac:dyDescent="0.15">
      <c r="A24" s="53"/>
      <c r="B24" s="218"/>
      <c r="C24" s="219"/>
      <c r="D24" s="219"/>
      <c r="E24" s="220"/>
    </row>
    <row r="25" spans="1:5" ht="18.75" customHeight="1" x14ac:dyDescent="0.15">
      <c r="A25" s="52" t="s">
        <v>14</v>
      </c>
      <c r="B25" s="5" t="s">
        <v>83</v>
      </c>
      <c r="C25" s="52"/>
      <c r="D25" s="52"/>
      <c r="E25" s="52"/>
    </row>
    <row r="26" spans="1:5" ht="33" customHeight="1" x14ac:dyDescent="0.15">
      <c r="A26" s="53"/>
      <c r="B26" s="224" t="s">
        <v>188</v>
      </c>
      <c r="C26" s="233"/>
      <c r="D26" s="233"/>
      <c r="E26" s="234"/>
    </row>
    <row r="27" spans="1:5" ht="20.25" customHeight="1" x14ac:dyDescent="0.15">
      <c r="A27" s="53"/>
      <c r="B27" s="235"/>
      <c r="C27" s="236"/>
      <c r="D27" s="236"/>
      <c r="E27" s="237"/>
    </row>
    <row r="28" spans="1:5" ht="20.25" customHeight="1" x14ac:dyDescent="0.15">
      <c r="A28" s="53"/>
      <c r="B28" s="235"/>
      <c r="C28" s="236"/>
      <c r="D28" s="236"/>
      <c r="E28" s="237"/>
    </row>
    <row r="29" spans="1:5" ht="20.25" customHeight="1" x14ac:dyDescent="0.15">
      <c r="A29" s="53"/>
      <c r="B29" s="238"/>
      <c r="C29" s="239"/>
      <c r="D29" s="239"/>
      <c r="E29" s="240"/>
    </row>
    <row r="30" spans="1:5" ht="7.5" customHeight="1" x14ac:dyDescent="0.15">
      <c r="A30" s="53"/>
      <c r="B30" s="53"/>
      <c r="C30" s="53"/>
      <c r="D30" s="53"/>
      <c r="E30" s="53"/>
    </row>
    <row r="31" spans="1:5" ht="18.75" customHeight="1" x14ac:dyDescent="0.15">
      <c r="A31" s="5" t="s">
        <v>17</v>
      </c>
      <c r="B31" s="5" t="s">
        <v>92</v>
      </c>
    </row>
    <row r="32" spans="1:5" ht="33" customHeight="1" x14ac:dyDescent="0.15">
      <c r="A32" s="5"/>
      <c r="B32" s="224" t="s">
        <v>177</v>
      </c>
      <c r="C32" s="225"/>
      <c r="D32" s="225"/>
      <c r="E32" s="226"/>
    </row>
    <row r="33" spans="1:5" ht="33" customHeight="1" x14ac:dyDescent="0.15">
      <c r="A33" s="5"/>
      <c r="B33" s="227"/>
      <c r="C33" s="228"/>
      <c r="D33" s="228"/>
      <c r="E33" s="229"/>
    </row>
    <row r="34" spans="1:5" ht="33" customHeight="1" x14ac:dyDescent="0.15">
      <c r="A34" s="53"/>
      <c r="B34" s="230"/>
      <c r="C34" s="231"/>
      <c r="D34" s="231"/>
      <c r="E34" s="232"/>
    </row>
    <row r="35" spans="1:5" ht="7.5" customHeight="1" x14ac:dyDescent="0.15">
      <c r="A35" s="53"/>
      <c r="B35" s="53"/>
      <c r="C35" s="53"/>
      <c r="D35" s="53"/>
      <c r="E35" s="53"/>
    </row>
    <row r="36" spans="1:5" ht="18.75" customHeight="1" x14ac:dyDescent="0.15">
      <c r="A36" s="5" t="s">
        <v>15</v>
      </c>
      <c r="B36" s="5" t="s">
        <v>32</v>
      </c>
    </row>
    <row r="37" spans="1:5" ht="21" customHeight="1" x14ac:dyDescent="0.15">
      <c r="A37" s="5"/>
      <c r="B37" s="224" t="s">
        <v>178</v>
      </c>
      <c r="C37" s="225"/>
      <c r="D37" s="225"/>
      <c r="E37" s="226"/>
    </row>
    <row r="38" spans="1:5" ht="21" customHeight="1" x14ac:dyDescent="0.15">
      <c r="A38" s="5"/>
      <c r="B38" s="227"/>
      <c r="C38" s="228"/>
      <c r="D38" s="228"/>
      <c r="E38" s="229"/>
    </row>
    <row r="39" spans="1:5" ht="21" customHeight="1" x14ac:dyDescent="0.15">
      <c r="A39" s="53"/>
      <c r="B39" s="227"/>
      <c r="C39" s="228"/>
      <c r="D39" s="228"/>
      <c r="E39" s="229"/>
    </row>
    <row r="40" spans="1:5" ht="21" customHeight="1" x14ac:dyDescent="0.15">
      <c r="A40" s="53"/>
      <c r="B40" s="230"/>
      <c r="C40" s="231"/>
      <c r="D40" s="231"/>
      <c r="E40" s="232"/>
    </row>
    <row r="41" spans="1:5" ht="7.5" customHeight="1" x14ac:dyDescent="0.15">
      <c r="A41" s="53"/>
      <c r="B41" s="53"/>
      <c r="C41" s="53"/>
      <c r="D41" s="53"/>
      <c r="E41" s="53"/>
    </row>
    <row r="42" spans="1:5" ht="18.75" customHeight="1" x14ac:dyDescent="0.15">
      <c r="A42" s="5" t="s">
        <v>60</v>
      </c>
      <c r="B42" s="241" t="s">
        <v>126</v>
      </c>
      <c r="C42" s="241"/>
      <c r="D42" s="241"/>
      <c r="E42" s="241"/>
    </row>
    <row r="43" spans="1:5" ht="25.5" customHeight="1" x14ac:dyDescent="0.15">
      <c r="A43" s="53"/>
      <c r="B43" s="224" t="s">
        <v>179</v>
      </c>
      <c r="C43" s="225"/>
      <c r="D43" s="225"/>
      <c r="E43" s="226"/>
    </row>
    <row r="44" spans="1:5" ht="25.5" customHeight="1" x14ac:dyDescent="0.15">
      <c r="A44" s="53"/>
      <c r="B44" s="227"/>
      <c r="C44" s="228"/>
      <c r="D44" s="228"/>
      <c r="E44" s="229"/>
    </row>
    <row r="45" spans="1:5" ht="25.5" customHeight="1" x14ac:dyDescent="0.15">
      <c r="A45" s="53"/>
      <c r="B45" s="227"/>
      <c r="C45" s="228"/>
      <c r="D45" s="228"/>
      <c r="E45" s="229"/>
    </row>
    <row r="46" spans="1:5" ht="25.5" customHeight="1" x14ac:dyDescent="0.15">
      <c r="A46" s="53"/>
      <c r="B46" s="227"/>
      <c r="C46" s="228"/>
      <c r="D46" s="228"/>
      <c r="E46" s="229"/>
    </row>
    <row r="47" spans="1:5" ht="25.5" customHeight="1" x14ac:dyDescent="0.15">
      <c r="A47" s="53"/>
      <c r="B47" s="230"/>
      <c r="C47" s="231"/>
      <c r="D47" s="231"/>
      <c r="E47" s="232"/>
    </row>
    <row r="48" spans="1:5" ht="7.5" customHeight="1" x14ac:dyDescent="0.15">
      <c r="A48" s="53"/>
      <c r="B48" s="54"/>
      <c r="C48" s="54"/>
      <c r="D48" s="54"/>
      <c r="E48" s="54"/>
    </row>
    <row r="49" spans="1:5" ht="18.75" customHeight="1" x14ac:dyDescent="0.15">
      <c r="A49" s="53"/>
      <c r="B49" s="53"/>
      <c r="C49" s="53"/>
      <c r="D49" s="53"/>
      <c r="E49" s="53"/>
    </row>
    <row r="50" spans="1:5" ht="18.75" customHeight="1" x14ac:dyDescent="0.15">
      <c r="A50" s="53"/>
      <c r="B50" s="53"/>
      <c r="C50" s="53"/>
      <c r="D50" s="53"/>
      <c r="E50" s="53"/>
    </row>
    <row r="51" spans="1:5" ht="18.75" customHeight="1" x14ac:dyDescent="0.15">
      <c r="A51" s="53"/>
      <c r="B51" s="53"/>
      <c r="C51" s="53"/>
      <c r="D51" s="53"/>
      <c r="E51" s="53"/>
    </row>
    <row r="52" spans="1:5" ht="18.75" customHeight="1" x14ac:dyDescent="0.15">
      <c r="A52" s="53"/>
      <c r="B52" s="53"/>
      <c r="C52" s="53"/>
      <c r="D52" s="53"/>
      <c r="E52" s="53"/>
    </row>
    <row r="53" spans="1:5" ht="18.75" customHeight="1" x14ac:dyDescent="0.15">
      <c r="A53" s="53"/>
      <c r="B53" s="53"/>
      <c r="C53" s="53"/>
      <c r="D53" s="53"/>
      <c r="E53" s="53"/>
    </row>
    <row r="54" spans="1:5" ht="18.75" customHeight="1" x14ac:dyDescent="0.15">
      <c r="A54" s="53"/>
      <c r="B54" s="53"/>
      <c r="C54" s="53"/>
      <c r="D54" s="53"/>
      <c r="E54" s="53"/>
    </row>
    <row r="55" spans="1:5" ht="18.75" customHeight="1" x14ac:dyDescent="0.15">
      <c r="A55" s="53"/>
      <c r="B55" s="53"/>
      <c r="C55" s="53"/>
      <c r="D55" s="53"/>
      <c r="E55" s="53"/>
    </row>
    <row r="56" spans="1:5" ht="18.75" customHeight="1" x14ac:dyDescent="0.15">
      <c r="A56" s="53"/>
      <c r="B56" s="53"/>
      <c r="C56" s="53"/>
      <c r="D56" s="53"/>
      <c r="E56" s="53"/>
    </row>
    <row r="57" spans="1:5" ht="18.75" customHeight="1" x14ac:dyDescent="0.15">
      <c r="A57" s="53"/>
      <c r="B57" s="53"/>
      <c r="C57" s="53"/>
      <c r="D57" s="53"/>
      <c r="E57" s="53"/>
    </row>
    <row r="58" spans="1:5" ht="18.75" customHeight="1" x14ac:dyDescent="0.15">
      <c r="A58" s="53"/>
      <c r="B58" s="53"/>
      <c r="C58" s="53"/>
      <c r="D58" s="53"/>
      <c r="E58" s="53"/>
    </row>
    <row r="59" spans="1:5" ht="18.75" customHeight="1" x14ac:dyDescent="0.15">
      <c r="A59" s="53"/>
      <c r="B59" s="53"/>
      <c r="C59" s="53"/>
      <c r="D59" s="53"/>
      <c r="E59" s="53"/>
    </row>
    <row r="60" spans="1:5" ht="18.75" customHeight="1" x14ac:dyDescent="0.15">
      <c r="A60" s="53"/>
      <c r="B60" s="53"/>
      <c r="C60" s="53"/>
      <c r="D60" s="53"/>
      <c r="E60" s="53"/>
    </row>
    <row r="61" spans="1:5" ht="14.25" x14ac:dyDescent="0.15">
      <c r="A61" s="53"/>
      <c r="B61" s="53"/>
      <c r="C61" s="53"/>
      <c r="D61" s="53"/>
      <c r="E61" s="53"/>
    </row>
    <row r="62" spans="1:5" ht="7.5" customHeight="1" x14ac:dyDescent="0.15">
      <c r="A62" s="55"/>
      <c r="B62" s="55"/>
      <c r="C62" s="55"/>
      <c r="D62" s="55"/>
      <c r="E62" s="55"/>
    </row>
  </sheetData>
  <mergeCells count="11">
    <mergeCell ref="B26:E29"/>
    <mergeCell ref="B32:E34"/>
    <mergeCell ref="B37:E40"/>
    <mergeCell ref="B42:E42"/>
    <mergeCell ref="B43:E47"/>
    <mergeCell ref="B21:E24"/>
    <mergeCell ref="D2:E2"/>
    <mergeCell ref="B4:E4"/>
    <mergeCell ref="B7:E7"/>
    <mergeCell ref="B10:E12"/>
    <mergeCell ref="B15:E18"/>
  </mergeCells>
  <phoneticPr fontId="1"/>
  <printOptions horizontalCentered="1"/>
  <pageMargins left="0.78740157480314965" right="0.78740157480314965" top="0.78740157480314965" bottom="0.78740157480314965" header="0.31496062992125984" footer="0.31496062992125984"/>
  <pageSetup paperSize="9" scale="99" fitToHeight="0" orientation="portrait" r:id="rId1"/>
  <rowBreaks count="1" manualBreakCount="1">
    <brk id="30" max="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FC023-06C3-4FFE-84C6-3ED28A72138E}">
  <sheetPr>
    <pageSetUpPr fitToPage="1"/>
  </sheetPr>
  <dimension ref="A1:J28"/>
  <sheetViews>
    <sheetView showZeros="0" view="pageBreakPreview" topLeftCell="A22" zoomScale="80" zoomScaleNormal="80" zoomScaleSheetLayoutView="80" workbookViewId="0">
      <selection activeCell="E9" sqref="E9:J9"/>
    </sheetView>
  </sheetViews>
  <sheetFormatPr defaultColWidth="11.375" defaultRowHeight="22.5" customHeight="1" x14ac:dyDescent="0.15"/>
  <cols>
    <col min="1" max="3" width="2.5" style="5" customWidth="1"/>
    <col min="4" max="4" width="22.5" style="5" customWidth="1"/>
    <col min="5" max="5" width="21.125" style="5" customWidth="1"/>
    <col min="6" max="7" width="7.5" style="5" customWidth="1"/>
    <col min="8" max="8" width="32.5" style="5" customWidth="1"/>
    <col min="9" max="9" width="24.875" style="5" customWidth="1"/>
    <col min="10" max="10" width="6.125" style="5" customWidth="1"/>
    <col min="11" max="11" width="4.125" style="5" customWidth="1"/>
    <col min="12" max="16384" width="11.375" style="5"/>
  </cols>
  <sheetData>
    <row r="1" spans="1:10" ht="18.75" customHeight="1" x14ac:dyDescent="0.15">
      <c r="J1" s="16" t="s">
        <v>9</v>
      </c>
    </row>
    <row r="2" spans="1:10" ht="18.75" customHeight="1" x14ac:dyDescent="0.15">
      <c r="D2" s="16"/>
      <c r="H2" s="16" t="s">
        <v>30</v>
      </c>
      <c r="I2" s="140" t="s">
        <v>186</v>
      </c>
      <c r="J2" s="140"/>
    </row>
    <row r="3" spans="1:10" ht="18.75" customHeight="1" x14ac:dyDescent="0.15">
      <c r="A3" s="131" t="s">
        <v>48</v>
      </c>
      <c r="B3" s="131"/>
      <c r="C3" s="131"/>
      <c r="D3" s="131"/>
      <c r="E3" s="131"/>
      <c r="F3" s="131"/>
      <c r="G3" s="131"/>
      <c r="H3" s="131"/>
      <c r="I3" s="131"/>
      <c r="J3" s="131"/>
    </row>
    <row r="4" spans="1:10" ht="7.5" customHeight="1" x14ac:dyDescent="0.15">
      <c r="B4" s="53"/>
      <c r="C4" s="53"/>
      <c r="D4" s="262"/>
      <c r="E4" s="262"/>
      <c r="F4" s="262"/>
      <c r="G4" s="262"/>
      <c r="H4" s="262"/>
      <c r="I4" s="262"/>
      <c r="J4" s="262"/>
    </row>
    <row r="5" spans="1:10" ht="18.75" customHeight="1" x14ac:dyDescent="0.15">
      <c r="A5" s="5" t="s">
        <v>7</v>
      </c>
      <c r="B5" s="5" t="s">
        <v>46</v>
      </c>
      <c r="C5" s="53"/>
      <c r="D5" s="53"/>
      <c r="E5" s="53"/>
      <c r="F5" s="53"/>
      <c r="G5" s="53"/>
      <c r="H5" s="53"/>
      <c r="I5" s="53"/>
      <c r="J5" s="53"/>
    </row>
    <row r="6" spans="1:10" ht="18.75" customHeight="1" x14ac:dyDescent="0.15">
      <c r="B6" s="137" t="s">
        <v>43</v>
      </c>
      <c r="C6" s="138"/>
      <c r="D6" s="139"/>
      <c r="E6" s="138" t="s">
        <v>45</v>
      </c>
      <c r="F6" s="138"/>
      <c r="G6" s="138"/>
      <c r="H6" s="138"/>
      <c r="I6" s="138"/>
      <c r="J6" s="139"/>
    </row>
    <row r="7" spans="1:10" ht="18.75" customHeight="1" x14ac:dyDescent="0.15">
      <c r="B7" s="10" t="s">
        <v>33</v>
      </c>
      <c r="C7" s="53"/>
      <c r="D7" s="89"/>
      <c r="I7" s="53"/>
      <c r="J7" s="89"/>
    </row>
    <row r="8" spans="1:10" ht="202.5" customHeight="1" x14ac:dyDescent="0.15">
      <c r="B8" s="90"/>
      <c r="C8" s="256" t="s">
        <v>34</v>
      </c>
      <c r="D8" s="251"/>
      <c r="E8" s="255" t="s">
        <v>189</v>
      </c>
      <c r="F8" s="244"/>
      <c r="G8" s="244"/>
      <c r="H8" s="244"/>
      <c r="I8" s="244"/>
      <c r="J8" s="245"/>
    </row>
    <row r="9" spans="1:10" ht="202.5" customHeight="1" x14ac:dyDescent="0.15">
      <c r="B9" s="90"/>
      <c r="C9" s="257" t="s">
        <v>35</v>
      </c>
      <c r="D9" s="258"/>
      <c r="E9" s="255" t="s">
        <v>190</v>
      </c>
      <c r="F9" s="244"/>
      <c r="G9" s="244"/>
      <c r="H9" s="244"/>
      <c r="I9" s="244"/>
      <c r="J9" s="245"/>
    </row>
    <row r="10" spans="1:10" ht="172.5" customHeight="1" x14ac:dyDescent="0.15">
      <c r="B10" s="90"/>
      <c r="C10" s="256" t="s">
        <v>36</v>
      </c>
      <c r="D10" s="251"/>
      <c r="E10" s="255" t="s">
        <v>191</v>
      </c>
      <c r="F10" s="244"/>
      <c r="G10" s="244"/>
      <c r="H10" s="244"/>
      <c r="I10" s="244"/>
      <c r="J10" s="245"/>
    </row>
    <row r="11" spans="1:10" ht="172.5" customHeight="1" x14ac:dyDescent="0.15">
      <c r="B11" s="90"/>
      <c r="C11" s="256" t="s">
        <v>37</v>
      </c>
      <c r="D11" s="251"/>
      <c r="E11" s="259" t="s">
        <v>192</v>
      </c>
      <c r="F11" s="260"/>
      <c r="G11" s="260"/>
      <c r="H11" s="260"/>
      <c r="I11" s="260"/>
      <c r="J11" s="261"/>
    </row>
    <row r="12" spans="1:10" ht="172.5" customHeight="1" x14ac:dyDescent="0.15">
      <c r="B12" s="90"/>
      <c r="C12" s="256" t="s">
        <v>38</v>
      </c>
      <c r="D12" s="251"/>
      <c r="E12" s="255" t="s">
        <v>152</v>
      </c>
      <c r="F12" s="244"/>
      <c r="G12" s="244"/>
      <c r="H12" s="244"/>
      <c r="I12" s="244"/>
      <c r="J12" s="245"/>
    </row>
    <row r="13" spans="1:10" ht="18.75" customHeight="1" x14ac:dyDescent="0.15">
      <c r="B13" s="91" t="s">
        <v>39</v>
      </c>
      <c r="C13" s="92"/>
      <c r="D13" s="93"/>
      <c r="E13" s="94"/>
      <c r="F13" s="94"/>
      <c r="G13" s="94"/>
      <c r="H13" s="94"/>
      <c r="I13" s="94"/>
      <c r="J13" s="95"/>
    </row>
    <row r="14" spans="1:10" ht="255" customHeight="1" x14ac:dyDescent="0.15">
      <c r="B14" s="90"/>
      <c r="C14" s="256" t="s">
        <v>40</v>
      </c>
      <c r="D14" s="251"/>
      <c r="E14" s="244" t="s">
        <v>193</v>
      </c>
      <c r="F14" s="244"/>
      <c r="G14" s="244"/>
      <c r="H14" s="244"/>
      <c r="I14" s="244"/>
      <c r="J14" s="245"/>
    </row>
    <row r="15" spans="1:10" ht="255" customHeight="1" x14ac:dyDescent="0.15">
      <c r="B15" s="90"/>
      <c r="C15" s="242" t="s">
        <v>41</v>
      </c>
      <c r="D15" s="243"/>
      <c r="E15" s="244" t="s">
        <v>194</v>
      </c>
      <c r="F15" s="244"/>
      <c r="G15" s="244"/>
      <c r="H15" s="244"/>
      <c r="I15" s="244"/>
      <c r="J15" s="245"/>
    </row>
    <row r="16" spans="1:10" ht="232.5" customHeight="1" x14ac:dyDescent="0.15">
      <c r="B16" s="249" t="s">
        <v>42</v>
      </c>
      <c r="C16" s="250"/>
      <c r="D16" s="251"/>
      <c r="E16" s="244" t="s">
        <v>195</v>
      </c>
      <c r="F16" s="244"/>
      <c r="G16" s="244"/>
      <c r="H16" s="244"/>
      <c r="I16" s="244"/>
      <c r="J16" s="245"/>
    </row>
    <row r="17" spans="1:10" ht="232.5" customHeight="1" x14ac:dyDescent="0.15">
      <c r="B17" s="252" t="s">
        <v>84</v>
      </c>
      <c r="C17" s="253"/>
      <c r="D17" s="254"/>
      <c r="E17" s="255" t="s">
        <v>196</v>
      </c>
      <c r="F17" s="244"/>
      <c r="G17" s="244"/>
      <c r="H17" s="244"/>
      <c r="I17" s="244"/>
      <c r="J17" s="245"/>
    </row>
    <row r="18" spans="1:10" ht="7.5" customHeight="1" x14ac:dyDescent="0.15">
      <c r="B18" s="53"/>
      <c r="C18" s="53"/>
      <c r="D18" s="53"/>
      <c r="E18" s="53"/>
      <c r="F18" s="53"/>
      <c r="G18" s="53"/>
      <c r="H18" s="53"/>
      <c r="I18" s="53"/>
      <c r="J18" s="53"/>
    </row>
    <row r="19" spans="1:10" ht="18.75" customHeight="1" x14ac:dyDescent="0.15">
      <c r="C19" s="53"/>
      <c r="D19" s="53"/>
      <c r="E19" s="53"/>
      <c r="F19" s="52"/>
      <c r="G19" s="52"/>
      <c r="H19" s="96" t="s">
        <v>109</v>
      </c>
      <c r="I19" s="97"/>
      <c r="J19" s="98"/>
    </row>
    <row r="20" spans="1:10" ht="18.75" customHeight="1" x14ac:dyDescent="0.15">
      <c r="A20" s="5" t="s">
        <v>12</v>
      </c>
      <c r="B20" s="5" t="s">
        <v>47</v>
      </c>
      <c r="C20" s="53"/>
      <c r="D20" s="53"/>
      <c r="E20" s="53"/>
      <c r="F20" s="87" t="s">
        <v>209</v>
      </c>
      <c r="G20" s="52"/>
      <c r="H20" s="246" t="s">
        <v>210</v>
      </c>
      <c r="I20" s="247"/>
      <c r="J20" s="248"/>
    </row>
    <row r="21" spans="1:10" ht="22.5" customHeight="1" x14ac:dyDescent="0.15">
      <c r="B21" s="53"/>
      <c r="C21" s="53"/>
      <c r="D21" s="53"/>
      <c r="E21" s="53"/>
      <c r="F21" s="53"/>
      <c r="G21" s="53"/>
      <c r="H21" s="53"/>
      <c r="I21" s="53"/>
      <c r="J21" s="53"/>
    </row>
    <row r="22" spans="1:10" ht="22.5" customHeight="1" x14ac:dyDescent="0.15">
      <c r="B22" s="53"/>
      <c r="C22" s="53"/>
      <c r="D22" s="53"/>
      <c r="E22" s="53"/>
      <c r="F22" s="53"/>
      <c r="G22" s="53"/>
      <c r="H22" s="53"/>
      <c r="I22" s="53"/>
      <c r="J22" s="53"/>
    </row>
    <row r="23" spans="1:10" ht="22.5" customHeight="1" x14ac:dyDescent="0.15">
      <c r="B23" s="53"/>
      <c r="C23" s="53"/>
      <c r="D23" s="53"/>
      <c r="E23" s="53"/>
      <c r="F23" s="53"/>
      <c r="G23" s="53"/>
      <c r="H23" s="53"/>
      <c r="I23" s="53"/>
      <c r="J23" s="53"/>
    </row>
    <row r="24" spans="1:10" ht="22.5" customHeight="1" x14ac:dyDescent="0.15">
      <c r="B24" s="53"/>
      <c r="C24" s="53"/>
      <c r="D24" s="53"/>
      <c r="E24" s="53"/>
      <c r="F24" s="53"/>
      <c r="G24" s="53"/>
      <c r="H24" s="53"/>
      <c r="I24" s="53"/>
      <c r="J24" s="53"/>
    </row>
    <row r="25" spans="1:10" ht="22.5" customHeight="1" x14ac:dyDescent="0.15">
      <c r="B25" s="53"/>
      <c r="C25" s="53"/>
      <c r="D25" s="53"/>
      <c r="E25" s="53"/>
      <c r="F25" s="53"/>
      <c r="G25" s="53"/>
      <c r="H25" s="53"/>
      <c r="I25" s="53"/>
      <c r="J25" s="53"/>
    </row>
    <row r="26" spans="1:10" ht="22.5" customHeight="1" x14ac:dyDescent="0.15">
      <c r="B26" s="51"/>
      <c r="C26" s="51"/>
      <c r="D26" s="51"/>
      <c r="E26" s="51"/>
      <c r="F26" s="51"/>
      <c r="G26" s="51"/>
      <c r="H26" s="51"/>
      <c r="I26" s="51"/>
      <c r="J26" s="51"/>
    </row>
    <row r="27" spans="1:10" ht="22.5" customHeight="1" x14ac:dyDescent="0.15">
      <c r="B27" s="51"/>
      <c r="C27" s="51"/>
      <c r="D27" s="51"/>
      <c r="E27" s="51"/>
      <c r="F27" s="51"/>
      <c r="G27" s="51"/>
      <c r="H27" s="51"/>
      <c r="I27" s="51"/>
      <c r="J27" s="51"/>
    </row>
    <row r="28" spans="1:10" ht="22.5" customHeight="1" x14ac:dyDescent="0.15">
      <c r="B28" s="51"/>
      <c r="C28" s="51"/>
      <c r="D28" s="51"/>
      <c r="E28" s="51"/>
      <c r="F28" s="51"/>
      <c r="G28" s="51"/>
      <c r="H28" s="51"/>
      <c r="I28" s="51"/>
      <c r="J28" s="51"/>
    </row>
  </sheetData>
  <mergeCells count="24">
    <mergeCell ref="B6:D6"/>
    <mergeCell ref="E6:J6"/>
    <mergeCell ref="C8:D8"/>
    <mergeCell ref="E8:J8"/>
    <mergeCell ref="I2:J2"/>
    <mergeCell ref="A3:J3"/>
    <mergeCell ref="D4:J4"/>
    <mergeCell ref="C12:D12"/>
    <mergeCell ref="E12:J12"/>
    <mergeCell ref="C14:D14"/>
    <mergeCell ref="E14:J14"/>
    <mergeCell ref="C9:D9"/>
    <mergeCell ref="E9:J9"/>
    <mergeCell ref="C10:D10"/>
    <mergeCell ref="E10:J10"/>
    <mergeCell ref="C11:D11"/>
    <mergeCell ref="E11:J11"/>
    <mergeCell ref="C15:D15"/>
    <mergeCell ref="E15:J15"/>
    <mergeCell ref="H20:J20"/>
    <mergeCell ref="B16:D16"/>
    <mergeCell ref="E16:J16"/>
    <mergeCell ref="B17:D17"/>
    <mergeCell ref="E17:J17"/>
  </mergeCells>
  <phoneticPr fontId="1"/>
  <dataValidations count="2">
    <dataValidation type="list" allowBlank="1" showInputMessage="1" showErrorMessage="1" sqref="F20" xr:uid="{FD34EBF2-5208-4369-BBBB-157A5C0B5541}">
      <formula1>"有,無,予定"</formula1>
    </dataValidation>
    <dataValidation type="list" allowBlank="1" showInputMessage="1" showErrorMessage="1" sqref="F19:G19" xr:uid="{A380E18F-695D-4B67-894D-2207DC3233D8}">
      <formula1>#REF!</formula1>
    </dataValidation>
  </dataValidations>
  <hyperlinks>
    <hyperlink ref="H20" r:id="rId1" xr:uid="{7022E8DB-B937-4F1A-835C-9D4DF1950DAE}"/>
  </hyperlinks>
  <printOptions horizontalCentered="1"/>
  <pageMargins left="0.78740157480314965" right="0.78740157480314965" top="0.78740157480314965" bottom="0.78740157480314965" header="0.31496062992125984" footer="0.31496062992125984"/>
  <pageSetup paperSize="9" scale="67" fitToHeight="0" orientation="portrait" r:id="rId2"/>
  <rowBreaks count="1" manualBreakCount="1">
    <brk id="12"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　大学等概要</vt:lpstr>
      <vt:lpstr>様式2　プログラムを構成する授業科目</vt:lpstr>
      <vt:lpstr>様式３　履修者等数の実績</vt:lpstr>
      <vt:lpstr>様式4　プログラムの授業内容・概要</vt:lpstr>
      <vt:lpstr>様式５　教育の質・履修者数を向上させるための体制・計画 </vt:lpstr>
      <vt:lpstr>様式６　自己点検・評価</vt:lpstr>
      <vt:lpstr>'様式１　大学等概要'!Print_Area</vt:lpstr>
      <vt:lpstr>'様式2　プログラムを構成する授業科目'!Print_Area</vt:lpstr>
      <vt:lpstr>'様式３　履修者等数の実績'!Print_Area</vt:lpstr>
      <vt:lpstr>'様式５　教育の質・履修者数を向上させるための体制・計画 '!Print_Area</vt:lpstr>
      <vt:lpstr>'様式６　自己点検・評価'!Print_Area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d</cp:lastModifiedBy>
  <cp:lastPrinted>2021-05-10T08:14:29Z</cp:lastPrinted>
  <dcterms:created xsi:type="dcterms:W3CDTF">2011-06-14T05:32:50Z</dcterms:created>
  <dcterms:modified xsi:type="dcterms:W3CDTF">2021-07-20T04:45:04Z</dcterms:modified>
</cp:coreProperties>
</file>