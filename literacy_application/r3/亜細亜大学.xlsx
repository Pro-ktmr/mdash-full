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jimfs.asia-u.ac.jp\kyogaku\04研究支援部門\01学務課\06 文部科学省「届出・認可申請」関係\07 数理・データサイエンス・AI教育プログラム認定制度（\(再提出0717)\"/>
    </mc:Choice>
  </mc:AlternateContent>
  <bookViews>
    <workbookView xWindow="0" yWindow="0" windowWidth="20490" windowHeight="6780" tabRatio="885" firstSheet="2" activeTab="5"/>
  </bookViews>
  <sheets>
    <sheet name="様式１　大学等概要" sheetId="8" r:id="rId1"/>
    <sheet name="様式２　プログラムを構成する授業科目" sheetId="9" r:id="rId2"/>
    <sheet name="様式３　履修者等数の実績" sheetId="31" r:id="rId3"/>
    <sheet name="様式4　プログラムの授業内容・概要" sheetId="38" r:id="rId4"/>
    <sheet name="様式５　教育の質・履修者数を向上させるための体制・計画" sheetId="35" r:id="rId5"/>
    <sheet name="様式６　自己点検・評価" sheetId="36" r:id="rId6"/>
    <sheet name="様式７　特色ある取組" sheetId="29" r:id="rId7"/>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'様式２　プログラムを構成する授業科目'!$A$1:$I$44</definedName>
    <definedName name="_xlnm.Print_Area" localSheetId="2">'様式３　履修者等数の実績'!$A$1:$R$29</definedName>
    <definedName name="_xlnm.Print_Area" localSheetId="3">'様式4　プログラムの授業内容・概要'!$A$1:$G$144</definedName>
    <definedName name="_xlnm.Print_Area" localSheetId="4">'様式５　教育の質・履修者数を向上させるための体制・計画'!$A$1:$E$134</definedName>
    <definedName name="_xlnm.Print_Area" localSheetId="5">'様式６　自己点検・評価'!$A$1:$J$20</definedName>
    <definedName name="_xlnm.Print_Area" localSheetId="6">'様式７　特色ある取組'!$A$1:$F$130</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6" i="31" l="1"/>
  <c r="R16" i="31" s="1"/>
  <c r="P28" i="31" l="1"/>
  <c r="O28" i="31"/>
  <c r="N28" i="31"/>
  <c r="M28" i="31"/>
  <c r="L28" i="31"/>
  <c r="K28" i="31"/>
  <c r="J28" i="31"/>
  <c r="I28" i="31"/>
  <c r="H28" i="31"/>
  <c r="G28" i="31"/>
  <c r="F28" i="31"/>
  <c r="E28" i="31"/>
  <c r="D28" i="31"/>
  <c r="Q27" i="31"/>
  <c r="R27" i="31" s="1"/>
  <c r="Q26" i="31"/>
  <c r="R26" i="31" s="1"/>
  <c r="Q25" i="31"/>
  <c r="R25" i="31" s="1"/>
  <c r="Q24" i="31"/>
  <c r="R24" i="31" s="1"/>
  <c r="Q23" i="31"/>
  <c r="R23" i="31" s="1"/>
  <c r="Q22" i="31"/>
  <c r="R22" i="31" s="1"/>
  <c r="Q21" i="31"/>
  <c r="R21" i="31" s="1"/>
  <c r="Q20" i="31"/>
  <c r="R20" i="31" s="1"/>
  <c r="Q19" i="31"/>
  <c r="R19" i="31" s="1"/>
  <c r="Q18" i="31"/>
  <c r="R18" i="31" s="1"/>
  <c r="Q17" i="31"/>
  <c r="R17" i="31" s="1"/>
  <c r="Q15" i="31"/>
  <c r="R15" i="31" s="1"/>
  <c r="Q14" i="31"/>
  <c r="R14" i="31" s="1"/>
  <c r="Q13" i="31"/>
  <c r="R13" i="31" s="1"/>
  <c r="Q12" i="31"/>
  <c r="R12" i="31" s="1"/>
  <c r="Q11" i="31"/>
  <c r="R11" i="31" s="1"/>
  <c r="Q10" i="31"/>
  <c r="R10" i="31" s="1"/>
  <c r="Q9" i="31"/>
  <c r="R9" i="31" s="1"/>
  <c r="Q8" i="31"/>
  <c r="Q28" i="31" l="1"/>
  <c r="R28" i="31" s="1"/>
  <c r="R8" i="31"/>
</calcChain>
</file>

<file path=xl/sharedStrings.xml><?xml version="1.0" encoding="utf-8"?>
<sst xmlns="http://schemas.openxmlformats.org/spreadsheetml/2006/main" count="371" uniqueCount="260">
  <si>
    <t>教員数</t>
    <rPh sb="0" eb="2">
      <t>キョウイン</t>
    </rPh>
    <rPh sb="2" eb="3">
      <t>スウ</t>
    </rPh>
    <phoneticPr fontId="3"/>
  </si>
  <si>
    <t>所属部署名</t>
    <rPh sb="0" eb="2">
      <t>ショゾク</t>
    </rPh>
    <rPh sb="2" eb="4">
      <t>ブショ</t>
    </rPh>
    <rPh sb="4" eb="5">
      <t>メイ</t>
    </rPh>
    <phoneticPr fontId="3"/>
  </si>
  <si>
    <t>担当者名</t>
    <rPh sb="0" eb="2">
      <t>タントウ</t>
    </rPh>
    <rPh sb="2" eb="3">
      <t>シャ</t>
    </rPh>
    <rPh sb="3" eb="4">
      <t>メイ</t>
    </rPh>
    <phoneticPr fontId="3"/>
  </si>
  <si>
    <t>連絡先</t>
    <rPh sb="0" eb="3">
      <t>レンラクサキ</t>
    </rPh>
    <phoneticPr fontId="3"/>
  </si>
  <si>
    <t>電話番号</t>
  </si>
  <si>
    <t>E-mail</t>
  </si>
  <si>
    <t>（常勤）</t>
    <rPh sb="1" eb="3">
      <t>ジョウキン</t>
    </rPh>
    <phoneticPr fontId="3"/>
  </si>
  <si>
    <t>①</t>
    <phoneticPr fontId="3"/>
  </si>
  <si>
    <t>：</t>
    <phoneticPr fontId="3"/>
  </si>
  <si>
    <t>様式６</t>
    <rPh sb="0" eb="2">
      <t>ヨウシキ</t>
    </rPh>
    <phoneticPr fontId="3"/>
  </si>
  <si>
    <t>人</t>
    <rPh sb="0" eb="1">
      <t>ニン</t>
    </rPh>
    <phoneticPr fontId="3"/>
  </si>
  <si>
    <t>（非常勤）</t>
    <rPh sb="1" eb="4">
      <t>ヒジョウキン</t>
    </rPh>
    <phoneticPr fontId="3"/>
  </si>
  <si>
    <t>②</t>
    <phoneticPr fontId="3"/>
  </si>
  <si>
    <t>③</t>
    <phoneticPr fontId="3"/>
  </si>
  <si>
    <t>⑤</t>
    <phoneticPr fontId="3"/>
  </si>
  <si>
    <t>⑦</t>
    <phoneticPr fontId="3"/>
  </si>
  <si>
    <t>様式７</t>
    <rPh sb="0" eb="2">
      <t>ヨウシキ</t>
    </rPh>
    <phoneticPr fontId="3"/>
  </si>
  <si>
    <t>④</t>
    <phoneticPr fontId="3"/>
  </si>
  <si>
    <t>⑥</t>
    <phoneticPr fontId="3"/>
  </si>
  <si>
    <t>具体的な構成員</t>
    <rPh sb="0" eb="3">
      <t>グタイテキ</t>
    </rPh>
    <rPh sb="4" eb="7">
      <t>コウセイイン</t>
    </rPh>
    <phoneticPr fontId="3"/>
  </si>
  <si>
    <t>学校名</t>
    <rPh sb="0" eb="2">
      <t>ガッコウ</t>
    </rPh>
    <rPh sb="2" eb="3">
      <t>メイ</t>
    </rPh>
    <phoneticPr fontId="3"/>
  </si>
  <si>
    <t>１年次</t>
    <rPh sb="1" eb="2">
      <t>ネン</t>
    </rPh>
    <rPh sb="2" eb="3">
      <t>ツギ</t>
    </rPh>
    <phoneticPr fontId="3"/>
  </si>
  <si>
    <t>２年次</t>
    <rPh sb="1" eb="2">
      <t>ネン</t>
    </rPh>
    <rPh sb="2" eb="3">
      <t>ツギ</t>
    </rPh>
    <phoneticPr fontId="3"/>
  </si>
  <si>
    <t>３年次</t>
    <rPh sb="1" eb="2">
      <t>ネン</t>
    </rPh>
    <rPh sb="2" eb="3">
      <t>ツギ</t>
    </rPh>
    <phoneticPr fontId="3"/>
  </si>
  <si>
    <t>４年次</t>
    <rPh sb="1" eb="2">
      <t>ネン</t>
    </rPh>
    <rPh sb="2" eb="3">
      <t>ツギ</t>
    </rPh>
    <phoneticPr fontId="3"/>
  </si>
  <si>
    <t>人</t>
  </si>
  <si>
    <t>人</t>
    <rPh sb="0" eb="1">
      <t>ニン</t>
    </rPh>
    <phoneticPr fontId="3"/>
  </si>
  <si>
    <t>（役職名）</t>
    <rPh sb="1" eb="4">
      <t>ヤクショクメイ</t>
    </rPh>
    <phoneticPr fontId="3"/>
  </si>
  <si>
    <t>⑩</t>
    <phoneticPr fontId="3"/>
  </si>
  <si>
    <t>様式１</t>
    <rPh sb="0" eb="2">
      <t>ヨウシキ</t>
    </rPh>
    <phoneticPr fontId="3"/>
  </si>
  <si>
    <t>履修者数・履修率の向上に向けた計画</t>
    <rPh sb="5" eb="7">
      <t>リシュウ</t>
    </rPh>
    <rPh sb="7" eb="8">
      <t>リツ</t>
    </rPh>
    <phoneticPr fontId="3"/>
  </si>
  <si>
    <t>学校名：</t>
    <rPh sb="0" eb="3">
      <t>ガッコウメイ</t>
    </rPh>
    <phoneticPr fontId="3"/>
  </si>
  <si>
    <t>学校名：</t>
    <rPh sb="0" eb="2">
      <t>ガッコウ</t>
    </rPh>
    <rPh sb="2" eb="3">
      <t>メイ</t>
    </rPh>
    <phoneticPr fontId="3"/>
  </si>
  <si>
    <t>授業内容</t>
    <rPh sb="0" eb="2">
      <t>ジュギョウ</t>
    </rPh>
    <rPh sb="2" eb="4">
      <t>ナイヨウ</t>
    </rPh>
    <phoneticPr fontId="3"/>
  </si>
  <si>
    <t>できる限り多くの学生が履修・修得できるようなサポート体制</t>
    <rPh sb="26" eb="28">
      <t>タイセイ</t>
    </rPh>
    <phoneticPr fontId="3"/>
  </si>
  <si>
    <t>学内からの視点</t>
    <rPh sb="0" eb="2">
      <t>ガクナイ</t>
    </rPh>
    <rPh sb="5" eb="7">
      <t>シテン</t>
    </rPh>
    <phoneticPr fontId="3"/>
  </si>
  <si>
    <t>プログラムの履修・修得状況</t>
    <rPh sb="6" eb="8">
      <t>リシュウ</t>
    </rPh>
    <rPh sb="9" eb="11">
      <t>シュウトク</t>
    </rPh>
    <rPh sb="11" eb="13">
      <t>ジョウキョウ</t>
    </rPh>
    <phoneticPr fontId="3"/>
  </si>
  <si>
    <t>学修成果</t>
    <rPh sb="0" eb="2">
      <t>ガクシュウ</t>
    </rPh>
    <rPh sb="2" eb="4">
      <t>セイカ</t>
    </rPh>
    <phoneticPr fontId="3"/>
  </si>
  <si>
    <t>学生アンケート等を通じた学生の内容の理解度</t>
    <rPh sb="0" eb="2">
      <t>ガクセイ</t>
    </rPh>
    <rPh sb="7" eb="8">
      <t>トウ</t>
    </rPh>
    <rPh sb="9" eb="10">
      <t>ツウ</t>
    </rPh>
    <rPh sb="12" eb="14">
      <t>ガクセイ</t>
    </rPh>
    <rPh sb="15" eb="17">
      <t>ナイヨウ</t>
    </rPh>
    <rPh sb="18" eb="21">
      <t>リカイド</t>
    </rPh>
    <phoneticPr fontId="3"/>
  </si>
  <si>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3"/>
  </si>
  <si>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3"/>
  </si>
  <si>
    <t>学外からの視点</t>
    <rPh sb="0" eb="2">
      <t>ガクガイ</t>
    </rPh>
    <rPh sb="5" eb="7">
      <t>シテン</t>
    </rPh>
    <phoneticPr fontId="3"/>
  </si>
  <si>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3"/>
  </si>
  <si>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3"/>
  </si>
  <si>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3"/>
  </si>
  <si>
    <t>自己点検・評価の視点</t>
    <rPh sb="0" eb="2">
      <t>ジコ</t>
    </rPh>
    <rPh sb="2" eb="4">
      <t>テンケン</t>
    </rPh>
    <rPh sb="5" eb="7">
      <t>ヒョウカ</t>
    </rPh>
    <rPh sb="8" eb="10">
      <t>シテン</t>
    </rPh>
    <phoneticPr fontId="3"/>
  </si>
  <si>
    <t>体制の目的</t>
    <rPh sb="0" eb="2">
      <t>タイセイ</t>
    </rPh>
    <rPh sb="3" eb="5">
      <t>モクテキ</t>
    </rPh>
    <phoneticPr fontId="3"/>
  </si>
  <si>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3"/>
  </si>
  <si>
    <t>自己点検・評価体制における意見等</t>
    <rPh sb="15" eb="16">
      <t>トウ</t>
    </rPh>
    <phoneticPr fontId="3"/>
  </si>
  <si>
    <t>自己点検・評価体制における意見等の公表の有無</t>
    <rPh sb="17" eb="19">
      <t>コウヒョウ</t>
    </rPh>
    <rPh sb="20" eb="22">
      <t>ウム</t>
    </rPh>
    <phoneticPr fontId="3"/>
  </si>
  <si>
    <t>自己点検・評価について</t>
    <rPh sb="0" eb="2">
      <t>ジコ</t>
    </rPh>
    <rPh sb="2" eb="4">
      <t>テンケン</t>
    </rPh>
    <rPh sb="5" eb="7">
      <t>ヒョウカ</t>
    </rPh>
    <phoneticPr fontId="3"/>
  </si>
  <si>
    <t>修了者数</t>
    <rPh sb="0" eb="3">
      <t>シュウリョウシャ</t>
    </rPh>
    <rPh sb="3" eb="4">
      <t>スウ</t>
    </rPh>
    <phoneticPr fontId="3"/>
  </si>
  <si>
    <t>履修者数</t>
    <rPh sb="0" eb="2">
      <t>リシュウ</t>
    </rPh>
    <rPh sb="2" eb="3">
      <t>シャ</t>
    </rPh>
    <rPh sb="3" eb="4">
      <t>スウ</t>
    </rPh>
    <phoneticPr fontId="3"/>
  </si>
  <si>
    <t>所在地</t>
    <phoneticPr fontId="3"/>
  </si>
  <si>
    <t>５年次</t>
    <rPh sb="1" eb="2">
      <t>ネン</t>
    </rPh>
    <rPh sb="2" eb="3">
      <t>ツギ</t>
    </rPh>
    <phoneticPr fontId="3"/>
  </si>
  <si>
    <t>６年次</t>
    <rPh sb="1" eb="2">
      <t>ネン</t>
    </rPh>
    <rPh sb="2" eb="3">
      <t>ツギ</t>
    </rPh>
    <phoneticPr fontId="3"/>
  </si>
  <si>
    <t>②</t>
    <phoneticPr fontId="3"/>
  </si>
  <si>
    <t>大学等の設置者</t>
  </si>
  <si>
    <t>設置形態</t>
  </si>
  <si>
    <t>⑫</t>
    <phoneticPr fontId="3"/>
  </si>
  <si>
    <t>人</t>
    <rPh sb="0" eb="1">
      <t>ニン</t>
    </rPh>
    <phoneticPr fontId="3"/>
  </si>
  <si>
    <t>総数</t>
    <rPh sb="0" eb="2">
      <t>ソウスウ</t>
    </rPh>
    <phoneticPr fontId="3"/>
  </si>
  <si>
    <t>⑧</t>
    <phoneticPr fontId="3"/>
  </si>
  <si>
    <t>⑬</t>
    <phoneticPr fontId="3"/>
  </si>
  <si>
    <t>（役職名）</t>
    <rPh sb="1" eb="4">
      <t>ヤクショクメイ</t>
    </rPh>
    <phoneticPr fontId="3"/>
  </si>
  <si>
    <t>学校名：</t>
    <rPh sb="0" eb="2">
      <t>ガッコウ</t>
    </rPh>
    <phoneticPr fontId="3"/>
  </si>
  <si>
    <t>履修率</t>
    <rPh sb="0" eb="2">
      <t>リシュウ</t>
    </rPh>
    <rPh sb="2" eb="3">
      <t>リツ</t>
    </rPh>
    <phoneticPr fontId="3"/>
  </si>
  <si>
    <t>合　計</t>
    <phoneticPr fontId="3"/>
  </si>
  <si>
    <t>⑥</t>
    <phoneticPr fontId="3"/>
  </si>
  <si>
    <t>プログラムの開設年度</t>
    <rPh sb="6" eb="8">
      <t>カイセツ</t>
    </rPh>
    <rPh sb="8" eb="10">
      <t>ネンド</t>
    </rPh>
    <phoneticPr fontId="3"/>
  </si>
  <si>
    <t>⑨</t>
    <phoneticPr fontId="3"/>
  </si>
  <si>
    <t>⑭</t>
    <phoneticPr fontId="3"/>
  </si>
  <si>
    <t>履修者数
合計</t>
    <rPh sb="0" eb="2">
      <t>リシュウ</t>
    </rPh>
    <rPh sb="2" eb="3">
      <t>シャ</t>
    </rPh>
    <rPh sb="3" eb="4">
      <t>スウ</t>
    </rPh>
    <rPh sb="5" eb="7">
      <t>ゴウケイ</t>
    </rPh>
    <phoneticPr fontId="3"/>
  </si>
  <si>
    <t>様式３</t>
    <rPh sb="0" eb="2">
      <t>ヨウシキ</t>
    </rPh>
    <phoneticPr fontId="3"/>
  </si>
  <si>
    <t>授業に含まれている内容・要素</t>
    <rPh sb="0" eb="2">
      <t>ジュギョウ</t>
    </rPh>
    <rPh sb="3" eb="4">
      <t>フク</t>
    </rPh>
    <rPh sb="9" eb="11">
      <t>ナイヨウ</t>
    </rPh>
    <rPh sb="12" eb="14">
      <t>ヨウソ</t>
    </rPh>
    <phoneticPr fontId="3"/>
  </si>
  <si>
    <t>統計及び数理基礎</t>
    <rPh sb="0" eb="2">
      <t>トウケイ</t>
    </rPh>
    <rPh sb="2" eb="3">
      <t>オヨ</t>
    </rPh>
    <rPh sb="4" eb="6">
      <t>スウリ</t>
    </rPh>
    <rPh sb="6" eb="8">
      <t>キソ</t>
    </rPh>
    <phoneticPr fontId="3"/>
  </si>
  <si>
    <t>アルゴリズム基礎</t>
    <rPh sb="6" eb="8">
      <t>キソ</t>
    </rPh>
    <phoneticPr fontId="3"/>
  </si>
  <si>
    <t>データ構造とプログラミング基礎</t>
    <rPh sb="3" eb="5">
      <t>コウゾウ</t>
    </rPh>
    <rPh sb="13" eb="15">
      <t>キソ</t>
    </rPh>
    <phoneticPr fontId="3"/>
  </si>
  <si>
    <t>時系列データ解析</t>
    <rPh sb="0" eb="3">
      <t>ジケイレツ</t>
    </rPh>
    <rPh sb="6" eb="8">
      <t>カイセキ</t>
    </rPh>
    <phoneticPr fontId="3"/>
  </si>
  <si>
    <t>テキスト解析</t>
    <rPh sb="4" eb="6">
      <t>カイセキ</t>
    </rPh>
    <phoneticPr fontId="3"/>
  </si>
  <si>
    <t>画像解析</t>
    <rPh sb="0" eb="2">
      <t>ガゾウ</t>
    </rPh>
    <rPh sb="2" eb="4">
      <t>カイセキ</t>
    </rPh>
    <phoneticPr fontId="3"/>
  </si>
  <si>
    <t>データハンドリング</t>
    <phoneticPr fontId="3"/>
  </si>
  <si>
    <t>データ活用実践（教師あり学習）</t>
    <rPh sb="3" eb="5">
      <t>カツヨウ</t>
    </rPh>
    <rPh sb="5" eb="7">
      <t>ジッセン</t>
    </rPh>
    <rPh sb="8" eb="10">
      <t>キョウシ</t>
    </rPh>
    <rPh sb="12" eb="14">
      <t>ガクシュウ</t>
    </rPh>
    <phoneticPr fontId="3"/>
  </si>
  <si>
    <t>その他</t>
    <rPh sb="2" eb="3">
      <t>タ</t>
    </rPh>
    <phoneticPr fontId="3"/>
  </si>
  <si>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3"/>
  </si>
  <si>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3"/>
  </si>
  <si>
    <t>学校名</t>
    <rPh sb="0" eb="3">
      <t>ガッコウメイ</t>
    </rPh>
    <phoneticPr fontId="3"/>
  </si>
  <si>
    <t>プログラムを構成する授業科目について</t>
    <phoneticPr fontId="3"/>
  </si>
  <si>
    <t>収容
定員</t>
    <rPh sb="0" eb="2">
      <t>シュウヨウ</t>
    </rPh>
    <rPh sb="3" eb="5">
      <t>テイイン</t>
    </rPh>
    <phoneticPr fontId="3"/>
  </si>
  <si>
    <t>申請する認定プログラム</t>
    <rPh sb="0" eb="2">
      <t>シンセイ</t>
    </rPh>
    <rPh sb="4" eb="6">
      <t>ニンテイ</t>
    </rPh>
    <phoneticPr fontId="3"/>
  </si>
  <si>
    <t>プログラムの授業を教えている教員数</t>
    <rPh sb="6" eb="8">
      <t>ジュギョウ</t>
    </rPh>
    <rPh sb="9" eb="10">
      <t>オシ</t>
    </rPh>
    <rPh sb="14" eb="16">
      <t>キョウイン</t>
    </rPh>
    <rPh sb="16" eb="17">
      <t>スウ</t>
    </rPh>
    <phoneticPr fontId="3"/>
  </si>
  <si>
    <t>学生への学習支援</t>
    <rPh sb="0" eb="2">
      <t>ガクセイ</t>
    </rPh>
    <rPh sb="4" eb="6">
      <t>ガクシュウ</t>
    </rPh>
    <rPh sb="6" eb="8">
      <t>シエン</t>
    </rPh>
    <phoneticPr fontId="3"/>
  </si>
  <si>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3"/>
  </si>
  <si>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3"/>
  </si>
  <si>
    <t>プログラムの授業内容・概要</t>
    <rPh sb="6" eb="8">
      <t>ジュギョウ</t>
    </rPh>
    <rPh sb="8" eb="10">
      <t>ナイヨウ</t>
    </rPh>
    <rPh sb="11" eb="13">
      <t>ガイヨウ</t>
    </rPh>
    <phoneticPr fontId="3"/>
  </si>
  <si>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3"/>
  </si>
  <si>
    <t>プログラムを改善・進化させるための体制を定める規則名称</t>
    <phoneticPr fontId="3"/>
  </si>
  <si>
    <t>プログラムの授業内容等を公表しているアドレス</t>
    <rPh sb="6" eb="8">
      <t>ジュギョウ</t>
    </rPh>
    <rPh sb="8" eb="10">
      <t>ナイヨウ</t>
    </rPh>
    <rPh sb="10" eb="11">
      <t>トウ</t>
    </rPh>
    <rPh sb="12" eb="14">
      <t>コウヒョウ</t>
    </rPh>
    <phoneticPr fontId="3"/>
  </si>
  <si>
    <t>教育プログラムの修了要件</t>
    <rPh sb="8" eb="10">
      <t>シュウリョウ</t>
    </rPh>
    <phoneticPr fontId="3"/>
  </si>
  <si>
    <t>具体的な修了要件</t>
    <rPh sb="0" eb="3">
      <t>グタイテキ</t>
    </rPh>
    <rPh sb="4" eb="6">
      <t>シュウリョウ</t>
    </rPh>
    <rPh sb="6" eb="8">
      <t>ヨウケン</t>
    </rPh>
    <phoneticPr fontId="3"/>
  </si>
  <si>
    <t>授業科目名称</t>
    <rPh sb="0" eb="2">
      <t>ジュギョウ</t>
    </rPh>
    <rPh sb="2" eb="4">
      <t>カモク</t>
    </rPh>
    <rPh sb="4" eb="6">
      <t>メイショウ</t>
    </rPh>
    <phoneticPr fontId="3"/>
  </si>
  <si>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3"/>
  </si>
  <si>
    <t>様式５</t>
    <rPh sb="0" eb="2">
      <t>ヨウシキ</t>
    </rPh>
    <phoneticPr fontId="3"/>
  </si>
  <si>
    <t>授業概要</t>
    <rPh sb="0" eb="2">
      <t>ジュギョウ</t>
    </rPh>
    <rPh sb="2" eb="4">
      <t>ガイヨウ</t>
    </rPh>
    <phoneticPr fontId="3"/>
  </si>
  <si>
    <t>授業科目名称</t>
    <rPh sb="0" eb="2">
      <t>ジュギョウ</t>
    </rPh>
    <rPh sb="2" eb="6">
      <t>カモクメイショウ</t>
    </rPh>
    <phoneticPr fontId="3"/>
  </si>
  <si>
    <t>講義テーマ</t>
    <rPh sb="0" eb="2">
      <t>コウギ</t>
    </rPh>
    <phoneticPr fontId="3"/>
  </si>
  <si>
    <t>（１）現在進行中の社会変化（第４次産業革命、Society 5.0、データ駆動型社会等）に深く寄与しているものであり、それが自らの生活と密接に結びついている
※モデルカリキュラム導入１－１、導入１－６が該当</t>
    <phoneticPr fontId="3"/>
  </si>
  <si>
    <t>（２）「社会で活用されているデータ」や「データの活用領域」は非常に広範囲であって、日常生活や社会の課題を解決する有用なツールになり得るもの
※モデルカリキュラム導入１－２、導入１－３が該当</t>
    <phoneticPr fontId="3"/>
  </si>
  <si>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3"/>
  </si>
  <si>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3"/>
  </si>
  <si>
    <t>※公表している場合のアドレス</t>
    <rPh sb="1" eb="3">
      <t>コウヒョウ</t>
    </rPh>
    <rPh sb="7" eb="9">
      <t>バアイ</t>
    </rPh>
    <phoneticPr fontId="3"/>
  </si>
  <si>
    <t>（責任者名）</t>
    <rPh sb="1" eb="4">
      <t>セキニンシャ</t>
    </rPh>
    <rPh sb="4" eb="5">
      <t>メイ</t>
    </rPh>
    <phoneticPr fontId="3"/>
  </si>
  <si>
    <t>プログラムの運営責任者</t>
    <phoneticPr fontId="3"/>
  </si>
  <si>
    <t>令和2年度</t>
    <rPh sb="0" eb="2">
      <t>レイワ</t>
    </rPh>
    <rPh sb="3" eb="5">
      <t>ネンド</t>
    </rPh>
    <phoneticPr fontId="3"/>
  </si>
  <si>
    <t>令和元年度</t>
    <rPh sb="0" eb="2">
      <t>レイワ</t>
    </rPh>
    <rPh sb="2" eb="3">
      <t>ゲン</t>
    </rPh>
    <rPh sb="3" eb="5">
      <t>ネンド</t>
    </rPh>
    <phoneticPr fontId="3"/>
  </si>
  <si>
    <t>平成30年度</t>
    <rPh sb="0" eb="2">
      <t>ヘイセイ</t>
    </rPh>
    <rPh sb="4" eb="6">
      <t>ネンド</t>
    </rPh>
    <phoneticPr fontId="3"/>
  </si>
  <si>
    <t>平成29年度</t>
    <rPh sb="0" eb="2">
      <t>ヘイセイ</t>
    </rPh>
    <rPh sb="4" eb="6">
      <t>ネンド</t>
    </rPh>
    <phoneticPr fontId="3"/>
  </si>
  <si>
    <t>平成28年度</t>
    <rPh sb="0" eb="2">
      <t>ヘイセイ</t>
    </rPh>
    <rPh sb="4" eb="6">
      <t>ネンド</t>
    </rPh>
    <phoneticPr fontId="3"/>
  </si>
  <si>
    <t>平成27年度</t>
    <rPh sb="0" eb="2">
      <t>ヘイセイ</t>
    </rPh>
    <rPh sb="4" eb="6">
      <t>ネンド</t>
    </rPh>
    <phoneticPr fontId="3"/>
  </si>
  <si>
    <t>プログラムの履修者数等の実績について</t>
    <phoneticPr fontId="3"/>
  </si>
  <si>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3"/>
  </si>
  <si>
    <t>⑪</t>
    <phoneticPr fontId="3"/>
  </si>
  <si>
    <t>全学部・学科の入学定員</t>
    <rPh sb="0" eb="1">
      <t>ゼン</t>
    </rPh>
    <rPh sb="4" eb="6">
      <t>ガッカ</t>
    </rPh>
    <rPh sb="7" eb="9">
      <t>ニュウガク</t>
    </rPh>
    <rPh sb="9" eb="11">
      <t>テイイン</t>
    </rPh>
    <phoneticPr fontId="3"/>
  </si>
  <si>
    <t>全学部・学科の学生数（学年別）</t>
    <rPh sb="0" eb="1">
      <t>ゼン</t>
    </rPh>
    <rPh sb="4" eb="6">
      <t>ガッカ</t>
    </rPh>
    <rPh sb="7" eb="10">
      <t>ガクセイスウ</t>
    </rPh>
    <rPh sb="11" eb="13">
      <t>ガクネン</t>
    </rPh>
    <rPh sb="13" eb="14">
      <t>ベツ</t>
    </rPh>
    <phoneticPr fontId="3"/>
  </si>
  <si>
    <t>学部・学科名称</t>
    <rPh sb="0" eb="2">
      <t>ガクブ</t>
    </rPh>
    <rPh sb="3" eb="5">
      <t>ガッカ</t>
    </rPh>
    <rPh sb="5" eb="7">
      <t>メイショウ</t>
    </rPh>
    <phoneticPr fontId="3"/>
  </si>
  <si>
    <t>申請するプログラム又は授業科目名称</t>
    <rPh sb="0" eb="2">
      <t>シンセイ</t>
    </rPh>
    <rPh sb="9" eb="10">
      <t>マタ</t>
    </rPh>
    <rPh sb="11" eb="13">
      <t>ジュギョウ</t>
    </rPh>
    <rPh sb="13" eb="15">
      <t>カモク</t>
    </rPh>
    <rPh sb="15" eb="17">
      <t>メイショウ</t>
    </rPh>
    <phoneticPr fontId="3"/>
  </si>
  <si>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3"/>
  </si>
  <si>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3"/>
  </si>
  <si>
    <t>授業時間内外で学習指導、質問を受け付ける具体的な仕組み</t>
    <rPh sb="20" eb="23">
      <t>グタイテキ</t>
    </rPh>
    <phoneticPr fontId="3"/>
  </si>
  <si>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3"/>
  </si>
  <si>
    <t>情報と社会Ⅰ</t>
    <rPh sb="0" eb="2">
      <t>ジョウホウ</t>
    </rPh>
    <rPh sb="3" eb="5">
      <t>シャカイ</t>
    </rPh>
    <phoneticPr fontId="3"/>
  </si>
  <si>
    <t>自然科学入門Ⅱ</t>
    <rPh sb="0" eb="4">
      <t>シゼンカガク</t>
    </rPh>
    <rPh sb="4" eb="6">
      <t>ニュウモン</t>
    </rPh>
    <phoneticPr fontId="3"/>
  </si>
  <si>
    <t>データサイエンス入門</t>
    <rPh sb="8" eb="10">
      <t>ニュウモン</t>
    </rPh>
    <phoneticPr fontId="3"/>
  </si>
  <si>
    <t>ウェブの世界探究</t>
    <rPh sb="4" eb="6">
      <t>セカイ</t>
    </rPh>
    <rPh sb="6" eb="8">
      <t>タンキュウ</t>
    </rPh>
    <phoneticPr fontId="3"/>
  </si>
  <si>
    <t>プログラミング言語Ⅰ</t>
    <rPh sb="7" eb="9">
      <t>ゲンゴ</t>
    </rPh>
    <phoneticPr fontId="3"/>
  </si>
  <si>
    <t>プログラミング言語Ⅱ</t>
    <rPh sb="7" eb="9">
      <t>ゲンゴ</t>
    </rPh>
    <phoneticPr fontId="3"/>
  </si>
  <si>
    <t>統計学入門Ⅰ、統計学入門Ⅱ、数学入門Ⅰ、数学入門Ⅱ</t>
    <rPh sb="0" eb="3">
      <t>トウケイガク</t>
    </rPh>
    <rPh sb="3" eb="5">
      <t>ニュウモン</t>
    </rPh>
    <rPh sb="7" eb="10">
      <t>トウケイガク</t>
    </rPh>
    <rPh sb="10" eb="12">
      <t>ニュウモン</t>
    </rPh>
    <rPh sb="14" eb="16">
      <t>スウガク</t>
    </rPh>
    <rPh sb="16" eb="18">
      <t>ニュウモン</t>
    </rPh>
    <rPh sb="20" eb="22">
      <t>スウガク</t>
    </rPh>
    <rPh sb="22" eb="24">
      <t>ニュウモン</t>
    </rPh>
    <phoneticPr fontId="3"/>
  </si>
  <si>
    <t>プログラミング言語Ⅰ、プログラミング言語Ⅱ</t>
    <rPh sb="7" eb="9">
      <t>ゲンゴ</t>
    </rPh>
    <rPh sb="18" eb="20">
      <t>ゲンゴ</t>
    </rPh>
    <phoneticPr fontId="3"/>
  </si>
  <si>
    <t>https://www.asia-u.ac.jp/academics/minor/1/</t>
    <phoneticPr fontId="3"/>
  </si>
  <si>
    <t>学部・学科によって、修了要件は相違しない</t>
  </si>
  <si>
    <t>データサイエンス入門</t>
    <rPh sb="8" eb="10">
      <t xml:space="preserve">ニュウモン </t>
    </rPh>
    <phoneticPr fontId="3"/>
  </si>
  <si>
    <t>ウェブの世界探究</t>
    <rPh sb="4" eb="6">
      <t xml:space="preserve">セカイ </t>
    </rPh>
    <rPh sb="6" eb="8">
      <t xml:space="preserve">タンキュウ </t>
    </rPh>
    <phoneticPr fontId="3"/>
  </si>
  <si>
    <t>亜細亜大学</t>
    <rPh sb="0" eb="3">
      <t xml:space="preserve">アジア </t>
    </rPh>
    <rPh sb="3" eb="5">
      <t xml:space="preserve">ダイガク </t>
    </rPh>
    <phoneticPr fontId="3"/>
  </si>
  <si>
    <t>亜細亜大学</t>
    <rPh sb="0" eb="5">
      <t xml:space="preserve">アジアダイガク </t>
    </rPh>
    <phoneticPr fontId="3"/>
  </si>
  <si>
    <t>データサイエンス副専攻</t>
    <rPh sb="8" eb="11">
      <t xml:space="preserve">フクセンコウ </t>
    </rPh>
    <phoneticPr fontId="3"/>
  </si>
  <si>
    <t>認定教育プログラム</t>
  </si>
  <si>
    <t>学校法人亜細亜学園</t>
    <rPh sb="0" eb="4">
      <t xml:space="preserve">ガッコウホウジン </t>
    </rPh>
    <rPh sb="4" eb="9">
      <t xml:space="preserve">アジアガクエン </t>
    </rPh>
    <phoneticPr fontId="3"/>
  </si>
  <si>
    <t>私立大学</t>
  </si>
  <si>
    <t>東京都武蔵野市境5丁目8番</t>
    <phoneticPr fontId="3"/>
  </si>
  <si>
    <t>経営学部教授</t>
    <rPh sb="0" eb="4">
      <t xml:space="preserve">ケイエイガクブ </t>
    </rPh>
    <rPh sb="4" eb="6">
      <t xml:space="preserve">キョウジュ </t>
    </rPh>
    <phoneticPr fontId="3"/>
  </si>
  <si>
    <t>亜細亜大学データサイエンス教育委員会</t>
    <rPh sb="0" eb="5">
      <t xml:space="preserve">アジアダイガク </t>
    </rPh>
    <rPh sb="13" eb="15">
      <t xml:space="preserve">キョウイク </t>
    </rPh>
    <rPh sb="15" eb="18">
      <t xml:space="preserve">イインカイ </t>
    </rPh>
    <phoneticPr fontId="3"/>
  </si>
  <si>
    <t>亜細亜大学データサイエンス教育委員会規程</t>
    <phoneticPr fontId="3"/>
  </si>
  <si>
    <t>様式２</t>
    <rPh sb="0" eb="2">
      <t>ヨウシキ</t>
    </rPh>
    <phoneticPr fontId="3"/>
  </si>
  <si>
    <t>様式４</t>
    <rPh sb="0" eb="2">
      <t>ヨウシキ</t>
    </rPh>
    <phoneticPr fontId="3"/>
  </si>
  <si>
    <t>大島　正克</t>
    <rPh sb="0" eb="2">
      <t>オオシマ</t>
    </rPh>
    <rPh sb="3" eb="5">
      <t>マサカツ</t>
    </rPh>
    <phoneticPr fontId="3"/>
  </si>
  <si>
    <t>0422-36-4146</t>
    <phoneticPr fontId="3"/>
  </si>
  <si>
    <t>金子　国彦</t>
    <rPh sb="0" eb="2">
      <t>カネコ</t>
    </rPh>
    <rPh sb="3" eb="5">
      <t>クニヒコ</t>
    </rPh>
    <phoneticPr fontId="3"/>
  </si>
  <si>
    <t>教務部教学センター</t>
    <rPh sb="0" eb="2">
      <t>キョウム</t>
    </rPh>
    <rPh sb="2" eb="3">
      <t>ブ</t>
    </rPh>
    <rPh sb="3" eb="5">
      <t>キョウガク</t>
    </rPh>
    <phoneticPr fontId="3"/>
  </si>
  <si>
    <t>gakumu@asia-u.ac.jp</t>
    <phoneticPr fontId="3"/>
  </si>
  <si>
    <t>堀　玄</t>
    <rPh sb="0" eb="1">
      <t xml:space="preserve">ホリ </t>
    </rPh>
    <rPh sb="2" eb="3">
      <t xml:space="preserve">ゲンカン </t>
    </rPh>
    <phoneticPr fontId="3"/>
  </si>
  <si>
    <t>学部・学科に関係なく希望する学生全員が受講可能となるような必要な体制・取組等</t>
    <phoneticPr fontId="3"/>
  </si>
  <si>
    <t>経営学部（社会科学）</t>
    <rPh sb="0" eb="4">
      <t xml:space="preserve">ケイエイガクブ </t>
    </rPh>
    <rPh sb="5" eb="7">
      <t xml:space="preserve">シャカイ </t>
    </rPh>
    <rPh sb="7" eb="9">
      <t xml:space="preserve">カガク </t>
    </rPh>
    <phoneticPr fontId="3"/>
  </si>
  <si>
    <t>経済学部（社会科学）</t>
    <rPh sb="0" eb="2">
      <t xml:space="preserve">ケイザイ </t>
    </rPh>
    <rPh sb="2" eb="3">
      <t xml:space="preserve">ガクブ </t>
    </rPh>
    <rPh sb="5" eb="7">
      <t xml:space="preserve">シャカイ </t>
    </rPh>
    <rPh sb="7" eb="9">
      <t xml:space="preserve">カガク </t>
    </rPh>
    <phoneticPr fontId="3"/>
  </si>
  <si>
    <t>法学部（社会科学）</t>
    <rPh sb="0" eb="1">
      <t xml:space="preserve">ホウガクブ </t>
    </rPh>
    <rPh sb="4" eb="6">
      <t xml:space="preserve">シャカイ </t>
    </rPh>
    <rPh sb="6" eb="8">
      <t xml:space="preserve">カガク </t>
    </rPh>
    <phoneticPr fontId="3"/>
  </si>
  <si>
    <t>国際関係学部（その他）</t>
    <rPh sb="0" eb="2">
      <t xml:space="preserve">コクサイ </t>
    </rPh>
    <rPh sb="2" eb="4">
      <t xml:space="preserve">カンケイ </t>
    </rPh>
    <rPh sb="4" eb="6">
      <t xml:space="preserve">ガクブ </t>
    </rPh>
    <phoneticPr fontId="3"/>
  </si>
  <si>
    <t>都市創造学部（社会科学）</t>
    <rPh sb="0" eb="2">
      <t xml:space="preserve">トシ </t>
    </rPh>
    <rPh sb="2" eb="4">
      <t xml:space="preserve">ソウゾウ </t>
    </rPh>
    <rPh sb="4" eb="6">
      <t xml:space="preserve">ガクブ </t>
    </rPh>
    <rPh sb="7" eb="9">
      <t xml:space="preserve">シャカイ </t>
    </rPh>
    <rPh sb="9" eb="11">
      <t xml:space="preserve">カガク </t>
    </rPh>
    <phoneticPr fontId="3"/>
  </si>
  <si>
    <t xml:space="preserve">学長・内部質保証評価委員会委員長				</t>
    <phoneticPr fontId="3"/>
  </si>
  <si>
    <t>大島　正克</t>
    <phoneticPr fontId="3"/>
  </si>
  <si>
    <t>データサイエンス副専攻のカリキュラムは、様式４の記入内容から明らかなように、「リテラシーレベル」の内容をおさえるとともに「応用基礎レベル」までを見据えたものであり、その内容・水準は決して低いものではない。
このような内容を、前項目でも紹介したように、本学の平均的な学生にとって楽しみながら分かりやすく学べる科目内容とすることに全力を注いでいる。
今後は、前々項目で触れた、非常勤講師として本学の教壇に立つ企業データサイエンティストからの意見をフル活用し、企業のデータサイエンティストとして実際に必要となる手法を身につけられるカリキュラムへと発展させていく。</t>
    <rPh sb="49" eb="51">
      <t xml:space="preserve">ナイヨウ </t>
    </rPh>
    <rPh sb="72" eb="74">
      <t xml:space="preserve">ミスエタモノデアリ </t>
    </rPh>
    <rPh sb="87" eb="89">
      <t xml:space="preserve">スイジュン </t>
    </rPh>
    <rPh sb="90" eb="91">
      <t>ケッ</t>
    </rPh>
    <rPh sb="125" eb="126">
      <t>ホン</t>
    </rPh>
    <rPh sb="194" eb="196">
      <t>ホンガク</t>
    </rPh>
    <rPh sb="197" eb="199">
      <t>キョウダン</t>
    </rPh>
    <rPh sb="200" eb="201">
      <t>タ</t>
    </rPh>
    <rPh sb="270" eb="272">
      <t>ハッテン</t>
    </rPh>
    <phoneticPr fontId="3"/>
  </si>
  <si>
    <t>内部質保証評価委員会</t>
    <phoneticPr fontId="3"/>
  </si>
  <si>
    <t>数理の世界探究</t>
    <rPh sb="0" eb="2">
      <t xml:space="preserve">スウリ </t>
    </rPh>
    <rPh sb="3" eb="5">
      <t xml:space="preserve">セカイ </t>
    </rPh>
    <rPh sb="5" eb="7">
      <t xml:space="preserve">タンキュウ </t>
    </rPh>
    <phoneticPr fontId="3"/>
  </si>
  <si>
    <t>プログラムの学修成果（学生等が身に付けられる能力等）</t>
  </si>
  <si>
    <t>データサイエンス入門、プログラミング言語Ⅱ、ウェブの世界探究</t>
    <rPh sb="15" eb="17">
      <t xml:space="preserve">セカイ </t>
    </rPh>
    <rPh sb="17" eb="18">
      <t>タンキュウ</t>
    </rPh>
    <rPh sb="18" eb="19">
      <t>キュウ</t>
    </rPh>
    <phoneticPr fontId="3"/>
  </si>
  <si>
    <t>統計学入門Ⅰ</t>
    <rPh sb="0" eb="3">
      <t>トウケイガク</t>
    </rPh>
    <phoneticPr fontId="3"/>
  </si>
  <si>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3"/>
  </si>
  <si>
    <t>数理の世界探究</t>
    <rPh sb="0" eb="2">
      <t>スウリ</t>
    </rPh>
    <rPh sb="3" eb="5">
      <t>セカイ</t>
    </rPh>
    <rPh sb="5" eb="7">
      <t>タンキュウ</t>
    </rPh>
    <phoneticPr fontId="3"/>
  </si>
  <si>
    <t>データサイエンス入門</t>
    <rPh sb="3" eb="5">
      <t>サイエンス</t>
    </rPh>
    <rPh sb="8" eb="10">
      <t xml:space="preserve">ニュウモン </t>
    </rPh>
    <phoneticPr fontId="3"/>
  </si>
  <si>
    <t>亜細亜大学</t>
    <rPh sb="0" eb="3">
      <t>アジア</t>
    </rPh>
    <rPh sb="3" eb="5">
      <t>ダイガク</t>
    </rPh>
    <phoneticPr fontId="3"/>
  </si>
  <si>
    <t>学長・亜細亜大学データサイエンス教育委員会委員長</t>
    <rPh sb="0" eb="1">
      <t>ガク</t>
    </rPh>
    <rPh sb="1" eb="2">
      <t>チョウ</t>
    </rPh>
    <rPh sb="3" eb="8">
      <t xml:space="preserve">アジアダイガク </t>
    </rPh>
    <rPh sb="16" eb="18">
      <t xml:space="preserve">キョウイク </t>
    </rPh>
    <rPh sb="18" eb="21">
      <t xml:space="preserve">イインカイ </t>
    </rPh>
    <rPh sb="21" eb="24">
      <t xml:space="preserve">イインチョウ </t>
    </rPh>
    <phoneticPr fontId="3"/>
  </si>
  <si>
    <t>多種多様なデータのデジタル化に伴い、目的やデータの種類・特性に応じて様々な手法や技術が開発され、実用化されている。これらの手法や技術の背景となる理論を学ぶことは大切であるが、実際にデータを取得し、基本的な分析・認識・最適化等を実践する体験が不可欠である。多くの手法はパッケージ化、ライブラリ化された形で提供されており、対象データに合せた必要最小限のプログラミングで利用できる。
こうした点を踏まえ、授業では毎回、分野とテーマを設定し、経営学(マーケティング、流通等)、経済学(金融等)、その他の分野の実データを題材として取り上げ、学生たちはデータの取得から実習を行い、基本的かつ典型的な手法を用いて実践的に学ぶ。特に、汎用性のあるAI技術である機械学習やディープラーニングの活用方法に加え、自然言語処理、画像処理、音楽情報処理等、固有の知識が必要な分野も実習を通じて学ぶ。</t>
    <rPh sb="34" eb="35">
      <t xml:space="preserve">サマザマ </t>
    </rPh>
    <rPh sb="248" eb="251">
      <t>テンケイテキ</t>
    </rPh>
    <phoneticPr fontId="3"/>
  </si>
  <si>
    <t>データサイエンス副専攻は、特定の学部学科によらず、本学の全学部の新入生が応募できるプログラムである。
しかし、現状の副専攻の教育体制では定員に限界があり、１学年100名程度を定員としているが、令和2・3年度ともに約260名の希望者がおり、数学のテストによる選抜を実施し令和２年度は約130名、令和３年度は約170名を副専攻に登録した（プログラム初年度である令和２年度に限り2・3年生の登録も受け付け、３学年合計で約300名を登録した）。
そこで修了前提科目(様式２②、③参照)については、クラス数を増加することにより希望する学生ができる限り受講可能となるようにする。
また、副専攻に登録できても、修了前提科目と所属する学部の必修科目が同一曜日・時限に開講されていて受講できない場合があるため、修了前提科目については複数クラスを設けることにより学生の履修機会を確保する。</t>
    <rPh sb="25" eb="26">
      <t>ホン</t>
    </rPh>
    <rPh sb="83" eb="84">
      <t>メイ</t>
    </rPh>
    <rPh sb="96" eb="98">
      <t xml:space="preserve">レイワ </t>
    </rPh>
    <rPh sb="134" eb="136">
      <t xml:space="preserve">レイワ </t>
    </rPh>
    <rPh sb="144" eb="145">
      <t>メイ</t>
    </rPh>
    <rPh sb="146" eb="148">
      <t xml:space="preserve">レイワ </t>
    </rPh>
    <rPh sb="156" eb="157">
      <t>メイ</t>
    </rPh>
    <rPh sb="178" eb="180">
      <t xml:space="preserve">レイワ </t>
    </rPh>
    <rPh sb="210" eb="211">
      <t>メイ</t>
    </rPh>
    <rPh sb="222" eb="224">
      <t xml:space="preserve">シュウリョウ </t>
    </rPh>
    <rPh sb="224" eb="226">
      <t xml:space="preserve">ゼンテイ </t>
    </rPh>
    <rPh sb="226" eb="228">
      <t xml:space="preserve">カモク </t>
    </rPh>
    <rPh sb="229" eb="231">
      <t xml:space="preserve">ヨウシキ </t>
    </rPh>
    <rPh sb="235" eb="237">
      <t>サンショウ</t>
    </rPh>
    <rPh sb="291" eb="293">
      <t xml:space="preserve">トウロク </t>
    </rPh>
    <rPh sb="298" eb="300">
      <t xml:space="preserve">シュウリョウ </t>
    </rPh>
    <rPh sb="300" eb="302">
      <t xml:space="preserve">ゼンテイ </t>
    </rPh>
    <rPh sb="302" eb="304">
      <t xml:space="preserve">カモク </t>
    </rPh>
    <rPh sb="312" eb="314">
      <t xml:space="preserve">ヒッシュウ </t>
    </rPh>
    <rPh sb="338" eb="340">
      <t>バアイ</t>
    </rPh>
    <rPh sb="346" eb="348">
      <t xml:space="preserve">シュウリョウ </t>
    </rPh>
    <rPh sb="348" eb="350">
      <t xml:space="preserve">ゼンテイ </t>
    </rPh>
    <rPh sb="350" eb="352">
      <t xml:space="preserve">カモク </t>
    </rPh>
    <rPh sb="379" eb="381">
      <t xml:space="preserve">カクホ </t>
    </rPh>
    <phoneticPr fontId="3"/>
  </si>
  <si>
    <t>デジタル化の進展に伴い、紙媒体やアナログメディアに記録されたデータの多くが電子化され、流通するようになった。そもそもデータとはある特定の目的から見たときの素材であり、目的をもたなければ無用の長物にすぎない。したがって、素材としてのデータを活用し、意味や知恵を導出できるかどうかはデータサイエンティストの素養に大きく依存している。
AIは大量のデータからの学習を必要とするため、適切なデータセットを与える必要があり、ここでは以下の各点について学ぶ。
(1)多様なデータ：データの種類、構造化されたデータ、非構造化データ、メタデータ
(2)ライフサイクルから見たデータ：０次データ、１次データ、２次データ、３次データ
(3)指標の値としてのデータ：指標を何で測るか、代替指標、データの質
(4)データサイエンス・AIの活用分野：ビジネス、保健医療、セキュリティ等</t>
    <rPh sb="378" eb="379">
      <t xml:space="preserve">トウ </t>
    </rPh>
    <phoneticPr fontId="3"/>
  </si>
  <si>
    <t>データサイエンス入門、プログラミング言語Ⅱ</t>
    <rPh sb="15" eb="17">
      <t xml:space="preserve">セカイ </t>
    </rPh>
    <rPh sb="17" eb="18">
      <t>タンキュウ</t>
    </rPh>
    <rPh sb="18" eb="19">
      <t>キュウ</t>
    </rPh>
    <phoneticPr fontId="3"/>
  </si>
  <si>
    <t>データサイエンス入門、プログラミング言語Ⅱ</t>
    <rPh sb="3" eb="5">
      <t>サイエンス</t>
    </rPh>
    <rPh sb="8" eb="10">
      <t xml:space="preserve">ニュウモン </t>
    </rPh>
    <rPh sb="11" eb="13">
      <t>プログラミング</t>
    </rPh>
    <rPh sb="18" eb="19">
      <t xml:space="preserve">ゲンゴ </t>
    </rPh>
    <phoneticPr fontId="3"/>
  </si>
  <si>
    <t>・文理融合的な視点でデータを統計的に分析できるだけでなく、課題を分析し人工知能(AI)等の手法を用いて課題解決へと結びつけることができる。
・文系の学生が、データサイエンスをビジネスから環境問題にまで応用するための基礎力を身につけることができる。
・基本的なデータサイエンスの手法を習得し、与えられたデータセットに対して自分の判断で適切な分析手法やアルゴリズムを選択し、分析を行い、結果に解釈を与えられるようになる。
・人工知能、機械学習、ディープラーニングに関する基本的な手法を理解し、これを現実的な問題に応用できるようになる。
・データサイエンスの手法を使って未知の課題を解決するマインドを体得する。</t>
    <rPh sb="43" eb="44">
      <t>ナド</t>
    </rPh>
    <rPh sb="107" eb="110">
      <t>キソリョク</t>
    </rPh>
    <rPh sb="111" eb="112">
      <t>ミ</t>
    </rPh>
    <phoneticPr fontId="3"/>
  </si>
  <si>
    <t>本学のデータサイエンス副専攻では、めざす人材像として『文理融合的な視点でデータを統計的に分析できるだけでなく、課題を分析し人工知能(AI)等の手法を用いて課題解決へと結び付けられる人材』を念頭におき、その育成に取り組んでいる。
このためのデータサイエンス教育の円滑な運営を図るため、データサイエンス教育のカリキュラム、科目担当、改善、質の保証、その他データサイエンス教育に関する事項を審議し、実施計画と実施状況の総合的なマネジメントを行うため「亜細亜大学データサイエンス教育委員会」を設置している。</t>
    <rPh sb="69" eb="70">
      <t xml:space="preserve">トウ </t>
    </rPh>
    <rPh sb="174" eb="175">
      <t>キョウイク</t>
    </rPh>
    <phoneticPr fontId="3"/>
  </si>
  <si>
    <t>自己点検委員会において、IR専門部会と協力し、データサイエンス副専攻の各学部・各学年の登録者数、履修単位数の分布等を集計し、プログラム修了へ向けた各学生の履修進捗状況の情報を副専攻科目担当教員に提供する。
副専攻科目担当教員は、この情報をもとに各学生に対してプログラム修了に向けた履修指導等きめ細かい指導を行い、登録学生の学修進捗状況をデータサイエンス教育委員会においてとりまとめ、自己点検委員会に報告する。
自己点検委員会は報告について点検・評価を行い、内部質保証評価委員会に報告し、内部質保証評価委員会において最終的な評価を行う。</t>
    <rPh sb="0" eb="4">
      <t xml:space="preserve">ジコテンケン </t>
    </rPh>
    <rPh sb="4" eb="7">
      <t xml:space="preserve">イインカイ </t>
    </rPh>
    <rPh sb="74" eb="76">
      <t xml:space="preserve">ジョウホウ </t>
    </rPh>
    <rPh sb="77" eb="79">
      <t>フクセンコウ</t>
    </rPh>
    <rPh sb="79" eb="81">
      <t xml:space="preserve">シンチョク </t>
    </rPh>
    <rPh sb="92" eb="95">
      <t>フクセンコウ</t>
    </rPh>
    <rPh sb="156" eb="158">
      <t xml:space="preserve">トウロク </t>
    </rPh>
    <rPh sb="158" eb="160">
      <t xml:space="preserve">ガクセイ </t>
    </rPh>
    <rPh sb="161" eb="163">
      <t xml:space="preserve">ガクシュウ </t>
    </rPh>
    <rPh sb="163" eb="165">
      <t xml:space="preserve">シンチョク </t>
    </rPh>
    <rPh sb="165" eb="167">
      <t xml:space="preserve">ジョウキョウ </t>
    </rPh>
    <rPh sb="168" eb="169">
      <t xml:space="preserve">イインカイ </t>
    </rPh>
    <rPh sb="170" eb="172">
      <t xml:space="preserve">ホウコク </t>
    </rPh>
    <rPh sb="177" eb="179">
      <t xml:space="preserve">ナイブ </t>
    </rPh>
    <rPh sb="179" eb="180">
      <t xml:space="preserve">シツ </t>
    </rPh>
    <rPh sb="180" eb="181">
      <t xml:space="preserve">ホショウ </t>
    </rPh>
    <rPh sb="191" eb="192">
      <t xml:space="preserve">ヒョウカ </t>
    </rPh>
    <rPh sb="192" eb="195">
      <t xml:space="preserve">イインカイ </t>
    </rPh>
    <rPh sb="199" eb="201">
      <t xml:space="preserve">ヒョウカ </t>
    </rPh>
    <rPh sb="205" eb="209">
      <t xml:space="preserve">ジコテンケン </t>
    </rPh>
    <rPh sb="209" eb="212">
      <t xml:space="preserve">イインカイ </t>
    </rPh>
    <rPh sb="213" eb="215">
      <t xml:space="preserve">ホウコク </t>
    </rPh>
    <rPh sb="219" eb="221">
      <t xml:space="preserve">テンケン </t>
    </rPh>
    <rPh sb="222" eb="224">
      <t xml:space="preserve">ヒョウカ </t>
    </rPh>
    <rPh sb="225" eb="226">
      <t xml:space="preserve">オコナイ </t>
    </rPh>
    <rPh sb="239" eb="241">
      <t xml:space="preserve">ホウコク </t>
    </rPh>
    <rPh sb="246" eb="249">
      <t xml:space="preserve">サイシュウテキ </t>
    </rPh>
    <rPh sb="250" eb="252">
      <t xml:space="preserve">ヒョウカ </t>
    </rPh>
    <rPh sb="254" eb="255">
      <t xml:space="preserve">オコナウ </t>
    </rPh>
    <phoneticPr fontId="3"/>
  </si>
  <si>
    <t>自然科学入門Ⅱ</t>
    <rPh sb="0" eb="2">
      <t xml:space="preserve">シゼン </t>
    </rPh>
    <rPh sb="2" eb="4">
      <t xml:space="preserve">カガク </t>
    </rPh>
    <rPh sb="4" eb="6">
      <t xml:space="preserve">ニュウモン </t>
    </rPh>
    <phoneticPr fontId="3"/>
  </si>
  <si>
    <t>数学入門Ⅱ</t>
    <rPh sb="0" eb="1">
      <t xml:space="preserve">スウガク </t>
    </rPh>
    <rPh sb="2" eb="3">
      <t xml:space="preserve">ニュウモン </t>
    </rPh>
    <phoneticPr fontId="3"/>
  </si>
  <si>
    <t>情報と社会Ⅰ</t>
    <rPh sb="0" eb="2">
      <t xml:space="preserve">ジョウホウ </t>
    </rPh>
    <rPh sb="3" eb="5">
      <t xml:space="preserve">シャカイ </t>
    </rPh>
    <phoneticPr fontId="3"/>
  </si>
  <si>
    <t>数学入門Ⅰ</t>
    <rPh sb="0" eb="2">
      <t xml:space="preserve">スウガク </t>
    </rPh>
    <rPh sb="2" eb="4">
      <t xml:space="preserve">ニュウモン </t>
    </rPh>
    <phoneticPr fontId="3"/>
  </si>
  <si>
    <t>統計学入門Ⅰ</t>
    <rPh sb="0" eb="3">
      <t xml:space="preserve">トウケイガク </t>
    </rPh>
    <rPh sb="3" eb="5">
      <t xml:space="preserve">ニュウモン </t>
    </rPh>
    <phoneticPr fontId="3"/>
  </si>
  <si>
    <t>統計学入門Ⅱ</t>
    <rPh sb="0" eb="1">
      <t xml:space="preserve">トウケイ </t>
    </rPh>
    <rPh sb="2" eb="3">
      <t xml:space="preserve">ガクニュウモン </t>
    </rPh>
    <phoneticPr fontId="3"/>
  </si>
  <si>
    <t>プログラミング言語Ⅰ</t>
    <rPh sb="7" eb="9">
      <t xml:space="preserve">ゲンゴ </t>
    </rPh>
    <phoneticPr fontId="3"/>
  </si>
  <si>
    <t>プログラミング言語Ⅱ</t>
    <rPh sb="7" eb="9">
      <t xml:space="preserve">ゲンゴ </t>
    </rPh>
    <phoneticPr fontId="3"/>
  </si>
  <si>
    <t>　　</t>
    <phoneticPr fontId="3"/>
  </si>
  <si>
    <t>令和２年度</t>
    <rPh sb="0" eb="2">
      <t xml:space="preserve">レイワ </t>
    </rPh>
    <rPh sb="3" eb="5">
      <t xml:space="preserve">ネンド </t>
    </rPh>
    <phoneticPr fontId="3"/>
  </si>
  <si>
    <t>本学では「亜細亜大学データサイエンス大賞」を制定し、「ディープラーニングG検定」、「Python３エンジニア認定基礎試験」、「統計検定」、「実用数学技能検定」の資格取得者に対して報奨金を授与している。
これらの検定の内容は、データサイエンス副専攻の科目で網羅されており、副専攻科目の学修がこれらの資格取得に結びつき、対外的にデータサイエンス副専攻の学修成果が可視化される仕組みになっている。
ひいては、データサイエンス副専攻の履修者数、履修率向上、様式５④で紹介したオープンキャンパスでの副専攻ブースの設置並びに紹介動画、入学者に対するガイダンスを通じた履修者数、履修率向上にも貢献している。</t>
    <rPh sb="0" eb="1">
      <t>ホン</t>
    </rPh>
    <rPh sb="5" eb="8">
      <t>アジア</t>
    </rPh>
    <rPh sb="8" eb="10">
      <t>ダイガク</t>
    </rPh>
    <rPh sb="54" eb="56">
      <t>ニンテイ</t>
    </rPh>
    <rPh sb="56" eb="58">
      <t>キソ</t>
    </rPh>
    <rPh sb="58" eb="60">
      <t>シケン</t>
    </rPh>
    <rPh sb="70" eb="72">
      <t xml:space="preserve">ジツヨウ </t>
    </rPh>
    <rPh sb="72" eb="74">
      <t xml:space="preserve">スウガク </t>
    </rPh>
    <rPh sb="74" eb="76">
      <t xml:space="preserve">ギノウ </t>
    </rPh>
    <rPh sb="76" eb="78">
      <t xml:space="preserve">ケンテイ </t>
    </rPh>
    <rPh sb="80" eb="82">
      <t>シカク</t>
    </rPh>
    <rPh sb="93" eb="95">
      <t>ジュヨ</t>
    </rPh>
    <rPh sb="148" eb="150">
      <t>シカク</t>
    </rPh>
    <rPh sb="253" eb="254">
      <t>ナラ</t>
    </rPh>
    <rPh sb="289" eb="291">
      <t>コウケン</t>
    </rPh>
    <phoneticPr fontId="3"/>
  </si>
  <si>
    <t>前項目で述べた全学的に行っている「学生による授業アンケート」では、後輩学生への副専攻の推奨度に関する情報を得ることはできない。
そこで今後「学生による授業アンケート」では把握しきれない副専攻科目特有の授業評価、授業改善に関するアンケート項目を定め、新たに「データサイエンス副専攻アンケート」を実施する。このアンケートの中で、副専攻を後輩学生に勧めるかを理由も含めて問い、結果を分析することにより、データサイエンス副専攻の全学的な履修者数、履修率の向上に向けた施策へとつなげる。</t>
    <rPh sb="7" eb="9">
      <t>ゼンガク</t>
    </rPh>
    <rPh sb="9" eb="10">
      <t>テキ</t>
    </rPh>
    <rPh sb="22" eb="24">
      <t xml:space="preserve">ジュギョウ </t>
    </rPh>
    <rPh sb="33" eb="35">
      <t xml:space="preserve">コウハイ </t>
    </rPh>
    <rPh sb="35" eb="37">
      <t xml:space="preserve">ガクセイ </t>
    </rPh>
    <rPh sb="39" eb="42">
      <t xml:space="preserve">フクセンコウ </t>
    </rPh>
    <rPh sb="43" eb="45">
      <t xml:space="preserve">スイショウ </t>
    </rPh>
    <rPh sb="45" eb="46">
      <t xml:space="preserve">ドアイ </t>
    </rPh>
    <rPh sb="47" eb="48">
      <t xml:space="preserve">カンスル </t>
    </rPh>
    <rPh sb="50" eb="52">
      <t xml:space="preserve">ジョウホウ </t>
    </rPh>
    <rPh sb="53" eb="54">
      <t xml:space="preserve">エルア </t>
    </rPh>
    <rPh sb="67" eb="69">
      <t xml:space="preserve">コンゴ </t>
    </rPh>
    <rPh sb="70" eb="72">
      <t xml:space="preserve">ガクセイ </t>
    </rPh>
    <rPh sb="75" eb="77">
      <t xml:space="preserve">ジュギョウ </t>
    </rPh>
    <rPh sb="124" eb="125">
      <t>アラ</t>
    </rPh>
    <rPh sb="136" eb="139">
      <t xml:space="preserve">フクセンコウ </t>
    </rPh>
    <rPh sb="168" eb="170">
      <t>ガクセイ</t>
    </rPh>
    <rPh sb="171" eb="172">
      <t>スス</t>
    </rPh>
    <phoneticPr fontId="3"/>
  </si>
  <si>
    <t>本学のデータサイエンス副専攻は令和２年度から始まったプログラムであり、令和２年度には１年生に加え、2・3年生の募集も行ったが、令和３年度末に初めての修了者が出る予定であり、まだ修了者の進路、活躍状況、企業等の評価を得られる段階にはない。
一方、本学では、継続的に「卒業生アンケート」を実施（令和元・2年度卒業生に対してはコロナの影響で未実施）し、卒業生の状況を把握している。今後この「卒業生アンケート」の中にデータサイエンス副専攻に関連するアンケート項目を含めることにより、データサイエンス副専攻修了者の状況を把握できる体制を整えていく。</t>
    <rPh sb="0" eb="1">
      <t>ホン</t>
    </rPh>
    <rPh sb="15" eb="17">
      <t xml:space="preserve">レイワ </t>
    </rPh>
    <rPh sb="35" eb="37">
      <t xml:space="preserve">レイワ </t>
    </rPh>
    <rPh sb="63" eb="65">
      <t xml:space="preserve">レイワ </t>
    </rPh>
    <rPh sb="70" eb="71">
      <t>ハジ</t>
    </rPh>
    <rPh sb="80" eb="82">
      <t>ヨテイ</t>
    </rPh>
    <rPh sb="122" eb="124">
      <t xml:space="preserve">ホンガク </t>
    </rPh>
    <rPh sb="144" eb="146">
      <t xml:space="preserve">レイワ </t>
    </rPh>
    <rPh sb="147" eb="148">
      <t xml:space="preserve">ガンネン </t>
    </rPh>
    <rPh sb="149" eb="151">
      <t xml:space="preserve">ネンド </t>
    </rPh>
    <rPh sb="151" eb="154">
      <t xml:space="preserve">ソツギョウセイ </t>
    </rPh>
    <rPh sb="155" eb="156">
      <t xml:space="preserve">タイシテ </t>
    </rPh>
    <rPh sb="163" eb="165">
      <t xml:space="preserve">エイキョウ </t>
    </rPh>
    <rPh sb="166" eb="169">
      <t xml:space="preserve">ミジッシ </t>
    </rPh>
    <rPh sb="172" eb="174">
      <t xml:space="preserve">ソツギョウ </t>
    </rPh>
    <rPh sb="174" eb="175">
      <t xml:space="preserve">セイト </t>
    </rPh>
    <rPh sb="176" eb="178">
      <t xml:space="preserve">ジョウキョウ </t>
    </rPh>
    <rPh sb="179" eb="181">
      <t xml:space="preserve">ハアク </t>
    </rPh>
    <rPh sb="251" eb="253">
      <t xml:space="preserve">ジョウキョウ </t>
    </rPh>
    <rPh sb="254" eb="256">
      <t xml:space="preserve">ハアク </t>
    </rPh>
    <rPh sb="259" eb="261">
      <t xml:space="preserve">タイセイ </t>
    </rPh>
    <rPh sb="262" eb="263">
      <t xml:space="preserve">トトノエテイク </t>
    </rPh>
    <phoneticPr fontId="3"/>
  </si>
  <si>
    <t>前項目で述べたとおりデータサイエンス副専攻は、令和３年度末に初めての修了者が出る予定であり、まだ産業界からの評価を得られる段階ではないが、データサイエンス副専攻に登録している学生のインターンシップ先企業を開拓しており、今後、実際にインターンシップを行った段階で、インターンシップ先企業から副専攻カリキュラムに対する評価を得られる体制を整えていく。
なお、現段階では、非常勤講師として本学の教壇に立つ企業データサイエンティストから意見を聴取し、副専攻カリキュラムの改善に活用している。</t>
    <rPh sb="23" eb="25">
      <t xml:space="preserve">レイワ </t>
    </rPh>
    <rPh sb="30" eb="31">
      <t>ハジ</t>
    </rPh>
    <rPh sb="40" eb="42">
      <t>ヨテイ</t>
    </rPh>
    <rPh sb="87" eb="89">
      <t xml:space="preserve">ガクセイ </t>
    </rPh>
    <rPh sb="102" eb="104">
      <t>カイタク</t>
    </rPh>
    <rPh sb="139" eb="140">
      <t xml:space="preserve">サキ </t>
    </rPh>
    <rPh sb="140" eb="142">
      <t xml:space="preserve">キギョウ </t>
    </rPh>
    <rPh sb="144" eb="147">
      <t>フクセンコウ</t>
    </rPh>
    <rPh sb="154" eb="155">
      <t xml:space="preserve">タイスル </t>
    </rPh>
    <rPh sb="191" eb="193">
      <t>ホンガク</t>
    </rPh>
    <rPh sb="194" eb="196">
      <t>キョウダン</t>
    </rPh>
    <rPh sb="197" eb="198">
      <t>タ</t>
    </rPh>
    <rPh sb="217" eb="219">
      <t>チョウシュ</t>
    </rPh>
    <rPh sb="221" eb="224">
      <t>フクセンコウ</t>
    </rPh>
    <phoneticPr fontId="3"/>
  </si>
  <si>
    <r>
      <t>大島　正克　（委員長・学長）
堀　　 玄　　 （副委員長・</t>
    </r>
    <r>
      <rPr>
        <sz val="12"/>
        <rFont val="ＭＳ Ｐゴシック"/>
        <family val="3"/>
        <charset val="128"/>
        <scheme val="minor"/>
      </rPr>
      <t xml:space="preserve">学長付教学委員・経営学部教授）
長浜　尚史　（教務委員長・全学共通教育委員会委員長・経済学部教授）
安形　輝　　 （図書館長・国際関係学部教授）
石塚　隆男　（学長付教学委員・経営学部准教授）
一山　稔之　（学長付教学委員・経済学部教授）
稲本　唯史　（法学部教授）
大森　克徳　（経済学部教授）
吉田　律　　 （全学共通教育委員会副委員長・経済学部教授）
</t>
    </r>
    <rPh sb="0" eb="2">
      <t>オオシマ</t>
    </rPh>
    <rPh sb="3" eb="5">
      <t>マサカツ</t>
    </rPh>
    <rPh sb="8" eb="9">
      <t>チョウ</t>
    </rPh>
    <rPh sb="11" eb="12">
      <t xml:space="preserve">ゲンカン </t>
    </rPh>
    <rPh sb="13" eb="14">
      <t xml:space="preserve">ケイザイ </t>
    </rPh>
    <rPh sb="15" eb="16">
      <t xml:space="preserve">キョウジュ </t>
    </rPh>
    <rPh sb="16" eb="18">
      <t xml:space="preserve">アガタ </t>
    </rPh>
    <rPh sb="29" eb="31">
      <t>ガクチョウ</t>
    </rPh>
    <rPh sb="31" eb="32">
      <t>ヅキ</t>
    </rPh>
    <rPh sb="32" eb="34">
      <t>キョウガク</t>
    </rPh>
    <rPh sb="34" eb="36">
      <t>イイン</t>
    </rPh>
    <rPh sb="42" eb="46">
      <t xml:space="preserve">ケイザイガクブ </t>
    </rPh>
    <rPh sb="46" eb="48">
      <t xml:space="preserve">キョウジュ </t>
    </rPh>
    <rPh sb="49" eb="50">
      <t xml:space="preserve">イイン </t>
    </rPh>
    <rPh sb="50" eb="52">
      <t xml:space="preserve">ケイザイ </t>
    </rPh>
    <rPh sb="52" eb="54">
      <t xml:space="preserve">ガクブ </t>
    </rPh>
    <rPh sb="54" eb="55">
      <t xml:space="preserve">キョウジュ </t>
    </rPh>
    <rPh sb="75" eb="77">
      <t xml:space="preserve">ケイザイガクブ </t>
    </rPh>
    <rPh sb="79" eb="81">
      <t xml:space="preserve">イイン </t>
    </rPh>
    <rPh sb="81" eb="83">
      <t xml:space="preserve">ナガハマ </t>
    </rPh>
    <rPh sb="93" eb="95">
      <t xml:space="preserve">キョウジュ </t>
    </rPh>
    <rPh sb="98" eb="99">
      <t xml:space="preserve">リッスル </t>
    </rPh>
    <rPh sb="109" eb="111">
      <t>ガクチョウ</t>
    </rPh>
    <rPh sb="111" eb="112">
      <t>ヅキ</t>
    </rPh>
    <rPh sb="112" eb="114">
      <t>キョウガク</t>
    </rPh>
    <rPh sb="114" eb="116">
      <t>イイン</t>
    </rPh>
    <rPh sb="133" eb="135">
      <t>ガクチョウ</t>
    </rPh>
    <rPh sb="135" eb="136">
      <t>ヅキ</t>
    </rPh>
    <rPh sb="136" eb="138">
      <t>キョウガク</t>
    </rPh>
    <rPh sb="138" eb="140">
      <t>イイン</t>
    </rPh>
    <rPh sb="186" eb="188">
      <t>ゼンガク</t>
    </rPh>
    <rPh sb="188" eb="190">
      <t>キョウツウ</t>
    </rPh>
    <rPh sb="190" eb="192">
      <t>キョウイク</t>
    </rPh>
    <rPh sb="192" eb="195">
      <t>イインカイ</t>
    </rPh>
    <rPh sb="195" eb="199">
      <t>フクイインチョウ</t>
    </rPh>
    <phoneticPr fontId="3"/>
  </si>
  <si>
    <t>５学部合計の履修者数の５か年の目標を以下のとおりとする。
令和３年度　470名　（8％）
令和４年度　640名　（10％）
令和５年度　810名　（13％）
令和６年度　980名　（16％）
令和７年度　1,150名（19％）
以上の目標を達成するために、１．学生への啓蒙活動及び２．データサイエンス副専攻科目のキャパシティの増加を実施する。
１については、既に入学前の学生に対しては、オープンキャンパスにおいて副専攻の紹介ブースを設け、またYouTubeに亜細亜大学データサイエンス副専攻チャンネルを設け動画で授業内容を紹介する等しているが、今後は入学時に副専攻への登録を行わなかった2・3年生に対しても、データサイエンスに関する啓蒙活動を行い登録者の増加をめざす。
２については、教育の質を確保しつつ登録者数の増加を図るためには副専攻科目のキャパシティの増加が不可欠であり、以下の方策を実施する。
①本学の全学共通教育委員会数理・情報教育部会の協力の下、既存の数理・情報科目を含めクラス数の調整を行う。
②データサイエンス分野を担当可能な教員を増やすための調整を行う。</t>
    <rPh sb="107" eb="108">
      <t>メイ</t>
    </rPh>
    <rPh sb="348" eb="350">
      <t xml:space="preserve">カクホ </t>
    </rPh>
    <rPh sb="403" eb="405">
      <t>ホンガク</t>
    </rPh>
    <rPh sb="406" eb="408">
      <t>ゼンガク</t>
    </rPh>
    <rPh sb="408" eb="410">
      <t>キョウツウ</t>
    </rPh>
    <rPh sb="410" eb="412">
      <t>キョウイク</t>
    </rPh>
    <rPh sb="412" eb="415">
      <t>イインカイ</t>
    </rPh>
    <rPh sb="441" eb="442">
      <t xml:space="preserve">フクメタ </t>
    </rPh>
    <rPh sb="448" eb="450">
      <t xml:space="preserve">チョウセイ </t>
    </rPh>
    <rPh sb="451" eb="452">
      <t xml:space="preserve">オコナウ </t>
    </rPh>
    <rPh sb="467" eb="469">
      <t xml:space="preserve">タントウ </t>
    </rPh>
    <rPh sb="469" eb="471">
      <t xml:space="preserve">カノウ </t>
    </rPh>
    <rPh sb="472" eb="474">
      <t xml:space="preserve">キョウイン </t>
    </rPh>
    <rPh sb="475" eb="476">
      <t xml:space="preserve">フヤス </t>
    </rPh>
    <rPh sb="481" eb="483">
      <t xml:space="preserve">チョウセイ </t>
    </rPh>
    <rPh sb="484" eb="485">
      <t xml:space="preserve">オコナウ </t>
    </rPh>
    <phoneticPr fontId="3"/>
  </si>
  <si>
    <r>
      <t>１科目の授業を数百名規模の学生が履修すると、課題採点等の面で学生の指導が行き届かず、教育の質を確保することが困難であるため、各クラスの定員を適正に保つために副専攻のキャパシティの増加を図ることが不可欠である。
④で述べたように、数理・情報科目を管轄する</t>
    </r>
    <r>
      <rPr>
        <sz val="12"/>
        <rFont val="ＭＳ Ｐゴシック"/>
        <family val="3"/>
        <charset val="128"/>
        <scheme val="minor"/>
      </rPr>
      <t>全学共通教育委員会数理・情報教育部会の協力の下、既存の数理・情報科目のクラス数の調整を行い、副専攻科目のクラス数の増加を図る。
また、既存の教員で副専攻の科目を担当可能な教員がいないか検討を行うとともに、新規教員採用の際は、副専攻の科目が担当可能であるか否かにも留意して選考を行い、大学全体としてデータサイエンス分野の科目担当教員の増員を図る。</t>
    </r>
    <rPh sb="9" eb="10">
      <t>メイ</t>
    </rPh>
    <rPh sb="22" eb="24">
      <t xml:space="preserve">カダイ </t>
    </rPh>
    <rPh sb="24" eb="26">
      <t xml:space="preserve">サイテン </t>
    </rPh>
    <rPh sb="26" eb="27">
      <t>ナド</t>
    </rPh>
    <rPh sb="28" eb="29">
      <t xml:space="preserve">メン </t>
    </rPh>
    <rPh sb="78" eb="81">
      <t xml:space="preserve">フクセンコウ </t>
    </rPh>
    <rPh sb="114" eb="116">
      <t xml:space="preserve">スウリ </t>
    </rPh>
    <rPh sb="117" eb="119">
      <t xml:space="preserve">ジョウホウ </t>
    </rPh>
    <rPh sb="119" eb="121">
      <t xml:space="preserve">カモク </t>
    </rPh>
    <rPh sb="122" eb="124">
      <t xml:space="preserve">カンカツ </t>
    </rPh>
    <rPh sb="126" eb="128">
      <t>ゼンガク</t>
    </rPh>
    <rPh sb="128" eb="130">
      <t>キョウツウ</t>
    </rPh>
    <rPh sb="130" eb="132">
      <t>キョウイク</t>
    </rPh>
    <rPh sb="132" eb="135">
      <t>イインカイ</t>
    </rPh>
    <rPh sb="140" eb="142">
      <t xml:space="preserve">キョウイク </t>
    </rPh>
    <rPh sb="148" eb="149">
      <t xml:space="preserve">シタ </t>
    </rPh>
    <rPh sb="150" eb="152">
      <t xml:space="preserve">キゾン </t>
    </rPh>
    <rPh sb="153" eb="155">
      <t xml:space="preserve">スウリ </t>
    </rPh>
    <rPh sb="156" eb="158">
      <t xml:space="preserve">ジョウホウ </t>
    </rPh>
    <rPh sb="158" eb="160">
      <t xml:space="preserve">カモク </t>
    </rPh>
    <rPh sb="164" eb="165">
      <t xml:space="preserve">カズ </t>
    </rPh>
    <rPh sb="166" eb="168">
      <t xml:space="preserve">チョウセイ </t>
    </rPh>
    <rPh sb="169" eb="170">
      <t xml:space="preserve">オコナイ </t>
    </rPh>
    <rPh sb="183" eb="185">
      <t xml:space="preserve">ゾウカ </t>
    </rPh>
    <rPh sb="186" eb="187">
      <t xml:space="preserve">ハカル </t>
    </rPh>
    <rPh sb="193" eb="195">
      <t xml:space="preserve">キゾン </t>
    </rPh>
    <rPh sb="196" eb="198">
      <t xml:space="preserve">キョウイン </t>
    </rPh>
    <rPh sb="199" eb="202">
      <t>フクセンコウ</t>
    </rPh>
    <rPh sb="203" eb="205">
      <t>カモク</t>
    </rPh>
    <rPh sb="206" eb="208">
      <t xml:space="preserve">タントウ </t>
    </rPh>
    <rPh sb="208" eb="210">
      <t xml:space="preserve">カノウ </t>
    </rPh>
    <rPh sb="211" eb="213">
      <t xml:space="preserve">キョウイン </t>
    </rPh>
    <rPh sb="218" eb="220">
      <t xml:space="preserve">ケントウ </t>
    </rPh>
    <rPh sb="221" eb="222">
      <t xml:space="preserve">オコナウ </t>
    </rPh>
    <rPh sb="228" eb="230">
      <t xml:space="preserve">シンキ </t>
    </rPh>
    <rPh sb="230" eb="232">
      <t>キョウイン</t>
    </rPh>
    <rPh sb="232" eb="234">
      <t xml:space="preserve">サイヨウ </t>
    </rPh>
    <rPh sb="235" eb="236">
      <t xml:space="preserve">サイ </t>
    </rPh>
    <rPh sb="238" eb="241">
      <t>フクセンコウ</t>
    </rPh>
    <rPh sb="242" eb="244">
      <t>カモク</t>
    </rPh>
    <rPh sb="245" eb="247">
      <t xml:space="preserve">タントウ </t>
    </rPh>
    <rPh sb="247" eb="249">
      <t xml:space="preserve">カノウ </t>
    </rPh>
    <rPh sb="253" eb="254">
      <t xml:space="preserve">イナカ </t>
    </rPh>
    <rPh sb="257" eb="259">
      <t xml:space="preserve">リュウイ </t>
    </rPh>
    <rPh sb="261" eb="263">
      <t>センコウ</t>
    </rPh>
    <rPh sb="264" eb="265">
      <t>ギョウ</t>
    </rPh>
    <rPh sb="267" eb="269">
      <t xml:space="preserve">ダイガク </t>
    </rPh>
    <rPh sb="269" eb="271">
      <t xml:space="preserve">ゼンタイ </t>
    </rPh>
    <rPh sb="282" eb="284">
      <t xml:space="preserve">ブンヤ </t>
    </rPh>
    <rPh sb="285" eb="287">
      <t>カモク</t>
    </rPh>
    <rPh sb="287" eb="289">
      <t xml:space="preserve">タントウ </t>
    </rPh>
    <rPh sb="289" eb="291">
      <t xml:space="preserve">キョウイン </t>
    </rPh>
    <rPh sb="292" eb="294">
      <t xml:space="preserve">ゾウイン </t>
    </rPh>
    <rPh sb="295" eb="296">
      <t xml:space="preserve">ハカル </t>
    </rPh>
    <phoneticPr fontId="3"/>
  </si>
  <si>
    <r>
      <t xml:space="preserve">情報共有ツールslackを活用し、データサイエンス副専攻のチャンネルを開設している。データサイエンス副専攻全体のチャンネルにおいては、どのような順序で科目を履修していくべきか等履修指導を中心に対応を行っている。
</t>
    </r>
    <r>
      <rPr>
        <sz val="12"/>
        <rFont val="ＭＳ Ｐゴシック"/>
        <family val="3"/>
        <charset val="128"/>
      </rPr>
      <t>さらに</t>
    </r>
    <r>
      <rPr>
        <sz val="12"/>
        <rFont val="ＭＳ Ｐゴシック"/>
        <family val="2"/>
        <charset val="128"/>
        <scheme val="minor"/>
      </rPr>
      <t>各副専攻科目について個別にチャンネルを開設し、各科目を履修する学生からの質問を随時受け付け、教員からの回答を投稿し、履修者全員が閲覧できるようにしている。各科目の担当教員で質問への対応にあたり、すべての質問に短時間で回答できる体制をとっている。
このほか副専攻科目担当教員のオフィスアワーを積極的に活用し、メールによる質問も随時受け付けている。また、最近では試験的にdiscordを試用している。discordはslackに音声通話機能を付け加えた情報共有ツールであり、学生と教員が共に通話可能な時にはより効率的な対応が行えている。</t>
    </r>
    <rPh sb="169" eb="170">
      <t xml:space="preserve">モノ </t>
    </rPh>
    <rPh sb="170" eb="172">
      <t xml:space="preserve">ゼンイン </t>
    </rPh>
    <rPh sb="288" eb="291">
      <t xml:space="preserve">シケンテキ </t>
    </rPh>
    <rPh sb="350" eb="351">
      <t xml:space="preserve">トモ </t>
    </rPh>
    <phoneticPr fontId="3"/>
  </si>
  <si>
    <t>データサイエンスを実際に活用するためには単に技術や手法を使いこなせるだけでなく、データの取り扱いや手法を適切に利用するためのルールに関する知識が不可欠である。データが有用で役に立つほど、データの入手方法や利用が機微に触れる可能性が高く危ういため、授業の中でデータ倫理やコンプライアンスのマインドを育成していく必要がある。
AIの応用が実用化するにつれ生じている学習データの偏りに由来する差別等の問題について、結果だけでなく原理的なレベルからの理解をめざす。また、著作権、IoTとセキュリティの問題、AI技術の利用に伴う問題、ウェブサーバー運用の留意事項等について、具体的な事例に基づくケーススタディを取り入れ、ディスカッションを通じ、学生たちに考えさせる機会を与え、学んでいく。</t>
    <rPh sb="164" eb="166">
      <t xml:space="preserve">オウヨウ </t>
    </rPh>
    <rPh sb="167" eb="170">
      <t xml:space="preserve">ジツヨウカ </t>
    </rPh>
    <rPh sb="175" eb="176">
      <t xml:space="preserve">ショウジテイル </t>
    </rPh>
    <rPh sb="180" eb="182">
      <t xml:space="preserve">ガクシュウ </t>
    </rPh>
    <rPh sb="186" eb="187">
      <t xml:space="preserve">カタヨリ </t>
    </rPh>
    <rPh sb="189" eb="191">
      <t xml:space="preserve">ユライ </t>
    </rPh>
    <rPh sb="193" eb="195">
      <t xml:space="preserve">サベツ </t>
    </rPh>
    <rPh sb="195" eb="196">
      <t>ナド</t>
    </rPh>
    <rPh sb="197" eb="199">
      <t xml:space="preserve">モンダイ </t>
    </rPh>
    <rPh sb="204" eb="206">
      <t xml:space="preserve">ケッカ </t>
    </rPh>
    <rPh sb="211" eb="213">
      <t xml:space="preserve">ゲンリ </t>
    </rPh>
    <rPh sb="213" eb="214">
      <t xml:space="preserve">テキ </t>
    </rPh>
    <rPh sb="221" eb="223">
      <t xml:space="preserve">リカイ </t>
    </rPh>
    <rPh sb="276" eb="277">
      <t>ナド</t>
    </rPh>
    <phoneticPr fontId="3"/>
  </si>
  <si>
    <r>
      <t xml:space="preserve">（１）志願者
大学案内にデータサイエンス副専攻のページを設け、数理・データサイエンス・AI教育の重要性を説明するとともに、本学のウェブサイトでも副専攻の紹介を行っている。
また④で述べたとおり、オープンキャンパスで副専攻の紹介ブースを設け、YouTubeにも紹介チャンネルを設けている。
なお、MDASHリテラシーレベルに認定された場合、大学案内及びウェブサイトにおいて、本学のデータサイエンス副専攻を修了すればMDASH認定の修了証が授与されることを周知する。
（２）新入生
入学後の新入生ガイダンスにおいて、履修登録を行う前にデータサイエンス副専攻の説明会を実施し、数理・データサイエンス・AI教育の重要性を説明する。
（３）2・3年生
毎年４月に実施する履修ガイダンスにおいて、履修登録を行う前にデータサイエンス副専攻の説明会を実施し、キャパシティ増加分の受け入れを行う。
</t>
    </r>
    <r>
      <rPr>
        <b/>
        <sz val="12"/>
        <rFont val="ＭＳ Ｐゴシック"/>
        <family val="2"/>
        <charset val="128"/>
        <scheme val="minor"/>
      </rPr>
      <t xml:space="preserve">
</t>
    </r>
    <rPh sb="52" eb="54">
      <t>セツメイ</t>
    </rPh>
    <rPh sb="61" eb="62">
      <t>ホン</t>
    </rPh>
    <rPh sb="90" eb="91">
      <t xml:space="preserve">ノベタ </t>
    </rPh>
    <rPh sb="107" eb="110">
      <t xml:space="preserve">フクセンコウ </t>
    </rPh>
    <rPh sb="111" eb="113">
      <t xml:space="preserve">ショウカイ </t>
    </rPh>
    <rPh sb="117" eb="118">
      <t xml:space="preserve">モウケ </t>
    </rPh>
    <rPh sb="129" eb="131">
      <t xml:space="preserve">ショウカイ </t>
    </rPh>
    <rPh sb="137" eb="138">
      <t xml:space="preserve">モウケテイル </t>
    </rPh>
    <rPh sb="307" eb="308">
      <t>セツメイ</t>
    </rPh>
    <rPh sb="320" eb="322">
      <t>ネンセイ</t>
    </rPh>
    <rPh sb="331" eb="333">
      <t>リシュウ</t>
    </rPh>
    <rPh sb="379" eb="381">
      <t xml:space="preserve">ゾウカ </t>
    </rPh>
    <rPh sb="381" eb="382">
      <t xml:space="preserve">フン </t>
    </rPh>
    <rPh sb="383" eb="384">
      <t xml:space="preserve">ウケイレ </t>
    </rPh>
    <rPh sb="388" eb="389">
      <t xml:space="preserve">オコナウ </t>
    </rPh>
    <phoneticPr fontId="3"/>
  </si>
  <si>
    <t>20世紀後半から現在まで人類はITを駆使しそれまで不可能であったことを実現してきた。一方、環境・格差等の課題も生じITの負の影響も明らかになった。Society5.0ではこれを甘受するのではなく、賢く行動することが求められており、その基盤となる素養が数理・データサイエンス・AIである。ここでは以下の各点について学ぶ。
（1）現代の社会：20世紀後半からの情報社会との違い
（2）データに基づくアプローチの重要性：データを知恵に変える
（3）デジタル・トランスフォーメーション：ビジネスモデルの根本的見直し
（4）人間の知的判断の補完・置換としてのAI技術の可能性</t>
    <rPh sb="45" eb="47">
      <t xml:space="preserve">カンキョウ </t>
    </rPh>
    <rPh sb="48" eb="50">
      <t xml:space="preserve">カクサ </t>
    </rPh>
    <rPh sb="55" eb="56">
      <t xml:space="preserve">ショウジ </t>
    </rPh>
    <rPh sb="60" eb="61">
      <t xml:space="preserve">フ </t>
    </rPh>
    <phoneticPr fontId="3"/>
  </si>
  <si>
    <t>クラスタリング（７）</t>
    <phoneticPr fontId="3"/>
  </si>
  <si>
    <t>表計算の基礎と応用</t>
    <rPh sb="0" eb="3">
      <t xml:space="preserve">ヒョウケイサン </t>
    </rPh>
    <rPh sb="4" eb="6">
      <t xml:space="preserve">キソ </t>
    </rPh>
    <rPh sb="7" eb="9">
      <t xml:space="preserve">オウヨウ </t>
    </rPh>
    <phoneticPr fontId="3"/>
  </si>
  <si>
    <t>応用情報Ⅰ</t>
    <rPh sb="0" eb="2">
      <t xml:space="preserve">オウヨウ </t>
    </rPh>
    <rPh sb="2" eb="4">
      <t xml:space="preserve">ジョウホウ </t>
    </rPh>
    <phoneticPr fontId="3"/>
  </si>
  <si>
    <t>応用情報Ⅱ</t>
    <phoneticPr fontId="3"/>
  </si>
  <si>
    <t>応用情報Ⅰ</t>
    <phoneticPr fontId="3"/>
  </si>
  <si>
    <t>プログラムを構成する下記授業科目から20単位以上を修得すること。
下記③における1、5、7は10の、10は9、11、12、14の履修前提科目であるため、20単位以上を修得しプログラムを修了するためには1、5、7、10を修得することが必須となる。
なお、1、5、7、10を「修了前提科目」と呼ぶ。</t>
    <rPh sb="6" eb="8">
      <t xml:space="preserve">コウセイ </t>
    </rPh>
    <rPh sb="10" eb="12">
      <t xml:space="preserve">カキ </t>
    </rPh>
    <rPh sb="12" eb="14">
      <t xml:space="preserve">ジュギョウ </t>
    </rPh>
    <rPh sb="14" eb="16">
      <t xml:space="preserve">カモク </t>
    </rPh>
    <rPh sb="20" eb="22">
      <t xml:space="preserve">タンイ </t>
    </rPh>
    <rPh sb="22" eb="24">
      <t xml:space="preserve">イジョウ </t>
    </rPh>
    <rPh sb="25" eb="27">
      <t>シュウトク</t>
    </rPh>
    <rPh sb="33" eb="35">
      <t>カキ</t>
    </rPh>
    <rPh sb="78" eb="80">
      <t xml:space="preserve">タンイ </t>
    </rPh>
    <rPh sb="80" eb="82">
      <t xml:space="preserve">イジョウ </t>
    </rPh>
    <rPh sb="83" eb="85">
      <t xml:space="preserve">シュウトク </t>
    </rPh>
    <rPh sb="92" eb="94">
      <t xml:space="preserve">シュウリョウ </t>
    </rPh>
    <rPh sb="109" eb="111">
      <t xml:space="preserve">シュウトク </t>
    </rPh>
    <rPh sb="116" eb="118">
      <t xml:space="preserve">ヒッス </t>
    </rPh>
    <phoneticPr fontId="3"/>
  </si>
  <si>
    <t>表計算の基礎と応用</t>
    <phoneticPr fontId="3"/>
  </si>
  <si>
    <t>データが果たして適切かどうか、データに高度な手法を適用する前にデータの統計的な性質を「見える化」することが必要である。この工程を経て初めて、データサイエンス・AIのどの手法を用いるべきか、手法の前提条件が満たされているかどうかが確認できる。
そこで授業では、経営学(マーケティング、流通等)、経済学(金融等)、その他の分野の実データを題材として取り上げ、表計算ソフトやフリーの統計ソフトを用い、統計学やデータ解析の入門的な知識について実習を通じて学び、理解する。具体的には、表計算ソフトの基本的な操作方法とともに、データの尺度、基本統計量、ヒストグラム、相関、散布図、単回帰分析等について学ぶ。</t>
    <rPh sb="4" eb="5">
      <t xml:space="preserve">ハタシテ </t>
    </rPh>
    <rPh sb="129" eb="132">
      <t xml:space="preserve">ケイエイガク </t>
    </rPh>
    <rPh sb="141" eb="143">
      <t xml:space="preserve">リュウツウ </t>
    </rPh>
    <rPh sb="143" eb="144">
      <t>ナド</t>
    </rPh>
    <rPh sb="146" eb="149">
      <t xml:space="preserve">ケイザイガク </t>
    </rPh>
    <rPh sb="150" eb="152">
      <t xml:space="preserve">キンユウ </t>
    </rPh>
    <rPh sb="152" eb="153">
      <t>ナド</t>
    </rPh>
    <rPh sb="159" eb="161">
      <t xml:space="preserve">ブンヤ </t>
    </rPh>
    <rPh sb="162" eb="163">
      <t xml:space="preserve">ジツ </t>
    </rPh>
    <rPh sb="167" eb="169">
      <t xml:space="preserve">ダイザイ </t>
    </rPh>
    <rPh sb="172" eb="173">
      <t xml:space="preserve">トリアゲ </t>
    </rPh>
    <phoneticPr fontId="3"/>
  </si>
  <si>
    <t>応用情報Ⅰ、Ⅱ</t>
    <phoneticPr fontId="3"/>
  </si>
  <si>
    <t>有</t>
  </si>
  <si>
    <t>情報社会の特質（５）</t>
    <phoneticPr fontId="3"/>
  </si>
  <si>
    <t>情報社会とは何か-産業社会論の視点から（６）</t>
    <phoneticPr fontId="3"/>
  </si>
  <si>
    <t>情報社会とは何か-メディア論の視点から（７）</t>
    <phoneticPr fontId="3"/>
  </si>
  <si>
    <t>情報技術と労働（８）</t>
    <phoneticPr fontId="3"/>
  </si>
  <si>
    <t>IoT とセキュリティの諸問題（９）</t>
    <phoneticPr fontId="3"/>
  </si>
  <si>
    <t>人工知能の諸問題（１０）</t>
    <rPh sb="0" eb="4">
      <t xml:space="preserve">ジンコウチノウ </t>
    </rPh>
    <phoneticPr fontId="3"/>
  </si>
  <si>
    <t>ディープラーニング（９）</t>
    <phoneticPr fontId="3"/>
  </si>
  <si>
    <t>ディープラーニング(実データへの適用)（１０）</t>
    <phoneticPr fontId="3"/>
  </si>
  <si>
    <t>ディープラーニング(画像への応用)（１１）</t>
    <phoneticPr fontId="3"/>
  </si>
  <si>
    <t>情報学の発展/情報の不思議（１１）</t>
    <phoneticPr fontId="3"/>
  </si>
  <si>
    <t>情報とは何か?（２）</t>
    <phoneticPr fontId="3"/>
  </si>
  <si>
    <t>アナログ情報とは「写実画」である（３）</t>
    <phoneticPr fontId="3"/>
  </si>
  <si>
    <t>デジタル情報とは「抽象画」である（４）</t>
    <phoneticPr fontId="3"/>
  </si>
  <si>
    <t>データ分析プログラミングの基礎（２）</t>
    <phoneticPr fontId="3"/>
  </si>
  <si>
    <t>分類問題（５）</t>
    <phoneticPr fontId="3"/>
  </si>
  <si>
    <t>回帰分析（６）</t>
    <phoneticPr fontId="3"/>
  </si>
  <si>
    <t>機械学習（８）</t>
    <phoneticPr fontId="3"/>
  </si>
  <si>
    <t>データ処理プログラミング(記号列データの処理、自然言語処理)（３～４）</t>
    <rPh sb="13" eb="16">
      <t xml:space="preserve">キゴウレツ </t>
    </rPh>
    <rPh sb="16" eb="24">
      <t xml:space="preserve">シゼンゲンゴショリ </t>
    </rPh>
    <phoneticPr fontId="3"/>
  </si>
  <si>
    <t>音楽情報処理プログラミング(メロディデータの処理、和音データの処理、歌詞の自然言語処理)（５～７）</t>
    <rPh sb="15" eb="17">
      <t>ワオン</t>
    </rPh>
    <rPh sb="22" eb="24">
      <t xml:space="preserve">ショリ </t>
    </rPh>
    <rPh sb="24" eb="26">
      <t>カシ</t>
    </rPh>
    <rPh sb="31" eb="33">
      <t xml:space="preserve">ショリ </t>
    </rPh>
    <rPh sb="37" eb="39">
      <t xml:space="preserve">シゼン </t>
    </rPh>
    <rPh sb="39" eb="41">
      <t xml:space="preserve">ゲンゴ </t>
    </rPh>
    <rPh sb="41" eb="43">
      <t xml:space="preserve">ショリ </t>
    </rPh>
    <phoneticPr fontId="3"/>
  </si>
  <si>
    <t>Pythonによるデータ分析プログラミングの基礎（２～１１）</t>
    <rPh sb="12" eb="14">
      <t xml:space="preserve">ブンセキ </t>
    </rPh>
    <rPh sb="22" eb="24">
      <t xml:space="preserve">キソ </t>
    </rPh>
    <phoneticPr fontId="3"/>
  </si>
  <si>
    <t>Pythonのライブラリによる数値計算、データの入手・加工、データの可視化（４～６）</t>
    <rPh sb="15" eb="19">
      <t xml:space="preserve">スウチケイサン </t>
    </rPh>
    <rPh sb="24" eb="26">
      <t xml:space="preserve">ニュウシュ </t>
    </rPh>
    <rPh sb="27" eb="29">
      <t xml:space="preserve">カコウ </t>
    </rPh>
    <rPh sb="34" eb="37">
      <t xml:space="preserve">カシカ </t>
    </rPh>
    <phoneticPr fontId="3"/>
  </si>
  <si>
    <t>scikit-learnによる機械学習(決定枝、回帰分析と次元削減、クラスタリング)（７～９）</t>
    <rPh sb="15" eb="17">
      <t xml:space="preserve">キカイ </t>
    </rPh>
    <rPh sb="17" eb="19">
      <t xml:space="preserve">ガクシュウ </t>
    </rPh>
    <rPh sb="20" eb="22">
      <t>ケッテイ</t>
    </rPh>
    <rPh sb="22" eb="23">
      <t>エダ</t>
    </rPh>
    <rPh sb="24" eb="28">
      <t xml:space="preserve">カイキブンセキ </t>
    </rPh>
    <rPh sb="29" eb="31">
      <t xml:space="preserve">ジゲン </t>
    </rPh>
    <rPh sb="31" eb="33">
      <t xml:space="preserve">サクゲン </t>
    </rPh>
    <phoneticPr fontId="3"/>
  </si>
  <si>
    <t>ウェブからのデータ収集、自然言語処理、画像処理の初歩（１０～１２）</t>
    <rPh sb="24" eb="26">
      <t xml:space="preserve">ショホ </t>
    </rPh>
    <phoneticPr fontId="3"/>
  </si>
  <si>
    <t>AI(人工知能)の数理			（７）</t>
    <rPh sb="3" eb="7">
      <t xml:space="preserve">ジンコウチノウ </t>
    </rPh>
    <rPh sb="9" eb="11">
      <t xml:space="preserve">スウリ </t>
    </rPh>
    <phoneticPr fontId="3"/>
  </si>
  <si>
    <t>著作権（１２）</t>
    <rPh sb="0" eb="3">
      <t xml:space="preserve">チョサクケン </t>
    </rPh>
    <phoneticPr fontId="3"/>
  </si>
  <si>
    <t>ウェブサーバの技術（４）</t>
    <rPh sb="7" eb="9">
      <t xml:space="preserve">ギジュツ </t>
    </rPh>
    <phoneticPr fontId="3"/>
  </si>
  <si>
    <t>ウェブサーバの運用（８）</t>
    <rPh sb="7" eb="9">
      <t xml:space="preserve">ウンヨウ </t>
    </rPh>
    <phoneticPr fontId="3"/>
  </si>
  <si>
    <t>ウェブの今後（１３）</t>
    <rPh sb="5" eb="6">
      <t>コンニチテキ</t>
    </rPh>
    <phoneticPr fontId="3"/>
  </si>
  <si>
    <t>グラフの基本・編集・印刷（３）</t>
    <rPh sb="4" eb="6">
      <t xml:space="preserve">キホン </t>
    </rPh>
    <rPh sb="7" eb="9">
      <t xml:space="preserve">ヘンシュウ </t>
    </rPh>
    <rPh sb="10" eb="12">
      <t xml:space="preserve">インサツ </t>
    </rPh>
    <phoneticPr fontId="3"/>
  </si>
  <si>
    <t>統計関数と数学関数（４）</t>
    <rPh sb="0" eb="2">
      <t xml:space="preserve">トウケイ </t>
    </rPh>
    <rPh sb="2" eb="4">
      <t xml:space="preserve">カンスウ </t>
    </rPh>
    <rPh sb="5" eb="7">
      <t xml:space="preserve">スウガク </t>
    </rPh>
    <rPh sb="7" eb="9">
      <t xml:space="preserve">カンスウ </t>
    </rPh>
    <phoneticPr fontId="3"/>
  </si>
  <si>
    <t>基本統計量、度数分布表とヒストグラム、相関係数、散布図（１１）</t>
    <rPh sb="0" eb="2">
      <t xml:space="preserve">キホン </t>
    </rPh>
    <rPh sb="2" eb="5">
      <t xml:space="preserve">トウケイリョウ </t>
    </rPh>
    <rPh sb="6" eb="11">
      <t xml:space="preserve">ドスウブンプヒョウ </t>
    </rPh>
    <rPh sb="19" eb="23">
      <t xml:space="preserve">ソウカンケイスウ </t>
    </rPh>
    <rPh sb="24" eb="27">
      <t xml:space="preserve">サンプズ </t>
    </rPh>
    <phoneticPr fontId="3"/>
  </si>
  <si>
    <t>データの代表値の使い方と注意事項	（２）</t>
    <phoneticPr fontId="3"/>
  </si>
  <si>
    <t>分散の公式、標準偏差、平均処理と分散処理の特性	（３）</t>
    <phoneticPr fontId="3"/>
  </si>
  <si>
    <t>相関関係（４）</t>
    <phoneticPr fontId="3"/>
  </si>
  <si>
    <t>回帰分析とは何か（５）</t>
    <rPh sb="1" eb="2">
      <t xml:space="preserve">ナニ </t>
    </rPh>
    <phoneticPr fontId="3"/>
  </si>
  <si>
    <t>数値計算ライブラリ（３）</t>
    <phoneticPr fontId="3"/>
  </si>
  <si>
    <t>グラフ描画ライブラリ（４）</t>
    <phoneticPr fontId="3"/>
  </si>
  <si>
    <t>表計算の基礎と応用、データサイエンス入門、プログラミング言語Ⅱ</t>
    <rPh sb="0" eb="3">
      <t xml:space="preserve">ヒョウケイサン </t>
    </rPh>
    <rPh sb="4" eb="6">
      <t xml:space="preserve">キソ </t>
    </rPh>
    <rPh sb="7" eb="9">
      <t xml:space="preserve">オウヨウ </t>
    </rPh>
    <rPh sb="18" eb="20">
      <t>ニュウモン</t>
    </rPh>
    <rPh sb="28" eb="30">
      <t>ゲンゴ</t>
    </rPh>
    <phoneticPr fontId="3"/>
  </si>
  <si>
    <r>
      <t>データサイエンス副専攻では３項目からなる修了証授与方針（ディプロマ・ポリシー、DP）を定めており、これをさらに８項目のDP項目に分割し、これと副専攻科目</t>
    </r>
    <r>
      <rPr>
        <sz val="12"/>
        <rFont val="ＭＳ Ｐゴシック"/>
        <family val="3"/>
        <charset val="128"/>
        <scheme val="minor"/>
      </rPr>
      <t>14</t>
    </r>
    <r>
      <rPr>
        <sz val="12"/>
        <rFont val="ＭＳ Ｐゴシック"/>
        <family val="2"/>
        <charset val="128"/>
        <scheme val="minor"/>
      </rPr>
      <t>科目の対応をカリキュラムマップとして整理している。
このカリキュラムマップに基づき、登録学生が各自の学修進捗状況をレーダーチャートに可視化できるようにしている。一方、副専攻科目担当教員も、各DP項目に対応する科目の総単位修得数・成績分布状況を分析して副専攻全体としての教育成果を可視化し、副専攻カリキュラムが適切に機能しているか検証、必要に応じてデータサイエンス教育委員会において審議しカリキュラムの改変・改善を行えるようにしている。</t>
    </r>
    <rPh sb="161" eb="164">
      <t>フクセンコウ</t>
    </rPh>
    <rPh sb="164" eb="166">
      <t>カモク</t>
    </rPh>
    <rPh sb="166" eb="168">
      <t>タントウ</t>
    </rPh>
    <rPh sb="242" eb="244">
      <t xml:space="preserve">ケンショウ </t>
    </rPh>
    <rPh sb="259" eb="261">
      <t>キョウイク</t>
    </rPh>
    <rPh sb="261" eb="263">
      <t>イイン</t>
    </rPh>
    <rPh sb="263" eb="264">
      <t>カイ</t>
    </rPh>
    <rPh sb="268" eb="270">
      <t>シンギ</t>
    </rPh>
    <phoneticPr fontId="3"/>
  </si>
  <si>
    <r>
      <t>本学では、毎学期末に全科目・全学生を対象として「授業改善のための学生アンケート」を実施し、その結果をIR専門部会において分析、各科目の履修学生・担当教員へフィードバックしてきた。
令和２年度後期からは、教員のみならず『学びの主体は学生』との認識でアンケート項目を吟味し、より授業改善に活用しやすいようにアンケート項目を更新した「学生による授業アンケート」を実施している。
データサイエンス副専攻では、副専攻科目</t>
    </r>
    <r>
      <rPr>
        <sz val="12"/>
        <rFont val="ＭＳ Ｐゴシック"/>
        <family val="3"/>
        <charset val="128"/>
        <scheme val="minor"/>
      </rPr>
      <t>14</t>
    </r>
    <r>
      <rPr>
        <sz val="12"/>
        <rFont val="ＭＳ Ｐゴシック"/>
        <family val="2"/>
        <charset val="128"/>
        <scheme val="minor"/>
      </rPr>
      <t>科目の「学生による授業アンケート」の結果を分析することにより、副専攻カリキュラム全体としての学生の理解度の把握を行っている。</t>
    </r>
    <rPh sb="0" eb="1">
      <t>ホン</t>
    </rPh>
    <rPh sb="52" eb="56">
      <t xml:space="preserve">センモンブカイ </t>
    </rPh>
    <rPh sb="72" eb="74">
      <t xml:space="preserve">タントウ </t>
    </rPh>
    <rPh sb="74" eb="76">
      <t xml:space="preserve">キョウイン </t>
    </rPh>
    <rPh sb="90" eb="92">
      <t xml:space="preserve">レイワ </t>
    </rPh>
    <rPh sb="164" eb="166">
      <t xml:space="preserve">ガクセイ </t>
    </rPh>
    <rPh sb="169" eb="171">
      <t xml:space="preserve">ジュギョウ </t>
    </rPh>
    <rPh sb="211" eb="213">
      <t xml:space="preserve">ガクセイ </t>
    </rPh>
    <rPh sb="216" eb="218">
      <t xml:space="preserve">ジュギョウ </t>
    </rPh>
    <phoneticPr fontId="3"/>
  </si>
  <si>
    <t>データサイエンス副専攻全体として本学の平均的な学生にとって楽しみながら分かりやすく学べる科目内容とすることに、副専攻科目担当教員全員で全力を注いでいる。
その一例として、２年生以降で履修する「応用情報Ⅰ」で取り上げる「音楽情報処理」では、J-POPの歌詞を形態素解析し、その結果をデータサイエンスの代表的な手法で分析しアーティスト間の類似度等を分析・可視化する中で、データサイエンスの代表的な手法を一通り網羅する内容となっている。これらの手法は、企業の決算短信の分析等にそのまま利用できるものであり、即座に実践応用できるスキルを身につける内容となっている。</t>
    <rPh sb="16" eb="17">
      <t>ホン</t>
    </rPh>
    <rPh sb="55" eb="58">
      <t>フクセンコウ</t>
    </rPh>
    <rPh sb="58" eb="60">
      <t>カモク</t>
    </rPh>
    <rPh sb="87" eb="88">
      <t>セイ</t>
    </rPh>
    <rPh sb="96" eb="100">
      <t>オウヨウジョウホウ</t>
    </rPh>
    <rPh sb="233" eb="234">
      <t>ナド</t>
    </rPh>
    <phoneticPr fontId="3"/>
  </si>
  <si>
    <t>https://www.asia-u.ac.jp/uploads/files/20210717140607.pdf</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</si>
</sst>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7">
    <font>
      <sz val="11"/>
      <color theme="1"/>
      <name val="ＭＳ Ｐゴシック"/>
      <family val="2"/>
      <charset val="128"/>
      <scheme val="minor"/>
    </font>
    <font>
      <sz val="12"/>
      <color theme="1"/>
      <name val="ＭＳ Ｐゴシック"/>
      <family val="2"/>
      <charset val="128"/>
      <scheme val="minor"/>
    </font>
    <font>
      <sz val="12"/>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name val="ＭＳ Ｐゴシック"/>
      <family val="2"/>
      <charset val="128"/>
      <scheme val="minor"/>
    </font>
    <font>
      <sz val="11"/>
      <color theme="1"/>
      <name val="ＭＳ Ｐゴシック"/>
      <family val="3"/>
      <charset val="128"/>
      <scheme val="minor"/>
    </font>
    <font>
      <sz val="9"/>
      <name val="ＭＳ Ｐゴシック"/>
      <family val="2"/>
      <charset val="128"/>
      <scheme val="minor"/>
    </font>
    <font>
      <sz val="9"/>
      <name val="ＭＳ Ｐゴシック"/>
      <family val="3"/>
      <charset val="128"/>
      <scheme val="minor"/>
    </font>
    <font>
      <sz val="12"/>
      <name val="ＭＳ Ｐゴシック (本文)"/>
      <family val="3"/>
      <charset val="128"/>
    </font>
    <font>
      <sz val="10"/>
      <name val="ＭＳ Ｐゴシック"/>
      <family val="2"/>
      <charset val="128"/>
      <scheme val="minor"/>
    </font>
    <font>
      <sz val="10"/>
      <name val="ＭＳ Ｐゴシック"/>
      <family val="3"/>
      <charset val="128"/>
      <scheme val="minor"/>
    </font>
    <font>
      <sz val="12"/>
      <name val="ＭＳ Ｐゴシック"/>
      <family val="3"/>
      <charset val="128"/>
    </font>
    <font>
      <sz val="7"/>
      <name val="ＭＳ Ｐゴシック"/>
      <family val="2"/>
      <charset val="128"/>
      <scheme val="minor"/>
    </font>
    <font>
      <b/>
      <sz val="12"/>
      <name val="ＭＳ Ｐゴシック"/>
      <family val="2"/>
      <charset val="128"/>
      <scheme val="minor"/>
    </font>
    <font>
      <u/>
      <sz val="11"/>
      <name val="ＭＳ Ｐゴシック"/>
      <family val="3"/>
      <charset val="128"/>
      <scheme val="minor"/>
    </font>
    <font>
      <sz val="11"/>
      <name val="ＭＳ Ｐゴシック"/>
      <family val="3"/>
      <charset val="128"/>
      <scheme val="minor"/>
    </font>
  </fonts>
  <fills count="2">
    <fill>
      <patternFill patternType="none"/>
    </fill>
    <fill>
      <patternFill patternType="gray125"/>
    </fill>
  </fills>
  <borders count="4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
      <left/>
      <right style="thin">
        <color rgb="FF000000"/>
      </right>
      <top style="thin">
        <color indexed="64"/>
      </top>
      <bottom style="thin">
        <color indexed="64"/>
      </bottom>
      <diagonal/>
    </border>
  </borders>
  <cellStyleXfs count="3">
    <xf numFmtId="0" fontId="0" fillId="0" borderId="0">
      <alignment vertical="center"/>
    </xf>
    <xf numFmtId="38" fontId="8" fillId="0" borderId="0" applyFont="0" applyFill="0" applyBorder="0" applyAlignment="0" applyProtection="0">
      <alignment vertical="center"/>
    </xf>
    <xf numFmtId="0" fontId="9" fillId="0" borderId="0" applyNumberFormat="0" applyFill="0" applyBorder="0" applyAlignment="0" applyProtection="0">
      <alignment vertical="center"/>
    </xf>
  </cellStyleXfs>
  <cellXfs count="320">
    <xf numFmtId="0" fontId="0" fillId="0" borderId="0" xfId="0">
      <alignment vertical="center"/>
    </xf>
    <xf numFmtId="0" fontId="4" fillId="0" borderId="0" xfId="0" applyFont="1">
      <alignment vertical="center"/>
    </xf>
    <xf numFmtId="0" fontId="6" fillId="0" borderId="0" xfId="0" applyFont="1">
      <alignment vertical="center"/>
    </xf>
    <xf numFmtId="0" fontId="4" fillId="0" borderId="0" xfId="0" applyFont="1" applyBorder="1">
      <alignment vertical="center"/>
    </xf>
    <xf numFmtId="0" fontId="6" fillId="0" borderId="0" xfId="0" applyFont="1" applyBorder="1" applyAlignment="1">
      <alignment vertical="center" wrapText="1"/>
    </xf>
    <xf numFmtId="0" fontId="5" fillId="0" borderId="0" xfId="0" applyFont="1" applyAlignment="1">
      <alignment vertical="center"/>
    </xf>
    <xf numFmtId="0" fontId="6" fillId="0" borderId="0" xfId="0" applyFont="1" applyBorder="1" applyAlignment="1">
      <alignment vertical="top" wrapText="1"/>
    </xf>
    <xf numFmtId="0" fontId="5" fillId="0" borderId="0" xfId="0" applyFont="1">
      <alignment vertical="center"/>
    </xf>
    <xf numFmtId="0" fontId="6" fillId="0" borderId="0" xfId="0" applyFont="1" applyBorder="1" applyAlignment="1">
      <alignment vertical="top" shrinkToFit="1"/>
    </xf>
    <xf numFmtId="0" fontId="4" fillId="0" borderId="0" xfId="0" applyFont="1" applyAlignment="1">
      <alignment vertical="center"/>
    </xf>
    <xf numFmtId="0" fontId="4" fillId="0" borderId="0" xfId="0" applyFont="1" applyBorder="1" applyAlignment="1">
      <alignment vertical="top" wrapText="1"/>
    </xf>
    <xf numFmtId="0" fontId="4" fillId="0" borderId="0" xfId="0" applyFont="1" applyAlignment="1">
      <alignment horizontal="center" vertical="center"/>
    </xf>
    <xf numFmtId="0" fontId="4" fillId="0" borderId="0" xfId="0" applyFont="1" applyAlignment="1">
      <alignment horizontal="right" vertical="center"/>
    </xf>
    <xf numFmtId="0" fontId="5" fillId="0" borderId="0" xfId="0" applyFont="1" applyAlignment="1">
      <alignment horizontal="center" vertical="center"/>
    </xf>
    <xf numFmtId="0" fontId="11" fillId="0" borderId="0" xfId="0" applyFont="1">
      <alignment vertical="center"/>
    </xf>
    <xf numFmtId="0" fontId="10" fillId="0" borderId="0" xfId="0" applyFont="1">
      <alignment vertical="center"/>
    </xf>
    <xf numFmtId="0" fontId="10" fillId="0" borderId="0" xfId="0" applyFont="1" applyAlignment="1">
      <alignment vertical="center"/>
    </xf>
    <xf numFmtId="0" fontId="10" fillId="0" borderId="0" xfId="0" applyFont="1" applyAlignment="1">
      <alignment horizontal="right" vertical="center"/>
    </xf>
    <xf numFmtId="0" fontId="5" fillId="0" borderId="0" xfId="0" applyFont="1" applyAlignment="1">
      <alignment horizontal="center" vertical="center"/>
    </xf>
    <xf numFmtId="0" fontId="6" fillId="0" borderId="0" xfId="0" applyFont="1" applyAlignment="1">
      <alignment vertical="top" wrapText="1"/>
    </xf>
    <xf numFmtId="0" fontId="7" fillId="0" borderId="0" xfId="0" applyFont="1" applyAlignment="1">
      <alignment vertical="top" wrapText="1"/>
    </xf>
    <xf numFmtId="0" fontId="7" fillId="0" borderId="0" xfId="0" applyFont="1" applyAlignment="1">
      <alignment vertical="top" wrapText="1"/>
    </xf>
    <xf numFmtId="0" fontId="11" fillId="0" borderId="10" xfId="0" applyFont="1" applyBorder="1" applyAlignment="1">
      <alignment vertical="center" shrinkToFit="1"/>
    </xf>
    <xf numFmtId="0" fontId="7" fillId="0" borderId="0" xfId="0" applyFont="1" applyAlignment="1">
      <alignment vertical="top" wrapText="1"/>
    </xf>
    <xf numFmtId="0" fontId="5" fillId="0" borderId="0" xfId="0" applyFont="1" applyAlignment="1">
      <alignment vertical="center" wrapText="1"/>
    </xf>
    <xf numFmtId="0" fontId="10" fillId="0" borderId="0" xfId="0" applyFont="1" applyBorder="1" applyAlignment="1">
      <alignment horizontal="center" vertical="center"/>
    </xf>
    <xf numFmtId="0" fontId="10" fillId="0" borderId="1" xfId="0" applyFont="1" applyBorder="1" applyAlignment="1">
      <alignment vertical="center" shrinkToFit="1"/>
    </xf>
    <xf numFmtId="0" fontId="11" fillId="0" borderId="0" xfId="0" applyFont="1" applyFill="1">
      <alignment vertical="center"/>
    </xf>
    <xf numFmtId="0" fontId="6" fillId="0" borderId="0" xfId="0" applyFont="1" applyAlignment="1">
      <alignment vertical="top" wrapText="1"/>
    </xf>
    <xf numFmtId="0" fontId="7" fillId="0" borderId="0" xfId="0" applyFont="1" applyAlignment="1">
      <alignment vertical="top" wrapText="1"/>
    </xf>
    <xf numFmtId="0" fontId="14" fillId="0" borderId="0" xfId="0" applyFont="1" applyBorder="1" applyAlignment="1">
      <alignment vertical="center" shrinkToFit="1"/>
    </xf>
    <xf numFmtId="0" fontId="5" fillId="0" borderId="0" xfId="0" applyFont="1" applyFill="1" applyBorder="1" applyAlignment="1">
      <alignment vertical="center"/>
    </xf>
    <xf numFmtId="0" fontId="6" fillId="0" borderId="0" xfId="0" applyFont="1" applyFill="1" applyBorder="1" applyAlignment="1">
      <alignment vertical="top" wrapText="1"/>
    </xf>
    <xf numFmtId="0" fontId="7" fillId="0" borderId="0" xfId="0" applyFont="1" applyFill="1" applyBorder="1" applyAlignment="1">
      <alignment vertical="top" wrapText="1"/>
    </xf>
    <xf numFmtId="0" fontId="15" fillId="0" borderId="0" xfId="2" applyNumberFormat="1" applyFont="1" applyBorder="1" applyAlignment="1">
      <alignment vertical="center" shrinkToFit="1"/>
    </xf>
    <xf numFmtId="0" fontId="5" fillId="0" borderId="0" xfId="0" applyFont="1" applyAlignment="1">
      <alignment horizontal="center" vertical="center"/>
    </xf>
    <xf numFmtId="0" fontId="5" fillId="0" borderId="0" xfId="0" applyFont="1" applyAlignment="1">
      <alignment vertical="center" shrinkToFit="1"/>
    </xf>
    <xf numFmtId="0" fontId="16" fillId="0" borderId="0" xfId="0" applyFont="1">
      <alignment vertical="center"/>
    </xf>
    <xf numFmtId="0" fontId="5" fillId="0" borderId="0" xfId="0" applyFont="1" applyBorder="1" applyAlignment="1">
      <alignment vertical="center" shrinkToFit="1"/>
    </xf>
    <xf numFmtId="176" fontId="7" fillId="0" borderId="0" xfId="0" applyNumberFormat="1" applyFont="1" applyBorder="1" applyAlignment="1">
      <alignment vertical="center" shrinkToFit="1"/>
    </xf>
    <xf numFmtId="0" fontId="11" fillId="0" borderId="0" xfId="0" applyFont="1" applyAlignment="1">
      <alignment horizontal="right" vertical="center"/>
    </xf>
    <xf numFmtId="0" fontId="11" fillId="0" borderId="0" xfId="0" applyFont="1" applyBorder="1" applyAlignment="1">
      <alignment vertical="top" wrapText="1"/>
    </xf>
    <xf numFmtId="0" fontId="4" fillId="0" borderId="0" xfId="0" applyFont="1" applyAlignment="1">
      <alignment horizontal="center" vertical="center"/>
    </xf>
    <xf numFmtId="0" fontId="11" fillId="0" borderId="0" xfId="0" applyFont="1" applyAlignment="1">
      <alignment vertical="center"/>
    </xf>
    <xf numFmtId="0" fontId="11" fillId="0" borderId="0" xfId="0" applyFont="1" applyAlignment="1">
      <alignment horizontal="left" vertical="center"/>
    </xf>
    <xf numFmtId="0" fontId="11" fillId="0" borderId="0" xfId="0" applyFont="1" applyBorder="1" applyAlignment="1">
      <alignment vertical="center" shrinkToFit="1"/>
    </xf>
    <xf numFmtId="0" fontId="11" fillId="0" borderId="0" xfId="0" applyFont="1" applyBorder="1" applyAlignment="1">
      <alignment vertical="center"/>
    </xf>
    <xf numFmtId="0" fontId="11" fillId="0" borderId="10" xfId="0" applyFont="1" applyBorder="1" applyAlignment="1">
      <alignment vertical="center"/>
    </xf>
    <xf numFmtId="0" fontId="11" fillId="0" borderId="5" xfId="0" applyFont="1" applyBorder="1">
      <alignment vertical="center"/>
    </xf>
    <xf numFmtId="176" fontId="11" fillId="0" borderId="0" xfId="0" applyNumberFormat="1" applyFont="1" applyBorder="1" applyAlignment="1">
      <alignment vertical="center" wrapText="1"/>
    </xf>
    <xf numFmtId="0" fontId="11" fillId="0" borderId="0" xfId="0" applyFont="1" applyBorder="1">
      <alignment vertical="center"/>
    </xf>
    <xf numFmtId="176" fontId="11" fillId="0" borderId="5" xfId="0" applyNumberFormat="1" applyFont="1" applyBorder="1" applyAlignment="1">
      <alignment vertical="center"/>
    </xf>
    <xf numFmtId="176" fontId="11" fillId="0" borderId="0" xfId="0" applyNumberFormat="1" applyFont="1" applyBorder="1">
      <alignment vertical="center"/>
    </xf>
    <xf numFmtId="0" fontId="11" fillId="0" borderId="0" xfId="0" applyFont="1" applyBorder="1" applyAlignment="1">
      <alignment horizontal="center" vertical="center"/>
    </xf>
    <xf numFmtId="176" fontId="11" fillId="0" borderId="0" xfId="0" applyNumberFormat="1" applyFont="1" applyAlignment="1">
      <alignment vertical="center" wrapText="1"/>
    </xf>
    <xf numFmtId="0" fontId="11" fillId="0" borderId="0" xfId="0" applyFont="1" applyAlignment="1">
      <alignment horizontal="center" vertical="center"/>
    </xf>
    <xf numFmtId="176" fontId="11" fillId="0" borderId="3" xfId="0" applyNumberFormat="1" applyFont="1" applyBorder="1" applyAlignment="1">
      <alignment vertical="center" shrinkToFit="1"/>
    </xf>
    <xf numFmtId="176" fontId="11" fillId="0" borderId="0" xfId="0" applyNumberFormat="1" applyFont="1" applyAlignment="1">
      <alignment horizontal="left" vertical="center" wrapText="1"/>
    </xf>
    <xf numFmtId="0" fontId="11" fillId="0" borderId="6" xfId="0" applyFont="1" applyBorder="1" applyAlignment="1">
      <alignment vertical="center" shrinkToFit="1"/>
    </xf>
    <xf numFmtId="0" fontId="11" fillId="0" borderId="0" xfId="0" applyFont="1" applyBorder="1" applyAlignment="1">
      <alignment horizontal="center" vertical="center" shrinkToFit="1"/>
    </xf>
    <xf numFmtId="0" fontId="11" fillId="0" borderId="1" xfId="0" applyFont="1" applyBorder="1">
      <alignment vertical="center"/>
    </xf>
    <xf numFmtId="0" fontId="11" fillId="0" borderId="2" xfId="0" applyFont="1" applyBorder="1">
      <alignment vertical="center"/>
    </xf>
    <xf numFmtId="0" fontId="11" fillId="0" borderId="4" xfId="0" applyFont="1" applyBorder="1">
      <alignment vertical="center"/>
    </xf>
    <xf numFmtId="0" fontId="17" fillId="0" borderId="0" xfId="0" applyFont="1">
      <alignment vertical="center"/>
    </xf>
    <xf numFmtId="0" fontId="11" fillId="0" borderId="0" xfId="0" applyFont="1" applyBorder="1" applyAlignment="1">
      <alignment vertical="center" wrapText="1"/>
    </xf>
    <xf numFmtId="0" fontId="17" fillId="0" borderId="0" xfId="0" applyFont="1" applyBorder="1" applyAlignment="1">
      <alignment vertical="top" wrapText="1"/>
    </xf>
    <xf numFmtId="0" fontId="17" fillId="0" borderId="10" xfId="0" applyFont="1" applyBorder="1" applyAlignment="1">
      <alignment vertical="top" wrapText="1"/>
    </xf>
    <xf numFmtId="0" fontId="17" fillId="0" borderId="5" xfId="0" applyFont="1" applyBorder="1" applyAlignment="1">
      <alignment vertical="top" wrapText="1"/>
    </xf>
    <xf numFmtId="0" fontId="11" fillId="0" borderId="17" xfId="0" applyFont="1" applyBorder="1">
      <alignment vertical="center"/>
    </xf>
    <xf numFmtId="0" fontId="17" fillId="0" borderId="21" xfId="0" applyFont="1" applyBorder="1" applyAlignment="1">
      <alignment vertical="top" wrapText="1"/>
    </xf>
    <xf numFmtId="0" fontId="17" fillId="0" borderId="19" xfId="0" applyFont="1" applyBorder="1" applyAlignment="1">
      <alignment vertical="top" wrapText="1"/>
    </xf>
    <xf numFmtId="0" fontId="17" fillId="0" borderId="21" xfId="0" applyFont="1" applyBorder="1" applyAlignment="1">
      <alignment vertical="top" shrinkToFit="1"/>
    </xf>
    <xf numFmtId="0" fontId="17" fillId="0" borderId="19" xfId="0" applyFont="1" applyBorder="1" applyAlignment="1">
      <alignment vertical="top" shrinkToFit="1"/>
    </xf>
    <xf numFmtId="0" fontId="18" fillId="0" borderId="0" xfId="0" applyFont="1" applyBorder="1" applyAlignment="1">
      <alignment vertical="top" wrapText="1" shrinkToFit="1"/>
    </xf>
    <xf numFmtId="0" fontId="17" fillId="0" borderId="0" xfId="0" applyFont="1" applyBorder="1" applyAlignment="1">
      <alignment vertical="top" wrapText="1" shrinkToFit="1"/>
    </xf>
    <xf numFmtId="0" fontId="10" fillId="0" borderId="0" xfId="0" applyFont="1" applyAlignment="1">
      <alignment horizontal="center" vertical="center"/>
    </xf>
    <xf numFmtId="0" fontId="11" fillId="0" borderId="0" xfId="0" applyFont="1" applyBorder="1" applyAlignment="1">
      <alignment vertical="top" wrapText="1" shrinkToFit="1"/>
    </xf>
    <xf numFmtId="0" fontId="2" fillId="0" borderId="0" xfId="0" applyFont="1">
      <alignment vertical="center"/>
    </xf>
    <xf numFmtId="38" fontId="4" fillId="0" borderId="0" xfId="1" applyFont="1">
      <alignment vertical="center"/>
    </xf>
    <xf numFmtId="38" fontId="5" fillId="0" borderId="0" xfId="1" applyFont="1" applyAlignment="1">
      <alignment vertical="center" shrinkToFit="1"/>
    </xf>
    <xf numFmtId="38" fontId="5" fillId="0" borderId="0" xfId="1" applyFont="1" applyAlignment="1">
      <alignment horizontal="center" vertical="center"/>
    </xf>
    <xf numFmtId="38" fontId="7" fillId="0" borderId="0" xfId="1" applyFont="1" applyBorder="1" applyAlignment="1">
      <alignment vertical="center" shrinkToFit="1"/>
    </xf>
    <xf numFmtId="0" fontId="12" fillId="0" borderId="0" xfId="0" applyFont="1">
      <alignment vertical="center"/>
    </xf>
    <xf numFmtId="0" fontId="12" fillId="0" borderId="0" xfId="0" applyFont="1" applyAlignment="1">
      <alignment vertical="center"/>
    </xf>
    <xf numFmtId="0" fontId="13" fillId="0" borderId="0" xfId="0" applyFont="1" applyAlignment="1">
      <alignment vertical="center"/>
    </xf>
    <xf numFmtId="0" fontId="1" fillId="0" borderId="0" xfId="0" applyFont="1">
      <alignment vertical="center"/>
    </xf>
    <xf numFmtId="0" fontId="11" fillId="0" borderId="0" xfId="0" applyFont="1" applyAlignment="1">
      <alignment vertical="center" wrapText="1"/>
    </xf>
    <xf numFmtId="0" fontId="10" fillId="0" borderId="1" xfId="0" applyFont="1" applyFill="1" applyBorder="1" applyAlignment="1">
      <alignment vertical="center" shrinkToFit="1"/>
    </xf>
    <xf numFmtId="0" fontId="23" fillId="0" borderId="11" xfId="0" applyFont="1" applyBorder="1" applyAlignment="1">
      <alignment horizontal="center" vertical="center"/>
    </xf>
    <xf numFmtId="0" fontId="23" fillId="0" borderId="31" xfId="0" applyFont="1" applyBorder="1" applyAlignment="1">
      <alignment horizontal="center" vertical="center" wrapText="1"/>
    </xf>
    <xf numFmtId="0" fontId="23" fillId="0" borderId="32" xfId="0" applyFont="1" applyBorder="1" applyAlignment="1">
      <alignment horizontal="center" vertical="center"/>
    </xf>
    <xf numFmtId="0" fontId="23" fillId="0" borderId="12" xfId="0" applyFont="1" applyBorder="1" applyAlignment="1">
      <alignment horizontal="center" vertical="center" wrapText="1"/>
    </xf>
    <xf numFmtId="38" fontId="11" fillId="0" borderId="5" xfId="1" applyFont="1" applyBorder="1" applyAlignment="1">
      <alignment vertical="center" shrinkToFit="1"/>
    </xf>
    <xf numFmtId="176" fontId="11" fillId="0" borderId="5" xfId="0" applyNumberFormat="1" applyFont="1" applyBorder="1" applyAlignment="1">
      <alignment vertical="center" shrinkToFit="1"/>
    </xf>
    <xf numFmtId="176" fontId="11" fillId="0" borderId="33" xfId="0" applyNumberFormat="1" applyFont="1" applyBorder="1" applyAlignment="1">
      <alignment vertical="center" shrinkToFit="1"/>
    </xf>
    <xf numFmtId="176" fontId="11" fillId="0" borderId="34" xfId="0" applyNumberFormat="1" applyFont="1" applyBorder="1" applyAlignment="1">
      <alignment vertical="center" shrinkToFit="1"/>
    </xf>
    <xf numFmtId="176" fontId="11" fillId="0" borderId="10" xfId="0" applyNumberFormat="1" applyFont="1" applyBorder="1" applyAlignment="1">
      <alignment vertical="center" shrinkToFit="1"/>
    </xf>
    <xf numFmtId="176" fontId="11" fillId="0" borderId="14" xfId="0" applyNumberFormat="1" applyFont="1" applyBorder="1" applyAlignment="1">
      <alignment vertical="center" shrinkToFit="1"/>
    </xf>
    <xf numFmtId="9" fontId="11" fillId="0" borderId="10" xfId="0" applyNumberFormat="1" applyFont="1" applyBorder="1" applyAlignment="1">
      <alignment vertical="center" shrinkToFit="1"/>
    </xf>
    <xf numFmtId="38" fontId="11" fillId="0" borderId="20" xfId="1" applyFont="1" applyBorder="1" applyAlignment="1">
      <alignment vertical="center" shrinkToFit="1"/>
    </xf>
    <xf numFmtId="176" fontId="11" fillId="0" borderId="20" xfId="0" applyNumberFormat="1" applyFont="1" applyBorder="1" applyAlignment="1">
      <alignment vertical="center" shrinkToFit="1"/>
    </xf>
    <xf numFmtId="176" fontId="11" fillId="0" borderId="35" xfId="0" applyNumberFormat="1" applyFont="1" applyBorder="1" applyAlignment="1">
      <alignment vertical="center" shrinkToFit="1"/>
    </xf>
    <xf numFmtId="176" fontId="11" fillId="0" borderId="36" xfId="0" applyNumberFormat="1" applyFont="1" applyBorder="1" applyAlignment="1">
      <alignment vertical="center" shrinkToFit="1"/>
    </xf>
    <xf numFmtId="176" fontId="11" fillId="0" borderId="19" xfId="0" applyNumberFormat="1" applyFont="1" applyBorder="1" applyAlignment="1">
      <alignment vertical="center" shrinkToFit="1"/>
    </xf>
    <xf numFmtId="176" fontId="11" fillId="0" borderId="25" xfId="0" applyNumberFormat="1" applyFont="1" applyBorder="1" applyAlignment="1">
      <alignment vertical="center" shrinkToFit="1"/>
    </xf>
    <xf numFmtId="176" fontId="11" fillId="0" borderId="26" xfId="0" applyNumberFormat="1" applyFont="1" applyBorder="1" applyAlignment="1">
      <alignment vertical="center" shrinkToFit="1"/>
    </xf>
    <xf numFmtId="38" fontId="11" fillId="0" borderId="27" xfId="1" applyFont="1" applyBorder="1" applyAlignment="1">
      <alignment vertical="center" shrinkToFit="1"/>
    </xf>
    <xf numFmtId="176" fontId="11" fillId="0" borderId="27" xfId="0" applyNumberFormat="1" applyFont="1" applyBorder="1" applyAlignment="1">
      <alignment vertical="center" shrinkToFit="1"/>
    </xf>
    <xf numFmtId="176" fontId="11" fillId="0" borderId="37" xfId="0" applyNumberFormat="1" applyFont="1" applyBorder="1" applyAlignment="1">
      <alignment vertical="center" shrinkToFit="1"/>
    </xf>
    <xf numFmtId="176" fontId="11" fillId="0" borderId="38" xfId="0" applyNumberFormat="1" applyFont="1" applyBorder="1" applyAlignment="1">
      <alignment vertical="center" shrinkToFit="1"/>
    </xf>
    <xf numFmtId="176" fontId="11" fillId="0" borderId="29" xfId="0" applyNumberFormat="1" applyFont="1" applyBorder="1" applyAlignment="1">
      <alignment vertical="center" shrinkToFit="1"/>
    </xf>
    <xf numFmtId="176" fontId="11" fillId="0" borderId="30" xfId="0" applyNumberFormat="1" applyFont="1" applyBorder="1" applyAlignment="1">
      <alignment vertical="center" shrinkToFit="1"/>
    </xf>
    <xf numFmtId="9" fontId="11" fillId="0" borderId="29" xfId="0" applyNumberFormat="1" applyFont="1" applyBorder="1" applyAlignment="1">
      <alignment vertical="center" shrinkToFit="1"/>
    </xf>
    <xf numFmtId="0" fontId="11" fillId="0" borderId="1" xfId="0" applyFont="1" applyBorder="1" applyAlignment="1">
      <alignment vertical="center" wrapText="1"/>
    </xf>
    <xf numFmtId="0" fontId="11" fillId="0" borderId="0" xfId="0" applyFont="1" applyAlignment="1">
      <alignment horizontal="right" vertical="center"/>
    </xf>
    <xf numFmtId="0" fontId="11" fillId="0" borderId="0" xfId="0" applyFont="1" applyAlignment="1">
      <alignment horizontal="center" vertical="center"/>
    </xf>
    <xf numFmtId="0" fontId="10" fillId="0" borderId="2" xfId="0" applyFont="1" applyBorder="1" applyAlignment="1">
      <alignment vertical="center" shrinkToFit="1"/>
    </xf>
    <xf numFmtId="0" fontId="10" fillId="0" borderId="0" xfId="0" applyFont="1" applyAlignment="1">
      <alignment horizontal="center" vertical="center"/>
    </xf>
    <xf numFmtId="0" fontId="10" fillId="0" borderId="2" xfId="0" applyFont="1" applyBorder="1" applyAlignment="1">
      <alignment horizontal="center" vertical="center" shrinkToFit="1"/>
    </xf>
    <xf numFmtId="0" fontId="17" fillId="0" borderId="0" xfId="0" applyFont="1" applyAlignment="1">
      <alignment vertical="top" wrapText="1"/>
    </xf>
    <xf numFmtId="0" fontId="10" fillId="0" borderId="0" xfId="0" applyFont="1" applyAlignment="1">
      <alignment horizontal="left" vertical="center"/>
    </xf>
    <xf numFmtId="0" fontId="10" fillId="0" borderId="11" xfId="0" applyFont="1" applyBorder="1" applyAlignment="1">
      <alignment horizontal="center" vertical="center"/>
    </xf>
    <xf numFmtId="0" fontId="10" fillId="0" borderId="1" xfId="0" applyFont="1" applyBorder="1" applyAlignment="1">
      <alignment vertical="center" wrapText="1"/>
    </xf>
    <xf numFmtId="0" fontId="10" fillId="0" borderId="0" xfId="0" applyFont="1" applyFill="1">
      <alignment vertical="center"/>
    </xf>
    <xf numFmtId="0" fontId="0" fillId="0" borderId="3" xfId="0" applyBorder="1" applyAlignment="1">
      <alignment vertical="center"/>
    </xf>
    <xf numFmtId="0" fontId="0" fillId="0" borderId="4" xfId="0" applyBorder="1" applyAlignment="1">
      <alignment vertical="center"/>
    </xf>
    <xf numFmtId="0" fontId="9" fillId="0" borderId="2" xfId="2" applyBorder="1">
      <alignment vertical="center"/>
    </xf>
    <xf numFmtId="0" fontId="11" fillId="0" borderId="0" xfId="0" applyFont="1" applyBorder="1" applyAlignment="1">
      <alignment vertical="center" shrinkToFit="1"/>
    </xf>
    <xf numFmtId="176" fontId="11" fillId="0" borderId="2" xfId="0" applyNumberFormat="1" applyFont="1" applyBorder="1" applyAlignment="1">
      <alignment horizontal="center" vertical="center" shrinkToFit="1"/>
    </xf>
    <xf numFmtId="176" fontId="11" fillId="0" borderId="4" xfId="0" applyNumberFormat="1" applyFont="1" applyBorder="1" applyAlignment="1">
      <alignment horizontal="center" vertical="center" shrinkToFit="1"/>
    </xf>
    <xf numFmtId="0" fontId="11" fillId="0" borderId="2" xfId="0" applyFont="1" applyBorder="1" applyAlignment="1">
      <alignment horizontal="center" vertical="center" shrinkToFit="1"/>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0" fontId="11" fillId="0" borderId="0" xfId="0" applyFont="1" applyBorder="1" applyAlignment="1">
      <alignment horizontal="center" vertical="center"/>
    </xf>
    <xf numFmtId="38" fontId="11" fillId="0" borderId="2" xfId="1" applyFont="1" applyBorder="1" applyAlignment="1">
      <alignment horizontal="center" vertical="center"/>
    </xf>
    <xf numFmtId="38" fontId="11" fillId="0" borderId="3" xfId="1" applyFont="1" applyBorder="1" applyAlignment="1">
      <alignment horizontal="center" vertical="center"/>
    </xf>
    <xf numFmtId="38" fontId="11" fillId="0" borderId="4" xfId="1" applyFont="1" applyBorder="1" applyAlignment="1">
      <alignment horizontal="center" vertical="center"/>
    </xf>
    <xf numFmtId="0" fontId="11" fillId="0" borderId="0" xfId="0" applyFont="1" applyBorder="1" applyAlignment="1">
      <alignment horizontal="right" vertical="center" shrinkToFit="1"/>
    </xf>
    <xf numFmtId="0" fontId="11" fillId="0" borderId="5" xfId="0" applyFont="1" applyBorder="1" applyAlignment="1">
      <alignment horizontal="right" vertical="center" shrinkToFit="1"/>
    </xf>
    <xf numFmtId="0" fontId="11" fillId="0" borderId="10" xfId="0" applyFont="1" applyBorder="1" applyAlignment="1">
      <alignment horizontal="right" vertical="center" shrinkToFi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0" xfId="0" applyFont="1" applyAlignment="1">
      <alignment horizontal="right" vertical="center"/>
    </xf>
    <xf numFmtId="0" fontId="11" fillId="0" borderId="0" xfId="0" applyFont="1" applyBorder="1" applyAlignment="1">
      <alignment horizontal="right" vertical="center"/>
    </xf>
    <xf numFmtId="0" fontId="11" fillId="0" borderId="10" xfId="0" applyFont="1" applyBorder="1" applyAlignment="1">
      <alignment horizontal="right" vertical="center"/>
    </xf>
    <xf numFmtId="176" fontId="11" fillId="0" borderId="3" xfId="0" applyNumberFormat="1" applyFont="1" applyBorder="1" applyAlignment="1">
      <alignment horizontal="center" vertical="center" shrinkToFit="1"/>
    </xf>
    <xf numFmtId="0" fontId="11" fillId="0" borderId="0" xfId="0" applyFont="1" applyBorder="1" applyAlignment="1">
      <alignment horizontal="center" vertical="center" shrinkToFit="1"/>
    </xf>
    <xf numFmtId="0" fontId="11" fillId="0" borderId="0" xfId="0" applyFont="1" applyAlignment="1">
      <alignment horizontal="center"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49" fontId="11" fillId="0" borderId="2" xfId="1" applyNumberFormat="1" applyFont="1" applyBorder="1" applyAlignment="1">
      <alignment horizontal="center" vertical="center" shrinkToFit="1"/>
    </xf>
    <xf numFmtId="49" fontId="11" fillId="0" borderId="3" xfId="1" applyNumberFormat="1" applyFont="1" applyBorder="1" applyAlignment="1">
      <alignment horizontal="center" vertical="center" shrinkToFit="1"/>
    </xf>
    <xf numFmtId="49" fontId="11" fillId="0" borderId="4" xfId="1" applyNumberFormat="1" applyFont="1" applyBorder="1" applyAlignment="1">
      <alignment horizontal="center" vertical="center" shrinkToFit="1"/>
    </xf>
    <xf numFmtId="0" fontId="11" fillId="0" borderId="2" xfId="0" applyFont="1" applyBorder="1" applyAlignment="1">
      <alignment vertical="center" shrinkToFit="1"/>
    </xf>
    <xf numFmtId="0" fontId="11" fillId="0" borderId="3" xfId="0" applyFont="1" applyBorder="1" applyAlignment="1">
      <alignment vertical="center" shrinkToFit="1"/>
    </xf>
    <xf numFmtId="0" fontId="10" fillId="0" borderId="2" xfId="0" applyFont="1" applyFill="1" applyBorder="1" applyAlignment="1">
      <alignment vertical="center" shrinkToFit="1"/>
    </xf>
    <xf numFmtId="0" fontId="10" fillId="0" borderId="3" xfId="0" applyFont="1" applyFill="1" applyBorder="1" applyAlignment="1">
      <alignment vertical="center" shrinkToFit="1"/>
    </xf>
    <xf numFmtId="0" fontId="10" fillId="0" borderId="4" xfId="0" applyFont="1" applyFill="1" applyBorder="1" applyAlignment="1">
      <alignment vertical="center" shrinkToFit="1"/>
    </xf>
    <xf numFmtId="0" fontId="22" fillId="0" borderId="7" xfId="0" applyFont="1" applyBorder="1" applyAlignment="1">
      <alignment vertical="top" wrapText="1"/>
    </xf>
    <xf numFmtId="0" fontId="10" fillId="0" borderId="8" xfId="0" applyFont="1" applyBorder="1" applyAlignment="1">
      <alignment vertical="top" wrapText="1"/>
    </xf>
    <xf numFmtId="0" fontId="10" fillId="0" borderId="9" xfId="0" applyFont="1" applyBorder="1" applyAlignment="1">
      <alignment vertical="top" wrapText="1"/>
    </xf>
    <xf numFmtId="0" fontId="10" fillId="0" borderId="5" xfId="0" applyFont="1" applyBorder="1" applyAlignment="1">
      <alignment vertical="top" wrapText="1"/>
    </xf>
    <xf numFmtId="0" fontId="10" fillId="0" borderId="0" xfId="0" applyFont="1" applyBorder="1" applyAlignment="1">
      <alignment vertical="top" wrapText="1"/>
    </xf>
    <xf numFmtId="0" fontId="10" fillId="0" borderId="10" xfId="0" applyFont="1" applyBorder="1" applyAlignment="1">
      <alignment vertical="top" wrapText="1"/>
    </xf>
    <xf numFmtId="0" fontId="10" fillId="0" borderId="11" xfId="0" applyFont="1" applyBorder="1" applyAlignment="1">
      <alignment vertical="top" wrapText="1"/>
    </xf>
    <xf numFmtId="0" fontId="10" fillId="0" borderId="6" xfId="0" applyFont="1" applyBorder="1" applyAlignment="1">
      <alignment vertical="top" wrapText="1"/>
    </xf>
    <xf numFmtId="0" fontId="10" fillId="0" borderId="12" xfId="0" applyFont="1" applyBorder="1" applyAlignment="1">
      <alignment vertical="top" wrapText="1"/>
    </xf>
    <xf numFmtId="0" fontId="10" fillId="0" borderId="2" xfId="0" applyFont="1" applyBorder="1" applyAlignment="1">
      <alignment vertical="center" shrinkToFit="1"/>
    </xf>
    <xf numFmtId="0" fontId="10" fillId="0" borderId="3" xfId="0" applyFont="1" applyBorder="1" applyAlignment="1">
      <alignment vertical="center" shrinkToFit="1"/>
    </xf>
    <xf numFmtId="0" fontId="10" fillId="0" borderId="4" xfId="0" applyFont="1" applyBorder="1" applyAlignment="1">
      <alignment vertical="center" shrinkToFit="1"/>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0" xfId="0" applyFont="1" applyAlignment="1">
      <alignment vertical="center" shrinkToFit="1"/>
    </xf>
    <xf numFmtId="0" fontId="10" fillId="0" borderId="0" xfId="0" applyFont="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center" vertical="center" shrinkToFit="1"/>
    </xf>
    <xf numFmtId="0" fontId="11" fillId="0" borderId="20" xfId="0" applyFont="1" applyBorder="1" applyAlignment="1">
      <alignment vertical="center" shrinkToFit="1"/>
    </xf>
    <xf numFmtId="0" fontId="11" fillId="0" borderId="19" xfId="0" applyFont="1" applyBorder="1" applyAlignment="1">
      <alignment vertical="center" shrinkToFit="1"/>
    </xf>
    <xf numFmtId="0" fontId="11" fillId="0" borderId="15" xfId="0" applyFont="1" applyBorder="1" applyAlignment="1">
      <alignment vertical="center" shrinkToFit="1"/>
    </xf>
    <xf numFmtId="0" fontId="11" fillId="0" borderId="39" xfId="0" applyFont="1" applyBorder="1" applyAlignment="1">
      <alignment vertical="center" shrinkToFit="1"/>
    </xf>
    <xf numFmtId="0" fontId="11" fillId="0" borderId="27" xfId="0" applyFont="1" applyBorder="1" applyAlignment="1">
      <alignment horizontal="center" vertical="center" shrinkToFit="1"/>
    </xf>
    <xf numFmtId="0" fontId="11" fillId="0" borderId="28" xfId="0" applyFont="1" applyBorder="1" applyAlignment="1">
      <alignment horizontal="center" vertical="center" shrinkToFit="1"/>
    </xf>
    <xf numFmtId="0" fontId="10" fillId="0" borderId="7" xfId="0" applyFont="1" applyBorder="1" applyAlignment="1">
      <alignment horizontal="center" vertical="center"/>
    </xf>
    <xf numFmtId="0" fontId="11" fillId="0" borderId="8" xfId="0" applyFont="1" applyBorder="1" applyAlignment="1">
      <alignment horizontal="center" vertical="center"/>
    </xf>
    <xf numFmtId="0" fontId="11" fillId="0" borderId="11" xfId="0" applyFont="1" applyBorder="1" applyAlignment="1">
      <alignment horizontal="center" vertical="center"/>
    </xf>
    <xf numFmtId="0" fontId="11" fillId="0" borderId="6" xfId="0" applyFont="1" applyBorder="1" applyAlignment="1">
      <alignment horizontal="center" vertical="center"/>
    </xf>
    <xf numFmtId="0" fontId="11" fillId="0" borderId="40" xfId="0" applyFont="1" applyBorder="1" applyAlignment="1">
      <alignment vertical="center" shrinkToFit="1"/>
    </xf>
    <xf numFmtId="0" fontId="11" fillId="0" borderId="41" xfId="0" applyFont="1" applyBorder="1" applyAlignment="1">
      <alignment vertical="center" shrinkToFit="1"/>
    </xf>
    <xf numFmtId="0" fontId="4" fillId="0" borderId="0" xfId="0" applyFont="1" applyAlignment="1">
      <alignment horizontal="right" vertical="center"/>
    </xf>
    <xf numFmtId="38" fontId="20" fillId="0" borderId="7" xfId="1" applyFont="1" applyBorder="1" applyAlignment="1">
      <alignment horizontal="center" vertical="center" wrapText="1"/>
    </xf>
    <xf numFmtId="38" fontId="20" fillId="0" borderId="11" xfId="1" applyFont="1" applyBorder="1" applyAlignment="1">
      <alignment horizontal="center" vertical="center"/>
    </xf>
    <xf numFmtId="0" fontId="11" fillId="0" borderId="14" xfId="0" applyFont="1" applyBorder="1" applyAlignment="1">
      <alignment horizontal="center" vertical="center"/>
    </xf>
    <xf numFmtId="0" fontId="11" fillId="0" borderId="15" xfId="0" applyFont="1" applyBorder="1" applyAlignment="1">
      <alignment horizontal="center" vertical="center"/>
    </xf>
    <xf numFmtId="0" fontId="11" fillId="0" borderId="39" xfId="0" applyFont="1" applyBorder="1" applyAlignment="1">
      <alignment horizontal="center" vertical="center"/>
    </xf>
    <xf numFmtId="0" fontId="23" fillId="0" borderId="16" xfId="0" applyFont="1" applyBorder="1" applyAlignment="1">
      <alignment horizontal="center" vertical="center" wrapText="1"/>
    </xf>
    <xf numFmtId="0" fontId="23" fillId="0" borderId="13" xfId="0" applyFont="1" applyBorder="1" applyAlignment="1">
      <alignment horizontal="center" vertical="center"/>
    </xf>
    <xf numFmtId="0" fontId="20" fillId="0" borderId="9" xfId="0" applyFont="1" applyBorder="1" applyAlignment="1">
      <alignment horizontal="center" vertical="center"/>
    </xf>
    <xf numFmtId="0" fontId="20" fillId="0" borderId="12" xfId="0" applyFont="1" applyBorder="1" applyAlignment="1">
      <alignment horizontal="center" vertical="center"/>
    </xf>
    <xf numFmtId="0" fontId="5" fillId="0" borderId="0" xfId="0" applyFont="1" applyAlignment="1">
      <alignment horizontal="center" vertical="center"/>
    </xf>
    <xf numFmtId="0" fontId="25" fillId="0" borderId="0" xfId="2" applyFont="1" applyFill="1">
      <alignment vertical="center"/>
    </xf>
    <xf numFmtId="0" fontId="26" fillId="0" borderId="0" xfId="0" applyFont="1" applyFill="1">
      <alignment vertical="center"/>
    </xf>
    <xf numFmtId="0" fontId="21" fillId="0" borderId="7" xfId="0" applyFont="1" applyBorder="1" applyAlignment="1">
      <alignment vertical="top" wrapText="1" shrinkToFit="1"/>
    </xf>
    <xf numFmtId="0" fontId="21" fillId="0" borderId="8" xfId="0" applyFont="1" applyBorder="1" applyAlignment="1">
      <alignment vertical="top" shrinkToFit="1"/>
    </xf>
    <xf numFmtId="0" fontId="21" fillId="0" borderId="9" xfId="0" applyFont="1" applyBorder="1" applyAlignment="1">
      <alignment vertical="top" shrinkToFit="1"/>
    </xf>
    <xf numFmtId="0" fontId="21" fillId="0" borderId="5" xfId="0" applyFont="1" applyBorder="1" applyAlignment="1">
      <alignment vertical="top" shrinkToFit="1"/>
    </xf>
    <xf numFmtId="0" fontId="21" fillId="0" borderId="0" xfId="0" applyFont="1" applyAlignment="1">
      <alignment vertical="top" shrinkToFit="1"/>
    </xf>
    <xf numFmtId="0" fontId="21" fillId="0" borderId="10" xfId="0" applyFont="1" applyBorder="1" applyAlignment="1">
      <alignment vertical="top" shrinkToFit="1"/>
    </xf>
    <xf numFmtId="0" fontId="21" fillId="0" borderId="11" xfId="0" applyFont="1" applyBorder="1" applyAlignment="1">
      <alignment vertical="top" shrinkToFit="1"/>
    </xf>
    <xf numFmtId="0" fontId="21" fillId="0" borderId="6" xfId="0" applyFont="1" applyBorder="1" applyAlignment="1">
      <alignment vertical="top" shrinkToFit="1"/>
    </xf>
    <xf numFmtId="0" fontId="21" fillId="0" borderId="12" xfId="0" applyFont="1" applyBorder="1" applyAlignment="1">
      <alignment vertical="top" shrinkToFit="1"/>
    </xf>
    <xf numFmtId="0" fontId="10" fillId="0" borderId="2" xfId="0" applyFont="1" applyBorder="1" applyAlignment="1">
      <alignment horizontal="center" vertical="center" shrinkToFit="1"/>
    </xf>
    <xf numFmtId="0" fontId="10" fillId="0" borderId="3" xfId="0" applyFont="1" applyBorder="1" applyAlignment="1">
      <alignment horizontal="center" vertical="center" shrinkToFit="1"/>
    </xf>
    <xf numFmtId="0" fontId="10" fillId="0" borderId="4" xfId="0" applyFont="1" applyBorder="1" applyAlignment="1">
      <alignment horizontal="center" vertical="center" shrinkToFit="1"/>
    </xf>
    <xf numFmtId="0" fontId="10" fillId="0" borderId="43" xfId="0" applyFont="1" applyBorder="1" applyAlignment="1">
      <alignment horizontal="center" vertical="center" shrinkToFit="1"/>
    </xf>
    <xf numFmtId="0" fontId="10" fillId="0" borderId="2" xfId="0" applyFont="1" applyFill="1" applyBorder="1" applyAlignment="1">
      <alignment horizontal="center" vertical="center" shrinkToFit="1"/>
    </xf>
    <xf numFmtId="0" fontId="10" fillId="0" borderId="3" xfId="0" applyFont="1" applyFill="1" applyBorder="1" applyAlignment="1">
      <alignment horizontal="center" vertical="center" shrinkToFit="1"/>
    </xf>
    <xf numFmtId="0" fontId="10" fillId="0" borderId="4" xfId="0" applyFont="1" applyFill="1" applyBorder="1" applyAlignment="1">
      <alignment horizontal="center" vertical="center" shrinkToFit="1"/>
    </xf>
    <xf numFmtId="0" fontId="10" fillId="0" borderId="16" xfId="0" applyFont="1" applyBorder="1" applyAlignment="1">
      <alignment vertical="center" wrapText="1"/>
    </xf>
    <xf numFmtId="0" fontId="10" fillId="0" borderId="42" xfId="0" applyFont="1" applyBorder="1" applyAlignment="1">
      <alignment vertical="center" wrapText="1"/>
    </xf>
    <xf numFmtId="0" fontId="10" fillId="0" borderId="7" xfId="0" applyFont="1" applyBorder="1" applyAlignment="1">
      <alignment horizontal="left" vertical="top" wrapText="1"/>
    </xf>
    <xf numFmtId="0" fontId="10" fillId="0" borderId="8" xfId="0" applyFont="1" applyBorder="1" applyAlignment="1">
      <alignment horizontal="left" vertical="top" wrapText="1"/>
    </xf>
    <xf numFmtId="0" fontId="10" fillId="0" borderId="9" xfId="0" applyFont="1" applyBorder="1" applyAlignment="1">
      <alignment horizontal="left" vertical="top" wrapText="1"/>
    </xf>
    <xf numFmtId="0" fontId="10" fillId="0" borderId="5" xfId="0" applyFont="1" applyBorder="1" applyAlignment="1">
      <alignment horizontal="left" vertical="top" wrapText="1"/>
    </xf>
    <xf numFmtId="0" fontId="10" fillId="0" borderId="0" xfId="0" applyFont="1" applyAlignment="1">
      <alignment horizontal="left" vertical="top" wrapText="1"/>
    </xf>
    <xf numFmtId="0" fontId="10" fillId="0" borderId="10" xfId="0" applyFont="1" applyBorder="1" applyAlignment="1">
      <alignment horizontal="left" vertical="top" wrapText="1"/>
    </xf>
    <xf numFmtId="0" fontId="10" fillId="0" borderId="11" xfId="0" applyFont="1" applyBorder="1" applyAlignment="1">
      <alignment horizontal="left" vertical="top" wrapText="1"/>
    </xf>
    <xf numFmtId="0" fontId="10" fillId="0" borderId="6" xfId="0" applyFont="1" applyBorder="1" applyAlignment="1">
      <alignment horizontal="left" vertical="top" wrapText="1"/>
    </xf>
    <xf numFmtId="0" fontId="10" fillId="0" borderId="12" xfId="0" applyFont="1" applyBorder="1" applyAlignment="1">
      <alignment horizontal="left" vertical="top" wrapText="1"/>
    </xf>
    <xf numFmtId="0" fontId="10" fillId="0" borderId="2" xfId="0" applyFont="1" applyBorder="1" applyAlignment="1">
      <alignment horizontal="center" vertical="center" wrapText="1"/>
    </xf>
    <xf numFmtId="0" fontId="10" fillId="0" borderId="13" xfId="0" applyFont="1" applyBorder="1" applyAlignment="1">
      <alignment vertical="center" wrapText="1"/>
    </xf>
    <xf numFmtId="0" fontId="10" fillId="0" borderId="7" xfId="0" applyFont="1" applyBorder="1" applyAlignment="1">
      <alignment horizontal="left" vertical="top" wrapText="1" shrinkToFit="1"/>
    </xf>
    <xf numFmtId="0" fontId="10" fillId="0" borderId="8" xfId="0" applyFont="1" applyBorder="1" applyAlignment="1">
      <alignment horizontal="left" vertical="top" shrinkToFit="1"/>
    </xf>
    <xf numFmtId="0" fontId="10" fillId="0" borderId="9" xfId="0" applyFont="1" applyBorder="1" applyAlignment="1">
      <alignment horizontal="left" vertical="top" shrinkToFit="1"/>
    </xf>
    <xf numFmtId="0" fontId="10" fillId="0" borderId="5" xfId="0" applyFont="1" applyBorder="1" applyAlignment="1">
      <alignment horizontal="left" vertical="top" shrinkToFit="1"/>
    </xf>
    <xf numFmtId="0" fontId="10" fillId="0" borderId="0" xfId="0" applyFont="1" applyAlignment="1">
      <alignment horizontal="left" vertical="top" shrinkToFit="1"/>
    </xf>
    <xf numFmtId="0" fontId="10" fillId="0" borderId="10" xfId="0" applyFont="1" applyBorder="1" applyAlignment="1">
      <alignment horizontal="left" vertical="top" shrinkToFit="1"/>
    </xf>
    <xf numFmtId="0" fontId="10" fillId="0" borderId="11" xfId="0" applyFont="1" applyBorder="1" applyAlignment="1">
      <alignment horizontal="left" vertical="top" shrinkToFit="1"/>
    </xf>
    <xf numFmtId="0" fontId="10" fillId="0" borderId="6" xfId="0" applyFont="1" applyBorder="1" applyAlignment="1">
      <alignment horizontal="left" vertical="top" shrinkToFit="1"/>
    </xf>
    <xf numFmtId="0" fontId="10" fillId="0" borderId="12" xfId="0" applyFont="1" applyBorder="1" applyAlignment="1">
      <alignment horizontal="left" vertical="top" shrinkToFit="1"/>
    </xf>
    <xf numFmtId="0" fontId="11" fillId="0" borderId="7" xfId="0" applyFont="1" applyBorder="1" applyAlignment="1">
      <alignment vertical="top" wrapText="1" shrinkToFit="1"/>
    </xf>
    <xf numFmtId="0" fontId="11" fillId="0" borderId="8" xfId="0" applyFont="1" applyBorder="1" applyAlignment="1">
      <alignment vertical="top"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Border="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11" fillId="0" borderId="7" xfId="0" applyFont="1" applyFill="1" applyBorder="1" applyAlignment="1">
      <alignment vertical="top" wrapText="1" shrinkToFit="1"/>
    </xf>
    <xf numFmtId="0" fontId="10" fillId="0" borderId="8" xfId="0" applyFont="1" applyFill="1" applyBorder="1" applyAlignment="1">
      <alignment vertical="top" shrinkToFit="1"/>
    </xf>
    <xf numFmtId="0" fontId="10" fillId="0" borderId="9" xfId="0" applyFont="1" applyFill="1" applyBorder="1" applyAlignment="1">
      <alignment vertical="top" shrinkToFit="1"/>
    </xf>
    <xf numFmtId="0" fontId="10" fillId="0" borderId="5" xfId="0" applyFont="1" applyFill="1" applyBorder="1" applyAlignment="1">
      <alignment vertical="top" shrinkToFit="1"/>
    </xf>
    <xf numFmtId="0" fontId="10" fillId="0" borderId="0" xfId="0" applyFont="1" applyFill="1" applyBorder="1" applyAlignment="1">
      <alignment vertical="top" shrinkToFit="1"/>
    </xf>
    <xf numFmtId="0" fontId="10" fillId="0" borderId="10" xfId="0" applyFont="1" applyFill="1" applyBorder="1" applyAlignment="1">
      <alignment vertical="top" shrinkToFit="1"/>
    </xf>
    <xf numFmtId="0" fontId="10" fillId="0" borderId="11" xfId="0" applyFont="1" applyFill="1" applyBorder="1" applyAlignment="1">
      <alignment vertical="top" shrinkToFit="1"/>
    </xf>
    <xf numFmtId="0" fontId="10" fillId="0" borderId="6" xfId="0" applyFont="1" applyFill="1" applyBorder="1" applyAlignment="1">
      <alignment vertical="top" shrinkToFit="1"/>
    </xf>
    <xf numFmtId="0" fontId="10" fillId="0" borderId="12" xfId="0" applyFont="1" applyFill="1" applyBorder="1" applyAlignment="1">
      <alignment vertical="top" shrinkToFit="1"/>
    </xf>
    <xf numFmtId="0" fontId="11" fillId="0" borderId="6" xfId="0" applyFont="1" applyBorder="1" applyAlignment="1">
      <alignment vertical="center"/>
    </xf>
    <xf numFmtId="0" fontId="11" fillId="0" borderId="0" xfId="0" applyFont="1" applyAlignment="1">
      <alignment vertical="center" shrinkToFit="1"/>
    </xf>
    <xf numFmtId="0" fontId="20" fillId="0" borderId="7" xfId="0" applyFont="1" applyBorder="1" applyAlignment="1">
      <alignment vertical="top" wrapText="1" shrinkToFit="1"/>
    </xf>
    <xf numFmtId="0" fontId="20" fillId="0" borderId="8" xfId="0" applyFont="1" applyBorder="1" applyAlignment="1">
      <alignment vertical="top" shrinkToFit="1"/>
    </xf>
    <xf numFmtId="0" fontId="20" fillId="0" borderId="9" xfId="0" applyFont="1" applyBorder="1" applyAlignment="1">
      <alignment vertical="top" shrinkToFit="1"/>
    </xf>
    <xf numFmtId="0" fontId="20" fillId="0" borderId="5" xfId="0" applyFont="1" applyBorder="1" applyAlignment="1">
      <alignment vertical="top" shrinkToFit="1"/>
    </xf>
    <xf numFmtId="0" fontId="20" fillId="0" borderId="0" xfId="0" applyFont="1" applyBorder="1" applyAlignment="1">
      <alignment vertical="top" shrinkToFit="1"/>
    </xf>
    <xf numFmtId="0" fontId="20" fillId="0" borderId="10" xfId="0" applyFont="1" applyBorder="1" applyAlignment="1">
      <alignment vertical="top" shrinkToFit="1"/>
    </xf>
    <xf numFmtId="0" fontId="20" fillId="0" borderId="11" xfId="0" applyFont="1" applyBorder="1" applyAlignment="1">
      <alignment vertical="top" shrinkToFit="1"/>
    </xf>
    <xf numFmtId="0" fontId="20" fillId="0" borderId="6" xfId="0" applyFont="1" applyBorder="1" applyAlignment="1">
      <alignment vertical="top" shrinkToFit="1"/>
    </xf>
    <xf numFmtId="0" fontId="20" fillId="0" borderId="12" xfId="0" applyFont="1" applyBorder="1" applyAlignment="1">
      <alignment vertical="top" shrinkToFit="1"/>
    </xf>
    <xf numFmtId="0" fontId="22" fillId="0" borderId="7" xfId="0" applyFont="1" applyBorder="1" applyAlignment="1">
      <alignment vertical="top" wrapText="1" shrinkToFit="1"/>
    </xf>
    <xf numFmtId="0" fontId="19" fillId="0" borderId="8" xfId="0" applyFont="1" applyBorder="1" applyAlignment="1">
      <alignment vertical="top" shrinkToFit="1"/>
    </xf>
    <xf numFmtId="0" fontId="19" fillId="0" borderId="9" xfId="0" applyFont="1" applyBorder="1" applyAlignment="1">
      <alignment vertical="top" shrinkToFit="1"/>
    </xf>
    <xf numFmtId="0" fontId="19" fillId="0" borderId="5" xfId="0" applyFont="1" applyBorder="1" applyAlignment="1">
      <alignment vertical="top" shrinkToFit="1"/>
    </xf>
    <xf numFmtId="0" fontId="19" fillId="0" borderId="0" xfId="0" applyFont="1" applyBorder="1" applyAlignment="1">
      <alignment vertical="top" shrinkToFit="1"/>
    </xf>
    <xf numFmtId="0" fontId="19" fillId="0" borderId="10" xfId="0" applyFont="1" applyBorder="1" applyAlignment="1">
      <alignment vertical="top" shrinkToFit="1"/>
    </xf>
    <xf numFmtId="0" fontId="19" fillId="0" borderId="11" xfId="0" applyFont="1" applyBorder="1" applyAlignment="1">
      <alignment vertical="top" shrinkToFit="1"/>
    </xf>
    <xf numFmtId="0" fontId="19" fillId="0" borderId="6" xfId="0" applyFont="1" applyBorder="1" applyAlignment="1">
      <alignment vertical="top" shrinkToFit="1"/>
    </xf>
    <xf numFmtId="0" fontId="19" fillId="0" borderId="12" xfId="0" applyFont="1" applyBorder="1" applyAlignment="1">
      <alignment vertical="top" shrinkToFit="1"/>
    </xf>
    <xf numFmtId="0" fontId="11" fillId="0" borderId="8" xfId="0" applyFont="1" applyBorder="1" applyAlignment="1">
      <alignment vertical="top" wrapText="1" shrinkToFit="1"/>
    </xf>
    <xf numFmtId="0" fontId="11" fillId="0" borderId="9" xfId="0" applyFont="1" applyBorder="1" applyAlignment="1">
      <alignment vertical="top" wrapText="1" shrinkToFit="1"/>
    </xf>
    <xf numFmtId="0" fontId="11" fillId="0" borderId="5" xfId="0" applyFont="1" applyBorder="1" applyAlignment="1">
      <alignment vertical="top" wrapText="1" shrinkToFit="1"/>
    </xf>
    <xf numFmtId="0" fontId="11" fillId="0" borderId="0" xfId="0" applyFont="1" applyBorder="1" applyAlignment="1">
      <alignment vertical="top" wrapText="1" shrinkToFit="1"/>
    </xf>
    <xf numFmtId="0" fontId="11" fillId="0" borderId="10" xfId="0" applyFont="1" applyBorder="1" applyAlignment="1">
      <alignment vertical="top" wrapText="1" shrinkToFit="1"/>
    </xf>
    <xf numFmtId="0" fontId="11" fillId="0" borderId="11" xfId="0" applyFont="1" applyBorder="1" applyAlignment="1">
      <alignment vertical="top" wrapText="1" shrinkToFi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11" fillId="0" borderId="4" xfId="0" applyFont="1" applyBorder="1" applyAlignment="1">
      <alignment vertical="center"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11" fillId="0" borderId="18" xfId="0" applyFont="1" applyBorder="1" applyAlignment="1">
      <alignment vertical="center"/>
    </xf>
    <xf numFmtId="0" fontId="15" fillId="0" borderId="19" xfId="0" applyFont="1" applyBorder="1" applyAlignment="1">
      <alignment vertical="center"/>
    </xf>
    <xf numFmtId="0" fontId="11" fillId="0" borderId="18" xfId="0" applyFont="1" applyBorder="1" applyAlignment="1">
      <alignment vertical="center" wrapText="1"/>
    </xf>
    <xf numFmtId="0" fontId="11" fillId="0" borderId="19" xfId="0" applyFont="1" applyBorder="1" applyAlignment="1">
      <alignment vertical="center" wrapText="1"/>
    </xf>
    <xf numFmtId="0" fontId="22" fillId="0" borderId="21" xfId="0" applyFont="1" applyBorder="1" applyAlignment="1">
      <alignment vertical="top" wrapText="1" shrinkToFit="1"/>
    </xf>
    <xf numFmtId="0" fontId="19" fillId="0" borderId="21" xfId="0" applyFont="1" applyBorder="1" applyAlignment="1">
      <alignment vertical="top" wrapText="1" shrinkToFit="1"/>
    </xf>
    <xf numFmtId="0" fontId="19" fillId="0" borderId="19" xfId="0" applyFont="1" applyBorder="1" applyAlignment="1">
      <alignment vertical="top" wrapText="1" shrinkToFit="1"/>
    </xf>
    <xf numFmtId="0" fontId="11" fillId="0" borderId="22" xfId="0" applyFont="1" applyBorder="1" applyAlignment="1">
      <alignment vertical="center" wrapText="1"/>
    </xf>
    <xf numFmtId="0" fontId="11" fillId="0" borderId="23" xfId="0" applyFont="1" applyBorder="1" applyAlignment="1">
      <alignment vertical="center" wrapText="1"/>
    </xf>
    <xf numFmtId="0" fontId="11" fillId="0" borderId="24" xfId="0" applyFont="1" applyBorder="1" applyAlignment="1">
      <alignment vertical="top" wrapText="1" shrinkToFit="1"/>
    </xf>
    <xf numFmtId="0" fontId="11" fillId="0" borderId="23" xfId="0" applyFont="1" applyBorder="1" applyAlignment="1">
      <alignment vertical="top" wrapText="1" shrinkToFit="1"/>
    </xf>
    <xf numFmtId="0" fontId="11" fillId="0" borderId="20" xfId="0" applyFont="1" applyBorder="1" applyAlignment="1">
      <alignment vertical="center" wrapText="1"/>
    </xf>
    <xf numFmtId="0" fontId="11" fillId="0" borderId="21" xfId="0" applyFont="1" applyBorder="1" applyAlignment="1">
      <alignment vertical="center" wrapText="1"/>
    </xf>
    <xf numFmtId="0" fontId="11" fillId="0" borderId="21" xfId="0" applyFont="1" applyBorder="1" applyAlignment="1">
      <alignment vertical="top" wrapText="1" shrinkToFit="1"/>
    </xf>
    <xf numFmtId="0" fontId="11" fillId="0" borderId="19" xfId="0" applyFont="1" applyBorder="1" applyAlignment="1">
      <alignment vertical="top" wrapText="1" shrinkToFit="1"/>
    </xf>
    <xf numFmtId="0" fontId="11" fillId="0" borderId="20" xfId="0" applyFont="1" applyBorder="1" applyAlignment="1">
      <alignment vertical="top" wrapText="1" shrinkToFit="1"/>
    </xf>
    <xf numFmtId="0" fontId="17" fillId="0" borderId="0" xfId="0" applyFont="1" applyAlignment="1">
      <alignment vertical="top" wrapText="1"/>
    </xf>
    <xf numFmtId="0" fontId="5" fillId="0" borderId="7" xfId="0" applyFont="1" applyBorder="1" applyAlignment="1">
      <alignment vertical="top" shrinkToFit="1"/>
    </xf>
    <xf numFmtId="0" fontId="5" fillId="0" borderId="8" xfId="0" applyFont="1" applyBorder="1" applyAlignment="1">
      <alignment vertical="top" shrinkToFit="1"/>
    </xf>
    <xf numFmtId="0" fontId="5" fillId="0" borderId="9" xfId="0" applyFont="1" applyBorder="1" applyAlignment="1">
      <alignment vertical="top" shrinkToFit="1"/>
    </xf>
    <xf numFmtId="0" fontId="5" fillId="0" borderId="5" xfId="0" applyFont="1" applyBorder="1" applyAlignment="1">
      <alignment vertical="top" shrinkToFit="1"/>
    </xf>
    <xf numFmtId="0" fontId="5" fillId="0" borderId="0" xfId="0" applyFont="1" applyBorder="1" applyAlignment="1">
      <alignment vertical="top" shrinkToFit="1"/>
    </xf>
    <xf numFmtId="0" fontId="5" fillId="0" borderId="10" xfId="0" applyFont="1" applyBorder="1" applyAlignment="1">
      <alignment vertical="top" shrinkToFit="1"/>
    </xf>
    <xf numFmtId="0" fontId="5" fillId="0" borderId="11" xfId="0" applyFont="1" applyBorder="1" applyAlignment="1">
      <alignment vertical="top" shrinkToFit="1"/>
    </xf>
    <xf numFmtId="0" fontId="5" fillId="0" borderId="6" xfId="0" applyFont="1" applyBorder="1" applyAlignment="1">
      <alignment vertical="top" shrinkToFit="1"/>
    </xf>
    <xf numFmtId="0" fontId="5" fillId="0" borderId="12" xfId="0" applyFont="1" applyBorder="1" applyAlignment="1">
      <alignment vertical="top" shrinkToFit="1"/>
    </xf>
    <xf numFmtId="0" fontId="4" fillId="0" borderId="0" xfId="0" applyFont="1" applyAlignment="1">
      <alignment horizontal="center" vertical="center"/>
    </xf>
    <xf numFmtId="0" fontId="9" fillId="0" borderId="0" xfId="2">
      <alignment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asia-u.ac.jp/academics/minor/1/"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asia-u.ac.jp/uploads/files/20210717140607.pdf"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7"/>
  <sheetViews>
    <sheetView topLeftCell="A26" zoomScaleNormal="100" workbookViewId="0"/>
  </sheetViews>
  <sheetFormatPr defaultColWidth="9" defaultRowHeight="18.75" customHeight="1"/>
  <cols>
    <col min="1" max="1" width="2.5" style="14" customWidth="1"/>
    <col min="2" max="2" width="12.5" style="14" customWidth="1"/>
    <col min="3" max="8" width="6.125" style="14" customWidth="1"/>
    <col min="9" max="9" width="2.5" style="14" customWidth="1"/>
    <col min="10" max="10" width="10" style="14" customWidth="1"/>
    <col min="11" max="11" width="2.5" style="14" customWidth="1"/>
    <col min="12" max="12" width="7.5" style="14" customWidth="1"/>
    <col min="13" max="13" width="2.5" style="14" customWidth="1"/>
    <col min="14" max="14" width="7.5" style="14" customWidth="1"/>
    <col min="15" max="16384" width="9" style="14"/>
  </cols>
  <sheetData>
    <row r="1" spans="1:14" ht="22.5" customHeight="1">
      <c r="M1" s="143" t="s">
        <v>29</v>
      </c>
      <c r="N1" s="143"/>
    </row>
    <row r="2" spans="1:14" ht="22.5" customHeight="1">
      <c r="A2" s="148" t="s">
        <v>129</v>
      </c>
      <c r="B2" s="148"/>
      <c r="C2" s="148"/>
      <c r="D2" s="148"/>
      <c r="E2" s="148"/>
      <c r="F2" s="148"/>
      <c r="G2" s="148"/>
      <c r="H2" s="148"/>
      <c r="I2" s="148"/>
      <c r="J2" s="148"/>
      <c r="K2" s="148"/>
      <c r="L2" s="148"/>
      <c r="M2" s="148"/>
      <c r="N2" s="148"/>
    </row>
    <row r="3" spans="1:14" ht="22.5" customHeight="1"/>
    <row r="4" spans="1:14" ht="22.5" customHeight="1">
      <c r="A4" s="14" t="s">
        <v>7</v>
      </c>
      <c r="B4" s="43" t="s">
        <v>20</v>
      </c>
      <c r="C4" s="130" t="s">
        <v>143</v>
      </c>
      <c r="D4" s="131"/>
      <c r="E4" s="131"/>
      <c r="F4" s="131"/>
      <c r="G4" s="131"/>
      <c r="H4" s="131"/>
      <c r="I4" s="131"/>
      <c r="J4" s="131"/>
      <c r="K4" s="131"/>
      <c r="L4" s="131"/>
      <c r="M4" s="131"/>
      <c r="N4" s="132"/>
    </row>
    <row r="5" spans="1:14" ht="7.5" customHeight="1">
      <c r="B5" s="43"/>
      <c r="C5" s="43"/>
      <c r="D5" s="43"/>
      <c r="E5" s="44"/>
      <c r="F5" s="45"/>
      <c r="G5" s="45"/>
      <c r="H5" s="45"/>
      <c r="I5" s="45"/>
      <c r="J5" s="45"/>
      <c r="K5" s="45"/>
      <c r="L5" s="45"/>
      <c r="M5" s="45"/>
      <c r="N5" s="45"/>
    </row>
    <row r="6" spans="1:14" ht="22.5" customHeight="1">
      <c r="A6" s="14" t="s">
        <v>56</v>
      </c>
      <c r="B6" s="43" t="s">
        <v>57</v>
      </c>
      <c r="C6" s="43"/>
      <c r="D6" s="130" t="s">
        <v>146</v>
      </c>
      <c r="E6" s="131"/>
      <c r="F6" s="131"/>
      <c r="G6" s="131"/>
      <c r="H6" s="131"/>
      <c r="I6" s="131"/>
      <c r="J6" s="131"/>
      <c r="K6" s="131"/>
      <c r="L6" s="131"/>
      <c r="M6" s="131"/>
      <c r="N6" s="132"/>
    </row>
    <row r="7" spans="1:14" ht="7.5" customHeight="1">
      <c r="B7" s="43"/>
      <c r="C7" s="43"/>
      <c r="D7" s="43"/>
      <c r="E7" s="44"/>
      <c r="F7" s="45"/>
      <c r="G7" s="45"/>
      <c r="H7" s="45"/>
      <c r="I7" s="45"/>
      <c r="J7" s="45"/>
      <c r="K7" s="45"/>
      <c r="L7" s="45"/>
      <c r="M7" s="45"/>
      <c r="N7" s="45"/>
    </row>
    <row r="8" spans="1:14" ht="22.5" customHeight="1">
      <c r="A8" s="46" t="s">
        <v>13</v>
      </c>
      <c r="B8" s="47" t="s">
        <v>58</v>
      </c>
      <c r="C8" s="130" t="s">
        <v>147</v>
      </c>
      <c r="D8" s="131"/>
      <c r="E8" s="132"/>
      <c r="F8" s="45"/>
      <c r="G8" s="147"/>
      <c r="H8" s="147"/>
      <c r="I8" s="147"/>
      <c r="J8" s="45"/>
      <c r="K8" s="45"/>
      <c r="L8" s="45"/>
      <c r="M8" s="45"/>
      <c r="N8" s="45"/>
    </row>
    <row r="9" spans="1:14" ht="7.5" customHeight="1">
      <c r="B9" s="43"/>
      <c r="C9" s="43"/>
      <c r="D9" s="43"/>
      <c r="E9" s="44"/>
      <c r="F9" s="45"/>
      <c r="G9" s="45"/>
      <c r="H9" s="45"/>
      <c r="I9" s="45"/>
      <c r="J9" s="45"/>
      <c r="K9" s="45"/>
      <c r="L9" s="45"/>
      <c r="M9" s="45"/>
      <c r="N9" s="45"/>
    </row>
    <row r="10" spans="1:14" ht="22.5" customHeight="1">
      <c r="A10" s="14" t="s">
        <v>17</v>
      </c>
      <c r="B10" s="43" t="s">
        <v>53</v>
      </c>
      <c r="C10" s="130" t="s">
        <v>148</v>
      </c>
      <c r="D10" s="131"/>
      <c r="E10" s="131"/>
      <c r="F10" s="131"/>
      <c r="G10" s="131"/>
      <c r="H10" s="131"/>
      <c r="I10" s="131"/>
      <c r="J10" s="131"/>
      <c r="K10" s="131"/>
      <c r="L10" s="131"/>
      <c r="M10" s="131"/>
      <c r="N10" s="132"/>
    </row>
    <row r="11" spans="1:14" ht="7.5" customHeight="1">
      <c r="B11" s="43"/>
      <c r="C11" s="43"/>
      <c r="D11" s="43"/>
      <c r="E11" s="44"/>
      <c r="F11" s="45"/>
      <c r="G11" s="45"/>
      <c r="H11" s="45"/>
      <c r="I11" s="45"/>
      <c r="J11" s="45"/>
      <c r="K11" s="45"/>
      <c r="L11" s="45"/>
      <c r="M11" s="45"/>
      <c r="N11" s="45"/>
    </row>
    <row r="12" spans="1:14" ht="22.5" customHeight="1">
      <c r="A12" s="14" t="s">
        <v>14</v>
      </c>
      <c r="B12" s="43" t="s">
        <v>125</v>
      </c>
      <c r="C12" s="43"/>
      <c r="D12" s="43"/>
      <c r="E12" s="45"/>
      <c r="F12" s="22"/>
      <c r="G12" s="130" t="s">
        <v>144</v>
      </c>
      <c r="H12" s="131"/>
      <c r="I12" s="131"/>
      <c r="J12" s="131"/>
      <c r="K12" s="131"/>
      <c r="L12" s="131"/>
      <c r="M12" s="131"/>
      <c r="N12" s="132"/>
    </row>
    <row r="13" spans="1:14" ht="7.5" customHeight="1">
      <c r="B13" s="44"/>
      <c r="C13" s="44"/>
      <c r="D13" s="44"/>
      <c r="E13" s="44"/>
      <c r="F13" s="45"/>
      <c r="G13" s="45"/>
      <c r="H13" s="45"/>
      <c r="I13" s="45"/>
      <c r="J13" s="45"/>
      <c r="K13" s="45"/>
      <c r="L13" s="45"/>
      <c r="M13" s="45"/>
      <c r="N13" s="45"/>
    </row>
    <row r="14" spans="1:14" ht="22.5" customHeight="1">
      <c r="A14" s="14" t="s">
        <v>68</v>
      </c>
      <c r="B14" s="44" t="s">
        <v>69</v>
      </c>
      <c r="C14" s="44"/>
      <c r="D14" s="44"/>
      <c r="E14" s="44"/>
      <c r="F14" s="130" t="s">
        <v>196</v>
      </c>
      <c r="G14" s="131"/>
      <c r="H14" s="132"/>
      <c r="I14" s="45"/>
      <c r="J14" s="45"/>
      <c r="K14" s="45"/>
      <c r="L14" s="45"/>
      <c r="M14" s="45"/>
      <c r="N14" s="45"/>
    </row>
    <row r="15" spans="1:14" ht="7.5" customHeight="1">
      <c r="B15" s="44"/>
      <c r="C15" s="44"/>
      <c r="D15" s="44"/>
      <c r="E15" s="44"/>
      <c r="F15" s="45"/>
      <c r="G15" s="45"/>
      <c r="H15" s="45"/>
      <c r="I15" s="45"/>
      <c r="J15" s="45"/>
      <c r="K15" s="45"/>
      <c r="L15" s="45"/>
      <c r="M15" s="45"/>
      <c r="N15" s="45"/>
    </row>
    <row r="16" spans="1:14" ht="22.5" customHeight="1">
      <c r="A16" s="14" t="s">
        <v>15</v>
      </c>
      <c r="B16" s="14" t="s">
        <v>0</v>
      </c>
      <c r="C16" s="144" t="s">
        <v>6</v>
      </c>
      <c r="D16" s="145"/>
      <c r="E16" s="128">
        <v>188</v>
      </c>
      <c r="F16" s="129"/>
      <c r="G16" s="48" t="s">
        <v>10</v>
      </c>
      <c r="I16" s="144" t="s">
        <v>11</v>
      </c>
      <c r="J16" s="145"/>
      <c r="K16" s="128">
        <v>334</v>
      </c>
      <c r="L16" s="146"/>
      <c r="M16" s="129"/>
      <c r="N16" s="49" t="s">
        <v>10</v>
      </c>
    </row>
    <row r="17" spans="1:15" ht="7.5" customHeight="1">
      <c r="F17" s="50"/>
      <c r="G17" s="50"/>
      <c r="H17" s="50"/>
      <c r="I17" s="50"/>
      <c r="J17" s="50"/>
      <c r="K17" s="50"/>
      <c r="L17" s="50"/>
      <c r="M17" s="49"/>
      <c r="N17" s="49"/>
    </row>
    <row r="18" spans="1:15" ht="22.5" customHeight="1">
      <c r="A18" s="14" t="s">
        <v>62</v>
      </c>
      <c r="B18" s="14" t="s">
        <v>90</v>
      </c>
      <c r="F18" s="50"/>
      <c r="G18" s="50"/>
      <c r="H18" s="50"/>
      <c r="I18" s="50"/>
      <c r="J18" s="50"/>
      <c r="K18" s="140">
        <v>7</v>
      </c>
      <c r="L18" s="141"/>
      <c r="M18" s="142"/>
      <c r="N18" s="49" t="s">
        <v>60</v>
      </c>
    </row>
    <row r="19" spans="1:15" ht="7.5" customHeight="1">
      <c r="F19" s="50"/>
      <c r="G19" s="50"/>
      <c r="H19" s="50"/>
      <c r="I19" s="50"/>
      <c r="J19" s="50"/>
      <c r="K19" s="50"/>
      <c r="L19" s="50"/>
      <c r="M19" s="49"/>
      <c r="N19" s="49"/>
    </row>
    <row r="20" spans="1:15" ht="22.5" customHeight="1">
      <c r="A20" s="14" t="s">
        <v>70</v>
      </c>
      <c r="B20" s="14" t="s">
        <v>122</v>
      </c>
      <c r="E20" s="128">
        <v>1505</v>
      </c>
      <c r="F20" s="129"/>
      <c r="G20" s="51" t="s">
        <v>25</v>
      </c>
      <c r="H20" s="50"/>
      <c r="K20" s="127"/>
      <c r="L20" s="127"/>
      <c r="M20" s="127"/>
      <c r="N20" s="127"/>
    </row>
    <row r="21" spans="1:15" ht="7.5" customHeight="1">
      <c r="E21" s="52"/>
      <c r="F21" s="50"/>
      <c r="G21" s="50"/>
      <c r="L21" s="53"/>
      <c r="M21" s="53"/>
      <c r="N21" s="54"/>
    </row>
    <row r="22" spans="1:15" ht="22.5" customHeight="1">
      <c r="A22" s="14" t="s">
        <v>28</v>
      </c>
      <c r="B22" s="14" t="s">
        <v>123</v>
      </c>
      <c r="E22" s="52"/>
      <c r="F22" s="50"/>
      <c r="G22" s="50"/>
      <c r="H22" s="14" t="s">
        <v>61</v>
      </c>
      <c r="J22" s="134">
        <v>6523</v>
      </c>
      <c r="K22" s="135"/>
      <c r="L22" s="136"/>
      <c r="M22" s="53" t="s">
        <v>60</v>
      </c>
      <c r="N22" s="54"/>
    </row>
    <row r="23" spans="1:15" ht="7.5" customHeight="1">
      <c r="E23" s="52"/>
      <c r="F23" s="50"/>
      <c r="G23" s="50"/>
      <c r="L23" s="53"/>
      <c r="M23" s="53"/>
      <c r="N23" s="54"/>
    </row>
    <row r="24" spans="1:15" ht="22.5" customHeight="1">
      <c r="B24" s="55" t="s">
        <v>21</v>
      </c>
      <c r="C24" s="128">
        <v>1562</v>
      </c>
      <c r="D24" s="129"/>
      <c r="E24" s="52" t="s">
        <v>26</v>
      </c>
      <c r="F24" s="50"/>
      <c r="G24" s="133" t="s">
        <v>22</v>
      </c>
      <c r="H24" s="133"/>
      <c r="I24" s="128">
        <v>1532</v>
      </c>
      <c r="J24" s="129"/>
      <c r="K24" s="46" t="s">
        <v>26</v>
      </c>
      <c r="M24" s="53"/>
      <c r="N24" s="54"/>
      <c r="O24" s="15"/>
    </row>
    <row r="25" spans="1:15" ht="7.5" customHeight="1">
      <c r="B25" s="55"/>
      <c r="C25" s="56"/>
      <c r="D25" s="56"/>
      <c r="E25" s="52"/>
      <c r="F25" s="50"/>
      <c r="G25" s="53"/>
      <c r="H25" s="53"/>
      <c r="I25" s="56"/>
      <c r="J25" s="56"/>
      <c r="K25" s="46"/>
      <c r="M25" s="53"/>
      <c r="N25" s="54"/>
      <c r="O25" s="15"/>
    </row>
    <row r="26" spans="1:15" ht="22.5" customHeight="1">
      <c r="B26" s="55" t="s">
        <v>23</v>
      </c>
      <c r="C26" s="128">
        <v>1633</v>
      </c>
      <c r="D26" s="129"/>
      <c r="E26" s="52" t="s">
        <v>26</v>
      </c>
      <c r="F26" s="50"/>
      <c r="G26" s="133" t="s">
        <v>24</v>
      </c>
      <c r="H26" s="133"/>
      <c r="I26" s="128">
        <v>1796</v>
      </c>
      <c r="J26" s="129"/>
      <c r="K26" s="46" t="s">
        <v>26</v>
      </c>
      <c r="M26" s="53"/>
      <c r="N26" s="54"/>
    </row>
    <row r="27" spans="1:15" ht="7.5" customHeight="1">
      <c r="B27" s="55"/>
      <c r="C27" s="56"/>
      <c r="D27" s="56"/>
      <c r="E27" s="52"/>
      <c r="F27" s="50"/>
      <c r="G27" s="53"/>
      <c r="H27" s="53"/>
      <c r="I27" s="56"/>
      <c r="J27" s="56"/>
      <c r="K27" s="46"/>
      <c r="M27" s="53"/>
      <c r="N27" s="54"/>
    </row>
    <row r="28" spans="1:15" ht="22.5" customHeight="1">
      <c r="B28" s="55" t="s">
        <v>54</v>
      </c>
      <c r="C28" s="128"/>
      <c r="D28" s="129"/>
      <c r="E28" s="52" t="s">
        <v>10</v>
      </c>
      <c r="F28" s="50"/>
      <c r="G28" s="133" t="s">
        <v>55</v>
      </c>
      <c r="H28" s="133"/>
      <c r="I28" s="128"/>
      <c r="J28" s="129"/>
      <c r="K28" s="46" t="s">
        <v>10</v>
      </c>
      <c r="M28" s="53"/>
      <c r="N28" s="54"/>
    </row>
    <row r="29" spans="1:15" ht="7.5" customHeight="1">
      <c r="F29" s="50"/>
      <c r="G29" s="50"/>
      <c r="M29" s="57"/>
      <c r="N29" s="57"/>
    </row>
    <row r="30" spans="1:15" ht="22.5" customHeight="1">
      <c r="A30" s="14" t="s">
        <v>121</v>
      </c>
      <c r="B30" s="43" t="s">
        <v>112</v>
      </c>
      <c r="C30" s="43"/>
      <c r="D30" s="43"/>
      <c r="E30" s="43"/>
      <c r="F30" s="46"/>
      <c r="G30" s="45"/>
      <c r="H30" s="45"/>
      <c r="I30" s="45"/>
      <c r="J30" s="58"/>
      <c r="K30" s="58"/>
      <c r="L30" s="58"/>
      <c r="M30" s="58"/>
      <c r="N30" s="58"/>
    </row>
    <row r="31" spans="1:15" s="15" customFormat="1" ht="22.5" customHeight="1">
      <c r="A31" s="14"/>
      <c r="B31" s="137" t="s">
        <v>111</v>
      </c>
      <c r="C31" s="137"/>
      <c r="D31" s="130" t="s">
        <v>159</v>
      </c>
      <c r="E31" s="131"/>
      <c r="F31" s="131"/>
      <c r="G31" s="138" t="s">
        <v>27</v>
      </c>
      <c r="H31" s="137"/>
      <c r="I31" s="139"/>
      <c r="J31" s="130" t="s">
        <v>149</v>
      </c>
      <c r="K31" s="131"/>
      <c r="L31" s="131"/>
      <c r="M31" s="131"/>
      <c r="N31" s="132"/>
    </row>
    <row r="32" spans="1:15" ht="7.5" customHeight="1">
      <c r="F32" s="50"/>
      <c r="G32" s="50"/>
      <c r="M32" s="57"/>
      <c r="N32" s="57"/>
    </row>
    <row r="33" spans="1:15" ht="22.5" customHeight="1">
      <c r="A33" s="14" t="s">
        <v>59</v>
      </c>
      <c r="B33" s="43" t="s">
        <v>126</v>
      </c>
      <c r="C33" s="43"/>
      <c r="D33" s="43"/>
      <c r="E33" s="43"/>
      <c r="F33" s="46"/>
      <c r="G33" s="58"/>
      <c r="H33" s="58"/>
      <c r="I33" s="58"/>
      <c r="J33" s="58"/>
      <c r="K33" s="58"/>
      <c r="L33" s="58"/>
      <c r="M33" s="58"/>
      <c r="N33" s="58"/>
    </row>
    <row r="34" spans="1:15" ht="22.5" customHeight="1">
      <c r="B34" s="130" t="s">
        <v>150</v>
      </c>
      <c r="C34" s="131"/>
      <c r="D34" s="131"/>
      <c r="E34" s="131"/>
      <c r="F34" s="131"/>
      <c r="G34" s="131"/>
      <c r="H34" s="131"/>
      <c r="I34" s="131"/>
      <c r="J34" s="131"/>
      <c r="K34" s="131"/>
      <c r="L34" s="131"/>
      <c r="M34" s="131"/>
      <c r="N34" s="132"/>
    </row>
    <row r="35" spans="1:15" ht="7.5" customHeight="1">
      <c r="B35" s="59"/>
      <c r="C35" s="59"/>
      <c r="D35" s="59"/>
      <c r="E35" s="59"/>
      <c r="F35" s="59"/>
      <c r="G35" s="59"/>
      <c r="H35" s="59"/>
      <c r="I35" s="59"/>
      <c r="J35" s="59"/>
      <c r="K35" s="59"/>
      <c r="L35" s="59"/>
      <c r="M35" s="59"/>
      <c r="N35" s="59"/>
    </row>
    <row r="36" spans="1:15" s="15" customFormat="1" ht="22.5" customHeight="1">
      <c r="A36" s="14"/>
      <c r="B36" s="137" t="s">
        <v>111</v>
      </c>
      <c r="C36" s="137"/>
      <c r="D36" s="130" t="s">
        <v>154</v>
      </c>
      <c r="E36" s="131"/>
      <c r="F36" s="131"/>
      <c r="G36" s="138" t="s">
        <v>64</v>
      </c>
      <c r="H36" s="137"/>
      <c r="I36" s="139"/>
      <c r="J36" s="130" t="s">
        <v>178</v>
      </c>
      <c r="K36" s="131"/>
      <c r="L36" s="131"/>
      <c r="M36" s="131"/>
      <c r="N36" s="132"/>
    </row>
    <row r="37" spans="1:15" ht="7.5" customHeight="1">
      <c r="F37" s="45"/>
      <c r="G37" s="45"/>
      <c r="H37" s="45"/>
      <c r="I37" s="45"/>
      <c r="J37" s="45"/>
      <c r="K37" s="45"/>
      <c r="L37" s="45"/>
      <c r="M37" s="45"/>
      <c r="N37" s="45"/>
    </row>
    <row r="38" spans="1:15" ht="22.5" customHeight="1">
      <c r="A38" s="14" t="s">
        <v>63</v>
      </c>
      <c r="B38" s="14" t="s">
        <v>127</v>
      </c>
      <c r="M38" s="57"/>
      <c r="N38" s="57"/>
    </row>
    <row r="39" spans="1:15" ht="22.5" customHeight="1">
      <c r="B39" s="130" t="s">
        <v>169</v>
      </c>
      <c r="C39" s="131"/>
      <c r="D39" s="131"/>
      <c r="E39" s="131"/>
      <c r="F39" s="131"/>
      <c r="G39" s="131"/>
      <c r="H39" s="131"/>
      <c r="I39" s="131"/>
      <c r="J39" s="131"/>
      <c r="K39" s="131"/>
      <c r="L39" s="131"/>
      <c r="M39" s="131"/>
      <c r="N39" s="132"/>
      <c r="O39" s="82"/>
    </row>
    <row r="40" spans="1:15" ht="7.5" customHeight="1">
      <c r="F40" s="45"/>
      <c r="G40" s="45"/>
      <c r="H40" s="45"/>
      <c r="I40" s="45"/>
      <c r="J40" s="45"/>
      <c r="K40" s="45"/>
      <c r="L40" s="45"/>
      <c r="M40" s="45"/>
      <c r="N40" s="45"/>
    </row>
    <row r="41" spans="1:15" s="15" customFormat="1" ht="22.5" customHeight="1">
      <c r="A41" s="14"/>
      <c r="B41" s="137" t="s">
        <v>111</v>
      </c>
      <c r="C41" s="137"/>
      <c r="D41" s="130" t="s">
        <v>167</v>
      </c>
      <c r="E41" s="131"/>
      <c r="F41" s="131"/>
      <c r="G41" s="138" t="s">
        <v>64</v>
      </c>
      <c r="H41" s="137"/>
      <c r="I41" s="139"/>
      <c r="J41" s="130" t="s">
        <v>166</v>
      </c>
      <c r="K41" s="131"/>
      <c r="L41" s="131"/>
      <c r="M41" s="131"/>
      <c r="N41" s="132"/>
    </row>
    <row r="42" spans="1:15" ht="7.5" customHeight="1">
      <c r="F42" s="45"/>
      <c r="G42" s="45"/>
      <c r="H42" s="45"/>
      <c r="I42" s="45"/>
      <c r="J42" s="45"/>
      <c r="K42" s="45"/>
      <c r="L42" s="45"/>
      <c r="M42" s="45"/>
      <c r="N42" s="45"/>
    </row>
    <row r="43" spans="1:15" ht="22.5" customHeight="1">
      <c r="A43" s="14" t="s">
        <v>71</v>
      </c>
      <c r="B43" s="27" t="s">
        <v>89</v>
      </c>
      <c r="E43" s="22"/>
      <c r="F43" s="130" t="s">
        <v>145</v>
      </c>
      <c r="G43" s="131"/>
      <c r="H43" s="131"/>
      <c r="I43" s="131"/>
      <c r="J43" s="131"/>
      <c r="K43" s="131"/>
      <c r="L43" s="131"/>
      <c r="M43" s="131"/>
      <c r="N43" s="132"/>
    </row>
    <row r="44" spans="1:15" ht="7.5" customHeight="1">
      <c r="F44" s="45"/>
      <c r="G44" s="45"/>
      <c r="H44" s="45"/>
      <c r="I44" s="45"/>
      <c r="J44" s="45"/>
      <c r="K44" s="45"/>
      <c r="L44" s="45"/>
      <c r="M44" s="45"/>
      <c r="N44" s="45"/>
    </row>
    <row r="45" spans="1:15" ht="22.5" customHeight="1">
      <c r="A45" s="14" t="s">
        <v>3</v>
      </c>
    </row>
    <row r="46" spans="1:15" ht="22.5" customHeight="1">
      <c r="B46" s="60" t="s">
        <v>1</v>
      </c>
      <c r="C46" s="155" t="s">
        <v>157</v>
      </c>
      <c r="D46" s="156"/>
      <c r="E46" s="156"/>
      <c r="F46" s="156"/>
      <c r="G46" s="156"/>
      <c r="H46" s="156"/>
      <c r="I46" s="61" t="s">
        <v>2</v>
      </c>
      <c r="J46" s="62"/>
      <c r="K46" s="130" t="s">
        <v>156</v>
      </c>
      <c r="L46" s="131"/>
      <c r="M46" s="131"/>
      <c r="N46" s="132"/>
    </row>
    <row r="47" spans="1:15" ht="22.5" customHeight="1">
      <c r="B47" s="60" t="s">
        <v>5</v>
      </c>
      <c r="C47" s="149" t="s">
        <v>158</v>
      </c>
      <c r="D47" s="150"/>
      <c r="E47" s="150"/>
      <c r="F47" s="150"/>
      <c r="G47" s="150"/>
      <c r="H47" s="151"/>
      <c r="I47" s="61" t="s">
        <v>4</v>
      </c>
      <c r="J47" s="62"/>
      <c r="K47" s="152" t="s">
        <v>155</v>
      </c>
      <c r="L47" s="153"/>
      <c r="M47" s="153"/>
      <c r="N47" s="154"/>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K20:N20"/>
    <mergeCell ref="E20:F20"/>
    <mergeCell ref="J41:N41"/>
    <mergeCell ref="B34:N34"/>
    <mergeCell ref="B39:N39"/>
    <mergeCell ref="G28:H28"/>
    <mergeCell ref="I28:J28"/>
    <mergeCell ref="J22:L22"/>
    <mergeCell ref="G24:H24"/>
    <mergeCell ref="B31:C31"/>
    <mergeCell ref="D31:F31"/>
    <mergeCell ref="G31:I31"/>
    <mergeCell ref="C28:D28"/>
  </mergeCells>
  <phoneticPr fontId="3"/>
  <dataValidations count="2">
    <dataValidation type="list" allowBlank="1" showInputMessage="1" showErrorMessage="1" sqref="C8">
      <formula1>"国立大学, 公立大学, 私立大学, 短期大学, 高等専門学校, その他"</formula1>
    </dataValidation>
    <dataValidation type="list" allowBlank="1" showInputMessage="1" showErrorMessage="1" sqref="F43">
      <formula1>"認定教育プログラム,認定教育プログラムと認定教育プログラム+（プラス）"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zoomScaleNormal="100" workbookViewId="0"/>
  </sheetViews>
  <sheetFormatPr defaultColWidth="9" defaultRowHeight="18.75" customHeight="1"/>
  <cols>
    <col min="1" max="2" width="2.5" style="14" customWidth="1"/>
    <col min="3" max="3" width="20" style="14" customWidth="1"/>
    <col min="4" max="4" width="8.625" style="14" customWidth="1"/>
    <col min="5" max="5" width="7.5" style="14" customWidth="1"/>
    <col min="6" max="6" width="2.5" style="14" customWidth="1"/>
    <col min="7" max="7" width="15" style="14" customWidth="1"/>
    <col min="8" max="8" width="12.5" style="14" customWidth="1"/>
    <col min="9" max="9" width="11.125" style="14" customWidth="1"/>
    <col min="10" max="16384" width="9" style="14"/>
  </cols>
  <sheetData>
    <row r="1" spans="1:9" ht="18.75" customHeight="1">
      <c r="I1" s="114" t="s">
        <v>152</v>
      </c>
    </row>
    <row r="2" spans="1:9" ht="18.75" customHeight="1">
      <c r="G2" s="17" t="s">
        <v>32</v>
      </c>
      <c r="H2" s="175" t="s">
        <v>143</v>
      </c>
      <c r="I2" s="175"/>
    </row>
    <row r="3" spans="1:9" ht="7.5" customHeight="1"/>
    <row r="4" spans="1:9" ht="18.75" customHeight="1">
      <c r="A4" s="176" t="s">
        <v>87</v>
      </c>
      <c r="B4" s="176"/>
      <c r="C4" s="176"/>
      <c r="D4" s="176"/>
      <c r="E4" s="176"/>
      <c r="F4" s="176"/>
      <c r="G4" s="176"/>
      <c r="H4" s="176"/>
      <c r="I4" s="176"/>
    </row>
    <row r="5" spans="1:9" ht="7.5" customHeight="1">
      <c r="C5" s="117"/>
      <c r="D5" s="117"/>
      <c r="E5" s="117"/>
      <c r="F5" s="117"/>
      <c r="G5" s="117"/>
      <c r="H5" s="117"/>
      <c r="I5" s="117"/>
    </row>
    <row r="6" spans="1:9" ht="18.75" customHeight="1">
      <c r="A6" s="14" t="s">
        <v>7</v>
      </c>
      <c r="B6" s="14" t="s">
        <v>98</v>
      </c>
      <c r="C6" s="117"/>
      <c r="D6" s="117"/>
      <c r="E6" s="172" t="s">
        <v>139</v>
      </c>
      <c r="F6" s="173"/>
      <c r="G6" s="173"/>
      <c r="H6" s="173"/>
      <c r="I6" s="174"/>
    </row>
    <row r="7" spans="1:9" ht="7.5" customHeight="1">
      <c r="C7" s="117"/>
      <c r="D7" s="117"/>
      <c r="F7" s="25"/>
      <c r="G7" s="25"/>
      <c r="H7" s="25"/>
      <c r="I7" s="25"/>
    </row>
    <row r="8" spans="1:9" ht="18.75" customHeight="1">
      <c r="A8" s="14" t="s">
        <v>12</v>
      </c>
      <c r="B8" s="14" t="s">
        <v>99</v>
      </c>
      <c r="C8" s="117"/>
      <c r="D8" s="117"/>
      <c r="E8" s="117"/>
      <c r="F8" s="117"/>
      <c r="G8" s="117"/>
      <c r="H8" s="117"/>
      <c r="I8" s="117"/>
    </row>
    <row r="9" spans="1:9" ht="18.75" customHeight="1">
      <c r="B9" s="160" t="s">
        <v>213</v>
      </c>
      <c r="C9" s="161"/>
      <c r="D9" s="161"/>
      <c r="E9" s="161"/>
      <c r="F9" s="161"/>
      <c r="G9" s="161"/>
      <c r="H9" s="161"/>
      <c r="I9" s="162"/>
    </row>
    <row r="10" spans="1:9" ht="18.75" customHeight="1">
      <c r="B10" s="163"/>
      <c r="C10" s="164"/>
      <c r="D10" s="164"/>
      <c r="E10" s="164"/>
      <c r="F10" s="164"/>
      <c r="G10" s="164"/>
      <c r="H10" s="164"/>
      <c r="I10" s="165"/>
    </row>
    <row r="11" spans="1:9" ht="18.75" customHeight="1">
      <c r="B11" s="163"/>
      <c r="C11" s="164"/>
      <c r="D11" s="164"/>
      <c r="E11" s="164"/>
      <c r="F11" s="164"/>
      <c r="G11" s="164"/>
      <c r="H11" s="164"/>
      <c r="I11" s="165"/>
    </row>
    <row r="12" spans="1:9" ht="18.75" customHeight="1">
      <c r="B12" s="163"/>
      <c r="C12" s="164"/>
      <c r="D12" s="164"/>
      <c r="E12" s="164"/>
      <c r="F12" s="164"/>
      <c r="G12" s="164"/>
      <c r="H12" s="164"/>
      <c r="I12" s="165"/>
    </row>
    <row r="13" spans="1:9" ht="18.75" customHeight="1">
      <c r="B13" s="163"/>
      <c r="C13" s="164"/>
      <c r="D13" s="164"/>
      <c r="E13" s="164"/>
      <c r="F13" s="164"/>
      <c r="G13" s="164"/>
      <c r="H13" s="164"/>
      <c r="I13" s="165"/>
    </row>
    <row r="14" spans="1:9" ht="18.75" customHeight="1">
      <c r="B14" s="163"/>
      <c r="C14" s="164"/>
      <c r="D14" s="164"/>
      <c r="E14" s="164"/>
      <c r="F14" s="164"/>
      <c r="G14" s="164"/>
      <c r="H14" s="164"/>
      <c r="I14" s="165"/>
    </row>
    <row r="15" spans="1:9" ht="18.75" customHeight="1">
      <c r="B15" s="163"/>
      <c r="C15" s="164"/>
      <c r="D15" s="164"/>
      <c r="E15" s="164"/>
      <c r="F15" s="164"/>
      <c r="G15" s="164"/>
      <c r="H15" s="164"/>
      <c r="I15" s="165"/>
    </row>
    <row r="16" spans="1:9" ht="18.75" customHeight="1">
      <c r="B16" s="166"/>
      <c r="C16" s="167"/>
      <c r="D16" s="167"/>
      <c r="E16" s="167"/>
      <c r="F16" s="167"/>
      <c r="G16" s="167"/>
      <c r="H16" s="167"/>
      <c r="I16" s="168"/>
    </row>
    <row r="17" spans="1:10" ht="7.5" customHeight="1">
      <c r="C17" s="117"/>
      <c r="D17" s="117"/>
      <c r="E17" s="117"/>
      <c r="F17" s="117"/>
      <c r="G17" s="117"/>
      <c r="H17" s="117"/>
      <c r="I17" s="117"/>
    </row>
    <row r="18" spans="1:10" ht="18.75" customHeight="1">
      <c r="A18" s="117" t="s">
        <v>13</v>
      </c>
      <c r="B18" s="16" t="s">
        <v>100</v>
      </c>
      <c r="C18" s="16"/>
      <c r="D18" s="16"/>
      <c r="E18" s="16"/>
      <c r="F18" s="117"/>
      <c r="G18" s="117"/>
      <c r="H18" s="117"/>
      <c r="I18" s="117"/>
      <c r="J18" s="117"/>
    </row>
    <row r="19" spans="1:10" ht="18.75" customHeight="1">
      <c r="A19" s="177" t="s">
        <v>100</v>
      </c>
      <c r="B19" s="177"/>
      <c r="C19" s="177"/>
      <c r="D19" s="177"/>
      <c r="E19" s="177"/>
      <c r="F19" s="178" t="s">
        <v>100</v>
      </c>
      <c r="G19" s="178"/>
      <c r="H19" s="178"/>
      <c r="I19" s="178"/>
    </row>
    <row r="20" spans="1:10" ht="18.75" customHeight="1">
      <c r="A20" s="87">
        <v>1</v>
      </c>
      <c r="B20" s="157" t="s">
        <v>189</v>
      </c>
      <c r="C20" s="158"/>
      <c r="D20" s="158"/>
      <c r="E20" s="159"/>
      <c r="F20" s="26">
        <v>26</v>
      </c>
      <c r="G20" s="169"/>
      <c r="H20" s="170"/>
      <c r="I20" s="171"/>
      <c r="J20" s="15"/>
    </row>
    <row r="21" spans="1:10" ht="18.75" customHeight="1">
      <c r="A21" s="87">
        <v>2</v>
      </c>
      <c r="B21" s="157" t="s">
        <v>187</v>
      </c>
      <c r="C21" s="158"/>
      <c r="D21" s="158"/>
      <c r="E21" s="159"/>
      <c r="F21" s="26">
        <v>27</v>
      </c>
      <c r="G21" s="169"/>
      <c r="H21" s="170"/>
      <c r="I21" s="171"/>
    </row>
    <row r="22" spans="1:10" ht="18.75" customHeight="1">
      <c r="A22" s="87">
        <v>3</v>
      </c>
      <c r="B22" s="157" t="s">
        <v>190</v>
      </c>
      <c r="C22" s="158"/>
      <c r="D22" s="158"/>
      <c r="E22" s="159"/>
      <c r="F22" s="26">
        <v>28</v>
      </c>
      <c r="G22" s="169"/>
      <c r="H22" s="170"/>
      <c r="I22" s="171"/>
    </row>
    <row r="23" spans="1:10" ht="18.75" customHeight="1">
      <c r="A23" s="87">
        <v>4</v>
      </c>
      <c r="B23" s="157" t="s">
        <v>188</v>
      </c>
      <c r="C23" s="158"/>
      <c r="D23" s="158"/>
      <c r="E23" s="159"/>
      <c r="F23" s="26">
        <v>29</v>
      </c>
      <c r="G23" s="169"/>
      <c r="H23" s="170"/>
      <c r="I23" s="171"/>
    </row>
    <row r="24" spans="1:10" ht="18.75" customHeight="1">
      <c r="A24" s="87">
        <v>5</v>
      </c>
      <c r="B24" s="157" t="s">
        <v>191</v>
      </c>
      <c r="C24" s="158"/>
      <c r="D24" s="158"/>
      <c r="E24" s="159"/>
      <c r="F24" s="26">
        <v>30</v>
      </c>
      <c r="G24" s="169"/>
      <c r="H24" s="170"/>
      <c r="I24" s="171"/>
    </row>
    <row r="25" spans="1:10" ht="18.75" customHeight="1">
      <c r="A25" s="87">
        <v>6</v>
      </c>
      <c r="B25" s="157" t="s">
        <v>192</v>
      </c>
      <c r="C25" s="158"/>
      <c r="D25" s="158"/>
      <c r="E25" s="159"/>
      <c r="F25" s="26">
        <v>31</v>
      </c>
      <c r="G25" s="169"/>
      <c r="H25" s="170"/>
      <c r="I25" s="171"/>
    </row>
    <row r="26" spans="1:10" ht="18.75" customHeight="1">
      <c r="A26" s="87">
        <v>7</v>
      </c>
      <c r="B26" s="157" t="s">
        <v>209</v>
      </c>
      <c r="C26" s="158"/>
      <c r="D26" s="158"/>
      <c r="E26" s="159"/>
      <c r="F26" s="26">
        <v>32</v>
      </c>
      <c r="G26" s="169"/>
      <c r="H26" s="170"/>
      <c r="I26" s="171"/>
    </row>
    <row r="27" spans="1:10" ht="18.75" customHeight="1">
      <c r="A27" s="87">
        <v>8</v>
      </c>
      <c r="B27" s="157" t="s">
        <v>193</v>
      </c>
      <c r="C27" s="158"/>
      <c r="D27" s="158"/>
      <c r="E27" s="159"/>
      <c r="F27" s="26">
        <v>33</v>
      </c>
      <c r="G27" s="169"/>
      <c r="H27" s="170"/>
      <c r="I27" s="171"/>
    </row>
    <row r="28" spans="1:10" ht="18.75" customHeight="1">
      <c r="A28" s="87">
        <v>9</v>
      </c>
      <c r="B28" s="157" t="s">
        <v>194</v>
      </c>
      <c r="C28" s="158"/>
      <c r="D28" s="158"/>
      <c r="E28" s="159"/>
      <c r="F28" s="26">
        <v>34</v>
      </c>
      <c r="G28" s="169"/>
      <c r="H28" s="170"/>
      <c r="I28" s="171"/>
    </row>
    <row r="29" spans="1:10" ht="18.75" customHeight="1">
      <c r="A29" s="87">
        <v>10</v>
      </c>
      <c r="B29" s="157" t="s">
        <v>140</v>
      </c>
      <c r="C29" s="158"/>
      <c r="D29" s="158"/>
      <c r="E29" s="159"/>
      <c r="F29" s="26">
        <v>35</v>
      </c>
      <c r="G29" s="169"/>
      <c r="H29" s="170"/>
      <c r="I29" s="171"/>
    </row>
    <row r="30" spans="1:10" ht="18.75" customHeight="1">
      <c r="A30" s="87">
        <v>11</v>
      </c>
      <c r="B30" s="157" t="s">
        <v>210</v>
      </c>
      <c r="C30" s="158"/>
      <c r="D30" s="158"/>
      <c r="E30" s="159"/>
      <c r="F30" s="26">
        <v>36</v>
      </c>
      <c r="G30" s="169"/>
      <c r="H30" s="170"/>
      <c r="I30" s="171"/>
    </row>
    <row r="31" spans="1:10" ht="18.75" customHeight="1">
      <c r="A31" s="87">
        <v>12</v>
      </c>
      <c r="B31" s="157" t="s">
        <v>211</v>
      </c>
      <c r="C31" s="158"/>
      <c r="D31" s="158"/>
      <c r="E31" s="159"/>
      <c r="F31" s="26">
        <v>37</v>
      </c>
      <c r="G31" s="169"/>
      <c r="H31" s="170"/>
      <c r="I31" s="171"/>
    </row>
    <row r="32" spans="1:10" ht="18.75" customHeight="1">
      <c r="A32" s="87">
        <v>13</v>
      </c>
      <c r="B32" s="157" t="s">
        <v>170</v>
      </c>
      <c r="C32" s="158"/>
      <c r="D32" s="158"/>
      <c r="E32" s="159"/>
      <c r="F32" s="26">
        <v>38</v>
      </c>
      <c r="G32" s="169"/>
      <c r="H32" s="170"/>
      <c r="I32" s="171"/>
    </row>
    <row r="33" spans="1:9" ht="18.75" customHeight="1">
      <c r="A33" s="87">
        <v>14</v>
      </c>
      <c r="B33" s="157" t="s">
        <v>141</v>
      </c>
      <c r="C33" s="158"/>
      <c r="D33" s="158"/>
      <c r="E33" s="159"/>
      <c r="F33" s="26">
        <v>39</v>
      </c>
      <c r="G33" s="169"/>
      <c r="H33" s="170"/>
      <c r="I33" s="171"/>
    </row>
    <row r="34" spans="1:9" ht="18.75" customHeight="1">
      <c r="A34" s="87">
        <v>15</v>
      </c>
      <c r="B34" s="157"/>
      <c r="C34" s="158"/>
      <c r="D34" s="158"/>
      <c r="E34" s="159"/>
      <c r="F34" s="26">
        <v>40</v>
      </c>
      <c r="G34" s="169"/>
      <c r="H34" s="170"/>
      <c r="I34" s="171"/>
    </row>
    <row r="35" spans="1:9" ht="18.75" customHeight="1">
      <c r="A35" s="87">
        <v>16</v>
      </c>
      <c r="B35" s="157"/>
      <c r="C35" s="158"/>
      <c r="D35" s="158"/>
      <c r="E35" s="159"/>
      <c r="F35" s="26">
        <v>41</v>
      </c>
      <c r="G35" s="169"/>
      <c r="H35" s="170"/>
      <c r="I35" s="171"/>
    </row>
    <row r="36" spans="1:9" ht="18.75" customHeight="1">
      <c r="A36" s="87">
        <v>17</v>
      </c>
      <c r="B36" s="157"/>
      <c r="C36" s="158"/>
      <c r="D36" s="158"/>
      <c r="E36" s="159"/>
      <c r="F36" s="26">
        <v>42</v>
      </c>
      <c r="G36" s="169"/>
      <c r="H36" s="170"/>
      <c r="I36" s="171"/>
    </row>
    <row r="37" spans="1:9" ht="18.75" customHeight="1">
      <c r="A37" s="26">
        <v>18</v>
      </c>
      <c r="B37" s="169"/>
      <c r="C37" s="170"/>
      <c r="D37" s="170"/>
      <c r="E37" s="171"/>
      <c r="F37" s="26">
        <v>43</v>
      </c>
      <c r="G37" s="169"/>
      <c r="H37" s="170"/>
      <c r="I37" s="171"/>
    </row>
    <row r="38" spans="1:9" ht="18.75" customHeight="1">
      <c r="A38" s="26">
        <v>19</v>
      </c>
      <c r="B38" s="169"/>
      <c r="C38" s="170"/>
      <c r="D38" s="170"/>
      <c r="E38" s="171"/>
      <c r="F38" s="26">
        <v>44</v>
      </c>
      <c r="G38" s="169"/>
      <c r="H38" s="170"/>
      <c r="I38" s="171"/>
    </row>
    <row r="39" spans="1:9" ht="18.75" customHeight="1">
      <c r="A39" s="26">
        <v>20</v>
      </c>
      <c r="B39" s="169"/>
      <c r="C39" s="170"/>
      <c r="D39" s="170"/>
      <c r="E39" s="171"/>
      <c r="F39" s="26">
        <v>45</v>
      </c>
      <c r="G39" s="169"/>
      <c r="H39" s="170"/>
      <c r="I39" s="171"/>
    </row>
    <row r="40" spans="1:9" ht="18.75" customHeight="1">
      <c r="A40" s="26">
        <v>21</v>
      </c>
      <c r="B40" s="169"/>
      <c r="C40" s="170"/>
      <c r="D40" s="170"/>
      <c r="E40" s="171"/>
      <c r="F40" s="26">
        <v>46</v>
      </c>
      <c r="G40" s="169"/>
      <c r="H40" s="170"/>
      <c r="I40" s="171"/>
    </row>
    <row r="41" spans="1:9" ht="18.75" customHeight="1">
      <c r="A41" s="26">
        <v>22</v>
      </c>
      <c r="B41" s="169"/>
      <c r="C41" s="170"/>
      <c r="D41" s="170"/>
      <c r="E41" s="171"/>
      <c r="F41" s="26">
        <v>47</v>
      </c>
      <c r="G41" s="169"/>
      <c r="H41" s="170"/>
      <c r="I41" s="171"/>
    </row>
    <row r="42" spans="1:9" ht="18.75" customHeight="1">
      <c r="A42" s="26">
        <v>23</v>
      </c>
      <c r="B42" s="169"/>
      <c r="C42" s="170"/>
      <c r="D42" s="170"/>
      <c r="E42" s="171"/>
      <c r="F42" s="26">
        <v>48</v>
      </c>
      <c r="G42" s="169"/>
      <c r="H42" s="170"/>
      <c r="I42" s="171"/>
    </row>
    <row r="43" spans="1:9" ht="18.75" customHeight="1">
      <c r="A43" s="26">
        <v>24</v>
      </c>
      <c r="B43" s="169"/>
      <c r="C43" s="170"/>
      <c r="D43" s="170"/>
      <c r="E43" s="171"/>
      <c r="F43" s="26">
        <v>49</v>
      </c>
      <c r="G43" s="169"/>
      <c r="H43" s="170"/>
      <c r="I43" s="171"/>
    </row>
    <row r="44" spans="1:9" ht="18.75" customHeight="1">
      <c r="A44" s="26">
        <v>25</v>
      </c>
      <c r="B44" s="169"/>
      <c r="C44" s="170"/>
      <c r="D44" s="170"/>
      <c r="E44" s="171"/>
      <c r="F44" s="26">
        <v>50</v>
      </c>
      <c r="G44" s="169"/>
      <c r="H44" s="170"/>
      <c r="I44" s="171"/>
    </row>
  </sheetData>
  <mergeCells count="56">
    <mergeCell ref="G44:I44"/>
    <mergeCell ref="G39:I39"/>
    <mergeCell ref="G40:I40"/>
    <mergeCell ref="G41:I41"/>
    <mergeCell ref="G42:I42"/>
    <mergeCell ref="G43:I43"/>
    <mergeCell ref="G34:I34"/>
    <mergeCell ref="G35:I35"/>
    <mergeCell ref="G36:I36"/>
    <mergeCell ref="G37:I37"/>
    <mergeCell ref="G38:I38"/>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B35:E35"/>
    <mergeCell ref="B36:E36"/>
    <mergeCell ref="B37:E37"/>
    <mergeCell ref="B38:E38"/>
    <mergeCell ref="B29:E29"/>
    <mergeCell ref="B30:E30"/>
    <mergeCell ref="B31:E31"/>
    <mergeCell ref="B32:E32"/>
    <mergeCell ref="B33:E33"/>
    <mergeCell ref="E6:I6"/>
    <mergeCell ref="H2:I2"/>
    <mergeCell ref="A4:I4"/>
    <mergeCell ref="A19:E19"/>
    <mergeCell ref="F19:I19"/>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s>
  <phoneticPr fontId="3"/>
  <dataValidations count="2">
    <dataValidation type="list" allowBlank="1" showInputMessage="1" showErrorMessage="1" sqref="F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9"/>
  <sheetViews>
    <sheetView zoomScaleNormal="100" workbookViewId="0"/>
  </sheetViews>
  <sheetFormatPr defaultColWidth="9" defaultRowHeight="18.75" customHeight="1"/>
  <cols>
    <col min="1" max="1" width="2.5" style="1" customWidth="1"/>
    <col min="2" max="2" width="12.5" style="1" customWidth="1"/>
    <col min="3" max="3" width="21" style="1" customWidth="1"/>
    <col min="4" max="4" width="6.125" style="78" customWidth="1"/>
    <col min="5" max="18" width="6.125" style="1" customWidth="1"/>
    <col min="19" max="16384" width="9" style="1"/>
  </cols>
  <sheetData>
    <row r="1" spans="1:20" ht="18.75" customHeight="1">
      <c r="F1" s="191" t="s">
        <v>73</v>
      </c>
      <c r="G1" s="191"/>
      <c r="H1" s="191"/>
      <c r="I1" s="191"/>
      <c r="J1" s="191"/>
      <c r="K1" s="191"/>
      <c r="L1" s="191"/>
      <c r="M1" s="191"/>
      <c r="N1" s="191"/>
      <c r="O1" s="191"/>
      <c r="P1" s="191"/>
      <c r="Q1" s="191"/>
      <c r="R1" s="191"/>
    </row>
    <row r="2" spans="1:20" ht="18.75" customHeight="1">
      <c r="D2" s="79"/>
      <c r="E2" s="36"/>
      <c r="F2" s="36"/>
      <c r="G2" s="36"/>
      <c r="H2" s="36"/>
      <c r="I2" s="36"/>
      <c r="J2" s="36"/>
      <c r="K2" s="191" t="s">
        <v>65</v>
      </c>
      <c r="L2" s="191"/>
      <c r="M2" s="5" t="s">
        <v>142</v>
      </c>
      <c r="N2" s="36"/>
      <c r="O2" s="36"/>
      <c r="P2" s="36"/>
      <c r="Q2" s="36"/>
      <c r="R2" s="36"/>
    </row>
    <row r="3" spans="1:20" ht="7.5" customHeight="1"/>
    <row r="4" spans="1:20" ht="18.75" customHeight="1">
      <c r="A4" s="201" t="s">
        <v>119</v>
      </c>
      <c r="B4" s="201"/>
      <c r="C4" s="201"/>
      <c r="D4" s="201"/>
      <c r="E4" s="201"/>
      <c r="F4" s="201"/>
      <c r="G4" s="201"/>
      <c r="H4" s="201"/>
      <c r="I4" s="201"/>
      <c r="J4" s="201"/>
      <c r="K4" s="201"/>
      <c r="L4" s="201"/>
      <c r="M4" s="201"/>
      <c r="N4" s="201"/>
      <c r="O4" s="201"/>
      <c r="P4" s="201"/>
      <c r="Q4" s="201"/>
      <c r="R4" s="201"/>
      <c r="S4" s="5"/>
    </row>
    <row r="5" spans="1:20" ht="7.5" customHeight="1">
      <c r="A5" s="35"/>
      <c r="B5" s="35"/>
      <c r="C5" s="35"/>
      <c r="D5" s="80"/>
      <c r="E5" s="35"/>
      <c r="F5" s="35"/>
      <c r="G5" s="35"/>
      <c r="H5" s="35"/>
      <c r="I5" s="35"/>
      <c r="J5" s="35"/>
      <c r="K5" s="35"/>
      <c r="L5" s="35"/>
      <c r="M5" s="35"/>
      <c r="N5" s="35"/>
      <c r="O5" s="35"/>
      <c r="P5" s="35"/>
      <c r="Q5" s="35"/>
      <c r="R5" s="35"/>
    </row>
    <row r="6" spans="1:20" ht="18.75" customHeight="1">
      <c r="B6" s="185" t="s">
        <v>124</v>
      </c>
      <c r="C6" s="186"/>
      <c r="D6" s="192" t="s">
        <v>88</v>
      </c>
      <c r="E6" s="194" t="s">
        <v>113</v>
      </c>
      <c r="F6" s="194"/>
      <c r="G6" s="194" t="s">
        <v>114</v>
      </c>
      <c r="H6" s="194"/>
      <c r="I6" s="195" t="s">
        <v>115</v>
      </c>
      <c r="J6" s="196"/>
      <c r="K6" s="195" t="s">
        <v>116</v>
      </c>
      <c r="L6" s="196"/>
      <c r="M6" s="195" t="s">
        <v>117</v>
      </c>
      <c r="N6" s="196"/>
      <c r="O6" s="195" t="s">
        <v>118</v>
      </c>
      <c r="P6" s="196"/>
      <c r="Q6" s="197" t="s">
        <v>72</v>
      </c>
      <c r="R6" s="199" t="s">
        <v>66</v>
      </c>
      <c r="T6" s="37"/>
    </row>
    <row r="7" spans="1:20" ht="18.75" customHeight="1">
      <c r="B7" s="187"/>
      <c r="C7" s="188"/>
      <c r="D7" s="193"/>
      <c r="E7" s="88" t="s">
        <v>52</v>
      </c>
      <c r="F7" s="89" t="s">
        <v>51</v>
      </c>
      <c r="G7" s="90" t="s">
        <v>52</v>
      </c>
      <c r="H7" s="91" t="s">
        <v>51</v>
      </c>
      <c r="I7" s="88" t="s">
        <v>52</v>
      </c>
      <c r="J7" s="89" t="s">
        <v>51</v>
      </c>
      <c r="K7" s="90" t="s">
        <v>52</v>
      </c>
      <c r="L7" s="91" t="s">
        <v>51</v>
      </c>
      <c r="M7" s="88" t="s">
        <v>52</v>
      </c>
      <c r="N7" s="89" t="s">
        <v>51</v>
      </c>
      <c r="O7" s="90" t="s">
        <v>52</v>
      </c>
      <c r="P7" s="91" t="s">
        <v>51</v>
      </c>
      <c r="Q7" s="198"/>
      <c r="R7" s="200"/>
      <c r="T7" s="37"/>
    </row>
    <row r="8" spans="1:20" ht="18.75" customHeight="1">
      <c r="A8" s="38"/>
      <c r="B8" s="181" t="s">
        <v>161</v>
      </c>
      <c r="C8" s="182"/>
      <c r="D8" s="92">
        <v>2070</v>
      </c>
      <c r="E8" s="93">
        <v>126</v>
      </c>
      <c r="F8" s="94">
        <v>0</v>
      </c>
      <c r="G8" s="95">
        <v>0</v>
      </c>
      <c r="H8" s="96">
        <v>0</v>
      </c>
      <c r="I8" s="93">
        <v>0</v>
      </c>
      <c r="J8" s="94">
        <v>0</v>
      </c>
      <c r="K8" s="95">
        <v>0</v>
      </c>
      <c r="L8" s="96">
        <v>0</v>
      </c>
      <c r="M8" s="93"/>
      <c r="N8" s="94"/>
      <c r="O8" s="95"/>
      <c r="P8" s="96"/>
      <c r="Q8" s="97">
        <f>E8+G8+I8+K8+M8+O8</f>
        <v>126</v>
      </c>
      <c r="R8" s="98">
        <f>Q8/D8</f>
        <v>6.0869565217391307E-2</v>
      </c>
      <c r="S8" s="82"/>
    </row>
    <row r="9" spans="1:20" ht="18.75" customHeight="1">
      <c r="A9" s="38"/>
      <c r="B9" s="179" t="s">
        <v>162</v>
      </c>
      <c r="C9" s="180"/>
      <c r="D9" s="99">
        <v>1000</v>
      </c>
      <c r="E9" s="100">
        <v>50</v>
      </c>
      <c r="F9" s="101">
        <v>0</v>
      </c>
      <c r="G9" s="102">
        <v>0</v>
      </c>
      <c r="H9" s="103">
        <v>0</v>
      </c>
      <c r="I9" s="100">
        <v>0</v>
      </c>
      <c r="J9" s="101">
        <v>0</v>
      </c>
      <c r="K9" s="102">
        <v>0</v>
      </c>
      <c r="L9" s="103">
        <v>0</v>
      </c>
      <c r="M9" s="100"/>
      <c r="N9" s="101"/>
      <c r="O9" s="102"/>
      <c r="P9" s="103"/>
      <c r="Q9" s="104">
        <f t="shared" ref="Q9:Q27" si="0">E9+G9+I9+K9+M9+O9</f>
        <v>50</v>
      </c>
      <c r="R9" s="98">
        <f t="shared" ref="R9:R27" si="1">Q9/D9</f>
        <v>0.05</v>
      </c>
    </row>
    <row r="10" spans="1:20" ht="18.75" customHeight="1">
      <c r="A10" s="38"/>
      <c r="B10" s="179" t="s">
        <v>163</v>
      </c>
      <c r="C10" s="180"/>
      <c r="D10" s="99">
        <v>1360</v>
      </c>
      <c r="E10" s="100">
        <v>48</v>
      </c>
      <c r="F10" s="101">
        <v>0</v>
      </c>
      <c r="G10" s="102">
        <v>0</v>
      </c>
      <c r="H10" s="103">
        <v>0</v>
      </c>
      <c r="I10" s="100">
        <v>0</v>
      </c>
      <c r="J10" s="101">
        <v>0</v>
      </c>
      <c r="K10" s="102">
        <v>0</v>
      </c>
      <c r="L10" s="103">
        <v>0</v>
      </c>
      <c r="M10" s="100"/>
      <c r="N10" s="101"/>
      <c r="O10" s="102"/>
      <c r="P10" s="103"/>
      <c r="Q10" s="104">
        <f t="shared" si="0"/>
        <v>48</v>
      </c>
      <c r="R10" s="98">
        <f t="shared" si="1"/>
        <v>3.5294117647058823E-2</v>
      </c>
    </row>
    <row r="11" spans="1:20" ht="18.75" customHeight="1">
      <c r="A11" s="38"/>
      <c r="B11" s="179" t="s">
        <v>164</v>
      </c>
      <c r="C11" s="180"/>
      <c r="D11" s="99">
        <v>1120</v>
      </c>
      <c r="E11" s="100">
        <v>31</v>
      </c>
      <c r="F11" s="101">
        <v>0</v>
      </c>
      <c r="G11" s="102">
        <v>0</v>
      </c>
      <c r="H11" s="103">
        <v>0</v>
      </c>
      <c r="I11" s="100">
        <v>0</v>
      </c>
      <c r="J11" s="101">
        <v>0</v>
      </c>
      <c r="K11" s="102">
        <v>0</v>
      </c>
      <c r="L11" s="103">
        <v>0</v>
      </c>
      <c r="M11" s="100"/>
      <c r="N11" s="101"/>
      <c r="O11" s="102"/>
      <c r="P11" s="103"/>
      <c r="Q11" s="104">
        <f t="shared" si="0"/>
        <v>31</v>
      </c>
      <c r="R11" s="98">
        <f t="shared" si="1"/>
        <v>2.7678571428571427E-2</v>
      </c>
    </row>
    <row r="12" spans="1:20" ht="18.75" customHeight="1">
      <c r="A12" s="38"/>
      <c r="B12" s="179" t="s">
        <v>165</v>
      </c>
      <c r="C12" s="180"/>
      <c r="D12" s="99">
        <v>600</v>
      </c>
      <c r="E12" s="100">
        <v>49</v>
      </c>
      <c r="F12" s="101">
        <v>0</v>
      </c>
      <c r="G12" s="102">
        <v>0</v>
      </c>
      <c r="H12" s="103">
        <v>0</v>
      </c>
      <c r="I12" s="100">
        <v>0</v>
      </c>
      <c r="J12" s="101">
        <v>0</v>
      </c>
      <c r="K12" s="102">
        <v>0</v>
      </c>
      <c r="L12" s="103">
        <v>0</v>
      </c>
      <c r="M12" s="100"/>
      <c r="N12" s="101"/>
      <c r="O12" s="102"/>
      <c r="P12" s="103"/>
      <c r="Q12" s="104">
        <f t="shared" si="0"/>
        <v>49</v>
      </c>
      <c r="R12" s="98">
        <f t="shared" si="1"/>
        <v>8.1666666666666665E-2</v>
      </c>
    </row>
    <row r="13" spans="1:20" ht="18.75" customHeight="1">
      <c r="A13" s="38"/>
      <c r="B13" s="179"/>
      <c r="C13" s="180"/>
      <c r="D13" s="99"/>
      <c r="E13" s="100"/>
      <c r="F13" s="101"/>
      <c r="G13" s="102"/>
      <c r="H13" s="103"/>
      <c r="I13" s="100"/>
      <c r="J13" s="101"/>
      <c r="K13" s="102"/>
      <c r="L13" s="103"/>
      <c r="M13" s="100"/>
      <c r="N13" s="101"/>
      <c r="O13" s="102"/>
      <c r="P13" s="103"/>
      <c r="Q13" s="104">
        <f t="shared" si="0"/>
        <v>0</v>
      </c>
      <c r="R13" s="98" t="e">
        <f t="shared" si="1"/>
        <v>#DIV/0!</v>
      </c>
    </row>
    <row r="14" spans="1:20" ht="18.75" customHeight="1">
      <c r="A14" s="38"/>
      <c r="B14" s="179"/>
      <c r="C14" s="180"/>
      <c r="D14" s="99"/>
      <c r="E14" s="100"/>
      <c r="F14" s="101"/>
      <c r="G14" s="102"/>
      <c r="H14" s="103"/>
      <c r="I14" s="100"/>
      <c r="J14" s="101"/>
      <c r="K14" s="102"/>
      <c r="L14" s="103"/>
      <c r="M14" s="100"/>
      <c r="N14" s="101"/>
      <c r="O14" s="102"/>
      <c r="P14" s="103"/>
      <c r="Q14" s="104">
        <f t="shared" si="0"/>
        <v>0</v>
      </c>
      <c r="R14" s="98" t="e">
        <f t="shared" si="1"/>
        <v>#DIV/0!</v>
      </c>
    </row>
    <row r="15" spans="1:20" ht="18.75" customHeight="1">
      <c r="A15" s="38"/>
      <c r="B15" s="179"/>
      <c r="C15" s="180"/>
      <c r="D15" s="99"/>
      <c r="E15" s="100"/>
      <c r="F15" s="101"/>
      <c r="G15" s="102"/>
      <c r="H15" s="103"/>
      <c r="I15" s="100"/>
      <c r="J15" s="101"/>
      <c r="K15" s="102"/>
      <c r="L15" s="103"/>
      <c r="M15" s="100"/>
      <c r="N15" s="101"/>
      <c r="O15" s="102"/>
      <c r="P15" s="103"/>
      <c r="Q15" s="104">
        <f t="shared" si="0"/>
        <v>0</v>
      </c>
      <c r="R15" s="98" t="e">
        <f t="shared" si="1"/>
        <v>#DIV/0!</v>
      </c>
    </row>
    <row r="16" spans="1:20" ht="18.75" customHeight="1">
      <c r="A16" s="38"/>
      <c r="B16" s="179"/>
      <c r="C16" s="180"/>
      <c r="D16" s="99"/>
      <c r="E16" s="100"/>
      <c r="F16" s="101"/>
      <c r="G16" s="102"/>
      <c r="H16" s="103"/>
      <c r="I16" s="100"/>
      <c r="J16" s="101"/>
      <c r="K16" s="102"/>
      <c r="L16" s="103"/>
      <c r="M16" s="100"/>
      <c r="N16" s="101"/>
      <c r="O16" s="102"/>
      <c r="P16" s="103"/>
      <c r="Q16" s="104">
        <f>E16+G16+I16+K16+M16+O16</f>
        <v>0</v>
      </c>
      <c r="R16" s="98" t="e">
        <f t="shared" si="1"/>
        <v>#DIV/0!</v>
      </c>
    </row>
    <row r="17" spans="1:18" ht="18.75" customHeight="1">
      <c r="A17" s="38"/>
      <c r="B17" s="179"/>
      <c r="C17" s="180"/>
      <c r="D17" s="99"/>
      <c r="E17" s="100"/>
      <c r="F17" s="101"/>
      <c r="G17" s="102"/>
      <c r="H17" s="103"/>
      <c r="I17" s="100"/>
      <c r="J17" s="101"/>
      <c r="K17" s="102"/>
      <c r="L17" s="103"/>
      <c r="M17" s="100"/>
      <c r="N17" s="101"/>
      <c r="O17" s="102"/>
      <c r="P17" s="103"/>
      <c r="Q17" s="104">
        <f t="shared" si="0"/>
        <v>0</v>
      </c>
      <c r="R17" s="98" t="e">
        <f t="shared" si="1"/>
        <v>#DIV/0!</v>
      </c>
    </row>
    <row r="18" spans="1:18" ht="18.75" customHeight="1">
      <c r="A18" s="38"/>
      <c r="B18" s="179"/>
      <c r="C18" s="180"/>
      <c r="D18" s="99"/>
      <c r="E18" s="100"/>
      <c r="F18" s="101"/>
      <c r="G18" s="102"/>
      <c r="H18" s="103"/>
      <c r="I18" s="100"/>
      <c r="J18" s="101"/>
      <c r="K18" s="102"/>
      <c r="L18" s="103"/>
      <c r="M18" s="100"/>
      <c r="N18" s="101"/>
      <c r="O18" s="102"/>
      <c r="P18" s="103"/>
      <c r="Q18" s="104">
        <f t="shared" si="0"/>
        <v>0</v>
      </c>
      <c r="R18" s="98" t="e">
        <f t="shared" si="1"/>
        <v>#DIV/0!</v>
      </c>
    </row>
    <row r="19" spans="1:18" ht="18.75" customHeight="1">
      <c r="A19" s="38"/>
      <c r="B19" s="179"/>
      <c r="C19" s="180"/>
      <c r="D19" s="99"/>
      <c r="E19" s="100"/>
      <c r="F19" s="101"/>
      <c r="G19" s="102"/>
      <c r="H19" s="103"/>
      <c r="I19" s="100"/>
      <c r="J19" s="101"/>
      <c r="K19" s="102"/>
      <c r="L19" s="103"/>
      <c r="M19" s="100"/>
      <c r="N19" s="101"/>
      <c r="O19" s="102"/>
      <c r="P19" s="103"/>
      <c r="Q19" s="104">
        <f t="shared" si="0"/>
        <v>0</v>
      </c>
      <c r="R19" s="98" t="e">
        <f t="shared" si="1"/>
        <v>#DIV/0!</v>
      </c>
    </row>
    <row r="20" spans="1:18" ht="18.75" customHeight="1">
      <c r="A20" s="38"/>
      <c r="B20" s="179"/>
      <c r="C20" s="180"/>
      <c r="D20" s="99"/>
      <c r="E20" s="100"/>
      <c r="F20" s="101"/>
      <c r="G20" s="102"/>
      <c r="H20" s="103"/>
      <c r="I20" s="100"/>
      <c r="J20" s="101"/>
      <c r="K20" s="102"/>
      <c r="L20" s="103"/>
      <c r="M20" s="100"/>
      <c r="N20" s="101"/>
      <c r="O20" s="102"/>
      <c r="P20" s="103"/>
      <c r="Q20" s="104">
        <f t="shared" si="0"/>
        <v>0</v>
      </c>
      <c r="R20" s="98" t="e">
        <f t="shared" si="1"/>
        <v>#DIV/0!</v>
      </c>
    </row>
    <row r="21" spans="1:18" ht="18.75" customHeight="1">
      <c r="A21" s="38"/>
      <c r="B21" s="179"/>
      <c r="C21" s="180"/>
      <c r="D21" s="99"/>
      <c r="E21" s="100"/>
      <c r="F21" s="101"/>
      <c r="G21" s="102"/>
      <c r="H21" s="103"/>
      <c r="I21" s="100"/>
      <c r="J21" s="101"/>
      <c r="K21" s="102"/>
      <c r="L21" s="103"/>
      <c r="M21" s="100"/>
      <c r="N21" s="101"/>
      <c r="O21" s="102"/>
      <c r="P21" s="103"/>
      <c r="Q21" s="104">
        <f t="shared" si="0"/>
        <v>0</v>
      </c>
      <c r="R21" s="98" t="e">
        <f t="shared" si="1"/>
        <v>#DIV/0!</v>
      </c>
    </row>
    <row r="22" spans="1:18" ht="18.75" customHeight="1">
      <c r="A22" s="38"/>
      <c r="B22" s="179"/>
      <c r="C22" s="180"/>
      <c r="D22" s="99"/>
      <c r="E22" s="100"/>
      <c r="F22" s="101"/>
      <c r="G22" s="102"/>
      <c r="H22" s="103"/>
      <c r="I22" s="100"/>
      <c r="J22" s="101"/>
      <c r="K22" s="102"/>
      <c r="L22" s="103"/>
      <c r="M22" s="100"/>
      <c r="N22" s="101"/>
      <c r="O22" s="102"/>
      <c r="P22" s="103"/>
      <c r="Q22" s="104">
        <f t="shared" si="0"/>
        <v>0</v>
      </c>
      <c r="R22" s="98" t="e">
        <f t="shared" si="1"/>
        <v>#DIV/0!</v>
      </c>
    </row>
    <row r="23" spans="1:18" ht="18.75" customHeight="1">
      <c r="A23" s="38"/>
      <c r="B23" s="179"/>
      <c r="C23" s="180"/>
      <c r="D23" s="99"/>
      <c r="E23" s="100"/>
      <c r="F23" s="101"/>
      <c r="G23" s="102"/>
      <c r="H23" s="103"/>
      <c r="I23" s="100"/>
      <c r="J23" s="101"/>
      <c r="K23" s="102"/>
      <c r="L23" s="103"/>
      <c r="M23" s="100"/>
      <c r="N23" s="101"/>
      <c r="O23" s="102"/>
      <c r="P23" s="103"/>
      <c r="Q23" s="104">
        <f t="shared" si="0"/>
        <v>0</v>
      </c>
      <c r="R23" s="98" t="e">
        <f t="shared" si="1"/>
        <v>#DIV/0!</v>
      </c>
    </row>
    <row r="24" spans="1:18" ht="18.75" customHeight="1">
      <c r="A24" s="38"/>
      <c r="B24" s="179"/>
      <c r="C24" s="180"/>
      <c r="D24" s="99"/>
      <c r="E24" s="100"/>
      <c r="F24" s="101"/>
      <c r="G24" s="102"/>
      <c r="H24" s="103"/>
      <c r="I24" s="100"/>
      <c r="J24" s="101"/>
      <c r="K24" s="102"/>
      <c r="L24" s="103"/>
      <c r="M24" s="100"/>
      <c r="N24" s="101"/>
      <c r="O24" s="102"/>
      <c r="P24" s="103"/>
      <c r="Q24" s="104">
        <f t="shared" si="0"/>
        <v>0</v>
      </c>
      <c r="R24" s="98" t="e">
        <f t="shared" si="1"/>
        <v>#DIV/0!</v>
      </c>
    </row>
    <row r="25" spans="1:18" ht="18.75" customHeight="1">
      <c r="A25" s="38"/>
      <c r="B25" s="179"/>
      <c r="C25" s="180"/>
      <c r="D25" s="99"/>
      <c r="E25" s="100"/>
      <c r="F25" s="101"/>
      <c r="G25" s="102"/>
      <c r="H25" s="103"/>
      <c r="I25" s="100"/>
      <c r="J25" s="101"/>
      <c r="K25" s="102"/>
      <c r="L25" s="103"/>
      <c r="M25" s="100"/>
      <c r="N25" s="101"/>
      <c r="O25" s="102"/>
      <c r="P25" s="103"/>
      <c r="Q25" s="104">
        <f t="shared" si="0"/>
        <v>0</v>
      </c>
      <c r="R25" s="98" t="e">
        <f t="shared" si="1"/>
        <v>#DIV/0!</v>
      </c>
    </row>
    <row r="26" spans="1:18" ht="18.75" customHeight="1">
      <c r="A26" s="38"/>
      <c r="B26" s="179"/>
      <c r="C26" s="180"/>
      <c r="D26" s="99"/>
      <c r="E26" s="100"/>
      <c r="F26" s="101"/>
      <c r="G26" s="102"/>
      <c r="H26" s="103"/>
      <c r="I26" s="100"/>
      <c r="J26" s="101"/>
      <c r="K26" s="102"/>
      <c r="L26" s="103"/>
      <c r="M26" s="100"/>
      <c r="N26" s="101"/>
      <c r="O26" s="102"/>
      <c r="P26" s="103"/>
      <c r="Q26" s="104">
        <f t="shared" si="0"/>
        <v>0</v>
      </c>
      <c r="R26" s="98" t="e">
        <f t="shared" si="1"/>
        <v>#DIV/0!</v>
      </c>
    </row>
    <row r="27" spans="1:18" ht="18.75" customHeight="1" thickBot="1">
      <c r="A27" s="38"/>
      <c r="B27" s="189"/>
      <c r="C27" s="190"/>
      <c r="D27" s="92"/>
      <c r="E27" s="93"/>
      <c r="F27" s="94"/>
      <c r="G27" s="95"/>
      <c r="H27" s="96"/>
      <c r="I27" s="93"/>
      <c r="J27" s="94"/>
      <c r="K27" s="95"/>
      <c r="L27" s="96"/>
      <c r="M27" s="93"/>
      <c r="N27" s="94"/>
      <c r="O27" s="95"/>
      <c r="P27" s="96"/>
      <c r="Q27" s="105">
        <f t="shared" si="0"/>
        <v>0</v>
      </c>
      <c r="R27" s="98" t="e">
        <f t="shared" si="1"/>
        <v>#DIV/0!</v>
      </c>
    </row>
    <row r="28" spans="1:18" ht="18.75" customHeight="1" thickTop="1">
      <c r="A28" s="38"/>
      <c r="B28" s="183" t="s">
        <v>67</v>
      </c>
      <c r="C28" s="184"/>
      <c r="D28" s="106">
        <f t="shared" ref="D28:Q28" si="2">SUM(D8:D27)</f>
        <v>6150</v>
      </c>
      <c r="E28" s="107">
        <f t="shared" si="2"/>
        <v>304</v>
      </c>
      <c r="F28" s="108">
        <f t="shared" si="2"/>
        <v>0</v>
      </c>
      <c r="G28" s="109">
        <f t="shared" si="2"/>
        <v>0</v>
      </c>
      <c r="H28" s="110">
        <f t="shared" si="2"/>
        <v>0</v>
      </c>
      <c r="I28" s="107">
        <f t="shared" si="2"/>
        <v>0</v>
      </c>
      <c r="J28" s="108">
        <f t="shared" si="2"/>
        <v>0</v>
      </c>
      <c r="K28" s="109">
        <f t="shared" si="2"/>
        <v>0</v>
      </c>
      <c r="L28" s="110">
        <f t="shared" si="2"/>
        <v>0</v>
      </c>
      <c r="M28" s="107">
        <f t="shared" si="2"/>
        <v>0</v>
      </c>
      <c r="N28" s="108">
        <f t="shared" si="2"/>
        <v>0</v>
      </c>
      <c r="O28" s="109">
        <f t="shared" si="2"/>
        <v>0</v>
      </c>
      <c r="P28" s="110">
        <f t="shared" si="2"/>
        <v>0</v>
      </c>
      <c r="Q28" s="111">
        <f t="shared" si="2"/>
        <v>304</v>
      </c>
      <c r="R28" s="112">
        <f>Q28/D28</f>
        <v>4.9430894308943089E-2</v>
      </c>
    </row>
    <row r="29" spans="1:18" ht="6.75" customHeight="1">
      <c r="A29" s="38"/>
      <c r="B29" s="38"/>
      <c r="C29" s="38"/>
      <c r="D29" s="81"/>
      <c r="E29" s="39"/>
      <c r="F29" s="39"/>
      <c r="G29" s="39"/>
      <c r="H29" s="39"/>
      <c r="I29" s="39"/>
      <c r="J29" s="39"/>
      <c r="K29" s="39"/>
      <c r="L29" s="39"/>
      <c r="M29" s="39"/>
      <c r="N29" s="39"/>
      <c r="O29" s="39"/>
      <c r="P29" s="39"/>
      <c r="Q29" s="39"/>
      <c r="R29" s="39"/>
    </row>
  </sheetData>
  <mergeCells count="34">
    <mergeCell ref="F1:R1"/>
    <mergeCell ref="K2:L2"/>
    <mergeCell ref="D6:D7"/>
    <mergeCell ref="E6:F6"/>
    <mergeCell ref="G6:H6"/>
    <mergeCell ref="I6:J6"/>
    <mergeCell ref="K6:L6"/>
    <mergeCell ref="M6:N6"/>
    <mergeCell ref="O6:P6"/>
    <mergeCell ref="Q6:Q7"/>
    <mergeCell ref="R6:R7"/>
    <mergeCell ref="A4:R4"/>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B18:C18"/>
    <mergeCell ref="B8:C8"/>
    <mergeCell ref="B9:C9"/>
    <mergeCell ref="B10:C10"/>
    <mergeCell ref="B11:C11"/>
    <mergeCell ref="B12:C12"/>
  </mergeCells>
  <phoneticPr fontId="3"/>
  <printOptions horizontalCentered="1"/>
  <pageMargins left="0.78740157480314965" right="0.78740157480314965" top="0.78740157480314965" bottom="0.59055118110236227" header="0.31496062992125984" footer="0.31496062992125984"/>
  <pageSetup paperSize="9" orientation="landscape" cellComments="asDisplayed"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0"/>
  <sheetViews>
    <sheetView zoomScaleNormal="100" workbookViewId="0"/>
  </sheetViews>
  <sheetFormatPr defaultColWidth="9" defaultRowHeight="14.25"/>
  <cols>
    <col min="1" max="1" width="2.5" style="14" customWidth="1"/>
    <col min="2" max="2" width="19" style="14" customWidth="1"/>
    <col min="3" max="3" width="25" style="14" customWidth="1"/>
    <col min="4" max="4" width="10" style="14" customWidth="1"/>
    <col min="5" max="7" width="25" style="14" customWidth="1"/>
    <col min="8" max="16384" width="9" style="14"/>
  </cols>
  <sheetData>
    <row r="1" spans="1:9" ht="18.75" customHeight="1">
      <c r="G1" s="114" t="s">
        <v>153</v>
      </c>
    </row>
    <row r="2" spans="1:9" ht="18.75" customHeight="1">
      <c r="F2" s="114" t="s">
        <v>32</v>
      </c>
      <c r="G2" s="14" t="s">
        <v>177</v>
      </c>
    </row>
    <row r="3" spans="1:9" ht="18.75" customHeight="1">
      <c r="A3" s="176" t="s">
        <v>94</v>
      </c>
      <c r="B3" s="176"/>
      <c r="C3" s="176"/>
      <c r="D3" s="176"/>
      <c r="E3" s="176"/>
      <c r="F3" s="176"/>
      <c r="G3" s="176"/>
    </row>
    <row r="4" spans="1:9" ht="18.75" customHeight="1">
      <c r="A4" s="14" t="s">
        <v>7</v>
      </c>
      <c r="B4" s="14" t="s">
        <v>93</v>
      </c>
    </row>
    <row r="5" spans="1:9" s="117" customFormat="1" ht="18.75" customHeight="1">
      <c r="B5" s="116" t="s">
        <v>74</v>
      </c>
      <c r="C5" s="172" t="s">
        <v>103</v>
      </c>
      <c r="D5" s="173"/>
      <c r="E5" s="173"/>
      <c r="F5" s="173"/>
      <c r="G5" s="174"/>
    </row>
    <row r="6" spans="1:9" s="117" customFormat="1" ht="45" customHeight="1">
      <c r="B6" s="220" t="s">
        <v>106</v>
      </c>
      <c r="C6" s="222" t="s">
        <v>207</v>
      </c>
      <c r="D6" s="223"/>
      <c r="E6" s="223"/>
      <c r="F6" s="223"/>
      <c r="G6" s="224"/>
      <c r="I6" s="14"/>
    </row>
    <row r="7" spans="1:9" s="117" customFormat="1" ht="45" customHeight="1">
      <c r="B7" s="221"/>
      <c r="C7" s="225"/>
      <c r="D7" s="226"/>
      <c r="E7" s="226"/>
      <c r="F7" s="226"/>
      <c r="G7" s="227"/>
    </row>
    <row r="8" spans="1:9" s="117" customFormat="1" ht="45" customHeight="1">
      <c r="B8" s="221"/>
      <c r="C8" s="225"/>
      <c r="D8" s="226"/>
      <c r="E8" s="226"/>
      <c r="F8" s="226"/>
      <c r="G8" s="227"/>
      <c r="H8" s="120"/>
    </row>
    <row r="9" spans="1:9" s="117" customFormat="1" ht="45" customHeight="1">
      <c r="B9" s="221"/>
      <c r="C9" s="228"/>
      <c r="D9" s="229"/>
      <c r="E9" s="229"/>
      <c r="F9" s="229"/>
      <c r="G9" s="230"/>
      <c r="H9" s="120"/>
    </row>
    <row r="10" spans="1:9" s="117" customFormat="1" ht="18.75" customHeight="1">
      <c r="B10" s="221"/>
      <c r="C10" s="121" t="s">
        <v>104</v>
      </c>
      <c r="D10" s="213" t="s">
        <v>105</v>
      </c>
      <c r="E10" s="214"/>
      <c r="F10" s="214"/>
      <c r="G10" s="215"/>
    </row>
    <row r="11" spans="1:9" s="117" customFormat="1" ht="18.75" customHeight="1">
      <c r="B11" s="221"/>
      <c r="C11" s="118" t="s">
        <v>130</v>
      </c>
      <c r="D11" s="213" t="s">
        <v>218</v>
      </c>
      <c r="E11" s="214"/>
      <c r="F11" s="214"/>
      <c r="G11" s="215"/>
    </row>
    <row r="12" spans="1:9" s="117" customFormat="1" ht="18.75" customHeight="1">
      <c r="B12" s="221"/>
      <c r="C12" s="118" t="s">
        <v>130</v>
      </c>
      <c r="D12" s="213" t="s">
        <v>219</v>
      </c>
      <c r="E12" s="214"/>
      <c r="F12" s="214"/>
      <c r="G12" s="215"/>
    </row>
    <row r="13" spans="1:9" s="117" customFormat="1" ht="18.75" customHeight="1">
      <c r="B13" s="221"/>
      <c r="C13" s="118" t="s">
        <v>130</v>
      </c>
      <c r="D13" s="213" t="s">
        <v>220</v>
      </c>
      <c r="E13" s="214"/>
      <c r="F13" s="214"/>
      <c r="G13" s="215"/>
    </row>
    <row r="14" spans="1:9" s="117" customFormat="1" ht="18.75" customHeight="1">
      <c r="B14" s="221"/>
      <c r="C14" s="118" t="s">
        <v>130</v>
      </c>
      <c r="D14" s="213" t="s">
        <v>221</v>
      </c>
      <c r="E14" s="214"/>
      <c r="F14" s="214"/>
      <c r="G14" s="215"/>
    </row>
    <row r="15" spans="1:9" s="117" customFormat="1" ht="18.75" customHeight="1">
      <c r="B15" s="221"/>
      <c r="C15" s="118" t="s">
        <v>130</v>
      </c>
      <c r="D15" s="172" t="s">
        <v>222</v>
      </c>
      <c r="E15" s="173"/>
      <c r="F15" s="173"/>
      <c r="G15" s="174"/>
    </row>
    <row r="16" spans="1:9" s="117" customFormat="1" ht="18.75" customHeight="1">
      <c r="B16" s="221"/>
      <c r="C16" s="118" t="s">
        <v>130</v>
      </c>
      <c r="D16" s="172" t="s">
        <v>223</v>
      </c>
      <c r="E16" s="173"/>
      <c r="F16" s="173"/>
      <c r="G16" s="174"/>
    </row>
    <row r="17" spans="2:8" s="117" customFormat="1" ht="18.75" customHeight="1">
      <c r="B17" s="221"/>
      <c r="C17" s="118" t="s">
        <v>132</v>
      </c>
      <c r="D17" s="231" t="s">
        <v>224</v>
      </c>
      <c r="E17" s="173"/>
      <c r="F17" s="173"/>
      <c r="G17" s="174"/>
    </row>
    <row r="18" spans="2:8" s="117" customFormat="1" ht="18.75" customHeight="1">
      <c r="B18" s="221"/>
      <c r="C18" s="118" t="s">
        <v>132</v>
      </c>
      <c r="D18" s="213" t="s">
        <v>225</v>
      </c>
      <c r="E18" s="214"/>
      <c r="F18" s="214"/>
      <c r="G18" s="215"/>
    </row>
    <row r="19" spans="2:8" s="117" customFormat="1" ht="18.75" customHeight="1">
      <c r="B19" s="221"/>
      <c r="C19" s="118" t="s">
        <v>132</v>
      </c>
      <c r="D19" s="213" t="s">
        <v>226</v>
      </c>
      <c r="E19" s="214"/>
      <c r="F19" s="214"/>
      <c r="G19" s="215"/>
    </row>
    <row r="20" spans="2:8" s="117" customFormat="1" ht="18.75" customHeight="1">
      <c r="B20" s="221"/>
      <c r="C20" s="118" t="s">
        <v>131</v>
      </c>
      <c r="D20" s="172" t="s">
        <v>227</v>
      </c>
      <c r="E20" s="173"/>
      <c r="F20" s="173"/>
      <c r="G20" s="174"/>
    </row>
    <row r="21" spans="2:8" s="117" customFormat="1" ht="18.75" customHeight="1">
      <c r="B21" s="221"/>
      <c r="C21" s="118"/>
      <c r="D21" s="213"/>
      <c r="E21" s="214"/>
      <c r="F21" s="214"/>
      <c r="G21" s="215"/>
    </row>
    <row r="22" spans="2:8" s="117" customFormat="1" ht="18.75" customHeight="1">
      <c r="B22" s="221"/>
      <c r="C22" s="118"/>
      <c r="D22" s="172"/>
      <c r="E22" s="173"/>
      <c r="F22" s="173"/>
      <c r="G22" s="174"/>
    </row>
    <row r="23" spans="2:8" s="117" customFormat="1" ht="18.75" customHeight="1">
      <c r="B23" s="221"/>
      <c r="C23" s="116"/>
      <c r="D23" s="172"/>
      <c r="E23" s="173"/>
      <c r="F23" s="173"/>
      <c r="G23" s="174"/>
    </row>
    <row r="24" spans="2:8" s="117" customFormat="1" ht="18.75" customHeight="1">
      <c r="B24" s="221"/>
      <c r="C24" s="116"/>
      <c r="D24" s="172"/>
      <c r="E24" s="173"/>
      <c r="F24" s="173"/>
      <c r="G24" s="174"/>
    </row>
    <row r="25" spans="2:8" s="117" customFormat="1" ht="18.75" customHeight="1">
      <c r="B25" s="221"/>
      <c r="C25" s="116"/>
      <c r="D25" s="172"/>
      <c r="E25" s="173"/>
      <c r="F25" s="173"/>
      <c r="G25" s="174"/>
    </row>
    <row r="26" spans="2:8" ht="18.75" customHeight="1">
      <c r="B26" s="220" t="s">
        <v>107</v>
      </c>
      <c r="C26" s="172" t="s">
        <v>103</v>
      </c>
      <c r="D26" s="173"/>
      <c r="E26" s="173"/>
      <c r="F26" s="173"/>
      <c r="G26" s="174"/>
    </row>
    <row r="27" spans="2:8" ht="37.5" customHeight="1">
      <c r="B27" s="221"/>
      <c r="C27" s="233" t="s">
        <v>181</v>
      </c>
      <c r="D27" s="234"/>
      <c r="E27" s="234"/>
      <c r="F27" s="234"/>
      <c r="G27" s="235"/>
      <c r="H27" s="117"/>
    </row>
    <row r="28" spans="2:8" ht="37.5" customHeight="1">
      <c r="B28" s="221"/>
      <c r="C28" s="236"/>
      <c r="D28" s="237"/>
      <c r="E28" s="237"/>
      <c r="F28" s="237"/>
      <c r="G28" s="238"/>
    </row>
    <row r="29" spans="2:8" ht="37.5" customHeight="1">
      <c r="B29" s="221"/>
      <c r="C29" s="236"/>
      <c r="D29" s="237"/>
      <c r="E29" s="237"/>
      <c r="F29" s="237"/>
      <c r="G29" s="238"/>
    </row>
    <row r="30" spans="2:8" ht="37.5" customHeight="1">
      <c r="B30" s="221"/>
      <c r="C30" s="236"/>
      <c r="D30" s="237"/>
      <c r="E30" s="237"/>
      <c r="F30" s="237"/>
      <c r="G30" s="238"/>
    </row>
    <row r="31" spans="2:8" ht="37.5" customHeight="1">
      <c r="B31" s="221"/>
      <c r="C31" s="239"/>
      <c r="D31" s="240"/>
      <c r="E31" s="240"/>
      <c r="F31" s="240"/>
      <c r="G31" s="241"/>
    </row>
    <row r="32" spans="2:8" ht="18.75" customHeight="1">
      <c r="B32" s="221"/>
      <c r="C32" s="121" t="s">
        <v>104</v>
      </c>
      <c r="D32" s="172" t="s">
        <v>105</v>
      </c>
      <c r="E32" s="173"/>
      <c r="F32" s="173"/>
      <c r="G32" s="174"/>
    </row>
    <row r="33" spans="2:7" ht="18.75" customHeight="1">
      <c r="B33" s="221"/>
      <c r="C33" s="118" t="s">
        <v>130</v>
      </c>
      <c r="D33" s="213" t="s">
        <v>228</v>
      </c>
      <c r="E33" s="214"/>
      <c r="F33" s="214"/>
      <c r="G33" s="215"/>
    </row>
    <row r="34" spans="2:7" ht="18.75" customHeight="1">
      <c r="B34" s="221"/>
      <c r="C34" s="118" t="s">
        <v>130</v>
      </c>
      <c r="D34" s="213" t="s">
        <v>229</v>
      </c>
      <c r="E34" s="214"/>
      <c r="F34" s="214"/>
      <c r="G34" s="215"/>
    </row>
    <row r="35" spans="2:7" ht="18.75" customHeight="1">
      <c r="B35" s="221"/>
      <c r="C35" s="118" t="s">
        <v>130</v>
      </c>
      <c r="D35" s="213" t="s">
        <v>230</v>
      </c>
      <c r="E35" s="214"/>
      <c r="F35" s="214"/>
      <c r="G35" s="215"/>
    </row>
    <row r="36" spans="2:7" ht="18.75" customHeight="1">
      <c r="B36" s="221"/>
      <c r="C36" s="118" t="s">
        <v>176</v>
      </c>
      <c r="D36" s="213" t="s">
        <v>231</v>
      </c>
      <c r="E36" s="214"/>
      <c r="F36" s="214"/>
      <c r="G36" s="215"/>
    </row>
    <row r="37" spans="2:7" ht="18.75" customHeight="1">
      <c r="B37" s="221"/>
      <c r="C37" s="118" t="s">
        <v>176</v>
      </c>
      <c r="D37" s="213" t="s">
        <v>232</v>
      </c>
      <c r="E37" s="214"/>
      <c r="F37" s="214"/>
      <c r="G37" s="215"/>
    </row>
    <row r="38" spans="2:7" ht="18.75" customHeight="1">
      <c r="B38" s="221"/>
      <c r="C38" s="118" t="s">
        <v>176</v>
      </c>
      <c r="D38" s="213" t="s">
        <v>233</v>
      </c>
      <c r="E38" s="214"/>
      <c r="F38" s="214"/>
      <c r="G38" s="215"/>
    </row>
    <row r="39" spans="2:7" ht="18.75" customHeight="1">
      <c r="B39" s="221"/>
      <c r="C39" s="118" t="s">
        <v>176</v>
      </c>
      <c r="D39" s="213" t="s">
        <v>208</v>
      </c>
      <c r="E39" s="214"/>
      <c r="F39" s="214"/>
      <c r="G39" s="215"/>
    </row>
    <row r="40" spans="2:7" ht="18.75" customHeight="1">
      <c r="B40" s="221"/>
      <c r="C40" s="118" t="s">
        <v>176</v>
      </c>
      <c r="D40" s="213" t="s">
        <v>234</v>
      </c>
      <c r="E40" s="214"/>
      <c r="F40" s="214"/>
      <c r="G40" s="215"/>
    </row>
    <row r="41" spans="2:7" ht="18.75" customHeight="1">
      <c r="B41" s="221"/>
      <c r="C41" s="118" t="s">
        <v>212</v>
      </c>
      <c r="D41" s="213" t="s">
        <v>235</v>
      </c>
      <c r="E41" s="214"/>
      <c r="F41" s="214"/>
      <c r="G41" s="215"/>
    </row>
    <row r="42" spans="2:7" ht="18.75" customHeight="1">
      <c r="B42" s="221"/>
      <c r="C42" s="118" t="s">
        <v>212</v>
      </c>
      <c r="D42" s="213" t="s">
        <v>236</v>
      </c>
      <c r="E42" s="214"/>
      <c r="F42" s="214"/>
      <c r="G42" s="215"/>
    </row>
    <row r="43" spans="2:7" ht="18.75" customHeight="1">
      <c r="B43" s="221"/>
      <c r="C43" s="118"/>
      <c r="D43" s="213"/>
      <c r="E43" s="214"/>
      <c r="F43" s="214"/>
      <c r="G43" s="215"/>
    </row>
    <row r="44" spans="2:7" ht="18.75" customHeight="1">
      <c r="B44" s="221"/>
      <c r="C44" s="116"/>
      <c r="D44" s="172"/>
      <c r="E44" s="173"/>
      <c r="F44" s="173"/>
      <c r="G44" s="174"/>
    </row>
    <row r="45" spans="2:7" ht="18.75" customHeight="1">
      <c r="B45" s="221"/>
      <c r="C45" s="116"/>
      <c r="D45" s="213"/>
      <c r="E45" s="214"/>
      <c r="F45" s="214"/>
      <c r="G45" s="215"/>
    </row>
    <row r="46" spans="2:7" ht="18.75" customHeight="1">
      <c r="B46" s="221"/>
      <c r="C46" s="116"/>
      <c r="D46" s="213"/>
      <c r="E46" s="214"/>
      <c r="F46" s="214"/>
      <c r="G46" s="215"/>
    </row>
    <row r="47" spans="2:7" ht="18.75" customHeight="1">
      <c r="B47" s="221"/>
      <c r="C47" s="116"/>
      <c r="D47" s="213"/>
      <c r="E47" s="214"/>
      <c r="F47" s="214"/>
      <c r="G47" s="215"/>
    </row>
    <row r="48" spans="2:7" ht="18.75" customHeight="1">
      <c r="B48" s="221"/>
      <c r="C48" s="116"/>
      <c r="D48" s="213"/>
      <c r="E48" s="214"/>
      <c r="F48" s="214"/>
      <c r="G48" s="215"/>
    </row>
    <row r="49" spans="2:8" ht="18.75" customHeight="1">
      <c r="B49" s="221"/>
      <c r="C49" s="116"/>
      <c r="D49" s="213"/>
      <c r="E49" s="214"/>
      <c r="F49" s="214"/>
      <c r="G49" s="215"/>
    </row>
    <row r="50" spans="2:8" ht="18.75" customHeight="1">
      <c r="B50" s="232"/>
      <c r="C50" s="116"/>
      <c r="D50" s="213"/>
      <c r="E50" s="214"/>
      <c r="F50" s="214"/>
      <c r="G50" s="215"/>
    </row>
    <row r="51" spans="2:8" ht="18.75" customHeight="1">
      <c r="B51" s="220" t="s">
        <v>109</v>
      </c>
      <c r="C51" s="172" t="s">
        <v>103</v>
      </c>
      <c r="D51" s="173"/>
      <c r="E51" s="173"/>
      <c r="F51" s="173"/>
      <c r="G51" s="174"/>
    </row>
    <row r="52" spans="2:8" ht="37.5" customHeight="1">
      <c r="B52" s="221"/>
      <c r="C52" s="222" t="s">
        <v>179</v>
      </c>
      <c r="D52" s="223"/>
      <c r="E52" s="223"/>
      <c r="F52" s="223"/>
      <c r="G52" s="224"/>
      <c r="H52" s="117"/>
    </row>
    <row r="53" spans="2:8" ht="37.5" customHeight="1">
      <c r="B53" s="221"/>
      <c r="C53" s="225"/>
      <c r="D53" s="226"/>
      <c r="E53" s="226"/>
      <c r="F53" s="226"/>
      <c r="G53" s="227"/>
    </row>
    <row r="54" spans="2:8" ht="37.5" customHeight="1">
      <c r="B54" s="221"/>
      <c r="C54" s="225"/>
      <c r="D54" s="226"/>
      <c r="E54" s="226"/>
      <c r="F54" s="226"/>
      <c r="G54" s="227"/>
    </row>
    <row r="55" spans="2:8" ht="37.5" customHeight="1">
      <c r="B55" s="221"/>
      <c r="C55" s="225"/>
      <c r="D55" s="226"/>
      <c r="E55" s="226"/>
      <c r="F55" s="226"/>
      <c r="G55" s="227"/>
    </row>
    <row r="56" spans="2:8" ht="37.5" customHeight="1">
      <c r="B56" s="221"/>
      <c r="C56" s="228"/>
      <c r="D56" s="229"/>
      <c r="E56" s="229"/>
      <c r="F56" s="229"/>
      <c r="G56" s="230"/>
    </row>
    <row r="57" spans="2:8" ht="18.75" customHeight="1">
      <c r="B57" s="221"/>
      <c r="C57" s="121" t="s">
        <v>104</v>
      </c>
      <c r="D57" s="172" t="s">
        <v>105</v>
      </c>
      <c r="E57" s="173"/>
      <c r="F57" s="173"/>
      <c r="G57" s="174"/>
    </row>
    <row r="58" spans="2:8" ht="18.75" customHeight="1">
      <c r="B58" s="221"/>
      <c r="C58" s="118" t="s">
        <v>132</v>
      </c>
      <c r="D58" s="213" t="s">
        <v>232</v>
      </c>
      <c r="E58" s="214"/>
      <c r="F58" s="214"/>
      <c r="G58" s="215"/>
    </row>
    <row r="59" spans="2:8" ht="18.75" customHeight="1">
      <c r="B59" s="221"/>
      <c r="C59" s="118" t="s">
        <v>132</v>
      </c>
      <c r="D59" s="213" t="s">
        <v>233</v>
      </c>
      <c r="E59" s="214"/>
      <c r="F59" s="214"/>
      <c r="G59" s="215"/>
      <c r="H59" s="14" t="s">
        <v>195</v>
      </c>
    </row>
    <row r="60" spans="2:8" ht="18.75" customHeight="1">
      <c r="B60" s="221"/>
      <c r="C60" s="118" t="s">
        <v>132</v>
      </c>
      <c r="D60" s="213" t="s">
        <v>208</v>
      </c>
      <c r="E60" s="214"/>
      <c r="F60" s="214"/>
      <c r="G60" s="215"/>
      <c r="H60" s="15"/>
    </row>
    <row r="61" spans="2:8" ht="18.75" customHeight="1">
      <c r="B61" s="221"/>
      <c r="C61" s="118" t="s">
        <v>132</v>
      </c>
      <c r="D61" s="213" t="s">
        <v>234</v>
      </c>
      <c r="E61" s="214"/>
      <c r="F61" s="214"/>
      <c r="G61" s="215"/>
    </row>
    <row r="62" spans="2:8" ht="18.75" customHeight="1">
      <c r="B62" s="221"/>
      <c r="C62" s="118" t="s">
        <v>132</v>
      </c>
      <c r="D62" s="231" t="s">
        <v>224</v>
      </c>
      <c r="E62" s="173"/>
      <c r="F62" s="173"/>
      <c r="G62" s="174"/>
    </row>
    <row r="63" spans="2:8" ht="18.75" customHeight="1">
      <c r="B63" s="221"/>
      <c r="C63" s="118" t="s">
        <v>132</v>
      </c>
      <c r="D63" s="213" t="s">
        <v>225</v>
      </c>
      <c r="E63" s="214"/>
      <c r="F63" s="214"/>
      <c r="G63" s="215"/>
    </row>
    <row r="64" spans="2:8" ht="18.75" customHeight="1">
      <c r="B64" s="221"/>
      <c r="C64" s="118" t="s">
        <v>132</v>
      </c>
      <c r="D64" s="213" t="s">
        <v>226</v>
      </c>
      <c r="E64" s="214"/>
      <c r="F64" s="214"/>
      <c r="G64" s="215"/>
      <c r="H64" s="15"/>
    </row>
    <row r="65" spans="2:8" ht="18.75" customHeight="1">
      <c r="B65" s="221"/>
      <c r="C65" s="118" t="s">
        <v>134</v>
      </c>
      <c r="D65" s="213" t="s">
        <v>237</v>
      </c>
      <c r="E65" s="214"/>
      <c r="F65" s="214"/>
      <c r="G65" s="215"/>
    </row>
    <row r="66" spans="2:8" ht="18.75" customHeight="1">
      <c r="B66" s="221"/>
      <c r="C66" s="118" t="s">
        <v>135</v>
      </c>
      <c r="D66" s="213" t="s">
        <v>238</v>
      </c>
      <c r="E66" s="214"/>
      <c r="F66" s="214"/>
      <c r="G66" s="215"/>
    </row>
    <row r="67" spans="2:8" ht="18.75" customHeight="1">
      <c r="B67" s="221"/>
      <c r="C67" s="118" t="s">
        <v>135</v>
      </c>
      <c r="D67" s="213" t="s">
        <v>239</v>
      </c>
      <c r="E67" s="214"/>
      <c r="F67" s="214"/>
      <c r="G67" s="215"/>
      <c r="H67" s="15"/>
    </row>
    <row r="68" spans="2:8" ht="18.75" customHeight="1">
      <c r="B68" s="221"/>
      <c r="C68" s="118" t="s">
        <v>135</v>
      </c>
      <c r="D68" s="217" t="s">
        <v>240</v>
      </c>
      <c r="E68" s="218"/>
      <c r="F68" s="218"/>
      <c r="G68" s="219"/>
    </row>
    <row r="69" spans="2:8" ht="18.75" customHeight="1">
      <c r="B69" s="221"/>
      <c r="C69" s="118" t="s">
        <v>175</v>
      </c>
      <c r="D69" s="217" t="s">
        <v>241</v>
      </c>
      <c r="E69" s="218"/>
      <c r="F69" s="218"/>
      <c r="G69" s="219"/>
    </row>
    <row r="70" spans="2:8" ht="18.75" customHeight="1">
      <c r="B70" s="221"/>
      <c r="C70" s="118" t="s">
        <v>212</v>
      </c>
      <c r="D70" s="213" t="s">
        <v>236</v>
      </c>
      <c r="E70" s="214"/>
      <c r="F70" s="214"/>
      <c r="G70" s="215"/>
    </row>
    <row r="71" spans="2:8" ht="18.75" customHeight="1">
      <c r="B71" s="221"/>
      <c r="C71" s="118"/>
      <c r="D71" s="217"/>
      <c r="E71" s="218"/>
      <c r="F71" s="218"/>
      <c r="G71" s="219"/>
      <c r="H71" s="15"/>
    </row>
    <row r="72" spans="2:8" ht="18.75" customHeight="1">
      <c r="B72" s="221"/>
      <c r="C72" s="118"/>
      <c r="D72" s="213"/>
      <c r="E72" s="214"/>
      <c r="F72" s="214"/>
      <c r="G72" s="215"/>
      <c r="H72" s="15"/>
    </row>
    <row r="73" spans="2:8" ht="18.75" customHeight="1">
      <c r="B73" s="221"/>
      <c r="C73" s="118"/>
      <c r="D73" s="213"/>
      <c r="E73" s="214"/>
      <c r="F73" s="214"/>
      <c r="G73" s="215"/>
    </row>
    <row r="74" spans="2:8" ht="18.75" customHeight="1">
      <c r="B74" s="221"/>
      <c r="C74" s="118"/>
      <c r="D74" s="213"/>
      <c r="E74" s="214"/>
      <c r="F74" s="214"/>
      <c r="G74" s="215"/>
    </row>
    <row r="75" spans="2:8" ht="18.75" customHeight="1">
      <c r="B75" s="221"/>
      <c r="C75" s="118"/>
      <c r="D75" s="213"/>
      <c r="E75" s="214"/>
      <c r="F75" s="214"/>
      <c r="G75" s="215"/>
    </row>
    <row r="76" spans="2:8" ht="18.75" customHeight="1">
      <c r="B76" s="220" t="s">
        <v>108</v>
      </c>
      <c r="C76" s="172" t="s">
        <v>103</v>
      </c>
      <c r="D76" s="173"/>
      <c r="E76" s="173"/>
      <c r="F76" s="173"/>
      <c r="G76" s="174"/>
    </row>
    <row r="77" spans="2:8" ht="37.5" customHeight="1">
      <c r="B77" s="221"/>
      <c r="C77" s="222" t="s">
        <v>205</v>
      </c>
      <c r="D77" s="223"/>
      <c r="E77" s="223"/>
      <c r="F77" s="223"/>
      <c r="G77" s="224"/>
      <c r="H77" s="117"/>
    </row>
    <row r="78" spans="2:8" ht="37.5" customHeight="1">
      <c r="B78" s="221"/>
      <c r="C78" s="225"/>
      <c r="D78" s="226"/>
      <c r="E78" s="226"/>
      <c r="F78" s="226"/>
      <c r="G78" s="227"/>
    </row>
    <row r="79" spans="2:8" ht="37.5" customHeight="1">
      <c r="B79" s="221"/>
      <c r="C79" s="225"/>
      <c r="D79" s="226"/>
      <c r="E79" s="226"/>
      <c r="F79" s="226"/>
      <c r="G79" s="227"/>
    </row>
    <row r="80" spans="2:8" ht="37.5" customHeight="1">
      <c r="B80" s="221"/>
      <c r="C80" s="225"/>
      <c r="D80" s="226"/>
      <c r="E80" s="226"/>
      <c r="F80" s="226"/>
      <c r="G80" s="227"/>
    </row>
    <row r="81" spans="2:7" ht="37.5" customHeight="1">
      <c r="B81" s="221"/>
      <c r="C81" s="228"/>
      <c r="D81" s="229"/>
      <c r="E81" s="229"/>
      <c r="F81" s="229"/>
      <c r="G81" s="230"/>
    </row>
    <row r="82" spans="2:7" ht="18.75" customHeight="1">
      <c r="B82" s="221"/>
      <c r="C82" s="121" t="s">
        <v>104</v>
      </c>
      <c r="D82" s="172" t="s">
        <v>105</v>
      </c>
      <c r="E82" s="173"/>
      <c r="F82" s="173"/>
      <c r="G82" s="174"/>
    </row>
    <row r="83" spans="2:7" ht="18.75" customHeight="1">
      <c r="B83" s="221"/>
      <c r="C83" s="118" t="s">
        <v>130</v>
      </c>
      <c r="D83" s="172" t="s">
        <v>222</v>
      </c>
      <c r="E83" s="173"/>
      <c r="F83" s="173"/>
      <c r="G83" s="174"/>
    </row>
    <row r="84" spans="2:7" ht="18.75" customHeight="1">
      <c r="B84" s="221"/>
      <c r="C84" s="118" t="s">
        <v>130</v>
      </c>
      <c r="D84" s="172" t="s">
        <v>223</v>
      </c>
      <c r="E84" s="173"/>
      <c r="F84" s="173"/>
      <c r="G84" s="174"/>
    </row>
    <row r="85" spans="2:7" ht="18.75" customHeight="1">
      <c r="B85" s="221"/>
      <c r="C85" s="118" t="s">
        <v>130</v>
      </c>
      <c r="D85" s="172" t="s">
        <v>242</v>
      </c>
      <c r="E85" s="173"/>
      <c r="F85" s="173"/>
      <c r="G85" s="174"/>
    </row>
    <row r="86" spans="2:7" ht="18.75" customHeight="1">
      <c r="B86" s="221"/>
      <c r="C86" s="118" t="s">
        <v>133</v>
      </c>
      <c r="D86" s="213" t="s">
        <v>243</v>
      </c>
      <c r="E86" s="214"/>
      <c r="F86" s="214"/>
      <c r="G86" s="215"/>
    </row>
    <row r="87" spans="2:7" ht="18.75" customHeight="1">
      <c r="B87" s="221"/>
      <c r="C87" s="118" t="s">
        <v>133</v>
      </c>
      <c r="D87" s="213" t="s">
        <v>244</v>
      </c>
      <c r="E87" s="214"/>
      <c r="F87" s="214"/>
      <c r="G87" s="215"/>
    </row>
    <row r="88" spans="2:7" ht="18.75" customHeight="1">
      <c r="B88" s="221"/>
      <c r="C88" s="118" t="s">
        <v>133</v>
      </c>
      <c r="D88" s="213" t="s">
        <v>245</v>
      </c>
      <c r="E88" s="214"/>
      <c r="F88" s="214"/>
      <c r="G88" s="215"/>
    </row>
    <row r="89" spans="2:7" ht="18.75" customHeight="1">
      <c r="B89" s="221"/>
      <c r="C89" s="118"/>
      <c r="D89" s="213"/>
      <c r="E89" s="214"/>
      <c r="F89" s="214"/>
      <c r="G89" s="215"/>
    </row>
    <row r="90" spans="2:7" ht="18.75" customHeight="1">
      <c r="B90" s="221"/>
      <c r="C90" s="116"/>
      <c r="D90" s="213"/>
      <c r="E90" s="214"/>
      <c r="F90" s="214"/>
      <c r="G90" s="215"/>
    </row>
    <row r="91" spans="2:7" ht="18.75" customHeight="1">
      <c r="B91" s="221"/>
      <c r="C91" s="116"/>
      <c r="D91" s="213"/>
      <c r="E91" s="214"/>
      <c r="F91" s="214"/>
      <c r="G91" s="215"/>
    </row>
    <row r="92" spans="2:7" ht="18.75" customHeight="1">
      <c r="B92" s="221"/>
      <c r="C92" s="116"/>
      <c r="D92" s="213"/>
      <c r="E92" s="214"/>
      <c r="F92" s="214"/>
      <c r="G92" s="215"/>
    </row>
    <row r="93" spans="2:7" ht="18.75" customHeight="1">
      <c r="B93" s="221"/>
      <c r="C93" s="116"/>
      <c r="D93" s="213"/>
      <c r="E93" s="214"/>
      <c r="F93" s="214"/>
      <c r="G93" s="215"/>
    </row>
    <row r="94" spans="2:7" ht="18.75" customHeight="1">
      <c r="B94" s="221"/>
      <c r="C94" s="116"/>
      <c r="D94" s="213"/>
      <c r="E94" s="214"/>
      <c r="F94" s="214"/>
      <c r="G94" s="215"/>
    </row>
    <row r="95" spans="2:7" ht="18.75" customHeight="1">
      <c r="B95" s="221"/>
      <c r="C95" s="116"/>
      <c r="D95" s="213"/>
      <c r="E95" s="214"/>
      <c r="F95" s="214"/>
      <c r="G95" s="215"/>
    </row>
    <row r="96" spans="2:7" ht="18.75" customHeight="1">
      <c r="B96" s="221"/>
      <c r="C96" s="116"/>
      <c r="D96" s="213"/>
      <c r="E96" s="214"/>
      <c r="F96" s="214"/>
      <c r="G96" s="215"/>
    </row>
    <row r="97" spans="2:8" ht="18.75" customHeight="1">
      <c r="B97" s="221"/>
      <c r="C97" s="116"/>
      <c r="D97" s="213"/>
      <c r="E97" s="214"/>
      <c r="F97" s="214"/>
      <c r="G97" s="215"/>
    </row>
    <row r="98" spans="2:8" ht="18.75" customHeight="1">
      <c r="B98" s="221"/>
      <c r="C98" s="116"/>
      <c r="D98" s="213"/>
      <c r="E98" s="214"/>
      <c r="F98" s="214"/>
      <c r="G98" s="215"/>
    </row>
    <row r="99" spans="2:8" ht="18.75" customHeight="1">
      <c r="B99" s="221"/>
      <c r="C99" s="116"/>
      <c r="D99" s="213"/>
      <c r="E99" s="214"/>
      <c r="F99" s="214"/>
      <c r="G99" s="215"/>
    </row>
    <row r="100" spans="2:8" ht="18.75" customHeight="1">
      <c r="B100" s="221"/>
      <c r="C100" s="116"/>
      <c r="D100" s="213"/>
      <c r="E100" s="214"/>
      <c r="F100" s="214"/>
      <c r="G100" s="215"/>
    </row>
    <row r="101" spans="2:8" ht="18.75" customHeight="1">
      <c r="B101" s="220" t="s">
        <v>174</v>
      </c>
      <c r="C101" s="172" t="s">
        <v>103</v>
      </c>
      <c r="D101" s="173"/>
      <c r="E101" s="173"/>
      <c r="F101" s="173"/>
      <c r="G101" s="174"/>
    </row>
    <row r="102" spans="2:8" ht="37.5" customHeight="1">
      <c r="B102" s="221"/>
      <c r="C102" s="222" t="s">
        <v>215</v>
      </c>
      <c r="D102" s="223"/>
      <c r="E102" s="223"/>
      <c r="F102" s="223"/>
      <c r="G102" s="224"/>
      <c r="H102" s="117"/>
    </row>
    <row r="103" spans="2:8" ht="37.5" customHeight="1">
      <c r="B103" s="221"/>
      <c r="C103" s="225"/>
      <c r="D103" s="226"/>
      <c r="E103" s="226"/>
      <c r="F103" s="226"/>
      <c r="G103" s="227"/>
    </row>
    <row r="104" spans="2:8" ht="37.5" customHeight="1">
      <c r="B104" s="221"/>
      <c r="C104" s="225"/>
      <c r="D104" s="226"/>
      <c r="E104" s="226"/>
      <c r="F104" s="226"/>
      <c r="G104" s="227"/>
    </row>
    <row r="105" spans="2:8" ht="37.5" customHeight="1">
      <c r="B105" s="221"/>
      <c r="C105" s="225"/>
      <c r="D105" s="226"/>
      <c r="E105" s="226"/>
      <c r="F105" s="226"/>
      <c r="G105" s="227"/>
    </row>
    <row r="106" spans="2:8" ht="37.5" customHeight="1">
      <c r="B106" s="221"/>
      <c r="C106" s="228"/>
      <c r="D106" s="229"/>
      <c r="E106" s="229"/>
      <c r="F106" s="229"/>
      <c r="G106" s="230"/>
    </row>
    <row r="107" spans="2:8" ht="18.75" customHeight="1">
      <c r="B107" s="221"/>
      <c r="C107" s="121" t="s">
        <v>104</v>
      </c>
      <c r="D107" s="172" t="s">
        <v>105</v>
      </c>
      <c r="E107" s="173"/>
      <c r="F107" s="173"/>
      <c r="G107" s="174"/>
    </row>
    <row r="108" spans="2:8" ht="18.75" customHeight="1">
      <c r="B108" s="221"/>
      <c r="C108" s="118" t="s">
        <v>214</v>
      </c>
      <c r="D108" s="213" t="s">
        <v>246</v>
      </c>
      <c r="E108" s="214"/>
      <c r="F108" s="214"/>
      <c r="G108" s="216"/>
      <c r="H108" s="15"/>
    </row>
    <row r="109" spans="2:8" ht="18.75" customHeight="1">
      <c r="B109" s="221"/>
      <c r="C109" s="118" t="s">
        <v>214</v>
      </c>
      <c r="D109" s="213" t="s">
        <v>247</v>
      </c>
      <c r="E109" s="214"/>
      <c r="F109" s="214"/>
      <c r="G109" s="215"/>
      <c r="H109" s="15"/>
    </row>
    <row r="110" spans="2:8" ht="18.75" customHeight="1">
      <c r="B110" s="221"/>
      <c r="C110" s="118" t="s">
        <v>214</v>
      </c>
      <c r="D110" s="213" t="s">
        <v>248</v>
      </c>
      <c r="E110" s="214"/>
      <c r="F110" s="214"/>
      <c r="G110" s="216"/>
      <c r="H110" s="15"/>
    </row>
    <row r="111" spans="2:8" ht="18.75" customHeight="1">
      <c r="B111" s="221"/>
      <c r="C111" s="118" t="s">
        <v>173</v>
      </c>
      <c r="D111" s="213" t="s">
        <v>249</v>
      </c>
      <c r="E111" s="214"/>
      <c r="F111" s="214"/>
      <c r="G111" s="215"/>
    </row>
    <row r="112" spans="2:8" ht="18.75" customHeight="1">
      <c r="B112" s="221"/>
      <c r="C112" s="118" t="s">
        <v>173</v>
      </c>
      <c r="D112" s="213" t="s">
        <v>250</v>
      </c>
      <c r="E112" s="214"/>
      <c r="F112" s="214"/>
      <c r="G112" s="215"/>
    </row>
    <row r="113" spans="1:8" ht="18.75" customHeight="1">
      <c r="B113" s="221"/>
      <c r="C113" s="118" t="s">
        <v>173</v>
      </c>
      <c r="D113" s="213" t="s">
        <v>251</v>
      </c>
      <c r="E113" s="214"/>
      <c r="F113" s="214"/>
      <c r="G113" s="215"/>
    </row>
    <row r="114" spans="1:8" ht="18.75" customHeight="1">
      <c r="B114" s="221"/>
      <c r="C114" s="118" t="s">
        <v>173</v>
      </c>
      <c r="D114" s="213" t="s">
        <v>252</v>
      </c>
      <c r="E114" s="214"/>
      <c r="F114" s="214"/>
      <c r="G114" s="215"/>
      <c r="H114" s="15"/>
    </row>
    <row r="115" spans="1:8" ht="18.75" customHeight="1">
      <c r="B115" s="221"/>
      <c r="C115" s="118" t="s">
        <v>140</v>
      </c>
      <c r="D115" s="213" t="s">
        <v>231</v>
      </c>
      <c r="E115" s="214"/>
      <c r="F115" s="214"/>
      <c r="G115" s="215"/>
    </row>
    <row r="116" spans="1:8" ht="18.75" customHeight="1">
      <c r="B116" s="221"/>
      <c r="C116" s="118" t="s">
        <v>140</v>
      </c>
      <c r="D116" s="213" t="s">
        <v>253</v>
      </c>
      <c r="E116" s="214"/>
      <c r="F116" s="214"/>
      <c r="G116" s="215"/>
    </row>
    <row r="117" spans="1:8" ht="18.75" customHeight="1">
      <c r="B117" s="221"/>
      <c r="C117" s="118" t="s">
        <v>140</v>
      </c>
      <c r="D117" s="213" t="s">
        <v>254</v>
      </c>
      <c r="E117" s="214"/>
      <c r="F117" s="214"/>
      <c r="G117" s="215"/>
    </row>
    <row r="118" spans="1:8" ht="18.75" customHeight="1">
      <c r="B118" s="221"/>
      <c r="C118" s="118"/>
      <c r="D118" s="213"/>
      <c r="E118" s="214"/>
      <c r="F118" s="214"/>
      <c r="G118" s="215"/>
    </row>
    <row r="119" spans="1:8" ht="18.75" customHeight="1">
      <c r="B119" s="221"/>
      <c r="C119" s="118"/>
      <c r="D119" s="213"/>
      <c r="E119" s="214"/>
      <c r="F119" s="214"/>
      <c r="G119" s="215"/>
    </row>
    <row r="120" spans="1:8" ht="18.75" customHeight="1">
      <c r="B120" s="221"/>
      <c r="C120" s="118"/>
      <c r="D120" s="213"/>
      <c r="E120" s="214"/>
      <c r="F120" s="214"/>
      <c r="G120" s="215"/>
    </row>
    <row r="121" spans="1:8" ht="18.75" customHeight="1">
      <c r="B121" s="221"/>
      <c r="C121" s="118"/>
      <c r="D121" s="217"/>
      <c r="E121" s="218"/>
      <c r="F121" s="218"/>
      <c r="G121" s="219"/>
    </row>
    <row r="122" spans="1:8" ht="18.75" customHeight="1">
      <c r="B122" s="221"/>
      <c r="C122" s="118"/>
      <c r="D122" s="213"/>
      <c r="E122" s="214"/>
      <c r="F122" s="214"/>
      <c r="G122" s="216"/>
    </row>
    <row r="123" spans="1:8" ht="18.75" customHeight="1">
      <c r="B123" s="221"/>
      <c r="C123" s="116"/>
      <c r="D123" s="213"/>
      <c r="E123" s="214"/>
      <c r="F123" s="214"/>
      <c r="G123" s="215"/>
    </row>
    <row r="124" spans="1:8" ht="18.75" customHeight="1">
      <c r="B124" s="221"/>
      <c r="C124" s="116"/>
      <c r="D124" s="213"/>
      <c r="E124" s="214"/>
      <c r="F124" s="214"/>
      <c r="G124" s="216"/>
    </row>
    <row r="125" spans="1:8" ht="18.75" customHeight="1">
      <c r="B125" s="221"/>
      <c r="C125" s="116"/>
      <c r="D125" s="213"/>
      <c r="E125" s="214"/>
      <c r="F125" s="214"/>
      <c r="G125" s="215"/>
    </row>
    <row r="126" spans="1:8" ht="18.75" customHeight="1">
      <c r="A126" s="14" t="s">
        <v>12</v>
      </c>
      <c r="B126" s="14" t="s">
        <v>101</v>
      </c>
    </row>
    <row r="127" spans="1:8" ht="22.5" customHeight="1">
      <c r="B127" s="116" t="s">
        <v>74</v>
      </c>
      <c r="C127" s="172" t="s">
        <v>100</v>
      </c>
      <c r="D127" s="173"/>
      <c r="E127" s="173"/>
      <c r="F127" s="173"/>
      <c r="G127" s="174"/>
    </row>
    <row r="128" spans="1:8" ht="45" customHeight="1">
      <c r="B128" s="122" t="s">
        <v>75</v>
      </c>
      <c r="C128" s="169" t="s">
        <v>136</v>
      </c>
      <c r="D128" s="170"/>
      <c r="E128" s="170"/>
      <c r="F128" s="170"/>
      <c r="G128" s="171"/>
    </row>
    <row r="129" spans="1:7" ht="45" customHeight="1">
      <c r="B129" s="122" t="s">
        <v>76</v>
      </c>
      <c r="C129" s="169" t="s">
        <v>182</v>
      </c>
      <c r="D129" s="170"/>
      <c r="E129" s="170"/>
      <c r="F129" s="170"/>
      <c r="G129" s="171"/>
    </row>
    <row r="130" spans="1:7" ht="45" customHeight="1">
      <c r="B130" s="122" t="s">
        <v>77</v>
      </c>
      <c r="C130" s="169" t="s">
        <v>137</v>
      </c>
      <c r="D130" s="170"/>
      <c r="E130" s="170"/>
      <c r="F130" s="170"/>
      <c r="G130" s="171"/>
    </row>
    <row r="131" spans="1:7" ht="45" customHeight="1">
      <c r="B131" s="122" t="s">
        <v>78</v>
      </c>
      <c r="C131" s="169" t="s">
        <v>183</v>
      </c>
      <c r="D131" s="170"/>
      <c r="E131" s="170"/>
      <c r="F131" s="170"/>
      <c r="G131" s="171"/>
    </row>
    <row r="132" spans="1:7" ht="45" customHeight="1">
      <c r="B132" s="122" t="s">
        <v>79</v>
      </c>
      <c r="C132" s="169" t="s">
        <v>172</v>
      </c>
      <c r="D132" s="170"/>
      <c r="E132" s="170"/>
      <c r="F132" s="170"/>
      <c r="G132" s="171"/>
    </row>
    <row r="133" spans="1:7" ht="45" customHeight="1">
      <c r="B133" s="122" t="s">
        <v>80</v>
      </c>
      <c r="C133" s="169" t="s">
        <v>183</v>
      </c>
      <c r="D133" s="170"/>
      <c r="E133" s="170"/>
      <c r="F133" s="170"/>
      <c r="G133" s="171"/>
    </row>
    <row r="134" spans="1:7" ht="45" customHeight="1">
      <c r="B134" s="122" t="s">
        <v>81</v>
      </c>
      <c r="C134" s="169" t="s">
        <v>255</v>
      </c>
      <c r="D134" s="170"/>
      <c r="E134" s="170"/>
      <c r="F134" s="170"/>
      <c r="G134" s="171"/>
    </row>
    <row r="135" spans="1:7" ht="45" customHeight="1">
      <c r="B135" s="122" t="s">
        <v>82</v>
      </c>
      <c r="C135" s="169" t="s">
        <v>183</v>
      </c>
      <c r="D135" s="170"/>
      <c r="E135" s="170"/>
      <c r="F135" s="170"/>
      <c r="G135" s="171"/>
    </row>
    <row r="136" spans="1:7" ht="45" customHeight="1">
      <c r="B136" s="122" t="s">
        <v>83</v>
      </c>
      <c r="C136" s="169" t="s">
        <v>216</v>
      </c>
      <c r="D136" s="170"/>
      <c r="E136" s="170"/>
      <c r="F136" s="170"/>
      <c r="G136" s="171"/>
    </row>
    <row r="137" spans="1:7" ht="7.5" customHeight="1"/>
    <row r="138" spans="1:7" s="123" customFormat="1" ht="18.75" customHeight="1">
      <c r="A138" s="123" t="s">
        <v>13</v>
      </c>
      <c r="B138" s="123" t="s">
        <v>97</v>
      </c>
      <c r="E138" s="202" t="s">
        <v>138</v>
      </c>
      <c r="F138" s="203"/>
      <c r="G138" s="203"/>
    </row>
    <row r="139" spans="1:7" ht="7.5" customHeight="1"/>
    <row r="140" spans="1:7" ht="18.75" customHeight="1">
      <c r="A140" s="14" t="s">
        <v>17</v>
      </c>
      <c r="B140" s="14" t="s">
        <v>171</v>
      </c>
    </row>
    <row r="141" spans="1:7" ht="18.75" customHeight="1">
      <c r="B141" s="204" t="s">
        <v>184</v>
      </c>
      <c r="C141" s="205"/>
      <c r="D141" s="205"/>
      <c r="E141" s="205"/>
      <c r="F141" s="205"/>
      <c r="G141" s="206"/>
    </row>
    <row r="142" spans="1:7" ht="18.75" customHeight="1">
      <c r="B142" s="207"/>
      <c r="C142" s="208"/>
      <c r="D142" s="208"/>
      <c r="E142" s="208"/>
      <c r="F142" s="208"/>
      <c r="G142" s="209"/>
    </row>
    <row r="143" spans="1:7" ht="18.75" customHeight="1">
      <c r="B143" s="207"/>
      <c r="C143" s="208"/>
      <c r="D143" s="208"/>
      <c r="E143" s="208"/>
      <c r="F143" s="208"/>
      <c r="G143" s="209"/>
    </row>
    <row r="144" spans="1:7" ht="18.75" customHeight="1">
      <c r="B144" s="210"/>
      <c r="C144" s="211"/>
      <c r="D144" s="211"/>
      <c r="E144" s="211"/>
      <c r="F144" s="211"/>
      <c r="G144" s="212"/>
    </row>
    <row r="145" ht="18.75" customHeight="1"/>
    <row r="146" ht="18.75" customHeight="1"/>
    <row r="147" ht="18.75" customHeight="1"/>
    <row r="148" ht="18.75" customHeight="1"/>
    <row r="149" ht="18.75" customHeight="1"/>
    <row r="150" ht="18.75" customHeight="1"/>
  </sheetData>
  <mergeCells count="12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123:G123"/>
    <mergeCell ref="D124:G124"/>
    <mergeCell ref="D125:G125"/>
    <mergeCell ref="C127:G127"/>
    <mergeCell ref="C128:G128"/>
    <mergeCell ref="D116:G116"/>
    <mergeCell ref="D117:G117"/>
    <mergeCell ref="D118:G118"/>
    <mergeCell ref="D119:G119"/>
    <mergeCell ref="D120:G120"/>
    <mergeCell ref="D121:G121"/>
    <mergeCell ref="C135:G135"/>
    <mergeCell ref="C136:G136"/>
    <mergeCell ref="E138:G138"/>
    <mergeCell ref="B141:G144"/>
    <mergeCell ref="C129:G129"/>
    <mergeCell ref="C130:G130"/>
    <mergeCell ref="C131:G131"/>
    <mergeCell ref="C132:G132"/>
    <mergeCell ref="C133:G133"/>
    <mergeCell ref="C134:G134"/>
  </mergeCells>
  <phoneticPr fontId="3"/>
  <hyperlinks>
    <hyperlink ref="E138" r:id="rId1"/>
  </hyperlinks>
  <printOptions horizontalCentered="1"/>
  <pageMargins left="0.78740157480314965" right="0.78740157480314965" top="0.59055118110236227" bottom="0.39370078740157483" header="0.31496062992125984" footer="0.31496062992125984"/>
  <pageSetup paperSize="9" fitToWidth="0" fitToHeight="0"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8"/>
  <sheetViews>
    <sheetView showZeros="0" zoomScaleNormal="100" zoomScaleSheetLayoutView="100" workbookViewId="0"/>
  </sheetViews>
  <sheetFormatPr defaultColWidth="11.375" defaultRowHeight="18.75" customHeight="1"/>
  <cols>
    <col min="1" max="1" width="2.625" style="2" customWidth="1"/>
    <col min="2" max="2" width="54.125" style="1" customWidth="1"/>
    <col min="3" max="3" width="1.125" style="1" customWidth="1"/>
    <col min="4" max="4" width="22.5" style="1" customWidth="1"/>
    <col min="5" max="5" width="6.125" style="1" customWidth="1"/>
    <col min="6" max="16384" width="11.375" style="1"/>
  </cols>
  <sheetData>
    <row r="1" spans="1:11" ht="18.75" customHeight="1">
      <c r="A1" s="63"/>
      <c r="B1" s="14"/>
      <c r="C1" s="14"/>
      <c r="D1" s="14"/>
      <c r="E1" s="40" t="s">
        <v>102</v>
      </c>
    </row>
    <row r="2" spans="1:11" ht="18.75" customHeight="1">
      <c r="A2" s="63"/>
      <c r="B2" s="40" t="s">
        <v>86</v>
      </c>
      <c r="C2" s="40" t="s">
        <v>8</v>
      </c>
      <c r="D2" s="261" t="s">
        <v>143</v>
      </c>
      <c r="E2" s="261"/>
    </row>
    <row r="3" spans="1:11" ht="7.5" customHeight="1">
      <c r="A3" s="63"/>
      <c r="B3" s="40"/>
      <c r="C3" s="40"/>
      <c r="D3" s="55"/>
      <c r="E3" s="55"/>
    </row>
    <row r="4" spans="1:11" ht="18.75" customHeight="1">
      <c r="A4" s="63"/>
      <c r="B4" s="148" t="s">
        <v>84</v>
      </c>
      <c r="C4" s="148"/>
      <c r="D4" s="148"/>
      <c r="E4" s="148"/>
    </row>
    <row r="5" spans="1:11" ht="7.5" customHeight="1">
      <c r="A5" s="63"/>
      <c r="B5" s="55"/>
      <c r="C5" s="55"/>
      <c r="D5" s="55"/>
      <c r="E5" s="55"/>
    </row>
    <row r="6" spans="1:11" ht="18.75" customHeight="1">
      <c r="A6" s="46" t="s">
        <v>7</v>
      </c>
      <c r="B6" s="43" t="s">
        <v>96</v>
      </c>
      <c r="C6" s="55"/>
      <c r="D6" s="55"/>
      <c r="E6" s="55"/>
    </row>
    <row r="7" spans="1:11" ht="18.75" customHeight="1">
      <c r="A7" s="46"/>
      <c r="B7" s="155" t="s">
        <v>151</v>
      </c>
      <c r="C7" s="156"/>
      <c r="D7" s="156"/>
      <c r="E7" s="288"/>
    </row>
    <row r="8" spans="1:11" ht="7.5" customHeight="1">
      <c r="A8" s="63"/>
      <c r="B8" s="55"/>
      <c r="C8" s="55"/>
      <c r="D8" s="55"/>
      <c r="E8" s="55"/>
    </row>
    <row r="9" spans="1:11" s="5" customFormat="1" ht="18.75" customHeight="1">
      <c r="A9" s="46" t="s">
        <v>12</v>
      </c>
      <c r="B9" s="46" t="s">
        <v>46</v>
      </c>
      <c r="C9" s="46"/>
      <c r="D9" s="46"/>
      <c r="E9" s="46"/>
    </row>
    <row r="10" spans="1:11" s="7" customFormat="1" ht="18.75" customHeight="1">
      <c r="A10" s="41"/>
      <c r="B10" s="262" t="s">
        <v>185</v>
      </c>
      <c r="C10" s="263"/>
      <c r="D10" s="263"/>
      <c r="E10" s="264"/>
      <c r="F10" s="75"/>
      <c r="G10" s="76"/>
      <c r="H10" s="73"/>
      <c r="I10" s="73"/>
      <c r="J10" s="73"/>
      <c r="K10" s="73"/>
    </row>
    <row r="11" spans="1:11" s="7" customFormat="1" ht="18.75" customHeight="1">
      <c r="A11" s="41"/>
      <c r="B11" s="265"/>
      <c r="C11" s="266"/>
      <c r="D11" s="266"/>
      <c r="E11" s="267"/>
      <c r="G11" s="74"/>
      <c r="H11" s="73"/>
      <c r="I11" s="73"/>
      <c r="J11" s="73"/>
      <c r="K11" s="73"/>
    </row>
    <row r="12" spans="1:11" s="7" customFormat="1" ht="18.75" customHeight="1">
      <c r="A12" s="41"/>
      <c r="B12" s="265"/>
      <c r="C12" s="266"/>
      <c r="D12" s="266"/>
      <c r="E12" s="267"/>
      <c r="G12" s="74"/>
      <c r="H12" s="73"/>
      <c r="I12" s="73"/>
      <c r="J12" s="73"/>
      <c r="K12" s="73"/>
    </row>
    <row r="13" spans="1:11" s="7" customFormat="1" ht="18.75" customHeight="1">
      <c r="A13" s="41"/>
      <c r="B13" s="265"/>
      <c r="C13" s="266"/>
      <c r="D13" s="266"/>
      <c r="E13" s="267"/>
      <c r="G13" s="74"/>
      <c r="H13" s="73"/>
      <c r="I13" s="73"/>
      <c r="J13" s="73"/>
      <c r="K13" s="73"/>
    </row>
    <row r="14" spans="1:11" s="7" customFormat="1" ht="18.75" customHeight="1">
      <c r="A14" s="41"/>
      <c r="B14" s="268"/>
      <c r="C14" s="269"/>
      <c r="D14" s="269"/>
      <c r="E14" s="270"/>
      <c r="F14" s="42"/>
      <c r="H14" s="73"/>
      <c r="I14" s="73"/>
      <c r="J14" s="73"/>
      <c r="K14" s="73"/>
    </row>
    <row r="15" spans="1:11" s="7" customFormat="1" ht="7.5" customHeight="1">
      <c r="A15" s="41"/>
      <c r="B15" s="41"/>
      <c r="C15" s="41"/>
      <c r="D15" s="41"/>
      <c r="E15" s="41"/>
    </row>
    <row r="16" spans="1:11" s="5" customFormat="1" ht="18.75" customHeight="1">
      <c r="A16" s="64" t="s">
        <v>13</v>
      </c>
      <c r="B16" s="64" t="s">
        <v>19</v>
      </c>
      <c r="C16" s="64"/>
      <c r="D16" s="64"/>
      <c r="E16" s="64"/>
    </row>
    <row r="17" spans="1:6" s="7" customFormat="1" ht="18.75" customHeight="1">
      <c r="A17" s="41"/>
      <c r="B17" s="251" t="s">
        <v>201</v>
      </c>
      <c r="C17" s="252"/>
      <c r="D17" s="252"/>
      <c r="E17" s="253"/>
    </row>
    <row r="18" spans="1:6" s="7" customFormat="1" ht="18.75" customHeight="1">
      <c r="A18" s="41"/>
      <c r="B18" s="254"/>
      <c r="C18" s="255"/>
      <c r="D18" s="255"/>
      <c r="E18" s="256"/>
    </row>
    <row r="19" spans="1:6" s="7" customFormat="1" ht="18.75" customHeight="1">
      <c r="A19" s="41"/>
      <c r="B19" s="254"/>
      <c r="C19" s="255"/>
      <c r="D19" s="255"/>
      <c r="E19" s="256"/>
    </row>
    <row r="20" spans="1:6" s="7" customFormat="1" ht="18.75" customHeight="1">
      <c r="A20" s="41"/>
      <c r="B20" s="254"/>
      <c r="C20" s="255"/>
      <c r="D20" s="255"/>
      <c r="E20" s="256"/>
    </row>
    <row r="21" spans="1:6" s="7" customFormat="1" ht="18.75" customHeight="1">
      <c r="A21" s="41"/>
      <c r="B21" s="254"/>
      <c r="C21" s="255"/>
      <c r="D21" s="255"/>
      <c r="E21" s="256"/>
    </row>
    <row r="22" spans="1:6" s="7" customFormat="1" ht="18.75" customHeight="1">
      <c r="A22" s="41"/>
      <c r="B22" s="254"/>
      <c r="C22" s="255"/>
      <c r="D22" s="255"/>
      <c r="E22" s="256"/>
    </row>
    <row r="23" spans="1:6" s="7" customFormat="1" ht="18.75" customHeight="1">
      <c r="A23" s="41"/>
      <c r="B23" s="254"/>
      <c r="C23" s="255"/>
      <c r="D23" s="255"/>
      <c r="E23" s="256"/>
    </row>
    <row r="24" spans="1:6" s="7" customFormat="1" ht="18.75" customHeight="1">
      <c r="A24" s="41"/>
      <c r="B24" s="254"/>
      <c r="C24" s="255"/>
      <c r="D24" s="255"/>
      <c r="E24" s="256"/>
    </row>
    <row r="25" spans="1:6" s="7" customFormat="1" ht="18.75" customHeight="1">
      <c r="A25" s="41"/>
      <c r="B25" s="254"/>
      <c r="C25" s="255"/>
      <c r="D25" s="255"/>
      <c r="E25" s="256"/>
    </row>
    <row r="26" spans="1:6" s="7" customFormat="1" ht="18.75" customHeight="1">
      <c r="A26" s="41"/>
      <c r="B26" s="254"/>
      <c r="C26" s="255"/>
      <c r="D26" s="255"/>
      <c r="E26" s="256"/>
    </row>
    <row r="27" spans="1:6" s="7" customFormat="1" ht="18.75" customHeight="1">
      <c r="A27" s="41"/>
      <c r="B27" s="254"/>
      <c r="C27" s="255"/>
      <c r="D27" s="255"/>
      <c r="E27" s="256"/>
    </row>
    <row r="28" spans="1:6" s="7" customFormat="1" ht="18.75" customHeight="1">
      <c r="A28" s="41"/>
      <c r="B28" s="257"/>
      <c r="C28" s="258"/>
      <c r="D28" s="258"/>
      <c r="E28" s="259"/>
    </row>
    <row r="29" spans="1:6" ht="7.5" customHeight="1">
      <c r="A29" s="65"/>
      <c r="B29" s="65"/>
      <c r="C29" s="65"/>
      <c r="D29" s="65"/>
      <c r="E29" s="65"/>
    </row>
    <row r="30" spans="1:6" s="5" customFormat="1" ht="18.75" customHeight="1">
      <c r="A30" s="46" t="s">
        <v>17</v>
      </c>
      <c r="B30" s="46" t="s">
        <v>30</v>
      </c>
      <c r="C30" s="46"/>
      <c r="D30" s="46"/>
      <c r="E30" s="46"/>
    </row>
    <row r="31" spans="1:6" s="5" customFormat="1" ht="18.75" customHeight="1">
      <c r="A31" s="46"/>
      <c r="B31" s="271" t="s">
        <v>202</v>
      </c>
      <c r="C31" s="272"/>
      <c r="D31" s="272"/>
      <c r="E31" s="273"/>
      <c r="F31" s="42"/>
    </row>
    <row r="32" spans="1:6" s="5" customFormat="1" ht="18.75" customHeight="1">
      <c r="A32" s="46"/>
      <c r="B32" s="274"/>
      <c r="C32" s="275"/>
      <c r="D32" s="275"/>
      <c r="E32" s="276"/>
    </row>
    <row r="33" spans="1:7" s="5" customFormat="1" ht="18.75" customHeight="1">
      <c r="A33" s="46"/>
      <c r="B33" s="274"/>
      <c r="C33" s="275"/>
      <c r="D33" s="275"/>
      <c r="E33" s="276"/>
      <c r="F33" s="84"/>
    </row>
    <row r="34" spans="1:7" s="5" customFormat="1" ht="18.75" customHeight="1">
      <c r="A34" s="46"/>
      <c r="B34" s="274"/>
      <c r="C34" s="275"/>
      <c r="D34" s="275"/>
      <c r="E34" s="276"/>
    </row>
    <row r="35" spans="1:7" s="5" customFormat="1" ht="18.75" customHeight="1">
      <c r="A35" s="46"/>
      <c r="B35" s="274"/>
      <c r="C35" s="275"/>
      <c r="D35" s="275"/>
      <c r="E35" s="276"/>
      <c r="F35" s="84"/>
    </row>
    <row r="36" spans="1:7" s="5" customFormat="1" ht="18.75" customHeight="1">
      <c r="A36" s="46"/>
      <c r="B36" s="274"/>
      <c r="C36" s="275"/>
      <c r="D36" s="275"/>
      <c r="E36" s="276"/>
    </row>
    <row r="37" spans="1:7" s="5" customFormat="1" ht="18.75" customHeight="1">
      <c r="A37" s="46"/>
      <c r="B37" s="274"/>
      <c r="C37" s="275"/>
      <c r="D37" s="275"/>
      <c r="E37" s="276"/>
    </row>
    <row r="38" spans="1:7" s="5" customFormat="1" ht="18.75" customHeight="1">
      <c r="A38" s="46"/>
      <c r="B38" s="274"/>
      <c r="C38" s="275"/>
      <c r="D38" s="275"/>
      <c r="E38" s="276"/>
    </row>
    <row r="39" spans="1:7" s="5" customFormat="1" ht="18.75" customHeight="1">
      <c r="A39" s="46"/>
      <c r="B39" s="274"/>
      <c r="C39" s="275"/>
      <c r="D39" s="275"/>
      <c r="E39" s="276"/>
    </row>
    <row r="40" spans="1:7" s="5" customFormat="1" ht="18.75" customHeight="1">
      <c r="A40" s="46"/>
      <c r="B40" s="274"/>
      <c r="C40" s="275"/>
      <c r="D40" s="275"/>
      <c r="E40" s="276"/>
    </row>
    <row r="41" spans="1:7" s="5" customFormat="1" ht="18.75" customHeight="1">
      <c r="A41" s="46"/>
      <c r="B41" s="274"/>
      <c r="C41" s="275"/>
      <c r="D41" s="275"/>
      <c r="E41" s="276"/>
    </row>
    <row r="42" spans="1:7" s="5" customFormat="1" ht="18.75" customHeight="1">
      <c r="A42" s="46"/>
      <c r="B42" s="274"/>
      <c r="C42" s="275"/>
      <c r="D42" s="275"/>
      <c r="E42" s="276"/>
    </row>
    <row r="43" spans="1:7" s="5" customFormat="1" ht="18.75" customHeight="1">
      <c r="A43" s="46"/>
      <c r="B43" s="274"/>
      <c r="C43" s="275"/>
      <c r="D43" s="275"/>
      <c r="E43" s="276"/>
    </row>
    <row r="44" spans="1:7" s="5" customFormat="1" ht="18.75" customHeight="1">
      <c r="A44" s="46"/>
      <c r="B44" s="274"/>
      <c r="C44" s="275"/>
      <c r="D44" s="275"/>
      <c r="E44" s="276"/>
    </row>
    <row r="45" spans="1:7" ht="18.75" customHeight="1">
      <c r="A45" s="65"/>
      <c r="B45" s="274"/>
      <c r="C45" s="275"/>
      <c r="D45" s="275"/>
      <c r="E45" s="276"/>
    </row>
    <row r="46" spans="1:7" ht="18.75" customHeight="1">
      <c r="A46" s="65"/>
      <c r="B46" s="277"/>
      <c r="C46" s="278"/>
      <c r="D46" s="278"/>
      <c r="E46" s="279"/>
    </row>
    <row r="47" spans="1:7" s="5" customFormat="1" ht="18.75" customHeight="1">
      <c r="A47" s="64" t="s">
        <v>14</v>
      </c>
      <c r="B47" s="46" t="s">
        <v>160</v>
      </c>
      <c r="C47" s="64"/>
      <c r="D47" s="64"/>
      <c r="E47" s="64"/>
    </row>
    <row r="48" spans="1:7" ht="18.75" customHeight="1">
      <c r="A48" s="65"/>
      <c r="B48" s="242" t="s">
        <v>180</v>
      </c>
      <c r="C48" s="280"/>
      <c r="D48" s="280"/>
      <c r="E48" s="281"/>
      <c r="F48" s="42"/>
      <c r="G48" s="85"/>
    </row>
    <row r="49" spans="1:6" ht="18.75" customHeight="1">
      <c r="A49" s="65"/>
      <c r="B49" s="282"/>
      <c r="C49" s="283"/>
      <c r="D49" s="283"/>
      <c r="E49" s="284"/>
    </row>
    <row r="50" spans="1:6" ht="18.75" customHeight="1">
      <c r="A50" s="65"/>
      <c r="B50" s="282"/>
      <c r="C50" s="283"/>
      <c r="D50" s="283"/>
      <c r="E50" s="284"/>
      <c r="F50" s="83"/>
    </row>
    <row r="51" spans="1:6" ht="18.75" customHeight="1">
      <c r="A51" s="65"/>
      <c r="B51" s="282"/>
      <c r="C51" s="283"/>
      <c r="D51" s="283"/>
      <c r="E51" s="284"/>
    </row>
    <row r="52" spans="1:6" ht="18.75" customHeight="1">
      <c r="A52" s="65"/>
      <c r="B52" s="282"/>
      <c r="C52" s="283"/>
      <c r="D52" s="283"/>
      <c r="E52" s="284"/>
      <c r="F52" s="82"/>
    </row>
    <row r="53" spans="1:6" ht="18.75" customHeight="1">
      <c r="A53" s="65"/>
      <c r="B53" s="282"/>
      <c r="C53" s="283"/>
      <c r="D53" s="283"/>
      <c r="E53" s="284"/>
    </row>
    <row r="54" spans="1:6" ht="18.75" customHeight="1">
      <c r="A54" s="65"/>
      <c r="B54" s="282"/>
      <c r="C54" s="283"/>
      <c r="D54" s="283"/>
      <c r="E54" s="284"/>
    </row>
    <row r="55" spans="1:6" ht="18.75" customHeight="1">
      <c r="A55" s="65"/>
      <c r="B55" s="282"/>
      <c r="C55" s="283"/>
      <c r="D55" s="283"/>
      <c r="E55" s="284"/>
    </row>
    <row r="56" spans="1:6" ht="18.75" customHeight="1">
      <c r="A56" s="65"/>
      <c r="B56" s="282"/>
      <c r="C56" s="283"/>
      <c r="D56" s="283"/>
      <c r="E56" s="284"/>
    </row>
    <row r="57" spans="1:6" ht="18.75" customHeight="1">
      <c r="A57" s="65"/>
      <c r="B57" s="282"/>
      <c r="C57" s="283"/>
      <c r="D57" s="283"/>
      <c r="E57" s="284"/>
    </row>
    <row r="58" spans="1:6" ht="18.75" customHeight="1">
      <c r="A58" s="65"/>
      <c r="B58" s="282"/>
      <c r="C58" s="283"/>
      <c r="D58" s="283"/>
      <c r="E58" s="284"/>
    </row>
    <row r="59" spans="1:6" ht="18.75" customHeight="1">
      <c r="A59" s="65"/>
      <c r="B59" s="282"/>
      <c r="C59" s="283"/>
      <c r="D59" s="283"/>
      <c r="E59" s="284"/>
    </row>
    <row r="60" spans="1:6" ht="18.75" customHeight="1">
      <c r="A60" s="65"/>
      <c r="B60" s="282"/>
      <c r="C60" s="283"/>
      <c r="D60" s="283"/>
      <c r="E60" s="284"/>
    </row>
    <row r="61" spans="1:6" ht="18.75" customHeight="1">
      <c r="A61" s="65"/>
      <c r="B61" s="282"/>
      <c r="C61" s="283"/>
      <c r="D61" s="283"/>
      <c r="E61" s="284"/>
    </row>
    <row r="62" spans="1:6" ht="18.75" customHeight="1">
      <c r="A62" s="65"/>
      <c r="B62" s="282"/>
      <c r="C62" s="283"/>
      <c r="D62" s="283"/>
      <c r="E62" s="284"/>
    </row>
    <row r="63" spans="1:6" ht="18.75" customHeight="1">
      <c r="A63" s="65"/>
      <c r="B63" s="282"/>
      <c r="C63" s="283"/>
      <c r="D63" s="283"/>
      <c r="E63" s="284"/>
    </row>
    <row r="64" spans="1:6" ht="18.75" customHeight="1">
      <c r="A64" s="65"/>
      <c r="B64" s="282"/>
      <c r="C64" s="283"/>
      <c r="D64" s="283"/>
      <c r="E64" s="284"/>
    </row>
    <row r="65" spans="1:6" ht="18.75" customHeight="1">
      <c r="A65" s="65"/>
      <c r="B65" s="282"/>
      <c r="C65" s="283"/>
      <c r="D65" s="283"/>
      <c r="E65" s="284"/>
    </row>
    <row r="66" spans="1:6" ht="18.75" customHeight="1">
      <c r="A66" s="65"/>
      <c r="B66" s="282"/>
      <c r="C66" s="283"/>
      <c r="D66" s="283"/>
      <c r="E66" s="284"/>
    </row>
    <row r="67" spans="1:6" ht="18.75" customHeight="1">
      <c r="A67" s="65"/>
      <c r="B67" s="282"/>
      <c r="C67" s="283"/>
      <c r="D67" s="283"/>
      <c r="E67" s="284"/>
    </row>
    <row r="68" spans="1:6" ht="18.75" customHeight="1">
      <c r="A68" s="65"/>
      <c r="B68" s="285"/>
      <c r="C68" s="286"/>
      <c r="D68" s="286"/>
      <c r="E68" s="287"/>
    </row>
    <row r="69" spans="1:6" ht="7.5" customHeight="1">
      <c r="A69" s="65"/>
      <c r="B69" s="65"/>
      <c r="C69" s="65"/>
      <c r="D69" s="65"/>
      <c r="E69" s="65"/>
    </row>
    <row r="70" spans="1:6" s="5" customFormat="1" ht="18.75" customHeight="1">
      <c r="A70" s="46" t="s">
        <v>18</v>
      </c>
      <c r="B70" s="46" t="s">
        <v>95</v>
      </c>
      <c r="C70" s="46"/>
      <c r="D70" s="46"/>
      <c r="E70" s="46"/>
    </row>
    <row r="71" spans="1:6" s="5" customFormat="1" ht="18.75" customHeight="1">
      <c r="A71" s="46"/>
      <c r="B71" s="242" t="s">
        <v>206</v>
      </c>
      <c r="C71" s="243"/>
      <c r="D71" s="243"/>
      <c r="E71" s="244"/>
      <c r="F71" s="42"/>
    </row>
    <row r="72" spans="1:6" s="5" customFormat="1" ht="18.75" customHeight="1">
      <c r="A72" s="46"/>
      <c r="B72" s="245"/>
      <c r="C72" s="246"/>
      <c r="D72" s="246"/>
      <c r="E72" s="247"/>
    </row>
    <row r="73" spans="1:6" s="5" customFormat="1" ht="18.75" customHeight="1">
      <c r="A73" s="46"/>
      <c r="B73" s="245"/>
      <c r="C73" s="246"/>
      <c r="D73" s="246"/>
      <c r="E73" s="247"/>
      <c r="F73" s="84"/>
    </row>
    <row r="74" spans="1:6" s="5" customFormat="1" ht="18.75" customHeight="1">
      <c r="A74" s="46"/>
      <c r="B74" s="245"/>
      <c r="C74" s="246"/>
      <c r="D74" s="246"/>
      <c r="E74" s="247"/>
    </row>
    <row r="75" spans="1:6" s="5" customFormat="1" ht="18.75" customHeight="1">
      <c r="A75" s="46"/>
      <c r="B75" s="245"/>
      <c r="C75" s="246"/>
      <c r="D75" s="246"/>
      <c r="E75" s="247"/>
    </row>
    <row r="76" spans="1:6" s="5" customFormat="1" ht="18.75" customHeight="1">
      <c r="A76" s="46"/>
      <c r="B76" s="245"/>
      <c r="C76" s="246"/>
      <c r="D76" s="246"/>
      <c r="E76" s="247"/>
    </row>
    <row r="77" spans="1:6" s="5" customFormat="1" ht="18.75" customHeight="1">
      <c r="A77" s="46"/>
      <c r="B77" s="245"/>
      <c r="C77" s="246"/>
      <c r="D77" s="246"/>
      <c r="E77" s="247"/>
    </row>
    <row r="78" spans="1:6" s="5" customFormat="1" ht="18.75" customHeight="1">
      <c r="A78" s="46"/>
      <c r="B78" s="245"/>
      <c r="C78" s="246"/>
      <c r="D78" s="246"/>
      <c r="E78" s="247"/>
    </row>
    <row r="79" spans="1:6" s="5" customFormat="1" ht="18.75" customHeight="1">
      <c r="A79" s="46"/>
      <c r="B79" s="245"/>
      <c r="C79" s="246"/>
      <c r="D79" s="246"/>
      <c r="E79" s="247"/>
    </row>
    <row r="80" spans="1:6" s="5" customFormat="1" ht="18.75" customHeight="1">
      <c r="A80" s="46"/>
      <c r="B80" s="245"/>
      <c r="C80" s="246"/>
      <c r="D80" s="246"/>
      <c r="E80" s="247"/>
    </row>
    <row r="81" spans="1:6" s="5" customFormat="1" ht="18.75" customHeight="1">
      <c r="A81" s="46"/>
      <c r="B81" s="245"/>
      <c r="C81" s="246"/>
      <c r="D81" s="246"/>
      <c r="E81" s="247"/>
      <c r="F81" s="84"/>
    </row>
    <row r="82" spans="1:6" s="5" customFormat="1" ht="18.75" customHeight="1">
      <c r="A82" s="46"/>
      <c r="B82" s="245"/>
      <c r="C82" s="246"/>
      <c r="D82" s="246"/>
      <c r="E82" s="247"/>
    </row>
    <row r="83" spans="1:6" s="5" customFormat="1" ht="18.75" customHeight="1">
      <c r="A83" s="46"/>
      <c r="B83" s="245"/>
      <c r="C83" s="246"/>
      <c r="D83" s="246"/>
      <c r="E83" s="247"/>
    </row>
    <row r="84" spans="1:6" s="5" customFormat="1" ht="18.75" customHeight="1">
      <c r="A84" s="46"/>
      <c r="B84" s="245"/>
      <c r="C84" s="246"/>
      <c r="D84" s="246"/>
      <c r="E84" s="247"/>
    </row>
    <row r="85" spans="1:6" s="5" customFormat="1" ht="18.75" customHeight="1">
      <c r="A85" s="46"/>
      <c r="B85" s="245"/>
      <c r="C85" s="246"/>
      <c r="D85" s="246"/>
      <c r="E85" s="247"/>
    </row>
    <row r="86" spans="1:6" s="5" customFormat="1" ht="18.75" customHeight="1">
      <c r="A86" s="46"/>
      <c r="B86" s="245"/>
      <c r="C86" s="246"/>
      <c r="D86" s="246"/>
      <c r="E86" s="247"/>
    </row>
    <row r="87" spans="1:6" s="5" customFormat="1" ht="18.75" customHeight="1">
      <c r="A87" s="46"/>
      <c r="B87" s="245"/>
      <c r="C87" s="246"/>
      <c r="D87" s="246"/>
      <c r="E87" s="247"/>
    </row>
    <row r="88" spans="1:6" ht="18.75" customHeight="1">
      <c r="A88" s="65"/>
      <c r="B88" s="245"/>
      <c r="C88" s="246"/>
      <c r="D88" s="246"/>
      <c r="E88" s="247"/>
    </row>
    <row r="89" spans="1:6" ht="18.75" customHeight="1">
      <c r="A89" s="65"/>
      <c r="B89" s="248"/>
      <c r="C89" s="249"/>
      <c r="D89" s="249"/>
      <c r="E89" s="250"/>
    </row>
    <row r="90" spans="1:6" ht="7.5" customHeight="1">
      <c r="A90" s="65"/>
      <c r="B90" s="65"/>
      <c r="C90" s="65"/>
      <c r="D90" s="65"/>
      <c r="E90" s="65"/>
    </row>
    <row r="91" spans="1:6" s="5" customFormat="1" ht="18.75" customHeight="1">
      <c r="A91" s="46" t="s">
        <v>15</v>
      </c>
      <c r="B91" s="46" t="s">
        <v>34</v>
      </c>
      <c r="C91" s="46"/>
      <c r="D91" s="46"/>
      <c r="E91" s="46"/>
    </row>
    <row r="92" spans="1:6" s="5" customFormat="1" ht="18.75" customHeight="1">
      <c r="A92" s="46"/>
      <c r="B92" s="251" t="s">
        <v>203</v>
      </c>
      <c r="C92" s="252"/>
      <c r="D92" s="252"/>
      <c r="E92" s="253"/>
      <c r="F92" s="42"/>
    </row>
    <row r="93" spans="1:6" s="5" customFormat="1" ht="18.75" customHeight="1">
      <c r="A93" s="46"/>
      <c r="B93" s="254"/>
      <c r="C93" s="255"/>
      <c r="D93" s="255"/>
      <c r="E93" s="256"/>
    </row>
    <row r="94" spans="1:6" s="5" customFormat="1" ht="18.75" customHeight="1">
      <c r="A94" s="46"/>
      <c r="B94" s="254"/>
      <c r="C94" s="255"/>
      <c r="D94" s="255"/>
      <c r="E94" s="256"/>
      <c r="F94" s="84"/>
    </row>
    <row r="95" spans="1:6" s="5" customFormat="1" ht="18.75" customHeight="1">
      <c r="A95" s="46"/>
      <c r="B95" s="254"/>
      <c r="C95" s="255"/>
      <c r="D95" s="255"/>
      <c r="E95" s="256"/>
    </row>
    <row r="96" spans="1:6" s="5" customFormat="1" ht="18.75" customHeight="1">
      <c r="A96" s="46"/>
      <c r="B96" s="254"/>
      <c r="C96" s="255"/>
      <c r="D96" s="255"/>
      <c r="E96" s="256"/>
    </row>
    <row r="97" spans="1:5" s="5" customFormat="1" ht="18.75" customHeight="1">
      <c r="A97" s="46"/>
      <c r="B97" s="254"/>
      <c r="C97" s="255"/>
      <c r="D97" s="255"/>
      <c r="E97" s="256"/>
    </row>
    <row r="98" spans="1:5" s="5" customFormat="1" ht="18.75" customHeight="1">
      <c r="A98" s="46"/>
      <c r="B98" s="254"/>
      <c r="C98" s="255"/>
      <c r="D98" s="255"/>
      <c r="E98" s="256"/>
    </row>
    <row r="99" spans="1:5" s="5" customFormat="1" ht="18.75" customHeight="1">
      <c r="A99" s="46"/>
      <c r="B99" s="254"/>
      <c r="C99" s="255"/>
      <c r="D99" s="255"/>
      <c r="E99" s="256"/>
    </row>
    <row r="100" spans="1:5" s="5" customFormat="1" ht="18.75" customHeight="1">
      <c r="A100" s="46"/>
      <c r="B100" s="254"/>
      <c r="C100" s="255"/>
      <c r="D100" s="255"/>
      <c r="E100" s="256"/>
    </row>
    <row r="101" spans="1:5" s="5" customFormat="1" ht="18.75" customHeight="1">
      <c r="A101" s="46"/>
      <c r="B101" s="254"/>
      <c r="C101" s="255"/>
      <c r="D101" s="255"/>
      <c r="E101" s="256"/>
    </row>
    <row r="102" spans="1:5" s="5" customFormat="1" ht="18.75" customHeight="1">
      <c r="A102" s="46"/>
      <c r="B102" s="254"/>
      <c r="C102" s="255"/>
      <c r="D102" s="255"/>
      <c r="E102" s="256"/>
    </row>
    <row r="103" spans="1:5" s="5" customFormat="1" ht="18.75" customHeight="1">
      <c r="A103" s="46"/>
      <c r="B103" s="254"/>
      <c r="C103" s="255"/>
      <c r="D103" s="255"/>
      <c r="E103" s="256"/>
    </row>
    <row r="104" spans="1:5" s="5" customFormat="1" ht="18.75" customHeight="1">
      <c r="A104" s="46"/>
      <c r="B104" s="254"/>
      <c r="C104" s="255"/>
      <c r="D104" s="255"/>
      <c r="E104" s="256"/>
    </row>
    <row r="105" spans="1:5" s="5" customFormat="1" ht="18.75" customHeight="1">
      <c r="A105" s="46"/>
      <c r="B105" s="254"/>
      <c r="C105" s="255"/>
      <c r="D105" s="255"/>
      <c r="E105" s="256"/>
    </row>
    <row r="106" spans="1:5" s="5" customFormat="1" ht="18.75" customHeight="1">
      <c r="A106" s="46"/>
      <c r="B106" s="254"/>
      <c r="C106" s="255"/>
      <c r="D106" s="255"/>
      <c r="E106" s="256"/>
    </row>
    <row r="107" spans="1:5" s="5" customFormat="1" ht="18.75" customHeight="1">
      <c r="A107" s="46"/>
      <c r="B107" s="254"/>
      <c r="C107" s="255"/>
      <c r="D107" s="255"/>
      <c r="E107" s="256"/>
    </row>
    <row r="108" spans="1:5" s="5" customFormat="1" ht="18.75" customHeight="1">
      <c r="A108" s="46"/>
      <c r="B108" s="254"/>
      <c r="C108" s="255"/>
      <c r="D108" s="255"/>
      <c r="E108" s="256"/>
    </row>
    <row r="109" spans="1:5" s="5" customFormat="1" ht="18.75" customHeight="1">
      <c r="A109" s="46"/>
      <c r="B109" s="254"/>
      <c r="C109" s="255"/>
      <c r="D109" s="255"/>
      <c r="E109" s="256"/>
    </row>
    <row r="110" spans="1:5" ht="18.75" customHeight="1">
      <c r="A110" s="65"/>
      <c r="B110" s="254"/>
      <c r="C110" s="255"/>
      <c r="D110" s="255"/>
      <c r="E110" s="256"/>
    </row>
    <row r="111" spans="1:5" ht="18.75" customHeight="1">
      <c r="A111" s="65"/>
      <c r="B111" s="257"/>
      <c r="C111" s="258"/>
      <c r="D111" s="258"/>
      <c r="E111" s="259"/>
    </row>
    <row r="112" spans="1:5" ht="7.5" customHeight="1">
      <c r="A112" s="65"/>
      <c r="B112" s="65"/>
      <c r="C112" s="65"/>
      <c r="D112" s="65"/>
      <c r="E112" s="65"/>
    </row>
    <row r="113" spans="1:7" s="5" customFormat="1" ht="18.75" customHeight="1">
      <c r="A113" s="46" t="s">
        <v>62</v>
      </c>
      <c r="B113" s="260" t="s">
        <v>128</v>
      </c>
      <c r="C113" s="260"/>
      <c r="D113" s="260"/>
      <c r="E113" s="260"/>
    </row>
    <row r="114" spans="1:7" ht="18.75" customHeight="1">
      <c r="A114" s="65"/>
      <c r="B114" s="242" t="s">
        <v>204</v>
      </c>
      <c r="C114" s="243"/>
      <c r="D114" s="243"/>
      <c r="E114" s="244"/>
      <c r="F114" s="42"/>
      <c r="G114" s="85"/>
    </row>
    <row r="115" spans="1:7" ht="18.75" customHeight="1">
      <c r="A115" s="65"/>
      <c r="B115" s="245"/>
      <c r="C115" s="246"/>
      <c r="D115" s="246"/>
      <c r="E115" s="247"/>
      <c r="F115" s="82"/>
    </row>
    <row r="116" spans="1:7" ht="18.75" customHeight="1">
      <c r="A116" s="65"/>
      <c r="B116" s="245"/>
      <c r="C116" s="246"/>
      <c r="D116" s="246"/>
      <c r="E116" s="247"/>
    </row>
    <row r="117" spans="1:7" ht="18.75" customHeight="1">
      <c r="A117" s="65"/>
      <c r="B117" s="245"/>
      <c r="C117" s="246"/>
      <c r="D117" s="246"/>
      <c r="E117" s="247"/>
    </row>
    <row r="118" spans="1:7" ht="18.75" customHeight="1">
      <c r="A118" s="65"/>
      <c r="B118" s="245"/>
      <c r="C118" s="246"/>
      <c r="D118" s="246"/>
      <c r="E118" s="247"/>
    </row>
    <row r="119" spans="1:7" ht="18.75" customHeight="1">
      <c r="A119" s="65"/>
      <c r="B119" s="245"/>
      <c r="C119" s="246"/>
      <c r="D119" s="246"/>
      <c r="E119" s="247"/>
    </row>
    <row r="120" spans="1:7" ht="18.75" customHeight="1">
      <c r="A120" s="65"/>
      <c r="B120" s="245"/>
      <c r="C120" s="246"/>
      <c r="D120" s="246"/>
      <c r="E120" s="247"/>
      <c r="F120" s="82"/>
    </row>
    <row r="121" spans="1:7" ht="18.75" customHeight="1">
      <c r="A121" s="65"/>
      <c r="B121" s="245"/>
      <c r="C121" s="246"/>
      <c r="D121" s="246"/>
      <c r="E121" s="247"/>
    </row>
    <row r="122" spans="1:7" ht="18.75" customHeight="1">
      <c r="A122" s="65"/>
      <c r="B122" s="245"/>
      <c r="C122" s="246"/>
      <c r="D122" s="246"/>
      <c r="E122" s="247"/>
    </row>
    <row r="123" spans="1:7" ht="18.75" customHeight="1">
      <c r="A123" s="65"/>
      <c r="B123" s="245"/>
      <c r="C123" s="246"/>
      <c r="D123" s="246"/>
      <c r="E123" s="247"/>
    </row>
    <row r="124" spans="1:7" ht="18.75" customHeight="1">
      <c r="A124" s="65"/>
      <c r="B124" s="245"/>
      <c r="C124" s="246"/>
      <c r="D124" s="246"/>
      <c r="E124" s="247"/>
    </row>
    <row r="125" spans="1:7" ht="18.75" customHeight="1">
      <c r="A125" s="65"/>
      <c r="B125" s="245"/>
      <c r="C125" s="246"/>
      <c r="D125" s="246"/>
      <c r="E125" s="247"/>
    </row>
    <row r="126" spans="1:7" ht="18.75" customHeight="1">
      <c r="A126" s="65"/>
      <c r="B126" s="245"/>
      <c r="C126" s="246"/>
      <c r="D126" s="246"/>
      <c r="E126" s="247"/>
    </row>
    <row r="127" spans="1:7" ht="18.75" customHeight="1">
      <c r="A127" s="65"/>
      <c r="B127" s="245"/>
      <c r="C127" s="246"/>
      <c r="D127" s="246"/>
      <c r="E127" s="247"/>
    </row>
    <row r="128" spans="1:7" ht="18.75" customHeight="1">
      <c r="A128" s="65"/>
      <c r="B128" s="245"/>
      <c r="C128" s="246"/>
      <c r="D128" s="246"/>
      <c r="E128" s="247"/>
    </row>
    <row r="129" spans="1:5" ht="18.75" customHeight="1">
      <c r="A129" s="65"/>
      <c r="B129" s="245"/>
      <c r="C129" s="246"/>
      <c r="D129" s="246"/>
      <c r="E129" s="247"/>
    </row>
    <row r="130" spans="1:5" ht="18.75" customHeight="1">
      <c r="A130" s="65"/>
      <c r="B130" s="245"/>
      <c r="C130" s="246"/>
      <c r="D130" s="246"/>
      <c r="E130" s="247"/>
    </row>
    <row r="131" spans="1:5" ht="18.75" customHeight="1">
      <c r="A131" s="65"/>
      <c r="B131" s="245"/>
      <c r="C131" s="246"/>
      <c r="D131" s="246"/>
      <c r="E131" s="247"/>
    </row>
    <row r="132" spans="1:5" ht="18.75" customHeight="1">
      <c r="A132" s="65"/>
      <c r="B132" s="245"/>
      <c r="C132" s="246"/>
      <c r="D132" s="246"/>
      <c r="E132" s="247"/>
    </row>
    <row r="133" spans="1:5" ht="18.75" customHeight="1">
      <c r="A133" s="65"/>
      <c r="B133" s="248"/>
      <c r="C133" s="249"/>
      <c r="D133" s="249"/>
      <c r="E133" s="250"/>
    </row>
    <row r="134" spans="1:5" ht="7.5" customHeight="1">
      <c r="A134" s="6"/>
      <c r="B134" s="8"/>
      <c r="C134" s="8"/>
      <c r="D134" s="8"/>
      <c r="E134" s="8"/>
    </row>
    <row r="135" spans="1:5" ht="18.75" customHeight="1">
      <c r="A135" s="6"/>
      <c r="B135" s="6"/>
      <c r="C135" s="6"/>
      <c r="D135" s="6"/>
      <c r="E135" s="6"/>
    </row>
    <row r="136" spans="1:5" ht="18.75" customHeight="1">
      <c r="A136" s="6"/>
      <c r="B136" s="6"/>
      <c r="C136" s="6"/>
      <c r="D136" s="6"/>
      <c r="E136" s="6"/>
    </row>
    <row r="137" spans="1:5" ht="18.75" customHeight="1">
      <c r="A137" s="6"/>
      <c r="B137" s="6"/>
      <c r="C137" s="6"/>
      <c r="D137" s="6"/>
      <c r="E137" s="6"/>
    </row>
    <row r="138" spans="1:5" ht="18.75" customHeight="1">
      <c r="A138" s="6"/>
      <c r="B138" s="6"/>
      <c r="C138" s="6"/>
      <c r="D138" s="6"/>
      <c r="E138" s="6"/>
    </row>
    <row r="139" spans="1:5" ht="18.75" customHeight="1">
      <c r="A139" s="6"/>
      <c r="B139" s="6"/>
      <c r="C139" s="6"/>
      <c r="D139" s="6"/>
      <c r="E139" s="6"/>
    </row>
    <row r="140" spans="1:5" ht="18.75" customHeight="1">
      <c r="A140" s="6"/>
      <c r="B140" s="6"/>
      <c r="C140" s="6"/>
      <c r="D140" s="6"/>
      <c r="E140" s="6"/>
    </row>
    <row r="141" spans="1:5" ht="18.75" customHeight="1">
      <c r="A141" s="6"/>
      <c r="B141" s="6"/>
      <c r="C141" s="6"/>
      <c r="D141" s="6"/>
      <c r="E141" s="6"/>
    </row>
    <row r="142" spans="1:5" ht="18.75" customHeight="1">
      <c r="A142" s="6"/>
      <c r="B142" s="6"/>
      <c r="C142" s="6"/>
      <c r="D142" s="6"/>
      <c r="E142" s="6"/>
    </row>
    <row r="143" spans="1:5" ht="18.75" customHeight="1">
      <c r="A143" s="6"/>
      <c r="B143" s="6"/>
      <c r="C143" s="6"/>
      <c r="D143" s="6"/>
      <c r="E143" s="6"/>
    </row>
    <row r="144" spans="1:5" ht="18.75" customHeight="1">
      <c r="A144" s="6"/>
      <c r="B144" s="6"/>
      <c r="C144" s="6"/>
      <c r="D144" s="6"/>
      <c r="E144" s="6"/>
    </row>
    <row r="145" spans="1:5" ht="18.75" customHeight="1">
      <c r="A145" s="6"/>
      <c r="B145" s="6"/>
      <c r="C145" s="6"/>
      <c r="D145" s="6"/>
      <c r="E145" s="6"/>
    </row>
    <row r="146" spans="1:5" ht="18.75" customHeight="1">
      <c r="A146" s="6"/>
      <c r="B146" s="6"/>
      <c r="C146" s="6"/>
      <c r="D146" s="6"/>
      <c r="E146" s="6"/>
    </row>
    <row r="147" spans="1:5" ht="14.25">
      <c r="A147" s="6"/>
      <c r="B147" s="6"/>
      <c r="C147" s="6"/>
      <c r="D147" s="6"/>
      <c r="E147" s="6"/>
    </row>
    <row r="148" spans="1:5" ht="7.5" customHeight="1">
      <c r="A148" s="4"/>
      <c r="B148" s="4"/>
      <c r="C148" s="4"/>
      <c r="D148" s="4"/>
      <c r="E148" s="4"/>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3"/>
  <printOptions horizontalCentered="1"/>
  <pageMargins left="0.78740157480314965" right="0.78740157480314965" top="0.78740157480314965" bottom="0.78740157480314965" header="0.31496062992125984" footer="0.31496062992125984"/>
  <pageSetup paperSize="9" orientation="portrait" cellComments="asDisplayed"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
  <sheetViews>
    <sheetView showZeros="0" tabSelected="1" topLeftCell="A19" zoomScaleNormal="100" workbookViewId="0">
      <selection activeCell="E29" sqref="E29"/>
    </sheetView>
  </sheetViews>
  <sheetFormatPr defaultColWidth="11.375" defaultRowHeight="22.5" customHeight="1"/>
  <cols>
    <col min="1" max="3" width="2.5" style="1" customWidth="1"/>
    <col min="4" max="4" width="22.5" style="1" customWidth="1"/>
    <col min="5" max="5" width="21.125" style="1" customWidth="1"/>
    <col min="6" max="7" width="7.5" style="1" customWidth="1"/>
    <col min="8" max="8" width="32.5" style="1" customWidth="1"/>
    <col min="9" max="9" width="24.875" style="1" customWidth="1"/>
    <col min="10" max="10" width="6.125" style="1" customWidth="1"/>
    <col min="11" max="11" width="4.125" style="1" customWidth="1"/>
    <col min="12" max="16384" width="11.375" style="1"/>
  </cols>
  <sheetData>
    <row r="1" spans="1:12" s="14" customFormat="1" ht="18.75" customHeight="1">
      <c r="J1" s="114" t="s">
        <v>9</v>
      </c>
    </row>
    <row r="2" spans="1:12" s="14" customFormat="1" ht="18.75" customHeight="1">
      <c r="D2" s="114"/>
      <c r="H2" s="114" t="s">
        <v>31</v>
      </c>
      <c r="I2" s="261" t="s">
        <v>143</v>
      </c>
      <c r="J2" s="261"/>
    </row>
    <row r="3" spans="1:12" s="14" customFormat="1" ht="18.75" customHeight="1">
      <c r="A3" s="148" t="s">
        <v>50</v>
      </c>
      <c r="B3" s="148"/>
      <c r="C3" s="148"/>
      <c r="D3" s="148"/>
      <c r="E3" s="148"/>
      <c r="F3" s="148"/>
      <c r="G3" s="148"/>
      <c r="H3" s="148"/>
      <c r="I3" s="148"/>
      <c r="J3" s="148"/>
    </row>
    <row r="4" spans="1:12" s="14" customFormat="1" ht="7.5" customHeight="1">
      <c r="B4" s="119"/>
      <c r="C4" s="119"/>
      <c r="D4" s="308"/>
      <c r="E4" s="308"/>
      <c r="F4" s="308"/>
      <c r="G4" s="308"/>
      <c r="H4" s="308"/>
      <c r="I4" s="308"/>
      <c r="J4" s="308"/>
    </row>
    <row r="5" spans="1:12" s="14" customFormat="1" ht="18.75" customHeight="1">
      <c r="A5" s="14" t="s">
        <v>7</v>
      </c>
      <c r="B5" s="43" t="s">
        <v>48</v>
      </c>
      <c r="C5" s="119"/>
      <c r="D5" s="119"/>
      <c r="E5" s="119"/>
      <c r="F5" s="119"/>
      <c r="G5" s="119"/>
      <c r="H5" s="119"/>
      <c r="I5" s="119"/>
      <c r="J5" s="119"/>
    </row>
    <row r="6" spans="1:12" s="14" customFormat="1" ht="18.75" customHeight="1">
      <c r="B6" s="140" t="s">
        <v>45</v>
      </c>
      <c r="C6" s="141"/>
      <c r="D6" s="142"/>
      <c r="E6" s="141" t="s">
        <v>47</v>
      </c>
      <c r="F6" s="141"/>
      <c r="G6" s="141"/>
      <c r="H6" s="141"/>
      <c r="I6" s="141"/>
      <c r="J6" s="142"/>
    </row>
    <row r="7" spans="1:12" s="14" customFormat="1" ht="18.75" customHeight="1">
      <c r="B7" s="48" t="s">
        <v>35</v>
      </c>
      <c r="C7" s="65"/>
      <c r="D7" s="66"/>
      <c r="E7" s="50"/>
      <c r="F7" s="50"/>
      <c r="G7" s="50"/>
      <c r="H7" s="50"/>
      <c r="I7" s="65"/>
      <c r="J7" s="66"/>
    </row>
    <row r="8" spans="1:12" s="14" customFormat="1" ht="202.5" customHeight="1">
      <c r="B8" s="67"/>
      <c r="C8" s="294" t="s">
        <v>36</v>
      </c>
      <c r="D8" s="295"/>
      <c r="E8" s="307" t="s">
        <v>186</v>
      </c>
      <c r="F8" s="305"/>
      <c r="G8" s="305"/>
      <c r="H8" s="305"/>
      <c r="I8" s="305"/>
      <c r="J8" s="306"/>
      <c r="K8" s="115"/>
      <c r="L8" s="86"/>
    </row>
    <row r="9" spans="1:12" s="14" customFormat="1" ht="202.5" customHeight="1">
      <c r="B9" s="67"/>
      <c r="C9" s="292" t="s">
        <v>37</v>
      </c>
      <c r="D9" s="293"/>
      <c r="E9" s="307" t="s">
        <v>256</v>
      </c>
      <c r="F9" s="305"/>
      <c r="G9" s="305"/>
      <c r="H9" s="305"/>
      <c r="I9" s="305"/>
      <c r="J9" s="306"/>
      <c r="K9" s="115"/>
    </row>
    <row r="10" spans="1:12" s="14" customFormat="1" ht="172.5" customHeight="1">
      <c r="B10" s="67"/>
      <c r="C10" s="294" t="s">
        <v>38</v>
      </c>
      <c r="D10" s="295"/>
      <c r="E10" s="307" t="s">
        <v>257</v>
      </c>
      <c r="F10" s="305"/>
      <c r="G10" s="305"/>
      <c r="H10" s="305"/>
      <c r="I10" s="305"/>
      <c r="J10" s="306"/>
      <c r="K10" s="115"/>
    </row>
    <row r="11" spans="1:12" s="14" customFormat="1" ht="172.5" customHeight="1">
      <c r="B11" s="67"/>
      <c r="C11" s="294" t="s">
        <v>39</v>
      </c>
      <c r="D11" s="295"/>
      <c r="E11" s="307" t="s">
        <v>198</v>
      </c>
      <c r="F11" s="305"/>
      <c r="G11" s="305"/>
      <c r="H11" s="305"/>
      <c r="I11" s="305"/>
      <c r="J11" s="306"/>
      <c r="K11" s="115"/>
    </row>
    <row r="12" spans="1:12" s="14" customFormat="1" ht="172.5" customHeight="1">
      <c r="B12" s="67"/>
      <c r="C12" s="294" t="s">
        <v>40</v>
      </c>
      <c r="D12" s="295"/>
      <c r="E12" s="307" t="s">
        <v>197</v>
      </c>
      <c r="F12" s="305"/>
      <c r="G12" s="305"/>
      <c r="H12" s="305"/>
      <c r="I12" s="305"/>
      <c r="J12" s="306"/>
      <c r="K12" s="115"/>
    </row>
    <row r="13" spans="1:12" s="14" customFormat="1" ht="18.75" customHeight="1">
      <c r="B13" s="68" t="s">
        <v>41</v>
      </c>
      <c r="C13" s="69"/>
      <c r="D13" s="70"/>
      <c r="E13" s="71"/>
      <c r="F13" s="71"/>
      <c r="G13" s="71"/>
      <c r="H13" s="71"/>
      <c r="I13" s="71"/>
      <c r="J13" s="72"/>
    </row>
    <row r="14" spans="1:12" s="14" customFormat="1" ht="255" customHeight="1">
      <c r="B14" s="67"/>
      <c r="C14" s="294" t="s">
        <v>42</v>
      </c>
      <c r="D14" s="295"/>
      <c r="E14" s="296" t="s">
        <v>199</v>
      </c>
      <c r="F14" s="297"/>
      <c r="G14" s="297"/>
      <c r="H14" s="297"/>
      <c r="I14" s="297"/>
      <c r="J14" s="298"/>
      <c r="K14" s="115"/>
    </row>
    <row r="15" spans="1:12" s="14" customFormat="1" ht="255" customHeight="1">
      <c r="B15" s="67"/>
      <c r="C15" s="299" t="s">
        <v>43</v>
      </c>
      <c r="D15" s="300"/>
      <c r="E15" s="301" t="s">
        <v>200</v>
      </c>
      <c r="F15" s="301"/>
      <c r="G15" s="301"/>
      <c r="H15" s="301"/>
      <c r="I15" s="301"/>
      <c r="J15" s="302"/>
      <c r="K15" s="115"/>
    </row>
    <row r="16" spans="1:12" s="14" customFormat="1" ht="232.5" customHeight="1">
      <c r="B16" s="303" t="s">
        <v>44</v>
      </c>
      <c r="C16" s="304"/>
      <c r="D16" s="295"/>
      <c r="E16" s="305" t="s">
        <v>258</v>
      </c>
      <c r="F16" s="305"/>
      <c r="G16" s="305"/>
      <c r="H16" s="305"/>
      <c r="I16" s="305"/>
      <c r="J16" s="306"/>
      <c r="K16" s="115"/>
    </row>
    <row r="17" spans="1:11" s="14" customFormat="1" ht="232.5" customHeight="1">
      <c r="B17" s="289" t="s">
        <v>85</v>
      </c>
      <c r="C17" s="290"/>
      <c r="D17" s="291"/>
      <c r="E17" s="286" t="s">
        <v>168</v>
      </c>
      <c r="F17" s="286"/>
      <c r="G17" s="286"/>
      <c r="H17" s="286"/>
      <c r="I17" s="286"/>
      <c r="J17" s="287"/>
      <c r="K17" s="115"/>
    </row>
    <row r="18" spans="1:11" ht="7.5" customHeight="1">
      <c r="B18" s="19"/>
      <c r="C18" s="19"/>
      <c r="D18" s="19"/>
      <c r="E18" s="20"/>
      <c r="F18" s="21"/>
      <c r="G18" s="23"/>
      <c r="H18" s="21"/>
      <c r="I18" s="20"/>
      <c r="J18" s="20"/>
    </row>
    <row r="19" spans="1:11" ht="18.75" customHeight="1">
      <c r="B19" s="5"/>
      <c r="C19" s="28"/>
      <c r="D19" s="28"/>
      <c r="E19" s="29"/>
      <c r="F19" s="24"/>
      <c r="G19" s="24"/>
      <c r="H19" s="34" t="s">
        <v>110</v>
      </c>
      <c r="I19" s="30"/>
      <c r="J19" s="30"/>
    </row>
    <row r="20" spans="1:11" ht="18.75" customHeight="1">
      <c r="A20" s="3" t="s">
        <v>12</v>
      </c>
      <c r="B20" s="31" t="s">
        <v>49</v>
      </c>
      <c r="C20" s="32"/>
      <c r="D20" s="32"/>
      <c r="E20" s="33"/>
      <c r="F20" s="113" t="s">
        <v>217</v>
      </c>
      <c r="G20" s="24"/>
      <c r="H20" s="126" t="s">
        <v>259</v>
      </c>
      <c r="I20" s="124"/>
      <c r="J20" s="125"/>
    </row>
    <row r="21" spans="1:11" ht="22.5" customHeight="1">
      <c r="B21" s="19"/>
      <c r="C21" s="19"/>
      <c r="D21" s="19"/>
      <c r="E21" s="20"/>
      <c r="F21" s="21"/>
      <c r="G21" s="23"/>
      <c r="H21" s="319"/>
      <c r="I21" s="20"/>
      <c r="J21" s="20"/>
    </row>
    <row r="22" spans="1:11" ht="22.5" customHeight="1">
      <c r="B22" s="19"/>
      <c r="C22" s="19"/>
      <c r="D22" s="19"/>
      <c r="E22" s="20"/>
      <c r="F22" s="21"/>
      <c r="G22" s="23"/>
      <c r="H22" s="21"/>
      <c r="I22" s="20"/>
      <c r="J22" s="20"/>
    </row>
    <row r="23" spans="1:11" ht="22.5" customHeight="1">
      <c r="B23" s="19"/>
      <c r="C23" s="19"/>
      <c r="D23" s="19"/>
      <c r="E23" s="20"/>
      <c r="F23" s="21"/>
      <c r="G23" s="23"/>
      <c r="H23" s="21"/>
      <c r="I23" s="20"/>
      <c r="J23" s="20"/>
    </row>
    <row r="24" spans="1:11" ht="22.5" customHeight="1">
      <c r="B24" s="19"/>
      <c r="C24" s="19"/>
      <c r="D24" s="19"/>
      <c r="E24" s="20"/>
      <c r="F24" s="21"/>
      <c r="G24" s="23"/>
      <c r="H24" s="21"/>
      <c r="I24" s="20"/>
      <c r="J24" s="20"/>
    </row>
    <row r="25" spans="1:11" ht="22.5" customHeight="1">
      <c r="B25" s="19"/>
      <c r="C25" s="19"/>
      <c r="D25" s="19"/>
      <c r="E25" s="20"/>
      <c r="F25" s="21"/>
      <c r="G25" s="23"/>
      <c r="H25" s="21"/>
      <c r="I25" s="20"/>
      <c r="J25" s="20"/>
    </row>
    <row r="26" spans="1:11" ht="22.5" customHeight="1">
      <c r="B26" s="10"/>
      <c r="C26" s="10"/>
      <c r="D26" s="10"/>
      <c r="E26" s="10"/>
      <c r="F26" s="10"/>
      <c r="G26" s="10"/>
      <c r="H26" s="10"/>
      <c r="I26" s="10"/>
      <c r="J26" s="10"/>
    </row>
    <row r="27" spans="1:11" ht="22.5" customHeight="1">
      <c r="B27" s="10"/>
      <c r="C27" s="10"/>
      <c r="D27" s="10"/>
      <c r="E27" s="10"/>
      <c r="F27" s="10"/>
      <c r="G27" s="10"/>
      <c r="H27" s="10"/>
      <c r="I27" s="10"/>
      <c r="J27" s="10"/>
    </row>
    <row r="28" spans="1:11" ht="22.5" customHeight="1">
      <c r="B28" s="10"/>
      <c r="C28" s="10"/>
      <c r="D28" s="10"/>
      <c r="E28" s="10"/>
      <c r="F28" s="10"/>
      <c r="G28" s="10"/>
      <c r="H28" s="10"/>
      <c r="I28" s="10"/>
      <c r="J28" s="10"/>
    </row>
  </sheetData>
  <mergeCells count="23">
    <mergeCell ref="C8:D8"/>
    <mergeCell ref="E8:J8"/>
    <mergeCell ref="E9:J9"/>
    <mergeCell ref="C10:D10"/>
    <mergeCell ref="E10:J10"/>
    <mergeCell ref="I2:J2"/>
    <mergeCell ref="A3:J3"/>
    <mergeCell ref="D4:J4"/>
    <mergeCell ref="B6:D6"/>
    <mergeCell ref="E6:J6"/>
    <mergeCell ref="E17:J17"/>
    <mergeCell ref="B17:D17"/>
    <mergeCell ref="C9:D9"/>
    <mergeCell ref="C14:D14"/>
    <mergeCell ref="E14:J14"/>
    <mergeCell ref="C15:D15"/>
    <mergeCell ref="E15:J15"/>
    <mergeCell ref="B16:D16"/>
    <mergeCell ref="E16:J16"/>
    <mergeCell ref="C12:D12"/>
    <mergeCell ref="E12:J12"/>
    <mergeCell ref="C11:D11"/>
    <mergeCell ref="E11:J11"/>
  </mergeCells>
  <phoneticPr fontId="3"/>
  <dataValidations count="2">
    <dataValidation type="list" allowBlank="1" showInputMessage="1" showErrorMessage="1" sqref="F19:G19">
      <formula1>#REF!</formula1>
    </dataValidation>
    <dataValidation type="list" allowBlank="1" showInputMessage="1" showErrorMessage="1" sqref="F20">
      <formula1>"有,無,予定"</formula1>
    </dataValidation>
  </dataValidations>
  <hyperlinks>
    <hyperlink ref="H20" r:id="rId1"/>
  </hyperlinks>
  <printOptions horizontalCentered="1"/>
  <pageMargins left="0.78740157480314965" right="0.78740157480314965" top="0.78740157480314965" bottom="0.78740157480314965" header="0.31496062992125984" footer="0.31496062992125984"/>
  <pageSetup paperSize="9" orientation="landscape" cellComments="asDisplayed"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0"/>
  <sheetViews>
    <sheetView showZeros="0" workbookViewId="0"/>
  </sheetViews>
  <sheetFormatPr defaultColWidth="11.375" defaultRowHeight="18.75" customHeight="1"/>
  <cols>
    <col min="1" max="1" width="2.5" style="1" customWidth="1"/>
    <col min="2" max="2" width="15" style="1" customWidth="1"/>
    <col min="3" max="3" width="37.5" style="1" customWidth="1"/>
    <col min="4" max="4" width="1.125" style="1" customWidth="1"/>
    <col min="5" max="5" width="21.125" style="1" customWidth="1"/>
    <col min="6" max="6" width="8.625" style="1" customWidth="1"/>
    <col min="7" max="8" width="2.125" style="1" customWidth="1"/>
    <col min="9" max="16384" width="11.375" style="1"/>
  </cols>
  <sheetData>
    <row r="1" spans="1:9" ht="18.75" customHeight="1">
      <c r="E1" s="191" t="s">
        <v>16</v>
      </c>
      <c r="F1" s="191"/>
      <c r="I1" s="77"/>
    </row>
    <row r="2" spans="1:9" ht="18.75" customHeight="1">
      <c r="C2" s="12" t="s">
        <v>86</v>
      </c>
      <c r="D2" s="12" t="s">
        <v>8</v>
      </c>
      <c r="E2" s="318"/>
      <c r="F2" s="318"/>
    </row>
    <row r="3" spans="1:9" ht="7.5" customHeight="1">
      <c r="C3" s="12"/>
      <c r="D3" s="12"/>
      <c r="E3" s="11"/>
      <c r="F3" s="11"/>
    </row>
    <row r="4" spans="1:9" ht="18.75" customHeight="1">
      <c r="A4" s="201" t="s">
        <v>120</v>
      </c>
      <c r="B4" s="201"/>
      <c r="C4" s="201"/>
      <c r="D4" s="201"/>
      <c r="E4" s="201"/>
      <c r="F4" s="201"/>
    </row>
    <row r="5" spans="1:9" ht="7.5" customHeight="1">
      <c r="A5" s="13"/>
      <c r="B5" s="13"/>
      <c r="C5" s="13"/>
      <c r="D5" s="13"/>
      <c r="E5" s="13"/>
      <c r="F5" s="13"/>
    </row>
    <row r="6" spans="1:9" ht="18.75" customHeight="1">
      <c r="A6" s="13" t="s">
        <v>7</v>
      </c>
      <c r="B6" s="5" t="s">
        <v>33</v>
      </c>
      <c r="C6" s="13"/>
      <c r="D6" s="13"/>
      <c r="E6" s="13"/>
      <c r="F6" s="13"/>
    </row>
    <row r="7" spans="1:9" ht="18.75" customHeight="1">
      <c r="A7" s="13"/>
      <c r="B7" s="309"/>
      <c r="C7" s="310"/>
      <c r="D7" s="310"/>
      <c r="E7" s="310"/>
      <c r="F7" s="311"/>
    </row>
    <row r="8" spans="1:9" ht="18.75" customHeight="1">
      <c r="A8" s="18"/>
      <c r="B8" s="312"/>
      <c r="C8" s="313"/>
      <c r="D8" s="313"/>
      <c r="E8" s="313"/>
      <c r="F8" s="314"/>
    </row>
    <row r="9" spans="1:9" ht="18.75" customHeight="1">
      <c r="A9" s="18"/>
      <c r="B9" s="312"/>
      <c r="C9" s="313"/>
      <c r="D9" s="313"/>
      <c r="E9" s="313"/>
      <c r="F9" s="314"/>
    </row>
    <row r="10" spans="1:9" ht="18.75" customHeight="1">
      <c r="A10" s="18"/>
      <c r="B10" s="312"/>
      <c r="C10" s="313"/>
      <c r="D10" s="313"/>
      <c r="E10" s="313"/>
      <c r="F10" s="314"/>
    </row>
    <row r="11" spans="1:9" ht="18.75" customHeight="1">
      <c r="A11" s="18"/>
      <c r="B11" s="312"/>
      <c r="C11" s="313"/>
      <c r="D11" s="313"/>
      <c r="E11" s="313"/>
      <c r="F11" s="314"/>
    </row>
    <row r="12" spans="1:9" ht="18.75" customHeight="1">
      <c r="A12" s="18"/>
      <c r="B12" s="312"/>
      <c r="C12" s="313"/>
      <c r="D12" s="313"/>
      <c r="E12" s="313"/>
      <c r="F12" s="314"/>
    </row>
    <row r="13" spans="1:9" ht="18.75" customHeight="1">
      <c r="A13" s="18"/>
      <c r="B13" s="312"/>
      <c r="C13" s="313"/>
      <c r="D13" s="313"/>
      <c r="E13" s="313"/>
      <c r="F13" s="314"/>
    </row>
    <row r="14" spans="1:9" ht="18.75" customHeight="1">
      <c r="A14" s="18"/>
      <c r="B14" s="312"/>
      <c r="C14" s="313"/>
      <c r="D14" s="313"/>
      <c r="E14" s="313"/>
      <c r="F14" s="314"/>
    </row>
    <row r="15" spans="1:9" ht="18.75" customHeight="1">
      <c r="A15" s="18"/>
      <c r="B15" s="312"/>
      <c r="C15" s="313"/>
      <c r="D15" s="313"/>
      <c r="E15" s="313"/>
      <c r="F15" s="314"/>
    </row>
    <row r="16" spans="1:9" ht="18.75" customHeight="1">
      <c r="A16" s="18"/>
      <c r="B16" s="312"/>
      <c r="C16" s="313"/>
      <c r="D16" s="313"/>
      <c r="E16" s="313"/>
      <c r="F16" s="314"/>
    </row>
    <row r="17" spans="1:6" ht="18.75" customHeight="1">
      <c r="A17" s="18"/>
      <c r="B17" s="312"/>
      <c r="C17" s="313"/>
      <c r="D17" s="313"/>
      <c r="E17" s="313"/>
      <c r="F17" s="314"/>
    </row>
    <row r="18" spans="1:6" ht="18.75" customHeight="1">
      <c r="A18" s="18"/>
      <c r="B18" s="312"/>
      <c r="C18" s="313"/>
      <c r="D18" s="313"/>
      <c r="E18" s="313"/>
      <c r="F18" s="314"/>
    </row>
    <row r="19" spans="1:6" ht="18.75" customHeight="1">
      <c r="A19" s="18"/>
      <c r="B19" s="312"/>
      <c r="C19" s="313"/>
      <c r="D19" s="313"/>
      <c r="E19" s="313"/>
      <c r="F19" s="314"/>
    </row>
    <row r="20" spans="1:6" ht="18.75" customHeight="1">
      <c r="A20" s="18"/>
      <c r="B20" s="312"/>
      <c r="C20" s="313"/>
      <c r="D20" s="313"/>
      <c r="E20" s="313"/>
      <c r="F20" s="314"/>
    </row>
    <row r="21" spans="1:6" ht="18.75" customHeight="1">
      <c r="A21" s="18"/>
      <c r="B21" s="312"/>
      <c r="C21" s="313"/>
      <c r="D21" s="313"/>
      <c r="E21" s="313"/>
      <c r="F21" s="314"/>
    </row>
    <row r="22" spans="1:6" ht="18.75" customHeight="1">
      <c r="A22" s="18"/>
      <c r="B22" s="312"/>
      <c r="C22" s="313"/>
      <c r="D22" s="313"/>
      <c r="E22" s="313"/>
      <c r="F22" s="314"/>
    </row>
    <row r="23" spans="1:6" ht="18.75" customHeight="1">
      <c r="A23" s="18"/>
      <c r="B23" s="312"/>
      <c r="C23" s="313"/>
      <c r="D23" s="313"/>
      <c r="E23" s="313"/>
      <c r="F23" s="314"/>
    </row>
    <row r="24" spans="1:6" ht="18.75" customHeight="1">
      <c r="A24" s="18"/>
      <c r="B24" s="312"/>
      <c r="C24" s="313"/>
      <c r="D24" s="313"/>
      <c r="E24" s="313"/>
      <c r="F24" s="314"/>
    </row>
    <row r="25" spans="1:6" ht="18.75" customHeight="1">
      <c r="A25" s="18"/>
      <c r="B25" s="312"/>
      <c r="C25" s="313"/>
      <c r="D25" s="313"/>
      <c r="E25" s="313"/>
      <c r="F25" s="314"/>
    </row>
    <row r="26" spans="1:6" ht="18.75" customHeight="1">
      <c r="A26" s="18"/>
      <c r="B26" s="312"/>
      <c r="C26" s="313"/>
      <c r="D26" s="313"/>
      <c r="E26" s="313"/>
      <c r="F26" s="314"/>
    </row>
    <row r="27" spans="1:6" ht="18.75" customHeight="1">
      <c r="A27" s="18"/>
      <c r="B27" s="312"/>
      <c r="C27" s="313"/>
      <c r="D27" s="313"/>
      <c r="E27" s="313"/>
      <c r="F27" s="314"/>
    </row>
    <row r="28" spans="1:6" ht="18.75" customHeight="1">
      <c r="A28" s="13"/>
      <c r="B28" s="312"/>
      <c r="C28" s="313"/>
      <c r="D28" s="313"/>
      <c r="E28" s="313"/>
      <c r="F28" s="314"/>
    </row>
    <row r="29" spans="1:6" ht="18.75" customHeight="1">
      <c r="A29" s="13"/>
      <c r="B29" s="312"/>
      <c r="C29" s="313"/>
      <c r="D29" s="313"/>
      <c r="E29" s="313"/>
      <c r="F29" s="314"/>
    </row>
    <row r="30" spans="1:6" ht="18.75" customHeight="1">
      <c r="A30" s="13"/>
      <c r="B30" s="312"/>
      <c r="C30" s="313"/>
      <c r="D30" s="313"/>
      <c r="E30" s="313"/>
      <c r="F30" s="314"/>
    </row>
    <row r="31" spans="1:6" ht="18.75" customHeight="1">
      <c r="A31" s="13"/>
      <c r="B31" s="312"/>
      <c r="C31" s="313"/>
      <c r="D31" s="313"/>
      <c r="E31" s="313"/>
      <c r="F31" s="314"/>
    </row>
    <row r="32" spans="1:6" ht="18.75" customHeight="1">
      <c r="A32" s="13"/>
      <c r="B32" s="312"/>
      <c r="C32" s="313"/>
      <c r="D32" s="313"/>
      <c r="E32" s="313"/>
      <c r="F32" s="314"/>
    </row>
    <row r="33" spans="1:6" ht="18.75" customHeight="1">
      <c r="A33" s="13"/>
      <c r="B33" s="312"/>
      <c r="C33" s="313"/>
      <c r="D33" s="313"/>
      <c r="E33" s="313"/>
      <c r="F33" s="314"/>
    </row>
    <row r="34" spans="1:6" ht="18.75" customHeight="1">
      <c r="A34" s="13"/>
      <c r="B34" s="312"/>
      <c r="C34" s="313"/>
      <c r="D34" s="313"/>
      <c r="E34" s="313"/>
      <c r="F34" s="314"/>
    </row>
    <row r="35" spans="1:6" ht="18.75" customHeight="1">
      <c r="A35" s="13"/>
      <c r="B35" s="312"/>
      <c r="C35" s="313"/>
      <c r="D35" s="313"/>
      <c r="E35" s="313"/>
      <c r="F35" s="314"/>
    </row>
    <row r="36" spans="1:6" ht="18.75" customHeight="1">
      <c r="A36" s="13"/>
      <c r="B36" s="312"/>
      <c r="C36" s="313"/>
      <c r="D36" s="313"/>
      <c r="E36" s="313"/>
      <c r="F36" s="314"/>
    </row>
    <row r="37" spans="1:6" ht="18.75" customHeight="1">
      <c r="A37" s="13"/>
      <c r="B37" s="312"/>
      <c r="C37" s="313"/>
      <c r="D37" s="313"/>
      <c r="E37" s="313"/>
      <c r="F37" s="314"/>
    </row>
    <row r="38" spans="1:6" ht="18.75" customHeight="1">
      <c r="A38" s="13"/>
      <c r="B38" s="312"/>
      <c r="C38" s="313"/>
      <c r="D38" s="313"/>
      <c r="E38" s="313"/>
      <c r="F38" s="314"/>
    </row>
    <row r="39" spans="1:6" ht="18.75" customHeight="1">
      <c r="A39" s="13"/>
      <c r="B39" s="312"/>
      <c r="C39" s="313"/>
      <c r="D39" s="313"/>
      <c r="E39" s="313"/>
      <c r="F39" s="314"/>
    </row>
    <row r="40" spans="1:6" ht="18.75" customHeight="1">
      <c r="A40" s="13"/>
      <c r="B40" s="312"/>
      <c r="C40" s="313"/>
      <c r="D40" s="313"/>
      <c r="E40" s="313"/>
      <c r="F40" s="314"/>
    </row>
    <row r="41" spans="1:6" ht="18.75" customHeight="1">
      <c r="A41" s="13"/>
      <c r="B41" s="312"/>
      <c r="C41" s="313"/>
      <c r="D41" s="313"/>
      <c r="E41" s="313"/>
      <c r="F41" s="314"/>
    </row>
    <row r="42" spans="1:6" ht="18.75" customHeight="1">
      <c r="A42" s="13"/>
      <c r="B42" s="312"/>
      <c r="C42" s="313"/>
      <c r="D42" s="313"/>
      <c r="E42" s="313"/>
      <c r="F42" s="314"/>
    </row>
    <row r="43" spans="1:6" ht="18.75" customHeight="1">
      <c r="A43" s="13"/>
      <c r="B43" s="312"/>
      <c r="C43" s="313"/>
      <c r="D43" s="313"/>
      <c r="E43" s="313"/>
      <c r="F43" s="314"/>
    </row>
    <row r="44" spans="1:6" ht="18.75" customHeight="1">
      <c r="A44" s="13"/>
      <c r="B44" s="315"/>
      <c r="C44" s="316"/>
      <c r="D44" s="316"/>
      <c r="E44" s="316"/>
      <c r="F44" s="317"/>
    </row>
    <row r="45" spans="1:6" ht="18.75" customHeight="1">
      <c r="A45" s="13" t="s">
        <v>12</v>
      </c>
      <c r="B45" s="5" t="s">
        <v>91</v>
      </c>
      <c r="C45" s="13"/>
      <c r="D45" s="13"/>
      <c r="E45" s="13"/>
      <c r="F45" s="13"/>
    </row>
    <row r="46" spans="1:6" ht="18.75" customHeight="1">
      <c r="A46" s="13"/>
      <c r="B46" s="309"/>
      <c r="C46" s="310"/>
      <c r="D46" s="310"/>
      <c r="E46" s="310"/>
      <c r="F46" s="311"/>
    </row>
    <row r="47" spans="1:6" ht="18.75" customHeight="1">
      <c r="A47" s="18"/>
      <c r="B47" s="312"/>
      <c r="C47" s="313"/>
      <c r="D47" s="313"/>
      <c r="E47" s="313"/>
      <c r="F47" s="314"/>
    </row>
    <row r="48" spans="1:6" ht="18.75" customHeight="1">
      <c r="A48" s="18"/>
      <c r="B48" s="312"/>
      <c r="C48" s="313"/>
      <c r="D48" s="313"/>
      <c r="E48" s="313"/>
      <c r="F48" s="314"/>
    </row>
    <row r="49" spans="1:6" ht="18.75" customHeight="1">
      <c r="A49" s="18"/>
      <c r="B49" s="312"/>
      <c r="C49" s="313"/>
      <c r="D49" s="313"/>
      <c r="E49" s="313"/>
      <c r="F49" s="314"/>
    </row>
    <row r="50" spans="1:6" ht="18.75" customHeight="1">
      <c r="A50" s="18"/>
      <c r="B50" s="312"/>
      <c r="C50" s="313"/>
      <c r="D50" s="313"/>
      <c r="E50" s="313"/>
      <c r="F50" s="314"/>
    </row>
    <row r="51" spans="1:6" ht="18.75" customHeight="1">
      <c r="A51" s="18"/>
      <c r="B51" s="312"/>
      <c r="C51" s="313"/>
      <c r="D51" s="313"/>
      <c r="E51" s="313"/>
      <c r="F51" s="314"/>
    </row>
    <row r="52" spans="1:6" ht="18.75" customHeight="1">
      <c r="A52" s="18"/>
      <c r="B52" s="312"/>
      <c r="C52" s="313"/>
      <c r="D52" s="313"/>
      <c r="E52" s="313"/>
      <c r="F52" s="314"/>
    </row>
    <row r="53" spans="1:6" ht="18.75" customHeight="1">
      <c r="A53" s="18"/>
      <c r="B53" s="312"/>
      <c r="C53" s="313"/>
      <c r="D53" s="313"/>
      <c r="E53" s="313"/>
      <c r="F53" s="314"/>
    </row>
    <row r="54" spans="1:6" ht="18.75" customHeight="1">
      <c r="A54" s="18"/>
      <c r="B54" s="312"/>
      <c r="C54" s="313"/>
      <c r="D54" s="313"/>
      <c r="E54" s="313"/>
      <c r="F54" s="314"/>
    </row>
    <row r="55" spans="1:6" ht="18.75" customHeight="1">
      <c r="A55" s="18"/>
      <c r="B55" s="312"/>
      <c r="C55" s="313"/>
      <c r="D55" s="313"/>
      <c r="E55" s="313"/>
      <c r="F55" s="314"/>
    </row>
    <row r="56" spans="1:6" ht="18.75" customHeight="1">
      <c r="A56" s="18"/>
      <c r="B56" s="312"/>
      <c r="C56" s="313"/>
      <c r="D56" s="313"/>
      <c r="E56" s="313"/>
      <c r="F56" s="314"/>
    </row>
    <row r="57" spans="1:6" ht="18.75" customHeight="1">
      <c r="A57" s="18"/>
      <c r="B57" s="312"/>
      <c r="C57" s="313"/>
      <c r="D57" s="313"/>
      <c r="E57" s="313"/>
      <c r="F57" s="314"/>
    </row>
    <row r="58" spans="1:6" ht="18.75" customHeight="1">
      <c r="A58" s="18"/>
      <c r="B58" s="312"/>
      <c r="C58" s="313"/>
      <c r="D58" s="313"/>
      <c r="E58" s="313"/>
      <c r="F58" s="314"/>
    </row>
    <row r="59" spans="1:6" ht="18.75" customHeight="1">
      <c r="A59" s="18"/>
      <c r="B59" s="312"/>
      <c r="C59" s="313"/>
      <c r="D59" s="313"/>
      <c r="E59" s="313"/>
      <c r="F59" s="314"/>
    </row>
    <row r="60" spans="1:6" ht="18.75" customHeight="1">
      <c r="A60" s="18"/>
      <c r="B60" s="312"/>
      <c r="C60" s="313"/>
      <c r="D60" s="313"/>
      <c r="E60" s="313"/>
      <c r="F60" s="314"/>
    </row>
    <row r="61" spans="1:6" ht="18.75" customHeight="1">
      <c r="A61" s="18"/>
      <c r="B61" s="312"/>
      <c r="C61" s="313"/>
      <c r="D61" s="313"/>
      <c r="E61" s="313"/>
      <c r="F61" s="314"/>
    </row>
    <row r="62" spans="1:6" ht="18.75" customHeight="1">
      <c r="A62" s="18"/>
      <c r="B62" s="312"/>
      <c r="C62" s="313"/>
      <c r="D62" s="313"/>
      <c r="E62" s="313"/>
      <c r="F62" s="314"/>
    </row>
    <row r="63" spans="1:6" ht="18.75" customHeight="1">
      <c r="A63" s="18"/>
      <c r="B63" s="312"/>
      <c r="C63" s="313"/>
      <c r="D63" s="313"/>
      <c r="E63" s="313"/>
      <c r="F63" s="314"/>
    </row>
    <row r="64" spans="1:6" ht="18.75" customHeight="1">
      <c r="A64" s="18"/>
      <c r="B64" s="312"/>
      <c r="C64" s="313"/>
      <c r="D64" s="313"/>
      <c r="E64" s="313"/>
      <c r="F64" s="314"/>
    </row>
    <row r="65" spans="1:6" ht="18.75" customHeight="1">
      <c r="A65" s="18"/>
      <c r="B65" s="312"/>
      <c r="C65" s="313"/>
      <c r="D65" s="313"/>
      <c r="E65" s="313"/>
      <c r="F65" s="314"/>
    </row>
    <row r="66" spans="1:6" ht="18.75" customHeight="1">
      <c r="A66" s="18"/>
      <c r="B66" s="312"/>
      <c r="C66" s="313"/>
      <c r="D66" s="313"/>
      <c r="E66" s="313"/>
      <c r="F66" s="314"/>
    </row>
    <row r="67" spans="1:6" ht="18.75" customHeight="1">
      <c r="A67" s="18"/>
      <c r="B67" s="312"/>
      <c r="C67" s="313"/>
      <c r="D67" s="313"/>
      <c r="E67" s="313"/>
      <c r="F67" s="314"/>
    </row>
    <row r="68" spans="1:6" ht="18.75" customHeight="1">
      <c r="A68" s="18"/>
      <c r="B68" s="312"/>
      <c r="C68" s="313"/>
      <c r="D68" s="313"/>
      <c r="E68" s="313"/>
      <c r="F68" s="314"/>
    </row>
    <row r="69" spans="1:6" ht="18.75" customHeight="1">
      <c r="A69" s="18"/>
      <c r="B69" s="312"/>
      <c r="C69" s="313"/>
      <c r="D69" s="313"/>
      <c r="E69" s="313"/>
      <c r="F69" s="314"/>
    </row>
    <row r="70" spans="1:6" ht="18.75" customHeight="1">
      <c r="A70" s="13"/>
      <c r="B70" s="312"/>
      <c r="C70" s="313"/>
      <c r="D70" s="313"/>
      <c r="E70" s="313"/>
      <c r="F70" s="314"/>
    </row>
    <row r="71" spans="1:6" ht="18.75" customHeight="1">
      <c r="A71" s="13"/>
      <c r="B71" s="312"/>
      <c r="C71" s="313"/>
      <c r="D71" s="313"/>
      <c r="E71" s="313"/>
      <c r="F71" s="314"/>
    </row>
    <row r="72" spans="1:6" ht="18.75" customHeight="1">
      <c r="A72" s="13"/>
      <c r="B72" s="312"/>
      <c r="C72" s="313"/>
      <c r="D72" s="313"/>
      <c r="E72" s="313"/>
      <c r="F72" s="314"/>
    </row>
    <row r="73" spans="1:6" ht="18.75" customHeight="1">
      <c r="A73" s="13"/>
      <c r="B73" s="312"/>
      <c r="C73" s="313"/>
      <c r="D73" s="313"/>
      <c r="E73" s="313"/>
      <c r="F73" s="314"/>
    </row>
    <row r="74" spans="1:6" ht="18.75" customHeight="1">
      <c r="A74" s="13"/>
      <c r="B74" s="312"/>
      <c r="C74" s="313"/>
      <c r="D74" s="313"/>
      <c r="E74" s="313"/>
      <c r="F74" s="314"/>
    </row>
    <row r="75" spans="1:6" ht="18.75" customHeight="1">
      <c r="A75" s="13"/>
      <c r="B75" s="312"/>
      <c r="C75" s="313"/>
      <c r="D75" s="313"/>
      <c r="E75" s="313"/>
      <c r="F75" s="314"/>
    </row>
    <row r="76" spans="1:6" ht="18.75" customHeight="1">
      <c r="A76" s="13"/>
      <c r="B76" s="312"/>
      <c r="C76" s="313"/>
      <c r="D76" s="313"/>
      <c r="E76" s="313"/>
      <c r="F76" s="314"/>
    </row>
    <row r="77" spans="1:6" ht="18.75" customHeight="1">
      <c r="A77" s="13"/>
      <c r="B77" s="312"/>
      <c r="C77" s="313"/>
      <c r="D77" s="313"/>
      <c r="E77" s="313"/>
      <c r="F77" s="314"/>
    </row>
    <row r="78" spans="1:6" ht="18.75" customHeight="1">
      <c r="A78" s="13"/>
      <c r="B78" s="312"/>
      <c r="C78" s="313"/>
      <c r="D78" s="313"/>
      <c r="E78" s="313"/>
      <c r="F78" s="314"/>
    </row>
    <row r="79" spans="1:6" ht="18.75" customHeight="1">
      <c r="A79" s="13"/>
      <c r="B79" s="312"/>
      <c r="C79" s="313"/>
      <c r="D79" s="313"/>
      <c r="E79" s="313"/>
      <c r="F79" s="314"/>
    </row>
    <row r="80" spans="1:6" ht="18.75" customHeight="1">
      <c r="A80" s="13"/>
      <c r="B80" s="312"/>
      <c r="C80" s="313"/>
      <c r="D80" s="313"/>
      <c r="E80" s="313"/>
      <c r="F80" s="314"/>
    </row>
    <row r="81" spans="1:6" ht="18.75" customHeight="1">
      <c r="A81" s="13"/>
      <c r="B81" s="312"/>
      <c r="C81" s="313"/>
      <c r="D81" s="313"/>
      <c r="E81" s="313"/>
      <c r="F81" s="314"/>
    </row>
    <row r="82" spans="1:6" ht="18.75" customHeight="1">
      <c r="A82" s="13"/>
      <c r="B82" s="312"/>
      <c r="C82" s="313"/>
      <c r="D82" s="313"/>
      <c r="E82" s="313"/>
      <c r="F82" s="314"/>
    </row>
    <row r="83" spans="1:6" ht="18.75" customHeight="1">
      <c r="A83" s="18"/>
      <c r="B83" s="312"/>
      <c r="C83" s="313"/>
      <c r="D83" s="313"/>
      <c r="E83" s="313"/>
      <c r="F83" s="314"/>
    </row>
    <row r="84" spans="1:6" ht="18.75" customHeight="1">
      <c r="A84" s="13"/>
      <c r="B84" s="312"/>
      <c r="C84" s="313"/>
      <c r="D84" s="313"/>
      <c r="E84" s="313"/>
      <c r="F84" s="314"/>
    </row>
    <row r="85" spans="1:6" ht="18.75" customHeight="1">
      <c r="A85" s="13"/>
      <c r="B85" s="312"/>
      <c r="C85" s="313"/>
      <c r="D85" s="313"/>
      <c r="E85" s="313"/>
      <c r="F85" s="314"/>
    </row>
    <row r="86" spans="1:6" ht="18.75" customHeight="1">
      <c r="A86" s="13"/>
      <c r="B86" s="312"/>
      <c r="C86" s="313"/>
      <c r="D86" s="313"/>
      <c r="E86" s="313"/>
      <c r="F86" s="314"/>
    </row>
    <row r="87" spans="1:6" ht="18.75" customHeight="1">
      <c r="A87" s="13"/>
      <c r="B87" s="315"/>
      <c r="C87" s="316"/>
      <c r="D87" s="316"/>
      <c r="E87" s="316"/>
      <c r="F87" s="317"/>
    </row>
    <row r="88" spans="1:6" s="9" customFormat="1" ht="18.75" customHeight="1">
      <c r="A88" s="5" t="s">
        <v>13</v>
      </c>
      <c r="B88" s="5" t="s">
        <v>92</v>
      </c>
      <c r="C88" s="5"/>
      <c r="D88" s="5"/>
      <c r="E88" s="5"/>
      <c r="F88" s="5"/>
    </row>
    <row r="89" spans="1:6" ht="18.75" customHeight="1">
      <c r="A89" s="13"/>
      <c r="B89" s="309"/>
      <c r="C89" s="310"/>
      <c r="D89" s="310"/>
      <c r="E89" s="310"/>
      <c r="F89" s="311"/>
    </row>
    <row r="90" spans="1:6" ht="18.75" customHeight="1">
      <c r="A90" s="13"/>
      <c r="B90" s="312"/>
      <c r="C90" s="313"/>
      <c r="D90" s="313"/>
      <c r="E90" s="313"/>
      <c r="F90" s="314"/>
    </row>
    <row r="91" spans="1:6" ht="18.75" customHeight="1">
      <c r="A91" s="18"/>
      <c r="B91" s="312"/>
      <c r="C91" s="313"/>
      <c r="D91" s="313"/>
      <c r="E91" s="313"/>
      <c r="F91" s="314"/>
    </row>
    <row r="92" spans="1:6" ht="18.75" customHeight="1">
      <c r="A92" s="18"/>
      <c r="B92" s="312"/>
      <c r="C92" s="313"/>
      <c r="D92" s="313"/>
      <c r="E92" s="313"/>
      <c r="F92" s="314"/>
    </row>
    <row r="93" spans="1:6" ht="18.75" customHeight="1">
      <c r="A93" s="18"/>
      <c r="B93" s="312"/>
      <c r="C93" s="313"/>
      <c r="D93" s="313"/>
      <c r="E93" s="313"/>
      <c r="F93" s="314"/>
    </row>
    <row r="94" spans="1:6" ht="18.75" customHeight="1">
      <c r="A94" s="18"/>
      <c r="B94" s="312"/>
      <c r="C94" s="313"/>
      <c r="D94" s="313"/>
      <c r="E94" s="313"/>
      <c r="F94" s="314"/>
    </row>
    <row r="95" spans="1:6" ht="18.75" customHeight="1">
      <c r="A95" s="18"/>
      <c r="B95" s="312"/>
      <c r="C95" s="313"/>
      <c r="D95" s="313"/>
      <c r="E95" s="313"/>
      <c r="F95" s="314"/>
    </row>
    <row r="96" spans="1:6" ht="18.75" customHeight="1">
      <c r="A96" s="18"/>
      <c r="B96" s="312"/>
      <c r="C96" s="313"/>
      <c r="D96" s="313"/>
      <c r="E96" s="313"/>
      <c r="F96" s="314"/>
    </row>
    <row r="97" spans="1:6" ht="18.75" customHeight="1">
      <c r="A97" s="18"/>
      <c r="B97" s="312"/>
      <c r="C97" s="313"/>
      <c r="D97" s="313"/>
      <c r="E97" s="313"/>
      <c r="F97" s="314"/>
    </row>
    <row r="98" spans="1:6" ht="18.75" customHeight="1">
      <c r="A98" s="18"/>
      <c r="B98" s="312"/>
      <c r="C98" s="313"/>
      <c r="D98" s="313"/>
      <c r="E98" s="313"/>
      <c r="F98" s="314"/>
    </row>
    <row r="99" spans="1:6" ht="18.75" customHeight="1">
      <c r="A99" s="18"/>
      <c r="B99" s="312"/>
      <c r="C99" s="313"/>
      <c r="D99" s="313"/>
      <c r="E99" s="313"/>
      <c r="F99" s="314"/>
    </row>
    <row r="100" spans="1:6" ht="18.75" customHeight="1">
      <c r="A100" s="18"/>
      <c r="B100" s="312"/>
      <c r="C100" s="313"/>
      <c r="D100" s="313"/>
      <c r="E100" s="313"/>
      <c r="F100" s="314"/>
    </row>
    <row r="101" spans="1:6" ht="18.75" customHeight="1">
      <c r="A101" s="18"/>
      <c r="B101" s="312"/>
      <c r="C101" s="313"/>
      <c r="D101" s="313"/>
      <c r="E101" s="313"/>
      <c r="F101" s="314"/>
    </row>
    <row r="102" spans="1:6" ht="18.75" customHeight="1">
      <c r="A102" s="18"/>
      <c r="B102" s="312"/>
      <c r="C102" s="313"/>
      <c r="D102" s="313"/>
      <c r="E102" s="313"/>
      <c r="F102" s="314"/>
    </row>
    <row r="103" spans="1:6" ht="18.75" customHeight="1">
      <c r="A103" s="18"/>
      <c r="B103" s="312"/>
      <c r="C103" s="313"/>
      <c r="D103" s="313"/>
      <c r="E103" s="313"/>
      <c r="F103" s="314"/>
    </row>
    <row r="104" spans="1:6" ht="18.75" customHeight="1">
      <c r="A104" s="18"/>
      <c r="B104" s="312"/>
      <c r="C104" s="313"/>
      <c r="D104" s="313"/>
      <c r="E104" s="313"/>
      <c r="F104" s="314"/>
    </row>
    <row r="105" spans="1:6" ht="18.75" customHeight="1">
      <c r="A105" s="18"/>
      <c r="B105" s="312"/>
      <c r="C105" s="313"/>
      <c r="D105" s="313"/>
      <c r="E105" s="313"/>
      <c r="F105" s="314"/>
    </row>
    <row r="106" spans="1:6" ht="18.75" customHeight="1">
      <c r="A106" s="18"/>
      <c r="B106" s="312"/>
      <c r="C106" s="313"/>
      <c r="D106" s="313"/>
      <c r="E106" s="313"/>
      <c r="F106" s="314"/>
    </row>
    <row r="107" spans="1:6" ht="18.75" customHeight="1">
      <c r="A107" s="18"/>
      <c r="B107" s="312"/>
      <c r="C107" s="313"/>
      <c r="D107" s="313"/>
      <c r="E107" s="313"/>
      <c r="F107" s="314"/>
    </row>
    <row r="108" spans="1:6" ht="18.75" customHeight="1">
      <c r="A108" s="18"/>
      <c r="B108" s="312"/>
      <c r="C108" s="313"/>
      <c r="D108" s="313"/>
      <c r="E108" s="313"/>
      <c r="F108" s="314"/>
    </row>
    <row r="109" spans="1:6" ht="18.75" customHeight="1">
      <c r="A109" s="18"/>
      <c r="B109" s="312"/>
      <c r="C109" s="313"/>
      <c r="D109" s="313"/>
      <c r="E109" s="313"/>
      <c r="F109" s="314"/>
    </row>
    <row r="110" spans="1:6" ht="18.75" customHeight="1">
      <c r="A110" s="18"/>
      <c r="B110" s="312"/>
      <c r="C110" s="313"/>
      <c r="D110" s="313"/>
      <c r="E110" s="313"/>
      <c r="F110" s="314"/>
    </row>
    <row r="111" spans="1:6" ht="18.75" customHeight="1">
      <c r="A111" s="18"/>
      <c r="B111" s="312"/>
      <c r="C111" s="313"/>
      <c r="D111" s="313"/>
      <c r="E111" s="313"/>
      <c r="F111" s="314"/>
    </row>
    <row r="112" spans="1:6" ht="18.75" customHeight="1">
      <c r="A112" s="18"/>
      <c r="B112" s="312"/>
      <c r="C112" s="313"/>
      <c r="D112" s="313"/>
      <c r="E112" s="313"/>
      <c r="F112" s="314"/>
    </row>
    <row r="113" spans="1:6" ht="18.75" customHeight="1">
      <c r="A113" s="18"/>
      <c r="B113" s="312"/>
      <c r="C113" s="313"/>
      <c r="D113" s="313"/>
      <c r="E113" s="313"/>
      <c r="F113" s="314"/>
    </row>
    <row r="114" spans="1:6" ht="18.75" customHeight="1">
      <c r="A114" s="18"/>
      <c r="B114" s="312"/>
      <c r="C114" s="313"/>
      <c r="D114" s="313"/>
      <c r="E114" s="313"/>
      <c r="F114" s="314"/>
    </row>
    <row r="115" spans="1:6" ht="18.75" customHeight="1">
      <c r="A115" s="13"/>
      <c r="B115" s="312"/>
      <c r="C115" s="313"/>
      <c r="D115" s="313"/>
      <c r="E115" s="313"/>
      <c r="F115" s="314"/>
    </row>
    <row r="116" spans="1:6" ht="18.75" customHeight="1">
      <c r="A116" s="13"/>
      <c r="B116" s="312"/>
      <c r="C116" s="313"/>
      <c r="D116" s="313"/>
      <c r="E116" s="313"/>
      <c r="F116" s="314"/>
    </row>
    <row r="117" spans="1:6" ht="18.75" customHeight="1">
      <c r="A117" s="13"/>
      <c r="B117" s="312"/>
      <c r="C117" s="313"/>
      <c r="D117" s="313"/>
      <c r="E117" s="313"/>
      <c r="F117" s="314"/>
    </row>
    <row r="118" spans="1:6" ht="18.75" customHeight="1">
      <c r="A118" s="13"/>
      <c r="B118" s="312"/>
      <c r="C118" s="313"/>
      <c r="D118" s="313"/>
      <c r="E118" s="313"/>
      <c r="F118" s="314"/>
    </row>
    <row r="119" spans="1:6" ht="18.75" customHeight="1">
      <c r="A119" s="13"/>
      <c r="B119" s="312"/>
      <c r="C119" s="313"/>
      <c r="D119" s="313"/>
      <c r="E119" s="313"/>
      <c r="F119" s="314"/>
    </row>
    <row r="120" spans="1:6" ht="18.75" customHeight="1">
      <c r="A120" s="13"/>
      <c r="B120" s="312"/>
      <c r="C120" s="313"/>
      <c r="D120" s="313"/>
      <c r="E120" s="313"/>
      <c r="F120" s="314"/>
    </row>
    <row r="121" spans="1:6" ht="18.75" customHeight="1">
      <c r="A121" s="13"/>
      <c r="B121" s="312"/>
      <c r="C121" s="313"/>
      <c r="D121" s="313"/>
      <c r="E121" s="313"/>
      <c r="F121" s="314"/>
    </row>
    <row r="122" spans="1:6" ht="18.75" customHeight="1">
      <c r="A122" s="13"/>
      <c r="B122" s="312"/>
      <c r="C122" s="313"/>
      <c r="D122" s="313"/>
      <c r="E122" s="313"/>
      <c r="F122" s="314"/>
    </row>
    <row r="123" spans="1:6" ht="18.75" customHeight="1">
      <c r="A123" s="13"/>
      <c r="B123" s="312"/>
      <c r="C123" s="313"/>
      <c r="D123" s="313"/>
      <c r="E123" s="313"/>
      <c r="F123" s="314"/>
    </row>
    <row r="124" spans="1:6" ht="18.75" customHeight="1">
      <c r="A124" s="13"/>
      <c r="B124" s="312"/>
      <c r="C124" s="313"/>
      <c r="D124" s="313"/>
      <c r="E124" s="313"/>
      <c r="F124" s="314"/>
    </row>
    <row r="125" spans="1:6" ht="18.75" customHeight="1">
      <c r="A125" s="13"/>
      <c r="B125" s="312"/>
      <c r="C125" s="313"/>
      <c r="D125" s="313"/>
      <c r="E125" s="313"/>
      <c r="F125" s="314"/>
    </row>
    <row r="126" spans="1:6" ht="18.75" customHeight="1">
      <c r="A126" s="13"/>
      <c r="B126" s="312"/>
      <c r="C126" s="313"/>
      <c r="D126" s="313"/>
      <c r="E126" s="313"/>
      <c r="F126" s="314"/>
    </row>
    <row r="127" spans="1:6" ht="18.75" customHeight="1">
      <c r="A127" s="13"/>
      <c r="B127" s="312"/>
      <c r="C127" s="313"/>
      <c r="D127" s="313"/>
      <c r="E127" s="313"/>
      <c r="F127" s="314"/>
    </row>
    <row r="128" spans="1:6" ht="18.75" customHeight="1">
      <c r="A128" s="13"/>
      <c r="B128" s="312"/>
      <c r="C128" s="313"/>
      <c r="D128" s="313"/>
      <c r="E128" s="313"/>
      <c r="F128" s="314"/>
    </row>
    <row r="129" spans="1:6" ht="18.75" customHeight="1">
      <c r="A129" s="13"/>
      <c r="B129" s="312"/>
      <c r="C129" s="313"/>
      <c r="D129" s="313"/>
      <c r="E129" s="313"/>
      <c r="F129" s="314"/>
    </row>
    <row r="130" spans="1:6" ht="18.75" customHeight="1">
      <c r="A130" s="13"/>
      <c r="B130" s="315"/>
      <c r="C130" s="316"/>
      <c r="D130" s="316"/>
      <c r="E130" s="316"/>
      <c r="F130" s="317"/>
    </row>
  </sheetData>
  <mergeCells count="6">
    <mergeCell ref="B89:F130"/>
    <mergeCell ref="E1:F1"/>
    <mergeCell ref="E2:F2"/>
    <mergeCell ref="A4:F4"/>
    <mergeCell ref="B7:F44"/>
    <mergeCell ref="B46:F87"/>
  </mergeCells>
  <phoneticPr fontId="3"/>
  <printOptions horizontalCentered="1"/>
  <pageMargins left="0.78740157480314965" right="0.78740157480314965" top="0.78740157480314965" bottom="0.78740157480314965"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7</vt:i4>
      </vt:variant>
    </vt:vector>
  </HeadingPairs>
  <TitlesOfParts>
    <vt:vector size="14" baseType="lpstr">
      <vt:lpstr>様式１　大学等概要</vt:lpstr>
      <vt:lpstr>様式２　プログラムを構成する授業科目</vt:lpstr>
      <vt:lpstr>様式３　履修者等数の実績</vt:lpstr>
      <vt:lpstr>様式4　プログラムの授業内容・概要</vt:lpstr>
      <vt:lpstr>様式５　教育の質・履修者数を向上させるための体制・計画</vt:lpstr>
      <vt:lpstr>様式６　自己点検・評価</vt:lpstr>
      <vt:lpstr>様式７　特色ある取組</vt:lpstr>
      <vt:lpstr>'様式１　大学等概要'!Print_Area</vt:lpstr>
      <vt:lpstr>'様式２　プログラムを構成する授業科目'!Print_Area</vt:lpstr>
      <vt:lpstr>'様式３　履修者等数の実績'!Print_Area</vt:lpstr>
      <vt:lpstr>'様式4　プログラムの授業内容・概要'!Print_Area</vt:lpstr>
      <vt:lpstr>'様式５　教育の質・履修者数を向上させるための体制・計画'!Print_Area</vt:lpstr>
      <vt:lpstr>'様式６　自己点検・評価'!Print_Area</vt:lpstr>
      <vt:lpstr>'様式７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asia</cp:lastModifiedBy>
  <cp:lastPrinted>2021-07-13T03:24:48Z</cp:lastPrinted>
  <dcterms:created xsi:type="dcterms:W3CDTF">2011-06-14T05:32:50Z</dcterms:created>
  <dcterms:modified xsi:type="dcterms:W3CDTF">2021-07-19T01:07:00Z</dcterms:modified>
</cp:coreProperties>
</file>