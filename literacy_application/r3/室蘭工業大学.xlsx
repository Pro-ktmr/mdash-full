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教務企画\教務係長\37.数理・データサイエンス・AI教育プログラム認定制度\リテラシーレベル\2021.7.9（文科省）【修正等依頼（714正午〆切）】数理・データサイエンス・AI教育プログラム認定制度（リテラシーレベル）の申請書類について\再提出\必要書類\【20210713】文科省再提出_完成版\"/>
    </mc:Choice>
  </mc:AlternateContent>
  <bookViews>
    <workbookView xWindow="0" yWindow="0" windowWidth="15720" windowHeight="8490" tabRatio="885" activeTab="5"/>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申請しない）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6">'（申請しない）様式７　特色ある取組'!$A$1:$F$130</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プログラムの授業内容・概要'!$A$1:$G$68</definedName>
    <definedName name="_xlnm.Print_Area" localSheetId="4">'様式５　教育の質・履修者数を向上させるための体制・計画'!$A$1:$E$95</definedName>
    <definedName name="_xlnm.Print_Area" localSheetId="5">'様式６　自己点検・評価'!$A$1:$J$20</definedName>
  </definedNames>
  <calcPr calcId="162913"/>
</workbook>
</file>

<file path=xl/calcChain.xml><?xml version="1.0" encoding="utf-8"?>
<calcChain xmlns="http://schemas.openxmlformats.org/spreadsheetml/2006/main">
  <c r="Q8" i="31" l="1"/>
  <c r="R8" i="31" s="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<sst xmlns="http://schemas.openxmlformats.org/spreadsheetml/2006/main" count="275" uniqueCount="202">
  <si>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</si>
  <si>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</si>
  <si>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</si>
  <si>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</si>
  <si>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</si>
  <si>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</si>
  <si>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</si>
  <si>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</si>
  <si>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</si>
  <si>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</si>
  <si>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</si>
  <si>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</si>
  <si>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</si>
  <si>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</si>
  <si>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</si>
  <si>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</si>
  <si>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</si>
  <si>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</si>
  <si>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</si>
  <si>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</si>
  <si>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</si>
  <si>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</si>
  <si>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</si>
  <si>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</si>
  <si>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</si>
  <si>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</si>
  <si>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</si>
  <si>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</si>
  <si>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</si>
  <si>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</si>
  <si>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</si>
  <si>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</si>
  <si>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</si>
  <si>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</si>
  <si>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</si>
  <si>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</si>
  <si>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</si>
  <si>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</si>
  <si>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</si>
  <si>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</si>
  <si>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</si>
  <si>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</si>
  <si>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</si>
  <si>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</si>
  <si>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</si>
  <si>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</si>
  <si>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</si>
  <si>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</si>
  <si>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</si>
  <si>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</si>
  <si>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</si>
  <si>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</si>
  <si>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</si>
  <si>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</si>
  <si>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</si>
  <si>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</si>
  <si>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</si>
  <si>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</si>
  <si>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</si>
  <si>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</si>
  <si>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</si>
  <si>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</si>
  <si>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</si>
  <si>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</si>
  <si>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</si>
  <si>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</si>
  <si>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</si>
  <si>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</si>
  <si>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</si>
  <si>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</si>
  <si>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</si>
  <si>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</si>
  <si>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</si>
  <si>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</si>
  <si>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</si>
  <si>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</si>
  <si>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</si>
  <si>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</si>
  <si>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</si>
  <si>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</si>
  <si>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</si>
  <si>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</si>
  <si>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</si>
  <si>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</si>
  <si>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</si>
  <si>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</si>
  <si>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</si>
  <si>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</si>
  <si>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</si>
  <si>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</si>
  <si>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</si>
  <si>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</si>
  <si>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</si>
  <si>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</si>
  <si>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</si>
  <si>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</si>
  <si>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</si>
  <si>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</si>
  <si>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</si>
  <si>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</si>
  <si>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</si>
  <si>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</si>
  <si>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</si>
  <si>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</si>
  <si>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</si>
  <si>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</si>
  <si>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</si>
  <si>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</si>
  <si>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</si>
  <si>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</si>
  <si>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</si>
  <si>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</si>
  <si>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</si>
  <si>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</si>
  <si>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</si>
  <si>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</si>
  <si>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</si>
  <si>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</si>
  <si>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</si>
  <si>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</si>
  <si>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</si>
  <si>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</si>
  <si>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</si>
  <si>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</si>
  <si>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</si>
  <si>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</si>
  <si>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</si>
  <si>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</si>
  <si>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</si>
  <si>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</si>
  <si>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</si>
  <si>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</si>
  <si>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情報セキュリティ入門</t>
    <rPh sb="0" eb="2">
      <t>ジョウホウ</t>
    </rPh>
    <rPh sb="8" eb="10">
      <t>ニュウモン</t>
    </rPh>
    <phoneticPr fontId="1"/>
  </si>
  <si>
    <t>プログラミング入門</t>
    <rPh sb="7" eb="9">
      <t>ニュウモン</t>
    </rPh>
    <phoneticPr fontId="1"/>
  </si>
  <si>
    <t>現代情報学概論</t>
    <rPh sb="0" eb="4">
      <t>ゲンダイジョウホウ</t>
    </rPh>
    <rPh sb="4" eb="5">
      <t>ガク</t>
    </rPh>
    <rPh sb="5" eb="7">
      <t>ガイロン</t>
    </rPh>
    <phoneticPr fontId="1"/>
  </si>
  <si>
    <t>データサイエンス入門</t>
    <rPh sb="8" eb="10">
      <t>ニュウモン</t>
    </rPh>
    <phoneticPr fontId="1"/>
  </si>
  <si>
    <t>現代情報学概論</t>
    <rPh sb="0" eb="2">
      <t>ゲンダイ</t>
    </rPh>
    <rPh sb="2" eb="5">
      <t>ジョウホウガク</t>
    </rPh>
    <rPh sb="5" eb="7">
      <t>ガイロン</t>
    </rPh>
    <phoneticPr fontId="1"/>
  </si>
  <si>
    <t>現代情報学概論</t>
    <rPh sb="0" eb="7">
      <t>ゲンダイジョウホウガクガイロン</t>
    </rPh>
    <phoneticPr fontId="1"/>
  </si>
  <si>
    <t>学部・学科によって、修了要件は相違しない</t>
  </si>
  <si>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</si>
  <si>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</si>
  <si>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</si>
  <si>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データサイエンス入門</t>
    <rPh sb="8" eb="10">
      <t>ニュウモン</t>
    </rPh>
    <phoneticPr fontId="1"/>
  </si>
  <si>
    <t>プログラミング入門</t>
    <rPh sb="7" eb="9">
      <t>ニュウモン</t>
    </rPh>
    <phoneticPr fontId="1"/>
  </si>
  <si>
    <t>室蘭工業大学</t>
    <rPh sb="0" eb="6">
      <t>ムロランコウギョウダイガク</t>
    </rPh>
    <phoneticPr fontId="1"/>
  </si>
  <si>
    <t>国立大学</t>
  </si>
  <si>
    <t>数理データサイエンス教育プログラム</t>
    <rPh sb="0" eb="2">
      <t>スウリ</t>
    </rPh>
    <rPh sb="10" eb="12">
      <t>キョウイク</t>
    </rPh>
    <phoneticPr fontId="1"/>
  </si>
  <si>
    <t>北海道室蘭市水元町２７－１</t>
    <rPh sb="0" eb="3">
      <t>ホッカイドウ</t>
    </rPh>
    <rPh sb="3" eb="6">
      <t>ムロランシ</t>
    </rPh>
    <rPh sb="6" eb="9">
      <t>ミズモトチョウ</t>
    </rPh>
    <phoneticPr fontId="1"/>
  </si>
  <si>
    <t>理事（学術担当）</t>
    <rPh sb="0" eb="2">
      <t>リジ</t>
    </rPh>
    <rPh sb="3" eb="5">
      <t>ガクジュツ</t>
    </rPh>
    <rPh sb="5" eb="7">
      <t>タントウ</t>
    </rPh>
    <phoneticPr fontId="1"/>
  </si>
  <si>
    <t>教育システム委員会</t>
    <rPh sb="0" eb="2">
      <t>キョウイク</t>
    </rPh>
    <rPh sb="6" eb="9">
      <t>イインカイ</t>
    </rPh>
    <phoneticPr fontId="1"/>
  </si>
  <si>
    <t>認定教育プログラム</t>
  </si>
  <si>
    <t>学務課教務企画係</t>
    <rPh sb="0" eb="8">
      <t>ガクムカキョウムキカクカカリ</t>
    </rPh>
    <phoneticPr fontId="1"/>
  </si>
  <si>
    <t>利田　大輝</t>
    <rPh sb="0" eb="1">
      <t>リ</t>
    </rPh>
    <rPh sb="1" eb="2">
      <t>タ</t>
    </rPh>
    <rPh sb="3" eb="4">
      <t>ダイ</t>
    </rPh>
    <rPh sb="4" eb="5">
      <t>テル</t>
    </rPh>
    <phoneticPr fontId="1"/>
  </si>
  <si>
    <t>kyomu@mmm.muroran-it.ac.jp</t>
    <phoneticPr fontId="1"/>
  </si>
  <si>
    <t>0143-46-5106</t>
    <phoneticPr fontId="1"/>
  </si>
  <si>
    <t>様式２</t>
    <rPh sb="0" eb="2">
      <t>ヨウシキ</t>
    </rPh>
    <phoneticPr fontId="1"/>
  </si>
  <si>
    <t>毎年度半期ごとに、全学生に対して授業評価アンケートを実施しており、該当科目における学生の理解度を分析している。</t>
    <rPh sb="0" eb="3">
      <t>マイネンド</t>
    </rPh>
    <rPh sb="3" eb="5">
      <t>ハンキ</t>
    </rPh>
    <rPh sb="10" eb="12">
      <t>ガクセイ</t>
    </rPh>
    <rPh sb="18" eb="20">
      <t>ヒョウカ</t>
    </rPh>
    <rPh sb="33" eb="35">
      <t>ガイトウ</t>
    </rPh>
    <rPh sb="35" eb="37">
      <t>カモク</t>
    </rPh>
    <phoneticPr fontId="1"/>
  </si>
  <si>
    <t>卒業生の進路状況については、毎年度本学キャリアサポートセンターにて調査・把握している。本教育プログラムが全学生必修であることから、プログラム修了学生＝卒業生となり、進路先や活躍状況の把握が可能である。また卒業生を採用した企業等に対して企業アンケートを定期的に実施しており、本教育プログラムを修了した卒業生における採用状況や企業評価を把握する仕組みを設けている。</t>
    <rPh sb="4" eb="6">
      <t>シンロ</t>
    </rPh>
    <rPh sb="6" eb="8">
      <t>ジョウキョウ</t>
    </rPh>
    <rPh sb="14" eb="17">
      <t>マイネンド</t>
    </rPh>
    <rPh sb="17" eb="19">
      <t>ホンガク</t>
    </rPh>
    <rPh sb="33" eb="35">
      <t>チョウサ</t>
    </rPh>
    <rPh sb="36" eb="38">
      <t>ハアク</t>
    </rPh>
    <rPh sb="52" eb="54">
      <t>ゼンガク</t>
    </rPh>
    <rPh sb="54" eb="55">
      <t>セイ</t>
    </rPh>
    <rPh sb="55" eb="57">
      <t>ヒッシュウ</t>
    </rPh>
    <rPh sb="72" eb="74">
      <t>ガクセイ</t>
    </rPh>
    <rPh sb="102" eb="104">
      <t>ソツギョウ</t>
    </rPh>
    <rPh sb="104" eb="105">
      <t>セイ</t>
    </rPh>
    <rPh sb="106" eb="108">
      <t>サイヨウ</t>
    </rPh>
    <rPh sb="110" eb="112">
      <t>キギョウ</t>
    </rPh>
    <rPh sb="112" eb="113">
      <t>トウ</t>
    </rPh>
    <rPh sb="117" eb="119">
      <t>キギョウ</t>
    </rPh>
    <rPh sb="125" eb="128">
      <t>テイキテキ</t>
    </rPh>
    <phoneticPr fontId="1"/>
  </si>
  <si>
    <t>　</t>
    <phoneticPr fontId="1"/>
  </si>
  <si>
    <t>様式４</t>
    <rPh sb="0" eb="2">
      <t>ヨウシキ</t>
    </rPh>
    <phoneticPr fontId="1"/>
  </si>
  <si>
    <t>データサイエンス概論（１）
　　　　関連項目：データサイエンス入門と概要　</t>
    <rPh sb="8" eb="10">
      <t>ガイロン</t>
    </rPh>
    <rPh sb="18" eb="22">
      <t>カンレンコウモク</t>
    </rPh>
    <rPh sb="31" eb="33">
      <t>ニュウモン</t>
    </rPh>
    <rPh sb="34" eb="36">
      <t>ガイヨウ</t>
    </rPh>
    <phoneticPr fontId="1"/>
  </si>
  <si>
    <t>計算機の発展と現代社会の変化（２）
　　　　　教科書　現代情報学概論　第１章　コンピュータの発展と社会変化
　　　　　関連項目：社会における課題解決にツールとなるデータ利活用
現代の情報社会が抱える問題の考察（３）
　　　　　教科書　現代情報学概論　第２章　現代の情報化社会
　　　　　関連項目：データ駆動型社会に至る社会の情報化　
情報産業の現状（４）
　　　　　教科書　現代情報学概論　第２章　情報産業の現状
　　　　　情報社会における課題対応のためのデータ活用事例</t>
    <rPh sb="59" eb="63">
      <t>カンレンコウモク</t>
    </rPh>
    <rPh sb="64" eb="66">
      <t>シャカイ</t>
    </rPh>
    <rPh sb="70" eb="72">
      <t>カダイ</t>
    </rPh>
    <rPh sb="72" eb="74">
      <t>カイケツ</t>
    </rPh>
    <rPh sb="85" eb="87">
      <t>カツヨウ</t>
    </rPh>
    <rPh sb="134" eb="135">
      <t>カ</t>
    </rPh>
    <rPh sb="151" eb="154">
      <t>クドウガタ</t>
    </rPh>
    <rPh sb="154" eb="156">
      <t>シャカイ</t>
    </rPh>
    <rPh sb="157" eb="158">
      <t>イタ</t>
    </rPh>
    <rPh sb="159" eb="161">
      <t>シャカイ</t>
    </rPh>
    <rPh sb="162" eb="165">
      <t>ジョウホウカ</t>
    </rPh>
    <phoneticPr fontId="1"/>
  </si>
  <si>
    <t>データマイニング概観（６）
　　　　　教科書　第６章　データマイニング概観　
　　　　　関連項目：データの利活用の基礎　
ビッグデータの扱い（７）
　　　　　教科書　第７章　ビッグデータの扱い
　　　　　関連項目：社会において蓄積されるデータの活用</t>
    <rPh sb="19" eb="22">
      <t>キョウカショ</t>
    </rPh>
    <rPh sb="23" eb="24">
      <t>ダイ</t>
    </rPh>
    <rPh sb="25" eb="26">
      <t>ショウ</t>
    </rPh>
    <rPh sb="46" eb="48">
      <t>コウモク</t>
    </rPh>
    <rPh sb="53" eb="56">
      <t>リカツヨウ</t>
    </rPh>
    <rPh sb="57" eb="59">
      <t>キソ</t>
    </rPh>
    <rPh sb="79" eb="82">
      <t>キョウカショ</t>
    </rPh>
    <rPh sb="83" eb="84">
      <t>ダイ</t>
    </rPh>
    <rPh sb="85" eb="86">
      <t>ショウ</t>
    </rPh>
    <rPh sb="102" eb="106">
      <t>カンレンコウモク</t>
    </rPh>
    <rPh sb="107" eb="109">
      <t>シャカイ</t>
    </rPh>
    <rPh sb="113" eb="115">
      <t>チクセキ</t>
    </rPh>
    <rPh sb="122" eb="124">
      <t>カツヨウ</t>
    </rPh>
    <phoneticPr fontId="1"/>
  </si>
  <si>
    <t>情報産業の現状（４）
　　　　　教科書　現代情報学概論　第２章　現代の情報化社会
　　　　　関連項目　社会における多様なデータの利活用　　　</t>
    <rPh sb="32" eb="34">
      <t>ゲンダイ</t>
    </rPh>
    <rPh sb="37" eb="38">
      <t>カ</t>
    </rPh>
    <rPh sb="38" eb="40">
      <t>シャカイ</t>
    </rPh>
    <rPh sb="46" eb="50">
      <t>カンレンコウモク</t>
    </rPh>
    <rPh sb="51" eb="53">
      <t>シャカイ</t>
    </rPh>
    <rPh sb="57" eb="59">
      <t>タヨウ</t>
    </rPh>
    <rPh sb="64" eb="67">
      <t>リカツヨウ</t>
    </rPh>
    <phoneticPr fontId="1"/>
  </si>
  <si>
    <t>リベラルアーツと情報学（１５）　
　　　　　教科書　データサイエンス入門　１５章　マーケティングと情報学
　　　　　関連項目：サービス分野などにおけるデータの利活用</t>
    <rPh sb="8" eb="11">
      <t>ジョウホウガク</t>
    </rPh>
    <rPh sb="22" eb="25">
      <t>キョウカショ</t>
    </rPh>
    <rPh sb="34" eb="36">
      <t>ニュウモン</t>
    </rPh>
    <rPh sb="39" eb="40">
      <t>ショウ</t>
    </rPh>
    <rPh sb="49" eb="52">
      <t>ジョウホウガク</t>
    </rPh>
    <rPh sb="58" eb="62">
      <t>カンレンコウモク</t>
    </rPh>
    <rPh sb="67" eb="69">
      <t>ブンヤ</t>
    </rPh>
    <rPh sb="79" eb="82">
      <t>リカツヨウ</t>
    </rPh>
    <phoneticPr fontId="1"/>
  </si>
  <si>
    <t>情報セキュリティ入門のためのガイダンス（１）
情報セキュリティ基礎（２～４、６～７、１２～１３）
            スマートフォンとその脅威、権 利関係法規、個⼈情報、マルウエア対策、
　　　　　　電⼦的なコミュニケーションの基礎、電⼦メールのセキュリティ、
　　　　　　インターネットサービスとその脅威、クラウドセキュリティ、
　　　　　　情報管理⽅法、リスクアセスメ ントとリスク対応、
　　　　　　情報セキュリティと情報機器の管理技術、
　　　　　　セキュリティ技術その１：Wifi、暗号化、IPプロトコルの仕組みと暗号化、Wifi調査
　　　　　　セキュリティ技術その２：セキュアなシステム構築
　　　　　　（OS、ソフトウェア、ネットワーク）、電⼦署名、認証基盤
情報セキュリティ演習（５、８～１１、１４～１５）
　　　　　　インターネットの安全な利⽤と情報検索、
　　　　　　ソフトウェア活⽤１：データ分析および可視化
　　　　　　ソフトウェア活⽤２：⽂書作成 技法、電⼦ファイルの管理
　　　　　　ソフトウェア活⽤３：発表資料の 作成
　　　　　　総合演習１ 発表会
　　　　　　総合演習２ 情報セキュリティ調査
　　　　　　総合演習３ 情報セキュリティ調査結果発表</t>
    <rPh sb="8" eb="10">
      <t>ニュウモン</t>
    </rPh>
    <phoneticPr fontId="1"/>
  </si>
  <si>
    <t xml:space="preserve">情報セキュリティーと現代社会（１３）
　　　　　教科書　現代情報学概論　第９章　情報セキュリティーと現代社会
情報倫理（１５）
 　　　　　教科書　現代情報学概論　第９章　第１０章　情報倫理と知的財産権
</t>
    <phoneticPr fontId="1"/>
  </si>
  <si>
    <t>情報処理システム（１１）
　　　　　現代情報学概論　第７章　高度情報化の事例：ビッグデータと人工知能</t>
    <phoneticPr fontId="1"/>
  </si>
  <si>
    <t>シミュレーション１：シミュレーション計算（１３）
シミュレーション２：シミュレーション計算の可視化（１４）
総合演習４：シミュレーションを題材とした総合演習課題（１５）
　　　　　教科書　Jupyter Notebookで始めるプログラミング2020　</t>
    <rPh sb="90" eb="93">
      <t>キョウカショ</t>
    </rPh>
    <phoneticPr fontId="1"/>
  </si>
  <si>
    <t xml:space="preserve">理工学基礎教育及び情報教育の充実を図るとともに、授業科目の教育内容及び方法等の向上に関する取り組みを行うことにより、本学が求める有用な理工学人材の育成に資することを目的として「情報教育センター」を設置し、情報セキュリティ、データサイエンス及び情報プログラミング等の情報基礎教育の実施及び改善に関する業務を行っている。
また、学部及び大学院工学研究科博士前期課程の教育全般に関する事項を所掌する「教育システム委員会」においても、教育方法等の改善に関することを審議・検討し、プログラムを改善・進化させるための体制を整えている。
</t>
    <rPh sb="231" eb="233">
      <t>ケントウ</t>
    </rPh>
    <phoneticPr fontId="1"/>
  </si>
  <si>
    <t>プログラム発足時より、構成する全科目を全学必修に設定しており、既に実質100％に近い履修率となっている。今後も全学必修科目として、継続してプログラムを実施する見込みである。</t>
    <phoneticPr fontId="1"/>
  </si>
  <si>
    <t xml:space="preserve">「教員システム委員会」において、教育課程、教育方法等の改善、教育に係る自己点検及び評価を実施しており、当プログラムが認定制度の要件に合致した教育プログラムであるか審査している。プログラム内容の妥当性と履修・修得状況を把握し、課題等について議論し、その結果をフィードバックする取組みを行っている。
なお、令和２年度における当プログラムの履修・修得状況等について自己点検・評価を実施した結果、理工学部における全学科の学生が順当に履修していることを確認した。
</t>
    <rPh sb="151" eb="153">
      <t>レイワ</t>
    </rPh>
    <rPh sb="154" eb="156">
      <t>ネンド</t>
    </rPh>
    <rPh sb="160" eb="161">
      <t>トウ</t>
    </rPh>
    <rPh sb="172" eb="174">
      <t>ジョウキョウ</t>
    </rPh>
    <rPh sb="174" eb="175">
      <t>トウ</t>
    </rPh>
    <rPh sb="179" eb="181">
      <t>ジコ</t>
    </rPh>
    <rPh sb="181" eb="183">
      <t>テンケン</t>
    </rPh>
    <rPh sb="184" eb="186">
      <t>ヒョウカ</t>
    </rPh>
    <rPh sb="187" eb="189">
      <t>ジッシ</t>
    </rPh>
    <rPh sb="191" eb="193">
      <t>ケッカ</t>
    </rPh>
    <rPh sb="221" eb="223">
      <t>カクニン</t>
    </rPh>
    <phoneticPr fontId="1"/>
  </si>
  <si>
    <t>「教員システム委員会」において、教育課程、教育方法等の改善、教育に係る自己点検及び評価を実施しており、当プログラムが認定制度の要件に合致した教育プログラムであるか審査している。プログラム内容の妥当性と履修・修得状況を把握し、課題等について議論し、その結果をフィードバックする取組みを行っている。
なお、令和２年度における当プログラムの実施内容等について自己点検・評価を実施した結果、審査項目の観点通りの成果を達成していることを確認した。</t>
    <rPh sb="1" eb="3">
      <t>キョウイン</t>
    </rPh>
    <rPh sb="7" eb="9">
      <t>イイン</t>
    </rPh>
    <rPh sb="9" eb="10">
      <t>カイ</t>
    </rPh>
    <rPh sb="44" eb="46">
      <t>ジッシ</t>
    </rPh>
    <rPh sb="51" eb="52">
      <t>トウ</t>
    </rPh>
    <rPh sb="58" eb="60">
      <t>ニンテイ</t>
    </rPh>
    <rPh sb="60" eb="62">
      <t>セイド</t>
    </rPh>
    <rPh sb="63" eb="65">
      <t>ヨウケン</t>
    </rPh>
    <rPh sb="66" eb="68">
      <t>ガッチ</t>
    </rPh>
    <rPh sb="70" eb="72">
      <t>キョウイク</t>
    </rPh>
    <rPh sb="81" eb="83">
      <t>シンサ</t>
    </rPh>
    <rPh sb="93" eb="95">
      <t>ナイヨウ</t>
    </rPh>
    <rPh sb="96" eb="99">
      <t>ダトウセイ</t>
    </rPh>
    <rPh sb="100" eb="102">
      <t>リシュウ</t>
    </rPh>
    <rPh sb="103" eb="105">
      <t>シュウトク</t>
    </rPh>
    <rPh sb="105" eb="107">
      <t>ジョウキョウ</t>
    </rPh>
    <rPh sb="108" eb="110">
      <t>ハアク</t>
    </rPh>
    <rPh sb="112" eb="114">
      <t>カダイ</t>
    </rPh>
    <rPh sb="114" eb="115">
      <t>トウ</t>
    </rPh>
    <rPh sb="119" eb="121">
      <t>ギロン</t>
    </rPh>
    <rPh sb="125" eb="127">
      <t>ケッカ</t>
    </rPh>
    <rPh sb="137" eb="138">
      <t>ト</t>
    </rPh>
    <rPh sb="138" eb="139">
      <t>ク</t>
    </rPh>
    <rPh sb="141" eb="142">
      <t>オコナ</t>
    </rPh>
    <rPh sb="169" eb="171">
      <t>ナイヨウ</t>
    </rPh>
    <phoneticPr fontId="1"/>
  </si>
  <si>
    <t xml:space="preserve">本学の実施内容に合わせた教育内容を一から組み立てていくために、担当教員が教科書を作成することで内容・水準の維持・向上、並びに学生の分かりやすい授業につなげている。
※科目名：現代情報学概論，書籍：現代社会と情報システム（桑田，佐賀他共著，朝倉書店）
　 科目名：プログラミング入門，書籍：Jupyter Notebookで始めるプログラミング（桑田，小川共著，学術出版）
</t>
    <rPh sb="0" eb="2">
      <t>ホンガク</t>
    </rPh>
    <rPh sb="3" eb="5">
      <t>ジッシ</t>
    </rPh>
    <rPh sb="5" eb="7">
      <t>ナイヨウ</t>
    </rPh>
    <rPh sb="8" eb="9">
      <t>ア</t>
    </rPh>
    <rPh sb="12" eb="16">
      <t>キョウイクナイヨウ</t>
    </rPh>
    <rPh sb="17" eb="18">
      <t>イチ</t>
    </rPh>
    <rPh sb="20" eb="21">
      <t>ク</t>
    </rPh>
    <rPh sb="22" eb="23">
      <t>タ</t>
    </rPh>
    <rPh sb="59" eb="60">
      <t>ナラ</t>
    </rPh>
    <rPh sb="111" eb="113">
      <t>クワタ</t>
    </rPh>
    <rPh sb="114" eb="116">
      <t>サガ</t>
    </rPh>
    <rPh sb="116" eb="117">
      <t>ホカ</t>
    </rPh>
    <rPh sb="117" eb="119">
      <t>キョウチョ</t>
    </rPh>
    <rPh sb="139" eb="141">
      <t>ニュウモン</t>
    </rPh>
    <rPh sb="173" eb="175">
      <t>クワタ</t>
    </rPh>
    <rPh sb="176" eb="178">
      <t>オガワ</t>
    </rPh>
    <rPh sb="178" eb="179">
      <t>キョウ</t>
    </rPh>
    <rPh sb="179" eb="180">
      <t>チョ</t>
    </rPh>
    <phoneticPr fontId="1"/>
  </si>
  <si>
    <t>溝口　光男</t>
    <phoneticPr fontId="1"/>
  </si>
  <si>
    <t>室蘭工業大学教育システム委員会規則、室蘭工業大学理工学人材育成本部規則、室蘭工業大学情報教育センター細則</t>
    <rPh sb="36" eb="40">
      <t>ムロランコウギョウ</t>
    </rPh>
    <rPh sb="40" eb="42">
      <t>ダイガク</t>
    </rPh>
    <rPh sb="42" eb="44">
      <t>ジョウホウ</t>
    </rPh>
    <rPh sb="44" eb="46">
      <t>キョウイク</t>
    </rPh>
    <rPh sb="50" eb="52">
      <t>サイソク</t>
    </rPh>
    <phoneticPr fontId="1"/>
  </si>
  <si>
    <t>。</t>
    <phoneticPr fontId="1"/>
  </si>
  <si>
    <t>本教育プログラムにおける各科目については、LMS（Moodle）を通じて実施しており、学生は授業時間以外に不明点等の質問をシステムを通じて行うことができ、質問は担当教員から参加者全員にシステム上で公開、又は個別にメールにて返答する体制を整備している。
また、その他、本プログラムにおける授業担当教員については、それぞれオフィスアワーを設け、学習内容や質問等についての相談実施体制を設けている。</t>
    <rPh sb="0" eb="3">
      <t>ホンキョウイク</t>
    </rPh>
    <rPh sb="12" eb="13">
      <t>カク</t>
    </rPh>
    <rPh sb="13" eb="15">
      <t>カモク</t>
    </rPh>
    <rPh sb="33" eb="34">
      <t>ツウ</t>
    </rPh>
    <rPh sb="36" eb="38">
      <t>ジッシ</t>
    </rPh>
    <rPh sb="43" eb="45">
      <t>ガクセイ</t>
    </rPh>
    <rPh sb="46" eb="50">
      <t>ジュギョウジカン</t>
    </rPh>
    <rPh sb="50" eb="52">
      <t>イガイ</t>
    </rPh>
    <rPh sb="53" eb="55">
      <t>フメイ</t>
    </rPh>
    <rPh sb="55" eb="56">
      <t>テン</t>
    </rPh>
    <rPh sb="56" eb="57">
      <t>トウ</t>
    </rPh>
    <rPh sb="58" eb="60">
      <t>シツモン</t>
    </rPh>
    <rPh sb="66" eb="67">
      <t>ツウ</t>
    </rPh>
    <rPh sb="69" eb="70">
      <t>オコナ</t>
    </rPh>
    <rPh sb="77" eb="79">
      <t>シツモン</t>
    </rPh>
    <rPh sb="80" eb="82">
      <t>タントウ</t>
    </rPh>
    <rPh sb="82" eb="84">
      <t>キョウイン</t>
    </rPh>
    <rPh sb="86" eb="89">
      <t>サンカシャ</t>
    </rPh>
    <rPh sb="89" eb="91">
      <t>ゼンイン</t>
    </rPh>
    <rPh sb="96" eb="97">
      <t>ウエ</t>
    </rPh>
    <rPh sb="98" eb="100">
      <t>コウカイ</t>
    </rPh>
    <rPh sb="101" eb="102">
      <t>マタ</t>
    </rPh>
    <rPh sb="103" eb="105">
      <t>コベツ</t>
    </rPh>
    <rPh sb="111" eb="113">
      <t>ヘントウ</t>
    </rPh>
    <rPh sb="115" eb="117">
      <t>タイセイ</t>
    </rPh>
    <rPh sb="118" eb="120">
      <t>セイビ</t>
    </rPh>
    <rPh sb="131" eb="132">
      <t>タ</t>
    </rPh>
    <rPh sb="133" eb="134">
      <t>ホン</t>
    </rPh>
    <rPh sb="143" eb="145">
      <t>ジュギョウ</t>
    </rPh>
    <rPh sb="145" eb="147">
      <t>タントウ</t>
    </rPh>
    <rPh sb="147" eb="149">
      <t>キョウイン</t>
    </rPh>
    <rPh sb="167" eb="168">
      <t>モウ</t>
    </rPh>
    <rPh sb="170" eb="172">
      <t>ガクシュウ</t>
    </rPh>
    <rPh sb="172" eb="174">
      <t>ナイヨウ</t>
    </rPh>
    <rPh sb="175" eb="177">
      <t>シツモン</t>
    </rPh>
    <rPh sb="177" eb="178">
      <t>トウ</t>
    </rPh>
    <rPh sb="183" eb="185">
      <t>ソウダン</t>
    </rPh>
    <rPh sb="185" eb="187">
      <t>ジッシ</t>
    </rPh>
    <rPh sb="187" eb="189">
      <t>タイセイ</t>
    </rPh>
    <rPh sb="190" eb="191">
      <t>モウ</t>
    </rPh>
    <phoneticPr fontId="1"/>
  </si>
  <si>
    <t>授業評価アンケートの分析結果報告書をホームページ上に公表し、後輩等他の学生への推奨を確認している。</t>
    <rPh sb="2" eb="4">
      <t>ヒョウカ</t>
    </rPh>
    <rPh sb="10" eb="12">
      <t>ブンセキ</t>
    </rPh>
    <rPh sb="12" eb="14">
      <t>ケッカ</t>
    </rPh>
    <rPh sb="14" eb="17">
      <t>ホウコクショ</t>
    </rPh>
    <rPh sb="24" eb="25">
      <t>ウエ</t>
    </rPh>
    <rPh sb="26" eb="28">
      <t>コウヒョウ</t>
    </rPh>
    <rPh sb="42" eb="44">
      <t>カクニン</t>
    </rPh>
    <phoneticPr fontId="1"/>
  </si>
  <si>
    <t>本学においては、産業界から意見を聴取し、教育へ反映させることを狙いとしてアドバイザリーボード組織を設けている。本組織内の産業界・地域アドバイザリーグループ（市民懇談会、経営協議会、COC+教育プログラム開発委員会、COC+拠点会議、COC+地域勉強会）からの意見を聞く機会を活用し、意見聴取する体制を整えている。</t>
    <rPh sb="0" eb="2">
      <t>ホンガク</t>
    </rPh>
    <rPh sb="13" eb="15">
      <t>イケン</t>
    </rPh>
    <rPh sb="16" eb="18">
      <t>チョウシュ</t>
    </rPh>
    <rPh sb="20" eb="22">
      <t>キョウイク</t>
    </rPh>
    <rPh sb="23" eb="25">
      <t>ハンエイ</t>
    </rPh>
    <rPh sb="31" eb="32">
      <t>ネラ</t>
    </rPh>
    <rPh sb="46" eb="48">
      <t>ソシキ</t>
    </rPh>
    <rPh sb="49" eb="50">
      <t>モウ</t>
    </rPh>
    <rPh sb="55" eb="56">
      <t>ホン</t>
    </rPh>
    <rPh sb="56" eb="59">
      <t>ソシキナイ</t>
    </rPh>
    <rPh sb="129" eb="131">
      <t>イケン</t>
    </rPh>
    <rPh sb="132" eb="133">
      <t>キ</t>
    </rPh>
    <rPh sb="134" eb="136">
      <t>キカイ</t>
    </rPh>
    <rPh sb="147" eb="149">
      <t>タイセイ</t>
    </rPh>
    <rPh sb="150" eb="151">
      <t>トトノ</t>
    </rPh>
    <phoneticPr fontId="1"/>
  </si>
  <si>
    <t>「教育システム委員会」及び「理工学人材育成本部 情報教育センター（情報教育部門）」</t>
    <rPh sb="1" eb="3">
      <t>キョウイク</t>
    </rPh>
    <rPh sb="7" eb="10">
      <t>イインカイ</t>
    </rPh>
    <rPh sb="11" eb="12">
      <t>オヨ</t>
    </rPh>
    <rPh sb="14" eb="17">
      <t>リコウガク</t>
    </rPh>
    <rPh sb="17" eb="19">
      <t>ジンザイ</t>
    </rPh>
    <rPh sb="19" eb="21">
      <t>イクセイ</t>
    </rPh>
    <rPh sb="21" eb="23">
      <t>ホンブ</t>
    </rPh>
    <rPh sb="24" eb="28">
      <t>ジョウホウキョウイク</t>
    </rPh>
    <rPh sb="33" eb="37">
      <t>ジョウホウキョウイク</t>
    </rPh>
    <rPh sb="37" eb="39">
      <t>ブモン</t>
    </rPh>
    <phoneticPr fontId="1"/>
  </si>
  <si>
    <t>・教育システム委員会委員長　理事（学術担当）　溝口　光男
　副学長（教育改革担当）  永野　宏治
　創造工学科　教授　川村　志麻
　創造工学科　准教授　船水　英希
　創造工学科　准教授　畠中　和明
　創造工学科　教授　渡邊　浩太
　創造工学科　准教授　安藤　哲也
　システム理化学科　教授　髙野　英明
　システム理化学科　教授　中野　英之
　システム理化学科　准教授　岡田　吉史
　理工学基礎教育センター　教授　竹ケ原　裕元
　理工学基礎教育センター　准教授  ｹﾞｲﾅｰﾌﾞﾗｲｱﾝ 
　情報教育センター　准教授　小川　祐紀雄 
　環境創生工学系専攻  准教授　真境名　達哉 
　生産システム工学系専攻　准教授　境　　昌宏 
　情報電子工学系専攻　准教授　渡邉　真也 
　学務課長  渡邊　秀雄 
・理工学人材育成本部長　理事（学術担当）　溝口　光男
　情報教育センター長　教授　桑田喜隆
　情報教育センター　准教授　小川　祐紀雄
　情報教育センター　助教　早坂　成人
　情報教育センター　助教　石坂　徹
　しくみ解明系領域　特任教授　岸上　順一
　システム理化学科　教授　佐賀　聡人
　システム理化学科　教授　永野　宏治
　システム理化学科　教授　鈴木　幸司
　システム理化学科　教授　桃野 直樹
　システム理化学科　教授　大平　勇一
　システム理化学科　准教授　岡田　吉史
　システム理化学科　准教授　倉重　健太郎
　創造工学科　教授　青栁　学
　創造工学科　教授　花島　直彦
　創造工学科　准教授　有村　幹治</t>
    <rPh sb="1" eb="3">
      <t>キョウイク</t>
    </rPh>
    <rPh sb="7" eb="10">
      <t>イインカイ</t>
    </rPh>
    <rPh sb="10" eb="13">
      <t>イインチョウ</t>
    </rPh>
    <rPh sb="14" eb="16">
      <t>リジ</t>
    </rPh>
    <rPh sb="353" eb="356">
      <t>リコウガク</t>
    </rPh>
    <rPh sb="356" eb="358">
      <t>ジンザイ</t>
    </rPh>
    <rPh sb="358" eb="360">
      <t>イクセイ</t>
    </rPh>
    <rPh sb="360" eb="363">
      <t>ホンブチョウ</t>
    </rPh>
    <rPh sb="380" eb="384">
      <t>ジョウホウキョウイク</t>
    </rPh>
    <rPh sb="388" eb="389">
      <t>チョウ</t>
    </rPh>
    <rPh sb="390" eb="392">
      <t>キョウジュ</t>
    </rPh>
    <rPh sb="393" eb="395">
      <t>クワタ</t>
    </rPh>
    <rPh sb="429" eb="431">
      <t>ジョキョウ</t>
    </rPh>
    <rPh sb="448" eb="450">
      <t>ジョキョウ</t>
    </rPh>
    <phoneticPr fontId="1"/>
  </si>
  <si>
    <t xml:space="preserve">計算機の発展と現代社会の変化（２）
　　　　教科書　現代情報学概論　第１章　コンピュータの発展と社会変化
　　　　関係項目：コンピューターの進化、データ活用の広がり、社会基盤のスマート化
情報処理システム（１１）
　　　　教科書　　現代情報学概論　第７章　高度情報化の事例：ビッグデータと人工知能
　　　　関係項目：ビッグデータの形成、ビッグデータの活用、人工知能とデータ活用
</t>
    <rPh sb="22" eb="25">
      <t>キョウカショ</t>
    </rPh>
    <rPh sb="57" eb="61">
      <t>カンケイコウモク</t>
    </rPh>
    <rPh sb="76" eb="78">
      <t>カツヨウ</t>
    </rPh>
    <rPh sb="79" eb="80">
      <t>ヒロ</t>
    </rPh>
    <rPh sb="83" eb="87">
      <t>シャカイキバン</t>
    </rPh>
    <rPh sb="92" eb="93">
      <t>カ</t>
    </rPh>
    <rPh sb="94" eb="96">
      <t>ジョウホウ</t>
    </rPh>
    <rPh sb="153" eb="157">
      <t>カンケイコウモク</t>
    </rPh>
    <rPh sb="165" eb="167">
      <t>ケイセイ</t>
    </rPh>
    <rPh sb="175" eb="177">
      <t>カツヨウ</t>
    </rPh>
    <rPh sb="178" eb="182">
      <t>ジンコウチノウ</t>
    </rPh>
    <rPh sb="186" eb="188">
      <t>カツヨウ</t>
    </rPh>
    <phoneticPr fontId="1"/>
  </si>
  <si>
    <t>数理データサイエンス・AIに関するリテラシー教育として、理工学部の全学の学生に設定された科目、情報セキュリティ入門、プログラミング入門、現代情報学概論、データサイエンス入門を履修し、単位習得することを要件とする。</t>
    <rPh sb="0" eb="2">
      <t>スウリ</t>
    </rPh>
    <rPh sb="14" eb="15">
      <t>カン</t>
    </rPh>
    <rPh sb="22" eb="24">
      <t>キョウイク</t>
    </rPh>
    <rPh sb="28" eb="32">
      <t>リコウガクブ</t>
    </rPh>
    <rPh sb="44" eb="46">
      <t>カモク</t>
    </rPh>
    <rPh sb="47" eb="49">
      <t>ジョウホウ</t>
    </rPh>
    <rPh sb="55" eb="57">
      <t>ニュウモン</t>
    </rPh>
    <rPh sb="65" eb="67">
      <t>ニュウモン</t>
    </rPh>
    <rPh sb="68" eb="75">
      <t>ゲンダイジョウホウガクガイロン</t>
    </rPh>
    <rPh sb="84" eb="86">
      <t>ニュウモン</t>
    </rPh>
    <rPh sb="87" eb="89">
      <t>リシュウ</t>
    </rPh>
    <rPh sb="91" eb="93">
      <t>タンイ</t>
    </rPh>
    <rPh sb="93" eb="95">
      <t>シュウトク</t>
    </rPh>
    <rPh sb="100" eb="102">
      <t>ヨウケン</t>
    </rPh>
    <phoneticPr fontId="1"/>
  </si>
  <si>
    <t xml:space="preserve">新しい情報技術とAIによる情報深化が社会全体において進みつつある。情報管理は大規模化して大量のデータが生み出され、データ蓄積が進んでいる。蓄積され膨大となったデータはビッグデータに進化している。そのようなデータの利活用を主とする「データ駆動型社会」への移行が既に始まっている。本授業においては、情報技術革新による社会全体の変化、企業による情報サービス、情報ネットワークからクラウドコンピューティングの登場、さらには、ビッグデータによる社会変革、第４次産業革命に関連する人工知能について取り上げる。
</t>
    <rPh sb="0" eb="1">
      <t>アタラ</t>
    </rPh>
    <rPh sb="3" eb="5">
      <t>ジョウホウ</t>
    </rPh>
    <rPh sb="38" eb="41">
      <t>ダイキボ</t>
    </rPh>
    <rPh sb="51" eb="52">
      <t>ウ</t>
    </rPh>
    <rPh sb="53" eb="54">
      <t>ダ</t>
    </rPh>
    <rPh sb="69" eb="71">
      <t>チクセキ</t>
    </rPh>
    <rPh sb="90" eb="92">
      <t>シンカ</t>
    </rPh>
    <rPh sb="106" eb="109">
      <t>リカツヨウ</t>
    </rPh>
    <rPh sb="110" eb="111">
      <t>シュ</t>
    </rPh>
    <rPh sb="118" eb="121">
      <t>クドウガタ</t>
    </rPh>
    <rPh sb="121" eb="123">
      <t>シャカイ</t>
    </rPh>
    <rPh sb="126" eb="128">
      <t>イコウ</t>
    </rPh>
    <rPh sb="129" eb="130">
      <t>スデ</t>
    </rPh>
    <rPh sb="131" eb="132">
      <t>ハジ</t>
    </rPh>
    <rPh sb="147" eb="149">
      <t>ジョウホウ</t>
    </rPh>
    <rPh sb="149" eb="153">
      <t>ギジュツカクシン</t>
    </rPh>
    <rPh sb="176" eb="178">
      <t>ジョウホウ</t>
    </rPh>
    <rPh sb="200" eb="202">
      <t>トウジョウ</t>
    </rPh>
    <phoneticPr fontId="1"/>
  </si>
  <si>
    <t>技術革新とAIによる新しい情報深化が進むなかで、データを活用した社会における課題解決が広がりつつある。データの利活用に関連した内容を中心とした、数理データサイエンス・AI教育に関する授業内容となる。高度化した情報機器の普及と拡大によって、社会で活用されるデータは多様化している。蓄積されたデータの活用は、身近な日常生活から社会における課題の解決につながる。本授業では、社会における課題解決のツールとなるデータ利活用について、様々な事例を通じて紹介する。</t>
    <rPh sb="32" eb="34">
      <t>シャカイ</t>
    </rPh>
    <rPh sb="43" eb="44">
      <t>ヒロ</t>
    </rPh>
    <rPh sb="55" eb="58">
      <t>リカツヨウ</t>
    </rPh>
    <rPh sb="59" eb="61">
      <t>カンレン</t>
    </rPh>
    <rPh sb="63" eb="65">
      <t>ナイヨウ</t>
    </rPh>
    <rPh sb="66" eb="68">
      <t>チュウシン</t>
    </rPh>
    <rPh sb="85" eb="87">
      <t>キョウイク</t>
    </rPh>
    <rPh sb="104" eb="108">
      <t>ジョウホウキキ</t>
    </rPh>
    <rPh sb="109" eb="111">
      <t>フキュウ</t>
    </rPh>
    <rPh sb="112" eb="114">
      <t>カクダイ</t>
    </rPh>
    <rPh sb="119" eb="121">
      <t>シャカイ</t>
    </rPh>
    <rPh sb="122" eb="124">
      <t>カツヨウ</t>
    </rPh>
    <rPh sb="131" eb="134">
      <t>タヨウカ</t>
    </rPh>
    <rPh sb="139" eb="141">
      <t>チクセキ</t>
    </rPh>
    <rPh sb="152" eb="154">
      <t>ミジカ</t>
    </rPh>
    <rPh sb="155" eb="159">
      <t>ニチジョウセイカツ</t>
    </rPh>
    <rPh sb="161" eb="163">
      <t>シャカイ</t>
    </rPh>
    <rPh sb="167" eb="169">
      <t>カダイ</t>
    </rPh>
    <rPh sb="170" eb="172">
      <t>カイケツ</t>
    </rPh>
    <rPh sb="178" eb="179">
      <t>ホン</t>
    </rPh>
    <rPh sb="179" eb="181">
      <t>ジュギョウ</t>
    </rPh>
    <rPh sb="184" eb="186">
      <t>シャカイ</t>
    </rPh>
    <rPh sb="204" eb="207">
      <t>リカツヨウ</t>
    </rPh>
    <rPh sb="212" eb="214">
      <t>サマザマ</t>
    </rPh>
    <rPh sb="215" eb="217">
      <t>ジレイ</t>
    </rPh>
    <rPh sb="218" eb="219">
      <t>ツウ</t>
    </rPh>
    <rPh sb="221" eb="223">
      <t>ショウカイ</t>
    </rPh>
    <phoneticPr fontId="1"/>
  </si>
  <si>
    <t xml:space="preserve">技術革新とAIによる新しい情報深化が進み、データの利活用による課題解決が広がりつつある。様々な領域でデータの利活用が急速に展開している。データの利活用における留意事項、特に情報倫理に関連した内容を主に扱う。データ利用による効果は、課題の解決だけではなく、新しい価値創造などの波及効果もある。しかしながら，社会における健全なデータ利用の観点も不可欠となる。そのためには、個人情報の保護などの様々な留意事項を学ぶ必要性がある。本授業においては、情報セキュリティに関する現状、セキュリティ技術と管理、関連する法律、さらには情報倫理と知的財産権などについて取り上げる。
</t>
    <rPh sb="25" eb="28">
      <t>リカツヨウ</t>
    </rPh>
    <rPh sb="61" eb="63">
      <t>テンカイ</t>
    </rPh>
    <rPh sb="79" eb="83">
      <t>リュウイジコウ</t>
    </rPh>
    <rPh sb="84" eb="85">
      <t>トク</t>
    </rPh>
    <rPh sb="86" eb="88">
      <t>ジョウホウ</t>
    </rPh>
    <rPh sb="88" eb="90">
      <t>リンリ</t>
    </rPh>
    <rPh sb="95" eb="97">
      <t>ナイヨウ</t>
    </rPh>
    <rPh sb="98" eb="99">
      <t>オモ</t>
    </rPh>
    <rPh sb="100" eb="101">
      <t>アツカ</t>
    </rPh>
    <rPh sb="111" eb="113">
      <t>コウカ</t>
    </rPh>
    <rPh sb="127" eb="128">
      <t>アタラ</t>
    </rPh>
    <rPh sb="130" eb="134">
      <t>カチソウゾウ</t>
    </rPh>
    <rPh sb="137" eb="141">
      <t>ハキュウコウカ</t>
    </rPh>
    <rPh sb="152" eb="154">
      <t>シャカイ</t>
    </rPh>
    <rPh sb="164" eb="166">
      <t>リヨウ</t>
    </rPh>
    <rPh sb="167" eb="169">
      <t>カンテン</t>
    </rPh>
    <rPh sb="170" eb="173">
      <t>フカケツ</t>
    </rPh>
    <rPh sb="184" eb="188">
      <t>コジンジョウホウ</t>
    </rPh>
    <rPh sb="189" eb="191">
      <t>ホゴ</t>
    </rPh>
    <rPh sb="194" eb="196">
      <t>サマザマ</t>
    </rPh>
    <rPh sb="197" eb="201">
      <t>リュウイジコウ</t>
    </rPh>
    <rPh sb="202" eb="203">
      <t>マナ</t>
    </rPh>
    <rPh sb="204" eb="206">
      <t>ヒツヨウ</t>
    </rPh>
    <rPh sb="206" eb="207">
      <t>セイ</t>
    </rPh>
    <rPh sb="211" eb="214">
      <t>ホンジュギョウ</t>
    </rPh>
    <phoneticPr fontId="1"/>
  </si>
  <si>
    <t>技術革新とAIによる新しい情報深化により、データを活用した社会における課題解決が広がりつつある。様々な領域でデータの利活用が急速に展開している。実データを題材として、社会におけるデータの利活用の事例を中心とした数理データサイエンス・AI教育に関する授業内容を主として扱う。本授業では、物理学、機械工学、建築土木学、応用化学・バイオ、電気電子工学における実データ活用の事例を取り上げ、数理データサイエンス・AIなどの情報学を生かした学術分野における事例についても扱う。演習形式では、計算機を用いたデータ計算の入門的な演習も行う。</t>
    <rPh sb="72" eb="73">
      <t>ジツ</t>
    </rPh>
    <rPh sb="77" eb="79">
      <t>ダイザイ</t>
    </rPh>
    <rPh sb="83" eb="85">
      <t>シャカイ</t>
    </rPh>
    <rPh sb="93" eb="96">
      <t>リカツヨウ</t>
    </rPh>
    <rPh sb="97" eb="99">
      <t>ジレイ</t>
    </rPh>
    <rPh sb="124" eb="126">
      <t>ジュギョウ</t>
    </rPh>
    <rPh sb="136" eb="137">
      <t>ホン</t>
    </rPh>
    <rPh sb="137" eb="139">
      <t>ジュギョウ</t>
    </rPh>
    <rPh sb="142" eb="145">
      <t>ブツリガク</t>
    </rPh>
    <rPh sb="146" eb="150">
      <t>キカイコウガク</t>
    </rPh>
    <rPh sb="151" eb="153">
      <t>ケンチク</t>
    </rPh>
    <rPh sb="153" eb="155">
      <t>ドボク</t>
    </rPh>
    <rPh sb="183" eb="185">
      <t>ジレイ</t>
    </rPh>
    <rPh sb="186" eb="187">
      <t>ト</t>
    </rPh>
    <rPh sb="188" eb="189">
      <t>ア</t>
    </rPh>
    <rPh sb="191" eb="193">
      <t>スウリ</t>
    </rPh>
    <rPh sb="209" eb="210">
      <t>ガク</t>
    </rPh>
    <rPh sb="211" eb="212">
      <t>イ</t>
    </rPh>
    <rPh sb="230" eb="231">
      <t>アツカ</t>
    </rPh>
    <rPh sb="233" eb="237">
      <t>エンシュウケイシキ</t>
    </rPh>
    <rPh sb="255" eb="256">
      <t>テキ</t>
    </rPh>
    <rPh sb="260" eb="261">
      <t>オコナ</t>
    </rPh>
    <phoneticPr fontId="1"/>
  </si>
  <si>
    <t>技術革新とAIによる新しい情報深化が進むなかで、データを活用した社会における課題解決が広がりつつある。様々な領域におけるデータの利活用に関連した内容を中心とした、数理データサイエンス・AI教育に関する内容となる。データの利活用は広がりつつあるが、そこから更なる新しい価値の創出につなげることが重要となる。本授業では、社会変化と情報産業の現状として、これまでの情報利用の変遷を起点として、情報通信機器、ソフトウエア、サービス、ユーザーの情報利用の変化、さらにはマーケティングと情報学などの活用事例を通じて、データ活用型社会における新たな変化を総合的に取り上げる。</t>
    <rPh sb="51" eb="53">
      <t>サマザマ</t>
    </rPh>
    <rPh sb="54" eb="56">
      <t>リョウイキ</t>
    </rPh>
    <rPh sb="110" eb="113">
      <t>リカツヨウ</t>
    </rPh>
    <rPh sb="114" eb="115">
      <t>ヒロ</t>
    </rPh>
    <rPh sb="127" eb="128">
      <t>サラ</t>
    </rPh>
    <rPh sb="130" eb="131">
      <t>アタラ</t>
    </rPh>
    <rPh sb="133" eb="135">
      <t>カチ</t>
    </rPh>
    <rPh sb="136" eb="138">
      <t>ソウシュツ</t>
    </rPh>
    <rPh sb="146" eb="148">
      <t>ジュウヨウ</t>
    </rPh>
    <rPh sb="152" eb="155">
      <t>ホンジュギョウ</t>
    </rPh>
    <rPh sb="158" eb="160">
      <t>シャカイ</t>
    </rPh>
    <rPh sb="160" eb="162">
      <t>ヘンカ</t>
    </rPh>
    <rPh sb="163" eb="167">
      <t>ジョウホウサンギョウ</t>
    </rPh>
    <rPh sb="168" eb="170">
      <t>ゲンジョウ</t>
    </rPh>
    <rPh sb="179" eb="181">
      <t>ジョウホウ</t>
    </rPh>
    <rPh sb="181" eb="183">
      <t>リヨウ</t>
    </rPh>
    <rPh sb="184" eb="186">
      <t>ヘンセン</t>
    </rPh>
    <rPh sb="187" eb="189">
      <t>キテン</t>
    </rPh>
    <rPh sb="193" eb="197">
      <t>ジョウホウツウシン</t>
    </rPh>
    <rPh sb="197" eb="199">
      <t>キキ</t>
    </rPh>
    <rPh sb="217" eb="219">
      <t>ジョウホウ</t>
    </rPh>
    <rPh sb="219" eb="221">
      <t>リヨウ</t>
    </rPh>
    <rPh sb="222" eb="224">
      <t>ヘンカ</t>
    </rPh>
    <rPh sb="237" eb="240">
      <t>ジョウホウガク</t>
    </rPh>
    <rPh sb="243" eb="245">
      <t>カツヨウ</t>
    </rPh>
    <rPh sb="245" eb="247">
      <t>ジレイ</t>
    </rPh>
    <rPh sb="248" eb="249">
      <t>ツウ</t>
    </rPh>
    <rPh sb="255" eb="257">
      <t>カツヨウ</t>
    </rPh>
    <rPh sb="257" eb="258">
      <t>ガタ</t>
    </rPh>
    <rPh sb="258" eb="260">
      <t>シャカイ</t>
    </rPh>
    <rPh sb="264" eb="265">
      <t>アラ</t>
    </rPh>
    <rPh sb="267" eb="269">
      <t>ヘンカ</t>
    </rPh>
    <rPh sb="270" eb="273">
      <t>ソウゴウテキ</t>
    </rPh>
    <rPh sb="274" eb="275">
      <t>ト</t>
    </rPh>
    <rPh sb="276" eb="277">
      <t>ア</t>
    </rPh>
    <phoneticPr fontId="1"/>
  </si>
  <si>
    <t>（５）実データ・実課題（学術データ等を含む）を用いた演習など、社会での実例を題材として、「データを読む、説明する、扱う」といった数理・データサイエンス・ＡＩの基本的な活用法に関するもの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t>
    <phoneticPr fontId="1"/>
  </si>
  <si>
    <t xml:space="preserve">物理と情報学（１０）
機械工学と情報学（１１）
建築、土木学と情報学（１２）
応用化学、バイオと情報学（１３）
電気電子学と情報学（１４）
リベラルアーツと情報学（１５）
</t>
    <phoneticPr fontId="1"/>
  </si>
  <si>
    <t>情報技術革新による社会の変化を自ら認識し、課題解決の事例を通じてデータ利活用に関する知識を身に付ける。
情報セキュリティに関する技術や手法に関する知識を身に付け、情報倫理の必要性を理解した上で情報セキュリティを実践できる。
データ利活用の様々な事例を総合的に学び、データ駆動型の社会課題の解決について理解して、データの活用を実践できる。</t>
    <rPh sb="12" eb="14">
      <t>ヘンカ</t>
    </rPh>
    <rPh sb="15" eb="16">
      <t>ミズカ</t>
    </rPh>
    <rPh sb="36" eb="38">
      <t>カツヨウ</t>
    </rPh>
    <rPh sb="39" eb="40">
      <t>カン</t>
    </rPh>
    <rPh sb="42" eb="44">
      <t>チシキ</t>
    </rPh>
    <rPh sb="45" eb="46">
      <t>ミ</t>
    </rPh>
    <rPh sb="47" eb="48">
      <t>ツ</t>
    </rPh>
    <rPh sb="61" eb="62">
      <t>カン</t>
    </rPh>
    <rPh sb="70" eb="71">
      <t>カン</t>
    </rPh>
    <rPh sb="73" eb="75">
      <t>チシキ</t>
    </rPh>
    <rPh sb="76" eb="77">
      <t>ミ</t>
    </rPh>
    <rPh sb="78" eb="79">
      <t>ツ</t>
    </rPh>
    <rPh sb="94" eb="95">
      <t>ウエ</t>
    </rPh>
    <rPh sb="96" eb="98">
      <t>ジョウホウ</t>
    </rPh>
    <rPh sb="105" eb="107">
      <t>ジッセン</t>
    </rPh>
    <rPh sb="129" eb="130">
      <t>マナ</t>
    </rPh>
    <rPh sb="150" eb="152">
      <t>リカイ</t>
    </rPh>
    <rPh sb="159" eb="161">
      <t>カツヨウ</t>
    </rPh>
    <rPh sb="162" eb="164">
      <t>ジッセン</t>
    </rPh>
    <phoneticPr fontId="1"/>
  </si>
  <si>
    <t>各年度の履修者数の目標を以下のとおりとする。（（　）内は履修率。）
令和３年度　６００名　（１００％）
　　　　　　　　　　　　　　　　　　　※＜内訳＞
　　　　　　　　　　　　　　　　　　　　　令和２年度入学者　創造工学科・昼間コース　325名
　　　　　　　　　　　　　　　　　　　　　令和３年度入学者　創造工学科・夜間コース　 40名
　　　　　　　　　　　　　　　　　　　　　令和２年度入学者　システム理化学科・昼間コース　235名
令和４年度　６００名　（１００％）
　　　　　　　　　　　　　　　　　　　※＜内訳＞
　　　　　　　　　　　　　　　　　　　　　令和３年度入学者　創造工学科・昼間コース　325名
　　　　　　　　　　　　　　　　　　　　  令和４年度入学者　創造工学科・夜間コース　 40名
　　　　　　　　　　　　　　　　　　　　　令和３年度入学者　システム理化学科・昼間コース　235名
令和５年度　６００名　（１００％）
　　　　　　　　　　　　　　　　　　　※＜内訳＞
　　　　　　　　　　　　　　　　　　　　　令和４年度入学者　創造工学科・昼間コース　325名
　　　　　　　　　　　　　　　　　　　　  令和５年度入学者　創造工学科・夜間コース　 40名
　　　　　　　　　　　　　　　　　　　　　令和４年度入学者　システム理化学科・昼間コース　235名
令和６年度　６００名　（１００％）
　　　　　　　　　　　　　　　　　　　※＜内訳＞
　　　　　　　　　　　　　　　　　　　　　令和５年度入学者　創造工学科・昼間コース　325名
　　　　　　　　　　　　　　　　　　　　  令和６年度入学者　創造工学科・夜間コース　 40名
　　　　　　　　　　　　　　　　　　　　　令和５年度入学者　システム理化学科・昼間コース　235名
令和７年度　６００名　（１００％）
　　　　　　　　　　　　　　　　　　　※＜内訳＞
　　　　　　　　　　　　　　　　　　　　　令和６年度入学者　創造工学科・昼間コース　325名
　　　　　　　　　　　　　　　　　　　　  令和７年度入学者　創造工学科・夜間コース　 40名
　　　　　　　　　　　　　　　　　　　　　令和６年度入学者　システム理化学科・昼間コース　235名
プログラム発足時より、構成する全科目を全学必修に設定しており、令和２年度実績において既に実質100％に近い履修率となっている。今後も全学必修科目として、継続してプログラムを実施する見込みである。</t>
    <rPh sb="73" eb="75">
      <t>ウチワケ</t>
    </rPh>
    <rPh sb="98" eb="100">
      <t>レイワ</t>
    </rPh>
    <rPh sb="101" eb="103">
      <t>ネンド</t>
    </rPh>
    <rPh sb="160" eb="161">
      <t>ヨル</t>
    </rPh>
    <rPh sb="980" eb="982">
      <t>ホッソク</t>
    </rPh>
    <rPh sb="982" eb="983">
      <t>ジ</t>
    </rPh>
    <rPh sb="990" eb="991">
      <t>ゼン</t>
    </rPh>
    <rPh sb="999" eb="1001">
      <t>セッテイ</t>
    </rPh>
    <rPh sb="1006" eb="1008">
      <t>レイワ</t>
    </rPh>
    <rPh sb="1009" eb="1011">
      <t>ネンド</t>
    </rPh>
    <rPh sb="1011" eb="1013">
      <t>ジッセキ</t>
    </rPh>
    <rPh sb="1017" eb="1018">
      <t>スデ</t>
    </rPh>
    <rPh sb="1019" eb="1021">
      <t>ジッシツ</t>
    </rPh>
    <rPh sb="1026" eb="1027">
      <t>チカ</t>
    </rPh>
    <rPh sb="1028" eb="1031">
      <t>リシュウリツ</t>
    </rPh>
    <rPh sb="1038" eb="1040">
      <t>コンゴ</t>
    </rPh>
    <rPh sb="1041" eb="1043">
      <t>ゼンガク</t>
    </rPh>
    <rPh sb="1043" eb="1047">
      <t>ヒッシュウカモク</t>
    </rPh>
    <rPh sb="1061" eb="1063">
      <t>ジッシ</t>
    </rPh>
    <rPh sb="1065" eb="1067">
      <t>ミコ</t>
    </rPh>
    <phoneticPr fontId="1"/>
  </si>
  <si>
    <t>プログラム発足時より、構成する全科目を全学必修に設定しており、既に実質100％に近い履修率となっている。今後も全学必修科目として、継続してプログラムを実施する見込みである。
なお、全学実施で浮かび上がる履修等の問題点があれば、適宜、教育システム委員会及び情報教育センターにて、改善等を行えるような体制を整えている。</t>
    <rPh sb="101" eb="103">
      <t>リシュウ</t>
    </rPh>
    <rPh sb="103" eb="104">
      <t>トウ</t>
    </rPh>
    <rPh sb="113" eb="115">
      <t>テキギ</t>
    </rPh>
    <rPh sb="116" eb="118">
      <t>キョウイク</t>
    </rPh>
    <rPh sb="125" eb="126">
      <t>オヨ</t>
    </rPh>
    <rPh sb="127" eb="129">
      <t>ジョウホウ</t>
    </rPh>
    <rPh sb="129" eb="131">
      <t>キョウイク</t>
    </rPh>
    <rPh sb="138" eb="140">
      <t>カイゼン</t>
    </rPh>
    <rPh sb="140" eb="141">
      <t>トウ</t>
    </rPh>
    <rPh sb="151" eb="152">
      <t>トトノ</t>
    </rPh>
    <phoneticPr fontId="1"/>
  </si>
  <si>
    <t>プログラム発足時より、構成する全科目を全学必修に設定しており、既に実質100％に近い履修率となっている。今後も全学必修科目として、継続してプログラムを実施する見込みである。
なお、数理データサイエンスの学ぶ意に関する学生への理解のために、全学共通科目として関連科目を複数設定し、専門分野に依存しない重要性を強調している。全学実施を意識した授業内容を構成することで、理工学分野の多彩な専門に進む学生を対象に、広く対応する内容としている。
また、シラバスでは、数理データサイエンスの教育プログラムに関連する科目であることについて記載して、履修する学生の理解につなげている。</t>
    <rPh sb="128" eb="130">
      <t>カンレン</t>
    </rPh>
    <rPh sb="130" eb="132">
      <t>カモク</t>
    </rPh>
    <phoneticPr fontId="1"/>
  </si>
  <si>
    <t>プログラム発足時より、構成する全科目を全学必修に設定しており、既に実質100％に近い履修・修得率となっている。今後も全学必修科目として、継続してプログラムを実施する見込みである。
なお、単位取得ができずに再履修となる学生に対しては、他の必修科目も含めた履修の進め方について、適宜、チューター教員や学務課窓口にて修得に向けた相談対応を実施している。</t>
    <rPh sb="45" eb="47">
      <t>シュウトク</t>
    </rPh>
    <rPh sb="47" eb="48">
      <t>リツ</t>
    </rPh>
    <phoneticPr fontId="1"/>
  </si>
  <si>
    <t>数理データサイエンスの学ぶ意に関する学生への理解のために、全学共通科目として関連科目を複数設定し、専門分野に依存しない重要性を強調している。全学実施を意識した授業内容を構成することで、それぞれの専門に進む学生に広く対応する内容としている。さらには、数理データサイエンスの教育プログラムに関連する科目であることについて、シラバスに記載して、履修する学生の理解につなげている。</t>
    <rPh sb="0" eb="2">
      <t>スウリ</t>
    </rPh>
    <rPh sb="11" eb="12">
      <t>マナ</t>
    </rPh>
    <rPh sb="13" eb="14">
      <t>イ</t>
    </rPh>
    <rPh sb="15" eb="16">
      <t>カン</t>
    </rPh>
    <rPh sb="18" eb="20">
      <t>ガクセイ</t>
    </rPh>
    <rPh sb="22" eb="24">
      <t>リカイ</t>
    </rPh>
    <rPh sb="29" eb="31">
      <t>ゼンガク</t>
    </rPh>
    <rPh sb="31" eb="35">
      <t>キョウツウカモク</t>
    </rPh>
    <rPh sb="43" eb="45">
      <t>フクスウ</t>
    </rPh>
    <rPh sb="45" eb="47">
      <t>セッテイ</t>
    </rPh>
    <rPh sb="49" eb="53">
      <t>センモンブンヤ</t>
    </rPh>
    <rPh sb="54" eb="56">
      <t>イソン</t>
    </rPh>
    <rPh sb="59" eb="62">
      <t>ジュウヨウセイ</t>
    </rPh>
    <rPh sb="63" eb="65">
      <t>キョウチョウ</t>
    </rPh>
    <rPh sb="70" eb="72">
      <t>ゼンガク</t>
    </rPh>
    <rPh sb="72" eb="74">
      <t>ジッシ</t>
    </rPh>
    <rPh sb="75" eb="77">
      <t>イシキ</t>
    </rPh>
    <rPh sb="79" eb="83">
      <t>ジュギョウナイヨウ</t>
    </rPh>
    <rPh sb="84" eb="86">
      <t>コウセイ</t>
    </rPh>
    <rPh sb="97" eb="99">
      <t>センモン</t>
    </rPh>
    <rPh sb="100" eb="101">
      <t>スス</t>
    </rPh>
    <rPh sb="102" eb="104">
      <t>ガクセイ</t>
    </rPh>
    <rPh sb="105" eb="106">
      <t>ヒロ</t>
    </rPh>
    <rPh sb="107" eb="109">
      <t>タイオウ</t>
    </rPh>
    <rPh sb="111" eb="113">
      <t>ナイヨウ</t>
    </rPh>
    <rPh sb="124" eb="126">
      <t>スウリ</t>
    </rPh>
    <rPh sb="135" eb="137">
      <t>キョウイク</t>
    </rPh>
    <rPh sb="143" eb="145">
      <t>カンレン</t>
    </rPh>
    <rPh sb="147" eb="149">
      <t>カモク</t>
    </rPh>
    <rPh sb="164" eb="166">
      <t>キサイ</t>
    </rPh>
    <rPh sb="169" eb="171">
      <t>リシュウ</t>
    </rPh>
    <rPh sb="173" eb="175">
      <t>ガクセイ</t>
    </rPh>
    <rPh sb="176" eb="178">
      <t>リカイ</t>
    </rPh>
    <phoneticPr fontId="1"/>
  </si>
  <si>
    <t>国立大学法人室蘭工業大学</t>
    <rPh sb="0" eb="6">
      <t>コクリツダイガクホウジン</t>
    </rPh>
    <rPh sb="6" eb="12">
      <t>ムロランコウギョウダイガク</t>
    </rPh>
    <phoneticPr fontId="1"/>
  </si>
  <si>
    <t>理工学部　創造工学科（工学）</t>
    <rPh sb="0" eb="4">
      <t>リコウガクブ</t>
    </rPh>
    <rPh sb="8" eb="10">
      <t>ガッカ</t>
    </rPh>
    <phoneticPr fontId="1"/>
  </si>
  <si>
    <t>理工学部　システム理化学科（理学）</t>
    <rPh sb="0" eb="4">
      <t>リコウガクブ</t>
    </rPh>
    <rPh sb="11" eb="13">
      <t>ガッカ</t>
    </rPh>
    <phoneticPr fontId="1"/>
  </si>
  <si>
    <t>https://muroran-it.ac.jp/campuslife/study_sup/program/</t>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</si>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</sst>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u/>
      <sz val="11"/>
      <name val="ＭＳ Ｐゴシック"/>
      <family val="3"/>
      <charset val="128"/>
      <scheme val="minor"/>
    </font>
    <font>
      <sz val="9"/>
      <name val="ＭＳ Ｐゴシック"/>
      <family val="2"/>
      <charset val="128"/>
      <scheme val="minor"/>
    </font>
    <font>
      <sz val="9"/>
      <name val="ＭＳ Ｐゴシック"/>
      <family val="3"/>
      <charset val="128"/>
      <scheme val="minor"/>
    </font>
    <font>
      <sz val="11"/>
      <name val="ＭＳ Ｐゴシック"/>
      <family val="3"/>
      <charset val="128"/>
      <scheme val="minor"/>
    </font>
    <font>
      <u/>
      <sz val="11"/>
      <name val="ＭＳ Ｐゴシック"/>
      <family val="2"/>
      <charset val="128"/>
      <scheme val="minor"/>
    </font>
  </fonts>
  <fills count="2">
    <fill>
      <patternFill patternType="none"/>
    </fill>
    <fill>
      <patternFill patternType="gray125"/>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hair">
        <color auto="1"/>
      </left>
      <right style="thin">
        <color auto="1"/>
      </right>
      <top style="thin">
        <color auto="1"/>
      </top>
      <bottom/>
      <diagonal/>
    </border>
    <border>
      <left style="thin">
        <color auto="1"/>
      </left>
      <right style="hair">
        <color auto="1"/>
      </right>
      <top style="thin">
        <color auto="1"/>
      </top>
      <bottom/>
      <diagonal/>
    </border>
    <border>
      <left style="thin">
        <color auto="1"/>
      </left>
      <right/>
      <top/>
      <bottom style="double">
        <color auto="1"/>
      </bottom>
      <diagonal/>
    </border>
    <border>
      <left style="hair">
        <color auto="1"/>
      </left>
      <right style="thin">
        <color auto="1"/>
      </right>
      <top/>
      <bottom style="double">
        <color auto="1"/>
      </bottom>
      <diagonal/>
    </border>
    <border>
      <left style="thin">
        <color auto="1"/>
      </left>
      <right style="hair">
        <color auto="1"/>
      </right>
      <top/>
      <bottom style="double">
        <color auto="1"/>
      </bottom>
      <diagonal/>
    </border>
    <border>
      <left/>
      <right style="thin">
        <color auto="1"/>
      </right>
      <top/>
      <bottom style="double">
        <color auto="1"/>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0" fontId="8" fillId="0" borderId="0" xfId="0" applyFont="1" applyAlignment="1">
      <alignment horizontal="center" vertical="center"/>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xf>
    <xf numFmtId="0" fontId="3" fillId="0" borderId="0" xfId="0" applyFont="1" applyAlignment="1">
      <alignment horizontal="center" vertical="center"/>
    </xf>
    <xf numFmtId="0" fontId="8" fillId="0" borderId="1" xfId="0" applyFont="1" applyBorder="1" applyAlignment="1">
      <alignment vertical="center" shrinkToFit="1"/>
    </xf>
    <xf numFmtId="0" fontId="8"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4" fillId="0" borderId="0" xfId="0" applyNumberFormat="1" applyFont="1" applyBorder="1" applyAlignment="1">
      <alignment vertical="center" shrinkToFit="1"/>
    </xf>
    <xf numFmtId="176" fontId="3" fillId="0" borderId="7" xfId="0" applyNumberFormat="1" applyFont="1" applyBorder="1" applyAlignment="1">
      <alignment vertical="center" shrinkToFit="1"/>
    </xf>
    <xf numFmtId="176" fontId="3" fillId="0" borderId="43" xfId="0" applyNumberFormat="1" applyFont="1" applyBorder="1" applyAlignment="1">
      <alignment vertical="center" shrinkToFit="1"/>
    </xf>
    <xf numFmtId="176" fontId="3" fillId="0" borderId="44" xfId="0" applyNumberFormat="1" applyFont="1" applyBorder="1" applyAlignment="1">
      <alignment vertical="center" shrinkToFit="1"/>
    </xf>
    <xf numFmtId="176" fontId="3" fillId="0" borderId="9" xfId="0" applyNumberFormat="1" applyFont="1" applyBorder="1" applyAlignment="1">
      <alignment vertical="center" shrinkToFit="1"/>
    </xf>
    <xf numFmtId="176" fontId="3" fillId="0" borderId="45" xfId="0" applyNumberFormat="1" applyFont="1" applyBorder="1" applyAlignment="1">
      <alignment vertical="center" shrinkToFit="1"/>
    </xf>
    <xf numFmtId="176" fontId="3" fillId="0" borderId="46" xfId="0" applyNumberFormat="1" applyFont="1" applyBorder="1" applyAlignment="1">
      <alignment vertical="center" shrinkToFit="1"/>
    </xf>
    <xf numFmtId="176" fontId="3" fillId="0" borderId="47" xfId="0" applyNumberFormat="1" applyFont="1" applyBorder="1" applyAlignment="1">
      <alignment vertical="center" shrinkToFit="1"/>
    </xf>
    <xf numFmtId="176" fontId="3" fillId="0" borderId="48"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10" xfId="0" applyFont="1" applyBorder="1" applyAlignment="1">
      <alignment vertical="center" shrinkToFit="1"/>
    </xf>
    <xf numFmtId="0" fontId="2" fillId="0" borderId="0" xfId="0" applyFont="1" applyAlignment="1">
      <alignment vertical="top" wrapTex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0" fontId="8" fillId="0" borderId="0" xfId="0" applyFont="1" applyFill="1">
      <alignment vertical="center"/>
    </xf>
    <xf numFmtId="0" fontId="9" fillId="0" borderId="0" xfId="0" applyFont="1" applyAlignment="1">
      <alignment horizontal="right" vertical="center"/>
    </xf>
    <xf numFmtId="0" fontId="8" fillId="0" borderId="2"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vertical="center" wrapText="1"/>
    </xf>
    <xf numFmtId="0" fontId="8" fillId="0" borderId="0" xfId="0" applyFont="1" applyAlignment="1">
      <alignment vertical="center" wrapText="1"/>
    </xf>
    <xf numFmtId="0" fontId="9" fillId="0" borderId="0" xfId="0" applyFont="1" applyAlignment="1">
      <alignment horizontal="right" vertical="center"/>
    </xf>
    <xf numFmtId="0" fontId="8" fillId="0" borderId="0" xfId="0" applyFont="1" applyAlignment="1">
      <alignment horizontal="center" vertical="center"/>
    </xf>
    <xf numFmtId="0" fontId="8" fillId="0" borderId="0" xfId="0" applyFont="1" applyBorder="1" applyAlignment="1">
      <alignment vertical="top" wrapText="1"/>
    </xf>
    <xf numFmtId="0" fontId="12" fillId="0" borderId="0" xfId="0" applyFont="1">
      <alignment vertical="center"/>
    </xf>
    <xf numFmtId="0" fontId="8" fillId="0" borderId="0" xfId="0" applyFont="1" applyBorder="1" applyAlignment="1">
      <alignment vertical="center" wrapText="1"/>
    </xf>
    <xf numFmtId="0" fontId="13" fillId="0" borderId="0" xfId="0" applyFont="1" applyBorder="1" applyAlignment="1">
      <alignment vertical="top" wrapText="1"/>
    </xf>
    <xf numFmtId="0" fontId="13" fillId="0" borderId="0" xfId="0" applyFont="1" applyBorder="1" applyAlignment="1">
      <alignment vertical="top" shrinkToFit="1"/>
    </xf>
    <xf numFmtId="0" fontId="13" fillId="0" borderId="0" xfId="0" applyFont="1" applyBorder="1" applyAlignment="1">
      <alignment vertical="center"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5" xfId="0" applyFont="1" applyBorder="1" applyAlignment="1">
      <alignment vertical="top" wrapText="1"/>
    </xf>
    <xf numFmtId="0" fontId="8" fillId="0" borderId="17" xfId="0" applyFont="1" applyBorder="1">
      <alignment vertical="center"/>
    </xf>
    <xf numFmtId="0" fontId="13" fillId="0" borderId="21" xfId="0" applyFont="1" applyBorder="1" applyAlignment="1">
      <alignment vertical="top" wrapText="1"/>
    </xf>
    <xf numFmtId="0" fontId="13" fillId="0" borderId="19" xfId="0" applyFont="1" applyBorder="1" applyAlignment="1">
      <alignment vertical="top" wrapText="1"/>
    </xf>
    <xf numFmtId="0" fontId="13" fillId="0" borderId="21" xfId="0" applyFont="1" applyBorder="1" applyAlignment="1">
      <alignment vertical="top" shrinkToFit="1"/>
    </xf>
    <xf numFmtId="0" fontId="13" fillId="0" borderId="19" xfId="0" applyFont="1" applyBorder="1" applyAlignment="1">
      <alignment vertical="top" shrinkToFit="1"/>
    </xf>
    <xf numFmtId="0" fontId="14" fillId="0" borderId="0" xfId="2"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8" fillId="0" borderId="0" xfId="0" applyFont="1" applyFill="1" applyBorder="1" applyAlignment="1">
      <alignment vertical="center"/>
    </xf>
    <xf numFmtId="0" fontId="13" fillId="0" borderId="0" xfId="0" applyFont="1" applyFill="1" applyBorder="1" applyAlignment="1">
      <alignment vertical="top" wrapText="1"/>
    </xf>
    <xf numFmtId="0" fontId="8" fillId="0" borderId="1" xfId="0" applyFont="1" applyFill="1" applyBorder="1" applyAlignment="1">
      <alignment vertical="center" wrapText="1"/>
    </xf>
    <xf numFmtId="49" fontId="11"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4" xfId="0" applyFont="1" applyBorder="1" applyAlignment="1">
      <alignment vertical="center" shrinkToFit="1"/>
    </xf>
    <xf numFmtId="0" fontId="8" fillId="0" borderId="0" xfId="0" applyFont="1" applyBorder="1" applyAlignment="1">
      <alignmen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8" fillId="0" borderId="15" xfId="0" applyFont="1" applyBorder="1" applyAlignment="1">
      <alignment vertical="center" shrinkToFit="1"/>
    </xf>
    <xf numFmtId="0" fontId="8" fillId="0" borderId="39" xfId="0" applyFont="1" applyBorder="1" applyAlignment="1">
      <alignment vertical="center" shrinkToFit="1"/>
    </xf>
    <xf numFmtId="0" fontId="8" fillId="0" borderId="20" xfId="0" applyFont="1" applyBorder="1" applyAlignment="1">
      <alignment vertical="center" shrinkToFit="1"/>
    </xf>
    <xf numFmtId="0" fontId="8" fillId="0" borderId="19" xfId="0" applyFont="1" applyBorder="1" applyAlignment="1">
      <alignment vertical="center"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15" fillId="0" borderId="2" xfId="2"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8" fillId="0" borderId="16" xfId="0" applyFont="1" applyBorder="1" applyAlignment="1">
      <alignment vertical="center" wrapText="1"/>
    </xf>
    <xf numFmtId="0" fontId="8" fillId="0" borderId="42" xfId="0" applyFont="1" applyBorder="1" applyAlignment="1">
      <alignment vertical="center" wrapText="1"/>
    </xf>
    <xf numFmtId="0" fontId="8" fillId="0" borderId="13"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2" xfId="0" applyFont="1" applyBorder="1" applyAlignment="1">
      <alignment horizontal="left" vertical="top" wrapText="1" shrinkToFit="1"/>
    </xf>
    <xf numFmtId="0" fontId="8" fillId="0" borderId="3" xfId="0" applyFont="1" applyBorder="1" applyAlignment="1">
      <alignment horizontal="left" vertical="top" shrinkToFit="1"/>
    </xf>
    <xf numFmtId="0" fontId="8" fillId="0" borderId="4" xfId="0" applyFont="1" applyBorder="1" applyAlignment="1">
      <alignment horizontal="left" vertical="top" shrinkToFit="1"/>
    </xf>
    <xf numFmtId="0" fontId="8" fillId="0" borderId="7"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Border="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8" fillId="0" borderId="2" xfId="0" applyFont="1" applyFill="1" applyBorder="1" applyAlignment="1">
      <alignment vertical="center" shrinkToFit="1"/>
    </xf>
    <xf numFmtId="0" fontId="8" fillId="0" borderId="7" xfId="0" applyFont="1" applyFill="1" applyBorder="1" applyAlignment="1">
      <alignment horizontal="left" vertical="top" wrapText="1" shrinkToFit="1"/>
    </xf>
    <xf numFmtId="0" fontId="8" fillId="0" borderId="8" xfId="0" applyFont="1" applyFill="1" applyBorder="1" applyAlignment="1">
      <alignment horizontal="left" vertical="top" wrapText="1" shrinkToFit="1"/>
    </xf>
    <xf numFmtId="0" fontId="8" fillId="0" borderId="9" xfId="0" applyFont="1" applyFill="1" applyBorder="1" applyAlignment="1">
      <alignment horizontal="left" vertical="top" wrapText="1" shrinkToFit="1"/>
    </xf>
    <xf numFmtId="0" fontId="8" fillId="0" borderId="5" xfId="0" applyFont="1" applyFill="1" applyBorder="1" applyAlignment="1">
      <alignment horizontal="left" vertical="top" wrapText="1" shrinkToFit="1"/>
    </xf>
    <xf numFmtId="0" fontId="8" fillId="0" borderId="0" xfId="0" applyFont="1" applyFill="1" applyBorder="1" applyAlignment="1">
      <alignment horizontal="left" vertical="top" wrapText="1" shrinkToFit="1"/>
    </xf>
    <xf numFmtId="0" fontId="8" fillId="0" borderId="10" xfId="0" applyFont="1" applyFill="1" applyBorder="1" applyAlignment="1">
      <alignment horizontal="left" vertical="top" wrapText="1" shrinkToFit="1"/>
    </xf>
    <xf numFmtId="0" fontId="8" fillId="0" borderId="11" xfId="0" applyFont="1" applyFill="1" applyBorder="1" applyAlignment="1">
      <alignment horizontal="left" vertical="top" wrapText="1" shrinkToFit="1"/>
    </xf>
    <xf numFmtId="0" fontId="8" fillId="0" borderId="6" xfId="0" applyFont="1" applyFill="1" applyBorder="1" applyAlignment="1">
      <alignment horizontal="left" vertical="top" wrapText="1" shrinkToFit="1"/>
    </xf>
    <xf numFmtId="0" fontId="8" fillId="0" borderId="12" xfId="0" applyFont="1" applyFill="1" applyBorder="1" applyAlignment="1">
      <alignment horizontal="left" vertical="top" wrapText="1" shrinkToFit="1"/>
    </xf>
    <xf numFmtId="0" fontId="8" fillId="0" borderId="0" xfId="0" applyFont="1" applyBorder="1" applyAlignment="1">
      <alignment horizontal="left" vertical="center"/>
    </xf>
    <xf numFmtId="0" fontId="8" fillId="0" borderId="6" xfId="0" applyFont="1" applyBorder="1" applyAlignment="1">
      <alignment vertical="center"/>
    </xf>
    <xf numFmtId="0" fontId="15" fillId="0" borderId="2" xfId="2" applyFont="1" applyBorder="1" applyAlignment="1">
      <alignment horizontal="left" vertical="center" shrinkToFit="1"/>
    </xf>
    <xf numFmtId="0" fontId="13" fillId="0" borderId="3" xfId="0" applyFont="1" applyBorder="1" applyAlignment="1">
      <alignment horizontal="left" vertical="center" shrinkToFit="1"/>
    </xf>
    <xf numFmtId="0" fontId="13" fillId="0" borderId="4" xfId="0" applyFont="1" applyBorder="1" applyAlignment="1">
      <alignment horizontal="left" vertical="center" shrinkToFi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0" xfId="0" applyFont="1" applyFill="1" applyBorder="1" applyAlignment="1">
      <alignment vertical="top" wrapText="1" shrinkToFit="1"/>
    </xf>
    <xf numFmtId="0" fontId="8" fillId="0" borderId="21" xfId="0" applyFont="1" applyFill="1" applyBorder="1" applyAlignment="1">
      <alignment vertical="top" wrapText="1" shrinkToFit="1"/>
    </xf>
    <xf numFmtId="0" fontId="8" fillId="0" borderId="19" xfId="0" applyFont="1" applyFill="1" applyBorder="1" applyAlignment="1">
      <alignment vertical="top" wrapText="1" shrinkToFit="1"/>
    </xf>
    <xf numFmtId="0" fontId="13" fillId="0" borderId="0" xfId="0" applyFont="1" applyAlignment="1">
      <alignment vertical="top" wrapTex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4" fillId="0" borderId="19" xfId="0" applyFont="1" applyBorder="1" applyAlignment="1">
      <alignment vertical="center"/>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4" xfId="0" applyFont="1" applyFill="1" applyBorder="1" applyAlignment="1">
      <alignment vertical="top" wrapText="1" shrinkToFit="1"/>
    </xf>
    <xf numFmtId="0" fontId="8" fillId="0" borderId="23" xfId="0" applyFont="1" applyFill="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mmm.muroran-i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muroran-it.ac.jp/campuslife/study_sup/progra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muroran-it.ac.jp/campuslife/study_sup/progra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7"/>
  <sheetViews>
    <sheetView view="pageBreakPreview" topLeftCell="A19" zoomScaleNormal="100" zoomScaleSheetLayoutView="100" workbookViewId="0">
      <selection activeCell="Q14" sqref="Q14"/>
    </sheetView>
  </sheetViews>
  <sheetFormatPr defaultColWidth="9" defaultRowHeight="18.75" customHeight="1" x14ac:dyDescent="0.15"/>
  <cols>
    <col min="1" max="1" width="2.5" style="9" customWidth="1"/>
    <col min="2" max="2" width="12.5" style="9" customWidth="1"/>
    <col min="3" max="8" width="6.25" style="9" customWidth="1"/>
    <col min="9" max="9" width="2.5" style="9" customWidth="1"/>
    <col min="10" max="10" width="10" style="9" customWidth="1"/>
    <col min="11" max="11" width="2.5" style="9" customWidth="1"/>
    <col min="12" max="12" width="7.5" style="9" customWidth="1"/>
    <col min="13" max="13" width="2.5" style="9" customWidth="1"/>
    <col min="14" max="14" width="7.5" style="9" customWidth="1"/>
    <col min="15" max="16384" width="9" style="9"/>
  </cols>
  <sheetData>
    <row r="1" spans="1:14" ht="22.5" customHeight="1" x14ac:dyDescent="0.15">
      <c r="M1" s="135" t="s">
        <v>29</v>
      </c>
      <c r="N1" s="135"/>
    </row>
    <row r="2" spans="1:14" ht="22.5" customHeight="1" x14ac:dyDescent="0.15">
      <c r="A2" s="140" t="s">
        <v>131</v>
      </c>
      <c r="B2" s="140"/>
      <c r="C2" s="140"/>
      <c r="D2" s="140"/>
      <c r="E2" s="140"/>
      <c r="F2" s="140"/>
      <c r="G2" s="140"/>
      <c r="H2" s="140"/>
      <c r="I2" s="140"/>
      <c r="J2" s="140"/>
      <c r="K2" s="140"/>
      <c r="L2" s="140"/>
      <c r="M2" s="140"/>
      <c r="N2" s="140"/>
    </row>
    <row r="3" spans="1:14" ht="22.5" customHeight="1" x14ac:dyDescent="0.15"/>
    <row r="4" spans="1:14" ht="22.5" customHeight="1" x14ac:dyDescent="0.15">
      <c r="A4" s="9" t="s">
        <v>7</v>
      </c>
      <c r="B4" s="11" t="s">
        <v>20</v>
      </c>
      <c r="C4" s="119" t="s">
        <v>144</v>
      </c>
      <c r="D4" s="120"/>
      <c r="E4" s="120"/>
      <c r="F4" s="120"/>
      <c r="G4" s="120"/>
      <c r="H4" s="120"/>
      <c r="I4" s="120"/>
      <c r="J4" s="120"/>
      <c r="K4" s="120"/>
      <c r="L4" s="120"/>
      <c r="M4" s="120"/>
      <c r="N4" s="121"/>
    </row>
    <row r="5" spans="1:14" ht="7.5" customHeight="1" x14ac:dyDescent="0.15">
      <c r="B5" s="11"/>
      <c r="C5" s="11"/>
      <c r="D5" s="11"/>
      <c r="E5" s="12"/>
      <c r="F5" s="67"/>
      <c r="G5" s="67"/>
      <c r="H5" s="67"/>
      <c r="I5" s="67"/>
      <c r="J5" s="67"/>
      <c r="K5" s="67"/>
      <c r="L5" s="67"/>
      <c r="M5" s="67"/>
      <c r="N5" s="67"/>
    </row>
    <row r="6" spans="1:14" ht="22.5" customHeight="1" x14ac:dyDescent="0.15">
      <c r="A6" s="9" t="s">
        <v>56</v>
      </c>
      <c r="B6" s="11" t="s">
        <v>57</v>
      </c>
      <c r="C6" s="11"/>
      <c r="D6" s="119" t="s">
        <v>197</v>
      </c>
      <c r="E6" s="120"/>
      <c r="F6" s="120"/>
      <c r="G6" s="120"/>
      <c r="H6" s="120"/>
      <c r="I6" s="120"/>
      <c r="J6" s="120"/>
      <c r="K6" s="120"/>
      <c r="L6" s="120"/>
      <c r="M6" s="120"/>
      <c r="N6" s="121"/>
    </row>
    <row r="7" spans="1:14" ht="7.5" customHeight="1" x14ac:dyDescent="0.15">
      <c r="B7" s="11"/>
      <c r="C7" s="11"/>
      <c r="D7" s="11"/>
      <c r="E7" s="12"/>
      <c r="F7" s="67"/>
      <c r="G7" s="67"/>
      <c r="H7" s="67"/>
      <c r="I7" s="67"/>
      <c r="J7" s="67"/>
      <c r="K7" s="67"/>
      <c r="L7" s="67"/>
      <c r="M7" s="67"/>
      <c r="N7" s="67"/>
    </row>
    <row r="8" spans="1:14" ht="22.5" customHeight="1" x14ac:dyDescent="0.15">
      <c r="A8" s="13" t="s">
        <v>13</v>
      </c>
      <c r="B8" s="14" t="s">
        <v>58</v>
      </c>
      <c r="C8" s="119" t="s">
        <v>145</v>
      </c>
      <c r="D8" s="120"/>
      <c r="E8" s="121"/>
      <c r="F8" s="67"/>
      <c r="G8" s="139"/>
      <c r="H8" s="139"/>
      <c r="I8" s="139"/>
      <c r="J8" s="67"/>
      <c r="K8" s="67"/>
      <c r="L8" s="67"/>
      <c r="M8" s="67"/>
      <c r="N8" s="67"/>
    </row>
    <row r="9" spans="1:14" ht="7.5" customHeight="1" x14ac:dyDescent="0.15">
      <c r="B9" s="11"/>
      <c r="C9" s="11"/>
      <c r="D9" s="11"/>
      <c r="E9" s="12"/>
      <c r="F9" s="67"/>
      <c r="G9" s="67"/>
      <c r="H9" s="67"/>
      <c r="I9" s="67"/>
      <c r="J9" s="67"/>
      <c r="K9" s="67"/>
      <c r="L9" s="67"/>
      <c r="M9" s="67"/>
      <c r="N9" s="67"/>
    </row>
    <row r="10" spans="1:14" ht="22.5" customHeight="1" x14ac:dyDescent="0.15">
      <c r="A10" s="9" t="s">
        <v>17</v>
      </c>
      <c r="B10" s="11" t="s">
        <v>53</v>
      </c>
      <c r="C10" s="119" t="s">
        <v>147</v>
      </c>
      <c r="D10" s="120"/>
      <c r="E10" s="120"/>
      <c r="F10" s="120"/>
      <c r="G10" s="120"/>
      <c r="H10" s="120"/>
      <c r="I10" s="120"/>
      <c r="J10" s="120"/>
      <c r="K10" s="120"/>
      <c r="L10" s="120"/>
      <c r="M10" s="120"/>
      <c r="N10" s="121"/>
    </row>
    <row r="11" spans="1:14" ht="7.5" customHeight="1" x14ac:dyDescent="0.15">
      <c r="B11" s="11"/>
      <c r="C11" s="11"/>
      <c r="D11" s="11"/>
      <c r="E11" s="12"/>
      <c r="F11" s="67"/>
      <c r="G11" s="67"/>
      <c r="H11" s="67"/>
      <c r="I11" s="67"/>
      <c r="J11" s="67"/>
      <c r="K11" s="67"/>
      <c r="L11" s="67"/>
      <c r="M11" s="67"/>
      <c r="N11" s="67"/>
    </row>
    <row r="12" spans="1:14" ht="22.5" customHeight="1" x14ac:dyDescent="0.15">
      <c r="A12" s="9" t="s">
        <v>14</v>
      </c>
      <c r="B12" s="11" t="s">
        <v>127</v>
      </c>
      <c r="C12" s="11"/>
      <c r="D12" s="11"/>
      <c r="E12" s="67"/>
      <c r="F12" s="72"/>
      <c r="G12" s="124" t="s">
        <v>146</v>
      </c>
      <c r="H12" s="125"/>
      <c r="I12" s="125"/>
      <c r="J12" s="125"/>
      <c r="K12" s="125"/>
      <c r="L12" s="125"/>
      <c r="M12" s="125"/>
      <c r="N12" s="141"/>
    </row>
    <row r="13" spans="1:14" ht="7.5" customHeight="1" x14ac:dyDescent="0.15">
      <c r="B13" s="12"/>
      <c r="C13" s="12"/>
      <c r="D13" s="12"/>
      <c r="E13" s="12"/>
      <c r="F13" s="67"/>
      <c r="G13" s="67"/>
      <c r="H13" s="67"/>
      <c r="I13" s="67"/>
      <c r="J13" s="67"/>
      <c r="K13" s="67"/>
      <c r="L13" s="67"/>
      <c r="M13" s="67"/>
      <c r="N13" s="67"/>
    </row>
    <row r="14" spans="1:14" ht="22.5" customHeight="1" x14ac:dyDescent="0.15">
      <c r="A14" s="9" t="s">
        <v>68</v>
      </c>
      <c r="B14" s="12" t="s">
        <v>69</v>
      </c>
      <c r="C14" s="12"/>
      <c r="D14" s="12"/>
      <c r="E14" s="12"/>
      <c r="F14" s="119">
        <v>2019</v>
      </c>
      <c r="G14" s="120"/>
      <c r="H14" s="121"/>
      <c r="I14" s="67"/>
      <c r="J14" s="67"/>
      <c r="K14" s="67"/>
      <c r="L14" s="67"/>
      <c r="M14" s="67"/>
      <c r="N14" s="67"/>
    </row>
    <row r="15" spans="1:14" ht="7.5" customHeight="1" x14ac:dyDescent="0.15">
      <c r="B15" s="12"/>
      <c r="C15" s="12"/>
      <c r="D15" s="12"/>
      <c r="E15" s="12"/>
      <c r="F15" s="67"/>
      <c r="G15" s="67"/>
      <c r="H15" s="67"/>
      <c r="I15" s="67"/>
      <c r="J15" s="67"/>
      <c r="K15" s="67"/>
      <c r="L15" s="67"/>
      <c r="M15" s="67"/>
      <c r="N15" s="67"/>
    </row>
    <row r="16" spans="1:14" ht="22.5" customHeight="1" x14ac:dyDescent="0.15">
      <c r="A16" s="9" t="s">
        <v>15</v>
      </c>
      <c r="B16" s="9" t="s">
        <v>0</v>
      </c>
      <c r="C16" s="136" t="s">
        <v>6</v>
      </c>
      <c r="D16" s="137"/>
      <c r="E16" s="122">
        <v>176</v>
      </c>
      <c r="F16" s="123"/>
      <c r="G16" s="15" t="s">
        <v>10</v>
      </c>
      <c r="H16" s="10"/>
      <c r="I16" s="136" t="s">
        <v>11</v>
      </c>
      <c r="J16" s="137"/>
      <c r="K16" s="122">
        <v>35</v>
      </c>
      <c r="L16" s="138"/>
      <c r="M16" s="123"/>
      <c r="N16" s="16" t="s">
        <v>10</v>
      </c>
    </row>
    <row r="17" spans="1:14" ht="7.5" customHeight="1" x14ac:dyDescent="0.15">
      <c r="C17" s="10"/>
      <c r="D17" s="10"/>
      <c r="E17" s="10"/>
      <c r="F17" s="17"/>
      <c r="G17" s="17"/>
      <c r="H17" s="17"/>
      <c r="I17" s="17"/>
      <c r="J17" s="17"/>
      <c r="K17" s="17"/>
      <c r="L17" s="17"/>
      <c r="M17" s="16"/>
      <c r="N17" s="16"/>
    </row>
    <row r="18" spans="1:14" ht="22.5" customHeight="1" x14ac:dyDescent="0.15">
      <c r="A18" s="9" t="s">
        <v>62</v>
      </c>
      <c r="B18" s="9" t="s">
        <v>92</v>
      </c>
      <c r="C18" s="10"/>
      <c r="D18" s="10"/>
      <c r="E18" s="10"/>
      <c r="F18" s="17"/>
      <c r="G18" s="17"/>
      <c r="H18" s="17"/>
      <c r="I18" s="17"/>
      <c r="J18" s="17"/>
      <c r="K18" s="132">
        <v>15</v>
      </c>
      <c r="L18" s="133"/>
      <c r="M18" s="134"/>
      <c r="N18" s="16" t="s">
        <v>60</v>
      </c>
    </row>
    <row r="19" spans="1:14" ht="7.5" customHeight="1" x14ac:dyDescent="0.15">
      <c r="C19" s="10"/>
      <c r="D19" s="10"/>
      <c r="E19" s="10"/>
      <c r="F19" s="17"/>
      <c r="G19" s="17"/>
      <c r="H19" s="17"/>
      <c r="I19" s="17"/>
      <c r="J19" s="17"/>
      <c r="K19" s="17"/>
      <c r="L19" s="17"/>
      <c r="M19" s="16"/>
      <c r="N19" s="16"/>
    </row>
    <row r="20" spans="1:14" ht="22.5" customHeight="1" x14ac:dyDescent="0.15">
      <c r="A20" s="9" t="s">
        <v>70</v>
      </c>
      <c r="B20" s="9" t="s">
        <v>124</v>
      </c>
      <c r="C20" s="10"/>
      <c r="D20" s="10"/>
      <c r="E20" s="122">
        <v>600</v>
      </c>
      <c r="F20" s="123"/>
      <c r="G20" s="18" t="s">
        <v>25</v>
      </c>
      <c r="H20" s="17"/>
      <c r="I20" s="10"/>
      <c r="J20" s="10"/>
      <c r="K20" s="142"/>
      <c r="L20" s="142"/>
      <c r="M20" s="142"/>
      <c r="N20" s="142"/>
    </row>
    <row r="21" spans="1:14" ht="7.5" customHeight="1" x14ac:dyDescent="0.15">
      <c r="C21" s="10"/>
      <c r="D21" s="10"/>
      <c r="E21" s="7"/>
      <c r="F21" s="17"/>
      <c r="G21" s="17"/>
      <c r="H21" s="10"/>
      <c r="I21" s="10"/>
      <c r="J21" s="10"/>
      <c r="K21" s="10"/>
      <c r="L21" s="68"/>
      <c r="M21" s="68"/>
      <c r="N21" s="19"/>
    </row>
    <row r="22" spans="1:14" ht="22.5" customHeight="1" x14ac:dyDescent="0.15">
      <c r="A22" s="9" t="s">
        <v>28</v>
      </c>
      <c r="B22" s="9" t="s">
        <v>125</v>
      </c>
      <c r="C22" s="10"/>
      <c r="D22" s="10"/>
      <c r="E22" s="7"/>
      <c r="F22" s="17"/>
      <c r="G22" s="17"/>
      <c r="H22" s="10" t="s">
        <v>61</v>
      </c>
      <c r="I22" s="10"/>
      <c r="J22" s="132">
        <v>2799</v>
      </c>
      <c r="K22" s="133"/>
      <c r="L22" s="134"/>
      <c r="M22" s="68" t="s">
        <v>60</v>
      </c>
      <c r="N22" s="19"/>
    </row>
    <row r="23" spans="1:14" ht="7.5" customHeight="1" x14ac:dyDescent="0.15">
      <c r="C23" s="10"/>
      <c r="D23" s="10"/>
      <c r="E23" s="7"/>
      <c r="F23" s="17"/>
      <c r="G23" s="17"/>
      <c r="H23" s="10"/>
      <c r="I23" s="10"/>
      <c r="J23" s="10"/>
      <c r="K23" s="10"/>
      <c r="L23" s="68"/>
      <c r="M23" s="68"/>
      <c r="N23" s="19"/>
    </row>
    <row r="24" spans="1:14" ht="22.5" customHeight="1" x14ac:dyDescent="0.15">
      <c r="B24" s="20" t="s">
        <v>21</v>
      </c>
      <c r="C24" s="122">
        <v>636</v>
      </c>
      <c r="D24" s="123"/>
      <c r="E24" s="7" t="s">
        <v>26</v>
      </c>
      <c r="F24" s="17"/>
      <c r="G24" s="118" t="s">
        <v>22</v>
      </c>
      <c r="H24" s="118"/>
      <c r="I24" s="122">
        <v>631</v>
      </c>
      <c r="J24" s="123"/>
      <c r="K24" s="13" t="s">
        <v>26</v>
      </c>
      <c r="L24" s="10"/>
      <c r="M24" s="68"/>
      <c r="N24" s="19"/>
    </row>
    <row r="25" spans="1:14" ht="7.5" customHeight="1" x14ac:dyDescent="0.15">
      <c r="B25" s="20"/>
      <c r="C25" s="8"/>
      <c r="D25" s="8"/>
      <c r="E25" s="7"/>
      <c r="F25" s="17"/>
      <c r="G25" s="68"/>
      <c r="H25" s="68"/>
      <c r="I25" s="8"/>
      <c r="J25" s="8"/>
      <c r="K25" s="13"/>
      <c r="L25" s="10"/>
      <c r="M25" s="68"/>
      <c r="N25" s="19"/>
    </row>
    <row r="26" spans="1:14" ht="22.5" customHeight="1" x14ac:dyDescent="0.15">
      <c r="B26" s="20" t="s">
        <v>23</v>
      </c>
      <c r="C26" s="122">
        <v>684</v>
      </c>
      <c r="D26" s="123"/>
      <c r="E26" s="7" t="s">
        <v>26</v>
      </c>
      <c r="F26" s="17"/>
      <c r="G26" s="118" t="s">
        <v>24</v>
      </c>
      <c r="H26" s="118"/>
      <c r="I26" s="122">
        <v>848</v>
      </c>
      <c r="J26" s="123"/>
      <c r="K26" s="13" t="s">
        <v>26</v>
      </c>
      <c r="L26" s="10"/>
      <c r="M26" s="68"/>
      <c r="N26" s="19"/>
    </row>
    <row r="27" spans="1:14" ht="7.5" customHeight="1" x14ac:dyDescent="0.15">
      <c r="B27" s="20"/>
      <c r="C27" s="8"/>
      <c r="D27" s="8"/>
      <c r="E27" s="7"/>
      <c r="F27" s="17"/>
      <c r="G27" s="68"/>
      <c r="H27" s="68"/>
      <c r="I27" s="8"/>
      <c r="J27" s="8"/>
      <c r="K27" s="13"/>
      <c r="L27" s="10"/>
      <c r="M27" s="68"/>
      <c r="N27" s="19"/>
    </row>
    <row r="28" spans="1:14" ht="22.5" customHeight="1" x14ac:dyDescent="0.15">
      <c r="B28" s="20" t="s">
        <v>54</v>
      </c>
      <c r="C28" s="122">
        <v>0</v>
      </c>
      <c r="D28" s="123"/>
      <c r="E28" s="7" t="s">
        <v>10</v>
      </c>
      <c r="F28" s="17"/>
      <c r="G28" s="118" t="s">
        <v>55</v>
      </c>
      <c r="H28" s="118"/>
      <c r="I28" s="122">
        <v>0</v>
      </c>
      <c r="J28" s="123"/>
      <c r="K28" s="13" t="s">
        <v>10</v>
      </c>
      <c r="L28" s="10"/>
      <c r="M28" s="68"/>
      <c r="N28" s="19"/>
    </row>
    <row r="29" spans="1:14" ht="7.5" customHeight="1" x14ac:dyDescent="0.15">
      <c r="F29" s="17"/>
      <c r="G29" s="17"/>
      <c r="M29" s="21"/>
      <c r="N29" s="21"/>
    </row>
    <row r="30" spans="1:14" ht="22.5" customHeight="1" x14ac:dyDescent="0.15">
      <c r="A30" s="9" t="s">
        <v>123</v>
      </c>
      <c r="B30" s="11" t="s">
        <v>114</v>
      </c>
      <c r="C30" s="11"/>
      <c r="D30" s="11"/>
      <c r="E30" s="11"/>
      <c r="F30" s="13"/>
      <c r="G30" s="33"/>
      <c r="H30" s="33"/>
      <c r="I30" s="33"/>
      <c r="J30" s="23"/>
      <c r="K30" s="23"/>
      <c r="L30" s="23"/>
      <c r="M30" s="23"/>
      <c r="N30" s="23"/>
    </row>
    <row r="31" spans="1:14" s="10" customFormat="1" ht="22.5" customHeight="1" x14ac:dyDescent="0.15">
      <c r="B31" s="126" t="s">
        <v>113</v>
      </c>
      <c r="C31" s="126"/>
      <c r="D31" s="127" t="s">
        <v>174</v>
      </c>
      <c r="E31" s="128"/>
      <c r="F31" s="128"/>
      <c r="G31" s="130" t="s">
        <v>27</v>
      </c>
      <c r="H31" s="126"/>
      <c r="I31" s="131"/>
      <c r="J31" s="127" t="s">
        <v>148</v>
      </c>
      <c r="K31" s="128"/>
      <c r="L31" s="128"/>
      <c r="M31" s="128"/>
      <c r="N31" s="129"/>
    </row>
    <row r="32" spans="1:14" ht="7.5" customHeight="1" x14ac:dyDescent="0.15">
      <c r="B32" s="10"/>
      <c r="C32" s="10"/>
      <c r="D32" s="10"/>
      <c r="E32" s="10"/>
      <c r="F32" s="17"/>
      <c r="G32" s="17"/>
      <c r="H32" s="10"/>
      <c r="I32" s="10"/>
      <c r="J32" s="10"/>
      <c r="K32" s="10"/>
      <c r="L32" s="10"/>
      <c r="M32" s="21"/>
      <c r="N32" s="21"/>
    </row>
    <row r="33" spans="1:14" ht="22.5" customHeight="1" x14ac:dyDescent="0.15">
      <c r="A33" s="9" t="s">
        <v>59</v>
      </c>
      <c r="B33" s="11" t="s">
        <v>128</v>
      </c>
      <c r="C33" s="11"/>
      <c r="D33" s="11"/>
      <c r="E33" s="11"/>
      <c r="F33" s="13"/>
      <c r="G33" s="23"/>
      <c r="H33" s="23"/>
      <c r="I33" s="23"/>
      <c r="J33" s="23"/>
      <c r="K33" s="23"/>
      <c r="L33" s="23"/>
      <c r="M33" s="23"/>
      <c r="N33" s="23"/>
    </row>
    <row r="34" spans="1:14" ht="22.5" customHeight="1" x14ac:dyDescent="0.15">
      <c r="B34" s="127" t="s">
        <v>180</v>
      </c>
      <c r="C34" s="128"/>
      <c r="D34" s="128"/>
      <c r="E34" s="128"/>
      <c r="F34" s="128"/>
      <c r="G34" s="128"/>
      <c r="H34" s="128"/>
      <c r="I34" s="128"/>
      <c r="J34" s="128"/>
      <c r="K34" s="128"/>
      <c r="L34" s="128"/>
      <c r="M34" s="128"/>
      <c r="N34" s="129"/>
    </row>
    <row r="35" spans="1:14" ht="7.5" customHeight="1" x14ac:dyDescent="0.15">
      <c r="B35" s="70"/>
      <c r="C35" s="70"/>
      <c r="D35" s="70"/>
      <c r="E35" s="70"/>
      <c r="F35" s="70"/>
      <c r="G35" s="70"/>
      <c r="H35" s="70"/>
      <c r="I35" s="70"/>
      <c r="J35" s="70"/>
      <c r="K35" s="70"/>
      <c r="L35" s="70"/>
      <c r="M35" s="70"/>
      <c r="N35" s="70"/>
    </row>
    <row r="36" spans="1:14" s="10" customFormat="1" ht="22.5" customHeight="1" x14ac:dyDescent="0.15">
      <c r="B36" s="126" t="s">
        <v>113</v>
      </c>
      <c r="C36" s="126"/>
      <c r="D36" s="127" t="s">
        <v>174</v>
      </c>
      <c r="E36" s="128"/>
      <c r="F36" s="128"/>
      <c r="G36" s="130" t="s">
        <v>64</v>
      </c>
      <c r="H36" s="126"/>
      <c r="I36" s="131"/>
      <c r="J36" s="127" t="s">
        <v>148</v>
      </c>
      <c r="K36" s="128"/>
      <c r="L36" s="128"/>
      <c r="M36" s="128"/>
      <c r="N36" s="129"/>
    </row>
    <row r="37" spans="1:14" ht="7.5" customHeight="1" x14ac:dyDescent="0.15">
      <c r="B37" s="10"/>
      <c r="C37" s="10"/>
      <c r="D37" s="10"/>
      <c r="E37" s="10"/>
      <c r="F37" s="67"/>
      <c r="G37" s="67"/>
      <c r="H37" s="67"/>
      <c r="I37" s="67"/>
      <c r="J37" s="67"/>
      <c r="K37" s="67"/>
      <c r="L37" s="67"/>
      <c r="M37" s="67"/>
      <c r="N37" s="67"/>
    </row>
    <row r="38" spans="1:14" ht="22.5" customHeight="1" x14ac:dyDescent="0.15">
      <c r="A38" s="9" t="s">
        <v>63</v>
      </c>
      <c r="B38" s="10" t="s">
        <v>129</v>
      </c>
      <c r="C38" s="10"/>
      <c r="D38" s="10"/>
      <c r="E38" s="10"/>
      <c r="F38" s="10"/>
      <c r="G38" s="10"/>
      <c r="H38" s="10"/>
      <c r="I38" s="10"/>
      <c r="J38" s="10"/>
      <c r="K38" s="10"/>
      <c r="L38" s="10"/>
      <c r="M38" s="21"/>
      <c r="N38" s="21"/>
    </row>
    <row r="39" spans="1:14" ht="22.5" customHeight="1" x14ac:dyDescent="0.15">
      <c r="B39" s="127" t="s">
        <v>149</v>
      </c>
      <c r="C39" s="128"/>
      <c r="D39" s="128"/>
      <c r="E39" s="128"/>
      <c r="F39" s="128"/>
      <c r="G39" s="128"/>
      <c r="H39" s="128"/>
      <c r="I39" s="128"/>
      <c r="J39" s="128"/>
      <c r="K39" s="128"/>
      <c r="L39" s="128"/>
      <c r="M39" s="128"/>
      <c r="N39" s="129"/>
    </row>
    <row r="40" spans="1:14" ht="7.5" customHeight="1" x14ac:dyDescent="0.15">
      <c r="B40" s="10"/>
      <c r="C40" s="10"/>
      <c r="D40" s="10"/>
      <c r="E40" s="10"/>
      <c r="F40" s="67"/>
      <c r="G40" s="67"/>
      <c r="H40" s="67"/>
      <c r="I40" s="67"/>
      <c r="J40" s="67"/>
      <c r="K40" s="67"/>
      <c r="L40" s="67"/>
      <c r="M40" s="67"/>
      <c r="N40" s="67"/>
    </row>
    <row r="41" spans="1:14" s="10" customFormat="1" ht="22.5" customHeight="1" x14ac:dyDescent="0.15">
      <c r="B41" s="126" t="s">
        <v>113</v>
      </c>
      <c r="C41" s="126"/>
      <c r="D41" s="127" t="s">
        <v>174</v>
      </c>
      <c r="E41" s="128"/>
      <c r="F41" s="128"/>
      <c r="G41" s="130" t="s">
        <v>64</v>
      </c>
      <c r="H41" s="126"/>
      <c r="I41" s="131"/>
      <c r="J41" s="127" t="s">
        <v>148</v>
      </c>
      <c r="K41" s="128"/>
      <c r="L41" s="128"/>
      <c r="M41" s="128"/>
      <c r="N41" s="129"/>
    </row>
    <row r="42" spans="1:14" ht="7.5" customHeight="1" x14ac:dyDescent="0.15">
      <c r="B42" s="10"/>
      <c r="C42" s="10"/>
      <c r="D42" s="10"/>
      <c r="E42" s="10"/>
      <c r="F42" s="67"/>
      <c r="G42" s="67"/>
      <c r="H42" s="67"/>
      <c r="I42" s="67"/>
      <c r="J42" s="67"/>
      <c r="K42" s="67"/>
      <c r="L42" s="67"/>
      <c r="M42" s="67"/>
      <c r="N42" s="67"/>
    </row>
    <row r="43" spans="1:14" ht="22.5" customHeight="1" x14ac:dyDescent="0.15">
      <c r="A43" s="9" t="s">
        <v>71</v>
      </c>
      <c r="B43" s="82" t="s">
        <v>91</v>
      </c>
      <c r="C43" s="10"/>
      <c r="D43" s="10"/>
      <c r="E43" s="72"/>
      <c r="F43" s="119" t="s">
        <v>150</v>
      </c>
      <c r="G43" s="120"/>
      <c r="H43" s="120"/>
      <c r="I43" s="120"/>
      <c r="J43" s="120"/>
      <c r="K43" s="120"/>
      <c r="L43" s="120"/>
      <c r="M43" s="120"/>
      <c r="N43" s="121"/>
    </row>
    <row r="44" spans="1:14" ht="7.5" customHeight="1" x14ac:dyDescent="0.15">
      <c r="B44" s="10"/>
      <c r="C44" s="10"/>
      <c r="D44" s="10"/>
      <c r="E44" s="10"/>
      <c r="F44" s="67"/>
      <c r="G44" s="67"/>
      <c r="H44" s="67"/>
      <c r="I44" s="67"/>
      <c r="J44" s="67"/>
      <c r="K44" s="67"/>
      <c r="L44" s="67"/>
      <c r="M44" s="67"/>
      <c r="N44" s="67"/>
    </row>
    <row r="45" spans="1:14" ht="22.5" customHeight="1" x14ac:dyDescent="0.15">
      <c r="A45" s="9" t="s">
        <v>3</v>
      </c>
    </row>
    <row r="46" spans="1:14" ht="22.5" customHeight="1" x14ac:dyDescent="0.15">
      <c r="B46" s="24" t="s">
        <v>1</v>
      </c>
      <c r="C46" s="124" t="s">
        <v>151</v>
      </c>
      <c r="D46" s="125"/>
      <c r="E46" s="125"/>
      <c r="F46" s="125"/>
      <c r="G46" s="125"/>
      <c r="H46" s="125"/>
      <c r="I46" s="25" t="s">
        <v>2</v>
      </c>
      <c r="J46" s="26"/>
      <c r="K46" s="119" t="s">
        <v>152</v>
      </c>
      <c r="L46" s="120"/>
      <c r="M46" s="120"/>
      <c r="N46" s="121"/>
    </row>
    <row r="47" spans="1:14" ht="22.5" customHeight="1" x14ac:dyDescent="0.15">
      <c r="B47" s="24" t="s">
        <v>5</v>
      </c>
      <c r="C47" s="112" t="s">
        <v>153</v>
      </c>
      <c r="D47" s="113"/>
      <c r="E47" s="113"/>
      <c r="F47" s="113"/>
      <c r="G47" s="113"/>
      <c r="H47" s="114"/>
      <c r="I47" s="25" t="s">
        <v>4</v>
      </c>
      <c r="J47" s="26"/>
      <c r="K47" s="115" t="s">
        <v>154</v>
      </c>
      <c r="L47" s="116"/>
      <c r="M47" s="116"/>
      <c r="N47" s="117"/>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view="pageBreakPreview" zoomScaleNormal="100" zoomScaleSheetLayoutView="100" workbookViewId="0">
      <selection activeCell="B9" sqref="B9:I16"/>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6384" width="9" style="9"/>
  </cols>
  <sheetData>
    <row r="1" spans="1:9" ht="18.75" customHeight="1" x14ac:dyDescent="0.15">
      <c r="I1" s="69" t="s">
        <v>155</v>
      </c>
    </row>
    <row r="2" spans="1:9" ht="18.75" customHeight="1" x14ac:dyDescent="0.15">
      <c r="G2" s="22" t="s">
        <v>32</v>
      </c>
      <c r="H2" s="146" t="s">
        <v>144</v>
      </c>
      <c r="I2" s="146"/>
    </row>
    <row r="3" spans="1:9" ht="7.5" customHeight="1" x14ac:dyDescent="0.15"/>
    <row r="4" spans="1:9" ht="18.75" customHeight="1" x14ac:dyDescent="0.15">
      <c r="A4" s="140" t="s">
        <v>89</v>
      </c>
      <c r="B4" s="140"/>
      <c r="C4" s="140"/>
      <c r="D4" s="140"/>
      <c r="E4" s="140"/>
      <c r="F4" s="140"/>
      <c r="G4" s="140"/>
      <c r="H4" s="140"/>
      <c r="I4" s="140"/>
    </row>
    <row r="5" spans="1:9" ht="7.5" customHeight="1" x14ac:dyDescent="0.15">
      <c r="C5" s="71"/>
      <c r="D5" s="71"/>
      <c r="E5" s="71"/>
      <c r="F5" s="71"/>
      <c r="G5" s="71"/>
      <c r="H5" s="71"/>
      <c r="I5" s="71"/>
    </row>
    <row r="6" spans="1:9" ht="18.75" customHeight="1" x14ac:dyDescent="0.15">
      <c r="A6" s="9" t="s">
        <v>7</v>
      </c>
      <c r="B6" s="9" t="s">
        <v>103</v>
      </c>
      <c r="C6" s="71"/>
      <c r="D6" s="71"/>
      <c r="E6" s="143" t="s">
        <v>138</v>
      </c>
      <c r="F6" s="144"/>
      <c r="G6" s="144"/>
      <c r="H6" s="144"/>
      <c r="I6" s="145"/>
    </row>
    <row r="7" spans="1:9" ht="7.5" customHeight="1" x14ac:dyDescent="0.15">
      <c r="C7" s="71"/>
      <c r="D7" s="71"/>
      <c r="F7" s="68"/>
      <c r="G7" s="68"/>
      <c r="H7" s="68"/>
      <c r="I7" s="68"/>
    </row>
    <row r="8" spans="1:9" ht="18.75" customHeight="1" x14ac:dyDescent="0.15">
      <c r="A8" s="9" t="s">
        <v>12</v>
      </c>
      <c r="B8" s="9" t="s">
        <v>104</v>
      </c>
      <c r="C8" s="71"/>
      <c r="D8" s="71"/>
      <c r="E8" s="71"/>
      <c r="F8" s="71"/>
      <c r="G8" s="71"/>
      <c r="H8" s="71"/>
      <c r="I8" s="71"/>
    </row>
    <row r="9" spans="1:9" ht="18.75" customHeight="1" x14ac:dyDescent="0.15">
      <c r="B9" s="149" t="s">
        <v>183</v>
      </c>
      <c r="C9" s="150"/>
      <c r="D9" s="150"/>
      <c r="E9" s="150"/>
      <c r="F9" s="150"/>
      <c r="G9" s="150"/>
      <c r="H9" s="150"/>
      <c r="I9" s="151"/>
    </row>
    <row r="10" spans="1:9" ht="18.75" customHeight="1" x14ac:dyDescent="0.15">
      <c r="B10" s="152"/>
      <c r="C10" s="153"/>
      <c r="D10" s="153"/>
      <c r="E10" s="153"/>
      <c r="F10" s="153"/>
      <c r="G10" s="153"/>
      <c r="H10" s="153"/>
      <c r="I10" s="154"/>
    </row>
    <row r="11" spans="1:9" ht="18.75" customHeight="1" x14ac:dyDescent="0.15">
      <c r="B11" s="152"/>
      <c r="C11" s="153"/>
      <c r="D11" s="153"/>
      <c r="E11" s="153"/>
      <c r="F11" s="153"/>
      <c r="G11" s="153"/>
      <c r="H11" s="153"/>
      <c r="I11" s="154"/>
    </row>
    <row r="12" spans="1:9" ht="18.75" customHeight="1" x14ac:dyDescent="0.15">
      <c r="B12" s="152"/>
      <c r="C12" s="153"/>
      <c r="D12" s="153"/>
      <c r="E12" s="153"/>
      <c r="F12" s="153"/>
      <c r="G12" s="153"/>
      <c r="H12" s="153"/>
      <c r="I12" s="154"/>
    </row>
    <row r="13" spans="1:9" ht="18.75" customHeight="1" x14ac:dyDescent="0.15">
      <c r="B13" s="152"/>
      <c r="C13" s="153"/>
      <c r="D13" s="153"/>
      <c r="E13" s="153"/>
      <c r="F13" s="153"/>
      <c r="G13" s="153"/>
      <c r="H13" s="153"/>
      <c r="I13" s="154"/>
    </row>
    <row r="14" spans="1:9" ht="18.75" customHeight="1" x14ac:dyDescent="0.15">
      <c r="B14" s="152"/>
      <c r="C14" s="153"/>
      <c r="D14" s="153"/>
      <c r="E14" s="153"/>
      <c r="F14" s="153"/>
      <c r="G14" s="153"/>
      <c r="H14" s="153"/>
      <c r="I14" s="154"/>
    </row>
    <row r="15" spans="1:9" ht="18.75" customHeight="1" x14ac:dyDescent="0.15">
      <c r="B15" s="152"/>
      <c r="C15" s="153"/>
      <c r="D15" s="153"/>
      <c r="E15" s="153"/>
      <c r="F15" s="153"/>
      <c r="G15" s="153"/>
      <c r="H15" s="153"/>
      <c r="I15" s="154"/>
    </row>
    <row r="16" spans="1:9" ht="18.75" customHeight="1" x14ac:dyDescent="0.15">
      <c r="B16" s="155"/>
      <c r="C16" s="156"/>
      <c r="D16" s="156"/>
      <c r="E16" s="156"/>
      <c r="F16" s="156"/>
      <c r="G16" s="156"/>
      <c r="H16" s="156"/>
      <c r="I16" s="157"/>
    </row>
    <row r="17" spans="1:10" ht="7.5" customHeight="1" x14ac:dyDescent="0.15">
      <c r="C17" s="71"/>
      <c r="D17" s="71"/>
      <c r="E17" s="71"/>
      <c r="F17" s="71"/>
      <c r="G17" s="71"/>
      <c r="H17" s="71"/>
      <c r="I17" s="71"/>
    </row>
    <row r="18" spans="1:10" ht="18.75" customHeight="1" x14ac:dyDescent="0.15">
      <c r="A18" s="71" t="s">
        <v>13</v>
      </c>
      <c r="B18" s="11" t="s">
        <v>105</v>
      </c>
      <c r="C18" s="11"/>
      <c r="D18" s="11"/>
      <c r="E18" s="11"/>
      <c r="F18" s="71"/>
      <c r="G18" s="71"/>
      <c r="H18" s="71"/>
      <c r="I18" s="71"/>
      <c r="J18" s="71"/>
    </row>
    <row r="19" spans="1:10" ht="18.75" customHeight="1" x14ac:dyDescent="0.15">
      <c r="A19" s="147" t="s">
        <v>105</v>
      </c>
      <c r="B19" s="147"/>
      <c r="C19" s="147"/>
      <c r="D19" s="147"/>
      <c r="E19" s="147"/>
      <c r="F19" s="148" t="s">
        <v>105</v>
      </c>
      <c r="G19" s="148"/>
      <c r="H19" s="148"/>
      <c r="I19" s="148"/>
    </row>
    <row r="20" spans="1:10" ht="18.75" customHeight="1" x14ac:dyDescent="0.15">
      <c r="A20" s="32">
        <v>1</v>
      </c>
      <c r="B20" s="124" t="s">
        <v>132</v>
      </c>
      <c r="C20" s="125"/>
      <c r="D20" s="125"/>
      <c r="E20" s="141"/>
      <c r="F20" s="32">
        <v>26</v>
      </c>
      <c r="G20" s="124"/>
      <c r="H20" s="125"/>
      <c r="I20" s="141"/>
    </row>
    <row r="21" spans="1:10" ht="18.75" customHeight="1" x14ac:dyDescent="0.15">
      <c r="A21" s="32">
        <v>2</v>
      </c>
      <c r="B21" s="124" t="s">
        <v>133</v>
      </c>
      <c r="C21" s="125"/>
      <c r="D21" s="125"/>
      <c r="E21" s="141"/>
      <c r="F21" s="32">
        <v>27</v>
      </c>
      <c r="G21" s="124"/>
      <c r="H21" s="125"/>
      <c r="I21" s="141"/>
    </row>
    <row r="22" spans="1:10" ht="18.75" customHeight="1" x14ac:dyDescent="0.15">
      <c r="A22" s="32">
        <v>3</v>
      </c>
      <c r="B22" s="124" t="s">
        <v>134</v>
      </c>
      <c r="C22" s="125"/>
      <c r="D22" s="125"/>
      <c r="E22" s="141"/>
      <c r="F22" s="32">
        <v>28</v>
      </c>
      <c r="G22" s="124"/>
      <c r="H22" s="125"/>
      <c r="I22" s="141"/>
    </row>
    <row r="23" spans="1:10" ht="18.75" customHeight="1" x14ac:dyDescent="0.15">
      <c r="A23" s="32">
        <v>4</v>
      </c>
      <c r="B23" s="124" t="s">
        <v>135</v>
      </c>
      <c r="C23" s="125"/>
      <c r="D23" s="125"/>
      <c r="E23" s="141"/>
      <c r="F23" s="32">
        <v>29</v>
      </c>
      <c r="G23" s="124"/>
      <c r="H23" s="125"/>
      <c r="I23" s="141"/>
    </row>
    <row r="24" spans="1:10" ht="18.75" customHeight="1" x14ac:dyDescent="0.15">
      <c r="A24" s="32">
        <v>5</v>
      </c>
      <c r="B24" s="124"/>
      <c r="C24" s="125"/>
      <c r="D24" s="125"/>
      <c r="E24" s="141"/>
      <c r="F24" s="32">
        <v>30</v>
      </c>
      <c r="G24" s="124"/>
      <c r="H24" s="125"/>
      <c r="I24" s="141"/>
    </row>
    <row r="25" spans="1:10" ht="18.75" customHeight="1" x14ac:dyDescent="0.15">
      <c r="A25" s="32">
        <v>6</v>
      </c>
      <c r="B25" s="124"/>
      <c r="C25" s="125"/>
      <c r="D25" s="125"/>
      <c r="E25" s="141"/>
      <c r="F25" s="32">
        <v>31</v>
      </c>
      <c r="G25" s="124"/>
      <c r="H25" s="125"/>
      <c r="I25" s="141"/>
    </row>
    <row r="26" spans="1:10" ht="18.75" customHeight="1" x14ac:dyDescent="0.15">
      <c r="A26" s="32">
        <v>7</v>
      </c>
      <c r="B26" s="124"/>
      <c r="C26" s="125"/>
      <c r="D26" s="125"/>
      <c r="E26" s="141"/>
      <c r="F26" s="32">
        <v>32</v>
      </c>
      <c r="G26" s="124"/>
      <c r="H26" s="125"/>
      <c r="I26" s="141"/>
    </row>
    <row r="27" spans="1:10" ht="18.75" customHeight="1" x14ac:dyDescent="0.15">
      <c r="A27" s="32">
        <v>8</v>
      </c>
      <c r="B27" s="124"/>
      <c r="C27" s="125"/>
      <c r="D27" s="125"/>
      <c r="E27" s="141"/>
      <c r="F27" s="32">
        <v>33</v>
      </c>
      <c r="G27" s="124"/>
      <c r="H27" s="125"/>
      <c r="I27" s="141"/>
    </row>
    <row r="28" spans="1:10" ht="18.75" customHeight="1" x14ac:dyDescent="0.15">
      <c r="A28" s="32">
        <v>9</v>
      </c>
      <c r="B28" s="124"/>
      <c r="C28" s="125"/>
      <c r="D28" s="125"/>
      <c r="E28" s="141"/>
      <c r="F28" s="32">
        <v>34</v>
      </c>
      <c r="G28" s="124"/>
      <c r="H28" s="125"/>
      <c r="I28" s="141"/>
    </row>
    <row r="29" spans="1:10" ht="18.75" customHeight="1" x14ac:dyDescent="0.15">
      <c r="A29" s="32">
        <v>10</v>
      </c>
      <c r="B29" s="124"/>
      <c r="C29" s="125"/>
      <c r="D29" s="125"/>
      <c r="E29" s="141"/>
      <c r="F29" s="32">
        <v>35</v>
      </c>
      <c r="G29" s="124"/>
      <c r="H29" s="125"/>
      <c r="I29" s="141"/>
    </row>
    <row r="30" spans="1:10" ht="18.75" customHeight="1" x14ac:dyDescent="0.15">
      <c r="A30" s="32">
        <v>11</v>
      </c>
      <c r="B30" s="124"/>
      <c r="C30" s="125"/>
      <c r="D30" s="125"/>
      <c r="E30" s="141"/>
      <c r="F30" s="32">
        <v>36</v>
      </c>
      <c r="G30" s="124"/>
      <c r="H30" s="125"/>
      <c r="I30" s="141"/>
    </row>
    <row r="31" spans="1:10" ht="18.75" customHeight="1" x14ac:dyDescent="0.15">
      <c r="A31" s="32">
        <v>12</v>
      </c>
      <c r="B31" s="124"/>
      <c r="C31" s="125"/>
      <c r="D31" s="125"/>
      <c r="E31" s="141"/>
      <c r="F31" s="32">
        <v>37</v>
      </c>
      <c r="G31" s="124"/>
      <c r="H31" s="125"/>
      <c r="I31" s="141"/>
    </row>
    <row r="32" spans="1:10" ht="18.75" customHeight="1" x14ac:dyDescent="0.15">
      <c r="A32" s="32">
        <v>13</v>
      </c>
      <c r="B32" s="124"/>
      <c r="C32" s="125"/>
      <c r="D32" s="125"/>
      <c r="E32" s="141"/>
      <c r="F32" s="32">
        <v>38</v>
      </c>
      <c r="G32" s="124"/>
      <c r="H32" s="125"/>
      <c r="I32" s="141"/>
    </row>
    <row r="33" spans="1:9" ht="18.75" customHeight="1" x14ac:dyDescent="0.15">
      <c r="A33" s="32">
        <v>14</v>
      </c>
      <c r="B33" s="124"/>
      <c r="C33" s="125"/>
      <c r="D33" s="125"/>
      <c r="E33" s="141"/>
      <c r="F33" s="32">
        <v>39</v>
      </c>
      <c r="G33" s="124"/>
      <c r="H33" s="125"/>
      <c r="I33" s="141"/>
    </row>
    <row r="34" spans="1:9" ht="18.75" customHeight="1" x14ac:dyDescent="0.15">
      <c r="A34" s="32">
        <v>15</v>
      </c>
      <c r="B34" s="124"/>
      <c r="C34" s="125"/>
      <c r="D34" s="125"/>
      <c r="E34" s="141"/>
      <c r="F34" s="32">
        <v>40</v>
      </c>
      <c r="G34" s="124"/>
      <c r="H34" s="125"/>
      <c r="I34" s="141"/>
    </row>
    <row r="35" spans="1:9" ht="18.75" customHeight="1" x14ac:dyDescent="0.15">
      <c r="A35" s="32">
        <v>16</v>
      </c>
      <c r="B35" s="124"/>
      <c r="C35" s="125"/>
      <c r="D35" s="125"/>
      <c r="E35" s="141"/>
      <c r="F35" s="32">
        <v>41</v>
      </c>
      <c r="G35" s="124"/>
      <c r="H35" s="125"/>
      <c r="I35" s="141"/>
    </row>
    <row r="36" spans="1:9" ht="18.75" customHeight="1" x14ac:dyDescent="0.15">
      <c r="A36" s="32">
        <v>17</v>
      </c>
      <c r="B36" s="124"/>
      <c r="C36" s="125"/>
      <c r="D36" s="125"/>
      <c r="E36" s="141"/>
      <c r="F36" s="32">
        <v>42</v>
      </c>
      <c r="G36" s="124"/>
      <c r="H36" s="125"/>
      <c r="I36" s="141"/>
    </row>
    <row r="37" spans="1:9" ht="18.75" customHeight="1" x14ac:dyDescent="0.15">
      <c r="A37" s="32">
        <v>18</v>
      </c>
      <c r="B37" s="124"/>
      <c r="C37" s="125"/>
      <c r="D37" s="125"/>
      <c r="E37" s="141"/>
      <c r="F37" s="32">
        <v>43</v>
      </c>
      <c r="G37" s="124"/>
      <c r="H37" s="125"/>
      <c r="I37" s="141"/>
    </row>
    <row r="38" spans="1:9" ht="18.75" customHeight="1" x14ac:dyDescent="0.15">
      <c r="A38" s="32">
        <v>19</v>
      </c>
      <c r="B38" s="124"/>
      <c r="C38" s="125"/>
      <c r="D38" s="125"/>
      <c r="E38" s="141"/>
      <c r="F38" s="32">
        <v>44</v>
      </c>
      <c r="G38" s="124"/>
      <c r="H38" s="125"/>
      <c r="I38" s="141"/>
    </row>
    <row r="39" spans="1:9" ht="18.75" customHeight="1" x14ac:dyDescent="0.15">
      <c r="A39" s="32">
        <v>20</v>
      </c>
      <c r="B39" s="124"/>
      <c r="C39" s="125"/>
      <c r="D39" s="125"/>
      <c r="E39" s="141"/>
      <c r="F39" s="32">
        <v>45</v>
      </c>
      <c r="G39" s="124"/>
      <c r="H39" s="125"/>
      <c r="I39" s="141"/>
    </row>
    <row r="40" spans="1:9" ht="18.75" customHeight="1" x14ac:dyDescent="0.15">
      <c r="A40" s="32">
        <v>21</v>
      </c>
      <c r="B40" s="124"/>
      <c r="C40" s="125"/>
      <c r="D40" s="125"/>
      <c r="E40" s="141"/>
      <c r="F40" s="32">
        <v>46</v>
      </c>
      <c r="G40" s="124"/>
      <c r="H40" s="125"/>
      <c r="I40" s="141"/>
    </row>
    <row r="41" spans="1:9" ht="18.75" customHeight="1" x14ac:dyDescent="0.15">
      <c r="A41" s="32">
        <v>22</v>
      </c>
      <c r="B41" s="124"/>
      <c r="C41" s="125"/>
      <c r="D41" s="125"/>
      <c r="E41" s="141"/>
      <c r="F41" s="32">
        <v>47</v>
      </c>
      <c r="G41" s="124"/>
      <c r="H41" s="125"/>
      <c r="I41" s="141"/>
    </row>
    <row r="42" spans="1:9" ht="18.75" customHeight="1" x14ac:dyDescent="0.15">
      <c r="A42" s="32">
        <v>23</v>
      </c>
      <c r="B42" s="124"/>
      <c r="C42" s="125"/>
      <c r="D42" s="125"/>
      <c r="E42" s="141"/>
      <c r="F42" s="32">
        <v>48</v>
      </c>
      <c r="G42" s="124"/>
      <c r="H42" s="125"/>
      <c r="I42" s="141"/>
    </row>
    <row r="43" spans="1:9" ht="18.75" customHeight="1" x14ac:dyDescent="0.15">
      <c r="A43" s="32">
        <v>24</v>
      </c>
      <c r="B43" s="124"/>
      <c r="C43" s="125"/>
      <c r="D43" s="125"/>
      <c r="E43" s="141"/>
      <c r="F43" s="32">
        <v>49</v>
      </c>
      <c r="G43" s="124"/>
      <c r="H43" s="125"/>
      <c r="I43" s="141"/>
    </row>
    <row r="44" spans="1:9" ht="18.75" customHeight="1" x14ac:dyDescent="0.15">
      <c r="A44" s="32">
        <v>25</v>
      </c>
      <c r="B44" s="124"/>
      <c r="C44" s="125"/>
      <c r="D44" s="125"/>
      <c r="E44" s="141"/>
      <c r="F44" s="32">
        <v>50</v>
      </c>
      <c r="G44" s="124"/>
      <c r="H44" s="125"/>
      <c r="I44" s="141"/>
    </row>
  </sheetData>
  <mergeCells count="56">
    <mergeCell ref="G25:I25"/>
    <mergeCell ref="G26:I26"/>
    <mergeCell ref="G27:I27"/>
    <mergeCell ref="G28:I28"/>
    <mergeCell ref="B30:E30"/>
    <mergeCell ref="B29:E29"/>
    <mergeCell ref="B24:E24"/>
    <mergeCell ref="B25:E25"/>
    <mergeCell ref="B26:E26"/>
    <mergeCell ref="B27:E27"/>
    <mergeCell ref="B28:E28"/>
    <mergeCell ref="B20:E20"/>
    <mergeCell ref="B21:E21"/>
    <mergeCell ref="B22:E22"/>
    <mergeCell ref="B23:E23"/>
    <mergeCell ref="G20:I20"/>
    <mergeCell ref="G22:I22"/>
    <mergeCell ref="G21:I21"/>
    <mergeCell ref="E6:I6"/>
    <mergeCell ref="H2:I2"/>
    <mergeCell ref="A4:I4"/>
    <mergeCell ref="A19:E19"/>
    <mergeCell ref="F19:I19"/>
    <mergeCell ref="B9:I16"/>
    <mergeCell ref="B35:E35"/>
    <mergeCell ref="B36:E36"/>
    <mergeCell ref="B37:E37"/>
    <mergeCell ref="B38:E38"/>
    <mergeCell ref="B31:E31"/>
    <mergeCell ref="B32:E32"/>
    <mergeCell ref="B33:E33"/>
    <mergeCell ref="B44:E44"/>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view="pageBreakPreview" zoomScaleNormal="100" zoomScaleSheetLayoutView="100" workbookViewId="0">
      <selection activeCell="X9" sqref="X9"/>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64" t="s">
        <v>73</v>
      </c>
      <c r="G1" s="164"/>
      <c r="H1" s="164"/>
      <c r="I1" s="164"/>
      <c r="J1" s="164"/>
      <c r="K1" s="164"/>
      <c r="L1" s="164"/>
      <c r="M1" s="164"/>
      <c r="N1" s="164"/>
      <c r="O1" s="164"/>
      <c r="P1" s="164"/>
      <c r="Q1" s="164"/>
      <c r="R1" s="164"/>
    </row>
    <row r="2" spans="1:20" ht="18.75" customHeight="1" x14ac:dyDescent="0.15">
      <c r="D2" s="35"/>
      <c r="E2" s="35"/>
      <c r="F2" s="35"/>
      <c r="G2" s="35"/>
      <c r="H2" s="35"/>
      <c r="I2" s="35"/>
      <c r="J2" s="35"/>
      <c r="K2" s="164" t="s">
        <v>65</v>
      </c>
      <c r="L2" s="164"/>
      <c r="M2" s="175" t="s">
        <v>144</v>
      </c>
      <c r="N2" s="175"/>
      <c r="O2" s="175"/>
      <c r="P2" s="175"/>
      <c r="Q2" s="175"/>
      <c r="R2" s="175"/>
    </row>
    <row r="3" spans="1:20" ht="7.5" customHeight="1" x14ac:dyDescent="0.15"/>
    <row r="4" spans="1:20" ht="18.75" customHeight="1" x14ac:dyDescent="0.15">
      <c r="A4" s="174" t="s">
        <v>121</v>
      </c>
      <c r="B4" s="174"/>
      <c r="C4" s="174"/>
      <c r="D4" s="174"/>
      <c r="E4" s="174"/>
      <c r="F4" s="174"/>
      <c r="G4" s="174"/>
      <c r="H4" s="174"/>
      <c r="I4" s="174"/>
      <c r="J4" s="174"/>
      <c r="K4" s="174"/>
      <c r="L4" s="174"/>
      <c r="M4" s="174"/>
      <c r="N4" s="174"/>
      <c r="O4" s="174"/>
      <c r="P4" s="174"/>
      <c r="Q4" s="174"/>
      <c r="R4" s="174"/>
    </row>
    <row r="5" spans="1:20" ht="7.5" customHeight="1" x14ac:dyDescent="0.15">
      <c r="A5" s="34"/>
      <c r="B5" s="34"/>
      <c r="C5" s="34"/>
      <c r="D5" s="34"/>
      <c r="E5" s="34"/>
      <c r="F5" s="34"/>
      <c r="G5" s="34"/>
      <c r="H5" s="34"/>
      <c r="I5" s="34"/>
      <c r="J5" s="34"/>
      <c r="K5" s="34"/>
      <c r="L5" s="34"/>
      <c r="M5" s="34"/>
      <c r="N5" s="34"/>
      <c r="O5" s="34"/>
      <c r="P5" s="34"/>
      <c r="Q5" s="34"/>
      <c r="R5" s="34"/>
    </row>
    <row r="6" spans="1:20" ht="18.75" customHeight="1" x14ac:dyDescent="0.15">
      <c r="B6" s="160" t="s">
        <v>126</v>
      </c>
      <c r="C6" s="161"/>
      <c r="D6" s="165" t="s">
        <v>90</v>
      </c>
      <c r="E6" s="167" t="s">
        <v>115</v>
      </c>
      <c r="F6" s="167"/>
      <c r="G6" s="167" t="s">
        <v>116</v>
      </c>
      <c r="H6" s="167"/>
      <c r="I6" s="168" t="s">
        <v>117</v>
      </c>
      <c r="J6" s="169"/>
      <c r="K6" s="168" t="s">
        <v>118</v>
      </c>
      <c r="L6" s="169"/>
      <c r="M6" s="168" t="s">
        <v>119</v>
      </c>
      <c r="N6" s="169"/>
      <c r="O6" s="168" t="s">
        <v>120</v>
      </c>
      <c r="P6" s="169"/>
      <c r="Q6" s="170" t="s">
        <v>72</v>
      </c>
      <c r="R6" s="172" t="s">
        <v>66</v>
      </c>
    </row>
    <row r="7" spans="1:20" ht="18.75" customHeight="1" x14ac:dyDescent="0.15">
      <c r="B7" s="162"/>
      <c r="C7" s="163"/>
      <c r="D7" s="166"/>
      <c r="E7" s="27" t="s">
        <v>52</v>
      </c>
      <c r="F7" s="29" t="s">
        <v>51</v>
      </c>
      <c r="G7" s="30" t="s">
        <v>52</v>
      </c>
      <c r="H7" s="28" t="s">
        <v>51</v>
      </c>
      <c r="I7" s="27" t="s">
        <v>52</v>
      </c>
      <c r="J7" s="29" t="s">
        <v>51</v>
      </c>
      <c r="K7" s="30" t="s">
        <v>52</v>
      </c>
      <c r="L7" s="28" t="s">
        <v>51</v>
      </c>
      <c r="M7" s="27" t="s">
        <v>52</v>
      </c>
      <c r="N7" s="29" t="s">
        <v>51</v>
      </c>
      <c r="O7" s="30" t="s">
        <v>52</v>
      </c>
      <c r="P7" s="28" t="s">
        <v>51</v>
      </c>
      <c r="Q7" s="171"/>
      <c r="R7" s="173"/>
    </row>
    <row r="8" spans="1:20" ht="18.75" customHeight="1" x14ac:dyDescent="0.15">
      <c r="A8" s="36"/>
      <c r="B8" s="180" t="s">
        <v>198</v>
      </c>
      <c r="C8" s="181"/>
      <c r="D8" s="37">
        <v>730</v>
      </c>
      <c r="E8" s="74">
        <v>375</v>
      </c>
      <c r="F8" s="75">
        <v>359</v>
      </c>
      <c r="G8" s="76">
        <v>47</v>
      </c>
      <c r="H8" s="77">
        <v>46</v>
      </c>
      <c r="I8" s="59">
        <v>0</v>
      </c>
      <c r="J8" s="60">
        <v>0</v>
      </c>
      <c r="K8" s="61">
        <v>0</v>
      </c>
      <c r="L8" s="62">
        <v>0</v>
      </c>
      <c r="M8" s="59">
        <v>0</v>
      </c>
      <c r="N8" s="60">
        <v>0</v>
      </c>
      <c r="O8" s="61">
        <v>0</v>
      </c>
      <c r="P8" s="62">
        <v>0</v>
      </c>
      <c r="Q8" s="42">
        <f>E8+G8+I8+K8+M8+O8</f>
        <v>422</v>
      </c>
      <c r="R8" s="43">
        <f>Q8/D8</f>
        <v>0.57808219178082187</v>
      </c>
      <c r="S8" s="73"/>
      <c r="T8" s="73"/>
    </row>
    <row r="9" spans="1:20" ht="18.75" customHeight="1" x14ac:dyDescent="0.15">
      <c r="A9" s="36"/>
      <c r="B9" s="182" t="s">
        <v>199</v>
      </c>
      <c r="C9" s="183"/>
      <c r="D9" s="44">
        <v>470</v>
      </c>
      <c r="E9" s="78">
        <v>239</v>
      </c>
      <c r="F9" s="79">
        <v>221</v>
      </c>
      <c r="G9" s="80">
        <v>0</v>
      </c>
      <c r="H9" s="81">
        <v>0</v>
      </c>
      <c r="I9" s="45">
        <v>0</v>
      </c>
      <c r="J9" s="46">
        <v>0</v>
      </c>
      <c r="K9" s="47">
        <v>0</v>
      </c>
      <c r="L9" s="48">
        <v>0</v>
      </c>
      <c r="M9" s="45">
        <v>0</v>
      </c>
      <c r="N9" s="46">
        <v>0</v>
      </c>
      <c r="O9" s="47">
        <v>0</v>
      </c>
      <c r="P9" s="48">
        <v>0</v>
      </c>
      <c r="Q9" s="49">
        <f t="shared" ref="Q9:Q27" si="0">E9+G9+I9+K9+M9+O9</f>
        <v>239</v>
      </c>
      <c r="R9" s="43">
        <f t="shared" ref="R9:R27" si="1">Q9/D9</f>
        <v>0.50851063829787235</v>
      </c>
      <c r="S9" s="73"/>
      <c r="T9" s="73"/>
    </row>
    <row r="10" spans="1:20" ht="18.75" customHeight="1" x14ac:dyDescent="0.15">
      <c r="A10" s="36"/>
      <c r="B10" s="178"/>
      <c r="C10" s="179"/>
      <c r="D10" s="44"/>
      <c r="E10" s="45"/>
      <c r="F10" s="46"/>
      <c r="G10" s="47"/>
      <c r="H10" s="48"/>
      <c r="I10" s="45"/>
      <c r="J10" s="46"/>
      <c r="K10" s="47"/>
      <c r="L10" s="48"/>
      <c r="M10" s="45"/>
      <c r="N10" s="46"/>
      <c r="O10" s="47"/>
      <c r="P10" s="48"/>
      <c r="Q10" s="49">
        <f t="shared" si="0"/>
        <v>0</v>
      </c>
      <c r="R10" s="43" t="e">
        <f>Q10/D10</f>
        <v>#DIV/0!</v>
      </c>
      <c r="S10" s="73"/>
      <c r="T10" s="73"/>
    </row>
    <row r="11" spans="1:20" ht="18.75" customHeight="1" x14ac:dyDescent="0.15">
      <c r="A11" s="36"/>
      <c r="B11" s="178"/>
      <c r="C11" s="179"/>
      <c r="D11" s="44"/>
      <c r="E11" s="45"/>
      <c r="F11" s="46"/>
      <c r="G11" s="47"/>
      <c r="H11" s="48"/>
      <c r="I11" s="45"/>
      <c r="J11" s="46"/>
      <c r="K11" s="47"/>
      <c r="L11" s="48"/>
      <c r="M11" s="45"/>
      <c r="N11" s="46"/>
      <c r="O11" s="47"/>
      <c r="P11" s="48"/>
      <c r="Q11" s="49">
        <f t="shared" si="0"/>
        <v>0</v>
      </c>
      <c r="R11" s="43" t="e">
        <f>Q11/D11</f>
        <v>#DIV/0!</v>
      </c>
      <c r="S11" s="73"/>
      <c r="T11" s="73"/>
    </row>
    <row r="12" spans="1:20" ht="18.75" customHeight="1" x14ac:dyDescent="0.15">
      <c r="A12" s="36"/>
      <c r="B12" s="178"/>
      <c r="C12" s="179"/>
      <c r="D12" s="44"/>
      <c r="E12" s="45"/>
      <c r="F12" s="46"/>
      <c r="G12" s="47"/>
      <c r="H12" s="48"/>
      <c r="I12" s="45"/>
      <c r="J12" s="46"/>
      <c r="K12" s="47"/>
      <c r="L12" s="48"/>
      <c r="M12" s="45"/>
      <c r="N12" s="46"/>
      <c r="O12" s="47"/>
      <c r="P12" s="48"/>
      <c r="Q12" s="49">
        <f t="shared" si="0"/>
        <v>0</v>
      </c>
      <c r="R12" s="43" t="e">
        <f t="shared" si="1"/>
        <v>#DIV/0!</v>
      </c>
      <c r="S12" s="73"/>
      <c r="T12" s="73"/>
    </row>
    <row r="13" spans="1:20" ht="18.75" customHeight="1" x14ac:dyDescent="0.15">
      <c r="A13" s="36"/>
      <c r="B13" s="178"/>
      <c r="C13" s="179"/>
      <c r="D13" s="44"/>
      <c r="E13" s="45"/>
      <c r="F13" s="46"/>
      <c r="G13" s="47"/>
      <c r="H13" s="48"/>
      <c r="I13" s="45"/>
      <c r="J13" s="46"/>
      <c r="K13" s="47"/>
      <c r="L13" s="48"/>
      <c r="M13" s="45"/>
      <c r="N13" s="46"/>
      <c r="O13" s="47"/>
      <c r="P13" s="48"/>
      <c r="Q13" s="49">
        <f t="shared" si="0"/>
        <v>0</v>
      </c>
      <c r="R13" s="43" t="e">
        <f t="shared" si="1"/>
        <v>#DIV/0!</v>
      </c>
      <c r="S13" s="73"/>
      <c r="T13" s="73"/>
    </row>
    <row r="14" spans="1:20" ht="18.75" customHeight="1" x14ac:dyDescent="0.15">
      <c r="A14" s="36"/>
      <c r="B14" s="178"/>
      <c r="C14" s="179"/>
      <c r="D14" s="44"/>
      <c r="E14" s="45"/>
      <c r="F14" s="46"/>
      <c r="G14" s="47"/>
      <c r="H14" s="48"/>
      <c r="I14" s="45"/>
      <c r="J14" s="46"/>
      <c r="K14" s="47"/>
      <c r="L14" s="48"/>
      <c r="M14" s="45"/>
      <c r="N14" s="46"/>
      <c r="O14" s="47"/>
      <c r="P14" s="48"/>
      <c r="Q14" s="49">
        <f t="shared" si="0"/>
        <v>0</v>
      </c>
      <c r="R14" s="43" t="e">
        <f t="shared" si="1"/>
        <v>#DIV/0!</v>
      </c>
      <c r="S14" s="73"/>
      <c r="T14" s="73"/>
    </row>
    <row r="15" spans="1:20" ht="18.75" customHeight="1" x14ac:dyDescent="0.15">
      <c r="A15" s="36"/>
      <c r="B15" s="178"/>
      <c r="C15" s="179"/>
      <c r="D15" s="44"/>
      <c r="E15" s="45"/>
      <c r="F15" s="46"/>
      <c r="G15" s="47"/>
      <c r="H15" s="48"/>
      <c r="I15" s="45"/>
      <c r="J15" s="46"/>
      <c r="K15" s="47"/>
      <c r="L15" s="48"/>
      <c r="M15" s="45"/>
      <c r="N15" s="46"/>
      <c r="O15" s="47"/>
      <c r="P15" s="48"/>
      <c r="Q15" s="49">
        <f t="shared" si="0"/>
        <v>0</v>
      </c>
      <c r="R15" s="43" t="e">
        <f t="shared" si="1"/>
        <v>#DIV/0!</v>
      </c>
      <c r="S15" s="73"/>
      <c r="T15" s="73"/>
    </row>
    <row r="16" spans="1:20" ht="18.75" customHeight="1" x14ac:dyDescent="0.15">
      <c r="A16" s="36"/>
      <c r="B16" s="178"/>
      <c r="C16" s="179"/>
      <c r="D16" s="44"/>
      <c r="E16" s="45"/>
      <c r="F16" s="46"/>
      <c r="G16" s="47"/>
      <c r="H16" s="48"/>
      <c r="I16" s="45"/>
      <c r="J16" s="46"/>
      <c r="K16" s="47"/>
      <c r="L16" s="48"/>
      <c r="M16" s="45"/>
      <c r="N16" s="46"/>
      <c r="O16" s="47"/>
      <c r="P16" s="48"/>
      <c r="Q16" s="49">
        <f>E16+G16+I16+K16+M16+O16</f>
        <v>0</v>
      </c>
      <c r="R16" s="43" t="e">
        <f t="shared" si="1"/>
        <v>#DIV/0!</v>
      </c>
      <c r="S16" s="73"/>
      <c r="T16" s="73"/>
    </row>
    <row r="17" spans="1:20" ht="18.75" customHeight="1" x14ac:dyDescent="0.15">
      <c r="A17" s="36"/>
      <c r="B17" s="178"/>
      <c r="C17" s="179"/>
      <c r="D17" s="44"/>
      <c r="E17" s="45"/>
      <c r="F17" s="46"/>
      <c r="G17" s="47"/>
      <c r="H17" s="48"/>
      <c r="I17" s="45"/>
      <c r="J17" s="46"/>
      <c r="K17" s="47"/>
      <c r="L17" s="48"/>
      <c r="M17" s="45"/>
      <c r="N17" s="46"/>
      <c r="O17" s="47"/>
      <c r="P17" s="48"/>
      <c r="Q17" s="49">
        <f t="shared" si="0"/>
        <v>0</v>
      </c>
      <c r="R17" s="43" t="e">
        <f t="shared" si="1"/>
        <v>#DIV/0!</v>
      </c>
      <c r="S17" s="73"/>
      <c r="T17" s="73"/>
    </row>
    <row r="18" spans="1:20" ht="18.75" customHeight="1" x14ac:dyDescent="0.15">
      <c r="A18" s="36"/>
      <c r="B18" s="178"/>
      <c r="C18" s="179"/>
      <c r="D18" s="44"/>
      <c r="E18" s="45"/>
      <c r="F18" s="46"/>
      <c r="G18" s="47"/>
      <c r="H18" s="48"/>
      <c r="I18" s="45"/>
      <c r="J18" s="46"/>
      <c r="K18" s="47"/>
      <c r="L18" s="48"/>
      <c r="M18" s="45"/>
      <c r="N18" s="46"/>
      <c r="O18" s="47"/>
      <c r="P18" s="48"/>
      <c r="Q18" s="49">
        <f t="shared" si="0"/>
        <v>0</v>
      </c>
      <c r="R18" s="43" t="e">
        <f t="shared" si="1"/>
        <v>#DIV/0!</v>
      </c>
      <c r="S18" s="73"/>
      <c r="T18" s="73"/>
    </row>
    <row r="19" spans="1:20" ht="18.75" customHeight="1" x14ac:dyDescent="0.15">
      <c r="A19" s="36"/>
      <c r="B19" s="178"/>
      <c r="C19" s="179"/>
      <c r="D19" s="44"/>
      <c r="E19" s="45"/>
      <c r="F19" s="46"/>
      <c r="G19" s="47"/>
      <c r="H19" s="48"/>
      <c r="I19" s="45"/>
      <c r="J19" s="46"/>
      <c r="K19" s="47"/>
      <c r="L19" s="48"/>
      <c r="M19" s="45"/>
      <c r="N19" s="46"/>
      <c r="O19" s="47"/>
      <c r="P19" s="48"/>
      <c r="Q19" s="49">
        <f t="shared" si="0"/>
        <v>0</v>
      </c>
      <c r="R19" s="43" t="e">
        <f t="shared" si="1"/>
        <v>#DIV/0!</v>
      </c>
      <c r="S19" s="73"/>
      <c r="T19" s="73"/>
    </row>
    <row r="20" spans="1:20" ht="18.75" customHeight="1" x14ac:dyDescent="0.15">
      <c r="A20" s="36"/>
      <c r="B20" s="178"/>
      <c r="C20" s="179"/>
      <c r="D20" s="44"/>
      <c r="E20" s="45"/>
      <c r="F20" s="46"/>
      <c r="G20" s="47"/>
      <c r="H20" s="48"/>
      <c r="I20" s="45"/>
      <c r="J20" s="46"/>
      <c r="K20" s="47"/>
      <c r="L20" s="48"/>
      <c r="M20" s="45"/>
      <c r="N20" s="46"/>
      <c r="O20" s="47"/>
      <c r="P20" s="48"/>
      <c r="Q20" s="49">
        <f t="shared" si="0"/>
        <v>0</v>
      </c>
      <c r="R20" s="43" t="e">
        <f t="shared" si="1"/>
        <v>#DIV/0!</v>
      </c>
      <c r="S20" s="73"/>
      <c r="T20" s="73"/>
    </row>
    <row r="21" spans="1:20" ht="18.75" customHeight="1" x14ac:dyDescent="0.15">
      <c r="A21" s="36"/>
      <c r="B21" s="178"/>
      <c r="C21" s="179"/>
      <c r="D21" s="44"/>
      <c r="E21" s="45"/>
      <c r="F21" s="46"/>
      <c r="G21" s="47"/>
      <c r="H21" s="48"/>
      <c r="I21" s="45"/>
      <c r="J21" s="46"/>
      <c r="K21" s="47"/>
      <c r="L21" s="48"/>
      <c r="M21" s="45"/>
      <c r="N21" s="46"/>
      <c r="O21" s="47"/>
      <c r="P21" s="48"/>
      <c r="Q21" s="49">
        <f t="shared" si="0"/>
        <v>0</v>
      </c>
      <c r="R21" s="43" t="e">
        <f t="shared" si="1"/>
        <v>#DIV/0!</v>
      </c>
      <c r="S21" s="73"/>
      <c r="T21" s="73"/>
    </row>
    <row r="22" spans="1:20" ht="18.75" customHeight="1" x14ac:dyDescent="0.15">
      <c r="A22" s="36"/>
      <c r="B22" s="178"/>
      <c r="C22" s="179"/>
      <c r="D22" s="44"/>
      <c r="E22" s="45"/>
      <c r="F22" s="46"/>
      <c r="G22" s="47"/>
      <c r="H22" s="48"/>
      <c r="I22" s="45"/>
      <c r="J22" s="46"/>
      <c r="K22" s="47"/>
      <c r="L22" s="48"/>
      <c r="M22" s="45"/>
      <c r="N22" s="46"/>
      <c r="O22" s="47"/>
      <c r="P22" s="48"/>
      <c r="Q22" s="49">
        <f t="shared" si="0"/>
        <v>0</v>
      </c>
      <c r="R22" s="43" t="e">
        <f t="shared" si="1"/>
        <v>#DIV/0!</v>
      </c>
      <c r="S22" s="73"/>
      <c r="T22" s="73"/>
    </row>
    <row r="23" spans="1:20" ht="18.75" customHeight="1" x14ac:dyDescent="0.15">
      <c r="A23" s="36"/>
      <c r="B23" s="178"/>
      <c r="C23" s="179"/>
      <c r="D23" s="44"/>
      <c r="E23" s="45"/>
      <c r="F23" s="46"/>
      <c r="G23" s="47"/>
      <c r="H23" s="48"/>
      <c r="I23" s="45"/>
      <c r="J23" s="46"/>
      <c r="K23" s="47"/>
      <c r="L23" s="48"/>
      <c r="M23" s="45"/>
      <c r="N23" s="46"/>
      <c r="O23" s="47"/>
      <c r="P23" s="48"/>
      <c r="Q23" s="49">
        <f t="shared" si="0"/>
        <v>0</v>
      </c>
      <c r="R23" s="43" t="e">
        <f t="shared" si="1"/>
        <v>#DIV/0!</v>
      </c>
      <c r="S23" s="73"/>
      <c r="T23" s="73"/>
    </row>
    <row r="24" spans="1:20" ht="18.75" customHeight="1" x14ac:dyDescent="0.15">
      <c r="A24" s="36"/>
      <c r="B24" s="178"/>
      <c r="C24" s="179"/>
      <c r="D24" s="44"/>
      <c r="E24" s="45"/>
      <c r="F24" s="46"/>
      <c r="G24" s="47"/>
      <c r="H24" s="48"/>
      <c r="I24" s="45"/>
      <c r="J24" s="46"/>
      <c r="K24" s="47"/>
      <c r="L24" s="48"/>
      <c r="M24" s="45"/>
      <c r="N24" s="46"/>
      <c r="O24" s="47"/>
      <c r="P24" s="48"/>
      <c r="Q24" s="49">
        <f t="shared" si="0"/>
        <v>0</v>
      </c>
      <c r="R24" s="43" t="e">
        <f t="shared" si="1"/>
        <v>#DIV/0!</v>
      </c>
      <c r="S24" s="73"/>
      <c r="T24" s="73"/>
    </row>
    <row r="25" spans="1:20" ht="18.75" customHeight="1" x14ac:dyDescent="0.15">
      <c r="A25" s="36"/>
      <c r="B25" s="178"/>
      <c r="C25" s="179"/>
      <c r="D25" s="44"/>
      <c r="E25" s="45"/>
      <c r="F25" s="46"/>
      <c r="G25" s="47"/>
      <c r="H25" s="48"/>
      <c r="I25" s="45"/>
      <c r="J25" s="46"/>
      <c r="K25" s="47"/>
      <c r="L25" s="48"/>
      <c r="M25" s="45"/>
      <c r="N25" s="46"/>
      <c r="O25" s="47"/>
      <c r="P25" s="48"/>
      <c r="Q25" s="49">
        <f t="shared" si="0"/>
        <v>0</v>
      </c>
      <c r="R25" s="43" t="e">
        <f t="shared" si="1"/>
        <v>#DIV/0!</v>
      </c>
      <c r="S25" s="73"/>
      <c r="T25" s="73"/>
    </row>
    <row r="26" spans="1:20" ht="18.75" customHeight="1" x14ac:dyDescent="0.15">
      <c r="A26" s="36"/>
      <c r="B26" s="178"/>
      <c r="C26" s="179"/>
      <c r="D26" s="44"/>
      <c r="E26" s="45"/>
      <c r="F26" s="46"/>
      <c r="G26" s="47"/>
      <c r="H26" s="48"/>
      <c r="I26" s="45"/>
      <c r="J26" s="46"/>
      <c r="K26" s="47"/>
      <c r="L26" s="48"/>
      <c r="M26" s="45"/>
      <c r="N26" s="46"/>
      <c r="O26" s="47"/>
      <c r="P26" s="48"/>
      <c r="Q26" s="49">
        <f t="shared" si="0"/>
        <v>0</v>
      </c>
      <c r="R26" s="43" t="e">
        <f t="shared" si="1"/>
        <v>#DIV/0!</v>
      </c>
      <c r="S26" s="73"/>
      <c r="T26" s="73"/>
    </row>
    <row r="27" spans="1:20" ht="18.75" customHeight="1" thickBot="1" x14ac:dyDescent="0.2">
      <c r="A27" s="36"/>
      <c r="B27" s="176"/>
      <c r="C27" s="177"/>
      <c r="D27" s="37"/>
      <c r="E27" s="38"/>
      <c r="F27" s="39"/>
      <c r="G27" s="40"/>
      <c r="H27" s="41"/>
      <c r="I27" s="63"/>
      <c r="J27" s="64"/>
      <c r="K27" s="65"/>
      <c r="L27" s="66"/>
      <c r="M27" s="63"/>
      <c r="N27" s="64"/>
      <c r="O27" s="65"/>
      <c r="P27" s="66"/>
      <c r="Q27" s="50">
        <f t="shared" si="0"/>
        <v>0</v>
      </c>
      <c r="R27" s="43" t="e">
        <f t="shared" si="1"/>
        <v>#DIV/0!</v>
      </c>
      <c r="S27" s="73"/>
      <c r="T27" s="73"/>
    </row>
    <row r="28" spans="1:20" ht="18.75" customHeight="1" thickTop="1" x14ac:dyDescent="0.15">
      <c r="A28" s="36"/>
      <c r="B28" s="158" t="s">
        <v>67</v>
      </c>
      <c r="C28" s="159"/>
      <c r="D28" s="51">
        <f t="shared" ref="D28:Q28" si="2">SUM(D8:D27)</f>
        <v>1200</v>
      </c>
      <c r="E28" s="52">
        <f t="shared" si="2"/>
        <v>614</v>
      </c>
      <c r="F28" s="53">
        <f t="shared" si="2"/>
        <v>580</v>
      </c>
      <c r="G28" s="54">
        <f t="shared" si="2"/>
        <v>47</v>
      </c>
      <c r="H28" s="55">
        <f t="shared" si="2"/>
        <v>46</v>
      </c>
      <c r="I28" s="52">
        <f t="shared" si="2"/>
        <v>0</v>
      </c>
      <c r="J28" s="53">
        <f t="shared" si="2"/>
        <v>0</v>
      </c>
      <c r="K28" s="54">
        <f t="shared" si="2"/>
        <v>0</v>
      </c>
      <c r="L28" s="55">
        <f t="shared" si="2"/>
        <v>0</v>
      </c>
      <c r="M28" s="52">
        <f t="shared" si="2"/>
        <v>0</v>
      </c>
      <c r="N28" s="53">
        <f t="shared" si="2"/>
        <v>0</v>
      </c>
      <c r="O28" s="54">
        <f t="shared" si="2"/>
        <v>0</v>
      </c>
      <c r="P28" s="55">
        <f t="shared" si="2"/>
        <v>0</v>
      </c>
      <c r="Q28" s="56">
        <f t="shared" si="2"/>
        <v>661</v>
      </c>
      <c r="R28" s="57">
        <f>Q28/D28</f>
        <v>0.55083333333333329</v>
      </c>
    </row>
    <row r="29" spans="1:20" ht="6.75" customHeight="1" x14ac:dyDescent="0.15">
      <c r="A29" s="36"/>
      <c r="B29" s="36"/>
      <c r="C29" s="36"/>
      <c r="D29" s="58"/>
      <c r="E29" s="58"/>
      <c r="F29" s="58"/>
      <c r="G29" s="58"/>
      <c r="H29" s="58"/>
      <c r="I29" s="58"/>
      <c r="J29" s="58"/>
      <c r="K29" s="58"/>
      <c r="L29" s="58"/>
      <c r="M29" s="58"/>
      <c r="N29" s="58"/>
      <c r="O29" s="58"/>
      <c r="P29" s="58"/>
      <c r="Q29" s="58"/>
      <c r="R29" s="58"/>
    </row>
  </sheetData>
  <mergeCells count="35">
    <mergeCell ref="B8:C8"/>
    <mergeCell ref="B9:C9"/>
    <mergeCell ref="B10:C10"/>
    <mergeCell ref="B11:C11"/>
    <mergeCell ref="B12:C12"/>
    <mergeCell ref="B23:C23"/>
    <mergeCell ref="B24:C24"/>
    <mergeCell ref="B25:C25"/>
    <mergeCell ref="B26:C26"/>
    <mergeCell ref="B16:C16"/>
    <mergeCell ref="B19:C19"/>
    <mergeCell ref="B20:C20"/>
    <mergeCell ref="B21:C21"/>
    <mergeCell ref="B22:C22"/>
    <mergeCell ref="B13:C13"/>
    <mergeCell ref="B14:C14"/>
    <mergeCell ref="B15:C15"/>
    <mergeCell ref="B17:C17"/>
    <mergeCell ref="B18:C18"/>
    <mergeCell ref="B28:C28"/>
    <mergeCell ref="B6:C7"/>
    <mergeCell ref="F1:R1"/>
    <mergeCell ref="K2:L2"/>
    <mergeCell ref="D6:D7"/>
    <mergeCell ref="E6:F6"/>
    <mergeCell ref="G6:H6"/>
    <mergeCell ref="I6:J6"/>
    <mergeCell ref="K6:L6"/>
    <mergeCell ref="M6:N6"/>
    <mergeCell ref="O6:P6"/>
    <mergeCell ref="Q6:Q7"/>
    <mergeCell ref="R6:R7"/>
    <mergeCell ref="A4:R4"/>
    <mergeCell ref="M2:R2"/>
    <mergeCell ref="B27:C27"/>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view="pageBreakPreview" topLeftCell="A55" zoomScaleNormal="100" zoomScaleSheetLayoutView="100" workbookViewId="0">
      <selection activeCell="K57" sqref="K57:K58"/>
    </sheetView>
  </sheetViews>
  <sheetFormatPr defaultColWidth="9" defaultRowHeight="14.25" x14ac:dyDescent="0.15"/>
  <cols>
    <col min="1" max="1" width="2.875" style="9" customWidth="1"/>
    <col min="2" max="2" width="19" style="9" customWidth="1"/>
    <col min="3" max="3" width="25" style="9" customWidth="1"/>
    <col min="4" max="4" width="10" style="9" customWidth="1"/>
    <col min="5" max="7" width="25" style="9" customWidth="1"/>
    <col min="8" max="16384" width="9" style="9"/>
  </cols>
  <sheetData>
    <row r="1" spans="1:7" ht="18.75" customHeight="1" x14ac:dyDescent="0.15">
      <c r="G1" s="83" t="s">
        <v>159</v>
      </c>
    </row>
    <row r="2" spans="1:7" ht="18.75" customHeight="1" x14ac:dyDescent="0.15">
      <c r="F2" s="83" t="s">
        <v>75</v>
      </c>
      <c r="G2" s="9" t="s">
        <v>144</v>
      </c>
    </row>
    <row r="3" spans="1:7" ht="18.75" customHeight="1" x14ac:dyDescent="0.15">
      <c r="A3" s="140" t="s">
        <v>96</v>
      </c>
      <c r="B3" s="140"/>
      <c r="C3" s="140"/>
      <c r="D3" s="140"/>
      <c r="E3" s="140"/>
      <c r="F3" s="140"/>
      <c r="G3" s="140"/>
    </row>
    <row r="4" spans="1:7" ht="18.75" customHeight="1" x14ac:dyDescent="0.15">
      <c r="A4" s="9" t="s">
        <v>7</v>
      </c>
      <c r="B4" s="9" t="s">
        <v>95</v>
      </c>
    </row>
    <row r="5" spans="1:7" s="85" customFormat="1" ht="18.75" customHeight="1" x14ac:dyDescent="0.15">
      <c r="B5" s="86" t="s">
        <v>74</v>
      </c>
      <c r="C5" s="143" t="s">
        <v>108</v>
      </c>
      <c r="D5" s="144"/>
      <c r="E5" s="144"/>
      <c r="F5" s="144"/>
      <c r="G5" s="145"/>
    </row>
    <row r="6" spans="1:7" s="85" customFormat="1" ht="45" customHeight="1" x14ac:dyDescent="0.15">
      <c r="B6" s="196" t="s">
        <v>139</v>
      </c>
      <c r="C6" s="184" t="s">
        <v>184</v>
      </c>
      <c r="D6" s="185"/>
      <c r="E6" s="185"/>
      <c r="F6" s="185"/>
      <c r="G6" s="186"/>
    </row>
    <row r="7" spans="1:7" s="85" customFormat="1" ht="45" customHeight="1" x14ac:dyDescent="0.15">
      <c r="B7" s="197"/>
      <c r="C7" s="187"/>
      <c r="D7" s="188"/>
      <c r="E7" s="188"/>
      <c r="F7" s="188"/>
      <c r="G7" s="189"/>
    </row>
    <row r="8" spans="1:7" s="85" customFormat="1" ht="30.6" customHeight="1" x14ac:dyDescent="0.15">
      <c r="B8" s="197"/>
      <c r="C8" s="187"/>
      <c r="D8" s="188"/>
      <c r="E8" s="188"/>
      <c r="F8" s="188"/>
      <c r="G8" s="189"/>
    </row>
    <row r="9" spans="1:7" s="85" customFormat="1" hidden="1" x14ac:dyDescent="0.15">
      <c r="B9" s="197"/>
      <c r="C9" s="190"/>
      <c r="D9" s="191"/>
      <c r="E9" s="191"/>
      <c r="F9" s="191"/>
      <c r="G9" s="192"/>
    </row>
    <row r="10" spans="1:7" s="85" customFormat="1" ht="18.75" customHeight="1" x14ac:dyDescent="0.15">
      <c r="B10" s="197"/>
      <c r="C10" s="87"/>
      <c r="D10" s="127" t="s">
        <v>110</v>
      </c>
      <c r="E10" s="128"/>
      <c r="F10" s="128"/>
      <c r="G10" s="129"/>
    </row>
    <row r="11" spans="1:7" s="85" customFormat="1" ht="94.15" customHeight="1" x14ac:dyDescent="0.15">
      <c r="B11" s="197"/>
      <c r="C11" s="84" t="s">
        <v>136</v>
      </c>
      <c r="D11" s="216" t="s">
        <v>182</v>
      </c>
      <c r="E11" s="217"/>
      <c r="F11" s="217"/>
      <c r="G11" s="218"/>
    </row>
    <row r="12" spans="1:7" s="85" customFormat="1" ht="35.450000000000003" customHeight="1" x14ac:dyDescent="0.15">
      <c r="B12" s="197"/>
      <c r="C12" s="84" t="s">
        <v>135</v>
      </c>
      <c r="D12" s="216" t="s">
        <v>160</v>
      </c>
      <c r="E12" s="217"/>
      <c r="F12" s="217"/>
      <c r="G12" s="218"/>
    </row>
    <row r="13" spans="1:7" ht="18.75" customHeight="1" x14ac:dyDescent="0.15">
      <c r="B13" s="196" t="s">
        <v>111</v>
      </c>
      <c r="C13" s="143" t="s">
        <v>108</v>
      </c>
      <c r="D13" s="144"/>
      <c r="E13" s="144"/>
      <c r="F13" s="144"/>
      <c r="G13" s="145"/>
    </row>
    <row r="14" spans="1:7" ht="37.5" customHeight="1" x14ac:dyDescent="0.15">
      <c r="B14" s="197"/>
      <c r="C14" s="199" t="s">
        <v>185</v>
      </c>
      <c r="D14" s="200"/>
      <c r="E14" s="200"/>
      <c r="F14" s="200"/>
      <c r="G14" s="201"/>
    </row>
    <row r="15" spans="1:7" ht="37.5" customHeight="1" x14ac:dyDescent="0.15">
      <c r="B15" s="197"/>
      <c r="C15" s="202"/>
      <c r="D15" s="203"/>
      <c r="E15" s="203"/>
      <c r="F15" s="203"/>
      <c r="G15" s="204"/>
    </row>
    <row r="16" spans="1:7" ht="27.6" customHeight="1" x14ac:dyDescent="0.15">
      <c r="B16" s="197"/>
      <c r="C16" s="202"/>
      <c r="D16" s="203"/>
      <c r="E16" s="203"/>
      <c r="F16" s="203"/>
      <c r="G16" s="204"/>
    </row>
    <row r="17" spans="2:7" ht="37.15" hidden="1" customHeight="1" x14ac:dyDescent="0.15">
      <c r="B17" s="197"/>
      <c r="C17" s="202"/>
      <c r="D17" s="203"/>
      <c r="E17" s="203"/>
      <c r="F17" s="203"/>
      <c r="G17" s="204"/>
    </row>
    <row r="18" spans="2:7" ht="37.15" hidden="1" customHeight="1" x14ac:dyDescent="0.15">
      <c r="B18" s="197"/>
      <c r="C18" s="205"/>
      <c r="D18" s="206"/>
      <c r="E18" s="206"/>
      <c r="F18" s="206"/>
      <c r="G18" s="207"/>
    </row>
    <row r="19" spans="2:7" ht="18.75" customHeight="1" x14ac:dyDescent="0.15">
      <c r="B19" s="197"/>
      <c r="C19" s="87" t="s">
        <v>109</v>
      </c>
      <c r="D19" s="143" t="s">
        <v>110</v>
      </c>
      <c r="E19" s="144"/>
      <c r="F19" s="144"/>
      <c r="G19" s="145"/>
    </row>
    <row r="20" spans="2:7" ht="134.44999999999999" customHeight="1" x14ac:dyDescent="0.15">
      <c r="B20" s="197"/>
      <c r="C20" s="84" t="s">
        <v>136</v>
      </c>
      <c r="D20" s="216" t="s">
        <v>161</v>
      </c>
      <c r="E20" s="217"/>
      <c r="F20" s="217"/>
      <c r="G20" s="218"/>
    </row>
    <row r="21" spans="2:7" ht="96" customHeight="1" x14ac:dyDescent="0.15">
      <c r="B21" s="197"/>
      <c r="C21" s="84" t="s">
        <v>142</v>
      </c>
      <c r="D21" s="216" t="s">
        <v>162</v>
      </c>
      <c r="E21" s="217"/>
      <c r="F21" s="217"/>
      <c r="G21" s="218"/>
    </row>
    <row r="22" spans="2:7" ht="18.75" customHeight="1" x14ac:dyDescent="0.15">
      <c r="B22" s="196" t="s">
        <v>140</v>
      </c>
      <c r="C22" s="143" t="s">
        <v>108</v>
      </c>
      <c r="D22" s="144"/>
      <c r="E22" s="144"/>
      <c r="F22" s="144"/>
      <c r="G22" s="145"/>
    </row>
    <row r="23" spans="2:7" ht="37.5" customHeight="1" x14ac:dyDescent="0.15">
      <c r="B23" s="197"/>
      <c r="C23" s="184" t="s">
        <v>188</v>
      </c>
      <c r="D23" s="185"/>
      <c r="E23" s="185"/>
      <c r="F23" s="185"/>
      <c r="G23" s="186"/>
    </row>
    <row r="24" spans="2:7" ht="37.5" customHeight="1" x14ac:dyDescent="0.15">
      <c r="B24" s="197"/>
      <c r="C24" s="187"/>
      <c r="D24" s="188"/>
      <c r="E24" s="188"/>
      <c r="F24" s="188"/>
      <c r="G24" s="189"/>
    </row>
    <row r="25" spans="2:7" ht="20.45" customHeight="1" x14ac:dyDescent="0.15">
      <c r="B25" s="197"/>
      <c r="C25" s="187"/>
      <c r="D25" s="188"/>
      <c r="E25" s="188"/>
      <c r="F25" s="188"/>
      <c r="G25" s="189"/>
    </row>
    <row r="26" spans="2:7" ht="37.15" hidden="1" customHeight="1" x14ac:dyDescent="0.15">
      <c r="B26" s="197"/>
      <c r="C26" s="187"/>
      <c r="D26" s="188"/>
      <c r="E26" s="188"/>
      <c r="F26" s="188"/>
      <c r="G26" s="189"/>
    </row>
    <row r="27" spans="2:7" ht="10.9" customHeight="1" x14ac:dyDescent="0.15">
      <c r="B27" s="197"/>
      <c r="C27" s="190"/>
      <c r="D27" s="191"/>
      <c r="E27" s="191"/>
      <c r="F27" s="191"/>
      <c r="G27" s="192"/>
    </row>
    <row r="28" spans="2:7" ht="18.75" customHeight="1" x14ac:dyDescent="0.15">
      <c r="B28" s="197"/>
      <c r="C28" s="87" t="s">
        <v>109</v>
      </c>
      <c r="D28" s="143" t="s">
        <v>110</v>
      </c>
      <c r="E28" s="144"/>
      <c r="F28" s="144"/>
      <c r="G28" s="145"/>
    </row>
    <row r="29" spans="2:7" ht="60.6" customHeight="1" x14ac:dyDescent="0.15">
      <c r="B29" s="197"/>
      <c r="C29" s="84" t="s">
        <v>136</v>
      </c>
      <c r="D29" s="216" t="s">
        <v>163</v>
      </c>
      <c r="E29" s="217"/>
      <c r="F29" s="217"/>
      <c r="G29" s="218"/>
    </row>
    <row r="30" spans="2:7" ht="51.6" customHeight="1" x14ac:dyDescent="0.15">
      <c r="B30" s="198"/>
      <c r="C30" s="84" t="s">
        <v>135</v>
      </c>
      <c r="D30" s="216" t="s">
        <v>164</v>
      </c>
      <c r="E30" s="217"/>
      <c r="F30" s="217"/>
      <c r="G30" s="218"/>
    </row>
    <row r="31" spans="2:7" ht="18.75" customHeight="1" x14ac:dyDescent="0.15">
      <c r="B31" s="196" t="s">
        <v>141</v>
      </c>
      <c r="C31" s="143" t="s">
        <v>108</v>
      </c>
      <c r="D31" s="144"/>
      <c r="E31" s="144"/>
      <c r="F31" s="144"/>
      <c r="G31" s="145"/>
    </row>
    <row r="32" spans="2:7" ht="37.5" customHeight="1" x14ac:dyDescent="0.15">
      <c r="B32" s="197"/>
      <c r="C32" s="199" t="s">
        <v>186</v>
      </c>
      <c r="D32" s="200"/>
      <c r="E32" s="200"/>
      <c r="F32" s="200"/>
      <c r="G32" s="201"/>
    </row>
    <row r="33" spans="2:7" ht="37.5" customHeight="1" x14ac:dyDescent="0.15">
      <c r="B33" s="197"/>
      <c r="C33" s="202"/>
      <c r="D33" s="203"/>
      <c r="E33" s="203"/>
      <c r="F33" s="203"/>
      <c r="G33" s="204"/>
    </row>
    <row r="34" spans="2:7" ht="16.899999999999999" customHeight="1" x14ac:dyDescent="0.15">
      <c r="B34" s="197"/>
      <c r="C34" s="202"/>
      <c r="D34" s="203"/>
      <c r="E34" s="203"/>
      <c r="F34" s="203"/>
      <c r="G34" s="204"/>
    </row>
    <row r="35" spans="2:7" ht="37.15" hidden="1" customHeight="1" x14ac:dyDescent="0.15">
      <c r="B35" s="197"/>
      <c r="C35" s="202"/>
      <c r="D35" s="203"/>
      <c r="E35" s="203"/>
      <c r="F35" s="203"/>
      <c r="G35" s="204"/>
    </row>
    <row r="36" spans="2:7" ht="15.6" customHeight="1" x14ac:dyDescent="0.15">
      <c r="B36" s="197"/>
      <c r="C36" s="205"/>
      <c r="D36" s="206"/>
      <c r="E36" s="206"/>
      <c r="F36" s="206"/>
      <c r="G36" s="207"/>
    </row>
    <row r="37" spans="2:7" ht="19.149999999999999" customHeight="1" x14ac:dyDescent="0.15">
      <c r="B37" s="197"/>
      <c r="C37" s="87" t="s">
        <v>109</v>
      </c>
      <c r="D37" s="143" t="s">
        <v>110</v>
      </c>
      <c r="E37" s="144"/>
      <c r="F37" s="144"/>
      <c r="G37" s="145"/>
    </row>
    <row r="38" spans="2:7" ht="274.5" customHeight="1" x14ac:dyDescent="0.15">
      <c r="B38" s="197"/>
      <c r="C38" s="86" t="s">
        <v>132</v>
      </c>
      <c r="D38" s="216" t="s">
        <v>165</v>
      </c>
      <c r="E38" s="217"/>
      <c r="F38" s="217"/>
      <c r="G38" s="218"/>
    </row>
    <row r="39" spans="2:7" ht="66" customHeight="1" x14ac:dyDescent="0.15">
      <c r="B39" s="198"/>
      <c r="C39" s="86" t="s">
        <v>137</v>
      </c>
      <c r="D39" s="216" t="s">
        <v>166</v>
      </c>
      <c r="E39" s="217"/>
      <c r="F39" s="217"/>
      <c r="G39" s="218"/>
    </row>
    <row r="40" spans="2:7" ht="18.75" customHeight="1" x14ac:dyDescent="0.15">
      <c r="B40" s="196" t="s">
        <v>189</v>
      </c>
      <c r="C40" s="143" t="s">
        <v>108</v>
      </c>
      <c r="D40" s="144"/>
      <c r="E40" s="144"/>
      <c r="F40" s="144"/>
      <c r="G40" s="145"/>
    </row>
    <row r="41" spans="2:7" ht="37.5" customHeight="1" x14ac:dyDescent="0.15">
      <c r="B41" s="197"/>
      <c r="C41" s="199" t="s">
        <v>187</v>
      </c>
      <c r="D41" s="208"/>
      <c r="E41" s="208"/>
      <c r="F41" s="208"/>
      <c r="G41" s="209"/>
    </row>
    <row r="42" spans="2:7" ht="37.5" customHeight="1" x14ac:dyDescent="0.15">
      <c r="B42" s="197"/>
      <c r="C42" s="210"/>
      <c r="D42" s="211"/>
      <c r="E42" s="211"/>
      <c r="F42" s="211"/>
      <c r="G42" s="212"/>
    </row>
    <row r="43" spans="2:7" ht="13.9" customHeight="1" x14ac:dyDescent="0.15">
      <c r="B43" s="197"/>
      <c r="C43" s="210"/>
      <c r="D43" s="211"/>
      <c r="E43" s="211"/>
      <c r="F43" s="211"/>
      <c r="G43" s="212"/>
    </row>
    <row r="44" spans="2:7" ht="37.15" hidden="1" customHeight="1" x14ac:dyDescent="0.15">
      <c r="B44" s="197"/>
      <c r="C44" s="210"/>
      <c r="D44" s="211"/>
      <c r="E44" s="211"/>
      <c r="F44" s="211"/>
      <c r="G44" s="212"/>
    </row>
    <row r="45" spans="2:7" ht="37.15" hidden="1" customHeight="1" x14ac:dyDescent="0.15">
      <c r="B45" s="197"/>
      <c r="C45" s="213"/>
      <c r="D45" s="214"/>
      <c r="E45" s="214"/>
      <c r="F45" s="214"/>
      <c r="G45" s="215"/>
    </row>
    <row r="46" spans="2:7" ht="18.75" customHeight="1" x14ac:dyDescent="0.15">
      <c r="B46" s="197"/>
      <c r="C46" s="87" t="s">
        <v>109</v>
      </c>
      <c r="D46" s="143" t="s">
        <v>110</v>
      </c>
      <c r="E46" s="144"/>
      <c r="F46" s="144"/>
      <c r="G46" s="145"/>
    </row>
    <row r="47" spans="2:7" ht="99.6" customHeight="1" x14ac:dyDescent="0.15">
      <c r="B47" s="197"/>
      <c r="C47" s="86" t="s">
        <v>135</v>
      </c>
      <c r="D47" s="216" t="s">
        <v>190</v>
      </c>
      <c r="E47" s="217"/>
      <c r="F47" s="217"/>
      <c r="G47" s="218"/>
    </row>
    <row r="48" spans="2:7" ht="34.15" customHeight="1" x14ac:dyDescent="0.15">
      <c r="B48" s="197"/>
      <c r="C48" s="86" t="s">
        <v>137</v>
      </c>
      <c r="D48" s="216" t="s">
        <v>167</v>
      </c>
      <c r="E48" s="217"/>
      <c r="F48" s="217"/>
      <c r="G48" s="218"/>
    </row>
    <row r="49" spans="1:7" ht="63" customHeight="1" x14ac:dyDescent="0.15">
      <c r="B49" s="198"/>
      <c r="C49" s="86" t="s">
        <v>143</v>
      </c>
      <c r="D49" s="216" t="s">
        <v>168</v>
      </c>
      <c r="E49" s="217"/>
      <c r="F49" s="217"/>
      <c r="G49" s="218"/>
    </row>
    <row r="50" spans="1:7" ht="18.75" customHeight="1" x14ac:dyDescent="0.15">
      <c r="A50" s="9" t="s">
        <v>12</v>
      </c>
      <c r="B50" s="10" t="s">
        <v>106</v>
      </c>
    </row>
    <row r="51" spans="1:7" ht="22.5" customHeight="1" x14ac:dyDescent="0.15">
      <c r="B51" s="86" t="s">
        <v>74</v>
      </c>
      <c r="C51" s="143" t="s">
        <v>105</v>
      </c>
      <c r="D51" s="144"/>
      <c r="E51" s="144"/>
      <c r="F51" s="144"/>
      <c r="G51" s="145"/>
    </row>
    <row r="52" spans="1:7" ht="35.1" customHeight="1" x14ac:dyDescent="0.15">
      <c r="B52" s="88" t="s">
        <v>76</v>
      </c>
      <c r="C52" s="124"/>
      <c r="D52" s="125"/>
      <c r="E52" s="125"/>
      <c r="F52" s="125"/>
      <c r="G52" s="141"/>
    </row>
    <row r="53" spans="1:7" ht="35.1" customHeight="1" x14ac:dyDescent="0.15">
      <c r="B53" s="88" t="s">
        <v>77</v>
      </c>
      <c r="C53" s="124" t="s">
        <v>133</v>
      </c>
      <c r="D53" s="125"/>
      <c r="E53" s="125"/>
      <c r="F53" s="125"/>
      <c r="G53" s="141"/>
    </row>
    <row r="54" spans="1:7" ht="35.1" customHeight="1" x14ac:dyDescent="0.15">
      <c r="B54" s="88" t="s">
        <v>78</v>
      </c>
      <c r="C54" s="124" t="s">
        <v>133</v>
      </c>
      <c r="D54" s="125"/>
      <c r="E54" s="125"/>
      <c r="F54" s="125"/>
      <c r="G54" s="141"/>
    </row>
    <row r="55" spans="1:7" ht="35.1" customHeight="1" x14ac:dyDescent="0.15">
      <c r="B55" s="88" t="s">
        <v>79</v>
      </c>
      <c r="C55" s="124"/>
      <c r="D55" s="125"/>
      <c r="E55" s="125"/>
      <c r="F55" s="125"/>
      <c r="G55" s="141"/>
    </row>
    <row r="56" spans="1:7" ht="35.1" customHeight="1" x14ac:dyDescent="0.15">
      <c r="B56" s="88" t="s">
        <v>80</v>
      </c>
      <c r="C56" s="124"/>
      <c r="D56" s="125"/>
      <c r="E56" s="125"/>
      <c r="F56" s="125"/>
      <c r="G56" s="141"/>
    </row>
    <row r="57" spans="1:7" ht="35.1" customHeight="1" x14ac:dyDescent="0.15">
      <c r="B57" s="88" t="s">
        <v>81</v>
      </c>
      <c r="C57" s="124"/>
      <c r="D57" s="125"/>
      <c r="E57" s="125"/>
      <c r="F57" s="125"/>
      <c r="G57" s="141"/>
    </row>
    <row r="58" spans="1:7" ht="35.1" customHeight="1" x14ac:dyDescent="0.15">
      <c r="B58" s="88" t="s">
        <v>82</v>
      </c>
      <c r="C58" s="124" t="s">
        <v>135</v>
      </c>
      <c r="D58" s="125"/>
      <c r="E58" s="125"/>
      <c r="F58" s="125"/>
      <c r="G58" s="141"/>
    </row>
    <row r="59" spans="1:7" ht="35.1" customHeight="1" x14ac:dyDescent="0.15">
      <c r="B59" s="88" t="s">
        <v>83</v>
      </c>
      <c r="C59" s="124"/>
      <c r="D59" s="125"/>
      <c r="E59" s="125"/>
      <c r="F59" s="125"/>
      <c r="G59" s="141"/>
    </row>
    <row r="60" spans="1:7" ht="35.1" customHeight="1" x14ac:dyDescent="0.15">
      <c r="B60" s="88" t="s">
        <v>84</v>
      </c>
      <c r="C60" s="124"/>
      <c r="D60" s="125"/>
      <c r="E60" s="125"/>
      <c r="F60" s="125"/>
      <c r="G60" s="141"/>
    </row>
    <row r="61" spans="1:7" ht="7.5" customHeight="1" x14ac:dyDescent="0.15"/>
    <row r="62" spans="1:7" ht="18.75" customHeight="1" x14ac:dyDescent="0.15">
      <c r="A62" s="9" t="s">
        <v>99</v>
      </c>
      <c r="B62" s="9" t="s">
        <v>100</v>
      </c>
      <c r="E62" s="193" t="s">
        <v>200</v>
      </c>
      <c r="F62" s="194"/>
      <c r="G62" s="195"/>
    </row>
    <row r="63" spans="1:7" ht="7.5" customHeight="1" x14ac:dyDescent="0.15"/>
    <row r="64" spans="1:7" ht="18.75" customHeight="1" x14ac:dyDescent="0.15">
      <c r="A64" s="9" t="s">
        <v>101</v>
      </c>
      <c r="B64" s="9" t="s">
        <v>102</v>
      </c>
    </row>
    <row r="65" spans="2:7" ht="14.1" customHeight="1" x14ac:dyDescent="0.15">
      <c r="B65" s="149" t="s">
        <v>191</v>
      </c>
      <c r="C65" s="150"/>
      <c r="D65" s="150"/>
      <c r="E65" s="150"/>
      <c r="F65" s="150"/>
      <c r="G65" s="151"/>
    </row>
    <row r="66" spans="2:7" ht="14.1" customHeight="1" x14ac:dyDescent="0.15">
      <c r="B66" s="152"/>
      <c r="C66" s="153"/>
      <c r="D66" s="153"/>
      <c r="E66" s="153"/>
      <c r="F66" s="153"/>
      <c r="G66" s="154"/>
    </row>
    <row r="67" spans="2:7" ht="14.1" customHeight="1" x14ac:dyDescent="0.15">
      <c r="B67" s="152"/>
      <c r="C67" s="153"/>
      <c r="D67" s="153"/>
      <c r="E67" s="153"/>
      <c r="F67" s="153"/>
      <c r="G67" s="154"/>
    </row>
    <row r="68" spans="2:7" ht="14.1" customHeight="1" x14ac:dyDescent="0.15">
      <c r="B68" s="155"/>
      <c r="C68" s="156"/>
      <c r="D68" s="156"/>
      <c r="E68" s="156"/>
      <c r="F68" s="156"/>
      <c r="G68" s="157"/>
    </row>
    <row r="69" spans="2:7" ht="18.75" customHeight="1" x14ac:dyDescent="0.15"/>
    <row r="70" spans="2:7" ht="18.75" customHeight="1" x14ac:dyDescent="0.15"/>
    <row r="71" spans="2:7" ht="18.75" customHeight="1" x14ac:dyDescent="0.15"/>
    <row r="72" spans="2:7" ht="18.75" customHeight="1" x14ac:dyDescent="0.15"/>
    <row r="73" spans="2:7" ht="18.75" customHeight="1" x14ac:dyDescent="0.15"/>
    <row r="74" spans="2:7" ht="18.75" customHeight="1" x14ac:dyDescent="0.15"/>
  </sheetData>
  <mergeCells count="44">
    <mergeCell ref="D10:G10"/>
    <mergeCell ref="D11:G11"/>
    <mergeCell ref="D12:G12"/>
    <mergeCell ref="B22:B30"/>
    <mergeCell ref="C22:G22"/>
    <mergeCell ref="C23:G27"/>
    <mergeCell ref="D28:G28"/>
    <mergeCell ref="D29:G29"/>
    <mergeCell ref="D30:G30"/>
    <mergeCell ref="B13:B21"/>
    <mergeCell ref="C13:G13"/>
    <mergeCell ref="C14:G18"/>
    <mergeCell ref="D19:G19"/>
    <mergeCell ref="D20:G20"/>
    <mergeCell ref="D21:G21"/>
    <mergeCell ref="B31:B39"/>
    <mergeCell ref="C31:G31"/>
    <mergeCell ref="C32:G36"/>
    <mergeCell ref="D37:G37"/>
    <mergeCell ref="B40:B49"/>
    <mergeCell ref="C40:G40"/>
    <mergeCell ref="C41:G45"/>
    <mergeCell ref="D46:G46"/>
    <mergeCell ref="D38:G38"/>
    <mergeCell ref="D39:G39"/>
    <mergeCell ref="D47:G47"/>
    <mergeCell ref="D48:G48"/>
    <mergeCell ref="D49:G49"/>
    <mergeCell ref="A3:G3"/>
    <mergeCell ref="C5:G5"/>
    <mergeCell ref="C6:G9"/>
    <mergeCell ref="B65:G68"/>
    <mergeCell ref="E62:G62"/>
    <mergeCell ref="C51:G51"/>
    <mergeCell ref="C57:G57"/>
    <mergeCell ref="C58:G58"/>
    <mergeCell ref="C59:G59"/>
    <mergeCell ref="C60:G60"/>
    <mergeCell ref="C52:G52"/>
    <mergeCell ref="B6:B12"/>
    <mergeCell ref="C53:G53"/>
    <mergeCell ref="C54:G54"/>
    <mergeCell ref="C55:G55"/>
    <mergeCell ref="C56:G56"/>
  </mergeCells>
  <phoneticPr fontId="1"/>
  <hyperlinks>
    <hyperlink ref="E62" r:id="rId1"/>
  </hyperlinks>
  <printOptions horizontalCentered="1"/>
  <pageMargins left="0.78740157480314965" right="0.78740157480314965" top="0.59055118110236227" bottom="0.39370078740157483" header="0.31496062992125984" footer="0.31496062992125984"/>
  <pageSetup paperSize="9" scale="66" orientation="portrait" r:id="rId2"/>
  <rowBreaks count="1" manualBreakCount="1">
    <brk id="30"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9"/>
  <sheetViews>
    <sheetView showZeros="0" view="pageBreakPreview" zoomScaleNormal="100" zoomScaleSheetLayoutView="100" workbookViewId="0">
      <selection activeCell="T11" sqref="T11"/>
    </sheetView>
  </sheetViews>
  <sheetFormatPr defaultColWidth="11.375" defaultRowHeight="18.75" customHeight="1" x14ac:dyDescent="0.15"/>
  <cols>
    <col min="1" max="1" width="2.75" style="93" customWidth="1"/>
    <col min="2" max="2" width="54.25" style="9" customWidth="1"/>
    <col min="3" max="3" width="1.25" style="9" customWidth="1"/>
    <col min="4" max="4" width="22.5" style="9" customWidth="1"/>
    <col min="5" max="5" width="6.25" style="9" customWidth="1"/>
    <col min="6" max="16384" width="11.375" style="9"/>
  </cols>
  <sheetData>
    <row r="1" spans="1:11" ht="18.75" customHeight="1" x14ac:dyDescent="0.15">
      <c r="E1" s="90" t="s">
        <v>107</v>
      </c>
    </row>
    <row r="2" spans="1:11" ht="18.75" customHeight="1" x14ac:dyDescent="0.15">
      <c r="B2" s="90" t="s">
        <v>88</v>
      </c>
      <c r="C2" s="90" t="s">
        <v>8</v>
      </c>
      <c r="D2" s="146" t="s">
        <v>144</v>
      </c>
      <c r="E2" s="146"/>
    </row>
    <row r="3" spans="1:11" ht="7.5" customHeight="1" x14ac:dyDescent="0.15">
      <c r="B3" s="90"/>
      <c r="C3" s="90"/>
      <c r="D3" s="91"/>
      <c r="E3" s="91"/>
    </row>
    <row r="4" spans="1:11" ht="18.75" customHeight="1" x14ac:dyDescent="0.15">
      <c r="B4" s="140" t="s">
        <v>85</v>
      </c>
      <c r="C4" s="140"/>
      <c r="D4" s="140"/>
      <c r="E4" s="140"/>
    </row>
    <row r="5" spans="1:11" ht="7.5" customHeight="1" x14ac:dyDescent="0.15">
      <c r="B5" s="91"/>
      <c r="C5" s="91"/>
      <c r="D5" s="91"/>
      <c r="E5" s="91"/>
    </row>
    <row r="6" spans="1:11" ht="18.75" customHeight="1" x14ac:dyDescent="0.15">
      <c r="A6" s="13" t="s">
        <v>7</v>
      </c>
      <c r="B6" s="11" t="s">
        <v>98</v>
      </c>
      <c r="C6" s="91"/>
      <c r="D6" s="91"/>
      <c r="E6" s="91"/>
    </row>
    <row r="7" spans="1:11" ht="18.75" customHeight="1" x14ac:dyDescent="0.15">
      <c r="A7" s="13"/>
      <c r="B7" s="228" t="s">
        <v>175</v>
      </c>
      <c r="C7" s="194"/>
      <c r="D7" s="194"/>
      <c r="E7" s="195"/>
    </row>
    <row r="8" spans="1:11" ht="7.5" customHeight="1" x14ac:dyDescent="0.15">
      <c r="B8" s="91"/>
      <c r="C8" s="91"/>
      <c r="D8" s="91"/>
      <c r="E8" s="91"/>
    </row>
    <row r="9" spans="1:11" s="11" customFormat="1" ht="18.75" customHeight="1" x14ac:dyDescent="0.15">
      <c r="A9" s="13" t="s">
        <v>12</v>
      </c>
      <c r="B9" s="13" t="s">
        <v>46</v>
      </c>
      <c r="C9" s="13"/>
      <c r="D9" s="13"/>
      <c r="E9" s="13"/>
    </row>
    <row r="10" spans="1:11" s="10" customFormat="1" ht="24" customHeight="1" x14ac:dyDescent="0.15">
      <c r="A10" s="92"/>
      <c r="B10" s="219" t="s">
        <v>169</v>
      </c>
      <c r="C10" s="220"/>
      <c r="D10" s="220"/>
      <c r="E10" s="221"/>
      <c r="F10" s="238"/>
      <c r="G10" s="238"/>
      <c r="H10" s="238"/>
      <c r="I10" s="238"/>
      <c r="J10" s="238"/>
      <c r="K10" s="238"/>
    </row>
    <row r="11" spans="1:11" s="10" customFormat="1" ht="24" customHeight="1" x14ac:dyDescent="0.15">
      <c r="A11" s="92"/>
      <c r="B11" s="222"/>
      <c r="C11" s="223"/>
      <c r="D11" s="223"/>
      <c r="E11" s="224"/>
    </row>
    <row r="12" spans="1:11" s="10" customFormat="1" ht="24" customHeight="1" x14ac:dyDescent="0.15">
      <c r="A12" s="92"/>
      <c r="B12" s="222"/>
      <c r="C12" s="223"/>
      <c r="D12" s="223"/>
      <c r="E12" s="224"/>
    </row>
    <row r="13" spans="1:11" s="10" customFormat="1" ht="24" customHeight="1" x14ac:dyDescent="0.15">
      <c r="A13" s="92"/>
      <c r="B13" s="222"/>
      <c r="C13" s="223"/>
      <c r="D13" s="223"/>
      <c r="E13" s="224"/>
    </row>
    <row r="14" spans="1:11" s="10" customFormat="1" ht="24" customHeight="1" x14ac:dyDescent="0.15">
      <c r="A14" s="92"/>
      <c r="B14" s="225"/>
      <c r="C14" s="226"/>
      <c r="D14" s="226"/>
      <c r="E14" s="227"/>
    </row>
    <row r="15" spans="1:11" s="10" customFormat="1" ht="7.5" customHeight="1" x14ac:dyDescent="0.15">
      <c r="A15" s="92"/>
      <c r="B15" s="92"/>
      <c r="C15" s="92"/>
      <c r="D15" s="92"/>
      <c r="E15" s="92"/>
    </row>
    <row r="16" spans="1:11" s="11" customFormat="1" ht="18.75" customHeight="1" x14ac:dyDescent="0.15">
      <c r="A16" s="94" t="s">
        <v>13</v>
      </c>
      <c r="B16" s="94" t="s">
        <v>19</v>
      </c>
      <c r="C16" s="94"/>
      <c r="D16" s="94"/>
      <c r="E16" s="94"/>
    </row>
    <row r="17" spans="1:11" s="10" customFormat="1" ht="43.5" customHeight="1" x14ac:dyDescent="0.15">
      <c r="A17" s="92"/>
      <c r="B17" s="219" t="s">
        <v>181</v>
      </c>
      <c r="C17" s="220"/>
      <c r="D17" s="220"/>
      <c r="E17" s="221"/>
    </row>
    <row r="18" spans="1:11" s="10" customFormat="1" ht="43.5" customHeight="1" x14ac:dyDescent="0.15">
      <c r="A18" s="92"/>
      <c r="B18" s="222"/>
      <c r="C18" s="223"/>
      <c r="D18" s="223"/>
      <c r="E18" s="224"/>
    </row>
    <row r="19" spans="1:11" s="10" customFormat="1" ht="43.5" customHeight="1" x14ac:dyDescent="0.15">
      <c r="A19" s="92"/>
      <c r="B19" s="222"/>
      <c r="C19" s="223"/>
      <c r="D19" s="223"/>
      <c r="E19" s="224"/>
    </row>
    <row r="20" spans="1:11" s="10" customFormat="1" ht="43.5" customHeight="1" x14ac:dyDescent="0.15">
      <c r="A20" s="92"/>
      <c r="B20" s="222"/>
      <c r="C20" s="223"/>
      <c r="D20" s="223"/>
      <c r="E20" s="224"/>
    </row>
    <row r="21" spans="1:11" s="10" customFormat="1" ht="43.5" customHeight="1" x14ac:dyDescent="0.15">
      <c r="A21" s="92"/>
      <c r="B21" s="222"/>
      <c r="C21" s="223"/>
      <c r="D21" s="223"/>
      <c r="E21" s="224"/>
    </row>
    <row r="22" spans="1:11" s="10" customFormat="1" ht="43.5" customHeight="1" x14ac:dyDescent="0.15">
      <c r="A22" s="92"/>
      <c r="B22" s="222"/>
      <c r="C22" s="223"/>
      <c r="D22" s="223"/>
      <c r="E22" s="224"/>
    </row>
    <row r="23" spans="1:11" s="10" customFormat="1" ht="43.5" customHeight="1" x14ac:dyDescent="0.15">
      <c r="A23" s="92"/>
      <c r="B23" s="222"/>
      <c r="C23" s="223"/>
      <c r="D23" s="223"/>
      <c r="E23" s="224"/>
    </row>
    <row r="24" spans="1:11" s="10" customFormat="1" ht="43.5" customHeight="1" x14ac:dyDescent="0.15">
      <c r="A24" s="92"/>
      <c r="B24" s="222"/>
      <c r="C24" s="223"/>
      <c r="D24" s="223"/>
      <c r="E24" s="224"/>
    </row>
    <row r="25" spans="1:11" s="10" customFormat="1" ht="43.5" customHeight="1" x14ac:dyDescent="0.15">
      <c r="A25" s="92"/>
      <c r="B25" s="222"/>
      <c r="C25" s="223"/>
      <c r="D25" s="223"/>
      <c r="E25" s="224"/>
    </row>
    <row r="26" spans="1:11" s="10" customFormat="1" ht="43.5" customHeight="1" x14ac:dyDescent="0.15">
      <c r="A26" s="92"/>
      <c r="B26" s="222"/>
      <c r="C26" s="223"/>
      <c r="D26" s="223"/>
      <c r="E26" s="224"/>
    </row>
    <row r="27" spans="1:11" s="10" customFormat="1" ht="43.5" customHeight="1" x14ac:dyDescent="0.15">
      <c r="A27" s="92"/>
      <c r="B27" s="222"/>
      <c r="C27" s="223"/>
      <c r="D27" s="223"/>
      <c r="E27" s="224"/>
    </row>
    <row r="28" spans="1:11" s="10" customFormat="1" ht="43.5" customHeight="1" x14ac:dyDescent="0.15">
      <c r="A28" s="92"/>
      <c r="B28" s="225"/>
      <c r="C28" s="226"/>
      <c r="D28" s="226"/>
      <c r="E28" s="227"/>
    </row>
    <row r="29" spans="1:11" ht="7.5" customHeight="1" x14ac:dyDescent="0.15">
      <c r="A29" s="95"/>
      <c r="B29" s="95"/>
      <c r="C29" s="95"/>
      <c r="D29" s="95"/>
      <c r="E29" s="95"/>
    </row>
    <row r="30" spans="1:11" s="11" customFormat="1" ht="18.75" customHeight="1" x14ac:dyDescent="0.15">
      <c r="A30" s="13" t="s">
        <v>17</v>
      </c>
      <c r="B30" s="13" t="s">
        <v>30</v>
      </c>
      <c r="C30" s="13"/>
      <c r="D30" s="13"/>
      <c r="E30" s="13"/>
    </row>
    <row r="31" spans="1:11" s="11" customFormat="1" ht="45" customHeight="1" x14ac:dyDescent="0.15">
      <c r="A31" s="13"/>
      <c r="B31" s="229" t="s">
        <v>192</v>
      </c>
      <c r="C31" s="230"/>
      <c r="D31" s="230"/>
      <c r="E31" s="231"/>
    </row>
    <row r="32" spans="1:11" s="11" customFormat="1" ht="45" customHeight="1" x14ac:dyDescent="0.15">
      <c r="A32" s="13"/>
      <c r="B32" s="232"/>
      <c r="C32" s="233"/>
      <c r="D32" s="233"/>
      <c r="E32" s="234"/>
      <c r="F32" s="238"/>
      <c r="G32" s="238"/>
      <c r="H32" s="238"/>
      <c r="I32" s="238"/>
      <c r="J32" s="238"/>
      <c r="K32" s="238"/>
    </row>
    <row r="33" spans="1:11" s="11" customFormat="1" ht="45" customHeight="1" x14ac:dyDescent="0.15">
      <c r="A33" s="13"/>
      <c r="B33" s="232"/>
      <c r="C33" s="233"/>
      <c r="D33" s="233"/>
      <c r="E33" s="234"/>
    </row>
    <row r="34" spans="1:11" s="11" customFormat="1" ht="45" customHeight="1" x14ac:dyDescent="0.15">
      <c r="A34" s="13"/>
      <c r="B34" s="232"/>
      <c r="C34" s="233"/>
      <c r="D34" s="233"/>
      <c r="E34" s="234"/>
    </row>
    <row r="35" spans="1:11" s="11" customFormat="1" ht="45" customHeight="1" x14ac:dyDescent="0.15">
      <c r="A35" s="13"/>
      <c r="B35" s="232"/>
      <c r="C35" s="233"/>
      <c r="D35" s="233"/>
      <c r="E35" s="234"/>
    </row>
    <row r="36" spans="1:11" s="11" customFormat="1" ht="45" customHeight="1" x14ac:dyDescent="0.15">
      <c r="A36" s="13"/>
      <c r="B36" s="232"/>
      <c r="C36" s="233"/>
      <c r="D36" s="233"/>
      <c r="E36" s="234"/>
    </row>
    <row r="37" spans="1:11" s="11" customFormat="1" ht="45" customHeight="1" x14ac:dyDescent="0.15">
      <c r="A37" s="13"/>
      <c r="B37" s="232"/>
      <c r="C37" s="233"/>
      <c r="D37" s="233"/>
      <c r="E37" s="234"/>
    </row>
    <row r="38" spans="1:11" s="11" customFormat="1" ht="45" customHeight="1" x14ac:dyDescent="0.15">
      <c r="A38" s="13"/>
      <c r="B38" s="232"/>
      <c r="C38" s="233"/>
      <c r="D38" s="233"/>
      <c r="E38" s="234"/>
    </row>
    <row r="39" spans="1:11" s="11" customFormat="1" ht="45" customHeight="1" x14ac:dyDescent="0.15">
      <c r="A39" s="13"/>
      <c r="B39" s="232"/>
      <c r="C39" s="233"/>
      <c r="D39" s="233"/>
      <c r="E39" s="234"/>
    </row>
    <row r="40" spans="1:11" ht="45" customHeight="1" x14ac:dyDescent="0.15">
      <c r="A40" s="95"/>
      <c r="B40" s="232"/>
      <c r="C40" s="233"/>
      <c r="D40" s="233"/>
      <c r="E40" s="234"/>
    </row>
    <row r="41" spans="1:11" ht="45" customHeight="1" x14ac:dyDescent="0.15">
      <c r="A41" s="95"/>
      <c r="B41" s="235"/>
      <c r="C41" s="236"/>
      <c r="D41" s="236"/>
      <c r="E41" s="237"/>
    </row>
    <row r="42" spans="1:11" s="11" customFormat="1" ht="18.75" customHeight="1" x14ac:dyDescent="0.15">
      <c r="A42" s="94" t="s">
        <v>14</v>
      </c>
      <c r="B42" s="13" t="s">
        <v>86</v>
      </c>
      <c r="C42" s="94"/>
      <c r="D42" s="94"/>
      <c r="E42" s="94"/>
    </row>
    <row r="43" spans="1:11" ht="18.75" customHeight="1" x14ac:dyDescent="0.15">
      <c r="A43" s="95"/>
      <c r="B43" s="229" t="s">
        <v>193</v>
      </c>
      <c r="C43" s="230"/>
      <c r="D43" s="230"/>
      <c r="E43" s="231"/>
    </row>
    <row r="44" spans="1:11" ht="18.75" customHeight="1" x14ac:dyDescent="0.15">
      <c r="A44" s="95"/>
      <c r="B44" s="232"/>
      <c r="C44" s="233"/>
      <c r="D44" s="233"/>
      <c r="E44" s="234"/>
      <c r="F44" s="238"/>
      <c r="G44" s="238"/>
      <c r="H44" s="238"/>
      <c r="I44" s="238"/>
      <c r="J44" s="238"/>
      <c r="K44" s="238"/>
    </row>
    <row r="45" spans="1:11" ht="18.75" customHeight="1" x14ac:dyDescent="0.15">
      <c r="A45" s="95"/>
      <c r="B45" s="232"/>
      <c r="C45" s="233"/>
      <c r="D45" s="233"/>
      <c r="E45" s="234"/>
    </row>
    <row r="46" spans="1:11" ht="18.75" customHeight="1" x14ac:dyDescent="0.15">
      <c r="A46" s="95"/>
      <c r="B46" s="232"/>
      <c r="C46" s="233"/>
      <c r="D46" s="233"/>
      <c r="E46" s="234"/>
    </row>
    <row r="47" spans="1:11" ht="18.75" customHeight="1" x14ac:dyDescent="0.15">
      <c r="A47" s="95"/>
      <c r="B47" s="232"/>
      <c r="C47" s="233"/>
      <c r="D47" s="233"/>
      <c r="E47" s="234"/>
    </row>
    <row r="48" spans="1:11" ht="18.75" customHeight="1" x14ac:dyDescent="0.15">
      <c r="A48" s="95"/>
      <c r="B48" s="232"/>
      <c r="C48" s="233"/>
      <c r="D48" s="233"/>
      <c r="E48" s="234"/>
    </row>
    <row r="49" spans="1:11" ht="18.75" customHeight="1" x14ac:dyDescent="0.15">
      <c r="A49" s="95"/>
      <c r="B49" s="232"/>
      <c r="C49" s="233"/>
      <c r="D49" s="233"/>
      <c r="E49" s="234"/>
    </row>
    <row r="50" spans="1:11" ht="18.75" customHeight="1" x14ac:dyDescent="0.15">
      <c r="A50" s="95"/>
      <c r="B50" s="232"/>
      <c r="C50" s="233"/>
      <c r="D50" s="233"/>
      <c r="E50" s="234"/>
    </row>
    <row r="51" spans="1:11" ht="18.75" customHeight="1" x14ac:dyDescent="0.15">
      <c r="A51" s="95"/>
      <c r="B51" s="232"/>
      <c r="C51" s="233"/>
      <c r="D51" s="233"/>
      <c r="E51" s="234"/>
    </row>
    <row r="52" spans="1:11" ht="18.75" customHeight="1" x14ac:dyDescent="0.15">
      <c r="A52" s="95"/>
      <c r="B52" s="232"/>
      <c r="C52" s="233"/>
      <c r="D52" s="233"/>
      <c r="E52" s="234"/>
    </row>
    <row r="53" spans="1:11" ht="18.75" customHeight="1" x14ac:dyDescent="0.15">
      <c r="A53" s="95"/>
      <c r="B53" s="235"/>
      <c r="C53" s="236"/>
      <c r="D53" s="236"/>
      <c r="E53" s="237"/>
    </row>
    <row r="54" spans="1:11" ht="7.5" customHeight="1" x14ac:dyDescent="0.15">
      <c r="A54" s="95"/>
      <c r="B54" s="95"/>
      <c r="C54" s="95"/>
      <c r="D54" s="95"/>
      <c r="E54" s="95"/>
    </row>
    <row r="55" spans="1:11" s="11" customFormat="1" ht="18.75" customHeight="1" x14ac:dyDescent="0.15">
      <c r="A55" s="13" t="s">
        <v>18</v>
      </c>
      <c r="B55" s="13" t="s">
        <v>97</v>
      </c>
      <c r="C55" s="13"/>
      <c r="D55" s="13"/>
      <c r="E55" s="13"/>
    </row>
    <row r="56" spans="1:11" s="11" customFormat="1" ht="18.75" customHeight="1" x14ac:dyDescent="0.15">
      <c r="A56" s="13"/>
      <c r="B56" s="229" t="s">
        <v>194</v>
      </c>
      <c r="C56" s="230"/>
      <c r="D56" s="230"/>
      <c r="E56" s="231"/>
    </row>
    <row r="57" spans="1:11" s="11" customFormat="1" ht="18.75" customHeight="1" x14ac:dyDescent="0.15">
      <c r="A57" s="13"/>
      <c r="B57" s="232"/>
      <c r="C57" s="233"/>
      <c r="D57" s="233"/>
      <c r="E57" s="234"/>
      <c r="F57" s="238"/>
      <c r="G57" s="238"/>
      <c r="H57" s="238"/>
      <c r="I57" s="238"/>
      <c r="J57" s="238"/>
      <c r="K57" s="238"/>
    </row>
    <row r="58" spans="1:11" s="11" customFormat="1" ht="18.75" customHeight="1" x14ac:dyDescent="0.15">
      <c r="A58" s="13"/>
      <c r="B58" s="232"/>
      <c r="C58" s="233"/>
      <c r="D58" s="233"/>
      <c r="E58" s="234"/>
    </row>
    <row r="59" spans="1:11" s="11" customFormat="1" ht="18.75" customHeight="1" x14ac:dyDescent="0.15">
      <c r="A59" s="13"/>
      <c r="B59" s="232"/>
      <c r="C59" s="233"/>
      <c r="D59" s="233"/>
      <c r="E59" s="234"/>
    </row>
    <row r="60" spans="1:11" s="11" customFormat="1" ht="18.75" customHeight="1" x14ac:dyDescent="0.15">
      <c r="A60" s="13"/>
      <c r="B60" s="232"/>
      <c r="C60" s="233"/>
      <c r="D60" s="233"/>
      <c r="E60" s="234"/>
    </row>
    <row r="61" spans="1:11" s="11" customFormat="1" ht="18.75" customHeight="1" x14ac:dyDescent="0.15">
      <c r="A61" s="13"/>
      <c r="B61" s="232"/>
      <c r="C61" s="233"/>
      <c r="D61" s="233"/>
      <c r="E61" s="234"/>
    </row>
    <row r="62" spans="1:11" s="11" customFormat="1" ht="18.75" customHeight="1" x14ac:dyDescent="0.15">
      <c r="A62" s="13"/>
      <c r="B62" s="232"/>
      <c r="C62" s="233"/>
      <c r="D62" s="233"/>
      <c r="E62" s="234"/>
    </row>
    <row r="63" spans="1:11" s="11" customFormat="1" ht="18.75" customHeight="1" x14ac:dyDescent="0.15">
      <c r="A63" s="13"/>
      <c r="B63" s="232"/>
      <c r="C63" s="233"/>
      <c r="D63" s="233"/>
      <c r="E63" s="234"/>
    </row>
    <row r="64" spans="1:11" s="11" customFormat="1" ht="18.75" customHeight="1" x14ac:dyDescent="0.15">
      <c r="A64" s="13"/>
      <c r="B64" s="232"/>
      <c r="C64" s="233"/>
      <c r="D64" s="233"/>
      <c r="E64" s="234"/>
    </row>
    <row r="65" spans="1:11" ht="18.75" customHeight="1" x14ac:dyDescent="0.15">
      <c r="A65" s="95"/>
      <c r="B65" s="232"/>
      <c r="C65" s="233"/>
      <c r="D65" s="233"/>
      <c r="E65" s="234"/>
    </row>
    <row r="66" spans="1:11" ht="18.75" customHeight="1" x14ac:dyDescent="0.15">
      <c r="A66" s="95"/>
      <c r="B66" s="235"/>
      <c r="C66" s="236"/>
      <c r="D66" s="236"/>
      <c r="E66" s="237"/>
    </row>
    <row r="67" spans="1:11" ht="7.5" customHeight="1" x14ac:dyDescent="0.15">
      <c r="A67" s="95"/>
      <c r="B67" s="95"/>
      <c r="C67" s="95"/>
      <c r="D67" s="95"/>
      <c r="E67" s="95"/>
    </row>
    <row r="68" spans="1:11" s="11" customFormat="1" ht="18.75" customHeight="1" x14ac:dyDescent="0.15">
      <c r="A68" s="13" t="s">
        <v>15</v>
      </c>
      <c r="B68" s="13" t="s">
        <v>34</v>
      </c>
      <c r="C68" s="13"/>
      <c r="D68" s="13"/>
      <c r="E68" s="13"/>
    </row>
    <row r="69" spans="1:11" s="11" customFormat="1" ht="18.75" customHeight="1" x14ac:dyDescent="0.15">
      <c r="A69" s="13"/>
      <c r="B69" s="229" t="s">
        <v>195</v>
      </c>
      <c r="C69" s="230"/>
      <c r="D69" s="230"/>
      <c r="E69" s="231"/>
    </row>
    <row r="70" spans="1:11" s="11" customFormat="1" ht="18.75" customHeight="1" x14ac:dyDescent="0.15">
      <c r="A70" s="13"/>
      <c r="B70" s="232"/>
      <c r="C70" s="233"/>
      <c r="D70" s="233"/>
      <c r="E70" s="234"/>
      <c r="F70" s="238"/>
      <c r="G70" s="238"/>
      <c r="H70" s="238"/>
      <c r="I70" s="238"/>
      <c r="J70" s="238"/>
      <c r="K70" s="238"/>
    </row>
    <row r="71" spans="1:11" s="11" customFormat="1" ht="18.75" customHeight="1" x14ac:dyDescent="0.15">
      <c r="A71" s="13"/>
      <c r="B71" s="232"/>
      <c r="C71" s="233"/>
      <c r="D71" s="233"/>
      <c r="E71" s="234"/>
    </row>
    <row r="72" spans="1:11" s="11" customFormat="1" ht="18.75" customHeight="1" x14ac:dyDescent="0.15">
      <c r="A72" s="13"/>
      <c r="B72" s="232"/>
      <c r="C72" s="233"/>
      <c r="D72" s="233"/>
      <c r="E72" s="234"/>
    </row>
    <row r="73" spans="1:11" s="11" customFormat="1" ht="18.75" customHeight="1" x14ac:dyDescent="0.15">
      <c r="A73" s="13"/>
      <c r="B73" s="232"/>
      <c r="C73" s="233"/>
      <c r="D73" s="233"/>
      <c r="E73" s="234"/>
    </row>
    <row r="74" spans="1:11" s="11" customFormat="1" ht="18.75" customHeight="1" x14ac:dyDescent="0.15">
      <c r="A74" s="13"/>
      <c r="B74" s="232"/>
      <c r="C74" s="233"/>
      <c r="D74" s="233"/>
      <c r="E74" s="234"/>
    </row>
    <row r="75" spans="1:11" s="11" customFormat="1" ht="18.75" customHeight="1" x14ac:dyDescent="0.15">
      <c r="A75" s="13"/>
      <c r="B75" s="232"/>
      <c r="C75" s="233"/>
      <c r="D75" s="233"/>
      <c r="E75" s="234"/>
    </row>
    <row r="76" spans="1:11" s="11" customFormat="1" ht="18.75" customHeight="1" x14ac:dyDescent="0.15">
      <c r="A76" s="13"/>
      <c r="B76" s="232"/>
      <c r="C76" s="233"/>
      <c r="D76" s="233"/>
      <c r="E76" s="234"/>
    </row>
    <row r="77" spans="1:11" s="11" customFormat="1" ht="18.75" customHeight="1" x14ac:dyDescent="0.15">
      <c r="A77" s="13"/>
      <c r="B77" s="232"/>
      <c r="C77" s="233"/>
      <c r="D77" s="233"/>
      <c r="E77" s="234"/>
    </row>
    <row r="78" spans="1:11" s="11" customFormat="1" ht="18.75" customHeight="1" x14ac:dyDescent="0.15">
      <c r="A78" s="13"/>
      <c r="B78" s="232"/>
      <c r="C78" s="233"/>
      <c r="D78" s="233"/>
      <c r="E78" s="234"/>
    </row>
    <row r="79" spans="1:11" ht="18.75" customHeight="1" x14ac:dyDescent="0.15">
      <c r="A79" s="95"/>
      <c r="B79" s="232"/>
      <c r="C79" s="233"/>
      <c r="D79" s="233"/>
      <c r="E79" s="234"/>
    </row>
    <row r="80" spans="1:11" ht="18.75" customHeight="1" x14ac:dyDescent="0.15">
      <c r="A80" s="95"/>
      <c r="B80" s="235"/>
      <c r="C80" s="236"/>
      <c r="D80" s="236"/>
      <c r="E80" s="237"/>
    </row>
    <row r="81" spans="1:11" ht="7.5" customHeight="1" x14ac:dyDescent="0.15">
      <c r="A81" s="95"/>
      <c r="B81" s="95"/>
      <c r="C81" s="95"/>
      <c r="D81" s="95"/>
      <c r="E81" s="95"/>
    </row>
    <row r="82" spans="1:11" s="11" customFormat="1" ht="18.75" customHeight="1" x14ac:dyDescent="0.15">
      <c r="A82" s="13" t="s">
        <v>62</v>
      </c>
      <c r="B82" s="239" t="s">
        <v>130</v>
      </c>
      <c r="C82" s="239"/>
      <c r="D82" s="239"/>
      <c r="E82" s="239"/>
    </row>
    <row r="83" spans="1:11" ht="18.75" customHeight="1" x14ac:dyDescent="0.15">
      <c r="A83" s="95"/>
      <c r="B83" s="229" t="s">
        <v>177</v>
      </c>
      <c r="C83" s="230"/>
      <c r="D83" s="230"/>
      <c r="E83" s="231"/>
    </row>
    <row r="84" spans="1:11" ht="18.75" customHeight="1" x14ac:dyDescent="0.15">
      <c r="A84" s="95"/>
      <c r="B84" s="232"/>
      <c r="C84" s="233"/>
      <c r="D84" s="233"/>
      <c r="E84" s="234"/>
      <c r="F84" s="238"/>
      <c r="G84" s="238"/>
      <c r="H84" s="238"/>
      <c r="I84" s="238"/>
      <c r="J84" s="238"/>
      <c r="K84" s="238"/>
    </row>
    <row r="85" spans="1:11" ht="18.75" customHeight="1" x14ac:dyDescent="0.15">
      <c r="A85" s="95"/>
      <c r="B85" s="232"/>
      <c r="C85" s="233"/>
      <c r="D85" s="233"/>
      <c r="E85" s="234"/>
    </row>
    <row r="86" spans="1:11" ht="18.75" customHeight="1" x14ac:dyDescent="0.15">
      <c r="A86" s="95"/>
      <c r="B86" s="232"/>
      <c r="C86" s="233"/>
      <c r="D86" s="233"/>
      <c r="E86" s="234"/>
    </row>
    <row r="87" spans="1:11" ht="18.75" customHeight="1" x14ac:dyDescent="0.15">
      <c r="A87" s="95"/>
      <c r="B87" s="232"/>
      <c r="C87" s="233"/>
      <c r="D87" s="233"/>
      <c r="E87" s="234"/>
    </row>
    <row r="88" spans="1:11" ht="18.75" customHeight="1" x14ac:dyDescent="0.15">
      <c r="A88" s="95"/>
      <c r="B88" s="232"/>
      <c r="C88" s="233"/>
      <c r="D88" s="233"/>
      <c r="E88" s="234"/>
    </row>
    <row r="89" spans="1:11" ht="18.75" customHeight="1" x14ac:dyDescent="0.15">
      <c r="A89" s="95"/>
      <c r="B89" s="232"/>
      <c r="C89" s="233"/>
      <c r="D89" s="233"/>
      <c r="E89" s="234"/>
    </row>
    <row r="90" spans="1:11" ht="18.75" customHeight="1" x14ac:dyDescent="0.15">
      <c r="A90" s="95"/>
      <c r="B90" s="232"/>
      <c r="C90" s="233"/>
      <c r="D90" s="233"/>
      <c r="E90" s="234"/>
    </row>
    <row r="91" spans="1:11" ht="18.75" customHeight="1" x14ac:dyDescent="0.15">
      <c r="A91" s="95"/>
      <c r="B91" s="232"/>
      <c r="C91" s="233"/>
      <c r="D91" s="233"/>
      <c r="E91" s="234"/>
    </row>
    <row r="92" spans="1:11" ht="18.75" customHeight="1" x14ac:dyDescent="0.15">
      <c r="A92" s="95"/>
      <c r="B92" s="232"/>
      <c r="C92" s="233"/>
      <c r="D92" s="233"/>
      <c r="E92" s="234"/>
    </row>
    <row r="93" spans="1:11" ht="18.75" customHeight="1" x14ac:dyDescent="0.15">
      <c r="A93" s="95"/>
      <c r="B93" s="232"/>
      <c r="C93" s="233"/>
      <c r="D93" s="233"/>
      <c r="E93" s="234"/>
    </row>
    <row r="94" spans="1:11" ht="18.75" customHeight="1" x14ac:dyDescent="0.15">
      <c r="A94" s="95"/>
      <c r="B94" s="235"/>
      <c r="C94" s="236"/>
      <c r="D94" s="236"/>
      <c r="E94" s="237"/>
    </row>
    <row r="95" spans="1:11" ht="7.5" customHeight="1" x14ac:dyDescent="0.15">
      <c r="A95" s="95"/>
      <c r="B95" s="96" t="s">
        <v>176</v>
      </c>
      <c r="C95" s="96"/>
      <c r="D95" s="96"/>
      <c r="E95" s="96"/>
    </row>
    <row r="96" spans="1:11" ht="18.75" customHeight="1" x14ac:dyDescent="0.15">
      <c r="A96" s="95"/>
      <c r="B96" s="95"/>
      <c r="C96" s="95"/>
      <c r="D96" s="95"/>
      <c r="E96" s="95"/>
    </row>
    <row r="97" spans="1:5" ht="18.75" customHeight="1" x14ac:dyDescent="0.15">
      <c r="A97" s="95"/>
      <c r="B97" s="95"/>
      <c r="C97" s="95"/>
      <c r="D97" s="95"/>
      <c r="E97" s="95"/>
    </row>
    <row r="98" spans="1:5" ht="18.75" customHeight="1" x14ac:dyDescent="0.15">
      <c r="A98" s="95"/>
      <c r="B98" s="95"/>
      <c r="C98" s="95"/>
      <c r="D98" s="95"/>
      <c r="E98" s="95"/>
    </row>
    <row r="99" spans="1:5" ht="18.75" customHeight="1" x14ac:dyDescent="0.15">
      <c r="A99" s="95"/>
      <c r="B99" s="95"/>
      <c r="C99" s="95"/>
      <c r="D99" s="95"/>
      <c r="E99" s="95"/>
    </row>
    <row r="100" spans="1:5" ht="18.75" customHeight="1" x14ac:dyDescent="0.15">
      <c r="A100" s="95"/>
      <c r="B100" s="95"/>
      <c r="C100" s="95"/>
      <c r="D100" s="95"/>
      <c r="E100" s="95"/>
    </row>
    <row r="101" spans="1:5" ht="18.75" customHeight="1" x14ac:dyDescent="0.15">
      <c r="A101" s="95"/>
      <c r="B101" s="95"/>
      <c r="C101" s="95"/>
      <c r="D101" s="95"/>
      <c r="E101" s="95"/>
    </row>
    <row r="102" spans="1:5" ht="18.75" customHeight="1" x14ac:dyDescent="0.15">
      <c r="A102" s="95"/>
      <c r="B102" s="95"/>
      <c r="C102" s="95"/>
      <c r="D102" s="95"/>
      <c r="E102" s="95"/>
    </row>
    <row r="103" spans="1:5" ht="18.75" customHeight="1" x14ac:dyDescent="0.15">
      <c r="A103" s="95"/>
      <c r="B103" s="95"/>
      <c r="C103" s="95"/>
      <c r="D103" s="95"/>
      <c r="E103" s="95"/>
    </row>
    <row r="104" spans="1:5" ht="18.75" customHeight="1" x14ac:dyDescent="0.15">
      <c r="A104" s="95"/>
      <c r="B104" s="95"/>
      <c r="C104" s="95"/>
      <c r="D104" s="95"/>
      <c r="E104" s="95"/>
    </row>
    <row r="105" spans="1:5" ht="18.75" customHeight="1" x14ac:dyDescent="0.15">
      <c r="A105" s="95"/>
      <c r="B105" s="95"/>
      <c r="C105" s="95"/>
      <c r="D105" s="95"/>
      <c r="E105" s="95"/>
    </row>
    <row r="106" spans="1:5" ht="18.75" customHeight="1" x14ac:dyDescent="0.15">
      <c r="A106" s="95"/>
      <c r="B106" s="95"/>
      <c r="C106" s="95"/>
      <c r="D106" s="95"/>
      <c r="E106" s="95"/>
    </row>
    <row r="107" spans="1:5" ht="18.75" customHeight="1" x14ac:dyDescent="0.15">
      <c r="A107" s="95"/>
      <c r="B107" s="95"/>
      <c r="C107" s="95"/>
      <c r="D107" s="95"/>
      <c r="E107" s="95"/>
    </row>
    <row r="108" spans="1:5" ht="14.25" x14ac:dyDescent="0.15">
      <c r="A108" s="95"/>
      <c r="B108" s="95"/>
      <c r="C108" s="95"/>
      <c r="D108" s="95"/>
      <c r="E108" s="95"/>
    </row>
    <row r="109" spans="1:5" ht="7.5" customHeight="1" x14ac:dyDescent="0.15">
      <c r="A109" s="97"/>
      <c r="B109" s="97"/>
      <c r="C109" s="97"/>
      <c r="D109" s="97"/>
      <c r="E109" s="97"/>
    </row>
  </sheetData>
  <mergeCells count="17">
    <mergeCell ref="B83:E94"/>
    <mergeCell ref="F84:K84"/>
    <mergeCell ref="F10:K10"/>
    <mergeCell ref="F32:K32"/>
    <mergeCell ref="F44:K44"/>
    <mergeCell ref="F57:K57"/>
    <mergeCell ref="F70:K70"/>
    <mergeCell ref="B82:E82"/>
    <mergeCell ref="B31:E41"/>
    <mergeCell ref="B43:E53"/>
    <mergeCell ref="B56:E66"/>
    <mergeCell ref="B69:E80"/>
    <mergeCell ref="D2:E2"/>
    <mergeCell ref="B4:E4"/>
    <mergeCell ref="B10:E14"/>
    <mergeCell ref="B17:E2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1" manualBreakCount="1">
    <brk id="54"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abSelected="1" view="pageBreakPreview" topLeftCell="A16" zoomScaleNormal="100" zoomScaleSheetLayoutView="100" workbookViewId="0">
      <selection activeCell="L10" sqref="L10"/>
    </sheetView>
  </sheetViews>
  <sheetFormatPr defaultColWidth="11.375" defaultRowHeight="22.5" customHeight="1" x14ac:dyDescent="0.15"/>
  <cols>
    <col min="1" max="3" width="2.5" style="9" customWidth="1"/>
    <col min="4" max="4" width="22.5" style="9" customWidth="1"/>
    <col min="5" max="5" width="21.25" style="9" customWidth="1"/>
    <col min="6" max="7" width="7.5" style="9" customWidth="1"/>
    <col min="8" max="8" width="32.5" style="9" customWidth="1"/>
    <col min="9" max="9" width="24.875" style="9" customWidth="1"/>
    <col min="10" max="10" width="6.25" style="9" customWidth="1"/>
    <col min="11" max="16384" width="11.375" style="9"/>
  </cols>
  <sheetData>
    <row r="1" spans="1:10" ht="18.75" customHeight="1" x14ac:dyDescent="0.15">
      <c r="J1" s="90" t="s">
        <v>9</v>
      </c>
    </row>
    <row r="2" spans="1:10" ht="18.75" customHeight="1" x14ac:dyDescent="0.15">
      <c r="D2" s="90"/>
      <c r="H2" s="90" t="s">
        <v>31</v>
      </c>
      <c r="I2" s="146" t="s">
        <v>144</v>
      </c>
      <c r="J2" s="146"/>
    </row>
    <row r="3" spans="1:10" ht="18.75" customHeight="1" x14ac:dyDescent="0.15">
      <c r="A3" s="140" t="s">
        <v>50</v>
      </c>
      <c r="B3" s="140"/>
      <c r="C3" s="140"/>
      <c r="D3" s="140"/>
      <c r="E3" s="140"/>
      <c r="F3" s="140"/>
      <c r="G3" s="140"/>
      <c r="H3" s="140"/>
      <c r="I3" s="140"/>
      <c r="J3" s="140"/>
    </row>
    <row r="4" spans="1:10" ht="7.5" customHeight="1" x14ac:dyDescent="0.15">
      <c r="B4" s="98"/>
      <c r="C4" s="98"/>
      <c r="D4" s="248"/>
      <c r="E4" s="248"/>
      <c r="F4" s="248"/>
      <c r="G4" s="248"/>
      <c r="H4" s="248"/>
      <c r="I4" s="248"/>
      <c r="J4" s="248"/>
    </row>
    <row r="5" spans="1:10" ht="18.75" customHeight="1" x14ac:dyDescent="0.15">
      <c r="A5" s="9" t="s">
        <v>7</v>
      </c>
      <c r="B5" s="11" t="s">
        <v>48</v>
      </c>
      <c r="C5" s="98"/>
      <c r="D5" s="98"/>
      <c r="E5" s="98"/>
      <c r="F5" s="98"/>
      <c r="G5" s="98"/>
      <c r="H5" s="98"/>
      <c r="I5" s="98"/>
      <c r="J5" s="98"/>
    </row>
    <row r="6" spans="1:10" ht="18.75" customHeight="1" x14ac:dyDescent="0.15">
      <c r="B6" s="143" t="s">
        <v>45</v>
      </c>
      <c r="C6" s="144"/>
      <c r="D6" s="145"/>
      <c r="E6" s="144" t="s">
        <v>47</v>
      </c>
      <c r="F6" s="144"/>
      <c r="G6" s="144"/>
      <c r="H6" s="144"/>
      <c r="I6" s="144"/>
      <c r="J6" s="145"/>
    </row>
    <row r="7" spans="1:10" ht="18.75" customHeight="1" x14ac:dyDescent="0.15">
      <c r="B7" s="15" t="s">
        <v>35</v>
      </c>
      <c r="C7" s="95"/>
      <c r="D7" s="99"/>
      <c r="E7" s="17"/>
      <c r="F7" s="17"/>
      <c r="G7" s="17"/>
      <c r="H7" s="17"/>
      <c r="I7" s="95"/>
      <c r="J7" s="99"/>
    </row>
    <row r="8" spans="1:10" ht="100.5" customHeight="1" x14ac:dyDescent="0.15">
      <c r="B8" s="100"/>
      <c r="C8" s="243" t="s">
        <v>36</v>
      </c>
      <c r="D8" s="244"/>
      <c r="E8" s="245" t="s">
        <v>171</v>
      </c>
      <c r="F8" s="246"/>
      <c r="G8" s="246"/>
      <c r="H8" s="246"/>
      <c r="I8" s="246"/>
      <c r="J8" s="247"/>
    </row>
    <row r="9" spans="1:10" ht="100.5" customHeight="1" x14ac:dyDescent="0.15">
      <c r="B9" s="100"/>
      <c r="C9" s="254" t="s">
        <v>37</v>
      </c>
      <c r="D9" s="255"/>
      <c r="E9" s="245" t="s">
        <v>172</v>
      </c>
      <c r="F9" s="246"/>
      <c r="G9" s="246"/>
      <c r="H9" s="246"/>
      <c r="I9" s="246"/>
      <c r="J9" s="247"/>
    </row>
    <row r="10" spans="1:10" ht="100.5" customHeight="1" x14ac:dyDescent="0.15">
      <c r="B10" s="100"/>
      <c r="C10" s="243" t="s">
        <v>38</v>
      </c>
      <c r="D10" s="244"/>
      <c r="E10" s="245" t="s">
        <v>156</v>
      </c>
      <c r="F10" s="246"/>
      <c r="G10" s="246"/>
      <c r="H10" s="246"/>
      <c r="I10" s="246"/>
      <c r="J10" s="247"/>
    </row>
    <row r="11" spans="1:10" ht="100.5" customHeight="1" x14ac:dyDescent="0.15">
      <c r="B11" s="100"/>
      <c r="C11" s="243" t="s">
        <v>39</v>
      </c>
      <c r="D11" s="244"/>
      <c r="E11" s="245" t="s">
        <v>178</v>
      </c>
      <c r="F11" s="246"/>
      <c r="G11" s="246"/>
      <c r="H11" s="246"/>
      <c r="I11" s="246"/>
      <c r="J11" s="247"/>
    </row>
    <row r="12" spans="1:10" ht="100.5" customHeight="1" x14ac:dyDescent="0.15">
      <c r="B12" s="100"/>
      <c r="C12" s="243" t="s">
        <v>40</v>
      </c>
      <c r="D12" s="244"/>
      <c r="E12" s="245" t="s">
        <v>170</v>
      </c>
      <c r="F12" s="246"/>
      <c r="G12" s="246"/>
      <c r="H12" s="246"/>
      <c r="I12" s="246"/>
      <c r="J12" s="247"/>
    </row>
    <row r="13" spans="1:10" ht="18.75" customHeight="1" x14ac:dyDescent="0.15">
      <c r="B13" s="101" t="s">
        <v>41</v>
      </c>
      <c r="C13" s="102"/>
      <c r="D13" s="103"/>
      <c r="E13" s="104"/>
      <c r="F13" s="104"/>
      <c r="G13" s="104"/>
      <c r="H13" s="104"/>
      <c r="I13" s="104"/>
      <c r="J13" s="105"/>
    </row>
    <row r="14" spans="1:10" ht="100.5" customHeight="1" x14ac:dyDescent="0.15">
      <c r="B14" s="100"/>
      <c r="C14" s="243" t="s">
        <v>42</v>
      </c>
      <c r="D14" s="244"/>
      <c r="E14" s="246" t="s">
        <v>157</v>
      </c>
      <c r="F14" s="246"/>
      <c r="G14" s="246"/>
      <c r="H14" s="246"/>
      <c r="I14" s="246"/>
      <c r="J14" s="247"/>
    </row>
    <row r="15" spans="1:10" ht="100.5" customHeight="1" x14ac:dyDescent="0.15">
      <c r="B15" s="100"/>
      <c r="C15" s="256" t="s">
        <v>43</v>
      </c>
      <c r="D15" s="257"/>
      <c r="E15" s="258" t="s">
        <v>179</v>
      </c>
      <c r="F15" s="258"/>
      <c r="G15" s="258"/>
      <c r="H15" s="258"/>
      <c r="I15" s="258"/>
      <c r="J15" s="259"/>
    </row>
    <row r="16" spans="1:10" ht="100.5" customHeight="1" x14ac:dyDescent="0.15">
      <c r="B16" s="260" t="s">
        <v>44</v>
      </c>
      <c r="C16" s="261"/>
      <c r="D16" s="244"/>
      <c r="E16" s="246" t="s">
        <v>196</v>
      </c>
      <c r="F16" s="246"/>
      <c r="G16" s="246"/>
      <c r="H16" s="246"/>
      <c r="I16" s="246"/>
      <c r="J16" s="247"/>
    </row>
    <row r="17" spans="1:10" ht="100.5" customHeight="1" x14ac:dyDescent="0.15">
      <c r="A17" s="10"/>
      <c r="B17" s="251" t="s">
        <v>87</v>
      </c>
      <c r="C17" s="252"/>
      <c r="D17" s="253"/>
      <c r="E17" s="249" t="s">
        <v>173</v>
      </c>
      <c r="F17" s="249"/>
      <c r="G17" s="249"/>
      <c r="H17" s="249"/>
      <c r="I17" s="249"/>
      <c r="J17" s="250"/>
    </row>
    <row r="18" spans="1:10" ht="7.5" customHeight="1" x14ac:dyDescent="0.15">
      <c r="B18" s="98"/>
      <c r="C18" s="98"/>
      <c r="D18" s="98"/>
      <c r="E18" s="98" t="s">
        <v>158</v>
      </c>
      <c r="F18" s="98"/>
      <c r="G18" s="98"/>
      <c r="H18" s="98"/>
      <c r="I18" s="98"/>
      <c r="J18" s="98"/>
    </row>
    <row r="19" spans="1:10" ht="18.75" customHeight="1" x14ac:dyDescent="0.15">
      <c r="B19" s="11"/>
      <c r="C19" s="98"/>
      <c r="D19" s="98"/>
      <c r="E19" s="98"/>
      <c r="F19" s="89"/>
      <c r="G19" s="89"/>
      <c r="H19" s="106" t="s">
        <v>112</v>
      </c>
      <c r="I19" s="107"/>
      <c r="J19" s="108"/>
    </row>
    <row r="20" spans="1:10" ht="18.75" customHeight="1" x14ac:dyDescent="0.15">
      <c r="A20" s="17" t="s">
        <v>12</v>
      </c>
      <c r="B20" s="109" t="s">
        <v>49</v>
      </c>
      <c r="C20" s="110"/>
      <c r="D20" s="110"/>
      <c r="E20" s="110"/>
      <c r="F20" s="111" t="s">
        <v>201</v>
      </c>
      <c r="G20" s="89"/>
      <c r="H20" s="240" t="s">
        <v>200</v>
      </c>
      <c r="I20" s="241"/>
      <c r="J20" s="242"/>
    </row>
    <row r="21" spans="1:10" ht="22.5" customHeight="1" x14ac:dyDescent="0.15">
      <c r="B21" s="98"/>
      <c r="C21" s="98"/>
      <c r="D21" s="98"/>
      <c r="E21" s="98"/>
      <c r="F21" s="98"/>
      <c r="G21" s="98"/>
      <c r="H21" s="98"/>
      <c r="I21" s="98"/>
      <c r="J21" s="98"/>
    </row>
    <row r="22" spans="1:10" ht="22.5" customHeight="1" x14ac:dyDescent="0.15">
      <c r="B22" s="98"/>
      <c r="C22" s="98"/>
      <c r="D22" s="98"/>
      <c r="E22" s="98"/>
      <c r="F22" s="98"/>
      <c r="G22" s="98"/>
      <c r="H22" s="98"/>
      <c r="I22" s="98"/>
      <c r="J22" s="98"/>
    </row>
    <row r="23" spans="1:10" ht="22.5" customHeight="1" x14ac:dyDescent="0.15">
      <c r="B23" s="98"/>
      <c r="C23" s="98"/>
      <c r="D23" s="98"/>
      <c r="E23" s="98"/>
      <c r="F23" s="98"/>
      <c r="G23" s="98"/>
      <c r="H23" s="98"/>
      <c r="I23" s="98"/>
      <c r="J23" s="98"/>
    </row>
    <row r="24" spans="1:10" ht="22.5" customHeight="1" x14ac:dyDescent="0.15">
      <c r="B24" s="98"/>
      <c r="C24" s="98"/>
      <c r="D24" s="98"/>
      <c r="E24" s="98"/>
      <c r="F24" s="98"/>
      <c r="G24" s="98"/>
      <c r="H24" s="98"/>
      <c r="I24" s="98"/>
      <c r="J24" s="98"/>
    </row>
    <row r="25" spans="1:10" ht="22.5" customHeight="1" x14ac:dyDescent="0.15">
      <c r="B25" s="98"/>
      <c r="C25" s="98"/>
      <c r="D25" s="98"/>
      <c r="E25" s="98"/>
      <c r="F25" s="98"/>
      <c r="G25" s="98"/>
      <c r="H25" s="98"/>
      <c r="I25" s="98"/>
      <c r="J25" s="98"/>
    </row>
    <row r="26" spans="1:10" ht="22.5" customHeight="1" x14ac:dyDescent="0.15">
      <c r="B26" s="92"/>
      <c r="C26" s="92"/>
      <c r="D26" s="92"/>
      <c r="E26" s="92"/>
      <c r="F26" s="92"/>
      <c r="G26" s="92"/>
      <c r="H26" s="92"/>
      <c r="I26" s="92"/>
      <c r="J26" s="92"/>
    </row>
    <row r="27" spans="1:10" ht="22.5" customHeight="1" x14ac:dyDescent="0.15">
      <c r="B27" s="92"/>
      <c r="C27" s="92"/>
      <c r="D27" s="92"/>
      <c r="E27" s="92"/>
      <c r="F27" s="92"/>
      <c r="G27" s="92"/>
      <c r="H27" s="92"/>
      <c r="I27" s="92"/>
      <c r="J27" s="92"/>
    </row>
    <row r="28" spans="1:10" ht="22.5" customHeight="1" x14ac:dyDescent="0.15">
      <c r="B28" s="92"/>
      <c r="C28" s="92"/>
      <c r="D28" s="92"/>
      <c r="E28" s="92"/>
      <c r="F28" s="92"/>
      <c r="G28" s="92"/>
      <c r="H28" s="92"/>
      <c r="I28" s="92"/>
      <c r="J28" s="92"/>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scale="67"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view="pageBreakPreview" zoomScale="60" zoomScaleNormal="100" workbookViewId="0">
      <selection activeCell="S39" sqref="S39"/>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64" t="s">
        <v>16</v>
      </c>
      <c r="F1" s="164"/>
    </row>
    <row r="2" spans="1:6" ht="18.75" customHeight="1" x14ac:dyDescent="0.15">
      <c r="C2" s="5" t="s">
        <v>88</v>
      </c>
      <c r="D2" s="5" t="s">
        <v>8</v>
      </c>
      <c r="E2" s="271"/>
      <c r="F2" s="271"/>
    </row>
    <row r="3" spans="1:6" ht="7.5" customHeight="1" x14ac:dyDescent="0.15">
      <c r="C3" s="5"/>
      <c r="D3" s="5"/>
      <c r="E3" s="4"/>
      <c r="F3" s="4"/>
    </row>
    <row r="4" spans="1:6" ht="18.75" customHeight="1" x14ac:dyDescent="0.15">
      <c r="A4" s="174" t="s">
        <v>122</v>
      </c>
      <c r="B4" s="174"/>
      <c r="C4" s="174"/>
      <c r="D4" s="174"/>
      <c r="E4" s="174"/>
      <c r="F4" s="174"/>
    </row>
    <row r="5" spans="1:6" ht="7.5" customHeight="1" x14ac:dyDescent="0.15">
      <c r="A5" s="6"/>
      <c r="B5" s="6"/>
      <c r="C5" s="6"/>
      <c r="D5" s="6"/>
      <c r="E5" s="6"/>
      <c r="F5" s="6"/>
    </row>
    <row r="6" spans="1:6" ht="18.75" customHeight="1" x14ac:dyDescent="0.15">
      <c r="A6" s="6" t="s">
        <v>7</v>
      </c>
      <c r="B6" s="2" t="s">
        <v>33</v>
      </c>
      <c r="C6" s="6"/>
      <c r="D6" s="6"/>
      <c r="E6" s="6"/>
      <c r="F6" s="6"/>
    </row>
    <row r="7" spans="1:6" ht="18.75" customHeight="1" x14ac:dyDescent="0.15">
      <c r="A7" s="6"/>
      <c r="B7" s="262"/>
      <c r="C7" s="263"/>
      <c r="D7" s="263"/>
      <c r="E7" s="263"/>
      <c r="F7" s="264"/>
    </row>
    <row r="8" spans="1:6" ht="18.75" customHeight="1" x14ac:dyDescent="0.15">
      <c r="A8" s="31"/>
      <c r="B8" s="265"/>
      <c r="C8" s="266"/>
      <c r="D8" s="266"/>
      <c r="E8" s="266"/>
      <c r="F8" s="267"/>
    </row>
    <row r="9" spans="1:6" ht="18.75" customHeight="1" x14ac:dyDescent="0.15">
      <c r="A9" s="31"/>
      <c r="B9" s="265"/>
      <c r="C9" s="266"/>
      <c r="D9" s="266"/>
      <c r="E9" s="266"/>
      <c r="F9" s="267"/>
    </row>
    <row r="10" spans="1:6" ht="18.75" customHeight="1" x14ac:dyDescent="0.15">
      <c r="A10" s="31"/>
      <c r="B10" s="265"/>
      <c r="C10" s="266"/>
      <c r="D10" s="266"/>
      <c r="E10" s="266"/>
      <c r="F10" s="267"/>
    </row>
    <row r="11" spans="1:6" ht="18.75" customHeight="1" x14ac:dyDescent="0.15">
      <c r="A11" s="31"/>
      <c r="B11" s="265"/>
      <c r="C11" s="266"/>
      <c r="D11" s="266"/>
      <c r="E11" s="266"/>
      <c r="F11" s="267"/>
    </row>
    <row r="12" spans="1:6" ht="18.75" customHeight="1" x14ac:dyDescent="0.15">
      <c r="A12" s="31"/>
      <c r="B12" s="265"/>
      <c r="C12" s="266"/>
      <c r="D12" s="266"/>
      <c r="E12" s="266"/>
      <c r="F12" s="267"/>
    </row>
    <row r="13" spans="1:6" ht="18.75" customHeight="1" x14ac:dyDescent="0.15">
      <c r="A13" s="31"/>
      <c r="B13" s="265"/>
      <c r="C13" s="266"/>
      <c r="D13" s="266"/>
      <c r="E13" s="266"/>
      <c r="F13" s="267"/>
    </row>
    <row r="14" spans="1:6" ht="18.75" customHeight="1" x14ac:dyDescent="0.15">
      <c r="A14" s="31"/>
      <c r="B14" s="265"/>
      <c r="C14" s="266"/>
      <c r="D14" s="266"/>
      <c r="E14" s="266"/>
      <c r="F14" s="267"/>
    </row>
    <row r="15" spans="1:6" ht="18.75" customHeight="1" x14ac:dyDescent="0.15">
      <c r="A15" s="31"/>
      <c r="B15" s="265"/>
      <c r="C15" s="266"/>
      <c r="D15" s="266"/>
      <c r="E15" s="266"/>
      <c r="F15" s="267"/>
    </row>
    <row r="16" spans="1:6" ht="18.75" customHeight="1" x14ac:dyDescent="0.15">
      <c r="A16" s="31"/>
      <c r="B16" s="265"/>
      <c r="C16" s="266"/>
      <c r="D16" s="266"/>
      <c r="E16" s="266"/>
      <c r="F16" s="267"/>
    </row>
    <row r="17" spans="1:6" ht="18.75" customHeight="1" x14ac:dyDescent="0.15">
      <c r="A17" s="31"/>
      <c r="B17" s="265"/>
      <c r="C17" s="266"/>
      <c r="D17" s="266"/>
      <c r="E17" s="266"/>
      <c r="F17" s="267"/>
    </row>
    <row r="18" spans="1:6" ht="18.75" customHeight="1" x14ac:dyDescent="0.15">
      <c r="A18" s="31"/>
      <c r="B18" s="265"/>
      <c r="C18" s="266"/>
      <c r="D18" s="266"/>
      <c r="E18" s="266"/>
      <c r="F18" s="267"/>
    </row>
    <row r="19" spans="1:6" ht="18.75" customHeight="1" x14ac:dyDescent="0.15">
      <c r="A19" s="31"/>
      <c r="B19" s="265"/>
      <c r="C19" s="266"/>
      <c r="D19" s="266"/>
      <c r="E19" s="266"/>
      <c r="F19" s="267"/>
    </row>
    <row r="20" spans="1:6" ht="18.75" customHeight="1" x14ac:dyDescent="0.15">
      <c r="A20" s="31"/>
      <c r="B20" s="265"/>
      <c r="C20" s="266"/>
      <c r="D20" s="266"/>
      <c r="E20" s="266"/>
      <c r="F20" s="267"/>
    </row>
    <row r="21" spans="1:6" ht="18.75" customHeight="1" x14ac:dyDescent="0.15">
      <c r="A21" s="31"/>
      <c r="B21" s="265"/>
      <c r="C21" s="266"/>
      <c r="D21" s="266"/>
      <c r="E21" s="266"/>
      <c r="F21" s="267"/>
    </row>
    <row r="22" spans="1:6" ht="18.75" customHeight="1" x14ac:dyDescent="0.15">
      <c r="A22" s="31"/>
      <c r="B22" s="265"/>
      <c r="C22" s="266"/>
      <c r="D22" s="266"/>
      <c r="E22" s="266"/>
      <c r="F22" s="267"/>
    </row>
    <row r="23" spans="1:6" ht="18.75" customHeight="1" x14ac:dyDescent="0.15">
      <c r="A23" s="31"/>
      <c r="B23" s="265"/>
      <c r="C23" s="266"/>
      <c r="D23" s="266"/>
      <c r="E23" s="266"/>
      <c r="F23" s="267"/>
    </row>
    <row r="24" spans="1:6" ht="18.75" customHeight="1" x14ac:dyDescent="0.15">
      <c r="A24" s="31"/>
      <c r="B24" s="265"/>
      <c r="C24" s="266"/>
      <c r="D24" s="266"/>
      <c r="E24" s="266"/>
      <c r="F24" s="267"/>
    </row>
    <row r="25" spans="1:6" ht="18.75" customHeight="1" x14ac:dyDescent="0.15">
      <c r="A25" s="31"/>
      <c r="B25" s="265"/>
      <c r="C25" s="266"/>
      <c r="D25" s="266"/>
      <c r="E25" s="266"/>
      <c r="F25" s="267"/>
    </row>
    <row r="26" spans="1:6" ht="18.75" customHeight="1" x14ac:dyDescent="0.15">
      <c r="A26" s="31"/>
      <c r="B26" s="265"/>
      <c r="C26" s="266"/>
      <c r="D26" s="266"/>
      <c r="E26" s="266"/>
      <c r="F26" s="267"/>
    </row>
    <row r="27" spans="1:6" ht="18.75" customHeight="1" x14ac:dyDescent="0.15">
      <c r="A27" s="31"/>
      <c r="B27" s="265"/>
      <c r="C27" s="266"/>
      <c r="D27" s="266"/>
      <c r="E27" s="266"/>
      <c r="F27" s="267"/>
    </row>
    <row r="28" spans="1:6" ht="18.75" customHeight="1" x14ac:dyDescent="0.15">
      <c r="A28" s="6"/>
      <c r="B28" s="265"/>
      <c r="C28" s="266"/>
      <c r="D28" s="266"/>
      <c r="E28" s="266"/>
      <c r="F28" s="267"/>
    </row>
    <row r="29" spans="1:6" ht="18.75" customHeight="1" x14ac:dyDescent="0.15">
      <c r="A29" s="6"/>
      <c r="B29" s="265"/>
      <c r="C29" s="266"/>
      <c r="D29" s="266"/>
      <c r="E29" s="266"/>
      <c r="F29" s="267"/>
    </row>
    <row r="30" spans="1:6" ht="18.75" customHeight="1" x14ac:dyDescent="0.15">
      <c r="A30" s="6"/>
      <c r="B30" s="265"/>
      <c r="C30" s="266"/>
      <c r="D30" s="266"/>
      <c r="E30" s="266"/>
      <c r="F30" s="267"/>
    </row>
    <row r="31" spans="1:6" ht="18.75" customHeight="1" x14ac:dyDescent="0.15">
      <c r="A31" s="6"/>
      <c r="B31" s="265"/>
      <c r="C31" s="266"/>
      <c r="D31" s="266"/>
      <c r="E31" s="266"/>
      <c r="F31" s="267"/>
    </row>
    <row r="32" spans="1:6" ht="18.75" customHeight="1" x14ac:dyDescent="0.15">
      <c r="A32" s="6"/>
      <c r="B32" s="265"/>
      <c r="C32" s="266"/>
      <c r="D32" s="266"/>
      <c r="E32" s="266"/>
      <c r="F32" s="267"/>
    </row>
    <row r="33" spans="1:6" ht="18.75" customHeight="1" x14ac:dyDescent="0.15">
      <c r="A33" s="6"/>
      <c r="B33" s="265"/>
      <c r="C33" s="266"/>
      <c r="D33" s="266"/>
      <c r="E33" s="266"/>
      <c r="F33" s="267"/>
    </row>
    <row r="34" spans="1:6" ht="18.75" customHeight="1" x14ac:dyDescent="0.15">
      <c r="A34" s="6"/>
      <c r="B34" s="265"/>
      <c r="C34" s="266"/>
      <c r="D34" s="266"/>
      <c r="E34" s="266"/>
      <c r="F34" s="267"/>
    </row>
    <row r="35" spans="1:6" ht="18.75" customHeight="1" x14ac:dyDescent="0.15">
      <c r="A35" s="6"/>
      <c r="B35" s="265"/>
      <c r="C35" s="266"/>
      <c r="D35" s="266"/>
      <c r="E35" s="266"/>
      <c r="F35" s="267"/>
    </row>
    <row r="36" spans="1:6" ht="18.75" customHeight="1" x14ac:dyDescent="0.15">
      <c r="A36" s="6"/>
      <c r="B36" s="265"/>
      <c r="C36" s="266"/>
      <c r="D36" s="266"/>
      <c r="E36" s="266"/>
      <c r="F36" s="267"/>
    </row>
    <row r="37" spans="1:6" ht="18.75" customHeight="1" x14ac:dyDescent="0.15">
      <c r="A37" s="6"/>
      <c r="B37" s="265"/>
      <c r="C37" s="266"/>
      <c r="D37" s="266"/>
      <c r="E37" s="266"/>
      <c r="F37" s="267"/>
    </row>
    <row r="38" spans="1:6" ht="18.75" customHeight="1" x14ac:dyDescent="0.15">
      <c r="A38" s="6"/>
      <c r="B38" s="265"/>
      <c r="C38" s="266"/>
      <c r="D38" s="266"/>
      <c r="E38" s="266"/>
      <c r="F38" s="267"/>
    </row>
    <row r="39" spans="1:6" ht="18.75" customHeight="1" x14ac:dyDescent="0.15">
      <c r="A39" s="6"/>
      <c r="B39" s="265"/>
      <c r="C39" s="266"/>
      <c r="D39" s="266"/>
      <c r="E39" s="266"/>
      <c r="F39" s="267"/>
    </row>
    <row r="40" spans="1:6" ht="18.75" customHeight="1" x14ac:dyDescent="0.15">
      <c r="A40" s="6"/>
      <c r="B40" s="265"/>
      <c r="C40" s="266"/>
      <c r="D40" s="266"/>
      <c r="E40" s="266"/>
      <c r="F40" s="267"/>
    </row>
    <row r="41" spans="1:6" ht="18.75" customHeight="1" x14ac:dyDescent="0.15">
      <c r="A41" s="6"/>
      <c r="B41" s="265"/>
      <c r="C41" s="266"/>
      <c r="D41" s="266"/>
      <c r="E41" s="266"/>
      <c r="F41" s="267"/>
    </row>
    <row r="42" spans="1:6" ht="18.75" customHeight="1" x14ac:dyDescent="0.15">
      <c r="A42" s="6"/>
      <c r="B42" s="265"/>
      <c r="C42" s="266"/>
      <c r="D42" s="266"/>
      <c r="E42" s="266"/>
      <c r="F42" s="267"/>
    </row>
    <row r="43" spans="1:6" ht="18.75" customHeight="1" x14ac:dyDescent="0.15">
      <c r="A43" s="6"/>
      <c r="B43" s="265"/>
      <c r="C43" s="266"/>
      <c r="D43" s="266"/>
      <c r="E43" s="266"/>
      <c r="F43" s="267"/>
    </row>
    <row r="44" spans="1:6" ht="18.75" customHeight="1" x14ac:dyDescent="0.15">
      <c r="A44" s="6"/>
      <c r="B44" s="268"/>
      <c r="C44" s="269"/>
      <c r="D44" s="269"/>
      <c r="E44" s="269"/>
      <c r="F44" s="270"/>
    </row>
    <row r="45" spans="1:6" ht="18.75" customHeight="1" x14ac:dyDescent="0.15">
      <c r="A45" s="6" t="s">
        <v>12</v>
      </c>
      <c r="B45" s="2" t="s">
        <v>93</v>
      </c>
      <c r="C45" s="6"/>
      <c r="D45" s="6"/>
      <c r="E45" s="6"/>
      <c r="F45" s="6"/>
    </row>
    <row r="46" spans="1:6" ht="18.75" customHeight="1" x14ac:dyDescent="0.15">
      <c r="A46" s="6"/>
      <c r="B46" s="262"/>
      <c r="C46" s="263"/>
      <c r="D46" s="263"/>
      <c r="E46" s="263"/>
      <c r="F46" s="264"/>
    </row>
    <row r="47" spans="1:6" ht="18.75" customHeight="1" x14ac:dyDescent="0.15">
      <c r="A47" s="31"/>
      <c r="B47" s="265"/>
      <c r="C47" s="266"/>
      <c r="D47" s="266"/>
      <c r="E47" s="266"/>
      <c r="F47" s="267"/>
    </row>
    <row r="48" spans="1:6" ht="18.75" customHeight="1" x14ac:dyDescent="0.15">
      <c r="A48" s="31"/>
      <c r="B48" s="265"/>
      <c r="C48" s="266"/>
      <c r="D48" s="266"/>
      <c r="E48" s="266"/>
      <c r="F48" s="267"/>
    </row>
    <row r="49" spans="1:6" ht="18.75" customHeight="1" x14ac:dyDescent="0.15">
      <c r="A49" s="31"/>
      <c r="B49" s="265"/>
      <c r="C49" s="266"/>
      <c r="D49" s="266"/>
      <c r="E49" s="266"/>
      <c r="F49" s="267"/>
    </row>
    <row r="50" spans="1:6" ht="18.75" customHeight="1" x14ac:dyDescent="0.15">
      <c r="A50" s="31"/>
      <c r="B50" s="265"/>
      <c r="C50" s="266"/>
      <c r="D50" s="266"/>
      <c r="E50" s="266"/>
      <c r="F50" s="267"/>
    </row>
    <row r="51" spans="1:6" ht="18.75" customHeight="1" x14ac:dyDescent="0.15">
      <c r="A51" s="31"/>
      <c r="B51" s="265"/>
      <c r="C51" s="266"/>
      <c r="D51" s="266"/>
      <c r="E51" s="266"/>
      <c r="F51" s="267"/>
    </row>
    <row r="52" spans="1:6" ht="18.75" customHeight="1" x14ac:dyDescent="0.15">
      <c r="A52" s="31"/>
      <c r="B52" s="265"/>
      <c r="C52" s="266"/>
      <c r="D52" s="266"/>
      <c r="E52" s="266"/>
      <c r="F52" s="267"/>
    </row>
    <row r="53" spans="1:6" ht="18.75" customHeight="1" x14ac:dyDescent="0.15">
      <c r="A53" s="31"/>
      <c r="B53" s="265"/>
      <c r="C53" s="266"/>
      <c r="D53" s="266"/>
      <c r="E53" s="266"/>
      <c r="F53" s="267"/>
    </row>
    <row r="54" spans="1:6" ht="18.75" customHeight="1" x14ac:dyDescent="0.15">
      <c r="A54" s="31"/>
      <c r="B54" s="265"/>
      <c r="C54" s="266"/>
      <c r="D54" s="266"/>
      <c r="E54" s="266"/>
      <c r="F54" s="267"/>
    </row>
    <row r="55" spans="1:6" ht="18.75" customHeight="1" x14ac:dyDescent="0.15">
      <c r="A55" s="31"/>
      <c r="B55" s="265"/>
      <c r="C55" s="266"/>
      <c r="D55" s="266"/>
      <c r="E55" s="266"/>
      <c r="F55" s="267"/>
    </row>
    <row r="56" spans="1:6" ht="18.75" customHeight="1" x14ac:dyDescent="0.15">
      <c r="A56" s="31"/>
      <c r="B56" s="265"/>
      <c r="C56" s="266"/>
      <c r="D56" s="266"/>
      <c r="E56" s="266"/>
      <c r="F56" s="267"/>
    </row>
    <row r="57" spans="1:6" ht="18.75" customHeight="1" x14ac:dyDescent="0.15">
      <c r="A57" s="31"/>
      <c r="B57" s="265"/>
      <c r="C57" s="266"/>
      <c r="D57" s="266"/>
      <c r="E57" s="266"/>
      <c r="F57" s="267"/>
    </row>
    <row r="58" spans="1:6" ht="18.75" customHeight="1" x14ac:dyDescent="0.15">
      <c r="A58" s="31"/>
      <c r="B58" s="265"/>
      <c r="C58" s="266"/>
      <c r="D58" s="266"/>
      <c r="E58" s="266"/>
      <c r="F58" s="267"/>
    </row>
    <row r="59" spans="1:6" ht="18.75" customHeight="1" x14ac:dyDescent="0.15">
      <c r="A59" s="31"/>
      <c r="B59" s="265"/>
      <c r="C59" s="266"/>
      <c r="D59" s="266"/>
      <c r="E59" s="266"/>
      <c r="F59" s="267"/>
    </row>
    <row r="60" spans="1:6" ht="18.75" customHeight="1" x14ac:dyDescent="0.15">
      <c r="A60" s="31"/>
      <c r="B60" s="265"/>
      <c r="C60" s="266"/>
      <c r="D60" s="266"/>
      <c r="E60" s="266"/>
      <c r="F60" s="267"/>
    </row>
    <row r="61" spans="1:6" ht="18.75" customHeight="1" x14ac:dyDescent="0.15">
      <c r="A61" s="31"/>
      <c r="B61" s="265"/>
      <c r="C61" s="266"/>
      <c r="D61" s="266"/>
      <c r="E61" s="266"/>
      <c r="F61" s="267"/>
    </row>
    <row r="62" spans="1:6" ht="18.75" customHeight="1" x14ac:dyDescent="0.15">
      <c r="A62" s="31"/>
      <c r="B62" s="265"/>
      <c r="C62" s="266"/>
      <c r="D62" s="266"/>
      <c r="E62" s="266"/>
      <c r="F62" s="267"/>
    </row>
    <row r="63" spans="1:6" ht="18.75" customHeight="1" x14ac:dyDescent="0.15">
      <c r="A63" s="31"/>
      <c r="B63" s="265"/>
      <c r="C63" s="266"/>
      <c r="D63" s="266"/>
      <c r="E63" s="266"/>
      <c r="F63" s="267"/>
    </row>
    <row r="64" spans="1:6" ht="18.75" customHeight="1" x14ac:dyDescent="0.15">
      <c r="A64" s="31"/>
      <c r="B64" s="265"/>
      <c r="C64" s="266"/>
      <c r="D64" s="266"/>
      <c r="E64" s="266"/>
      <c r="F64" s="267"/>
    </row>
    <row r="65" spans="1:6" ht="18.75" customHeight="1" x14ac:dyDescent="0.15">
      <c r="A65" s="31"/>
      <c r="B65" s="265"/>
      <c r="C65" s="266"/>
      <c r="D65" s="266"/>
      <c r="E65" s="266"/>
      <c r="F65" s="267"/>
    </row>
    <row r="66" spans="1:6" ht="18.75" customHeight="1" x14ac:dyDescent="0.15">
      <c r="A66" s="31"/>
      <c r="B66" s="265"/>
      <c r="C66" s="266"/>
      <c r="D66" s="266"/>
      <c r="E66" s="266"/>
      <c r="F66" s="267"/>
    </row>
    <row r="67" spans="1:6" ht="18.75" customHeight="1" x14ac:dyDescent="0.15">
      <c r="A67" s="31"/>
      <c r="B67" s="265"/>
      <c r="C67" s="266"/>
      <c r="D67" s="266"/>
      <c r="E67" s="266"/>
      <c r="F67" s="267"/>
    </row>
    <row r="68" spans="1:6" ht="18.75" customHeight="1" x14ac:dyDescent="0.15">
      <c r="A68" s="31"/>
      <c r="B68" s="265"/>
      <c r="C68" s="266"/>
      <c r="D68" s="266"/>
      <c r="E68" s="266"/>
      <c r="F68" s="267"/>
    </row>
    <row r="69" spans="1:6" ht="18.75" customHeight="1" x14ac:dyDescent="0.15">
      <c r="A69" s="31"/>
      <c r="B69" s="265"/>
      <c r="C69" s="266"/>
      <c r="D69" s="266"/>
      <c r="E69" s="266"/>
      <c r="F69" s="267"/>
    </row>
    <row r="70" spans="1:6" ht="18.75" customHeight="1" x14ac:dyDescent="0.15">
      <c r="A70" s="6"/>
      <c r="B70" s="265"/>
      <c r="C70" s="266"/>
      <c r="D70" s="266"/>
      <c r="E70" s="266"/>
      <c r="F70" s="267"/>
    </row>
    <row r="71" spans="1:6" ht="18.75" customHeight="1" x14ac:dyDescent="0.15">
      <c r="A71" s="6"/>
      <c r="B71" s="265"/>
      <c r="C71" s="266"/>
      <c r="D71" s="266"/>
      <c r="E71" s="266"/>
      <c r="F71" s="267"/>
    </row>
    <row r="72" spans="1:6" ht="18.75" customHeight="1" x14ac:dyDescent="0.15">
      <c r="A72" s="6"/>
      <c r="B72" s="265"/>
      <c r="C72" s="266"/>
      <c r="D72" s="266"/>
      <c r="E72" s="266"/>
      <c r="F72" s="267"/>
    </row>
    <row r="73" spans="1:6" ht="18.75" customHeight="1" x14ac:dyDescent="0.15">
      <c r="A73" s="6"/>
      <c r="B73" s="265"/>
      <c r="C73" s="266"/>
      <c r="D73" s="266"/>
      <c r="E73" s="266"/>
      <c r="F73" s="267"/>
    </row>
    <row r="74" spans="1:6" ht="18.75" customHeight="1" x14ac:dyDescent="0.15">
      <c r="A74" s="6"/>
      <c r="B74" s="265"/>
      <c r="C74" s="266"/>
      <c r="D74" s="266"/>
      <c r="E74" s="266"/>
      <c r="F74" s="267"/>
    </row>
    <row r="75" spans="1:6" ht="18.75" customHeight="1" x14ac:dyDescent="0.15">
      <c r="A75" s="6"/>
      <c r="B75" s="265"/>
      <c r="C75" s="266"/>
      <c r="D75" s="266"/>
      <c r="E75" s="266"/>
      <c r="F75" s="267"/>
    </row>
    <row r="76" spans="1:6" ht="18.75" customHeight="1" x14ac:dyDescent="0.15">
      <c r="A76" s="6"/>
      <c r="B76" s="265"/>
      <c r="C76" s="266"/>
      <c r="D76" s="266"/>
      <c r="E76" s="266"/>
      <c r="F76" s="267"/>
    </row>
    <row r="77" spans="1:6" ht="18.75" customHeight="1" x14ac:dyDescent="0.15">
      <c r="A77" s="6"/>
      <c r="B77" s="265"/>
      <c r="C77" s="266"/>
      <c r="D77" s="266"/>
      <c r="E77" s="266"/>
      <c r="F77" s="267"/>
    </row>
    <row r="78" spans="1:6" ht="18.75" customHeight="1" x14ac:dyDescent="0.15">
      <c r="A78" s="6"/>
      <c r="B78" s="265"/>
      <c r="C78" s="266"/>
      <c r="D78" s="266"/>
      <c r="E78" s="266"/>
      <c r="F78" s="267"/>
    </row>
    <row r="79" spans="1:6" ht="18.75" customHeight="1" x14ac:dyDescent="0.15">
      <c r="A79" s="6"/>
      <c r="B79" s="265"/>
      <c r="C79" s="266"/>
      <c r="D79" s="266"/>
      <c r="E79" s="266"/>
      <c r="F79" s="267"/>
    </row>
    <row r="80" spans="1:6" ht="18.75" customHeight="1" x14ac:dyDescent="0.15">
      <c r="A80" s="6"/>
      <c r="B80" s="265"/>
      <c r="C80" s="266"/>
      <c r="D80" s="266"/>
      <c r="E80" s="266"/>
      <c r="F80" s="267"/>
    </row>
    <row r="81" spans="1:6" ht="18.75" customHeight="1" x14ac:dyDescent="0.15">
      <c r="A81" s="6"/>
      <c r="B81" s="265"/>
      <c r="C81" s="266"/>
      <c r="D81" s="266"/>
      <c r="E81" s="266"/>
      <c r="F81" s="267"/>
    </row>
    <row r="82" spans="1:6" ht="18.75" customHeight="1" x14ac:dyDescent="0.15">
      <c r="A82" s="6"/>
      <c r="B82" s="265"/>
      <c r="C82" s="266"/>
      <c r="D82" s="266"/>
      <c r="E82" s="266"/>
      <c r="F82" s="267"/>
    </row>
    <row r="83" spans="1:6" ht="18.75" customHeight="1" x14ac:dyDescent="0.15">
      <c r="A83" s="31"/>
      <c r="B83" s="265"/>
      <c r="C83" s="266"/>
      <c r="D83" s="266"/>
      <c r="E83" s="266"/>
      <c r="F83" s="267"/>
    </row>
    <row r="84" spans="1:6" ht="18.75" customHeight="1" x14ac:dyDescent="0.15">
      <c r="A84" s="6"/>
      <c r="B84" s="265"/>
      <c r="C84" s="266"/>
      <c r="D84" s="266"/>
      <c r="E84" s="266"/>
      <c r="F84" s="267"/>
    </row>
    <row r="85" spans="1:6" ht="18.75" customHeight="1" x14ac:dyDescent="0.15">
      <c r="A85" s="6"/>
      <c r="B85" s="265"/>
      <c r="C85" s="266"/>
      <c r="D85" s="266"/>
      <c r="E85" s="266"/>
      <c r="F85" s="267"/>
    </row>
    <row r="86" spans="1:6" ht="18.75" customHeight="1" x14ac:dyDescent="0.15">
      <c r="A86" s="6"/>
      <c r="B86" s="265"/>
      <c r="C86" s="266"/>
      <c r="D86" s="266"/>
      <c r="E86" s="266"/>
      <c r="F86" s="267"/>
    </row>
    <row r="87" spans="1:6" ht="18.75" customHeight="1" x14ac:dyDescent="0.15">
      <c r="A87" s="6"/>
      <c r="B87" s="268"/>
      <c r="C87" s="269"/>
      <c r="D87" s="269"/>
      <c r="E87" s="269"/>
      <c r="F87" s="270"/>
    </row>
    <row r="88" spans="1:6" s="3" customFormat="1" ht="18.75" customHeight="1" x14ac:dyDescent="0.15">
      <c r="A88" s="2" t="s">
        <v>13</v>
      </c>
      <c r="B88" s="2" t="s">
        <v>94</v>
      </c>
      <c r="C88" s="2"/>
      <c r="D88" s="2"/>
      <c r="E88" s="2"/>
      <c r="F88" s="2"/>
    </row>
    <row r="89" spans="1:6" ht="18.75" customHeight="1" x14ac:dyDescent="0.15">
      <c r="A89" s="6"/>
      <c r="B89" s="262"/>
      <c r="C89" s="263"/>
      <c r="D89" s="263"/>
      <c r="E89" s="263"/>
      <c r="F89" s="264"/>
    </row>
    <row r="90" spans="1:6" ht="18.75" customHeight="1" x14ac:dyDescent="0.15">
      <c r="A90" s="6"/>
      <c r="B90" s="265"/>
      <c r="C90" s="266"/>
      <c r="D90" s="266"/>
      <c r="E90" s="266"/>
      <c r="F90" s="267"/>
    </row>
    <row r="91" spans="1:6" ht="18.75" customHeight="1" x14ac:dyDescent="0.15">
      <c r="A91" s="31"/>
      <c r="B91" s="265"/>
      <c r="C91" s="266"/>
      <c r="D91" s="266"/>
      <c r="E91" s="266"/>
      <c r="F91" s="267"/>
    </row>
    <row r="92" spans="1:6" ht="18.75" customHeight="1" x14ac:dyDescent="0.15">
      <c r="A92" s="31"/>
      <c r="B92" s="265"/>
      <c r="C92" s="266"/>
      <c r="D92" s="266"/>
      <c r="E92" s="266"/>
      <c r="F92" s="267"/>
    </row>
    <row r="93" spans="1:6" ht="18.75" customHeight="1" x14ac:dyDescent="0.15">
      <c r="A93" s="31"/>
      <c r="B93" s="265"/>
      <c r="C93" s="266"/>
      <c r="D93" s="266"/>
      <c r="E93" s="266"/>
      <c r="F93" s="267"/>
    </row>
    <row r="94" spans="1:6" ht="18.75" customHeight="1" x14ac:dyDescent="0.15">
      <c r="A94" s="31"/>
      <c r="B94" s="265"/>
      <c r="C94" s="266"/>
      <c r="D94" s="266"/>
      <c r="E94" s="266"/>
      <c r="F94" s="267"/>
    </row>
    <row r="95" spans="1:6" ht="18.75" customHeight="1" x14ac:dyDescent="0.15">
      <c r="A95" s="31"/>
      <c r="B95" s="265"/>
      <c r="C95" s="266"/>
      <c r="D95" s="266"/>
      <c r="E95" s="266"/>
      <c r="F95" s="267"/>
    </row>
    <row r="96" spans="1:6" ht="18.75" customHeight="1" x14ac:dyDescent="0.15">
      <c r="A96" s="31"/>
      <c r="B96" s="265"/>
      <c r="C96" s="266"/>
      <c r="D96" s="266"/>
      <c r="E96" s="266"/>
      <c r="F96" s="267"/>
    </row>
    <row r="97" spans="1:6" ht="18.75" customHeight="1" x14ac:dyDescent="0.15">
      <c r="A97" s="31"/>
      <c r="B97" s="265"/>
      <c r="C97" s="266"/>
      <c r="D97" s="266"/>
      <c r="E97" s="266"/>
      <c r="F97" s="267"/>
    </row>
    <row r="98" spans="1:6" ht="18.75" customHeight="1" x14ac:dyDescent="0.15">
      <c r="A98" s="31"/>
      <c r="B98" s="265"/>
      <c r="C98" s="266"/>
      <c r="D98" s="266"/>
      <c r="E98" s="266"/>
      <c r="F98" s="267"/>
    </row>
    <row r="99" spans="1:6" ht="18.75" customHeight="1" x14ac:dyDescent="0.15">
      <c r="A99" s="31"/>
      <c r="B99" s="265"/>
      <c r="C99" s="266"/>
      <c r="D99" s="266"/>
      <c r="E99" s="266"/>
      <c r="F99" s="267"/>
    </row>
    <row r="100" spans="1:6" ht="18.75" customHeight="1" x14ac:dyDescent="0.15">
      <c r="A100" s="31"/>
      <c r="B100" s="265"/>
      <c r="C100" s="266"/>
      <c r="D100" s="266"/>
      <c r="E100" s="266"/>
      <c r="F100" s="267"/>
    </row>
    <row r="101" spans="1:6" ht="18.75" customHeight="1" x14ac:dyDescent="0.15">
      <c r="A101" s="31"/>
      <c r="B101" s="265"/>
      <c r="C101" s="266"/>
      <c r="D101" s="266"/>
      <c r="E101" s="266"/>
      <c r="F101" s="267"/>
    </row>
    <row r="102" spans="1:6" ht="18.75" customHeight="1" x14ac:dyDescent="0.15">
      <c r="A102" s="31"/>
      <c r="B102" s="265"/>
      <c r="C102" s="266"/>
      <c r="D102" s="266"/>
      <c r="E102" s="266"/>
      <c r="F102" s="267"/>
    </row>
    <row r="103" spans="1:6" ht="18.75" customHeight="1" x14ac:dyDescent="0.15">
      <c r="A103" s="31"/>
      <c r="B103" s="265"/>
      <c r="C103" s="266"/>
      <c r="D103" s="266"/>
      <c r="E103" s="266"/>
      <c r="F103" s="267"/>
    </row>
    <row r="104" spans="1:6" ht="18.75" customHeight="1" x14ac:dyDescent="0.15">
      <c r="A104" s="31"/>
      <c r="B104" s="265"/>
      <c r="C104" s="266"/>
      <c r="D104" s="266"/>
      <c r="E104" s="266"/>
      <c r="F104" s="267"/>
    </row>
    <row r="105" spans="1:6" ht="18.75" customHeight="1" x14ac:dyDescent="0.15">
      <c r="A105" s="31"/>
      <c r="B105" s="265"/>
      <c r="C105" s="266"/>
      <c r="D105" s="266"/>
      <c r="E105" s="266"/>
      <c r="F105" s="267"/>
    </row>
    <row r="106" spans="1:6" ht="18.75" customHeight="1" x14ac:dyDescent="0.15">
      <c r="A106" s="31"/>
      <c r="B106" s="265"/>
      <c r="C106" s="266"/>
      <c r="D106" s="266"/>
      <c r="E106" s="266"/>
      <c r="F106" s="267"/>
    </row>
    <row r="107" spans="1:6" ht="18.75" customHeight="1" x14ac:dyDescent="0.15">
      <c r="A107" s="31"/>
      <c r="B107" s="265"/>
      <c r="C107" s="266"/>
      <c r="D107" s="266"/>
      <c r="E107" s="266"/>
      <c r="F107" s="267"/>
    </row>
    <row r="108" spans="1:6" ht="18.75" customHeight="1" x14ac:dyDescent="0.15">
      <c r="A108" s="31"/>
      <c r="B108" s="265"/>
      <c r="C108" s="266"/>
      <c r="D108" s="266"/>
      <c r="E108" s="266"/>
      <c r="F108" s="267"/>
    </row>
    <row r="109" spans="1:6" ht="18.75" customHeight="1" x14ac:dyDescent="0.15">
      <c r="A109" s="31"/>
      <c r="B109" s="265"/>
      <c r="C109" s="266"/>
      <c r="D109" s="266"/>
      <c r="E109" s="266"/>
      <c r="F109" s="267"/>
    </row>
    <row r="110" spans="1:6" ht="18.75" customHeight="1" x14ac:dyDescent="0.15">
      <c r="A110" s="31"/>
      <c r="B110" s="265"/>
      <c r="C110" s="266"/>
      <c r="D110" s="266"/>
      <c r="E110" s="266"/>
      <c r="F110" s="267"/>
    </row>
    <row r="111" spans="1:6" ht="18.75" customHeight="1" x14ac:dyDescent="0.15">
      <c r="A111" s="31"/>
      <c r="B111" s="265"/>
      <c r="C111" s="266"/>
      <c r="D111" s="266"/>
      <c r="E111" s="266"/>
      <c r="F111" s="267"/>
    </row>
    <row r="112" spans="1:6" ht="18.75" customHeight="1" x14ac:dyDescent="0.15">
      <c r="A112" s="31"/>
      <c r="B112" s="265"/>
      <c r="C112" s="266"/>
      <c r="D112" s="266"/>
      <c r="E112" s="266"/>
      <c r="F112" s="267"/>
    </row>
    <row r="113" spans="1:6" ht="18.75" customHeight="1" x14ac:dyDescent="0.15">
      <c r="A113" s="31"/>
      <c r="B113" s="265"/>
      <c r="C113" s="266"/>
      <c r="D113" s="266"/>
      <c r="E113" s="266"/>
      <c r="F113" s="267"/>
    </row>
    <row r="114" spans="1:6" ht="18.75" customHeight="1" x14ac:dyDescent="0.15">
      <c r="A114" s="31"/>
      <c r="B114" s="265"/>
      <c r="C114" s="266"/>
      <c r="D114" s="266"/>
      <c r="E114" s="266"/>
      <c r="F114" s="267"/>
    </row>
    <row r="115" spans="1:6" ht="18.75" customHeight="1" x14ac:dyDescent="0.15">
      <c r="A115" s="6"/>
      <c r="B115" s="265"/>
      <c r="C115" s="266"/>
      <c r="D115" s="266"/>
      <c r="E115" s="266"/>
      <c r="F115" s="267"/>
    </row>
    <row r="116" spans="1:6" ht="18.75" customHeight="1" x14ac:dyDescent="0.15">
      <c r="A116" s="6"/>
      <c r="B116" s="265"/>
      <c r="C116" s="266"/>
      <c r="D116" s="266"/>
      <c r="E116" s="266"/>
      <c r="F116" s="267"/>
    </row>
    <row r="117" spans="1:6" ht="18.75" customHeight="1" x14ac:dyDescent="0.15">
      <c r="A117" s="6"/>
      <c r="B117" s="265"/>
      <c r="C117" s="266"/>
      <c r="D117" s="266"/>
      <c r="E117" s="266"/>
      <c r="F117" s="267"/>
    </row>
    <row r="118" spans="1:6" ht="18.75" customHeight="1" x14ac:dyDescent="0.15">
      <c r="A118" s="6"/>
      <c r="B118" s="265"/>
      <c r="C118" s="266"/>
      <c r="D118" s="266"/>
      <c r="E118" s="266"/>
      <c r="F118" s="267"/>
    </row>
    <row r="119" spans="1:6" ht="18.75" customHeight="1" x14ac:dyDescent="0.15">
      <c r="A119" s="6"/>
      <c r="B119" s="265"/>
      <c r="C119" s="266"/>
      <c r="D119" s="266"/>
      <c r="E119" s="266"/>
      <c r="F119" s="267"/>
    </row>
    <row r="120" spans="1:6" ht="18.75" customHeight="1" x14ac:dyDescent="0.15">
      <c r="A120" s="6"/>
      <c r="B120" s="265"/>
      <c r="C120" s="266"/>
      <c r="D120" s="266"/>
      <c r="E120" s="266"/>
      <c r="F120" s="267"/>
    </row>
    <row r="121" spans="1:6" ht="18.75" customHeight="1" x14ac:dyDescent="0.15">
      <c r="A121" s="6"/>
      <c r="B121" s="265"/>
      <c r="C121" s="266"/>
      <c r="D121" s="266"/>
      <c r="E121" s="266"/>
      <c r="F121" s="267"/>
    </row>
    <row r="122" spans="1:6" ht="18.75" customHeight="1" x14ac:dyDescent="0.15">
      <c r="A122" s="6"/>
      <c r="B122" s="265"/>
      <c r="C122" s="266"/>
      <c r="D122" s="266"/>
      <c r="E122" s="266"/>
      <c r="F122" s="267"/>
    </row>
    <row r="123" spans="1:6" ht="18.75" customHeight="1" x14ac:dyDescent="0.15">
      <c r="A123" s="6"/>
      <c r="B123" s="265"/>
      <c r="C123" s="266"/>
      <c r="D123" s="266"/>
      <c r="E123" s="266"/>
      <c r="F123" s="267"/>
    </row>
    <row r="124" spans="1:6" ht="18.75" customHeight="1" x14ac:dyDescent="0.15">
      <c r="A124" s="6"/>
      <c r="B124" s="265"/>
      <c r="C124" s="266"/>
      <c r="D124" s="266"/>
      <c r="E124" s="266"/>
      <c r="F124" s="267"/>
    </row>
    <row r="125" spans="1:6" ht="18.75" customHeight="1" x14ac:dyDescent="0.15">
      <c r="A125" s="6"/>
      <c r="B125" s="265"/>
      <c r="C125" s="266"/>
      <c r="D125" s="266"/>
      <c r="E125" s="266"/>
      <c r="F125" s="267"/>
    </row>
    <row r="126" spans="1:6" ht="18.75" customHeight="1" x14ac:dyDescent="0.15">
      <c r="A126" s="6"/>
      <c r="B126" s="265"/>
      <c r="C126" s="266"/>
      <c r="D126" s="266"/>
      <c r="E126" s="266"/>
      <c r="F126" s="267"/>
    </row>
    <row r="127" spans="1:6" ht="18.75" customHeight="1" x14ac:dyDescent="0.15">
      <c r="A127" s="6"/>
      <c r="B127" s="265"/>
      <c r="C127" s="266"/>
      <c r="D127" s="266"/>
      <c r="E127" s="266"/>
      <c r="F127" s="267"/>
    </row>
    <row r="128" spans="1:6" ht="18.75" customHeight="1" x14ac:dyDescent="0.15">
      <c r="A128" s="6"/>
      <c r="B128" s="265"/>
      <c r="C128" s="266"/>
      <c r="D128" s="266"/>
      <c r="E128" s="266"/>
      <c r="F128" s="267"/>
    </row>
    <row r="129" spans="1:6" ht="18.75" customHeight="1" x14ac:dyDescent="0.15">
      <c r="A129" s="6"/>
      <c r="B129" s="265"/>
      <c r="C129" s="266"/>
      <c r="D129" s="266"/>
      <c r="E129" s="266"/>
      <c r="F129" s="267"/>
    </row>
    <row r="130" spans="1:6" ht="18.75" customHeight="1" x14ac:dyDescent="0.15">
      <c r="A130" s="6"/>
      <c r="B130" s="268"/>
      <c r="C130" s="269"/>
      <c r="D130" s="269"/>
      <c r="E130" s="269"/>
      <c r="F130" s="270"/>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（申請しない）様式７　特色ある取組</vt:lpstr>
      <vt:lpstr>'（申請しない）様式７　特色ある取組'!Print_Area</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mitgaku11</cp:lastModifiedBy>
  <cp:lastPrinted>2021-07-13T04:15:16Z</cp:lastPrinted>
  <dcterms:created xsi:type="dcterms:W3CDTF">2011-06-14T05:32:50Z</dcterms:created>
  <dcterms:modified xsi:type="dcterms:W3CDTF">2021-07-13T04:15:21Z</dcterms:modified>
</cp:coreProperties>
</file>