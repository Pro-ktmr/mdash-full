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nunas.nagasaki-u.ac.jp\share\教育支援課総務班\★補助金関係\R３　数理データ\提出後の文科省からの照会\２回目\２回目提出用\"/>
    </mc:Choice>
  </mc:AlternateContent>
  <bookViews>
    <workbookView xWindow="0" yWindow="0" windowWidth="28800" windowHeight="11460" tabRatio="885" activeTab="7"/>
  </bookViews>
  <sheets>
    <sheet name="様式１　大学等概要" sheetId="8" r:id="rId1"/>
    <sheet name="様式２　プログラムを構成する授業科目" sheetId="9" r:id="rId2"/>
    <sheet name="様式３　履修者等数の実績" sheetId="31" r:id="rId3"/>
    <sheet name="様式4　プログラムの授業内容・概要" sheetId="34" r:id="rId4"/>
    <sheet name="様式５　教育の質・履修者数を向上させるための体制・計画" sheetId="35" r:id="rId5"/>
    <sheet name="様式６　自己点検・評価" sheetId="36" r:id="rId6"/>
    <sheet name="様式７　特色ある取組" sheetId="29" r:id="rId7"/>
    <sheet name="Sheet1" sheetId="37" r:id="rId8"/>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履修者等数の実績'!$A$1:$R$29</definedName>
    <definedName name="_xlnm.Print_Area" localSheetId="4">'様式５　教育の質・履修者数を向上させるための体制・計画'!$A$1:$E$135</definedName>
    <definedName name="_xlnm.Print_Area" localSheetId="5">'様式６　自己点検・評価'!$A$1:$J$20</definedName>
    <definedName name="_xlnm.Print_Area" localSheetId="6">'様式７　特色ある取組'!$A$1:$F$130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<sst xmlns="http://schemas.openxmlformats.org/spreadsheetml/2006/main" count="277" uniqueCount="204">
  <si>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</si>
  <si>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</si>
  <si>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</si>
  <si>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</si>
  <si>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</si>
  <si>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</si>
  <si>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</si>
  <si>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</si>
  <si>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</si>
  <si>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</si>
  <si>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</si>
  <si>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</si>
  <si>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</si>
  <si>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</si>
  <si>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</si>
  <si>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</si>
  <si>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様式７</t>
    <rPh sb="0" eb="2">
      <t>ヨウシキ</t>
    </rPh>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</si>
  <si>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</si>
  <si>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</si>
  <si>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</si>
  <si>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</si>
  <si>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</si>
  <si>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</si>
  <si>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</si>
  <si>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</si>
  <si>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</si>
  <si>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</si>
  <si>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</si>
  <si>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</si>
  <si>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</si>
  <si>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</si>
  <si>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</si>
  <si>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</si>
  <si>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</si>
  <si>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</si>
  <si>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</si>
  <si>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</si>
  <si>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</si>
  <si>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</si>
  <si>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</si>
  <si>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</si>
  <si>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</si>
  <si>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</si>
  <si>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</si>
  <si>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</si>
  <si>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</si>
  <si>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</si>
  <si>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</si>
  <si>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</si>
  <si>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</si>
  <si>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</si>
  <si>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</si>
  <si>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</si>
  <si>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</si>
  <si>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</si>
  <si>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</si>
  <si>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</si>
  <si>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</si>
  <si>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</si>
  <si>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</si>
  <si>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</si>
  <si>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</si>
  <si>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</si>
  <si>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</si>
  <si>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</si>
  <si>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</si>
  <si>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</si>
  <si>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</si>
  <si>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</si>
  <si>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</si>
  <si>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</si>
  <si>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</si>
  <si>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</si>
  <si>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</si>
  <si>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</si>
  <si>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学校名：</t>
    <rPh sb="0" eb="2">
      <t>ガッコウ</t>
    </rPh>
    <rPh sb="2" eb="3">
      <t>メイ</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</si>
  <si>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</si>
  <si>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</si>
  <si>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</si>
  <si>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</si>
  <si>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</si>
  <si>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</si>
  <si>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</si>
  <si>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</si>
  <si>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</si>
  <si>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</si>
  <si>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</si>
  <si>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</si>
  <si>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</si>
  <si>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</si>
  <si>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</si>
  <si>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</si>
  <si>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</si>
  <si>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</si>
  <si>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</si>
  <si>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</si>
  <si>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</si>
  <si>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</si>
  <si>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</si>
  <si>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</si>
  <si>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</si>
  <si>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</si>
  <si>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</si>
  <si>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</si>
  <si>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</si>
  <si>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</si>
  <si>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</si>
  <si>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</si>
  <si>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</si>
  <si>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</si>
  <si>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</si>
  <si>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</si>
  <si>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</si>
  <si>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</si>
  <si>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</si>
  <si>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</si>
  <si>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</si>
  <si>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</si>
  <si>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</si>
  <si>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</si>
  <si>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</si>
  <si>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</si>
  <si>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</si>
  <si>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</si>
  <si>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</si>
  <si>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</si>
  <si>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</si>
  <si>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</si>
  <si>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</si>
  <si>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</si>
  <si>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</si>
  <si>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</si>
  <si>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</si>
  <si>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</si>
  <si>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長崎大学</t>
    <rPh sb="0" eb="4">
      <t>ナガサキダイガク</t>
    </rPh>
    <phoneticPr fontId="1"/>
  </si>
  <si>
    <t>国立大学</t>
  </si>
  <si>
    <t>森口 勇</t>
    <phoneticPr fontId="1"/>
  </si>
  <si>
    <t>認定教育プログラムと認定教育プログラム+（プラス）</t>
  </si>
  <si>
    <t>学部・学科によって、修了要件は相違しない</t>
  </si>
  <si>
    <t>令和２年度</t>
    <rPh sb="0" eb="2">
      <t>レイワ</t>
    </rPh>
    <rPh sb="3" eb="5">
      <t>ネンド</t>
    </rPh>
    <phoneticPr fontId="1"/>
  </si>
  <si>
    <t>データサイエンスの役割（１）</t>
    <rPh sb="9" eb="11">
      <t>ヤクワリ</t>
    </rPh>
    <phoneticPr fontId="1"/>
  </si>
  <si>
    <t>データサイエンスの役割（１）、データサイエンスの応用事例（７）</t>
    <rPh sb="9" eb="11">
      <t>ヤクワリ</t>
    </rPh>
    <phoneticPr fontId="1"/>
  </si>
  <si>
    <t>データ分析の基礎（２～３）、データサイエンスの手法（４）、コンピュータを用いた分析（５～６）</t>
    <rPh sb="36" eb="37">
      <t>モチ</t>
    </rPh>
    <rPh sb="39" eb="41">
      <t>ブンセキ</t>
    </rPh>
    <phoneticPr fontId="1"/>
  </si>
  <si>
    <t>岳川 真児</t>
    <rPh sb="0" eb="1">
      <t>ガク</t>
    </rPh>
    <rPh sb="1" eb="2">
      <t>カワ</t>
    </rPh>
    <rPh sb="3" eb="4">
      <t>マコト</t>
    </rPh>
    <rPh sb="4" eb="5">
      <t>ジ</t>
    </rPh>
    <phoneticPr fontId="1"/>
  </si>
  <si>
    <t>takegawa@nagasaki-u.ac.jp</t>
    <phoneticPr fontId="1"/>
  </si>
  <si>
    <t>モデルカリキュラムのリテラシーレベルの導入部分に沿う形で、社会におけるデータサイエンスの身近な事例と、自然科学、社会科学、ビジネスといった幅広い分野での応用を紹介することで、学ぶ楽しさと学ぶことの意義が理解できる学修プログラムとなっている</t>
    <rPh sb="19" eb="23">
      <t>ドウニュウブブン</t>
    </rPh>
    <rPh sb="24" eb="25">
      <t>ソ</t>
    </rPh>
    <rPh sb="26" eb="27">
      <t>カタチ</t>
    </rPh>
    <rPh sb="29" eb="31">
      <t>シャカイ</t>
    </rPh>
    <rPh sb="44" eb="46">
      <t>ミジカ</t>
    </rPh>
    <rPh sb="47" eb="49">
      <t>ジレイ</t>
    </rPh>
    <rPh sb="51" eb="55">
      <t>シゼンカガク</t>
    </rPh>
    <rPh sb="56" eb="60">
      <t>シャカイカガク</t>
    </rPh>
    <rPh sb="69" eb="71">
      <t>ハバヒロ</t>
    </rPh>
    <rPh sb="72" eb="74">
      <t>ブンヤ</t>
    </rPh>
    <rPh sb="76" eb="78">
      <t>オウヨウ</t>
    </rPh>
    <rPh sb="79" eb="81">
      <t>ショウカイ</t>
    </rPh>
    <rPh sb="87" eb="88">
      <t>マナ</t>
    </rPh>
    <rPh sb="89" eb="90">
      <t>タノ</t>
    </rPh>
    <rPh sb="93" eb="94">
      <t>マナ</t>
    </rPh>
    <rPh sb="98" eb="100">
      <t>イギ</t>
    </rPh>
    <rPh sb="101" eb="103">
      <t>リカイ</t>
    </rPh>
    <rPh sb="106" eb="108">
      <t>ガクシュウ</t>
    </rPh>
    <phoneticPr fontId="1"/>
  </si>
  <si>
    <t>長崎市文教町１番１４号</t>
    <phoneticPr fontId="1"/>
  </si>
  <si>
    <t>数理・データサイエンス・AIは万能ではないことを学ぶ。帰納的推論と演繹推論の違いを知り、その欠点と利点を理解するとともに、現在のデータサイエンス・AI技術でできることとできないことを理解する。データ・AIを利活用する上でのELSI、個人情報、データ倫理、AI社会原則等の留意事項を学習する。さらに、情報セキュリティ、情報漏洩等のデータを守るための留意事項を学習する。</t>
    <rPh sb="0" eb="2">
      <t>スウリ</t>
    </rPh>
    <rPh sb="15" eb="17">
      <t>バンノウ</t>
    </rPh>
    <rPh sb="24" eb="25">
      <t>マナ</t>
    </rPh>
    <rPh sb="27" eb="30">
      <t>キノウテキ</t>
    </rPh>
    <rPh sb="30" eb="32">
      <t>スイロン</t>
    </rPh>
    <rPh sb="33" eb="35">
      <t>エンエキ</t>
    </rPh>
    <rPh sb="35" eb="37">
      <t>スイロン</t>
    </rPh>
    <rPh sb="38" eb="39">
      <t>チガ</t>
    </rPh>
    <rPh sb="41" eb="42">
      <t>シ</t>
    </rPh>
    <rPh sb="46" eb="48">
      <t>ケッテン</t>
    </rPh>
    <rPh sb="49" eb="51">
      <t>リテン</t>
    </rPh>
    <rPh sb="52" eb="54">
      <t>リカイ</t>
    </rPh>
    <rPh sb="61" eb="63">
      <t>ゲンザイ</t>
    </rPh>
    <rPh sb="75" eb="77">
      <t>ギジュツ</t>
    </rPh>
    <rPh sb="91" eb="93">
      <t>リカイ</t>
    </rPh>
    <rPh sb="116" eb="118">
      <t>コジン</t>
    </rPh>
    <rPh sb="118" eb="120">
      <t>ジョウホウ</t>
    </rPh>
    <rPh sb="124" eb="126">
      <t>リンリ</t>
    </rPh>
    <rPh sb="129" eb="131">
      <t>シャカイ</t>
    </rPh>
    <rPh sb="131" eb="133">
      <t>ゲンソク</t>
    </rPh>
    <rPh sb="133" eb="134">
      <t>ナド</t>
    </rPh>
    <rPh sb="135" eb="137">
      <t>リュウイ</t>
    </rPh>
    <rPh sb="137" eb="139">
      <t>ジコウ</t>
    </rPh>
    <rPh sb="140" eb="142">
      <t>ガクシュウ</t>
    </rPh>
    <rPh sb="149" eb="151">
      <t>ジョウホウ</t>
    </rPh>
    <rPh sb="158" eb="160">
      <t>ジョウホウ</t>
    </rPh>
    <rPh sb="160" eb="162">
      <t>ロウエイ</t>
    </rPh>
    <rPh sb="162" eb="163">
      <t>トウ</t>
    </rPh>
    <rPh sb="173" eb="175">
      <t>リュウイ</t>
    </rPh>
    <rPh sb="175" eb="177">
      <t>ジコウ</t>
    </rPh>
    <rPh sb="178" eb="180">
      <t>ガクシュウ</t>
    </rPh>
    <phoneticPr fontId="1"/>
  </si>
  <si>
    <t>データの収集方法も含めたデータ分析と統計学の基礎的事項を学習し、データを読み解き、適切に説明し、取り扱うための力を養う。データサイエンスと統計学の手法を学習し、データ分析用プログラミング言語によってデータ・AIを利活用できることを知る。</t>
    <rPh sb="4" eb="6">
      <t>シュウシュウ</t>
    </rPh>
    <rPh sb="6" eb="8">
      <t>ホウホウ</t>
    </rPh>
    <rPh sb="9" eb="10">
      <t>フク</t>
    </rPh>
    <rPh sb="15" eb="17">
      <t>ブンセキ</t>
    </rPh>
    <rPh sb="22" eb="24">
      <t>キソ</t>
    </rPh>
    <rPh sb="24" eb="25">
      <t>テキ</t>
    </rPh>
    <rPh sb="25" eb="27">
      <t>ジコウ</t>
    </rPh>
    <rPh sb="28" eb="30">
      <t>ガクシュウ</t>
    </rPh>
    <rPh sb="36" eb="37">
      <t>ヨ</t>
    </rPh>
    <rPh sb="38" eb="39">
      <t>ト</t>
    </rPh>
    <rPh sb="41" eb="43">
      <t>テキセツ</t>
    </rPh>
    <rPh sb="44" eb="46">
      <t>セツメイ</t>
    </rPh>
    <rPh sb="48" eb="49">
      <t>ト</t>
    </rPh>
    <rPh sb="50" eb="51">
      <t>アツカ</t>
    </rPh>
    <rPh sb="55" eb="56">
      <t>チカラ</t>
    </rPh>
    <rPh sb="57" eb="58">
      <t>ヤシナ</t>
    </rPh>
    <rPh sb="69" eb="72">
      <t>トウケイガク</t>
    </rPh>
    <rPh sb="73" eb="75">
      <t>シュホウ</t>
    </rPh>
    <rPh sb="76" eb="78">
      <t>ガクシュウ</t>
    </rPh>
    <rPh sb="83" eb="85">
      <t>ブンセキ</t>
    </rPh>
    <rPh sb="85" eb="86">
      <t>ヨウ</t>
    </rPh>
    <rPh sb="93" eb="95">
      <t>ゲンゴ</t>
    </rPh>
    <rPh sb="115" eb="116">
      <t>シ</t>
    </rPh>
    <phoneticPr fontId="1"/>
  </si>
  <si>
    <t>統計学とは（１）、データの縮約（２）、データのばらつきの指標（３）、確率変数と確率分布（４）、推定の基礎（５）、仮説検定（６）、回帰モデル（７）</t>
    <rPh sb="0" eb="3">
      <t>トウケイガク</t>
    </rPh>
    <rPh sb="13" eb="15">
      <t>シュクヤク</t>
    </rPh>
    <rPh sb="28" eb="30">
      <t>シヒョウ</t>
    </rPh>
    <rPh sb="34" eb="36">
      <t>カクリツ</t>
    </rPh>
    <rPh sb="36" eb="38">
      <t>ヘンスウ</t>
    </rPh>
    <rPh sb="39" eb="41">
      <t>カクリツ</t>
    </rPh>
    <rPh sb="41" eb="43">
      <t>ブンプ</t>
    </rPh>
    <rPh sb="47" eb="49">
      <t>スイテイ</t>
    </rPh>
    <rPh sb="50" eb="52">
      <t>キソ</t>
    </rPh>
    <rPh sb="56" eb="58">
      <t>カセツ</t>
    </rPh>
    <rPh sb="58" eb="60">
      <t>ケンテイ</t>
    </rPh>
    <rPh sb="64" eb="66">
      <t>カイキ</t>
    </rPh>
    <phoneticPr fontId="1"/>
  </si>
  <si>
    <t xml:space="preserve">
データの処理、集計、可視化、分析を行うためのデータサイエンスの基礎的事項を学習し、社会における事象を適切に捉え、分析・説明できる力。様々な分野に共通するデータの集計、分析、解釈を行うための統計学の基礎的事項。
</t>
    <rPh sb="67" eb="69">
      <t>サマザマ</t>
    </rPh>
    <rPh sb="70" eb="72">
      <t>ブンヤ</t>
    </rPh>
    <rPh sb="73" eb="75">
      <t>キョウツウ</t>
    </rPh>
    <rPh sb="81" eb="83">
      <t>シュウケイ</t>
    </rPh>
    <rPh sb="84" eb="86">
      <t>ブンセキ</t>
    </rPh>
    <rPh sb="87" eb="89">
      <t>カイシャク</t>
    </rPh>
    <rPh sb="90" eb="91">
      <t>オコナ</t>
    </rPh>
    <rPh sb="95" eb="98">
      <t>トウケイガク</t>
    </rPh>
    <rPh sb="99" eb="102">
      <t>キソテキ</t>
    </rPh>
    <rPh sb="102" eb="104">
      <t>ジコウ</t>
    </rPh>
    <phoneticPr fontId="1"/>
  </si>
  <si>
    <t>学生への学習支援</t>
    <phoneticPr fontId="1"/>
  </si>
  <si>
    <t>学部・学科に関係なく希望する学生全員が受講可能となるような必要な体制・取組等</t>
    <rPh sb="0" eb="2">
      <t>ガクブ</t>
    </rPh>
    <rPh sb="3" eb="5">
      <t>ガッカ</t>
    </rPh>
    <rPh sb="6" eb="8">
      <t>カンケイ</t>
    </rPh>
    <rPh sb="10" eb="12">
      <t>キボウ</t>
    </rPh>
    <rPh sb="14" eb="16">
      <t>ガクセイ</t>
    </rPh>
    <rPh sb="16" eb="18">
      <t>ゼンイン</t>
    </rPh>
    <rPh sb="19" eb="21">
      <t>ジュコウ</t>
    </rPh>
    <rPh sb="21" eb="23">
      <t>カノウ</t>
    </rPh>
    <rPh sb="29" eb="31">
      <t>ヒツヨウ</t>
    </rPh>
    <rPh sb="32" eb="34">
      <t>タイセイ</t>
    </rPh>
    <rPh sb="35" eb="37">
      <t>トリクミ</t>
    </rPh>
    <rPh sb="37" eb="38">
      <t>トウ</t>
    </rPh>
    <phoneticPr fontId="1"/>
  </si>
  <si>
    <t>情報データ科学部が行っているPBL（Project Based Learning）参加企業から、授業コンテンツへの意見募集を予定している。</t>
    <rPh sb="0" eb="2">
      <t>ジョウホウ</t>
    </rPh>
    <rPh sb="5" eb="8">
      <t>カガクブ</t>
    </rPh>
    <rPh sb="9" eb="10">
      <t>オコナ</t>
    </rPh>
    <rPh sb="41" eb="43">
      <t>サンカ</t>
    </rPh>
    <rPh sb="43" eb="45">
      <t>キギョウ</t>
    </rPh>
    <rPh sb="48" eb="50">
      <t>ジュギョウ</t>
    </rPh>
    <rPh sb="57" eb="59">
      <t>イケン</t>
    </rPh>
    <rPh sb="59" eb="61">
      <t>ボシュウ</t>
    </rPh>
    <rPh sb="62" eb="64">
      <t>ヨテイ</t>
    </rPh>
    <phoneticPr fontId="1"/>
  </si>
  <si>
    <t>本教育プログラムを「NICEキャンパス長崎」で提供することで地域連携に取り組む。NICEキャンパス長崎は、長崎県内全ての大学等（ 長崎大学、 長崎県立大学佐世保校、長崎県立大学シーボルト校、長崎総合科学大学、活水女子大学、長崎純心大学、長崎国際大学、長崎外国語大学、鎮西学院大学、長崎女子短期大学、長崎短期大学、佐世保工業高等専門学校）が参加し、平成１３年度からスタートした単位互換制度である。 「NICE」の名称は Nagasaki Intercollegiate（大学間）Credit（単位）Exchange（互換）の頭文字をとってつけられたものである。単位互換制度は、各大学等が提供している特色ある授業科目の中から、希望する科目を履修し、科目開設大学等で単位を修得すれば 所属大学等の単位として認定される。また、認定された単位のうち、所定の要件を満たすものについては、卒業要件単位として 活用することもできる。地域連携としては、NICEキャンパスで本プログラムを長崎県内の公立大学、私立大学、短期大学、高等専門学校に提供する。さらに、長崎大学は、数理・データサイエンス教育強化拠点コンソーシアムの協力校であり、九州・沖縄ブロックでの活動を通じた周辺大学・短大・高等専門学校のデータリテラシー教育の普及、教材開発の情報提供を行っている。また当該プログラムで開発した授業コンテンツを企業のリカレント教育に用いる予定としている。本授業を担当している情報データ科学部は、企業とのPBL（Project Based Learning）を行っており、参加企業に授業コンテンツの意見募集を行うことで授業コンテンツのアップデートを行っていく。</t>
    <rPh sb="0" eb="1">
      <t>ホン</t>
    </rPh>
    <rPh sb="1" eb="3">
      <t>キョウイク</t>
    </rPh>
    <rPh sb="23" eb="25">
      <t>テイキョウ</t>
    </rPh>
    <rPh sb="49" eb="51">
      <t>ナガサキ</t>
    </rPh>
    <rPh sb="427" eb="428">
      <t>ホン</t>
    </rPh>
    <rPh sb="434" eb="436">
      <t>ナガサキ</t>
    </rPh>
    <rPh sb="436" eb="438">
      <t>ケンナイ</t>
    </rPh>
    <rPh sb="439" eb="441">
      <t>コウリツ</t>
    </rPh>
    <rPh sb="441" eb="443">
      <t>ダイガク</t>
    </rPh>
    <rPh sb="444" eb="446">
      <t>シリツ</t>
    </rPh>
    <rPh sb="446" eb="448">
      <t>ダイガク</t>
    </rPh>
    <rPh sb="449" eb="451">
      <t>タンキ</t>
    </rPh>
    <rPh sb="451" eb="453">
      <t>ダイガク</t>
    </rPh>
    <rPh sb="454" eb="460">
      <t>コウトウセンモンガッコウ</t>
    </rPh>
    <rPh sb="461" eb="463">
      <t>テイキョウ</t>
    </rPh>
    <rPh sb="470" eb="474">
      <t>ナガサキダイガク</t>
    </rPh>
    <rPh sb="501" eb="504">
      <t>キョウリョクコウ</t>
    </rPh>
    <rPh sb="508" eb="510">
      <t>キュウシュウ</t>
    </rPh>
    <rPh sb="511" eb="513">
      <t>オキナワ</t>
    </rPh>
    <rPh sb="519" eb="521">
      <t>カツドウ</t>
    </rPh>
    <rPh sb="522" eb="523">
      <t>ツウ</t>
    </rPh>
    <rPh sb="525" eb="527">
      <t>シュウヘン</t>
    </rPh>
    <rPh sb="527" eb="529">
      <t>ダイガク</t>
    </rPh>
    <rPh sb="530" eb="532">
      <t>タンダイ</t>
    </rPh>
    <rPh sb="533" eb="535">
      <t>コウトウ</t>
    </rPh>
    <rPh sb="535" eb="537">
      <t>センモン</t>
    </rPh>
    <rPh sb="537" eb="539">
      <t>ガッコウ</t>
    </rPh>
    <rPh sb="548" eb="550">
      <t>キョウイク</t>
    </rPh>
    <rPh sb="551" eb="553">
      <t>フキュウ</t>
    </rPh>
    <rPh sb="564" eb="565">
      <t>オコナ</t>
    </rPh>
    <rPh sb="572" eb="574">
      <t>トウガイ</t>
    </rPh>
    <rPh sb="580" eb="582">
      <t>カイハツ</t>
    </rPh>
    <rPh sb="592" eb="594">
      <t>キギョウ</t>
    </rPh>
    <rPh sb="600" eb="602">
      <t>キョウイク</t>
    </rPh>
    <rPh sb="614" eb="615">
      <t>ホン</t>
    </rPh>
    <rPh sb="615" eb="617">
      <t>ジュギョウ</t>
    </rPh>
    <rPh sb="618" eb="620">
      <t>タントウ</t>
    </rPh>
    <rPh sb="634" eb="636">
      <t>キギョウ</t>
    </rPh>
    <rPh sb="666" eb="667">
      <t>オコナ</t>
    </rPh>
    <rPh sb="687" eb="689">
      <t>ボシュウ</t>
    </rPh>
    <rPh sb="690" eb="691">
      <t>オコナ</t>
    </rPh>
    <rPh sb="695" eb="697">
      <t>ジュギョウ</t>
    </rPh>
    <rPh sb="710" eb="711">
      <t>オコナ</t>
    </rPh>
    <phoneticPr fontId="1"/>
  </si>
  <si>
    <t>教学担当理事</t>
    <rPh sb="0" eb="2">
      <t>キョウガク</t>
    </rPh>
    <rPh sb="2" eb="4">
      <t>タントウ</t>
    </rPh>
    <rPh sb="4" eb="6">
      <t>リジ</t>
    </rPh>
    <phoneticPr fontId="1"/>
  </si>
  <si>
    <t>095-819-2070</t>
    <phoneticPr fontId="1"/>
  </si>
  <si>
    <t>長崎大学教務委員会専門部会規程</t>
    <rPh sb="0" eb="2">
      <t>ナガサキ</t>
    </rPh>
    <rPh sb="2" eb="4">
      <t>ダイガク</t>
    </rPh>
    <rPh sb="4" eb="6">
      <t>キョウム</t>
    </rPh>
    <rPh sb="6" eb="9">
      <t>イインカイ</t>
    </rPh>
    <rPh sb="9" eb="11">
      <t>センモン</t>
    </rPh>
    <rPh sb="11" eb="13">
      <t>ブカイ</t>
    </rPh>
    <rPh sb="13" eb="15">
      <t>キテイ</t>
    </rPh>
    <phoneticPr fontId="1"/>
  </si>
  <si>
    <t>大学教育イノベーションセンターにおいて実施している授業アンケートの項目「総合的な満足度」の分析によって学生の理解度を把握できる。</t>
    <rPh sb="19" eb="21">
      <t>ジッシ</t>
    </rPh>
    <rPh sb="33" eb="35">
      <t>コウモク</t>
    </rPh>
    <rPh sb="45" eb="47">
      <t>ブンセキ</t>
    </rPh>
    <rPh sb="51" eb="53">
      <t>ガクセイ</t>
    </rPh>
    <rPh sb="54" eb="57">
      <t>リカイド</t>
    </rPh>
    <rPh sb="58" eb="60">
      <t>ハアク</t>
    </rPh>
    <phoneticPr fontId="1"/>
  </si>
  <si>
    <t>３年に１度の「就職先等調査」，４年に１度の「卒業生・修了生調査」（卒業・修了後１年目は毎年）において当該科目を修了した卒業生の進路先や活躍状況を把握することができる。</t>
    <rPh sb="1" eb="2">
      <t>ネン</t>
    </rPh>
    <rPh sb="4" eb="5">
      <t>ド</t>
    </rPh>
    <rPh sb="7" eb="9">
      <t>シュウショク</t>
    </rPh>
    <rPh sb="9" eb="10">
      <t>サキ</t>
    </rPh>
    <rPh sb="10" eb="11">
      <t>トウ</t>
    </rPh>
    <rPh sb="11" eb="13">
      <t>チョウサ</t>
    </rPh>
    <rPh sb="16" eb="17">
      <t>ネン</t>
    </rPh>
    <rPh sb="19" eb="20">
      <t>ド</t>
    </rPh>
    <rPh sb="22" eb="25">
      <t>ソツギョウセイ</t>
    </rPh>
    <rPh sb="26" eb="29">
      <t>シュウリョウセイ</t>
    </rPh>
    <rPh sb="29" eb="31">
      <t>チョウサ</t>
    </rPh>
    <rPh sb="33" eb="35">
      <t>ソツギョウ</t>
    </rPh>
    <rPh sb="36" eb="39">
      <t>シュウリョウゴ</t>
    </rPh>
    <rPh sb="40" eb="42">
      <t>ネンメ</t>
    </rPh>
    <rPh sb="43" eb="45">
      <t>マイトシ</t>
    </rPh>
    <phoneticPr fontId="1"/>
  </si>
  <si>
    <t>様式２</t>
    <rPh sb="0" eb="2">
      <t>ヨウシキ</t>
    </rPh>
    <phoneticPr fontId="1"/>
  </si>
  <si>
    <t>様式４</t>
    <rPh sb="0" eb="2">
      <t>ヨウシキ</t>
    </rPh>
    <phoneticPr fontId="1"/>
  </si>
  <si>
    <t>多文化社会学部（その他）</t>
    <rPh sb="0" eb="5">
      <t>タブンカシャカイ</t>
    </rPh>
    <rPh sb="5" eb="7">
      <t>ガクブ</t>
    </rPh>
    <rPh sb="10" eb="11">
      <t>タ</t>
    </rPh>
    <phoneticPr fontId="1"/>
  </si>
  <si>
    <t>教育学部（教育）</t>
    <rPh sb="5" eb="7">
      <t>キョウイク</t>
    </rPh>
    <phoneticPr fontId="1"/>
  </si>
  <si>
    <t>経済学部（社会科学）</t>
    <rPh sb="0" eb="4">
      <t>ケイザイガクブ</t>
    </rPh>
    <rPh sb="5" eb="7">
      <t>シャカイ</t>
    </rPh>
    <rPh sb="7" eb="9">
      <t>カガク</t>
    </rPh>
    <phoneticPr fontId="1"/>
  </si>
  <si>
    <t>医学部（保健（医・歯学））</t>
    <rPh sb="0" eb="3">
      <t>イガクブ</t>
    </rPh>
    <rPh sb="4" eb="6">
      <t>ホケン</t>
    </rPh>
    <rPh sb="7" eb="8">
      <t>イ</t>
    </rPh>
    <rPh sb="9" eb="11">
      <t>シガク</t>
    </rPh>
    <phoneticPr fontId="1"/>
  </si>
  <si>
    <t>歯学部（保健（医・歯学））</t>
    <rPh sb="0" eb="3">
      <t>シガクブ</t>
    </rPh>
    <phoneticPr fontId="1"/>
  </si>
  <si>
    <t>薬学部（保健（医・歯学を除く））</t>
    <rPh sb="0" eb="3">
      <t>ヤクガクブ</t>
    </rPh>
    <rPh sb="12" eb="13">
      <t>ノゾ</t>
    </rPh>
    <phoneticPr fontId="1"/>
  </si>
  <si>
    <t>情報データ科学部（その他）</t>
    <rPh sb="0" eb="2">
      <t>ジョウホウ</t>
    </rPh>
    <rPh sb="5" eb="8">
      <t>カガクブ</t>
    </rPh>
    <rPh sb="11" eb="12">
      <t>タ</t>
    </rPh>
    <phoneticPr fontId="1"/>
  </si>
  <si>
    <t>工学部（工学）</t>
    <rPh sb="0" eb="3">
      <t>コウガクブ</t>
    </rPh>
    <rPh sb="4" eb="6">
      <t>コウガク</t>
    </rPh>
    <phoneticPr fontId="1"/>
  </si>
  <si>
    <t>環境科学部（その他）</t>
    <rPh sb="0" eb="5">
      <t>カンキョウカガクブ</t>
    </rPh>
    <rPh sb="8" eb="9">
      <t>タ</t>
    </rPh>
    <phoneticPr fontId="1"/>
  </si>
  <si>
    <t>水産学部（農学）</t>
    <rPh sb="0" eb="2">
      <t>スイサン</t>
    </rPh>
    <rPh sb="2" eb="4">
      <t>ガクブ</t>
    </rPh>
    <rPh sb="5" eb="7">
      <t>ノウガク</t>
    </rPh>
    <phoneticPr fontId="1"/>
  </si>
  <si>
    <t xml:space="preserve">教学担当理事　森口勇
大学教育イノベーションセンター　若菜啓孝
多文化社会学部　小松悟
教育学部　前原由喜夫
経済学部　森保洋
医学部医学科　青柳潔
医学部保健学科　本田純久
歯学部　丸山陽市
薬学部　西田孝洋
情報データ科学部　西井龍映、植木優夫
工学部　山口朝彦
環境科学部　太田貴大
水産学部　NISHIHARA Gregory Naoki
</t>
    <rPh sb="38" eb="39">
      <t>ブ</t>
    </rPh>
    <rPh sb="64" eb="66">
      <t>イガク</t>
    </rPh>
    <rPh sb="66" eb="67">
      <t>ブ</t>
    </rPh>
    <rPh sb="75" eb="77">
      <t>イガク</t>
    </rPh>
    <rPh sb="77" eb="78">
      <t>ブ</t>
    </rPh>
    <rPh sb="120" eb="122">
      <t>ウエキ</t>
    </rPh>
    <rPh sb="122" eb="123">
      <t>ユウ</t>
    </rPh>
    <rPh sb="123" eb="124">
      <t>オット</t>
    </rPh>
    <phoneticPr fontId="1"/>
  </si>
  <si>
    <t>長崎大学学生支援部教育支援課総務班</t>
    <rPh sb="14" eb="16">
      <t>ソウム</t>
    </rPh>
    <rPh sb="16" eb="17">
      <t>ハン</t>
    </rPh>
    <phoneticPr fontId="1"/>
  </si>
  <si>
    <r>
      <t>各授業でのフィードバックおよび大学教育イノベーションセンターによる</t>
    </r>
    <r>
      <rPr>
        <sz val="12"/>
        <color rgb="FFFF0000"/>
        <rFont val="ＭＳ Ｐゴシック"/>
        <family val="3"/>
        <charset val="128"/>
        <scheme val="minor"/>
      </rPr>
      <t>授業アンケートを参考に、学生の分かりやすさの観点を取り入れた授業内容の改善を行うこととしている。</t>
    </r>
    <rPh sb="0" eb="1">
      <t>カク</t>
    </rPh>
    <rPh sb="1" eb="3">
      <t>ジュギョウ</t>
    </rPh>
    <rPh sb="15" eb="17">
      <t>ダイガク</t>
    </rPh>
    <rPh sb="17" eb="19">
      <t>キョウイク</t>
    </rPh>
    <rPh sb="33" eb="35">
      <t>ジュギョウ</t>
    </rPh>
    <rPh sb="41" eb="43">
      <t>サンコウ</t>
    </rPh>
    <rPh sb="45" eb="47">
      <t>ガクセイ</t>
    </rPh>
    <rPh sb="48" eb="49">
      <t>ワ</t>
    </rPh>
    <rPh sb="55" eb="57">
      <t>カンテン</t>
    </rPh>
    <rPh sb="58" eb="59">
      <t>ト</t>
    </rPh>
    <rPh sb="60" eb="61">
      <t>イ</t>
    </rPh>
    <rPh sb="63" eb="65">
      <t>ジュギョウ</t>
    </rPh>
    <rPh sb="65" eb="67">
      <t>ナイヨウ</t>
    </rPh>
    <rPh sb="68" eb="70">
      <t>カイゼン</t>
    </rPh>
    <rPh sb="71" eb="72">
      <t>オコナ</t>
    </rPh>
    <phoneticPr fontId="1"/>
  </si>
  <si>
    <t>「データサイエンスとは何か」ということから、国内での数理・データサイエンス・AIの動向、第4次産業革命、Society 5.0、データ駆動型社会といった、身近で起こっている社会の変化を知り、数理・データサイエンス・AIを学ぶことの意義を学習する。また、データサイエンスやAIを活用した新しいビジネス、最新のデータサイエンス・AI技術の活用事例を学習する。</t>
    <rPh sb="11" eb="12">
      <t>ナニ</t>
    </rPh>
    <rPh sb="22" eb="24">
      <t>コクナイ</t>
    </rPh>
    <rPh sb="41" eb="43">
      <t>ドウコウ</t>
    </rPh>
    <rPh sb="44" eb="45">
      <t>ダイ</t>
    </rPh>
    <rPh sb="46" eb="47">
      <t>ツギ</t>
    </rPh>
    <rPh sb="47" eb="49">
      <t>サンギョウ</t>
    </rPh>
    <rPh sb="49" eb="51">
      <t>カクメイ</t>
    </rPh>
    <rPh sb="67" eb="69">
      <t>クドウ</t>
    </rPh>
    <rPh sb="69" eb="70">
      <t>カタ</t>
    </rPh>
    <rPh sb="77" eb="79">
      <t>ミジカ</t>
    </rPh>
    <rPh sb="80" eb="81">
      <t>オ</t>
    </rPh>
    <rPh sb="86" eb="88">
      <t>シャカイ</t>
    </rPh>
    <rPh sb="118" eb="120">
      <t>ガクシュウ</t>
    </rPh>
    <rPh sb="167" eb="169">
      <t>カツヨウ</t>
    </rPh>
    <rPh sb="169" eb="171">
      <t>ジレイ</t>
    </rPh>
    <rPh sb="172" eb="174">
      <t>ガクシュウ</t>
    </rPh>
    <phoneticPr fontId="1"/>
  </si>
  <si>
    <t>様々な領域でデータとAIが活用されていることを理解する。また、マーケティング、金融、品質管理、画像処理、医学における具体的なデータサイエンスの活用方法・技術を学習する。</t>
    <rPh sb="0" eb="2">
      <t>サマザマ</t>
    </rPh>
    <rPh sb="23" eb="25">
      <t>リカイ</t>
    </rPh>
    <rPh sb="39" eb="41">
      <t>キンユウ</t>
    </rPh>
    <rPh sb="42" eb="44">
      <t>ヒンシツ</t>
    </rPh>
    <rPh sb="44" eb="46">
      <t>カンリ</t>
    </rPh>
    <rPh sb="47" eb="49">
      <t>ガゾウ</t>
    </rPh>
    <rPh sb="49" eb="51">
      <t>ショリ</t>
    </rPh>
    <rPh sb="52" eb="54">
      <t>イガク</t>
    </rPh>
    <rPh sb="71" eb="73">
      <t>カツヨウ</t>
    </rPh>
    <rPh sb="73" eb="75">
      <t>ホウホウ</t>
    </rPh>
    <rPh sb="76" eb="78">
      <t>ギジュツ</t>
    </rPh>
    <rPh sb="79" eb="81">
      <t>ガクシュウ</t>
    </rPh>
    <phoneticPr fontId="1"/>
  </si>
  <si>
    <t>大学教育イノベーションセンターにおいて実施している授業アンケート項目のうち、「この授業でのあなたの学修への意欲や態度について」及び「授業を通して伸びた可能性のある汎用的能力」の2項目を分析することによって、授業内容の学生の理解度を把握することができ、その結果を当該科目の今後の教育内容の改善に活用する。</t>
    <rPh sb="0" eb="2">
      <t>ダイガク</t>
    </rPh>
    <rPh sb="2" eb="4">
      <t>キョウイク</t>
    </rPh>
    <rPh sb="19" eb="21">
      <t>ジッシ</t>
    </rPh>
    <rPh sb="25" eb="27">
      <t>ジュギョウ</t>
    </rPh>
    <rPh sb="32" eb="34">
      <t>コウモク</t>
    </rPh>
    <rPh sb="63" eb="64">
      <t>オヨ</t>
    </rPh>
    <rPh sb="89" eb="91">
      <t>コウモク</t>
    </rPh>
    <rPh sb="92" eb="94">
      <t>ブンセキ</t>
    </rPh>
    <rPh sb="103" eb="107">
      <t>ジュギョウナイヨウ</t>
    </rPh>
    <rPh sb="108" eb="110">
      <t>ガクセイ</t>
    </rPh>
    <rPh sb="111" eb="114">
      <t>リカイド</t>
    </rPh>
    <rPh sb="115" eb="117">
      <t>ハアク</t>
    </rPh>
    <rPh sb="127" eb="129">
      <t>ケッカ</t>
    </rPh>
    <rPh sb="130" eb="132">
      <t>トウガイ</t>
    </rPh>
    <rPh sb="132" eb="134">
      <t>カモク</t>
    </rPh>
    <rPh sb="135" eb="137">
      <t>コンゴ</t>
    </rPh>
    <rPh sb="138" eb="140">
      <t>キョウイク</t>
    </rPh>
    <rPh sb="140" eb="142">
      <t>ナイヨウ</t>
    </rPh>
    <rPh sb="143" eb="145">
      <t>カイゼン</t>
    </rPh>
    <rPh sb="146" eb="148">
      <t>カツヨウ</t>
    </rPh>
    <phoneticPr fontId="1"/>
  </si>
  <si>
    <t>「数理・データサイエンス」教育については、平成29年度より大学教育イノベーションセンターを中心に、全学教務委員会等で検討した「教養教育カリキュラム改革」（令和3年度実施）の柱のひとつとして位置付けており、「教養教育改革WG」及び「数理・データサイエンス教育推進会議」により教育内容の検討を行った。「数理・データサイエンス教育推進会議」において、既設科目の授業内容と標準カリキュラムの学修目標とのマッピング作業及び自由選択科目としてパイロット的に開講する「データサイエンス入門」、「統計学入門」について分析を行うため、各学部からの意見聴取等を目的として、令和元年度に「数理データサイエンスWG」を立ち上げ、令和3年度からの必修科目展開の準備を行った。さらに、令和3年度からは、「数理データサイエンスWG」を教養教育実施専門部会に置く「数理・データサイエンス小委員会」とし、プログラム内容の改善・進化を行う。</t>
    <phoneticPr fontId="1"/>
  </si>
  <si>
    <t>若菜　啓孝</t>
    <rPh sb="0" eb="2">
      <t>ワカナ</t>
    </rPh>
    <rPh sb="3" eb="5">
      <t>ヒロタカ</t>
    </rPh>
    <phoneticPr fontId="1"/>
  </si>
  <si>
    <t>大学教育イノベーションセンター副センター長</t>
    <rPh sb="0" eb="2">
      <t>ダイガク</t>
    </rPh>
    <rPh sb="2" eb="4">
      <t>キョウイク</t>
    </rPh>
    <rPh sb="15" eb="16">
      <t>フク</t>
    </rPh>
    <rPh sb="20" eb="21">
      <t>チョウ</t>
    </rPh>
    <phoneticPr fontId="1"/>
  </si>
  <si>
    <t>数理・データサイエンス小委員会</t>
    <rPh sb="0" eb="2">
      <t>スウリ</t>
    </rPh>
    <rPh sb="11" eb="12">
      <t>ショウ</t>
    </rPh>
    <rPh sb="12" eb="15">
      <t>イインカイ</t>
    </rPh>
    <phoneticPr fontId="1"/>
  </si>
  <si>
    <t>数理・データサイエンス小委員会</t>
    <rPh sb="0" eb="2">
      <t>スウリ</t>
    </rPh>
    <rPh sb="11" eb="12">
      <t>ショウ</t>
    </rPh>
    <rPh sb="12" eb="14">
      <t>イイン</t>
    </rPh>
    <rPh sb="14" eb="15">
      <t>カイ</t>
    </rPh>
    <phoneticPr fontId="1"/>
  </si>
  <si>
    <t>データサイエンス・統計リテラシー教育プログラム</t>
    <rPh sb="9" eb="11">
      <t>トウケイ</t>
    </rPh>
    <rPh sb="16" eb="18">
      <t>キョウイク</t>
    </rPh>
    <phoneticPr fontId="1"/>
  </si>
  <si>
    <t>有</t>
  </si>
  <si>
    <t>https://www.mlms.innov.nagasaki-u.ac.jp/nds/index.php/syl/</t>
    <phoneticPr fontId="1"/>
  </si>
  <si>
    <t>国立大学法人長崎大学</t>
    <phoneticPr fontId="1"/>
  </si>
  <si>
    <t>「データサイエンス入門」と「統計学入門」（各クオーター科目1単位）の両方の単位を取得すること（合計2単位）。</t>
    <rPh sb="9" eb="11">
      <t>ニュウモン</t>
    </rPh>
    <rPh sb="14" eb="17">
      <t>トウケイガク</t>
    </rPh>
    <rPh sb="17" eb="19">
      <t>ニュウモン</t>
    </rPh>
    <rPh sb="21" eb="22">
      <t>カク</t>
    </rPh>
    <rPh sb="27" eb="29">
      <t>カモク</t>
    </rPh>
    <rPh sb="30" eb="32">
      <t>タンイ</t>
    </rPh>
    <rPh sb="34" eb="36">
      <t>リョウホウ</t>
    </rPh>
    <rPh sb="37" eb="39">
      <t>タンイ</t>
    </rPh>
    <rPh sb="40" eb="42">
      <t>シュトク</t>
    </rPh>
    <phoneticPr fontId="1"/>
  </si>
  <si>
    <t>データサイエンス入門</t>
    <rPh sb="8" eb="10">
      <t>ニュウモン</t>
    </rPh>
    <phoneticPr fontId="1"/>
  </si>
  <si>
    <t>統計学入門</t>
    <rPh sb="0" eb="3">
      <t>トウケイガク</t>
    </rPh>
    <rPh sb="3" eb="5">
      <t>ニュウモン</t>
    </rPh>
    <phoneticPr fontId="1"/>
  </si>
  <si>
    <t>データサイエンス入門</t>
    <rPh sb="7" eb="8">
      <t>モン</t>
    </rPh>
    <rPh sb="8" eb="10">
      <t>ニュウモン</t>
    </rPh>
    <phoneticPr fontId="1"/>
  </si>
  <si>
    <t>統計学入門</t>
    <rPh sb="3" eb="5">
      <t>ニュウモン</t>
    </rPh>
    <phoneticPr fontId="1"/>
  </si>
  <si>
    <t>データサイエンス入門、統計学入門</t>
    <rPh sb="8" eb="10">
      <t>ニュウモン</t>
    </rPh>
    <rPh sb="11" eb="14">
      <t>トウケイガク</t>
    </rPh>
    <rPh sb="14" eb="16">
      <t>ニュウモン</t>
    </rPh>
    <phoneticPr fontId="1"/>
  </si>
  <si>
    <t>流通、製造、金融、サービス、インフラ、公共、ヘルスケアなどの広範な領域で実際にデータが活用されており、現場の知見まで含めた複数の技術の組み合わせによって価値が創造されていることを理解し、データとAIを活用することで価値が生まれていることを知る。また、マーケティング、金融、品質管理、画像処理、医学における具体的なデータサイエンスの活用方法・技術を学習する。</t>
    <rPh sb="0" eb="2">
      <t>リュウツウ</t>
    </rPh>
    <rPh sb="3" eb="5">
      <t>セイゾウ</t>
    </rPh>
    <rPh sb="6" eb="8">
      <t>キンユウ</t>
    </rPh>
    <rPh sb="19" eb="21">
      <t>コウキョウ</t>
    </rPh>
    <rPh sb="30" eb="32">
      <t>コウハン</t>
    </rPh>
    <rPh sb="33" eb="35">
      <t>リョウイキ</t>
    </rPh>
    <rPh sb="36" eb="38">
      <t>ジッサイ</t>
    </rPh>
    <rPh sb="51" eb="53">
      <t>ゲンバ</t>
    </rPh>
    <rPh sb="54" eb="56">
      <t>チケン</t>
    </rPh>
    <rPh sb="58" eb="59">
      <t>フク</t>
    </rPh>
    <rPh sb="61" eb="63">
      <t>フクスウ</t>
    </rPh>
    <rPh sb="64" eb="66">
      <t>ギジュツ</t>
    </rPh>
    <rPh sb="67" eb="68">
      <t>ク</t>
    </rPh>
    <rPh sb="69" eb="70">
      <t>ア</t>
    </rPh>
    <rPh sb="76" eb="78">
      <t>カチ</t>
    </rPh>
    <rPh sb="79" eb="81">
      <t>ソウゾウ</t>
    </rPh>
    <rPh sb="89" eb="91">
      <t>リカイ</t>
    </rPh>
    <phoneticPr fontId="1"/>
  </si>
  <si>
    <t>情報データ科学部で開発した教育コンテンツを用いて、全学生が受講できるようオンデマンド教材として整備した。また、令和2年度に全学開講の選択科目であった当該授業科目を、令和3年度から1年次全学生対象の必修科目へと拡大する。</t>
    <rPh sb="0" eb="2">
      <t>ジョウホウ</t>
    </rPh>
    <rPh sb="5" eb="8">
      <t>カガクブ</t>
    </rPh>
    <rPh sb="9" eb="11">
      <t>カイハツ</t>
    </rPh>
    <rPh sb="13" eb="15">
      <t>キョウイク</t>
    </rPh>
    <rPh sb="21" eb="22">
      <t>モチ</t>
    </rPh>
    <rPh sb="25" eb="26">
      <t>ゼン</t>
    </rPh>
    <rPh sb="26" eb="28">
      <t>ガクセイ</t>
    </rPh>
    <rPh sb="29" eb="31">
      <t>ジュコウ</t>
    </rPh>
    <rPh sb="42" eb="44">
      <t>キョウザイ</t>
    </rPh>
    <rPh sb="47" eb="49">
      <t>セイビ</t>
    </rPh>
    <rPh sb="55" eb="57">
      <t>レイワ</t>
    </rPh>
    <rPh sb="74" eb="76">
      <t>トウガイ</t>
    </rPh>
    <rPh sb="76" eb="80">
      <t>ジュギョウカモク</t>
    </rPh>
    <phoneticPr fontId="1"/>
  </si>
  <si>
    <t>学務情報システムで学生に周知している。また、令和2年度に全学開講の選択科目であった当該授業科目を、令和3年度から1年次全学生対象の必修科目へと拡大し、入学後のガイダンスで周知する。</t>
    <rPh sb="0" eb="2">
      <t>ガクム</t>
    </rPh>
    <rPh sb="2" eb="4">
      <t>ジョウホウ</t>
    </rPh>
    <rPh sb="9" eb="11">
      <t>ガクセイ</t>
    </rPh>
    <rPh sb="12" eb="14">
      <t>シュウチ</t>
    </rPh>
    <rPh sb="41" eb="43">
      <t>トウガイ</t>
    </rPh>
    <rPh sb="43" eb="47">
      <t>ジュギョウカモク</t>
    </rPh>
    <rPh sb="59" eb="60">
      <t>ゼン</t>
    </rPh>
    <rPh sb="60" eb="62">
      <t>ガクセイ</t>
    </rPh>
    <rPh sb="62" eb="64">
      <t>タイショウ</t>
    </rPh>
    <rPh sb="72" eb="74">
      <t/>
    </rPh>
    <rPh sb="85" eb="87">
      <t>シュウチ</t>
    </rPh>
    <phoneticPr fontId="1"/>
  </si>
  <si>
    <t>当該科目を令和3年度から全学必修科目へと拡大し、履修者数・履修率の向上にむけて推進する。</t>
    <rPh sb="0" eb="2">
      <t>トウガイ</t>
    </rPh>
    <rPh sb="2" eb="4">
      <t>カモク</t>
    </rPh>
    <rPh sb="5" eb="7">
      <t>レイワ</t>
    </rPh>
    <rPh sb="8" eb="10">
      <t>ネンド</t>
    </rPh>
    <rPh sb="12" eb="14">
      <t>ゼンガク</t>
    </rPh>
    <rPh sb="14" eb="16">
      <t>ヒッシュウ</t>
    </rPh>
    <rPh sb="16" eb="18">
      <t>カモク</t>
    </rPh>
    <rPh sb="20" eb="22">
      <t>カクダイ</t>
    </rPh>
    <rPh sb="24" eb="28">
      <t>リシュウシャスウ</t>
    </rPh>
    <rPh sb="29" eb="32">
      <t>リシュウリツ</t>
    </rPh>
    <rPh sb="33" eb="35">
      <t>コウジョウ</t>
    </rPh>
    <rPh sb="39" eb="41">
      <t>スイシン</t>
    </rPh>
    <phoneticPr fontId="1"/>
  </si>
  <si>
    <r>
      <t>公開されているシラバスで「</t>
    </r>
    <r>
      <rPr>
        <strike/>
        <sz val="12"/>
        <color rgb="FFFF0000"/>
        <rFont val="ＭＳ Ｐゴシック"/>
        <family val="3"/>
        <charset val="128"/>
        <scheme val="minor"/>
      </rPr>
      <t>授業</t>
    </r>
    <r>
      <rPr>
        <sz val="12"/>
        <color rgb="FFFF0000"/>
        <rFont val="ＭＳ Ｐゴシック"/>
        <family val="3"/>
        <charset val="128"/>
        <scheme val="minor"/>
      </rPr>
      <t>アンケート」の結果が閲覧可能であり、前年度学生の受講結果を参照できるため推奨度を把握できる。</t>
    </r>
    <rPh sb="0" eb="2">
      <t>コウカイ</t>
    </rPh>
    <rPh sb="13" eb="15">
      <t>ジュギョウ</t>
    </rPh>
    <rPh sb="22" eb="24">
      <t>ケッカ</t>
    </rPh>
    <rPh sb="25" eb="27">
      <t>エツラン</t>
    </rPh>
    <rPh sb="27" eb="29">
      <t>カノウ</t>
    </rPh>
    <rPh sb="33" eb="36">
      <t>ゼンネンド</t>
    </rPh>
    <rPh sb="36" eb="38">
      <t>ガクセイ</t>
    </rPh>
    <rPh sb="39" eb="41">
      <t>ジュコウ</t>
    </rPh>
    <rPh sb="41" eb="43">
      <t>ケッカ</t>
    </rPh>
    <rPh sb="44" eb="46">
      <t>サンショウ</t>
    </rPh>
    <rPh sb="51" eb="53">
      <t>スイショウ</t>
    </rPh>
    <rPh sb="53" eb="54">
      <t>ド</t>
    </rPh>
    <rPh sb="55" eb="57">
      <t>ハアク</t>
    </rPh>
    <phoneticPr fontId="1"/>
  </si>
  <si>
    <t>長崎大学では、学生の主体的な学びを確立するために、主体的学習促進支援システムLACS（Learning Assessment &amp; Communication System）と呼ばれる教育支援システムを導入している。LACSは、Blackboardという学習管理システム（LMS)をベースとして、長崎大学独自の機能を追加したものである。本プログラムを構成する授業科目に限らず、大半の授業はLACSによって統一的に管理されており、入学直後からLACSを通じて授業に取り組むことになっている。システムおける「連絡の掲示、学生の大学メールアドレスとも連携したメッセージの送受信、資料掲示、掲示板」といった機能のほか、テスト採点・成績表示まで全てがシステム内で完結しているため、学生がシステム操作や授業資料の場所に混乱する事態を避けることもでき、授業管理は学生にとって非常に使いやすいものとなっている。 さらに、令和2年度新設の情報データ科学部教員を担当教員として配置しており、担当教員はLACSの使用に習熟しているのみならず、情報科学・データ科学に精通したメンバーを選出しているため、授業内容への疑問等の学生の要望に直接対応が可能である。授業コンテンツは全てLACS内に保存してあり、学生は必要に応じて授業資料を繰り返し何度も確認することができる。担当教員は、各学生の学修状況及び授業への取り組み状況を把握することができる。授業では、このシステムの各種機能を有効活用し、双方向の授業となるよう配慮している。学修目標に対する評価では、システムを活用したテストを活用している。本プログラムを構成する授業科目は、このテストの点数に応じて単位が出されるものであり、さらに単位は卒業要件にも含められるため、学生自身も真剣に取り組む必要があることを認識できる仕組みとなっている。</t>
    <phoneticPr fontId="1"/>
  </si>
  <si>
    <t>令和2年度に全学開講の選択科目であった当該授業科目を、令和3年度から1年次全学生対象の必修科目へと拡大する。なお、本プログラムを構成する2つの授業科目、「データサイエンス入門」、「統計学入門」は、令和3年度より、「データサイエンス概論」、「統計学概論」へと名称を変更するとともに、授業は共同開発した動画コンテンツによるオンデマンド方式として、学びを繰り返すことができるよう配慮する。</t>
    <rPh sb="19" eb="21">
      <t>トウガイ</t>
    </rPh>
    <rPh sb="21" eb="25">
      <t>ジュギョウカモク</t>
    </rPh>
    <rPh sb="37" eb="39">
      <t>ゼンガク</t>
    </rPh>
    <rPh sb="40" eb="42">
      <t>タイショウ</t>
    </rPh>
    <rPh sb="57" eb="58">
      <t>ホン</t>
    </rPh>
    <rPh sb="64" eb="66">
      <t>コウセイ</t>
    </rPh>
    <rPh sb="71" eb="73">
      <t>ジュギョウ</t>
    </rPh>
    <rPh sb="73" eb="75">
      <t>カモク</t>
    </rPh>
    <rPh sb="85" eb="87">
      <t>ニュウモン</t>
    </rPh>
    <rPh sb="90" eb="93">
      <t>トウケイガク</t>
    </rPh>
    <rPh sb="93" eb="95">
      <t>ニュウモン</t>
    </rPh>
    <rPh sb="98" eb="100">
      <t>レイワ</t>
    </rPh>
    <rPh sb="101" eb="103">
      <t>ネンド</t>
    </rPh>
    <rPh sb="115" eb="117">
      <t>ガイロン</t>
    </rPh>
    <rPh sb="120" eb="125">
      <t>トウケイガクガイロン</t>
    </rPh>
    <rPh sb="128" eb="130">
      <t>メイショウ</t>
    </rPh>
    <rPh sb="131" eb="133">
      <t>ヘンコウ</t>
    </rPh>
    <phoneticPr fontId="1"/>
  </si>
  <si>
    <t>令和2年度は、学生からの質問を授業時間内にオンラインチャットで受け付けるとともに、授業時間外でもLMS内のメッセージで質問に対応した。また、授業教材はLMSに全て蓄積し、いつでも確認ができる環境を構築した。令和3年度からは、LMS上に質問用掲示板を設け、各学部にクラス担当教員を配置し、質問に対応する体制をとる。</t>
    <rPh sb="0" eb="2">
      <t>レイワ</t>
    </rPh>
    <rPh sb="3" eb="5">
      <t>ネンド</t>
    </rPh>
    <rPh sb="15" eb="20">
      <t>ジュギョウジカンナイ</t>
    </rPh>
    <rPh sb="31" eb="32">
      <t>ウ</t>
    </rPh>
    <rPh sb="33" eb="34">
      <t>ツ</t>
    </rPh>
    <rPh sb="41" eb="46">
      <t>ジュギョウジカンガイ</t>
    </rPh>
    <rPh sb="51" eb="52">
      <t>ナイ</t>
    </rPh>
    <rPh sb="59" eb="61">
      <t>シツモン</t>
    </rPh>
    <rPh sb="62" eb="64">
      <t>タイオウ</t>
    </rPh>
    <rPh sb="70" eb="74">
      <t>ジュギョウキョウザイ</t>
    </rPh>
    <rPh sb="79" eb="80">
      <t>スベ</t>
    </rPh>
    <rPh sb="81" eb="83">
      <t>チクセキ</t>
    </rPh>
    <rPh sb="89" eb="91">
      <t>カクニン</t>
    </rPh>
    <rPh sb="95" eb="97">
      <t>カンキョウ</t>
    </rPh>
    <rPh sb="98" eb="100">
      <t>コウチク</t>
    </rPh>
    <rPh sb="103" eb="105">
      <t>レイワ</t>
    </rPh>
    <rPh sb="106" eb="108">
      <t>ネンド</t>
    </rPh>
    <rPh sb="115" eb="116">
      <t>ジョウ</t>
    </rPh>
    <rPh sb="117" eb="119">
      <t>シツモン</t>
    </rPh>
    <rPh sb="119" eb="120">
      <t>ヨウ</t>
    </rPh>
    <rPh sb="120" eb="123">
      <t>ケイジバン</t>
    </rPh>
    <rPh sb="124" eb="125">
      <t>モウ</t>
    </rPh>
    <rPh sb="134" eb="136">
      <t>タントウ</t>
    </rPh>
    <rPh sb="136" eb="138">
      <t>キョウイン</t>
    </rPh>
    <rPh sb="139" eb="141">
      <t>ハイチ</t>
    </rPh>
    <rPh sb="143" eb="145">
      <t>シツモン</t>
    </rPh>
    <rPh sb="146" eb="148">
      <t>タイオウ</t>
    </rPh>
    <rPh sb="150" eb="152">
      <t>タイセイ</t>
    </rPh>
    <phoneticPr fontId="1"/>
  </si>
  <si>
    <t>学生支援部において当該科目の単位取得状況を分析を実施することができ、担当教員もLMSに記録された学修状況から受講者ごとの講義への取組状況を把握することができる。また令和3年度からは、各授業クラス担当教員に授業コンテンツとテストに対する評価を行ってもらう。</t>
    <rPh sb="82" eb="84">
      <t>レイワ</t>
    </rPh>
    <rPh sb="85" eb="87">
      <t>ネンド</t>
    </rPh>
    <rPh sb="91" eb="92">
      <t>カク</t>
    </rPh>
    <rPh sb="92" eb="94">
      <t>ジュギョウ</t>
    </rPh>
    <rPh sb="102" eb="104">
      <t>ジュギョウ</t>
    </rPh>
    <rPh sb="114" eb="115">
      <t>タイ</t>
    </rPh>
    <rPh sb="117" eb="119">
      <t>ヒョウカ</t>
    </rPh>
    <rPh sb="120" eb="121">
      <t>オコナ</t>
    </rPh>
    <phoneticPr fontId="1"/>
  </si>
  <si>
    <t xml:space="preserve">本プログラムは、長崎大学の全学部に向けて提供される数理データサイエンス科目を中心とした教育プログラムである。長崎大学には、多文化社会学部、教育学部、経済学部、医学部、歯学部、薬学部、情報データ科学部、工学部、環境科学部、水産学部の全10学部があり、文系理系を含む様々な領域の多彩な学生が所属している。現在、社会のグローバル化や産業構造の変化が加速する中、社会における様々な問題の解決、新しい課題発見、データから新しい価値を創造できる人材の養成が求められており、長崎大学においても、各々の分野において自らデータを分析し価値を引き出せる人材を育成すべく、数理データサイエンスの基礎的事項を中心とした本教育プログラムを構築した。なぜデータサイエンスを学ぶのか、社会でどのように活用されているのか、社会の実データ、実課題を適切に読み解き、判断できることが必要であることを認識し、データの処理、集計、可視化、分析を行うためのデータサイエンスと統計学の基礎的事項を学習し、社会における事象を適切に捉え、分析・説明できる能力を修得することを授業目標に据える。データサイエンスと統計学の概要を幅広く紹介し、利活用によって具体的にどのようなことができるのか、どういったスキルが必要であって、どのような利点があるか、を把握できる授業内容としている。学生が共通して興味をもち、将来の利活用につながるように、数学的背景の説明は極力省き、代わりに図とグラフを多用した直感的説明を心掛けた。また、Excel、R、Pythonによる分析例の紹介を取り入れることで、自らデータサイエンスを活用するイメージが湧くように配慮している。令和3年度からは、学部の系統で異なる複数のデータセットを用意し、テーラーメイドにデータ分析の実例紹介を取り入れることで、学生自身の専門にも密接に関係することを実感でき、学習意欲を高める工夫を行う。
</t>
    <rPh sb="25" eb="27">
      <t>スウリ</t>
    </rPh>
    <rPh sb="54" eb="58">
      <t>ナガサキダイガク</t>
    </rPh>
    <rPh sb="115" eb="116">
      <t>ゼン</t>
    </rPh>
    <rPh sb="118" eb="120">
      <t>ガクブ</t>
    </rPh>
    <rPh sb="275" eb="277">
      <t>スウリ</t>
    </rPh>
    <rPh sb="416" eb="419">
      <t>トウケイガク</t>
    </rPh>
    <rPh sb="481" eb="484">
      <t>トウケイガク</t>
    </rPh>
    <rPh sb="495" eb="498">
      <t>リカツヨウ</t>
    </rPh>
    <rPh sb="541" eb="543">
      <t>リテン</t>
    </rPh>
    <rPh sb="699" eb="701">
      <t>レイワ</t>
    </rPh>
    <rPh sb="702" eb="704">
      <t>ネンド</t>
    </rPh>
    <rPh sb="750" eb="751">
      <t>ト</t>
    </rPh>
    <rPh sb="752" eb="753">
      <t>イ</t>
    </rPh>
    <rPh sb="768" eb="770">
      <t>ミッセツ</t>
    </rPh>
    <phoneticPr fontId="1"/>
  </si>
  <si>
    <t>本教育プログラムの全授業をオンデマンド教材としてLMS上に配置することで、学生がいつでも講義を閲覧でき、個人のペースで学習できる環境を構築している。また、令和2年度に全学開講の選択科目であった当該授業科目を、令和3年度から1年次全学生対象の必修科目へと拡大する。</t>
    <rPh sb="0" eb="3">
      <t>ホンキョウイク</t>
    </rPh>
    <rPh sb="9" eb="10">
      <t>ゼン</t>
    </rPh>
    <rPh sb="10" eb="12">
      <t>ジュギョウ</t>
    </rPh>
    <rPh sb="19" eb="21">
      <t>キョウザイ</t>
    </rPh>
    <rPh sb="29" eb="31">
      <t>ハイチ</t>
    </rPh>
    <rPh sb="37" eb="39">
      <t>ガクセイ</t>
    </rPh>
    <rPh sb="44" eb="46">
      <t>コウギ</t>
    </rPh>
    <rPh sb="47" eb="49">
      <t>エツラン</t>
    </rPh>
    <rPh sb="52" eb="54">
      <t>コジン</t>
    </rPh>
    <rPh sb="59" eb="61">
      <t>ガクシュウ</t>
    </rPh>
    <rPh sb="64" eb="66">
      <t>カンキョウ</t>
    </rPh>
    <rPh sb="67" eb="69">
      <t>コウチク</t>
    </rPh>
    <rPh sb="96" eb="98">
      <t>トウガイ</t>
    </rPh>
    <rPh sb="98" eb="102">
      <t>ジュギョウカモク</t>
    </rPh>
    <rPh sb="114" eb="117">
      <t>ゼンガクセイ</t>
    </rPh>
    <rPh sb="117" eb="119">
      <t>タイショウ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</si>
</sst>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9"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strike/>
      <sz val="12"/>
      <color rgb="FFFF0000"/>
      <name val="ＭＳ Ｐゴシック"/>
      <family val="3"/>
      <charset val="128"/>
      <scheme val="minor"/>
    </font>
    <font>
      <sz val="11"/>
      <color rgb="FFFF0000"/>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19">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Border="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Alignment="1">
      <alignment vertical="center"/>
    </xf>
    <xf numFmtId="0" fontId="2" fillId="0" borderId="0" xfId="0" applyFont="1" applyBorder="1" applyAlignment="1">
      <alignment vertical="top" wrapText="1"/>
    </xf>
    <xf numFmtId="0" fontId="2" fillId="0" borderId="0" xfId="0" applyFont="1" applyBorder="1" applyAlignment="1">
      <alignment vertical="center"/>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0" fontId="2" fillId="0" borderId="0" xfId="0" applyFont="1" applyAlignment="1">
      <alignment horizontal="center" vertical="center"/>
    </xf>
    <xf numFmtId="0" fontId="2" fillId="0" borderId="0" xfId="0" applyFont="1" applyAlignment="1">
      <alignment horizontal="right" vertical="center"/>
    </xf>
    <xf numFmtId="0" fontId="3" fillId="0" borderId="0" xfId="0" applyFont="1" applyAlignment="1">
      <alignment horizontal="center"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9" fillId="0" borderId="0" xfId="0" applyFont="1" applyBorder="1" applyAlignment="1">
      <alignment horizontal="center" vertical="center" shrinkToFit="1"/>
    </xf>
    <xf numFmtId="0" fontId="10" fillId="0" borderId="0" xfId="0" applyFont="1">
      <alignment vertical="center"/>
    </xf>
    <xf numFmtId="0" fontId="9" fillId="0" borderId="0" xfId="0" applyFont="1" applyBorder="1" applyAlignment="1">
      <alignment vertical="center" shrinkToFit="1"/>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1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0" fontId="9" fillId="0" borderId="0" xfId="0" applyFont="1" applyBorder="1" applyAlignment="1">
      <alignment horizontal="center" vertical="center"/>
    </xf>
    <xf numFmtId="176" fontId="9" fillId="0" borderId="0" xfId="0" applyNumberFormat="1" applyFont="1" applyAlignment="1">
      <alignment vertical="center" wrapText="1"/>
    </xf>
    <xf numFmtId="0" fontId="9" fillId="0" borderId="0" xfId="0" applyFont="1" applyAlignment="1">
      <alignment horizontal="center" vertical="center"/>
    </xf>
    <xf numFmtId="176" fontId="9" fillId="0" borderId="0" xfId="0" applyNumberFormat="1" applyFont="1" applyAlignment="1">
      <alignment horizontal="left" vertical="center" wrapText="1"/>
    </xf>
    <xf numFmtId="0" fontId="9" fillId="0" borderId="0" xfId="0" applyFont="1" applyAlignment="1">
      <alignment horizontal="right" vertical="center"/>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9" fillId="0" borderId="0" xfId="0" applyFont="1" applyBorder="1" applyAlignment="1">
      <alignment vertical="center" shrinkToFit="1"/>
    </xf>
    <xf numFmtId="0" fontId="9" fillId="0" borderId="0" xfId="0" applyFont="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4" fillId="0" borderId="21" xfId="0" applyFont="1" applyBorder="1" applyAlignment="1">
      <alignment vertical="top" wrapText="1"/>
    </xf>
    <xf numFmtId="0" fontId="9" fillId="0" borderId="0" xfId="0" applyFont="1" applyAlignment="1">
      <alignment horizontal="center" vertical="center"/>
    </xf>
    <xf numFmtId="0" fontId="9" fillId="0" borderId="0" xfId="0" applyFont="1" applyBorder="1" applyAlignment="1">
      <alignment vertical="center" shrinkToFit="1"/>
    </xf>
    <xf numFmtId="0" fontId="5" fillId="0" borderId="0" xfId="0" applyFont="1" applyAlignment="1">
      <alignment vertical="top" wrapText="1"/>
    </xf>
    <xf numFmtId="0" fontId="10" fillId="0" borderId="10" xfId="0" applyFont="1" applyBorder="1" applyAlignment="1">
      <alignment vertical="center" shrinkToFit="1"/>
    </xf>
    <xf numFmtId="0" fontId="3" fillId="0" borderId="0" xfId="0" applyFont="1" applyAlignment="1">
      <alignment horizontal="center" vertical="center"/>
    </xf>
    <xf numFmtId="0" fontId="5" fillId="0" borderId="0" xfId="0" applyFont="1" applyAlignment="1">
      <alignment vertical="top" wrapText="1"/>
    </xf>
    <xf numFmtId="0" fontId="3" fillId="0" borderId="0" xfId="0" applyFont="1" applyAlignment="1">
      <alignment vertical="center" wrapText="1"/>
    </xf>
    <xf numFmtId="0" fontId="9" fillId="0" borderId="0" xfId="0" applyFont="1" applyBorder="1" applyAlignment="1">
      <alignment horizontal="center" vertical="center"/>
    </xf>
    <xf numFmtId="0" fontId="9" fillId="0" borderId="0" xfId="0" applyFont="1" applyAlignment="1">
      <alignment horizontal="center" vertical="center"/>
    </xf>
    <xf numFmtId="0" fontId="10" fillId="0" borderId="0" xfId="0" applyFont="1" applyAlignment="1">
      <alignment horizontal="right" vertical="center"/>
    </xf>
    <xf numFmtId="0" fontId="9" fillId="0" borderId="1" xfId="0" applyFont="1" applyBorder="1" applyAlignment="1">
      <alignment vertical="center" shrinkToFit="1"/>
    </xf>
    <xf numFmtId="0" fontId="2" fillId="0" borderId="0" xfId="0" applyFont="1" applyAlignment="1">
      <alignment horizontal="center" vertical="center"/>
    </xf>
    <xf numFmtId="0" fontId="2" fillId="0" borderId="11" xfId="0" applyFont="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2" fillId="0" borderId="1" xfId="0" applyFont="1" applyBorder="1" applyAlignment="1">
      <alignment vertical="center" wrapText="1"/>
    </xf>
    <xf numFmtId="0" fontId="12" fillId="0" borderId="2" xfId="0" applyFont="1" applyBorder="1" applyAlignment="1">
      <alignment horizontal="center" vertical="center" shrinkToFit="1"/>
    </xf>
    <xf numFmtId="0" fontId="13" fillId="0" borderId="2" xfId="0" applyFont="1" applyBorder="1" applyAlignment="1">
      <alignment horizontal="center" vertical="center" shrinkToFit="1"/>
    </xf>
    <xf numFmtId="0" fontId="10" fillId="0" borderId="0" xfId="0" applyFont="1" applyFill="1">
      <alignment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4" fillId="0" borderId="0" xfId="0" applyFont="1" applyAlignment="1">
      <alignment vertical="top" wrapText="1"/>
    </xf>
    <xf numFmtId="0" fontId="5" fillId="0" borderId="0" xfId="0" applyFont="1" applyAlignment="1">
      <alignment vertical="top" wrapText="1"/>
    </xf>
    <xf numFmtId="0" fontId="12" fillId="0" borderId="0" xfId="0" applyFont="1">
      <alignment vertical="center"/>
    </xf>
    <xf numFmtId="0" fontId="14" fillId="0" borderId="21" xfId="0" applyFont="1" applyBorder="1" applyAlignment="1">
      <alignment vertical="top" shrinkToFit="1"/>
    </xf>
    <xf numFmtId="0" fontId="14" fillId="0" borderId="19" xfId="0" applyFont="1" applyBorder="1" applyAlignment="1">
      <alignment vertical="top" shrinkToFit="1"/>
    </xf>
    <xf numFmtId="0" fontId="2" fillId="0" borderId="2" xfId="0" applyFont="1" applyBorder="1" applyAlignment="1">
      <alignment vertical="center" shrinkToFit="1"/>
    </xf>
    <xf numFmtId="0" fontId="14" fillId="0" borderId="0" xfId="0" applyFont="1" applyBorder="1" applyAlignment="1">
      <alignment vertical="center" shrinkToFit="1"/>
    </xf>
    <xf numFmtId="0" fontId="14" fillId="0" borderId="1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5" fillId="0" borderId="0" xfId="2" applyNumberFormat="1" applyFont="1" applyBorder="1" applyAlignment="1">
      <alignment vertical="center" shrinkToFit="1"/>
    </xf>
    <xf numFmtId="0" fontId="9" fillId="0" borderId="0" xfId="0" applyFont="1" applyBorder="1" applyAlignment="1">
      <alignment vertical="center" shrinkToFit="1"/>
    </xf>
    <xf numFmtId="0" fontId="3" fillId="0" borderId="0" xfId="0" applyFont="1" applyAlignment="1">
      <alignment horizontal="center" vertical="center"/>
    </xf>
    <xf numFmtId="0" fontId="3" fillId="0" borderId="0" xfId="0" applyFont="1" applyAlignment="1">
      <alignment vertical="center" shrinkToFit="1"/>
    </xf>
    <xf numFmtId="0" fontId="16"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20" xfId="0"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176" fontId="5" fillId="0" borderId="0" xfId="0" applyNumberFormat="1" applyFont="1" applyBorder="1" applyAlignment="1">
      <alignment vertical="center" shrinkToFit="1"/>
    </xf>
    <xf numFmtId="0" fontId="13" fillId="0" borderId="0" xfId="0" applyFont="1" applyBorder="1" applyAlignment="1">
      <alignment vertical="center" shrinkToFit="1"/>
    </xf>
    <xf numFmtId="0" fontId="13" fillId="0" borderId="10" xfId="0" applyFont="1" applyBorder="1" applyAlignment="1">
      <alignment vertical="center" shrinkToFit="1"/>
    </xf>
    <xf numFmtId="0" fontId="3" fillId="2" borderId="0" xfId="0" applyFont="1" applyFill="1" applyAlignment="1">
      <alignment horizontal="center" vertical="center"/>
    </xf>
    <xf numFmtId="0" fontId="13" fillId="0" borderId="0" xfId="0" applyFont="1" applyBorder="1" applyAlignment="1">
      <alignment vertical="top" shrinkToFit="1"/>
    </xf>
    <xf numFmtId="176" fontId="3" fillId="0" borderId="5" xfId="0" applyNumberFormat="1" applyFont="1" applyFill="1" applyBorder="1" applyAlignment="1">
      <alignment vertical="center" shrinkToFit="1"/>
    </xf>
    <xf numFmtId="176" fontId="3" fillId="0" borderId="33" xfId="0" applyNumberFormat="1" applyFont="1" applyFill="1" applyBorder="1" applyAlignment="1">
      <alignment vertical="center" shrinkToFit="1"/>
    </xf>
    <xf numFmtId="176" fontId="3" fillId="0" borderId="20" xfId="0" applyNumberFormat="1" applyFont="1" applyFill="1" applyBorder="1" applyAlignment="1">
      <alignment vertical="center" shrinkToFit="1"/>
    </xf>
    <xf numFmtId="176" fontId="3" fillId="0" borderId="35" xfId="0" applyNumberFormat="1" applyFont="1" applyFill="1" applyBorder="1" applyAlignment="1">
      <alignment vertical="center" shrinkToFit="1"/>
    </xf>
    <xf numFmtId="0" fontId="12" fillId="0" borderId="1" xfId="0" applyFont="1" applyFill="1" applyBorder="1" applyAlignment="1">
      <alignment vertical="center" wrapText="1"/>
    </xf>
    <xf numFmtId="0" fontId="9" fillId="0" borderId="0" xfId="0" applyFont="1" applyBorder="1" applyAlignment="1">
      <alignment vertical="center" shrinkToFit="1"/>
    </xf>
    <xf numFmtId="176" fontId="13" fillId="0" borderId="2" xfId="0" applyNumberFormat="1" applyFont="1" applyFill="1" applyBorder="1" applyAlignment="1">
      <alignment horizontal="center" vertical="center" shrinkToFit="1"/>
    </xf>
    <xf numFmtId="176" fontId="13" fillId="0" borderId="4" xfId="0" applyNumberFormat="1" applyFont="1" applyFill="1" applyBorder="1" applyAlignment="1">
      <alignment horizontal="center" vertical="center" shrinkToFit="1"/>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3" fillId="0" borderId="2" xfId="0" applyFont="1" applyFill="1" applyBorder="1" applyAlignment="1">
      <alignment horizontal="center" vertical="center" shrinkToFit="1"/>
    </xf>
    <xf numFmtId="0" fontId="13" fillId="0" borderId="3" xfId="0" applyFont="1" applyFill="1" applyBorder="1" applyAlignment="1">
      <alignment horizontal="center" vertical="center" shrinkToFit="1"/>
    </xf>
    <xf numFmtId="0" fontId="13" fillId="0" borderId="4" xfId="0" applyFont="1" applyFill="1" applyBorder="1" applyAlignment="1">
      <alignment horizontal="center" vertical="center" shrinkToFit="1"/>
    </xf>
    <xf numFmtId="0" fontId="9" fillId="0" borderId="0" xfId="0" applyFont="1" applyBorder="1" applyAlignment="1">
      <alignment horizontal="center" vertical="center"/>
    </xf>
    <xf numFmtId="3" fontId="13" fillId="0" borderId="2" xfId="0" applyNumberFormat="1" applyFont="1" applyFill="1" applyBorder="1" applyAlignment="1">
      <alignment horizontal="center" vertical="center"/>
    </xf>
    <xf numFmtId="0" fontId="13" fillId="0" borderId="3" xfId="0" applyFont="1" applyFill="1" applyBorder="1" applyAlignment="1">
      <alignment horizontal="center" vertical="center"/>
    </xf>
    <xf numFmtId="0" fontId="13" fillId="0" borderId="4" xfId="0" applyFont="1" applyFill="1" applyBorder="1" applyAlignment="1">
      <alignment horizontal="center" vertical="center"/>
    </xf>
    <xf numFmtId="0" fontId="9" fillId="0" borderId="0" xfId="0" applyFont="1" applyBorder="1" applyAlignment="1">
      <alignment horizontal="right"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13" fillId="0" borderId="2" xfId="0" applyFont="1" applyFill="1" applyBorder="1" applyAlignment="1">
      <alignment horizontal="center" vertical="center"/>
    </xf>
    <xf numFmtId="0" fontId="10"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13" fillId="0" borderId="3" xfId="0" applyNumberFormat="1" applyFont="1" applyFill="1" applyBorder="1" applyAlignment="1">
      <alignment horizontal="center" vertical="center" shrinkToFit="1"/>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13" fillId="0" borderId="2"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49" fontId="7" fillId="0" borderId="2" xfId="2" applyNumberFormat="1" applyBorder="1" applyAlignment="1">
      <alignment vertical="center" shrinkToFit="1"/>
    </xf>
    <xf numFmtId="49" fontId="13" fillId="0" borderId="3" xfId="0" applyNumberFormat="1" applyFont="1" applyBorder="1" applyAlignment="1">
      <alignment vertical="center" shrinkToFit="1"/>
    </xf>
    <xf numFmtId="49" fontId="13" fillId="0" borderId="4" xfId="0" applyNumberFormat="1" applyFont="1" applyBorder="1" applyAlignment="1">
      <alignment vertical="center" shrinkToFit="1"/>
    </xf>
    <xf numFmtId="49" fontId="13" fillId="0" borderId="2" xfId="1" applyNumberFormat="1" applyFont="1" applyFill="1" applyBorder="1" applyAlignment="1">
      <alignment horizontal="center" vertical="center" shrinkToFit="1"/>
    </xf>
    <xf numFmtId="49" fontId="13" fillId="0" borderId="3" xfId="1" applyNumberFormat="1" applyFont="1" applyFill="1" applyBorder="1" applyAlignment="1">
      <alignment horizontal="center" vertical="center" shrinkToFit="1"/>
    </xf>
    <xf numFmtId="49" fontId="13" fillId="0" borderId="4" xfId="1" applyNumberFormat="1" applyFont="1" applyFill="1" applyBorder="1" applyAlignment="1">
      <alignment horizontal="center" vertical="center" shrinkToFit="1"/>
    </xf>
    <xf numFmtId="0" fontId="12" fillId="0" borderId="7" xfId="0" applyFont="1" applyBorder="1" applyAlignment="1">
      <alignment vertical="top" wrapText="1"/>
    </xf>
    <xf numFmtId="0" fontId="13" fillId="0" borderId="8" xfId="0" applyFont="1" applyBorder="1" applyAlignment="1">
      <alignment vertical="top" wrapText="1"/>
    </xf>
    <xf numFmtId="0" fontId="13" fillId="0" borderId="9" xfId="0" applyFont="1" applyBorder="1" applyAlignment="1">
      <alignment vertical="top" wrapText="1"/>
    </xf>
    <xf numFmtId="0" fontId="13" fillId="0" borderId="5" xfId="0" applyFont="1" applyBorder="1" applyAlignment="1">
      <alignment vertical="top" wrapText="1"/>
    </xf>
    <xf numFmtId="0" fontId="13" fillId="0" borderId="0" xfId="0" applyFont="1" applyBorder="1" applyAlignment="1">
      <alignment vertical="top" wrapText="1"/>
    </xf>
    <xf numFmtId="0" fontId="13" fillId="0" borderId="10" xfId="0" applyFont="1" applyBorder="1" applyAlignment="1">
      <alignment vertical="top" wrapText="1"/>
    </xf>
    <xf numFmtId="0" fontId="13" fillId="0" borderId="11" xfId="0" applyFont="1" applyBorder="1" applyAlignment="1">
      <alignment vertical="top" wrapText="1"/>
    </xf>
    <xf numFmtId="0" fontId="13" fillId="0" borderId="6" xfId="0" applyFont="1" applyBorder="1" applyAlignment="1">
      <alignment vertical="top" wrapText="1"/>
    </xf>
    <xf numFmtId="0" fontId="13" fillId="0" borderId="12" xfId="0" applyFont="1" applyBorder="1" applyAlignment="1">
      <alignment vertical="top" wrapTex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9" fillId="0" borderId="0" xfId="0" applyFont="1" applyAlignment="1">
      <alignment vertical="center" shrinkToFi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3" fillId="0" borderId="20" xfId="0" applyFont="1" applyFill="1" applyBorder="1" applyAlignment="1">
      <alignment vertical="center" shrinkToFit="1"/>
    </xf>
    <xf numFmtId="0" fontId="3" fillId="0" borderId="19" xfId="0" applyFont="1" applyFill="1" applyBorder="1" applyAlignment="1">
      <alignment vertical="center" shrinkToFit="1"/>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40" xfId="0" applyFont="1" applyBorder="1" applyAlignment="1">
      <alignment vertical="center" shrinkToFit="1"/>
    </xf>
    <xf numFmtId="0" fontId="3" fillId="0" borderId="41" xfId="0" applyFont="1" applyBorder="1" applyAlignment="1">
      <alignment vertical="center" shrinkToFi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0" xfId="0" applyFont="1" applyAlignment="1">
      <alignment horizontal="center" vertical="center"/>
    </xf>
    <xf numFmtId="0" fontId="2" fillId="0" borderId="2" xfId="0" applyFont="1" applyFill="1" applyBorder="1" applyAlignment="1">
      <alignment horizontal="center" vertical="center" shrinkToFit="1"/>
    </xf>
    <xf numFmtId="0" fontId="2" fillId="0"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16" xfId="0" applyFont="1" applyBorder="1" applyAlignment="1">
      <alignment vertical="center" wrapText="1"/>
    </xf>
    <xf numFmtId="0" fontId="3" fillId="0" borderId="42" xfId="0" applyFont="1" applyBorder="1" applyAlignment="1">
      <alignment vertical="center" wrapText="1"/>
    </xf>
    <xf numFmtId="0" fontId="12"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Border="1" applyAlignment="1">
      <alignment horizontal="left" vertical="top" wrapText="1"/>
    </xf>
    <xf numFmtId="0" fontId="13" fillId="0" borderId="10" xfId="0" applyFont="1" applyBorder="1" applyAlignment="1">
      <alignment horizontal="left" vertical="top" wrapText="1"/>
    </xf>
    <xf numFmtId="0" fontId="0" fillId="0" borderId="11" xfId="0" applyBorder="1" applyAlignment="1">
      <alignment vertical="center" wrapText="1"/>
    </xf>
    <xf numFmtId="0" fontId="0" fillId="0" borderId="6" xfId="0" applyBorder="1" applyAlignment="1">
      <alignment vertical="center" wrapText="1"/>
    </xf>
    <xf numFmtId="0" fontId="0" fillId="0" borderId="12" xfId="0" applyBorder="1" applyAlignment="1">
      <alignment vertical="center" wrapTex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3" fillId="0" borderId="13" xfId="0" applyFont="1" applyBorder="1" applyAlignment="1">
      <alignment vertical="center" wrapText="1"/>
    </xf>
    <xf numFmtId="0" fontId="2" fillId="0" borderId="0" xfId="0" applyFont="1" applyAlignment="1">
      <alignment horizontal="center" vertical="center"/>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xf numFmtId="0" fontId="12" fillId="0" borderId="7" xfId="0" applyFont="1" applyBorder="1" applyAlignment="1">
      <alignment vertical="top" wrapText="1" shrinkToFit="1"/>
    </xf>
    <xf numFmtId="0" fontId="13" fillId="0" borderId="8" xfId="0" applyFont="1" applyBorder="1" applyAlignment="1">
      <alignment vertical="top"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Border="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7" fillId="0" borderId="2" xfId="2" applyFill="1" applyBorder="1" applyAlignment="1">
      <alignment vertical="center" shrinkToFit="1"/>
    </xf>
    <xf numFmtId="0" fontId="13" fillId="0" borderId="3" xfId="0" applyFont="1" applyFill="1" applyBorder="1" applyAlignment="1">
      <alignment vertical="center" shrinkToFit="1"/>
    </xf>
    <xf numFmtId="0" fontId="13" fillId="0" borderId="4" xfId="0" applyFont="1" applyFill="1" applyBorder="1" applyAlignment="1">
      <alignment vertical="center"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2" fillId="0" borderId="2" xfId="0" applyFont="1" applyBorder="1" applyAlignment="1">
      <alignment horizontal="center" vertical="center" shrinkToFit="1"/>
    </xf>
    <xf numFmtId="0" fontId="12" fillId="0" borderId="7" xfId="0" applyFont="1" applyFill="1" applyBorder="1" applyAlignment="1">
      <alignment vertical="top" wrapText="1" shrinkToFit="1"/>
    </xf>
    <xf numFmtId="0" fontId="13" fillId="0" borderId="8" xfId="0" applyFont="1" applyFill="1" applyBorder="1" applyAlignment="1">
      <alignment vertical="top" shrinkToFit="1"/>
    </xf>
    <xf numFmtId="0" fontId="13" fillId="0" borderId="9" xfId="0" applyFont="1" applyFill="1" applyBorder="1" applyAlignment="1">
      <alignment vertical="top" shrinkToFit="1"/>
    </xf>
    <xf numFmtId="0" fontId="13" fillId="0" borderId="5" xfId="0" applyFont="1" applyFill="1" applyBorder="1" applyAlignment="1">
      <alignment vertical="top" shrinkToFit="1"/>
    </xf>
    <xf numFmtId="0" fontId="13" fillId="0" borderId="0" xfId="0" applyFont="1" applyFill="1" applyBorder="1" applyAlignment="1">
      <alignment vertical="top" shrinkToFit="1"/>
    </xf>
    <xf numFmtId="0" fontId="13" fillId="0" borderId="10" xfId="0" applyFont="1" applyFill="1" applyBorder="1" applyAlignment="1">
      <alignment vertical="top" shrinkToFit="1"/>
    </xf>
    <xf numFmtId="0" fontId="13" fillId="0" borderId="11" xfId="0" applyFont="1" applyFill="1" applyBorder="1" applyAlignment="1">
      <alignment vertical="top" shrinkToFit="1"/>
    </xf>
    <xf numFmtId="0" fontId="13" fillId="0" borderId="6" xfId="0" applyFont="1" applyFill="1" applyBorder="1" applyAlignment="1">
      <alignment vertical="top" shrinkToFit="1"/>
    </xf>
    <xf numFmtId="0" fontId="13" fillId="0" borderId="12" xfId="0" applyFont="1" applyFill="1" applyBorder="1" applyAlignment="1">
      <alignment vertical="top" shrinkToFit="1"/>
    </xf>
    <xf numFmtId="0" fontId="2" fillId="0" borderId="6" xfId="0" applyFont="1" applyBorder="1" applyAlignment="1">
      <alignment vertical="center"/>
    </xf>
    <xf numFmtId="0" fontId="13" fillId="0" borderId="0" xfId="0" applyFont="1" applyAlignment="1">
      <alignment vertical="top" shrinkToFit="1"/>
    </xf>
    <xf numFmtId="0" fontId="2" fillId="0" borderId="0" xfId="0" applyFont="1" applyAlignment="1">
      <alignment vertical="center" shrinkToFit="1"/>
    </xf>
    <xf numFmtId="0" fontId="18" fillId="0" borderId="7" xfId="0" applyFont="1" applyFill="1" applyBorder="1" applyAlignment="1">
      <alignment vertical="top" wrapText="1" shrinkToFit="1"/>
    </xf>
    <xf numFmtId="0" fontId="18" fillId="0" borderId="8" xfId="0" applyFont="1" applyFill="1" applyBorder="1" applyAlignment="1">
      <alignment vertical="top" shrinkToFit="1"/>
    </xf>
    <xf numFmtId="0" fontId="18" fillId="0" borderId="9" xfId="0" applyFont="1" applyFill="1" applyBorder="1" applyAlignment="1">
      <alignment vertical="top" shrinkToFit="1"/>
    </xf>
    <xf numFmtId="0" fontId="18" fillId="0" borderId="5" xfId="0" applyFont="1" applyFill="1" applyBorder="1" applyAlignment="1">
      <alignment vertical="top" shrinkToFit="1"/>
    </xf>
    <xf numFmtId="0" fontId="18" fillId="0" borderId="0" xfId="0" applyFont="1" applyFill="1" applyBorder="1" applyAlignment="1">
      <alignment vertical="top" shrinkToFit="1"/>
    </xf>
    <xf numFmtId="0" fontId="18" fillId="0" borderId="10" xfId="0" applyFont="1" applyFill="1" applyBorder="1" applyAlignment="1">
      <alignment vertical="top" shrinkToFit="1"/>
    </xf>
    <xf numFmtId="0" fontId="18" fillId="0" borderId="11" xfId="0" applyFont="1" applyFill="1" applyBorder="1" applyAlignment="1">
      <alignment vertical="top" shrinkToFit="1"/>
    </xf>
    <xf numFmtId="0" fontId="18" fillId="0" borderId="6" xfId="0" applyFont="1" applyFill="1" applyBorder="1" applyAlignment="1">
      <alignment vertical="top" shrinkToFit="1"/>
    </xf>
    <xf numFmtId="0" fontId="18" fillId="0" borderId="12" xfId="0" applyFont="1" applyFill="1" applyBorder="1" applyAlignment="1">
      <alignment vertical="top" shrinkToFit="1"/>
    </xf>
    <xf numFmtId="0" fontId="13" fillId="0" borderId="8" xfId="0" applyFont="1" applyFill="1" applyBorder="1" applyAlignment="1">
      <alignment vertical="top" wrapText="1" shrinkToFit="1"/>
    </xf>
    <xf numFmtId="0" fontId="13" fillId="0" borderId="9" xfId="0" applyFont="1" applyFill="1" applyBorder="1" applyAlignment="1">
      <alignment vertical="top" wrapText="1" shrinkToFit="1"/>
    </xf>
    <xf numFmtId="0" fontId="13" fillId="0" borderId="5" xfId="0" applyFont="1" applyFill="1" applyBorder="1" applyAlignment="1">
      <alignment vertical="top" wrapText="1" shrinkToFit="1"/>
    </xf>
    <xf numFmtId="0" fontId="13" fillId="0" borderId="0" xfId="0" applyFont="1" applyFill="1" applyBorder="1" applyAlignment="1">
      <alignment vertical="top" wrapText="1" shrinkToFit="1"/>
    </xf>
    <xf numFmtId="0" fontId="13" fillId="0" borderId="10" xfId="0" applyFont="1" applyFill="1" applyBorder="1" applyAlignment="1">
      <alignment vertical="top" wrapText="1" shrinkToFit="1"/>
    </xf>
    <xf numFmtId="0" fontId="13" fillId="0" borderId="11" xfId="0" applyFont="1" applyFill="1" applyBorder="1" applyAlignment="1">
      <alignment vertical="top" wrapText="1" shrinkToFit="1"/>
    </xf>
    <xf numFmtId="0" fontId="13" fillId="0" borderId="6" xfId="0" applyFont="1" applyFill="1" applyBorder="1" applyAlignment="1">
      <alignment vertical="top" wrapText="1" shrinkToFit="1"/>
    </xf>
    <xf numFmtId="0" fontId="13" fillId="0" borderId="12" xfId="0" applyFont="1" applyFill="1" applyBorder="1" applyAlignment="1">
      <alignment vertical="top" wrapText="1" shrinkToFit="1"/>
    </xf>
    <xf numFmtId="0" fontId="13" fillId="0" borderId="2" xfId="0" applyFont="1" applyFill="1" applyBorder="1" applyAlignment="1">
      <alignment vertical="center" shrinkToFit="1"/>
    </xf>
    <xf numFmtId="0" fontId="13" fillId="0" borderId="7" xfId="0" applyFont="1" applyFill="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2" fillId="0" borderId="18" xfId="0" applyFont="1" applyBorder="1" applyAlignment="1">
      <alignment vertical="center" wrapText="1"/>
    </xf>
    <xf numFmtId="0" fontId="2" fillId="0" borderId="19" xfId="0" applyFont="1" applyBorder="1" applyAlignment="1">
      <alignment vertical="center" wrapText="1"/>
    </xf>
    <xf numFmtId="0" fontId="13" fillId="0" borderId="21" xfId="0" applyFont="1" applyFill="1" applyBorder="1" applyAlignment="1">
      <alignment vertical="top" wrapText="1" shrinkToFit="1"/>
    </xf>
    <xf numFmtId="0" fontId="13" fillId="0" borderId="19" xfId="0" applyFont="1" applyFill="1" applyBorder="1" applyAlignment="1">
      <alignment vertical="top" wrapText="1" shrinkToFit="1"/>
    </xf>
    <xf numFmtId="0" fontId="2" fillId="0" borderId="22" xfId="0" applyFont="1" applyBorder="1" applyAlignment="1">
      <alignment vertical="center" wrapText="1"/>
    </xf>
    <xf numFmtId="0" fontId="2" fillId="0" borderId="23" xfId="0" applyFont="1" applyBorder="1" applyAlignment="1">
      <alignment vertical="center" wrapText="1"/>
    </xf>
    <xf numFmtId="0" fontId="13" fillId="0" borderId="24" xfId="0" applyFont="1" applyFill="1" applyBorder="1" applyAlignment="1">
      <alignment vertical="top" wrapText="1" shrinkToFit="1"/>
    </xf>
    <xf numFmtId="0" fontId="13" fillId="0" borderId="23" xfId="0" applyFont="1" applyFill="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xf numFmtId="0" fontId="13" fillId="0" borderId="21" xfId="0" applyFont="1" applyBorder="1" applyAlignment="1">
      <alignment vertical="top" wrapText="1" shrinkToFit="1"/>
    </xf>
    <xf numFmtId="0" fontId="13" fillId="0" borderId="19" xfId="0" applyFont="1" applyBorder="1" applyAlignment="1">
      <alignment vertical="top" wrapText="1" shrinkToFit="1"/>
    </xf>
    <xf numFmtId="0" fontId="7" fillId="2" borderId="2" xfId="2" applyFill="1" applyBorder="1" applyAlignment="1">
      <alignment horizontal="left" vertical="center" shrinkToFit="1"/>
    </xf>
    <xf numFmtId="0" fontId="14" fillId="2" borderId="3" xfId="0" applyFont="1" applyFill="1" applyBorder="1" applyAlignment="1">
      <alignment horizontal="left" vertical="center" shrinkToFit="1"/>
    </xf>
    <xf numFmtId="0" fontId="14" fillId="2" borderId="4" xfId="0" applyFont="1" applyFill="1" applyBorder="1" applyAlignment="1">
      <alignment horizontal="left" vertical="center" shrinkToFit="1"/>
    </xf>
    <xf numFmtId="0" fontId="13" fillId="0" borderId="20" xfId="0" applyFont="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13" fillId="0" borderId="20" xfId="0" applyFont="1" applyFill="1" applyBorder="1" applyAlignment="1">
      <alignment vertical="top" wrapText="1" shrinkToFit="1"/>
    </xf>
    <xf numFmtId="0" fontId="1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wrapText="1" shrinkToFit="1"/>
    </xf>
    <xf numFmtId="0" fontId="3" fillId="0" borderId="5" xfId="0" applyFont="1" applyBorder="1" applyAlignment="1">
      <alignment vertical="top" wrapText="1" shrinkToFit="1"/>
    </xf>
    <xf numFmtId="0" fontId="3" fillId="0" borderId="0" xfId="0" applyFont="1" applyBorder="1" applyAlignment="1">
      <alignment vertical="top" wrapText="1" shrinkToFit="1"/>
    </xf>
    <xf numFmtId="0" fontId="3" fillId="0" borderId="10" xfId="0" applyFont="1" applyBorder="1" applyAlignment="1">
      <alignment vertical="top" wrapText="1" shrinkToFit="1"/>
    </xf>
    <xf numFmtId="0" fontId="3" fillId="0" borderId="11"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wrapText="1" shrinkToFit="1"/>
    </xf>
    <xf numFmtId="0" fontId="13" fillId="0" borderId="5" xfId="0" applyFont="1" applyBorder="1" applyAlignment="1">
      <alignment vertical="top" wrapText="1" shrinkToFit="1"/>
    </xf>
    <xf numFmtId="0" fontId="13" fillId="0" borderId="0" xfId="0" applyFont="1" applyBorder="1" applyAlignment="1">
      <alignment vertical="top" wrapText="1" shrinkToFit="1"/>
    </xf>
    <xf numFmtId="0" fontId="13" fillId="0" borderId="10" xfId="0" applyFont="1" applyBorder="1" applyAlignment="1">
      <alignment vertical="top" wrapText="1" shrinkToFit="1"/>
    </xf>
    <xf numFmtId="0" fontId="13" fillId="0" borderId="11" xfId="0" applyFont="1" applyBorder="1" applyAlignment="1">
      <alignment vertical="top" wrapText="1" shrinkToFit="1"/>
    </xf>
    <xf numFmtId="0" fontId="13" fillId="0" borderId="6" xfId="0" applyFont="1" applyBorder="1" applyAlignment="1">
      <alignment vertical="top" wrapText="1" shrinkToFit="1"/>
    </xf>
    <xf numFmtId="0" fontId="13" fillId="0" borderId="12" xfId="0" applyFont="1" applyBorder="1" applyAlignment="1">
      <alignment vertical="top" wrapText="1"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takegawa@nagasaki-u.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mlms.innov.nagasaki-u.ac.jp/nds/index.php/sy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mlms.innov.nagasaki-u.ac.jp/nds/index.php/sy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7"/>
  <sheetViews>
    <sheetView view="pageBreakPreview" topLeftCell="A10" zoomScaleNormal="100" zoomScaleSheetLayoutView="100" workbookViewId="0">
      <selection activeCell="P10" sqref="P10"/>
    </sheetView>
  </sheetViews>
  <sheetFormatPr defaultColWidth="9" defaultRowHeight="18.75" customHeight="1" x14ac:dyDescent="0.15"/>
  <cols>
    <col min="1" max="1" width="2.5" style="28" customWidth="1"/>
    <col min="2" max="2" width="12.5" style="28" customWidth="1"/>
    <col min="3" max="8" width="6.25" style="28" customWidth="1"/>
    <col min="9" max="9" width="2.5" style="28" customWidth="1"/>
    <col min="10" max="10" width="10" style="28" customWidth="1"/>
    <col min="11" max="11" width="2.5" style="28" customWidth="1"/>
    <col min="12" max="12" width="7.5" style="28" customWidth="1"/>
    <col min="13" max="13" width="2.5" style="28" customWidth="1"/>
    <col min="14" max="14" width="7.5" style="28" customWidth="1"/>
    <col min="15" max="16384" width="9" style="28"/>
  </cols>
  <sheetData>
    <row r="1" spans="1:14" ht="22.5" customHeight="1" x14ac:dyDescent="0.15">
      <c r="M1" s="148" t="s">
        <v>29</v>
      </c>
      <c r="N1" s="148"/>
    </row>
    <row r="2" spans="1:14" ht="22.5" customHeight="1" x14ac:dyDescent="0.15">
      <c r="A2" s="153" t="s">
        <v>133</v>
      </c>
      <c r="B2" s="153"/>
      <c r="C2" s="153"/>
      <c r="D2" s="153"/>
      <c r="E2" s="153"/>
      <c r="F2" s="153"/>
      <c r="G2" s="153"/>
      <c r="H2" s="153"/>
      <c r="I2" s="153"/>
      <c r="J2" s="153"/>
      <c r="K2" s="153"/>
      <c r="L2" s="153"/>
      <c r="M2" s="153"/>
      <c r="N2" s="153"/>
    </row>
    <row r="3" spans="1:14" ht="22.5" customHeight="1" x14ac:dyDescent="0.15"/>
    <row r="4" spans="1:14" ht="22.5" customHeight="1" x14ac:dyDescent="0.15">
      <c r="A4" s="28" t="s">
        <v>7</v>
      </c>
      <c r="B4" s="31" t="s">
        <v>20</v>
      </c>
      <c r="C4" s="134" t="s">
        <v>134</v>
      </c>
      <c r="D4" s="135"/>
      <c r="E4" s="135"/>
      <c r="F4" s="135"/>
      <c r="G4" s="135"/>
      <c r="H4" s="135"/>
      <c r="I4" s="135"/>
      <c r="J4" s="135"/>
      <c r="K4" s="135"/>
      <c r="L4" s="135"/>
      <c r="M4" s="135"/>
      <c r="N4" s="136"/>
    </row>
    <row r="5" spans="1:14" ht="7.5" customHeight="1" x14ac:dyDescent="0.15">
      <c r="B5" s="31"/>
      <c r="C5" s="31"/>
      <c r="D5" s="31"/>
      <c r="E5" s="32"/>
      <c r="F5" s="29"/>
      <c r="G5" s="29"/>
      <c r="H5" s="29"/>
      <c r="I5" s="29"/>
      <c r="J5" s="29"/>
      <c r="K5" s="29"/>
      <c r="L5" s="29"/>
      <c r="M5" s="29"/>
      <c r="N5" s="29"/>
    </row>
    <row r="6" spans="1:14" ht="22.5" customHeight="1" x14ac:dyDescent="0.15">
      <c r="A6" s="28" t="s">
        <v>56</v>
      </c>
      <c r="B6" s="31" t="s">
        <v>57</v>
      </c>
      <c r="C6" s="31"/>
      <c r="D6" s="134" t="s">
        <v>186</v>
      </c>
      <c r="E6" s="135"/>
      <c r="F6" s="135"/>
      <c r="G6" s="135"/>
      <c r="H6" s="135"/>
      <c r="I6" s="135"/>
      <c r="J6" s="135"/>
      <c r="K6" s="135"/>
      <c r="L6" s="135"/>
      <c r="M6" s="135"/>
      <c r="N6" s="136"/>
    </row>
    <row r="7" spans="1:14" ht="7.5" customHeight="1" x14ac:dyDescent="0.15">
      <c r="B7" s="31"/>
      <c r="C7" s="31"/>
      <c r="D7" s="31"/>
      <c r="E7" s="32"/>
      <c r="F7" s="29"/>
      <c r="G7" s="29"/>
      <c r="H7" s="29"/>
      <c r="I7" s="29"/>
      <c r="J7" s="29"/>
      <c r="K7" s="29"/>
      <c r="L7" s="29"/>
      <c r="M7" s="29"/>
      <c r="N7" s="29"/>
    </row>
    <row r="8" spans="1:14" ht="22.5" customHeight="1" x14ac:dyDescent="0.15">
      <c r="A8" s="33" t="s">
        <v>13</v>
      </c>
      <c r="B8" s="34" t="s">
        <v>58</v>
      </c>
      <c r="C8" s="134" t="s">
        <v>135</v>
      </c>
      <c r="D8" s="135"/>
      <c r="E8" s="136"/>
      <c r="F8" s="29"/>
      <c r="G8" s="152"/>
      <c r="H8" s="152"/>
      <c r="I8" s="152"/>
      <c r="J8" s="29"/>
      <c r="K8" s="29"/>
      <c r="L8" s="29"/>
      <c r="M8" s="29"/>
      <c r="N8" s="29"/>
    </row>
    <row r="9" spans="1:14" ht="7.5" customHeight="1" x14ac:dyDescent="0.15">
      <c r="B9" s="31"/>
      <c r="C9" s="31"/>
      <c r="D9" s="31"/>
      <c r="E9" s="32"/>
      <c r="F9" s="29"/>
      <c r="G9" s="29"/>
      <c r="H9" s="29"/>
      <c r="I9" s="29"/>
      <c r="J9" s="29"/>
      <c r="K9" s="29"/>
      <c r="L9" s="29"/>
      <c r="M9" s="29"/>
      <c r="N9" s="29"/>
    </row>
    <row r="10" spans="1:14" ht="22.5" customHeight="1" x14ac:dyDescent="0.15">
      <c r="A10" s="28" t="s">
        <v>17</v>
      </c>
      <c r="B10" s="31" t="s">
        <v>53</v>
      </c>
      <c r="C10" s="134" t="s">
        <v>146</v>
      </c>
      <c r="D10" s="135"/>
      <c r="E10" s="135"/>
      <c r="F10" s="135"/>
      <c r="G10" s="135"/>
      <c r="H10" s="135"/>
      <c r="I10" s="135"/>
      <c r="J10" s="135"/>
      <c r="K10" s="135"/>
      <c r="L10" s="135"/>
      <c r="M10" s="135"/>
      <c r="N10" s="136"/>
    </row>
    <row r="11" spans="1:14" ht="7.5" customHeight="1" x14ac:dyDescent="0.15">
      <c r="B11" s="31"/>
      <c r="C11" s="31"/>
      <c r="D11" s="31"/>
      <c r="E11" s="32"/>
      <c r="F11" s="29"/>
      <c r="G11" s="29"/>
      <c r="H11" s="29"/>
      <c r="I11" s="29"/>
      <c r="J11" s="29"/>
      <c r="K11" s="29"/>
      <c r="L11" s="29"/>
      <c r="M11" s="29"/>
      <c r="N11" s="29"/>
    </row>
    <row r="12" spans="1:14" ht="22.5" customHeight="1" x14ac:dyDescent="0.15">
      <c r="A12" s="28" t="s">
        <v>14</v>
      </c>
      <c r="B12" s="31" t="s">
        <v>129</v>
      </c>
      <c r="C12" s="31"/>
      <c r="D12" s="31"/>
      <c r="E12" s="122"/>
      <c r="F12" s="123"/>
      <c r="G12" s="154" t="s">
        <v>183</v>
      </c>
      <c r="H12" s="155"/>
      <c r="I12" s="155"/>
      <c r="J12" s="155"/>
      <c r="K12" s="155"/>
      <c r="L12" s="155"/>
      <c r="M12" s="155"/>
      <c r="N12" s="156"/>
    </row>
    <row r="13" spans="1:14" ht="7.5" customHeight="1" x14ac:dyDescent="0.15">
      <c r="B13" s="32"/>
      <c r="C13" s="32"/>
      <c r="D13" s="32"/>
      <c r="E13" s="32"/>
      <c r="F13" s="29"/>
      <c r="G13" s="29"/>
      <c r="H13" s="29"/>
      <c r="I13" s="29"/>
      <c r="J13" s="29"/>
      <c r="K13" s="29"/>
      <c r="L13" s="29"/>
      <c r="M13" s="29"/>
      <c r="N13" s="29"/>
    </row>
    <row r="14" spans="1:14" ht="22.5" customHeight="1" x14ac:dyDescent="0.15">
      <c r="A14" s="28" t="s">
        <v>68</v>
      </c>
      <c r="B14" s="32" t="s">
        <v>69</v>
      </c>
      <c r="C14" s="32"/>
      <c r="D14" s="32"/>
      <c r="E14" s="32"/>
      <c r="F14" s="134" t="s">
        <v>139</v>
      </c>
      <c r="G14" s="135"/>
      <c r="H14" s="136"/>
      <c r="I14" s="48"/>
      <c r="J14" s="48"/>
      <c r="K14" s="48"/>
      <c r="L14" s="48"/>
      <c r="M14" s="48"/>
      <c r="N14" s="48"/>
    </row>
    <row r="15" spans="1:14" ht="7.5" customHeight="1" x14ac:dyDescent="0.15">
      <c r="B15" s="32"/>
      <c r="C15" s="32"/>
      <c r="D15" s="32"/>
      <c r="E15" s="32"/>
      <c r="F15" s="48"/>
      <c r="G15" s="48"/>
      <c r="H15" s="48"/>
      <c r="I15" s="48"/>
      <c r="J15" s="48"/>
      <c r="K15" s="48"/>
      <c r="L15" s="48"/>
      <c r="M15" s="48"/>
      <c r="N15" s="48"/>
    </row>
    <row r="16" spans="1:14" ht="22.5" customHeight="1" x14ac:dyDescent="0.15">
      <c r="A16" s="28" t="s">
        <v>15</v>
      </c>
      <c r="B16" s="28" t="s">
        <v>0</v>
      </c>
      <c r="C16" s="149" t="s">
        <v>6</v>
      </c>
      <c r="D16" s="150"/>
      <c r="E16" s="132">
        <v>1141</v>
      </c>
      <c r="F16" s="133"/>
      <c r="G16" s="35" t="s">
        <v>10</v>
      </c>
      <c r="I16" s="149" t="s">
        <v>11</v>
      </c>
      <c r="J16" s="150"/>
      <c r="K16" s="132">
        <v>485</v>
      </c>
      <c r="L16" s="151"/>
      <c r="M16" s="133"/>
      <c r="N16" s="36" t="s">
        <v>10</v>
      </c>
    </row>
    <row r="17" spans="1:15" ht="7.5" customHeight="1" x14ac:dyDescent="0.15">
      <c r="F17" s="37"/>
      <c r="G17" s="37"/>
      <c r="H17" s="37"/>
      <c r="I17" s="37"/>
      <c r="J17" s="37"/>
      <c r="K17" s="37"/>
      <c r="L17" s="37"/>
      <c r="M17" s="36"/>
      <c r="N17" s="36"/>
    </row>
    <row r="18" spans="1:15" ht="22.5" customHeight="1" x14ac:dyDescent="0.15">
      <c r="A18" s="28" t="s">
        <v>62</v>
      </c>
      <c r="B18" s="28" t="s">
        <v>91</v>
      </c>
      <c r="F18" s="37"/>
      <c r="G18" s="37"/>
      <c r="H18" s="37"/>
      <c r="I18" s="37"/>
      <c r="J18" s="37"/>
      <c r="K18" s="147">
        <v>12</v>
      </c>
      <c r="L18" s="142"/>
      <c r="M18" s="143"/>
      <c r="N18" s="36" t="s">
        <v>60</v>
      </c>
    </row>
    <row r="19" spans="1:15" ht="7.5" customHeight="1" x14ac:dyDescent="0.15">
      <c r="F19" s="37"/>
      <c r="G19" s="37"/>
      <c r="H19" s="37"/>
      <c r="I19" s="37"/>
      <c r="J19" s="37"/>
      <c r="K19" s="37"/>
      <c r="L19" s="37"/>
      <c r="M19" s="36"/>
      <c r="N19" s="36"/>
    </row>
    <row r="20" spans="1:15" ht="22.5" customHeight="1" x14ac:dyDescent="0.15">
      <c r="A20" s="28" t="s">
        <v>70</v>
      </c>
      <c r="B20" s="28" t="s">
        <v>126</v>
      </c>
      <c r="E20" s="132">
        <v>1676</v>
      </c>
      <c r="F20" s="133"/>
      <c r="G20" s="38" t="s">
        <v>25</v>
      </c>
      <c r="H20" s="37"/>
      <c r="K20" s="131"/>
      <c r="L20" s="131"/>
      <c r="M20" s="131"/>
      <c r="N20" s="131"/>
    </row>
    <row r="21" spans="1:15" ht="7.5" customHeight="1" x14ac:dyDescent="0.15">
      <c r="E21" s="25"/>
      <c r="F21" s="37"/>
      <c r="G21" s="37"/>
      <c r="L21" s="39"/>
      <c r="M21" s="39"/>
      <c r="N21" s="40"/>
    </row>
    <row r="22" spans="1:15" ht="22.5" customHeight="1" x14ac:dyDescent="0.15">
      <c r="A22" s="28" t="s">
        <v>28</v>
      </c>
      <c r="B22" s="28" t="s">
        <v>127</v>
      </c>
      <c r="E22" s="25"/>
      <c r="F22" s="37"/>
      <c r="G22" s="37"/>
      <c r="H22" s="28" t="s">
        <v>61</v>
      </c>
      <c r="J22" s="141">
        <v>7488</v>
      </c>
      <c r="K22" s="142"/>
      <c r="L22" s="143"/>
      <c r="M22" s="39" t="s">
        <v>60</v>
      </c>
      <c r="N22" s="40"/>
    </row>
    <row r="23" spans="1:15" ht="7.5" customHeight="1" x14ac:dyDescent="0.15">
      <c r="E23" s="25"/>
      <c r="F23" s="37"/>
      <c r="G23" s="37"/>
      <c r="L23" s="39"/>
      <c r="M23" s="39"/>
      <c r="N23" s="40"/>
    </row>
    <row r="24" spans="1:15" ht="22.5" customHeight="1" x14ac:dyDescent="0.15">
      <c r="B24" s="41" t="s">
        <v>21</v>
      </c>
      <c r="C24" s="132">
        <v>1682</v>
      </c>
      <c r="D24" s="133"/>
      <c r="E24" s="25" t="s">
        <v>26</v>
      </c>
      <c r="F24" s="37"/>
      <c r="G24" s="140" t="s">
        <v>22</v>
      </c>
      <c r="H24" s="140"/>
      <c r="I24" s="132">
        <v>1695</v>
      </c>
      <c r="J24" s="133"/>
      <c r="K24" s="33" t="s">
        <v>26</v>
      </c>
      <c r="M24" s="39"/>
      <c r="N24" s="40"/>
      <c r="O24" s="30"/>
    </row>
    <row r="25" spans="1:15" ht="7.5" customHeight="1" x14ac:dyDescent="0.15">
      <c r="B25" s="41"/>
      <c r="C25" s="26"/>
      <c r="D25" s="26"/>
      <c r="E25" s="25"/>
      <c r="F25" s="37"/>
      <c r="G25" s="39"/>
      <c r="H25" s="39"/>
      <c r="I25" s="26"/>
      <c r="J25" s="26"/>
      <c r="K25" s="33"/>
      <c r="M25" s="39"/>
      <c r="N25" s="40"/>
      <c r="O25" s="30"/>
    </row>
    <row r="26" spans="1:15" ht="22.5" customHeight="1" x14ac:dyDescent="0.15">
      <c r="B26" s="41" t="s">
        <v>23</v>
      </c>
      <c r="C26" s="132">
        <v>1712</v>
      </c>
      <c r="D26" s="133"/>
      <c r="E26" s="25" t="s">
        <v>26</v>
      </c>
      <c r="F26" s="37"/>
      <c r="G26" s="140" t="s">
        <v>24</v>
      </c>
      <c r="H26" s="140"/>
      <c r="I26" s="132">
        <v>1967</v>
      </c>
      <c r="J26" s="133"/>
      <c r="K26" s="33" t="s">
        <v>26</v>
      </c>
      <c r="M26" s="39"/>
      <c r="N26" s="40"/>
    </row>
    <row r="27" spans="1:15" ht="7.5" customHeight="1" x14ac:dyDescent="0.15">
      <c r="B27" s="41"/>
      <c r="C27" s="26"/>
      <c r="D27" s="26"/>
      <c r="E27" s="25"/>
      <c r="F27" s="37"/>
      <c r="G27" s="39"/>
      <c r="H27" s="39"/>
      <c r="I27" s="26"/>
      <c r="J27" s="26"/>
      <c r="K27" s="33"/>
      <c r="M27" s="39"/>
      <c r="N27" s="40"/>
    </row>
    <row r="28" spans="1:15" ht="22.5" customHeight="1" x14ac:dyDescent="0.15">
      <c r="B28" s="41" t="s">
        <v>54</v>
      </c>
      <c r="C28" s="132">
        <v>213</v>
      </c>
      <c r="D28" s="133"/>
      <c r="E28" s="25" t="s">
        <v>10</v>
      </c>
      <c r="F28" s="37"/>
      <c r="G28" s="140" t="s">
        <v>55</v>
      </c>
      <c r="H28" s="140"/>
      <c r="I28" s="132">
        <v>219</v>
      </c>
      <c r="J28" s="133"/>
      <c r="K28" s="33" t="s">
        <v>10</v>
      </c>
      <c r="M28" s="39"/>
      <c r="N28" s="40"/>
    </row>
    <row r="29" spans="1:15" ht="7.5" customHeight="1" x14ac:dyDescent="0.15">
      <c r="F29" s="37"/>
      <c r="G29" s="37"/>
      <c r="M29" s="42"/>
      <c r="N29" s="42"/>
    </row>
    <row r="30" spans="1:15" ht="22.5" customHeight="1" x14ac:dyDescent="0.15">
      <c r="A30" s="28" t="s">
        <v>125</v>
      </c>
      <c r="B30" s="31" t="s">
        <v>116</v>
      </c>
      <c r="C30" s="31"/>
      <c r="D30" s="31"/>
      <c r="E30" s="31"/>
      <c r="F30" s="33"/>
      <c r="G30" s="95"/>
      <c r="H30" s="95"/>
      <c r="I30" s="95"/>
      <c r="J30" s="44"/>
      <c r="K30" s="44"/>
      <c r="L30" s="44"/>
      <c r="M30" s="44"/>
      <c r="N30" s="44"/>
    </row>
    <row r="31" spans="1:15" s="30" customFormat="1" ht="22.5" customHeight="1" x14ac:dyDescent="0.15">
      <c r="B31" s="144" t="s">
        <v>115</v>
      </c>
      <c r="C31" s="144"/>
      <c r="D31" s="134" t="s">
        <v>179</v>
      </c>
      <c r="E31" s="135"/>
      <c r="F31" s="135"/>
      <c r="G31" s="145" t="s">
        <v>27</v>
      </c>
      <c r="H31" s="144"/>
      <c r="I31" s="146"/>
      <c r="J31" s="134" t="s">
        <v>180</v>
      </c>
      <c r="K31" s="135"/>
      <c r="L31" s="135"/>
      <c r="M31" s="135"/>
      <c r="N31" s="136"/>
    </row>
    <row r="32" spans="1:15" ht="7.5" customHeight="1" x14ac:dyDescent="0.15">
      <c r="F32" s="37"/>
      <c r="G32" s="37"/>
      <c r="M32" s="42"/>
      <c r="N32" s="42"/>
    </row>
    <row r="33" spans="1:14" ht="22.5" customHeight="1" x14ac:dyDescent="0.15">
      <c r="A33" s="28" t="s">
        <v>59</v>
      </c>
      <c r="B33" s="31" t="s">
        <v>130</v>
      </c>
      <c r="C33" s="31"/>
      <c r="D33" s="31"/>
      <c r="E33" s="31"/>
      <c r="F33" s="33"/>
      <c r="G33" s="44"/>
      <c r="H33" s="44"/>
      <c r="I33" s="44"/>
      <c r="J33" s="44"/>
      <c r="K33" s="44"/>
      <c r="L33" s="44"/>
      <c r="M33" s="44"/>
      <c r="N33" s="44"/>
    </row>
    <row r="34" spans="1:14" ht="22.5" customHeight="1" x14ac:dyDescent="0.15">
      <c r="B34" s="137" t="s">
        <v>181</v>
      </c>
      <c r="C34" s="138"/>
      <c r="D34" s="138"/>
      <c r="E34" s="138"/>
      <c r="F34" s="138"/>
      <c r="G34" s="138"/>
      <c r="H34" s="138"/>
      <c r="I34" s="138"/>
      <c r="J34" s="138"/>
      <c r="K34" s="138"/>
      <c r="L34" s="138"/>
      <c r="M34" s="138"/>
      <c r="N34" s="139"/>
    </row>
    <row r="35" spans="1:14" ht="7.5" customHeight="1" x14ac:dyDescent="0.15">
      <c r="B35" s="27"/>
      <c r="C35" s="27"/>
      <c r="D35" s="27"/>
      <c r="E35" s="27"/>
      <c r="F35" s="27"/>
      <c r="G35" s="27"/>
      <c r="H35" s="27"/>
      <c r="I35" s="27"/>
      <c r="J35" s="27"/>
      <c r="K35" s="27"/>
      <c r="L35" s="27"/>
      <c r="M35" s="27"/>
      <c r="N35" s="27"/>
    </row>
    <row r="36" spans="1:14" s="30" customFormat="1" ht="22.5" customHeight="1" x14ac:dyDescent="0.15">
      <c r="B36" s="144" t="s">
        <v>115</v>
      </c>
      <c r="C36" s="144"/>
      <c r="D36" s="134" t="s">
        <v>136</v>
      </c>
      <c r="E36" s="135"/>
      <c r="F36" s="135"/>
      <c r="G36" s="145" t="s">
        <v>64</v>
      </c>
      <c r="H36" s="144"/>
      <c r="I36" s="146"/>
      <c r="J36" s="134" t="s">
        <v>155</v>
      </c>
      <c r="K36" s="135"/>
      <c r="L36" s="135"/>
      <c r="M36" s="135"/>
      <c r="N36" s="136"/>
    </row>
    <row r="37" spans="1:14" ht="7.5" customHeight="1" x14ac:dyDescent="0.15">
      <c r="F37" s="29"/>
      <c r="G37" s="29"/>
      <c r="H37" s="29"/>
      <c r="I37" s="29"/>
      <c r="J37" s="29"/>
      <c r="K37" s="29"/>
      <c r="L37" s="29"/>
      <c r="M37" s="29"/>
      <c r="N37" s="29"/>
    </row>
    <row r="38" spans="1:14" ht="22.5" customHeight="1" x14ac:dyDescent="0.15">
      <c r="A38" s="28" t="s">
        <v>63</v>
      </c>
      <c r="B38" s="28" t="s">
        <v>131</v>
      </c>
      <c r="M38" s="42"/>
      <c r="N38" s="42"/>
    </row>
    <row r="39" spans="1:14" ht="22.5" customHeight="1" x14ac:dyDescent="0.15">
      <c r="B39" s="137" t="s">
        <v>182</v>
      </c>
      <c r="C39" s="138"/>
      <c r="D39" s="138"/>
      <c r="E39" s="138"/>
      <c r="F39" s="138"/>
      <c r="G39" s="138"/>
      <c r="H39" s="138"/>
      <c r="I39" s="138"/>
      <c r="J39" s="138"/>
      <c r="K39" s="138"/>
      <c r="L39" s="138"/>
      <c r="M39" s="138"/>
      <c r="N39" s="139"/>
    </row>
    <row r="40" spans="1:14" ht="7.5" customHeight="1" x14ac:dyDescent="0.15">
      <c r="F40" s="29"/>
      <c r="G40" s="29"/>
      <c r="H40" s="29"/>
      <c r="I40" s="29"/>
      <c r="J40" s="29"/>
      <c r="K40" s="29"/>
      <c r="L40" s="29"/>
      <c r="M40" s="29"/>
      <c r="N40" s="29"/>
    </row>
    <row r="41" spans="1:14" s="30" customFormat="1" ht="22.5" customHeight="1" x14ac:dyDescent="0.15">
      <c r="B41" s="144" t="s">
        <v>115</v>
      </c>
      <c r="C41" s="144"/>
      <c r="D41" s="134" t="s">
        <v>136</v>
      </c>
      <c r="E41" s="135"/>
      <c r="F41" s="135"/>
      <c r="G41" s="145" t="s">
        <v>64</v>
      </c>
      <c r="H41" s="144"/>
      <c r="I41" s="146"/>
      <c r="J41" s="134" t="s">
        <v>155</v>
      </c>
      <c r="K41" s="135"/>
      <c r="L41" s="135"/>
      <c r="M41" s="135"/>
      <c r="N41" s="136"/>
    </row>
    <row r="42" spans="1:14" ht="7.5" customHeight="1" x14ac:dyDescent="0.15">
      <c r="F42" s="29"/>
      <c r="G42" s="29"/>
      <c r="H42" s="29"/>
      <c r="I42" s="29"/>
      <c r="J42" s="29"/>
      <c r="K42" s="29"/>
      <c r="L42" s="29"/>
      <c r="M42" s="29"/>
      <c r="N42" s="29"/>
    </row>
    <row r="43" spans="1:14" ht="22.5" customHeight="1" x14ac:dyDescent="0.15">
      <c r="A43" s="28" t="s">
        <v>71</v>
      </c>
      <c r="B43" s="80" t="s">
        <v>90</v>
      </c>
      <c r="E43" s="65"/>
      <c r="F43" s="134" t="s">
        <v>137</v>
      </c>
      <c r="G43" s="135"/>
      <c r="H43" s="135"/>
      <c r="I43" s="135"/>
      <c r="J43" s="135"/>
      <c r="K43" s="135"/>
      <c r="L43" s="135"/>
      <c r="M43" s="135"/>
      <c r="N43" s="136"/>
    </row>
    <row r="44" spans="1:14" ht="7.5" customHeight="1" x14ac:dyDescent="0.15">
      <c r="F44" s="63"/>
      <c r="G44" s="63"/>
      <c r="H44" s="63"/>
      <c r="I44" s="63"/>
      <c r="J44" s="63"/>
      <c r="K44" s="63"/>
      <c r="L44" s="63"/>
      <c r="M44" s="63"/>
      <c r="N44" s="63"/>
    </row>
    <row r="45" spans="1:14" ht="22.5" customHeight="1" x14ac:dyDescent="0.15">
      <c r="A45" s="28" t="s">
        <v>3</v>
      </c>
    </row>
    <row r="46" spans="1:14" ht="22.5" customHeight="1" x14ac:dyDescent="0.15">
      <c r="B46" s="45" t="s">
        <v>1</v>
      </c>
      <c r="C46" s="154" t="s">
        <v>173</v>
      </c>
      <c r="D46" s="155"/>
      <c r="E46" s="155"/>
      <c r="F46" s="155"/>
      <c r="G46" s="155"/>
      <c r="H46" s="155"/>
      <c r="I46" s="46" t="s">
        <v>2</v>
      </c>
      <c r="J46" s="47"/>
      <c r="K46" s="134" t="s">
        <v>143</v>
      </c>
      <c r="L46" s="135"/>
      <c r="M46" s="135"/>
      <c r="N46" s="136"/>
    </row>
    <row r="47" spans="1:14" ht="22.5" customHeight="1" x14ac:dyDescent="0.15">
      <c r="B47" s="45" t="s">
        <v>5</v>
      </c>
      <c r="C47" s="157" t="s">
        <v>144</v>
      </c>
      <c r="D47" s="158"/>
      <c r="E47" s="158"/>
      <c r="F47" s="158"/>
      <c r="G47" s="158"/>
      <c r="H47" s="159"/>
      <c r="I47" s="46" t="s">
        <v>4</v>
      </c>
      <c r="J47" s="47"/>
      <c r="K47" s="160" t="s">
        <v>156</v>
      </c>
      <c r="L47" s="161"/>
      <c r="M47" s="161"/>
      <c r="N47" s="162"/>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1"/>
  <dataValidations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hyperlinks>
    <hyperlink ref="C47"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view="pageBreakPreview" topLeftCell="A16" zoomScaleNormal="100" zoomScaleSheetLayoutView="100" workbookViewId="0">
      <selection activeCell="B21" sqref="B21:E21"/>
    </sheetView>
  </sheetViews>
  <sheetFormatPr defaultColWidth="9" defaultRowHeight="18.75" customHeight="1" x14ac:dyDescent="0.15"/>
  <cols>
    <col min="1" max="2" width="2.5" style="28" customWidth="1"/>
    <col min="3" max="3" width="20" style="28" customWidth="1"/>
    <col min="4" max="4" width="8.75" style="28" customWidth="1"/>
    <col min="5" max="5" width="7.5" style="28" customWidth="1"/>
    <col min="6" max="6" width="2.5" style="28" customWidth="1"/>
    <col min="7" max="7" width="15" style="28" customWidth="1"/>
    <col min="8" max="8" width="12.5" style="28" customWidth="1"/>
    <col min="9" max="9" width="11.25" style="28" customWidth="1"/>
    <col min="10" max="16384" width="9" style="28"/>
  </cols>
  <sheetData>
    <row r="1" spans="1:9" ht="18.75" customHeight="1" x14ac:dyDescent="0.15">
      <c r="I1" s="71" t="s">
        <v>160</v>
      </c>
    </row>
    <row r="2" spans="1:9" ht="18.75" customHeight="1" x14ac:dyDescent="0.15">
      <c r="G2" s="43" t="s">
        <v>32</v>
      </c>
      <c r="H2" s="178" t="s">
        <v>134</v>
      </c>
      <c r="I2" s="178"/>
    </row>
    <row r="3" spans="1:9" ht="7.5" customHeight="1" x14ac:dyDescent="0.15"/>
    <row r="4" spans="1:9" ht="18.75" customHeight="1" x14ac:dyDescent="0.15">
      <c r="A4" s="153" t="s">
        <v>88</v>
      </c>
      <c r="B4" s="153"/>
      <c r="C4" s="153"/>
      <c r="D4" s="153"/>
      <c r="E4" s="153"/>
      <c r="F4" s="153"/>
      <c r="G4" s="153"/>
      <c r="H4" s="153"/>
      <c r="I4" s="153"/>
    </row>
    <row r="5" spans="1:9" ht="7.5" customHeight="1" x14ac:dyDescent="0.15">
      <c r="C5" s="41"/>
      <c r="D5" s="49"/>
      <c r="E5" s="62"/>
      <c r="F5" s="41"/>
      <c r="G5" s="49"/>
      <c r="H5" s="41"/>
      <c r="I5" s="41"/>
    </row>
    <row r="6" spans="1:9" ht="18.75" customHeight="1" x14ac:dyDescent="0.15">
      <c r="A6" s="28" t="s">
        <v>7</v>
      </c>
      <c r="B6" s="28" t="s">
        <v>101</v>
      </c>
      <c r="C6" s="70"/>
      <c r="D6" s="70"/>
      <c r="E6" s="175" t="s">
        <v>138</v>
      </c>
      <c r="F6" s="176"/>
      <c r="G6" s="176"/>
      <c r="H6" s="176"/>
      <c r="I6" s="177"/>
    </row>
    <row r="7" spans="1:9" ht="7.5" customHeight="1" x14ac:dyDescent="0.15">
      <c r="C7" s="70"/>
      <c r="D7" s="70"/>
      <c r="F7" s="69"/>
      <c r="G7" s="69"/>
      <c r="H7" s="69"/>
      <c r="I7" s="69"/>
    </row>
    <row r="8" spans="1:9" ht="18.75" customHeight="1" x14ac:dyDescent="0.15">
      <c r="A8" s="28" t="s">
        <v>12</v>
      </c>
      <c r="B8" s="28" t="s">
        <v>102</v>
      </c>
      <c r="C8" s="70"/>
      <c r="D8" s="70"/>
      <c r="E8" s="70"/>
      <c r="F8" s="70"/>
      <c r="G8" s="70"/>
      <c r="H8" s="70"/>
      <c r="I8" s="70"/>
    </row>
    <row r="9" spans="1:9" ht="18.75" customHeight="1" x14ac:dyDescent="0.15">
      <c r="B9" s="163" t="s">
        <v>187</v>
      </c>
      <c r="C9" s="164"/>
      <c r="D9" s="164"/>
      <c r="E9" s="164"/>
      <c r="F9" s="164"/>
      <c r="G9" s="164"/>
      <c r="H9" s="164"/>
      <c r="I9" s="165"/>
    </row>
    <row r="10" spans="1:9" ht="18.75" customHeight="1" x14ac:dyDescent="0.15">
      <c r="B10" s="166"/>
      <c r="C10" s="167"/>
      <c r="D10" s="167"/>
      <c r="E10" s="167"/>
      <c r="F10" s="167"/>
      <c r="G10" s="167"/>
      <c r="H10" s="167"/>
      <c r="I10" s="168"/>
    </row>
    <row r="11" spans="1:9" ht="18.75" customHeight="1" x14ac:dyDescent="0.15">
      <c r="B11" s="166"/>
      <c r="C11" s="167"/>
      <c r="D11" s="167"/>
      <c r="E11" s="167"/>
      <c r="F11" s="167"/>
      <c r="G11" s="167"/>
      <c r="H11" s="167"/>
      <c r="I11" s="168"/>
    </row>
    <row r="12" spans="1:9" ht="18.75" customHeight="1" x14ac:dyDescent="0.15">
      <c r="B12" s="166"/>
      <c r="C12" s="167"/>
      <c r="D12" s="167"/>
      <c r="E12" s="167"/>
      <c r="F12" s="167"/>
      <c r="G12" s="167"/>
      <c r="H12" s="167"/>
      <c r="I12" s="168"/>
    </row>
    <row r="13" spans="1:9" ht="18.75" customHeight="1" x14ac:dyDescent="0.15">
      <c r="B13" s="166"/>
      <c r="C13" s="167"/>
      <c r="D13" s="167"/>
      <c r="E13" s="167"/>
      <c r="F13" s="167"/>
      <c r="G13" s="167"/>
      <c r="H13" s="167"/>
      <c r="I13" s="168"/>
    </row>
    <row r="14" spans="1:9" ht="18.75" customHeight="1" x14ac:dyDescent="0.15">
      <c r="B14" s="166"/>
      <c r="C14" s="167"/>
      <c r="D14" s="167"/>
      <c r="E14" s="167"/>
      <c r="F14" s="167"/>
      <c r="G14" s="167"/>
      <c r="H14" s="167"/>
      <c r="I14" s="168"/>
    </row>
    <row r="15" spans="1:9" ht="18.75" customHeight="1" x14ac:dyDescent="0.15">
      <c r="B15" s="166"/>
      <c r="C15" s="167"/>
      <c r="D15" s="167"/>
      <c r="E15" s="167"/>
      <c r="F15" s="167"/>
      <c r="G15" s="167"/>
      <c r="H15" s="167"/>
      <c r="I15" s="168"/>
    </row>
    <row r="16" spans="1:9" ht="18.75" customHeight="1" x14ac:dyDescent="0.15">
      <c r="B16" s="169"/>
      <c r="C16" s="170"/>
      <c r="D16" s="170"/>
      <c r="E16" s="170"/>
      <c r="F16" s="170"/>
      <c r="G16" s="170"/>
      <c r="H16" s="170"/>
      <c r="I16" s="171"/>
    </row>
    <row r="17" spans="1:10" ht="7.5" customHeight="1" x14ac:dyDescent="0.15">
      <c r="C17" s="70"/>
      <c r="D17" s="70"/>
      <c r="E17" s="70"/>
      <c r="F17" s="70"/>
      <c r="G17" s="70"/>
      <c r="H17" s="70"/>
      <c r="I17" s="70"/>
    </row>
    <row r="18" spans="1:10" ht="18.75" customHeight="1" x14ac:dyDescent="0.15">
      <c r="A18" s="41" t="s">
        <v>13</v>
      </c>
      <c r="B18" s="31" t="s">
        <v>103</v>
      </c>
      <c r="C18" s="31"/>
      <c r="D18" s="31"/>
      <c r="E18" s="31"/>
      <c r="F18" s="41"/>
      <c r="G18" s="49"/>
      <c r="H18" s="41"/>
      <c r="I18" s="41"/>
      <c r="J18" s="41"/>
    </row>
    <row r="19" spans="1:10" ht="18.75" customHeight="1" x14ac:dyDescent="0.15">
      <c r="A19" s="179" t="s">
        <v>103</v>
      </c>
      <c r="B19" s="179"/>
      <c r="C19" s="179"/>
      <c r="D19" s="179"/>
      <c r="E19" s="179"/>
      <c r="F19" s="180" t="s">
        <v>103</v>
      </c>
      <c r="G19" s="180"/>
      <c r="H19" s="180"/>
      <c r="I19" s="180"/>
    </row>
    <row r="20" spans="1:10" ht="18.75" customHeight="1" x14ac:dyDescent="0.15">
      <c r="A20" s="72">
        <v>1</v>
      </c>
      <c r="B20" s="154" t="s">
        <v>188</v>
      </c>
      <c r="C20" s="155"/>
      <c r="D20" s="155"/>
      <c r="E20" s="156"/>
      <c r="F20" s="72">
        <v>26</v>
      </c>
      <c r="G20" s="172"/>
      <c r="H20" s="173"/>
      <c r="I20" s="174"/>
    </row>
    <row r="21" spans="1:10" ht="18.75" customHeight="1" x14ac:dyDescent="0.15">
      <c r="A21" s="72">
        <v>2</v>
      </c>
      <c r="B21" s="154" t="s">
        <v>189</v>
      </c>
      <c r="C21" s="155"/>
      <c r="D21" s="155"/>
      <c r="E21" s="156"/>
      <c r="F21" s="72">
        <v>27</v>
      </c>
      <c r="G21" s="172"/>
      <c r="H21" s="173"/>
      <c r="I21" s="174"/>
    </row>
    <row r="22" spans="1:10" ht="18.75" customHeight="1" x14ac:dyDescent="0.15">
      <c r="A22" s="72">
        <v>3</v>
      </c>
      <c r="B22" s="154"/>
      <c r="C22" s="155"/>
      <c r="D22" s="155"/>
      <c r="E22" s="156"/>
      <c r="F22" s="72">
        <v>28</v>
      </c>
      <c r="G22" s="172"/>
      <c r="H22" s="173"/>
      <c r="I22" s="174"/>
    </row>
    <row r="23" spans="1:10" ht="18.75" customHeight="1" x14ac:dyDescent="0.15">
      <c r="A23" s="72">
        <v>4</v>
      </c>
      <c r="B23" s="154"/>
      <c r="C23" s="155"/>
      <c r="D23" s="155"/>
      <c r="E23" s="156"/>
      <c r="F23" s="72">
        <v>29</v>
      </c>
      <c r="G23" s="172"/>
      <c r="H23" s="173"/>
      <c r="I23" s="174"/>
    </row>
    <row r="24" spans="1:10" ht="18.75" customHeight="1" x14ac:dyDescent="0.15">
      <c r="A24" s="72">
        <v>5</v>
      </c>
      <c r="B24" s="154"/>
      <c r="C24" s="155"/>
      <c r="D24" s="155"/>
      <c r="E24" s="156"/>
      <c r="F24" s="72">
        <v>30</v>
      </c>
      <c r="G24" s="172"/>
      <c r="H24" s="173"/>
      <c r="I24" s="174"/>
    </row>
    <row r="25" spans="1:10" ht="18.75" customHeight="1" x14ac:dyDescent="0.15">
      <c r="A25" s="72">
        <v>6</v>
      </c>
      <c r="B25" s="154"/>
      <c r="C25" s="155"/>
      <c r="D25" s="155"/>
      <c r="E25" s="156"/>
      <c r="F25" s="72">
        <v>31</v>
      </c>
      <c r="G25" s="172"/>
      <c r="H25" s="173"/>
      <c r="I25" s="174"/>
    </row>
    <row r="26" spans="1:10" ht="18.75" customHeight="1" x14ac:dyDescent="0.15">
      <c r="A26" s="72">
        <v>7</v>
      </c>
      <c r="B26" s="154"/>
      <c r="C26" s="155"/>
      <c r="D26" s="155"/>
      <c r="E26" s="156"/>
      <c r="F26" s="72">
        <v>32</v>
      </c>
      <c r="G26" s="172"/>
      <c r="H26" s="173"/>
      <c r="I26" s="174"/>
    </row>
    <row r="27" spans="1:10" ht="18.75" customHeight="1" x14ac:dyDescent="0.15">
      <c r="A27" s="72">
        <v>8</v>
      </c>
      <c r="B27" s="154"/>
      <c r="C27" s="155"/>
      <c r="D27" s="155"/>
      <c r="E27" s="156"/>
      <c r="F27" s="72">
        <v>33</v>
      </c>
      <c r="G27" s="172"/>
      <c r="H27" s="173"/>
      <c r="I27" s="174"/>
    </row>
    <row r="28" spans="1:10" ht="18.75" customHeight="1" x14ac:dyDescent="0.15">
      <c r="A28" s="72">
        <v>9</v>
      </c>
      <c r="B28" s="154"/>
      <c r="C28" s="155"/>
      <c r="D28" s="155"/>
      <c r="E28" s="156"/>
      <c r="F28" s="72">
        <v>34</v>
      </c>
      <c r="G28" s="172"/>
      <c r="H28" s="173"/>
      <c r="I28" s="174"/>
    </row>
    <row r="29" spans="1:10" ht="18.75" customHeight="1" x14ac:dyDescent="0.15">
      <c r="A29" s="72">
        <v>10</v>
      </c>
      <c r="B29" s="154"/>
      <c r="C29" s="155"/>
      <c r="D29" s="155"/>
      <c r="E29" s="156"/>
      <c r="F29" s="72">
        <v>35</v>
      </c>
      <c r="G29" s="172"/>
      <c r="H29" s="173"/>
      <c r="I29" s="174"/>
    </row>
    <row r="30" spans="1:10" ht="18.75" customHeight="1" x14ac:dyDescent="0.15">
      <c r="A30" s="72">
        <v>11</v>
      </c>
      <c r="B30" s="172"/>
      <c r="C30" s="173"/>
      <c r="D30" s="173"/>
      <c r="E30" s="174"/>
      <c r="F30" s="72">
        <v>36</v>
      </c>
      <c r="G30" s="172"/>
      <c r="H30" s="173"/>
      <c r="I30" s="174"/>
    </row>
    <row r="31" spans="1:10" ht="18.75" customHeight="1" x14ac:dyDescent="0.15">
      <c r="A31" s="72">
        <v>12</v>
      </c>
      <c r="B31" s="172"/>
      <c r="C31" s="173"/>
      <c r="D31" s="173"/>
      <c r="E31" s="174"/>
      <c r="F31" s="72">
        <v>37</v>
      </c>
      <c r="G31" s="172"/>
      <c r="H31" s="173"/>
      <c r="I31" s="174"/>
    </row>
    <row r="32" spans="1:10" ht="18.75" customHeight="1" x14ac:dyDescent="0.15">
      <c r="A32" s="72">
        <v>13</v>
      </c>
      <c r="B32" s="172"/>
      <c r="C32" s="173"/>
      <c r="D32" s="173"/>
      <c r="E32" s="174"/>
      <c r="F32" s="72">
        <v>38</v>
      </c>
      <c r="G32" s="172"/>
      <c r="H32" s="173"/>
      <c r="I32" s="174"/>
    </row>
    <row r="33" spans="1:9" ht="18.75" customHeight="1" x14ac:dyDescent="0.15">
      <c r="A33" s="72">
        <v>14</v>
      </c>
      <c r="B33" s="172"/>
      <c r="C33" s="173"/>
      <c r="D33" s="173"/>
      <c r="E33" s="174"/>
      <c r="F33" s="72">
        <v>39</v>
      </c>
      <c r="G33" s="172"/>
      <c r="H33" s="173"/>
      <c r="I33" s="174"/>
    </row>
    <row r="34" spans="1:9" ht="18.75" customHeight="1" x14ac:dyDescent="0.15">
      <c r="A34" s="72">
        <v>15</v>
      </c>
      <c r="B34" s="172"/>
      <c r="C34" s="173"/>
      <c r="D34" s="173"/>
      <c r="E34" s="174"/>
      <c r="F34" s="72">
        <v>40</v>
      </c>
      <c r="G34" s="172"/>
      <c r="H34" s="173"/>
      <c r="I34" s="174"/>
    </row>
    <row r="35" spans="1:9" ht="18.75" customHeight="1" x14ac:dyDescent="0.15">
      <c r="A35" s="72">
        <v>16</v>
      </c>
      <c r="B35" s="172"/>
      <c r="C35" s="173"/>
      <c r="D35" s="173"/>
      <c r="E35" s="174"/>
      <c r="F35" s="72">
        <v>41</v>
      </c>
      <c r="G35" s="172"/>
      <c r="H35" s="173"/>
      <c r="I35" s="174"/>
    </row>
    <row r="36" spans="1:9" ht="18.75" customHeight="1" x14ac:dyDescent="0.15">
      <c r="A36" s="72">
        <v>17</v>
      </c>
      <c r="B36" s="172"/>
      <c r="C36" s="173"/>
      <c r="D36" s="173"/>
      <c r="E36" s="174"/>
      <c r="F36" s="72">
        <v>42</v>
      </c>
      <c r="G36" s="172"/>
      <c r="H36" s="173"/>
      <c r="I36" s="174"/>
    </row>
    <row r="37" spans="1:9" ht="18.75" customHeight="1" x14ac:dyDescent="0.15">
      <c r="A37" s="72">
        <v>18</v>
      </c>
      <c r="B37" s="172"/>
      <c r="C37" s="173"/>
      <c r="D37" s="173"/>
      <c r="E37" s="174"/>
      <c r="F37" s="72">
        <v>43</v>
      </c>
      <c r="G37" s="172"/>
      <c r="H37" s="173"/>
      <c r="I37" s="174"/>
    </row>
    <row r="38" spans="1:9" ht="18.75" customHeight="1" x14ac:dyDescent="0.15">
      <c r="A38" s="72">
        <v>19</v>
      </c>
      <c r="B38" s="172"/>
      <c r="C38" s="173"/>
      <c r="D38" s="173"/>
      <c r="E38" s="174"/>
      <c r="F38" s="72">
        <v>44</v>
      </c>
      <c r="G38" s="172"/>
      <c r="H38" s="173"/>
      <c r="I38" s="174"/>
    </row>
    <row r="39" spans="1:9" ht="18.75" customHeight="1" x14ac:dyDescent="0.15">
      <c r="A39" s="72">
        <v>20</v>
      </c>
      <c r="B39" s="172"/>
      <c r="C39" s="173"/>
      <c r="D39" s="173"/>
      <c r="E39" s="174"/>
      <c r="F39" s="72">
        <v>45</v>
      </c>
      <c r="G39" s="172"/>
      <c r="H39" s="173"/>
      <c r="I39" s="174"/>
    </row>
    <row r="40" spans="1:9" ht="18.75" customHeight="1" x14ac:dyDescent="0.15">
      <c r="A40" s="72">
        <v>21</v>
      </c>
      <c r="B40" s="172"/>
      <c r="C40" s="173"/>
      <c r="D40" s="173"/>
      <c r="E40" s="174"/>
      <c r="F40" s="72">
        <v>46</v>
      </c>
      <c r="G40" s="172"/>
      <c r="H40" s="173"/>
      <c r="I40" s="174"/>
    </row>
    <row r="41" spans="1:9" ht="18.75" customHeight="1" x14ac:dyDescent="0.15">
      <c r="A41" s="72">
        <v>22</v>
      </c>
      <c r="B41" s="172"/>
      <c r="C41" s="173"/>
      <c r="D41" s="173"/>
      <c r="E41" s="174"/>
      <c r="F41" s="72">
        <v>47</v>
      </c>
      <c r="G41" s="172"/>
      <c r="H41" s="173"/>
      <c r="I41" s="174"/>
    </row>
    <row r="42" spans="1:9" ht="18.75" customHeight="1" x14ac:dyDescent="0.15">
      <c r="A42" s="72">
        <v>23</v>
      </c>
      <c r="B42" s="172"/>
      <c r="C42" s="173"/>
      <c r="D42" s="173"/>
      <c r="E42" s="174"/>
      <c r="F42" s="72">
        <v>48</v>
      </c>
      <c r="G42" s="172"/>
      <c r="H42" s="173"/>
      <c r="I42" s="174"/>
    </row>
    <row r="43" spans="1:9" ht="18.75" customHeight="1" x14ac:dyDescent="0.15">
      <c r="A43" s="72">
        <v>24</v>
      </c>
      <c r="B43" s="172"/>
      <c r="C43" s="173"/>
      <c r="D43" s="173"/>
      <c r="E43" s="174"/>
      <c r="F43" s="72">
        <v>49</v>
      </c>
      <c r="G43" s="172"/>
      <c r="H43" s="173"/>
      <c r="I43" s="174"/>
    </row>
    <row r="44" spans="1:9" ht="18.75" customHeight="1" x14ac:dyDescent="0.15">
      <c r="A44" s="72">
        <v>25</v>
      </c>
      <c r="B44" s="172"/>
      <c r="C44" s="173"/>
      <c r="D44" s="173"/>
      <c r="E44" s="174"/>
      <c r="F44" s="72">
        <v>50</v>
      </c>
      <c r="G44" s="172"/>
      <c r="H44" s="173"/>
      <c r="I44" s="174"/>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
  <sheetViews>
    <sheetView view="pageBreakPreview" zoomScaleNormal="100" zoomScaleSheetLayoutView="100" workbookViewId="0">
      <selection activeCell="K36" sqref="K36"/>
    </sheetView>
  </sheetViews>
  <sheetFormatPr defaultColWidth="9" defaultRowHeight="18.75" customHeight="1" x14ac:dyDescent="0.15"/>
  <cols>
    <col min="1" max="1" width="2.5" style="1" customWidth="1"/>
    <col min="2" max="2" width="12.5" style="1" customWidth="1"/>
    <col min="3" max="3" width="21" style="1" customWidth="1"/>
    <col min="4" max="18" width="6.25" style="1" customWidth="1"/>
    <col min="19" max="16384" width="9" style="1"/>
  </cols>
  <sheetData>
    <row r="1" spans="1:20" ht="18.75" customHeight="1" x14ac:dyDescent="0.15">
      <c r="F1" s="193" t="s">
        <v>73</v>
      </c>
      <c r="G1" s="193"/>
      <c r="H1" s="193"/>
      <c r="I1" s="193"/>
      <c r="J1" s="193"/>
      <c r="K1" s="193"/>
      <c r="L1" s="193"/>
      <c r="M1" s="193"/>
      <c r="N1" s="193"/>
      <c r="O1" s="193"/>
      <c r="P1" s="193"/>
      <c r="Q1" s="193"/>
      <c r="R1" s="193"/>
    </row>
    <row r="2" spans="1:20" ht="18.75" customHeight="1" x14ac:dyDescent="0.15">
      <c r="D2" s="97"/>
      <c r="E2" s="97"/>
      <c r="F2" s="97"/>
      <c r="G2" s="97"/>
      <c r="H2" s="97"/>
      <c r="I2" s="97"/>
      <c r="J2" s="97"/>
      <c r="K2" s="193" t="s">
        <v>65</v>
      </c>
      <c r="L2" s="193"/>
      <c r="M2" s="97" t="s">
        <v>134</v>
      </c>
      <c r="N2" s="97"/>
      <c r="O2" s="97"/>
      <c r="P2" s="97"/>
      <c r="Q2" s="97"/>
      <c r="R2" s="97"/>
    </row>
    <row r="3" spans="1:20" ht="7.5" customHeight="1" x14ac:dyDescent="0.15"/>
    <row r="4" spans="1:20" ht="18.75" customHeight="1" x14ac:dyDescent="0.15">
      <c r="A4" s="203" t="s">
        <v>123</v>
      </c>
      <c r="B4" s="203"/>
      <c r="C4" s="203"/>
      <c r="D4" s="203"/>
      <c r="E4" s="203"/>
      <c r="F4" s="203"/>
      <c r="G4" s="203"/>
      <c r="H4" s="203"/>
      <c r="I4" s="203"/>
      <c r="J4" s="203"/>
      <c r="K4" s="203"/>
      <c r="L4" s="203"/>
      <c r="M4" s="203"/>
      <c r="N4" s="203"/>
      <c r="O4" s="203"/>
      <c r="P4" s="203"/>
      <c r="Q4" s="203"/>
      <c r="R4" s="203"/>
      <c r="S4" s="5"/>
    </row>
    <row r="5" spans="1:20" ht="7.5" customHeight="1" x14ac:dyDescent="0.15">
      <c r="A5" s="96"/>
      <c r="B5" s="96"/>
      <c r="C5" s="96"/>
      <c r="D5" s="96"/>
      <c r="E5" s="96"/>
      <c r="F5" s="96"/>
      <c r="G5" s="96"/>
      <c r="H5" s="96"/>
      <c r="I5" s="96"/>
      <c r="J5" s="96"/>
      <c r="K5" s="96"/>
      <c r="L5" s="96"/>
      <c r="M5" s="96"/>
      <c r="N5" s="96"/>
      <c r="O5" s="96"/>
      <c r="P5" s="96"/>
      <c r="Q5" s="96"/>
      <c r="R5" s="96"/>
    </row>
    <row r="6" spans="1:20" ht="18.75" customHeight="1" x14ac:dyDescent="0.15">
      <c r="B6" s="185" t="s">
        <v>128</v>
      </c>
      <c r="C6" s="186"/>
      <c r="D6" s="194" t="s">
        <v>89</v>
      </c>
      <c r="E6" s="196" t="s">
        <v>117</v>
      </c>
      <c r="F6" s="196"/>
      <c r="G6" s="196" t="s">
        <v>118</v>
      </c>
      <c r="H6" s="196"/>
      <c r="I6" s="197" t="s">
        <v>119</v>
      </c>
      <c r="J6" s="198"/>
      <c r="K6" s="197" t="s">
        <v>120</v>
      </c>
      <c r="L6" s="198"/>
      <c r="M6" s="197" t="s">
        <v>121</v>
      </c>
      <c r="N6" s="198"/>
      <c r="O6" s="197" t="s">
        <v>122</v>
      </c>
      <c r="P6" s="198"/>
      <c r="Q6" s="199" t="s">
        <v>72</v>
      </c>
      <c r="R6" s="201" t="s">
        <v>66</v>
      </c>
      <c r="T6" s="98"/>
    </row>
    <row r="7" spans="1:20" ht="18.75" customHeight="1" x14ac:dyDescent="0.15">
      <c r="B7" s="187"/>
      <c r="C7" s="188"/>
      <c r="D7" s="195"/>
      <c r="E7" s="50" t="s">
        <v>52</v>
      </c>
      <c r="F7" s="52" t="s">
        <v>51</v>
      </c>
      <c r="G7" s="53" t="s">
        <v>52</v>
      </c>
      <c r="H7" s="51" t="s">
        <v>51</v>
      </c>
      <c r="I7" s="50" t="s">
        <v>52</v>
      </c>
      <c r="J7" s="52" t="s">
        <v>51</v>
      </c>
      <c r="K7" s="53" t="s">
        <v>52</v>
      </c>
      <c r="L7" s="51" t="s">
        <v>51</v>
      </c>
      <c r="M7" s="50" t="s">
        <v>52</v>
      </c>
      <c r="N7" s="52" t="s">
        <v>51</v>
      </c>
      <c r="O7" s="53" t="s">
        <v>52</v>
      </c>
      <c r="P7" s="51" t="s">
        <v>51</v>
      </c>
      <c r="Q7" s="200"/>
      <c r="R7" s="202"/>
      <c r="T7" s="98"/>
    </row>
    <row r="8" spans="1:20" ht="18.75" customHeight="1" x14ac:dyDescent="0.15">
      <c r="A8" s="99"/>
      <c r="B8" s="181" t="s">
        <v>162</v>
      </c>
      <c r="C8" s="182"/>
      <c r="D8" s="100">
        <v>400</v>
      </c>
      <c r="E8" s="126">
        <v>1</v>
      </c>
      <c r="F8" s="127">
        <v>0</v>
      </c>
      <c r="G8" s="103">
        <v>0</v>
      </c>
      <c r="H8" s="103">
        <v>0</v>
      </c>
      <c r="I8" s="103">
        <v>0</v>
      </c>
      <c r="J8" s="103">
        <v>0</v>
      </c>
      <c r="K8" s="103">
        <v>0</v>
      </c>
      <c r="L8" s="103">
        <v>0</v>
      </c>
      <c r="M8" s="103">
        <v>0</v>
      </c>
      <c r="N8" s="103">
        <v>0</v>
      </c>
      <c r="O8" s="103">
        <v>0</v>
      </c>
      <c r="P8" s="103">
        <v>0</v>
      </c>
      <c r="Q8" s="105">
        <f>E8+G8+I8+K8+M8+O8</f>
        <v>1</v>
      </c>
      <c r="R8" s="106">
        <f>Q8/D8</f>
        <v>2.5000000000000001E-3</v>
      </c>
    </row>
    <row r="9" spans="1:20" ht="18.75" customHeight="1" x14ac:dyDescent="0.15">
      <c r="A9" s="99"/>
      <c r="B9" s="181" t="s">
        <v>163</v>
      </c>
      <c r="C9" s="182"/>
      <c r="D9" s="107">
        <v>900</v>
      </c>
      <c r="E9" s="128">
        <v>0</v>
      </c>
      <c r="F9" s="129">
        <v>0</v>
      </c>
      <c r="G9" s="103">
        <v>0</v>
      </c>
      <c r="H9" s="103">
        <v>0</v>
      </c>
      <c r="I9" s="103">
        <v>0</v>
      </c>
      <c r="J9" s="103">
        <v>0</v>
      </c>
      <c r="K9" s="103">
        <v>0</v>
      </c>
      <c r="L9" s="103">
        <v>0</v>
      </c>
      <c r="M9" s="103">
        <v>0</v>
      </c>
      <c r="N9" s="103">
        <v>0</v>
      </c>
      <c r="O9" s="103">
        <v>0</v>
      </c>
      <c r="P9" s="103">
        <v>0</v>
      </c>
      <c r="Q9" s="112">
        <f t="shared" ref="Q9:Q27" si="0">E9+G9+I9+K9+M9+O9</f>
        <v>0</v>
      </c>
      <c r="R9" s="106">
        <f t="shared" ref="R9:R27" si="1">Q9/D9</f>
        <v>0</v>
      </c>
    </row>
    <row r="10" spans="1:20" ht="18.75" customHeight="1" x14ac:dyDescent="0.15">
      <c r="A10" s="99"/>
      <c r="B10" s="181" t="s">
        <v>164</v>
      </c>
      <c r="C10" s="182"/>
      <c r="D10" s="107">
        <v>1330</v>
      </c>
      <c r="E10" s="128">
        <v>3</v>
      </c>
      <c r="F10" s="129">
        <v>3</v>
      </c>
      <c r="G10" s="103">
        <v>0</v>
      </c>
      <c r="H10" s="103">
        <v>0</v>
      </c>
      <c r="I10" s="103">
        <v>0</v>
      </c>
      <c r="J10" s="103">
        <v>0</v>
      </c>
      <c r="K10" s="103">
        <v>0</v>
      </c>
      <c r="L10" s="103">
        <v>0</v>
      </c>
      <c r="M10" s="103">
        <v>0</v>
      </c>
      <c r="N10" s="103">
        <v>0</v>
      </c>
      <c r="O10" s="103">
        <v>0</v>
      </c>
      <c r="P10" s="103">
        <v>0</v>
      </c>
      <c r="Q10" s="112">
        <f t="shared" si="0"/>
        <v>3</v>
      </c>
      <c r="R10" s="106">
        <f t="shared" si="1"/>
        <v>2.255639097744361E-3</v>
      </c>
    </row>
    <row r="11" spans="1:20" ht="18.75" customHeight="1" x14ac:dyDescent="0.15">
      <c r="A11" s="99"/>
      <c r="B11" s="181" t="s">
        <v>165</v>
      </c>
      <c r="C11" s="182"/>
      <c r="D11" s="107">
        <v>1183</v>
      </c>
      <c r="E11" s="128">
        <v>1</v>
      </c>
      <c r="F11" s="129">
        <v>1</v>
      </c>
      <c r="G11" s="103">
        <v>0</v>
      </c>
      <c r="H11" s="103">
        <v>0</v>
      </c>
      <c r="I11" s="103">
        <v>0</v>
      </c>
      <c r="J11" s="103">
        <v>0</v>
      </c>
      <c r="K11" s="103">
        <v>0</v>
      </c>
      <c r="L11" s="103">
        <v>0</v>
      </c>
      <c r="M11" s="103">
        <v>0</v>
      </c>
      <c r="N11" s="103">
        <v>0</v>
      </c>
      <c r="O11" s="103">
        <v>0</v>
      </c>
      <c r="P11" s="103">
        <v>0</v>
      </c>
      <c r="Q11" s="112">
        <f t="shared" si="0"/>
        <v>1</v>
      </c>
      <c r="R11" s="106">
        <f t="shared" si="1"/>
        <v>8.4530853761622987E-4</v>
      </c>
    </row>
    <row r="12" spans="1:20" ht="18.75" customHeight="1" x14ac:dyDescent="0.15">
      <c r="A12" s="99"/>
      <c r="B12" s="181" t="s">
        <v>166</v>
      </c>
      <c r="C12" s="182"/>
      <c r="D12" s="107">
        <v>300</v>
      </c>
      <c r="E12" s="128">
        <v>1</v>
      </c>
      <c r="F12" s="129">
        <v>1</v>
      </c>
      <c r="G12" s="103">
        <v>0</v>
      </c>
      <c r="H12" s="103">
        <v>0</v>
      </c>
      <c r="I12" s="103">
        <v>0</v>
      </c>
      <c r="J12" s="103">
        <v>0</v>
      </c>
      <c r="K12" s="103">
        <v>0</v>
      </c>
      <c r="L12" s="103">
        <v>0</v>
      </c>
      <c r="M12" s="103">
        <v>0</v>
      </c>
      <c r="N12" s="103">
        <v>0</v>
      </c>
      <c r="O12" s="103">
        <v>0</v>
      </c>
      <c r="P12" s="103">
        <v>0</v>
      </c>
      <c r="Q12" s="112">
        <f t="shared" si="0"/>
        <v>1</v>
      </c>
      <c r="R12" s="106">
        <f t="shared" si="1"/>
        <v>3.3333333333333335E-3</v>
      </c>
    </row>
    <row r="13" spans="1:20" ht="18.75" customHeight="1" x14ac:dyDescent="0.15">
      <c r="A13" s="99"/>
      <c r="B13" s="181" t="s">
        <v>167</v>
      </c>
      <c r="C13" s="182"/>
      <c r="D13" s="107">
        <v>400</v>
      </c>
      <c r="E13" s="128">
        <v>0</v>
      </c>
      <c r="F13" s="129">
        <v>0</v>
      </c>
      <c r="G13" s="103">
        <v>0</v>
      </c>
      <c r="H13" s="103">
        <v>0</v>
      </c>
      <c r="I13" s="103">
        <v>0</v>
      </c>
      <c r="J13" s="103">
        <v>0</v>
      </c>
      <c r="K13" s="103">
        <v>0</v>
      </c>
      <c r="L13" s="103">
        <v>0</v>
      </c>
      <c r="M13" s="103">
        <v>0</v>
      </c>
      <c r="N13" s="103">
        <v>0</v>
      </c>
      <c r="O13" s="103">
        <v>0</v>
      </c>
      <c r="P13" s="103">
        <v>0</v>
      </c>
      <c r="Q13" s="112">
        <f t="shared" si="0"/>
        <v>0</v>
      </c>
      <c r="R13" s="106">
        <f t="shared" si="1"/>
        <v>0</v>
      </c>
    </row>
    <row r="14" spans="1:20" ht="18.75" customHeight="1" x14ac:dyDescent="0.15">
      <c r="A14" s="99"/>
      <c r="B14" s="181" t="s">
        <v>168</v>
      </c>
      <c r="C14" s="182"/>
      <c r="D14" s="107">
        <v>110</v>
      </c>
      <c r="E14" s="128">
        <v>1</v>
      </c>
      <c r="F14" s="129">
        <v>1</v>
      </c>
      <c r="G14" s="103">
        <v>0</v>
      </c>
      <c r="H14" s="103">
        <v>0</v>
      </c>
      <c r="I14" s="103">
        <v>0</v>
      </c>
      <c r="J14" s="103">
        <v>0</v>
      </c>
      <c r="K14" s="103">
        <v>0</v>
      </c>
      <c r="L14" s="103">
        <v>0</v>
      </c>
      <c r="M14" s="103">
        <v>0</v>
      </c>
      <c r="N14" s="103">
        <v>0</v>
      </c>
      <c r="O14" s="103">
        <v>0</v>
      </c>
      <c r="P14" s="103">
        <v>0</v>
      </c>
      <c r="Q14" s="112">
        <f t="shared" si="0"/>
        <v>1</v>
      </c>
      <c r="R14" s="106">
        <f t="shared" si="1"/>
        <v>9.0909090909090905E-3</v>
      </c>
    </row>
    <row r="15" spans="1:20" ht="18.75" customHeight="1" x14ac:dyDescent="0.15">
      <c r="A15" s="99"/>
      <c r="B15" s="181" t="s">
        <v>169</v>
      </c>
      <c r="C15" s="182"/>
      <c r="D15" s="107">
        <v>1470</v>
      </c>
      <c r="E15" s="128">
        <v>3</v>
      </c>
      <c r="F15" s="129">
        <v>0</v>
      </c>
      <c r="G15" s="103">
        <v>0</v>
      </c>
      <c r="H15" s="103">
        <v>0</v>
      </c>
      <c r="I15" s="103">
        <v>0</v>
      </c>
      <c r="J15" s="103">
        <v>0</v>
      </c>
      <c r="K15" s="103">
        <v>0</v>
      </c>
      <c r="L15" s="103">
        <v>0</v>
      </c>
      <c r="M15" s="103">
        <v>0</v>
      </c>
      <c r="N15" s="103">
        <v>0</v>
      </c>
      <c r="O15" s="103">
        <v>0</v>
      </c>
      <c r="P15" s="103">
        <v>0</v>
      </c>
      <c r="Q15" s="112">
        <f t="shared" si="0"/>
        <v>3</v>
      </c>
      <c r="R15" s="106">
        <f t="shared" si="1"/>
        <v>2.0408163265306124E-3</v>
      </c>
    </row>
    <row r="16" spans="1:20" ht="18.75" customHeight="1" x14ac:dyDescent="0.15">
      <c r="A16" s="99"/>
      <c r="B16" s="181" t="s">
        <v>170</v>
      </c>
      <c r="C16" s="182"/>
      <c r="D16" s="107">
        <v>530</v>
      </c>
      <c r="E16" s="128">
        <v>0</v>
      </c>
      <c r="F16" s="129">
        <v>0</v>
      </c>
      <c r="G16" s="103">
        <v>0</v>
      </c>
      <c r="H16" s="103">
        <v>0</v>
      </c>
      <c r="I16" s="103">
        <v>0</v>
      </c>
      <c r="J16" s="103">
        <v>0</v>
      </c>
      <c r="K16" s="103">
        <v>0</v>
      </c>
      <c r="L16" s="103">
        <v>0</v>
      </c>
      <c r="M16" s="103">
        <v>0</v>
      </c>
      <c r="N16" s="103">
        <v>0</v>
      </c>
      <c r="O16" s="103">
        <v>0</v>
      </c>
      <c r="P16" s="103">
        <v>0</v>
      </c>
      <c r="Q16" s="112">
        <f>E16+G16+I16+K16+M16+O16</f>
        <v>0</v>
      </c>
      <c r="R16" s="106">
        <f t="shared" si="1"/>
        <v>0</v>
      </c>
    </row>
    <row r="17" spans="1:18" ht="18.75" customHeight="1" x14ac:dyDescent="0.15">
      <c r="A17" s="99"/>
      <c r="B17" s="181" t="s">
        <v>171</v>
      </c>
      <c r="C17" s="182"/>
      <c r="D17" s="107">
        <v>440</v>
      </c>
      <c r="E17" s="128">
        <v>6</v>
      </c>
      <c r="F17" s="129">
        <v>5</v>
      </c>
      <c r="G17" s="103">
        <v>0</v>
      </c>
      <c r="H17" s="103">
        <v>0</v>
      </c>
      <c r="I17" s="103">
        <v>0</v>
      </c>
      <c r="J17" s="103">
        <v>0</v>
      </c>
      <c r="K17" s="103">
        <v>0</v>
      </c>
      <c r="L17" s="103">
        <v>0</v>
      </c>
      <c r="M17" s="103">
        <v>0</v>
      </c>
      <c r="N17" s="103">
        <v>0</v>
      </c>
      <c r="O17" s="103">
        <v>0</v>
      </c>
      <c r="P17" s="103">
        <v>0</v>
      </c>
      <c r="Q17" s="112">
        <f t="shared" si="0"/>
        <v>6</v>
      </c>
      <c r="R17" s="106">
        <f t="shared" si="1"/>
        <v>1.3636363636363636E-2</v>
      </c>
    </row>
    <row r="18" spans="1:18" ht="18.75" customHeight="1" x14ac:dyDescent="0.15">
      <c r="A18" s="99"/>
      <c r="B18" s="189"/>
      <c r="C18" s="190"/>
      <c r="D18" s="107"/>
      <c r="E18" s="108"/>
      <c r="F18" s="109"/>
      <c r="G18" s="110"/>
      <c r="H18" s="111"/>
      <c r="I18" s="108"/>
      <c r="J18" s="109"/>
      <c r="K18" s="110"/>
      <c r="L18" s="111"/>
      <c r="M18" s="108"/>
      <c r="N18" s="109"/>
      <c r="O18" s="110"/>
      <c r="P18" s="111"/>
      <c r="Q18" s="112">
        <f t="shared" si="0"/>
        <v>0</v>
      </c>
      <c r="R18" s="106" t="e">
        <f t="shared" si="1"/>
        <v>#DIV/0!</v>
      </c>
    </row>
    <row r="19" spans="1:18" ht="18.75" customHeight="1" x14ac:dyDescent="0.15">
      <c r="A19" s="99"/>
      <c r="B19" s="189"/>
      <c r="C19" s="190"/>
      <c r="D19" s="107"/>
      <c r="E19" s="108"/>
      <c r="F19" s="109"/>
      <c r="G19" s="110"/>
      <c r="H19" s="111"/>
      <c r="I19" s="108"/>
      <c r="J19" s="109"/>
      <c r="K19" s="110"/>
      <c r="L19" s="111"/>
      <c r="M19" s="108"/>
      <c r="N19" s="109"/>
      <c r="O19" s="110"/>
      <c r="P19" s="111"/>
      <c r="Q19" s="112">
        <f t="shared" si="0"/>
        <v>0</v>
      </c>
      <c r="R19" s="106" t="e">
        <f t="shared" si="1"/>
        <v>#DIV/0!</v>
      </c>
    </row>
    <row r="20" spans="1:18" ht="18.75" customHeight="1" x14ac:dyDescent="0.15">
      <c r="A20" s="99"/>
      <c r="B20" s="189"/>
      <c r="C20" s="190"/>
      <c r="D20" s="107"/>
      <c r="E20" s="108"/>
      <c r="F20" s="109"/>
      <c r="G20" s="110"/>
      <c r="H20" s="111"/>
      <c r="I20" s="108"/>
      <c r="J20" s="109"/>
      <c r="K20" s="110"/>
      <c r="L20" s="111"/>
      <c r="M20" s="108"/>
      <c r="N20" s="109"/>
      <c r="O20" s="110"/>
      <c r="P20" s="111"/>
      <c r="Q20" s="112">
        <f t="shared" si="0"/>
        <v>0</v>
      </c>
      <c r="R20" s="106" t="e">
        <f t="shared" si="1"/>
        <v>#DIV/0!</v>
      </c>
    </row>
    <row r="21" spans="1:18" ht="18.75" customHeight="1" x14ac:dyDescent="0.15">
      <c r="A21" s="99"/>
      <c r="B21" s="189"/>
      <c r="C21" s="190"/>
      <c r="D21" s="107"/>
      <c r="E21" s="108"/>
      <c r="F21" s="109"/>
      <c r="G21" s="110"/>
      <c r="H21" s="111"/>
      <c r="I21" s="108"/>
      <c r="J21" s="109"/>
      <c r="K21" s="110"/>
      <c r="L21" s="111"/>
      <c r="M21" s="108"/>
      <c r="N21" s="109"/>
      <c r="O21" s="110"/>
      <c r="P21" s="111"/>
      <c r="Q21" s="112">
        <f t="shared" si="0"/>
        <v>0</v>
      </c>
      <c r="R21" s="106" t="e">
        <f t="shared" si="1"/>
        <v>#DIV/0!</v>
      </c>
    </row>
    <row r="22" spans="1:18" ht="18.75" customHeight="1" x14ac:dyDescent="0.15">
      <c r="A22" s="99"/>
      <c r="B22" s="189"/>
      <c r="C22" s="190"/>
      <c r="D22" s="107"/>
      <c r="E22" s="108"/>
      <c r="F22" s="109"/>
      <c r="G22" s="110"/>
      <c r="H22" s="111"/>
      <c r="I22" s="108"/>
      <c r="J22" s="109"/>
      <c r="K22" s="110"/>
      <c r="L22" s="111"/>
      <c r="M22" s="108"/>
      <c r="N22" s="109"/>
      <c r="O22" s="110"/>
      <c r="P22" s="111"/>
      <c r="Q22" s="112">
        <f t="shared" si="0"/>
        <v>0</v>
      </c>
      <c r="R22" s="106" t="e">
        <f t="shared" si="1"/>
        <v>#DIV/0!</v>
      </c>
    </row>
    <row r="23" spans="1:18" ht="18.75" customHeight="1" x14ac:dyDescent="0.15">
      <c r="A23" s="99"/>
      <c r="B23" s="189"/>
      <c r="C23" s="190"/>
      <c r="D23" s="107"/>
      <c r="E23" s="108"/>
      <c r="F23" s="109"/>
      <c r="G23" s="110"/>
      <c r="H23" s="111"/>
      <c r="I23" s="108"/>
      <c r="J23" s="109"/>
      <c r="K23" s="110"/>
      <c r="L23" s="111"/>
      <c r="M23" s="108"/>
      <c r="N23" s="109"/>
      <c r="O23" s="110"/>
      <c r="P23" s="111"/>
      <c r="Q23" s="112">
        <f t="shared" si="0"/>
        <v>0</v>
      </c>
      <c r="R23" s="106" t="e">
        <f t="shared" si="1"/>
        <v>#DIV/0!</v>
      </c>
    </row>
    <row r="24" spans="1:18" ht="18.75" customHeight="1" x14ac:dyDescent="0.15">
      <c r="A24" s="99"/>
      <c r="B24" s="189"/>
      <c r="C24" s="190"/>
      <c r="D24" s="107"/>
      <c r="E24" s="108"/>
      <c r="F24" s="109"/>
      <c r="G24" s="110"/>
      <c r="H24" s="111"/>
      <c r="I24" s="108"/>
      <c r="J24" s="109"/>
      <c r="K24" s="110"/>
      <c r="L24" s="111"/>
      <c r="M24" s="108"/>
      <c r="N24" s="109"/>
      <c r="O24" s="110"/>
      <c r="P24" s="111"/>
      <c r="Q24" s="112">
        <f t="shared" si="0"/>
        <v>0</v>
      </c>
      <c r="R24" s="106" t="e">
        <f t="shared" si="1"/>
        <v>#DIV/0!</v>
      </c>
    </row>
    <row r="25" spans="1:18" ht="18.75" customHeight="1" x14ac:dyDescent="0.15">
      <c r="A25" s="99"/>
      <c r="B25" s="189"/>
      <c r="C25" s="190"/>
      <c r="D25" s="107"/>
      <c r="E25" s="108"/>
      <c r="F25" s="109"/>
      <c r="G25" s="110"/>
      <c r="H25" s="111"/>
      <c r="I25" s="108"/>
      <c r="J25" s="109"/>
      <c r="K25" s="110"/>
      <c r="L25" s="111"/>
      <c r="M25" s="108"/>
      <c r="N25" s="109"/>
      <c r="O25" s="110"/>
      <c r="P25" s="111"/>
      <c r="Q25" s="112">
        <f t="shared" si="0"/>
        <v>0</v>
      </c>
      <c r="R25" s="106" t="e">
        <f t="shared" si="1"/>
        <v>#DIV/0!</v>
      </c>
    </row>
    <row r="26" spans="1:18" ht="18.75" customHeight="1" x14ac:dyDescent="0.15">
      <c r="A26" s="99"/>
      <c r="B26" s="189"/>
      <c r="C26" s="190"/>
      <c r="D26" s="107"/>
      <c r="E26" s="108"/>
      <c r="F26" s="109"/>
      <c r="G26" s="110"/>
      <c r="H26" s="111"/>
      <c r="I26" s="108"/>
      <c r="J26" s="109"/>
      <c r="K26" s="110"/>
      <c r="L26" s="111"/>
      <c r="M26" s="108"/>
      <c r="N26" s="109"/>
      <c r="O26" s="110"/>
      <c r="P26" s="111"/>
      <c r="Q26" s="112">
        <f t="shared" si="0"/>
        <v>0</v>
      </c>
      <c r="R26" s="106" t="e">
        <f t="shared" si="1"/>
        <v>#DIV/0!</v>
      </c>
    </row>
    <row r="27" spans="1:18" ht="18.75" customHeight="1" thickBot="1" x14ac:dyDescent="0.2">
      <c r="A27" s="99"/>
      <c r="B27" s="191"/>
      <c r="C27" s="192"/>
      <c r="D27" s="100"/>
      <c r="E27" s="101"/>
      <c r="F27" s="102"/>
      <c r="G27" s="103"/>
      <c r="H27" s="104"/>
      <c r="I27" s="101"/>
      <c r="J27" s="102"/>
      <c r="K27" s="103"/>
      <c r="L27" s="104"/>
      <c r="M27" s="101"/>
      <c r="N27" s="102"/>
      <c r="O27" s="103"/>
      <c r="P27" s="104"/>
      <c r="Q27" s="113">
        <f t="shared" si="0"/>
        <v>0</v>
      </c>
      <c r="R27" s="106" t="e">
        <f t="shared" si="1"/>
        <v>#DIV/0!</v>
      </c>
    </row>
    <row r="28" spans="1:18" ht="18.75" customHeight="1" thickTop="1" x14ac:dyDescent="0.15">
      <c r="A28" s="99"/>
      <c r="B28" s="183" t="s">
        <v>67</v>
      </c>
      <c r="C28" s="184"/>
      <c r="D28" s="114">
        <f t="shared" ref="D28:Q28" si="2">SUM(D8:D27)</f>
        <v>7063</v>
      </c>
      <c r="E28" s="115">
        <f t="shared" si="2"/>
        <v>16</v>
      </c>
      <c r="F28" s="116">
        <f t="shared" si="2"/>
        <v>11</v>
      </c>
      <c r="G28" s="117">
        <f t="shared" si="2"/>
        <v>0</v>
      </c>
      <c r="H28" s="118">
        <f t="shared" si="2"/>
        <v>0</v>
      </c>
      <c r="I28" s="115">
        <f t="shared" si="2"/>
        <v>0</v>
      </c>
      <c r="J28" s="116">
        <f t="shared" si="2"/>
        <v>0</v>
      </c>
      <c r="K28" s="117">
        <f t="shared" si="2"/>
        <v>0</v>
      </c>
      <c r="L28" s="118">
        <f t="shared" si="2"/>
        <v>0</v>
      </c>
      <c r="M28" s="115">
        <f t="shared" si="2"/>
        <v>0</v>
      </c>
      <c r="N28" s="116">
        <f t="shared" si="2"/>
        <v>0</v>
      </c>
      <c r="O28" s="117">
        <f t="shared" si="2"/>
        <v>0</v>
      </c>
      <c r="P28" s="118">
        <f t="shared" si="2"/>
        <v>0</v>
      </c>
      <c r="Q28" s="119">
        <f t="shared" si="2"/>
        <v>16</v>
      </c>
      <c r="R28" s="120">
        <f>Q28/D28</f>
        <v>2.2653263485770919E-3</v>
      </c>
    </row>
    <row r="29" spans="1:18" ht="6.75" customHeight="1" x14ac:dyDescent="0.15">
      <c r="A29" s="99"/>
      <c r="B29" s="99"/>
      <c r="C29" s="99"/>
      <c r="D29" s="121"/>
      <c r="E29" s="121"/>
      <c r="F29" s="121"/>
      <c r="G29" s="121"/>
      <c r="H29" s="121"/>
      <c r="I29" s="121"/>
      <c r="J29" s="121"/>
      <c r="K29" s="121"/>
      <c r="L29" s="121"/>
      <c r="M29" s="121"/>
      <c r="N29" s="121"/>
      <c r="O29" s="121"/>
      <c r="P29" s="121"/>
      <c r="Q29" s="121"/>
      <c r="R29" s="121"/>
    </row>
  </sheetData>
  <mergeCells count="34">
    <mergeCell ref="F1:R1"/>
    <mergeCell ref="K2:L2"/>
    <mergeCell ref="D6:D7"/>
    <mergeCell ref="E6:F6"/>
    <mergeCell ref="G6:H6"/>
    <mergeCell ref="I6:J6"/>
    <mergeCell ref="K6:L6"/>
    <mergeCell ref="M6:N6"/>
    <mergeCell ref="O6:P6"/>
    <mergeCell ref="Q6:Q7"/>
    <mergeCell ref="R6:R7"/>
    <mergeCell ref="A4:R4"/>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8:C18"/>
    <mergeCell ref="B17:C17"/>
    <mergeCell ref="B8:C8"/>
    <mergeCell ref="B9:C9"/>
    <mergeCell ref="B10:C10"/>
    <mergeCell ref="B11:C11"/>
    <mergeCell ref="B12:C1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view="pageBreakPreview" topLeftCell="A127" zoomScaleNormal="100" zoomScaleSheetLayoutView="100" workbookViewId="0">
      <selection activeCell="C52" sqref="C52:G56"/>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G1" s="55" t="s">
        <v>161</v>
      </c>
    </row>
    <row r="2" spans="1:7" ht="18.75" customHeight="1" x14ac:dyDescent="0.15">
      <c r="F2" s="55" t="s">
        <v>75</v>
      </c>
      <c r="G2" s="1" t="s">
        <v>134</v>
      </c>
    </row>
    <row r="3" spans="1:7" ht="18.75" customHeight="1" x14ac:dyDescent="0.15">
      <c r="A3" s="225" t="s">
        <v>94</v>
      </c>
      <c r="B3" s="225"/>
      <c r="C3" s="225"/>
      <c r="D3" s="225"/>
      <c r="E3" s="225"/>
      <c r="F3" s="225"/>
      <c r="G3" s="225"/>
    </row>
    <row r="4" spans="1:7" ht="18.75" customHeight="1" x14ac:dyDescent="0.15">
      <c r="A4" s="1" t="s">
        <v>7</v>
      </c>
      <c r="B4" s="1" t="s">
        <v>93</v>
      </c>
    </row>
    <row r="5" spans="1:7" s="54" customFormat="1" ht="18.75" customHeight="1" x14ac:dyDescent="0.15">
      <c r="B5" s="76" t="s">
        <v>74</v>
      </c>
      <c r="C5" s="207" t="s">
        <v>106</v>
      </c>
      <c r="D5" s="208"/>
      <c r="E5" s="208"/>
      <c r="F5" s="208"/>
      <c r="G5" s="209"/>
    </row>
    <row r="6" spans="1:7" s="73" customFormat="1" ht="45" customHeight="1" x14ac:dyDescent="0.15">
      <c r="B6" s="210" t="s">
        <v>109</v>
      </c>
      <c r="C6" s="212" t="s">
        <v>175</v>
      </c>
      <c r="D6" s="213"/>
      <c r="E6" s="213"/>
      <c r="F6" s="213"/>
      <c r="G6" s="214"/>
    </row>
    <row r="7" spans="1:7" s="73" customFormat="1" ht="45" customHeight="1" x14ac:dyDescent="0.15">
      <c r="B7" s="211"/>
      <c r="C7" s="215"/>
      <c r="D7" s="216"/>
      <c r="E7" s="216"/>
      <c r="F7" s="216"/>
      <c r="G7" s="217"/>
    </row>
    <row r="8" spans="1:7" s="73" customFormat="1" ht="45" customHeight="1" x14ac:dyDescent="0.15">
      <c r="B8" s="211"/>
      <c r="C8" s="215"/>
      <c r="D8" s="216"/>
      <c r="E8" s="216"/>
      <c r="F8" s="216"/>
      <c r="G8" s="217"/>
    </row>
    <row r="9" spans="1:7" s="73" customFormat="1" ht="45" customHeight="1" x14ac:dyDescent="0.15">
      <c r="B9" s="211"/>
      <c r="C9" s="226"/>
      <c r="D9" s="227"/>
      <c r="E9" s="227"/>
      <c r="F9" s="227"/>
      <c r="G9" s="228"/>
    </row>
    <row r="10" spans="1:7" s="75" customFormat="1" ht="18.75" customHeight="1" x14ac:dyDescent="0.15">
      <c r="B10" s="211"/>
      <c r="C10" s="74" t="s">
        <v>107</v>
      </c>
      <c r="D10" s="204" t="s">
        <v>108</v>
      </c>
      <c r="E10" s="205"/>
      <c r="F10" s="205"/>
      <c r="G10" s="206"/>
    </row>
    <row r="11" spans="1:7" s="73" customFormat="1" ht="18.75" customHeight="1" x14ac:dyDescent="0.15">
      <c r="B11" s="211"/>
      <c r="C11" s="78" t="s">
        <v>188</v>
      </c>
      <c r="D11" s="134" t="s">
        <v>140</v>
      </c>
      <c r="E11" s="135"/>
      <c r="F11" s="135"/>
      <c r="G11" s="136"/>
    </row>
    <row r="12" spans="1:7" s="75" customFormat="1" ht="18.75" customHeight="1" x14ac:dyDescent="0.15">
      <c r="B12" s="211"/>
      <c r="C12" s="79"/>
      <c r="D12" s="134"/>
      <c r="E12" s="135"/>
      <c r="F12" s="135"/>
      <c r="G12" s="136"/>
    </row>
    <row r="13" spans="1:7" s="75" customFormat="1" ht="18.75" customHeight="1" x14ac:dyDescent="0.15">
      <c r="B13" s="211"/>
      <c r="C13" s="79"/>
      <c r="D13" s="134"/>
      <c r="E13" s="135"/>
      <c r="F13" s="135"/>
      <c r="G13" s="136"/>
    </row>
    <row r="14" spans="1:7" s="75" customFormat="1" ht="18.75" customHeight="1" x14ac:dyDescent="0.15">
      <c r="B14" s="211"/>
      <c r="C14" s="79"/>
      <c r="D14" s="134"/>
      <c r="E14" s="135"/>
      <c r="F14" s="135"/>
      <c r="G14" s="136"/>
    </row>
    <row r="15" spans="1:7" s="81" customFormat="1" ht="18.75" customHeight="1" x14ac:dyDescent="0.15">
      <c r="B15" s="211"/>
      <c r="C15" s="82"/>
      <c r="D15" s="207"/>
      <c r="E15" s="208"/>
      <c r="F15" s="208"/>
      <c r="G15" s="209"/>
    </row>
    <row r="16" spans="1:7" s="81" customFormat="1" ht="18.75" customHeight="1" x14ac:dyDescent="0.15">
      <c r="B16" s="211"/>
      <c r="C16" s="82"/>
      <c r="D16" s="207"/>
      <c r="E16" s="208"/>
      <c r="F16" s="208"/>
      <c r="G16" s="209"/>
    </row>
    <row r="17" spans="2:7" s="81" customFormat="1" ht="18.75" customHeight="1" x14ac:dyDescent="0.15">
      <c r="B17" s="211"/>
      <c r="C17" s="82"/>
      <c r="D17" s="207"/>
      <c r="E17" s="208"/>
      <c r="F17" s="208"/>
      <c r="G17" s="209"/>
    </row>
    <row r="18" spans="2:7" s="81" customFormat="1" ht="18.75" customHeight="1" x14ac:dyDescent="0.15">
      <c r="B18" s="211"/>
      <c r="C18" s="82"/>
      <c r="D18" s="207"/>
      <c r="E18" s="208"/>
      <c r="F18" s="208"/>
      <c r="G18" s="209"/>
    </row>
    <row r="19" spans="2:7" s="81" customFormat="1" ht="18.75" customHeight="1" x14ac:dyDescent="0.15">
      <c r="B19" s="211"/>
      <c r="C19" s="82"/>
      <c r="D19" s="207"/>
      <c r="E19" s="208"/>
      <c r="F19" s="208"/>
      <c r="G19" s="209"/>
    </row>
    <row r="20" spans="2:7" s="81" customFormat="1" ht="18.75" customHeight="1" x14ac:dyDescent="0.15">
      <c r="B20" s="211"/>
      <c r="C20" s="82"/>
      <c r="D20" s="207"/>
      <c r="E20" s="208"/>
      <c r="F20" s="208"/>
      <c r="G20" s="209"/>
    </row>
    <row r="21" spans="2:7" s="81" customFormat="1" ht="18.75" customHeight="1" x14ac:dyDescent="0.15">
      <c r="B21" s="211"/>
      <c r="C21" s="82"/>
      <c r="D21" s="207"/>
      <c r="E21" s="208"/>
      <c r="F21" s="208"/>
      <c r="G21" s="209"/>
    </row>
    <row r="22" spans="2:7" s="81" customFormat="1" ht="18.75" customHeight="1" x14ac:dyDescent="0.15">
      <c r="B22" s="211"/>
      <c r="C22" s="82"/>
      <c r="D22" s="207"/>
      <c r="E22" s="208"/>
      <c r="F22" s="208"/>
      <c r="G22" s="209"/>
    </row>
    <row r="23" spans="2:7" s="81" customFormat="1" ht="18.75" customHeight="1" x14ac:dyDescent="0.15">
      <c r="B23" s="211"/>
      <c r="C23" s="82"/>
      <c r="D23" s="207"/>
      <c r="E23" s="208"/>
      <c r="F23" s="208"/>
      <c r="G23" s="209"/>
    </row>
    <row r="24" spans="2:7" s="81" customFormat="1" ht="18.75" customHeight="1" x14ac:dyDescent="0.15">
      <c r="B24" s="211"/>
      <c r="C24" s="82"/>
      <c r="D24" s="207"/>
      <c r="E24" s="208"/>
      <c r="F24" s="208"/>
      <c r="G24" s="209"/>
    </row>
    <row r="25" spans="2:7" s="75" customFormat="1" ht="18.75" customHeight="1" x14ac:dyDescent="0.15">
      <c r="B25" s="211"/>
      <c r="C25" s="76"/>
      <c r="D25" s="207"/>
      <c r="E25" s="208"/>
      <c r="F25" s="208"/>
      <c r="G25" s="209"/>
    </row>
    <row r="26" spans="2:7" ht="18.75" customHeight="1" x14ac:dyDescent="0.15">
      <c r="B26" s="210" t="s">
        <v>110</v>
      </c>
      <c r="C26" s="207" t="s">
        <v>106</v>
      </c>
      <c r="D26" s="208"/>
      <c r="E26" s="208"/>
      <c r="F26" s="208"/>
      <c r="G26" s="209"/>
    </row>
    <row r="27" spans="2:7" ht="37.5" customHeight="1" x14ac:dyDescent="0.15">
      <c r="B27" s="211"/>
      <c r="C27" s="212" t="s">
        <v>176</v>
      </c>
      <c r="D27" s="213"/>
      <c r="E27" s="213"/>
      <c r="F27" s="213"/>
      <c r="G27" s="214"/>
    </row>
    <row r="28" spans="2:7" ht="37.5" customHeight="1" x14ac:dyDescent="0.15">
      <c r="B28" s="211"/>
      <c r="C28" s="215"/>
      <c r="D28" s="216"/>
      <c r="E28" s="216"/>
      <c r="F28" s="216"/>
      <c r="G28" s="217"/>
    </row>
    <row r="29" spans="2:7" ht="37.5" customHeight="1" x14ac:dyDescent="0.15">
      <c r="B29" s="211"/>
      <c r="C29" s="215"/>
      <c r="D29" s="216"/>
      <c r="E29" s="216"/>
      <c r="F29" s="216"/>
      <c r="G29" s="217"/>
    </row>
    <row r="30" spans="2:7" ht="37.5" customHeight="1" x14ac:dyDescent="0.15">
      <c r="B30" s="211"/>
      <c r="C30" s="215"/>
      <c r="D30" s="216"/>
      <c r="E30" s="216"/>
      <c r="F30" s="216"/>
      <c r="G30" s="217"/>
    </row>
    <row r="31" spans="2:7" ht="37.5" customHeight="1" x14ac:dyDescent="0.15">
      <c r="B31" s="211"/>
      <c r="C31" s="218"/>
      <c r="D31" s="219"/>
      <c r="E31" s="219"/>
      <c r="F31" s="219"/>
      <c r="G31" s="220"/>
    </row>
    <row r="32" spans="2:7" ht="18.75" customHeight="1" x14ac:dyDescent="0.15">
      <c r="B32" s="211"/>
      <c r="C32" s="74" t="s">
        <v>107</v>
      </c>
      <c r="D32" s="207" t="s">
        <v>108</v>
      </c>
      <c r="E32" s="208"/>
      <c r="F32" s="208"/>
      <c r="G32" s="209"/>
    </row>
    <row r="33" spans="2:7" ht="18.75" customHeight="1" x14ac:dyDescent="0.15">
      <c r="B33" s="211"/>
      <c r="C33" s="78" t="s">
        <v>190</v>
      </c>
      <c r="D33" s="134" t="s">
        <v>141</v>
      </c>
      <c r="E33" s="135"/>
      <c r="F33" s="135"/>
      <c r="G33" s="136"/>
    </row>
    <row r="34" spans="2:7" ht="18.75" customHeight="1" x14ac:dyDescent="0.15">
      <c r="B34" s="211"/>
      <c r="C34" s="76"/>
      <c r="D34" s="221"/>
      <c r="E34" s="222"/>
      <c r="F34" s="222"/>
      <c r="G34" s="223"/>
    </row>
    <row r="35" spans="2:7" ht="18.75" customHeight="1" x14ac:dyDescent="0.15">
      <c r="B35" s="211"/>
      <c r="C35" s="76"/>
      <c r="D35" s="221"/>
      <c r="E35" s="222"/>
      <c r="F35" s="222"/>
      <c r="G35" s="223"/>
    </row>
    <row r="36" spans="2:7" ht="18.75" customHeight="1" x14ac:dyDescent="0.15">
      <c r="B36" s="211"/>
      <c r="C36" s="76"/>
      <c r="D36" s="221"/>
      <c r="E36" s="222"/>
      <c r="F36" s="222"/>
      <c r="G36" s="223"/>
    </row>
    <row r="37" spans="2:7" ht="18.75" customHeight="1" x14ac:dyDescent="0.15">
      <c r="B37" s="211"/>
      <c r="C37" s="76"/>
      <c r="D37" s="221"/>
      <c r="E37" s="222"/>
      <c r="F37" s="222"/>
      <c r="G37" s="223"/>
    </row>
    <row r="38" spans="2:7" ht="18.75" customHeight="1" x14ac:dyDescent="0.15">
      <c r="B38" s="211"/>
      <c r="C38" s="76"/>
      <c r="D38" s="221"/>
      <c r="E38" s="222"/>
      <c r="F38" s="222"/>
      <c r="G38" s="223"/>
    </row>
    <row r="39" spans="2:7" ht="18.75" customHeight="1" x14ac:dyDescent="0.15">
      <c r="B39" s="211"/>
      <c r="C39" s="76"/>
      <c r="D39" s="221"/>
      <c r="E39" s="222"/>
      <c r="F39" s="222"/>
      <c r="G39" s="223"/>
    </row>
    <row r="40" spans="2:7" ht="18.75" customHeight="1" x14ac:dyDescent="0.15">
      <c r="B40" s="211"/>
      <c r="C40" s="76"/>
      <c r="D40" s="221"/>
      <c r="E40" s="222"/>
      <c r="F40" s="222"/>
      <c r="G40" s="223"/>
    </row>
    <row r="41" spans="2:7" ht="18.75" customHeight="1" x14ac:dyDescent="0.15">
      <c r="B41" s="211"/>
      <c r="C41" s="76"/>
      <c r="D41" s="221"/>
      <c r="E41" s="222"/>
      <c r="F41" s="222"/>
      <c r="G41" s="223"/>
    </row>
    <row r="42" spans="2:7" ht="18.75" customHeight="1" x14ac:dyDescent="0.15">
      <c r="B42" s="211"/>
      <c r="C42" s="76"/>
      <c r="D42" s="221"/>
      <c r="E42" s="222"/>
      <c r="F42" s="222"/>
      <c r="G42" s="223"/>
    </row>
    <row r="43" spans="2:7" ht="18.75" customHeight="1" x14ac:dyDescent="0.15">
      <c r="B43" s="211"/>
      <c r="C43" s="76"/>
      <c r="D43" s="221"/>
      <c r="E43" s="222"/>
      <c r="F43" s="222"/>
      <c r="G43" s="223"/>
    </row>
    <row r="44" spans="2:7" ht="18.75" customHeight="1" x14ac:dyDescent="0.15">
      <c r="B44" s="211"/>
      <c r="C44" s="76"/>
      <c r="D44" s="221"/>
      <c r="E44" s="222"/>
      <c r="F44" s="222"/>
      <c r="G44" s="223"/>
    </row>
    <row r="45" spans="2:7" ht="18.75" customHeight="1" x14ac:dyDescent="0.15">
      <c r="B45" s="211"/>
      <c r="C45" s="76"/>
      <c r="D45" s="221"/>
      <c r="E45" s="222"/>
      <c r="F45" s="222"/>
      <c r="G45" s="223"/>
    </row>
    <row r="46" spans="2:7" ht="18.75" customHeight="1" x14ac:dyDescent="0.15">
      <c r="B46" s="211"/>
      <c r="C46" s="76"/>
      <c r="D46" s="221"/>
      <c r="E46" s="222"/>
      <c r="F46" s="222"/>
      <c r="G46" s="223"/>
    </row>
    <row r="47" spans="2:7" ht="18.75" customHeight="1" x14ac:dyDescent="0.15">
      <c r="B47" s="211"/>
      <c r="C47" s="76"/>
      <c r="D47" s="221"/>
      <c r="E47" s="222"/>
      <c r="F47" s="222"/>
      <c r="G47" s="223"/>
    </row>
    <row r="48" spans="2:7" ht="18.75" customHeight="1" x14ac:dyDescent="0.15">
      <c r="B48" s="211"/>
      <c r="C48" s="76"/>
      <c r="D48" s="221"/>
      <c r="E48" s="222"/>
      <c r="F48" s="222"/>
      <c r="G48" s="223"/>
    </row>
    <row r="49" spans="2:7" ht="18.75" customHeight="1" x14ac:dyDescent="0.15">
      <c r="B49" s="211"/>
      <c r="C49" s="76"/>
      <c r="D49" s="221"/>
      <c r="E49" s="222"/>
      <c r="F49" s="222"/>
      <c r="G49" s="223"/>
    </row>
    <row r="50" spans="2:7" ht="18.75" customHeight="1" x14ac:dyDescent="0.15">
      <c r="B50" s="224"/>
      <c r="C50" s="76"/>
      <c r="D50" s="221"/>
      <c r="E50" s="222"/>
      <c r="F50" s="222"/>
      <c r="G50" s="223"/>
    </row>
    <row r="51" spans="2:7" ht="18.75" customHeight="1" x14ac:dyDescent="0.15">
      <c r="B51" s="210" t="s">
        <v>112</v>
      </c>
      <c r="C51" s="207" t="s">
        <v>106</v>
      </c>
      <c r="D51" s="208"/>
      <c r="E51" s="208"/>
      <c r="F51" s="208"/>
      <c r="G51" s="209"/>
    </row>
    <row r="52" spans="2:7" ht="37.5" customHeight="1" x14ac:dyDescent="0.15">
      <c r="B52" s="211"/>
      <c r="C52" s="212" t="s">
        <v>193</v>
      </c>
      <c r="D52" s="213"/>
      <c r="E52" s="213"/>
      <c r="F52" s="213"/>
      <c r="G52" s="214"/>
    </row>
    <row r="53" spans="2:7" ht="37.5" customHeight="1" x14ac:dyDescent="0.15">
      <c r="B53" s="211"/>
      <c r="C53" s="215"/>
      <c r="D53" s="216"/>
      <c r="E53" s="216"/>
      <c r="F53" s="216"/>
      <c r="G53" s="217"/>
    </row>
    <row r="54" spans="2:7" ht="37.5" customHeight="1" x14ac:dyDescent="0.15">
      <c r="B54" s="211"/>
      <c r="C54" s="215"/>
      <c r="D54" s="216"/>
      <c r="E54" s="216"/>
      <c r="F54" s="216"/>
      <c r="G54" s="217"/>
    </row>
    <row r="55" spans="2:7" ht="37.5" customHeight="1" x14ac:dyDescent="0.15">
      <c r="B55" s="211"/>
      <c r="C55" s="215"/>
      <c r="D55" s="216"/>
      <c r="E55" s="216"/>
      <c r="F55" s="216"/>
      <c r="G55" s="217"/>
    </row>
    <row r="56" spans="2:7" ht="37.5" customHeight="1" x14ac:dyDescent="0.15">
      <c r="B56" s="211"/>
      <c r="C56" s="218"/>
      <c r="D56" s="219"/>
      <c r="E56" s="219"/>
      <c r="F56" s="219"/>
      <c r="G56" s="220"/>
    </row>
    <row r="57" spans="2:7" ht="18.75" customHeight="1" x14ac:dyDescent="0.15">
      <c r="B57" s="211"/>
      <c r="C57" s="74" t="s">
        <v>107</v>
      </c>
      <c r="D57" s="207" t="s">
        <v>108</v>
      </c>
      <c r="E57" s="208"/>
      <c r="F57" s="208"/>
      <c r="G57" s="209"/>
    </row>
    <row r="58" spans="2:7" ht="18.75" customHeight="1" x14ac:dyDescent="0.15">
      <c r="B58" s="211"/>
      <c r="C58" s="78" t="s">
        <v>188</v>
      </c>
      <c r="D58" s="134" t="s">
        <v>141</v>
      </c>
      <c r="E58" s="135"/>
      <c r="F58" s="135"/>
      <c r="G58" s="136"/>
    </row>
    <row r="59" spans="2:7" ht="18.75" customHeight="1" x14ac:dyDescent="0.15">
      <c r="B59" s="211"/>
      <c r="C59" s="88"/>
      <c r="D59" s="221"/>
      <c r="E59" s="222"/>
      <c r="F59" s="222"/>
      <c r="G59" s="223"/>
    </row>
    <row r="60" spans="2:7" ht="18.75" customHeight="1" x14ac:dyDescent="0.15">
      <c r="B60" s="211"/>
      <c r="C60" s="88"/>
      <c r="D60" s="221"/>
      <c r="E60" s="222"/>
      <c r="F60" s="222"/>
      <c r="G60" s="223"/>
    </row>
    <row r="61" spans="2:7" ht="18.75" customHeight="1" x14ac:dyDescent="0.15">
      <c r="B61" s="211"/>
      <c r="C61" s="88"/>
      <c r="D61" s="221"/>
      <c r="E61" s="222"/>
      <c r="F61" s="222"/>
      <c r="G61" s="223"/>
    </row>
    <row r="62" spans="2:7" ht="18.75" customHeight="1" x14ac:dyDescent="0.15">
      <c r="B62" s="211"/>
      <c r="C62" s="88"/>
      <c r="D62" s="221"/>
      <c r="E62" s="222"/>
      <c r="F62" s="222"/>
      <c r="G62" s="223"/>
    </row>
    <row r="63" spans="2:7" ht="18.75" customHeight="1" x14ac:dyDescent="0.15">
      <c r="B63" s="211"/>
      <c r="C63" s="88"/>
      <c r="D63" s="221"/>
      <c r="E63" s="222"/>
      <c r="F63" s="222"/>
      <c r="G63" s="223"/>
    </row>
    <row r="64" spans="2:7" ht="18.75" customHeight="1" x14ac:dyDescent="0.15">
      <c r="B64" s="211"/>
      <c r="C64" s="88"/>
      <c r="D64" s="221"/>
      <c r="E64" s="222"/>
      <c r="F64" s="222"/>
      <c r="G64" s="223"/>
    </row>
    <row r="65" spans="2:7" ht="18.75" customHeight="1" x14ac:dyDescent="0.15">
      <c r="B65" s="211"/>
      <c r="C65" s="88"/>
      <c r="D65" s="221"/>
      <c r="E65" s="222"/>
      <c r="F65" s="222"/>
      <c r="G65" s="223"/>
    </row>
    <row r="66" spans="2:7" ht="18.75" customHeight="1" x14ac:dyDescent="0.15">
      <c r="B66" s="211"/>
      <c r="C66" s="88"/>
      <c r="D66" s="221"/>
      <c r="E66" s="222"/>
      <c r="F66" s="222"/>
      <c r="G66" s="223"/>
    </row>
    <row r="67" spans="2:7" ht="18.75" customHeight="1" x14ac:dyDescent="0.15">
      <c r="B67" s="211"/>
      <c r="C67" s="88"/>
      <c r="D67" s="221"/>
      <c r="E67" s="222"/>
      <c r="F67" s="222"/>
      <c r="G67" s="223"/>
    </row>
    <row r="68" spans="2:7" ht="18.75" customHeight="1" x14ac:dyDescent="0.15">
      <c r="B68" s="211"/>
      <c r="C68" s="88"/>
      <c r="D68" s="221"/>
      <c r="E68" s="222"/>
      <c r="F68" s="222"/>
      <c r="G68" s="223"/>
    </row>
    <row r="69" spans="2:7" ht="18.75" customHeight="1" x14ac:dyDescent="0.15">
      <c r="B69" s="211"/>
      <c r="C69" s="88"/>
      <c r="D69" s="221"/>
      <c r="E69" s="222"/>
      <c r="F69" s="222"/>
      <c r="G69" s="223"/>
    </row>
    <row r="70" spans="2:7" ht="18.75" customHeight="1" x14ac:dyDescent="0.15">
      <c r="B70" s="211"/>
      <c r="C70" s="88"/>
      <c r="D70" s="221"/>
      <c r="E70" s="222"/>
      <c r="F70" s="222"/>
      <c r="G70" s="223"/>
    </row>
    <row r="71" spans="2:7" ht="18.75" customHeight="1" x14ac:dyDescent="0.15">
      <c r="B71" s="211"/>
      <c r="C71" s="88"/>
      <c r="D71" s="221"/>
      <c r="E71" s="222"/>
      <c r="F71" s="222"/>
      <c r="G71" s="223"/>
    </row>
    <row r="72" spans="2:7" ht="18.75" customHeight="1" x14ac:dyDescent="0.15">
      <c r="B72" s="211"/>
      <c r="C72" s="88"/>
      <c r="D72" s="221"/>
      <c r="E72" s="222"/>
      <c r="F72" s="222"/>
      <c r="G72" s="223"/>
    </row>
    <row r="73" spans="2:7" ht="18.75" customHeight="1" x14ac:dyDescent="0.15">
      <c r="B73" s="211"/>
      <c r="C73" s="88"/>
      <c r="D73" s="221"/>
      <c r="E73" s="222"/>
      <c r="F73" s="222"/>
      <c r="G73" s="223"/>
    </row>
    <row r="74" spans="2:7" ht="18.75" customHeight="1" x14ac:dyDescent="0.15">
      <c r="B74" s="211"/>
      <c r="C74" s="76"/>
      <c r="D74" s="221"/>
      <c r="E74" s="222"/>
      <c r="F74" s="222"/>
      <c r="G74" s="223"/>
    </row>
    <row r="75" spans="2:7" ht="18.75" customHeight="1" x14ac:dyDescent="0.15">
      <c r="B75" s="211"/>
      <c r="C75" s="76"/>
      <c r="D75" s="221"/>
      <c r="E75" s="222"/>
      <c r="F75" s="222"/>
      <c r="G75" s="223"/>
    </row>
    <row r="76" spans="2:7" ht="18.75" customHeight="1" x14ac:dyDescent="0.15">
      <c r="B76" s="210" t="s">
        <v>111</v>
      </c>
      <c r="C76" s="207" t="s">
        <v>106</v>
      </c>
      <c r="D76" s="208"/>
      <c r="E76" s="208"/>
      <c r="F76" s="208"/>
      <c r="G76" s="209"/>
    </row>
    <row r="77" spans="2:7" ht="37.5" customHeight="1" x14ac:dyDescent="0.15">
      <c r="B77" s="211"/>
      <c r="C77" s="212" t="s">
        <v>147</v>
      </c>
      <c r="D77" s="213"/>
      <c r="E77" s="213"/>
      <c r="F77" s="213"/>
      <c r="G77" s="214"/>
    </row>
    <row r="78" spans="2:7" ht="37.5" customHeight="1" x14ac:dyDescent="0.15">
      <c r="B78" s="211"/>
      <c r="C78" s="215"/>
      <c r="D78" s="216"/>
      <c r="E78" s="216"/>
      <c r="F78" s="216"/>
      <c r="G78" s="217"/>
    </row>
    <row r="79" spans="2:7" ht="37.5" customHeight="1" x14ac:dyDescent="0.15">
      <c r="B79" s="211"/>
      <c r="C79" s="215"/>
      <c r="D79" s="216"/>
      <c r="E79" s="216"/>
      <c r="F79" s="216"/>
      <c r="G79" s="217"/>
    </row>
    <row r="80" spans="2:7" ht="37.5" customHeight="1" x14ac:dyDescent="0.15">
      <c r="B80" s="211"/>
      <c r="C80" s="215"/>
      <c r="D80" s="216"/>
      <c r="E80" s="216"/>
      <c r="F80" s="216"/>
      <c r="G80" s="217"/>
    </row>
    <row r="81" spans="2:7" ht="37.5" customHeight="1" x14ac:dyDescent="0.15">
      <c r="B81" s="211"/>
      <c r="C81" s="218"/>
      <c r="D81" s="219"/>
      <c r="E81" s="219"/>
      <c r="F81" s="219"/>
      <c r="G81" s="220"/>
    </row>
    <row r="82" spans="2:7" ht="18.75" customHeight="1" x14ac:dyDescent="0.15">
      <c r="B82" s="211"/>
      <c r="C82" s="74" t="s">
        <v>107</v>
      </c>
      <c r="D82" s="207" t="s">
        <v>108</v>
      </c>
      <c r="E82" s="208"/>
      <c r="F82" s="208"/>
      <c r="G82" s="209"/>
    </row>
    <row r="83" spans="2:7" ht="18.75" customHeight="1" x14ac:dyDescent="0.15">
      <c r="B83" s="211"/>
      <c r="C83" s="78" t="s">
        <v>188</v>
      </c>
      <c r="D83" s="134" t="s">
        <v>140</v>
      </c>
      <c r="E83" s="135"/>
      <c r="F83" s="135"/>
      <c r="G83" s="136"/>
    </row>
    <row r="84" spans="2:7" ht="18.75" customHeight="1" x14ac:dyDescent="0.15">
      <c r="B84" s="211"/>
      <c r="C84" s="88"/>
      <c r="D84" s="221"/>
      <c r="E84" s="222"/>
      <c r="F84" s="222"/>
      <c r="G84" s="223"/>
    </row>
    <row r="85" spans="2:7" ht="18.75" customHeight="1" x14ac:dyDescent="0.15">
      <c r="B85" s="211"/>
      <c r="C85" s="88"/>
      <c r="D85" s="221"/>
      <c r="E85" s="222"/>
      <c r="F85" s="222"/>
      <c r="G85" s="223"/>
    </row>
    <row r="86" spans="2:7" ht="18.75" customHeight="1" x14ac:dyDescent="0.15">
      <c r="B86" s="211"/>
      <c r="C86" s="88"/>
      <c r="D86" s="221"/>
      <c r="E86" s="222"/>
      <c r="F86" s="222"/>
      <c r="G86" s="223"/>
    </row>
    <row r="87" spans="2:7" ht="18.75" customHeight="1" x14ac:dyDescent="0.15">
      <c r="B87" s="211"/>
      <c r="C87" s="88"/>
      <c r="D87" s="221"/>
      <c r="E87" s="222"/>
      <c r="F87" s="222"/>
      <c r="G87" s="223"/>
    </row>
    <row r="88" spans="2:7" ht="18.75" customHeight="1" x14ac:dyDescent="0.15">
      <c r="B88" s="211"/>
      <c r="C88" s="88"/>
      <c r="D88" s="221"/>
      <c r="E88" s="222"/>
      <c r="F88" s="222"/>
      <c r="G88" s="223"/>
    </row>
    <row r="89" spans="2:7" ht="18.75" customHeight="1" x14ac:dyDescent="0.15">
      <c r="B89" s="211"/>
      <c r="C89" s="88"/>
      <c r="D89" s="221"/>
      <c r="E89" s="222"/>
      <c r="F89" s="222"/>
      <c r="G89" s="223"/>
    </row>
    <row r="90" spans="2:7" ht="18.75" customHeight="1" x14ac:dyDescent="0.15">
      <c r="B90" s="211"/>
      <c r="C90" s="88"/>
      <c r="D90" s="221"/>
      <c r="E90" s="222"/>
      <c r="F90" s="222"/>
      <c r="G90" s="223"/>
    </row>
    <row r="91" spans="2:7" ht="18.75" customHeight="1" x14ac:dyDescent="0.15">
      <c r="B91" s="211"/>
      <c r="C91" s="88"/>
      <c r="D91" s="221"/>
      <c r="E91" s="222"/>
      <c r="F91" s="222"/>
      <c r="G91" s="223"/>
    </row>
    <row r="92" spans="2:7" ht="18.75" customHeight="1" x14ac:dyDescent="0.15">
      <c r="B92" s="211"/>
      <c r="C92" s="88"/>
      <c r="D92" s="221"/>
      <c r="E92" s="222"/>
      <c r="F92" s="222"/>
      <c r="G92" s="223"/>
    </row>
    <row r="93" spans="2:7" ht="18.75" customHeight="1" x14ac:dyDescent="0.15">
      <c r="B93" s="211"/>
      <c r="C93" s="88"/>
      <c r="D93" s="221"/>
      <c r="E93" s="222"/>
      <c r="F93" s="222"/>
      <c r="G93" s="223"/>
    </row>
    <row r="94" spans="2:7" ht="18.75" customHeight="1" x14ac:dyDescent="0.15">
      <c r="B94" s="211"/>
      <c r="C94" s="88"/>
      <c r="D94" s="221"/>
      <c r="E94" s="222"/>
      <c r="F94" s="222"/>
      <c r="G94" s="223"/>
    </row>
    <row r="95" spans="2:7" ht="18.75" customHeight="1" x14ac:dyDescent="0.15">
      <c r="B95" s="211"/>
      <c r="C95" s="88"/>
      <c r="D95" s="221"/>
      <c r="E95" s="222"/>
      <c r="F95" s="222"/>
      <c r="G95" s="223"/>
    </row>
    <row r="96" spans="2:7" ht="18.75" customHeight="1" x14ac:dyDescent="0.15">
      <c r="B96" s="211"/>
      <c r="C96" s="88"/>
      <c r="D96" s="221"/>
      <c r="E96" s="222"/>
      <c r="F96" s="222"/>
      <c r="G96" s="223"/>
    </row>
    <row r="97" spans="2:7" ht="18.75" customHeight="1" x14ac:dyDescent="0.15">
      <c r="B97" s="211"/>
      <c r="C97" s="88"/>
      <c r="D97" s="221"/>
      <c r="E97" s="222"/>
      <c r="F97" s="222"/>
      <c r="G97" s="223"/>
    </row>
    <row r="98" spans="2:7" ht="18.75" customHeight="1" x14ac:dyDescent="0.15">
      <c r="B98" s="211"/>
      <c r="C98" s="88"/>
      <c r="D98" s="221"/>
      <c r="E98" s="222"/>
      <c r="F98" s="222"/>
      <c r="G98" s="223"/>
    </row>
    <row r="99" spans="2:7" ht="18.75" customHeight="1" x14ac:dyDescent="0.15">
      <c r="B99" s="211"/>
      <c r="C99" s="88"/>
      <c r="D99" s="221"/>
      <c r="E99" s="222"/>
      <c r="F99" s="222"/>
      <c r="G99" s="223"/>
    </row>
    <row r="100" spans="2:7" ht="18.75" customHeight="1" x14ac:dyDescent="0.15">
      <c r="B100" s="211"/>
      <c r="C100" s="76"/>
      <c r="D100" s="221"/>
      <c r="E100" s="222"/>
      <c r="F100" s="222"/>
      <c r="G100" s="223"/>
    </row>
    <row r="101" spans="2:7" ht="18.75" customHeight="1" x14ac:dyDescent="0.15">
      <c r="B101" s="210" t="s">
        <v>113</v>
      </c>
      <c r="C101" s="207" t="s">
        <v>106</v>
      </c>
      <c r="D101" s="208"/>
      <c r="E101" s="208"/>
      <c r="F101" s="208"/>
      <c r="G101" s="209"/>
    </row>
    <row r="102" spans="2:7" ht="37.5" customHeight="1" x14ac:dyDescent="0.15">
      <c r="B102" s="211"/>
      <c r="C102" s="212" t="s">
        <v>148</v>
      </c>
      <c r="D102" s="213"/>
      <c r="E102" s="213"/>
      <c r="F102" s="213"/>
      <c r="G102" s="214"/>
    </row>
    <row r="103" spans="2:7" ht="37.5" customHeight="1" x14ac:dyDescent="0.15">
      <c r="B103" s="211"/>
      <c r="C103" s="215"/>
      <c r="D103" s="216"/>
      <c r="E103" s="216"/>
      <c r="F103" s="216"/>
      <c r="G103" s="217"/>
    </row>
    <row r="104" spans="2:7" ht="37.5" customHeight="1" x14ac:dyDescent="0.15">
      <c r="B104" s="211"/>
      <c r="C104" s="215"/>
      <c r="D104" s="216"/>
      <c r="E104" s="216"/>
      <c r="F104" s="216"/>
      <c r="G104" s="217"/>
    </row>
    <row r="105" spans="2:7" ht="37.5" customHeight="1" x14ac:dyDescent="0.15">
      <c r="B105" s="211"/>
      <c r="C105" s="215"/>
      <c r="D105" s="216"/>
      <c r="E105" s="216"/>
      <c r="F105" s="216"/>
      <c r="G105" s="217"/>
    </row>
    <row r="106" spans="2:7" ht="37.5" customHeight="1" x14ac:dyDescent="0.15">
      <c r="B106" s="211"/>
      <c r="C106" s="218"/>
      <c r="D106" s="219"/>
      <c r="E106" s="219"/>
      <c r="F106" s="219"/>
      <c r="G106" s="220"/>
    </row>
    <row r="107" spans="2:7" ht="18.75" customHeight="1" x14ac:dyDescent="0.15">
      <c r="B107" s="211"/>
      <c r="C107" s="74" t="s">
        <v>107</v>
      </c>
      <c r="D107" s="207" t="s">
        <v>108</v>
      </c>
      <c r="E107" s="208"/>
      <c r="F107" s="208"/>
      <c r="G107" s="209"/>
    </row>
    <row r="108" spans="2:7" ht="18.75" customHeight="1" x14ac:dyDescent="0.15">
      <c r="B108" s="211"/>
      <c r="C108" s="78" t="s">
        <v>188</v>
      </c>
      <c r="D108" s="244" t="s">
        <v>142</v>
      </c>
      <c r="E108" s="135"/>
      <c r="F108" s="135"/>
      <c r="G108" s="136"/>
    </row>
    <row r="109" spans="2:7" ht="18.75" customHeight="1" x14ac:dyDescent="0.15">
      <c r="B109" s="211"/>
      <c r="C109" s="78" t="s">
        <v>191</v>
      </c>
      <c r="D109" s="244" t="s">
        <v>149</v>
      </c>
      <c r="E109" s="135"/>
      <c r="F109" s="135"/>
      <c r="G109" s="136"/>
    </row>
    <row r="110" spans="2:7" ht="18.75" customHeight="1" x14ac:dyDescent="0.15">
      <c r="B110" s="211"/>
      <c r="C110" s="88"/>
      <c r="D110" s="221"/>
      <c r="E110" s="222"/>
      <c r="F110" s="222"/>
      <c r="G110" s="223"/>
    </row>
    <row r="111" spans="2:7" ht="18.75" customHeight="1" x14ac:dyDescent="0.15">
      <c r="B111" s="211"/>
      <c r="C111" s="88"/>
      <c r="D111" s="221"/>
      <c r="E111" s="222"/>
      <c r="F111" s="222"/>
      <c r="G111" s="223"/>
    </row>
    <row r="112" spans="2:7" ht="18.75" customHeight="1" x14ac:dyDescent="0.15">
      <c r="B112" s="211"/>
      <c r="C112" s="88"/>
      <c r="D112" s="221"/>
      <c r="E112" s="222"/>
      <c r="F112" s="222"/>
      <c r="G112" s="223"/>
    </row>
    <row r="113" spans="1:7" ht="18.75" customHeight="1" x14ac:dyDescent="0.15">
      <c r="B113" s="211"/>
      <c r="C113" s="88"/>
      <c r="D113" s="221"/>
      <c r="E113" s="222"/>
      <c r="F113" s="222"/>
      <c r="G113" s="223"/>
    </row>
    <row r="114" spans="1:7" ht="18.75" customHeight="1" x14ac:dyDescent="0.15">
      <c r="B114" s="211"/>
      <c r="C114" s="88"/>
      <c r="D114" s="221"/>
      <c r="E114" s="222"/>
      <c r="F114" s="222"/>
      <c r="G114" s="223"/>
    </row>
    <row r="115" spans="1:7" ht="18.75" customHeight="1" x14ac:dyDescent="0.15">
      <c r="B115" s="211"/>
      <c r="C115" s="88"/>
      <c r="D115" s="221"/>
      <c r="E115" s="222"/>
      <c r="F115" s="222"/>
      <c r="G115" s="223"/>
    </row>
    <row r="116" spans="1:7" ht="18.75" customHeight="1" x14ac:dyDescent="0.15">
      <c r="B116" s="211"/>
      <c r="C116" s="88"/>
      <c r="D116" s="221"/>
      <c r="E116" s="222"/>
      <c r="F116" s="222"/>
      <c r="G116" s="223"/>
    </row>
    <row r="117" spans="1:7" ht="18.75" customHeight="1" x14ac:dyDescent="0.15">
      <c r="B117" s="211"/>
      <c r="C117" s="88"/>
      <c r="D117" s="221"/>
      <c r="E117" s="222"/>
      <c r="F117" s="222"/>
      <c r="G117" s="223"/>
    </row>
    <row r="118" spans="1:7" ht="18.75" customHeight="1" x14ac:dyDescent="0.15">
      <c r="B118" s="211"/>
      <c r="C118" s="88"/>
      <c r="D118" s="221"/>
      <c r="E118" s="222"/>
      <c r="F118" s="222"/>
      <c r="G118" s="223"/>
    </row>
    <row r="119" spans="1:7" ht="18.75" customHeight="1" x14ac:dyDescent="0.15">
      <c r="B119" s="211"/>
      <c r="C119" s="88"/>
      <c r="D119" s="221"/>
      <c r="E119" s="222"/>
      <c r="F119" s="222"/>
      <c r="G119" s="223"/>
    </row>
    <row r="120" spans="1:7" ht="18.75" customHeight="1" x14ac:dyDescent="0.15">
      <c r="B120" s="211"/>
      <c r="C120" s="88"/>
      <c r="D120" s="221"/>
      <c r="E120" s="222"/>
      <c r="F120" s="222"/>
      <c r="G120" s="223"/>
    </row>
    <row r="121" spans="1:7" ht="18.75" customHeight="1" x14ac:dyDescent="0.15">
      <c r="B121" s="211"/>
      <c r="C121" s="88"/>
      <c r="D121" s="221"/>
      <c r="E121" s="222"/>
      <c r="F121" s="222"/>
      <c r="G121" s="223"/>
    </row>
    <row r="122" spans="1:7" ht="18.75" customHeight="1" x14ac:dyDescent="0.15">
      <c r="B122" s="211"/>
      <c r="C122" s="88"/>
      <c r="D122" s="221"/>
      <c r="E122" s="222"/>
      <c r="F122" s="222"/>
      <c r="G122" s="223"/>
    </row>
    <row r="123" spans="1:7" ht="18.75" customHeight="1" x14ac:dyDescent="0.15">
      <c r="B123" s="211"/>
      <c r="C123" s="88"/>
      <c r="D123" s="221"/>
      <c r="E123" s="222"/>
      <c r="F123" s="222"/>
      <c r="G123" s="223"/>
    </row>
    <row r="124" spans="1:7" ht="18.75" customHeight="1" x14ac:dyDescent="0.15">
      <c r="B124" s="211"/>
      <c r="C124" s="88"/>
      <c r="D124" s="221"/>
      <c r="E124" s="222"/>
      <c r="F124" s="222"/>
      <c r="G124" s="223"/>
    </row>
    <row r="125" spans="1:7" ht="18.75" customHeight="1" x14ac:dyDescent="0.15">
      <c r="B125" s="211"/>
      <c r="C125" s="76"/>
      <c r="D125" s="221"/>
      <c r="E125" s="222"/>
      <c r="F125" s="222"/>
      <c r="G125" s="223"/>
    </row>
    <row r="126" spans="1:7" ht="18.75" customHeight="1" x14ac:dyDescent="0.15">
      <c r="A126" s="1" t="s">
        <v>12</v>
      </c>
      <c r="B126" s="1" t="s">
        <v>104</v>
      </c>
    </row>
    <row r="127" spans="1:7" ht="22.5" customHeight="1" x14ac:dyDescent="0.15">
      <c r="B127" s="76" t="s">
        <v>74</v>
      </c>
      <c r="C127" s="207" t="s">
        <v>103</v>
      </c>
      <c r="D127" s="208"/>
      <c r="E127" s="208"/>
      <c r="F127" s="208"/>
      <c r="G127" s="209"/>
    </row>
    <row r="128" spans="1:7" ht="45" customHeight="1" x14ac:dyDescent="0.15">
      <c r="B128" s="77" t="s">
        <v>76</v>
      </c>
      <c r="C128" s="241" t="s">
        <v>192</v>
      </c>
      <c r="D128" s="242"/>
      <c r="E128" s="242"/>
      <c r="F128" s="242"/>
      <c r="G128" s="243"/>
    </row>
    <row r="129" spans="1:7" ht="45" customHeight="1" x14ac:dyDescent="0.15">
      <c r="B129" s="77" t="s">
        <v>77</v>
      </c>
      <c r="C129" s="241"/>
      <c r="D129" s="242"/>
      <c r="E129" s="242"/>
      <c r="F129" s="242"/>
      <c r="G129" s="243"/>
    </row>
    <row r="130" spans="1:7" ht="45" customHeight="1" x14ac:dyDescent="0.15">
      <c r="B130" s="77" t="s">
        <v>78</v>
      </c>
      <c r="C130" s="241" t="s">
        <v>188</v>
      </c>
      <c r="D130" s="242"/>
      <c r="E130" s="242"/>
      <c r="F130" s="242"/>
      <c r="G130" s="243"/>
    </row>
    <row r="131" spans="1:7" ht="45" customHeight="1" x14ac:dyDescent="0.15">
      <c r="B131" s="77" t="s">
        <v>79</v>
      </c>
      <c r="C131" s="241"/>
      <c r="D131" s="242"/>
      <c r="E131" s="242"/>
      <c r="F131" s="242"/>
      <c r="G131" s="243"/>
    </row>
    <row r="132" spans="1:7" ht="45" customHeight="1" x14ac:dyDescent="0.15">
      <c r="B132" s="77" t="s">
        <v>80</v>
      </c>
      <c r="C132" s="241"/>
      <c r="D132" s="242"/>
      <c r="E132" s="242"/>
      <c r="F132" s="242"/>
      <c r="G132" s="243"/>
    </row>
    <row r="133" spans="1:7" ht="45" customHeight="1" x14ac:dyDescent="0.15">
      <c r="B133" s="77" t="s">
        <v>81</v>
      </c>
      <c r="C133" s="241" t="s">
        <v>188</v>
      </c>
      <c r="D133" s="242"/>
      <c r="E133" s="242"/>
      <c r="F133" s="242"/>
      <c r="G133" s="243"/>
    </row>
    <row r="134" spans="1:7" ht="45" customHeight="1" x14ac:dyDescent="0.15">
      <c r="B134" s="77" t="s">
        <v>82</v>
      </c>
      <c r="C134" s="241" t="s">
        <v>192</v>
      </c>
      <c r="D134" s="242"/>
      <c r="E134" s="242"/>
      <c r="F134" s="242"/>
      <c r="G134" s="243"/>
    </row>
    <row r="135" spans="1:7" ht="45" customHeight="1" x14ac:dyDescent="0.15">
      <c r="B135" s="77" t="s">
        <v>83</v>
      </c>
      <c r="C135" s="241" t="s">
        <v>192</v>
      </c>
      <c r="D135" s="242"/>
      <c r="E135" s="242"/>
      <c r="F135" s="242"/>
      <c r="G135" s="243"/>
    </row>
    <row r="136" spans="1:7" ht="45" customHeight="1" x14ac:dyDescent="0.15">
      <c r="B136" s="77" t="s">
        <v>84</v>
      </c>
      <c r="C136" s="241"/>
      <c r="D136" s="242"/>
      <c r="E136" s="242"/>
      <c r="F136" s="242"/>
      <c r="G136" s="243"/>
    </row>
    <row r="137" spans="1:7" ht="7.5" customHeight="1" x14ac:dyDescent="0.15"/>
    <row r="138" spans="1:7" ht="18.75" customHeight="1" x14ac:dyDescent="0.15">
      <c r="A138" s="1" t="s">
        <v>97</v>
      </c>
      <c r="B138" s="1" t="s">
        <v>98</v>
      </c>
      <c r="E138" s="238" t="s">
        <v>185</v>
      </c>
      <c r="F138" s="239"/>
      <c r="G138" s="240"/>
    </row>
    <row r="139" spans="1:7" ht="7.5" customHeight="1" x14ac:dyDescent="0.15"/>
    <row r="140" spans="1:7" ht="18.75" customHeight="1" x14ac:dyDescent="0.15">
      <c r="A140" s="1" t="s">
        <v>99</v>
      </c>
      <c r="B140" s="1" t="s">
        <v>100</v>
      </c>
    </row>
    <row r="141" spans="1:7" ht="18.75" customHeight="1" x14ac:dyDescent="0.15">
      <c r="B141" s="229" t="s">
        <v>150</v>
      </c>
      <c r="C141" s="230"/>
      <c r="D141" s="230"/>
      <c r="E141" s="230"/>
      <c r="F141" s="230"/>
      <c r="G141" s="231"/>
    </row>
    <row r="142" spans="1:7" ht="18.75" customHeight="1" x14ac:dyDescent="0.15">
      <c r="B142" s="232"/>
      <c r="C142" s="233"/>
      <c r="D142" s="233"/>
      <c r="E142" s="233"/>
      <c r="F142" s="233"/>
      <c r="G142" s="234"/>
    </row>
    <row r="143" spans="1:7" ht="18.75" customHeight="1" x14ac:dyDescent="0.15">
      <c r="B143" s="232"/>
      <c r="C143" s="233"/>
      <c r="D143" s="233"/>
      <c r="E143" s="233"/>
      <c r="F143" s="233"/>
      <c r="G143" s="234"/>
    </row>
    <row r="144" spans="1:7" ht="18.75" customHeight="1" x14ac:dyDescent="0.15">
      <c r="B144" s="235"/>
      <c r="C144" s="236"/>
      <c r="D144" s="236"/>
      <c r="E144" s="236"/>
      <c r="F144" s="236"/>
      <c r="G144" s="237"/>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s>
  <phoneticPr fontId="1"/>
  <hyperlinks>
    <hyperlink ref="E138" r:id="rId1"/>
  </hyperlinks>
  <printOptions horizontalCentered="1"/>
  <pageMargins left="0.78740157480314965" right="0.78740157480314965" top="0.59055118110236227" bottom="0.39370078740157483" header="0.31496062992125984" footer="0.31496062992125984"/>
  <pageSetup paperSize="9" scale="95" orientation="landscape" r:id="rId2"/>
  <rowBreaks count="5" manualBreakCount="5">
    <brk id="25" max="16383" man="1"/>
    <brk id="50" max="16383" man="1"/>
    <brk id="75" max="16383" man="1"/>
    <brk id="100" max="16383" man="1"/>
    <brk id="125"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9"/>
  <sheetViews>
    <sheetView showZeros="0" view="pageBreakPreview" topLeftCell="A109" zoomScale="115" zoomScaleNormal="100" zoomScaleSheetLayoutView="115" workbookViewId="0">
      <selection activeCell="B115" sqref="B115:E134"/>
    </sheetView>
  </sheetViews>
  <sheetFormatPr defaultColWidth="11.375" defaultRowHeight="18.75" customHeight="1" x14ac:dyDescent="0.15"/>
  <cols>
    <col min="1" max="1" width="2.75" style="2" customWidth="1"/>
    <col min="2" max="2" width="54.25" style="1" customWidth="1"/>
    <col min="3" max="3" width="1.25" style="1" customWidth="1"/>
    <col min="4" max="4" width="22.5" style="1" customWidth="1"/>
    <col min="5" max="5" width="6.25" style="1" customWidth="1"/>
    <col min="6" max="16384" width="11.375" style="1"/>
  </cols>
  <sheetData>
    <row r="1" spans="1:5" ht="18.75" customHeight="1" x14ac:dyDescent="0.15">
      <c r="E1" s="56" t="s">
        <v>105</v>
      </c>
    </row>
    <row r="2" spans="1:5" ht="18.75" customHeight="1" x14ac:dyDescent="0.15">
      <c r="B2" s="56" t="s">
        <v>87</v>
      </c>
      <c r="C2" s="56" t="s">
        <v>8</v>
      </c>
      <c r="D2" s="256" t="s">
        <v>134</v>
      </c>
      <c r="E2" s="256"/>
    </row>
    <row r="3" spans="1:5" ht="7.5" customHeight="1" x14ac:dyDescent="0.15">
      <c r="B3" s="56"/>
      <c r="C3" s="56"/>
      <c r="D3" s="57"/>
      <c r="E3" s="57"/>
    </row>
    <row r="4" spans="1:5" ht="18.75" customHeight="1" x14ac:dyDescent="0.15">
      <c r="B4" s="203" t="s">
        <v>85</v>
      </c>
      <c r="C4" s="203"/>
      <c r="D4" s="203"/>
      <c r="E4" s="203"/>
    </row>
    <row r="5" spans="1:5" ht="7.5" customHeight="1" x14ac:dyDescent="0.15">
      <c r="B5" s="58"/>
      <c r="C5" s="58"/>
      <c r="D5" s="58"/>
      <c r="E5" s="58"/>
    </row>
    <row r="6" spans="1:5" ht="18.75" customHeight="1" x14ac:dyDescent="0.15">
      <c r="A6" s="15" t="s">
        <v>7</v>
      </c>
      <c r="B6" s="5" t="s">
        <v>96</v>
      </c>
      <c r="C6" s="66"/>
      <c r="D6" s="66"/>
      <c r="E6" s="66"/>
    </row>
    <row r="7" spans="1:5" ht="18.75" customHeight="1" x14ac:dyDescent="0.15">
      <c r="A7" s="15"/>
      <c r="B7" s="274" t="s">
        <v>157</v>
      </c>
      <c r="C7" s="239"/>
      <c r="D7" s="239"/>
      <c r="E7" s="240"/>
    </row>
    <row r="8" spans="1:5" ht="7.5" customHeight="1" x14ac:dyDescent="0.15">
      <c r="B8" s="66"/>
      <c r="C8" s="66"/>
      <c r="D8" s="66"/>
      <c r="E8" s="66"/>
    </row>
    <row r="9" spans="1:5" s="5" customFormat="1" ht="18.75" customHeight="1" x14ac:dyDescent="0.15">
      <c r="A9" s="15" t="s">
        <v>12</v>
      </c>
      <c r="B9" s="15" t="s">
        <v>46</v>
      </c>
      <c r="C9" s="15"/>
      <c r="D9" s="15"/>
      <c r="E9" s="15"/>
    </row>
    <row r="10" spans="1:5" s="10" customFormat="1" ht="18.75" customHeight="1" x14ac:dyDescent="0.15">
      <c r="A10" s="9"/>
      <c r="B10" s="257" t="s">
        <v>178</v>
      </c>
      <c r="C10" s="258"/>
      <c r="D10" s="258"/>
      <c r="E10" s="259"/>
    </row>
    <row r="11" spans="1:5" s="10" customFormat="1" ht="18.75" customHeight="1" x14ac:dyDescent="0.15">
      <c r="A11" s="9"/>
      <c r="B11" s="260"/>
      <c r="C11" s="261"/>
      <c r="D11" s="261"/>
      <c r="E11" s="262"/>
    </row>
    <row r="12" spans="1:5" s="10" customFormat="1" ht="18.75" customHeight="1" x14ac:dyDescent="0.15">
      <c r="A12" s="9"/>
      <c r="B12" s="260"/>
      <c r="C12" s="261"/>
      <c r="D12" s="261"/>
      <c r="E12" s="262"/>
    </row>
    <row r="13" spans="1:5" s="10" customFormat="1" ht="18.75" customHeight="1" x14ac:dyDescent="0.15">
      <c r="A13" s="9"/>
      <c r="B13" s="260"/>
      <c r="C13" s="261"/>
      <c r="D13" s="261"/>
      <c r="E13" s="262"/>
    </row>
    <row r="14" spans="1:5" s="10" customFormat="1" ht="61.9" customHeight="1" x14ac:dyDescent="0.15">
      <c r="A14" s="9"/>
      <c r="B14" s="263"/>
      <c r="C14" s="264"/>
      <c r="D14" s="264"/>
      <c r="E14" s="265"/>
    </row>
    <row r="15" spans="1:5" s="10" customFormat="1" ht="7.5" customHeight="1" x14ac:dyDescent="0.15">
      <c r="A15" s="9"/>
      <c r="B15" s="9"/>
      <c r="C15" s="9"/>
      <c r="D15" s="9"/>
      <c r="E15" s="9"/>
    </row>
    <row r="16" spans="1:5" s="5" customFormat="1" ht="18.75" customHeight="1" x14ac:dyDescent="0.15">
      <c r="A16" s="11" t="s">
        <v>13</v>
      </c>
      <c r="B16" s="11" t="s">
        <v>19</v>
      </c>
      <c r="C16" s="11"/>
      <c r="D16" s="11"/>
      <c r="E16" s="11"/>
    </row>
    <row r="17" spans="1:5" s="10" customFormat="1" ht="18.75" customHeight="1" x14ac:dyDescent="0.15">
      <c r="A17" s="9"/>
      <c r="B17" s="275" t="s">
        <v>172</v>
      </c>
      <c r="C17" s="246"/>
      <c r="D17" s="246"/>
      <c r="E17" s="247"/>
    </row>
    <row r="18" spans="1:5" s="10" customFormat="1" ht="18.75" customHeight="1" x14ac:dyDescent="0.15">
      <c r="A18" s="9"/>
      <c r="B18" s="248"/>
      <c r="C18" s="249"/>
      <c r="D18" s="249"/>
      <c r="E18" s="250"/>
    </row>
    <row r="19" spans="1:5" s="10" customFormat="1" ht="18.75" customHeight="1" x14ac:dyDescent="0.15">
      <c r="A19" s="9"/>
      <c r="B19" s="248"/>
      <c r="C19" s="249"/>
      <c r="D19" s="249"/>
      <c r="E19" s="250"/>
    </row>
    <row r="20" spans="1:5" s="10" customFormat="1" ht="18.75" customHeight="1" x14ac:dyDescent="0.15">
      <c r="A20" s="9"/>
      <c r="B20" s="248"/>
      <c r="C20" s="249"/>
      <c r="D20" s="249"/>
      <c r="E20" s="250"/>
    </row>
    <row r="21" spans="1:5" s="10" customFormat="1" ht="18.75" customHeight="1" x14ac:dyDescent="0.15">
      <c r="A21" s="9"/>
      <c r="B21" s="248"/>
      <c r="C21" s="249"/>
      <c r="D21" s="249"/>
      <c r="E21" s="250"/>
    </row>
    <row r="22" spans="1:5" s="10" customFormat="1" ht="18.75" customHeight="1" x14ac:dyDescent="0.15">
      <c r="A22" s="9"/>
      <c r="B22" s="248"/>
      <c r="C22" s="249"/>
      <c r="D22" s="249"/>
      <c r="E22" s="250"/>
    </row>
    <row r="23" spans="1:5" s="10" customFormat="1" ht="18.75" customHeight="1" x14ac:dyDescent="0.15">
      <c r="A23" s="9"/>
      <c r="B23" s="248"/>
      <c r="C23" s="249"/>
      <c r="D23" s="249"/>
      <c r="E23" s="250"/>
    </row>
    <row r="24" spans="1:5" s="10" customFormat="1" ht="18.75" customHeight="1" x14ac:dyDescent="0.15">
      <c r="A24" s="9"/>
      <c r="B24" s="248"/>
      <c r="C24" s="249"/>
      <c r="D24" s="249"/>
      <c r="E24" s="250"/>
    </row>
    <row r="25" spans="1:5" s="10" customFormat="1" ht="18.75" customHeight="1" x14ac:dyDescent="0.15">
      <c r="A25" s="9"/>
      <c r="B25" s="248"/>
      <c r="C25" s="249"/>
      <c r="D25" s="249"/>
      <c r="E25" s="250"/>
    </row>
    <row r="26" spans="1:5" s="10" customFormat="1" ht="18.75" customHeight="1" x14ac:dyDescent="0.15">
      <c r="A26" s="9"/>
      <c r="B26" s="248"/>
      <c r="C26" s="249"/>
      <c r="D26" s="249"/>
      <c r="E26" s="250"/>
    </row>
    <row r="27" spans="1:5" s="10" customFormat="1" ht="18.75" customHeight="1" x14ac:dyDescent="0.15">
      <c r="A27" s="9"/>
      <c r="B27" s="248"/>
      <c r="C27" s="249"/>
      <c r="D27" s="249"/>
      <c r="E27" s="250"/>
    </row>
    <row r="28" spans="1:5" s="10" customFormat="1" ht="18.75" customHeight="1" x14ac:dyDescent="0.15">
      <c r="A28" s="9"/>
      <c r="B28" s="251"/>
      <c r="C28" s="252"/>
      <c r="D28" s="252"/>
      <c r="E28" s="253"/>
    </row>
    <row r="29" spans="1:5" ht="7.5" customHeight="1" x14ac:dyDescent="0.15">
      <c r="A29" s="8"/>
      <c r="B29" s="8"/>
      <c r="C29" s="8"/>
      <c r="D29" s="8"/>
      <c r="E29" s="8"/>
    </row>
    <row r="30" spans="1:5" s="5" customFormat="1" ht="18.75" customHeight="1" x14ac:dyDescent="0.15">
      <c r="A30" s="15" t="s">
        <v>17</v>
      </c>
      <c r="B30" s="15" t="s">
        <v>30</v>
      </c>
      <c r="C30" s="15"/>
      <c r="D30" s="15"/>
      <c r="E30" s="15"/>
    </row>
    <row r="31" spans="1:5" s="5" customFormat="1" ht="18.75" customHeight="1" x14ac:dyDescent="0.15">
      <c r="A31" s="15"/>
      <c r="B31" s="229" t="s">
        <v>199</v>
      </c>
      <c r="C31" s="230"/>
      <c r="D31" s="230"/>
      <c r="E31" s="231"/>
    </row>
    <row r="32" spans="1:5" s="5" customFormat="1" ht="18.75" customHeight="1" x14ac:dyDescent="0.15">
      <c r="A32" s="15"/>
      <c r="B32" s="232"/>
      <c r="C32" s="233"/>
      <c r="D32" s="233"/>
      <c r="E32" s="234"/>
    </row>
    <row r="33" spans="1:5" s="5" customFormat="1" ht="18.75" customHeight="1" x14ac:dyDescent="0.15">
      <c r="A33" s="15"/>
      <c r="B33" s="232"/>
      <c r="C33" s="233"/>
      <c r="D33" s="233"/>
      <c r="E33" s="234"/>
    </row>
    <row r="34" spans="1:5" s="5" customFormat="1" ht="18.75" customHeight="1" x14ac:dyDescent="0.15">
      <c r="A34" s="15"/>
      <c r="B34" s="232"/>
      <c r="C34" s="233"/>
      <c r="D34" s="233"/>
      <c r="E34" s="234"/>
    </row>
    <row r="35" spans="1:5" s="5" customFormat="1" ht="18.75" customHeight="1" x14ac:dyDescent="0.15">
      <c r="A35" s="15"/>
      <c r="B35" s="232"/>
      <c r="C35" s="233"/>
      <c r="D35" s="233"/>
      <c r="E35" s="234"/>
    </row>
    <row r="36" spans="1:5" s="5" customFormat="1" ht="18.75" customHeight="1" x14ac:dyDescent="0.15">
      <c r="A36" s="15"/>
      <c r="B36" s="232"/>
      <c r="C36" s="233"/>
      <c r="D36" s="233"/>
      <c r="E36" s="234"/>
    </row>
    <row r="37" spans="1:5" s="5" customFormat="1" ht="18.75" customHeight="1" x14ac:dyDescent="0.15">
      <c r="A37" s="15"/>
      <c r="B37" s="232"/>
      <c r="C37" s="233"/>
      <c r="D37" s="233"/>
      <c r="E37" s="234"/>
    </row>
    <row r="38" spans="1:5" s="5" customFormat="1" ht="18.75" customHeight="1" x14ac:dyDescent="0.15">
      <c r="A38" s="15"/>
      <c r="B38" s="232"/>
      <c r="C38" s="233"/>
      <c r="D38" s="233"/>
      <c r="E38" s="234"/>
    </row>
    <row r="39" spans="1:5" s="5" customFormat="1" ht="18.75" customHeight="1" x14ac:dyDescent="0.15">
      <c r="A39" s="15"/>
      <c r="B39" s="232"/>
      <c r="C39" s="233"/>
      <c r="D39" s="233"/>
      <c r="E39" s="234"/>
    </row>
    <row r="40" spans="1:5" s="5" customFormat="1" ht="18.75" customHeight="1" x14ac:dyDescent="0.15">
      <c r="A40" s="15"/>
      <c r="B40" s="232"/>
      <c r="C40" s="233"/>
      <c r="D40" s="233"/>
      <c r="E40" s="234"/>
    </row>
    <row r="41" spans="1:5" s="5" customFormat="1" ht="18.75" customHeight="1" x14ac:dyDescent="0.15">
      <c r="A41" s="15"/>
      <c r="B41" s="232"/>
      <c r="C41" s="233"/>
      <c r="D41" s="233"/>
      <c r="E41" s="234"/>
    </row>
    <row r="42" spans="1:5" s="5" customFormat="1" ht="18.75" customHeight="1" x14ac:dyDescent="0.15">
      <c r="A42" s="15"/>
      <c r="B42" s="232"/>
      <c r="C42" s="233"/>
      <c r="D42" s="233"/>
      <c r="E42" s="234"/>
    </row>
    <row r="43" spans="1:5" s="5" customFormat="1" ht="18.75" customHeight="1" x14ac:dyDescent="0.15">
      <c r="A43" s="15"/>
      <c r="B43" s="232"/>
      <c r="C43" s="233"/>
      <c r="D43" s="233"/>
      <c r="E43" s="234"/>
    </row>
    <row r="44" spans="1:5" s="5" customFormat="1" ht="18.75" customHeight="1" x14ac:dyDescent="0.15">
      <c r="A44" s="15"/>
      <c r="B44" s="232"/>
      <c r="C44" s="233"/>
      <c r="D44" s="233"/>
      <c r="E44" s="234"/>
    </row>
    <row r="45" spans="1:5" ht="18.75" customHeight="1" x14ac:dyDescent="0.15">
      <c r="A45" s="8"/>
      <c r="B45" s="232"/>
      <c r="C45" s="233"/>
      <c r="D45" s="233"/>
      <c r="E45" s="234"/>
    </row>
    <row r="46" spans="1:5" ht="18.75" customHeight="1" x14ac:dyDescent="0.15">
      <c r="A46" s="8"/>
      <c r="B46" s="235"/>
      <c r="C46" s="236"/>
      <c r="D46" s="236"/>
      <c r="E46" s="237"/>
    </row>
    <row r="47" spans="1:5" ht="7.5" customHeight="1" x14ac:dyDescent="0.15">
      <c r="A47" s="8"/>
      <c r="B47" s="125"/>
      <c r="C47" s="125"/>
      <c r="D47" s="125"/>
      <c r="E47" s="125"/>
    </row>
    <row r="48" spans="1:5" s="5" customFormat="1" ht="18.75" customHeight="1" x14ac:dyDescent="0.15">
      <c r="A48" s="7" t="s">
        <v>14</v>
      </c>
      <c r="B48" s="15" t="s">
        <v>152</v>
      </c>
      <c r="C48" s="7"/>
      <c r="D48" s="7"/>
      <c r="E48" s="7"/>
    </row>
    <row r="49" spans="1:5" ht="18.75" customHeight="1" x14ac:dyDescent="0.15">
      <c r="A49" s="8"/>
      <c r="B49" s="245" t="s">
        <v>194</v>
      </c>
      <c r="C49" s="266"/>
      <c r="D49" s="266"/>
      <c r="E49" s="267"/>
    </row>
    <row r="50" spans="1:5" ht="18.75" customHeight="1" x14ac:dyDescent="0.15">
      <c r="A50" s="8"/>
      <c r="B50" s="268"/>
      <c r="C50" s="269"/>
      <c r="D50" s="269"/>
      <c r="E50" s="270"/>
    </row>
    <row r="51" spans="1:5" ht="18.75" customHeight="1" x14ac:dyDescent="0.15">
      <c r="A51" s="8"/>
      <c r="B51" s="268"/>
      <c r="C51" s="269"/>
      <c r="D51" s="269"/>
      <c r="E51" s="270"/>
    </row>
    <row r="52" spans="1:5" ht="18.75" customHeight="1" x14ac:dyDescent="0.15">
      <c r="A52" s="8"/>
      <c r="B52" s="268"/>
      <c r="C52" s="269"/>
      <c r="D52" s="269"/>
      <c r="E52" s="270"/>
    </row>
    <row r="53" spans="1:5" ht="18.75" customHeight="1" x14ac:dyDescent="0.15">
      <c r="A53" s="8"/>
      <c r="B53" s="268"/>
      <c r="C53" s="269"/>
      <c r="D53" s="269"/>
      <c r="E53" s="270"/>
    </row>
    <row r="54" spans="1:5" ht="18.75" customHeight="1" x14ac:dyDescent="0.15">
      <c r="A54" s="8"/>
      <c r="B54" s="268"/>
      <c r="C54" s="269"/>
      <c r="D54" s="269"/>
      <c r="E54" s="270"/>
    </row>
    <row r="55" spans="1:5" ht="18.75" customHeight="1" x14ac:dyDescent="0.15">
      <c r="A55" s="8"/>
      <c r="B55" s="268"/>
      <c r="C55" s="269"/>
      <c r="D55" s="269"/>
      <c r="E55" s="270"/>
    </row>
    <row r="56" spans="1:5" ht="18.75" customHeight="1" x14ac:dyDescent="0.15">
      <c r="A56" s="8"/>
      <c r="B56" s="268"/>
      <c r="C56" s="269"/>
      <c r="D56" s="269"/>
      <c r="E56" s="270"/>
    </row>
    <row r="57" spans="1:5" ht="18.75" customHeight="1" x14ac:dyDescent="0.15">
      <c r="A57" s="8"/>
      <c r="B57" s="268"/>
      <c r="C57" s="269"/>
      <c r="D57" s="269"/>
      <c r="E57" s="270"/>
    </row>
    <row r="58" spans="1:5" ht="18.75" customHeight="1" x14ac:dyDescent="0.15">
      <c r="A58" s="8"/>
      <c r="B58" s="268"/>
      <c r="C58" s="269"/>
      <c r="D58" s="269"/>
      <c r="E58" s="270"/>
    </row>
    <row r="59" spans="1:5" ht="18.75" customHeight="1" x14ac:dyDescent="0.15">
      <c r="A59" s="8"/>
      <c r="B59" s="268"/>
      <c r="C59" s="269"/>
      <c r="D59" s="269"/>
      <c r="E59" s="270"/>
    </row>
    <row r="60" spans="1:5" ht="18.75" customHeight="1" x14ac:dyDescent="0.15">
      <c r="A60" s="8"/>
      <c r="B60" s="268"/>
      <c r="C60" s="269"/>
      <c r="D60" s="269"/>
      <c r="E60" s="270"/>
    </row>
    <row r="61" spans="1:5" ht="18.75" customHeight="1" x14ac:dyDescent="0.15">
      <c r="A61" s="8"/>
      <c r="B61" s="268"/>
      <c r="C61" s="269"/>
      <c r="D61" s="269"/>
      <c r="E61" s="270"/>
    </row>
    <row r="62" spans="1:5" ht="18.75" customHeight="1" x14ac:dyDescent="0.15">
      <c r="A62" s="8"/>
      <c r="B62" s="268"/>
      <c r="C62" s="269"/>
      <c r="D62" s="269"/>
      <c r="E62" s="270"/>
    </row>
    <row r="63" spans="1:5" ht="18.75" customHeight="1" x14ac:dyDescent="0.15">
      <c r="A63" s="8"/>
      <c r="B63" s="268"/>
      <c r="C63" s="269"/>
      <c r="D63" s="269"/>
      <c r="E63" s="270"/>
    </row>
    <row r="64" spans="1:5" ht="18.75" customHeight="1" x14ac:dyDescent="0.15">
      <c r="A64" s="8"/>
      <c r="B64" s="268"/>
      <c r="C64" s="269"/>
      <c r="D64" s="269"/>
      <c r="E64" s="270"/>
    </row>
    <row r="65" spans="1:5" ht="18.75" customHeight="1" x14ac:dyDescent="0.15">
      <c r="A65" s="8"/>
      <c r="B65" s="268"/>
      <c r="C65" s="269"/>
      <c r="D65" s="269"/>
      <c r="E65" s="270"/>
    </row>
    <row r="66" spans="1:5" ht="18.75" customHeight="1" x14ac:dyDescent="0.15">
      <c r="A66" s="8"/>
      <c r="B66" s="268"/>
      <c r="C66" s="269"/>
      <c r="D66" s="269"/>
      <c r="E66" s="270"/>
    </row>
    <row r="67" spans="1:5" ht="18.75" customHeight="1" x14ac:dyDescent="0.15">
      <c r="A67" s="8"/>
      <c r="B67" s="268"/>
      <c r="C67" s="269"/>
      <c r="D67" s="269"/>
      <c r="E67" s="270"/>
    </row>
    <row r="68" spans="1:5" ht="18.75" customHeight="1" x14ac:dyDescent="0.15">
      <c r="A68" s="8"/>
      <c r="B68" s="268"/>
      <c r="C68" s="269"/>
      <c r="D68" s="269"/>
      <c r="E68" s="270"/>
    </row>
    <row r="69" spans="1:5" ht="18.75" customHeight="1" x14ac:dyDescent="0.15">
      <c r="A69" s="8"/>
      <c r="B69" s="271"/>
      <c r="C69" s="272"/>
      <c r="D69" s="272"/>
      <c r="E69" s="273"/>
    </row>
    <row r="70" spans="1:5" ht="7.5" customHeight="1" x14ac:dyDescent="0.15">
      <c r="A70" s="8"/>
      <c r="B70" s="8"/>
      <c r="C70" s="8"/>
      <c r="D70" s="8"/>
      <c r="E70" s="8"/>
    </row>
    <row r="71" spans="1:5" s="5" customFormat="1" ht="18.75" customHeight="1" x14ac:dyDescent="0.15">
      <c r="A71" s="15" t="s">
        <v>18</v>
      </c>
      <c r="B71" s="15" t="s">
        <v>95</v>
      </c>
      <c r="C71" s="15"/>
      <c r="D71" s="15"/>
      <c r="E71" s="15"/>
    </row>
    <row r="72" spans="1:5" s="5" customFormat="1" ht="18.75" customHeight="1" x14ac:dyDescent="0.15">
      <c r="A72" s="15"/>
      <c r="B72" s="245" t="s">
        <v>195</v>
      </c>
      <c r="C72" s="246"/>
      <c r="D72" s="246"/>
      <c r="E72" s="247"/>
    </row>
    <row r="73" spans="1:5" s="5" customFormat="1" ht="18.75" customHeight="1" x14ac:dyDescent="0.15">
      <c r="A73" s="15"/>
      <c r="B73" s="248"/>
      <c r="C73" s="249"/>
      <c r="D73" s="249"/>
      <c r="E73" s="250"/>
    </row>
    <row r="74" spans="1:5" s="5" customFormat="1" ht="18.75" customHeight="1" x14ac:dyDescent="0.15">
      <c r="A74" s="15"/>
      <c r="B74" s="248"/>
      <c r="C74" s="249"/>
      <c r="D74" s="249"/>
      <c r="E74" s="250"/>
    </row>
    <row r="75" spans="1:5" s="5" customFormat="1" ht="18.75" customHeight="1" x14ac:dyDescent="0.15">
      <c r="A75" s="15"/>
      <c r="B75" s="248"/>
      <c r="C75" s="249"/>
      <c r="D75" s="249"/>
      <c r="E75" s="250"/>
    </row>
    <row r="76" spans="1:5" s="5" customFormat="1" ht="18.75" customHeight="1" x14ac:dyDescent="0.15">
      <c r="A76" s="15"/>
      <c r="B76" s="248"/>
      <c r="C76" s="249"/>
      <c r="D76" s="249"/>
      <c r="E76" s="250"/>
    </row>
    <row r="77" spans="1:5" s="5" customFormat="1" ht="18.75" customHeight="1" x14ac:dyDescent="0.15">
      <c r="A77" s="15"/>
      <c r="B77" s="248"/>
      <c r="C77" s="249"/>
      <c r="D77" s="249"/>
      <c r="E77" s="250"/>
    </row>
    <row r="78" spans="1:5" s="5" customFormat="1" ht="18.75" customHeight="1" x14ac:dyDescent="0.15">
      <c r="A78" s="15"/>
      <c r="B78" s="248"/>
      <c r="C78" s="249"/>
      <c r="D78" s="249"/>
      <c r="E78" s="250"/>
    </row>
    <row r="79" spans="1:5" s="5" customFormat="1" ht="18.75" customHeight="1" x14ac:dyDescent="0.15">
      <c r="A79" s="15"/>
      <c r="B79" s="248"/>
      <c r="C79" s="249"/>
      <c r="D79" s="249"/>
      <c r="E79" s="250"/>
    </row>
    <row r="80" spans="1:5" s="5" customFormat="1" ht="18.75" customHeight="1" x14ac:dyDescent="0.15">
      <c r="A80" s="15"/>
      <c r="B80" s="248"/>
      <c r="C80" s="249"/>
      <c r="D80" s="249"/>
      <c r="E80" s="250"/>
    </row>
    <row r="81" spans="1:5" s="5" customFormat="1" ht="18.75" customHeight="1" x14ac:dyDescent="0.15">
      <c r="A81" s="15"/>
      <c r="B81" s="248"/>
      <c r="C81" s="249"/>
      <c r="D81" s="249"/>
      <c r="E81" s="250"/>
    </row>
    <row r="82" spans="1:5" s="5" customFormat="1" ht="18.75" customHeight="1" x14ac:dyDescent="0.15">
      <c r="A82" s="15"/>
      <c r="B82" s="248"/>
      <c r="C82" s="249"/>
      <c r="D82" s="249"/>
      <c r="E82" s="250"/>
    </row>
    <row r="83" spans="1:5" s="5" customFormat="1" ht="18.75" customHeight="1" x14ac:dyDescent="0.15">
      <c r="A83" s="15"/>
      <c r="B83" s="248"/>
      <c r="C83" s="249"/>
      <c r="D83" s="249"/>
      <c r="E83" s="250"/>
    </row>
    <row r="84" spans="1:5" s="5" customFormat="1" ht="18.75" customHeight="1" x14ac:dyDescent="0.15">
      <c r="A84" s="15"/>
      <c r="B84" s="248"/>
      <c r="C84" s="249"/>
      <c r="D84" s="249"/>
      <c r="E84" s="250"/>
    </row>
    <row r="85" spans="1:5" s="5" customFormat="1" ht="18.75" customHeight="1" x14ac:dyDescent="0.15">
      <c r="A85" s="15"/>
      <c r="B85" s="248"/>
      <c r="C85" s="249"/>
      <c r="D85" s="249"/>
      <c r="E85" s="250"/>
    </row>
    <row r="86" spans="1:5" s="5" customFormat="1" ht="18.75" customHeight="1" x14ac:dyDescent="0.15">
      <c r="A86" s="15"/>
      <c r="B86" s="248"/>
      <c r="C86" s="249"/>
      <c r="D86" s="249"/>
      <c r="E86" s="250"/>
    </row>
    <row r="87" spans="1:5" s="5" customFormat="1" ht="18.75" customHeight="1" x14ac:dyDescent="0.15">
      <c r="A87" s="15"/>
      <c r="B87" s="248"/>
      <c r="C87" s="249"/>
      <c r="D87" s="249"/>
      <c r="E87" s="250"/>
    </row>
    <row r="88" spans="1:5" s="5" customFormat="1" ht="18.75" customHeight="1" x14ac:dyDescent="0.15">
      <c r="A88" s="15"/>
      <c r="B88" s="248"/>
      <c r="C88" s="249"/>
      <c r="D88" s="249"/>
      <c r="E88" s="250"/>
    </row>
    <row r="89" spans="1:5" ht="18.75" customHeight="1" x14ac:dyDescent="0.15">
      <c r="A89" s="8"/>
      <c r="B89" s="248"/>
      <c r="C89" s="249"/>
      <c r="D89" s="249"/>
      <c r="E89" s="250"/>
    </row>
    <row r="90" spans="1:5" ht="18.75" customHeight="1" x14ac:dyDescent="0.15">
      <c r="A90" s="8"/>
      <c r="B90" s="251"/>
      <c r="C90" s="252"/>
      <c r="D90" s="252"/>
      <c r="E90" s="253"/>
    </row>
    <row r="91" spans="1:5" ht="7.5" customHeight="1" x14ac:dyDescent="0.15">
      <c r="A91" s="8"/>
      <c r="B91" s="8"/>
      <c r="C91" s="8"/>
      <c r="D91" s="8"/>
      <c r="E91" s="8"/>
    </row>
    <row r="92" spans="1:5" s="5" customFormat="1" ht="18.75" customHeight="1" x14ac:dyDescent="0.15">
      <c r="A92" s="15" t="s">
        <v>15</v>
      </c>
      <c r="B92" s="15" t="s">
        <v>34</v>
      </c>
      <c r="C92" s="15"/>
      <c r="D92" s="15"/>
      <c r="E92" s="15"/>
    </row>
    <row r="93" spans="1:5" s="5" customFormat="1" ht="18.75" customHeight="1" x14ac:dyDescent="0.15">
      <c r="A93" s="15"/>
      <c r="B93" s="245" t="s">
        <v>203</v>
      </c>
      <c r="C93" s="246"/>
      <c r="D93" s="246"/>
      <c r="E93" s="247"/>
    </row>
    <row r="94" spans="1:5" s="5" customFormat="1" ht="18.75" customHeight="1" x14ac:dyDescent="0.15">
      <c r="A94" s="15"/>
      <c r="B94" s="248"/>
      <c r="C94" s="249"/>
      <c r="D94" s="249"/>
      <c r="E94" s="250"/>
    </row>
    <row r="95" spans="1:5" s="5" customFormat="1" ht="18.75" customHeight="1" x14ac:dyDescent="0.15">
      <c r="A95" s="15"/>
      <c r="B95" s="248"/>
      <c r="C95" s="249"/>
      <c r="D95" s="249"/>
      <c r="E95" s="250"/>
    </row>
    <row r="96" spans="1:5" s="5" customFormat="1" ht="18.75" customHeight="1" x14ac:dyDescent="0.15">
      <c r="A96" s="15"/>
      <c r="B96" s="248"/>
      <c r="C96" s="249"/>
      <c r="D96" s="249"/>
      <c r="E96" s="250"/>
    </row>
    <row r="97" spans="1:5" s="5" customFormat="1" ht="18.75" customHeight="1" x14ac:dyDescent="0.15">
      <c r="A97" s="15"/>
      <c r="B97" s="248"/>
      <c r="C97" s="249"/>
      <c r="D97" s="249"/>
      <c r="E97" s="250"/>
    </row>
    <row r="98" spans="1:5" s="5" customFormat="1" ht="18.75" customHeight="1" x14ac:dyDescent="0.15">
      <c r="A98" s="15"/>
      <c r="B98" s="248"/>
      <c r="C98" s="249"/>
      <c r="D98" s="249"/>
      <c r="E98" s="250"/>
    </row>
    <row r="99" spans="1:5" s="5" customFormat="1" ht="18.75" customHeight="1" x14ac:dyDescent="0.15">
      <c r="A99" s="15"/>
      <c r="B99" s="248"/>
      <c r="C99" s="249"/>
      <c r="D99" s="249"/>
      <c r="E99" s="250"/>
    </row>
    <row r="100" spans="1:5" s="5" customFormat="1" ht="18.75" customHeight="1" x14ac:dyDescent="0.15">
      <c r="A100" s="15"/>
      <c r="B100" s="248"/>
      <c r="C100" s="249"/>
      <c r="D100" s="249"/>
      <c r="E100" s="250"/>
    </row>
    <row r="101" spans="1:5" s="5" customFormat="1" ht="18.75" customHeight="1" x14ac:dyDescent="0.15">
      <c r="A101" s="15"/>
      <c r="B101" s="248"/>
      <c r="C101" s="249"/>
      <c r="D101" s="249"/>
      <c r="E101" s="250"/>
    </row>
    <row r="102" spans="1:5" s="5" customFormat="1" ht="18.75" customHeight="1" x14ac:dyDescent="0.15">
      <c r="A102" s="15"/>
      <c r="B102" s="248"/>
      <c r="C102" s="249"/>
      <c r="D102" s="249"/>
      <c r="E102" s="250"/>
    </row>
    <row r="103" spans="1:5" s="5" customFormat="1" ht="18.75" customHeight="1" x14ac:dyDescent="0.15">
      <c r="A103" s="15"/>
      <c r="B103" s="248"/>
      <c r="C103" s="249"/>
      <c r="D103" s="249"/>
      <c r="E103" s="250"/>
    </row>
    <row r="104" spans="1:5" s="5" customFormat="1" ht="18.75" customHeight="1" x14ac:dyDescent="0.15">
      <c r="A104" s="15"/>
      <c r="B104" s="248"/>
      <c r="C104" s="249"/>
      <c r="D104" s="249"/>
      <c r="E104" s="250"/>
    </row>
    <row r="105" spans="1:5" s="5" customFormat="1" ht="18.75" customHeight="1" x14ac:dyDescent="0.15">
      <c r="A105" s="15"/>
      <c r="B105" s="248"/>
      <c r="C105" s="249"/>
      <c r="D105" s="249"/>
      <c r="E105" s="250"/>
    </row>
    <row r="106" spans="1:5" s="5" customFormat="1" ht="18.75" customHeight="1" x14ac:dyDescent="0.15">
      <c r="A106" s="15"/>
      <c r="B106" s="248"/>
      <c r="C106" s="249"/>
      <c r="D106" s="249"/>
      <c r="E106" s="250"/>
    </row>
    <row r="107" spans="1:5" s="5" customFormat="1" ht="18.75" customHeight="1" x14ac:dyDescent="0.15">
      <c r="A107" s="15"/>
      <c r="B107" s="248"/>
      <c r="C107" s="249"/>
      <c r="D107" s="249"/>
      <c r="E107" s="250"/>
    </row>
    <row r="108" spans="1:5" s="5" customFormat="1" ht="18.75" customHeight="1" x14ac:dyDescent="0.15">
      <c r="A108" s="15"/>
      <c r="B108" s="248"/>
      <c r="C108" s="249"/>
      <c r="D108" s="249"/>
      <c r="E108" s="250"/>
    </row>
    <row r="109" spans="1:5" s="5" customFormat="1" ht="18.75" customHeight="1" x14ac:dyDescent="0.15">
      <c r="A109" s="15"/>
      <c r="B109" s="248"/>
      <c r="C109" s="249"/>
      <c r="D109" s="249"/>
      <c r="E109" s="250"/>
    </row>
    <row r="110" spans="1:5" s="5" customFormat="1" ht="18.75" customHeight="1" x14ac:dyDescent="0.15">
      <c r="A110" s="15"/>
      <c r="B110" s="248"/>
      <c r="C110" s="249"/>
      <c r="D110" s="249"/>
      <c r="E110" s="250"/>
    </row>
    <row r="111" spans="1:5" ht="18.75" customHeight="1" x14ac:dyDescent="0.15">
      <c r="A111" s="8"/>
      <c r="B111" s="248"/>
      <c r="C111" s="249"/>
      <c r="D111" s="249"/>
      <c r="E111" s="250"/>
    </row>
    <row r="112" spans="1:5" ht="18.75" customHeight="1" x14ac:dyDescent="0.15">
      <c r="A112" s="8"/>
      <c r="B112" s="251"/>
      <c r="C112" s="252"/>
      <c r="D112" s="252"/>
      <c r="E112" s="253"/>
    </row>
    <row r="113" spans="1:5" ht="7.5" customHeight="1" x14ac:dyDescent="0.15">
      <c r="A113" s="8"/>
      <c r="B113" s="8"/>
      <c r="C113" s="8"/>
      <c r="D113" s="8"/>
      <c r="E113" s="8"/>
    </row>
    <row r="114" spans="1:5" s="5" customFormat="1" ht="18.75" customHeight="1" x14ac:dyDescent="0.15">
      <c r="A114" s="15" t="s">
        <v>62</v>
      </c>
      <c r="B114" s="254" t="s">
        <v>132</v>
      </c>
      <c r="C114" s="254"/>
      <c r="D114" s="254"/>
      <c r="E114" s="254"/>
    </row>
    <row r="115" spans="1:5" ht="18.75" customHeight="1" x14ac:dyDescent="0.15">
      <c r="A115" s="8"/>
      <c r="B115" s="229" t="s">
        <v>200</v>
      </c>
      <c r="C115" s="230"/>
      <c r="D115" s="230"/>
      <c r="E115" s="231"/>
    </row>
    <row r="116" spans="1:5" ht="18.75" customHeight="1" x14ac:dyDescent="0.15">
      <c r="A116" s="8"/>
      <c r="B116" s="232"/>
      <c r="C116" s="255"/>
      <c r="D116" s="255"/>
      <c r="E116" s="234"/>
    </row>
    <row r="117" spans="1:5" ht="18.75" customHeight="1" x14ac:dyDescent="0.15">
      <c r="A117" s="8"/>
      <c r="B117" s="232"/>
      <c r="C117" s="255"/>
      <c r="D117" s="255"/>
      <c r="E117" s="234"/>
    </row>
    <row r="118" spans="1:5" ht="18.75" customHeight="1" x14ac:dyDescent="0.15">
      <c r="A118" s="8"/>
      <c r="B118" s="232"/>
      <c r="C118" s="255"/>
      <c r="D118" s="255"/>
      <c r="E118" s="234"/>
    </row>
    <row r="119" spans="1:5" ht="18.75" customHeight="1" x14ac:dyDescent="0.15">
      <c r="A119" s="8"/>
      <c r="B119" s="232"/>
      <c r="C119" s="255"/>
      <c r="D119" s="255"/>
      <c r="E119" s="234"/>
    </row>
    <row r="120" spans="1:5" ht="18.75" customHeight="1" x14ac:dyDescent="0.15">
      <c r="A120" s="8"/>
      <c r="B120" s="232"/>
      <c r="C120" s="255"/>
      <c r="D120" s="255"/>
      <c r="E120" s="234"/>
    </row>
    <row r="121" spans="1:5" ht="18.75" customHeight="1" x14ac:dyDescent="0.15">
      <c r="A121" s="8"/>
      <c r="B121" s="232"/>
      <c r="C121" s="255"/>
      <c r="D121" s="255"/>
      <c r="E121" s="234"/>
    </row>
    <row r="122" spans="1:5" ht="18.75" customHeight="1" x14ac:dyDescent="0.15">
      <c r="A122" s="8"/>
      <c r="B122" s="232"/>
      <c r="C122" s="255"/>
      <c r="D122" s="255"/>
      <c r="E122" s="234"/>
    </row>
    <row r="123" spans="1:5" ht="18.75" customHeight="1" x14ac:dyDescent="0.15">
      <c r="A123" s="8"/>
      <c r="B123" s="232"/>
      <c r="C123" s="255"/>
      <c r="D123" s="255"/>
      <c r="E123" s="234"/>
    </row>
    <row r="124" spans="1:5" ht="18.75" customHeight="1" x14ac:dyDescent="0.15">
      <c r="A124" s="8"/>
      <c r="B124" s="232"/>
      <c r="C124" s="255"/>
      <c r="D124" s="255"/>
      <c r="E124" s="234"/>
    </row>
    <row r="125" spans="1:5" ht="18.75" customHeight="1" x14ac:dyDescent="0.15">
      <c r="A125" s="8"/>
      <c r="B125" s="232"/>
      <c r="C125" s="255"/>
      <c r="D125" s="255"/>
      <c r="E125" s="234"/>
    </row>
    <row r="126" spans="1:5" ht="18.75" customHeight="1" x14ac:dyDescent="0.15">
      <c r="A126" s="8"/>
      <c r="B126" s="232"/>
      <c r="C126" s="255"/>
      <c r="D126" s="255"/>
      <c r="E126" s="234"/>
    </row>
    <row r="127" spans="1:5" ht="18.75" customHeight="1" x14ac:dyDescent="0.15">
      <c r="A127" s="8"/>
      <c r="B127" s="232"/>
      <c r="C127" s="255"/>
      <c r="D127" s="255"/>
      <c r="E127" s="234"/>
    </row>
    <row r="128" spans="1:5" ht="18.75" customHeight="1" x14ac:dyDescent="0.15">
      <c r="A128" s="8"/>
      <c r="B128" s="232"/>
      <c r="C128" s="255"/>
      <c r="D128" s="255"/>
      <c r="E128" s="234"/>
    </row>
    <row r="129" spans="1:5" ht="18.75" customHeight="1" x14ac:dyDescent="0.15">
      <c r="A129" s="8"/>
      <c r="B129" s="232"/>
      <c r="C129" s="255"/>
      <c r="D129" s="255"/>
      <c r="E129" s="234"/>
    </row>
    <row r="130" spans="1:5" ht="18.75" customHeight="1" x14ac:dyDescent="0.15">
      <c r="A130" s="8"/>
      <c r="B130" s="232"/>
      <c r="C130" s="255"/>
      <c r="D130" s="255"/>
      <c r="E130" s="234"/>
    </row>
    <row r="131" spans="1:5" ht="18.75" customHeight="1" x14ac:dyDescent="0.15">
      <c r="A131" s="8"/>
      <c r="B131" s="232"/>
      <c r="C131" s="255"/>
      <c r="D131" s="255"/>
      <c r="E131" s="234"/>
    </row>
    <row r="132" spans="1:5" ht="18.75" customHeight="1" x14ac:dyDescent="0.15">
      <c r="A132" s="8"/>
      <c r="B132" s="232"/>
      <c r="C132" s="255"/>
      <c r="D132" s="255"/>
      <c r="E132" s="234"/>
    </row>
    <row r="133" spans="1:5" ht="18.75" customHeight="1" x14ac:dyDescent="0.15">
      <c r="A133" s="8"/>
      <c r="B133" s="232"/>
      <c r="C133" s="255"/>
      <c r="D133" s="255"/>
      <c r="E133" s="234"/>
    </row>
    <row r="134" spans="1:5" ht="18.75" customHeight="1" x14ac:dyDescent="0.15">
      <c r="A134" s="8"/>
      <c r="B134" s="235"/>
      <c r="C134" s="236"/>
      <c r="D134" s="236"/>
      <c r="E134" s="237"/>
    </row>
    <row r="135" spans="1:5" ht="7.5" customHeight="1" x14ac:dyDescent="0.15">
      <c r="A135" s="8"/>
      <c r="B135" s="12"/>
      <c r="C135" s="12"/>
      <c r="D135" s="12"/>
      <c r="E135" s="12"/>
    </row>
    <row r="136" spans="1:5" ht="18.75" customHeight="1" x14ac:dyDescent="0.15">
      <c r="A136" s="8"/>
      <c r="B136" s="8"/>
      <c r="C136" s="8"/>
      <c r="D136" s="8"/>
      <c r="E136" s="8"/>
    </row>
    <row r="137" spans="1:5" ht="18.75" customHeight="1" x14ac:dyDescent="0.15">
      <c r="A137" s="8"/>
      <c r="B137" s="8"/>
      <c r="C137" s="8"/>
      <c r="D137" s="8"/>
      <c r="E137" s="8"/>
    </row>
    <row r="138" spans="1:5" ht="18.75" customHeight="1" x14ac:dyDescent="0.15">
      <c r="A138" s="8"/>
      <c r="B138" s="8"/>
      <c r="C138" s="8"/>
      <c r="D138" s="8"/>
      <c r="E138" s="8"/>
    </row>
    <row r="139" spans="1:5" ht="18.75" customHeight="1" x14ac:dyDescent="0.15">
      <c r="A139" s="8"/>
      <c r="B139" s="8"/>
      <c r="C139" s="8"/>
      <c r="D139" s="8"/>
      <c r="E139" s="8"/>
    </row>
    <row r="140" spans="1:5" ht="18.75" customHeight="1" x14ac:dyDescent="0.15">
      <c r="A140" s="8"/>
      <c r="B140" s="8"/>
      <c r="C140" s="8"/>
      <c r="D140" s="8"/>
      <c r="E140" s="8"/>
    </row>
    <row r="141" spans="1:5" ht="18.75" customHeight="1" x14ac:dyDescent="0.15">
      <c r="A141" s="8"/>
      <c r="B141" s="8"/>
      <c r="C141" s="8"/>
      <c r="D141" s="8"/>
      <c r="E141" s="8"/>
    </row>
    <row r="142" spans="1:5" ht="18.75" customHeight="1" x14ac:dyDescent="0.15">
      <c r="A142" s="8"/>
      <c r="B142" s="8"/>
      <c r="C142" s="8"/>
      <c r="D142" s="8"/>
      <c r="E142" s="8"/>
    </row>
    <row r="143" spans="1:5" ht="18.75" customHeight="1" x14ac:dyDescent="0.15">
      <c r="A143" s="8"/>
      <c r="B143" s="8"/>
      <c r="C143" s="8"/>
      <c r="D143" s="8"/>
      <c r="E143" s="8"/>
    </row>
    <row r="144" spans="1:5" ht="18.75" customHeight="1" x14ac:dyDescent="0.15">
      <c r="A144" s="8"/>
      <c r="B144" s="8"/>
      <c r="C144" s="8"/>
      <c r="D144" s="8"/>
      <c r="E144" s="8"/>
    </row>
    <row r="145" spans="1:5" ht="18.75" customHeight="1" x14ac:dyDescent="0.15">
      <c r="A145" s="8"/>
      <c r="B145" s="8"/>
      <c r="C145" s="8"/>
      <c r="D145" s="8"/>
      <c r="E145" s="8"/>
    </row>
    <row r="146" spans="1:5" ht="18.75" customHeight="1" x14ac:dyDescent="0.15">
      <c r="A146" s="8"/>
      <c r="B146" s="8"/>
      <c r="C146" s="8"/>
      <c r="D146" s="8"/>
      <c r="E146" s="8"/>
    </row>
    <row r="147" spans="1:5" ht="18.75" customHeight="1" x14ac:dyDescent="0.15">
      <c r="A147" s="8"/>
      <c r="B147" s="8"/>
      <c r="C147" s="8"/>
      <c r="D147" s="8"/>
      <c r="E147" s="8"/>
    </row>
    <row r="148" spans="1:5" ht="14.25" x14ac:dyDescent="0.15">
      <c r="A148" s="8"/>
      <c r="B148" s="8"/>
      <c r="C148" s="8"/>
      <c r="D148" s="8"/>
      <c r="E148" s="8"/>
    </row>
    <row r="149" spans="1:5" ht="7.5" customHeight="1" x14ac:dyDescent="0.15">
      <c r="A149" s="4"/>
      <c r="B149" s="4"/>
      <c r="C149" s="4"/>
      <c r="D149" s="4"/>
      <c r="E149" s="4"/>
    </row>
  </sheetData>
  <mergeCells count="11">
    <mergeCell ref="B72:E90"/>
    <mergeCell ref="B93:E112"/>
    <mergeCell ref="B114:E114"/>
    <mergeCell ref="B115:E134"/>
    <mergeCell ref="D2:E2"/>
    <mergeCell ref="B4:E4"/>
    <mergeCell ref="B10:E14"/>
    <mergeCell ref="B31:E46"/>
    <mergeCell ref="B49:E69"/>
    <mergeCell ref="B7:E7"/>
    <mergeCell ref="B17:E28"/>
  </mergeCells>
  <phoneticPr fontId="1"/>
  <printOptions horizontalCentered="1"/>
  <pageMargins left="0.78740157480314965" right="0.78740157480314965" top="0.78740157480314965" bottom="0.78740157480314965" header="0.31496062992125984" footer="0.31496062992125984"/>
  <pageSetup paperSize="9" scale="93" orientation="portrait" r:id="rId1"/>
  <rowBreaks count="2" manualBreakCount="2">
    <brk id="46" max="4" man="1"/>
    <brk id="90" max="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Zeros="0" view="pageBreakPreview" topLeftCell="A16" zoomScaleNormal="115" zoomScaleSheetLayoutView="100" workbookViewId="0">
      <selection activeCell="L9" sqref="L9"/>
    </sheetView>
  </sheetViews>
  <sheetFormatPr defaultColWidth="11.375" defaultRowHeight="22.5" customHeight="1" x14ac:dyDescent="0.15"/>
  <cols>
    <col min="1" max="3" width="2.5" style="1" customWidth="1"/>
    <col min="4" max="4" width="22.5" style="1" customWidth="1"/>
    <col min="5" max="5" width="21.25" style="1" customWidth="1"/>
    <col min="6" max="7" width="7.5" style="1" customWidth="1"/>
    <col min="8" max="8" width="32.5" style="1" customWidth="1"/>
    <col min="9" max="9" width="24.875" style="1" customWidth="1"/>
    <col min="10" max="10" width="6.25" style="1" customWidth="1"/>
    <col min="11" max="11" width="4.125" style="1" customWidth="1"/>
    <col min="12" max="16384" width="11.375" style="1"/>
  </cols>
  <sheetData>
    <row r="1" spans="1:10" ht="18.75" customHeight="1" x14ac:dyDescent="0.15">
      <c r="J1" s="56" t="s">
        <v>9</v>
      </c>
    </row>
    <row r="2" spans="1:10" ht="18.75" customHeight="1" x14ac:dyDescent="0.15">
      <c r="D2" s="56"/>
      <c r="H2" s="56" t="s">
        <v>31</v>
      </c>
      <c r="I2" s="256" t="s">
        <v>134</v>
      </c>
      <c r="J2" s="256"/>
    </row>
    <row r="3" spans="1:10" ht="18.75" customHeight="1" x14ac:dyDescent="0.15">
      <c r="A3" s="203" t="s">
        <v>50</v>
      </c>
      <c r="B3" s="203"/>
      <c r="C3" s="203"/>
      <c r="D3" s="203"/>
      <c r="E3" s="203"/>
      <c r="F3" s="203"/>
      <c r="G3" s="203"/>
      <c r="H3" s="203"/>
      <c r="I3" s="203"/>
      <c r="J3" s="203"/>
    </row>
    <row r="4" spans="1:10" ht="7.5" customHeight="1" x14ac:dyDescent="0.15">
      <c r="B4" s="59"/>
      <c r="C4" s="59"/>
      <c r="D4" s="297"/>
      <c r="E4" s="298"/>
      <c r="F4" s="298"/>
      <c r="G4" s="298"/>
      <c r="H4" s="298"/>
      <c r="I4" s="298"/>
      <c r="J4" s="298"/>
    </row>
    <row r="5" spans="1:10" ht="18.75" customHeight="1" x14ac:dyDescent="0.15">
      <c r="A5" s="1" t="s">
        <v>7</v>
      </c>
      <c r="B5" s="5" t="s">
        <v>48</v>
      </c>
      <c r="C5" s="59"/>
      <c r="D5" s="59"/>
      <c r="E5" s="60"/>
      <c r="F5" s="64"/>
      <c r="G5" s="67"/>
      <c r="H5" s="64"/>
      <c r="I5" s="60"/>
      <c r="J5" s="60"/>
    </row>
    <row r="6" spans="1:10" ht="18.75" customHeight="1" x14ac:dyDescent="0.15">
      <c r="B6" s="207" t="s">
        <v>45</v>
      </c>
      <c r="C6" s="208"/>
      <c r="D6" s="209"/>
      <c r="E6" s="299" t="s">
        <v>47</v>
      </c>
      <c r="F6" s="299"/>
      <c r="G6" s="299"/>
      <c r="H6" s="299"/>
      <c r="I6" s="299"/>
      <c r="J6" s="300"/>
    </row>
    <row r="7" spans="1:10" ht="18.75" customHeight="1" x14ac:dyDescent="0.15">
      <c r="B7" s="6" t="s">
        <v>35</v>
      </c>
      <c r="C7" s="8"/>
      <c r="D7" s="19"/>
      <c r="E7" s="3"/>
      <c r="F7" s="3"/>
      <c r="G7" s="3"/>
      <c r="H7" s="3"/>
      <c r="I7" s="16"/>
      <c r="J7" s="17"/>
    </row>
    <row r="8" spans="1:10" ht="202.5" customHeight="1" x14ac:dyDescent="0.15">
      <c r="B8" s="18"/>
      <c r="C8" s="281" t="s">
        <v>36</v>
      </c>
      <c r="D8" s="282"/>
      <c r="E8" s="296" t="s">
        <v>201</v>
      </c>
      <c r="F8" s="291"/>
      <c r="G8" s="291"/>
      <c r="H8" s="291"/>
      <c r="I8" s="291"/>
      <c r="J8" s="292"/>
    </row>
    <row r="9" spans="1:10" ht="202.5" customHeight="1" x14ac:dyDescent="0.15">
      <c r="B9" s="18"/>
      <c r="C9" s="279" t="s">
        <v>37</v>
      </c>
      <c r="D9" s="280"/>
      <c r="E9" s="301" t="s">
        <v>177</v>
      </c>
      <c r="F9" s="283"/>
      <c r="G9" s="283"/>
      <c r="H9" s="283"/>
      <c r="I9" s="283"/>
      <c r="J9" s="284"/>
    </row>
    <row r="10" spans="1:10" ht="172.5" customHeight="1" x14ac:dyDescent="0.15">
      <c r="B10" s="18"/>
      <c r="C10" s="281" t="s">
        <v>38</v>
      </c>
      <c r="D10" s="282"/>
      <c r="E10" s="301" t="s">
        <v>158</v>
      </c>
      <c r="F10" s="283"/>
      <c r="G10" s="283"/>
      <c r="H10" s="283"/>
      <c r="I10" s="283"/>
      <c r="J10" s="284"/>
    </row>
    <row r="11" spans="1:10" ht="172.5" customHeight="1" x14ac:dyDescent="0.15">
      <c r="B11" s="18"/>
      <c r="C11" s="281" t="s">
        <v>39</v>
      </c>
      <c r="D11" s="282"/>
      <c r="E11" s="301" t="s">
        <v>197</v>
      </c>
      <c r="F11" s="283"/>
      <c r="G11" s="283"/>
      <c r="H11" s="283"/>
      <c r="I11" s="283"/>
      <c r="J11" s="284"/>
    </row>
    <row r="12" spans="1:10" ht="172.5" customHeight="1" x14ac:dyDescent="0.15">
      <c r="B12" s="18"/>
      <c r="C12" s="281" t="s">
        <v>40</v>
      </c>
      <c r="D12" s="282"/>
      <c r="E12" s="296" t="s">
        <v>196</v>
      </c>
      <c r="F12" s="291"/>
      <c r="G12" s="291"/>
      <c r="H12" s="291"/>
      <c r="I12" s="291"/>
      <c r="J12" s="292"/>
    </row>
    <row r="13" spans="1:10" ht="18.75" customHeight="1" x14ac:dyDescent="0.15">
      <c r="B13" s="21" t="s">
        <v>41</v>
      </c>
      <c r="C13" s="61"/>
      <c r="D13" s="20"/>
      <c r="E13" s="86"/>
      <c r="F13" s="86"/>
      <c r="G13" s="86"/>
      <c r="H13" s="86"/>
      <c r="I13" s="86"/>
      <c r="J13" s="87"/>
    </row>
    <row r="14" spans="1:10" ht="255" customHeight="1" x14ac:dyDescent="0.15">
      <c r="B14" s="18"/>
      <c r="C14" s="281" t="s">
        <v>42</v>
      </c>
      <c r="D14" s="282"/>
      <c r="E14" s="283" t="s">
        <v>159</v>
      </c>
      <c r="F14" s="283"/>
      <c r="G14" s="283"/>
      <c r="H14" s="283"/>
      <c r="I14" s="283"/>
      <c r="J14" s="284"/>
    </row>
    <row r="15" spans="1:10" ht="255" customHeight="1" x14ac:dyDescent="0.15">
      <c r="B15" s="18"/>
      <c r="C15" s="285" t="s">
        <v>43</v>
      </c>
      <c r="D15" s="286"/>
      <c r="E15" s="287" t="s">
        <v>153</v>
      </c>
      <c r="F15" s="287"/>
      <c r="G15" s="287"/>
      <c r="H15" s="287"/>
      <c r="I15" s="287"/>
      <c r="J15" s="288"/>
    </row>
    <row r="16" spans="1:10" ht="232.5" customHeight="1" x14ac:dyDescent="0.15">
      <c r="B16" s="289" t="s">
        <v>44</v>
      </c>
      <c r="C16" s="290"/>
      <c r="D16" s="282"/>
      <c r="E16" s="291" t="s">
        <v>145</v>
      </c>
      <c r="F16" s="291"/>
      <c r="G16" s="291"/>
      <c r="H16" s="291"/>
      <c r="I16" s="291"/>
      <c r="J16" s="292"/>
    </row>
    <row r="17" spans="1:10" ht="232.5" customHeight="1" x14ac:dyDescent="0.15">
      <c r="A17" s="85"/>
      <c r="B17" s="276" t="s">
        <v>86</v>
      </c>
      <c r="C17" s="277"/>
      <c r="D17" s="278"/>
      <c r="E17" s="272" t="s">
        <v>174</v>
      </c>
      <c r="F17" s="272"/>
      <c r="G17" s="272"/>
      <c r="H17" s="272"/>
      <c r="I17" s="272"/>
      <c r="J17" s="273"/>
    </row>
    <row r="18" spans="1:10" ht="7.5" customHeight="1" x14ac:dyDescent="0.15">
      <c r="B18" s="59"/>
      <c r="C18" s="59"/>
      <c r="D18" s="59"/>
      <c r="E18" s="60"/>
      <c r="F18" s="64"/>
      <c r="G18" s="67"/>
      <c r="H18" s="64"/>
      <c r="I18" s="60"/>
      <c r="J18" s="60"/>
    </row>
    <row r="19" spans="1:10" ht="18.75" customHeight="1" x14ac:dyDescent="0.15">
      <c r="B19" s="5"/>
      <c r="C19" s="83"/>
      <c r="D19" s="83"/>
      <c r="E19" s="84"/>
      <c r="F19" s="68"/>
      <c r="G19" s="68"/>
      <c r="H19" s="94" t="s">
        <v>114</v>
      </c>
      <c r="I19" s="89"/>
      <c r="J19" s="90"/>
    </row>
    <row r="20" spans="1:10" ht="18.75" customHeight="1" x14ac:dyDescent="0.15">
      <c r="A20" s="3" t="s">
        <v>12</v>
      </c>
      <c r="B20" s="91" t="s">
        <v>49</v>
      </c>
      <c r="C20" s="92"/>
      <c r="D20" s="92"/>
      <c r="E20" s="93"/>
      <c r="F20" s="130" t="s">
        <v>184</v>
      </c>
      <c r="G20" s="68"/>
      <c r="H20" s="293" t="s">
        <v>185</v>
      </c>
      <c r="I20" s="294"/>
      <c r="J20" s="295"/>
    </row>
    <row r="21" spans="1:10" ht="22.5" customHeight="1" x14ac:dyDescent="0.15">
      <c r="B21" s="59"/>
      <c r="C21" s="59"/>
      <c r="D21" s="59"/>
      <c r="E21" s="60"/>
      <c r="F21" s="64"/>
      <c r="G21" s="67"/>
      <c r="H21" s="64"/>
      <c r="I21" s="60"/>
      <c r="J21" s="60"/>
    </row>
    <row r="22" spans="1:10" ht="22.5" customHeight="1" x14ac:dyDescent="0.15">
      <c r="B22" s="59"/>
      <c r="C22" s="59"/>
      <c r="D22" s="59"/>
      <c r="E22" s="60"/>
      <c r="F22" s="64"/>
      <c r="G22" s="67"/>
      <c r="H22" s="64"/>
      <c r="I22" s="60"/>
      <c r="J22" s="60"/>
    </row>
    <row r="23" spans="1:10" ht="22.5" customHeight="1" x14ac:dyDescent="0.15">
      <c r="B23" s="59"/>
      <c r="C23" s="59"/>
      <c r="D23" s="59"/>
      <c r="E23" s="60"/>
      <c r="F23" s="64"/>
      <c r="G23" s="67"/>
      <c r="H23" s="64"/>
      <c r="I23" s="60"/>
      <c r="J23" s="60"/>
    </row>
    <row r="24" spans="1:10" ht="22.5" customHeight="1" x14ac:dyDescent="0.15">
      <c r="B24" s="59"/>
      <c r="C24" s="59"/>
      <c r="D24" s="59"/>
      <c r="E24" s="60"/>
      <c r="F24" s="64"/>
      <c r="G24" s="67"/>
      <c r="H24" s="64"/>
      <c r="I24" s="60"/>
      <c r="J24" s="60"/>
    </row>
    <row r="25" spans="1:10" ht="22.5" customHeight="1" x14ac:dyDescent="0.15">
      <c r="B25" s="59"/>
      <c r="C25" s="59"/>
      <c r="D25" s="59"/>
      <c r="E25" s="60"/>
      <c r="F25" s="64"/>
      <c r="G25" s="67"/>
      <c r="H25" s="64"/>
      <c r="I25" s="60"/>
      <c r="J25" s="60"/>
    </row>
    <row r="26" spans="1:10" ht="22.5" customHeight="1" x14ac:dyDescent="0.15">
      <c r="B26" s="14"/>
      <c r="C26" s="14"/>
      <c r="D26" s="14"/>
      <c r="E26" s="14"/>
      <c r="F26" s="14"/>
      <c r="G26" s="14"/>
      <c r="H26" s="14"/>
      <c r="I26" s="14"/>
      <c r="J26" s="14"/>
    </row>
    <row r="27" spans="1:10" ht="22.5" customHeight="1" x14ac:dyDescent="0.15">
      <c r="B27" s="14"/>
      <c r="C27" s="14"/>
      <c r="D27" s="14"/>
      <c r="E27" s="14"/>
      <c r="F27" s="14"/>
      <c r="G27" s="14"/>
      <c r="H27" s="14"/>
      <c r="I27" s="14"/>
      <c r="J27" s="14"/>
    </row>
    <row r="28" spans="1:10" ht="22.5" customHeight="1" x14ac:dyDescent="0.15">
      <c r="B28" s="14"/>
      <c r="C28" s="14"/>
      <c r="D28" s="14"/>
      <c r="E28" s="14"/>
      <c r="F28" s="14"/>
      <c r="G28" s="14"/>
      <c r="H28" s="14"/>
      <c r="I28" s="14"/>
      <c r="J28" s="14"/>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1"/>
  <dataValidations count="2">
    <dataValidation type="list" allowBlank="1" showInputMessage="1" showErrorMessage="1" sqref="F19:G19">
      <formula1>#REF!</formula1>
    </dataValidation>
    <dataValidation type="list" allowBlank="1" showInputMessage="1" showErrorMessage="1" sqref="F20">
      <formula1>"有,無,予定"</formula1>
    </dataValidation>
  </dataValidations>
  <hyperlinks>
    <hyperlink ref="H20"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0"/>
  <sheetViews>
    <sheetView showZeros="0" view="pageBreakPreview" topLeftCell="A70" zoomScaleNormal="100" zoomScaleSheetLayoutView="100" workbookViewId="0">
      <selection activeCell="L19" sqref="L19"/>
    </sheetView>
  </sheetViews>
  <sheetFormatPr defaultColWidth="11.375" defaultRowHeight="18.75" customHeight="1" x14ac:dyDescent="0.15"/>
  <cols>
    <col min="1" max="1" width="2.5" style="1" customWidth="1"/>
    <col min="2" max="2" width="15" style="1" customWidth="1"/>
    <col min="3" max="3" width="37.5" style="1" customWidth="1"/>
    <col min="4" max="4" width="1.25" style="1" customWidth="1"/>
    <col min="5" max="5" width="21.125" style="1" customWidth="1"/>
    <col min="6" max="6" width="8.75" style="1" customWidth="1"/>
    <col min="7" max="7" width="2.25" style="1" customWidth="1"/>
    <col min="8" max="8" width="2.125" style="1" customWidth="1"/>
    <col min="9" max="16384" width="11.375" style="1"/>
  </cols>
  <sheetData>
    <row r="1" spans="1:6" ht="18.75" customHeight="1" x14ac:dyDescent="0.15">
      <c r="E1" s="193" t="s">
        <v>16</v>
      </c>
      <c r="F1" s="193"/>
    </row>
    <row r="2" spans="1:6" ht="18.75" customHeight="1" x14ac:dyDescent="0.15">
      <c r="C2" s="23" t="s">
        <v>87</v>
      </c>
      <c r="D2" s="23" t="s">
        <v>8</v>
      </c>
      <c r="E2" s="225" t="s">
        <v>134</v>
      </c>
      <c r="F2" s="225"/>
    </row>
    <row r="3" spans="1:6" ht="7.5" customHeight="1" x14ac:dyDescent="0.15">
      <c r="C3" s="23"/>
      <c r="D3" s="23"/>
      <c r="E3" s="22"/>
      <c r="F3" s="22"/>
    </row>
    <row r="4" spans="1:6" ht="18.75" customHeight="1" x14ac:dyDescent="0.15">
      <c r="A4" s="203" t="s">
        <v>124</v>
      </c>
      <c r="B4" s="203"/>
      <c r="C4" s="203"/>
      <c r="D4" s="203"/>
      <c r="E4" s="203"/>
      <c r="F4" s="203"/>
    </row>
    <row r="5" spans="1:6" ht="7.5" customHeight="1" x14ac:dyDescent="0.15">
      <c r="A5" s="24"/>
      <c r="B5" s="24"/>
      <c r="C5" s="24"/>
      <c r="D5" s="24"/>
      <c r="E5" s="24"/>
      <c r="F5" s="24"/>
    </row>
    <row r="6" spans="1:6" ht="18.75" customHeight="1" x14ac:dyDescent="0.15">
      <c r="A6" s="24" t="s">
        <v>7</v>
      </c>
      <c r="B6" s="5" t="s">
        <v>33</v>
      </c>
      <c r="C6" s="24"/>
      <c r="D6" s="24"/>
      <c r="E6" s="24"/>
      <c r="F6" s="24"/>
    </row>
    <row r="7" spans="1:6" ht="18.75" customHeight="1" x14ac:dyDescent="0.15">
      <c r="A7" s="124"/>
      <c r="B7" s="302" t="s">
        <v>202</v>
      </c>
      <c r="C7" s="230"/>
      <c r="D7" s="230"/>
      <c r="E7" s="230"/>
      <c r="F7" s="231"/>
    </row>
    <row r="8" spans="1:6" ht="18.75" customHeight="1" x14ac:dyDescent="0.15">
      <c r="A8" s="124"/>
      <c r="B8" s="232"/>
      <c r="C8" s="233"/>
      <c r="D8" s="233"/>
      <c r="E8" s="233"/>
      <c r="F8" s="234"/>
    </row>
    <row r="9" spans="1:6" ht="18.75" customHeight="1" x14ac:dyDescent="0.15">
      <c r="A9" s="124"/>
      <c r="B9" s="232"/>
      <c r="C9" s="233"/>
      <c r="D9" s="233"/>
      <c r="E9" s="233"/>
      <c r="F9" s="234"/>
    </row>
    <row r="10" spans="1:6" ht="18.75" customHeight="1" x14ac:dyDescent="0.15">
      <c r="A10" s="124"/>
      <c r="B10" s="232"/>
      <c r="C10" s="233"/>
      <c r="D10" s="233"/>
      <c r="E10" s="233"/>
      <c r="F10" s="234"/>
    </row>
    <row r="11" spans="1:6" ht="18.75" customHeight="1" x14ac:dyDescent="0.15">
      <c r="A11" s="124"/>
      <c r="B11" s="232"/>
      <c r="C11" s="233"/>
      <c r="D11" s="233"/>
      <c r="E11" s="233"/>
      <c r="F11" s="234"/>
    </row>
    <row r="12" spans="1:6" ht="18.75" customHeight="1" x14ac:dyDescent="0.15">
      <c r="A12" s="124"/>
      <c r="B12" s="232"/>
      <c r="C12" s="233"/>
      <c r="D12" s="233"/>
      <c r="E12" s="233"/>
      <c r="F12" s="234"/>
    </row>
    <row r="13" spans="1:6" ht="18.75" customHeight="1" x14ac:dyDescent="0.15">
      <c r="A13" s="124"/>
      <c r="B13" s="232"/>
      <c r="C13" s="233"/>
      <c r="D13" s="233"/>
      <c r="E13" s="233"/>
      <c r="F13" s="234"/>
    </row>
    <row r="14" spans="1:6" ht="18.75" customHeight="1" x14ac:dyDescent="0.15">
      <c r="A14" s="124"/>
      <c r="B14" s="232"/>
      <c r="C14" s="233"/>
      <c r="D14" s="233"/>
      <c r="E14" s="233"/>
      <c r="F14" s="234"/>
    </row>
    <row r="15" spans="1:6" ht="18.75" customHeight="1" x14ac:dyDescent="0.15">
      <c r="A15" s="124"/>
      <c r="B15" s="232"/>
      <c r="C15" s="233"/>
      <c r="D15" s="233"/>
      <c r="E15" s="233"/>
      <c r="F15" s="234"/>
    </row>
    <row r="16" spans="1:6" ht="18.75" customHeight="1" x14ac:dyDescent="0.15">
      <c r="A16" s="124"/>
      <c r="B16" s="232"/>
      <c r="C16" s="233"/>
      <c r="D16" s="233"/>
      <c r="E16" s="233"/>
      <c r="F16" s="234"/>
    </row>
    <row r="17" spans="1:6" ht="18.75" customHeight="1" x14ac:dyDescent="0.15">
      <c r="A17" s="124"/>
      <c r="B17" s="232"/>
      <c r="C17" s="233"/>
      <c r="D17" s="233"/>
      <c r="E17" s="233"/>
      <c r="F17" s="234"/>
    </row>
    <row r="18" spans="1:6" ht="18.75" customHeight="1" x14ac:dyDescent="0.15">
      <c r="A18" s="124"/>
      <c r="B18" s="232"/>
      <c r="C18" s="233"/>
      <c r="D18" s="233"/>
      <c r="E18" s="233"/>
      <c r="F18" s="234"/>
    </row>
    <row r="19" spans="1:6" ht="18.75" customHeight="1" x14ac:dyDescent="0.15">
      <c r="A19" s="124"/>
      <c r="B19" s="232"/>
      <c r="C19" s="233"/>
      <c r="D19" s="233"/>
      <c r="E19" s="233"/>
      <c r="F19" s="234"/>
    </row>
    <row r="20" spans="1:6" ht="18.75" customHeight="1" x14ac:dyDescent="0.15">
      <c r="A20" s="124"/>
      <c r="B20" s="232"/>
      <c r="C20" s="233"/>
      <c r="D20" s="233"/>
      <c r="E20" s="233"/>
      <c r="F20" s="234"/>
    </row>
    <row r="21" spans="1:6" ht="18.75" customHeight="1" x14ac:dyDescent="0.15">
      <c r="A21" s="124"/>
      <c r="B21" s="232"/>
      <c r="C21" s="233"/>
      <c r="D21" s="233"/>
      <c r="E21" s="233"/>
      <c r="F21" s="234"/>
    </row>
    <row r="22" spans="1:6" ht="18.75" customHeight="1" x14ac:dyDescent="0.15">
      <c r="A22" s="58"/>
      <c r="B22" s="232"/>
      <c r="C22" s="233"/>
      <c r="D22" s="233"/>
      <c r="E22" s="233"/>
      <c r="F22" s="234"/>
    </row>
    <row r="23" spans="1:6" ht="18.75" customHeight="1" x14ac:dyDescent="0.15">
      <c r="A23" s="58"/>
      <c r="B23" s="232"/>
      <c r="C23" s="233"/>
      <c r="D23" s="233"/>
      <c r="E23" s="233"/>
      <c r="F23" s="234"/>
    </row>
    <row r="24" spans="1:6" ht="18.75" customHeight="1" x14ac:dyDescent="0.15">
      <c r="A24" s="58"/>
      <c r="B24" s="232"/>
      <c r="C24" s="233"/>
      <c r="D24" s="233"/>
      <c r="E24" s="233"/>
      <c r="F24" s="234"/>
    </row>
    <row r="25" spans="1:6" ht="18.75" customHeight="1" x14ac:dyDescent="0.15">
      <c r="A25" s="58"/>
      <c r="B25" s="232"/>
      <c r="C25" s="233"/>
      <c r="D25" s="233"/>
      <c r="E25" s="233"/>
      <c r="F25" s="234"/>
    </row>
    <row r="26" spans="1:6" ht="18.75" customHeight="1" x14ac:dyDescent="0.15">
      <c r="A26" s="58"/>
      <c r="B26" s="232"/>
      <c r="C26" s="233"/>
      <c r="D26" s="233"/>
      <c r="E26" s="233"/>
      <c r="F26" s="234"/>
    </row>
    <row r="27" spans="1:6" ht="18.75" customHeight="1" x14ac:dyDescent="0.15">
      <c r="A27" s="58"/>
      <c r="B27" s="232"/>
      <c r="C27" s="233"/>
      <c r="D27" s="233"/>
      <c r="E27" s="233"/>
      <c r="F27" s="234"/>
    </row>
    <row r="28" spans="1:6" ht="18.75" customHeight="1" x14ac:dyDescent="0.15">
      <c r="A28" s="24"/>
      <c r="B28" s="232"/>
      <c r="C28" s="233"/>
      <c r="D28" s="233"/>
      <c r="E28" s="233"/>
      <c r="F28" s="234"/>
    </row>
    <row r="29" spans="1:6" ht="18.75" customHeight="1" x14ac:dyDescent="0.15">
      <c r="A29" s="24"/>
      <c r="B29" s="232"/>
      <c r="C29" s="233"/>
      <c r="D29" s="233"/>
      <c r="E29" s="233"/>
      <c r="F29" s="234"/>
    </row>
    <row r="30" spans="1:6" ht="18.75" customHeight="1" x14ac:dyDescent="0.15">
      <c r="A30" s="24"/>
      <c r="B30" s="232"/>
      <c r="C30" s="233"/>
      <c r="D30" s="233"/>
      <c r="E30" s="233"/>
      <c r="F30" s="234"/>
    </row>
    <row r="31" spans="1:6" ht="18.75" customHeight="1" x14ac:dyDescent="0.15">
      <c r="A31" s="24"/>
      <c r="B31" s="232"/>
      <c r="C31" s="233"/>
      <c r="D31" s="233"/>
      <c r="E31" s="233"/>
      <c r="F31" s="234"/>
    </row>
    <row r="32" spans="1:6" ht="18.75" customHeight="1" x14ac:dyDescent="0.15">
      <c r="A32" s="24"/>
      <c r="B32" s="232"/>
      <c r="C32" s="233"/>
      <c r="D32" s="233"/>
      <c r="E32" s="233"/>
      <c r="F32" s="234"/>
    </row>
    <row r="33" spans="1:6" ht="18.75" customHeight="1" x14ac:dyDescent="0.15">
      <c r="A33" s="24"/>
      <c r="B33" s="232"/>
      <c r="C33" s="233"/>
      <c r="D33" s="233"/>
      <c r="E33" s="233"/>
      <c r="F33" s="234"/>
    </row>
    <row r="34" spans="1:6" ht="18.75" customHeight="1" x14ac:dyDescent="0.15">
      <c r="A34" s="24"/>
      <c r="B34" s="232"/>
      <c r="C34" s="233"/>
      <c r="D34" s="233"/>
      <c r="E34" s="233"/>
      <c r="F34" s="234"/>
    </row>
    <row r="35" spans="1:6" ht="18.75" customHeight="1" x14ac:dyDescent="0.15">
      <c r="A35" s="24"/>
      <c r="B35" s="232"/>
      <c r="C35" s="233"/>
      <c r="D35" s="233"/>
      <c r="E35" s="233"/>
      <c r="F35" s="234"/>
    </row>
    <row r="36" spans="1:6" ht="18.75" customHeight="1" x14ac:dyDescent="0.15">
      <c r="A36" s="24"/>
      <c r="B36" s="232"/>
      <c r="C36" s="233"/>
      <c r="D36" s="233"/>
      <c r="E36" s="233"/>
      <c r="F36" s="234"/>
    </row>
    <row r="37" spans="1:6" ht="18.75" customHeight="1" x14ac:dyDescent="0.15">
      <c r="A37" s="24"/>
      <c r="B37" s="232"/>
      <c r="C37" s="233"/>
      <c r="D37" s="233"/>
      <c r="E37" s="233"/>
      <c r="F37" s="234"/>
    </row>
    <row r="38" spans="1:6" ht="18.75" customHeight="1" x14ac:dyDescent="0.15">
      <c r="A38" s="24"/>
      <c r="B38" s="232"/>
      <c r="C38" s="233"/>
      <c r="D38" s="233"/>
      <c r="E38" s="233"/>
      <c r="F38" s="234"/>
    </row>
    <row r="39" spans="1:6" ht="18.75" customHeight="1" x14ac:dyDescent="0.15">
      <c r="A39" s="24"/>
      <c r="B39" s="232"/>
      <c r="C39" s="233"/>
      <c r="D39" s="233"/>
      <c r="E39" s="233"/>
      <c r="F39" s="234"/>
    </row>
    <row r="40" spans="1:6" ht="18.75" customHeight="1" x14ac:dyDescent="0.15">
      <c r="A40" s="24"/>
      <c r="B40" s="232"/>
      <c r="C40" s="233"/>
      <c r="D40" s="233"/>
      <c r="E40" s="233"/>
      <c r="F40" s="234"/>
    </row>
    <row r="41" spans="1:6" ht="18.75" customHeight="1" x14ac:dyDescent="0.15">
      <c r="A41" s="24"/>
      <c r="B41" s="232"/>
      <c r="C41" s="233"/>
      <c r="D41" s="233"/>
      <c r="E41" s="233"/>
      <c r="F41" s="234"/>
    </row>
    <row r="42" spans="1:6" ht="18.75" customHeight="1" x14ac:dyDescent="0.15">
      <c r="A42" s="24"/>
      <c r="B42" s="232"/>
      <c r="C42" s="233"/>
      <c r="D42" s="233"/>
      <c r="E42" s="233"/>
      <c r="F42" s="234"/>
    </row>
    <row r="43" spans="1:6" ht="18.75" customHeight="1" x14ac:dyDescent="0.15">
      <c r="A43" s="24"/>
      <c r="B43" s="232"/>
      <c r="C43" s="233"/>
      <c r="D43" s="233"/>
      <c r="E43" s="233"/>
      <c r="F43" s="234"/>
    </row>
    <row r="44" spans="1:6" ht="18.75" customHeight="1" x14ac:dyDescent="0.15">
      <c r="A44" s="24"/>
      <c r="B44" s="235"/>
      <c r="C44" s="236"/>
      <c r="D44" s="236"/>
      <c r="E44" s="236"/>
      <c r="F44" s="237"/>
    </row>
    <row r="45" spans="1:6" ht="18.75" customHeight="1" x14ac:dyDescent="0.15">
      <c r="A45" s="24" t="s">
        <v>12</v>
      </c>
      <c r="B45" s="5" t="s">
        <v>151</v>
      </c>
      <c r="C45" s="24"/>
      <c r="D45" s="24"/>
      <c r="E45" s="24"/>
      <c r="F45" s="24"/>
    </row>
    <row r="46" spans="1:6" ht="18.75" customHeight="1" x14ac:dyDescent="0.15">
      <c r="A46" s="124"/>
      <c r="B46" s="302" t="s">
        <v>198</v>
      </c>
      <c r="C46" s="311"/>
      <c r="D46" s="311"/>
      <c r="E46" s="311"/>
      <c r="F46" s="312"/>
    </row>
    <row r="47" spans="1:6" ht="18.75" customHeight="1" x14ac:dyDescent="0.15">
      <c r="A47" s="124"/>
      <c r="B47" s="313"/>
      <c r="C47" s="314"/>
      <c r="D47" s="314"/>
      <c r="E47" s="314"/>
      <c r="F47" s="315"/>
    </row>
    <row r="48" spans="1:6" ht="18.75" customHeight="1" x14ac:dyDescent="0.15">
      <c r="A48" s="124"/>
      <c r="B48" s="313"/>
      <c r="C48" s="314"/>
      <c r="D48" s="314"/>
      <c r="E48" s="314"/>
      <c r="F48" s="315"/>
    </row>
    <row r="49" spans="1:6" ht="18.75" customHeight="1" x14ac:dyDescent="0.15">
      <c r="A49" s="124"/>
      <c r="B49" s="313"/>
      <c r="C49" s="314"/>
      <c r="D49" s="314"/>
      <c r="E49" s="314"/>
      <c r="F49" s="315"/>
    </row>
    <row r="50" spans="1:6" ht="18.75" customHeight="1" x14ac:dyDescent="0.15">
      <c r="A50" s="124"/>
      <c r="B50" s="313"/>
      <c r="C50" s="314"/>
      <c r="D50" s="314"/>
      <c r="E50" s="314"/>
      <c r="F50" s="315"/>
    </row>
    <row r="51" spans="1:6" ht="18.75" customHeight="1" x14ac:dyDescent="0.15">
      <c r="A51" s="124"/>
      <c r="B51" s="313"/>
      <c r="C51" s="314"/>
      <c r="D51" s="314"/>
      <c r="E51" s="314"/>
      <c r="F51" s="315"/>
    </row>
    <row r="52" spans="1:6" ht="18.75" customHeight="1" x14ac:dyDescent="0.15">
      <c r="A52" s="124"/>
      <c r="B52" s="313"/>
      <c r="C52" s="314"/>
      <c r="D52" s="314"/>
      <c r="E52" s="314"/>
      <c r="F52" s="315"/>
    </row>
    <row r="53" spans="1:6" ht="18.75" customHeight="1" x14ac:dyDescent="0.15">
      <c r="A53" s="124"/>
      <c r="B53" s="313"/>
      <c r="C53" s="314"/>
      <c r="D53" s="314"/>
      <c r="E53" s="314"/>
      <c r="F53" s="315"/>
    </row>
    <row r="54" spans="1:6" ht="18.75" customHeight="1" x14ac:dyDescent="0.15">
      <c r="A54" s="124"/>
      <c r="B54" s="313"/>
      <c r="C54" s="314"/>
      <c r="D54" s="314"/>
      <c r="E54" s="314"/>
      <c r="F54" s="315"/>
    </row>
    <row r="55" spans="1:6" ht="18.75" customHeight="1" x14ac:dyDescent="0.15">
      <c r="A55" s="124"/>
      <c r="B55" s="313"/>
      <c r="C55" s="314"/>
      <c r="D55" s="314"/>
      <c r="E55" s="314"/>
      <c r="F55" s="315"/>
    </row>
    <row r="56" spans="1:6" ht="18.75" customHeight="1" x14ac:dyDescent="0.15">
      <c r="A56" s="124"/>
      <c r="B56" s="313"/>
      <c r="C56" s="314"/>
      <c r="D56" s="314"/>
      <c r="E56" s="314"/>
      <c r="F56" s="315"/>
    </row>
    <row r="57" spans="1:6" ht="18.75" customHeight="1" x14ac:dyDescent="0.15">
      <c r="A57" s="124"/>
      <c r="B57" s="313"/>
      <c r="C57" s="314"/>
      <c r="D57" s="314"/>
      <c r="E57" s="314"/>
      <c r="F57" s="315"/>
    </row>
    <row r="58" spans="1:6" ht="18.75" customHeight="1" x14ac:dyDescent="0.15">
      <c r="A58" s="124"/>
      <c r="B58" s="313"/>
      <c r="C58" s="314"/>
      <c r="D58" s="314"/>
      <c r="E58" s="314"/>
      <c r="F58" s="315"/>
    </row>
    <row r="59" spans="1:6" ht="18.75" customHeight="1" x14ac:dyDescent="0.15">
      <c r="A59" s="124"/>
      <c r="B59" s="313"/>
      <c r="C59" s="314"/>
      <c r="D59" s="314"/>
      <c r="E59" s="314"/>
      <c r="F59" s="315"/>
    </row>
    <row r="60" spans="1:6" ht="18.75" customHeight="1" x14ac:dyDescent="0.15">
      <c r="A60" s="124"/>
      <c r="B60" s="313"/>
      <c r="C60" s="314"/>
      <c r="D60" s="314"/>
      <c r="E60" s="314"/>
      <c r="F60" s="315"/>
    </row>
    <row r="61" spans="1:6" ht="18.75" customHeight="1" x14ac:dyDescent="0.15">
      <c r="A61" s="58"/>
      <c r="B61" s="313"/>
      <c r="C61" s="314"/>
      <c r="D61" s="314"/>
      <c r="E61" s="314"/>
      <c r="F61" s="315"/>
    </row>
    <row r="62" spans="1:6" ht="18.75" customHeight="1" x14ac:dyDescent="0.15">
      <c r="A62" s="58"/>
      <c r="B62" s="313"/>
      <c r="C62" s="314"/>
      <c r="D62" s="314"/>
      <c r="E62" s="314"/>
      <c r="F62" s="315"/>
    </row>
    <row r="63" spans="1:6" ht="18.75" customHeight="1" x14ac:dyDescent="0.15">
      <c r="A63" s="58"/>
      <c r="B63" s="313"/>
      <c r="C63" s="314"/>
      <c r="D63" s="314"/>
      <c r="E63" s="314"/>
      <c r="F63" s="315"/>
    </row>
    <row r="64" spans="1:6" ht="18.75" customHeight="1" x14ac:dyDescent="0.15">
      <c r="A64" s="58"/>
      <c r="B64" s="313"/>
      <c r="C64" s="314"/>
      <c r="D64" s="314"/>
      <c r="E64" s="314"/>
      <c r="F64" s="315"/>
    </row>
    <row r="65" spans="1:6" ht="18.75" customHeight="1" x14ac:dyDescent="0.15">
      <c r="A65" s="58"/>
      <c r="B65" s="313"/>
      <c r="C65" s="314"/>
      <c r="D65" s="314"/>
      <c r="E65" s="314"/>
      <c r="F65" s="315"/>
    </row>
    <row r="66" spans="1:6" ht="18.75" customHeight="1" x14ac:dyDescent="0.15">
      <c r="A66" s="58"/>
      <c r="B66" s="313"/>
      <c r="C66" s="314"/>
      <c r="D66" s="314"/>
      <c r="E66" s="314"/>
      <c r="F66" s="315"/>
    </row>
    <row r="67" spans="1:6" ht="18.75" customHeight="1" x14ac:dyDescent="0.15">
      <c r="A67" s="58"/>
      <c r="B67" s="313"/>
      <c r="C67" s="314"/>
      <c r="D67" s="314"/>
      <c r="E67" s="314"/>
      <c r="F67" s="315"/>
    </row>
    <row r="68" spans="1:6" ht="18.75" customHeight="1" x14ac:dyDescent="0.15">
      <c r="A68" s="58"/>
      <c r="B68" s="313"/>
      <c r="C68" s="314"/>
      <c r="D68" s="314"/>
      <c r="E68" s="314"/>
      <c r="F68" s="315"/>
    </row>
    <row r="69" spans="1:6" ht="18.75" customHeight="1" x14ac:dyDescent="0.15">
      <c r="A69" s="58"/>
      <c r="B69" s="313"/>
      <c r="C69" s="314"/>
      <c r="D69" s="314"/>
      <c r="E69" s="314"/>
      <c r="F69" s="315"/>
    </row>
    <row r="70" spans="1:6" ht="18.75" customHeight="1" x14ac:dyDescent="0.15">
      <c r="A70" s="24"/>
      <c r="B70" s="313"/>
      <c r="C70" s="314"/>
      <c r="D70" s="314"/>
      <c r="E70" s="314"/>
      <c r="F70" s="315"/>
    </row>
    <row r="71" spans="1:6" ht="18.75" customHeight="1" x14ac:dyDescent="0.15">
      <c r="A71" s="24"/>
      <c r="B71" s="313"/>
      <c r="C71" s="314"/>
      <c r="D71" s="314"/>
      <c r="E71" s="314"/>
      <c r="F71" s="315"/>
    </row>
    <row r="72" spans="1:6" ht="18.75" customHeight="1" x14ac:dyDescent="0.15">
      <c r="A72" s="24"/>
      <c r="B72" s="313"/>
      <c r="C72" s="314"/>
      <c r="D72" s="314"/>
      <c r="E72" s="314"/>
      <c r="F72" s="315"/>
    </row>
    <row r="73" spans="1:6" ht="18.75" customHeight="1" x14ac:dyDescent="0.15">
      <c r="A73" s="24"/>
      <c r="B73" s="313"/>
      <c r="C73" s="314"/>
      <c r="D73" s="314"/>
      <c r="E73" s="314"/>
      <c r="F73" s="315"/>
    </row>
    <row r="74" spans="1:6" ht="18.75" customHeight="1" x14ac:dyDescent="0.15">
      <c r="A74" s="24"/>
      <c r="B74" s="313"/>
      <c r="C74" s="314"/>
      <c r="D74" s="314"/>
      <c r="E74" s="314"/>
      <c r="F74" s="315"/>
    </row>
    <row r="75" spans="1:6" ht="18.75" customHeight="1" x14ac:dyDescent="0.15">
      <c r="A75" s="24"/>
      <c r="B75" s="313"/>
      <c r="C75" s="314"/>
      <c r="D75" s="314"/>
      <c r="E75" s="314"/>
      <c r="F75" s="315"/>
    </row>
    <row r="76" spans="1:6" ht="18.75" customHeight="1" x14ac:dyDescent="0.15">
      <c r="A76" s="24"/>
      <c r="B76" s="313"/>
      <c r="C76" s="314"/>
      <c r="D76" s="314"/>
      <c r="E76" s="314"/>
      <c r="F76" s="315"/>
    </row>
    <row r="77" spans="1:6" ht="18.75" customHeight="1" x14ac:dyDescent="0.15">
      <c r="A77" s="24"/>
      <c r="B77" s="313"/>
      <c r="C77" s="314"/>
      <c r="D77" s="314"/>
      <c r="E77" s="314"/>
      <c r="F77" s="315"/>
    </row>
    <row r="78" spans="1:6" ht="18.75" customHeight="1" x14ac:dyDescent="0.15">
      <c r="A78" s="24"/>
      <c r="B78" s="313"/>
      <c r="C78" s="314"/>
      <c r="D78" s="314"/>
      <c r="E78" s="314"/>
      <c r="F78" s="315"/>
    </row>
    <row r="79" spans="1:6" ht="18.75" customHeight="1" x14ac:dyDescent="0.15">
      <c r="A79" s="24"/>
      <c r="B79" s="313"/>
      <c r="C79" s="314"/>
      <c r="D79" s="314"/>
      <c r="E79" s="314"/>
      <c r="F79" s="315"/>
    </row>
    <row r="80" spans="1:6" ht="18.75" customHeight="1" x14ac:dyDescent="0.15">
      <c r="A80" s="24"/>
      <c r="B80" s="313"/>
      <c r="C80" s="314"/>
      <c r="D80" s="314"/>
      <c r="E80" s="314"/>
      <c r="F80" s="315"/>
    </row>
    <row r="81" spans="1:6" ht="18.75" customHeight="1" x14ac:dyDescent="0.15">
      <c r="A81" s="24"/>
      <c r="B81" s="313"/>
      <c r="C81" s="314"/>
      <c r="D81" s="314"/>
      <c r="E81" s="314"/>
      <c r="F81" s="315"/>
    </row>
    <row r="82" spans="1:6" ht="18.75" customHeight="1" x14ac:dyDescent="0.15">
      <c r="A82" s="24"/>
      <c r="B82" s="313"/>
      <c r="C82" s="314"/>
      <c r="D82" s="314"/>
      <c r="E82" s="314"/>
      <c r="F82" s="315"/>
    </row>
    <row r="83" spans="1:6" ht="18.75" customHeight="1" x14ac:dyDescent="0.15">
      <c r="A83" s="58"/>
      <c r="B83" s="313"/>
      <c r="C83" s="314"/>
      <c r="D83" s="314"/>
      <c r="E83" s="314"/>
      <c r="F83" s="315"/>
    </row>
    <row r="84" spans="1:6" ht="18.75" customHeight="1" x14ac:dyDescent="0.15">
      <c r="A84" s="24"/>
      <c r="B84" s="313"/>
      <c r="C84" s="314"/>
      <c r="D84" s="314"/>
      <c r="E84" s="314"/>
      <c r="F84" s="315"/>
    </row>
    <row r="85" spans="1:6" ht="18.75" customHeight="1" x14ac:dyDescent="0.15">
      <c r="A85" s="24"/>
      <c r="B85" s="313"/>
      <c r="C85" s="314"/>
      <c r="D85" s="314"/>
      <c r="E85" s="314"/>
      <c r="F85" s="315"/>
    </row>
    <row r="86" spans="1:6" ht="18.75" customHeight="1" x14ac:dyDescent="0.15">
      <c r="A86" s="24"/>
      <c r="B86" s="313"/>
      <c r="C86" s="314"/>
      <c r="D86" s="314"/>
      <c r="E86" s="314"/>
      <c r="F86" s="315"/>
    </row>
    <row r="87" spans="1:6" ht="18.75" customHeight="1" x14ac:dyDescent="0.15">
      <c r="A87" s="24"/>
      <c r="B87" s="316"/>
      <c r="C87" s="317"/>
      <c r="D87" s="317"/>
      <c r="E87" s="317"/>
      <c r="F87" s="318"/>
    </row>
    <row r="88" spans="1:6" s="13" customFormat="1" ht="18.75" customHeight="1" x14ac:dyDescent="0.15">
      <c r="A88" s="5" t="s">
        <v>13</v>
      </c>
      <c r="B88" s="5" t="s">
        <v>92</v>
      </c>
      <c r="C88" s="5"/>
      <c r="D88" s="5"/>
      <c r="E88" s="5"/>
      <c r="F88" s="5"/>
    </row>
    <row r="89" spans="1:6" ht="18.75" customHeight="1" x14ac:dyDescent="0.15">
      <c r="A89" s="124"/>
      <c r="B89" s="302" t="s">
        <v>154</v>
      </c>
      <c r="C89" s="303"/>
      <c r="D89" s="303"/>
      <c r="E89" s="303"/>
      <c r="F89" s="304"/>
    </row>
    <row r="90" spans="1:6" ht="18.75" customHeight="1" x14ac:dyDescent="0.15">
      <c r="A90" s="124"/>
      <c r="B90" s="305"/>
      <c r="C90" s="306"/>
      <c r="D90" s="306"/>
      <c r="E90" s="306"/>
      <c r="F90" s="307"/>
    </row>
    <row r="91" spans="1:6" ht="18.75" customHeight="1" x14ac:dyDescent="0.15">
      <c r="A91" s="124"/>
      <c r="B91" s="305"/>
      <c r="C91" s="306"/>
      <c r="D91" s="306"/>
      <c r="E91" s="306"/>
      <c r="F91" s="307"/>
    </row>
    <row r="92" spans="1:6" ht="18.75" customHeight="1" x14ac:dyDescent="0.15">
      <c r="A92" s="124"/>
      <c r="B92" s="305"/>
      <c r="C92" s="306"/>
      <c r="D92" s="306"/>
      <c r="E92" s="306"/>
      <c r="F92" s="307"/>
    </row>
    <row r="93" spans="1:6" ht="18.75" customHeight="1" x14ac:dyDescent="0.15">
      <c r="A93" s="124"/>
      <c r="B93" s="305"/>
      <c r="C93" s="306"/>
      <c r="D93" s="306"/>
      <c r="E93" s="306"/>
      <c r="F93" s="307"/>
    </row>
    <row r="94" spans="1:6" ht="18.75" customHeight="1" x14ac:dyDescent="0.15">
      <c r="A94" s="124"/>
      <c r="B94" s="305"/>
      <c r="C94" s="306"/>
      <c r="D94" s="306"/>
      <c r="E94" s="306"/>
      <c r="F94" s="307"/>
    </row>
    <row r="95" spans="1:6" ht="18.75" customHeight="1" x14ac:dyDescent="0.15">
      <c r="A95" s="124"/>
      <c r="B95" s="305"/>
      <c r="C95" s="306"/>
      <c r="D95" s="306"/>
      <c r="E95" s="306"/>
      <c r="F95" s="307"/>
    </row>
    <row r="96" spans="1:6" ht="18.75" customHeight="1" x14ac:dyDescent="0.15">
      <c r="A96" s="124"/>
      <c r="B96" s="305"/>
      <c r="C96" s="306"/>
      <c r="D96" s="306"/>
      <c r="E96" s="306"/>
      <c r="F96" s="307"/>
    </row>
    <row r="97" spans="1:6" ht="18.75" customHeight="1" x14ac:dyDescent="0.15">
      <c r="A97" s="124"/>
      <c r="B97" s="305"/>
      <c r="C97" s="306"/>
      <c r="D97" s="306"/>
      <c r="E97" s="306"/>
      <c r="F97" s="307"/>
    </row>
    <row r="98" spans="1:6" ht="18.75" customHeight="1" x14ac:dyDescent="0.15">
      <c r="A98" s="124"/>
      <c r="B98" s="305"/>
      <c r="C98" s="306"/>
      <c r="D98" s="306"/>
      <c r="E98" s="306"/>
      <c r="F98" s="307"/>
    </row>
    <row r="99" spans="1:6" ht="18.75" customHeight="1" x14ac:dyDescent="0.15">
      <c r="A99" s="124"/>
      <c r="B99" s="305"/>
      <c r="C99" s="306"/>
      <c r="D99" s="306"/>
      <c r="E99" s="306"/>
      <c r="F99" s="307"/>
    </row>
    <row r="100" spans="1:6" ht="18.75" customHeight="1" x14ac:dyDescent="0.15">
      <c r="A100" s="124"/>
      <c r="B100" s="305"/>
      <c r="C100" s="306"/>
      <c r="D100" s="306"/>
      <c r="E100" s="306"/>
      <c r="F100" s="307"/>
    </row>
    <row r="101" spans="1:6" ht="18.75" customHeight="1" x14ac:dyDescent="0.15">
      <c r="A101" s="124"/>
      <c r="B101" s="305"/>
      <c r="C101" s="306"/>
      <c r="D101" s="306"/>
      <c r="E101" s="306"/>
      <c r="F101" s="307"/>
    </row>
    <row r="102" spans="1:6" ht="18.75" customHeight="1" x14ac:dyDescent="0.15">
      <c r="A102" s="124"/>
      <c r="B102" s="305"/>
      <c r="C102" s="306"/>
      <c r="D102" s="306"/>
      <c r="E102" s="306"/>
      <c r="F102" s="307"/>
    </row>
    <row r="103" spans="1:6" ht="18.75" customHeight="1" x14ac:dyDescent="0.15">
      <c r="A103" s="124"/>
      <c r="B103" s="305"/>
      <c r="C103" s="306"/>
      <c r="D103" s="306"/>
      <c r="E103" s="306"/>
      <c r="F103" s="307"/>
    </row>
    <row r="104" spans="1:6" ht="18.75" customHeight="1" x14ac:dyDescent="0.15">
      <c r="A104" s="58"/>
      <c r="B104" s="305"/>
      <c r="C104" s="306"/>
      <c r="D104" s="306"/>
      <c r="E104" s="306"/>
      <c r="F104" s="307"/>
    </row>
    <row r="105" spans="1:6" ht="18.75" customHeight="1" x14ac:dyDescent="0.15">
      <c r="A105" s="58"/>
      <c r="B105" s="305"/>
      <c r="C105" s="306"/>
      <c r="D105" s="306"/>
      <c r="E105" s="306"/>
      <c r="F105" s="307"/>
    </row>
    <row r="106" spans="1:6" ht="18.75" customHeight="1" x14ac:dyDescent="0.15">
      <c r="A106" s="58"/>
      <c r="B106" s="305"/>
      <c r="C106" s="306"/>
      <c r="D106" s="306"/>
      <c r="E106" s="306"/>
      <c r="F106" s="307"/>
    </row>
    <row r="107" spans="1:6" ht="18.75" customHeight="1" x14ac:dyDescent="0.15">
      <c r="A107" s="58"/>
      <c r="B107" s="305"/>
      <c r="C107" s="306"/>
      <c r="D107" s="306"/>
      <c r="E107" s="306"/>
      <c r="F107" s="307"/>
    </row>
    <row r="108" spans="1:6" ht="18.75" customHeight="1" x14ac:dyDescent="0.15">
      <c r="A108" s="58"/>
      <c r="B108" s="305"/>
      <c r="C108" s="306"/>
      <c r="D108" s="306"/>
      <c r="E108" s="306"/>
      <c r="F108" s="307"/>
    </row>
    <row r="109" spans="1:6" ht="18.75" customHeight="1" x14ac:dyDescent="0.15">
      <c r="A109" s="58"/>
      <c r="B109" s="305"/>
      <c r="C109" s="306"/>
      <c r="D109" s="306"/>
      <c r="E109" s="306"/>
      <c r="F109" s="307"/>
    </row>
    <row r="110" spans="1:6" ht="18.75" customHeight="1" x14ac:dyDescent="0.15">
      <c r="A110" s="58"/>
      <c r="B110" s="305"/>
      <c r="C110" s="306"/>
      <c r="D110" s="306"/>
      <c r="E110" s="306"/>
      <c r="F110" s="307"/>
    </row>
    <row r="111" spans="1:6" ht="18.75" customHeight="1" x14ac:dyDescent="0.15">
      <c r="A111" s="58"/>
      <c r="B111" s="305"/>
      <c r="C111" s="306"/>
      <c r="D111" s="306"/>
      <c r="E111" s="306"/>
      <c r="F111" s="307"/>
    </row>
    <row r="112" spans="1:6" ht="18.75" customHeight="1" x14ac:dyDescent="0.15">
      <c r="A112" s="58"/>
      <c r="B112" s="305"/>
      <c r="C112" s="306"/>
      <c r="D112" s="306"/>
      <c r="E112" s="306"/>
      <c r="F112" s="307"/>
    </row>
    <row r="113" spans="1:6" ht="18.75" customHeight="1" x14ac:dyDescent="0.15">
      <c r="A113" s="58"/>
      <c r="B113" s="305"/>
      <c r="C113" s="306"/>
      <c r="D113" s="306"/>
      <c r="E113" s="306"/>
      <c r="F113" s="307"/>
    </row>
    <row r="114" spans="1:6" ht="18.75" customHeight="1" x14ac:dyDescent="0.15">
      <c r="A114" s="58"/>
      <c r="B114" s="305"/>
      <c r="C114" s="306"/>
      <c r="D114" s="306"/>
      <c r="E114" s="306"/>
      <c r="F114" s="307"/>
    </row>
    <row r="115" spans="1:6" ht="18.75" customHeight="1" x14ac:dyDescent="0.15">
      <c r="A115" s="24"/>
      <c r="B115" s="305"/>
      <c r="C115" s="306"/>
      <c r="D115" s="306"/>
      <c r="E115" s="306"/>
      <c r="F115" s="307"/>
    </row>
    <row r="116" spans="1:6" ht="18.75" customHeight="1" x14ac:dyDescent="0.15">
      <c r="A116" s="24"/>
      <c r="B116" s="305"/>
      <c r="C116" s="306"/>
      <c r="D116" s="306"/>
      <c r="E116" s="306"/>
      <c r="F116" s="307"/>
    </row>
    <row r="117" spans="1:6" ht="18.75" customHeight="1" x14ac:dyDescent="0.15">
      <c r="A117" s="24"/>
      <c r="B117" s="305"/>
      <c r="C117" s="306"/>
      <c r="D117" s="306"/>
      <c r="E117" s="306"/>
      <c r="F117" s="307"/>
    </row>
    <row r="118" spans="1:6" ht="18.75" customHeight="1" x14ac:dyDescent="0.15">
      <c r="A118" s="24"/>
      <c r="B118" s="305"/>
      <c r="C118" s="306"/>
      <c r="D118" s="306"/>
      <c r="E118" s="306"/>
      <c r="F118" s="307"/>
    </row>
    <row r="119" spans="1:6" ht="18.75" customHeight="1" x14ac:dyDescent="0.15">
      <c r="A119" s="24"/>
      <c r="B119" s="305"/>
      <c r="C119" s="306"/>
      <c r="D119" s="306"/>
      <c r="E119" s="306"/>
      <c r="F119" s="307"/>
    </row>
    <row r="120" spans="1:6" ht="18.75" customHeight="1" x14ac:dyDescent="0.15">
      <c r="A120" s="24"/>
      <c r="B120" s="305"/>
      <c r="C120" s="306"/>
      <c r="D120" s="306"/>
      <c r="E120" s="306"/>
      <c r="F120" s="307"/>
    </row>
    <row r="121" spans="1:6" ht="18.75" customHeight="1" x14ac:dyDescent="0.15">
      <c r="A121" s="24"/>
      <c r="B121" s="305"/>
      <c r="C121" s="306"/>
      <c r="D121" s="306"/>
      <c r="E121" s="306"/>
      <c r="F121" s="307"/>
    </row>
    <row r="122" spans="1:6" ht="18.75" customHeight="1" x14ac:dyDescent="0.15">
      <c r="A122" s="24"/>
      <c r="B122" s="305"/>
      <c r="C122" s="306"/>
      <c r="D122" s="306"/>
      <c r="E122" s="306"/>
      <c r="F122" s="307"/>
    </row>
    <row r="123" spans="1:6" ht="18.75" customHeight="1" x14ac:dyDescent="0.15">
      <c r="A123" s="24"/>
      <c r="B123" s="305"/>
      <c r="C123" s="306"/>
      <c r="D123" s="306"/>
      <c r="E123" s="306"/>
      <c r="F123" s="307"/>
    </row>
    <row r="124" spans="1:6" ht="18.75" customHeight="1" x14ac:dyDescent="0.15">
      <c r="A124" s="24"/>
      <c r="B124" s="305"/>
      <c r="C124" s="306"/>
      <c r="D124" s="306"/>
      <c r="E124" s="306"/>
      <c r="F124" s="307"/>
    </row>
    <row r="125" spans="1:6" ht="18.75" customHeight="1" x14ac:dyDescent="0.15">
      <c r="A125" s="24"/>
      <c r="B125" s="305"/>
      <c r="C125" s="306"/>
      <c r="D125" s="306"/>
      <c r="E125" s="306"/>
      <c r="F125" s="307"/>
    </row>
    <row r="126" spans="1:6" ht="18.75" customHeight="1" x14ac:dyDescent="0.15">
      <c r="A126" s="24"/>
      <c r="B126" s="305"/>
      <c r="C126" s="306"/>
      <c r="D126" s="306"/>
      <c r="E126" s="306"/>
      <c r="F126" s="307"/>
    </row>
    <row r="127" spans="1:6" ht="18.75" customHeight="1" x14ac:dyDescent="0.15">
      <c r="A127" s="24"/>
      <c r="B127" s="305"/>
      <c r="C127" s="306"/>
      <c r="D127" s="306"/>
      <c r="E127" s="306"/>
      <c r="F127" s="307"/>
    </row>
    <row r="128" spans="1:6" ht="18.75" customHeight="1" x14ac:dyDescent="0.15">
      <c r="A128" s="24"/>
      <c r="B128" s="305"/>
      <c r="C128" s="306"/>
      <c r="D128" s="306"/>
      <c r="E128" s="306"/>
      <c r="F128" s="307"/>
    </row>
    <row r="129" spans="1:6" ht="18.75" customHeight="1" x14ac:dyDescent="0.15">
      <c r="A129" s="24"/>
      <c r="B129" s="305"/>
      <c r="C129" s="306"/>
      <c r="D129" s="306"/>
      <c r="E129" s="306"/>
      <c r="F129" s="307"/>
    </row>
    <row r="130" spans="1:6" ht="18.75" customHeight="1" x14ac:dyDescent="0.15">
      <c r="A130" s="24"/>
      <c r="B130" s="308"/>
      <c r="C130" s="309"/>
      <c r="D130" s="309"/>
      <c r="E130" s="309"/>
      <c r="F130" s="310"/>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scale="94" orientation="portrait" r:id="rId1"/>
  <rowBreaks count="2" manualBreakCount="2">
    <brk id="43" max="5" man="1"/>
    <brk id="87" max="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3.5" x14ac:dyDescent="0.1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6</vt:i4>
      </vt:variant>
    </vt:vector>
  </HeadingPairs>
  <TitlesOfParts>
    <vt:vector size="14" baseType="lpstr">
      <vt:lpstr>様式１　大学等概要</vt:lpstr>
      <vt:lpstr>様式２　プログラムを構成する授業科目</vt:lpstr>
      <vt:lpstr>様式３　履修者等数の実績</vt:lpstr>
      <vt:lpstr>様式4　プログラムの授業内容・概要</vt:lpstr>
      <vt:lpstr>様式５　教育の質・履修者数を向上させるための体制・計画</vt:lpstr>
      <vt:lpstr>様式６　自己点検・評価</vt:lpstr>
      <vt:lpstr>様式７　特色ある取組</vt:lpstr>
      <vt:lpstr>Sheet1</vt:lpstr>
      <vt:lpstr>'様式１　大学等概要'!Print_Area</vt:lpstr>
      <vt:lpstr>'様式２　プログラムを構成する授業科目'!Print_Area</vt:lpstr>
      <vt:lpstr>'様式３　履修者等数の実績'!Print_Area</vt:lpstr>
      <vt:lpstr>'様式５　教育の質・履修者数を向上させるための体制・計画'!Print_Area</vt:lpstr>
      <vt:lpstr>'様式６　自己点検・評価'!Print_Area</vt:lpstr>
      <vt:lpstr>'様式７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上原　誠</cp:lastModifiedBy>
  <cp:lastPrinted>2021-07-15T07:56:29Z</cp:lastPrinted>
  <dcterms:created xsi:type="dcterms:W3CDTF">2011-06-14T05:32:50Z</dcterms:created>
  <dcterms:modified xsi:type="dcterms:W3CDTF">2021-07-15T07:56:45Z</dcterms:modified>
</cp:coreProperties>
</file>