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J:\学務部教育企画課\★数理・データサイエンス・AI 認定制度\06.提出関連\04.【再修正】提出資料\"/>
    </mc:Choice>
  </mc:AlternateContent>
  <xr:revisionPtr revIDLastSave="0" documentId="11_F77C2205E24DF8F8A7BCD43F399878DB6A678239" xr6:coauthVersionLast="47" xr6:coauthVersionMax="47" xr10:uidLastSave="{00000000-0000-0000-0000-000000000000}"/>
  <bookViews>
    <workbookView xWindow="0" yWindow="0" windowWidth="18030" windowHeight="7290"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<sst xmlns="http://schemas.openxmlformats.org/spreadsheetml/2006/main" count="286" uniqueCount="208">
  <si>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</si>
  <si>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</si>
  <si>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</si>
  <si>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</si>
  <si>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千葉大学</t>
    <rPh sb="0" eb="2">
      <t>チバ</t>
    </rPh>
    <rPh sb="2" eb="4">
      <t>ダイガク</t>
    </rPh>
    <phoneticPr fontId="1"/>
  </si>
  <si>
    <t>②</t>
    <phoneticPr fontId="1"/>
  </si>
  <si>
    <t>大学等の設置者</t>
  </si>
  <si>
    <t>国立大学法人 千葉大学</t>
    <phoneticPr fontId="1"/>
  </si>
  <si>
    <t>③</t>
    <phoneticPr fontId="1"/>
  </si>
  <si>
    <t>設置形態</t>
  </si>
  <si>
    <t>国立大学</t>
  </si>
  <si>
    <t>④</t>
    <phoneticPr fontId="1"/>
  </si>
  <si>
    <t>所在地</t>
    <phoneticPr fontId="1"/>
  </si>
  <si>
    <t>千葉市稲毛区弥生町１丁目３３番地</t>
    <rPh sb="0" eb="3">
      <t>チバシ</t>
    </rPh>
    <rPh sb="3" eb="6">
      <t>イナゲク</t>
    </rPh>
    <rPh sb="6" eb="9">
      <t>ヤヨイチョウ</t>
    </rPh>
    <rPh sb="10" eb="12">
      <t>チョウメ</t>
    </rPh>
    <rPh sb="14" eb="16">
      <t>バンチ</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</si>
  <si>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</si>
  <si>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</si>
  <si>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学術発展科目群数理・データサイエンス科目</t>
    <rPh sb="0" eb="2">
      <t>ガクジュツ</t>
    </rPh>
    <rPh sb="2" eb="4">
      <t>ハッテン</t>
    </rPh>
    <rPh sb="4" eb="6">
      <t>カモク</t>
    </rPh>
    <rPh sb="6" eb="7">
      <t>グン</t>
    </rPh>
    <rPh sb="7" eb="9">
      <t>スウリ</t>
    </rPh>
    <rPh sb="18" eb="20">
      <t>カモク</t>
    </rPh>
    <phoneticPr fontId="1"/>
  </si>
  <si>
    <t>⑥</t>
    <phoneticPr fontId="1"/>
  </si>
  <si>
    <t>プログラムの開設年度</t>
    <rPh sb="6" eb="8">
      <t>カイセツ</t>
    </rPh>
    <rPh sb="8" eb="10">
      <t>ネンド</t>
    </rPh>
    <phoneticPr fontId="1"/>
  </si>
  <si>
    <t>令和２年度</t>
    <rPh sb="0" eb="2">
      <t>レイワ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</si>
  <si>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</si>
  <si>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</si>
  <si>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</si>
  <si>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</si>
  <si>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</si>
  <si>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</si>
  <si>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</si>
  <si>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</si>
  <si>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</si>
  <si>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</si>
  <si>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</si>
  <si>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</si>
  <si>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</si>
  <si>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</si>
  <si>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</si>
  <si>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</si>
  <si>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</si>
  <si>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</si>
  <si>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</si>
  <si>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</si>
  <si>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</si>
  <si>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</si>
  <si>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泉　利明　</t>
    <rPh sb="0" eb="1">
      <t>イズミ</t>
    </rPh>
    <rPh sb="2" eb="4">
      <t>トシアキ</t>
    </rPh>
    <phoneticPr fontId="1"/>
  </si>
  <si>
    <t>（役職名）</t>
    <rPh sb="1" eb="4">
      <t>ヤクショクメイ</t>
    </rPh>
    <phoneticPr fontId="1"/>
  </si>
  <si>
    <t>全学教育センター長</t>
    <rPh sb="0" eb="2">
      <t>ゼンガク</t>
    </rPh>
    <rPh sb="2" eb="4">
      <t>キョウイク</t>
    </rPh>
    <rPh sb="8" eb="9">
      <t>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</si>
  <si>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</si>
  <si>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</si>
  <si>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国立大学法人千葉大学国際未来教育基幹キャビネットデータサイエンス教育実施本部</t>
    <rPh sb="32" eb="34">
      <t>キョウイク</t>
    </rPh>
    <rPh sb="34" eb="36">
      <t>ジッシ</t>
    </rPh>
    <rPh sb="36" eb="38">
      <t>ホンブ</t>
    </rPh>
    <phoneticPr fontId="1"/>
  </si>
  <si>
    <t>小澤弘明　</t>
    <rPh sb="0" eb="2">
      <t>オザワ</t>
    </rPh>
    <rPh sb="2" eb="4">
      <t>ヒロアキ</t>
    </rPh>
    <phoneticPr fontId="1"/>
  </si>
  <si>
    <t>副学長（教育改革）</t>
    <rPh sb="0" eb="3">
      <t>フクガクチョウ</t>
    </rPh>
    <rPh sb="4" eb="6">
      <t>キョウイク</t>
    </rPh>
    <rPh sb="6" eb="8">
      <t>カイカク</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</si>
  <si>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</si>
  <si>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</si>
  <si>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</si>
  <si>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</si>
  <si>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</si>
  <si>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</si>
  <si>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</si>
  <si>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千葉大学学務部教育企画課教務係</t>
    <rPh sb="0" eb="4">
      <t>チ</t>
    </rPh>
    <rPh sb="4" eb="6">
      <t>ガクム</t>
    </rPh>
    <rPh sb="6" eb="7">
      <t>ブ</t>
    </rPh>
    <rPh sb="7" eb="9">
      <t>キョウイク</t>
    </rPh>
    <rPh sb="9" eb="12">
      <t>キカクカ</t>
    </rPh>
    <rPh sb="12" eb="14">
      <t>キョウム</t>
    </rPh>
    <rPh sb="14" eb="15">
      <t>カカリ</t>
    </rPh>
    <phoneticPr fontId="1"/>
  </si>
  <si>
    <t>担当者名</t>
    <rPh sb="0" eb="2">
      <t>タントウ</t>
    </rPh>
    <rPh sb="2" eb="3">
      <t>シャ</t>
    </rPh>
    <rPh sb="3" eb="4">
      <t>メイ</t>
    </rPh>
    <phoneticPr fontId="1"/>
  </si>
  <si>
    <t>佐藤芳輝</t>
    <rPh sb="0" eb="2">
      <t>サトウ</t>
    </rPh>
    <rPh sb="2" eb="4">
      <t>ヨシキ</t>
    </rPh>
    <phoneticPr fontId="1"/>
  </si>
  <si>
    <t>E-mail</t>
  </si>
  <si>
    <t>dah3604@office.chiba-u.jp</t>
    <phoneticPr fontId="1"/>
  </si>
  <si>
    <t>電話番号</t>
  </si>
  <si>
    <t>043-290-3645</t>
    <phoneticPr fontId="1"/>
  </si>
  <si>
    <t>様式２</t>
    <rPh sb="0" eb="2">
      <t>ヨウシキ</t>
    </rPh>
    <phoneticPr fontId="1"/>
  </si>
  <si>
    <t>学校名：</t>
    <rPh sb="0" eb="2">
      <t>ガッコウ</t>
    </rPh>
    <rPh sb="2" eb="3">
      <t>メイ</t>
    </rPh>
    <phoneticPr fontId="1"/>
  </si>
  <si>
    <t>千葉大学</t>
    <rPh sb="0" eb="4">
      <t>チ</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</si>
  <si>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</si>
  <si>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</si>
  <si>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</si>
  <si>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</si>
  <si>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　全学の普遍教育（一般教養教育）カリキュラムにて、情報リテラシー科目を開設し、全ての学部・学科の学生について、２単位を必修の卒業要件単位としていた。
　令和２年度からは、この情報リテラシー科目をさらに充実させ、基礎と発展からなる学術発展科目群数理・データサイエンス科目として開設し、合計３単位の修得を本プログラムの修了要件としている。</t>
    <rPh sb="4" eb="6">
      <t>フヘン</t>
    </rPh>
    <rPh sb="6" eb="8">
      <t>キョウイク</t>
    </rPh>
    <rPh sb="25" eb="27">
      <t>ジョウホウ</t>
    </rPh>
    <rPh sb="32" eb="34">
      <t>カモク</t>
    </rPh>
    <rPh sb="35" eb="37">
      <t>カイセツ</t>
    </rPh>
    <rPh sb="39" eb="40">
      <t>スベ</t>
    </rPh>
    <rPh sb="42" eb="44">
      <t>ガクブ</t>
    </rPh>
    <rPh sb="45" eb="47">
      <t>ガッカ</t>
    </rPh>
    <rPh sb="48" eb="50">
      <t>ガクセイ</t>
    </rPh>
    <rPh sb="56" eb="58">
      <t>タンイ</t>
    </rPh>
    <rPh sb="59" eb="61">
      <t>ヒッシュウ</t>
    </rPh>
    <rPh sb="62" eb="64">
      <t>ソツギョウ</t>
    </rPh>
    <rPh sb="64" eb="66">
      <t>ヨウケン</t>
    </rPh>
    <rPh sb="66" eb="68">
      <t>タンイ</t>
    </rPh>
    <rPh sb="76" eb="78">
      <t>レイワ</t>
    </rPh>
    <rPh sb="79" eb="81">
      <t>ネンド</t>
    </rPh>
    <rPh sb="87" eb="89">
      <t>ジョウホウ</t>
    </rPh>
    <rPh sb="94" eb="96">
      <t>カモク</t>
    </rPh>
    <rPh sb="100" eb="102">
      <t>ジュウジツ</t>
    </rPh>
    <rPh sb="105" eb="107">
      <t>キソ</t>
    </rPh>
    <rPh sb="108" eb="110">
      <t>ハッテン</t>
    </rPh>
    <rPh sb="137" eb="139">
      <t>カイセツ</t>
    </rPh>
    <rPh sb="147" eb="149">
      <t>シュウトク</t>
    </rPh>
    <rPh sb="150" eb="151">
      <t>ホン</t>
    </rPh>
    <rPh sb="157" eb="159">
      <t>シュウリョウ</t>
    </rPh>
    <rPh sb="159" eb="161">
      <t>ヨウケン</t>
    </rPh>
    <phoneticPr fontId="1"/>
  </si>
  <si>
    <t>授業科目名称</t>
    <rPh sb="0" eb="2">
      <t>ジュギョウ</t>
    </rPh>
    <rPh sb="2" eb="4">
      <t>カモク</t>
    </rPh>
    <rPh sb="4" eb="6">
      <t>メイショウ</t>
    </rPh>
    <phoneticPr fontId="1"/>
  </si>
  <si>
    <t>情報リテラシー</t>
    <rPh sb="0" eb="2">
      <t>ジョウホウ</t>
    </rPh>
    <phoneticPr fontId="1"/>
  </si>
  <si>
    <t>データサイエンスA</t>
  </si>
  <si>
    <t>データサイエンスB</t>
  </si>
  <si>
    <t>データサイエンスC</t>
  </si>
  <si>
    <t>データサイエンスD</t>
  </si>
  <si>
    <t>中級データサイエンス</t>
    <rPh sb="0" eb="2">
      <t>チュウキュウ</t>
    </rPh>
    <phoneticPr fontId="1"/>
  </si>
  <si>
    <t>野球観戦に活きるデータ科学</t>
    <rPh sb="0" eb="2">
      <t>ヤキュウ</t>
    </rPh>
    <rPh sb="2" eb="4">
      <t>カンセン</t>
    </rPh>
    <rPh sb="5" eb="6">
      <t>イ</t>
    </rPh>
    <rPh sb="11" eb="13">
      <t>カガク</t>
    </rPh>
    <phoneticPr fontId="1"/>
  </si>
  <si>
    <t>人文科学研究のための多言語処理と情報検索</t>
    <rPh sb="0" eb="2">
      <t>ジンブン</t>
    </rPh>
    <rPh sb="2" eb="4">
      <t>カガク</t>
    </rPh>
    <rPh sb="4" eb="6">
      <t>ケンキュウ</t>
    </rPh>
    <rPh sb="10" eb="13">
      <t>タゲンゴ</t>
    </rPh>
    <rPh sb="13" eb="15">
      <t>ショリ</t>
    </rPh>
    <rPh sb="16" eb="18">
      <t>ジョウホウ</t>
    </rPh>
    <rPh sb="18" eb="20">
      <t>ケンサク</t>
    </rPh>
    <phoneticPr fontId="1"/>
  </si>
  <si>
    <t>Rによるアンケート調査の集計</t>
    <rPh sb="9" eb="11">
      <t>チョウサ</t>
    </rPh>
    <rPh sb="12" eb="14">
      <t>シュウケイ</t>
    </rPh>
    <phoneticPr fontId="1"/>
  </si>
  <si>
    <t>AIのためのPython入門</t>
    <rPh sb="12" eb="14">
      <t>ニュウモン</t>
    </rPh>
    <phoneticPr fontId="1"/>
  </si>
  <si>
    <t>IoTデータ解析</t>
    <rPh sb="6" eb="8">
      <t>カイセキ</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</si>
  <si>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</si>
  <si>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</si>
  <si>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</si>
  <si>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</si>
  <si>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</si>
  <si>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</si>
  <si>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</si>
  <si>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</si>
  <si>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</si>
  <si>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</si>
  <si>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</si>
  <si>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</si>
  <si>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</si>
  <si>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</si>
  <si>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</si>
  <si>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国際教養学部（人文科学）</t>
    <rPh sb="0" eb="2">
      <t>コクサイ</t>
    </rPh>
    <rPh sb="2" eb="4">
      <t>キョウヨウ</t>
    </rPh>
    <rPh sb="4" eb="6">
      <t>ガクブ</t>
    </rPh>
    <rPh sb="7" eb="9">
      <t>ジンブン</t>
    </rPh>
    <rPh sb="9" eb="11">
      <t>カガク</t>
    </rPh>
    <phoneticPr fontId="1"/>
  </si>
  <si>
    <t>文学部（人文科学）</t>
    <rPh sb="0" eb="3">
      <t>ブンガクブ</t>
    </rPh>
    <phoneticPr fontId="1"/>
  </si>
  <si>
    <t>法政経学部（社会科学）</t>
    <rPh sb="0" eb="1">
      <t>ホウ</t>
    </rPh>
    <rPh sb="1" eb="3">
      <t>セイケイ</t>
    </rPh>
    <rPh sb="3" eb="5">
      <t>ガクブ</t>
    </rPh>
    <rPh sb="6" eb="8">
      <t>シャカイ</t>
    </rPh>
    <phoneticPr fontId="1"/>
  </si>
  <si>
    <t>教育学部（教育）</t>
    <rPh sb="0" eb="2">
      <t>キョウイク</t>
    </rPh>
    <rPh sb="2" eb="4">
      <t>ガクブ</t>
    </rPh>
    <rPh sb="5" eb="7">
      <t>キョウイク</t>
    </rPh>
    <phoneticPr fontId="1"/>
  </si>
  <si>
    <t>理学部（理学）</t>
    <rPh sb="0" eb="3">
      <t>リガクブ</t>
    </rPh>
    <rPh sb="4" eb="6">
      <t>リガク</t>
    </rPh>
    <phoneticPr fontId="1"/>
  </si>
  <si>
    <t>工学部（工学）</t>
    <rPh sb="0" eb="3">
      <t>コウガクブ</t>
    </rPh>
    <rPh sb="4" eb="6">
      <t>コウガク</t>
    </rPh>
    <phoneticPr fontId="1"/>
  </si>
  <si>
    <t>園芸学部（農学）</t>
    <rPh sb="0" eb="2">
      <t>エンゲイ</t>
    </rPh>
    <rPh sb="2" eb="4">
      <t>ガクブ</t>
    </rPh>
    <rPh sb="5" eb="7">
      <t>ノウガク</t>
    </rPh>
    <phoneticPr fontId="1"/>
  </si>
  <si>
    <t>医学部（保健）</t>
    <rPh sb="0" eb="3">
      <t>イガクブ</t>
    </rPh>
    <rPh sb="4" eb="6">
      <t>ホケン</t>
    </rPh>
    <phoneticPr fontId="1"/>
  </si>
  <si>
    <t>薬学部（保健）</t>
    <rPh sb="0" eb="3">
      <t>ヤクガクブ</t>
    </rPh>
    <rPh sb="4" eb="6">
      <t>ホケン</t>
    </rPh>
    <phoneticPr fontId="1"/>
  </si>
  <si>
    <t>看護学部（保健）</t>
    <rPh sb="0" eb="2">
      <t>カンゴ</t>
    </rPh>
    <rPh sb="2" eb="3">
      <t>ガク</t>
    </rPh>
    <rPh sb="3" eb="4">
      <t>ブ</t>
    </rPh>
    <rPh sb="5" eb="7">
      <t>ホケン</t>
    </rPh>
    <phoneticPr fontId="1"/>
  </si>
  <si>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</si>
  <si>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</si>
  <si>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</si>
  <si>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</si>
  <si>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</si>
  <si>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</si>
  <si>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</si>
  <si>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　様々な機器がコンピュータネットワークを通して結ばれ、コミュニケーションツールとして活用されるとともに、商品の購入情報、個人の位置情報などが瞬時に共有される情報社会の現状について学ぶ。また、取得されたデータを処理することによって、問題を解決したり、判断を行う材料となる情報が得られることを具体的な事例を通して理解させる。計算機の処理能力の向上によって、膨大なデータから有用な知見を得ることが可能になったことを示し、データを活用することによって成立する社会に向けた変化が個人の生活とも密接に結びついていることを学ぶ。</t>
    <rPh sb="1" eb="3">
      <t>サマザマ</t>
    </rPh>
    <rPh sb="4" eb="6">
      <t>キキ</t>
    </rPh>
    <rPh sb="20" eb="21">
      <t>トオ</t>
    </rPh>
    <rPh sb="23" eb="24">
      <t>ムス</t>
    </rPh>
    <rPh sb="42" eb="44">
      <t>カツヨウ</t>
    </rPh>
    <rPh sb="52" eb="54">
      <t>ショウヒン</t>
    </rPh>
    <rPh sb="55" eb="57">
      <t>コウニュウ</t>
    </rPh>
    <rPh sb="57" eb="59">
      <t>ジョウホウ</t>
    </rPh>
    <rPh sb="60" eb="62">
      <t>コジン</t>
    </rPh>
    <rPh sb="63" eb="65">
      <t>イチ</t>
    </rPh>
    <rPh sb="65" eb="67">
      <t>ジョウホウ</t>
    </rPh>
    <rPh sb="70" eb="72">
      <t>シュンジ</t>
    </rPh>
    <rPh sb="73" eb="75">
      <t>キョウユウ</t>
    </rPh>
    <rPh sb="78" eb="80">
      <t>ジョウホウ</t>
    </rPh>
    <rPh sb="80" eb="82">
      <t>シャカイ</t>
    </rPh>
    <rPh sb="83" eb="85">
      <t>ゲンジョウ</t>
    </rPh>
    <rPh sb="89" eb="90">
      <t>マナ</t>
    </rPh>
    <rPh sb="95" eb="97">
      <t>シュトク</t>
    </rPh>
    <rPh sb="104" eb="106">
      <t>ショリ</t>
    </rPh>
    <rPh sb="115" eb="117">
      <t>モンダイ</t>
    </rPh>
    <rPh sb="118" eb="120">
      <t>カイケツ</t>
    </rPh>
    <rPh sb="124" eb="126">
      <t>ハンダン</t>
    </rPh>
    <rPh sb="127" eb="128">
      <t>オコナ</t>
    </rPh>
    <rPh sb="129" eb="131">
      <t>ザイリョウ</t>
    </rPh>
    <rPh sb="134" eb="136">
      <t>ジョウホウ</t>
    </rPh>
    <rPh sb="137" eb="138">
      <t>エ</t>
    </rPh>
    <rPh sb="144" eb="147">
      <t>グタイテキ</t>
    </rPh>
    <rPh sb="148" eb="150">
      <t>ジレイ</t>
    </rPh>
    <rPh sb="151" eb="152">
      <t>トオ</t>
    </rPh>
    <rPh sb="154" eb="156">
      <t>リカイ</t>
    </rPh>
    <rPh sb="160" eb="163">
      <t>ケイサンキ</t>
    </rPh>
    <rPh sb="164" eb="166">
      <t>ショリ</t>
    </rPh>
    <rPh sb="166" eb="168">
      <t>ノウリョク</t>
    </rPh>
    <rPh sb="169" eb="171">
      <t>コウジョウ</t>
    </rPh>
    <rPh sb="176" eb="178">
      <t>ボウダイ</t>
    </rPh>
    <rPh sb="184" eb="186">
      <t>ユウヨウ</t>
    </rPh>
    <rPh sb="187" eb="189">
      <t>チケン</t>
    </rPh>
    <rPh sb="190" eb="191">
      <t>エ</t>
    </rPh>
    <rPh sb="195" eb="197">
      <t>カノウ</t>
    </rPh>
    <rPh sb="204" eb="205">
      <t>シメ</t>
    </rPh>
    <rPh sb="211" eb="213">
      <t>カツヨウ</t>
    </rPh>
    <rPh sb="221" eb="223">
      <t>セイリツ</t>
    </rPh>
    <rPh sb="225" eb="227">
      <t>シャカイ</t>
    </rPh>
    <rPh sb="228" eb="229">
      <t>ム</t>
    </rPh>
    <rPh sb="231" eb="233">
      <t>ヘンカ</t>
    </rPh>
    <rPh sb="234" eb="236">
      <t>コジン</t>
    </rPh>
    <rPh sb="237" eb="239">
      <t>セイカツ</t>
    </rPh>
    <rPh sb="241" eb="243">
      <t>ミッセツ</t>
    </rPh>
    <rPh sb="244" eb="245">
      <t>ムス</t>
    </rPh>
    <rPh sb="254" eb="255">
      <t>マナ</t>
    </rPh>
    <phoneticPr fontId="1"/>
  </si>
  <si>
    <t>授業科目名称</t>
    <rPh sb="0" eb="2">
      <t>ジュギョウ</t>
    </rPh>
    <rPh sb="2" eb="6">
      <t>カモクメイショウ</t>
    </rPh>
    <phoneticPr fontId="1"/>
  </si>
  <si>
    <t>講義テーマ</t>
    <rPh sb="0" eb="2">
      <t>コウギ</t>
    </rPh>
    <phoneticPr fontId="1"/>
  </si>
  <si>
    <t>情報社会に関わる基礎知識、社会の変化（1～2)、計算機の発達（4）</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</si>
  <si>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</si>
  <si>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　情報社会では、調査データ、実験・観測データ、個人の行動データなど、様々なデータが活用されていることを示す。データには数値データ、文字データ、画像・動画や音声データなどがあること、これらを計算機を用いて処理したり、情報ネットワークを通して送受信するためにデータがビット列として表現されることを学ぶ。2進数を用いた数値データの表現、文字データを表現する文字コード、アナログ情報のデジタル化、画像のデジタル表現と情報圧縮について理解させる。遺伝情報を担うDNAの塩基配列データが活用されている事例、身近な情報表現であるバーコードやQRコードについても学ぶ。</t>
    <rPh sb="1" eb="3">
      <t>ジョウホウ</t>
    </rPh>
    <rPh sb="3" eb="5">
      <t>シャカイ</t>
    </rPh>
    <rPh sb="8" eb="10">
      <t>チョウサ</t>
    </rPh>
    <rPh sb="14" eb="16">
      <t>ジッケン</t>
    </rPh>
    <rPh sb="17" eb="19">
      <t>カンソク</t>
    </rPh>
    <rPh sb="23" eb="25">
      <t>コジン</t>
    </rPh>
    <rPh sb="26" eb="28">
      <t>コウドウ</t>
    </rPh>
    <rPh sb="34" eb="36">
      <t>サマザマ</t>
    </rPh>
    <rPh sb="41" eb="43">
      <t>カツヨウ</t>
    </rPh>
    <rPh sb="51" eb="52">
      <t>シメ</t>
    </rPh>
    <rPh sb="59" eb="61">
      <t>スウチ</t>
    </rPh>
    <rPh sb="65" eb="67">
      <t>モジ</t>
    </rPh>
    <rPh sb="71" eb="73">
      <t>ガゾウ</t>
    </rPh>
    <rPh sb="74" eb="76">
      <t>ドウガ</t>
    </rPh>
    <rPh sb="77" eb="79">
      <t>オンセイ</t>
    </rPh>
    <rPh sb="94" eb="97">
      <t>ケイサンキ</t>
    </rPh>
    <rPh sb="98" eb="99">
      <t>モチ</t>
    </rPh>
    <rPh sb="101" eb="103">
      <t>ショリ</t>
    </rPh>
    <rPh sb="107" eb="109">
      <t>ジョウホウ</t>
    </rPh>
    <rPh sb="116" eb="117">
      <t>トオ</t>
    </rPh>
    <rPh sb="119" eb="122">
      <t>ソウジュシン</t>
    </rPh>
    <rPh sb="134" eb="135">
      <t>レツ</t>
    </rPh>
    <rPh sb="138" eb="140">
      <t>ヒョウゲン</t>
    </rPh>
    <rPh sb="146" eb="147">
      <t>マナ</t>
    </rPh>
    <rPh sb="150" eb="152">
      <t>シンスウ</t>
    </rPh>
    <rPh sb="153" eb="154">
      <t>モチ</t>
    </rPh>
    <rPh sb="156" eb="158">
      <t>スウチ</t>
    </rPh>
    <rPh sb="162" eb="164">
      <t>ヒョウゲン</t>
    </rPh>
    <rPh sb="165" eb="167">
      <t>モジ</t>
    </rPh>
    <rPh sb="171" eb="173">
      <t>ヒョウゲン</t>
    </rPh>
    <rPh sb="175" eb="177">
      <t>モジ</t>
    </rPh>
    <rPh sb="185" eb="187">
      <t>ジョウホウ</t>
    </rPh>
    <rPh sb="192" eb="193">
      <t>カ</t>
    </rPh>
    <rPh sb="194" eb="196">
      <t>ガゾウ</t>
    </rPh>
    <rPh sb="201" eb="203">
      <t>ヒョウゲン</t>
    </rPh>
    <rPh sb="204" eb="206">
      <t>ジョウホウ</t>
    </rPh>
    <rPh sb="206" eb="208">
      <t>アッシュク</t>
    </rPh>
    <rPh sb="212" eb="214">
      <t>リカイ</t>
    </rPh>
    <rPh sb="247" eb="249">
      <t>ミヂカ</t>
    </rPh>
    <rPh sb="250" eb="252">
      <t>ジョウホウ</t>
    </rPh>
    <rPh sb="252" eb="254">
      <t>ヒョウゲン</t>
    </rPh>
    <rPh sb="273" eb="274">
      <t>マナ</t>
    </rPh>
    <phoneticPr fontId="1"/>
  </si>
  <si>
    <t>データの活用領域、データの種類、データと情報の表現（3）</t>
    <rPh sb="4" eb="6">
      <t>カツヨウ</t>
    </rPh>
    <rPh sb="6" eb="8">
      <t>リョウイキ</t>
    </rPh>
    <rPh sb="13" eb="15">
      <t>シュルイ</t>
    </rPh>
    <rPh sb="20" eb="22">
      <t>ジョウホウ</t>
    </rPh>
    <rPh sb="23" eb="25">
      <t>ヒョウゲン</t>
    </rPh>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</si>
  <si>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</si>
  <si>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データの活用事例として、商品の販売情報を分析することによって時間帯ごとの各商品の売り上げについての知見を得、商品の流通に反映させている例、様々な文献がデータベース化され、キーワードを用いて検索したり、被引用数の多い文献を抽出できるようになっている例などを示す。また、情報社会の基盤となっているインターネットと、その上で利用できるサービスについて解説し、パケット交換、IPアドレス等を理解させる。具体的なデータ解析技術である統計的な解析、最適化やシミュレーションについて概説する。</t>
    <rPh sb="5" eb="7">
      <t>カツヨウ</t>
    </rPh>
    <rPh sb="7" eb="9">
      <t>ジレイ</t>
    </rPh>
    <rPh sb="13" eb="15">
      <t>ショウヒン</t>
    </rPh>
    <rPh sb="16" eb="18">
      <t>ハンバイ</t>
    </rPh>
    <rPh sb="18" eb="20">
      <t>ジョウホウ</t>
    </rPh>
    <rPh sb="21" eb="23">
      <t>ブンセキ</t>
    </rPh>
    <rPh sb="31" eb="34">
      <t>ジカンタイ</t>
    </rPh>
    <rPh sb="37" eb="38">
      <t>カク</t>
    </rPh>
    <rPh sb="38" eb="40">
      <t>ショウヒン</t>
    </rPh>
    <rPh sb="41" eb="42">
      <t>ウ</t>
    </rPh>
    <rPh sb="43" eb="44">
      <t>ア</t>
    </rPh>
    <rPh sb="50" eb="52">
      <t>チケン</t>
    </rPh>
    <rPh sb="53" eb="54">
      <t>エ</t>
    </rPh>
    <rPh sb="55" eb="57">
      <t>ショウヒン</t>
    </rPh>
    <rPh sb="58" eb="60">
      <t>リュウツウ</t>
    </rPh>
    <rPh sb="61" eb="63">
      <t>ハンエイ</t>
    </rPh>
    <rPh sb="68" eb="69">
      <t>レイ</t>
    </rPh>
    <rPh sb="70" eb="72">
      <t>サマザマ</t>
    </rPh>
    <rPh sb="73" eb="75">
      <t>ブンケン</t>
    </rPh>
    <rPh sb="82" eb="83">
      <t>カ</t>
    </rPh>
    <rPh sb="92" eb="93">
      <t>モチ</t>
    </rPh>
    <rPh sb="95" eb="97">
      <t>ケンサク</t>
    </rPh>
    <rPh sb="101" eb="102">
      <t>ヒ</t>
    </rPh>
    <rPh sb="102" eb="105">
      <t>インヨウスウ</t>
    </rPh>
    <rPh sb="106" eb="107">
      <t>オオ</t>
    </rPh>
    <rPh sb="108" eb="110">
      <t>ブンケン</t>
    </rPh>
    <rPh sb="111" eb="113">
      <t>チュウシュツ</t>
    </rPh>
    <rPh sb="124" eb="125">
      <t>レイ</t>
    </rPh>
    <rPh sb="128" eb="129">
      <t>シメ</t>
    </rPh>
    <rPh sb="134" eb="136">
      <t>ジョウホウ</t>
    </rPh>
    <rPh sb="136" eb="138">
      <t>シャカイ</t>
    </rPh>
    <rPh sb="139" eb="141">
      <t>キバン</t>
    </rPh>
    <rPh sb="158" eb="159">
      <t>ウエ</t>
    </rPh>
    <rPh sb="160" eb="162">
      <t>リヨウ</t>
    </rPh>
    <rPh sb="173" eb="175">
      <t>カイセツ</t>
    </rPh>
    <rPh sb="181" eb="183">
      <t>コウカン</t>
    </rPh>
    <rPh sb="190" eb="191">
      <t>ナド</t>
    </rPh>
    <rPh sb="192" eb="194">
      <t>リカイ</t>
    </rPh>
    <rPh sb="198" eb="201">
      <t>グタイテキ</t>
    </rPh>
    <rPh sb="205" eb="207">
      <t>カイセキ</t>
    </rPh>
    <rPh sb="207" eb="209">
      <t>ギジュツ</t>
    </rPh>
    <rPh sb="212" eb="215">
      <t>トウケイテキ</t>
    </rPh>
    <rPh sb="216" eb="218">
      <t>カイセキ</t>
    </rPh>
    <rPh sb="219" eb="222">
      <t>サイテキカ</t>
    </rPh>
    <rPh sb="235" eb="237">
      <t>ガイセツ</t>
    </rPh>
    <phoneticPr fontId="1"/>
  </si>
  <si>
    <t>データの活用事例 (2)、情報ネットワークの仕組み (5-7)、データ利活用の技術（9)</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</si>
  <si>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</si>
  <si>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コンピュータウイルスなどのマルウェアやフィッシングメール等による被害、情報漏洩等の事例を紹介し、これらの情報セキュリティ上の脅威への対策について解説する。また、公開鍵暗号や電子署名など、セキュアな通信や個人認証の方法を理解させる。個人情報の保護に関する法律、EU一般データ保護規則、知的財産権とその保護についても講義する。データを扱う上での不正事項として、捏造、改ざん、盗用等があることを示し、レポート等を作成する際の参考文献の引用方法等についても学ぶ。</t>
    <rPh sb="29" eb="30">
      <t>ナド</t>
    </rPh>
    <rPh sb="33" eb="35">
      <t>ヒガイ</t>
    </rPh>
    <rPh sb="36" eb="38">
      <t>ジョウホウ</t>
    </rPh>
    <rPh sb="38" eb="40">
      <t>ロウエイ</t>
    </rPh>
    <rPh sb="40" eb="41">
      <t>ナド</t>
    </rPh>
    <rPh sb="42" eb="44">
      <t>ジレイ</t>
    </rPh>
    <rPh sb="45" eb="47">
      <t>ショウカイ</t>
    </rPh>
    <rPh sb="53" eb="55">
      <t>ジョウホウ</t>
    </rPh>
    <rPh sb="61" eb="62">
      <t>ウエ</t>
    </rPh>
    <rPh sb="63" eb="65">
      <t>キョウイ</t>
    </rPh>
    <rPh sb="67" eb="69">
      <t>タイサク</t>
    </rPh>
    <rPh sb="73" eb="75">
      <t>カイセツ</t>
    </rPh>
    <rPh sb="81" eb="83">
      <t>コウカイ</t>
    </rPh>
    <rPh sb="83" eb="84">
      <t>カギ</t>
    </rPh>
    <rPh sb="84" eb="86">
      <t>アンゴウ</t>
    </rPh>
    <rPh sb="87" eb="89">
      <t>デンシ</t>
    </rPh>
    <rPh sb="89" eb="91">
      <t>ショメイ</t>
    </rPh>
    <rPh sb="99" eb="101">
      <t>ツウシン</t>
    </rPh>
    <rPh sb="102" eb="104">
      <t>コジン</t>
    </rPh>
    <rPh sb="104" eb="106">
      <t>ニンショウ</t>
    </rPh>
    <rPh sb="107" eb="109">
      <t>ホウホウ</t>
    </rPh>
    <rPh sb="110" eb="112">
      <t>リカイ</t>
    </rPh>
    <rPh sb="116" eb="118">
      <t>コジン</t>
    </rPh>
    <rPh sb="118" eb="120">
      <t>ジョウホウ</t>
    </rPh>
    <rPh sb="121" eb="123">
      <t>ホゴ</t>
    </rPh>
    <rPh sb="124" eb="125">
      <t>カン</t>
    </rPh>
    <rPh sb="127" eb="129">
      <t>ホウリツ</t>
    </rPh>
    <rPh sb="132" eb="134">
      <t>イッパン</t>
    </rPh>
    <rPh sb="137" eb="141">
      <t>ホゴキソク</t>
    </rPh>
    <rPh sb="142" eb="144">
      <t>チテキ</t>
    </rPh>
    <rPh sb="144" eb="147">
      <t>ザイサンケン</t>
    </rPh>
    <rPh sb="150" eb="152">
      <t>ホゴ</t>
    </rPh>
    <rPh sb="157" eb="159">
      <t>コウギ</t>
    </rPh>
    <rPh sb="166" eb="167">
      <t>アツカ</t>
    </rPh>
    <rPh sb="168" eb="169">
      <t>ウエ</t>
    </rPh>
    <rPh sb="171" eb="173">
      <t>フセイ</t>
    </rPh>
    <rPh sb="173" eb="175">
      <t>ジコウ</t>
    </rPh>
    <rPh sb="179" eb="181">
      <t>ネツゾウ</t>
    </rPh>
    <rPh sb="182" eb="183">
      <t>カイ</t>
    </rPh>
    <rPh sb="186" eb="188">
      <t>トウヨウ</t>
    </rPh>
    <rPh sb="188" eb="189">
      <t>ナド</t>
    </rPh>
    <rPh sb="195" eb="196">
      <t>シメ</t>
    </rPh>
    <rPh sb="202" eb="203">
      <t>ナド</t>
    </rPh>
    <rPh sb="204" eb="206">
      <t>サクセイ</t>
    </rPh>
    <rPh sb="208" eb="209">
      <t>サイ</t>
    </rPh>
    <rPh sb="210" eb="212">
      <t>サンコウ</t>
    </rPh>
    <rPh sb="212" eb="214">
      <t>ブンケン</t>
    </rPh>
    <rPh sb="215" eb="217">
      <t>インヨウ</t>
    </rPh>
    <rPh sb="217" eb="219">
      <t>ホウホウ</t>
    </rPh>
    <rPh sb="219" eb="220">
      <t>ナド</t>
    </rPh>
    <rPh sb="225" eb="226">
      <t>マナ</t>
    </rPh>
    <phoneticPr fontId="1"/>
  </si>
  <si>
    <t>情報セキュリティ、情報倫理、データ倫理、個人情報の保護（８）</t>
    <rPh sb="0" eb="2">
      <t>ジョウホウ</t>
    </rPh>
    <rPh sb="9" eb="11">
      <t>ジョウホウ</t>
    </rPh>
    <rPh sb="11" eb="13">
      <t>リンリ</t>
    </rPh>
    <rPh sb="17" eb="19">
      <t>リンリ</t>
    </rPh>
    <rPh sb="20" eb="22">
      <t>コジン</t>
    </rPh>
    <rPh sb="22" eb="24">
      <t>ジョウホウ</t>
    </rPh>
    <rPh sb="25" eb="27">
      <t>ホゴ</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</si>
  <si>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</si>
  <si>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　データ解析方法と解析結果の可視化について、講義と実データを用いた演習を行う。データの平均値や分散・標準偏差の計算方法、実験・観測データに含まれる誤差の扱い、標本の抽出方法、クロス集計などについて解説し、データの分布をヒストグラムとして表現したり、データ間の関係を散布図として表現する演習を行う。表計算ソフトや Python言語を用いて平均値や標準偏差を計算したり、データを並び替える演習も行う。データの保存形式として csv 形式について理解させる。実データを用いた演習を通してデータを読み解く能力を高め、不適切に作成されたグラフや数字に騙されないデータリテラシーを養う。</t>
    <rPh sb="4" eb="6">
      <t>カイセキ</t>
    </rPh>
    <rPh sb="6" eb="8">
      <t>ホウホウ</t>
    </rPh>
    <rPh sb="9" eb="11">
      <t>カイセキ</t>
    </rPh>
    <rPh sb="11" eb="13">
      <t>ケッカ</t>
    </rPh>
    <rPh sb="14" eb="17">
      <t>カシカ</t>
    </rPh>
    <rPh sb="22" eb="24">
      <t>コウギ</t>
    </rPh>
    <rPh sb="25" eb="26">
      <t>ジツ</t>
    </rPh>
    <rPh sb="30" eb="31">
      <t>モチ</t>
    </rPh>
    <rPh sb="33" eb="35">
      <t>エンシュウ</t>
    </rPh>
    <rPh sb="36" eb="37">
      <t>オコナ</t>
    </rPh>
    <rPh sb="43" eb="46">
      <t>ヘイキンチ</t>
    </rPh>
    <rPh sb="47" eb="49">
      <t>ブンサン</t>
    </rPh>
    <rPh sb="50" eb="52">
      <t>ヒョウジュン</t>
    </rPh>
    <rPh sb="52" eb="54">
      <t>ヘンサ</t>
    </rPh>
    <rPh sb="55" eb="57">
      <t>ケイサン</t>
    </rPh>
    <rPh sb="57" eb="59">
      <t>ホウホウ</t>
    </rPh>
    <rPh sb="60" eb="62">
      <t>ジッケン</t>
    </rPh>
    <rPh sb="63" eb="65">
      <t>カンソク</t>
    </rPh>
    <rPh sb="69" eb="70">
      <t>フク</t>
    </rPh>
    <rPh sb="73" eb="75">
      <t>ゴサ</t>
    </rPh>
    <rPh sb="76" eb="77">
      <t>アツカ</t>
    </rPh>
    <rPh sb="79" eb="81">
      <t>ヒョウホン</t>
    </rPh>
    <rPh sb="82" eb="84">
      <t>チュウシュツ</t>
    </rPh>
    <rPh sb="84" eb="86">
      <t>ホウホウ</t>
    </rPh>
    <rPh sb="90" eb="92">
      <t>シュウケイ</t>
    </rPh>
    <rPh sb="98" eb="100">
      <t>カイセツ</t>
    </rPh>
    <rPh sb="106" eb="108">
      <t>ブンプ</t>
    </rPh>
    <rPh sb="118" eb="120">
      <t>ヒョウゲン</t>
    </rPh>
    <rPh sb="127" eb="128">
      <t>アイダ</t>
    </rPh>
    <rPh sb="129" eb="131">
      <t>カンケイ</t>
    </rPh>
    <rPh sb="132" eb="135">
      <t>サンプズ</t>
    </rPh>
    <rPh sb="138" eb="140">
      <t>ヒョウゲン</t>
    </rPh>
    <rPh sb="142" eb="144">
      <t>エンシュウ</t>
    </rPh>
    <rPh sb="145" eb="146">
      <t>オコナ</t>
    </rPh>
    <rPh sb="148" eb="151">
      <t>ヒョウケイサン</t>
    </rPh>
    <rPh sb="162" eb="164">
      <t>ゲンゴ</t>
    </rPh>
    <rPh sb="165" eb="166">
      <t>モチ</t>
    </rPh>
    <rPh sb="168" eb="171">
      <t>ヘイキンチ</t>
    </rPh>
    <rPh sb="172" eb="176">
      <t>ヒョウジュンヘンサ</t>
    </rPh>
    <rPh sb="177" eb="179">
      <t>ケイサン</t>
    </rPh>
    <rPh sb="187" eb="188">
      <t>ナラ</t>
    </rPh>
    <rPh sb="189" eb="190">
      <t>カ</t>
    </rPh>
    <rPh sb="192" eb="194">
      <t>エンシュウ</t>
    </rPh>
    <rPh sb="195" eb="196">
      <t>オコナ</t>
    </rPh>
    <rPh sb="202" eb="204">
      <t>ホゾン</t>
    </rPh>
    <rPh sb="204" eb="206">
      <t>ケイシキ</t>
    </rPh>
    <rPh sb="214" eb="216">
      <t>ケイシキ</t>
    </rPh>
    <rPh sb="220" eb="222">
      <t>リカイ</t>
    </rPh>
    <rPh sb="226" eb="227">
      <t>ジツ</t>
    </rPh>
    <rPh sb="231" eb="232">
      <t>モチ</t>
    </rPh>
    <rPh sb="234" eb="236">
      <t>エンシュウ</t>
    </rPh>
    <rPh sb="237" eb="238">
      <t>トオ</t>
    </rPh>
    <rPh sb="244" eb="245">
      <t>ヨ</t>
    </rPh>
    <rPh sb="246" eb="247">
      <t>ト</t>
    </rPh>
    <rPh sb="248" eb="250">
      <t>ノウリョク</t>
    </rPh>
    <rPh sb="251" eb="252">
      <t>タカ</t>
    </rPh>
    <rPh sb="254" eb="257">
      <t>フテキセツ</t>
    </rPh>
    <rPh sb="258" eb="260">
      <t>サクセイ</t>
    </rPh>
    <rPh sb="267" eb="269">
      <t>スウジ</t>
    </rPh>
    <rPh sb="270" eb="271">
      <t>ダマ</t>
    </rPh>
    <rPh sb="284" eb="285">
      <t>ヤシナ</t>
    </rPh>
    <phoneticPr fontId="1"/>
  </si>
  <si>
    <t>データ解析の基礎、データの可視化、データ解析演習（10-15）</t>
    <rPh sb="3" eb="5">
      <t>カイセキ</t>
    </rPh>
    <rPh sb="6" eb="8">
      <t>キソ</t>
    </rPh>
    <rPh sb="13" eb="16">
      <t>カシカ</t>
    </rPh>
    <rPh sb="20" eb="22">
      <t>カイセキ</t>
    </rPh>
    <rPh sb="22" eb="24">
      <t>エンシュウ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</si>
  <si>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</si>
  <si>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</si>
  <si>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データサイエンスA、データサイエンスB、データサイエンスC,中級データサイエンス、野球観戦に活きるデータ科学、
Rによるアンケート調査の集計、IOTデータ解析入門</t>
    <rPh sb="30" eb="32">
      <t>チュウキュウ</t>
    </rPh>
    <rPh sb="41" eb="43">
      <t>ヤキュウ</t>
    </rPh>
    <rPh sb="43" eb="45">
      <t>カンセン</t>
    </rPh>
    <rPh sb="46" eb="47">
      <t>イ</t>
    </rPh>
    <rPh sb="52" eb="54">
      <t>カガク</t>
    </rPh>
    <rPh sb="65" eb="67">
      <t>チョウサ</t>
    </rPh>
    <rPh sb="68" eb="70">
      <t>シュウケイ</t>
    </rPh>
    <rPh sb="77" eb="79">
      <t>カイセキ</t>
    </rPh>
    <rPh sb="79" eb="81">
      <t>ニュウモン</t>
    </rPh>
    <phoneticPr fontId="1"/>
  </si>
  <si>
    <t>アルゴリズム基礎</t>
    <rPh sb="6" eb="8">
      <t>キソ</t>
    </rPh>
    <phoneticPr fontId="1"/>
  </si>
  <si>
    <t>情報リテラシー、データサイエンスB、データサイエンスD、、AIのためのPython入門</t>
    <rPh sb="0" eb="2">
      <t>ジョウホウ</t>
    </rPh>
    <rPh sb="41" eb="43">
      <t>ニュウモン</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</si>
  <si>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</si>
  <si>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</si>
  <si>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データサイエンスB、野球観戦に活きるデータ科学、IOTデータ解析入門</t>
    <rPh sb="10" eb="12">
      <t>ヤキュウ</t>
    </rPh>
    <rPh sb="12" eb="14">
      <t>カンセン</t>
    </rPh>
    <rPh sb="15" eb="16">
      <t>イ</t>
    </rPh>
    <rPh sb="21" eb="23">
      <t>カガク</t>
    </rPh>
    <rPh sb="30" eb="34">
      <t>カイセキニュウモン</t>
    </rPh>
    <phoneticPr fontId="1"/>
  </si>
  <si>
    <t>テキスト解析</t>
    <rPh sb="4" eb="6">
      <t>カイセキ</t>
    </rPh>
    <phoneticPr fontId="1"/>
  </si>
  <si>
    <t>人文科学研究のための多言語処理と情報検索、AIのためのPython入門</t>
    <phoneticPr fontId="1"/>
  </si>
  <si>
    <t>画像解析</t>
    <rPh sb="0" eb="2">
      <t>ガゾウ</t>
    </rPh>
    <rPh sb="2" eb="4">
      <t>カイセキ</t>
    </rPh>
    <phoneticPr fontId="1"/>
  </si>
  <si>
    <t>データハンドリング</t>
    <phoneticPr fontId="1"/>
  </si>
  <si>
    <t>データサイエンスA、データサイエンスB、中級データサイエンス、野球観戦に活きるデータ科学、Rによるアンケート
調査の集計、AIのためのPython入門、IOTデータ解析入門</t>
    <rPh sb="20" eb="22">
      <t>チュウキュウ</t>
    </rPh>
    <rPh sb="31" eb="35">
      <t>ヤキュウカンセン</t>
    </rPh>
    <rPh sb="36" eb="37">
      <t>イ</t>
    </rPh>
    <rPh sb="42" eb="44">
      <t>カガク</t>
    </rPh>
    <rPh sb="55" eb="57">
      <t>チョウサ</t>
    </rPh>
    <rPh sb="58" eb="60">
      <t>シュウケイ</t>
    </rPh>
    <rPh sb="73" eb="75">
      <t>ニュウモン</t>
    </rPh>
    <rPh sb="82" eb="84">
      <t>カイセキ</t>
    </rPh>
    <rPh sb="84" eb="86">
      <t>ニュウモン</t>
    </rPh>
    <phoneticPr fontId="1"/>
  </si>
  <si>
    <t>データ活用実践（教師あり学習）</t>
    <rPh sb="3" eb="5">
      <t>カツヨウ</t>
    </rPh>
    <rPh sb="5" eb="7">
      <t>ジッセン</t>
    </rPh>
    <rPh sb="8" eb="10">
      <t>キョウシ</t>
    </rPh>
    <rPh sb="12" eb="14">
      <t>ガクシュウ</t>
    </rPh>
    <phoneticPr fontId="1"/>
  </si>
  <si>
    <t>データサイエンスA、データサイエンスB、データサイエンスD、中級データサイエンス、野球観戦に活きるデータ科学、Rによるアンケート調査の集計、AIのためのPython入門、IOTデータ解析入門</t>
    <rPh sb="30" eb="32">
      <t>チュウキュウ</t>
    </rPh>
    <rPh sb="41" eb="43">
      <t>ヤキュウ</t>
    </rPh>
    <rPh sb="43" eb="45">
      <t>カンセン</t>
    </rPh>
    <rPh sb="46" eb="47">
      <t>イ</t>
    </rPh>
    <rPh sb="52" eb="54">
      <t>カガク</t>
    </rPh>
    <rPh sb="64" eb="66">
      <t>チョウサ</t>
    </rPh>
    <rPh sb="67" eb="69">
      <t>シュウケイ</t>
    </rPh>
    <rPh sb="82" eb="84">
      <t>ニュウモン</t>
    </rPh>
    <rPh sb="91" eb="93">
      <t>カイセキ</t>
    </rPh>
    <rPh sb="93" eb="95">
      <t>ニュウモン</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</si>
  <si>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</si>
  <si>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</si>
  <si>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https://www.chiba-u.ac.jp/education/coe_gp/ai.html</t>
    <phoneticPr fontId="1"/>
  </si>
  <si>
    <t>プログラムの学修成果（学生等が身に付けられる能力等）</t>
  </si>
  <si>
    <t>　計算機の処理能力の向上と情報ネットワーク、AI の発達によって進行しつつある社会の変化について理解し、このような社会で生きていく上で必要になる情報処理・データ分析能力と情報倫理を習得する。また、その基盤となっている計算機と計算機ネットワークの原理を理解する。ビッグデータの活用事例、データの収集、分析方法について学び、表計算ソフトやPython言語等を用いて実データの解析・可視化を行う能力を高める。情報セキュリティ上の脅威とその対処方法、データを利活用するためのモラルや倫理、個人情報保護のために留意すべき事項を理解し、実践できるようになる。機械学習、AIへの理解も深める。</t>
    <rPh sb="137" eb="139">
      <t>カツヨウ</t>
    </rPh>
    <rPh sb="139" eb="141">
      <t>ジレイ</t>
    </rPh>
    <rPh sb="173" eb="175">
      <t>ゲンゴ</t>
    </rPh>
    <rPh sb="192" eb="193">
      <t>オコナ</t>
    </rPh>
    <rPh sb="194" eb="196">
      <t>ノウリョク</t>
    </rPh>
    <rPh sb="197" eb="198">
      <t>タカ</t>
    </rPh>
    <rPh sb="273" eb="275">
      <t>キカイ</t>
    </rPh>
    <rPh sb="275" eb="277">
      <t>ガクシュウ</t>
    </rPh>
    <rPh sb="282" eb="284">
      <t>リカイ</t>
    </rPh>
    <rPh sb="285" eb="286">
      <t>フカ</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</si>
  <si>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</si>
  <si>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</si>
  <si>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</si>
  <si>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</si>
  <si>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</si>
  <si>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国立大学法人千葉大学国際未来教育基幹データサイエンス教育実施本部要項</t>
    <phoneticPr fontId="1"/>
  </si>
  <si>
    <t>体制の目的</t>
    <rPh sb="0" eb="2">
      <t>タイセイ</t>
    </rPh>
    <rPh sb="3" eb="5">
      <t>モクテキ</t>
    </rPh>
    <phoneticPr fontId="1"/>
  </si>
  <si>
    <t xml:space="preserve">　数理・データサイエンス教育に係る施策の企画・立案・実施及び改善・充実に関する業務を行うことを目的に、学長を長とする教育改革組織である国際未来教育基幹にデータサイエンス教育実施本部を設置。本組織において、全学的な数理・データサイエンス教育の舵取りを行うとともに、必要に応じ見直しを図るなどのＰＤＣＡサイクルを確立する。
</t>
    <phoneticPr fontId="1"/>
  </si>
  <si>
    <t>具体的な構成員</t>
    <rPh sb="0" eb="3">
      <t>グタイテキ</t>
    </rPh>
    <rPh sb="4" eb="7">
      <t>コウセイイン</t>
    </rPh>
    <phoneticPr fontId="1"/>
  </si>
  <si>
    <t xml:space="preserve">データサイエンス教育実施本部長　　　小澤　弘明　（副学長、国際学術研究院　教授）
データサイエンス教育副実施本部長　 松元　亮治　（理学研究院　教授）
国際学術研究院　  教授　　　泉　利明 
人文科学研究院　  教授　　　竹内 比呂也 
社会科学研究院　 准教授　  川久保　友超 
理学研究院　        教授　     加納　博文 
理学研究院      　  教授　     井上　玲 
理学研究院　        教授　     内藤　貫太 
統合情報センター　教授　     今泉　貴史 
統合情報センター　教授　     全　へい東
アカデミック・リンク・センター　准教授　 岡田　聡志 </t>
    <phoneticPr fontId="1"/>
  </si>
  <si>
    <t>履修者数・履修率の向上に向けた計画</t>
    <rPh sb="5" eb="7">
      <t>リシュウ</t>
    </rPh>
    <rPh sb="7" eb="8">
      <t>リツ</t>
    </rPh>
    <phoneticPr fontId="1"/>
  </si>
  <si>
    <t xml:space="preserve">　千葉大学グローバル人材育成ENGINEプログラムの一環として、令和元年度に全学の一般教養教育カリキュラムの大幅な改善を行い、その中で、普遍教育科目学術発展科目群数理・データサイエンス科目を開設し、令和２年度入学の全ての学部・学科・コースの１年次学生より、上記科目３単位を必修の卒業要件単位として修得することとした（完成年度前の工学部と教育学部、数理・データサイエンス専門学科である理学部数学・情報数理学科を除く）。令和２年度には数理・データサイエンス科目（基礎）は31クラス、数理・データサイエンス科目（展開）は24クラスが開講され、いずれも１学年全員（2300名）が履修可能となっている。
各年度の履修率の計画
　令和３年度　　30％　（工学部履修開始）
　令和４年度　　50％
　令和５年度　　75％　（教育学部履修開始）
</t>
    <rPh sb="10" eb="12">
      <t>ジンザイ</t>
    </rPh>
    <rPh sb="12" eb="14">
      <t>イクセイ</t>
    </rPh>
    <rPh sb="136" eb="138">
      <t>ヒッシュウ</t>
    </rPh>
    <rPh sb="173" eb="175">
      <t>スウリ</t>
    </rPh>
    <rPh sb="184" eb="188">
      <t>センモンガッカ</t>
    </rPh>
    <rPh sb="191" eb="194">
      <t>リガクブ</t>
    </rPh>
    <rPh sb="194" eb="196">
      <t>スウガク</t>
    </rPh>
    <rPh sb="197" eb="199">
      <t>ジョウホウ</t>
    </rPh>
    <rPh sb="199" eb="201">
      <t>スウリ</t>
    </rPh>
    <rPh sb="201" eb="203">
      <t>ガッカ</t>
    </rPh>
    <rPh sb="208" eb="210">
      <t>レイワ</t>
    </rPh>
    <rPh sb="211" eb="213">
      <t>ネンド</t>
    </rPh>
    <rPh sb="215" eb="217">
      <t>スウリ</t>
    </rPh>
    <rPh sb="226" eb="228">
      <t>カモク</t>
    </rPh>
    <rPh sb="229" eb="231">
      <t>キソ</t>
    </rPh>
    <rPh sb="239" eb="241">
      <t>スウリ</t>
    </rPh>
    <rPh sb="250" eb="252">
      <t>カモク</t>
    </rPh>
    <rPh sb="253" eb="255">
      <t>テンカイ</t>
    </rPh>
    <rPh sb="263" eb="265">
      <t>カイコウ</t>
    </rPh>
    <rPh sb="273" eb="275">
      <t>ガクネン</t>
    </rPh>
    <rPh sb="275" eb="277">
      <t>ゼンイン</t>
    </rPh>
    <rPh sb="282" eb="283">
      <t>メイ</t>
    </rPh>
    <rPh sb="285" eb="287">
      <t>リシュウ</t>
    </rPh>
    <rPh sb="287" eb="289">
      <t>カノウ</t>
    </rPh>
    <rPh sb="298" eb="301">
      <t>カクネンド</t>
    </rPh>
    <rPh sb="302" eb="304">
      <t>リシュウ</t>
    </rPh>
    <rPh sb="304" eb="305">
      <t>リツ</t>
    </rPh>
    <rPh sb="306" eb="308">
      <t>ケイカク</t>
    </rPh>
    <rPh sb="310" eb="312">
      <t>レイワ</t>
    </rPh>
    <rPh sb="313" eb="315">
      <t>ネンド</t>
    </rPh>
    <rPh sb="322" eb="325">
      <t>コウガクブ</t>
    </rPh>
    <rPh sb="325" eb="327">
      <t>リシュウ</t>
    </rPh>
    <rPh sb="327" eb="329">
      <t>カイシ</t>
    </rPh>
    <rPh sb="356" eb="358">
      <t>キョウイク</t>
    </rPh>
    <rPh sb="358" eb="360">
      <t>ガクブ</t>
    </rPh>
    <rPh sb="360" eb="362">
      <t>リシュウ</t>
    </rPh>
    <rPh sb="362" eb="364">
      <t>カイシ</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</si>
  <si>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</si>
  <si>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本学では、以前より情報リテラシーを修得する科目として、「情報処理」を開設してきたが、平成29年度に、一般教養教育カリキュラムの改善を行い、それまでの「情報処理」を「情報リテラシー」と改め、情報技術のみならず、情報セキュリティ、情報倫理の課題やその対応を網羅する講義と、データ解析等の演習から構成される全学部必修の授業科目として再構成した。令和2年度に、「情報リテラシー」を数理・データサイエンス科目(基礎）と位置づけ、引き続き全学部必修として授業を提供している。
　数理・データサイエンス科目は、全学の教員からなる数理・データサイエンス科目教員集団の教員が担当し、また、全学の数理・データサイエンス・AI教育を推進するデータサイエンス教育実施本部を設置し、令和３年度からの新規科目の開設や、令和３年度以降、必修として受講を開始する工学部、並びに、令和５年度以降に開始する教育学部への対応を計画的に進めている。</t>
    <rPh sb="131" eb="133">
      <t>コウギ</t>
    </rPh>
    <rPh sb="141" eb="143">
      <t>コウセイ</t>
    </rPh>
    <rPh sb="243" eb="245">
      <t>ゼンガク</t>
    </rPh>
    <rPh sb="246" eb="248">
      <t>キョウイン</t>
    </rPh>
    <rPh sb="252" eb="254">
      <t>スウリ</t>
    </rPh>
    <rPh sb="263" eb="265">
      <t>カモク</t>
    </rPh>
    <rPh sb="265" eb="267">
      <t>キョウイン</t>
    </rPh>
    <rPh sb="267" eb="269">
      <t>シュウダン</t>
    </rPh>
    <rPh sb="269" eb="270">
      <t>オヨ</t>
    </rPh>
    <rPh sb="272" eb="273">
      <t>カク</t>
    </rPh>
    <rPh sb="273" eb="275">
      <t>ブンヤ</t>
    </rPh>
    <rPh sb="276" eb="278">
      <t>キョウイン</t>
    </rPh>
    <rPh sb="279" eb="281">
      <t>タントウ</t>
    </rPh>
    <rPh sb="297" eb="299">
      <t>キョウイク</t>
    </rPh>
    <rPh sb="300" eb="302">
      <t>スイシン</t>
    </rPh>
    <rPh sb="312" eb="314">
      <t>キョウイク</t>
    </rPh>
    <rPh sb="314" eb="316">
      <t>ジッシ</t>
    </rPh>
    <rPh sb="316" eb="318">
      <t>ホンブ</t>
    </rPh>
    <rPh sb="319" eb="321">
      <t>セッチ</t>
    </rPh>
    <rPh sb="323" eb="325">
      <t>レイワ</t>
    </rPh>
    <rPh sb="326" eb="328">
      <t>ネンド</t>
    </rPh>
    <rPh sb="331" eb="333">
      <t>シンキ</t>
    </rPh>
    <rPh sb="333" eb="335">
      <t>カモク</t>
    </rPh>
    <rPh sb="336" eb="338">
      <t>カイセツ</t>
    </rPh>
    <rPh sb="340" eb="342">
      <t>レイワ</t>
    </rPh>
    <rPh sb="343" eb="345">
      <t>ネンド</t>
    </rPh>
    <rPh sb="345" eb="347">
      <t>イコウ</t>
    </rPh>
    <rPh sb="348" eb="350">
      <t>ヒッシュウ</t>
    </rPh>
    <rPh sb="353" eb="355">
      <t>ジュコウ</t>
    </rPh>
    <rPh sb="356" eb="358">
      <t>カイシ</t>
    </rPh>
    <rPh sb="360" eb="363">
      <t>コウガクブ</t>
    </rPh>
    <rPh sb="364" eb="365">
      <t>ナラ</t>
    </rPh>
    <rPh sb="368" eb="370">
      <t>レイワ</t>
    </rPh>
    <rPh sb="371" eb="373">
      <t>ネンド</t>
    </rPh>
    <rPh sb="373" eb="375">
      <t>イコウ</t>
    </rPh>
    <rPh sb="376" eb="378">
      <t>カイシ</t>
    </rPh>
    <rPh sb="380" eb="382">
      <t>キョウイク</t>
    </rPh>
    <rPh sb="382" eb="384">
      <t>ガクブ</t>
    </rPh>
    <rPh sb="386" eb="388">
      <t>タイオウ</t>
    </rPh>
    <rPh sb="389" eb="392">
      <t>ケイカクテキ</t>
    </rPh>
    <rPh sb="393" eb="394">
      <t>スス</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</si>
  <si>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</si>
  <si>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本学では、以前より情報リテラシーを修得する科目として、「情報処理」を開設してきたが、平成29年度に、一般教養教育カリキュラムの改善を行い、それまで「情報処理」を「情報リテラシー」と改め、情報技術のみならず、情報セキュリティ、情報倫理の課題やその対応も網羅する、全学部必修の授業科目として再構成した。令和2年度に、「情報リテラシー」を数理・データサイエンス科目(基礎）と位置づけ、引き続き全学部必修として授業を提供している（令和2年度において完成前の工学部、教育学部を除く）。
　また、履修に関する周知として、卒業に必要な単位数、履修ルール、方法、各授業の曜日時限といった詳細を、「Guidance」という冊子としてまとめ、全新入生を対象に配付しているほか、本冊子の読み方から活用方法をレクチャーするために、普遍教育ガイダンス動画を作成のうえ、配信している。</t>
    <rPh sb="243" eb="245">
      <t>リシュウ</t>
    </rPh>
    <rPh sb="246" eb="247">
      <t>カン</t>
    </rPh>
    <rPh sb="249" eb="251">
      <t>シュウチ</t>
    </rPh>
    <rPh sb="265" eb="267">
      <t>リシュウ</t>
    </rPh>
    <rPh sb="271" eb="273">
      <t>ホウホウ</t>
    </rPh>
    <rPh sb="274" eb="275">
      <t>カク</t>
    </rPh>
    <rPh sb="275" eb="277">
      <t>ジュギョウ</t>
    </rPh>
    <rPh sb="278" eb="280">
      <t>ヨウビ</t>
    </rPh>
    <rPh sb="280" eb="282">
      <t>ジゲン</t>
    </rPh>
    <rPh sb="286" eb="288">
      <t>ショウサイ</t>
    </rPh>
    <rPh sb="303" eb="305">
      <t>サッシ</t>
    </rPh>
    <rPh sb="312" eb="313">
      <t>ゼン</t>
    </rPh>
    <rPh sb="313" eb="316">
      <t>シンニュウセイ</t>
    </rPh>
    <rPh sb="317" eb="319">
      <t>タイショウ</t>
    </rPh>
    <rPh sb="320" eb="322">
      <t>ハイフ</t>
    </rPh>
    <rPh sb="329" eb="330">
      <t>ホン</t>
    </rPh>
    <rPh sb="330" eb="332">
      <t>サッシ</t>
    </rPh>
    <rPh sb="333" eb="334">
      <t>ヨ</t>
    </rPh>
    <rPh sb="335" eb="336">
      <t>カタ</t>
    </rPh>
    <rPh sb="338" eb="340">
      <t>カツヨウ</t>
    </rPh>
    <rPh sb="340" eb="342">
      <t>ホウホウ</t>
    </rPh>
    <rPh sb="366" eb="368">
      <t>サクセイ</t>
    </rPh>
    <phoneticPr fontId="1"/>
  </si>
  <si>
    <t>できる限り多くの学生が履修・修得できるようなサポート体制</t>
    <rPh sb="26" eb="28">
      <t>タイセイ</t>
    </rPh>
    <phoneticPr fontId="1"/>
  </si>
  <si>
    <t xml:space="preserve">　できる限り多くの学生が履修・修得できるようなサポート体制として、履修に関する相談窓口を設け教員への質問などに対応しているほか、大学院学生による分野別学習相談を受け付けており授業外学修や自主学習のサポートを行っている。加えて、サポートの一環として、千葉大学の学生が誰でも利用可能な700台以上の教育用端末、550箇所以上の無線LANアクセスポイント、データ解析などの用途に利用することが可能な高速演算処理サーバを設置しており、数理・データ・AI教育に必要な学修環境を整えている。
　さらには、Microsoft365を全学生が無償で利用可能としているうえ、令和2年度にはGoogle Workspace for Education を導入し、数理・データサイエンス・AI分野における学習環境の充実に努めている。
</t>
    <rPh sb="4" eb="5">
      <t>カギ</t>
    </rPh>
    <rPh sb="12" eb="14">
      <t>リシュウ</t>
    </rPh>
    <rPh sb="124" eb="128">
      <t>チバダイガク</t>
    </rPh>
    <rPh sb="129" eb="131">
      <t>ガクセイ</t>
    </rPh>
    <phoneticPr fontId="1"/>
  </si>
  <si>
    <t>授業時間内外で学習指導、質問を受け付ける具体的な仕組み</t>
    <rPh sb="20" eb="23">
      <t>グタイテキ</t>
    </rPh>
    <phoneticPr fontId="1"/>
  </si>
  <si>
    <t>　授業時間内においては、対面授業とメディア授業のいずれの授業形態でも、各教員が当該授業時間内に適宜質疑等を受ける時間を設け対応している。授業時間外においては、各教員がオフィスアワーを設け、学生からの質疑等を直接受ける機会を設けるとともに、メディア授業内でのツールを活用し、いつでも質疑等ができる体制を整えている。</t>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</si>
  <si>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</si>
  <si>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</si>
  <si>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</si>
  <si>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</si>
  <si>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</si>
  <si>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</si>
  <si>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</si>
  <si>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</si>
  <si>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平成29年度より、情報リテラシー科目を全ての学部学科での必修科目として開講し、全学教育センター普遍教育運営部会において、各科目ごとの、履修率、単位修得率、成績分布を確認している。科目の単位修得率から、受講学生の理解度の高さが確認できる。引き続き、各科目ごとのデータを抽出し、分析のうえ、科目へのフィードバックを続けることとしている。</t>
    <rPh sb="1" eb="3">
      <t>ヘイセイ</t>
    </rPh>
    <rPh sb="5" eb="7">
      <t>ネンド</t>
    </rPh>
    <rPh sb="10" eb="12">
      <t>ジョウホウ</t>
    </rPh>
    <rPh sb="17" eb="19">
      <t>カモク</t>
    </rPh>
    <rPh sb="113" eb="115">
      <t>カクニン</t>
    </rPh>
    <rPh sb="119" eb="120">
      <t>ヒ</t>
    </rPh>
    <rPh sb="121" eb="122">
      <t>ツヅ</t>
    </rPh>
    <rPh sb="124" eb="127">
      <t>カクカモク</t>
    </rPh>
    <rPh sb="134" eb="136">
      <t>チュウシュツ</t>
    </rPh>
    <rPh sb="138" eb="140">
      <t>ブンセキ</t>
    </rPh>
    <rPh sb="144" eb="146">
      <t>カモク</t>
    </rPh>
    <rPh sb="156" eb="157">
      <t>ツヅ</t>
    </rPh>
    <phoneticPr fontId="1"/>
  </si>
  <si>
    <t>学修成果</t>
    <rPh sb="0" eb="2">
      <t>ガクシュウ</t>
    </rPh>
    <rPh sb="2" eb="4">
      <t>セイカ</t>
    </rPh>
    <phoneticPr fontId="1"/>
  </si>
  <si>
    <t>　全学教育センター普遍教育運営部会における、各科目ごとの、履修率、単位修得率、成績分布の確認から、受講学生の理解度の高さを確認している。その一方で、学内のネットワーク利用のルールや、コンピュータウイルスへ対応のルールなどといった情報倫理や情報セキュリティに対する課題の全てが解消されている状況にはないため、引き続き、これらの理解に加え、学生が情報倫理に基づき、日々変化する情報セキュリティ対策を実践できるよう、授業改善に取り組むこととしている。</t>
    <rPh sb="61" eb="63">
      <t>カクニン</t>
    </rPh>
    <rPh sb="70" eb="72">
      <t>イッポウ</t>
    </rPh>
    <rPh sb="74" eb="76">
      <t>ガクナイ</t>
    </rPh>
    <rPh sb="83" eb="85">
      <t>リヨウ</t>
    </rPh>
    <rPh sb="102" eb="104">
      <t>タイオウ</t>
    </rPh>
    <rPh sb="114" eb="116">
      <t>ジョウホウ</t>
    </rPh>
    <rPh sb="116" eb="118">
      <t>リンリ</t>
    </rPh>
    <rPh sb="119" eb="121">
      <t>ジョウホウ</t>
    </rPh>
    <rPh sb="128" eb="129">
      <t>タイ</t>
    </rPh>
    <rPh sb="131" eb="133">
      <t>カダイ</t>
    </rPh>
    <rPh sb="134" eb="135">
      <t>スベ</t>
    </rPh>
    <rPh sb="137" eb="139">
      <t>カイショウ</t>
    </rPh>
    <rPh sb="144" eb="146">
      <t>ジョウキョウ</t>
    </rPh>
    <rPh sb="153" eb="154">
      <t>ヒ</t>
    </rPh>
    <rPh sb="155" eb="156">
      <t>ツヅ</t>
    </rPh>
    <rPh sb="162" eb="164">
      <t>リカイ</t>
    </rPh>
    <rPh sb="165" eb="166">
      <t>クワ</t>
    </rPh>
    <rPh sb="168" eb="170">
      <t>ガクセイ</t>
    </rPh>
    <rPh sb="171" eb="173">
      <t>ジョウホウ</t>
    </rPh>
    <rPh sb="173" eb="175">
      <t>リンリ</t>
    </rPh>
    <rPh sb="176" eb="177">
      <t>モト</t>
    </rPh>
    <rPh sb="180" eb="182">
      <t>ヒビ</t>
    </rPh>
    <rPh sb="182" eb="184">
      <t>ヘンカ</t>
    </rPh>
    <rPh sb="186" eb="188">
      <t>ジョウホウ</t>
    </rPh>
    <rPh sb="194" eb="196">
      <t>タイサク</t>
    </rPh>
    <rPh sb="197" eb="199">
      <t>ジッセン</t>
    </rPh>
    <rPh sb="205" eb="207">
      <t>ジュギョウ</t>
    </rPh>
    <rPh sb="207" eb="209">
      <t>カイゼン</t>
    </rPh>
    <rPh sb="210" eb="211">
      <t>ト</t>
    </rPh>
    <rPh sb="212" eb="213">
      <t>ク</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</si>
  <si>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</si>
  <si>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本教育プログラムを構成する各授業の受講学生に対し、授業評価アンケートを実施しており、各授業の担当者並びに全学教育センター普遍教育運営部会において、アンケート結果を通じて学生の理解度を確認し、授業改善につなげている。このほか、全学教育委員会による学生に向けた意識・満足度調査では、各学生による授業への意見などを公開しており、授業の改善を図っている。</t>
    <rPh sb="1" eb="2">
      <t>ホン</t>
    </rPh>
    <rPh sb="2" eb="4">
      <t>キョウイク</t>
    </rPh>
    <rPh sb="10" eb="12">
      <t>コウセイ</t>
    </rPh>
    <rPh sb="14" eb="15">
      <t>カク</t>
    </rPh>
    <rPh sb="15" eb="17">
      <t>ジュギョウ</t>
    </rPh>
    <rPh sb="18" eb="20">
      <t>ジュコウ</t>
    </rPh>
    <rPh sb="20" eb="22">
      <t>ガクセイ</t>
    </rPh>
    <rPh sb="23" eb="24">
      <t>タイ</t>
    </rPh>
    <rPh sb="26" eb="28">
      <t>ジュギョウ</t>
    </rPh>
    <rPh sb="28" eb="30">
      <t>ヒョウカ</t>
    </rPh>
    <rPh sb="36" eb="38">
      <t>ジッシ</t>
    </rPh>
    <rPh sb="43" eb="46">
      <t>カクジュギョウ</t>
    </rPh>
    <rPh sb="47" eb="50">
      <t>タントウシャ</t>
    </rPh>
    <rPh sb="50" eb="51">
      <t>ナラ</t>
    </rPh>
    <rPh sb="79" eb="81">
      <t>ケッカ</t>
    </rPh>
    <rPh sb="82" eb="83">
      <t>ツウ</t>
    </rPh>
    <rPh sb="85" eb="87">
      <t>ガクセイ</t>
    </rPh>
    <rPh sb="88" eb="90">
      <t>リカイ</t>
    </rPh>
    <rPh sb="90" eb="91">
      <t>ド</t>
    </rPh>
    <rPh sb="92" eb="94">
      <t>カクニン</t>
    </rPh>
    <rPh sb="96" eb="98">
      <t>ジュギョウ</t>
    </rPh>
    <rPh sb="98" eb="100">
      <t>カイゼン</t>
    </rPh>
    <rPh sb="113" eb="115">
      <t>ゼンガク</t>
    </rPh>
    <rPh sb="115" eb="117">
      <t>キョウイク</t>
    </rPh>
    <rPh sb="117" eb="120">
      <t>イインカイ</t>
    </rPh>
    <rPh sb="123" eb="125">
      <t>ガクセイ</t>
    </rPh>
    <rPh sb="126" eb="127">
      <t>ム</t>
    </rPh>
    <rPh sb="129" eb="131">
      <t>イシキ</t>
    </rPh>
    <rPh sb="132" eb="135">
      <t>マンゾクド</t>
    </rPh>
    <rPh sb="135" eb="137">
      <t>チョウサ</t>
    </rPh>
    <rPh sb="140" eb="143">
      <t>カクガクセイ</t>
    </rPh>
    <rPh sb="146" eb="148">
      <t>ジュギョウ</t>
    </rPh>
    <rPh sb="150" eb="152">
      <t>イケン</t>
    </rPh>
    <rPh sb="155" eb="157">
      <t>コウカイ</t>
    </rPh>
    <rPh sb="162" eb="164">
      <t>ジュギョウ</t>
    </rPh>
    <rPh sb="165" eb="167">
      <t>カイゼン</t>
    </rPh>
    <rPh sb="168" eb="169">
      <t>ハカ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</si>
  <si>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</si>
  <si>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</si>
  <si>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</si>
  <si>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</si>
  <si>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文学部、法政経学部、教育学部、工学部、園芸学部・看護学部においては、卒業（修了）生や就職先等の関係者からの意見聴取等を独自に実施しているほか、教育学部、看護学部をはじめとする各学部においては、毎年卒業時に卒業生アンケートを実施している。また、卒業者の進路先として、多くの数理・データサイエンス・AI関係企業があり、専門性を活かした就職の状況が窺える。</t>
    <rPh sb="88" eb="89">
      <t>カク</t>
    </rPh>
    <rPh sb="89" eb="91">
      <t>ガクブ</t>
    </rPh>
    <rPh sb="122" eb="125">
      <t>ソツギョウシャ</t>
    </rPh>
    <rPh sb="126" eb="128">
      <t>シンロ</t>
    </rPh>
    <rPh sb="128" eb="129">
      <t>サキ</t>
    </rPh>
    <rPh sb="133" eb="134">
      <t>オオ</t>
    </rPh>
    <rPh sb="136" eb="138">
      <t>スウリ</t>
    </rPh>
    <rPh sb="150" eb="152">
      <t>カンケイ</t>
    </rPh>
    <rPh sb="152" eb="154">
      <t>キギョウ</t>
    </rPh>
    <rPh sb="158" eb="161">
      <t>センモンセイ</t>
    </rPh>
    <rPh sb="162" eb="163">
      <t>イ</t>
    </rPh>
    <rPh sb="166" eb="168">
      <t>シュウショク</t>
    </rPh>
    <rPh sb="169" eb="171">
      <t>ジョウキョウ</t>
    </rPh>
    <rPh sb="172" eb="173">
      <t>ウカガ</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</si>
  <si>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</si>
  <si>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教育プログラムの実施状況に対する、産業界を始めとする学外評価者による第三者評価では、「データサイエンスやAIなどについて、最低限の知識やスキルを教えることはとても大切だと思いますが、日本全体でそのような科目を教えることができるスタッフが圧倒的に不足している中、優れた教員を確保していくことが課題。」といった意見や、「データサイエンスは文系、理系にかかわらず、求められる学問的素養になっている。それだけに、データサイエンスセンターのような全学で利用できる施設を設置する必要があるのではないか。」といった意見が挙げられており、これら意見について、引き継きの検討を行うこととし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</si>
  <si>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</si>
  <si>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情報に関する教育の導入部分から、情報技術の活用までを幅広く取り扱い、具体的な学生生活での利用の場面から、現代社会での様々な場面での活用の実例を提示しながら、学生の好奇心を促す講義内容としている。本学では、これら情報リテラシーレベルの授業に加え、統計ツールの具体的な利用方法を学ぶ科目や、スポーツを題材にこれらの領域を学ぶ科目を開講しており、さらに、これら科目を体系的に構成した全学副専攻として、数理データサイエンス教育プログラムを実施して、導入から活用までの様々な内容を取り扱う科目を提供することと通じて、学ぶ楽しさや学ぶことの意義の理解に努めている。</t>
    <rPh sb="0" eb="2">
      <t>ジョウホウ</t>
    </rPh>
    <rPh sb="3" eb="4">
      <t>カン</t>
    </rPh>
    <rPh sb="6" eb="8">
      <t>キョウイク</t>
    </rPh>
    <rPh sb="9" eb="11">
      <t>ドウニュウ</t>
    </rPh>
    <rPh sb="11" eb="13">
      <t>ブブン</t>
    </rPh>
    <rPh sb="16" eb="18">
      <t>ジョウホウ</t>
    </rPh>
    <rPh sb="18" eb="20">
      <t>ギジュツ</t>
    </rPh>
    <rPh sb="21" eb="23">
      <t>カツヨウ</t>
    </rPh>
    <rPh sb="26" eb="28">
      <t>ハバヒロ</t>
    </rPh>
    <rPh sb="29" eb="30">
      <t>ト</t>
    </rPh>
    <rPh sb="31" eb="32">
      <t>アツカ</t>
    </rPh>
    <rPh sb="34" eb="37">
      <t>グタイテキ</t>
    </rPh>
    <rPh sb="38" eb="40">
      <t>ガクセイ</t>
    </rPh>
    <rPh sb="40" eb="42">
      <t>セイカツ</t>
    </rPh>
    <rPh sb="44" eb="46">
      <t>リヨウ</t>
    </rPh>
    <rPh sb="47" eb="49">
      <t>バメン</t>
    </rPh>
    <rPh sb="52" eb="54">
      <t>ゲンダイ</t>
    </rPh>
    <rPh sb="54" eb="56">
      <t>シャカイ</t>
    </rPh>
    <rPh sb="58" eb="60">
      <t>サマザマ</t>
    </rPh>
    <rPh sb="61" eb="63">
      <t>バメン</t>
    </rPh>
    <rPh sb="65" eb="67">
      <t>カツヨウ</t>
    </rPh>
    <rPh sb="68" eb="70">
      <t>ジツレイ</t>
    </rPh>
    <rPh sb="71" eb="73">
      <t>テイジ</t>
    </rPh>
    <rPh sb="78" eb="80">
      <t>ガクセイ</t>
    </rPh>
    <rPh sb="81" eb="84">
      <t>コウキシン</t>
    </rPh>
    <rPh sb="85" eb="86">
      <t>ウナガ</t>
    </rPh>
    <rPh sb="87" eb="89">
      <t>コウギ</t>
    </rPh>
    <rPh sb="89" eb="91">
      <t>ナイヨウ</t>
    </rPh>
    <rPh sb="97" eb="99">
      <t>ホンガク</t>
    </rPh>
    <rPh sb="105" eb="107">
      <t>ジョウホウ</t>
    </rPh>
    <rPh sb="116" eb="118">
      <t>ジュギョウ</t>
    </rPh>
    <rPh sb="119" eb="120">
      <t>クワ</t>
    </rPh>
    <rPh sb="122" eb="124">
      <t>トウケイ</t>
    </rPh>
    <rPh sb="132" eb="134">
      <t>リヨウ</t>
    </rPh>
    <rPh sb="134" eb="136">
      <t>ホウホウ</t>
    </rPh>
    <rPh sb="137" eb="138">
      <t>マナ</t>
    </rPh>
    <rPh sb="139" eb="141">
      <t>カモク</t>
    </rPh>
    <rPh sb="148" eb="150">
      <t>ダイザイ</t>
    </rPh>
    <rPh sb="155" eb="157">
      <t>リョウイキ</t>
    </rPh>
    <rPh sb="158" eb="159">
      <t>マナ</t>
    </rPh>
    <rPh sb="160" eb="162">
      <t>カモク</t>
    </rPh>
    <rPh sb="163" eb="165">
      <t>カイコウ</t>
    </rPh>
    <rPh sb="188" eb="190">
      <t>ゼンガク</t>
    </rPh>
    <rPh sb="190" eb="193">
      <t>フクセンコウ</t>
    </rPh>
    <rPh sb="197" eb="199">
      <t>スウリ</t>
    </rPh>
    <rPh sb="207" eb="209">
      <t>キョウイク</t>
    </rPh>
    <rPh sb="215" eb="217">
      <t>ジッシ</t>
    </rPh>
    <rPh sb="220" eb="222">
      <t>ドウニュウ</t>
    </rPh>
    <rPh sb="224" eb="226">
      <t>カツヨウ</t>
    </rPh>
    <rPh sb="229" eb="231">
      <t>サマザマ</t>
    </rPh>
    <rPh sb="232" eb="234">
      <t>ナイヨウ</t>
    </rPh>
    <rPh sb="235" eb="236">
      <t>ト</t>
    </rPh>
    <rPh sb="237" eb="238">
      <t>アツカ</t>
    </rPh>
    <rPh sb="239" eb="241">
      <t>カモク</t>
    </rPh>
    <rPh sb="242" eb="244">
      <t>テイキョウ</t>
    </rPh>
    <rPh sb="249" eb="250">
      <t>ツウ</t>
    </rPh>
    <rPh sb="253" eb="254">
      <t>マナ</t>
    </rPh>
    <rPh sb="255" eb="256">
      <t>タノ</t>
    </rPh>
    <rPh sb="259" eb="260">
      <t>マナ</t>
    </rPh>
    <rPh sb="264" eb="266">
      <t>イギ</t>
    </rPh>
    <rPh sb="267" eb="269">
      <t>リカイ</t>
    </rPh>
    <rPh sb="270" eb="271">
      <t>ツト</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</si>
  <si>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</si>
  <si>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教育プログラムを構成する各授業の受講学生に対し、授業評価アンケートを実施しており、各授業の担当者並びに全学教育センター普遍教育運営部会において、アンケート結果を通じて学生の理解度を確認しているほか、全学教育委員会による学生に向けた意識・満足度調査では、各学生による授業への意見などを公開しており、授業の改善を図っている。また、定期的に外部評価者による評価を含めた、教育プログラムの実施状況を点検しており、今後も引き続き、教育改善の取り組みを続けることとしている。</t>
    <rPh sb="0" eb="1">
      <t>ホン</t>
    </rPh>
    <rPh sb="1" eb="3">
      <t>キョウイク</t>
    </rPh>
    <rPh sb="9" eb="11">
      <t>コウセイ</t>
    </rPh>
    <rPh sb="13" eb="14">
      <t>カク</t>
    </rPh>
    <rPh sb="14" eb="16">
      <t>ジュギョウ</t>
    </rPh>
    <rPh sb="17" eb="19">
      <t>ジュコウ</t>
    </rPh>
    <rPh sb="19" eb="21">
      <t>ガクセイ</t>
    </rPh>
    <rPh sb="22" eb="23">
      <t>タイ</t>
    </rPh>
    <rPh sb="25" eb="27">
      <t>ジュギョウ</t>
    </rPh>
    <rPh sb="27" eb="29">
      <t>ヒョウカ</t>
    </rPh>
    <rPh sb="35" eb="37">
      <t>ジッシ</t>
    </rPh>
    <rPh sb="42" eb="45">
      <t>カクジュギョウ</t>
    </rPh>
    <rPh sb="46" eb="49">
      <t>タントウシャ</t>
    </rPh>
    <rPh sb="49" eb="50">
      <t>ナラ</t>
    </rPh>
    <rPh sb="78" eb="80">
      <t>ケッカ</t>
    </rPh>
    <rPh sb="81" eb="82">
      <t>ツウ</t>
    </rPh>
    <rPh sb="84" eb="86">
      <t>ガクセイ</t>
    </rPh>
    <rPh sb="87" eb="89">
      <t>リカイ</t>
    </rPh>
    <rPh sb="89" eb="90">
      <t>ド</t>
    </rPh>
    <rPh sb="91" eb="93">
      <t>カクニン</t>
    </rPh>
    <rPh sb="100" eb="102">
      <t>ゼンガク</t>
    </rPh>
    <rPh sb="102" eb="104">
      <t>キョウイク</t>
    </rPh>
    <rPh sb="104" eb="107">
      <t>イインカイ</t>
    </rPh>
    <rPh sb="110" eb="112">
      <t>ガクセイ</t>
    </rPh>
    <rPh sb="113" eb="114">
      <t>ム</t>
    </rPh>
    <rPh sb="116" eb="118">
      <t>イシキ</t>
    </rPh>
    <rPh sb="119" eb="122">
      <t>マンゾクド</t>
    </rPh>
    <rPh sb="122" eb="124">
      <t>チョウサ</t>
    </rPh>
    <rPh sb="127" eb="130">
      <t>カクガクセイ</t>
    </rPh>
    <rPh sb="133" eb="135">
      <t>ジュギョウ</t>
    </rPh>
    <rPh sb="137" eb="139">
      <t>イケン</t>
    </rPh>
    <rPh sb="142" eb="144">
      <t>コウカイ</t>
    </rPh>
    <rPh sb="149" eb="151">
      <t>ジュギョウ</t>
    </rPh>
    <rPh sb="152" eb="154">
      <t>カイゼン</t>
    </rPh>
    <rPh sb="155" eb="156">
      <t>ハカ</t>
    </rPh>
    <rPh sb="164" eb="167">
      <t>テイキテキ</t>
    </rPh>
    <rPh sb="168" eb="170">
      <t>ガイブ</t>
    </rPh>
    <rPh sb="170" eb="172">
      <t>ヒョウカ</t>
    </rPh>
    <rPh sb="172" eb="173">
      <t>シャ</t>
    </rPh>
    <rPh sb="176" eb="178">
      <t>ヒョウカ</t>
    </rPh>
    <rPh sb="179" eb="180">
      <t>フク</t>
    </rPh>
    <rPh sb="183" eb="185">
      <t>キョウイク</t>
    </rPh>
    <rPh sb="191" eb="193">
      <t>ジッシ</t>
    </rPh>
    <rPh sb="193" eb="195">
      <t>ジョウキョウ</t>
    </rPh>
    <rPh sb="196" eb="198">
      <t>テンケン</t>
    </rPh>
    <rPh sb="203" eb="205">
      <t>コンゴ</t>
    </rPh>
    <rPh sb="206" eb="207">
      <t>ヒ</t>
    </rPh>
    <rPh sb="208" eb="209">
      <t>ツヅ</t>
    </rPh>
    <rPh sb="211" eb="213">
      <t>キョウイク</t>
    </rPh>
    <rPh sb="213" eb="215">
      <t>カイゼン</t>
    </rPh>
    <rPh sb="216" eb="217">
      <t>ト</t>
    </rPh>
    <rPh sb="218" eb="219">
      <t>ク</t>
    </rPh>
    <rPh sb="221" eb="222">
      <t>ツヅ</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</si>
  <si>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</si>
  <si>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</si>
  <si>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</si>
  <si>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https://www.chiba-u.ac.jp/general/disclosure/announce/files/announce/suri_zikotenken_r2.pdf</t>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</si>
  <si>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</si>
  <si>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</si>
  <si>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</si>
  <si>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 xml:space="preserve">　千葉大学では、令和2年度から数理・データサイエンス科目(基礎）２単位と数理・データサイエンス科目（展開）1単位を全学必修とした。数理・データサイエンス科目(基礎）は講義と実習を併せた科目であり、講義パートは全学共通のテキスト・講義資料を用いた授業で、数理・データサイエンス・AI（リテラシーレベル）のモデルカリキュラムに、インターネットの仕組み等を加えた内容である。演習パートは学部・学科別のクラスで表計算ソフトウェアを用いた実データ解析やプログラミングの演習が行われている。
  数理・データサイエンス科目（展開）は全学共通カリキュラムによるデータサイエンスA～D 16クラスと「Rによるアンケート調査の集計」、「IOTデータ解析入門」、「野球観戦に活きるデータ科学」、「AIのためのPython入門」などの特色ある内容の科目8クラスから構成され、学生はこの中から1科目を選択する。データサイエンスA～Dの内容は以下の通りである。
・データサイエンスA（6クラス）：主に文系学生を対象とした統計学の講義と演習。データ解析のための数理、相関と回帰、確率分布、統計的推測などを扱う。
・データサイエンスB（6クラス）：Python言語を用いたデータ解析プログラミングの講義と演習。プログラミング入門、確率と確率分布、情報抽出等の内容を扱う。社会現象や自然現象の計測結果等のデータファイルを読み込んで解析したり、可視化したりする演習を行う。
・データサイエンスC（3クラス）：情報科学の講義。情報エントロピー、条件付き確率とベイズの定理、平均相互情報量、符号化、情報圧縮、誤りの検出と訂正、暗号等を扱う。
・データサイエンスD（１クラス）：計算機科学の講義。ブール代数、論理式、論理回路、計算機の仕組み、基本アルゴリズム、プログラミング言語、ニューラルネットワーク等を扱う。
  </t>
    <rPh sb="170" eb="172">
      <t>シク</t>
    </rPh>
    <rPh sb="173" eb="174">
      <t>ナド</t>
    </rPh>
    <rPh sb="175" eb="176">
      <t>クワ</t>
    </rPh>
    <rPh sb="178" eb="180">
      <t>ナイヨウ</t>
    </rPh>
    <rPh sb="376" eb="378">
      <t>ガクセイ</t>
    </rPh>
    <rPh sb="381" eb="382">
      <t>ナカ</t>
    </rPh>
    <rPh sb="385" eb="387">
      <t>カモク</t>
    </rPh>
    <rPh sb="388" eb="390">
      <t>センタク</t>
    </rPh>
    <rPh sb="435" eb="436">
      <t>オモ</t>
    </rPh>
    <rPh sb="437" eb="439">
      <t>ブンケイ</t>
    </rPh>
    <rPh sb="439" eb="441">
      <t>ガクセイ</t>
    </rPh>
    <rPh sb="442" eb="444">
      <t>タイショウ</t>
    </rPh>
    <rPh sb="447" eb="450">
      <t>トウケイガク</t>
    </rPh>
    <rPh sb="451" eb="453">
      <t>コウギ</t>
    </rPh>
    <rPh sb="454" eb="456">
      <t>エンシュウ</t>
    </rPh>
    <rPh sb="475" eb="477">
      <t>カクリツ</t>
    </rPh>
    <rPh sb="477" eb="479">
      <t>ブンプ</t>
    </rPh>
    <rPh sb="480" eb="483">
      <t>トウケイテキ</t>
    </rPh>
    <rPh sb="483" eb="485">
      <t>スイソク</t>
    </rPh>
    <rPh sb="488" eb="489">
      <t>アツカ</t>
    </rPh>
    <rPh sb="515" eb="517">
      <t>ゲンゴ</t>
    </rPh>
    <rPh sb="518" eb="519">
      <t>モチ</t>
    </rPh>
    <rPh sb="524" eb="526">
      <t>カイセキ</t>
    </rPh>
    <rPh sb="534" eb="536">
      <t>コウギ</t>
    </rPh>
    <rPh sb="537" eb="539">
      <t>エンシュウ</t>
    </rPh>
    <rPh sb="547" eb="549">
      <t>ニュウモン</t>
    </rPh>
    <rPh sb="550" eb="552">
      <t>カクリツ</t>
    </rPh>
    <rPh sb="553" eb="555">
      <t>カクリツ</t>
    </rPh>
    <rPh sb="555" eb="557">
      <t>ブンプ</t>
    </rPh>
    <rPh sb="558" eb="560">
      <t>ジョウホウ</t>
    </rPh>
    <rPh sb="560" eb="562">
      <t>チュウシュツ</t>
    </rPh>
    <rPh sb="562" eb="563">
      <t>ナド</t>
    </rPh>
    <rPh sb="564" eb="566">
      <t>ナイヨウ</t>
    </rPh>
    <rPh sb="567" eb="568">
      <t>アツカ</t>
    </rPh>
    <rPh sb="570" eb="572">
      <t>シャカイ</t>
    </rPh>
    <rPh sb="572" eb="574">
      <t>ゲンショウ</t>
    </rPh>
    <rPh sb="575" eb="577">
      <t>シゼン</t>
    </rPh>
    <rPh sb="577" eb="579">
      <t>ゲンショウ</t>
    </rPh>
    <rPh sb="580" eb="582">
      <t>ケイソク</t>
    </rPh>
    <rPh sb="582" eb="584">
      <t>ケッカ</t>
    </rPh>
    <rPh sb="584" eb="585">
      <t>ナド</t>
    </rPh>
    <rPh sb="594" eb="595">
      <t>ヨ</t>
    </rPh>
    <rPh sb="596" eb="597">
      <t>コ</t>
    </rPh>
    <rPh sb="599" eb="601">
      <t>カイセキ</t>
    </rPh>
    <rPh sb="605" eb="608">
      <t>カシカ</t>
    </rPh>
    <rPh sb="613" eb="615">
      <t>エンシュウ</t>
    </rPh>
    <rPh sb="616" eb="617">
      <t>オコナ</t>
    </rPh>
    <rPh sb="637" eb="639">
      <t>ジョウホウ</t>
    </rPh>
    <rPh sb="639" eb="641">
      <t>カガク</t>
    </rPh>
    <rPh sb="642" eb="644">
      <t>コウギ</t>
    </rPh>
    <rPh sb="645" eb="647">
      <t>ジョウホウ</t>
    </rPh>
    <rPh sb="654" eb="657">
      <t>ジョウケンツ</t>
    </rPh>
    <rPh sb="658" eb="660">
      <t>カクリツ</t>
    </rPh>
    <rPh sb="665" eb="667">
      <t>テイリ</t>
    </rPh>
    <rPh sb="668" eb="670">
      <t>ヘイキン</t>
    </rPh>
    <rPh sb="670" eb="672">
      <t>ソウゴ</t>
    </rPh>
    <rPh sb="672" eb="675">
      <t>ジョウホウリョウ</t>
    </rPh>
    <rPh sb="676" eb="679">
      <t>フゴウカ</t>
    </rPh>
    <rPh sb="680" eb="682">
      <t>ジョウホウ</t>
    </rPh>
    <rPh sb="682" eb="684">
      <t>アッシュク</t>
    </rPh>
    <rPh sb="685" eb="686">
      <t>アヤマ</t>
    </rPh>
    <rPh sb="688" eb="690">
      <t>ケンシュツ</t>
    </rPh>
    <rPh sb="691" eb="693">
      <t>テイセイ</t>
    </rPh>
    <rPh sb="694" eb="696">
      <t>アンゴウ</t>
    </rPh>
    <rPh sb="696" eb="697">
      <t>ナド</t>
    </rPh>
    <rPh sb="698" eb="699">
      <t>アツカ</t>
    </rPh>
    <rPh sb="719" eb="722">
      <t>ケイサンキ</t>
    </rPh>
    <rPh sb="722" eb="724">
      <t>カガク</t>
    </rPh>
    <rPh sb="725" eb="727">
      <t>コウギ</t>
    </rPh>
    <rPh sb="731" eb="733">
      <t>ダイスウ</t>
    </rPh>
    <rPh sb="734" eb="737">
      <t>ロンリシキ</t>
    </rPh>
    <rPh sb="738" eb="740">
      <t>ロンリ</t>
    </rPh>
    <rPh sb="740" eb="742">
      <t>カイロ</t>
    </rPh>
    <rPh sb="743" eb="746">
      <t>ケイサンキ</t>
    </rPh>
    <rPh sb="747" eb="749">
      <t>シク</t>
    </rPh>
    <rPh sb="751" eb="753">
      <t>キホン</t>
    </rPh>
    <rPh sb="767" eb="769">
      <t>ゲンゴ</t>
    </rPh>
    <rPh sb="781" eb="782">
      <t>ナド</t>
    </rPh>
    <rPh sb="783" eb="784">
      <t>アツカ</t>
    </rPh>
    <phoneticPr fontId="1"/>
  </si>
  <si>
    <t>学生への学習支援</t>
    <rPh sb="0" eb="2">
      <t>ガクセイ</t>
    </rPh>
    <rPh sb="4" eb="6">
      <t>ガクシュウ</t>
    </rPh>
    <rPh sb="6" eb="8">
      <t>シエン</t>
    </rPh>
    <phoneticPr fontId="1"/>
  </si>
  <si>
    <t xml:space="preserve">　千葉大学では、全学運営組織である国際未来教育基幹の中に設けられた全学教育センター及びアカデミック・リンクセンターが様々な学習支援を行っている。アカデミック・リンクセンター（附属図書館）にはアクティブ・ラーニングスペースが設けられ、学生が様々な資料、コンテンツ、情報通信環境、学習支援のためのスチューデント・アシスタントを活用しながら能動的な学習ができる場が提供されている。また、国際未来教育基幹内にスマートオフィスが設置され、オンライン授業等の支援を行っている。令和2年度にはLMSとして使用しているMoodleの強化とＧｏｏｇｌｅ　Workspace for Educationの導入を進め、オンデマンド授業、同時双方向のオンライン授業を円滑に進めることが可能になった。また、学内の無線ＬＡＮアクセスポイントを増設し、多くの教室・談話室・中庭等からオンラインアクセスを可能にした。自宅からのオンライン接続を支援するためモバイルルータの貸与も行っている。　Microsoft との包括契約により、学生は自宅からでも Microsoft365が利用可能であり、Excelを用いた演習などに活用されている。
　数理・データサイエンス科目（基礎、展開）では、各クラスにＴＡが配置され、授業を支援している。総合校舎内に設置された3教室の情報処理演習室にはそれぞれ100台のＰＣが設置され、情報授業支援室の職員が学生からの質問等に対応している。
　様々な分野でのデータサイエンスの活用事例を学内の研究者に紹介していただく動画教材を作成し、数理・データサイエンス科目受講者が視聴できるようにした。予防医学、都市環境問題、地球環境問題、認知情報科学、宇宙シミュレーション、地域問題等における活用事例を学習できるようになっている。
</t>
    <rPh sb="1" eb="5">
      <t>チバダイガク</t>
    </rPh>
    <rPh sb="8" eb="10">
      <t>ゼンガク</t>
    </rPh>
    <rPh sb="10" eb="12">
      <t>ウンエイ</t>
    </rPh>
    <rPh sb="12" eb="14">
      <t>ソシキ</t>
    </rPh>
    <rPh sb="17" eb="19">
      <t>コクサイ</t>
    </rPh>
    <rPh sb="19" eb="21">
      <t>ミライ</t>
    </rPh>
    <rPh sb="21" eb="23">
      <t>キョウイク</t>
    </rPh>
    <rPh sb="23" eb="25">
      <t>キカン</t>
    </rPh>
    <rPh sb="26" eb="27">
      <t>ナカ</t>
    </rPh>
    <rPh sb="28" eb="29">
      <t>モウ</t>
    </rPh>
    <rPh sb="33" eb="35">
      <t>ゼンガク</t>
    </rPh>
    <rPh sb="35" eb="37">
      <t>キョウイク</t>
    </rPh>
    <rPh sb="41" eb="42">
      <t>オヨ</t>
    </rPh>
    <rPh sb="58" eb="60">
      <t>サマザマ</t>
    </rPh>
    <rPh sb="61" eb="63">
      <t>ガクシュウ</t>
    </rPh>
    <rPh sb="63" eb="65">
      <t>シエン</t>
    </rPh>
    <rPh sb="66" eb="67">
      <t>オコナ</t>
    </rPh>
    <rPh sb="87" eb="89">
      <t>フゾク</t>
    </rPh>
    <rPh sb="89" eb="92">
      <t>トショカン</t>
    </rPh>
    <rPh sb="111" eb="112">
      <t>モウ</t>
    </rPh>
    <rPh sb="116" eb="118">
      <t>ガクセイ</t>
    </rPh>
    <rPh sb="119" eb="121">
      <t>サマザマ</t>
    </rPh>
    <rPh sb="122" eb="124">
      <t>シリョウ</t>
    </rPh>
    <rPh sb="131" eb="133">
      <t>ジョウホウ</t>
    </rPh>
    <rPh sb="133" eb="135">
      <t>ツウシン</t>
    </rPh>
    <rPh sb="135" eb="137">
      <t>カンキョウ</t>
    </rPh>
    <rPh sb="138" eb="140">
      <t>ガクシュウ</t>
    </rPh>
    <rPh sb="140" eb="142">
      <t>シエン</t>
    </rPh>
    <rPh sb="161" eb="163">
      <t>カツヨウ</t>
    </rPh>
    <rPh sb="167" eb="170">
      <t>ノウドウテキ</t>
    </rPh>
    <rPh sb="171" eb="173">
      <t>ガクシュウ</t>
    </rPh>
    <rPh sb="177" eb="178">
      <t>バ</t>
    </rPh>
    <rPh sb="179" eb="181">
      <t>テイキョウ</t>
    </rPh>
    <rPh sb="190" eb="192">
      <t>コクサイ</t>
    </rPh>
    <rPh sb="192" eb="194">
      <t>ミライ</t>
    </rPh>
    <rPh sb="194" eb="196">
      <t>キョウイク</t>
    </rPh>
    <rPh sb="196" eb="198">
      <t>キカン</t>
    </rPh>
    <rPh sb="198" eb="199">
      <t>ナイ</t>
    </rPh>
    <rPh sb="209" eb="211">
      <t>セッチ</t>
    </rPh>
    <rPh sb="219" eb="221">
      <t>ジュギョウ</t>
    </rPh>
    <rPh sb="221" eb="222">
      <t>ナド</t>
    </rPh>
    <rPh sb="223" eb="225">
      <t>シエン</t>
    </rPh>
    <rPh sb="226" eb="227">
      <t>オコナ</t>
    </rPh>
    <rPh sb="232" eb="234">
      <t>レイワ</t>
    </rPh>
    <rPh sb="235" eb="237">
      <t>ネンド</t>
    </rPh>
    <rPh sb="245" eb="247">
      <t>シヨウ</t>
    </rPh>
    <rPh sb="258" eb="260">
      <t>キョウカ</t>
    </rPh>
    <rPh sb="292" eb="294">
      <t>ドウニュウ</t>
    </rPh>
    <rPh sb="295" eb="296">
      <t>スス</t>
    </rPh>
    <rPh sb="304" eb="306">
      <t>ジュギョウ</t>
    </rPh>
    <rPh sb="307" eb="309">
      <t>ドウジ</t>
    </rPh>
    <rPh sb="309" eb="312">
      <t>ソウホウコウ</t>
    </rPh>
    <rPh sb="318" eb="320">
      <t>ジュギョウ</t>
    </rPh>
    <rPh sb="321" eb="323">
      <t>エンカツ</t>
    </rPh>
    <rPh sb="324" eb="325">
      <t>スス</t>
    </rPh>
    <rPh sb="330" eb="332">
      <t>カノウ</t>
    </rPh>
    <rPh sb="340" eb="342">
      <t>ガクナイ</t>
    </rPh>
    <rPh sb="343" eb="345">
      <t>ムセン</t>
    </rPh>
    <rPh sb="357" eb="359">
      <t>ゾウセツ</t>
    </rPh>
    <rPh sb="361" eb="362">
      <t>オオ</t>
    </rPh>
    <rPh sb="364" eb="366">
      <t>キョウシツ</t>
    </rPh>
    <rPh sb="367" eb="370">
      <t>ダンワシツ</t>
    </rPh>
    <rPh sb="371" eb="373">
      <t>ナカニワ</t>
    </rPh>
    <rPh sb="373" eb="374">
      <t>ナド</t>
    </rPh>
    <rPh sb="386" eb="388">
      <t>カノウ</t>
    </rPh>
    <rPh sb="392" eb="394">
      <t>ジタク</t>
    </rPh>
    <rPh sb="402" eb="404">
      <t>セツゾク</t>
    </rPh>
    <rPh sb="405" eb="407">
      <t>シエン</t>
    </rPh>
    <rPh sb="419" eb="421">
      <t>タイヨ</t>
    </rPh>
    <rPh sb="422" eb="423">
      <t>オコナ</t>
    </rPh>
    <rPh sb="441" eb="443">
      <t>ホウカツ</t>
    </rPh>
    <rPh sb="443" eb="445">
      <t>ケイヤク</t>
    </rPh>
    <rPh sb="449" eb="451">
      <t>ガクセイ</t>
    </rPh>
    <rPh sb="452" eb="454">
      <t>ジタク</t>
    </rPh>
    <rPh sb="472" eb="474">
      <t>リヨウ</t>
    </rPh>
    <rPh sb="474" eb="476">
      <t>カノウ</t>
    </rPh>
    <rPh sb="486" eb="487">
      <t>モチ</t>
    </rPh>
    <rPh sb="489" eb="491">
      <t>エンシュウ</t>
    </rPh>
    <rPh sb="494" eb="496">
      <t>カツヨウ</t>
    </rPh>
    <rPh sb="504" eb="506">
      <t>スウリ</t>
    </rPh>
    <rPh sb="515" eb="517">
      <t>カモク</t>
    </rPh>
    <rPh sb="518" eb="520">
      <t>キソ</t>
    </rPh>
    <rPh sb="521" eb="523">
      <t>テンカイ</t>
    </rPh>
    <rPh sb="527" eb="528">
      <t>カク</t>
    </rPh>
    <rPh sb="535" eb="537">
      <t>ハイチ</t>
    </rPh>
    <rPh sb="540" eb="542">
      <t>ジュギョウ</t>
    </rPh>
    <rPh sb="543" eb="545">
      <t>シエン</t>
    </rPh>
    <rPh sb="550" eb="552">
      <t>ソウゴウ</t>
    </rPh>
    <rPh sb="552" eb="554">
      <t>コウシャ</t>
    </rPh>
    <rPh sb="554" eb="555">
      <t>ナイ</t>
    </rPh>
    <rPh sb="556" eb="558">
      <t>セッチ</t>
    </rPh>
    <rPh sb="562" eb="564">
      <t>キョウシツ</t>
    </rPh>
    <rPh sb="565" eb="567">
      <t>ジョウホウ</t>
    </rPh>
    <rPh sb="567" eb="569">
      <t>ショリ</t>
    </rPh>
    <rPh sb="569" eb="572">
      <t>エンシュウシツ</t>
    </rPh>
    <rPh sb="581" eb="582">
      <t>ダイ</t>
    </rPh>
    <rPh sb="586" eb="588">
      <t>セッチ</t>
    </rPh>
    <rPh sb="591" eb="593">
      <t>ジョウホウ</t>
    </rPh>
    <rPh sb="593" eb="595">
      <t>ジュギョウ</t>
    </rPh>
    <rPh sb="595" eb="598">
      <t>シエンシツ</t>
    </rPh>
    <rPh sb="599" eb="601">
      <t>ショクイン</t>
    </rPh>
    <rPh sb="602" eb="604">
      <t>ガクセイ</t>
    </rPh>
    <rPh sb="607" eb="609">
      <t>シツモン</t>
    </rPh>
    <rPh sb="609" eb="610">
      <t>ナド</t>
    </rPh>
    <rPh sb="611" eb="613">
      <t>タイオウ</t>
    </rPh>
    <rPh sb="620" eb="622">
      <t>サマザマ</t>
    </rPh>
    <rPh sb="623" eb="625">
      <t>ブンヤ</t>
    </rPh>
    <rPh sb="636" eb="638">
      <t>カツヨウ</t>
    </rPh>
    <rPh sb="638" eb="640">
      <t>ジレイ</t>
    </rPh>
    <rPh sb="641" eb="643">
      <t>ガクナイ</t>
    </rPh>
    <rPh sb="644" eb="647">
      <t>ケンキュウシャ</t>
    </rPh>
    <rPh sb="648" eb="650">
      <t>ショウカイ</t>
    </rPh>
    <rPh sb="656" eb="658">
      <t>ドウガ</t>
    </rPh>
    <rPh sb="658" eb="660">
      <t>キョウザイ</t>
    </rPh>
    <rPh sb="661" eb="663">
      <t>サクセイ</t>
    </rPh>
    <rPh sb="665" eb="667">
      <t>スウリ</t>
    </rPh>
    <rPh sb="676" eb="678">
      <t>カモク</t>
    </rPh>
    <rPh sb="678" eb="681">
      <t>ジュコウシャ</t>
    </rPh>
    <rPh sb="682" eb="684">
      <t>シチョウ</t>
    </rPh>
    <rPh sb="693" eb="695">
      <t>ヨボウ</t>
    </rPh>
    <rPh sb="695" eb="697">
      <t>イガク</t>
    </rPh>
    <rPh sb="698" eb="702">
      <t>トシカンキョウ</t>
    </rPh>
    <rPh sb="702" eb="704">
      <t>モンダイ</t>
    </rPh>
    <rPh sb="705" eb="707">
      <t>チキュウ</t>
    </rPh>
    <rPh sb="707" eb="709">
      <t>カンキョウ</t>
    </rPh>
    <rPh sb="709" eb="711">
      <t>モンダイ</t>
    </rPh>
    <rPh sb="712" eb="714">
      <t>ニンチ</t>
    </rPh>
    <rPh sb="714" eb="716">
      <t>ジョウホウ</t>
    </rPh>
    <rPh sb="716" eb="718">
      <t>カガク</t>
    </rPh>
    <rPh sb="719" eb="721">
      <t>ウチュウ</t>
    </rPh>
    <rPh sb="730" eb="732">
      <t>チイキ</t>
    </rPh>
    <rPh sb="732" eb="734">
      <t>モンダイ</t>
    </rPh>
    <rPh sb="734" eb="735">
      <t>ナド</t>
    </rPh>
    <rPh sb="739" eb="741">
      <t>カツヨウ</t>
    </rPh>
    <rPh sb="741" eb="743">
      <t>ジレイ</t>
    </rPh>
    <rPh sb="744" eb="746">
      <t>ガクシュウ</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</si>
  <si>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</si>
  <si>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 xml:space="preserve">　千葉大学では、地域連携・他機関との連携については、佐倉市の国立歴史民俗博物館との包括協定の下に、デジタル・ヒューマニティーズ(数理人文学)の一環として「博物館で歴史を読み解く」の授業を開講している(この授業は6大学の協定にもとづき、熊本、長崎、岡山、金沢、新潟の各大学に開放している)。これは人文学とデータサイエンスを結合した特徴的な取組である。また、ベネッセ・コーポレーションとの共同研究協定の下に、数理・データサイエンス・AI教育教材およびLMSシステムの共同開発に取り組んでいる。さらに、アドビ社と提携して「デジタルクリエイティブ基礎」というデータの可視化を中心とする科目を創造性や問題解決能力を涵養する教養教育科目として共同実施している。
　海外の大学等との連携については、COIL(オンライン国際協働学修)の相手校である米国のニュースクールとデータ・ヴィジュアライゼーションの授業科目を開設したり、VRによる自然科学基礎実験を海外の学生と協働学修するための実証実験を進めている。さらに看護学の領域における国際協働学修として、米国のアラバマ大学・シンシナティ大学と社会衛生・保健のデータ化についての科目も開講している。また、本学でオンライン留学プログラムとして開設している21プログラムの中で、ロジスティクス、サプライチェーン、デジタルマーケティング、e-コマースなどデータサイエンスと社会科学に関わる内容を積極的に設定している。高大連携としては、科学技術振興機構の支援の下、グローバルサイエンスキャンパスのアセント・プログラムの中で、大学の環境を生かしたデータサイエンス教育を中心的課題としてカリキュラムに組み込んでいる。さらに、千葉大学が2007年から継続的に開催している高校生理科研究発表会においても機械学習やAIに関わるテーマを大幅に導入するようになってい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</si>
</sst>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9"/>
      <name val="ＭＳ Ｐゴシック"/>
      <family val="2"/>
      <charset val="128"/>
      <scheme val="minor"/>
    </font>
    <font>
      <u/>
      <sz val="11"/>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2">
    <fill>
      <patternFill patternType="none"/>
    </fill>
    <fill>
      <patternFill patternType="gray125"/>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0">
    <xf numFmtId="0" fontId="0" fillId="0" borderId="0" xfId="0">
      <alignment vertical="center"/>
    </xf>
    <xf numFmtId="0" fontId="2" fillId="0" borderId="0" xfId="0" applyFont="1">
      <alignment vertical="center"/>
    </xf>
    <xf numFmtId="0" fontId="2" fillId="0" borderId="0" xfId="0" applyFont="1" applyBorder="1">
      <alignment vertical="center"/>
    </xf>
    <xf numFmtId="0" fontId="3" fillId="0" borderId="0" xfId="0" applyFont="1" applyAlignment="1">
      <alignment vertical="center"/>
    </xf>
    <xf numFmtId="0" fontId="2" fillId="0" borderId="5" xfId="0" applyFont="1" applyBorder="1">
      <alignment vertical="center"/>
    </xf>
    <xf numFmtId="0" fontId="4" fillId="0" borderId="0" xfId="0" applyFont="1" applyBorder="1" applyAlignment="1">
      <alignment vertical="top" wrapText="1"/>
    </xf>
    <xf numFmtId="0" fontId="2" fillId="0" borderId="0" xfId="0" applyFont="1" applyAlignment="1">
      <alignment vertical="center"/>
    </xf>
    <xf numFmtId="0" fontId="2" fillId="0" borderId="0"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xf>
    <xf numFmtId="0" fontId="4" fillId="0" borderId="21" xfId="0" applyFont="1" applyBorder="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25" xfId="0" applyNumberFormat="1" applyFont="1" applyBorder="1" applyAlignment="1">
      <alignment vertical="center" shrinkToFit="1"/>
    </xf>
    <xf numFmtId="0" fontId="3" fillId="0" borderId="26" xfId="0" applyFont="1" applyBorder="1" applyAlignment="1">
      <alignment vertical="center" shrinkToFit="1"/>
    </xf>
    <xf numFmtId="176" fontId="3" fillId="0" borderId="26"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9" fontId="3" fillId="0" borderId="28" xfId="0" applyNumberFormat="1" applyFont="1" applyBorder="1" applyAlignment="1">
      <alignment vertical="center" shrinkToFit="1"/>
    </xf>
    <xf numFmtId="176" fontId="5" fillId="0" borderId="0" xfId="0" applyNumberFormat="1" applyFont="1" applyBorder="1" applyAlignment="1">
      <alignment vertical="center" shrinkToFit="1"/>
    </xf>
    <xf numFmtId="0" fontId="3" fillId="0" borderId="5" xfId="0" applyFont="1" applyFill="1" applyBorder="1" applyAlignment="1">
      <alignment vertical="center" shrinkToFit="1"/>
    </xf>
    <xf numFmtId="0" fontId="17" fillId="0" borderId="0" xfId="0" applyFont="1" applyFill="1" applyBorder="1" applyAlignment="1">
      <alignment vertical="top" wrapText="1"/>
    </xf>
    <xf numFmtId="0" fontId="10" fillId="0" borderId="1" xfId="0" applyFont="1" applyBorder="1" applyAlignment="1">
      <alignment vertical="center" wrapText="1"/>
    </xf>
    <xf numFmtId="0" fontId="9" fillId="0" borderId="0" xfId="0" applyFont="1" applyAlignment="1">
      <alignment vertical="center" wrapText="1"/>
    </xf>
    <xf numFmtId="0" fontId="9" fillId="0" borderId="10" xfId="0" applyFont="1" applyBorder="1" applyAlignment="1">
      <alignment vertical="center" shrinkToFit="1"/>
    </xf>
    <xf numFmtId="0" fontId="9" fillId="0" borderId="0" xfId="0" applyFont="1" applyFill="1">
      <alignment vertical="center"/>
    </xf>
    <xf numFmtId="0" fontId="13" fillId="0" borderId="0" xfId="0" applyFont="1">
      <alignment vertical="center"/>
    </xf>
    <xf numFmtId="0" fontId="14" fillId="0" borderId="0" xfId="0" applyFont="1" applyAlignment="1">
      <alignment vertical="top" wrapText="1"/>
    </xf>
    <xf numFmtId="0" fontId="9" fillId="0" borderId="0" xfId="0" applyFont="1" applyAlignment="1">
      <alignment horizontal="center" vertical="center"/>
    </xf>
    <xf numFmtId="0" fontId="9" fillId="0" borderId="11" xfId="0" applyFont="1" applyBorder="1" applyAlignment="1">
      <alignment horizontal="center" vertical="center"/>
    </xf>
    <xf numFmtId="0" fontId="9" fillId="0" borderId="1" xfId="0" applyFont="1" applyBorder="1" applyAlignment="1">
      <alignment vertical="center" wrapText="1"/>
    </xf>
    <xf numFmtId="0" fontId="17" fillId="0" borderId="0" xfId="0" applyFont="1">
      <alignment vertical="center"/>
    </xf>
    <xf numFmtId="0" fontId="9" fillId="0" borderId="0" xfId="0" applyFont="1" applyBorder="1" applyAlignment="1">
      <alignment vertical="center" wrapText="1"/>
    </xf>
    <xf numFmtId="0" fontId="19" fillId="0" borderId="0" xfId="0" applyFont="1" applyBorder="1" applyAlignment="1">
      <alignment vertical="top" wrapText="1"/>
    </xf>
    <xf numFmtId="0" fontId="19" fillId="0" borderId="0" xfId="0" applyFont="1" applyBorder="1" applyAlignment="1">
      <alignment vertical="top" shrinkToFit="1"/>
    </xf>
    <xf numFmtId="0" fontId="19" fillId="0" borderId="0" xfId="0" applyFont="1" applyBorder="1" applyAlignment="1">
      <alignment vertical="center" wrapTex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2" xfId="0" applyFont="1" applyBorder="1" applyAlignment="1">
      <alignment vertical="center" shrinkToFit="1"/>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9" fillId="0" borderId="0" xfId="0" applyFont="1" applyBorder="1" applyAlignment="1">
      <alignment vertical="top" wrapText="1"/>
    </xf>
    <xf numFmtId="0" fontId="2" fillId="0" borderId="0" xfId="0" applyFont="1" applyAlignment="1">
      <alignment horizontal="right" vertical="center"/>
    </xf>
    <xf numFmtId="0" fontId="3" fillId="0" borderId="0" xfId="0" applyFont="1" applyAlignment="1">
      <alignment horizontal="center" vertical="center"/>
    </xf>
    <xf numFmtId="0" fontId="3" fillId="0" borderId="20" xfId="0" applyFont="1" applyBorder="1" applyAlignment="1">
      <alignment vertical="center" shrinkToFit="1"/>
    </xf>
    <xf numFmtId="0" fontId="3" fillId="0" borderId="20" xfId="0" applyFont="1" applyFill="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center" vertical="center"/>
    </xf>
    <xf numFmtId="0" fontId="9" fillId="0" borderId="0" xfId="0" applyFont="1" applyBorder="1" applyAlignment="1">
      <alignment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49" fontId="18" fillId="0" borderId="2" xfId="2" applyNumberFormat="1" applyFont="1" applyBorder="1" applyAlignment="1">
      <alignment vertical="center" shrinkToFit="1"/>
    </xf>
    <xf numFmtId="49" fontId="9" fillId="0" borderId="3" xfId="0" applyNumberFormat="1" applyFont="1" applyBorder="1" applyAlignment="1">
      <alignment vertical="center" shrinkToFit="1"/>
    </xf>
    <xf numFmtId="49" fontId="9" fillId="0" borderId="4" xfId="0"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0"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0" xfId="0" applyFont="1" applyAlignment="1">
      <alignment horizontal="center"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Fill="1" applyBorder="1" applyAlignment="1">
      <alignment vertical="center" shrinkToFit="1"/>
    </xf>
    <xf numFmtId="0" fontId="3" fillId="0" borderId="38" xfId="0" applyFont="1" applyFill="1" applyBorder="1" applyAlignment="1">
      <alignmen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39" xfId="0" applyFont="1" applyBorder="1" applyAlignment="1">
      <alignment vertical="center" shrinkToFit="1"/>
    </xf>
    <xf numFmtId="0" fontId="3" fillId="0" borderId="40"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8"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16" xfId="0" applyFont="1" applyBorder="1" applyAlignment="1">
      <alignment vertical="center" wrapText="1"/>
    </xf>
    <xf numFmtId="0" fontId="9" fillId="0" borderId="41" xfId="0" applyFont="1" applyBorder="1" applyAlignment="1">
      <alignmen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13" xfId="0" applyFont="1" applyBorder="1" applyAlignment="1">
      <alignment vertical="center"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2" xfId="0" applyFont="1" applyBorder="1" applyAlignment="1">
      <alignment vertical="center"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7" xfId="0" applyFont="1" applyFill="1" applyBorder="1" applyAlignment="1">
      <alignment vertical="top" wrapText="1" shrinkToFit="1"/>
    </xf>
    <xf numFmtId="0" fontId="9" fillId="0" borderId="8" xfId="0" applyFont="1" applyFill="1" applyBorder="1" applyAlignment="1">
      <alignment vertical="top" shrinkToFit="1"/>
    </xf>
    <xf numFmtId="0" fontId="9" fillId="0" borderId="9" xfId="0" applyFont="1" applyFill="1" applyBorder="1" applyAlignment="1">
      <alignment vertical="top" shrinkToFit="1"/>
    </xf>
    <xf numFmtId="0" fontId="9" fillId="0" borderId="5" xfId="0" applyFont="1" applyFill="1" applyBorder="1" applyAlignment="1">
      <alignment vertical="top" shrinkToFit="1"/>
    </xf>
    <xf numFmtId="0" fontId="9" fillId="0" borderId="0" xfId="0" applyFont="1" applyFill="1" applyBorder="1" applyAlignment="1">
      <alignment vertical="top" shrinkToFit="1"/>
    </xf>
    <xf numFmtId="0" fontId="9" fillId="0" borderId="10" xfId="0" applyFont="1" applyFill="1" applyBorder="1" applyAlignment="1">
      <alignment vertical="top" shrinkToFit="1"/>
    </xf>
    <xf numFmtId="0" fontId="9" fillId="0" borderId="11" xfId="0" applyFont="1" applyFill="1" applyBorder="1" applyAlignment="1">
      <alignment vertical="top" shrinkToFit="1"/>
    </xf>
    <xf numFmtId="0" fontId="9" fillId="0" borderId="6" xfId="0" applyFont="1" applyFill="1" applyBorder="1" applyAlignment="1">
      <alignment vertical="top" shrinkToFit="1"/>
    </xf>
    <xf numFmtId="0" fontId="9" fillId="0" borderId="12" xfId="0" applyFont="1" applyFill="1" applyBorder="1" applyAlignment="1">
      <alignment vertical="top" shrinkToFit="1"/>
    </xf>
    <xf numFmtId="0" fontId="9" fillId="0" borderId="6" xfId="0" applyFont="1" applyBorder="1" applyAlignment="1">
      <alignment vertical="center"/>
    </xf>
    <xf numFmtId="0" fontId="9" fillId="0" borderId="8" xfId="0" applyFont="1" applyFill="1" applyBorder="1" applyAlignment="1">
      <alignment vertical="top" wrapText="1" shrinkToFit="1"/>
    </xf>
    <xf numFmtId="0" fontId="9" fillId="0" borderId="9" xfId="0" applyFont="1" applyFill="1" applyBorder="1" applyAlignment="1">
      <alignment vertical="top" wrapText="1" shrinkToFit="1"/>
    </xf>
    <xf numFmtId="0" fontId="9" fillId="0" borderId="5" xfId="0" applyFont="1" applyFill="1" applyBorder="1" applyAlignment="1">
      <alignment vertical="top" wrapText="1" shrinkToFit="1"/>
    </xf>
    <xf numFmtId="0" fontId="9" fillId="0" borderId="0" xfId="0" applyFont="1" applyFill="1" applyBorder="1" applyAlignment="1">
      <alignment vertical="top" wrapText="1" shrinkToFit="1"/>
    </xf>
    <xf numFmtId="0" fontId="9" fillId="0" borderId="10" xfId="0" applyFont="1" applyFill="1" applyBorder="1" applyAlignment="1">
      <alignment vertical="top" wrapText="1" shrinkToFit="1"/>
    </xf>
    <xf numFmtId="0" fontId="9" fillId="0" borderId="11" xfId="0" applyFont="1" applyFill="1" applyBorder="1" applyAlignment="1">
      <alignment vertical="top" wrapText="1" shrinkToFit="1"/>
    </xf>
    <xf numFmtId="0" fontId="9" fillId="0" borderId="6" xfId="0" applyFont="1" applyFill="1" applyBorder="1" applyAlignment="1">
      <alignment vertical="top" wrapText="1" shrinkToFit="1"/>
    </xf>
    <xf numFmtId="0" fontId="9" fillId="0" borderId="12"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0" xfId="0" applyFont="1" applyFill="1" applyBorder="1" applyAlignment="1">
      <alignment vertical="top" wrapText="1" shrinkToFit="1"/>
    </xf>
    <xf numFmtId="0" fontId="9" fillId="0" borderId="21" xfId="0" applyFont="1" applyFill="1" applyBorder="1" applyAlignment="1">
      <alignment vertical="top" wrapText="1" shrinkToFit="1"/>
    </xf>
    <xf numFmtId="0" fontId="9" fillId="0" borderId="19"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18" fillId="0" borderId="2" xfId="2" applyFont="1" applyBorder="1" applyAlignment="1">
      <alignment horizontal="left" vertical="center" shrinkToFit="1"/>
    </xf>
    <xf numFmtId="0" fontId="19" fillId="0" borderId="3" xfId="0" applyFont="1" applyBorder="1" applyAlignment="1">
      <alignment horizontal="left" vertical="center" shrinkToFit="1"/>
    </xf>
    <xf numFmtId="0" fontId="19" fillId="0" borderId="4" xfId="0" applyFont="1" applyBorder="1" applyAlignment="1">
      <alignment horizontal="left" vertical="center" shrinkToFit="1"/>
    </xf>
    <xf numFmtId="0" fontId="9" fillId="0" borderId="20" xfId="0" applyFont="1" applyBorder="1" applyAlignment="1">
      <alignment vertical="top" wrapText="1" shrinkToFit="1"/>
    </xf>
    <xf numFmtId="0" fontId="2" fillId="0" borderId="0" xfId="0" applyFont="1" applyAlignment="1">
      <alignment horizontal="center" vertical="center" shrinkToFit="1"/>
    </xf>
    <xf numFmtId="0" fontId="4"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Border="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20" fillId="0" borderId="0" xfId="0" applyFont="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h3604@office.chiba-u.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hiba-u.ac.jp/education/index.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zoomScaleNormal="100" workbookViewId="0">
      <selection activeCell="O1" sqref="O1"/>
    </sheetView>
  </sheetViews>
  <sheetFormatPr defaultColWidth="9" defaultRowHeight="18.75" customHeight="1"/>
  <cols>
    <col min="1" max="1" width="2.5" style="16" customWidth="1"/>
    <col min="2" max="2" width="12.5" style="16" customWidth="1"/>
    <col min="3" max="8" width="6.125" style="16" customWidth="1"/>
    <col min="9" max="9" width="2.5" style="16" customWidth="1"/>
    <col min="10" max="10" width="10" style="16" customWidth="1"/>
    <col min="11" max="11" width="2.5" style="16" customWidth="1"/>
    <col min="12" max="12" width="7.5" style="16" customWidth="1"/>
    <col min="13" max="13" width="2.5" style="16" customWidth="1"/>
    <col min="14" max="14" width="7.5" style="16" customWidth="1"/>
    <col min="15" max="16384" width="9" style="16"/>
  </cols>
  <sheetData>
    <row r="1" spans="1:14" ht="22.5" customHeight="1">
      <c r="M1" s="119" t="s">
        <v>0</v>
      </c>
      <c r="N1" s="119"/>
    </row>
    <row r="2" spans="1:14" ht="22.5" customHeight="1">
      <c r="A2" s="124" t="s">
        <v>1</v>
      </c>
      <c r="B2" s="124"/>
      <c r="C2" s="124"/>
      <c r="D2" s="124"/>
      <c r="E2" s="124"/>
      <c r="F2" s="124"/>
      <c r="G2" s="124"/>
      <c r="H2" s="124"/>
      <c r="I2" s="124"/>
      <c r="J2" s="124"/>
      <c r="K2" s="124"/>
      <c r="L2" s="124"/>
      <c r="M2" s="124"/>
      <c r="N2" s="124"/>
    </row>
    <row r="3" spans="1:14" ht="22.5" customHeight="1"/>
    <row r="4" spans="1:14" ht="22.5" customHeight="1">
      <c r="A4" s="16" t="s">
        <v>2</v>
      </c>
      <c r="B4" s="18" t="s">
        <v>3</v>
      </c>
      <c r="C4" s="106" t="s">
        <v>4</v>
      </c>
      <c r="D4" s="107"/>
      <c r="E4" s="107"/>
      <c r="F4" s="107"/>
      <c r="G4" s="107"/>
      <c r="H4" s="107"/>
      <c r="I4" s="107"/>
      <c r="J4" s="107"/>
      <c r="K4" s="107"/>
      <c r="L4" s="107"/>
      <c r="M4" s="107"/>
      <c r="N4" s="108"/>
    </row>
    <row r="5" spans="1:14" ht="7.5" customHeight="1">
      <c r="B5" s="18"/>
      <c r="C5" s="18"/>
      <c r="D5" s="18"/>
      <c r="E5" s="19"/>
      <c r="F5" s="94"/>
      <c r="G5" s="94"/>
      <c r="H5" s="94"/>
      <c r="I5" s="94"/>
      <c r="J5" s="94"/>
      <c r="K5" s="94"/>
      <c r="L5" s="94"/>
      <c r="M5" s="94"/>
      <c r="N5" s="94"/>
    </row>
    <row r="6" spans="1:14" ht="22.5" customHeight="1">
      <c r="A6" s="16" t="s">
        <v>5</v>
      </c>
      <c r="B6" s="18" t="s">
        <v>6</v>
      </c>
      <c r="C6" s="18"/>
      <c r="D6" s="106" t="s">
        <v>7</v>
      </c>
      <c r="E6" s="107"/>
      <c r="F6" s="107"/>
      <c r="G6" s="107"/>
      <c r="H6" s="107"/>
      <c r="I6" s="107"/>
      <c r="J6" s="107"/>
      <c r="K6" s="107"/>
      <c r="L6" s="107"/>
      <c r="M6" s="107"/>
      <c r="N6" s="108"/>
    </row>
    <row r="7" spans="1:14" ht="7.5" customHeight="1">
      <c r="B7" s="18"/>
      <c r="C7" s="18"/>
      <c r="D7" s="18"/>
      <c r="E7" s="19"/>
      <c r="F7" s="94"/>
      <c r="G7" s="94"/>
      <c r="H7" s="94"/>
      <c r="I7" s="94"/>
      <c r="J7" s="94"/>
      <c r="K7" s="94"/>
      <c r="L7" s="94"/>
      <c r="M7" s="94"/>
      <c r="N7" s="94"/>
    </row>
    <row r="8" spans="1:14" ht="22.5" customHeight="1">
      <c r="A8" s="20" t="s">
        <v>8</v>
      </c>
      <c r="B8" s="21" t="s">
        <v>9</v>
      </c>
      <c r="C8" s="106" t="s">
        <v>10</v>
      </c>
      <c r="D8" s="107"/>
      <c r="E8" s="108"/>
      <c r="F8" s="94"/>
      <c r="G8" s="123"/>
      <c r="H8" s="123"/>
      <c r="I8" s="123"/>
      <c r="J8" s="94"/>
      <c r="K8" s="94"/>
      <c r="L8" s="94"/>
      <c r="M8" s="94"/>
      <c r="N8" s="94"/>
    </row>
    <row r="9" spans="1:14" ht="7.5" customHeight="1">
      <c r="B9" s="18"/>
      <c r="C9" s="18"/>
      <c r="D9" s="18"/>
      <c r="E9" s="19"/>
      <c r="F9" s="94"/>
      <c r="G9" s="94"/>
      <c r="H9" s="94"/>
      <c r="I9" s="94"/>
      <c r="J9" s="94"/>
      <c r="K9" s="94"/>
      <c r="L9" s="94"/>
      <c r="M9" s="94"/>
      <c r="N9" s="94"/>
    </row>
    <row r="10" spans="1:14" ht="22.5" customHeight="1">
      <c r="A10" s="16" t="s">
        <v>11</v>
      </c>
      <c r="B10" s="18" t="s">
        <v>12</v>
      </c>
      <c r="C10" s="106" t="s">
        <v>13</v>
      </c>
      <c r="D10" s="107"/>
      <c r="E10" s="107"/>
      <c r="F10" s="107"/>
      <c r="G10" s="107"/>
      <c r="H10" s="107"/>
      <c r="I10" s="107"/>
      <c r="J10" s="107"/>
      <c r="K10" s="107"/>
      <c r="L10" s="107"/>
      <c r="M10" s="107"/>
      <c r="N10" s="108"/>
    </row>
    <row r="11" spans="1:14" ht="7.5" customHeight="1">
      <c r="B11" s="18"/>
      <c r="C11" s="18"/>
      <c r="D11" s="18"/>
      <c r="E11" s="19"/>
      <c r="F11" s="94"/>
      <c r="G11" s="94"/>
      <c r="H11" s="94"/>
      <c r="I11" s="94"/>
      <c r="J11" s="94"/>
      <c r="K11" s="94"/>
      <c r="L11" s="94"/>
      <c r="M11" s="94"/>
      <c r="N11" s="94"/>
    </row>
    <row r="12" spans="1:14" ht="22.5" customHeight="1">
      <c r="A12" s="16" t="s">
        <v>14</v>
      </c>
      <c r="B12" s="18" t="s">
        <v>15</v>
      </c>
      <c r="C12" s="18"/>
      <c r="D12" s="18"/>
      <c r="E12" s="94"/>
      <c r="F12" s="76"/>
      <c r="G12" s="106" t="s">
        <v>16</v>
      </c>
      <c r="H12" s="107"/>
      <c r="I12" s="107"/>
      <c r="J12" s="107"/>
      <c r="K12" s="107"/>
      <c r="L12" s="107"/>
      <c r="M12" s="107"/>
      <c r="N12" s="108"/>
    </row>
    <row r="13" spans="1:14" ht="7.5" customHeight="1">
      <c r="B13" s="19"/>
      <c r="C13" s="19"/>
      <c r="D13" s="19"/>
      <c r="E13" s="19"/>
      <c r="F13" s="94"/>
      <c r="G13" s="94"/>
      <c r="H13" s="94"/>
      <c r="I13" s="94"/>
      <c r="J13" s="94"/>
      <c r="K13" s="94"/>
      <c r="L13" s="94"/>
      <c r="M13" s="94"/>
      <c r="N13" s="94"/>
    </row>
    <row r="14" spans="1:14" ht="22.5" customHeight="1">
      <c r="A14" s="16" t="s">
        <v>17</v>
      </c>
      <c r="B14" s="19" t="s">
        <v>18</v>
      </c>
      <c r="C14" s="19"/>
      <c r="D14" s="19"/>
      <c r="E14" s="19"/>
      <c r="F14" s="106" t="s">
        <v>19</v>
      </c>
      <c r="G14" s="107"/>
      <c r="H14" s="108"/>
      <c r="I14" s="94"/>
      <c r="J14" s="94"/>
      <c r="K14" s="94"/>
      <c r="L14" s="94"/>
      <c r="M14" s="94"/>
      <c r="N14" s="94"/>
    </row>
    <row r="15" spans="1:14" ht="7.5" customHeight="1">
      <c r="B15" s="19"/>
      <c r="C15" s="19"/>
      <c r="D15" s="19"/>
      <c r="E15" s="19"/>
      <c r="F15" s="94"/>
      <c r="G15" s="94"/>
      <c r="H15" s="94"/>
      <c r="I15" s="94"/>
      <c r="J15" s="94"/>
      <c r="K15" s="94"/>
      <c r="L15" s="94"/>
      <c r="M15" s="94"/>
      <c r="N15" s="94"/>
    </row>
    <row r="16" spans="1:14" ht="22.5" customHeight="1">
      <c r="A16" s="16" t="s">
        <v>20</v>
      </c>
      <c r="B16" s="16" t="s">
        <v>21</v>
      </c>
      <c r="C16" s="120" t="s">
        <v>22</v>
      </c>
      <c r="D16" s="121"/>
      <c r="E16" s="104">
        <v>1309</v>
      </c>
      <c r="F16" s="105"/>
      <c r="G16" s="22" t="s">
        <v>23</v>
      </c>
      <c r="I16" s="120" t="s">
        <v>24</v>
      </c>
      <c r="J16" s="121"/>
      <c r="K16" s="104">
        <v>1098</v>
      </c>
      <c r="L16" s="122"/>
      <c r="M16" s="105"/>
      <c r="N16" s="23" t="s">
        <v>23</v>
      </c>
    </row>
    <row r="17" spans="1:15" ht="7.5" customHeight="1">
      <c r="F17" s="24"/>
      <c r="G17" s="24"/>
      <c r="H17" s="24"/>
      <c r="I17" s="24"/>
      <c r="J17" s="24"/>
      <c r="K17" s="24"/>
      <c r="L17" s="24"/>
      <c r="M17" s="23"/>
      <c r="N17" s="23"/>
    </row>
    <row r="18" spans="1:15" ht="22.5" customHeight="1">
      <c r="A18" s="16" t="s">
        <v>25</v>
      </c>
      <c r="B18" s="16" t="s">
        <v>26</v>
      </c>
      <c r="F18" s="24"/>
      <c r="G18" s="24"/>
      <c r="H18" s="24"/>
      <c r="I18" s="24"/>
      <c r="J18" s="24"/>
      <c r="K18" s="116">
        <v>48</v>
      </c>
      <c r="L18" s="117"/>
      <c r="M18" s="118"/>
      <c r="N18" s="23" t="s">
        <v>23</v>
      </c>
      <c r="O18" s="78"/>
    </row>
    <row r="19" spans="1:15" ht="7.5" customHeight="1">
      <c r="F19" s="24"/>
      <c r="G19" s="24"/>
      <c r="H19" s="24"/>
      <c r="I19" s="24"/>
      <c r="J19" s="24"/>
      <c r="K19" s="24"/>
      <c r="L19" s="24"/>
      <c r="M19" s="23"/>
      <c r="N19" s="23"/>
    </row>
    <row r="20" spans="1:15" ht="22.5" customHeight="1">
      <c r="A20" s="16" t="s">
        <v>27</v>
      </c>
      <c r="B20" s="16" t="s">
        <v>28</v>
      </c>
      <c r="E20" s="104">
        <v>2317</v>
      </c>
      <c r="F20" s="105"/>
      <c r="G20" s="25" t="s">
        <v>29</v>
      </c>
      <c r="H20" s="24"/>
      <c r="K20" s="103"/>
      <c r="L20" s="103"/>
      <c r="M20" s="103"/>
      <c r="N20" s="103"/>
    </row>
    <row r="21" spans="1:15" ht="7.5" customHeight="1">
      <c r="E21" s="14"/>
      <c r="F21" s="24"/>
      <c r="G21" s="24"/>
      <c r="L21" s="88"/>
      <c r="M21" s="88"/>
      <c r="N21" s="26"/>
    </row>
    <row r="22" spans="1:15" ht="22.5" customHeight="1">
      <c r="A22" s="16" t="s">
        <v>30</v>
      </c>
      <c r="B22" s="16" t="s">
        <v>31</v>
      </c>
      <c r="E22" s="14"/>
      <c r="F22" s="24"/>
      <c r="G22" s="24"/>
      <c r="H22" s="16" t="s">
        <v>32</v>
      </c>
      <c r="J22" s="110">
        <v>10473</v>
      </c>
      <c r="K22" s="111"/>
      <c r="L22" s="112"/>
      <c r="M22" s="88" t="s">
        <v>23</v>
      </c>
      <c r="N22" s="26"/>
    </row>
    <row r="23" spans="1:15" ht="7.5" customHeight="1">
      <c r="E23" s="14"/>
      <c r="F23" s="24"/>
      <c r="G23" s="24"/>
      <c r="L23" s="88"/>
      <c r="M23" s="88"/>
      <c r="N23" s="26"/>
    </row>
    <row r="24" spans="1:15" ht="22.5" customHeight="1">
      <c r="B24" s="93" t="s">
        <v>33</v>
      </c>
      <c r="C24" s="104">
        <v>2399</v>
      </c>
      <c r="D24" s="105"/>
      <c r="E24" s="14" t="s">
        <v>23</v>
      </c>
      <c r="F24" s="24"/>
      <c r="G24" s="109" t="s">
        <v>34</v>
      </c>
      <c r="H24" s="109"/>
      <c r="I24" s="104">
        <v>2460</v>
      </c>
      <c r="J24" s="105"/>
      <c r="K24" s="20" t="s">
        <v>23</v>
      </c>
      <c r="M24" s="88"/>
      <c r="N24" s="26"/>
      <c r="O24" s="17"/>
    </row>
    <row r="25" spans="1:15" ht="7.5" customHeight="1">
      <c r="B25" s="93"/>
      <c r="C25" s="15"/>
      <c r="D25" s="15"/>
      <c r="E25" s="14"/>
      <c r="F25" s="24"/>
      <c r="G25" s="88"/>
      <c r="H25" s="88"/>
      <c r="I25" s="15"/>
      <c r="J25" s="15"/>
      <c r="K25" s="20"/>
      <c r="M25" s="88"/>
      <c r="N25" s="26"/>
      <c r="O25" s="17"/>
    </row>
    <row r="26" spans="1:15" ht="22.5" customHeight="1">
      <c r="B26" s="93" t="s">
        <v>35</v>
      </c>
      <c r="C26" s="104">
        <v>2454</v>
      </c>
      <c r="D26" s="105"/>
      <c r="E26" s="14" t="s">
        <v>23</v>
      </c>
      <c r="F26" s="24"/>
      <c r="G26" s="109" t="s">
        <v>36</v>
      </c>
      <c r="H26" s="109"/>
      <c r="I26" s="104">
        <v>2832</v>
      </c>
      <c r="J26" s="105"/>
      <c r="K26" s="20" t="s">
        <v>23</v>
      </c>
      <c r="M26" s="88"/>
      <c r="N26" s="26"/>
    </row>
    <row r="27" spans="1:15" ht="7.5" customHeight="1">
      <c r="B27" s="93"/>
      <c r="C27" s="15"/>
      <c r="D27" s="15"/>
      <c r="E27" s="14"/>
      <c r="F27" s="24"/>
      <c r="G27" s="88"/>
      <c r="H27" s="88"/>
      <c r="I27" s="15"/>
      <c r="J27" s="15"/>
      <c r="K27" s="20"/>
      <c r="M27" s="88"/>
      <c r="N27" s="26"/>
    </row>
    <row r="28" spans="1:15" ht="22.5" customHeight="1">
      <c r="B28" s="93" t="s">
        <v>37</v>
      </c>
      <c r="C28" s="104">
        <v>160</v>
      </c>
      <c r="D28" s="105"/>
      <c r="E28" s="14" t="s">
        <v>23</v>
      </c>
      <c r="F28" s="24"/>
      <c r="G28" s="109" t="s">
        <v>38</v>
      </c>
      <c r="H28" s="109"/>
      <c r="I28" s="104">
        <v>168</v>
      </c>
      <c r="J28" s="105"/>
      <c r="K28" s="20" t="s">
        <v>23</v>
      </c>
      <c r="M28" s="88"/>
      <c r="N28" s="26"/>
    </row>
    <row r="29" spans="1:15" ht="7.5" customHeight="1">
      <c r="F29" s="24"/>
      <c r="G29" s="24"/>
      <c r="M29" s="27"/>
      <c r="N29" s="27"/>
    </row>
    <row r="30" spans="1:15" ht="22.5" customHeight="1">
      <c r="A30" s="16" t="s">
        <v>39</v>
      </c>
      <c r="B30" s="18" t="s">
        <v>40</v>
      </c>
      <c r="C30" s="18"/>
      <c r="D30" s="18"/>
      <c r="E30" s="18"/>
      <c r="F30" s="20"/>
      <c r="G30" s="94"/>
      <c r="H30" s="94"/>
      <c r="I30" s="94"/>
      <c r="J30" s="29"/>
      <c r="K30" s="29"/>
      <c r="L30" s="29"/>
      <c r="M30" s="29"/>
      <c r="N30" s="29"/>
    </row>
    <row r="31" spans="1:15" s="17" customFormat="1" ht="22.5" customHeight="1">
      <c r="B31" s="113" t="s">
        <v>41</v>
      </c>
      <c r="C31" s="113"/>
      <c r="D31" s="106" t="s">
        <v>42</v>
      </c>
      <c r="E31" s="107"/>
      <c r="F31" s="107"/>
      <c r="G31" s="114" t="s">
        <v>43</v>
      </c>
      <c r="H31" s="113"/>
      <c r="I31" s="115"/>
      <c r="J31" s="106" t="s">
        <v>44</v>
      </c>
      <c r="K31" s="107"/>
      <c r="L31" s="107"/>
      <c r="M31" s="107"/>
      <c r="N31" s="108"/>
    </row>
    <row r="32" spans="1:15" ht="7.5" customHeight="1">
      <c r="F32" s="24"/>
      <c r="G32" s="24"/>
      <c r="M32" s="27"/>
      <c r="N32" s="27"/>
    </row>
    <row r="33" spans="1:14" ht="22.5" customHeight="1">
      <c r="A33" s="16" t="s">
        <v>45</v>
      </c>
      <c r="B33" s="18" t="s">
        <v>46</v>
      </c>
      <c r="C33" s="18"/>
      <c r="D33" s="18"/>
      <c r="E33" s="18"/>
      <c r="F33" s="20"/>
      <c r="G33" s="29"/>
      <c r="H33" s="29"/>
      <c r="I33" s="29"/>
      <c r="J33" s="29"/>
      <c r="K33" s="29"/>
      <c r="L33" s="29"/>
      <c r="M33" s="29"/>
      <c r="N33" s="29"/>
    </row>
    <row r="34" spans="1:14" ht="22.5" customHeight="1">
      <c r="B34" s="106" t="s">
        <v>47</v>
      </c>
      <c r="C34" s="107"/>
      <c r="D34" s="107"/>
      <c r="E34" s="107"/>
      <c r="F34" s="107"/>
      <c r="G34" s="107"/>
      <c r="H34" s="107"/>
      <c r="I34" s="107"/>
      <c r="J34" s="107"/>
      <c r="K34" s="107"/>
      <c r="L34" s="107"/>
      <c r="M34" s="107"/>
      <c r="N34" s="108"/>
    </row>
    <row r="35" spans="1:14" ht="7.5" customHeight="1">
      <c r="B35" s="92"/>
      <c r="C35" s="92"/>
      <c r="D35" s="92"/>
      <c r="E35" s="92"/>
      <c r="F35" s="92"/>
      <c r="G35" s="92"/>
      <c r="H35" s="92"/>
      <c r="I35" s="92"/>
      <c r="J35" s="92"/>
      <c r="K35" s="92"/>
      <c r="L35" s="92"/>
      <c r="M35" s="92"/>
      <c r="N35" s="92"/>
    </row>
    <row r="36" spans="1:14" s="17" customFormat="1" ht="22.5" customHeight="1">
      <c r="B36" s="113" t="s">
        <v>41</v>
      </c>
      <c r="C36" s="113"/>
      <c r="D36" s="106" t="s">
        <v>48</v>
      </c>
      <c r="E36" s="107"/>
      <c r="F36" s="107"/>
      <c r="G36" s="114" t="s">
        <v>43</v>
      </c>
      <c r="H36" s="113"/>
      <c r="I36" s="115"/>
      <c r="J36" s="106" t="s">
        <v>49</v>
      </c>
      <c r="K36" s="107"/>
      <c r="L36" s="107"/>
      <c r="M36" s="107"/>
      <c r="N36" s="108"/>
    </row>
    <row r="37" spans="1:14" ht="7.5" customHeight="1">
      <c r="B37" s="17"/>
      <c r="C37" s="17"/>
      <c r="D37" s="17"/>
      <c r="E37" s="17"/>
      <c r="F37" s="94"/>
      <c r="G37" s="94"/>
      <c r="H37" s="94"/>
      <c r="I37" s="94"/>
      <c r="J37" s="94"/>
      <c r="K37" s="94"/>
      <c r="L37" s="94"/>
      <c r="M37" s="94"/>
      <c r="N37" s="94"/>
    </row>
    <row r="38" spans="1:14" ht="22.5" customHeight="1">
      <c r="A38" s="16" t="s">
        <v>50</v>
      </c>
      <c r="B38" s="17" t="s">
        <v>51</v>
      </c>
      <c r="C38" s="17"/>
      <c r="D38" s="17"/>
      <c r="E38" s="17"/>
      <c r="F38" s="17"/>
      <c r="G38" s="17"/>
      <c r="H38" s="17"/>
      <c r="I38" s="17"/>
      <c r="J38" s="17"/>
      <c r="K38" s="17"/>
      <c r="L38" s="17"/>
      <c r="M38" s="27"/>
      <c r="N38" s="27"/>
    </row>
    <row r="39" spans="1:14" ht="22.5" customHeight="1">
      <c r="B39" s="106" t="s">
        <v>47</v>
      </c>
      <c r="C39" s="107"/>
      <c r="D39" s="107"/>
      <c r="E39" s="107"/>
      <c r="F39" s="107"/>
      <c r="G39" s="107"/>
      <c r="H39" s="107"/>
      <c r="I39" s="107"/>
      <c r="J39" s="107"/>
      <c r="K39" s="107"/>
      <c r="L39" s="107"/>
      <c r="M39" s="107"/>
      <c r="N39" s="108"/>
    </row>
    <row r="40" spans="1:14" ht="7.5" customHeight="1">
      <c r="B40" s="17"/>
      <c r="C40" s="17"/>
      <c r="D40" s="17"/>
      <c r="E40" s="17"/>
      <c r="F40" s="94"/>
      <c r="G40" s="94"/>
      <c r="H40" s="94"/>
      <c r="I40" s="94"/>
      <c r="J40" s="94"/>
      <c r="K40" s="94"/>
      <c r="L40" s="94"/>
      <c r="M40" s="94"/>
      <c r="N40" s="94"/>
    </row>
    <row r="41" spans="1:14" s="17" customFormat="1" ht="22.5" customHeight="1">
      <c r="B41" s="113" t="s">
        <v>41</v>
      </c>
      <c r="C41" s="113"/>
      <c r="D41" s="106" t="s">
        <v>48</v>
      </c>
      <c r="E41" s="107"/>
      <c r="F41" s="107"/>
      <c r="G41" s="114" t="s">
        <v>43</v>
      </c>
      <c r="H41" s="113"/>
      <c r="I41" s="115"/>
      <c r="J41" s="106" t="s">
        <v>49</v>
      </c>
      <c r="K41" s="107"/>
      <c r="L41" s="107"/>
      <c r="M41" s="107"/>
      <c r="N41" s="108"/>
    </row>
    <row r="42" spans="1:14" ht="7.5" customHeight="1">
      <c r="F42" s="94"/>
      <c r="G42" s="94"/>
      <c r="H42" s="94"/>
      <c r="I42" s="94"/>
      <c r="J42" s="94"/>
      <c r="K42" s="94"/>
      <c r="L42" s="94"/>
      <c r="M42" s="94"/>
      <c r="N42" s="94"/>
    </row>
    <row r="43" spans="1:14" ht="22.5" customHeight="1">
      <c r="A43" s="16" t="s">
        <v>52</v>
      </c>
      <c r="B43" s="77" t="s">
        <v>53</v>
      </c>
      <c r="E43" s="76"/>
      <c r="F43" s="106" t="s">
        <v>54</v>
      </c>
      <c r="G43" s="107"/>
      <c r="H43" s="107"/>
      <c r="I43" s="107"/>
      <c r="J43" s="107"/>
      <c r="K43" s="107"/>
      <c r="L43" s="107"/>
      <c r="M43" s="107"/>
      <c r="N43" s="108"/>
    </row>
    <row r="44" spans="1:14" ht="7.5" customHeight="1">
      <c r="F44" s="94"/>
      <c r="G44" s="94"/>
      <c r="H44" s="94"/>
      <c r="I44" s="94"/>
      <c r="J44" s="94"/>
      <c r="K44" s="94"/>
      <c r="L44" s="94"/>
      <c r="M44" s="94"/>
      <c r="N44" s="94"/>
    </row>
    <row r="45" spans="1:14" ht="22.5" customHeight="1">
      <c r="A45" s="16" t="s">
        <v>55</v>
      </c>
    </row>
    <row r="46" spans="1:14" ht="22.5" customHeight="1">
      <c r="B46" s="30" t="s">
        <v>56</v>
      </c>
      <c r="C46" s="131" t="s">
        <v>57</v>
      </c>
      <c r="D46" s="132"/>
      <c r="E46" s="132"/>
      <c r="F46" s="132"/>
      <c r="G46" s="132"/>
      <c r="H46" s="132"/>
      <c r="I46" s="31" t="s">
        <v>58</v>
      </c>
      <c r="J46" s="32"/>
      <c r="K46" s="106" t="s">
        <v>59</v>
      </c>
      <c r="L46" s="107"/>
      <c r="M46" s="107"/>
      <c r="N46" s="108"/>
    </row>
    <row r="47" spans="1:14" ht="22.5" customHeight="1">
      <c r="B47" s="30" t="s">
        <v>60</v>
      </c>
      <c r="C47" s="125" t="s">
        <v>61</v>
      </c>
      <c r="D47" s="126"/>
      <c r="E47" s="126"/>
      <c r="F47" s="126"/>
      <c r="G47" s="126"/>
      <c r="H47" s="127"/>
      <c r="I47" s="31" t="s">
        <v>62</v>
      </c>
      <c r="J47" s="32"/>
      <c r="K47" s="128" t="s">
        <v>63</v>
      </c>
      <c r="L47" s="129"/>
      <c r="M47" s="129"/>
      <c r="N47" s="13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85" zoomScaleNormal="85" workbookViewId="0">
      <selection activeCell="J1" sqref="J1"/>
    </sheetView>
  </sheetViews>
  <sheetFormatPr defaultColWidth="9" defaultRowHeight="18.75" customHeight="1"/>
  <cols>
    <col min="1" max="2" width="2.5" style="16" customWidth="1"/>
    <col min="3" max="3" width="20" style="16" customWidth="1"/>
    <col min="4" max="4" width="8.875" style="16" customWidth="1"/>
    <col min="5" max="5" width="7.5" style="16" customWidth="1"/>
    <col min="6" max="6" width="2.5" style="16" customWidth="1"/>
    <col min="7" max="7" width="15" style="16" customWidth="1"/>
    <col min="8" max="8" width="12.5" style="16" customWidth="1"/>
    <col min="9" max="9" width="11.125" style="16" customWidth="1"/>
    <col min="10" max="16384" width="9" style="16"/>
  </cols>
  <sheetData>
    <row r="1" spans="1:9" ht="18.75" customHeight="1">
      <c r="I1" s="91" t="s">
        <v>64</v>
      </c>
    </row>
    <row r="2" spans="1:9" ht="18.75" customHeight="1">
      <c r="G2" s="28" t="s">
        <v>65</v>
      </c>
      <c r="H2" s="143" t="s">
        <v>66</v>
      </c>
      <c r="I2" s="143"/>
    </row>
    <row r="3" spans="1:9" ht="7.5" customHeight="1"/>
    <row r="4" spans="1:9" ht="18.75" customHeight="1">
      <c r="A4" s="124" t="s">
        <v>67</v>
      </c>
      <c r="B4" s="124"/>
      <c r="C4" s="124"/>
      <c r="D4" s="124"/>
      <c r="E4" s="124"/>
      <c r="F4" s="124"/>
      <c r="G4" s="124"/>
      <c r="H4" s="124"/>
      <c r="I4" s="124"/>
    </row>
    <row r="5" spans="1:9" ht="7.5" customHeight="1">
      <c r="C5" s="93"/>
      <c r="D5" s="93"/>
      <c r="E5" s="93"/>
      <c r="F5" s="93"/>
      <c r="G5" s="93"/>
      <c r="H5" s="93"/>
      <c r="I5" s="93"/>
    </row>
    <row r="6" spans="1:9" ht="18.75" customHeight="1">
      <c r="A6" s="16" t="s">
        <v>2</v>
      </c>
      <c r="B6" s="16" t="s">
        <v>68</v>
      </c>
      <c r="C6" s="93"/>
      <c r="D6" s="93"/>
      <c r="E6" s="110" t="s">
        <v>69</v>
      </c>
      <c r="F6" s="111"/>
      <c r="G6" s="111"/>
      <c r="H6" s="111"/>
      <c r="I6" s="112"/>
    </row>
    <row r="7" spans="1:9" ht="7.5" customHeight="1">
      <c r="C7" s="93"/>
      <c r="D7" s="93"/>
      <c r="F7" s="88"/>
      <c r="G7" s="88"/>
      <c r="H7" s="88"/>
      <c r="I7" s="88"/>
    </row>
    <row r="8" spans="1:9" ht="18.75" customHeight="1">
      <c r="A8" s="16" t="s">
        <v>5</v>
      </c>
      <c r="B8" s="16" t="s">
        <v>70</v>
      </c>
      <c r="C8" s="93"/>
      <c r="D8" s="93"/>
      <c r="E8" s="93"/>
      <c r="F8" s="93"/>
      <c r="G8" s="93"/>
      <c r="H8" s="93"/>
      <c r="I8" s="93"/>
    </row>
    <row r="9" spans="1:9" ht="18.75" customHeight="1">
      <c r="B9" s="134" t="s">
        <v>71</v>
      </c>
      <c r="C9" s="135"/>
      <c r="D9" s="135"/>
      <c r="E9" s="135"/>
      <c r="F9" s="135"/>
      <c r="G9" s="135"/>
      <c r="H9" s="135"/>
      <c r="I9" s="136"/>
    </row>
    <row r="10" spans="1:9" ht="18.75" customHeight="1">
      <c r="B10" s="137"/>
      <c r="C10" s="138"/>
      <c r="D10" s="138"/>
      <c r="E10" s="138"/>
      <c r="F10" s="138"/>
      <c r="G10" s="138"/>
      <c r="H10" s="138"/>
      <c r="I10" s="139"/>
    </row>
    <row r="11" spans="1:9" ht="18.75" customHeight="1">
      <c r="B11" s="137"/>
      <c r="C11" s="138"/>
      <c r="D11" s="138"/>
      <c r="E11" s="138"/>
      <c r="F11" s="138"/>
      <c r="G11" s="138"/>
      <c r="H11" s="138"/>
      <c r="I11" s="139"/>
    </row>
    <row r="12" spans="1:9" ht="18.75" customHeight="1">
      <c r="B12" s="137"/>
      <c r="C12" s="138"/>
      <c r="D12" s="138"/>
      <c r="E12" s="138"/>
      <c r="F12" s="138"/>
      <c r="G12" s="138"/>
      <c r="H12" s="138"/>
      <c r="I12" s="139"/>
    </row>
    <row r="13" spans="1:9" ht="18.75" customHeight="1">
      <c r="B13" s="137"/>
      <c r="C13" s="138"/>
      <c r="D13" s="138"/>
      <c r="E13" s="138"/>
      <c r="F13" s="138"/>
      <c r="G13" s="138"/>
      <c r="H13" s="138"/>
      <c r="I13" s="139"/>
    </row>
    <row r="14" spans="1:9" ht="18.75" customHeight="1">
      <c r="B14" s="137"/>
      <c r="C14" s="138"/>
      <c r="D14" s="138"/>
      <c r="E14" s="138"/>
      <c r="F14" s="138"/>
      <c r="G14" s="138"/>
      <c r="H14" s="138"/>
      <c r="I14" s="139"/>
    </row>
    <row r="15" spans="1:9" ht="18.75" customHeight="1">
      <c r="B15" s="137"/>
      <c r="C15" s="138"/>
      <c r="D15" s="138"/>
      <c r="E15" s="138"/>
      <c r="F15" s="138"/>
      <c r="G15" s="138"/>
      <c r="H15" s="138"/>
      <c r="I15" s="139"/>
    </row>
    <row r="16" spans="1:9" ht="18.75" customHeight="1">
      <c r="B16" s="140"/>
      <c r="C16" s="141"/>
      <c r="D16" s="141"/>
      <c r="E16" s="141"/>
      <c r="F16" s="141"/>
      <c r="G16" s="141"/>
      <c r="H16" s="141"/>
      <c r="I16" s="142"/>
    </row>
    <row r="17" spans="1:10" ht="7.5" customHeight="1">
      <c r="C17" s="93"/>
      <c r="D17" s="93"/>
      <c r="E17" s="93"/>
      <c r="F17" s="93"/>
      <c r="G17" s="93"/>
      <c r="H17" s="93"/>
      <c r="I17" s="93"/>
    </row>
    <row r="18" spans="1:10" ht="18.75" customHeight="1">
      <c r="A18" s="93" t="s">
        <v>8</v>
      </c>
      <c r="B18" s="18" t="s">
        <v>72</v>
      </c>
      <c r="C18" s="18"/>
      <c r="D18" s="18"/>
      <c r="E18" s="18"/>
      <c r="F18" s="93"/>
      <c r="G18" s="93"/>
      <c r="H18" s="93"/>
      <c r="I18" s="93"/>
      <c r="J18" s="93"/>
    </row>
    <row r="19" spans="1:10" ht="18.75" customHeight="1">
      <c r="A19" s="144" t="s">
        <v>72</v>
      </c>
      <c r="B19" s="144"/>
      <c r="C19" s="144"/>
      <c r="D19" s="144"/>
      <c r="E19" s="144"/>
      <c r="F19" s="145" t="s">
        <v>72</v>
      </c>
      <c r="G19" s="145"/>
      <c r="H19" s="145"/>
      <c r="I19" s="145"/>
    </row>
    <row r="20" spans="1:10" ht="15" customHeight="1">
      <c r="A20" s="39">
        <v>1</v>
      </c>
      <c r="B20" s="131" t="s">
        <v>73</v>
      </c>
      <c r="C20" s="132"/>
      <c r="D20" s="132"/>
      <c r="E20" s="133"/>
      <c r="F20" s="39">
        <v>26</v>
      </c>
      <c r="G20" s="131"/>
      <c r="H20" s="132"/>
      <c r="I20" s="133"/>
    </row>
    <row r="21" spans="1:10" ht="15" customHeight="1">
      <c r="A21" s="39">
        <v>2</v>
      </c>
      <c r="B21" s="131" t="s">
        <v>74</v>
      </c>
      <c r="C21" s="132"/>
      <c r="D21" s="132"/>
      <c r="E21" s="133"/>
      <c r="F21" s="39">
        <v>27</v>
      </c>
      <c r="G21" s="131"/>
      <c r="H21" s="132"/>
      <c r="I21" s="133"/>
    </row>
    <row r="22" spans="1:10" ht="15" customHeight="1">
      <c r="A22" s="39">
        <v>3</v>
      </c>
      <c r="B22" s="131" t="s">
        <v>75</v>
      </c>
      <c r="C22" s="132"/>
      <c r="D22" s="132"/>
      <c r="E22" s="133"/>
      <c r="F22" s="39">
        <v>28</v>
      </c>
      <c r="G22" s="131"/>
      <c r="H22" s="132"/>
      <c r="I22" s="133"/>
    </row>
    <row r="23" spans="1:10" ht="15" customHeight="1">
      <c r="A23" s="39">
        <v>4</v>
      </c>
      <c r="B23" s="131" t="s">
        <v>76</v>
      </c>
      <c r="C23" s="132"/>
      <c r="D23" s="132"/>
      <c r="E23" s="133"/>
      <c r="F23" s="39">
        <v>29</v>
      </c>
      <c r="G23" s="131"/>
      <c r="H23" s="132"/>
      <c r="I23" s="133"/>
    </row>
    <row r="24" spans="1:10" ht="15" customHeight="1">
      <c r="A24" s="39">
        <v>5</v>
      </c>
      <c r="B24" s="131" t="s">
        <v>77</v>
      </c>
      <c r="C24" s="132"/>
      <c r="D24" s="132"/>
      <c r="E24" s="133"/>
      <c r="F24" s="39">
        <v>30</v>
      </c>
      <c r="G24" s="131"/>
      <c r="H24" s="132"/>
      <c r="I24" s="133"/>
    </row>
    <row r="25" spans="1:10" ht="15" customHeight="1">
      <c r="A25" s="39">
        <v>6</v>
      </c>
      <c r="B25" s="131" t="s">
        <v>78</v>
      </c>
      <c r="C25" s="132"/>
      <c r="D25" s="132"/>
      <c r="E25" s="133"/>
      <c r="F25" s="39">
        <v>31</v>
      </c>
      <c r="G25" s="131"/>
      <c r="H25" s="132"/>
      <c r="I25" s="133"/>
    </row>
    <row r="26" spans="1:10" ht="15" customHeight="1">
      <c r="A26" s="39">
        <v>7</v>
      </c>
      <c r="B26" s="131" t="s">
        <v>79</v>
      </c>
      <c r="C26" s="132"/>
      <c r="D26" s="132"/>
      <c r="E26" s="133"/>
      <c r="F26" s="39">
        <v>32</v>
      </c>
      <c r="G26" s="131"/>
      <c r="H26" s="132"/>
      <c r="I26" s="133"/>
    </row>
    <row r="27" spans="1:10" ht="15" customHeight="1">
      <c r="A27" s="39">
        <v>8</v>
      </c>
      <c r="B27" s="131" t="s">
        <v>80</v>
      </c>
      <c r="C27" s="132"/>
      <c r="D27" s="132"/>
      <c r="E27" s="133"/>
      <c r="F27" s="39">
        <v>33</v>
      </c>
      <c r="G27" s="131"/>
      <c r="H27" s="132"/>
      <c r="I27" s="133"/>
    </row>
    <row r="28" spans="1:10" ht="15" customHeight="1">
      <c r="A28" s="39">
        <v>9</v>
      </c>
      <c r="B28" s="131" t="s">
        <v>81</v>
      </c>
      <c r="C28" s="132"/>
      <c r="D28" s="132"/>
      <c r="E28" s="133"/>
      <c r="F28" s="39">
        <v>34</v>
      </c>
      <c r="G28" s="131"/>
      <c r="H28" s="132"/>
      <c r="I28" s="133"/>
    </row>
    <row r="29" spans="1:10" ht="15" customHeight="1">
      <c r="A29" s="39">
        <v>10</v>
      </c>
      <c r="B29" s="131" t="s">
        <v>82</v>
      </c>
      <c r="C29" s="132"/>
      <c r="D29" s="132"/>
      <c r="E29" s="133"/>
      <c r="F29" s="39">
        <v>35</v>
      </c>
      <c r="G29" s="131"/>
      <c r="H29" s="132"/>
      <c r="I29" s="133"/>
    </row>
    <row r="30" spans="1:10" ht="15" customHeight="1">
      <c r="A30" s="39">
        <v>11</v>
      </c>
      <c r="B30" s="131" t="s">
        <v>83</v>
      </c>
      <c r="C30" s="132"/>
      <c r="D30" s="132"/>
      <c r="E30" s="133"/>
      <c r="F30" s="39">
        <v>36</v>
      </c>
      <c r="G30" s="131"/>
      <c r="H30" s="132"/>
      <c r="I30" s="133"/>
    </row>
    <row r="31" spans="1:10" ht="15" customHeight="1">
      <c r="A31" s="39">
        <v>12</v>
      </c>
      <c r="B31" s="131"/>
      <c r="C31" s="132"/>
      <c r="D31" s="132"/>
      <c r="E31" s="133"/>
      <c r="F31" s="39">
        <v>37</v>
      </c>
      <c r="G31" s="131"/>
      <c r="H31" s="132"/>
      <c r="I31" s="133"/>
    </row>
    <row r="32" spans="1:10" ht="15" customHeight="1">
      <c r="A32" s="39">
        <v>13</v>
      </c>
      <c r="B32" s="131"/>
      <c r="C32" s="132"/>
      <c r="D32" s="132"/>
      <c r="E32" s="133"/>
      <c r="F32" s="39">
        <v>38</v>
      </c>
      <c r="G32" s="131"/>
      <c r="H32" s="132"/>
      <c r="I32" s="133"/>
    </row>
    <row r="33" spans="1:9" ht="15" customHeight="1">
      <c r="A33" s="39">
        <v>14</v>
      </c>
      <c r="B33" s="131"/>
      <c r="C33" s="132"/>
      <c r="D33" s="132"/>
      <c r="E33" s="133"/>
      <c r="F33" s="39">
        <v>39</v>
      </c>
      <c r="G33" s="131"/>
      <c r="H33" s="132"/>
      <c r="I33" s="133"/>
    </row>
    <row r="34" spans="1:9" ht="15" customHeight="1">
      <c r="A34" s="39">
        <v>15</v>
      </c>
      <c r="B34" s="131"/>
      <c r="C34" s="132"/>
      <c r="D34" s="132"/>
      <c r="E34" s="133"/>
      <c r="F34" s="39">
        <v>40</v>
      </c>
      <c r="G34" s="131"/>
      <c r="H34" s="132"/>
      <c r="I34" s="133"/>
    </row>
    <row r="35" spans="1:9" ht="15" customHeight="1">
      <c r="A35" s="39">
        <v>16</v>
      </c>
      <c r="B35" s="131"/>
      <c r="C35" s="132"/>
      <c r="D35" s="132"/>
      <c r="E35" s="133"/>
      <c r="F35" s="39">
        <v>41</v>
      </c>
      <c r="G35" s="131"/>
      <c r="H35" s="132"/>
      <c r="I35" s="133"/>
    </row>
    <row r="36" spans="1:9" ht="15" customHeight="1">
      <c r="A36" s="39">
        <v>17</v>
      </c>
      <c r="B36" s="131"/>
      <c r="C36" s="132"/>
      <c r="D36" s="132"/>
      <c r="E36" s="133"/>
      <c r="F36" s="39">
        <v>42</v>
      </c>
      <c r="G36" s="131"/>
      <c r="H36" s="132"/>
      <c r="I36" s="133"/>
    </row>
    <row r="37" spans="1:9" ht="15" customHeight="1">
      <c r="A37" s="39">
        <v>18</v>
      </c>
      <c r="B37" s="131"/>
      <c r="C37" s="132"/>
      <c r="D37" s="132"/>
      <c r="E37" s="133"/>
      <c r="F37" s="39">
        <v>43</v>
      </c>
      <c r="G37" s="131"/>
      <c r="H37" s="132"/>
      <c r="I37" s="133"/>
    </row>
    <row r="38" spans="1:9" ht="15" customHeight="1">
      <c r="A38" s="39">
        <v>19</v>
      </c>
      <c r="B38" s="131"/>
      <c r="C38" s="132"/>
      <c r="D38" s="132"/>
      <c r="E38" s="133"/>
      <c r="F38" s="39">
        <v>44</v>
      </c>
      <c r="G38" s="131"/>
      <c r="H38" s="132"/>
      <c r="I38" s="133"/>
    </row>
    <row r="39" spans="1:9" ht="15" customHeight="1">
      <c r="A39" s="39">
        <v>20</v>
      </c>
      <c r="B39" s="131"/>
      <c r="C39" s="132"/>
      <c r="D39" s="132"/>
      <c r="E39" s="133"/>
      <c r="F39" s="39">
        <v>45</v>
      </c>
      <c r="G39" s="131"/>
      <c r="H39" s="132"/>
      <c r="I39" s="133"/>
    </row>
    <row r="40" spans="1:9" ht="15" customHeight="1">
      <c r="A40" s="39">
        <v>21</v>
      </c>
      <c r="B40" s="131"/>
      <c r="C40" s="132"/>
      <c r="D40" s="132"/>
      <c r="E40" s="133"/>
      <c r="F40" s="39">
        <v>46</v>
      </c>
      <c r="G40" s="131"/>
      <c r="H40" s="132"/>
      <c r="I40" s="133"/>
    </row>
    <row r="41" spans="1:9" ht="15" customHeight="1">
      <c r="A41" s="39">
        <v>22</v>
      </c>
      <c r="B41" s="131"/>
      <c r="C41" s="132"/>
      <c r="D41" s="132"/>
      <c r="E41" s="133"/>
      <c r="F41" s="39">
        <v>47</v>
      </c>
      <c r="G41" s="131"/>
      <c r="H41" s="132"/>
      <c r="I41" s="133"/>
    </row>
    <row r="42" spans="1:9" ht="15" customHeight="1">
      <c r="A42" s="39">
        <v>23</v>
      </c>
      <c r="B42" s="131"/>
      <c r="C42" s="132"/>
      <c r="D42" s="132"/>
      <c r="E42" s="133"/>
      <c r="F42" s="39">
        <v>48</v>
      </c>
      <c r="G42" s="131"/>
      <c r="H42" s="132"/>
      <c r="I42" s="133"/>
    </row>
    <row r="43" spans="1:9" ht="15" customHeight="1">
      <c r="A43" s="39">
        <v>24</v>
      </c>
      <c r="B43" s="131"/>
      <c r="C43" s="132"/>
      <c r="D43" s="132"/>
      <c r="E43" s="133"/>
      <c r="F43" s="39">
        <v>49</v>
      </c>
      <c r="G43" s="131"/>
      <c r="H43" s="132"/>
      <c r="I43" s="133"/>
    </row>
    <row r="44" spans="1:9" ht="15" customHeight="1">
      <c r="A44" s="39">
        <v>25</v>
      </c>
      <c r="B44" s="131"/>
      <c r="C44" s="132"/>
      <c r="D44" s="132"/>
      <c r="E44" s="133"/>
      <c r="F44" s="39">
        <v>50</v>
      </c>
      <c r="G44" s="131"/>
      <c r="H44" s="132"/>
      <c r="I44" s="133"/>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disablePrompts="1"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zoomScale="85" zoomScaleNormal="85" workbookViewId="0">
      <selection activeCell="S1" sqref="S1"/>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F1" s="160" t="s">
        <v>84</v>
      </c>
      <c r="G1" s="160"/>
      <c r="H1" s="160"/>
      <c r="I1" s="160"/>
      <c r="J1" s="160"/>
      <c r="K1" s="160"/>
      <c r="L1" s="160"/>
      <c r="M1" s="160"/>
      <c r="N1" s="160"/>
      <c r="O1" s="160"/>
      <c r="P1" s="160"/>
      <c r="Q1" s="160"/>
      <c r="R1" s="160"/>
    </row>
    <row r="2" spans="1:20" ht="18.75" customHeight="1">
      <c r="D2" s="48"/>
      <c r="E2" s="48"/>
      <c r="F2" s="48"/>
      <c r="G2" s="48"/>
      <c r="H2" s="48"/>
      <c r="I2" s="48"/>
      <c r="J2" s="48"/>
      <c r="K2" s="160" t="s">
        <v>85</v>
      </c>
      <c r="L2" s="160"/>
      <c r="M2" s="171" t="s">
        <v>66</v>
      </c>
      <c r="N2" s="171"/>
      <c r="O2" s="171"/>
      <c r="P2" s="171"/>
      <c r="Q2" s="171"/>
      <c r="R2" s="171"/>
    </row>
    <row r="3" spans="1:20" ht="7.5" customHeight="1"/>
    <row r="4" spans="1:20" ht="18.75" customHeight="1">
      <c r="A4" s="170" t="s">
        <v>86</v>
      </c>
      <c r="B4" s="170"/>
      <c r="C4" s="170"/>
      <c r="D4" s="170"/>
      <c r="E4" s="170"/>
      <c r="F4" s="170"/>
      <c r="G4" s="170"/>
      <c r="H4" s="170"/>
      <c r="I4" s="170"/>
      <c r="J4" s="170"/>
      <c r="K4" s="170"/>
      <c r="L4" s="170"/>
      <c r="M4" s="170"/>
      <c r="N4" s="170"/>
      <c r="O4" s="170"/>
      <c r="P4" s="170"/>
      <c r="Q4" s="170"/>
      <c r="R4" s="170"/>
      <c r="S4" s="3"/>
    </row>
    <row r="5" spans="1:20" ht="7.5" customHeight="1">
      <c r="A5" s="97"/>
      <c r="B5" s="97"/>
      <c r="C5" s="97"/>
      <c r="D5" s="97"/>
      <c r="E5" s="97"/>
      <c r="F5" s="97"/>
      <c r="G5" s="97"/>
      <c r="H5" s="97"/>
      <c r="I5" s="97"/>
      <c r="J5" s="97"/>
      <c r="K5" s="97"/>
      <c r="L5" s="97"/>
      <c r="M5" s="97"/>
      <c r="N5" s="97"/>
      <c r="O5" s="97"/>
      <c r="P5" s="97"/>
      <c r="Q5" s="97"/>
      <c r="R5" s="97"/>
    </row>
    <row r="6" spans="1:20" ht="18.75" customHeight="1">
      <c r="B6" s="154" t="s">
        <v>87</v>
      </c>
      <c r="C6" s="155"/>
      <c r="D6" s="161" t="s">
        <v>88</v>
      </c>
      <c r="E6" s="163" t="s">
        <v>89</v>
      </c>
      <c r="F6" s="163"/>
      <c r="G6" s="163" t="s">
        <v>90</v>
      </c>
      <c r="H6" s="163"/>
      <c r="I6" s="164" t="s">
        <v>91</v>
      </c>
      <c r="J6" s="165"/>
      <c r="K6" s="164" t="s">
        <v>92</v>
      </c>
      <c r="L6" s="165"/>
      <c r="M6" s="164" t="s">
        <v>93</v>
      </c>
      <c r="N6" s="165"/>
      <c r="O6" s="164" t="s">
        <v>94</v>
      </c>
      <c r="P6" s="165"/>
      <c r="Q6" s="166" t="s">
        <v>95</v>
      </c>
      <c r="R6" s="168" t="s">
        <v>96</v>
      </c>
      <c r="T6" s="49"/>
    </row>
    <row r="7" spans="1:20" ht="18.75" customHeight="1">
      <c r="B7" s="156"/>
      <c r="C7" s="157"/>
      <c r="D7" s="162"/>
      <c r="E7" s="33" t="s">
        <v>97</v>
      </c>
      <c r="F7" s="35" t="s">
        <v>98</v>
      </c>
      <c r="G7" s="36" t="s">
        <v>97</v>
      </c>
      <c r="H7" s="34" t="s">
        <v>98</v>
      </c>
      <c r="I7" s="33" t="s">
        <v>97</v>
      </c>
      <c r="J7" s="35" t="s">
        <v>98</v>
      </c>
      <c r="K7" s="36" t="s">
        <v>97</v>
      </c>
      <c r="L7" s="34" t="s">
        <v>98</v>
      </c>
      <c r="M7" s="33" t="s">
        <v>97</v>
      </c>
      <c r="N7" s="35" t="s">
        <v>98</v>
      </c>
      <c r="O7" s="36" t="s">
        <v>97</v>
      </c>
      <c r="P7" s="34" t="s">
        <v>98</v>
      </c>
      <c r="Q7" s="167"/>
      <c r="R7" s="169"/>
      <c r="T7" s="49"/>
    </row>
    <row r="8" spans="1:20" ht="18.75" customHeight="1">
      <c r="A8" s="50"/>
      <c r="B8" s="148" t="s">
        <v>99</v>
      </c>
      <c r="C8" s="149"/>
      <c r="D8" s="72">
        <v>360</v>
      </c>
      <c r="E8" s="52">
        <v>66</v>
      </c>
      <c r="F8" s="53">
        <v>59</v>
      </c>
      <c r="G8" s="54"/>
      <c r="H8" s="55"/>
      <c r="I8" s="52"/>
      <c r="J8" s="53"/>
      <c r="K8" s="54"/>
      <c r="L8" s="55"/>
      <c r="M8" s="52"/>
      <c r="N8" s="53"/>
      <c r="O8" s="54"/>
      <c r="P8" s="55"/>
      <c r="Q8" s="56">
        <f>E8+G8+I8+K8+M8+O8</f>
        <v>66</v>
      </c>
      <c r="R8" s="57">
        <f>Q8/D8</f>
        <v>0.18333333333333332</v>
      </c>
    </row>
    <row r="9" spans="1:20" ht="18.75" customHeight="1">
      <c r="A9" s="50"/>
      <c r="B9" s="150" t="s">
        <v>100</v>
      </c>
      <c r="C9" s="151"/>
      <c r="D9" s="99">
        <v>700</v>
      </c>
      <c r="E9" s="58">
        <v>127</v>
      </c>
      <c r="F9" s="59">
        <v>125</v>
      </c>
      <c r="G9" s="60"/>
      <c r="H9" s="61"/>
      <c r="I9" s="58"/>
      <c r="J9" s="59"/>
      <c r="K9" s="60"/>
      <c r="L9" s="61"/>
      <c r="M9" s="58"/>
      <c r="N9" s="59"/>
      <c r="O9" s="60"/>
      <c r="P9" s="61"/>
      <c r="Q9" s="62">
        <f t="shared" ref="Q9:Q27" si="0">E9+G9+I9+K9+M9+O9</f>
        <v>127</v>
      </c>
      <c r="R9" s="57">
        <f t="shared" ref="R9:R27" si="1">Q9/D9</f>
        <v>0.18142857142857144</v>
      </c>
    </row>
    <row r="10" spans="1:20" ht="18.75" customHeight="1">
      <c r="A10" s="50"/>
      <c r="B10" s="150" t="s">
        <v>101</v>
      </c>
      <c r="C10" s="151"/>
      <c r="D10" s="99">
        <v>1480</v>
      </c>
      <c r="E10" s="58">
        <v>222</v>
      </c>
      <c r="F10" s="59">
        <v>203</v>
      </c>
      <c r="G10" s="60"/>
      <c r="H10" s="61"/>
      <c r="I10" s="58"/>
      <c r="J10" s="59"/>
      <c r="K10" s="60"/>
      <c r="L10" s="61"/>
      <c r="M10" s="58"/>
      <c r="N10" s="59"/>
      <c r="O10" s="60"/>
      <c r="P10" s="61"/>
      <c r="Q10" s="62">
        <f t="shared" si="0"/>
        <v>222</v>
      </c>
      <c r="R10" s="57">
        <f t="shared" si="1"/>
        <v>0.15</v>
      </c>
    </row>
    <row r="11" spans="1:20" ht="18.75" customHeight="1">
      <c r="A11" s="50"/>
      <c r="B11" s="150" t="s">
        <v>102</v>
      </c>
      <c r="C11" s="151"/>
      <c r="D11" s="99">
        <v>1590</v>
      </c>
      <c r="E11" s="58">
        <v>14</v>
      </c>
      <c r="F11" s="59">
        <v>12</v>
      </c>
      <c r="G11" s="60"/>
      <c r="H11" s="61"/>
      <c r="I11" s="58"/>
      <c r="J11" s="59"/>
      <c r="K11" s="60"/>
      <c r="L11" s="61"/>
      <c r="M11" s="58"/>
      <c r="N11" s="59"/>
      <c r="O11" s="60"/>
      <c r="P11" s="61"/>
      <c r="Q11" s="62">
        <f t="shared" si="0"/>
        <v>14</v>
      </c>
      <c r="R11" s="57">
        <f t="shared" si="1"/>
        <v>8.8050314465408803E-3</v>
      </c>
    </row>
    <row r="12" spans="1:20" ht="18.75" customHeight="1">
      <c r="A12" s="50"/>
      <c r="B12" s="150" t="s">
        <v>103</v>
      </c>
      <c r="C12" s="151"/>
      <c r="D12" s="99">
        <v>800</v>
      </c>
      <c r="E12" s="58">
        <v>94</v>
      </c>
      <c r="F12" s="59">
        <v>85</v>
      </c>
      <c r="G12" s="60"/>
      <c r="H12" s="61"/>
      <c r="I12" s="58"/>
      <c r="J12" s="59"/>
      <c r="K12" s="60"/>
      <c r="L12" s="61"/>
      <c r="M12" s="58"/>
      <c r="N12" s="59"/>
      <c r="O12" s="60"/>
      <c r="P12" s="61"/>
      <c r="Q12" s="62">
        <f t="shared" si="0"/>
        <v>94</v>
      </c>
      <c r="R12" s="57">
        <f t="shared" si="1"/>
        <v>0.11749999999999999</v>
      </c>
    </row>
    <row r="13" spans="1:20" ht="18.75" customHeight="1">
      <c r="A13" s="50"/>
      <c r="B13" s="150" t="s">
        <v>104</v>
      </c>
      <c r="C13" s="151"/>
      <c r="D13" s="99">
        <v>2600</v>
      </c>
      <c r="E13" s="58">
        <v>137</v>
      </c>
      <c r="F13" s="59">
        <v>130</v>
      </c>
      <c r="G13" s="60"/>
      <c r="H13" s="61"/>
      <c r="I13" s="58"/>
      <c r="J13" s="59"/>
      <c r="K13" s="60"/>
      <c r="L13" s="61"/>
      <c r="M13" s="58"/>
      <c r="N13" s="59"/>
      <c r="O13" s="60"/>
      <c r="P13" s="61"/>
      <c r="Q13" s="62">
        <f t="shared" si="0"/>
        <v>137</v>
      </c>
      <c r="R13" s="57">
        <f t="shared" si="1"/>
        <v>5.2692307692307691E-2</v>
      </c>
    </row>
    <row r="14" spans="1:20" ht="18.75" customHeight="1">
      <c r="A14" s="50"/>
      <c r="B14" s="150" t="s">
        <v>105</v>
      </c>
      <c r="C14" s="151"/>
      <c r="D14" s="99">
        <v>760</v>
      </c>
      <c r="E14" s="58">
        <v>187</v>
      </c>
      <c r="F14" s="59">
        <v>174</v>
      </c>
      <c r="G14" s="60"/>
      <c r="H14" s="61"/>
      <c r="I14" s="58"/>
      <c r="J14" s="59"/>
      <c r="K14" s="60"/>
      <c r="L14" s="61"/>
      <c r="M14" s="58"/>
      <c r="N14" s="59"/>
      <c r="O14" s="60"/>
      <c r="P14" s="61"/>
      <c r="Q14" s="62">
        <f t="shared" si="0"/>
        <v>187</v>
      </c>
      <c r="R14" s="57">
        <f t="shared" si="1"/>
        <v>0.24605263157894736</v>
      </c>
    </row>
    <row r="15" spans="1:20" ht="18.75" customHeight="1">
      <c r="A15" s="50"/>
      <c r="B15" s="150" t="s">
        <v>106</v>
      </c>
      <c r="C15" s="151"/>
      <c r="D15" s="99">
        <v>717</v>
      </c>
      <c r="E15" s="58">
        <v>115</v>
      </c>
      <c r="F15" s="59">
        <v>115</v>
      </c>
      <c r="G15" s="60"/>
      <c r="H15" s="61"/>
      <c r="I15" s="58"/>
      <c r="J15" s="59"/>
      <c r="K15" s="60"/>
      <c r="L15" s="61"/>
      <c r="M15" s="58"/>
      <c r="N15" s="59"/>
      <c r="O15" s="60"/>
      <c r="P15" s="61"/>
      <c r="Q15" s="62">
        <f t="shared" si="0"/>
        <v>115</v>
      </c>
      <c r="R15" s="57">
        <f t="shared" si="1"/>
        <v>0.16039051603905161</v>
      </c>
    </row>
    <row r="16" spans="1:20" ht="18.75" customHeight="1">
      <c r="A16" s="50"/>
      <c r="B16" s="150" t="s">
        <v>107</v>
      </c>
      <c r="C16" s="151"/>
      <c r="D16" s="99">
        <v>420</v>
      </c>
      <c r="E16" s="58">
        <v>93</v>
      </c>
      <c r="F16" s="59">
        <v>90</v>
      </c>
      <c r="G16" s="60"/>
      <c r="H16" s="61"/>
      <c r="I16" s="58"/>
      <c r="J16" s="59"/>
      <c r="K16" s="60"/>
      <c r="L16" s="61"/>
      <c r="M16" s="58"/>
      <c r="N16" s="59"/>
      <c r="O16" s="60"/>
      <c r="P16" s="61"/>
      <c r="Q16" s="62">
        <f>E16+G16+I16+K16+M16+O16</f>
        <v>93</v>
      </c>
      <c r="R16" s="57">
        <f t="shared" si="1"/>
        <v>0.22142857142857142</v>
      </c>
    </row>
    <row r="17" spans="1:18" ht="18.75" customHeight="1">
      <c r="A17" s="50"/>
      <c r="B17" s="150" t="s">
        <v>108</v>
      </c>
      <c r="C17" s="151"/>
      <c r="D17" s="99">
        <v>340</v>
      </c>
      <c r="E17" s="58">
        <v>77</v>
      </c>
      <c r="F17" s="59">
        <v>75</v>
      </c>
      <c r="G17" s="60"/>
      <c r="H17" s="61"/>
      <c r="I17" s="58"/>
      <c r="J17" s="59"/>
      <c r="K17" s="60"/>
      <c r="L17" s="61"/>
      <c r="M17" s="58"/>
      <c r="N17" s="59"/>
      <c r="O17" s="60"/>
      <c r="P17" s="61"/>
      <c r="Q17" s="62">
        <f t="shared" si="0"/>
        <v>77</v>
      </c>
      <c r="R17" s="57">
        <f t="shared" si="1"/>
        <v>0.22647058823529412</v>
      </c>
    </row>
    <row r="18" spans="1:18" ht="18.75" customHeight="1">
      <c r="A18" s="50"/>
      <c r="B18" s="146"/>
      <c r="C18" s="147"/>
      <c r="D18" s="98"/>
      <c r="E18" s="58"/>
      <c r="F18" s="59"/>
      <c r="G18" s="60"/>
      <c r="H18" s="61"/>
      <c r="I18" s="58"/>
      <c r="J18" s="59"/>
      <c r="K18" s="60"/>
      <c r="L18" s="61"/>
      <c r="M18" s="58"/>
      <c r="N18" s="59"/>
      <c r="O18" s="60"/>
      <c r="P18" s="61"/>
      <c r="Q18" s="62">
        <f t="shared" si="0"/>
        <v>0</v>
      </c>
      <c r="R18" s="57" t="e">
        <f t="shared" si="1"/>
        <v>#DIV/0!</v>
      </c>
    </row>
    <row r="19" spans="1:18" ht="18.75" customHeight="1">
      <c r="A19" s="50"/>
      <c r="B19" s="146"/>
      <c r="C19" s="147"/>
      <c r="D19" s="98"/>
      <c r="E19" s="58"/>
      <c r="F19" s="59"/>
      <c r="G19" s="60"/>
      <c r="H19" s="61"/>
      <c r="I19" s="58"/>
      <c r="J19" s="59"/>
      <c r="K19" s="60"/>
      <c r="L19" s="61"/>
      <c r="M19" s="58"/>
      <c r="N19" s="59"/>
      <c r="O19" s="60"/>
      <c r="P19" s="61"/>
      <c r="Q19" s="62">
        <f t="shared" si="0"/>
        <v>0</v>
      </c>
      <c r="R19" s="57" t="e">
        <f t="shared" si="1"/>
        <v>#DIV/0!</v>
      </c>
    </row>
    <row r="20" spans="1:18" ht="18.75" customHeight="1">
      <c r="A20" s="50"/>
      <c r="B20" s="146"/>
      <c r="C20" s="147"/>
      <c r="D20" s="98"/>
      <c r="E20" s="58"/>
      <c r="F20" s="59"/>
      <c r="G20" s="60"/>
      <c r="H20" s="61"/>
      <c r="I20" s="58"/>
      <c r="J20" s="59"/>
      <c r="K20" s="60"/>
      <c r="L20" s="61"/>
      <c r="M20" s="58"/>
      <c r="N20" s="59"/>
      <c r="O20" s="60"/>
      <c r="P20" s="61"/>
      <c r="Q20" s="62">
        <f t="shared" si="0"/>
        <v>0</v>
      </c>
      <c r="R20" s="57" t="e">
        <f t="shared" si="1"/>
        <v>#DIV/0!</v>
      </c>
    </row>
    <row r="21" spans="1:18" ht="18.75" customHeight="1">
      <c r="A21" s="50"/>
      <c r="B21" s="146"/>
      <c r="C21" s="147"/>
      <c r="D21" s="98"/>
      <c r="E21" s="58"/>
      <c r="F21" s="59"/>
      <c r="G21" s="60"/>
      <c r="H21" s="61"/>
      <c r="I21" s="58"/>
      <c r="J21" s="59"/>
      <c r="K21" s="60"/>
      <c r="L21" s="61"/>
      <c r="M21" s="58"/>
      <c r="N21" s="59"/>
      <c r="O21" s="60"/>
      <c r="P21" s="61"/>
      <c r="Q21" s="62">
        <f t="shared" si="0"/>
        <v>0</v>
      </c>
      <c r="R21" s="57" t="e">
        <f t="shared" si="1"/>
        <v>#DIV/0!</v>
      </c>
    </row>
    <row r="22" spans="1:18" ht="18.75" customHeight="1">
      <c r="A22" s="50"/>
      <c r="B22" s="146"/>
      <c r="C22" s="147"/>
      <c r="D22" s="98"/>
      <c r="E22" s="58"/>
      <c r="F22" s="59"/>
      <c r="G22" s="60"/>
      <c r="H22" s="61"/>
      <c r="I22" s="58"/>
      <c r="J22" s="59"/>
      <c r="K22" s="60"/>
      <c r="L22" s="61"/>
      <c r="M22" s="58"/>
      <c r="N22" s="59"/>
      <c r="O22" s="60"/>
      <c r="P22" s="61"/>
      <c r="Q22" s="62">
        <f t="shared" si="0"/>
        <v>0</v>
      </c>
      <c r="R22" s="57" t="e">
        <f t="shared" si="1"/>
        <v>#DIV/0!</v>
      </c>
    </row>
    <row r="23" spans="1:18" ht="18.75" customHeight="1">
      <c r="A23" s="50"/>
      <c r="B23" s="146"/>
      <c r="C23" s="147"/>
      <c r="D23" s="98"/>
      <c r="E23" s="58"/>
      <c r="F23" s="59"/>
      <c r="G23" s="60"/>
      <c r="H23" s="61"/>
      <c r="I23" s="58"/>
      <c r="J23" s="59"/>
      <c r="K23" s="60"/>
      <c r="L23" s="61"/>
      <c r="M23" s="58"/>
      <c r="N23" s="59"/>
      <c r="O23" s="60"/>
      <c r="P23" s="61"/>
      <c r="Q23" s="62">
        <f t="shared" si="0"/>
        <v>0</v>
      </c>
      <c r="R23" s="57" t="e">
        <f t="shared" si="1"/>
        <v>#DIV/0!</v>
      </c>
    </row>
    <row r="24" spans="1:18" ht="18.75" customHeight="1">
      <c r="A24" s="50"/>
      <c r="B24" s="146"/>
      <c r="C24" s="147"/>
      <c r="D24" s="98"/>
      <c r="E24" s="58"/>
      <c r="F24" s="59"/>
      <c r="G24" s="60"/>
      <c r="H24" s="61"/>
      <c r="I24" s="58"/>
      <c r="J24" s="59"/>
      <c r="K24" s="60"/>
      <c r="L24" s="61"/>
      <c r="M24" s="58"/>
      <c r="N24" s="59"/>
      <c r="O24" s="60"/>
      <c r="P24" s="61"/>
      <c r="Q24" s="62">
        <f t="shared" si="0"/>
        <v>0</v>
      </c>
      <c r="R24" s="57" t="e">
        <f t="shared" si="1"/>
        <v>#DIV/0!</v>
      </c>
    </row>
    <row r="25" spans="1:18" ht="18.75" customHeight="1">
      <c r="A25" s="50"/>
      <c r="B25" s="146"/>
      <c r="C25" s="147"/>
      <c r="D25" s="98"/>
      <c r="E25" s="58"/>
      <c r="F25" s="59"/>
      <c r="G25" s="60"/>
      <c r="H25" s="61"/>
      <c r="I25" s="58"/>
      <c r="J25" s="59"/>
      <c r="K25" s="60"/>
      <c r="L25" s="61"/>
      <c r="M25" s="58"/>
      <c r="N25" s="59"/>
      <c r="O25" s="60"/>
      <c r="P25" s="61"/>
      <c r="Q25" s="62">
        <f t="shared" si="0"/>
        <v>0</v>
      </c>
      <c r="R25" s="57" t="e">
        <f t="shared" si="1"/>
        <v>#DIV/0!</v>
      </c>
    </row>
    <row r="26" spans="1:18" ht="18.75" customHeight="1">
      <c r="A26" s="50"/>
      <c r="B26" s="146"/>
      <c r="C26" s="147"/>
      <c r="D26" s="98"/>
      <c r="E26" s="58"/>
      <c r="F26" s="59"/>
      <c r="G26" s="60"/>
      <c r="H26" s="61"/>
      <c r="I26" s="58"/>
      <c r="J26" s="59"/>
      <c r="K26" s="60"/>
      <c r="L26" s="61"/>
      <c r="M26" s="58"/>
      <c r="N26" s="59"/>
      <c r="O26" s="60"/>
      <c r="P26" s="61"/>
      <c r="Q26" s="62">
        <f t="shared" si="0"/>
        <v>0</v>
      </c>
      <c r="R26" s="57" t="e">
        <f t="shared" si="1"/>
        <v>#DIV/0!</v>
      </c>
    </row>
    <row r="27" spans="1:18" ht="18.75" customHeight="1" thickBot="1">
      <c r="A27" s="50"/>
      <c r="B27" s="158"/>
      <c r="C27" s="159"/>
      <c r="D27" s="51"/>
      <c r="E27" s="52"/>
      <c r="F27" s="53"/>
      <c r="G27" s="54"/>
      <c r="H27" s="55"/>
      <c r="I27" s="52"/>
      <c r="J27" s="53"/>
      <c r="K27" s="54"/>
      <c r="L27" s="55"/>
      <c r="M27" s="52"/>
      <c r="N27" s="53"/>
      <c r="O27" s="54"/>
      <c r="P27" s="55"/>
      <c r="Q27" s="63">
        <f t="shared" si="0"/>
        <v>0</v>
      </c>
      <c r="R27" s="57" t="e">
        <f t="shared" si="1"/>
        <v>#DIV/0!</v>
      </c>
    </row>
    <row r="28" spans="1:18" ht="18.75" customHeight="1" thickTop="1">
      <c r="A28" s="50"/>
      <c r="B28" s="152" t="s">
        <v>109</v>
      </c>
      <c r="C28" s="153"/>
      <c r="D28" s="64">
        <f t="shared" ref="D28:Q28" si="2">SUM(D8:D27)</f>
        <v>9767</v>
      </c>
      <c r="E28" s="65">
        <f t="shared" si="2"/>
        <v>1132</v>
      </c>
      <c r="F28" s="66">
        <f t="shared" si="2"/>
        <v>1068</v>
      </c>
      <c r="G28" s="67">
        <f t="shared" si="2"/>
        <v>0</v>
      </c>
      <c r="H28" s="68">
        <f t="shared" si="2"/>
        <v>0</v>
      </c>
      <c r="I28" s="65">
        <f t="shared" si="2"/>
        <v>0</v>
      </c>
      <c r="J28" s="66">
        <f t="shared" si="2"/>
        <v>0</v>
      </c>
      <c r="K28" s="67">
        <f t="shared" si="2"/>
        <v>0</v>
      </c>
      <c r="L28" s="68">
        <f t="shared" si="2"/>
        <v>0</v>
      </c>
      <c r="M28" s="65">
        <f t="shared" si="2"/>
        <v>0</v>
      </c>
      <c r="N28" s="66">
        <f t="shared" si="2"/>
        <v>0</v>
      </c>
      <c r="O28" s="67">
        <f t="shared" si="2"/>
        <v>0</v>
      </c>
      <c r="P28" s="68">
        <f t="shared" si="2"/>
        <v>0</v>
      </c>
      <c r="Q28" s="69">
        <f t="shared" si="2"/>
        <v>1132</v>
      </c>
      <c r="R28" s="70">
        <f>Q28/D28</f>
        <v>0.11590048121224532</v>
      </c>
    </row>
    <row r="29" spans="1:18" ht="6.75" customHeight="1">
      <c r="A29" s="50"/>
      <c r="B29" s="50"/>
      <c r="C29" s="50"/>
      <c r="D29" s="71"/>
      <c r="E29" s="71"/>
      <c r="F29" s="71"/>
      <c r="G29" s="71"/>
      <c r="H29" s="71"/>
      <c r="I29" s="71"/>
      <c r="J29" s="71"/>
      <c r="K29" s="71"/>
      <c r="L29" s="71"/>
      <c r="M29" s="71"/>
      <c r="N29" s="71"/>
      <c r="O29" s="71"/>
      <c r="P29" s="71"/>
      <c r="Q29" s="71"/>
      <c r="R29" s="71"/>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zoomScale="85" zoomScaleNormal="85" workbookViewId="0">
      <selection activeCell="H1" sqref="H1"/>
    </sheetView>
  </sheetViews>
  <sheetFormatPr defaultColWidth="9" defaultRowHeight="14.25"/>
  <cols>
    <col min="1" max="1" width="2.5" style="16" customWidth="1"/>
    <col min="2" max="2" width="19" style="16" customWidth="1"/>
    <col min="3" max="3" width="25" style="16" customWidth="1"/>
    <col min="4" max="4" width="10" style="16" customWidth="1"/>
    <col min="5" max="7" width="25" style="16" customWidth="1"/>
    <col min="8" max="16384" width="9" style="16"/>
  </cols>
  <sheetData>
    <row r="1" spans="1:7" ht="18.75" customHeight="1">
      <c r="G1" s="91" t="s">
        <v>110</v>
      </c>
    </row>
    <row r="2" spans="1:7" ht="18.75" customHeight="1">
      <c r="F2" s="91" t="s">
        <v>65</v>
      </c>
      <c r="G2" s="93" t="s">
        <v>66</v>
      </c>
    </row>
    <row r="3" spans="1:7" ht="18.75" customHeight="1">
      <c r="A3" s="124" t="s">
        <v>111</v>
      </c>
      <c r="B3" s="124"/>
      <c r="C3" s="124"/>
      <c r="D3" s="124"/>
      <c r="E3" s="124"/>
      <c r="F3" s="124"/>
      <c r="G3" s="124"/>
    </row>
    <row r="4" spans="1:7" ht="18.75" customHeight="1">
      <c r="A4" s="16" t="s">
        <v>2</v>
      </c>
      <c r="B4" s="16" t="s">
        <v>112</v>
      </c>
    </row>
    <row r="5" spans="1:7" s="80" customFormat="1" ht="18.75" customHeight="1">
      <c r="A5" s="93"/>
      <c r="B5" s="90" t="s">
        <v>113</v>
      </c>
      <c r="C5" s="110" t="s">
        <v>114</v>
      </c>
      <c r="D5" s="111"/>
      <c r="E5" s="111"/>
      <c r="F5" s="111"/>
      <c r="G5" s="112"/>
    </row>
    <row r="6" spans="1:7" s="80" customFormat="1" ht="45" customHeight="1">
      <c r="A6" s="93"/>
      <c r="B6" s="175" t="s">
        <v>115</v>
      </c>
      <c r="C6" s="196" t="s">
        <v>116</v>
      </c>
      <c r="D6" s="197"/>
      <c r="E6" s="197"/>
      <c r="F6" s="197"/>
      <c r="G6" s="198"/>
    </row>
    <row r="7" spans="1:7" s="80" customFormat="1" ht="45" customHeight="1">
      <c r="A7" s="93"/>
      <c r="B7" s="176"/>
      <c r="C7" s="199"/>
      <c r="D7" s="200"/>
      <c r="E7" s="200"/>
      <c r="F7" s="200"/>
      <c r="G7" s="201"/>
    </row>
    <row r="8" spans="1:7" s="80" customFormat="1" ht="45" customHeight="1">
      <c r="A8" s="93"/>
      <c r="B8" s="176"/>
      <c r="C8" s="199"/>
      <c r="D8" s="200"/>
      <c r="E8" s="200"/>
      <c r="F8" s="200"/>
      <c r="G8" s="201"/>
    </row>
    <row r="9" spans="1:7" s="80" customFormat="1" ht="45" customHeight="1">
      <c r="A9" s="93"/>
      <c r="B9" s="176"/>
      <c r="C9" s="202"/>
      <c r="D9" s="203"/>
      <c r="E9" s="203"/>
      <c r="F9" s="203"/>
      <c r="G9" s="204"/>
    </row>
    <row r="10" spans="1:7" s="80" customFormat="1" ht="18.75" customHeight="1">
      <c r="A10" s="93"/>
      <c r="B10" s="176"/>
      <c r="C10" s="81" t="s">
        <v>117</v>
      </c>
      <c r="D10" s="172" t="s">
        <v>118</v>
      </c>
      <c r="E10" s="173"/>
      <c r="F10" s="173"/>
      <c r="G10" s="174"/>
    </row>
    <row r="11" spans="1:7" s="80" customFormat="1" ht="18.75" customHeight="1">
      <c r="A11" s="93"/>
      <c r="B11" s="176"/>
      <c r="C11" s="89" t="s">
        <v>73</v>
      </c>
      <c r="D11" s="106" t="s">
        <v>119</v>
      </c>
      <c r="E11" s="107"/>
      <c r="F11" s="107"/>
      <c r="G11" s="108"/>
    </row>
    <row r="12" spans="1:7" s="80" customFormat="1" ht="18.75" customHeight="1">
      <c r="A12" s="93"/>
      <c r="B12" s="176"/>
      <c r="C12" s="89"/>
      <c r="D12" s="106"/>
      <c r="E12" s="107"/>
      <c r="F12" s="107"/>
      <c r="G12" s="108"/>
    </row>
    <row r="13" spans="1:7" s="80" customFormat="1" ht="18.75" customHeight="1">
      <c r="A13" s="93"/>
      <c r="B13" s="176"/>
      <c r="C13" s="89"/>
      <c r="D13" s="106"/>
      <c r="E13" s="107"/>
      <c r="F13" s="107"/>
      <c r="G13" s="108"/>
    </row>
    <row r="14" spans="1:7" s="80" customFormat="1" ht="18.75" customHeight="1">
      <c r="A14" s="93"/>
      <c r="B14" s="176"/>
      <c r="C14" s="89"/>
      <c r="D14" s="106"/>
      <c r="E14" s="107"/>
      <c r="F14" s="107"/>
      <c r="G14" s="108"/>
    </row>
    <row r="15" spans="1:7" s="80" customFormat="1" ht="18.75" customHeight="1">
      <c r="A15" s="93"/>
      <c r="B15" s="176"/>
      <c r="C15" s="90"/>
      <c r="D15" s="110"/>
      <c r="E15" s="111"/>
      <c r="F15" s="111"/>
      <c r="G15" s="112"/>
    </row>
    <row r="16" spans="1:7" s="80" customFormat="1" ht="18.75" customHeight="1">
      <c r="A16" s="93"/>
      <c r="B16" s="176"/>
      <c r="C16" s="90"/>
      <c r="D16" s="110"/>
      <c r="E16" s="111"/>
      <c r="F16" s="111"/>
      <c r="G16" s="112"/>
    </row>
    <row r="17" spans="2:7" s="80" customFormat="1" ht="18.75" customHeight="1">
      <c r="B17" s="176"/>
      <c r="C17" s="90"/>
      <c r="D17" s="110"/>
      <c r="E17" s="111"/>
      <c r="F17" s="111"/>
      <c r="G17" s="112"/>
    </row>
    <row r="18" spans="2:7" s="80" customFormat="1" ht="18.75" customHeight="1">
      <c r="B18" s="176"/>
      <c r="C18" s="90"/>
      <c r="D18" s="110"/>
      <c r="E18" s="111"/>
      <c r="F18" s="111"/>
      <c r="G18" s="112"/>
    </row>
    <row r="19" spans="2:7" s="80" customFormat="1" ht="18.75" customHeight="1">
      <c r="B19" s="176"/>
      <c r="C19" s="90"/>
      <c r="D19" s="110"/>
      <c r="E19" s="111"/>
      <c r="F19" s="111"/>
      <c r="G19" s="112"/>
    </row>
    <row r="20" spans="2:7" s="80" customFormat="1" ht="18.75" customHeight="1">
      <c r="B20" s="176"/>
      <c r="C20" s="90"/>
      <c r="D20" s="110"/>
      <c r="E20" s="111"/>
      <c r="F20" s="111"/>
      <c r="G20" s="112"/>
    </row>
    <row r="21" spans="2:7" s="80" customFormat="1" ht="18.75" customHeight="1">
      <c r="B21" s="176"/>
      <c r="C21" s="90"/>
      <c r="D21" s="110"/>
      <c r="E21" s="111"/>
      <c r="F21" s="111"/>
      <c r="G21" s="112"/>
    </row>
    <row r="22" spans="2:7" s="80" customFormat="1" ht="18.75" customHeight="1">
      <c r="B22" s="176"/>
      <c r="C22" s="90"/>
      <c r="D22" s="110"/>
      <c r="E22" s="111"/>
      <c r="F22" s="111"/>
      <c r="G22" s="112"/>
    </row>
    <row r="23" spans="2:7" s="80" customFormat="1" ht="18.75" customHeight="1">
      <c r="B23" s="176"/>
      <c r="C23" s="90"/>
      <c r="D23" s="110"/>
      <c r="E23" s="111"/>
      <c r="F23" s="111"/>
      <c r="G23" s="112"/>
    </row>
    <row r="24" spans="2:7" s="80" customFormat="1" ht="18.75" customHeight="1">
      <c r="B24" s="176"/>
      <c r="C24" s="90"/>
      <c r="D24" s="110"/>
      <c r="E24" s="111"/>
      <c r="F24" s="111"/>
      <c r="G24" s="112"/>
    </row>
    <row r="25" spans="2:7" s="80" customFormat="1" ht="18.75" customHeight="1">
      <c r="B25" s="176"/>
      <c r="C25" s="90"/>
      <c r="D25" s="110"/>
      <c r="E25" s="111"/>
      <c r="F25" s="111"/>
      <c r="G25" s="112"/>
    </row>
    <row r="26" spans="2:7" ht="18.75" customHeight="1">
      <c r="B26" s="175" t="s">
        <v>120</v>
      </c>
      <c r="C26" s="110" t="s">
        <v>114</v>
      </c>
      <c r="D26" s="111"/>
      <c r="E26" s="111"/>
      <c r="F26" s="111"/>
      <c r="G26" s="112"/>
    </row>
    <row r="27" spans="2:7" ht="37.5" customHeight="1">
      <c r="B27" s="176"/>
      <c r="C27" s="177" t="s">
        <v>121</v>
      </c>
      <c r="D27" s="178"/>
      <c r="E27" s="178"/>
      <c r="F27" s="178"/>
      <c r="G27" s="179"/>
    </row>
    <row r="28" spans="2:7" ht="37.5" customHeight="1">
      <c r="B28" s="176"/>
      <c r="C28" s="180"/>
      <c r="D28" s="181"/>
      <c r="E28" s="181"/>
      <c r="F28" s="181"/>
      <c r="G28" s="182"/>
    </row>
    <row r="29" spans="2:7" ht="37.5" customHeight="1">
      <c r="B29" s="176"/>
      <c r="C29" s="180"/>
      <c r="D29" s="181"/>
      <c r="E29" s="181"/>
      <c r="F29" s="181"/>
      <c r="G29" s="182"/>
    </row>
    <row r="30" spans="2:7" ht="37.5" customHeight="1">
      <c r="B30" s="176"/>
      <c r="C30" s="180"/>
      <c r="D30" s="181"/>
      <c r="E30" s="181"/>
      <c r="F30" s="181"/>
      <c r="G30" s="182"/>
    </row>
    <row r="31" spans="2:7" ht="37.5" customHeight="1">
      <c r="B31" s="176"/>
      <c r="C31" s="183"/>
      <c r="D31" s="184"/>
      <c r="E31" s="184"/>
      <c r="F31" s="184"/>
      <c r="G31" s="185"/>
    </row>
    <row r="32" spans="2:7" ht="18.75" customHeight="1">
      <c r="B32" s="176"/>
      <c r="C32" s="81" t="s">
        <v>117</v>
      </c>
      <c r="D32" s="110" t="s">
        <v>118</v>
      </c>
      <c r="E32" s="111"/>
      <c r="F32" s="111"/>
      <c r="G32" s="112"/>
    </row>
    <row r="33" spans="2:7" ht="18.75" customHeight="1">
      <c r="B33" s="176"/>
      <c r="C33" s="89" t="s">
        <v>73</v>
      </c>
      <c r="D33" s="106" t="s">
        <v>122</v>
      </c>
      <c r="E33" s="107"/>
      <c r="F33" s="107"/>
      <c r="G33" s="108"/>
    </row>
    <row r="34" spans="2:7" ht="18.75" customHeight="1">
      <c r="B34" s="176"/>
      <c r="C34" s="90"/>
      <c r="D34" s="106"/>
      <c r="E34" s="107"/>
      <c r="F34" s="107"/>
      <c r="G34" s="108"/>
    </row>
    <row r="35" spans="2:7" ht="18.75" customHeight="1">
      <c r="B35" s="176"/>
      <c r="C35" s="90"/>
      <c r="D35" s="106"/>
      <c r="E35" s="107"/>
      <c r="F35" s="107"/>
      <c r="G35" s="108"/>
    </row>
    <row r="36" spans="2:7" ht="18.75" customHeight="1">
      <c r="B36" s="176"/>
      <c r="C36" s="90"/>
      <c r="D36" s="106"/>
      <c r="E36" s="107"/>
      <c r="F36" s="107"/>
      <c r="G36" s="108"/>
    </row>
    <row r="37" spans="2:7" ht="18.75" customHeight="1">
      <c r="B37" s="176"/>
      <c r="C37" s="90"/>
      <c r="D37" s="106"/>
      <c r="E37" s="107"/>
      <c r="F37" s="107"/>
      <c r="G37" s="108"/>
    </row>
    <row r="38" spans="2:7" ht="18.75" customHeight="1">
      <c r="B38" s="176"/>
      <c r="C38" s="90"/>
      <c r="D38" s="106"/>
      <c r="E38" s="107"/>
      <c r="F38" s="107"/>
      <c r="G38" s="108"/>
    </row>
    <row r="39" spans="2:7" ht="18.75" customHeight="1">
      <c r="B39" s="176"/>
      <c r="C39" s="90"/>
      <c r="D39" s="106"/>
      <c r="E39" s="107"/>
      <c r="F39" s="107"/>
      <c r="G39" s="108"/>
    </row>
    <row r="40" spans="2:7" ht="18.75" customHeight="1">
      <c r="B40" s="176"/>
      <c r="C40" s="90"/>
      <c r="D40" s="106"/>
      <c r="E40" s="107"/>
      <c r="F40" s="107"/>
      <c r="G40" s="108"/>
    </row>
    <row r="41" spans="2:7" ht="18.75" customHeight="1">
      <c r="B41" s="176"/>
      <c r="C41" s="90"/>
      <c r="D41" s="106"/>
      <c r="E41" s="107"/>
      <c r="F41" s="107"/>
      <c r="G41" s="108"/>
    </row>
    <row r="42" spans="2:7" ht="18.75" customHeight="1">
      <c r="B42" s="176"/>
      <c r="C42" s="90"/>
      <c r="D42" s="106"/>
      <c r="E42" s="107"/>
      <c r="F42" s="107"/>
      <c r="G42" s="108"/>
    </row>
    <row r="43" spans="2:7" ht="18.75" customHeight="1">
      <c r="B43" s="176"/>
      <c r="C43" s="90"/>
      <c r="D43" s="106"/>
      <c r="E43" s="107"/>
      <c r="F43" s="107"/>
      <c r="G43" s="108"/>
    </row>
    <row r="44" spans="2:7" ht="18.75" customHeight="1">
      <c r="B44" s="176"/>
      <c r="C44" s="90"/>
      <c r="D44" s="106"/>
      <c r="E44" s="107"/>
      <c r="F44" s="107"/>
      <c r="G44" s="108"/>
    </row>
    <row r="45" spans="2:7" ht="18.75" customHeight="1">
      <c r="B45" s="176"/>
      <c r="C45" s="90"/>
      <c r="D45" s="106"/>
      <c r="E45" s="107"/>
      <c r="F45" s="107"/>
      <c r="G45" s="108"/>
    </row>
    <row r="46" spans="2:7" ht="18.75" customHeight="1">
      <c r="B46" s="176"/>
      <c r="C46" s="90"/>
      <c r="D46" s="106"/>
      <c r="E46" s="107"/>
      <c r="F46" s="107"/>
      <c r="G46" s="108"/>
    </row>
    <row r="47" spans="2:7" ht="18.75" customHeight="1">
      <c r="B47" s="176"/>
      <c r="C47" s="90"/>
      <c r="D47" s="106"/>
      <c r="E47" s="107"/>
      <c r="F47" s="107"/>
      <c r="G47" s="108"/>
    </row>
    <row r="48" spans="2:7" ht="18.75" customHeight="1">
      <c r="B48" s="176"/>
      <c r="C48" s="90"/>
      <c r="D48" s="106"/>
      <c r="E48" s="107"/>
      <c r="F48" s="107"/>
      <c r="G48" s="108"/>
    </row>
    <row r="49" spans="2:7" ht="18.75" customHeight="1">
      <c r="B49" s="176"/>
      <c r="C49" s="90"/>
      <c r="D49" s="106"/>
      <c r="E49" s="107"/>
      <c r="F49" s="107"/>
      <c r="G49" s="108"/>
    </row>
    <row r="50" spans="2:7" ht="18.75" customHeight="1">
      <c r="B50" s="195"/>
      <c r="C50" s="90"/>
      <c r="D50" s="106"/>
      <c r="E50" s="107"/>
      <c r="F50" s="107"/>
      <c r="G50" s="108"/>
    </row>
    <row r="51" spans="2:7" ht="18.75" customHeight="1">
      <c r="B51" s="175" t="s">
        <v>123</v>
      </c>
      <c r="C51" s="110" t="s">
        <v>114</v>
      </c>
      <c r="D51" s="111"/>
      <c r="E51" s="111"/>
      <c r="F51" s="111"/>
      <c r="G51" s="112"/>
    </row>
    <row r="52" spans="2:7" ht="37.5" customHeight="1">
      <c r="B52" s="176"/>
      <c r="C52" s="177" t="s">
        <v>124</v>
      </c>
      <c r="D52" s="178"/>
      <c r="E52" s="178"/>
      <c r="F52" s="178"/>
      <c r="G52" s="179"/>
    </row>
    <row r="53" spans="2:7" ht="37.5" customHeight="1">
      <c r="B53" s="176"/>
      <c r="C53" s="180"/>
      <c r="D53" s="181"/>
      <c r="E53" s="181"/>
      <c r="F53" s="181"/>
      <c r="G53" s="182"/>
    </row>
    <row r="54" spans="2:7" ht="37.5" customHeight="1">
      <c r="B54" s="176"/>
      <c r="C54" s="180"/>
      <c r="D54" s="181"/>
      <c r="E54" s="181"/>
      <c r="F54" s="181"/>
      <c r="G54" s="182"/>
    </row>
    <row r="55" spans="2:7" ht="37.5" customHeight="1">
      <c r="B55" s="176"/>
      <c r="C55" s="180"/>
      <c r="D55" s="181"/>
      <c r="E55" s="181"/>
      <c r="F55" s="181"/>
      <c r="G55" s="182"/>
    </row>
    <row r="56" spans="2:7" ht="37.5" customHeight="1">
      <c r="B56" s="176"/>
      <c r="C56" s="183"/>
      <c r="D56" s="184"/>
      <c r="E56" s="184"/>
      <c r="F56" s="184"/>
      <c r="G56" s="185"/>
    </row>
    <row r="57" spans="2:7" ht="18.75" customHeight="1">
      <c r="B57" s="176"/>
      <c r="C57" s="81" t="s">
        <v>117</v>
      </c>
      <c r="D57" s="110" t="s">
        <v>118</v>
      </c>
      <c r="E57" s="111"/>
      <c r="F57" s="111"/>
      <c r="G57" s="112"/>
    </row>
    <row r="58" spans="2:7" ht="18.75" customHeight="1">
      <c r="B58" s="176"/>
      <c r="C58" s="89" t="s">
        <v>73</v>
      </c>
      <c r="D58" s="106" t="s">
        <v>125</v>
      </c>
      <c r="E58" s="107"/>
      <c r="F58" s="107"/>
      <c r="G58" s="108"/>
    </row>
    <row r="59" spans="2:7" ht="18.75" customHeight="1">
      <c r="B59" s="176"/>
      <c r="C59" s="90"/>
      <c r="D59" s="106"/>
      <c r="E59" s="107"/>
      <c r="F59" s="107"/>
      <c r="G59" s="108"/>
    </row>
    <row r="60" spans="2:7" ht="18.75" customHeight="1">
      <c r="B60" s="176"/>
      <c r="C60" s="90"/>
      <c r="D60" s="106"/>
      <c r="E60" s="107"/>
      <c r="F60" s="107"/>
      <c r="G60" s="108"/>
    </row>
    <row r="61" spans="2:7" ht="18.75" customHeight="1">
      <c r="B61" s="176"/>
      <c r="C61" s="90"/>
      <c r="D61" s="106"/>
      <c r="E61" s="107"/>
      <c r="F61" s="107"/>
      <c r="G61" s="108"/>
    </row>
    <row r="62" spans="2:7" ht="18.75" customHeight="1">
      <c r="B62" s="176"/>
      <c r="C62" s="90"/>
      <c r="D62" s="106"/>
      <c r="E62" s="107"/>
      <c r="F62" s="107"/>
      <c r="G62" s="108"/>
    </row>
    <row r="63" spans="2:7" ht="18.75" customHeight="1">
      <c r="B63" s="176"/>
      <c r="C63" s="90"/>
      <c r="D63" s="106"/>
      <c r="E63" s="107"/>
      <c r="F63" s="107"/>
      <c r="G63" s="108"/>
    </row>
    <row r="64" spans="2:7" ht="18.75" customHeight="1">
      <c r="B64" s="176"/>
      <c r="C64" s="90"/>
      <c r="D64" s="106"/>
      <c r="E64" s="107"/>
      <c r="F64" s="107"/>
      <c r="G64" s="108"/>
    </row>
    <row r="65" spans="2:7" ht="18.75" customHeight="1">
      <c r="B65" s="176"/>
      <c r="C65" s="90"/>
      <c r="D65" s="106"/>
      <c r="E65" s="107"/>
      <c r="F65" s="107"/>
      <c r="G65" s="108"/>
    </row>
    <row r="66" spans="2:7" ht="18.75" customHeight="1">
      <c r="B66" s="176"/>
      <c r="C66" s="90"/>
      <c r="D66" s="106"/>
      <c r="E66" s="107"/>
      <c r="F66" s="107"/>
      <c r="G66" s="108"/>
    </row>
    <row r="67" spans="2:7" ht="18.75" customHeight="1">
      <c r="B67" s="176"/>
      <c r="C67" s="90"/>
      <c r="D67" s="106"/>
      <c r="E67" s="107"/>
      <c r="F67" s="107"/>
      <c r="G67" s="108"/>
    </row>
    <row r="68" spans="2:7" ht="18.75" customHeight="1">
      <c r="B68" s="176"/>
      <c r="C68" s="90"/>
      <c r="D68" s="106"/>
      <c r="E68" s="107"/>
      <c r="F68" s="107"/>
      <c r="G68" s="108"/>
    </row>
    <row r="69" spans="2:7" ht="18.75" customHeight="1">
      <c r="B69" s="176"/>
      <c r="C69" s="90"/>
      <c r="D69" s="106"/>
      <c r="E69" s="107"/>
      <c r="F69" s="107"/>
      <c r="G69" s="108"/>
    </row>
    <row r="70" spans="2:7" ht="18.75" customHeight="1">
      <c r="B70" s="176"/>
      <c r="C70" s="90"/>
      <c r="D70" s="106"/>
      <c r="E70" s="107"/>
      <c r="F70" s="107"/>
      <c r="G70" s="108"/>
    </row>
    <row r="71" spans="2:7" ht="18.75" customHeight="1">
      <c r="B71" s="176"/>
      <c r="C71" s="90"/>
      <c r="D71" s="106"/>
      <c r="E71" s="107"/>
      <c r="F71" s="107"/>
      <c r="G71" s="108"/>
    </row>
    <row r="72" spans="2:7" ht="18.75" customHeight="1">
      <c r="B72" s="176"/>
      <c r="C72" s="90"/>
      <c r="D72" s="106"/>
      <c r="E72" s="107"/>
      <c r="F72" s="107"/>
      <c r="G72" s="108"/>
    </row>
    <row r="73" spans="2:7" ht="18.75" customHeight="1">
      <c r="B73" s="176"/>
      <c r="C73" s="90"/>
      <c r="D73" s="106"/>
      <c r="E73" s="107"/>
      <c r="F73" s="107"/>
      <c r="G73" s="108"/>
    </row>
    <row r="74" spans="2:7" ht="18.75" customHeight="1">
      <c r="B74" s="176"/>
      <c r="C74" s="90"/>
      <c r="D74" s="106"/>
      <c r="E74" s="107"/>
      <c r="F74" s="107"/>
      <c r="G74" s="108"/>
    </row>
    <row r="75" spans="2:7" ht="18.75" customHeight="1">
      <c r="B75" s="176"/>
      <c r="C75" s="90"/>
      <c r="D75" s="106"/>
      <c r="E75" s="107"/>
      <c r="F75" s="107"/>
      <c r="G75" s="108"/>
    </row>
    <row r="76" spans="2:7" ht="18.75" customHeight="1">
      <c r="B76" s="175" t="s">
        <v>126</v>
      </c>
      <c r="C76" s="110" t="s">
        <v>114</v>
      </c>
      <c r="D76" s="111"/>
      <c r="E76" s="111"/>
      <c r="F76" s="111"/>
      <c r="G76" s="112"/>
    </row>
    <row r="77" spans="2:7" ht="37.5" customHeight="1">
      <c r="B77" s="176"/>
      <c r="C77" s="186" t="s">
        <v>127</v>
      </c>
      <c r="D77" s="187"/>
      <c r="E77" s="187"/>
      <c r="F77" s="187"/>
      <c r="G77" s="188"/>
    </row>
    <row r="78" spans="2:7" ht="37.5" customHeight="1">
      <c r="B78" s="176"/>
      <c r="C78" s="189"/>
      <c r="D78" s="190"/>
      <c r="E78" s="190"/>
      <c r="F78" s="190"/>
      <c r="G78" s="191"/>
    </row>
    <row r="79" spans="2:7" ht="37.5" customHeight="1">
      <c r="B79" s="176"/>
      <c r="C79" s="189"/>
      <c r="D79" s="190"/>
      <c r="E79" s="190"/>
      <c r="F79" s="190"/>
      <c r="G79" s="191"/>
    </row>
    <row r="80" spans="2:7" ht="37.5" customHeight="1">
      <c r="B80" s="176"/>
      <c r="C80" s="189"/>
      <c r="D80" s="190"/>
      <c r="E80" s="190"/>
      <c r="F80" s="190"/>
      <c r="G80" s="191"/>
    </row>
    <row r="81" spans="2:7" ht="37.5" customHeight="1">
      <c r="B81" s="176"/>
      <c r="C81" s="192"/>
      <c r="D81" s="193"/>
      <c r="E81" s="193"/>
      <c r="F81" s="193"/>
      <c r="G81" s="194"/>
    </row>
    <row r="82" spans="2:7" ht="18.75" customHeight="1">
      <c r="B82" s="176"/>
      <c r="C82" s="81" t="s">
        <v>117</v>
      </c>
      <c r="D82" s="110" t="s">
        <v>118</v>
      </c>
      <c r="E82" s="111"/>
      <c r="F82" s="111"/>
      <c r="G82" s="112"/>
    </row>
    <row r="83" spans="2:7" ht="18.75" customHeight="1">
      <c r="B83" s="176"/>
      <c r="C83" s="89" t="s">
        <v>73</v>
      </c>
      <c r="D83" s="106" t="s">
        <v>128</v>
      </c>
      <c r="E83" s="107"/>
      <c r="F83" s="107"/>
      <c r="G83" s="108"/>
    </row>
    <row r="84" spans="2:7" ht="18.75" customHeight="1">
      <c r="B84" s="176"/>
      <c r="C84" s="90"/>
      <c r="D84" s="106"/>
      <c r="E84" s="107"/>
      <c r="F84" s="107"/>
      <c r="G84" s="108"/>
    </row>
    <row r="85" spans="2:7" ht="18.75" customHeight="1">
      <c r="B85" s="176"/>
      <c r="C85" s="90"/>
      <c r="D85" s="106"/>
      <c r="E85" s="107"/>
      <c r="F85" s="107"/>
      <c r="G85" s="108"/>
    </row>
    <row r="86" spans="2:7" ht="18.75" customHeight="1">
      <c r="B86" s="176"/>
      <c r="C86" s="90"/>
      <c r="D86" s="106"/>
      <c r="E86" s="107"/>
      <c r="F86" s="107"/>
      <c r="G86" s="108"/>
    </row>
    <row r="87" spans="2:7" ht="18.75" customHeight="1">
      <c r="B87" s="176"/>
      <c r="C87" s="90"/>
      <c r="D87" s="106"/>
      <c r="E87" s="107"/>
      <c r="F87" s="107"/>
      <c r="G87" s="108"/>
    </row>
    <row r="88" spans="2:7" ht="18.75" customHeight="1">
      <c r="B88" s="176"/>
      <c r="C88" s="90"/>
      <c r="D88" s="106"/>
      <c r="E88" s="107"/>
      <c r="F88" s="107"/>
      <c r="G88" s="108"/>
    </row>
    <row r="89" spans="2:7" ht="18.75" customHeight="1">
      <c r="B89" s="176"/>
      <c r="C89" s="90"/>
      <c r="D89" s="106"/>
      <c r="E89" s="107"/>
      <c r="F89" s="107"/>
      <c r="G89" s="108"/>
    </row>
    <row r="90" spans="2:7" ht="18.75" customHeight="1">
      <c r="B90" s="176"/>
      <c r="C90" s="90"/>
      <c r="D90" s="106"/>
      <c r="E90" s="107"/>
      <c r="F90" s="107"/>
      <c r="G90" s="108"/>
    </row>
    <row r="91" spans="2:7" ht="18.75" customHeight="1">
      <c r="B91" s="176"/>
      <c r="C91" s="90"/>
      <c r="D91" s="106"/>
      <c r="E91" s="107"/>
      <c r="F91" s="107"/>
      <c r="G91" s="108"/>
    </row>
    <row r="92" spans="2:7" ht="18.75" customHeight="1">
      <c r="B92" s="176"/>
      <c r="C92" s="90"/>
      <c r="D92" s="106"/>
      <c r="E92" s="107"/>
      <c r="F92" s="107"/>
      <c r="G92" s="108"/>
    </row>
    <row r="93" spans="2:7" ht="18.75" customHeight="1">
      <c r="B93" s="176"/>
      <c r="C93" s="90"/>
      <c r="D93" s="106"/>
      <c r="E93" s="107"/>
      <c r="F93" s="107"/>
      <c r="G93" s="108"/>
    </row>
    <row r="94" spans="2:7" ht="18.75" customHeight="1">
      <c r="B94" s="176"/>
      <c r="C94" s="90"/>
      <c r="D94" s="106"/>
      <c r="E94" s="107"/>
      <c r="F94" s="107"/>
      <c r="G94" s="108"/>
    </row>
    <row r="95" spans="2:7" ht="18.75" customHeight="1">
      <c r="B95" s="176"/>
      <c r="C95" s="90"/>
      <c r="D95" s="106"/>
      <c r="E95" s="107"/>
      <c r="F95" s="107"/>
      <c r="G95" s="108"/>
    </row>
    <row r="96" spans="2:7" ht="18.75" customHeight="1">
      <c r="B96" s="176"/>
      <c r="C96" s="90"/>
      <c r="D96" s="106"/>
      <c r="E96" s="107"/>
      <c r="F96" s="107"/>
      <c r="G96" s="108"/>
    </row>
    <row r="97" spans="2:7" ht="18.75" customHeight="1">
      <c r="B97" s="176"/>
      <c r="C97" s="90"/>
      <c r="D97" s="106"/>
      <c r="E97" s="107"/>
      <c r="F97" s="107"/>
      <c r="G97" s="108"/>
    </row>
    <row r="98" spans="2:7" ht="18.75" customHeight="1">
      <c r="B98" s="176"/>
      <c r="C98" s="90"/>
      <c r="D98" s="106"/>
      <c r="E98" s="107"/>
      <c r="F98" s="107"/>
      <c r="G98" s="108"/>
    </row>
    <row r="99" spans="2:7" ht="18.75" customHeight="1">
      <c r="B99" s="176"/>
      <c r="C99" s="90"/>
      <c r="D99" s="106"/>
      <c r="E99" s="107"/>
      <c r="F99" s="107"/>
      <c r="G99" s="108"/>
    </row>
    <row r="100" spans="2:7" ht="18.75" customHeight="1">
      <c r="B100" s="176"/>
      <c r="C100" s="90"/>
      <c r="D100" s="106"/>
      <c r="E100" s="107"/>
      <c r="F100" s="107"/>
      <c r="G100" s="108"/>
    </row>
    <row r="101" spans="2:7" ht="18.75" customHeight="1">
      <c r="B101" s="175" t="s">
        <v>129</v>
      </c>
      <c r="C101" s="110" t="s">
        <v>114</v>
      </c>
      <c r="D101" s="111"/>
      <c r="E101" s="111"/>
      <c r="F101" s="111"/>
      <c r="G101" s="112"/>
    </row>
    <row r="102" spans="2:7" ht="37.5" customHeight="1">
      <c r="B102" s="176"/>
      <c r="C102" s="177" t="s">
        <v>130</v>
      </c>
      <c r="D102" s="178"/>
      <c r="E102" s="178"/>
      <c r="F102" s="178"/>
      <c r="G102" s="179"/>
    </row>
    <row r="103" spans="2:7" ht="37.5" customHeight="1">
      <c r="B103" s="176"/>
      <c r="C103" s="180"/>
      <c r="D103" s="181"/>
      <c r="E103" s="181"/>
      <c r="F103" s="181"/>
      <c r="G103" s="182"/>
    </row>
    <row r="104" spans="2:7" ht="37.5" customHeight="1">
      <c r="B104" s="176"/>
      <c r="C104" s="180"/>
      <c r="D104" s="181"/>
      <c r="E104" s="181"/>
      <c r="F104" s="181"/>
      <c r="G104" s="182"/>
    </row>
    <row r="105" spans="2:7" ht="37.5" customHeight="1">
      <c r="B105" s="176"/>
      <c r="C105" s="180"/>
      <c r="D105" s="181"/>
      <c r="E105" s="181"/>
      <c r="F105" s="181"/>
      <c r="G105" s="182"/>
    </row>
    <row r="106" spans="2:7" ht="37.5" customHeight="1">
      <c r="B106" s="176"/>
      <c r="C106" s="183"/>
      <c r="D106" s="184"/>
      <c r="E106" s="184"/>
      <c r="F106" s="184"/>
      <c r="G106" s="185"/>
    </row>
    <row r="107" spans="2:7" ht="18.75" customHeight="1">
      <c r="B107" s="176"/>
      <c r="C107" s="81"/>
      <c r="D107" s="110" t="s">
        <v>118</v>
      </c>
      <c r="E107" s="111"/>
      <c r="F107" s="111"/>
      <c r="G107" s="112"/>
    </row>
    <row r="108" spans="2:7" ht="18.75" customHeight="1">
      <c r="B108" s="176"/>
      <c r="C108" s="89" t="s">
        <v>73</v>
      </c>
      <c r="D108" s="106" t="s">
        <v>131</v>
      </c>
      <c r="E108" s="107"/>
      <c r="F108" s="107"/>
      <c r="G108" s="108"/>
    </row>
    <row r="109" spans="2:7" ht="18.75" customHeight="1">
      <c r="B109" s="176"/>
      <c r="C109" s="90"/>
      <c r="D109" s="106"/>
      <c r="E109" s="107"/>
      <c r="F109" s="107"/>
      <c r="G109" s="108"/>
    </row>
    <row r="110" spans="2:7" ht="18.75" customHeight="1">
      <c r="B110" s="176"/>
      <c r="C110" s="90"/>
      <c r="D110" s="106"/>
      <c r="E110" s="107"/>
      <c r="F110" s="107"/>
      <c r="G110" s="108"/>
    </row>
    <row r="111" spans="2:7" ht="18.75" customHeight="1">
      <c r="B111" s="176"/>
      <c r="C111" s="90"/>
      <c r="D111" s="106"/>
      <c r="E111" s="107"/>
      <c r="F111" s="107"/>
      <c r="G111" s="108"/>
    </row>
    <row r="112" spans="2:7" ht="18.75" customHeight="1">
      <c r="B112" s="176"/>
      <c r="C112" s="90"/>
      <c r="D112" s="106"/>
      <c r="E112" s="107"/>
      <c r="F112" s="107"/>
      <c r="G112" s="108"/>
    </row>
    <row r="113" spans="1:7" ht="18.75" customHeight="1">
      <c r="B113" s="176"/>
      <c r="C113" s="90"/>
      <c r="D113" s="106"/>
      <c r="E113" s="107"/>
      <c r="F113" s="107"/>
      <c r="G113" s="108"/>
    </row>
    <row r="114" spans="1:7" ht="18.75" customHeight="1">
      <c r="B114" s="176"/>
      <c r="C114" s="90"/>
      <c r="D114" s="106"/>
      <c r="E114" s="107"/>
      <c r="F114" s="107"/>
      <c r="G114" s="108"/>
    </row>
    <row r="115" spans="1:7" ht="18.75" customHeight="1">
      <c r="B115" s="176"/>
      <c r="C115" s="90"/>
      <c r="D115" s="106"/>
      <c r="E115" s="107"/>
      <c r="F115" s="107"/>
      <c r="G115" s="108"/>
    </row>
    <row r="116" spans="1:7" ht="18.75" customHeight="1">
      <c r="B116" s="176"/>
      <c r="C116" s="90"/>
      <c r="D116" s="106"/>
      <c r="E116" s="107"/>
      <c r="F116" s="107"/>
      <c r="G116" s="108"/>
    </row>
    <row r="117" spans="1:7" ht="18.75" customHeight="1">
      <c r="B117" s="176"/>
      <c r="C117" s="90"/>
      <c r="D117" s="106"/>
      <c r="E117" s="107"/>
      <c r="F117" s="107"/>
      <c r="G117" s="108"/>
    </row>
    <row r="118" spans="1:7" ht="18.75" customHeight="1">
      <c r="B118" s="176"/>
      <c r="C118" s="90"/>
      <c r="D118" s="106"/>
      <c r="E118" s="107"/>
      <c r="F118" s="107"/>
      <c r="G118" s="108"/>
    </row>
    <row r="119" spans="1:7" ht="18.75" customHeight="1">
      <c r="B119" s="176"/>
      <c r="C119" s="90"/>
      <c r="D119" s="106"/>
      <c r="E119" s="107"/>
      <c r="F119" s="107"/>
      <c r="G119" s="108"/>
    </row>
    <row r="120" spans="1:7" ht="18.75" customHeight="1">
      <c r="B120" s="176"/>
      <c r="C120" s="90"/>
      <c r="D120" s="106"/>
      <c r="E120" s="107"/>
      <c r="F120" s="107"/>
      <c r="G120" s="108"/>
    </row>
    <row r="121" spans="1:7" ht="18.75" customHeight="1">
      <c r="B121" s="176"/>
      <c r="C121" s="90"/>
      <c r="D121" s="106"/>
      <c r="E121" s="107"/>
      <c r="F121" s="107"/>
      <c r="G121" s="108"/>
    </row>
    <row r="122" spans="1:7" ht="18.75" customHeight="1">
      <c r="B122" s="176"/>
      <c r="C122" s="90"/>
      <c r="D122" s="106"/>
      <c r="E122" s="107"/>
      <c r="F122" s="107"/>
      <c r="G122" s="108"/>
    </row>
    <row r="123" spans="1:7" ht="18.75" customHeight="1">
      <c r="B123" s="176"/>
      <c r="C123" s="90"/>
      <c r="D123" s="106"/>
      <c r="E123" s="107"/>
      <c r="F123" s="107"/>
      <c r="G123" s="108"/>
    </row>
    <row r="124" spans="1:7" ht="18.75" customHeight="1">
      <c r="B124" s="176"/>
      <c r="C124" s="90"/>
      <c r="D124" s="106"/>
      <c r="E124" s="107"/>
      <c r="F124" s="107"/>
      <c r="G124" s="108"/>
    </row>
    <row r="125" spans="1:7" ht="18.75" customHeight="1">
      <c r="B125" s="176"/>
      <c r="C125" s="90"/>
      <c r="D125" s="106"/>
      <c r="E125" s="107"/>
      <c r="F125" s="107"/>
      <c r="G125" s="108"/>
    </row>
    <row r="126" spans="1:7" ht="18.75" customHeight="1">
      <c r="A126" s="16" t="s">
        <v>5</v>
      </c>
      <c r="B126" s="16" t="s">
        <v>132</v>
      </c>
    </row>
    <row r="127" spans="1:7" ht="22.5" customHeight="1">
      <c r="B127" s="90" t="s">
        <v>113</v>
      </c>
      <c r="C127" s="110" t="s">
        <v>72</v>
      </c>
      <c r="D127" s="111"/>
      <c r="E127" s="111"/>
      <c r="F127" s="111"/>
      <c r="G127" s="112"/>
    </row>
    <row r="128" spans="1:7" ht="45" customHeight="1">
      <c r="B128" s="82" t="s">
        <v>133</v>
      </c>
      <c r="C128" s="205" t="s">
        <v>134</v>
      </c>
      <c r="D128" s="132"/>
      <c r="E128" s="132"/>
      <c r="F128" s="132"/>
      <c r="G128" s="133"/>
    </row>
    <row r="129" spans="1:7" ht="45" customHeight="1">
      <c r="B129" s="82" t="s">
        <v>135</v>
      </c>
      <c r="C129" s="131" t="s">
        <v>136</v>
      </c>
      <c r="D129" s="132"/>
      <c r="E129" s="132"/>
      <c r="F129" s="132"/>
      <c r="G129" s="133"/>
    </row>
    <row r="130" spans="1:7" ht="45" customHeight="1">
      <c r="B130" s="82" t="s">
        <v>137</v>
      </c>
      <c r="C130" s="131" t="s">
        <v>136</v>
      </c>
      <c r="D130" s="132"/>
      <c r="E130" s="132"/>
      <c r="F130" s="132"/>
      <c r="G130" s="133"/>
    </row>
    <row r="131" spans="1:7" ht="45" customHeight="1">
      <c r="B131" s="82" t="s">
        <v>138</v>
      </c>
      <c r="C131" s="131" t="s">
        <v>139</v>
      </c>
      <c r="D131" s="132"/>
      <c r="E131" s="132"/>
      <c r="F131" s="132"/>
      <c r="G131" s="133"/>
    </row>
    <row r="132" spans="1:7" ht="45" customHeight="1">
      <c r="B132" s="82" t="s">
        <v>140</v>
      </c>
      <c r="C132" s="131" t="s">
        <v>141</v>
      </c>
      <c r="D132" s="132"/>
      <c r="E132" s="132"/>
      <c r="F132" s="132"/>
      <c r="G132" s="133"/>
    </row>
    <row r="133" spans="1:7" ht="45" customHeight="1">
      <c r="B133" s="82" t="s">
        <v>142</v>
      </c>
      <c r="C133" s="131" t="s">
        <v>82</v>
      </c>
      <c r="D133" s="132"/>
      <c r="E133" s="132"/>
      <c r="F133" s="132"/>
      <c r="G133" s="133"/>
    </row>
    <row r="134" spans="1:7" ht="45" customHeight="1">
      <c r="B134" s="82" t="s">
        <v>143</v>
      </c>
      <c r="C134" s="205" t="s">
        <v>144</v>
      </c>
      <c r="D134" s="132"/>
      <c r="E134" s="132"/>
      <c r="F134" s="132"/>
      <c r="G134" s="133"/>
    </row>
    <row r="135" spans="1:7" ht="45" customHeight="1">
      <c r="B135" s="82" t="s">
        <v>145</v>
      </c>
      <c r="C135" s="205" t="s">
        <v>146</v>
      </c>
      <c r="D135" s="132"/>
      <c r="E135" s="132"/>
      <c r="F135" s="132"/>
      <c r="G135" s="133"/>
    </row>
    <row r="136" spans="1:7" ht="45" customHeight="1">
      <c r="B136" s="82" t="s">
        <v>147</v>
      </c>
      <c r="C136" s="131"/>
      <c r="D136" s="132"/>
      <c r="E136" s="132"/>
      <c r="F136" s="132"/>
      <c r="G136" s="133"/>
    </row>
    <row r="137" spans="1:7" ht="7.5" customHeight="1"/>
    <row r="138" spans="1:7" ht="18.75" customHeight="1">
      <c r="A138" s="16" t="s">
        <v>8</v>
      </c>
      <c r="B138" s="16" t="s">
        <v>148</v>
      </c>
      <c r="E138" s="279" t="s">
        <v>149</v>
      </c>
      <c r="F138" s="279"/>
      <c r="G138" s="279"/>
    </row>
    <row r="139" spans="1:7" ht="7.5" customHeight="1"/>
    <row r="140" spans="1:7" ht="18.75" customHeight="1">
      <c r="A140" s="16" t="s">
        <v>11</v>
      </c>
      <c r="B140" s="16" t="s">
        <v>150</v>
      </c>
    </row>
    <row r="141" spans="1:7" ht="18.75" customHeight="1">
      <c r="B141" s="177" t="s">
        <v>151</v>
      </c>
      <c r="C141" s="178"/>
      <c r="D141" s="178"/>
      <c r="E141" s="178"/>
      <c r="F141" s="178"/>
      <c r="G141" s="179"/>
    </row>
    <row r="142" spans="1:7" ht="18.75" customHeight="1">
      <c r="B142" s="180"/>
      <c r="C142" s="181"/>
      <c r="D142" s="181"/>
      <c r="E142" s="181"/>
      <c r="F142" s="181"/>
      <c r="G142" s="182"/>
    </row>
    <row r="143" spans="1:7" ht="18.75" customHeight="1">
      <c r="B143" s="180"/>
      <c r="C143" s="181"/>
      <c r="D143" s="181"/>
      <c r="E143" s="181"/>
      <c r="F143" s="181"/>
      <c r="G143" s="182"/>
    </row>
    <row r="144" spans="1:7" ht="18.75" customHeight="1">
      <c r="B144" s="183"/>
      <c r="C144" s="184"/>
      <c r="D144" s="184"/>
      <c r="E144" s="184"/>
      <c r="F144" s="184"/>
      <c r="G144" s="185"/>
    </row>
    <row r="145" ht="18.75" customHeight="1"/>
    <row r="146" ht="18.75" customHeight="1"/>
    <row r="147" ht="18.75" customHeight="1"/>
    <row r="148" ht="18.75" customHeight="1"/>
    <row r="149" ht="18.75" customHeight="1"/>
    <row r="150" ht="18.75" customHeight="1"/>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zoomScale="85" zoomScaleNormal="85" workbookViewId="0">
      <selection activeCell="F1" sqref="F1"/>
    </sheetView>
  </sheetViews>
  <sheetFormatPr defaultColWidth="11.375" defaultRowHeight="18.75" customHeight="1"/>
  <cols>
    <col min="1" max="1" width="2.875" style="83" customWidth="1"/>
    <col min="2" max="2" width="54.125" style="16" customWidth="1"/>
    <col min="3" max="3" width="1.125" style="16" customWidth="1"/>
    <col min="4" max="4" width="22.5" style="16" customWidth="1"/>
    <col min="5" max="5" width="6.125" style="16" customWidth="1"/>
    <col min="6" max="16384" width="11.375" style="16"/>
  </cols>
  <sheetData>
    <row r="1" spans="1:5" ht="18.75" customHeight="1">
      <c r="E1" s="91" t="s">
        <v>152</v>
      </c>
    </row>
    <row r="2" spans="1:5" ht="18.75" customHeight="1">
      <c r="B2" s="91" t="s">
        <v>153</v>
      </c>
      <c r="C2" s="91" t="s">
        <v>154</v>
      </c>
      <c r="D2" s="143" t="s">
        <v>66</v>
      </c>
      <c r="E2" s="143"/>
    </row>
    <row r="3" spans="1:5" ht="7.5" customHeight="1">
      <c r="B3" s="91"/>
      <c r="C3" s="91"/>
      <c r="D3" s="93"/>
      <c r="E3" s="93"/>
    </row>
    <row r="4" spans="1:5" ht="18.75" customHeight="1">
      <c r="B4" s="124" t="s">
        <v>155</v>
      </c>
      <c r="C4" s="124"/>
      <c r="D4" s="124"/>
      <c r="E4" s="124"/>
    </row>
    <row r="5" spans="1:5" ht="7.5" customHeight="1">
      <c r="B5" s="93"/>
      <c r="C5" s="93"/>
      <c r="D5" s="93"/>
      <c r="E5" s="93"/>
    </row>
    <row r="6" spans="1:5" ht="18.75" customHeight="1">
      <c r="A6" s="20" t="s">
        <v>2</v>
      </c>
      <c r="B6" s="18" t="s">
        <v>156</v>
      </c>
      <c r="C6" s="93"/>
      <c r="D6" s="93"/>
      <c r="E6" s="93"/>
    </row>
    <row r="7" spans="1:5" ht="18.75" customHeight="1">
      <c r="A7" s="20"/>
      <c r="B7" s="131" t="s">
        <v>157</v>
      </c>
      <c r="C7" s="132"/>
      <c r="D7" s="132"/>
      <c r="E7" s="133"/>
    </row>
    <row r="8" spans="1:5" ht="7.5" customHeight="1">
      <c r="B8" s="93"/>
      <c r="C8" s="93"/>
      <c r="D8" s="93"/>
      <c r="E8" s="93"/>
    </row>
    <row r="9" spans="1:5" s="18" customFormat="1" ht="18.75" customHeight="1">
      <c r="A9" s="20" t="s">
        <v>5</v>
      </c>
      <c r="B9" s="20" t="s">
        <v>158</v>
      </c>
      <c r="C9" s="20"/>
      <c r="D9" s="20"/>
      <c r="E9" s="20"/>
    </row>
    <row r="10" spans="1:5" s="17" customFormat="1" ht="18.75" customHeight="1">
      <c r="A10" s="95"/>
      <c r="B10" s="186" t="s">
        <v>159</v>
      </c>
      <c r="C10" s="206"/>
      <c r="D10" s="206"/>
      <c r="E10" s="207"/>
    </row>
    <row r="11" spans="1:5" s="17" customFormat="1" ht="18.75" customHeight="1">
      <c r="A11" s="95"/>
      <c r="B11" s="208"/>
      <c r="C11" s="209"/>
      <c r="D11" s="209"/>
      <c r="E11" s="210"/>
    </row>
    <row r="12" spans="1:5" s="17" customFormat="1" ht="18.75" customHeight="1">
      <c r="A12" s="95"/>
      <c r="B12" s="208"/>
      <c r="C12" s="209"/>
      <c r="D12" s="209"/>
      <c r="E12" s="210"/>
    </row>
    <row r="13" spans="1:5" s="17" customFormat="1" ht="18.75" customHeight="1">
      <c r="A13" s="95"/>
      <c r="B13" s="208"/>
      <c r="C13" s="209"/>
      <c r="D13" s="209"/>
      <c r="E13" s="210"/>
    </row>
    <row r="14" spans="1:5" s="17" customFormat="1" ht="18.75" customHeight="1">
      <c r="A14" s="95"/>
      <c r="B14" s="211"/>
      <c r="C14" s="212"/>
      <c r="D14" s="212"/>
      <c r="E14" s="213"/>
    </row>
    <row r="15" spans="1:5" s="17" customFormat="1" ht="7.5" customHeight="1">
      <c r="A15" s="95"/>
      <c r="B15" s="95"/>
      <c r="C15" s="95"/>
      <c r="D15" s="95"/>
      <c r="E15" s="95"/>
    </row>
    <row r="16" spans="1:5" s="18" customFormat="1" ht="18.75" customHeight="1">
      <c r="A16" s="84" t="s">
        <v>8</v>
      </c>
      <c r="B16" s="84" t="s">
        <v>160</v>
      </c>
      <c r="C16" s="84"/>
      <c r="D16" s="84"/>
      <c r="E16" s="84"/>
    </row>
    <row r="17" spans="1:5" s="17" customFormat="1" ht="18.75" customHeight="1">
      <c r="A17" s="95"/>
      <c r="B17" s="186" t="s">
        <v>161</v>
      </c>
      <c r="C17" s="206"/>
      <c r="D17" s="206"/>
      <c r="E17" s="207"/>
    </row>
    <row r="18" spans="1:5" s="17" customFormat="1" ht="18.75" customHeight="1">
      <c r="A18" s="95"/>
      <c r="B18" s="208"/>
      <c r="C18" s="209"/>
      <c r="D18" s="209"/>
      <c r="E18" s="210"/>
    </row>
    <row r="19" spans="1:5" s="17" customFormat="1" ht="18.75" customHeight="1">
      <c r="A19" s="95"/>
      <c r="B19" s="208"/>
      <c r="C19" s="209"/>
      <c r="D19" s="209"/>
      <c r="E19" s="210"/>
    </row>
    <row r="20" spans="1:5" s="17" customFormat="1" ht="18.75" customHeight="1">
      <c r="A20" s="95"/>
      <c r="B20" s="208"/>
      <c r="C20" s="209"/>
      <c r="D20" s="209"/>
      <c r="E20" s="210"/>
    </row>
    <row r="21" spans="1:5" s="17" customFormat="1" ht="18.75" customHeight="1">
      <c r="A21" s="95"/>
      <c r="B21" s="208"/>
      <c r="C21" s="209"/>
      <c r="D21" s="209"/>
      <c r="E21" s="210"/>
    </row>
    <row r="22" spans="1:5" s="17" customFormat="1" ht="18.75" customHeight="1">
      <c r="A22" s="95"/>
      <c r="B22" s="208"/>
      <c r="C22" s="209"/>
      <c r="D22" s="209"/>
      <c r="E22" s="210"/>
    </row>
    <row r="23" spans="1:5" s="17" customFormat="1" ht="18.75" customHeight="1">
      <c r="A23" s="95"/>
      <c r="B23" s="208"/>
      <c r="C23" s="209"/>
      <c r="D23" s="209"/>
      <c r="E23" s="210"/>
    </row>
    <row r="24" spans="1:5" s="17" customFormat="1" ht="18.75" customHeight="1">
      <c r="A24" s="95"/>
      <c r="B24" s="208"/>
      <c r="C24" s="209"/>
      <c r="D24" s="209"/>
      <c r="E24" s="210"/>
    </row>
    <row r="25" spans="1:5" s="17" customFormat="1" ht="18.75" customHeight="1">
      <c r="A25" s="95"/>
      <c r="B25" s="208"/>
      <c r="C25" s="209"/>
      <c r="D25" s="209"/>
      <c r="E25" s="210"/>
    </row>
    <row r="26" spans="1:5" s="17" customFormat="1" ht="18.75" customHeight="1">
      <c r="A26" s="95"/>
      <c r="B26" s="208"/>
      <c r="C26" s="209"/>
      <c r="D26" s="209"/>
      <c r="E26" s="210"/>
    </row>
    <row r="27" spans="1:5" s="17" customFormat="1" ht="18.75" customHeight="1">
      <c r="A27" s="95"/>
      <c r="B27" s="208"/>
      <c r="C27" s="209"/>
      <c r="D27" s="209"/>
      <c r="E27" s="210"/>
    </row>
    <row r="28" spans="1:5" s="17" customFormat="1" ht="18.75" customHeight="1">
      <c r="A28" s="95"/>
      <c r="B28" s="211"/>
      <c r="C28" s="212"/>
      <c r="D28" s="212"/>
      <c r="E28" s="213"/>
    </row>
    <row r="29" spans="1:5" ht="7.5" customHeight="1">
      <c r="A29" s="85"/>
      <c r="B29" s="85"/>
      <c r="C29" s="85"/>
      <c r="D29" s="85"/>
      <c r="E29" s="85"/>
    </row>
    <row r="30" spans="1:5" s="18" customFormat="1" ht="18.75" customHeight="1">
      <c r="A30" s="20" t="s">
        <v>11</v>
      </c>
      <c r="B30" s="20" t="s">
        <v>162</v>
      </c>
      <c r="C30" s="20"/>
      <c r="D30" s="20"/>
      <c r="E30" s="20"/>
    </row>
    <row r="31" spans="1:5" s="18" customFormat="1" ht="18.75" customHeight="1">
      <c r="A31" s="20"/>
      <c r="B31" s="186" t="s">
        <v>163</v>
      </c>
      <c r="C31" s="206"/>
      <c r="D31" s="206"/>
      <c r="E31" s="207"/>
    </row>
    <row r="32" spans="1:5" s="18" customFormat="1" ht="18.75" customHeight="1">
      <c r="A32" s="20"/>
      <c r="B32" s="208"/>
      <c r="C32" s="209"/>
      <c r="D32" s="209"/>
      <c r="E32" s="210"/>
    </row>
    <row r="33" spans="1:5" s="18" customFormat="1" ht="18.75" customHeight="1">
      <c r="A33" s="20"/>
      <c r="B33" s="208"/>
      <c r="C33" s="209"/>
      <c r="D33" s="209"/>
      <c r="E33" s="210"/>
    </row>
    <row r="34" spans="1:5" s="18" customFormat="1" ht="18.75" customHeight="1">
      <c r="A34" s="20"/>
      <c r="B34" s="208"/>
      <c r="C34" s="209"/>
      <c r="D34" s="209"/>
      <c r="E34" s="210"/>
    </row>
    <row r="35" spans="1:5" s="18" customFormat="1" ht="18.75" customHeight="1">
      <c r="A35" s="20"/>
      <c r="B35" s="208"/>
      <c r="C35" s="209"/>
      <c r="D35" s="209"/>
      <c r="E35" s="210"/>
    </row>
    <row r="36" spans="1:5" s="18" customFormat="1" ht="18.75" customHeight="1">
      <c r="A36" s="20"/>
      <c r="B36" s="208"/>
      <c r="C36" s="209"/>
      <c r="D36" s="209"/>
      <c r="E36" s="210"/>
    </row>
    <row r="37" spans="1:5" s="18" customFormat="1" ht="18.75" customHeight="1">
      <c r="A37" s="20"/>
      <c r="B37" s="208"/>
      <c r="C37" s="209"/>
      <c r="D37" s="209"/>
      <c r="E37" s="210"/>
    </row>
    <row r="38" spans="1:5" s="18" customFormat="1" ht="18.75" customHeight="1">
      <c r="A38" s="20"/>
      <c r="B38" s="208"/>
      <c r="C38" s="209"/>
      <c r="D38" s="209"/>
      <c r="E38" s="210"/>
    </row>
    <row r="39" spans="1:5" s="18" customFormat="1" ht="18.75" customHeight="1">
      <c r="A39" s="20"/>
      <c r="B39" s="208"/>
      <c r="C39" s="209"/>
      <c r="D39" s="209"/>
      <c r="E39" s="210"/>
    </row>
    <row r="40" spans="1:5" s="18" customFormat="1" ht="18.75" customHeight="1">
      <c r="A40" s="20"/>
      <c r="B40" s="208"/>
      <c r="C40" s="209"/>
      <c r="D40" s="209"/>
      <c r="E40" s="210"/>
    </row>
    <row r="41" spans="1:5" s="18" customFormat="1" ht="18.75" customHeight="1">
      <c r="A41" s="20"/>
      <c r="B41" s="208"/>
      <c r="C41" s="209"/>
      <c r="D41" s="209"/>
      <c r="E41" s="210"/>
    </row>
    <row r="42" spans="1:5" s="18" customFormat="1" ht="18.75" customHeight="1">
      <c r="A42" s="20"/>
      <c r="B42" s="208"/>
      <c r="C42" s="209"/>
      <c r="D42" s="209"/>
      <c r="E42" s="210"/>
    </row>
    <row r="43" spans="1:5" s="18" customFormat="1" ht="18.75" customHeight="1">
      <c r="A43" s="20"/>
      <c r="B43" s="208"/>
      <c r="C43" s="209"/>
      <c r="D43" s="209"/>
      <c r="E43" s="210"/>
    </row>
    <row r="44" spans="1:5" s="18" customFormat="1" ht="18.75" customHeight="1">
      <c r="A44" s="20"/>
      <c r="B44" s="208"/>
      <c r="C44" s="209"/>
      <c r="D44" s="209"/>
      <c r="E44" s="210"/>
    </row>
    <row r="45" spans="1:5" ht="18.75" customHeight="1">
      <c r="A45" s="85"/>
      <c r="B45" s="208"/>
      <c r="C45" s="209"/>
      <c r="D45" s="209"/>
      <c r="E45" s="210"/>
    </row>
    <row r="46" spans="1:5" ht="18.75" customHeight="1">
      <c r="A46" s="85"/>
      <c r="B46" s="211"/>
      <c r="C46" s="212"/>
      <c r="D46" s="212"/>
      <c r="E46" s="213"/>
    </row>
    <row r="47" spans="1:5" s="18" customFormat="1" ht="18.75" customHeight="1">
      <c r="A47" s="84" t="s">
        <v>14</v>
      </c>
      <c r="B47" s="20" t="s">
        <v>164</v>
      </c>
      <c r="C47" s="84"/>
      <c r="D47" s="84"/>
      <c r="E47" s="84"/>
    </row>
    <row r="48" spans="1:5" ht="18.75" customHeight="1">
      <c r="A48" s="85"/>
      <c r="B48" s="214" t="s">
        <v>165</v>
      </c>
      <c r="C48" s="224"/>
      <c r="D48" s="224"/>
      <c r="E48" s="225"/>
    </row>
    <row r="49" spans="1:5" ht="18.75" customHeight="1">
      <c r="A49" s="85"/>
      <c r="B49" s="226"/>
      <c r="C49" s="227"/>
      <c r="D49" s="227"/>
      <c r="E49" s="228"/>
    </row>
    <row r="50" spans="1:5" ht="18.75" customHeight="1">
      <c r="A50" s="85"/>
      <c r="B50" s="226"/>
      <c r="C50" s="227"/>
      <c r="D50" s="227"/>
      <c r="E50" s="228"/>
    </row>
    <row r="51" spans="1:5" ht="18.75" customHeight="1">
      <c r="A51" s="85"/>
      <c r="B51" s="226"/>
      <c r="C51" s="227"/>
      <c r="D51" s="227"/>
      <c r="E51" s="228"/>
    </row>
    <row r="52" spans="1:5" ht="18.75" customHeight="1">
      <c r="A52" s="85"/>
      <c r="B52" s="226"/>
      <c r="C52" s="227"/>
      <c r="D52" s="227"/>
      <c r="E52" s="228"/>
    </row>
    <row r="53" spans="1:5" ht="18.75" customHeight="1">
      <c r="A53" s="85"/>
      <c r="B53" s="226"/>
      <c r="C53" s="227"/>
      <c r="D53" s="227"/>
      <c r="E53" s="228"/>
    </row>
    <row r="54" spans="1:5" ht="18.75" customHeight="1">
      <c r="A54" s="85"/>
      <c r="B54" s="226"/>
      <c r="C54" s="227"/>
      <c r="D54" s="227"/>
      <c r="E54" s="228"/>
    </row>
    <row r="55" spans="1:5" ht="18.75" customHeight="1">
      <c r="A55" s="85"/>
      <c r="B55" s="226"/>
      <c r="C55" s="227"/>
      <c r="D55" s="227"/>
      <c r="E55" s="228"/>
    </row>
    <row r="56" spans="1:5" ht="18.75" customHeight="1">
      <c r="A56" s="85"/>
      <c r="B56" s="226"/>
      <c r="C56" s="227"/>
      <c r="D56" s="227"/>
      <c r="E56" s="228"/>
    </row>
    <row r="57" spans="1:5" ht="18.75" customHeight="1">
      <c r="A57" s="85"/>
      <c r="B57" s="226"/>
      <c r="C57" s="227"/>
      <c r="D57" s="227"/>
      <c r="E57" s="228"/>
    </row>
    <row r="58" spans="1:5" ht="18.75" customHeight="1">
      <c r="A58" s="85"/>
      <c r="B58" s="226"/>
      <c r="C58" s="227"/>
      <c r="D58" s="227"/>
      <c r="E58" s="228"/>
    </row>
    <row r="59" spans="1:5" ht="18.75" customHeight="1">
      <c r="A59" s="85"/>
      <c r="B59" s="226"/>
      <c r="C59" s="227"/>
      <c r="D59" s="227"/>
      <c r="E59" s="228"/>
    </row>
    <row r="60" spans="1:5" ht="18.75" customHeight="1">
      <c r="A60" s="85"/>
      <c r="B60" s="226"/>
      <c r="C60" s="227"/>
      <c r="D60" s="227"/>
      <c r="E60" s="228"/>
    </row>
    <row r="61" spans="1:5" ht="18.75" customHeight="1">
      <c r="A61" s="85"/>
      <c r="B61" s="226"/>
      <c r="C61" s="227"/>
      <c r="D61" s="227"/>
      <c r="E61" s="228"/>
    </row>
    <row r="62" spans="1:5" ht="18.75" customHeight="1">
      <c r="A62" s="85"/>
      <c r="B62" s="226"/>
      <c r="C62" s="227"/>
      <c r="D62" s="227"/>
      <c r="E62" s="228"/>
    </row>
    <row r="63" spans="1:5" ht="18.75" customHeight="1">
      <c r="A63" s="85"/>
      <c r="B63" s="226"/>
      <c r="C63" s="227"/>
      <c r="D63" s="227"/>
      <c r="E63" s="228"/>
    </row>
    <row r="64" spans="1:5" ht="18.75" customHeight="1">
      <c r="A64" s="85"/>
      <c r="B64" s="226"/>
      <c r="C64" s="227"/>
      <c r="D64" s="227"/>
      <c r="E64" s="228"/>
    </row>
    <row r="65" spans="1:5" ht="18.75" customHeight="1">
      <c r="A65" s="85"/>
      <c r="B65" s="226"/>
      <c r="C65" s="227"/>
      <c r="D65" s="227"/>
      <c r="E65" s="228"/>
    </row>
    <row r="66" spans="1:5" ht="18.75" customHeight="1">
      <c r="A66" s="85"/>
      <c r="B66" s="226"/>
      <c r="C66" s="227"/>
      <c r="D66" s="227"/>
      <c r="E66" s="228"/>
    </row>
    <row r="67" spans="1:5" ht="18.75" customHeight="1">
      <c r="A67" s="85"/>
      <c r="B67" s="226"/>
      <c r="C67" s="227"/>
      <c r="D67" s="227"/>
      <c r="E67" s="228"/>
    </row>
    <row r="68" spans="1:5" ht="18.75" customHeight="1">
      <c r="A68" s="85"/>
      <c r="B68" s="229"/>
      <c r="C68" s="230"/>
      <c r="D68" s="230"/>
      <c r="E68" s="231"/>
    </row>
    <row r="69" spans="1:5" ht="7.5" customHeight="1">
      <c r="A69" s="85"/>
      <c r="B69" s="85"/>
      <c r="C69" s="85"/>
      <c r="D69" s="85"/>
      <c r="E69" s="85"/>
    </row>
    <row r="70" spans="1:5" s="18" customFormat="1" ht="18.75" customHeight="1">
      <c r="A70" s="20" t="s">
        <v>17</v>
      </c>
      <c r="B70" s="20" t="s">
        <v>166</v>
      </c>
      <c r="C70" s="20"/>
      <c r="D70" s="20"/>
      <c r="E70" s="20"/>
    </row>
    <row r="71" spans="1:5" s="18" customFormat="1" ht="18.75" customHeight="1">
      <c r="A71" s="20"/>
      <c r="B71" s="186" t="s">
        <v>167</v>
      </c>
      <c r="C71" s="206"/>
      <c r="D71" s="206"/>
      <c r="E71" s="207"/>
    </row>
    <row r="72" spans="1:5" s="18" customFormat="1" ht="18.75" customHeight="1">
      <c r="A72" s="20"/>
      <c r="B72" s="208"/>
      <c r="C72" s="209"/>
      <c r="D72" s="209"/>
      <c r="E72" s="210"/>
    </row>
    <row r="73" spans="1:5" s="18" customFormat="1" ht="18.75" customHeight="1">
      <c r="A73" s="20"/>
      <c r="B73" s="208"/>
      <c r="C73" s="209"/>
      <c r="D73" s="209"/>
      <c r="E73" s="210"/>
    </row>
    <row r="74" spans="1:5" s="18" customFormat="1" ht="18.75" customHeight="1">
      <c r="A74" s="20"/>
      <c r="B74" s="208"/>
      <c r="C74" s="209"/>
      <c r="D74" s="209"/>
      <c r="E74" s="210"/>
    </row>
    <row r="75" spans="1:5" s="18" customFormat="1" ht="18.75" customHeight="1">
      <c r="A75" s="20"/>
      <c r="B75" s="208"/>
      <c r="C75" s="209"/>
      <c r="D75" s="209"/>
      <c r="E75" s="210"/>
    </row>
    <row r="76" spans="1:5" s="18" customFormat="1" ht="18.75" customHeight="1">
      <c r="A76" s="20"/>
      <c r="B76" s="208"/>
      <c r="C76" s="209"/>
      <c r="D76" s="209"/>
      <c r="E76" s="210"/>
    </row>
    <row r="77" spans="1:5" s="18" customFormat="1" ht="18.75" customHeight="1">
      <c r="A77" s="20"/>
      <c r="B77" s="208"/>
      <c r="C77" s="209"/>
      <c r="D77" s="209"/>
      <c r="E77" s="210"/>
    </row>
    <row r="78" spans="1:5" s="18" customFormat="1" ht="18.75" customHeight="1">
      <c r="A78" s="20"/>
      <c r="B78" s="208"/>
      <c r="C78" s="209"/>
      <c r="D78" s="209"/>
      <c r="E78" s="210"/>
    </row>
    <row r="79" spans="1:5" s="18" customFormat="1" ht="18.75" customHeight="1">
      <c r="A79" s="20"/>
      <c r="B79" s="208"/>
      <c r="C79" s="209"/>
      <c r="D79" s="209"/>
      <c r="E79" s="210"/>
    </row>
    <row r="80" spans="1:5" s="18" customFormat="1" ht="18.75" customHeight="1">
      <c r="A80" s="20"/>
      <c r="B80" s="208"/>
      <c r="C80" s="209"/>
      <c r="D80" s="209"/>
      <c r="E80" s="210"/>
    </row>
    <row r="81" spans="1:5" s="18" customFormat="1" ht="18.75" customHeight="1">
      <c r="A81" s="20"/>
      <c r="B81" s="208"/>
      <c r="C81" s="209"/>
      <c r="D81" s="209"/>
      <c r="E81" s="210"/>
    </row>
    <row r="82" spans="1:5" s="18" customFormat="1" ht="18.75" customHeight="1">
      <c r="A82" s="20"/>
      <c r="B82" s="208"/>
      <c r="C82" s="209"/>
      <c r="D82" s="209"/>
      <c r="E82" s="210"/>
    </row>
    <row r="83" spans="1:5" s="18" customFormat="1" ht="18.75" customHeight="1">
      <c r="A83" s="20"/>
      <c r="B83" s="208"/>
      <c r="C83" s="209"/>
      <c r="D83" s="209"/>
      <c r="E83" s="210"/>
    </row>
    <row r="84" spans="1:5" s="18" customFormat="1" ht="18.75" customHeight="1">
      <c r="A84" s="20"/>
      <c r="B84" s="208"/>
      <c r="C84" s="209"/>
      <c r="D84" s="209"/>
      <c r="E84" s="210"/>
    </row>
    <row r="85" spans="1:5" s="18" customFormat="1" ht="18.75" customHeight="1">
      <c r="A85" s="20"/>
      <c r="B85" s="208"/>
      <c r="C85" s="209"/>
      <c r="D85" s="209"/>
      <c r="E85" s="210"/>
    </row>
    <row r="86" spans="1:5" s="18" customFormat="1" ht="18.75" customHeight="1">
      <c r="A86" s="20"/>
      <c r="B86" s="208"/>
      <c r="C86" s="209"/>
      <c r="D86" s="209"/>
      <c r="E86" s="210"/>
    </row>
    <row r="87" spans="1:5" s="18" customFormat="1" ht="18.75" customHeight="1">
      <c r="A87" s="20"/>
      <c r="B87" s="208"/>
      <c r="C87" s="209"/>
      <c r="D87" s="209"/>
      <c r="E87" s="210"/>
    </row>
    <row r="88" spans="1:5" ht="18.75" customHeight="1">
      <c r="A88" s="85"/>
      <c r="B88" s="208"/>
      <c r="C88" s="209"/>
      <c r="D88" s="209"/>
      <c r="E88" s="210"/>
    </row>
    <row r="89" spans="1:5" ht="18.75" customHeight="1">
      <c r="A89" s="85"/>
      <c r="B89" s="211"/>
      <c r="C89" s="212"/>
      <c r="D89" s="212"/>
      <c r="E89" s="213"/>
    </row>
    <row r="90" spans="1:5" ht="7.5" customHeight="1">
      <c r="A90" s="85"/>
      <c r="B90" s="85"/>
      <c r="C90" s="85"/>
      <c r="D90" s="85"/>
      <c r="E90" s="85"/>
    </row>
    <row r="91" spans="1:5" s="18" customFormat="1" ht="18.75" customHeight="1">
      <c r="A91" s="20" t="s">
        <v>20</v>
      </c>
      <c r="B91" s="20" t="s">
        <v>168</v>
      </c>
      <c r="C91" s="20"/>
      <c r="D91" s="20"/>
      <c r="E91" s="20"/>
    </row>
    <row r="92" spans="1:5" s="18" customFormat="1" ht="18.75" customHeight="1">
      <c r="A92" s="20"/>
      <c r="B92" s="214" t="s">
        <v>169</v>
      </c>
      <c r="C92" s="215"/>
      <c r="D92" s="215"/>
      <c r="E92" s="216"/>
    </row>
    <row r="93" spans="1:5" s="18" customFormat="1" ht="18.75" customHeight="1">
      <c r="A93" s="20"/>
      <c r="B93" s="217"/>
      <c r="C93" s="218"/>
      <c r="D93" s="218"/>
      <c r="E93" s="219"/>
    </row>
    <row r="94" spans="1:5" s="18" customFormat="1" ht="18.75" customHeight="1">
      <c r="A94" s="20"/>
      <c r="B94" s="217"/>
      <c r="C94" s="218"/>
      <c r="D94" s="218"/>
      <c r="E94" s="219"/>
    </row>
    <row r="95" spans="1:5" s="18" customFormat="1" ht="18.75" customHeight="1">
      <c r="A95" s="20"/>
      <c r="B95" s="217"/>
      <c r="C95" s="218"/>
      <c r="D95" s="218"/>
      <c r="E95" s="219"/>
    </row>
    <row r="96" spans="1:5" s="18" customFormat="1" ht="18.75" customHeight="1">
      <c r="A96" s="20"/>
      <c r="B96" s="217"/>
      <c r="C96" s="218"/>
      <c r="D96" s="218"/>
      <c r="E96" s="219"/>
    </row>
    <row r="97" spans="1:5" s="18" customFormat="1" ht="18.75" customHeight="1">
      <c r="A97" s="20"/>
      <c r="B97" s="217"/>
      <c r="C97" s="218"/>
      <c r="D97" s="218"/>
      <c r="E97" s="219"/>
    </row>
    <row r="98" spans="1:5" s="18" customFormat="1" ht="18.75" customHeight="1">
      <c r="A98" s="20"/>
      <c r="B98" s="217"/>
      <c r="C98" s="218"/>
      <c r="D98" s="218"/>
      <c r="E98" s="219"/>
    </row>
    <row r="99" spans="1:5" s="18" customFormat="1" ht="18.75" customHeight="1">
      <c r="A99" s="20"/>
      <c r="B99" s="217"/>
      <c r="C99" s="218"/>
      <c r="D99" s="218"/>
      <c r="E99" s="219"/>
    </row>
    <row r="100" spans="1:5" s="18" customFormat="1" ht="18.75" customHeight="1">
      <c r="A100" s="20"/>
      <c r="B100" s="217"/>
      <c r="C100" s="218"/>
      <c r="D100" s="218"/>
      <c r="E100" s="219"/>
    </row>
    <row r="101" spans="1:5" s="18" customFormat="1" ht="18.75" customHeight="1">
      <c r="A101" s="20"/>
      <c r="B101" s="217"/>
      <c r="C101" s="218"/>
      <c r="D101" s="218"/>
      <c r="E101" s="219"/>
    </row>
    <row r="102" spans="1:5" s="18" customFormat="1" ht="18.75" customHeight="1">
      <c r="A102" s="20"/>
      <c r="B102" s="217"/>
      <c r="C102" s="218"/>
      <c r="D102" s="218"/>
      <c r="E102" s="219"/>
    </row>
    <row r="103" spans="1:5" s="18" customFormat="1" ht="18.75" customHeight="1">
      <c r="A103" s="20"/>
      <c r="B103" s="217"/>
      <c r="C103" s="218"/>
      <c r="D103" s="218"/>
      <c r="E103" s="219"/>
    </row>
    <row r="104" spans="1:5" s="18" customFormat="1" ht="18.75" customHeight="1">
      <c r="A104" s="20"/>
      <c r="B104" s="217"/>
      <c r="C104" s="218"/>
      <c r="D104" s="218"/>
      <c r="E104" s="219"/>
    </row>
    <row r="105" spans="1:5" s="18" customFormat="1" ht="18.75" customHeight="1">
      <c r="A105" s="20"/>
      <c r="B105" s="217"/>
      <c r="C105" s="218"/>
      <c r="D105" s="218"/>
      <c r="E105" s="219"/>
    </row>
    <row r="106" spans="1:5" s="18" customFormat="1" ht="18.75" customHeight="1">
      <c r="A106" s="20"/>
      <c r="B106" s="217"/>
      <c r="C106" s="218"/>
      <c r="D106" s="218"/>
      <c r="E106" s="219"/>
    </row>
    <row r="107" spans="1:5" s="18" customFormat="1" ht="18.75" customHeight="1">
      <c r="A107" s="20"/>
      <c r="B107" s="217"/>
      <c r="C107" s="218"/>
      <c r="D107" s="218"/>
      <c r="E107" s="219"/>
    </row>
    <row r="108" spans="1:5" s="18" customFormat="1" ht="18.75" customHeight="1">
      <c r="A108" s="20"/>
      <c r="B108" s="217"/>
      <c r="C108" s="218"/>
      <c r="D108" s="218"/>
      <c r="E108" s="219"/>
    </row>
    <row r="109" spans="1:5" s="18" customFormat="1" ht="18.75" customHeight="1">
      <c r="A109" s="20"/>
      <c r="B109" s="217"/>
      <c r="C109" s="218"/>
      <c r="D109" s="218"/>
      <c r="E109" s="219"/>
    </row>
    <row r="110" spans="1:5" ht="18.75" customHeight="1">
      <c r="A110" s="85"/>
      <c r="B110" s="217"/>
      <c r="C110" s="218"/>
      <c r="D110" s="218"/>
      <c r="E110" s="219"/>
    </row>
    <row r="111" spans="1:5" ht="18.75" customHeight="1">
      <c r="A111" s="85"/>
      <c r="B111" s="220"/>
      <c r="C111" s="221"/>
      <c r="D111" s="221"/>
      <c r="E111" s="222"/>
    </row>
    <row r="112" spans="1:5" ht="7.5" customHeight="1">
      <c r="A112" s="85"/>
      <c r="B112" s="85"/>
      <c r="C112" s="85"/>
      <c r="D112" s="85"/>
      <c r="E112" s="85"/>
    </row>
    <row r="113" spans="1:5" s="18" customFormat="1" ht="18.75" customHeight="1">
      <c r="A113" s="20" t="s">
        <v>25</v>
      </c>
      <c r="B113" s="223" t="s">
        <v>170</v>
      </c>
      <c r="C113" s="223"/>
      <c r="D113" s="223"/>
      <c r="E113" s="223"/>
    </row>
    <row r="114" spans="1:5" ht="18.75" customHeight="1">
      <c r="A114" s="85"/>
      <c r="B114" s="186" t="s">
        <v>171</v>
      </c>
      <c r="C114" s="206"/>
      <c r="D114" s="206"/>
      <c r="E114" s="207"/>
    </row>
    <row r="115" spans="1:5" ht="18.75" customHeight="1">
      <c r="A115" s="85"/>
      <c r="B115" s="208"/>
      <c r="C115" s="209"/>
      <c r="D115" s="209"/>
      <c r="E115" s="210"/>
    </row>
    <row r="116" spans="1:5" ht="18.75" customHeight="1">
      <c r="A116" s="85"/>
      <c r="B116" s="208"/>
      <c r="C116" s="209"/>
      <c r="D116" s="209"/>
      <c r="E116" s="210"/>
    </row>
    <row r="117" spans="1:5" ht="18.75" customHeight="1">
      <c r="A117" s="85"/>
      <c r="B117" s="208"/>
      <c r="C117" s="209"/>
      <c r="D117" s="209"/>
      <c r="E117" s="210"/>
    </row>
    <row r="118" spans="1:5" ht="18.75" customHeight="1">
      <c r="A118" s="85"/>
      <c r="B118" s="208"/>
      <c r="C118" s="209"/>
      <c r="D118" s="209"/>
      <c r="E118" s="210"/>
    </row>
    <row r="119" spans="1:5" ht="18.75" customHeight="1">
      <c r="A119" s="85"/>
      <c r="B119" s="208"/>
      <c r="C119" s="209"/>
      <c r="D119" s="209"/>
      <c r="E119" s="210"/>
    </row>
    <row r="120" spans="1:5" ht="18.75" customHeight="1">
      <c r="A120" s="85"/>
      <c r="B120" s="208"/>
      <c r="C120" s="209"/>
      <c r="D120" s="209"/>
      <c r="E120" s="210"/>
    </row>
    <row r="121" spans="1:5" ht="18.75" customHeight="1">
      <c r="A121" s="85"/>
      <c r="B121" s="208"/>
      <c r="C121" s="209"/>
      <c r="D121" s="209"/>
      <c r="E121" s="210"/>
    </row>
    <row r="122" spans="1:5" ht="18.75" customHeight="1">
      <c r="A122" s="85"/>
      <c r="B122" s="208"/>
      <c r="C122" s="209"/>
      <c r="D122" s="209"/>
      <c r="E122" s="210"/>
    </row>
    <row r="123" spans="1:5" ht="18.75" customHeight="1">
      <c r="A123" s="85"/>
      <c r="B123" s="208"/>
      <c r="C123" s="209"/>
      <c r="D123" s="209"/>
      <c r="E123" s="210"/>
    </row>
    <row r="124" spans="1:5" ht="18.75" customHeight="1">
      <c r="A124" s="85"/>
      <c r="B124" s="208"/>
      <c r="C124" s="209"/>
      <c r="D124" s="209"/>
      <c r="E124" s="210"/>
    </row>
    <row r="125" spans="1:5" ht="18.75" customHeight="1">
      <c r="A125" s="85"/>
      <c r="B125" s="208"/>
      <c r="C125" s="209"/>
      <c r="D125" s="209"/>
      <c r="E125" s="210"/>
    </row>
    <row r="126" spans="1:5" ht="18.75" customHeight="1">
      <c r="A126" s="85"/>
      <c r="B126" s="208"/>
      <c r="C126" s="209"/>
      <c r="D126" s="209"/>
      <c r="E126" s="210"/>
    </row>
    <row r="127" spans="1:5" ht="18.75" customHeight="1">
      <c r="A127" s="85"/>
      <c r="B127" s="208"/>
      <c r="C127" s="209"/>
      <c r="D127" s="209"/>
      <c r="E127" s="210"/>
    </row>
    <row r="128" spans="1:5" ht="18.75" customHeight="1">
      <c r="A128" s="85"/>
      <c r="B128" s="208"/>
      <c r="C128" s="209"/>
      <c r="D128" s="209"/>
      <c r="E128" s="210"/>
    </row>
    <row r="129" spans="1:5" ht="18.75" customHeight="1">
      <c r="A129" s="85"/>
      <c r="B129" s="208"/>
      <c r="C129" s="209"/>
      <c r="D129" s="209"/>
      <c r="E129" s="210"/>
    </row>
    <row r="130" spans="1:5" ht="18.75" customHeight="1">
      <c r="A130" s="85"/>
      <c r="B130" s="208"/>
      <c r="C130" s="209"/>
      <c r="D130" s="209"/>
      <c r="E130" s="210"/>
    </row>
    <row r="131" spans="1:5" ht="18.75" customHeight="1">
      <c r="A131" s="85"/>
      <c r="B131" s="208"/>
      <c r="C131" s="209"/>
      <c r="D131" s="209"/>
      <c r="E131" s="210"/>
    </row>
    <row r="132" spans="1:5" ht="18.75" customHeight="1">
      <c r="A132" s="85"/>
      <c r="B132" s="208"/>
      <c r="C132" s="209"/>
      <c r="D132" s="209"/>
      <c r="E132" s="210"/>
    </row>
    <row r="133" spans="1:5" ht="18.75" customHeight="1">
      <c r="A133" s="85"/>
      <c r="B133" s="211"/>
      <c r="C133" s="212"/>
      <c r="D133" s="212"/>
      <c r="E133" s="213"/>
    </row>
    <row r="134" spans="1:5" ht="7.5" customHeight="1">
      <c r="A134" s="85"/>
      <c r="B134" s="86"/>
      <c r="C134" s="86"/>
      <c r="D134" s="86"/>
      <c r="E134" s="86"/>
    </row>
    <row r="135" spans="1:5" ht="18.75" customHeight="1">
      <c r="A135" s="85"/>
      <c r="B135" s="85"/>
      <c r="C135" s="85"/>
      <c r="D135" s="85"/>
      <c r="E135" s="85"/>
    </row>
    <row r="136" spans="1:5" ht="18.75" customHeight="1">
      <c r="A136" s="85"/>
      <c r="B136" s="85"/>
      <c r="C136" s="85"/>
      <c r="D136" s="85"/>
      <c r="E136" s="85"/>
    </row>
    <row r="137" spans="1:5" ht="18.75" customHeight="1">
      <c r="A137" s="85"/>
      <c r="B137" s="85"/>
      <c r="C137" s="85"/>
      <c r="D137" s="85"/>
      <c r="E137" s="85"/>
    </row>
    <row r="138" spans="1:5" ht="18.75" customHeight="1">
      <c r="A138" s="85"/>
      <c r="B138" s="85"/>
      <c r="C138" s="85"/>
      <c r="D138" s="85"/>
      <c r="E138" s="85"/>
    </row>
    <row r="139" spans="1:5" ht="18.75" customHeight="1">
      <c r="A139" s="85"/>
      <c r="B139" s="85"/>
      <c r="C139" s="85"/>
      <c r="D139" s="85"/>
      <c r="E139" s="85"/>
    </row>
    <row r="140" spans="1:5" ht="18.75" customHeight="1">
      <c r="A140" s="85"/>
      <c r="B140" s="85"/>
      <c r="C140" s="85"/>
      <c r="D140" s="85"/>
      <c r="E140" s="85"/>
    </row>
    <row r="141" spans="1:5" ht="18.75" customHeight="1">
      <c r="A141" s="85"/>
      <c r="B141" s="85"/>
      <c r="C141" s="85"/>
      <c r="D141" s="85"/>
      <c r="E141" s="85"/>
    </row>
    <row r="142" spans="1:5" ht="18.75" customHeight="1">
      <c r="A142" s="85"/>
      <c r="B142" s="85"/>
      <c r="C142" s="85"/>
      <c r="D142" s="85"/>
      <c r="E142" s="85"/>
    </row>
    <row r="143" spans="1:5" ht="18.75" customHeight="1">
      <c r="A143" s="85"/>
      <c r="B143" s="85"/>
      <c r="C143" s="85"/>
      <c r="D143" s="85"/>
      <c r="E143" s="85"/>
    </row>
    <row r="144" spans="1:5" ht="18.75" customHeight="1">
      <c r="A144" s="85"/>
      <c r="B144" s="85"/>
      <c r="C144" s="85"/>
      <c r="D144" s="85"/>
      <c r="E144" s="85"/>
    </row>
    <row r="145" spans="1:5" ht="18.75" customHeight="1">
      <c r="A145" s="85"/>
      <c r="B145" s="85"/>
      <c r="C145" s="85"/>
      <c r="D145" s="85"/>
      <c r="E145" s="85"/>
    </row>
    <row r="146" spans="1:5" ht="18.75" customHeight="1">
      <c r="A146" s="85"/>
      <c r="B146" s="85"/>
      <c r="C146" s="85"/>
      <c r="D146" s="85"/>
      <c r="E146" s="85"/>
    </row>
    <row r="147" spans="1:5" ht="14.25">
      <c r="A147" s="85"/>
      <c r="B147" s="85"/>
      <c r="C147" s="85"/>
      <c r="D147" s="85"/>
      <c r="E147" s="85"/>
    </row>
    <row r="148" spans="1:5" ht="7.5" customHeight="1">
      <c r="A148" s="87"/>
      <c r="B148" s="87"/>
      <c r="C148" s="87"/>
      <c r="D148" s="87"/>
      <c r="E148" s="87"/>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zoomScale="85" zoomScaleNormal="85" workbookViewId="0">
      <selection activeCell="K1" sqref="K1"/>
    </sheetView>
  </sheetViews>
  <sheetFormatPr defaultColWidth="11.375" defaultRowHeight="22.5" customHeight="1"/>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0" ht="18.75" customHeight="1">
      <c r="J1" s="96" t="s">
        <v>172</v>
      </c>
    </row>
    <row r="2" spans="1:10" ht="18.75" customHeight="1">
      <c r="D2" s="96"/>
      <c r="H2" s="96" t="s">
        <v>173</v>
      </c>
      <c r="I2" s="252" t="s">
        <v>66</v>
      </c>
      <c r="J2" s="252"/>
    </row>
    <row r="3" spans="1:10" ht="18.75" customHeight="1">
      <c r="A3" s="170" t="s">
        <v>174</v>
      </c>
      <c r="B3" s="170"/>
      <c r="C3" s="170"/>
      <c r="D3" s="170"/>
      <c r="E3" s="170"/>
      <c r="F3" s="170"/>
      <c r="G3" s="170"/>
      <c r="H3" s="170"/>
      <c r="I3" s="170"/>
      <c r="J3" s="170"/>
    </row>
    <row r="4" spans="1:10" ht="7.5" customHeight="1">
      <c r="B4" s="100"/>
      <c r="C4" s="100"/>
      <c r="D4" s="253"/>
      <c r="E4" s="254"/>
      <c r="F4" s="254"/>
      <c r="G4" s="254"/>
      <c r="H4" s="254"/>
      <c r="I4" s="254"/>
      <c r="J4" s="254"/>
    </row>
    <row r="5" spans="1:10" ht="18.75" customHeight="1">
      <c r="A5" s="1" t="s">
        <v>2</v>
      </c>
      <c r="B5" s="3" t="s">
        <v>175</v>
      </c>
      <c r="C5" s="100"/>
      <c r="D5" s="100"/>
      <c r="E5" s="101"/>
      <c r="F5" s="101"/>
      <c r="G5" s="101"/>
      <c r="H5" s="101"/>
      <c r="I5" s="101"/>
      <c r="J5" s="101"/>
    </row>
    <row r="6" spans="1:10" ht="18.75" customHeight="1">
      <c r="B6" s="255" t="s">
        <v>176</v>
      </c>
      <c r="C6" s="256"/>
      <c r="D6" s="257"/>
      <c r="E6" s="258" t="s">
        <v>177</v>
      </c>
      <c r="F6" s="258"/>
      <c r="G6" s="258"/>
      <c r="H6" s="258"/>
      <c r="I6" s="258"/>
      <c r="J6" s="259"/>
    </row>
    <row r="7" spans="1:10" ht="18.75" customHeight="1">
      <c r="B7" s="4" t="s">
        <v>178</v>
      </c>
      <c r="C7" s="5"/>
      <c r="D7" s="11"/>
      <c r="E7" s="2"/>
      <c r="F7" s="2"/>
      <c r="G7" s="2"/>
      <c r="H7" s="2"/>
      <c r="I7" s="8"/>
      <c r="J7" s="9"/>
    </row>
    <row r="8" spans="1:10" ht="183.75" customHeight="1">
      <c r="B8" s="10"/>
      <c r="C8" s="237" t="s">
        <v>179</v>
      </c>
      <c r="D8" s="238"/>
      <c r="E8" s="251" t="s">
        <v>180</v>
      </c>
      <c r="F8" s="239"/>
      <c r="G8" s="239"/>
      <c r="H8" s="239"/>
      <c r="I8" s="239"/>
      <c r="J8" s="240"/>
    </row>
    <row r="9" spans="1:10" ht="202.5" customHeight="1">
      <c r="B9" s="10"/>
      <c r="C9" s="235" t="s">
        <v>181</v>
      </c>
      <c r="D9" s="236"/>
      <c r="E9" s="251" t="s">
        <v>182</v>
      </c>
      <c r="F9" s="239"/>
      <c r="G9" s="239"/>
      <c r="H9" s="239"/>
      <c r="I9" s="239"/>
      <c r="J9" s="240"/>
    </row>
    <row r="10" spans="1:10" ht="172.5" customHeight="1">
      <c r="B10" s="10"/>
      <c r="C10" s="237" t="s">
        <v>183</v>
      </c>
      <c r="D10" s="238"/>
      <c r="E10" s="251" t="s">
        <v>184</v>
      </c>
      <c r="F10" s="239"/>
      <c r="G10" s="239"/>
      <c r="H10" s="239"/>
      <c r="I10" s="239"/>
      <c r="J10" s="240"/>
    </row>
    <row r="11" spans="1:10" ht="172.5" customHeight="1">
      <c r="B11" s="10"/>
      <c r="C11" s="237" t="s">
        <v>185</v>
      </c>
      <c r="D11" s="238"/>
      <c r="E11" s="251" t="s">
        <v>184</v>
      </c>
      <c r="F11" s="239"/>
      <c r="G11" s="239"/>
      <c r="H11" s="239"/>
      <c r="I11" s="239"/>
      <c r="J11" s="240"/>
    </row>
    <row r="12" spans="1:10" ht="172.5" customHeight="1">
      <c r="B12" s="10"/>
      <c r="C12" s="237" t="s">
        <v>186</v>
      </c>
      <c r="D12" s="238"/>
      <c r="E12" s="251" t="s">
        <v>180</v>
      </c>
      <c r="F12" s="239"/>
      <c r="G12" s="239"/>
      <c r="H12" s="239"/>
      <c r="I12" s="239"/>
      <c r="J12" s="240"/>
    </row>
    <row r="13" spans="1:10" ht="18.75" customHeight="1">
      <c r="B13" s="13" t="s">
        <v>187</v>
      </c>
      <c r="C13" s="37"/>
      <c r="D13" s="12"/>
      <c r="E13" s="41"/>
      <c r="F13" s="41"/>
      <c r="G13" s="41"/>
      <c r="H13" s="41"/>
      <c r="I13" s="41"/>
      <c r="J13" s="42"/>
    </row>
    <row r="14" spans="1:10" ht="255" customHeight="1">
      <c r="B14" s="10"/>
      <c r="C14" s="237" t="s">
        <v>188</v>
      </c>
      <c r="D14" s="238"/>
      <c r="E14" s="239" t="s">
        <v>189</v>
      </c>
      <c r="F14" s="239"/>
      <c r="G14" s="239"/>
      <c r="H14" s="239"/>
      <c r="I14" s="239"/>
      <c r="J14" s="240"/>
    </row>
    <row r="15" spans="1:10" ht="279.75" customHeight="1">
      <c r="B15" s="10"/>
      <c r="C15" s="241" t="s">
        <v>190</v>
      </c>
      <c r="D15" s="242"/>
      <c r="E15" s="243" t="s">
        <v>191</v>
      </c>
      <c r="F15" s="244"/>
      <c r="G15" s="244"/>
      <c r="H15" s="244"/>
      <c r="I15" s="244"/>
      <c r="J15" s="245"/>
    </row>
    <row r="16" spans="1:10" ht="232.5" customHeight="1">
      <c r="B16" s="246" t="s">
        <v>192</v>
      </c>
      <c r="C16" s="247"/>
      <c r="D16" s="238"/>
      <c r="E16" s="239" t="s">
        <v>193</v>
      </c>
      <c r="F16" s="239"/>
      <c r="G16" s="239"/>
      <c r="H16" s="239"/>
      <c r="I16" s="239"/>
      <c r="J16" s="240"/>
    </row>
    <row r="17" spans="1:10" ht="232.5" customHeight="1">
      <c r="A17" s="40"/>
      <c r="B17" s="232" t="s">
        <v>194</v>
      </c>
      <c r="C17" s="233"/>
      <c r="D17" s="234"/>
      <c r="E17" s="251" t="s">
        <v>195</v>
      </c>
      <c r="F17" s="239"/>
      <c r="G17" s="239"/>
      <c r="H17" s="239"/>
      <c r="I17" s="239"/>
      <c r="J17" s="240"/>
    </row>
    <row r="18" spans="1:10" ht="7.5" customHeight="1">
      <c r="B18" s="100"/>
      <c r="C18" s="100"/>
      <c r="D18" s="100"/>
      <c r="E18" s="101"/>
      <c r="F18" s="101"/>
      <c r="G18" s="101"/>
      <c r="H18" s="101"/>
      <c r="I18" s="101"/>
      <c r="J18" s="101"/>
    </row>
    <row r="19" spans="1:10" ht="18.75" customHeight="1">
      <c r="B19" s="3"/>
      <c r="C19" s="100"/>
      <c r="D19" s="100"/>
      <c r="E19" s="101"/>
      <c r="F19" s="38"/>
      <c r="G19" s="38"/>
      <c r="H19" s="47" t="s">
        <v>196</v>
      </c>
      <c r="I19" s="43"/>
      <c r="J19" s="44"/>
    </row>
    <row r="20" spans="1:10" ht="18.75" customHeight="1">
      <c r="A20" s="2" t="s">
        <v>5</v>
      </c>
      <c r="B20" s="45" t="s">
        <v>197</v>
      </c>
      <c r="C20" s="46"/>
      <c r="D20" s="73"/>
      <c r="E20" s="73"/>
      <c r="F20" s="74" t="s">
        <v>198</v>
      </c>
      <c r="G20" s="75"/>
      <c r="H20" s="248" t="s">
        <v>199</v>
      </c>
      <c r="I20" s="249"/>
      <c r="J20" s="250"/>
    </row>
    <row r="21" spans="1:10" ht="14.25">
      <c r="B21" s="100"/>
      <c r="C21" s="100"/>
      <c r="D21" s="100"/>
      <c r="E21" s="101"/>
      <c r="F21" s="101"/>
      <c r="G21" s="101"/>
      <c r="H21" s="79"/>
      <c r="I21" s="101"/>
      <c r="J21" s="101"/>
    </row>
    <row r="22" spans="1:10" ht="22.5" customHeight="1">
      <c r="B22" s="100"/>
      <c r="C22" s="100"/>
      <c r="D22" s="100"/>
      <c r="E22" s="101"/>
      <c r="F22" s="101"/>
      <c r="G22" s="101"/>
      <c r="H22" s="101"/>
      <c r="I22" s="101"/>
      <c r="J22" s="101"/>
    </row>
    <row r="23" spans="1:10" ht="22.5" customHeight="1">
      <c r="B23" s="100"/>
      <c r="C23" s="100"/>
      <c r="D23" s="100"/>
      <c r="E23" s="101"/>
      <c r="F23" s="101"/>
      <c r="G23" s="101"/>
      <c r="H23" s="101"/>
      <c r="I23" s="101"/>
      <c r="J23" s="101"/>
    </row>
    <row r="24" spans="1:10" ht="22.5" customHeight="1">
      <c r="B24" s="100"/>
      <c r="C24" s="100"/>
      <c r="D24" s="100"/>
      <c r="E24" s="101"/>
      <c r="F24" s="101"/>
      <c r="G24" s="101"/>
      <c r="H24" s="101"/>
      <c r="I24" s="101"/>
      <c r="J24" s="101"/>
    </row>
    <row r="25" spans="1:10" ht="22.5" customHeight="1">
      <c r="B25" s="100"/>
      <c r="C25" s="100"/>
      <c r="D25" s="100"/>
      <c r="E25" s="101"/>
      <c r="F25" s="101"/>
      <c r="G25" s="101"/>
      <c r="H25" s="101"/>
      <c r="I25" s="101"/>
      <c r="J25" s="101"/>
    </row>
    <row r="26" spans="1:10" ht="22.5" customHeight="1">
      <c r="B26" s="7"/>
      <c r="C26" s="7"/>
      <c r="D26" s="7"/>
      <c r="E26" s="7"/>
      <c r="F26" s="7"/>
      <c r="G26" s="7"/>
      <c r="H26" s="7"/>
      <c r="I26" s="7"/>
      <c r="J26" s="7"/>
    </row>
    <row r="27" spans="1:10" ht="22.5" customHeight="1">
      <c r="B27" s="7"/>
      <c r="C27" s="7"/>
      <c r="D27" s="7"/>
      <c r="E27" s="7"/>
      <c r="F27" s="7"/>
      <c r="G27" s="7"/>
      <c r="H27" s="7"/>
      <c r="I27" s="7"/>
      <c r="J27" s="7"/>
    </row>
    <row r="28" spans="1:10" ht="22.5" customHeight="1">
      <c r="B28" s="7"/>
      <c r="C28" s="7"/>
      <c r="D28" s="7"/>
      <c r="E28" s="7"/>
      <c r="F28" s="7"/>
      <c r="G28" s="7"/>
      <c r="H28" s="7"/>
      <c r="I28" s="7"/>
      <c r="J28" s="7"/>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display="https://www.chiba-u.ac.jp/education/index.html" xr:uid="{00000000-0004-0000-05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zoomScale="85" zoomScaleNormal="85" workbookViewId="0">
      <selection activeCell="I1" sqref="I1"/>
    </sheetView>
  </sheetViews>
  <sheetFormatPr defaultColWidth="11.375" defaultRowHeight="18.75" customHeight="1"/>
  <cols>
    <col min="1" max="1" width="2.5" style="1" customWidth="1"/>
    <col min="2" max="2" width="15" style="1" customWidth="1"/>
    <col min="3" max="3" width="37.5" style="1" customWidth="1"/>
    <col min="4" max="4" width="1.125" style="1" customWidth="1"/>
    <col min="5" max="5" width="21.125" style="1" customWidth="1"/>
    <col min="6" max="6" width="8.875" style="1" customWidth="1"/>
    <col min="7" max="8" width="2.125" style="1" customWidth="1"/>
    <col min="9" max="16384" width="11.375" style="1"/>
  </cols>
  <sheetData>
    <row r="1" spans="1:6" ht="18.75" customHeight="1">
      <c r="E1" s="160" t="s">
        <v>200</v>
      </c>
      <c r="F1" s="160"/>
    </row>
    <row r="2" spans="1:6" ht="18.75" customHeight="1">
      <c r="C2" s="96" t="s">
        <v>153</v>
      </c>
      <c r="D2" s="96" t="s">
        <v>154</v>
      </c>
      <c r="E2" s="269" t="s">
        <v>66</v>
      </c>
      <c r="F2" s="269"/>
    </row>
    <row r="3" spans="1:6" ht="7.5" customHeight="1">
      <c r="C3" s="96"/>
      <c r="D3" s="96"/>
      <c r="E3" s="102"/>
      <c r="F3" s="102"/>
    </row>
    <row r="4" spans="1:6" ht="18.75" customHeight="1">
      <c r="A4" s="170" t="s">
        <v>201</v>
      </c>
      <c r="B4" s="170"/>
      <c r="C4" s="170"/>
      <c r="D4" s="170"/>
      <c r="E4" s="170"/>
      <c r="F4" s="170"/>
    </row>
    <row r="5" spans="1:6" ht="7.5" customHeight="1">
      <c r="A5" s="97"/>
      <c r="B5" s="97"/>
      <c r="C5" s="97"/>
      <c r="D5" s="97"/>
      <c r="E5" s="97"/>
      <c r="F5" s="97"/>
    </row>
    <row r="6" spans="1:6" ht="18.75" customHeight="1">
      <c r="A6" s="97" t="s">
        <v>2</v>
      </c>
      <c r="B6" s="3" t="s">
        <v>202</v>
      </c>
      <c r="C6" s="97"/>
      <c r="D6" s="97"/>
      <c r="E6" s="97"/>
      <c r="F6" s="97"/>
    </row>
    <row r="7" spans="1:6" ht="18.75" customHeight="1">
      <c r="A7" s="97"/>
      <c r="B7" s="270" t="s">
        <v>203</v>
      </c>
      <c r="C7" s="271"/>
      <c r="D7" s="271"/>
      <c r="E7" s="271"/>
      <c r="F7" s="272"/>
    </row>
    <row r="8" spans="1:6" ht="18.75" customHeight="1">
      <c r="A8" s="97"/>
      <c r="B8" s="273"/>
      <c r="C8" s="274"/>
      <c r="D8" s="274"/>
      <c r="E8" s="274"/>
      <c r="F8" s="275"/>
    </row>
    <row r="9" spans="1:6" ht="18.75" customHeight="1">
      <c r="A9" s="97"/>
      <c r="B9" s="273"/>
      <c r="C9" s="274"/>
      <c r="D9" s="274"/>
      <c r="E9" s="274"/>
      <c r="F9" s="275"/>
    </row>
    <row r="10" spans="1:6" ht="18.75" customHeight="1">
      <c r="A10" s="97"/>
      <c r="B10" s="273"/>
      <c r="C10" s="274"/>
      <c r="D10" s="274"/>
      <c r="E10" s="274"/>
      <c r="F10" s="275"/>
    </row>
    <row r="11" spans="1:6" ht="18.75" customHeight="1">
      <c r="A11" s="97"/>
      <c r="B11" s="273"/>
      <c r="C11" s="274"/>
      <c r="D11" s="274"/>
      <c r="E11" s="274"/>
      <c r="F11" s="275"/>
    </row>
    <row r="12" spans="1:6" ht="18.75" customHeight="1">
      <c r="A12" s="97"/>
      <c r="B12" s="273"/>
      <c r="C12" s="274"/>
      <c r="D12" s="274"/>
      <c r="E12" s="274"/>
      <c r="F12" s="275"/>
    </row>
    <row r="13" spans="1:6" ht="18.75" customHeight="1">
      <c r="A13" s="97"/>
      <c r="B13" s="273"/>
      <c r="C13" s="274"/>
      <c r="D13" s="274"/>
      <c r="E13" s="274"/>
      <c r="F13" s="275"/>
    </row>
    <row r="14" spans="1:6" ht="18.75" customHeight="1">
      <c r="A14" s="97"/>
      <c r="B14" s="273"/>
      <c r="C14" s="274"/>
      <c r="D14" s="274"/>
      <c r="E14" s="274"/>
      <c r="F14" s="275"/>
    </row>
    <row r="15" spans="1:6" ht="18.75" customHeight="1">
      <c r="A15" s="97"/>
      <c r="B15" s="273"/>
      <c r="C15" s="274"/>
      <c r="D15" s="274"/>
      <c r="E15" s="274"/>
      <c r="F15" s="275"/>
    </row>
    <row r="16" spans="1:6" ht="18.75" customHeight="1">
      <c r="A16" s="97"/>
      <c r="B16" s="273"/>
      <c r="C16" s="274"/>
      <c r="D16" s="274"/>
      <c r="E16" s="274"/>
      <c r="F16" s="275"/>
    </row>
    <row r="17" spans="1:6" ht="18.75" customHeight="1">
      <c r="A17" s="97"/>
      <c r="B17" s="273"/>
      <c r="C17" s="274"/>
      <c r="D17" s="274"/>
      <c r="E17" s="274"/>
      <c r="F17" s="275"/>
    </row>
    <row r="18" spans="1:6" ht="18.75" customHeight="1">
      <c r="A18" s="97"/>
      <c r="B18" s="273"/>
      <c r="C18" s="274"/>
      <c r="D18" s="274"/>
      <c r="E18" s="274"/>
      <c r="F18" s="275"/>
    </row>
    <row r="19" spans="1:6" ht="18.75" customHeight="1">
      <c r="A19" s="97"/>
      <c r="B19" s="273"/>
      <c r="C19" s="274"/>
      <c r="D19" s="274"/>
      <c r="E19" s="274"/>
      <c r="F19" s="275"/>
    </row>
    <row r="20" spans="1:6" ht="18.75" customHeight="1">
      <c r="A20" s="97"/>
      <c r="B20" s="273"/>
      <c r="C20" s="274"/>
      <c r="D20" s="274"/>
      <c r="E20" s="274"/>
      <c r="F20" s="275"/>
    </row>
    <row r="21" spans="1:6" ht="18.75" customHeight="1">
      <c r="A21" s="97"/>
      <c r="B21" s="273"/>
      <c r="C21" s="274"/>
      <c r="D21" s="274"/>
      <c r="E21" s="274"/>
      <c r="F21" s="275"/>
    </row>
    <row r="22" spans="1:6" ht="18.75" customHeight="1">
      <c r="A22" s="97"/>
      <c r="B22" s="273"/>
      <c r="C22" s="274"/>
      <c r="D22" s="274"/>
      <c r="E22" s="274"/>
      <c r="F22" s="275"/>
    </row>
    <row r="23" spans="1:6" ht="18.75" customHeight="1">
      <c r="A23" s="97"/>
      <c r="B23" s="273"/>
      <c r="C23" s="274"/>
      <c r="D23" s="274"/>
      <c r="E23" s="274"/>
      <c r="F23" s="275"/>
    </row>
    <row r="24" spans="1:6" ht="18.75" customHeight="1">
      <c r="A24" s="97"/>
      <c r="B24" s="273"/>
      <c r="C24" s="274"/>
      <c r="D24" s="274"/>
      <c r="E24" s="274"/>
      <c r="F24" s="275"/>
    </row>
    <row r="25" spans="1:6" ht="18.75" customHeight="1">
      <c r="A25" s="97"/>
      <c r="B25" s="273"/>
      <c r="C25" s="274"/>
      <c r="D25" s="274"/>
      <c r="E25" s="274"/>
      <c r="F25" s="275"/>
    </row>
    <row r="26" spans="1:6" ht="18.75" customHeight="1">
      <c r="A26" s="97"/>
      <c r="B26" s="273"/>
      <c r="C26" s="274"/>
      <c r="D26" s="274"/>
      <c r="E26" s="274"/>
      <c r="F26" s="275"/>
    </row>
    <row r="27" spans="1:6" ht="18.75" customHeight="1">
      <c r="A27" s="97"/>
      <c r="B27" s="273"/>
      <c r="C27" s="274"/>
      <c r="D27" s="274"/>
      <c r="E27" s="274"/>
      <c r="F27" s="275"/>
    </row>
    <row r="28" spans="1:6" ht="18.75" customHeight="1">
      <c r="A28" s="97"/>
      <c r="B28" s="273"/>
      <c r="C28" s="274"/>
      <c r="D28" s="274"/>
      <c r="E28" s="274"/>
      <c r="F28" s="275"/>
    </row>
    <row r="29" spans="1:6" ht="18.75" customHeight="1">
      <c r="A29" s="97"/>
      <c r="B29" s="273"/>
      <c r="C29" s="274"/>
      <c r="D29" s="274"/>
      <c r="E29" s="274"/>
      <c r="F29" s="275"/>
    </row>
    <row r="30" spans="1:6" ht="18.75" customHeight="1">
      <c r="A30" s="97"/>
      <c r="B30" s="273"/>
      <c r="C30" s="274"/>
      <c r="D30" s="274"/>
      <c r="E30" s="274"/>
      <c r="F30" s="275"/>
    </row>
    <row r="31" spans="1:6" ht="18.75" customHeight="1">
      <c r="A31" s="97"/>
      <c r="B31" s="273"/>
      <c r="C31" s="274"/>
      <c r="D31" s="274"/>
      <c r="E31" s="274"/>
      <c r="F31" s="275"/>
    </row>
    <row r="32" spans="1:6" ht="18.75" customHeight="1">
      <c r="A32" s="97"/>
      <c r="B32" s="273"/>
      <c r="C32" s="274"/>
      <c r="D32" s="274"/>
      <c r="E32" s="274"/>
      <c r="F32" s="275"/>
    </row>
    <row r="33" spans="1:6" ht="18.75" customHeight="1">
      <c r="A33" s="97"/>
      <c r="B33" s="273"/>
      <c r="C33" s="274"/>
      <c r="D33" s="274"/>
      <c r="E33" s="274"/>
      <c r="F33" s="275"/>
    </row>
    <row r="34" spans="1:6" ht="18.75" customHeight="1">
      <c r="A34" s="97"/>
      <c r="B34" s="273"/>
      <c r="C34" s="274"/>
      <c r="D34" s="274"/>
      <c r="E34" s="274"/>
      <c r="F34" s="275"/>
    </row>
    <row r="35" spans="1:6" ht="18.75" customHeight="1">
      <c r="A35" s="97"/>
      <c r="B35" s="273"/>
      <c r="C35" s="274"/>
      <c r="D35" s="274"/>
      <c r="E35" s="274"/>
      <c r="F35" s="275"/>
    </row>
    <row r="36" spans="1:6" ht="18.75" customHeight="1">
      <c r="A36" s="97"/>
      <c r="B36" s="273"/>
      <c r="C36" s="274"/>
      <c r="D36" s="274"/>
      <c r="E36" s="274"/>
      <c r="F36" s="275"/>
    </row>
    <row r="37" spans="1:6" ht="18.75" customHeight="1">
      <c r="A37" s="97"/>
      <c r="B37" s="273"/>
      <c r="C37" s="274"/>
      <c r="D37" s="274"/>
      <c r="E37" s="274"/>
      <c r="F37" s="275"/>
    </row>
    <row r="38" spans="1:6" ht="18.75" customHeight="1">
      <c r="A38" s="97"/>
      <c r="B38" s="273"/>
      <c r="C38" s="274"/>
      <c r="D38" s="274"/>
      <c r="E38" s="274"/>
      <c r="F38" s="275"/>
    </row>
    <row r="39" spans="1:6" ht="18.75" customHeight="1">
      <c r="A39" s="97"/>
      <c r="B39" s="273"/>
      <c r="C39" s="274"/>
      <c r="D39" s="274"/>
      <c r="E39" s="274"/>
      <c r="F39" s="275"/>
    </row>
    <row r="40" spans="1:6" ht="18.75" customHeight="1">
      <c r="A40" s="97"/>
      <c r="B40" s="273"/>
      <c r="C40" s="274"/>
      <c r="D40" s="274"/>
      <c r="E40" s="274"/>
      <c r="F40" s="275"/>
    </row>
    <row r="41" spans="1:6" ht="18.75" customHeight="1">
      <c r="A41" s="97"/>
      <c r="B41" s="273"/>
      <c r="C41" s="274"/>
      <c r="D41" s="274"/>
      <c r="E41" s="274"/>
      <c r="F41" s="275"/>
    </row>
    <row r="42" spans="1:6" ht="18.75" customHeight="1">
      <c r="A42" s="97"/>
      <c r="B42" s="273"/>
      <c r="C42" s="274"/>
      <c r="D42" s="274"/>
      <c r="E42" s="274"/>
      <c r="F42" s="275"/>
    </row>
    <row r="43" spans="1:6" ht="18.75" customHeight="1">
      <c r="A43" s="97"/>
      <c r="B43" s="273"/>
      <c r="C43" s="274"/>
      <c r="D43" s="274"/>
      <c r="E43" s="274"/>
      <c r="F43" s="275"/>
    </row>
    <row r="44" spans="1:6" ht="18.75" customHeight="1">
      <c r="A44" s="97"/>
      <c r="B44" s="276"/>
      <c r="C44" s="277"/>
      <c r="D44" s="277"/>
      <c r="E44" s="277"/>
      <c r="F44" s="278"/>
    </row>
    <row r="45" spans="1:6" ht="18.75" customHeight="1">
      <c r="A45" s="97" t="s">
        <v>5</v>
      </c>
      <c r="B45" s="3" t="s">
        <v>204</v>
      </c>
      <c r="C45" s="97"/>
      <c r="D45" s="97"/>
      <c r="E45" s="97"/>
      <c r="F45" s="97"/>
    </row>
    <row r="46" spans="1:6" ht="18.75" customHeight="1">
      <c r="A46" s="97"/>
      <c r="B46" s="270" t="s">
        <v>205</v>
      </c>
      <c r="C46" s="271"/>
      <c r="D46" s="271"/>
      <c r="E46" s="271"/>
      <c r="F46" s="272"/>
    </row>
    <row r="47" spans="1:6" ht="18.75" customHeight="1">
      <c r="A47" s="97"/>
      <c r="B47" s="273"/>
      <c r="C47" s="274"/>
      <c r="D47" s="274"/>
      <c r="E47" s="274"/>
      <c r="F47" s="275"/>
    </row>
    <row r="48" spans="1:6" ht="18.75" customHeight="1">
      <c r="A48" s="97"/>
      <c r="B48" s="273"/>
      <c r="C48" s="274"/>
      <c r="D48" s="274"/>
      <c r="E48" s="274"/>
      <c r="F48" s="275"/>
    </row>
    <row r="49" spans="1:6" ht="18.75" customHeight="1">
      <c r="A49" s="97"/>
      <c r="B49" s="273"/>
      <c r="C49" s="274"/>
      <c r="D49" s="274"/>
      <c r="E49" s="274"/>
      <c r="F49" s="275"/>
    </row>
    <row r="50" spans="1:6" ht="18.75" customHeight="1">
      <c r="A50" s="97"/>
      <c r="B50" s="273"/>
      <c r="C50" s="274"/>
      <c r="D50" s="274"/>
      <c r="E50" s="274"/>
      <c r="F50" s="275"/>
    </row>
    <row r="51" spans="1:6" ht="18.75" customHeight="1">
      <c r="A51" s="97"/>
      <c r="B51" s="273"/>
      <c r="C51" s="274"/>
      <c r="D51" s="274"/>
      <c r="E51" s="274"/>
      <c r="F51" s="275"/>
    </row>
    <row r="52" spans="1:6" ht="18.75" customHeight="1">
      <c r="A52" s="97"/>
      <c r="B52" s="273"/>
      <c r="C52" s="274"/>
      <c r="D52" s="274"/>
      <c r="E52" s="274"/>
      <c r="F52" s="275"/>
    </row>
    <row r="53" spans="1:6" ht="18.75" customHeight="1">
      <c r="A53" s="97"/>
      <c r="B53" s="273"/>
      <c r="C53" s="274"/>
      <c r="D53" s="274"/>
      <c r="E53" s="274"/>
      <c r="F53" s="275"/>
    </row>
    <row r="54" spans="1:6" ht="18.75" customHeight="1">
      <c r="A54" s="97"/>
      <c r="B54" s="273"/>
      <c r="C54" s="274"/>
      <c r="D54" s="274"/>
      <c r="E54" s="274"/>
      <c r="F54" s="275"/>
    </row>
    <row r="55" spans="1:6" ht="18.75" customHeight="1">
      <c r="A55" s="97"/>
      <c r="B55" s="273"/>
      <c r="C55" s="274"/>
      <c r="D55" s="274"/>
      <c r="E55" s="274"/>
      <c r="F55" s="275"/>
    </row>
    <row r="56" spans="1:6" ht="18.75" customHeight="1">
      <c r="A56" s="97"/>
      <c r="B56" s="273"/>
      <c r="C56" s="274"/>
      <c r="D56" s="274"/>
      <c r="E56" s="274"/>
      <c r="F56" s="275"/>
    </row>
    <row r="57" spans="1:6" ht="18.75" customHeight="1">
      <c r="A57" s="97"/>
      <c r="B57" s="273"/>
      <c r="C57" s="274"/>
      <c r="D57" s="274"/>
      <c r="E57" s="274"/>
      <c r="F57" s="275"/>
    </row>
    <row r="58" spans="1:6" ht="18.75" customHeight="1">
      <c r="A58" s="97"/>
      <c r="B58" s="273"/>
      <c r="C58" s="274"/>
      <c r="D58" s="274"/>
      <c r="E58" s="274"/>
      <c r="F58" s="275"/>
    </row>
    <row r="59" spans="1:6" ht="18.75" customHeight="1">
      <c r="A59" s="97"/>
      <c r="B59" s="273"/>
      <c r="C59" s="274"/>
      <c r="D59" s="274"/>
      <c r="E59" s="274"/>
      <c r="F59" s="275"/>
    </row>
    <row r="60" spans="1:6" ht="18.75" customHeight="1">
      <c r="A60" s="97"/>
      <c r="B60" s="273"/>
      <c r="C60" s="274"/>
      <c r="D60" s="274"/>
      <c r="E60" s="274"/>
      <c r="F60" s="275"/>
    </row>
    <row r="61" spans="1:6" ht="18.75" customHeight="1">
      <c r="A61" s="97"/>
      <c r="B61" s="273"/>
      <c r="C61" s="274"/>
      <c r="D61" s="274"/>
      <c r="E61" s="274"/>
      <c r="F61" s="275"/>
    </row>
    <row r="62" spans="1:6" ht="18.75" customHeight="1">
      <c r="A62" s="97"/>
      <c r="B62" s="273"/>
      <c r="C62" s="274"/>
      <c r="D62" s="274"/>
      <c r="E62" s="274"/>
      <c r="F62" s="275"/>
    </row>
    <row r="63" spans="1:6" ht="18.75" customHeight="1">
      <c r="A63" s="97"/>
      <c r="B63" s="273"/>
      <c r="C63" s="274"/>
      <c r="D63" s="274"/>
      <c r="E63" s="274"/>
      <c r="F63" s="275"/>
    </row>
    <row r="64" spans="1:6" ht="18.75" customHeight="1">
      <c r="A64" s="97"/>
      <c r="B64" s="273"/>
      <c r="C64" s="274"/>
      <c r="D64" s="274"/>
      <c r="E64" s="274"/>
      <c r="F64" s="275"/>
    </row>
    <row r="65" spans="1:6" ht="18.75" customHeight="1">
      <c r="A65" s="97"/>
      <c r="B65" s="273"/>
      <c r="C65" s="274"/>
      <c r="D65" s="274"/>
      <c r="E65" s="274"/>
      <c r="F65" s="275"/>
    </row>
    <row r="66" spans="1:6" ht="18.75" customHeight="1">
      <c r="A66" s="97"/>
      <c r="B66" s="273"/>
      <c r="C66" s="274"/>
      <c r="D66" s="274"/>
      <c r="E66" s="274"/>
      <c r="F66" s="275"/>
    </row>
    <row r="67" spans="1:6" ht="18.75" customHeight="1">
      <c r="A67" s="97"/>
      <c r="B67" s="273"/>
      <c r="C67" s="274"/>
      <c r="D67" s="274"/>
      <c r="E67" s="274"/>
      <c r="F67" s="275"/>
    </row>
    <row r="68" spans="1:6" ht="18.75" customHeight="1">
      <c r="A68" s="97"/>
      <c r="B68" s="273"/>
      <c r="C68" s="274"/>
      <c r="D68" s="274"/>
      <c r="E68" s="274"/>
      <c r="F68" s="275"/>
    </row>
    <row r="69" spans="1:6" ht="18.75" customHeight="1">
      <c r="A69" s="97"/>
      <c r="B69" s="273"/>
      <c r="C69" s="274"/>
      <c r="D69" s="274"/>
      <c r="E69" s="274"/>
      <c r="F69" s="275"/>
    </row>
    <row r="70" spans="1:6" ht="18.75" customHeight="1">
      <c r="A70" s="97"/>
      <c r="B70" s="273"/>
      <c r="C70" s="274"/>
      <c r="D70" s="274"/>
      <c r="E70" s="274"/>
      <c r="F70" s="275"/>
    </row>
    <row r="71" spans="1:6" ht="18.75" customHeight="1">
      <c r="A71" s="97"/>
      <c r="B71" s="273"/>
      <c r="C71" s="274"/>
      <c r="D71" s="274"/>
      <c r="E71" s="274"/>
      <c r="F71" s="275"/>
    </row>
    <row r="72" spans="1:6" ht="18.75" customHeight="1">
      <c r="A72" s="97"/>
      <c r="B72" s="273"/>
      <c r="C72" s="274"/>
      <c r="D72" s="274"/>
      <c r="E72" s="274"/>
      <c r="F72" s="275"/>
    </row>
    <row r="73" spans="1:6" ht="18.75" customHeight="1">
      <c r="A73" s="97"/>
      <c r="B73" s="273"/>
      <c r="C73" s="274"/>
      <c r="D73" s="274"/>
      <c r="E73" s="274"/>
      <c r="F73" s="275"/>
    </row>
    <row r="74" spans="1:6" ht="18.75" customHeight="1">
      <c r="A74" s="97"/>
      <c r="B74" s="273"/>
      <c r="C74" s="274"/>
      <c r="D74" s="274"/>
      <c r="E74" s="274"/>
      <c r="F74" s="275"/>
    </row>
    <row r="75" spans="1:6" ht="18.75" customHeight="1">
      <c r="A75" s="97"/>
      <c r="B75" s="273"/>
      <c r="C75" s="274"/>
      <c r="D75" s="274"/>
      <c r="E75" s="274"/>
      <c r="F75" s="275"/>
    </row>
    <row r="76" spans="1:6" ht="18.75" customHeight="1">
      <c r="A76" s="97"/>
      <c r="B76" s="273"/>
      <c r="C76" s="274"/>
      <c r="D76" s="274"/>
      <c r="E76" s="274"/>
      <c r="F76" s="275"/>
    </row>
    <row r="77" spans="1:6" ht="18.75" customHeight="1">
      <c r="A77" s="97"/>
      <c r="B77" s="273"/>
      <c r="C77" s="274"/>
      <c r="D77" s="274"/>
      <c r="E77" s="274"/>
      <c r="F77" s="275"/>
    </row>
    <row r="78" spans="1:6" ht="18.75" customHeight="1">
      <c r="A78" s="97"/>
      <c r="B78" s="273"/>
      <c r="C78" s="274"/>
      <c r="D78" s="274"/>
      <c r="E78" s="274"/>
      <c r="F78" s="275"/>
    </row>
    <row r="79" spans="1:6" ht="18.75" customHeight="1">
      <c r="A79" s="97"/>
      <c r="B79" s="273"/>
      <c r="C79" s="274"/>
      <c r="D79" s="274"/>
      <c r="E79" s="274"/>
      <c r="F79" s="275"/>
    </row>
    <row r="80" spans="1:6" ht="18.75" customHeight="1">
      <c r="A80" s="97"/>
      <c r="B80" s="273"/>
      <c r="C80" s="274"/>
      <c r="D80" s="274"/>
      <c r="E80" s="274"/>
      <c r="F80" s="275"/>
    </row>
    <row r="81" spans="1:6" ht="18.75" customHeight="1">
      <c r="A81" s="97"/>
      <c r="B81" s="273"/>
      <c r="C81" s="274"/>
      <c r="D81" s="274"/>
      <c r="E81" s="274"/>
      <c r="F81" s="275"/>
    </row>
    <row r="82" spans="1:6" ht="18.75" customHeight="1">
      <c r="A82" s="97"/>
      <c r="B82" s="273"/>
      <c r="C82" s="274"/>
      <c r="D82" s="274"/>
      <c r="E82" s="274"/>
      <c r="F82" s="275"/>
    </row>
    <row r="83" spans="1:6" ht="18.75" customHeight="1">
      <c r="A83" s="97"/>
      <c r="B83" s="273"/>
      <c r="C83" s="274"/>
      <c r="D83" s="274"/>
      <c r="E83" s="274"/>
      <c r="F83" s="275"/>
    </row>
    <row r="84" spans="1:6" ht="18.75" customHeight="1">
      <c r="A84" s="97"/>
      <c r="B84" s="273"/>
      <c r="C84" s="274"/>
      <c r="D84" s="274"/>
      <c r="E84" s="274"/>
      <c r="F84" s="275"/>
    </row>
    <row r="85" spans="1:6" ht="18.75" customHeight="1">
      <c r="A85" s="97"/>
      <c r="B85" s="273"/>
      <c r="C85" s="274"/>
      <c r="D85" s="274"/>
      <c r="E85" s="274"/>
      <c r="F85" s="275"/>
    </row>
    <row r="86" spans="1:6" ht="18.75" customHeight="1">
      <c r="A86" s="97"/>
      <c r="B86" s="273"/>
      <c r="C86" s="274"/>
      <c r="D86" s="274"/>
      <c r="E86" s="274"/>
      <c r="F86" s="275"/>
    </row>
    <row r="87" spans="1:6" ht="18.75" customHeight="1">
      <c r="A87" s="97"/>
      <c r="B87" s="276"/>
      <c r="C87" s="277"/>
      <c r="D87" s="277"/>
      <c r="E87" s="277"/>
      <c r="F87" s="278"/>
    </row>
    <row r="88" spans="1:6" s="6" customFormat="1" ht="18.75" customHeight="1">
      <c r="A88" s="3" t="s">
        <v>8</v>
      </c>
      <c r="B88" s="3" t="s">
        <v>206</v>
      </c>
      <c r="C88" s="3"/>
      <c r="D88" s="3"/>
      <c r="E88" s="3"/>
      <c r="F88" s="3"/>
    </row>
    <row r="89" spans="1:6" ht="18.75" customHeight="1">
      <c r="A89" s="97"/>
      <c r="B89" s="260" t="s">
        <v>207</v>
      </c>
      <c r="C89" s="261"/>
      <c r="D89" s="261"/>
      <c r="E89" s="261"/>
      <c r="F89" s="262"/>
    </row>
    <row r="90" spans="1:6" ht="18.75" customHeight="1">
      <c r="A90" s="97"/>
      <c r="B90" s="263"/>
      <c r="C90" s="264"/>
      <c r="D90" s="264"/>
      <c r="E90" s="264"/>
      <c r="F90" s="265"/>
    </row>
    <row r="91" spans="1:6" ht="18.75" customHeight="1">
      <c r="A91" s="97"/>
      <c r="B91" s="263"/>
      <c r="C91" s="264"/>
      <c r="D91" s="264"/>
      <c r="E91" s="264"/>
      <c r="F91" s="265"/>
    </row>
    <row r="92" spans="1:6" ht="18.75" customHeight="1">
      <c r="A92" s="97"/>
      <c r="B92" s="263"/>
      <c r="C92" s="264"/>
      <c r="D92" s="264"/>
      <c r="E92" s="264"/>
      <c r="F92" s="265"/>
    </row>
    <row r="93" spans="1:6" ht="18.75" customHeight="1">
      <c r="A93" s="97"/>
      <c r="B93" s="263"/>
      <c r="C93" s="264"/>
      <c r="D93" s="264"/>
      <c r="E93" s="264"/>
      <c r="F93" s="265"/>
    </row>
    <row r="94" spans="1:6" ht="18.75" customHeight="1">
      <c r="A94" s="97"/>
      <c r="B94" s="263"/>
      <c r="C94" s="264"/>
      <c r="D94" s="264"/>
      <c r="E94" s="264"/>
      <c r="F94" s="265"/>
    </row>
    <row r="95" spans="1:6" ht="18.75" customHeight="1">
      <c r="A95" s="97"/>
      <c r="B95" s="263"/>
      <c r="C95" s="264"/>
      <c r="D95" s="264"/>
      <c r="E95" s="264"/>
      <c r="F95" s="265"/>
    </row>
    <row r="96" spans="1:6" ht="18.75" customHeight="1">
      <c r="A96" s="97"/>
      <c r="B96" s="263"/>
      <c r="C96" s="264"/>
      <c r="D96" s="264"/>
      <c r="E96" s="264"/>
      <c r="F96" s="265"/>
    </row>
    <row r="97" spans="1:6" ht="18.75" customHeight="1">
      <c r="A97" s="97"/>
      <c r="B97" s="263"/>
      <c r="C97" s="264"/>
      <c r="D97" s="264"/>
      <c r="E97" s="264"/>
      <c r="F97" s="265"/>
    </row>
    <row r="98" spans="1:6" ht="18.75" customHeight="1">
      <c r="A98" s="97"/>
      <c r="B98" s="263"/>
      <c r="C98" s="264"/>
      <c r="D98" s="264"/>
      <c r="E98" s="264"/>
      <c r="F98" s="265"/>
    </row>
    <row r="99" spans="1:6" ht="18.75" customHeight="1">
      <c r="A99" s="97"/>
      <c r="B99" s="263"/>
      <c r="C99" s="264"/>
      <c r="D99" s="264"/>
      <c r="E99" s="264"/>
      <c r="F99" s="265"/>
    </row>
    <row r="100" spans="1:6" ht="18.75" customHeight="1">
      <c r="A100" s="97"/>
      <c r="B100" s="263"/>
      <c r="C100" s="264"/>
      <c r="D100" s="264"/>
      <c r="E100" s="264"/>
      <c r="F100" s="265"/>
    </row>
    <row r="101" spans="1:6" ht="18.75" customHeight="1">
      <c r="A101" s="97"/>
      <c r="B101" s="263"/>
      <c r="C101" s="264"/>
      <c r="D101" s="264"/>
      <c r="E101" s="264"/>
      <c r="F101" s="265"/>
    </row>
    <row r="102" spans="1:6" ht="18.75" customHeight="1">
      <c r="A102" s="97"/>
      <c r="B102" s="263"/>
      <c r="C102" s="264"/>
      <c r="D102" s="264"/>
      <c r="E102" s="264"/>
      <c r="F102" s="265"/>
    </row>
    <row r="103" spans="1:6" ht="18.75" customHeight="1">
      <c r="A103" s="97"/>
      <c r="B103" s="263"/>
      <c r="C103" s="264"/>
      <c r="D103" s="264"/>
      <c r="E103" s="264"/>
      <c r="F103" s="265"/>
    </row>
    <row r="104" spans="1:6" ht="18.75" customHeight="1">
      <c r="A104" s="97"/>
      <c r="B104" s="263"/>
      <c r="C104" s="264"/>
      <c r="D104" s="264"/>
      <c r="E104" s="264"/>
      <c r="F104" s="265"/>
    </row>
    <row r="105" spans="1:6" ht="18.75" customHeight="1">
      <c r="A105" s="97"/>
      <c r="B105" s="263"/>
      <c r="C105" s="264"/>
      <c r="D105" s="264"/>
      <c r="E105" s="264"/>
      <c r="F105" s="265"/>
    </row>
    <row r="106" spans="1:6" ht="18.75" customHeight="1">
      <c r="A106" s="97"/>
      <c r="B106" s="263"/>
      <c r="C106" s="264"/>
      <c r="D106" s="264"/>
      <c r="E106" s="264"/>
      <c r="F106" s="265"/>
    </row>
    <row r="107" spans="1:6" ht="18.75" customHeight="1">
      <c r="A107" s="97"/>
      <c r="B107" s="263"/>
      <c r="C107" s="264"/>
      <c r="D107" s="264"/>
      <c r="E107" s="264"/>
      <c r="F107" s="265"/>
    </row>
    <row r="108" spans="1:6" ht="18.75" customHeight="1">
      <c r="A108" s="97"/>
      <c r="B108" s="263"/>
      <c r="C108" s="264"/>
      <c r="D108" s="264"/>
      <c r="E108" s="264"/>
      <c r="F108" s="265"/>
    </row>
    <row r="109" spans="1:6" ht="18.75" customHeight="1">
      <c r="A109" s="97"/>
      <c r="B109" s="263"/>
      <c r="C109" s="264"/>
      <c r="D109" s="264"/>
      <c r="E109" s="264"/>
      <c r="F109" s="265"/>
    </row>
    <row r="110" spans="1:6" ht="18.75" customHeight="1">
      <c r="A110" s="97"/>
      <c r="B110" s="263"/>
      <c r="C110" s="264"/>
      <c r="D110" s="264"/>
      <c r="E110" s="264"/>
      <c r="F110" s="265"/>
    </row>
    <row r="111" spans="1:6" ht="18.75" customHeight="1">
      <c r="A111" s="97"/>
      <c r="B111" s="263"/>
      <c r="C111" s="264"/>
      <c r="D111" s="264"/>
      <c r="E111" s="264"/>
      <c r="F111" s="265"/>
    </row>
    <row r="112" spans="1:6" ht="18.75" customHeight="1">
      <c r="A112" s="97"/>
      <c r="B112" s="263"/>
      <c r="C112" s="264"/>
      <c r="D112" s="264"/>
      <c r="E112" s="264"/>
      <c r="F112" s="265"/>
    </row>
    <row r="113" spans="1:6" ht="18.75" customHeight="1">
      <c r="A113" s="97"/>
      <c r="B113" s="263"/>
      <c r="C113" s="264"/>
      <c r="D113" s="264"/>
      <c r="E113" s="264"/>
      <c r="F113" s="265"/>
    </row>
    <row r="114" spans="1:6" ht="18.75" customHeight="1">
      <c r="A114" s="97"/>
      <c r="B114" s="263"/>
      <c r="C114" s="264"/>
      <c r="D114" s="264"/>
      <c r="E114" s="264"/>
      <c r="F114" s="265"/>
    </row>
    <row r="115" spans="1:6" ht="18.75" customHeight="1">
      <c r="A115" s="97"/>
      <c r="B115" s="263"/>
      <c r="C115" s="264"/>
      <c r="D115" s="264"/>
      <c r="E115" s="264"/>
      <c r="F115" s="265"/>
    </row>
    <row r="116" spans="1:6" ht="18.75" customHeight="1">
      <c r="A116" s="97"/>
      <c r="B116" s="263"/>
      <c r="C116" s="264"/>
      <c r="D116" s="264"/>
      <c r="E116" s="264"/>
      <c r="F116" s="265"/>
    </row>
    <row r="117" spans="1:6" ht="18.75" customHeight="1">
      <c r="A117" s="97"/>
      <c r="B117" s="263"/>
      <c r="C117" s="264"/>
      <c r="D117" s="264"/>
      <c r="E117" s="264"/>
      <c r="F117" s="265"/>
    </row>
    <row r="118" spans="1:6" ht="18.75" customHeight="1">
      <c r="A118" s="97"/>
      <c r="B118" s="263"/>
      <c r="C118" s="264"/>
      <c r="D118" s="264"/>
      <c r="E118" s="264"/>
      <c r="F118" s="265"/>
    </row>
    <row r="119" spans="1:6" ht="18.75" customHeight="1">
      <c r="A119" s="97"/>
      <c r="B119" s="263"/>
      <c r="C119" s="264"/>
      <c r="D119" s="264"/>
      <c r="E119" s="264"/>
      <c r="F119" s="265"/>
    </row>
    <row r="120" spans="1:6" ht="18.75" customHeight="1">
      <c r="A120" s="97"/>
      <c r="B120" s="263"/>
      <c r="C120" s="264"/>
      <c r="D120" s="264"/>
      <c r="E120" s="264"/>
      <c r="F120" s="265"/>
    </row>
    <row r="121" spans="1:6" ht="18.75" customHeight="1">
      <c r="A121" s="97"/>
      <c r="B121" s="263"/>
      <c r="C121" s="264"/>
      <c r="D121" s="264"/>
      <c r="E121" s="264"/>
      <c r="F121" s="265"/>
    </row>
    <row r="122" spans="1:6" ht="18.75" customHeight="1">
      <c r="A122" s="97"/>
      <c r="B122" s="263"/>
      <c r="C122" s="264"/>
      <c r="D122" s="264"/>
      <c r="E122" s="264"/>
      <c r="F122" s="265"/>
    </row>
    <row r="123" spans="1:6" ht="18.75" customHeight="1">
      <c r="A123" s="97"/>
      <c r="B123" s="263"/>
      <c r="C123" s="264"/>
      <c r="D123" s="264"/>
      <c r="E123" s="264"/>
      <c r="F123" s="265"/>
    </row>
    <row r="124" spans="1:6" ht="18.75" customHeight="1">
      <c r="A124" s="97"/>
      <c r="B124" s="263"/>
      <c r="C124" s="264"/>
      <c r="D124" s="264"/>
      <c r="E124" s="264"/>
      <c r="F124" s="265"/>
    </row>
    <row r="125" spans="1:6" ht="18.75" customHeight="1">
      <c r="A125" s="97"/>
      <c r="B125" s="263"/>
      <c r="C125" s="264"/>
      <c r="D125" s="264"/>
      <c r="E125" s="264"/>
      <c r="F125" s="265"/>
    </row>
    <row r="126" spans="1:6" ht="18.75" customHeight="1">
      <c r="A126" s="97"/>
      <c r="B126" s="263"/>
      <c r="C126" s="264"/>
      <c r="D126" s="264"/>
      <c r="E126" s="264"/>
      <c r="F126" s="265"/>
    </row>
    <row r="127" spans="1:6" ht="18.75" customHeight="1">
      <c r="A127" s="97"/>
      <c r="B127" s="263"/>
      <c r="C127" s="264"/>
      <c r="D127" s="264"/>
      <c r="E127" s="264"/>
      <c r="F127" s="265"/>
    </row>
    <row r="128" spans="1:6" ht="18.75" customHeight="1">
      <c r="A128" s="97"/>
      <c r="B128" s="263"/>
      <c r="C128" s="264"/>
      <c r="D128" s="264"/>
      <c r="E128" s="264"/>
      <c r="F128" s="265"/>
    </row>
    <row r="129" spans="1:6" ht="18.75" customHeight="1">
      <c r="A129" s="97"/>
      <c r="B129" s="263"/>
      <c r="C129" s="264"/>
      <c r="D129" s="264"/>
      <c r="E129" s="264"/>
      <c r="F129" s="265"/>
    </row>
    <row r="130" spans="1:6" ht="18.75" customHeight="1">
      <c r="A130" s="97"/>
      <c r="B130" s="266"/>
      <c r="C130" s="267"/>
      <c r="D130" s="267"/>
      <c r="E130" s="267"/>
      <c r="F130" s="268"/>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2022-02-22T09:53:32Z</dcterms:modified>
  <cp:category/>
  <cp:contentStatus/>
</cp:coreProperties>
</file>