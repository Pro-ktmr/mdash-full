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17"/>
  <workbookPr defaultThemeVersion="124226"/>
  <mc:AlternateContent xmlns:mc="http://schemas.openxmlformats.org/markup-compatibility/2006">
    <mc:Choice Requires="x15">
      <x15ac:absPath xmlns:x15ac="http://schemas.microsoft.com/office/spreadsheetml/2010/11/ac" url="https://univtokyo-my.sharepoint.com/personal/9662322915_utac_u-tokyo_ac_jp/Documents/デスクトップ/認定制度への対応/20210714_文科省修正依頼_認定制度リテラシー/"/>
    </mc:Choice>
  </mc:AlternateContent>
  <xr:revisionPtr revIDLastSave="126" documentId="8_{74E1B03D-D87B-487A-A853-E3A8CD417D82}" xr6:coauthVersionLast="47" xr6:coauthVersionMax="47" xr10:uidLastSave="{ECE42AEE-F602-4541-820A-CD561F6E4062}"/>
  <bookViews>
    <workbookView xWindow="-120" yWindow="-120" windowWidth="29040" windowHeight="15840" tabRatio="885" firstSheet="5" activeTab="5" xr2:uid="{00000000-000D-0000-FFFF-FFFF00000000}"/>
  </bookViews>
  <sheets>
    <sheet name="様式１　大学等概要" sheetId="8" r:id="rId1"/>
    <sheet name="様式２　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sheetId="36"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4">'様式５　教育の質・履修者数を向上させるための体制・計画'!$A$1:$E$134</definedName>
    <definedName name="_xlnm.Print_Area" localSheetId="5">'様式６　自己点検・評価'!$A$1:$J$20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8" i="31" l="1"/>
  <c r="R8" i="31"/>
  <c r="Q16" i="31" l="1"/>
  <c r="R16" i="31" s="1"/>
  <c r="P28" i="31" l="1"/>
  <c r="O28" i="31"/>
  <c r="N28" i="31"/>
  <c r="M28" i="31"/>
  <c r="L28" i="31"/>
  <c r="K28" i="31"/>
  <c r="J28" i="31"/>
  <c r="I28" i="31"/>
  <c r="H28" i="31"/>
  <c r="G28" i="31"/>
  <c r="F28" i="31"/>
  <c r="E28" i="31"/>
  <c r="D28" i="31"/>
  <c r="Q18" i="31"/>
  <c r="R18" i="31" s="1"/>
  <c r="Q17" i="31"/>
  <c r="R17" i="31" s="1"/>
  <c r="Q15" i="31"/>
  <c r="R15" i="31" s="1"/>
  <c r="Q14" i="31"/>
  <c r="R14" i="31" s="1"/>
  <c r="Q13" i="31"/>
  <c r="R13" i="31" s="1"/>
  <c r="Q12" i="31"/>
  <c r="R12" i="31" s="1"/>
  <c r="Q11" i="31"/>
  <c r="R11" i="31" s="1"/>
  <c r="Q10" i="31"/>
  <c r="R10" i="31" s="1"/>
  <c r="Q9" i="31"/>
  <c r="R9" i="31" s="1"/>
  <c r="Q28" i="31" l="1"/>
  <c r="R28" i="31" s="1"/>
</calcChain>
</file>

<file path=xl/sharedStrings.xml><?xml version="1.0" encoding="utf-8"?>
<sst xmlns="http://schemas.openxmlformats.org/spreadsheetml/2006/main" count="266" uniqueCount="192">
  <si>
    <t>様式１</t>
    <rPh sb="0" eb="2">
      <t>ヨウシキ</t>
    </rPh>
    <phoneticPr fontId="2"/>
  </si>
  <si>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2"/>
  </si>
  <si>
    <t>①</t>
    <phoneticPr fontId="2"/>
  </si>
  <si>
    <t>学校名</t>
    <rPh sb="0" eb="2">
      <t>ガッコウ</t>
    </rPh>
    <rPh sb="2" eb="3">
      <t>メイ</t>
    </rPh>
    <phoneticPr fontId="2"/>
  </si>
  <si>
    <t>東京大学</t>
    <rPh sb="0" eb="4">
      <t>トウキョウダイガク</t>
    </rPh>
    <phoneticPr fontId="2"/>
  </si>
  <si>
    <t>②</t>
    <phoneticPr fontId="2"/>
  </si>
  <si>
    <t>大学等の設置者</t>
  </si>
  <si>
    <t>国立大学法人東京大学</t>
    <phoneticPr fontId="2"/>
  </si>
  <si>
    <t>③</t>
    <phoneticPr fontId="2"/>
  </si>
  <si>
    <t>設置形態</t>
  </si>
  <si>
    <t>国立大学</t>
  </si>
  <si>
    <t>④</t>
    <phoneticPr fontId="2"/>
  </si>
  <si>
    <t>所在地</t>
    <phoneticPr fontId="2"/>
  </si>
  <si>
    <t>東京都文京区本郷7丁目3番1号</t>
    <phoneticPr fontId="2"/>
  </si>
  <si>
    <t>⑤</t>
    <phoneticPr fontId="2"/>
  </si>
  <si>
    <t>申請するプログラム又は授業科目名称</t>
    <rPh sb="0" eb="2">
      <t>シンセイ</t>
    </rPh>
    <rPh sb="9" eb="10">
      <t>マタ</t>
    </rPh>
    <rPh sb="11" eb="13">
      <t>ジュギョウ</t>
    </rPh>
    <rPh sb="13" eb="15">
      <t>カモク</t>
    </rPh>
    <rPh sb="15" eb="17">
      <t>メイショウ</t>
    </rPh>
    <phoneticPr fontId="2"/>
  </si>
  <si>
    <t>数理・データサイエンス・AI教育リテラシープログラム</t>
    <rPh sb="0" eb="2">
      <t>スウリ</t>
    </rPh>
    <rPh sb="14" eb="16">
      <t>キョウイク</t>
    </rPh>
    <phoneticPr fontId="2"/>
  </si>
  <si>
    <t>⑥</t>
    <phoneticPr fontId="2"/>
  </si>
  <si>
    <t>プログラムの開設年度</t>
    <rPh sb="6" eb="8">
      <t>カイセツ</t>
    </rPh>
    <rPh sb="8" eb="10">
      <t>ネンド</t>
    </rPh>
    <phoneticPr fontId="2"/>
  </si>
  <si>
    <t>2020年度</t>
    <rPh sb="4" eb="6">
      <t>ネンド</t>
    </rPh>
    <phoneticPr fontId="2"/>
  </si>
  <si>
    <t>⑦</t>
    <phoneticPr fontId="2"/>
  </si>
  <si>
    <t>教員数</t>
    <rPh sb="0" eb="2">
      <t>キョウイン</t>
    </rPh>
    <rPh sb="2" eb="3">
      <t>スウ</t>
    </rPh>
    <phoneticPr fontId="2"/>
  </si>
  <si>
    <t>（常勤）</t>
    <rPh sb="1" eb="3">
      <t>ジョウキン</t>
    </rPh>
    <phoneticPr fontId="2"/>
  </si>
  <si>
    <t>人</t>
    <rPh sb="0" eb="1">
      <t>ニン</t>
    </rPh>
    <phoneticPr fontId="2"/>
  </si>
  <si>
    <t>（非常勤）</t>
    <rPh sb="1" eb="4">
      <t>ヒジョウキン</t>
    </rPh>
    <phoneticPr fontId="2"/>
  </si>
  <si>
    <t>⑧</t>
    <phoneticPr fontId="2"/>
  </si>
  <si>
    <t>プログラムの授業を教えている教員数</t>
    <rPh sb="6" eb="8">
      <t>ジュギョウ</t>
    </rPh>
    <rPh sb="9" eb="10">
      <t>オシ</t>
    </rPh>
    <rPh sb="14" eb="16">
      <t>キョウイン</t>
    </rPh>
    <rPh sb="16" eb="17">
      <t>スウ</t>
    </rPh>
    <phoneticPr fontId="2"/>
  </si>
  <si>
    <t>⑨</t>
    <phoneticPr fontId="2"/>
  </si>
  <si>
    <t>全学部・学科の入学定員</t>
    <rPh sb="0" eb="1">
      <t>ゼン</t>
    </rPh>
    <rPh sb="4" eb="6">
      <t>ガッカ</t>
    </rPh>
    <rPh sb="7" eb="9">
      <t>ニュウガク</t>
    </rPh>
    <rPh sb="9" eb="11">
      <t>テイイン</t>
    </rPh>
    <phoneticPr fontId="2"/>
  </si>
  <si>
    <t>人</t>
  </si>
  <si>
    <t>⑩</t>
    <phoneticPr fontId="2"/>
  </si>
  <si>
    <t>全学部・学科の学生数（学年別）</t>
    <rPh sb="0" eb="1">
      <t>ゼン</t>
    </rPh>
    <rPh sb="4" eb="6">
      <t>ガッカ</t>
    </rPh>
    <rPh sb="7" eb="10">
      <t>ガクセイスウ</t>
    </rPh>
    <rPh sb="11" eb="13">
      <t>ガクネン</t>
    </rPh>
    <rPh sb="13" eb="14">
      <t>ベツ</t>
    </rPh>
    <phoneticPr fontId="2"/>
  </si>
  <si>
    <t>総数</t>
    <rPh sb="0" eb="2">
      <t>ソウスウ</t>
    </rPh>
    <phoneticPr fontId="2"/>
  </si>
  <si>
    <t>１年次</t>
    <rPh sb="1" eb="2">
      <t>ネン</t>
    </rPh>
    <rPh sb="2" eb="3">
      <t>ツギ</t>
    </rPh>
    <phoneticPr fontId="2"/>
  </si>
  <si>
    <t>２年次</t>
    <rPh sb="1" eb="2">
      <t>ネン</t>
    </rPh>
    <rPh sb="2" eb="3">
      <t>ツギ</t>
    </rPh>
    <phoneticPr fontId="2"/>
  </si>
  <si>
    <t>３年次</t>
    <rPh sb="1" eb="2">
      <t>ネン</t>
    </rPh>
    <rPh sb="2" eb="3">
      <t>ツギ</t>
    </rPh>
    <phoneticPr fontId="2"/>
  </si>
  <si>
    <t>４年次</t>
    <rPh sb="1" eb="2">
      <t>ネン</t>
    </rPh>
    <rPh sb="2" eb="3">
      <t>ツギ</t>
    </rPh>
    <phoneticPr fontId="2"/>
  </si>
  <si>
    <t>５年次</t>
    <rPh sb="1" eb="2">
      <t>ネン</t>
    </rPh>
    <rPh sb="2" eb="3">
      <t>ツギ</t>
    </rPh>
    <phoneticPr fontId="2"/>
  </si>
  <si>
    <t>６年次</t>
    <rPh sb="1" eb="2">
      <t>ネン</t>
    </rPh>
    <rPh sb="2" eb="3">
      <t>ツギ</t>
    </rPh>
    <phoneticPr fontId="2"/>
  </si>
  <si>
    <t>⑪</t>
    <phoneticPr fontId="2"/>
  </si>
  <si>
    <t>プログラムの運営責任者</t>
    <phoneticPr fontId="2"/>
  </si>
  <si>
    <t>（責任者名）</t>
    <rPh sb="1" eb="4">
      <t>セキニンシャ</t>
    </rPh>
    <rPh sb="4" eb="5">
      <t>メイ</t>
    </rPh>
    <phoneticPr fontId="2"/>
  </si>
  <si>
    <t>萩谷　昌己　</t>
    <phoneticPr fontId="2"/>
  </si>
  <si>
    <t>（役職名）</t>
    <rPh sb="1" eb="4">
      <t>ヤクショクメイ</t>
    </rPh>
    <phoneticPr fontId="2"/>
  </si>
  <si>
    <t>教授</t>
    <rPh sb="0" eb="2">
      <t>キョウジュ</t>
    </rPh>
    <phoneticPr fontId="2"/>
  </si>
  <si>
    <t>⑫</t>
    <phoneticPr fontId="2"/>
  </si>
  <si>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2"/>
  </si>
  <si>
    <t>情報教育運営委員会</t>
    <rPh sb="0" eb="2">
      <t>ジョウホウ</t>
    </rPh>
    <rPh sb="2" eb="4">
      <t>キョウイク</t>
    </rPh>
    <rPh sb="4" eb="6">
      <t>ウンエイ</t>
    </rPh>
    <rPh sb="6" eb="9">
      <t>イインカイ</t>
    </rPh>
    <phoneticPr fontId="2"/>
  </si>
  <si>
    <t>萩谷　昌己　</t>
    <rPh sb="0" eb="2">
      <t>ハギヤ</t>
    </rPh>
    <rPh sb="3" eb="4">
      <t>アキラ</t>
    </rPh>
    <rPh sb="4" eb="5">
      <t>オノレ</t>
    </rPh>
    <phoneticPr fontId="2"/>
  </si>
  <si>
    <t>委員長</t>
    <rPh sb="0" eb="3">
      <t>イインチョウ</t>
    </rPh>
    <phoneticPr fontId="2"/>
  </si>
  <si>
    <t>⑬</t>
    <phoneticPr fontId="2"/>
  </si>
  <si>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2"/>
  </si>
  <si>
    <t>⑭</t>
    <phoneticPr fontId="2"/>
  </si>
  <si>
    <t>申請する認定プログラム</t>
    <rPh sb="0" eb="2">
      <t>シンセイ</t>
    </rPh>
    <rPh sb="4" eb="6">
      <t>ニンテイ</t>
    </rPh>
    <phoneticPr fontId="2"/>
  </si>
  <si>
    <t>認定教育プログラム</t>
  </si>
  <si>
    <t>連絡先</t>
    <rPh sb="0" eb="3">
      <t>レンラクサキ</t>
    </rPh>
    <phoneticPr fontId="2"/>
  </si>
  <si>
    <t>所属部署名</t>
    <rPh sb="0" eb="2">
      <t>ショゾク</t>
    </rPh>
    <rPh sb="2" eb="4">
      <t>ブショ</t>
    </rPh>
    <rPh sb="4" eb="5">
      <t>メイ</t>
    </rPh>
    <phoneticPr fontId="2"/>
  </si>
  <si>
    <t>情報理工学系研究科情報理工学教育研究センター</t>
    <rPh sb="0" eb="2">
      <t>ジョウホウ</t>
    </rPh>
    <rPh sb="2" eb="6">
      <t>リコウガクケイ</t>
    </rPh>
    <rPh sb="6" eb="9">
      <t>ケンキュウカ</t>
    </rPh>
    <rPh sb="9" eb="11">
      <t>ジョウホウ</t>
    </rPh>
    <rPh sb="11" eb="13">
      <t>リコウ</t>
    </rPh>
    <rPh sb="13" eb="14">
      <t>ガク</t>
    </rPh>
    <rPh sb="14" eb="16">
      <t>キョウイク</t>
    </rPh>
    <rPh sb="16" eb="18">
      <t>ケンキュウ</t>
    </rPh>
    <phoneticPr fontId="2"/>
  </si>
  <si>
    <t>担当者名</t>
    <rPh sb="0" eb="2">
      <t>タントウ</t>
    </rPh>
    <rPh sb="2" eb="3">
      <t>シャ</t>
    </rPh>
    <rPh sb="3" eb="4">
      <t>メイ</t>
    </rPh>
    <phoneticPr fontId="2"/>
  </si>
  <si>
    <t>山田　健</t>
    <rPh sb="0" eb="2">
      <t>ヤマダ</t>
    </rPh>
    <rPh sb="3" eb="4">
      <t>タケシ</t>
    </rPh>
    <phoneticPr fontId="2"/>
  </si>
  <si>
    <t>E-mail</t>
  </si>
  <si>
    <t>cerist@mi.u-tokyo.ac.jp</t>
    <phoneticPr fontId="2"/>
  </si>
  <si>
    <t>電話番号</t>
  </si>
  <si>
    <t>03-5841-7755</t>
    <phoneticPr fontId="2"/>
  </si>
  <si>
    <t>様式２</t>
    <rPh sb="0" eb="2">
      <t>ヨウシキ</t>
    </rPh>
    <phoneticPr fontId="2"/>
  </si>
  <si>
    <t>学校名：</t>
    <rPh sb="0" eb="2">
      <t>ガッコウ</t>
    </rPh>
    <rPh sb="2" eb="3">
      <t>メイ</t>
    </rPh>
    <phoneticPr fontId="2"/>
  </si>
  <si>
    <t>プログラムを構成する授業科目について</t>
    <phoneticPr fontId="2"/>
  </si>
  <si>
    <t>教育プログラムの修了要件</t>
    <rPh sb="8" eb="10">
      <t>シュウリョウ</t>
    </rPh>
    <phoneticPr fontId="2"/>
  </si>
  <si>
    <t>学部・学科によって、修了要件は相違しない</t>
  </si>
  <si>
    <t>具体的な修了要件</t>
    <rPh sb="0" eb="3">
      <t>グタイテキ</t>
    </rPh>
    <rPh sb="4" eb="6">
      <t>シュウリョウ</t>
    </rPh>
    <rPh sb="6" eb="8">
      <t>ヨウケン</t>
    </rPh>
    <phoneticPr fontId="2"/>
  </si>
  <si>
    <t>教養学部前期課程の基礎科目「情報」及び総合科目「基礎統計」の合計2科目4単位を取得すること。</t>
    <rPh sb="0" eb="4">
      <t>キョウヨウガクブ</t>
    </rPh>
    <rPh sb="4" eb="8">
      <t>ゼンキカテイ</t>
    </rPh>
    <rPh sb="9" eb="11">
      <t>キソ</t>
    </rPh>
    <rPh sb="11" eb="13">
      <t>カモク</t>
    </rPh>
    <rPh sb="14" eb="16">
      <t>ジョウホウ</t>
    </rPh>
    <rPh sb="17" eb="18">
      <t>オヨ</t>
    </rPh>
    <rPh sb="19" eb="23">
      <t>ソウゴウカモク</t>
    </rPh>
    <rPh sb="24" eb="28">
      <t>キソトウケイ</t>
    </rPh>
    <rPh sb="30" eb="32">
      <t>ゴウケイ</t>
    </rPh>
    <rPh sb="33" eb="35">
      <t>カモク</t>
    </rPh>
    <rPh sb="36" eb="38">
      <t>タンイ</t>
    </rPh>
    <rPh sb="39" eb="41">
      <t>シュトク</t>
    </rPh>
    <phoneticPr fontId="2"/>
  </si>
  <si>
    <t>授業科目名称</t>
    <rPh sb="0" eb="2">
      <t>ジュギョウ</t>
    </rPh>
    <rPh sb="2" eb="4">
      <t>カモク</t>
    </rPh>
    <rPh sb="4" eb="6">
      <t>メイショウ</t>
    </rPh>
    <phoneticPr fontId="2"/>
  </si>
  <si>
    <t>情報</t>
    <rPh sb="0" eb="2">
      <t>ジョウホウ</t>
    </rPh>
    <phoneticPr fontId="2"/>
  </si>
  <si>
    <t>基礎統計</t>
    <rPh sb="0" eb="4">
      <t>キソトウケイ</t>
    </rPh>
    <phoneticPr fontId="2"/>
  </si>
  <si>
    <t>様式３</t>
    <rPh sb="0" eb="2">
      <t>ヨウシキ</t>
    </rPh>
    <phoneticPr fontId="2"/>
  </si>
  <si>
    <t>学校名：</t>
    <rPh sb="0" eb="2">
      <t>ガッコウ</t>
    </rPh>
    <phoneticPr fontId="2"/>
  </si>
  <si>
    <t>プログラムの履修者数等の実績について</t>
    <phoneticPr fontId="2"/>
  </si>
  <si>
    <t>学部・学科名称</t>
    <rPh sb="0" eb="2">
      <t>ガクブ</t>
    </rPh>
    <rPh sb="3" eb="5">
      <t>ガッカ</t>
    </rPh>
    <rPh sb="5" eb="7">
      <t>メイショウ</t>
    </rPh>
    <phoneticPr fontId="2"/>
  </si>
  <si>
    <t>収容
定員</t>
    <rPh sb="0" eb="2">
      <t>シュウヨウ</t>
    </rPh>
    <rPh sb="3" eb="5">
      <t>テイイン</t>
    </rPh>
    <phoneticPr fontId="2"/>
  </si>
  <si>
    <t>令和2年度</t>
    <rPh sb="0" eb="2">
      <t>レイワ</t>
    </rPh>
    <rPh sb="3" eb="5">
      <t>ネンド</t>
    </rPh>
    <phoneticPr fontId="2"/>
  </si>
  <si>
    <t>令和元年度</t>
    <rPh sb="0" eb="2">
      <t>レイワ</t>
    </rPh>
    <rPh sb="2" eb="3">
      <t>ゲン</t>
    </rPh>
    <rPh sb="3" eb="5">
      <t>ネンド</t>
    </rPh>
    <phoneticPr fontId="2"/>
  </si>
  <si>
    <t>平成30年度</t>
    <rPh sb="0" eb="2">
      <t>ヘイセイ</t>
    </rPh>
    <rPh sb="4" eb="6">
      <t>ネンド</t>
    </rPh>
    <phoneticPr fontId="2"/>
  </si>
  <si>
    <t>平成29年度</t>
    <rPh sb="0" eb="2">
      <t>ヘイセイ</t>
    </rPh>
    <rPh sb="4" eb="6">
      <t>ネンド</t>
    </rPh>
    <phoneticPr fontId="2"/>
  </si>
  <si>
    <t>平成28年度</t>
    <rPh sb="0" eb="2">
      <t>ヘイセイ</t>
    </rPh>
    <rPh sb="4" eb="6">
      <t>ネンド</t>
    </rPh>
    <phoneticPr fontId="2"/>
  </si>
  <si>
    <t>平成27年度</t>
    <rPh sb="0" eb="2">
      <t>ヘイセイ</t>
    </rPh>
    <rPh sb="4" eb="6">
      <t>ネンド</t>
    </rPh>
    <phoneticPr fontId="2"/>
  </si>
  <si>
    <t>履修者数
合計</t>
    <rPh sb="0" eb="2">
      <t>リシュウ</t>
    </rPh>
    <rPh sb="2" eb="3">
      <t>シャ</t>
    </rPh>
    <rPh sb="3" eb="4">
      <t>スウ</t>
    </rPh>
    <rPh sb="5" eb="7">
      <t>ゴウケイ</t>
    </rPh>
    <phoneticPr fontId="2"/>
  </si>
  <si>
    <t>履修率</t>
    <rPh sb="0" eb="2">
      <t>リシュウ</t>
    </rPh>
    <rPh sb="2" eb="3">
      <t>リツ</t>
    </rPh>
    <phoneticPr fontId="2"/>
  </si>
  <si>
    <t>履修者数</t>
    <rPh sb="0" eb="2">
      <t>リシュウ</t>
    </rPh>
    <rPh sb="2" eb="3">
      <t>シャ</t>
    </rPh>
    <rPh sb="3" eb="4">
      <t>スウ</t>
    </rPh>
    <phoneticPr fontId="2"/>
  </si>
  <si>
    <t>修了者数</t>
    <rPh sb="0" eb="3">
      <t>シュウリョウシャ</t>
    </rPh>
    <rPh sb="3" eb="4">
      <t>スウ</t>
    </rPh>
    <phoneticPr fontId="2"/>
  </si>
  <si>
    <t>教養学部(前期課程)（その他）</t>
    <rPh sb="13" eb="14">
      <t>タ</t>
    </rPh>
    <phoneticPr fontId="2"/>
  </si>
  <si>
    <t>法学部（社会科学）</t>
    <rPh sb="4" eb="6">
      <t>シャカイ</t>
    </rPh>
    <rPh sb="6" eb="8">
      <t>カガク</t>
    </rPh>
    <phoneticPr fontId="2"/>
  </si>
  <si>
    <t>医学部（保健）</t>
    <rPh sb="4" eb="6">
      <t>ホケン</t>
    </rPh>
    <phoneticPr fontId="2"/>
  </si>
  <si>
    <t>工学部（工学）</t>
    <rPh sb="4" eb="6">
      <t>コウガク</t>
    </rPh>
    <phoneticPr fontId="2"/>
  </si>
  <si>
    <t>文学部（人文科学）</t>
    <rPh sb="4" eb="6">
      <t>ジンブン</t>
    </rPh>
    <rPh sb="6" eb="8">
      <t>カガク</t>
    </rPh>
    <phoneticPr fontId="2"/>
  </si>
  <si>
    <t>理学部（理学）</t>
    <rPh sb="4" eb="6">
      <t>リガク</t>
    </rPh>
    <phoneticPr fontId="2"/>
  </si>
  <si>
    <t>農学部（農学）</t>
    <rPh sb="4" eb="6">
      <t>ノウガク</t>
    </rPh>
    <phoneticPr fontId="2"/>
  </si>
  <si>
    <t>経済学部（社会科学）</t>
    <rPh sb="5" eb="7">
      <t>シャカイ</t>
    </rPh>
    <rPh sb="7" eb="9">
      <t>カガク</t>
    </rPh>
    <phoneticPr fontId="2"/>
  </si>
  <si>
    <t>教養学部（理学、その他）</t>
    <rPh sb="5" eb="7">
      <t>リガク</t>
    </rPh>
    <rPh sb="10" eb="11">
      <t>タ</t>
    </rPh>
    <phoneticPr fontId="2"/>
  </si>
  <si>
    <t>教育学部（教育）</t>
    <rPh sb="5" eb="7">
      <t>キョウイク</t>
    </rPh>
    <phoneticPr fontId="2"/>
  </si>
  <si>
    <t>薬学部（保健）</t>
    <rPh sb="4" eb="6">
      <t>ホケン</t>
    </rPh>
    <phoneticPr fontId="2"/>
  </si>
  <si>
    <t>合　計</t>
    <phoneticPr fontId="2"/>
  </si>
  <si>
    <t xml:space="preserve"> </t>
    <phoneticPr fontId="2"/>
  </si>
  <si>
    <t>様式４</t>
    <rPh sb="0" eb="2">
      <t>ヨウシキ</t>
    </rPh>
    <phoneticPr fontId="2"/>
  </si>
  <si>
    <t>東京大学</t>
    <rPh sb="0" eb="2">
      <t>トウキョウ</t>
    </rPh>
    <rPh sb="2" eb="4">
      <t>ダイガク</t>
    </rPh>
    <phoneticPr fontId="2"/>
  </si>
  <si>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2"/>
  </si>
  <si>
    <t>授業に含まれている内容・要素</t>
    <rPh sb="0" eb="2">
      <t>ジュギョウ</t>
    </rPh>
    <rPh sb="3" eb="4">
      <t>フク</t>
    </rPh>
    <rPh sb="9" eb="11">
      <t>ナイヨウ</t>
    </rPh>
    <rPh sb="12" eb="14">
      <t>ヨウソ</t>
    </rPh>
    <phoneticPr fontId="2"/>
  </si>
  <si>
    <t>授業概要</t>
    <rPh sb="0" eb="2">
      <t>ジュギョウ</t>
    </rPh>
    <rPh sb="2" eb="4">
      <t>ガイヨウ</t>
    </rPh>
    <phoneticPr fontId="2"/>
  </si>
  <si>
    <t>（１）現在進行中の社会変化（第４次産業革命、Society 5.0、データ駆動型社会等）に深く寄与しているものであり、それが自らの生活と密接に結びついている
※モデルカリキュラム導入１－１、導入１－６が該当</t>
    <phoneticPr fontId="2"/>
  </si>
  <si>
    <t xml:space="preserve">授業の冒頭で「情報の学び方」として、情報の諸側面（人間・問題解決・社会に関わる側面）、特に人間の知的活動について概観する。次に、現代の情報システムとその特徴について学ぶ。また、ビッグデータの処理技術とAIの変遷・応用範囲の拡大について理解し、これらが日常生活や社会をどのように変革するのかを学ぶとともに、情報技術の発展と人間と社会との関係について理解する。特に、インターネットによって集積されたビッグデータがAIの基礎となっていることを学ぶ。また、自動車やロボットなどを具体例として、IoTが産業界を中心に急速に発展していることを学ぶ。AIに関する理解を深めるために、計算速度の増加やAIの歴史、深層学習や強化学習の応用例について適宜触れる。さらに、情報システムを活用した各種のサービスやビジネスについて学ぶ。
</t>
    <rPh sb="0" eb="2">
      <t>ジュギョウ</t>
    </rPh>
    <rPh sb="3" eb="5">
      <t>ボウトウ</t>
    </rPh>
    <rPh sb="7" eb="9">
      <t>ジョウホウ</t>
    </rPh>
    <rPh sb="10" eb="11">
      <t>マナ</t>
    </rPh>
    <rPh sb="12" eb="13">
      <t>カタ</t>
    </rPh>
    <rPh sb="18" eb="20">
      <t>ジョウホウ</t>
    </rPh>
    <rPh sb="21" eb="24">
      <t>ショソクメン</t>
    </rPh>
    <rPh sb="25" eb="27">
      <t>ニンゲン</t>
    </rPh>
    <rPh sb="28" eb="30">
      <t>モンダイ</t>
    </rPh>
    <rPh sb="30" eb="32">
      <t>カイケツ</t>
    </rPh>
    <rPh sb="33" eb="35">
      <t>シャカイ</t>
    </rPh>
    <rPh sb="36" eb="37">
      <t>カカ</t>
    </rPh>
    <rPh sb="39" eb="41">
      <t>ソクメン</t>
    </rPh>
    <rPh sb="43" eb="44">
      <t>トク</t>
    </rPh>
    <rPh sb="45" eb="47">
      <t>ニンゲン</t>
    </rPh>
    <rPh sb="48" eb="52">
      <t>チテキカツドウ</t>
    </rPh>
    <rPh sb="56" eb="58">
      <t>ガイカn</t>
    </rPh>
    <rPh sb="60" eb="61">
      <t>ツギ</t>
    </rPh>
    <rPh sb="81" eb="82">
      <t>マナ</t>
    </rPh>
    <rPh sb="162" eb="164">
      <t>シャカイ</t>
    </rPh>
    <rPh sb="177" eb="178">
      <t>トク</t>
    </rPh>
    <rPh sb="206" eb="208">
      <t>キソ</t>
    </rPh>
    <rPh sb="217" eb="218">
      <t>マナ</t>
    </rPh>
    <rPh sb="223" eb="226">
      <t>ジドウシャ</t>
    </rPh>
    <rPh sb="234" eb="237">
      <t>グタイレイ</t>
    </rPh>
    <rPh sb="245" eb="248">
      <t>サンギョウカイ</t>
    </rPh>
    <rPh sb="249" eb="251">
      <t>チュウシン</t>
    </rPh>
    <rPh sb="252" eb="254">
      <t>キュウソク</t>
    </rPh>
    <rPh sb="255" eb="257">
      <t>ハッテン</t>
    </rPh>
    <rPh sb="264" eb="265">
      <t>マナ</t>
    </rPh>
    <rPh sb="270" eb="271">
      <t>カン</t>
    </rPh>
    <rPh sb="273" eb="275">
      <t>リカイ</t>
    </rPh>
    <rPh sb="276" eb="277">
      <t>フカ</t>
    </rPh>
    <rPh sb="283" eb="285">
      <t>ケイサン</t>
    </rPh>
    <rPh sb="285" eb="287">
      <t>ソクド</t>
    </rPh>
    <rPh sb="288" eb="290">
      <t>ゾウカ</t>
    </rPh>
    <rPh sb="294" eb="296">
      <t>レキシ</t>
    </rPh>
    <rPh sb="297" eb="301">
      <t>シンソウガクシュウ</t>
    </rPh>
    <rPh sb="302" eb="306">
      <t>キョウカガクシュウ</t>
    </rPh>
    <rPh sb="307" eb="310">
      <t>オウヨウレイ</t>
    </rPh>
    <rPh sb="314" eb="315">
      <t>フ</t>
    </rPh>
    <rPh sb="315" eb="317">
      <t>テキギ</t>
    </rPh>
    <rPh sb="324" eb="326">
      <t>ジョウホウ</t>
    </rPh>
    <rPh sb="331" eb="333">
      <t>カツヨウ</t>
    </rPh>
    <rPh sb="335" eb="337">
      <t>カクシュ</t>
    </rPh>
    <rPh sb="351" eb="352">
      <t>マナ</t>
    </rPh>
    <phoneticPr fontId="2"/>
  </si>
  <si>
    <t>授業科目名称</t>
    <rPh sb="0" eb="2">
      <t>ジュギョウ</t>
    </rPh>
    <rPh sb="2" eb="6">
      <t>カモクメイショウ</t>
    </rPh>
    <phoneticPr fontId="2"/>
  </si>
  <si>
    <t>講義テーマ</t>
    <rPh sb="0" eb="2">
      <t>コウギ</t>
    </rPh>
    <phoneticPr fontId="2"/>
  </si>
  <si>
    <t>情報の学び方(1)、情報システム(2)、情報技術と社会(1, 13)、ビッグデータとAI（2, 13）</t>
    <rPh sb="0" eb="2">
      <t>ジョウホウ</t>
    </rPh>
    <rPh sb="3" eb="4">
      <t>マナ</t>
    </rPh>
    <rPh sb="5" eb="6">
      <t>カタ</t>
    </rPh>
    <rPh sb="10" eb="12">
      <t>ジョウホウ</t>
    </rPh>
    <rPh sb="20" eb="22">
      <t>ジョウホウ</t>
    </rPh>
    <rPh sb="22" eb="24">
      <t>ギジュツ</t>
    </rPh>
    <rPh sb="25" eb="27">
      <t>シャカイ</t>
    </rPh>
    <phoneticPr fontId="2"/>
  </si>
  <si>
    <t>（２）「社会で活用されているデータ」や「データの活用領域」は非常に広範囲であって、日常生活や社会の課題を解決する有用なツールになり得るもの
※モデルカリキュラム導入１－２、導入１－３が該当</t>
    <phoneticPr fontId="2"/>
  </si>
  <si>
    <t>現代社会で取り扱われるデータの増大と処理技術の進歩、ビッグデータの発生源や活用例、ビッグデータの社会的インパクトについて学ぶ。また、ビッグデータの具体的な発生源（ウェブページ、通信、社会行動、センサー、IoT、科学データ）について適宜触れる。さらに、記号、アナログとディジタル、符号化などの情報の表現や、代表的なデータモデルの概観と特徴を学ぶ。特に、画像/動画、音声/音楽の表現方法について、その基礎となっている量子化、標本化、標本化定理、符号化も含めて学ぶ。また、構造化データの具体例として、グラフ（ネットワークモデル）と木構造（階層モデル）について学ぶ。表構造（関係モデル）や非構造データ（オブジェクト指向モデル）についても適宜触れる。</t>
    <rPh sb="115" eb="117">
      <t>テキ</t>
    </rPh>
    <rPh sb="290" eb="293">
      <t>ヒコウゾウ</t>
    </rPh>
    <rPh sb="303" eb="305">
      <t>シコウ</t>
    </rPh>
    <rPh sb="314" eb="316">
      <t>テキギ</t>
    </rPh>
    <phoneticPr fontId="2"/>
  </si>
  <si>
    <t>情報技術と社会(1, 13)、ビッグデータとAI（2, 13）、 情報の表現（3）、データの扱い（6）</t>
    <rPh sb="2" eb="4">
      <t>ギジュツ</t>
    </rPh>
    <rPh sb="33" eb="35">
      <t>ジョウホウ</t>
    </rPh>
    <rPh sb="36" eb="38">
      <t>ヒョウゲン</t>
    </rPh>
    <phoneticPr fontId="2"/>
  </si>
  <si>
    <t>基礎統計</t>
    <rPh sb="0" eb="1">
      <t>キソト</t>
    </rPh>
    <phoneticPr fontId="2"/>
  </si>
  <si>
    <t>統計的検定論(9)</t>
    <phoneticPr fontId="2"/>
  </si>
  <si>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2"/>
  </si>
  <si>
    <t>スマホアプリ等の身近な情報システムをとりあげてデータ・AI利活用事例を紹介し、地図情報システムなども含めて、データ・AI利活用のための情報技術について学ぶ。また、最適化、シミュレーションなどのデータ解析技術の基礎となっている計算の記述方法やアルゴリズムについても学ぶ。グラフや木構造については、それらの形式のデータの可視化技術についても学ぶ。さらに、適応インターフェイス、仮想現実感（VR）と拡張現実感（AR）などの新しいインターフェイスの概念と技術の概説及び活用例についても適宜触れる。AIとビッグデータについては、AIの歴史について適宜触れながら、現在のAIの可能性に関する理解を深める。また、データサイエンスサイクルの基礎として、モデル化からコンピュータを用いた問題解決に至る過程について学ぶ。</t>
    <rPh sb="39" eb="43">
      <t>チズジョウホウ</t>
    </rPh>
    <rPh sb="50" eb="51">
      <t>フク</t>
    </rPh>
    <rPh sb="81" eb="84">
      <t>サイテキカ</t>
    </rPh>
    <rPh sb="99" eb="101">
      <t>カイセキ</t>
    </rPh>
    <rPh sb="101" eb="103">
      <t>ギジュツ</t>
    </rPh>
    <rPh sb="104" eb="106">
      <t>キソ</t>
    </rPh>
    <rPh sb="112" eb="114">
      <t>ケイサン</t>
    </rPh>
    <rPh sb="115" eb="119">
      <t>キジュツホウホウ</t>
    </rPh>
    <rPh sb="131" eb="132">
      <t>マナ</t>
    </rPh>
    <rPh sb="151" eb="153">
      <t>ケイシキ</t>
    </rPh>
    <rPh sb="158" eb="161">
      <t>カシカ</t>
    </rPh>
    <rPh sb="161" eb="163">
      <t>ギジュツ</t>
    </rPh>
    <rPh sb="168" eb="169">
      <t>マナ</t>
    </rPh>
    <rPh sb="238" eb="240">
      <t>テキギ</t>
    </rPh>
    <rPh sb="240" eb="241">
      <t>フ</t>
    </rPh>
    <rPh sb="268" eb="270">
      <t>テキギ</t>
    </rPh>
    <rPh sb="312" eb="314">
      <t>キソ</t>
    </rPh>
    <rPh sb="321" eb="322">
      <t>カ</t>
    </rPh>
    <rPh sb="331" eb="332">
      <t>モチ</t>
    </rPh>
    <rPh sb="334" eb="338">
      <t>モンダイカイケツ</t>
    </rPh>
    <rPh sb="339" eb="340">
      <t>イタル</t>
    </rPh>
    <rPh sb="341" eb="343">
      <t>カテイ</t>
    </rPh>
    <rPh sb="347" eb="348">
      <t>マナ</t>
    </rPh>
    <phoneticPr fontId="2"/>
  </si>
  <si>
    <t>情報の学び方(1)、情報システム(2)、情報の表現(3)、情報技術と社会(1, 13)、ビッグデータとAI(2, 13)、計算の方法(5, 8)、データの扱い(6)、ユーザインターフェイス(12)</t>
    <rPh sb="0" eb="2">
      <t>ジョウホウ</t>
    </rPh>
    <rPh sb="3" eb="4">
      <t>マナ</t>
    </rPh>
    <rPh sb="5" eb="6">
      <t>カタ</t>
    </rPh>
    <rPh sb="10" eb="12">
      <t>ジョウホウ</t>
    </rPh>
    <rPh sb="20" eb="22">
      <t>ジョウ</t>
    </rPh>
    <rPh sb="29" eb="31">
      <t>ジョウホウ</t>
    </rPh>
    <rPh sb="31" eb="33">
      <t>ギジュツ</t>
    </rPh>
    <rPh sb="34" eb="36">
      <t>シャカイ</t>
    </rPh>
    <phoneticPr fontId="2"/>
  </si>
  <si>
    <t>基礎統計</t>
  </si>
  <si>
    <t>1次元データの整理・要約(1,2)、2次元データの整理・要約(2,3)</t>
  </si>
  <si>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2"/>
  </si>
  <si>
    <t>情報技術と社会について、技術と社会、情報技術の影響、社会への影響、インターネットと民主主義の側面から理解する。また、AIと社会との接点についても適宜触れる。具体的には、情報技術の普及によって生じているコミュニケーション、情報検閲、宗教、文化等に及ぶあらゆる領域での変化、SNS/GPS/ビッグデータと社会の接点、権利と所有の境界（情報技術が権利及び著作権に与える影響等）、プライバシーとセキュリティの境界（ネットワーク技術の発達と個人情報保護の在り方、情報流出や漏洩に対する安全性の確保等）、インターネットは民主主義を加速するか、ネットは公共空間か共同体か、ネットの功罪を学ぶほか、AIと社会の関わり方、倫理等について学ぶ。情報セキュリティについては、基本的な概念（機密性、完全性、可用性）、共通鍵暗号と公開鍵暗号、ディジタル署名とPKIについて学ぶ。</t>
    <rPh sb="46" eb="48">
      <t>ソクメン</t>
    </rPh>
    <rPh sb="72" eb="74">
      <t>テキギ</t>
    </rPh>
    <rPh sb="74" eb="75">
      <t>フ</t>
    </rPh>
    <rPh sb="326" eb="329">
      <t>キホンテキ</t>
    </rPh>
    <rPh sb="330" eb="332">
      <t>ガイネン</t>
    </rPh>
    <rPh sb="373" eb="374">
      <t>マナ</t>
    </rPh>
    <phoneticPr fontId="2"/>
  </si>
  <si>
    <t>情報システム(2)、情報関連の法(13)、情報技術と社会（2, 13）、情報の伝達と通信(7, 11)</t>
    <rPh sb="21" eb="23">
      <t>ジョウホウ</t>
    </rPh>
    <phoneticPr fontId="2"/>
  </si>
  <si>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2"/>
  </si>
  <si>
    <t>棒グラフ、折れ線グラフ、散布図といった基本的なデータ表現や比較の手法、ヒストグラムや代表値をもとにデータのばらつきの概要を的確に説明できる基礎知識、不適切なグラフ表現やまぎらわしい誇張表現が存在すること、二次元データの相関係数や因果との関係性をはじめとするデータハンドリングの基盤、そしてそれらの基本的な記述統計をスプレッドシートなどを用いて集計、算出そして解析する方法を学ぶ。さらに機械学習の複雑で高度なモデリング・解析手法に遭遇した場合の理解の助けとなる統計学の基本事項（母集団と標本、確率分布、独立同一分布性、統計的推測等）の考え方について、excelやRによる統計データ解析等も適宜組み入れながら理解する。これにより学部後期課程の様々な学部において、確率論、統計学、そしてデータサイエンスに関連する科目を履修する際に必須となる基本知識を身に付ける。</t>
    <phoneticPr fontId="2"/>
  </si>
  <si>
    <t>1次元データの整理・要約(1,2)、2次元データの整理・要約(2,3)、確率変数と確率分布(4)、独立同一分布(5)、統計量(6)</t>
  </si>
  <si>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2"/>
  </si>
  <si>
    <t>統計及び数理基礎</t>
    <rPh sb="0" eb="2">
      <t>トウケイ</t>
    </rPh>
    <rPh sb="2" eb="3">
      <t>オヨ</t>
    </rPh>
    <rPh sb="4" eb="6">
      <t>スウリ</t>
    </rPh>
    <rPh sb="6" eb="8">
      <t>キソ</t>
    </rPh>
    <phoneticPr fontId="2"/>
  </si>
  <si>
    <t>アルゴリズム基礎</t>
    <rPh sb="6" eb="8">
      <t>キソ</t>
    </rPh>
    <phoneticPr fontId="2"/>
  </si>
  <si>
    <t>データ構造とプログラミング基礎</t>
    <rPh sb="3" eb="5">
      <t>コウゾウ</t>
    </rPh>
    <rPh sb="13" eb="15">
      <t>キソ</t>
    </rPh>
    <phoneticPr fontId="2"/>
  </si>
  <si>
    <t>時系列データ解析</t>
    <rPh sb="0" eb="3">
      <t>ジケイレツ</t>
    </rPh>
    <rPh sb="6" eb="8">
      <t>カイセキ</t>
    </rPh>
    <phoneticPr fontId="2"/>
  </si>
  <si>
    <t>テキスト解析</t>
    <rPh sb="4" eb="6">
      <t>カイセキ</t>
    </rPh>
    <phoneticPr fontId="2"/>
  </si>
  <si>
    <t>画像解析</t>
    <rPh sb="0" eb="2">
      <t>ガゾウ</t>
    </rPh>
    <rPh sb="2" eb="4">
      <t>カイセキ</t>
    </rPh>
    <phoneticPr fontId="2"/>
  </si>
  <si>
    <t>データハンドリング</t>
    <phoneticPr fontId="2"/>
  </si>
  <si>
    <t>データ活用実践（教師あり学習）</t>
    <rPh sb="3" eb="5">
      <t>カツヨウ</t>
    </rPh>
    <rPh sb="5" eb="7">
      <t>ジッセン</t>
    </rPh>
    <rPh sb="8" eb="10">
      <t>キョウシ</t>
    </rPh>
    <rPh sb="12" eb="14">
      <t>ガクシュウ</t>
    </rPh>
    <phoneticPr fontId="2"/>
  </si>
  <si>
    <t>その他</t>
    <rPh sb="2" eb="3">
      <t>タ</t>
    </rPh>
    <phoneticPr fontId="2"/>
  </si>
  <si>
    <t>プログラムの授業内容等を公表しているアドレス</t>
    <rPh sb="6" eb="8">
      <t>ジュギョウ</t>
    </rPh>
    <rPh sb="8" eb="10">
      <t>ナイヨウ</t>
    </rPh>
    <rPh sb="10" eb="11">
      <t>トウ</t>
    </rPh>
    <rPh sb="12" eb="14">
      <t>コウヒョウ</t>
    </rPh>
    <phoneticPr fontId="2"/>
  </si>
  <si>
    <t>http://www.mi.u-tokyo.ac.jp/literacy_program.html</t>
    <phoneticPr fontId="2"/>
  </si>
  <si>
    <t>プログラムの学修成果（学生等が身に付けられる能力等）</t>
    <phoneticPr fontId="2"/>
  </si>
  <si>
    <t>現代の情報システムの構造や役割、ビッグデータやAIの利活用の動向等を知り、人間や社会への影響を理解して思考するための基礎知識を獲得する。また、データサイエンス・AIの基盤となる統計学の基本事項を学び、データを読み、説明し、扱うことができる能力を培う。これらを通じて、急速に変化する情報化社会に流されない、普遍的な知識の習得を目指す。</t>
    <rPh sb="0" eb="2">
      <t>ゲンダイ</t>
    </rPh>
    <rPh sb="3" eb="5">
      <t>ジョウホウ</t>
    </rPh>
    <rPh sb="10" eb="12">
      <t>コウゾウ</t>
    </rPh>
    <rPh sb="13" eb="15">
      <t>ヤクワリ</t>
    </rPh>
    <rPh sb="26" eb="29">
      <t>リカツヨウ</t>
    </rPh>
    <rPh sb="30" eb="32">
      <t>ドウコウ</t>
    </rPh>
    <rPh sb="32" eb="33">
      <t>トウ</t>
    </rPh>
    <rPh sb="48" eb="50">
      <t>ジョウホウ</t>
    </rPh>
    <rPh sb="50" eb="52">
      <t>ギジュツ</t>
    </rPh>
    <rPh sb="53" eb="55">
      <t>キソ</t>
    </rPh>
    <rPh sb="56" eb="57">
      <t>シ</t>
    </rPh>
    <rPh sb="59" eb="61">
      <t>ニンゲン</t>
    </rPh>
    <rPh sb="66" eb="68">
      <t>エイキョウ</t>
    </rPh>
    <rPh sb="83" eb="85">
      <t>キバン</t>
    </rPh>
    <rPh sb="97" eb="98">
      <t>マナ</t>
    </rPh>
    <rPh sb="119" eb="121">
      <t>ノウリョク</t>
    </rPh>
    <rPh sb="122" eb="123">
      <t>ツチカ</t>
    </rPh>
    <rPh sb="129" eb="130">
      <t>ツウ</t>
    </rPh>
    <rPh sb="136" eb="140">
      <t>キソチシキ</t>
    </rPh>
    <rPh sb="141" eb="143">
      <t>カクトク</t>
    </rPh>
    <rPh sb="147" eb="149">
      <t>ゲンダイ</t>
    </rPh>
    <rPh sb="150" eb="152">
      <t>ジョウホウ</t>
    </rPh>
    <rPh sb="152" eb="154">
      <t>ギジュツメザ</t>
    </rPh>
    <phoneticPr fontId="2"/>
  </si>
  <si>
    <t>様式５</t>
    <rPh sb="0" eb="2">
      <t>ヨウシキ</t>
    </rPh>
    <phoneticPr fontId="2"/>
  </si>
  <si>
    <t>学校名</t>
    <rPh sb="0" eb="3">
      <t>ガッコウメイ</t>
    </rPh>
    <phoneticPr fontId="2"/>
  </si>
  <si>
    <t>：</t>
    <phoneticPr fontId="2"/>
  </si>
  <si>
    <t>　東京大学</t>
    <rPh sb="1" eb="5">
      <t>トウキョウダイガク</t>
    </rPh>
    <phoneticPr fontId="2"/>
  </si>
  <si>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2"/>
  </si>
  <si>
    <t>プログラムを改善・進化させるための体制を定める規則名称</t>
    <phoneticPr fontId="2"/>
  </si>
  <si>
    <t>情報教育運営委員会内規</t>
    <rPh sb="0" eb="2">
      <t>ジョウホウ</t>
    </rPh>
    <rPh sb="2" eb="4">
      <t>キョウイク</t>
    </rPh>
    <rPh sb="4" eb="6">
      <t>ウンエイ</t>
    </rPh>
    <rPh sb="6" eb="9">
      <t>イインカイ</t>
    </rPh>
    <rPh sb="9" eb="11">
      <t>ナイキ</t>
    </rPh>
    <phoneticPr fontId="2"/>
  </si>
  <si>
    <t>体制の目的</t>
    <rPh sb="0" eb="2">
      <t>タイセイ</t>
    </rPh>
    <rPh sb="3" eb="5">
      <t>モクテキ</t>
    </rPh>
    <phoneticPr fontId="2"/>
  </si>
  <si>
    <t>全学の情報教育に係る審議及び連絡調整を行うことを目的として2017年度に設置。同委員会の下に「情報教育ネットワーク」を立ち上げ、全教育部局・関係センターから約60名の教員が参画し、数学、統計学、AI等を含めた広い意味での情報教育のカリキュラムの検討、教材開発等を行っている。数理・情報教育研究センターとも密接に連携し、全学の数理・データサイエンス・AI教育の充実を図っている。</t>
    <rPh sb="33" eb="35">
      <t>ネンド</t>
    </rPh>
    <rPh sb="39" eb="40">
      <t>ドウ</t>
    </rPh>
    <rPh sb="70" eb="72">
      <t>カンケイ</t>
    </rPh>
    <rPh sb="78" eb="79">
      <t>ヤク</t>
    </rPh>
    <rPh sb="81" eb="82">
      <t>メイ</t>
    </rPh>
    <rPh sb="137" eb="139">
      <t>スウリ</t>
    </rPh>
    <rPh sb="140" eb="142">
      <t>ジョウホウ</t>
    </rPh>
    <rPh sb="142" eb="144">
      <t>キョウイク</t>
    </rPh>
    <rPh sb="144" eb="146">
      <t>ケンキュウ</t>
    </rPh>
    <rPh sb="152" eb="154">
      <t>ミッセツ</t>
    </rPh>
    <rPh sb="155" eb="157">
      <t>レンケイ</t>
    </rPh>
    <rPh sb="159" eb="161">
      <t>ゼンガク</t>
    </rPh>
    <rPh sb="162" eb="164">
      <t>スウリ</t>
    </rPh>
    <rPh sb="176" eb="178">
      <t>キョウイク</t>
    </rPh>
    <rPh sb="179" eb="181">
      <t>ジュウジツ</t>
    </rPh>
    <rPh sb="182" eb="183">
      <t>ハカ</t>
    </rPh>
    <phoneticPr fontId="2"/>
  </si>
  <si>
    <t>具体的な構成員</t>
    <rPh sb="0" eb="3">
      <t>グタイテキ</t>
    </rPh>
    <rPh sb="4" eb="7">
      <t>コウセイイン</t>
    </rPh>
    <phoneticPr fontId="2"/>
  </si>
  <si>
    <t>情報理工学系研究科   教授    萩谷　昌己 （委員長）
人文社会系研究科     教授    下田　正弘
教育学研究科         准教授　岡田　謙介
法学政治学研究科     教授    加藤　貴仁
経済学研究科         准教授  佐藤　整尚
総合文化研究科       教授    山口　和紀
理学系研究科         教授    佃　達哉
工学系研究科         教授    鈴木　雄二
農学生命科学研究科   教授    潮　秀樹
医学系研究科         教授    大江　和彦
薬学系研究科         教授    北川　大樹
数理科学研究科       教授    斎藤　毅
新領域創成科学研究科 教授    岡田　真人
学際情報学府         准教授  藤本　徹
公共政策学教育部     特任教授 池田　宜睦</t>
    <rPh sb="25" eb="28">
      <t>イインチョウ</t>
    </rPh>
    <phoneticPr fontId="2"/>
  </si>
  <si>
    <t>履修者数・履修率の向上に向けた計画</t>
    <rPh sb="5" eb="7">
      <t>リシュウ</t>
    </rPh>
    <rPh sb="7" eb="8">
      <t>リツ</t>
    </rPh>
    <phoneticPr fontId="2"/>
  </si>
  <si>
    <r>
      <t xml:space="preserve">各年度の履修者数の目標を以下のとおりとする。（（　）内は履修率。）
令和３年度　8,400名　（67％）
令和４年度　8,600名　（68％）
令和５年度　8,600名　（68％）
令和６年度　8,800名　（70％）
令和７年度　8,800名　（70％）
</t>
    </r>
    <r>
      <rPr>
        <sz val="12"/>
        <rFont val="ＭＳ Ｐゴシック"/>
        <family val="2"/>
        <charset val="128"/>
        <scheme val="minor"/>
      </rPr>
      <t xml:space="preserve">
</t>
    </r>
    <r>
      <rPr>
        <sz val="12"/>
        <rFont val="ＭＳ Ｐゴシック"/>
        <family val="3"/>
        <charset val="128"/>
        <scheme val="minor"/>
      </rPr>
      <t xml:space="preserve">目標を実現するために、数理・情報教育研究センターによる情報発信等を通じて、数理・データサイエンス・AI教育を学ぶ意義等を発信していく。学生への授業評価アンケート等を継続的に実施し、授業内容・方法の改善を図り、学生の履修を促進する。
</t>
    </r>
    <rPh sb="0" eb="3">
      <t>カクネンド</t>
    </rPh>
    <rPh sb="4" eb="6">
      <t>リシュウ</t>
    </rPh>
    <rPh sb="6" eb="7">
      <t>シャ</t>
    </rPh>
    <rPh sb="7" eb="8">
      <t>スウ</t>
    </rPh>
    <rPh sb="9" eb="11">
      <t>モクヒョウ</t>
    </rPh>
    <rPh sb="12" eb="14">
      <t>イカ</t>
    </rPh>
    <rPh sb="26" eb="27">
      <t>ナイ</t>
    </rPh>
    <rPh sb="28" eb="30">
      <t>リシュウ</t>
    </rPh>
    <rPh sb="30" eb="31">
      <t>リツ</t>
    </rPh>
    <rPh sb="34" eb="36">
      <t>レイワ</t>
    </rPh>
    <rPh sb="37" eb="39">
      <t>ネンド</t>
    </rPh>
    <rPh sb="45" eb="46">
      <t>メイ</t>
    </rPh>
    <rPh sb="130" eb="132">
      <t>モクヒョウ</t>
    </rPh>
    <rPh sb="133" eb="135">
      <t>ジツゲン</t>
    </rPh>
    <rPh sb="141" eb="143">
      <t>スウリ</t>
    </rPh>
    <rPh sb="144" eb="146">
      <t>ジョウホウ</t>
    </rPh>
    <rPh sb="146" eb="148">
      <t>キョウイク</t>
    </rPh>
    <rPh sb="148" eb="150">
      <t>ケンキュウ</t>
    </rPh>
    <rPh sb="157" eb="159">
      <t>ジョウホウ</t>
    </rPh>
    <rPh sb="159" eb="161">
      <t>ハッシン</t>
    </rPh>
    <rPh sb="161" eb="162">
      <t>トウ</t>
    </rPh>
    <rPh sb="163" eb="164">
      <t>ツウ</t>
    </rPh>
    <rPh sb="167" eb="169">
      <t>スウリ</t>
    </rPh>
    <rPh sb="181" eb="183">
      <t>キョウイク</t>
    </rPh>
    <rPh sb="184" eb="185">
      <t>マナ</t>
    </rPh>
    <rPh sb="186" eb="188">
      <t>イギ</t>
    </rPh>
    <rPh sb="188" eb="189">
      <t>トウ</t>
    </rPh>
    <rPh sb="190" eb="192">
      <t>ハッシン</t>
    </rPh>
    <rPh sb="197" eb="199">
      <t>ガクセイ</t>
    </rPh>
    <rPh sb="201" eb="205">
      <t>ジュギョウヒョウカ</t>
    </rPh>
    <rPh sb="210" eb="211">
      <t>トウ</t>
    </rPh>
    <rPh sb="212" eb="215">
      <t>ケイゾクテキ</t>
    </rPh>
    <rPh sb="216" eb="218">
      <t>ジッシ</t>
    </rPh>
    <rPh sb="220" eb="222">
      <t>ジュギョウ</t>
    </rPh>
    <rPh sb="222" eb="224">
      <t>ナイヨウ</t>
    </rPh>
    <rPh sb="225" eb="227">
      <t>ホウホウ</t>
    </rPh>
    <rPh sb="228" eb="230">
      <t>カイゼン</t>
    </rPh>
    <rPh sb="231" eb="232">
      <t>ハカ</t>
    </rPh>
    <rPh sb="234" eb="236">
      <t>ガクセイ</t>
    </rPh>
    <rPh sb="237" eb="239">
      <t>リシュウ</t>
    </rPh>
    <rPh sb="240" eb="242">
      <t>ソクシン</t>
    </rPh>
    <phoneticPr fontId="2"/>
  </si>
  <si>
    <t>学部・学科に関係なく希望する学生全員が受講可能となるような必要な体制・取組等</t>
    <rPh sb="29" eb="31">
      <t>ヒツヨウ</t>
    </rPh>
    <rPh sb="32" eb="34">
      <t>タイセイ</t>
    </rPh>
    <rPh sb="35" eb="37">
      <t>トリクミ</t>
    </rPh>
    <rPh sb="37" eb="38">
      <t>トウ</t>
    </rPh>
    <phoneticPr fontId="2"/>
  </si>
  <si>
    <t xml:space="preserve">基礎科目「情報」については文科系・理科系ともに必修科目としている。また、全学自由研究ゼミナール「情報システム利用入門」を開講し、高等学校の教科「情報」が十分身についていない学生が適切に学修を進められるようしている。
総合科目F系列の「基礎統計」は、文科系・理科系に関わらず選択が可能である。前期課程では数学が必修ではないことから、高校の「数学Ⅱ・B」レベルを前提とし、文科生でも履修しやすいように配慮している。なお、当該授業科目は、総合科目の中でも履修率が高い科目の１つとなっている。
「データサイエンス履修の手引き概要」を作成し、前期課程と後期課程の主要な科目を図示し、これらの科目間の関係を示すとともに、機械学習・データマイニングをゴールとして、いくつかの履修パターンを示すことにより、学生の学びの動機付けを図っている。
</t>
    <rPh sb="0" eb="4">
      <t>キソカモク</t>
    </rPh>
    <rPh sb="5" eb="7">
      <t>ジョウホウ</t>
    </rPh>
    <rPh sb="15" eb="16">
      <t>ケイ</t>
    </rPh>
    <rPh sb="19" eb="20">
      <t>ケイ</t>
    </rPh>
    <rPh sb="65" eb="66">
      <t>トウ</t>
    </rPh>
    <rPh sb="66" eb="68">
      <t>ガッコウ</t>
    </rPh>
    <rPh sb="89" eb="91">
      <t>テキセツ</t>
    </rPh>
    <rPh sb="92" eb="94">
      <t>ガクシュウ</t>
    </rPh>
    <rPh sb="95" eb="96">
      <t>スス</t>
    </rPh>
    <rPh sb="145" eb="149">
      <t>ゼンキカテイ</t>
    </rPh>
    <rPh sb="252" eb="254">
      <t>リシュウ</t>
    </rPh>
    <rPh sb="258" eb="260">
      <t>ガイヨウ</t>
    </rPh>
    <rPh sb="262" eb="264">
      <t>サクセイ</t>
    </rPh>
    <rPh sb="297" eb="298">
      <t>シメ</t>
    </rPh>
    <rPh sb="345" eb="347">
      <t>ガクセイ</t>
    </rPh>
    <rPh sb="348" eb="349">
      <t>マナ</t>
    </rPh>
    <rPh sb="351" eb="354">
      <t>ドウキヅ</t>
    </rPh>
    <rPh sb="356" eb="357">
      <t>ハカジュコウキョウザイセイビカクガクブタントウシャハイチシエンソクシン</t>
    </rPh>
    <phoneticPr fontId="2"/>
  </si>
  <si>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2"/>
  </si>
  <si>
    <t xml:space="preserve">入学後のガイダンスや、教養学部、数理・情報教育研究センターのウェブサイト等で周知している。「データサイエンス履修の手引き概要」を作成し、前提知識、学修内容、何が出来るようになるか、次のステップなど、学生の履修を促す情報を提供している。
このほか、数理・情報教育研究センターや、数理・データサイエンス教育強化拠点コンソーシアム（事務局：東京大学）のウェブサイト等を通じて、数理・データサイエンス・AI教育の必要性・重要性を継続的に発信している。
なお、コロナ禍において、オンライン講義、講義録画、オンライン期末試験を実施しており、遠隔地からの受講生に不利がないようにしている。
</t>
    <rPh sb="0" eb="3">
      <t>ニュウガクゴ</t>
    </rPh>
    <rPh sb="11" eb="15">
      <t>キョウヨウガクブ</t>
    </rPh>
    <rPh sb="16" eb="18">
      <t>スウリ</t>
    </rPh>
    <rPh sb="19" eb="21">
      <t>ジョウホウ</t>
    </rPh>
    <rPh sb="21" eb="23">
      <t>キョウイク</t>
    </rPh>
    <rPh sb="23" eb="25">
      <t>ケンキュウ</t>
    </rPh>
    <rPh sb="36" eb="37">
      <t>トウ</t>
    </rPh>
    <rPh sb="38" eb="40">
      <t>シュウチ</t>
    </rPh>
    <rPh sb="64" eb="66">
      <t>サクセイ</t>
    </rPh>
    <rPh sb="99" eb="101">
      <t>ガクセイ</t>
    </rPh>
    <rPh sb="102" eb="104">
      <t>リシュウ</t>
    </rPh>
    <rPh sb="105" eb="106">
      <t>ウナガ</t>
    </rPh>
    <rPh sb="107" eb="109">
      <t>ジョウホウ</t>
    </rPh>
    <rPh sb="110" eb="112">
      <t>テイキョウ</t>
    </rPh>
    <rPh sb="123" eb="125">
      <t>スウリ</t>
    </rPh>
    <rPh sb="126" eb="128">
      <t>ジョウホウ</t>
    </rPh>
    <rPh sb="128" eb="130">
      <t>キョウイク</t>
    </rPh>
    <rPh sb="130" eb="132">
      <t>ケンキュウ</t>
    </rPh>
    <rPh sb="138" eb="140">
      <t>スウリ</t>
    </rPh>
    <rPh sb="149" eb="151">
      <t>キョウイク</t>
    </rPh>
    <rPh sb="151" eb="155">
      <t>キョウカキョテン</t>
    </rPh>
    <rPh sb="163" eb="166">
      <t>ジムキョク</t>
    </rPh>
    <rPh sb="167" eb="171">
      <t>トウキョウダイガク</t>
    </rPh>
    <rPh sb="179" eb="180">
      <t>トウ</t>
    </rPh>
    <rPh sb="181" eb="182">
      <t>ツウ</t>
    </rPh>
    <rPh sb="185" eb="187">
      <t>スウリ</t>
    </rPh>
    <rPh sb="199" eb="201">
      <t>キョウイク</t>
    </rPh>
    <rPh sb="202" eb="205">
      <t>ヒツヨウセイ</t>
    </rPh>
    <rPh sb="206" eb="209">
      <t>ジュウヨウセイ</t>
    </rPh>
    <rPh sb="210" eb="213">
      <t>ケイゾクテキ</t>
    </rPh>
    <rPh sb="214" eb="216">
      <t>ハッシン</t>
    </rPh>
    <rPh sb="228" eb="229">
      <t>カ</t>
    </rPh>
    <rPh sb="257" eb="259">
      <t>ジッシ</t>
    </rPh>
    <phoneticPr fontId="2"/>
  </si>
  <si>
    <t>できる限り多くの学生が履修・修得できるようなサポート体制</t>
    <rPh sb="26" eb="28">
      <t>タイセイ</t>
    </rPh>
    <phoneticPr fontId="2"/>
  </si>
  <si>
    <t xml:space="preserve">東京大学の学習管理システムITC-LMSを活用している。「情報」については、情報教育棟のウェブサイトにおいて、授業の目標、概要や授業計画等の情報を掲載しているほか、「情報」に関わる入門用オンライン自習教材「はいぱーわーくブック(ＨＷＢ)」を作成し、ウェブサイト上での利用を可能としている。「情報」では100人規模の30のクラスを30人弱の教員が担当しているが、教育内容をカリキュラムに沿って平滑化するために、共通の教科書・教材を用意して、学習項目を詳細に設定した上で、学期前に担当教員への説明会を開催している。また、学期末のテストは共通の問題を利用して、クラスによらずに学習項目の修得の度合いを評価している。
「基礎統計」はリアルタイム講義であるが、コロナ禍対応として講義の録画を各回行い、ITC-LMS経由でアクセスできるようにしている。練習問題を提供することで、講義内容や習熟度の確認を日頃から行うことができるようにしている。
</t>
    <rPh sb="0" eb="4">
      <t>トウキョウダイガク</t>
    </rPh>
    <rPh sb="64" eb="66">
      <t>ジュギョウ</t>
    </rPh>
    <rPh sb="66" eb="68">
      <t>ケイカク</t>
    </rPh>
    <rPh sb="68" eb="69">
      <t>トウ</t>
    </rPh>
    <rPh sb="70" eb="72">
      <t>ジョウホウ</t>
    </rPh>
    <rPh sb="73" eb="75">
      <t>ケイサイ</t>
    </rPh>
    <rPh sb="130" eb="131">
      <t>ジョウ</t>
    </rPh>
    <rPh sb="133" eb="135">
      <t>リヨウ</t>
    </rPh>
    <rPh sb="136" eb="138">
      <t>カノウ</t>
    </rPh>
    <rPh sb="370" eb="372">
      <t>レンシュウ</t>
    </rPh>
    <rPh sb="388" eb="391">
      <t>シュウジュクド</t>
    </rPh>
    <rPh sb="392" eb="394">
      <t>カクニン</t>
    </rPh>
    <rPh sb="399" eb="400">
      <t>オコナ</t>
    </rPh>
    <phoneticPr fontId="2"/>
  </si>
  <si>
    <t>授業時間内外で学習指導、質問を受け付ける具体的な仕組み</t>
    <rPh sb="20" eb="23">
      <t>グタイテキ</t>
    </rPh>
    <phoneticPr fontId="2"/>
  </si>
  <si>
    <t xml:space="preserve">東京大学の学習管理システムITC-LMSやオフィスアワー等を活用し学生の質問等を受け付けている。質問対応については各教員が工夫しており、例えばコロナ禍におけるオンライン講義では、教員と学生の距離が遠くなりがちであるため、あえて講義最後5分程度は自由解散Q&amp;Aタイムとするなどしている。メールでの直接の質問にも可能な限り対応している。
「情報」に関わる入門用オンライン自習教材「はいぱーわーくブック(ＨＷＢ)」を作成し、ウェブサイト利用による授業時間外学習支援の取組として活用している。
</t>
    <rPh sb="28" eb="29">
      <t>トウ</t>
    </rPh>
    <rPh sb="33" eb="35">
      <t>ガクセイ</t>
    </rPh>
    <rPh sb="36" eb="38">
      <t>シツモン</t>
    </rPh>
    <rPh sb="38" eb="39">
      <t>トウ</t>
    </rPh>
    <rPh sb="40" eb="41">
      <t>ウ</t>
    </rPh>
    <rPh sb="42" eb="43">
      <t>ツ</t>
    </rPh>
    <rPh sb="48" eb="50">
      <t>シツモン</t>
    </rPh>
    <rPh sb="50" eb="52">
      <t>タイオウ</t>
    </rPh>
    <rPh sb="57" eb="58">
      <t>カク</t>
    </rPh>
    <rPh sb="58" eb="60">
      <t>キョウイン</t>
    </rPh>
    <rPh sb="61" eb="63">
      <t>クフウ</t>
    </rPh>
    <rPh sb="68" eb="69">
      <t>タト</t>
    </rPh>
    <rPh sb="147" eb="149">
      <t>チョクセツ</t>
    </rPh>
    <rPh sb="150" eb="152">
      <t>シツモン</t>
    </rPh>
    <rPh sb="154" eb="156">
      <t>カノウ</t>
    </rPh>
    <rPh sb="157" eb="158">
      <t>カギ</t>
    </rPh>
    <rPh sb="159" eb="161">
      <t>タイオウ</t>
    </rPh>
    <rPh sb="195" eb="196">
      <t>カカ</t>
    </rPh>
    <rPh sb="198" eb="201">
      <t>ニュウモンヨウ</t>
    </rPh>
    <rPh sb="206" eb="208">
      <t>ジシュウ</t>
    </rPh>
    <rPh sb="208" eb="210">
      <t>キョウザイ</t>
    </rPh>
    <phoneticPr fontId="2"/>
  </si>
  <si>
    <t>様式６</t>
    <rPh sb="0" eb="2">
      <t>ヨウシキ</t>
    </rPh>
    <phoneticPr fontId="2"/>
  </si>
  <si>
    <t>学校名：</t>
    <rPh sb="0" eb="3">
      <t>ガッコウメイ</t>
    </rPh>
    <phoneticPr fontId="2"/>
  </si>
  <si>
    <t>自己点検・評価について</t>
    <rPh sb="0" eb="2">
      <t>ジコ</t>
    </rPh>
    <rPh sb="2" eb="4">
      <t>テンケン</t>
    </rPh>
    <rPh sb="5" eb="7">
      <t>ヒョウカ</t>
    </rPh>
    <phoneticPr fontId="2"/>
  </si>
  <si>
    <t>自己点検・評価体制における意見等</t>
    <rPh sb="15" eb="16">
      <t>トウ</t>
    </rPh>
    <phoneticPr fontId="2"/>
  </si>
  <si>
    <t>自己点検・評価の視点</t>
    <rPh sb="0" eb="2">
      <t>ジコ</t>
    </rPh>
    <rPh sb="2" eb="4">
      <t>テンケン</t>
    </rPh>
    <rPh sb="5" eb="7">
      <t>ヒョウカ</t>
    </rPh>
    <rPh sb="8" eb="10">
      <t>シテン</t>
    </rPh>
    <phoneticPr fontId="2"/>
  </si>
  <si>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2"/>
  </si>
  <si>
    <t>学内からの視点</t>
    <rPh sb="0" eb="2">
      <t>ガクナイ</t>
    </rPh>
    <rPh sb="5" eb="7">
      <t>シテン</t>
    </rPh>
    <phoneticPr fontId="2"/>
  </si>
  <si>
    <t>プログラムの履修・修得状況</t>
    <rPh sb="6" eb="8">
      <t>リシュウ</t>
    </rPh>
    <rPh sb="9" eb="11">
      <t>シュウトク</t>
    </rPh>
    <rPh sb="11" eb="13">
      <t>ジョウキョウ</t>
    </rPh>
    <phoneticPr fontId="2"/>
  </si>
  <si>
    <t xml:space="preserve">東京大学の学習管理システムITC-LMSの活用により、受講者毎の講義演習進捗状況や課題への回答状況を把握することができる。数理・情報教育研究センターでは、学務システム（UTAS）に蓄積された関連授業科目の履修・取得状況を把握し、学生の履修率の向上等の検討に役立てている。
</t>
    <rPh sb="21" eb="23">
      <t>カツヨウ</t>
    </rPh>
    <rPh sb="61" eb="63">
      <t>スウリ</t>
    </rPh>
    <rPh sb="64" eb="66">
      <t>ジョウホウ</t>
    </rPh>
    <rPh sb="66" eb="68">
      <t>キョウイク</t>
    </rPh>
    <rPh sb="68" eb="70">
      <t>ケンキュウ</t>
    </rPh>
    <rPh sb="93" eb="95">
      <t>スウリ</t>
    </rPh>
    <rPh sb="96" eb="98">
      <t>ジョウホウ</t>
    </rPh>
    <rPh sb="98" eb="100">
      <t>キョウイク</t>
    </rPh>
    <rPh sb="100" eb="102">
      <t>ケンキュウ</t>
    </rPh>
    <rPh sb="111" eb="113">
      <t>ガクム</t>
    </rPh>
    <rPh sb="114" eb="116">
      <t>ガクセイ</t>
    </rPh>
    <rPh sb="117" eb="120">
      <t>リシュウリツ</t>
    </rPh>
    <rPh sb="121" eb="123">
      <t>コウジョウ</t>
    </rPh>
    <rPh sb="123" eb="124">
      <t>トウ</t>
    </rPh>
    <rPh sb="125" eb="127">
      <t>ケントウ</t>
    </rPh>
    <rPh sb="128" eb="130">
      <t>ヤクダ</t>
    </rPh>
    <phoneticPr fontId="2"/>
  </si>
  <si>
    <t>学修成果</t>
    <rPh sb="0" eb="2">
      <t>ガクシュウ</t>
    </rPh>
    <rPh sb="2" eb="4">
      <t>セイカ</t>
    </rPh>
    <phoneticPr fontId="2"/>
  </si>
  <si>
    <t xml:space="preserve">教養学部前期課程では、各学期終了時に「学生による授業評価」をすべての授業で実施している。評価項目（20項目）には、授業の難易度や、新しい知識や技能、学力はどの程度身についたかなどの項目が含まれており、これらの結果から学生の理解度を分析している。
さらに、教養学部前期課程の修了生全員を対象に「教養教育の達成度についての調査（出口調査）」を継続的に実施し、カリキュラムがねらい通りの成果をあげているかを点検している。
このほか、学部新卒者に対する大学教育の達成度調査アンケートを実施し、東京大学の教育を通じて身につけた能力について確認し、各部局の教育改善に役立てている。 
</t>
    <phoneticPr fontId="2"/>
  </si>
  <si>
    <t>学生アンケート等を通じた学生の内容の理解度</t>
    <rPh sb="0" eb="2">
      <t>ガクセイ</t>
    </rPh>
    <rPh sb="7" eb="8">
      <t>トウ</t>
    </rPh>
    <rPh sb="9" eb="10">
      <t>ツウ</t>
    </rPh>
    <rPh sb="12" eb="14">
      <t>ガクセイ</t>
    </rPh>
    <rPh sb="15" eb="17">
      <t>ナイヨウ</t>
    </rPh>
    <rPh sb="18" eb="21">
      <t>リカイド</t>
    </rPh>
    <phoneticPr fontId="2"/>
  </si>
  <si>
    <t>上述の「学生による授業評価」、「教養教育の達成度についての調査（出口調査）」等の学生アンケートにより、学生の内容の理解度を分析している。さらに、数理・情報教育研究センターでは，卒業時、学部後期課程進学時の学生を対象として、数学及びデータ・サイエンス分野の各事項（微分・積分、線形代数、応用解析、確率・統計、情報・計算）の知識と理解に 関する自己評価調査を実施している。</t>
    <rPh sb="0" eb="2">
      <t>ジョウジュツ</t>
    </rPh>
    <rPh sb="4" eb="6">
      <t>ガクセイ</t>
    </rPh>
    <rPh sb="9" eb="11">
      <t>ジュギョウ</t>
    </rPh>
    <rPh sb="11" eb="13">
      <t>ヒョウカ</t>
    </rPh>
    <rPh sb="38" eb="39">
      <t>トウ</t>
    </rPh>
    <rPh sb="40" eb="42">
      <t>ガクセイ</t>
    </rPh>
    <rPh sb="51" eb="53">
      <t>ガクセイ</t>
    </rPh>
    <rPh sb="54" eb="56">
      <t>ナイヨウ</t>
    </rPh>
    <rPh sb="57" eb="60">
      <t>リカイド</t>
    </rPh>
    <rPh sb="61" eb="63">
      <t>ブンセキ</t>
    </rPh>
    <phoneticPr fontId="2"/>
  </si>
  <si>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2"/>
  </si>
  <si>
    <t xml:space="preserve">授業科目「情報」は必修科目である。「基礎統計」については、統計学はデータサイエンスの基盤となる学問分野の一つであり、例えば機械学習の複雑で高度なモデリング・解析手法に遭遇した場合でも、当該授業科目で学ぶ基礎が理解の助けとなることを示している。その際、卒業者（社会人）等の意見を含めながら発信していくことも計画している。
</t>
    <phoneticPr fontId="2"/>
  </si>
  <si>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2"/>
  </si>
  <si>
    <t>情報教育運営委員会及び情報教育ネットワークにおいて、全学的な見地から数理・データサイエンス・AI教育の実施状況について継続的に確認している。また、数理・情報教育研究センターにおいて、学生調査の結果や履修・取得状況等を分析し、「基礎情報」等の学部前期課程のデータサイエンス関連授業科目について履修者数、履修率向上に向けた検討及び協力を行っている。なお、授業科目「情報」については全学必修である。</t>
    <rPh sb="0" eb="2">
      <t>ジョウホウ</t>
    </rPh>
    <rPh sb="2" eb="4">
      <t>キョウイク</t>
    </rPh>
    <rPh sb="4" eb="6">
      <t>ウンエイ</t>
    </rPh>
    <rPh sb="6" eb="9">
      <t>イインカイ</t>
    </rPh>
    <rPh sb="9" eb="10">
      <t>オヨ</t>
    </rPh>
    <rPh sb="11" eb="13">
      <t>ジョウホウ</t>
    </rPh>
    <rPh sb="13" eb="15">
      <t>キョウイク</t>
    </rPh>
    <rPh sb="26" eb="29">
      <t>ゼンガクテキ</t>
    </rPh>
    <rPh sb="30" eb="32">
      <t>ケンチ</t>
    </rPh>
    <rPh sb="34" eb="36">
      <t>スウリ</t>
    </rPh>
    <rPh sb="48" eb="50">
      <t>キョウイク</t>
    </rPh>
    <rPh sb="51" eb="53">
      <t>ジッシ</t>
    </rPh>
    <rPh sb="53" eb="55">
      <t>ジョウキョウ</t>
    </rPh>
    <rPh sb="59" eb="62">
      <t>ケイゾクテキ</t>
    </rPh>
    <rPh sb="73" eb="75">
      <t>スウリ</t>
    </rPh>
    <rPh sb="76" eb="78">
      <t>ジョウホウ</t>
    </rPh>
    <rPh sb="78" eb="80">
      <t>キョウイク</t>
    </rPh>
    <rPh sb="80" eb="82">
      <t>ケンキュウ</t>
    </rPh>
    <rPh sb="91" eb="93">
      <t>ガクセイ</t>
    </rPh>
    <rPh sb="93" eb="95">
      <t>チョウサ</t>
    </rPh>
    <rPh sb="96" eb="98">
      <t>ケッカ</t>
    </rPh>
    <rPh sb="113" eb="115">
      <t>キソ</t>
    </rPh>
    <rPh sb="115" eb="117">
      <t>ジョウホウ</t>
    </rPh>
    <rPh sb="118" eb="119">
      <t>トウ</t>
    </rPh>
    <rPh sb="120" eb="122">
      <t>ガクブ</t>
    </rPh>
    <rPh sb="122" eb="126">
      <t>ゼンキカテイ</t>
    </rPh>
    <rPh sb="135" eb="137">
      <t>カンレン</t>
    </rPh>
    <rPh sb="137" eb="139">
      <t>ジュギョウ</t>
    </rPh>
    <rPh sb="139" eb="141">
      <t>カモク</t>
    </rPh>
    <rPh sb="161" eb="162">
      <t>オヨ</t>
    </rPh>
    <rPh sb="163" eb="165">
      <t>キョウリョク</t>
    </rPh>
    <rPh sb="175" eb="177">
      <t>ジュギョウ</t>
    </rPh>
    <rPh sb="177" eb="179">
      <t>カモク</t>
    </rPh>
    <phoneticPr fontId="2"/>
  </si>
  <si>
    <t>学外からの視点</t>
    <rPh sb="0" eb="2">
      <t>ガクガイ</t>
    </rPh>
    <rPh sb="5" eb="7">
      <t>シテン</t>
    </rPh>
    <phoneticPr fontId="2"/>
  </si>
  <si>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2"/>
  </si>
  <si>
    <t>学校基本調査等に基づく毎年度の進路状況調査を活用するほか、各種大学評価に伴う調査や、大学・企業間コンソーシアム等で得られた卒業生・企業関係者からの意見等を通じて、卒業生への評価を確認する。</t>
    <phoneticPr fontId="2"/>
  </si>
  <si>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2"/>
  </si>
  <si>
    <t xml:space="preserve">数理・情報教育研究センターの活動を支援するとともに、数理的手法及びデータサイエンスの総合的な教育基盤を整備し、その成果を産業界の発展に活用することを目的として、日本電気株式会社、株式会社三井住友フィナンシャルグループ、日鉄ソリューションズ株式会社、株式会社ADKマーケティング・ソリューソンズ、日本生命保険相互会社、日産自動車株式会社及び東京海上ホールディングス株式会社の7企業並びに本学からなる「UTokyo MDSコンソーシアム」を設置している。ラウンドテーブルを通じてリテラシーレベルの教育の在り方等に関する意見を収集するなどして、数理・データサイエンス・AI教育の改善に役立てている。
</t>
    <rPh sb="189" eb="190">
      <t>ナラ</t>
    </rPh>
    <rPh sb="192" eb="194">
      <t>ホンガク</t>
    </rPh>
    <rPh sb="218" eb="220">
      <t>セッチ</t>
    </rPh>
    <rPh sb="234" eb="235">
      <t>ツウ</t>
    </rPh>
    <rPh sb="246" eb="248">
      <t>キョウイク</t>
    </rPh>
    <rPh sb="249" eb="250">
      <t>ア</t>
    </rPh>
    <rPh sb="251" eb="252">
      <t>カタ</t>
    </rPh>
    <rPh sb="252" eb="253">
      <t>トウ</t>
    </rPh>
    <rPh sb="254" eb="255">
      <t>カン</t>
    </rPh>
    <rPh sb="257" eb="259">
      <t>イケン</t>
    </rPh>
    <rPh sb="260" eb="262">
      <t>シュウシュウ</t>
    </rPh>
    <rPh sb="269" eb="271">
      <t>スウリ</t>
    </rPh>
    <rPh sb="283" eb="285">
      <t>キョウイク</t>
    </rPh>
    <rPh sb="286" eb="288">
      <t>カイゼン</t>
    </rPh>
    <rPh sb="289" eb="291">
      <t>ヤクダ</t>
    </rPh>
    <phoneticPr fontId="2"/>
  </si>
  <si>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2"/>
  </si>
  <si>
    <t xml:space="preserve">モデルカリキュラムリテラシーレベルの導入部分に準じた内容を組み入れ、身近な情報システムを題材として取り上げたり、AIの活用や情報技術に関わる社会的課題を示したりするなど、学生が関心を示す講義内容としている。また、統計的手法については実例に基づく分析を組み入れるなどしている。これらの授業内容については、学生による授業評価等を活用し、必要な見直し等を行っている。
</t>
    <rPh sb="18" eb="20">
      <t>ドウニュウ</t>
    </rPh>
    <rPh sb="20" eb="22">
      <t>ブブン</t>
    </rPh>
    <rPh sb="23" eb="24">
      <t>ジュン</t>
    </rPh>
    <rPh sb="26" eb="28">
      <t>ナイヨウ</t>
    </rPh>
    <rPh sb="29" eb="30">
      <t>ク</t>
    </rPh>
    <rPh sb="31" eb="32">
      <t>イ</t>
    </rPh>
    <rPh sb="34" eb="36">
      <t>ミジカ</t>
    </rPh>
    <rPh sb="37" eb="39">
      <t>ジョウホウ</t>
    </rPh>
    <rPh sb="44" eb="46">
      <t>ダイザイ</t>
    </rPh>
    <rPh sb="49" eb="50">
      <t>ト</t>
    </rPh>
    <rPh sb="51" eb="52">
      <t>ア</t>
    </rPh>
    <rPh sb="59" eb="61">
      <t>カツヨウ</t>
    </rPh>
    <rPh sb="62" eb="64">
      <t>ジョウホウ</t>
    </rPh>
    <rPh sb="64" eb="66">
      <t>ギジュツ</t>
    </rPh>
    <rPh sb="67" eb="68">
      <t>カカ</t>
    </rPh>
    <rPh sb="70" eb="73">
      <t>シャカイテキ</t>
    </rPh>
    <rPh sb="73" eb="75">
      <t>カダイ</t>
    </rPh>
    <rPh sb="76" eb="77">
      <t>シメ</t>
    </rPh>
    <rPh sb="85" eb="87">
      <t>ガクセイ</t>
    </rPh>
    <rPh sb="88" eb="90">
      <t>カンシン</t>
    </rPh>
    <rPh sb="91" eb="92">
      <t>シメ</t>
    </rPh>
    <rPh sb="93" eb="97">
      <t>コウギナイヨウ</t>
    </rPh>
    <rPh sb="106" eb="109">
      <t>トウケイテキ</t>
    </rPh>
    <rPh sb="109" eb="111">
      <t>シュホウ</t>
    </rPh>
    <rPh sb="116" eb="118">
      <t>ジツレイ</t>
    </rPh>
    <rPh sb="119" eb="120">
      <t>モト</t>
    </rPh>
    <rPh sb="122" eb="124">
      <t>ブンセキ</t>
    </rPh>
    <rPh sb="125" eb="126">
      <t>ク</t>
    </rPh>
    <rPh sb="127" eb="128">
      <t>イ</t>
    </rPh>
    <rPh sb="141" eb="143">
      <t>ジュギョウ</t>
    </rPh>
    <rPh sb="143" eb="145">
      <t>ナイヨウ</t>
    </rPh>
    <rPh sb="151" eb="153">
      <t>ガクセイ</t>
    </rPh>
    <rPh sb="156" eb="160">
      <t>ジュギョウヒョウカ</t>
    </rPh>
    <rPh sb="160" eb="161">
      <t>トウ</t>
    </rPh>
    <rPh sb="166" eb="168">
      <t>ヒツヨウ</t>
    </rPh>
    <rPh sb="169" eb="171">
      <t>ミナオ</t>
    </rPh>
    <rPh sb="172" eb="173">
      <t>トウ</t>
    </rPh>
    <rPh sb="174" eb="175">
      <t>オコナ</t>
    </rPh>
    <phoneticPr fontId="2"/>
  </si>
  <si>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2"/>
  </si>
  <si>
    <t xml:space="preserve">教養学部前期課程では、前述のとおり、各学期終了時に「学生による授業評価」をすべての授業で実施しており、授業への興味、授業内容の量、説明のわかりやすさ、授業の難易度等について調査し、講義の内容・実施方法の改善に役立てている。
「情報」の実施に当たっては、高等教育普通教科「情報」の履修等状況調査を継続的に実施し、高等学校における教科「情報」の履修状況等を把握することにより、より効果的な講義と演習とするための検討に役立てている。
</t>
    <rPh sb="0" eb="2">
      <t>キョウヨウ</t>
    </rPh>
    <rPh sb="11" eb="13">
      <t>ゼンジュツ</t>
    </rPh>
    <rPh sb="51" eb="53">
      <t>ジュギョウ</t>
    </rPh>
    <rPh sb="55" eb="57">
      <t>キョウミ</t>
    </rPh>
    <rPh sb="58" eb="60">
      <t>ジュギョウ</t>
    </rPh>
    <rPh sb="60" eb="62">
      <t>ナイヨウ</t>
    </rPh>
    <rPh sb="63" eb="64">
      <t>リョウ</t>
    </rPh>
    <rPh sb="65" eb="67">
      <t>セツメイ</t>
    </rPh>
    <rPh sb="81" eb="82">
      <t>トウ</t>
    </rPh>
    <rPh sb="86" eb="88">
      <t>チョウサ</t>
    </rPh>
    <rPh sb="90" eb="92">
      <t>コウギ</t>
    </rPh>
    <rPh sb="93" eb="95">
      <t>ナイヨウ</t>
    </rPh>
    <rPh sb="96" eb="98">
      <t>ジッシ</t>
    </rPh>
    <rPh sb="98" eb="100">
      <t>ホウホウ</t>
    </rPh>
    <rPh sb="101" eb="103">
      <t>カイゼン</t>
    </rPh>
    <rPh sb="104" eb="106">
      <t>ヤクダ</t>
    </rPh>
    <rPh sb="113" eb="115">
      <t>ジョウホウ</t>
    </rPh>
    <rPh sb="117" eb="119">
      <t>ジッシ</t>
    </rPh>
    <rPh sb="120" eb="121">
      <t>ア</t>
    </rPh>
    <rPh sb="126" eb="130">
      <t>コウトウキョウイク</t>
    </rPh>
    <rPh sb="147" eb="150">
      <t>ケイゾクテキ</t>
    </rPh>
    <rPh sb="163" eb="165">
      <t>キョウカ</t>
    </rPh>
    <phoneticPr fontId="2"/>
  </si>
  <si>
    <t>※公表している場合のアドレス</t>
    <rPh sb="1" eb="3">
      <t>コウヒョウ</t>
    </rPh>
    <rPh sb="7" eb="9">
      <t>バアイ</t>
    </rPh>
    <phoneticPr fontId="2"/>
  </si>
  <si>
    <t>自己点検・評価体制における意見等の公表の有無</t>
    <rPh sb="17" eb="19">
      <t>コウヒョウ</t>
    </rPh>
    <rPh sb="20" eb="22">
      <t>ウム</t>
    </rPh>
    <phoneticPr fontId="2"/>
  </si>
  <si>
    <t>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</si>
</sst>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font>
      <sz val="11"/>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u/>
      <sz val="11"/>
      <name val="ＭＳ Ｐゴシック"/>
      <family val="3"/>
      <charset val="128"/>
      <scheme val="minor"/>
    </font>
    <font>
      <sz val="9"/>
      <name val="ＭＳ Ｐゴシック"/>
      <family val="3"/>
      <charset val="128"/>
      <scheme val="minor"/>
    </font>
    <font>
      <sz val="11"/>
      <name val="ＭＳ Ｐゴシック"/>
      <family val="3"/>
      <charset val="128"/>
      <scheme val="minor"/>
    </font>
    <font>
      <sz val="12"/>
      <name val="ＭＳ ゴシック"/>
      <family val="3"/>
      <charset val="128"/>
    </font>
    <font>
      <sz val="9"/>
      <name val="ＭＳ Ｐゴシック"/>
      <family val="2"/>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7" fillId="0" borderId="0" applyFont="0" applyFill="0" applyBorder="0" applyAlignment="0" applyProtection="0">
      <alignment vertical="center"/>
    </xf>
    <xf numFmtId="0" fontId="8" fillId="0" borderId="0" applyNumberFormat="0" applyFill="0" applyBorder="0" applyAlignment="0" applyProtection="0">
      <alignment vertical="center"/>
    </xf>
  </cellStyleXfs>
  <cellXfs count="272">
    <xf numFmtId="0" fontId="0" fillId="0" borderId="0" xfId="0">
      <alignment vertical="center"/>
    </xf>
    <xf numFmtId="0" fontId="3" fillId="0" borderId="0" xfId="0" applyFont="1">
      <alignment vertical="center"/>
    </xf>
    <xf numFmtId="0" fontId="5" fillId="0" borderId="0" xfId="0" applyFont="1">
      <alignment vertical="center"/>
    </xf>
    <xf numFmtId="0" fontId="5" fillId="0" borderId="0" xfId="0" applyFont="1" applyBorder="1" applyAlignment="1">
      <alignment vertical="center" wrapText="1"/>
    </xf>
    <xf numFmtId="0" fontId="4" fillId="0" borderId="0" xfId="0" applyFont="1" applyAlignment="1">
      <alignment vertical="center"/>
    </xf>
    <xf numFmtId="0" fontId="5" fillId="0" borderId="0" xfId="0" applyFont="1" applyBorder="1" applyAlignment="1">
      <alignment vertical="top" wrapText="1"/>
    </xf>
    <xf numFmtId="0" fontId="4" fillId="0" borderId="0" xfId="0" applyFont="1" applyBorder="1" applyAlignment="1">
      <alignment vertical="top" wrapText="1"/>
    </xf>
    <xf numFmtId="0" fontId="4" fillId="0" borderId="0" xfId="0" applyFont="1">
      <alignment vertical="center"/>
    </xf>
    <xf numFmtId="0" fontId="4" fillId="0" borderId="0" xfId="0" applyFont="1" applyBorder="1" applyAlignment="1">
      <alignment vertical="center" wrapText="1"/>
    </xf>
    <xf numFmtId="0" fontId="5" fillId="0" borderId="0" xfId="0" applyFont="1" applyBorder="1" applyAlignment="1">
      <alignment vertical="top" shrinkToFit="1"/>
    </xf>
    <xf numFmtId="176" fontId="10" fillId="0" borderId="0" xfId="0" applyNumberFormat="1" applyFont="1" applyBorder="1">
      <alignment vertical="center"/>
    </xf>
    <xf numFmtId="176" fontId="10" fillId="0" borderId="3" xfId="0" applyNumberFormat="1" applyFont="1" applyBorder="1" applyAlignment="1">
      <alignment vertical="center" shrinkToFit="1"/>
    </xf>
    <xf numFmtId="0" fontId="11" fillId="0" borderId="0" xfId="0" applyFont="1">
      <alignment vertical="center"/>
    </xf>
    <xf numFmtId="0" fontId="10" fillId="0" borderId="0" xfId="0" applyFont="1">
      <alignment vertical="center"/>
    </xf>
    <xf numFmtId="0" fontId="10" fillId="0" borderId="0" xfId="0" applyFont="1" applyAlignment="1">
      <alignment vertical="center"/>
    </xf>
    <xf numFmtId="0" fontId="10" fillId="0" borderId="0" xfId="0" applyFont="1" applyAlignment="1">
      <alignment horizontal="left" vertical="center"/>
    </xf>
    <xf numFmtId="0" fontId="10" fillId="0" borderId="0" xfId="0" applyFont="1" applyBorder="1" applyAlignment="1">
      <alignment vertical="center"/>
    </xf>
    <xf numFmtId="0" fontId="10" fillId="0" borderId="10" xfId="0" applyFont="1" applyBorder="1" applyAlignment="1">
      <alignment vertical="center"/>
    </xf>
    <xf numFmtId="0" fontId="10" fillId="0" borderId="5" xfId="0" applyFont="1" applyBorder="1">
      <alignment vertical="center"/>
    </xf>
    <xf numFmtId="176" fontId="10" fillId="0" borderId="0" xfId="0" applyNumberFormat="1" applyFont="1" applyBorder="1" applyAlignment="1">
      <alignment vertical="center" wrapText="1"/>
    </xf>
    <xf numFmtId="0" fontId="10" fillId="0" borderId="0" xfId="0" applyFont="1" applyBorder="1">
      <alignment vertical="center"/>
    </xf>
    <xf numFmtId="176" fontId="10" fillId="0" borderId="5" xfId="0" applyNumberFormat="1" applyFont="1" applyBorder="1" applyAlignment="1">
      <alignment vertical="center"/>
    </xf>
    <xf numFmtId="176" fontId="10" fillId="0" borderId="0" xfId="0" applyNumberFormat="1" applyFont="1" applyAlignment="1">
      <alignment vertical="center" wrapText="1"/>
    </xf>
    <xf numFmtId="176" fontId="10" fillId="0" borderId="0" xfId="0" applyNumberFormat="1" applyFont="1" applyAlignment="1">
      <alignment horizontal="left" vertical="center" wrapText="1"/>
    </xf>
    <xf numFmtId="0" fontId="10" fillId="0" borderId="0" xfId="0" applyFont="1" applyAlignment="1">
      <alignment horizontal="right" vertical="center"/>
    </xf>
    <xf numFmtId="0" fontId="10" fillId="0" borderId="6" xfId="0" applyFont="1" applyBorder="1" applyAlignment="1">
      <alignment vertical="center" shrinkToFit="1"/>
    </xf>
    <xf numFmtId="0" fontId="10" fillId="0" borderId="1" xfId="0" applyFont="1" applyBorder="1">
      <alignment vertical="center"/>
    </xf>
    <xf numFmtId="0" fontId="10" fillId="0" borderId="2" xfId="0" applyFont="1" applyBorder="1">
      <alignment vertical="center"/>
    </xf>
    <xf numFmtId="0" fontId="10" fillId="0" borderId="4" xfId="0" applyFont="1" applyBorder="1">
      <alignment vertical="center"/>
    </xf>
    <xf numFmtId="0" fontId="12" fillId="0" borderId="11" xfId="0" applyFont="1" applyBorder="1" applyAlignment="1">
      <alignment horizontal="center" vertical="center"/>
    </xf>
    <xf numFmtId="0" fontId="12" fillId="0" borderId="12"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32" xfId="0" applyFont="1" applyBorder="1" applyAlignment="1">
      <alignment horizontal="center" vertical="center"/>
    </xf>
    <xf numFmtId="0" fontId="3" fillId="0" borderId="0" xfId="0" applyFont="1" applyAlignment="1">
      <alignment horizontal="center" vertical="center"/>
    </xf>
    <xf numFmtId="0" fontId="5" fillId="0" borderId="0" xfId="0" applyFont="1" applyAlignment="1">
      <alignment vertical="top" wrapText="1"/>
    </xf>
    <xf numFmtId="0" fontId="6" fillId="0" borderId="0" xfId="0" applyFont="1" applyAlignment="1">
      <alignment vertical="top" wrapText="1"/>
    </xf>
    <xf numFmtId="0" fontId="10" fillId="0" borderId="1" xfId="0"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vertical="center" shrinkToFit="1"/>
    </xf>
    <xf numFmtId="0" fontId="4" fillId="0" borderId="0" xfId="0" applyFont="1" applyBorder="1" applyAlignment="1">
      <alignment vertical="center" shrinkToFit="1"/>
    </xf>
    <xf numFmtId="0" fontId="4" fillId="0" borderId="5" xfId="0" applyFont="1" applyBorder="1" applyAlignment="1">
      <alignment vertical="center" shrinkToFit="1"/>
    </xf>
    <xf numFmtId="176" fontId="4" fillId="0" borderId="5" xfId="0" applyNumberFormat="1" applyFont="1" applyBorder="1" applyAlignment="1">
      <alignment vertical="center" shrinkToFit="1"/>
    </xf>
    <xf numFmtId="176" fontId="4" fillId="0" borderId="33" xfId="0" applyNumberFormat="1" applyFont="1" applyBorder="1" applyAlignment="1">
      <alignment vertical="center" shrinkToFit="1"/>
    </xf>
    <xf numFmtId="176" fontId="4" fillId="0" borderId="34" xfId="0" applyNumberFormat="1" applyFont="1" applyBorder="1" applyAlignment="1">
      <alignment vertical="center" shrinkToFit="1"/>
    </xf>
    <xf numFmtId="176" fontId="4" fillId="0" borderId="10" xfId="0" applyNumberFormat="1" applyFont="1" applyBorder="1" applyAlignment="1">
      <alignment vertical="center" shrinkToFit="1"/>
    </xf>
    <xf numFmtId="176" fontId="4" fillId="0" borderId="14" xfId="0" applyNumberFormat="1" applyFont="1" applyBorder="1" applyAlignment="1">
      <alignment vertical="center" shrinkToFit="1"/>
    </xf>
    <xf numFmtId="9" fontId="4" fillId="0" borderId="10" xfId="0" applyNumberFormat="1" applyFont="1" applyBorder="1" applyAlignment="1">
      <alignment vertical="center" shrinkToFit="1"/>
    </xf>
    <xf numFmtId="176" fontId="4" fillId="0" borderId="20" xfId="0" applyNumberFormat="1" applyFont="1" applyBorder="1" applyAlignment="1">
      <alignment vertical="center" shrinkToFit="1"/>
    </xf>
    <xf numFmtId="176" fontId="4" fillId="0" borderId="35" xfId="0" applyNumberFormat="1" applyFont="1" applyBorder="1" applyAlignment="1">
      <alignment vertical="center" shrinkToFit="1"/>
    </xf>
    <xf numFmtId="176" fontId="4" fillId="0" borderId="36" xfId="0" applyNumberFormat="1" applyFont="1" applyBorder="1" applyAlignment="1">
      <alignment vertical="center" shrinkToFit="1"/>
    </xf>
    <xf numFmtId="176" fontId="4" fillId="0" borderId="19" xfId="0" applyNumberFormat="1" applyFont="1" applyBorder="1" applyAlignment="1">
      <alignment vertical="center" shrinkToFit="1"/>
    </xf>
    <xf numFmtId="176" fontId="4" fillId="0" borderId="25" xfId="0" applyNumberFormat="1" applyFont="1" applyBorder="1" applyAlignment="1">
      <alignment vertical="center" shrinkToFit="1"/>
    </xf>
    <xf numFmtId="176" fontId="4" fillId="0" borderId="26" xfId="0" applyNumberFormat="1" applyFont="1" applyBorder="1" applyAlignment="1">
      <alignment vertical="center" shrinkToFit="1"/>
    </xf>
    <xf numFmtId="176" fontId="4" fillId="0" borderId="27" xfId="0" applyNumberFormat="1" applyFont="1" applyBorder="1" applyAlignment="1">
      <alignment vertical="center" shrinkToFit="1"/>
    </xf>
    <xf numFmtId="176" fontId="4" fillId="0" borderId="37" xfId="0" applyNumberFormat="1" applyFont="1" applyBorder="1" applyAlignment="1">
      <alignment vertical="center" shrinkToFit="1"/>
    </xf>
    <xf numFmtId="176" fontId="4" fillId="0" borderId="38" xfId="0" applyNumberFormat="1" applyFont="1" applyBorder="1" applyAlignment="1">
      <alignment vertical="center" shrinkToFit="1"/>
    </xf>
    <xf numFmtId="176" fontId="4" fillId="0" borderId="29" xfId="0" applyNumberFormat="1" applyFont="1" applyBorder="1" applyAlignment="1">
      <alignment vertical="center" shrinkToFit="1"/>
    </xf>
    <xf numFmtId="176" fontId="4" fillId="0" borderId="30" xfId="0" applyNumberFormat="1" applyFont="1" applyBorder="1" applyAlignment="1">
      <alignment vertical="center" shrinkToFit="1"/>
    </xf>
    <xf numFmtId="9" fontId="4" fillId="0" borderId="29" xfId="0" applyNumberFormat="1" applyFont="1" applyBorder="1" applyAlignment="1">
      <alignment vertical="center" shrinkToFit="1"/>
    </xf>
    <xf numFmtId="176" fontId="6" fillId="0" borderId="0" xfId="0" applyNumberFormat="1" applyFont="1" applyBorder="1" applyAlignment="1">
      <alignment vertical="center" shrinkToFit="1"/>
    </xf>
    <xf numFmtId="0" fontId="10" fillId="0" borderId="10" xfId="0" applyFont="1" applyBorder="1" applyAlignment="1">
      <alignment vertical="center" shrinkToFit="1"/>
    </xf>
    <xf numFmtId="0" fontId="10" fillId="0" borderId="0" xfId="0" applyFont="1" applyFill="1">
      <alignment vertical="center"/>
    </xf>
    <xf numFmtId="0" fontId="14" fillId="0" borderId="0" xfId="0" applyFont="1" applyBorder="1" applyAlignment="1">
      <alignment vertical="top" wrapText="1"/>
    </xf>
    <xf numFmtId="0" fontId="14" fillId="0" borderId="10" xfId="0" applyFont="1" applyBorder="1" applyAlignment="1">
      <alignment vertical="top" wrapText="1"/>
    </xf>
    <xf numFmtId="0" fontId="14" fillId="0" borderId="5" xfId="0" applyFont="1" applyBorder="1" applyAlignment="1">
      <alignment vertical="top" wrapText="1"/>
    </xf>
    <xf numFmtId="0" fontId="10" fillId="0" borderId="17" xfId="0" applyFont="1" applyBorder="1">
      <alignment vertical="center"/>
    </xf>
    <xf numFmtId="0" fontId="14" fillId="0" borderId="21" xfId="0" applyFont="1" applyBorder="1" applyAlignment="1">
      <alignment vertical="top" wrapText="1"/>
    </xf>
    <xf numFmtId="0" fontId="14" fillId="0" borderId="19" xfId="0" applyFont="1" applyBorder="1" applyAlignment="1">
      <alignment vertical="top" wrapText="1"/>
    </xf>
    <xf numFmtId="0" fontId="14" fillId="0" borderId="21" xfId="0" applyFont="1" applyBorder="1" applyAlignment="1">
      <alignment vertical="top" shrinkToFit="1"/>
    </xf>
    <xf numFmtId="0" fontId="14" fillId="0" borderId="19" xfId="0" applyFont="1" applyBorder="1" applyAlignment="1">
      <alignment vertical="top" shrinkToFit="1"/>
    </xf>
    <xf numFmtId="0" fontId="10" fillId="0" borderId="0" xfId="0" applyFont="1" applyAlignment="1">
      <alignment vertical="center" wrapText="1"/>
    </xf>
    <xf numFmtId="0" fontId="15" fillId="0" borderId="0" xfId="2" applyNumberFormat="1" applyFont="1" applyBorder="1" applyAlignment="1">
      <alignment vertical="center" shrinkToFit="1"/>
    </xf>
    <xf numFmtId="0" fontId="14" fillId="0" borderId="0" xfId="0" applyFont="1" applyBorder="1" applyAlignment="1">
      <alignment vertical="center" shrinkToFit="1"/>
    </xf>
    <xf numFmtId="0" fontId="14" fillId="0" borderId="10" xfId="0" applyFont="1" applyBorder="1" applyAlignment="1">
      <alignment vertical="center" shrinkToFit="1"/>
    </xf>
    <xf numFmtId="0" fontId="10" fillId="0" borderId="0" xfId="0" applyFont="1" applyFill="1" applyBorder="1" applyAlignment="1">
      <alignment vertical="center"/>
    </xf>
    <xf numFmtId="0" fontId="14" fillId="0" borderId="0" xfId="0" applyFont="1" applyFill="1" applyBorder="1" applyAlignment="1">
      <alignment vertical="top" wrapText="1"/>
    </xf>
    <xf numFmtId="0" fontId="10" fillId="0" borderId="1" xfId="0" applyFont="1" applyBorder="1" applyAlignment="1">
      <alignment vertical="center" wrapText="1"/>
    </xf>
    <xf numFmtId="38" fontId="4" fillId="0" borderId="27" xfId="1" applyFont="1" applyBorder="1" applyAlignment="1">
      <alignment vertical="center" shrinkToFit="1"/>
    </xf>
    <xf numFmtId="0" fontId="11" fillId="0" borderId="0" xfId="0" applyFont="1" applyBorder="1" applyAlignment="1">
      <alignment vertical="center"/>
    </xf>
    <xf numFmtId="0" fontId="10" fillId="0" borderId="0" xfId="0" applyFont="1" applyBorder="1" applyAlignment="1">
      <alignment vertical="center" wrapText="1"/>
    </xf>
    <xf numFmtId="0" fontId="17" fillId="0" borderId="0" xfId="0" applyFont="1" applyBorder="1" applyAlignment="1">
      <alignment vertical="top" wrapText="1"/>
    </xf>
    <xf numFmtId="0" fontId="11" fillId="0" borderId="0" xfId="0" applyFont="1" applyBorder="1" applyAlignment="1">
      <alignment vertical="center" wrapText="1"/>
    </xf>
    <xf numFmtId="0" fontId="11" fillId="0" borderId="11" xfId="0" applyFont="1" applyBorder="1" applyAlignment="1">
      <alignment horizontal="center" vertical="center"/>
    </xf>
    <xf numFmtId="0" fontId="11" fillId="0" borderId="1" xfId="0" applyFont="1" applyBorder="1" applyAlignment="1">
      <alignment vertical="center" wrapText="1"/>
    </xf>
    <xf numFmtId="0" fontId="1" fillId="0" borderId="0" xfId="0" applyFont="1" applyAlignment="1">
      <alignment horizontal="right" vertical="center"/>
    </xf>
    <xf numFmtId="0" fontId="10" fillId="0" borderId="0" xfId="0" applyFont="1" applyBorder="1" applyAlignment="1">
      <alignment horizontal="center" vertical="center"/>
    </xf>
    <xf numFmtId="0" fontId="10" fillId="0" borderId="2" xfId="0" applyFont="1" applyBorder="1" applyAlignment="1">
      <alignment horizontal="center" vertical="center" shrinkToFit="1"/>
    </xf>
    <xf numFmtId="0" fontId="11" fillId="0" borderId="0" xfId="0" applyFont="1" applyAlignment="1">
      <alignment horizontal="right" vertical="center"/>
    </xf>
    <xf numFmtId="0" fontId="10" fillId="0" borderId="0" xfId="0" applyFont="1" applyBorder="1" applyAlignment="1">
      <alignment horizontal="center" vertical="center" shrinkToFit="1"/>
    </xf>
    <xf numFmtId="0" fontId="10" fillId="0" borderId="0" xfId="0" applyFont="1" applyAlignment="1">
      <alignment horizontal="center" vertical="center"/>
    </xf>
    <xf numFmtId="0" fontId="10" fillId="0" borderId="0" xfId="0" applyFont="1" applyBorder="1" applyAlignment="1">
      <alignment vertical="center" shrinkToFit="1"/>
    </xf>
    <xf numFmtId="0" fontId="10" fillId="0" borderId="0" xfId="0" applyFont="1" applyBorder="1" applyAlignment="1">
      <alignment vertical="top" wrapText="1"/>
    </xf>
    <xf numFmtId="0" fontId="4" fillId="0" borderId="0" xfId="0" applyFont="1" applyAlignment="1">
      <alignment horizontal="center" vertical="center"/>
    </xf>
    <xf numFmtId="0" fontId="4" fillId="0" borderId="20" xfId="0" applyFont="1" applyBorder="1" applyAlignment="1">
      <alignment vertical="center" shrinkToFit="1"/>
    </xf>
    <xf numFmtId="0" fontId="4" fillId="0" borderId="19" xfId="0" applyFont="1" applyBorder="1" applyAlignment="1">
      <alignment vertical="center" shrinkToFit="1"/>
    </xf>
    <xf numFmtId="0" fontId="11" fillId="0" borderId="2" xfId="0" applyFont="1" applyBorder="1" applyAlignment="1">
      <alignment horizontal="center" vertical="center" shrinkToFit="1"/>
    </xf>
    <xf numFmtId="0" fontId="11" fillId="0" borderId="0" xfId="0" applyFont="1" applyAlignment="1">
      <alignment horizontal="center" vertical="center"/>
    </xf>
    <xf numFmtId="0" fontId="11" fillId="0" borderId="2" xfId="0" applyFont="1" applyBorder="1" applyAlignment="1">
      <alignment vertical="center" shrinkToFit="1"/>
    </xf>
    <xf numFmtId="0" fontId="14" fillId="0" borderId="0" xfId="0" applyFont="1" applyAlignment="1">
      <alignment vertical="top" wrapText="1"/>
    </xf>
    <xf numFmtId="0" fontId="10" fillId="0" borderId="0" xfId="0" applyFont="1" applyBorder="1" applyAlignment="1">
      <alignment vertical="center" shrinkToFit="1"/>
    </xf>
    <xf numFmtId="176" fontId="10" fillId="0" borderId="2" xfId="0" applyNumberFormat="1" applyFont="1" applyBorder="1" applyAlignment="1">
      <alignment horizontal="center" vertical="center" shrinkToFit="1"/>
    </xf>
    <xf numFmtId="176" fontId="10" fillId="0" borderId="4" xfId="0" applyNumberFormat="1" applyFont="1" applyBorder="1" applyAlignment="1">
      <alignment horizontal="center" vertical="center" shrinkToFit="1"/>
    </xf>
    <xf numFmtId="0" fontId="10" fillId="0" borderId="2" xfId="0" applyFont="1" applyBorder="1" applyAlignment="1">
      <alignment horizontal="center" vertical="center" shrinkToFit="1"/>
    </xf>
    <xf numFmtId="0" fontId="10" fillId="0" borderId="3" xfId="0" applyFont="1" applyBorder="1" applyAlignment="1">
      <alignment horizontal="center" vertical="center" shrinkToFit="1"/>
    </xf>
    <xf numFmtId="0" fontId="10" fillId="0" borderId="4" xfId="0" applyFont="1" applyBorder="1" applyAlignment="1">
      <alignment horizontal="center" vertical="center" shrinkToFit="1"/>
    </xf>
    <xf numFmtId="0" fontId="10" fillId="0" borderId="0" xfId="0" applyFont="1" applyBorder="1" applyAlignment="1">
      <alignment horizontal="center" vertical="center"/>
    </xf>
    <xf numFmtId="38" fontId="10" fillId="0" borderId="2" xfId="1" applyFont="1" applyBorder="1" applyAlignment="1">
      <alignment horizontal="center" vertical="center"/>
    </xf>
    <xf numFmtId="38" fontId="10" fillId="0" borderId="3" xfId="1" applyFont="1" applyBorder="1" applyAlignment="1">
      <alignment horizontal="center" vertical="center"/>
    </xf>
    <xf numFmtId="38" fontId="10" fillId="0" borderId="4" xfId="1" applyFont="1" applyBorder="1" applyAlignment="1">
      <alignment horizontal="center" vertical="center"/>
    </xf>
    <xf numFmtId="0" fontId="10" fillId="0" borderId="0" xfId="0" applyFont="1" applyBorder="1" applyAlignment="1">
      <alignment horizontal="right" vertical="center" shrinkToFit="1"/>
    </xf>
    <xf numFmtId="0" fontId="10" fillId="0" borderId="5" xfId="0" applyFont="1" applyBorder="1" applyAlignment="1">
      <alignment horizontal="right" vertical="center" shrinkToFit="1"/>
    </xf>
    <xf numFmtId="0" fontId="10" fillId="0" borderId="10" xfId="0" applyFont="1" applyBorder="1" applyAlignment="1">
      <alignment horizontal="right" vertical="center" shrinkToFi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1" fillId="0" borderId="0" xfId="0" applyFont="1" applyAlignment="1">
      <alignment horizontal="right" vertical="center"/>
    </xf>
    <xf numFmtId="0" fontId="10" fillId="0" borderId="0" xfId="0" applyFont="1" applyBorder="1" applyAlignment="1">
      <alignment horizontal="right" vertical="center"/>
    </xf>
    <xf numFmtId="0" fontId="10" fillId="0" borderId="10" xfId="0" applyFont="1" applyBorder="1" applyAlignment="1">
      <alignment horizontal="right" vertical="center"/>
    </xf>
    <xf numFmtId="176" fontId="10" fillId="0" borderId="3" xfId="0" applyNumberFormat="1" applyFont="1" applyBorder="1" applyAlignment="1">
      <alignment horizontal="center" vertical="center" shrinkToFit="1"/>
    </xf>
    <xf numFmtId="0" fontId="10" fillId="0" borderId="0" xfId="0" applyFont="1" applyBorder="1" applyAlignment="1">
      <alignment horizontal="center" vertical="center" shrinkToFit="1"/>
    </xf>
    <xf numFmtId="0" fontId="10" fillId="0" borderId="0" xfId="0" applyFont="1" applyAlignment="1">
      <alignment horizontal="center" vertical="center"/>
    </xf>
    <xf numFmtId="0" fontId="10" fillId="0" borderId="2" xfId="0" applyFont="1" applyBorder="1" applyAlignment="1">
      <alignment vertical="center" shrinkToFit="1"/>
    </xf>
    <xf numFmtId="0" fontId="10" fillId="0" borderId="3" xfId="0" applyFont="1" applyBorder="1" applyAlignment="1">
      <alignment vertical="center" shrinkToFit="1"/>
    </xf>
    <xf numFmtId="0" fontId="10" fillId="0" borderId="4" xfId="0" applyFont="1" applyBorder="1" applyAlignment="1">
      <alignment vertical="center" shrinkToFit="1"/>
    </xf>
    <xf numFmtId="49" fontId="13" fillId="0" borderId="2" xfId="2" applyNumberFormat="1" applyFont="1" applyBorder="1" applyAlignment="1">
      <alignment vertical="center" shrinkToFit="1"/>
    </xf>
    <xf numFmtId="49" fontId="10" fillId="0" borderId="3" xfId="0" applyNumberFormat="1" applyFont="1" applyBorder="1" applyAlignment="1">
      <alignment vertical="center" shrinkToFit="1"/>
    </xf>
    <xf numFmtId="49" fontId="10" fillId="0" borderId="4" xfId="0" applyNumberFormat="1" applyFont="1" applyBorder="1" applyAlignment="1">
      <alignment vertical="center" shrinkToFit="1"/>
    </xf>
    <xf numFmtId="49" fontId="10" fillId="0" borderId="2" xfId="1" applyNumberFormat="1" applyFont="1" applyBorder="1" applyAlignment="1">
      <alignment horizontal="center" vertical="center" shrinkToFit="1"/>
    </xf>
    <xf numFmtId="49" fontId="10" fillId="0" borderId="3" xfId="1" applyNumberFormat="1" applyFont="1" applyBorder="1" applyAlignment="1">
      <alignment horizontal="center" vertical="center" shrinkToFit="1"/>
    </xf>
    <xf numFmtId="49" fontId="10" fillId="0" borderId="4" xfId="1" applyNumberFormat="1" applyFont="1" applyBorder="1" applyAlignment="1">
      <alignment horizontal="center" vertical="center" shrinkToFit="1"/>
    </xf>
    <xf numFmtId="0" fontId="10" fillId="0" borderId="0" xfId="0" applyFont="1" applyAlignment="1">
      <alignment vertical="center" shrinkToFit="1"/>
    </xf>
    <xf numFmtId="0" fontId="10" fillId="0" borderId="1" xfId="0" applyFont="1" applyBorder="1" applyAlignment="1">
      <alignment horizontal="center" vertical="center"/>
    </xf>
    <xf numFmtId="0" fontId="10" fillId="0" borderId="1" xfId="0" applyFont="1" applyBorder="1" applyAlignment="1">
      <alignment horizontal="center" vertical="center" shrinkToFit="1"/>
    </xf>
    <xf numFmtId="0" fontId="10" fillId="0" borderId="7" xfId="0" applyFont="1" applyBorder="1" applyAlignment="1">
      <alignment vertical="top" wrapText="1"/>
    </xf>
    <xf numFmtId="0" fontId="10" fillId="0" borderId="8" xfId="0" applyFont="1" applyBorder="1" applyAlignment="1">
      <alignment vertical="top" wrapText="1"/>
    </xf>
    <xf numFmtId="0" fontId="10" fillId="0" borderId="9" xfId="0" applyFont="1" applyBorder="1" applyAlignment="1">
      <alignment vertical="top" wrapText="1"/>
    </xf>
    <xf numFmtId="0" fontId="10" fillId="0" borderId="5" xfId="0" applyFont="1" applyBorder="1" applyAlignment="1">
      <alignment vertical="top" wrapText="1"/>
    </xf>
    <xf numFmtId="0" fontId="10" fillId="0" borderId="0" xfId="0" applyFont="1" applyBorder="1" applyAlignment="1">
      <alignment vertical="top" wrapText="1"/>
    </xf>
    <xf numFmtId="0" fontId="10" fillId="0" borderId="10" xfId="0" applyFont="1" applyBorder="1" applyAlignment="1">
      <alignment vertical="top" wrapText="1"/>
    </xf>
    <xf numFmtId="0" fontId="10" fillId="0" borderId="11" xfId="0" applyFont="1" applyBorder="1" applyAlignment="1">
      <alignment vertical="top" wrapText="1"/>
    </xf>
    <xf numFmtId="0" fontId="10" fillId="0" borderId="6" xfId="0" applyFont="1" applyBorder="1" applyAlignment="1">
      <alignment vertical="top" wrapText="1"/>
    </xf>
    <xf numFmtId="0" fontId="10" fillId="0" borderId="12" xfId="0" applyFont="1" applyBorder="1" applyAlignment="1">
      <alignment vertical="top" wrapText="1"/>
    </xf>
    <xf numFmtId="0" fontId="10" fillId="0" borderId="20" xfId="0" applyFont="1" applyBorder="1" applyAlignment="1">
      <alignment horizontal="left" vertical="center" shrinkToFit="1"/>
    </xf>
    <xf numFmtId="0" fontId="10" fillId="0" borderId="19" xfId="0" applyFont="1" applyBorder="1" applyAlignment="1">
      <alignment horizontal="left" vertical="center" shrinkToFit="1"/>
    </xf>
    <xf numFmtId="0" fontId="4" fillId="0" borderId="27" xfId="0" applyFont="1" applyBorder="1" applyAlignment="1">
      <alignment horizontal="center" vertical="center" shrinkToFit="1"/>
    </xf>
    <xf numFmtId="0" fontId="4" fillId="0" borderId="28" xfId="0" applyFont="1" applyBorder="1" applyAlignment="1">
      <alignment horizontal="center" vertical="center" shrinkToFi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11" xfId="0" applyFont="1" applyBorder="1" applyAlignment="1">
      <alignment horizontal="center" vertical="center"/>
    </xf>
    <xf numFmtId="0" fontId="4" fillId="0" borderId="6" xfId="0" applyFont="1" applyBorder="1" applyAlignment="1">
      <alignment horizontal="center" vertical="center"/>
    </xf>
    <xf numFmtId="0" fontId="4" fillId="0" borderId="20" xfId="0" applyFont="1" applyBorder="1" applyAlignment="1">
      <alignment vertical="center" shrinkToFit="1"/>
    </xf>
    <xf numFmtId="0" fontId="4" fillId="0" borderId="19" xfId="0" applyFont="1" applyBorder="1" applyAlignment="1">
      <alignment vertical="center" shrinkToFit="1"/>
    </xf>
    <xf numFmtId="0" fontId="4" fillId="0" borderId="40" xfId="0" applyFont="1" applyBorder="1" applyAlignment="1">
      <alignment vertical="center" shrinkToFit="1"/>
    </xf>
    <xf numFmtId="0" fontId="4" fillId="0" borderId="41" xfId="0" applyFont="1" applyBorder="1" applyAlignment="1">
      <alignment vertical="center" shrinkToFit="1"/>
    </xf>
    <xf numFmtId="0" fontId="10" fillId="0" borderId="15" xfId="0" applyFont="1" applyBorder="1" applyAlignment="1">
      <alignment horizontal="left" vertical="center" shrinkToFit="1"/>
    </xf>
    <xf numFmtId="0" fontId="10" fillId="0" borderId="39" xfId="0" applyFont="1" applyBorder="1" applyAlignment="1">
      <alignment horizontal="left" vertical="center" shrinkToFit="1"/>
    </xf>
    <xf numFmtId="0" fontId="9" fillId="0" borderId="7" xfId="0" applyFont="1" applyBorder="1" applyAlignment="1">
      <alignment horizontal="center" vertical="center" wrapText="1"/>
    </xf>
    <xf numFmtId="0" fontId="9" fillId="0" borderId="11"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39" xfId="0" applyFont="1" applyBorder="1" applyAlignment="1">
      <alignment horizontal="center" vertical="center"/>
    </xf>
    <xf numFmtId="0" fontId="12" fillId="0" borderId="16" xfId="0" applyFont="1" applyBorder="1" applyAlignment="1">
      <alignment horizontal="center" vertical="center" wrapText="1"/>
    </xf>
    <xf numFmtId="0" fontId="12" fillId="0" borderId="13" xfId="0" applyFont="1" applyBorder="1" applyAlignment="1">
      <alignment horizontal="center" vertical="center"/>
    </xf>
    <xf numFmtId="0" fontId="9" fillId="0" borderId="9" xfId="0" applyFont="1" applyBorder="1" applyAlignment="1">
      <alignment horizontal="center" vertical="center"/>
    </xf>
    <xf numFmtId="0" fontId="9" fillId="0" borderId="12" xfId="0" applyFont="1" applyBorder="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shrinkToFit="1"/>
    </xf>
    <xf numFmtId="0" fontId="10" fillId="0" borderId="7" xfId="0" applyFont="1" applyBorder="1" applyAlignment="1">
      <alignment vertical="top" wrapText="1" shrinkToFit="1"/>
    </xf>
    <xf numFmtId="0" fontId="10" fillId="0" borderId="8" xfId="0" applyFont="1" applyBorder="1" applyAlignment="1">
      <alignment vertical="top" shrinkToFit="1"/>
    </xf>
    <xf numFmtId="0" fontId="10" fillId="0" borderId="9" xfId="0" applyFont="1" applyBorder="1" applyAlignment="1">
      <alignment vertical="top" shrinkToFit="1"/>
    </xf>
    <xf numFmtId="0" fontId="10" fillId="0" borderId="5" xfId="0" applyFont="1" applyBorder="1" applyAlignment="1">
      <alignment vertical="top" shrinkToFit="1"/>
    </xf>
    <xf numFmtId="0" fontId="10" fillId="0" borderId="0" xfId="0" applyFont="1" applyBorder="1" applyAlignment="1">
      <alignment vertical="top" shrinkToFit="1"/>
    </xf>
    <xf numFmtId="0" fontId="10" fillId="0" borderId="10" xfId="0" applyFont="1" applyBorder="1" applyAlignment="1">
      <alignment vertical="top" shrinkToFit="1"/>
    </xf>
    <xf numFmtId="0" fontId="10" fillId="0" borderId="11" xfId="0" applyFont="1" applyBorder="1" applyAlignment="1">
      <alignment vertical="top" shrinkToFit="1"/>
    </xf>
    <xf numFmtId="0" fontId="10" fillId="0" borderId="6" xfId="0" applyFont="1" applyBorder="1" applyAlignment="1">
      <alignment vertical="top" shrinkToFit="1"/>
    </xf>
    <xf numFmtId="0" fontId="10" fillId="0" borderId="12" xfId="0" applyFont="1" applyBorder="1" applyAlignment="1">
      <alignment vertical="top" shrinkToFit="1"/>
    </xf>
    <xf numFmtId="0" fontId="11" fillId="0" borderId="2" xfId="0" applyFont="1" applyFill="1" applyBorder="1" applyAlignment="1">
      <alignment horizontal="center" vertical="center" shrinkToFit="1"/>
    </xf>
    <xf numFmtId="0" fontId="11" fillId="0" borderId="3" xfId="0" applyFont="1" applyFill="1" applyBorder="1" applyAlignment="1">
      <alignment horizontal="center" vertical="center" shrinkToFit="1"/>
    </xf>
    <xf numFmtId="0" fontId="11" fillId="0" borderId="4" xfId="0" applyFont="1" applyFill="1" applyBorder="1" applyAlignment="1">
      <alignment horizontal="center" vertical="center" shrinkToFit="1"/>
    </xf>
    <xf numFmtId="0" fontId="10" fillId="0" borderId="2" xfId="0" applyFont="1" applyBorder="1" applyAlignment="1">
      <alignment horizontal="left" vertical="center" shrinkToFit="1"/>
    </xf>
    <xf numFmtId="0" fontId="10" fillId="0" borderId="3" xfId="0" applyFont="1" applyBorder="1" applyAlignment="1">
      <alignment horizontal="left" vertical="center" shrinkToFit="1"/>
    </xf>
    <xf numFmtId="0" fontId="10" fillId="0" borderId="4" xfId="0" applyFont="1" applyBorder="1" applyAlignment="1">
      <alignment horizontal="left" vertical="center"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0" fillId="0" borderId="16" xfId="0" applyFont="1" applyBorder="1" applyAlignment="1">
      <alignment vertical="center" wrapText="1"/>
    </xf>
    <xf numFmtId="0" fontId="10" fillId="0" borderId="42" xfId="0" applyFont="1" applyBorder="1" applyAlignment="1">
      <alignment vertical="center" wrapText="1"/>
    </xf>
    <xf numFmtId="0" fontId="10" fillId="0" borderId="7" xfId="0" applyFont="1" applyBorder="1" applyAlignment="1">
      <alignment horizontal="left" vertical="top" wrapText="1" shrinkToFit="1"/>
    </xf>
    <xf numFmtId="0" fontId="11" fillId="0" borderId="8" xfId="0" applyFont="1" applyBorder="1" applyAlignment="1">
      <alignment horizontal="left" vertical="top" shrinkToFit="1"/>
    </xf>
    <xf numFmtId="0" fontId="11" fillId="0" borderId="9" xfId="0" applyFont="1" applyBorder="1" applyAlignment="1">
      <alignment horizontal="left" vertical="top" shrinkToFit="1"/>
    </xf>
    <xf numFmtId="0" fontId="11" fillId="0" borderId="5" xfId="0" applyFont="1" applyBorder="1" applyAlignment="1">
      <alignment horizontal="left" vertical="top" shrinkToFit="1"/>
    </xf>
    <xf numFmtId="0" fontId="11" fillId="0" borderId="0" xfId="0" applyFont="1" applyBorder="1" applyAlignment="1">
      <alignment horizontal="left" vertical="top" shrinkToFit="1"/>
    </xf>
    <xf numFmtId="0" fontId="11" fillId="0" borderId="10" xfId="0" applyFont="1" applyBorder="1" applyAlignment="1">
      <alignment horizontal="left" vertical="top" shrinkToFit="1"/>
    </xf>
    <xf numFmtId="0" fontId="11" fillId="0" borderId="11" xfId="0" applyFont="1" applyBorder="1" applyAlignment="1">
      <alignment horizontal="left" vertical="top" shrinkToFit="1"/>
    </xf>
    <xf numFmtId="0" fontId="11" fillId="0" borderId="6" xfId="0" applyFont="1" applyBorder="1" applyAlignment="1">
      <alignment horizontal="left" vertical="top" shrinkToFit="1"/>
    </xf>
    <xf numFmtId="0" fontId="11" fillId="0" borderId="12" xfId="0" applyFont="1" applyBorder="1" applyAlignment="1">
      <alignment horizontal="left" vertical="top" shrinkToFit="1"/>
    </xf>
    <xf numFmtId="0" fontId="10" fillId="0" borderId="8" xfId="0" applyFont="1" applyBorder="1" applyAlignment="1">
      <alignment horizontal="left" vertical="top" shrinkToFit="1"/>
    </xf>
    <xf numFmtId="0" fontId="10" fillId="0" borderId="9" xfId="0" applyFont="1" applyBorder="1" applyAlignment="1">
      <alignment horizontal="left" vertical="top" shrinkToFit="1"/>
    </xf>
    <xf numFmtId="0" fontId="10" fillId="0" borderId="5" xfId="0" applyFont="1" applyBorder="1" applyAlignment="1">
      <alignment horizontal="left" vertical="top" shrinkToFit="1"/>
    </xf>
    <xf numFmtId="0" fontId="10" fillId="0" borderId="0" xfId="0" applyFont="1" applyBorder="1" applyAlignment="1">
      <alignment horizontal="left" vertical="top" shrinkToFit="1"/>
    </xf>
    <xf numFmtId="0" fontId="10" fillId="0" borderId="10" xfId="0" applyFont="1" applyBorder="1" applyAlignment="1">
      <alignment horizontal="left" vertical="top" shrinkToFit="1"/>
    </xf>
    <xf numFmtId="0" fontId="10" fillId="0" borderId="11" xfId="0" applyFont="1" applyBorder="1" applyAlignment="1">
      <alignment horizontal="left" vertical="top" shrinkToFit="1"/>
    </xf>
    <xf numFmtId="0" fontId="10" fillId="0" borderId="6" xfId="0" applyFont="1" applyBorder="1" applyAlignment="1">
      <alignment horizontal="left" vertical="top" shrinkToFit="1"/>
    </xf>
    <xf numFmtId="0" fontId="10" fillId="0" borderId="12" xfId="0" applyFont="1" applyBorder="1" applyAlignment="1">
      <alignment horizontal="left" vertical="top" shrinkToFit="1"/>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6" fillId="0" borderId="7" xfId="0" applyFont="1" applyBorder="1" applyAlignment="1">
      <alignment horizontal="left" vertical="top" wrapText="1" shrinkToFit="1"/>
    </xf>
    <xf numFmtId="0" fontId="10" fillId="0" borderId="13" xfId="0" applyFont="1" applyBorder="1" applyAlignment="1">
      <alignment vertical="center" wrapText="1"/>
    </xf>
    <xf numFmtId="0" fontId="11" fillId="0" borderId="0" xfId="0" applyFont="1" applyAlignment="1">
      <alignment horizontal="center" vertical="center"/>
    </xf>
    <xf numFmtId="0" fontId="10" fillId="0" borderId="7" xfId="0" applyFont="1" applyBorder="1" applyAlignment="1">
      <alignment horizontal="left" vertical="top" wrapText="1"/>
    </xf>
    <xf numFmtId="0" fontId="10" fillId="0" borderId="8" xfId="0" applyFont="1" applyBorder="1" applyAlignment="1">
      <alignment horizontal="left" vertical="top" wrapText="1"/>
    </xf>
    <xf numFmtId="0" fontId="10" fillId="0" borderId="9" xfId="0" applyFont="1" applyBorder="1" applyAlignment="1">
      <alignment horizontal="left" vertical="top" wrapText="1"/>
    </xf>
    <xf numFmtId="0" fontId="10" fillId="0" borderId="5" xfId="0" applyFont="1" applyBorder="1" applyAlignment="1">
      <alignment horizontal="left" vertical="top" wrapText="1"/>
    </xf>
    <xf numFmtId="0" fontId="10" fillId="0" borderId="0" xfId="0" applyFont="1" applyBorder="1" applyAlignment="1">
      <alignment horizontal="left" vertical="top" wrapText="1"/>
    </xf>
    <xf numFmtId="0" fontId="10" fillId="0" borderId="10" xfId="0" applyFont="1" applyBorder="1" applyAlignment="1">
      <alignment horizontal="left" vertical="top" wrapText="1"/>
    </xf>
    <xf numFmtId="0" fontId="10" fillId="0" borderId="11" xfId="0" applyFont="1" applyBorder="1" applyAlignment="1">
      <alignment horizontal="left" vertical="top" wrapText="1"/>
    </xf>
    <xf numFmtId="0" fontId="10" fillId="0" borderId="6" xfId="0" applyFont="1" applyBorder="1" applyAlignment="1">
      <alignment horizontal="left" vertical="top" wrapText="1"/>
    </xf>
    <xf numFmtId="0" fontId="10" fillId="0" borderId="12" xfId="0" applyFont="1" applyBorder="1" applyAlignment="1">
      <alignment horizontal="left" vertical="top" wrapText="1"/>
    </xf>
    <xf numFmtId="0" fontId="13" fillId="0" borderId="2" xfId="2" applyFont="1" applyBorder="1" applyAlignment="1">
      <alignment vertical="center" shrinkToFit="1"/>
    </xf>
    <xf numFmtId="0" fontId="11" fillId="0" borderId="2" xfId="0" applyFont="1" applyBorder="1" applyAlignment="1">
      <alignment vertical="center"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11" fillId="0" borderId="2" xfId="0" applyFont="1" applyFill="1" applyBorder="1" applyAlignment="1">
      <alignment horizontal="left" vertical="center" shrinkToFit="1"/>
    </xf>
    <xf numFmtId="0" fontId="11" fillId="0" borderId="3" xfId="0" applyFont="1" applyFill="1" applyBorder="1" applyAlignment="1">
      <alignment horizontal="left" vertical="center" shrinkToFit="1"/>
    </xf>
    <xf numFmtId="0" fontId="11" fillId="0" borderId="4" xfId="0" applyFont="1" applyFill="1" applyBorder="1" applyAlignment="1">
      <alignment horizontal="left" vertical="center" shrinkToFit="1"/>
    </xf>
    <xf numFmtId="0" fontId="11" fillId="0" borderId="6" xfId="0" applyFont="1" applyBorder="1" applyAlignment="1">
      <alignment vertical="center"/>
    </xf>
    <xf numFmtId="0" fontId="16" fillId="0" borderId="7" xfId="0" applyFont="1" applyBorder="1" applyAlignment="1">
      <alignment vertical="top" wrapText="1" shrinkToFit="1"/>
    </xf>
    <xf numFmtId="0" fontId="16" fillId="0" borderId="8" xfId="0" applyFont="1" applyBorder="1" applyAlignment="1">
      <alignment vertical="top" shrinkToFit="1"/>
    </xf>
    <xf numFmtId="0" fontId="16" fillId="0" borderId="9" xfId="0" applyFont="1" applyBorder="1" applyAlignment="1">
      <alignment vertical="top" shrinkToFit="1"/>
    </xf>
    <xf numFmtId="0" fontId="16" fillId="0" borderId="5" xfId="0" applyFont="1" applyBorder="1" applyAlignment="1">
      <alignment vertical="top" shrinkToFit="1"/>
    </xf>
    <xf numFmtId="0" fontId="16" fillId="0" borderId="0" xfId="0" applyFont="1" applyBorder="1" applyAlignment="1">
      <alignment vertical="top" shrinkToFit="1"/>
    </xf>
    <xf numFmtId="0" fontId="16" fillId="0" borderId="10" xfId="0" applyFont="1" applyBorder="1" applyAlignment="1">
      <alignment vertical="top" shrinkToFit="1"/>
    </xf>
    <xf numFmtId="0" fontId="16" fillId="0" borderId="11" xfId="0" applyFont="1" applyBorder="1" applyAlignment="1">
      <alignment vertical="top" shrinkToFit="1"/>
    </xf>
    <xf numFmtId="0" fontId="16" fillId="0" borderId="6" xfId="0" applyFont="1" applyBorder="1" applyAlignment="1">
      <alignment vertical="top" shrinkToFit="1"/>
    </xf>
    <xf numFmtId="0" fontId="16" fillId="0" borderId="12" xfId="0" applyFont="1" applyBorder="1" applyAlignment="1">
      <alignment vertical="top" shrinkToFit="1"/>
    </xf>
    <xf numFmtId="0" fontId="10" fillId="0" borderId="8" xfId="0" applyFont="1" applyBorder="1" applyAlignment="1">
      <alignment vertical="top" wrapText="1" shrinkToFit="1"/>
    </xf>
    <xf numFmtId="0" fontId="10" fillId="0" borderId="9" xfId="0" applyFont="1" applyBorder="1" applyAlignment="1">
      <alignment vertical="top" wrapText="1" shrinkToFit="1"/>
    </xf>
    <xf numFmtId="0" fontId="10" fillId="0" borderId="5" xfId="0" applyFont="1" applyBorder="1" applyAlignment="1">
      <alignment vertical="top" wrapText="1" shrinkToFit="1"/>
    </xf>
    <xf numFmtId="0" fontId="10" fillId="0" borderId="0" xfId="0" applyFont="1" applyBorder="1" applyAlignment="1">
      <alignment vertical="top" wrapText="1" shrinkToFit="1"/>
    </xf>
    <xf numFmtId="0" fontId="10" fillId="0" borderId="10" xfId="0" applyFont="1" applyBorder="1" applyAlignment="1">
      <alignment vertical="top" wrapText="1" shrinkToFit="1"/>
    </xf>
    <xf numFmtId="0" fontId="10" fillId="0" borderId="11" xfId="0" applyFont="1" applyBorder="1" applyAlignment="1">
      <alignment vertical="top" wrapText="1" shrinkToFit="1"/>
    </xf>
    <xf numFmtId="0" fontId="10" fillId="0" borderId="6" xfId="0" applyFont="1" applyBorder="1" applyAlignment="1">
      <alignment vertical="top" wrapText="1" shrinkToFit="1"/>
    </xf>
    <xf numFmtId="0" fontId="10" fillId="0" borderId="12" xfId="0" applyFont="1" applyBorder="1" applyAlignment="1">
      <alignment vertical="top" wrapText="1" shrinkToFit="1"/>
    </xf>
    <xf numFmtId="0" fontId="10" fillId="0" borderId="11" xfId="0" applyFont="1" applyBorder="1" applyAlignment="1">
      <alignment vertical="center" wrapText="1"/>
    </xf>
    <xf numFmtId="0" fontId="10" fillId="0" borderId="6" xfId="0" applyFont="1" applyBorder="1" applyAlignment="1">
      <alignment vertical="center" wrapText="1"/>
    </xf>
    <xf numFmtId="0" fontId="10" fillId="0" borderId="12" xfId="0" applyFont="1" applyBorder="1" applyAlignment="1">
      <alignment vertical="center" wrapText="1"/>
    </xf>
    <xf numFmtId="0" fontId="10" fillId="0" borderId="18" xfId="0" applyFont="1" applyBorder="1" applyAlignment="1">
      <alignment vertical="center"/>
    </xf>
    <xf numFmtId="0" fontId="15" fillId="0" borderId="19" xfId="0" applyFont="1" applyBorder="1" applyAlignment="1">
      <alignment vertical="center"/>
    </xf>
    <xf numFmtId="0" fontId="10" fillId="0" borderId="18" xfId="0" applyFont="1" applyBorder="1" applyAlignment="1">
      <alignment vertical="center" wrapText="1"/>
    </xf>
    <xf numFmtId="0" fontId="10" fillId="0" borderId="19" xfId="0" applyFont="1" applyBorder="1" applyAlignment="1">
      <alignment vertical="center" wrapText="1"/>
    </xf>
    <xf numFmtId="0" fontId="10" fillId="0" borderId="21" xfId="0" applyFont="1" applyBorder="1" applyAlignment="1">
      <alignment vertical="top" wrapText="1" shrinkToFit="1"/>
    </xf>
    <xf numFmtId="0" fontId="10" fillId="0" borderId="19" xfId="0" applyFont="1" applyBorder="1" applyAlignment="1">
      <alignment vertical="top" wrapText="1" shrinkToFit="1"/>
    </xf>
    <xf numFmtId="0" fontId="10" fillId="0" borderId="22" xfId="0" applyFont="1" applyBorder="1" applyAlignment="1">
      <alignment vertical="center" wrapText="1"/>
    </xf>
    <xf numFmtId="0" fontId="10" fillId="0" borderId="23" xfId="0" applyFont="1" applyBorder="1" applyAlignment="1">
      <alignment vertical="center" wrapText="1"/>
    </xf>
    <xf numFmtId="0" fontId="10" fillId="0" borderId="24" xfId="0" applyFont="1" applyBorder="1" applyAlignment="1">
      <alignment vertical="top" wrapText="1" shrinkToFit="1"/>
    </xf>
    <xf numFmtId="0" fontId="10" fillId="0" borderId="23" xfId="0" applyFont="1" applyBorder="1" applyAlignment="1">
      <alignment vertical="top" wrapText="1" shrinkToFit="1"/>
    </xf>
    <xf numFmtId="0" fontId="10" fillId="0" borderId="20" xfId="0" applyFont="1" applyBorder="1" applyAlignment="1">
      <alignment vertical="center" wrapText="1"/>
    </xf>
    <xf numFmtId="0" fontId="10" fillId="0" borderId="21" xfId="0" applyFont="1" applyBorder="1" applyAlignment="1">
      <alignment vertical="center" wrapText="1"/>
    </xf>
    <xf numFmtId="0" fontId="8" fillId="0" borderId="2" xfId="2" applyBorder="1" applyAlignment="1">
      <alignment horizontal="left" vertical="center" shrinkToFit="1"/>
    </xf>
    <xf numFmtId="0" fontId="14" fillId="0" borderId="3" xfId="0" applyFont="1" applyBorder="1" applyAlignment="1">
      <alignment horizontal="left" vertical="center" shrinkToFit="1"/>
    </xf>
    <xf numFmtId="0" fontId="14" fillId="0" borderId="4" xfId="0" applyFont="1" applyBorder="1" applyAlignment="1">
      <alignment horizontal="left" vertical="center" shrinkToFit="1"/>
    </xf>
    <xf numFmtId="0" fontId="10" fillId="0" borderId="20" xfId="0" applyFont="1" applyBorder="1" applyAlignment="1">
      <alignment vertical="top" wrapText="1" shrinkToFit="1"/>
    </xf>
    <xf numFmtId="0" fontId="14" fillId="0" borderId="0" xfId="0" applyFont="1" applyAlignment="1">
      <alignment vertical="top" wrapText="1"/>
    </xf>
    <xf numFmtId="0" fontId="1" fillId="0" borderId="0" xfId="0" applyFont="1">
      <alignment vertical="center"/>
    </xf>
    <xf numFmtId="0" fontId="1" fillId="0" borderId="0" xfId="0" applyFont="1" applyAlignment="1">
      <alignment horizontal="right" vertical="center"/>
    </xf>
    <xf numFmtId="0" fontId="1" fillId="0" borderId="0" xfId="0" applyFont="1" applyAlignment="1">
      <alignment horizontal="center" vertical="center"/>
    </xf>
    <xf numFmtId="0" fontId="1" fillId="0" borderId="0" xfId="0" applyFont="1" applyBorder="1" applyAlignment="1">
      <alignment vertical="center"/>
    </xf>
    <xf numFmtId="0" fontId="1" fillId="0" borderId="0" xfId="0" applyFont="1" applyBorder="1" applyAlignment="1">
      <alignment vertical="center" wrapText="1"/>
    </xf>
    <xf numFmtId="0" fontId="1" fillId="0" borderId="0" xfId="0" applyFont="1" applyBorder="1" applyAlignment="1">
      <alignment vertical="top"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erist@mi.u-tokyo.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mi.u-tokyo.ac.jp/literacy_program.htm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mi.u-tokyo.ac.jp/literacy_program.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8"/>
  <sheetViews>
    <sheetView topLeftCell="A19" zoomScaleNormal="100" workbookViewId="0">
      <selection activeCell="B39" sqref="B33:N39"/>
    </sheetView>
  </sheetViews>
  <sheetFormatPr defaultColWidth="9" defaultRowHeight="18.75" customHeight="1"/>
  <cols>
    <col min="1" max="1" width="2.5" style="12" customWidth="1"/>
    <col min="2" max="2" width="12.5" style="12" customWidth="1"/>
    <col min="3" max="8" width="6.125" style="12" customWidth="1"/>
    <col min="9" max="9" width="2.5" style="12" customWidth="1"/>
    <col min="10" max="10" width="10" style="12" customWidth="1"/>
    <col min="11" max="11" width="2.5" style="12" customWidth="1"/>
    <col min="12" max="12" width="7.5" style="12" customWidth="1"/>
    <col min="13" max="13" width="2.5" style="12" customWidth="1"/>
    <col min="14" max="14" width="7.5" style="12" customWidth="1"/>
    <col min="15" max="16384" width="9" style="12"/>
  </cols>
  <sheetData>
    <row r="1" spans="1:14" ht="22.5" customHeight="1">
      <c r="M1" s="117" t="s">
        <v>0</v>
      </c>
      <c r="N1" s="117"/>
    </row>
    <row r="2" spans="1:14" ht="22.5" customHeight="1">
      <c r="A2" s="122" t="s">
        <v>1</v>
      </c>
      <c r="B2" s="122"/>
      <c r="C2" s="122"/>
      <c r="D2" s="122"/>
      <c r="E2" s="122"/>
      <c r="F2" s="122"/>
      <c r="G2" s="122"/>
      <c r="H2" s="122"/>
      <c r="I2" s="122"/>
      <c r="J2" s="122"/>
      <c r="K2" s="122"/>
      <c r="L2" s="122"/>
      <c r="M2" s="122"/>
      <c r="N2" s="122"/>
    </row>
    <row r="3" spans="1:14" ht="22.5" customHeight="1">
      <c r="A3" s="13"/>
      <c r="B3" s="13"/>
      <c r="C3" s="13"/>
      <c r="D3" s="13"/>
      <c r="E3" s="13"/>
      <c r="F3" s="13"/>
      <c r="G3" s="13"/>
      <c r="H3" s="13"/>
      <c r="I3" s="13"/>
      <c r="J3" s="13"/>
      <c r="K3" s="13"/>
      <c r="L3" s="13"/>
      <c r="M3" s="13"/>
      <c r="N3" s="13"/>
    </row>
    <row r="4" spans="1:14" ht="22.5" customHeight="1">
      <c r="A4" s="13" t="s">
        <v>2</v>
      </c>
      <c r="B4" s="14" t="s">
        <v>3</v>
      </c>
      <c r="C4" s="104" t="s">
        <v>4</v>
      </c>
      <c r="D4" s="105"/>
      <c r="E4" s="105"/>
      <c r="F4" s="105"/>
      <c r="G4" s="105"/>
      <c r="H4" s="105"/>
      <c r="I4" s="105"/>
      <c r="J4" s="105"/>
      <c r="K4" s="105"/>
      <c r="L4" s="105"/>
      <c r="M4" s="105"/>
      <c r="N4" s="106"/>
    </row>
    <row r="5" spans="1:14" ht="7.5" customHeight="1">
      <c r="A5" s="13"/>
      <c r="B5" s="14"/>
      <c r="C5" s="14"/>
      <c r="D5" s="14"/>
      <c r="E5" s="15"/>
      <c r="F5" s="92"/>
      <c r="G5" s="92"/>
      <c r="H5" s="92"/>
      <c r="I5" s="92"/>
      <c r="J5" s="92"/>
      <c r="K5" s="92"/>
      <c r="L5" s="92"/>
      <c r="M5" s="92"/>
      <c r="N5" s="92"/>
    </row>
    <row r="6" spans="1:14" ht="22.5" customHeight="1">
      <c r="A6" s="13" t="s">
        <v>5</v>
      </c>
      <c r="B6" s="14" t="s">
        <v>6</v>
      </c>
      <c r="C6" s="14"/>
      <c r="D6" s="104" t="s">
        <v>7</v>
      </c>
      <c r="E6" s="105"/>
      <c r="F6" s="105"/>
      <c r="G6" s="105"/>
      <c r="H6" s="105"/>
      <c r="I6" s="105"/>
      <c r="J6" s="105"/>
      <c r="K6" s="105"/>
      <c r="L6" s="105"/>
      <c r="M6" s="105"/>
      <c r="N6" s="106"/>
    </row>
    <row r="7" spans="1:14" ht="7.5" customHeight="1">
      <c r="A7" s="13"/>
      <c r="B7" s="14"/>
      <c r="C7" s="14"/>
      <c r="D7" s="14"/>
      <c r="E7" s="15"/>
      <c r="F7" s="92"/>
      <c r="G7" s="92"/>
      <c r="H7" s="92"/>
      <c r="I7" s="92"/>
      <c r="J7" s="92"/>
      <c r="K7" s="92"/>
      <c r="L7" s="92"/>
      <c r="M7" s="92"/>
      <c r="N7" s="92"/>
    </row>
    <row r="8" spans="1:14" ht="22.5" customHeight="1">
      <c r="A8" s="16" t="s">
        <v>8</v>
      </c>
      <c r="B8" s="17" t="s">
        <v>9</v>
      </c>
      <c r="C8" s="104" t="s">
        <v>10</v>
      </c>
      <c r="D8" s="105"/>
      <c r="E8" s="106"/>
      <c r="F8" s="92"/>
      <c r="G8" s="121"/>
      <c r="H8" s="121"/>
      <c r="I8" s="121"/>
      <c r="J8" s="92"/>
      <c r="K8" s="92"/>
      <c r="L8" s="92"/>
      <c r="M8" s="92"/>
      <c r="N8" s="92"/>
    </row>
    <row r="9" spans="1:14" ht="7.5" customHeight="1">
      <c r="A9" s="13"/>
      <c r="B9" s="14"/>
      <c r="C9" s="14"/>
      <c r="D9" s="14"/>
      <c r="E9" s="15"/>
      <c r="F9" s="92"/>
      <c r="G9" s="92"/>
      <c r="H9" s="92"/>
      <c r="I9" s="92"/>
      <c r="J9" s="92"/>
      <c r="K9" s="92"/>
      <c r="L9" s="92"/>
      <c r="M9" s="92"/>
      <c r="N9" s="92"/>
    </row>
    <row r="10" spans="1:14" ht="22.5" customHeight="1">
      <c r="A10" s="13" t="s">
        <v>11</v>
      </c>
      <c r="B10" s="14" t="s">
        <v>12</v>
      </c>
      <c r="C10" s="104" t="s">
        <v>13</v>
      </c>
      <c r="D10" s="105"/>
      <c r="E10" s="105"/>
      <c r="F10" s="105"/>
      <c r="G10" s="105"/>
      <c r="H10" s="105"/>
      <c r="I10" s="105"/>
      <c r="J10" s="105"/>
      <c r="K10" s="105"/>
      <c r="L10" s="105"/>
      <c r="M10" s="105"/>
      <c r="N10" s="106"/>
    </row>
    <row r="11" spans="1:14" ht="7.5" customHeight="1">
      <c r="A11" s="13"/>
      <c r="B11" s="14"/>
      <c r="C11" s="14"/>
      <c r="D11" s="14"/>
      <c r="E11" s="15"/>
      <c r="F11" s="92"/>
      <c r="G11" s="92"/>
      <c r="H11" s="92"/>
      <c r="I11" s="92"/>
      <c r="J11" s="92"/>
      <c r="K11" s="92"/>
      <c r="L11" s="92"/>
      <c r="M11" s="92"/>
      <c r="N11" s="92"/>
    </row>
    <row r="12" spans="1:14" ht="22.5" customHeight="1">
      <c r="A12" s="13" t="s">
        <v>14</v>
      </c>
      <c r="B12" s="14" t="s">
        <v>15</v>
      </c>
      <c r="C12" s="14"/>
      <c r="D12" s="14"/>
      <c r="E12" s="92"/>
      <c r="F12" s="62"/>
      <c r="G12" s="123" t="s">
        <v>16</v>
      </c>
      <c r="H12" s="124"/>
      <c r="I12" s="124"/>
      <c r="J12" s="124"/>
      <c r="K12" s="124"/>
      <c r="L12" s="124"/>
      <c r="M12" s="124"/>
      <c r="N12" s="125"/>
    </row>
    <row r="13" spans="1:14" ht="7.5" customHeight="1">
      <c r="A13" s="13"/>
      <c r="B13" s="15"/>
      <c r="C13" s="15"/>
      <c r="D13" s="15"/>
      <c r="E13" s="15"/>
      <c r="F13" s="92"/>
      <c r="G13" s="92"/>
      <c r="H13" s="92"/>
      <c r="I13" s="92"/>
      <c r="J13" s="92"/>
      <c r="K13" s="92"/>
      <c r="L13" s="92"/>
      <c r="M13" s="92"/>
      <c r="N13" s="92"/>
    </row>
    <row r="14" spans="1:14" ht="22.5" customHeight="1">
      <c r="A14" s="13" t="s">
        <v>17</v>
      </c>
      <c r="B14" s="15" t="s">
        <v>18</v>
      </c>
      <c r="C14" s="15"/>
      <c r="D14" s="15"/>
      <c r="E14" s="15"/>
      <c r="F14" s="104" t="s">
        <v>19</v>
      </c>
      <c r="G14" s="105"/>
      <c r="H14" s="106"/>
      <c r="I14" s="92"/>
      <c r="J14" s="92"/>
      <c r="K14" s="92"/>
      <c r="L14" s="92"/>
      <c r="M14" s="92"/>
      <c r="N14" s="92"/>
    </row>
    <row r="15" spans="1:14" ht="7.5" customHeight="1">
      <c r="A15" s="13"/>
      <c r="B15" s="15"/>
      <c r="C15" s="15"/>
      <c r="D15" s="15"/>
      <c r="E15" s="15"/>
      <c r="F15" s="92"/>
      <c r="G15" s="92"/>
      <c r="H15" s="92"/>
      <c r="I15" s="92"/>
      <c r="J15" s="92"/>
      <c r="K15" s="92"/>
      <c r="L15" s="92"/>
      <c r="M15" s="92"/>
      <c r="N15" s="92"/>
    </row>
    <row r="16" spans="1:14" ht="22.5" customHeight="1">
      <c r="A16" s="13" t="s">
        <v>20</v>
      </c>
      <c r="B16" s="13" t="s">
        <v>21</v>
      </c>
      <c r="C16" s="118" t="s">
        <v>22</v>
      </c>
      <c r="D16" s="119"/>
      <c r="E16" s="102">
        <v>3918</v>
      </c>
      <c r="F16" s="103"/>
      <c r="G16" s="18" t="s">
        <v>23</v>
      </c>
      <c r="H16" s="13"/>
      <c r="I16" s="118" t="s">
        <v>24</v>
      </c>
      <c r="J16" s="119"/>
      <c r="K16" s="102">
        <v>953</v>
      </c>
      <c r="L16" s="120"/>
      <c r="M16" s="103"/>
      <c r="N16" s="19" t="s">
        <v>23</v>
      </c>
    </row>
    <row r="17" spans="1:15" ht="7.5" customHeight="1">
      <c r="A17" s="13"/>
      <c r="B17" s="13"/>
      <c r="C17" s="13"/>
      <c r="D17" s="13"/>
      <c r="E17" s="13"/>
      <c r="F17" s="20"/>
      <c r="G17" s="20"/>
      <c r="H17" s="20"/>
      <c r="I17" s="20"/>
      <c r="J17" s="20"/>
      <c r="K17" s="20"/>
      <c r="L17" s="20"/>
      <c r="M17" s="19"/>
      <c r="N17" s="19"/>
    </row>
    <row r="18" spans="1:15" ht="22.5" customHeight="1">
      <c r="A18" s="13" t="s">
        <v>25</v>
      </c>
      <c r="B18" s="13" t="s">
        <v>26</v>
      </c>
      <c r="C18" s="13"/>
      <c r="D18" s="13"/>
      <c r="E18" s="13"/>
      <c r="F18" s="20"/>
      <c r="G18" s="20"/>
      <c r="H18" s="20"/>
      <c r="I18" s="20"/>
      <c r="J18" s="20"/>
      <c r="K18" s="114">
        <v>30</v>
      </c>
      <c r="L18" s="115"/>
      <c r="M18" s="116"/>
      <c r="N18" s="19" t="s">
        <v>23</v>
      </c>
    </row>
    <row r="19" spans="1:15" ht="7.5" customHeight="1">
      <c r="A19" s="13"/>
      <c r="B19" s="13"/>
      <c r="C19" s="13"/>
      <c r="D19" s="13"/>
      <c r="E19" s="13"/>
      <c r="F19" s="20"/>
      <c r="G19" s="20"/>
      <c r="H19" s="20"/>
      <c r="I19" s="20"/>
      <c r="J19" s="20"/>
      <c r="K19" s="20"/>
      <c r="L19" s="20"/>
      <c r="M19" s="19"/>
      <c r="N19" s="19"/>
    </row>
    <row r="20" spans="1:15" ht="22.5" customHeight="1">
      <c r="A20" s="13" t="s">
        <v>27</v>
      </c>
      <c r="B20" s="13" t="s">
        <v>28</v>
      </c>
      <c r="C20" s="13"/>
      <c r="D20" s="13"/>
      <c r="E20" s="102">
        <v>3063</v>
      </c>
      <c r="F20" s="103"/>
      <c r="G20" s="21" t="s">
        <v>29</v>
      </c>
      <c r="H20" s="20"/>
      <c r="I20" s="13"/>
      <c r="J20" s="13"/>
      <c r="K20" s="101"/>
      <c r="L20" s="101"/>
      <c r="M20" s="101"/>
      <c r="N20" s="101"/>
    </row>
    <row r="21" spans="1:15" ht="7.5" customHeight="1">
      <c r="A21" s="13"/>
      <c r="B21" s="13"/>
      <c r="C21" s="13"/>
      <c r="D21" s="13"/>
      <c r="E21" s="10"/>
      <c r="F21" s="20"/>
      <c r="G21" s="20"/>
      <c r="H21" s="13"/>
      <c r="I21" s="13"/>
      <c r="J21" s="13"/>
      <c r="K21" s="13"/>
      <c r="L21" s="87"/>
      <c r="M21" s="87"/>
      <c r="N21" s="22"/>
    </row>
    <row r="22" spans="1:15" ht="22.5" customHeight="1">
      <c r="A22" s="13" t="s">
        <v>30</v>
      </c>
      <c r="B22" s="13" t="s">
        <v>31</v>
      </c>
      <c r="C22" s="13"/>
      <c r="D22" s="13"/>
      <c r="E22" s="10"/>
      <c r="F22" s="20"/>
      <c r="G22" s="20"/>
      <c r="H22" s="13" t="s">
        <v>32</v>
      </c>
      <c r="I22" s="13"/>
      <c r="J22" s="108">
        <v>14062</v>
      </c>
      <c r="K22" s="109"/>
      <c r="L22" s="110"/>
      <c r="M22" s="87" t="s">
        <v>23</v>
      </c>
      <c r="N22" s="22"/>
    </row>
    <row r="23" spans="1:15" ht="7.5" customHeight="1">
      <c r="A23" s="13"/>
      <c r="B23" s="13"/>
      <c r="C23" s="13"/>
      <c r="D23" s="13"/>
      <c r="E23" s="10"/>
      <c r="F23" s="20"/>
      <c r="G23" s="20"/>
      <c r="H23" s="13"/>
      <c r="I23" s="13"/>
      <c r="J23" s="13"/>
      <c r="K23" s="13"/>
      <c r="L23" s="87"/>
      <c r="M23" s="87"/>
      <c r="N23" s="22"/>
    </row>
    <row r="24" spans="1:15" ht="22.5" customHeight="1">
      <c r="A24" s="13"/>
      <c r="B24" s="91" t="s">
        <v>33</v>
      </c>
      <c r="C24" s="102">
        <v>3116</v>
      </c>
      <c r="D24" s="103"/>
      <c r="E24" s="10" t="s">
        <v>23</v>
      </c>
      <c r="F24" s="20"/>
      <c r="G24" s="107" t="s">
        <v>34</v>
      </c>
      <c r="H24" s="107"/>
      <c r="I24" s="102">
        <v>3515</v>
      </c>
      <c r="J24" s="103"/>
      <c r="K24" s="16" t="s">
        <v>23</v>
      </c>
      <c r="L24" s="13"/>
      <c r="M24" s="87"/>
      <c r="N24" s="22"/>
      <c r="O24" s="13"/>
    </row>
    <row r="25" spans="1:15" ht="7.5" customHeight="1">
      <c r="A25" s="13"/>
      <c r="B25" s="91"/>
      <c r="C25" s="11"/>
      <c r="D25" s="11"/>
      <c r="E25" s="10"/>
      <c r="F25" s="20"/>
      <c r="G25" s="87"/>
      <c r="H25" s="87"/>
      <c r="I25" s="11"/>
      <c r="J25" s="11"/>
      <c r="K25" s="16"/>
      <c r="L25" s="13"/>
      <c r="M25" s="87"/>
      <c r="N25" s="22"/>
      <c r="O25" s="13"/>
    </row>
    <row r="26" spans="1:15" ht="22.5" customHeight="1">
      <c r="A26" s="13"/>
      <c r="B26" s="91" t="s">
        <v>35</v>
      </c>
      <c r="C26" s="102">
        <v>3141</v>
      </c>
      <c r="D26" s="103"/>
      <c r="E26" s="10" t="s">
        <v>23</v>
      </c>
      <c r="F26" s="20"/>
      <c r="G26" s="107" t="s">
        <v>36</v>
      </c>
      <c r="H26" s="107"/>
      <c r="I26" s="102">
        <v>3969</v>
      </c>
      <c r="J26" s="103"/>
      <c r="K26" s="16" t="s">
        <v>23</v>
      </c>
      <c r="L26" s="13"/>
      <c r="M26" s="87"/>
      <c r="N26" s="22"/>
    </row>
    <row r="27" spans="1:15" ht="7.5" customHeight="1">
      <c r="A27" s="13"/>
      <c r="B27" s="91"/>
      <c r="C27" s="11"/>
      <c r="D27" s="11"/>
      <c r="E27" s="10"/>
      <c r="F27" s="20"/>
      <c r="G27" s="87"/>
      <c r="H27" s="87"/>
      <c r="I27" s="11"/>
      <c r="J27" s="11"/>
      <c r="K27" s="16"/>
      <c r="L27" s="13"/>
      <c r="M27" s="87"/>
      <c r="N27" s="22"/>
    </row>
    <row r="28" spans="1:15" ht="22.5" customHeight="1">
      <c r="A28" s="13"/>
      <c r="B28" s="91" t="s">
        <v>37</v>
      </c>
      <c r="C28" s="102">
        <v>152</v>
      </c>
      <c r="D28" s="103"/>
      <c r="E28" s="10" t="s">
        <v>23</v>
      </c>
      <c r="F28" s="20"/>
      <c r="G28" s="107" t="s">
        <v>38</v>
      </c>
      <c r="H28" s="107"/>
      <c r="I28" s="102">
        <v>169</v>
      </c>
      <c r="J28" s="103"/>
      <c r="K28" s="16" t="s">
        <v>23</v>
      </c>
      <c r="L28" s="13"/>
      <c r="M28" s="87"/>
      <c r="N28" s="22"/>
    </row>
    <row r="29" spans="1:15" ht="7.5" customHeight="1">
      <c r="A29" s="13"/>
      <c r="B29" s="13"/>
      <c r="C29" s="13"/>
      <c r="D29" s="13"/>
      <c r="E29" s="13"/>
      <c r="F29" s="20"/>
      <c r="G29" s="20"/>
      <c r="H29" s="13"/>
      <c r="I29" s="13"/>
      <c r="J29" s="13"/>
      <c r="K29" s="13"/>
      <c r="L29" s="13"/>
      <c r="M29" s="23"/>
      <c r="N29" s="23"/>
    </row>
    <row r="30" spans="1:15" ht="22.5" customHeight="1">
      <c r="A30" s="13" t="s">
        <v>39</v>
      </c>
      <c r="B30" s="14" t="s">
        <v>40</v>
      </c>
      <c r="C30" s="14"/>
      <c r="D30" s="14"/>
      <c r="E30" s="14"/>
      <c r="F30" s="16"/>
      <c r="G30" s="92"/>
      <c r="H30" s="92"/>
      <c r="I30" s="92"/>
      <c r="J30" s="25"/>
      <c r="K30" s="25"/>
      <c r="L30" s="25"/>
      <c r="M30" s="25"/>
      <c r="N30" s="25"/>
    </row>
    <row r="31" spans="1:15" s="13" customFormat="1" ht="22.5" customHeight="1">
      <c r="B31" s="111" t="s">
        <v>41</v>
      </c>
      <c r="C31" s="111"/>
      <c r="D31" s="104" t="s">
        <v>42</v>
      </c>
      <c r="E31" s="105"/>
      <c r="F31" s="105"/>
      <c r="G31" s="112" t="s">
        <v>43</v>
      </c>
      <c r="H31" s="111"/>
      <c r="I31" s="113"/>
      <c r="J31" s="104" t="s">
        <v>44</v>
      </c>
      <c r="K31" s="105"/>
      <c r="L31" s="105"/>
      <c r="M31" s="105"/>
      <c r="N31" s="106"/>
    </row>
    <row r="32" spans="1:15" ht="7.5" customHeight="1">
      <c r="A32" s="13"/>
      <c r="B32" s="13"/>
      <c r="C32" s="13"/>
      <c r="D32" s="13"/>
      <c r="E32" s="13"/>
      <c r="F32" s="20"/>
      <c r="G32" s="20"/>
      <c r="H32" s="13"/>
      <c r="I32" s="13"/>
      <c r="J32" s="13"/>
      <c r="K32" s="13"/>
      <c r="L32" s="13"/>
      <c r="M32" s="23"/>
      <c r="N32" s="23"/>
    </row>
    <row r="33" spans="1:14" ht="22.5" customHeight="1">
      <c r="A33" s="13" t="s">
        <v>45</v>
      </c>
      <c r="B33" s="14" t="s">
        <v>46</v>
      </c>
      <c r="C33" s="14"/>
      <c r="D33" s="14"/>
      <c r="E33" s="14"/>
      <c r="F33" s="16"/>
      <c r="G33" s="25"/>
      <c r="H33" s="25"/>
      <c r="I33" s="25"/>
      <c r="J33" s="25"/>
      <c r="K33" s="25"/>
      <c r="L33" s="25"/>
      <c r="M33" s="25"/>
      <c r="N33" s="25"/>
    </row>
    <row r="34" spans="1:14" ht="22.5" customHeight="1">
      <c r="A34" s="13"/>
      <c r="B34" s="104" t="s">
        <v>47</v>
      </c>
      <c r="C34" s="105"/>
      <c r="D34" s="105"/>
      <c r="E34" s="105"/>
      <c r="F34" s="105"/>
      <c r="G34" s="105"/>
      <c r="H34" s="105"/>
      <c r="I34" s="105"/>
      <c r="J34" s="105"/>
      <c r="K34" s="105"/>
      <c r="L34" s="105"/>
      <c r="M34" s="105"/>
      <c r="N34" s="106"/>
    </row>
    <row r="35" spans="1:14" ht="7.5" customHeight="1">
      <c r="A35" s="13"/>
      <c r="B35" s="90"/>
      <c r="C35" s="90"/>
      <c r="D35" s="90"/>
      <c r="E35" s="90"/>
      <c r="F35" s="90"/>
      <c r="G35" s="90"/>
      <c r="H35" s="90"/>
      <c r="I35" s="90"/>
      <c r="J35" s="90"/>
      <c r="K35" s="90"/>
      <c r="L35" s="90"/>
      <c r="M35" s="90"/>
      <c r="N35" s="90"/>
    </row>
    <row r="36" spans="1:14" s="13" customFormat="1" ht="22.5" customHeight="1">
      <c r="B36" s="111" t="s">
        <v>41</v>
      </c>
      <c r="C36" s="111"/>
      <c r="D36" s="104" t="s">
        <v>48</v>
      </c>
      <c r="E36" s="105"/>
      <c r="F36" s="105"/>
      <c r="G36" s="112" t="s">
        <v>43</v>
      </c>
      <c r="H36" s="111"/>
      <c r="I36" s="113"/>
      <c r="J36" s="104" t="s">
        <v>49</v>
      </c>
      <c r="K36" s="105"/>
      <c r="L36" s="105"/>
      <c r="M36" s="105"/>
      <c r="N36" s="106"/>
    </row>
    <row r="37" spans="1:14" ht="7.5" customHeight="1">
      <c r="A37" s="13"/>
      <c r="B37" s="13"/>
      <c r="C37" s="13"/>
      <c r="D37" s="13"/>
      <c r="E37" s="13"/>
      <c r="F37" s="92"/>
      <c r="G37" s="92"/>
      <c r="H37" s="92"/>
      <c r="I37" s="92"/>
      <c r="J37" s="92"/>
      <c r="K37" s="92"/>
      <c r="L37" s="92"/>
      <c r="M37" s="92"/>
      <c r="N37" s="92"/>
    </row>
    <row r="38" spans="1:14" ht="22.5" customHeight="1">
      <c r="A38" s="13" t="s">
        <v>50</v>
      </c>
      <c r="B38" s="13" t="s">
        <v>51</v>
      </c>
      <c r="C38" s="13"/>
      <c r="D38" s="13"/>
      <c r="E38" s="13"/>
      <c r="F38" s="13"/>
      <c r="G38" s="13"/>
      <c r="H38" s="13"/>
      <c r="I38" s="13"/>
      <c r="J38" s="13"/>
      <c r="K38" s="13"/>
      <c r="L38" s="13"/>
      <c r="M38" s="23"/>
      <c r="N38" s="23"/>
    </row>
    <row r="39" spans="1:14" ht="22.5" customHeight="1">
      <c r="A39" s="13"/>
      <c r="B39" s="104" t="s">
        <v>47</v>
      </c>
      <c r="C39" s="105"/>
      <c r="D39" s="105"/>
      <c r="E39" s="105"/>
      <c r="F39" s="105"/>
      <c r="G39" s="105"/>
      <c r="H39" s="105"/>
      <c r="I39" s="105"/>
      <c r="J39" s="105"/>
      <c r="K39" s="105"/>
      <c r="L39" s="105"/>
      <c r="M39" s="105"/>
      <c r="N39" s="106"/>
    </row>
    <row r="40" spans="1:14" ht="7.5" customHeight="1">
      <c r="A40" s="13"/>
      <c r="B40" s="13"/>
      <c r="C40" s="13"/>
      <c r="D40" s="13"/>
      <c r="E40" s="13"/>
      <c r="F40" s="92"/>
      <c r="G40" s="92"/>
      <c r="H40" s="92"/>
      <c r="I40" s="92"/>
      <c r="J40" s="92"/>
      <c r="K40" s="92"/>
      <c r="L40" s="92"/>
      <c r="M40" s="92"/>
      <c r="N40" s="92"/>
    </row>
    <row r="41" spans="1:14" s="13" customFormat="1" ht="22.5" customHeight="1">
      <c r="B41" s="111" t="s">
        <v>41</v>
      </c>
      <c r="C41" s="111"/>
      <c r="D41" s="104" t="s">
        <v>48</v>
      </c>
      <c r="E41" s="105"/>
      <c r="F41" s="105"/>
      <c r="G41" s="112" t="s">
        <v>43</v>
      </c>
      <c r="H41" s="111"/>
      <c r="I41" s="113"/>
      <c r="J41" s="104" t="s">
        <v>49</v>
      </c>
      <c r="K41" s="105"/>
      <c r="L41" s="105"/>
      <c r="M41" s="105"/>
      <c r="N41" s="106"/>
    </row>
    <row r="42" spans="1:14" ht="7.5" customHeight="1">
      <c r="A42" s="13"/>
      <c r="B42" s="13"/>
      <c r="C42" s="13"/>
      <c r="D42" s="13"/>
      <c r="E42" s="13"/>
      <c r="F42" s="92"/>
      <c r="G42" s="92"/>
      <c r="H42" s="92"/>
      <c r="I42" s="92"/>
      <c r="J42" s="92"/>
      <c r="K42" s="92"/>
      <c r="L42" s="92"/>
      <c r="M42" s="92"/>
      <c r="N42" s="92"/>
    </row>
    <row r="43" spans="1:14" ht="22.5" customHeight="1">
      <c r="A43" s="13" t="s">
        <v>52</v>
      </c>
      <c r="B43" s="63" t="s">
        <v>53</v>
      </c>
      <c r="C43" s="13"/>
      <c r="D43" s="13"/>
      <c r="E43" s="62"/>
      <c r="F43" s="104" t="s">
        <v>54</v>
      </c>
      <c r="G43" s="105"/>
      <c r="H43" s="105"/>
      <c r="I43" s="105"/>
      <c r="J43" s="105"/>
      <c r="K43" s="105"/>
      <c r="L43" s="105"/>
      <c r="M43" s="105"/>
      <c r="N43" s="106"/>
    </row>
    <row r="44" spans="1:14" ht="7.5" customHeight="1">
      <c r="A44" s="13"/>
      <c r="B44" s="13"/>
      <c r="C44" s="13"/>
      <c r="D44" s="13"/>
      <c r="E44" s="13"/>
      <c r="F44" s="92"/>
      <c r="G44" s="92"/>
      <c r="H44" s="92"/>
      <c r="I44" s="92"/>
      <c r="J44" s="92"/>
      <c r="K44" s="92"/>
      <c r="L44" s="92"/>
      <c r="M44" s="92"/>
      <c r="N44" s="92"/>
    </row>
    <row r="45" spans="1:14" ht="22.5" customHeight="1">
      <c r="A45" s="13" t="s">
        <v>55</v>
      </c>
      <c r="B45" s="13"/>
      <c r="C45" s="13"/>
      <c r="D45" s="13"/>
      <c r="E45" s="13"/>
      <c r="F45" s="13"/>
      <c r="G45" s="13"/>
      <c r="H45" s="13"/>
      <c r="I45" s="13"/>
      <c r="J45" s="13"/>
      <c r="K45" s="13"/>
      <c r="L45" s="13"/>
      <c r="M45" s="13"/>
      <c r="N45" s="13"/>
    </row>
    <row r="46" spans="1:14" ht="22.5" customHeight="1">
      <c r="A46" s="13"/>
      <c r="B46" s="26" t="s">
        <v>56</v>
      </c>
      <c r="C46" s="123" t="s">
        <v>57</v>
      </c>
      <c r="D46" s="124"/>
      <c r="E46" s="124"/>
      <c r="F46" s="124"/>
      <c r="G46" s="124"/>
      <c r="H46" s="124"/>
      <c r="I46" s="27" t="s">
        <v>58</v>
      </c>
      <c r="J46" s="28"/>
      <c r="K46" s="104" t="s">
        <v>59</v>
      </c>
      <c r="L46" s="105"/>
      <c r="M46" s="105"/>
      <c r="N46" s="106"/>
    </row>
    <row r="47" spans="1:14" ht="22.5" customHeight="1">
      <c r="A47" s="13"/>
      <c r="B47" s="26" t="s">
        <v>60</v>
      </c>
      <c r="C47" s="126" t="s">
        <v>61</v>
      </c>
      <c r="D47" s="127"/>
      <c r="E47" s="127"/>
      <c r="F47" s="127"/>
      <c r="G47" s="127"/>
      <c r="H47" s="128"/>
      <c r="I47" s="27" t="s">
        <v>62</v>
      </c>
      <c r="J47" s="28"/>
      <c r="K47" s="129" t="s">
        <v>63</v>
      </c>
      <c r="L47" s="130"/>
      <c r="M47" s="130"/>
      <c r="N47" s="131"/>
    </row>
    <row r="48" spans="1:14" ht="18.75" customHeight="1">
      <c r="A48" s="13"/>
      <c r="B48" s="13"/>
      <c r="C48" s="13"/>
      <c r="D48" s="13"/>
      <c r="E48" s="13"/>
      <c r="F48" s="13"/>
      <c r="G48" s="13"/>
      <c r="H48" s="13"/>
      <c r="I48" s="13"/>
      <c r="J48" s="13"/>
      <c r="K48" s="13"/>
      <c r="L48" s="13"/>
      <c r="M48" s="13"/>
      <c r="N48" s="13"/>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2"/>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hyperlinks>
    <hyperlink ref="C47" r:id="rId1" xr:uid="{286A6261-FD1B-4735-A3EE-BC64DE7AF4F5}"/>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zoomScaleNormal="100" workbookViewId="0">
      <selection activeCell="B9" sqref="B9:I16"/>
    </sheetView>
  </sheetViews>
  <sheetFormatPr defaultColWidth="9" defaultRowHeight="18.75" customHeight="1"/>
  <cols>
    <col min="1" max="2" width="2.5" style="12" customWidth="1"/>
    <col min="3" max="3" width="20" style="12" customWidth="1"/>
    <col min="4" max="4" width="8.75" style="12" customWidth="1"/>
    <col min="5" max="5" width="7.5" style="12" customWidth="1"/>
    <col min="6" max="6" width="2.5" style="12" customWidth="1"/>
    <col min="7" max="7" width="15" style="12" customWidth="1"/>
    <col min="8" max="8" width="12.5" style="12" customWidth="1"/>
    <col min="9" max="9" width="11.125" style="12" customWidth="1"/>
    <col min="10" max="16384" width="9" style="12"/>
  </cols>
  <sheetData>
    <row r="1" spans="1:9" ht="18.75" customHeight="1">
      <c r="I1" s="89" t="s">
        <v>64</v>
      </c>
    </row>
    <row r="2" spans="1:9" ht="18.75" customHeight="1">
      <c r="A2" s="13"/>
      <c r="B2" s="13"/>
      <c r="C2" s="13"/>
      <c r="D2" s="13"/>
      <c r="E2" s="13"/>
      <c r="F2" s="13"/>
      <c r="G2" s="24" t="s">
        <v>65</v>
      </c>
      <c r="H2" s="132" t="s">
        <v>4</v>
      </c>
      <c r="I2" s="132"/>
    </row>
    <row r="3" spans="1:9" ht="7.5" customHeight="1">
      <c r="A3" s="13"/>
      <c r="B3" s="13"/>
      <c r="C3" s="13"/>
      <c r="D3" s="13"/>
      <c r="E3" s="13"/>
      <c r="F3" s="13"/>
      <c r="G3" s="13"/>
      <c r="H3" s="13"/>
      <c r="I3" s="13"/>
    </row>
    <row r="4" spans="1:9" ht="18.75" customHeight="1">
      <c r="A4" s="122" t="s">
        <v>66</v>
      </c>
      <c r="B4" s="122"/>
      <c r="C4" s="122"/>
      <c r="D4" s="122"/>
      <c r="E4" s="122"/>
      <c r="F4" s="122"/>
      <c r="G4" s="122"/>
      <c r="H4" s="122"/>
      <c r="I4" s="122"/>
    </row>
    <row r="5" spans="1:9" ht="7.5" customHeight="1">
      <c r="A5" s="13"/>
      <c r="B5" s="13"/>
      <c r="C5" s="91"/>
      <c r="D5" s="91"/>
      <c r="E5" s="91"/>
      <c r="F5" s="91"/>
      <c r="G5" s="91"/>
      <c r="H5" s="91"/>
      <c r="I5" s="91"/>
    </row>
    <row r="6" spans="1:9" ht="18.75" customHeight="1">
      <c r="A6" s="13" t="s">
        <v>2</v>
      </c>
      <c r="B6" s="13" t="s">
        <v>67</v>
      </c>
      <c r="C6" s="91"/>
      <c r="D6" s="91"/>
      <c r="E6" s="114" t="s">
        <v>68</v>
      </c>
      <c r="F6" s="115"/>
      <c r="G6" s="115"/>
      <c r="H6" s="115"/>
      <c r="I6" s="116"/>
    </row>
    <row r="7" spans="1:9" ht="7.5" customHeight="1">
      <c r="A7" s="13"/>
      <c r="B7" s="13"/>
      <c r="C7" s="91"/>
      <c r="D7" s="91"/>
      <c r="E7" s="13"/>
      <c r="F7" s="87"/>
      <c r="G7" s="87"/>
      <c r="H7" s="87"/>
      <c r="I7" s="87"/>
    </row>
    <row r="8" spans="1:9" ht="18.75" customHeight="1">
      <c r="A8" s="13" t="s">
        <v>5</v>
      </c>
      <c r="B8" s="13" t="s">
        <v>69</v>
      </c>
      <c r="C8" s="91"/>
      <c r="D8" s="91"/>
      <c r="E8" s="91"/>
      <c r="F8" s="91"/>
      <c r="G8" s="91"/>
      <c r="H8" s="91"/>
      <c r="I8" s="91"/>
    </row>
    <row r="9" spans="1:9" ht="18.75" customHeight="1">
      <c r="A9" s="13"/>
      <c r="B9" s="135" t="s">
        <v>70</v>
      </c>
      <c r="C9" s="136"/>
      <c r="D9" s="136"/>
      <c r="E9" s="136"/>
      <c r="F9" s="136"/>
      <c r="G9" s="136"/>
      <c r="H9" s="136"/>
      <c r="I9" s="137"/>
    </row>
    <row r="10" spans="1:9" ht="18.75" customHeight="1">
      <c r="A10" s="13"/>
      <c r="B10" s="138"/>
      <c r="C10" s="139"/>
      <c r="D10" s="139"/>
      <c r="E10" s="139"/>
      <c r="F10" s="139"/>
      <c r="G10" s="139"/>
      <c r="H10" s="139"/>
      <c r="I10" s="140"/>
    </row>
    <row r="11" spans="1:9" ht="18.75" customHeight="1">
      <c r="A11" s="13"/>
      <c r="B11" s="138"/>
      <c r="C11" s="139"/>
      <c r="D11" s="139"/>
      <c r="E11" s="139"/>
      <c r="F11" s="139"/>
      <c r="G11" s="139"/>
      <c r="H11" s="139"/>
      <c r="I11" s="140"/>
    </row>
    <row r="12" spans="1:9" ht="18.75" customHeight="1">
      <c r="A12" s="13"/>
      <c r="B12" s="138"/>
      <c r="C12" s="139"/>
      <c r="D12" s="139"/>
      <c r="E12" s="139"/>
      <c r="F12" s="139"/>
      <c r="G12" s="139"/>
      <c r="H12" s="139"/>
      <c r="I12" s="140"/>
    </row>
    <row r="13" spans="1:9" ht="18.75" customHeight="1">
      <c r="A13" s="13"/>
      <c r="B13" s="138"/>
      <c r="C13" s="139"/>
      <c r="D13" s="139"/>
      <c r="E13" s="139"/>
      <c r="F13" s="139"/>
      <c r="G13" s="139"/>
      <c r="H13" s="139"/>
      <c r="I13" s="140"/>
    </row>
    <row r="14" spans="1:9" ht="18.75" customHeight="1">
      <c r="A14" s="13"/>
      <c r="B14" s="138"/>
      <c r="C14" s="139"/>
      <c r="D14" s="139"/>
      <c r="E14" s="139"/>
      <c r="F14" s="139"/>
      <c r="G14" s="139"/>
      <c r="H14" s="139"/>
      <c r="I14" s="140"/>
    </row>
    <row r="15" spans="1:9" ht="18.75" customHeight="1">
      <c r="A15" s="13"/>
      <c r="B15" s="138"/>
      <c r="C15" s="139"/>
      <c r="D15" s="139"/>
      <c r="E15" s="139"/>
      <c r="F15" s="139"/>
      <c r="G15" s="139"/>
      <c r="H15" s="139"/>
      <c r="I15" s="140"/>
    </row>
    <row r="16" spans="1:9" ht="18.75" customHeight="1">
      <c r="A16" s="13"/>
      <c r="B16" s="141"/>
      <c r="C16" s="142"/>
      <c r="D16" s="142"/>
      <c r="E16" s="142"/>
      <c r="F16" s="142"/>
      <c r="G16" s="142"/>
      <c r="H16" s="142"/>
      <c r="I16" s="143"/>
    </row>
    <row r="17" spans="1:10" ht="7.5" customHeight="1">
      <c r="A17" s="13"/>
      <c r="B17" s="13"/>
      <c r="C17" s="91"/>
      <c r="D17" s="91"/>
      <c r="E17" s="91"/>
      <c r="F17" s="91"/>
      <c r="G17" s="91"/>
      <c r="H17" s="91"/>
      <c r="I17" s="91"/>
    </row>
    <row r="18" spans="1:10" ht="18.75" customHeight="1">
      <c r="A18" s="91" t="s">
        <v>8</v>
      </c>
      <c r="B18" s="14" t="s">
        <v>71</v>
      </c>
      <c r="C18" s="14"/>
      <c r="D18" s="14"/>
      <c r="E18" s="14"/>
      <c r="F18" s="91"/>
      <c r="G18" s="91"/>
      <c r="H18" s="91"/>
      <c r="I18" s="91"/>
      <c r="J18" s="91"/>
    </row>
    <row r="19" spans="1:10" ht="18.75" customHeight="1">
      <c r="A19" s="133" t="s">
        <v>71</v>
      </c>
      <c r="B19" s="133"/>
      <c r="C19" s="133"/>
      <c r="D19" s="133"/>
      <c r="E19" s="133"/>
      <c r="F19" s="134" t="s">
        <v>71</v>
      </c>
      <c r="G19" s="134"/>
      <c r="H19" s="134"/>
      <c r="I19" s="134"/>
    </row>
    <row r="20" spans="1:10" ht="18.75" customHeight="1">
      <c r="A20" s="36">
        <v>1</v>
      </c>
      <c r="B20" s="123" t="s">
        <v>72</v>
      </c>
      <c r="C20" s="124"/>
      <c r="D20" s="124"/>
      <c r="E20" s="125"/>
      <c r="F20" s="36">
        <v>26</v>
      </c>
      <c r="G20" s="123"/>
      <c r="H20" s="124"/>
      <c r="I20" s="125"/>
    </row>
    <row r="21" spans="1:10" ht="18.75" customHeight="1">
      <c r="A21" s="36">
        <v>2</v>
      </c>
      <c r="B21" s="123" t="s">
        <v>73</v>
      </c>
      <c r="C21" s="124"/>
      <c r="D21" s="124"/>
      <c r="E21" s="125"/>
      <c r="F21" s="36">
        <v>27</v>
      </c>
      <c r="G21" s="123"/>
      <c r="H21" s="124"/>
      <c r="I21" s="125"/>
    </row>
    <row r="22" spans="1:10" ht="18.75" customHeight="1">
      <c r="A22" s="36">
        <v>3</v>
      </c>
      <c r="B22" s="123"/>
      <c r="C22" s="124"/>
      <c r="D22" s="124"/>
      <c r="E22" s="125"/>
      <c r="F22" s="36">
        <v>28</v>
      </c>
      <c r="G22" s="123"/>
      <c r="H22" s="124"/>
      <c r="I22" s="125"/>
    </row>
    <row r="23" spans="1:10" ht="18.75" customHeight="1">
      <c r="A23" s="36">
        <v>4</v>
      </c>
      <c r="B23" s="123"/>
      <c r="C23" s="124"/>
      <c r="D23" s="124"/>
      <c r="E23" s="125"/>
      <c r="F23" s="36">
        <v>29</v>
      </c>
      <c r="G23" s="123"/>
      <c r="H23" s="124"/>
      <c r="I23" s="125"/>
    </row>
    <row r="24" spans="1:10" ht="18.75" customHeight="1">
      <c r="A24" s="36">
        <v>5</v>
      </c>
      <c r="B24" s="123"/>
      <c r="C24" s="124"/>
      <c r="D24" s="124"/>
      <c r="E24" s="125"/>
      <c r="F24" s="36">
        <v>30</v>
      </c>
      <c r="G24" s="123"/>
      <c r="H24" s="124"/>
      <c r="I24" s="125"/>
    </row>
    <row r="25" spans="1:10" ht="18.75" customHeight="1">
      <c r="A25" s="36">
        <v>6</v>
      </c>
      <c r="B25" s="123"/>
      <c r="C25" s="124"/>
      <c r="D25" s="124"/>
      <c r="E25" s="125"/>
      <c r="F25" s="36">
        <v>31</v>
      </c>
      <c r="G25" s="123"/>
      <c r="H25" s="124"/>
      <c r="I25" s="125"/>
    </row>
    <row r="26" spans="1:10" ht="18.75" customHeight="1">
      <c r="A26" s="36">
        <v>7</v>
      </c>
      <c r="B26" s="123"/>
      <c r="C26" s="124"/>
      <c r="D26" s="124"/>
      <c r="E26" s="125"/>
      <c r="F26" s="36">
        <v>32</v>
      </c>
      <c r="G26" s="123"/>
      <c r="H26" s="124"/>
      <c r="I26" s="125"/>
    </row>
    <row r="27" spans="1:10" ht="18.75" customHeight="1">
      <c r="A27" s="36">
        <v>8</v>
      </c>
      <c r="B27" s="123"/>
      <c r="C27" s="124"/>
      <c r="D27" s="124"/>
      <c r="E27" s="125"/>
      <c r="F27" s="36">
        <v>33</v>
      </c>
      <c r="G27" s="123"/>
      <c r="H27" s="124"/>
      <c r="I27" s="125"/>
    </row>
    <row r="28" spans="1:10" ht="18.75" customHeight="1">
      <c r="A28" s="36">
        <v>9</v>
      </c>
      <c r="B28" s="123"/>
      <c r="C28" s="124"/>
      <c r="D28" s="124"/>
      <c r="E28" s="125"/>
      <c r="F28" s="36">
        <v>34</v>
      </c>
      <c r="G28" s="123"/>
      <c r="H28" s="124"/>
      <c r="I28" s="125"/>
    </row>
    <row r="29" spans="1:10" ht="18.75" customHeight="1">
      <c r="A29" s="36">
        <v>10</v>
      </c>
      <c r="B29" s="123"/>
      <c r="C29" s="124"/>
      <c r="D29" s="124"/>
      <c r="E29" s="125"/>
      <c r="F29" s="36">
        <v>35</v>
      </c>
      <c r="G29" s="123"/>
      <c r="H29" s="124"/>
      <c r="I29" s="125"/>
    </row>
    <row r="30" spans="1:10" ht="18.75" customHeight="1">
      <c r="A30" s="36">
        <v>11</v>
      </c>
      <c r="B30" s="123"/>
      <c r="C30" s="124"/>
      <c r="D30" s="124"/>
      <c r="E30" s="125"/>
      <c r="F30" s="36">
        <v>36</v>
      </c>
      <c r="G30" s="123"/>
      <c r="H30" s="124"/>
      <c r="I30" s="125"/>
    </row>
    <row r="31" spans="1:10" ht="18.75" customHeight="1">
      <c r="A31" s="36">
        <v>12</v>
      </c>
      <c r="B31" s="123"/>
      <c r="C31" s="124"/>
      <c r="D31" s="124"/>
      <c r="E31" s="125"/>
      <c r="F31" s="36">
        <v>37</v>
      </c>
      <c r="G31" s="123"/>
      <c r="H31" s="124"/>
      <c r="I31" s="125"/>
    </row>
    <row r="32" spans="1:10" ht="18.75" customHeight="1">
      <c r="A32" s="36">
        <v>13</v>
      </c>
      <c r="B32" s="123"/>
      <c r="C32" s="124"/>
      <c r="D32" s="124"/>
      <c r="E32" s="125"/>
      <c r="F32" s="36">
        <v>38</v>
      </c>
      <c r="G32" s="123"/>
      <c r="H32" s="124"/>
      <c r="I32" s="125"/>
    </row>
    <row r="33" spans="1:9" ht="18.75" customHeight="1">
      <c r="A33" s="36">
        <v>14</v>
      </c>
      <c r="B33" s="123"/>
      <c r="C33" s="124"/>
      <c r="D33" s="124"/>
      <c r="E33" s="125"/>
      <c r="F33" s="36">
        <v>39</v>
      </c>
      <c r="G33" s="123"/>
      <c r="H33" s="124"/>
      <c r="I33" s="125"/>
    </row>
    <row r="34" spans="1:9" ht="18.75" customHeight="1">
      <c r="A34" s="36">
        <v>15</v>
      </c>
      <c r="B34" s="123"/>
      <c r="C34" s="124"/>
      <c r="D34" s="124"/>
      <c r="E34" s="125"/>
      <c r="F34" s="36">
        <v>40</v>
      </c>
      <c r="G34" s="123"/>
      <c r="H34" s="124"/>
      <c r="I34" s="125"/>
    </row>
    <row r="35" spans="1:9" ht="18.75" customHeight="1">
      <c r="A35" s="36">
        <v>16</v>
      </c>
      <c r="B35" s="123"/>
      <c r="C35" s="124"/>
      <c r="D35" s="124"/>
      <c r="E35" s="125"/>
      <c r="F35" s="36">
        <v>41</v>
      </c>
      <c r="G35" s="123"/>
      <c r="H35" s="124"/>
      <c r="I35" s="125"/>
    </row>
    <row r="36" spans="1:9" ht="18.75" customHeight="1">
      <c r="A36" s="36">
        <v>17</v>
      </c>
      <c r="B36" s="123"/>
      <c r="C36" s="124"/>
      <c r="D36" s="124"/>
      <c r="E36" s="125"/>
      <c r="F36" s="36">
        <v>42</v>
      </c>
      <c r="G36" s="123"/>
      <c r="H36" s="124"/>
      <c r="I36" s="125"/>
    </row>
    <row r="37" spans="1:9" ht="18.75" customHeight="1">
      <c r="A37" s="36">
        <v>18</v>
      </c>
      <c r="B37" s="123"/>
      <c r="C37" s="124"/>
      <c r="D37" s="124"/>
      <c r="E37" s="125"/>
      <c r="F37" s="36">
        <v>43</v>
      </c>
      <c r="G37" s="123"/>
      <c r="H37" s="124"/>
      <c r="I37" s="125"/>
    </row>
    <row r="38" spans="1:9" ht="18.75" customHeight="1">
      <c r="A38" s="36">
        <v>19</v>
      </c>
      <c r="B38" s="123"/>
      <c r="C38" s="124"/>
      <c r="D38" s="124"/>
      <c r="E38" s="125"/>
      <c r="F38" s="36">
        <v>44</v>
      </c>
      <c r="G38" s="123"/>
      <c r="H38" s="124"/>
      <c r="I38" s="125"/>
    </row>
    <row r="39" spans="1:9" ht="18.75" customHeight="1">
      <c r="A39" s="36">
        <v>20</v>
      </c>
      <c r="B39" s="123"/>
      <c r="C39" s="124"/>
      <c r="D39" s="124"/>
      <c r="E39" s="125"/>
      <c r="F39" s="36">
        <v>45</v>
      </c>
      <c r="G39" s="123"/>
      <c r="H39" s="124"/>
      <c r="I39" s="125"/>
    </row>
    <row r="40" spans="1:9" ht="18.75" customHeight="1">
      <c r="A40" s="36">
        <v>21</v>
      </c>
      <c r="B40" s="123"/>
      <c r="C40" s="124"/>
      <c r="D40" s="124"/>
      <c r="E40" s="125"/>
      <c r="F40" s="36">
        <v>46</v>
      </c>
      <c r="G40" s="123"/>
      <c r="H40" s="124"/>
      <c r="I40" s="125"/>
    </row>
    <row r="41" spans="1:9" ht="18.75" customHeight="1">
      <c r="A41" s="36">
        <v>22</v>
      </c>
      <c r="B41" s="123"/>
      <c r="C41" s="124"/>
      <c r="D41" s="124"/>
      <c r="E41" s="125"/>
      <c r="F41" s="36">
        <v>47</v>
      </c>
      <c r="G41" s="123"/>
      <c r="H41" s="124"/>
      <c r="I41" s="125"/>
    </row>
    <row r="42" spans="1:9" ht="18.75" customHeight="1">
      <c r="A42" s="36">
        <v>23</v>
      </c>
      <c r="B42" s="123"/>
      <c r="C42" s="124"/>
      <c r="D42" s="124"/>
      <c r="E42" s="125"/>
      <c r="F42" s="36">
        <v>48</v>
      </c>
      <c r="G42" s="123"/>
      <c r="H42" s="124"/>
      <c r="I42" s="125"/>
    </row>
    <row r="43" spans="1:9" ht="18.75" customHeight="1">
      <c r="A43" s="36">
        <v>24</v>
      </c>
      <c r="B43" s="123"/>
      <c r="C43" s="124"/>
      <c r="D43" s="124"/>
      <c r="E43" s="125"/>
      <c r="F43" s="36">
        <v>49</v>
      </c>
      <c r="G43" s="123"/>
      <c r="H43" s="124"/>
      <c r="I43" s="125"/>
    </row>
    <row r="44" spans="1:9" ht="18.75" customHeight="1">
      <c r="A44" s="36">
        <v>25</v>
      </c>
      <c r="B44" s="123"/>
      <c r="C44" s="124"/>
      <c r="D44" s="124"/>
      <c r="E44" s="125"/>
      <c r="F44" s="36">
        <v>50</v>
      </c>
      <c r="G44" s="123"/>
      <c r="H44" s="124"/>
      <c r="I44" s="125"/>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9:I16"/>
    <mergeCell ref="B25:E25"/>
    <mergeCell ref="B26:E26"/>
    <mergeCell ref="B27:E27"/>
    <mergeCell ref="B28:E28"/>
    <mergeCell ref="B20:E20"/>
    <mergeCell ref="B21:E21"/>
    <mergeCell ref="B22:E22"/>
    <mergeCell ref="B23:E23"/>
    <mergeCell ref="B24:E24"/>
    <mergeCell ref="G20:I20"/>
    <mergeCell ref="G25:I25"/>
    <mergeCell ref="G26:I26"/>
    <mergeCell ref="G27:I27"/>
    <mergeCell ref="G28:I28"/>
  </mergeCells>
  <phoneticPr fontId="2"/>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9"/>
  <sheetViews>
    <sheetView topLeftCell="A19" zoomScale="115" zoomScaleNormal="115" workbookViewId="0">
      <selection activeCell="E30" sqref="E30"/>
    </sheetView>
  </sheetViews>
  <sheetFormatPr defaultColWidth="9" defaultRowHeight="18.75" customHeight="1"/>
  <cols>
    <col min="1" max="1" width="2.5" style="1" customWidth="1"/>
    <col min="2" max="2" width="12.5" style="1" customWidth="1"/>
    <col min="3" max="3" width="21" style="1" customWidth="1"/>
    <col min="4" max="18" width="6.125" style="1" customWidth="1"/>
    <col min="19" max="16384" width="9" style="1"/>
  </cols>
  <sheetData>
    <row r="1" spans="1:19" ht="18.75" customHeight="1">
      <c r="A1" s="266"/>
      <c r="B1" s="266"/>
      <c r="C1" s="266"/>
      <c r="D1" s="266"/>
      <c r="E1" s="266"/>
      <c r="F1" s="267" t="s">
        <v>74</v>
      </c>
      <c r="G1" s="267"/>
      <c r="H1" s="267"/>
      <c r="I1" s="267"/>
      <c r="J1" s="267"/>
      <c r="K1" s="267"/>
      <c r="L1" s="267"/>
      <c r="M1" s="267"/>
      <c r="N1" s="267"/>
      <c r="O1" s="267"/>
      <c r="P1" s="267"/>
      <c r="Q1" s="267"/>
      <c r="R1" s="267"/>
      <c r="S1" s="266"/>
    </row>
    <row r="2" spans="1:19" ht="18.75" customHeight="1">
      <c r="A2" s="266"/>
      <c r="B2" s="266"/>
      <c r="C2" s="266"/>
      <c r="D2" s="40"/>
      <c r="E2" s="40"/>
      <c r="F2" s="40"/>
      <c r="G2" s="40"/>
      <c r="H2" s="40"/>
      <c r="I2" s="40"/>
      <c r="J2" s="40"/>
      <c r="K2" s="267" t="s">
        <v>75</v>
      </c>
      <c r="L2" s="267"/>
      <c r="M2" s="168" t="s">
        <v>4</v>
      </c>
      <c r="N2" s="168"/>
      <c r="O2" s="40"/>
      <c r="P2" s="40"/>
      <c r="Q2" s="40"/>
      <c r="R2" s="40"/>
      <c r="S2" s="266"/>
    </row>
    <row r="3" spans="1:19" ht="7.5" customHeight="1">
      <c r="A3" s="266"/>
      <c r="B3" s="266"/>
      <c r="C3" s="266"/>
      <c r="D3" s="266"/>
      <c r="E3" s="266"/>
      <c r="F3" s="266"/>
      <c r="G3" s="266"/>
      <c r="H3" s="266"/>
      <c r="I3" s="266"/>
      <c r="J3" s="266"/>
      <c r="K3" s="266"/>
      <c r="L3" s="266"/>
      <c r="M3" s="266"/>
      <c r="N3" s="266"/>
      <c r="O3" s="266"/>
      <c r="P3" s="266"/>
      <c r="Q3" s="266"/>
      <c r="R3" s="266"/>
      <c r="S3" s="266"/>
    </row>
    <row r="4" spans="1:19" ht="18.75" customHeight="1">
      <c r="A4" s="167" t="s">
        <v>76</v>
      </c>
      <c r="B4" s="167"/>
      <c r="C4" s="167"/>
      <c r="D4" s="167"/>
      <c r="E4" s="167"/>
      <c r="F4" s="167"/>
      <c r="G4" s="167"/>
      <c r="H4" s="167"/>
      <c r="I4" s="167"/>
      <c r="J4" s="167"/>
      <c r="K4" s="167"/>
      <c r="L4" s="167"/>
      <c r="M4" s="167"/>
      <c r="N4" s="167"/>
      <c r="O4" s="167"/>
      <c r="P4" s="167"/>
      <c r="Q4" s="167"/>
      <c r="R4" s="167"/>
      <c r="S4" s="4"/>
    </row>
    <row r="5" spans="1:19" ht="7.5" customHeight="1">
      <c r="A5" s="94"/>
      <c r="B5" s="94"/>
      <c r="C5" s="94"/>
      <c r="D5" s="94"/>
      <c r="E5" s="94"/>
      <c r="F5" s="94"/>
      <c r="G5" s="94"/>
      <c r="H5" s="94"/>
      <c r="I5" s="94"/>
      <c r="J5" s="94"/>
      <c r="K5" s="94"/>
      <c r="L5" s="94"/>
      <c r="M5" s="94"/>
      <c r="N5" s="94"/>
      <c r="O5" s="94"/>
      <c r="P5" s="94"/>
      <c r="Q5" s="94"/>
      <c r="R5" s="94"/>
      <c r="S5" s="266"/>
    </row>
    <row r="6" spans="1:19" ht="18.75" customHeight="1">
      <c r="A6" s="266"/>
      <c r="B6" s="148" t="s">
        <v>77</v>
      </c>
      <c r="C6" s="149"/>
      <c r="D6" s="158" t="s">
        <v>78</v>
      </c>
      <c r="E6" s="160" t="s">
        <v>79</v>
      </c>
      <c r="F6" s="160"/>
      <c r="G6" s="160" t="s">
        <v>80</v>
      </c>
      <c r="H6" s="160"/>
      <c r="I6" s="161" t="s">
        <v>81</v>
      </c>
      <c r="J6" s="162"/>
      <c r="K6" s="161" t="s">
        <v>82</v>
      </c>
      <c r="L6" s="162"/>
      <c r="M6" s="161" t="s">
        <v>83</v>
      </c>
      <c r="N6" s="162"/>
      <c r="O6" s="161" t="s">
        <v>84</v>
      </c>
      <c r="P6" s="162"/>
      <c r="Q6" s="163" t="s">
        <v>85</v>
      </c>
      <c r="R6" s="165" t="s">
        <v>86</v>
      </c>
      <c r="S6" s="266"/>
    </row>
    <row r="7" spans="1:19" ht="18.75" customHeight="1">
      <c r="A7" s="266"/>
      <c r="B7" s="150"/>
      <c r="C7" s="151"/>
      <c r="D7" s="159"/>
      <c r="E7" s="29" t="s">
        <v>87</v>
      </c>
      <c r="F7" s="31" t="s">
        <v>88</v>
      </c>
      <c r="G7" s="32" t="s">
        <v>87</v>
      </c>
      <c r="H7" s="30" t="s">
        <v>88</v>
      </c>
      <c r="I7" s="29" t="s">
        <v>87</v>
      </c>
      <c r="J7" s="31" t="s">
        <v>88</v>
      </c>
      <c r="K7" s="32" t="s">
        <v>87</v>
      </c>
      <c r="L7" s="30" t="s">
        <v>88</v>
      </c>
      <c r="M7" s="29" t="s">
        <v>87</v>
      </c>
      <c r="N7" s="31" t="s">
        <v>88</v>
      </c>
      <c r="O7" s="32" t="s">
        <v>87</v>
      </c>
      <c r="P7" s="30" t="s">
        <v>88</v>
      </c>
      <c r="Q7" s="164"/>
      <c r="R7" s="166"/>
      <c r="S7" s="266"/>
    </row>
    <row r="8" spans="1:19" ht="18.75" customHeight="1">
      <c r="A8" s="41"/>
      <c r="B8" s="156" t="s">
        <v>89</v>
      </c>
      <c r="C8" s="157"/>
      <c r="D8" s="42">
        <v>6126</v>
      </c>
      <c r="E8" s="43">
        <v>2487</v>
      </c>
      <c r="F8" s="44">
        <v>2140</v>
      </c>
      <c r="G8" s="45">
        <v>1656</v>
      </c>
      <c r="H8" s="46">
        <v>1566</v>
      </c>
      <c r="I8" s="43">
        <v>71</v>
      </c>
      <c r="J8" s="44">
        <v>60</v>
      </c>
      <c r="K8" s="45">
        <v>15</v>
      </c>
      <c r="L8" s="46">
        <v>12</v>
      </c>
      <c r="M8" s="43">
        <v>2</v>
      </c>
      <c r="N8" s="44">
        <v>2</v>
      </c>
      <c r="O8" s="45"/>
      <c r="P8" s="46"/>
      <c r="Q8" s="47">
        <f>E8+G8+I8+K8+M8+O8</f>
        <v>4231</v>
      </c>
      <c r="R8" s="48">
        <f>Q8/D8</f>
        <v>0.69066274893894875</v>
      </c>
      <c r="S8" s="266"/>
    </row>
    <row r="9" spans="1:19" ht="18.75" customHeight="1">
      <c r="A9" s="41"/>
      <c r="B9" s="144" t="s">
        <v>90</v>
      </c>
      <c r="C9" s="145"/>
      <c r="D9" s="95">
        <v>800</v>
      </c>
      <c r="E9" s="49"/>
      <c r="F9" s="50"/>
      <c r="G9" s="51">
        <v>55</v>
      </c>
      <c r="H9" s="52">
        <v>40</v>
      </c>
      <c r="I9" s="49">
        <v>143</v>
      </c>
      <c r="J9" s="50">
        <v>96</v>
      </c>
      <c r="K9" s="51">
        <v>50</v>
      </c>
      <c r="L9" s="52">
        <v>40</v>
      </c>
      <c r="M9" s="49">
        <v>14</v>
      </c>
      <c r="N9" s="50">
        <v>8</v>
      </c>
      <c r="O9" s="51">
        <v>3</v>
      </c>
      <c r="P9" s="52">
        <v>2</v>
      </c>
      <c r="Q9" s="53">
        <f t="shared" ref="Q9:Q18" si="0">E9+G9+I9+K9+M9+O9</f>
        <v>265</v>
      </c>
      <c r="R9" s="48">
        <f t="shared" ref="R9:R18" si="1">Q9/D9</f>
        <v>0.33124999999999999</v>
      </c>
      <c r="S9" s="266"/>
    </row>
    <row r="10" spans="1:19" ht="18.75" customHeight="1">
      <c r="A10" s="41"/>
      <c r="B10" s="144" t="s">
        <v>91</v>
      </c>
      <c r="C10" s="145"/>
      <c r="D10" s="95">
        <v>520</v>
      </c>
      <c r="E10" s="49"/>
      <c r="F10" s="50"/>
      <c r="G10" s="51">
        <v>36</v>
      </c>
      <c r="H10" s="52">
        <v>32</v>
      </c>
      <c r="I10" s="49">
        <v>107</v>
      </c>
      <c r="J10" s="50">
        <v>100</v>
      </c>
      <c r="K10" s="51">
        <v>79</v>
      </c>
      <c r="L10" s="52">
        <v>76</v>
      </c>
      <c r="M10" s="49">
        <v>88</v>
      </c>
      <c r="N10" s="50">
        <v>84</v>
      </c>
      <c r="O10" s="51">
        <v>69</v>
      </c>
      <c r="P10" s="52">
        <v>65</v>
      </c>
      <c r="Q10" s="53">
        <f t="shared" si="0"/>
        <v>379</v>
      </c>
      <c r="R10" s="48">
        <f t="shared" si="1"/>
        <v>0.72884615384615381</v>
      </c>
      <c r="S10" s="266"/>
    </row>
    <row r="11" spans="1:19" ht="18.75" customHeight="1">
      <c r="A11" s="41"/>
      <c r="B11" s="144" t="s">
        <v>92</v>
      </c>
      <c r="C11" s="145"/>
      <c r="D11" s="95">
        <v>1896</v>
      </c>
      <c r="E11" s="49">
        <v>10</v>
      </c>
      <c r="F11" s="50">
        <v>10</v>
      </c>
      <c r="G11" s="51">
        <v>173</v>
      </c>
      <c r="H11" s="52">
        <v>163</v>
      </c>
      <c r="I11" s="49">
        <v>740</v>
      </c>
      <c r="J11" s="50">
        <v>716</v>
      </c>
      <c r="K11" s="51">
        <v>517</v>
      </c>
      <c r="L11" s="52">
        <v>497</v>
      </c>
      <c r="M11" s="49">
        <v>80</v>
      </c>
      <c r="N11" s="50">
        <v>75</v>
      </c>
      <c r="O11" s="51">
        <v>20</v>
      </c>
      <c r="P11" s="52">
        <v>18</v>
      </c>
      <c r="Q11" s="53">
        <f t="shared" si="0"/>
        <v>1540</v>
      </c>
      <c r="R11" s="48">
        <f t="shared" si="1"/>
        <v>0.81223628691983119</v>
      </c>
      <c r="S11" s="266"/>
    </row>
    <row r="12" spans="1:19" ht="18.75" customHeight="1">
      <c r="A12" s="41"/>
      <c r="B12" s="144" t="s">
        <v>93</v>
      </c>
      <c r="C12" s="145"/>
      <c r="D12" s="95">
        <v>720</v>
      </c>
      <c r="E12" s="49"/>
      <c r="F12" s="50"/>
      <c r="G12" s="51">
        <v>34</v>
      </c>
      <c r="H12" s="52">
        <v>23</v>
      </c>
      <c r="I12" s="49">
        <v>83</v>
      </c>
      <c r="J12" s="50">
        <v>57</v>
      </c>
      <c r="K12" s="51">
        <v>33</v>
      </c>
      <c r="L12" s="52">
        <v>26</v>
      </c>
      <c r="M12" s="49">
        <v>11</v>
      </c>
      <c r="N12" s="50">
        <v>7</v>
      </c>
      <c r="O12" s="51">
        <v>8</v>
      </c>
      <c r="P12" s="52">
        <v>6</v>
      </c>
      <c r="Q12" s="53">
        <f t="shared" si="0"/>
        <v>169</v>
      </c>
      <c r="R12" s="48">
        <f t="shared" si="1"/>
        <v>0.23472222222222222</v>
      </c>
      <c r="S12" s="266"/>
    </row>
    <row r="13" spans="1:19" ht="18.75" customHeight="1">
      <c r="A13" s="41"/>
      <c r="B13" s="144" t="s">
        <v>94</v>
      </c>
      <c r="C13" s="145"/>
      <c r="D13" s="95">
        <v>560</v>
      </c>
      <c r="E13" s="49"/>
      <c r="F13" s="50"/>
      <c r="G13" s="51">
        <v>55</v>
      </c>
      <c r="H13" s="52">
        <v>51</v>
      </c>
      <c r="I13" s="49">
        <v>216</v>
      </c>
      <c r="J13" s="50">
        <v>210</v>
      </c>
      <c r="K13" s="51">
        <v>150</v>
      </c>
      <c r="L13" s="52">
        <v>145</v>
      </c>
      <c r="M13" s="49">
        <v>14</v>
      </c>
      <c r="N13" s="50">
        <v>13</v>
      </c>
      <c r="O13" s="51">
        <v>7</v>
      </c>
      <c r="P13" s="52">
        <v>7</v>
      </c>
      <c r="Q13" s="53">
        <f t="shared" si="0"/>
        <v>442</v>
      </c>
      <c r="R13" s="48">
        <f t="shared" si="1"/>
        <v>0.78928571428571426</v>
      </c>
      <c r="S13" s="266"/>
    </row>
    <row r="14" spans="1:19" ht="18.75" customHeight="1">
      <c r="A14" s="41"/>
      <c r="B14" s="144" t="s">
        <v>95</v>
      </c>
      <c r="C14" s="145"/>
      <c r="D14" s="95">
        <v>640</v>
      </c>
      <c r="E14" s="49"/>
      <c r="F14" s="50"/>
      <c r="G14" s="51">
        <v>63</v>
      </c>
      <c r="H14" s="52">
        <v>55</v>
      </c>
      <c r="I14" s="49">
        <v>190</v>
      </c>
      <c r="J14" s="50">
        <v>167</v>
      </c>
      <c r="K14" s="51">
        <v>106</v>
      </c>
      <c r="L14" s="52">
        <v>96</v>
      </c>
      <c r="M14" s="49">
        <v>39</v>
      </c>
      <c r="N14" s="50">
        <v>35</v>
      </c>
      <c r="O14" s="51">
        <v>21</v>
      </c>
      <c r="P14" s="52">
        <v>18</v>
      </c>
      <c r="Q14" s="53">
        <f t="shared" si="0"/>
        <v>419</v>
      </c>
      <c r="R14" s="48">
        <f t="shared" si="1"/>
        <v>0.65468749999999998</v>
      </c>
      <c r="S14" s="266"/>
    </row>
    <row r="15" spans="1:19" ht="18.75" customHeight="1">
      <c r="A15" s="41"/>
      <c r="B15" s="144" t="s">
        <v>96</v>
      </c>
      <c r="C15" s="145"/>
      <c r="D15" s="95">
        <v>680</v>
      </c>
      <c r="E15" s="49"/>
      <c r="F15" s="50"/>
      <c r="G15" s="51">
        <v>86</v>
      </c>
      <c r="H15" s="52">
        <v>76</v>
      </c>
      <c r="I15" s="49">
        <v>231</v>
      </c>
      <c r="J15" s="50">
        <v>196</v>
      </c>
      <c r="K15" s="51">
        <v>76</v>
      </c>
      <c r="L15" s="52">
        <v>67</v>
      </c>
      <c r="M15" s="49">
        <v>14</v>
      </c>
      <c r="N15" s="50">
        <v>13</v>
      </c>
      <c r="O15" s="51">
        <v>5</v>
      </c>
      <c r="P15" s="52">
        <v>5</v>
      </c>
      <c r="Q15" s="53">
        <f t="shared" si="0"/>
        <v>412</v>
      </c>
      <c r="R15" s="48">
        <f t="shared" si="1"/>
        <v>0.60588235294117643</v>
      </c>
      <c r="S15" s="266"/>
    </row>
    <row r="16" spans="1:19" ht="18.75" customHeight="1">
      <c r="A16" s="41"/>
      <c r="B16" s="144" t="s">
        <v>97</v>
      </c>
      <c r="C16" s="145"/>
      <c r="D16" s="95">
        <v>280</v>
      </c>
      <c r="E16" s="49"/>
      <c r="F16" s="50"/>
      <c r="G16" s="51">
        <v>31</v>
      </c>
      <c r="H16" s="52">
        <v>23</v>
      </c>
      <c r="I16" s="49">
        <v>76</v>
      </c>
      <c r="J16" s="50">
        <v>66</v>
      </c>
      <c r="K16" s="51">
        <v>50</v>
      </c>
      <c r="L16" s="52">
        <v>47</v>
      </c>
      <c r="M16" s="49">
        <v>13</v>
      </c>
      <c r="N16" s="50">
        <v>12</v>
      </c>
      <c r="O16" s="51">
        <v>6</v>
      </c>
      <c r="P16" s="52">
        <v>4</v>
      </c>
      <c r="Q16" s="53">
        <f>E16+G16+I16+K16+M16+O16</f>
        <v>176</v>
      </c>
      <c r="R16" s="48">
        <f t="shared" si="1"/>
        <v>0.62857142857142856</v>
      </c>
      <c r="S16" s="266"/>
    </row>
    <row r="17" spans="1:18" ht="18.75" customHeight="1">
      <c r="A17" s="41"/>
      <c r="B17" s="144" t="s">
        <v>98</v>
      </c>
      <c r="C17" s="145"/>
      <c r="D17" s="95">
        <v>190</v>
      </c>
      <c r="E17" s="49"/>
      <c r="F17" s="50"/>
      <c r="G17" s="51">
        <v>16</v>
      </c>
      <c r="H17" s="52">
        <v>13</v>
      </c>
      <c r="I17" s="49">
        <v>34</v>
      </c>
      <c r="J17" s="50">
        <v>27</v>
      </c>
      <c r="K17" s="51">
        <v>20</v>
      </c>
      <c r="L17" s="52">
        <v>14</v>
      </c>
      <c r="M17" s="49">
        <v>3</v>
      </c>
      <c r="N17" s="50">
        <v>3</v>
      </c>
      <c r="O17" s="51">
        <v>1</v>
      </c>
      <c r="P17" s="52">
        <v>0</v>
      </c>
      <c r="Q17" s="53">
        <f t="shared" si="0"/>
        <v>74</v>
      </c>
      <c r="R17" s="48">
        <f t="shared" si="1"/>
        <v>0.38947368421052631</v>
      </c>
    </row>
    <row r="18" spans="1:18" ht="18.75" customHeight="1">
      <c r="A18" s="41"/>
      <c r="B18" s="144" t="s">
        <v>99</v>
      </c>
      <c r="C18" s="145"/>
      <c r="D18" s="95">
        <v>176</v>
      </c>
      <c r="E18" s="49"/>
      <c r="F18" s="50"/>
      <c r="G18" s="51">
        <v>17</v>
      </c>
      <c r="H18" s="52">
        <v>17</v>
      </c>
      <c r="I18" s="49">
        <v>72</v>
      </c>
      <c r="J18" s="50">
        <v>70</v>
      </c>
      <c r="K18" s="51">
        <v>48</v>
      </c>
      <c r="L18" s="52">
        <v>46</v>
      </c>
      <c r="M18" s="49">
        <v>9</v>
      </c>
      <c r="N18" s="50">
        <v>9</v>
      </c>
      <c r="O18" s="51">
        <v>6</v>
      </c>
      <c r="P18" s="52">
        <v>6</v>
      </c>
      <c r="Q18" s="53">
        <f t="shared" si="0"/>
        <v>152</v>
      </c>
      <c r="R18" s="48">
        <f t="shared" si="1"/>
        <v>0.86363636363636365</v>
      </c>
    </row>
    <row r="19" spans="1:18" ht="18.75" customHeight="1">
      <c r="A19" s="41"/>
      <c r="B19" s="95"/>
      <c r="C19" s="96"/>
      <c r="D19" s="95"/>
      <c r="E19" s="49"/>
      <c r="F19" s="50"/>
      <c r="G19" s="51"/>
      <c r="H19" s="52"/>
      <c r="I19" s="49"/>
      <c r="J19" s="50"/>
      <c r="K19" s="51"/>
      <c r="L19" s="52"/>
      <c r="M19" s="49"/>
      <c r="N19" s="50"/>
      <c r="O19" s="51"/>
      <c r="P19" s="52"/>
      <c r="Q19" s="53"/>
      <c r="R19" s="48"/>
    </row>
    <row r="20" spans="1:18" ht="18.75" customHeight="1">
      <c r="A20" s="41"/>
      <c r="B20" s="95"/>
      <c r="C20" s="96"/>
      <c r="D20" s="95"/>
      <c r="E20" s="49"/>
      <c r="F20" s="50"/>
      <c r="G20" s="51"/>
      <c r="H20" s="52"/>
      <c r="I20" s="49"/>
      <c r="J20" s="50"/>
      <c r="K20" s="51"/>
      <c r="L20" s="52"/>
      <c r="M20" s="49"/>
      <c r="N20" s="50"/>
      <c r="O20" s="51"/>
      <c r="P20" s="52"/>
      <c r="Q20" s="53"/>
      <c r="R20" s="48"/>
    </row>
    <row r="21" spans="1:18" ht="18.75" customHeight="1">
      <c r="A21" s="41"/>
      <c r="B21" s="95"/>
      <c r="C21" s="96"/>
      <c r="D21" s="95"/>
      <c r="E21" s="49"/>
      <c r="F21" s="50"/>
      <c r="G21" s="51"/>
      <c r="H21" s="52"/>
      <c r="I21" s="49"/>
      <c r="J21" s="50"/>
      <c r="K21" s="51"/>
      <c r="L21" s="52"/>
      <c r="M21" s="49"/>
      <c r="N21" s="50"/>
      <c r="O21" s="51"/>
      <c r="P21" s="52"/>
      <c r="Q21" s="53"/>
      <c r="R21" s="48"/>
    </row>
    <row r="22" spans="1:18" ht="18.75" customHeight="1">
      <c r="A22" s="41"/>
      <c r="B22" s="95"/>
      <c r="C22" s="96"/>
      <c r="D22" s="95"/>
      <c r="E22" s="49"/>
      <c r="F22" s="50"/>
      <c r="G22" s="51"/>
      <c r="H22" s="52"/>
      <c r="I22" s="49"/>
      <c r="J22" s="50"/>
      <c r="K22" s="51"/>
      <c r="L22" s="52"/>
      <c r="M22" s="49"/>
      <c r="N22" s="50"/>
      <c r="O22" s="51"/>
      <c r="P22" s="52"/>
      <c r="Q22" s="53"/>
      <c r="R22" s="48"/>
    </row>
    <row r="23" spans="1:18" ht="18.75" customHeight="1">
      <c r="A23" s="41"/>
      <c r="B23" s="95"/>
      <c r="C23" s="96"/>
      <c r="D23" s="95"/>
      <c r="E23" s="49"/>
      <c r="F23" s="50"/>
      <c r="G23" s="51"/>
      <c r="H23" s="52"/>
      <c r="I23" s="49"/>
      <c r="J23" s="50"/>
      <c r="K23" s="51"/>
      <c r="L23" s="52"/>
      <c r="M23" s="49"/>
      <c r="N23" s="50"/>
      <c r="O23" s="51"/>
      <c r="P23" s="52"/>
      <c r="Q23" s="53"/>
      <c r="R23" s="48"/>
    </row>
    <row r="24" spans="1:18" ht="18.75" customHeight="1">
      <c r="A24" s="41"/>
      <c r="B24" s="152"/>
      <c r="C24" s="153"/>
      <c r="D24" s="95"/>
      <c r="E24" s="49"/>
      <c r="F24" s="50"/>
      <c r="G24" s="51"/>
      <c r="H24" s="52"/>
      <c r="I24" s="49"/>
      <c r="J24" s="50"/>
      <c r="K24" s="51"/>
      <c r="L24" s="52"/>
      <c r="M24" s="49"/>
      <c r="N24" s="50"/>
      <c r="O24" s="51"/>
      <c r="P24" s="52"/>
      <c r="Q24" s="53"/>
      <c r="R24" s="48"/>
    </row>
    <row r="25" spans="1:18" ht="18.75" customHeight="1">
      <c r="A25" s="41"/>
      <c r="B25" s="152"/>
      <c r="C25" s="153"/>
      <c r="D25" s="95"/>
      <c r="E25" s="49"/>
      <c r="F25" s="50"/>
      <c r="G25" s="51"/>
      <c r="H25" s="52"/>
      <c r="I25" s="49"/>
      <c r="J25" s="50"/>
      <c r="K25" s="51"/>
      <c r="L25" s="52"/>
      <c r="M25" s="49"/>
      <c r="N25" s="50"/>
      <c r="O25" s="51"/>
      <c r="P25" s="52"/>
      <c r="Q25" s="53"/>
      <c r="R25" s="48"/>
    </row>
    <row r="26" spans="1:18" ht="18.75" customHeight="1">
      <c r="A26" s="41"/>
      <c r="B26" s="152"/>
      <c r="C26" s="153"/>
      <c r="D26" s="95"/>
      <c r="E26" s="49"/>
      <c r="F26" s="50"/>
      <c r="G26" s="51"/>
      <c r="H26" s="52"/>
      <c r="I26" s="49"/>
      <c r="J26" s="50"/>
      <c r="K26" s="51"/>
      <c r="L26" s="52"/>
      <c r="M26" s="49"/>
      <c r="N26" s="50"/>
      <c r="O26" s="51"/>
      <c r="P26" s="52"/>
      <c r="Q26" s="53"/>
      <c r="R26" s="48"/>
    </row>
    <row r="27" spans="1:18" ht="18.75" customHeight="1" thickBot="1">
      <c r="A27" s="41"/>
      <c r="B27" s="154"/>
      <c r="C27" s="155"/>
      <c r="D27" s="42"/>
      <c r="E27" s="43"/>
      <c r="F27" s="44"/>
      <c r="G27" s="45"/>
      <c r="H27" s="46"/>
      <c r="I27" s="43"/>
      <c r="J27" s="44"/>
      <c r="K27" s="45"/>
      <c r="L27" s="46"/>
      <c r="M27" s="43"/>
      <c r="N27" s="44"/>
      <c r="O27" s="45"/>
      <c r="P27" s="46"/>
      <c r="Q27" s="54"/>
      <c r="R27" s="48"/>
    </row>
    <row r="28" spans="1:18" ht="18.75" customHeight="1" thickTop="1">
      <c r="A28" s="41"/>
      <c r="B28" s="146" t="s">
        <v>100</v>
      </c>
      <c r="C28" s="147"/>
      <c r="D28" s="79">
        <f t="shared" ref="D28:Q28" si="2">SUM(D8:D27)</f>
        <v>12588</v>
      </c>
      <c r="E28" s="55">
        <f t="shared" si="2"/>
        <v>2497</v>
      </c>
      <c r="F28" s="56">
        <f t="shared" si="2"/>
        <v>2150</v>
      </c>
      <c r="G28" s="57">
        <f t="shared" si="2"/>
        <v>2222</v>
      </c>
      <c r="H28" s="58">
        <f t="shared" si="2"/>
        <v>2059</v>
      </c>
      <c r="I28" s="55">
        <f t="shared" si="2"/>
        <v>1963</v>
      </c>
      <c r="J28" s="56">
        <f t="shared" si="2"/>
        <v>1765</v>
      </c>
      <c r="K28" s="57">
        <f t="shared" si="2"/>
        <v>1144</v>
      </c>
      <c r="L28" s="58">
        <f t="shared" si="2"/>
        <v>1066</v>
      </c>
      <c r="M28" s="55">
        <f t="shared" si="2"/>
        <v>287</v>
      </c>
      <c r="N28" s="56">
        <f t="shared" si="2"/>
        <v>261</v>
      </c>
      <c r="O28" s="57">
        <f t="shared" si="2"/>
        <v>146</v>
      </c>
      <c r="P28" s="58">
        <f t="shared" si="2"/>
        <v>131</v>
      </c>
      <c r="Q28" s="59">
        <f t="shared" si="2"/>
        <v>8259</v>
      </c>
      <c r="R28" s="60">
        <f>Q28/D28</f>
        <v>0.65610104861773122</v>
      </c>
    </row>
    <row r="29" spans="1:18" ht="6.75" customHeight="1">
      <c r="A29" s="41"/>
      <c r="B29" s="41"/>
      <c r="C29" s="41"/>
      <c r="D29" s="61"/>
      <c r="E29" s="61"/>
      <c r="F29" s="61"/>
      <c r="G29" s="61"/>
      <c r="H29" s="61"/>
      <c r="I29" s="61"/>
      <c r="J29" s="61"/>
      <c r="K29" s="61"/>
      <c r="L29" s="61"/>
      <c r="M29" s="61"/>
      <c r="N29" s="61"/>
      <c r="O29" s="61"/>
      <c r="P29" s="61"/>
      <c r="Q29" s="61"/>
      <c r="R29" s="61"/>
    </row>
  </sheetData>
  <mergeCells count="30">
    <mergeCell ref="B11:C11"/>
    <mergeCell ref="F1:R1"/>
    <mergeCell ref="K2:L2"/>
    <mergeCell ref="D6:D7"/>
    <mergeCell ref="E6:F6"/>
    <mergeCell ref="G6:H6"/>
    <mergeCell ref="I6:J6"/>
    <mergeCell ref="K6:L6"/>
    <mergeCell ref="M6:N6"/>
    <mergeCell ref="O6:P6"/>
    <mergeCell ref="Q6:Q7"/>
    <mergeCell ref="R6:R7"/>
    <mergeCell ref="A4:R4"/>
    <mergeCell ref="M2:N2"/>
    <mergeCell ref="B12:C12"/>
    <mergeCell ref="B28:C28"/>
    <mergeCell ref="B6:C7"/>
    <mergeCell ref="B24:C24"/>
    <mergeCell ref="B25:C25"/>
    <mergeCell ref="B26:C26"/>
    <mergeCell ref="B16:C16"/>
    <mergeCell ref="B27:C27"/>
    <mergeCell ref="B13:C13"/>
    <mergeCell ref="B14:C14"/>
    <mergeCell ref="B15:C15"/>
    <mergeCell ref="B17:C17"/>
    <mergeCell ref="B18:C18"/>
    <mergeCell ref="B8:C8"/>
    <mergeCell ref="B9:C9"/>
    <mergeCell ref="B10:C10"/>
  </mergeCells>
  <phoneticPr fontId="2"/>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50"/>
  <sheetViews>
    <sheetView topLeftCell="A127" zoomScale="85" zoomScaleNormal="85" workbookViewId="0">
      <selection activeCell="K135" sqref="K135"/>
    </sheetView>
  </sheetViews>
  <sheetFormatPr defaultColWidth="9" defaultRowHeight="14.25"/>
  <cols>
    <col min="1" max="1" width="2.5" style="1" customWidth="1"/>
    <col min="2" max="2" width="19" style="1" customWidth="1"/>
    <col min="3" max="3" width="25" style="1" customWidth="1"/>
    <col min="4" max="4" width="10" style="1" customWidth="1"/>
    <col min="5" max="7" width="25" style="1" customWidth="1"/>
    <col min="8" max="16384" width="9" style="1"/>
  </cols>
  <sheetData>
    <row r="1" spans="1:9" ht="18.75" customHeight="1">
      <c r="A1" s="266"/>
      <c r="B1" s="266" t="s">
        <v>101</v>
      </c>
      <c r="C1" s="266"/>
      <c r="D1" s="266"/>
      <c r="E1" s="266"/>
      <c r="F1" s="266"/>
      <c r="G1" s="86" t="s">
        <v>102</v>
      </c>
      <c r="H1" s="266"/>
      <c r="I1" s="266"/>
    </row>
    <row r="2" spans="1:9" ht="18.75" customHeight="1">
      <c r="A2" s="12"/>
      <c r="B2" s="12"/>
      <c r="C2" s="12"/>
      <c r="D2" s="12"/>
      <c r="E2" s="12"/>
      <c r="F2" s="89" t="s">
        <v>65</v>
      </c>
      <c r="G2" s="98" t="s">
        <v>103</v>
      </c>
      <c r="H2" s="266"/>
      <c r="I2" s="266"/>
    </row>
    <row r="3" spans="1:9" ht="18.75" customHeight="1">
      <c r="A3" s="211"/>
      <c r="B3" s="211"/>
      <c r="C3" s="211"/>
      <c r="D3" s="211"/>
      <c r="E3" s="211"/>
      <c r="F3" s="211"/>
      <c r="G3" s="211"/>
      <c r="H3" s="266"/>
      <c r="I3" s="266"/>
    </row>
    <row r="4" spans="1:9" ht="18.75" customHeight="1">
      <c r="A4" s="12" t="s">
        <v>2</v>
      </c>
      <c r="B4" s="12" t="s">
        <v>104</v>
      </c>
      <c r="C4" s="12"/>
      <c r="D4" s="12"/>
      <c r="E4" s="12"/>
      <c r="F4" s="12"/>
      <c r="G4" s="12"/>
      <c r="H4" s="266"/>
      <c r="I4" s="266"/>
    </row>
    <row r="5" spans="1:9" s="33" customFormat="1" ht="18.75" customHeight="1">
      <c r="A5" s="98"/>
      <c r="B5" s="99" t="s">
        <v>105</v>
      </c>
      <c r="C5" s="184" t="s">
        <v>106</v>
      </c>
      <c r="D5" s="185"/>
      <c r="E5" s="185"/>
      <c r="F5" s="185"/>
      <c r="G5" s="186"/>
      <c r="H5" s="268"/>
      <c r="I5" s="268"/>
    </row>
    <row r="6" spans="1:9" s="37" customFormat="1" ht="45" customHeight="1">
      <c r="A6" s="98"/>
      <c r="B6" s="187" t="s">
        <v>107</v>
      </c>
      <c r="C6" s="212" t="s">
        <v>108</v>
      </c>
      <c r="D6" s="213"/>
      <c r="E6" s="213"/>
      <c r="F6" s="213"/>
      <c r="G6" s="214"/>
      <c r="H6" s="268"/>
      <c r="I6" s="268"/>
    </row>
    <row r="7" spans="1:9" s="37" customFormat="1" ht="45" customHeight="1">
      <c r="A7" s="98"/>
      <c r="B7" s="188"/>
      <c r="C7" s="215"/>
      <c r="D7" s="216"/>
      <c r="E7" s="216"/>
      <c r="F7" s="216"/>
      <c r="G7" s="217"/>
      <c r="H7" s="268"/>
      <c r="I7" s="268"/>
    </row>
    <row r="8" spans="1:9" s="37" customFormat="1" ht="45" customHeight="1">
      <c r="A8" s="98"/>
      <c r="B8" s="188"/>
      <c r="C8" s="215"/>
      <c r="D8" s="216"/>
      <c r="E8" s="216"/>
      <c r="F8" s="216"/>
      <c r="G8" s="217"/>
      <c r="H8" s="268"/>
      <c r="I8" s="268"/>
    </row>
    <row r="9" spans="1:9" s="37" customFormat="1" ht="45" customHeight="1">
      <c r="A9" s="98"/>
      <c r="B9" s="188"/>
      <c r="C9" s="218"/>
      <c r="D9" s="219"/>
      <c r="E9" s="219"/>
      <c r="F9" s="219"/>
      <c r="G9" s="220"/>
      <c r="H9" s="268"/>
      <c r="I9" s="268"/>
    </row>
    <row r="10" spans="1:9" s="38" customFormat="1" ht="18.75" customHeight="1">
      <c r="A10" s="98"/>
      <c r="B10" s="188"/>
      <c r="C10" s="84" t="s">
        <v>109</v>
      </c>
      <c r="D10" s="178" t="s">
        <v>110</v>
      </c>
      <c r="E10" s="179"/>
      <c r="F10" s="179"/>
      <c r="G10" s="180"/>
      <c r="H10" s="268"/>
      <c r="I10" s="268"/>
    </row>
    <row r="11" spans="1:9" s="37" customFormat="1" ht="18.75" customHeight="1">
      <c r="A11" s="98"/>
      <c r="B11" s="188"/>
      <c r="C11" s="97" t="s">
        <v>72</v>
      </c>
      <c r="D11" s="181" t="s">
        <v>111</v>
      </c>
      <c r="E11" s="182"/>
      <c r="F11" s="182"/>
      <c r="G11" s="183"/>
      <c r="H11" s="268"/>
      <c r="I11" s="268"/>
    </row>
    <row r="12" spans="1:9" s="38" customFormat="1" ht="18.75" customHeight="1">
      <c r="A12" s="98"/>
      <c r="B12" s="188"/>
      <c r="C12" s="88"/>
      <c r="D12" s="104"/>
      <c r="E12" s="105"/>
      <c r="F12" s="105"/>
      <c r="G12" s="106"/>
      <c r="H12" s="268"/>
      <c r="I12" s="268"/>
    </row>
    <row r="13" spans="1:9" s="38" customFormat="1" ht="18.75" customHeight="1">
      <c r="A13" s="98"/>
      <c r="B13" s="188"/>
      <c r="C13" s="88"/>
      <c r="D13" s="104"/>
      <c r="E13" s="105"/>
      <c r="F13" s="105"/>
      <c r="G13" s="106"/>
      <c r="H13" s="268"/>
      <c r="I13" s="268"/>
    </row>
    <row r="14" spans="1:9" s="38" customFormat="1" ht="18.75" customHeight="1">
      <c r="A14" s="98"/>
      <c r="B14" s="188"/>
      <c r="C14" s="88"/>
      <c r="D14" s="104"/>
      <c r="E14" s="105"/>
      <c r="F14" s="105"/>
      <c r="G14" s="106"/>
      <c r="H14" s="268"/>
      <c r="I14" s="268"/>
    </row>
    <row r="15" spans="1:9" s="39" customFormat="1" ht="18.75" customHeight="1">
      <c r="A15" s="98"/>
      <c r="B15" s="188"/>
      <c r="C15" s="99"/>
      <c r="D15" s="184"/>
      <c r="E15" s="185"/>
      <c r="F15" s="185"/>
      <c r="G15" s="186"/>
      <c r="H15" s="268"/>
      <c r="I15" s="268"/>
    </row>
    <row r="16" spans="1:9" s="39" customFormat="1" ht="18.75" customHeight="1">
      <c r="A16" s="98"/>
      <c r="B16" s="188"/>
      <c r="C16" s="99"/>
      <c r="D16" s="184"/>
      <c r="E16" s="185"/>
      <c r="F16" s="185"/>
      <c r="G16" s="186"/>
      <c r="H16" s="268"/>
      <c r="I16" s="268"/>
    </row>
    <row r="17" spans="1:7" s="39" customFormat="1" ht="18.75" customHeight="1">
      <c r="A17" s="98"/>
      <c r="B17" s="188"/>
      <c r="C17" s="99"/>
      <c r="D17" s="184"/>
      <c r="E17" s="185"/>
      <c r="F17" s="185"/>
      <c r="G17" s="186"/>
    </row>
    <row r="18" spans="1:7" s="39" customFormat="1" ht="18.75" customHeight="1">
      <c r="A18" s="98"/>
      <c r="B18" s="188"/>
      <c r="C18" s="99"/>
      <c r="D18" s="184"/>
      <c r="E18" s="185"/>
      <c r="F18" s="185"/>
      <c r="G18" s="186"/>
    </row>
    <row r="19" spans="1:7" s="39" customFormat="1" ht="18.75" customHeight="1">
      <c r="A19" s="98"/>
      <c r="B19" s="188"/>
      <c r="C19" s="99"/>
      <c r="D19" s="184"/>
      <c r="E19" s="185"/>
      <c r="F19" s="185"/>
      <c r="G19" s="186"/>
    </row>
    <row r="20" spans="1:7" s="39" customFormat="1" ht="18.75" customHeight="1">
      <c r="A20" s="98"/>
      <c r="B20" s="188"/>
      <c r="C20" s="99"/>
      <c r="D20" s="184"/>
      <c r="E20" s="185"/>
      <c r="F20" s="185"/>
      <c r="G20" s="186"/>
    </row>
    <row r="21" spans="1:7" s="39" customFormat="1" ht="18.75" customHeight="1">
      <c r="A21" s="98"/>
      <c r="B21" s="188"/>
      <c r="C21" s="99"/>
      <c r="D21" s="184"/>
      <c r="E21" s="185"/>
      <c r="F21" s="185"/>
      <c r="G21" s="186"/>
    </row>
    <row r="22" spans="1:7" s="39" customFormat="1" ht="18.75" customHeight="1">
      <c r="A22" s="98"/>
      <c r="B22" s="188"/>
      <c r="C22" s="99"/>
      <c r="D22" s="184"/>
      <c r="E22" s="185"/>
      <c r="F22" s="185"/>
      <c r="G22" s="186"/>
    </row>
    <row r="23" spans="1:7" s="39" customFormat="1" ht="18.75" customHeight="1">
      <c r="A23" s="98"/>
      <c r="B23" s="188"/>
      <c r="C23" s="99"/>
      <c r="D23" s="184"/>
      <c r="E23" s="185"/>
      <c r="F23" s="185"/>
      <c r="G23" s="186"/>
    </row>
    <row r="24" spans="1:7" s="39" customFormat="1" ht="18.75" customHeight="1">
      <c r="A24" s="98"/>
      <c r="B24" s="188"/>
      <c r="C24" s="99"/>
      <c r="D24" s="184"/>
      <c r="E24" s="185"/>
      <c r="F24" s="185"/>
      <c r="G24" s="186"/>
    </row>
    <row r="25" spans="1:7" s="38" customFormat="1" ht="18.75" customHeight="1">
      <c r="A25" s="98"/>
      <c r="B25" s="188"/>
      <c r="C25" s="99"/>
      <c r="D25" s="184"/>
      <c r="E25" s="185"/>
      <c r="F25" s="185"/>
      <c r="G25" s="186"/>
    </row>
    <row r="26" spans="1:7" ht="18.75" customHeight="1">
      <c r="A26" s="12"/>
      <c r="B26" s="187" t="s">
        <v>112</v>
      </c>
      <c r="C26" s="184" t="s">
        <v>106</v>
      </c>
      <c r="D26" s="185"/>
      <c r="E26" s="185"/>
      <c r="F26" s="185"/>
      <c r="G26" s="186"/>
    </row>
    <row r="27" spans="1:7" ht="37.5" customHeight="1">
      <c r="A27" s="12"/>
      <c r="B27" s="188"/>
      <c r="C27" s="189" t="s">
        <v>113</v>
      </c>
      <c r="D27" s="198"/>
      <c r="E27" s="198"/>
      <c r="F27" s="198"/>
      <c r="G27" s="199"/>
    </row>
    <row r="28" spans="1:7" ht="37.5" customHeight="1">
      <c r="A28" s="12"/>
      <c r="B28" s="188"/>
      <c r="C28" s="200"/>
      <c r="D28" s="201"/>
      <c r="E28" s="201"/>
      <c r="F28" s="201"/>
      <c r="G28" s="202"/>
    </row>
    <row r="29" spans="1:7" ht="37.5" customHeight="1">
      <c r="A29" s="12"/>
      <c r="B29" s="188"/>
      <c r="C29" s="200"/>
      <c r="D29" s="201"/>
      <c r="E29" s="201"/>
      <c r="F29" s="201"/>
      <c r="G29" s="202"/>
    </row>
    <row r="30" spans="1:7" ht="37.5" customHeight="1">
      <c r="A30" s="12"/>
      <c r="B30" s="188"/>
      <c r="C30" s="200"/>
      <c r="D30" s="201"/>
      <c r="E30" s="201"/>
      <c r="F30" s="201"/>
      <c r="G30" s="202"/>
    </row>
    <row r="31" spans="1:7" ht="37.5" customHeight="1">
      <c r="A31" s="12"/>
      <c r="B31" s="188"/>
      <c r="C31" s="203"/>
      <c r="D31" s="204"/>
      <c r="E31" s="204"/>
      <c r="F31" s="204"/>
      <c r="G31" s="205"/>
    </row>
    <row r="32" spans="1:7" ht="18.75" customHeight="1">
      <c r="A32" s="12"/>
      <c r="B32" s="188"/>
      <c r="C32" s="84" t="s">
        <v>109</v>
      </c>
      <c r="D32" s="184" t="s">
        <v>110</v>
      </c>
      <c r="E32" s="185"/>
      <c r="F32" s="185"/>
      <c r="G32" s="186"/>
    </row>
    <row r="33" spans="1:9" ht="18.75" customHeight="1">
      <c r="A33" s="12"/>
      <c r="B33" s="188"/>
      <c r="C33" s="97" t="s">
        <v>72</v>
      </c>
      <c r="D33" s="181" t="s">
        <v>114</v>
      </c>
      <c r="E33" s="182"/>
      <c r="F33" s="182"/>
      <c r="G33" s="183"/>
      <c r="H33" s="268"/>
      <c r="I33" s="266"/>
    </row>
    <row r="34" spans="1:9" ht="18.75" customHeight="1">
      <c r="A34" s="12"/>
      <c r="B34" s="188"/>
      <c r="C34" s="97" t="s">
        <v>115</v>
      </c>
      <c r="D34" s="225" t="s">
        <v>116</v>
      </c>
      <c r="E34" s="226"/>
      <c r="F34" s="226"/>
      <c r="G34" s="227"/>
      <c r="H34" s="266"/>
      <c r="I34" s="266"/>
    </row>
    <row r="35" spans="1:9" ht="18.75" customHeight="1">
      <c r="A35" s="12"/>
      <c r="B35" s="188"/>
      <c r="C35" s="99"/>
      <c r="D35" s="206"/>
      <c r="E35" s="207"/>
      <c r="F35" s="207"/>
      <c r="G35" s="208"/>
      <c r="H35" s="266"/>
      <c r="I35" s="266"/>
    </row>
    <row r="36" spans="1:9" ht="18.75" customHeight="1">
      <c r="A36" s="12"/>
      <c r="B36" s="188"/>
      <c r="C36" s="99"/>
      <c r="D36" s="206"/>
      <c r="E36" s="207"/>
      <c r="F36" s="207"/>
      <c r="G36" s="208"/>
      <c r="H36" s="266"/>
      <c r="I36" s="266"/>
    </row>
    <row r="37" spans="1:9" ht="18.75" customHeight="1">
      <c r="A37" s="12"/>
      <c r="B37" s="188"/>
      <c r="C37" s="99"/>
      <c r="D37" s="206"/>
      <c r="E37" s="207"/>
      <c r="F37" s="207"/>
      <c r="G37" s="208"/>
      <c r="H37" s="266"/>
      <c r="I37" s="266"/>
    </row>
    <row r="38" spans="1:9" ht="18.75" customHeight="1">
      <c r="A38" s="12"/>
      <c r="B38" s="188"/>
      <c r="C38" s="99"/>
      <c r="D38" s="206"/>
      <c r="E38" s="207"/>
      <c r="F38" s="207"/>
      <c r="G38" s="208"/>
      <c r="H38" s="266"/>
      <c r="I38" s="266"/>
    </row>
    <row r="39" spans="1:9" ht="18.75" customHeight="1">
      <c r="A39" s="12"/>
      <c r="B39" s="188"/>
      <c r="C39" s="99"/>
      <c r="D39" s="206"/>
      <c r="E39" s="207"/>
      <c r="F39" s="207"/>
      <c r="G39" s="208"/>
      <c r="H39" s="266"/>
      <c r="I39" s="266"/>
    </row>
    <row r="40" spans="1:9" ht="18.75" customHeight="1">
      <c r="A40" s="12"/>
      <c r="B40" s="188"/>
      <c r="C40" s="99"/>
      <c r="D40" s="206"/>
      <c r="E40" s="207"/>
      <c r="F40" s="207"/>
      <c r="G40" s="208"/>
      <c r="H40" s="266"/>
      <c r="I40" s="266"/>
    </row>
    <row r="41" spans="1:9" ht="18.75" customHeight="1">
      <c r="A41" s="12"/>
      <c r="B41" s="188"/>
      <c r="C41" s="99"/>
      <c r="D41" s="206"/>
      <c r="E41" s="207"/>
      <c r="F41" s="207"/>
      <c r="G41" s="208"/>
      <c r="H41" s="266"/>
      <c r="I41" s="266"/>
    </row>
    <row r="42" spans="1:9" ht="18.75" customHeight="1">
      <c r="A42" s="12"/>
      <c r="B42" s="188"/>
      <c r="C42" s="99"/>
      <c r="D42" s="206"/>
      <c r="E42" s="207"/>
      <c r="F42" s="207"/>
      <c r="G42" s="208"/>
      <c r="H42" s="266"/>
      <c r="I42" s="266"/>
    </row>
    <row r="43" spans="1:9" ht="18.75" customHeight="1">
      <c r="A43" s="12"/>
      <c r="B43" s="188"/>
      <c r="C43" s="99"/>
      <c r="D43" s="206"/>
      <c r="E43" s="207"/>
      <c r="F43" s="207"/>
      <c r="G43" s="208"/>
      <c r="H43" s="266"/>
      <c r="I43" s="266"/>
    </row>
    <row r="44" spans="1:9" ht="18.75" customHeight="1">
      <c r="A44" s="12"/>
      <c r="B44" s="188"/>
      <c r="C44" s="99"/>
      <c r="D44" s="206"/>
      <c r="E44" s="207"/>
      <c r="F44" s="207"/>
      <c r="G44" s="208"/>
      <c r="H44" s="266"/>
      <c r="I44" s="266"/>
    </row>
    <row r="45" spans="1:9" ht="18.75" customHeight="1">
      <c r="A45" s="12"/>
      <c r="B45" s="188"/>
      <c r="C45" s="99"/>
      <c r="D45" s="206"/>
      <c r="E45" s="207"/>
      <c r="F45" s="207"/>
      <c r="G45" s="208"/>
      <c r="H45" s="266"/>
      <c r="I45" s="266"/>
    </row>
    <row r="46" spans="1:9" ht="18.75" customHeight="1">
      <c r="A46" s="12"/>
      <c r="B46" s="188"/>
      <c r="C46" s="99"/>
      <c r="D46" s="206"/>
      <c r="E46" s="207"/>
      <c r="F46" s="207"/>
      <c r="G46" s="208"/>
      <c r="H46" s="266"/>
      <c r="I46" s="266"/>
    </row>
    <row r="47" spans="1:9" ht="18.75" customHeight="1">
      <c r="A47" s="12"/>
      <c r="B47" s="188"/>
      <c r="C47" s="99"/>
      <c r="D47" s="206"/>
      <c r="E47" s="207"/>
      <c r="F47" s="207"/>
      <c r="G47" s="208"/>
      <c r="H47" s="266"/>
      <c r="I47" s="266"/>
    </row>
    <row r="48" spans="1:9" ht="18.75" customHeight="1">
      <c r="A48" s="12"/>
      <c r="B48" s="188"/>
      <c r="C48" s="99"/>
      <c r="D48" s="206"/>
      <c r="E48" s="207"/>
      <c r="F48" s="207"/>
      <c r="G48" s="208"/>
      <c r="H48" s="266"/>
      <c r="I48" s="266"/>
    </row>
    <row r="49" spans="1:9" ht="18.75" customHeight="1">
      <c r="A49" s="12"/>
      <c r="B49" s="188"/>
      <c r="C49" s="99"/>
      <c r="D49" s="206"/>
      <c r="E49" s="207"/>
      <c r="F49" s="207"/>
      <c r="G49" s="208"/>
      <c r="H49" s="266"/>
      <c r="I49" s="266"/>
    </row>
    <row r="50" spans="1:9" ht="18.75" customHeight="1">
      <c r="A50" s="12"/>
      <c r="B50" s="210"/>
      <c r="C50" s="99"/>
      <c r="D50" s="206"/>
      <c r="E50" s="207"/>
      <c r="F50" s="207"/>
      <c r="G50" s="208"/>
      <c r="H50" s="266"/>
      <c r="I50" s="266"/>
    </row>
    <row r="51" spans="1:9" ht="18.75" customHeight="1">
      <c r="A51" s="12"/>
      <c r="B51" s="187" t="s">
        <v>117</v>
      </c>
      <c r="C51" s="184" t="s">
        <v>106</v>
      </c>
      <c r="D51" s="185"/>
      <c r="E51" s="185"/>
      <c r="F51" s="185"/>
      <c r="G51" s="186"/>
      <c r="H51" s="266"/>
      <c r="I51" s="266"/>
    </row>
    <row r="52" spans="1:9" ht="37.5" customHeight="1">
      <c r="A52" s="12"/>
      <c r="B52" s="188"/>
      <c r="C52" s="189" t="s">
        <v>118</v>
      </c>
      <c r="D52" s="190"/>
      <c r="E52" s="190"/>
      <c r="F52" s="190"/>
      <c r="G52" s="191"/>
      <c r="H52" s="266"/>
      <c r="I52" s="266"/>
    </row>
    <row r="53" spans="1:9" ht="37.5" customHeight="1">
      <c r="A53" s="12"/>
      <c r="B53" s="188"/>
      <c r="C53" s="192"/>
      <c r="D53" s="193"/>
      <c r="E53" s="193"/>
      <c r="F53" s="193"/>
      <c r="G53" s="194"/>
      <c r="H53" s="266"/>
      <c r="I53" s="266"/>
    </row>
    <row r="54" spans="1:9" ht="37.5" customHeight="1">
      <c r="A54" s="12"/>
      <c r="B54" s="188"/>
      <c r="C54" s="192"/>
      <c r="D54" s="193"/>
      <c r="E54" s="193"/>
      <c r="F54" s="193"/>
      <c r="G54" s="194"/>
      <c r="H54" s="266"/>
      <c r="I54" s="266"/>
    </row>
    <row r="55" spans="1:9" ht="37.5" customHeight="1">
      <c r="A55" s="12"/>
      <c r="B55" s="188"/>
      <c r="C55" s="192"/>
      <c r="D55" s="193"/>
      <c r="E55" s="193"/>
      <c r="F55" s="193"/>
      <c r="G55" s="194"/>
      <c r="H55" s="266"/>
      <c r="I55" s="266"/>
    </row>
    <row r="56" spans="1:9" ht="37.15" customHeight="1">
      <c r="A56" s="12"/>
      <c r="B56" s="188"/>
      <c r="C56" s="195"/>
      <c r="D56" s="196"/>
      <c r="E56" s="196"/>
      <c r="F56" s="196"/>
      <c r="G56" s="197"/>
      <c r="H56" s="266"/>
      <c r="I56" s="266"/>
    </row>
    <row r="57" spans="1:9" ht="18.75" customHeight="1">
      <c r="A57" s="12"/>
      <c r="B57" s="188"/>
      <c r="C57" s="84" t="s">
        <v>109</v>
      </c>
      <c r="D57" s="184" t="s">
        <v>110</v>
      </c>
      <c r="E57" s="185"/>
      <c r="F57" s="185"/>
      <c r="G57" s="186"/>
      <c r="H57" s="266"/>
      <c r="I57" s="266"/>
    </row>
    <row r="58" spans="1:9" ht="18.75" customHeight="1">
      <c r="A58" s="12"/>
      <c r="B58" s="188"/>
      <c r="C58" s="88" t="s">
        <v>72</v>
      </c>
      <c r="D58" s="123" t="s">
        <v>119</v>
      </c>
      <c r="E58" s="124"/>
      <c r="F58" s="124"/>
      <c r="G58" s="125"/>
      <c r="H58" s="268"/>
      <c r="I58" s="266"/>
    </row>
    <row r="59" spans="1:9" ht="18.75" customHeight="1">
      <c r="A59" s="12"/>
      <c r="B59" s="188"/>
      <c r="C59" s="88" t="s">
        <v>120</v>
      </c>
      <c r="D59" s="181" t="s">
        <v>121</v>
      </c>
      <c r="E59" s="182"/>
      <c r="F59" s="182"/>
      <c r="G59" s="183"/>
      <c r="H59" s="266"/>
      <c r="I59" s="266"/>
    </row>
    <row r="60" spans="1:9" ht="18.75" customHeight="1">
      <c r="A60" s="12"/>
      <c r="B60" s="188"/>
      <c r="C60" s="99"/>
      <c r="D60" s="206"/>
      <c r="E60" s="207"/>
      <c r="F60" s="207"/>
      <c r="G60" s="208"/>
      <c r="H60" s="266"/>
      <c r="I60" s="266"/>
    </row>
    <row r="61" spans="1:9" ht="18.75" customHeight="1">
      <c r="A61" s="12"/>
      <c r="B61" s="188"/>
      <c r="C61" s="99"/>
      <c r="D61" s="206"/>
      <c r="E61" s="207"/>
      <c r="F61" s="207"/>
      <c r="G61" s="208"/>
      <c r="H61" s="266"/>
      <c r="I61" s="266"/>
    </row>
    <row r="62" spans="1:9" ht="18.75" customHeight="1">
      <c r="A62" s="12"/>
      <c r="B62" s="188"/>
      <c r="C62" s="99"/>
      <c r="D62" s="206"/>
      <c r="E62" s="207"/>
      <c r="F62" s="207"/>
      <c r="G62" s="208"/>
      <c r="H62" s="266"/>
      <c r="I62" s="266"/>
    </row>
    <row r="63" spans="1:9" ht="18.75" customHeight="1">
      <c r="A63" s="12"/>
      <c r="B63" s="188"/>
      <c r="C63" s="99"/>
      <c r="D63" s="206"/>
      <c r="E63" s="207"/>
      <c r="F63" s="207"/>
      <c r="G63" s="208"/>
      <c r="H63" s="266"/>
      <c r="I63" s="266"/>
    </row>
    <row r="64" spans="1:9" ht="18.75" customHeight="1">
      <c r="A64" s="12"/>
      <c r="B64" s="188"/>
      <c r="C64" s="99"/>
      <c r="D64" s="206"/>
      <c r="E64" s="207"/>
      <c r="F64" s="207"/>
      <c r="G64" s="208"/>
      <c r="H64" s="266"/>
      <c r="I64" s="266"/>
    </row>
    <row r="65" spans="1:7" ht="18.75" customHeight="1">
      <c r="A65" s="12"/>
      <c r="B65" s="188"/>
      <c r="C65" s="99"/>
      <c r="D65" s="206"/>
      <c r="E65" s="207"/>
      <c r="F65" s="207"/>
      <c r="G65" s="208"/>
    </row>
    <row r="66" spans="1:7" ht="18.75" customHeight="1">
      <c r="A66" s="12"/>
      <c r="B66" s="188"/>
      <c r="C66" s="99"/>
      <c r="D66" s="206"/>
      <c r="E66" s="207"/>
      <c r="F66" s="207"/>
      <c r="G66" s="208"/>
    </row>
    <row r="67" spans="1:7" ht="18.75" customHeight="1">
      <c r="A67" s="12"/>
      <c r="B67" s="188"/>
      <c r="C67" s="99"/>
      <c r="D67" s="206"/>
      <c r="E67" s="207"/>
      <c r="F67" s="207"/>
      <c r="G67" s="208"/>
    </row>
    <row r="68" spans="1:7" ht="18.75" customHeight="1">
      <c r="A68" s="12"/>
      <c r="B68" s="188"/>
      <c r="C68" s="99"/>
      <c r="D68" s="206"/>
      <c r="E68" s="207"/>
      <c r="F68" s="207"/>
      <c r="G68" s="208"/>
    </row>
    <row r="69" spans="1:7" ht="18.75" customHeight="1">
      <c r="A69" s="12"/>
      <c r="B69" s="188"/>
      <c r="C69" s="99"/>
      <c r="D69" s="206"/>
      <c r="E69" s="207"/>
      <c r="F69" s="207"/>
      <c r="G69" s="208"/>
    </row>
    <row r="70" spans="1:7" ht="18.75" customHeight="1">
      <c r="A70" s="12"/>
      <c r="B70" s="188"/>
      <c r="C70" s="99"/>
      <c r="D70" s="206"/>
      <c r="E70" s="207"/>
      <c r="F70" s="207"/>
      <c r="G70" s="208"/>
    </row>
    <row r="71" spans="1:7" ht="18.75" customHeight="1">
      <c r="A71" s="12"/>
      <c r="B71" s="188"/>
      <c r="C71" s="99"/>
      <c r="D71" s="206"/>
      <c r="E71" s="207"/>
      <c r="F71" s="207"/>
      <c r="G71" s="208"/>
    </row>
    <row r="72" spans="1:7" ht="18.75" customHeight="1">
      <c r="A72" s="12"/>
      <c r="B72" s="188"/>
      <c r="C72" s="99"/>
      <c r="D72" s="206"/>
      <c r="E72" s="207"/>
      <c r="F72" s="207"/>
      <c r="G72" s="208"/>
    </row>
    <row r="73" spans="1:7" ht="18.75" customHeight="1">
      <c r="A73" s="12"/>
      <c r="B73" s="188"/>
      <c r="C73" s="99"/>
      <c r="D73" s="206"/>
      <c r="E73" s="207"/>
      <c r="F73" s="207"/>
      <c r="G73" s="208"/>
    </row>
    <row r="74" spans="1:7" ht="18.75" customHeight="1">
      <c r="A74" s="12"/>
      <c r="B74" s="188"/>
      <c r="C74" s="99"/>
      <c r="D74" s="206"/>
      <c r="E74" s="207"/>
      <c r="F74" s="207"/>
      <c r="G74" s="208"/>
    </row>
    <row r="75" spans="1:7" ht="18.75" customHeight="1">
      <c r="A75" s="12"/>
      <c r="B75" s="188"/>
      <c r="C75" s="99"/>
      <c r="D75" s="206"/>
      <c r="E75" s="207"/>
      <c r="F75" s="207"/>
      <c r="G75" s="208"/>
    </row>
    <row r="76" spans="1:7" ht="18.75" customHeight="1">
      <c r="A76" s="12"/>
      <c r="B76" s="187" t="s">
        <v>122</v>
      </c>
      <c r="C76" s="184" t="s">
        <v>106</v>
      </c>
      <c r="D76" s="185"/>
      <c r="E76" s="185"/>
      <c r="F76" s="185"/>
      <c r="G76" s="186"/>
    </row>
    <row r="77" spans="1:7" ht="37.5" customHeight="1">
      <c r="A77" s="12"/>
      <c r="B77" s="188"/>
      <c r="C77" s="189" t="s">
        <v>123</v>
      </c>
      <c r="D77" s="198"/>
      <c r="E77" s="198"/>
      <c r="F77" s="198"/>
      <c r="G77" s="199"/>
    </row>
    <row r="78" spans="1:7" ht="37.5" customHeight="1">
      <c r="A78" s="12"/>
      <c r="B78" s="188"/>
      <c r="C78" s="200"/>
      <c r="D78" s="201"/>
      <c r="E78" s="201"/>
      <c r="F78" s="201"/>
      <c r="G78" s="202"/>
    </row>
    <row r="79" spans="1:7" ht="37.5" customHeight="1">
      <c r="A79" s="12"/>
      <c r="B79" s="188"/>
      <c r="C79" s="200"/>
      <c r="D79" s="201"/>
      <c r="E79" s="201"/>
      <c r="F79" s="201"/>
      <c r="G79" s="202"/>
    </row>
    <row r="80" spans="1:7" ht="37.5" customHeight="1">
      <c r="A80" s="12"/>
      <c r="B80" s="188"/>
      <c r="C80" s="200"/>
      <c r="D80" s="201"/>
      <c r="E80" s="201"/>
      <c r="F80" s="201"/>
      <c r="G80" s="202"/>
    </row>
    <row r="81" spans="1:9" ht="37.5" customHeight="1">
      <c r="A81" s="12"/>
      <c r="B81" s="188"/>
      <c r="C81" s="203"/>
      <c r="D81" s="204"/>
      <c r="E81" s="204"/>
      <c r="F81" s="204"/>
      <c r="G81" s="205"/>
      <c r="H81" s="266"/>
      <c r="I81" s="266"/>
    </row>
    <row r="82" spans="1:9" ht="18.75" customHeight="1">
      <c r="A82" s="12"/>
      <c r="B82" s="188"/>
      <c r="C82" s="84" t="s">
        <v>109</v>
      </c>
      <c r="D82" s="184" t="s">
        <v>110</v>
      </c>
      <c r="E82" s="185"/>
      <c r="F82" s="185"/>
      <c r="G82" s="186"/>
      <c r="H82" s="266"/>
      <c r="I82" s="266"/>
    </row>
    <row r="83" spans="1:9" ht="18.75" customHeight="1">
      <c r="A83" s="12"/>
      <c r="B83" s="188"/>
      <c r="C83" s="97" t="s">
        <v>72</v>
      </c>
      <c r="D83" s="181" t="s">
        <v>124</v>
      </c>
      <c r="E83" s="182"/>
      <c r="F83" s="182"/>
      <c r="G83" s="183"/>
      <c r="H83" s="268"/>
      <c r="I83" s="266"/>
    </row>
    <row r="84" spans="1:9" ht="18.75" customHeight="1">
      <c r="A84" s="12"/>
      <c r="B84" s="188"/>
      <c r="C84" s="97" t="s">
        <v>73</v>
      </c>
      <c r="D84" s="181" t="s">
        <v>121</v>
      </c>
      <c r="E84" s="182"/>
      <c r="F84" s="182"/>
      <c r="G84" s="183"/>
      <c r="H84" s="266"/>
      <c r="I84" s="266"/>
    </row>
    <row r="85" spans="1:9" ht="18.75" customHeight="1">
      <c r="A85" s="12"/>
      <c r="B85" s="188"/>
      <c r="C85" s="99"/>
      <c r="D85" s="206"/>
      <c r="E85" s="207"/>
      <c r="F85" s="207"/>
      <c r="G85" s="208"/>
      <c r="H85" s="266"/>
      <c r="I85" s="266"/>
    </row>
    <row r="86" spans="1:9" ht="18.75" customHeight="1">
      <c r="A86" s="12"/>
      <c r="B86" s="188"/>
      <c r="C86" s="99"/>
      <c r="D86" s="206"/>
      <c r="E86" s="207"/>
      <c r="F86" s="207"/>
      <c r="G86" s="208"/>
      <c r="H86" s="266"/>
      <c r="I86" s="266"/>
    </row>
    <row r="87" spans="1:9" ht="18.75" customHeight="1">
      <c r="A87" s="12"/>
      <c r="B87" s="188"/>
      <c r="C87" s="99"/>
      <c r="D87" s="206"/>
      <c r="E87" s="207"/>
      <c r="F87" s="207"/>
      <c r="G87" s="208"/>
      <c r="H87" s="266"/>
      <c r="I87" s="266"/>
    </row>
    <row r="88" spans="1:9" ht="18.75" customHeight="1">
      <c r="A88" s="12"/>
      <c r="B88" s="188"/>
      <c r="C88" s="99"/>
      <c r="D88" s="206"/>
      <c r="E88" s="207"/>
      <c r="F88" s="207"/>
      <c r="G88" s="208"/>
      <c r="H88" s="266"/>
      <c r="I88" s="266"/>
    </row>
    <row r="89" spans="1:9" ht="18.75" customHeight="1">
      <c r="A89" s="12"/>
      <c r="B89" s="188"/>
      <c r="C89" s="99"/>
      <c r="D89" s="206"/>
      <c r="E89" s="207"/>
      <c r="F89" s="207"/>
      <c r="G89" s="208"/>
      <c r="H89" s="266"/>
      <c r="I89" s="266"/>
    </row>
    <row r="90" spans="1:9" ht="18.75" customHeight="1">
      <c r="A90" s="12"/>
      <c r="B90" s="188"/>
      <c r="C90" s="99"/>
      <c r="D90" s="206"/>
      <c r="E90" s="207"/>
      <c r="F90" s="207"/>
      <c r="G90" s="208"/>
      <c r="H90" s="266"/>
      <c r="I90" s="266"/>
    </row>
    <row r="91" spans="1:9" ht="18.75" customHeight="1">
      <c r="A91" s="12"/>
      <c r="B91" s="188"/>
      <c r="C91" s="99"/>
      <c r="D91" s="206"/>
      <c r="E91" s="207"/>
      <c r="F91" s="207"/>
      <c r="G91" s="208"/>
      <c r="H91" s="266"/>
      <c r="I91" s="266"/>
    </row>
    <row r="92" spans="1:9" ht="18.75" customHeight="1">
      <c r="A92" s="12"/>
      <c r="B92" s="188"/>
      <c r="C92" s="99"/>
      <c r="D92" s="206"/>
      <c r="E92" s="207"/>
      <c r="F92" s="207"/>
      <c r="G92" s="208"/>
      <c r="H92" s="266"/>
      <c r="I92" s="266"/>
    </row>
    <row r="93" spans="1:9" ht="18.75" customHeight="1">
      <c r="A93" s="12"/>
      <c r="B93" s="188"/>
      <c r="C93" s="99"/>
      <c r="D93" s="206"/>
      <c r="E93" s="207"/>
      <c r="F93" s="207"/>
      <c r="G93" s="208"/>
      <c r="H93" s="266"/>
      <c r="I93" s="266"/>
    </row>
    <row r="94" spans="1:9" ht="18.75" customHeight="1">
      <c r="A94" s="12"/>
      <c r="B94" s="188"/>
      <c r="C94" s="99"/>
      <c r="D94" s="206"/>
      <c r="E94" s="207"/>
      <c r="F94" s="207"/>
      <c r="G94" s="208"/>
      <c r="H94" s="266"/>
      <c r="I94" s="266"/>
    </row>
    <row r="95" spans="1:9" ht="18.75" customHeight="1">
      <c r="A95" s="12"/>
      <c r="B95" s="188"/>
      <c r="C95" s="99"/>
      <c r="D95" s="206"/>
      <c r="E95" s="207"/>
      <c r="F95" s="207"/>
      <c r="G95" s="208"/>
      <c r="H95" s="266"/>
      <c r="I95" s="266"/>
    </row>
    <row r="96" spans="1:9" ht="18.75" customHeight="1">
      <c r="A96" s="12"/>
      <c r="B96" s="188"/>
      <c r="C96" s="99"/>
      <c r="D96" s="206"/>
      <c r="E96" s="207"/>
      <c r="F96" s="207"/>
      <c r="G96" s="208"/>
      <c r="H96" s="266"/>
      <c r="I96" s="266"/>
    </row>
    <row r="97" spans="1:7" ht="18.75" customHeight="1">
      <c r="A97" s="12"/>
      <c r="B97" s="188"/>
      <c r="C97" s="99"/>
      <c r="D97" s="206"/>
      <c r="E97" s="207"/>
      <c r="F97" s="207"/>
      <c r="G97" s="208"/>
    </row>
    <row r="98" spans="1:7" ht="18.75" customHeight="1">
      <c r="A98" s="12"/>
      <c r="B98" s="188"/>
      <c r="C98" s="99"/>
      <c r="D98" s="206"/>
      <c r="E98" s="207"/>
      <c r="F98" s="207"/>
      <c r="G98" s="208"/>
    </row>
    <row r="99" spans="1:7" ht="18.75" customHeight="1">
      <c r="A99" s="12"/>
      <c r="B99" s="188"/>
      <c r="C99" s="99"/>
      <c r="D99" s="206"/>
      <c r="E99" s="207"/>
      <c r="F99" s="207"/>
      <c r="G99" s="208"/>
    </row>
    <row r="100" spans="1:7" ht="18.75" customHeight="1">
      <c r="A100" s="12"/>
      <c r="B100" s="188"/>
      <c r="C100" s="99"/>
      <c r="D100" s="206"/>
      <c r="E100" s="207"/>
      <c r="F100" s="207"/>
      <c r="G100" s="208"/>
    </row>
    <row r="101" spans="1:7" ht="18.75" customHeight="1">
      <c r="A101" s="12"/>
      <c r="B101" s="187" t="s">
        <v>125</v>
      </c>
      <c r="C101" s="184" t="s">
        <v>106</v>
      </c>
      <c r="D101" s="185"/>
      <c r="E101" s="185"/>
      <c r="F101" s="185"/>
      <c r="G101" s="186"/>
    </row>
    <row r="102" spans="1:7" ht="37.5" customHeight="1">
      <c r="A102" s="12"/>
      <c r="B102" s="188"/>
      <c r="C102" s="209" t="s">
        <v>126</v>
      </c>
      <c r="D102" s="190"/>
      <c r="E102" s="190"/>
      <c r="F102" s="190"/>
      <c r="G102" s="191"/>
    </row>
    <row r="103" spans="1:7" ht="37.5" customHeight="1">
      <c r="A103" s="12"/>
      <c r="B103" s="188"/>
      <c r="C103" s="192"/>
      <c r="D103" s="193"/>
      <c r="E103" s="193"/>
      <c r="F103" s="193"/>
      <c r="G103" s="194"/>
    </row>
    <row r="104" spans="1:7" ht="37.5" customHeight="1">
      <c r="A104" s="12"/>
      <c r="B104" s="188"/>
      <c r="C104" s="192"/>
      <c r="D104" s="193"/>
      <c r="E104" s="193"/>
      <c r="F104" s="193"/>
      <c r="G104" s="194"/>
    </row>
    <row r="105" spans="1:7" ht="37.5" customHeight="1">
      <c r="A105" s="12"/>
      <c r="B105" s="188"/>
      <c r="C105" s="192"/>
      <c r="D105" s="193"/>
      <c r="E105" s="193"/>
      <c r="F105" s="193"/>
      <c r="G105" s="194"/>
    </row>
    <row r="106" spans="1:7" ht="37.5" customHeight="1">
      <c r="A106" s="12"/>
      <c r="B106" s="188"/>
      <c r="C106" s="195"/>
      <c r="D106" s="196"/>
      <c r="E106" s="196"/>
      <c r="F106" s="196"/>
      <c r="G106" s="197"/>
    </row>
    <row r="107" spans="1:7" ht="18.75" customHeight="1">
      <c r="A107" s="12"/>
      <c r="B107" s="188"/>
      <c r="C107" s="84" t="s">
        <v>109</v>
      </c>
      <c r="D107" s="184" t="s">
        <v>110</v>
      </c>
      <c r="E107" s="185"/>
      <c r="F107" s="185"/>
      <c r="G107" s="186"/>
    </row>
    <row r="108" spans="1:7" ht="18.75" customHeight="1">
      <c r="A108" s="12"/>
      <c r="B108" s="188"/>
      <c r="C108" s="88" t="s">
        <v>73</v>
      </c>
      <c r="D108" s="181" t="s">
        <v>127</v>
      </c>
      <c r="E108" s="182"/>
      <c r="F108" s="182"/>
      <c r="G108" s="183"/>
    </row>
    <row r="109" spans="1:7" ht="18.75" customHeight="1">
      <c r="A109" s="12"/>
      <c r="B109" s="188"/>
      <c r="C109" s="99"/>
      <c r="D109" s="206"/>
      <c r="E109" s="207"/>
      <c r="F109" s="207"/>
      <c r="G109" s="208"/>
    </row>
    <row r="110" spans="1:7" ht="18.75" customHeight="1">
      <c r="A110" s="12"/>
      <c r="B110" s="188"/>
      <c r="C110" s="99"/>
      <c r="D110" s="206"/>
      <c r="E110" s="207"/>
      <c r="F110" s="207"/>
      <c r="G110" s="208"/>
    </row>
    <row r="111" spans="1:7" ht="18.75" customHeight="1">
      <c r="A111" s="12"/>
      <c r="B111" s="188"/>
      <c r="C111" s="99"/>
      <c r="D111" s="206"/>
      <c r="E111" s="207"/>
      <c r="F111" s="207"/>
      <c r="G111" s="208"/>
    </row>
    <row r="112" spans="1:7" ht="18.75" customHeight="1">
      <c r="A112" s="12"/>
      <c r="B112" s="188"/>
      <c r="C112" s="99"/>
      <c r="D112" s="206"/>
      <c r="E112" s="207"/>
      <c r="F112" s="207"/>
      <c r="G112" s="208"/>
    </row>
    <row r="113" spans="1:7" ht="18.75" customHeight="1">
      <c r="A113" s="12"/>
      <c r="B113" s="188"/>
      <c r="C113" s="99"/>
      <c r="D113" s="206"/>
      <c r="E113" s="207"/>
      <c r="F113" s="207"/>
      <c r="G113" s="208"/>
    </row>
    <row r="114" spans="1:7" ht="18.75" customHeight="1">
      <c r="A114" s="12"/>
      <c r="B114" s="188"/>
      <c r="C114" s="99"/>
      <c r="D114" s="206"/>
      <c r="E114" s="207"/>
      <c r="F114" s="207"/>
      <c r="G114" s="208"/>
    </row>
    <row r="115" spans="1:7" ht="18.75" customHeight="1">
      <c r="A115" s="12"/>
      <c r="B115" s="188"/>
      <c r="C115" s="99"/>
      <c r="D115" s="206"/>
      <c r="E115" s="207"/>
      <c r="F115" s="207"/>
      <c r="G115" s="208"/>
    </row>
    <row r="116" spans="1:7" ht="18.75" customHeight="1">
      <c r="A116" s="12"/>
      <c r="B116" s="188"/>
      <c r="C116" s="99"/>
      <c r="D116" s="206"/>
      <c r="E116" s="207"/>
      <c r="F116" s="207"/>
      <c r="G116" s="208"/>
    </row>
    <row r="117" spans="1:7" ht="18.75" customHeight="1">
      <c r="A117" s="12"/>
      <c r="B117" s="188"/>
      <c r="C117" s="99"/>
      <c r="D117" s="206"/>
      <c r="E117" s="207"/>
      <c r="F117" s="207"/>
      <c r="G117" s="208"/>
    </row>
    <row r="118" spans="1:7" ht="18.75" customHeight="1">
      <c r="A118" s="12"/>
      <c r="B118" s="188"/>
      <c r="C118" s="99"/>
      <c r="D118" s="206"/>
      <c r="E118" s="207"/>
      <c r="F118" s="207"/>
      <c r="G118" s="208"/>
    </row>
    <row r="119" spans="1:7" ht="18.75" customHeight="1">
      <c r="A119" s="12"/>
      <c r="B119" s="188"/>
      <c r="C119" s="99"/>
      <c r="D119" s="206"/>
      <c r="E119" s="207"/>
      <c r="F119" s="207"/>
      <c r="G119" s="208"/>
    </row>
    <row r="120" spans="1:7" ht="18.75" customHeight="1">
      <c r="A120" s="12"/>
      <c r="B120" s="188"/>
      <c r="C120" s="99"/>
      <c r="D120" s="206"/>
      <c r="E120" s="207"/>
      <c r="F120" s="207"/>
      <c r="G120" s="208"/>
    </row>
    <row r="121" spans="1:7" ht="18.75" customHeight="1">
      <c r="A121" s="12"/>
      <c r="B121" s="188"/>
      <c r="C121" s="99"/>
      <c r="D121" s="206"/>
      <c r="E121" s="207"/>
      <c r="F121" s="207"/>
      <c r="G121" s="208"/>
    </row>
    <row r="122" spans="1:7" ht="18.75" customHeight="1">
      <c r="A122" s="12"/>
      <c r="B122" s="188"/>
      <c r="C122" s="99"/>
      <c r="D122" s="206"/>
      <c r="E122" s="207"/>
      <c r="F122" s="207"/>
      <c r="G122" s="208"/>
    </row>
    <row r="123" spans="1:7" ht="18.75" customHeight="1">
      <c r="A123" s="12"/>
      <c r="B123" s="188"/>
      <c r="C123" s="99"/>
      <c r="D123" s="206"/>
      <c r="E123" s="207"/>
      <c r="F123" s="207"/>
      <c r="G123" s="208"/>
    </row>
    <row r="124" spans="1:7" ht="18.75" customHeight="1">
      <c r="A124" s="12"/>
      <c r="B124" s="188"/>
      <c r="C124" s="99"/>
      <c r="D124" s="206"/>
      <c r="E124" s="207"/>
      <c r="F124" s="207"/>
      <c r="G124" s="208"/>
    </row>
    <row r="125" spans="1:7" ht="18.75" customHeight="1">
      <c r="A125" s="12"/>
      <c r="B125" s="188"/>
      <c r="C125" s="99"/>
      <c r="D125" s="206"/>
      <c r="E125" s="207"/>
      <c r="F125" s="207"/>
      <c r="G125" s="208"/>
    </row>
    <row r="126" spans="1:7" ht="18.75" customHeight="1">
      <c r="A126" s="12" t="s">
        <v>5</v>
      </c>
      <c r="B126" s="12" t="s">
        <v>128</v>
      </c>
      <c r="C126" s="12"/>
      <c r="D126" s="12"/>
      <c r="E126" s="12"/>
      <c r="F126" s="12"/>
      <c r="G126" s="12"/>
    </row>
    <row r="127" spans="1:7" ht="22.5" customHeight="1">
      <c r="A127" s="12"/>
      <c r="B127" s="99" t="s">
        <v>105</v>
      </c>
      <c r="C127" s="184" t="s">
        <v>71</v>
      </c>
      <c r="D127" s="185"/>
      <c r="E127" s="185"/>
      <c r="F127" s="185"/>
      <c r="G127" s="186"/>
    </row>
    <row r="128" spans="1:7" ht="45" customHeight="1">
      <c r="A128" s="12"/>
      <c r="B128" s="85" t="s">
        <v>129</v>
      </c>
      <c r="C128" s="222" t="s">
        <v>73</v>
      </c>
      <c r="D128" s="124"/>
      <c r="E128" s="124"/>
      <c r="F128" s="124"/>
      <c r="G128" s="125"/>
    </row>
    <row r="129" spans="1:7" ht="45" customHeight="1">
      <c r="A129" s="12"/>
      <c r="B129" s="85" t="s">
        <v>130</v>
      </c>
      <c r="C129" s="123" t="s">
        <v>72</v>
      </c>
      <c r="D129" s="124"/>
      <c r="E129" s="124"/>
      <c r="F129" s="124"/>
      <c r="G129" s="125"/>
    </row>
    <row r="130" spans="1:7" ht="45" customHeight="1">
      <c r="A130" s="12"/>
      <c r="B130" s="85" t="s">
        <v>131</v>
      </c>
      <c r="C130" s="123" t="s">
        <v>72</v>
      </c>
      <c r="D130" s="124"/>
      <c r="E130" s="124"/>
      <c r="F130" s="124"/>
      <c r="G130" s="125"/>
    </row>
    <row r="131" spans="1:7" ht="45" customHeight="1">
      <c r="A131" s="12"/>
      <c r="B131" s="85" t="s">
        <v>132</v>
      </c>
      <c r="C131" s="222"/>
      <c r="D131" s="223"/>
      <c r="E131" s="223"/>
      <c r="F131" s="223"/>
      <c r="G131" s="224"/>
    </row>
    <row r="132" spans="1:7" ht="45" customHeight="1">
      <c r="A132" s="12"/>
      <c r="B132" s="85" t="s">
        <v>133</v>
      </c>
      <c r="C132" s="222"/>
      <c r="D132" s="223"/>
      <c r="E132" s="223"/>
      <c r="F132" s="223"/>
      <c r="G132" s="224"/>
    </row>
    <row r="133" spans="1:7" ht="45" customHeight="1">
      <c r="A133" s="12"/>
      <c r="B133" s="85" t="s">
        <v>134</v>
      </c>
      <c r="C133" s="222"/>
      <c r="D133" s="223"/>
      <c r="E133" s="223"/>
      <c r="F133" s="223"/>
      <c r="G133" s="224"/>
    </row>
    <row r="134" spans="1:7" ht="45" customHeight="1">
      <c r="A134" s="12"/>
      <c r="B134" s="85" t="s">
        <v>135</v>
      </c>
      <c r="C134" s="222"/>
      <c r="D134" s="223"/>
      <c r="E134" s="223"/>
      <c r="F134" s="223"/>
      <c r="G134" s="224"/>
    </row>
    <row r="135" spans="1:7" ht="45" customHeight="1">
      <c r="A135" s="12"/>
      <c r="B135" s="85" t="s">
        <v>136</v>
      </c>
      <c r="C135" s="222"/>
      <c r="D135" s="223"/>
      <c r="E135" s="223"/>
      <c r="F135" s="223"/>
      <c r="G135" s="224"/>
    </row>
    <row r="136" spans="1:7" ht="45" customHeight="1">
      <c r="A136" s="12"/>
      <c r="B136" s="85" t="s">
        <v>137</v>
      </c>
      <c r="C136" s="222"/>
      <c r="D136" s="223"/>
      <c r="E136" s="223"/>
      <c r="F136" s="223"/>
      <c r="G136" s="224"/>
    </row>
    <row r="137" spans="1:7" ht="7.5" customHeight="1">
      <c r="A137" s="12"/>
      <c r="B137" s="12"/>
      <c r="C137" s="12"/>
      <c r="D137" s="12"/>
      <c r="E137" s="12"/>
      <c r="F137" s="12"/>
      <c r="G137" s="12"/>
    </row>
    <row r="138" spans="1:7" ht="18.75" customHeight="1">
      <c r="A138" s="12" t="s">
        <v>8</v>
      </c>
      <c r="B138" s="12" t="s">
        <v>138</v>
      </c>
      <c r="C138" s="12"/>
      <c r="D138" s="12"/>
      <c r="E138" s="221" t="s">
        <v>139</v>
      </c>
      <c r="F138" s="124"/>
      <c r="G138" s="125"/>
    </row>
    <row r="139" spans="1:7" ht="7.5" customHeight="1">
      <c r="A139" s="12"/>
      <c r="B139" s="12"/>
      <c r="C139" s="12"/>
      <c r="D139" s="12"/>
      <c r="E139" s="12"/>
      <c r="F139" s="12"/>
      <c r="G139" s="12"/>
    </row>
    <row r="140" spans="1:7" ht="18.75" customHeight="1">
      <c r="A140" s="12" t="s">
        <v>11</v>
      </c>
      <c r="B140" s="12" t="s">
        <v>140</v>
      </c>
      <c r="C140" s="12"/>
      <c r="D140" s="12"/>
      <c r="E140" s="12"/>
      <c r="F140" s="12"/>
      <c r="G140" s="12"/>
    </row>
    <row r="141" spans="1:7" ht="18.75" customHeight="1">
      <c r="A141" s="12"/>
      <c r="B141" s="169" t="s">
        <v>141</v>
      </c>
      <c r="C141" s="170"/>
      <c r="D141" s="170"/>
      <c r="E141" s="170"/>
      <c r="F141" s="170"/>
      <c r="G141" s="171"/>
    </row>
    <row r="142" spans="1:7" ht="18.75" customHeight="1">
      <c r="A142" s="12"/>
      <c r="B142" s="172"/>
      <c r="C142" s="173"/>
      <c r="D142" s="173"/>
      <c r="E142" s="173"/>
      <c r="F142" s="173"/>
      <c r="G142" s="174"/>
    </row>
    <row r="143" spans="1:7" ht="18.75" customHeight="1">
      <c r="A143" s="12"/>
      <c r="B143" s="172"/>
      <c r="C143" s="173"/>
      <c r="D143" s="173"/>
      <c r="E143" s="173"/>
      <c r="F143" s="173"/>
      <c r="G143" s="174"/>
    </row>
    <row r="144" spans="1:7" ht="18.75" customHeight="1">
      <c r="A144" s="12"/>
      <c r="B144" s="175"/>
      <c r="C144" s="176"/>
      <c r="D144" s="176"/>
      <c r="E144" s="176"/>
      <c r="F144" s="176"/>
      <c r="G144" s="177"/>
    </row>
    <row r="145" ht="18.75" customHeight="1"/>
    <row r="146" ht="18.75" customHeight="1"/>
    <row r="147" ht="18.75" customHeight="1"/>
    <row r="148" ht="18.75" customHeight="1"/>
    <row r="149" ht="18.75" customHeight="1"/>
    <row r="150" ht="18.75" customHeight="1"/>
  </sheetData>
  <mergeCells count="120">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D97:G97"/>
    <mergeCell ref="A3:G3"/>
    <mergeCell ref="C5:G5"/>
    <mergeCell ref="C6:G9"/>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D60:G60"/>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D61:G61"/>
    <mergeCell ref="D62:G62"/>
    <mergeCell ref="D63:G63"/>
    <mergeCell ref="D64:G64"/>
    <mergeCell ref="D65:G65"/>
    <mergeCell ref="D73:G73"/>
    <mergeCell ref="D72:G72"/>
    <mergeCell ref="B141:G144"/>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 ref="B51:B75"/>
    <mergeCell ref="C51:G51"/>
    <mergeCell ref="C52:G56"/>
    <mergeCell ref="B76:B100"/>
    <mergeCell ref="C76:G76"/>
    <mergeCell ref="C77:G81"/>
    <mergeCell ref="D82:G82"/>
  </mergeCells>
  <phoneticPr fontId="2"/>
  <hyperlinks>
    <hyperlink ref="E138" r:id="rId1" xr:uid="{71209E37-6AED-4B2B-BCD2-1F5C6860FFB4}"/>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8"/>
  <sheetViews>
    <sheetView showZeros="0" topLeftCell="A46" zoomScale="130" zoomScaleNormal="130" workbookViewId="0">
      <selection activeCell="B48" sqref="B48:E68"/>
    </sheetView>
  </sheetViews>
  <sheetFormatPr defaultColWidth="11.375" defaultRowHeight="18.75" customHeight="1"/>
  <cols>
    <col min="1" max="1" width="2.75" style="2" customWidth="1"/>
    <col min="2" max="2" width="54.125" style="1" customWidth="1"/>
    <col min="3" max="3" width="1.125" style="1" customWidth="1"/>
    <col min="4" max="4" width="22.5" style="1" customWidth="1"/>
    <col min="5" max="5" width="6.125" style="1" customWidth="1"/>
    <col min="6" max="16384" width="11.375" style="1"/>
  </cols>
  <sheetData>
    <row r="1" spans="1:5" ht="18.75" customHeight="1">
      <c r="B1" s="266"/>
      <c r="C1" s="266"/>
      <c r="D1" s="266"/>
      <c r="E1" s="86" t="s">
        <v>142</v>
      </c>
    </row>
    <row r="2" spans="1:5" ht="18.75" customHeight="1">
      <c r="B2" s="86" t="s">
        <v>143</v>
      </c>
      <c r="C2" s="86" t="s">
        <v>144</v>
      </c>
      <c r="D2" s="132" t="s">
        <v>145</v>
      </c>
      <c r="E2" s="132"/>
    </row>
    <row r="3" spans="1:5" ht="7.5" customHeight="1">
      <c r="B3" s="86"/>
      <c r="C3" s="86"/>
      <c r="D3" s="268"/>
      <c r="E3" s="268"/>
    </row>
    <row r="4" spans="1:5" ht="18.75" customHeight="1">
      <c r="B4" s="167" t="s">
        <v>146</v>
      </c>
      <c r="C4" s="167"/>
      <c r="D4" s="167"/>
      <c r="E4" s="167"/>
    </row>
    <row r="5" spans="1:5" ht="7.5" customHeight="1">
      <c r="B5" s="94"/>
      <c r="C5" s="94"/>
      <c r="D5" s="94"/>
      <c r="E5" s="94"/>
    </row>
    <row r="6" spans="1:5" ht="18.75" customHeight="1">
      <c r="A6" s="269" t="s">
        <v>2</v>
      </c>
      <c r="B6" s="4" t="s">
        <v>147</v>
      </c>
      <c r="C6" s="94"/>
      <c r="D6" s="94"/>
      <c r="E6" s="94"/>
    </row>
    <row r="7" spans="1:5" ht="18.75" customHeight="1">
      <c r="A7" s="269"/>
      <c r="B7" s="123" t="s">
        <v>148</v>
      </c>
      <c r="C7" s="124"/>
      <c r="D7" s="124"/>
      <c r="E7" s="125"/>
    </row>
    <row r="8" spans="1:5" ht="7.5" customHeight="1">
      <c r="B8" s="91"/>
      <c r="C8" s="91"/>
      <c r="D8" s="91"/>
      <c r="E8" s="91"/>
    </row>
    <row r="9" spans="1:5" s="4" customFormat="1" ht="18.75" customHeight="1">
      <c r="A9" s="269" t="s">
        <v>5</v>
      </c>
      <c r="B9" s="80" t="s">
        <v>149</v>
      </c>
      <c r="C9" s="80"/>
      <c r="D9" s="80"/>
      <c r="E9" s="80"/>
    </row>
    <row r="10" spans="1:5" s="7" customFormat="1" ht="18.75" customHeight="1">
      <c r="A10" s="6"/>
      <c r="B10" s="169" t="s">
        <v>150</v>
      </c>
      <c r="C10" s="170"/>
      <c r="D10" s="170"/>
      <c r="E10" s="171"/>
    </row>
    <row r="11" spans="1:5" s="7" customFormat="1" ht="18.75" customHeight="1">
      <c r="A11" s="6"/>
      <c r="B11" s="172"/>
      <c r="C11" s="173"/>
      <c r="D11" s="173"/>
      <c r="E11" s="174"/>
    </row>
    <row r="12" spans="1:5" s="7" customFormat="1" ht="18.75" customHeight="1">
      <c r="A12" s="6"/>
      <c r="B12" s="172"/>
      <c r="C12" s="173"/>
      <c r="D12" s="173"/>
      <c r="E12" s="174"/>
    </row>
    <row r="13" spans="1:5" s="7" customFormat="1" ht="18.75" customHeight="1">
      <c r="A13" s="6"/>
      <c r="B13" s="172"/>
      <c r="C13" s="173"/>
      <c r="D13" s="173"/>
      <c r="E13" s="174"/>
    </row>
    <row r="14" spans="1:5" s="7" customFormat="1" ht="18.75" customHeight="1">
      <c r="A14" s="6"/>
      <c r="B14" s="175"/>
      <c r="C14" s="176"/>
      <c r="D14" s="176"/>
      <c r="E14" s="177"/>
    </row>
    <row r="15" spans="1:5" s="7" customFormat="1" ht="7.5" customHeight="1">
      <c r="A15" s="6"/>
      <c r="B15" s="93"/>
      <c r="C15" s="93"/>
      <c r="D15" s="93"/>
      <c r="E15" s="93"/>
    </row>
    <row r="16" spans="1:5" s="4" customFormat="1" ht="18.75" customHeight="1">
      <c r="A16" s="8" t="s">
        <v>8</v>
      </c>
      <c r="B16" s="81" t="s">
        <v>151</v>
      </c>
      <c r="C16" s="81"/>
      <c r="D16" s="81"/>
      <c r="E16" s="81"/>
    </row>
    <row r="17" spans="1:5" s="7" customFormat="1" ht="18.75" customHeight="1">
      <c r="A17" s="6"/>
      <c r="B17" s="229" t="s">
        <v>152</v>
      </c>
      <c r="C17" s="230"/>
      <c r="D17" s="230"/>
      <c r="E17" s="231"/>
    </row>
    <row r="18" spans="1:5" s="7" customFormat="1" ht="18.75" customHeight="1">
      <c r="A18" s="6"/>
      <c r="B18" s="232"/>
      <c r="C18" s="233"/>
      <c r="D18" s="233"/>
      <c r="E18" s="234"/>
    </row>
    <row r="19" spans="1:5" s="7" customFormat="1" ht="18.75" customHeight="1">
      <c r="A19" s="6"/>
      <c r="B19" s="232"/>
      <c r="C19" s="233"/>
      <c r="D19" s="233"/>
      <c r="E19" s="234"/>
    </row>
    <row r="20" spans="1:5" s="7" customFormat="1" ht="18.75" customHeight="1">
      <c r="A20" s="6"/>
      <c r="B20" s="232"/>
      <c r="C20" s="233"/>
      <c r="D20" s="233"/>
      <c r="E20" s="234"/>
    </row>
    <row r="21" spans="1:5" s="7" customFormat="1" ht="18.75" customHeight="1">
      <c r="A21" s="6"/>
      <c r="B21" s="232"/>
      <c r="C21" s="233"/>
      <c r="D21" s="233"/>
      <c r="E21" s="234"/>
    </row>
    <row r="22" spans="1:5" s="7" customFormat="1" ht="18.75" customHeight="1">
      <c r="A22" s="6"/>
      <c r="B22" s="232"/>
      <c r="C22" s="233"/>
      <c r="D22" s="233"/>
      <c r="E22" s="234"/>
    </row>
    <row r="23" spans="1:5" s="7" customFormat="1" ht="18.75" customHeight="1">
      <c r="A23" s="6"/>
      <c r="B23" s="232"/>
      <c r="C23" s="233"/>
      <c r="D23" s="233"/>
      <c r="E23" s="234"/>
    </row>
    <row r="24" spans="1:5" s="7" customFormat="1" ht="18.75" customHeight="1">
      <c r="A24" s="6"/>
      <c r="B24" s="232"/>
      <c r="C24" s="233"/>
      <c r="D24" s="233"/>
      <c r="E24" s="234"/>
    </row>
    <row r="25" spans="1:5" s="7" customFormat="1" ht="18.75" customHeight="1">
      <c r="A25" s="6"/>
      <c r="B25" s="232"/>
      <c r="C25" s="233"/>
      <c r="D25" s="233"/>
      <c r="E25" s="234"/>
    </row>
    <row r="26" spans="1:5" s="7" customFormat="1" ht="18.75" customHeight="1">
      <c r="A26" s="6"/>
      <c r="B26" s="232"/>
      <c r="C26" s="233"/>
      <c r="D26" s="233"/>
      <c r="E26" s="234"/>
    </row>
    <row r="27" spans="1:5" s="7" customFormat="1" ht="18.75" customHeight="1">
      <c r="A27" s="6"/>
      <c r="B27" s="232"/>
      <c r="C27" s="233"/>
      <c r="D27" s="233"/>
      <c r="E27" s="234"/>
    </row>
    <row r="28" spans="1:5" s="7" customFormat="1" ht="18.75" customHeight="1">
      <c r="A28" s="6"/>
      <c r="B28" s="235"/>
      <c r="C28" s="236"/>
      <c r="D28" s="236"/>
      <c r="E28" s="237"/>
    </row>
    <row r="29" spans="1:5" ht="7.5" customHeight="1">
      <c r="A29" s="5"/>
      <c r="B29" s="82"/>
      <c r="C29" s="82"/>
      <c r="D29" s="82"/>
      <c r="E29" s="82"/>
    </row>
    <row r="30" spans="1:5" s="4" customFormat="1" ht="18.75" customHeight="1">
      <c r="A30" s="269" t="s">
        <v>11</v>
      </c>
      <c r="B30" s="80" t="s">
        <v>153</v>
      </c>
      <c r="C30" s="80"/>
      <c r="D30" s="80"/>
      <c r="E30" s="80"/>
    </row>
    <row r="31" spans="1:5" s="4" customFormat="1" ht="18.75" customHeight="1">
      <c r="A31" s="269"/>
      <c r="B31" s="169" t="s">
        <v>154</v>
      </c>
      <c r="C31" s="170"/>
      <c r="D31" s="170"/>
      <c r="E31" s="171"/>
    </row>
    <row r="32" spans="1:5" s="4" customFormat="1" ht="18.75" customHeight="1">
      <c r="A32" s="269"/>
      <c r="B32" s="172"/>
      <c r="C32" s="173"/>
      <c r="D32" s="173"/>
      <c r="E32" s="174"/>
    </row>
    <row r="33" spans="1:5" s="4" customFormat="1" ht="18.75" customHeight="1">
      <c r="A33" s="269"/>
      <c r="B33" s="172"/>
      <c r="C33" s="173"/>
      <c r="D33" s="173"/>
      <c r="E33" s="174"/>
    </row>
    <row r="34" spans="1:5" s="4" customFormat="1" ht="18.75" customHeight="1">
      <c r="A34" s="269"/>
      <c r="B34" s="172"/>
      <c r="C34" s="173"/>
      <c r="D34" s="173"/>
      <c r="E34" s="174"/>
    </row>
    <row r="35" spans="1:5" s="4" customFormat="1" ht="18.75" customHeight="1">
      <c r="A35" s="269"/>
      <c r="B35" s="172"/>
      <c r="C35" s="173"/>
      <c r="D35" s="173"/>
      <c r="E35" s="174"/>
    </row>
    <row r="36" spans="1:5" s="4" customFormat="1" ht="18.75" customHeight="1">
      <c r="A36" s="269"/>
      <c r="B36" s="172"/>
      <c r="C36" s="173"/>
      <c r="D36" s="173"/>
      <c r="E36" s="174"/>
    </row>
    <row r="37" spans="1:5" s="4" customFormat="1" ht="18.75" customHeight="1">
      <c r="A37" s="269"/>
      <c r="B37" s="172"/>
      <c r="C37" s="173"/>
      <c r="D37" s="173"/>
      <c r="E37" s="174"/>
    </row>
    <row r="38" spans="1:5" s="4" customFormat="1" ht="18.75" customHeight="1">
      <c r="A38" s="269"/>
      <c r="B38" s="172"/>
      <c r="C38" s="173"/>
      <c r="D38" s="173"/>
      <c r="E38" s="174"/>
    </row>
    <row r="39" spans="1:5" s="4" customFormat="1" ht="18.75" customHeight="1">
      <c r="A39" s="269"/>
      <c r="B39" s="172"/>
      <c r="C39" s="173"/>
      <c r="D39" s="173"/>
      <c r="E39" s="174"/>
    </row>
    <row r="40" spans="1:5" s="4" customFormat="1" ht="18.75" customHeight="1">
      <c r="A40" s="269"/>
      <c r="B40" s="172"/>
      <c r="C40" s="173"/>
      <c r="D40" s="173"/>
      <c r="E40" s="174"/>
    </row>
    <row r="41" spans="1:5" s="4" customFormat="1" ht="18.75" customHeight="1">
      <c r="A41" s="269"/>
      <c r="B41" s="172"/>
      <c r="C41" s="173"/>
      <c r="D41" s="173"/>
      <c r="E41" s="174"/>
    </row>
    <row r="42" spans="1:5" s="4" customFormat="1" ht="18.75" customHeight="1">
      <c r="A42" s="269"/>
      <c r="B42" s="172"/>
      <c r="C42" s="173"/>
      <c r="D42" s="173"/>
      <c r="E42" s="174"/>
    </row>
    <row r="43" spans="1:5" s="4" customFormat="1" ht="18.75" customHeight="1">
      <c r="A43" s="269"/>
      <c r="B43" s="172"/>
      <c r="C43" s="173"/>
      <c r="D43" s="173"/>
      <c r="E43" s="174"/>
    </row>
    <row r="44" spans="1:5" s="4" customFormat="1" ht="18.75" customHeight="1">
      <c r="A44" s="269"/>
      <c r="B44" s="172"/>
      <c r="C44" s="173"/>
      <c r="D44" s="173"/>
      <c r="E44" s="174"/>
    </row>
    <row r="45" spans="1:5" ht="18.75" customHeight="1">
      <c r="A45" s="5"/>
      <c r="B45" s="172"/>
      <c r="C45" s="173"/>
      <c r="D45" s="173"/>
      <c r="E45" s="174"/>
    </row>
    <row r="46" spans="1:5" ht="18.75" customHeight="1">
      <c r="A46" s="5"/>
      <c r="B46" s="175"/>
      <c r="C46" s="176"/>
      <c r="D46" s="176"/>
      <c r="E46" s="177"/>
    </row>
    <row r="47" spans="1:5" s="4" customFormat="1" ht="18.75" customHeight="1">
      <c r="A47" s="270" t="s">
        <v>14</v>
      </c>
      <c r="B47" s="80" t="s">
        <v>155</v>
      </c>
      <c r="C47" s="83"/>
      <c r="D47" s="83"/>
      <c r="E47" s="83"/>
    </row>
    <row r="48" spans="1:5" ht="18.75" customHeight="1">
      <c r="A48" s="5"/>
      <c r="B48" s="169" t="s">
        <v>156</v>
      </c>
      <c r="C48" s="238"/>
      <c r="D48" s="238"/>
      <c r="E48" s="239"/>
    </row>
    <row r="49" spans="1:5" ht="18.75" customHeight="1">
      <c r="A49" s="5"/>
      <c r="B49" s="240"/>
      <c r="C49" s="241"/>
      <c r="D49" s="241"/>
      <c r="E49" s="242"/>
    </row>
    <row r="50" spans="1:5" ht="18.75" customHeight="1">
      <c r="A50" s="5"/>
      <c r="B50" s="240"/>
      <c r="C50" s="241"/>
      <c r="D50" s="241"/>
      <c r="E50" s="242"/>
    </row>
    <row r="51" spans="1:5" ht="18.75" customHeight="1">
      <c r="A51" s="5"/>
      <c r="B51" s="240"/>
      <c r="C51" s="241"/>
      <c r="D51" s="241"/>
      <c r="E51" s="242"/>
    </row>
    <row r="52" spans="1:5" ht="18.75" customHeight="1">
      <c r="A52" s="5"/>
      <c r="B52" s="240"/>
      <c r="C52" s="241"/>
      <c r="D52" s="241"/>
      <c r="E52" s="242"/>
    </row>
    <row r="53" spans="1:5" ht="18.75" customHeight="1">
      <c r="A53" s="5"/>
      <c r="B53" s="240"/>
      <c r="C53" s="241"/>
      <c r="D53" s="241"/>
      <c r="E53" s="242"/>
    </row>
    <row r="54" spans="1:5" ht="18.75" customHeight="1">
      <c r="A54" s="5"/>
      <c r="B54" s="240"/>
      <c r="C54" s="241"/>
      <c r="D54" s="241"/>
      <c r="E54" s="242"/>
    </row>
    <row r="55" spans="1:5" ht="18.75" customHeight="1">
      <c r="A55" s="5"/>
      <c r="B55" s="240"/>
      <c r="C55" s="241"/>
      <c r="D55" s="241"/>
      <c r="E55" s="242"/>
    </row>
    <row r="56" spans="1:5" ht="18.75" customHeight="1">
      <c r="A56" s="5"/>
      <c r="B56" s="240"/>
      <c r="C56" s="241"/>
      <c r="D56" s="241"/>
      <c r="E56" s="242"/>
    </row>
    <row r="57" spans="1:5" ht="18.75" customHeight="1">
      <c r="A57" s="5"/>
      <c r="B57" s="240"/>
      <c r="C57" s="241"/>
      <c r="D57" s="241"/>
      <c r="E57" s="242"/>
    </row>
    <row r="58" spans="1:5" ht="18.75" customHeight="1">
      <c r="A58" s="5"/>
      <c r="B58" s="240"/>
      <c r="C58" s="241"/>
      <c r="D58" s="241"/>
      <c r="E58" s="242"/>
    </row>
    <row r="59" spans="1:5" ht="18.75" customHeight="1">
      <c r="A59" s="5"/>
      <c r="B59" s="240"/>
      <c r="C59" s="241"/>
      <c r="D59" s="241"/>
      <c r="E59" s="242"/>
    </row>
    <row r="60" spans="1:5" ht="18.75" customHeight="1">
      <c r="A60" s="5"/>
      <c r="B60" s="240"/>
      <c r="C60" s="241"/>
      <c r="D60" s="241"/>
      <c r="E60" s="242"/>
    </row>
    <row r="61" spans="1:5" ht="18.75" customHeight="1">
      <c r="A61" s="5"/>
      <c r="B61" s="240"/>
      <c r="C61" s="241"/>
      <c r="D61" s="241"/>
      <c r="E61" s="242"/>
    </row>
    <row r="62" spans="1:5" ht="18.75" customHeight="1">
      <c r="A62" s="5"/>
      <c r="B62" s="240"/>
      <c r="C62" s="241"/>
      <c r="D62" s="241"/>
      <c r="E62" s="242"/>
    </row>
    <row r="63" spans="1:5" ht="18.75" customHeight="1">
      <c r="A63" s="5"/>
      <c r="B63" s="240"/>
      <c r="C63" s="241"/>
      <c r="D63" s="241"/>
      <c r="E63" s="242"/>
    </row>
    <row r="64" spans="1:5" ht="18.75" customHeight="1">
      <c r="A64" s="5"/>
      <c r="B64" s="240"/>
      <c r="C64" s="241"/>
      <c r="D64" s="241"/>
      <c r="E64" s="242"/>
    </row>
    <row r="65" spans="1:5" ht="18.75" customHeight="1">
      <c r="A65" s="5"/>
      <c r="B65" s="240"/>
      <c r="C65" s="241"/>
      <c r="D65" s="241"/>
      <c r="E65" s="242"/>
    </row>
    <row r="66" spans="1:5" ht="18.75" customHeight="1">
      <c r="A66" s="5"/>
      <c r="B66" s="240"/>
      <c r="C66" s="241"/>
      <c r="D66" s="241"/>
      <c r="E66" s="242"/>
    </row>
    <row r="67" spans="1:5" ht="18.75" customHeight="1">
      <c r="A67" s="5"/>
      <c r="B67" s="240"/>
      <c r="C67" s="241"/>
      <c r="D67" s="241"/>
      <c r="E67" s="242"/>
    </row>
    <row r="68" spans="1:5" ht="18.75" customHeight="1">
      <c r="A68" s="5"/>
      <c r="B68" s="243"/>
      <c r="C68" s="244"/>
      <c r="D68" s="244"/>
      <c r="E68" s="245"/>
    </row>
    <row r="69" spans="1:5" ht="7.5" customHeight="1">
      <c r="A69" s="5"/>
      <c r="B69" s="82"/>
      <c r="C69" s="82"/>
      <c r="D69" s="82"/>
      <c r="E69" s="82"/>
    </row>
    <row r="70" spans="1:5" s="4" customFormat="1" ht="18.75" customHeight="1">
      <c r="A70" s="269" t="s">
        <v>17</v>
      </c>
      <c r="B70" s="80" t="s">
        <v>157</v>
      </c>
      <c r="C70" s="80"/>
      <c r="D70" s="80"/>
      <c r="E70" s="80"/>
    </row>
    <row r="71" spans="1:5" s="4" customFormat="1" ht="18.75" customHeight="1">
      <c r="A71" s="269"/>
      <c r="B71" s="169" t="s">
        <v>158</v>
      </c>
      <c r="C71" s="170"/>
      <c r="D71" s="170"/>
      <c r="E71" s="171"/>
    </row>
    <row r="72" spans="1:5" s="4" customFormat="1" ht="18.75" customHeight="1">
      <c r="A72" s="269"/>
      <c r="B72" s="172"/>
      <c r="C72" s="173"/>
      <c r="D72" s="173"/>
      <c r="E72" s="174"/>
    </row>
    <row r="73" spans="1:5" s="4" customFormat="1" ht="18.75" customHeight="1">
      <c r="A73" s="269"/>
      <c r="B73" s="172"/>
      <c r="C73" s="173"/>
      <c r="D73" s="173"/>
      <c r="E73" s="174"/>
    </row>
    <row r="74" spans="1:5" s="4" customFormat="1" ht="18.75" customHeight="1">
      <c r="A74" s="269"/>
      <c r="B74" s="172"/>
      <c r="C74" s="173"/>
      <c r="D74" s="173"/>
      <c r="E74" s="174"/>
    </row>
    <row r="75" spans="1:5" s="4" customFormat="1" ht="18.75" customHeight="1">
      <c r="A75" s="269"/>
      <c r="B75" s="172"/>
      <c r="C75" s="173"/>
      <c r="D75" s="173"/>
      <c r="E75" s="174"/>
    </row>
    <row r="76" spans="1:5" s="4" customFormat="1" ht="18.75" customHeight="1">
      <c r="A76" s="269"/>
      <c r="B76" s="172"/>
      <c r="C76" s="173"/>
      <c r="D76" s="173"/>
      <c r="E76" s="174"/>
    </row>
    <row r="77" spans="1:5" s="4" customFormat="1" ht="18.75" customHeight="1">
      <c r="A77" s="269"/>
      <c r="B77" s="172"/>
      <c r="C77" s="173"/>
      <c r="D77" s="173"/>
      <c r="E77" s="174"/>
    </row>
    <row r="78" spans="1:5" s="4" customFormat="1" ht="18.75" customHeight="1">
      <c r="A78" s="269"/>
      <c r="B78" s="172"/>
      <c r="C78" s="173"/>
      <c r="D78" s="173"/>
      <c r="E78" s="174"/>
    </row>
    <row r="79" spans="1:5" s="4" customFormat="1" ht="18.75" customHeight="1">
      <c r="A79" s="269"/>
      <c r="B79" s="172"/>
      <c r="C79" s="173"/>
      <c r="D79" s="173"/>
      <c r="E79" s="174"/>
    </row>
    <row r="80" spans="1:5" s="4" customFormat="1" ht="18.75" customHeight="1">
      <c r="A80" s="269"/>
      <c r="B80" s="172"/>
      <c r="C80" s="173"/>
      <c r="D80" s="173"/>
      <c r="E80" s="174"/>
    </row>
    <row r="81" spans="1:5" s="4" customFormat="1" ht="18.75" customHeight="1">
      <c r="A81" s="269"/>
      <c r="B81" s="172"/>
      <c r="C81" s="173"/>
      <c r="D81" s="173"/>
      <c r="E81" s="174"/>
    </row>
    <row r="82" spans="1:5" s="4" customFormat="1" ht="18.75" customHeight="1">
      <c r="A82" s="269"/>
      <c r="B82" s="172"/>
      <c r="C82" s="173"/>
      <c r="D82" s="173"/>
      <c r="E82" s="174"/>
    </row>
    <row r="83" spans="1:5" s="4" customFormat="1" ht="18.75" customHeight="1">
      <c r="A83" s="269"/>
      <c r="B83" s="172"/>
      <c r="C83" s="173"/>
      <c r="D83" s="173"/>
      <c r="E83" s="174"/>
    </row>
    <row r="84" spans="1:5" s="4" customFormat="1" ht="18.75" customHeight="1">
      <c r="A84" s="269"/>
      <c r="B84" s="172"/>
      <c r="C84" s="173"/>
      <c r="D84" s="173"/>
      <c r="E84" s="174"/>
    </row>
    <row r="85" spans="1:5" s="4" customFormat="1" ht="18.75" customHeight="1">
      <c r="A85" s="269"/>
      <c r="B85" s="172"/>
      <c r="C85" s="173"/>
      <c r="D85" s="173"/>
      <c r="E85" s="174"/>
    </row>
    <row r="86" spans="1:5" s="4" customFormat="1" ht="18.75" customHeight="1">
      <c r="A86" s="269"/>
      <c r="B86" s="172"/>
      <c r="C86" s="173"/>
      <c r="D86" s="173"/>
      <c r="E86" s="174"/>
    </row>
    <row r="87" spans="1:5" s="4" customFormat="1" ht="18.75" customHeight="1">
      <c r="A87" s="269"/>
      <c r="B87" s="172"/>
      <c r="C87" s="173"/>
      <c r="D87" s="173"/>
      <c r="E87" s="174"/>
    </row>
    <row r="88" spans="1:5" ht="18.75" customHeight="1">
      <c r="A88" s="5"/>
      <c r="B88" s="172"/>
      <c r="C88" s="173"/>
      <c r="D88" s="173"/>
      <c r="E88" s="174"/>
    </row>
    <row r="89" spans="1:5" ht="18.75" customHeight="1">
      <c r="A89" s="5"/>
      <c r="B89" s="175"/>
      <c r="C89" s="176"/>
      <c r="D89" s="176"/>
      <c r="E89" s="177"/>
    </row>
    <row r="90" spans="1:5" ht="7.5" customHeight="1">
      <c r="A90" s="5"/>
      <c r="B90" s="82"/>
      <c r="C90" s="82"/>
      <c r="D90" s="82"/>
      <c r="E90" s="82"/>
    </row>
    <row r="91" spans="1:5" s="4" customFormat="1" ht="18.75" customHeight="1">
      <c r="A91" s="269" t="s">
        <v>20</v>
      </c>
      <c r="B91" s="80" t="s">
        <v>159</v>
      </c>
      <c r="C91" s="80"/>
      <c r="D91" s="80"/>
      <c r="E91" s="80"/>
    </row>
    <row r="92" spans="1:5" s="4" customFormat="1" ht="18.75" customHeight="1">
      <c r="A92" s="269"/>
      <c r="B92" s="169" t="s">
        <v>160</v>
      </c>
      <c r="C92" s="170"/>
      <c r="D92" s="170"/>
      <c r="E92" s="171"/>
    </row>
    <row r="93" spans="1:5" s="4" customFormat="1" ht="18.75" customHeight="1">
      <c r="A93" s="269"/>
      <c r="B93" s="172"/>
      <c r="C93" s="173"/>
      <c r="D93" s="173"/>
      <c r="E93" s="174"/>
    </row>
    <row r="94" spans="1:5" s="4" customFormat="1" ht="18.75" customHeight="1">
      <c r="A94" s="269"/>
      <c r="B94" s="172"/>
      <c r="C94" s="173"/>
      <c r="D94" s="173"/>
      <c r="E94" s="174"/>
    </row>
    <row r="95" spans="1:5" s="4" customFormat="1" ht="18.75" customHeight="1">
      <c r="A95" s="269"/>
      <c r="B95" s="172"/>
      <c r="C95" s="173"/>
      <c r="D95" s="173"/>
      <c r="E95" s="174"/>
    </row>
    <row r="96" spans="1:5" s="4" customFormat="1" ht="18.75" customHeight="1">
      <c r="A96" s="269"/>
      <c r="B96" s="172"/>
      <c r="C96" s="173"/>
      <c r="D96" s="173"/>
      <c r="E96" s="174"/>
    </row>
    <row r="97" spans="1:5" s="4" customFormat="1" ht="18.75" customHeight="1">
      <c r="A97" s="269"/>
      <c r="B97" s="172"/>
      <c r="C97" s="173"/>
      <c r="D97" s="173"/>
      <c r="E97" s="174"/>
    </row>
    <row r="98" spans="1:5" s="4" customFormat="1" ht="18.75" customHeight="1">
      <c r="A98" s="269"/>
      <c r="B98" s="172"/>
      <c r="C98" s="173"/>
      <c r="D98" s="173"/>
      <c r="E98" s="174"/>
    </row>
    <row r="99" spans="1:5" s="4" customFormat="1" ht="18.75" customHeight="1">
      <c r="A99" s="269"/>
      <c r="B99" s="172"/>
      <c r="C99" s="173"/>
      <c r="D99" s="173"/>
      <c r="E99" s="174"/>
    </row>
    <row r="100" spans="1:5" s="4" customFormat="1" ht="18.75" customHeight="1">
      <c r="A100" s="269"/>
      <c r="B100" s="172"/>
      <c r="C100" s="173"/>
      <c r="D100" s="173"/>
      <c r="E100" s="174"/>
    </row>
    <row r="101" spans="1:5" s="4" customFormat="1" ht="18.75" customHeight="1">
      <c r="A101" s="269"/>
      <c r="B101" s="172"/>
      <c r="C101" s="173"/>
      <c r="D101" s="173"/>
      <c r="E101" s="174"/>
    </row>
    <row r="102" spans="1:5" s="4" customFormat="1" ht="18.75" customHeight="1">
      <c r="A102" s="269"/>
      <c r="B102" s="172"/>
      <c r="C102" s="173"/>
      <c r="D102" s="173"/>
      <c r="E102" s="174"/>
    </row>
    <row r="103" spans="1:5" s="4" customFormat="1" ht="18.75" customHeight="1">
      <c r="A103" s="269"/>
      <c r="B103" s="172"/>
      <c r="C103" s="173"/>
      <c r="D103" s="173"/>
      <c r="E103" s="174"/>
    </row>
    <row r="104" spans="1:5" s="4" customFormat="1" ht="18.75" customHeight="1">
      <c r="A104" s="269"/>
      <c r="B104" s="172"/>
      <c r="C104" s="173"/>
      <c r="D104" s="173"/>
      <c r="E104" s="174"/>
    </row>
    <row r="105" spans="1:5" s="4" customFormat="1" ht="18.75" customHeight="1">
      <c r="A105" s="269"/>
      <c r="B105" s="172"/>
      <c r="C105" s="173"/>
      <c r="D105" s="173"/>
      <c r="E105" s="174"/>
    </row>
    <row r="106" spans="1:5" s="4" customFormat="1" ht="18.75" customHeight="1">
      <c r="A106" s="269"/>
      <c r="B106" s="172"/>
      <c r="C106" s="173"/>
      <c r="D106" s="173"/>
      <c r="E106" s="174"/>
    </row>
    <row r="107" spans="1:5" s="4" customFormat="1" ht="18.75" customHeight="1">
      <c r="A107" s="269"/>
      <c r="B107" s="172"/>
      <c r="C107" s="173"/>
      <c r="D107" s="173"/>
      <c r="E107" s="174"/>
    </row>
    <row r="108" spans="1:5" s="4" customFormat="1" ht="18.75" customHeight="1">
      <c r="A108" s="269"/>
      <c r="B108" s="172"/>
      <c r="C108" s="173"/>
      <c r="D108" s="173"/>
      <c r="E108" s="174"/>
    </row>
    <row r="109" spans="1:5" s="4" customFormat="1" ht="18.75" customHeight="1">
      <c r="A109" s="269"/>
      <c r="B109" s="172"/>
      <c r="C109" s="173"/>
      <c r="D109" s="173"/>
      <c r="E109" s="174"/>
    </row>
    <row r="110" spans="1:5" ht="18.75" customHeight="1">
      <c r="A110" s="5"/>
      <c r="B110" s="172"/>
      <c r="C110" s="173"/>
      <c r="D110" s="173"/>
      <c r="E110" s="174"/>
    </row>
    <row r="111" spans="1:5" ht="18.75" customHeight="1">
      <c r="A111" s="5"/>
      <c r="B111" s="175"/>
      <c r="C111" s="176"/>
      <c r="D111" s="176"/>
      <c r="E111" s="177"/>
    </row>
    <row r="112" spans="1:5" ht="7.5" customHeight="1">
      <c r="A112" s="5"/>
      <c r="B112" s="82"/>
      <c r="C112" s="82"/>
      <c r="D112" s="82"/>
      <c r="E112" s="82"/>
    </row>
    <row r="113" spans="1:5" s="4" customFormat="1" ht="18.75" customHeight="1">
      <c r="A113" s="269" t="s">
        <v>25</v>
      </c>
      <c r="B113" s="228" t="s">
        <v>161</v>
      </c>
      <c r="C113" s="228"/>
      <c r="D113" s="228"/>
      <c r="E113" s="228"/>
    </row>
    <row r="114" spans="1:5" ht="18.75" customHeight="1">
      <c r="A114" s="5"/>
      <c r="B114" s="169" t="s">
        <v>162</v>
      </c>
      <c r="C114" s="170"/>
      <c r="D114" s="170"/>
      <c r="E114" s="171"/>
    </row>
    <row r="115" spans="1:5" ht="18.75" customHeight="1">
      <c r="A115" s="5"/>
      <c r="B115" s="172"/>
      <c r="C115" s="173"/>
      <c r="D115" s="173"/>
      <c r="E115" s="174"/>
    </row>
    <row r="116" spans="1:5" ht="18.75" customHeight="1">
      <c r="A116" s="5"/>
      <c r="B116" s="172"/>
      <c r="C116" s="173"/>
      <c r="D116" s="173"/>
      <c r="E116" s="174"/>
    </row>
    <row r="117" spans="1:5" ht="18.75" customHeight="1">
      <c r="A117" s="5"/>
      <c r="B117" s="172"/>
      <c r="C117" s="173"/>
      <c r="D117" s="173"/>
      <c r="E117" s="174"/>
    </row>
    <row r="118" spans="1:5" ht="18.75" customHeight="1">
      <c r="A118" s="5"/>
      <c r="B118" s="172"/>
      <c r="C118" s="173"/>
      <c r="D118" s="173"/>
      <c r="E118" s="174"/>
    </row>
    <row r="119" spans="1:5" ht="18.75" customHeight="1">
      <c r="A119" s="5"/>
      <c r="B119" s="172"/>
      <c r="C119" s="173"/>
      <c r="D119" s="173"/>
      <c r="E119" s="174"/>
    </row>
    <row r="120" spans="1:5" ht="18.75" customHeight="1">
      <c r="A120" s="5"/>
      <c r="B120" s="172"/>
      <c r="C120" s="173"/>
      <c r="D120" s="173"/>
      <c r="E120" s="174"/>
    </row>
    <row r="121" spans="1:5" ht="18.75" customHeight="1">
      <c r="A121" s="5"/>
      <c r="B121" s="172"/>
      <c r="C121" s="173"/>
      <c r="D121" s="173"/>
      <c r="E121" s="174"/>
    </row>
    <row r="122" spans="1:5" ht="18.75" customHeight="1">
      <c r="A122" s="5"/>
      <c r="B122" s="172"/>
      <c r="C122" s="173"/>
      <c r="D122" s="173"/>
      <c r="E122" s="174"/>
    </row>
    <row r="123" spans="1:5" ht="18.75" customHeight="1">
      <c r="A123" s="5"/>
      <c r="B123" s="172"/>
      <c r="C123" s="173"/>
      <c r="D123" s="173"/>
      <c r="E123" s="174"/>
    </row>
    <row r="124" spans="1:5" ht="18.75" customHeight="1">
      <c r="A124" s="5"/>
      <c r="B124" s="172"/>
      <c r="C124" s="173"/>
      <c r="D124" s="173"/>
      <c r="E124" s="174"/>
    </row>
    <row r="125" spans="1:5" ht="18.75" customHeight="1">
      <c r="A125" s="5"/>
      <c r="B125" s="172"/>
      <c r="C125" s="173"/>
      <c r="D125" s="173"/>
      <c r="E125" s="174"/>
    </row>
    <row r="126" spans="1:5" ht="18.75" customHeight="1">
      <c r="A126" s="5"/>
      <c r="B126" s="172"/>
      <c r="C126" s="173"/>
      <c r="D126" s="173"/>
      <c r="E126" s="174"/>
    </row>
    <row r="127" spans="1:5" ht="18.75" customHeight="1">
      <c r="A127" s="5"/>
      <c r="B127" s="172"/>
      <c r="C127" s="173"/>
      <c r="D127" s="173"/>
      <c r="E127" s="174"/>
    </row>
    <row r="128" spans="1:5" ht="18.75" customHeight="1">
      <c r="A128" s="5"/>
      <c r="B128" s="172"/>
      <c r="C128" s="173"/>
      <c r="D128" s="173"/>
      <c r="E128" s="174"/>
    </row>
    <row r="129" spans="1:5" ht="18.75" customHeight="1">
      <c r="A129" s="5"/>
      <c r="B129" s="172"/>
      <c r="C129" s="173"/>
      <c r="D129" s="173"/>
      <c r="E129" s="174"/>
    </row>
    <row r="130" spans="1:5" ht="18.75" customHeight="1">
      <c r="A130" s="5"/>
      <c r="B130" s="172"/>
      <c r="C130" s="173"/>
      <c r="D130" s="173"/>
      <c r="E130" s="174"/>
    </row>
    <row r="131" spans="1:5" ht="18.75" customHeight="1">
      <c r="A131" s="5"/>
      <c r="B131" s="172"/>
      <c r="C131" s="173"/>
      <c r="D131" s="173"/>
      <c r="E131" s="174"/>
    </row>
    <row r="132" spans="1:5" ht="18.75" customHeight="1">
      <c r="A132" s="5"/>
      <c r="B132" s="172"/>
      <c r="C132" s="173"/>
      <c r="D132" s="173"/>
      <c r="E132" s="174"/>
    </row>
    <row r="133" spans="1:5" ht="18.75" customHeight="1">
      <c r="A133" s="5"/>
      <c r="B133" s="175"/>
      <c r="C133" s="176"/>
      <c r="D133" s="176"/>
      <c r="E133" s="177"/>
    </row>
    <row r="134" spans="1:5" ht="7.5" customHeight="1">
      <c r="A134" s="5"/>
      <c r="B134" s="9"/>
      <c r="C134" s="9"/>
      <c r="D134" s="9"/>
      <c r="E134" s="9"/>
    </row>
    <row r="135" spans="1:5" ht="18.75" customHeight="1">
      <c r="A135" s="5"/>
      <c r="B135" s="5"/>
      <c r="C135" s="5"/>
      <c r="D135" s="5"/>
      <c r="E135" s="5"/>
    </row>
    <row r="136" spans="1:5" ht="18.75" customHeight="1">
      <c r="A136" s="5"/>
      <c r="B136" s="5"/>
      <c r="C136" s="5"/>
      <c r="D136" s="5"/>
      <c r="E136" s="5"/>
    </row>
    <row r="137" spans="1:5" ht="18.75" customHeight="1">
      <c r="A137" s="5"/>
      <c r="B137" s="5"/>
      <c r="C137" s="5"/>
      <c r="D137" s="5"/>
      <c r="E137" s="5"/>
    </row>
    <row r="138" spans="1:5" ht="18.75" customHeight="1">
      <c r="A138" s="5"/>
      <c r="B138" s="5"/>
      <c r="C138" s="5"/>
      <c r="D138" s="5"/>
      <c r="E138" s="5"/>
    </row>
    <row r="139" spans="1:5" ht="18.75" customHeight="1">
      <c r="A139" s="5"/>
      <c r="B139" s="5"/>
      <c r="C139" s="5"/>
      <c r="D139" s="5"/>
      <c r="E139" s="5"/>
    </row>
    <row r="140" spans="1:5" ht="18.75" customHeight="1">
      <c r="A140" s="5"/>
      <c r="B140" s="5"/>
      <c r="C140" s="5"/>
      <c r="D140" s="5"/>
      <c r="E140" s="5"/>
    </row>
    <row r="141" spans="1:5" ht="18.75" customHeight="1">
      <c r="A141" s="5"/>
      <c r="B141" s="5"/>
      <c r="C141" s="5"/>
      <c r="D141" s="5"/>
      <c r="E141" s="5"/>
    </row>
    <row r="142" spans="1:5" ht="18.75" customHeight="1">
      <c r="A142" s="5"/>
      <c r="B142" s="5"/>
      <c r="C142" s="5"/>
      <c r="D142" s="5"/>
      <c r="E142" s="5"/>
    </row>
    <row r="143" spans="1:5" ht="18.75" customHeight="1">
      <c r="A143" s="5"/>
      <c r="B143" s="5"/>
      <c r="C143" s="5"/>
      <c r="D143" s="5"/>
      <c r="E143" s="5"/>
    </row>
    <row r="144" spans="1:5" ht="18.75" customHeight="1">
      <c r="A144" s="5"/>
      <c r="B144" s="5"/>
      <c r="C144" s="5"/>
      <c r="D144" s="5"/>
      <c r="E144" s="5"/>
    </row>
    <row r="145" spans="1:5" ht="18.75" customHeight="1">
      <c r="A145" s="5"/>
      <c r="B145" s="5"/>
      <c r="C145" s="5"/>
      <c r="D145" s="5"/>
      <c r="E145" s="5"/>
    </row>
    <row r="146" spans="1:5" ht="18.75" customHeight="1">
      <c r="A146" s="5"/>
      <c r="B146" s="5"/>
      <c r="C146" s="5"/>
      <c r="D146" s="5"/>
      <c r="E146" s="5"/>
    </row>
    <row r="147" spans="1:5" ht="14.25">
      <c r="A147" s="5"/>
      <c r="B147" s="5"/>
      <c r="C147" s="5"/>
      <c r="D147" s="5"/>
      <c r="E147" s="5"/>
    </row>
    <row r="148" spans="1:5" ht="7.5" customHeight="1">
      <c r="A148" s="3"/>
      <c r="B148" s="3"/>
      <c r="C148" s="3"/>
      <c r="D148" s="3"/>
      <c r="E148" s="3"/>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2"/>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showZeros="0" tabSelected="1" topLeftCell="A16" zoomScale="85" zoomScaleNormal="85" workbookViewId="0">
      <selection activeCell="H20" sqref="H20:J20"/>
    </sheetView>
  </sheetViews>
  <sheetFormatPr defaultColWidth="11.375" defaultRowHeight="22.5" customHeight="1"/>
  <cols>
    <col min="1" max="3" width="2.5" style="1" customWidth="1"/>
    <col min="4" max="4" width="22.5" style="1" customWidth="1"/>
    <col min="5" max="5" width="21.125" style="1" customWidth="1"/>
    <col min="6" max="7" width="7.5" style="1" customWidth="1"/>
    <col min="8" max="8" width="32.5" style="1" customWidth="1"/>
    <col min="9" max="9" width="24.75" style="1" customWidth="1"/>
    <col min="10" max="10" width="6.125" style="1" customWidth="1"/>
    <col min="11" max="11" width="4.125" style="1" customWidth="1"/>
    <col min="12" max="16384" width="11.375" style="1"/>
  </cols>
  <sheetData>
    <row r="1" spans="1:10" ht="18.75" customHeight="1">
      <c r="A1" s="13"/>
      <c r="B1" s="13"/>
      <c r="C1" s="13"/>
      <c r="D1" s="13"/>
      <c r="E1" s="13"/>
      <c r="F1" s="13"/>
      <c r="G1" s="13"/>
      <c r="H1" s="13"/>
      <c r="I1" s="13"/>
      <c r="J1" s="24" t="s">
        <v>163</v>
      </c>
    </row>
    <row r="2" spans="1:10" ht="18.75" customHeight="1">
      <c r="A2" s="13"/>
      <c r="B2" s="13"/>
      <c r="C2" s="13"/>
      <c r="D2" s="24"/>
      <c r="E2" s="13"/>
      <c r="F2" s="13"/>
      <c r="G2" s="13"/>
      <c r="H2" s="24" t="s">
        <v>164</v>
      </c>
      <c r="I2" s="132" t="s">
        <v>4</v>
      </c>
      <c r="J2" s="132"/>
    </row>
    <row r="3" spans="1:10" ht="18.75" customHeight="1">
      <c r="A3" s="122" t="s">
        <v>165</v>
      </c>
      <c r="B3" s="122"/>
      <c r="C3" s="122"/>
      <c r="D3" s="122"/>
      <c r="E3" s="122"/>
      <c r="F3" s="122"/>
      <c r="G3" s="122"/>
      <c r="H3" s="122"/>
      <c r="I3" s="122"/>
      <c r="J3" s="122"/>
    </row>
    <row r="4" spans="1:10" ht="7.5" customHeight="1">
      <c r="A4" s="13"/>
      <c r="B4" s="100"/>
      <c r="C4" s="100"/>
      <c r="D4" s="265"/>
      <c r="E4" s="265"/>
      <c r="F4" s="265"/>
      <c r="G4" s="265"/>
      <c r="H4" s="265"/>
      <c r="I4" s="265"/>
      <c r="J4" s="265"/>
    </row>
    <row r="5" spans="1:10" ht="18.75" customHeight="1">
      <c r="A5" s="13" t="s">
        <v>2</v>
      </c>
      <c r="B5" s="14" t="s">
        <v>166</v>
      </c>
      <c r="C5" s="100"/>
      <c r="D5" s="100"/>
      <c r="E5" s="100"/>
      <c r="F5" s="100"/>
      <c r="G5" s="100"/>
      <c r="H5" s="100"/>
      <c r="I5" s="100"/>
      <c r="J5" s="100"/>
    </row>
    <row r="6" spans="1:10" ht="18.75" customHeight="1">
      <c r="A6" s="13"/>
      <c r="B6" s="114" t="s">
        <v>167</v>
      </c>
      <c r="C6" s="115"/>
      <c r="D6" s="116"/>
      <c r="E6" s="115" t="s">
        <v>168</v>
      </c>
      <c r="F6" s="115"/>
      <c r="G6" s="115"/>
      <c r="H6" s="115"/>
      <c r="I6" s="115"/>
      <c r="J6" s="116"/>
    </row>
    <row r="7" spans="1:10" ht="18.75" customHeight="1">
      <c r="A7" s="13"/>
      <c r="B7" s="18" t="s">
        <v>169</v>
      </c>
      <c r="C7" s="64"/>
      <c r="D7" s="65"/>
      <c r="E7" s="20"/>
      <c r="F7" s="20"/>
      <c r="G7" s="20"/>
      <c r="H7" s="20"/>
      <c r="I7" s="64"/>
      <c r="J7" s="65"/>
    </row>
    <row r="8" spans="1:10" ht="202.5" customHeight="1">
      <c r="A8" s="13"/>
      <c r="B8" s="66"/>
      <c r="C8" s="251" t="s">
        <v>170</v>
      </c>
      <c r="D8" s="252"/>
      <c r="E8" s="264" t="s">
        <v>171</v>
      </c>
      <c r="F8" s="253"/>
      <c r="G8" s="253"/>
      <c r="H8" s="253"/>
      <c r="I8" s="253"/>
      <c r="J8" s="254"/>
    </row>
    <row r="9" spans="1:10" ht="202.5" customHeight="1">
      <c r="A9" s="13"/>
      <c r="B9" s="66"/>
      <c r="C9" s="249" t="s">
        <v>172</v>
      </c>
      <c r="D9" s="250"/>
      <c r="E9" s="264" t="s">
        <v>173</v>
      </c>
      <c r="F9" s="253"/>
      <c r="G9" s="253"/>
      <c r="H9" s="253"/>
      <c r="I9" s="253"/>
      <c r="J9" s="254"/>
    </row>
    <row r="10" spans="1:10" ht="172.5" customHeight="1">
      <c r="A10" s="13"/>
      <c r="B10" s="66"/>
      <c r="C10" s="251" t="s">
        <v>174</v>
      </c>
      <c r="D10" s="252"/>
      <c r="E10" s="264" t="s">
        <v>175</v>
      </c>
      <c r="F10" s="253"/>
      <c r="G10" s="253"/>
      <c r="H10" s="253"/>
      <c r="I10" s="253"/>
      <c r="J10" s="254"/>
    </row>
    <row r="11" spans="1:10" ht="172.5" customHeight="1">
      <c r="A11" s="13"/>
      <c r="B11" s="66"/>
      <c r="C11" s="251" t="s">
        <v>176</v>
      </c>
      <c r="D11" s="252"/>
      <c r="E11" s="264" t="s">
        <v>177</v>
      </c>
      <c r="F11" s="253"/>
      <c r="G11" s="253"/>
      <c r="H11" s="253"/>
      <c r="I11" s="253"/>
      <c r="J11" s="254"/>
    </row>
    <row r="12" spans="1:10" ht="172.5" customHeight="1">
      <c r="A12" s="13"/>
      <c r="B12" s="66"/>
      <c r="C12" s="251" t="s">
        <v>178</v>
      </c>
      <c r="D12" s="252"/>
      <c r="E12" s="264" t="s">
        <v>179</v>
      </c>
      <c r="F12" s="253"/>
      <c r="G12" s="253"/>
      <c r="H12" s="253"/>
      <c r="I12" s="253"/>
      <c r="J12" s="254"/>
    </row>
    <row r="13" spans="1:10" ht="18.75" customHeight="1">
      <c r="A13" s="13"/>
      <c r="B13" s="67" t="s">
        <v>180</v>
      </c>
      <c r="C13" s="68"/>
      <c r="D13" s="69"/>
      <c r="E13" s="70"/>
      <c r="F13" s="70"/>
      <c r="G13" s="70"/>
      <c r="H13" s="70"/>
      <c r="I13" s="70"/>
      <c r="J13" s="71"/>
    </row>
    <row r="14" spans="1:10" ht="255" customHeight="1">
      <c r="A14" s="13"/>
      <c r="B14" s="66"/>
      <c r="C14" s="251" t="s">
        <v>181</v>
      </c>
      <c r="D14" s="252"/>
      <c r="E14" s="253" t="s">
        <v>182</v>
      </c>
      <c r="F14" s="253"/>
      <c r="G14" s="253"/>
      <c r="H14" s="253"/>
      <c r="I14" s="253"/>
      <c r="J14" s="254"/>
    </row>
    <row r="15" spans="1:10" ht="255" customHeight="1">
      <c r="A15" s="13"/>
      <c r="B15" s="66"/>
      <c r="C15" s="255" t="s">
        <v>183</v>
      </c>
      <c r="D15" s="256"/>
      <c r="E15" s="257" t="s">
        <v>184</v>
      </c>
      <c r="F15" s="257"/>
      <c r="G15" s="257"/>
      <c r="H15" s="257"/>
      <c r="I15" s="257"/>
      <c r="J15" s="258"/>
    </row>
    <row r="16" spans="1:10" ht="232.5" customHeight="1">
      <c r="A16" s="13"/>
      <c r="B16" s="259" t="s">
        <v>185</v>
      </c>
      <c r="C16" s="260"/>
      <c r="D16" s="252"/>
      <c r="E16" s="253" t="s">
        <v>186</v>
      </c>
      <c r="F16" s="253"/>
      <c r="G16" s="253"/>
      <c r="H16" s="253"/>
      <c r="I16" s="253"/>
      <c r="J16" s="254"/>
    </row>
    <row r="17" spans="1:10" ht="232.5" customHeight="1">
      <c r="A17" s="13"/>
      <c r="B17" s="246" t="s">
        <v>187</v>
      </c>
      <c r="C17" s="247"/>
      <c r="D17" s="248"/>
      <c r="E17" s="244" t="s">
        <v>188</v>
      </c>
      <c r="F17" s="244"/>
      <c r="G17" s="244"/>
      <c r="H17" s="244"/>
      <c r="I17" s="244"/>
      <c r="J17" s="245"/>
    </row>
    <row r="18" spans="1:10" ht="7.5" customHeight="1">
      <c r="A18" s="13"/>
      <c r="B18" s="100"/>
      <c r="C18" s="100"/>
      <c r="D18" s="100"/>
      <c r="E18" s="100"/>
      <c r="F18" s="100"/>
      <c r="G18" s="100"/>
      <c r="H18" s="100"/>
      <c r="I18" s="100"/>
      <c r="J18" s="100"/>
    </row>
    <row r="19" spans="1:10" ht="18.75" customHeight="1">
      <c r="A19" s="13"/>
      <c r="B19" s="14"/>
      <c r="C19" s="100"/>
      <c r="D19" s="100"/>
      <c r="E19" s="100"/>
      <c r="F19" s="72"/>
      <c r="G19" s="72"/>
      <c r="H19" s="73" t="s">
        <v>189</v>
      </c>
      <c r="I19" s="74"/>
      <c r="J19" s="75"/>
    </row>
    <row r="20" spans="1:10" ht="18.75" customHeight="1">
      <c r="A20" s="20" t="s">
        <v>5</v>
      </c>
      <c r="B20" s="76" t="s">
        <v>190</v>
      </c>
      <c r="C20" s="77"/>
      <c r="D20" s="77"/>
      <c r="E20" s="77"/>
      <c r="F20" s="78" t="s">
        <v>191</v>
      </c>
      <c r="G20" s="72"/>
      <c r="H20" s="261" t="s">
        <v>139</v>
      </c>
      <c r="I20" s="262"/>
      <c r="J20" s="263"/>
    </row>
    <row r="21" spans="1:10" ht="22.5" customHeight="1">
      <c r="A21" s="13"/>
      <c r="B21" s="100"/>
      <c r="C21" s="100"/>
      <c r="D21" s="100"/>
      <c r="E21" s="100"/>
      <c r="F21" s="100"/>
      <c r="G21" s="100"/>
      <c r="H21" s="100"/>
      <c r="I21" s="100"/>
      <c r="J21" s="100"/>
    </row>
    <row r="22" spans="1:10" ht="22.5" customHeight="1">
      <c r="A22" s="266"/>
      <c r="B22" s="34"/>
      <c r="C22" s="34"/>
      <c r="D22" s="34"/>
      <c r="E22" s="35"/>
      <c r="F22" s="35"/>
      <c r="G22" s="35"/>
      <c r="H22" s="35"/>
      <c r="I22" s="35"/>
      <c r="J22" s="35"/>
    </row>
    <row r="23" spans="1:10" ht="22.5" customHeight="1">
      <c r="A23" s="266"/>
      <c r="B23" s="34"/>
      <c r="C23" s="34"/>
      <c r="D23" s="34"/>
      <c r="E23" s="35"/>
      <c r="F23" s="35"/>
      <c r="G23" s="35"/>
      <c r="H23" s="35"/>
      <c r="I23" s="35"/>
      <c r="J23" s="35"/>
    </row>
    <row r="24" spans="1:10" ht="22.5" customHeight="1">
      <c r="A24" s="266"/>
      <c r="B24" s="34"/>
      <c r="C24" s="34"/>
      <c r="D24" s="34"/>
      <c r="E24" s="35"/>
      <c r="F24" s="35"/>
      <c r="G24" s="35"/>
      <c r="H24" s="35"/>
      <c r="I24" s="35"/>
      <c r="J24" s="35"/>
    </row>
    <row r="25" spans="1:10" ht="22.5" customHeight="1">
      <c r="A25" s="266"/>
      <c r="B25" s="34"/>
      <c r="C25" s="34"/>
      <c r="D25" s="34"/>
      <c r="E25" s="35"/>
      <c r="F25" s="35"/>
      <c r="G25" s="35"/>
      <c r="H25" s="35"/>
      <c r="I25" s="35"/>
      <c r="J25" s="35"/>
    </row>
    <row r="26" spans="1:10" ht="22.5" customHeight="1">
      <c r="A26" s="266"/>
      <c r="B26" s="271"/>
      <c r="C26" s="271"/>
      <c r="D26" s="271"/>
      <c r="E26" s="271"/>
      <c r="F26" s="271"/>
      <c r="G26" s="271"/>
      <c r="H26" s="271"/>
      <c r="I26" s="271"/>
      <c r="J26" s="271"/>
    </row>
    <row r="27" spans="1:10" ht="22.5" customHeight="1">
      <c r="A27" s="266"/>
      <c r="B27" s="271"/>
      <c r="C27" s="271"/>
      <c r="D27" s="271"/>
      <c r="E27" s="271"/>
      <c r="F27" s="271"/>
      <c r="G27" s="271"/>
      <c r="H27" s="271"/>
      <c r="I27" s="271"/>
      <c r="J27" s="271"/>
    </row>
    <row r="28" spans="1:10" ht="22.5" customHeight="1">
      <c r="A28" s="266"/>
      <c r="B28" s="271"/>
      <c r="C28" s="271"/>
      <c r="D28" s="271"/>
      <c r="E28" s="271"/>
      <c r="F28" s="271"/>
      <c r="G28" s="271"/>
      <c r="H28" s="271"/>
      <c r="I28" s="271"/>
      <c r="J28" s="271"/>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2"/>
  <dataValidations count="2">
    <dataValidation type="list" allowBlank="1" showInputMessage="1" showErrorMessage="1" sqref="F19:G19" xr:uid="{00000000-0002-0000-0500-000000000000}">
      <formula1>#REF!</formula1>
    </dataValidation>
    <dataValidation type="list" allowBlank="1" showInputMessage="1" showErrorMessage="1" sqref="F20" xr:uid="{00000000-0002-0000-0500-000001000000}">
      <formula1>"有,無,予定"</formula1>
    </dataValidation>
  </dataValidations>
  <hyperlinks>
    <hyperlink ref="H20" r:id="rId1" xr:uid="{3CE8DCD3-FBDA-4CD6-A778-6E185653B006}"/>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木谷慎一</cp:lastModifiedBy>
  <cp:revision/>
  <dcterms:created xsi:type="dcterms:W3CDTF">2011-06-14T05:32:50Z</dcterms:created>
  <dcterms:modified xsi:type="dcterms:W3CDTF">2022-02-22T09:38:26Z</dcterms:modified>
  <cp:category/>
  <cp:contentStatus/>
</cp:coreProperties>
</file>