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24226"/>
  <mc:AlternateContent xmlns:mc="http://schemas.openxmlformats.org/markup-compatibility/2006">
    <mc:Choice Requires="x15">
      <x15ac:absPath xmlns:x15ac="http://schemas.microsoft.com/office/spreadsheetml/2010/11/ac" url="\\jimfs.center.wakayama-u.ac.jp\STAFF\学術情報＿データインテリジェンス\部門\R3\リテラシーレベル認定制度\MEXT再提出\"/>
    </mc:Choice>
  </mc:AlternateContent>
  <xr:revisionPtr revIDLastSave="0" documentId="13_ncr:1_{DC85A04C-CEDC-4421-A182-2D09FEF4623A}" xr6:coauthVersionLast="36" xr6:coauthVersionMax="46" xr10:uidLastSave="{00000000-0000-0000-0000-000000000000}"/>
  <bookViews>
    <workbookView xWindow="29835" yWindow="330" windowWidth="20640" windowHeight="14070" tabRatio="885" firstSheet="2" activeTab="5" xr2:uid="{00000000-000D-0000-FFFF-FFFF00000000}"/>
  </bookViews>
  <sheets>
    <sheet name="様式１　大学等概要" sheetId="8" r:id="rId1"/>
    <sheet name="様式２－１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不要）様式７　特色ある取組" sheetId="29" r:id="rId7"/>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6">'（不要）様式７　特色ある取組'!$A$1:$F$130</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R8" i="31" s="1"/>
  <c r="Q28" i="31" l="1"/>
  <c r="R28" i="31" s="1"/>
</calcChain>
</file>

<file path=xl/sharedStrings.xml><?xml version="1.0" encoding="utf-8"?>
<sst xmlns="http://schemas.openxmlformats.org/spreadsheetml/2006/main" count="270" uniqueCount="203">
  <si>
    <t>教員数</t>
    <rPh sb="0" eb="2">
      <t>キョウイン</t>
    </rPh>
    <rPh sb="2" eb="3">
      <t>スウ</t>
    </rPh>
    <phoneticPr fontId="1"/>
  </si>
  <si>
    <t>所属部署名</t>
    <rPh sb="0" eb="2">
      <t>ショゾク</t>
    </rPh>
    <rPh sb="2" eb="4">
      <t>ブショ</t>
    </rPh>
    <rPh sb="4" eb="5">
      <t>メイ</t>
    </rPh>
    <phoneticPr fontId="1"/>
  </si>
  <si>
    <t>連絡先</t>
    <rPh sb="0" eb="3">
      <t>レンラクサキ</t>
    </rPh>
    <phoneticPr fontId="1"/>
  </si>
  <si>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</si>
  <si>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</si>
  <si>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</si>
  <si>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</si>
  <si>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</si>
  <si>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</si>
  <si>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</si>
  <si>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</si>
  <si>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</si>
  <si>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</si>
  <si>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</si>
  <si>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</si>
  <si>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</si>
  <si>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</si>
  <si>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</si>
  <si>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</si>
  <si>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</si>
  <si>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</si>
  <si>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</si>
  <si>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</si>
  <si>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</si>
  <si>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</si>
  <si>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</si>
  <si>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</si>
  <si>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</si>
  <si>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</si>
  <si>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</si>
  <si>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</si>
  <si>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</si>
  <si>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</si>
  <si>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</si>
  <si>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</si>
  <si>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</si>
  <si>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</si>
  <si>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</si>
  <si>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</si>
  <si>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</si>
  <si>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</si>
  <si>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</si>
  <si>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</si>
  <si>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</si>
  <si>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</si>
  <si>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</si>
  <si>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</si>
  <si>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</si>
  <si>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</si>
  <si>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</si>
  <si>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</si>
  <si>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</si>
  <si>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</si>
  <si>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</si>
  <si>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</si>
  <si>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</si>
  <si>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</si>
  <si>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</si>
  <si>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</si>
  <si>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</si>
  <si>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</si>
  <si>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</si>
  <si>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</si>
  <si>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</si>
  <si>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</si>
  <si>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</si>
  <si>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</si>
  <si>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</si>
  <si>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</si>
  <si>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</si>
  <si>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</si>
  <si>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</si>
  <si>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</si>
  <si>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</si>
  <si>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</si>
  <si>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</si>
  <si>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</si>
  <si>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</si>
  <si>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</si>
  <si>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</si>
  <si>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</si>
  <si>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</si>
  <si>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</si>
  <si>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</si>
  <si>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</si>
  <si>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</si>
  <si>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</si>
  <si>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</si>
  <si>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</si>
  <si>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</si>
  <si>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</si>
  <si>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</si>
  <si>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</si>
  <si>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</si>
  <si>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</si>
  <si>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</si>
  <si>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</si>
  <si>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</si>
  <si>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</si>
  <si>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</si>
  <si>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</si>
  <si>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</si>
  <si>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</si>
  <si>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</si>
  <si>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</si>
  <si>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</si>
  <si>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</si>
  <si>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</si>
  <si>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</si>
  <si>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</si>
  <si>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</si>
  <si>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</si>
  <si>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</si>
  <si>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</si>
  <si>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</si>
  <si>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</si>
  <si>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</si>
  <si>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</si>
  <si>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</si>
  <si>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</si>
  <si>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</si>
  <si>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</si>
  <si>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</si>
  <si>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</si>
  <si>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</si>
  <si>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</si>
  <si>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</si>
  <si>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</si>
  <si>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</si>
  <si>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</si>
  <si>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国立大学</t>
  </si>
  <si>
    <t>和歌山市栄谷930</t>
    <rPh sb="0" eb="4">
      <t>ワカヤマシ</t>
    </rPh>
    <rPh sb="4" eb="6">
      <t>サカエダニ</t>
    </rPh>
    <phoneticPr fontId="1"/>
  </si>
  <si>
    <t>データ・インテリジェンス教育研究部門長</t>
    <rPh sb="12" eb="16">
      <t>キョウイクケンキュウ</t>
    </rPh>
    <rPh sb="16" eb="19">
      <t>ブモンチョウ</t>
    </rPh>
    <phoneticPr fontId="1"/>
  </si>
  <si>
    <t>認定教育プログラム</t>
  </si>
  <si>
    <t>学部・学科によって、修了要件は相違しない</t>
  </si>
  <si>
    <t>データサイエンスへの誘いA</t>
    <rPh sb="10" eb="11">
      <t>イザナ</t>
    </rPh>
    <phoneticPr fontId="1"/>
  </si>
  <si>
    <t>データサイエンスへの誘いB</t>
    <rPh sb="10" eb="11">
      <t>イザナ</t>
    </rPh>
    <phoneticPr fontId="1"/>
  </si>
  <si>
    <t>教育学部（教育）</t>
    <rPh sb="0" eb="4">
      <t>キョウイクガクブ</t>
    </rPh>
    <rPh sb="5" eb="7">
      <t>キョウイク</t>
    </rPh>
    <phoneticPr fontId="1"/>
  </si>
  <si>
    <t>経済学部（社会科学）</t>
    <rPh sb="0" eb="4">
      <t>ケイザイガクブ</t>
    </rPh>
    <phoneticPr fontId="1"/>
  </si>
  <si>
    <t>システム工学部（工学）</t>
    <rPh sb="8" eb="10">
      <t>コウガク</t>
    </rPh>
    <phoneticPr fontId="1"/>
  </si>
  <si>
    <t>観光学部（社会科学）</t>
    <rPh sb="0" eb="4">
      <t>カンコウガクブ</t>
    </rPh>
    <phoneticPr fontId="1"/>
  </si>
  <si>
    <t>データ・インテリジェンス教育研究部門教育カリキュラム検討部会</t>
    <phoneticPr fontId="1"/>
  </si>
  <si>
    <t>呉　海元</t>
    <rPh sb="0" eb="1">
      <t>ゴ</t>
    </rPh>
    <rPh sb="2" eb="3">
      <t>ウミ</t>
    </rPh>
    <rPh sb="3" eb="4">
      <t>モト</t>
    </rPh>
    <phoneticPr fontId="1"/>
  </si>
  <si>
    <t>有</t>
  </si>
  <si>
    <t>国立大学法人和歌山大学</t>
    <rPh sb="6" eb="11">
      <t>ワカヤマダイガク</t>
    </rPh>
    <phoneticPr fontId="1"/>
  </si>
  <si>
    <t>和歌山大学</t>
    <rPh sb="0" eb="5">
      <t>ワカヤ</t>
    </rPh>
    <phoneticPr fontId="1"/>
  </si>
  <si>
    <t>和歌山大学</t>
    <rPh sb="0" eb="5">
      <t>wカア</t>
    </rPh>
    <phoneticPr fontId="1"/>
  </si>
  <si>
    <t>和歌山大学</t>
    <rPh sb="0" eb="5">
      <t>ワカヤマ</t>
    </rPh>
    <phoneticPr fontId="1"/>
  </si>
  <si>
    <t>和歌山大学</t>
    <rPh sb="0" eb="5">
      <t>ワカ</t>
    </rPh>
    <phoneticPr fontId="1"/>
  </si>
  <si>
    <t>和歌山大学</t>
    <rPh sb="0" eb="5">
      <t>w</t>
    </rPh>
    <phoneticPr fontId="1"/>
  </si>
  <si>
    <t>データサイエンスへの誘い</t>
    <rPh sb="10" eb="11">
      <t>イザナ</t>
    </rPh>
    <phoneticPr fontId="1"/>
  </si>
  <si>
    <t>様式２－１</t>
    <rPh sb="0" eb="2">
      <t>ヨウシキ</t>
    </rPh>
    <phoneticPr fontId="1"/>
  </si>
  <si>
    <t>データ・インテリジェンス教育研究部門業務部会</t>
    <rPh sb="18" eb="20">
      <t>ギョウム</t>
    </rPh>
    <phoneticPr fontId="1"/>
  </si>
  <si>
    <t>吉野　孝</t>
    <rPh sb="0" eb="2">
      <t>ヨシノ</t>
    </rPh>
    <rPh sb="3" eb="4">
      <t>タカシ</t>
    </rPh>
    <phoneticPr fontId="1"/>
  </si>
  <si>
    <t>令和２年度</t>
    <rPh sb="0" eb="2">
      <t>レイワ</t>
    </rPh>
    <rPh sb="3" eb="5">
      <t>ネンド</t>
    </rPh>
    <phoneticPr fontId="1"/>
  </si>
  <si>
    <t>様式４</t>
    <rPh sb="0" eb="2">
      <t>ヨウシキ</t>
    </rPh>
    <phoneticPr fontId="1"/>
  </si>
  <si>
    <t>データサイエンスへの誘いA</t>
    <rPh sb="0" eb="2">
      <t>カモク</t>
    </rPh>
    <phoneticPr fontId="1"/>
  </si>
  <si>
    <t>データサイエンスへの誘いB</t>
    <phoneticPr fontId="1"/>
  </si>
  <si>
    <t>データサイエンスへの誘いB</t>
    <rPh sb="0" eb="2">
      <t>カモク</t>
    </rPh>
    <phoneticPr fontId="1"/>
  </si>
  <si>
    <t>・データサイエンスへの誘いA
・データサイエンスへの誘いB</t>
    <phoneticPr fontId="1"/>
  </si>
  <si>
    <t>・データサイエンスへの誘いB</t>
    <phoneticPr fontId="1"/>
  </si>
  <si>
    <t>・データサイエンスへの誘いA</t>
    <phoneticPr fontId="1"/>
  </si>
  <si>
    <t>講義は、普段よくみるサービスがデータにより実現されていることを説明することによって、好奇心を促すような内容となっている。また、和歌山県統計データ利活用センターの協力を得て、公的統計からわかる身近な内容や意外な内容についての講義もあり、学生にとっては興味の持てる内容となっている。
さらに、データサイエンスに携わる企業や社会で活躍している卒業生のメッセージを紹介することより、データサイエンスを学ぶことの意義を理解させるよう取り組んでいる。
それらに加えて「数理・データサイエンス・ＡＩ」関連講義をアピールするために、本学の生協と連携し、入学前の学生に対して、PR動画を作成し、配信している。</t>
    <rPh sb="0" eb="2">
      <t>コウギ</t>
    </rPh>
    <rPh sb="42" eb="45">
      <t>コウキシン</t>
    </rPh>
    <rPh sb="46" eb="47">
      <t>ウナガ</t>
    </rPh>
    <rPh sb="51" eb="53">
      <t>ナイヨウ</t>
    </rPh>
    <rPh sb="111" eb="113">
      <t>コウギ</t>
    </rPh>
    <rPh sb="117" eb="119">
      <t>ガクセイ</t>
    </rPh>
    <rPh sb="124" eb="126">
      <t>キョウミ</t>
    </rPh>
    <rPh sb="127" eb="128">
      <t>モ</t>
    </rPh>
    <rPh sb="130" eb="132">
      <t>ナイヨウ</t>
    </rPh>
    <rPh sb="153" eb="154">
      <t>タズサ</t>
    </rPh>
    <rPh sb="156" eb="158">
      <t>キギョウ</t>
    </rPh>
    <rPh sb="159" eb="161">
      <t>シャカイ</t>
    </rPh>
    <rPh sb="162" eb="164">
      <t>カツヤク</t>
    </rPh>
    <rPh sb="168" eb="171">
      <t>ソツギョウセイ</t>
    </rPh>
    <rPh sb="178" eb="180">
      <t>ショウカイ</t>
    </rPh>
    <rPh sb="196" eb="197">
      <t>マナ</t>
    </rPh>
    <rPh sb="201" eb="203">
      <t>イギ</t>
    </rPh>
    <rPh sb="204" eb="206">
      <t>リカイ</t>
    </rPh>
    <rPh sb="211" eb="212">
      <t>ト</t>
    </rPh>
    <rPh sb="213" eb="214">
      <t>ク</t>
    </rPh>
    <rPh sb="224" eb="225">
      <t>クワ</t>
    </rPh>
    <rPh sb="243" eb="245">
      <t>カンレン</t>
    </rPh>
    <rPh sb="245" eb="247">
      <t xml:space="preserve">コウギ </t>
    </rPh>
    <rPh sb="258" eb="260">
      <t xml:space="preserve">ホンガク </t>
    </rPh>
    <rPh sb="261" eb="263">
      <t xml:space="preserve">セイキョウト </t>
    </rPh>
    <rPh sb="264" eb="266">
      <t xml:space="preserve">レンケイ </t>
    </rPh>
    <rPh sb="268" eb="270">
      <t xml:space="preserve">ニュウガク </t>
    </rPh>
    <rPh sb="270" eb="271">
      <t xml:space="preserve">マエ </t>
    </rPh>
    <rPh sb="272" eb="274">
      <t xml:space="preserve">ガクセイ </t>
    </rPh>
    <rPh sb="275" eb="276">
      <t xml:space="preserve">タイシテ、 </t>
    </rPh>
    <rPh sb="281" eb="290">
      <t xml:space="preserve">ドウガハイシｎ </t>
    </rPh>
    <phoneticPr fontId="1"/>
  </si>
  <si>
    <t>令和2年度から、本教育プログラムの構成科目「データサイエンスへの誘いA/B」は、全学部1年生全員が必履修となっており、履修率100％を達成している。本学は、数理・データサイエンス・AI分野を学部・分野を問わない現代の必須学問とすることを全学的な共通認識としており、本科目を必履修の教養教育科目として開講している。
令和2年度の授業評価アンケートでは、「この授業に関して授業 1回あたりの時間外学習時間」の問いに対して、「3時間以上」「2〜3時間未満」「1〜2 時間未満」の受講生の回答を合わせると86％となった。本科目の課題設定等は適切であり、多くの学生が十分な学修時間を確保できていることを確認した。</t>
    <phoneticPr fontId="1"/>
  </si>
  <si>
    <t>上記の授業評価アンケート（期末）の他、中間アンケート、毎回の授業の小テストを通じて、受講生の理解度を随時確認、結果に応じて不断的に内容の見直しを行っている。同時双方向型ビデオ会議を用いたオンラインサポート、Moodleフォーラム（掲示板）及び専用メールアドレスを通じて、学生の理解向上をサポートしている。令和2年度の授業評価アンケートでは、「この授業で、新しい知識・考え方・スキル等が習得できましたか」の問いに対して、94％の学生が「どちらかというとそう思う」「確かにそう思う」と回答しており、ほとんどが、本プログラムを通じて新しい知識・考え方・スキル等を習得できたと考えていることを確認した。</t>
    <rPh sb="50" eb="52">
      <t>ズイジ</t>
    </rPh>
    <rPh sb="292" eb="294">
      <t>カクニン</t>
    </rPh>
    <phoneticPr fontId="1"/>
  </si>
  <si>
    <t>本教育プログラムの構成科目「データサイエンスへの誘いA/B」は、全学部1年生の必履修である。履修状況は、学習管理システム（和歌山大学Moodle）を用いて管理されており、受講者毎の講義演習進捗状況や課題への回答状況を一元的に把握することができる。受講者毎の動画教材の視聴状況は、配信サーバのログから詳細に確認することができる。
動画視聴等の技術的なトラブルも含めて、受講状況になんらかの不調が生じている受講生を学習管理システムのアクセス履歴から確認し、所属学部の教務担当と連携、対象者に個別連絡する等のサポートによって、遠隔授業の受講にあたっては学生に不安を感じさせない学修環境を実現している。</t>
    <rPh sb="260" eb="262">
      <t>エンカク</t>
    </rPh>
    <rPh sb="262" eb="264">
      <t>ジュギョウ</t>
    </rPh>
    <phoneticPr fontId="1"/>
  </si>
  <si>
    <t>受講者に授業評価アンケート（期末）を実施している。アンケートは、学習時間、理解度、分量、スピード、難易度、満足度等を定量的に問う項目、改善すべき点を記述形式で問う項目等で構成している。令和2年度の結果では84％の受講生が高い満足度を示している。データ・インテリジェンス教育研究部門業務部会では、それらのアンケートを分析することで、学生の理解度を把握し、本教育プログラムの改善に活用している。
加えて、データ・インテリジェンス教育研究部門の下に、全学部の教員が参画する「教育カリキュラム検討部会」を設置し、特定の学部・専門領域に偏らない分野横断的な見地から本教育プログラムの確認・改善に取り組んでいる。</t>
    <rPh sb="196" eb="197">
      <t>クワ</t>
    </rPh>
    <rPh sb="286" eb="288">
      <t>カクニン</t>
    </rPh>
    <phoneticPr fontId="1"/>
  </si>
  <si>
    <t>授業評価アンケート及び提携企業や卒業生の意見を参考に、データ・インテリジェンス教育研究部門教育カリキュラム検討部会において、授業の水準を確認している。
メールやMoodleフォーラム（掲示板）、同時双方向型ビデオ会議を用いたオンラインサポートを併用して学習者本位のサポート体制を構築している。
事前・事後学習も含めて、より「分かりやすい」授業を構成するように、改善に取り組んでおり、結果として、授業評価アンケート（令和2年度）では、「授業によく集中していましたか。」の問いに対して、93%の受講生が「よくした」「どちらかというとした」と回答しており、学生が望ましい環境で受講できていたことを確認した。</t>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</si>
  <si>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</si>
  <si>
    <t xml:space="preserve">本教育プログラムの構成科目である「データサイエンスへの誘いA/B」の履修状況はLMSにて管理され、LMSのコース内で指定するレポート提出締切までに、オンデマンド教材の視聴と小テストやレポートの提出を課している。オンデマンド教材は、授業時間内外で繰り返し視聴が可能であり、授業に関する質問や相談等は、問い合わせ用メーリングリストやLMSの掲示板機能を用いて部門の教員が随時受付し、授業時間中に開催される同時双方向型のWeb会議（令和2年度はZoom、令和3年度以降はTeams）を用いたサポート室では、4名の担当教員が学習指導や質問に対応する体制を整備している。
</t>
    <rPh sb="0" eb="1">
      <t>ホン</t>
    </rPh>
    <rPh sb="1" eb="3">
      <t>キョウイク</t>
    </rPh>
    <rPh sb="9" eb="11">
      <t>コウセイ</t>
    </rPh>
    <rPh sb="11" eb="13">
      <t>カモク</t>
    </rPh>
    <rPh sb="34" eb="36">
      <t>リシュウ</t>
    </rPh>
    <rPh sb="36" eb="38">
      <t>ジョウキョウ</t>
    </rPh>
    <rPh sb="44" eb="46">
      <t>カンリ</t>
    </rPh>
    <rPh sb="68" eb="70">
      <t>シメキリ</t>
    </rPh>
    <rPh sb="98" eb="99">
      <t>カ</t>
    </rPh>
    <rPh sb="115" eb="117">
      <t>ジュギョウ</t>
    </rPh>
    <rPh sb="117" eb="119">
      <t>ジカン</t>
    </rPh>
    <rPh sb="119" eb="121">
      <t>ナイガイ</t>
    </rPh>
    <rPh sb="123" eb="124">
      <t>カエ</t>
    </rPh>
    <rPh sb="154" eb="155">
      <t>ヨウ</t>
    </rPh>
    <rPh sb="171" eb="173">
      <t>キノウ</t>
    </rPh>
    <rPh sb="177" eb="182">
      <t>ブモン</t>
    </rPh>
    <rPh sb="189" eb="193">
      <t>ジュギョウジカン</t>
    </rPh>
    <rPh sb="193" eb="194">
      <t>チュウ</t>
    </rPh>
    <rPh sb="195" eb="197">
      <t>カイサイ</t>
    </rPh>
    <rPh sb="218" eb="220">
      <t>レイワ</t>
    </rPh>
    <rPh sb="221" eb="223">
      <t>ネンド</t>
    </rPh>
    <rPh sb="229" eb="231">
      <t>レイワ</t>
    </rPh>
    <rPh sb="232" eb="234">
      <t>ネンド</t>
    </rPh>
    <rPh sb="234" eb="236">
      <t>イコウ</t>
    </rPh>
    <rPh sb="254" eb="255">
      <t>メイ</t>
    </rPh>
    <rPh sb="258" eb="262">
      <t>ガクシュウシドウ</t>
    </rPh>
    <rPh sb="263" eb="265">
      <t>シツモン</t>
    </rPh>
    <rPh sb="271" eb="273">
      <t>ヘントウ</t>
    </rPh>
    <rPh sb="275" eb="277">
      <t>タイセイ</t>
    </rPh>
    <rPh sb="278" eb="280">
      <t>セイビ</t>
    </rPh>
    <phoneticPr fontId="1"/>
  </si>
  <si>
    <t>全学の1年生が履修・修得できるように、平成31年4月1日からデータ・インテリジェンス教育研究部門に専任教員を3名、兼任教員を9名、教育研究アドバイザを1名配置した体制を整えている。
令和元年度、「データサイエンスへの誘い」は担当教員以外に、TAを計15名配置した。講義中、メイン教室の講義内容を他の2教室に生中継配信し、録画した映像はLMSに蓄積し学生がいつでも講義の閲覧が可能な環境を構築した。
令和2年度からは、本教育プログラムの構成科目である「データサイエンスへの誘いA/B」の各回の授業をオンデマンド教材としてLMSに蓄積しており、学内外・授業時間を問わず、教材の視聴・質問が可能であり、部門の教員は、LMSにて学生の履修状況を管理し、学習指導、質問対応する体制を整備している。</t>
    <rPh sb="5" eb="7">
      <t>リシュウ</t>
    </rPh>
    <rPh sb="8" eb="10">
      <t>シュウトク</t>
    </rPh>
    <rPh sb="19" eb="21">
      <t>ヘイセイ</t>
    </rPh>
    <rPh sb="40" eb="42">
      <t>キョウイク</t>
    </rPh>
    <rPh sb="42" eb="46">
      <t>ケンキュウブモン</t>
    </rPh>
    <rPh sb="55" eb="57">
      <t>ケンニン</t>
    </rPh>
    <rPh sb="57" eb="59">
      <t>キョウイン</t>
    </rPh>
    <rPh sb="63" eb="67">
      <t>キョウイクケンキュウ</t>
    </rPh>
    <rPh sb="82" eb="84">
      <t>ハイチ</t>
    </rPh>
    <rPh sb="84" eb="85">
      <t>トトノ</t>
    </rPh>
    <rPh sb="91" eb="93">
      <t>レイワ</t>
    </rPh>
    <rPh sb="93" eb="95">
      <t>ガンネン</t>
    </rPh>
    <rPh sb="95" eb="96">
      <t>ド</t>
    </rPh>
    <rPh sb="110" eb="112">
      <t>タントウ</t>
    </rPh>
    <rPh sb="130" eb="133">
      <t>コウギチュウ</t>
    </rPh>
    <rPh sb="137" eb="139">
      <t>キョウシツ</t>
    </rPh>
    <rPh sb="140" eb="142">
      <t>コウギ</t>
    </rPh>
    <rPh sb="142" eb="144">
      <t>ナイヨウ</t>
    </rPh>
    <rPh sb="145" eb="146">
      <t>タ</t>
    </rPh>
    <rPh sb="148" eb="150">
      <t>キョウシツ</t>
    </rPh>
    <rPh sb="151" eb="154">
      <t>ナマチュウケイ</t>
    </rPh>
    <rPh sb="154" eb="156">
      <t>ハイシン</t>
    </rPh>
    <rPh sb="158" eb="160">
      <t>ロクガ</t>
    </rPh>
    <rPh sb="162" eb="164">
      <t>エイゾウ</t>
    </rPh>
    <rPh sb="179" eb="181">
      <t>コウギ</t>
    </rPh>
    <rPh sb="182" eb="184">
      <t>エツラン</t>
    </rPh>
    <rPh sb="185" eb="187">
      <t>カノウ</t>
    </rPh>
    <rPh sb="188" eb="190">
      <t>カンキョウ</t>
    </rPh>
    <rPh sb="191" eb="193">
      <t>コウチク</t>
    </rPh>
    <rPh sb="203" eb="204">
      <t>ホン</t>
    </rPh>
    <rPh sb="207" eb="209">
      <t>キョウイク</t>
    </rPh>
    <rPh sb="217" eb="219">
      <t>コウセイ</t>
    </rPh>
    <rPh sb="219" eb="221">
      <t>カモク</t>
    </rPh>
    <rPh sb="240" eb="242">
      <t>カクカイ</t>
    </rPh>
    <rPh sb="243" eb="245">
      <t>ジュギョウ</t>
    </rPh>
    <rPh sb="245" eb="247">
      <t>ドウガ</t>
    </rPh>
    <rPh sb="254" eb="256">
      <t>キョウザイ</t>
    </rPh>
    <rPh sb="289" eb="291">
      <t>シツモン</t>
    </rPh>
    <rPh sb="298" eb="300">
      <t>ブモン</t>
    </rPh>
    <rPh sb="301" eb="303">
      <t>キョウイン</t>
    </rPh>
    <rPh sb="322" eb="326">
      <t>ガクシュウシドウ</t>
    </rPh>
    <rPh sb="329" eb="331">
      <t>タイオウ</t>
    </rPh>
    <rPh sb="333" eb="335">
      <t>タイセイ</t>
    </rPh>
    <rPh sb="336" eb="338">
      <t>セイビ</t>
    </rPh>
    <phoneticPr fontId="1"/>
  </si>
  <si>
    <t>本学の「データサイエンスへの誘い」コースを構成する科目「データサイエンスへの誘いA」および「データサイエンスへの誘いB」については、今後も継続して全学部１年生必受講であるため、各年度の履修者数の目標は以下のとおりである。（（　）内は履修率。）
令和３年度　1804名　（50％）
令和４年度　2706名　（75％）
令和５年度　3608名　（100％）
令和６年度　3620名　（100％）
令和７年度　3620名　（100％）
また、LMSを活用したオンデマンド型の講義を行い、授業に関する質問や相談等は、メールやLMSの掲示板等を用いて随時受け付けている。さらに、学生指導・支援等の学習サポートのため、データ・インテリジェンス教育研究部門の教員による、Web会議システムを用いた同時双方向型のフォローアップ講義（サポート室）を実施している。これらの取り組みは学習効果を高めることにつながっている。</t>
    <rPh sb="376" eb="377">
      <t>ト</t>
    </rPh>
    <rPh sb="378" eb="379">
      <t>ク</t>
    </rPh>
    <rPh sb="381" eb="383">
      <t>ガクシュウ</t>
    </rPh>
    <rPh sb="383" eb="385">
      <t>コウカ</t>
    </rPh>
    <rPh sb="386" eb="387">
      <t>タカ</t>
    </rPh>
    <phoneticPr fontId="1"/>
  </si>
  <si>
    <t>令和元年度、本プログラムの先行開設科目である「データサイエンスへの誘い」を教養科目（実践）として全学向けに新規開講し、講義概要、PR動画「数理・データサイエンス・AI科目受講のすすめ」、シラバスを大学WEBサイト（https://www.wakayama-u.ac.jp/dtier/liberal.html）に掲載し、各学部の新入生ガイダンスにおいても担当教員が積極的に周知を行った。
令和2年度から、本学はクオーター制を導入し、先行開設科目は本プログラムの構成科目である「データサイエンスへの誘いA/B」に再構成を行い、全学1年生必履修科目になり、新入生全員学生必携パソコンと本学LMSを活用したオンデマンド教材の視聴等によって、全学部1年生全員が受講可能となっている。
PR動画は適宜更新を行い、YouTubeで公開するなど、在校生以外に受験生等の学外者向けにも情報発信を行っている。これらの大学内外へのコンテンツ発信は、受験生・企業などへの波及可能性が高い。</t>
    <rPh sb="6" eb="7">
      <t>ホン</t>
    </rPh>
    <rPh sb="13" eb="15">
      <t>センコウ</t>
    </rPh>
    <rPh sb="15" eb="17">
      <t>カイセツ</t>
    </rPh>
    <rPh sb="17" eb="19">
      <t>カモク</t>
    </rPh>
    <rPh sb="37" eb="41">
      <t>キョウヨウカモク</t>
    </rPh>
    <rPh sb="42" eb="44">
      <t>ジッセン</t>
    </rPh>
    <rPh sb="48" eb="51">
      <t>ゼンガクム</t>
    </rPh>
    <rPh sb="59" eb="61">
      <t>コウギ</t>
    </rPh>
    <rPh sb="61" eb="63">
      <t>ガイヨウ</t>
    </rPh>
    <rPh sb="98" eb="100">
      <t>ダイガク</t>
    </rPh>
    <rPh sb="164" eb="165">
      <t>シン</t>
    </rPh>
    <rPh sb="189" eb="190">
      <t>オコナ</t>
    </rPh>
    <rPh sb="194" eb="196">
      <t>レイワ</t>
    </rPh>
    <rPh sb="212" eb="214">
      <t>ドウニュウ</t>
    </rPh>
    <rPh sb="223" eb="230">
      <t>ホン</t>
    </rPh>
    <rPh sb="230" eb="232">
      <t>コウセイ</t>
    </rPh>
    <rPh sb="232" eb="234">
      <t>カモク</t>
    </rPh>
    <rPh sb="256" eb="258">
      <t>コウセイ</t>
    </rPh>
    <rPh sb="259" eb="260">
      <t>オコナ</t>
    </rPh>
    <rPh sb="265" eb="267">
      <t>ネンセイ</t>
    </rPh>
    <rPh sb="267" eb="270">
      <t>ヒツリシュウ</t>
    </rPh>
    <rPh sb="270" eb="272">
      <t>カモク</t>
    </rPh>
    <rPh sb="281" eb="283">
      <t>ガクセイ</t>
    </rPh>
    <rPh sb="283" eb="285">
      <t>ヒッケイ</t>
    </rPh>
    <rPh sb="290" eb="292">
      <t>ホンガク</t>
    </rPh>
    <rPh sb="296" eb="298">
      <t>カツヨウ</t>
    </rPh>
    <rPh sb="306" eb="308">
      <t>キョウザイ</t>
    </rPh>
    <rPh sb="309" eb="311">
      <t>シチョウ</t>
    </rPh>
    <rPh sb="311" eb="312">
      <t>ナド</t>
    </rPh>
    <rPh sb="317" eb="320">
      <t>ゼンガクブ</t>
    </rPh>
    <rPh sb="321" eb="323">
      <t>ネンセイ</t>
    </rPh>
    <rPh sb="323" eb="325">
      <t>ゼンイン</t>
    </rPh>
    <rPh sb="399" eb="401">
      <t>ダイガク</t>
    </rPh>
    <rPh sb="401" eb="403">
      <t>ナイガイ</t>
    </rPh>
    <rPh sb="410" eb="412">
      <t>ハッシン</t>
    </rPh>
    <rPh sb="414" eb="417">
      <t>ジュケンセイ</t>
    </rPh>
    <rPh sb="418" eb="420">
      <t>キギョウ</t>
    </rPh>
    <rPh sb="424" eb="426">
      <t>ハキュウ</t>
    </rPh>
    <rPh sb="426" eb="429">
      <t>カノウセイ</t>
    </rPh>
    <rPh sb="430" eb="431">
      <t>タカ</t>
    </rPh>
    <phoneticPr fontId="1"/>
  </si>
  <si>
    <t>部会長（システム工学部・教授）</t>
    <rPh sb="0" eb="2">
      <t>ブカイ</t>
    </rPh>
    <rPh sb="2" eb="3">
      <t>チョウ</t>
    </rPh>
    <rPh sb="8" eb="11">
      <t>コウガクブ</t>
    </rPh>
    <rPh sb="12" eb="14">
      <t>キョウジュ</t>
    </rPh>
    <phoneticPr fontId="1"/>
  </si>
  <si>
    <t>部会長（データ・インテリジェンス教育研究部門長・教授）</t>
    <phoneticPr fontId="1"/>
  </si>
  <si>
    <t>吉野　孝　（部会長）データ・インテリジェンス教育研究部門副部門長・システム工学部教授
井嶋　博　教育学部教授
岩田　英朗　経済学部准教授
葛岡　成晃　システム工学部教授
松田　憲幸　システム工学部准教授
佐々木　壮太郎　観光学部教授
満田　成紀　戦略情報室教授
西村　竜一　ﾃﾞｰﾀ･ｲﾝﾃﾘｼﾞｪﾝｽ教育研究部門講師
三浦　浩一　ﾃﾞｰﾀ･ｲﾝﾃﾘｼﾞｪﾝｽ教育研究部門講師</t>
    <rPh sb="6" eb="9">
      <t>ブカイチョウ</t>
    </rPh>
    <rPh sb="37" eb="40">
      <t>コウガクブ</t>
    </rPh>
    <rPh sb="43" eb="45">
      <t>イジマ</t>
    </rPh>
    <rPh sb="55" eb="57">
      <t>イワタ</t>
    </rPh>
    <rPh sb="65" eb="68">
      <t>ジュンキョウジュ</t>
    </rPh>
    <rPh sb="102" eb="105">
      <t>ササキ</t>
    </rPh>
    <rPh sb="128" eb="130">
      <t>キョウジュ</t>
    </rPh>
    <phoneticPr fontId="1"/>
  </si>
  <si>
    <t>平成30年4月1日データ・インテリジェンス教育研究部門を設置し、数理・データサイエンス・AI教育カリキュラムと教材の検討・整備を開始した、平成31年4月1日から専任教員を3名配置した。
令和元年度は、部門および各学部の教員、さらに総務省統計局統計データ利活用センター長が講義を担当し、全学部学生が履修可能な講義「データサイエンスへの誘い」を先行的に履修者数限定にて開講した。毎回の講義内容は、本学のコンテンツ制作室が録画・編集し、LMS上に蓄積して、学内の履修登録者以外にも広く公開した。受講生アンケート結果では、復習の際に講義動画を繰り返し視聴可能である等、好評であった。
令和元年度の受講実施状況とアンケート結果を踏まえ、令和2年度全学必履修化科目とし、eラーニング講義へ移行し、一年生全員が必携パソコン（BYOD）を活用してオンライン教材を受講できるようにした。
総務省統計局等との協定関係を活かした講義の実施は先進的と言える。</t>
    <phoneticPr fontId="1"/>
  </si>
  <si>
    <t>本プログラムの「データサイエンスへの誘いA/B」は、数理・データサイエンス教育の根幹の科目に位置づけられ、文系・理系を問わず全学部の1年生全員が履修することになっており、後輩等の他学生への推奨が必要となる状況は発生しない。
一方でモチベーション維持が課題となる。本科目の意義や推奨する履修姿勢等を明確にするためにも、ウェブサイトでは「授業評価アンケートの集計結果と改善のための取り組み」を公開しており、受講前（入学前）より閲覧することができる。また、本学では、本科目も含めた多くの科目で、担当教員のコメントとともに、前年度の成績分布が学生に公開（可視化）されており、学生の受講態度の向上につながっている。</t>
    <phoneticPr fontId="1"/>
  </si>
  <si>
    <r>
      <t>・</t>
    </r>
    <r>
      <rPr>
        <sz val="12"/>
        <rFont val="ＭＳ Ｐゴシック"/>
        <family val="2"/>
      </rPr>
      <t>「データサイエンスへの誘いA」について、</t>
    </r>
    <r>
      <rPr>
        <sz val="12"/>
        <rFont val="ＭＳ Ｐゴシック"/>
        <family val="2"/>
        <scheme val="minor"/>
      </rPr>
      <t>統計の基本的内容、統計の正しい見方、統計学からデータサイエンスにつながる内容、世の中の活用事例など、データ利活用の重要性を理解し、Excelを用いた基本的なデータ操作の方法（統計処理の方法、図表の作成、データの加工、作成方法、解釈方法など）を習得する。
・</t>
    </r>
    <r>
      <rPr>
        <sz val="12"/>
        <rFont val="ＭＳ Ｐゴシック"/>
        <family val="2"/>
      </rPr>
      <t>「データサイエンスへの誘いB」について、</t>
    </r>
    <r>
      <rPr>
        <sz val="12"/>
        <rFont val="ＭＳ Ｐゴシック"/>
        <family val="2"/>
        <scheme val="minor"/>
      </rPr>
      <t>データサイエンスの基本的な手法の概要、コンピュータ（R、Python）を用いた分析方法の特徴の概要、応用事例を知り、データサイエンスの必要性を理解すること。
・プログラムを構成する科目「データサイエンスへの誘いA」（1単位）及び「データサイエンスへの誘いB」（1単位）の計2単位取得すること。</t>
    </r>
    <rPh sb="59" eb="62">
      <t>リカツヨウ</t>
    </rPh>
    <rPh sb="63" eb="66">
      <t>ジュウヨウセイ</t>
    </rPh>
    <rPh sb="150" eb="152">
      <t>ガイヨウ</t>
    </rPh>
    <rPh sb="183" eb="185">
      <t>トクチョウ</t>
    </rPh>
    <rPh sb="186" eb="188">
      <t>ガイヨウ</t>
    </rPh>
    <rPh sb="189" eb="191">
      <t>オウヨウ</t>
    </rPh>
    <rPh sb="191" eb="193">
      <t>ジレイ</t>
    </rPh>
    <rPh sb="194" eb="195">
      <t>シ</t>
    </rPh>
    <rPh sb="206" eb="209">
      <t>ヒツヨウセイ</t>
    </rPh>
    <phoneticPr fontId="1"/>
  </si>
  <si>
    <t>データ・インテリジェンス教育研究部門では、和歌山県のIT系企業所属の社員に教育研究アドバイザーを委嘱しており、恒常的な指導・助言を受けている。
本学大学院で関連科目を共同開講する地元企業（銀行・スーパーマーケット）からのデータの提供を受けて、実践的な内容を本プログラムにも反映させている。
令和2年度には、上記の協働企業及び、関連分野で活躍する本学卒業生にインタビューを実施した。本教育プログラムへの意見や要望を収集し、プログラムの改善に活用している。
令和3年度から、本部門では、地域の産官有識者によるアドバイザリーボード会議を構成し、産業界・行政からの意見収集を行う計画である。</t>
    <rPh sb="34" eb="36">
      <t>シャイン</t>
    </rPh>
    <phoneticPr fontId="1"/>
  </si>
  <si>
    <t>データ・インテリジェンス教育研究部門教育カリキュラム検討部会要項</t>
    <phoneticPr fontId="1"/>
  </si>
  <si>
    <t>本学では、応用・実践レベルの科目を含んだ科目群をシリーズ展開している。また、大学院生を対象に、地元企業から提供を受けたリアルデータを扱うPBL科目を開講している。本教育プログラムを修了した卒業生はまだ存在しないが、同科目群の受講生に対して、参加企業からの高評価を受けている。
今後、本学発行の生涯アカウント等を活用した卒業生調査を卒後1年後に実施し、本教育プログラムを修了した卒業生の進路先や活躍状況の把握を行う予定である（令和7年度より開始予定）。また、卒業生調査と同時期から、民間企業，公務員団体に対して企業調査を実施し、本教育プログラムを修了した卒業生の採用状況や企業評価を把握する予定である。</t>
    <phoneticPr fontId="1"/>
  </si>
  <si>
    <t>学術情報課</t>
    <phoneticPr fontId="1"/>
  </si>
  <si>
    <t>dtier@ml.wakayama-u.ac.jp</t>
    <phoneticPr fontId="1"/>
  </si>
  <si>
    <t>073-457-7196</t>
    <phoneticPr fontId="1"/>
  </si>
  <si>
    <t>担当者名</t>
    <phoneticPr fontId="1"/>
  </si>
  <si>
    <t>電話番号</t>
    <phoneticPr fontId="1"/>
  </si>
  <si>
    <t>篠栗、森川</t>
    <rPh sb="0" eb="2">
      <t>シノグリ</t>
    </rPh>
    <rPh sb="3" eb="5">
      <t>モリカワ</t>
    </rPh>
    <phoneticPr fontId="1"/>
  </si>
  <si>
    <t>和歌山大学は、数理・データサイエンス教育を全学部において履修することを機関決定していて、数理・データサイエンス教育をはじめとしたビッグデータ解析や IoT システム構築技術、人工知能技術など「超スマート社会」に必要とされる基盤技術等に関する教育研究を推進するために必要な企画、立案及び調整を行う。
（１）　データサイエンス、人工知能教育のカリキュラムの提案に関すること
（２）　データサイエンス、人工知能教育推進のための企画、立案に関すること
（３）　その他データサイエンス、人工知能教育の推進に関すること</t>
    <phoneticPr fontId="1"/>
  </si>
  <si>
    <t>https://www.wakayama-u.ac.jp/dtier/literacy.html</t>
    <phoneticPr fontId="1"/>
  </si>
  <si>
    <t>現在、ポイントカードやSNSなどを用いた人の行動ログデータの収集、様々な形でデータ収集が行われており、データ駆動型社会が、生活に深く関わっていることを講義する。その他に、GPS（GNSS）による位置情報の収集、IoT（Internet of Things）、科学分野における大量のデータ収集なども紹介する。現代のそろばんとしてのデータサイエンスについて説明し、データサイエンティストの重要性やデータサイエンティストが求められている点についても講義する。また、データのオープン化の説明を行い、具体例として、e-Stat（イースタット、政府統計の窓口）、RESAS（リーサス、地域経済分析システム）、DATAGO.JP（データカタログサイト）、企業提供のデータ、気象庁提供のデータを紹介する。また、EBPM（Evidence-Based Policy Making、証拠に基づく政策立案）を紹介し、仮説検証、知識発見、原因究明、計画策定への活用について講義する。</t>
    <phoneticPr fontId="1"/>
  </si>
  <si>
    <t>ビッグデータ時代の幕開け、スマートフォンの登場、無線通信の速度とデータ容量の増加、IoTの急速な拡大など、社会で起きている大きな変化について講義を行う。具体的には、商品のレコメンデーションなど普段よくみるサービスがデータにより実現されていることを説明する。また、データは、21世紀の石油と呼ばれ、GAFAといったプラットフォーマーや中国の企業（BAT）について講義する。和歌山県統計データ利活用センターの協力を得て、公的統計に関して、その重要性、公的統計からわかる身近な内容や意外な内容、公的統計の使い方などについて講義する。</t>
    <phoneticPr fontId="1"/>
  </si>
  <si>
    <r>
      <t>データサイエンスの役割（第2回）/データ分析のためのデータの取得と管理（第3回）/公的統計データの利活</t>
    </r>
    <r>
      <rPr>
        <sz val="12"/>
        <rFont val="Microsoft YaHei UI"/>
        <family val="3"/>
        <charset val="134"/>
      </rPr>
      <t>⽤</t>
    </r>
    <r>
      <rPr>
        <sz val="12"/>
        <rFont val="ＭＳ Ｐゴシック"/>
        <family val="3"/>
        <charset val="128"/>
        <scheme val="minor"/>
      </rPr>
      <t>（第8回）</t>
    </r>
    <phoneticPr fontId="1"/>
  </si>
  <si>
    <r>
      <t>データサイエンスの役割（第2回）/データ分析のためのデータ取得と管理（第3回）/公的統計データの利活</t>
    </r>
    <r>
      <rPr>
        <sz val="12"/>
        <rFont val="Microsoft YaHei UI"/>
        <family val="2"/>
        <charset val="134"/>
      </rPr>
      <t>⽤</t>
    </r>
    <r>
      <rPr>
        <sz val="12"/>
        <rFont val="ＭＳ Ｐゴシック"/>
        <family val="2"/>
        <charset val="128"/>
        <scheme val="minor"/>
      </rPr>
      <t>（第8回）</t>
    </r>
    <phoneticPr fontId="1"/>
  </si>
  <si>
    <t>様々なデータ利活用の現場におけるデータ利活用事例としは、マーケティングでは、スーパーマーケットにおけるポイントカード、POSデータ、クレジットカードの購買履歴などのデータを組み合わせることで、自社商品やサービスの販売する方法、顧客のセグメンテーション、A/Bテストや推薦システムについて講義する。その他、金融、品質管理、画像処理、音声処理、医学、公共におけるAIの活用事例を紹介する。データ解析演習として、予測の例をエクセルを用いて回帰直線を作成し、関係性の可視化を行う。</t>
    <phoneticPr fontId="1"/>
  </si>
  <si>
    <r>
      <t>観光データを用いた時系列分析（第4回）/散布図と相関係数、回帰直線（第6回）/公的統計データの利活</t>
    </r>
    <r>
      <rPr>
        <sz val="12"/>
        <rFont val="Microsoft YaHei UI"/>
        <family val="2"/>
        <charset val="134"/>
      </rPr>
      <t>⽤</t>
    </r>
    <r>
      <rPr>
        <sz val="12"/>
        <rFont val="ＭＳ Ｐゴシック"/>
        <family val="2"/>
        <charset val="128"/>
        <scheme val="minor"/>
      </rPr>
      <t>（第8回）</t>
    </r>
    <phoneticPr fontId="1"/>
  </si>
  <si>
    <t>データ・AIを扱う上での留意事項として、データ流出事故（個人情報が流出事件）を紹介し、情報セキュリティや情報の漏洩の問題、データバイアスの混入により実験結果の解釈のゆがみについて講義する。また、様々なグラフや統計データの見方、解釈について講義を行う。公的データの守秘義務の話やデータを守るための仕組みについて紹介する。</t>
    <phoneticPr fontId="1"/>
  </si>
  <si>
    <t>いろいろなグラフや統計データを疑ってみよう！（第1回）/データサイエンスの役割（第2回）/データ分析で注意すべき点（第7回）/公的統計データの利活用（第8回）</t>
    <phoneticPr fontId="1"/>
  </si>
  <si>
    <t>データの分析の基礎として、データの種類(量的変数、質的変数)を説明し、ヒストグラム、箱ひげ図、平均値と中央値、最頻値、分散、標準偏差、散布図と相関係数、回帰直線、クロス集計、回帰分析について講義し、データの読み方やデータ説明について学ぶ。さらに、データサイエンス・AIの手法として、ベイズ推論、アソシエーション分析、クラスタリング、決定木、ニューラル、機械学習について講義する。エクセルを用いたデータ取り扱いとして、e-Statから取得した国勢調査を用いたデータや気象庁から取得した気温のデータを可視化（ヒストグラム、箱ひげ図、散布図等）し、その解釈を行う演習を行う。実データとして、住みたい都道府県ランキング、コンビニの数、検挙件数、小中高大の件数、病院数、警察職員数など様々なデータを利用し、データの可視化と結果の解釈を行う。その中で、相関と因果、疑似相関についての講義する。さらに、母集団と標本抽出の複数の手法について説明する。誇張表現に惑わされないように、統計情報の正しい理解、表現方法について説明する。同時に不適切なグラフ表現の説明を行う。また、アソシエーション分析では、実データとして、地元の大手スーパーマーケット（株式会社オークワ）のPOSデータの一部を用いて、Excelを用いて分析を行う。クラスタリングでは、実データとして、住みたい都道府県＆市区町村ランキングと旅行・観光動向調査、温泉の数などを組み合わせた可視化を行う。</t>
    <phoneticPr fontId="1"/>
  </si>
  <si>
    <t>データ分析の基礎：ヒストグラム、箱ひげ図、平均値と分散（第5回）/散布図と相関係数、回帰直線（第6回）/データ分析で注意すべき点（第7回）</t>
    <phoneticPr fontId="1"/>
  </si>
  <si>
    <t>統計の基本的内容、統計の正しい見方、統計学からデータサイエンスにつながる内容、世の中の活用事例などについて理解し、データサイエンスの基本的な手法の概要や特徴に加え、データサイエンスが社会でどのように活用されているか、データサイエンスの必要性を説明でき、さらに、その応用事例を説明できる。また、Excelを用いた統計処理の方法、図表の作成などの初歩的なデータの加工、作成方法などを行うことができ、データの分析結果の基本的な解釈を行えるだけでなく、コンピュータを用いた分析方法の特徴についても説明できる。</t>
    <phoneticPr fontId="1"/>
  </si>
  <si>
    <t>データサイエンスの応用事例：マーケティング、金融、品質管理（第7回）/画像処理、音声処理、医学（第8回）</t>
    <phoneticPr fontId="1"/>
  </si>
  <si>
    <t>データサイエンスの手法：クロス集計、回帰分析（第1回）/ベイズ推論、アソシエーション分析（第2回）/クラスタリング、決定木（第3回）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</si>
</sst>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sz val="12"/>
      <name val="ＭＳ Ｐゴシック"/>
      <family val="2"/>
      <scheme val="minor"/>
    </font>
    <font>
      <sz val="12"/>
      <name val="MS PGothic"/>
      <family val="2"/>
      <charset val="128"/>
    </font>
    <font>
      <sz val="9"/>
      <name val="ＭＳ Ｐゴシック"/>
      <family val="2"/>
      <charset val="128"/>
      <scheme val="minor"/>
    </font>
    <font>
      <sz val="9"/>
      <name val="ＭＳ Ｐゴシック"/>
      <family val="2"/>
      <scheme val="minor"/>
    </font>
    <font>
      <sz val="11"/>
      <name val="ＭＳ Ｐゴシック"/>
      <family val="2"/>
      <scheme val="minor"/>
    </font>
    <font>
      <sz val="12"/>
      <name val="ＭＳ Ｐゴシック"/>
      <family val="2"/>
    </font>
    <font>
      <sz val="12"/>
      <name val="Microsoft YaHei UI"/>
      <family val="3"/>
      <charset val="134"/>
    </font>
    <font>
      <sz val="12"/>
      <name val="Microsoft YaHei UI"/>
      <family val="2"/>
      <charset val="134"/>
    </font>
  </fonts>
  <fills count="3">
    <fill>
      <patternFill patternType="none"/>
    </fill>
    <fill>
      <patternFill patternType="gray125"/>
    </fill>
    <fill>
      <patternFill patternType="solid">
        <fgColor theme="0" tint="-0.34998626667073579"/>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91">
    <xf numFmtId="0" fontId="0" fillId="0" borderId="0" xfId="0">
      <alignment vertical="center"/>
    </xf>
    <xf numFmtId="0" fontId="2" fillId="0" borderId="0" xfId="0" applyFont="1">
      <alignment vertical="center"/>
    </xf>
    <xf numFmtId="0" fontId="3" fillId="0" borderId="0" xfId="0" applyFont="1" applyAlignment="1">
      <alignment vertical="center"/>
    </xf>
    <xf numFmtId="0" fontId="9" fillId="0" borderId="0" xfId="0" applyFont="1">
      <alignment vertical="center"/>
    </xf>
    <xf numFmtId="0" fontId="8" fillId="0" borderId="0" xfId="0" applyFont="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xf>
    <xf numFmtId="0" fontId="9" fillId="0" borderId="0" xfId="0" applyFont="1" applyFill="1">
      <alignment vertical="center"/>
    </xf>
    <xf numFmtId="0" fontId="3" fillId="0" borderId="0" xfId="0" applyFont="1" applyAlignment="1">
      <alignment horizontal="center" vertical="center"/>
    </xf>
    <xf numFmtId="0" fontId="3" fillId="0" borderId="0" xfId="0" applyFont="1" applyAlignment="1">
      <alignment vertical="center" shrinkToFit="1"/>
    </xf>
    <xf numFmtId="0" fontId="11"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4" fillId="0" borderId="0" xfId="0" applyNumberFormat="1" applyFont="1" applyBorder="1" applyAlignment="1">
      <alignment vertical="center" shrinkToFit="1"/>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vertical="center"/>
    </xf>
    <xf numFmtId="0" fontId="2" fillId="2" borderId="0" xfId="0" applyFont="1" applyFill="1" applyAlignment="1">
      <alignment vertical="center"/>
    </xf>
    <xf numFmtId="0" fontId="9" fillId="0" borderId="0" xfId="0" applyFont="1" applyAlignment="1">
      <alignment horizontal="right" vertical="center"/>
    </xf>
    <xf numFmtId="0" fontId="12" fillId="0" borderId="0" xfId="0" applyFont="1" applyFill="1">
      <alignment vertical="center"/>
    </xf>
    <xf numFmtId="0" fontId="12" fillId="0" borderId="0" xfId="0" applyFont="1" applyFill="1" applyAlignment="1">
      <alignment vertical="center"/>
    </xf>
    <xf numFmtId="0" fontId="12" fillId="0" borderId="0" xfId="0" applyFont="1" applyFill="1" applyBorder="1" applyAlignment="1">
      <alignment vertical="center" shrinkToFit="1"/>
    </xf>
    <xf numFmtId="0" fontId="12" fillId="0" borderId="10" xfId="0" applyFont="1" applyFill="1" applyBorder="1" applyAlignment="1">
      <alignment vertical="center" shrinkToFit="1"/>
    </xf>
    <xf numFmtId="0" fontId="12" fillId="0" borderId="5" xfId="0" applyFont="1" applyBorder="1">
      <alignment vertical="center"/>
    </xf>
    <xf numFmtId="0" fontId="12" fillId="0" borderId="0" xfId="0" applyFont="1" applyAlignment="1">
      <alignment horizontal="center" vertical="center"/>
    </xf>
    <xf numFmtId="0" fontId="12" fillId="0" borderId="0" xfId="0" applyFont="1">
      <alignment vertical="center"/>
    </xf>
    <xf numFmtId="0" fontId="12" fillId="0" borderId="0" xfId="0" applyFont="1" applyFill="1" applyAlignment="1">
      <alignment horizontal="left" vertical="center"/>
    </xf>
    <xf numFmtId="0" fontId="12" fillId="0" borderId="0" xfId="0" applyFont="1" applyFill="1" applyBorder="1" applyAlignment="1">
      <alignment vertical="center"/>
    </xf>
    <xf numFmtId="0" fontId="12" fillId="0" borderId="10" xfId="0" applyFont="1" applyFill="1" applyBorder="1" applyAlignment="1">
      <alignment vertical="center"/>
    </xf>
    <xf numFmtId="0" fontId="12" fillId="0" borderId="5" xfId="0" applyFont="1" applyFill="1" applyBorder="1">
      <alignment vertical="center"/>
    </xf>
    <xf numFmtId="176" fontId="12" fillId="0" borderId="0" xfId="0" applyNumberFormat="1" applyFont="1" applyFill="1" applyBorder="1" applyAlignment="1">
      <alignment vertical="center" wrapText="1"/>
    </xf>
    <xf numFmtId="0" fontId="12" fillId="0" borderId="0" xfId="0" applyFont="1" applyFill="1" applyBorder="1">
      <alignment vertical="center"/>
    </xf>
    <xf numFmtId="176" fontId="12" fillId="0" borderId="5" xfId="0" applyNumberFormat="1" applyFont="1" applyFill="1" applyBorder="1" applyAlignment="1">
      <alignment vertical="center"/>
    </xf>
    <xf numFmtId="176" fontId="12" fillId="0" borderId="0" xfId="0" applyNumberFormat="1" applyFont="1" applyFill="1" applyBorder="1">
      <alignment vertical="center"/>
    </xf>
    <xf numFmtId="0" fontId="12" fillId="0" borderId="0" xfId="0" applyFont="1" applyFill="1" applyBorder="1" applyAlignment="1">
      <alignment horizontal="center" vertical="center"/>
    </xf>
    <xf numFmtId="176" fontId="12" fillId="0" borderId="0" xfId="0" applyNumberFormat="1" applyFont="1" applyFill="1" applyAlignment="1">
      <alignment vertical="center" wrapText="1"/>
    </xf>
    <xf numFmtId="0" fontId="12" fillId="0" borderId="0" xfId="0" applyFont="1" applyFill="1" applyAlignment="1">
      <alignment horizontal="center" vertical="center"/>
    </xf>
    <xf numFmtId="176" fontId="12" fillId="0" borderId="3" xfId="0" applyNumberFormat="1" applyFont="1" applyFill="1" applyBorder="1" applyAlignment="1">
      <alignment vertical="center" shrinkToFit="1"/>
    </xf>
    <xf numFmtId="176" fontId="12" fillId="0" borderId="0" xfId="0" applyNumberFormat="1" applyFont="1" applyFill="1" applyAlignment="1">
      <alignment horizontal="left" vertical="center" wrapText="1"/>
    </xf>
    <xf numFmtId="0" fontId="12" fillId="0" borderId="6" xfId="0" applyFont="1" applyFill="1" applyBorder="1" applyAlignment="1">
      <alignment vertical="center" shrinkToFit="1"/>
    </xf>
    <xf numFmtId="0" fontId="12" fillId="0" borderId="0" xfId="0" applyFont="1" applyFill="1" applyBorder="1" applyAlignment="1">
      <alignment horizontal="center" vertical="center" shrinkToFit="1"/>
    </xf>
    <xf numFmtId="0" fontId="9" fillId="0" borderId="0" xfId="0" applyFont="1" applyFill="1" applyAlignment="1">
      <alignment horizontal="right" vertical="center"/>
    </xf>
    <xf numFmtId="0" fontId="12" fillId="0" borderId="0" xfId="0" applyFont="1" applyFill="1" applyAlignment="1">
      <alignment horizontal="right" vertical="center"/>
    </xf>
    <xf numFmtId="0" fontId="12" fillId="0" borderId="1" xfId="0" applyFont="1" applyFill="1" applyBorder="1" applyAlignment="1">
      <alignment vertical="center" shrinkToFit="1"/>
    </xf>
    <xf numFmtId="0" fontId="9" fillId="0" borderId="0" xfId="0" applyFont="1" applyFill="1" applyBorder="1" applyAlignment="1">
      <alignment vertical="center" shrinkToFit="1"/>
    </xf>
    <xf numFmtId="0" fontId="12" fillId="0" borderId="5" xfId="0" applyFont="1" applyFill="1" applyBorder="1" applyAlignment="1">
      <alignment vertical="center" shrinkToFit="1"/>
    </xf>
    <xf numFmtId="176" fontId="12" fillId="0" borderId="5" xfId="0" applyNumberFormat="1" applyFont="1" applyFill="1" applyBorder="1" applyAlignment="1">
      <alignment vertical="center" shrinkToFit="1"/>
    </xf>
    <xf numFmtId="176" fontId="12" fillId="0" borderId="33" xfId="0" applyNumberFormat="1" applyFont="1" applyFill="1" applyBorder="1" applyAlignment="1">
      <alignment vertical="center" shrinkToFit="1"/>
    </xf>
    <xf numFmtId="176" fontId="12" fillId="0" borderId="34" xfId="0" applyNumberFormat="1" applyFont="1" applyFill="1" applyBorder="1" applyAlignment="1">
      <alignment vertical="center" shrinkToFit="1"/>
    </xf>
    <xf numFmtId="176" fontId="12" fillId="0" borderId="10" xfId="0" applyNumberFormat="1" applyFont="1" applyFill="1" applyBorder="1" applyAlignment="1">
      <alignment vertical="center" shrinkToFit="1"/>
    </xf>
    <xf numFmtId="176" fontId="12" fillId="0" borderId="14" xfId="0" applyNumberFormat="1" applyFont="1" applyFill="1" applyBorder="1" applyAlignment="1">
      <alignment vertical="center" shrinkToFit="1"/>
    </xf>
    <xf numFmtId="9" fontId="12" fillId="0" borderId="10" xfId="0" applyNumberFormat="1" applyFont="1" applyFill="1" applyBorder="1" applyAlignment="1">
      <alignment vertical="center" shrinkToFit="1"/>
    </xf>
    <xf numFmtId="0" fontId="12" fillId="0" borderId="20" xfId="0" applyFont="1" applyFill="1" applyBorder="1" applyAlignment="1">
      <alignment vertical="center" shrinkToFit="1"/>
    </xf>
    <xf numFmtId="176" fontId="12" fillId="0" borderId="20" xfId="0" applyNumberFormat="1" applyFont="1" applyFill="1" applyBorder="1" applyAlignment="1">
      <alignment vertical="center" shrinkToFit="1"/>
    </xf>
    <xf numFmtId="176" fontId="12" fillId="0" borderId="35" xfId="0" applyNumberFormat="1" applyFont="1" applyFill="1" applyBorder="1" applyAlignment="1">
      <alignment vertical="center" shrinkToFit="1"/>
    </xf>
    <xf numFmtId="176" fontId="12" fillId="0" borderId="36" xfId="0" applyNumberFormat="1" applyFont="1" applyFill="1" applyBorder="1" applyAlignment="1">
      <alignment vertical="center" shrinkToFit="1"/>
    </xf>
    <xf numFmtId="176" fontId="12" fillId="0" borderId="19" xfId="0" applyNumberFormat="1" applyFont="1" applyFill="1" applyBorder="1" applyAlignment="1">
      <alignment vertical="center" shrinkToFit="1"/>
    </xf>
    <xf numFmtId="176" fontId="12" fillId="0" borderId="25" xfId="0" applyNumberFormat="1" applyFont="1" applyFill="1" applyBorder="1" applyAlignment="1">
      <alignment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11" xfId="0" applyFont="1" applyBorder="1" applyAlignment="1">
      <alignment horizontal="center" vertical="center"/>
    </xf>
    <xf numFmtId="0" fontId="9" fillId="0" borderId="2" xfId="0" applyFont="1" applyBorder="1" applyAlignment="1">
      <alignment horizontal="center" vertical="center" shrinkToFit="1"/>
    </xf>
    <xf numFmtId="0" fontId="8" fillId="0" borderId="2" xfId="0" applyFont="1" applyBorder="1" applyAlignment="1">
      <alignment horizontal="center" vertical="center" shrinkToFit="1"/>
    </xf>
    <xf numFmtId="0" fontId="9" fillId="0" borderId="1" xfId="0" applyFont="1" applyBorder="1" applyAlignment="1">
      <alignment vertical="center" wrapText="1"/>
    </xf>
    <xf numFmtId="0" fontId="14" fillId="0" borderId="0" xfId="0" applyFont="1">
      <alignment vertical="center"/>
    </xf>
    <xf numFmtId="0" fontId="12" fillId="0" borderId="0" xfId="0" applyFont="1" applyAlignment="1">
      <alignment vertical="top" wrapText="1"/>
    </xf>
    <xf numFmtId="0" fontId="12" fillId="0" borderId="0" xfId="0" applyFont="1" applyAlignment="1">
      <alignment vertical="center" wrapText="1"/>
    </xf>
    <xf numFmtId="0" fontId="15" fillId="0" borderId="0" xfId="0" applyFont="1" applyAlignment="1">
      <alignment vertical="top" wrapText="1"/>
    </xf>
    <xf numFmtId="0" fontId="15" fillId="0" borderId="0" xfId="0" applyFont="1" applyAlignment="1">
      <alignment vertical="top" shrinkToFit="1"/>
    </xf>
    <xf numFmtId="0" fontId="15" fillId="0" borderId="0" xfId="0" applyFont="1" applyAlignment="1">
      <alignment vertical="center" wrapText="1"/>
    </xf>
    <xf numFmtId="0" fontId="15" fillId="0" borderId="10" xfId="0" applyFont="1" applyBorder="1" applyAlignment="1">
      <alignment vertical="top" wrapText="1"/>
    </xf>
    <xf numFmtId="0" fontId="15" fillId="0" borderId="5" xfId="0" applyFont="1" applyBorder="1" applyAlignment="1">
      <alignment vertical="top" wrapText="1"/>
    </xf>
    <xf numFmtId="0" fontId="12" fillId="0" borderId="17" xfId="0" applyFont="1" applyBorder="1">
      <alignment vertical="center"/>
    </xf>
    <xf numFmtId="0" fontId="15" fillId="0" borderId="21" xfId="0" applyFont="1" applyBorder="1" applyAlignment="1">
      <alignment vertical="top" wrapText="1"/>
    </xf>
    <xf numFmtId="0" fontId="15" fillId="0" borderId="19" xfId="0" applyFont="1" applyBorder="1" applyAlignment="1">
      <alignment vertical="top" wrapText="1"/>
    </xf>
    <xf numFmtId="0" fontId="15" fillId="0" borderId="21" xfId="0" applyFont="1" applyBorder="1" applyAlignment="1">
      <alignment vertical="top" shrinkToFit="1"/>
    </xf>
    <xf numFmtId="0" fontId="15" fillId="0" borderId="19" xfId="0" applyFont="1" applyBorder="1" applyAlignment="1">
      <alignment vertical="top" shrinkToFit="1"/>
    </xf>
    <xf numFmtId="0" fontId="16" fillId="0" borderId="0" xfId="2" applyNumberFormat="1" applyFont="1" applyFill="1" applyBorder="1" applyAlignment="1">
      <alignment vertical="center" shrinkToFit="1"/>
    </xf>
    <xf numFmtId="0" fontId="15" fillId="0" borderId="0" xfId="0" applyFont="1" applyAlignment="1">
      <alignment vertical="center" shrinkToFit="1"/>
    </xf>
    <xf numFmtId="0" fontId="15" fillId="0" borderId="10" xfId="0" applyFont="1" applyBorder="1" applyAlignment="1">
      <alignment vertical="center" shrinkToFit="1"/>
    </xf>
    <xf numFmtId="0" fontId="12" fillId="0" borderId="1" xfId="0" applyFont="1" applyBorder="1" applyAlignment="1">
      <alignment vertical="center" wrapText="1"/>
    </xf>
    <xf numFmtId="0" fontId="15" fillId="0" borderId="0" xfId="0" applyFont="1" applyAlignment="1">
      <alignment vertical="top" wrapText="1"/>
    </xf>
    <xf numFmtId="0" fontId="9" fillId="0" borderId="1" xfId="0" applyFont="1" applyBorder="1">
      <alignment vertical="center"/>
    </xf>
    <xf numFmtId="0" fontId="12" fillId="0" borderId="2" xfId="0" applyFont="1" applyBorder="1">
      <alignment vertical="center"/>
    </xf>
    <xf numFmtId="0" fontId="12" fillId="0" borderId="4" xfId="0" applyFont="1" applyBorder="1">
      <alignment vertical="center"/>
    </xf>
    <xf numFmtId="49" fontId="6" fillId="0" borderId="2" xfId="2" applyNumberFormat="1" applyBorder="1" applyAlignment="1">
      <alignment vertical="center" shrinkToFit="1"/>
    </xf>
    <xf numFmtId="49" fontId="12" fillId="0" borderId="3" xfId="0" applyNumberFormat="1" applyFont="1" applyBorder="1" applyAlignment="1">
      <alignment vertical="center" shrinkToFit="1"/>
    </xf>
    <xf numFmtId="49" fontId="12" fillId="0" borderId="4" xfId="0" applyNumberFormat="1" applyFont="1" applyBorder="1" applyAlignment="1">
      <alignment vertical="center" shrinkToFit="1"/>
    </xf>
    <xf numFmtId="49" fontId="12" fillId="0" borderId="2" xfId="1" applyNumberFormat="1" applyFont="1" applyBorder="1" applyAlignment="1">
      <alignment horizontal="center" vertical="center" shrinkToFit="1"/>
    </xf>
    <xf numFmtId="49" fontId="12" fillId="0" borderId="3" xfId="1" applyNumberFormat="1" applyFont="1" applyBorder="1" applyAlignment="1">
      <alignment horizontal="center" vertical="center" shrinkToFit="1"/>
    </xf>
    <xf numFmtId="49" fontId="12" fillId="0" borderId="4" xfId="1" applyNumberFormat="1" applyFont="1" applyBorder="1" applyAlignment="1">
      <alignment horizontal="center" vertical="center" shrinkToFit="1"/>
    </xf>
    <xf numFmtId="0" fontId="12" fillId="0" borderId="0" xfId="0" applyFont="1" applyFill="1" applyBorder="1" applyAlignment="1">
      <alignment horizontal="center"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176" fontId="12" fillId="0" borderId="2" xfId="0" applyNumberFormat="1" applyFont="1" applyFill="1" applyBorder="1" applyAlignment="1">
      <alignment horizontal="center" vertical="center" shrinkToFit="1"/>
    </xf>
    <xf numFmtId="176" fontId="12" fillId="0" borderId="4" xfId="0" applyNumberFormat="1" applyFont="1" applyFill="1" applyBorder="1" applyAlignment="1">
      <alignment horizontal="center" vertical="center" shrinkToFit="1"/>
    </xf>
    <xf numFmtId="0" fontId="12" fillId="0" borderId="2" xfId="0" applyFont="1" applyBorder="1" applyAlignment="1">
      <alignment vertical="center" shrinkToFit="1"/>
    </xf>
    <xf numFmtId="0" fontId="12" fillId="0" borderId="3" xfId="0" applyFont="1" applyBorder="1" applyAlignment="1">
      <alignment vertical="center" shrinkToFit="1"/>
    </xf>
    <xf numFmtId="0" fontId="12" fillId="0" borderId="0" xfId="0" applyFont="1" applyFill="1" applyBorder="1" applyAlignment="1">
      <alignment horizontal="right" vertical="center" shrinkToFit="1"/>
    </xf>
    <xf numFmtId="0" fontId="12" fillId="0" borderId="2" xfId="0" applyFont="1" applyFill="1" applyBorder="1" applyAlignment="1">
      <alignment horizontal="center" vertical="center" shrinkToFit="1"/>
    </xf>
    <xf numFmtId="0" fontId="12" fillId="0" borderId="3"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12" fillId="0" borderId="5" xfId="0" applyFont="1" applyFill="1" applyBorder="1" applyAlignment="1">
      <alignment horizontal="right" vertical="center" shrinkToFit="1"/>
    </xf>
    <xf numFmtId="0" fontId="12" fillId="0" borderId="10" xfId="0" applyFont="1" applyFill="1" applyBorder="1" applyAlignment="1">
      <alignment horizontal="right" vertical="center" shrinkToFit="1"/>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9" fillId="0" borderId="0" xfId="0" applyFont="1" applyFill="1" applyAlignment="1">
      <alignment horizontal="right" vertical="center"/>
    </xf>
    <xf numFmtId="0" fontId="12" fillId="0" borderId="0" xfId="0" applyFont="1" applyFill="1" applyBorder="1" applyAlignment="1">
      <alignment horizontal="right" vertical="center"/>
    </xf>
    <xf numFmtId="0" fontId="12" fillId="0" borderId="10" xfId="0" applyFont="1" applyFill="1" applyBorder="1" applyAlignment="1">
      <alignment horizontal="right" vertical="center"/>
    </xf>
    <xf numFmtId="176" fontId="12" fillId="0" borderId="3" xfId="0" applyNumberFormat="1" applyFont="1" applyFill="1" applyBorder="1" applyAlignment="1">
      <alignment horizontal="center" vertical="center" shrinkToFit="1"/>
    </xf>
    <xf numFmtId="0" fontId="12" fillId="0" borderId="0" xfId="0" applyFont="1" applyFill="1" applyBorder="1" applyAlignment="1">
      <alignment horizontal="center" vertical="center" shrinkToFit="1"/>
    </xf>
    <xf numFmtId="0" fontId="12" fillId="0" borderId="0" xfId="0" applyFont="1" applyFill="1" applyAlignment="1">
      <alignment horizontal="center" vertical="center"/>
    </xf>
    <xf numFmtId="0" fontId="12" fillId="0" borderId="2" xfId="0" applyFont="1" applyFill="1" applyBorder="1" applyAlignment="1">
      <alignment vertical="center" shrinkToFit="1"/>
    </xf>
    <xf numFmtId="0" fontId="12" fillId="0" borderId="3" xfId="0" applyFont="1" applyFill="1" applyBorder="1" applyAlignment="1">
      <alignment vertical="center" shrinkToFit="1"/>
    </xf>
    <xf numFmtId="0" fontId="12" fillId="0" borderId="4" xfId="0" applyFont="1" applyFill="1" applyBorder="1" applyAlignment="1">
      <alignment vertical="center" shrinkToFit="1"/>
    </xf>
    <xf numFmtId="0" fontId="12" fillId="0" borderId="0" xfId="0" applyFont="1" applyFill="1" applyBorder="1" applyAlignment="1">
      <alignment vertical="center" shrinkToFit="1"/>
    </xf>
    <xf numFmtId="0" fontId="12" fillId="0" borderId="0" xfId="0" applyFont="1" applyFill="1" applyAlignment="1">
      <alignment vertical="center" shrinkToFit="1"/>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shrinkToFit="1"/>
    </xf>
    <xf numFmtId="0" fontId="12" fillId="0" borderId="7" xfId="0" applyFont="1" applyFill="1" applyBorder="1" applyAlignment="1">
      <alignment vertical="top" wrapText="1"/>
    </xf>
    <xf numFmtId="0" fontId="12" fillId="0" borderId="8" xfId="0" applyFont="1" applyFill="1" applyBorder="1" applyAlignment="1">
      <alignment vertical="top" wrapText="1"/>
    </xf>
    <xf numFmtId="0" fontId="12" fillId="0" borderId="9" xfId="0" applyFont="1" applyFill="1" applyBorder="1" applyAlignment="1">
      <alignment vertical="top" wrapText="1"/>
    </xf>
    <xf numFmtId="0" fontId="12" fillId="0" borderId="5" xfId="0" applyFont="1" applyFill="1" applyBorder="1" applyAlignment="1">
      <alignment vertical="top" wrapText="1"/>
    </xf>
    <xf numFmtId="0" fontId="12" fillId="0" borderId="0" xfId="0" applyFont="1" applyFill="1" applyBorder="1" applyAlignment="1">
      <alignment vertical="top" wrapText="1"/>
    </xf>
    <xf numFmtId="0" fontId="12" fillId="0" borderId="10" xfId="0" applyFont="1" applyFill="1" applyBorder="1" applyAlignment="1">
      <alignment vertical="top" wrapText="1"/>
    </xf>
    <xf numFmtId="0" fontId="12" fillId="0" borderId="11" xfId="0" applyFont="1" applyFill="1" applyBorder="1" applyAlignment="1">
      <alignment vertical="top" wrapText="1"/>
    </xf>
    <xf numFmtId="0" fontId="12" fillId="0" borderId="6" xfId="0" applyFont="1" applyFill="1" applyBorder="1" applyAlignment="1">
      <alignment vertical="top" wrapText="1"/>
    </xf>
    <xf numFmtId="0" fontId="12" fillId="0" borderId="12" xfId="0" applyFont="1" applyFill="1" applyBorder="1" applyAlignment="1">
      <alignment vertical="top" wrapTex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shrinkToFit="1"/>
    </xf>
    <xf numFmtId="0" fontId="0" fillId="0" borderId="0" xfId="0"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9" fillId="0" borderId="15" xfId="0" applyFont="1" applyFill="1" applyBorder="1" applyAlignment="1">
      <alignment vertical="center" shrinkToFit="1"/>
    </xf>
    <xf numFmtId="0" fontId="12" fillId="0" borderId="39" xfId="0" applyFont="1" applyFill="1" applyBorder="1" applyAlignment="1">
      <alignment vertical="center" shrinkToFit="1"/>
    </xf>
    <xf numFmtId="0" fontId="12" fillId="0" borderId="20" xfId="0" applyFont="1" applyFill="1" applyBorder="1" applyAlignment="1">
      <alignment vertical="center" shrinkToFit="1"/>
    </xf>
    <xf numFmtId="0" fontId="12" fillId="0" borderId="19" xfId="0" applyFont="1" applyFill="1" applyBorder="1" applyAlignment="1">
      <alignment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2" xfId="0" applyFont="1" applyBorder="1" applyAlignment="1">
      <alignment horizontal="left" vertical="top" shrinkToFit="1"/>
    </xf>
    <xf numFmtId="0" fontId="9" fillId="0" borderId="3" xfId="0" applyFont="1" applyBorder="1" applyAlignment="1">
      <alignment horizontal="left" vertical="top" shrinkToFit="1"/>
    </xf>
    <xf numFmtId="0" fontId="9" fillId="0" borderId="4" xfId="0" applyFont="1" applyBorder="1" applyAlignment="1">
      <alignment horizontal="left" vertical="top" shrinkToFit="1"/>
    </xf>
    <xf numFmtId="0" fontId="13" fillId="0" borderId="2" xfId="0" applyFont="1" applyBorder="1" applyAlignment="1">
      <alignment horizontal="left" vertical="top" shrinkToFit="1"/>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6" fillId="0" borderId="2" xfId="2" applyFill="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9" fillId="0" borderId="2" xfId="0" applyFont="1" applyBorder="1" applyAlignment="1">
      <alignment vertical="center" wrapText="1"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2" xfId="0" applyFont="1" applyBorder="1" applyAlignment="1">
      <alignment vertical="center" shrinkToFit="1"/>
    </xf>
    <xf numFmtId="0" fontId="8" fillId="0" borderId="16" xfId="0" applyFont="1" applyBorder="1" applyAlignment="1">
      <alignment vertical="center" wrapText="1"/>
    </xf>
    <xf numFmtId="0" fontId="8" fillId="0" borderId="42" xfId="0" applyFont="1" applyBorder="1" applyAlignment="1">
      <alignment vertical="center" wrapText="1"/>
    </xf>
    <xf numFmtId="0" fontId="8" fillId="0" borderId="13"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shrinkToFit="1"/>
    </xf>
    <xf numFmtId="0" fontId="9" fillId="0" borderId="9" xfId="0" applyFont="1" applyBorder="1" applyAlignment="1">
      <alignment horizontal="left" vertical="top" shrinkToFit="1"/>
    </xf>
    <xf numFmtId="0" fontId="9" fillId="0" borderId="5" xfId="0" applyFont="1" applyBorder="1" applyAlignment="1">
      <alignment horizontal="left" vertical="top" shrinkToFit="1"/>
    </xf>
    <xf numFmtId="0" fontId="9" fillId="0" borderId="0" xfId="0" applyFont="1" applyAlignment="1">
      <alignment horizontal="left" vertical="top" shrinkToFit="1"/>
    </xf>
    <xf numFmtId="0" fontId="9" fillId="0" borderId="10" xfId="0" applyFont="1" applyBorder="1" applyAlignment="1">
      <alignment horizontal="left" vertical="top" shrinkToFit="1"/>
    </xf>
    <xf numFmtId="0" fontId="9" fillId="0" borderId="11" xfId="0" applyFont="1" applyBorder="1" applyAlignment="1">
      <alignment horizontal="left" vertical="top" shrinkToFit="1"/>
    </xf>
    <xf numFmtId="0" fontId="9" fillId="0" borderId="6" xfId="0" applyFont="1" applyBorder="1" applyAlignment="1">
      <alignment horizontal="left" vertical="top" shrinkToFit="1"/>
    </xf>
    <xf numFmtId="0" fontId="9" fillId="0" borderId="12" xfId="0" applyFont="1" applyBorder="1" applyAlignment="1">
      <alignment horizontal="left" vertical="top" shrinkToFit="1"/>
    </xf>
    <xf numFmtId="0" fontId="8" fillId="0" borderId="2" xfId="0" applyFont="1" applyBorder="1" applyAlignment="1">
      <alignment horizontal="left" vertical="top" shrinkToFit="1"/>
    </xf>
    <xf numFmtId="0" fontId="8" fillId="0" borderId="3" xfId="0" applyFont="1" applyBorder="1" applyAlignment="1">
      <alignment horizontal="left" vertical="top" shrinkToFit="1"/>
    </xf>
    <xf numFmtId="0" fontId="8" fillId="0" borderId="4" xfId="0" applyFont="1" applyBorder="1" applyAlignment="1">
      <alignment horizontal="left" vertical="top" shrinkToFit="1"/>
    </xf>
    <xf numFmtId="0" fontId="13" fillId="0" borderId="7" xfId="0" applyFont="1" applyBorder="1" applyAlignment="1">
      <alignment horizontal="left" vertical="top"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12" fillId="0" borderId="7" xfId="0" applyFont="1" applyBorder="1" applyAlignment="1">
      <alignment vertical="top" wrapText="1" shrinkToFit="1"/>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12" fillId="0" borderId="6" xfId="0" applyFont="1" applyBorder="1">
      <alignment vertical="center"/>
    </xf>
    <xf numFmtId="0" fontId="12" fillId="0" borderId="0" xfId="0" applyFont="1" applyAlignment="1">
      <alignment vertical="center" shrinkToFit="1"/>
    </xf>
    <xf numFmtId="0" fontId="12" fillId="0" borderId="0" xfId="0" applyFont="1" applyAlignment="1">
      <alignment horizontal="center" vertical="center"/>
    </xf>
    <xf numFmtId="0" fontId="12" fillId="0" borderId="8" xfId="0" applyFont="1" applyBorder="1" applyAlignment="1">
      <alignment vertical="top" wrapText="1" shrinkToFit="1"/>
    </xf>
    <xf numFmtId="0" fontId="12" fillId="0" borderId="9" xfId="0" applyFont="1" applyBorder="1" applyAlignment="1">
      <alignment vertical="top" wrapText="1" shrinkToFit="1"/>
    </xf>
    <xf numFmtId="0" fontId="12" fillId="0" borderId="5" xfId="0" applyFont="1" applyBorder="1" applyAlignment="1">
      <alignment vertical="top" wrapText="1" shrinkToFit="1"/>
    </xf>
    <xf numFmtId="0" fontId="12" fillId="0" borderId="0" xfId="0" applyFont="1" applyAlignment="1">
      <alignment vertical="top" wrapText="1" shrinkToFit="1"/>
    </xf>
    <xf numFmtId="0" fontId="12" fillId="0" borderId="10" xfId="0" applyFont="1" applyBorder="1" applyAlignment="1">
      <alignment vertical="top" wrapText="1" shrinkToFit="1"/>
    </xf>
    <xf numFmtId="0" fontId="12" fillId="0" borderId="11" xfId="0" applyFont="1" applyBorder="1" applyAlignment="1">
      <alignment vertical="top" wrapText="1" shrinkToFi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12" fillId="0" borderId="4" xfId="0" applyFont="1" applyBorder="1" applyAlignment="1">
      <alignment vertical="center" shrinkToFit="1"/>
    </xf>
    <xf numFmtId="0" fontId="6" fillId="0" borderId="2" xfId="2" applyFill="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12" fillId="0" borderId="18" xfId="0" applyFont="1" applyBorder="1" applyAlignment="1">
      <alignment vertical="center" wrapText="1"/>
    </xf>
    <xf numFmtId="0" fontId="12" fillId="0" borderId="19" xfId="0" applyFont="1" applyBorder="1" applyAlignment="1">
      <alignment vertical="center" wrapText="1"/>
    </xf>
    <xf numFmtId="0" fontId="12" fillId="0" borderId="20" xfId="0" applyFont="1" applyBorder="1" applyAlignment="1">
      <alignment vertical="top" wrapText="1" shrinkToFit="1"/>
    </xf>
    <xf numFmtId="0" fontId="12" fillId="0" borderId="21" xfId="0" applyFont="1" applyBorder="1" applyAlignment="1">
      <alignment vertical="top" wrapText="1" shrinkToFit="1"/>
    </xf>
    <xf numFmtId="0" fontId="12" fillId="0" borderId="19" xfId="0" applyFont="1" applyBorder="1" applyAlignment="1">
      <alignment vertical="top" wrapText="1" shrinkToFit="1"/>
    </xf>
    <xf numFmtId="0" fontId="15" fillId="0" borderId="0" xfId="0" applyFont="1" applyAlignment="1">
      <alignment vertical="top"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12" fillId="0" borderId="18" xfId="0" applyFont="1" applyBorder="1">
      <alignment vertical="center"/>
    </xf>
    <xf numFmtId="0" fontId="16" fillId="0" borderId="19" xfId="0" applyFont="1" applyBorder="1">
      <alignment vertical="center"/>
    </xf>
    <xf numFmtId="0" fontId="17" fillId="0" borderId="21" xfId="0" applyFont="1" applyBorder="1" applyAlignment="1">
      <alignment vertical="top" wrapText="1" shrinkToFit="1"/>
    </xf>
    <xf numFmtId="0" fontId="12" fillId="0" borderId="22" xfId="0" applyFont="1" applyBorder="1" applyAlignment="1">
      <alignment vertical="center" wrapText="1"/>
    </xf>
    <xf numFmtId="0" fontId="12" fillId="0" borderId="23" xfId="0" applyFont="1" applyBorder="1" applyAlignment="1">
      <alignment vertical="center" wrapText="1"/>
    </xf>
    <xf numFmtId="0" fontId="12" fillId="0" borderId="24" xfId="0" applyFont="1" applyBorder="1" applyAlignment="1">
      <alignment vertical="top" wrapText="1" shrinkToFit="1"/>
    </xf>
    <xf numFmtId="0" fontId="12" fillId="0" borderId="23" xfId="0" applyFont="1" applyBorder="1" applyAlignment="1">
      <alignment vertical="top" wrapText="1" shrinkToFit="1"/>
    </xf>
    <xf numFmtId="0" fontId="12" fillId="0" borderId="20" xfId="0" applyFont="1" applyBorder="1" applyAlignment="1">
      <alignment vertical="center" wrapText="1"/>
    </xf>
    <xf numFmtId="0" fontId="12" fillId="0" borderId="21" xfId="0" applyFont="1" applyBorder="1" applyAlignment="1">
      <alignment vertical="center" wrapText="1"/>
    </xf>
    <xf numFmtId="0" fontId="3" fillId="2" borderId="7" xfId="0" applyFont="1" applyFill="1" applyBorder="1" applyAlignment="1">
      <alignment vertical="top" shrinkToFit="1"/>
    </xf>
    <xf numFmtId="0" fontId="3" fillId="2" borderId="8" xfId="0" applyFont="1" applyFill="1" applyBorder="1" applyAlignment="1">
      <alignment vertical="top" shrinkToFit="1"/>
    </xf>
    <xf numFmtId="0" fontId="3" fillId="2" borderId="9" xfId="0" applyFont="1" applyFill="1" applyBorder="1" applyAlignment="1">
      <alignment vertical="top" shrinkToFit="1"/>
    </xf>
    <xf numFmtId="0" fontId="3" fillId="2" borderId="5" xfId="0" applyFont="1" applyFill="1" applyBorder="1" applyAlignment="1">
      <alignment vertical="top" shrinkToFit="1"/>
    </xf>
    <xf numFmtId="0" fontId="3" fillId="2" borderId="0" xfId="0" applyFont="1" applyFill="1" applyBorder="1" applyAlignment="1">
      <alignment vertical="top" shrinkToFit="1"/>
    </xf>
    <xf numFmtId="0" fontId="3" fillId="2" borderId="10" xfId="0" applyFont="1" applyFill="1" applyBorder="1" applyAlignment="1">
      <alignment vertical="top" shrinkToFit="1"/>
    </xf>
    <xf numFmtId="0" fontId="3" fillId="2" borderId="11" xfId="0" applyFont="1" applyFill="1" applyBorder="1" applyAlignment="1">
      <alignment vertical="top" shrinkToFit="1"/>
    </xf>
    <xf numFmtId="0" fontId="3" fillId="2" borderId="6" xfId="0" applyFont="1" applyFill="1" applyBorder="1" applyAlignment="1">
      <alignment vertical="top" shrinkToFit="1"/>
    </xf>
    <xf numFmtId="0" fontId="3" fillId="2" borderId="12" xfId="0" applyFont="1" applyFill="1" applyBorder="1" applyAlignment="1">
      <alignment vertical="top" shrinkToFit="1"/>
    </xf>
    <xf numFmtId="0" fontId="2" fillId="2" borderId="0" xfId="0" applyFont="1" applyFill="1" applyAlignment="1">
      <alignment horizontal="right" vertical="center"/>
    </xf>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tier@ml.wakayama-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wakayama-u.ac.jp/dtier/literacy.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wakayama-u.ac.jp/dtier/literacy.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7"/>
  <sheetViews>
    <sheetView zoomScaleNormal="100" workbookViewId="0">
      <selection activeCell="J15" sqref="J15"/>
    </sheetView>
  </sheetViews>
  <sheetFormatPr defaultColWidth="9" defaultRowHeight="18.75" customHeight="1"/>
  <cols>
    <col min="1" max="1" width="2.5" style="3" customWidth="1"/>
    <col min="2" max="2" width="12.5" style="3" customWidth="1"/>
    <col min="3" max="8" width="6.1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c r="A1" s="9"/>
      <c r="B1" s="9"/>
      <c r="C1" s="9"/>
      <c r="D1" s="9"/>
      <c r="E1" s="9"/>
      <c r="F1" s="9"/>
      <c r="G1" s="9"/>
      <c r="H1" s="9"/>
      <c r="I1" s="9"/>
      <c r="J1" s="9"/>
      <c r="K1" s="9"/>
      <c r="L1" s="9"/>
      <c r="M1" s="131" t="s">
        <v>27</v>
      </c>
      <c r="N1" s="131"/>
    </row>
    <row r="2" spans="1:14" ht="22.5" customHeight="1">
      <c r="A2" s="136" t="s">
        <v>129</v>
      </c>
      <c r="B2" s="136"/>
      <c r="C2" s="136"/>
      <c r="D2" s="136"/>
      <c r="E2" s="136"/>
      <c r="F2" s="136"/>
      <c r="G2" s="136"/>
      <c r="H2" s="136"/>
      <c r="I2" s="136"/>
      <c r="J2" s="136"/>
      <c r="K2" s="136"/>
      <c r="L2" s="136"/>
      <c r="M2" s="136"/>
      <c r="N2" s="136"/>
    </row>
    <row r="3" spans="1:14" ht="22.5" customHeight="1">
      <c r="A3" s="9"/>
      <c r="B3" s="9"/>
      <c r="C3" s="9"/>
      <c r="D3" s="9"/>
      <c r="E3" s="9"/>
      <c r="F3" s="9"/>
      <c r="G3" s="9"/>
      <c r="H3" s="9"/>
      <c r="I3" s="9"/>
      <c r="J3" s="9"/>
      <c r="K3" s="9"/>
      <c r="L3" s="9"/>
      <c r="M3" s="9"/>
      <c r="N3" s="9"/>
    </row>
    <row r="4" spans="1:14" ht="22.5" customHeight="1">
      <c r="A4" s="9" t="s">
        <v>5</v>
      </c>
      <c r="B4" s="43" t="s">
        <v>18</v>
      </c>
      <c r="C4" s="123" t="s">
        <v>145</v>
      </c>
      <c r="D4" s="124"/>
      <c r="E4" s="124"/>
      <c r="F4" s="124"/>
      <c r="G4" s="124"/>
      <c r="H4" s="124"/>
      <c r="I4" s="124"/>
      <c r="J4" s="124"/>
      <c r="K4" s="124"/>
      <c r="L4" s="124"/>
      <c r="M4" s="124"/>
      <c r="N4" s="125"/>
    </row>
    <row r="5" spans="1:14" ht="7.5" customHeight="1">
      <c r="A5" s="9"/>
      <c r="B5" s="43"/>
      <c r="C5" s="43"/>
      <c r="D5" s="43"/>
      <c r="E5" s="49"/>
      <c r="F5" s="44"/>
      <c r="G5" s="44"/>
      <c r="H5" s="44"/>
      <c r="I5" s="44"/>
      <c r="J5" s="44"/>
      <c r="K5" s="44"/>
      <c r="L5" s="44"/>
      <c r="M5" s="44"/>
      <c r="N5" s="44"/>
    </row>
    <row r="6" spans="1:14" ht="22.5" customHeight="1">
      <c r="A6" s="9" t="s">
        <v>54</v>
      </c>
      <c r="B6" s="43" t="s">
        <v>55</v>
      </c>
      <c r="C6" s="43"/>
      <c r="D6" s="123" t="s">
        <v>144</v>
      </c>
      <c r="E6" s="124"/>
      <c r="F6" s="124"/>
      <c r="G6" s="124"/>
      <c r="H6" s="124"/>
      <c r="I6" s="124"/>
      <c r="J6" s="124"/>
      <c r="K6" s="124"/>
      <c r="L6" s="124"/>
      <c r="M6" s="124"/>
      <c r="N6" s="125"/>
    </row>
    <row r="7" spans="1:14" ht="7.5" customHeight="1">
      <c r="A7" s="9"/>
      <c r="B7" s="43"/>
      <c r="C7" s="43"/>
      <c r="D7" s="43"/>
      <c r="E7" s="49"/>
      <c r="F7" s="44"/>
      <c r="G7" s="44"/>
      <c r="H7" s="44"/>
      <c r="I7" s="44"/>
      <c r="J7" s="44"/>
      <c r="K7" s="44"/>
      <c r="L7" s="44"/>
      <c r="M7" s="44"/>
      <c r="N7" s="44"/>
    </row>
    <row r="8" spans="1:14" ht="22.5" customHeight="1">
      <c r="A8" s="50" t="s">
        <v>11</v>
      </c>
      <c r="B8" s="51" t="s">
        <v>56</v>
      </c>
      <c r="C8" s="123" t="s">
        <v>130</v>
      </c>
      <c r="D8" s="124"/>
      <c r="E8" s="125"/>
      <c r="F8" s="44"/>
      <c r="G8" s="135"/>
      <c r="H8" s="135"/>
      <c r="I8" s="135"/>
      <c r="J8" s="44"/>
      <c r="K8" s="44"/>
      <c r="L8" s="44"/>
      <c r="M8" s="44"/>
      <c r="N8" s="44"/>
    </row>
    <row r="9" spans="1:14" ht="7.5" customHeight="1">
      <c r="A9" s="9"/>
      <c r="B9" s="43"/>
      <c r="C9" s="43"/>
      <c r="D9" s="43"/>
      <c r="E9" s="49"/>
      <c r="F9" s="44"/>
      <c r="G9" s="44"/>
      <c r="H9" s="44"/>
      <c r="I9" s="44"/>
      <c r="J9" s="44"/>
      <c r="K9" s="44"/>
      <c r="L9" s="44"/>
      <c r="M9" s="44"/>
      <c r="N9" s="44"/>
    </row>
    <row r="10" spans="1:14" ht="22.5" customHeight="1">
      <c r="A10" s="9" t="s">
        <v>15</v>
      </c>
      <c r="B10" s="43" t="s">
        <v>51</v>
      </c>
      <c r="C10" s="123" t="s">
        <v>131</v>
      </c>
      <c r="D10" s="124"/>
      <c r="E10" s="124"/>
      <c r="F10" s="124"/>
      <c r="G10" s="124"/>
      <c r="H10" s="124"/>
      <c r="I10" s="124"/>
      <c r="J10" s="124"/>
      <c r="K10" s="124"/>
      <c r="L10" s="124"/>
      <c r="M10" s="124"/>
      <c r="N10" s="125"/>
    </row>
    <row r="11" spans="1:14" ht="7.5" customHeight="1">
      <c r="A11" s="9"/>
      <c r="B11" s="43"/>
      <c r="C11" s="43"/>
      <c r="D11" s="43"/>
      <c r="E11" s="49"/>
      <c r="F11" s="44"/>
      <c r="G11" s="44"/>
      <c r="H11" s="44"/>
      <c r="I11" s="44"/>
      <c r="J11" s="44"/>
      <c r="K11" s="44"/>
      <c r="L11" s="44"/>
      <c r="M11" s="44"/>
      <c r="N11" s="44"/>
    </row>
    <row r="12" spans="1:14" ht="22.5" customHeight="1">
      <c r="A12" s="42" t="s">
        <v>12</v>
      </c>
      <c r="B12" s="43" t="s">
        <v>125</v>
      </c>
      <c r="C12" s="43"/>
      <c r="D12" s="43"/>
      <c r="E12" s="44"/>
      <c r="F12" s="45"/>
      <c r="G12" s="137" t="s">
        <v>150</v>
      </c>
      <c r="H12" s="138"/>
      <c r="I12" s="138"/>
      <c r="J12" s="138"/>
      <c r="K12" s="138"/>
      <c r="L12" s="138"/>
      <c r="M12" s="138"/>
      <c r="N12" s="139"/>
    </row>
    <row r="13" spans="1:14" ht="7.5" customHeight="1">
      <c r="A13" s="9"/>
      <c r="B13" s="49"/>
      <c r="C13" s="49"/>
      <c r="D13" s="49"/>
      <c r="E13" s="49"/>
      <c r="F13" s="44"/>
      <c r="G13" s="44"/>
      <c r="H13" s="44"/>
      <c r="I13" s="44"/>
      <c r="J13" s="44"/>
      <c r="K13" s="44"/>
      <c r="L13" s="44"/>
      <c r="M13" s="44"/>
      <c r="N13" s="44"/>
    </row>
    <row r="14" spans="1:14" ht="22.5" customHeight="1">
      <c r="A14" s="9" t="s">
        <v>66</v>
      </c>
      <c r="B14" s="49" t="s">
        <v>67</v>
      </c>
      <c r="C14" s="49"/>
      <c r="D14" s="49"/>
      <c r="E14" s="49"/>
      <c r="F14" s="123" t="s">
        <v>154</v>
      </c>
      <c r="G14" s="124"/>
      <c r="H14" s="125"/>
      <c r="I14" s="44"/>
      <c r="J14" s="44"/>
      <c r="K14" s="44"/>
      <c r="L14" s="44"/>
      <c r="M14" s="44"/>
      <c r="N14" s="44"/>
    </row>
    <row r="15" spans="1:14" ht="7.5" customHeight="1">
      <c r="A15" s="9"/>
      <c r="B15" s="49"/>
      <c r="C15" s="49"/>
      <c r="D15" s="49"/>
      <c r="E15" s="49"/>
      <c r="F15" s="44"/>
      <c r="G15" s="44"/>
      <c r="H15" s="44"/>
      <c r="I15" s="44"/>
      <c r="J15" s="44"/>
      <c r="K15" s="44"/>
      <c r="L15" s="44"/>
      <c r="M15" s="44"/>
      <c r="N15" s="44"/>
    </row>
    <row r="16" spans="1:14" ht="22.5" customHeight="1">
      <c r="A16" s="9" t="s">
        <v>13</v>
      </c>
      <c r="B16" s="9" t="s">
        <v>0</v>
      </c>
      <c r="C16" s="132" t="s">
        <v>4</v>
      </c>
      <c r="D16" s="133"/>
      <c r="E16" s="118">
        <v>272</v>
      </c>
      <c r="F16" s="119"/>
      <c r="G16" s="52" t="s">
        <v>8</v>
      </c>
      <c r="H16" s="9"/>
      <c r="I16" s="132" t="s">
        <v>9</v>
      </c>
      <c r="J16" s="133"/>
      <c r="K16" s="118">
        <v>141</v>
      </c>
      <c r="L16" s="134"/>
      <c r="M16" s="119"/>
      <c r="N16" s="53" t="s">
        <v>8</v>
      </c>
    </row>
    <row r="17" spans="1:18" ht="7.5" customHeight="1">
      <c r="A17" s="9"/>
      <c r="B17" s="9"/>
      <c r="C17" s="9"/>
      <c r="D17" s="9"/>
      <c r="E17" s="9"/>
      <c r="F17" s="54"/>
      <c r="G17" s="54"/>
      <c r="H17" s="54"/>
      <c r="I17" s="54"/>
      <c r="J17" s="54"/>
      <c r="K17" s="54"/>
      <c r="L17" s="54"/>
      <c r="M17" s="53"/>
      <c r="N17" s="53"/>
    </row>
    <row r="18" spans="1:18" ht="22.5" customHeight="1">
      <c r="A18" s="42" t="s">
        <v>60</v>
      </c>
      <c r="B18" s="9" t="s">
        <v>89</v>
      </c>
      <c r="C18" s="9"/>
      <c r="D18" s="9"/>
      <c r="E18" s="9"/>
      <c r="F18" s="54"/>
      <c r="G18" s="54"/>
      <c r="H18" s="54"/>
      <c r="I18" s="54"/>
      <c r="J18" s="54"/>
      <c r="K18" s="128">
        <v>7</v>
      </c>
      <c r="L18" s="129"/>
      <c r="M18" s="130"/>
      <c r="N18" s="53" t="s">
        <v>58</v>
      </c>
      <c r="O18" s="9"/>
      <c r="P18" s="9"/>
      <c r="Q18" s="9"/>
      <c r="R18" s="9"/>
    </row>
    <row r="19" spans="1:18" ht="7.5" customHeight="1">
      <c r="A19" s="9"/>
      <c r="B19" s="9"/>
      <c r="C19" s="9"/>
      <c r="D19" s="9"/>
      <c r="E19" s="9"/>
      <c r="F19" s="54"/>
      <c r="G19" s="54"/>
      <c r="H19" s="54"/>
      <c r="I19" s="54"/>
      <c r="J19" s="54"/>
      <c r="K19" s="54"/>
      <c r="L19" s="54"/>
      <c r="M19" s="53"/>
      <c r="N19" s="53"/>
    </row>
    <row r="20" spans="1:18" ht="22.5" customHeight="1">
      <c r="A20" s="9" t="s">
        <v>68</v>
      </c>
      <c r="B20" s="9" t="s">
        <v>122</v>
      </c>
      <c r="C20" s="9"/>
      <c r="D20" s="9"/>
      <c r="E20" s="118">
        <v>890</v>
      </c>
      <c r="F20" s="119"/>
      <c r="G20" s="55" t="s">
        <v>23</v>
      </c>
      <c r="H20" s="54"/>
      <c r="I20" s="9"/>
      <c r="J20" s="9"/>
      <c r="K20" s="140"/>
      <c r="L20" s="140"/>
      <c r="M20" s="140"/>
      <c r="N20" s="140"/>
    </row>
    <row r="21" spans="1:18" ht="7.5" customHeight="1">
      <c r="A21" s="9"/>
      <c r="B21" s="9"/>
      <c r="C21" s="9"/>
      <c r="D21" s="9"/>
      <c r="E21" s="56"/>
      <c r="F21" s="54"/>
      <c r="G21" s="54"/>
      <c r="H21" s="9"/>
      <c r="I21" s="9"/>
      <c r="J21" s="9"/>
      <c r="K21" s="9"/>
      <c r="L21" s="57"/>
      <c r="M21" s="57"/>
      <c r="N21" s="58"/>
    </row>
    <row r="22" spans="1:18" ht="22.5" customHeight="1">
      <c r="A22" s="9" t="s">
        <v>26</v>
      </c>
      <c r="B22" s="9" t="s">
        <v>123</v>
      </c>
      <c r="C22" s="9"/>
      <c r="D22" s="9"/>
      <c r="E22" s="56"/>
      <c r="F22" s="54"/>
      <c r="G22" s="54"/>
      <c r="H22" s="9" t="s">
        <v>59</v>
      </c>
      <c r="I22" s="9"/>
      <c r="J22" s="128">
        <v>3966</v>
      </c>
      <c r="K22" s="129"/>
      <c r="L22" s="130"/>
      <c r="M22" s="57" t="s">
        <v>58</v>
      </c>
      <c r="N22" s="58"/>
    </row>
    <row r="23" spans="1:18" ht="7.5" customHeight="1">
      <c r="A23" s="9"/>
      <c r="B23" s="9"/>
      <c r="C23" s="9"/>
      <c r="D23" s="9"/>
      <c r="E23" s="56"/>
      <c r="F23" s="54"/>
      <c r="G23" s="54"/>
      <c r="H23" s="9"/>
      <c r="I23" s="9"/>
      <c r="J23" s="9"/>
      <c r="K23" s="9"/>
      <c r="L23" s="57"/>
      <c r="M23" s="57"/>
      <c r="N23" s="58"/>
    </row>
    <row r="24" spans="1:18" ht="22.5" customHeight="1">
      <c r="A24" s="9"/>
      <c r="B24" s="59" t="s">
        <v>19</v>
      </c>
      <c r="C24" s="118">
        <v>906</v>
      </c>
      <c r="D24" s="119"/>
      <c r="E24" s="56" t="s">
        <v>24</v>
      </c>
      <c r="F24" s="54"/>
      <c r="G24" s="114" t="s">
        <v>20</v>
      </c>
      <c r="H24" s="114"/>
      <c r="I24" s="118">
        <v>941</v>
      </c>
      <c r="J24" s="119"/>
      <c r="K24" s="50" t="s">
        <v>24</v>
      </c>
      <c r="L24" s="9"/>
      <c r="M24" s="57"/>
      <c r="N24" s="58"/>
      <c r="O24" s="4"/>
    </row>
    <row r="25" spans="1:18" ht="7.5" customHeight="1">
      <c r="A25" s="9"/>
      <c r="B25" s="59"/>
      <c r="C25" s="60"/>
      <c r="D25" s="60"/>
      <c r="E25" s="56"/>
      <c r="F25" s="54"/>
      <c r="G25" s="57"/>
      <c r="H25" s="57"/>
      <c r="I25" s="60"/>
      <c r="J25" s="60"/>
      <c r="K25" s="50"/>
      <c r="L25" s="9"/>
      <c r="M25" s="57"/>
      <c r="N25" s="58"/>
      <c r="O25" s="4"/>
    </row>
    <row r="26" spans="1:18" ht="22.5" customHeight="1">
      <c r="A26" s="9"/>
      <c r="B26" s="59" t="s">
        <v>21</v>
      </c>
      <c r="C26" s="118">
        <v>955</v>
      </c>
      <c r="D26" s="119"/>
      <c r="E26" s="56" t="s">
        <v>24</v>
      </c>
      <c r="F26" s="54"/>
      <c r="G26" s="114" t="s">
        <v>22</v>
      </c>
      <c r="H26" s="114"/>
      <c r="I26" s="118">
        <v>1164</v>
      </c>
      <c r="J26" s="119"/>
      <c r="K26" s="50" t="s">
        <v>24</v>
      </c>
      <c r="L26" s="9"/>
      <c r="M26" s="57"/>
      <c r="N26" s="58"/>
    </row>
    <row r="27" spans="1:18" ht="7.5" customHeight="1">
      <c r="A27" s="9"/>
      <c r="B27" s="59"/>
      <c r="C27" s="60"/>
      <c r="D27" s="60"/>
      <c r="E27" s="56"/>
      <c r="F27" s="54"/>
      <c r="G27" s="57"/>
      <c r="H27" s="57"/>
      <c r="I27" s="60"/>
      <c r="J27" s="60"/>
      <c r="K27" s="50"/>
      <c r="L27" s="9"/>
      <c r="M27" s="57"/>
      <c r="N27" s="58"/>
    </row>
    <row r="28" spans="1:18" ht="22.5" customHeight="1">
      <c r="A28" s="9"/>
      <c r="B28" s="59" t="s">
        <v>52</v>
      </c>
      <c r="C28" s="118"/>
      <c r="D28" s="119"/>
      <c r="E28" s="56" t="s">
        <v>8</v>
      </c>
      <c r="F28" s="54"/>
      <c r="G28" s="114" t="s">
        <v>53</v>
      </c>
      <c r="H28" s="114"/>
      <c r="I28" s="118"/>
      <c r="J28" s="119"/>
      <c r="K28" s="50" t="s">
        <v>8</v>
      </c>
      <c r="L28" s="9"/>
      <c r="M28" s="57"/>
      <c r="N28" s="58"/>
    </row>
    <row r="29" spans="1:18" ht="7.5" customHeight="1">
      <c r="A29" s="9"/>
      <c r="B29" s="9"/>
      <c r="C29" s="9"/>
      <c r="D29" s="9"/>
      <c r="E29" s="9"/>
      <c r="F29" s="54"/>
      <c r="G29" s="54"/>
      <c r="H29" s="9"/>
      <c r="I29" s="9"/>
      <c r="J29" s="9"/>
      <c r="K29" s="9"/>
      <c r="L29" s="9"/>
      <c r="M29" s="61"/>
      <c r="N29" s="61"/>
    </row>
    <row r="30" spans="1:18" ht="22.5" customHeight="1">
      <c r="A30" s="9" t="s">
        <v>121</v>
      </c>
      <c r="B30" s="43" t="s">
        <v>112</v>
      </c>
      <c r="C30" s="43"/>
      <c r="D30" s="43"/>
      <c r="E30" s="43"/>
      <c r="F30" s="50"/>
      <c r="G30" s="44"/>
      <c r="H30" s="44"/>
      <c r="I30" s="44"/>
      <c r="J30" s="62"/>
      <c r="K30" s="62"/>
      <c r="L30" s="62"/>
      <c r="M30" s="62"/>
      <c r="N30" s="62"/>
    </row>
    <row r="31" spans="1:18" s="4" customFormat="1" ht="22.5" customHeight="1">
      <c r="A31" s="42"/>
      <c r="B31" s="122" t="s">
        <v>111</v>
      </c>
      <c r="C31" s="122"/>
      <c r="D31" s="123" t="s">
        <v>142</v>
      </c>
      <c r="E31" s="124"/>
      <c r="F31" s="124"/>
      <c r="G31" s="126" t="s">
        <v>25</v>
      </c>
      <c r="H31" s="122"/>
      <c r="I31" s="127"/>
      <c r="J31" s="123" t="s">
        <v>132</v>
      </c>
      <c r="K31" s="124"/>
      <c r="L31" s="124"/>
      <c r="M31" s="124"/>
      <c r="N31" s="125"/>
    </row>
    <row r="32" spans="1:18" ht="7.5" customHeight="1">
      <c r="A32" s="9"/>
      <c r="B32" s="9"/>
      <c r="C32" s="9"/>
      <c r="D32" s="9"/>
      <c r="E32" s="9"/>
      <c r="F32" s="54"/>
      <c r="G32" s="54"/>
      <c r="H32" s="9"/>
      <c r="I32" s="9"/>
      <c r="J32" s="9"/>
      <c r="K32" s="9"/>
      <c r="L32" s="9"/>
      <c r="M32" s="61"/>
      <c r="N32" s="61"/>
    </row>
    <row r="33" spans="1:14" ht="22.5" customHeight="1">
      <c r="A33" s="42" t="s">
        <v>57</v>
      </c>
      <c r="B33" s="43" t="s">
        <v>126</v>
      </c>
      <c r="C33" s="43"/>
      <c r="D33" s="43"/>
      <c r="E33" s="43"/>
      <c r="F33" s="50"/>
      <c r="G33" s="62"/>
      <c r="H33" s="62"/>
      <c r="I33" s="62"/>
      <c r="J33" s="62"/>
      <c r="K33" s="62"/>
      <c r="L33" s="62"/>
      <c r="M33" s="62"/>
      <c r="N33" s="62"/>
    </row>
    <row r="34" spans="1:14" ht="22.5" customHeight="1">
      <c r="A34" s="9"/>
      <c r="B34" s="123" t="s">
        <v>141</v>
      </c>
      <c r="C34" s="124"/>
      <c r="D34" s="124"/>
      <c r="E34" s="124"/>
      <c r="F34" s="124"/>
      <c r="G34" s="124"/>
      <c r="H34" s="124"/>
      <c r="I34" s="124"/>
      <c r="J34" s="124"/>
      <c r="K34" s="124"/>
      <c r="L34" s="124"/>
      <c r="M34" s="124"/>
      <c r="N34" s="125"/>
    </row>
    <row r="35" spans="1:14" ht="7.5" customHeight="1">
      <c r="A35" s="9"/>
      <c r="B35" s="63"/>
      <c r="C35" s="63"/>
      <c r="D35" s="63"/>
      <c r="E35" s="63"/>
      <c r="F35" s="63"/>
      <c r="G35" s="63"/>
      <c r="H35" s="63"/>
      <c r="I35" s="63"/>
      <c r="J35" s="63"/>
      <c r="K35" s="63"/>
      <c r="L35" s="63"/>
      <c r="M35" s="63"/>
      <c r="N35" s="63"/>
    </row>
    <row r="36" spans="1:14" s="4" customFormat="1" ht="22.5" customHeight="1">
      <c r="A36" s="42"/>
      <c r="B36" s="122" t="s">
        <v>111</v>
      </c>
      <c r="C36" s="122"/>
      <c r="D36" s="123" t="s">
        <v>153</v>
      </c>
      <c r="E36" s="124"/>
      <c r="F36" s="124"/>
      <c r="G36" s="126" t="s">
        <v>62</v>
      </c>
      <c r="H36" s="122"/>
      <c r="I36" s="127"/>
      <c r="J36" s="123" t="s">
        <v>173</v>
      </c>
      <c r="K36" s="124"/>
      <c r="L36" s="124"/>
      <c r="M36" s="124"/>
      <c r="N36" s="125"/>
    </row>
    <row r="37" spans="1:14" ht="7.5" customHeight="1">
      <c r="A37" s="9"/>
      <c r="B37" s="9"/>
      <c r="C37" s="9"/>
      <c r="D37" s="9"/>
      <c r="E37" s="9"/>
      <c r="F37" s="44"/>
      <c r="G37" s="44"/>
      <c r="H37" s="44"/>
      <c r="I37" s="44"/>
      <c r="J37" s="44"/>
      <c r="K37" s="44"/>
      <c r="L37" s="44"/>
      <c r="M37" s="44"/>
      <c r="N37" s="44"/>
    </row>
    <row r="38" spans="1:14" ht="22.5" customHeight="1">
      <c r="A38" s="42" t="s">
        <v>61</v>
      </c>
      <c r="B38" s="9" t="s">
        <v>127</v>
      </c>
      <c r="C38" s="9"/>
      <c r="D38" s="9"/>
      <c r="E38" s="9"/>
      <c r="F38" s="9"/>
      <c r="G38" s="9"/>
      <c r="H38" s="9"/>
      <c r="I38" s="9"/>
      <c r="J38" s="9"/>
      <c r="K38" s="9"/>
      <c r="L38" s="9"/>
      <c r="M38" s="61"/>
      <c r="N38" s="61"/>
    </row>
    <row r="39" spans="1:14" ht="22.5" customHeight="1">
      <c r="A39" s="9"/>
      <c r="B39" s="123" t="s">
        <v>152</v>
      </c>
      <c r="C39" s="124"/>
      <c r="D39" s="124"/>
      <c r="E39" s="124"/>
      <c r="F39" s="124"/>
      <c r="G39" s="124"/>
      <c r="H39" s="124"/>
      <c r="I39" s="124"/>
      <c r="J39" s="124"/>
      <c r="K39" s="124"/>
      <c r="L39" s="124"/>
      <c r="M39" s="124"/>
      <c r="N39" s="125"/>
    </row>
    <row r="40" spans="1:14" ht="7.5" customHeight="1">
      <c r="A40" s="9"/>
      <c r="B40" s="9"/>
      <c r="C40" s="9"/>
      <c r="D40" s="9"/>
      <c r="E40" s="9"/>
      <c r="F40" s="44"/>
      <c r="G40" s="44"/>
      <c r="H40" s="44"/>
      <c r="I40" s="44"/>
      <c r="J40" s="44"/>
      <c r="K40" s="44"/>
      <c r="L40" s="44"/>
      <c r="M40" s="44"/>
      <c r="N40" s="44"/>
    </row>
    <row r="41" spans="1:14" s="4" customFormat="1" ht="22.5" customHeight="1">
      <c r="A41" s="42"/>
      <c r="B41" s="122" t="s">
        <v>111</v>
      </c>
      <c r="C41" s="122"/>
      <c r="D41" s="123" t="s">
        <v>142</v>
      </c>
      <c r="E41" s="124"/>
      <c r="F41" s="124"/>
      <c r="G41" s="126" t="s">
        <v>62</v>
      </c>
      <c r="H41" s="122"/>
      <c r="I41" s="127"/>
      <c r="J41" s="123" t="s">
        <v>174</v>
      </c>
      <c r="K41" s="124"/>
      <c r="L41" s="124"/>
      <c r="M41" s="124"/>
      <c r="N41" s="125"/>
    </row>
    <row r="42" spans="1:14" ht="7.5" customHeight="1">
      <c r="A42" s="9"/>
      <c r="B42" s="9"/>
      <c r="C42" s="9"/>
      <c r="D42" s="9"/>
      <c r="E42" s="9"/>
      <c r="F42" s="44"/>
      <c r="G42" s="44"/>
      <c r="H42" s="44"/>
      <c r="I42" s="44"/>
      <c r="J42" s="44"/>
      <c r="K42" s="44"/>
      <c r="L42" s="44"/>
      <c r="M42" s="44"/>
      <c r="N42" s="44"/>
    </row>
    <row r="43" spans="1:14" ht="22.5" customHeight="1">
      <c r="A43" s="9" t="s">
        <v>69</v>
      </c>
      <c r="B43" s="42" t="s">
        <v>88</v>
      </c>
      <c r="C43" s="9"/>
      <c r="D43" s="9"/>
      <c r="E43" s="45"/>
      <c r="F43" s="123" t="s">
        <v>133</v>
      </c>
      <c r="G43" s="124"/>
      <c r="H43" s="124"/>
      <c r="I43" s="124"/>
      <c r="J43" s="124"/>
      <c r="K43" s="124"/>
      <c r="L43" s="124"/>
      <c r="M43" s="124"/>
      <c r="N43" s="125"/>
    </row>
    <row r="44" spans="1:14" ht="7.5" customHeight="1">
      <c r="A44" s="9"/>
      <c r="B44" s="9"/>
      <c r="C44" s="9"/>
      <c r="D44" s="9"/>
      <c r="E44" s="9"/>
      <c r="F44" s="44"/>
      <c r="G44" s="44"/>
      <c r="H44" s="44"/>
      <c r="I44" s="44"/>
      <c r="J44" s="44"/>
      <c r="K44" s="44"/>
      <c r="L44" s="44"/>
      <c r="M44" s="44"/>
      <c r="N44" s="44"/>
    </row>
    <row r="45" spans="1:14" ht="22.5" customHeight="1">
      <c r="A45" s="9" t="s">
        <v>2</v>
      </c>
      <c r="B45" s="9"/>
      <c r="C45" s="9"/>
      <c r="D45" s="9"/>
      <c r="E45" s="9"/>
      <c r="F45" s="9"/>
      <c r="G45" s="9"/>
      <c r="H45" s="9"/>
      <c r="I45" s="9"/>
      <c r="J45" s="9"/>
      <c r="K45" s="9"/>
      <c r="L45" s="9"/>
      <c r="M45" s="9"/>
      <c r="N45" s="9"/>
    </row>
    <row r="46" spans="1:14" ht="22.5" customHeight="1">
      <c r="B46" s="105" t="s">
        <v>1</v>
      </c>
      <c r="C46" s="120" t="s">
        <v>182</v>
      </c>
      <c r="D46" s="121"/>
      <c r="E46" s="121"/>
      <c r="F46" s="121"/>
      <c r="G46" s="121"/>
      <c r="H46" s="121"/>
      <c r="I46" s="106" t="s">
        <v>185</v>
      </c>
      <c r="J46" s="107"/>
      <c r="K46" s="115" t="s">
        <v>187</v>
      </c>
      <c r="L46" s="116"/>
      <c r="M46" s="116"/>
      <c r="N46" s="117"/>
    </row>
    <row r="47" spans="1:14" ht="22.5" customHeight="1">
      <c r="B47" s="105" t="s">
        <v>3</v>
      </c>
      <c r="C47" s="108" t="s">
        <v>183</v>
      </c>
      <c r="D47" s="109"/>
      <c r="E47" s="109"/>
      <c r="F47" s="109"/>
      <c r="G47" s="109"/>
      <c r="H47" s="110"/>
      <c r="I47" s="106" t="s">
        <v>186</v>
      </c>
      <c r="J47" s="107"/>
      <c r="K47" s="111" t="s">
        <v>184</v>
      </c>
      <c r="L47" s="112"/>
      <c r="M47" s="112"/>
      <c r="N47" s="113"/>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D2C3CFEF-6FDD-4529-939E-DCFB9C61956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M5" sqref="M5"/>
    </sheetView>
  </sheetViews>
  <sheetFormatPr defaultColWidth="9" defaultRowHeight="18.75" customHeight="1"/>
  <cols>
    <col min="1" max="2" width="2.5" style="9" customWidth="1"/>
    <col min="3" max="3" width="20" style="9" customWidth="1"/>
    <col min="4" max="4" width="8.625" style="9" customWidth="1"/>
    <col min="5" max="5" width="7.5" style="9" customWidth="1"/>
    <col min="6" max="6" width="2.5" style="9" customWidth="1"/>
    <col min="7" max="7" width="15" style="9" customWidth="1"/>
    <col min="8" max="8" width="12.5" style="9" customWidth="1"/>
    <col min="9" max="9" width="11.125" style="9" customWidth="1"/>
    <col min="10" max="16384" width="9" style="9"/>
  </cols>
  <sheetData>
    <row r="1" spans="1:9" ht="18.75" customHeight="1">
      <c r="I1" s="64" t="s">
        <v>151</v>
      </c>
    </row>
    <row r="2" spans="1:9" ht="18.75" customHeight="1">
      <c r="G2" s="65" t="s">
        <v>30</v>
      </c>
      <c r="H2" s="141" t="s">
        <v>145</v>
      </c>
      <c r="I2" s="141"/>
    </row>
    <row r="3" spans="1:9" ht="7.5" customHeight="1"/>
    <row r="4" spans="1:9" ht="18.75" customHeight="1">
      <c r="A4" s="136" t="s">
        <v>86</v>
      </c>
      <c r="B4" s="136"/>
      <c r="C4" s="136"/>
      <c r="D4" s="136"/>
      <c r="E4" s="136"/>
      <c r="F4" s="136"/>
      <c r="G4" s="136"/>
      <c r="H4" s="136"/>
      <c r="I4" s="136"/>
    </row>
    <row r="5" spans="1:9" ht="7.5" customHeight="1">
      <c r="C5" s="59"/>
      <c r="D5" s="59"/>
      <c r="E5" s="59"/>
      <c r="F5" s="59"/>
      <c r="G5" s="59"/>
      <c r="H5" s="59"/>
      <c r="I5" s="59"/>
    </row>
    <row r="6" spans="1:9" ht="18.75" customHeight="1">
      <c r="A6" s="9" t="s">
        <v>5</v>
      </c>
      <c r="B6" s="9" t="s">
        <v>98</v>
      </c>
      <c r="C6" s="59"/>
      <c r="D6" s="59"/>
      <c r="E6" s="128" t="s">
        <v>134</v>
      </c>
      <c r="F6" s="129"/>
      <c r="G6" s="129"/>
      <c r="H6" s="129"/>
      <c r="I6" s="130"/>
    </row>
    <row r="7" spans="1:9" ht="7.5" customHeight="1">
      <c r="C7" s="59"/>
      <c r="D7" s="59"/>
      <c r="F7" s="57"/>
      <c r="G7" s="57"/>
      <c r="H7" s="57"/>
      <c r="I7" s="57"/>
    </row>
    <row r="8" spans="1:9" ht="18.75" customHeight="1">
      <c r="A8" s="9" t="s">
        <v>10</v>
      </c>
      <c r="B8" s="9" t="s">
        <v>99</v>
      </c>
      <c r="C8" s="59"/>
      <c r="D8" s="59"/>
      <c r="E8" s="59"/>
      <c r="F8" s="59"/>
      <c r="G8" s="59"/>
      <c r="H8" s="59"/>
      <c r="I8" s="59"/>
    </row>
    <row r="9" spans="1:9" ht="18.75" customHeight="1">
      <c r="B9" s="144" t="s">
        <v>178</v>
      </c>
      <c r="C9" s="145"/>
      <c r="D9" s="145"/>
      <c r="E9" s="145"/>
      <c r="F9" s="145"/>
      <c r="G9" s="145"/>
      <c r="H9" s="145"/>
      <c r="I9" s="146"/>
    </row>
    <row r="10" spans="1:9" ht="18.75" customHeight="1">
      <c r="B10" s="147"/>
      <c r="C10" s="148"/>
      <c r="D10" s="148"/>
      <c r="E10" s="148"/>
      <c r="F10" s="148"/>
      <c r="G10" s="148"/>
      <c r="H10" s="148"/>
      <c r="I10" s="149"/>
    </row>
    <row r="11" spans="1:9" ht="18.75" customHeight="1">
      <c r="B11" s="147"/>
      <c r="C11" s="148"/>
      <c r="D11" s="148"/>
      <c r="E11" s="148"/>
      <c r="F11" s="148"/>
      <c r="G11" s="148"/>
      <c r="H11" s="148"/>
      <c r="I11" s="149"/>
    </row>
    <row r="12" spans="1:9" ht="18.75" customHeight="1">
      <c r="B12" s="147"/>
      <c r="C12" s="148"/>
      <c r="D12" s="148"/>
      <c r="E12" s="148"/>
      <c r="F12" s="148"/>
      <c r="G12" s="148"/>
      <c r="H12" s="148"/>
      <c r="I12" s="149"/>
    </row>
    <row r="13" spans="1:9" ht="18.75" customHeight="1">
      <c r="B13" s="147"/>
      <c r="C13" s="148"/>
      <c r="D13" s="148"/>
      <c r="E13" s="148"/>
      <c r="F13" s="148"/>
      <c r="G13" s="148"/>
      <c r="H13" s="148"/>
      <c r="I13" s="149"/>
    </row>
    <row r="14" spans="1:9" ht="18.75" customHeight="1">
      <c r="B14" s="147"/>
      <c r="C14" s="148"/>
      <c r="D14" s="148"/>
      <c r="E14" s="148"/>
      <c r="F14" s="148"/>
      <c r="G14" s="148"/>
      <c r="H14" s="148"/>
      <c r="I14" s="149"/>
    </row>
    <row r="15" spans="1:9" ht="18.75" customHeight="1">
      <c r="B15" s="147"/>
      <c r="C15" s="148"/>
      <c r="D15" s="148"/>
      <c r="E15" s="148"/>
      <c r="F15" s="148"/>
      <c r="G15" s="148"/>
      <c r="H15" s="148"/>
      <c r="I15" s="149"/>
    </row>
    <row r="16" spans="1:9" ht="18.75" customHeight="1">
      <c r="B16" s="150"/>
      <c r="C16" s="151"/>
      <c r="D16" s="151"/>
      <c r="E16" s="151"/>
      <c r="F16" s="151"/>
      <c r="G16" s="151"/>
      <c r="H16" s="151"/>
      <c r="I16" s="152"/>
    </row>
    <row r="17" spans="1:10" ht="7.5" customHeight="1">
      <c r="C17" s="59"/>
      <c r="D17" s="59"/>
      <c r="E17" s="59"/>
      <c r="F17" s="59"/>
      <c r="G17" s="59"/>
      <c r="H17" s="59"/>
      <c r="I17" s="59"/>
    </row>
    <row r="18" spans="1:10" ht="18.75" customHeight="1">
      <c r="A18" s="59" t="s">
        <v>11</v>
      </c>
      <c r="B18" s="43" t="s">
        <v>100</v>
      </c>
      <c r="C18" s="43"/>
      <c r="D18" s="43"/>
      <c r="E18" s="43"/>
      <c r="F18" s="59"/>
      <c r="G18" s="59"/>
      <c r="H18" s="59"/>
      <c r="I18" s="59"/>
      <c r="J18" s="59"/>
    </row>
    <row r="19" spans="1:10" ht="18.75" customHeight="1">
      <c r="A19" s="142" t="s">
        <v>100</v>
      </c>
      <c r="B19" s="142"/>
      <c r="C19" s="142"/>
      <c r="D19" s="142"/>
      <c r="E19" s="142"/>
      <c r="F19" s="143" t="s">
        <v>100</v>
      </c>
      <c r="G19" s="143"/>
      <c r="H19" s="143"/>
      <c r="I19" s="143"/>
    </row>
    <row r="20" spans="1:10" ht="18.75" customHeight="1">
      <c r="A20" s="66">
        <v>1</v>
      </c>
      <c r="B20" s="137" t="s">
        <v>135</v>
      </c>
      <c r="C20" s="138"/>
      <c r="D20" s="138"/>
      <c r="E20" s="139"/>
      <c r="F20" s="66">
        <v>26</v>
      </c>
      <c r="G20" s="137"/>
      <c r="H20" s="138"/>
      <c r="I20" s="139"/>
    </row>
    <row r="21" spans="1:10" ht="18.75" customHeight="1">
      <c r="A21" s="66">
        <v>2</v>
      </c>
      <c r="B21" s="137" t="s">
        <v>136</v>
      </c>
      <c r="C21" s="138"/>
      <c r="D21" s="138"/>
      <c r="E21" s="139"/>
      <c r="F21" s="66">
        <v>27</v>
      </c>
      <c r="G21" s="137"/>
      <c r="H21" s="138"/>
      <c r="I21" s="139"/>
    </row>
    <row r="22" spans="1:10" ht="18.75" customHeight="1">
      <c r="A22" s="66">
        <v>3</v>
      </c>
      <c r="B22" s="137"/>
      <c r="C22" s="138"/>
      <c r="D22" s="138"/>
      <c r="E22" s="139"/>
      <c r="F22" s="66">
        <v>28</v>
      </c>
      <c r="G22" s="137"/>
      <c r="H22" s="138"/>
      <c r="I22" s="139"/>
    </row>
    <row r="23" spans="1:10" ht="18.75" customHeight="1">
      <c r="A23" s="66">
        <v>4</v>
      </c>
      <c r="B23" s="137"/>
      <c r="C23" s="138"/>
      <c r="D23" s="138"/>
      <c r="E23" s="139"/>
      <c r="F23" s="66">
        <v>29</v>
      </c>
      <c r="G23" s="137"/>
      <c r="H23" s="138"/>
      <c r="I23" s="139"/>
    </row>
    <row r="24" spans="1:10" ht="18.75" customHeight="1">
      <c r="A24" s="66">
        <v>5</v>
      </c>
      <c r="B24" s="137"/>
      <c r="C24" s="138"/>
      <c r="D24" s="138"/>
      <c r="E24" s="139"/>
      <c r="F24" s="66">
        <v>30</v>
      </c>
      <c r="G24" s="137"/>
      <c r="H24" s="138"/>
      <c r="I24" s="139"/>
    </row>
    <row r="25" spans="1:10" ht="18.75" customHeight="1">
      <c r="A25" s="66">
        <v>6</v>
      </c>
      <c r="B25" s="137"/>
      <c r="C25" s="138"/>
      <c r="D25" s="138"/>
      <c r="E25" s="139"/>
      <c r="F25" s="66">
        <v>31</v>
      </c>
      <c r="G25" s="137"/>
      <c r="H25" s="138"/>
      <c r="I25" s="139"/>
    </row>
    <row r="26" spans="1:10" ht="18.75" customHeight="1">
      <c r="A26" s="66">
        <v>7</v>
      </c>
      <c r="B26" s="137"/>
      <c r="C26" s="138"/>
      <c r="D26" s="138"/>
      <c r="E26" s="139"/>
      <c r="F26" s="66">
        <v>32</v>
      </c>
      <c r="G26" s="137"/>
      <c r="H26" s="138"/>
      <c r="I26" s="139"/>
    </row>
    <row r="27" spans="1:10" ht="18.75" customHeight="1">
      <c r="A27" s="66">
        <v>8</v>
      </c>
      <c r="B27" s="137"/>
      <c r="C27" s="138"/>
      <c r="D27" s="138"/>
      <c r="E27" s="139"/>
      <c r="F27" s="66">
        <v>33</v>
      </c>
      <c r="G27" s="137"/>
      <c r="H27" s="138"/>
      <c r="I27" s="139"/>
    </row>
    <row r="28" spans="1:10" ht="18.75" customHeight="1">
      <c r="A28" s="66">
        <v>9</v>
      </c>
      <c r="B28" s="137"/>
      <c r="C28" s="138"/>
      <c r="D28" s="138"/>
      <c r="E28" s="139"/>
      <c r="F28" s="66">
        <v>34</v>
      </c>
      <c r="G28" s="137"/>
      <c r="H28" s="138"/>
      <c r="I28" s="139"/>
    </row>
    <row r="29" spans="1:10" ht="18.75" customHeight="1">
      <c r="A29" s="66">
        <v>10</v>
      </c>
      <c r="B29" s="137"/>
      <c r="C29" s="138"/>
      <c r="D29" s="138"/>
      <c r="E29" s="139"/>
      <c r="F29" s="66">
        <v>35</v>
      </c>
      <c r="G29" s="137"/>
      <c r="H29" s="138"/>
      <c r="I29" s="139"/>
    </row>
    <row r="30" spans="1:10" ht="18.75" customHeight="1">
      <c r="A30" s="66">
        <v>11</v>
      </c>
      <c r="B30" s="137"/>
      <c r="C30" s="138"/>
      <c r="D30" s="138"/>
      <c r="E30" s="139"/>
      <c r="F30" s="66">
        <v>36</v>
      </c>
      <c r="G30" s="137"/>
      <c r="H30" s="138"/>
      <c r="I30" s="139"/>
    </row>
    <row r="31" spans="1:10" ht="18.75" customHeight="1">
      <c r="A31" s="66">
        <v>12</v>
      </c>
      <c r="B31" s="137"/>
      <c r="C31" s="138"/>
      <c r="D31" s="138"/>
      <c r="E31" s="139"/>
      <c r="F31" s="66">
        <v>37</v>
      </c>
      <c r="G31" s="137"/>
      <c r="H31" s="138"/>
      <c r="I31" s="139"/>
    </row>
    <row r="32" spans="1:10" ht="18.75" customHeight="1">
      <c r="A32" s="66">
        <v>13</v>
      </c>
      <c r="B32" s="137"/>
      <c r="C32" s="138"/>
      <c r="D32" s="138"/>
      <c r="E32" s="139"/>
      <c r="F32" s="66">
        <v>38</v>
      </c>
      <c r="G32" s="137"/>
      <c r="H32" s="138"/>
      <c r="I32" s="139"/>
    </row>
    <row r="33" spans="1:9" ht="18.75" customHeight="1">
      <c r="A33" s="66">
        <v>14</v>
      </c>
      <c r="B33" s="137"/>
      <c r="C33" s="138"/>
      <c r="D33" s="138"/>
      <c r="E33" s="139"/>
      <c r="F33" s="66">
        <v>39</v>
      </c>
      <c r="G33" s="137"/>
      <c r="H33" s="138"/>
      <c r="I33" s="139"/>
    </row>
    <row r="34" spans="1:9" ht="18.75" customHeight="1">
      <c r="A34" s="66">
        <v>15</v>
      </c>
      <c r="B34" s="137"/>
      <c r="C34" s="138"/>
      <c r="D34" s="138"/>
      <c r="E34" s="139"/>
      <c r="F34" s="66">
        <v>40</v>
      </c>
      <c r="G34" s="137"/>
      <c r="H34" s="138"/>
      <c r="I34" s="139"/>
    </row>
    <row r="35" spans="1:9" ht="18.75" customHeight="1">
      <c r="A35" s="66">
        <v>16</v>
      </c>
      <c r="B35" s="137"/>
      <c r="C35" s="138"/>
      <c r="D35" s="138"/>
      <c r="E35" s="139"/>
      <c r="F35" s="66">
        <v>41</v>
      </c>
      <c r="G35" s="137"/>
      <c r="H35" s="138"/>
      <c r="I35" s="139"/>
    </row>
    <row r="36" spans="1:9" ht="18.75" customHeight="1">
      <c r="A36" s="66">
        <v>17</v>
      </c>
      <c r="B36" s="137"/>
      <c r="C36" s="138"/>
      <c r="D36" s="138"/>
      <c r="E36" s="139"/>
      <c r="F36" s="66">
        <v>42</v>
      </c>
      <c r="G36" s="137"/>
      <c r="H36" s="138"/>
      <c r="I36" s="139"/>
    </row>
    <row r="37" spans="1:9" ht="18.75" customHeight="1">
      <c r="A37" s="66">
        <v>18</v>
      </c>
      <c r="B37" s="137"/>
      <c r="C37" s="138"/>
      <c r="D37" s="138"/>
      <c r="E37" s="139"/>
      <c r="F37" s="66">
        <v>43</v>
      </c>
      <c r="G37" s="137"/>
      <c r="H37" s="138"/>
      <c r="I37" s="139"/>
    </row>
    <row r="38" spans="1:9" ht="18.75" customHeight="1">
      <c r="A38" s="66">
        <v>19</v>
      </c>
      <c r="B38" s="137"/>
      <c r="C38" s="138"/>
      <c r="D38" s="138"/>
      <c r="E38" s="139"/>
      <c r="F38" s="66">
        <v>44</v>
      </c>
      <c r="G38" s="137"/>
      <c r="H38" s="138"/>
      <c r="I38" s="139"/>
    </row>
    <row r="39" spans="1:9" ht="18.75" customHeight="1">
      <c r="A39" s="66">
        <v>20</v>
      </c>
      <c r="B39" s="137"/>
      <c r="C39" s="138"/>
      <c r="D39" s="138"/>
      <c r="E39" s="139"/>
      <c r="F39" s="66">
        <v>45</v>
      </c>
      <c r="G39" s="137"/>
      <c r="H39" s="138"/>
      <c r="I39" s="139"/>
    </row>
    <row r="40" spans="1:9" ht="18.75" customHeight="1">
      <c r="A40" s="66">
        <v>21</v>
      </c>
      <c r="B40" s="137"/>
      <c r="C40" s="138"/>
      <c r="D40" s="138"/>
      <c r="E40" s="139"/>
      <c r="F40" s="66">
        <v>46</v>
      </c>
      <c r="G40" s="137"/>
      <c r="H40" s="138"/>
      <c r="I40" s="139"/>
    </row>
    <row r="41" spans="1:9" ht="18.75" customHeight="1">
      <c r="A41" s="66">
        <v>22</v>
      </c>
      <c r="B41" s="137"/>
      <c r="C41" s="138"/>
      <c r="D41" s="138"/>
      <c r="E41" s="139"/>
      <c r="F41" s="66">
        <v>47</v>
      </c>
      <c r="G41" s="137"/>
      <c r="H41" s="138"/>
      <c r="I41" s="139"/>
    </row>
    <row r="42" spans="1:9" ht="18.75" customHeight="1">
      <c r="A42" s="66">
        <v>23</v>
      </c>
      <c r="B42" s="137"/>
      <c r="C42" s="138"/>
      <c r="D42" s="138"/>
      <c r="E42" s="139"/>
      <c r="F42" s="66">
        <v>48</v>
      </c>
      <c r="G42" s="137"/>
      <c r="H42" s="138"/>
      <c r="I42" s="139"/>
    </row>
    <row r="43" spans="1:9" ht="18.75" customHeight="1">
      <c r="A43" s="66">
        <v>24</v>
      </c>
      <c r="B43" s="137"/>
      <c r="C43" s="138"/>
      <c r="D43" s="138"/>
      <c r="E43" s="139"/>
      <c r="F43" s="66">
        <v>49</v>
      </c>
      <c r="G43" s="137"/>
      <c r="H43" s="138"/>
      <c r="I43" s="139"/>
    </row>
    <row r="44" spans="1:9" ht="18.75" customHeight="1">
      <c r="A44" s="66">
        <v>25</v>
      </c>
      <c r="B44" s="137"/>
      <c r="C44" s="138"/>
      <c r="D44" s="138"/>
      <c r="E44" s="139"/>
      <c r="F44" s="66">
        <v>50</v>
      </c>
      <c r="G44" s="137"/>
      <c r="H44" s="138"/>
      <c r="I44" s="13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disablePrompts="1"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M5" sqref="M5"/>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F1" s="153" t="s">
        <v>71</v>
      </c>
      <c r="G1" s="153"/>
      <c r="H1" s="153"/>
      <c r="I1" s="153"/>
      <c r="J1" s="153"/>
      <c r="K1" s="153"/>
      <c r="L1" s="153"/>
      <c r="M1" s="153"/>
      <c r="N1" s="153"/>
      <c r="O1" s="153"/>
      <c r="P1" s="153"/>
      <c r="Q1" s="153"/>
      <c r="R1" s="153"/>
    </row>
    <row r="2" spans="1:20" ht="18.75" customHeight="1">
      <c r="D2" s="11"/>
      <c r="E2" s="11"/>
      <c r="F2" s="11"/>
      <c r="G2" s="11"/>
      <c r="H2" s="11"/>
      <c r="I2" s="11"/>
      <c r="J2" s="11"/>
      <c r="K2" s="153" t="s">
        <v>63</v>
      </c>
      <c r="L2" s="153"/>
      <c r="M2" s="164" t="s">
        <v>146</v>
      </c>
      <c r="N2" s="165"/>
      <c r="O2" s="165"/>
      <c r="P2" s="11"/>
      <c r="Q2" s="11"/>
      <c r="R2" s="11"/>
    </row>
    <row r="3" spans="1:20" ht="7.5" customHeight="1"/>
    <row r="4" spans="1:20" ht="18.75" customHeight="1">
      <c r="A4" s="163" t="s">
        <v>119</v>
      </c>
      <c r="B4" s="163"/>
      <c r="C4" s="163"/>
      <c r="D4" s="163"/>
      <c r="E4" s="163"/>
      <c r="F4" s="163"/>
      <c r="G4" s="163"/>
      <c r="H4" s="163"/>
      <c r="I4" s="163"/>
      <c r="J4" s="163"/>
      <c r="K4" s="163"/>
      <c r="L4" s="163"/>
      <c r="M4" s="163"/>
      <c r="N4" s="163"/>
      <c r="O4" s="163"/>
      <c r="P4" s="163"/>
      <c r="Q4" s="163"/>
      <c r="R4" s="163"/>
      <c r="S4" s="2"/>
    </row>
    <row r="5" spans="1:20" ht="7.5" customHeight="1">
      <c r="A5" s="10"/>
      <c r="B5" s="10"/>
      <c r="C5" s="10"/>
      <c r="D5" s="10"/>
      <c r="E5" s="10"/>
      <c r="F5" s="10"/>
      <c r="G5" s="10"/>
      <c r="H5" s="10"/>
      <c r="I5" s="10"/>
      <c r="J5" s="10"/>
      <c r="K5" s="10"/>
      <c r="L5" s="10"/>
      <c r="M5" s="10"/>
      <c r="N5" s="10"/>
      <c r="O5" s="10"/>
      <c r="P5" s="10"/>
      <c r="Q5" s="10"/>
      <c r="R5" s="10"/>
    </row>
    <row r="6" spans="1:20" ht="18.75" customHeight="1">
      <c r="B6" s="168" t="s">
        <v>124</v>
      </c>
      <c r="C6" s="169"/>
      <c r="D6" s="154" t="s">
        <v>87</v>
      </c>
      <c r="E6" s="156" t="s">
        <v>113</v>
      </c>
      <c r="F6" s="156"/>
      <c r="G6" s="156" t="s">
        <v>114</v>
      </c>
      <c r="H6" s="156"/>
      <c r="I6" s="157" t="s">
        <v>115</v>
      </c>
      <c r="J6" s="158"/>
      <c r="K6" s="157" t="s">
        <v>116</v>
      </c>
      <c r="L6" s="158"/>
      <c r="M6" s="157" t="s">
        <v>117</v>
      </c>
      <c r="N6" s="158"/>
      <c r="O6" s="157" t="s">
        <v>118</v>
      </c>
      <c r="P6" s="158"/>
      <c r="Q6" s="159" t="s">
        <v>70</v>
      </c>
      <c r="R6" s="161" t="s">
        <v>64</v>
      </c>
      <c r="T6" s="12"/>
    </row>
    <row r="7" spans="1:20" ht="18.75" customHeight="1">
      <c r="B7" s="170"/>
      <c r="C7" s="171"/>
      <c r="D7" s="155"/>
      <c r="E7" s="5" t="s">
        <v>50</v>
      </c>
      <c r="F7" s="7" t="s">
        <v>49</v>
      </c>
      <c r="G7" s="8" t="s">
        <v>50</v>
      </c>
      <c r="H7" s="6" t="s">
        <v>49</v>
      </c>
      <c r="I7" s="5" t="s">
        <v>50</v>
      </c>
      <c r="J7" s="7" t="s">
        <v>49</v>
      </c>
      <c r="K7" s="8" t="s">
        <v>50</v>
      </c>
      <c r="L7" s="6" t="s">
        <v>49</v>
      </c>
      <c r="M7" s="5" t="s">
        <v>50</v>
      </c>
      <c r="N7" s="7" t="s">
        <v>49</v>
      </c>
      <c r="O7" s="8" t="s">
        <v>50</v>
      </c>
      <c r="P7" s="6" t="s">
        <v>49</v>
      </c>
      <c r="Q7" s="160"/>
      <c r="R7" s="162"/>
      <c r="T7" s="12"/>
    </row>
    <row r="8" spans="1:20" ht="18.75" customHeight="1">
      <c r="A8" s="67"/>
      <c r="B8" s="176" t="s">
        <v>137</v>
      </c>
      <c r="C8" s="177"/>
      <c r="D8" s="68">
        <v>660</v>
      </c>
      <c r="E8" s="69">
        <v>170</v>
      </c>
      <c r="F8" s="70">
        <v>158</v>
      </c>
      <c r="G8" s="71"/>
      <c r="H8" s="72"/>
      <c r="I8" s="69"/>
      <c r="J8" s="70"/>
      <c r="K8" s="71"/>
      <c r="L8" s="72"/>
      <c r="M8" s="69"/>
      <c r="N8" s="70"/>
      <c r="O8" s="71"/>
      <c r="P8" s="72"/>
      <c r="Q8" s="73">
        <f>E8+G8+I8+K8+M8+O8</f>
        <v>170</v>
      </c>
      <c r="R8" s="74">
        <f>Q8/D8</f>
        <v>0.25757575757575757</v>
      </c>
    </row>
    <row r="9" spans="1:20" ht="18.75" customHeight="1">
      <c r="A9" s="67"/>
      <c r="B9" s="178" t="s">
        <v>138</v>
      </c>
      <c r="C9" s="179"/>
      <c r="D9" s="75">
        <v>1220</v>
      </c>
      <c r="E9" s="76">
        <v>304</v>
      </c>
      <c r="F9" s="77">
        <v>282</v>
      </c>
      <c r="G9" s="78"/>
      <c r="H9" s="79"/>
      <c r="I9" s="76"/>
      <c r="J9" s="77"/>
      <c r="K9" s="78"/>
      <c r="L9" s="79"/>
      <c r="M9" s="76"/>
      <c r="N9" s="77"/>
      <c r="O9" s="78"/>
      <c r="P9" s="79"/>
      <c r="Q9" s="80">
        <f t="shared" ref="Q9:Q27" si="0">E9+G9+I9+K9+M9+O9</f>
        <v>304</v>
      </c>
      <c r="R9" s="74">
        <f t="shared" ref="R9:R27" si="1">Q9/D9</f>
        <v>0.24918032786885247</v>
      </c>
    </row>
    <row r="10" spans="1:20" ht="18.75" customHeight="1">
      <c r="A10" s="67"/>
      <c r="B10" s="178" t="s">
        <v>139</v>
      </c>
      <c r="C10" s="179"/>
      <c r="D10" s="75">
        <v>1260</v>
      </c>
      <c r="E10" s="76">
        <v>305</v>
      </c>
      <c r="F10" s="77">
        <v>279</v>
      </c>
      <c r="G10" s="78"/>
      <c r="H10" s="79"/>
      <c r="I10" s="76"/>
      <c r="J10" s="77"/>
      <c r="K10" s="78"/>
      <c r="L10" s="79"/>
      <c r="M10" s="76"/>
      <c r="N10" s="77"/>
      <c r="O10" s="78"/>
      <c r="P10" s="79"/>
      <c r="Q10" s="80">
        <f t="shared" si="0"/>
        <v>305</v>
      </c>
      <c r="R10" s="74">
        <f t="shared" si="1"/>
        <v>0.24206349206349206</v>
      </c>
    </row>
    <row r="11" spans="1:20" ht="18.75" customHeight="1">
      <c r="A11" s="67"/>
      <c r="B11" s="178" t="s">
        <v>140</v>
      </c>
      <c r="C11" s="179"/>
      <c r="D11" s="75">
        <v>480</v>
      </c>
      <c r="E11" s="76">
        <v>123</v>
      </c>
      <c r="F11" s="77">
        <v>120</v>
      </c>
      <c r="G11" s="78"/>
      <c r="H11" s="79"/>
      <c r="I11" s="76"/>
      <c r="J11" s="77"/>
      <c r="K11" s="78"/>
      <c r="L11" s="79"/>
      <c r="M11" s="76"/>
      <c r="N11" s="77"/>
      <c r="O11" s="78"/>
      <c r="P11" s="79"/>
      <c r="Q11" s="80">
        <f t="shared" si="0"/>
        <v>123</v>
      </c>
      <c r="R11" s="74">
        <f t="shared" si="1"/>
        <v>0.25624999999999998</v>
      </c>
    </row>
    <row r="12" spans="1:20" ht="18.75" customHeight="1">
      <c r="A12" s="13"/>
      <c r="B12" s="172"/>
      <c r="C12" s="173"/>
      <c r="D12" s="20"/>
      <c r="E12" s="21"/>
      <c r="F12" s="22"/>
      <c r="G12" s="23"/>
      <c r="H12" s="24"/>
      <c r="I12" s="21"/>
      <c r="J12" s="22"/>
      <c r="K12" s="23"/>
      <c r="L12" s="24"/>
      <c r="M12" s="21"/>
      <c r="N12" s="22"/>
      <c r="O12" s="23"/>
      <c r="P12" s="24"/>
      <c r="Q12" s="25">
        <f t="shared" si="0"/>
        <v>0</v>
      </c>
      <c r="R12" s="19" t="e">
        <f t="shared" si="1"/>
        <v>#DIV/0!</v>
      </c>
    </row>
    <row r="13" spans="1:20" ht="18.75" customHeight="1">
      <c r="A13" s="13"/>
      <c r="B13" s="172"/>
      <c r="C13" s="173"/>
      <c r="D13" s="20"/>
      <c r="E13" s="21"/>
      <c r="F13" s="22"/>
      <c r="G13" s="23"/>
      <c r="H13" s="24"/>
      <c r="I13" s="21"/>
      <c r="J13" s="22"/>
      <c r="K13" s="23"/>
      <c r="L13" s="24"/>
      <c r="M13" s="21"/>
      <c r="N13" s="22"/>
      <c r="O13" s="23"/>
      <c r="P13" s="24"/>
      <c r="Q13" s="25">
        <f t="shared" si="0"/>
        <v>0</v>
      </c>
      <c r="R13" s="19" t="e">
        <f t="shared" si="1"/>
        <v>#DIV/0!</v>
      </c>
    </row>
    <row r="14" spans="1:20" ht="18.75" customHeight="1">
      <c r="A14" s="13"/>
      <c r="B14" s="172"/>
      <c r="C14" s="173"/>
      <c r="D14" s="20"/>
      <c r="E14" s="21"/>
      <c r="F14" s="22"/>
      <c r="G14" s="23"/>
      <c r="H14" s="24"/>
      <c r="I14" s="21"/>
      <c r="J14" s="22"/>
      <c r="K14" s="23"/>
      <c r="L14" s="24"/>
      <c r="M14" s="21"/>
      <c r="N14" s="22"/>
      <c r="O14" s="23"/>
      <c r="P14" s="24"/>
      <c r="Q14" s="25">
        <f t="shared" si="0"/>
        <v>0</v>
      </c>
      <c r="R14" s="19" t="e">
        <f t="shared" si="1"/>
        <v>#DIV/0!</v>
      </c>
    </row>
    <row r="15" spans="1:20" ht="18.75" customHeight="1">
      <c r="A15" s="13"/>
      <c r="B15" s="172"/>
      <c r="C15" s="173"/>
      <c r="D15" s="20"/>
      <c r="E15" s="21"/>
      <c r="F15" s="22"/>
      <c r="G15" s="23"/>
      <c r="H15" s="24"/>
      <c r="I15" s="21"/>
      <c r="J15" s="22"/>
      <c r="K15" s="23"/>
      <c r="L15" s="24"/>
      <c r="M15" s="21"/>
      <c r="N15" s="22"/>
      <c r="O15" s="23"/>
      <c r="P15" s="24"/>
      <c r="Q15" s="25">
        <f t="shared" si="0"/>
        <v>0</v>
      </c>
      <c r="R15" s="19" t="e">
        <f t="shared" si="1"/>
        <v>#DIV/0!</v>
      </c>
    </row>
    <row r="16" spans="1:20" ht="18.75" customHeight="1">
      <c r="A16" s="13"/>
      <c r="B16" s="172"/>
      <c r="C16" s="173"/>
      <c r="D16" s="20"/>
      <c r="E16" s="21"/>
      <c r="F16" s="22"/>
      <c r="G16" s="23"/>
      <c r="H16" s="24"/>
      <c r="I16" s="21"/>
      <c r="J16" s="22"/>
      <c r="K16" s="23"/>
      <c r="L16" s="24"/>
      <c r="M16" s="21"/>
      <c r="N16" s="22"/>
      <c r="O16" s="23"/>
      <c r="P16" s="24"/>
      <c r="Q16" s="25">
        <f>E16+G16+I16+K16+M16+O16</f>
        <v>0</v>
      </c>
      <c r="R16" s="19" t="e">
        <f t="shared" si="1"/>
        <v>#DIV/0!</v>
      </c>
    </row>
    <row r="17" spans="1:18" ht="18.75" customHeight="1">
      <c r="A17" s="13"/>
      <c r="B17" s="172"/>
      <c r="C17" s="173"/>
      <c r="D17" s="20"/>
      <c r="E17" s="21"/>
      <c r="F17" s="22"/>
      <c r="G17" s="23"/>
      <c r="H17" s="24"/>
      <c r="I17" s="21"/>
      <c r="J17" s="22"/>
      <c r="K17" s="23"/>
      <c r="L17" s="24"/>
      <c r="M17" s="21"/>
      <c r="N17" s="22"/>
      <c r="O17" s="23"/>
      <c r="P17" s="24"/>
      <c r="Q17" s="25">
        <f t="shared" si="0"/>
        <v>0</v>
      </c>
      <c r="R17" s="19" t="e">
        <f t="shared" si="1"/>
        <v>#DIV/0!</v>
      </c>
    </row>
    <row r="18" spans="1:18" ht="18.75" customHeight="1">
      <c r="A18" s="13"/>
      <c r="B18" s="172"/>
      <c r="C18" s="173"/>
      <c r="D18" s="20"/>
      <c r="E18" s="21"/>
      <c r="F18" s="22"/>
      <c r="G18" s="23"/>
      <c r="H18" s="24"/>
      <c r="I18" s="21"/>
      <c r="J18" s="22"/>
      <c r="K18" s="23"/>
      <c r="L18" s="24"/>
      <c r="M18" s="21"/>
      <c r="N18" s="22"/>
      <c r="O18" s="23"/>
      <c r="P18" s="24"/>
      <c r="Q18" s="25">
        <f t="shared" si="0"/>
        <v>0</v>
      </c>
      <c r="R18" s="19" t="e">
        <f t="shared" si="1"/>
        <v>#DIV/0!</v>
      </c>
    </row>
    <row r="19" spans="1:18" ht="18.75" customHeight="1">
      <c r="A19" s="13"/>
      <c r="B19" s="172"/>
      <c r="C19" s="173"/>
      <c r="D19" s="20"/>
      <c r="E19" s="21"/>
      <c r="F19" s="22"/>
      <c r="G19" s="23"/>
      <c r="H19" s="24"/>
      <c r="I19" s="21"/>
      <c r="J19" s="22"/>
      <c r="K19" s="23"/>
      <c r="L19" s="24"/>
      <c r="M19" s="21"/>
      <c r="N19" s="22"/>
      <c r="O19" s="23"/>
      <c r="P19" s="24"/>
      <c r="Q19" s="25">
        <f t="shared" si="0"/>
        <v>0</v>
      </c>
      <c r="R19" s="19" t="e">
        <f t="shared" si="1"/>
        <v>#DIV/0!</v>
      </c>
    </row>
    <row r="20" spans="1:18" ht="18.75" customHeight="1">
      <c r="A20" s="13"/>
      <c r="B20" s="172"/>
      <c r="C20" s="173"/>
      <c r="D20" s="20"/>
      <c r="E20" s="21"/>
      <c r="F20" s="22"/>
      <c r="G20" s="23"/>
      <c r="H20" s="24"/>
      <c r="I20" s="21"/>
      <c r="J20" s="22"/>
      <c r="K20" s="23"/>
      <c r="L20" s="24"/>
      <c r="M20" s="21"/>
      <c r="N20" s="22"/>
      <c r="O20" s="23"/>
      <c r="P20" s="24"/>
      <c r="Q20" s="25">
        <f t="shared" si="0"/>
        <v>0</v>
      </c>
      <c r="R20" s="19" t="e">
        <f t="shared" si="1"/>
        <v>#DIV/0!</v>
      </c>
    </row>
    <row r="21" spans="1:18" ht="18.75" customHeight="1">
      <c r="A21" s="13"/>
      <c r="B21" s="172"/>
      <c r="C21" s="173"/>
      <c r="D21" s="20"/>
      <c r="E21" s="21"/>
      <c r="F21" s="22"/>
      <c r="G21" s="23"/>
      <c r="H21" s="24"/>
      <c r="I21" s="21"/>
      <c r="J21" s="22"/>
      <c r="K21" s="23"/>
      <c r="L21" s="24"/>
      <c r="M21" s="21"/>
      <c r="N21" s="22"/>
      <c r="O21" s="23"/>
      <c r="P21" s="24"/>
      <c r="Q21" s="25">
        <f t="shared" si="0"/>
        <v>0</v>
      </c>
      <c r="R21" s="19" t="e">
        <f t="shared" si="1"/>
        <v>#DIV/0!</v>
      </c>
    </row>
    <row r="22" spans="1:18" ht="18.75" customHeight="1">
      <c r="A22" s="13"/>
      <c r="B22" s="172"/>
      <c r="C22" s="173"/>
      <c r="D22" s="20"/>
      <c r="E22" s="21"/>
      <c r="F22" s="22"/>
      <c r="G22" s="23"/>
      <c r="H22" s="24"/>
      <c r="I22" s="21"/>
      <c r="J22" s="22"/>
      <c r="K22" s="23"/>
      <c r="L22" s="24"/>
      <c r="M22" s="21"/>
      <c r="N22" s="22"/>
      <c r="O22" s="23"/>
      <c r="P22" s="24"/>
      <c r="Q22" s="25">
        <f t="shared" si="0"/>
        <v>0</v>
      </c>
      <c r="R22" s="19" t="e">
        <f t="shared" si="1"/>
        <v>#DIV/0!</v>
      </c>
    </row>
    <row r="23" spans="1:18" ht="18.75" customHeight="1">
      <c r="A23" s="13"/>
      <c r="B23" s="172"/>
      <c r="C23" s="173"/>
      <c r="D23" s="20"/>
      <c r="E23" s="21"/>
      <c r="F23" s="22"/>
      <c r="G23" s="23"/>
      <c r="H23" s="24"/>
      <c r="I23" s="21"/>
      <c r="J23" s="22"/>
      <c r="K23" s="23"/>
      <c r="L23" s="24"/>
      <c r="M23" s="21"/>
      <c r="N23" s="22"/>
      <c r="O23" s="23"/>
      <c r="P23" s="24"/>
      <c r="Q23" s="25">
        <f t="shared" si="0"/>
        <v>0</v>
      </c>
      <c r="R23" s="19" t="e">
        <f t="shared" si="1"/>
        <v>#DIV/0!</v>
      </c>
    </row>
    <row r="24" spans="1:18" ht="18.75" customHeight="1">
      <c r="A24" s="13"/>
      <c r="B24" s="172"/>
      <c r="C24" s="173"/>
      <c r="D24" s="20"/>
      <c r="E24" s="21"/>
      <c r="F24" s="22"/>
      <c r="G24" s="23"/>
      <c r="H24" s="24"/>
      <c r="I24" s="21"/>
      <c r="J24" s="22"/>
      <c r="K24" s="23"/>
      <c r="L24" s="24"/>
      <c r="M24" s="21"/>
      <c r="N24" s="22"/>
      <c r="O24" s="23"/>
      <c r="P24" s="24"/>
      <c r="Q24" s="25">
        <f t="shared" si="0"/>
        <v>0</v>
      </c>
      <c r="R24" s="19" t="e">
        <f t="shared" si="1"/>
        <v>#DIV/0!</v>
      </c>
    </row>
    <row r="25" spans="1:18" ht="18.75" customHeight="1">
      <c r="A25" s="13"/>
      <c r="B25" s="172"/>
      <c r="C25" s="173"/>
      <c r="D25" s="20"/>
      <c r="E25" s="21"/>
      <c r="F25" s="22"/>
      <c r="G25" s="23"/>
      <c r="H25" s="24"/>
      <c r="I25" s="21"/>
      <c r="J25" s="22"/>
      <c r="K25" s="23"/>
      <c r="L25" s="24"/>
      <c r="M25" s="21"/>
      <c r="N25" s="22"/>
      <c r="O25" s="23"/>
      <c r="P25" s="24"/>
      <c r="Q25" s="25">
        <f t="shared" si="0"/>
        <v>0</v>
      </c>
      <c r="R25" s="19" t="e">
        <f t="shared" si="1"/>
        <v>#DIV/0!</v>
      </c>
    </row>
    <row r="26" spans="1:18" ht="18.75" customHeight="1">
      <c r="A26" s="13"/>
      <c r="B26" s="172"/>
      <c r="C26" s="173"/>
      <c r="D26" s="20"/>
      <c r="E26" s="21"/>
      <c r="F26" s="22"/>
      <c r="G26" s="23"/>
      <c r="H26" s="24"/>
      <c r="I26" s="21"/>
      <c r="J26" s="22"/>
      <c r="K26" s="23"/>
      <c r="L26" s="24"/>
      <c r="M26" s="21"/>
      <c r="N26" s="22"/>
      <c r="O26" s="23"/>
      <c r="P26" s="24"/>
      <c r="Q26" s="25">
        <f t="shared" si="0"/>
        <v>0</v>
      </c>
      <c r="R26" s="19" t="e">
        <f t="shared" si="1"/>
        <v>#DIV/0!</v>
      </c>
    </row>
    <row r="27" spans="1:18" ht="18.75" customHeight="1" thickBot="1">
      <c r="A27" s="13"/>
      <c r="B27" s="174"/>
      <c r="C27" s="175"/>
      <c r="D27" s="14"/>
      <c r="E27" s="15"/>
      <c r="F27" s="16"/>
      <c r="G27" s="17"/>
      <c r="H27" s="18"/>
      <c r="I27" s="15"/>
      <c r="J27" s="16"/>
      <c r="K27" s="17"/>
      <c r="L27" s="18"/>
      <c r="M27" s="15"/>
      <c r="N27" s="16"/>
      <c r="O27" s="17"/>
      <c r="P27" s="18"/>
      <c r="Q27" s="26">
        <f t="shared" si="0"/>
        <v>0</v>
      </c>
      <c r="R27" s="19" t="e">
        <f t="shared" si="1"/>
        <v>#DIV/0!</v>
      </c>
    </row>
    <row r="28" spans="1:18" ht="18.75" customHeight="1" thickTop="1">
      <c r="A28" s="13"/>
      <c r="B28" s="166" t="s">
        <v>65</v>
      </c>
      <c r="C28" s="167"/>
      <c r="D28" s="27">
        <f t="shared" ref="D28:Q28" si="2">SUM(D8:D27)</f>
        <v>3620</v>
      </c>
      <c r="E28" s="28">
        <f t="shared" si="2"/>
        <v>902</v>
      </c>
      <c r="F28" s="29">
        <f t="shared" si="2"/>
        <v>839</v>
      </c>
      <c r="G28" s="30">
        <f t="shared" si="2"/>
        <v>0</v>
      </c>
      <c r="H28" s="31">
        <f t="shared" si="2"/>
        <v>0</v>
      </c>
      <c r="I28" s="28">
        <f t="shared" si="2"/>
        <v>0</v>
      </c>
      <c r="J28" s="29">
        <f t="shared" si="2"/>
        <v>0</v>
      </c>
      <c r="K28" s="30">
        <f t="shared" si="2"/>
        <v>0</v>
      </c>
      <c r="L28" s="31">
        <f t="shared" si="2"/>
        <v>0</v>
      </c>
      <c r="M28" s="28">
        <f t="shared" si="2"/>
        <v>0</v>
      </c>
      <c r="N28" s="29">
        <f t="shared" si="2"/>
        <v>0</v>
      </c>
      <c r="O28" s="30">
        <f t="shared" si="2"/>
        <v>0</v>
      </c>
      <c r="P28" s="31">
        <f t="shared" si="2"/>
        <v>0</v>
      </c>
      <c r="Q28" s="32">
        <f t="shared" si="2"/>
        <v>902</v>
      </c>
      <c r="R28" s="33">
        <f>Q28/D28</f>
        <v>0.24917127071823206</v>
      </c>
    </row>
    <row r="29" spans="1:18" ht="6.75" customHeight="1">
      <c r="A29" s="13"/>
      <c r="B29" s="13"/>
      <c r="C29" s="13"/>
      <c r="D29" s="34"/>
      <c r="E29" s="34"/>
      <c r="F29" s="34"/>
      <c r="G29" s="34"/>
      <c r="H29" s="34"/>
      <c r="I29" s="34"/>
      <c r="J29" s="34"/>
      <c r="K29" s="34"/>
      <c r="L29" s="34"/>
      <c r="M29" s="34"/>
      <c r="N29" s="34"/>
      <c r="O29" s="34"/>
      <c r="P29" s="34"/>
      <c r="Q29" s="34"/>
      <c r="R29" s="34"/>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O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zoomScaleNormal="100" workbookViewId="0">
      <selection activeCell="D147" sqref="D147"/>
    </sheetView>
  </sheetViews>
  <sheetFormatPr defaultColWidth="9" defaultRowHeight="14.2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c r="G1" s="41" t="s">
        <v>155</v>
      </c>
    </row>
    <row r="2" spans="1:7" ht="18.75" customHeight="1">
      <c r="F2" s="41" t="s">
        <v>30</v>
      </c>
      <c r="G2" s="3" t="s">
        <v>147</v>
      </c>
    </row>
    <row r="3" spans="1:7" ht="18.75" customHeight="1">
      <c r="A3" s="187" t="s">
        <v>93</v>
      </c>
      <c r="B3" s="187"/>
      <c r="C3" s="187"/>
      <c r="D3" s="187"/>
      <c r="E3" s="187"/>
      <c r="F3" s="187"/>
      <c r="G3" s="187"/>
    </row>
    <row r="4" spans="1:7" ht="18.75" customHeight="1">
      <c r="A4" s="3" t="s">
        <v>5</v>
      </c>
      <c r="B4" s="3" t="s">
        <v>92</v>
      </c>
    </row>
    <row r="5" spans="1:7" s="81" customFormat="1" ht="18.75" customHeight="1">
      <c r="B5" s="82" t="s">
        <v>72</v>
      </c>
      <c r="C5" s="188" t="s">
        <v>103</v>
      </c>
      <c r="D5" s="189"/>
      <c r="E5" s="189"/>
      <c r="F5" s="189"/>
      <c r="G5" s="190"/>
    </row>
    <row r="6" spans="1:7" s="81" customFormat="1" ht="45" customHeight="1">
      <c r="B6" s="216" t="s">
        <v>168</v>
      </c>
      <c r="C6" s="191" t="s">
        <v>191</v>
      </c>
      <c r="D6" s="192"/>
      <c r="E6" s="192"/>
      <c r="F6" s="192"/>
      <c r="G6" s="193"/>
    </row>
    <row r="7" spans="1:7" s="81" customFormat="1" ht="45" customHeight="1">
      <c r="B7" s="217"/>
      <c r="C7" s="194"/>
      <c r="D7" s="195"/>
      <c r="E7" s="195"/>
      <c r="F7" s="195"/>
      <c r="G7" s="196"/>
    </row>
    <row r="8" spans="1:7" s="81" customFormat="1" ht="45" customHeight="1">
      <c r="B8" s="217"/>
      <c r="C8" s="194"/>
      <c r="D8" s="195"/>
      <c r="E8" s="195"/>
      <c r="F8" s="195"/>
      <c r="G8" s="196"/>
    </row>
    <row r="9" spans="1:7" s="81" customFormat="1" ht="45" customHeight="1">
      <c r="B9" s="217"/>
      <c r="C9" s="197"/>
      <c r="D9" s="198"/>
      <c r="E9" s="198"/>
      <c r="F9" s="198"/>
      <c r="G9" s="199"/>
    </row>
    <row r="10" spans="1:7" s="81" customFormat="1" ht="18.75" customHeight="1">
      <c r="B10" s="217"/>
      <c r="C10" s="83" t="s">
        <v>104</v>
      </c>
      <c r="D10" s="180" t="s">
        <v>105</v>
      </c>
      <c r="E10" s="181"/>
      <c r="F10" s="181"/>
      <c r="G10" s="182"/>
    </row>
    <row r="11" spans="1:7" s="81" customFormat="1" ht="18.75" customHeight="1">
      <c r="B11" s="217"/>
      <c r="C11" s="84" t="s">
        <v>156</v>
      </c>
      <c r="D11" s="228" t="s">
        <v>192</v>
      </c>
      <c r="E11" s="229"/>
      <c r="F11" s="229"/>
      <c r="G11" s="230"/>
    </row>
    <row r="12" spans="1:7" s="81" customFormat="1" ht="18.75" customHeight="1">
      <c r="B12" s="217"/>
      <c r="C12" s="85"/>
      <c r="D12" s="231"/>
      <c r="E12" s="232"/>
      <c r="F12" s="232"/>
      <c r="G12" s="233"/>
    </row>
    <row r="13" spans="1:7" s="81" customFormat="1" ht="18.75" customHeight="1">
      <c r="B13" s="217"/>
      <c r="C13" s="82"/>
      <c r="D13" s="188"/>
      <c r="E13" s="189"/>
      <c r="F13" s="189"/>
      <c r="G13" s="190"/>
    </row>
    <row r="14" spans="1:7" s="81" customFormat="1" ht="18.75" customHeight="1">
      <c r="B14" s="217"/>
      <c r="C14" s="82"/>
      <c r="D14" s="188"/>
      <c r="E14" s="189"/>
      <c r="F14" s="189"/>
      <c r="G14" s="190"/>
    </row>
    <row r="15" spans="1:7" s="81" customFormat="1" ht="18.75" customHeight="1">
      <c r="B15" s="217"/>
      <c r="C15" s="82"/>
      <c r="D15" s="188"/>
      <c r="E15" s="189"/>
      <c r="F15" s="189"/>
      <c r="G15" s="190"/>
    </row>
    <row r="16" spans="1:7" s="81" customFormat="1" ht="18.75" customHeight="1">
      <c r="B16" s="217"/>
      <c r="C16" s="82"/>
      <c r="D16" s="188"/>
      <c r="E16" s="189"/>
      <c r="F16" s="189"/>
      <c r="G16" s="190"/>
    </row>
    <row r="17" spans="2:7" s="81" customFormat="1" ht="18.75" customHeight="1">
      <c r="B17" s="217"/>
      <c r="C17" s="82"/>
      <c r="D17" s="188"/>
      <c r="E17" s="189"/>
      <c r="F17" s="189"/>
      <c r="G17" s="190"/>
    </row>
    <row r="18" spans="2:7" s="81" customFormat="1" ht="18.75" customHeight="1">
      <c r="B18" s="217"/>
      <c r="C18" s="82"/>
      <c r="D18" s="188"/>
      <c r="E18" s="189"/>
      <c r="F18" s="189"/>
      <c r="G18" s="190"/>
    </row>
    <row r="19" spans="2:7" s="81" customFormat="1" ht="18.75" customHeight="1">
      <c r="B19" s="217"/>
      <c r="C19" s="82"/>
      <c r="D19" s="188"/>
      <c r="E19" s="189"/>
      <c r="F19" s="189"/>
      <c r="G19" s="190"/>
    </row>
    <row r="20" spans="2:7" s="81" customFormat="1" ht="18.75" customHeight="1">
      <c r="B20" s="217"/>
      <c r="C20" s="82"/>
      <c r="D20" s="188"/>
      <c r="E20" s="189"/>
      <c r="F20" s="189"/>
      <c r="G20" s="190"/>
    </row>
    <row r="21" spans="2:7" s="81" customFormat="1" ht="18.75" customHeight="1">
      <c r="B21" s="217"/>
      <c r="C21" s="82"/>
      <c r="D21" s="188"/>
      <c r="E21" s="189"/>
      <c r="F21" s="189"/>
      <c r="G21" s="190"/>
    </row>
    <row r="22" spans="2:7" s="81" customFormat="1" ht="18.75" customHeight="1">
      <c r="B22" s="217"/>
      <c r="C22" s="82"/>
      <c r="D22" s="188"/>
      <c r="E22" s="189"/>
      <c r="F22" s="189"/>
      <c r="G22" s="190"/>
    </row>
    <row r="23" spans="2:7" s="81" customFormat="1" ht="18.75" customHeight="1">
      <c r="B23" s="217"/>
      <c r="C23" s="82"/>
      <c r="D23" s="188"/>
      <c r="E23" s="189"/>
      <c r="F23" s="189"/>
      <c r="G23" s="190"/>
    </row>
    <row r="24" spans="2:7" s="81" customFormat="1" ht="18.75" customHeight="1">
      <c r="B24" s="217"/>
      <c r="C24" s="82"/>
      <c r="D24" s="188"/>
      <c r="E24" s="189"/>
      <c r="F24" s="189"/>
      <c r="G24" s="190"/>
    </row>
    <row r="25" spans="2:7" s="81" customFormat="1" ht="18.75" customHeight="1">
      <c r="B25" s="217"/>
      <c r="C25" s="82"/>
      <c r="D25" s="188"/>
      <c r="E25" s="189"/>
      <c r="F25" s="189"/>
      <c r="G25" s="190"/>
    </row>
    <row r="26" spans="2:7" ht="18.75" customHeight="1">
      <c r="B26" s="216" t="s">
        <v>106</v>
      </c>
      <c r="C26" s="188" t="s">
        <v>103</v>
      </c>
      <c r="D26" s="189"/>
      <c r="E26" s="189"/>
      <c r="F26" s="189"/>
      <c r="G26" s="190"/>
    </row>
    <row r="27" spans="2:7" ht="37.5" customHeight="1">
      <c r="B27" s="217"/>
      <c r="C27" s="219" t="s">
        <v>190</v>
      </c>
      <c r="D27" s="220"/>
      <c r="E27" s="220"/>
      <c r="F27" s="220"/>
      <c r="G27" s="221"/>
    </row>
    <row r="28" spans="2:7" ht="37.5" customHeight="1">
      <c r="B28" s="217"/>
      <c r="C28" s="222"/>
      <c r="D28" s="223"/>
      <c r="E28" s="223"/>
      <c r="F28" s="223"/>
      <c r="G28" s="224"/>
    </row>
    <row r="29" spans="2:7" ht="37.5" customHeight="1">
      <c r="B29" s="217"/>
      <c r="C29" s="222"/>
      <c r="D29" s="223"/>
      <c r="E29" s="223"/>
      <c r="F29" s="223"/>
      <c r="G29" s="224"/>
    </row>
    <row r="30" spans="2:7" ht="37.5" customHeight="1">
      <c r="B30" s="217"/>
      <c r="C30" s="222"/>
      <c r="D30" s="223"/>
      <c r="E30" s="223"/>
      <c r="F30" s="223"/>
      <c r="G30" s="224"/>
    </row>
    <row r="31" spans="2:7" ht="37.5" customHeight="1">
      <c r="B31" s="217"/>
      <c r="C31" s="225"/>
      <c r="D31" s="226"/>
      <c r="E31" s="226"/>
      <c r="F31" s="226"/>
      <c r="G31" s="227"/>
    </row>
    <row r="32" spans="2:7" ht="18.75" customHeight="1">
      <c r="B32" s="217"/>
      <c r="C32" s="83" t="s">
        <v>104</v>
      </c>
      <c r="D32" s="188" t="s">
        <v>105</v>
      </c>
      <c r="E32" s="189"/>
      <c r="F32" s="189"/>
      <c r="G32" s="190"/>
    </row>
    <row r="33" spans="2:7" ht="18.75" customHeight="1">
      <c r="B33" s="217"/>
      <c r="C33" s="84" t="s">
        <v>156</v>
      </c>
      <c r="D33" s="183" t="s">
        <v>193</v>
      </c>
      <c r="E33" s="184"/>
      <c r="F33" s="184"/>
      <c r="G33" s="185"/>
    </row>
    <row r="34" spans="2:7" ht="18.75" customHeight="1">
      <c r="B34" s="217"/>
      <c r="C34" s="84"/>
      <c r="D34" s="186"/>
      <c r="E34" s="184"/>
      <c r="F34" s="184"/>
      <c r="G34" s="185"/>
    </row>
    <row r="35" spans="2:7" ht="18.75" customHeight="1">
      <c r="B35" s="217"/>
      <c r="C35" s="82"/>
      <c r="D35" s="180"/>
      <c r="E35" s="181"/>
      <c r="F35" s="181"/>
      <c r="G35" s="182"/>
    </row>
    <row r="36" spans="2:7" ht="18.75" customHeight="1">
      <c r="B36" s="217"/>
      <c r="C36" s="82"/>
      <c r="D36" s="180"/>
      <c r="E36" s="181"/>
      <c r="F36" s="181"/>
      <c r="G36" s="182"/>
    </row>
    <row r="37" spans="2:7" ht="18.75" customHeight="1">
      <c r="B37" s="217"/>
      <c r="C37" s="82"/>
      <c r="D37" s="180"/>
      <c r="E37" s="181"/>
      <c r="F37" s="181"/>
      <c r="G37" s="182"/>
    </row>
    <row r="38" spans="2:7" ht="18.75" customHeight="1">
      <c r="B38" s="217"/>
      <c r="C38" s="82"/>
      <c r="D38" s="180"/>
      <c r="E38" s="181"/>
      <c r="F38" s="181"/>
      <c r="G38" s="182"/>
    </row>
    <row r="39" spans="2:7" ht="18.75" customHeight="1">
      <c r="B39" s="217"/>
      <c r="C39" s="82"/>
      <c r="D39" s="180"/>
      <c r="E39" s="181"/>
      <c r="F39" s="181"/>
      <c r="G39" s="182"/>
    </row>
    <row r="40" spans="2:7" ht="18.75" customHeight="1">
      <c r="B40" s="217"/>
      <c r="C40" s="82"/>
      <c r="D40" s="180"/>
      <c r="E40" s="181"/>
      <c r="F40" s="181"/>
      <c r="G40" s="182"/>
    </row>
    <row r="41" spans="2:7" ht="18.75" customHeight="1">
      <c r="B41" s="217"/>
      <c r="C41" s="82"/>
      <c r="D41" s="180"/>
      <c r="E41" s="181"/>
      <c r="F41" s="181"/>
      <c r="G41" s="182"/>
    </row>
    <row r="42" spans="2:7" ht="18.75" customHeight="1">
      <c r="B42" s="217"/>
      <c r="C42" s="82"/>
      <c r="D42" s="180"/>
      <c r="E42" s="181"/>
      <c r="F42" s="181"/>
      <c r="G42" s="182"/>
    </row>
    <row r="43" spans="2:7" ht="18.75" customHeight="1">
      <c r="B43" s="217"/>
      <c r="C43" s="82"/>
      <c r="D43" s="180"/>
      <c r="E43" s="181"/>
      <c r="F43" s="181"/>
      <c r="G43" s="182"/>
    </row>
    <row r="44" spans="2:7" ht="18.75" customHeight="1">
      <c r="B44" s="217"/>
      <c r="C44" s="82"/>
      <c r="D44" s="180"/>
      <c r="E44" s="181"/>
      <c r="F44" s="181"/>
      <c r="G44" s="182"/>
    </row>
    <row r="45" spans="2:7" ht="18.75" customHeight="1">
      <c r="B45" s="217"/>
      <c r="C45" s="82"/>
      <c r="D45" s="180"/>
      <c r="E45" s="181"/>
      <c r="F45" s="181"/>
      <c r="G45" s="182"/>
    </row>
    <row r="46" spans="2:7" ht="18.75" customHeight="1">
      <c r="B46" s="217"/>
      <c r="C46" s="82"/>
      <c r="D46" s="180"/>
      <c r="E46" s="181"/>
      <c r="F46" s="181"/>
      <c r="G46" s="182"/>
    </row>
    <row r="47" spans="2:7" ht="18.75" customHeight="1">
      <c r="B47" s="217"/>
      <c r="C47" s="82"/>
      <c r="D47" s="180"/>
      <c r="E47" s="181"/>
      <c r="F47" s="181"/>
      <c r="G47" s="182"/>
    </row>
    <row r="48" spans="2:7" ht="18.75" customHeight="1">
      <c r="B48" s="217"/>
      <c r="C48" s="82"/>
      <c r="D48" s="180"/>
      <c r="E48" s="181"/>
      <c r="F48" s="181"/>
      <c r="G48" s="182"/>
    </row>
    <row r="49" spans="2:7" ht="18.75" customHeight="1">
      <c r="B49" s="217"/>
      <c r="C49" s="82"/>
      <c r="D49" s="180"/>
      <c r="E49" s="181"/>
      <c r="F49" s="181"/>
      <c r="G49" s="182"/>
    </row>
    <row r="50" spans="2:7" ht="18.75" customHeight="1">
      <c r="B50" s="218"/>
      <c r="C50" s="82"/>
      <c r="D50" s="180"/>
      <c r="E50" s="181"/>
      <c r="F50" s="181"/>
      <c r="G50" s="182"/>
    </row>
    <row r="51" spans="2:7" ht="18.75" customHeight="1">
      <c r="B51" s="216" t="s">
        <v>108</v>
      </c>
      <c r="C51" s="188" t="s">
        <v>103</v>
      </c>
      <c r="D51" s="189"/>
      <c r="E51" s="189"/>
      <c r="F51" s="189"/>
      <c r="G51" s="190"/>
    </row>
    <row r="52" spans="2:7" ht="37.5" customHeight="1">
      <c r="B52" s="217"/>
      <c r="C52" s="219" t="s">
        <v>194</v>
      </c>
      <c r="D52" s="220"/>
      <c r="E52" s="220"/>
      <c r="F52" s="220"/>
      <c r="G52" s="221"/>
    </row>
    <row r="53" spans="2:7" ht="37.5" customHeight="1">
      <c r="B53" s="217"/>
      <c r="C53" s="222"/>
      <c r="D53" s="223"/>
      <c r="E53" s="223"/>
      <c r="F53" s="223"/>
      <c r="G53" s="224"/>
    </row>
    <row r="54" spans="2:7" ht="37.5" customHeight="1">
      <c r="B54" s="217"/>
      <c r="C54" s="222"/>
      <c r="D54" s="223"/>
      <c r="E54" s="223"/>
      <c r="F54" s="223"/>
      <c r="G54" s="224"/>
    </row>
    <row r="55" spans="2:7" ht="37.5" customHeight="1">
      <c r="B55" s="217"/>
      <c r="C55" s="222"/>
      <c r="D55" s="223"/>
      <c r="E55" s="223"/>
      <c r="F55" s="223"/>
      <c r="G55" s="224"/>
    </row>
    <row r="56" spans="2:7" ht="37.5" customHeight="1">
      <c r="B56" s="217"/>
      <c r="C56" s="225"/>
      <c r="D56" s="226"/>
      <c r="E56" s="226"/>
      <c r="F56" s="226"/>
      <c r="G56" s="227"/>
    </row>
    <row r="57" spans="2:7" ht="18.75" customHeight="1">
      <c r="B57" s="217"/>
      <c r="C57" s="83" t="s">
        <v>104</v>
      </c>
      <c r="D57" s="188" t="s">
        <v>105</v>
      </c>
      <c r="E57" s="189"/>
      <c r="F57" s="189"/>
      <c r="G57" s="190"/>
    </row>
    <row r="58" spans="2:7" ht="18.75" customHeight="1">
      <c r="B58" s="217"/>
      <c r="C58" s="84" t="s">
        <v>156</v>
      </c>
      <c r="D58" s="183" t="s">
        <v>195</v>
      </c>
      <c r="E58" s="184"/>
      <c r="F58" s="184"/>
      <c r="G58" s="185"/>
    </row>
    <row r="59" spans="2:7" ht="18.75" customHeight="1">
      <c r="B59" s="217"/>
      <c r="C59" s="84" t="s">
        <v>157</v>
      </c>
      <c r="D59" s="183" t="s">
        <v>201</v>
      </c>
      <c r="E59" s="184"/>
      <c r="F59" s="184"/>
      <c r="G59" s="185"/>
    </row>
    <row r="60" spans="2:7" ht="18.75" customHeight="1">
      <c r="B60" s="217"/>
      <c r="C60" s="82"/>
      <c r="D60" s="180"/>
      <c r="E60" s="181"/>
      <c r="F60" s="181"/>
      <c r="G60" s="182"/>
    </row>
    <row r="61" spans="2:7" ht="18.75" customHeight="1">
      <c r="B61" s="217"/>
      <c r="C61" s="82"/>
      <c r="D61" s="180"/>
      <c r="E61" s="181"/>
      <c r="F61" s="181"/>
      <c r="G61" s="182"/>
    </row>
    <row r="62" spans="2:7" ht="18.75" customHeight="1">
      <c r="B62" s="217"/>
      <c r="C62" s="82"/>
      <c r="D62" s="180"/>
      <c r="E62" s="181"/>
      <c r="F62" s="181"/>
      <c r="G62" s="182"/>
    </row>
    <row r="63" spans="2:7" ht="18.75" customHeight="1">
      <c r="B63" s="217"/>
      <c r="C63" s="82"/>
      <c r="D63" s="180"/>
      <c r="E63" s="181"/>
      <c r="F63" s="181"/>
      <c r="G63" s="182"/>
    </row>
    <row r="64" spans="2:7" ht="18.75" customHeight="1">
      <c r="B64" s="217"/>
      <c r="C64" s="82"/>
      <c r="D64" s="180"/>
      <c r="E64" s="181"/>
      <c r="F64" s="181"/>
      <c r="G64" s="182"/>
    </row>
    <row r="65" spans="2:7" ht="18.75" customHeight="1">
      <c r="B65" s="217"/>
      <c r="C65" s="82"/>
      <c r="D65" s="180"/>
      <c r="E65" s="181"/>
      <c r="F65" s="181"/>
      <c r="G65" s="182"/>
    </row>
    <row r="66" spans="2:7" ht="18.75" customHeight="1">
      <c r="B66" s="217"/>
      <c r="C66" s="82"/>
      <c r="D66" s="180"/>
      <c r="E66" s="181"/>
      <c r="F66" s="181"/>
      <c r="G66" s="182"/>
    </row>
    <row r="67" spans="2:7" ht="18.75" customHeight="1">
      <c r="B67" s="217"/>
      <c r="C67" s="82"/>
      <c r="D67" s="180"/>
      <c r="E67" s="181"/>
      <c r="F67" s="181"/>
      <c r="G67" s="182"/>
    </row>
    <row r="68" spans="2:7" ht="18.75" customHeight="1">
      <c r="B68" s="217"/>
      <c r="C68" s="82"/>
      <c r="D68" s="180"/>
      <c r="E68" s="181"/>
      <c r="F68" s="181"/>
      <c r="G68" s="182"/>
    </row>
    <row r="69" spans="2:7" ht="18.75" customHeight="1">
      <c r="B69" s="217"/>
      <c r="C69" s="82"/>
      <c r="D69" s="180"/>
      <c r="E69" s="181"/>
      <c r="F69" s="181"/>
      <c r="G69" s="182"/>
    </row>
    <row r="70" spans="2:7" ht="18.75" customHeight="1">
      <c r="B70" s="217"/>
      <c r="C70" s="82"/>
      <c r="D70" s="180"/>
      <c r="E70" s="181"/>
      <c r="F70" s="181"/>
      <c r="G70" s="182"/>
    </row>
    <row r="71" spans="2:7" ht="18.75" customHeight="1">
      <c r="B71" s="217"/>
      <c r="C71" s="82"/>
      <c r="D71" s="180"/>
      <c r="E71" s="181"/>
      <c r="F71" s="181"/>
      <c r="G71" s="182"/>
    </row>
    <row r="72" spans="2:7" ht="18.75" customHeight="1">
      <c r="B72" s="217"/>
      <c r="C72" s="82"/>
      <c r="D72" s="180"/>
      <c r="E72" s="181"/>
      <c r="F72" s="181"/>
      <c r="G72" s="182"/>
    </row>
    <row r="73" spans="2:7" ht="18.75" customHeight="1">
      <c r="B73" s="217"/>
      <c r="C73" s="82"/>
      <c r="D73" s="180"/>
      <c r="E73" s="181"/>
      <c r="F73" s="181"/>
      <c r="G73" s="182"/>
    </row>
    <row r="74" spans="2:7" ht="18.75" customHeight="1">
      <c r="B74" s="217"/>
      <c r="C74" s="82"/>
      <c r="D74" s="180"/>
      <c r="E74" s="181"/>
      <c r="F74" s="181"/>
      <c r="G74" s="182"/>
    </row>
    <row r="75" spans="2:7" ht="18.75" customHeight="1">
      <c r="B75" s="217"/>
      <c r="C75" s="82"/>
      <c r="D75" s="180"/>
      <c r="E75" s="181"/>
      <c r="F75" s="181"/>
      <c r="G75" s="182"/>
    </row>
    <row r="76" spans="2:7" ht="18.75" customHeight="1">
      <c r="B76" s="216" t="s">
        <v>107</v>
      </c>
      <c r="C76" s="188" t="s">
        <v>103</v>
      </c>
      <c r="D76" s="189"/>
      <c r="E76" s="189"/>
      <c r="F76" s="189"/>
      <c r="G76" s="190"/>
    </row>
    <row r="77" spans="2:7" ht="37.5" customHeight="1">
      <c r="B77" s="217"/>
      <c r="C77" s="219" t="s">
        <v>196</v>
      </c>
      <c r="D77" s="220"/>
      <c r="E77" s="220"/>
      <c r="F77" s="220"/>
      <c r="G77" s="221"/>
    </row>
    <row r="78" spans="2:7" ht="37.5" customHeight="1">
      <c r="B78" s="217"/>
      <c r="C78" s="222"/>
      <c r="D78" s="223"/>
      <c r="E78" s="223"/>
      <c r="F78" s="223"/>
      <c r="G78" s="224"/>
    </row>
    <row r="79" spans="2:7" ht="37.5" customHeight="1">
      <c r="B79" s="217"/>
      <c r="C79" s="222"/>
      <c r="D79" s="223"/>
      <c r="E79" s="223"/>
      <c r="F79" s="223"/>
      <c r="G79" s="224"/>
    </row>
    <row r="80" spans="2:7" ht="37.5" customHeight="1">
      <c r="B80" s="217"/>
      <c r="C80" s="222"/>
      <c r="D80" s="223"/>
      <c r="E80" s="223"/>
      <c r="F80" s="223"/>
      <c r="G80" s="224"/>
    </row>
    <row r="81" spans="2:7" ht="37.5" customHeight="1">
      <c r="B81" s="217"/>
      <c r="C81" s="225"/>
      <c r="D81" s="226"/>
      <c r="E81" s="226"/>
      <c r="F81" s="226"/>
      <c r="G81" s="227"/>
    </row>
    <row r="82" spans="2:7" ht="18.75" customHeight="1">
      <c r="B82" s="217"/>
      <c r="C82" s="83" t="s">
        <v>104</v>
      </c>
      <c r="D82" s="188" t="s">
        <v>105</v>
      </c>
      <c r="E82" s="189"/>
      <c r="F82" s="189"/>
      <c r="G82" s="190"/>
    </row>
    <row r="83" spans="2:7" ht="18.75" customHeight="1">
      <c r="B83" s="217"/>
      <c r="C83" s="84" t="s">
        <v>156</v>
      </c>
      <c r="D83" s="183" t="s">
        <v>197</v>
      </c>
      <c r="E83" s="184"/>
      <c r="F83" s="184"/>
      <c r="G83" s="185"/>
    </row>
    <row r="84" spans="2:7" ht="18.75" customHeight="1">
      <c r="B84" s="217"/>
      <c r="C84" s="85"/>
      <c r="D84" s="186"/>
      <c r="E84" s="184"/>
      <c r="F84" s="184"/>
      <c r="G84" s="185"/>
    </row>
    <row r="85" spans="2:7" ht="18.75" customHeight="1">
      <c r="B85" s="217"/>
      <c r="C85" s="82"/>
      <c r="D85" s="180"/>
      <c r="E85" s="181"/>
      <c r="F85" s="181"/>
      <c r="G85" s="182"/>
    </row>
    <row r="86" spans="2:7" ht="18.75" customHeight="1">
      <c r="B86" s="217"/>
      <c r="C86" s="82"/>
      <c r="D86" s="180"/>
      <c r="E86" s="181"/>
      <c r="F86" s="181"/>
      <c r="G86" s="182"/>
    </row>
    <row r="87" spans="2:7" ht="18.75" customHeight="1">
      <c r="B87" s="217"/>
      <c r="C87" s="82"/>
      <c r="D87" s="180"/>
      <c r="E87" s="181"/>
      <c r="F87" s="181"/>
      <c r="G87" s="182"/>
    </row>
    <row r="88" spans="2:7" ht="18.75" customHeight="1">
      <c r="B88" s="217"/>
      <c r="C88" s="82"/>
      <c r="D88" s="180"/>
      <c r="E88" s="181"/>
      <c r="F88" s="181"/>
      <c r="G88" s="182"/>
    </row>
    <row r="89" spans="2:7" ht="18.75" customHeight="1">
      <c r="B89" s="217"/>
      <c r="C89" s="82"/>
      <c r="D89" s="180"/>
      <c r="E89" s="181"/>
      <c r="F89" s="181"/>
      <c r="G89" s="182"/>
    </row>
    <row r="90" spans="2:7" ht="18.75" customHeight="1">
      <c r="B90" s="217"/>
      <c r="C90" s="82"/>
      <c r="D90" s="180"/>
      <c r="E90" s="181"/>
      <c r="F90" s="181"/>
      <c r="G90" s="182"/>
    </row>
    <row r="91" spans="2:7" ht="18.75" customHeight="1">
      <c r="B91" s="217"/>
      <c r="C91" s="82"/>
      <c r="D91" s="180"/>
      <c r="E91" s="181"/>
      <c r="F91" s="181"/>
      <c r="G91" s="182"/>
    </row>
    <row r="92" spans="2:7" ht="18.75" customHeight="1">
      <c r="B92" s="217"/>
      <c r="C92" s="82"/>
      <c r="D92" s="180"/>
      <c r="E92" s="181"/>
      <c r="F92" s="181"/>
      <c r="G92" s="182"/>
    </row>
    <row r="93" spans="2:7" ht="18.75" customHeight="1">
      <c r="B93" s="217"/>
      <c r="C93" s="82"/>
      <c r="D93" s="180"/>
      <c r="E93" s="181"/>
      <c r="F93" s="181"/>
      <c r="G93" s="182"/>
    </row>
    <row r="94" spans="2:7" ht="18.75" customHeight="1">
      <c r="B94" s="217"/>
      <c r="C94" s="82"/>
      <c r="D94" s="180"/>
      <c r="E94" s="181"/>
      <c r="F94" s="181"/>
      <c r="G94" s="182"/>
    </row>
    <row r="95" spans="2:7" ht="18.75" customHeight="1">
      <c r="B95" s="217"/>
      <c r="C95" s="82"/>
      <c r="D95" s="180"/>
      <c r="E95" s="181"/>
      <c r="F95" s="181"/>
      <c r="G95" s="182"/>
    </row>
    <row r="96" spans="2:7" ht="18.75" customHeight="1">
      <c r="B96" s="217"/>
      <c r="C96" s="82"/>
      <c r="D96" s="180"/>
      <c r="E96" s="181"/>
      <c r="F96" s="181"/>
      <c r="G96" s="182"/>
    </row>
    <row r="97" spans="2:7" ht="18.75" customHeight="1">
      <c r="B97" s="217"/>
      <c r="C97" s="82"/>
      <c r="D97" s="180"/>
      <c r="E97" s="181"/>
      <c r="F97" s="181"/>
      <c r="G97" s="182"/>
    </row>
    <row r="98" spans="2:7" ht="18.75" customHeight="1">
      <c r="B98" s="217"/>
      <c r="C98" s="82"/>
      <c r="D98" s="180"/>
      <c r="E98" s="181"/>
      <c r="F98" s="181"/>
      <c r="G98" s="182"/>
    </row>
    <row r="99" spans="2:7" ht="18.75" customHeight="1">
      <c r="B99" s="217"/>
      <c r="C99" s="82"/>
      <c r="D99" s="180"/>
      <c r="E99" s="181"/>
      <c r="F99" s="181"/>
      <c r="G99" s="182"/>
    </row>
    <row r="100" spans="2:7" ht="18.75" customHeight="1">
      <c r="B100" s="217"/>
      <c r="C100" s="82"/>
      <c r="D100" s="180"/>
      <c r="E100" s="181"/>
      <c r="F100" s="181"/>
      <c r="G100" s="182"/>
    </row>
    <row r="101" spans="2:7" ht="18.75" customHeight="1">
      <c r="B101" s="216" t="s">
        <v>109</v>
      </c>
      <c r="C101" s="188" t="s">
        <v>103</v>
      </c>
      <c r="D101" s="189"/>
      <c r="E101" s="189"/>
      <c r="F101" s="189"/>
      <c r="G101" s="190"/>
    </row>
    <row r="102" spans="2:7" ht="37.5" customHeight="1">
      <c r="B102" s="217"/>
      <c r="C102" s="219" t="s">
        <v>198</v>
      </c>
      <c r="D102" s="220"/>
      <c r="E102" s="220"/>
      <c r="F102" s="220"/>
      <c r="G102" s="221"/>
    </row>
    <row r="103" spans="2:7" ht="37.5" customHeight="1">
      <c r="B103" s="217"/>
      <c r="C103" s="222"/>
      <c r="D103" s="223"/>
      <c r="E103" s="223"/>
      <c r="F103" s="223"/>
      <c r="G103" s="224"/>
    </row>
    <row r="104" spans="2:7" ht="37.5" customHeight="1">
      <c r="B104" s="217"/>
      <c r="C104" s="222"/>
      <c r="D104" s="223"/>
      <c r="E104" s="223"/>
      <c r="F104" s="223"/>
      <c r="G104" s="224"/>
    </row>
    <row r="105" spans="2:7" ht="37.5" customHeight="1">
      <c r="B105" s="217"/>
      <c r="C105" s="222"/>
      <c r="D105" s="223"/>
      <c r="E105" s="223"/>
      <c r="F105" s="223"/>
      <c r="G105" s="224"/>
    </row>
    <row r="106" spans="2:7" ht="37.5" customHeight="1">
      <c r="B106" s="217"/>
      <c r="C106" s="225"/>
      <c r="D106" s="226"/>
      <c r="E106" s="226"/>
      <c r="F106" s="226"/>
      <c r="G106" s="227"/>
    </row>
    <row r="107" spans="2:7" ht="18.75" customHeight="1">
      <c r="B107" s="217"/>
      <c r="C107" s="83" t="s">
        <v>104</v>
      </c>
      <c r="D107" s="188" t="s">
        <v>105</v>
      </c>
      <c r="E107" s="189"/>
      <c r="F107" s="189"/>
      <c r="G107" s="190"/>
    </row>
    <row r="108" spans="2:7" ht="18.75" customHeight="1">
      <c r="B108" s="217"/>
      <c r="C108" s="84" t="s">
        <v>156</v>
      </c>
      <c r="D108" s="183" t="s">
        <v>199</v>
      </c>
      <c r="E108" s="184"/>
      <c r="F108" s="184"/>
      <c r="G108" s="185"/>
    </row>
    <row r="109" spans="2:7" ht="18.75" customHeight="1">
      <c r="B109" s="217"/>
      <c r="C109" s="85" t="s">
        <v>158</v>
      </c>
      <c r="D109" s="183" t="s">
        <v>202</v>
      </c>
      <c r="E109" s="184"/>
      <c r="F109" s="184"/>
      <c r="G109" s="185"/>
    </row>
    <row r="110" spans="2:7" ht="18.75" customHeight="1">
      <c r="B110" s="217"/>
      <c r="C110" s="82"/>
      <c r="D110" s="180"/>
      <c r="E110" s="181"/>
      <c r="F110" s="181"/>
      <c r="G110" s="182"/>
    </row>
    <row r="111" spans="2:7" ht="18.75" customHeight="1">
      <c r="B111" s="217"/>
      <c r="C111" s="82"/>
      <c r="D111" s="180"/>
      <c r="E111" s="181"/>
      <c r="F111" s="181"/>
      <c r="G111" s="182"/>
    </row>
    <row r="112" spans="2:7" ht="18.75" customHeight="1">
      <c r="B112" s="217"/>
      <c r="C112" s="82"/>
      <c r="D112" s="180"/>
      <c r="E112" s="181"/>
      <c r="F112" s="181"/>
      <c r="G112" s="182"/>
    </row>
    <row r="113" spans="1:7" ht="18.75" customHeight="1">
      <c r="B113" s="217"/>
      <c r="C113" s="82"/>
      <c r="D113" s="180"/>
      <c r="E113" s="181"/>
      <c r="F113" s="181"/>
      <c r="G113" s="182"/>
    </row>
    <row r="114" spans="1:7" ht="18.75" customHeight="1">
      <c r="B114" s="217"/>
      <c r="C114" s="82"/>
      <c r="D114" s="180"/>
      <c r="E114" s="181"/>
      <c r="F114" s="181"/>
      <c r="G114" s="182"/>
    </row>
    <row r="115" spans="1:7" ht="18.75" customHeight="1">
      <c r="B115" s="217"/>
      <c r="C115" s="82"/>
      <c r="D115" s="180"/>
      <c r="E115" s="181"/>
      <c r="F115" s="181"/>
      <c r="G115" s="182"/>
    </row>
    <row r="116" spans="1:7" ht="18.75" customHeight="1">
      <c r="B116" s="217"/>
      <c r="C116" s="82"/>
      <c r="D116" s="180"/>
      <c r="E116" s="181"/>
      <c r="F116" s="181"/>
      <c r="G116" s="182"/>
    </row>
    <row r="117" spans="1:7" ht="18.75" customHeight="1">
      <c r="B117" s="217"/>
      <c r="C117" s="82"/>
      <c r="D117" s="180"/>
      <c r="E117" s="181"/>
      <c r="F117" s="181"/>
      <c r="G117" s="182"/>
    </row>
    <row r="118" spans="1:7" ht="18.75" customHeight="1">
      <c r="B118" s="217"/>
      <c r="C118" s="82"/>
      <c r="D118" s="180"/>
      <c r="E118" s="181"/>
      <c r="F118" s="181"/>
      <c r="G118" s="182"/>
    </row>
    <row r="119" spans="1:7" ht="18.75" customHeight="1">
      <c r="B119" s="217"/>
      <c r="C119" s="82"/>
      <c r="D119" s="180"/>
      <c r="E119" s="181"/>
      <c r="F119" s="181"/>
      <c r="G119" s="182"/>
    </row>
    <row r="120" spans="1:7" ht="18.75" customHeight="1">
      <c r="B120" s="217"/>
      <c r="C120" s="82"/>
      <c r="D120" s="180"/>
      <c r="E120" s="181"/>
      <c r="F120" s="181"/>
      <c r="G120" s="182"/>
    </row>
    <row r="121" spans="1:7" ht="18.75" customHeight="1">
      <c r="B121" s="217"/>
      <c r="C121" s="82"/>
      <c r="D121" s="180"/>
      <c r="E121" s="181"/>
      <c r="F121" s="181"/>
      <c r="G121" s="182"/>
    </row>
    <row r="122" spans="1:7" ht="18.75" customHeight="1">
      <c r="B122" s="217"/>
      <c r="C122" s="82"/>
      <c r="D122" s="180"/>
      <c r="E122" s="181"/>
      <c r="F122" s="181"/>
      <c r="G122" s="182"/>
    </row>
    <row r="123" spans="1:7" ht="18.75" customHeight="1">
      <c r="B123" s="217"/>
      <c r="C123" s="82"/>
      <c r="D123" s="180"/>
      <c r="E123" s="181"/>
      <c r="F123" s="181"/>
      <c r="G123" s="182"/>
    </row>
    <row r="124" spans="1:7" ht="18.75" customHeight="1">
      <c r="B124" s="217"/>
      <c r="C124" s="82"/>
      <c r="D124" s="180"/>
      <c r="E124" s="181"/>
      <c r="F124" s="181"/>
      <c r="G124" s="182"/>
    </row>
    <row r="125" spans="1:7" ht="18.75" customHeight="1">
      <c r="B125" s="217"/>
      <c r="C125" s="82"/>
      <c r="D125" s="180"/>
      <c r="E125" s="181"/>
      <c r="F125" s="181"/>
      <c r="G125" s="182"/>
    </row>
    <row r="126" spans="1:7" ht="18.75" customHeight="1">
      <c r="A126" s="3" t="s">
        <v>10</v>
      </c>
      <c r="B126" s="3" t="s">
        <v>101</v>
      </c>
    </row>
    <row r="127" spans="1:7" ht="22.5" customHeight="1">
      <c r="B127" s="82" t="s">
        <v>72</v>
      </c>
      <c r="C127" s="188" t="s">
        <v>100</v>
      </c>
      <c r="D127" s="189"/>
      <c r="E127" s="189"/>
      <c r="F127" s="189"/>
      <c r="G127" s="190"/>
    </row>
    <row r="128" spans="1:7" ht="45" customHeight="1">
      <c r="B128" s="86" t="s">
        <v>73</v>
      </c>
      <c r="C128" s="212" t="s">
        <v>159</v>
      </c>
      <c r="D128" s="213"/>
      <c r="E128" s="213"/>
      <c r="F128" s="213"/>
      <c r="G128" s="214"/>
    </row>
    <row r="129" spans="1:7" ht="45" customHeight="1">
      <c r="B129" s="86" t="s">
        <v>74</v>
      </c>
      <c r="C129" s="212" t="s">
        <v>160</v>
      </c>
      <c r="D129" s="213"/>
      <c r="E129" s="213"/>
      <c r="F129" s="213"/>
      <c r="G129" s="214"/>
    </row>
    <row r="130" spans="1:7" ht="45" customHeight="1">
      <c r="B130" s="86" t="s">
        <v>75</v>
      </c>
      <c r="C130" s="212" t="s">
        <v>160</v>
      </c>
      <c r="D130" s="213"/>
      <c r="E130" s="213"/>
      <c r="F130" s="213"/>
      <c r="G130" s="214"/>
    </row>
    <row r="131" spans="1:7" ht="45" customHeight="1">
      <c r="B131" s="86" t="s">
        <v>76</v>
      </c>
      <c r="C131" s="212" t="s">
        <v>161</v>
      </c>
      <c r="D131" s="213"/>
      <c r="E131" s="213"/>
      <c r="F131" s="213"/>
      <c r="G131" s="214"/>
    </row>
    <row r="132" spans="1:7" ht="45" customHeight="1">
      <c r="B132" s="86" t="s">
        <v>77</v>
      </c>
      <c r="C132" s="212"/>
      <c r="D132" s="213"/>
      <c r="E132" s="213"/>
      <c r="F132" s="213"/>
      <c r="G132" s="214"/>
    </row>
    <row r="133" spans="1:7" ht="45" customHeight="1">
      <c r="B133" s="86" t="s">
        <v>78</v>
      </c>
      <c r="C133" s="212"/>
      <c r="D133" s="213"/>
      <c r="E133" s="213"/>
      <c r="F133" s="213"/>
      <c r="G133" s="214"/>
    </row>
    <row r="134" spans="1:7" ht="45" customHeight="1">
      <c r="B134" s="86" t="s">
        <v>79</v>
      </c>
      <c r="C134" s="212" t="s">
        <v>159</v>
      </c>
      <c r="D134" s="213"/>
      <c r="E134" s="213"/>
      <c r="F134" s="213"/>
      <c r="G134" s="214"/>
    </row>
    <row r="135" spans="1:7" ht="45" customHeight="1">
      <c r="B135" s="86" t="s">
        <v>80</v>
      </c>
      <c r="C135" s="212" t="s">
        <v>159</v>
      </c>
      <c r="D135" s="213"/>
      <c r="E135" s="213"/>
      <c r="F135" s="213"/>
      <c r="G135" s="214"/>
    </row>
    <row r="136" spans="1:7" ht="45" customHeight="1">
      <c r="B136" s="86" t="s">
        <v>81</v>
      </c>
      <c r="C136" s="215"/>
      <c r="D136" s="213"/>
      <c r="E136" s="213"/>
      <c r="F136" s="213"/>
      <c r="G136" s="214"/>
    </row>
    <row r="137" spans="1:7" ht="7.5" customHeight="1"/>
    <row r="138" spans="1:7" ht="18.75" customHeight="1">
      <c r="A138" s="3" t="s">
        <v>11</v>
      </c>
      <c r="B138" s="3" t="s">
        <v>96</v>
      </c>
      <c r="E138" s="209" t="s">
        <v>189</v>
      </c>
      <c r="F138" s="210"/>
      <c r="G138" s="211"/>
    </row>
    <row r="139" spans="1:7" ht="7.5" customHeight="1"/>
    <row r="140" spans="1:7" ht="18.75" customHeight="1">
      <c r="A140" s="3" t="s">
        <v>15</v>
      </c>
      <c r="B140" s="3" t="s">
        <v>97</v>
      </c>
    </row>
    <row r="141" spans="1:7" ht="18.75" customHeight="1">
      <c r="B141" s="200" t="s">
        <v>200</v>
      </c>
      <c r="C141" s="201"/>
      <c r="D141" s="201"/>
      <c r="E141" s="201"/>
      <c r="F141" s="201"/>
      <c r="G141" s="202"/>
    </row>
    <row r="142" spans="1:7" ht="18.75" customHeight="1">
      <c r="B142" s="203"/>
      <c r="C142" s="204"/>
      <c r="D142" s="204"/>
      <c r="E142" s="204"/>
      <c r="F142" s="204"/>
      <c r="G142" s="205"/>
    </row>
    <row r="143" spans="1:7" ht="18.75" customHeight="1">
      <c r="B143" s="203"/>
      <c r="C143" s="204"/>
      <c r="D143" s="204"/>
      <c r="E143" s="204"/>
      <c r="F143" s="204"/>
      <c r="G143" s="205"/>
    </row>
    <row r="144" spans="1:7" ht="18.75" customHeight="1">
      <c r="B144" s="206"/>
      <c r="C144" s="207"/>
      <c r="D144" s="207"/>
      <c r="E144" s="207"/>
      <c r="F144" s="207"/>
      <c r="G144" s="208"/>
    </row>
    <row r="145" ht="18.75" customHeight="1"/>
    <row r="146" ht="18.75" customHeight="1"/>
    <row r="147" ht="18.75" customHeight="1"/>
    <row r="148" ht="18.75" customHeight="1"/>
    <row r="149" ht="18.75" customHeight="1"/>
    <row r="150" ht="18.75" customHeight="1"/>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Normal="100" workbookViewId="0">
      <selection activeCell="B114" sqref="B114:E133"/>
    </sheetView>
  </sheetViews>
  <sheetFormatPr defaultColWidth="11.375" defaultRowHeight="18.75" customHeight="1"/>
  <cols>
    <col min="1" max="1" width="2.625" style="87" customWidth="1"/>
    <col min="2" max="2" width="54.125" style="3" customWidth="1"/>
    <col min="3" max="3" width="1.125" style="3" customWidth="1"/>
    <col min="4" max="4" width="22.5" style="3" customWidth="1"/>
    <col min="5" max="5" width="6.125" style="3" customWidth="1"/>
    <col min="6" max="16384" width="11.375" style="3"/>
  </cols>
  <sheetData>
    <row r="1" spans="1:5" ht="18.75" customHeight="1">
      <c r="E1" s="41" t="s">
        <v>102</v>
      </c>
    </row>
    <row r="2" spans="1:5" ht="18.75" customHeight="1">
      <c r="B2" s="41" t="s">
        <v>85</v>
      </c>
      <c r="C2" s="41" t="s">
        <v>6</v>
      </c>
      <c r="D2" s="244" t="s">
        <v>148</v>
      </c>
      <c r="E2" s="244"/>
    </row>
    <row r="3" spans="1:5" ht="7.5" customHeight="1">
      <c r="B3" s="41"/>
      <c r="C3" s="41"/>
      <c r="D3" s="47"/>
      <c r="E3" s="47"/>
    </row>
    <row r="4" spans="1:5" ht="18.75" customHeight="1">
      <c r="B4" s="245" t="s">
        <v>82</v>
      </c>
      <c r="C4" s="245"/>
      <c r="D4" s="245"/>
      <c r="E4" s="245"/>
    </row>
    <row r="5" spans="1:5" ht="7.5" customHeight="1">
      <c r="B5" s="47"/>
      <c r="C5" s="47"/>
      <c r="D5" s="47"/>
      <c r="E5" s="47"/>
    </row>
    <row r="6" spans="1:5" ht="18.75" customHeight="1">
      <c r="A6" s="48" t="s">
        <v>5</v>
      </c>
      <c r="B6" s="48" t="s">
        <v>95</v>
      </c>
      <c r="C6" s="47"/>
      <c r="D6" s="47"/>
      <c r="E6" s="47"/>
    </row>
    <row r="7" spans="1:5" ht="18.75" customHeight="1">
      <c r="A7" s="48"/>
      <c r="B7" s="120" t="s">
        <v>180</v>
      </c>
      <c r="C7" s="121"/>
      <c r="D7" s="121"/>
      <c r="E7" s="254"/>
    </row>
    <row r="8" spans="1:5" ht="7.5" customHeight="1">
      <c r="B8" s="47"/>
      <c r="C8" s="47"/>
      <c r="D8" s="47"/>
      <c r="E8" s="47"/>
    </row>
    <row r="9" spans="1:5" s="48" customFormat="1" ht="18.75" customHeight="1">
      <c r="A9" s="48" t="s">
        <v>10</v>
      </c>
      <c r="B9" s="48" t="s">
        <v>44</v>
      </c>
    </row>
    <row r="10" spans="1:5" s="48" customFormat="1" ht="18.75" customHeight="1">
      <c r="A10" s="88"/>
      <c r="B10" s="234" t="s">
        <v>188</v>
      </c>
      <c r="C10" s="235"/>
      <c r="D10" s="235"/>
      <c r="E10" s="236"/>
    </row>
    <row r="11" spans="1:5" s="48" customFormat="1" ht="56.1" customHeight="1">
      <c r="A11" s="88"/>
      <c r="B11" s="237"/>
      <c r="C11" s="238"/>
      <c r="D11" s="238"/>
      <c r="E11" s="239"/>
    </row>
    <row r="12" spans="1:5" s="48" customFormat="1" ht="18.75" customHeight="1">
      <c r="A12" s="88"/>
      <c r="B12" s="237"/>
      <c r="C12" s="238"/>
      <c r="D12" s="238"/>
      <c r="E12" s="239"/>
    </row>
    <row r="13" spans="1:5" s="48" customFormat="1" ht="18.75" customHeight="1">
      <c r="A13" s="88"/>
      <c r="B13" s="237"/>
      <c r="C13" s="238"/>
      <c r="D13" s="238"/>
      <c r="E13" s="239"/>
    </row>
    <row r="14" spans="1:5" s="48" customFormat="1" ht="60" customHeight="1">
      <c r="A14" s="88"/>
      <c r="B14" s="240"/>
      <c r="C14" s="241"/>
      <c r="D14" s="241"/>
      <c r="E14" s="242"/>
    </row>
    <row r="15" spans="1:5" s="48" customFormat="1" ht="7.5" customHeight="1">
      <c r="A15" s="88"/>
      <c r="B15" s="88"/>
      <c r="C15" s="88"/>
      <c r="D15" s="88"/>
      <c r="E15" s="88"/>
    </row>
    <row r="16" spans="1:5" s="48" customFormat="1" ht="18.75" customHeight="1">
      <c r="A16" s="89" t="s">
        <v>11</v>
      </c>
      <c r="B16" s="89" t="s">
        <v>17</v>
      </c>
      <c r="C16" s="89"/>
      <c r="D16" s="89"/>
      <c r="E16" s="89"/>
    </row>
    <row r="17" spans="1:5" s="48" customFormat="1" ht="18.75" customHeight="1">
      <c r="A17" s="88"/>
      <c r="B17" s="234" t="s">
        <v>175</v>
      </c>
      <c r="C17" s="235"/>
      <c r="D17" s="235"/>
      <c r="E17" s="236"/>
    </row>
    <row r="18" spans="1:5" s="48" customFormat="1" ht="18.75" customHeight="1">
      <c r="A18" s="88"/>
      <c r="B18" s="237"/>
      <c r="C18" s="238"/>
      <c r="D18" s="238"/>
      <c r="E18" s="239"/>
    </row>
    <row r="19" spans="1:5" s="48" customFormat="1" ht="18.75" customHeight="1">
      <c r="A19" s="88"/>
      <c r="B19" s="237"/>
      <c r="C19" s="238"/>
      <c r="D19" s="238"/>
      <c r="E19" s="239"/>
    </row>
    <row r="20" spans="1:5" s="48" customFormat="1" ht="18.75" customHeight="1">
      <c r="A20" s="88"/>
      <c r="B20" s="237"/>
      <c r="C20" s="238"/>
      <c r="D20" s="238"/>
      <c r="E20" s="239"/>
    </row>
    <row r="21" spans="1:5" s="48" customFormat="1" ht="18.75" customHeight="1">
      <c r="A21" s="88"/>
      <c r="B21" s="237"/>
      <c r="C21" s="238"/>
      <c r="D21" s="238"/>
      <c r="E21" s="239"/>
    </row>
    <row r="22" spans="1:5" s="48" customFormat="1" ht="18.75" customHeight="1">
      <c r="A22" s="88"/>
      <c r="B22" s="237"/>
      <c r="C22" s="238"/>
      <c r="D22" s="238"/>
      <c r="E22" s="239"/>
    </row>
    <row r="23" spans="1:5" s="48" customFormat="1" ht="18.75" customHeight="1">
      <c r="A23" s="88"/>
      <c r="B23" s="237"/>
      <c r="C23" s="238"/>
      <c r="D23" s="238"/>
      <c r="E23" s="239"/>
    </row>
    <row r="24" spans="1:5" s="48" customFormat="1" ht="18.75" customHeight="1">
      <c r="A24" s="88"/>
      <c r="B24" s="237"/>
      <c r="C24" s="238"/>
      <c r="D24" s="238"/>
      <c r="E24" s="239"/>
    </row>
    <row r="25" spans="1:5" s="48" customFormat="1" ht="18.75" customHeight="1">
      <c r="A25" s="88"/>
      <c r="B25" s="237"/>
      <c r="C25" s="238"/>
      <c r="D25" s="238"/>
      <c r="E25" s="239"/>
    </row>
    <row r="26" spans="1:5" s="48" customFormat="1" ht="18.75" customHeight="1">
      <c r="A26" s="88"/>
      <c r="B26" s="237"/>
      <c r="C26" s="238"/>
      <c r="D26" s="238"/>
      <c r="E26" s="239"/>
    </row>
    <row r="27" spans="1:5" s="48" customFormat="1" ht="18.75" customHeight="1">
      <c r="A27" s="88"/>
      <c r="B27" s="237"/>
      <c r="C27" s="238"/>
      <c r="D27" s="238"/>
      <c r="E27" s="239"/>
    </row>
    <row r="28" spans="1:5" s="48" customFormat="1" ht="18.75" customHeight="1">
      <c r="A28" s="88"/>
      <c r="B28" s="240"/>
      <c r="C28" s="241"/>
      <c r="D28" s="241"/>
      <c r="E28" s="242"/>
    </row>
    <row r="29" spans="1:5" ht="7.5" customHeight="1">
      <c r="A29" s="90"/>
      <c r="B29" s="90"/>
      <c r="C29" s="90"/>
      <c r="D29" s="90"/>
      <c r="E29" s="90"/>
    </row>
    <row r="30" spans="1:5" s="48" customFormat="1" ht="18.75" customHeight="1">
      <c r="A30" s="48" t="s">
        <v>15</v>
      </c>
      <c r="B30" s="48" t="s">
        <v>28</v>
      </c>
    </row>
    <row r="31" spans="1:5" s="48" customFormat="1" ht="18.75" customHeight="1">
      <c r="B31" s="234" t="s">
        <v>171</v>
      </c>
      <c r="C31" s="235"/>
      <c r="D31" s="235"/>
      <c r="E31" s="236"/>
    </row>
    <row r="32" spans="1:5" s="48" customFormat="1" ht="18.75" customHeight="1">
      <c r="B32" s="237"/>
      <c r="C32" s="238"/>
      <c r="D32" s="238"/>
      <c r="E32" s="239"/>
    </row>
    <row r="33" spans="1:5" s="48" customFormat="1" ht="18.75" customHeight="1">
      <c r="B33" s="237"/>
      <c r="C33" s="238"/>
      <c r="D33" s="238"/>
      <c r="E33" s="239"/>
    </row>
    <row r="34" spans="1:5" s="48" customFormat="1" ht="18.75" customHeight="1">
      <c r="B34" s="237"/>
      <c r="C34" s="238"/>
      <c r="D34" s="238"/>
      <c r="E34" s="239"/>
    </row>
    <row r="35" spans="1:5" s="48" customFormat="1" ht="18.75" customHeight="1">
      <c r="B35" s="237"/>
      <c r="C35" s="238"/>
      <c r="D35" s="238"/>
      <c r="E35" s="239"/>
    </row>
    <row r="36" spans="1:5" s="48" customFormat="1" ht="18.75" customHeight="1">
      <c r="B36" s="237"/>
      <c r="C36" s="238"/>
      <c r="D36" s="238"/>
      <c r="E36" s="239"/>
    </row>
    <row r="37" spans="1:5" s="48" customFormat="1" ht="18.75" customHeight="1">
      <c r="B37" s="237"/>
      <c r="C37" s="238"/>
      <c r="D37" s="238"/>
      <c r="E37" s="239"/>
    </row>
    <row r="38" spans="1:5" s="48" customFormat="1" ht="18.75" customHeight="1">
      <c r="B38" s="237"/>
      <c r="C38" s="238"/>
      <c r="D38" s="238"/>
      <c r="E38" s="239"/>
    </row>
    <row r="39" spans="1:5" s="48" customFormat="1" ht="18.75" customHeight="1">
      <c r="B39" s="237"/>
      <c r="C39" s="238"/>
      <c r="D39" s="238"/>
      <c r="E39" s="239"/>
    </row>
    <row r="40" spans="1:5" s="48" customFormat="1" ht="18.75" customHeight="1">
      <c r="B40" s="237"/>
      <c r="C40" s="238"/>
      <c r="D40" s="238"/>
      <c r="E40" s="239"/>
    </row>
    <row r="41" spans="1:5" s="48" customFormat="1" ht="18.75" customHeight="1">
      <c r="B41" s="237"/>
      <c r="C41" s="238"/>
      <c r="D41" s="238"/>
      <c r="E41" s="239"/>
    </row>
    <row r="42" spans="1:5" s="48" customFormat="1" ht="18.75" customHeight="1">
      <c r="B42" s="237"/>
      <c r="C42" s="238"/>
      <c r="D42" s="238"/>
      <c r="E42" s="239"/>
    </row>
    <row r="43" spans="1:5" s="48" customFormat="1" ht="18.75" customHeight="1">
      <c r="B43" s="237"/>
      <c r="C43" s="238"/>
      <c r="D43" s="238"/>
      <c r="E43" s="239"/>
    </row>
    <row r="44" spans="1:5" s="48" customFormat="1" ht="18.75" customHeight="1">
      <c r="B44" s="237"/>
      <c r="C44" s="238"/>
      <c r="D44" s="238"/>
      <c r="E44" s="239"/>
    </row>
    <row r="45" spans="1:5" ht="18.75" customHeight="1">
      <c r="A45" s="90"/>
      <c r="B45" s="237"/>
      <c r="C45" s="238"/>
      <c r="D45" s="238"/>
      <c r="E45" s="239"/>
    </row>
    <row r="46" spans="1:5" ht="18.75" customHeight="1">
      <c r="A46" s="90"/>
      <c r="B46" s="240"/>
      <c r="C46" s="241"/>
      <c r="D46" s="241"/>
      <c r="E46" s="242"/>
    </row>
    <row r="47" spans="1:5" s="48" customFormat="1" ht="18.75" customHeight="1">
      <c r="A47" s="89" t="s">
        <v>12</v>
      </c>
      <c r="B47" s="48" t="s">
        <v>83</v>
      </c>
      <c r="C47" s="89"/>
      <c r="D47" s="89"/>
      <c r="E47" s="89"/>
    </row>
    <row r="48" spans="1:5" ht="18.75" customHeight="1">
      <c r="A48" s="90"/>
      <c r="B48" s="234" t="s">
        <v>176</v>
      </c>
      <c r="C48" s="246"/>
      <c r="D48" s="246"/>
      <c r="E48" s="247"/>
    </row>
    <row r="49" spans="1:5" ht="18.75" customHeight="1">
      <c r="A49" s="90"/>
      <c r="B49" s="248"/>
      <c r="C49" s="249"/>
      <c r="D49" s="249"/>
      <c r="E49" s="250"/>
    </row>
    <row r="50" spans="1:5" ht="18.75" customHeight="1">
      <c r="A50" s="90"/>
      <c r="B50" s="248"/>
      <c r="C50" s="249"/>
      <c r="D50" s="249"/>
      <c r="E50" s="250"/>
    </row>
    <row r="51" spans="1:5" ht="18.75" customHeight="1">
      <c r="A51" s="90"/>
      <c r="B51" s="248"/>
      <c r="C51" s="249"/>
      <c r="D51" s="249"/>
      <c r="E51" s="250"/>
    </row>
    <row r="52" spans="1:5" ht="18.75" customHeight="1">
      <c r="A52" s="90"/>
      <c r="B52" s="248"/>
      <c r="C52" s="249"/>
      <c r="D52" s="249"/>
      <c r="E52" s="250"/>
    </row>
    <row r="53" spans="1:5" ht="18.75" customHeight="1">
      <c r="A53" s="90"/>
      <c r="B53" s="248"/>
      <c r="C53" s="249"/>
      <c r="D53" s="249"/>
      <c r="E53" s="250"/>
    </row>
    <row r="54" spans="1:5" ht="18.75" customHeight="1">
      <c r="A54" s="90"/>
      <c r="B54" s="248"/>
      <c r="C54" s="249"/>
      <c r="D54" s="249"/>
      <c r="E54" s="250"/>
    </row>
    <row r="55" spans="1:5" ht="18.75" customHeight="1">
      <c r="A55" s="90"/>
      <c r="B55" s="248"/>
      <c r="C55" s="249"/>
      <c r="D55" s="249"/>
      <c r="E55" s="250"/>
    </row>
    <row r="56" spans="1:5" ht="18.75" customHeight="1">
      <c r="A56" s="90"/>
      <c r="B56" s="248"/>
      <c r="C56" s="249"/>
      <c r="D56" s="249"/>
      <c r="E56" s="250"/>
    </row>
    <row r="57" spans="1:5" ht="18.75" customHeight="1">
      <c r="A57" s="90"/>
      <c r="B57" s="248"/>
      <c r="C57" s="249"/>
      <c r="D57" s="249"/>
      <c r="E57" s="250"/>
    </row>
    <row r="58" spans="1:5" ht="18.75" customHeight="1">
      <c r="A58" s="90"/>
      <c r="B58" s="248"/>
      <c r="C58" s="249"/>
      <c r="D58" s="249"/>
      <c r="E58" s="250"/>
    </row>
    <row r="59" spans="1:5" ht="18.75" customHeight="1">
      <c r="A59" s="90"/>
      <c r="B59" s="248"/>
      <c r="C59" s="249"/>
      <c r="D59" s="249"/>
      <c r="E59" s="250"/>
    </row>
    <row r="60" spans="1:5" ht="18.75" customHeight="1">
      <c r="A60" s="90"/>
      <c r="B60" s="248"/>
      <c r="C60" s="249"/>
      <c r="D60" s="249"/>
      <c r="E60" s="250"/>
    </row>
    <row r="61" spans="1:5" ht="18.75" customHeight="1">
      <c r="A61" s="90"/>
      <c r="B61" s="248"/>
      <c r="C61" s="249"/>
      <c r="D61" s="249"/>
      <c r="E61" s="250"/>
    </row>
    <row r="62" spans="1:5" ht="18.75" customHeight="1">
      <c r="A62" s="90"/>
      <c r="B62" s="248"/>
      <c r="C62" s="249"/>
      <c r="D62" s="249"/>
      <c r="E62" s="250"/>
    </row>
    <row r="63" spans="1:5" ht="18.75" customHeight="1">
      <c r="A63" s="90"/>
      <c r="B63" s="248"/>
      <c r="C63" s="249"/>
      <c r="D63" s="249"/>
      <c r="E63" s="250"/>
    </row>
    <row r="64" spans="1:5" ht="18.75" customHeight="1">
      <c r="A64" s="90"/>
      <c r="B64" s="248"/>
      <c r="C64" s="249"/>
      <c r="D64" s="249"/>
      <c r="E64" s="250"/>
    </row>
    <row r="65" spans="1:5" ht="18.75" customHeight="1">
      <c r="A65" s="90"/>
      <c r="B65" s="248"/>
      <c r="C65" s="249"/>
      <c r="D65" s="249"/>
      <c r="E65" s="250"/>
    </row>
    <row r="66" spans="1:5" ht="18.75" customHeight="1">
      <c r="A66" s="90"/>
      <c r="B66" s="248"/>
      <c r="C66" s="249"/>
      <c r="D66" s="249"/>
      <c r="E66" s="250"/>
    </row>
    <row r="67" spans="1:5" ht="18.75" customHeight="1">
      <c r="A67" s="90"/>
      <c r="B67" s="248"/>
      <c r="C67" s="249"/>
      <c r="D67" s="249"/>
      <c r="E67" s="250"/>
    </row>
    <row r="68" spans="1:5" ht="18.75" customHeight="1">
      <c r="A68" s="90"/>
      <c r="B68" s="251"/>
      <c r="C68" s="252"/>
      <c r="D68" s="252"/>
      <c r="E68" s="253"/>
    </row>
    <row r="69" spans="1:5" ht="7.5" customHeight="1">
      <c r="A69" s="90"/>
      <c r="B69" s="90"/>
      <c r="C69" s="90"/>
      <c r="D69" s="90"/>
      <c r="E69" s="90"/>
    </row>
    <row r="70" spans="1:5" s="48" customFormat="1" ht="18.75" customHeight="1">
      <c r="A70" s="48" t="s">
        <v>16</v>
      </c>
      <c r="B70" s="48" t="s">
        <v>94</v>
      </c>
    </row>
    <row r="71" spans="1:5" s="48" customFormat="1" ht="18.75" customHeight="1">
      <c r="B71" s="234" t="s">
        <v>172</v>
      </c>
      <c r="C71" s="235"/>
      <c r="D71" s="235"/>
      <c r="E71" s="236"/>
    </row>
    <row r="72" spans="1:5" s="48" customFormat="1" ht="18.75" customHeight="1">
      <c r="B72" s="237"/>
      <c r="C72" s="238"/>
      <c r="D72" s="238"/>
      <c r="E72" s="239"/>
    </row>
    <row r="73" spans="1:5" s="48" customFormat="1" ht="18.75" customHeight="1">
      <c r="B73" s="237"/>
      <c r="C73" s="238"/>
      <c r="D73" s="238"/>
      <c r="E73" s="239"/>
    </row>
    <row r="74" spans="1:5" s="48" customFormat="1" ht="18.75" customHeight="1">
      <c r="B74" s="237"/>
      <c r="C74" s="238"/>
      <c r="D74" s="238"/>
      <c r="E74" s="239"/>
    </row>
    <row r="75" spans="1:5" s="48" customFormat="1" ht="18.75" customHeight="1">
      <c r="B75" s="237"/>
      <c r="C75" s="238"/>
      <c r="D75" s="238"/>
      <c r="E75" s="239"/>
    </row>
    <row r="76" spans="1:5" s="48" customFormat="1" ht="18.75" customHeight="1">
      <c r="B76" s="237"/>
      <c r="C76" s="238"/>
      <c r="D76" s="238"/>
      <c r="E76" s="239"/>
    </row>
    <row r="77" spans="1:5" s="48" customFormat="1" ht="18.75" customHeight="1">
      <c r="B77" s="237"/>
      <c r="C77" s="238"/>
      <c r="D77" s="238"/>
      <c r="E77" s="239"/>
    </row>
    <row r="78" spans="1:5" s="48" customFormat="1" ht="18.75" customHeight="1">
      <c r="B78" s="237"/>
      <c r="C78" s="238"/>
      <c r="D78" s="238"/>
      <c r="E78" s="239"/>
    </row>
    <row r="79" spans="1:5" s="48" customFormat="1" ht="18.75" customHeight="1">
      <c r="B79" s="237"/>
      <c r="C79" s="238"/>
      <c r="D79" s="238"/>
      <c r="E79" s="239"/>
    </row>
    <row r="80" spans="1:5" s="48" customFormat="1" ht="18.75" customHeight="1">
      <c r="B80" s="237"/>
      <c r="C80" s="238"/>
      <c r="D80" s="238"/>
      <c r="E80" s="239"/>
    </row>
    <row r="81" spans="1:5" s="48" customFormat="1" ht="18.75" customHeight="1">
      <c r="B81" s="237"/>
      <c r="C81" s="238"/>
      <c r="D81" s="238"/>
      <c r="E81" s="239"/>
    </row>
    <row r="82" spans="1:5" s="48" customFormat="1" ht="18.75" customHeight="1">
      <c r="B82" s="237"/>
      <c r="C82" s="238"/>
      <c r="D82" s="238"/>
      <c r="E82" s="239"/>
    </row>
    <row r="83" spans="1:5" s="48" customFormat="1" ht="18.75" customHeight="1">
      <c r="B83" s="237"/>
      <c r="C83" s="238"/>
      <c r="D83" s="238"/>
      <c r="E83" s="239"/>
    </row>
    <row r="84" spans="1:5" s="48" customFormat="1" ht="18.75" customHeight="1">
      <c r="B84" s="237"/>
      <c r="C84" s="238"/>
      <c r="D84" s="238"/>
      <c r="E84" s="239"/>
    </row>
    <row r="85" spans="1:5" s="48" customFormat="1" ht="18.75" customHeight="1">
      <c r="B85" s="237"/>
      <c r="C85" s="238"/>
      <c r="D85" s="238"/>
      <c r="E85" s="239"/>
    </row>
    <row r="86" spans="1:5" s="48" customFormat="1" ht="18.75" customHeight="1">
      <c r="B86" s="237"/>
      <c r="C86" s="238"/>
      <c r="D86" s="238"/>
      <c r="E86" s="239"/>
    </row>
    <row r="87" spans="1:5" s="48" customFormat="1" ht="18.75" customHeight="1">
      <c r="B87" s="237"/>
      <c r="C87" s="238"/>
      <c r="D87" s="238"/>
      <c r="E87" s="239"/>
    </row>
    <row r="88" spans="1:5" ht="18.75" customHeight="1">
      <c r="A88" s="90"/>
      <c r="B88" s="237"/>
      <c r="C88" s="238"/>
      <c r="D88" s="238"/>
      <c r="E88" s="239"/>
    </row>
    <row r="89" spans="1:5" ht="18.75" customHeight="1">
      <c r="A89" s="90"/>
      <c r="B89" s="240"/>
      <c r="C89" s="241"/>
      <c r="D89" s="241"/>
      <c r="E89" s="242"/>
    </row>
    <row r="90" spans="1:5" ht="7.5" customHeight="1">
      <c r="A90" s="90"/>
      <c r="B90" s="90"/>
      <c r="C90" s="90"/>
      <c r="D90" s="90"/>
      <c r="E90" s="90"/>
    </row>
    <row r="91" spans="1:5" s="48" customFormat="1" ht="18.75" customHeight="1">
      <c r="A91" s="48" t="s">
        <v>13</v>
      </c>
      <c r="B91" s="48" t="s">
        <v>32</v>
      </c>
    </row>
    <row r="92" spans="1:5" s="48" customFormat="1" ht="18.75" customHeight="1">
      <c r="B92" s="234" t="s">
        <v>170</v>
      </c>
      <c r="C92" s="235"/>
      <c r="D92" s="235"/>
      <c r="E92" s="236"/>
    </row>
    <row r="93" spans="1:5" s="48" customFormat="1" ht="18.75" customHeight="1">
      <c r="B93" s="237"/>
      <c r="C93" s="238"/>
      <c r="D93" s="238"/>
      <c r="E93" s="239"/>
    </row>
    <row r="94" spans="1:5" s="48" customFormat="1" ht="18.75" customHeight="1">
      <c r="B94" s="237"/>
      <c r="C94" s="238"/>
      <c r="D94" s="238"/>
      <c r="E94" s="239"/>
    </row>
    <row r="95" spans="1:5" s="48" customFormat="1" ht="18.75" customHeight="1">
      <c r="B95" s="237"/>
      <c r="C95" s="238"/>
      <c r="D95" s="238"/>
      <c r="E95" s="239"/>
    </row>
    <row r="96" spans="1:5" s="48" customFormat="1" ht="18.75" customHeight="1">
      <c r="B96" s="237"/>
      <c r="C96" s="238"/>
      <c r="D96" s="238"/>
      <c r="E96" s="239"/>
    </row>
    <row r="97" spans="1:5" s="48" customFormat="1" ht="18.75" customHeight="1">
      <c r="B97" s="237"/>
      <c r="C97" s="238"/>
      <c r="D97" s="238"/>
      <c r="E97" s="239"/>
    </row>
    <row r="98" spans="1:5" s="48" customFormat="1" ht="18.75" customHeight="1">
      <c r="B98" s="237"/>
      <c r="C98" s="238"/>
      <c r="D98" s="238"/>
      <c r="E98" s="239"/>
    </row>
    <row r="99" spans="1:5" s="48" customFormat="1" ht="18.75" customHeight="1">
      <c r="B99" s="237"/>
      <c r="C99" s="238"/>
      <c r="D99" s="238"/>
      <c r="E99" s="239"/>
    </row>
    <row r="100" spans="1:5" s="48" customFormat="1" ht="18.75" customHeight="1">
      <c r="B100" s="237"/>
      <c r="C100" s="238"/>
      <c r="D100" s="238"/>
      <c r="E100" s="239"/>
    </row>
    <row r="101" spans="1:5" s="48" customFormat="1" ht="18.75" customHeight="1">
      <c r="B101" s="237"/>
      <c r="C101" s="238"/>
      <c r="D101" s="238"/>
      <c r="E101" s="239"/>
    </row>
    <row r="102" spans="1:5" s="48" customFormat="1" ht="18.75" customHeight="1">
      <c r="B102" s="237"/>
      <c r="C102" s="238"/>
      <c r="D102" s="238"/>
      <c r="E102" s="239"/>
    </row>
    <row r="103" spans="1:5" s="48" customFormat="1" ht="18.75" customHeight="1">
      <c r="B103" s="237"/>
      <c r="C103" s="238"/>
      <c r="D103" s="238"/>
      <c r="E103" s="239"/>
    </row>
    <row r="104" spans="1:5" s="48" customFormat="1" ht="18.75" customHeight="1">
      <c r="B104" s="237"/>
      <c r="C104" s="238"/>
      <c r="D104" s="238"/>
      <c r="E104" s="239"/>
    </row>
    <row r="105" spans="1:5" s="48" customFormat="1" ht="18.75" customHeight="1">
      <c r="B105" s="237"/>
      <c r="C105" s="238"/>
      <c r="D105" s="238"/>
      <c r="E105" s="239"/>
    </row>
    <row r="106" spans="1:5" s="48" customFormat="1" ht="18.75" customHeight="1">
      <c r="B106" s="237"/>
      <c r="C106" s="238"/>
      <c r="D106" s="238"/>
      <c r="E106" s="239"/>
    </row>
    <row r="107" spans="1:5" s="48" customFormat="1" ht="18.75" customHeight="1">
      <c r="B107" s="237"/>
      <c r="C107" s="238"/>
      <c r="D107" s="238"/>
      <c r="E107" s="239"/>
    </row>
    <row r="108" spans="1:5" s="48" customFormat="1" ht="18.75" customHeight="1">
      <c r="B108" s="237"/>
      <c r="C108" s="238"/>
      <c r="D108" s="238"/>
      <c r="E108" s="239"/>
    </row>
    <row r="109" spans="1:5" s="48" customFormat="1" ht="18.75" customHeight="1">
      <c r="B109" s="237"/>
      <c r="C109" s="238"/>
      <c r="D109" s="238"/>
      <c r="E109" s="239"/>
    </row>
    <row r="110" spans="1:5" ht="18.75" customHeight="1">
      <c r="A110" s="90"/>
      <c r="B110" s="237"/>
      <c r="C110" s="238"/>
      <c r="D110" s="238"/>
      <c r="E110" s="239"/>
    </row>
    <row r="111" spans="1:5" ht="18.75" customHeight="1">
      <c r="A111" s="90"/>
      <c r="B111" s="240"/>
      <c r="C111" s="241"/>
      <c r="D111" s="241"/>
      <c r="E111" s="242"/>
    </row>
    <row r="112" spans="1:5" ht="7.5" customHeight="1">
      <c r="A112" s="90"/>
      <c r="B112" s="90"/>
      <c r="C112" s="90"/>
      <c r="D112" s="90"/>
      <c r="E112" s="90"/>
    </row>
    <row r="113" spans="1:5" s="48" customFormat="1" ht="18.75" customHeight="1">
      <c r="A113" s="48" t="s">
        <v>60</v>
      </c>
      <c r="B113" s="243" t="s">
        <v>128</v>
      </c>
      <c r="C113" s="243"/>
      <c r="D113" s="243"/>
      <c r="E113" s="243"/>
    </row>
    <row r="114" spans="1:5" ht="18.75" customHeight="1">
      <c r="A114" s="90"/>
      <c r="B114" s="234" t="s">
        <v>169</v>
      </c>
      <c r="C114" s="235"/>
      <c r="D114" s="235"/>
      <c r="E114" s="236"/>
    </row>
    <row r="115" spans="1:5" ht="18.75" customHeight="1">
      <c r="A115" s="90"/>
      <c r="B115" s="237"/>
      <c r="C115" s="238"/>
      <c r="D115" s="238"/>
      <c r="E115" s="239"/>
    </row>
    <row r="116" spans="1:5" ht="18.75" customHeight="1">
      <c r="A116" s="90"/>
      <c r="B116" s="237"/>
      <c r="C116" s="238"/>
      <c r="D116" s="238"/>
      <c r="E116" s="239"/>
    </row>
    <row r="117" spans="1:5" ht="18.75" customHeight="1">
      <c r="A117" s="90"/>
      <c r="B117" s="237"/>
      <c r="C117" s="238"/>
      <c r="D117" s="238"/>
      <c r="E117" s="239"/>
    </row>
    <row r="118" spans="1:5" ht="18.75" customHeight="1">
      <c r="A118" s="90"/>
      <c r="B118" s="237"/>
      <c r="C118" s="238"/>
      <c r="D118" s="238"/>
      <c r="E118" s="239"/>
    </row>
    <row r="119" spans="1:5" ht="18.75" customHeight="1">
      <c r="A119" s="90"/>
      <c r="B119" s="237"/>
      <c r="C119" s="238"/>
      <c r="D119" s="238"/>
      <c r="E119" s="239"/>
    </row>
    <row r="120" spans="1:5" ht="18.75" customHeight="1">
      <c r="A120" s="90"/>
      <c r="B120" s="237"/>
      <c r="C120" s="238"/>
      <c r="D120" s="238"/>
      <c r="E120" s="239"/>
    </row>
    <row r="121" spans="1:5" ht="18.75" customHeight="1">
      <c r="A121" s="90"/>
      <c r="B121" s="237"/>
      <c r="C121" s="238"/>
      <c r="D121" s="238"/>
      <c r="E121" s="239"/>
    </row>
    <row r="122" spans="1:5" ht="18.75" customHeight="1">
      <c r="A122" s="90"/>
      <c r="B122" s="237"/>
      <c r="C122" s="238"/>
      <c r="D122" s="238"/>
      <c r="E122" s="239"/>
    </row>
    <row r="123" spans="1:5" ht="18.75" customHeight="1">
      <c r="A123" s="90"/>
      <c r="B123" s="237"/>
      <c r="C123" s="238"/>
      <c r="D123" s="238"/>
      <c r="E123" s="239"/>
    </row>
    <row r="124" spans="1:5" ht="18.75" customHeight="1">
      <c r="A124" s="90"/>
      <c r="B124" s="237"/>
      <c r="C124" s="238"/>
      <c r="D124" s="238"/>
      <c r="E124" s="239"/>
    </row>
    <row r="125" spans="1:5" ht="18.75" customHeight="1">
      <c r="A125" s="90"/>
      <c r="B125" s="237"/>
      <c r="C125" s="238"/>
      <c r="D125" s="238"/>
      <c r="E125" s="239"/>
    </row>
    <row r="126" spans="1:5" ht="18.75" customHeight="1">
      <c r="A126" s="90"/>
      <c r="B126" s="237"/>
      <c r="C126" s="238"/>
      <c r="D126" s="238"/>
      <c r="E126" s="239"/>
    </row>
    <row r="127" spans="1:5" ht="18.75" customHeight="1">
      <c r="A127" s="90"/>
      <c r="B127" s="237"/>
      <c r="C127" s="238"/>
      <c r="D127" s="238"/>
      <c r="E127" s="239"/>
    </row>
    <row r="128" spans="1:5" ht="18.75" customHeight="1">
      <c r="A128" s="90"/>
      <c r="B128" s="237"/>
      <c r="C128" s="238"/>
      <c r="D128" s="238"/>
      <c r="E128" s="239"/>
    </row>
    <row r="129" spans="1:5" ht="18.75" customHeight="1">
      <c r="A129" s="90"/>
      <c r="B129" s="237"/>
      <c r="C129" s="238"/>
      <c r="D129" s="238"/>
      <c r="E129" s="239"/>
    </row>
    <row r="130" spans="1:5" ht="18.75" customHeight="1">
      <c r="A130" s="90"/>
      <c r="B130" s="237"/>
      <c r="C130" s="238"/>
      <c r="D130" s="238"/>
      <c r="E130" s="239"/>
    </row>
    <row r="131" spans="1:5" ht="18.75" customHeight="1">
      <c r="A131" s="90"/>
      <c r="B131" s="237"/>
      <c r="C131" s="238"/>
      <c r="D131" s="238"/>
      <c r="E131" s="239"/>
    </row>
    <row r="132" spans="1:5" ht="18.75" customHeight="1">
      <c r="A132" s="90"/>
      <c r="B132" s="237"/>
      <c r="C132" s="238"/>
      <c r="D132" s="238"/>
      <c r="E132" s="239"/>
    </row>
    <row r="133" spans="1:5" ht="18.75" customHeight="1">
      <c r="A133" s="90"/>
      <c r="B133" s="240"/>
      <c r="C133" s="241"/>
      <c r="D133" s="241"/>
      <c r="E133" s="242"/>
    </row>
    <row r="134" spans="1:5" ht="7.5" customHeight="1">
      <c r="A134" s="90"/>
      <c r="B134" s="91"/>
      <c r="C134" s="91"/>
      <c r="D134" s="91"/>
      <c r="E134" s="91"/>
    </row>
    <row r="135" spans="1:5" ht="18.75" customHeight="1">
      <c r="A135" s="90"/>
      <c r="B135" s="90"/>
      <c r="C135" s="90"/>
      <c r="D135" s="90"/>
      <c r="E135" s="90"/>
    </row>
    <row r="136" spans="1:5" ht="18.75" customHeight="1">
      <c r="A136" s="90"/>
      <c r="B136" s="90"/>
      <c r="C136" s="90"/>
      <c r="D136" s="90"/>
      <c r="E136" s="90"/>
    </row>
    <row r="137" spans="1:5" ht="18.75" customHeight="1">
      <c r="A137" s="90"/>
      <c r="B137" s="90"/>
      <c r="C137" s="90"/>
      <c r="D137" s="90"/>
      <c r="E137" s="90"/>
    </row>
    <row r="138" spans="1:5" ht="18.75" customHeight="1">
      <c r="A138" s="90"/>
      <c r="B138" s="90"/>
      <c r="C138" s="90"/>
      <c r="D138" s="90"/>
      <c r="E138" s="90"/>
    </row>
    <row r="139" spans="1:5" ht="18.75" customHeight="1">
      <c r="A139" s="90"/>
      <c r="B139" s="90"/>
      <c r="C139" s="90"/>
      <c r="D139" s="90"/>
      <c r="E139" s="90"/>
    </row>
    <row r="140" spans="1:5" ht="18.75" customHeight="1">
      <c r="A140" s="90"/>
      <c r="B140" s="90"/>
      <c r="C140" s="90"/>
      <c r="D140" s="90"/>
      <c r="E140" s="90"/>
    </row>
    <row r="141" spans="1:5" ht="18.75" customHeight="1">
      <c r="A141" s="90"/>
      <c r="B141" s="90"/>
      <c r="C141" s="90"/>
      <c r="D141" s="90"/>
      <c r="E141" s="90"/>
    </row>
    <row r="142" spans="1:5" ht="18.75" customHeight="1">
      <c r="A142" s="90"/>
      <c r="B142" s="90"/>
      <c r="C142" s="90"/>
      <c r="D142" s="90"/>
      <c r="E142" s="90"/>
    </row>
    <row r="143" spans="1:5" ht="18.75" customHeight="1">
      <c r="A143" s="90"/>
      <c r="B143" s="90"/>
      <c r="C143" s="90"/>
      <c r="D143" s="90"/>
      <c r="E143" s="90"/>
    </row>
    <row r="144" spans="1:5" ht="18.75" customHeight="1">
      <c r="A144" s="90"/>
      <c r="B144" s="90"/>
      <c r="C144" s="90"/>
      <c r="D144" s="90"/>
      <c r="E144" s="90"/>
    </row>
    <row r="145" spans="1:5" ht="18.75" customHeight="1">
      <c r="A145" s="90"/>
      <c r="B145" s="90"/>
      <c r="C145" s="90"/>
      <c r="D145" s="90"/>
      <c r="E145" s="90"/>
    </row>
    <row r="146" spans="1:5" ht="18.75" customHeight="1">
      <c r="A146" s="90"/>
      <c r="B146" s="90"/>
      <c r="C146" s="90"/>
      <c r="D146" s="90"/>
      <c r="E146" s="90"/>
    </row>
    <row r="147" spans="1:5" ht="14.25">
      <c r="A147" s="90"/>
      <c r="B147" s="90"/>
      <c r="C147" s="90"/>
      <c r="D147" s="90"/>
      <c r="E147" s="90"/>
    </row>
    <row r="148" spans="1:5" ht="7.5" customHeight="1">
      <c r="A148" s="92"/>
      <c r="B148" s="92"/>
      <c r="C148" s="92"/>
      <c r="D148" s="92"/>
      <c r="E148" s="92"/>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A17" zoomScaleNormal="100" workbookViewId="0">
      <selection activeCell="Q17" sqref="Q17"/>
    </sheetView>
  </sheetViews>
  <sheetFormatPr defaultColWidth="11.375" defaultRowHeight="22.5" customHeight="1"/>
  <cols>
    <col min="1" max="3" width="2.5" style="3" customWidth="1"/>
    <col min="4" max="4" width="22.5" style="3" customWidth="1"/>
    <col min="5" max="5" width="21.125" style="3" customWidth="1"/>
    <col min="6" max="7" width="7.5" style="3" customWidth="1"/>
    <col min="8" max="8" width="32.5" style="3" customWidth="1"/>
    <col min="9" max="9" width="24.875" style="3" customWidth="1"/>
    <col min="10" max="10" width="6.125" style="3" customWidth="1"/>
    <col min="11" max="11" width="4.125" style="3" customWidth="1"/>
    <col min="12" max="16384" width="11.375" style="3"/>
  </cols>
  <sheetData>
    <row r="1" spans="1:10" ht="18.75" customHeight="1">
      <c r="J1" s="41" t="s">
        <v>7</v>
      </c>
    </row>
    <row r="2" spans="1:10" ht="18.75" customHeight="1">
      <c r="D2" s="41"/>
      <c r="H2" s="41" t="s">
        <v>29</v>
      </c>
      <c r="I2" s="244" t="s">
        <v>149</v>
      </c>
      <c r="J2" s="244"/>
    </row>
    <row r="3" spans="1:10" ht="18.75" customHeight="1">
      <c r="A3" s="245" t="s">
        <v>48</v>
      </c>
      <c r="B3" s="245"/>
      <c r="C3" s="245"/>
      <c r="D3" s="245"/>
      <c r="E3" s="245"/>
      <c r="F3" s="245"/>
      <c r="G3" s="245"/>
      <c r="H3" s="245"/>
      <c r="I3" s="245"/>
      <c r="J3" s="245"/>
    </row>
    <row r="4" spans="1:10" ht="7.5" customHeight="1">
      <c r="B4" s="104"/>
      <c r="C4" s="104"/>
      <c r="D4" s="263"/>
      <c r="E4" s="263"/>
      <c r="F4" s="263"/>
      <c r="G4" s="263"/>
      <c r="H4" s="263"/>
      <c r="I4" s="263"/>
      <c r="J4" s="263"/>
    </row>
    <row r="5" spans="1:10" ht="18.75" customHeight="1">
      <c r="A5" s="3" t="s">
        <v>5</v>
      </c>
      <c r="B5" s="48" t="s">
        <v>46</v>
      </c>
      <c r="C5" s="104"/>
      <c r="D5" s="104"/>
      <c r="E5" s="104"/>
      <c r="F5" s="104"/>
      <c r="G5" s="104"/>
      <c r="H5" s="104"/>
      <c r="I5" s="104"/>
      <c r="J5" s="104"/>
    </row>
    <row r="6" spans="1:10" ht="18.75" customHeight="1">
      <c r="B6" s="264" t="s">
        <v>43</v>
      </c>
      <c r="C6" s="265"/>
      <c r="D6" s="266"/>
      <c r="E6" s="265" t="s">
        <v>45</v>
      </c>
      <c r="F6" s="265"/>
      <c r="G6" s="265"/>
      <c r="H6" s="265"/>
      <c r="I6" s="265"/>
      <c r="J6" s="266"/>
    </row>
    <row r="7" spans="1:10" ht="18.75" customHeight="1">
      <c r="B7" s="46" t="s">
        <v>33</v>
      </c>
      <c r="C7" s="104"/>
      <c r="D7" s="93"/>
      <c r="E7" s="48"/>
      <c r="F7" s="48"/>
      <c r="G7" s="48"/>
      <c r="H7" s="48"/>
      <c r="I7" s="104"/>
      <c r="J7" s="93"/>
    </row>
    <row r="8" spans="1:10" ht="202.5" customHeight="1">
      <c r="B8" s="94"/>
      <c r="C8" s="258" t="s">
        <v>34</v>
      </c>
      <c r="D8" s="259"/>
      <c r="E8" s="260" t="s">
        <v>165</v>
      </c>
      <c r="F8" s="261"/>
      <c r="G8" s="261"/>
      <c r="H8" s="261"/>
      <c r="I8" s="261"/>
      <c r="J8" s="262"/>
    </row>
    <row r="9" spans="1:10" ht="202.5" customHeight="1">
      <c r="B9" s="94"/>
      <c r="C9" s="270" t="s">
        <v>35</v>
      </c>
      <c r="D9" s="271"/>
      <c r="E9" s="260" t="s">
        <v>166</v>
      </c>
      <c r="F9" s="261"/>
      <c r="G9" s="261"/>
      <c r="H9" s="261"/>
      <c r="I9" s="261"/>
      <c r="J9" s="262"/>
    </row>
    <row r="10" spans="1:10" ht="172.5" customHeight="1">
      <c r="B10" s="94"/>
      <c r="C10" s="258" t="s">
        <v>36</v>
      </c>
      <c r="D10" s="259"/>
      <c r="E10" s="260" t="s">
        <v>164</v>
      </c>
      <c r="F10" s="261"/>
      <c r="G10" s="261"/>
      <c r="H10" s="261"/>
      <c r="I10" s="261"/>
      <c r="J10" s="262"/>
    </row>
    <row r="11" spans="1:10" ht="172.5" customHeight="1">
      <c r="B11" s="94"/>
      <c r="C11" s="258" t="s">
        <v>37</v>
      </c>
      <c r="D11" s="259"/>
      <c r="E11" s="260" t="s">
        <v>177</v>
      </c>
      <c r="F11" s="261"/>
      <c r="G11" s="261"/>
      <c r="H11" s="261"/>
      <c r="I11" s="261"/>
      <c r="J11" s="262"/>
    </row>
    <row r="12" spans="1:10" ht="172.5" customHeight="1">
      <c r="B12" s="94"/>
      <c r="C12" s="258" t="s">
        <v>38</v>
      </c>
      <c r="D12" s="259"/>
      <c r="E12" s="260" t="s">
        <v>163</v>
      </c>
      <c r="F12" s="261"/>
      <c r="G12" s="261"/>
      <c r="H12" s="261"/>
      <c r="I12" s="261"/>
      <c r="J12" s="262"/>
    </row>
    <row r="13" spans="1:10" ht="18.75" customHeight="1">
      <c r="B13" s="95" t="s">
        <v>39</v>
      </c>
      <c r="C13" s="96"/>
      <c r="D13" s="97"/>
      <c r="E13" s="98"/>
      <c r="F13" s="98"/>
      <c r="G13" s="98"/>
      <c r="H13" s="98"/>
      <c r="I13" s="98"/>
      <c r="J13" s="99"/>
    </row>
    <row r="14" spans="1:10" ht="255" customHeight="1">
      <c r="B14" s="94"/>
      <c r="C14" s="258" t="s">
        <v>40</v>
      </c>
      <c r="D14" s="259"/>
      <c r="E14" s="272" t="s">
        <v>181</v>
      </c>
      <c r="F14" s="261"/>
      <c r="G14" s="261"/>
      <c r="H14" s="261"/>
      <c r="I14" s="261"/>
      <c r="J14" s="262"/>
    </row>
    <row r="15" spans="1:10" ht="255" customHeight="1">
      <c r="B15" s="94"/>
      <c r="C15" s="273" t="s">
        <v>41</v>
      </c>
      <c r="D15" s="274"/>
      <c r="E15" s="275" t="s">
        <v>179</v>
      </c>
      <c r="F15" s="275"/>
      <c r="G15" s="275"/>
      <c r="H15" s="275"/>
      <c r="I15" s="275"/>
      <c r="J15" s="276"/>
    </row>
    <row r="16" spans="1:10" ht="232.5" customHeight="1">
      <c r="B16" s="277" t="s">
        <v>42</v>
      </c>
      <c r="C16" s="278"/>
      <c r="D16" s="259"/>
      <c r="E16" s="261" t="s">
        <v>162</v>
      </c>
      <c r="F16" s="261"/>
      <c r="G16" s="261"/>
      <c r="H16" s="261"/>
      <c r="I16" s="261"/>
      <c r="J16" s="262"/>
    </row>
    <row r="17" spans="1:10" ht="232.5" customHeight="1">
      <c r="A17" s="48"/>
      <c r="B17" s="267" t="s">
        <v>84</v>
      </c>
      <c r="C17" s="268"/>
      <c r="D17" s="269"/>
      <c r="E17" s="252" t="s">
        <v>167</v>
      </c>
      <c r="F17" s="252"/>
      <c r="G17" s="252"/>
      <c r="H17" s="252"/>
      <c r="I17" s="252"/>
      <c r="J17" s="253"/>
    </row>
    <row r="18" spans="1:10" ht="7.5" customHeight="1">
      <c r="B18" s="104"/>
      <c r="C18" s="104"/>
      <c r="D18" s="104"/>
      <c r="E18" s="104"/>
      <c r="F18" s="104"/>
      <c r="G18" s="104"/>
      <c r="H18" s="104"/>
      <c r="I18" s="104"/>
      <c r="J18" s="104"/>
    </row>
    <row r="19" spans="1:10" ht="18.75" customHeight="1">
      <c r="B19" s="48"/>
      <c r="C19" s="104"/>
      <c r="D19" s="104"/>
      <c r="E19" s="104"/>
      <c r="F19" s="89"/>
      <c r="G19" s="89"/>
      <c r="H19" s="100" t="s">
        <v>110</v>
      </c>
      <c r="I19" s="101"/>
      <c r="J19" s="102"/>
    </row>
    <row r="20" spans="1:10" ht="18.75" customHeight="1">
      <c r="A20" s="48" t="s">
        <v>10</v>
      </c>
      <c r="B20" s="48" t="s">
        <v>47</v>
      </c>
      <c r="C20" s="104"/>
      <c r="D20" s="104"/>
      <c r="E20" s="104"/>
      <c r="F20" s="103" t="s">
        <v>143</v>
      </c>
      <c r="G20" s="89"/>
      <c r="H20" s="255" t="s">
        <v>189</v>
      </c>
      <c r="I20" s="256"/>
      <c r="J20" s="257"/>
    </row>
    <row r="21" spans="1:10" ht="22.5" customHeight="1">
      <c r="B21" s="104"/>
      <c r="C21" s="104"/>
      <c r="D21" s="104"/>
      <c r="E21" s="104"/>
      <c r="F21" s="104"/>
      <c r="G21" s="104"/>
      <c r="H21" s="104"/>
      <c r="I21" s="104"/>
      <c r="J21" s="104"/>
    </row>
    <row r="22" spans="1:10" ht="22.5" customHeight="1">
      <c r="B22" s="104"/>
      <c r="C22" s="104"/>
      <c r="D22" s="104"/>
      <c r="E22" s="104"/>
      <c r="F22" s="104"/>
      <c r="G22" s="104"/>
      <c r="H22" s="104"/>
      <c r="I22" s="104"/>
      <c r="J22" s="104"/>
    </row>
    <row r="23" spans="1:10" ht="22.5" customHeight="1">
      <c r="B23" s="104"/>
      <c r="C23" s="104"/>
      <c r="D23" s="104"/>
      <c r="E23" s="104"/>
      <c r="F23" s="104"/>
      <c r="G23" s="104"/>
      <c r="H23" s="104"/>
      <c r="I23" s="104"/>
      <c r="J23" s="104"/>
    </row>
    <row r="24" spans="1:10" ht="22.5" customHeight="1">
      <c r="B24" s="104"/>
      <c r="C24" s="104"/>
      <c r="D24" s="104"/>
      <c r="E24" s="104"/>
      <c r="F24" s="104"/>
      <c r="G24" s="104"/>
      <c r="H24" s="104"/>
      <c r="I24" s="104"/>
      <c r="J24" s="104"/>
    </row>
    <row r="25" spans="1:10" ht="22.5" customHeight="1">
      <c r="B25" s="104"/>
      <c r="C25" s="104"/>
      <c r="D25" s="104"/>
      <c r="E25" s="104"/>
      <c r="F25" s="104"/>
      <c r="G25" s="104"/>
      <c r="H25" s="104"/>
      <c r="I25" s="104"/>
      <c r="J25" s="104"/>
    </row>
    <row r="26" spans="1:10" ht="22.5" customHeight="1">
      <c r="B26" s="88"/>
      <c r="C26" s="88"/>
      <c r="D26" s="88"/>
      <c r="E26" s="88"/>
      <c r="F26" s="88"/>
      <c r="G26" s="88"/>
      <c r="H26" s="88"/>
      <c r="I26" s="88"/>
      <c r="J26" s="88"/>
    </row>
    <row r="27" spans="1:10" ht="22.5" customHeight="1">
      <c r="B27" s="88"/>
      <c r="C27" s="88"/>
      <c r="D27" s="88"/>
      <c r="E27" s="88"/>
      <c r="F27" s="88"/>
      <c r="G27" s="88"/>
      <c r="H27" s="88"/>
      <c r="I27" s="88"/>
      <c r="J27" s="88"/>
    </row>
    <row r="28" spans="1:10" ht="22.5" customHeight="1">
      <c r="B28" s="88"/>
      <c r="C28" s="88"/>
      <c r="D28" s="88"/>
      <c r="E28" s="88"/>
      <c r="F28" s="88"/>
      <c r="G28" s="88"/>
      <c r="H28" s="88"/>
      <c r="I28" s="88"/>
      <c r="J28" s="88"/>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disablePrompts="1" count="2">
    <dataValidation type="list" allowBlank="1" showInputMessage="1" showErrorMessage="1" sqref="F20" xr:uid="{00000000-0002-0000-0500-000000000000}">
      <formula1>"有,無,予定"</formula1>
    </dataValidation>
    <dataValidation type="list" allowBlank="1" showInputMessage="1" showErrorMessage="1" sqref="F19:G19" xr:uid="{00000000-0002-0000-0500-000001000000}">
      <formula1>#REF!</formula1>
    </dataValidation>
  </dataValidations>
  <hyperlinks>
    <hyperlink ref="H20" r:id="rId1"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workbookViewId="0">
      <selection activeCell="B7" sqref="B7:F44"/>
    </sheetView>
  </sheetViews>
  <sheetFormatPr defaultColWidth="11.375" defaultRowHeight="18.75" customHeight="1"/>
  <cols>
    <col min="1" max="1" width="2.5" style="35" customWidth="1"/>
    <col min="2" max="2" width="15" style="35" customWidth="1"/>
    <col min="3" max="3" width="37.5" style="35" customWidth="1"/>
    <col min="4" max="4" width="1.125" style="35" customWidth="1"/>
    <col min="5" max="5" width="21.125" style="35" customWidth="1"/>
    <col min="6" max="6" width="8.625" style="35" customWidth="1"/>
    <col min="7" max="8" width="2.125" style="35" customWidth="1"/>
    <col min="9" max="16384" width="11.375" style="35"/>
  </cols>
  <sheetData>
    <row r="1" spans="1:6" ht="18.75" customHeight="1">
      <c r="E1" s="288" t="s">
        <v>14</v>
      </c>
      <c r="F1" s="288"/>
    </row>
    <row r="2" spans="1:6" ht="18.75" customHeight="1">
      <c r="C2" s="36" t="s">
        <v>85</v>
      </c>
      <c r="D2" s="36" t="s">
        <v>6</v>
      </c>
      <c r="E2" s="289"/>
      <c r="F2" s="289"/>
    </row>
    <row r="3" spans="1:6" ht="7.5" customHeight="1">
      <c r="C3" s="36"/>
      <c r="D3" s="36"/>
      <c r="E3" s="37"/>
      <c r="F3" s="37"/>
    </row>
    <row r="4" spans="1:6" ht="18.75" customHeight="1">
      <c r="A4" s="290" t="s">
        <v>120</v>
      </c>
      <c r="B4" s="290"/>
      <c r="C4" s="290"/>
      <c r="D4" s="290"/>
      <c r="E4" s="290"/>
      <c r="F4" s="290"/>
    </row>
    <row r="5" spans="1:6" ht="7.5" customHeight="1">
      <c r="A5" s="38"/>
      <c r="B5" s="38"/>
      <c r="C5" s="38"/>
      <c r="D5" s="38"/>
      <c r="E5" s="38"/>
      <c r="F5" s="38"/>
    </row>
    <row r="6" spans="1:6" ht="18.75" customHeight="1">
      <c r="A6" s="38" t="s">
        <v>5</v>
      </c>
      <c r="B6" s="39" t="s">
        <v>31</v>
      </c>
      <c r="C6" s="38"/>
      <c r="D6" s="38"/>
      <c r="E6" s="38"/>
      <c r="F6" s="38"/>
    </row>
    <row r="7" spans="1:6" ht="18.75" customHeight="1">
      <c r="A7" s="38"/>
      <c r="B7" s="279"/>
      <c r="C7" s="280"/>
      <c r="D7" s="280"/>
      <c r="E7" s="280"/>
      <c r="F7" s="281"/>
    </row>
    <row r="8" spans="1:6" ht="18.75" customHeight="1">
      <c r="A8" s="38"/>
      <c r="B8" s="282"/>
      <c r="C8" s="283"/>
      <c r="D8" s="283"/>
      <c r="E8" s="283"/>
      <c r="F8" s="284"/>
    </row>
    <row r="9" spans="1:6" ht="18.75" customHeight="1">
      <c r="A9" s="38"/>
      <c r="B9" s="282"/>
      <c r="C9" s="283"/>
      <c r="D9" s="283"/>
      <c r="E9" s="283"/>
      <c r="F9" s="284"/>
    </row>
    <row r="10" spans="1:6" ht="18.75" customHeight="1">
      <c r="A10" s="38"/>
      <c r="B10" s="282"/>
      <c r="C10" s="283"/>
      <c r="D10" s="283"/>
      <c r="E10" s="283"/>
      <c r="F10" s="284"/>
    </row>
    <row r="11" spans="1:6" ht="18.75" customHeight="1">
      <c r="A11" s="38"/>
      <c r="B11" s="282"/>
      <c r="C11" s="283"/>
      <c r="D11" s="283"/>
      <c r="E11" s="283"/>
      <c r="F11" s="284"/>
    </row>
    <row r="12" spans="1:6" ht="18.75" customHeight="1">
      <c r="A12" s="38"/>
      <c r="B12" s="282"/>
      <c r="C12" s="283"/>
      <c r="D12" s="283"/>
      <c r="E12" s="283"/>
      <c r="F12" s="284"/>
    </row>
    <row r="13" spans="1:6" ht="18.75" customHeight="1">
      <c r="A13" s="38"/>
      <c r="B13" s="282"/>
      <c r="C13" s="283"/>
      <c r="D13" s="283"/>
      <c r="E13" s="283"/>
      <c r="F13" s="284"/>
    </row>
    <row r="14" spans="1:6" ht="18.75" customHeight="1">
      <c r="A14" s="38"/>
      <c r="B14" s="282"/>
      <c r="C14" s="283"/>
      <c r="D14" s="283"/>
      <c r="E14" s="283"/>
      <c r="F14" s="284"/>
    </row>
    <row r="15" spans="1:6" ht="18.75" customHeight="1">
      <c r="A15" s="38"/>
      <c r="B15" s="282"/>
      <c r="C15" s="283"/>
      <c r="D15" s="283"/>
      <c r="E15" s="283"/>
      <c r="F15" s="284"/>
    </row>
    <row r="16" spans="1:6" ht="18.75" customHeight="1">
      <c r="A16" s="38"/>
      <c r="B16" s="282"/>
      <c r="C16" s="283"/>
      <c r="D16" s="283"/>
      <c r="E16" s="283"/>
      <c r="F16" s="284"/>
    </row>
    <row r="17" spans="1:6" ht="18.75" customHeight="1">
      <c r="A17" s="38"/>
      <c r="B17" s="282"/>
      <c r="C17" s="283"/>
      <c r="D17" s="283"/>
      <c r="E17" s="283"/>
      <c r="F17" s="284"/>
    </row>
    <row r="18" spans="1:6" ht="18.75" customHeight="1">
      <c r="A18" s="38"/>
      <c r="B18" s="282"/>
      <c r="C18" s="283"/>
      <c r="D18" s="283"/>
      <c r="E18" s="283"/>
      <c r="F18" s="284"/>
    </row>
    <row r="19" spans="1:6" ht="18.75" customHeight="1">
      <c r="A19" s="38"/>
      <c r="B19" s="282"/>
      <c r="C19" s="283"/>
      <c r="D19" s="283"/>
      <c r="E19" s="283"/>
      <c r="F19" s="284"/>
    </row>
    <row r="20" spans="1:6" ht="18.75" customHeight="1">
      <c r="A20" s="38"/>
      <c r="B20" s="282"/>
      <c r="C20" s="283"/>
      <c r="D20" s="283"/>
      <c r="E20" s="283"/>
      <c r="F20" s="284"/>
    </row>
    <row r="21" spans="1:6" ht="18.75" customHeight="1">
      <c r="A21" s="38"/>
      <c r="B21" s="282"/>
      <c r="C21" s="283"/>
      <c r="D21" s="283"/>
      <c r="E21" s="283"/>
      <c r="F21" s="284"/>
    </row>
    <row r="22" spans="1:6" ht="18.75" customHeight="1">
      <c r="A22" s="38"/>
      <c r="B22" s="282"/>
      <c r="C22" s="283"/>
      <c r="D22" s="283"/>
      <c r="E22" s="283"/>
      <c r="F22" s="284"/>
    </row>
    <row r="23" spans="1:6" ht="18.75" customHeight="1">
      <c r="A23" s="38"/>
      <c r="B23" s="282"/>
      <c r="C23" s="283"/>
      <c r="D23" s="283"/>
      <c r="E23" s="283"/>
      <c r="F23" s="284"/>
    </row>
    <row r="24" spans="1:6" ht="18.75" customHeight="1">
      <c r="A24" s="38"/>
      <c r="B24" s="282"/>
      <c r="C24" s="283"/>
      <c r="D24" s="283"/>
      <c r="E24" s="283"/>
      <c r="F24" s="284"/>
    </row>
    <row r="25" spans="1:6" ht="18.75" customHeight="1">
      <c r="A25" s="38"/>
      <c r="B25" s="282"/>
      <c r="C25" s="283"/>
      <c r="D25" s="283"/>
      <c r="E25" s="283"/>
      <c r="F25" s="284"/>
    </row>
    <row r="26" spans="1:6" ht="18.75" customHeight="1">
      <c r="A26" s="38"/>
      <c r="B26" s="282"/>
      <c r="C26" s="283"/>
      <c r="D26" s="283"/>
      <c r="E26" s="283"/>
      <c r="F26" s="284"/>
    </row>
    <row r="27" spans="1:6" ht="18.75" customHeight="1">
      <c r="A27" s="38"/>
      <c r="B27" s="282"/>
      <c r="C27" s="283"/>
      <c r="D27" s="283"/>
      <c r="E27" s="283"/>
      <c r="F27" s="284"/>
    </row>
    <row r="28" spans="1:6" ht="18.75" customHeight="1">
      <c r="A28" s="38"/>
      <c r="B28" s="282"/>
      <c r="C28" s="283"/>
      <c r="D28" s="283"/>
      <c r="E28" s="283"/>
      <c r="F28" s="284"/>
    </row>
    <row r="29" spans="1:6" ht="18.75" customHeight="1">
      <c r="A29" s="38"/>
      <c r="B29" s="282"/>
      <c r="C29" s="283"/>
      <c r="D29" s="283"/>
      <c r="E29" s="283"/>
      <c r="F29" s="284"/>
    </row>
    <row r="30" spans="1:6" ht="18.75" customHeight="1">
      <c r="A30" s="38"/>
      <c r="B30" s="282"/>
      <c r="C30" s="283"/>
      <c r="D30" s="283"/>
      <c r="E30" s="283"/>
      <c r="F30" s="284"/>
    </row>
    <row r="31" spans="1:6" ht="18.75" customHeight="1">
      <c r="A31" s="38"/>
      <c r="B31" s="282"/>
      <c r="C31" s="283"/>
      <c r="D31" s="283"/>
      <c r="E31" s="283"/>
      <c r="F31" s="284"/>
    </row>
    <row r="32" spans="1:6" ht="18.75" customHeight="1">
      <c r="A32" s="38"/>
      <c r="B32" s="282"/>
      <c r="C32" s="283"/>
      <c r="D32" s="283"/>
      <c r="E32" s="283"/>
      <c r="F32" s="284"/>
    </row>
    <row r="33" spans="1:6" ht="18.75" customHeight="1">
      <c r="A33" s="38"/>
      <c r="B33" s="282"/>
      <c r="C33" s="283"/>
      <c r="D33" s="283"/>
      <c r="E33" s="283"/>
      <c r="F33" s="284"/>
    </row>
    <row r="34" spans="1:6" ht="18.75" customHeight="1">
      <c r="A34" s="38"/>
      <c r="B34" s="282"/>
      <c r="C34" s="283"/>
      <c r="D34" s="283"/>
      <c r="E34" s="283"/>
      <c r="F34" s="284"/>
    </row>
    <row r="35" spans="1:6" ht="18.75" customHeight="1">
      <c r="A35" s="38"/>
      <c r="B35" s="282"/>
      <c r="C35" s="283"/>
      <c r="D35" s="283"/>
      <c r="E35" s="283"/>
      <c r="F35" s="284"/>
    </row>
    <row r="36" spans="1:6" ht="18.75" customHeight="1">
      <c r="A36" s="38"/>
      <c r="B36" s="282"/>
      <c r="C36" s="283"/>
      <c r="D36" s="283"/>
      <c r="E36" s="283"/>
      <c r="F36" s="284"/>
    </row>
    <row r="37" spans="1:6" ht="18.75" customHeight="1">
      <c r="A37" s="38"/>
      <c r="B37" s="282"/>
      <c r="C37" s="283"/>
      <c r="D37" s="283"/>
      <c r="E37" s="283"/>
      <c r="F37" s="284"/>
    </row>
    <row r="38" spans="1:6" ht="18.75" customHeight="1">
      <c r="A38" s="38"/>
      <c r="B38" s="282"/>
      <c r="C38" s="283"/>
      <c r="D38" s="283"/>
      <c r="E38" s="283"/>
      <c r="F38" s="284"/>
    </row>
    <row r="39" spans="1:6" ht="18.75" customHeight="1">
      <c r="A39" s="38"/>
      <c r="B39" s="282"/>
      <c r="C39" s="283"/>
      <c r="D39" s="283"/>
      <c r="E39" s="283"/>
      <c r="F39" s="284"/>
    </row>
    <row r="40" spans="1:6" ht="18.75" customHeight="1">
      <c r="A40" s="38"/>
      <c r="B40" s="282"/>
      <c r="C40" s="283"/>
      <c r="D40" s="283"/>
      <c r="E40" s="283"/>
      <c r="F40" s="284"/>
    </row>
    <row r="41" spans="1:6" ht="18.75" customHeight="1">
      <c r="A41" s="38"/>
      <c r="B41" s="282"/>
      <c r="C41" s="283"/>
      <c r="D41" s="283"/>
      <c r="E41" s="283"/>
      <c r="F41" s="284"/>
    </row>
    <row r="42" spans="1:6" ht="18.75" customHeight="1">
      <c r="A42" s="38"/>
      <c r="B42" s="282"/>
      <c r="C42" s="283"/>
      <c r="D42" s="283"/>
      <c r="E42" s="283"/>
      <c r="F42" s="284"/>
    </row>
    <row r="43" spans="1:6" ht="18.75" customHeight="1">
      <c r="A43" s="38"/>
      <c r="B43" s="282"/>
      <c r="C43" s="283"/>
      <c r="D43" s="283"/>
      <c r="E43" s="283"/>
      <c r="F43" s="284"/>
    </row>
    <row r="44" spans="1:6" ht="18.75" customHeight="1">
      <c r="A44" s="38"/>
      <c r="B44" s="285"/>
      <c r="C44" s="286"/>
      <c r="D44" s="286"/>
      <c r="E44" s="286"/>
      <c r="F44" s="287"/>
    </row>
    <row r="45" spans="1:6" ht="18.75" customHeight="1">
      <c r="A45" s="38" t="s">
        <v>10</v>
      </c>
      <c r="B45" s="39" t="s">
        <v>90</v>
      </c>
      <c r="C45" s="38"/>
      <c r="D45" s="38"/>
      <c r="E45" s="38"/>
      <c r="F45" s="38"/>
    </row>
    <row r="46" spans="1:6" ht="18.75" customHeight="1">
      <c r="A46" s="38"/>
      <c r="B46" s="279"/>
      <c r="C46" s="280"/>
      <c r="D46" s="280"/>
      <c r="E46" s="280"/>
      <c r="F46" s="281"/>
    </row>
    <row r="47" spans="1:6" ht="18.75" customHeight="1">
      <c r="A47" s="38"/>
      <c r="B47" s="282"/>
      <c r="C47" s="283"/>
      <c r="D47" s="283"/>
      <c r="E47" s="283"/>
      <c r="F47" s="284"/>
    </row>
    <row r="48" spans="1:6" ht="18.75" customHeight="1">
      <c r="A48" s="38"/>
      <c r="B48" s="282"/>
      <c r="C48" s="283"/>
      <c r="D48" s="283"/>
      <c r="E48" s="283"/>
      <c r="F48" s="284"/>
    </row>
    <row r="49" spans="1:6" ht="18.75" customHeight="1">
      <c r="A49" s="38"/>
      <c r="B49" s="282"/>
      <c r="C49" s="283"/>
      <c r="D49" s="283"/>
      <c r="E49" s="283"/>
      <c r="F49" s="284"/>
    </row>
    <row r="50" spans="1:6" ht="18.75" customHeight="1">
      <c r="A50" s="38"/>
      <c r="B50" s="282"/>
      <c r="C50" s="283"/>
      <c r="D50" s="283"/>
      <c r="E50" s="283"/>
      <c r="F50" s="284"/>
    </row>
    <row r="51" spans="1:6" ht="18.75" customHeight="1">
      <c r="A51" s="38"/>
      <c r="B51" s="282"/>
      <c r="C51" s="283"/>
      <c r="D51" s="283"/>
      <c r="E51" s="283"/>
      <c r="F51" s="284"/>
    </row>
    <row r="52" spans="1:6" ht="18.75" customHeight="1">
      <c r="A52" s="38"/>
      <c r="B52" s="282"/>
      <c r="C52" s="283"/>
      <c r="D52" s="283"/>
      <c r="E52" s="283"/>
      <c r="F52" s="284"/>
    </row>
    <row r="53" spans="1:6" ht="18.75" customHeight="1">
      <c r="A53" s="38"/>
      <c r="B53" s="282"/>
      <c r="C53" s="283"/>
      <c r="D53" s="283"/>
      <c r="E53" s="283"/>
      <c r="F53" s="284"/>
    </row>
    <row r="54" spans="1:6" ht="18.75" customHeight="1">
      <c r="A54" s="38"/>
      <c r="B54" s="282"/>
      <c r="C54" s="283"/>
      <c r="D54" s="283"/>
      <c r="E54" s="283"/>
      <c r="F54" s="284"/>
    </row>
    <row r="55" spans="1:6" ht="18.75" customHeight="1">
      <c r="A55" s="38"/>
      <c r="B55" s="282"/>
      <c r="C55" s="283"/>
      <c r="D55" s="283"/>
      <c r="E55" s="283"/>
      <c r="F55" s="284"/>
    </row>
    <row r="56" spans="1:6" ht="18.75" customHeight="1">
      <c r="A56" s="38"/>
      <c r="B56" s="282"/>
      <c r="C56" s="283"/>
      <c r="D56" s="283"/>
      <c r="E56" s="283"/>
      <c r="F56" s="284"/>
    </row>
    <row r="57" spans="1:6" ht="18.75" customHeight="1">
      <c r="A57" s="38"/>
      <c r="B57" s="282"/>
      <c r="C57" s="283"/>
      <c r="D57" s="283"/>
      <c r="E57" s="283"/>
      <c r="F57" s="284"/>
    </row>
    <row r="58" spans="1:6" ht="18.75" customHeight="1">
      <c r="A58" s="38"/>
      <c r="B58" s="282"/>
      <c r="C58" s="283"/>
      <c r="D58" s="283"/>
      <c r="E58" s="283"/>
      <c r="F58" s="284"/>
    </row>
    <row r="59" spans="1:6" ht="18.75" customHeight="1">
      <c r="A59" s="38"/>
      <c r="B59" s="282"/>
      <c r="C59" s="283"/>
      <c r="D59" s="283"/>
      <c r="E59" s="283"/>
      <c r="F59" s="284"/>
    </row>
    <row r="60" spans="1:6" ht="18.75" customHeight="1">
      <c r="A60" s="38"/>
      <c r="B60" s="282"/>
      <c r="C60" s="283"/>
      <c r="D60" s="283"/>
      <c r="E60" s="283"/>
      <c r="F60" s="284"/>
    </row>
    <row r="61" spans="1:6" ht="18.75" customHeight="1">
      <c r="A61" s="38"/>
      <c r="B61" s="282"/>
      <c r="C61" s="283"/>
      <c r="D61" s="283"/>
      <c r="E61" s="283"/>
      <c r="F61" s="284"/>
    </row>
    <row r="62" spans="1:6" ht="18.75" customHeight="1">
      <c r="A62" s="38"/>
      <c r="B62" s="282"/>
      <c r="C62" s="283"/>
      <c r="D62" s="283"/>
      <c r="E62" s="283"/>
      <c r="F62" s="284"/>
    </row>
    <row r="63" spans="1:6" ht="18.75" customHeight="1">
      <c r="A63" s="38"/>
      <c r="B63" s="282"/>
      <c r="C63" s="283"/>
      <c r="D63" s="283"/>
      <c r="E63" s="283"/>
      <c r="F63" s="284"/>
    </row>
    <row r="64" spans="1:6" ht="18.75" customHeight="1">
      <c r="A64" s="38"/>
      <c r="B64" s="282"/>
      <c r="C64" s="283"/>
      <c r="D64" s="283"/>
      <c r="E64" s="283"/>
      <c r="F64" s="284"/>
    </row>
    <row r="65" spans="1:6" ht="18.75" customHeight="1">
      <c r="A65" s="38"/>
      <c r="B65" s="282"/>
      <c r="C65" s="283"/>
      <c r="D65" s="283"/>
      <c r="E65" s="283"/>
      <c r="F65" s="284"/>
    </row>
    <row r="66" spans="1:6" ht="18.75" customHeight="1">
      <c r="A66" s="38"/>
      <c r="B66" s="282"/>
      <c r="C66" s="283"/>
      <c r="D66" s="283"/>
      <c r="E66" s="283"/>
      <c r="F66" s="284"/>
    </row>
    <row r="67" spans="1:6" ht="18.75" customHeight="1">
      <c r="A67" s="38"/>
      <c r="B67" s="282"/>
      <c r="C67" s="283"/>
      <c r="D67" s="283"/>
      <c r="E67" s="283"/>
      <c r="F67" s="284"/>
    </row>
    <row r="68" spans="1:6" ht="18.75" customHeight="1">
      <c r="A68" s="38"/>
      <c r="B68" s="282"/>
      <c r="C68" s="283"/>
      <c r="D68" s="283"/>
      <c r="E68" s="283"/>
      <c r="F68" s="284"/>
    </row>
    <row r="69" spans="1:6" ht="18.75" customHeight="1">
      <c r="A69" s="38"/>
      <c r="B69" s="282"/>
      <c r="C69" s="283"/>
      <c r="D69" s="283"/>
      <c r="E69" s="283"/>
      <c r="F69" s="284"/>
    </row>
    <row r="70" spans="1:6" ht="18.75" customHeight="1">
      <c r="A70" s="38"/>
      <c r="B70" s="282"/>
      <c r="C70" s="283"/>
      <c r="D70" s="283"/>
      <c r="E70" s="283"/>
      <c r="F70" s="284"/>
    </row>
    <row r="71" spans="1:6" ht="18.75" customHeight="1">
      <c r="A71" s="38"/>
      <c r="B71" s="282"/>
      <c r="C71" s="283"/>
      <c r="D71" s="283"/>
      <c r="E71" s="283"/>
      <c r="F71" s="284"/>
    </row>
    <row r="72" spans="1:6" ht="18.75" customHeight="1">
      <c r="A72" s="38"/>
      <c r="B72" s="282"/>
      <c r="C72" s="283"/>
      <c r="D72" s="283"/>
      <c r="E72" s="283"/>
      <c r="F72" s="284"/>
    </row>
    <row r="73" spans="1:6" ht="18.75" customHeight="1">
      <c r="A73" s="38"/>
      <c r="B73" s="282"/>
      <c r="C73" s="283"/>
      <c r="D73" s="283"/>
      <c r="E73" s="283"/>
      <c r="F73" s="284"/>
    </row>
    <row r="74" spans="1:6" ht="18.75" customHeight="1">
      <c r="A74" s="38"/>
      <c r="B74" s="282"/>
      <c r="C74" s="283"/>
      <c r="D74" s="283"/>
      <c r="E74" s="283"/>
      <c r="F74" s="284"/>
    </row>
    <row r="75" spans="1:6" ht="18.75" customHeight="1">
      <c r="A75" s="38"/>
      <c r="B75" s="282"/>
      <c r="C75" s="283"/>
      <c r="D75" s="283"/>
      <c r="E75" s="283"/>
      <c r="F75" s="284"/>
    </row>
    <row r="76" spans="1:6" ht="18.75" customHeight="1">
      <c r="A76" s="38"/>
      <c r="B76" s="282"/>
      <c r="C76" s="283"/>
      <c r="D76" s="283"/>
      <c r="E76" s="283"/>
      <c r="F76" s="284"/>
    </row>
    <row r="77" spans="1:6" ht="18.75" customHeight="1">
      <c r="A77" s="38"/>
      <c r="B77" s="282"/>
      <c r="C77" s="283"/>
      <c r="D77" s="283"/>
      <c r="E77" s="283"/>
      <c r="F77" s="284"/>
    </row>
    <row r="78" spans="1:6" ht="18.75" customHeight="1">
      <c r="A78" s="38"/>
      <c r="B78" s="282"/>
      <c r="C78" s="283"/>
      <c r="D78" s="283"/>
      <c r="E78" s="283"/>
      <c r="F78" s="284"/>
    </row>
    <row r="79" spans="1:6" ht="18.75" customHeight="1">
      <c r="A79" s="38"/>
      <c r="B79" s="282"/>
      <c r="C79" s="283"/>
      <c r="D79" s="283"/>
      <c r="E79" s="283"/>
      <c r="F79" s="284"/>
    </row>
    <row r="80" spans="1:6" ht="18.75" customHeight="1">
      <c r="A80" s="38"/>
      <c r="B80" s="282"/>
      <c r="C80" s="283"/>
      <c r="D80" s="283"/>
      <c r="E80" s="283"/>
      <c r="F80" s="284"/>
    </row>
    <row r="81" spans="1:6" ht="18.75" customHeight="1">
      <c r="A81" s="38"/>
      <c r="B81" s="282"/>
      <c r="C81" s="283"/>
      <c r="D81" s="283"/>
      <c r="E81" s="283"/>
      <c r="F81" s="284"/>
    </row>
    <row r="82" spans="1:6" ht="18.75" customHeight="1">
      <c r="A82" s="38"/>
      <c r="B82" s="282"/>
      <c r="C82" s="283"/>
      <c r="D82" s="283"/>
      <c r="E82" s="283"/>
      <c r="F82" s="284"/>
    </row>
    <row r="83" spans="1:6" ht="18.75" customHeight="1">
      <c r="A83" s="38"/>
      <c r="B83" s="282"/>
      <c r="C83" s="283"/>
      <c r="D83" s="283"/>
      <c r="E83" s="283"/>
      <c r="F83" s="284"/>
    </row>
    <row r="84" spans="1:6" ht="18.75" customHeight="1">
      <c r="A84" s="38"/>
      <c r="B84" s="282"/>
      <c r="C84" s="283"/>
      <c r="D84" s="283"/>
      <c r="E84" s="283"/>
      <c r="F84" s="284"/>
    </row>
    <row r="85" spans="1:6" ht="18.75" customHeight="1">
      <c r="A85" s="38"/>
      <c r="B85" s="282"/>
      <c r="C85" s="283"/>
      <c r="D85" s="283"/>
      <c r="E85" s="283"/>
      <c r="F85" s="284"/>
    </row>
    <row r="86" spans="1:6" ht="18.75" customHeight="1">
      <c r="A86" s="38"/>
      <c r="B86" s="282"/>
      <c r="C86" s="283"/>
      <c r="D86" s="283"/>
      <c r="E86" s="283"/>
      <c r="F86" s="284"/>
    </row>
    <row r="87" spans="1:6" ht="18.75" customHeight="1">
      <c r="A87" s="38"/>
      <c r="B87" s="285"/>
      <c r="C87" s="286"/>
      <c r="D87" s="286"/>
      <c r="E87" s="286"/>
      <c r="F87" s="287"/>
    </row>
    <row r="88" spans="1:6" s="40" customFormat="1" ht="18.75" customHeight="1">
      <c r="A88" s="39" t="s">
        <v>11</v>
      </c>
      <c r="B88" s="39" t="s">
        <v>91</v>
      </c>
      <c r="C88" s="39"/>
      <c r="D88" s="39"/>
      <c r="E88" s="39"/>
      <c r="F88" s="39"/>
    </row>
    <row r="89" spans="1:6" ht="18.75" customHeight="1">
      <c r="A89" s="38"/>
      <c r="B89" s="279"/>
      <c r="C89" s="280"/>
      <c r="D89" s="280"/>
      <c r="E89" s="280"/>
      <c r="F89" s="281"/>
    </row>
    <row r="90" spans="1:6" ht="18.75" customHeight="1">
      <c r="A90" s="38"/>
      <c r="B90" s="282"/>
      <c r="C90" s="283"/>
      <c r="D90" s="283"/>
      <c r="E90" s="283"/>
      <c r="F90" s="284"/>
    </row>
    <row r="91" spans="1:6" ht="18.75" customHeight="1">
      <c r="A91" s="38"/>
      <c r="B91" s="282"/>
      <c r="C91" s="283"/>
      <c r="D91" s="283"/>
      <c r="E91" s="283"/>
      <c r="F91" s="284"/>
    </row>
    <row r="92" spans="1:6" ht="18.75" customHeight="1">
      <c r="A92" s="38"/>
      <c r="B92" s="282"/>
      <c r="C92" s="283"/>
      <c r="D92" s="283"/>
      <c r="E92" s="283"/>
      <c r="F92" s="284"/>
    </row>
    <row r="93" spans="1:6" ht="18.75" customHeight="1">
      <c r="A93" s="38"/>
      <c r="B93" s="282"/>
      <c r="C93" s="283"/>
      <c r="D93" s="283"/>
      <c r="E93" s="283"/>
      <c r="F93" s="284"/>
    </row>
    <row r="94" spans="1:6" ht="18.75" customHeight="1">
      <c r="A94" s="38"/>
      <c r="B94" s="282"/>
      <c r="C94" s="283"/>
      <c r="D94" s="283"/>
      <c r="E94" s="283"/>
      <c r="F94" s="284"/>
    </row>
    <row r="95" spans="1:6" ht="18.75" customHeight="1">
      <c r="A95" s="38"/>
      <c r="B95" s="282"/>
      <c r="C95" s="283"/>
      <c r="D95" s="283"/>
      <c r="E95" s="283"/>
      <c r="F95" s="284"/>
    </row>
    <row r="96" spans="1:6" ht="18.75" customHeight="1">
      <c r="A96" s="38"/>
      <c r="B96" s="282"/>
      <c r="C96" s="283"/>
      <c r="D96" s="283"/>
      <c r="E96" s="283"/>
      <c r="F96" s="284"/>
    </row>
    <row r="97" spans="1:6" ht="18.75" customHeight="1">
      <c r="A97" s="38"/>
      <c r="B97" s="282"/>
      <c r="C97" s="283"/>
      <c r="D97" s="283"/>
      <c r="E97" s="283"/>
      <c r="F97" s="284"/>
    </row>
    <row r="98" spans="1:6" ht="18.75" customHeight="1">
      <c r="A98" s="38"/>
      <c r="B98" s="282"/>
      <c r="C98" s="283"/>
      <c r="D98" s="283"/>
      <c r="E98" s="283"/>
      <c r="F98" s="284"/>
    </row>
    <row r="99" spans="1:6" ht="18.75" customHeight="1">
      <c r="A99" s="38"/>
      <c r="B99" s="282"/>
      <c r="C99" s="283"/>
      <c r="D99" s="283"/>
      <c r="E99" s="283"/>
      <c r="F99" s="284"/>
    </row>
    <row r="100" spans="1:6" ht="18.75" customHeight="1">
      <c r="A100" s="38"/>
      <c r="B100" s="282"/>
      <c r="C100" s="283"/>
      <c r="D100" s="283"/>
      <c r="E100" s="283"/>
      <c r="F100" s="284"/>
    </row>
    <row r="101" spans="1:6" ht="18.75" customHeight="1">
      <c r="A101" s="38"/>
      <c r="B101" s="282"/>
      <c r="C101" s="283"/>
      <c r="D101" s="283"/>
      <c r="E101" s="283"/>
      <c r="F101" s="284"/>
    </row>
    <row r="102" spans="1:6" ht="18.75" customHeight="1">
      <c r="A102" s="38"/>
      <c r="B102" s="282"/>
      <c r="C102" s="283"/>
      <c r="D102" s="283"/>
      <c r="E102" s="283"/>
      <c r="F102" s="284"/>
    </row>
    <row r="103" spans="1:6" ht="18.75" customHeight="1">
      <c r="A103" s="38"/>
      <c r="B103" s="282"/>
      <c r="C103" s="283"/>
      <c r="D103" s="283"/>
      <c r="E103" s="283"/>
      <c r="F103" s="284"/>
    </row>
    <row r="104" spans="1:6" ht="18.75" customHeight="1">
      <c r="A104" s="38"/>
      <c r="B104" s="282"/>
      <c r="C104" s="283"/>
      <c r="D104" s="283"/>
      <c r="E104" s="283"/>
      <c r="F104" s="284"/>
    </row>
    <row r="105" spans="1:6" ht="18.75" customHeight="1">
      <c r="A105" s="38"/>
      <c r="B105" s="282"/>
      <c r="C105" s="283"/>
      <c r="D105" s="283"/>
      <c r="E105" s="283"/>
      <c r="F105" s="284"/>
    </row>
    <row r="106" spans="1:6" ht="18.75" customHeight="1">
      <c r="A106" s="38"/>
      <c r="B106" s="282"/>
      <c r="C106" s="283"/>
      <c r="D106" s="283"/>
      <c r="E106" s="283"/>
      <c r="F106" s="284"/>
    </row>
    <row r="107" spans="1:6" ht="18.75" customHeight="1">
      <c r="A107" s="38"/>
      <c r="B107" s="282"/>
      <c r="C107" s="283"/>
      <c r="D107" s="283"/>
      <c r="E107" s="283"/>
      <c r="F107" s="284"/>
    </row>
    <row r="108" spans="1:6" ht="18.75" customHeight="1">
      <c r="A108" s="38"/>
      <c r="B108" s="282"/>
      <c r="C108" s="283"/>
      <c r="D108" s="283"/>
      <c r="E108" s="283"/>
      <c r="F108" s="284"/>
    </row>
    <row r="109" spans="1:6" ht="18.75" customHeight="1">
      <c r="A109" s="38"/>
      <c r="B109" s="282"/>
      <c r="C109" s="283"/>
      <c r="D109" s="283"/>
      <c r="E109" s="283"/>
      <c r="F109" s="284"/>
    </row>
    <row r="110" spans="1:6" ht="18.75" customHeight="1">
      <c r="A110" s="38"/>
      <c r="B110" s="282"/>
      <c r="C110" s="283"/>
      <c r="D110" s="283"/>
      <c r="E110" s="283"/>
      <c r="F110" s="284"/>
    </row>
    <row r="111" spans="1:6" ht="18.75" customHeight="1">
      <c r="A111" s="38"/>
      <c r="B111" s="282"/>
      <c r="C111" s="283"/>
      <c r="D111" s="283"/>
      <c r="E111" s="283"/>
      <c r="F111" s="284"/>
    </row>
    <row r="112" spans="1:6" ht="18.75" customHeight="1">
      <c r="A112" s="38"/>
      <c r="B112" s="282"/>
      <c r="C112" s="283"/>
      <c r="D112" s="283"/>
      <c r="E112" s="283"/>
      <c r="F112" s="284"/>
    </row>
    <row r="113" spans="1:6" ht="18.75" customHeight="1">
      <c r="A113" s="38"/>
      <c r="B113" s="282"/>
      <c r="C113" s="283"/>
      <c r="D113" s="283"/>
      <c r="E113" s="283"/>
      <c r="F113" s="284"/>
    </row>
    <row r="114" spans="1:6" ht="18.75" customHeight="1">
      <c r="A114" s="38"/>
      <c r="B114" s="282"/>
      <c r="C114" s="283"/>
      <c r="D114" s="283"/>
      <c r="E114" s="283"/>
      <c r="F114" s="284"/>
    </row>
    <row r="115" spans="1:6" ht="18.75" customHeight="1">
      <c r="A115" s="38"/>
      <c r="B115" s="282"/>
      <c r="C115" s="283"/>
      <c r="D115" s="283"/>
      <c r="E115" s="283"/>
      <c r="F115" s="284"/>
    </row>
    <row r="116" spans="1:6" ht="18.75" customHeight="1">
      <c r="A116" s="38"/>
      <c r="B116" s="282"/>
      <c r="C116" s="283"/>
      <c r="D116" s="283"/>
      <c r="E116" s="283"/>
      <c r="F116" s="284"/>
    </row>
    <row r="117" spans="1:6" ht="18.75" customHeight="1">
      <c r="A117" s="38"/>
      <c r="B117" s="282"/>
      <c r="C117" s="283"/>
      <c r="D117" s="283"/>
      <c r="E117" s="283"/>
      <c r="F117" s="284"/>
    </row>
    <row r="118" spans="1:6" ht="18.75" customHeight="1">
      <c r="A118" s="38"/>
      <c r="B118" s="282"/>
      <c r="C118" s="283"/>
      <c r="D118" s="283"/>
      <c r="E118" s="283"/>
      <c r="F118" s="284"/>
    </row>
    <row r="119" spans="1:6" ht="18.75" customHeight="1">
      <c r="A119" s="38"/>
      <c r="B119" s="282"/>
      <c r="C119" s="283"/>
      <c r="D119" s="283"/>
      <c r="E119" s="283"/>
      <c r="F119" s="284"/>
    </row>
    <row r="120" spans="1:6" ht="18.75" customHeight="1">
      <c r="A120" s="38"/>
      <c r="B120" s="282"/>
      <c r="C120" s="283"/>
      <c r="D120" s="283"/>
      <c r="E120" s="283"/>
      <c r="F120" s="284"/>
    </row>
    <row r="121" spans="1:6" ht="18.75" customHeight="1">
      <c r="A121" s="38"/>
      <c r="B121" s="282"/>
      <c r="C121" s="283"/>
      <c r="D121" s="283"/>
      <c r="E121" s="283"/>
      <c r="F121" s="284"/>
    </row>
    <row r="122" spans="1:6" ht="18.75" customHeight="1">
      <c r="A122" s="38"/>
      <c r="B122" s="282"/>
      <c r="C122" s="283"/>
      <c r="D122" s="283"/>
      <c r="E122" s="283"/>
      <c r="F122" s="284"/>
    </row>
    <row r="123" spans="1:6" ht="18.75" customHeight="1">
      <c r="A123" s="38"/>
      <c r="B123" s="282"/>
      <c r="C123" s="283"/>
      <c r="D123" s="283"/>
      <c r="E123" s="283"/>
      <c r="F123" s="284"/>
    </row>
    <row r="124" spans="1:6" ht="18.75" customHeight="1">
      <c r="A124" s="38"/>
      <c r="B124" s="282"/>
      <c r="C124" s="283"/>
      <c r="D124" s="283"/>
      <c r="E124" s="283"/>
      <c r="F124" s="284"/>
    </row>
    <row r="125" spans="1:6" ht="18.75" customHeight="1">
      <c r="A125" s="38"/>
      <c r="B125" s="282"/>
      <c r="C125" s="283"/>
      <c r="D125" s="283"/>
      <c r="E125" s="283"/>
      <c r="F125" s="284"/>
    </row>
    <row r="126" spans="1:6" ht="18.75" customHeight="1">
      <c r="A126" s="38"/>
      <c r="B126" s="282"/>
      <c r="C126" s="283"/>
      <c r="D126" s="283"/>
      <c r="E126" s="283"/>
      <c r="F126" s="284"/>
    </row>
    <row r="127" spans="1:6" ht="18.75" customHeight="1">
      <c r="A127" s="38"/>
      <c r="B127" s="282"/>
      <c r="C127" s="283"/>
      <c r="D127" s="283"/>
      <c r="E127" s="283"/>
      <c r="F127" s="284"/>
    </row>
    <row r="128" spans="1:6" ht="18.75" customHeight="1">
      <c r="A128" s="38"/>
      <c r="B128" s="282"/>
      <c r="C128" s="283"/>
      <c r="D128" s="283"/>
      <c r="E128" s="283"/>
      <c r="F128" s="284"/>
    </row>
    <row r="129" spans="1:6" ht="18.75" customHeight="1">
      <c r="A129" s="38"/>
      <c r="B129" s="282"/>
      <c r="C129" s="283"/>
      <c r="D129" s="283"/>
      <c r="E129" s="283"/>
      <c r="F129" s="284"/>
    </row>
    <row r="130" spans="1:6" ht="18.75" customHeight="1">
      <c r="A130" s="38"/>
      <c r="B130" s="285"/>
      <c r="C130" s="286"/>
      <c r="D130" s="286"/>
      <c r="E130" s="286"/>
      <c r="F130" s="287"/>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FCBC00E0DA95A49AAD2C1C237554DD0" ma:contentTypeVersion="9" ma:contentTypeDescription="新しいドキュメントを作成します。" ma:contentTypeScope="" ma:versionID="19fdb7e9c943ff17ef79fa9e58cda111">
  <xsd:schema xmlns:xsd="http://www.w3.org/2001/XMLSchema" xmlns:xs="http://www.w3.org/2001/XMLSchema" xmlns:p="http://schemas.microsoft.com/office/2006/metadata/properties" xmlns:ns2="c8c06d1b-3a27-4f0d-8102-26cf65270427" xmlns:ns3="f6b97315-4476-48fc-9281-0f4761760114" targetNamespace="http://schemas.microsoft.com/office/2006/metadata/properties" ma:root="true" ma:fieldsID="f7cf79b752384167350cdc9c8759cb71" ns2:_="" ns3:_="">
    <xsd:import namespace="c8c06d1b-3a27-4f0d-8102-26cf65270427"/>
    <xsd:import namespace="f6b97315-4476-48fc-9281-0f47617601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c06d1b-3a27-4f0d-8102-26cf652704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b97315-4476-48fc-9281-0f4761760114"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D2EE9D-3D1C-428C-96D4-589C2D409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c06d1b-3a27-4f0d-8102-26cf65270427"/>
    <ds:schemaRef ds:uri="f6b97315-4476-48fc-9281-0f47617601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F626FC-3667-42E0-8220-C1BF5BF58997}">
  <ds:schemaRefs>
    <ds:schemaRef ds:uri="http://schemas.microsoft.com/sharepoint/v3/contenttype/forms"/>
  </ds:schemaRefs>
</ds:datastoreItem>
</file>

<file path=customXml/itemProps3.xml><?xml version="1.0" encoding="utf-8"?>
<ds:datastoreItem xmlns:ds="http://schemas.openxmlformats.org/officeDocument/2006/customXml" ds:itemID="{CD350DBF-9685-490D-B8A9-8DCA539D68F6}">
  <ds:schemaRefs>
    <ds:schemaRef ds:uri="http://purl.org/dc/terms/"/>
    <ds:schemaRef ds:uri="http://www.w3.org/XML/1998/namespace"/>
    <ds:schemaRef ds:uri="f6b97315-4476-48fc-9281-0f4761760114"/>
    <ds:schemaRef ds:uri="http://schemas.microsoft.com/office/2006/documentManagement/types"/>
    <ds:schemaRef ds:uri="http://purl.org/dc/dcmitype/"/>
    <ds:schemaRef ds:uri="c8c06d1b-3a27-4f0d-8102-26cf65270427"/>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様式２－１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（不要）様式７　特色ある取組</vt:lpstr>
      <vt:lpstr>'（不要）様式７　特色ある取組'!Print_Area</vt:lpstr>
      <vt:lpstr>'様式１　大学等概要'!Print_Area</vt:lpstr>
      <vt:lpstr>'様式２－１　プログラムを構成する授業科目'!Print_Area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2021-06-16T00:12:47Z</cp:lastPrinted>
  <dcterms:created xsi:type="dcterms:W3CDTF">2011-06-14T05:32:50Z</dcterms:created>
  <dcterms:modified xsi:type="dcterms:W3CDTF">2021-06-17T00:59:23Z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0x010100FFCBC00E0DA95A49AAD2C1C237554DD0</vt:lpwstr>
  </property>
</Properties>
</file>