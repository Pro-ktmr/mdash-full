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mds_office\Desktop\●再提出\"/>
    </mc:Choice>
  </mc:AlternateContent>
  <bookViews>
    <workbookView xWindow="0" yWindow="0" windowWidth="31630" windowHeight="14680" tabRatio="885"/>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教育の質・履修者数を向上させるための体制・計画'!$A$1:$E$127</definedName>
    <definedName name="_xlnm.Print_Area" localSheetId="5">'様式６　自己点検・評価'!$A$1:$J$20</definedName>
    <definedName name="_xlnm.Print_Area" localSheetId="6">'様式７　特色ある取組'!$A$1:$F$130</definedName>
  </definedNames>
  <calcPr calcId="162913"/>
</workbook>
</file>

<file path=xl/calcChain.xml><?xml version="1.0" encoding="utf-8"?>
<calcChain xmlns="http://schemas.openxmlformats.org/spreadsheetml/2006/main">
  <c r="H36" i="35" l="1"/>
  <c r="G35" i="35" l="1"/>
  <c r="J22" i="8" l="1"/>
  <c r="Q18" i="31" l="1"/>
  <c r="R18" i="31" s="1"/>
  <c r="Q19" i="31"/>
  <c r="Q17" i="31"/>
  <c r="Q16" i="31"/>
  <c r="R17" i="31" l="1"/>
  <c r="R16" i="31"/>
  <c r="Q15" i="31"/>
  <c r="R15"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R19" i="31"/>
  <c r="Q14" i="31"/>
  <c r="R14" i="31" s="1"/>
  <c r="Q13" i="31"/>
  <c r="R13" i="31" s="1"/>
  <c r="Q12" i="31"/>
  <c r="R12" i="31" s="1"/>
  <c r="Q11" i="31"/>
  <c r="R11" i="31" s="1"/>
  <c r="Q10" i="31"/>
  <c r="R10" i="31" s="1"/>
  <c r="Q9" i="31"/>
  <c r="R9" i="31" s="1"/>
  <c r="Q8" i="31"/>
  <c r="R8" i="31" s="1"/>
  <c r="Q28" i="31" l="1"/>
  <c r="R28" i="31" s="1"/>
</calcChain>
</file>

<file path=xl/sharedStrings.xml><?xml version="1.0" encoding="utf-8"?>
<sst xmlns="http://schemas.openxmlformats.org/spreadsheetml/2006/main" count="280" uniqueCount="215">
  <si>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</si>
  <si>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</si>
  <si>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</si>
  <si>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</si>
  <si>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</si>
  <si>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</si>
  <si>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</si>
  <si>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</si>
  <si>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</si>
  <si>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</si>
  <si>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</si>
  <si>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</si>
  <si>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</si>
  <si>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</si>
  <si>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</si>
  <si>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</si>
  <si>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</si>
  <si>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</si>
  <si>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</si>
  <si>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</si>
  <si>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</si>
  <si>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</si>
  <si>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</si>
  <si>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</si>
  <si>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</si>
  <si>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</si>
  <si>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</si>
  <si>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</si>
  <si>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</si>
  <si>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</si>
  <si>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</si>
  <si>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</si>
  <si>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</si>
  <si>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</si>
  <si>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</si>
  <si>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</si>
  <si>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</si>
  <si>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</si>
  <si>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</si>
  <si>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</si>
  <si>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</si>
  <si>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</si>
  <si>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</si>
  <si>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</si>
  <si>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</si>
  <si>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</si>
  <si>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</si>
  <si>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</si>
  <si>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</si>
  <si>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</si>
  <si>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</si>
  <si>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</si>
  <si>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</si>
  <si>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</si>
  <si>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</si>
  <si>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</si>
  <si>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</si>
  <si>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</si>
  <si>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</si>
  <si>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</si>
  <si>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</si>
  <si>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</si>
  <si>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</si>
  <si>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</si>
  <si>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</si>
  <si>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</si>
  <si>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</si>
  <si>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</si>
  <si>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</si>
  <si>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</si>
  <si>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</si>
  <si>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</si>
  <si>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</si>
  <si>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</si>
  <si>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</si>
  <si>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</si>
  <si>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</si>
  <si>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</si>
  <si>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</si>
  <si>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</si>
  <si>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</si>
  <si>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</si>
  <si>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</si>
  <si>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</si>
  <si>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</si>
  <si>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</si>
  <si>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</si>
  <si>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</si>
  <si>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</si>
  <si>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</si>
  <si>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</si>
  <si>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</si>
  <si>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</si>
  <si>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</si>
  <si>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</si>
  <si>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</si>
  <si>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</si>
  <si>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</si>
  <si>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</si>
  <si>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</si>
  <si>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</si>
  <si>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</si>
  <si>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様式４－○</t>
    <rPh sb="0" eb="2">
      <t>ヨウシキ</t>
    </rPh>
    <phoneticPr fontId="1"/>
  </si>
  <si>
    <t>様式２－○</t>
    <rPh sb="0" eb="2">
      <t>ヨウシキ</t>
    </rPh>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</si>
  <si>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</si>
  <si>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</si>
  <si>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</si>
  <si>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</si>
  <si>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</si>
  <si>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</si>
  <si>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</si>
  <si>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</si>
  <si>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</si>
  <si>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</si>
  <si>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</si>
  <si>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</si>
  <si>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</si>
  <si>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</si>
  <si>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</si>
  <si>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</si>
  <si>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</si>
  <si>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</si>
  <si>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</si>
  <si>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</si>
  <si>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</si>
  <si>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</si>
  <si>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</si>
  <si>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</si>
  <si>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</si>
  <si>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</si>
  <si>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</si>
  <si>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</si>
  <si>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</si>
  <si>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</si>
  <si>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</si>
  <si>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</si>
  <si>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</si>
  <si>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大村　直人</t>
    <rPh sb="0" eb="2">
      <t>オオムラ</t>
    </rPh>
    <rPh sb="3" eb="5">
      <t>ナオト</t>
    </rPh>
    <phoneticPr fontId="1"/>
  </si>
  <si>
    <t>齋藤　政彦</t>
    <rPh sb="0" eb="2">
      <t>サイトウ</t>
    </rPh>
    <rPh sb="3" eb="5">
      <t>マサヒコ</t>
    </rPh>
    <phoneticPr fontId="1"/>
  </si>
  <si>
    <t>センター長</t>
    <rPh sb="4" eb="5">
      <t>チョウ</t>
    </rPh>
    <phoneticPr fontId="1"/>
  </si>
  <si>
    <t>神戸大学数理・データサイエンスセンター　運営委員会</t>
    <rPh sb="0" eb="4">
      <t>コウベダイガク</t>
    </rPh>
    <rPh sb="4" eb="6">
      <t>スウリ</t>
    </rPh>
    <rPh sb="20" eb="22">
      <t>ウンエイ</t>
    </rPh>
    <rPh sb="22" eb="25">
      <t>イインカイ</t>
    </rPh>
    <phoneticPr fontId="1"/>
  </si>
  <si>
    <t>神戸大学数理・データサイエンスセンター評価専門委員会</t>
    <rPh sb="0" eb="4">
      <t>コウベダイガク</t>
    </rPh>
    <rPh sb="4" eb="6">
      <t>スウリ</t>
    </rPh>
    <rPh sb="19" eb="21">
      <t>ヒョウカ</t>
    </rPh>
    <rPh sb="21" eb="23">
      <t>センモン</t>
    </rPh>
    <rPh sb="23" eb="26">
      <t>イインカイ</t>
    </rPh>
    <phoneticPr fontId="1"/>
  </si>
  <si>
    <t>認定教育プログラム</t>
  </si>
  <si>
    <t>神戸大学数理・データサイエンスセンター</t>
    <rPh sb="0" eb="4">
      <t>コウベダイガク</t>
    </rPh>
    <rPh sb="4" eb="6">
      <t>スウリ</t>
    </rPh>
    <phoneticPr fontId="1"/>
  </si>
  <si>
    <t>中山　晶絵</t>
    <rPh sb="0" eb="2">
      <t>ナカヤマ</t>
    </rPh>
    <rPh sb="3" eb="5">
      <t>アキエ</t>
    </rPh>
    <phoneticPr fontId="1"/>
  </si>
  <si>
    <t>ｃｍｄｓ-sec@edu.kobe-u.ac.jp</t>
    <phoneticPr fontId="1"/>
  </si>
  <si>
    <t>078-803-5753</t>
    <phoneticPr fontId="1"/>
  </si>
  <si>
    <t>全学教育部門長</t>
    <rPh sb="0" eb="2">
      <t>ゼンガク</t>
    </rPh>
    <rPh sb="2" eb="4">
      <t>キョウイク</t>
    </rPh>
    <rPh sb="4" eb="7">
      <t>ブモンチョウ</t>
    </rPh>
    <phoneticPr fontId="1"/>
  </si>
  <si>
    <t>情報基礎</t>
    <rPh sb="0" eb="2">
      <t>ジョウホウ</t>
    </rPh>
    <rPh sb="2" eb="4">
      <t>キソ</t>
    </rPh>
    <phoneticPr fontId="1"/>
  </si>
  <si>
    <t>データサイエンス入門A</t>
    <rPh sb="8" eb="10">
      <t>ニュウモン</t>
    </rPh>
    <phoneticPr fontId="1"/>
  </si>
  <si>
    <t>学部・学科によって、修了要件は相違しない</t>
  </si>
  <si>
    <t>神戸大学</t>
    <rPh sb="0" eb="4">
      <t>コウベダイガク</t>
    </rPh>
    <phoneticPr fontId="1"/>
  </si>
  <si>
    <t>国立大学法人神戸大学</t>
    <rPh sb="0" eb="2">
      <t>コクリツ</t>
    </rPh>
    <rPh sb="2" eb="6">
      <t>ダイガクホウジン</t>
    </rPh>
    <rPh sb="6" eb="10">
      <t>コウベダイガク</t>
    </rPh>
    <phoneticPr fontId="1"/>
  </si>
  <si>
    <t>国立大学</t>
  </si>
  <si>
    <t>兵庫県神戸灘区六甲台町１－１</t>
    <phoneticPr fontId="1"/>
  </si>
  <si>
    <t>神戸大学数理・データサイエンス・AI教育プログラム（リテラシーレベル）</t>
    <rPh sb="0" eb="4">
      <t>コウベダイガク</t>
    </rPh>
    <rPh sb="4" eb="6">
      <t>スウリ</t>
    </rPh>
    <rPh sb="18" eb="20">
      <t>キョウイク</t>
    </rPh>
    <phoneticPr fontId="1"/>
  </si>
  <si>
    <t>理事・副学長</t>
    <rPh sb="0" eb="2">
      <t>リジ</t>
    </rPh>
    <rPh sb="3" eb="6">
      <t>フクガクチョウ</t>
    </rPh>
    <phoneticPr fontId="1"/>
  </si>
  <si>
    <t>文学部（人文科学）</t>
    <phoneticPr fontId="1"/>
  </si>
  <si>
    <t>国際人間科学部（その他）</t>
    <rPh sb="10" eb="11">
      <t>ホカ</t>
    </rPh>
    <phoneticPr fontId="1"/>
  </si>
  <si>
    <t>法学部（社会科学）</t>
    <phoneticPr fontId="1"/>
  </si>
  <si>
    <t>経済学部（社会科学）</t>
    <phoneticPr fontId="1"/>
  </si>
  <si>
    <t>経営学部（社会科学）</t>
    <phoneticPr fontId="1"/>
  </si>
  <si>
    <t>理学部（理学）</t>
    <phoneticPr fontId="1"/>
  </si>
  <si>
    <t>医学部医学科（保健）</t>
    <phoneticPr fontId="1"/>
  </si>
  <si>
    <t>医学部保健学科（保健）</t>
    <phoneticPr fontId="1"/>
  </si>
  <si>
    <t>工学部（工学）</t>
    <rPh sb="4" eb="6">
      <t>コウガク</t>
    </rPh>
    <phoneticPr fontId="1"/>
  </si>
  <si>
    <t>農学部（農学）</t>
    <rPh sb="4" eb="6">
      <t>ノウガク</t>
    </rPh>
    <phoneticPr fontId="1"/>
  </si>
  <si>
    <t>海事科学部（商船）</t>
    <rPh sb="6" eb="8">
      <t>ショウセン</t>
    </rPh>
    <phoneticPr fontId="1"/>
  </si>
  <si>
    <t>学校名：神戸大学</t>
    <rPh sb="0" eb="2">
      <t>ガッコウ</t>
    </rPh>
    <rPh sb="4" eb="8">
      <t>コウベダイガク</t>
    </rPh>
    <phoneticPr fontId="1"/>
  </si>
  <si>
    <t>データサイエンス入門A</t>
    <rPh sb="8" eb="10">
      <t>ニュウモン</t>
    </rPh>
    <phoneticPr fontId="1"/>
  </si>
  <si>
    <t>情報基礎</t>
    <rPh sb="0" eb="4">
      <t>ジョウホウキソ</t>
    </rPh>
    <phoneticPr fontId="1"/>
  </si>
  <si>
    <t>データサイエンス入門A</t>
    <phoneticPr fontId="1"/>
  </si>
  <si>
    <t>神戸大学</t>
    <rPh sb="0" eb="4">
      <t>コウベダイガク</t>
    </rPh>
    <phoneticPr fontId="1"/>
  </si>
  <si>
    <t>神戸大学</t>
    <rPh sb="0" eb="4">
      <t>コウベダイガク</t>
    </rPh>
    <phoneticPr fontId="1"/>
  </si>
  <si>
    <t>データを扱う上での留意事項、データに関する法規・倫理・技術、ELSI、個人情報保護法、GDPR,　AI社会原則、忘れられる権利（以上３）</t>
    <rPh sb="4" eb="5">
      <t>アツカ</t>
    </rPh>
    <rPh sb="6" eb="7">
      <t>ウエ</t>
    </rPh>
    <rPh sb="9" eb="13">
      <t>リュウイジコウ</t>
    </rPh>
    <rPh sb="18" eb="19">
      <t>カン</t>
    </rPh>
    <rPh sb="21" eb="23">
      <t>ホウキ</t>
    </rPh>
    <rPh sb="24" eb="26">
      <t>リンリ</t>
    </rPh>
    <rPh sb="27" eb="29">
      <t>ギジュツ</t>
    </rPh>
    <rPh sb="35" eb="37">
      <t>コジン</t>
    </rPh>
    <rPh sb="37" eb="42">
      <t>ジョウホウホゴホウ</t>
    </rPh>
    <rPh sb="51" eb="55">
      <t>シャカイゲンソク</t>
    </rPh>
    <rPh sb="56" eb="57">
      <t>ワス</t>
    </rPh>
    <rPh sb="61" eb="63">
      <t>ケンリ</t>
    </rPh>
    <rPh sb="64" eb="66">
      <t>イジョウ</t>
    </rPh>
    <phoneticPr fontId="1"/>
  </si>
  <si>
    <t>データサイエンス概論A</t>
    <rPh sb="8" eb="10">
      <t>ガイロン</t>
    </rPh>
    <phoneticPr fontId="1"/>
  </si>
  <si>
    <t>データサイエンス概論A</t>
    <rPh sb="8" eb="10">
      <t>ガイロン</t>
    </rPh>
    <phoneticPr fontId="1"/>
  </si>
  <si>
    <t>機械学習、自然言語処理、画像処理の様々な分野へのAIの利活用について（３，４，５，６，７）</t>
    <phoneticPr fontId="1"/>
  </si>
  <si>
    <t>http://www.cmds.kobe-u.ac.jp/literacy_level_program/index.html</t>
    <phoneticPr fontId="1"/>
  </si>
  <si>
    <t>データサイエンス入門A、データサイエンス概論A</t>
    <rPh sb="8" eb="10">
      <t>ニュウモン</t>
    </rPh>
    <rPh sb="20" eb="22">
      <t>ガイロン</t>
    </rPh>
    <phoneticPr fontId="1"/>
  </si>
  <si>
    <t>神戸大学</t>
    <rPh sb="0" eb="4">
      <t>コウベダイガク</t>
    </rPh>
    <phoneticPr fontId="1"/>
  </si>
  <si>
    <t>2021年度に総合科目ＩＩ「データサイエンス基礎」を開講し、2022年度に基礎教養科目「データサイエンス基礎学」を開講する準備を行った。この科目は、数理・データサイエンス・ＡＩ教育プログラム（リテラシーレベル）のモデルカリキュラムに準拠しており、2022年度から全学部生が履修できる体制を現在検討している。</t>
    <phoneticPr fontId="1"/>
  </si>
  <si>
    <t>本プログラムは2018年度の入学生から設置されており、まだ修了者は出ていない。</t>
    <phoneticPr fontId="1"/>
  </si>
  <si>
    <t>2020年度3月に、数理・データサイエンスセンターのアドバイザリーボード会議を開き、数理・データサイエンスセンターへの意見をいただいた。当センタ―が行っている教育に関する産学連携の取り組みについて
高い評価を与えていただいた。</t>
    <phoneticPr fontId="1"/>
  </si>
  <si>
    <t>最先端の研究者や、先端IT企業の中心的研究者や学内の最先端の研究や社会実装を講義の中心にすることで学生の興味をひき起こす事を心がけている。</t>
    <phoneticPr fontId="1"/>
  </si>
  <si>
    <t>講義ビデオや、資料を事前に配布し、講義当日はオンラインで講義の内容を質問したり課題に関して
議論することにより、学生の理解が容易になる様に心がけている。</t>
    <phoneticPr fontId="1"/>
  </si>
  <si>
    <t>神戸大学</t>
    <rPh sb="0" eb="4">
      <t>コウベダイガク</t>
    </rPh>
    <phoneticPr fontId="1"/>
  </si>
  <si>
    <t>様々な分野および社会におけるデータ・AI利活用についての現状や、データを扱う上での留意事項について理解するとともに、専門分野も含めてデータの取り扱う基礎的能力を身に付ける。</t>
    <rPh sb="0" eb="2">
      <t>サマザマ</t>
    </rPh>
    <rPh sb="3" eb="5">
      <t>ブンヤ</t>
    </rPh>
    <rPh sb="8" eb="10">
      <t>シャカイ</t>
    </rPh>
    <rPh sb="20" eb="23">
      <t>リカツヨウ</t>
    </rPh>
    <rPh sb="28" eb="30">
      <t>ゲンジョウ</t>
    </rPh>
    <rPh sb="49" eb="51">
      <t>リカイ</t>
    </rPh>
    <rPh sb="58" eb="60">
      <t>センモン</t>
    </rPh>
    <rPh sb="60" eb="62">
      <t>ブンヤ</t>
    </rPh>
    <rPh sb="63" eb="64">
      <t>フク</t>
    </rPh>
    <rPh sb="70" eb="71">
      <t>ト</t>
    </rPh>
    <rPh sb="72" eb="73">
      <t>アツカ</t>
    </rPh>
    <rPh sb="74" eb="77">
      <t>キソテキ</t>
    </rPh>
    <rPh sb="77" eb="79">
      <t>ノウリョク</t>
    </rPh>
    <rPh sb="80" eb="81">
      <t>ミ</t>
    </rPh>
    <rPh sb="82" eb="83">
      <t>ツ</t>
    </rPh>
    <phoneticPr fontId="1"/>
  </si>
  <si>
    <t>神戸大学数理・データサイエンスセンター規則　および神戸大学数理・データサイエンス運営委員会規則</t>
    <rPh sb="0" eb="4">
      <t>コウベダイガク</t>
    </rPh>
    <rPh sb="4" eb="6">
      <t>スウリ</t>
    </rPh>
    <rPh sb="19" eb="21">
      <t>キソク</t>
    </rPh>
    <rPh sb="25" eb="29">
      <t>コウベダイガク</t>
    </rPh>
    <rPh sb="29" eb="31">
      <t>スウリ</t>
    </rPh>
    <rPh sb="40" eb="45">
      <t>ウンエイイインカイ</t>
    </rPh>
    <rPh sb="45" eb="47">
      <t>キソク</t>
    </rPh>
    <phoneticPr fontId="1"/>
  </si>
  <si>
    <t>神戸大学数理・データサイエンスセンター運営委員会では、数理・データサイエンスセンターに係る評価・点検に関する事項を審議し、学長がこれらの事項について決定を行うに当たり意見を述べるものとする。委員会には、専門的事項を調査審議するため、専門委員会を
置くことができ、専門委員会に関する事項は委員会が別に定める。評価・点検に関する事項については、「神戸大学数理・データサイエンスセンター評価専門委員会」を置き、審議を行う。</t>
    <phoneticPr fontId="1"/>
  </si>
  <si>
    <t>新入生向けガイダンスにおいて、本学で実施している数理・データサイエンス・AI教育プログラムについて説明を行い、本プログラムについても学生へ周知する。本プログラムのチラシ等の作成を行い、学部における新入生向けガイダンスにおいて全新入生へ配布を行い周知をする。このほか、大学HPの学生向けページ、数理・データサイエンスセンターＨＰにプログラムについて掲載し、学生へ周知を行う。大学の広報課などとも連携を行い、TwitterやFaceBookなどのSNSでも積極的に発信を行っていく。</t>
    <rPh sb="15" eb="17">
      <t>ホンガク</t>
    </rPh>
    <rPh sb="18" eb="20">
      <t>ジッシ</t>
    </rPh>
    <rPh sb="24" eb="26">
      <t>スウリ</t>
    </rPh>
    <rPh sb="38" eb="40">
      <t>キョウイク</t>
    </rPh>
    <rPh sb="49" eb="51">
      <t>セツメイ</t>
    </rPh>
    <rPh sb="52" eb="53">
      <t>オコナ</t>
    </rPh>
    <rPh sb="55" eb="56">
      <t>ホン</t>
    </rPh>
    <rPh sb="66" eb="68">
      <t>ガクセイ</t>
    </rPh>
    <rPh sb="86" eb="88">
      <t>サクセイ</t>
    </rPh>
    <rPh sb="89" eb="90">
      <t>オコナ</t>
    </rPh>
    <rPh sb="98" eb="102">
      <t>シンニュウセイム</t>
    </rPh>
    <rPh sb="112" eb="113">
      <t>ゼン</t>
    </rPh>
    <rPh sb="113" eb="116">
      <t>シンニュウセイ</t>
    </rPh>
    <rPh sb="117" eb="119">
      <t>ハイフ</t>
    </rPh>
    <rPh sb="120" eb="121">
      <t>オコナ</t>
    </rPh>
    <rPh sb="122" eb="124">
      <t>シュウチ</t>
    </rPh>
    <rPh sb="133" eb="135">
      <t>ダイガク</t>
    </rPh>
    <rPh sb="138" eb="141">
      <t>ガクセイム</t>
    </rPh>
    <rPh sb="146" eb="148">
      <t>スウリ</t>
    </rPh>
    <rPh sb="173" eb="175">
      <t>ケイサイ</t>
    </rPh>
    <rPh sb="177" eb="179">
      <t>ガクセイ</t>
    </rPh>
    <rPh sb="180" eb="182">
      <t>シュウチ</t>
    </rPh>
    <rPh sb="183" eb="184">
      <t>オコナ</t>
    </rPh>
    <rPh sb="186" eb="188">
      <t>ダイガク</t>
    </rPh>
    <rPh sb="189" eb="192">
      <t>コウホウカ</t>
    </rPh>
    <rPh sb="196" eb="198">
      <t>レンケイ</t>
    </rPh>
    <rPh sb="199" eb="200">
      <t>オコナ</t>
    </rPh>
    <rPh sb="226" eb="229">
      <t>セッキョクテキ</t>
    </rPh>
    <rPh sb="230" eb="232">
      <t>ハッシン</t>
    </rPh>
    <rPh sb="233" eb="234">
      <t>オコナ</t>
    </rPh>
    <phoneticPr fontId="1"/>
  </si>
  <si>
    <t>数理・データサイエンスセンター運営委員会委員　　　　　　　　　　　　　　　　　　　　　　　　　　　　　　　　　　　　　　　　　　　　　　　　　　　　　　　　　　　　　　　　　　　　　　　　　　　　　　　　　　　　　　　　　　　　　　　　数理・データサイエンスセンター長　全学教育部門長　齋藤　政彦
数理・データサイエンスセンター　教授　副センター長　小澤　誠一
数理・データサイエンスセンター　教授　副センター長　栗尾　孝
数理・データサイエンスセンター　教授　　　　　　　　　　木村　建次郎　　　　　　　　　　　　　　　　　
人文学研究科　　　　　　　　　　　教授　　　　　　　　　　 平井　晶子　　　　　　　　　　　　　　　　　
経済学研究科　　　　　　　　　　　教授　　　　　　　　　　 末石　直也                              　　
農学研究科　　　　　　　　　　　　 教授                       石井　尊生　　　　　　　　　　　　　　　　　
医学部附属病院　　　　　　　　　 特命教授　　　　　　　 大森　崇　　　　　　　　　　　　　　　　　　　</t>
    <rPh sb="0" eb="2">
      <t>スウリ</t>
    </rPh>
    <rPh sb="15" eb="17">
      <t>ウンエイ</t>
    </rPh>
    <rPh sb="17" eb="20">
      <t>イインカイ</t>
    </rPh>
    <rPh sb="20" eb="22">
      <t>イイン</t>
    </rPh>
    <rPh sb="135" eb="137">
      <t>ゼンガク</t>
    </rPh>
    <rPh sb="137" eb="139">
      <t>キョウイク</t>
    </rPh>
    <rPh sb="139" eb="141">
      <t>ブモン</t>
    </rPh>
    <rPh sb="141" eb="142">
      <t>チョウ</t>
    </rPh>
    <rPh sb="143" eb="145">
      <t>サイトウ</t>
    </rPh>
    <rPh sb="146" eb="148">
      <t>マサヒコ</t>
    </rPh>
    <rPh sb="149" eb="151">
      <t>スウリ</t>
    </rPh>
    <rPh sb="168" eb="169">
      <t>フク</t>
    </rPh>
    <rPh sb="173" eb="174">
      <t>チョウ</t>
    </rPh>
    <rPh sb="175" eb="177">
      <t>オザワ</t>
    </rPh>
    <rPh sb="178" eb="180">
      <t>セイイチ</t>
    </rPh>
    <rPh sb="181" eb="183">
      <t>スウリ</t>
    </rPh>
    <rPh sb="197" eb="199">
      <t>キョウジュ</t>
    </rPh>
    <rPh sb="200" eb="201">
      <t>フク</t>
    </rPh>
    <rPh sb="205" eb="206">
      <t>チョウ</t>
    </rPh>
    <rPh sb="207" eb="209">
      <t>クリオ</t>
    </rPh>
    <rPh sb="210" eb="211">
      <t>タカシ</t>
    </rPh>
    <rPh sb="212" eb="214">
      <t>スウリ</t>
    </rPh>
    <rPh sb="228" eb="230">
      <t>キョウジュ</t>
    </rPh>
    <rPh sb="240" eb="242">
      <t>キムラ</t>
    </rPh>
    <rPh sb="243" eb="246">
      <t>ケンジロウ</t>
    </rPh>
    <rPh sb="264" eb="267">
      <t>ジンブンガク</t>
    </rPh>
    <rPh sb="267" eb="269">
      <t>ケンキュウ</t>
    </rPh>
    <rPh sb="269" eb="270">
      <t>カ</t>
    </rPh>
    <rPh sb="281" eb="283">
      <t>キョウジュ</t>
    </rPh>
    <rPh sb="294" eb="296">
      <t>ヒライ</t>
    </rPh>
    <rPh sb="297" eb="299">
      <t>アキラコ</t>
    </rPh>
    <rPh sb="317" eb="320">
      <t>ケイザイガク</t>
    </rPh>
    <rPh sb="320" eb="322">
      <t>ケンキュウ</t>
    </rPh>
    <rPh sb="322" eb="323">
      <t>カ</t>
    </rPh>
    <rPh sb="334" eb="336">
      <t>キョウジュ</t>
    </rPh>
    <rPh sb="347" eb="349">
      <t>スエイシ</t>
    </rPh>
    <rPh sb="350" eb="352">
      <t>ナオヤ</t>
    </rPh>
    <rPh sb="385" eb="386">
      <t>ノウ</t>
    </rPh>
    <rPh sb="386" eb="387">
      <t>ガク</t>
    </rPh>
    <rPh sb="387" eb="390">
      <t>ケンキュウカ</t>
    </rPh>
    <rPh sb="403" eb="405">
      <t>キョウジュ</t>
    </rPh>
    <rPh sb="428" eb="430">
      <t>イシイ</t>
    </rPh>
    <rPh sb="431" eb="432">
      <t>ソン</t>
    </rPh>
    <rPh sb="432" eb="433">
      <t>セイ</t>
    </rPh>
    <rPh sb="451" eb="454">
      <t>イガクブ</t>
    </rPh>
    <rPh sb="454" eb="456">
      <t>フゾク</t>
    </rPh>
    <rPh sb="456" eb="458">
      <t>ビョウイン</t>
    </rPh>
    <rPh sb="468" eb="470">
      <t>トクメイ</t>
    </rPh>
    <rPh sb="470" eb="472">
      <t>キョウジュ</t>
    </rPh>
    <rPh sb="480" eb="482">
      <t>オオモリ</t>
    </rPh>
    <rPh sb="483" eb="484">
      <t>タカシ</t>
    </rPh>
    <phoneticPr fontId="1"/>
  </si>
  <si>
    <t>社会で起きている変化（第4次産業革命、Society 5.0、ビッグデータ、IoT, AI)(１，４),　  データ・AI利活用の最新動向（４、６）</t>
    <rPh sb="3" eb="4">
      <t>オ</t>
    </rPh>
    <rPh sb="8" eb="10">
      <t>ヘンカ</t>
    </rPh>
    <rPh sb="11" eb="12">
      <t>ダイ</t>
    </rPh>
    <rPh sb="13" eb="14">
      <t>ジ</t>
    </rPh>
    <rPh sb="14" eb="18">
      <t>サンギョウカクメイ</t>
    </rPh>
    <rPh sb="61" eb="62">
      <t>リ</t>
    </rPh>
    <rPh sb="62" eb="64">
      <t>カツヨウ</t>
    </rPh>
    <rPh sb="65" eb="67">
      <t>サイシン</t>
    </rPh>
    <rPh sb="67" eb="69">
      <t>ドウコウ</t>
    </rPh>
    <phoneticPr fontId="1"/>
  </si>
  <si>
    <t>データ・AI技術の活用領域（研究、医療、ビジネス、農業への応用） (３, ４, ５, ６, ７)</t>
    <rPh sb="6" eb="8">
      <t>ギジュツ</t>
    </rPh>
    <rPh sb="9" eb="11">
      <t>カツヨウ</t>
    </rPh>
    <rPh sb="11" eb="13">
      <t>リョウイキ</t>
    </rPh>
    <rPh sb="14" eb="16">
      <t>ケンキュウ</t>
    </rPh>
    <rPh sb="17" eb="19">
      <t>イリョウ</t>
    </rPh>
    <rPh sb="25" eb="27">
      <t>ノウギョウ</t>
    </rPh>
    <rPh sb="29" eb="31">
      <t>オウヨウ</t>
    </rPh>
    <phoneticPr fontId="1"/>
  </si>
  <si>
    <t>社会で活用されているデータ(1，２), データ・AI技術の活用領域（研究、医療、ビジネス、農業への応用） (４, ５, ６, ７)</t>
    <rPh sb="0" eb="2">
      <t>シャカイ</t>
    </rPh>
    <rPh sb="3" eb="5">
      <t>カツヨウ</t>
    </rPh>
    <rPh sb="26" eb="28">
      <t>ギジュツ</t>
    </rPh>
    <rPh sb="29" eb="31">
      <t>カツヨウ</t>
    </rPh>
    <rPh sb="31" eb="33">
      <t>リョウイキ</t>
    </rPh>
    <rPh sb="34" eb="36">
      <t>ケンキュウ</t>
    </rPh>
    <rPh sb="37" eb="39">
      <t>イリョウ</t>
    </rPh>
    <rPh sb="45" eb="47">
      <t>ノウギョウ</t>
    </rPh>
    <rPh sb="49" eb="51">
      <t>オウヨウ</t>
    </rPh>
    <phoneticPr fontId="1"/>
  </si>
  <si>
    <t>ビジネスにおけるAIの活用事例（顔認証、大規模予測、意思決定、AI間交渉）(６), 　 研究分野への応用(４)</t>
    <rPh sb="11" eb="13">
      <t>カツヨウ</t>
    </rPh>
    <rPh sb="13" eb="14">
      <t>ジ</t>
    </rPh>
    <rPh sb="14" eb="15">
      <t>レイ</t>
    </rPh>
    <rPh sb="16" eb="19">
      <t>カオニンショウ</t>
    </rPh>
    <rPh sb="20" eb="23">
      <t>ダイキボ</t>
    </rPh>
    <rPh sb="23" eb="25">
      <t>ヨソク</t>
    </rPh>
    <rPh sb="26" eb="28">
      <t>イシ</t>
    </rPh>
    <rPh sb="28" eb="30">
      <t>ケッテイ</t>
    </rPh>
    <rPh sb="33" eb="36">
      <t>カンコウショウ</t>
    </rPh>
    <rPh sb="44" eb="48">
      <t>ケンキュウブンヤ</t>
    </rPh>
    <rPh sb="50" eb="52">
      <t>オウヨウ</t>
    </rPh>
    <phoneticPr fontId="1"/>
  </si>
  <si>
    <t>情報基礎では、神戸大学へ入学したばかりの新入生が、大学のネットワークのアカウントやメールアドレスにアクセスし、インターネットの利用について学ぶ。その後、インターネット社会でのセキユリティや情報倫理に関する具体的な事柄を学ぶ。データサイエンス入門Aにおいては、データ利活用における留意事項について、ELSI、個人情報保護、データを扱う法律、GDPRなどを学ぶ。また、データバイアス、アルゴリズムバイアスについて、具体例を通じて学ぶ。その後、データの匿名加工、情報セキュリティについて学ぶ。</t>
    <phoneticPr fontId="1"/>
  </si>
  <si>
    <t>インターネット社会でのセキユリティ(５)、情報倫理(７)</t>
    <rPh sb="7" eb="9">
      <t>シャカイ</t>
    </rPh>
    <rPh sb="21" eb="23">
      <t>ジョウホウ</t>
    </rPh>
    <rPh sb="23" eb="25">
      <t>リンリ</t>
    </rPh>
    <phoneticPr fontId="1"/>
  </si>
  <si>
    <t>データ解析の基本的手法を学び、実データを用いて解析する(１, ２)。実データおよび課題を用いた機械学習の解説（３)</t>
    <rPh sb="3" eb="5">
      <t>カイセキ</t>
    </rPh>
    <rPh sb="6" eb="9">
      <t>キホンテキ</t>
    </rPh>
    <rPh sb="9" eb="11">
      <t>シュホウ</t>
    </rPh>
    <rPh sb="12" eb="13">
      <t>マナ</t>
    </rPh>
    <rPh sb="15" eb="16">
      <t>ジツ</t>
    </rPh>
    <rPh sb="20" eb="21">
      <t>モチ</t>
    </rPh>
    <rPh sb="23" eb="25">
      <t>カイセキ</t>
    </rPh>
    <rPh sb="34" eb="35">
      <t>ジツ</t>
    </rPh>
    <rPh sb="41" eb="43">
      <t>カダイ</t>
    </rPh>
    <rPh sb="44" eb="45">
      <t>モチ</t>
    </rPh>
    <rPh sb="47" eb="51">
      <t>キカイガクシュウ</t>
    </rPh>
    <rPh sb="52" eb="54">
      <t>カイセツ</t>
    </rPh>
    <phoneticPr fontId="1"/>
  </si>
  <si>
    <t>統計的データ分析によるデータの扱いを学ぶ。(２)</t>
    <phoneticPr fontId="1"/>
  </si>
  <si>
    <t>各年度の履修者数の目標を以下のとおりとする。(( )内は履修率。）　　　　　　　　　　　　　　　　　　　令和３年度　　５００名　  （４.７％）
令和４年度  ２６７０名　（２５.０％）
令和５年度　２６７０名　（２５.０％）
令和６年度　２６７０名　（２５.０％）
令和７年度　２６７０名　（２５.０％）
目標を実現するために、令和２年度より、データサイエンス入門Aを遠隔授業に対応させ、講義ビデオの事前視聴、Zoomによる解説・質疑応答、毎回の課題と満足度アンケートを合わせたコミュニケーションシート、課題等の提出を神戸大学オンライン学修支援システム（LMS　BEEF）によって実施している。また、令和2年度から履修定員を500名とした。令和3年度は、学生アンケートを受けて内容を充実させた。　令和4年度から、数理・データサイエンス・ＡＩ教育プログラム（リテラシーレベル）のモデルカリキュラムに準拠した「データサイエンス基礎学」を全学共通・基礎教養科目に開講し、全新入生が履修できる体制を予定している。　令和3年度に、この科目の準備科目である総合科目II「データサイエンス基礎」を第１Q、第３Qに全学向けに開講している。授業はオンデマンド・オンラインの併用したハイブリッド型で行い、毎回の確認小テストと課題とアンケートもBEEFで実施し、学生の理解度・満足度を把握し授業の内容と質の向上を図っている。 受講生の学習を助けるために令和3年3月にこの授業の為の教科書を培風館から出版した。　　　　　　　　　　　　　　　　　　　　　　　　　　　　　　　　　　　　　　　　　　　　　　　　　　　　　　　　　　　　　　　　　　　　　　　　　　　　　　　　　　　　　　　　　　　　　　　　　　　　　　　　　　　　　　                                                                                                                                                                  　　　　　　　　　　　　　　　　　　　　　　　　　　　　　　　　　　　　　　　　　　　　　　　　　　　　　　　　　　　　　　　　　　　　　　　　　　　　　　　　　　　　　　　　　　　　</t>
    <rPh sb="155" eb="157">
      <t>モクヒョウ</t>
    </rPh>
    <rPh sb="158" eb="160">
      <t>ジツゲン</t>
    </rPh>
    <rPh sb="166" eb="168">
      <t>レイワ</t>
    </rPh>
    <rPh sb="169" eb="171">
      <t>ネンド</t>
    </rPh>
    <rPh sb="182" eb="184">
      <t>ニュウモン</t>
    </rPh>
    <rPh sb="186" eb="190">
      <t>エンカクジュギョウ</t>
    </rPh>
    <rPh sb="191" eb="193">
      <t>タイオウ</t>
    </rPh>
    <rPh sb="196" eb="198">
      <t>コウギ</t>
    </rPh>
    <rPh sb="202" eb="204">
      <t>ジゼン</t>
    </rPh>
    <rPh sb="204" eb="206">
      <t>シチョウ</t>
    </rPh>
    <rPh sb="214" eb="216">
      <t>カイセツ</t>
    </rPh>
    <rPh sb="217" eb="219">
      <t>シツギ</t>
    </rPh>
    <rPh sb="219" eb="221">
      <t>オウトウ</t>
    </rPh>
    <rPh sb="222" eb="224">
      <t>マイカイ</t>
    </rPh>
    <rPh sb="225" eb="227">
      <t>カダイ</t>
    </rPh>
    <rPh sb="228" eb="231">
      <t>マンゾクド</t>
    </rPh>
    <rPh sb="237" eb="238">
      <t>ア</t>
    </rPh>
    <rPh sb="254" eb="256">
      <t>カダイ</t>
    </rPh>
    <rPh sb="256" eb="257">
      <t>トウ</t>
    </rPh>
    <rPh sb="258" eb="260">
      <t>テイシュツ</t>
    </rPh>
    <rPh sb="261" eb="265">
      <t>コウベダイガク</t>
    </rPh>
    <rPh sb="270" eb="272">
      <t>ガクシュウ</t>
    </rPh>
    <rPh sb="272" eb="274">
      <t>シエン</t>
    </rPh>
    <rPh sb="292" eb="294">
      <t>ジッシ</t>
    </rPh>
    <rPh sb="302" eb="304">
      <t>レイワ</t>
    </rPh>
    <rPh sb="305" eb="307">
      <t>ネンド</t>
    </rPh>
    <rPh sb="309" eb="311">
      <t>リシュウ</t>
    </rPh>
    <rPh sb="311" eb="313">
      <t>テイイン</t>
    </rPh>
    <rPh sb="317" eb="318">
      <t>メイ</t>
    </rPh>
    <rPh sb="322" eb="324">
      <t>レイワ</t>
    </rPh>
    <rPh sb="325" eb="327">
      <t>ネンド</t>
    </rPh>
    <rPh sb="329" eb="331">
      <t>ガクセイ</t>
    </rPh>
    <rPh sb="337" eb="338">
      <t>ウ</t>
    </rPh>
    <rPh sb="340" eb="342">
      <t>ナイヨウ</t>
    </rPh>
    <rPh sb="343" eb="345">
      <t>ジュウジツ</t>
    </rPh>
    <rPh sb="350" eb="352">
      <t>レイワ</t>
    </rPh>
    <rPh sb="353" eb="355">
      <t>ネンド</t>
    </rPh>
    <rPh sb="358" eb="360">
      <t>スウリ</t>
    </rPh>
    <rPh sb="372" eb="374">
      <t>キョウイク</t>
    </rPh>
    <rPh sb="400" eb="402">
      <t>ジュンキョ</t>
    </rPh>
    <rPh sb="430" eb="432">
      <t>カイコウ</t>
    </rPh>
    <rPh sb="434" eb="435">
      <t>ゼン</t>
    </rPh>
    <rPh sb="435" eb="438">
      <t>シンニュウセイ</t>
    </rPh>
    <rPh sb="439" eb="441">
      <t>リシュウ</t>
    </rPh>
    <rPh sb="444" eb="446">
      <t>タイセイ</t>
    </rPh>
    <rPh sb="464" eb="466">
      <t>カモク</t>
    </rPh>
    <rPh sb="467" eb="471">
      <t>ジュンビカモク</t>
    </rPh>
    <rPh sb="501" eb="504">
      <t>ゼンガクム</t>
    </rPh>
    <rPh sb="506" eb="508">
      <t>カイコウ</t>
    </rPh>
    <rPh sb="513" eb="515">
      <t>ジュギョウ</t>
    </rPh>
    <rPh sb="529" eb="531">
      <t>ヘイヨウ</t>
    </rPh>
    <rPh sb="539" eb="540">
      <t>ガタ</t>
    </rPh>
    <rPh sb="541" eb="542">
      <t>オコナ</t>
    </rPh>
    <rPh sb="544" eb="546">
      <t>マイカイ</t>
    </rPh>
    <rPh sb="547" eb="549">
      <t>カクニン</t>
    </rPh>
    <rPh sb="549" eb="550">
      <t>ショウ</t>
    </rPh>
    <rPh sb="554" eb="556">
      <t>カダイ</t>
    </rPh>
    <rPh sb="568" eb="570">
      <t>ジッシ</t>
    </rPh>
    <rPh sb="572" eb="574">
      <t>ガクセイ</t>
    </rPh>
    <rPh sb="575" eb="578">
      <t>リカイド</t>
    </rPh>
    <rPh sb="579" eb="582">
      <t>マンゾクド</t>
    </rPh>
    <rPh sb="583" eb="585">
      <t>ハアク</t>
    </rPh>
    <rPh sb="586" eb="588">
      <t>ジュギョウ</t>
    </rPh>
    <rPh sb="589" eb="591">
      <t>ナイヨウ</t>
    </rPh>
    <rPh sb="592" eb="593">
      <t>シツ</t>
    </rPh>
    <rPh sb="594" eb="596">
      <t>コウジョウ</t>
    </rPh>
    <rPh sb="597" eb="598">
      <t>ハカ</t>
    </rPh>
    <rPh sb="604" eb="607">
      <t>ジュコウセイ</t>
    </rPh>
    <rPh sb="608" eb="610">
      <t>ガクシュウ</t>
    </rPh>
    <rPh sb="611" eb="612">
      <t>タス</t>
    </rPh>
    <rPh sb="617" eb="619">
      <t>レイワ</t>
    </rPh>
    <phoneticPr fontId="1"/>
  </si>
  <si>
    <t>データサイエンス入門Aやデータサイエンス概論Aなどのデータサイエンス科目について、履修した学生にインタビューを行い、後輩へ進めるかどうかという質問を行ったが、全員是非勧めたいとの事であった。この結果は数理・データサイエンスセンターの2021年度のパンフレットに掲載予定である。</t>
    <rPh sb="8" eb="10">
      <t>ニュウモン</t>
    </rPh>
    <rPh sb="20" eb="22">
      <t>ガイロン</t>
    </rPh>
    <rPh sb="34" eb="36">
      <t>カモク</t>
    </rPh>
    <rPh sb="41" eb="43">
      <t>リシュウ</t>
    </rPh>
    <rPh sb="45" eb="47">
      <t>ガクセイ</t>
    </rPh>
    <rPh sb="55" eb="56">
      <t>オコナ</t>
    </rPh>
    <rPh sb="58" eb="60">
      <t>コウハイ</t>
    </rPh>
    <rPh sb="61" eb="62">
      <t>スス</t>
    </rPh>
    <rPh sb="71" eb="73">
      <t>シツモン</t>
    </rPh>
    <rPh sb="74" eb="75">
      <t>オコナ</t>
    </rPh>
    <rPh sb="79" eb="81">
      <t>ゼンイン</t>
    </rPh>
    <rPh sb="81" eb="83">
      <t>ゼヒ</t>
    </rPh>
    <rPh sb="83" eb="84">
      <t>スス</t>
    </rPh>
    <rPh sb="89" eb="90">
      <t>コト</t>
    </rPh>
    <rPh sb="97" eb="99">
      <t>ケッカ</t>
    </rPh>
    <rPh sb="100" eb="102">
      <t>スウリ</t>
    </rPh>
    <rPh sb="120" eb="122">
      <t>ネンド</t>
    </rPh>
    <rPh sb="130" eb="132">
      <t>ケイサイ</t>
    </rPh>
    <rPh sb="132" eb="134">
      <t>ヨテイ</t>
    </rPh>
    <phoneticPr fontId="1"/>
  </si>
  <si>
    <t>近年、インターネットの発展やコンピュータの能力の著しい向上により、ビッグデータや人工知能技術の活用が可能となり、様々な分野でデータサイエンスが活用されている。この講義ではデータサイエンスの入門として、データサイエンスの基礎と、その応用事例、社会との関わり、価値の創造についてを学ぶ。　　　　　　　　　　　　　　　
社会で活用されている様々なデータについて学び、データをどのように収集しAI技術を活用しているかを学ぶ。特に、先端研究・ビジネス・医療・社会活動・農業等へのデータ・AI活用の事例を学び、理解を深める。</t>
    <rPh sb="167" eb="169">
      <t>サマザマ</t>
    </rPh>
    <rPh sb="177" eb="178">
      <t>マナ</t>
    </rPh>
    <rPh sb="189" eb="191">
      <t>シュウシュウ</t>
    </rPh>
    <rPh sb="194" eb="196">
      <t>ギジュツ</t>
    </rPh>
    <rPh sb="197" eb="199">
      <t>カツヨウ</t>
    </rPh>
    <rPh sb="205" eb="206">
      <t>マナ</t>
    </rPh>
    <rPh sb="208" eb="209">
      <t>トク</t>
    </rPh>
    <rPh sb="211" eb="213">
      <t>センタン</t>
    </rPh>
    <rPh sb="213" eb="215">
      <t>ケンキュウ</t>
    </rPh>
    <rPh sb="221" eb="223">
      <t>イリョウ</t>
    </rPh>
    <rPh sb="224" eb="228">
      <t>シャカイカツドウ</t>
    </rPh>
    <rPh sb="229" eb="231">
      <t>ノウギョウ</t>
    </rPh>
    <rPh sb="231" eb="232">
      <t>トウ</t>
    </rPh>
    <rPh sb="240" eb="242">
      <t>カツヨウ</t>
    </rPh>
    <rPh sb="243" eb="245">
      <t>ジレイ</t>
    </rPh>
    <rPh sb="246" eb="247">
      <t>マナ</t>
    </rPh>
    <rPh sb="249" eb="251">
      <t>リカイ</t>
    </rPh>
    <rPh sb="252" eb="253">
      <t>フカ</t>
    </rPh>
    <phoneticPr fontId="1"/>
  </si>
  <si>
    <t xml:space="preserve">近年、インターネットの発展やコンピュータの能力の著しい向上により、ビッグデータや人工知能技術の活用が可能となり、様々な分野でデータサイエンス・AIが活用されている。この講義ではデータサイエンスの入門として、データサイエンスの基礎と、その応用事例、社会との関わり、価値の創造について学ぶ。データと科学の関係、科学の発展と産業革命の関係などを振り返り、現在の第4次産業革命の背景や、国内外の動向を概観しながら、数理・データサイエンス・AI教育の意義についても議論する。
また、人工知能技術の歴史と概略を知り、現在の最先端技術の研究、ビジネスなど様々な分野への応用事例を学ぶ。　　　　　　　　　　　　　　　　　　　　　　　　　　　　　　　　　　　　　　　　                  </t>
    <rPh sb="147" eb="149">
      <t>カガク</t>
    </rPh>
    <rPh sb="150" eb="152">
      <t>カンケイ</t>
    </rPh>
    <rPh sb="153" eb="155">
      <t>カガク</t>
    </rPh>
    <rPh sb="156" eb="158">
      <t>ハッテン</t>
    </rPh>
    <rPh sb="159" eb="163">
      <t>サンギョウカクメイ</t>
    </rPh>
    <rPh sb="164" eb="166">
      <t>カンケイ</t>
    </rPh>
    <rPh sb="169" eb="170">
      <t>フ</t>
    </rPh>
    <rPh sb="171" eb="172">
      <t>カエ</t>
    </rPh>
    <rPh sb="174" eb="176">
      <t>ゲンザイ</t>
    </rPh>
    <rPh sb="177" eb="178">
      <t>ダイ</t>
    </rPh>
    <rPh sb="179" eb="180">
      <t>ジ</t>
    </rPh>
    <rPh sb="180" eb="184">
      <t>サンギョウカクメイ</t>
    </rPh>
    <rPh sb="185" eb="187">
      <t>ハイケイ</t>
    </rPh>
    <rPh sb="189" eb="192">
      <t>コクナイガイ</t>
    </rPh>
    <rPh sb="193" eb="195">
      <t>ドウコウ</t>
    </rPh>
    <rPh sb="196" eb="198">
      <t>ガイカン</t>
    </rPh>
    <rPh sb="203" eb="205">
      <t>スウリ</t>
    </rPh>
    <rPh sb="217" eb="219">
      <t>キョウイク</t>
    </rPh>
    <rPh sb="220" eb="222">
      <t>イギ</t>
    </rPh>
    <rPh sb="227" eb="229">
      <t>ギロン</t>
    </rPh>
    <rPh sb="236" eb="238">
      <t>ジンコウ</t>
    </rPh>
    <rPh sb="238" eb="240">
      <t>チノウ</t>
    </rPh>
    <rPh sb="240" eb="242">
      <t>ギジュツ</t>
    </rPh>
    <rPh sb="243" eb="245">
      <t>レキシ</t>
    </rPh>
    <rPh sb="246" eb="248">
      <t>ガイリャク</t>
    </rPh>
    <rPh sb="249" eb="250">
      <t>シ</t>
    </rPh>
    <rPh sb="252" eb="254">
      <t>ゲンザイ</t>
    </rPh>
    <rPh sb="255" eb="258">
      <t>サイセンタン</t>
    </rPh>
    <rPh sb="258" eb="260">
      <t>ギジュツ</t>
    </rPh>
    <rPh sb="261" eb="263">
      <t>ケンキュウ</t>
    </rPh>
    <rPh sb="270" eb="272">
      <t>サマザマ</t>
    </rPh>
    <rPh sb="273" eb="275">
      <t>ブンヤ</t>
    </rPh>
    <rPh sb="277" eb="279">
      <t>オウヨウ</t>
    </rPh>
    <rPh sb="279" eb="281">
      <t>ジレイ</t>
    </rPh>
    <rPh sb="282" eb="283">
      <t>マナ</t>
    </rPh>
    <phoneticPr fontId="1"/>
  </si>
  <si>
    <t>http://www.cmds.kobe-u.ac.jp/overview/annual.html</t>
    <phoneticPr fontId="1"/>
  </si>
  <si>
    <t>有</t>
  </si>
  <si>
    <t>社会における様々な分野において、データを加工・分析し、見える化し、説明し、それから新たな知見を得たり、意思を決定する事が必要である。
データサイエンス入門Aでは、データの取り扱いにおいて統計的データ解析の基礎を学ぶ。データサイエンス概論Aにおいては、データ解析の基本的手法を学び、実データを用いて解析する。また、実データおよび課題を用いた機械学習の解説を行う。</t>
    <rPh sb="177" eb="178">
      <t>オコナ</t>
    </rPh>
    <phoneticPr fontId="1"/>
  </si>
  <si>
    <t>本教育プログラムでは、必修科目3科目（3単位)の取得を修了要件としている。これらの科目は、全学共通授業科目として開講されており、全学部の学生全員が受講可能である。
「データサイエンス入門A」、「データサイエンス概論A」においては、遠隔授業での開講により、履修定員を500名に増やしている。また「情報基礎」については、大学の履修要件において全学部学生の必修科目となっている。</t>
    <rPh sb="0" eb="1">
      <t>ホン</t>
    </rPh>
    <rPh sb="1" eb="3">
      <t>キョウイク</t>
    </rPh>
    <rPh sb="16" eb="18">
      <t>カモク</t>
    </rPh>
    <rPh sb="27" eb="29">
      <t>シュウリョウ</t>
    </rPh>
    <rPh sb="29" eb="31">
      <t>ヨウケン</t>
    </rPh>
    <rPh sb="41" eb="43">
      <t>カモク</t>
    </rPh>
    <rPh sb="45" eb="47">
      <t>ゼンガク</t>
    </rPh>
    <rPh sb="47" eb="51">
      <t>キョウツウジュギョウ</t>
    </rPh>
    <rPh sb="51" eb="53">
      <t>カモク</t>
    </rPh>
    <rPh sb="56" eb="58">
      <t>カイコウ</t>
    </rPh>
    <rPh sb="64" eb="66">
      <t>ゼンガク</t>
    </rPh>
    <rPh sb="66" eb="67">
      <t>ブ</t>
    </rPh>
    <rPh sb="68" eb="70">
      <t>ガクセイ</t>
    </rPh>
    <rPh sb="70" eb="72">
      <t>ゼンイン</t>
    </rPh>
    <rPh sb="73" eb="75">
      <t>ジュコウ</t>
    </rPh>
    <rPh sb="75" eb="77">
      <t>カノウ</t>
    </rPh>
    <rPh sb="105" eb="107">
      <t>ガイロン</t>
    </rPh>
    <rPh sb="115" eb="117">
      <t>エンカク</t>
    </rPh>
    <rPh sb="117" eb="119">
      <t>ジュギョウ</t>
    </rPh>
    <rPh sb="121" eb="123">
      <t>カイコウ</t>
    </rPh>
    <rPh sb="127" eb="131">
      <t>リシュウテイイン</t>
    </rPh>
    <rPh sb="135" eb="136">
      <t>メイ</t>
    </rPh>
    <rPh sb="137" eb="138">
      <t>フ</t>
    </rPh>
    <rPh sb="147" eb="149">
      <t>ジョウホウ</t>
    </rPh>
    <rPh sb="149" eb="151">
      <t>キソ</t>
    </rPh>
    <rPh sb="158" eb="160">
      <t>ダイガク</t>
    </rPh>
    <rPh sb="161" eb="165">
      <t>リシュウヨウケン</t>
    </rPh>
    <rPh sb="169" eb="171">
      <t>ゼンガク</t>
    </rPh>
    <rPh sb="171" eb="172">
      <t>ブ</t>
    </rPh>
    <rPh sb="172" eb="174">
      <t>ガクセイ</t>
    </rPh>
    <rPh sb="175" eb="177">
      <t>ヒッシュウ</t>
    </rPh>
    <rPh sb="177" eb="179">
      <t>カモク</t>
    </rPh>
    <phoneticPr fontId="1"/>
  </si>
  <si>
    <t xml:space="preserve">本プログラムの必修科目のうち、「情報基礎」は、大学の履修要件において全学部生の必修科目であるため、全学部生が履修を行う。また、「データサイエンス入門A」、「データサイエンス概論A」においては、遠隔授業での開講により、履修定員を500名に増やしてより多くの学生が履修できるようにしている。これらの授業においては、講義ビデオの事前視聴、Zoomによる解説・質疑応答を行い、毎回の課題と満足度アンケートを合わせたコミュニケーションシート、課題等の提出を行っている。これにより、学生の理解度・満足度を把握し、授業の内容と質へフィードバックを行っている。
</t>
    <rPh sb="0" eb="1">
      <t>ホン</t>
    </rPh>
    <rPh sb="7" eb="9">
      <t>ヒッシュウ</t>
    </rPh>
    <rPh sb="9" eb="11">
      <t>カモク</t>
    </rPh>
    <rPh sb="16" eb="18">
      <t>ジョウホウ</t>
    </rPh>
    <rPh sb="18" eb="20">
      <t>キソ</t>
    </rPh>
    <rPh sb="23" eb="25">
      <t>ダイガク</t>
    </rPh>
    <rPh sb="26" eb="28">
      <t>リシュウ</t>
    </rPh>
    <rPh sb="28" eb="30">
      <t>ヨウケン</t>
    </rPh>
    <rPh sb="34" eb="36">
      <t>ゼンガク</t>
    </rPh>
    <rPh sb="36" eb="37">
      <t>ブ</t>
    </rPh>
    <rPh sb="37" eb="38">
      <t>セイ</t>
    </rPh>
    <rPh sb="39" eb="41">
      <t>ヒッシュウ</t>
    </rPh>
    <rPh sb="41" eb="43">
      <t>カモク</t>
    </rPh>
    <rPh sb="49" eb="52">
      <t>ゼンガクブ</t>
    </rPh>
    <rPh sb="52" eb="53">
      <t>セイ</t>
    </rPh>
    <rPh sb="54" eb="56">
      <t>リシュウ</t>
    </rPh>
    <rPh sb="57" eb="58">
      <t>オコナ</t>
    </rPh>
    <rPh sb="124" eb="125">
      <t>オオ</t>
    </rPh>
    <rPh sb="127" eb="129">
      <t>ガクセイ</t>
    </rPh>
    <rPh sb="130" eb="132">
      <t>リシュウ</t>
    </rPh>
    <rPh sb="147" eb="149">
      <t>ジュギョウ</t>
    </rPh>
    <rPh sb="181" eb="182">
      <t>オコナ</t>
    </rPh>
    <rPh sb="223" eb="224">
      <t>オコナ</t>
    </rPh>
    <phoneticPr fontId="1"/>
  </si>
  <si>
    <t xml:space="preserve">本学においては、神戸大学オンライン学修支援システム（LMS　BEEF）を活用しており、授業時間外においても質問を受付している。本プログラムの必修科目である「データサイエンス入門A」、「データサイエンス概論A」においても、BEEFを使用することで授業時間外においても質問を受付している。また、授業では、Zoomによる解説・質疑応答を行い、毎回の課題と満足度アンケートを合わせたコミュニケーションシートの提出を行うことで、学生の理解を深め、質問の受付の機会を増やしている。
</t>
    <phoneticPr fontId="1"/>
  </si>
  <si>
    <t>毎回の講義後に授業の満足度調査を行うとともに、確認テストにおいて内容の理解度を調査しているが、理解度は高い。</t>
    <phoneticPr fontId="1"/>
  </si>
  <si>
    <t>「データサイエンス入門Ａ」については、毎回コミュニケーションシートをＷｅｂ上のＬＭＳ BEEFにて提出させている。そこで、毎回の講義の満足度のアンケートを行っているが、5点満点で平均して4.5以上の結果を得、授業の満足度は高い。また、最終レポートと確認小テストを行っているが理解度も高い。
「データサイエンス概論A」についても、毎回毎回コミュニケーションシートをＷｅｂ上のＬＭＳ BEEFにて提出させている。毎回のアンケートでの満足度は、2019年度は平均3.94であったが、2020年度は4.31に向上している。最終レポートと確認小テストを行っているが理解度も高い。</t>
    <rPh sb="154" eb="156">
      <t>ガイロン</t>
    </rPh>
    <rPh sb="164" eb="166">
      <t>マイカイ</t>
    </rPh>
    <rPh sb="204" eb="206">
      <t>マイカイ</t>
    </rPh>
    <rPh sb="214" eb="217">
      <t>マンゾクド</t>
    </rPh>
    <rPh sb="223" eb="225">
      <t>ネンド</t>
    </rPh>
    <rPh sb="226" eb="228">
      <t>ヘイキン</t>
    </rPh>
    <rPh sb="242" eb="244">
      <t>ネンド</t>
    </rPh>
    <rPh sb="250" eb="252">
      <t>コウジョウ</t>
    </rPh>
    <rPh sb="257" eb="259">
      <t>サイシュウ</t>
    </rPh>
    <rPh sb="264" eb="266">
      <t>カクニン</t>
    </rPh>
    <rPh sb="266" eb="267">
      <t>ショウ</t>
    </rPh>
    <rPh sb="271" eb="272">
      <t>オコナ</t>
    </rPh>
    <rPh sb="277" eb="280">
      <t>リカイド</t>
    </rPh>
    <rPh sb="281" eb="282">
      <t>タカ</t>
    </rPh>
    <phoneticPr fontId="1"/>
  </si>
  <si>
    <t>神戸大学数理・データサイエンス・AI教育プログラムの中心となる科目「データサイエンス入門A」は、
平成30年度（2018年度）に開講された。また、「データサイエンス概論A」は、令和元年度（2019年度）に開講された。
「データサイエンス入門A」を履修した者を本プログラムの履修者数とし、履修状況,　修了状況は様式３にある様に
2018年　履修者数　168名　修了者数　32名（2020年度時点）
2019年　履修者数　288名　修了者数　49名（2020年度時点）
2020年　履修者数　384名　修了者数　　9名（2020年度時点）
である。
2020年から、データサイエンス入門Ａ，データサイエンス概論Ａの履修定員を500名に増やし、オンライン講義としたことで徐々に履修者が増えている。</t>
    <rPh sb="82" eb="84">
      <t>ガイロン</t>
    </rPh>
    <rPh sb="88" eb="90">
      <t>レイワ</t>
    </rPh>
    <rPh sb="90" eb="92">
      <t>ガンネン</t>
    </rPh>
    <rPh sb="92" eb="93">
      <t>ド</t>
    </rPh>
    <rPh sb="98" eb="100">
      <t>ネンド</t>
    </rPh>
    <rPh sb="102" eb="104">
      <t>カイコウ</t>
    </rPh>
    <rPh sb="123" eb="125">
      <t>リシュウ</t>
    </rPh>
    <rPh sb="127" eb="128">
      <t>モノ</t>
    </rPh>
    <rPh sb="129" eb="130">
      <t>ホン</t>
    </rPh>
    <rPh sb="136" eb="140">
      <t>リシュウシャスウ</t>
    </rPh>
    <rPh sb="151" eb="153">
      <t>ジョウキョウ</t>
    </rPh>
    <phoneticPr fontId="1"/>
  </si>
  <si>
    <r>
      <t>プログラムを構成する必修科目（3単位）の取得を修了要件とする。　　　　　　　　　　　　　　　　　　　　　　　　　　　　　　　　　　　　　【</t>
    </r>
    <r>
      <rPr>
        <b/>
        <sz val="11"/>
        <rFont val="ＭＳ Ｐゴシック"/>
        <family val="3"/>
        <charset val="128"/>
        <scheme val="minor"/>
      </rPr>
      <t>必修科目</t>
    </r>
    <r>
      <rPr>
        <sz val="11"/>
        <rFont val="ＭＳ Ｐゴシック"/>
        <family val="3"/>
        <charset val="128"/>
        <scheme val="minor"/>
      </rPr>
      <t>】　
　① 情報基礎（1単位）（全学共通科目、情報科目）
　② データサイエンス入門A（1単位）（全学共通科目・総合教養科目）　　　　　　　　　　　　　　　　　
　③ データサイエンス概論A（1単位）（全学共通科目・総合教養科目）</t>
    </r>
    <rPh sb="6" eb="8">
      <t>コウセイ</t>
    </rPh>
    <rPh sb="10" eb="12">
      <t>ヒッシュウ</t>
    </rPh>
    <rPh sb="12" eb="14">
      <t>カモク</t>
    </rPh>
    <rPh sb="16" eb="18">
      <t>タンイ</t>
    </rPh>
    <rPh sb="20" eb="22">
      <t>シュトク</t>
    </rPh>
    <rPh sb="23" eb="25">
      <t>シュウリョウ</t>
    </rPh>
    <rPh sb="25" eb="27">
      <t>ヨウケン</t>
    </rPh>
    <rPh sb="69" eb="71">
      <t>ヒッシュウ</t>
    </rPh>
    <rPh sb="71" eb="73">
      <t>カモク</t>
    </rPh>
    <rPh sb="79" eb="83">
      <t>ジョウホウキソ</t>
    </rPh>
    <rPh sb="85" eb="87">
      <t>タンイ</t>
    </rPh>
    <rPh sb="89" eb="91">
      <t>ゼンガク</t>
    </rPh>
    <rPh sb="91" eb="95">
      <t>キョウツウカモク</t>
    </rPh>
    <rPh sb="96" eb="98">
      <t>ジョウホウ</t>
    </rPh>
    <rPh sb="98" eb="100">
      <t>カモク</t>
    </rPh>
    <rPh sb="113" eb="115">
      <t>ニュウモン</t>
    </rPh>
    <rPh sb="118" eb="120">
      <t>タンイ</t>
    </rPh>
    <rPh sb="122" eb="124">
      <t>ゼンガク</t>
    </rPh>
    <rPh sb="124" eb="128">
      <t>キョウツウカモク</t>
    </rPh>
    <rPh sb="129" eb="131">
      <t>ソウゴウ</t>
    </rPh>
    <rPh sb="131" eb="133">
      <t>キョウヨウ</t>
    </rPh>
    <rPh sb="133" eb="135">
      <t>カモク</t>
    </rPh>
    <rPh sb="165" eb="167">
      <t>ガイロン</t>
    </rPh>
    <phoneticPr fontId="1"/>
  </si>
  <si>
    <t>近年、インターネットの発展やコンピュータの能力の著しい向上により、ビッグデータや人工知能技術の活用が可能となり、様々な分野でデータサイエンスが活用されている。この講義ではデータサイエンスの入門として、データサイエンスの基礎と、その応用事例、社会との関わり、価値の創造についてを学ぶ。
機械学習、深層学習、ニューラルネット、センサー技術、統計物理学の基礎理論、顔認証技術、大規模予測、最適化、意思決定システム、AI間交渉などの最新の技術の説明と、それをどのように先端研究、防災・減災、都市環境分野、医療、マーケテング、自動運転、先端農業へ応用しているか実例を通じて学ぶ。</t>
    <rPh sb="165" eb="167">
      <t>ギジュツ</t>
    </rPh>
    <rPh sb="168" eb="173">
      <t>トウケイブツリガク</t>
    </rPh>
    <rPh sb="174" eb="176">
      <t>キソ</t>
    </rPh>
    <rPh sb="176" eb="178">
      <t>リロン</t>
    </rPh>
    <rPh sb="179" eb="182">
      <t>カオニンショウ</t>
    </rPh>
    <rPh sb="182" eb="184">
      <t>ギジュツ</t>
    </rPh>
    <rPh sb="185" eb="190">
      <t>ダイキボヨソク</t>
    </rPh>
    <rPh sb="191" eb="194">
      <t>サイテキカ</t>
    </rPh>
    <rPh sb="197" eb="199">
      <t>ケッテイ</t>
    </rPh>
    <rPh sb="206" eb="209">
      <t>カンコウショウ</t>
    </rPh>
    <rPh sb="212" eb="214">
      <t>サイシン</t>
    </rPh>
    <rPh sb="215" eb="217">
      <t>ギジュツ</t>
    </rPh>
    <rPh sb="218" eb="220">
      <t>セツメイ</t>
    </rPh>
    <rPh sb="230" eb="232">
      <t>センタン</t>
    </rPh>
    <rPh sb="232" eb="234">
      <t>ケンキュウ</t>
    </rPh>
    <rPh sb="235" eb="237">
      <t>ボウサイ</t>
    </rPh>
    <rPh sb="238" eb="239">
      <t>ゲン</t>
    </rPh>
    <rPh sb="248" eb="250">
      <t>イリョウ</t>
    </rPh>
    <rPh sb="258" eb="260">
      <t>ジドウ</t>
    </rPh>
    <rPh sb="260" eb="262">
      <t>ウンテン</t>
    </rPh>
    <rPh sb="263" eb="265">
      <t>センタン</t>
    </rPh>
    <rPh sb="265" eb="267">
      <t>ノウギョウ</t>
    </rPh>
    <rPh sb="268" eb="270">
      <t>オウヨウ</t>
    </rPh>
    <rPh sb="275" eb="277">
      <t>ジツレイ</t>
    </rPh>
    <rPh sb="278" eb="279">
      <t>ツウ</t>
    </rPh>
    <rPh sb="281" eb="282">
      <t>マナ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</si>
</sst>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name val="ＭＳ Ｐゴシック"/>
      <family val="3"/>
      <charset val="128"/>
      <scheme val="minor"/>
    </font>
    <font>
      <u/>
      <sz val="11"/>
      <color theme="1"/>
      <name val="ＭＳ Ｐゴシック"/>
      <family val="3"/>
      <charset val="128"/>
      <scheme val="minor"/>
    </font>
    <font>
      <b/>
      <sz val="11"/>
      <name val="ＭＳ Ｐゴシック"/>
      <family val="3"/>
      <charset val="128"/>
      <scheme val="minor"/>
    </font>
  </fonts>
  <fills count="2">
    <fill>
      <patternFill patternType="none"/>
    </fill>
    <fill>
      <patternFill patternType="gray125"/>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indexed="64"/>
      </left>
      <right style="hair">
        <color auto="1"/>
      </right>
      <top style="thin">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99">
    <xf numFmtId="0" fontId="0" fillId="0" borderId="0" xfId="0">
      <alignment vertical="center"/>
    </xf>
    <xf numFmtId="0" fontId="2"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5" xfId="0" applyFont="1" applyBorder="1">
      <alignment vertical="center"/>
    </xf>
    <xf numFmtId="0" fontId="4" fillId="0" borderId="0" xfId="0" applyFont="1" applyBorder="1" applyAlignment="1">
      <alignment vertical="top" wrapText="1"/>
    </xf>
    <xf numFmtId="0" fontId="3" fillId="0" borderId="0" xfId="0" applyFont="1">
      <alignment vertical="center"/>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10" fillId="0" borderId="0" xfId="0" applyFont="1">
      <alignment vertical="center"/>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5"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2" fillId="0" borderId="2" xfId="0" applyFont="1" applyBorder="1" applyAlignment="1">
      <alignment vertical="center" shrinkToFit="1"/>
    </xf>
    <xf numFmtId="0" fontId="15" fillId="0" borderId="0" xfId="0" applyFont="1" applyBorder="1" applyAlignment="1">
      <alignment vertical="center" shrinkToFit="1"/>
    </xf>
    <xf numFmtId="0" fontId="15"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6" fillId="0" borderId="0" xfId="2" applyNumberFormat="1" applyFont="1" applyBorder="1" applyAlignment="1">
      <alignment vertical="center" shrinkToFit="1"/>
    </xf>
    <xf numFmtId="0" fontId="3" fillId="0" borderId="0" xfId="0" applyFont="1" applyAlignment="1">
      <alignment vertical="center" shrinkToFit="1"/>
    </xf>
    <xf numFmtId="0" fontId="17"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2" fillId="0" borderId="2" xfId="0" applyFont="1" applyBorder="1" applyAlignment="1">
      <alignment vertical="center" shrinkToFit="1"/>
    </xf>
    <xf numFmtId="0" fontId="2" fillId="0" borderId="2" xfId="0" applyFont="1" applyBorder="1" applyAlignment="1">
      <alignment vertical="center" shrinkToFit="1"/>
    </xf>
    <xf numFmtId="0" fontId="2" fillId="0" borderId="2" xfId="0" applyFont="1" applyBorder="1" applyAlignment="1">
      <alignment vertical="center" shrinkToFit="1"/>
    </xf>
    <xf numFmtId="0" fontId="2" fillId="0" borderId="2" xfId="0" applyFont="1" applyBorder="1" applyAlignment="1">
      <alignment vertical="center" shrinkToFit="1"/>
    </xf>
    <xf numFmtId="0" fontId="9" fillId="0" borderId="2" xfId="0" applyFont="1" applyBorder="1" applyAlignment="1">
      <alignment vertical="center" shrinkToFit="1"/>
    </xf>
    <xf numFmtId="0" fontId="5" fillId="0" borderId="0" xfId="0" applyFont="1" applyAlignment="1">
      <alignment vertical="top" wrapText="1"/>
    </xf>
    <xf numFmtId="0" fontId="18" fillId="0" borderId="0" xfId="0" applyFont="1">
      <alignment vertical="center"/>
    </xf>
    <xf numFmtId="0" fontId="18" fillId="0" borderId="0" xfId="0" applyFont="1" applyAlignment="1">
      <alignment horizontal="center" vertical="center"/>
    </xf>
    <xf numFmtId="0" fontId="3" fillId="0" borderId="6" xfId="0" applyFont="1" applyBorder="1" applyAlignment="1">
      <alignment vertical="center" shrinkToFit="1"/>
    </xf>
    <xf numFmtId="0" fontId="5" fillId="0" borderId="21" xfId="0" applyFont="1" applyBorder="1" applyAlignment="1">
      <alignment vertical="top" shrinkToFit="1"/>
    </xf>
    <xf numFmtId="0" fontId="5" fillId="0" borderId="19" xfId="0" applyFont="1" applyBorder="1" applyAlignment="1">
      <alignment vertical="top" shrinkToFit="1"/>
    </xf>
    <xf numFmtId="0" fontId="3" fillId="0" borderId="0" xfId="0" applyFont="1" applyAlignment="1">
      <alignment horizontal="left" vertical="center"/>
    </xf>
    <xf numFmtId="0" fontId="3" fillId="0" borderId="0" xfId="0" applyFont="1" applyBorder="1" applyAlignment="1">
      <alignment vertical="center"/>
    </xf>
    <xf numFmtId="0" fontId="3" fillId="0" borderId="10" xfId="0" applyFont="1" applyBorder="1" applyAlignment="1">
      <alignment vertical="center"/>
    </xf>
    <xf numFmtId="0" fontId="3" fillId="0" borderId="10" xfId="0" applyFont="1" applyBorder="1" applyAlignment="1">
      <alignment vertical="center" shrinkToFit="1"/>
    </xf>
    <xf numFmtId="0" fontId="3" fillId="0" borderId="0" xfId="0" applyFont="1" applyBorder="1">
      <alignment vertical="center"/>
    </xf>
    <xf numFmtId="176" fontId="3" fillId="0" borderId="0" xfId="0" applyNumberFormat="1" applyFont="1" applyAlignment="1">
      <alignment horizontal="left" vertical="center" wrapTex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0" xfId="0" applyFont="1" applyFill="1" applyAlignment="1">
      <alignment vertical="center"/>
    </xf>
    <xf numFmtId="0" fontId="3" fillId="0" borderId="0" xfId="0" applyFont="1" applyFill="1" applyAlignment="1">
      <alignment horizontal="left" vertical="center"/>
    </xf>
    <xf numFmtId="0" fontId="3" fillId="0" borderId="0" xfId="0" applyFont="1" applyFill="1" applyBorder="1" applyAlignment="1">
      <alignment vertical="center" shrinkToFit="1"/>
    </xf>
    <xf numFmtId="0" fontId="3" fillId="0" borderId="10" xfId="0" applyFont="1" applyFill="1" applyBorder="1" applyAlignment="1">
      <alignment vertical="center" shrinkToFit="1"/>
    </xf>
    <xf numFmtId="0" fontId="3" fillId="0" borderId="5" xfId="0" applyFont="1" applyFill="1" applyBorder="1">
      <alignment vertical="center"/>
    </xf>
    <xf numFmtId="176" fontId="3" fillId="0" borderId="0" xfId="0" applyNumberFormat="1" applyFont="1" applyFill="1" applyBorder="1" applyAlignment="1">
      <alignment vertical="center" wrapText="1"/>
    </xf>
    <xf numFmtId="0" fontId="3" fillId="0" borderId="0" xfId="0" applyFont="1" applyFill="1" applyBorder="1">
      <alignment vertical="center"/>
    </xf>
    <xf numFmtId="176" fontId="3" fillId="0" borderId="5" xfId="0" applyNumberFormat="1" applyFont="1" applyFill="1" applyBorder="1" applyAlignment="1">
      <alignment vertical="center"/>
    </xf>
    <xf numFmtId="176" fontId="3" fillId="0" borderId="0" xfId="0" applyNumberFormat="1" applyFont="1" applyFill="1" applyBorder="1">
      <alignment vertical="center"/>
    </xf>
    <xf numFmtId="0" fontId="3" fillId="0" borderId="0" xfId="0" applyFont="1" applyFill="1" applyBorder="1" applyAlignment="1">
      <alignment horizontal="center" vertical="center"/>
    </xf>
    <xf numFmtId="176" fontId="3" fillId="0" borderId="0" xfId="0" applyNumberFormat="1" applyFont="1" applyFill="1" applyAlignment="1">
      <alignment vertical="center" wrapText="1"/>
    </xf>
    <xf numFmtId="0" fontId="3" fillId="0" borderId="0" xfId="0" applyFont="1" applyFill="1" applyAlignment="1">
      <alignment horizontal="center" vertical="center"/>
    </xf>
    <xf numFmtId="176" fontId="3" fillId="0" borderId="3" xfId="0" applyNumberFormat="1" applyFont="1" applyFill="1" applyBorder="1" applyAlignment="1">
      <alignment vertical="center" shrinkToFit="1"/>
    </xf>
    <xf numFmtId="176" fontId="3" fillId="0" borderId="0" xfId="0" applyNumberFormat="1" applyFont="1" applyFill="1" applyAlignment="1">
      <alignment horizontal="left" vertical="center" wrapText="1"/>
    </xf>
    <xf numFmtId="0" fontId="3" fillId="0" borderId="6" xfId="0" applyFont="1" applyFill="1" applyBorder="1" applyAlignment="1">
      <alignment vertical="center" shrinkToFit="1"/>
    </xf>
    <xf numFmtId="0" fontId="2" fillId="0" borderId="0" xfId="0" applyFont="1" applyFill="1">
      <alignment vertical="center"/>
    </xf>
    <xf numFmtId="0" fontId="11" fillId="0" borderId="11" xfId="0" applyFont="1" applyFill="1" applyBorder="1" applyAlignment="1">
      <alignment horizontal="center" vertical="center"/>
    </xf>
    <xf numFmtId="0" fontId="11" fillId="0" borderId="31" xfId="0" applyFont="1" applyFill="1" applyBorder="1" applyAlignment="1">
      <alignment horizontal="center" vertical="center" wrapText="1"/>
    </xf>
    <xf numFmtId="0" fontId="11" fillId="0" borderId="32" xfId="0" applyFont="1" applyFill="1" applyBorder="1" applyAlignment="1">
      <alignment horizontal="center" vertical="center"/>
    </xf>
    <xf numFmtId="0" fontId="11" fillId="0" borderId="12" xfId="0" applyFont="1" applyFill="1" applyBorder="1" applyAlignment="1">
      <alignment horizontal="center" vertical="center" wrapText="1"/>
    </xf>
    <xf numFmtId="0" fontId="3" fillId="0" borderId="5" xfId="0" applyFont="1" applyFill="1" applyBorder="1" applyAlignment="1">
      <alignment vertical="center" shrinkToFit="1"/>
    </xf>
    <xf numFmtId="0" fontId="3" fillId="0" borderId="20" xfId="0"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25" xfId="0" applyNumberFormat="1" applyFont="1" applyFill="1" applyBorder="1" applyAlignment="1">
      <alignment vertical="center" shrinkToFit="1"/>
    </xf>
    <xf numFmtId="0" fontId="3" fillId="0" borderId="25" xfId="0" applyFont="1" applyFill="1" applyBorder="1" applyAlignment="1">
      <alignment vertical="center" shrinkToFit="1"/>
    </xf>
    <xf numFmtId="0" fontId="4" fillId="0" borderId="0" xfId="0" applyFont="1" applyFill="1">
      <alignment vertical="center"/>
    </xf>
    <xf numFmtId="0" fontId="2" fillId="0" borderId="0" xfId="0" applyFont="1" applyFill="1" applyAlignment="1">
      <alignment horizontal="right" vertical="center"/>
    </xf>
    <xf numFmtId="0" fontId="2" fillId="0" borderId="0" xfId="0" applyFont="1" applyFill="1" applyAlignment="1">
      <alignment horizontal="center" vertical="center"/>
    </xf>
    <xf numFmtId="0" fontId="2" fillId="0" borderId="0" xfId="0" applyFont="1" applyFill="1" applyBorder="1" applyAlignment="1">
      <alignment vertical="center"/>
    </xf>
    <xf numFmtId="0" fontId="3" fillId="0" borderId="0" xfId="0" applyFont="1" applyFill="1" applyBorder="1" applyAlignment="1">
      <alignment vertical="top" wrapText="1"/>
    </xf>
    <xf numFmtId="0" fontId="3" fillId="0" borderId="0" xfId="0" applyFont="1" applyFill="1" applyBorder="1" applyAlignment="1">
      <alignment vertical="center" wrapText="1"/>
    </xf>
    <xf numFmtId="0" fontId="2" fillId="0" borderId="0" xfId="0" applyFont="1" applyFill="1" applyBorder="1" applyAlignment="1">
      <alignment vertical="center" wrapText="1"/>
    </xf>
    <xf numFmtId="0" fontId="4" fillId="0" borderId="0" xfId="0" applyFont="1" applyFill="1" applyBorder="1" applyAlignment="1">
      <alignment vertical="top" shrinkToFit="1"/>
    </xf>
    <xf numFmtId="0" fontId="4" fillId="0" borderId="0" xfId="0" applyFont="1" applyFill="1" applyBorder="1" applyAlignment="1">
      <alignment vertical="center" wrapText="1"/>
    </xf>
    <xf numFmtId="0" fontId="10" fillId="0" borderId="2" xfId="0" applyFont="1" applyBorder="1" applyAlignment="1">
      <alignment horizontal="center" vertical="center" shrinkToFit="1"/>
    </xf>
    <xf numFmtId="0" fontId="10" fillId="0" borderId="1" xfId="0" applyFont="1" applyBorder="1" applyAlignment="1">
      <alignment vertical="center" wrapText="1"/>
    </xf>
    <xf numFmtId="9" fontId="3" fillId="0" borderId="25" xfId="0" applyNumberFormat="1" applyFont="1" applyFill="1" applyBorder="1" applyAlignment="1">
      <alignment vertical="center" shrinkToFit="1"/>
    </xf>
    <xf numFmtId="9" fontId="3" fillId="0" borderId="25" xfId="0" applyNumberFormat="1" applyFont="1" applyBorder="1" applyAlignment="1">
      <alignment vertical="center" shrinkToFit="1"/>
    </xf>
    <xf numFmtId="9" fontId="3" fillId="0" borderId="26" xfId="0" applyNumberFormat="1" applyFont="1" applyBorder="1" applyAlignment="1">
      <alignment vertical="center" shrinkToFit="1"/>
    </xf>
    <xf numFmtId="0" fontId="2" fillId="0" borderId="43" xfId="0" applyFont="1" applyFill="1" applyBorder="1">
      <alignment vertical="center"/>
    </xf>
    <xf numFmtId="0" fontId="2" fillId="0" borderId="36" xfId="0" applyFont="1" applyFill="1" applyBorder="1">
      <alignment vertical="center"/>
    </xf>
    <xf numFmtId="176" fontId="2" fillId="0" borderId="33" xfId="0" applyNumberFormat="1" applyFont="1" applyFill="1" applyBorder="1" applyAlignment="1">
      <alignment vertical="center" shrinkToFit="1"/>
    </xf>
    <xf numFmtId="176" fontId="2" fillId="0" borderId="34" xfId="0" applyNumberFormat="1" applyFont="1" applyFill="1" applyBorder="1" applyAlignment="1">
      <alignment vertical="center" shrinkToFit="1"/>
    </xf>
    <xf numFmtId="176" fontId="2" fillId="0" borderId="10" xfId="0" applyNumberFormat="1" applyFont="1" applyFill="1" applyBorder="1" applyAlignment="1">
      <alignment vertical="center" shrinkToFit="1"/>
    </xf>
    <xf numFmtId="176" fontId="2" fillId="0" borderId="5" xfId="0" applyNumberFormat="1" applyFont="1" applyFill="1" applyBorder="1" applyAlignment="1">
      <alignment vertical="center" shrinkToFit="1"/>
    </xf>
    <xf numFmtId="176" fontId="2" fillId="0" borderId="14" xfId="0" applyNumberFormat="1" applyFont="1" applyFill="1" applyBorder="1" applyAlignment="1">
      <alignment vertical="center" shrinkToFit="1"/>
    </xf>
    <xf numFmtId="9" fontId="2" fillId="0" borderId="14" xfId="0" applyNumberFormat="1" applyFont="1" applyFill="1" applyBorder="1" applyAlignment="1">
      <alignment vertical="center" shrinkToFit="1"/>
    </xf>
    <xf numFmtId="176" fontId="2" fillId="0" borderId="35" xfId="0" applyNumberFormat="1" applyFont="1" applyFill="1" applyBorder="1" applyAlignment="1">
      <alignment vertical="center" shrinkToFit="1"/>
    </xf>
    <xf numFmtId="176" fontId="2" fillId="0" borderId="36" xfId="0" applyNumberFormat="1" applyFont="1" applyFill="1" applyBorder="1" applyAlignment="1">
      <alignment vertical="center" shrinkToFit="1"/>
    </xf>
    <xf numFmtId="176" fontId="2" fillId="0" borderId="19" xfId="0" applyNumberFormat="1" applyFont="1" applyFill="1" applyBorder="1" applyAlignment="1">
      <alignment vertical="center" shrinkToFit="1"/>
    </xf>
    <xf numFmtId="176" fontId="2" fillId="0" borderId="20" xfId="0" applyNumberFormat="1" applyFont="1" applyFill="1" applyBorder="1" applyAlignment="1">
      <alignment vertical="center" shrinkToFit="1"/>
    </xf>
    <xf numFmtId="176" fontId="2" fillId="0" borderId="25" xfId="0" applyNumberFormat="1" applyFont="1" applyFill="1" applyBorder="1" applyAlignment="1">
      <alignment vertical="center" shrinkToFit="1"/>
    </xf>
    <xf numFmtId="9" fontId="2" fillId="0" borderId="25" xfId="0" applyNumberFormat="1" applyFont="1" applyFill="1" applyBorder="1" applyAlignment="1">
      <alignment vertical="center" shrinkToFit="1"/>
    </xf>
    <xf numFmtId="177" fontId="2" fillId="0" borderId="0" xfId="0" applyNumberFormat="1" applyFont="1" applyFill="1">
      <alignment vertical="center"/>
    </xf>
    <xf numFmtId="0" fontId="3" fillId="0" borderId="1" xfId="0" applyFont="1" applyBorder="1" applyAlignment="1">
      <alignment vertical="center"/>
    </xf>
    <xf numFmtId="49" fontId="19"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0" xfId="0" applyFont="1" applyFill="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Fill="1" applyBorder="1" applyAlignment="1">
      <alignment horizontal="center" vertical="center" shrinkToFit="1"/>
    </xf>
    <xf numFmtId="176" fontId="3" fillId="0" borderId="4" xfId="0" applyNumberFormat="1" applyFont="1" applyFill="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0"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Alignment="1">
      <alignment horizontal="right" vertical="center"/>
    </xf>
    <xf numFmtId="0" fontId="3" fillId="0" borderId="0" xfId="0" applyFont="1" applyFill="1" applyBorder="1" applyAlignment="1">
      <alignment horizontal="right" vertical="center"/>
    </xf>
    <xf numFmtId="0" fontId="3" fillId="0" borderId="10" xfId="0" applyFont="1" applyFill="1" applyBorder="1" applyAlignment="1">
      <alignment horizontal="right" vertical="center"/>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176" fontId="3" fillId="0" borderId="3" xfId="0" applyNumberFormat="1" applyFont="1" applyFill="1" applyBorder="1" applyAlignment="1">
      <alignment horizontal="center" vertical="center" shrinkToFit="1"/>
    </xf>
    <xf numFmtId="0" fontId="3" fillId="0" borderId="0" xfId="0" applyFont="1" applyBorder="1" applyAlignment="1">
      <alignment horizontal="center" vertical="center" shrinkToFit="1"/>
    </xf>
    <xf numFmtId="0" fontId="3" fillId="0" borderId="0" xfId="0" applyFont="1" applyAlignment="1">
      <alignment horizontal="center" vertical="center"/>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3" fillId="0" borderId="0" xfId="0" applyFont="1" applyFill="1" applyBorder="1" applyAlignment="1">
      <alignment vertical="center" shrinkToFit="1"/>
    </xf>
    <xf numFmtId="176" fontId="3" fillId="0" borderId="2" xfId="0" applyNumberFormat="1" applyFont="1" applyFill="1" applyBorder="1" applyAlignment="1">
      <alignment horizontal="center" vertical="center"/>
    </xf>
    <xf numFmtId="0" fontId="10"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3"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8" fillId="0" borderId="7" xfId="0" applyFont="1" applyBorder="1" applyAlignment="1">
      <alignment vertical="top" wrapText="1"/>
    </xf>
    <xf numFmtId="0" fontId="17" fillId="0" borderId="8" xfId="0" applyFont="1" applyBorder="1" applyAlignment="1">
      <alignment vertical="top" wrapText="1"/>
    </xf>
    <xf numFmtId="0" fontId="17" fillId="0" borderId="9" xfId="0" applyFont="1" applyBorder="1" applyAlignment="1">
      <alignment vertical="top" wrapText="1"/>
    </xf>
    <xf numFmtId="0" fontId="17" fillId="0" borderId="5" xfId="0" applyFont="1" applyBorder="1" applyAlignment="1">
      <alignment vertical="top" wrapText="1"/>
    </xf>
    <xf numFmtId="0" fontId="17" fillId="0" borderId="0" xfId="0" applyFont="1" applyBorder="1" applyAlignment="1">
      <alignment vertical="top" wrapText="1"/>
    </xf>
    <xf numFmtId="0" fontId="17" fillId="0" borderId="10" xfId="0" applyFont="1" applyBorder="1" applyAlignment="1">
      <alignment vertical="top" wrapText="1"/>
    </xf>
    <xf numFmtId="0" fontId="17" fillId="0" borderId="11" xfId="0" applyFont="1" applyBorder="1" applyAlignment="1">
      <alignment vertical="top" wrapText="1"/>
    </xf>
    <xf numFmtId="0" fontId="17" fillId="0" borderId="6" xfId="0" applyFont="1" applyBorder="1" applyAlignment="1">
      <alignment vertical="top" wrapText="1"/>
    </xf>
    <xf numFmtId="0" fontId="17" fillId="0" borderId="12" xfId="0" applyFont="1" applyBorder="1" applyAlignment="1">
      <alignment vertical="top" wrapText="1"/>
    </xf>
    <xf numFmtId="0" fontId="3" fillId="0" borderId="7" xfId="0" applyFont="1" applyBorder="1" applyAlignment="1">
      <alignment vertical="center" shrinkToFit="1"/>
    </xf>
    <xf numFmtId="0" fontId="3" fillId="0" borderId="8" xfId="0" applyFont="1" applyBorder="1" applyAlignment="1">
      <alignment vertical="center" shrinkToFit="1"/>
    </xf>
    <xf numFmtId="0" fontId="3" fillId="0" borderId="9" xfId="0" applyFont="1" applyBorder="1" applyAlignment="1">
      <alignment vertical="center" shrinkToFit="1"/>
    </xf>
    <xf numFmtId="0" fontId="3" fillId="0" borderId="11" xfId="0" applyFont="1" applyBorder="1" applyAlignment="1">
      <alignment vertical="center"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1" xfId="0" applyFont="1" applyBorder="1" applyAlignment="1">
      <alignment horizontal="left" vertical="center" shrinkToFit="1"/>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vertical="center" wrapText="1" shrinkToFit="1"/>
    </xf>
    <xf numFmtId="0" fontId="2" fillId="0" borderId="0" xfId="0" applyFont="1" applyAlignment="1">
      <alignment horizontal="right" vertical="center"/>
    </xf>
    <xf numFmtId="0" fontId="8" fillId="0" borderId="7" xfId="0" applyFont="1" applyFill="1" applyBorder="1" applyAlignment="1">
      <alignment horizontal="center" vertical="center" wrapText="1"/>
    </xf>
    <xf numFmtId="0" fontId="8" fillId="0" borderId="1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39" xfId="0" applyFont="1" applyFill="1" applyBorder="1" applyAlignment="1">
      <alignment horizontal="center" vertical="center"/>
    </xf>
    <xf numFmtId="0" fontId="11" fillId="0" borderId="16" xfId="0" applyFont="1" applyFill="1" applyBorder="1" applyAlignment="1">
      <alignment horizontal="center" vertical="center" wrapText="1"/>
    </xf>
    <xf numFmtId="0" fontId="11" fillId="0" borderId="13"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12" xfId="0" applyFont="1" applyFill="1" applyBorder="1" applyAlignment="1">
      <alignment horizontal="center" vertical="center"/>
    </xf>
    <xf numFmtId="0" fontId="3" fillId="0" borderId="0" xfId="0" applyFont="1" applyFill="1" applyAlignment="1">
      <alignment horizontal="center" vertical="center"/>
    </xf>
    <xf numFmtId="0" fontId="2" fillId="0" borderId="0" xfId="0" applyFont="1" applyAlignment="1">
      <alignment horizontal="left" vertical="center"/>
    </xf>
    <xf numFmtId="0" fontId="0" fillId="0" borderId="0" xfId="0" applyAlignment="1">
      <alignment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Fill="1" applyBorder="1" applyAlignment="1">
      <alignment vertical="center" shrinkToFit="1"/>
    </xf>
    <xf numFmtId="0" fontId="3" fillId="0" borderId="39" xfId="0" applyFont="1" applyFill="1" applyBorder="1" applyAlignment="1">
      <alignment vertical="center" shrinkToFit="1"/>
    </xf>
    <xf numFmtId="0" fontId="2" fillId="0" borderId="2" xfId="0" applyFont="1" applyBorder="1" applyAlignment="1">
      <alignment horizontal="left" vertical="top" shrinkToFit="1"/>
    </xf>
    <xf numFmtId="0" fontId="2" fillId="0" borderId="3" xfId="0" applyFont="1" applyBorder="1" applyAlignment="1">
      <alignment horizontal="left" vertical="top" shrinkToFit="1"/>
    </xf>
    <xf numFmtId="0" fontId="2" fillId="0" borderId="4" xfId="0" applyFont="1" applyBorder="1" applyAlignment="1">
      <alignment horizontal="left" vertical="top" shrinkToFit="1"/>
    </xf>
    <xf numFmtId="0" fontId="0" fillId="0" borderId="3" xfId="0" applyBorder="1" applyAlignment="1">
      <alignment horizontal="left" vertical="top" shrinkToFit="1"/>
    </xf>
    <xf numFmtId="0" fontId="0" fillId="0" borderId="4" xfId="0" applyBorder="1" applyAlignment="1">
      <alignment horizontal="left" vertical="top"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17" fillId="0" borderId="3" xfId="0" applyFont="1" applyBorder="1" applyAlignment="1">
      <alignment horizontal="left" vertical="center" shrinkToFit="1"/>
    </xf>
    <xf numFmtId="0" fontId="17" fillId="0" borderId="4" xfId="0" applyFont="1" applyBorder="1" applyAlignment="1">
      <alignment horizontal="lef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7" fillId="0" borderId="2"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wrapText="1" shrinkToFit="1"/>
    </xf>
    <xf numFmtId="0" fontId="3" fillId="0" borderId="9" xfId="0" applyFont="1" applyFill="1" applyBorder="1" applyAlignment="1">
      <alignment horizontal="left" vertical="top" wrapText="1" shrinkToFit="1"/>
    </xf>
    <xf numFmtId="0" fontId="3" fillId="0" borderId="5" xfId="0" applyFont="1" applyFill="1" applyBorder="1" applyAlignment="1">
      <alignment horizontal="left" vertical="top" wrapText="1" shrinkToFit="1"/>
    </xf>
    <xf numFmtId="0" fontId="3" fillId="0" borderId="0" xfId="0" applyFont="1" applyFill="1" applyBorder="1" applyAlignment="1">
      <alignment horizontal="left" vertical="top" wrapText="1" shrinkToFit="1"/>
    </xf>
    <xf numFmtId="0" fontId="3" fillId="0" borderId="10" xfId="0" applyFont="1" applyFill="1" applyBorder="1" applyAlignment="1">
      <alignment horizontal="left" vertical="top" wrapText="1" shrinkToFit="1"/>
    </xf>
    <xf numFmtId="0" fontId="3" fillId="0" borderId="11" xfId="0" applyFont="1" applyFill="1" applyBorder="1" applyAlignment="1">
      <alignment horizontal="left" vertical="top" wrapText="1" shrinkToFit="1"/>
    </xf>
    <xf numFmtId="0" fontId="3" fillId="0" borderId="6" xfId="0" applyFont="1" applyFill="1" applyBorder="1" applyAlignment="1">
      <alignment horizontal="left" vertical="top" wrapText="1" shrinkToFit="1"/>
    </xf>
    <xf numFmtId="0" fontId="3" fillId="0" borderId="12" xfId="0" applyFont="1" applyFill="1" applyBorder="1" applyAlignment="1">
      <alignment horizontal="left" vertical="top" wrapText="1"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3" fillId="0" borderId="7" xfId="0" applyFont="1" applyFill="1" applyBorder="1" applyAlignment="1">
      <alignment vertical="top" wrapText="1"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Border="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2" fillId="0" borderId="6" xfId="0" applyFont="1" applyFill="1" applyBorder="1" applyAlignment="1">
      <alignment vertical="center"/>
    </xf>
    <xf numFmtId="0" fontId="2" fillId="0" borderId="0" xfId="0" applyFont="1" applyFill="1" applyAlignment="1">
      <alignment vertical="center"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3" fillId="0" borderId="8" xfId="0" applyFont="1" applyFill="1" applyBorder="1" applyAlignment="1">
      <alignment vertical="top" wrapText="1" shrinkToFit="1"/>
    </xf>
    <xf numFmtId="0" fontId="3" fillId="0" borderId="9" xfId="0" applyFont="1" applyFill="1" applyBorder="1" applyAlignment="1">
      <alignment vertical="top" wrapText="1" shrinkToFit="1"/>
    </xf>
    <xf numFmtId="0" fontId="3" fillId="0" borderId="5" xfId="0" applyFont="1" applyFill="1" applyBorder="1" applyAlignment="1">
      <alignment vertical="top" wrapText="1" shrinkToFit="1"/>
    </xf>
    <xf numFmtId="0" fontId="3" fillId="0" borderId="0" xfId="0" applyFont="1" applyFill="1" applyBorder="1" applyAlignment="1">
      <alignment vertical="top" wrapText="1" shrinkToFit="1"/>
    </xf>
    <xf numFmtId="0" fontId="3" fillId="0" borderId="10" xfId="0" applyFont="1" applyFill="1" applyBorder="1" applyAlignment="1">
      <alignment vertical="top" wrapText="1" shrinkToFit="1"/>
    </xf>
    <xf numFmtId="0" fontId="3" fillId="0" borderId="11" xfId="0" applyFont="1" applyFill="1" applyBorder="1" applyAlignment="1">
      <alignment vertical="top" wrapText="1" shrinkToFit="1"/>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14" fillId="0" borderId="2" xfId="2" applyFont="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20" xfId="0" applyFont="1" applyFill="1" applyBorder="1" applyAlignment="1">
      <alignment vertical="top" wrapText="1" shrinkToFit="1"/>
    </xf>
    <xf numFmtId="0" fontId="3" fillId="0" borderId="21" xfId="0" applyFont="1" applyFill="1" applyBorder="1" applyAlignment="1">
      <alignment vertical="top" wrapText="1" shrinkToFit="1"/>
    </xf>
    <xf numFmtId="0" fontId="3" fillId="0" borderId="19" xfId="0" applyFont="1" applyFill="1" applyBorder="1" applyAlignment="1">
      <alignment vertical="top" wrapText="1" shrinkToFit="1"/>
    </xf>
    <xf numFmtId="0" fontId="2" fillId="0" borderId="0" xfId="0" applyFont="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65347;&#65357;&#65348;&#65363;-sec@edu.kobe-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mds.kobe-u.ac.jp/literacy_level_program/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tabSelected="1" zoomScaleNormal="100" workbookViewId="0">
      <selection activeCell="B1" sqref="B1"/>
    </sheetView>
  </sheetViews>
  <sheetFormatPr defaultColWidth="9" defaultRowHeight="18.75" customHeight="1" x14ac:dyDescent="0.2"/>
  <cols>
    <col min="1" max="1" width="2.453125" style="6" customWidth="1"/>
    <col min="2" max="2" width="12.453125" style="6" customWidth="1"/>
    <col min="3" max="8" width="6.26953125" style="6" customWidth="1"/>
    <col min="9" max="9" width="2.453125" style="6" customWidth="1"/>
    <col min="10" max="10" width="10" style="6" customWidth="1"/>
    <col min="11" max="11" width="2.453125" style="6" customWidth="1"/>
    <col min="12" max="12" width="7.453125" style="6" customWidth="1"/>
    <col min="13" max="13" width="2.453125" style="6" customWidth="1"/>
    <col min="14" max="14" width="7.453125" style="6" customWidth="1"/>
    <col min="15" max="19" width="9" style="6"/>
    <col min="20" max="20" width="13.90625" style="6" customWidth="1"/>
    <col min="21" max="16384" width="9" style="6"/>
  </cols>
  <sheetData>
    <row r="1" spans="1:16" ht="22.5" customHeight="1" x14ac:dyDescent="0.2">
      <c r="M1" s="180" t="s">
        <v>29</v>
      </c>
      <c r="N1" s="180"/>
    </row>
    <row r="2" spans="1:16" ht="22.5" customHeight="1" x14ac:dyDescent="0.2">
      <c r="A2" s="188" t="s">
        <v>136</v>
      </c>
      <c r="B2" s="188"/>
      <c r="C2" s="188"/>
      <c r="D2" s="188"/>
      <c r="E2" s="188"/>
      <c r="F2" s="188"/>
      <c r="G2" s="188"/>
      <c r="H2" s="188"/>
      <c r="I2" s="188"/>
      <c r="J2" s="188"/>
      <c r="K2" s="188"/>
      <c r="L2" s="188"/>
      <c r="M2" s="188"/>
      <c r="N2" s="188"/>
    </row>
    <row r="3" spans="1:16" ht="22.5" customHeight="1" x14ac:dyDescent="0.2"/>
    <row r="4" spans="1:16" ht="22.5" customHeight="1" x14ac:dyDescent="0.2">
      <c r="A4" s="6" t="s">
        <v>7</v>
      </c>
      <c r="B4" s="3" t="s">
        <v>20</v>
      </c>
      <c r="C4" s="167" t="s">
        <v>151</v>
      </c>
      <c r="D4" s="168"/>
      <c r="E4" s="168"/>
      <c r="F4" s="168"/>
      <c r="G4" s="168"/>
      <c r="H4" s="168"/>
      <c r="I4" s="168"/>
      <c r="J4" s="168"/>
      <c r="K4" s="168"/>
      <c r="L4" s="168"/>
      <c r="M4" s="168"/>
      <c r="N4" s="169"/>
    </row>
    <row r="5" spans="1:16" ht="7.5" customHeight="1" x14ac:dyDescent="0.2">
      <c r="B5" s="3"/>
      <c r="C5" s="3"/>
      <c r="D5" s="3"/>
      <c r="E5" s="91"/>
      <c r="F5" s="58"/>
      <c r="G5" s="58"/>
      <c r="H5" s="58"/>
      <c r="I5" s="58"/>
      <c r="J5" s="58"/>
      <c r="K5" s="58"/>
      <c r="L5" s="58"/>
      <c r="M5" s="58"/>
      <c r="N5" s="58"/>
    </row>
    <row r="6" spans="1:16" ht="22.5" customHeight="1" x14ac:dyDescent="0.2">
      <c r="A6" s="6" t="s">
        <v>56</v>
      </c>
      <c r="B6" s="3" t="s">
        <v>57</v>
      </c>
      <c r="C6" s="3"/>
      <c r="D6" s="167" t="s">
        <v>152</v>
      </c>
      <c r="E6" s="168"/>
      <c r="F6" s="168"/>
      <c r="G6" s="168"/>
      <c r="H6" s="168"/>
      <c r="I6" s="168"/>
      <c r="J6" s="168"/>
      <c r="K6" s="168"/>
      <c r="L6" s="168"/>
      <c r="M6" s="168"/>
      <c r="N6" s="169"/>
    </row>
    <row r="7" spans="1:16" ht="7.5" customHeight="1" x14ac:dyDescent="0.2">
      <c r="B7" s="3"/>
      <c r="C7" s="3"/>
      <c r="D7" s="3"/>
      <c r="E7" s="91"/>
      <c r="F7" s="58"/>
      <c r="G7" s="58"/>
      <c r="H7" s="58"/>
      <c r="I7" s="58"/>
      <c r="J7" s="58"/>
      <c r="K7" s="58"/>
      <c r="L7" s="58"/>
      <c r="M7" s="58"/>
      <c r="N7" s="58"/>
    </row>
    <row r="8" spans="1:16" ht="22.5" customHeight="1" x14ac:dyDescent="0.2">
      <c r="A8" s="92" t="s">
        <v>13</v>
      </c>
      <c r="B8" s="93" t="s">
        <v>58</v>
      </c>
      <c r="C8" s="167" t="s">
        <v>153</v>
      </c>
      <c r="D8" s="168"/>
      <c r="E8" s="169"/>
      <c r="F8" s="58"/>
      <c r="G8" s="187"/>
      <c r="H8" s="187"/>
      <c r="I8" s="187"/>
      <c r="J8" s="58"/>
      <c r="K8" s="58"/>
      <c r="L8" s="58"/>
      <c r="M8" s="58"/>
      <c r="N8" s="58"/>
    </row>
    <row r="9" spans="1:16" ht="7.5" customHeight="1" x14ac:dyDescent="0.2">
      <c r="B9" s="3"/>
      <c r="C9" s="3"/>
      <c r="D9" s="3"/>
      <c r="E9" s="91"/>
      <c r="F9" s="58"/>
      <c r="G9" s="58"/>
      <c r="H9" s="58"/>
      <c r="I9" s="58"/>
      <c r="J9" s="58"/>
      <c r="K9" s="58"/>
      <c r="L9" s="58"/>
      <c r="M9" s="58"/>
      <c r="N9" s="58"/>
    </row>
    <row r="10" spans="1:16" ht="22.5" customHeight="1" x14ac:dyDescent="0.2">
      <c r="A10" s="6" t="s">
        <v>17</v>
      </c>
      <c r="B10" s="102" t="s">
        <v>53</v>
      </c>
      <c r="C10" s="183" t="s">
        <v>154</v>
      </c>
      <c r="D10" s="184"/>
      <c r="E10" s="184"/>
      <c r="F10" s="184"/>
      <c r="G10" s="184"/>
      <c r="H10" s="184"/>
      <c r="I10" s="184"/>
      <c r="J10" s="184"/>
      <c r="K10" s="184"/>
      <c r="L10" s="184"/>
      <c r="M10" s="184"/>
      <c r="N10" s="185"/>
      <c r="O10" s="98"/>
      <c r="P10" s="98"/>
    </row>
    <row r="11" spans="1:16" ht="7.5" customHeight="1" x14ac:dyDescent="0.2">
      <c r="B11" s="102"/>
      <c r="C11" s="102"/>
      <c r="D11" s="102"/>
      <c r="E11" s="103"/>
      <c r="F11" s="104"/>
      <c r="G11" s="104"/>
      <c r="H11" s="104"/>
      <c r="I11" s="104"/>
      <c r="J11" s="104"/>
      <c r="K11" s="104"/>
      <c r="L11" s="104"/>
      <c r="M11" s="104"/>
      <c r="N11" s="104"/>
      <c r="O11" s="98"/>
      <c r="P11" s="98"/>
    </row>
    <row r="12" spans="1:16" ht="22.5" customHeight="1" x14ac:dyDescent="0.2">
      <c r="A12" s="6" t="s">
        <v>14</v>
      </c>
      <c r="B12" s="102" t="s">
        <v>132</v>
      </c>
      <c r="C12" s="102"/>
      <c r="D12" s="102"/>
      <c r="E12" s="104"/>
      <c r="F12" s="105"/>
      <c r="G12" s="189" t="s">
        <v>155</v>
      </c>
      <c r="H12" s="190"/>
      <c r="I12" s="190"/>
      <c r="J12" s="190"/>
      <c r="K12" s="190"/>
      <c r="L12" s="190"/>
      <c r="M12" s="190"/>
      <c r="N12" s="191"/>
      <c r="O12" s="98"/>
      <c r="P12" s="98"/>
    </row>
    <row r="13" spans="1:16" ht="7.5" customHeight="1" x14ac:dyDescent="0.2">
      <c r="B13" s="103"/>
      <c r="C13" s="103"/>
      <c r="D13" s="103"/>
      <c r="E13" s="103"/>
      <c r="F13" s="104"/>
      <c r="G13" s="104"/>
      <c r="H13" s="104"/>
      <c r="I13" s="104"/>
      <c r="J13" s="104"/>
      <c r="K13" s="104"/>
      <c r="L13" s="104"/>
      <c r="M13" s="104"/>
      <c r="N13" s="104"/>
      <c r="O13" s="98"/>
      <c r="P13" s="98"/>
    </row>
    <row r="14" spans="1:16" ht="22.5" customHeight="1" x14ac:dyDescent="0.2">
      <c r="A14" s="6" t="s">
        <v>67</v>
      </c>
      <c r="B14" s="103" t="s">
        <v>68</v>
      </c>
      <c r="C14" s="103"/>
      <c r="D14" s="103"/>
      <c r="E14" s="103"/>
      <c r="F14" s="183" t="s">
        <v>122</v>
      </c>
      <c r="G14" s="184"/>
      <c r="H14" s="185"/>
      <c r="I14" s="104"/>
      <c r="J14" s="104"/>
      <c r="K14" s="104"/>
      <c r="L14" s="104"/>
      <c r="M14" s="104"/>
      <c r="N14" s="104"/>
      <c r="O14" s="98"/>
      <c r="P14" s="98"/>
    </row>
    <row r="15" spans="1:16" ht="7.5" customHeight="1" x14ac:dyDescent="0.2">
      <c r="B15" s="103"/>
      <c r="C15" s="103"/>
      <c r="D15" s="103"/>
      <c r="E15" s="103"/>
      <c r="F15" s="104"/>
      <c r="G15" s="104"/>
      <c r="H15" s="104"/>
      <c r="I15" s="104"/>
      <c r="J15" s="104"/>
      <c r="K15" s="104"/>
      <c r="L15" s="104"/>
      <c r="M15" s="104"/>
      <c r="N15" s="104"/>
      <c r="O15" s="98"/>
      <c r="P15" s="98"/>
    </row>
    <row r="16" spans="1:16" ht="22.5" customHeight="1" x14ac:dyDescent="0.2">
      <c r="A16" s="6" t="s">
        <v>15</v>
      </c>
      <c r="B16" s="98" t="s">
        <v>0</v>
      </c>
      <c r="C16" s="181" t="s">
        <v>6</v>
      </c>
      <c r="D16" s="182"/>
      <c r="E16" s="170">
        <v>1554</v>
      </c>
      <c r="F16" s="171"/>
      <c r="G16" s="106" t="s">
        <v>10</v>
      </c>
      <c r="H16" s="98"/>
      <c r="I16" s="181" t="s">
        <v>11</v>
      </c>
      <c r="J16" s="182"/>
      <c r="K16" s="170">
        <v>610</v>
      </c>
      <c r="L16" s="186"/>
      <c r="M16" s="171"/>
      <c r="N16" s="107" t="s">
        <v>10</v>
      </c>
      <c r="O16" s="98"/>
      <c r="P16" s="98"/>
    </row>
    <row r="17" spans="1:16" ht="7.5" customHeight="1" x14ac:dyDescent="0.2">
      <c r="B17" s="98"/>
      <c r="C17" s="98"/>
      <c r="D17" s="98"/>
      <c r="E17" s="98"/>
      <c r="F17" s="108"/>
      <c r="G17" s="108"/>
      <c r="H17" s="108"/>
      <c r="I17" s="108"/>
      <c r="J17" s="108"/>
      <c r="K17" s="108"/>
      <c r="L17" s="108"/>
      <c r="M17" s="107"/>
      <c r="N17" s="107"/>
      <c r="O17" s="98"/>
      <c r="P17" s="98"/>
    </row>
    <row r="18" spans="1:16" ht="22.5" customHeight="1" x14ac:dyDescent="0.2">
      <c r="A18" s="6" t="s">
        <v>62</v>
      </c>
      <c r="B18" s="98" t="s">
        <v>91</v>
      </c>
      <c r="C18" s="98"/>
      <c r="D18" s="98"/>
      <c r="E18" s="98"/>
      <c r="F18" s="108"/>
      <c r="G18" s="108"/>
      <c r="H18" s="108"/>
      <c r="I18" s="108"/>
      <c r="J18" s="108"/>
      <c r="K18" s="177">
        <v>104</v>
      </c>
      <c r="L18" s="178"/>
      <c r="M18" s="179"/>
      <c r="N18" s="107" t="s">
        <v>60</v>
      </c>
      <c r="O18" s="98"/>
      <c r="P18" s="98"/>
    </row>
    <row r="19" spans="1:16" ht="7.5" customHeight="1" x14ac:dyDescent="0.2">
      <c r="B19" s="98"/>
      <c r="C19" s="98"/>
      <c r="D19" s="98"/>
      <c r="E19" s="98"/>
      <c r="F19" s="108"/>
      <c r="G19" s="108"/>
      <c r="H19" s="108"/>
      <c r="I19" s="108"/>
      <c r="J19" s="108"/>
      <c r="K19" s="108"/>
      <c r="L19" s="108"/>
      <c r="M19" s="107"/>
      <c r="N19" s="107"/>
      <c r="O19" s="98"/>
      <c r="P19" s="98"/>
    </row>
    <row r="20" spans="1:16" ht="22.5" customHeight="1" x14ac:dyDescent="0.2">
      <c r="A20" s="6" t="s">
        <v>69</v>
      </c>
      <c r="B20" s="98" t="s">
        <v>129</v>
      </c>
      <c r="C20" s="98"/>
      <c r="D20" s="98"/>
      <c r="E20" s="170">
        <v>2670</v>
      </c>
      <c r="F20" s="171"/>
      <c r="G20" s="109" t="s">
        <v>25</v>
      </c>
      <c r="H20" s="108"/>
      <c r="I20" s="98"/>
      <c r="J20" s="98"/>
      <c r="K20" s="192"/>
      <c r="L20" s="192"/>
      <c r="M20" s="192"/>
      <c r="N20" s="192"/>
      <c r="O20" s="98"/>
      <c r="P20" s="98"/>
    </row>
    <row r="21" spans="1:16" ht="7.5" customHeight="1" x14ac:dyDescent="0.2">
      <c r="B21" s="98"/>
      <c r="C21" s="98"/>
      <c r="D21" s="98"/>
      <c r="E21" s="110"/>
      <c r="F21" s="108"/>
      <c r="G21" s="108"/>
      <c r="H21" s="98"/>
      <c r="I21" s="98"/>
      <c r="J21" s="98"/>
      <c r="K21" s="98"/>
      <c r="L21" s="111"/>
      <c r="M21" s="111"/>
      <c r="N21" s="112"/>
      <c r="O21" s="98"/>
      <c r="P21" s="98"/>
    </row>
    <row r="22" spans="1:16" ht="22.5" customHeight="1" x14ac:dyDescent="0.2">
      <c r="A22" s="6" t="s">
        <v>28</v>
      </c>
      <c r="B22" s="98" t="s">
        <v>130</v>
      </c>
      <c r="C22" s="98"/>
      <c r="D22" s="98"/>
      <c r="E22" s="110"/>
      <c r="F22" s="108"/>
      <c r="G22" s="108"/>
      <c r="H22" s="98" t="s">
        <v>61</v>
      </c>
      <c r="I22" s="98"/>
      <c r="J22" s="193">
        <f>C24+I24+C26+I26+C28+I28</f>
        <v>11521</v>
      </c>
      <c r="K22" s="178"/>
      <c r="L22" s="179"/>
      <c r="M22" s="111" t="s">
        <v>60</v>
      </c>
      <c r="N22" s="112"/>
      <c r="O22" s="98"/>
      <c r="P22" s="98"/>
    </row>
    <row r="23" spans="1:16" ht="7.5" customHeight="1" x14ac:dyDescent="0.2">
      <c r="B23" s="98"/>
      <c r="C23" s="98"/>
      <c r="D23" s="98"/>
      <c r="E23" s="110"/>
      <c r="F23" s="108"/>
      <c r="G23" s="108"/>
      <c r="H23" s="98"/>
      <c r="I23" s="98"/>
      <c r="J23" s="98"/>
      <c r="K23" s="98"/>
      <c r="L23" s="111"/>
      <c r="M23" s="111"/>
      <c r="N23" s="112"/>
      <c r="O23" s="98"/>
      <c r="P23" s="98"/>
    </row>
    <row r="24" spans="1:16" ht="22.5" customHeight="1" x14ac:dyDescent="0.2">
      <c r="B24" s="113" t="s">
        <v>21</v>
      </c>
      <c r="C24" s="170">
        <v>2615</v>
      </c>
      <c r="D24" s="171"/>
      <c r="E24" s="110" t="s">
        <v>26</v>
      </c>
      <c r="F24" s="108"/>
      <c r="G24" s="166" t="s">
        <v>22</v>
      </c>
      <c r="H24" s="166"/>
      <c r="I24" s="170">
        <v>2636</v>
      </c>
      <c r="J24" s="171"/>
      <c r="K24" s="52" t="s">
        <v>26</v>
      </c>
      <c r="L24" s="98"/>
      <c r="M24" s="111"/>
      <c r="N24" s="112"/>
      <c r="O24" s="98"/>
      <c r="P24" s="98"/>
    </row>
    <row r="25" spans="1:16" ht="7.5" customHeight="1" x14ac:dyDescent="0.2">
      <c r="B25" s="113"/>
      <c r="C25" s="114"/>
      <c r="D25" s="114"/>
      <c r="E25" s="110"/>
      <c r="F25" s="108"/>
      <c r="G25" s="111"/>
      <c r="H25" s="111"/>
      <c r="I25" s="114"/>
      <c r="J25" s="114"/>
      <c r="K25" s="52"/>
      <c r="L25" s="98"/>
      <c r="M25" s="111"/>
      <c r="N25" s="112"/>
      <c r="O25" s="98"/>
      <c r="P25" s="98"/>
    </row>
    <row r="26" spans="1:16" ht="22.5" customHeight="1" x14ac:dyDescent="0.2">
      <c r="B26" s="113" t="s">
        <v>23</v>
      </c>
      <c r="C26" s="170">
        <v>2837</v>
      </c>
      <c r="D26" s="171"/>
      <c r="E26" s="110" t="s">
        <v>26</v>
      </c>
      <c r="F26" s="108"/>
      <c r="G26" s="166" t="s">
        <v>24</v>
      </c>
      <c r="H26" s="166"/>
      <c r="I26" s="170">
        <v>3194</v>
      </c>
      <c r="J26" s="171"/>
      <c r="K26" s="52" t="s">
        <v>26</v>
      </c>
      <c r="L26" s="98"/>
      <c r="M26" s="111"/>
      <c r="N26" s="112"/>
      <c r="O26" s="98"/>
      <c r="P26" s="98"/>
    </row>
    <row r="27" spans="1:16" ht="7.5" customHeight="1" x14ac:dyDescent="0.2">
      <c r="B27" s="113"/>
      <c r="C27" s="114"/>
      <c r="D27" s="114"/>
      <c r="E27" s="110"/>
      <c r="F27" s="108"/>
      <c r="G27" s="111"/>
      <c r="H27" s="111"/>
      <c r="I27" s="114"/>
      <c r="J27" s="114"/>
      <c r="K27" s="52"/>
      <c r="L27" s="98"/>
      <c r="M27" s="111"/>
      <c r="N27" s="112"/>
      <c r="O27" s="98"/>
      <c r="P27" s="98"/>
    </row>
    <row r="28" spans="1:16" ht="22.5" customHeight="1" x14ac:dyDescent="0.2">
      <c r="B28" s="113" t="s">
        <v>54</v>
      </c>
      <c r="C28" s="170">
        <v>122</v>
      </c>
      <c r="D28" s="171"/>
      <c r="E28" s="110" t="s">
        <v>10</v>
      </c>
      <c r="F28" s="108"/>
      <c r="G28" s="166" t="s">
        <v>55</v>
      </c>
      <c r="H28" s="166"/>
      <c r="I28" s="170">
        <v>117</v>
      </c>
      <c r="J28" s="171"/>
      <c r="K28" s="52" t="s">
        <v>10</v>
      </c>
      <c r="L28" s="98"/>
      <c r="M28" s="111"/>
      <c r="N28" s="112"/>
      <c r="O28" s="98"/>
      <c r="P28" s="98"/>
    </row>
    <row r="29" spans="1:16" ht="7.5" customHeight="1" x14ac:dyDescent="0.2">
      <c r="B29" s="98"/>
      <c r="C29" s="98"/>
      <c r="D29" s="98"/>
      <c r="E29" s="98"/>
      <c r="F29" s="108"/>
      <c r="G29" s="108"/>
      <c r="H29" s="98"/>
      <c r="I29" s="98"/>
      <c r="J29" s="98"/>
      <c r="K29" s="98"/>
      <c r="L29" s="98"/>
      <c r="M29" s="115"/>
      <c r="N29" s="115"/>
      <c r="O29" s="98"/>
      <c r="P29" s="98"/>
    </row>
    <row r="30" spans="1:16" ht="22.5" customHeight="1" x14ac:dyDescent="0.2">
      <c r="A30" s="6" t="s">
        <v>128</v>
      </c>
      <c r="B30" s="102" t="s">
        <v>119</v>
      </c>
      <c r="C30" s="102"/>
      <c r="D30" s="102"/>
      <c r="E30" s="102"/>
      <c r="F30" s="52"/>
      <c r="G30" s="104"/>
      <c r="H30" s="104"/>
      <c r="I30" s="104"/>
      <c r="J30" s="116"/>
      <c r="K30" s="116"/>
      <c r="L30" s="116"/>
      <c r="M30" s="116"/>
      <c r="N30" s="116"/>
      <c r="O30" s="98"/>
      <c r="P30" s="98"/>
    </row>
    <row r="31" spans="1:16" ht="22.5" customHeight="1" x14ac:dyDescent="0.2">
      <c r="B31" s="174" t="s">
        <v>118</v>
      </c>
      <c r="C31" s="174"/>
      <c r="D31" s="167" t="s">
        <v>137</v>
      </c>
      <c r="E31" s="168"/>
      <c r="F31" s="168"/>
      <c r="G31" s="175" t="s">
        <v>27</v>
      </c>
      <c r="H31" s="174"/>
      <c r="I31" s="176"/>
      <c r="J31" s="167" t="s">
        <v>156</v>
      </c>
      <c r="K31" s="168"/>
      <c r="L31" s="168"/>
      <c r="M31" s="168"/>
      <c r="N31" s="169"/>
    </row>
    <row r="32" spans="1:16" ht="7.5" customHeight="1" x14ac:dyDescent="0.2">
      <c r="F32" s="95"/>
      <c r="G32" s="95"/>
      <c r="M32" s="96"/>
      <c r="N32" s="96"/>
    </row>
    <row r="33" spans="1:14" ht="22.5" customHeight="1" x14ac:dyDescent="0.2">
      <c r="A33" s="6" t="s">
        <v>59</v>
      </c>
      <c r="B33" s="3" t="s">
        <v>133</v>
      </c>
      <c r="C33" s="3"/>
      <c r="D33" s="3"/>
      <c r="E33" s="3"/>
      <c r="F33" s="92"/>
      <c r="G33" s="88"/>
      <c r="H33" s="88"/>
      <c r="I33" s="88"/>
      <c r="J33" s="88"/>
      <c r="K33" s="88"/>
      <c r="L33" s="88"/>
      <c r="M33" s="88"/>
      <c r="N33" s="88"/>
    </row>
    <row r="34" spans="1:14" ht="22.5" customHeight="1" x14ac:dyDescent="0.2">
      <c r="B34" s="167" t="s">
        <v>140</v>
      </c>
      <c r="C34" s="168"/>
      <c r="D34" s="168"/>
      <c r="E34" s="168"/>
      <c r="F34" s="168"/>
      <c r="G34" s="168"/>
      <c r="H34" s="168"/>
      <c r="I34" s="168"/>
      <c r="J34" s="168"/>
      <c r="K34" s="168"/>
      <c r="L34" s="168"/>
      <c r="M34" s="168"/>
      <c r="N34" s="169"/>
    </row>
    <row r="35" spans="1:14" ht="7.5" customHeight="1" x14ac:dyDescent="0.2">
      <c r="B35" s="97"/>
      <c r="C35" s="97"/>
      <c r="D35" s="97"/>
      <c r="E35" s="97"/>
      <c r="F35" s="97"/>
      <c r="G35" s="97"/>
      <c r="H35" s="97"/>
      <c r="I35" s="97"/>
      <c r="J35" s="97"/>
      <c r="K35" s="97"/>
      <c r="L35" s="97"/>
      <c r="M35" s="97"/>
      <c r="N35" s="97"/>
    </row>
    <row r="36" spans="1:14" ht="22.5" customHeight="1" x14ac:dyDescent="0.2">
      <c r="B36" s="174" t="s">
        <v>118</v>
      </c>
      <c r="C36" s="174"/>
      <c r="D36" s="167" t="s">
        <v>138</v>
      </c>
      <c r="E36" s="168"/>
      <c r="F36" s="168"/>
      <c r="G36" s="175" t="s">
        <v>64</v>
      </c>
      <c r="H36" s="174"/>
      <c r="I36" s="176"/>
      <c r="J36" s="167" t="s">
        <v>139</v>
      </c>
      <c r="K36" s="168"/>
      <c r="L36" s="168"/>
      <c r="M36" s="168"/>
      <c r="N36" s="169"/>
    </row>
    <row r="37" spans="1:14" ht="7.5" customHeight="1" x14ac:dyDescent="0.2">
      <c r="F37" s="58"/>
      <c r="G37" s="58"/>
      <c r="H37" s="58"/>
      <c r="I37" s="58"/>
      <c r="J37" s="58"/>
      <c r="K37" s="58"/>
      <c r="L37" s="58"/>
      <c r="M37" s="58"/>
      <c r="N37" s="58"/>
    </row>
    <row r="38" spans="1:14" ht="22.5" customHeight="1" x14ac:dyDescent="0.2">
      <c r="A38" s="6" t="s">
        <v>63</v>
      </c>
      <c r="B38" s="6" t="s">
        <v>134</v>
      </c>
      <c r="M38" s="96"/>
      <c r="N38" s="96"/>
    </row>
    <row r="39" spans="1:14" ht="22.5" customHeight="1" x14ac:dyDescent="0.2">
      <c r="B39" s="167" t="s">
        <v>141</v>
      </c>
      <c r="C39" s="168"/>
      <c r="D39" s="168"/>
      <c r="E39" s="168"/>
      <c r="F39" s="168"/>
      <c r="G39" s="168"/>
      <c r="H39" s="168"/>
      <c r="I39" s="168"/>
      <c r="J39" s="168"/>
      <c r="K39" s="168"/>
      <c r="L39" s="168"/>
      <c r="M39" s="168"/>
      <c r="N39" s="169"/>
    </row>
    <row r="40" spans="1:14" ht="7.5" customHeight="1" x14ac:dyDescent="0.2">
      <c r="F40" s="58"/>
      <c r="G40" s="58"/>
      <c r="H40" s="58"/>
      <c r="I40" s="58"/>
      <c r="J40" s="58"/>
      <c r="K40" s="58"/>
      <c r="L40" s="58"/>
      <c r="M40" s="58"/>
      <c r="N40" s="58"/>
    </row>
    <row r="41" spans="1:14" ht="22.5" customHeight="1" x14ac:dyDescent="0.2">
      <c r="B41" s="174" t="s">
        <v>118</v>
      </c>
      <c r="C41" s="174"/>
      <c r="D41" s="167" t="s">
        <v>138</v>
      </c>
      <c r="E41" s="168"/>
      <c r="F41" s="168"/>
      <c r="G41" s="175" t="s">
        <v>64</v>
      </c>
      <c r="H41" s="174"/>
      <c r="I41" s="176"/>
      <c r="J41" s="167" t="s">
        <v>147</v>
      </c>
      <c r="K41" s="168"/>
      <c r="L41" s="168"/>
      <c r="M41" s="168"/>
      <c r="N41" s="169"/>
    </row>
    <row r="42" spans="1:14" ht="7.5" customHeight="1" x14ac:dyDescent="0.2">
      <c r="F42" s="58"/>
      <c r="G42" s="58"/>
      <c r="H42" s="58"/>
      <c r="I42" s="58"/>
      <c r="J42" s="58"/>
      <c r="K42" s="58"/>
      <c r="L42" s="58"/>
      <c r="M42" s="58"/>
      <c r="N42" s="58"/>
    </row>
    <row r="43" spans="1:14" ht="22.5" customHeight="1" x14ac:dyDescent="0.2">
      <c r="A43" s="6" t="s">
        <v>70</v>
      </c>
      <c r="B43" s="98" t="s">
        <v>90</v>
      </c>
      <c r="E43" s="94"/>
      <c r="F43" s="167" t="s">
        <v>142</v>
      </c>
      <c r="G43" s="168"/>
      <c r="H43" s="168"/>
      <c r="I43" s="168"/>
      <c r="J43" s="168"/>
      <c r="K43" s="168"/>
      <c r="L43" s="168"/>
      <c r="M43" s="168"/>
      <c r="N43" s="169"/>
    </row>
    <row r="44" spans="1:14" ht="7.5" customHeight="1" x14ac:dyDescent="0.2">
      <c r="F44" s="58"/>
      <c r="G44" s="58"/>
      <c r="H44" s="58"/>
      <c r="I44" s="58"/>
      <c r="J44" s="58"/>
      <c r="K44" s="58"/>
      <c r="L44" s="58"/>
      <c r="M44" s="58"/>
      <c r="N44" s="58"/>
    </row>
    <row r="45" spans="1:14" ht="22.5" customHeight="1" x14ac:dyDescent="0.2">
      <c r="A45" s="6" t="s">
        <v>3</v>
      </c>
    </row>
    <row r="46" spans="1:14" ht="22.5" customHeight="1" x14ac:dyDescent="0.2">
      <c r="B46" s="99" t="s">
        <v>1</v>
      </c>
      <c r="C46" s="172" t="s">
        <v>143</v>
      </c>
      <c r="D46" s="173"/>
      <c r="E46" s="173"/>
      <c r="F46" s="173"/>
      <c r="G46" s="173"/>
      <c r="H46" s="173"/>
      <c r="I46" s="100" t="s">
        <v>2</v>
      </c>
      <c r="J46" s="101"/>
      <c r="K46" s="167" t="s">
        <v>144</v>
      </c>
      <c r="L46" s="168"/>
      <c r="M46" s="168"/>
      <c r="N46" s="169"/>
    </row>
    <row r="47" spans="1:14" ht="22.5" customHeight="1" x14ac:dyDescent="0.2">
      <c r="B47" s="99" t="s">
        <v>5</v>
      </c>
      <c r="C47" s="160" t="s">
        <v>145</v>
      </c>
      <c r="D47" s="161"/>
      <c r="E47" s="161"/>
      <c r="F47" s="161"/>
      <c r="G47" s="161"/>
      <c r="H47" s="162"/>
      <c r="I47" s="100" t="s">
        <v>4</v>
      </c>
      <c r="J47" s="101"/>
      <c r="K47" s="163" t="s">
        <v>146</v>
      </c>
      <c r="L47" s="164"/>
      <c r="M47" s="164"/>
      <c r="N47" s="165"/>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116" zoomScaleNormal="116" workbookViewId="0">
      <selection activeCell="C2" sqref="C2"/>
    </sheetView>
  </sheetViews>
  <sheetFormatPr defaultColWidth="9" defaultRowHeight="18.75" customHeight="1" x14ac:dyDescent="0.2"/>
  <cols>
    <col min="1" max="2" width="2.453125" style="18" customWidth="1"/>
    <col min="3" max="3" width="20" style="18" customWidth="1"/>
    <col min="4" max="4" width="8.7265625" style="18" customWidth="1"/>
    <col min="5" max="5" width="7.453125" style="18" customWidth="1"/>
    <col min="6" max="6" width="2.453125" style="18" customWidth="1"/>
    <col min="7" max="7" width="15" style="18" customWidth="1"/>
    <col min="8" max="8" width="12.453125" style="18" customWidth="1"/>
    <col min="9" max="9" width="11.7265625" style="18" customWidth="1"/>
    <col min="10" max="16384" width="9" style="18"/>
  </cols>
  <sheetData>
    <row r="1" spans="1:9" ht="18.75" customHeight="1" x14ac:dyDescent="0.2">
      <c r="I1" s="36" t="s">
        <v>103</v>
      </c>
    </row>
    <row r="2" spans="1:9" ht="18.75" customHeight="1" x14ac:dyDescent="0.2">
      <c r="G2" s="21" t="s">
        <v>32</v>
      </c>
      <c r="H2" s="207"/>
      <c r="I2" s="207"/>
    </row>
    <row r="3" spans="1:9" ht="7.5" customHeight="1" x14ac:dyDescent="0.2"/>
    <row r="4" spans="1:9" ht="18.75" customHeight="1" x14ac:dyDescent="0.2">
      <c r="A4" s="208" t="s">
        <v>88</v>
      </c>
      <c r="B4" s="208"/>
      <c r="C4" s="208"/>
      <c r="D4" s="208"/>
      <c r="E4" s="208"/>
      <c r="F4" s="208"/>
      <c r="G4" s="208"/>
      <c r="H4" s="208"/>
      <c r="I4" s="208"/>
    </row>
    <row r="5" spans="1:9" ht="7.5" customHeight="1" x14ac:dyDescent="0.2">
      <c r="C5" s="20"/>
      <c r="D5" s="22"/>
      <c r="E5" s="30"/>
      <c r="F5" s="20"/>
      <c r="G5" s="22"/>
      <c r="H5" s="20"/>
      <c r="I5" s="20"/>
    </row>
    <row r="6" spans="1:9" ht="18.75" customHeight="1" x14ac:dyDescent="0.2">
      <c r="A6" s="18" t="s">
        <v>7</v>
      </c>
      <c r="B6" s="18" t="s">
        <v>104</v>
      </c>
      <c r="C6" s="35"/>
      <c r="D6" s="35"/>
      <c r="E6" s="204" t="s">
        <v>150</v>
      </c>
      <c r="F6" s="205"/>
      <c r="G6" s="205"/>
      <c r="H6" s="205"/>
      <c r="I6" s="206"/>
    </row>
    <row r="7" spans="1:9" ht="7.5" customHeight="1" x14ac:dyDescent="0.2">
      <c r="C7" s="35"/>
      <c r="D7" s="35"/>
      <c r="F7" s="34"/>
      <c r="G7" s="34"/>
      <c r="H7" s="34"/>
      <c r="I7" s="34"/>
    </row>
    <row r="8" spans="1:9" ht="18.75" customHeight="1" x14ac:dyDescent="0.2">
      <c r="A8" s="86" t="s">
        <v>12</v>
      </c>
      <c r="B8" s="86" t="s">
        <v>105</v>
      </c>
      <c r="C8" s="87"/>
      <c r="D8" s="87"/>
      <c r="E8" s="87"/>
      <c r="F8" s="87"/>
      <c r="G8" s="87"/>
      <c r="H8" s="87"/>
      <c r="I8" s="87"/>
    </row>
    <row r="9" spans="1:9" ht="18.75" customHeight="1" x14ac:dyDescent="0.2">
      <c r="A9" s="86"/>
      <c r="B9" s="211" t="s">
        <v>213</v>
      </c>
      <c r="C9" s="212"/>
      <c r="D9" s="212"/>
      <c r="E9" s="212"/>
      <c r="F9" s="212"/>
      <c r="G9" s="212"/>
      <c r="H9" s="212"/>
      <c r="I9" s="213"/>
    </row>
    <row r="10" spans="1:9" ht="18.75" customHeight="1" x14ac:dyDescent="0.2">
      <c r="A10" s="86"/>
      <c r="B10" s="214"/>
      <c r="C10" s="215"/>
      <c r="D10" s="215"/>
      <c r="E10" s="215"/>
      <c r="F10" s="215"/>
      <c r="G10" s="215"/>
      <c r="H10" s="215"/>
      <c r="I10" s="216"/>
    </row>
    <row r="11" spans="1:9" ht="18.75" customHeight="1" x14ac:dyDescent="0.2">
      <c r="A11" s="86"/>
      <c r="B11" s="214"/>
      <c r="C11" s="215"/>
      <c r="D11" s="215"/>
      <c r="E11" s="215"/>
      <c r="F11" s="215"/>
      <c r="G11" s="215"/>
      <c r="H11" s="215"/>
      <c r="I11" s="216"/>
    </row>
    <row r="12" spans="1:9" ht="18.75" customHeight="1" x14ac:dyDescent="0.2">
      <c r="A12" s="86"/>
      <c r="B12" s="214"/>
      <c r="C12" s="215"/>
      <c r="D12" s="215"/>
      <c r="E12" s="215"/>
      <c r="F12" s="215"/>
      <c r="G12" s="215"/>
      <c r="H12" s="215"/>
      <c r="I12" s="216"/>
    </row>
    <row r="13" spans="1:9" ht="18.75" customHeight="1" x14ac:dyDescent="0.2">
      <c r="A13" s="86"/>
      <c r="B13" s="214"/>
      <c r="C13" s="215"/>
      <c r="D13" s="215"/>
      <c r="E13" s="215"/>
      <c r="F13" s="215"/>
      <c r="G13" s="215"/>
      <c r="H13" s="215"/>
      <c r="I13" s="216"/>
    </row>
    <row r="14" spans="1:9" ht="18.75" customHeight="1" x14ac:dyDescent="0.2">
      <c r="A14" s="86"/>
      <c r="B14" s="214"/>
      <c r="C14" s="215"/>
      <c r="D14" s="215"/>
      <c r="E14" s="215"/>
      <c r="F14" s="215"/>
      <c r="G14" s="215"/>
      <c r="H14" s="215"/>
      <c r="I14" s="216"/>
    </row>
    <row r="15" spans="1:9" ht="18.75" customHeight="1" x14ac:dyDescent="0.2">
      <c r="A15" s="86"/>
      <c r="B15" s="214"/>
      <c r="C15" s="215"/>
      <c r="D15" s="215"/>
      <c r="E15" s="215"/>
      <c r="F15" s="215"/>
      <c r="G15" s="215"/>
      <c r="H15" s="215"/>
      <c r="I15" s="216"/>
    </row>
    <row r="16" spans="1:9" ht="18.75" customHeight="1" x14ac:dyDescent="0.2">
      <c r="A16" s="86"/>
      <c r="B16" s="217"/>
      <c r="C16" s="218"/>
      <c r="D16" s="218"/>
      <c r="E16" s="218"/>
      <c r="F16" s="218"/>
      <c r="G16" s="218"/>
      <c r="H16" s="218"/>
      <c r="I16" s="219"/>
    </row>
    <row r="17" spans="1:10" ht="7.5" customHeight="1" x14ac:dyDescent="0.2">
      <c r="C17" s="35"/>
      <c r="D17" s="35"/>
      <c r="E17" s="35"/>
      <c r="F17" s="35"/>
      <c r="G17" s="35"/>
      <c r="H17" s="35"/>
      <c r="I17" s="35"/>
    </row>
    <row r="18" spans="1:10" ht="18.75" customHeight="1" x14ac:dyDescent="0.2">
      <c r="A18" s="20" t="s">
        <v>13</v>
      </c>
      <c r="B18" s="19" t="s">
        <v>106</v>
      </c>
      <c r="C18" s="19"/>
      <c r="D18" s="19"/>
      <c r="E18" s="19"/>
      <c r="F18" s="20"/>
      <c r="G18" s="22"/>
      <c r="H18" s="20"/>
      <c r="I18" s="20"/>
      <c r="J18" s="20"/>
    </row>
    <row r="19" spans="1:10" ht="18.75" customHeight="1" x14ac:dyDescent="0.2">
      <c r="A19" s="209" t="s">
        <v>106</v>
      </c>
      <c r="B19" s="209"/>
      <c r="C19" s="209"/>
      <c r="D19" s="209"/>
      <c r="E19" s="209"/>
      <c r="F19" s="210" t="s">
        <v>106</v>
      </c>
      <c r="G19" s="210"/>
      <c r="H19" s="210"/>
      <c r="I19" s="210"/>
    </row>
    <row r="20" spans="1:10" ht="18.75" customHeight="1" x14ac:dyDescent="0.2">
      <c r="A20" s="37">
        <v>1</v>
      </c>
      <c r="B20" s="172" t="s">
        <v>148</v>
      </c>
      <c r="C20" s="173"/>
      <c r="D20" s="173"/>
      <c r="E20" s="200"/>
      <c r="F20" s="37">
        <v>26</v>
      </c>
      <c r="G20" s="220"/>
      <c r="H20" s="221"/>
      <c r="I20" s="222"/>
    </row>
    <row r="21" spans="1:10" ht="18.75" customHeight="1" x14ac:dyDescent="0.2">
      <c r="A21" s="37">
        <v>2</v>
      </c>
      <c r="B21" s="172" t="s">
        <v>149</v>
      </c>
      <c r="C21" s="173"/>
      <c r="D21" s="173"/>
      <c r="E21" s="200"/>
      <c r="F21" s="84">
        <v>27</v>
      </c>
      <c r="G21" s="226"/>
      <c r="H21" s="226"/>
      <c r="I21" s="226"/>
      <c r="J21" s="79"/>
    </row>
    <row r="22" spans="1:10" ht="18.75" customHeight="1" x14ac:dyDescent="0.2">
      <c r="A22" s="37">
        <v>3</v>
      </c>
      <c r="B22" s="227" t="s">
        <v>175</v>
      </c>
      <c r="C22" s="228"/>
      <c r="D22" s="228"/>
      <c r="E22" s="229"/>
      <c r="F22" s="37">
        <v>28</v>
      </c>
      <c r="G22" s="223"/>
      <c r="H22" s="224"/>
      <c r="I22" s="225"/>
    </row>
    <row r="23" spans="1:10" ht="18.75" customHeight="1" x14ac:dyDescent="0.2">
      <c r="A23" s="37">
        <v>4</v>
      </c>
      <c r="B23" s="172"/>
      <c r="C23" s="173"/>
      <c r="D23" s="173"/>
      <c r="E23" s="200"/>
      <c r="F23" s="37">
        <v>29</v>
      </c>
      <c r="G23" s="172"/>
      <c r="H23" s="173"/>
      <c r="I23" s="200"/>
    </row>
    <row r="24" spans="1:10" ht="18.75" customHeight="1" x14ac:dyDescent="0.2">
      <c r="A24" s="37">
        <v>5</v>
      </c>
      <c r="B24" s="172"/>
      <c r="C24" s="173"/>
      <c r="D24" s="173"/>
      <c r="E24" s="200"/>
      <c r="F24" s="37">
        <v>30</v>
      </c>
      <c r="G24" s="172"/>
      <c r="H24" s="173"/>
      <c r="I24" s="200"/>
    </row>
    <row r="25" spans="1:10" ht="18.75" customHeight="1" x14ac:dyDescent="0.2">
      <c r="A25" s="37">
        <v>6</v>
      </c>
      <c r="B25" s="172"/>
      <c r="C25" s="173"/>
      <c r="D25" s="173"/>
      <c r="E25" s="200"/>
      <c r="F25" s="37">
        <v>31</v>
      </c>
      <c r="G25" s="172"/>
      <c r="H25" s="173"/>
      <c r="I25" s="200"/>
    </row>
    <row r="26" spans="1:10" ht="18.75" customHeight="1" x14ac:dyDescent="0.2">
      <c r="A26" s="37">
        <v>7</v>
      </c>
      <c r="B26" s="172"/>
      <c r="C26" s="173"/>
      <c r="D26" s="173"/>
      <c r="E26" s="200"/>
      <c r="F26" s="37">
        <v>32</v>
      </c>
      <c r="G26" s="172"/>
      <c r="H26" s="173"/>
      <c r="I26" s="200"/>
    </row>
    <row r="27" spans="1:10" ht="18.75" customHeight="1" x14ac:dyDescent="0.2">
      <c r="A27" s="37">
        <v>8</v>
      </c>
      <c r="B27" s="172"/>
      <c r="C27" s="173"/>
      <c r="D27" s="173"/>
      <c r="E27" s="200"/>
      <c r="F27" s="37">
        <v>33</v>
      </c>
      <c r="G27" s="172"/>
      <c r="H27" s="173"/>
      <c r="I27" s="200"/>
    </row>
    <row r="28" spans="1:10" ht="18.75" customHeight="1" x14ac:dyDescent="0.2">
      <c r="A28" s="37">
        <v>9</v>
      </c>
      <c r="B28" s="230"/>
      <c r="C28" s="173"/>
      <c r="D28" s="173"/>
      <c r="E28" s="200"/>
      <c r="F28" s="37">
        <v>34</v>
      </c>
      <c r="G28" s="172"/>
      <c r="H28" s="173"/>
      <c r="I28" s="200"/>
    </row>
    <row r="29" spans="1:10" ht="18.75" customHeight="1" x14ac:dyDescent="0.2">
      <c r="A29" s="37">
        <v>10</v>
      </c>
      <c r="B29" s="172"/>
      <c r="C29" s="173"/>
      <c r="D29" s="173"/>
      <c r="E29" s="200"/>
      <c r="F29" s="37">
        <v>35</v>
      </c>
      <c r="G29" s="172"/>
      <c r="H29" s="173"/>
      <c r="I29" s="200"/>
    </row>
    <row r="30" spans="1:10" ht="18.75" customHeight="1" x14ac:dyDescent="0.2">
      <c r="A30" s="37">
        <v>11</v>
      </c>
      <c r="B30" s="172"/>
      <c r="C30" s="173"/>
      <c r="D30" s="173"/>
      <c r="E30" s="200"/>
      <c r="F30" s="37">
        <v>36</v>
      </c>
      <c r="G30" s="172"/>
      <c r="H30" s="173"/>
      <c r="I30" s="200"/>
    </row>
    <row r="31" spans="1:10" ht="18.75" customHeight="1" x14ac:dyDescent="0.2">
      <c r="A31" s="37">
        <v>12</v>
      </c>
      <c r="B31" s="172"/>
      <c r="C31" s="173"/>
      <c r="D31" s="173"/>
      <c r="E31" s="200"/>
      <c r="F31" s="37">
        <v>37</v>
      </c>
      <c r="G31" s="172"/>
      <c r="H31" s="173"/>
      <c r="I31" s="200"/>
    </row>
    <row r="32" spans="1:10" ht="18.75" customHeight="1" x14ac:dyDescent="0.2">
      <c r="A32" s="37">
        <v>13</v>
      </c>
      <c r="B32" s="172"/>
      <c r="C32" s="173"/>
      <c r="D32" s="173"/>
      <c r="E32" s="200"/>
      <c r="F32" s="37">
        <v>38</v>
      </c>
      <c r="G32" s="201"/>
      <c r="H32" s="202"/>
      <c r="I32" s="203"/>
    </row>
    <row r="33" spans="1:9" ht="18.75" customHeight="1" x14ac:dyDescent="0.2">
      <c r="A33" s="37">
        <v>14</v>
      </c>
      <c r="B33" s="172"/>
      <c r="C33" s="173"/>
      <c r="D33" s="173"/>
      <c r="E33" s="200"/>
      <c r="F33" s="37">
        <v>39</v>
      </c>
      <c r="G33" s="194"/>
      <c r="H33" s="195"/>
      <c r="I33" s="196"/>
    </row>
    <row r="34" spans="1:9" ht="18.75" customHeight="1" x14ac:dyDescent="0.2">
      <c r="A34" s="37">
        <v>15</v>
      </c>
      <c r="B34" s="172"/>
      <c r="C34" s="173"/>
      <c r="D34" s="173"/>
      <c r="E34" s="200"/>
      <c r="F34" s="37">
        <v>40</v>
      </c>
      <c r="G34" s="197"/>
      <c r="H34" s="198"/>
      <c r="I34" s="199"/>
    </row>
    <row r="35" spans="1:9" ht="18.75" customHeight="1" x14ac:dyDescent="0.2">
      <c r="A35" s="37">
        <v>16</v>
      </c>
      <c r="B35" s="172"/>
      <c r="C35" s="173"/>
      <c r="D35" s="173"/>
      <c r="E35" s="200"/>
      <c r="F35" s="37">
        <v>41</v>
      </c>
      <c r="G35" s="197"/>
      <c r="H35" s="198"/>
      <c r="I35" s="199"/>
    </row>
    <row r="36" spans="1:9" ht="18.75" customHeight="1" x14ac:dyDescent="0.2">
      <c r="A36" s="37">
        <v>17</v>
      </c>
      <c r="B36" s="172"/>
      <c r="C36" s="173"/>
      <c r="D36" s="173"/>
      <c r="E36" s="200"/>
      <c r="F36" s="37">
        <v>42</v>
      </c>
      <c r="G36" s="197"/>
      <c r="H36" s="198"/>
      <c r="I36" s="199"/>
    </row>
    <row r="37" spans="1:9" ht="18.75" customHeight="1" x14ac:dyDescent="0.2">
      <c r="A37" s="37">
        <v>18</v>
      </c>
      <c r="B37" s="172"/>
      <c r="C37" s="173"/>
      <c r="D37" s="173"/>
      <c r="E37" s="200"/>
      <c r="F37" s="37">
        <v>43</v>
      </c>
      <c r="G37" s="197"/>
      <c r="H37" s="198"/>
      <c r="I37" s="199"/>
    </row>
    <row r="38" spans="1:9" ht="18.75" customHeight="1" x14ac:dyDescent="0.2">
      <c r="A38" s="37">
        <v>19</v>
      </c>
      <c r="B38" s="172"/>
      <c r="C38" s="173"/>
      <c r="D38" s="173"/>
      <c r="E38" s="200"/>
      <c r="F38" s="37">
        <v>44</v>
      </c>
      <c r="G38" s="197"/>
      <c r="H38" s="198"/>
      <c r="I38" s="199"/>
    </row>
    <row r="39" spans="1:9" ht="18.75" customHeight="1" x14ac:dyDescent="0.2">
      <c r="A39" s="37">
        <v>20</v>
      </c>
      <c r="B39" s="172"/>
      <c r="C39" s="173"/>
      <c r="D39" s="173"/>
      <c r="E39" s="200"/>
      <c r="F39" s="37">
        <v>45</v>
      </c>
      <c r="G39" s="197"/>
      <c r="H39" s="198"/>
      <c r="I39" s="199"/>
    </row>
    <row r="40" spans="1:9" ht="18.75" customHeight="1" x14ac:dyDescent="0.2">
      <c r="A40" s="37">
        <v>21</v>
      </c>
      <c r="B40" s="172"/>
      <c r="C40" s="173"/>
      <c r="D40" s="173"/>
      <c r="E40" s="200"/>
      <c r="F40" s="37">
        <v>46</v>
      </c>
      <c r="G40" s="197"/>
      <c r="H40" s="198"/>
      <c r="I40" s="199"/>
    </row>
    <row r="41" spans="1:9" ht="18.75" customHeight="1" x14ac:dyDescent="0.2">
      <c r="A41" s="37">
        <v>22</v>
      </c>
      <c r="B41" s="172"/>
      <c r="C41" s="173"/>
      <c r="D41" s="173"/>
      <c r="E41" s="200"/>
      <c r="F41" s="37">
        <v>47</v>
      </c>
      <c r="G41" s="197"/>
      <c r="H41" s="198"/>
      <c r="I41" s="199"/>
    </row>
    <row r="42" spans="1:9" ht="18.75" customHeight="1" x14ac:dyDescent="0.2">
      <c r="A42" s="37">
        <v>23</v>
      </c>
      <c r="B42" s="172"/>
      <c r="C42" s="173"/>
      <c r="D42" s="173"/>
      <c r="E42" s="200"/>
      <c r="F42" s="37">
        <v>48</v>
      </c>
      <c r="G42" s="197"/>
      <c r="H42" s="198"/>
      <c r="I42" s="199"/>
    </row>
    <row r="43" spans="1:9" ht="18.75" customHeight="1" x14ac:dyDescent="0.2">
      <c r="A43" s="37">
        <v>24</v>
      </c>
      <c r="B43" s="172"/>
      <c r="C43" s="173"/>
      <c r="D43" s="173"/>
      <c r="E43" s="200"/>
      <c r="F43" s="37">
        <v>49</v>
      </c>
      <c r="G43" s="197"/>
      <c r="H43" s="198"/>
      <c r="I43" s="199"/>
    </row>
    <row r="44" spans="1:9" ht="18.75" customHeight="1" x14ac:dyDescent="0.2">
      <c r="A44" s="37">
        <v>25</v>
      </c>
      <c r="B44" s="172"/>
      <c r="C44" s="173"/>
      <c r="D44" s="173"/>
      <c r="E44" s="200"/>
      <c r="F44" s="37">
        <v>50</v>
      </c>
      <c r="G44" s="197"/>
      <c r="H44" s="198"/>
      <c r="I44" s="199"/>
    </row>
  </sheetData>
  <mergeCells count="56">
    <mergeCell ref="B26:E26"/>
    <mergeCell ref="B27:E27"/>
    <mergeCell ref="B28:E28"/>
    <mergeCell ref="B29:E29"/>
    <mergeCell ref="B25:E25"/>
    <mergeCell ref="B20:E20"/>
    <mergeCell ref="B21:E21"/>
    <mergeCell ref="B23:E23"/>
    <mergeCell ref="B24:E24"/>
    <mergeCell ref="G20:I20"/>
    <mergeCell ref="G23:I23"/>
    <mergeCell ref="G22:I22"/>
    <mergeCell ref="G21:I21"/>
    <mergeCell ref="G24:I24"/>
    <mergeCell ref="B22:E22"/>
    <mergeCell ref="E6:I6"/>
    <mergeCell ref="H2:I2"/>
    <mergeCell ref="A4:I4"/>
    <mergeCell ref="A19:E19"/>
    <mergeCell ref="F19:I19"/>
    <mergeCell ref="B9:I16"/>
    <mergeCell ref="B36:E36"/>
    <mergeCell ref="B37:E37"/>
    <mergeCell ref="B38:E38"/>
    <mergeCell ref="B39:E39"/>
    <mergeCell ref="B30:E30"/>
    <mergeCell ref="B31:E31"/>
    <mergeCell ref="B32:E32"/>
    <mergeCell ref="B33:E33"/>
    <mergeCell ref="B34:E34"/>
    <mergeCell ref="B35:E35"/>
    <mergeCell ref="G25:I25"/>
    <mergeCell ref="G30:I30"/>
    <mergeCell ref="G31:I31"/>
    <mergeCell ref="G32:I32"/>
    <mergeCell ref="G26:I26"/>
    <mergeCell ref="G27:I27"/>
    <mergeCell ref="G28:I28"/>
    <mergeCell ref="G29:I29"/>
    <mergeCell ref="B40:E40"/>
    <mergeCell ref="B41:E41"/>
    <mergeCell ref="B42:E42"/>
    <mergeCell ref="B43:E43"/>
    <mergeCell ref="B44:E44"/>
    <mergeCell ref="G33:I33"/>
    <mergeCell ref="G44:I44"/>
    <mergeCell ref="G39:I39"/>
    <mergeCell ref="G40:I40"/>
    <mergeCell ref="G41:I41"/>
    <mergeCell ref="G42:I42"/>
    <mergeCell ref="G43:I43"/>
    <mergeCell ref="G34:I34"/>
    <mergeCell ref="G35:I35"/>
    <mergeCell ref="G36:I36"/>
    <mergeCell ref="G37:I37"/>
    <mergeCell ref="G38:I3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zoomScale="140" zoomScaleNormal="140" workbookViewId="0">
      <selection activeCell="F20" sqref="F20"/>
    </sheetView>
  </sheetViews>
  <sheetFormatPr defaultColWidth="9" defaultRowHeight="18.75" customHeight="1" x14ac:dyDescent="0.2"/>
  <cols>
    <col min="1" max="1" width="2.453125" style="1" customWidth="1"/>
    <col min="2" max="2" width="12.453125" style="1" customWidth="1"/>
    <col min="3" max="3" width="21" style="1" customWidth="1"/>
    <col min="4" max="18" width="6.26953125" style="1" customWidth="1"/>
    <col min="19" max="16384" width="9" style="1"/>
  </cols>
  <sheetData>
    <row r="1" spans="1:20" ht="18.75" customHeight="1" x14ac:dyDescent="0.2">
      <c r="F1" s="231" t="s">
        <v>72</v>
      </c>
      <c r="G1" s="231"/>
      <c r="H1" s="231"/>
      <c r="I1" s="231"/>
      <c r="J1" s="231"/>
      <c r="K1" s="231"/>
      <c r="L1" s="231"/>
      <c r="M1" s="231"/>
      <c r="N1" s="231"/>
      <c r="O1" s="231"/>
      <c r="P1" s="231"/>
      <c r="Q1" s="231"/>
      <c r="R1" s="231"/>
    </row>
    <row r="2" spans="1:20" ht="18.75" customHeight="1" x14ac:dyDescent="0.2">
      <c r="D2" s="56"/>
      <c r="E2" s="56"/>
      <c r="F2" s="56"/>
      <c r="G2" s="56"/>
      <c r="H2" s="56"/>
      <c r="I2" s="56"/>
      <c r="J2" s="56"/>
      <c r="K2" s="242" t="s">
        <v>168</v>
      </c>
      <c r="L2" s="242"/>
      <c r="M2" s="243"/>
      <c r="N2" s="56"/>
      <c r="O2" s="56"/>
      <c r="P2" s="56"/>
      <c r="Q2" s="56"/>
      <c r="R2" s="56"/>
    </row>
    <row r="3" spans="1:20" ht="7.5" customHeight="1" x14ac:dyDescent="0.2">
      <c r="A3" s="117"/>
      <c r="B3" s="117"/>
      <c r="C3" s="117"/>
      <c r="D3" s="117"/>
      <c r="E3" s="117"/>
      <c r="F3" s="117"/>
      <c r="G3" s="117"/>
      <c r="H3" s="117"/>
      <c r="I3" s="117"/>
      <c r="J3" s="117"/>
      <c r="K3" s="117"/>
      <c r="L3" s="117"/>
      <c r="M3" s="117"/>
      <c r="N3" s="117"/>
      <c r="O3" s="117"/>
      <c r="P3" s="117"/>
      <c r="Q3" s="117"/>
      <c r="R3" s="117"/>
    </row>
    <row r="4" spans="1:20" ht="18.75" customHeight="1" x14ac:dyDescent="0.2">
      <c r="A4" s="241" t="s">
        <v>126</v>
      </c>
      <c r="B4" s="241"/>
      <c r="C4" s="241"/>
      <c r="D4" s="241"/>
      <c r="E4" s="241"/>
      <c r="F4" s="241"/>
      <c r="G4" s="241"/>
      <c r="H4" s="241"/>
      <c r="I4" s="241"/>
      <c r="J4" s="241"/>
      <c r="K4" s="241"/>
      <c r="L4" s="241"/>
      <c r="M4" s="241"/>
      <c r="N4" s="241"/>
      <c r="O4" s="241"/>
      <c r="P4" s="241"/>
      <c r="Q4" s="241"/>
      <c r="R4" s="241"/>
      <c r="S4" s="3"/>
    </row>
    <row r="5" spans="1:20" ht="7.5" customHeight="1" x14ac:dyDescent="0.2">
      <c r="A5" s="113"/>
      <c r="B5" s="113"/>
      <c r="C5" s="113"/>
      <c r="D5" s="113"/>
      <c r="E5" s="113"/>
      <c r="F5" s="113"/>
      <c r="G5" s="113"/>
      <c r="H5" s="113"/>
      <c r="I5" s="113"/>
      <c r="J5" s="113"/>
      <c r="K5" s="113"/>
      <c r="L5" s="113"/>
      <c r="M5" s="113"/>
      <c r="N5" s="113"/>
      <c r="O5" s="113"/>
      <c r="P5" s="113"/>
      <c r="Q5" s="113"/>
      <c r="R5" s="113"/>
    </row>
    <row r="6" spans="1:20" ht="18.75" customHeight="1" x14ac:dyDescent="0.2">
      <c r="A6" s="117"/>
      <c r="B6" s="246" t="s">
        <v>131</v>
      </c>
      <c r="C6" s="247"/>
      <c r="D6" s="232" t="s">
        <v>89</v>
      </c>
      <c r="E6" s="234" t="s">
        <v>120</v>
      </c>
      <c r="F6" s="234"/>
      <c r="G6" s="234" t="s">
        <v>121</v>
      </c>
      <c r="H6" s="234"/>
      <c r="I6" s="235" t="s">
        <v>122</v>
      </c>
      <c r="J6" s="236"/>
      <c r="K6" s="235" t="s">
        <v>123</v>
      </c>
      <c r="L6" s="236"/>
      <c r="M6" s="235" t="s">
        <v>124</v>
      </c>
      <c r="N6" s="236"/>
      <c r="O6" s="235" t="s">
        <v>125</v>
      </c>
      <c r="P6" s="236"/>
      <c r="Q6" s="237" t="s">
        <v>71</v>
      </c>
      <c r="R6" s="239" t="s">
        <v>65</v>
      </c>
      <c r="T6" s="57"/>
    </row>
    <row r="7" spans="1:20" ht="18.75" customHeight="1" x14ac:dyDescent="0.2">
      <c r="A7" s="117"/>
      <c r="B7" s="248"/>
      <c r="C7" s="249"/>
      <c r="D7" s="233"/>
      <c r="E7" s="118" t="s">
        <v>52</v>
      </c>
      <c r="F7" s="119" t="s">
        <v>51</v>
      </c>
      <c r="G7" s="120" t="s">
        <v>52</v>
      </c>
      <c r="H7" s="121" t="s">
        <v>51</v>
      </c>
      <c r="I7" s="118" t="s">
        <v>52</v>
      </c>
      <c r="J7" s="119" t="s">
        <v>51</v>
      </c>
      <c r="K7" s="120" t="s">
        <v>52</v>
      </c>
      <c r="L7" s="121" t="s">
        <v>51</v>
      </c>
      <c r="M7" s="118" t="s">
        <v>52</v>
      </c>
      <c r="N7" s="119" t="s">
        <v>51</v>
      </c>
      <c r="O7" s="120" t="s">
        <v>52</v>
      </c>
      <c r="P7" s="121" t="s">
        <v>51</v>
      </c>
      <c r="Q7" s="238"/>
      <c r="R7" s="240"/>
      <c r="T7" s="57"/>
    </row>
    <row r="8" spans="1:20" ht="18.75" customHeight="1" x14ac:dyDescent="0.2">
      <c r="A8" s="104"/>
      <c r="B8" s="256" t="s">
        <v>157</v>
      </c>
      <c r="C8" s="257"/>
      <c r="D8" s="122">
        <v>400</v>
      </c>
      <c r="E8" s="144">
        <v>11</v>
      </c>
      <c r="F8" s="146">
        <v>2</v>
      </c>
      <c r="G8" s="147">
        <v>4</v>
      </c>
      <c r="H8" s="148">
        <v>0</v>
      </c>
      <c r="I8" s="149">
        <v>3</v>
      </c>
      <c r="J8" s="146">
        <v>0</v>
      </c>
      <c r="K8" s="147"/>
      <c r="L8" s="148"/>
      <c r="M8" s="149"/>
      <c r="N8" s="146"/>
      <c r="O8" s="147"/>
      <c r="P8" s="148"/>
      <c r="Q8" s="150">
        <f>E8+G8+I8+K8+M8+O8</f>
        <v>18</v>
      </c>
      <c r="R8" s="151">
        <f>Q8/D8</f>
        <v>4.4999999999999998E-2</v>
      </c>
    </row>
    <row r="9" spans="1:20" ht="18.75" customHeight="1" x14ac:dyDescent="0.2">
      <c r="A9" s="104"/>
      <c r="B9" s="252" t="s">
        <v>158</v>
      </c>
      <c r="C9" s="253"/>
      <c r="D9" s="123">
        <v>1500</v>
      </c>
      <c r="E9" s="145">
        <v>31</v>
      </c>
      <c r="F9" s="152">
        <v>1</v>
      </c>
      <c r="G9" s="153">
        <v>27</v>
      </c>
      <c r="H9" s="154">
        <v>8</v>
      </c>
      <c r="I9" s="155">
        <v>11</v>
      </c>
      <c r="J9" s="152">
        <v>1</v>
      </c>
      <c r="K9" s="153"/>
      <c r="L9" s="154"/>
      <c r="M9" s="155"/>
      <c r="N9" s="152"/>
      <c r="O9" s="153"/>
      <c r="P9" s="154"/>
      <c r="Q9" s="156">
        <f t="shared" ref="Q9:Q27" si="0">E9+G9+I9+K9+M9+O9</f>
        <v>69</v>
      </c>
      <c r="R9" s="157">
        <f t="shared" ref="R9:R27" si="1">Q9/D9</f>
        <v>4.5999999999999999E-2</v>
      </c>
    </row>
    <row r="10" spans="1:20" ht="18.75" customHeight="1" x14ac:dyDescent="0.2">
      <c r="A10" s="104"/>
      <c r="B10" s="252" t="s">
        <v>159</v>
      </c>
      <c r="C10" s="253"/>
      <c r="D10" s="123">
        <v>760</v>
      </c>
      <c r="E10" s="145">
        <v>21</v>
      </c>
      <c r="F10" s="152">
        <v>0</v>
      </c>
      <c r="G10" s="153">
        <v>18</v>
      </c>
      <c r="H10" s="154">
        <v>2</v>
      </c>
      <c r="I10" s="155">
        <v>4</v>
      </c>
      <c r="J10" s="152">
        <v>0</v>
      </c>
      <c r="K10" s="153"/>
      <c r="L10" s="154"/>
      <c r="M10" s="155"/>
      <c r="N10" s="152"/>
      <c r="O10" s="153"/>
      <c r="P10" s="154"/>
      <c r="Q10" s="156">
        <f t="shared" si="0"/>
        <v>43</v>
      </c>
      <c r="R10" s="157">
        <f t="shared" si="1"/>
        <v>5.6578947368421055E-2</v>
      </c>
    </row>
    <row r="11" spans="1:20" ht="18.75" customHeight="1" x14ac:dyDescent="0.2">
      <c r="A11" s="104"/>
      <c r="B11" s="252" t="s">
        <v>160</v>
      </c>
      <c r="C11" s="253"/>
      <c r="D11" s="123">
        <v>1120</v>
      </c>
      <c r="E11" s="145">
        <v>50</v>
      </c>
      <c r="F11" s="152">
        <v>1</v>
      </c>
      <c r="G11" s="153">
        <v>32</v>
      </c>
      <c r="H11" s="154">
        <v>6</v>
      </c>
      <c r="I11" s="155">
        <v>19</v>
      </c>
      <c r="J11" s="152">
        <v>1</v>
      </c>
      <c r="K11" s="153"/>
      <c r="L11" s="154"/>
      <c r="M11" s="155"/>
      <c r="N11" s="152"/>
      <c r="O11" s="153"/>
      <c r="P11" s="154"/>
      <c r="Q11" s="156">
        <f t="shared" si="0"/>
        <v>101</v>
      </c>
      <c r="R11" s="157">
        <f t="shared" si="1"/>
        <v>9.0178571428571427E-2</v>
      </c>
    </row>
    <row r="12" spans="1:20" ht="18.75" customHeight="1" x14ac:dyDescent="0.2">
      <c r="A12" s="104"/>
      <c r="B12" s="252" t="s">
        <v>161</v>
      </c>
      <c r="C12" s="253"/>
      <c r="D12" s="123">
        <v>1080</v>
      </c>
      <c r="E12" s="145">
        <v>50</v>
      </c>
      <c r="F12" s="152">
        <v>1</v>
      </c>
      <c r="G12" s="153">
        <v>44</v>
      </c>
      <c r="H12" s="154">
        <v>7</v>
      </c>
      <c r="I12" s="155">
        <v>23</v>
      </c>
      <c r="J12" s="152">
        <v>4</v>
      </c>
      <c r="K12" s="153"/>
      <c r="L12" s="154"/>
      <c r="M12" s="155"/>
      <c r="N12" s="152"/>
      <c r="O12" s="153"/>
      <c r="P12" s="154"/>
      <c r="Q12" s="156">
        <f t="shared" si="0"/>
        <v>117</v>
      </c>
      <c r="R12" s="157">
        <f t="shared" si="1"/>
        <v>0.10833333333333334</v>
      </c>
    </row>
    <row r="13" spans="1:20" ht="18.75" customHeight="1" x14ac:dyDescent="0.2">
      <c r="A13" s="104"/>
      <c r="B13" s="252" t="s">
        <v>162</v>
      </c>
      <c r="C13" s="253"/>
      <c r="D13" s="123">
        <v>662</v>
      </c>
      <c r="E13" s="145">
        <v>42</v>
      </c>
      <c r="F13" s="152">
        <v>2</v>
      </c>
      <c r="G13" s="153">
        <v>42</v>
      </c>
      <c r="H13" s="154">
        <v>10</v>
      </c>
      <c r="I13" s="155">
        <v>13</v>
      </c>
      <c r="J13" s="152">
        <v>5</v>
      </c>
      <c r="K13" s="153"/>
      <c r="L13" s="154"/>
      <c r="M13" s="155"/>
      <c r="N13" s="152"/>
      <c r="O13" s="153"/>
      <c r="P13" s="154"/>
      <c r="Q13" s="156">
        <f t="shared" si="0"/>
        <v>97</v>
      </c>
      <c r="R13" s="157">
        <f t="shared" si="1"/>
        <v>0.14652567975830816</v>
      </c>
    </row>
    <row r="14" spans="1:20" ht="18.75" customHeight="1" x14ac:dyDescent="0.2">
      <c r="A14" s="104"/>
      <c r="B14" s="252" t="s">
        <v>163</v>
      </c>
      <c r="C14" s="253"/>
      <c r="D14" s="123">
        <v>697</v>
      </c>
      <c r="E14" s="145">
        <v>0</v>
      </c>
      <c r="F14" s="152">
        <v>0</v>
      </c>
      <c r="G14" s="153">
        <v>3</v>
      </c>
      <c r="H14" s="154">
        <v>0</v>
      </c>
      <c r="I14" s="155">
        <v>0</v>
      </c>
      <c r="J14" s="152">
        <v>0</v>
      </c>
      <c r="K14" s="153"/>
      <c r="L14" s="154"/>
      <c r="M14" s="155"/>
      <c r="N14" s="152"/>
      <c r="O14" s="153"/>
      <c r="P14" s="154"/>
      <c r="Q14" s="156">
        <f t="shared" si="0"/>
        <v>3</v>
      </c>
      <c r="R14" s="157">
        <f t="shared" si="1"/>
        <v>4.30416068866571E-3</v>
      </c>
    </row>
    <row r="15" spans="1:20" ht="18.75" customHeight="1" x14ac:dyDescent="0.2">
      <c r="A15" s="104"/>
      <c r="B15" s="252" t="s">
        <v>164</v>
      </c>
      <c r="C15" s="253"/>
      <c r="D15" s="129">
        <v>640</v>
      </c>
      <c r="E15" s="145">
        <v>11</v>
      </c>
      <c r="F15" s="154">
        <v>0</v>
      </c>
      <c r="G15" s="145">
        <v>12</v>
      </c>
      <c r="H15" s="158">
        <v>0</v>
      </c>
      <c r="I15" s="155">
        <v>1</v>
      </c>
      <c r="J15" s="152">
        <v>0</v>
      </c>
      <c r="K15" s="153"/>
      <c r="L15" s="154"/>
      <c r="M15" s="155"/>
      <c r="N15" s="152"/>
      <c r="O15" s="153"/>
      <c r="P15" s="154"/>
      <c r="Q15" s="156">
        <f t="shared" si="0"/>
        <v>24</v>
      </c>
      <c r="R15" s="157">
        <f>Q15/D15</f>
        <v>3.7499999999999999E-2</v>
      </c>
    </row>
    <row r="16" spans="1:20" ht="18.75" customHeight="1" x14ac:dyDescent="0.2">
      <c r="A16" s="104"/>
      <c r="B16" s="252" t="s">
        <v>165</v>
      </c>
      <c r="C16" s="253"/>
      <c r="D16" s="123">
        <v>2300</v>
      </c>
      <c r="E16" s="145">
        <v>118</v>
      </c>
      <c r="F16" s="152">
        <v>2</v>
      </c>
      <c r="G16" s="153">
        <v>60</v>
      </c>
      <c r="H16" s="154">
        <v>14</v>
      </c>
      <c r="I16" s="155">
        <v>69</v>
      </c>
      <c r="J16" s="152">
        <v>20</v>
      </c>
      <c r="K16" s="153"/>
      <c r="L16" s="154"/>
      <c r="M16" s="155"/>
      <c r="N16" s="152"/>
      <c r="O16" s="153"/>
      <c r="P16" s="154"/>
      <c r="Q16" s="156">
        <f t="shared" si="0"/>
        <v>247</v>
      </c>
      <c r="R16" s="157">
        <f>Q17/D16</f>
        <v>1.2608695652173913E-2</v>
      </c>
    </row>
    <row r="17" spans="1:18" ht="18.75" customHeight="1" x14ac:dyDescent="0.2">
      <c r="A17" s="104"/>
      <c r="B17" s="252" t="s">
        <v>166</v>
      </c>
      <c r="C17" s="253"/>
      <c r="D17" s="123">
        <v>660</v>
      </c>
      <c r="E17" s="145">
        <v>15</v>
      </c>
      <c r="F17" s="152">
        <v>0</v>
      </c>
      <c r="G17" s="153">
        <v>14</v>
      </c>
      <c r="H17" s="154">
        <v>2</v>
      </c>
      <c r="I17" s="155">
        <v>3</v>
      </c>
      <c r="J17" s="152">
        <v>1</v>
      </c>
      <c r="K17" s="153"/>
      <c r="L17" s="154"/>
      <c r="M17" s="155"/>
      <c r="N17" s="152"/>
      <c r="O17" s="153"/>
      <c r="P17" s="154"/>
      <c r="Q17" s="156">
        <f>E17+G17+I117+K17+M17+O17</f>
        <v>29</v>
      </c>
      <c r="R17" s="157">
        <f>Q17/D17</f>
        <v>4.3939393939393938E-2</v>
      </c>
    </row>
    <row r="18" spans="1:18" ht="18.75" customHeight="1" x14ac:dyDescent="0.2">
      <c r="A18" s="104"/>
      <c r="B18" s="252" t="s">
        <v>167</v>
      </c>
      <c r="C18" s="253"/>
      <c r="D18" s="123">
        <v>820</v>
      </c>
      <c r="E18" s="145">
        <v>35</v>
      </c>
      <c r="F18" s="152">
        <v>0</v>
      </c>
      <c r="G18" s="153">
        <v>32</v>
      </c>
      <c r="H18" s="154">
        <v>0</v>
      </c>
      <c r="I18" s="155">
        <v>22</v>
      </c>
      <c r="J18" s="152">
        <v>0</v>
      </c>
      <c r="K18" s="153"/>
      <c r="L18" s="154"/>
      <c r="M18" s="155"/>
      <c r="N18" s="152"/>
      <c r="O18" s="153"/>
      <c r="P18" s="154"/>
      <c r="Q18" s="156">
        <f>E18+G18+I118+K18+M18+O18</f>
        <v>67</v>
      </c>
      <c r="R18" s="157">
        <f>Q18/D18</f>
        <v>8.1707317073170735E-2</v>
      </c>
    </row>
    <row r="19" spans="1:18" ht="18.75" customHeight="1" x14ac:dyDescent="0.2">
      <c r="A19" s="104"/>
      <c r="B19" s="252"/>
      <c r="C19" s="253"/>
      <c r="D19" s="123"/>
      <c r="E19" s="127"/>
      <c r="F19" s="124"/>
      <c r="G19" s="125"/>
      <c r="H19" s="126"/>
      <c r="I19" s="127"/>
      <c r="J19" s="124"/>
      <c r="K19" s="125"/>
      <c r="L19" s="126"/>
      <c r="M19" s="127"/>
      <c r="N19" s="124"/>
      <c r="O19" s="125"/>
      <c r="P19" s="126"/>
      <c r="Q19" s="128">
        <f>E19+G19+I119+K19+M19+O19</f>
        <v>0</v>
      </c>
      <c r="R19" s="141" t="e">
        <f t="shared" si="1"/>
        <v>#DIV/0!</v>
      </c>
    </row>
    <row r="20" spans="1:18" ht="18.75" customHeight="1" x14ac:dyDescent="0.2">
      <c r="A20" s="104"/>
      <c r="B20" s="252"/>
      <c r="C20" s="253"/>
      <c r="D20" s="123"/>
      <c r="E20" s="127"/>
      <c r="F20" s="124"/>
      <c r="G20" s="125"/>
      <c r="H20" s="126"/>
      <c r="I20" s="127"/>
      <c r="J20" s="124"/>
      <c r="K20" s="125"/>
      <c r="L20" s="126"/>
      <c r="M20" s="127"/>
      <c r="N20" s="124"/>
      <c r="O20" s="125"/>
      <c r="P20" s="126"/>
      <c r="Q20" s="128">
        <f t="shared" si="0"/>
        <v>0</v>
      </c>
      <c r="R20" s="141" t="e">
        <f t="shared" si="1"/>
        <v>#DIV/0!</v>
      </c>
    </row>
    <row r="21" spans="1:18" ht="18.75" customHeight="1" x14ac:dyDescent="0.2">
      <c r="A21" s="58"/>
      <c r="B21" s="250"/>
      <c r="C21" s="251"/>
      <c r="D21" s="64"/>
      <c r="E21" s="65"/>
      <c r="F21" s="66"/>
      <c r="G21" s="67"/>
      <c r="H21" s="68"/>
      <c r="I21" s="65"/>
      <c r="J21" s="66"/>
      <c r="K21" s="67"/>
      <c r="L21" s="68"/>
      <c r="M21" s="65"/>
      <c r="N21" s="66"/>
      <c r="O21" s="67"/>
      <c r="P21" s="68"/>
      <c r="Q21" s="69">
        <f t="shared" si="0"/>
        <v>0</v>
      </c>
      <c r="R21" s="142" t="e">
        <f t="shared" si="1"/>
        <v>#DIV/0!</v>
      </c>
    </row>
    <row r="22" spans="1:18" ht="18.75" customHeight="1" x14ac:dyDescent="0.2">
      <c r="A22" s="58"/>
      <c r="B22" s="250"/>
      <c r="C22" s="251"/>
      <c r="D22" s="64"/>
      <c r="E22" s="65"/>
      <c r="F22" s="66"/>
      <c r="G22" s="67"/>
      <c r="H22" s="68"/>
      <c r="I22" s="65"/>
      <c r="J22" s="66"/>
      <c r="K22" s="67"/>
      <c r="L22" s="68"/>
      <c r="M22" s="65"/>
      <c r="N22" s="66"/>
      <c r="O22" s="67"/>
      <c r="P22" s="68"/>
      <c r="Q22" s="69">
        <f t="shared" si="0"/>
        <v>0</v>
      </c>
      <c r="R22" s="142" t="e">
        <f t="shared" si="1"/>
        <v>#DIV/0!</v>
      </c>
    </row>
    <row r="23" spans="1:18" ht="18.75" customHeight="1" x14ac:dyDescent="0.2">
      <c r="A23" s="58"/>
      <c r="B23" s="250"/>
      <c r="C23" s="251"/>
      <c r="D23" s="64"/>
      <c r="E23" s="65"/>
      <c r="F23" s="66"/>
      <c r="G23" s="67"/>
      <c r="H23" s="68"/>
      <c r="I23" s="65"/>
      <c r="J23" s="66"/>
      <c r="K23" s="67"/>
      <c r="L23" s="68"/>
      <c r="M23" s="65"/>
      <c r="N23" s="66"/>
      <c r="O23" s="67"/>
      <c r="P23" s="68"/>
      <c r="Q23" s="69">
        <f t="shared" si="0"/>
        <v>0</v>
      </c>
      <c r="R23" s="142" t="e">
        <f t="shared" si="1"/>
        <v>#DIV/0!</v>
      </c>
    </row>
    <row r="24" spans="1:18" ht="18.75" customHeight="1" x14ac:dyDescent="0.2">
      <c r="A24" s="58"/>
      <c r="B24" s="250"/>
      <c r="C24" s="251"/>
      <c r="D24" s="64"/>
      <c r="E24" s="65"/>
      <c r="F24" s="66"/>
      <c r="G24" s="67"/>
      <c r="H24" s="68"/>
      <c r="I24" s="65"/>
      <c r="J24" s="66"/>
      <c r="K24" s="67"/>
      <c r="L24" s="68"/>
      <c r="M24" s="65"/>
      <c r="N24" s="66"/>
      <c r="O24" s="67"/>
      <c r="P24" s="68"/>
      <c r="Q24" s="69">
        <f t="shared" si="0"/>
        <v>0</v>
      </c>
      <c r="R24" s="142" t="e">
        <f t="shared" si="1"/>
        <v>#DIV/0!</v>
      </c>
    </row>
    <row r="25" spans="1:18" ht="18.75" customHeight="1" x14ac:dyDescent="0.2">
      <c r="A25" s="58"/>
      <c r="B25" s="250"/>
      <c r="C25" s="251"/>
      <c r="D25" s="64"/>
      <c r="E25" s="65"/>
      <c r="F25" s="66"/>
      <c r="G25" s="67"/>
      <c r="H25" s="68"/>
      <c r="I25" s="65"/>
      <c r="J25" s="66"/>
      <c r="K25" s="67"/>
      <c r="L25" s="68"/>
      <c r="M25" s="65"/>
      <c r="N25" s="66"/>
      <c r="O25" s="67"/>
      <c r="P25" s="68"/>
      <c r="Q25" s="69">
        <f t="shared" si="0"/>
        <v>0</v>
      </c>
      <c r="R25" s="142" t="e">
        <f t="shared" si="1"/>
        <v>#DIV/0!</v>
      </c>
    </row>
    <row r="26" spans="1:18" ht="18.75" customHeight="1" x14ac:dyDescent="0.2">
      <c r="A26" s="58"/>
      <c r="B26" s="250"/>
      <c r="C26" s="251"/>
      <c r="D26" s="64"/>
      <c r="E26" s="65"/>
      <c r="F26" s="66"/>
      <c r="G26" s="67"/>
      <c r="H26" s="68"/>
      <c r="I26" s="65"/>
      <c r="J26" s="66"/>
      <c r="K26" s="67"/>
      <c r="L26" s="68"/>
      <c r="M26" s="65"/>
      <c r="N26" s="66"/>
      <c r="O26" s="67"/>
      <c r="P26" s="68"/>
      <c r="Q26" s="69">
        <f t="shared" si="0"/>
        <v>0</v>
      </c>
      <c r="R26" s="142" t="e">
        <f t="shared" si="1"/>
        <v>#DIV/0!</v>
      </c>
    </row>
    <row r="27" spans="1:18" ht="18.75" customHeight="1" thickBot="1" x14ac:dyDescent="0.25">
      <c r="A27" s="58"/>
      <c r="B27" s="254"/>
      <c r="C27" s="255"/>
      <c r="D27" s="59"/>
      <c r="E27" s="60"/>
      <c r="F27" s="61"/>
      <c r="G27" s="62"/>
      <c r="H27" s="63"/>
      <c r="I27" s="60"/>
      <c r="J27" s="61"/>
      <c r="K27" s="62"/>
      <c r="L27" s="63"/>
      <c r="M27" s="60"/>
      <c r="N27" s="61"/>
      <c r="O27" s="62"/>
      <c r="P27" s="63"/>
      <c r="Q27" s="70">
        <f t="shared" si="0"/>
        <v>0</v>
      </c>
      <c r="R27" s="143" t="e">
        <f t="shared" si="1"/>
        <v>#DIV/0!</v>
      </c>
    </row>
    <row r="28" spans="1:18" ht="18.75" customHeight="1" thickTop="1" x14ac:dyDescent="0.2">
      <c r="A28" s="58"/>
      <c r="B28" s="244" t="s">
        <v>66</v>
      </c>
      <c r="C28" s="245"/>
      <c r="D28" s="71">
        <f t="shared" ref="D28:Q28" si="2">SUM(D8:D27)</f>
        <v>10639</v>
      </c>
      <c r="E28" s="72">
        <f t="shared" si="2"/>
        <v>384</v>
      </c>
      <c r="F28" s="73">
        <f t="shared" si="2"/>
        <v>9</v>
      </c>
      <c r="G28" s="74">
        <f t="shared" si="2"/>
        <v>288</v>
      </c>
      <c r="H28" s="75">
        <f t="shared" si="2"/>
        <v>49</v>
      </c>
      <c r="I28" s="72">
        <f t="shared" si="2"/>
        <v>168</v>
      </c>
      <c r="J28" s="73">
        <f t="shared" si="2"/>
        <v>32</v>
      </c>
      <c r="K28" s="74">
        <f t="shared" si="2"/>
        <v>0</v>
      </c>
      <c r="L28" s="75">
        <f t="shared" si="2"/>
        <v>0</v>
      </c>
      <c r="M28" s="72">
        <f t="shared" si="2"/>
        <v>0</v>
      </c>
      <c r="N28" s="73">
        <f t="shared" si="2"/>
        <v>0</v>
      </c>
      <c r="O28" s="74">
        <f t="shared" si="2"/>
        <v>0</v>
      </c>
      <c r="P28" s="75">
        <f t="shared" si="2"/>
        <v>0</v>
      </c>
      <c r="Q28" s="76">
        <f t="shared" si="2"/>
        <v>815</v>
      </c>
      <c r="R28" s="77">
        <f>Q28/D28</f>
        <v>7.6604944073691131E-2</v>
      </c>
    </row>
    <row r="29" spans="1:18" ht="6.75" customHeight="1" x14ac:dyDescent="0.2">
      <c r="A29" s="58"/>
      <c r="B29" s="58"/>
      <c r="C29" s="58"/>
      <c r="D29" s="78"/>
      <c r="E29" s="78"/>
      <c r="F29" s="78"/>
      <c r="G29" s="78"/>
      <c r="H29" s="78"/>
      <c r="I29" s="78"/>
      <c r="J29" s="78"/>
      <c r="K29" s="78"/>
      <c r="L29" s="78"/>
      <c r="M29" s="78"/>
      <c r="N29" s="78"/>
      <c r="O29" s="78"/>
      <c r="P29" s="78"/>
      <c r="Q29" s="78"/>
      <c r="R29" s="78"/>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D6:D7"/>
    <mergeCell ref="E6:F6"/>
    <mergeCell ref="G6:H6"/>
    <mergeCell ref="I6:J6"/>
    <mergeCell ref="K6:L6"/>
    <mergeCell ref="M6:N6"/>
    <mergeCell ref="O6:P6"/>
    <mergeCell ref="Q6:Q7"/>
    <mergeCell ref="R6:R7"/>
    <mergeCell ref="A4:R4"/>
    <mergeCell ref="K2:M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4"/>
  <sheetViews>
    <sheetView topLeftCell="A4" workbookViewId="0">
      <selection activeCell="B1" sqref="B1"/>
    </sheetView>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24" t="s">
        <v>102</v>
      </c>
    </row>
    <row r="2" spans="1:7" ht="18.75" customHeight="1" x14ac:dyDescent="0.2">
      <c r="F2" s="24" t="s">
        <v>74</v>
      </c>
      <c r="G2" s="1" t="s">
        <v>172</v>
      </c>
    </row>
    <row r="3" spans="1:7" ht="18.75" customHeight="1" x14ac:dyDescent="0.2">
      <c r="A3" s="271" t="s">
        <v>95</v>
      </c>
      <c r="B3" s="271"/>
      <c r="C3" s="271"/>
      <c r="D3" s="271"/>
      <c r="E3" s="271"/>
      <c r="F3" s="271"/>
      <c r="G3" s="271"/>
    </row>
    <row r="4" spans="1:7" ht="18.75" customHeight="1" x14ac:dyDescent="0.2">
      <c r="A4" s="1" t="s">
        <v>7</v>
      </c>
      <c r="B4" s="1" t="s">
        <v>94</v>
      </c>
    </row>
    <row r="5" spans="1:7" s="23" customFormat="1" ht="18.75" customHeight="1" x14ac:dyDescent="0.2">
      <c r="B5" s="41" t="s">
        <v>73</v>
      </c>
      <c r="C5" s="272" t="s">
        <v>109</v>
      </c>
      <c r="D5" s="273"/>
      <c r="E5" s="273"/>
      <c r="F5" s="273"/>
      <c r="G5" s="274"/>
    </row>
    <row r="6" spans="1:7" s="38" customFormat="1" ht="45" customHeight="1" x14ac:dyDescent="0.2">
      <c r="B6" s="297" t="s">
        <v>112</v>
      </c>
      <c r="C6" s="275" t="s">
        <v>203</v>
      </c>
      <c r="D6" s="276"/>
      <c r="E6" s="276"/>
      <c r="F6" s="276"/>
      <c r="G6" s="277"/>
    </row>
    <row r="7" spans="1:7" s="38" customFormat="1" ht="45" customHeight="1" x14ac:dyDescent="0.2">
      <c r="B7" s="298"/>
      <c r="C7" s="278"/>
      <c r="D7" s="279"/>
      <c r="E7" s="279"/>
      <c r="F7" s="279"/>
      <c r="G7" s="280"/>
    </row>
    <row r="8" spans="1:7" s="38" customFormat="1" ht="45" customHeight="1" x14ac:dyDescent="0.2">
      <c r="B8" s="298"/>
      <c r="C8" s="278"/>
      <c r="D8" s="279"/>
      <c r="E8" s="279"/>
      <c r="F8" s="279"/>
      <c r="G8" s="280"/>
    </row>
    <row r="9" spans="1:7" s="38" customFormat="1" ht="45" customHeight="1" x14ac:dyDescent="0.2">
      <c r="B9" s="298"/>
      <c r="C9" s="281"/>
      <c r="D9" s="282"/>
      <c r="E9" s="282"/>
      <c r="F9" s="282"/>
      <c r="G9" s="283"/>
    </row>
    <row r="10" spans="1:7" s="40" customFormat="1" ht="18.75" customHeight="1" x14ac:dyDescent="0.2">
      <c r="B10" s="298"/>
      <c r="C10" s="39" t="s">
        <v>110</v>
      </c>
      <c r="D10" s="326" t="s">
        <v>111</v>
      </c>
      <c r="E10" s="327"/>
      <c r="F10" s="327"/>
      <c r="G10" s="328"/>
    </row>
    <row r="11" spans="1:7" s="38" customFormat="1" ht="18.75" customHeight="1" x14ac:dyDescent="0.2">
      <c r="B11" s="298"/>
      <c r="C11" s="139" t="s">
        <v>149</v>
      </c>
      <c r="D11" s="329" t="s">
        <v>192</v>
      </c>
      <c r="E11" s="330"/>
      <c r="F11" s="330"/>
      <c r="G11" s="331"/>
    </row>
    <row r="12" spans="1:7" s="40" customFormat="1" ht="18.75" customHeight="1" x14ac:dyDescent="0.2">
      <c r="B12" s="298"/>
      <c r="C12" s="83"/>
      <c r="D12" s="332"/>
      <c r="E12" s="333"/>
      <c r="F12" s="333"/>
      <c r="G12" s="334"/>
    </row>
    <row r="13" spans="1:7" s="40" customFormat="1" ht="18.75" customHeight="1" x14ac:dyDescent="0.2">
      <c r="B13" s="298"/>
      <c r="C13" s="43"/>
      <c r="D13" s="332"/>
      <c r="E13" s="333"/>
      <c r="F13" s="333"/>
      <c r="G13" s="334"/>
    </row>
    <row r="14" spans="1:7" s="40" customFormat="1" ht="18.75" customHeight="1" x14ac:dyDescent="0.2">
      <c r="B14" s="298"/>
      <c r="C14" s="43"/>
      <c r="D14" s="332"/>
      <c r="E14" s="333"/>
      <c r="F14" s="333"/>
      <c r="G14" s="334"/>
    </row>
    <row r="15" spans="1:7" s="44" customFormat="1" ht="18.75" customHeight="1" x14ac:dyDescent="0.2">
      <c r="B15" s="298"/>
      <c r="C15" s="45"/>
      <c r="D15" s="272"/>
      <c r="E15" s="273"/>
      <c r="F15" s="273"/>
      <c r="G15" s="274"/>
    </row>
    <row r="16" spans="1:7" s="44" customFormat="1" ht="18.75" customHeight="1" x14ac:dyDescent="0.2">
      <c r="B16" s="298"/>
      <c r="C16" s="45"/>
      <c r="D16" s="272"/>
      <c r="E16" s="273"/>
      <c r="F16" s="273"/>
      <c r="G16" s="274"/>
    </row>
    <row r="17" spans="2:7" s="44" customFormat="1" ht="18.75" customHeight="1" x14ac:dyDescent="0.2">
      <c r="B17" s="298"/>
      <c r="C17" s="45"/>
      <c r="D17" s="272"/>
      <c r="E17" s="273"/>
      <c r="F17" s="273"/>
      <c r="G17" s="274"/>
    </row>
    <row r="18" spans="2:7" s="44" customFormat="1" ht="18.75" customHeight="1" x14ac:dyDescent="0.2">
      <c r="B18" s="298"/>
      <c r="C18" s="45"/>
      <c r="D18" s="272"/>
      <c r="E18" s="273"/>
      <c r="F18" s="273"/>
      <c r="G18" s="274"/>
    </row>
    <row r="19" spans="2:7" s="44" customFormat="1" ht="18.75" customHeight="1" x14ac:dyDescent="0.2">
      <c r="B19" s="298"/>
      <c r="C19" s="45"/>
      <c r="D19" s="272"/>
      <c r="E19" s="273"/>
      <c r="F19" s="273"/>
      <c r="G19" s="274"/>
    </row>
    <row r="20" spans="2:7" s="44" customFormat="1" ht="18.75" customHeight="1" x14ac:dyDescent="0.2">
      <c r="B20" s="298"/>
      <c r="C20" s="45"/>
      <c r="D20" s="272"/>
      <c r="E20" s="273"/>
      <c r="F20" s="273"/>
      <c r="G20" s="274"/>
    </row>
    <row r="21" spans="2:7" s="44" customFormat="1" ht="18.75" customHeight="1" x14ac:dyDescent="0.2">
      <c r="B21" s="298"/>
      <c r="C21" s="45"/>
      <c r="D21" s="272"/>
      <c r="E21" s="273"/>
      <c r="F21" s="273"/>
      <c r="G21" s="274"/>
    </row>
    <row r="22" spans="2:7" s="44" customFormat="1" ht="18.75" customHeight="1" x14ac:dyDescent="0.2">
      <c r="B22" s="298"/>
      <c r="C22" s="45"/>
      <c r="D22" s="272"/>
      <c r="E22" s="273"/>
      <c r="F22" s="273"/>
      <c r="G22" s="274"/>
    </row>
    <row r="23" spans="2:7" s="44" customFormat="1" ht="18.75" customHeight="1" x14ac:dyDescent="0.2">
      <c r="B23" s="298"/>
      <c r="C23" s="45"/>
      <c r="D23" s="272"/>
      <c r="E23" s="273"/>
      <c r="F23" s="273"/>
      <c r="G23" s="274"/>
    </row>
    <row r="24" spans="2:7" s="44" customFormat="1" ht="18.75" customHeight="1" x14ac:dyDescent="0.2">
      <c r="B24" s="298"/>
      <c r="C24" s="45"/>
      <c r="D24" s="272"/>
      <c r="E24" s="273"/>
      <c r="F24" s="273"/>
      <c r="G24" s="274"/>
    </row>
    <row r="25" spans="2:7" s="40" customFormat="1" ht="18.75" customHeight="1" x14ac:dyDescent="0.2">
      <c r="B25" s="298"/>
      <c r="C25" s="41"/>
      <c r="D25" s="272"/>
      <c r="E25" s="273"/>
      <c r="F25" s="273"/>
      <c r="G25" s="274"/>
    </row>
    <row r="26" spans="2:7" ht="18.75" customHeight="1" x14ac:dyDescent="0.2">
      <c r="B26" s="297" t="s">
        <v>113</v>
      </c>
      <c r="C26" s="272" t="s">
        <v>109</v>
      </c>
      <c r="D26" s="273"/>
      <c r="E26" s="273"/>
      <c r="F26" s="273"/>
      <c r="G26" s="274"/>
    </row>
    <row r="27" spans="2:7" ht="37.5" customHeight="1" x14ac:dyDescent="0.2">
      <c r="B27" s="298"/>
      <c r="C27" s="300" t="s">
        <v>202</v>
      </c>
      <c r="D27" s="301"/>
      <c r="E27" s="301"/>
      <c r="F27" s="301"/>
      <c r="G27" s="302"/>
    </row>
    <row r="28" spans="2:7" ht="37.5" customHeight="1" x14ac:dyDescent="0.2">
      <c r="B28" s="298"/>
      <c r="C28" s="303"/>
      <c r="D28" s="304"/>
      <c r="E28" s="304"/>
      <c r="F28" s="304"/>
      <c r="G28" s="305"/>
    </row>
    <row r="29" spans="2:7" ht="37.5" customHeight="1" x14ac:dyDescent="0.2">
      <c r="B29" s="298"/>
      <c r="C29" s="303"/>
      <c r="D29" s="304"/>
      <c r="E29" s="304"/>
      <c r="F29" s="304"/>
      <c r="G29" s="305"/>
    </row>
    <row r="30" spans="2:7" ht="37.5" customHeight="1" x14ac:dyDescent="0.2">
      <c r="B30" s="298"/>
      <c r="C30" s="303"/>
      <c r="D30" s="304"/>
      <c r="E30" s="304"/>
      <c r="F30" s="304"/>
      <c r="G30" s="305"/>
    </row>
    <row r="31" spans="2:7" ht="37.5" customHeight="1" x14ac:dyDescent="0.2">
      <c r="B31" s="298"/>
      <c r="C31" s="306"/>
      <c r="D31" s="307"/>
      <c r="E31" s="307"/>
      <c r="F31" s="307"/>
      <c r="G31" s="308"/>
    </row>
    <row r="32" spans="2:7" ht="18.75" customHeight="1" x14ac:dyDescent="0.2">
      <c r="B32" s="298"/>
      <c r="C32" s="39" t="s">
        <v>110</v>
      </c>
      <c r="D32" s="272" t="s">
        <v>111</v>
      </c>
      <c r="E32" s="273"/>
      <c r="F32" s="273"/>
      <c r="G32" s="274"/>
    </row>
    <row r="33" spans="2:7" ht="18.75" customHeight="1" x14ac:dyDescent="0.2">
      <c r="B33" s="298"/>
      <c r="C33" s="41" t="s">
        <v>169</v>
      </c>
      <c r="D33" s="268" t="s">
        <v>194</v>
      </c>
      <c r="E33" s="269"/>
      <c r="F33" s="269"/>
      <c r="G33" s="270"/>
    </row>
    <row r="34" spans="2:7" ht="18.75" customHeight="1" x14ac:dyDescent="0.2">
      <c r="B34" s="298"/>
      <c r="C34" s="1" t="s">
        <v>176</v>
      </c>
      <c r="D34" s="268" t="s">
        <v>193</v>
      </c>
      <c r="E34" s="269"/>
      <c r="F34" s="269"/>
      <c r="G34" s="270"/>
    </row>
    <row r="35" spans="2:7" ht="18.75" customHeight="1" x14ac:dyDescent="0.2">
      <c r="B35" s="298"/>
      <c r="C35" s="83"/>
      <c r="D35" s="268"/>
      <c r="E35" s="269"/>
      <c r="F35" s="269"/>
      <c r="G35" s="270"/>
    </row>
    <row r="36" spans="2:7" ht="18.75" customHeight="1" x14ac:dyDescent="0.2">
      <c r="B36" s="298"/>
      <c r="C36" s="41"/>
      <c r="D36" s="268"/>
      <c r="E36" s="269"/>
      <c r="F36" s="269"/>
      <c r="G36" s="270"/>
    </row>
    <row r="37" spans="2:7" ht="18.75" customHeight="1" x14ac:dyDescent="0.2">
      <c r="B37" s="298"/>
      <c r="C37" s="41"/>
      <c r="D37" s="268"/>
      <c r="E37" s="269"/>
      <c r="F37" s="269"/>
      <c r="G37" s="270"/>
    </row>
    <row r="38" spans="2:7" ht="18.75" customHeight="1" x14ac:dyDescent="0.2">
      <c r="B38" s="298"/>
      <c r="C38" s="41"/>
      <c r="D38" s="268"/>
      <c r="E38" s="269"/>
      <c r="F38" s="269"/>
      <c r="G38" s="270"/>
    </row>
    <row r="39" spans="2:7" ht="18.75" customHeight="1" x14ac:dyDescent="0.2">
      <c r="B39" s="298"/>
      <c r="C39" s="41"/>
      <c r="D39" s="268"/>
      <c r="E39" s="269"/>
      <c r="F39" s="269"/>
      <c r="G39" s="270"/>
    </row>
    <row r="40" spans="2:7" ht="18.75" customHeight="1" x14ac:dyDescent="0.2">
      <c r="B40" s="298"/>
      <c r="C40" s="41"/>
      <c r="D40" s="268"/>
      <c r="E40" s="269"/>
      <c r="F40" s="269"/>
      <c r="G40" s="270"/>
    </row>
    <row r="41" spans="2:7" ht="18.75" customHeight="1" x14ac:dyDescent="0.2">
      <c r="B41" s="298"/>
      <c r="C41" s="41"/>
      <c r="D41" s="268"/>
      <c r="E41" s="269"/>
      <c r="F41" s="269"/>
      <c r="G41" s="270"/>
    </row>
    <row r="42" spans="2:7" ht="18.75" customHeight="1" x14ac:dyDescent="0.2">
      <c r="B42" s="298"/>
      <c r="C42" s="41"/>
      <c r="D42" s="268"/>
      <c r="E42" s="269"/>
      <c r="F42" s="269"/>
      <c r="G42" s="270"/>
    </row>
    <row r="43" spans="2:7" ht="18.75" customHeight="1" x14ac:dyDescent="0.2">
      <c r="B43" s="298"/>
      <c r="C43" s="41"/>
      <c r="D43" s="268"/>
      <c r="E43" s="269"/>
      <c r="F43" s="269"/>
      <c r="G43" s="270"/>
    </row>
    <row r="44" spans="2:7" ht="18.75" customHeight="1" x14ac:dyDescent="0.2">
      <c r="B44" s="298"/>
      <c r="C44" s="41"/>
      <c r="D44" s="268"/>
      <c r="E44" s="269"/>
      <c r="F44" s="269"/>
      <c r="G44" s="270"/>
    </row>
    <row r="45" spans="2:7" ht="18.75" customHeight="1" x14ac:dyDescent="0.2">
      <c r="B45" s="298"/>
      <c r="C45" s="41"/>
      <c r="D45" s="268"/>
      <c r="E45" s="269"/>
      <c r="F45" s="269"/>
      <c r="G45" s="270"/>
    </row>
    <row r="46" spans="2:7" ht="18.75" customHeight="1" x14ac:dyDescent="0.2">
      <c r="B46" s="298"/>
      <c r="C46" s="41"/>
      <c r="D46" s="268"/>
      <c r="E46" s="269"/>
      <c r="F46" s="269"/>
      <c r="G46" s="270"/>
    </row>
    <row r="47" spans="2:7" ht="18.75" customHeight="1" x14ac:dyDescent="0.2">
      <c r="B47" s="298"/>
      <c r="C47" s="41"/>
      <c r="D47" s="268"/>
      <c r="E47" s="269"/>
      <c r="F47" s="269"/>
      <c r="G47" s="270"/>
    </row>
    <row r="48" spans="2:7" ht="18.75" customHeight="1" x14ac:dyDescent="0.2">
      <c r="B48" s="298"/>
      <c r="C48" s="41"/>
      <c r="D48" s="268"/>
      <c r="E48" s="269"/>
      <c r="F48" s="269"/>
      <c r="G48" s="270"/>
    </row>
    <row r="49" spans="2:7" ht="18.75" customHeight="1" x14ac:dyDescent="0.2">
      <c r="B49" s="298"/>
      <c r="C49" s="41"/>
      <c r="D49" s="268"/>
      <c r="E49" s="269"/>
      <c r="F49" s="269"/>
      <c r="G49" s="270"/>
    </row>
    <row r="50" spans="2:7" ht="18.75" customHeight="1" x14ac:dyDescent="0.2">
      <c r="B50" s="299"/>
      <c r="C50" s="41"/>
      <c r="D50" s="268"/>
      <c r="E50" s="269"/>
      <c r="F50" s="269"/>
      <c r="G50" s="270"/>
    </row>
    <row r="51" spans="2:7" ht="18.75" customHeight="1" x14ac:dyDescent="0.2">
      <c r="B51" s="297" t="s">
        <v>115</v>
      </c>
      <c r="C51" s="272" t="s">
        <v>109</v>
      </c>
      <c r="D51" s="273"/>
      <c r="E51" s="273"/>
      <c r="F51" s="273"/>
      <c r="G51" s="274"/>
    </row>
    <row r="52" spans="2:7" ht="37.5" customHeight="1" x14ac:dyDescent="0.2">
      <c r="B52" s="298"/>
      <c r="C52" s="300" t="s">
        <v>214</v>
      </c>
      <c r="D52" s="301"/>
      <c r="E52" s="301"/>
      <c r="F52" s="301"/>
      <c r="G52" s="302"/>
    </row>
    <row r="53" spans="2:7" ht="37.5" customHeight="1" x14ac:dyDescent="0.2">
      <c r="B53" s="298"/>
      <c r="C53" s="303"/>
      <c r="D53" s="304"/>
      <c r="E53" s="304"/>
      <c r="F53" s="304"/>
      <c r="G53" s="305"/>
    </row>
    <row r="54" spans="2:7" ht="37.5" customHeight="1" x14ac:dyDescent="0.2">
      <c r="B54" s="298"/>
      <c r="C54" s="303"/>
      <c r="D54" s="304"/>
      <c r="E54" s="304"/>
      <c r="F54" s="304"/>
      <c r="G54" s="305"/>
    </row>
    <row r="55" spans="2:7" ht="37.5" customHeight="1" x14ac:dyDescent="0.2">
      <c r="B55" s="298"/>
      <c r="C55" s="303"/>
      <c r="D55" s="304"/>
      <c r="E55" s="304"/>
      <c r="F55" s="304"/>
      <c r="G55" s="305"/>
    </row>
    <row r="56" spans="2:7" ht="37.5" customHeight="1" x14ac:dyDescent="0.2">
      <c r="B56" s="298"/>
      <c r="C56" s="306"/>
      <c r="D56" s="307"/>
      <c r="E56" s="307"/>
      <c r="F56" s="307"/>
      <c r="G56" s="308"/>
    </row>
    <row r="57" spans="2:7" ht="18.75" customHeight="1" x14ac:dyDescent="0.2">
      <c r="B57" s="298"/>
      <c r="C57" s="39" t="s">
        <v>110</v>
      </c>
      <c r="D57" s="272" t="s">
        <v>111</v>
      </c>
      <c r="E57" s="273"/>
      <c r="F57" s="273"/>
      <c r="G57" s="274"/>
    </row>
    <row r="58" spans="2:7" ht="18.75" customHeight="1" x14ac:dyDescent="0.2">
      <c r="B58" s="298"/>
      <c r="C58" s="49" t="s">
        <v>169</v>
      </c>
      <c r="D58" s="268" t="s">
        <v>195</v>
      </c>
      <c r="E58" s="269"/>
      <c r="F58" s="269"/>
      <c r="G58" s="270"/>
    </row>
    <row r="59" spans="2:7" ht="18.75" customHeight="1" x14ac:dyDescent="0.2">
      <c r="B59" s="298"/>
      <c r="C59" s="1" t="s">
        <v>175</v>
      </c>
      <c r="D59" s="268" t="s">
        <v>177</v>
      </c>
      <c r="E59" s="269"/>
      <c r="F59" s="269"/>
      <c r="G59" s="270"/>
    </row>
    <row r="60" spans="2:7" ht="18.75" customHeight="1" x14ac:dyDescent="0.2">
      <c r="B60" s="298"/>
      <c r="C60" s="49"/>
      <c r="D60" s="268"/>
      <c r="E60" s="269"/>
      <c r="F60" s="269"/>
      <c r="G60" s="270"/>
    </row>
    <row r="61" spans="2:7" ht="18.75" customHeight="1" x14ac:dyDescent="0.2">
      <c r="B61" s="298"/>
      <c r="C61" s="49"/>
      <c r="D61" s="268"/>
      <c r="E61" s="269"/>
      <c r="F61" s="269"/>
      <c r="G61" s="270"/>
    </row>
    <row r="62" spans="2:7" ht="18.75" customHeight="1" x14ac:dyDescent="0.2">
      <c r="B62" s="298"/>
      <c r="C62" s="49"/>
      <c r="D62" s="268"/>
      <c r="E62" s="269"/>
      <c r="F62" s="269"/>
      <c r="G62" s="270"/>
    </row>
    <row r="63" spans="2:7" ht="18.75" customHeight="1" x14ac:dyDescent="0.2">
      <c r="B63" s="298"/>
      <c r="C63" s="49"/>
      <c r="D63" s="268"/>
      <c r="E63" s="269"/>
      <c r="F63" s="269"/>
      <c r="G63" s="270"/>
    </row>
    <row r="64" spans="2:7" ht="18.75" customHeight="1" x14ac:dyDescent="0.2">
      <c r="B64" s="298"/>
      <c r="C64" s="49"/>
      <c r="D64" s="268"/>
      <c r="E64" s="269"/>
      <c r="F64" s="269"/>
      <c r="G64" s="270"/>
    </row>
    <row r="65" spans="2:7" ht="18.75" customHeight="1" x14ac:dyDescent="0.2">
      <c r="B65" s="298"/>
      <c r="C65" s="49"/>
      <c r="D65" s="268"/>
      <c r="E65" s="269"/>
      <c r="F65" s="269"/>
      <c r="G65" s="270"/>
    </row>
    <row r="66" spans="2:7" ht="18.75" customHeight="1" x14ac:dyDescent="0.2">
      <c r="B66" s="298"/>
      <c r="C66" s="49"/>
      <c r="D66" s="268"/>
      <c r="E66" s="269"/>
      <c r="F66" s="269"/>
      <c r="G66" s="270"/>
    </row>
    <row r="67" spans="2:7" ht="18.75" customHeight="1" x14ac:dyDescent="0.2">
      <c r="B67" s="298"/>
      <c r="C67" s="49"/>
      <c r="D67" s="268"/>
      <c r="E67" s="269"/>
      <c r="F67" s="269"/>
      <c r="G67" s="270"/>
    </row>
    <row r="68" spans="2:7" ht="18.75" customHeight="1" x14ac:dyDescent="0.2">
      <c r="B68" s="298"/>
      <c r="C68" s="49"/>
      <c r="D68" s="268"/>
      <c r="E68" s="269"/>
      <c r="F68" s="269"/>
      <c r="G68" s="270"/>
    </row>
    <row r="69" spans="2:7" ht="18.75" customHeight="1" x14ac:dyDescent="0.2">
      <c r="B69" s="298"/>
      <c r="C69" s="49"/>
      <c r="D69" s="268"/>
      <c r="E69" s="269"/>
      <c r="F69" s="269"/>
      <c r="G69" s="270"/>
    </row>
    <row r="70" spans="2:7" ht="18.75" customHeight="1" x14ac:dyDescent="0.2">
      <c r="B70" s="298"/>
      <c r="C70" s="49"/>
      <c r="D70" s="268"/>
      <c r="E70" s="269"/>
      <c r="F70" s="269"/>
      <c r="G70" s="270"/>
    </row>
    <row r="71" spans="2:7" ht="18.75" customHeight="1" x14ac:dyDescent="0.2">
      <c r="B71" s="298"/>
      <c r="C71" s="49"/>
      <c r="D71" s="268"/>
      <c r="E71" s="269"/>
      <c r="F71" s="269"/>
      <c r="G71" s="270"/>
    </row>
    <row r="72" spans="2:7" ht="18.75" customHeight="1" x14ac:dyDescent="0.2">
      <c r="B72" s="298"/>
      <c r="C72" s="49"/>
      <c r="D72" s="268"/>
      <c r="E72" s="269"/>
      <c r="F72" s="269"/>
      <c r="G72" s="270"/>
    </row>
    <row r="73" spans="2:7" ht="18.75" customHeight="1" x14ac:dyDescent="0.2">
      <c r="B73" s="298"/>
      <c r="C73" s="49"/>
      <c r="D73" s="268"/>
      <c r="E73" s="269"/>
      <c r="F73" s="269"/>
      <c r="G73" s="270"/>
    </row>
    <row r="74" spans="2:7" ht="18.75" customHeight="1" x14ac:dyDescent="0.2">
      <c r="B74" s="298"/>
      <c r="C74" s="41"/>
      <c r="D74" s="268"/>
      <c r="E74" s="269"/>
      <c r="F74" s="269"/>
      <c r="G74" s="270"/>
    </row>
    <row r="75" spans="2:7" ht="18.75" customHeight="1" x14ac:dyDescent="0.2">
      <c r="B75" s="298"/>
      <c r="C75" s="41"/>
      <c r="D75" s="268"/>
      <c r="E75" s="269"/>
      <c r="F75" s="269"/>
      <c r="G75" s="270"/>
    </row>
    <row r="76" spans="2:7" ht="18.75" customHeight="1" x14ac:dyDescent="0.2">
      <c r="B76" s="297" t="s">
        <v>114</v>
      </c>
      <c r="C76" s="272" t="s">
        <v>109</v>
      </c>
      <c r="D76" s="273"/>
      <c r="E76" s="273"/>
      <c r="F76" s="273"/>
      <c r="G76" s="274"/>
    </row>
    <row r="77" spans="2:7" ht="37.5" customHeight="1" x14ac:dyDescent="0.2">
      <c r="B77" s="298"/>
      <c r="C77" s="300" t="s">
        <v>196</v>
      </c>
      <c r="D77" s="309"/>
      <c r="E77" s="309"/>
      <c r="F77" s="309"/>
      <c r="G77" s="310"/>
    </row>
    <row r="78" spans="2:7" ht="37.5" customHeight="1" x14ac:dyDescent="0.2">
      <c r="B78" s="298"/>
      <c r="C78" s="311"/>
      <c r="D78" s="312"/>
      <c r="E78" s="312"/>
      <c r="F78" s="312"/>
      <c r="G78" s="313"/>
    </row>
    <row r="79" spans="2:7" ht="37.5" customHeight="1" x14ac:dyDescent="0.2">
      <c r="B79" s="298"/>
      <c r="C79" s="311"/>
      <c r="D79" s="312"/>
      <c r="E79" s="312"/>
      <c r="F79" s="312"/>
      <c r="G79" s="313"/>
    </row>
    <row r="80" spans="2:7" ht="37.5" customHeight="1" x14ac:dyDescent="0.2">
      <c r="B80" s="298"/>
      <c r="C80" s="311"/>
      <c r="D80" s="312"/>
      <c r="E80" s="312"/>
      <c r="F80" s="312"/>
      <c r="G80" s="313"/>
    </row>
    <row r="81" spans="2:7" ht="37.5" customHeight="1" x14ac:dyDescent="0.2">
      <c r="B81" s="298"/>
      <c r="C81" s="314"/>
      <c r="D81" s="315"/>
      <c r="E81" s="315"/>
      <c r="F81" s="315"/>
      <c r="G81" s="316"/>
    </row>
    <row r="82" spans="2:7" ht="18.75" customHeight="1" x14ac:dyDescent="0.2">
      <c r="B82" s="298"/>
      <c r="C82" s="39" t="s">
        <v>110</v>
      </c>
      <c r="D82" s="272" t="s">
        <v>111</v>
      </c>
      <c r="E82" s="273"/>
      <c r="F82" s="273"/>
      <c r="G82" s="274"/>
    </row>
    <row r="83" spans="2:7" ht="18.75" customHeight="1" x14ac:dyDescent="0.2">
      <c r="B83" s="298"/>
      <c r="C83" s="49" t="s">
        <v>170</v>
      </c>
      <c r="D83" s="268" t="s">
        <v>197</v>
      </c>
      <c r="E83" s="269"/>
      <c r="F83" s="269"/>
      <c r="G83" s="270"/>
    </row>
    <row r="84" spans="2:7" ht="18.75" customHeight="1" x14ac:dyDescent="0.2">
      <c r="B84" s="298"/>
      <c r="C84" s="49" t="s">
        <v>169</v>
      </c>
      <c r="D84" s="268" t="s">
        <v>174</v>
      </c>
      <c r="E84" s="269"/>
      <c r="F84" s="269"/>
      <c r="G84" s="270"/>
    </row>
    <row r="85" spans="2:7" ht="18.75" customHeight="1" x14ac:dyDescent="0.2">
      <c r="B85" s="298"/>
      <c r="C85" s="49"/>
      <c r="D85" s="268"/>
      <c r="E85" s="269"/>
      <c r="F85" s="269"/>
      <c r="G85" s="270"/>
    </row>
    <row r="86" spans="2:7" ht="18.75" customHeight="1" x14ac:dyDescent="0.2">
      <c r="B86" s="298"/>
      <c r="C86" s="49"/>
      <c r="D86" s="268"/>
      <c r="E86" s="269"/>
      <c r="F86" s="269"/>
      <c r="G86" s="270"/>
    </row>
    <row r="87" spans="2:7" ht="18.75" customHeight="1" x14ac:dyDescent="0.2">
      <c r="B87" s="298"/>
      <c r="C87" s="49"/>
      <c r="D87" s="268"/>
      <c r="E87" s="269"/>
      <c r="F87" s="269"/>
      <c r="G87" s="270"/>
    </row>
    <row r="88" spans="2:7" ht="18.75" customHeight="1" x14ac:dyDescent="0.2">
      <c r="B88" s="298"/>
      <c r="C88" s="49"/>
      <c r="D88" s="268"/>
      <c r="E88" s="269"/>
      <c r="F88" s="269"/>
      <c r="G88" s="270"/>
    </row>
    <row r="89" spans="2:7" ht="18.75" customHeight="1" x14ac:dyDescent="0.2">
      <c r="B89" s="298"/>
      <c r="C89" s="49"/>
      <c r="D89" s="268"/>
      <c r="E89" s="269"/>
      <c r="F89" s="269"/>
      <c r="G89" s="270"/>
    </row>
    <row r="90" spans="2:7" ht="18.75" customHeight="1" x14ac:dyDescent="0.2">
      <c r="B90" s="298"/>
      <c r="C90" s="49"/>
      <c r="D90" s="268"/>
      <c r="E90" s="269"/>
      <c r="F90" s="269"/>
      <c r="G90" s="270"/>
    </row>
    <row r="91" spans="2:7" ht="18.75" customHeight="1" x14ac:dyDescent="0.2">
      <c r="B91" s="298"/>
      <c r="C91" s="49"/>
      <c r="D91" s="268"/>
      <c r="E91" s="269"/>
      <c r="F91" s="269"/>
      <c r="G91" s="270"/>
    </row>
    <row r="92" spans="2:7" ht="18.75" customHeight="1" x14ac:dyDescent="0.2">
      <c r="B92" s="298"/>
      <c r="C92" s="49"/>
      <c r="D92" s="268"/>
      <c r="E92" s="269"/>
      <c r="F92" s="269"/>
      <c r="G92" s="270"/>
    </row>
    <row r="93" spans="2:7" ht="18.75" customHeight="1" x14ac:dyDescent="0.2">
      <c r="B93" s="298"/>
      <c r="C93" s="49"/>
      <c r="D93" s="268"/>
      <c r="E93" s="269"/>
      <c r="F93" s="269"/>
      <c r="G93" s="270"/>
    </row>
    <row r="94" spans="2:7" ht="18.75" customHeight="1" x14ac:dyDescent="0.2">
      <c r="B94" s="298"/>
      <c r="C94" s="49"/>
      <c r="D94" s="268"/>
      <c r="E94" s="269"/>
      <c r="F94" s="269"/>
      <c r="G94" s="270"/>
    </row>
    <row r="95" spans="2:7" ht="18.75" customHeight="1" x14ac:dyDescent="0.2">
      <c r="B95" s="298"/>
      <c r="C95" s="49"/>
      <c r="D95" s="268"/>
      <c r="E95" s="269"/>
      <c r="F95" s="269"/>
      <c r="G95" s="270"/>
    </row>
    <row r="96" spans="2:7" ht="18.75" customHeight="1" x14ac:dyDescent="0.2">
      <c r="B96" s="298"/>
      <c r="C96" s="49"/>
      <c r="D96" s="268"/>
      <c r="E96" s="269"/>
      <c r="F96" s="269"/>
      <c r="G96" s="270"/>
    </row>
    <row r="97" spans="2:7" ht="18.75" customHeight="1" x14ac:dyDescent="0.2">
      <c r="B97" s="298"/>
      <c r="C97" s="49"/>
      <c r="D97" s="268"/>
      <c r="E97" s="269"/>
      <c r="F97" s="269"/>
      <c r="G97" s="270"/>
    </row>
    <row r="98" spans="2:7" ht="18.75" customHeight="1" x14ac:dyDescent="0.2">
      <c r="B98" s="298"/>
      <c r="C98" s="49"/>
      <c r="D98" s="268"/>
      <c r="E98" s="269"/>
      <c r="F98" s="269"/>
      <c r="G98" s="270"/>
    </row>
    <row r="99" spans="2:7" ht="18.75" customHeight="1" x14ac:dyDescent="0.2">
      <c r="B99" s="298"/>
      <c r="C99" s="49"/>
      <c r="D99" s="268"/>
      <c r="E99" s="269"/>
      <c r="F99" s="269"/>
      <c r="G99" s="270"/>
    </row>
    <row r="100" spans="2:7" ht="18.75" customHeight="1" x14ac:dyDescent="0.2">
      <c r="B100" s="298"/>
      <c r="C100" s="41"/>
      <c r="D100" s="268"/>
      <c r="E100" s="269"/>
      <c r="F100" s="269"/>
      <c r="G100" s="270"/>
    </row>
    <row r="101" spans="2:7" ht="18.75" customHeight="1" x14ac:dyDescent="0.2">
      <c r="B101" s="297" t="s">
        <v>116</v>
      </c>
      <c r="C101" s="272" t="s">
        <v>109</v>
      </c>
      <c r="D101" s="273"/>
      <c r="E101" s="273"/>
      <c r="F101" s="273"/>
      <c r="G101" s="274"/>
    </row>
    <row r="102" spans="2:7" ht="37.5" customHeight="1" x14ac:dyDescent="0.2">
      <c r="B102" s="298"/>
      <c r="C102" s="317" t="s">
        <v>206</v>
      </c>
      <c r="D102" s="318"/>
      <c r="E102" s="318"/>
      <c r="F102" s="318"/>
      <c r="G102" s="319"/>
    </row>
    <row r="103" spans="2:7" ht="37.5" customHeight="1" x14ac:dyDescent="0.2">
      <c r="B103" s="298"/>
      <c r="C103" s="320"/>
      <c r="D103" s="321"/>
      <c r="E103" s="321"/>
      <c r="F103" s="321"/>
      <c r="G103" s="322"/>
    </row>
    <row r="104" spans="2:7" ht="37.5" customHeight="1" x14ac:dyDescent="0.2">
      <c r="B104" s="298"/>
      <c r="C104" s="320"/>
      <c r="D104" s="321"/>
      <c r="E104" s="321"/>
      <c r="F104" s="321"/>
      <c r="G104" s="322"/>
    </row>
    <row r="105" spans="2:7" ht="37.5" customHeight="1" x14ac:dyDescent="0.2">
      <c r="B105" s="298"/>
      <c r="C105" s="320"/>
      <c r="D105" s="321"/>
      <c r="E105" s="321"/>
      <c r="F105" s="321"/>
      <c r="G105" s="322"/>
    </row>
    <row r="106" spans="2:7" ht="37.5" customHeight="1" x14ac:dyDescent="0.2">
      <c r="B106" s="298"/>
      <c r="C106" s="323"/>
      <c r="D106" s="324"/>
      <c r="E106" s="324"/>
      <c r="F106" s="324"/>
      <c r="G106" s="325"/>
    </row>
    <row r="107" spans="2:7" ht="18.75" customHeight="1" x14ac:dyDescent="0.2">
      <c r="B107" s="298"/>
      <c r="C107" s="39" t="s">
        <v>110</v>
      </c>
      <c r="D107" s="272" t="s">
        <v>111</v>
      </c>
      <c r="E107" s="273"/>
      <c r="F107" s="273"/>
      <c r="G107" s="274"/>
    </row>
    <row r="108" spans="2:7" ht="18.75" customHeight="1" x14ac:dyDescent="0.2">
      <c r="B108" s="298"/>
      <c r="C108" s="7" t="s">
        <v>171</v>
      </c>
      <c r="D108" s="263" t="s">
        <v>199</v>
      </c>
      <c r="E108" s="264"/>
      <c r="F108" s="264"/>
      <c r="G108" s="265"/>
    </row>
    <row r="109" spans="2:7" ht="18.75" customHeight="1" x14ac:dyDescent="0.2">
      <c r="B109" s="298"/>
      <c r="C109" s="159" t="s">
        <v>175</v>
      </c>
      <c r="D109" s="263" t="s">
        <v>198</v>
      </c>
      <c r="E109" s="266"/>
      <c r="F109" s="266"/>
      <c r="G109" s="267"/>
    </row>
    <row r="110" spans="2:7" ht="18.75" customHeight="1" x14ac:dyDescent="0.2">
      <c r="B110" s="298"/>
      <c r="C110" s="49"/>
      <c r="D110" s="258"/>
      <c r="E110" s="259"/>
      <c r="F110" s="259"/>
      <c r="G110" s="260"/>
    </row>
    <row r="111" spans="2:7" ht="18.75" customHeight="1" x14ac:dyDescent="0.2">
      <c r="B111" s="298"/>
      <c r="C111" s="80"/>
      <c r="D111" s="258"/>
      <c r="E111" s="259"/>
      <c r="F111" s="259"/>
      <c r="G111" s="260"/>
    </row>
    <row r="112" spans="2:7" ht="18.75" customHeight="1" x14ac:dyDescent="0.2">
      <c r="B112" s="298"/>
      <c r="C112" s="49"/>
      <c r="D112" s="258"/>
      <c r="E112" s="259"/>
      <c r="F112" s="259"/>
      <c r="G112" s="260"/>
    </row>
    <row r="113" spans="2:7" ht="18.75" customHeight="1" x14ac:dyDescent="0.2">
      <c r="B113" s="298"/>
      <c r="C113" s="49"/>
      <c r="D113" s="258"/>
      <c r="E113" s="259"/>
      <c r="F113" s="259"/>
      <c r="G113" s="260"/>
    </row>
    <row r="114" spans="2:7" ht="18.75" customHeight="1" x14ac:dyDescent="0.2">
      <c r="B114" s="298"/>
      <c r="C114" s="49"/>
      <c r="D114" s="258"/>
      <c r="E114" s="259"/>
      <c r="F114" s="259"/>
      <c r="G114" s="260"/>
    </row>
    <row r="115" spans="2:7" ht="18.75" customHeight="1" x14ac:dyDescent="0.2">
      <c r="B115" s="298"/>
      <c r="C115" s="49"/>
      <c r="D115" s="258"/>
      <c r="E115" s="259"/>
      <c r="F115" s="259"/>
      <c r="G115" s="260"/>
    </row>
    <row r="116" spans="2:7" ht="18.75" customHeight="1" x14ac:dyDescent="0.2">
      <c r="B116" s="298"/>
      <c r="C116" s="49"/>
      <c r="D116" s="258"/>
      <c r="E116" s="259"/>
      <c r="F116" s="259"/>
      <c r="G116" s="260"/>
    </row>
    <row r="117" spans="2:7" ht="18.75" customHeight="1" x14ac:dyDescent="0.2">
      <c r="B117" s="298"/>
      <c r="C117" s="81"/>
      <c r="D117" s="258"/>
      <c r="E117" s="259"/>
      <c r="F117" s="259"/>
      <c r="G117" s="260"/>
    </row>
    <row r="118" spans="2:7" ht="18.75" customHeight="1" x14ac:dyDescent="0.2">
      <c r="B118" s="298"/>
      <c r="C118" s="49"/>
      <c r="D118" s="258"/>
      <c r="E118" s="259"/>
      <c r="F118" s="259"/>
      <c r="G118" s="260"/>
    </row>
    <row r="119" spans="2:7" ht="18.75" customHeight="1" x14ac:dyDescent="0.2">
      <c r="B119" s="298"/>
      <c r="C119" s="81"/>
      <c r="D119" s="258"/>
      <c r="E119" s="259"/>
      <c r="F119" s="259"/>
      <c r="G119" s="260"/>
    </row>
    <row r="120" spans="2:7" ht="18.75" customHeight="1" x14ac:dyDescent="0.2">
      <c r="B120" s="298"/>
      <c r="C120" s="81"/>
      <c r="D120" s="258"/>
      <c r="E120" s="259"/>
      <c r="F120" s="259"/>
      <c r="G120" s="260"/>
    </row>
    <row r="121" spans="2:7" ht="18.75" customHeight="1" x14ac:dyDescent="0.2">
      <c r="B121" s="298"/>
      <c r="D121" s="258"/>
      <c r="E121" s="259"/>
      <c r="F121" s="259"/>
      <c r="G121" s="260"/>
    </row>
    <row r="122" spans="2:7" ht="18.75" customHeight="1" x14ac:dyDescent="0.2">
      <c r="B122" s="298"/>
      <c r="C122" s="49"/>
      <c r="D122" s="258"/>
      <c r="E122" s="261"/>
      <c r="F122" s="261"/>
      <c r="G122" s="262"/>
    </row>
    <row r="123" spans="2:7" ht="18.75" customHeight="1" x14ac:dyDescent="0.2">
      <c r="B123" s="298"/>
      <c r="C123" s="49"/>
      <c r="D123" s="258"/>
      <c r="E123" s="259"/>
      <c r="F123" s="259"/>
      <c r="G123" s="260"/>
    </row>
    <row r="124" spans="2:7" ht="18.75" customHeight="1" x14ac:dyDescent="0.2">
      <c r="B124" s="298"/>
      <c r="C124" s="49"/>
      <c r="D124" s="258"/>
      <c r="E124" s="259"/>
      <c r="F124" s="259"/>
      <c r="G124" s="260"/>
    </row>
    <row r="125" spans="2:7" ht="18.75" customHeight="1" x14ac:dyDescent="0.2">
      <c r="B125" s="298"/>
      <c r="C125" s="49"/>
      <c r="D125" s="258"/>
      <c r="E125" s="261"/>
      <c r="F125" s="261"/>
      <c r="G125" s="262"/>
    </row>
    <row r="126" spans="2:7" ht="18.75" customHeight="1" x14ac:dyDescent="0.2">
      <c r="B126" s="298"/>
      <c r="C126" s="82"/>
      <c r="D126" s="258"/>
      <c r="E126" s="259"/>
      <c r="F126" s="259"/>
      <c r="G126" s="260"/>
    </row>
    <row r="127" spans="2:7" ht="18.75" customHeight="1" x14ac:dyDescent="0.2">
      <c r="B127" s="298"/>
      <c r="C127" s="82"/>
      <c r="D127" s="258"/>
      <c r="E127" s="259"/>
      <c r="F127" s="259"/>
      <c r="G127" s="260"/>
    </row>
    <row r="128" spans="2:7" ht="18.75" customHeight="1" x14ac:dyDescent="0.2">
      <c r="B128" s="298"/>
      <c r="C128" s="82"/>
      <c r="D128" s="258"/>
      <c r="E128" s="259"/>
      <c r="F128" s="259"/>
      <c r="G128" s="260"/>
    </row>
    <row r="129" spans="1:7" ht="18.75" customHeight="1" x14ac:dyDescent="0.2">
      <c r="B129" s="298"/>
      <c r="C129" s="82"/>
      <c r="D129" s="258"/>
      <c r="E129" s="259"/>
      <c r="F129" s="259"/>
      <c r="G129" s="260"/>
    </row>
    <row r="130" spans="1:7" ht="18.75" customHeight="1" x14ac:dyDescent="0.2">
      <c r="B130" s="298"/>
      <c r="C130" s="82"/>
      <c r="D130" s="258"/>
      <c r="E130" s="259"/>
      <c r="F130" s="259"/>
      <c r="G130" s="260"/>
    </row>
    <row r="131" spans="1:7" ht="18.75" customHeight="1" x14ac:dyDescent="0.2">
      <c r="B131" s="298"/>
      <c r="C131" s="82"/>
      <c r="D131" s="258"/>
      <c r="E131" s="259"/>
      <c r="F131" s="259"/>
      <c r="G131" s="260"/>
    </row>
    <row r="132" spans="1:7" ht="18.75" customHeight="1" x14ac:dyDescent="0.2">
      <c r="B132" s="298"/>
      <c r="C132" s="82"/>
      <c r="D132" s="258"/>
      <c r="E132" s="259"/>
      <c r="F132" s="259"/>
      <c r="G132" s="260"/>
    </row>
    <row r="133" spans="1:7" ht="18.75" customHeight="1" x14ac:dyDescent="0.2">
      <c r="B133" s="298"/>
      <c r="C133" s="82"/>
      <c r="D133" s="258"/>
      <c r="E133" s="259"/>
      <c r="F133" s="259"/>
      <c r="G133" s="260"/>
    </row>
    <row r="134" spans="1:7" ht="18.75" customHeight="1" x14ac:dyDescent="0.2">
      <c r="B134" s="298"/>
      <c r="C134" s="82"/>
      <c r="D134" s="258"/>
      <c r="E134" s="259"/>
      <c r="F134" s="259"/>
      <c r="G134" s="260"/>
    </row>
    <row r="135" spans="1:7" ht="18.75" customHeight="1" x14ac:dyDescent="0.2">
      <c r="B135" s="298"/>
      <c r="C135" s="82"/>
      <c r="D135" s="258"/>
      <c r="E135" s="259"/>
      <c r="F135" s="259"/>
      <c r="G135" s="260"/>
    </row>
    <row r="136" spans="1:7" ht="18.75" customHeight="1" x14ac:dyDescent="0.2">
      <c r="B136" s="298"/>
      <c r="C136" s="82"/>
      <c r="D136" s="258"/>
      <c r="E136" s="259"/>
      <c r="F136" s="259"/>
      <c r="G136" s="260"/>
    </row>
    <row r="137" spans="1:7" ht="18.75" customHeight="1" x14ac:dyDescent="0.2">
      <c r="B137" s="298"/>
      <c r="C137" s="82"/>
      <c r="D137" s="258"/>
      <c r="E137" s="259"/>
      <c r="F137" s="259"/>
      <c r="G137" s="260"/>
    </row>
    <row r="138" spans="1:7" ht="18.75" customHeight="1" x14ac:dyDescent="0.2">
      <c r="B138" s="298"/>
      <c r="C138" s="82"/>
      <c r="D138" s="258"/>
      <c r="E138" s="259"/>
      <c r="F138" s="259"/>
      <c r="G138" s="260"/>
    </row>
    <row r="139" spans="1:7" ht="18.75" customHeight="1" x14ac:dyDescent="0.2">
      <c r="B139" s="298"/>
      <c r="C139" s="82"/>
      <c r="D139" s="258"/>
      <c r="E139" s="259"/>
      <c r="F139" s="259"/>
      <c r="G139" s="260"/>
    </row>
    <row r="140" spans="1:7" ht="18.75" customHeight="1" x14ac:dyDescent="0.2">
      <c r="B140" s="298"/>
      <c r="C140" s="82"/>
      <c r="D140" s="258"/>
      <c r="E140" s="259"/>
      <c r="F140" s="259"/>
      <c r="G140" s="260"/>
    </row>
    <row r="141" spans="1:7" ht="18.75" customHeight="1" x14ac:dyDescent="0.2">
      <c r="A141" s="1" t="s">
        <v>12</v>
      </c>
      <c r="B141" s="1" t="s">
        <v>107</v>
      </c>
    </row>
    <row r="142" spans="1:7" ht="22.5" customHeight="1" x14ac:dyDescent="0.2">
      <c r="B142" s="41" t="s">
        <v>73</v>
      </c>
      <c r="C142" s="272" t="s">
        <v>106</v>
      </c>
      <c r="D142" s="273"/>
      <c r="E142" s="273"/>
      <c r="F142" s="273"/>
      <c r="G142" s="274"/>
    </row>
    <row r="143" spans="1:7" ht="45" customHeight="1" x14ac:dyDescent="0.2">
      <c r="B143" s="42" t="s">
        <v>75</v>
      </c>
      <c r="C143" s="294" t="s">
        <v>179</v>
      </c>
      <c r="D143" s="295"/>
      <c r="E143" s="295"/>
      <c r="F143" s="295"/>
      <c r="G143" s="296"/>
    </row>
    <row r="144" spans="1:7" ht="45" customHeight="1" x14ac:dyDescent="0.2">
      <c r="B144" s="42" t="s">
        <v>76</v>
      </c>
      <c r="C144" s="294"/>
      <c r="D144" s="295"/>
      <c r="E144" s="295"/>
      <c r="F144" s="295"/>
      <c r="G144" s="296"/>
    </row>
    <row r="145" spans="1:7" ht="45" customHeight="1" x14ac:dyDescent="0.2">
      <c r="B145" s="42" t="s">
        <v>77</v>
      </c>
      <c r="C145" s="294"/>
      <c r="D145" s="295"/>
      <c r="E145" s="295"/>
      <c r="F145" s="295"/>
      <c r="G145" s="296"/>
    </row>
    <row r="146" spans="1:7" ht="45" customHeight="1" x14ac:dyDescent="0.2">
      <c r="B146" s="42" t="s">
        <v>78</v>
      </c>
      <c r="C146" s="294" t="s">
        <v>179</v>
      </c>
      <c r="D146" s="295"/>
      <c r="E146" s="295"/>
      <c r="F146" s="295"/>
      <c r="G146" s="296"/>
    </row>
    <row r="147" spans="1:7" ht="45" customHeight="1" x14ac:dyDescent="0.2">
      <c r="B147" s="42" t="s">
        <v>79</v>
      </c>
      <c r="C147" s="294" t="s">
        <v>179</v>
      </c>
      <c r="D147" s="295"/>
      <c r="E147" s="295"/>
      <c r="F147" s="295"/>
      <c r="G147" s="296"/>
    </row>
    <row r="148" spans="1:7" ht="45" customHeight="1" x14ac:dyDescent="0.2">
      <c r="B148" s="42" t="s">
        <v>80</v>
      </c>
      <c r="C148" s="294" t="s">
        <v>179</v>
      </c>
      <c r="D148" s="295"/>
      <c r="E148" s="295"/>
      <c r="F148" s="295"/>
      <c r="G148" s="296"/>
    </row>
    <row r="149" spans="1:7" ht="45" customHeight="1" x14ac:dyDescent="0.2">
      <c r="B149" s="42" t="s">
        <v>81</v>
      </c>
      <c r="C149" s="294"/>
      <c r="D149" s="295"/>
      <c r="E149" s="295"/>
      <c r="F149" s="295"/>
      <c r="G149" s="296"/>
    </row>
    <row r="150" spans="1:7" ht="45" customHeight="1" x14ac:dyDescent="0.2">
      <c r="B150" s="42" t="s">
        <v>82</v>
      </c>
      <c r="C150" s="294" t="s">
        <v>179</v>
      </c>
      <c r="D150" s="295"/>
      <c r="E150" s="295"/>
      <c r="F150" s="295"/>
      <c r="G150" s="296"/>
    </row>
    <row r="151" spans="1:7" ht="45" customHeight="1" x14ac:dyDescent="0.2">
      <c r="B151" s="42" t="s">
        <v>83</v>
      </c>
      <c r="C151" s="294"/>
      <c r="D151" s="295"/>
      <c r="E151" s="295"/>
      <c r="F151" s="295"/>
      <c r="G151" s="296"/>
    </row>
    <row r="152" spans="1:7" ht="7.5" customHeight="1" x14ac:dyDescent="0.2"/>
    <row r="153" spans="1:7" ht="18.75" customHeight="1" x14ac:dyDescent="0.2">
      <c r="A153" s="1" t="s">
        <v>98</v>
      </c>
      <c r="B153" s="1" t="s">
        <v>99</v>
      </c>
      <c r="E153" s="293" t="s">
        <v>178</v>
      </c>
      <c r="F153" s="202"/>
      <c r="G153" s="203"/>
    </row>
    <row r="154" spans="1:7" ht="7.5" customHeight="1" x14ac:dyDescent="0.2"/>
    <row r="155" spans="1:7" ht="18.75" customHeight="1" x14ac:dyDescent="0.2">
      <c r="A155" s="1" t="s">
        <v>100</v>
      </c>
      <c r="B155" s="1" t="s">
        <v>101</v>
      </c>
    </row>
    <row r="156" spans="1:7" ht="18.75" customHeight="1" x14ac:dyDescent="0.2">
      <c r="B156" s="284" t="s">
        <v>187</v>
      </c>
      <c r="C156" s="285"/>
      <c r="D156" s="285"/>
      <c r="E156" s="285"/>
      <c r="F156" s="285"/>
      <c r="G156" s="286"/>
    </row>
    <row r="157" spans="1:7" ht="18.75" customHeight="1" x14ac:dyDescent="0.2">
      <c r="B157" s="287"/>
      <c r="C157" s="288"/>
      <c r="D157" s="288"/>
      <c r="E157" s="288"/>
      <c r="F157" s="288"/>
      <c r="G157" s="289"/>
    </row>
    <row r="158" spans="1:7" ht="18.75" customHeight="1" x14ac:dyDescent="0.2">
      <c r="B158" s="290"/>
      <c r="C158" s="291"/>
      <c r="D158" s="291"/>
      <c r="E158" s="291"/>
      <c r="F158" s="291"/>
      <c r="G158" s="292"/>
    </row>
    <row r="159" spans="1:7" ht="18.75" customHeight="1" x14ac:dyDescent="0.2"/>
    <row r="160" spans="1:7" ht="18.75" customHeight="1" x14ac:dyDescent="0.2"/>
    <row r="161" ht="18.75" customHeight="1" x14ac:dyDescent="0.2"/>
    <row r="162" ht="18.75" customHeight="1" x14ac:dyDescent="0.2"/>
    <row r="163" ht="18.75" customHeight="1" x14ac:dyDescent="0.2"/>
    <row r="164" ht="18.75" customHeight="1" x14ac:dyDescent="0.2"/>
  </sheetData>
  <mergeCells count="135">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40"/>
    <mergeCell ref="C101:G101"/>
    <mergeCell ref="C102:G106"/>
    <mergeCell ref="D107:G107"/>
    <mergeCell ref="D57:G57"/>
    <mergeCell ref="D74:G74"/>
    <mergeCell ref="D75:G75"/>
    <mergeCell ref="D70:G70"/>
    <mergeCell ref="D71:G71"/>
    <mergeCell ref="D66:G66"/>
    <mergeCell ref="D67:G67"/>
    <mergeCell ref="D68:G68"/>
    <mergeCell ref="D69:G69"/>
    <mergeCell ref="D58:G58"/>
    <mergeCell ref="D59:G59"/>
    <mergeCell ref="D60:G60"/>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56:G158"/>
    <mergeCell ref="E153:G153"/>
    <mergeCell ref="C142:G142"/>
    <mergeCell ref="C148:G148"/>
    <mergeCell ref="C149:G149"/>
    <mergeCell ref="C150:G150"/>
    <mergeCell ref="C151:G151"/>
    <mergeCell ref="C143:G143"/>
    <mergeCell ref="B6:B25"/>
    <mergeCell ref="C144:G144"/>
    <mergeCell ref="C145:G145"/>
    <mergeCell ref="C146:G146"/>
    <mergeCell ref="C147:G147"/>
    <mergeCell ref="D34:G34"/>
    <mergeCell ref="D35:G35"/>
    <mergeCell ref="D36:G36"/>
    <mergeCell ref="D37:G37"/>
    <mergeCell ref="D38:G38"/>
    <mergeCell ref="D39:G39"/>
    <mergeCell ref="D40:G40"/>
    <mergeCell ref="D41:G41"/>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16:G116"/>
    <mergeCell ref="D117:G117"/>
    <mergeCell ref="D118:G118"/>
    <mergeCell ref="D119:G119"/>
    <mergeCell ref="D108:G108"/>
    <mergeCell ref="D110:G110"/>
    <mergeCell ref="D111:G111"/>
    <mergeCell ref="D112:G112"/>
    <mergeCell ref="D113:G113"/>
    <mergeCell ref="D114:G114"/>
    <mergeCell ref="D115:G115"/>
    <mergeCell ref="D121:G121"/>
    <mergeCell ref="D123:G123"/>
    <mergeCell ref="D122:G122"/>
    <mergeCell ref="D109:G109"/>
    <mergeCell ref="D134:G134"/>
    <mergeCell ref="D135:G135"/>
    <mergeCell ref="D136:G136"/>
    <mergeCell ref="D137:G137"/>
    <mergeCell ref="D138:G138"/>
    <mergeCell ref="D139:G139"/>
    <mergeCell ref="D140:G140"/>
    <mergeCell ref="D125:G125"/>
    <mergeCell ref="D126:G126"/>
    <mergeCell ref="D127:G127"/>
    <mergeCell ref="D128:G128"/>
    <mergeCell ref="D129:G129"/>
    <mergeCell ref="D130:G130"/>
    <mergeCell ref="D131:G131"/>
    <mergeCell ref="D132:G132"/>
    <mergeCell ref="D133:G133"/>
  </mergeCells>
  <phoneticPr fontId="1"/>
  <hyperlinks>
    <hyperlink ref="E153" r:id="rId1"/>
  </hyperlinks>
  <printOptions horizontalCentered="1"/>
  <pageMargins left="0.78740157480314965" right="0.78740157480314965" top="0.59055118110236227" bottom="0.39370078740157483" header="0.31496062992125984" footer="0.31496062992125984"/>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
  <sheetViews>
    <sheetView showZeros="0" zoomScaleNormal="100" workbookViewId="0">
      <selection activeCell="B1" sqref="B1"/>
    </sheetView>
  </sheetViews>
  <sheetFormatPr defaultColWidth="11.36328125" defaultRowHeight="18.75" customHeight="1" x14ac:dyDescent="0.2"/>
  <cols>
    <col min="1" max="1" width="2.7265625" style="130" customWidth="1"/>
    <col min="2" max="2" width="54.26953125" style="117" customWidth="1"/>
    <col min="3" max="3" width="1.26953125" style="117" customWidth="1"/>
    <col min="4" max="4" width="22.453125" style="117" customWidth="1"/>
    <col min="5" max="5" width="6.26953125" style="117" customWidth="1"/>
    <col min="6" max="16384" width="11.36328125" style="117"/>
  </cols>
  <sheetData>
    <row r="1" spans="1:5" ht="18.75" customHeight="1" x14ac:dyDescent="0.2">
      <c r="E1" s="131" t="s">
        <v>108</v>
      </c>
    </row>
    <row r="2" spans="1:5" ht="18.75" customHeight="1" x14ac:dyDescent="0.2">
      <c r="B2" s="131" t="s">
        <v>87</v>
      </c>
      <c r="C2" s="131" t="s">
        <v>8</v>
      </c>
      <c r="D2" s="345" t="s">
        <v>173</v>
      </c>
      <c r="E2" s="345"/>
    </row>
    <row r="3" spans="1:5" ht="7.5" customHeight="1" x14ac:dyDescent="0.2">
      <c r="B3" s="131"/>
      <c r="C3" s="131"/>
      <c r="D3" s="132"/>
      <c r="E3" s="132"/>
    </row>
    <row r="4" spans="1:5" ht="18.75" customHeight="1" x14ac:dyDescent="0.2">
      <c r="B4" s="241" t="s">
        <v>84</v>
      </c>
      <c r="C4" s="241"/>
      <c r="D4" s="241"/>
      <c r="E4" s="241"/>
    </row>
    <row r="5" spans="1:5" ht="7.5" customHeight="1" x14ac:dyDescent="0.2">
      <c r="B5" s="113"/>
      <c r="C5" s="113"/>
      <c r="D5" s="113"/>
      <c r="E5" s="113"/>
    </row>
    <row r="6" spans="1:5" ht="18.75" customHeight="1" x14ac:dyDescent="0.2">
      <c r="A6" s="133" t="s">
        <v>7</v>
      </c>
      <c r="B6" s="102" t="s">
        <v>97</v>
      </c>
      <c r="C6" s="113"/>
      <c r="D6" s="113"/>
      <c r="E6" s="113"/>
    </row>
    <row r="7" spans="1:5" ht="18.75" customHeight="1" x14ac:dyDescent="0.2">
      <c r="A7" s="133"/>
      <c r="B7" s="189" t="s">
        <v>188</v>
      </c>
      <c r="C7" s="362"/>
      <c r="D7" s="362"/>
      <c r="E7" s="363"/>
    </row>
    <row r="8" spans="1:5" ht="7.5" customHeight="1" x14ac:dyDescent="0.2">
      <c r="B8" s="113"/>
      <c r="C8" s="113"/>
      <c r="D8" s="113"/>
      <c r="E8" s="113"/>
    </row>
    <row r="9" spans="1:5" s="102" customFormat="1" ht="18.75" customHeight="1" x14ac:dyDescent="0.2">
      <c r="A9" s="133" t="s">
        <v>12</v>
      </c>
      <c r="B9" s="133" t="s">
        <v>46</v>
      </c>
      <c r="C9" s="133"/>
      <c r="D9" s="133"/>
      <c r="E9" s="133"/>
    </row>
    <row r="10" spans="1:5" s="98" customFormat="1" ht="18.75" customHeight="1" x14ac:dyDescent="0.2">
      <c r="A10" s="134"/>
      <c r="B10" s="335" t="s">
        <v>189</v>
      </c>
      <c r="C10" s="346"/>
      <c r="D10" s="346"/>
      <c r="E10" s="347"/>
    </row>
    <row r="11" spans="1:5" s="98" customFormat="1" ht="18.75" customHeight="1" x14ac:dyDescent="0.2">
      <c r="A11" s="134"/>
      <c r="B11" s="348"/>
      <c r="C11" s="349"/>
      <c r="D11" s="349"/>
      <c r="E11" s="350"/>
    </row>
    <row r="12" spans="1:5" s="98" customFormat="1" ht="18.75" customHeight="1" x14ac:dyDescent="0.2">
      <c r="A12" s="134"/>
      <c r="B12" s="348"/>
      <c r="C12" s="349"/>
      <c r="D12" s="349"/>
      <c r="E12" s="350"/>
    </row>
    <row r="13" spans="1:5" s="98" customFormat="1" ht="18.75" customHeight="1" x14ac:dyDescent="0.2">
      <c r="A13" s="134"/>
      <c r="B13" s="348"/>
      <c r="C13" s="349"/>
      <c r="D13" s="349"/>
      <c r="E13" s="350"/>
    </row>
    <row r="14" spans="1:5" s="98" customFormat="1" ht="18.75" customHeight="1" x14ac:dyDescent="0.2">
      <c r="A14" s="134"/>
      <c r="B14" s="351"/>
      <c r="C14" s="352"/>
      <c r="D14" s="352"/>
      <c r="E14" s="353"/>
    </row>
    <row r="15" spans="1:5" s="98" customFormat="1" ht="7.5" customHeight="1" x14ac:dyDescent="0.2">
      <c r="A15" s="134"/>
      <c r="B15" s="134"/>
      <c r="C15" s="134"/>
      <c r="D15" s="134"/>
      <c r="E15" s="134"/>
    </row>
    <row r="16" spans="1:5" s="102" customFormat="1" ht="18.75" customHeight="1" x14ac:dyDescent="0.2">
      <c r="A16" s="135" t="s">
        <v>13</v>
      </c>
      <c r="B16" s="135" t="s">
        <v>19</v>
      </c>
      <c r="C16" s="135"/>
      <c r="D16" s="135"/>
      <c r="E16" s="135"/>
    </row>
    <row r="17" spans="1:5" s="98" customFormat="1" ht="18.75" customHeight="1" x14ac:dyDescent="0.2">
      <c r="A17" s="134"/>
      <c r="B17" s="335" t="s">
        <v>191</v>
      </c>
      <c r="C17" s="336"/>
      <c r="D17" s="336"/>
      <c r="E17" s="337"/>
    </row>
    <row r="18" spans="1:5" s="98" customFormat="1" ht="18.75" customHeight="1" x14ac:dyDescent="0.2">
      <c r="A18" s="134"/>
      <c r="B18" s="338"/>
      <c r="C18" s="339"/>
      <c r="D18" s="339"/>
      <c r="E18" s="340"/>
    </row>
    <row r="19" spans="1:5" s="98" customFormat="1" ht="18.75" customHeight="1" x14ac:dyDescent="0.2">
      <c r="A19" s="134"/>
      <c r="B19" s="338"/>
      <c r="C19" s="339"/>
      <c r="D19" s="339"/>
      <c r="E19" s="340"/>
    </row>
    <row r="20" spans="1:5" s="98" customFormat="1" ht="18.75" customHeight="1" x14ac:dyDescent="0.2">
      <c r="A20" s="134"/>
      <c r="B20" s="338"/>
      <c r="C20" s="339"/>
      <c r="D20" s="339"/>
      <c r="E20" s="340"/>
    </row>
    <row r="21" spans="1:5" s="98" customFormat="1" ht="18.75" customHeight="1" x14ac:dyDescent="0.2">
      <c r="A21" s="134"/>
      <c r="B21" s="338"/>
      <c r="C21" s="339"/>
      <c r="D21" s="339"/>
      <c r="E21" s="340"/>
    </row>
    <row r="22" spans="1:5" s="98" customFormat="1" ht="18.75" customHeight="1" x14ac:dyDescent="0.2">
      <c r="A22" s="134"/>
      <c r="B22" s="338"/>
      <c r="C22" s="339"/>
      <c r="D22" s="339"/>
      <c r="E22" s="340"/>
    </row>
    <row r="23" spans="1:5" s="98" customFormat="1" ht="18.75" customHeight="1" x14ac:dyDescent="0.2">
      <c r="A23" s="134"/>
      <c r="B23" s="338"/>
      <c r="C23" s="339"/>
      <c r="D23" s="339"/>
      <c r="E23" s="340"/>
    </row>
    <row r="24" spans="1:5" s="98" customFormat="1" ht="18.75" customHeight="1" x14ac:dyDescent="0.2">
      <c r="A24" s="134"/>
      <c r="B24" s="338"/>
      <c r="C24" s="339"/>
      <c r="D24" s="339"/>
      <c r="E24" s="340"/>
    </row>
    <row r="25" spans="1:5" s="98" customFormat="1" ht="18.75" customHeight="1" x14ac:dyDescent="0.2">
      <c r="A25" s="134"/>
      <c r="B25" s="338"/>
      <c r="C25" s="339"/>
      <c r="D25" s="339"/>
      <c r="E25" s="340"/>
    </row>
    <row r="26" spans="1:5" s="98" customFormat="1" ht="18.75" customHeight="1" x14ac:dyDescent="0.2">
      <c r="A26" s="134"/>
      <c r="B26" s="341"/>
      <c r="C26" s="342"/>
      <c r="D26" s="342"/>
      <c r="E26" s="343"/>
    </row>
    <row r="27" spans="1:5" ht="7.5" customHeight="1" x14ac:dyDescent="0.2">
      <c r="A27" s="53"/>
      <c r="B27" s="53"/>
      <c r="C27" s="53"/>
      <c r="D27" s="53"/>
      <c r="E27" s="53"/>
    </row>
    <row r="28" spans="1:5" s="102" customFormat="1" ht="18.75" customHeight="1" x14ac:dyDescent="0.2">
      <c r="A28" s="133" t="s">
        <v>17</v>
      </c>
      <c r="B28" s="133" t="s">
        <v>30</v>
      </c>
      <c r="C28" s="133"/>
      <c r="D28" s="133"/>
      <c r="E28" s="133"/>
    </row>
    <row r="29" spans="1:5" s="102" customFormat="1" ht="18.75" customHeight="1" x14ac:dyDescent="0.2">
      <c r="A29" s="133"/>
      <c r="B29" s="335" t="s">
        <v>200</v>
      </c>
      <c r="C29" s="336"/>
      <c r="D29" s="336"/>
      <c r="E29" s="337"/>
    </row>
    <row r="30" spans="1:5" s="102" customFormat="1" ht="18.75" customHeight="1" x14ac:dyDescent="0.2">
      <c r="A30" s="133"/>
      <c r="B30" s="338"/>
      <c r="C30" s="339"/>
      <c r="D30" s="339"/>
      <c r="E30" s="340"/>
    </row>
    <row r="31" spans="1:5" s="102" customFormat="1" ht="18.75" customHeight="1" x14ac:dyDescent="0.2">
      <c r="A31" s="133"/>
      <c r="B31" s="338"/>
      <c r="C31" s="339"/>
      <c r="D31" s="339"/>
      <c r="E31" s="340"/>
    </row>
    <row r="32" spans="1:5" s="102" customFormat="1" ht="18.75" customHeight="1" x14ac:dyDescent="0.2">
      <c r="A32" s="133"/>
      <c r="B32" s="338"/>
      <c r="C32" s="339"/>
      <c r="D32" s="339"/>
      <c r="E32" s="340"/>
    </row>
    <row r="33" spans="1:8" s="102" customFormat="1" ht="18.75" customHeight="1" x14ac:dyDescent="0.2">
      <c r="A33" s="133"/>
      <c r="B33" s="338"/>
      <c r="C33" s="339"/>
      <c r="D33" s="339"/>
      <c r="E33" s="340"/>
    </row>
    <row r="34" spans="1:8" s="102" customFormat="1" ht="18.75" customHeight="1" x14ac:dyDescent="0.2">
      <c r="A34" s="133"/>
      <c r="B34" s="338"/>
      <c r="C34" s="339"/>
      <c r="D34" s="339"/>
      <c r="E34" s="340"/>
    </row>
    <row r="35" spans="1:8" s="102" customFormat="1" ht="18.75" customHeight="1" x14ac:dyDescent="0.2">
      <c r="A35" s="133"/>
      <c r="B35" s="338"/>
      <c r="C35" s="339"/>
      <c r="D35" s="339"/>
      <c r="E35" s="340"/>
      <c r="G35" s="102">
        <f>LEN(G33)</f>
        <v>0</v>
      </c>
    </row>
    <row r="36" spans="1:8" s="102" customFormat="1" ht="18.75" customHeight="1" x14ac:dyDescent="0.2">
      <c r="A36" s="133"/>
      <c r="B36" s="338"/>
      <c r="C36" s="339"/>
      <c r="D36" s="339"/>
      <c r="E36" s="340"/>
      <c r="H36" s="102">
        <f>LEN(H32)</f>
        <v>0</v>
      </c>
    </row>
    <row r="37" spans="1:8" s="102" customFormat="1" ht="18.75" customHeight="1" x14ac:dyDescent="0.2">
      <c r="A37" s="133"/>
      <c r="B37" s="338"/>
      <c r="C37" s="339"/>
      <c r="D37" s="339"/>
      <c r="E37" s="340"/>
    </row>
    <row r="38" spans="1:8" s="102" customFormat="1" ht="18.75" customHeight="1" x14ac:dyDescent="0.2">
      <c r="A38" s="133"/>
      <c r="B38" s="338"/>
      <c r="C38" s="339"/>
      <c r="D38" s="339"/>
      <c r="E38" s="340"/>
    </row>
    <row r="39" spans="1:8" s="102" customFormat="1" ht="18.75" customHeight="1" x14ac:dyDescent="0.2">
      <c r="A39" s="133"/>
      <c r="B39" s="338"/>
      <c r="C39" s="339"/>
      <c r="D39" s="339"/>
      <c r="E39" s="340"/>
    </row>
    <row r="40" spans="1:8" s="102" customFormat="1" ht="18.75" customHeight="1" x14ac:dyDescent="0.2">
      <c r="A40" s="133"/>
      <c r="B40" s="338"/>
      <c r="C40" s="339"/>
      <c r="D40" s="339"/>
      <c r="E40" s="340"/>
    </row>
    <row r="41" spans="1:8" s="102" customFormat="1" ht="18.75" customHeight="1" x14ac:dyDescent="0.2">
      <c r="A41" s="133"/>
      <c r="B41" s="338"/>
      <c r="C41" s="339"/>
      <c r="D41" s="339"/>
      <c r="E41" s="340"/>
    </row>
    <row r="42" spans="1:8" s="102" customFormat="1" ht="18.75" customHeight="1" x14ac:dyDescent="0.2">
      <c r="A42" s="133"/>
      <c r="B42" s="338"/>
      <c r="C42" s="339"/>
      <c r="D42" s="339"/>
      <c r="E42" s="340"/>
    </row>
    <row r="43" spans="1:8" ht="18.75" customHeight="1" x14ac:dyDescent="0.2">
      <c r="A43" s="53"/>
      <c r="B43" s="338"/>
      <c r="C43" s="339"/>
      <c r="D43" s="339"/>
      <c r="E43" s="340"/>
    </row>
    <row r="44" spans="1:8" ht="18.75" customHeight="1" x14ac:dyDescent="0.2">
      <c r="A44" s="53"/>
      <c r="B44" s="341"/>
      <c r="C44" s="342"/>
      <c r="D44" s="342"/>
      <c r="E44" s="343"/>
    </row>
    <row r="45" spans="1:8" s="102" customFormat="1" ht="18.75" customHeight="1" x14ac:dyDescent="0.2">
      <c r="A45" s="136" t="s">
        <v>14</v>
      </c>
      <c r="B45" s="133" t="s">
        <v>85</v>
      </c>
      <c r="C45" s="136"/>
      <c r="D45" s="136"/>
      <c r="E45" s="136"/>
    </row>
    <row r="46" spans="1:8" ht="18.75" customHeight="1" x14ac:dyDescent="0.2">
      <c r="A46" s="53"/>
      <c r="B46" s="335" t="s">
        <v>207</v>
      </c>
      <c r="C46" s="354"/>
      <c r="D46" s="354"/>
      <c r="E46" s="355"/>
    </row>
    <row r="47" spans="1:8" ht="18.75" customHeight="1" x14ac:dyDescent="0.2">
      <c r="A47" s="53"/>
      <c r="B47" s="356"/>
      <c r="C47" s="357"/>
      <c r="D47" s="357"/>
      <c r="E47" s="358"/>
    </row>
    <row r="48" spans="1:8" ht="18.75" customHeight="1" x14ac:dyDescent="0.2">
      <c r="A48" s="53"/>
      <c r="B48" s="356"/>
      <c r="C48" s="357"/>
      <c r="D48" s="357"/>
      <c r="E48" s="358"/>
    </row>
    <row r="49" spans="1:5" ht="18.75" customHeight="1" x14ac:dyDescent="0.2">
      <c r="A49" s="53"/>
      <c r="B49" s="356"/>
      <c r="C49" s="357"/>
      <c r="D49" s="357"/>
      <c r="E49" s="358"/>
    </row>
    <row r="50" spans="1:5" ht="18.75" customHeight="1" x14ac:dyDescent="0.2">
      <c r="A50" s="53"/>
      <c r="B50" s="356"/>
      <c r="C50" s="357"/>
      <c r="D50" s="357"/>
      <c r="E50" s="358"/>
    </row>
    <row r="51" spans="1:5" ht="18.75" customHeight="1" x14ac:dyDescent="0.2">
      <c r="A51" s="53"/>
      <c r="B51" s="356"/>
      <c r="C51" s="357"/>
      <c r="D51" s="357"/>
      <c r="E51" s="358"/>
    </row>
    <row r="52" spans="1:5" ht="18.75" customHeight="1" x14ac:dyDescent="0.2">
      <c r="A52" s="53"/>
      <c r="B52" s="356"/>
      <c r="C52" s="357"/>
      <c r="D52" s="357"/>
      <c r="E52" s="358"/>
    </row>
    <row r="53" spans="1:5" ht="18.75" customHeight="1" x14ac:dyDescent="0.2">
      <c r="A53" s="53"/>
      <c r="B53" s="356"/>
      <c r="C53" s="357"/>
      <c r="D53" s="357"/>
      <c r="E53" s="358"/>
    </row>
    <row r="54" spans="1:5" ht="18.75" customHeight="1" x14ac:dyDescent="0.2">
      <c r="A54" s="53"/>
      <c r="B54" s="356"/>
      <c r="C54" s="357"/>
      <c r="D54" s="357"/>
      <c r="E54" s="358"/>
    </row>
    <row r="55" spans="1:5" ht="18.75" customHeight="1" x14ac:dyDescent="0.2">
      <c r="A55" s="53"/>
      <c r="B55" s="356"/>
      <c r="C55" s="357"/>
      <c r="D55" s="357"/>
      <c r="E55" s="358"/>
    </row>
    <row r="56" spans="1:5" ht="18.75" customHeight="1" x14ac:dyDescent="0.2">
      <c r="A56" s="53"/>
      <c r="B56" s="356"/>
      <c r="C56" s="357"/>
      <c r="D56" s="357"/>
      <c r="E56" s="358"/>
    </row>
    <row r="57" spans="1:5" ht="18.75" customHeight="1" x14ac:dyDescent="0.2">
      <c r="A57" s="53"/>
      <c r="B57" s="356"/>
      <c r="C57" s="357"/>
      <c r="D57" s="357"/>
      <c r="E57" s="358"/>
    </row>
    <row r="58" spans="1:5" ht="18.75" customHeight="1" x14ac:dyDescent="0.2">
      <c r="A58" s="53"/>
      <c r="B58" s="356"/>
      <c r="C58" s="357"/>
      <c r="D58" s="357"/>
      <c r="E58" s="358"/>
    </row>
    <row r="59" spans="1:5" ht="18.75" customHeight="1" x14ac:dyDescent="0.2">
      <c r="A59" s="53"/>
      <c r="B59" s="356"/>
      <c r="C59" s="357"/>
      <c r="D59" s="357"/>
      <c r="E59" s="358"/>
    </row>
    <row r="60" spans="1:5" ht="18.75" customHeight="1" x14ac:dyDescent="0.2">
      <c r="A60" s="53"/>
      <c r="B60" s="356"/>
      <c r="C60" s="357"/>
      <c r="D60" s="357"/>
      <c r="E60" s="358"/>
    </row>
    <row r="61" spans="1:5" ht="18.75" customHeight="1" x14ac:dyDescent="0.2">
      <c r="A61" s="53"/>
      <c r="B61" s="356"/>
      <c r="C61" s="357"/>
      <c r="D61" s="357"/>
      <c r="E61" s="358"/>
    </row>
    <row r="62" spans="1:5" ht="18.75" customHeight="1" x14ac:dyDescent="0.2">
      <c r="A62" s="53"/>
      <c r="B62" s="356"/>
      <c r="C62" s="357"/>
      <c r="D62" s="357"/>
      <c r="E62" s="358"/>
    </row>
    <row r="63" spans="1:5" ht="18.75" customHeight="1" x14ac:dyDescent="0.2">
      <c r="A63" s="53"/>
      <c r="B63" s="356"/>
      <c r="C63" s="357"/>
      <c r="D63" s="357"/>
      <c r="E63" s="358"/>
    </row>
    <row r="64" spans="1:5" ht="18.75" customHeight="1" x14ac:dyDescent="0.2">
      <c r="A64" s="53"/>
      <c r="B64" s="356"/>
      <c r="C64" s="357"/>
      <c r="D64" s="357"/>
      <c r="E64" s="358"/>
    </row>
    <row r="65" spans="1:5" ht="18.75" customHeight="1" x14ac:dyDescent="0.2">
      <c r="A65" s="53"/>
      <c r="B65" s="356"/>
      <c r="C65" s="357"/>
      <c r="D65" s="357"/>
      <c r="E65" s="358"/>
    </row>
    <row r="66" spans="1:5" ht="18.75" customHeight="1" x14ac:dyDescent="0.2">
      <c r="A66" s="53"/>
      <c r="B66" s="359"/>
      <c r="C66" s="360"/>
      <c r="D66" s="360"/>
      <c r="E66" s="361"/>
    </row>
    <row r="67" spans="1:5" ht="7.5" customHeight="1" x14ac:dyDescent="0.2">
      <c r="A67" s="53"/>
      <c r="B67" s="53"/>
      <c r="C67" s="53"/>
      <c r="D67" s="53"/>
      <c r="E67" s="53"/>
    </row>
    <row r="68" spans="1:5" s="102" customFormat="1" ht="18.75" customHeight="1" x14ac:dyDescent="0.2">
      <c r="A68" s="133" t="s">
        <v>18</v>
      </c>
      <c r="B68" s="133" t="s">
        <v>96</v>
      </c>
      <c r="C68" s="133"/>
      <c r="D68" s="133"/>
      <c r="E68" s="133"/>
    </row>
    <row r="69" spans="1:5" s="102" customFormat="1" ht="18.75" customHeight="1" x14ac:dyDescent="0.2">
      <c r="A69" s="133"/>
      <c r="B69" s="335" t="s">
        <v>190</v>
      </c>
      <c r="C69" s="336"/>
      <c r="D69" s="336"/>
      <c r="E69" s="337"/>
    </row>
    <row r="70" spans="1:5" s="102" customFormat="1" ht="18.75" customHeight="1" x14ac:dyDescent="0.2">
      <c r="A70" s="133"/>
      <c r="B70" s="338"/>
      <c r="C70" s="339"/>
      <c r="D70" s="339"/>
      <c r="E70" s="340"/>
    </row>
    <row r="71" spans="1:5" s="102" customFormat="1" ht="18.75" customHeight="1" x14ac:dyDescent="0.2">
      <c r="A71" s="133"/>
      <c r="B71" s="338"/>
      <c r="C71" s="339"/>
      <c r="D71" s="339"/>
      <c r="E71" s="340"/>
    </row>
    <row r="72" spans="1:5" s="102" customFormat="1" ht="18.75" customHeight="1" x14ac:dyDescent="0.2">
      <c r="A72" s="133"/>
      <c r="B72" s="338"/>
      <c r="C72" s="339"/>
      <c r="D72" s="339"/>
      <c r="E72" s="340"/>
    </row>
    <row r="73" spans="1:5" s="102" customFormat="1" ht="18.75" customHeight="1" x14ac:dyDescent="0.2">
      <c r="A73" s="133"/>
      <c r="B73" s="338"/>
      <c r="C73" s="339"/>
      <c r="D73" s="339"/>
      <c r="E73" s="340"/>
    </row>
    <row r="74" spans="1:5" s="102" customFormat="1" ht="18.75" customHeight="1" x14ac:dyDescent="0.2">
      <c r="A74" s="133"/>
      <c r="B74" s="338"/>
      <c r="C74" s="339"/>
      <c r="D74" s="339"/>
      <c r="E74" s="340"/>
    </row>
    <row r="75" spans="1:5" s="102" customFormat="1" ht="18.75" customHeight="1" x14ac:dyDescent="0.2">
      <c r="A75" s="133"/>
      <c r="B75" s="338"/>
      <c r="C75" s="339"/>
      <c r="D75" s="339"/>
      <c r="E75" s="340"/>
    </row>
    <row r="76" spans="1:5" s="102" customFormat="1" ht="18.75" customHeight="1" x14ac:dyDescent="0.2">
      <c r="A76" s="133"/>
      <c r="B76" s="338"/>
      <c r="C76" s="339"/>
      <c r="D76" s="339"/>
      <c r="E76" s="340"/>
    </row>
    <row r="77" spans="1:5" s="102" customFormat="1" ht="18.75" customHeight="1" x14ac:dyDescent="0.2">
      <c r="A77" s="133"/>
      <c r="B77" s="338"/>
      <c r="C77" s="339"/>
      <c r="D77" s="339"/>
      <c r="E77" s="340"/>
    </row>
    <row r="78" spans="1:5" s="102" customFormat="1" ht="18.75" customHeight="1" x14ac:dyDescent="0.2">
      <c r="A78" s="133"/>
      <c r="B78" s="338"/>
      <c r="C78" s="339"/>
      <c r="D78" s="339"/>
      <c r="E78" s="340"/>
    </row>
    <row r="79" spans="1:5" s="102" customFormat="1" ht="18.75" customHeight="1" x14ac:dyDescent="0.2">
      <c r="A79" s="133"/>
      <c r="B79" s="338"/>
      <c r="C79" s="339"/>
      <c r="D79" s="339"/>
      <c r="E79" s="340"/>
    </row>
    <row r="80" spans="1:5" s="102" customFormat="1" ht="18.75" customHeight="1" x14ac:dyDescent="0.2">
      <c r="A80" s="133"/>
      <c r="B80" s="338"/>
      <c r="C80" s="339"/>
      <c r="D80" s="339"/>
      <c r="E80" s="340"/>
    </row>
    <row r="81" spans="1:5" s="102" customFormat="1" ht="18.75" customHeight="1" x14ac:dyDescent="0.2">
      <c r="A81" s="133"/>
      <c r="B81" s="338"/>
      <c r="C81" s="339"/>
      <c r="D81" s="339"/>
      <c r="E81" s="340"/>
    </row>
    <row r="82" spans="1:5" s="102" customFormat="1" ht="18.75" customHeight="1" x14ac:dyDescent="0.2">
      <c r="A82" s="133"/>
      <c r="B82" s="338"/>
      <c r="C82" s="339"/>
      <c r="D82" s="339"/>
      <c r="E82" s="340"/>
    </row>
    <row r="83" spans="1:5" s="102" customFormat="1" ht="18.75" customHeight="1" x14ac:dyDescent="0.2">
      <c r="A83" s="133"/>
      <c r="B83" s="338"/>
      <c r="C83" s="339"/>
      <c r="D83" s="339"/>
      <c r="E83" s="340"/>
    </row>
    <row r="84" spans="1:5" ht="18.75" customHeight="1" x14ac:dyDescent="0.2">
      <c r="A84" s="53"/>
      <c r="B84" s="338"/>
      <c r="C84" s="339"/>
      <c r="D84" s="339"/>
      <c r="E84" s="340"/>
    </row>
    <row r="85" spans="1:5" ht="18.75" customHeight="1" x14ac:dyDescent="0.2">
      <c r="A85" s="53"/>
      <c r="B85" s="341"/>
      <c r="C85" s="342"/>
      <c r="D85" s="342"/>
      <c r="E85" s="343"/>
    </row>
    <row r="86" spans="1:5" ht="7.5" customHeight="1" x14ac:dyDescent="0.2">
      <c r="A86" s="53"/>
      <c r="B86" s="53"/>
      <c r="C86" s="53"/>
      <c r="D86" s="53"/>
      <c r="E86" s="53"/>
    </row>
    <row r="87" spans="1:5" s="102" customFormat="1" ht="18.75" customHeight="1" x14ac:dyDescent="0.2">
      <c r="A87" s="133" t="s">
        <v>15</v>
      </c>
      <c r="B87" s="133" t="s">
        <v>34</v>
      </c>
      <c r="C87" s="133"/>
      <c r="D87" s="133"/>
      <c r="E87" s="133"/>
    </row>
    <row r="88" spans="1:5" s="102" customFormat="1" ht="18.75" customHeight="1" x14ac:dyDescent="0.2">
      <c r="A88" s="133"/>
      <c r="B88" s="335" t="s">
        <v>208</v>
      </c>
      <c r="C88" s="336"/>
      <c r="D88" s="336"/>
      <c r="E88" s="337"/>
    </row>
    <row r="89" spans="1:5" s="102" customFormat="1" ht="18.75" customHeight="1" x14ac:dyDescent="0.2">
      <c r="A89" s="133"/>
      <c r="B89" s="338"/>
      <c r="C89" s="339"/>
      <c r="D89" s="339"/>
      <c r="E89" s="340"/>
    </row>
    <row r="90" spans="1:5" s="102" customFormat="1" ht="18.75" customHeight="1" x14ac:dyDescent="0.2">
      <c r="A90" s="133"/>
      <c r="B90" s="338"/>
      <c r="C90" s="339"/>
      <c r="D90" s="339"/>
      <c r="E90" s="340"/>
    </row>
    <row r="91" spans="1:5" s="102" customFormat="1" ht="18.75" customHeight="1" x14ac:dyDescent="0.2">
      <c r="A91" s="133"/>
      <c r="B91" s="338"/>
      <c r="C91" s="339"/>
      <c r="D91" s="339"/>
      <c r="E91" s="340"/>
    </row>
    <row r="92" spans="1:5" s="102" customFormat="1" ht="18.75" customHeight="1" x14ac:dyDescent="0.2">
      <c r="A92" s="133"/>
      <c r="B92" s="338"/>
      <c r="C92" s="339"/>
      <c r="D92" s="339"/>
      <c r="E92" s="340"/>
    </row>
    <row r="93" spans="1:5" s="102" customFormat="1" ht="18.75" customHeight="1" x14ac:dyDescent="0.2">
      <c r="A93" s="133"/>
      <c r="B93" s="338"/>
      <c r="C93" s="339"/>
      <c r="D93" s="339"/>
      <c r="E93" s="340"/>
    </row>
    <row r="94" spans="1:5" s="102" customFormat="1" ht="18.75" customHeight="1" x14ac:dyDescent="0.2">
      <c r="A94" s="133"/>
      <c r="B94" s="338"/>
      <c r="C94" s="339"/>
      <c r="D94" s="339"/>
      <c r="E94" s="340"/>
    </row>
    <row r="95" spans="1:5" s="102" customFormat="1" ht="18.75" customHeight="1" x14ac:dyDescent="0.2">
      <c r="A95" s="133"/>
      <c r="B95" s="338"/>
      <c r="C95" s="339"/>
      <c r="D95" s="339"/>
      <c r="E95" s="340"/>
    </row>
    <row r="96" spans="1:5" s="102" customFormat="1" ht="18.75" customHeight="1" x14ac:dyDescent="0.2">
      <c r="A96" s="133"/>
      <c r="B96" s="338"/>
      <c r="C96" s="339"/>
      <c r="D96" s="339"/>
      <c r="E96" s="340"/>
    </row>
    <row r="97" spans="1:5" s="102" customFormat="1" ht="18.75" customHeight="1" x14ac:dyDescent="0.2">
      <c r="A97" s="133"/>
      <c r="B97" s="338"/>
      <c r="C97" s="339"/>
      <c r="D97" s="339"/>
      <c r="E97" s="340"/>
    </row>
    <row r="98" spans="1:5" s="102" customFormat="1" ht="18.75" customHeight="1" x14ac:dyDescent="0.2">
      <c r="A98" s="133"/>
      <c r="B98" s="338"/>
      <c r="C98" s="339"/>
      <c r="D98" s="339"/>
      <c r="E98" s="340"/>
    </row>
    <row r="99" spans="1:5" s="102" customFormat="1" ht="18.75" customHeight="1" x14ac:dyDescent="0.2">
      <c r="A99" s="133"/>
      <c r="B99" s="338"/>
      <c r="C99" s="339"/>
      <c r="D99" s="339"/>
      <c r="E99" s="340"/>
    </row>
    <row r="100" spans="1:5" s="102" customFormat="1" ht="18.75" customHeight="1" x14ac:dyDescent="0.2">
      <c r="A100" s="133"/>
      <c r="B100" s="338"/>
      <c r="C100" s="339"/>
      <c r="D100" s="339"/>
      <c r="E100" s="340"/>
    </row>
    <row r="101" spans="1:5" s="102" customFormat="1" ht="18.75" customHeight="1" x14ac:dyDescent="0.2">
      <c r="A101" s="133"/>
      <c r="B101" s="338"/>
      <c r="C101" s="339"/>
      <c r="D101" s="339"/>
      <c r="E101" s="340"/>
    </row>
    <row r="102" spans="1:5" s="102" customFormat="1" ht="18.75" customHeight="1" x14ac:dyDescent="0.2">
      <c r="A102" s="133"/>
      <c r="B102" s="338"/>
      <c r="C102" s="339"/>
      <c r="D102" s="339"/>
      <c r="E102" s="340"/>
    </row>
    <row r="103" spans="1:5" s="102" customFormat="1" ht="18.75" customHeight="1" x14ac:dyDescent="0.2">
      <c r="A103" s="133"/>
      <c r="B103" s="338"/>
      <c r="C103" s="339"/>
      <c r="D103" s="339"/>
      <c r="E103" s="340"/>
    </row>
    <row r="104" spans="1:5" s="102" customFormat="1" ht="18.75" customHeight="1" x14ac:dyDescent="0.2">
      <c r="A104" s="133"/>
      <c r="B104" s="338"/>
      <c r="C104" s="339"/>
      <c r="D104" s="339"/>
      <c r="E104" s="340"/>
    </row>
    <row r="105" spans="1:5" s="102" customFormat="1" ht="18.75" customHeight="1" x14ac:dyDescent="0.2">
      <c r="A105" s="133"/>
      <c r="B105" s="338"/>
      <c r="C105" s="339"/>
      <c r="D105" s="339"/>
      <c r="E105" s="340"/>
    </row>
    <row r="106" spans="1:5" ht="18.75" customHeight="1" x14ac:dyDescent="0.2">
      <c r="A106" s="53"/>
      <c r="B106" s="338"/>
      <c r="C106" s="339"/>
      <c r="D106" s="339"/>
      <c r="E106" s="340"/>
    </row>
    <row r="107" spans="1:5" ht="18.75" customHeight="1" x14ac:dyDescent="0.2">
      <c r="A107" s="53"/>
      <c r="B107" s="341"/>
      <c r="C107" s="342"/>
      <c r="D107" s="342"/>
      <c r="E107" s="343"/>
    </row>
    <row r="108" spans="1:5" ht="7.5" customHeight="1" x14ac:dyDescent="0.2">
      <c r="A108" s="53"/>
      <c r="B108" s="53"/>
      <c r="C108" s="53"/>
      <c r="D108" s="53"/>
      <c r="E108" s="53"/>
    </row>
    <row r="109" spans="1:5" s="102" customFormat="1" ht="18.75" customHeight="1" x14ac:dyDescent="0.2">
      <c r="A109" s="133" t="s">
        <v>62</v>
      </c>
      <c r="B109" s="344" t="s">
        <v>135</v>
      </c>
      <c r="C109" s="344"/>
      <c r="D109" s="344"/>
      <c r="E109" s="344"/>
    </row>
    <row r="110" spans="1:5" ht="18.75" customHeight="1" x14ac:dyDescent="0.2">
      <c r="A110" s="53"/>
      <c r="B110" s="335" t="s">
        <v>209</v>
      </c>
      <c r="C110" s="336"/>
      <c r="D110" s="336"/>
      <c r="E110" s="337"/>
    </row>
    <row r="111" spans="1:5" ht="18.75" customHeight="1" x14ac:dyDescent="0.2">
      <c r="A111" s="53"/>
      <c r="B111" s="338"/>
      <c r="C111" s="339"/>
      <c r="D111" s="339"/>
      <c r="E111" s="340"/>
    </row>
    <row r="112" spans="1:5" ht="18.75" customHeight="1" x14ac:dyDescent="0.2">
      <c r="A112" s="53"/>
      <c r="B112" s="338"/>
      <c r="C112" s="339"/>
      <c r="D112" s="339"/>
      <c r="E112" s="340"/>
    </row>
    <row r="113" spans="1:5" ht="18.75" customHeight="1" x14ac:dyDescent="0.2">
      <c r="A113" s="53"/>
      <c r="B113" s="338"/>
      <c r="C113" s="339"/>
      <c r="D113" s="339"/>
      <c r="E113" s="340"/>
    </row>
    <row r="114" spans="1:5" ht="18.75" customHeight="1" x14ac:dyDescent="0.2">
      <c r="A114" s="53"/>
      <c r="B114" s="338"/>
      <c r="C114" s="339"/>
      <c r="D114" s="339"/>
      <c r="E114" s="340"/>
    </row>
    <row r="115" spans="1:5" ht="18.75" customHeight="1" x14ac:dyDescent="0.2">
      <c r="A115" s="53"/>
      <c r="B115" s="338"/>
      <c r="C115" s="339"/>
      <c r="D115" s="339"/>
      <c r="E115" s="340"/>
    </row>
    <row r="116" spans="1:5" ht="18.75" customHeight="1" x14ac:dyDescent="0.2">
      <c r="A116" s="53"/>
      <c r="B116" s="338"/>
      <c r="C116" s="339"/>
      <c r="D116" s="339"/>
      <c r="E116" s="340"/>
    </row>
    <row r="117" spans="1:5" ht="18.75" customHeight="1" x14ac:dyDescent="0.2">
      <c r="A117" s="53"/>
      <c r="B117" s="338"/>
      <c r="C117" s="339"/>
      <c r="D117" s="339"/>
      <c r="E117" s="340"/>
    </row>
    <row r="118" spans="1:5" ht="18.75" customHeight="1" x14ac:dyDescent="0.2">
      <c r="A118" s="53"/>
      <c r="B118" s="338"/>
      <c r="C118" s="339"/>
      <c r="D118" s="339"/>
      <c r="E118" s="340"/>
    </row>
    <row r="119" spans="1:5" ht="18.75" customHeight="1" x14ac:dyDescent="0.2">
      <c r="A119" s="53"/>
      <c r="B119" s="338"/>
      <c r="C119" s="339"/>
      <c r="D119" s="339"/>
      <c r="E119" s="340"/>
    </row>
    <row r="120" spans="1:5" ht="18.75" customHeight="1" x14ac:dyDescent="0.2">
      <c r="A120" s="53"/>
      <c r="B120" s="338"/>
      <c r="C120" s="339"/>
      <c r="D120" s="339"/>
      <c r="E120" s="340"/>
    </row>
    <row r="121" spans="1:5" ht="18.75" customHeight="1" x14ac:dyDescent="0.2">
      <c r="A121" s="53"/>
      <c r="B121" s="338"/>
      <c r="C121" s="339"/>
      <c r="D121" s="339"/>
      <c r="E121" s="340"/>
    </row>
    <row r="122" spans="1:5" ht="18.75" customHeight="1" x14ac:dyDescent="0.2">
      <c r="A122" s="53"/>
      <c r="B122" s="338"/>
      <c r="C122" s="339"/>
      <c r="D122" s="339"/>
      <c r="E122" s="340"/>
    </row>
    <row r="123" spans="1:5" ht="18.75" customHeight="1" x14ac:dyDescent="0.2">
      <c r="A123" s="53"/>
      <c r="B123" s="338"/>
      <c r="C123" s="339"/>
      <c r="D123" s="339"/>
      <c r="E123" s="340"/>
    </row>
    <row r="124" spans="1:5" ht="18.75" customHeight="1" x14ac:dyDescent="0.2">
      <c r="A124" s="53"/>
      <c r="B124" s="338"/>
      <c r="C124" s="339"/>
      <c r="D124" s="339"/>
      <c r="E124" s="340"/>
    </row>
    <row r="125" spans="1:5" ht="18.75" customHeight="1" x14ac:dyDescent="0.2">
      <c r="A125" s="53"/>
      <c r="B125" s="338"/>
      <c r="C125" s="339"/>
      <c r="D125" s="339"/>
      <c r="E125" s="340"/>
    </row>
    <row r="126" spans="1:5" ht="18.75" customHeight="1" x14ac:dyDescent="0.2">
      <c r="A126" s="53"/>
      <c r="B126" s="341"/>
      <c r="C126" s="342"/>
      <c r="D126" s="342"/>
      <c r="E126" s="343"/>
    </row>
    <row r="127" spans="1:5" ht="7.5" customHeight="1" x14ac:dyDescent="0.2">
      <c r="A127" s="53"/>
      <c r="B127" s="137"/>
      <c r="C127" s="137"/>
      <c r="D127" s="137"/>
      <c r="E127" s="137"/>
    </row>
    <row r="128" spans="1:5" ht="18.75" customHeight="1" x14ac:dyDescent="0.2">
      <c r="A128" s="53"/>
      <c r="B128" s="53"/>
      <c r="C128" s="53"/>
      <c r="D128" s="53"/>
      <c r="E128" s="53"/>
    </row>
    <row r="129" spans="1:5" ht="18.75" customHeight="1" x14ac:dyDescent="0.2">
      <c r="A129" s="53"/>
      <c r="B129" s="53"/>
      <c r="C129" s="53"/>
      <c r="D129" s="53"/>
      <c r="E129" s="53"/>
    </row>
    <row r="130" spans="1:5" ht="18.75" customHeight="1" x14ac:dyDescent="0.2">
      <c r="A130" s="53"/>
      <c r="B130" s="53"/>
      <c r="C130" s="53"/>
      <c r="D130" s="53"/>
      <c r="E130" s="53"/>
    </row>
    <row r="131" spans="1:5" ht="18.75" customHeight="1" x14ac:dyDescent="0.2">
      <c r="A131" s="53"/>
      <c r="B131" s="53"/>
      <c r="C131" s="53"/>
      <c r="D131" s="53"/>
      <c r="E131" s="53"/>
    </row>
    <row r="132" spans="1:5" ht="18.75" customHeight="1" x14ac:dyDescent="0.2">
      <c r="A132" s="53"/>
      <c r="B132" s="53"/>
      <c r="C132" s="53"/>
      <c r="D132" s="53"/>
      <c r="E132" s="53"/>
    </row>
    <row r="133" spans="1:5" ht="18.75" customHeight="1" x14ac:dyDescent="0.2">
      <c r="A133" s="53"/>
      <c r="B133" s="53"/>
      <c r="C133" s="53"/>
      <c r="D133" s="53"/>
      <c r="E133" s="53"/>
    </row>
    <row r="134" spans="1:5" ht="18.75" customHeight="1" x14ac:dyDescent="0.2">
      <c r="A134" s="53"/>
      <c r="B134" s="53"/>
      <c r="C134" s="53"/>
      <c r="D134" s="53"/>
      <c r="E134" s="53"/>
    </row>
    <row r="135" spans="1:5" ht="18.75" customHeight="1" x14ac:dyDescent="0.2">
      <c r="A135" s="53"/>
      <c r="B135" s="53"/>
      <c r="C135" s="53"/>
      <c r="D135" s="53"/>
      <c r="E135" s="53"/>
    </row>
    <row r="136" spans="1:5" ht="18.75" customHeight="1" x14ac:dyDescent="0.2">
      <c r="A136" s="53"/>
      <c r="B136" s="53"/>
      <c r="C136" s="53"/>
      <c r="D136" s="53"/>
      <c r="E136" s="53"/>
    </row>
    <row r="137" spans="1:5" ht="18.75" customHeight="1" x14ac:dyDescent="0.2">
      <c r="A137" s="53"/>
      <c r="B137" s="53"/>
      <c r="C137" s="53"/>
      <c r="D137" s="53"/>
      <c r="E137" s="53"/>
    </row>
    <row r="138" spans="1:5" ht="18.75" customHeight="1" x14ac:dyDescent="0.2">
      <c r="A138" s="53"/>
      <c r="B138" s="53"/>
      <c r="C138" s="53"/>
      <c r="D138" s="53"/>
      <c r="E138" s="53"/>
    </row>
    <row r="139" spans="1:5" ht="18.75" customHeight="1" x14ac:dyDescent="0.2">
      <c r="A139" s="53"/>
      <c r="B139" s="53"/>
      <c r="C139" s="53"/>
      <c r="D139" s="53"/>
      <c r="E139" s="53"/>
    </row>
    <row r="140" spans="1:5" ht="14" x14ac:dyDescent="0.2">
      <c r="A140" s="53"/>
      <c r="B140" s="53"/>
      <c r="C140" s="53"/>
      <c r="D140" s="53"/>
      <c r="E140" s="53"/>
    </row>
    <row r="141" spans="1:5" ht="7.5" customHeight="1" x14ac:dyDescent="0.2">
      <c r="A141" s="138"/>
      <c r="B141" s="138"/>
      <c r="C141" s="138"/>
      <c r="D141" s="138"/>
      <c r="E141" s="138"/>
    </row>
  </sheetData>
  <mergeCells count="11">
    <mergeCell ref="B69:E85"/>
    <mergeCell ref="B88:E107"/>
    <mergeCell ref="B109:E109"/>
    <mergeCell ref="B110:E126"/>
    <mergeCell ref="D2:E2"/>
    <mergeCell ref="B4:E4"/>
    <mergeCell ref="B10:E14"/>
    <mergeCell ref="B17:E26"/>
    <mergeCell ref="B29:E44"/>
    <mergeCell ref="B46:E66"/>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election activeCell="B1" sqref="B1"/>
    </sheetView>
  </sheetViews>
  <sheetFormatPr defaultColWidth="11.36328125" defaultRowHeight="22.5" customHeight="1" x14ac:dyDescent="0.2"/>
  <cols>
    <col min="1" max="3" width="2.453125" style="1" customWidth="1"/>
    <col min="4" max="4" width="22.453125" style="1" customWidth="1"/>
    <col min="5" max="5" width="21.26953125" style="1" customWidth="1"/>
    <col min="6" max="7" width="7.453125" style="1" customWidth="1"/>
    <col min="8" max="8" width="32.453125" style="1" customWidth="1"/>
    <col min="9" max="9" width="24.90625" style="1" customWidth="1"/>
    <col min="10" max="10" width="6.26953125" style="1" customWidth="1"/>
    <col min="11" max="11" width="4.08984375" style="1" customWidth="1"/>
    <col min="12" max="16384" width="11.36328125" style="1"/>
  </cols>
  <sheetData>
    <row r="1" spans="1:10" ht="18.75" customHeight="1" x14ac:dyDescent="0.2">
      <c r="J1" s="25" t="s">
        <v>9</v>
      </c>
    </row>
    <row r="2" spans="1:10" ht="18.75" customHeight="1" x14ac:dyDescent="0.2">
      <c r="D2" s="25"/>
      <c r="H2" s="25" t="s">
        <v>31</v>
      </c>
      <c r="I2" s="372" t="s">
        <v>180</v>
      </c>
      <c r="J2" s="372"/>
    </row>
    <row r="3" spans="1:10" ht="18.75" customHeight="1" x14ac:dyDescent="0.2">
      <c r="A3" s="188" t="s">
        <v>50</v>
      </c>
      <c r="B3" s="188"/>
      <c r="C3" s="188"/>
      <c r="D3" s="188"/>
      <c r="E3" s="188"/>
      <c r="F3" s="188"/>
      <c r="G3" s="188"/>
      <c r="H3" s="188"/>
      <c r="I3" s="188"/>
      <c r="J3" s="188"/>
    </row>
    <row r="4" spans="1:10" ht="7.5" customHeight="1" x14ac:dyDescent="0.2">
      <c r="B4" s="27"/>
      <c r="C4" s="27"/>
      <c r="D4" s="373"/>
      <c r="E4" s="374"/>
      <c r="F4" s="374"/>
      <c r="G4" s="374"/>
      <c r="H4" s="374"/>
      <c r="I4" s="374"/>
      <c r="J4" s="374"/>
    </row>
    <row r="5" spans="1:10" ht="18.75" customHeight="1" x14ac:dyDescent="0.2">
      <c r="A5" s="1" t="s">
        <v>7</v>
      </c>
      <c r="B5" s="3" t="s">
        <v>48</v>
      </c>
      <c r="C5" s="27"/>
      <c r="D5" s="27"/>
      <c r="E5" s="28"/>
      <c r="F5" s="31"/>
      <c r="G5" s="32"/>
      <c r="H5" s="31"/>
      <c r="I5" s="28"/>
      <c r="J5" s="28"/>
    </row>
    <row r="6" spans="1:10" ht="18.75" customHeight="1" x14ac:dyDescent="0.2">
      <c r="B6" s="272" t="s">
        <v>45</v>
      </c>
      <c r="C6" s="273"/>
      <c r="D6" s="274"/>
      <c r="E6" s="205" t="s">
        <v>47</v>
      </c>
      <c r="F6" s="205"/>
      <c r="G6" s="205"/>
      <c r="H6" s="205"/>
      <c r="I6" s="205"/>
      <c r="J6" s="206"/>
    </row>
    <row r="7" spans="1:10" ht="18.75" customHeight="1" x14ac:dyDescent="0.2">
      <c r="B7" s="4" t="s">
        <v>35</v>
      </c>
      <c r="C7" s="5"/>
      <c r="D7" s="12"/>
      <c r="E7" s="2"/>
      <c r="F7" s="2"/>
      <c r="G7" s="2"/>
      <c r="H7" s="2"/>
      <c r="I7" s="9"/>
      <c r="J7" s="10"/>
    </row>
    <row r="8" spans="1:10" ht="202.5" customHeight="1" x14ac:dyDescent="0.2">
      <c r="B8" s="11"/>
      <c r="C8" s="367" t="s">
        <v>36</v>
      </c>
      <c r="D8" s="368"/>
      <c r="E8" s="369" t="s">
        <v>212</v>
      </c>
      <c r="F8" s="370"/>
      <c r="G8" s="370"/>
      <c r="H8" s="370"/>
      <c r="I8" s="370"/>
      <c r="J8" s="371"/>
    </row>
    <row r="9" spans="1:10" ht="202.5" customHeight="1" x14ac:dyDescent="0.2">
      <c r="B9" s="11"/>
      <c r="C9" s="380" t="s">
        <v>37</v>
      </c>
      <c r="D9" s="381"/>
      <c r="E9" s="369" t="s">
        <v>211</v>
      </c>
      <c r="F9" s="370"/>
      <c r="G9" s="370"/>
      <c r="H9" s="370"/>
      <c r="I9" s="370"/>
      <c r="J9" s="371"/>
    </row>
    <row r="10" spans="1:10" ht="172.5" customHeight="1" x14ac:dyDescent="0.2">
      <c r="B10" s="11"/>
      <c r="C10" s="367" t="s">
        <v>38</v>
      </c>
      <c r="D10" s="368"/>
      <c r="E10" s="369" t="s">
        <v>210</v>
      </c>
      <c r="F10" s="370"/>
      <c r="G10" s="370"/>
      <c r="H10" s="370"/>
      <c r="I10" s="370"/>
      <c r="J10" s="371"/>
    </row>
    <row r="11" spans="1:10" ht="172.5" customHeight="1" x14ac:dyDescent="0.2">
      <c r="B11" s="11"/>
      <c r="C11" s="367" t="s">
        <v>39</v>
      </c>
      <c r="D11" s="368"/>
      <c r="E11" s="369" t="s">
        <v>201</v>
      </c>
      <c r="F11" s="370"/>
      <c r="G11" s="370"/>
      <c r="H11" s="370"/>
      <c r="I11" s="370"/>
      <c r="J11" s="371"/>
    </row>
    <row r="12" spans="1:10" ht="172.5" customHeight="1" x14ac:dyDescent="0.2">
      <c r="B12" s="11"/>
      <c r="C12" s="367" t="s">
        <v>40</v>
      </c>
      <c r="D12" s="368"/>
      <c r="E12" s="369" t="s">
        <v>181</v>
      </c>
      <c r="F12" s="370"/>
      <c r="G12" s="370"/>
      <c r="H12" s="370"/>
      <c r="I12" s="370"/>
      <c r="J12" s="371"/>
    </row>
    <row r="13" spans="1:10" ht="18.75" customHeight="1" x14ac:dyDescent="0.2">
      <c r="B13" s="14" t="s">
        <v>41</v>
      </c>
      <c r="C13" s="29"/>
      <c r="D13" s="13"/>
      <c r="E13" s="89"/>
      <c r="F13" s="89"/>
      <c r="G13" s="89"/>
      <c r="H13" s="89"/>
      <c r="I13" s="89"/>
      <c r="J13" s="90"/>
    </row>
    <row r="14" spans="1:10" ht="255" customHeight="1" x14ac:dyDescent="0.2">
      <c r="B14" s="11"/>
      <c r="C14" s="367" t="s">
        <v>42</v>
      </c>
      <c r="D14" s="368"/>
      <c r="E14" s="382" t="s">
        <v>182</v>
      </c>
      <c r="F14" s="382"/>
      <c r="G14" s="382"/>
      <c r="H14" s="382"/>
      <c r="I14" s="382"/>
      <c r="J14" s="383"/>
    </row>
    <row r="15" spans="1:10" ht="255" customHeight="1" x14ac:dyDescent="0.2">
      <c r="B15" s="11"/>
      <c r="C15" s="384" t="s">
        <v>43</v>
      </c>
      <c r="D15" s="385"/>
      <c r="E15" s="386" t="s">
        <v>183</v>
      </c>
      <c r="F15" s="386"/>
      <c r="G15" s="386"/>
      <c r="H15" s="386"/>
      <c r="I15" s="386"/>
      <c r="J15" s="387"/>
    </row>
    <row r="16" spans="1:10" ht="232.5" customHeight="1" x14ac:dyDescent="0.2">
      <c r="B16" s="388" t="s">
        <v>44</v>
      </c>
      <c r="C16" s="389"/>
      <c r="D16" s="368"/>
      <c r="E16" s="382" t="s">
        <v>184</v>
      </c>
      <c r="F16" s="382"/>
      <c r="G16" s="382"/>
      <c r="H16" s="382"/>
      <c r="I16" s="382"/>
      <c r="J16" s="383"/>
    </row>
    <row r="17" spans="1:10" ht="232.5" customHeight="1" x14ac:dyDescent="0.2">
      <c r="A17" s="48"/>
      <c r="B17" s="377" t="s">
        <v>86</v>
      </c>
      <c r="C17" s="378"/>
      <c r="D17" s="379"/>
      <c r="E17" s="375" t="s">
        <v>185</v>
      </c>
      <c r="F17" s="375"/>
      <c r="G17" s="375"/>
      <c r="H17" s="375"/>
      <c r="I17" s="375"/>
      <c r="J17" s="376"/>
    </row>
    <row r="18" spans="1:10" ht="7.5" customHeight="1" x14ac:dyDescent="0.2">
      <c r="B18" s="27"/>
      <c r="C18" s="27"/>
      <c r="D18" s="27"/>
      <c r="E18" s="85"/>
      <c r="F18" s="85"/>
      <c r="G18" s="85"/>
      <c r="H18" s="85"/>
      <c r="I18" s="85"/>
      <c r="J18" s="85"/>
    </row>
    <row r="19" spans="1:10" ht="18.75" customHeight="1" x14ac:dyDescent="0.2">
      <c r="B19" s="3"/>
      <c r="C19" s="46"/>
      <c r="D19" s="46"/>
      <c r="E19" s="47"/>
      <c r="F19" s="33"/>
      <c r="G19" s="33"/>
      <c r="H19" s="55" t="s">
        <v>117</v>
      </c>
      <c r="I19" s="50"/>
      <c r="J19" s="51"/>
    </row>
    <row r="20" spans="1:10" ht="18.75" customHeight="1" x14ac:dyDescent="0.2">
      <c r="A20" s="2" t="s">
        <v>12</v>
      </c>
      <c r="B20" s="52" t="s">
        <v>49</v>
      </c>
      <c r="C20" s="53"/>
      <c r="D20" s="53"/>
      <c r="E20" s="54"/>
      <c r="F20" s="140" t="s">
        <v>205</v>
      </c>
      <c r="G20" s="33"/>
      <c r="H20" s="364" t="s">
        <v>204</v>
      </c>
      <c r="I20" s="365"/>
      <c r="J20" s="366"/>
    </row>
    <row r="21" spans="1:10" ht="22.5" customHeight="1" x14ac:dyDescent="0.2">
      <c r="B21" s="27"/>
      <c r="C21" s="27"/>
      <c r="D21" s="27"/>
      <c r="E21" s="28"/>
      <c r="F21" s="31"/>
      <c r="G21" s="32"/>
      <c r="H21" s="31"/>
      <c r="I21" s="28"/>
      <c r="J21" s="28"/>
    </row>
    <row r="22" spans="1:10" ht="22.5" customHeight="1" x14ac:dyDescent="0.2">
      <c r="B22" s="27"/>
      <c r="C22" s="27"/>
      <c r="D22" s="27"/>
      <c r="E22" s="28"/>
      <c r="F22" s="31"/>
      <c r="G22" s="32"/>
      <c r="H22" s="31"/>
      <c r="I22" s="28"/>
      <c r="J22" s="28"/>
    </row>
    <row r="23" spans="1:10" ht="22.5" customHeight="1" x14ac:dyDescent="0.2">
      <c r="B23" s="27"/>
      <c r="C23" s="27"/>
      <c r="D23" s="27"/>
      <c r="E23" s="28"/>
      <c r="F23" s="31"/>
      <c r="G23" s="32"/>
      <c r="H23" s="31"/>
      <c r="I23" s="28"/>
      <c r="J23" s="28"/>
    </row>
    <row r="24" spans="1:10" ht="22.5" customHeight="1" x14ac:dyDescent="0.2">
      <c r="B24" s="27"/>
      <c r="C24" s="27"/>
      <c r="D24" s="27"/>
      <c r="E24" s="28"/>
      <c r="F24" s="31"/>
      <c r="G24" s="32"/>
      <c r="H24" s="31"/>
      <c r="I24" s="28"/>
      <c r="J24" s="28"/>
    </row>
    <row r="25" spans="1:10" ht="22.5" customHeight="1" x14ac:dyDescent="0.2">
      <c r="B25" s="27"/>
      <c r="C25" s="27"/>
      <c r="D25" s="27"/>
      <c r="E25" s="28"/>
      <c r="F25" s="31"/>
      <c r="G25" s="32"/>
      <c r="H25" s="31"/>
      <c r="I25" s="28"/>
      <c r="J25" s="28"/>
    </row>
    <row r="26" spans="1:10" ht="22.5" customHeight="1" x14ac:dyDescent="0.2">
      <c r="B26" s="8"/>
      <c r="C26" s="8"/>
      <c r="D26" s="8"/>
      <c r="E26" s="8"/>
      <c r="F26" s="8"/>
      <c r="G26" s="8"/>
      <c r="H26" s="8"/>
      <c r="I26" s="8"/>
      <c r="J26" s="8"/>
    </row>
    <row r="27" spans="1:10" ht="22.5" customHeight="1" x14ac:dyDescent="0.2">
      <c r="B27" s="8"/>
      <c r="C27" s="8"/>
      <c r="D27" s="8"/>
      <c r="E27" s="8"/>
      <c r="F27" s="8"/>
      <c r="G27" s="8"/>
      <c r="H27" s="8"/>
      <c r="I27" s="8"/>
      <c r="J27" s="8"/>
    </row>
    <row r="28" spans="1:10" ht="22.5" customHeight="1" x14ac:dyDescent="0.2">
      <c r="B28" s="8"/>
      <c r="C28" s="8"/>
      <c r="D28" s="8"/>
      <c r="E28" s="8"/>
      <c r="F28" s="8"/>
      <c r="G28" s="8"/>
      <c r="H28" s="8"/>
      <c r="I28" s="8"/>
      <c r="J28" s="8"/>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election activeCell="K43" sqref="K43"/>
    </sheetView>
  </sheetViews>
  <sheetFormatPr defaultColWidth="11.36328125" defaultRowHeight="18.75" customHeight="1" x14ac:dyDescent="0.2"/>
  <cols>
    <col min="1" max="1" width="2.453125" style="1" customWidth="1"/>
    <col min="2" max="2" width="15" style="1" customWidth="1"/>
    <col min="3" max="3" width="37.453125" style="1" customWidth="1"/>
    <col min="4" max="4" width="1.26953125" style="1" customWidth="1"/>
    <col min="5" max="5" width="21.08984375" style="1" customWidth="1"/>
    <col min="6" max="6" width="8.7265625" style="1" customWidth="1"/>
    <col min="7" max="7" width="2.26953125" style="1" customWidth="1"/>
    <col min="8" max="8" width="2.08984375" style="1" customWidth="1"/>
    <col min="9" max="16384" width="11.36328125" style="1"/>
  </cols>
  <sheetData>
    <row r="1" spans="1:6" ht="18.75" customHeight="1" x14ac:dyDescent="0.2">
      <c r="E1" s="231" t="s">
        <v>16</v>
      </c>
      <c r="F1" s="231"/>
    </row>
    <row r="2" spans="1:6" ht="18.75" customHeight="1" x14ac:dyDescent="0.2">
      <c r="C2" s="16" t="s">
        <v>87</v>
      </c>
      <c r="D2" s="16" t="s">
        <v>8</v>
      </c>
      <c r="E2" s="271" t="s">
        <v>186</v>
      </c>
      <c r="F2" s="271"/>
    </row>
    <row r="3" spans="1:6" ht="7.5" customHeight="1" x14ac:dyDescent="0.2">
      <c r="C3" s="16"/>
      <c r="D3" s="16"/>
      <c r="E3" s="15"/>
      <c r="F3" s="15"/>
    </row>
    <row r="4" spans="1:6" ht="18.75" customHeight="1" x14ac:dyDescent="0.2">
      <c r="A4" s="188" t="s">
        <v>127</v>
      </c>
      <c r="B4" s="188"/>
      <c r="C4" s="188"/>
      <c r="D4" s="188"/>
      <c r="E4" s="188"/>
      <c r="F4" s="188"/>
    </row>
    <row r="5" spans="1:6" ht="7.5" customHeight="1" x14ac:dyDescent="0.2">
      <c r="A5" s="17"/>
      <c r="B5" s="17"/>
      <c r="C5" s="17"/>
      <c r="D5" s="17"/>
      <c r="E5" s="17"/>
      <c r="F5" s="17"/>
    </row>
    <row r="6" spans="1:6" ht="18.75" customHeight="1" x14ac:dyDescent="0.2">
      <c r="A6" s="17" t="s">
        <v>7</v>
      </c>
      <c r="B6" s="3" t="s">
        <v>33</v>
      </c>
      <c r="C6" s="17"/>
      <c r="D6" s="17"/>
      <c r="E6" s="17"/>
      <c r="F6" s="17"/>
    </row>
    <row r="7" spans="1:6" ht="18.75" customHeight="1" x14ac:dyDescent="0.2">
      <c r="A7" s="17"/>
      <c r="B7" s="390"/>
      <c r="C7" s="391"/>
      <c r="D7" s="391"/>
      <c r="E7" s="391"/>
      <c r="F7" s="392"/>
    </row>
    <row r="8" spans="1:6" ht="18.75" customHeight="1" x14ac:dyDescent="0.2">
      <c r="A8" s="26"/>
      <c r="B8" s="393"/>
      <c r="C8" s="394"/>
      <c r="D8" s="394"/>
      <c r="E8" s="394"/>
      <c r="F8" s="395"/>
    </row>
    <row r="9" spans="1:6" ht="18.75" customHeight="1" x14ac:dyDescent="0.2">
      <c r="A9" s="26"/>
      <c r="B9" s="393"/>
      <c r="C9" s="394"/>
      <c r="D9" s="394"/>
      <c r="E9" s="394"/>
      <c r="F9" s="395"/>
    </row>
    <row r="10" spans="1:6" ht="18.75" customHeight="1" x14ac:dyDescent="0.2">
      <c r="A10" s="26"/>
      <c r="B10" s="393"/>
      <c r="C10" s="394"/>
      <c r="D10" s="394"/>
      <c r="E10" s="394"/>
      <c r="F10" s="395"/>
    </row>
    <row r="11" spans="1:6" ht="18.75" customHeight="1" x14ac:dyDescent="0.2">
      <c r="A11" s="26"/>
      <c r="B11" s="393"/>
      <c r="C11" s="394"/>
      <c r="D11" s="394"/>
      <c r="E11" s="394"/>
      <c r="F11" s="395"/>
    </row>
    <row r="12" spans="1:6" ht="18.75" customHeight="1" x14ac:dyDescent="0.2">
      <c r="A12" s="26"/>
      <c r="B12" s="393"/>
      <c r="C12" s="394"/>
      <c r="D12" s="394"/>
      <c r="E12" s="394"/>
      <c r="F12" s="395"/>
    </row>
    <row r="13" spans="1:6" ht="18.75" customHeight="1" x14ac:dyDescent="0.2">
      <c r="A13" s="26"/>
      <c r="B13" s="393"/>
      <c r="C13" s="394"/>
      <c r="D13" s="394"/>
      <c r="E13" s="394"/>
      <c r="F13" s="395"/>
    </row>
    <row r="14" spans="1:6" ht="18.75" customHeight="1" x14ac:dyDescent="0.2">
      <c r="A14" s="26"/>
      <c r="B14" s="393"/>
      <c r="C14" s="394"/>
      <c r="D14" s="394"/>
      <c r="E14" s="394"/>
      <c r="F14" s="395"/>
    </row>
    <row r="15" spans="1:6" ht="18.75" customHeight="1" x14ac:dyDescent="0.2">
      <c r="A15" s="26"/>
      <c r="B15" s="393"/>
      <c r="C15" s="394"/>
      <c r="D15" s="394"/>
      <c r="E15" s="394"/>
      <c r="F15" s="395"/>
    </row>
    <row r="16" spans="1:6" ht="18.75" customHeight="1" x14ac:dyDescent="0.2">
      <c r="A16" s="26"/>
      <c r="B16" s="393"/>
      <c r="C16" s="394"/>
      <c r="D16" s="394"/>
      <c r="E16" s="394"/>
      <c r="F16" s="395"/>
    </row>
    <row r="17" spans="1:6" ht="18.75" customHeight="1" x14ac:dyDescent="0.2">
      <c r="A17" s="26"/>
      <c r="B17" s="393"/>
      <c r="C17" s="394"/>
      <c r="D17" s="394"/>
      <c r="E17" s="394"/>
      <c r="F17" s="395"/>
    </row>
    <row r="18" spans="1:6" ht="18.75" customHeight="1" x14ac:dyDescent="0.2">
      <c r="A18" s="26"/>
      <c r="B18" s="393"/>
      <c r="C18" s="394"/>
      <c r="D18" s="394"/>
      <c r="E18" s="394"/>
      <c r="F18" s="395"/>
    </row>
    <row r="19" spans="1:6" ht="18.75" customHeight="1" x14ac:dyDescent="0.2">
      <c r="A19" s="26"/>
      <c r="B19" s="393"/>
      <c r="C19" s="394"/>
      <c r="D19" s="394"/>
      <c r="E19" s="394"/>
      <c r="F19" s="395"/>
    </row>
    <row r="20" spans="1:6" ht="18.75" customHeight="1" x14ac:dyDescent="0.2">
      <c r="A20" s="26"/>
      <c r="B20" s="393"/>
      <c r="C20" s="394"/>
      <c r="D20" s="394"/>
      <c r="E20" s="394"/>
      <c r="F20" s="395"/>
    </row>
    <row r="21" spans="1:6" ht="18.75" customHeight="1" x14ac:dyDescent="0.2">
      <c r="A21" s="26"/>
      <c r="B21" s="393"/>
      <c r="C21" s="394"/>
      <c r="D21" s="394"/>
      <c r="E21" s="394"/>
      <c r="F21" s="395"/>
    </row>
    <row r="22" spans="1:6" ht="18.75" customHeight="1" x14ac:dyDescent="0.2">
      <c r="A22" s="26"/>
      <c r="B22" s="393"/>
      <c r="C22" s="394"/>
      <c r="D22" s="394"/>
      <c r="E22" s="394"/>
      <c r="F22" s="395"/>
    </row>
    <row r="23" spans="1:6" ht="18.75" customHeight="1" x14ac:dyDescent="0.2">
      <c r="A23" s="26"/>
      <c r="B23" s="393"/>
      <c r="C23" s="394"/>
      <c r="D23" s="394"/>
      <c r="E23" s="394"/>
      <c r="F23" s="395"/>
    </row>
    <row r="24" spans="1:6" ht="18.75" customHeight="1" x14ac:dyDescent="0.2">
      <c r="A24" s="26"/>
      <c r="B24" s="393"/>
      <c r="C24" s="394"/>
      <c r="D24" s="394"/>
      <c r="E24" s="394"/>
      <c r="F24" s="395"/>
    </row>
    <row r="25" spans="1:6" ht="18.75" customHeight="1" x14ac:dyDescent="0.2">
      <c r="A25" s="26"/>
      <c r="B25" s="393"/>
      <c r="C25" s="394"/>
      <c r="D25" s="394"/>
      <c r="E25" s="394"/>
      <c r="F25" s="395"/>
    </row>
    <row r="26" spans="1:6" ht="18.75" customHeight="1" x14ac:dyDescent="0.2">
      <c r="A26" s="26"/>
      <c r="B26" s="393"/>
      <c r="C26" s="394"/>
      <c r="D26" s="394"/>
      <c r="E26" s="394"/>
      <c r="F26" s="395"/>
    </row>
    <row r="27" spans="1:6" ht="18.75" customHeight="1" x14ac:dyDescent="0.2">
      <c r="A27" s="26"/>
      <c r="B27" s="393"/>
      <c r="C27" s="394"/>
      <c r="D27" s="394"/>
      <c r="E27" s="394"/>
      <c r="F27" s="395"/>
    </row>
    <row r="28" spans="1:6" ht="18.75" customHeight="1" x14ac:dyDescent="0.2">
      <c r="A28" s="17"/>
      <c r="B28" s="393"/>
      <c r="C28" s="394"/>
      <c r="D28" s="394"/>
      <c r="E28" s="394"/>
      <c r="F28" s="395"/>
    </row>
    <row r="29" spans="1:6" ht="18.75" customHeight="1" x14ac:dyDescent="0.2">
      <c r="A29" s="17"/>
      <c r="B29" s="393"/>
      <c r="C29" s="394"/>
      <c r="D29" s="394"/>
      <c r="E29" s="394"/>
      <c r="F29" s="395"/>
    </row>
    <row r="30" spans="1:6" ht="18.75" customHeight="1" x14ac:dyDescent="0.2">
      <c r="A30" s="17"/>
      <c r="B30" s="393"/>
      <c r="C30" s="394"/>
      <c r="D30" s="394"/>
      <c r="E30" s="394"/>
      <c r="F30" s="395"/>
    </row>
    <row r="31" spans="1:6" ht="18.75" customHeight="1" x14ac:dyDescent="0.2">
      <c r="A31" s="17"/>
      <c r="B31" s="393"/>
      <c r="C31" s="394"/>
      <c r="D31" s="394"/>
      <c r="E31" s="394"/>
      <c r="F31" s="395"/>
    </row>
    <row r="32" spans="1:6" ht="18.75" customHeight="1" x14ac:dyDescent="0.2">
      <c r="A32" s="17"/>
      <c r="B32" s="393"/>
      <c r="C32" s="394"/>
      <c r="D32" s="394"/>
      <c r="E32" s="394"/>
      <c r="F32" s="395"/>
    </row>
    <row r="33" spans="1:6" ht="18.75" customHeight="1" x14ac:dyDescent="0.2">
      <c r="A33" s="17"/>
      <c r="B33" s="393"/>
      <c r="C33" s="394"/>
      <c r="D33" s="394"/>
      <c r="E33" s="394"/>
      <c r="F33" s="395"/>
    </row>
    <row r="34" spans="1:6" ht="18.75" customHeight="1" x14ac:dyDescent="0.2">
      <c r="A34" s="17"/>
      <c r="B34" s="393"/>
      <c r="C34" s="394"/>
      <c r="D34" s="394"/>
      <c r="E34" s="394"/>
      <c r="F34" s="395"/>
    </row>
    <row r="35" spans="1:6" ht="18.75" customHeight="1" x14ac:dyDescent="0.2">
      <c r="A35" s="17"/>
      <c r="B35" s="393"/>
      <c r="C35" s="394"/>
      <c r="D35" s="394"/>
      <c r="E35" s="394"/>
      <c r="F35" s="395"/>
    </row>
    <row r="36" spans="1:6" ht="18.75" customHeight="1" x14ac:dyDescent="0.2">
      <c r="A36" s="17"/>
      <c r="B36" s="393"/>
      <c r="C36" s="394"/>
      <c r="D36" s="394"/>
      <c r="E36" s="394"/>
      <c r="F36" s="395"/>
    </row>
    <row r="37" spans="1:6" ht="18.75" customHeight="1" x14ac:dyDescent="0.2">
      <c r="A37" s="17"/>
      <c r="B37" s="393"/>
      <c r="C37" s="394"/>
      <c r="D37" s="394"/>
      <c r="E37" s="394"/>
      <c r="F37" s="395"/>
    </row>
    <row r="38" spans="1:6" ht="18.75" customHeight="1" x14ac:dyDescent="0.2">
      <c r="A38" s="17"/>
      <c r="B38" s="393"/>
      <c r="C38" s="394"/>
      <c r="D38" s="394"/>
      <c r="E38" s="394"/>
      <c r="F38" s="395"/>
    </row>
    <row r="39" spans="1:6" ht="18.75" customHeight="1" x14ac:dyDescent="0.2">
      <c r="A39" s="17"/>
      <c r="B39" s="393"/>
      <c r="C39" s="394"/>
      <c r="D39" s="394"/>
      <c r="E39" s="394"/>
      <c r="F39" s="395"/>
    </row>
    <row r="40" spans="1:6" ht="18.75" customHeight="1" x14ac:dyDescent="0.2">
      <c r="A40" s="17"/>
      <c r="B40" s="393"/>
      <c r="C40" s="394"/>
      <c r="D40" s="394"/>
      <c r="E40" s="394"/>
      <c r="F40" s="395"/>
    </row>
    <row r="41" spans="1:6" ht="18.75" customHeight="1" x14ac:dyDescent="0.2">
      <c r="A41" s="17"/>
      <c r="B41" s="393"/>
      <c r="C41" s="394"/>
      <c r="D41" s="394"/>
      <c r="E41" s="394"/>
      <c r="F41" s="395"/>
    </row>
    <row r="42" spans="1:6" ht="18.75" customHeight="1" x14ac:dyDescent="0.2">
      <c r="A42" s="17"/>
      <c r="B42" s="393"/>
      <c r="C42" s="394"/>
      <c r="D42" s="394"/>
      <c r="E42" s="394"/>
      <c r="F42" s="395"/>
    </row>
    <row r="43" spans="1:6" ht="18.75" customHeight="1" x14ac:dyDescent="0.2">
      <c r="A43" s="17"/>
      <c r="B43" s="393"/>
      <c r="C43" s="394"/>
      <c r="D43" s="394"/>
      <c r="E43" s="394"/>
      <c r="F43" s="395"/>
    </row>
    <row r="44" spans="1:6" ht="18.75" customHeight="1" x14ac:dyDescent="0.2">
      <c r="A44" s="17"/>
      <c r="B44" s="396"/>
      <c r="C44" s="397"/>
      <c r="D44" s="397"/>
      <c r="E44" s="397"/>
      <c r="F44" s="398"/>
    </row>
    <row r="45" spans="1:6" ht="18.75" customHeight="1" x14ac:dyDescent="0.2">
      <c r="A45" s="17" t="s">
        <v>12</v>
      </c>
      <c r="B45" s="3" t="s">
        <v>92</v>
      </c>
      <c r="C45" s="17"/>
      <c r="D45" s="17"/>
      <c r="E45" s="17"/>
      <c r="F45" s="17"/>
    </row>
    <row r="46" spans="1:6" ht="18.75" customHeight="1" x14ac:dyDescent="0.2">
      <c r="A46" s="17"/>
      <c r="B46" s="390"/>
      <c r="C46" s="391"/>
      <c r="D46" s="391"/>
      <c r="E46" s="391"/>
      <c r="F46" s="392"/>
    </row>
    <row r="47" spans="1:6" ht="18.75" customHeight="1" x14ac:dyDescent="0.2">
      <c r="A47" s="26"/>
      <c r="B47" s="393"/>
      <c r="C47" s="394"/>
      <c r="D47" s="394"/>
      <c r="E47" s="394"/>
      <c r="F47" s="395"/>
    </row>
    <row r="48" spans="1:6" ht="18.75" customHeight="1" x14ac:dyDescent="0.2">
      <c r="A48" s="26"/>
      <c r="B48" s="393"/>
      <c r="C48" s="394"/>
      <c r="D48" s="394"/>
      <c r="E48" s="394"/>
      <c r="F48" s="395"/>
    </row>
    <row r="49" spans="1:6" ht="18.75" customHeight="1" x14ac:dyDescent="0.2">
      <c r="A49" s="26"/>
      <c r="B49" s="393"/>
      <c r="C49" s="394"/>
      <c r="D49" s="394"/>
      <c r="E49" s="394"/>
      <c r="F49" s="395"/>
    </row>
    <row r="50" spans="1:6" ht="18.75" customHeight="1" x14ac:dyDescent="0.2">
      <c r="A50" s="26"/>
      <c r="B50" s="393"/>
      <c r="C50" s="394"/>
      <c r="D50" s="394"/>
      <c r="E50" s="394"/>
      <c r="F50" s="395"/>
    </row>
    <row r="51" spans="1:6" ht="18.75" customHeight="1" x14ac:dyDescent="0.2">
      <c r="A51" s="26"/>
      <c r="B51" s="393"/>
      <c r="C51" s="394"/>
      <c r="D51" s="394"/>
      <c r="E51" s="394"/>
      <c r="F51" s="395"/>
    </row>
    <row r="52" spans="1:6" ht="18.75" customHeight="1" x14ac:dyDescent="0.2">
      <c r="A52" s="26"/>
      <c r="B52" s="393"/>
      <c r="C52" s="394"/>
      <c r="D52" s="394"/>
      <c r="E52" s="394"/>
      <c r="F52" s="395"/>
    </row>
    <row r="53" spans="1:6" ht="18.75" customHeight="1" x14ac:dyDescent="0.2">
      <c r="A53" s="26"/>
      <c r="B53" s="393"/>
      <c r="C53" s="394"/>
      <c r="D53" s="394"/>
      <c r="E53" s="394"/>
      <c r="F53" s="395"/>
    </row>
    <row r="54" spans="1:6" ht="18.75" customHeight="1" x14ac:dyDescent="0.2">
      <c r="A54" s="26"/>
      <c r="B54" s="393"/>
      <c r="C54" s="394"/>
      <c r="D54" s="394"/>
      <c r="E54" s="394"/>
      <c r="F54" s="395"/>
    </row>
    <row r="55" spans="1:6" ht="18.75" customHeight="1" x14ac:dyDescent="0.2">
      <c r="A55" s="26"/>
      <c r="B55" s="393"/>
      <c r="C55" s="394"/>
      <c r="D55" s="394"/>
      <c r="E55" s="394"/>
      <c r="F55" s="395"/>
    </row>
    <row r="56" spans="1:6" ht="18.75" customHeight="1" x14ac:dyDescent="0.2">
      <c r="A56" s="26"/>
      <c r="B56" s="393"/>
      <c r="C56" s="394"/>
      <c r="D56" s="394"/>
      <c r="E56" s="394"/>
      <c r="F56" s="395"/>
    </row>
    <row r="57" spans="1:6" ht="18.75" customHeight="1" x14ac:dyDescent="0.2">
      <c r="A57" s="26"/>
      <c r="B57" s="393"/>
      <c r="C57" s="394"/>
      <c r="D57" s="394"/>
      <c r="E57" s="394"/>
      <c r="F57" s="395"/>
    </row>
    <row r="58" spans="1:6" ht="18.75" customHeight="1" x14ac:dyDescent="0.2">
      <c r="A58" s="26"/>
      <c r="B58" s="393"/>
      <c r="C58" s="394"/>
      <c r="D58" s="394"/>
      <c r="E58" s="394"/>
      <c r="F58" s="395"/>
    </row>
    <row r="59" spans="1:6" ht="18.75" customHeight="1" x14ac:dyDescent="0.2">
      <c r="A59" s="26"/>
      <c r="B59" s="393"/>
      <c r="C59" s="394"/>
      <c r="D59" s="394"/>
      <c r="E59" s="394"/>
      <c r="F59" s="395"/>
    </row>
    <row r="60" spans="1:6" ht="18.75" customHeight="1" x14ac:dyDescent="0.2">
      <c r="A60" s="26"/>
      <c r="B60" s="393"/>
      <c r="C60" s="394"/>
      <c r="D60" s="394"/>
      <c r="E60" s="394"/>
      <c r="F60" s="395"/>
    </row>
    <row r="61" spans="1:6" ht="18.75" customHeight="1" x14ac:dyDescent="0.2">
      <c r="A61" s="26"/>
      <c r="B61" s="393"/>
      <c r="C61" s="394"/>
      <c r="D61" s="394"/>
      <c r="E61" s="394"/>
      <c r="F61" s="395"/>
    </row>
    <row r="62" spans="1:6" ht="18.75" customHeight="1" x14ac:dyDescent="0.2">
      <c r="A62" s="26"/>
      <c r="B62" s="393"/>
      <c r="C62" s="394"/>
      <c r="D62" s="394"/>
      <c r="E62" s="394"/>
      <c r="F62" s="395"/>
    </row>
    <row r="63" spans="1:6" ht="18.75" customHeight="1" x14ac:dyDescent="0.2">
      <c r="A63" s="26"/>
      <c r="B63" s="393"/>
      <c r="C63" s="394"/>
      <c r="D63" s="394"/>
      <c r="E63" s="394"/>
      <c r="F63" s="395"/>
    </row>
    <row r="64" spans="1:6" ht="18.75" customHeight="1" x14ac:dyDescent="0.2">
      <c r="A64" s="26"/>
      <c r="B64" s="393"/>
      <c r="C64" s="394"/>
      <c r="D64" s="394"/>
      <c r="E64" s="394"/>
      <c r="F64" s="395"/>
    </row>
    <row r="65" spans="1:6" ht="18.75" customHeight="1" x14ac:dyDescent="0.2">
      <c r="A65" s="26"/>
      <c r="B65" s="393"/>
      <c r="C65" s="394"/>
      <c r="D65" s="394"/>
      <c r="E65" s="394"/>
      <c r="F65" s="395"/>
    </row>
    <row r="66" spans="1:6" ht="18.75" customHeight="1" x14ac:dyDescent="0.2">
      <c r="A66" s="26"/>
      <c r="B66" s="393"/>
      <c r="C66" s="394"/>
      <c r="D66" s="394"/>
      <c r="E66" s="394"/>
      <c r="F66" s="395"/>
    </row>
    <row r="67" spans="1:6" ht="18.75" customHeight="1" x14ac:dyDescent="0.2">
      <c r="A67" s="26"/>
      <c r="B67" s="393"/>
      <c r="C67" s="394"/>
      <c r="D67" s="394"/>
      <c r="E67" s="394"/>
      <c r="F67" s="395"/>
    </row>
    <row r="68" spans="1:6" ht="18.75" customHeight="1" x14ac:dyDescent="0.2">
      <c r="A68" s="26"/>
      <c r="B68" s="393"/>
      <c r="C68" s="394"/>
      <c r="D68" s="394"/>
      <c r="E68" s="394"/>
      <c r="F68" s="395"/>
    </row>
    <row r="69" spans="1:6" ht="18.75" customHeight="1" x14ac:dyDescent="0.2">
      <c r="A69" s="26"/>
      <c r="B69" s="393"/>
      <c r="C69" s="394"/>
      <c r="D69" s="394"/>
      <c r="E69" s="394"/>
      <c r="F69" s="395"/>
    </row>
    <row r="70" spans="1:6" ht="18.75" customHeight="1" x14ac:dyDescent="0.2">
      <c r="A70" s="17"/>
      <c r="B70" s="393"/>
      <c r="C70" s="394"/>
      <c r="D70" s="394"/>
      <c r="E70" s="394"/>
      <c r="F70" s="395"/>
    </row>
    <row r="71" spans="1:6" ht="18.75" customHeight="1" x14ac:dyDescent="0.2">
      <c r="A71" s="17"/>
      <c r="B71" s="393"/>
      <c r="C71" s="394"/>
      <c r="D71" s="394"/>
      <c r="E71" s="394"/>
      <c r="F71" s="395"/>
    </row>
    <row r="72" spans="1:6" ht="18.75" customHeight="1" x14ac:dyDescent="0.2">
      <c r="A72" s="17"/>
      <c r="B72" s="393"/>
      <c r="C72" s="394"/>
      <c r="D72" s="394"/>
      <c r="E72" s="394"/>
      <c r="F72" s="395"/>
    </row>
    <row r="73" spans="1:6" ht="18.75" customHeight="1" x14ac:dyDescent="0.2">
      <c r="A73" s="17"/>
      <c r="B73" s="393"/>
      <c r="C73" s="394"/>
      <c r="D73" s="394"/>
      <c r="E73" s="394"/>
      <c r="F73" s="395"/>
    </row>
    <row r="74" spans="1:6" ht="18.75" customHeight="1" x14ac:dyDescent="0.2">
      <c r="A74" s="17"/>
      <c r="B74" s="393"/>
      <c r="C74" s="394"/>
      <c r="D74" s="394"/>
      <c r="E74" s="394"/>
      <c r="F74" s="395"/>
    </row>
    <row r="75" spans="1:6" ht="18.75" customHeight="1" x14ac:dyDescent="0.2">
      <c r="A75" s="17"/>
      <c r="B75" s="393"/>
      <c r="C75" s="394"/>
      <c r="D75" s="394"/>
      <c r="E75" s="394"/>
      <c r="F75" s="395"/>
    </row>
    <row r="76" spans="1:6" ht="18.75" customHeight="1" x14ac:dyDescent="0.2">
      <c r="A76" s="17"/>
      <c r="B76" s="393"/>
      <c r="C76" s="394"/>
      <c r="D76" s="394"/>
      <c r="E76" s="394"/>
      <c r="F76" s="395"/>
    </row>
    <row r="77" spans="1:6" ht="18.75" customHeight="1" x14ac:dyDescent="0.2">
      <c r="A77" s="17"/>
      <c r="B77" s="393"/>
      <c r="C77" s="394"/>
      <c r="D77" s="394"/>
      <c r="E77" s="394"/>
      <c r="F77" s="395"/>
    </row>
    <row r="78" spans="1:6" ht="18.75" customHeight="1" x14ac:dyDescent="0.2">
      <c r="A78" s="17"/>
      <c r="B78" s="393"/>
      <c r="C78" s="394"/>
      <c r="D78" s="394"/>
      <c r="E78" s="394"/>
      <c r="F78" s="395"/>
    </row>
    <row r="79" spans="1:6" ht="18.75" customHeight="1" x14ac:dyDescent="0.2">
      <c r="A79" s="17"/>
      <c r="B79" s="393"/>
      <c r="C79" s="394"/>
      <c r="D79" s="394"/>
      <c r="E79" s="394"/>
      <c r="F79" s="395"/>
    </row>
    <row r="80" spans="1:6" ht="18.75" customHeight="1" x14ac:dyDescent="0.2">
      <c r="A80" s="17"/>
      <c r="B80" s="393"/>
      <c r="C80" s="394"/>
      <c r="D80" s="394"/>
      <c r="E80" s="394"/>
      <c r="F80" s="395"/>
    </row>
    <row r="81" spans="1:6" ht="18.75" customHeight="1" x14ac:dyDescent="0.2">
      <c r="A81" s="17"/>
      <c r="B81" s="393"/>
      <c r="C81" s="394"/>
      <c r="D81" s="394"/>
      <c r="E81" s="394"/>
      <c r="F81" s="395"/>
    </row>
    <row r="82" spans="1:6" ht="18.75" customHeight="1" x14ac:dyDescent="0.2">
      <c r="A82" s="17"/>
      <c r="B82" s="393"/>
      <c r="C82" s="394"/>
      <c r="D82" s="394"/>
      <c r="E82" s="394"/>
      <c r="F82" s="395"/>
    </row>
    <row r="83" spans="1:6" ht="18.75" customHeight="1" x14ac:dyDescent="0.2">
      <c r="A83" s="26"/>
      <c r="B83" s="393"/>
      <c r="C83" s="394"/>
      <c r="D83" s="394"/>
      <c r="E83" s="394"/>
      <c r="F83" s="395"/>
    </row>
    <row r="84" spans="1:6" ht="18.75" customHeight="1" x14ac:dyDescent="0.2">
      <c r="A84" s="17"/>
      <c r="B84" s="393"/>
      <c r="C84" s="394"/>
      <c r="D84" s="394"/>
      <c r="E84" s="394"/>
      <c r="F84" s="395"/>
    </row>
    <row r="85" spans="1:6" ht="18.75" customHeight="1" x14ac:dyDescent="0.2">
      <c r="A85" s="17"/>
      <c r="B85" s="393"/>
      <c r="C85" s="394"/>
      <c r="D85" s="394"/>
      <c r="E85" s="394"/>
      <c r="F85" s="395"/>
    </row>
    <row r="86" spans="1:6" ht="18.75" customHeight="1" x14ac:dyDescent="0.2">
      <c r="A86" s="17"/>
      <c r="B86" s="393"/>
      <c r="C86" s="394"/>
      <c r="D86" s="394"/>
      <c r="E86" s="394"/>
      <c r="F86" s="395"/>
    </row>
    <row r="87" spans="1:6" ht="18.75" customHeight="1" x14ac:dyDescent="0.2">
      <c r="A87" s="17"/>
      <c r="B87" s="396"/>
      <c r="C87" s="397"/>
      <c r="D87" s="397"/>
      <c r="E87" s="397"/>
      <c r="F87" s="398"/>
    </row>
    <row r="88" spans="1:6" s="7" customFormat="1" ht="18.75" customHeight="1" x14ac:dyDescent="0.2">
      <c r="A88" s="3" t="s">
        <v>13</v>
      </c>
      <c r="B88" s="3" t="s">
        <v>93</v>
      </c>
      <c r="C88" s="3"/>
      <c r="D88" s="3"/>
      <c r="E88" s="3"/>
      <c r="F88" s="3"/>
    </row>
    <row r="89" spans="1:6" ht="18.75" customHeight="1" x14ac:dyDescent="0.2">
      <c r="A89" s="17"/>
      <c r="B89" s="390"/>
      <c r="C89" s="391"/>
      <c r="D89" s="391"/>
      <c r="E89" s="391"/>
      <c r="F89" s="392"/>
    </row>
    <row r="90" spans="1:6" ht="18.75" customHeight="1" x14ac:dyDescent="0.2">
      <c r="A90" s="17"/>
      <c r="B90" s="393"/>
      <c r="C90" s="394"/>
      <c r="D90" s="394"/>
      <c r="E90" s="394"/>
      <c r="F90" s="395"/>
    </row>
    <row r="91" spans="1:6" ht="18.75" customHeight="1" x14ac:dyDescent="0.2">
      <c r="A91" s="26"/>
      <c r="B91" s="393"/>
      <c r="C91" s="394"/>
      <c r="D91" s="394"/>
      <c r="E91" s="394"/>
      <c r="F91" s="395"/>
    </row>
    <row r="92" spans="1:6" ht="18.75" customHeight="1" x14ac:dyDescent="0.2">
      <c r="A92" s="26"/>
      <c r="B92" s="393"/>
      <c r="C92" s="394"/>
      <c r="D92" s="394"/>
      <c r="E92" s="394"/>
      <c r="F92" s="395"/>
    </row>
    <row r="93" spans="1:6" ht="18.75" customHeight="1" x14ac:dyDescent="0.2">
      <c r="A93" s="26"/>
      <c r="B93" s="393"/>
      <c r="C93" s="394"/>
      <c r="D93" s="394"/>
      <c r="E93" s="394"/>
      <c r="F93" s="395"/>
    </row>
    <row r="94" spans="1:6" ht="18.75" customHeight="1" x14ac:dyDescent="0.2">
      <c r="A94" s="26"/>
      <c r="B94" s="393"/>
      <c r="C94" s="394"/>
      <c r="D94" s="394"/>
      <c r="E94" s="394"/>
      <c r="F94" s="395"/>
    </row>
    <row r="95" spans="1:6" ht="18.75" customHeight="1" x14ac:dyDescent="0.2">
      <c r="A95" s="26"/>
      <c r="B95" s="393"/>
      <c r="C95" s="394"/>
      <c r="D95" s="394"/>
      <c r="E95" s="394"/>
      <c r="F95" s="395"/>
    </row>
    <row r="96" spans="1:6" ht="18.75" customHeight="1" x14ac:dyDescent="0.2">
      <c r="A96" s="26"/>
      <c r="B96" s="393"/>
      <c r="C96" s="394"/>
      <c r="D96" s="394"/>
      <c r="E96" s="394"/>
      <c r="F96" s="395"/>
    </row>
    <row r="97" spans="1:6" ht="18.75" customHeight="1" x14ac:dyDescent="0.2">
      <c r="A97" s="26"/>
      <c r="B97" s="393"/>
      <c r="C97" s="394"/>
      <c r="D97" s="394"/>
      <c r="E97" s="394"/>
      <c r="F97" s="395"/>
    </row>
    <row r="98" spans="1:6" ht="18.75" customHeight="1" x14ac:dyDescent="0.2">
      <c r="A98" s="26"/>
      <c r="B98" s="393"/>
      <c r="C98" s="394"/>
      <c r="D98" s="394"/>
      <c r="E98" s="394"/>
      <c r="F98" s="395"/>
    </row>
    <row r="99" spans="1:6" ht="18.75" customHeight="1" x14ac:dyDescent="0.2">
      <c r="A99" s="26"/>
      <c r="B99" s="393"/>
      <c r="C99" s="394"/>
      <c r="D99" s="394"/>
      <c r="E99" s="394"/>
      <c r="F99" s="395"/>
    </row>
    <row r="100" spans="1:6" ht="18.75" customHeight="1" x14ac:dyDescent="0.2">
      <c r="A100" s="26"/>
      <c r="B100" s="393"/>
      <c r="C100" s="394"/>
      <c r="D100" s="394"/>
      <c r="E100" s="394"/>
      <c r="F100" s="395"/>
    </row>
    <row r="101" spans="1:6" ht="18.75" customHeight="1" x14ac:dyDescent="0.2">
      <c r="A101" s="26"/>
      <c r="B101" s="393"/>
      <c r="C101" s="394"/>
      <c r="D101" s="394"/>
      <c r="E101" s="394"/>
      <c r="F101" s="395"/>
    </row>
    <row r="102" spans="1:6" ht="18.75" customHeight="1" x14ac:dyDescent="0.2">
      <c r="A102" s="26"/>
      <c r="B102" s="393"/>
      <c r="C102" s="394"/>
      <c r="D102" s="394"/>
      <c r="E102" s="394"/>
      <c r="F102" s="395"/>
    </row>
    <row r="103" spans="1:6" ht="18.75" customHeight="1" x14ac:dyDescent="0.2">
      <c r="A103" s="26"/>
      <c r="B103" s="393"/>
      <c r="C103" s="394"/>
      <c r="D103" s="394"/>
      <c r="E103" s="394"/>
      <c r="F103" s="395"/>
    </row>
    <row r="104" spans="1:6" ht="18.75" customHeight="1" x14ac:dyDescent="0.2">
      <c r="A104" s="26"/>
      <c r="B104" s="393"/>
      <c r="C104" s="394"/>
      <c r="D104" s="394"/>
      <c r="E104" s="394"/>
      <c r="F104" s="395"/>
    </row>
    <row r="105" spans="1:6" ht="18.75" customHeight="1" x14ac:dyDescent="0.2">
      <c r="A105" s="26"/>
      <c r="B105" s="393"/>
      <c r="C105" s="394"/>
      <c r="D105" s="394"/>
      <c r="E105" s="394"/>
      <c r="F105" s="395"/>
    </row>
    <row r="106" spans="1:6" ht="18.75" customHeight="1" x14ac:dyDescent="0.2">
      <c r="A106" s="26"/>
      <c r="B106" s="393"/>
      <c r="C106" s="394"/>
      <c r="D106" s="394"/>
      <c r="E106" s="394"/>
      <c r="F106" s="395"/>
    </row>
    <row r="107" spans="1:6" ht="18.75" customHeight="1" x14ac:dyDescent="0.2">
      <c r="A107" s="26"/>
      <c r="B107" s="393"/>
      <c r="C107" s="394"/>
      <c r="D107" s="394"/>
      <c r="E107" s="394"/>
      <c r="F107" s="395"/>
    </row>
    <row r="108" spans="1:6" ht="18.75" customHeight="1" x14ac:dyDescent="0.2">
      <c r="A108" s="26"/>
      <c r="B108" s="393"/>
      <c r="C108" s="394"/>
      <c r="D108" s="394"/>
      <c r="E108" s="394"/>
      <c r="F108" s="395"/>
    </row>
    <row r="109" spans="1:6" ht="18.75" customHeight="1" x14ac:dyDescent="0.2">
      <c r="A109" s="26"/>
      <c r="B109" s="393"/>
      <c r="C109" s="394"/>
      <c r="D109" s="394"/>
      <c r="E109" s="394"/>
      <c r="F109" s="395"/>
    </row>
    <row r="110" spans="1:6" ht="18.75" customHeight="1" x14ac:dyDescent="0.2">
      <c r="A110" s="26"/>
      <c r="B110" s="393"/>
      <c r="C110" s="394"/>
      <c r="D110" s="394"/>
      <c r="E110" s="394"/>
      <c r="F110" s="395"/>
    </row>
    <row r="111" spans="1:6" ht="18.75" customHeight="1" x14ac:dyDescent="0.2">
      <c r="A111" s="26"/>
      <c r="B111" s="393"/>
      <c r="C111" s="394"/>
      <c r="D111" s="394"/>
      <c r="E111" s="394"/>
      <c r="F111" s="395"/>
    </row>
    <row r="112" spans="1:6" ht="18.75" customHeight="1" x14ac:dyDescent="0.2">
      <c r="A112" s="26"/>
      <c r="B112" s="393"/>
      <c r="C112" s="394"/>
      <c r="D112" s="394"/>
      <c r="E112" s="394"/>
      <c r="F112" s="395"/>
    </row>
    <row r="113" spans="1:6" ht="18.75" customHeight="1" x14ac:dyDescent="0.2">
      <c r="A113" s="26"/>
      <c r="B113" s="393"/>
      <c r="C113" s="394"/>
      <c r="D113" s="394"/>
      <c r="E113" s="394"/>
      <c r="F113" s="395"/>
    </row>
    <row r="114" spans="1:6" ht="18.75" customHeight="1" x14ac:dyDescent="0.2">
      <c r="A114" s="26"/>
      <c r="B114" s="393"/>
      <c r="C114" s="394"/>
      <c r="D114" s="394"/>
      <c r="E114" s="394"/>
      <c r="F114" s="395"/>
    </row>
    <row r="115" spans="1:6" ht="18.75" customHeight="1" x14ac:dyDescent="0.2">
      <c r="A115" s="17"/>
      <c r="B115" s="393"/>
      <c r="C115" s="394"/>
      <c r="D115" s="394"/>
      <c r="E115" s="394"/>
      <c r="F115" s="395"/>
    </row>
    <row r="116" spans="1:6" ht="18.75" customHeight="1" x14ac:dyDescent="0.2">
      <c r="A116" s="17"/>
      <c r="B116" s="393"/>
      <c r="C116" s="394"/>
      <c r="D116" s="394"/>
      <c r="E116" s="394"/>
      <c r="F116" s="395"/>
    </row>
    <row r="117" spans="1:6" ht="18.75" customHeight="1" x14ac:dyDescent="0.2">
      <c r="A117" s="17"/>
      <c r="B117" s="393"/>
      <c r="C117" s="394"/>
      <c r="D117" s="394"/>
      <c r="E117" s="394"/>
      <c r="F117" s="395"/>
    </row>
    <row r="118" spans="1:6" ht="18.75" customHeight="1" x14ac:dyDescent="0.2">
      <c r="A118" s="17"/>
      <c r="B118" s="393"/>
      <c r="C118" s="394"/>
      <c r="D118" s="394"/>
      <c r="E118" s="394"/>
      <c r="F118" s="395"/>
    </row>
    <row r="119" spans="1:6" ht="18.75" customHeight="1" x14ac:dyDescent="0.2">
      <c r="A119" s="17"/>
      <c r="B119" s="393"/>
      <c r="C119" s="394"/>
      <c r="D119" s="394"/>
      <c r="E119" s="394"/>
      <c r="F119" s="395"/>
    </row>
    <row r="120" spans="1:6" ht="18.75" customHeight="1" x14ac:dyDescent="0.2">
      <c r="A120" s="17"/>
      <c r="B120" s="393"/>
      <c r="C120" s="394"/>
      <c r="D120" s="394"/>
      <c r="E120" s="394"/>
      <c r="F120" s="395"/>
    </row>
    <row r="121" spans="1:6" ht="18.75" customHeight="1" x14ac:dyDescent="0.2">
      <c r="A121" s="17"/>
      <c r="B121" s="393"/>
      <c r="C121" s="394"/>
      <c r="D121" s="394"/>
      <c r="E121" s="394"/>
      <c r="F121" s="395"/>
    </row>
    <row r="122" spans="1:6" ht="18.75" customHeight="1" x14ac:dyDescent="0.2">
      <c r="A122" s="17"/>
      <c r="B122" s="393"/>
      <c r="C122" s="394"/>
      <c r="D122" s="394"/>
      <c r="E122" s="394"/>
      <c r="F122" s="395"/>
    </row>
    <row r="123" spans="1:6" ht="18.75" customHeight="1" x14ac:dyDescent="0.2">
      <c r="A123" s="17"/>
      <c r="B123" s="393"/>
      <c r="C123" s="394"/>
      <c r="D123" s="394"/>
      <c r="E123" s="394"/>
      <c r="F123" s="395"/>
    </row>
    <row r="124" spans="1:6" ht="18.75" customHeight="1" x14ac:dyDescent="0.2">
      <c r="A124" s="17"/>
      <c r="B124" s="393"/>
      <c r="C124" s="394"/>
      <c r="D124" s="394"/>
      <c r="E124" s="394"/>
      <c r="F124" s="395"/>
    </row>
    <row r="125" spans="1:6" ht="18.75" customHeight="1" x14ac:dyDescent="0.2">
      <c r="A125" s="17"/>
      <c r="B125" s="393"/>
      <c r="C125" s="394"/>
      <c r="D125" s="394"/>
      <c r="E125" s="394"/>
      <c r="F125" s="395"/>
    </row>
    <row r="126" spans="1:6" ht="18.75" customHeight="1" x14ac:dyDescent="0.2">
      <c r="A126" s="17"/>
      <c r="B126" s="393"/>
      <c r="C126" s="394"/>
      <c r="D126" s="394"/>
      <c r="E126" s="394"/>
      <c r="F126" s="395"/>
    </row>
    <row r="127" spans="1:6" ht="18.75" customHeight="1" x14ac:dyDescent="0.2">
      <c r="A127" s="17"/>
      <c r="B127" s="393"/>
      <c r="C127" s="394"/>
      <c r="D127" s="394"/>
      <c r="E127" s="394"/>
      <c r="F127" s="395"/>
    </row>
    <row r="128" spans="1:6" ht="18.75" customHeight="1" x14ac:dyDescent="0.2">
      <c r="A128" s="17"/>
      <c r="B128" s="393"/>
      <c r="C128" s="394"/>
      <c r="D128" s="394"/>
      <c r="E128" s="394"/>
      <c r="F128" s="395"/>
    </row>
    <row r="129" spans="1:6" ht="18.75" customHeight="1" x14ac:dyDescent="0.2">
      <c r="A129" s="17"/>
      <c r="B129" s="393"/>
      <c r="C129" s="394"/>
      <c r="D129" s="394"/>
      <c r="E129" s="394"/>
      <c r="F129" s="395"/>
    </row>
    <row r="130" spans="1:6" ht="18.75" customHeight="1" x14ac:dyDescent="0.2">
      <c r="A130" s="17"/>
      <c r="B130" s="396"/>
      <c r="C130" s="397"/>
      <c r="D130" s="397"/>
      <c r="E130" s="397"/>
      <c r="F130" s="398"/>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cmds_office</cp:lastModifiedBy>
  <cp:lastPrinted>2021-07-13T11:03:03Z</cp:lastPrinted>
  <dcterms:created xsi:type="dcterms:W3CDTF">2011-06-14T05:32:50Z</dcterms:created>
  <dcterms:modified xsi:type="dcterms:W3CDTF">2021-07-14T02:33:51Z</dcterms:modified>
</cp:coreProperties>
</file>