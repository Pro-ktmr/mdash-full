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18"/>
  <workbookPr defaultThemeVersion="124226"/>
  <mc:AlternateContent xmlns:mc="http://schemas.openxmlformats.org/markup-compatibility/2006">
    <mc:Choice Requires="x15">
      <x15ac:absPath xmlns:x15ac="http://schemas.microsoft.com/office/spreadsheetml/2010/11/ac" url="Z:\学務係長\700_公募、認定プログラム運営等\704_数理・データサイエンス・AI\2021年度\(大阪大学)_文科省提出資料\20210713_指摘対応\"/>
    </mc:Choice>
  </mc:AlternateContent>
  <xr:revisionPtr revIDLastSave="0" documentId="13_ncr:1_{51366B9E-3D9A-4E6D-8BCB-775EE9EB038C}" xr6:coauthVersionLast="47" xr6:coauthVersionMax="47" xr10:uidLastSave="{00000000-0000-0000-0000-000000000000}"/>
  <bookViews>
    <workbookView xWindow="12090" yWindow="3450" windowWidth="21570" windowHeight="11385" tabRatio="885" xr2:uid="{00000000-000D-0000-FFFF-FFFF00000000}"/>
  </bookViews>
  <sheets>
    <sheet name="様式１　大学等概要" sheetId="8" r:id="rId1"/>
    <sheet name="様式２－1　プログラムを構成する授業科目" sheetId="46" r:id="rId2"/>
    <sheet name="様式２－2　プログラムを構成する授業科目" sheetId="47" r:id="rId3"/>
    <sheet name="様式２－3　プログラムを構成する授業科目 " sheetId="49" r:id="rId4"/>
    <sheet name="様式３　履修者等数の実績" sheetId="45" r:id="rId5"/>
    <sheet name="様式4－１　プログラムの授業内容・概要" sheetId="48" r:id="rId6"/>
    <sheet name="様式4－2　プログラムの授業内容・概要" sheetId="51" r:id="rId7"/>
    <sheet name="様式4－3　プログラムの授業内容・概要" sheetId="53" r:id="rId8"/>
    <sheet name="様式５　教育の質・履修者数を向上させるための体制・計画" sheetId="42" r:id="rId9"/>
    <sheet name="様式６　自己点検・評価" sheetId="43" r:id="rId10"/>
    <sheet name="様式７　特色ある取組" sheetId="44" r:id="rId11"/>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 '!#REF!</definedName>
    <definedName name="_xlnm._FilterDatabase" localSheetId="4" hidden="1">'様式３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'様式２－2　プログラムを構成する授業科目'!$A$1:$I$44</definedName>
    <definedName name="_xlnm.Print_Area" localSheetId="3">'様式２－3　プログラムを構成する授業科目 '!$A$1:$I$44</definedName>
    <definedName name="_xlnm.Print_Area" localSheetId="4">'様式３　履修者等数の実績'!$A$1:$R$33</definedName>
    <definedName name="_xlnm.Print_Area" localSheetId="8">'様式５　教育の質・履修者数を向上させるための体制・計画'!$A$1:$E$134</definedName>
    <definedName name="_xlnm.Print_Area" localSheetId="9">'様式６　自己点検・評価'!$A$1:$J$20</definedName>
    <definedName name="_xlnm.Print_Area" localSheetId="10">'様式７　特色ある取組'!$A$1:$F$130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8" i="45" l="1"/>
  <c r="Q9" i="45"/>
  <c r="Q10" i="45"/>
  <c r="Q11" i="45"/>
  <c r="Q12" i="45"/>
  <c r="Q13" i="45"/>
  <c r="R13" i="45" s="1"/>
  <c r="Q14" i="45"/>
  <c r="R14" i="45" s="1"/>
  <c r="Q15" i="45"/>
  <c r="R15" i="45" s="1"/>
  <c r="Q16" i="45"/>
  <c r="Q17" i="45"/>
  <c r="Q18" i="45"/>
  <c r="Q19" i="45"/>
  <c r="Q20" i="45"/>
  <c r="P32" i="45"/>
  <c r="O32" i="45"/>
  <c r="N32" i="45"/>
  <c r="M32" i="45"/>
  <c r="L32" i="45"/>
  <c r="K32" i="45"/>
  <c r="J32" i="45"/>
  <c r="I32" i="45"/>
  <c r="H32" i="45"/>
  <c r="G32" i="45"/>
  <c r="F32" i="45"/>
  <c r="E32" i="45"/>
  <c r="D32" i="45"/>
  <c r="Q31" i="45"/>
  <c r="R31" i="45" s="1"/>
  <c r="Q30" i="45"/>
  <c r="R30" i="45" s="1"/>
  <c r="Q29" i="45"/>
  <c r="R29" i="45" s="1"/>
  <c r="Q28" i="45"/>
  <c r="R28" i="45" s="1"/>
  <c r="Q27" i="45"/>
  <c r="R27" i="45" s="1"/>
  <c r="Q26" i="45"/>
  <c r="R26" i="45" s="1"/>
  <c r="Q25" i="45"/>
  <c r="R25" i="45" s="1"/>
  <c r="Q24" i="45"/>
  <c r="R24" i="45" s="1"/>
  <c r="Q23" i="45"/>
  <c r="R23" i="45" s="1"/>
  <c r="Q22" i="45"/>
  <c r="R22" i="45" s="1"/>
  <c r="Q21" i="45"/>
  <c r="R21" i="45" s="1"/>
  <c r="R20" i="45"/>
  <c r="R19" i="45"/>
  <c r="R18" i="45"/>
  <c r="R17" i="45"/>
  <c r="R16" i="45"/>
  <c r="R12" i="45"/>
  <c r="R11" i="45"/>
  <c r="R10" i="45"/>
  <c r="R9" i="45"/>
  <c r="Q32" i="45" l="1"/>
  <c r="R32" i="45" s="1"/>
  <c r="R8" i="45"/>
</calcChain>
</file>

<file path=xl/sharedStrings.xml><?xml version="1.0" encoding="utf-8"?>
<sst xmlns="http://schemas.openxmlformats.org/spreadsheetml/2006/main" count="501" uniqueCount="244">
  <si>
    <t>様式１</t>
    <rPh sb="0" eb="2">
      <t>ヨウシキ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</si>
  <si>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</si>
  <si>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①</t>
    <phoneticPr fontId="3"/>
  </si>
  <si>
    <t>学校名</t>
    <rPh sb="0" eb="2">
      <t>ガッコウ</t>
    </rPh>
    <rPh sb="2" eb="3">
      <t>メイ</t>
    </rPh>
    <phoneticPr fontId="3"/>
  </si>
  <si>
    <t>大阪大学</t>
    <rPh sb="0" eb="2">
      <t>オオサカ</t>
    </rPh>
    <rPh sb="2" eb="4">
      <t>ダイガク</t>
    </rPh>
    <phoneticPr fontId="3"/>
  </si>
  <si>
    <t>②</t>
    <phoneticPr fontId="3"/>
  </si>
  <si>
    <t>大学等の設置者</t>
  </si>
  <si>
    <t>国立大学法人 大阪大学</t>
    <rPh sb="0" eb="2">
      <t>コクリツ</t>
    </rPh>
    <rPh sb="2" eb="4">
      <t>ダイガク</t>
    </rPh>
    <rPh sb="4" eb="6">
      <t>ホウジン</t>
    </rPh>
    <rPh sb="7" eb="9">
      <t>オオサカ</t>
    </rPh>
    <rPh sb="9" eb="11">
      <t>ダイガク</t>
    </rPh>
    <phoneticPr fontId="3"/>
  </si>
  <si>
    <t>③</t>
    <phoneticPr fontId="3"/>
  </si>
  <si>
    <t>設置形態</t>
  </si>
  <si>
    <t>国立大学</t>
  </si>
  <si>
    <t>④</t>
    <phoneticPr fontId="3"/>
  </si>
  <si>
    <t>所在地</t>
    <phoneticPr fontId="3"/>
  </si>
  <si>
    <t>大阪府吹田市山田丘1-1</t>
    <rPh sb="0" eb="3">
      <t>オオサカフ</t>
    </rPh>
    <rPh sb="3" eb="6">
      <t>スイタシ</t>
    </rPh>
    <rPh sb="6" eb="8">
      <t>ヤマダ</t>
    </rPh>
    <rPh sb="8" eb="9">
      <t>オカ</t>
    </rPh>
    <phoneticPr fontId="3"/>
  </si>
  <si>
    <t>⑤</t>
    <phoneticPr fontId="3"/>
  </si>
  <si>
    <t>申請するプログラム又は授業科目名称</t>
    <rPh sb="0" eb="2">
      <t>シンセイ</t>
    </rPh>
    <rPh sb="9" eb="10">
      <t>マタ</t>
    </rPh>
    <rPh sb="11" eb="13">
      <t>ジュギョウ</t>
    </rPh>
    <rPh sb="13" eb="15">
      <t>カモク</t>
    </rPh>
    <rPh sb="15" eb="17">
      <t>メイショウ</t>
    </rPh>
    <phoneticPr fontId="3"/>
  </si>
  <si>
    <t>数理・DS・AIリテラシー教育プログラム</t>
    <rPh sb="0" eb="2">
      <t>スウリ</t>
    </rPh>
    <rPh sb="13" eb="15">
      <t>キョウイク</t>
    </rPh>
    <phoneticPr fontId="3"/>
  </si>
  <si>
    <t>⑥</t>
    <phoneticPr fontId="3"/>
  </si>
  <si>
    <t>プログラムの開設年度</t>
    <rPh sb="6" eb="8">
      <t>カイセツ</t>
    </rPh>
    <rPh sb="8" eb="10">
      <t>ネンド</t>
    </rPh>
    <phoneticPr fontId="3"/>
  </si>
  <si>
    <t>令和２年度</t>
    <rPh sb="0" eb="2">
      <t>レイワ</t>
    </rPh>
    <rPh sb="3" eb="5">
      <t>ネンド</t>
    </rPh>
    <phoneticPr fontId="3"/>
  </si>
  <si>
    <t>⑦</t>
    <phoneticPr fontId="3"/>
  </si>
  <si>
    <t>教員数</t>
    <rPh sb="0" eb="2">
      <t>キョウイン</t>
    </rPh>
    <rPh sb="2" eb="3">
      <t>スウ</t>
    </rPh>
    <phoneticPr fontId="3"/>
  </si>
  <si>
    <t>（常勤）</t>
    <rPh sb="1" eb="3">
      <t>ジョウキン</t>
    </rPh>
    <phoneticPr fontId="3"/>
  </si>
  <si>
    <t>人</t>
    <rPh sb="0" eb="1">
      <t>ニン</t>
    </rPh>
    <phoneticPr fontId="3"/>
  </si>
  <si>
    <t>（非常勤）</t>
    <rPh sb="1" eb="4">
      <t>ヒジョウキン</t>
    </rPh>
    <phoneticPr fontId="3"/>
  </si>
  <si>
    <t>⑧</t>
    <phoneticPr fontId="3"/>
  </si>
  <si>
    <t>プログラムの授業を教えている教員数</t>
    <rPh sb="6" eb="8">
      <t>ジュギョウ</t>
    </rPh>
    <rPh sb="9" eb="10">
      <t>オシ</t>
    </rPh>
    <rPh sb="14" eb="16">
      <t>キョウイン</t>
    </rPh>
    <rPh sb="16" eb="17">
      <t>スウ</t>
    </rPh>
    <phoneticPr fontId="3"/>
  </si>
  <si>
    <t>⑨</t>
    <phoneticPr fontId="3"/>
  </si>
  <si>
    <t>全学部・学科の入学定員</t>
    <rPh sb="0" eb="1">
      <t>ゼン</t>
    </rPh>
    <rPh sb="4" eb="6">
      <t>ガッカ</t>
    </rPh>
    <rPh sb="7" eb="9">
      <t>ニュウガク</t>
    </rPh>
    <rPh sb="9" eb="11">
      <t>テイイン</t>
    </rPh>
    <phoneticPr fontId="3"/>
  </si>
  <si>
    <t>人</t>
  </si>
  <si>
    <t>⑩</t>
    <phoneticPr fontId="3"/>
  </si>
  <si>
    <t>全学部・学科の学生数（学年別）</t>
    <rPh sb="0" eb="1">
      <t>ゼン</t>
    </rPh>
    <rPh sb="4" eb="6">
      <t>ガッカ</t>
    </rPh>
    <rPh sb="7" eb="10">
      <t>ガクセイスウ</t>
    </rPh>
    <rPh sb="11" eb="13">
      <t>ガクネン</t>
    </rPh>
    <rPh sb="13" eb="14">
      <t>ベツ</t>
    </rPh>
    <phoneticPr fontId="3"/>
  </si>
  <si>
    <t>総数</t>
    <rPh sb="0" eb="2">
      <t>ソウスウ</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</si>
  <si>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</si>
  <si>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</si>
  <si>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</si>
  <si>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</si>
  <si>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５年次</t>
    <rPh sb="1" eb="2">
      <t>ネン</t>
    </rPh>
    <rPh sb="2" eb="3">
      <t>ツギ</t>
    </rPh>
    <phoneticPr fontId="3"/>
  </si>
  <si>
    <t>６年次</t>
    <rPh sb="1" eb="2">
      <t>ネン</t>
    </rPh>
    <rPh sb="2" eb="3">
      <t>ツギ</t>
    </rPh>
    <phoneticPr fontId="3"/>
  </si>
  <si>
    <t>⑪</t>
    <phoneticPr fontId="3"/>
  </si>
  <si>
    <t>プログラムの運営責任者</t>
    <phoneticPr fontId="3"/>
  </si>
  <si>
    <t>（責任者名）</t>
    <rPh sb="1" eb="4">
      <t>セキニンシャ</t>
    </rPh>
    <rPh sb="4" eb="5">
      <t>メイ</t>
    </rPh>
    <phoneticPr fontId="3"/>
  </si>
  <si>
    <t>鈴木　貴</t>
    <rPh sb="0" eb="2">
      <t>スズキ</t>
    </rPh>
    <rPh sb="3" eb="4">
      <t>タカシ</t>
    </rPh>
    <phoneticPr fontId="3"/>
  </si>
  <si>
    <t>（役職名）</t>
    <rPh sb="1" eb="4">
      <t>ヤクショクメイ</t>
    </rPh>
    <phoneticPr fontId="3"/>
  </si>
  <si>
    <t>特任教授</t>
    <rPh sb="0" eb="4">
      <t>トクニンキョウジュ</t>
    </rPh>
    <phoneticPr fontId="3"/>
  </si>
  <si>
    <t>⑫</t>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</si>
  <si>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</si>
  <si>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数理・データ科学教育研究センター</t>
    <rPh sb="0" eb="2">
      <t>スウリ</t>
    </rPh>
    <rPh sb="6" eb="12">
      <t>カガクキョウイクケンキュウ</t>
    </rPh>
    <phoneticPr fontId="3"/>
  </si>
  <si>
    <t>関根　順</t>
    <rPh sb="0" eb="2">
      <t>セキネ</t>
    </rPh>
    <rPh sb="3" eb="4">
      <t>ジュン</t>
    </rPh>
    <phoneticPr fontId="3"/>
  </si>
  <si>
    <t>センター長</t>
    <rPh sb="4" eb="5">
      <t>チョウ</t>
    </rPh>
    <phoneticPr fontId="3"/>
  </si>
  <si>
    <t>⑬</t>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</si>
  <si>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</si>
  <si>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MMDSアドバイザリー会議</t>
    <rPh sb="11" eb="13">
      <t>カイギ</t>
    </rPh>
    <phoneticPr fontId="3"/>
  </si>
  <si>
    <t>田中　敏宏</t>
    <rPh sb="0" eb="2">
      <t>タナカ</t>
    </rPh>
    <rPh sb="3" eb="5">
      <t>トシヒロ</t>
    </rPh>
    <phoneticPr fontId="3"/>
  </si>
  <si>
    <t>理事・副学長</t>
    <rPh sb="0" eb="2">
      <t>リジ</t>
    </rPh>
    <rPh sb="3" eb="6">
      <t>フクガクチョウ</t>
    </rPh>
    <phoneticPr fontId="3"/>
  </si>
  <si>
    <t>⑭</t>
    <phoneticPr fontId="3"/>
  </si>
  <si>
    <t>申請する認定プログラム</t>
    <rPh sb="0" eb="2">
      <t>シンセイ</t>
    </rPh>
    <rPh sb="4" eb="6">
      <t>ニンテイ</t>
    </rPh>
    <phoneticPr fontId="3"/>
  </si>
  <si>
    <t>認定教育プログラムと認定教育プログラム+（プラス）</t>
  </si>
  <si>
    <t>連絡先</t>
    <rPh sb="0" eb="3">
      <t>レンラクサキ</t>
    </rPh>
    <phoneticPr fontId="3"/>
  </si>
  <si>
    <t>所属部署名</t>
    <rPh sb="0" eb="2">
      <t>ショゾク</t>
    </rPh>
    <rPh sb="2" eb="4">
      <t>ブショ</t>
    </rPh>
    <rPh sb="4" eb="5">
      <t>メイ</t>
    </rPh>
    <phoneticPr fontId="3"/>
  </si>
  <si>
    <t>担当者名</t>
    <rPh sb="0" eb="2">
      <t>タントウ</t>
    </rPh>
    <rPh sb="2" eb="3">
      <t>シャ</t>
    </rPh>
    <rPh sb="3" eb="4">
      <t>メイ</t>
    </rPh>
    <phoneticPr fontId="3"/>
  </si>
  <si>
    <t>森川　潔</t>
    <rPh sb="0" eb="2">
      <t>モリカワ</t>
    </rPh>
    <rPh sb="3" eb="4">
      <t>キヨシ</t>
    </rPh>
    <phoneticPr fontId="3"/>
  </si>
  <si>
    <t>E-mail</t>
  </si>
  <si>
    <t>mmds-jim@sigmath.es.osaka-u.ac.jp</t>
    <phoneticPr fontId="3"/>
  </si>
  <si>
    <t>電話番号</t>
  </si>
  <si>
    <t>06-6850-8294</t>
    <phoneticPr fontId="3"/>
  </si>
  <si>
    <t>様式２－１</t>
    <rPh sb="0" eb="2">
      <t>ヨウシキ</t>
    </rPh>
    <phoneticPr fontId="3"/>
  </si>
  <si>
    <t>学校名：</t>
    <rPh sb="0" eb="2">
      <t>ガッコウ</t>
    </rPh>
    <rPh sb="2" eb="3">
      <t>メイ</t>
    </rPh>
    <phoneticPr fontId="3"/>
  </si>
  <si>
    <t>大阪大学</t>
    <rPh sb="0" eb="4">
      <t>オオサカダイガク</t>
    </rPh>
    <phoneticPr fontId="3"/>
  </si>
  <si>
    <t>プログラムを構成する授業科目について</t>
    <phoneticPr fontId="3"/>
  </si>
  <si>
    <t>教育プログラムの修了要件</t>
    <rPh sb="8" eb="10">
      <t>シュウリョウ</t>
    </rPh>
    <phoneticPr fontId="3"/>
  </si>
  <si>
    <t>学部・学科によって、修了要件は相違する</t>
  </si>
  <si>
    <t>具体的な修了要件</t>
    <rPh sb="0" eb="3">
      <t>グタイテキ</t>
    </rPh>
    <rPh sb="4" eb="6">
      <t>シュウリョウ</t>
    </rPh>
    <rPh sb="6" eb="8">
      <t>ヨウケン</t>
    </rPh>
    <phoneticPr fontId="3"/>
  </si>
  <si>
    <t>文学部、人間科学部、外国語学部、法学部、理学部、医学部医学科、医学部保健学科、歯学部、薬学部、基礎工学部電子物理科学科、システム科学科、情報科学科並びに工学部応用自然科学科、応用理工学科、環境・エネルギー工学科、地球総合工学科に在籍する学生はプログラムを構成する科目のうち「文理融合に向けた数理科学I」（２単位）を必修とし、選択科目（下記２～10）から２単位以上、合計４単位以上を取得すること。</t>
    <rPh sb="0" eb="3">
      <t>ブンガクブ</t>
    </rPh>
    <rPh sb="4" eb="9">
      <t>ニンゲンカガクブ</t>
    </rPh>
    <rPh sb="10" eb="15">
      <t>ガイコクゴガクブ</t>
    </rPh>
    <rPh sb="16" eb="19">
      <t>ホウガクブ</t>
    </rPh>
    <rPh sb="20" eb="23">
      <t>リガクブ</t>
    </rPh>
    <rPh sb="114" eb="116">
      <t>ザイセキ</t>
    </rPh>
    <rPh sb="118" eb="120">
      <t>ガクセイ</t>
    </rPh>
    <rPh sb="127" eb="129">
      <t>コウセイ</t>
    </rPh>
    <rPh sb="131" eb="133">
      <t>カモク</t>
    </rPh>
    <rPh sb="137" eb="141">
      <t>ブンリユウゴウ</t>
    </rPh>
    <rPh sb="142" eb="143">
      <t>ム</t>
    </rPh>
    <rPh sb="145" eb="149">
      <t>スウリカガク</t>
    </rPh>
    <rPh sb="153" eb="155">
      <t>タンイ</t>
    </rPh>
    <rPh sb="157" eb="159">
      <t>ヒッシュウ</t>
    </rPh>
    <rPh sb="162" eb="164">
      <t>センタク</t>
    </rPh>
    <rPh sb="164" eb="166">
      <t>カモク</t>
    </rPh>
    <rPh sb="167" eb="169">
      <t>カキ</t>
    </rPh>
    <rPh sb="177" eb="181">
      <t>タンイイジョウ</t>
    </rPh>
    <rPh sb="182" eb="184">
      <t>ゴウケイ</t>
    </rPh>
    <rPh sb="185" eb="189">
      <t>タンイイジョウ</t>
    </rPh>
    <rPh sb="190" eb="192">
      <t>シュトク</t>
    </rPh>
    <phoneticPr fontId="3"/>
  </si>
  <si>
    <t>授業科目名称</t>
    <rPh sb="0" eb="2">
      <t>ジュギョウ</t>
    </rPh>
    <rPh sb="2" eb="4">
      <t>カモク</t>
    </rPh>
    <rPh sb="4" eb="6">
      <t>メイショウ</t>
    </rPh>
    <phoneticPr fontId="3"/>
  </si>
  <si>
    <t>文理融合に向けた数理科学I</t>
    <rPh sb="0" eb="4">
      <t>ブンリユウゴウ</t>
    </rPh>
    <rPh sb="5" eb="6">
      <t>ム</t>
    </rPh>
    <rPh sb="8" eb="12">
      <t>スウリカガク</t>
    </rPh>
    <phoneticPr fontId="3"/>
  </si>
  <si>
    <t>統計学A-I</t>
    <rPh sb="0" eb="3">
      <t>トウケイガク</t>
    </rPh>
    <phoneticPr fontId="3"/>
  </si>
  <si>
    <t>統計学B-I</t>
    <rPh sb="0" eb="3">
      <t>トウケイガク</t>
    </rPh>
    <phoneticPr fontId="3"/>
  </si>
  <si>
    <t>統計学C-I</t>
    <rPh sb="0" eb="3">
      <t>トウケイガク</t>
    </rPh>
    <phoneticPr fontId="3"/>
  </si>
  <si>
    <t>文理融合に向けた数理科学II</t>
    <rPh sb="0" eb="4">
      <t>ブンリユウゴウ</t>
    </rPh>
    <rPh sb="5" eb="6">
      <t>ム</t>
    </rPh>
    <rPh sb="8" eb="12">
      <t>スウリカガク</t>
    </rPh>
    <phoneticPr fontId="3"/>
  </si>
  <si>
    <t>データサイエンスの基礎I</t>
    <rPh sb="9" eb="11">
      <t>キソ</t>
    </rPh>
    <phoneticPr fontId="3"/>
  </si>
  <si>
    <t>コンピュータアルゴリズム入門</t>
    <rPh sb="12" eb="14">
      <t>ニュウモン</t>
    </rPh>
    <phoneticPr fontId="3"/>
  </si>
  <si>
    <t>学問への扉（ロボティクスとデータサイエンス）</t>
    <rPh sb="0" eb="2">
      <t>ガクモン</t>
    </rPh>
    <rPh sb="4" eb="5">
      <t>トビラ</t>
    </rPh>
    <phoneticPr fontId="3"/>
  </si>
  <si>
    <t>学問への扉（心理学とAI・データサイエンス）</t>
    <rPh sb="0" eb="2">
      <t>ガクモン</t>
    </rPh>
    <rPh sb="4" eb="5">
      <t>トビラ</t>
    </rPh>
    <rPh sb="6" eb="9">
      <t>シンリガク</t>
    </rPh>
    <phoneticPr fontId="3"/>
  </si>
  <si>
    <t>学問への扉（データサイエンス×ものつくり）</t>
    <rPh sb="0" eb="2">
      <t>ガクモン</t>
    </rPh>
    <rPh sb="4" eb="5">
      <t>トビラ</t>
    </rPh>
    <phoneticPr fontId="3"/>
  </si>
  <si>
    <t>様式２－２</t>
    <rPh sb="0" eb="2">
      <t>ヨウシキ</t>
    </rPh>
    <phoneticPr fontId="3"/>
  </si>
  <si>
    <t>工学部電子情報工学科、基礎工学部化学応用科学科に在籍する学生はプログラムを構成する科目のうち「文理融合に向けた数理科学I」（２単位）を必修とし、選択科目（下記２～7）から２単位以上、合計４単位以上を取得すること。</t>
    <rPh sb="0" eb="3">
      <t>コウガクブ</t>
    </rPh>
    <rPh sb="3" eb="10">
      <t>デンシジョウホウコウガッカ</t>
    </rPh>
    <rPh sb="11" eb="16">
      <t>キソコウガクブ</t>
    </rPh>
    <rPh sb="16" eb="18">
      <t>カガク</t>
    </rPh>
    <rPh sb="18" eb="20">
      <t>オウヨウ</t>
    </rPh>
    <rPh sb="20" eb="22">
      <t>カガク</t>
    </rPh>
    <rPh sb="24" eb="26">
      <t>ザイセキ</t>
    </rPh>
    <rPh sb="28" eb="30">
      <t>ガクセイ</t>
    </rPh>
    <rPh sb="37" eb="39">
      <t>コウセイ</t>
    </rPh>
    <rPh sb="41" eb="43">
      <t>カモク</t>
    </rPh>
    <rPh sb="47" eb="51">
      <t>ブンリユウゴウ</t>
    </rPh>
    <rPh sb="52" eb="53">
      <t>ム</t>
    </rPh>
    <rPh sb="55" eb="59">
      <t>スウリカガク</t>
    </rPh>
    <rPh sb="63" eb="65">
      <t>タンイ</t>
    </rPh>
    <rPh sb="67" eb="69">
      <t>ヒッシュウ</t>
    </rPh>
    <rPh sb="72" eb="74">
      <t>センタク</t>
    </rPh>
    <rPh sb="74" eb="76">
      <t>カモク</t>
    </rPh>
    <rPh sb="77" eb="79">
      <t>カキ</t>
    </rPh>
    <rPh sb="86" eb="90">
      <t>タンイイジョウ</t>
    </rPh>
    <rPh sb="91" eb="93">
      <t>ゴウケイ</t>
    </rPh>
    <rPh sb="94" eb="98">
      <t>タンイイジョウ</t>
    </rPh>
    <rPh sb="99" eb="101">
      <t>シュトク</t>
    </rPh>
    <phoneticPr fontId="3"/>
  </si>
  <si>
    <t>様式２－３</t>
    <rPh sb="0" eb="2">
      <t>ヨウシキ</t>
    </rPh>
    <phoneticPr fontId="3"/>
  </si>
  <si>
    <t>経済学部に在籍する学生はプログラムを構成する科目のうち「文理融合に向けた数理科学I」（２単位）を必修とし、選択科目（下記２～8）から２単位以上、合計４単位以上を取得すること。</t>
    <rPh sb="0" eb="4">
      <t>ケイザイガクブ</t>
    </rPh>
    <rPh sb="5" eb="7">
      <t>ザイセキ</t>
    </rPh>
    <rPh sb="9" eb="11">
      <t>ガクセイ</t>
    </rPh>
    <rPh sb="18" eb="20">
      <t>コウセイ</t>
    </rPh>
    <rPh sb="22" eb="24">
      <t>カモク</t>
    </rPh>
    <rPh sb="28" eb="32">
      <t>ブンリユウゴウ</t>
    </rPh>
    <rPh sb="33" eb="34">
      <t>ム</t>
    </rPh>
    <rPh sb="36" eb="40">
      <t>スウリカガク</t>
    </rPh>
    <rPh sb="44" eb="46">
      <t>タンイ</t>
    </rPh>
    <rPh sb="48" eb="50">
      <t>ヒッシュウ</t>
    </rPh>
    <rPh sb="53" eb="55">
      <t>センタク</t>
    </rPh>
    <rPh sb="55" eb="57">
      <t>カモク</t>
    </rPh>
    <rPh sb="58" eb="60">
      <t>カキ</t>
    </rPh>
    <rPh sb="67" eb="71">
      <t>タンイイジョウ</t>
    </rPh>
    <rPh sb="72" eb="74">
      <t>ゴウケイ</t>
    </rPh>
    <rPh sb="75" eb="79">
      <t>タンイイジョウ</t>
    </rPh>
    <rPh sb="80" eb="82">
      <t>シュトク</t>
    </rPh>
    <phoneticPr fontId="3"/>
  </si>
  <si>
    <t>統計</t>
    <rPh sb="0" eb="2">
      <t>トウケイ</t>
    </rPh>
    <phoneticPr fontId="3"/>
  </si>
  <si>
    <t>様式３</t>
    <rPh sb="0" eb="2">
      <t>ヨウシキ</t>
    </rPh>
    <phoneticPr fontId="3"/>
  </si>
  <si>
    <t>学校名：</t>
    <rPh sb="0" eb="2">
      <t>ガッコウ</t>
    </rPh>
    <phoneticPr fontId="3"/>
  </si>
  <si>
    <t>プログラムの履修者数等の実績について</t>
    <phoneticPr fontId="3"/>
  </si>
  <si>
    <t>学部・学科名称</t>
    <rPh sb="0" eb="2">
      <t>ガクブ</t>
    </rPh>
    <rPh sb="3" eb="5">
      <t>ガッカ</t>
    </rPh>
    <rPh sb="5" eb="7">
      <t>メイショウ</t>
    </rPh>
    <phoneticPr fontId="3"/>
  </si>
  <si>
    <t>収容
定員</t>
    <rPh sb="0" eb="2">
      <t>シュウヨウ</t>
    </rPh>
    <rPh sb="3" eb="5">
      <t>テイイン</t>
    </rPh>
    <phoneticPr fontId="3"/>
  </si>
  <si>
    <t>令和2年度</t>
    <rPh sb="0" eb="2">
      <t>レイワ</t>
    </rPh>
    <rPh sb="3" eb="5">
      <t>ネンド</t>
    </rPh>
    <phoneticPr fontId="3"/>
  </si>
  <si>
    <t>令和元年度</t>
    <rPh sb="0" eb="2">
      <t>レイワ</t>
    </rPh>
    <rPh sb="2" eb="3">
      <t>ゲン</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</si>
  <si>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</si>
  <si>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</si>
  <si>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</si>
  <si>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平成27年度</t>
    <rPh sb="0" eb="2">
      <t>ヘイセイ</t>
    </rPh>
    <rPh sb="4" eb="6">
      <t>ネンド</t>
    </rPh>
    <phoneticPr fontId="3"/>
  </si>
  <si>
    <t>履修者数
合計</t>
    <rPh sb="0" eb="2">
      <t>リシュウ</t>
    </rPh>
    <rPh sb="2" eb="3">
      <t>シャ</t>
    </rPh>
    <rPh sb="3" eb="4">
      <t>スウ</t>
    </rPh>
    <rPh sb="5" eb="7">
      <t>ゴウケイ</t>
    </rPh>
    <phoneticPr fontId="3"/>
  </si>
  <si>
    <t>履修率</t>
    <rPh sb="0" eb="2">
      <t>リシュウ</t>
    </rPh>
    <rPh sb="2" eb="3">
      <t>リツ</t>
    </rPh>
    <phoneticPr fontId="3"/>
  </si>
  <si>
    <t>履修者数</t>
    <rPh sb="0" eb="2">
      <t>リシュウ</t>
    </rPh>
    <rPh sb="2" eb="3">
      <t>シャ</t>
    </rPh>
    <rPh sb="3" eb="4">
      <t>スウ</t>
    </rPh>
    <phoneticPr fontId="3"/>
  </si>
  <si>
    <t>修了者数</t>
    <rPh sb="0" eb="3">
      <t>シュウリョウシャ</t>
    </rPh>
    <rPh sb="3" eb="4">
      <t>スウ</t>
    </rPh>
    <phoneticPr fontId="3"/>
  </si>
  <si>
    <t>文学部（人文科学）</t>
    <rPh sb="4" eb="8">
      <t>ジンブンカガク</t>
    </rPh>
    <phoneticPr fontId="3"/>
  </si>
  <si>
    <t>人間科学部（人文科学）</t>
    <rPh sb="6" eb="10">
      <t>ジンブンカガク</t>
    </rPh>
    <phoneticPr fontId="3"/>
  </si>
  <si>
    <t>外国語学部（人文科学）</t>
    <rPh sb="6" eb="10">
      <t>ジンブンカガク</t>
    </rPh>
    <phoneticPr fontId="3"/>
  </si>
  <si>
    <t>法学部（社会科学）</t>
    <rPh sb="4" eb="8">
      <t>シャカイカガク</t>
    </rPh>
    <phoneticPr fontId="3"/>
  </si>
  <si>
    <t>経済学部（社会科学）</t>
    <rPh sb="5" eb="9">
      <t>シャカイカガク</t>
    </rPh>
    <phoneticPr fontId="3"/>
  </si>
  <si>
    <t>理学部（理学）</t>
    <rPh sb="4" eb="6">
      <t>リガク</t>
    </rPh>
    <phoneticPr fontId="3"/>
  </si>
  <si>
    <t>医学部医学科（保健）</t>
    <rPh sb="3" eb="6">
      <t>イガッカ</t>
    </rPh>
    <rPh sb="7" eb="9">
      <t>ホケン</t>
    </rPh>
    <phoneticPr fontId="3"/>
  </si>
  <si>
    <t>医学部保健学科（保健）</t>
    <rPh sb="3" eb="7">
      <t>ホケンガッカ</t>
    </rPh>
    <rPh sb="8" eb="10">
      <t>ホケン</t>
    </rPh>
    <phoneticPr fontId="3"/>
  </si>
  <si>
    <t>歯学部（保健）</t>
    <rPh sb="4" eb="6">
      <t>ホケン</t>
    </rPh>
    <phoneticPr fontId="3"/>
  </si>
  <si>
    <t>薬学部薬学科（保健）</t>
    <rPh sb="3" eb="6">
      <t>ヤクガッカ</t>
    </rPh>
    <rPh sb="7" eb="9">
      <t>ホケン</t>
    </rPh>
    <phoneticPr fontId="3"/>
  </si>
  <si>
    <t>薬学部薬科学科（保健）</t>
    <rPh sb="3" eb="7">
      <t>ヤッカガッカ</t>
    </rPh>
    <rPh sb="8" eb="10">
      <t>ホケン</t>
    </rPh>
    <phoneticPr fontId="3"/>
  </si>
  <si>
    <t>工学部（工学）</t>
    <rPh sb="4" eb="6">
      <t>コウガク</t>
    </rPh>
    <phoneticPr fontId="3"/>
  </si>
  <si>
    <t>基礎工学部（工学）</t>
    <rPh sb="6" eb="8">
      <t>コウガク</t>
    </rPh>
    <phoneticPr fontId="3"/>
  </si>
  <si>
    <t>合　計</t>
    <phoneticPr fontId="3"/>
  </si>
  <si>
    <t>様式４－１</t>
    <rPh sb="0" eb="2">
      <t>ヨウシキ</t>
    </rPh>
    <phoneticPr fontId="3"/>
  </si>
  <si>
    <t>プログラムの授業内容・概要</t>
    <rPh sb="6" eb="8">
      <t>ジュギョウ</t>
    </rPh>
    <rPh sb="8" eb="10">
      <t>ナイヨウ</t>
    </rPh>
    <rPh sb="11" eb="13">
      <t>ガイヨウ</t>
    </rPh>
    <phoneticPr fontId="3"/>
  </si>
  <si>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3"/>
  </si>
  <si>
    <t>授業に含まれている内容・要素</t>
    <rPh sb="0" eb="2">
      <t>ジュギョウ</t>
    </rPh>
    <rPh sb="3" eb="4">
      <t>フク</t>
    </rPh>
    <rPh sb="9" eb="11">
      <t>ナイヨウ</t>
    </rPh>
    <rPh sb="12" eb="14">
      <t>ヨウソ</t>
    </rPh>
    <phoneticPr fontId="3"/>
  </si>
  <si>
    <t>授業概要</t>
    <rPh sb="0" eb="2">
      <t>ジュギョウ</t>
    </rPh>
    <rPh sb="2" eb="4">
      <t>ガイヨウ</t>
    </rPh>
    <phoneticPr fontId="3"/>
  </si>
  <si>
    <t>（１）現在進行中の社会変化（第４次産業革命、Society 5.0、データ駆動型社会等）に深く寄与しているものであり、それが自らの生活と密接に結びついている
※モデルカリキュラム導入１－１、導入１－６が該当</t>
    <phoneticPr fontId="3"/>
  </si>
  <si>
    <t>第4次産業革命によって加速していく社会のデジタル化の現況とSociety5.0の実現によるデータ駆動型社会への構造変革、およびその中でデータ・AIが果たす役割について学ぶ。　また、ビッグデータを利活用するためのデータサイエンス技術により新たなビジネスやそれに付随する新たな価値・サービスが創出されている現況について、日常生活で享受している事例を通して理解する。　さらに、ビッグデータとともに計算機の処理性能の向上を基盤として進化し続けているAI技術について、その利活用の具体例とともに、今後の社会生活をどのように変えていくことになるのかを確認演習を交えて学ぶ。</t>
    <rPh sb="269" eb="273">
      <t>カクニンエンシュウ</t>
    </rPh>
    <rPh sb="274" eb="275">
      <t>マジ</t>
    </rPh>
    <phoneticPr fontId="3"/>
  </si>
  <si>
    <t>授業科目名称</t>
    <rPh sb="0" eb="2">
      <t>ジュギョウ</t>
    </rPh>
    <rPh sb="2" eb="6">
      <t>カモクメイショウ</t>
    </rPh>
    <phoneticPr fontId="3"/>
  </si>
  <si>
    <t>講義テーマ</t>
    <rPh sb="0" eb="2">
      <t>コウギ</t>
    </rPh>
    <phoneticPr fontId="3"/>
  </si>
  <si>
    <t>文理融合に向けた数理科学I</t>
    <rPh sb="0" eb="2">
      <t>ブンリ</t>
    </rPh>
    <rPh sb="2" eb="4">
      <t>ユウゴウ</t>
    </rPh>
    <rPh sb="5" eb="6">
      <t>ムケタ</t>
    </rPh>
    <rPh sb="8" eb="12">
      <t>スウ</t>
    </rPh>
    <phoneticPr fontId="3"/>
  </si>
  <si>
    <t>社会で起きている変化、データ・AII利活用の最動向（1）</t>
    <rPh sb="0" eb="2">
      <t>シャカイ</t>
    </rPh>
    <rPh sb="3" eb="4">
      <t>オキテ</t>
    </rPh>
    <rPh sb="8" eb="10">
      <t>ヘンカ</t>
    </rPh>
    <rPh sb="18" eb="21">
      <t>リカツヨウ</t>
    </rPh>
    <rPh sb="22" eb="23">
      <t>サイシn</t>
    </rPh>
    <rPh sb="23" eb="25">
      <t xml:space="preserve">ドウコウ </t>
    </rPh>
    <phoneticPr fontId="3"/>
  </si>
  <si>
    <t>データサイエンスの基礎I</t>
    <rPh sb="3" eb="5">
      <t>サイエンスノ</t>
    </rPh>
    <rPh sb="9" eb="10">
      <t>キソ</t>
    </rPh>
    <phoneticPr fontId="3"/>
  </si>
  <si>
    <t>実社会でのデータサイエンスの事例(1)</t>
    <rPh sb="0" eb="3">
      <t>ジッセィア</t>
    </rPh>
    <rPh sb="14" eb="16">
      <t>ジレイ</t>
    </rPh>
    <phoneticPr fontId="3"/>
  </si>
  <si>
    <t>（２）「社会で活用されているデータ」や「データの活用領域」は非常に広範囲であって、日常生活や社会の課題を解決する有用なツールになり得るもの
※モデルカリキュラム導入１－２、導入１－３が該当</t>
    <phoneticPr fontId="3"/>
  </si>
  <si>
    <r>
      <t>現在利用されているビッグデータの代表例として、政府統計ポータルのe-Statから入手することのできる調査データおよびセンシング・ネットワーク技術に基づくIoTデータを取り上げ、どのようなデータが取集され、それらが国・自治体・民間でどのような用途に活用されているかを理解する。　そしてこれらのデータの比較を通して構造化データと非構造化データの違いを理解し、画像・音声・テキストデータ等の非構造化データに対する適切な処理手法について学ぶ。　さらに、データ・AIによる課題解決の実例として、購入データと推薦システム、ビッグデータによるスポーツ解析、およびSNSデータと感染病予測</t>
    </r>
    <r>
      <rPr>
        <sz val="12"/>
        <color theme="1"/>
        <rFont val="ＭＳ Ｐゴシック"/>
        <family val="3"/>
        <charset val="128"/>
      </rPr>
      <t>等</t>
    </r>
    <r>
      <rPr>
        <sz val="12"/>
        <color theme="1"/>
        <rFont val="ＭＳ Ｐゴシック"/>
        <family val="3"/>
        <charset val="128"/>
        <scheme val="minor"/>
      </rPr>
      <t>についてプレゼン実習を含めて学ぶ。</t>
    </r>
    <rPh sb="286" eb="287">
      <t xml:space="preserve">トウ </t>
    </rPh>
    <rPh sb="295" eb="297">
      <t>ジッシュウ</t>
    </rPh>
    <rPh sb="298" eb="299">
      <t>フク</t>
    </rPh>
    <phoneticPr fontId="3"/>
  </si>
  <si>
    <t>社会で活用されているデータ、データ・AIの活用領域（2）</t>
    <rPh sb="0" eb="1">
      <t>シャカイ</t>
    </rPh>
    <rPh sb="3" eb="5">
      <t>カツヨウ</t>
    </rPh>
    <rPh sb="21" eb="23">
      <t>カツヨウ</t>
    </rPh>
    <rPh sb="23" eb="25">
      <t>リョウイキ</t>
    </rPh>
    <phoneticPr fontId="3"/>
  </si>
  <si>
    <t>データの扱いの基礎 (2)</t>
    <rPh sb="4" eb="5">
      <t>アツカイ</t>
    </rPh>
    <rPh sb="7" eb="9">
      <t>キソ</t>
    </rPh>
    <phoneticPr fontId="3"/>
  </si>
  <si>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3"/>
  </si>
  <si>
    <t>データ・AI利活用の現場の事例として、マーケティング・製造・物流・スポーツを取り上げ、各事例においてどのような価値が創出されているかを知り、価値創出においてデータサイエンスのPPDACサイクルがどのように機能しているかを学ぶ。　また、データ解析・可視化および機械学習の基礎を学び、AI技術と意思決定，ロボティックスとAIの最新技術およびAIと医療・臨床現場への応用技術について理解する。　さらに、学生自らが社会で使われているデータ・AI技術の具体例の調査とプレゼンテーションを行い、データ・AIへの関心を高めるとともに技術内容への理解を深め、 プレゼン実習する。</t>
    <rPh sb="276" eb="278">
      <t>ジッシュウ</t>
    </rPh>
    <phoneticPr fontId="3"/>
  </si>
  <si>
    <t>データ利活用の現場・社会で使われているデータ・AIの活用領域の調査（3〜4、6）</t>
    <rPh sb="3" eb="6">
      <t>リカツヨウ</t>
    </rPh>
    <rPh sb="7" eb="9">
      <t>ゲンバ</t>
    </rPh>
    <rPh sb="10" eb="12">
      <t>シャカイ</t>
    </rPh>
    <rPh sb="13" eb="14">
      <t>ツカワレ</t>
    </rPh>
    <rPh sb="26" eb="30">
      <t>カツヨウ</t>
    </rPh>
    <rPh sb="31" eb="33">
      <t>チョウサ</t>
    </rPh>
    <phoneticPr fontId="3"/>
  </si>
  <si>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3"/>
  </si>
  <si>
    <t>データ・AIを利活用する上で知っておくべき倫理的・法的・社会的課題について学ぶ。　データについてはその流通と利活用に一定のリスクがあり、適切な管理体制がなければ容易に不正利用されプライバシー侵害等の問題が発生することを理解する。　そして個人情報保護に関する欧州の取り組みであるEU一般データ保護規則や本邦の取り組みの改正個人情報保護法について学ぶ。　AIの活用については、学習におけるデータの選定において、人種・性別・イデオロギーのバイアスが含まれる場合があり、そのように開発されたAIが現実に問題を引き起こしていることを学ぶ。　さらに、内外のAIに関わる倫理的指針、特に本邦で提唱されたAI社会原則を通して、データ・AIの利活用における倫理的課題を理解し、 確認演習を行う。</t>
    <rPh sb="330" eb="334">
      <t>カクニンエンシュウ</t>
    </rPh>
    <rPh sb="335" eb="336">
      <t>オコナ</t>
    </rPh>
    <phoneticPr fontId="3"/>
  </si>
  <si>
    <t>データ・AIを扱う上での留意事項、データを守る上での留意事項（5）</t>
    <rPh sb="7" eb="8">
      <t>アツカウ</t>
    </rPh>
    <rPh sb="9" eb="10">
      <t>ウエ</t>
    </rPh>
    <rPh sb="12" eb="16">
      <t>リュウ</t>
    </rPh>
    <rPh sb="21" eb="22">
      <t>マモル</t>
    </rPh>
    <rPh sb="23" eb="24">
      <t>ウエ</t>
    </rPh>
    <rPh sb="26" eb="28">
      <t>リュウ</t>
    </rPh>
    <rPh sb="28" eb="30">
      <t>ジコウ</t>
    </rPh>
    <phoneticPr fontId="3"/>
  </si>
  <si>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3"/>
  </si>
  <si>
    <t>政府統計の国勢調査や家計調査を題材として、データの特徴と表現手法および基本的な解析手法を学ぶ。　「データを読む」ことに関しては、データの種類，分布と代表値、データのばらつきおよび観測データにおける誤差の扱いについて演習を通して理解する。　「データを説明する」ことに関しては、様々な図表表現の特徴と利用法について学び、不適切なグラフ表現の実例を通して適切なデータ可視化の重要性を理解する。　「データを扱う」ことに関しては、表計算ソフトを用いた演習を通して、表形式データの基本的な集計・加工について学ぶ。さらに様々なデータの図表表現についても演習を行い、不適切な誇張表現がどのように生成されるかを理解することで、統計情報を正しく理解する素養を養いグループディスカッションする。</t>
    <phoneticPr fontId="3"/>
  </si>
  <si>
    <t>データを読む・データを説明する・データを扱う（8〜10）</t>
    <rPh sb="0" eb="3">
      <t>データヲ</t>
    </rPh>
    <rPh sb="4" eb="5">
      <t>ヨム</t>
    </rPh>
    <rPh sb="11" eb="13">
      <t>セツメイ</t>
    </rPh>
    <rPh sb="20" eb="21">
      <t>アツカウ</t>
    </rPh>
    <phoneticPr fontId="3"/>
  </si>
  <si>
    <t>確率統計の基礎・質的データの分析 (3, 8)</t>
    <rPh sb="0" eb="2">
      <t>カクリテゥ</t>
    </rPh>
    <rPh sb="2" eb="4">
      <t>トウケイ</t>
    </rPh>
    <rPh sb="5" eb="7">
      <t>キソ</t>
    </rPh>
    <rPh sb="8" eb="10">
      <t>シツテキ</t>
    </rPh>
    <rPh sb="14" eb="16">
      <t>ブンセキ</t>
    </rPh>
    <phoneticPr fontId="3"/>
  </si>
  <si>
    <t>統計学A-I</t>
    <rPh sb="0" eb="3">
      <t>トウケイ</t>
    </rPh>
    <phoneticPr fontId="3"/>
  </si>
  <si>
    <t>データからの情報抽出：視覚化と記述 (5〜11)</t>
    <rPh sb="6" eb="8">
      <t>ジョウホウ</t>
    </rPh>
    <rPh sb="8" eb="10">
      <t>チュウシュテゥ</t>
    </rPh>
    <rPh sb="11" eb="14">
      <t>シカク</t>
    </rPh>
    <rPh sb="15" eb="17">
      <t>キジュテゥ</t>
    </rPh>
    <phoneticPr fontId="3"/>
  </si>
  <si>
    <t>統計学B-I</t>
    <rPh sb="0" eb="3">
      <t>トウケイ</t>
    </rPh>
    <phoneticPr fontId="3"/>
  </si>
  <si>
    <t>データと記述統計 (2～6)</t>
    <rPh sb="4" eb="6">
      <t>キジュテゥ</t>
    </rPh>
    <rPh sb="6" eb="8">
      <t>トウケイ</t>
    </rPh>
    <phoneticPr fontId="3"/>
  </si>
  <si>
    <t>統計学C-I</t>
    <rPh sb="0" eb="3">
      <t>トウケイ</t>
    </rPh>
    <phoneticPr fontId="3"/>
  </si>
  <si>
    <t>データの記述 (2～４)</t>
    <rPh sb="4" eb="6">
      <t>キジュテゥ</t>
    </rPh>
    <phoneticPr fontId="3"/>
  </si>
  <si>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3"/>
  </si>
  <si>
    <t>統計及び数理基礎</t>
    <rPh sb="0" eb="2">
      <t>トウケイ</t>
    </rPh>
    <rPh sb="2" eb="3">
      <t>オヨ</t>
    </rPh>
    <rPh sb="4" eb="6">
      <t>スウリ</t>
    </rPh>
    <rPh sb="6" eb="8">
      <t>キソ</t>
    </rPh>
    <phoneticPr fontId="3"/>
  </si>
  <si>
    <r>
      <t>文理融合に向けた数理科学I、文理融合に向けた数理科学II、データサイエンスの基礎I，</t>
    </r>
    <r>
      <rPr>
        <sz val="12"/>
        <rFont val="ＭＳ Ｐゴシック"/>
        <family val="3"/>
        <charset val="128"/>
      </rPr>
      <t>統計学A-I、統計学B-I、統計学C-I</t>
    </r>
    <rPh sb="14" eb="17">
      <t>トウケイグ</t>
    </rPh>
    <rPh sb="35" eb="38">
      <t>トウケイガク</t>
    </rPh>
    <rPh sb="42" eb="45">
      <t>トウケイガクガクトビラシンリガk</t>
    </rPh>
    <phoneticPr fontId="3"/>
  </si>
  <si>
    <t>アルゴリズム基礎</t>
    <rPh sb="6" eb="8">
      <t>キソ</t>
    </rPh>
    <phoneticPr fontId="3"/>
  </si>
  <si>
    <t>文理融合に向けた数理科学I、文理融合に向けた数理科学II、コンピュータアルゴリズム入門</t>
    <phoneticPr fontId="3"/>
  </si>
  <si>
    <t>データ構造とプログラミング基礎</t>
    <rPh sb="3" eb="5">
      <t>コウゾウ</t>
    </rPh>
    <rPh sb="13" eb="15">
      <t>キソ</t>
    </rPh>
    <phoneticPr fontId="3"/>
  </si>
  <si>
    <t>文理融合に向けた数理科学II、コンピュータアルゴリズム入門</t>
    <rPh sb="12" eb="14">
      <t>ニュウモn</t>
    </rPh>
    <phoneticPr fontId="3"/>
  </si>
  <si>
    <t>時系列データ解析</t>
    <rPh sb="0" eb="3">
      <t>ジケイレツ</t>
    </rPh>
    <rPh sb="6" eb="8">
      <t>カイセキ</t>
    </rPh>
    <phoneticPr fontId="3"/>
  </si>
  <si>
    <t>文理融合に向けた数理科学II</t>
    <rPh sb="0" eb="14">
      <t>ガクトビラ</t>
    </rPh>
    <phoneticPr fontId="3"/>
  </si>
  <si>
    <t>テキスト解析</t>
    <rPh sb="4" eb="6">
      <t>カイセキ</t>
    </rPh>
    <phoneticPr fontId="3"/>
  </si>
  <si>
    <t>文理融合に向けた数理科学II</t>
    <phoneticPr fontId="3"/>
  </si>
  <si>
    <t>画像解析</t>
    <rPh sb="0" eb="2">
      <t>ガゾウ</t>
    </rPh>
    <rPh sb="2" eb="4">
      <t>カイセキ</t>
    </rPh>
    <phoneticPr fontId="3"/>
  </si>
  <si>
    <t>データハンドリング</t>
    <phoneticPr fontId="3"/>
  </si>
  <si>
    <r>
      <t>文理融合に向けた数理科学II、データサイエンスの基礎I、</t>
    </r>
    <r>
      <rPr>
        <sz val="12"/>
        <rFont val="ＭＳ Ｐゴシック"/>
        <family val="3"/>
        <charset val="128"/>
      </rPr>
      <t>統計学A-I、統計学B-I、統計学C-I</t>
    </r>
    <rPh sb="9" eb="11">
      <t>キソ</t>
    </rPh>
    <rPh sb="20" eb="23">
      <t>トウケイガク</t>
    </rPh>
    <rPh sb="27" eb="30">
      <t>トウケイガク</t>
    </rPh>
    <phoneticPr fontId="3"/>
  </si>
  <si>
    <t>データ活用実践（教師あり学習）</t>
    <rPh sb="3" eb="5">
      <t>カツヨウ</t>
    </rPh>
    <rPh sb="5" eb="7">
      <t>ジッセン</t>
    </rPh>
    <rPh sb="8" eb="10">
      <t>キョウシ</t>
    </rPh>
    <rPh sb="12" eb="14">
      <t>ガクシュウ</t>
    </rPh>
    <phoneticPr fontId="3"/>
  </si>
  <si>
    <t>文理融合に向けた数理科学II、データサイエンスの基礎I</t>
    <phoneticPr fontId="3"/>
  </si>
  <si>
    <t>その他</t>
    <rPh sb="2" eb="3">
      <t>タ</t>
    </rPh>
    <phoneticPr fontId="3"/>
  </si>
  <si>
    <t>文理融合に向けた数理科学II、学問への扉（ロボティクスとデータサイエンス）、学問への扉（心理学とAI・データサイエンス）、学問への扉（データサイエンス×ものつくり）</t>
    <phoneticPr fontId="3"/>
  </si>
  <si>
    <t>プログラムの授業内容等を公表しているアドレス</t>
    <rPh sb="6" eb="8">
      <t>ジュギョウ</t>
    </rPh>
    <rPh sb="8" eb="10">
      <t>ナイヨウ</t>
    </rPh>
    <rPh sb="10" eb="11">
      <t>トウ</t>
    </rPh>
    <rPh sb="12" eb="14">
      <t>コウヒョウ</t>
    </rPh>
    <phoneticPr fontId="3"/>
  </si>
  <si>
    <t>http://www-mmds.sigmath.es.osaka-u.ac.jp/
http://www-mmds.sigmath.es.osaka-u.ac.jp/structure/literacy.html</t>
    <phoneticPr fontId="3"/>
  </si>
  <si>
    <t>プログラムの学修成果（学生等が身に付けられる能力等）</t>
  </si>
  <si>
    <t>数理・データサイエンス・AIの基礎的素養の習得を通して、文系の学生は実社会の問題解決に数理的思考・手法が有効であることを学び，理系的な発想を加えてデータ・AIを日常生活や仕事等で活用できる能力を身に付ける。また、理系の学生はデータ・AIを取り巻く社会的課題を理解し、文系の感性をもって数理的手法を駆使したデータ・AIの利活用を実践できる能力を身に着ける。さらに、全ての学生がAI技術をその可能性と限界を踏まえた上で正しく理解できるようになり、統計情報を正しく解釈できるデータリテラシーを身に付ける。</t>
    <phoneticPr fontId="3"/>
  </si>
  <si>
    <t>様式４－２</t>
    <rPh sb="0" eb="2">
      <t>ヨウシキ</t>
    </rPh>
    <phoneticPr fontId="3"/>
  </si>
  <si>
    <r>
      <t>現在利用されているビッグデータの代表例として、政府統計ポータルのe-Statから入手することのできる調査データおよびセンシング・ネットワーク技術に基づくIoTデータを取り上げ、どのようなデータが取集され、それらが国・自治体・民間でどのような用途に活用されているかを理解する。　そしてこれらのデータの比較を通して構造化データと非構造化データの違いを理解し、画像・音声・テキストデータ等の非構造化データに対する適切な処理手法について学ぶ。　さらに、データ・AIによる課題解決の実例として、購入データと推薦システム、ビッグデータによるスポーツ解析、およびSNSデータと感染病予測</t>
    </r>
    <r>
      <rPr>
        <sz val="12"/>
        <color theme="1"/>
        <rFont val="ＭＳ Ｐゴシック"/>
        <family val="3"/>
        <charset val="128"/>
      </rPr>
      <t>等</t>
    </r>
    <r>
      <rPr>
        <sz val="12"/>
        <color theme="1"/>
        <rFont val="ＭＳ Ｐゴシック"/>
        <family val="3"/>
        <charset val="128"/>
        <scheme val="minor"/>
      </rPr>
      <t>についてプレゼン実習を含めて学ぶ。</t>
    </r>
    <rPh sb="294" eb="296">
      <t>ジッシュウ</t>
    </rPh>
    <rPh sb="297" eb="298">
      <t>フク</t>
    </rPh>
    <phoneticPr fontId="3"/>
  </si>
  <si>
    <r>
      <t>文理融合に向けた数理科学I、文理融合に向けた数理科学II、データサイエンスの基礎I，</t>
    </r>
    <r>
      <rPr>
        <sz val="12"/>
        <color theme="1"/>
        <rFont val="ＭＳ Ｐゴシック"/>
        <family val="2"/>
        <charset val="128"/>
        <scheme val="minor"/>
      </rPr>
      <t>学問への扉（心理学とAI・データサイエンス）</t>
    </r>
    <rPh sb="14" eb="17">
      <t>トウケイグ</t>
    </rPh>
    <rPh sb="27" eb="29">
      <t>ガク</t>
    </rPh>
    <rPh sb="31" eb="32">
      <t>トビラ</t>
    </rPh>
    <rPh sb="33" eb="36">
      <t>シンリガk</t>
    </rPh>
    <phoneticPr fontId="3"/>
  </si>
  <si>
    <t>文理融合に向けた数理科学II、学問への扉（ロボティクスとデータサイエンス）</t>
    <rPh sb="15" eb="17">
      <t>ガク</t>
    </rPh>
    <rPh sb="19" eb="20">
      <t>トビラ</t>
    </rPh>
    <phoneticPr fontId="3"/>
  </si>
  <si>
    <r>
      <t>文理融合に向けた数理科学II、データサイエンスの基礎I、</t>
    </r>
    <r>
      <rPr>
        <sz val="12"/>
        <color theme="1"/>
        <rFont val="ＭＳ Ｐゴシック"/>
        <family val="2"/>
        <charset val="128"/>
        <scheme val="minor"/>
      </rPr>
      <t>学問への扉（データサイエンス×ものつくり）</t>
    </r>
    <rPh sb="9" eb="11">
      <t>キソ</t>
    </rPh>
    <phoneticPr fontId="3"/>
  </si>
  <si>
    <t>文理融合に向けた数理科学II、学問への扉（ロボティックスとデータサイエンス）、学問への扉（心理学とAI・データサイエンス）、学問への扉（データサイエンス×ものつくり）</t>
    <phoneticPr fontId="3"/>
  </si>
  <si>
    <t>様式４－３</t>
    <rPh sb="0" eb="2">
      <t>ヨウシキ</t>
    </rPh>
    <phoneticPr fontId="3"/>
  </si>
  <si>
    <t>統計</t>
    <rPh sb="0" eb="1">
      <t>トウケイ</t>
    </rPh>
    <phoneticPr fontId="3"/>
  </si>
  <si>
    <t>測る：不平等度・物価指数・景気指数 (3)</t>
    <rPh sb="0" eb="1">
      <t>ハカル</t>
    </rPh>
    <rPh sb="3" eb="6">
      <t xml:space="preserve">フビョウド </t>
    </rPh>
    <rPh sb="6" eb="7">
      <t>d</t>
    </rPh>
    <rPh sb="8" eb="10">
      <t xml:space="preserve">ブッカ </t>
    </rPh>
    <rPh sb="10" eb="12">
      <t xml:space="preserve">シスウ </t>
    </rPh>
    <rPh sb="13" eb="15">
      <t>ケイキ</t>
    </rPh>
    <rPh sb="15" eb="17">
      <t>シスウ</t>
    </rPh>
    <phoneticPr fontId="3"/>
  </si>
  <si>
    <t>データの整理 (2)</t>
    <rPh sb="0" eb="1">
      <t>データノ</t>
    </rPh>
    <rPh sb="4" eb="6">
      <t>セイリ</t>
    </rPh>
    <phoneticPr fontId="3"/>
  </si>
  <si>
    <t>文理融合に向けた数理科学I、文理融合に向けた数理科学II、データサイエンスの基礎I，統計</t>
    <rPh sb="14" eb="17">
      <t>トウケイグ</t>
    </rPh>
    <rPh sb="27" eb="29">
      <t>トウケイ</t>
    </rPh>
    <phoneticPr fontId="3"/>
  </si>
  <si>
    <t>文理融合に向けた数理科学II、データサイエンスの基礎I、統計</t>
    <rPh sb="9" eb="11">
      <t>キソ</t>
    </rPh>
    <phoneticPr fontId="3"/>
  </si>
  <si>
    <t>様式５</t>
    <rPh sb="0" eb="2">
      <t>ヨウシキ</t>
    </rPh>
    <phoneticPr fontId="3"/>
  </si>
  <si>
    <t>学校名</t>
    <rPh sb="0" eb="3">
      <t>ガッコウメイ</t>
    </rPh>
    <phoneticPr fontId="3"/>
  </si>
  <si>
    <t>：</t>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</si>
  <si>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</si>
  <si>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プログラムを改善・進化させるための体制を定める規則名称</t>
    <phoneticPr fontId="3"/>
  </si>
  <si>
    <t>大阪大学数理・データ科学教育研究センター規程</t>
    <phoneticPr fontId="3"/>
  </si>
  <si>
    <t>体制の目的</t>
    <rPh sb="0" eb="2">
      <t>タイセイ</t>
    </rPh>
    <rPh sb="3" eb="5">
      <t>モクテキ</t>
    </rPh>
    <phoneticPr fontId="3"/>
  </si>
  <si>
    <t xml:space="preserve">本センターは学内共同教育研究施設として, 学内外の組織及び研究者と連携することにより数理・データ科学技術に精通した金融・保険数理、数理モデル及びデータ科学分野の研究者及び実務家の養成を図り, 当該学際融合分野の研究交流を推進するとともに, 全学を対象とした学部教育を提供し, もって数理・データ科学に係る教育強化を実現することを目的として設置されている. 
</t>
    <rPh sb="0" eb="1">
      <t>ホン</t>
    </rPh>
    <rPh sb="169" eb="171">
      <t>セッチ</t>
    </rPh>
    <phoneticPr fontId="3"/>
  </si>
  <si>
    <t>具体的な構成員</t>
    <rPh sb="0" eb="3">
      <t>グタイテキ</t>
    </rPh>
    <rPh sb="4" eb="7">
      <t>コウセイイン</t>
    </rPh>
    <phoneticPr fontId="3"/>
  </si>
  <si>
    <t xml:space="preserve">数理・データ科学教育研究センター長（基礎工学研究科教授）　関根　順
数理・データ科学教育研究センター副センター長　特任教授　鈴木　貴
数理・データ科学教育研究センター副センター長　基礎工学研究科　教授　狩野　裕
数理・データ科学教育研究センター副センター長、金融・保険部門長　経済学研究科　准教授　竹内 惠行
数理・データ科学教育研究センターモデリング部門長　基礎工学研究科　教授　石渡 通徳
数理・データ科学教育研究センターデータ科学部門長　基礎工学研究科　教授　内田　雅之
数理・データ科学教育研究センター数理科学ユニット長　准教授　中澤　嵩
数理・データ科学教育研究センターデータ科学ユニット長　特任教授　髙野　渉
他　専任教員　３名
特任教員　11名
兼任教員　63名
</t>
    <rPh sb="0" eb="2">
      <t>スウリ</t>
    </rPh>
    <rPh sb="6" eb="12">
      <t>カガクキョウイクケンキュウ</t>
    </rPh>
    <rPh sb="16" eb="17">
      <t>チョウ</t>
    </rPh>
    <rPh sb="29" eb="31">
      <t>セキネ</t>
    </rPh>
    <rPh sb="32" eb="33">
      <t>ジュン</t>
    </rPh>
    <rPh sb="50" eb="51">
      <t>フク</t>
    </rPh>
    <rPh sb="55" eb="56">
      <t>チョウ</t>
    </rPh>
    <rPh sb="57" eb="61">
      <t>トクニンキョウジュ</t>
    </rPh>
    <rPh sb="62" eb="64">
      <t>スズキ</t>
    </rPh>
    <rPh sb="65" eb="66">
      <t>タカシ</t>
    </rPh>
    <rPh sb="83" eb="84">
      <t>フク</t>
    </rPh>
    <rPh sb="88" eb="89">
      <t>チョウ</t>
    </rPh>
    <rPh sb="98" eb="100">
      <t>キョウジュ</t>
    </rPh>
    <rPh sb="101" eb="103">
      <t>カノウ</t>
    </rPh>
    <rPh sb="104" eb="105">
      <t>ユタカ</t>
    </rPh>
    <rPh sb="122" eb="123">
      <t>フク</t>
    </rPh>
    <rPh sb="127" eb="128">
      <t>チョウ</t>
    </rPh>
    <rPh sb="129" eb="131">
      <t>キンユウ</t>
    </rPh>
    <rPh sb="132" eb="134">
      <t>ホケン</t>
    </rPh>
    <rPh sb="134" eb="137">
      <t>ブモンチョウ</t>
    </rPh>
    <rPh sb="138" eb="144">
      <t>ケイザイガクケンキュウカ</t>
    </rPh>
    <rPh sb="145" eb="148">
      <t>ジュンキョウジュ</t>
    </rPh>
    <rPh sb="180" eb="187">
      <t>キソコウガクケンキュウカ</t>
    </rPh>
    <rPh sb="188" eb="190">
      <t>キョウジュ</t>
    </rPh>
    <rPh sb="191" eb="193">
      <t>イシワタ</t>
    </rPh>
    <rPh sb="216" eb="221">
      <t>カガクブモンチョウ</t>
    </rPh>
    <rPh sb="222" eb="229">
      <t>キソコウガクケンキュウカ</t>
    </rPh>
    <rPh sb="230" eb="232">
      <t>キョウジュ</t>
    </rPh>
    <rPh sb="233" eb="235">
      <t>ウチダ</t>
    </rPh>
    <rPh sb="255" eb="259">
      <t>スウリカガク</t>
    </rPh>
    <rPh sb="263" eb="264">
      <t>チョウ</t>
    </rPh>
    <rPh sb="265" eb="268">
      <t>ジュンキョウジュ</t>
    </rPh>
    <rPh sb="272" eb="273">
      <t>タカシ</t>
    </rPh>
    <rPh sb="311" eb="312">
      <t>ホカ</t>
    </rPh>
    <rPh sb="313" eb="317">
      <t>センニンキョウイン</t>
    </rPh>
    <rPh sb="319" eb="320">
      <t>メイ</t>
    </rPh>
    <rPh sb="321" eb="325">
      <t>トクニンキョウイン</t>
    </rPh>
    <rPh sb="328" eb="329">
      <t>メイ</t>
    </rPh>
    <rPh sb="330" eb="334">
      <t>ケンニンキョウイン</t>
    </rPh>
    <rPh sb="337" eb="338">
      <t>メイ</t>
    </rPh>
    <phoneticPr fontId="3"/>
  </si>
  <si>
    <t>履修者数・履修率の向上に向けた計画</t>
    <rPh sb="5" eb="7">
      <t>リシュウ</t>
    </rPh>
    <rPh sb="7" eb="8">
      <t>リツ</t>
    </rPh>
    <phoneticPr fontId="3"/>
  </si>
  <si>
    <r>
      <t>各年度の履修者数の目標を以下のとおりとする。（（　）内は履修率）
令和３年度　4,129名　（30％）
令和４年度　5,506名　（40％）
令和５年度　6,883名　（50％）
令和６年度　8,259名　（60％）
令和７年度　8,259名　（60％）
　目標を実現するために、 令和３年度より「文理融合に向けた数理科学I」</t>
    </r>
    <r>
      <rPr>
        <sz val="12"/>
        <rFont val="ＭＳ Ｐゴシック"/>
        <family val="3"/>
        <charset val="128"/>
      </rPr>
      <t>（１クラス定員220名）</t>
    </r>
    <r>
      <rPr>
        <sz val="12"/>
        <rFont val="ＭＳ Ｐゴシック"/>
        <family val="3"/>
        <charset val="128"/>
        <scheme val="minor"/>
      </rPr>
      <t>の開講コマ数を２から６に増やし、 メディア授業と対面授業の２種類の授業を提供する。さらに、令和４年度には８クラスまで増設し学年の半数の学生をカバーする体制を予定している。また授業時間内外での学習指導, 質問を受け付けるオフィスアワーの実施や教育上の工夫、 学修サポートを数理・データ科学教育研究センターにて実施し、 学生のプログラム履修を促進している。令和４年度よりプログラムを構成する科目「文理融合に向けた数理科学I」の開講クラスを8に増設する。令和２年度から選択科目においても</t>
    </r>
    <r>
      <rPr>
        <sz val="12"/>
        <rFont val="ＭＳ Ｐゴシック"/>
        <family val="3"/>
        <charset val="128"/>
      </rPr>
      <t xml:space="preserve">「心理学とAI・データサイエンス」等のAI関連科目を設定し学生への訴求力を増している。
　学生アンケートに加えて、学生の履修管理・成績管理を独自にデジタル化し、既存の学務情報システムと連携することによって、履修傾向を詳細に把握し次年度の講義内容の適切化を図る。さらに、教員向けＦＤを開催し、学生がより理解しやすい方法を探究することによって担当教員の質を向上させる。 </t>
    </r>
    <rPh sb="169" eb="171">
      <t>テイイ</t>
    </rPh>
    <rPh sb="174" eb="175">
      <t xml:space="preserve">メイ </t>
    </rPh>
    <rPh sb="221" eb="223">
      <t>レイワ</t>
    </rPh>
    <rPh sb="224" eb="226">
      <t>ネンド</t>
    </rPh>
    <rPh sb="234" eb="236">
      <t>ゾウセツ</t>
    </rPh>
    <rPh sb="237" eb="239">
      <t>ガクネン</t>
    </rPh>
    <rPh sb="240" eb="242">
      <t>ハンスウ</t>
    </rPh>
    <rPh sb="243" eb="245">
      <t>ガクセイ</t>
    </rPh>
    <rPh sb="251" eb="253">
      <t>タイセイ</t>
    </rPh>
    <rPh sb="254" eb="256">
      <t>ヨテイ</t>
    </rPh>
    <rPh sb="395" eb="397">
      <t>ゾウセツ</t>
    </rPh>
    <rPh sb="400" eb="402">
      <t>レイワ</t>
    </rPh>
    <rPh sb="403" eb="405">
      <t>ネンド</t>
    </rPh>
    <rPh sb="407" eb="411">
      <t>センタクカモク</t>
    </rPh>
    <rPh sb="433" eb="434">
      <t>トウ</t>
    </rPh>
    <rPh sb="436" eb="438">
      <t>カンレン</t>
    </rPh>
    <rPh sb="439" eb="441">
      <t>カモク</t>
    </rPh>
    <rPh sb="442" eb="444">
      <t>セッテイ</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</si>
  <si>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</si>
  <si>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　数理・データ科学教育研究センター（MMDS)の設置により全学的な教育コンテンツを作成支援し、 プログラムの基礎部分である科目「文理融合に向けた数理科学I」については全学生が受講できるようメディア授業, 対面授業の両面を準備しオンデマンド教材を整備するとともに、 大学院学生によるTAを配置し全学的な履修を支援・促進している。また平成29年から実施しているアクティブラーニングプランに含まれる科目（数理・データサイエンス・AI関係科目）において、 AI関係科目を増やし文系向け科目においても機械学習を取り上げるなど、 文系理系双方の学生が履修できる。さらに、学問への扉は全学の選択必修のゼミ科目となっており、「文理融合に向けた数理科学I」「文理融合に向けた数理科学II」「データサイエンスの基礎I」「コンピュータアルゴリズム入門」の４科目は基盤教養教育科目として全学の選択科目となっている。</t>
    <rPh sb="288" eb="290">
      <t>センタク</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</si>
  <si>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</si>
  <si>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r>
      <t>　新入生に関して、 入学当初の履修指導時に数理・データ科学教育研究センター（ＭＭＤＳ）が提供する科目を紹介したパンフレットを配布している。２年次以上の学生についてはクラス別履修指導時などに同パンフレット配布するなど各学部で適切な方法で行っている。 さらに本学の学務情報システム（ＫＯＡＮ）を通じて全学生に広報を</t>
    </r>
    <r>
      <rPr>
        <sz val="12"/>
        <rFont val="ＭＳ Ｐゴシック"/>
        <family val="3"/>
        <charset val="128"/>
      </rPr>
      <t>行う</t>
    </r>
    <r>
      <rPr>
        <sz val="12"/>
        <rFont val="ＭＳ Ｐゴシック"/>
        <family val="3"/>
        <charset val="128"/>
        <scheme val="minor"/>
      </rPr>
      <t xml:space="preserve">。これにはパンフレット（ＰＤＦ）だけでなく、 メール等の連絡先も記載される。４月当初にＫＯＡＮ、立て看板などを利用して広報を行い全学向けのガイダンスを実施し学生からの質問を教員が受け付ける等、 学生に丁寧な説明を行っている。またそのガイダンスの模様をYoutubeにアップし、参加できなかった学生へも周知する。 </t>
    </r>
    <r>
      <rPr>
        <sz val="12"/>
        <rFont val="ＭＳ Ｐゴシック"/>
        <family val="3"/>
        <charset val="128"/>
      </rPr>
      <t>さらに、</t>
    </r>
    <r>
      <rPr>
        <sz val="12"/>
        <rFont val="ＭＳ Ｐゴシック"/>
        <family val="3"/>
        <charset val="128"/>
        <scheme val="minor"/>
      </rPr>
      <t xml:space="preserve">ＫＯＡＮにおいて学生からのアンケート結果を公表し新規受講予定学生が授業の状況を把握できるようになっている。 
</t>
    </r>
    <rPh sb="1" eb="4">
      <t>シンニュウセイ</t>
    </rPh>
    <rPh sb="5" eb="6">
      <t>カン</t>
    </rPh>
    <rPh sb="10" eb="14">
      <t>ニュウガクトウショ</t>
    </rPh>
    <rPh sb="15" eb="19">
      <t>リシュウシドウ</t>
    </rPh>
    <rPh sb="19" eb="20">
      <t>ジ</t>
    </rPh>
    <rPh sb="21" eb="23">
      <t>スウリ</t>
    </rPh>
    <rPh sb="27" eb="33">
      <t>カガクキョウイクケンキュウ</t>
    </rPh>
    <rPh sb="44" eb="46">
      <t>テイキョウ</t>
    </rPh>
    <rPh sb="48" eb="50">
      <t>カモク</t>
    </rPh>
    <rPh sb="51" eb="53">
      <t>ショウカイ</t>
    </rPh>
    <rPh sb="62" eb="64">
      <t>ハイフ</t>
    </rPh>
    <rPh sb="70" eb="74">
      <t>ネンジイジョウ</t>
    </rPh>
    <rPh sb="75" eb="77">
      <t>ガクセイ</t>
    </rPh>
    <rPh sb="85" eb="90">
      <t>ベツリシュウシドウ</t>
    </rPh>
    <rPh sb="90" eb="91">
      <t>ジ</t>
    </rPh>
    <rPh sb="94" eb="95">
      <t>ドウ</t>
    </rPh>
    <rPh sb="101" eb="103">
      <t>ハイフ</t>
    </rPh>
    <rPh sb="107" eb="110">
      <t>カクガクブ</t>
    </rPh>
    <rPh sb="111" eb="113">
      <t>テキセツ</t>
    </rPh>
    <rPh sb="114" eb="116">
      <t>ホウホウ</t>
    </rPh>
    <rPh sb="117" eb="118">
      <t>オコナ</t>
    </rPh>
    <rPh sb="125" eb="127">
      <t>ホンガク</t>
    </rPh>
    <rPh sb="128" eb="132">
      <t>ガクムジョウホウ</t>
    </rPh>
    <rPh sb="143" eb="144">
      <t>ツウ</t>
    </rPh>
    <rPh sb="146" eb="149">
      <t>ゼンガクセイ</t>
    </rPh>
    <rPh sb="150" eb="152">
      <t>コウホウ</t>
    </rPh>
    <rPh sb="153" eb="154">
      <t>オコナ</t>
    </rPh>
    <rPh sb="155" eb="156">
      <t>オコナウ</t>
    </rPh>
    <rPh sb="181" eb="182">
      <t>トウ</t>
    </rPh>
    <rPh sb="183" eb="186">
      <t>レンラクサキ</t>
    </rPh>
    <rPh sb="187" eb="189">
      <t>キサイ</t>
    </rPh>
    <rPh sb="195" eb="197">
      <t>トウショ</t>
    </rPh>
    <rPh sb="230" eb="232">
      <t>ジッシ</t>
    </rPh>
    <rPh sb="233" eb="235">
      <t>ガクセイ</t>
    </rPh>
    <rPh sb="238" eb="240">
      <t>シツモン</t>
    </rPh>
    <rPh sb="241" eb="243">
      <t>キョウイン</t>
    </rPh>
    <rPh sb="244" eb="245">
      <t>ウ</t>
    </rPh>
    <rPh sb="246" eb="247">
      <t>ツ</t>
    </rPh>
    <rPh sb="249" eb="250">
      <t>ナド</t>
    </rPh>
    <rPh sb="252" eb="254">
      <t>ガクセイ</t>
    </rPh>
    <rPh sb="255" eb="257">
      <t>テイネイ</t>
    </rPh>
    <rPh sb="258" eb="260">
      <t>セツメイ</t>
    </rPh>
    <rPh sb="261" eb="262">
      <t>オコナ</t>
    </rPh>
    <rPh sb="277" eb="279">
      <t>モヨウ</t>
    </rPh>
    <rPh sb="293" eb="295">
      <t>サンカ</t>
    </rPh>
    <rPh sb="301" eb="303">
      <t>ガクセイ</t>
    </rPh>
    <rPh sb="305" eb="307">
      <t>シュウチ</t>
    </rPh>
    <rPh sb="321" eb="323">
      <t>ガクセイ</t>
    </rPh>
    <rPh sb="331" eb="333">
      <t>ケッカ</t>
    </rPh>
    <rPh sb="334" eb="336">
      <t>コウヒョウ</t>
    </rPh>
    <rPh sb="337" eb="345">
      <t>シンキジュコウヨテイガクセイ</t>
    </rPh>
    <rPh sb="346" eb="348">
      <t>ジュギョウ</t>
    </rPh>
    <rPh sb="349" eb="351">
      <t>ジョウキョウ</t>
    </rPh>
    <rPh sb="352" eb="354">
      <t>ハアク</t>
    </rPh>
    <phoneticPr fontId="3"/>
  </si>
  <si>
    <t>できる限り多くの学生が履修・修得できるようなサポート体制</t>
    <rPh sb="26" eb="28">
      <t>タイセイ</t>
    </rPh>
    <phoneticPr fontId="3"/>
  </si>
  <si>
    <r>
      <t>　本学の学習管理システム（LMS）を通じて独自テキスト、 資料の配布をおこなう。また質問の受付、 回答をLMSを通じても実施している。
　高等教育・入試研究開発センター（CHEGA）、 および全学教育を実施している全学教育推進機構と連絡を密にし、 選択科目を含むMMDS開講科目について授業に関する学生への周知、 イベントの連絡など、 サポートを与える。大学院生との共同ＰＢＬを実施して数理・データサイエンス・AI</t>
    </r>
    <r>
      <rPr>
        <sz val="12"/>
        <rFont val="ＭＳ Ｐゴシック"/>
        <family val="3"/>
        <charset val="128"/>
      </rPr>
      <t>へ</t>
    </r>
    <r>
      <rPr>
        <sz val="12"/>
        <rFont val="ＭＳ Ｐゴシック"/>
        <family val="3"/>
        <charset val="128"/>
        <scheme val="minor"/>
      </rPr>
      <t>の興味を喚起する。 
　一般社団法人数理人材育成協会（HRAM）では、本プログラムの補習授業として用いることのできる数理・データサイエンス・AIのEラーニングコンテンツおよびリカレントコースを提供しており、希望する学生は学生会員としてコンテンツ・コースを利用することができる。</t>
    </r>
    <rPh sb="1" eb="3">
      <t>ホンガク</t>
    </rPh>
    <rPh sb="4" eb="8">
      <t>ガクシュウカンリ</t>
    </rPh>
    <rPh sb="18" eb="19">
      <t>ツウ</t>
    </rPh>
    <rPh sb="21" eb="23">
      <t>ドクジ</t>
    </rPh>
    <rPh sb="29" eb="31">
      <t>シリョウ</t>
    </rPh>
    <rPh sb="32" eb="34">
      <t>ハイフ</t>
    </rPh>
    <rPh sb="42" eb="44">
      <t>シツモン</t>
    </rPh>
    <rPh sb="45" eb="47">
      <t>ウケツケ</t>
    </rPh>
    <rPh sb="49" eb="51">
      <t>カイトウ</t>
    </rPh>
    <rPh sb="56" eb="57">
      <t>ツウ</t>
    </rPh>
    <rPh sb="60" eb="62">
      <t>ジッシ</t>
    </rPh>
    <rPh sb="67" eb="71">
      <t>コウトウキョウイク</t>
    </rPh>
    <rPh sb="72" eb="78">
      <t>ニュウシケンキュウカイハツ</t>
    </rPh>
    <rPh sb="94" eb="96">
      <t>ゼンガク</t>
    </rPh>
    <rPh sb="96" eb="98">
      <t>キョウイク</t>
    </rPh>
    <rPh sb="99" eb="101">
      <t>ジッシ</t>
    </rPh>
    <rPh sb="105" eb="113">
      <t>ゼンガクキョウイクスイシンキコウ</t>
    </rPh>
    <rPh sb="114" eb="116">
      <t>レンラク</t>
    </rPh>
    <rPh sb="117" eb="118">
      <t>ミツ</t>
    </rPh>
    <rPh sb="127" eb="128">
      <t>フク</t>
    </rPh>
    <rPh sb="133" eb="137">
      <t>カイコウカモク</t>
    </rPh>
    <rPh sb="141" eb="143">
      <t>ジュギョウ</t>
    </rPh>
    <rPh sb="144" eb="145">
      <t>カン</t>
    </rPh>
    <rPh sb="147" eb="149">
      <t>ガクセイ</t>
    </rPh>
    <rPh sb="151" eb="153">
      <t>シュウチ</t>
    </rPh>
    <rPh sb="160" eb="162">
      <t>レンラク</t>
    </rPh>
    <rPh sb="171" eb="172">
      <t>アタ</t>
    </rPh>
    <rPh sb="209" eb="211">
      <t>カンキ</t>
    </rPh>
    <rPh sb="216" eb="218">
      <t>イッパン</t>
    </rPh>
    <rPh sb="218" eb="223">
      <t>シャダンホウジン</t>
    </rPh>
    <rPh sb="223" eb="227">
      <t>スウリジンザイ</t>
    </rPh>
    <rPh sb="227" eb="231">
      <t>イクセイキョウカイ</t>
    </rPh>
    <rPh sb="237" eb="244">
      <t>ガクセイカイイン</t>
    </rPh>
    <rPh sb="245" eb="246">
      <t>タイ</t>
    </rPh>
    <rPh sb="250" eb="252">
      <t>ホセィウ</t>
    </rPh>
    <rPh sb="252" eb="254">
      <t>ジュギョウ</t>
    </rPh>
    <rPh sb="257" eb="258">
      <t>モチイ</t>
    </rPh>
    <rPh sb="278" eb="280">
      <t>テイキョウ</t>
    </rPh>
    <rPh sb="286" eb="288">
      <t>ショキュウ</t>
    </rPh>
    <rPh sb="290" eb="292">
      <t>ニュウモン</t>
    </rPh>
    <rPh sb="305" eb="307">
      <t>キソ</t>
    </rPh>
    <rPh sb="311" eb="313">
      <t>キボウ</t>
    </rPh>
    <rPh sb="315" eb="317">
      <t>ガクセイ</t>
    </rPh>
    <rPh sb="318" eb="320">
      <t>ガクセイ</t>
    </rPh>
    <rPh sb="320" eb="322">
      <t>カイイn</t>
    </rPh>
    <rPh sb="335" eb="337">
      <t>リヨウ</t>
    </rPh>
    <phoneticPr fontId="3"/>
  </si>
  <si>
    <t>授業時間内外で学習指導、質問を受け付ける具体的な仕組み</t>
    <rPh sb="20" eb="23">
      <t>グタイテキ</t>
    </rPh>
    <phoneticPr fontId="3"/>
  </si>
  <si>
    <t>　本教育プログラムについての履修を学習管理システム（LMS）にて管理し、学生は授業時間以外に不明点等をシステムを通じて確認することができ、質問はセンターの教員を通じて返答する体制を整備している。
　ＫＯＡＮでの掲示では講師の連絡先メールアドレスを表示し、学生がメールで問い合わせることが可能である。毎年度、授業アンケートを実施しており、それを授業にフィードバックし改善に役立てている。ＡＩ研究に関する様々なイベントも学生にも周知しており、その際にも質問を受け付けるなどの対応を行う。
　授業に関してはオフィスアワーを設け、学生が教員に直接質問を行う時間を確保している。また、大学院生との共同でＰＢＬを実施して数理・データサイエンス・AIの興味を引き起こすようにし、科目を案内する。</t>
    <rPh sb="17" eb="21">
      <t>ガクシュウカンリ</t>
    </rPh>
    <rPh sb="105" eb="107">
      <t>ケイジ</t>
    </rPh>
    <rPh sb="109" eb="111">
      <t>コウシ</t>
    </rPh>
    <rPh sb="112" eb="115">
      <t>レンラクサキ</t>
    </rPh>
    <rPh sb="123" eb="125">
      <t>ヒョウジ</t>
    </rPh>
    <rPh sb="127" eb="129">
      <t>ガクセイ</t>
    </rPh>
    <rPh sb="134" eb="135">
      <t>ト</t>
    </rPh>
    <rPh sb="136" eb="137">
      <t>ア</t>
    </rPh>
    <rPh sb="143" eb="145">
      <t>カノウ</t>
    </rPh>
    <rPh sb="149" eb="151">
      <t>マイネン</t>
    </rPh>
    <rPh sb="151" eb="152">
      <t>ド</t>
    </rPh>
    <rPh sb="153" eb="155">
      <t>ジュギョウ</t>
    </rPh>
    <rPh sb="161" eb="163">
      <t>ジッシ</t>
    </rPh>
    <rPh sb="171" eb="173">
      <t>ジュギョウ</t>
    </rPh>
    <rPh sb="182" eb="184">
      <t>カイゼン</t>
    </rPh>
    <rPh sb="185" eb="187">
      <t>ヤクダ</t>
    </rPh>
    <rPh sb="194" eb="196">
      <t>ケンキュウ</t>
    </rPh>
    <rPh sb="197" eb="198">
      <t>カン</t>
    </rPh>
    <rPh sb="200" eb="202">
      <t>サマザマ</t>
    </rPh>
    <rPh sb="208" eb="210">
      <t>ガクセイ</t>
    </rPh>
    <rPh sb="212" eb="214">
      <t>シュウチ</t>
    </rPh>
    <rPh sb="221" eb="222">
      <t>サイ</t>
    </rPh>
    <rPh sb="224" eb="226">
      <t>シツモン</t>
    </rPh>
    <rPh sb="227" eb="228">
      <t>ウ</t>
    </rPh>
    <rPh sb="229" eb="230">
      <t>ツ</t>
    </rPh>
    <rPh sb="235" eb="237">
      <t>タイオウ</t>
    </rPh>
    <rPh sb="238" eb="239">
      <t>オコナ</t>
    </rPh>
    <rPh sb="242" eb="244">
      <t>ジュギョウ</t>
    </rPh>
    <rPh sb="246" eb="247">
      <t>カン</t>
    </rPh>
    <rPh sb="258" eb="259">
      <t>モウ</t>
    </rPh>
    <rPh sb="261" eb="263">
      <t>ガクセイ</t>
    </rPh>
    <rPh sb="264" eb="266">
      <t>キョウイン</t>
    </rPh>
    <rPh sb="267" eb="269">
      <t>チョクセツ</t>
    </rPh>
    <rPh sb="269" eb="271">
      <t>シツモン</t>
    </rPh>
    <rPh sb="272" eb="273">
      <t>オコナ</t>
    </rPh>
    <rPh sb="274" eb="276">
      <t>ジカン</t>
    </rPh>
    <rPh sb="277" eb="279">
      <t>カクホ</t>
    </rPh>
    <rPh sb="285" eb="291">
      <t>ダイガクインセイ</t>
    </rPh>
    <rPh sb="293" eb="295">
      <t>キョウドウ</t>
    </rPh>
    <rPh sb="300" eb="302">
      <t>ジッシ</t>
    </rPh>
    <rPh sb="304" eb="306">
      <t>スウリ</t>
    </rPh>
    <rPh sb="319" eb="321">
      <t>キョウミ</t>
    </rPh>
    <rPh sb="322" eb="323">
      <t>ヒ</t>
    </rPh>
    <rPh sb="324" eb="325">
      <t>オ</t>
    </rPh>
    <rPh sb="332" eb="334">
      <t>カモク</t>
    </rPh>
    <rPh sb="335" eb="337">
      <t>アンナイ</t>
    </rPh>
    <phoneticPr fontId="3"/>
  </si>
  <si>
    <t>様式６</t>
    <rPh sb="0" eb="2">
      <t>ヨウシキ</t>
    </rPh>
    <phoneticPr fontId="3"/>
  </si>
  <si>
    <t>学校名：</t>
    <rPh sb="0" eb="3">
      <t>ガッコウメイ</t>
    </rPh>
    <phoneticPr fontId="3"/>
  </si>
  <si>
    <t>自己点検・評価について</t>
    <rPh sb="0" eb="2">
      <t>ジコ</t>
    </rPh>
    <rPh sb="2" eb="4">
      <t>テンケン</t>
    </rPh>
    <rPh sb="5" eb="7">
      <t>ヒョウカ</t>
    </rPh>
    <phoneticPr fontId="3"/>
  </si>
  <si>
    <t>自己点検・評価体制における意見等</t>
    <rPh sb="15" eb="16">
      <t>トウ</t>
    </rPh>
    <phoneticPr fontId="3"/>
  </si>
  <si>
    <t>自己点検・評価の視点</t>
    <rPh sb="0" eb="2">
      <t>ジコ</t>
    </rPh>
    <rPh sb="2" eb="4">
      <t>テンケン</t>
    </rPh>
    <rPh sb="5" eb="7">
      <t>ヒョウカ</t>
    </rPh>
    <rPh sb="8" eb="10">
      <t>シテン</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</si>
  <si>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</si>
  <si>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</si>
  <si>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</si>
  <si>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本学では、履修登録等の教育業務支援システムであるKOAN、および講義の成績管理等を行うための授業支援システムであるCLEが連携して稼働しており、これらのシステムから開講科目の自己点検・評価が可能となる。令和2年度では総数2260名の学生が本教育プログラム科目を履修している。必修科目の「文理融合のための数理科学I」は310名の学生が履修、そのうち291名（94%）が単位を取得している。そして、必修科目単位取得者のうち176名（60%）が本教育プログラムを修了している。必修科目の単位取得率が高い水準にあることから、この講義の開講コマ数を増やすことで修了者数の向上が期待できる。</t>
    <phoneticPr fontId="3"/>
  </si>
  <si>
    <t>学修成果</t>
    <rPh sb="0" eb="2">
      <t>ガクシュウ</t>
    </rPh>
    <rPh sb="2" eb="4">
      <t>セイカ</t>
    </rPh>
    <phoneticPr fontId="3"/>
  </si>
  <si>
    <t>本教育プログラム科目を受講したことによる学修成果の一つの指標として、各科目における履修者の成績（100点満点）の中央値を算出したところ、平均は83点で概ね授業内容は理解されていると評価できる。また最高は92点、最低65点でいずれも理工系向けの統計学C-Iであり、受講する学部学科によるばらつきを改善する策について今後検討する必要があると考えられる。必修科目の「文理融合のための数理科学I」については、隔週回の演習課題の内容，各課題に対する配点と採点結果をさらに精査し，全ての課題に対して偏りなく高い点数が得られていることから、授業内容の全体が理解されていると評価できる。</t>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</si>
  <si>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</si>
  <si>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r>
      <t>必修</t>
    </r>
    <r>
      <rPr>
        <sz val="12"/>
        <rFont val="ＭＳ Ｐゴシック"/>
        <family val="3"/>
        <charset val="128"/>
      </rPr>
      <t>科目「文理融合に向けた数理科学I」の全受講者に</t>
    </r>
    <r>
      <rPr>
        <sz val="12"/>
        <rFont val="ＭＳ Ｐゴシック"/>
        <family val="2"/>
        <charset val="128"/>
      </rPr>
      <t>対する</t>
    </r>
    <r>
      <rPr>
        <sz val="12"/>
        <rFont val="ＭＳ Ｐゴシック"/>
        <family val="3"/>
        <charset val="128"/>
      </rPr>
      <t>授業アンケート</t>
    </r>
    <r>
      <rPr>
        <sz val="12"/>
        <rFont val="ＭＳ Ｐゴシック"/>
        <family val="2"/>
        <charset val="128"/>
      </rPr>
      <t>から</t>
    </r>
    <r>
      <rPr>
        <sz val="12"/>
        <rFont val="ＭＳ Ｐゴシック"/>
        <family val="3"/>
        <charset val="128"/>
      </rPr>
      <t>、この授業から期待された学習成果が得られたと回答が75%の学生から得られている。授業内容については、数理・統計・AIと幅広い内容ながらも身近な例が取り上げられており分かりやすかったとの意見があった。また，71%の学生が授業の難易度をちょうどいいと回答し、83%がこの授業に満足していると回答している。一方、21%の学生は授業の難易度が難しいと回答しており、特に行列などの数学的内容が初学の文系学生とっては難しかったとの意見があった。今後，文系学生向けの数学の補習やそのための教材の整備が必要であると考えられる。</t>
    </r>
    <rPh sb="0" eb="2">
      <t>ヒッシュウ</t>
    </rPh>
    <rPh sb="25" eb="26">
      <t>タイス</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</si>
  <si>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</si>
  <si>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本学では， KOANを通して本教育プログラム全ての科目に対する授業アンケートが担当教員に対して公開されている。本学の数理・データ科学教育研究センターではプログラム科目の授業アンケートを集計して公開し、新たに受講を考える学生への推奨に活用している．また，数理・データ科学教育研究センターでは、新入学者向けプログラム説明会を毎年4月初旬の履修登録前に開催しており、プログラム科目の授業アンケートの紹介を含め新規履修者数の向上に努めている。さらに平成3年度は，本プログラムを受講した学生による報告会を開催する予定であり、後輩学生および未受講の学生に対して講義受講を促す場を設ける。</t>
    <rPh sb="134" eb="136">
      <t>ケンキュウ</t>
    </rPh>
    <rPh sb="198" eb="200">
      <t>レイワ</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</si>
  <si>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</si>
  <si>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本教育プログラムの必修科目である「文理融合に向けた数理科学I」はこれまで全学向けの基盤教養科目として春・夏学期で2クラス開講していたが、令和3年度からメディア授業4クラス、対面授業2クラスに拡充し、より多くの学生に受講の機会を提供できるようにした。　また、本プログラムの選択科目に1年次必修のゼミ科目である「学問への扉（マチカネゼミ）」を多く取り入れ、その内容もデータ・AIの様々な分野での活用について考えるものとなっている。　これにより履修者数の向上とともに数理・データサイエンス・AIを学ぶ楽しさ・意義を伝え、高学年次において本教育プログラム他科目の履修を動機付けるようにしている。</t>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</si>
  <si>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</si>
  <si>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</si>
  <si>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本学の数理・データ科学教育研究センターでは、西日本の9校の大学と部局間協定を結び，数理・データサイエンス・AI教育の西日本アライアンスを主催しており、令和3年度には本教育プログラム履修者が参加できる大学間共同PBLを企業の協力のもと実施する。このPBLの主要な目的の一つが、参加企業から本教育プログラムへのアドバイスや学生の能力に関して評価をもらうこととなっている。また，本プログラムを修了した学生からランダムに100名程度を選び，進路について追跡調査を実施する。</t>
    <rPh sb="1" eb="2">
      <t>ガク</t>
    </rPh>
    <rPh sb="13" eb="15">
      <t>ケンキュウ</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</si>
  <si>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</si>
  <si>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本学の数理・データ科学教育研究センターでは、社会人を対象とした数理・データ教育プログラムの開発と提供を行う一般社団法人「数理人材育成協会」を組織しており、令和2年度には本教育プログラムの選択科目である「データサイエンスの基礎I」が「データサイエンス入門コース」として現在開講されている。　このコースの修了者を対象にアンケートを行い、産業界からの意見を踏まえてプログラムの改善に活用する。また、令和3年度には本プログラム必修科目の「文理融合に向けた数理科学I」も「データサイエンス初級コース」として社会人向けに開講されることになっており、この修了者に対するアンケートもプログラム改善に活用する。</t>
    <rPh sb="13" eb="15">
      <t>ケンキュウ</t>
    </rPh>
    <rPh sb="77" eb="79">
      <t>レイワ</t>
    </rPh>
    <rPh sb="196" eb="198">
      <t>レイワ</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</si>
  <si>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</si>
  <si>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r>
      <t>本教育プログラムの必修科目である「文理融合に向けた数理科学I」は、モデルカリキュラムリテラシーレベルに完全準拠した授業内容で構成されており、その導入部分に相当する講義回では、スポーツやSNSといった学生にとって身近なテーマで数理・データサイエンス・AIの面白さと重要性が理解できるような内容となっている。また，本プログラムの</t>
    </r>
    <r>
      <rPr>
        <sz val="12"/>
        <rFont val="ＭＳ Ｐゴシック"/>
        <family val="3"/>
        <charset val="128"/>
        <scheme val="minor"/>
      </rPr>
      <t>選択科目である1年次必修の「学問への扉（マチカネゼミ）」</t>
    </r>
    <r>
      <rPr>
        <sz val="12"/>
        <rFont val="ＭＳ Ｐゴシック"/>
        <family val="2"/>
        <charset val="128"/>
        <scheme val="minor"/>
      </rPr>
      <t>は、ロボティクス、心理学、ものつくり等の様々な分野でのデータ・AIの利活用を題材に、初学者に当該分野の意義を理解させるゼミ形式の講義となっている。</t>
    </r>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</si>
  <si>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</si>
  <si>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本教育プログラム開講科目に対する学生アンケート、および当該科目から数理人材育成協会を通して社会人向けに開講した幾つかの科目に対するアンケートから、授業内容の難易度および受講者の学問的背景と事前知識について調査し、講義内容の変更や自習教材の提供を行うことを検討している。令和2年度では、「文理融合に向けた数理科学I」に対する学生アンケートで文系学生からの数学的内容が難しいという意見が出されたのを受け、「データサイエンスの基礎I」において数学の補習的な内容を設定するとともに、希望者に対しては数理人材育成協会を通したEラーニング教材の提供も予定している。</t>
    <rPh sb="134" eb="136">
      <t>レイワ</t>
    </rPh>
    <phoneticPr fontId="3"/>
  </si>
  <si>
    <t>※公表している場合のアドレス</t>
    <rPh sb="1" eb="3">
      <t>コウヒョウ</t>
    </rPh>
    <rPh sb="7" eb="9">
      <t>バアイ</t>
    </rPh>
    <phoneticPr fontId="3"/>
  </si>
  <si>
    <t>自己点検・評価体制における意見等の公表の有無</t>
    <rPh sb="17" eb="19">
      <t>コウヒョウ</t>
    </rPh>
    <rPh sb="20" eb="22">
      <t>ウム</t>
    </rPh>
    <phoneticPr fontId="3"/>
  </si>
  <si>
    <t>有</t>
  </si>
  <si>
    <t>http://www-mmds.sigmath.es.osaka-u.ac.jp/</t>
    <phoneticPr fontId="3"/>
  </si>
  <si>
    <t>様式７</t>
    <rPh sb="0" eb="2">
      <t>ヨウシキ</t>
    </rPh>
    <phoneticPr fontId="3"/>
  </si>
  <si>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3"/>
  </si>
  <si>
    <t>授業内容</t>
    <rPh sb="0" eb="2">
      <t>ジュギョウ</t>
    </rPh>
    <rPh sb="2" eb="4">
      <t>ナイヨウ</t>
    </rPh>
    <phoneticPr fontId="3"/>
  </si>
  <si>
    <r>
      <t>　必修科目である「文理融合に向けた数理科学I」は，令和2年度にモデルカリキュラムリテラシーレベルに完全準拠した授業内容で開講した科目であり、定員（300名）の2倍以上の履修希望者を集め、授業アンケートでも想定以上の高評価を得る人気科目となっている。　この科目の特色は、モデルカリキュラムで必須とされている導入・心得・基礎の内容が当該科目のみで学べること、さらに特定の数理的素養を前提とせず、データ・AIの身近な利活用の例を通して文系・理系を問わず数理・データサイエンス・AIの基礎を理解することができるという点にある。　授業のやり方も講義・演習のみならずプレゼン実習、グループワークやEラーニングによる反転学習を取り入れ、受講学生の主体的な取り組みを促す仕組みを設けている。
　選択科目では「文理融合に向けた数理科学II」においてモデルカリキュラムの「選択」の学修内容をすべて取り扱うとともに、 より発展したテーマを扱う科目として「データサイエンスの基礎I」「コンピュータアルゴリズム入門」を設定している。 いずれも実データを用いたプログラミングの演習やEラーニング教材を整備し、より高度な内容を学びたい学生の期待に応えられる内容としている。「統計学A-I～C-I」は基礎的な統計を学ぶ講義であり、人文社会系・医歯薬系・理工系それぞれの学生に対して専門性を踏まえた講義内容で統計リテラシーを教授する。</t>
    </r>
    <r>
      <rPr>
        <sz val="12"/>
        <rFont val="ＭＳ Ｐゴシック"/>
        <family val="3"/>
        <charset val="128"/>
      </rPr>
      <t>また経済学部では同等の基礎統計科目として「統計」が専門科目として提供されている。さらに</t>
    </r>
    <r>
      <rPr>
        <sz val="12"/>
        <rFont val="ＭＳ Ｐゴシック"/>
        <family val="3"/>
        <charset val="128"/>
        <scheme val="minor"/>
      </rPr>
      <t>全学1年次必修のゼミ科目「</t>
    </r>
    <r>
      <rPr>
        <sz val="12"/>
        <rFont val="ＭＳ Ｐゴシック"/>
        <family val="3"/>
        <charset val="128"/>
      </rPr>
      <t>学問への扉</t>
    </r>
    <r>
      <rPr>
        <sz val="12"/>
        <rFont val="ＭＳ Ｐゴシック"/>
        <family val="3"/>
        <charset val="128"/>
        <scheme val="minor"/>
      </rPr>
      <t>」においてAIとデータサイエンスの複合領域をテーマとする</t>
    </r>
    <r>
      <rPr>
        <sz val="12"/>
        <rFont val="ＭＳ Ｐゴシック"/>
        <family val="3"/>
        <charset val="128"/>
      </rPr>
      <t>3科目</t>
    </r>
    <r>
      <rPr>
        <sz val="12"/>
        <rFont val="ＭＳ Ｐゴシック"/>
        <family val="3"/>
        <charset val="128"/>
        <scheme val="minor"/>
      </rPr>
      <t>を選択科目として指定し、 様々な学部の学生がセミナー形式で討論, 発表の機会を提供している。</t>
    </r>
    <rPh sb="25" eb="27">
      <t>レイワ</t>
    </rPh>
    <rPh sb="267" eb="269">
      <t>コウギ</t>
    </rPh>
    <rPh sb="281" eb="283">
      <t>ジッシュウ</t>
    </rPh>
    <rPh sb="340" eb="344">
      <t>センタクカモク</t>
    </rPh>
    <rPh sb="389" eb="390">
      <t>ト</t>
    </rPh>
    <rPh sb="391" eb="392">
      <t>アツカ</t>
    </rPh>
    <rPh sb="411" eb="413">
      <t>カモク</t>
    </rPh>
    <rPh sb="514" eb="516">
      <t>ナイヨウ</t>
    </rPh>
    <rPh sb="523" eb="526">
      <t>トウケイガク</t>
    </rPh>
    <rPh sb="596" eb="598">
      <t>キョウジュ</t>
    </rPh>
    <rPh sb="603" eb="607">
      <t>ケイザイ</t>
    </rPh>
    <rPh sb="609" eb="611">
      <t>ドウトウ</t>
    </rPh>
    <rPh sb="612" eb="614">
      <t>キソ</t>
    </rPh>
    <rPh sb="614" eb="616">
      <t>トウ</t>
    </rPh>
    <rPh sb="616" eb="618">
      <t>カモク</t>
    </rPh>
    <rPh sb="622" eb="624">
      <t>トウケイ</t>
    </rPh>
    <rPh sb="626" eb="630">
      <t>センモンカモク</t>
    </rPh>
    <rPh sb="633" eb="635">
      <t>テイキョウ</t>
    </rPh>
    <rPh sb="644" eb="646">
      <t>ゼンガク</t>
    </rPh>
    <rPh sb="694" eb="698">
      <t>センタクカモク</t>
    </rPh>
    <rPh sb="701" eb="703">
      <t>シテイ</t>
    </rPh>
    <rPh sb="719" eb="721">
      <t>ケイシキ</t>
    </rPh>
    <rPh sb="722" eb="724">
      <t>トウロン</t>
    </rPh>
    <rPh sb="726" eb="728">
      <t>ハッピョウ</t>
    </rPh>
    <rPh sb="729" eb="731">
      <t>キカイ</t>
    </rPh>
    <rPh sb="732" eb="734">
      <t>テイキョウ</t>
    </rPh>
    <phoneticPr fontId="3"/>
  </si>
  <si>
    <t>学生への学習支援</t>
    <rPh sb="0" eb="2">
      <t>ガクセイ</t>
    </rPh>
    <rPh sb="4" eb="6">
      <t>ガクシュウ</t>
    </rPh>
    <rPh sb="6" eb="8">
      <t>シエン</t>
    </rPh>
    <phoneticPr fontId="3"/>
  </si>
  <si>
    <r>
      <t>　本教育プログラムでは、</t>
    </r>
    <r>
      <rPr>
        <sz val="12"/>
        <rFont val="ＭＳ Ｐゴシック"/>
        <family val="3"/>
        <charset val="128"/>
      </rPr>
      <t>修了要件を満たした学生に対して修了証を発行することで、本プログラムの履修を動機付けている。学習面においては、</t>
    </r>
    <r>
      <rPr>
        <sz val="12"/>
        <rFont val="ＭＳ Ｐゴシック"/>
        <family val="3"/>
        <charset val="128"/>
        <scheme val="minor"/>
      </rPr>
      <t>必修科目である「文理融合に向けた数理科学I」を含め多くの科目でEラーニング教材を整備し、これを本学の授業支援システムCLEで運用することで、学生がいつでも授業内容について予習・復習をすることが可能なシステムを構築している。また、本プログラムの全ての科目においてオフィスアワーを設け、教員が学生からの質問に対応できるようにしている。さらに、統計関連科目が履修科目に入っていない学部・学科の学生に対して、全学の情報教育の必修科目（情報社会基礎）で3コマ分をデータサイエンスの講義に充て、基礎的な数理・統計の内容が学べるようにしている。この科目は本プログラムを構成する科目群には入っていないが、数学的知識が乏しい履修学生に対する補習と位置付け、数理・データ科学教育研究センターの教員が出向いて講義を行なっている。また、担当教員を主なターゲットとして教員対象のFDを実施し、教育の質保証の面でも対応している。
　また、令和3年度には本プログラムの履修学生が参加できる大学間共同PBLを西日本の9校の大学と企業の協力のもと実施することになっており、講義を通して得た知識・技能をデータ・AIのビジネスへの適用を踏まえ実践する機会を設けている。このPBLでは、企業側が現場で必要としている数理・データサイエンス・AIの知識・技能について学ぶとともに、ビジネス場面でのグループワークのあり方についても実践的に学習する。さらに、このPBLに関わる大学・企業が参加する成果発表会を企画しており、修了学生に自らの成果をプレゼンテーションする機会を与えるとともに、その内容を公開し本プログラムを全学に広く周知させ，新規履修者数の向上に役立てる。
　</t>
    </r>
    <rPh sb="395" eb="397">
      <t>キョウイク</t>
    </rPh>
    <rPh sb="398" eb="401">
      <t>シツホショウ</t>
    </rPh>
    <rPh sb="402" eb="403">
      <t>メン</t>
    </rPh>
    <rPh sb="405" eb="407">
      <t>タイオウ</t>
    </rPh>
    <rPh sb="418" eb="420">
      <t>レイワ</t>
    </rPh>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</si>
  <si>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</si>
  <si>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r>
      <t>　</t>
    </r>
    <r>
      <rPr>
        <sz val="12"/>
        <rFont val="ＭＳ Ｐゴシック"/>
        <family val="3"/>
        <charset val="128"/>
      </rPr>
      <t>数理・データ科学教育研究センター（MMDS）は、DS学部教育に携わる西日本10校との部局間協定によって、モデルカリキュラムの教材研究を行い、ウェブを活用した共同PBL実施準備を推進している。また、本学では高等教育・入試開発センターを通して大阪府・兵庫県の高等学校との連携活動を行なっており、MMDSでも生徒を学部ゼミで受け入れるとともに、夏季合宿での出前授業によって高等学校におけるデータサイエンス教育・課題研究をサポートする活動を行なっている。</t>
    </r>
    <r>
      <rPr>
        <sz val="12"/>
        <rFont val="ＭＳ Ｐゴシック"/>
        <family val="3"/>
        <charset val="128"/>
        <scheme val="minor"/>
      </rPr>
      <t xml:space="preserve">
　本教育プログラムは関西経済同友会との連携のもとで実施されている。特に数理・データ科学教育研究センター招へい教授生駒京子氏は次期代表幹事に推薦され、MMDSアドバイザリー会議の一員として本プログラムの評価・改善に尽力をいただいている。また、当センターは関西経済同友会との連携で社会人を対象とした数理・データ教育プログラムの開発と提供を行う一般社団法人「数理人材育成協会」を組織し、本プログラムを社会人リカレント教育に用いる仕組みを構築するのに加え、産業界の意見を踏まえて本プログラムの内容を改善することに役立てている。
　本学は日本とドイツの両国間の学生・研究者の交流の促進や共同プログラム等を実施する日独6大学アライアンス（HeKKSaGOn）に加盟しており、このアライアンスの重点課題の1つを担当するデータサイエンス・デジタライゼーション・AIワーキンググループを活用して、</t>
    </r>
    <r>
      <rPr>
        <sz val="12"/>
        <rFont val="ＭＳ Ｐゴシック"/>
        <family val="3"/>
        <charset val="128"/>
      </rPr>
      <t>当該分野に関するワークショップ・サマースクールに学生を派遣するとともに海外からの学生を受け入れている。</t>
    </r>
    <rPh sb="46" eb="48">
      <t>キョウテイ</t>
    </rPh>
    <rPh sb="73" eb="75">
      <t>セイト</t>
    </rPh>
    <rPh sb="76" eb="78">
      <t>ガクブ</t>
    </rPh>
    <rPh sb="81" eb="82">
      <t>ウ</t>
    </rPh>
    <rPh sb="83" eb="84">
      <t>イ</t>
    </rPh>
    <rPh sb="89" eb="91">
      <t>カキ</t>
    </rPh>
    <rPh sb="91" eb="93">
      <t>ガッシュク</t>
    </rPh>
    <rPh sb="95" eb="99">
      <t>デマエジュギョウ</t>
    </rPh>
    <rPh sb="151" eb="155">
      <t>ガクブキョウイク</t>
    </rPh>
    <rPh sb="156" eb="157">
      <t>タズサ</t>
    </rPh>
    <rPh sb="159" eb="162">
      <t>ニシニホン</t>
    </rPh>
    <rPh sb="164" eb="165">
      <t>コウ</t>
    </rPh>
    <rPh sb="256" eb="257">
      <t>トク</t>
    </rPh>
    <rPh sb="273" eb="274">
      <t>ショウ</t>
    </rPh>
    <rPh sb="276" eb="278">
      <t>キョウジュ</t>
    </rPh>
    <rPh sb="278" eb="282">
      <t>イコマキョウコ</t>
    </rPh>
    <rPh sb="282" eb="283">
      <t>シ</t>
    </rPh>
    <rPh sb="291" eb="293">
      <t>スイセン</t>
    </rPh>
    <rPh sb="571" eb="573">
      <t>タントウ</t>
    </rPh>
    <rPh sb="607" eb="609">
      <t>カツヨウ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</si>
</sst>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12"/>
      <color theme="1"/>
      <name val="ＭＳ Ｐゴシック"/>
      <family val="2"/>
      <charset val="128"/>
      <scheme val="minor"/>
    </font>
    <font>
      <sz val="9"/>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color theme="1"/>
      <name val="ＭＳ Ｐゴシック"/>
      <family val="3"/>
      <charset val="128"/>
      <scheme val="minor"/>
    </font>
    <font>
      <sz val="12"/>
      <name val="ＭＳ Ｐゴシック (本文)"/>
      <family val="3"/>
      <charset val="128"/>
    </font>
    <font>
      <sz val="12"/>
      <name val="ＭＳ Ｐゴシック"/>
      <family val="3"/>
      <charset val="128"/>
    </font>
    <font>
      <sz val="12"/>
      <color theme="1"/>
      <name val="ＭＳ Ｐゴシック"/>
      <family val="3"/>
      <charset val="128"/>
    </font>
    <font>
      <sz val="12"/>
      <name val="ＭＳ Ｐゴシック"/>
      <family val="2"/>
      <charset val="128"/>
    </font>
    <font>
      <sz val="9"/>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28">
    <xf numFmtId="0" fontId="0" fillId="0" borderId="0" xfId="0">
      <alignment vertical="center"/>
    </xf>
    <xf numFmtId="0" fontId="4" fillId="0" borderId="0" xfId="0" applyFont="1">
      <alignment vertical="center"/>
    </xf>
    <xf numFmtId="0" fontId="5" fillId="0" borderId="0" xfId="0" applyFont="1" applyAlignment="1">
      <alignment vertical="center"/>
    </xf>
    <xf numFmtId="0" fontId="5" fillId="0" borderId="0" xfId="0" applyFont="1">
      <alignment vertical="center"/>
    </xf>
    <xf numFmtId="0" fontId="5" fillId="0" borderId="0" xfId="0" applyFont="1" applyBorder="1" applyAlignment="1">
      <alignment vertical="center" wrapText="1"/>
    </xf>
    <xf numFmtId="0" fontId="4" fillId="0" borderId="0" xfId="0" applyFont="1" applyAlignment="1">
      <alignment vertical="center"/>
    </xf>
    <xf numFmtId="0" fontId="6" fillId="0" borderId="0" xfId="0" applyFont="1" applyBorder="1" applyAlignment="1">
      <alignment vertical="top" wrapText="1"/>
    </xf>
    <xf numFmtId="0" fontId="6" fillId="0" borderId="10" xfId="0" applyFont="1" applyBorder="1" applyAlignment="1">
      <alignment vertical="top" wrapText="1"/>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righ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5" fillId="0" borderId="0" xfId="0" applyFont="1" applyAlignment="1">
      <alignment vertical="center" wrapText="1"/>
    </xf>
    <xf numFmtId="0" fontId="10" fillId="0" borderId="0" xfId="0" applyFont="1" applyBorder="1" applyAlignment="1">
      <alignment horizontal="center" vertical="center"/>
    </xf>
    <xf numFmtId="0" fontId="10" fillId="0" borderId="1" xfId="0" applyFont="1" applyBorder="1" applyAlignment="1">
      <alignment vertical="center" shrinkToFit="1"/>
    </xf>
    <xf numFmtId="0" fontId="13" fillId="0" borderId="0" xfId="0" applyFont="1">
      <alignment vertical="center"/>
    </xf>
    <xf numFmtId="0" fontId="15" fillId="0" borderId="0" xfId="0" applyFont="1" applyBorder="1" applyAlignment="1">
      <alignment vertical="center" shrinkToFit="1"/>
    </xf>
    <xf numFmtId="0" fontId="15" fillId="0" borderId="10" xfId="0" applyFont="1" applyBorder="1" applyAlignment="1">
      <alignment vertical="center" shrinkToFit="1"/>
    </xf>
    <xf numFmtId="0" fontId="5" fillId="0" borderId="0" xfId="0" applyFont="1" applyFill="1" applyBorder="1" applyAlignment="1">
      <alignment vertical="center"/>
    </xf>
    <xf numFmtId="0" fontId="6" fillId="0" borderId="0" xfId="0" applyFont="1" applyFill="1" applyBorder="1" applyAlignment="1">
      <alignment vertical="top" wrapText="1"/>
    </xf>
    <xf numFmtId="0" fontId="16" fillId="0" borderId="0" xfId="2" applyNumberFormat="1" applyFont="1" applyBorder="1" applyAlignment="1">
      <alignment vertical="center" shrinkToFit="1"/>
    </xf>
    <xf numFmtId="0" fontId="5" fillId="0" borderId="0" xfId="0" applyFont="1" applyAlignment="1">
      <alignment vertical="center" shrinkToFit="1"/>
    </xf>
    <xf numFmtId="0" fontId="17" fillId="0" borderId="0" xfId="0" applyFont="1">
      <alignment vertical="center"/>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10" xfId="0" applyNumberFormat="1" applyFont="1" applyBorder="1" applyAlignment="1">
      <alignment vertical="center" shrinkToFit="1"/>
    </xf>
    <xf numFmtId="9" fontId="5" fillId="0" borderId="10" xfId="0" applyNumberFormat="1" applyFont="1" applyBorder="1" applyAlignment="1">
      <alignment vertical="center" shrinkToFit="1"/>
    </xf>
    <xf numFmtId="176" fontId="5" fillId="0" borderId="20"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19" xfId="0" applyNumberFormat="1" applyFont="1" applyBorder="1" applyAlignment="1">
      <alignment vertical="center" shrinkToFit="1"/>
    </xf>
    <xf numFmtId="176" fontId="5" fillId="0" borderId="25" xfId="0" applyNumberFormat="1" applyFont="1" applyBorder="1" applyAlignment="1">
      <alignment vertical="center" shrinkToFit="1"/>
    </xf>
    <xf numFmtId="176" fontId="5" fillId="0" borderId="26" xfId="0" applyNumberFormat="1" applyFont="1" applyBorder="1" applyAlignment="1">
      <alignment vertical="center" shrinkToFit="1"/>
    </xf>
    <xf numFmtId="0" fontId="5" fillId="0" borderId="27" xfId="0" applyFont="1" applyBorder="1" applyAlignment="1">
      <alignment vertical="center" shrinkToFit="1"/>
    </xf>
    <xf numFmtId="176" fontId="5" fillId="0" borderId="27" xfId="0" applyNumberFormat="1" applyFont="1" applyBorder="1" applyAlignment="1">
      <alignment vertical="center" shrinkToFit="1"/>
    </xf>
    <xf numFmtId="176" fontId="5" fillId="0" borderId="37" xfId="0" applyNumberFormat="1" applyFont="1" applyBorder="1" applyAlignment="1">
      <alignment vertical="center" shrinkToFit="1"/>
    </xf>
    <xf numFmtId="176" fontId="5" fillId="0" borderId="38" xfId="0" applyNumberFormat="1" applyFont="1" applyBorder="1" applyAlignment="1">
      <alignment vertical="center" shrinkToFit="1"/>
    </xf>
    <xf numFmtId="176" fontId="5" fillId="0" borderId="29" xfId="0" applyNumberFormat="1" applyFont="1" applyBorder="1" applyAlignment="1">
      <alignment vertical="center" shrinkToFit="1"/>
    </xf>
    <xf numFmtId="176" fontId="5" fillId="0" borderId="30" xfId="0" applyNumberFormat="1" applyFont="1" applyBorder="1" applyAlignment="1">
      <alignment vertical="center" shrinkToFit="1"/>
    </xf>
    <xf numFmtId="9" fontId="5" fillId="0" borderId="29" xfId="0" applyNumberFormat="1" applyFont="1" applyBorder="1" applyAlignment="1">
      <alignment vertical="center" shrinkToFit="1"/>
    </xf>
    <xf numFmtId="176" fontId="6" fillId="0" borderId="0" xfId="0" applyNumberFormat="1" applyFont="1" applyBorder="1" applyAlignment="1">
      <alignment vertical="center" shrinkToFit="1"/>
    </xf>
    <xf numFmtId="0" fontId="5" fillId="0" borderId="20" xfId="0" applyFont="1" applyBorder="1" applyAlignment="1">
      <alignment vertical="center" shrinkToFit="1"/>
    </xf>
    <xf numFmtId="176" fontId="6" fillId="0" borderId="0" xfId="0" applyNumberFormat="1" applyFont="1" applyBorder="1" applyAlignment="1">
      <alignment vertical="center"/>
    </xf>
    <xf numFmtId="0" fontId="5" fillId="0" borderId="0" xfId="0" applyFont="1" applyAlignment="1">
      <alignment horizontal="left" vertical="center"/>
    </xf>
    <xf numFmtId="0" fontId="5" fillId="0" borderId="0" xfId="0" applyFont="1" applyBorder="1" applyAlignment="1">
      <alignment vertical="center"/>
    </xf>
    <xf numFmtId="0" fontId="5" fillId="0" borderId="10" xfId="0" applyFont="1" applyBorder="1" applyAlignment="1">
      <alignment vertical="center"/>
    </xf>
    <xf numFmtId="0" fontId="5" fillId="0" borderId="10" xfId="0" applyFont="1" applyBorder="1" applyAlignment="1">
      <alignment vertical="center" shrinkToFit="1"/>
    </xf>
    <xf numFmtId="0" fontId="5" fillId="0" borderId="5" xfId="0" applyFont="1" applyBorder="1">
      <alignment vertical="center"/>
    </xf>
    <xf numFmtId="176" fontId="5" fillId="0" borderId="0" xfId="0" applyNumberFormat="1" applyFont="1" applyBorder="1" applyAlignment="1">
      <alignment vertical="center" wrapText="1"/>
    </xf>
    <xf numFmtId="0" fontId="5" fillId="0" borderId="0" xfId="0" applyFont="1" applyBorder="1">
      <alignment vertical="center"/>
    </xf>
    <xf numFmtId="176" fontId="5" fillId="0" borderId="5" xfId="0" applyNumberFormat="1" applyFont="1" applyBorder="1" applyAlignment="1">
      <alignment vertical="center"/>
    </xf>
    <xf numFmtId="176" fontId="5" fillId="0" borderId="0" xfId="0" applyNumberFormat="1" applyFont="1" applyBorder="1">
      <alignment vertical="center"/>
    </xf>
    <xf numFmtId="176" fontId="5" fillId="0" borderId="0" xfId="0" applyNumberFormat="1" applyFont="1" applyAlignment="1">
      <alignment vertical="center" wrapText="1"/>
    </xf>
    <xf numFmtId="176" fontId="5" fillId="0" borderId="3" xfId="0" applyNumberFormat="1" applyFont="1" applyBorder="1" applyAlignment="1">
      <alignment vertical="center" shrinkToFit="1"/>
    </xf>
    <xf numFmtId="176" fontId="5" fillId="0" borderId="0" xfId="0" applyNumberFormat="1" applyFont="1" applyAlignment="1">
      <alignment horizontal="left" vertical="center" wrapText="1"/>
    </xf>
    <xf numFmtId="0" fontId="5" fillId="0" borderId="6" xfId="0" applyFont="1" applyBorder="1" applyAlignment="1">
      <alignment vertical="center" shrinkToFit="1"/>
    </xf>
    <xf numFmtId="0" fontId="5" fillId="0" borderId="0" xfId="0" applyFont="1" applyFill="1">
      <alignment vertical="center"/>
    </xf>
    <xf numFmtId="0" fontId="5" fillId="0" borderId="1" xfId="0" applyFont="1" applyBorder="1">
      <alignment vertical="center"/>
    </xf>
    <xf numFmtId="0" fontId="5" fillId="0" borderId="2" xfId="0" applyFont="1" applyBorder="1">
      <alignment vertical="center"/>
    </xf>
    <xf numFmtId="0" fontId="5" fillId="0" borderId="4" xfId="0" applyFont="1" applyBorder="1">
      <alignment vertical="center"/>
    </xf>
    <xf numFmtId="0" fontId="2" fillId="0" borderId="0" xfId="0" applyFont="1">
      <alignment vertical="center"/>
    </xf>
    <xf numFmtId="0" fontId="2" fillId="0" borderId="0" xfId="0" applyFont="1" applyBorder="1" applyAlignment="1">
      <alignment vertical="top" wrapText="1"/>
    </xf>
    <xf numFmtId="0" fontId="2" fillId="0" borderId="0" xfId="0" applyFont="1" applyBorder="1" applyAlignment="1">
      <alignment vertical="top" shrinkToFit="1"/>
    </xf>
    <xf numFmtId="0" fontId="2" fillId="0" borderId="0" xfId="0" applyFont="1" applyBorder="1" applyAlignment="1">
      <alignment vertical="center" wrapText="1"/>
    </xf>
    <xf numFmtId="0" fontId="2" fillId="0" borderId="10" xfId="0" applyFont="1" applyBorder="1" applyAlignment="1">
      <alignment vertical="top" wrapText="1"/>
    </xf>
    <xf numFmtId="0" fontId="2" fillId="0" borderId="5" xfId="0" applyFont="1" applyBorder="1" applyAlignment="1">
      <alignment vertical="top" wrapText="1"/>
    </xf>
    <xf numFmtId="0" fontId="2" fillId="0" borderId="21" xfId="0" applyFont="1" applyBorder="1" applyAlignment="1">
      <alignment vertical="top" wrapText="1"/>
    </xf>
    <xf numFmtId="0" fontId="2" fillId="0" borderId="19" xfId="0" applyFont="1" applyBorder="1" applyAlignment="1">
      <alignment vertical="top" wrapText="1"/>
    </xf>
    <xf numFmtId="0" fontId="2" fillId="0" borderId="0" xfId="0" applyFont="1" applyFill="1" applyBorder="1" applyAlignment="1">
      <alignment vertical="top" wrapText="1"/>
    </xf>
    <xf numFmtId="0" fontId="4" fillId="0" borderId="0" xfId="0" applyFont="1" applyAlignment="1">
      <alignment horizontal="center" vertical="center"/>
    </xf>
    <xf numFmtId="0" fontId="4" fillId="0" borderId="0" xfId="0" applyFont="1" applyAlignment="1">
      <alignment horizontal="center" vertical="center"/>
    </xf>
    <xf numFmtId="176" fontId="14" fillId="0" borderId="33" xfId="0" applyNumberFormat="1" applyFont="1" applyBorder="1" applyAlignment="1">
      <alignment vertical="center" shrinkToFit="1"/>
    </xf>
    <xf numFmtId="176" fontId="14" fillId="0" borderId="35" xfId="0" applyNumberFormat="1" applyFont="1" applyBorder="1" applyAlignment="1">
      <alignment vertical="center" shrinkToFit="1"/>
    </xf>
    <xf numFmtId="176" fontId="10" fillId="0" borderId="20" xfId="0" applyNumberFormat="1" applyFont="1" applyFill="1" applyBorder="1" applyAlignment="1">
      <alignment vertical="center" shrinkToFit="1"/>
    </xf>
    <xf numFmtId="176" fontId="10" fillId="0" borderId="35" xfId="0" applyNumberFormat="1" applyFont="1" applyFill="1" applyBorder="1" applyAlignment="1">
      <alignment vertical="center" shrinkToFit="1"/>
    </xf>
    <xf numFmtId="176" fontId="10" fillId="0" borderId="36" xfId="0" applyNumberFormat="1" applyFont="1" applyFill="1" applyBorder="1" applyAlignment="1">
      <alignment vertical="center" shrinkToFit="1"/>
    </xf>
    <xf numFmtId="176" fontId="10" fillId="0" borderId="33" xfId="0" applyNumberFormat="1" applyFont="1" applyFill="1" applyBorder="1" applyAlignment="1">
      <alignment vertical="center" shrinkToFit="1"/>
    </xf>
    <xf numFmtId="176" fontId="10" fillId="0" borderId="34" xfId="0" applyNumberFormat="1" applyFont="1" applyFill="1" applyBorder="1" applyAlignment="1">
      <alignment vertical="center" shrinkToFit="1"/>
    </xf>
    <xf numFmtId="176" fontId="10" fillId="0" borderId="10" xfId="0" applyNumberFormat="1" applyFont="1" applyFill="1" applyBorder="1" applyAlignment="1">
      <alignment vertical="center" shrinkToFit="1"/>
    </xf>
    <xf numFmtId="176" fontId="10" fillId="0" borderId="5" xfId="0" applyNumberFormat="1" applyFont="1" applyFill="1" applyBorder="1" applyAlignment="1">
      <alignment vertical="center" shrinkToFit="1"/>
    </xf>
    <xf numFmtId="176" fontId="10" fillId="0" borderId="19" xfId="0" applyNumberFormat="1" applyFont="1" applyFill="1" applyBorder="1" applyAlignment="1">
      <alignment vertical="center" shrinkToFit="1"/>
    </xf>
    <xf numFmtId="176" fontId="10" fillId="0" borderId="37" xfId="0" applyNumberFormat="1" applyFont="1" applyBorder="1" applyAlignment="1">
      <alignment vertical="center" shrinkToFit="1"/>
    </xf>
    <xf numFmtId="0" fontId="10" fillId="0" borderId="0" xfId="0" applyFont="1" applyBorder="1" applyAlignment="1">
      <alignment vertical="center"/>
    </xf>
    <xf numFmtId="0" fontId="10" fillId="0" borderId="0" xfId="0" applyFont="1" applyBorder="1" applyAlignment="1">
      <alignment vertical="center" wrapText="1"/>
    </xf>
    <xf numFmtId="0" fontId="23" fillId="0" borderId="0" xfId="0" applyFont="1" applyBorder="1" applyAlignment="1">
      <alignment vertical="top" wrapText="1"/>
    </xf>
    <xf numFmtId="0" fontId="23" fillId="0" borderId="21" xfId="0" applyFont="1" applyBorder="1" applyAlignment="1">
      <alignment vertical="top" shrinkToFit="1"/>
    </xf>
    <xf numFmtId="0" fontId="23" fillId="0" borderId="19" xfId="0" applyFont="1" applyBorder="1" applyAlignment="1">
      <alignment vertical="top" shrinkToFit="1"/>
    </xf>
    <xf numFmtId="0" fontId="1" fillId="0" borderId="0" xfId="0" applyFont="1">
      <alignment vertical="center"/>
    </xf>
    <xf numFmtId="0" fontId="1" fillId="0" borderId="11" xfId="0" applyFont="1" applyBorder="1" applyAlignment="1">
      <alignment horizontal="center" vertical="center"/>
    </xf>
    <xf numFmtId="0" fontId="1" fillId="0" borderId="2" xfId="0" applyFont="1" applyBorder="1" applyAlignment="1">
      <alignment vertical="top" shrinkToFit="1"/>
    </xf>
    <xf numFmtId="0" fontId="1" fillId="0" borderId="11" xfId="0" applyFont="1" applyBorder="1" applyAlignment="1">
      <alignment horizontal="center" vertical="top"/>
    </xf>
    <xf numFmtId="0" fontId="1" fillId="0" borderId="1" xfId="0" applyFont="1" applyBorder="1" applyAlignment="1">
      <alignment vertical="center" wrapText="1"/>
    </xf>
    <xf numFmtId="0" fontId="1" fillId="0" borderId="0" xfId="0" applyFont="1" applyBorder="1" applyAlignment="1">
      <alignment vertical="center"/>
    </xf>
    <xf numFmtId="0" fontId="1" fillId="0" borderId="0" xfId="0" applyFont="1" applyBorder="1" applyAlignment="1">
      <alignment vertical="center" wrapText="1"/>
    </xf>
    <xf numFmtId="0" fontId="1" fillId="0" borderId="5" xfId="0" applyFont="1" applyBorder="1">
      <alignment vertical="center"/>
    </xf>
    <xf numFmtId="0" fontId="1" fillId="0" borderId="0" xfId="0" applyFont="1" applyBorder="1">
      <alignment vertical="center"/>
    </xf>
    <xf numFmtId="0" fontId="1" fillId="0" borderId="17" xfId="0" applyFont="1" applyBorder="1">
      <alignment vertical="center"/>
    </xf>
    <xf numFmtId="0" fontId="1" fillId="0" borderId="0" xfId="0" applyFont="1" applyBorder="1" applyAlignment="1">
      <alignment vertical="top" wrapText="1"/>
    </xf>
    <xf numFmtId="0" fontId="5" fillId="0" borderId="0" xfId="0" applyFont="1" applyBorder="1" applyAlignment="1">
      <alignment vertical="center" shrinkToFit="1"/>
    </xf>
    <xf numFmtId="0" fontId="5" fillId="0" borderId="2" xfId="0" applyFont="1" applyBorder="1" applyAlignment="1">
      <alignment horizontal="center" vertical="center" shrinkToFit="1"/>
    </xf>
    <xf numFmtId="0" fontId="5" fillId="0" borderId="0" xfId="0" applyFont="1" applyBorder="1" applyAlignment="1">
      <alignment horizontal="center" vertical="center"/>
    </xf>
    <xf numFmtId="0" fontId="11" fillId="0" borderId="0" xfId="0" applyFont="1" applyAlignment="1">
      <alignment horizontal="right" vertical="center"/>
    </xf>
    <xf numFmtId="0" fontId="5" fillId="0" borderId="0" xfId="0" applyFont="1" applyBorder="1" applyAlignment="1">
      <alignment horizontal="center" vertical="center" shrinkToFit="1"/>
    </xf>
    <xf numFmtId="0" fontId="5" fillId="0" borderId="0" xfId="0" applyFont="1" applyAlignment="1">
      <alignment horizontal="center" vertical="center"/>
    </xf>
    <xf numFmtId="0" fontId="10" fillId="0" borderId="0" xfId="0" applyFont="1" applyAlignment="1">
      <alignment horizontal="center" vertical="center"/>
    </xf>
    <xf numFmtId="0" fontId="5" fillId="0" borderId="0" xfId="0" applyFont="1" applyBorder="1" applyAlignment="1">
      <alignment vertical="top" wrapText="1"/>
    </xf>
    <xf numFmtId="0" fontId="1" fillId="0" borderId="0" xfId="0" applyFont="1" applyAlignment="1">
      <alignment horizontal="right" vertical="center"/>
    </xf>
    <xf numFmtId="0" fontId="1" fillId="0" borderId="2" xfId="0" applyFont="1" applyBorder="1" applyAlignment="1">
      <alignment vertical="center" shrinkToFit="1"/>
    </xf>
    <xf numFmtId="0" fontId="1" fillId="0" borderId="2" xfId="0" applyFont="1" applyBorder="1" applyAlignment="1">
      <alignment horizontal="center" vertical="center" shrinkToFit="1"/>
    </xf>
    <xf numFmtId="0" fontId="11" fillId="0" borderId="2" xfId="0" applyFont="1" applyBorder="1" applyAlignment="1">
      <alignment horizontal="center" vertical="center" shrinkToFit="1"/>
    </xf>
    <xf numFmtId="0" fontId="1" fillId="0" borderId="0" xfId="0" applyFont="1" applyAlignment="1">
      <alignment horizontal="center" vertical="center"/>
    </xf>
    <xf numFmtId="0" fontId="10" fillId="0" borderId="2" xfId="0" applyFont="1" applyBorder="1" applyAlignment="1">
      <alignment horizontal="center" vertical="center" shrinkToFit="1"/>
    </xf>
    <xf numFmtId="0" fontId="14"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2" fillId="0" borderId="0" xfId="0" applyFont="1" applyAlignment="1">
      <alignment vertical="top" wrapText="1"/>
    </xf>
    <xf numFmtId="0" fontId="6" fillId="0" borderId="0" xfId="0" applyFont="1" applyAlignment="1">
      <alignment vertical="top" wrapText="1"/>
    </xf>
    <xf numFmtId="49" fontId="18" fillId="0" borderId="2" xfId="2" applyNumberFormat="1" applyFont="1" applyBorder="1" applyAlignment="1">
      <alignment vertical="center" shrinkToFit="1"/>
    </xf>
    <xf numFmtId="49" fontId="5" fillId="0" borderId="3" xfId="0" applyNumberFormat="1" applyFont="1" applyBorder="1" applyAlignment="1">
      <alignment vertical="center" shrinkToFit="1"/>
    </xf>
    <xf numFmtId="49" fontId="5" fillId="0" borderId="4" xfId="0" applyNumberFormat="1" applyFont="1" applyBorder="1" applyAlignment="1">
      <alignment vertical="center" shrinkToFit="1"/>
    </xf>
    <xf numFmtId="49" fontId="5" fillId="0" borderId="2" xfId="1" applyNumberFormat="1" applyFont="1" applyBorder="1" applyAlignment="1">
      <alignment horizontal="center" vertical="center" shrinkToFit="1"/>
    </xf>
    <xf numFmtId="49" fontId="5" fillId="0" borderId="3" xfId="1" applyNumberFormat="1" applyFont="1" applyBorder="1" applyAlignment="1">
      <alignment horizontal="center" vertical="center" shrinkToFit="1"/>
    </xf>
    <xf numFmtId="49" fontId="5" fillId="0" borderId="4" xfId="1" applyNumberFormat="1" applyFont="1" applyBorder="1" applyAlignment="1">
      <alignment horizontal="center" vertical="center" shrinkToFit="1"/>
    </xf>
    <xf numFmtId="0" fontId="5" fillId="0" borderId="0"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176" fontId="5" fillId="0" borderId="2" xfId="0" applyNumberFormat="1" applyFont="1" applyBorder="1" applyAlignment="1">
      <alignment horizontal="center" vertical="center" shrinkToFit="1"/>
    </xf>
    <xf numFmtId="176" fontId="5" fillId="0" borderId="4" xfId="0" applyNumberFormat="1" applyFont="1" applyBorder="1" applyAlignment="1">
      <alignment horizontal="center" vertical="center" shrinkToFit="1"/>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0" xfId="0" applyFont="1" applyBorder="1" applyAlignment="1">
      <alignment horizontal="right" vertical="center" shrinkToFit="1"/>
    </xf>
    <xf numFmtId="0" fontId="5" fillId="0" borderId="5" xfId="0" applyFont="1" applyBorder="1" applyAlignment="1">
      <alignment horizontal="right" vertical="center" shrinkToFit="1"/>
    </xf>
    <xf numFmtId="0" fontId="5" fillId="0" borderId="10" xfId="0" applyFont="1" applyBorder="1" applyAlignment="1">
      <alignment horizontal="right"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0" xfId="0" applyFont="1" applyAlignment="1">
      <alignment horizontal="right" vertical="center"/>
    </xf>
    <xf numFmtId="0" fontId="5" fillId="0" borderId="0" xfId="0" applyFont="1" applyBorder="1" applyAlignment="1">
      <alignment horizontal="right" vertical="center"/>
    </xf>
    <xf numFmtId="0" fontId="5" fillId="0" borderId="10" xfId="0" applyFont="1" applyBorder="1" applyAlignment="1">
      <alignment horizontal="right" vertical="center"/>
    </xf>
    <xf numFmtId="176" fontId="5" fillId="0" borderId="3" xfId="0" applyNumberFormat="1" applyFont="1" applyBorder="1" applyAlignment="1">
      <alignment horizontal="center" vertical="center" shrinkToFit="1"/>
    </xf>
    <xf numFmtId="0" fontId="5" fillId="0" borderId="0" xfId="0" applyFont="1" applyBorder="1" applyAlignment="1">
      <alignment horizontal="center" vertical="center" shrinkToFit="1"/>
    </xf>
    <xf numFmtId="0" fontId="5" fillId="0" borderId="0" xfId="0" applyFont="1" applyAlignment="1">
      <alignment horizontal="center" vertical="center"/>
    </xf>
    <xf numFmtId="0" fontId="5" fillId="0" borderId="4" xfId="0" applyFont="1" applyBorder="1" applyAlignment="1">
      <alignment vertical="center" shrinkToFit="1"/>
    </xf>
    <xf numFmtId="0" fontId="5" fillId="0" borderId="0" xfId="0" applyFont="1" applyBorder="1" applyAlignment="1">
      <alignment vertical="center" shrinkToFit="1"/>
    </xf>
    <xf numFmtId="3" fontId="5" fillId="0" borderId="2" xfId="0" applyNumberFormat="1" applyFont="1" applyBorder="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5" fillId="0" borderId="2" xfId="0" applyFont="1" applyBorder="1" applyAlignment="1">
      <alignment horizontal="left" vertical="center" shrinkToFit="1"/>
    </xf>
    <xf numFmtId="0" fontId="5" fillId="0" borderId="3" xfId="0" applyFont="1" applyBorder="1" applyAlignment="1">
      <alignment horizontal="left" vertical="center" shrinkToFit="1"/>
    </xf>
    <xf numFmtId="0" fontId="5" fillId="0" borderId="4" xfId="0" applyFont="1" applyBorder="1" applyAlignment="1">
      <alignment horizontal="left" vertical="center" shrinkToFit="1"/>
    </xf>
    <xf numFmtId="0" fontId="10" fillId="0" borderId="0" xfId="0" applyFont="1" applyAlignment="1">
      <alignment vertical="center" shrinkToFit="1"/>
    </xf>
    <xf numFmtId="0" fontId="10" fillId="0" borderId="0" xfId="0" applyFont="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9" xfId="0" applyFont="1" applyBorder="1" applyAlignment="1">
      <alignment horizontal="center" vertical="center" shrinkToFit="1"/>
    </xf>
    <xf numFmtId="0" fontId="1" fillId="0" borderId="0" xfId="0" applyFont="1" applyAlignment="1">
      <alignment horizontal="righ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5" fillId="0" borderId="14"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15" xfId="0" applyFont="1" applyBorder="1" applyAlignment="1">
      <alignment horizontal="center" vertical="center"/>
    </xf>
    <xf numFmtId="0" fontId="5" fillId="0" borderId="3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5" fillId="0" borderId="15" xfId="0" applyFont="1" applyBorder="1" applyAlignment="1">
      <alignment horizontal="center" vertical="center" shrinkToFit="1"/>
    </xf>
    <xf numFmtId="0" fontId="5" fillId="0" borderId="39" xfId="0" applyFont="1" applyBorder="1" applyAlignment="1">
      <alignment horizontal="center" vertical="center" shrinkToFit="1"/>
    </xf>
    <xf numFmtId="0" fontId="5" fillId="0" borderId="40" xfId="0" applyFont="1" applyBorder="1" applyAlignment="1">
      <alignment vertical="center" shrinkToFit="1"/>
    </xf>
    <xf numFmtId="0" fontId="5" fillId="0" borderId="41" xfId="0" applyFont="1" applyBorder="1" applyAlignment="1">
      <alignment vertical="center" shrinkToFit="1"/>
    </xf>
    <xf numFmtId="0" fontId="5" fillId="0" borderId="27" xfId="0" applyFont="1" applyBorder="1" applyAlignment="1">
      <alignment horizontal="center" vertical="center" shrinkToFit="1"/>
    </xf>
    <xf numFmtId="0" fontId="5" fillId="0" borderId="28" xfId="0" applyFont="1" applyBorder="1" applyAlignment="1">
      <alignment horizontal="center"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0" xfId="0" applyFont="1" applyAlignment="1">
      <alignment horizontal="center" vertical="center"/>
    </xf>
    <xf numFmtId="0" fontId="5" fillId="0" borderId="16" xfId="0" applyFont="1" applyBorder="1" applyAlignment="1">
      <alignment vertical="center" wrapText="1"/>
    </xf>
    <xf numFmtId="0" fontId="5" fillId="0" borderId="42" xfId="0" applyFont="1" applyBorder="1" applyAlignment="1">
      <alignment vertical="center" wrapTex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Border="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10"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21" fillId="0" borderId="2" xfId="0" applyFont="1" applyBorder="1" applyAlignment="1">
      <alignment horizontal="center" vertical="center" shrinkToFit="1"/>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5" fillId="0" borderId="13" xfId="0" applyFont="1" applyBorder="1" applyAlignment="1">
      <alignment vertical="center" wrapText="1"/>
    </xf>
    <xf numFmtId="0" fontId="1" fillId="0" borderId="7" xfId="0" applyFont="1" applyBorder="1" applyAlignment="1">
      <alignment horizontal="left" vertical="top" wrapText="1" shrinkToFit="1"/>
    </xf>
    <xf numFmtId="0" fontId="5" fillId="0" borderId="8" xfId="0" applyFont="1" applyBorder="1" applyAlignment="1">
      <alignment horizontal="left" vertical="top" wrapText="1" shrinkToFit="1"/>
    </xf>
    <xf numFmtId="0" fontId="5" fillId="0" borderId="9" xfId="0" applyFont="1" applyBorder="1" applyAlignment="1">
      <alignment horizontal="left" vertical="top" wrapText="1" shrinkToFit="1"/>
    </xf>
    <xf numFmtId="0" fontId="5" fillId="0" borderId="5" xfId="0" applyFont="1" applyBorder="1" applyAlignment="1">
      <alignment horizontal="left" vertical="top" wrapText="1" shrinkToFit="1"/>
    </xf>
    <xf numFmtId="0" fontId="5" fillId="0" borderId="0" xfId="0" applyFont="1" applyBorder="1" applyAlignment="1">
      <alignment horizontal="left" vertical="top" wrapText="1" shrinkToFit="1"/>
    </xf>
    <xf numFmtId="0" fontId="5" fillId="0" borderId="10" xfId="0" applyFont="1" applyBorder="1" applyAlignment="1">
      <alignment horizontal="left" vertical="top" wrapText="1" shrinkToFit="1"/>
    </xf>
    <xf numFmtId="0" fontId="5" fillId="0" borderId="11" xfId="0" applyFont="1" applyBorder="1" applyAlignment="1">
      <alignment horizontal="left" vertical="top" wrapText="1" shrinkToFit="1"/>
    </xf>
    <xf numFmtId="0" fontId="5" fillId="0" borderId="6" xfId="0" applyFont="1" applyBorder="1" applyAlignment="1">
      <alignment horizontal="left" vertical="top" wrapText="1" shrinkToFit="1"/>
    </xf>
    <xf numFmtId="0" fontId="5" fillId="0" borderId="12" xfId="0" applyFont="1" applyBorder="1" applyAlignment="1">
      <alignment horizontal="left" vertical="top" wrapText="1" shrinkToFit="1"/>
    </xf>
    <xf numFmtId="0" fontId="1" fillId="0" borderId="2" xfId="0" applyFont="1" applyBorder="1" applyAlignment="1">
      <alignment horizontal="center" vertical="top" shrinkToFi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1" fillId="0" borderId="2" xfId="0" applyFont="1" applyBorder="1" applyAlignment="1">
      <alignment horizontal="center" vertical="top" shrinkToFit="1"/>
    </xf>
    <xf numFmtId="0" fontId="11" fillId="0" borderId="3" xfId="0" applyFont="1" applyBorder="1" applyAlignment="1">
      <alignment horizontal="center" vertical="top" shrinkToFit="1"/>
    </xf>
    <xf numFmtId="0" fontId="11" fillId="0" borderId="4" xfId="0" applyFont="1" applyBorder="1" applyAlignment="1">
      <alignment horizontal="center" vertical="top"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Border="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3" fillId="0" borderId="2" xfId="0" applyFont="1" applyBorder="1" applyAlignment="1">
      <alignment horizontal="center" vertical="top" shrinkToFit="1"/>
    </xf>
    <xf numFmtId="0" fontId="13" fillId="0" borderId="3" xfId="0" applyFont="1" applyBorder="1" applyAlignment="1">
      <alignment horizontal="center" vertical="top" shrinkToFit="1"/>
    </xf>
    <xf numFmtId="0" fontId="13" fillId="0" borderId="4" xfId="0" applyFont="1" applyBorder="1" applyAlignment="1">
      <alignment horizontal="center" vertical="top" shrinkToFit="1"/>
    </xf>
    <xf numFmtId="0" fontId="11" fillId="0" borderId="2" xfId="0" applyFont="1" applyBorder="1" applyAlignment="1">
      <alignment horizontal="center"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1" fillId="0" borderId="2" xfId="0" applyFont="1" applyBorder="1" applyAlignment="1">
      <alignment vertical="center" shrinkToFit="1"/>
    </xf>
    <xf numFmtId="0" fontId="8" fillId="0" borderId="2" xfId="2" applyBorder="1" applyAlignment="1">
      <alignment vertical="center" wrapText="1" shrinkToFit="1"/>
    </xf>
    <xf numFmtId="0" fontId="14" fillId="0" borderId="3" xfId="0" applyFont="1" applyBorder="1" applyAlignment="1">
      <alignment vertical="center" shrinkToFit="1"/>
    </xf>
    <xf numFmtId="0" fontId="14" fillId="0" borderId="4" xfId="0" applyFont="1" applyBorder="1" applyAlignment="1">
      <alignment vertical="center" shrinkToFit="1"/>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Border="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Border="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Border="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6" xfId="0" applyFont="1" applyBorder="1" applyAlignment="1">
      <alignment vertical="center"/>
    </xf>
    <xf numFmtId="0" fontId="1" fillId="0" borderId="0" xfId="0" applyFont="1" applyAlignment="1">
      <alignment vertical="center" shrinkToFit="1"/>
    </xf>
    <xf numFmtId="0" fontId="5" fillId="0" borderId="7"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Border="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19" xfId="0" applyFont="1" applyBorder="1" applyAlignment="1">
      <alignment vertical="center" wrapText="1"/>
    </xf>
    <xf numFmtId="0" fontId="11" fillId="0" borderId="21" xfId="0" applyFont="1" applyBorder="1" applyAlignment="1">
      <alignment vertical="top" wrapText="1" shrinkToFit="1"/>
    </xf>
    <xf numFmtId="0" fontId="11" fillId="0" borderId="19" xfId="0" applyFont="1" applyBorder="1" applyAlignment="1">
      <alignment vertical="top" wrapText="1" shrinkToFi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8" fillId="0" borderId="2" xfId="2"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1" fillId="0" borderId="18" xfId="0" applyFont="1" applyBorder="1" applyAlignment="1">
      <alignment vertical="center" wrapText="1"/>
    </xf>
    <xf numFmtId="0" fontId="20" fillId="0" borderId="20" xfId="0" applyFont="1" applyBorder="1" applyAlignment="1">
      <alignment vertical="top" wrapText="1" shrinkToFit="1"/>
    </xf>
    <xf numFmtId="0" fontId="19" fillId="0" borderId="21" xfId="0" applyFont="1" applyBorder="1" applyAlignment="1">
      <alignment vertical="top" wrapText="1" shrinkToFit="1"/>
    </xf>
    <xf numFmtId="0" fontId="19" fillId="0" borderId="19" xfId="0" applyFont="1" applyBorder="1" applyAlignment="1">
      <alignment vertical="top" wrapText="1" shrinkToFit="1"/>
    </xf>
    <xf numFmtId="0" fontId="1" fillId="0" borderId="22" xfId="0" applyFont="1" applyBorder="1" applyAlignment="1">
      <alignment vertical="center" wrapText="1"/>
    </xf>
    <xf numFmtId="0" fontId="1" fillId="0" borderId="23" xfId="0" applyFont="1" applyBorder="1" applyAlignment="1">
      <alignment vertical="center" wrapText="1"/>
    </xf>
    <xf numFmtId="0" fontId="11" fillId="0" borderId="24" xfId="0" applyFont="1" applyBorder="1" applyAlignment="1">
      <alignment vertical="top" wrapText="1" shrinkToFit="1"/>
    </xf>
    <xf numFmtId="0" fontId="11" fillId="0" borderId="23" xfId="0" applyFont="1" applyBorder="1" applyAlignment="1">
      <alignment vertical="top" wrapText="1" shrinkToFit="1"/>
    </xf>
    <xf numFmtId="0" fontId="1" fillId="0" borderId="18" xfId="0" applyFont="1" applyBorder="1" applyAlignment="1">
      <alignment vertical="center"/>
    </xf>
    <xf numFmtId="0" fontId="0" fillId="0" borderId="19" xfId="0" applyBorder="1" applyAlignment="1">
      <alignment vertical="center"/>
    </xf>
    <xf numFmtId="0" fontId="22" fillId="0" borderId="20" xfId="0" applyFont="1" applyBorder="1" applyAlignment="1">
      <alignment vertical="top" wrapText="1" shrinkToFit="1"/>
    </xf>
    <xf numFmtId="0" fontId="2" fillId="0" borderId="0" xfId="0" applyFont="1" applyAlignment="1">
      <alignment vertical="top" wrapText="1"/>
    </xf>
    <xf numFmtId="0" fontId="6" fillId="0" borderId="0" xfId="0" applyFont="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mds-jim@sigmath.es.osaka-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mmds.sigmath.es.osaka-u.ac.jp/structure/suuridsaitorikumi.pdf"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mmds.sigmath.es.osaka-u.ac.jp/structure/suuridsaitorikumi.pdf"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mmds.sigmath.es.osaka-u.ac.jp/structure/suuridsaitorikumi.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mmds.sigmath.es.osaka-u.ac.jp/"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0"/>
  <sheetViews>
    <sheetView tabSelected="1" zoomScaleNormal="100" workbookViewId="0">
      <selection activeCell="C4" sqref="C4:N4"/>
    </sheetView>
  </sheetViews>
  <sheetFormatPr defaultColWidth="9" defaultRowHeight="18.75" customHeight="1"/>
  <cols>
    <col min="1" max="1" width="2.5" style="8" customWidth="1"/>
    <col min="2" max="2" width="12.5" style="8" customWidth="1"/>
    <col min="3" max="8" width="6.125" style="8" customWidth="1"/>
    <col min="9" max="9" width="2.5" style="8" customWidth="1"/>
    <col min="10" max="10" width="10" style="8" customWidth="1"/>
    <col min="11" max="11" width="2.5" style="8" customWidth="1"/>
    <col min="12" max="12" width="7.5" style="8" customWidth="1"/>
    <col min="13" max="13" width="2.5" style="8" customWidth="1"/>
    <col min="14" max="14" width="7.5" style="8" customWidth="1"/>
    <col min="15" max="16384" width="9" style="8"/>
  </cols>
  <sheetData>
    <row r="1" spans="1:15" ht="22.5" customHeight="1">
      <c r="M1" s="142" t="s">
        <v>0</v>
      </c>
      <c r="N1" s="142"/>
    </row>
    <row r="2" spans="1:15" ht="22.5" customHeight="1">
      <c r="A2" s="147" t="s">
        <v>1</v>
      </c>
      <c r="B2" s="147"/>
      <c r="C2" s="147"/>
      <c r="D2" s="147"/>
      <c r="E2" s="147"/>
      <c r="F2" s="147"/>
      <c r="G2" s="147"/>
      <c r="H2" s="147"/>
      <c r="I2" s="147"/>
      <c r="J2" s="147"/>
      <c r="K2" s="147"/>
      <c r="L2" s="147"/>
      <c r="M2" s="147"/>
      <c r="N2" s="147"/>
      <c r="O2" s="3"/>
    </row>
    <row r="3" spans="1:15" ht="22.5" customHeight="1">
      <c r="A3" s="3"/>
      <c r="B3" s="3"/>
      <c r="C3" s="3"/>
      <c r="D3" s="3"/>
      <c r="E3" s="3"/>
      <c r="F3" s="3"/>
      <c r="G3" s="3"/>
      <c r="H3" s="3"/>
      <c r="I3" s="3"/>
      <c r="J3" s="3"/>
      <c r="K3" s="3"/>
      <c r="L3" s="3"/>
      <c r="M3" s="3"/>
      <c r="N3" s="3"/>
      <c r="O3" s="3"/>
    </row>
    <row r="4" spans="1:15" ht="22.5" customHeight="1">
      <c r="A4" s="3" t="s">
        <v>2</v>
      </c>
      <c r="B4" s="2" t="s">
        <v>3</v>
      </c>
      <c r="C4" s="129" t="s">
        <v>4</v>
      </c>
      <c r="D4" s="130"/>
      <c r="E4" s="130"/>
      <c r="F4" s="130"/>
      <c r="G4" s="130"/>
      <c r="H4" s="130"/>
      <c r="I4" s="130"/>
      <c r="J4" s="130"/>
      <c r="K4" s="130"/>
      <c r="L4" s="130"/>
      <c r="M4" s="130"/>
      <c r="N4" s="131"/>
      <c r="O4" s="3"/>
    </row>
    <row r="5" spans="1:15" ht="7.5" customHeight="1">
      <c r="A5" s="3"/>
      <c r="B5" s="2"/>
      <c r="C5" s="2"/>
      <c r="D5" s="2"/>
      <c r="E5" s="49"/>
      <c r="F5" s="104"/>
      <c r="G5" s="104"/>
      <c r="H5" s="104"/>
      <c r="I5" s="104"/>
      <c r="J5" s="104"/>
      <c r="K5" s="104"/>
      <c r="L5" s="104"/>
      <c r="M5" s="104"/>
      <c r="N5" s="104"/>
      <c r="O5" s="3"/>
    </row>
    <row r="6" spans="1:15" ht="22.5" customHeight="1">
      <c r="A6" s="3" t="s">
        <v>5</v>
      </c>
      <c r="B6" s="2" t="s">
        <v>6</v>
      </c>
      <c r="C6" s="2"/>
      <c r="D6" s="129" t="s">
        <v>7</v>
      </c>
      <c r="E6" s="130"/>
      <c r="F6" s="130"/>
      <c r="G6" s="130"/>
      <c r="H6" s="130"/>
      <c r="I6" s="130"/>
      <c r="J6" s="130"/>
      <c r="K6" s="130"/>
      <c r="L6" s="130"/>
      <c r="M6" s="130"/>
      <c r="N6" s="131"/>
      <c r="O6" s="3"/>
    </row>
    <row r="7" spans="1:15" ht="7.5" customHeight="1">
      <c r="A7" s="3"/>
      <c r="B7" s="2"/>
      <c r="C7" s="2"/>
      <c r="D7" s="2"/>
      <c r="E7" s="49"/>
      <c r="F7" s="104"/>
      <c r="G7" s="104"/>
      <c r="H7" s="104"/>
      <c r="I7" s="104"/>
      <c r="J7" s="104"/>
      <c r="K7" s="104"/>
      <c r="L7" s="104"/>
      <c r="M7" s="104"/>
      <c r="N7" s="104"/>
      <c r="O7" s="3"/>
    </row>
    <row r="8" spans="1:15" ht="22.5" customHeight="1">
      <c r="A8" s="50" t="s">
        <v>8</v>
      </c>
      <c r="B8" s="51" t="s">
        <v>9</v>
      </c>
      <c r="C8" s="129" t="s">
        <v>10</v>
      </c>
      <c r="D8" s="130"/>
      <c r="E8" s="131"/>
      <c r="F8" s="104"/>
      <c r="G8" s="146"/>
      <c r="H8" s="146"/>
      <c r="I8" s="146"/>
      <c r="J8" s="104"/>
      <c r="K8" s="104"/>
      <c r="L8" s="104"/>
      <c r="M8" s="104"/>
      <c r="N8" s="104"/>
      <c r="O8" s="3"/>
    </row>
    <row r="9" spans="1:15" ht="7.5" customHeight="1">
      <c r="A9" s="3"/>
      <c r="B9" s="2"/>
      <c r="C9" s="2"/>
      <c r="D9" s="2"/>
      <c r="E9" s="49"/>
      <c r="F9" s="104"/>
      <c r="G9" s="104"/>
      <c r="H9" s="104"/>
      <c r="I9" s="104"/>
      <c r="J9" s="104"/>
      <c r="K9" s="104"/>
      <c r="L9" s="104"/>
      <c r="M9" s="104"/>
      <c r="N9" s="104"/>
      <c r="O9" s="3"/>
    </row>
    <row r="10" spans="1:15" ht="22.5" customHeight="1">
      <c r="A10" s="3" t="s">
        <v>11</v>
      </c>
      <c r="B10" s="2" t="s">
        <v>12</v>
      </c>
      <c r="C10" s="129" t="s">
        <v>13</v>
      </c>
      <c r="D10" s="130"/>
      <c r="E10" s="130"/>
      <c r="F10" s="130"/>
      <c r="G10" s="130"/>
      <c r="H10" s="130"/>
      <c r="I10" s="130"/>
      <c r="J10" s="130"/>
      <c r="K10" s="130"/>
      <c r="L10" s="130"/>
      <c r="M10" s="130"/>
      <c r="N10" s="131"/>
      <c r="O10" s="3"/>
    </row>
    <row r="11" spans="1:15" ht="7.5" customHeight="1">
      <c r="A11" s="3"/>
      <c r="B11" s="2"/>
      <c r="C11" s="2"/>
      <c r="D11" s="2"/>
      <c r="E11" s="49"/>
      <c r="F11" s="104"/>
      <c r="G11" s="104"/>
      <c r="H11" s="104"/>
      <c r="I11" s="104"/>
      <c r="J11" s="104"/>
      <c r="K11" s="104"/>
      <c r="L11" s="104"/>
      <c r="M11" s="104"/>
      <c r="N11" s="104"/>
      <c r="O11" s="3"/>
    </row>
    <row r="12" spans="1:15" ht="22.5" customHeight="1">
      <c r="A12" s="3" t="s">
        <v>14</v>
      </c>
      <c r="B12" s="2" t="s">
        <v>15</v>
      </c>
      <c r="C12" s="2"/>
      <c r="D12" s="2"/>
      <c r="E12" s="104"/>
      <c r="F12" s="52"/>
      <c r="G12" s="134" t="s">
        <v>16</v>
      </c>
      <c r="H12" s="135"/>
      <c r="I12" s="135"/>
      <c r="J12" s="135"/>
      <c r="K12" s="135"/>
      <c r="L12" s="135"/>
      <c r="M12" s="135"/>
      <c r="N12" s="148"/>
      <c r="O12" s="3"/>
    </row>
    <row r="13" spans="1:15" ht="7.5" customHeight="1">
      <c r="A13" s="3"/>
      <c r="B13" s="49"/>
      <c r="C13" s="49"/>
      <c r="D13" s="49"/>
      <c r="E13" s="49"/>
      <c r="F13" s="104"/>
      <c r="G13" s="104"/>
      <c r="H13" s="104"/>
      <c r="I13" s="104"/>
      <c r="J13" s="104"/>
      <c r="K13" s="104"/>
      <c r="L13" s="104"/>
      <c r="M13" s="104"/>
      <c r="N13" s="104"/>
      <c r="O13" s="3"/>
    </row>
    <row r="14" spans="1:15" ht="22.5" customHeight="1">
      <c r="A14" s="3" t="s">
        <v>17</v>
      </c>
      <c r="B14" s="49" t="s">
        <v>18</v>
      </c>
      <c r="C14" s="49"/>
      <c r="D14" s="49"/>
      <c r="E14" s="49"/>
      <c r="F14" s="129" t="s">
        <v>19</v>
      </c>
      <c r="G14" s="130"/>
      <c r="H14" s="131"/>
      <c r="I14" s="104"/>
      <c r="J14" s="104"/>
      <c r="K14" s="104"/>
      <c r="L14" s="104"/>
      <c r="M14" s="104"/>
      <c r="N14" s="104"/>
      <c r="O14" s="3"/>
    </row>
    <row r="15" spans="1:15" ht="7.5" customHeight="1">
      <c r="A15" s="3"/>
      <c r="B15" s="49"/>
      <c r="C15" s="49"/>
      <c r="D15" s="49"/>
      <c r="E15" s="49"/>
      <c r="F15" s="104"/>
      <c r="G15" s="104"/>
      <c r="H15" s="104"/>
      <c r="I15" s="104"/>
      <c r="J15" s="104"/>
      <c r="K15" s="104"/>
      <c r="L15" s="104"/>
      <c r="M15" s="104"/>
      <c r="N15" s="104"/>
      <c r="O15" s="3"/>
    </row>
    <row r="16" spans="1:15" ht="22.5" customHeight="1">
      <c r="A16" s="3" t="s">
        <v>20</v>
      </c>
      <c r="B16" s="3" t="s">
        <v>21</v>
      </c>
      <c r="C16" s="143" t="s">
        <v>22</v>
      </c>
      <c r="D16" s="144"/>
      <c r="E16" s="132">
        <v>3300</v>
      </c>
      <c r="F16" s="133"/>
      <c r="G16" s="53" t="s">
        <v>23</v>
      </c>
      <c r="H16" s="3"/>
      <c r="I16" s="143" t="s">
        <v>24</v>
      </c>
      <c r="J16" s="144"/>
      <c r="K16" s="132">
        <v>1790</v>
      </c>
      <c r="L16" s="145"/>
      <c r="M16" s="133"/>
      <c r="N16" s="54" t="s">
        <v>23</v>
      </c>
      <c r="O16" s="3"/>
    </row>
    <row r="17" spans="1:15" ht="7.5" customHeight="1">
      <c r="A17" s="3"/>
      <c r="B17" s="3"/>
      <c r="C17" s="3"/>
      <c r="D17" s="3"/>
      <c r="E17" s="3"/>
      <c r="F17" s="55"/>
      <c r="G17" s="55"/>
      <c r="H17" s="55"/>
      <c r="I17" s="55"/>
      <c r="J17" s="55"/>
      <c r="K17" s="55"/>
      <c r="L17" s="55"/>
      <c r="M17" s="54"/>
      <c r="N17" s="54"/>
      <c r="O17" s="3"/>
    </row>
    <row r="18" spans="1:15" ht="22.5" customHeight="1">
      <c r="A18" s="3" t="s">
        <v>25</v>
      </c>
      <c r="B18" s="3" t="s">
        <v>26</v>
      </c>
      <c r="C18" s="3"/>
      <c r="D18" s="3"/>
      <c r="E18" s="3"/>
      <c r="F18" s="55"/>
      <c r="G18" s="55"/>
      <c r="H18" s="55"/>
      <c r="I18" s="55"/>
      <c r="J18" s="55"/>
      <c r="K18" s="139">
        <v>22</v>
      </c>
      <c r="L18" s="140"/>
      <c r="M18" s="141"/>
      <c r="N18" s="54" t="s">
        <v>23</v>
      </c>
      <c r="O18" s="3"/>
    </row>
    <row r="19" spans="1:15" ht="7.5" customHeight="1">
      <c r="A19" s="3"/>
      <c r="B19" s="3"/>
      <c r="C19" s="3"/>
      <c r="D19" s="3"/>
      <c r="E19" s="3"/>
      <c r="F19" s="55"/>
      <c r="G19" s="55"/>
      <c r="H19" s="55"/>
      <c r="I19" s="55"/>
      <c r="J19" s="55"/>
      <c r="K19" s="55"/>
      <c r="L19" s="55"/>
      <c r="M19" s="54"/>
      <c r="N19" s="54"/>
      <c r="O19" s="3"/>
    </row>
    <row r="20" spans="1:15" ht="22.5" customHeight="1">
      <c r="A20" s="3" t="s">
        <v>27</v>
      </c>
      <c r="B20" s="3" t="s">
        <v>28</v>
      </c>
      <c r="C20" s="3"/>
      <c r="D20" s="3"/>
      <c r="E20" s="132">
        <v>3255</v>
      </c>
      <c r="F20" s="133"/>
      <c r="G20" s="56" t="s">
        <v>29</v>
      </c>
      <c r="H20" s="55"/>
      <c r="I20" s="3"/>
      <c r="J20" s="3"/>
      <c r="K20" s="149"/>
      <c r="L20" s="149"/>
      <c r="M20" s="149"/>
      <c r="N20" s="149"/>
      <c r="O20" s="3"/>
    </row>
    <row r="21" spans="1:15" ht="7.5" customHeight="1">
      <c r="A21" s="3"/>
      <c r="B21" s="3"/>
      <c r="C21" s="3"/>
      <c r="D21" s="3"/>
      <c r="E21" s="57"/>
      <c r="F21" s="55"/>
      <c r="G21" s="55"/>
      <c r="H21" s="3"/>
      <c r="I21" s="3"/>
      <c r="J21" s="3"/>
      <c r="K21" s="3"/>
      <c r="L21" s="106"/>
      <c r="M21" s="106"/>
      <c r="N21" s="58"/>
      <c r="O21" s="3"/>
    </row>
    <row r="22" spans="1:15" ht="22.5" customHeight="1">
      <c r="A22" s="3" t="s">
        <v>30</v>
      </c>
      <c r="B22" s="3" t="s">
        <v>31</v>
      </c>
      <c r="C22" s="3"/>
      <c r="D22" s="3"/>
      <c r="E22" s="57"/>
      <c r="F22" s="55"/>
      <c r="G22" s="55"/>
      <c r="H22" s="3" t="s">
        <v>32</v>
      </c>
      <c r="I22" s="3"/>
      <c r="J22" s="150">
        <v>15194</v>
      </c>
      <c r="K22" s="140"/>
      <c r="L22" s="141"/>
      <c r="M22" s="106" t="s">
        <v>23</v>
      </c>
      <c r="N22" s="58"/>
      <c r="O22" s="3"/>
    </row>
    <row r="23" spans="1:15" ht="7.5" customHeight="1">
      <c r="A23" s="3"/>
      <c r="B23" s="3"/>
      <c r="C23" s="3"/>
      <c r="D23" s="3"/>
      <c r="E23" s="57"/>
      <c r="F23" s="55"/>
      <c r="G23" s="55"/>
      <c r="H23" s="3"/>
      <c r="I23" s="3"/>
      <c r="J23" s="3"/>
      <c r="K23" s="3"/>
      <c r="L23" s="106"/>
      <c r="M23" s="106"/>
      <c r="N23" s="58"/>
      <c r="O23" s="3"/>
    </row>
    <row r="24" spans="1:15" ht="22.5" customHeight="1">
      <c r="A24" s="3"/>
      <c r="B24" s="109" t="s">
        <v>33</v>
      </c>
      <c r="C24" s="132">
        <v>3400</v>
      </c>
      <c r="D24" s="133"/>
      <c r="E24" s="57" t="s">
        <v>23</v>
      </c>
      <c r="F24" s="55"/>
      <c r="G24" s="128" t="s">
        <v>34</v>
      </c>
      <c r="H24" s="128"/>
      <c r="I24" s="132">
        <v>3477</v>
      </c>
      <c r="J24" s="133"/>
      <c r="K24" s="50" t="s">
        <v>23</v>
      </c>
      <c r="L24" s="3"/>
      <c r="M24" s="106"/>
      <c r="N24" s="58"/>
      <c r="O24" s="3"/>
    </row>
    <row r="25" spans="1:15" ht="7.5" customHeight="1">
      <c r="A25" s="3"/>
      <c r="B25" s="109"/>
      <c r="C25" s="59"/>
      <c r="D25" s="59"/>
      <c r="E25" s="57"/>
      <c r="F25" s="55"/>
      <c r="G25" s="106"/>
      <c r="H25" s="106"/>
      <c r="I25" s="59"/>
      <c r="J25" s="59"/>
      <c r="K25" s="50"/>
      <c r="L25" s="3"/>
      <c r="M25" s="106"/>
      <c r="N25" s="58"/>
      <c r="O25" s="3"/>
    </row>
    <row r="26" spans="1:15" ht="22.5" customHeight="1">
      <c r="A26" s="3"/>
      <c r="B26" s="109" t="s">
        <v>35</v>
      </c>
      <c r="C26" s="132">
        <v>3407</v>
      </c>
      <c r="D26" s="133"/>
      <c r="E26" s="57" t="s">
        <v>23</v>
      </c>
      <c r="F26" s="55"/>
      <c r="G26" s="128" t="s">
        <v>36</v>
      </c>
      <c r="H26" s="128"/>
      <c r="I26" s="132">
        <v>4539</v>
      </c>
      <c r="J26" s="133"/>
      <c r="K26" s="50" t="s">
        <v>23</v>
      </c>
      <c r="L26" s="3"/>
      <c r="M26" s="106"/>
      <c r="N26" s="58"/>
      <c r="O26" s="3"/>
    </row>
    <row r="27" spans="1:15" ht="7.5" customHeight="1">
      <c r="A27" s="3"/>
      <c r="B27" s="109"/>
      <c r="C27" s="59"/>
      <c r="D27" s="59"/>
      <c r="E27" s="57"/>
      <c r="F27" s="55"/>
      <c r="G27" s="106"/>
      <c r="H27" s="106"/>
      <c r="I27" s="59"/>
      <c r="J27" s="59"/>
      <c r="K27" s="50"/>
      <c r="L27" s="3"/>
      <c r="M27" s="106"/>
      <c r="N27" s="58"/>
      <c r="O27" s="3"/>
    </row>
    <row r="28" spans="1:15" ht="22.5" customHeight="1">
      <c r="A28" s="3"/>
      <c r="B28" s="109" t="s">
        <v>37</v>
      </c>
      <c r="C28" s="132">
        <v>182</v>
      </c>
      <c r="D28" s="133"/>
      <c r="E28" s="57" t="s">
        <v>23</v>
      </c>
      <c r="F28" s="55"/>
      <c r="G28" s="128" t="s">
        <v>38</v>
      </c>
      <c r="H28" s="128"/>
      <c r="I28" s="132">
        <v>189</v>
      </c>
      <c r="J28" s="133"/>
      <c r="K28" s="50" t="s">
        <v>23</v>
      </c>
      <c r="L28" s="3"/>
      <c r="M28" s="106"/>
      <c r="N28" s="58"/>
      <c r="O28" s="3"/>
    </row>
    <row r="29" spans="1:15" ht="7.5" customHeight="1">
      <c r="A29" s="3"/>
      <c r="B29" s="3"/>
      <c r="C29" s="3"/>
      <c r="D29" s="3"/>
      <c r="E29" s="3"/>
      <c r="F29" s="55"/>
      <c r="G29" s="55"/>
      <c r="H29" s="3"/>
      <c r="I29" s="3"/>
      <c r="J29" s="3"/>
      <c r="K29" s="3"/>
      <c r="L29" s="3"/>
      <c r="M29" s="60"/>
      <c r="N29" s="60"/>
      <c r="O29" s="3"/>
    </row>
    <row r="30" spans="1:15" ht="22.5" customHeight="1">
      <c r="A30" s="3" t="s">
        <v>39</v>
      </c>
      <c r="B30" s="2" t="s">
        <v>40</v>
      </c>
      <c r="C30" s="2"/>
      <c r="D30" s="2"/>
      <c r="E30" s="2"/>
      <c r="F30" s="50"/>
      <c r="G30" s="104"/>
      <c r="H30" s="104"/>
      <c r="I30" s="104"/>
      <c r="J30" s="61"/>
      <c r="K30" s="61"/>
      <c r="L30" s="61"/>
      <c r="M30" s="61"/>
      <c r="N30" s="61"/>
      <c r="O30" s="3"/>
    </row>
    <row r="31" spans="1:15" s="9" customFormat="1" ht="22.5" customHeight="1">
      <c r="A31" s="3"/>
      <c r="B31" s="136" t="s">
        <v>41</v>
      </c>
      <c r="C31" s="136"/>
      <c r="D31" s="129" t="s">
        <v>42</v>
      </c>
      <c r="E31" s="130"/>
      <c r="F31" s="130"/>
      <c r="G31" s="137" t="s">
        <v>43</v>
      </c>
      <c r="H31" s="136"/>
      <c r="I31" s="138"/>
      <c r="J31" s="129" t="s">
        <v>44</v>
      </c>
      <c r="K31" s="130"/>
      <c r="L31" s="130"/>
      <c r="M31" s="130"/>
      <c r="N31" s="131"/>
      <c r="O31" s="3"/>
    </row>
    <row r="32" spans="1:15" ht="7.5" customHeight="1">
      <c r="A32" s="3"/>
      <c r="B32" s="3"/>
      <c r="C32" s="3"/>
      <c r="D32" s="3"/>
      <c r="E32" s="3"/>
      <c r="F32" s="55"/>
      <c r="G32" s="55"/>
      <c r="H32" s="3"/>
      <c r="I32" s="3"/>
      <c r="J32" s="3"/>
      <c r="K32" s="3"/>
      <c r="L32" s="3"/>
      <c r="M32" s="60"/>
      <c r="N32" s="60"/>
      <c r="O32" s="3"/>
    </row>
    <row r="33" spans="1:15" ht="22.5" customHeight="1">
      <c r="A33" s="3" t="s">
        <v>45</v>
      </c>
      <c r="B33" s="2" t="s">
        <v>46</v>
      </c>
      <c r="C33" s="2"/>
      <c r="D33" s="2"/>
      <c r="E33" s="2"/>
      <c r="F33" s="50"/>
      <c r="G33" s="61"/>
      <c r="H33" s="61"/>
      <c r="I33" s="61"/>
      <c r="J33" s="61"/>
      <c r="K33" s="61"/>
      <c r="L33" s="61"/>
      <c r="M33" s="61"/>
      <c r="N33" s="61"/>
      <c r="O33" s="3"/>
    </row>
    <row r="34" spans="1:15" ht="22.5" customHeight="1">
      <c r="A34" s="3"/>
      <c r="B34" s="129" t="s">
        <v>47</v>
      </c>
      <c r="C34" s="130"/>
      <c r="D34" s="130"/>
      <c r="E34" s="130"/>
      <c r="F34" s="130"/>
      <c r="G34" s="130"/>
      <c r="H34" s="130"/>
      <c r="I34" s="130"/>
      <c r="J34" s="130"/>
      <c r="K34" s="130"/>
      <c r="L34" s="130"/>
      <c r="M34" s="130"/>
      <c r="N34" s="131"/>
      <c r="O34" s="3"/>
    </row>
    <row r="35" spans="1:15" ht="7.5" customHeight="1">
      <c r="A35" s="3"/>
      <c r="B35" s="108"/>
      <c r="C35" s="108"/>
      <c r="D35" s="108"/>
      <c r="E35" s="108"/>
      <c r="F35" s="108"/>
      <c r="G35" s="108"/>
      <c r="H35" s="108"/>
      <c r="I35" s="108"/>
      <c r="J35" s="108"/>
      <c r="K35" s="108"/>
      <c r="L35" s="108"/>
      <c r="M35" s="108"/>
      <c r="N35" s="108"/>
      <c r="O35" s="3"/>
    </row>
    <row r="36" spans="1:15" s="9" customFormat="1" ht="22.5" customHeight="1">
      <c r="A36" s="3"/>
      <c r="B36" s="136" t="s">
        <v>41</v>
      </c>
      <c r="C36" s="136"/>
      <c r="D36" s="129" t="s">
        <v>48</v>
      </c>
      <c r="E36" s="130"/>
      <c r="F36" s="130"/>
      <c r="G36" s="137" t="s">
        <v>43</v>
      </c>
      <c r="H36" s="136"/>
      <c r="I36" s="138"/>
      <c r="J36" s="129" t="s">
        <v>49</v>
      </c>
      <c r="K36" s="130"/>
      <c r="L36" s="130"/>
      <c r="M36" s="130"/>
      <c r="N36" s="131"/>
      <c r="O36" s="3"/>
    </row>
    <row r="37" spans="1:15" ht="7.5" customHeight="1">
      <c r="A37" s="3"/>
      <c r="B37" s="3"/>
      <c r="C37" s="3"/>
      <c r="D37" s="3"/>
      <c r="E37" s="3"/>
      <c r="F37" s="104"/>
      <c r="G37" s="104"/>
      <c r="H37" s="104"/>
      <c r="I37" s="104"/>
      <c r="J37" s="104"/>
      <c r="K37" s="104"/>
      <c r="L37" s="104"/>
      <c r="M37" s="104"/>
      <c r="N37" s="104"/>
      <c r="O37" s="3"/>
    </row>
    <row r="38" spans="1:15" ht="22.5" customHeight="1">
      <c r="A38" s="3" t="s">
        <v>50</v>
      </c>
      <c r="B38" s="3" t="s">
        <v>51</v>
      </c>
      <c r="C38" s="3"/>
      <c r="D38" s="3"/>
      <c r="E38" s="3"/>
      <c r="F38" s="3"/>
      <c r="G38" s="3"/>
      <c r="H38" s="3"/>
      <c r="I38" s="3"/>
      <c r="J38" s="3"/>
      <c r="K38" s="3"/>
      <c r="L38" s="3"/>
      <c r="M38" s="60"/>
      <c r="N38" s="60"/>
      <c r="O38" s="3"/>
    </row>
    <row r="39" spans="1:15" ht="22.5" customHeight="1">
      <c r="A39" s="3"/>
      <c r="B39" s="129" t="s">
        <v>52</v>
      </c>
      <c r="C39" s="130"/>
      <c r="D39" s="130"/>
      <c r="E39" s="130"/>
      <c r="F39" s="130"/>
      <c r="G39" s="130"/>
      <c r="H39" s="130"/>
      <c r="I39" s="130"/>
      <c r="J39" s="130"/>
      <c r="K39" s="130"/>
      <c r="L39" s="130"/>
      <c r="M39" s="130"/>
      <c r="N39" s="131"/>
      <c r="O39" s="3"/>
    </row>
    <row r="40" spans="1:15" ht="7.5" customHeight="1">
      <c r="A40" s="3"/>
      <c r="B40" s="3"/>
      <c r="C40" s="3"/>
      <c r="D40" s="3"/>
      <c r="E40" s="3"/>
      <c r="F40" s="104"/>
      <c r="G40" s="104"/>
      <c r="H40" s="104"/>
      <c r="I40" s="104"/>
      <c r="J40" s="104"/>
      <c r="K40" s="104"/>
      <c r="L40" s="104"/>
      <c r="M40" s="104"/>
      <c r="N40" s="104"/>
      <c r="O40" s="3"/>
    </row>
    <row r="41" spans="1:15" s="9" customFormat="1" ht="22.5" customHeight="1">
      <c r="A41" s="3"/>
      <c r="B41" s="136" t="s">
        <v>41</v>
      </c>
      <c r="C41" s="136"/>
      <c r="D41" s="129" t="s">
        <v>53</v>
      </c>
      <c r="E41" s="130"/>
      <c r="F41" s="130"/>
      <c r="G41" s="137" t="s">
        <v>43</v>
      </c>
      <c r="H41" s="136"/>
      <c r="I41" s="138"/>
      <c r="J41" s="129" t="s">
        <v>54</v>
      </c>
      <c r="K41" s="130"/>
      <c r="L41" s="130"/>
      <c r="M41" s="130"/>
      <c r="N41" s="131"/>
      <c r="O41" s="3"/>
    </row>
    <row r="42" spans="1:15" ht="7.5" customHeight="1">
      <c r="A42" s="3"/>
      <c r="B42" s="3"/>
      <c r="C42" s="3"/>
      <c r="D42" s="3"/>
      <c r="E42" s="3"/>
      <c r="F42" s="104"/>
      <c r="G42" s="104"/>
      <c r="H42" s="104"/>
      <c r="I42" s="104"/>
      <c r="J42" s="104"/>
      <c r="K42" s="104"/>
      <c r="L42" s="104"/>
      <c r="M42" s="104"/>
      <c r="N42" s="104"/>
      <c r="O42" s="3"/>
    </row>
    <row r="43" spans="1:15" ht="22.5" customHeight="1">
      <c r="A43" s="3" t="s">
        <v>55</v>
      </c>
      <c r="B43" s="62" t="s">
        <v>56</v>
      </c>
      <c r="C43" s="3"/>
      <c r="D43" s="3"/>
      <c r="E43" s="52"/>
      <c r="F43" s="129" t="s">
        <v>57</v>
      </c>
      <c r="G43" s="130"/>
      <c r="H43" s="130"/>
      <c r="I43" s="130"/>
      <c r="J43" s="130"/>
      <c r="K43" s="130"/>
      <c r="L43" s="130"/>
      <c r="M43" s="130"/>
      <c r="N43" s="131"/>
      <c r="O43" s="3"/>
    </row>
    <row r="44" spans="1:15" ht="7.5" customHeight="1">
      <c r="A44" s="3"/>
      <c r="B44" s="3"/>
      <c r="C44" s="3"/>
      <c r="D44" s="3"/>
      <c r="E44" s="3"/>
      <c r="F44" s="104"/>
      <c r="G44" s="104"/>
      <c r="H44" s="104"/>
      <c r="I44" s="104"/>
      <c r="J44" s="104"/>
      <c r="K44" s="104"/>
      <c r="L44" s="104"/>
      <c r="M44" s="104"/>
      <c r="N44" s="104"/>
      <c r="O44" s="3"/>
    </row>
    <row r="45" spans="1:15" ht="22.5" customHeight="1">
      <c r="A45" s="3" t="s">
        <v>58</v>
      </c>
      <c r="B45" s="3"/>
      <c r="C45" s="3"/>
      <c r="D45" s="3"/>
      <c r="E45" s="3"/>
      <c r="F45" s="3"/>
      <c r="G45" s="3"/>
      <c r="H45" s="3"/>
      <c r="I45" s="3"/>
      <c r="J45" s="3"/>
      <c r="K45" s="3"/>
      <c r="L45" s="3"/>
      <c r="M45" s="3"/>
      <c r="N45" s="3"/>
      <c r="O45" s="3"/>
    </row>
    <row r="46" spans="1:15" ht="22.5" customHeight="1">
      <c r="A46" s="3"/>
      <c r="B46" s="63" t="s">
        <v>59</v>
      </c>
      <c r="C46" s="134" t="s">
        <v>47</v>
      </c>
      <c r="D46" s="135"/>
      <c r="E46" s="135"/>
      <c r="F46" s="135"/>
      <c r="G46" s="135"/>
      <c r="H46" s="135"/>
      <c r="I46" s="64" t="s">
        <v>60</v>
      </c>
      <c r="J46" s="65"/>
      <c r="K46" s="129" t="s">
        <v>61</v>
      </c>
      <c r="L46" s="130"/>
      <c r="M46" s="130"/>
      <c r="N46" s="131"/>
      <c r="O46" s="3"/>
    </row>
    <row r="47" spans="1:15" ht="22.5" customHeight="1">
      <c r="A47" s="3"/>
      <c r="B47" s="63" t="s">
        <v>62</v>
      </c>
      <c r="C47" s="122" t="s">
        <v>63</v>
      </c>
      <c r="D47" s="123"/>
      <c r="E47" s="123"/>
      <c r="F47" s="123"/>
      <c r="G47" s="123"/>
      <c r="H47" s="124"/>
      <c r="I47" s="64" t="s">
        <v>64</v>
      </c>
      <c r="J47" s="65"/>
      <c r="K47" s="125" t="s">
        <v>65</v>
      </c>
      <c r="L47" s="126"/>
      <c r="M47" s="126"/>
      <c r="N47" s="127"/>
      <c r="O47" s="3"/>
    </row>
    <row r="48" spans="1:15" ht="18.75" customHeight="1">
      <c r="A48" s="3"/>
      <c r="B48" s="3"/>
      <c r="C48" s="3"/>
      <c r="D48" s="3"/>
      <c r="E48" s="3"/>
      <c r="F48" s="3"/>
      <c r="G48" s="3"/>
      <c r="H48" s="3"/>
      <c r="I48" s="3"/>
      <c r="J48" s="3"/>
      <c r="K48" s="3"/>
      <c r="L48" s="3"/>
      <c r="M48" s="3"/>
      <c r="N48" s="3"/>
      <c r="O48" s="3"/>
    </row>
    <row r="49" spans="1:15" ht="18.75" customHeight="1">
      <c r="A49" s="3"/>
      <c r="B49" s="3"/>
      <c r="C49" s="3"/>
      <c r="D49" s="3"/>
      <c r="E49" s="3"/>
      <c r="F49" s="3"/>
      <c r="G49" s="3"/>
      <c r="H49" s="3"/>
      <c r="I49" s="3"/>
      <c r="J49" s="3"/>
      <c r="K49" s="3"/>
      <c r="L49" s="3"/>
      <c r="M49" s="3"/>
      <c r="N49" s="3"/>
      <c r="O49" s="3"/>
    </row>
    <row r="50" spans="1:15" ht="18.75" customHeight="1">
      <c r="A50" s="3"/>
      <c r="B50" s="3"/>
      <c r="C50" s="3"/>
      <c r="D50" s="3"/>
      <c r="E50" s="3"/>
      <c r="F50" s="3"/>
      <c r="G50" s="3"/>
      <c r="H50" s="3"/>
      <c r="I50" s="3"/>
      <c r="J50" s="3"/>
      <c r="K50" s="3"/>
      <c r="L50" s="3"/>
      <c r="M50" s="3"/>
      <c r="N50" s="3"/>
      <c r="O50" s="3"/>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3"/>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21" sqref="B21:E21"/>
    </sheetView>
  </sheetViews>
  <sheetFormatPr defaultColWidth="9" defaultRowHeight="18.75" customHeight="1"/>
  <cols>
    <col min="1" max="2" width="2.5" style="8" customWidth="1"/>
    <col min="3" max="3" width="20" style="8" customWidth="1"/>
    <col min="4" max="4" width="8.625" style="8" customWidth="1"/>
    <col min="5" max="5" width="7.5" style="8" customWidth="1"/>
    <col min="6" max="6" width="2.5" style="8" customWidth="1"/>
    <col min="7" max="7" width="15" style="8" customWidth="1"/>
    <col min="8" max="8" width="12.5" style="8" customWidth="1"/>
    <col min="9" max="9" width="11.125" style="8" customWidth="1"/>
    <col min="10" max="16384" width="9" style="8"/>
  </cols>
  <sheetData>
    <row r="1" spans="1:9" ht="18.75" customHeight="1">
      <c r="I1" s="107" t="s">
        <v>66</v>
      </c>
    </row>
    <row r="2" spans="1:9" ht="18.75" customHeight="1">
      <c r="G2" s="11" t="s">
        <v>67</v>
      </c>
      <c r="H2" s="157" t="s">
        <v>68</v>
      </c>
      <c r="I2" s="157"/>
    </row>
    <row r="3" spans="1:9" ht="7.5" customHeight="1"/>
    <row r="4" spans="1:9" ht="18.75" customHeight="1">
      <c r="A4" s="158" t="s">
        <v>69</v>
      </c>
      <c r="B4" s="158"/>
      <c r="C4" s="158"/>
      <c r="D4" s="158"/>
      <c r="E4" s="158"/>
      <c r="F4" s="158"/>
      <c r="G4" s="158"/>
      <c r="H4" s="158"/>
      <c r="I4" s="158"/>
    </row>
    <row r="5" spans="1:9" ht="7.5" customHeight="1">
      <c r="C5" s="110"/>
      <c r="D5" s="110"/>
      <c r="E5" s="110"/>
      <c r="F5" s="110"/>
      <c r="G5" s="110"/>
      <c r="H5" s="110"/>
      <c r="I5" s="110"/>
    </row>
    <row r="6" spans="1:9" ht="18.75" customHeight="1">
      <c r="A6" s="8" t="s">
        <v>2</v>
      </c>
      <c r="B6" s="8" t="s">
        <v>70</v>
      </c>
      <c r="C6" s="110"/>
      <c r="D6" s="110"/>
      <c r="E6" s="139" t="s">
        <v>71</v>
      </c>
      <c r="F6" s="159"/>
      <c r="G6" s="159"/>
      <c r="H6" s="159"/>
      <c r="I6" s="160"/>
    </row>
    <row r="7" spans="1:9" ht="7.5" customHeight="1">
      <c r="C7" s="110"/>
      <c r="D7" s="110"/>
      <c r="F7" s="17"/>
      <c r="G7" s="17"/>
      <c r="H7" s="17"/>
      <c r="I7" s="17"/>
    </row>
    <row r="8" spans="1:9" ht="18.75" customHeight="1">
      <c r="A8" s="8" t="s">
        <v>5</v>
      </c>
      <c r="B8" s="8" t="s">
        <v>72</v>
      </c>
      <c r="C8" s="110"/>
      <c r="D8" s="110"/>
      <c r="E8" s="110"/>
      <c r="F8" s="110"/>
      <c r="G8" s="110"/>
      <c r="H8" s="110"/>
      <c r="I8" s="110"/>
    </row>
    <row r="9" spans="1:9" ht="18.75" customHeight="1">
      <c r="B9" s="161" t="s">
        <v>73</v>
      </c>
      <c r="C9" s="162"/>
      <c r="D9" s="162"/>
      <c r="E9" s="162"/>
      <c r="F9" s="162"/>
      <c r="G9" s="162"/>
      <c r="H9" s="162"/>
      <c r="I9" s="163"/>
    </row>
    <row r="10" spans="1:9" ht="18.75" customHeight="1">
      <c r="B10" s="164"/>
      <c r="C10" s="165"/>
      <c r="D10" s="165"/>
      <c r="E10" s="165"/>
      <c r="F10" s="165"/>
      <c r="G10" s="165"/>
      <c r="H10" s="165"/>
      <c r="I10" s="166"/>
    </row>
    <row r="11" spans="1:9" ht="18.75" customHeight="1">
      <c r="B11" s="164"/>
      <c r="C11" s="165"/>
      <c r="D11" s="165"/>
      <c r="E11" s="165"/>
      <c r="F11" s="165"/>
      <c r="G11" s="165"/>
      <c r="H11" s="165"/>
      <c r="I11" s="166"/>
    </row>
    <row r="12" spans="1:9" ht="18.75" customHeight="1">
      <c r="B12" s="164"/>
      <c r="C12" s="165"/>
      <c r="D12" s="165"/>
      <c r="E12" s="165"/>
      <c r="F12" s="165"/>
      <c r="G12" s="165"/>
      <c r="H12" s="165"/>
      <c r="I12" s="166"/>
    </row>
    <row r="13" spans="1:9" ht="18.75" customHeight="1">
      <c r="B13" s="164"/>
      <c r="C13" s="165"/>
      <c r="D13" s="165"/>
      <c r="E13" s="165"/>
      <c r="F13" s="165"/>
      <c r="G13" s="165"/>
      <c r="H13" s="165"/>
      <c r="I13" s="166"/>
    </row>
    <row r="14" spans="1:9" ht="18.75" customHeight="1">
      <c r="B14" s="164"/>
      <c r="C14" s="165"/>
      <c r="D14" s="165"/>
      <c r="E14" s="165"/>
      <c r="F14" s="165"/>
      <c r="G14" s="165"/>
      <c r="H14" s="165"/>
      <c r="I14" s="166"/>
    </row>
    <row r="15" spans="1:9" ht="18.75" customHeight="1">
      <c r="B15" s="164"/>
      <c r="C15" s="165"/>
      <c r="D15" s="165"/>
      <c r="E15" s="165"/>
      <c r="F15" s="165"/>
      <c r="G15" s="165"/>
      <c r="H15" s="165"/>
      <c r="I15" s="166"/>
    </row>
    <row r="16" spans="1:9" ht="18.75" customHeight="1">
      <c r="B16" s="167"/>
      <c r="C16" s="168"/>
      <c r="D16" s="168"/>
      <c r="E16" s="168"/>
      <c r="F16" s="168"/>
      <c r="G16" s="168"/>
      <c r="H16" s="168"/>
      <c r="I16" s="169"/>
    </row>
    <row r="17" spans="1:10" ht="7.5" customHeight="1">
      <c r="C17" s="110"/>
      <c r="D17" s="110"/>
      <c r="E17" s="110"/>
      <c r="F17" s="110"/>
      <c r="G17" s="110"/>
      <c r="H17" s="110"/>
      <c r="I17" s="110"/>
    </row>
    <row r="18" spans="1:10" ht="18.75" customHeight="1">
      <c r="A18" s="110" t="s">
        <v>8</v>
      </c>
      <c r="B18" s="10" t="s">
        <v>74</v>
      </c>
      <c r="C18" s="10"/>
      <c r="D18" s="10"/>
      <c r="E18" s="10"/>
      <c r="F18" s="110"/>
      <c r="G18" s="110"/>
      <c r="H18" s="110"/>
      <c r="I18" s="110"/>
      <c r="J18" s="110"/>
    </row>
    <row r="19" spans="1:10" ht="18.75" customHeight="1">
      <c r="A19" s="170" t="s">
        <v>74</v>
      </c>
      <c r="B19" s="170"/>
      <c r="C19" s="170"/>
      <c r="D19" s="170"/>
      <c r="E19" s="170"/>
      <c r="F19" s="171" t="s">
        <v>74</v>
      </c>
      <c r="G19" s="171"/>
      <c r="H19" s="171"/>
      <c r="I19" s="171"/>
    </row>
    <row r="20" spans="1:10" ht="18.75" customHeight="1">
      <c r="A20" s="18">
        <v>1</v>
      </c>
      <c r="B20" s="134" t="s">
        <v>75</v>
      </c>
      <c r="C20" s="135"/>
      <c r="D20" s="135"/>
      <c r="E20" s="148"/>
      <c r="F20" s="18">
        <v>26</v>
      </c>
      <c r="G20" s="151"/>
      <c r="H20" s="152"/>
      <c r="I20" s="153"/>
    </row>
    <row r="21" spans="1:10" ht="18.75" customHeight="1">
      <c r="A21" s="18">
        <v>2</v>
      </c>
      <c r="B21" s="134" t="s">
        <v>76</v>
      </c>
      <c r="C21" s="135"/>
      <c r="D21" s="135"/>
      <c r="E21" s="148"/>
      <c r="F21" s="18">
        <v>27</v>
      </c>
      <c r="G21" s="151"/>
      <c r="H21" s="152"/>
      <c r="I21" s="153"/>
    </row>
    <row r="22" spans="1:10" ht="18.75" customHeight="1">
      <c r="A22" s="18">
        <v>3</v>
      </c>
      <c r="B22" s="134" t="s">
        <v>77</v>
      </c>
      <c r="C22" s="135"/>
      <c r="D22" s="135"/>
      <c r="E22" s="148"/>
      <c r="F22" s="18">
        <v>28</v>
      </c>
      <c r="G22" s="151"/>
      <c r="H22" s="152"/>
      <c r="I22" s="153"/>
    </row>
    <row r="23" spans="1:10" ht="18.75" customHeight="1">
      <c r="A23" s="18">
        <v>4</v>
      </c>
      <c r="B23" s="134" t="s">
        <v>78</v>
      </c>
      <c r="C23" s="135"/>
      <c r="D23" s="135"/>
      <c r="E23" s="148"/>
      <c r="F23" s="18">
        <v>29</v>
      </c>
      <c r="G23" s="151"/>
      <c r="H23" s="152"/>
      <c r="I23" s="153"/>
    </row>
    <row r="24" spans="1:10" ht="18.75" customHeight="1">
      <c r="A24" s="18">
        <v>5</v>
      </c>
      <c r="B24" s="134" t="s">
        <v>79</v>
      </c>
      <c r="C24" s="135"/>
      <c r="D24" s="135"/>
      <c r="E24" s="148"/>
      <c r="F24" s="18">
        <v>30</v>
      </c>
      <c r="G24" s="151"/>
      <c r="H24" s="152"/>
      <c r="I24" s="153"/>
    </row>
    <row r="25" spans="1:10" ht="18.75" customHeight="1">
      <c r="A25" s="18">
        <v>6</v>
      </c>
      <c r="B25" s="134" t="s">
        <v>80</v>
      </c>
      <c r="C25" s="135"/>
      <c r="D25" s="135"/>
      <c r="E25" s="148"/>
      <c r="F25" s="18">
        <v>31</v>
      </c>
      <c r="G25" s="151"/>
      <c r="H25" s="152"/>
      <c r="I25" s="153"/>
    </row>
    <row r="26" spans="1:10" ht="18.75" customHeight="1">
      <c r="A26" s="18">
        <v>7</v>
      </c>
      <c r="B26" s="134" t="s">
        <v>81</v>
      </c>
      <c r="C26" s="135"/>
      <c r="D26" s="135"/>
      <c r="E26" s="148"/>
      <c r="F26" s="18">
        <v>32</v>
      </c>
      <c r="G26" s="151"/>
      <c r="H26" s="152"/>
      <c r="I26" s="153"/>
    </row>
    <row r="27" spans="1:10" ht="18.75" customHeight="1">
      <c r="A27" s="18">
        <v>8</v>
      </c>
      <c r="B27" s="154" t="s">
        <v>82</v>
      </c>
      <c r="C27" s="155"/>
      <c r="D27" s="155"/>
      <c r="E27" s="156"/>
      <c r="F27" s="18">
        <v>33</v>
      </c>
      <c r="G27" s="151"/>
      <c r="H27" s="152"/>
      <c r="I27" s="153"/>
    </row>
    <row r="28" spans="1:10" ht="18.75" customHeight="1">
      <c r="A28" s="18">
        <v>9</v>
      </c>
      <c r="B28" s="134" t="s">
        <v>83</v>
      </c>
      <c r="C28" s="135"/>
      <c r="D28" s="135"/>
      <c r="E28" s="148"/>
      <c r="F28" s="18">
        <v>34</v>
      </c>
      <c r="G28" s="151"/>
      <c r="H28" s="152"/>
      <c r="I28" s="153"/>
    </row>
    <row r="29" spans="1:10" ht="18.75" customHeight="1">
      <c r="A29" s="18">
        <v>10</v>
      </c>
      <c r="B29" s="134" t="s">
        <v>84</v>
      </c>
      <c r="C29" s="135"/>
      <c r="D29" s="135"/>
      <c r="E29" s="148"/>
      <c r="F29" s="18">
        <v>35</v>
      </c>
      <c r="G29" s="151"/>
      <c r="H29" s="152"/>
      <c r="I29" s="153"/>
    </row>
    <row r="30" spans="1:10" ht="18.75" customHeight="1">
      <c r="A30" s="18">
        <v>11</v>
      </c>
      <c r="B30" s="134"/>
      <c r="C30" s="135"/>
      <c r="D30" s="135"/>
      <c r="E30" s="148"/>
      <c r="F30" s="18">
        <v>36</v>
      </c>
      <c r="G30" s="151"/>
      <c r="H30" s="152"/>
      <c r="I30" s="153"/>
    </row>
    <row r="31" spans="1:10" ht="18.75" customHeight="1">
      <c r="A31" s="18">
        <v>12</v>
      </c>
      <c r="B31" s="134"/>
      <c r="C31" s="135"/>
      <c r="D31" s="135"/>
      <c r="E31" s="148"/>
      <c r="F31" s="18">
        <v>37</v>
      </c>
      <c r="G31" s="151"/>
      <c r="H31" s="152"/>
      <c r="I31" s="153"/>
    </row>
    <row r="32" spans="1:10" ht="18.75" customHeight="1">
      <c r="A32" s="18">
        <v>13</v>
      </c>
      <c r="B32" s="134"/>
      <c r="C32" s="135"/>
      <c r="D32" s="135"/>
      <c r="E32" s="148"/>
      <c r="F32" s="18">
        <v>38</v>
      </c>
      <c r="G32" s="151"/>
      <c r="H32" s="152"/>
      <c r="I32" s="153"/>
    </row>
    <row r="33" spans="1:9" ht="18.75" customHeight="1">
      <c r="A33" s="18">
        <v>14</v>
      </c>
      <c r="B33" s="151"/>
      <c r="C33" s="152"/>
      <c r="D33" s="152"/>
      <c r="E33" s="153"/>
      <c r="F33" s="18">
        <v>39</v>
      </c>
      <c r="G33" s="151"/>
      <c r="H33" s="152"/>
      <c r="I33" s="153"/>
    </row>
    <row r="34" spans="1:9" ht="18.75" customHeight="1">
      <c r="A34" s="18">
        <v>15</v>
      </c>
      <c r="B34" s="151"/>
      <c r="C34" s="152"/>
      <c r="D34" s="152"/>
      <c r="E34" s="153"/>
      <c r="F34" s="18">
        <v>40</v>
      </c>
      <c r="G34" s="151"/>
      <c r="H34" s="152"/>
      <c r="I34" s="153"/>
    </row>
    <row r="35" spans="1:9" ht="18.75" customHeight="1">
      <c r="A35" s="18">
        <v>16</v>
      </c>
      <c r="B35" s="151"/>
      <c r="C35" s="152"/>
      <c r="D35" s="152"/>
      <c r="E35" s="153"/>
      <c r="F35" s="18">
        <v>41</v>
      </c>
      <c r="G35" s="151"/>
      <c r="H35" s="152"/>
      <c r="I35" s="153"/>
    </row>
    <row r="36" spans="1:9" ht="18.75" customHeight="1">
      <c r="A36" s="18">
        <v>17</v>
      </c>
      <c r="B36" s="151"/>
      <c r="C36" s="152"/>
      <c r="D36" s="152"/>
      <c r="E36" s="153"/>
      <c r="F36" s="18">
        <v>42</v>
      </c>
      <c r="G36" s="151"/>
      <c r="H36" s="152"/>
      <c r="I36" s="153"/>
    </row>
    <row r="37" spans="1:9" ht="18.75" customHeight="1">
      <c r="A37" s="18">
        <v>18</v>
      </c>
      <c r="B37" s="151"/>
      <c r="C37" s="152"/>
      <c r="D37" s="152"/>
      <c r="E37" s="153"/>
      <c r="F37" s="18">
        <v>43</v>
      </c>
      <c r="G37" s="151"/>
      <c r="H37" s="152"/>
      <c r="I37" s="153"/>
    </row>
    <row r="38" spans="1:9" ht="18.75" customHeight="1">
      <c r="A38" s="18">
        <v>19</v>
      </c>
      <c r="B38" s="151"/>
      <c r="C38" s="152"/>
      <c r="D38" s="152"/>
      <c r="E38" s="153"/>
      <c r="F38" s="18">
        <v>44</v>
      </c>
      <c r="G38" s="151"/>
      <c r="H38" s="152"/>
      <c r="I38" s="153"/>
    </row>
    <row r="39" spans="1:9" ht="18.75" customHeight="1">
      <c r="A39" s="18">
        <v>20</v>
      </c>
      <c r="B39" s="151"/>
      <c r="C39" s="152"/>
      <c r="D39" s="152"/>
      <c r="E39" s="153"/>
      <c r="F39" s="18">
        <v>45</v>
      </c>
      <c r="G39" s="151"/>
      <c r="H39" s="152"/>
      <c r="I39" s="153"/>
    </row>
    <row r="40" spans="1:9" ht="18.75" customHeight="1">
      <c r="A40" s="18">
        <v>21</v>
      </c>
      <c r="B40" s="151"/>
      <c r="C40" s="152"/>
      <c r="D40" s="152"/>
      <c r="E40" s="153"/>
      <c r="F40" s="18">
        <v>46</v>
      </c>
      <c r="G40" s="151"/>
      <c r="H40" s="152"/>
      <c r="I40" s="153"/>
    </row>
    <row r="41" spans="1:9" ht="18.75" customHeight="1">
      <c r="A41" s="18">
        <v>22</v>
      </c>
      <c r="B41" s="151"/>
      <c r="C41" s="152"/>
      <c r="D41" s="152"/>
      <c r="E41" s="153"/>
      <c r="F41" s="18">
        <v>47</v>
      </c>
      <c r="G41" s="151"/>
      <c r="H41" s="152"/>
      <c r="I41" s="153"/>
    </row>
    <row r="42" spans="1:9" ht="18.75" customHeight="1">
      <c r="A42" s="18">
        <v>23</v>
      </c>
      <c r="B42" s="151"/>
      <c r="C42" s="152"/>
      <c r="D42" s="152"/>
      <c r="E42" s="153"/>
      <c r="F42" s="18">
        <v>48</v>
      </c>
      <c r="G42" s="151"/>
      <c r="H42" s="152"/>
      <c r="I42" s="153"/>
    </row>
    <row r="43" spans="1:9" ht="18.75" customHeight="1">
      <c r="A43" s="18">
        <v>24</v>
      </c>
      <c r="B43" s="151"/>
      <c r="C43" s="152"/>
      <c r="D43" s="152"/>
      <c r="E43" s="153"/>
      <c r="F43" s="18">
        <v>49</v>
      </c>
      <c r="G43" s="151"/>
      <c r="H43" s="152"/>
      <c r="I43" s="153"/>
    </row>
    <row r="44" spans="1:9" ht="18.75" customHeight="1">
      <c r="A44" s="18">
        <v>25</v>
      </c>
      <c r="B44" s="151"/>
      <c r="C44" s="152"/>
      <c r="D44" s="152"/>
      <c r="E44" s="153"/>
      <c r="F44" s="18">
        <v>50</v>
      </c>
      <c r="G44" s="151"/>
      <c r="H44" s="152"/>
      <c r="I44" s="15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3"/>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B25" sqref="B25:E25"/>
    </sheetView>
  </sheetViews>
  <sheetFormatPr defaultColWidth="9" defaultRowHeight="18.75" customHeight="1"/>
  <cols>
    <col min="1" max="2" width="2.5" style="8" customWidth="1"/>
    <col min="3" max="3" width="20" style="8" customWidth="1"/>
    <col min="4" max="4" width="8.625" style="8" customWidth="1"/>
    <col min="5" max="5" width="7.5" style="8" customWidth="1"/>
    <col min="6" max="6" width="2.5" style="8" customWidth="1"/>
    <col min="7" max="7" width="15" style="8" customWidth="1"/>
    <col min="8" max="8" width="12.5" style="8" customWidth="1"/>
    <col min="9" max="9" width="11.125" style="8" customWidth="1"/>
    <col min="10" max="16384" width="9" style="8"/>
  </cols>
  <sheetData>
    <row r="1" spans="1:9" ht="18.75" customHeight="1">
      <c r="I1" s="107" t="s">
        <v>85</v>
      </c>
    </row>
    <row r="2" spans="1:9" ht="18.75" customHeight="1">
      <c r="G2" s="11" t="s">
        <v>67</v>
      </c>
      <c r="H2" s="157" t="s">
        <v>68</v>
      </c>
      <c r="I2" s="157"/>
    </row>
    <row r="3" spans="1:9" ht="7.5" customHeight="1"/>
    <row r="4" spans="1:9" ht="18.75" customHeight="1">
      <c r="A4" s="158" t="s">
        <v>69</v>
      </c>
      <c r="B4" s="158"/>
      <c r="C4" s="158"/>
      <c r="D4" s="158"/>
      <c r="E4" s="158"/>
      <c r="F4" s="158"/>
      <c r="G4" s="158"/>
      <c r="H4" s="158"/>
      <c r="I4" s="158"/>
    </row>
    <row r="5" spans="1:9" ht="7.5" customHeight="1">
      <c r="C5" s="110"/>
      <c r="D5" s="110"/>
      <c r="E5" s="110"/>
      <c r="F5" s="110"/>
      <c r="G5" s="110"/>
      <c r="H5" s="110"/>
      <c r="I5" s="110"/>
    </row>
    <row r="6" spans="1:9" ht="18.75" customHeight="1">
      <c r="A6" s="8" t="s">
        <v>2</v>
      </c>
      <c r="B6" s="8" t="s">
        <v>70</v>
      </c>
      <c r="C6" s="110"/>
      <c r="D6" s="110"/>
      <c r="E6" s="139" t="s">
        <v>71</v>
      </c>
      <c r="F6" s="159"/>
      <c r="G6" s="159"/>
      <c r="H6" s="159"/>
      <c r="I6" s="160"/>
    </row>
    <row r="7" spans="1:9" ht="7.5" customHeight="1">
      <c r="C7" s="110"/>
      <c r="D7" s="110"/>
      <c r="F7" s="17"/>
      <c r="G7" s="17"/>
      <c r="H7" s="17"/>
      <c r="I7" s="17"/>
    </row>
    <row r="8" spans="1:9" ht="18.75" customHeight="1">
      <c r="A8" s="8" t="s">
        <v>5</v>
      </c>
      <c r="B8" s="8" t="s">
        <v>72</v>
      </c>
      <c r="C8" s="110"/>
      <c r="D8" s="110"/>
      <c r="E8" s="110"/>
      <c r="F8" s="110"/>
      <c r="G8" s="110"/>
      <c r="H8" s="110"/>
      <c r="I8" s="110"/>
    </row>
    <row r="9" spans="1:9" ht="18.75" customHeight="1">
      <c r="B9" s="161" t="s">
        <v>86</v>
      </c>
      <c r="C9" s="162"/>
      <c r="D9" s="162"/>
      <c r="E9" s="162"/>
      <c r="F9" s="162"/>
      <c r="G9" s="162"/>
      <c r="H9" s="162"/>
      <c r="I9" s="163"/>
    </row>
    <row r="10" spans="1:9" ht="18.75" customHeight="1">
      <c r="B10" s="164"/>
      <c r="C10" s="165"/>
      <c r="D10" s="165"/>
      <c r="E10" s="165"/>
      <c r="F10" s="165"/>
      <c r="G10" s="165"/>
      <c r="H10" s="165"/>
      <c r="I10" s="166"/>
    </row>
    <row r="11" spans="1:9" ht="18.75" customHeight="1">
      <c r="B11" s="164"/>
      <c r="C11" s="165"/>
      <c r="D11" s="165"/>
      <c r="E11" s="165"/>
      <c r="F11" s="165"/>
      <c r="G11" s="165"/>
      <c r="H11" s="165"/>
      <c r="I11" s="166"/>
    </row>
    <row r="12" spans="1:9" ht="18.75" customHeight="1">
      <c r="B12" s="164"/>
      <c r="C12" s="165"/>
      <c r="D12" s="165"/>
      <c r="E12" s="165"/>
      <c r="F12" s="165"/>
      <c r="G12" s="165"/>
      <c r="H12" s="165"/>
      <c r="I12" s="166"/>
    </row>
    <row r="13" spans="1:9" ht="18.75" customHeight="1">
      <c r="B13" s="164"/>
      <c r="C13" s="165"/>
      <c r="D13" s="165"/>
      <c r="E13" s="165"/>
      <c r="F13" s="165"/>
      <c r="G13" s="165"/>
      <c r="H13" s="165"/>
      <c r="I13" s="166"/>
    </row>
    <row r="14" spans="1:9" ht="18.75" customHeight="1">
      <c r="B14" s="164"/>
      <c r="C14" s="165"/>
      <c r="D14" s="165"/>
      <c r="E14" s="165"/>
      <c r="F14" s="165"/>
      <c r="G14" s="165"/>
      <c r="H14" s="165"/>
      <c r="I14" s="166"/>
    </row>
    <row r="15" spans="1:9" ht="18.75" customHeight="1">
      <c r="B15" s="164"/>
      <c r="C15" s="165"/>
      <c r="D15" s="165"/>
      <c r="E15" s="165"/>
      <c r="F15" s="165"/>
      <c r="G15" s="165"/>
      <c r="H15" s="165"/>
      <c r="I15" s="166"/>
    </row>
    <row r="16" spans="1:9" ht="18.75" customHeight="1">
      <c r="B16" s="167"/>
      <c r="C16" s="168"/>
      <c r="D16" s="168"/>
      <c r="E16" s="168"/>
      <c r="F16" s="168"/>
      <c r="G16" s="168"/>
      <c r="H16" s="168"/>
      <c r="I16" s="169"/>
    </row>
    <row r="17" spans="1:10" ht="7.5" customHeight="1">
      <c r="C17" s="110"/>
      <c r="D17" s="110"/>
      <c r="E17" s="110"/>
      <c r="F17" s="110"/>
      <c r="G17" s="110"/>
      <c r="H17" s="110"/>
      <c r="I17" s="110"/>
    </row>
    <row r="18" spans="1:10" ht="18.75" customHeight="1">
      <c r="A18" s="110" t="s">
        <v>8</v>
      </c>
      <c r="B18" s="10" t="s">
        <v>74</v>
      </c>
      <c r="C18" s="10"/>
      <c r="D18" s="10"/>
      <c r="E18" s="10"/>
      <c r="F18" s="110"/>
      <c r="G18" s="110"/>
      <c r="H18" s="110"/>
      <c r="I18" s="110"/>
      <c r="J18" s="110"/>
    </row>
    <row r="19" spans="1:10" ht="18.75" customHeight="1">
      <c r="A19" s="170" t="s">
        <v>74</v>
      </c>
      <c r="B19" s="170"/>
      <c r="C19" s="170"/>
      <c r="D19" s="170"/>
      <c r="E19" s="170"/>
      <c r="F19" s="171" t="s">
        <v>74</v>
      </c>
      <c r="G19" s="171"/>
      <c r="H19" s="171"/>
      <c r="I19" s="171"/>
    </row>
    <row r="20" spans="1:10" ht="18.75" customHeight="1">
      <c r="A20" s="18">
        <v>1</v>
      </c>
      <c r="B20" s="134" t="s">
        <v>75</v>
      </c>
      <c r="C20" s="135"/>
      <c r="D20" s="135"/>
      <c r="E20" s="148"/>
      <c r="F20" s="18">
        <v>26</v>
      </c>
      <c r="G20" s="151"/>
      <c r="H20" s="152"/>
      <c r="I20" s="153"/>
    </row>
    <row r="21" spans="1:10" ht="18.75" customHeight="1">
      <c r="A21" s="18">
        <v>2</v>
      </c>
      <c r="B21" s="134" t="s">
        <v>79</v>
      </c>
      <c r="C21" s="135"/>
      <c r="D21" s="135"/>
      <c r="E21" s="148"/>
      <c r="F21" s="18">
        <v>27</v>
      </c>
      <c r="G21" s="151"/>
      <c r="H21" s="152"/>
      <c r="I21" s="153"/>
    </row>
    <row r="22" spans="1:10" ht="18.75" customHeight="1">
      <c r="A22" s="18">
        <v>3</v>
      </c>
      <c r="B22" s="134" t="s">
        <v>80</v>
      </c>
      <c r="C22" s="135"/>
      <c r="D22" s="135"/>
      <c r="E22" s="148"/>
      <c r="F22" s="18">
        <v>28</v>
      </c>
      <c r="G22" s="151"/>
      <c r="H22" s="152"/>
      <c r="I22" s="153"/>
    </row>
    <row r="23" spans="1:10" ht="18.75" customHeight="1">
      <c r="A23" s="18">
        <v>4</v>
      </c>
      <c r="B23" s="134" t="s">
        <v>81</v>
      </c>
      <c r="C23" s="135"/>
      <c r="D23" s="135"/>
      <c r="E23" s="148"/>
      <c r="F23" s="18">
        <v>29</v>
      </c>
      <c r="G23" s="151"/>
      <c r="H23" s="152"/>
      <c r="I23" s="153"/>
    </row>
    <row r="24" spans="1:10" ht="18.75" customHeight="1">
      <c r="A24" s="18">
        <v>5</v>
      </c>
      <c r="B24" s="134" t="s">
        <v>82</v>
      </c>
      <c r="C24" s="135"/>
      <c r="D24" s="135"/>
      <c r="E24" s="148"/>
      <c r="F24" s="18">
        <v>30</v>
      </c>
      <c r="G24" s="151"/>
      <c r="H24" s="152"/>
      <c r="I24" s="153"/>
    </row>
    <row r="25" spans="1:10" ht="18.75" customHeight="1">
      <c r="A25" s="18">
        <v>6</v>
      </c>
      <c r="B25" s="134" t="s">
        <v>83</v>
      </c>
      <c r="C25" s="135"/>
      <c r="D25" s="135"/>
      <c r="E25" s="148"/>
      <c r="F25" s="18">
        <v>31</v>
      </c>
      <c r="G25" s="151"/>
      <c r="H25" s="152"/>
      <c r="I25" s="153"/>
    </row>
    <row r="26" spans="1:10" ht="18.75" customHeight="1">
      <c r="A26" s="18">
        <v>7</v>
      </c>
      <c r="B26" s="134" t="s">
        <v>84</v>
      </c>
      <c r="C26" s="135"/>
      <c r="D26" s="135"/>
      <c r="E26" s="148"/>
      <c r="F26" s="18">
        <v>32</v>
      </c>
      <c r="G26" s="151"/>
      <c r="H26" s="152"/>
      <c r="I26" s="153"/>
    </row>
    <row r="27" spans="1:10" ht="18.75" customHeight="1">
      <c r="A27" s="18">
        <v>8</v>
      </c>
      <c r="B27" s="154"/>
      <c r="C27" s="155"/>
      <c r="D27" s="155"/>
      <c r="E27" s="156"/>
      <c r="F27" s="18">
        <v>33</v>
      </c>
      <c r="G27" s="151"/>
      <c r="H27" s="152"/>
      <c r="I27" s="153"/>
    </row>
    <row r="28" spans="1:10" ht="18.75" customHeight="1">
      <c r="A28" s="18">
        <v>9</v>
      </c>
      <c r="B28" s="134"/>
      <c r="C28" s="135"/>
      <c r="D28" s="135"/>
      <c r="E28" s="148"/>
      <c r="F28" s="18">
        <v>34</v>
      </c>
      <c r="G28" s="151"/>
      <c r="H28" s="152"/>
      <c r="I28" s="153"/>
    </row>
    <row r="29" spans="1:10" ht="18.75" customHeight="1">
      <c r="A29" s="18">
        <v>10</v>
      </c>
      <c r="B29" s="134"/>
      <c r="C29" s="135"/>
      <c r="D29" s="135"/>
      <c r="E29" s="148"/>
      <c r="F29" s="18">
        <v>35</v>
      </c>
      <c r="G29" s="151"/>
      <c r="H29" s="152"/>
      <c r="I29" s="153"/>
    </row>
    <row r="30" spans="1:10" ht="18.75" customHeight="1">
      <c r="A30" s="18">
        <v>11</v>
      </c>
      <c r="B30" s="134"/>
      <c r="C30" s="135"/>
      <c r="D30" s="135"/>
      <c r="E30" s="148"/>
      <c r="F30" s="18">
        <v>36</v>
      </c>
      <c r="G30" s="151"/>
      <c r="H30" s="152"/>
      <c r="I30" s="153"/>
    </row>
    <row r="31" spans="1:10" ht="18.75" customHeight="1">
      <c r="A31" s="18">
        <v>12</v>
      </c>
      <c r="B31" s="134"/>
      <c r="C31" s="135"/>
      <c r="D31" s="135"/>
      <c r="E31" s="148"/>
      <c r="F31" s="18">
        <v>37</v>
      </c>
      <c r="G31" s="151"/>
      <c r="H31" s="152"/>
      <c r="I31" s="153"/>
    </row>
    <row r="32" spans="1:10" ht="18.75" customHeight="1">
      <c r="A32" s="18">
        <v>13</v>
      </c>
      <c r="B32" s="134"/>
      <c r="C32" s="135"/>
      <c r="D32" s="135"/>
      <c r="E32" s="148"/>
      <c r="F32" s="18">
        <v>38</v>
      </c>
      <c r="G32" s="151"/>
      <c r="H32" s="152"/>
      <c r="I32" s="153"/>
    </row>
    <row r="33" spans="1:9" ht="18.75" customHeight="1">
      <c r="A33" s="18">
        <v>14</v>
      </c>
      <c r="B33" s="151"/>
      <c r="C33" s="152"/>
      <c r="D33" s="152"/>
      <c r="E33" s="153"/>
      <c r="F33" s="18">
        <v>39</v>
      </c>
      <c r="G33" s="151"/>
      <c r="H33" s="152"/>
      <c r="I33" s="153"/>
    </row>
    <row r="34" spans="1:9" ht="18.75" customHeight="1">
      <c r="A34" s="18">
        <v>15</v>
      </c>
      <c r="B34" s="151"/>
      <c r="C34" s="152"/>
      <c r="D34" s="152"/>
      <c r="E34" s="153"/>
      <c r="F34" s="18">
        <v>40</v>
      </c>
      <c r="G34" s="151"/>
      <c r="H34" s="152"/>
      <c r="I34" s="153"/>
    </row>
    <row r="35" spans="1:9" ht="18.75" customHeight="1">
      <c r="A35" s="18">
        <v>16</v>
      </c>
      <c r="B35" s="151"/>
      <c r="C35" s="152"/>
      <c r="D35" s="152"/>
      <c r="E35" s="153"/>
      <c r="F35" s="18">
        <v>41</v>
      </c>
      <c r="G35" s="151"/>
      <c r="H35" s="152"/>
      <c r="I35" s="153"/>
    </row>
    <row r="36" spans="1:9" ht="18.75" customHeight="1">
      <c r="A36" s="18">
        <v>17</v>
      </c>
      <c r="B36" s="151"/>
      <c r="C36" s="152"/>
      <c r="D36" s="152"/>
      <c r="E36" s="153"/>
      <c r="F36" s="18">
        <v>42</v>
      </c>
      <c r="G36" s="151"/>
      <c r="H36" s="152"/>
      <c r="I36" s="153"/>
    </row>
    <row r="37" spans="1:9" ht="18.75" customHeight="1">
      <c r="A37" s="18">
        <v>18</v>
      </c>
      <c r="B37" s="151"/>
      <c r="C37" s="152"/>
      <c r="D37" s="152"/>
      <c r="E37" s="153"/>
      <c r="F37" s="18">
        <v>43</v>
      </c>
      <c r="G37" s="151"/>
      <c r="H37" s="152"/>
      <c r="I37" s="153"/>
    </row>
    <row r="38" spans="1:9" ht="18.75" customHeight="1">
      <c r="A38" s="18">
        <v>19</v>
      </c>
      <c r="B38" s="151"/>
      <c r="C38" s="152"/>
      <c r="D38" s="152"/>
      <c r="E38" s="153"/>
      <c r="F38" s="18">
        <v>44</v>
      </c>
      <c r="G38" s="151"/>
      <c r="H38" s="152"/>
      <c r="I38" s="153"/>
    </row>
    <row r="39" spans="1:9" ht="18.75" customHeight="1">
      <c r="A39" s="18">
        <v>20</v>
      </c>
      <c r="B39" s="151"/>
      <c r="C39" s="152"/>
      <c r="D39" s="152"/>
      <c r="E39" s="153"/>
      <c r="F39" s="18">
        <v>45</v>
      </c>
      <c r="G39" s="151"/>
      <c r="H39" s="152"/>
      <c r="I39" s="153"/>
    </row>
    <row r="40" spans="1:9" ht="18.75" customHeight="1">
      <c r="A40" s="18">
        <v>21</v>
      </c>
      <c r="B40" s="151"/>
      <c r="C40" s="152"/>
      <c r="D40" s="152"/>
      <c r="E40" s="153"/>
      <c r="F40" s="18">
        <v>46</v>
      </c>
      <c r="G40" s="151"/>
      <c r="H40" s="152"/>
      <c r="I40" s="153"/>
    </row>
    <row r="41" spans="1:9" ht="18.75" customHeight="1">
      <c r="A41" s="18">
        <v>22</v>
      </c>
      <c r="B41" s="151"/>
      <c r="C41" s="152"/>
      <c r="D41" s="152"/>
      <c r="E41" s="153"/>
      <c r="F41" s="18">
        <v>47</v>
      </c>
      <c r="G41" s="151"/>
      <c r="H41" s="152"/>
      <c r="I41" s="153"/>
    </row>
    <row r="42" spans="1:9" ht="18.75" customHeight="1">
      <c r="A42" s="18">
        <v>23</v>
      </c>
      <c r="B42" s="151"/>
      <c r="C42" s="152"/>
      <c r="D42" s="152"/>
      <c r="E42" s="153"/>
      <c r="F42" s="18">
        <v>48</v>
      </c>
      <c r="G42" s="151"/>
      <c r="H42" s="152"/>
      <c r="I42" s="153"/>
    </row>
    <row r="43" spans="1:9" ht="18.75" customHeight="1">
      <c r="A43" s="18">
        <v>24</v>
      </c>
      <c r="B43" s="151"/>
      <c r="C43" s="152"/>
      <c r="D43" s="152"/>
      <c r="E43" s="153"/>
      <c r="F43" s="18">
        <v>49</v>
      </c>
      <c r="G43" s="151"/>
      <c r="H43" s="152"/>
      <c r="I43" s="153"/>
    </row>
    <row r="44" spans="1:9" ht="18.75" customHeight="1">
      <c r="A44" s="18">
        <v>25</v>
      </c>
      <c r="B44" s="151"/>
      <c r="C44" s="152"/>
      <c r="D44" s="152"/>
      <c r="E44" s="153"/>
      <c r="F44" s="18">
        <v>50</v>
      </c>
      <c r="G44" s="151"/>
      <c r="H44" s="152"/>
      <c r="I44" s="15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3"/>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Zeros="0" zoomScaleNormal="100" workbookViewId="0">
      <selection activeCell="B25" sqref="B25:E25"/>
    </sheetView>
  </sheetViews>
  <sheetFormatPr defaultColWidth="9" defaultRowHeight="18.75" customHeight="1"/>
  <cols>
    <col min="1" max="2" width="2.5" style="8" customWidth="1"/>
    <col min="3" max="3" width="20" style="8" customWidth="1"/>
    <col min="4" max="4" width="8.625" style="8" customWidth="1"/>
    <col min="5" max="5" width="7.5" style="8" customWidth="1"/>
    <col min="6" max="6" width="2.5" style="8" customWidth="1"/>
    <col min="7" max="7" width="15" style="8" customWidth="1"/>
    <col min="8" max="8" width="12.5" style="8" customWidth="1"/>
    <col min="9" max="9" width="11.125" style="8" customWidth="1"/>
    <col min="10" max="16384" width="9" style="8"/>
  </cols>
  <sheetData>
    <row r="1" spans="1:9" ht="18.75" customHeight="1">
      <c r="I1" s="107" t="s">
        <v>87</v>
      </c>
    </row>
    <row r="2" spans="1:9" ht="18.75" customHeight="1">
      <c r="G2" s="11" t="s">
        <v>67</v>
      </c>
      <c r="H2" s="157" t="s">
        <v>68</v>
      </c>
      <c r="I2" s="157"/>
    </row>
    <row r="3" spans="1:9" ht="7.5" customHeight="1"/>
    <row r="4" spans="1:9" ht="18.75" customHeight="1">
      <c r="A4" s="158" t="s">
        <v>69</v>
      </c>
      <c r="B4" s="158"/>
      <c r="C4" s="158"/>
      <c r="D4" s="158"/>
      <c r="E4" s="158"/>
      <c r="F4" s="158"/>
      <c r="G4" s="158"/>
      <c r="H4" s="158"/>
      <c r="I4" s="158"/>
    </row>
    <row r="5" spans="1:9" ht="7.5" customHeight="1">
      <c r="C5" s="110"/>
      <c r="D5" s="110"/>
      <c r="E5" s="110"/>
      <c r="F5" s="110"/>
      <c r="G5" s="110"/>
      <c r="H5" s="110"/>
      <c r="I5" s="110"/>
    </row>
    <row r="6" spans="1:9" ht="18.75" customHeight="1">
      <c r="A6" s="8" t="s">
        <v>2</v>
      </c>
      <c r="B6" s="8" t="s">
        <v>70</v>
      </c>
      <c r="C6" s="110"/>
      <c r="D6" s="110"/>
      <c r="E6" s="139" t="s">
        <v>71</v>
      </c>
      <c r="F6" s="159"/>
      <c r="G6" s="159"/>
      <c r="H6" s="159"/>
      <c r="I6" s="160"/>
    </row>
    <row r="7" spans="1:9" ht="7.5" customHeight="1">
      <c r="C7" s="110"/>
      <c r="D7" s="110"/>
      <c r="F7" s="17"/>
      <c r="G7" s="17"/>
      <c r="H7" s="17"/>
      <c r="I7" s="17"/>
    </row>
    <row r="8" spans="1:9" ht="18.75" customHeight="1">
      <c r="A8" s="8" t="s">
        <v>5</v>
      </c>
      <c r="B8" s="8" t="s">
        <v>72</v>
      </c>
      <c r="C8" s="110"/>
      <c r="D8" s="110"/>
      <c r="E8" s="110"/>
      <c r="F8" s="110"/>
      <c r="G8" s="110"/>
      <c r="H8" s="110"/>
      <c r="I8" s="110"/>
    </row>
    <row r="9" spans="1:9" ht="18.75" customHeight="1">
      <c r="B9" s="161" t="s">
        <v>88</v>
      </c>
      <c r="C9" s="162"/>
      <c r="D9" s="162"/>
      <c r="E9" s="162"/>
      <c r="F9" s="162"/>
      <c r="G9" s="162"/>
      <c r="H9" s="162"/>
      <c r="I9" s="163"/>
    </row>
    <row r="10" spans="1:9" ht="18.75" customHeight="1">
      <c r="B10" s="164"/>
      <c r="C10" s="165"/>
      <c r="D10" s="165"/>
      <c r="E10" s="165"/>
      <c r="F10" s="165"/>
      <c r="G10" s="165"/>
      <c r="H10" s="165"/>
      <c r="I10" s="166"/>
    </row>
    <row r="11" spans="1:9" ht="18.75" customHeight="1">
      <c r="B11" s="164"/>
      <c r="C11" s="165"/>
      <c r="D11" s="165"/>
      <c r="E11" s="165"/>
      <c r="F11" s="165"/>
      <c r="G11" s="165"/>
      <c r="H11" s="165"/>
      <c r="I11" s="166"/>
    </row>
    <row r="12" spans="1:9" ht="18.75" customHeight="1">
      <c r="B12" s="164"/>
      <c r="C12" s="165"/>
      <c r="D12" s="165"/>
      <c r="E12" s="165"/>
      <c r="F12" s="165"/>
      <c r="G12" s="165"/>
      <c r="H12" s="165"/>
      <c r="I12" s="166"/>
    </row>
    <row r="13" spans="1:9" ht="18.75" customHeight="1">
      <c r="B13" s="164"/>
      <c r="C13" s="165"/>
      <c r="D13" s="165"/>
      <c r="E13" s="165"/>
      <c r="F13" s="165"/>
      <c r="G13" s="165"/>
      <c r="H13" s="165"/>
      <c r="I13" s="166"/>
    </row>
    <row r="14" spans="1:9" ht="18.75" customHeight="1">
      <c r="B14" s="164"/>
      <c r="C14" s="165"/>
      <c r="D14" s="165"/>
      <c r="E14" s="165"/>
      <c r="F14" s="165"/>
      <c r="G14" s="165"/>
      <c r="H14" s="165"/>
      <c r="I14" s="166"/>
    </row>
    <row r="15" spans="1:9" ht="18.75" customHeight="1">
      <c r="B15" s="164"/>
      <c r="C15" s="165"/>
      <c r="D15" s="165"/>
      <c r="E15" s="165"/>
      <c r="F15" s="165"/>
      <c r="G15" s="165"/>
      <c r="H15" s="165"/>
      <c r="I15" s="166"/>
    </row>
    <row r="16" spans="1:9" ht="18.75" customHeight="1">
      <c r="B16" s="167"/>
      <c r="C16" s="168"/>
      <c r="D16" s="168"/>
      <c r="E16" s="168"/>
      <c r="F16" s="168"/>
      <c r="G16" s="168"/>
      <c r="H16" s="168"/>
      <c r="I16" s="169"/>
    </row>
    <row r="17" spans="1:10" ht="7.5" customHeight="1">
      <c r="C17" s="110"/>
      <c r="D17" s="110"/>
      <c r="E17" s="110"/>
      <c r="F17" s="110"/>
      <c r="G17" s="110"/>
      <c r="H17" s="110"/>
      <c r="I17" s="110"/>
    </row>
    <row r="18" spans="1:10" ht="18.75" customHeight="1">
      <c r="A18" s="110" t="s">
        <v>8</v>
      </c>
      <c r="B18" s="10" t="s">
        <v>74</v>
      </c>
      <c r="C18" s="10"/>
      <c r="D18" s="10"/>
      <c r="E18" s="10"/>
      <c r="F18" s="110"/>
      <c r="G18" s="110"/>
      <c r="H18" s="110"/>
      <c r="I18" s="110"/>
      <c r="J18" s="110"/>
    </row>
    <row r="19" spans="1:10" ht="18.75" customHeight="1">
      <c r="A19" s="170" t="s">
        <v>74</v>
      </c>
      <c r="B19" s="170"/>
      <c r="C19" s="170"/>
      <c r="D19" s="170"/>
      <c r="E19" s="170"/>
      <c r="F19" s="171" t="s">
        <v>74</v>
      </c>
      <c r="G19" s="171"/>
      <c r="H19" s="171"/>
      <c r="I19" s="171"/>
    </row>
    <row r="20" spans="1:10" ht="18.75" customHeight="1">
      <c r="A20" s="18">
        <v>1</v>
      </c>
      <c r="B20" s="134" t="s">
        <v>75</v>
      </c>
      <c r="C20" s="135"/>
      <c r="D20" s="135"/>
      <c r="E20" s="148"/>
      <c r="F20" s="18">
        <v>26</v>
      </c>
      <c r="G20" s="151"/>
      <c r="H20" s="152"/>
      <c r="I20" s="153"/>
    </row>
    <row r="21" spans="1:10" ht="18.75" customHeight="1">
      <c r="A21" s="18">
        <v>2</v>
      </c>
      <c r="B21" s="134" t="s">
        <v>79</v>
      </c>
      <c r="C21" s="135"/>
      <c r="D21" s="135"/>
      <c r="E21" s="148"/>
      <c r="F21" s="18">
        <v>27</v>
      </c>
      <c r="G21" s="151"/>
      <c r="H21" s="152"/>
      <c r="I21" s="153"/>
    </row>
    <row r="22" spans="1:10" ht="18.75" customHeight="1">
      <c r="A22" s="18">
        <v>3</v>
      </c>
      <c r="B22" s="134" t="s">
        <v>80</v>
      </c>
      <c r="C22" s="135"/>
      <c r="D22" s="135"/>
      <c r="E22" s="148"/>
      <c r="F22" s="18">
        <v>28</v>
      </c>
      <c r="G22" s="151"/>
      <c r="H22" s="152"/>
      <c r="I22" s="153"/>
    </row>
    <row r="23" spans="1:10" ht="18.75" customHeight="1">
      <c r="A23" s="18">
        <v>4</v>
      </c>
      <c r="B23" s="134" t="s">
        <v>81</v>
      </c>
      <c r="C23" s="135"/>
      <c r="D23" s="135"/>
      <c r="E23" s="148"/>
      <c r="F23" s="18">
        <v>29</v>
      </c>
      <c r="G23" s="151"/>
      <c r="H23" s="152"/>
      <c r="I23" s="153"/>
    </row>
    <row r="24" spans="1:10" ht="18.75" customHeight="1">
      <c r="A24" s="18">
        <v>5</v>
      </c>
      <c r="B24" s="134" t="s">
        <v>82</v>
      </c>
      <c r="C24" s="135"/>
      <c r="D24" s="135"/>
      <c r="E24" s="148"/>
      <c r="F24" s="18">
        <v>30</v>
      </c>
      <c r="G24" s="151"/>
      <c r="H24" s="152"/>
      <c r="I24" s="153"/>
    </row>
    <row r="25" spans="1:10" ht="18.75" customHeight="1">
      <c r="A25" s="18">
        <v>6</v>
      </c>
      <c r="B25" s="134" t="s">
        <v>83</v>
      </c>
      <c r="C25" s="135"/>
      <c r="D25" s="135"/>
      <c r="E25" s="148"/>
      <c r="F25" s="18">
        <v>31</v>
      </c>
      <c r="G25" s="151"/>
      <c r="H25" s="152"/>
      <c r="I25" s="153"/>
    </row>
    <row r="26" spans="1:10" ht="18.75" customHeight="1">
      <c r="A26" s="18">
        <v>7</v>
      </c>
      <c r="B26" s="134" t="s">
        <v>84</v>
      </c>
      <c r="C26" s="135"/>
      <c r="D26" s="135"/>
      <c r="E26" s="148"/>
      <c r="F26" s="18">
        <v>32</v>
      </c>
      <c r="G26" s="151"/>
      <c r="H26" s="152"/>
      <c r="I26" s="153"/>
    </row>
    <row r="27" spans="1:10" ht="18.75" customHeight="1">
      <c r="A27" s="18">
        <v>8</v>
      </c>
      <c r="B27" s="154" t="s">
        <v>89</v>
      </c>
      <c r="C27" s="155"/>
      <c r="D27" s="155"/>
      <c r="E27" s="156"/>
      <c r="F27" s="18">
        <v>33</v>
      </c>
      <c r="G27" s="151"/>
      <c r="H27" s="152"/>
      <c r="I27" s="153"/>
    </row>
    <row r="28" spans="1:10" ht="18.75" customHeight="1">
      <c r="A28" s="18">
        <v>9</v>
      </c>
      <c r="B28" s="134"/>
      <c r="C28" s="135"/>
      <c r="D28" s="135"/>
      <c r="E28" s="148"/>
      <c r="F28" s="18">
        <v>34</v>
      </c>
      <c r="G28" s="151"/>
      <c r="H28" s="152"/>
      <c r="I28" s="153"/>
    </row>
    <row r="29" spans="1:10" ht="18.75" customHeight="1">
      <c r="A29" s="18">
        <v>10</v>
      </c>
      <c r="B29" s="134"/>
      <c r="C29" s="135"/>
      <c r="D29" s="135"/>
      <c r="E29" s="148"/>
      <c r="F29" s="18">
        <v>35</v>
      </c>
      <c r="G29" s="151"/>
      <c r="H29" s="152"/>
      <c r="I29" s="153"/>
    </row>
    <row r="30" spans="1:10" ht="18.75" customHeight="1">
      <c r="A30" s="18">
        <v>11</v>
      </c>
      <c r="B30" s="134"/>
      <c r="C30" s="135"/>
      <c r="D30" s="135"/>
      <c r="E30" s="148"/>
      <c r="F30" s="18">
        <v>36</v>
      </c>
      <c r="G30" s="151"/>
      <c r="H30" s="152"/>
      <c r="I30" s="153"/>
    </row>
    <row r="31" spans="1:10" ht="18.75" customHeight="1">
      <c r="A31" s="18">
        <v>12</v>
      </c>
      <c r="B31" s="134"/>
      <c r="C31" s="135"/>
      <c r="D31" s="135"/>
      <c r="E31" s="148"/>
      <c r="F31" s="18">
        <v>37</v>
      </c>
      <c r="G31" s="151"/>
      <c r="H31" s="152"/>
      <c r="I31" s="153"/>
    </row>
    <row r="32" spans="1:10" ht="18.75" customHeight="1">
      <c r="A32" s="18">
        <v>13</v>
      </c>
      <c r="B32" s="134"/>
      <c r="C32" s="135"/>
      <c r="D32" s="135"/>
      <c r="E32" s="148"/>
      <c r="F32" s="18">
        <v>38</v>
      </c>
      <c r="G32" s="151"/>
      <c r="H32" s="152"/>
      <c r="I32" s="153"/>
    </row>
    <row r="33" spans="1:9" ht="18.75" customHeight="1">
      <c r="A33" s="18">
        <v>14</v>
      </c>
      <c r="B33" s="151"/>
      <c r="C33" s="152"/>
      <c r="D33" s="152"/>
      <c r="E33" s="153"/>
      <c r="F33" s="18">
        <v>39</v>
      </c>
      <c r="G33" s="151"/>
      <c r="H33" s="152"/>
      <c r="I33" s="153"/>
    </row>
    <row r="34" spans="1:9" ht="18.75" customHeight="1">
      <c r="A34" s="18">
        <v>15</v>
      </c>
      <c r="B34" s="151"/>
      <c r="C34" s="152"/>
      <c r="D34" s="152"/>
      <c r="E34" s="153"/>
      <c r="F34" s="18">
        <v>40</v>
      </c>
      <c r="G34" s="151"/>
      <c r="H34" s="152"/>
      <c r="I34" s="153"/>
    </row>
    <row r="35" spans="1:9" ht="18.75" customHeight="1">
      <c r="A35" s="18">
        <v>16</v>
      </c>
      <c r="B35" s="151"/>
      <c r="C35" s="152"/>
      <c r="D35" s="152"/>
      <c r="E35" s="153"/>
      <c r="F35" s="18">
        <v>41</v>
      </c>
      <c r="G35" s="151"/>
      <c r="H35" s="152"/>
      <c r="I35" s="153"/>
    </row>
    <row r="36" spans="1:9" ht="18.75" customHeight="1">
      <c r="A36" s="18">
        <v>17</v>
      </c>
      <c r="B36" s="151"/>
      <c r="C36" s="152"/>
      <c r="D36" s="152"/>
      <c r="E36" s="153"/>
      <c r="F36" s="18">
        <v>42</v>
      </c>
      <c r="G36" s="151"/>
      <c r="H36" s="152"/>
      <c r="I36" s="153"/>
    </row>
    <row r="37" spans="1:9" ht="18.75" customHeight="1">
      <c r="A37" s="18">
        <v>18</v>
      </c>
      <c r="B37" s="151"/>
      <c r="C37" s="152"/>
      <c r="D37" s="152"/>
      <c r="E37" s="153"/>
      <c r="F37" s="18">
        <v>43</v>
      </c>
      <c r="G37" s="151"/>
      <c r="H37" s="152"/>
      <c r="I37" s="153"/>
    </row>
    <row r="38" spans="1:9" ht="18.75" customHeight="1">
      <c r="A38" s="18">
        <v>19</v>
      </c>
      <c r="B38" s="151"/>
      <c r="C38" s="152"/>
      <c r="D38" s="152"/>
      <c r="E38" s="153"/>
      <c r="F38" s="18">
        <v>44</v>
      </c>
      <c r="G38" s="151"/>
      <c r="H38" s="152"/>
      <c r="I38" s="153"/>
    </row>
    <row r="39" spans="1:9" ht="18.75" customHeight="1">
      <c r="A39" s="18">
        <v>20</v>
      </c>
      <c r="B39" s="151"/>
      <c r="C39" s="152"/>
      <c r="D39" s="152"/>
      <c r="E39" s="153"/>
      <c r="F39" s="18">
        <v>45</v>
      </c>
      <c r="G39" s="151"/>
      <c r="H39" s="152"/>
      <c r="I39" s="153"/>
    </row>
    <row r="40" spans="1:9" ht="18.75" customHeight="1">
      <c r="A40" s="18">
        <v>21</v>
      </c>
      <c r="B40" s="151"/>
      <c r="C40" s="152"/>
      <c r="D40" s="152"/>
      <c r="E40" s="153"/>
      <c r="F40" s="18">
        <v>46</v>
      </c>
      <c r="G40" s="151"/>
      <c r="H40" s="152"/>
      <c r="I40" s="153"/>
    </row>
    <row r="41" spans="1:9" ht="18.75" customHeight="1">
      <c r="A41" s="18">
        <v>22</v>
      </c>
      <c r="B41" s="151"/>
      <c r="C41" s="152"/>
      <c r="D41" s="152"/>
      <c r="E41" s="153"/>
      <c r="F41" s="18">
        <v>47</v>
      </c>
      <c r="G41" s="151"/>
      <c r="H41" s="152"/>
      <c r="I41" s="153"/>
    </row>
    <row r="42" spans="1:9" ht="18.75" customHeight="1">
      <c r="A42" s="18">
        <v>23</v>
      </c>
      <c r="B42" s="151"/>
      <c r="C42" s="152"/>
      <c r="D42" s="152"/>
      <c r="E42" s="153"/>
      <c r="F42" s="18">
        <v>48</v>
      </c>
      <c r="G42" s="151"/>
      <c r="H42" s="152"/>
      <c r="I42" s="153"/>
    </row>
    <row r="43" spans="1:9" ht="18.75" customHeight="1">
      <c r="A43" s="18">
        <v>24</v>
      </c>
      <c r="B43" s="151"/>
      <c r="C43" s="152"/>
      <c r="D43" s="152"/>
      <c r="E43" s="153"/>
      <c r="F43" s="18">
        <v>49</v>
      </c>
      <c r="G43" s="151"/>
      <c r="H43" s="152"/>
      <c r="I43" s="153"/>
    </row>
    <row r="44" spans="1:9" ht="18.75" customHeight="1">
      <c r="A44" s="18">
        <v>25</v>
      </c>
      <c r="B44" s="151"/>
      <c r="C44" s="152"/>
      <c r="D44" s="152"/>
      <c r="E44" s="153"/>
      <c r="F44" s="18">
        <v>50</v>
      </c>
      <c r="G44" s="151"/>
      <c r="H44" s="152"/>
      <c r="I44" s="153"/>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3"/>
  <dataValidations count="2">
    <dataValidation type="list" allowBlank="1" showInputMessage="1" showErrorMessage="1" sqref="F7:I7" xr:uid="{00000000-0002-0000-0300-000000000000}">
      <formula1>"学部等によって、認定要件は相違する,学部等によって、認定要件は相違しない"</formula1>
    </dataValidation>
    <dataValidation type="list" allowBlank="1" showInputMessage="1" showErrorMessage="1" sqref="E6:I6" xr:uid="{00000000-0002-0000-03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3"/>
  <sheetViews>
    <sheetView view="pageBreakPreview" zoomScaleNormal="100" zoomScaleSheetLayoutView="100" workbookViewId="0">
      <selection activeCell="K16" sqref="K16"/>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A1" s="93"/>
      <c r="B1" s="93"/>
      <c r="C1" s="93"/>
      <c r="D1" s="93"/>
      <c r="E1" s="93"/>
      <c r="F1" s="174" t="s">
        <v>90</v>
      </c>
      <c r="G1" s="174"/>
      <c r="H1" s="174"/>
      <c r="I1" s="174"/>
      <c r="J1" s="174"/>
      <c r="K1" s="174"/>
      <c r="L1" s="174"/>
      <c r="M1" s="174"/>
      <c r="N1" s="174"/>
      <c r="O1" s="174"/>
      <c r="P1" s="174"/>
      <c r="Q1" s="174"/>
      <c r="R1" s="174"/>
      <c r="S1" s="93"/>
      <c r="T1" s="93"/>
    </row>
    <row r="2" spans="1:20" ht="18.75" customHeight="1">
      <c r="A2" s="93"/>
      <c r="B2" s="93"/>
      <c r="C2" s="93"/>
      <c r="D2" s="25"/>
      <c r="E2" s="25"/>
      <c r="F2" s="25"/>
      <c r="G2" s="25"/>
      <c r="H2" s="25"/>
      <c r="I2" s="25"/>
      <c r="J2" s="25"/>
      <c r="K2" s="174" t="s">
        <v>91</v>
      </c>
      <c r="L2" s="174"/>
      <c r="M2" s="2" t="s">
        <v>68</v>
      </c>
      <c r="N2" s="25"/>
      <c r="O2" s="25"/>
      <c r="P2" s="25"/>
      <c r="Q2" s="25"/>
      <c r="R2" s="25"/>
      <c r="S2" s="93"/>
      <c r="T2" s="93"/>
    </row>
    <row r="3" spans="1:20" ht="7.5" customHeight="1">
      <c r="A3" s="93"/>
      <c r="B3" s="93"/>
      <c r="C3" s="93"/>
      <c r="D3" s="93"/>
      <c r="E3" s="93"/>
      <c r="F3" s="93"/>
      <c r="G3" s="93"/>
      <c r="H3" s="93"/>
      <c r="I3" s="93"/>
      <c r="J3" s="93"/>
      <c r="K3" s="93"/>
      <c r="L3" s="93"/>
      <c r="M3" s="93"/>
      <c r="N3" s="93"/>
      <c r="O3" s="93"/>
      <c r="P3" s="93"/>
      <c r="Q3" s="93"/>
      <c r="R3" s="93"/>
      <c r="S3" s="93"/>
      <c r="T3" s="93"/>
    </row>
    <row r="4" spans="1:20" ht="18.75" customHeight="1">
      <c r="A4" s="147" t="s">
        <v>92</v>
      </c>
      <c r="B4" s="147"/>
      <c r="C4" s="147"/>
      <c r="D4" s="147"/>
      <c r="E4" s="147"/>
      <c r="F4" s="147"/>
      <c r="G4" s="147"/>
      <c r="H4" s="147"/>
      <c r="I4" s="147"/>
      <c r="J4" s="147"/>
      <c r="K4" s="147"/>
      <c r="L4" s="147"/>
      <c r="M4" s="147"/>
      <c r="N4" s="147"/>
      <c r="O4" s="147"/>
      <c r="P4" s="147"/>
      <c r="Q4" s="147"/>
      <c r="R4" s="147"/>
      <c r="S4" s="2"/>
      <c r="T4" s="93"/>
    </row>
    <row r="5" spans="1:20" ht="7.5" customHeight="1">
      <c r="A5" s="109"/>
      <c r="B5" s="109"/>
      <c r="C5" s="109"/>
      <c r="D5" s="109"/>
      <c r="E5" s="109"/>
      <c r="F5" s="109"/>
      <c r="G5" s="109"/>
      <c r="H5" s="109"/>
      <c r="I5" s="109"/>
      <c r="J5" s="109"/>
      <c r="K5" s="109"/>
      <c r="L5" s="109"/>
      <c r="M5" s="109"/>
      <c r="N5" s="109"/>
      <c r="O5" s="109"/>
      <c r="P5" s="109"/>
      <c r="Q5" s="109"/>
      <c r="R5" s="109"/>
      <c r="S5" s="93"/>
      <c r="T5" s="93"/>
    </row>
    <row r="6" spans="1:20" ht="18.75" customHeight="1">
      <c r="A6" s="93"/>
      <c r="B6" s="175" t="s">
        <v>93</v>
      </c>
      <c r="C6" s="176"/>
      <c r="D6" s="179" t="s">
        <v>94</v>
      </c>
      <c r="E6" s="181" t="s">
        <v>95</v>
      </c>
      <c r="F6" s="181"/>
      <c r="G6" s="181" t="s">
        <v>96</v>
      </c>
      <c r="H6" s="181"/>
      <c r="I6" s="182" t="s">
        <v>97</v>
      </c>
      <c r="J6" s="183"/>
      <c r="K6" s="184" t="s">
        <v>98</v>
      </c>
      <c r="L6" s="185"/>
      <c r="M6" s="184" t="s">
        <v>99</v>
      </c>
      <c r="N6" s="185"/>
      <c r="O6" s="184" t="s">
        <v>100</v>
      </c>
      <c r="P6" s="185"/>
      <c r="Q6" s="186" t="s">
        <v>101</v>
      </c>
      <c r="R6" s="188" t="s">
        <v>102</v>
      </c>
      <c r="S6" s="93"/>
      <c r="T6" s="26"/>
    </row>
    <row r="7" spans="1:20" ht="18.75" customHeight="1">
      <c r="A7" s="93"/>
      <c r="B7" s="177"/>
      <c r="C7" s="178"/>
      <c r="D7" s="180"/>
      <c r="E7" s="12" t="s">
        <v>103</v>
      </c>
      <c r="F7" s="14" t="s">
        <v>104</v>
      </c>
      <c r="G7" s="15" t="s">
        <v>103</v>
      </c>
      <c r="H7" s="13" t="s">
        <v>104</v>
      </c>
      <c r="I7" s="12" t="s">
        <v>103</v>
      </c>
      <c r="J7" s="14" t="s">
        <v>104</v>
      </c>
      <c r="K7" s="15" t="s">
        <v>103</v>
      </c>
      <c r="L7" s="13" t="s">
        <v>104</v>
      </c>
      <c r="M7" s="12" t="s">
        <v>103</v>
      </c>
      <c r="N7" s="14" t="s">
        <v>104</v>
      </c>
      <c r="O7" s="15" t="s">
        <v>103</v>
      </c>
      <c r="P7" s="13" t="s">
        <v>104</v>
      </c>
      <c r="Q7" s="187"/>
      <c r="R7" s="189"/>
      <c r="S7" s="93"/>
      <c r="T7" s="26"/>
    </row>
    <row r="8" spans="1:20" ht="18.75" customHeight="1">
      <c r="A8" s="104"/>
      <c r="B8" s="190" t="s">
        <v>105</v>
      </c>
      <c r="C8" s="191"/>
      <c r="D8" s="27">
        <v>660</v>
      </c>
      <c r="E8" s="28">
        <v>14</v>
      </c>
      <c r="F8" s="82">
        <v>0</v>
      </c>
      <c r="G8" s="83"/>
      <c r="H8" s="84"/>
      <c r="I8" s="85"/>
      <c r="J8" s="82"/>
      <c r="K8" s="83"/>
      <c r="L8" s="84"/>
      <c r="M8" s="85"/>
      <c r="N8" s="82"/>
      <c r="O8" s="83"/>
      <c r="P8" s="84"/>
      <c r="Q8" s="37">
        <f t="shared" ref="Q8:Q31" si="0">E8+G8+I8+K8+M8+O8</f>
        <v>14</v>
      </c>
      <c r="R8" s="32">
        <f>Q8/D8</f>
        <v>2.1212121212121213E-2</v>
      </c>
      <c r="S8" s="93"/>
      <c r="T8" s="93"/>
    </row>
    <row r="9" spans="1:20" ht="18.75" customHeight="1">
      <c r="A9" s="104"/>
      <c r="B9" s="172" t="s">
        <v>106</v>
      </c>
      <c r="C9" s="173"/>
      <c r="D9" s="47">
        <v>568</v>
      </c>
      <c r="E9" s="33">
        <v>151</v>
      </c>
      <c r="F9" s="80">
        <v>8</v>
      </c>
      <c r="G9" s="81"/>
      <c r="H9" s="86"/>
      <c r="I9" s="79"/>
      <c r="J9" s="80"/>
      <c r="K9" s="81"/>
      <c r="L9" s="86"/>
      <c r="M9" s="79"/>
      <c r="N9" s="80"/>
      <c r="O9" s="81"/>
      <c r="P9" s="86"/>
      <c r="Q9" s="37">
        <f t="shared" si="0"/>
        <v>151</v>
      </c>
      <c r="R9" s="32">
        <f t="shared" ref="R9:R31" si="1">Q9/D9</f>
        <v>0.26584507042253519</v>
      </c>
      <c r="S9" s="93"/>
      <c r="T9" s="93"/>
    </row>
    <row r="10" spans="1:20" ht="18.75" customHeight="1">
      <c r="A10" s="104"/>
      <c r="B10" s="172" t="s">
        <v>107</v>
      </c>
      <c r="C10" s="173"/>
      <c r="D10" s="47">
        <v>2340</v>
      </c>
      <c r="E10" s="33">
        <v>45</v>
      </c>
      <c r="F10" s="80">
        <v>1</v>
      </c>
      <c r="G10" s="81"/>
      <c r="H10" s="86"/>
      <c r="I10" s="79"/>
      <c r="J10" s="80"/>
      <c r="K10" s="81"/>
      <c r="L10" s="86"/>
      <c r="M10" s="79"/>
      <c r="N10" s="80"/>
      <c r="O10" s="81"/>
      <c r="P10" s="86"/>
      <c r="Q10" s="37">
        <f t="shared" si="0"/>
        <v>45</v>
      </c>
      <c r="R10" s="32">
        <f t="shared" si="1"/>
        <v>1.9230769230769232E-2</v>
      </c>
      <c r="S10" s="93"/>
      <c r="T10" s="93"/>
    </row>
    <row r="11" spans="1:20" ht="18.75" customHeight="1">
      <c r="A11" s="104"/>
      <c r="B11" s="172" t="s">
        <v>108</v>
      </c>
      <c r="C11" s="173"/>
      <c r="D11" s="47">
        <v>1020</v>
      </c>
      <c r="E11" s="33">
        <v>66</v>
      </c>
      <c r="F11" s="80">
        <v>6</v>
      </c>
      <c r="G11" s="81"/>
      <c r="H11" s="86"/>
      <c r="I11" s="79"/>
      <c r="J11" s="80"/>
      <c r="K11" s="81"/>
      <c r="L11" s="86"/>
      <c r="M11" s="79"/>
      <c r="N11" s="80"/>
      <c r="O11" s="81"/>
      <c r="P11" s="86"/>
      <c r="Q11" s="37">
        <f t="shared" si="0"/>
        <v>66</v>
      </c>
      <c r="R11" s="32">
        <f t="shared" si="1"/>
        <v>6.4705882352941183E-2</v>
      </c>
      <c r="S11" s="93"/>
      <c r="T11" s="93"/>
    </row>
    <row r="12" spans="1:20" ht="18.75" customHeight="1">
      <c r="A12" s="104"/>
      <c r="B12" s="172" t="s">
        <v>109</v>
      </c>
      <c r="C12" s="173"/>
      <c r="D12" s="47">
        <v>900</v>
      </c>
      <c r="E12" s="33">
        <v>352</v>
      </c>
      <c r="F12" s="80">
        <v>27</v>
      </c>
      <c r="G12" s="81"/>
      <c r="H12" s="86"/>
      <c r="I12" s="79"/>
      <c r="J12" s="80"/>
      <c r="K12" s="81"/>
      <c r="L12" s="86"/>
      <c r="M12" s="79"/>
      <c r="N12" s="80"/>
      <c r="O12" s="81"/>
      <c r="P12" s="86"/>
      <c r="Q12" s="37">
        <f t="shared" si="0"/>
        <v>352</v>
      </c>
      <c r="R12" s="32">
        <f t="shared" si="1"/>
        <v>0.39111111111111113</v>
      </c>
      <c r="S12" s="93"/>
      <c r="T12" s="93"/>
    </row>
    <row r="13" spans="1:20" ht="18.75" customHeight="1">
      <c r="A13" s="104"/>
      <c r="B13" s="172" t="s">
        <v>110</v>
      </c>
      <c r="C13" s="173"/>
      <c r="D13" s="47">
        <v>1020</v>
      </c>
      <c r="E13" s="33">
        <v>188</v>
      </c>
      <c r="F13" s="80">
        <v>13</v>
      </c>
      <c r="G13" s="81"/>
      <c r="H13" s="86"/>
      <c r="I13" s="79"/>
      <c r="J13" s="80"/>
      <c r="K13" s="81"/>
      <c r="L13" s="86"/>
      <c r="M13" s="79"/>
      <c r="N13" s="80"/>
      <c r="O13" s="81"/>
      <c r="P13" s="86"/>
      <c r="Q13" s="37">
        <f t="shared" si="0"/>
        <v>188</v>
      </c>
      <c r="R13" s="32">
        <f t="shared" si="1"/>
        <v>0.18431372549019609</v>
      </c>
      <c r="S13" s="93"/>
      <c r="T13" s="93"/>
    </row>
    <row r="14" spans="1:20" ht="18.75" customHeight="1">
      <c r="A14" s="104"/>
      <c r="B14" s="172" t="s">
        <v>111</v>
      </c>
      <c r="C14" s="173"/>
      <c r="D14" s="47">
        <v>650</v>
      </c>
      <c r="E14" s="33">
        <v>98</v>
      </c>
      <c r="F14" s="80">
        <v>12</v>
      </c>
      <c r="G14" s="81"/>
      <c r="H14" s="86"/>
      <c r="I14" s="79"/>
      <c r="J14" s="80"/>
      <c r="K14" s="81"/>
      <c r="L14" s="86"/>
      <c r="M14" s="79"/>
      <c r="N14" s="80"/>
      <c r="O14" s="81"/>
      <c r="P14" s="86"/>
      <c r="Q14" s="37">
        <f t="shared" si="0"/>
        <v>98</v>
      </c>
      <c r="R14" s="32">
        <f t="shared" si="1"/>
        <v>0.15076923076923077</v>
      </c>
      <c r="S14" s="93"/>
      <c r="T14" s="93"/>
    </row>
    <row r="15" spans="1:20" ht="18.75" customHeight="1">
      <c r="A15" s="104"/>
      <c r="B15" s="172" t="s">
        <v>112</v>
      </c>
      <c r="C15" s="173"/>
      <c r="D15" s="47">
        <v>680</v>
      </c>
      <c r="E15" s="33">
        <v>165</v>
      </c>
      <c r="F15" s="80">
        <v>9</v>
      </c>
      <c r="G15" s="81"/>
      <c r="H15" s="86"/>
      <c r="I15" s="79"/>
      <c r="J15" s="80"/>
      <c r="K15" s="81"/>
      <c r="L15" s="86"/>
      <c r="M15" s="79"/>
      <c r="N15" s="80"/>
      <c r="O15" s="81"/>
      <c r="P15" s="86"/>
      <c r="Q15" s="37">
        <f t="shared" si="0"/>
        <v>165</v>
      </c>
      <c r="R15" s="32">
        <f t="shared" si="1"/>
        <v>0.24264705882352941</v>
      </c>
      <c r="S15" s="93"/>
      <c r="T15" s="93"/>
    </row>
    <row r="16" spans="1:20" ht="18.75" customHeight="1">
      <c r="A16" s="104"/>
      <c r="B16" s="172" t="s">
        <v>113</v>
      </c>
      <c r="C16" s="173"/>
      <c r="D16" s="47">
        <v>318</v>
      </c>
      <c r="E16" s="33">
        <v>54</v>
      </c>
      <c r="F16" s="80">
        <v>2</v>
      </c>
      <c r="G16" s="81"/>
      <c r="H16" s="86"/>
      <c r="I16" s="79"/>
      <c r="J16" s="80"/>
      <c r="K16" s="81"/>
      <c r="L16" s="86"/>
      <c r="M16" s="79"/>
      <c r="N16" s="80"/>
      <c r="O16" s="81"/>
      <c r="P16" s="86"/>
      <c r="Q16" s="37">
        <f t="shared" si="0"/>
        <v>54</v>
      </c>
      <c r="R16" s="32">
        <f t="shared" si="1"/>
        <v>0.16981132075471697</v>
      </c>
      <c r="S16" s="93"/>
      <c r="T16" s="93"/>
    </row>
    <row r="17" spans="1:18" ht="18.75" customHeight="1">
      <c r="A17" s="104"/>
      <c r="B17" s="172" t="s">
        <v>114</v>
      </c>
      <c r="C17" s="173"/>
      <c r="D17" s="47">
        <v>480</v>
      </c>
      <c r="E17" s="33">
        <v>88</v>
      </c>
      <c r="F17" s="80">
        <v>13</v>
      </c>
      <c r="G17" s="81"/>
      <c r="H17" s="86"/>
      <c r="I17" s="79"/>
      <c r="J17" s="80"/>
      <c r="K17" s="81"/>
      <c r="L17" s="86"/>
      <c r="M17" s="79"/>
      <c r="N17" s="80"/>
      <c r="O17" s="81"/>
      <c r="P17" s="86"/>
      <c r="Q17" s="37">
        <f t="shared" si="0"/>
        <v>88</v>
      </c>
      <c r="R17" s="32">
        <f t="shared" si="1"/>
        <v>0.18333333333333332</v>
      </c>
    </row>
    <row r="18" spans="1:18" ht="18.75" customHeight="1">
      <c r="A18" s="104"/>
      <c r="B18" s="172" t="s">
        <v>115</v>
      </c>
      <c r="C18" s="173"/>
      <c r="D18" s="47">
        <v>110</v>
      </c>
      <c r="E18" s="33">
        <v>0</v>
      </c>
      <c r="F18" s="80">
        <v>0</v>
      </c>
      <c r="G18" s="81"/>
      <c r="H18" s="86"/>
      <c r="I18" s="79"/>
      <c r="J18" s="80"/>
      <c r="K18" s="81"/>
      <c r="L18" s="86"/>
      <c r="M18" s="79"/>
      <c r="N18" s="80"/>
      <c r="O18" s="81"/>
      <c r="P18" s="86"/>
      <c r="Q18" s="37">
        <f t="shared" si="0"/>
        <v>0</v>
      </c>
      <c r="R18" s="32">
        <f t="shared" si="1"/>
        <v>0</v>
      </c>
    </row>
    <row r="19" spans="1:18" ht="18.75" customHeight="1">
      <c r="A19" s="104"/>
      <c r="B19" s="172" t="s">
        <v>116</v>
      </c>
      <c r="C19" s="173"/>
      <c r="D19" s="47">
        <v>3280</v>
      </c>
      <c r="E19" s="33">
        <v>645</v>
      </c>
      <c r="F19" s="80">
        <v>48</v>
      </c>
      <c r="G19" s="81"/>
      <c r="H19" s="86"/>
      <c r="I19" s="79"/>
      <c r="J19" s="80"/>
      <c r="K19" s="81"/>
      <c r="L19" s="86"/>
      <c r="M19" s="79"/>
      <c r="N19" s="80"/>
      <c r="O19" s="81"/>
      <c r="P19" s="86"/>
      <c r="Q19" s="37">
        <f t="shared" si="0"/>
        <v>645</v>
      </c>
      <c r="R19" s="32">
        <f t="shared" si="1"/>
        <v>0.19664634146341464</v>
      </c>
    </row>
    <row r="20" spans="1:18" ht="18.75" customHeight="1">
      <c r="A20" s="104"/>
      <c r="B20" s="172" t="s">
        <v>117</v>
      </c>
      <c r="C20" s="173"/>
      <c r="D20" s="47">
        <v>1740</v>
      </c>
      <c r="E20" s="33">
        <v>364</v>
      </c>
      <c r="F20" s="80">
        <v>37</v>
      </c>
      <c r="G20" s="81"/>
      <c r="H20" s="86"/>
      <c r="I20" s="79"/>
      <c r="J20" s="80"/>
      <c r="K20" s="81"/>
      <c r="L20" s="86"/>
      <c r="M20" s="79"/>
      <c r="N20" s="80"/>
      <c r="O20" s="81"/>
      <c r="P20" s="86"/>
      <c r="Q20" s="37">
        <f t="shared" si="0"/>
        <v>364</v>
      </c>
      <c r="R20" s="32">
        <f t="shared" si="1"/>
        <v>0.20919540229885059</v>
      </c>
    </row>
    <row r="21" spans="1:18" ht="18.75" customHeight="1">
      <c r="A21" s="104"/>
      <c r="B21" s="172"/>
      <c r="C21" s="173"/>
      <c r="D21" s="47"/>
      <c r="E21" s="33"/>
      <c r="F21" s="78"/>
      <c r="G21" s="35"/>
      <c r="H21" s="36"/>
      <c r="I21" s="33"/>
      <c r="J21" s="34"/>
      <c r="K21" s="35"/>
      <c r="L21" s="36"/>
      <c r="M21" s="33"/>
      <c r="N21" s="34"/>
      <c r="O21" s="35"/>
      <c r="P21" s="36"/>
      <c r="Q21" s="37">
        <f t="shared" si="0"/>
        <v>0</v>
      </c>
      <c r="R21" s="32" t="e">
        <f t="shared" si="1"/>
        <v>#DIV/0!</v>
      </c>
    </row>
    <row r="22" spans="1:18" ht="18.75" customHeight="1">
      <c r="A22" s="104"/>
      <c r="B22" s="172"/>
      <c r="C22" s="173"/>
      <c r="D22" s="47"/>
      <c r="E22" s="33"/>
      <c r="F22" s="78"/>
      <c r="G22" s="35"/>
      <c r="H22" s="36"/>
      <c r="I22" s="33"/>
      <c r="J22" s="34"/>
      <c r="K22" s="35"/>
      <c r="L22" s="36"/>
      <c r="M22" s="33"/>
      <c r="N22" s="34"/>
      <c r="O22" s="35"/>
      <c r="P22" s="36"/>
      <c r="Q22" s="37">
        <f t="shared" si="0"/>
        <v>0</v>
      </c>
      <c r="R22" s="32" t="e">
        <f t="shared" si="1"/>
        <v>#DIV/0!</v>
      </c>
    </row>
    <row r="23" spans="1:18" ht="18.75" customHeight="1">
      <c r="A23" s="104"/>
      <c r="B23" s="172"/>
      <c r="C23" s="173"/>
      <c r="D23" s="47"/>
      <c r="E23" s="33"/>
      <c r="F23" s="78"/>
      <c r="G23" s="35"/>
      <c r="H23" s="36"/>
      <c r="I23" s="33"/>
      <c r="J23" s="34"/>
      <c r="K23" s="35"/>
      <c r="L23" s="36"/>
      <c r="M23" s="33"/>
      <c r="N23" s="34"/>
      <c r="O23" s="35"/>
      <c r="P23" s="36"/>
      <c r="Q23" s="37">
        <f t="shared" si="0"/>
        <v>0</v>
      </c>
      <c r="R23" s="32" t="e">
        <f t="shared" si="1"/>
        <v>#DIV/0!</v>
      </c>
    </row>
    <row r="24" spans="1:18" ht="18.75" customHeight="1">
      <c r="A24" s="104"/>
      <c r="B24" s="172"/>
      <c r="C24" s="173"/>
      <c r="D24" s="47"/>
      <c r="E24" s="33"/>
      <c r="F24" s="78"/>
      <c r="G24" s="35"/>
      <c r="H24" s="36"/>
      <c r="I24" s="33"/>
      <c r="J24" s="34"/>
      <c r="K24" s="35"/>
      <c r="L24" s="36"/>
      <c r="M24" s="33"/>
      <c r="N24" s="34"/>
      <c r="O24" s="35"/>
      <c r="P24" s="36"/>
      <c r="Q24" s="37">
        <f t="shared" si="0"/>
        <v>0</v>
      </c>
      <c r="R24" s="32" t="e">
        <f t="shared" si="1"/>
        <v>#DIV/0!</v>
      </c>
    </row>
    <row r="25" spans="1:18" ht="18.75" customHeight="1">
      <c r="A25" s="104"/>
      <c r="B25" s="172"/>
      <c r="C25" s="173"/>
      <c r="D25" s="47"/>
      <c r="E25" s="33"/>
      <c r="F25" s="78"/>
      <c r="G25" s="35"/>
      <c r="H25" s="36"/>
      <c r="I25" s="33"/>
      <c r="J25" s="34"/>
      <c r="K25" s="35"/>
      <c r="L25" s="36"/>
      <c r="M25" s="33"/>
      <c r="N25" s="34"/>
      <c r="O25" s="35"/>
      <c r="P25" s="36"/>
      <c r="Q25" s="37">
        <f>E25+G25+I25+K25+M25+O25</f>
        <v>0</v>
      </c>
      <c r="R25" s="32" t="e">
        <f t="shared" si="1"/>
        <v>#DIV/0!</v>
      </c>
    </row>
    <row r="26" spans="1:18" ht="18.75" customHeight="1">
      <c r="A26" s="104"/>
      <c r="B26" s="172"/>
      <c r="C26" s="173"/>
      <c r="D26" s="47"/>
      <c r="E26" s="33"/>
      <c r="F26" s="78"/>
      <c r="G26" s="35"/>
      <c r="H26" s="36"/>
      <c r="I26" s="33"/>
      <c r="J26" s="34"/>
      <c r="K26" s="35"/>
      <c r="L26" s="36"/>
      <c r="M26" s="33"/>
      <c r="N26" s="34"/>
      <c r="O26" s="35"/>
      <c r="P26" s="36"/>
      <c r="Q26" s="37">
        <f t="shared" si="0"/>
        <v>0</v>
      </c>
      <c r="R26" s="32" t="e">
        <f t="shared" si="1"/>
        <v>#DIV/0!</v>
      </c>
    </row>
    <row r="27" spans="1:18" ht="18.75" customHeight="1">
      <c r="A27" s="104"/>
      <c r="B27" s="172"/>
      <c r="C27" s="173"/>
      <c r="D27" s="47"/>
      <c r="E27" s="33"/>
      <c r="F27" s="78"/>
      <c r="G27" s="35"/>
      <c r="H27" s="36"/>
      <c r="I27" s="33"/>
      <c r="J27" s="34"/>
      <c r="K27" s="35"/>
      <c r="L27" s="36"/>
      <c r="M27" s="33"/>
      <c r="N27" s="34"/>
      <c r="O27" s="35"/>
      <c r="P27" s="36"/>
      <c r="Q27" s="37">
        <f t="shared" si="0"/>
        <v>0</v>
      </c>
      <c r="R27" s="32" t="e">
        <f t="shared" si="1"/>
        <v>#DIV/0!</v>
      </c>
    </row>
    <row r="28" spans="1:18" ht="18.75" customHeight="1">
      <c r="A28" s="104"/>
      <c r="B28" s="172"/>
      <c r="C28" s="173"/>
      <c r="D28" s="47"/>
      <c r="E28" s="33"/>
      <c r="F28" s="78"/>
      <c r="G28" s="35"/>
      <c r="H28" s="36"/>
      <c r="I28" s="33"/>
      <c r="J28" s="34"/>
      <c r="K28" s="35"/>
      <c r="L28" s="36"/>
      <c r="M28" s="33"/>
      <c r="N28" s="34"/>
      <c r="O28" s="35"/>
      <c r="P28" s="36"/>
      <c r="Q28" s="37">
        <f t="shared" si="0"/>
        <v>0</v>
      </c>
      <c r="R28" s="32" t="e">
        <f t="shared" si="1"/>
        <v>#DIV/0!</v>
      </c>
    </row>
    <row r="29" spans="1:18" ht="18.75" customHeight="1">
      <c r="A29" s="104"/>
      <c r="B29" s="172"/>
      <c r="C29" s="173"/>
      <c r="D29" s="47"/>
      <c r="E29" s="33"/>
      <c r="F29" s="78"/>
      <c r="G29" s="35"/>
      <c r="H29" s="36"/>
      <c r="I29" s="33"/>
      <c r="J29" s="34"/>
      <c r="K29" s="35"/>
      <c r="L29" s="36"/>
      <c r="M29" s="33"/>
      <c r="N29" s="34"/>
      <c r="O29" s="35"/>
      <c r="P29" s="36"/>
      <c r="Q29" s="37">
        <f t="shared" si="0"/>
        <v>0</v>
      </c>
      <c r="R29" s="32" t="e">
        <f t="shared" si="1"/>
        <v>#DIV/0!</v>
      </c>
    </row>
    <row r="30" spans="1:18" ht="18.75" customHeight="1">
      <c r="A30" s="104"/>
      <c r="B30" s="172"/>
      <c r="C30" s="173"/>
      <c r="D30" s="47"/>
      <c r="E30" s="33"/>
      <c r="F30" s="78"/>
      <c r="G30" s="35"/>
      <c r="H30" s="36"/>
      <c r="I30" s="33"/>
      <c r="J30" s="34"/>
      <c r="K30" s="35"/>
      <c r="L30" s="36"/>
      <c r="M30" s="33"/>
      <c r="N30" s="34"/>
      <c r="O30" s="35"/>
      <c r="P30" s="36"/>
      <c r="Q30" s="37">
        <f t="shared" si="0"/>
        <v>0</v>
      </c>
      <c r="R30" s="32" t="e">
        <f t="shared" si="1"/>
        <v>#DIV/0!</v>
      </c>
    </row>
    <row r="31" spans="1:18" ht="18.75" customHeight="1" thickBot="1">
      <c r="A31" s="104"/>
      <c r="B31" s="192"/>
      <c r="C31" s="193"/>
      <c r="D31" s="27"/>
      <c r="E31" s="28"/>
      <c r="F31" s="77"/>
      <c r="G31" s="30"/>
      <c r="H31" s="31"/>
      <c r="I31" s="28"/>
      <c r="J31" s="29"/>
      <c r="K31" s="30"/>
      <c r="L31" s="31"/>
      <c r="M31" s="28"/>
      <c r="N31" s="29"/>
      <c r="O31" s="30"/>
      <c r="P31" s="31"/>
      <c r="Q31" s="38">
        <f t="shared" si="0"/>
        <v>0</v>
      </c>
      <c r="R31" s="32" t="e">
        <f t="shared" si="1"/>
        <v>#DIV/0!</v>
      </c>
    </row>
    <row r="32" spans="1:18" ht="18.75" customHeight="1" thickTop="1">
      <c r="A32" s="104"/>
      <c r="B32" s="194" t="s">
        <v>118</v>
      </c>
      <c r="C32" s="195"/>
      <c r="D32" s="39">
        <f t="shared" ref="D32:Q32" si="2">SUM(D8:D31)</f>
        <v>13766</v>
      </c>
      <c r="E32" s="40">
        <f t="shared" si="2"/>
        <v>2230</v>
      </c>
      <c r="F32" s="87">
        <f t="shared" si="2"/>
        <v>176</v>
      </c>
      <c r="G32" s="42">
        <f t="shared" si="2"/>
        <v>0</v>
      </c>
      <c r="H32" s="43">
        <f t="shared" si="2"/>
        <v>0</v>
      </c>
      <c r="I32" s="40">
        <f t="shared" si="2"/>
        <v>0</v>
      </c>
      <c r="J32" s="41">
        <f t="shared" si="2"/>
        <v>0</v>
      </c>
      <c r="K32" s="42">
        <f t="shared" si="2"/>
        <v>0</v>
      </c>
      <c r="L32" s="43">
        <f t="shared" si="2"/>
        <v>0</v>
      </c>
      <c r="M32" s="40">
        <f t="shared" si="2"/>
        <v>0</v>
      </c>
      <c r="N32" s="41">
        <f t="shared" si="2"/>
        <v>0</v>
      </c>
      <c r="O32" s="42">
        <f t="shared" si="2"/>
        <v>0</v>
      </c>
      <c r="P32" s="43">
        <f t="shared" si="2"/>
        <v>0</v>
      </c>
      <c r="Q32" s="44">
        <f t="shared" si="2"/>
        <v>2230</v>
      </c>
      <c r="R32" s="45">
        <f>Q32/D32</f>
        <v>0.16199331686764493</v>
      </c>
    </row>
    <row r="33" spans="1:18" ht="9" customHeight="1">
      <c r="A33" s="104"/>
      <c r="B33" s="104"/>
      <c r="C33" s="104"/>
      <c r="D33" s="46"/>
      <c r="E33" s="48"/>
      <c r="F33" s="46"/>
      <c r="G33" s="46"/>
      <c r="H33" s="46"/>
      <c r="I33" s="46"/>
      <c r="J33" s="46"/>
      <c r="K33" s="46"/>
      <c r="L33" s="46"/>
      <c r="M33" s="46"/>
      <c r="N33" s="46"/>
      <c r="O33" s="46"/>
      <c r="P33" s="46"/>
      <c r="Q33" s="46"/>
      <c r="R33" s="46"/>
    </row>
  </sheetData>
  <mergeCells count="38">
    <mergeCell ref="B29:C29"/>
    <mergeCell ref="B30:C30"/>
    <mergeCell ref="B31:C31"/>
    <mergeCell ref="B32:C32"/>
    <mergeCell ref="B23:C23"/>
    <mergeCell ref="B24:C24"/>
    <mergeCell ref="B25:C25"/>
    <mergeCell ref="B26:C26"/>
    <mergeCell ref="B27:C27"/>
    <mergeCell ref="B28:C28"/>
    <mergeCell ref="B22:C22"/>
    <mergeCell ref="B11:C11"/>
    <mergeCell ref="B12:C12"/>
    <mergeCell ref="B13:C13"/>
    <mergeCell ref="B14:C14"/>
    <mergeCell ref="B15:C15"/>
    <mergeCell ref="B16:C16"/>
    <mergeCell ref="B17:C17"/>
    <mergeCell ref="B18:C18"/>
    <mergeCell ref="B19:C19"/>
    <mergeCell ref="B20:C20"/>
    <mergeCell ref="B21:C21"/>
    <mergeCell ref="B10:C10"/>
    <mergeCell ref="F1:R1"/>
    <mergeCell ref="K2:L2"/>
    <mergeCell ref="A4:R4"/>
    <mergeCell ref="B6:C7"/>
    <mergeCell ref="D6:D7"/>
    <mergeCell ref="E6:F6"/>
    <mergeCell ref="G6:H6"/>
    <mergeCell ref="I6:J6"/>
    <mergeCell ref="K6:L6"/>
    <mergeCell ref="M6:N6"/>
    <mergeCell ref="O6:P6"/>
    <mergeCell ref="Q6:Q7"/>
    <mergeCell ref="R6:R7"/>
    <mergeCell ref="B8:C8"/>
    <mergeCell ref="B9:C9"/>
  </mergeCells>
  <phoneticPr fontId="3"/>
  <printOptions horizontalCentered="1"/>
  <pageMargins left="0.78740157480314965" right="0.78740157480314965" top="0.78740157480314965" bottom="0.59055118110236227" header="0.31496062992125984" footer="0.31496062992125984"/>
  <pageSetup paperSize="9" scale="9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0"/>
  <sheetViews>
    <sheetView topLeftCell="A133" zoomScaleNormal="100" workbookViewId="0">
      <selection activeCell="B141" sqref="B141:G144"/>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93"/>
      <c r="B1" s="93"/>
      <c r="C1" s="93"/>
      <c r="D1" s="93"/>
      <c r="E1" s="93"/>
      <c r="F1" s="93"/>
      <c r="G1" s="112" t="s">
        <v>119</v>
      </c>
    </row>
    <row r="2" spans="1:7" ht="18.75" customHeight="1">
      <c r="A2" s="93"/>
      <c r="B2" s="93"/>
      <c r="C2" s="93"/>
      <c r="D2" s="93"/>
      <c r="E2" s="93"/>
      <c r="F2" s="112" t="s">
        <v>67</v>
      </c>
      <c r="G2" s="93" t="s">
        <v>68</v>
      </c>
    </row>
    <row r="3" spans="1:7" ht="18.75" customHeight="1">
      <c r="A3" s="202" t="s">
        <v>120</v>
      </c>
      <c r="B3" s="202"/>
      <c r="C3" s="202"/>
      <c r="D3" s="202"/>
      <c r="E3" s="202"/>
      <c r="F3" s="202"/>
      <c r="G3" s="202"/>
    </row>
    <row r="4" spans="1:7" ht="18.75" customHeight="1">
      <c r="A4" s="93" t="s">
        <v>2</v>
      </c>
      <c r="B4" s="93" t="s">
        <v>121</v>
      </c>
      <c r="C4" s="93"/>
      <c r="D4" s="93"/>
      <c r="E4" s="93"/>
      <c r="F4" s="93"/>
      <c r="G4" s="93"/>
    </row>
    <row r="5" spans="1:7" s="75" customFormat="1" ht="18.75" customHeight="1">
      <c r="A5" s="116"/>
      <c r="B5" s="113" t="s">
        <v>122</v>
      </c>
      <c r="C5" s="196" t="s">
        <v>123</v>
      </c>
      <c r="D5" s="197"/>
      <c r="E5" s="197"/>
      <c r="F5" s="197"/>
      <c r="G5" s="198"/>
    </row>
    <row r="6" spans="1:7" s="75" customFormat="1" ht="45" customHeight="1">
      <c r="A6" s="116"/>
      <c r="B6" s="203" t="s">
        <v>124</v>
      </c>
      <c r="C6" s="205" t="s">
        <v>125</v>
      </c>
      <c r="D6" s="206"/>
      <c r="E6" s="206"/>
      <c r="F6" s="206"/>
      <c r="G6" s="207"/>
    </row>
    <row r="7" spans="1:7" s="75" customFormat="1" ht="45" customHeight="1">
      <c r="A7" s="116"/>
      <c r="B7" s="204"/>
      <c r="C7" s="208"/>
      <c r="D7" s="209"/>
      <c r="E7" s="209"/>
      <c r="F7" s="209"/>
      <c r="G7" s="210"/>
    </row>
    <row r="8" spans="1:7" s="75" customFormat="1" ht="45" customHeight="1">
      <c r="A8" s="116"/>
      <c r="B8" s="204"/>
      <c r="C8" s="208"/>
      <c r="D8" s="209"/>
      <c r="E8" s="209"/>
      <c r="F8" s="209"/>
      <c r="G8" s="210"/>
    </row>
    <row r="9" spans="1:7" s="75" customFormat="1" ht="45" customHeight="1">
      <c r="A9" s="116"/>
      <c r="B9" s="204"/>
      <c r="C9" s="211"/>
      <c r="D9" s="212"/>
      <c r="E9" s="212"/>
      <c r="F9" s="212"/>
      <c r="G9" s="213"/>
    </row>
    <row r="10" spans="1:7" s="75" customFormat="1" ht="18.75" customHeight="1">
      <c r="A10" s="116"/>
      <c r="B10" s="204"/>
      <c r="C10" s="94" t="s">
        <v>126</v>
      </c>
      <c r="D10" s="214" t="s">
        <v>127</v>
      </c>
      <c r="E10" s="215"/>
      <c r="F10" s="215"/>
      <c r="G10" s="216"/>
    </row>
    <row r="11" spans="1:7" s="75" customFormat="1" ht="18.75" customHeight="1">
      <c r="A11" s="116"/>
      <c r="B11" s="204"/>
      <c r="C11" s="115" t="s">
        <v>128</v>
      </c>
      <c r="D11" s="217" t="s">
        <v>129</v>
      </c>
      <c r="E11" s="218"/>
      <c r="F11" s="218"/>
      <c r="G11" s="219"/>
    </row>
    <row r="12" spans="1:7" s="75" customFormat="1" ht="18.75" customHeight="1">
      <c r="A12" s="116"/>
      <c r="B12" s="204"/>
      <c r="C12" s="105" t="s">
        <v>130</v>
      </c>
      <c r="D12" s="220" t="s">
        <v>131</v>
      </c>
      <c r="E12" s="130"/>
      <c r="F12" s="130"/>
      <c r="G12" s="131"/>
    </row>
    <row r="13" spans="1:7" s="75" customFormat="1" ht="18.75" customHeight="1">
      <c r="A13" s="116"/>
      <c r="B13" s="204"/>
      <c r="C13" s="118"/>
      <c r="D13" s="221"/>
      <c r="E13" s="222"/>
      <c r="F13" s="222"/>
      <c r="G13" s="223"/>
    </row>
    <row r="14" spans="1:7" s="75" customFormat="1" ht="18.75" customHeight="1">
      <c r="A14" s="116"/>
      <c r="B14" s="204"/>
      <c r="C14" s="118"/>
      <c r="D14" s="221"/>
      <c r="E14" s="222"/>
      <c r="F14" s="222"/>
      <c r="G14" s="223"/>
    </row>
    <row r="15" spans="1:7" s="75" customFormat="1" ht="18.75" customHeight="1">
      <c r="A15" s="116"/>
      <c r="B15" s="204"/>
      <c r="C15" s="113"/>
      <c r="D15" s="196"/>
      <c r="E15" s="197"/>
      <c r="F15" s="197"/>
      <c r="G15" s="198"/>
    </row>
    <row r="16" spans="1:7" s="75" customFormat="1" ht="18.75" customHeight="1">
      <c r="A16" s="116"/>
      <c r="B16" s="204"/>
      <c r="C16" s="113"/>
      <c r="D16" s="196"/>
      <c r="E16" s="197"/>
      <c r="F16" s="197"/>
      <c r="G16" s="198"/>
    </row>
    <row r="17" spans="2:7" s="75" customFormat="1" ht="18.75" customHeight="1">
      <c r="B17" s="204"/>
      <c r="C17" s="113"/>
      <c r="D17" s="196"/>
      <c r="E17" s="197"/>
      <c r="F17" s="197"/>
      <c r="G17" s="198"/>
    </row>
    <row r="18" spans="2:7" s="75" customFormat="1" ht="18.75" customHeight="1">
      <c r="B18" s="204"/>
      <c r="C18" s="113"/>
      <c r="D18" s="196"/>
      <c r="E18" s="197"/>
      <c r="F18" s="197"/>
      <c r="G18" s="198"/>
    </row>
    <row r="19" spans="2:7" s="75" customFormat="1" ht="18.75" customHeight="1">
      <c r="B19" s="204"/>
      <c r="C19" s="95"/>
      <c r="D19" s="199"/>
      <c r="E19" s="200"/>
      <c r="F19" s="200"/>
      <c r="G19" s="201"/>
    </row>
    <row r="20" spans="2:7" s="75" customFormat="1" ht="18.75" customHeight="1">
      <c r="B20" s="204"/>
      <c r="C20" s="95"/>
      <c r="D20" s="199"/>
      <c r="E20" s="200"/>
      <c r="F20" s="200"/>
      <c r="G20" s="201"/>
    </row>
    <row r="21" spans="2:7" s="75" customFormat="1" ht="18.75" customHeight="1">
      <c r="B21" s="204"/>
      <c r="C21" s="95"/>
      <c r="D21" s="199"/>
      <c r="E21" s="200"/>
      <c r="F21" s="200"/>
      <c r="G21" s="201"/>
    </row>
    <row r="22" spans="2:7" s="75" customFormat="1" ht="18.75" customHeight="1">
      <c r="B22" s="204"/>
      <c r="C22" s="95"/>
      <c r="D22" s="199"/>
      <c r="E22" s="200"/>
      <c r="F22" s="200"/>
      <c r="G22" s="201"/>
    </row>
    <row r="23" spans="2:7" s="75" customFormat="1" ht="18.75" customHeight="1">
      <c r="B23" s="204"/>
      <c r="C23" s="95"/>
      <c r="D23" s="199"/>
      <c r="E23" s="200"/>
      <c r="F23" s="200"/>
      <c r="G23" s="201"/>
    </row>
    <row r="24" spans="2:7" s="75" customFormat="1" ht="18.75" customHeight="1">
      <c r="B24" s="204"/>
      <c r="C24" s="95"/>
      <c r="D24" s="199"/>
      <c r="E24" s="200"/>
      <c r="F24" s="200"/>
      <c r="G24" s="201"/>
    </row>
    <row r="25" spans="2:7" s="75" customFormat="1" ht="18.75" customHeight="1">
      <c r="B25" s="204"/>
      <c r="C25" s="95"/>
      <c r="D25" s="199"/>
      <c r="E25" s="200"/>
      <c r="F25" s="200"/>
      <c r="G25" s="201"/>
    </row>
    <row r="26" spans="2:7" ht="18.75" customHeight="1">
      <c r="B26" s="203" t="s">
        <v>132</v>
      </c>
      <c r="C26" s="199" t="s">
        <v>123</v>
      </c>
      <c r="D26" s="200"/>
      <c r="E26" s="200"/>
      <c r="F26" s="200"/>
      <c r="G26" s="201"/>
    </row>
    <row r="27" spans="2:7" ht="37.5" customHeight="1">
      <c r="B27" s="204"/>
      <c r="C27" s="225" t="s">
        <v>133</v>
      </c>
      <c r="D27" s="226"/>
      <c r="E27" s="226"/>
      <c r="F27" s="226"/>
      <c r="G27" s="227"/>
    </row>
    <row r="28" spans="2:7" ht="37.5" customHeight="1">
      <c r="B28" s="204"/>
      <c r="C28" s="228"/>
      <c r="D28" s="229"/>
      <c r="E28" s="229"/>
      <c r="F28" s="229"/>
      <c r="G28" s="230"/>
    </row>
    <row r="29" spans="2:7" ht="37.5" customHeight="1">
      <c r="B29" s="204"/>
      <c r="C29" s="228"/>
      <c r="D29" s="229"/>
      <c r="E29" s="229"/>
      <c r="F29" s="229"/>
      <c r="G29" s="230"/>
    </row>
    <row r="30" spans="2:7" ht="37.5" customHeight="1">
      <c r="B30" s="204"/>
      <c r="C30" s="228"/>
      <c r="D30" s="229"/>
      <c r="E30" s="229"/>
      <c r="F30" s="229"/>
      <c r="G30" s="230"/>
    </row>
    <row r="31" spans="2:7" ht="37.5" customHeight="1">
      <c r="B31" s="204"/>
      <c r="C31" s="231"/>
      <c r="D31" s="232"/>
      <c r="E31" s="232"/>
      <c r="F31" s="232"/>
      <c r="G31" s="233"/>
    </row>
    <row r="32" spans="2:7" ht="18.75" customHeight="1">
      <c r="B32" s="204"/>
      <c r="C32" s="96" t="s">
        <v>126</v>
      </c>
      <c r="D32" s="199" t="s">
        <v>127</v>
      </c>
      <c r="E32" s="200"/>
      <c r="F32" s="200"/>
      <c r="G32" s="201"/>
    </row>
    <row r="33" spans="2:7" ht="18.75" customHeight="1">
      <c r="B33" s="204"/>
      <c r="C33" s="115" t="s">
        <v>128</v>
      </c>
      <c r="D33" s="234" t="s">
        <v>134</v>
      </c>
      <c r="E33" s="235"/>
      <c r="F33" s="235"/>
      <c r="G33" s="236"/>
    </row>
    <row r="34" spans="2:7" ht="18.75" customHeight="1">
      <c r="B34" s="204"/>
      <c r="C34" s="115" t="s">
        <v>130</v>
      </c>
      <c r="D34" s="237" t="s">
        <v>135</v>
      </c>
      <c r="E34" s="238"/>
      <c r="F34" s="238"/>
      <c r="G34" s="239"/>
    </row>
    <row r="35" spans="2:7" ht="18.75" customHeight="1">
      <c r="B35" s="204"/>
      <c r="C35" s="95"/>
      <c r="D35" s="234"/>
      <c r="E35" s="235"/>
      <c r="F35" s="235"/>
      <c r="G35" s="236"/>
    </row>
    <row r="36" spans="2:7" ht="18.75" customHeight="1">
      <c r="B36" s="204"/>
      <c r="C36" s="95"/>
      <c r="D36" s="234"/>
      <c r="E36" s="235"/>
      <c r="F36" s="235"/>
      <c r="G36" s="236"/>
    </row>
    <row r="37" spans="2:7" ht="18.75" customHeight="1">
      <c r="B37" s="204"/>
      <c r="C37" s="95"/>
      <c r="D37" s="234"/>
      <c r="E37" s="235"/>
      <c r="F37" s="235"/>
      <c r="G37" s="236"/>
    </row>
    <row r="38" spans="2:7" ht="18.75" customHeight="1">
      <c r="B38" s="204"/>
      <c r="C38" s="95"/>
      <c r="D38" s="234"/>
      <c r="E38" s="235"/>
      <c r="F38" s="235"/>
      <c r="G38" s="236"/>
    </row>
    <row r="39" spans="2:7" ht="18.75" customHeight="1">
      <c r="B39" s="204"/>
      <c r="C39" s="95"/>
      <c r="D39" s="234"/>
      <c r="E39" s="235"/>
      <c r="F39" s="235"/>
      <c r="G39" s="236"/>
    </row>
    <row r="40" spans="2:7" ht="18.75" customHeight="1">
      <c r="B40" s="204"/>
      <c r="C40" s="95"/>
      <c r="D40" s="234"/>
      <c r="E40" s="235"/>
      <c r="F40" s="235"/>
      <c r="G40" s="236"/>
    </row>
    <row r="41" spans="2:7" ht="18.75" customHeight="1">
      <c r="B41" s="204"/>
      <c r="C41" s="95"/>
      <c r="D41" s="234"/>
      <c r="E41" s="235"/>
      <c r="F41" s="235"/>
      <c r="G41" s="236"/>
    </row>
    <row r="42" spans="2:7" ht="18.75" customHeight="1">
      <c r="B42" s="204"/>
      <c r="C42" s="95"/>
      <c r="D42" s="234"/>
      <c r="E42" s="235"/>
      <c r="F42" s="235"/>
      <c r="G42" s="236"/>
    </row>
    <row r="43" spans="2:7" ht="18.75" customHeight="1">
      <c r="B43" s="204"/>
      <c r="C43" s="95"/>
      <c r="D43" s="234"/>
      <c r="E43" s="235"/>
      <c r="F43" s="235"/>
      <c r="G43" s="236"/>
    </row>
    <row r="44" spans="2:7" ht="18.75" customHeight="1">
      <c r="B44" s="204"/>
      <c r="C44" s="95"/>
      <c r="D44" s="234"/>
      <c r="E44" s="235"/>
      <c r="F44" s="235"/>
      <c r="G44" s="236"/>
    </row>
    <row r="45" spans="2:7" ht="18.75" customHeight="1">
      <c r="B45" s="204"/>
      <c r="C45" s="95"/>
      <c r="D45" s="234"/>
      <c r="E45" s="235"/>
      <c r="F45" s="235"/>
      <c r="G45" s="236"/>
    </row>
    <row r="46" spans="2:7" ht="18.75" customHeight="1">
      <c r="B46" s="204"/>
      <c r="C46" s="95"/>
      <c r="D46" s="234"/>
      <c r="E46" s="235"/>
      <c r="F46" s="235"/>
      <c r="G46" s="236"/>
    </row>
    <row r="47" spans="2:7" ht="18.75" customHeight="1">
      <c r="B47" s="204"/>
      <c r="C47" s="95"/>
      <c r="D47" s="234"/>
      <c r="E47" s="235"/>
      <c r="F47" s="235"/>
      <c r="G47" s="236"/>
    </row>
    <row r="48" spans="2:7" ht="18.75" customHeight="1">
      <c r="B48" s="204"/>
      <c r="C48" s="95"/>
      <c r="D48" s="234"/>
      <c r="E48" s="235"/>
      <c r="F48" s="235"/>
      <c r="G48" s="236"/>
    </row>
    <row r="49" spans="2:7" ht="18.75" customHeight="1">
      <c r="B49" s="204"/>
      <c r="C49" s="95"/>
      <c r="D49" s="234"/>
      <c r="E49" s="235"/>
      <c r="F49" s="235"/>
      <c r="G49" s="236"/>
    </row>
    <row r="50" spans="2:7" ht="18.75" customHeight="1">
      <c r="B50" s="224"/>
      <c r="C50" s="95"/>
      <c r="D50" s="234"/>
      <c r="E50" s="235"/>
      <c r="F50" s="235"/>
      <c r="G50" s="236"/>
    </row>
    <row r="51" spans="2:7" ht="18.75" customHeight="1">
      <c r="B51" s="203" t="s">
        <v>136</v>
      </c>
      <c r="C51" s="199" t="s">
        <v>123</v>
      </c>
      <c r="D51" s="200"/>
      <c r="E51" s="200"/>
      <c r="F51" s="200"/>
      <c r="G51" s="201"/>
    </row>
    <row r="52" spans="2:7" ht="37.5" customHeight="1">
      <c r="B52" s="204"/>
      <c r="C52" s="225" t="s">
        <v>137</v>
      </c>
      <c r="D52" s="240"/>
      <c r="E52" s="240"/>
      <c r="F52" s="240"/>
      <c r="G52" s="241"/>
    </row>
    <row r="53" spans="2:7" ht="37.5" customHeight="1">
      <c r="B53" s="204"/>
      <c r="C53" s="242"/>
      <c r="D53" s="243"/>
      <c r="E53" s="243"/>
      <c r="F53" s="243"/>
      <c r="G53" s="244"/>
    </row>
    <row r="54" spans="2:7" ht="37.5" customHeight="1">
      <c r="B54" s="204"/>
      <c r="C54" s="242"/>
      <c r="D54" s="243"/>
      <c r="E54" s="243"/>
      <c r="F54" s="243"/>
      <c r="G54" s="244"/>
    </row>
    <row r="55" spans="2:7" ht="37.5" customHeight="1">
      <c r="B55" s="204"/>
      <c r="C55" s="242"/>
      <c r="D55" s="243"/>
      <c r="E55" s="243"/>
      <c r="F55" s="243"/>
      <c r="G55" s="244"/>
    </row>
    <row r="56" spans="2:7" ht="37.5" customHeight="1">
      <c r="B56" s="204"/>
      <c r="C56" s="245"/>
      <c r="D56" s="246"/>
      <c r="E56" s="246"/>
      <c r="F56" s="246"/>
      <c r="G56" s="247"/>
    </row>
    <row r="57" spans="2:7" ht="18.75" customHeight="1">
      <c r="B57" s="204"/>
      <c r="C57" s="94" t="s">
        <v>126</v>
      </c>
      <c r="D57" s="196" t="s">
        <v>127</v>
      </c>
      <c r="E57" s="197"/>
      <c r="F57" s="197"/>
      <c r="G57" s="198"/>
    </row>
    <row r="58" spans="2:7" ht="18.75" customHeight="1">
      <c r="B58" s="204"/>
      <c r="C58" s="115" t="s">
        <v>128</v>
      </c>
      <c r="D58" s="248" t="s">
        <v>138</v>
      </c>
      <c r="E58" s="249"/>
      <c r="F58" s="249"/>
      <c r="G58" s="250"/>
    </row>
    <row r="59" spans="2:7" ht="18.75" customHeight="1">
      <c r="B59" s="204"/>
      <c r="C59" s="113"/>
      <c r="D59" s="248"/>
      <c r="E59" s="249"/>
      <c r="F59" s="249"/>
      <c r="G59" s="250"/>
    </row>
    <row r="60" spans="2:7" ht="18.75" customHeight="1">
      <c r="B60" s="204"/>
      <c r="C60" s="113"/>
      <c r="D60" s="248"/>
      <c r="E60" s="249"/>
      <c r="F60" s="249"/>
      <c r="G60" s="250"/>
    </row>
    <row r="61" spans="2:7" ht="18.75" customHeight="1">
      <c r="B61" s="204"/>
      <c r="C61" s="113"/>
      <c r="D61" s="248"/>
      <c r="E61" s="249"/>
      <c r="F61" s="249"/>
      <c r="G61" s="250"/>
    </row>
    <row r="62" spans="2:7" ht="18.75" customHeight="1">
      <c r="B62" s="204"/>
      <c r="C62" s="113"/>
      <c r="D62" s="248"/>
      <c r="E62" s="249"/>
      <c r="F62" s="249"/>
      <c r="G62" s="250"/>
    </row>
    <row r="63" spans="2:7" ht="18.75" customHeight="1">
      <c r="B63" s="204"/>
      <c r="C63" s="113"/>
      <c r="D63" s="248"/>
      <c r="E63" s="249"/>
      <c r="F63" s="249"/>
      <c r="G63" s="250"/>
    </row>
    <row r="64" spans="2:7" ht="18.75" customHeight="1">
      <c r="B64" s="204"/>
      <c r="C64" s="113"/>
      <c r="D64" s="248"/>
      <c r="E64" s="249"/>
      <c r="F64" s="249"/>
      <c r="G64" s="250"/>
    </row>
    <row r="65" spans="2:7" ht="18.75" customHeight="1">
      <c r="B65" s="204"/>
      <c r="C65" s="113"/>
      <c r="D65" s="248"/>
      <c r="E65" s="249"/>
      <c r="F65" s="249"/>
      <c r="G65" s="250"/>
    </row>
    <row r="66" spans="2:7" ht="18.75" customHeight="1">
      <c r="B66" s="204"/>
      <c r="C66" s="113"/>
      <c r="D66" s="248"/>
      <c r="E66" s="249"/>
      <c r="F66" s="249"/>
      <c r="G66" s="250"/>
    </row>
    <row r="67" spans="2:7" ht="18.75" customHeight="1">
      <c r="B67" s="204"/>
      <c r="C67" s="113"/>
      <c r="D67" s="248"/>
      <c r="E67" s="249"/>
      <c r="F67" s="249"/>
      <c r="G67" s="250"/>
    </row>
    <row r="68" spans="2:7" ht="18.75" customHeight="1">
      <c r="B68" s="204"/>
      <c r="C68" s="113"/>
      <c r="D68" s="248"/>
      <c r="E68" s="249"/>
      <c r="F68" s="249"/>
      <c r="G68" s="250"/>
    </row>
    <row r="69" spans="2:7" ht="18.75" customHeight="1">
      <c r="B69" s="204"/>
      <c r="C69" s="113"/>
      <c r="D69" s="248"/>
      <c r="E69" s="249"/>
      <c r="F69" s="249"/>
      <c r="G69" s="250"/>
    </row>
    <row r="70" spans="2:7" ht="18.75" customHeight="1">
      <c r="B70" s="204"/>
      <c r="C70" s="113"/>
      <c r="D70" s="248"/>
      <c r="E70" s="249"/>
      <c r="F70" s="249"/>
      <c r="G70" s="250"/>
    </row>
    <row r="71" spans="2:7" ht="18.75" customHeight="1">
      <c r="B71" s="204"/>
      <c r="C71" s="113"/>
      <c r="D71" s="248"/>
      <c r="E71" s="249"/>
      <c r="F71" s="249"/>
      <c r="G71" s="250"/>
    </row>
    <row r="72" spans="2:7" ht="18.75" customHeight="1">
      <c r="B72" s="204"/>
      <c r="C72" s="113"/>
      <c r="D72" s="248"/>
      <c r="E72" s="249"/>
      <c r="F72" s="249"/>
      <c r="G72" s="250"/>
    </row>
    <row r="73" spans="2:7" ht="18.75" customHeight="1">
      <c r="B73" s="204"/>
      <c r="C73" s="113"/>
      <c r="D73" s="248"/>
      <c r="E73" s="249"/>
      <c r="F73" s="249"/>
      <c r="G73" s="250"/>
    </row>
    <row r="74" spans="2:7" ht="18.75" customHeight="1">
      <c r="B74" s="204"/>
      <c r="C74" s="113"/>
      <c r="D74" s="248"/>
      <c r="E74" s="249"/>
      <c r="F74" s="249"/>
      <c r="G74" s="250"/>
    </row>
    <row r="75" spans="2:7" ht="18.75" customHeight="1">
      <c r="B75" s="204"/>
      <c r="C75" s="113"/>
      <c r="D75" s="248"/>
      <c r="E75" s="249"/>
      <c r="F75" s="249"/>
      <c r="G75" s="250"/>
    </row>
    <row r="76" spans="2:7" ht="18.75" customHeight="1">
      <c r="B76" s="203" t="s">
        <v>139</v>
      </c>
      <c r="C76" s="196" t="s">
        <v>123</v>
      </c>
      <c r="D76" s="197"/>
      <c r="E76" s="197"/>
      <c r="F76" s="197"/>
      <c r="G76" s="198"/>
    </row>
    <row r="77" spans="2:7" ht="37.5" customHeight="1">
      <c r="B77" s="204"/>
      <c r="C77" s="225" t="s">
        <v>140</v>
      </c>
      <c r="D77" s="240"/>
      <c r="E77" s="240"/>
      <c r="F77" s="240"/>
      <c r="G77" s="241"/>
    </row>
    <row r="78" spans="2:7" ht="37.5" customHeight="1">
      <c r="B78" s="204"/>
      <c r="C78" s="242"/>
      <c r="D78" s="243"/>
      <c r="E78" s="243"/>
      <c r="F78" s="243"/>
      <c r="G78" s="244"/>
    </row>
    <row r="79" spans="2:7" ht="37.5" customHeight="1">
      <c r="B79" s="204"/>
      <c r="C79" s="242"/>
      <c r="D79" s="243"/>
      <c r="E79" s="243"/>
      <c r="F79" s="243"/>
      <c r="G79" s="244"/>
    </row>
    <row r="80" spans="2:7" ht="37.5" customHeight="1">
      <c r="B80" s="204"/>
      <c r="C80" s="242"/>
      <c r="D80" s="243"/>
      <c r="E80" s="243"/>
      <c r="F80" s="243"/>
      <c r="G80" s="244"/>
    </row>
    <row r="81" spans="2:7" ht="37.5" customHeight="1">
      <c r="B81" s="204"/>
      <c r="C81" s="245"/>
      <c r="D81" s="246"/>
      <c r="E81" s="246"/>
      <c r="F81" s="246"/>
      <c r="G81" s="247"/>
    </row>
    <row r="82" spans="2:7" ht="18.75" customHeight="1">
      <c r="B82" s="204"/>
      <c r="C82" s="94" t="s">
        <v>126</v>
      </c>
      <c r="D82" s="196" t="s">
        <v>127</v>
      </c>
      <c r="E82" s="197"/>
      <c r="F82" s="197"/>
      <c r="G82" s="198"/>
    </row>
    <row r="83" spans="2:7" ht="18.75" customHeight="1">
      <c r="B83" s="204"/>
      <c r="C83" s="115" t="s">
        <v>128</v>
      </c>
      <c r="D83" s="248" t="s">
        <v>141</v>
      </c>
      <c r="E83" s="249"/>
      <c r="F83" s="249"/>
      <c r="G83" s="250"/>
    </row>
    <row r="84" spans="2:7" ht="18.75" customHeight="1">
      <c r="B84" s="204"/>
      <c r="C84" s="118"/>
      <c r="D84" s="251"/>
      <c r="E84" s="252"/>
      <c r="F84" s="252"/>
      <c r="G84" s="253"/>
    </row>
    <row r="85" spans="2:7" ht="18.75" customHeight="1">
      <c r="B85" s="204"/>
      <c r="C85" s="113"/>
      <c r="D85" s="248"/>
      <c r="E85" s="249"/>
      <c r="F85" s="249"/>
      <c r="G85" s="250"/>
    </row>
    <row r="86" spans="2:7" ht="18.75" customHeight="1">
      <c r="B86" s="204"/>
      <c r="C86" s="113"/>
      <c r="D86" s="248"/>
      <c r="E86" s="249"/>
      <c r="F86" s="249"/>
      <c r="G86" s="250"/>
    </row>
    <row r="87" spans="2:7" ht="18.75" customHeight="1">
      <c r="B87" s="204"/>
      <c r="C87" s="113"/>
      <c r="D87" s="248"/>
      <c r="E87" s="249"/>
      <c r="F87" s="249"/>
      <c r="G87" s="250"/>
    </row>
    <row r="88" spans="2:7" ht="18.75" customHeight="1">
      <c r="B88" s="204"/>
      <c r="C88" s="113"/>
      <c r="D88" s="248"/>
      <c r="E88" s="249"/>
      <c r="F88" s="249"/>
      <c r="G88" s="250"/>
    </row>
    <row r="89" spans="2:7" ht="18.75" customHeight="1">
      <c r="B89" s="204"/>
      <c r="C89" s="113"/>
      <c r="D89" s="248"/>
      <c r="E89" s="249"/>
      <c r="F89" s="249"/>
      <c r="G89" s="250"/>
    </row>
    <row r="90" spans="2:7" ht="18.75" customHeight="1">
      <c r="B90" s="204"/>
      <c r="C90" s="113"/>
      <c r="D90" s="248"/>
      <c r="E90" s="249"/>
      <c r="F90" s="249"/>
      <c r="G90" s="250"/>
    </row>
    <row r="91" spans="2:7" ht="18.75" customHeight="1">
      <c r="B91" s="204"/>
      <c r="C91" s="113"/>
      <c r="D91" s="248"/>
      <c r="E91" s="249"/>
      <c r="F91" s="249"/>
      <c r="G91" s="250"/>
    </row>
    <row r="92" spans="2:7" ht="18.75" customHeight="1">
      <c r="B92" s="204"/>
      <c r="C92" s="113"/>
      <c r="D92" s="248"/>
      <c r="E92" s="249"/>
      <c r="F92" s="249"/>
      <c r="G92" s="250"/>
    </row>
    <row r="93" spans="2:7" ht="18.75" customHeight="1">
      <c r="B93" s="204"/>
      <c r="C93" s="113"/>
      <c r="D93" s="248"/>
      <c r="E93" s="249"/>
      <c r="F93" s="249"/>
      <c r="G93" s="250"/>
    </row>
    <row r="94" spans="2:7" ht="18.75" customHeight="1">
      <c r="B94" s="204"/>
      <c r="C94" s="113"/>
      <c r="D94" s="248"/>
      <c r="E94" s="249"/>
      <c r="F94" s="249"/>
      <c r="G94" s="250"/>
    </row>
    <row r="95" spans="2:7" ht="18.75" customHeight="1">
      <c r="B95" s="204"/>
      <c r="C95" s="113"/>
      <c r="D95" s="248"/>
      <c r="E95" s="249"/>
      <c r="F95" s="249"/>
      <c r="G95" s="250"/>
    </row>
    <row r="96" spans="2:7" ht="18.75" customHeight="1">
      <c r="B96" s="204"/>
      <c r="C96" s="113"/>
      <c r="D96" s="248"/>
      <c r="E96" s="249"/>
      <c r="F96" s="249"/>
      <c r="G96" s="250"/>
    </row>
    <row r="97" spans="2:7" ht="18.75" customHeight="1">
      <c r="B97" s="204"/>
      <c r="C97" s="113"/>
      <c r="D97" s="248"/>
      <c r="E97" s="249"/>
      <c r="F97" s="249"/>
      <c r="G97" s="250"/>
    </row>
    <row r="98" spans="2:7" ht="18.75" customHeight="1">
      <c r="B98" s="204"/>
      <c r="C98" s="113"/>
      <c r="D98" s="248"/>
      <c r="E98" s="249"/>
      <c r="F98" s="249"/>
      <c r="G98" s="250"/>
    </row>
    <row r="99" spans="2:7" ht="18.75" customHeight="1">
      <c r="B99" s="204"/>
      <c r="C99" s="113"/>
      <c r="D99" s="248"/>
      <c r="E99" s="249"/>
      <c r="F99" s="249"/>
      <c r="G99" s="250"/>
    </row>
    <row r="100" spans="2:7" ht="18.75" customHeight="1">
      <c r="B100" s="204"/>
      <c r="C100" s="113"/>
      <c r="D100" s="248"/>
      <c r="E100" s="249"/>
      <c r="F100" s="249"/>
      <c r="G100" s="250"/>
    </row>
    <row r="101" spans="2:7" ht="18.75" customHeight="1">
      <c r="B101" s="203" t="s">
        <v>142</v>
      </c>
      <c r="C101" s="196" t="s">
        <v>123</v>
      </c>
      <c r="D101" s="197"/>
      <c r="E101" s="197"/>
      <c r="F101" s="197"/>
      <c r="G101" s="198"/>
    </row>
    <row r="102" spans="2:7" ht="37.5" customHeight="1">
      <c r="B102" s="204"/>
      <c r="C102" s="225" t="s">
        <v>143</v>
      </c>
      <c r="D102" s="240"/>
      <c r="E102" s="240"/>
      <c r="F102" s="240"/>
      <c r="G102" s="241"/>
    </row>
    <row r="103" spans="2:7" ht="37.5" customHeight="1">
      <c r="B103" s="204"/>
      <c r="C103" s="242"/>
      <c r="D103" s="243"/>
      <c r="E103" s="243"/>
      <c r="F103" s="243"/>
      <c r="G103" s="244"/>
    </row>
    <row r="104" spans="2:7" ht="37.5" customHeight="1">
      <c r="B104" s="204"/>
      <c r="C104" s="242"/>
      <c r="D104" s="243"/>
      <c r="E104" s="243"/>
      <c r="F104" s="243"/>
      <c r="G104" s="244"/>
    </row>
    <row r="105" spans="2:7" ht="37.5" customHeight="1">
      <c r="B105" s="204"/>
      <c r="C105" s="242"/>
      <c r="D105" s="243"/>
      <c r="E105" s="243"/>
      <c r="F105" s="243"/>
      <c r="G105" s="244"/>
    </row>
    <row r="106" spans="2:7" ht="37.5" customHeight="1">
      <c r="B106" s="204"/>
      <c r="C106" s="245"/>
      <c r="D106" s="246"/>
      <c r="E106" s="246"/>
      <c r="F106" s="246"/>
      <c r="G106" s="247"/>
    </row>
    <row r="107" spans="2:7" ht="18.75" customHeight="1">
      <c r="B107" s="204"/>
      <c r="C107" s="94" t="s">
        <v>126</v>
      </c>
      <c r="D107" s="196" t="s">
        <v>127</v>
      </c>
      <c r="E107" s="197"/>
      <c r="F107" s="197"/>
      <c r="G107" s="198"/>
    </row>
    <row r="108" spans="2:7" ht="18.75" customHeight="1">
      <c r="B108" s="204"/>
      <c r="C108" s="115" t="s">
        <v>128</v>
      </c>
      <c r="D108" s="248" t="s">
        <v>144</v>
      </c>
      <c r="E108" s="249"/>
      <c r="F108" s="249"/>
      <c r="G108" s="250"/>
    </row>
    <row r="109" spans="2:7" ht="18.75" customHeight="1">
      <c r="B109" s="204"/>
      <c r="C109" s="115" t="s">
        <v>130</v>
      </c>
      <c r="D109" s="254" t="s">
        <v>145</v>
      </c>
      <c r="E109" s="218"/>
      <c r="F109" s="218"/>
      <c r="G109" s="219"/>
    </row>
    <row r="110" spans="2:7" ht="18.75" customHeight="1">
      <c r="B110" s="204"/>
      <c r="C110" s="115" t="s">
        <v>146</v>
      </c>
      <c r="D110" s="254" t="s">
        <v>147</v>
      </c>
      <c r="E110" s="218"/>
      <c r="F110" s="218"/>
      <c r="G110" s="219"/>
    </row>
    <row r="111" spans="2:7" ht="18.75" customHeight="1">
      <c r="B111" s="204"/>
      <c r="C111" s="115" t="s">
        <v>148</v>
      </c>
      <c r="D111" s="254" t="s">
        <v>149</v>
      </c>
      <c r="E111" s="218"/>
      <c r="F111" s="218"/>
      <c r="G111" s="219"/>
    </row>
    <row r="112" spans="2:7" ht="18.75" customHeight="1">
      <c r="B112" s="204"/>
      <c r="C112" s="115" t="s">
        <v>150</v>
      </c>
      <c r="D112" s="254" t="s">
        <v>151</v>
      </c>
      <c r="E112" s="218"/>
      <c r="F112" s="218"/>
      <c r="G112" s="219"/>
    </row>
    <row r="113" spans="1:7" ht="18.75" customHeight="1">
      <c r="A113" s="93"/>
      <c r="B113" s="204"/>
      <c r="C113" s="113"/>
      <c r="D113" s="248"/>
      <c r="E113" s="249"/>
      <c r="F113" s="249"/>
      <c r="G113" s="250"/>
    </row>
    <row r="114" spans="1:7" ht="18.75" customHeight="1">
      <c r="A114" s="93"/>
      <c r="B114" s="204"/>
      <c r="C114" s="113"/>
      <c r="D114" s="248"/>
      <c r="E114" s="249"/>
      <c r="F114" s="249"/>
      <c r="G114" s="250"/>
    </row>
    <row r="115" spans="1:7" ht="18.75" customHeight="1">
      <c r="A115" s="93"/>
      <c r="B115" s="204"/>
      <c r="C115" s="113"/>
      <c r="D115" s="248"/>
      <c r="E115" s="249"/>
      <c r="F115" s="249"/>
      <c r="G115" s="250"/>
    </row>
    <row r="116" spans="1:7" ht="18.75" customHeight="1">
      <c r="A116" s="93"/>
      <c r="B116" s="204"/>
      <c r="C116" s="113"/>
      <c r="D116" s="248"/>
      <c r="E116" s="249"/>
      <c r="F116" s="249"/>
      <c r="G116" s="250"/>
    </row>
    <row r="117" spans="1:7" ht="18.75" customHeight="1">
      <c r="A117" s="93"/>
      <c r="B117" s="204"/>
      <c r="C117" s="113"/>
      <c r="D117" s="248"/>
      <c r="E117" s="249"/>
      <c r="F117" s="249"/>
      <c r="G117" s="250"/>
    </row>
    <row r="118" spans="1:7" ht="18.75" customHeight="1">
      <c r="A118" s="93"/>
      <c r="B118" s="204"/>
      <c r="C118" s="113"/>
      <c r="D118" s="248"/>
      <c r="E118" s="249"/>
      <c r="F118" s="249"/>
      <c r="G118" s="250"/>
    </row>
    <row r="119" spans="1:7" ht="18.75" customHeight="1">
      <c r="A119" s="93"/>
      <c r="B119" s="204"/>
      <c r="C119" s="113"/>
      <c r="D119" s="248"/>
      <c r="E119" s="249"/>
      <c r="F119" s="249"/>
      <c r="G119" s="250"/>
    </row>
    <row r="120" spans="1:7" ht="18.75" customHeight="1">
      <c r="A120" s="93"/>
      <c r="B120" s="204"/>
      <c r="C120" s="113"/>
      <c r="D120" s="248"/>
      <c r="E120" s="249"/>
      <c r="F120" s="249"/>
      <c r="G120" s="250"/>
    </row>
    <row r="121" spans="1:7" ht="18.75" customHeight="1">
      <c r="A121" s="93"/>
      <c r="B121" s="204"/>
      <c r="C121" s="113"/>
      <c r="D121" s="248"/>
      <c r="E121" s="249"/>
      <c r="F121" s="249"/>
      <c r="G121" s="250"/>
    </row>
    <row r="122" spans="1:7" ht="18.75" customHeight="1">
      <c r="A122" s="93"/>
      <c r="B122" s="204"/>
      <c r="C122" s="113"/>
      <c r="D122" s="248"/>
      <c r="E122" s="249"/>
      <c r="F122" s="249"/>
      <c r="G122" s="250"/>
    </row>
    <row r="123" spans="1:7" ht="18.75" customHeight="1">
      <c r="A123" s="93"/>
      <c r="B123" s="204"/>
      <c r="C123" s="113"/>
      <c r="D123" s="248"/>
      <c r="E123" s="249"/>
      <c r="F123" s="249"/>
      <c r="G123" s="250"/>
    </row>
    <row r="124" spans="1:7" ht="18.75" customHeight="1">
      <c r="A124" s="93"/>
      <c r="B124" s="204"/>
      <c r="C124" s="113"/>
      <c r="D124" s="248"/>
      <c r="E124" s="249"/>
      <c r="F124" s="249"/>
      <c r="G124" s="250"/>
    </row>
    <row r="125" spans="1:7" ht="18.75" customHeight="1">
      <c r="A125" s="93"/>
      <c r="B125" s="204"/>
      <c r="C125" s="113"/>
      <c r="D125" s="248"/>
      <c r="E125" s="249"/>
      <c r="F125" s="249"/>
      <c r="G125" s="250"/>
    </row>
    <row r="126" spans="1:7" ht="18.75" customHeight="1">
      <c r="A126" s="93" t="s">
        <v>5</v>
      </c>
      <c r="B126" s="93" t="s">
        <v>152</v>
      </c>
      <c r="C126" s="93"/>
      <c r="D126" s="93"/>
      <c r="E126" s="93"/>
      <c r="F126" s="93"/>
      <c r="G126" s="93"/>
    </row>
    <row r="127" spans="1:7" ht="22.5" customHeight="1">
      <c r="A127" s="93"/>
      <c r="B127" s="113" t="s">
        <v>122</v>
      </c>
      <c r="C127" s="196" t="s">
        <v>74</v>
      </c>
      <c r="D127" s="197"/>
      <c r="E127" s="197"/>
      <c r="F127" s="197"/>
      <c r="G127" s="198"/>
    </row>
    <row r="128" spans="1:7" ht="45" customHeight="1">
      <c r="A128" s="93"/>
      <c r="B128" s="97" t="s">
        <v>153</v>
      </c>
      <c r="C128" s="255" t="s">
        <v>154</v>
      </c>
      <c r="D128" s="256"/>
      <c r="E128" s="256"/>
      <c r="F128" s="256"/>
      <c r="G128" s="257"/>
    </row>
    <row r="129" spans="1:7" ht="45" customHeight="1">
      <c r="A129" s="93"/>
      <c r="B129" s="97" t="s">
        <v>155</v>
      </c>
      <c r="C129" s="255" t="s">
        <v>156</v>
      </c>
      <c r="D129" s="256"/>
      <c r="E129" s="256"/>
      <c r="F129" s="256"/>
      <c r="G129" s="257"/>
    </row>
    <row r="130" spans="1:7" ht="45" customHeight="1">
      <c r="A130" s="93"/>
      <c r="B130" s="97" t="s">
        <v>157</v>
      </c>
      <c r="C130" s="255" t="s">
        <v>158</v>
      </c>
      <c r="D130" s="256"/>
      <c r="E130" s="256"/>
      <c r="F130" s="256"/>
      <c r="G130" s="257"/>
    </row>
    <row r="131" spans="1:7" ht="45" customHeight="1">
      <c r="A131" s="93"/>
      <c r="B131" s="97" t="s">
        <v>159</v>
      </c>
      <c r="C131" s="255" t="s">
        <v>160</v>
      </c>
      <c r="D131" s="256"/>
      <c r="E131" s="256"/>
      <c r="F131" s="256"/>
      <c r="G131" s="257"/>
    </row>
    <row r="132" spans="1:7" ht="45" customHeight="1">
      <c r="A132" s="93"/>
      <c r="B132" s="97" t="s">
        <v>161</v>
      </c>
      <c r="C132" s="255" t="s">
        <v>162</v>
      </c>
      <c r="D132" s="256"/>
      <c r="E132" s="256"/>
      <c r="F132" s="256"/>
      <c r="G132" s="257"/>
    </row>
    <row r="133" spans="1:7" ht="45" customHeight="1">
      <c r="A133" s="93"/>
      <c r="B133" s="97" t="s">
        <v>163</v>
      </c>
      <c r="C133" s="255" t="s">
        <v>162</v>
      </c>
      <c r="D133" s="256"/>
      <c r="E133" s="256"/>
      <c r="F133" s="256"/>
      <c r="G133" s="257"/>
    </row>
    <row r="134" spans="1:7" ht="45" customHeight="1">
      <c r="A134" s="93"/>
      <c r="B134" s="97" t="s">
        <v>164</v>
      </c>
      <c r="C134" s="255" t="s">
        <v>165</v>
      </c>
      <c r="D134" s="256"/>
      <c r="E134" s="256"/>
      <c r="F134" s="256"/>
      <c r="G134" s="257"/>
    </row>
    <row r="135" spans="1:7" ht="45" customHeight="1">
      <c r="A135" s="93"/>
      <c r="B135" s="97" t="s">
        <v>166</v>
      </c>
      <c r="C135" s="258" t="s">
        <v>167</v>
      </c>
      <c r="D135" s="152"/>
      <c r="E135" s="152"/>
      <c r="F135" s="152"/>
      <c r="G135" s="153"/>
    </row>
    <row r="136" spans="1:7" ht="45" customHeight="1">
      <c r="A136" s="93"/>
      <c r="B136" s="97" t="s">
        <v>168</v>
      </c>
      <c r="C136" s="255" t="s">
        <v>169</v>
      </c>
      <c r="D136" s="135"/>
      <c r="E136" s="135"/>
      <c r="F136" s="135"/>
      <c r="G136" s="148"/>
    </row>
    <row r="137" spans="1:7" ht="7.5" customHeight="1">
      <c r="A137" s="93"/>
      <c r="B137" s="93"/>
      <c r="C137" s="93"/>
      <c r="D137" s="93"/>
      <c r="E137" s="93"/>
      <c r="F137" s="93"/>
      <c r="G137" s="93"/>
    </row>
    <row r="138" spans="1:7" ht="32.25" customHeight="1">
      <c r="A138" s="93" t="s">
        <v>8</v>
      </c>
      <c r="B138" s="93" t="s">
        <v>170</v>
      </c>
      <c r="C138" s="93"/>
      <c r="D138" s="93"/>
      <c r="E138" s="259" t="s">
        <v>171</v>
      </c>
      <c r="F138" s="260"/>
      <c r="G138" s="261"/>
    </row>
    <row r="139" spans="1:7" ht="7.5" customHeight="1">
      <c r="A139" s="93"/>
      <c r="B139" s="93"/>
      <c r="C139" s="93"/>
      <c r="D139" s="93"/>
      <c r="E139" s="93"/>
      <c r="F139" s="93"/>
      <c r="G139" s="93"/>
    </row>
    <row r="140" spans="1:7" ht="18.75" customHeight="1">
      <c r="A140" s="93" t="s">
        <v>11</v>
      </c>
      <c r="B140" s="93" t="s">
        <v>172</v>
      </c>
      <c r="C140" s="93"/>
      <c r="D140" s="93"/>
      <c r="E140" s="93"/>
      <c r="F140" s="93"/>
      <c r="G140" s="93"/>
    </row>
    <row r="141" spans="1:7" ht="18.75" customHeight="1">
      <c r="A141" s="93"/>
      <c r="B141" s="262" t="s">
        <v>173</v>
      </c>
      <c r="C141" s="263"/>
      <c r="D141" s="263"/>
      <c r="E141" s="263"/>
      <c r="F141" s="263"/>
      <c r="G141" s="264"/>
    </row>
    <row r="142" spans="1:7" ht="18.75" customHeight="1">
      <c r="A142" s="93"/>
      <c r="B142" s="265"/>
      <c r="C142" s="266"/>
      <c r="D142" s="266"/>
      <c r="E142" s="266"/>
      <c r="F142" s="266"/>
      <c r="G142" s="267"/>
    </row>
    <row r="143" spans="1:7" ht="18.75" customHeight="1">
      <c r="A143" s="93"/>
      <c r="B143" s="265"/>
      <c r="C143" s="266"/>
      <c r="D143" s="266"/>
      <c r="E143" s="266"/>
      <c r="F143" s="266"/>
      <c r="G143" s="267"/>
    </row>
    <row r="144" spans="1:7" ht="18.75" customHeight="1">
      <c r="A144" s="93"/>
      <c r="B144" s="268"/>
      <c r="C144" s="269"/>
      <c r="D144" s="269"/>
      <c r="E144" s="269"/>
      <c r="F144" s="269"/>
      <c r="G144" s="270"/>
    </row>
    <row r="145" ht="18.75" customHeight="1"/>
    <row r="146" ht="18.75" customHeight="1"/>
    <row r="147" ht="18.75" customHeight="1"/>
    <row r="148" ht="18.75" customHeight="1"/>
    <row r="149" ht="18.75" customHeight="1"/>
    <row r="150" ht="18.75" customHeight="1"/>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3"/>
  <hyperlinks>
    <hyperlink ref="E138" r:id="rId1" display="http://www-mmds.sigmath.es.osaka-u.ac.jp/structure/suuridsaitorikumi.pdf" xr:uid="{4D990D8E-B4DA-4BC8-9B09-8CD68F2C278E}"/>
  </hyperlinks>
  <printOptions horizontalCentered="1"/>
  <pageMargins left="0.78740157480314965" right="0.78740157480314965" top="0.59055118110236227" bottom="0.39370078740157483" header="0.31496062992125984" footer="0.31496062992125984"/>
  <pageSetup paperSize="9" scale="61" fitToHeight="3" orientation="portrait" horizontalDpi="300" verticalDpi="300" copies="4" r:id="rId2"/>
  <rowBreaks count="2" manualBreakCount="2">
    <brk id="50" max="16383" man="1"/>
    <brk id="10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0"/>
  <sheetViews>
    <sheetView topLeftCell="A130" zoomScaleNormal="100" workbookViewId="0">
      <selection activeCell="B141" sqref="B141:G144"/>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93"/>
      <c r="B1" s="93"/>
      <c r="C1" s="93"/>
      <c r="D1" s="93"/>
      <c r="E1" s="93"/>
      <c r="F1" s="93"/>
      <c r="G1" s="112" t="s">
        <v>174</v>
      </c>
    </row>
    <row r="2" spans="1:7" ht="18.75" customHeight="1">
      <c r="A2" s="93"/>
      <c r="B2" s="93"/>
      <c r="C2" s="93"/>
      <c r="D2" s="93"/>
      <c r="E2" s="93"/>
      <c r="F2" s="112" t="s">
        <v>67</v>
      </c>
      <c r="G2" s="93" t="s">
        <v>68</v>
      </c>
    </row>
    <row r="3" spans="1:7" ht="18.75" customHeight="1">
      <c r="A3" s="202" t="s">
        <v>120</v>
      </c>
      <c r="B3" s="202"/>
      <c r="C3" s="202"/>
      <c r="D3" s="202"/>
      <c r="E3" s="202"/>
      <c r="F3" s="202"/>
      <c r="G3" s="202"/>
    </row>
    <row r="4" spans="1:7" ht="18.75" customHeight="1">
      <c r="A4" s="93" t="s">
        <v>2</v>
      </c>
      <c r="B4" s="93" t="s">
        <v>121</v>
      </c>
      <c r="C4" s="93"/>
      <c r="D4" s="93"/>
      <c r="E4" s="93"/>
      <c r="F4" s="93"/>
      <c r="G4" s="93"/>
    </row>
    <row r="5" spans="1:7" s="76" customFormat="1" ht="18.75" customHeight="1">
      <c r="A5" s="116"/>
      <c r="B5" s="113" t="s">
        <v>122</v>
      </c>
      <c r="C5" s="196" t="s">
        <v>123</v>
      </c>
      <c r="D5" s="197"/>
      <c r="E5" s="197"/>
      <c r="F5" s="197"/>
      <c r="G5" s="198"/>
    </row>
    <row r="6" spans="1:7" s="76" customFormat="1" ht="45" customHeight="1">
      <c r="A6" s="116"/>
      <c r="B6" s="203" t="s">
        <v>124</v>
      </c>
      <c r="C6" s="205" t="s">
        <v>125</v>
      </c>
      <c r="D6" s="206"/>
      <c r="E6" s="206"/>
      <c r="F6" s="206"/>
      <c r="G6" s="207"/>
    </row>
    <row r="7" spans="1:7" s="76" customFormat="1" ht="45" customHeight="1">
      <c r="A7" s="116"/>
      <c r="B7" s="204"/>
      <c r="C7" s="208"/>
      <c r="D7" s="209"/>
      <c r="E7" s="209"/>
      <c r="F7" s="209"/>
      <c r="G7" s="210"/>
    </row>
    <row r="8" spans="1:7" s="76" customFormat="1" ht="45" customHeight="1">
      <c r="A8" s="116"/>
      <c r="B8" s="204"/>
      <c r="C8" s="208"/>
      <c r="D8" s="209"/>
      <c r="E8" s="209"/>
      <c r="F8" s="209"/>
      <c r="G8" s="210"/>
    </row>
    <row r="9" spans="1:7" s="76" customFormat="1" ht="45" customHeight="1">
      <c r="A9" s="116"/>
      <c r="B9" s="204"/>
      <c r="C9" s="211"/>
      <c r="D9" s="212"/>
      <c r="E9" s="212"/>
      <c r="F9" s="212"/>
      <c r="G9" s="213"/>
    </row>
    <row r="10" spans="1:7" s="76" customFormat="1" ht="18.75" customHeight="1">
      <c r="A10" s="116"/>
      <c r="B10" s="204"/>
      <c r="C10" s="94" t="s">
        <v>126</v>
      </c>
      <c r="D10" s="214" t="s">
        <v>127</v>
      </c>
      <c r="E10" s="215"/>
      <c r="F10" s="215"/>
      <c r="G10" s="216"/>
    </row>
    <row r="11" spans="1:7" s="76" customFormat="1" ht="18.75" customHeight="1">
      <c r="A11" s="116"/>
      <c r="B11" s="204"/>
      <c r="C11" s="115" t="s">
        <v>128</v>
      </c>
      <c r="D11" s="217" t="s">
        <v>129</v>
      </c>
      <c r="E11" s="218"/>
      <c r="F11" s="218"/>
      <c r="G11" s="219"/>
    </row>
    <row r="12" spans="1:7" s="76" customFormat="1" ht="18.75" customHeight="1">
      <c r="A12" s="116"/>
      <c r="B12" s="204"/>
      <c r="C12" s="117" t="s">
        <v>130</v>
      </c>
      <c r="D12" s="220" t="s">
        <v>131</v>
      </c>
      <c r="E12" s="130"/>
      <c r="F12" s="130"/>
      <c r="G12" s="131"/>
    </row>
    <row r="13" spans="1:7" s="76" customFormat="1" ht="18.75" customHeight="1">
      <c r="A13" s="116"/>
      <c r="B13" s="204"/>
      <c r="C13" s="118"/>
      <c r="D13" s="221"/>
      <c r="E13" s="222"/>
      <c r="F13" s="222"/>
      <c r="G13" s="223"/>
    </row>
    <row r="14" spans="1:7" s="76" customFormat="1" ht="18.75" customHeight="1">
      <c r="A14" s="116"/>
      <c r="B14" s="204"/>
      <c r="C14" s="118"/>
      <c r="D14" s="221"/>
      <c r="E14" s="222"/>
      <c r="F14" s="222"/>
      <c r="G14" s="223"/>
    </row>
    <row r="15" spans="1:7" s="76" customFormat="1" ht="18.75" customHeight="1">
      <c r="A15" s="116"/>
      <c r="B15" s="204"/>
      <c r="C15" s="113"/>
      <c r="D15" s="196"/>
      <c r="E15" s="197"/>
      <c r="F15" s="197"/>
      <c r="G15" s="198"/>
    </row>
    <row r="16" spans="1:7" s="76" customFormat="1" ht="18.75" customHeight="1">
      <c r="A16" s="116"/>
      <c r="B16" s="204"/>
      <c r="C16" s="113"/>
      <c r="D16" s="196"/>
      <c r="E16" s="197"/>
      <c r="F16" s="197"/>
      <c r="G16" s="198"/>
    </row>
    <row r="17" spans="2:7" s="76" customFormat="1" ht="18.75" customHeight="1">
      <c r="B17" s="204"/>
      <c r="C17" s="113"/>
      <c r="D17" s="196"/>
      <c r="E17" s="197"/>
      <c r="F17" s="197"/>
      <c r="G17" s="198"/>
    </row>
    <row r="18" spans="2:7" s="76" customFormat="1" ht="18.75" customHeight="1">
      <c r="B18" s="204"/>
      <c r="C18" s="113"/>
      <c r="D18" s="196"/>
      <c r="E18" s="197"/>
      <c r="F18" s="197"/>
      <c r="G18" s="198"/>
    </row>
    <row r="19" spans="2:7" s="76" customFormat="1" ht="18.75" customHeight="1">
      <c r="B19" s="204"/>
      <c r="C19" s="95"/>
      <c r="D19" s="199"/>
      <c r="E19" s="200"/>
      <c r="F19" s="200"/>
      <c r="G19" s="201"/>
    </row>
    <row r="20" spans="2:7" s="76" customFormat="1" ht="18.75" customHeight="1">
      <c r="B20" s="204"/>
      <c r="C20" s="95"/>
      <c r="D20" s="199"/>
      <c r="E20" s="200"/>
      <c r="F20" s="200"/>
      <c r="G20" s="201"/>
    </row>
    <row r="21" spans="2:7" s="76" customFormat="1" ht="18.75" customHeight="1">
      <c r="B21" s="204"/>
      <c r="C21" s="95"/>
      <c r="D21" s="199"/>
      <c r="E21" s="200"/>
      <c r="F21" s="200"/>
      <c r="G21" s="201"/>
    </row>
    <row r="22" spans="2:7" s="76" customFormat="1" ht="18.75" customHeight="1">
      <c r="B22" s="204"/>
      <c r="C22" s="95"/>
      <c r="D22" s="199"/>
      <c r="E22" s="200"/>
      <c r="F22" s="200"/>
      <c r="G22" s="201"/>
    </row>
    <row r="23" spans="2:7" s="76" customFormat="1" ht="18.75" customHeight="1">
      <c r="B23" s="204"/>
      <c r="C23" s="95"/>
      <c r="D23" s="199"/>
      <c r="E23" s="200"/>
      <c r="F23" s="200"/>
      <c r="G23" s="201"/>
    </row>
    <row r="24" spans="2:7" s="76" customFormat="1" ht="18.75" customHeight="1">
      <c r="B24" s="204"/>
      <c r="C24" s="95"/>
      <c r="D24" s="199"/>
      <c r="E24" s="200"/>
      <c r="F24" s="200"/>
      <c r="G24" s="201"/>
    </row>
    <row r="25" spans="2:7" s="76" customFormat="1" ht="18.75" customHeight="1">
      <c r="B25" s="204"/>
      <c r="C25" s="95"/>
      <c r="D25" s="199"/>
      <c r="E25" s="200"/>
      <c r="F25" s="200"/>
      <c r="G25" s="201"/>
    </row>
    <row r="26" spans="2:7" ht="18.75" customHeight="1">
      <c r="B26" s="203" t="s">
        <v>132</v>
      </c>
      <c r="C26" s="199" t="s">
        <v>123</v>
      </c>
      <c r="D26" s="200"/>
      <c r="E26" s="200"/>
      <c r="F26" s="200"/>
      <c r="G26" s="201"/>
    </row>
    <row r="27" spans="2:7" ht="37.5" customHeight="1">
      <c r="B27" s="204"/>
      <c r="C27" s="225" t="s">
        <v>175</v>
      </c>
      <c r="D27" s="226"/>
      <c r="E27" s="226"/>
      <c r="F27" s="226"/>
      <c r="G27" s="227"/>
    </row>
    <row r="28" spans="2:7" ht="37.5" customHeight="1">
      <c r="B28" s="204"/>
      <c r="C28" s="228"/>
      <c r="D28" s="229"/>
      <c r="E28" s="229"/>
      <c r="F28" s="229"/>
      <c r="G28" s="230"/>
    </row>
    <row r="29" spans="2:7" ht="37.5" customHeight="1">
      <c r="B29" s="204"/>
      <c r="C29" s="228"/>
      <c r="D29" s="229"/>
      <c r="E29" s="229"/>
      <c r="F29" s="229"/>
      <c r="G29" s="230"/>
    </row>
    <row r="30" spans="2:7" ht="37.5" customHeight="1">
      <c r="B30" s="204"/>
      <c r="C30" s="228"/>
      <c r="D30" s="229"/>
      <c r="E30" s="229"/>
      <c r="F30" s="229"/>
      <c r="G30" s="230"/>
    </row>
    <row r="31" spans="2:7" ht="37.5" customHeight="1">
      <c r="B31" s="204"/>
      <c r="C31" s="231"/>
      <c r="D31" s="232"/>
      <c r="E31" s="232"/>
      <c r="F31" s="232"/>
      <c r="G31" s="233"/>
    </row>
    <row r="32" spans="2:7" ht="18.75" customHeight="1">
      <c r="B32" s="204"/>
      <c r="C32" s="96" t="s">
        <v>126</v>
      </c>
      <c r="D32" s="199" t="s">
        <v>127</v>
      </c>
      <c r="E32" s="200"/>
      <c r="F32" s="200"/>
      <c r="G32" s="201"/>
    </row>
    <row r="33" spans="2:7" ht="18.75" customHeight="1">
      <c r="B33" s="204"/>
      <c r="C33" s="115" t="s">
        <v>128</v>
      </c>
      <c r="D33" s="234" t="s">
        <v>134</v>
      </c>
      <c r="E33" s="235"/>
      <c r="F33" s="235"/>
      <c r="G33" s="236"/>
    </row>
    <row r="34" spans="2:7" ht="18.75" customHeight="1">
      <c r="B34" s="204"/>
      <c r="C34" s="115" t="s">
        <v>130</v>
      </c>
      <c r="D34" s="237" t="s">
        <v>135</v>
      </c>
      <c r="E34" s="238"/>
      <c r="F34" s="238"/>
      <c r="G34" s="239"/>
    </row>
    <row r="35" spans="2:7" ht="18.75" customHeight="1">
      <c r="B35" s="204"/>
      <c r="C35" s="95"/>
      <c r="D35" s="234"/>
      <c r="E35" s="235"/>
      <c r="F35" s="235"/>
      <c r="G35" s="236"/>
    </row>
    <row r="36" spans="2:7" ht="18.75" customHeight="1">
      <c r="B36" s="204"/>
      <c r="C36" s="95"/>
      <c r="D36" s="234"/>
      <c r="E36" s="235"/>
      <c r="F36" s="235"/>
      <c r="G36" s="236"/>
    </row>
    <row r="37" spans="2:7" ht="18.75" customHeight="1">
      <c r="B37" s="204"/>
      <c r="C37" s="95"/>
      <c r="D37" s="234"/>
      <c r="E37" s="235"/>
      <c r="F37" s="235"/>
      <c r="G37" s="236"/>
    </row>
    <row r="38" spans="2:7" ht="18.75" customHeight="1">
      <c r="B38" s="204"/>
      <c r="C38" s="95"/>
      <c r="D38" s="234"/>
      <c r="E38" s="235"/>
      <c r="F38" s="235"/>
      <c r="G38" s="236"/>
    </row>
    <row r="39" spans="2:7" ht="18.75" customHeight="1">
      <c r="B39" s="204"/>
      <c r="C39" s="95"/>
      <c r="D39" s="234"/>
      <c r="E39" s="235"/>
      <c r="F39" s="235"/>
      <c r="G39" s="236"/>
    </row>
    <row r="40" spans="2:7" ht="18.75" customHeight="1">
      <c r="B40" s="204"/>
      <c r="C40" s="95"/>
      <c r="D40" s="234"/>
      <c r="E40" s="235"/>
      <c r="F40" s="235"/>
      <c r="G40" s="236"/>
    </row>
    <row r="41" spans="2:7" ht="18.75" customHeight="1">
      <c r="B41" s="204"/>
      <c r="C41" s="95"/>
      <c r="D41" s="234"/>
      <c r="E41" s="235"/>
      <c r="F41" s="235"/>
      <c r="G41" s="236"/>
    </row>
    <row r="42" spans="2:7" ht="18.75" customHeight="1">
      <c r="B42" s="204"/>
      <c r="C42" s="95"/>
      <c r="D42" s="234"/>
      <c r="E42" s="235"/>
      <c r="F42" s="235"/>
      <c r="G42" s="236"/>
    </row>
    <row r="43" spans="2:7" ht="18.75" customHeight="1">
      <c r="B43" s="204"/>
      <c r="C43" s="95"/>
      <c r="D43" s="234"/>
      <c r="E43" s="235"/>
      <c r="F43" s="235"/>
      <c r="G43" s="236"/>
    </row>
    <row r="44" spans="2:7" ht="18.75" customHeight="1">
      <c r="B44" s="204"/>
      <c r="C44" s="95"/>
      <c r="D44" s="234"/>
      <c r="E44" s="235"/>
      <c r="F44" s="235"/>
      <c r="G44" s="236"/>
    </row>
    <row r="45" spans="2:7" ht="18.75" customHeight="1">
      <c r="B45" s="204"/>
      <c r="C45" s="95"/>
      <c r="D45" s="234"/>
      <c r="E45" s="235"/>
      <c r="F45" s="235"/>
      <c r="G45" s="236"/>
    </row>
    <row r="46" spans="2:7" ht="18.75" customHeight="1">
      <c r="B46" s="204"/>
      <c r="C46" s="95"/>
      <c r="D46" s="234"/>
      <c r="E46" s="235"/>
      <c r="F46" s="235"/>
      <c r="G46" s="236"/>
    </row>
    <row r="47" spans="2:7" ht="18.75" customHeight="1">
      <c r="B47" s="204"/>
      <c r="C47" s="95"/>
      <c r="D47" s="234"/>
      <c r="E47" s="235"/>
      <c r="F47" s="235"/>
      <c r="G47" s="236"/>
    </row>
    <row r="48" spans="2:7" ht="18.75" customHeight="1">
      <c r="B48" s="204"/>
      <c r="C48" s="95"/>
      <c r="D48" s="234"/>
      <c r="E48" s="235"/>
      <c r="F48" s="235"/>
      <c r="G48" s="236"/>
    </row>
    <row r="49" spans="2:7" ht="18.75" customHeight="1">
      <c r="B49" s="204"/>
      <c r="C49" s="95"/>
      <c r="D49" s="234"/>
      <c r="E49" s="235"/>
      <c r="F49" s="235"/>
      <c r="G49" s="236"/>
    </row>
    <row r="50" spans="2:7" ht="18.75" customHeight="1">
      <c r="B50" s="224"/>
      <c r="C50" s="95"/>
      <c r="D50" s="234"/>
      <c r="E50" s="235"/>
      <c r="F50" s="235"/>
      <c r="G50" s="236"/>
    </row>
    <row r="51" spans="2:7" ht="18.75" customHeight="1">
      <c r="B51" s="203" t="s">
        <v>136</v>
      </c>
      <c r="C51" s="199" t="s">
        <v>123</v>
      </c>
      <c r="D51" s="200"/>
      <c r="E51" s="200"/>
      <c r="F51" s="200"/>
      <c r="G51" s="201"/>
    </row>
    <row r="52" spans="2:7" ht="37.5" customHeight="1">
      <c r="B52" s="204"/>
      <c r="C52" s="225" t="s">
        <v>137</v>
      </c>
      <c r="D52" s="240"/>
      <c r="E52" s="240"/>
      <c r="F52" s="240"/>
      <c r="G52" s="241"/>
    </row>
    <row r="53" spans="2:7" ht="37.5" customHeight="1">
      <c r="B53" s="204"/>
      <c r="C53" s="242"/>
      <c r="D53" s="243"/>
      <c r="E53" s="243"/>
      <c r="F53" s="243"/>
      <c r="G53" s="244"/>
    </row>
    <row r="54" spans="2:7" ht="37.5" customHeight="1">
      <c r="B54" s="204"/>
      <c r="C54" s="242"/>
      <c r="D54" s="243"/>
      <c r="E54" s="243"/>
      <c r="F54" s="243"/>
      <c r="G54" s="244"/>
    </row>
    <row r="55" spans="2:7" ht="37.5" customHeight="1">
      <c r="B55" s="204"/>
      <c r="C55" s="242"/>
      <c r="D55" s="243"/>
      <c r="E55" s="243"/>
      <c r="F55" s="243"/>
      <c r="G55" s="244"/>
    </row>
    <row r="56" spans="2:7" ht="37.5" customHeight="1">
      <c r="B56" s="204"/>
      <c r="C56" s="245"/>
      <c r="D56" s="246"/>
      <c r="E56" s="246"/>
      <c r="F56" s="246"/>
      <c r="G56" s="247"/>
    </row>
    <row r="57" spans="2:7" ht="18.75" customHeight="1">
      <c r="B57" s="204"/>
      <c r="C57" s="94" t="s">
        <v>126</v>
      </c>
      <c r="D57" s="196" t="s">
        <v>127</v>
      </c>
      <c r="E57" s="197"/>
      <c r="F57" s="197"/>
      <c r="G57" s="198"/>
    </row>
    <row r="58" spans="2:7" ht="18.75" customHeight="1">
      <c r="B58" s="204"/>
      <c r="C58" s="115" t="s">
        <v>128</v>
      </c>
      <c r="D58" s="248" t="s">
        <v>138</v>
      </c>
      <c r="E58" s="249"/>
      <c r="F58" s="249"/>
      <c r="G58" s="250"/>
    </row>
    <row r="59" spans="2:7" ht="18.75" customHeight="1">
      <c r="B59" s="204"/>
      <c r="C59" s="113"/>
      <c r="D59" s="248"/>
      <c r="E59" s="249"/>
      <c r="F59" s="249"/>
      <c r="G59" s="250"/>
    </row>
    <row r="60" spans="2:7" ht="18.75" customHeight="1">
      <c r="B60" s="204"/>
      <c r="C60" s="113"/>
      <c r="D60" s="248"/>
      <c r="E60" s="249"/>
      <c r="F60" s="249"/>
      <c r="G60" s="250"/>
    </row>
    <row r="61" spans="2:7" ht="18.75" customHeight="1">
      <c r="B61" s="204"/>
      <c r="C61" s="113"/>
      <c r="D61" s="248"/>
      <c r="E61" s="249"/>
      <c r="F61" s="249"/>
      <c r="G61" s="250"/>
    </row>
    <row r="62" spans="2:7" ht="18.75" customHeight="1">
      <c r="B62" s="204"/>
      <c r="C62" s="113"/>
      <c r="D62" s="248"/>
      <c r="E62" s="249"/>
      <c r="F62" s="249"/>
      <c r="G62" s="250"/>
    </row>
    <row r="63" spans="2:7" ht="18.75" customHeight="1">
      <c r="B63" s="204"/>
      <c r="C63" s="113"/>
      <c r="D63" s="248"/>
      <c r="E63" s="249"/>
      <c r="F63" s="249"/>
      <c r="G63" s="250"/>
    </row>
    <row r="64" spans="2:7" ht="18.75" customHeight="1">
      <c r="B64" s="204"/>
      <c r="C64" s="113"/>
      <c r="D64" s="248"/>
      <c r="E64" s="249"/>
      <c r="F64" s="249"/>
      <c r="G64" s="250"/>
    </row>
    <row r="65" spans="2:7" ht="18.75" customHeight="1">
      <c r="B65" s="204"/>
      <c r="C65" s="113"/>
      <c r="D65" s="248"/>
      <c r="E65" s="249"/>
      <c r="F65" s="249"/>
      <c r="G65" s="250"/>
    </row>
    <row r="66" spans="2:7" ht="18.75" customHeight="1">
      <c r="B66" s="204"/>
      <c r="C66" s="113"/>
      <c r="D66" s="248"/>
      <c r="E66" s="249"/>
      <c r="F66" s="249"/>
      <c r="G66" s="250"/>
    </row>
    <row r="67" spans="2:7" ht="18.75" customHeight="1">
      <c r="B67" s="204"/>
      <c r="C67" s="113"/>
      <c r="D67" s="248"/>
      <c r="E67" s="249"/>
      <c r="F67" s="249"/>
      <c r="G67" s="250"/>
    </row>
    <row r="68" spans="2:7" ht="18.75" customHeight="1">
      <c r="B68" s="204"/>
      <c r="C68" s="113"/>
      <c r="D68" s="248"/>
      <c r="E68" s="249"/>
      <c r="F68" s="249"/>
      <c r="G68" s="250"/>
    </row>
    <row r="69" spans="2:7" ht="18.75" customHeight="1">
      <c r="B69" s="204"/>
      <c r="C69" s="113"/>
      <c r="D69" s="248"/>
      <c r="E69" s="249"/>
      <c r="F69" s="249"/>
      <c r="G69" s="250"/>
    </row>
    <row r="70" spans="2:7" ht="18.75" customHeight="1">
      <c r="B70" s="204"/>
      <c r="C70" s="113"/>
      <c r="D70" s="248"/>
      <c r="E70" s="249"/>
      <c r="F70" s="249"/>
      <c r="G70" s="250"/>
    </row>
    <row r="71" spans="2:7" ht="18.75" customHeight="1">
      <c r="B71" s="204"/>
      <c r="C71" s="113"/>
      <c r="D71" s="248"/>
      <c r="E71" s="249"/>
      <c r="F71" s="249"/>
      <c r="G71" s="250"/>
    </row>
    <row r="72" spans="2:7" ht="18.75" customHeight="1">
      <c r="B72" s="204"/>
      <c r="C72" s="113"/>
      <c r="D72" s="248"/>
      <c r="E72" s="249"/>
      <c r="F72" s="249"/>
      <c r="G72" s="250"/>
    </row>
    <row r="73" spans="2:7" ht="18.75" customHeight="1">
      <c r="B73" s="204"/>
      <c r="C73" s="113"/>
      <c r="D73" s="248"/>
      <c r="E73" s="249"/>
      <c r="F73" s="249"/>
      <c r="G73" s="250"/>
    </row>
    <row r="74" spans="2:7" ht="18.75" customHeight="1">
      <c r="B74" s="204"/>
      <c r="C74" s="113"/>
      <c r="D74" s="248"/>
      <c r="E74" s="249"/>
      <c r="F74" s="249"/>
      <c r="G74" s="250"/>
    </row>
    <row r="75" spans="2:7" ht="18.75" customHeight="1">
      <c r="B75" s="204"/>
      <c r="C75" s="113"/>
      <c r="D75" s="248"/>
      <c r="E75" s="249"/>
      <c r="F75" s="249"/>
      <c r="G75" s="250"/>
    </row>
    <row r="76" spans="2:7" ht="18.75" customHeight="1">
      <c r="B76" s="203" t="s">
        <v>139</v>
      </c>
      <c r="C76" s="196" t="s">
        <v>123</v>
      </c>
      <c r="D76" s="197"/>
      <c r="E76" s="197"/>
      <c r="F76" s="197"/>
      <c r="G76" s="198"/>
    </row>
    <row r="77" spans="2:7" ht="37.5" customHeight="1">
      <c r="B77" s="204"/>
      <c r="C77" s="225" t="s">
        <v>140</v>
      </c>
      <c r="D77" s="240"/>
      <c r="E77" s="240"/>
      <c r="F77" s="240"/>
      <c r="G77" s="241"/>
    </row>
    <row r="78" spans="2:7" ht="37.5" customHeight="1">
      <c r="B78" s="204"/>
      <c r="C78" s="242"/>
      <c r="D78" s="243"/>
      <c r="E78" s="243"/>
      <c r="F78" s="243"/>
      <c r="G78" s="244"/>
    </row>
    <row r="79" spans="2:7" ht="37.5" customHeight="1">
      <c r="B79" s="204"/>
      <c r="C79" s="242"/>
      <c r="D79" s="243"/>
      <c r="E79" s="243"/>
      <c r="F79" s="243"/>
      <c r="G79" s="244"/>
    </row>
    <row r="80" spans="2:7" ht="37.5" customHeight="1">
      <c r="B80" s="204"/>
      <c r="C80" s="242"/>
      <c r="D80" s="243"/>
      <c r="E80" s="243"/>
      <c r="F80" s="243"/>
      <c r="G80" s="244"/>
    </row>
    <row r="81" spans="2:7" ht="37.5" customHeight="1">
      <c r="B81" s="204"/>
      <c r="C81" s="245"/>
      <c r="D81" s="246"/>
      <c r="E81" s="246"/>
      <c r="F81" s="246"/>
      <c r="G81" s="247"/>
    </row>
    <row r="82" spans="2:7" ht="18.75" customHeight="1">
      <c r="B82" s="204"/>
      <c r="C82" s="94" t="s">
        <v>126</v>
      </c>
      <c r="D82" s="196" t="s">
        <v>127</v>
      </c>
      <c r="E82" s="197"/>
      <c r="F82" s="197"/>
      <c r="G82" s="198"/>
    </row>
    <row r="83" spans="2:7" ht="18.75" customHeight="1">
      <c r="B83" s="204"/>
      <c r="C83" s="115" t="s">
        <v>128</v>
      </c>
      <c r="D83" s="248" t="s">
        <v>141</v>
      </c>
      <c r="E83" s="249"/>
      <c r="F83" s="249"/>
      <c r="G83" s="250"/>
    </row>
    <row r="84" spans="2:7" ht="18.75" customHeight="1">
      <c r="B84" s="204"/>
      <c r="C84" s="118"/>
      <c r="D84" s="251"/>
      <c r="E84" s="252"/>
      <c r="F84" s="252"/>
      <c r="G84" s="253"/>
    </row>
    <row r="85" spans="2:7" ht="18.75" customHeight="1">
      <c r="B85" s="204"/>
      <c r="C85" s="113"/>
      <c r="D85" s="248"/>
      <c r="E85" s="249"/>
      <c r="F85" s="249"/>
      <c r="G85" s="250"/>
    </row>
    <row r="86" spans="2:7" ht="18.75" customHeight="1">
      <c r="B86" s="204"/>
      <c r="C86" s="113"/>
      <c r="D86" s="248"/>
      <c r="E86" s="249"/>
      <c r="F86" s="249"/>
      <c r="G86" s="250"/>
    </row>
    <row r="87" spans="2:7" ht="18.75" customHeight="1">
      <c r="B87" s="204"/>
      <c r="C87" s="113"/>
      <c r="D87" s="248"/>
      <c r="E87" s="249"/>
      <c r="F87" s="249"/>
      <c r="G87" s="250"/>
    </row>
    <row r="88" spans="2:7" ht="18.75" customHeight="1">
      <c r="B88" s="204"/>
      <c r="C88" s="113"/>
      <c r="D88" s="248"/>
      <c r="E88" s="249"/>
      <c r="F88" s="249"/>
      <c r="G88" s="250"/>
    </row>
    <row r="89" spans="2:7" ht="18.75" customHeight="1">
      <c r="B89" s="204"/>
      <c r="C89" s="113"/>
      <c r="D89" s="248"/>
      <c r="E89" s="249"/>
      <c r="F89" s="249"/>
      <c r="G89" s="250"/>
    </row>
    <row r="90" spans="2:7" ht="18.75" customHeight="1">
      <c r="B90" s="204"/>
      <c r="C90" s="113"/>
      <c r="D90" s="248"/>
      <c r="E90" s="249"/>
      <c r="F90" s="249"/>
      <c r="G90" s="250"/>
    </row>
    <row r="91" spans="2:7" ht="18.75" customHeight="1">
      <c r="B91" s="204"/>
      <c r="C91" s="113"/>
      <c r="D91" s="248"/>
      <c r="E91" s="249"/>
      <c r="F91" s="249"/>
      <c r="G91" s="250"/>
    </row>
    <row r="92" spans="2:7" ht="18.75" customHeight="1">
      <c r="B92" s="204"/>
      <c r="C92" s="113"/>
      <c r="D92" s="248"/>
      <c r="E92" s="249"/>
      <c r="F92" s="249"/>
      <c r="G92" s="250"/>
    </row>
    <row r="93" spans="2:7" ht="18.75" customHeight="1">
      <c r="B93" s="204"/>
      <c r="C93" s="113"/>
      <c r="D93" s="248"/>
      <c r="E93" s="249"/>
      <c r="F93" s="249"/>
      <c r="G93" s="250"/>
    </row>
    <row r="94" spans="2:7" ht="18.75" customHeight="1">
      <c r="B94" s="204"/>
      <c r="C94" s="113"/>
      <c r="D94" s="248"/>
      <c r="E94" s="249"/>
      <c r="F94" s="249"/>
      <c r="G94" s="250"/>
    </row>
    <row r="95" spans="2:7" ht="18.75" customHeight="1">
      <c r="B95" s="204"/>
      <c r="C95" s="113"/>
      <c r="D95" s="248"/>
      <c r="E95" s="249"/>
      <c r="F95" s="249"/>
      <c r="G95" s="250"/>
    </row>
    <row r="96" spans="2:7" ht="18.75" customHeight="1">
      <c r="B96" s="204"/>
      <c r="C96" s="113"/>
      <c r="D96" s="248"/>
      <c r="E96" s="249"/>
      <c r="F96" s="249"/>
      <c r="G96" s="250"/>
    </row>
    <row r="97" spans="2:7" ht="18.75" customHeight="1">
      <c r="B97" s="204"/>
      <c r="C97" s="113"/>
      <c r="D97" s="248"/>
      <c r="E97" s="249"/>
      <c r="F97" s="249"/>
      <c r="G97" s="250"/>
    </row>
    <row r="98" spans="2:7" ht="18.75" customHeight="1">
      <c r="B98" s="204"/>
      <c r="C98" s="113"/>
      <c r="D98" s="248"/>
      <c r="E98" s="249"/>
      <c r="F98" s="249"/>
      <c r="G98" s="250"/>
    </row>
    <row r="99" spans="2:7" ht="18.75" customHeight="1">
      <c r="B99" s="204"/>
      <c r="C99" s="113"/>
      <c r="D99" s="248"/>
      <c r="E99" s="249"/>
      <c r="F99" s="249"/>
      <c r="G99" s="250"/>
    </row>
    <row r="100" spans="2:7" ht="18.75" customHeight="1">
      <c r="B100" s="204"/>
      <c r="C100" s="113"/>
      <c r="D100" s="248"/>
      <c r="E100" s="249"/>
      <c r="F100" s="249"/>
      <c r="G100" s="250"/>
    </row>
    <row r="101" spans="2:7" ht="18.75" customHeight="1">
      <c r="B101" s="203" t="s">
        <v>142</v>
      </c>
      <c r="C101" s="196" t="s">
        <v>123</v>
      </c>
      <c r="D101" s="197"/>
      <c r="E101" s="197"/>
      <c r="F101" s="197"/>
      <c r="G101" s="198"/>
    </row>
    <row r="102" spans="2:7" ht="37.5" customHeight="1">
      <c r="B102" s="204"/>
      <c r="C102" s="225" t="s">
        <v>143</v>
      </c>
      <c r="D102" s="240"/>
      <c r="E102" s="240"/>
      <c r="F102" s="240"/>
      <c r="G102" s="241"/>
    </row>
    <row r="103" spans="2:7" ht="37.5" customHeight="1">
      <c r="B103" s="204"/>
      <c r="C103" s="242"/>
      <c r="D103" s="243"/>
      <c r="E103" s="243"/>
      <c r="F103" s="243"/>
      <c r="G103" s="244"/>
    </row>
    <row r="104" spans="2:7" ht="37.5" customHeight="1">
      <c r="B104" s="204"/>
      <c r="C104" s="242"/>
      <c r="D104" s="243"/>
      <c r="E104" s="243"/>
      <c r="F104" s="243"/>
      <c r="G104" s="244"/>
    </row>
    <row r="105" spans="2:7" ht="37.5" customHeight="1">
      <c r="B105" s="204"/>
      <c r="C105" s="242"/>
      <c r="D105" s="243"/>
      <c r="E105" s="243"/>
      <c r="F105" s="243"/>
      <c r="G105" s="244"/>
    </row>
    <row r="106" spans="2:7" ht="37.5" customHeight="1">
      <c r="B106" s="204"/>
      <c r="C106" s="245"/>
      <c r="D106" s="246"/>
      <c r="E106" s="246"/>
      <c r="F106" s="246"/>
      <c r="G106" s="247"/>
    </row>
    <row r="107" spans="2:7" ht="18.75" customHeight="1">
      <c r="B107" s="204"/>
      <c r="C107" s="94" t="s">
        <v>126</v>
      </c>
      <c r="D107" s="196" t="s">
        <v>127</v>
      </c>
      <c r="E107" s="197"/>
      <c r="F107" s="197"/>
      <c r="G107" s="198"/>
    </row>
    <row r="108" spans="2:7" ht="18.75" customHeight="1">
      <c r="B108" s="204"/>
      <c r="C108" s="115" t="s">
        <v>128</v>
      </c>
      <c r="D108" s="248" t="s">
        <v>144</v>
      </c>
      <c r="E108" s="249"/>
      <c r="F108" s="249"/>
      <c r="G108" s="250"/>
    </row>
    <row r="109" spans="2:7" ht="18.75" customHeight="1">
      <c r="B109" s="204"/>
      <c r="C109" s="115" t="s">
        <v>130</v>
      </c>
      <c r="D109" s="254" t="s">
        <v>145</v>
      </c>
      <c r="E109" s="218"/>
      <c r="F109" s="218"/>
      <c r="G109" s="219"/>
    </row>
    <row r="110" spans="2:7" ht="18.75" customHeight="1">
      <c r="B110" s="204"/>
      <c r="C110" s="119"/>
      <c r="D110" s="271"/>
      <c r="E110" s="272"/>
      <c r="F110" s="272"/>
      <c r="G110" s="273"/>
    </row>
    <row r="111" spans="2:7" ht="18.75" customHeight="1">
      <c r="B111" s="204"/>
      <c r="C111" s="119"/>
      <c r="D111" s="271"/>
      <c r="E111" s="272"/>
      <c r="F111" s="272"/>
      <c r="G111" s="273"/>
    </row>
    <row r="112" spans="2:7" ht="18.75" customHeight="1">
      <c r="B112" s="204"/>
      <c r="C112" s="119"/>
      <c r="D112" s="271"/>
      <c r="E112" s="272"/>
      <c r="F112" s="272"/>
      <c r="G112" s="273"/>
    </row>
    <row r="113" spans="1:7" ht="18.75" customHeight="1">
      <c r="A113" s="93"/>
      <c r="B113" s="204"/>
      <c r="C113" s="113"/>
      <c r="D113" s="248"/>
      <c r="E113" s="249"/>
      <c r="F113" s="249"/>
      <c r="G113" s="250"/>
    </row>
    <row r="114" spans="1:7" ht="18.75" customHeight="1">
      <c r="A114" s="93"/>
      <c r="B114" s="204"/>
      <c r="C114" s="113"/>
      <c r="D114" s="248"/>
      <c r="E114" s="249"/>
      <c r="F114" s="249"/>
      <c r="G114" s="250"/>
    </row>
    <row r="115" spans="1:7" ht="18.75" customHeight="1">
      <c r="A115" s="93"/>
      <c r="B115" s="204"/>
      <c r="C115" s="113"/>
      <c r="D115" s="248"/>
      <c r="E115" s="249"/>
      <c r="F115" s="249"/>
      <c r="G115" s="250"/>
    </row>
    <row r="116" spans="1:7" ht="18.75" customHeight="1">
      <c r="A116" s="93"/>
      <c r="B116" s="204"/>
      <c r="C116" s="113"/>
      <c r="D116" s="248"/>
      <c r="E116" s="249"/>
      <c r="F116" s="249"/>
      <c r="G116" s="250"/>
    </row>
    <row r="117" spans="1:7" ht="18.75" customHeight="1">
      <c r="A117" s="93"/>
      <c r="B117" s="204"/>
      <c r="C117" s="113"/>
      <c r="D117" s="248"/>
      <c r="E117" s="249"/>
      <c r="F117" s="249"/>
      <c r="G117" s="250"/>
    </row>
    <row r="118" spans="1:7" ht="18.75" customHeight="1">
      <c r="A118" s="93"/>
      <c r="B118" s="204"/>
      <c r="C118" s="113"/>
      <c r="D118" s="248"/>
      <c r="E118" s="249"/>
      <c r="F118" s="249"/>
      <c r="G118" s="250"/>
    </row>
    <row r="119" spans="1:7" ht="18.75" customHeight="1">
      <c r="A119" s="93"/>
      <c r="B119" s="204"/>
      <c r="C119" s="113"/>
      <c r="D119" s="248"/>
      <c r="E119" s="249"/>
      <c r="F119" s="249"/>
      <c r="G119" s="250"/>
    </row>
    <row r="120" spans="1:7" ht="18.75" customHeight="1">
      <c r="A120" s="93"/>
      <c r="B120" s="204"/>
      <c r="C120" s="113"/>
      <c r="D120" s="248"/>
      <c r="E120" s="249"/>
      <c r="F120" s="249"/>
      <c r="G120" s="250"/>
    </row>
    <row r="121" spans="1:7" ht="18.75" customHeight="1">
      <c r="A121" s="93"/>
      <c r="B121" s="204"/>
      <c r="C121" s="113"/>
      <c r="D121" s="248"/>
      <c r="E121" s="249"/>
      <c r="F121" s="249"/>
      <c r="G121" s="250"/>
    </row>
    <row r="122" spans="1:7" ht="18.75" customHeight="1">
      <c r="A122" s="93"/>
      <c r="B122" s="204"/>
      <c r="C122" s="113"/>
      <c r="D122" s="248"/>
      <c r="E122" s="249"/>
      <c r="F122" s="249"/>
      <c r="G122" s="250"/>
    </row>
    <row r="123" spans="1:7" ht="18.75" customHeight="1">
      <c r="A123" s="93"/>
      <c r="B123" s="204"/>
      <c r="C123" s="113"/>
      <c r="D123" s="248"/>
      <c r="E123" s="249"/>
      <c r="F123" s="249"/>
      <c r="G123" s="250"/>
    </row>
    <row r="124" spans="1:7" ht="18.75" customHeight="1">
      <c r="A124" s="93"/>
      <c r="B124" s="204"/>
      <c r="C124" s="113"/>
      <c r="D124" s="248"/>
      <c r="E124" s="249"/>
      <c r="F124" s="249"/>
      <c r="G124" s="250"/>
    </row>
    <row r="125" spans="1:7" ht="18.75" customHeight="1">
      <c r="A125" s="93"/>
      <c r="B125" s="204"/>
      <c r="C125" s="113"/>
      <c r="D125" s="248"/>
      <c r="E125" s="249"/>
      <c r="F125" s="249"/>
      <c r="G125" s="250"/>
    </row>
    <row r="126" spans="1:7" ht="18.75" customHeight="1">
      <c r="A126" s="93" t="s">
        <v>5</v>
      </c>
      <c r="B126" s="93" t="s">
        <v>152</v>
      </c>
      <c r="C126" s="93"/>
      <c r="D126" s="93"/>
      <c r="E126" s="93"/>
      <c r="F126" s="93"/>
      <c r="G126" s="93"/>
    </row>
    <row r="127" spans="1:7" ht="22.5" customHeight="1">
      <c r="A127" s="93"/>
      <c r="B127" s="113" t="s">
        <v>122</v>
      </c>
      <c r="C127" s="196" t="s">
        <v>74</v>
      </c>
      <c r="D127" s="197"/>
      <c r="E127" s="197"/>
      <c r="F127" s="197"/>
      <c r="G127" s="198"/>
    </row>
    <row r="128" spans="1:7" ht="45" customHeight="1">
      <c r="A128" s="93"/>
      <c r="B128" s="97" t="s">
        <v>153</v>
      </c>
      <c r="C128" s="255" t="s">
        <v>176</v>
      </c>
      <c r="D128" s="256"/>
      <c r="E128" s="256"/>
      <c r="F128" s="256"/>
      <c r="G128" s="257"/>
    </row>
    <row r="129" spans="1:7" ht="45" customHeight="1">
      <c r="A129" s="93"/>
      <c r="B129" s="97" t="s">
        <v>155</v>
      </c>
      <c r="C129" s="255" t="s">
        <v>156</v>
      </c>
      <c r="D129" s="256"/>
      <c r="E129" s="256"/>
      <c r="F129" s="256"/>
      <c r="G129" s="257"/>
    </row>
    <row r="130" spans="1:7" ht="45" customHeight="1">
      <c r="A130" s="93"/>
      <c r="B130" s="97" t="s">
        <v>157</v>
      </c>
      <c r="C130" s="255" t="s">
        <v>158</v>
      </c>
      <c r="D130" s="256"/>
      <c r="E130" s="256"/>
      <c r="F130" s="256"/>
      <c r="G130" s="257"/>
    </row>
    <row r="131" spans="1:7" ht="45" customHeight="1">
      <c r="A131" s="93"/>
      <c r="B131" s="97" t="s">
        <v>159</v>
      </c>
      <c r="C131" s="255" t="s">
        <v>177</v>
      </c>
      <c r="D131" s="256"/>
      <c r="E131" s="256"/>
      <c r="F131" s="256"/>
      <c r="G131" s="257"/>
    </row>
    <row r="132" spans="1:7" ht="45" customHeight="1">
      <c r="A132" s="93"/>
      <c r="B132" s="97" t="s">
        <v>161</v>
      </c>
      <c r="C132" s="255" t="s">
        <v>162</v>
      </c>
      <c r="D132" s="256"/>
      <c r="E132" s="256"/>
      <c r="F132" s="256"/>
      <c r="G132" s="257"/>
    </row>
    <row r="133" spans="1:7" ht="45" customHeight="1">
      <c r="A133" s="93"/>
      <c r="B133" s="97" t="s">
        <v>163</v>
      </c>
      <c r="C133" s="255" t="s">
        <v>162</v>
      </c>
      <c r="D133" s="256"/>
      <c r="E133" s="256"/>
      <c r="F133" s="256"/>
      <c r="G133" s="257"/>
    </row>
    <row r="134" spans="1:7" ht="45" customHeight="1">
      <c r="A134" s="93"/>
      <c r="B134" s="97" t="s">
        <v>164</v>
      </c>
      <c r="C134" s="255" t="s">
        <v>178</v>
      </c>
      <c r="D134" s="256"/>
      <c r="E134" s="256"/>
      <c r="F134" s="256"/>
      <c r="G134" s="257"/>
    </row>
    <row r="135" spans="1:7" ht="45" customHeight="1">
      <c r="A135" s="93"/>
      <c r="B135" s="97" t="s">
        <v>166</v>
      </c>
      <c r="C135" s="255" t="s">
        <v>167</v>
      </c>
      <c r="D135" s="256"/>
      <c r="E135" s="256"/>
      <c r="F135" s="256"/>
      <c r="G135" s="257"/>
    </row>
    <row r="136" spans="1:7" ht="45" customHeight="1">
      <c r="A136" s="93"/>
      <c r="B136" s="97" t="s">
        <v>168</v>
      </c>
      <c r="C136" s="255" t="s">
        <v>179</v>
      </c>
      <c r="D136" s="135"/>
      <c r="E136" s="135"/>
      <c r="F136" s="135"/>
      <c r="G136" s="148"/>
    </row>
    <row r="137" spans="1:7" ht="7.5" customHeight="1">
      <c r="A137" s="93"/>
      <c r="B137" s="93"/>
      <c r="C137" s="93"/>
      <c r="D137" s="93"/>
      <c r="E137" s="93"/>
      <c r="F137" s="93"/>
      <c r="G137" s="93"/>
    </row>
    <row r="138" spans="1:7" ht="32.25" customHeight="1">
      <c r="A138" s="93" t="s">
        <v>8</v>
      </c>
      <c r="B138" s="93" t="s">
        <v>170</v>
      </c>
      <c r="C138" s="93"/>
      <c r="D138" s="93"/>
      <c r="E138" s="259" t="s">
        <v>171</v>
      </c>
      <c r="F138" s="260"/>
      <c r="G138" s="261"/>
    </row>
    <row r="139" spans="1:7" ht="7.5" customHeight="1">
      <c r="A139" s="93"/>
      <c r="B139" s="93"/>
      <c r="C139" s="93"/>
      <c r="D139" s="93"/>
      <c r="E139" s="93"/>
      <c r="F139" s="93"/>
      <c r="G139" s="93"/>
    </row>
    <row r="140" spans="1:7" ht="18.75" customHeight="1">
      <c r="A140" s="93" t="s">
        <v>11</v>
      </c>
      <c r="B140" s="93" t="s">
        <v>172</v>
      </c>
      <c r="C140" s="93"/>
      <c r="D140" s="93"/>
      <c r="E140" s="93"/>
      <c r="F140" s="93"/>
      <c r="G140" s="93"/>
    </row>
    <row r="141" spans="1:7" ht="18.75" customHeight="1">
      <c r="A141" s="93"/>
      <c r="B141" s="262" t="s">
        <v>173</v>
      </c>
      <c r="C141" s="263"/>
      <c r="D141" s="263"/>
      <c r="E141" s="263"/>
      <c r="F141" s="263"/>
      <c r="G141" s="264"/>
    </row>
    <row r="142" spans="1:7" ht="18.75" customHeight="1">
      <c r="A142" s="93"/>
      <c r="B142" s="265"/>
      <c r="C142" s="266"/>
      <c r="D142" s="266"/>
      <c r="E142" s="266"/>
      <c r="F142" s="266"/>
      <c r="G142" s="267"/>
    </row>
    <row r="143" spans="1:7" ht="18.75" customHeight="1">
      <c r="A143" s="93"/>
      <c r="B143" s="265"/>
      <c r="C143" s="266"/>
      <c r="D143" s="266"/>
      <c r="E143" s="266"/>
      <c r="F143" s="266"/>
      <c r="G143" s="267"/>
    </row>
    <row r="144" spans="1:7" ht="18.75" customHeight="1">
      <c r="A144" s="93"/>
      <c r="B144" s="268"/>
      <c r="C144" s="269"/>
      <c r="D144" s="269"/>
      <c r="E144" s="269"/>
      <c r="F144" s="269"/>
      <c r="G144" s="270"/>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3"/>
  <hyperlinks>
    <hyperlink ref="E138" r:id="rId1" display="http://www-mmds.sigmath.es.osaka-u.ac.jp/structure/suuridsaitorikumi.pdf" xr:uid="{0ADE3E8B-AB90-492A-8188-5B16B6F34B2A}"/>
  </hyperlinks>
  <printOptions horizontalCentered="1"/>
  <pageMargins left="0.78740157480314965" right="0.78740157480314965" top="0.59055118110236227" bottom="0.39370078740157483" header="0.31496062992125984" footer="0.31496062992125984"/>
  <pageSetup paperSize="9" scale="61" fitToHeight="3" orientation="portrait" horizontalDpi="300" verticalDpi="300" copies="4" r:id="rId2"/>
  <rowBreaks count="2" manualBreakCount="2">
    <brk id="50" max="16383" man="1"/>
    <brk id="10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0"/>
  <sheetViews>
    <sheetView topLeftCell="A133" zoomScaleNormal="100" workbookViewId="0">
      <selection activeCell="B141" sqref="B141:G144"/>
    </sheetView>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93"/>
      <c r="B1" s="93"/>
      <c r="C1" s="93"/>
      <c r="D1" s="93"/>
      <c r="E1" s="93"/>
      <c r="F1" s="93"/>
      <c r="G1" s="112" t="s">
        <v>180</v>
      </c>
    </row>
    <row r="2" spans="1:7" ht="18.75" customHeight="1">
      <c r="A2" s="93"/>
      <c r="B2" s="93"/>
      <c r="C2" s="93"/>
      <c r="D2" s="93"/>
      <c r="E2" s="93"/>
      <c r="F2" s="112" t="s">
        <v>67</v>
      </c>
      <c r="G2" s="93" t="s">
        <v>68</v>
      </c>
    </row>
    <row r="3" spans="1:7" ht="18.75" customHeight="1">
      <c r="A3" s="202" t="s">
        <v>120</v>
      </c>
      <c r="B3" s="202"/>
      <c r="C3" s="202"/>
      <c r="D3" s="202"/>
      <c r="E3" s="202"/>
      <c r="F3" s="202"/>
      <c r="G3" s="202"/>
    </row>
    <row r="4" spans="1:7" ht="18.75" customHeight="1">
      <c r="A4" s="93" t="s">
        <v>2</v>
      </c>
      <c r="B4" s="93" t="s">
        <v>121</v>
      </c>
      <c r="C4" s="93"/>
      <c r="D4" s="93"/>
      <c r="E4" s="93"/>
      <c r="F4" s="93"/>
      <c r="G4" s="93"/>
    </row>
    <row r="5" spans="1:7" s="76" customFormat="1" ht="18.75" customHeight="1">
      <c r="A5" s="116"/>
      <c r="B5" s="113" t="s">
        <v>122</v>
      </c>
      <c r="C5" s="196" t="s">
        <v>123</v>
      </c>
      <c r="D5" s="197"/>
      <c r="E5" s="197"/>
      <c r="F5" s="197"/>
      <c r="G5" s="198"/>
    </row>
    <row r="6" spans="1:7" s="76" customFormat="1" ht="45" customHeight="1">
      <c r="A6" s="116"/>
      <c r="B6" s="203" t="s">
        <v>124</v>
      </c>
      <c r="C6" s="205" t="s">
        <v>125</v>
      </c>
      <c r="D6" s="206"/>
      <c r="E6" s="206"/>
      <c r="F6" s="206"/>
      <c r="G6" s="207"/>
    </row>
    <row r="7" spans="1:7" s="76" customFormat="1" ht="45" customHeight="1">
      <c r="A7" s="116"/>
      <c r="B7" s="204"/>
      <c r="C7" s="208"/>
      <c r="D7" s="209"/>
      <c r="E7" s="209"/>
      <c r="F7" s="209"/>
      <c r="G7" s="210"/>
    </row>
    <row r="8" spans="1:7" s="76" customFormat="1" ht="45" customHeight="1">
      <c r="A8" s="116"/>
      <c r="B8" s="204"/>
      <c r="C8" s="208"/>
      <c r="D8" s="209"/>
      <c r="E8" s="209"/>
      <c r="F8" s="209"/>
      <c r="G8" s="210"/>
    </row>
    <row r="9" spans="1:7" s="76" customFormat="1" ht="45" customHeight="1">
      <c r="A9" s="116"/>
      <c r="B9" s="204"/>
      <c r="C9" s="211"/>
      <c r="D9" s="212"/>
      <c r="E9" s="212"/>
      <c r="F9" s="212"/>
      <c r="G9" s="213"/>
    </row>
    <row r="10" spans="1:7" s="76" customFormat="1" ht="18.75" customHeight="1">
      <c r="A10" s="116"/>
      <c r="B10" s="204"/>
      <c r="C10" s="94" t="s">
        <v>126</v>
      </c>
      <c r="D10" s="214" t="s">
        <v>127</v>
      </c>
      <c r="E10" s="215"/>
      <c r="F10" s="215"/>
      <c r="G10" s="216"/>
    </row>
    <row r="11" spans="1:7" s="76" customFormat="1" ht="18.75" customHeight="1">
      <c r="A11" s="116"/>
      <c r="B11" s="204"/>
      <c r="C11" s="115" t="s">
        <v>128</v>
      </c>
      <c r="D11" s="217" t="s">
        <v>129</v>
      </c>
      <c r="E11" s="218"/>
      <c r="F11" s="218"/>
      <c r="G11" s="219"/>
    </row>
    <row r="12" spans="1:7" s="76" customFormat="1" ht="18.75" customHeight="1">
      <c r="A12" s="116"/>
      <c r="B12" s="204"/>
      <c r="C12" s="117" t="s">
        <v>130</v>
      </c>
      <c r="D12" s="220" t="s">
        <v>131</v>
      </c>
      <c r="E12" s="130"/>
      <c r="F12" s="130"/>
      <c r="G12" s="131"/>
    </row>
    <row r="13" spans="1:7" s="76" customFormat="1" ht="18.75" customHeight="1">
      <c r="A13" s="116"/>
      <c r="B13" s="204"/>
      <c r="C13" s="118"/>
      <c r="D13" s="221"/>
      <c r="E13" s="222"/>
      <c r="F13" s="222"/>
      <c r="G13" s="223"/>
    </row>
    <row r="14" spans="1:7" s="76" customFormat="1" ht="18.75" customHeight="1">
      <c r="A14" s="116"/>
      <c r="B14" s="204"/>
      <c r="C14" s="118"/>
      <c r="D14" s="221"/>
      <c r="E14" s="222"/>
      <c r="F14" s="222"/>
      <c r="G14" s="223"/>
    </row>
    <row r="15" spans="1:7" s="76" customFormat="1" ht="18.75" customHeight="1">
      <c r="A15" s="116"/>
      <c r="B15" s="204"/>
      <c r="C15" s="113"/>
      <c r="D15" s="196"/>
      <c r="E15" s="197"/>
      <c r="F15" s="197"/>
      <c r="G15" s="198"/>
    </row>
    <row r="16" spans="1:7" s="76" customFormat="1" ht="18.75" customHeight="1">
      <c r="A16" s="116"/>
      <c r="B16" s="204"/>
      <c r="C16" s="113"/>
      <c r="D16" s="196"/>
      <c r="E16" s="197"/>
      <c r="F16" s="197"/>
      <c r="G16" s="198"/>
    </row>
    <row r="17" spans="2:7" s="76" customFormat="1" ht="18.75" customHeight="1">
      <c r="B17" s="204"/>
      <c r="C17" s="113"/>
      <c r="D17" s="196"/>
      <c r="E17" s="197"/>
      <c r="F17" s="197"/>
      <c r="G17" s="198"/>
    </row>
    <row r="18" spans="2:7" s="76" customFormat="1" ht="18.75" customHeight="1">
      <c r="B18" s="204"/>
      <c r="C18" s="113"/>
      <c r="D18" s="196"/>
      <c r="E18" s="197"/>
      <c r="F18" s="197"/>
      <c r="G18" s="198"/>
    </row>
    <row r="19" spans="2:7" s="76" customFormat="1" ht="18.75" customHeight="1">
      <c r="B19" s="204"/>
      <c r="C19" s="95"/>
      <c r="D19" s="199"/>
      <c r="E19" s="200"/>
      <c r="F19" s="200"/>
      <c r="G19" s="201"/>
    </row>
    <row r="20" spans="2:7" s="76" customFormat="1" ht="18.75" customHeight="1">
      <c r="B20" s="204"/>
      <c r="C20" s="95"/>
      <c r="D20" s="199"/>
      <c r="E20" s="200"/>
      <c r="F20" s="200"/>
      <c r="G20" s="201"/>
    </row>
    <row r="21" spans="2:7" s="76" customFormat="1" ht="18.75" customHeight="1">
      <c r="B21" s="204"/>
      <c r="C21" s="95"/>
      <c r="D21" s="199"/>
      <c r="E21" s="200"/>
      <c r="F21" s="200"/>
      <c r="G21" s="201"/>
    </row>
    <row r="22" spans="2:7" s="76" customFormat="1" ht="18.75" customHeight="1">
      <c r="B22" s="204"/>
      <c r="C22" s="95"/>
      <c r="D22" s="199"/>
      <c r="E22" s="200"/>
      <c r="F22" s="200"/>
      <c r="G22" s="201"/>
    </row>
    <row r="23" spans="2:7" s="76" customFormat="1" ht="18.75" customHeight="1">
      <c r="B23" s="204"/>
      <c r="C23" s="95"/>
      <c r="D23" s="199"/>
      <c r="E23" s="200"/>
      <c r="F23" s="200"/>
      <c r="G23" s="201"/>
    </row>
    <row r="24" spans="2:7" s="76" customFormat="1" ht="18.75" customHeight="1">
      <c r="B24" s="204"/>
      <c r="C24" s="95"/>
      <c r="D24" s="199"/>
      <c r="E24" s="200"/>
      <c r="F24" s="200"/>
      <c r="G24" s="201"/>
    </row>
    <row r="25" spans="2:7" s="76" customFormat="1" ht="18.75" customHeight="1">
      <c r="B25" s="204"/>
      <c r="C25" s="95"/>
      <c r="D25" s="199"/>
      <c r="E25" s="200"/>
      <c r="F25" s="200"/>
      <c r="G25" s="201"/>
    </row>
    <row r="26" spans="2:7" ht="18.75" customHeight="1">
      <c r="B26" s="203" t="s">
        <v>132</v>
      </c>
      <c r="C26" s="199" t="s">
        <v>123</v>
      </c>
      <c r="D26" s="200"/>
      <c r="E26" s="200"/>
      <c r="F26" s="200"/>
      <c r="G26" s="201"/>
    </row>
    <row r="27" spans="2:7" ht="37.5" customHeight="1">
      <c r="B27" s="204"/>
      <c r="C27" s="225" t="s">
        <v>175</v>
      </c>
      <c r="D27" s="226"/>
      <c r="E27" s="226"/>
      <c r="F27" s="226"/>
      <c r="G27" s="227"/>
    </row>
    <row r="28" spans="2:7" ht="37.5" customHeight="1">
      <c r="B28" s="204"/>
      <c r="C28" s="228"/>
      <c r="D28" s="229"/>
      <c r="E28" s="229"/>
      <c r="F28" s="229"/>
      <c r="G28" s="230"/>
    </row>
    <row r="29" spans="2:7" ht="37.5" customHeight="1">
      <c r="B29" s="204"/>
      <c r="C29" s="228"/>
      <c r="D29" s="229"/>
      <c r="E29" s="229"/>
      <c r="F29" s="229"/>
      <c r="G29" s="230"/>
    </row>
    <row r="30" spans="2:7" ht="37.5" customHeight="1">
      <c r="B30" s="204"/>
      <c r="C30" s="228"/>
      <c r="D30" s="229"/>
      <c r="E30" s="229"/>
      <c r="F30" s="229"/>
      <c r="G30" s="230"/>
    </row>
    <row r="31" spans="2:7" ht="37.5" customHeight="1">
      <c r="B31" s="204"/>
      <c r="C31" s="231"/>
      <c r="D31" s="232"/>
      <c r="E31" s="232"/>
      <c r="F31" s="232"/>
      <c r="G31" s="233"/>
    </row>
    <row r="32" spans="2:7" ht="18.75" customHeight="1">
      <c r="B32" s="204"/>
      <c r="C32" s="96" t="s">
        <v>126</v>
      </c>
      <c r="D32" s="199" t="s">
        <v>127</v>
      </c>
      <c r="E32" s="200"/>
      <c r="F32" s="200"/>
      <c r="G32" s="201"/>
    </row>
    <row r="33" spans="2:7" ht="18.75" customHeight="1">
      <c r="B33" s="204"/>
      <c r="C33" s="115" t="s">
        <v>128</v>
      </c>
      <c r="D33" s="234" t="s">
        <v>134</v>
      </c>
      <c r="E33" s="235"/>
      <c r="F33" s="235"/>
      <c r="G33" s="236"/>
    </row>
    <row r="34" spans="2:7" ht="18.75" customHeight="1">
      <c r="B34" s="204"/>
      <c r="C34" s="115" t="s">
        <v>130</v>
      </c>
      <c r="D34" s="237" t="s">
        <v>135</v>
      </c>
      <c r="E34" s="238"/>
      <c r="F34" s="238"/>
      <c r="G34" s="239"/>
    </row>
    <row r="35" spans="2:7" ht="18.75" customHeight="1">
      <c r="B35" s="204"/>
      <c r="C35" s="114" t="s">
        <v>181</v>
      </c>
      <c r="D35" s="234" t="s">
        <v>182</v>
      </c>
      <c r="E35" s="235"/>
      <c r="F35" s="235"/>
      <c r="G35" s="236"/>
    </row>
    <row r="36" spans="2:7" ht="18.75" customHeight="1">
      <c r="B36" s="204"/>
      <c r="C36" s="95"/>
      <c r="D36" s="234"/>
      <c r="E36" s="235"/>
      <c r="F36" s="235"/>
      <c r="G36" s="236"/>
    </row>
    <row r="37" spans="2:7" ht="18.75" customHeight="1">
      <c r="B37" s="204"/>
      <c r="C37" s="95"/>
      <c r="D37" s="234"/>
      <c r="E37" s="235"/>
      <c r="F37" s="235"/>
      <c r="G37" s="236"/>
    </row>
    <row r="38" spans="2:7" ht="18.75" customHeight="1">
      <c r="B38" s="204"/>
      <c r="C38" s="95"/>
      <c r="D38" s="234"/>
      <c r="E38" s="235"/>
      <c r="F38" s="235"/>
      <c r="G38" s="236"/>
    </row>
    <row r="39" spans="2:7" ht="18.75" customHeight="1">
      <c r="B39" s="204"/>
      <c r="C39" s="95"/>
      <c r="D39" s="234"/>
      <c r="E39" s="235"/>
      <c r="F39" s="235"/>
      <c r="G39" s="236"/>
    </row>
    <row r="40" spans="2:7" ht="18.75" customHeight="1">
      <c r="B40" s="204"/>
      <c r="C40" s="95"/>
      <c r="D40" s="234"/>
      <c r="E40" s="235"/>
      <c r="F40" s="235"/>
      <c r="G40" s="236"/>
    </row>
    <row r="41" spans="2:7" ht="18.75" customHeight="1">
      <c r="B41" s="204"/>
      <c r="C41" s="95"/>
      <c r="D41" s="234"/>
      <c r="E41" s="235"/>
      <c r="F41" s="235"/>
      <c r="G41" s="236"/>
    </row>
    <row r="42" spans="2:7" ht="18.75" customHeight="1">
      <c r="B42" s="204"/>
      <c r="C42" s="95"/>
      <c r="D42" s="234"/>
      <c r="E42" s="235"/>
      <c r="F42" s="235"/>
      <c r="G42" s="236"/>
    </row>
    <row r="43" spans="2:7" ht="18.75" customHeight="1">
      <c r="B43" s="204"/>
      <c r="C43" s="95"/>
      <c r="D43" s="234"/>
      <c r="E43" s="235"/>
      <c r="F43" s="235"/>
      <c r="G43" s="236"/>
    </row>
    <row r="44" spans="2:7" ht="18.75" customHeight="1">
      <c r="B44" s="204"/>
      <c r="C44" s="95"/>
      <c r="D44" s="234"/>
      <c r="E44" s="235"/>
      <c r="F44" s="235"/>
      <c r="G44" s="236"/>
    </row>
    <row r="45" spans="2:7" ht="18.75" customHeight="1">
      <c r="B45" s="204"/>
      <c r="C45" s="95"/>
      <c r="D45" s="234"/>
      <c r="E45" s="235"/>
      <c r="F45" s="235"/>
      <c r="G45" s="236"/>
    </row>
    <row r="46" spans="2:7" ht="18.75" customHeight="1">
      <c r="B46" s="204"/>
      <c r="C46" s="95"/>
      <c r="D46" s="234"/>
      <c r="E46" s="235"/>
      <c r="F46" s="235"/>
      <c r="G46" s="236"/>
    </row>
    <row r="47" spans="2:7" ht="18.75" customHeight="1">
      <c r="B47" s="204"/>
      <c r="C47" s="95"/>
      <c r="D47" s="234"/>
      <c r="E47" s="235"/>
      <c r="F47" s="235"/>
      <c r="G47" s="236"/>
    </row>
    <row r="48" spans="2:7" ht="18.75" customHeight="1">
      <c r="B48" s="204"/>
      <c r="C48" s="95"/>
      <c r="D48" s="234"/>
      <c r="E48" s="235"/>
      <c r="F48" s="235"/>
      <c r="G48" s="236"/>
    </row>
    <row r="49" spans="2:7" ht="18.75" customHeight="1">
      <c r="B49" s="204"/>
      <c r="C49" s="95"/>
      <c r="D49" s="234"/>
      <c r="E49" s="235"/>
      <c r="F49" s="235"/>
      <c r="G49" s="236"/>
    </row>
    <row r="50" spans="2:7" ht="18.75" customHeight="1">
      <c r="B50" s="224"/>
      <c r="C50" s="95"/>
      <c r="D50" s="234"/>
      <c r="E50" s="235"/>
      <c r="F50" s="235"/>
      <c r="G50" s="236"/>
    </row>
    <row r="51" spans="2:7" ht="18.75" customHeight="1">
      <c r="B51" s="203" t="s">
        <v>136</v>
      </c>
      <c r="C51" s="199" t="s">
        <v>123</v>
      </c>
      <c r="D51" s="200"/>
      <c r="E51" s="200"/>
      <c r="F51" s="200"/>
      <c r="G51" s="201"/>
    </row>
    <row r="52" spans="2:7" ht="37.5" customHeight="1">
      <c r="B52" s="204"/>
      <c r="C52" s="225" t="s">
        <v>137</v>
      </c>
      <c r="D52" s="240"/>
      <c r="E52" s="240"/>
      <c r="F52" s="240"/>
      <c r="G52" s="241"/>
    </row>
    <row r="53" spans="2:7" ht="37.5" customHeight="1">
      <c r="B53" s="204"/>
      <c r="C53" s="242"/>
      <c r="D53" s="243"/>
      <c r="E53" s="243"/>
      <c r="F53" s="243"/>
      <c r="G53" s="244"/>
    </row>
    <row r="54" spans="2:7" ht="37.5" customHeight="1">
      <c r="B54" s="204"/>
      <c r="C54" s="242"/>
      <c r="D54" s="243"/>
      <c r="E54" s="243"/>
      <c r="F54" s="243"/>
      <c r="G54" s="244"/>
    </row>
    <row r="55" spans="2:7" ht="37.5" customHeight="1">
      <c r="B55" s="204"/>
      <c r="C55" s="242"/>
      <c r="D55" s="243"/>
      <c r="E55" s="243"/>
      <c r="F55" s="243"/>
      <c r="G55" s="244"/>
    </row>
    <row r="56" spans="2:7" ht="37.5" customHeight="1">
      <c r="B56" s="204"/>
      <c r="C56" s="245"/>
      <c r="D56" s="246"/>
      <c r="E56" s="246"/>
      <c r="F56" s="246"/>
      <c r="G56" s="247"/>
    </row>
    <row r="57" spans="2:7" ht="18.75" customHeight="1">
      <c r="B57" s="204"/>
      <c r="C57" s="94" t="s">
        <v>126</v>
      </c>
      <c r="D57" s="196" t="s">
        <v>127</v>
      </c>
      <c r="E57" s="197"/>
      <c r="F57" s="197"/>
      <c r="G57" s="198"/>
    </row>
    <row r="58" spans="2:7" ht="18.75" customHeight="1">
      <c r="B58" s="204"/>
      <c r="C58" s="115" t="s">
        <v>128</v>
      </c>
      <c r="D58" s="248" t="s">
        <v>138</v>
      </c>
      <c r="E58" s="249"/>
      <c r="F58" s="249"/>
      <c r="G58" s="250"/>
    </row>
    <row r="59" spans="2:7" ht="18.75" customHeight="1">
      <c r="B59" s="204"/>
      <c r="C59" s="113"/>
      <c r="D59" s="248"/>
      <c r="E59" s="249"/>
      <c r="F59" s="249"/>
      <c r="G59" s="250"/>
    </row>
    <row r="60" spans="2:7" ht="18.75" customHeight="1">
      <c r="B60" s="204"/>
      <c r="C60" s="113"/>
      <c r="D60" s="248"/>
      <c r="E60" s="249"/>
      <c r="F60" s="249"/>
      <c r="G60" s="250"/>
    </row>
    <row r="61" spans="2:7" ht="18.75" customHeight="1">
      <c r="B61" s="204"/>
      <c r="C61" s="113"/>
      <c r="D61" s="248"/>
      <c r="E61" s="249"/>
      <c r="F61" s="249"/>
      <c r="G61" s="250"/>
    </row>
    <row r="62" spans="2:7" ht="18.75" customHeight="1">
      <c r="B62" s="204"/>
      <c r="C62" s="113"/>
      <c r="D62" s="248"/>
      <c r="E62" s="249"/>
      <c r="F62" s="249"/>
      <c r="G62" s="250"/>
    </row>
    <row r="63" spans="2:7" ht="18.75" customHeight="1">
      <c r="B63" s="204"/>
      <c r="C63" s="113"/>
      <c r="D63" s="248"/>
      <c r="E63" s="249"/>
      <c r="F63" s="249"/>
      <c r="G63" s="250"/>
    </row>
    <row r="64" spans="2:7" ht="18.75" customHeight="1">
      <c r="B64" s="204"/>
      <c r="C64" s="113"/>
      <c r="D64" s="248"/>
      <c r="E64" s="249"/>
      <c r="F64" s="249"/>
      <c r="G64" s="250"/>
    </row>
    <row r="65" spans="2:7" ht="18.75" customHeight="1">
      <c r="B65" s="204"/>
      <c r="C65" s="113"/>
      <c r="D65" s="248"/>
      <c r="E65" s="249"/>
      <c r="F65" s="249"/>
      <c r="G65" s="250"/>
    </row>
    <row r="66" spans="2:7" ht="18.75" customHeight="1">
      <c r="B66" s="204"/>
      <c r="C66" s="113"/>
      <c r="D66" s="248"/>
      <c r="E66" s="249"/>
      <c r="F66" s="249"/>
      <c r="G66" s="250"/>
    </row>
    <row r="67" spans="2:7" ht="18.75" customHeight="1">
      <c r="B67" s="204"/>
      <c r="C67" s="113"/>
      <c r="D67" s="248"/>
      <c r="E67" s="249"/>
      <c r="F67" s="249"/>
      <c r="G67" s="250"/>
    </row>
    <row r="68" spans="2:7" ht="18.75" customHeight="1">
      <c r="B68" s="204"/>
      <c r="C68" s="113"/>
      <c r="D68" s="248"/>
      <c r="E68" s="249"/>
      <c r="F68" s="249"/>
      <c r="G68" s="250"/>
    </row>
    <row r="69" spans="2:7" ht="18.75" customHeight="1">
      <c r="B69" s="204"/>
      <c r="C69" s="113"/>
      <c r="D69" s="248"/>
      <c r="E69" s="249"/>
      <c r="F69" s="249"/>
      <c r="G69" s="250"/>
    </row>
    <row r="70" spans="2:7" ht="18.75" customHeight="1">
      <c r="B70" s="204"/>
      <c r="C70" s="113"/>
      <c r="D70" s="248"/>
      <c r="E70" s="249"/>
      <c r="F70" s="249"/>
      <c r="G70" s="250"/>
    </row>
    <row r="71" spans="2:7" ht="18.75" customHeight="1">
      <c r="B71" s="204"/>
      <c r="C71" s="113"/>
      <c r="D71" s="248"/>
      <c r="E71" s="249"/>
      <c r="F71" s="249"/>
      <c r="G71" s="250"/>
    </row>
    <row r="72" spans="2:7" ht="18.75" customHeight="1">
      <c r="B72" s="204"/>
      <c r="C72" s="113"/>
      <c r="D72" s="248"/>
      <c r="E72" s="249"/>
      <c r="F72" s="249"/>
      <c r="G72" s="250"/>
    </row>
    <row r="73" spans="2:7" ht="18.75" customHeight="1">
      <c r="B73" s="204"/>
      <c r="C73" s="113"/>
      <c r="D73" s="248"/>
      <c r="E73" s="249"/>
      <c r="F73" s="249"/>
      <c r="G73" s="250"/>
    </row>
    <row r="74" spans="2:7" ht="18.75" customHeight="1">
      <c r="B74" s="204"/>
      <c r="C74" s="113"/>
      <c r="D74" s="248"/>
      <c r="E74" s="249"/>
      <c r="F74" s="249"/>
      <c r="G74" s="250"/>
    </row>
    <row r="75" spans="2:7" ht="18.75" customHeight="1">
      <c r="B75" s="204"/>
      <c r="C75" s="113"/>
      <c r="D75" s="248"/>
      <c r="E75" s="249"/>
      <c r="F75" s="249"/>
      <c r="G75" s="250"/>
    </row>
    <row r="76" spans="2:7" ht="18.75" customHeight="1">
      <c r="B76" s="203" t="s">
        <v>139</v>
      </c>
      <c r="C76" s="196" t="s">
        <v>123</v>
      </c>
      <c r="D76" s="197"/>
      <c r="E76" s="197"/>
      <c r="F76" s="197"/>
      <c r="G76" s="198"/>
    </row>
    <row r="77" spans="2:7" ht="37.5" customHeight="1">
      <c r="B77" s="204"/>
      <c r="C77" s="225" t="s">
        <v>140</v>
      </c>
      <c r="D77" s="240"/>
      <c r="E77" s="240"/>
      <c r="F77" s="240"/>
      <c r="G77" s="241"/>
    </row>
    <row r="78" spans="2:7" ht="37.5" customHeight="1">
      <c r="B78" s="204"/>
      <c r="C78" s="242"/>
      <c r="D78" s="243"/>
      <c r="E78" s="243"/>
      <c r="F78" s="243"/>
      <c r="G78" s="244"/>
    </row>
    <row r="79" spans="2:7" ht="37.5" customHeight="1">
      <c r="B79" s="204"/>
      <c r="C79" s="242"/>
      <c r="D79" s="243"/>
      <c r="E79" s="243"/>
      <c r="F79" s="243"/>
      <c r="G79" s="244"/>
    </row>
    <row r="80" spans="2:7" ht="37.5" customHeight="1">
      <c r="B80" s="204"/>
      <c r="C80" s="242"/>
      <c r="D80" s="243"/>
      <c r="E80" s="243"/>
      <c r="F80" s="243"/>
      <c r="G80" s="244"/>
    </row>
    <row r="81" spans="2:7" ht="37.5" customHeight="1">
      <c r="B81" s="204"/>
      <c r="C81" s="245"/>
      <c r="D81" s="246"/>
      <c r="E81" s="246"/>
      <c r="F81" s="246"/>
      <c r="G81" s="247"/>
    </row>
    <row r="82" spans="2:7" ht="18.75" customHeight="1">
      <c r="B82" s="204"/>
      <c r="C82" s="94" t="s">
        <v>126</v>
      </c>
      <c r="D82" s="196" t="s">
        <v>127</v>
      </c>
      <c r="E82" s="197"/>
      <c r="F82" s="197"/>
      <c r="G82" s="198"/>
    </row>
    <row r="83" spans="2:7" ht="18.75" customHeight="1">
      <c r="B83" s="204"/>
      <c r="C83" s="115" t="s">
        <v>128</v>
      </c>
      <c r="D83" s="248" t="s">
        <v>141</v>
      </c>
      <c r="E83" s="249"/>
      <c r="F83" s="249"/>
      <c r="G83" s="250"/>
    </row>
    <row r="84" spans="2:7" ht="18.75" customHeight="1">
      <c r="B84" s="204"/>
      <c r="C84" s="118"/>
      <c r="D84" s="251"/>
      <c r="E84" s="252"/>
      <c r="F84" s="252"/>
      <c r="G84" s="253"/>
    </row>
    <row r="85" spans="2:7" ht="18.75" customHeight="1">
      <c r="B85" s="204"/>
      <c r="C85" s="113"/>
      <c r="D85" s="248"/>
      <c r="E85" s="249"/>
      <c r="F85" s="249"/>
      <c r="G85" s="250"/>
    </row>
    <row r="86" spans="2:7" ht="18.75" customHeight="1">
      <c r="B86" s="204"/>
      <c r="C86" s="113"/>
      <c r="D86" s="248"/>
      <c r="E86" s="249"/>
      <c r="F86" s="249"/>
      <c r="G86" s="250"/>
    </row>
    <row r="87" spans="2:7" ht="18.75" customHeight="1">
      <c r="B87" s="204"/>
      <c r="C87" s="113"/>
      <c r="D87" s="248"/>
      <c r="E87" s="249"/>
      <c r="F87" s="249"/>
      <c r="G87" s="250"/>
    </row>
    <row r="88" spans="2:7" ht="18.75" customHeight="1">
      <c r="B88" s="204"/>
      <c r="C88" s="113"/>
      <c r="D88" s="248"/>
      <c r="E88" s="249"/>
      <c r="F88" s="249"/>
      <c r="G88" s="250"/>
    </row>
    <row r="89" spans="2:7" ht="18.75" customHeight="1">
      <c r="B89" s="204"/>
      <c r="C89" s="113"/>
      <c r="D89" s="248"/>
      <c r="E89" s="249"/>
      <c r="F89" s="249"/>
      <c r="G89" s="250"/>
    </row>
    <row r="90" spans="2:7" ht="18.75" customHeight="1">
      <c r="B90" s="204"/>
      <c r="C90" s="113"/>
      <c r="D90" s="248"/>
      <c r="E90" s="249"/>
      <c r="F90" s="249"/>
      <c r="G90" s="250"/>
    </row>
    <row r="91" spans="2:7" ht="18.75" customHeight="1">
      <c r="B91" s="204"/>
      <c r="C91" s="113"/>
      <c r="D91" s="248"/>
      <c r="E91" s="249"/>
      <c r="F91" s="249"/>
      <c r="G91" s="250"/>
    </row>
    <row r="92" spans="2:7" ht="18.75" customHeight="1">
      <c r="B92" s="204"/>
      <c r="C92" s="113"/>
      <c r="D92" s="248"/>
      <c r="E92" s="249"/>
      <c r="F92" s="249"/>
      <c r="G92" s="250"/>
    </row>
    <row r="93" spans="2:7" ht="18.75" customHeight="1">
      <c r="B93" s="204"/>
      <c r="C93" s="113"/>
      <c r="D93" s="248"/>
      <c r="E93" s="249"/>
      <c r="F93" s="249"/>
      <c r="G93" s="250"/>
    </row>
    <row r="94" spans="2:7" ht="18.75" customHeight="1">
      <c r="B94" s="204"/>
      <c r="C94" s="113"/>
      <c r="D94" s="248"/>
      <c r="E94" s="249"/>
      <c r="F94" s="249"/>
      <c r="G94" s="250"/>
    </row>
    <row r="95" spans="2:7" ht="18.75" customHeight="1">
      <c r="B95" s="204"/>
      <c r="C95" s="113"/>
      <c r="D95" s="248"/>
      <c r="E95" s="249"/>
      <c r="F95" s="249"/>
      <c r="G95" s="250"/>
    </row>
    <row r="96" spans="2:7" ht="18.75" customHeight="1">
      <c r="B96" s="204"/>
      <c r="C96" s="113"/>
      <c r="D96" s="248"/>
      <c r="E96" s="249"/>
      <c r="F96" s="249"/>
      <c r="G96" s="250"/>
    </row>
    <row r="97" spans="2:7" ht="18.75" customHeight="1">
      <c r="B97" s="204"/>
      <c r="C97" s="113"/>
      <c r="D97" s="248"/>
      <c r="E97" s="249"/>
      <c r="F97" s="249"/>
      <c r="G97" s="250"/>
    </row>
    <row r="98" spans="2:7" ht="18.75" customHeight="1">
      <c r="B98" s="204"/>
      <c r="C98" s="113"/>
      <c r="D98" s="248"/>
      <c r="E98" s="249"/>
      <c r="F98" s="249"/>
      <c r="G98" s="250"/>
    </row>
    <row r="99" spans="2:7" ht="18.75" customHeight="1">
      <c r="B99" s="204"/>
      <c r="C99" s="113"/>
      <c r="D99" s="248"/>
      <c r="E99" s="249"/>
      <c r="F99" s="249"/>
      <c r="G99" s="250"/>
    </row>
    <row r="100" spans="2:7" ht="18.75" customHeight="1">
      <c r="B100" s="204"/>
      <c r="C100" s="113"/>
      <c r="D100" s="248"/>
      <c r="E100" s="249"/>
      <c r="F100" s="249"/>
      <c r="G100" s="250"/>
    </row>
    <row r="101" spans="2:7" ht="18.75" customHeight="1">
      <c r="B101" s="203" t="s">
        <v>142</v>
      </c>
      <c r="C101" s="196" t="s">
        <v>123</v>
      </c>
      <c r="D101" s="197"/>
      <c r="E101" s="197"/>
      <c r="F101" s="197"/>
      <c r="G101" s="198"/>
    </row>
    <row r="102" spans="2:7" ht="37.5" customHeight="1">
      <c r="B102" s="204"/>
      <c r="C102" s="225" t="s">
        <v>143</v>
      </c>
      <c r="D102" s="240"/>
      <c r="E102" s="240"/>
      <c r="F102" s="240"/>
      <c r="G102" s="241"/>
    </row>
    <row r="103" spans="2:7" ht="37.5" customHeight="1">
      <c r="B103" s="204"/>
      <c r="C103" s="242"/>
      <c r="D103" s="243"/>
      <c r="E103" s="243"/>
      <c r="F103" s="243"/>
      <c r="G103" s="244"/>
    </row>
    <row r="104" spans="2:7" ht="37.5" customHeight="1">
      <c r="B104" s="204"/>
      <c r="C104" s="242"/>
      <c r="D104" s="243"/>
      <c r="E104" s="243"/>
      <c r="F104" s="243"/>
      <c r="G104" s="244"/>
    </row>
    <row r="105" spans="2:7" ht="37.5" customHeight="1">
      <c r="B105" s="204"/>
      <c r="C105" s="242"/>
      <c r="D105" s="243"/>
      <c r="E105" s="243"/>
      <c r="F105" s="243"/>
      <c r="G105" s="244"/>
    </row>
    <row r="106" spans="2:7" ht="37.5" customHeight="1">
      <c r="B106" s="204"/>
      <c r="C106" s="245"/>
      <c r="D106" s="246"/>
      <c r="E106" s="246"/>
      <c r="F106" s="246"/>
      <c r="G106" s="247"/>
    </row>
    <row r="107" spans="2:7" ht="18.75" customHeight="1">
      <c r="B107" s="204"/>
      <c r="C107" s="94" t="s">
        <v>126</v>
      </c>
      <c r="D107" s="196" t="s">
        <v>127</v>
      </c>
      <c r="E107" s="197"/>
      <c r="F107" s="197"/>
      <c r="G107" s="198"/>
    </row>
    <row r="108" spans="2:7" ht="18.75" customHeight="1">
      <c r="B108" s="204"/>
      <c r="C108" s="115" t="s">
        <v>128</v>
      </c>
      <c r="D108" s="248" t="s">
        <v>144</v>
      </c>
      <c r="E108" s="249"/>
      <c r="F108" s="249"/>
      <c r="G108" s="250"/>
    </row>
    <row r="109" spans="2:7" ht="18.75" customHeight="1">
      <c r="B109" s="204"/>
      <c r="C109" s="115" t="s">
        <v>130</v>
      </c>
      <c r="D109" s="254" t="s">
        <v>145</v>
      </c>
      <c r="E109" s="218"/>
      <c r="F109" s="218"/>
      <c r="G109" s="219"/>
    </row>
    <row r="110" spans="2:7" ht="18.75" customHeight="1">
      <c r="B110" s="204"/>
      <c r="C110" s="115" t="s">
        <v>89</v>
      </c>
      <c r="D110" s="254" t="s">
        <v>183</v>
      </c>
      <c r="E110" s="218"/>
      <c r="F110" s="218"/>
      <c r="G110" s="219"/>
    </row>
    <row r="111" spans="2:7" ht="18.75" customHeight="1">
      <c r="B111" s="204"/>
      <c r="C111" s="119"/>
      <c r="D111" s="271"/>
      <c r="E111" s="272"/>
      <c r="F111" s="272"/>
      <c r="G111" s="273"/>
    </row>
    <row r="112" spans="2:7" ht="18.75" customHeight="1">
      <c r="B112" s="204"/>
      <c r="C112" s="119"/>
      <c r="D112" s="271"/>
      <c r="E112" s="272"/>
      <c r="F112" s="272"/>
      <c r="G112" s="273"/>
    </row>
    <row r="113" spans="1:7" ht="18.75" customHeight="1">
      <c r="A113" s="93"/>
      <c r="B113" s="204"/>
      <c r="C113" s="113"/>
      <c r="D113" s="248"/>
      <c r="E113" s="249"/>
      <c r="F113" s="249"/>
      <c r="G113" s="250"/>
    </row>
    <row r="114" spans="1:7" ht="18.75" customHeight="1">
      <c r="A114" s="93"/>
      <c r="B114" s="204"/>
      <c r="C114" s="113"/>
      <c r="D114" s="248"/>
      <c r="E114" s="249"/>
      <c r="F114" s="249"/>
      <c r="G114" s="250"/>
    </row>
    <row r="115" spans="1:7" ht="18.75" customHeight="1">
      <c r="A115" s="93"/>
      <c r="B115" s="204"/>
      <c r="C115" s="113"/>
      <c r="D115" s="248"/>
      <c r="E115" s="249"/>
      <c r="F115" s="249"/>
      <c r="G115" s="250"/>
    </row>
    <row r="116" spans="1:7" ht="18.75" customHeight="1">
      <c r="A116" s="93"/>
      <c r="B116" s="204"/>
      <c r="C116" s="113"/>
      <c r="D116" s="248"/>
      <c r="E116" s="249"/>
      <c r="F116" s="249"/>
      <c r="G116" s="250"/>
    </row>
    <row r="117" spans="1:7" ht="18.75" customHeight="1">
      <c r="A117" s="93"/>
      <c r="B117" s="204"/>
      <c r="C117" s="113"/>
      <c r="D117" s="248"/>
      <c r="E117" s="249"/>
      <c r="F117" s="249"/>
      <c r="G117" s="250"/>
    </row>
    <row r="118" spans="1:7" ht="18.75" customHeight="1">
      <c r="A118" s="93"/>
      <c r="B118" s="204"/>
      <c r="C118" s="113"/>
      <c r="D118" s="248"/>
      <c r="E118" s="249"/>
      <c r="F118" s="249"/>
      <c r="G118" s="250"/>
    </row>
    <row r="119" spans="1:7" ht="18.75" customHeight="1">
      <c r="A119" s="93"/>
      <c r="B119" s="204"/>
      <c r="C119" s="113"/>
      <c r="D119" s="248"/>
      <c r="E119" s="249"/>
      <c r="F119" s="249"/>
      <c r="G119" s="250"/>
    </row>
    <row r="120" spans="1:7" ht="18.75" customHeight="1">
      <c r="A120" s="93"/>
      <c r="B120" s="204"/>
      <c r="C120" s="113"/>
      <c r="D120" s="248"/>
      <c r="E120" s="249"/>
      <c r="F120" s="249"/>
      <c r="G120" s="250"/>
    </row>
    <row r="121" spans="1:7" ht="18.75" customHeight="1">
      <c r="A121" s="93"/>
      <c r="B121" s="204"/>
      <c r="C121" s="113"/>
      <c r="D121" s="248"/>
      <c r="E121" s="249"/>
      <c r="F121" s="249"/>
      <c r="G121" s="250"/>
    </row>
    <row r="122" spans="1:7" ht="18.75" customHeight="1">
      <c r="A122" s="93"/>
      <c r="B122" s="204"/>
      <c r="C122" s="113"/>
      <c r="D122" s="248"/>
      <c r="E122" s="249"/>
      <c r="F122" s="249"/>
      <c r="G122" s="250"/>
    </row>
    <row r="123" spans="1:7" ht="18.75" customHeight="1">
      <c r="A123" s="93"/>
      <c r="B123" s="204"/>
      <c r="C123" s="113"/>
      <c r="D123" s="248"/>
      <c r="E123" s="249"/>
      <c r="F123" s="249"/>
      <c r="G123" s="250"/>
    </row>
    <row r="124" spans="1:7" ht="18.75" customHeight="1">
      <c r="A124" s="93"/>
      <c r="B124" s="204"/>
      <c r="C124" s="113"/>
      <c r="D124" s="248"/>
      <c r="E124" s="249"/>
      <c r="F124" s="249"/>
      <c r="G124" s="250"/>
    </row>
    <row r="125" spans="1:7" ht="18.75" customHeight="1">
      <c r="A125" s="93"/>
      <c r="B125" s="204"/>
      <c r="C125" s="113"/>
      <c r="D125" s="248"/>
      <c r="E125" s="249"/>
      <c r="F125" s="249"/>
      <c r="G125" s="250"/>
    </row>
    <row r="126" spans="1:7" ht="18.75" customHeight="1">
      <c r="A126" s="93" t="s">
        <v>5</v>
      </c>
      <c r="B126" s="93" t="s">
        <v>152</v>
      </c>
      <c r="C126" s="93"/>
      <c r="D126" s="93"/>
      <c r="E126" s="93"/>
      <c r="F126" s="93"/>
      <c r="G126" s="93"/>
    </row>
    <row r="127" spans="1:7" ht="22.5" customHeight="1">
      <c r="A127" s="93"/>
      <c r="B127" s="113" t="s">
        <v>122</v>
      </c>
      <c r="C127" s="196" t="s">
        <v>74</v>
      </c>
      <c r="D127" s="197"/>
      <c r="E127" s="197"/>
      <c r="F127" s="197"/>
      <c r="G127" s="198"/>
    </row>
    <row r="128" spans="1:7" ht="45" customHeight="1">
      <c r="A128" s="93"/>
      <c r="B128" s="97" t="s">
        <v>153</v>
      </c>
      <c r="C128" s="255" t="s">
        <v>184</v>
      </c>
      <c r="D128" s="256"/>
      <c r="E128" s="256"/>
      <c r="F128" s="256"/>
      <c r="G128" s="257"/>
    </row>
    <row r="129" spans="1:7" ht="45" customHeight="1">
      <c r="A129" s="93"/>
      <c r="B129" s="97" t="s">
        <v>155</v>
      </c>
      <c r="C129" s="255" t="s">
        <v>156</v>
      </c>
      <c r="D129" s="256"/>
      <c r="E129" s="256"/>
      <c r="F129" s="256"/>
      <c r="G129" s="257"/>
    </row>
    <row r="130" spans="1:7" ht="45" customHeight="1">
      <c r="A130" s="93"/>
      <c r="B130" s="97" t="s">
        <v>157</v>
      </c>
      <c r="C130" s="255" t="s">
        <v>158</v>
      </c>
      <c r="D130" s="256"/>
      <c r="E130" s="256"/>
      <c r="F130" s="256"/>
      <c r="G130" s="257"/>
    </row>
    <row r="131" spans="1:7" ht="45" customHeight="1">
      <c r="A131" s="93"/>
      <c r="B131" s="97" t="s">
        <v>159</v>
      </c>
      <c r="C131" s="255" t="s">
        <v>162</v>
      </c>
      <c r="D131" s="256"/>
      <c r="E131" s="256"/>
      <c r="F131" s="256"/>
      <c r="G131" s="257"/>
    </row>
    <row r="132" spans="1:7" ht="45" customHeight="1">
      <c r="A132" s="93"/>
      <c r="B132" s="97" t="s">
        <v>161</v>
      </c>
      <c r="C132" s="255" t="s">
        <v>162</v>
      </c>
      <c r="D132" s="256"/>
      <c r="E132" s="256"/>
      <c r="F132" s="256"/>
      <c r="G132" s="257"/>
    </row>
    <row r="133" spans="1:7" ht="45" customHeight="1">
      <c r="A133" s="93"/>
      <c r="B133" s="97" t="s">
        <v>163</v>
      </c>
      <c r="C133" s="255" t="s">
        <v>162</v>
      </c>
      <c r="D133" s="256"/>
      <c r="E133" s="256"/>
      <c r="F133" s="256"/>
      <c r="G133" s="257"/>
    </row>
    <row r="134" spans="1:7" ht="45" customHeight="1">
      <c r="A134" s="93"/>
      <c r="B134" s="97" t="s">
        <v>164</v>
      </c>
      <c r="C134" s="255" t="s">
        <v>185</v>
      </c>
      <c r="D134" s="256"/>
      <c r="E134" s="256"/>
      <c r="F134" s="256"/>
      <c r="G134" s="257"/>
    </row>
    <row r="135" spans="1:7" ht="45" customHeight="1">
      <c r="A135" s="93"/>
      <c r="B135" s="97" t="s">
        <v>166</v>
      </c>
      <c r="C135" s="255" t="s">
        <v>167</v>
      </c>
      <c r="D135" s="256"/>
      <c r="E135" s="256"/>
      <c r="F135" s="256"/>
      <c r="G135" s="257"/>
    </row>
    <row r="136" spans="1:7" ht="45" customHeight="1">
      <c r="A136" s="93"/>
      <c r="B136" s="97" t="s">
        <v>168</v>
      </c>
      <c r="C136" s="255" t="s">
        <v>169</v>
      </c>
      <c r="D136" s="135"/>
      <c r="E136" s="135"/>
      <c r="F136" s="135"/>
      <c r="G136" s="148"/>
    </row>
    <row r="137" spans="1:7" ht="7.5" customHeight="1">
      <c r="A137" s="93"/>
      <c r="B137" s="93"/>
      <c r="C137" s="93"/>
      <c r="D137" s="93"/>
      <c r="E137" s="93"/>
      <c r="F137" s="93"/>
      <c r="G137" s="93"/>
    </row>
    <row r="138" spans="1:7" ht="32.25" customHeight="1">
      <c r="A138" s="93" t="s">
        <v>8</v>
      </c>
      <c r="B138" s="93" t="s">
        <v>170</v>
      </c>
      <c r="C138" s="93"/>
      <c r="D138" s="93"/>
      <c r="E138" s="259" t="s">
        <v>171</v>
      </c>
      <c r="F138" s="260"/>
      <c r="G138" s="261"/>
    </row>
    <row r="139" spans="1:7" ht="7.5" customHeight="1">
      <c r="A139" s="93"/>
      <c r="B139" s="93"/>
      <c r="C139" s="93"/>
      <c r="D139" s="93"/>
      <c r="E139" s="93"/>
      <c r="F139" s="93"/>
      <c r="G139" s="93"/>
    </row>
    <row r="140" spans="1:7" ht="18.75" customHeight="1">
      <c r="A140" s="93" t="s">
        <v>11</v>
      </c>
      <c r="B140" s="93" t="s">
        <v>172</v>
      </c>
      <c r="C140" s="93"/>
      <c r="D140" s="93"/>
      <c r="E140" s="93"/>
      <c r="F140" s="93"/>
      <c r="G140" s="93"/>
    </row>
    <row r="141" spans="1:7" ht="18.75" customHeight="1">
      <c r="A141" s="93"/>
      <c r="B141" s="262" t="s">
        <v>173</v>
      </c>
      <c r="C141" s="263"/>
      <c r="D141" s="263"/>
      <c r="E141" s="263"/>
      <c r="F141" s="263"/>
      <c r="G141" s="264"/>
    </row>
    <row r="142" spans="1:7" ht="18.75" customHeight="1">
      <c r="A142" s="93"/>
      <c r="B142" s="265"/>
      <c r="C142" s="266"/>
      <c r="D142" s="266"/>
      <c r="E142" s="266"/>
      <c r="F142" s="266"/>
      <c r="G142" s="267"/>
    </row>
    <row r="143" spans="1:7" ht="18.75" customHeight="1">
      <c r="A143" s="93"/>
      <c r="B143" s="265"/>
      <c r="C143" s="266"/>
      <c r="D143" s="266"/>
      <c r="E143" s="266"/>
      <c r="F143" s="266"/>
      <c r="G143" s="267"/>
    </row>
    <row r="144" spans="1:7" ht="18.75" customHeight="1">
      <c r="A144" s="93"/>
      <c r="B144" s="268"/>
      <c r="C144" s="269"/>
      <c r="D144" s="269"/>
      <c r="E144" s="269"/>
      <c r="F144" s="269"/>
      <c r="G144" s="270"/>
    </row>
    <row r="145" ht="18.75" customHeight="1"/>
    <row r="146" ht="18.75" customHeight="1"/>
    <row r="147" ht="18.75" customHeight="1"/>
    <row r="148" ht="18.75" customHeight="1"/>
    <row r="149" ht="18.75" customHeight="1"/>
    <row r="150" ht="18.75" customHeight="1"/>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3"/>
  <hyperlinks>
    <hyperlink ref="E138" r:id="rId1" display="http://www-mmds.sigmath.es.osaka-u.ac.jp/structure/suuridsaitorikumi.pdf" xr:uid="{896A7A6D-4BC8-46AF-8604-DBFED18B9A4F}"/>
  </hyperlinks>
  <printOptions horizontalCentered="1"/>
  <pageMargins left="0.78740157480314965" right="0.78740157480314965" top="0.59055118110236227" bottom="0.39370078740157483" header="0.31496062992125984" footer="0.31496062992125984"/>
  <pageSetup paperSize="9" scale="61" fitToHeight="3" orientation="portrait" horizontalDpi="300" verticalDpi="300" copies="4" r:id="rId2"/>
  <rowBreaks count="2" manualBreakCount="2">
    <brk id="50" max="16383" man="1"/>
    <brk id="10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8"/>
  <sheetViews>
    <sheetView showZeros="0" zoomScaleNormal="100" workbookViewId="0">
      <selection activeCell="G4" sqref="G4"/>
    </sheetView>
  </sheetViews>
  <sheetFormatPr defaultColWidth="11.375" defaultRowHeight="18.75" customHeight="1"/>
  <cols>
    <col min="1" max="1" width="2.625" style="66" customWidth="1"/>
    <col min="2" max="2" width="54.125" style="1" customWidth="1"/>
    <col min="3" max="3" width="1.125" style="1" customWidth="1"/>
    <col min="4" max="4" width="22.5" style="1" customWidth="1"/>
    <col min="5" max="5" width="6.125" style="1" customWidth="1"/>
    <col min="6" max="16384" width="11.375" style="1"/>
  </cols>
  <sheetData>
    <row r="1" spans="1:5" ht="18.75" customHeight="1">
      <c r="B1" s="93"/>
      <c r="C1" s="93"/>
      <c r="D1" s="93"/>
      <c r="E1" s="112" t="s">
        <v>186</v>
      </c>
    </row>
    <row r="2" spans="1:5" ht="18.75" customHeight="1">
      <c r="B2" s="112" t="s">
        <v>187</v>
      </c>
      <c r="C2" s="112" t="s">
        <v>188</v>
      </c>
      <c r="D2" s="292" t="s">
        <v>68</v>
      </c>
      <c r="E2" s="292"/>
    </row>
    <row r="3" spans="1:5" ht="7.5" customHeight="1">
      <c r="B3" s="112"/>
      <c r="C3" s="112"/>
      <c r="D3" s="116"/>
      <c r="E3" s="116"/>
    </row>
    <row r="4" spans="1:5" ht="18.75" customHeight="1">
      <c r="B4" s="147" t="s">
        <v>189</v>
      </c>
      <c r="C4" s="147"/>
      <c r="D4" s="147"/>
      <c r="E4" s="147"/>
    </row>
    <row r="5" spans="1:5" ht="7.5" customHeight="1">
      <c r="B5" s="109"/>
      <c r="C5" s="109"/>
      <c r="D5" s="109"/>
      <c r="E5" s="109"/>
    </row>
    <row r="6" spans="1:5" ht="18.75" customHeight="1">
      <c r="A6" s="98" t="s">
        <v>2</v>
      </c>
      <c r="B6" s="2" t="s">
        <v>190</v>
      </c>
      <c r="C6" s="109"/>
      <c r="D6" s="109"/>
      <c r="E6" s="109"/>
    </row>
    <row r="7" spans="1:5" ht="18.75" customHeight="1">
      <c r="A7" s="98"/>
      <c r="B7" s="134" t="s">
        <v>191</v>
      </c>
      <c r="C7" s="135"/>
      <c r="D7" s="135"/>
      <c r="E7" s="148"/>
    </row>
    <row r="8" spans="1:5" ht="7.5" customHeight="1">
      <c r="B8" s="109"/>
      <c r="C8" s="109"/>
      <c r="D8" s="109"/>
      <c r="E8" s="109"/>
    </row>
    <row r="9" spans="1:5" s="2" customFormat="1" ht="18.75" customHeight="1">
      <c r="A9" s="98" t="s">
        <v>5</v>
      </c>
      <c r="B9" s="98" t="s">
        <v>192</v>
      </c>
      <c r="C9" s="98"/>
      <c r="D9" s="98"/>
      <c r="E9" s="98"/>
    </row>
    <row r="10" spans="1:5" s="3" customFormat="1" ht="18.75" customHeight="1">
      <c r="A10" s="111"/>
      <c r="B10" s="293" t="s">
        <v>193</v>
      </c>
      <c r="C10" s="294"/>
      <c r="D10" s="294"/>
      <c r="E10" s="295"/>
    </row>
    <row r="11" spans="1:5" s="3" customFormat="1" ht="18.75" customHeight="1">
      <c r="A11" s="111"/>
      <c r="B11" s="296"/>
      <c r="C11" s="297"/>
      <c r="D11" s="297"/>
      <c r="E11" s="298"/>
    </row>
    <row r="12" spans="1:5" s="3" customFormat="1" ht="18.75" customHeight="1">
      <c r="A12" s="111"/>
      <c r="B12" s="296"/>
      <c r="C12" s="297"/>
      <c r="D12" s="297"/>
      <c r="E12" s="298"/>
    </row>
    <row r="13" spans="1:5" s="3" customFormat="1" ht="18.75" customHeight="1">
      <c r="A13" s="111"/>
      <c r="B13" s="296"/>
      <c r="C13" s="297"/>
      <c r="D13" s="297"/>
      <c r="E13" s="298"/>
    </row>
    <row r="14" spans="1:5" s="3" customFormat="1" ht="18.75" customHeight="1">
      <c r="A14" s="111"/>
      <c r="B14" s="299"/>
      <c r="C14" s="300"/>
      <c r="D14" s="300"/>
      <c r="E14" s="301"/>
    </row>
    <row r="15" spans="1:5" s="3" customFormat="1" ht="7.5" customHeight="1">
      <c r="A15" s="111"/>
      <c r="B15" s="111"/>
      <c r="C15" s="111"/>
      <c r="D15" s="111"/>
      <c r="E15" s="111"/>
    </row>
    <row r="16" spans="1:5" s="2" customFormat="1" ht="18.75" customHeight="1">
      <c r="A16" s="4" t="s">
        <v>8</v>
      </c>
      <c r="B16" s="4" t="s">
        <v>194</v>
      </c>
      <c r="C16" s="4"/>
      <c r="D16" s="4"/>
      <c r="E16" s="4"/>
    </row>
    <row r="17" spans="1:5" s="3" customFormat="1" ht="18.75" customHeight="1">
      <c r="A17" s="111"/>
      <c r="B17" s="274" t="s">
        <v>195</v>
      </c>
      <c r="C17" s="283"/>
      <c r="D17" s="283"/>
      <c r="E17" s="284"/>
    </row>
    <row r="18" spans="1:5" s="3" customFormat="1" ht="18.75" customHeight="1">
      <c r="A18" s="111"/>
      <c r="B18" s="285"/>
      <c r="C18" s="286"/>
      <c r="D18" s="286"/>
      <c r="E18" s="287"/>
    </row>
    <row r="19" spans="1:5" s="3" customFormat="1" ht="18.75" customHeight="1">
      <c r="A19" s="111"/>
      <c r="B19" s="285"/>
      <c r="C19" s="286"/>
      <c r="D19" s="286"/>
      <c r="E19" s="287"/>
    </row>
    <row r="20" spans="1:5" s="3" customFormat="1" ht="18.75" customHeight="1">
      <c r="A20" s="111"/>
      <c r="B20" s="285"/>
      <c r="C20" s="286"/>
      <c r="D20" s="286"/>
      <c r="E20" s="287"/>
    </row>
    <row r="21" spans="1:5" s="3" customFormat="1" ht="18.75" customHeight="1">
      <c r="A21" s="111"/>
      <c r="B21" s="285"/>
      <c r="C21" s="286"/>
      <c r="D21" s="286"/>
      <c r="E21" s="287"/>
    </row>
    <row r="22" spans="1:5" s="3" customFormat="1" ht="18.75" customHeight="1">
      <c r="A22" s="111"/>
      <c r="B22" s="285"/>
      <c r="C22" s="286"/>
      <c r="D22" s="286"/>
      <c r="E22" s="287"/>
    </row>
    <row r="23" spans="1:5" s="3" customFormat="1" ht="18.75" customHeight="1">
      <c r="A23" s="111"/>
      <c r="B23" s="285"/>
      <c r="C23" s="286"/>
      <c r="D23" s="286"/>
      <c r="E23" s="287"/>
    </row>
    <row r="24" spans="1:5" s="3" customFormat="1" ht="18.75" customHeight="1">
      <c r="A24" s="111"/>
      <c r="B24" s="285"/>
      <c r="C24" s="286"/>
      <c r="D24" s="286"/>
      <c r="E24" s="287"/>
    </row>
    <row r="25" spans="1:5" s="3" customFormat="1" ht="18.75" customHeight="1">
      <c r="A25" s="111"/>
      <c r="B25" s="285"/>
      <c r="C25" s="286"/>
      <c r="D25" s="286"/>
      <c r="E25" s="287"/>
    </row>
    <row r="26" spans="1:5" s="3" customFormat="1" ht="18.75" customHeight="1">
      <c r="A26" s="111"/>
      <c r="B26" s="285"/>
      <c r="C26" s="286"/>
      <c r="D26" s="286"/>
      <c r="E26" s="287"/>
    </row>
    <row r="27" spans="1:5" s="3" customFormat="1" ht="18.75" customHeight="1">
      <c r="A27" s="111"/>
      <c r="B27" s="285"/>
      <c r="C27" s="286"/>
      <c r="D27" s="286"/>
      <c r="E27" s="287"/>
    </row>
    <row r="28" spans="1:5" s="3" customFormat="1" ht="18.75" customHeight="1">
      <c r="A28" s="111"/>
      <c r="B28" s="288"/>
      <c r="C28" s="289"/>
      <c r="D28" s="289"/>
      <c r="E28" s="290"/>
    </row>
    <row r="29" spans="1:5" ht="7.5" customHeight="1">
      <c r="A29" s="67"/>
      <c r="B29" s="67"/>
      <c r="C29" s="67"/>
      <c r="D29" s="67"/>
      <c r="E29" s="67"/>
    </row>
    <row r="30" spans="1:5" s="2" customFormat="1" ht="18.75" customHeight="1">
      <c r="A30" s="98" t="s">
        <v>11</v>
      </c>
      <c r="B30" s="98" t="s">
        <v>196</v>
      </c>
      <c r="C30" s="98"/>
      <c r="D30" s="98"/>
      <c r="E30" s="98"/>
    </row>
    <row r="31" spans="1:5" s="2" customFormat="1" ht="18.75" customHeight="1">
      <c r="A31" s="98"/>
      <c r="B31" s="274" t="s">
        <v>197</v>
      </c>
      <c r="C31" s="283"/>
      <c r="D31" s="283"/>
      <c r="E31" s="284"/>
    </row>
    <row r="32" spans="1:5" s="2" customFormat="1" ht="18.75" customHeight="1">
      <c r="A32" s="98"/>
      <c r="B32" s="285"/>
      <c r="C32" s="286"/>
      <c r="D32" s="286"/>
      <c r="E32" s="287"/>
    </row>
    <row r="33" spans="1:5" s="2" customFormat="1" ht="18.75" customHeight="1">
      <c r="A33" s="98"/>
      <c r="B33" s="285"/>
      <c r="C33" s="286"/>
      <c r="D33" s="286"/>
      <c r="E33" s="287"/>
    </row>
    <row r="34" spans="1:5" s="2" customFormat="1" ht="18.75" customHeight="1">
      <c r="A34" s="98"/>
      <c r="B34" s="285"/>
      <c r="C34" s="286"/>
      <c r="D34" s="286"/>
      <c r="E34" s="287"/>
    </row>
    <row r="35" spans="1:5" s="2" customFormat="1" ht="18.75" customHeight="1">
      <c r="A35" s="98"/>
      <c r="B35" s="285"/>
      <c r="C35" s="286"/>
      <c r="D35" s="286"/>
      <c r="E35" s="287"/>
    </row>
    <row r="36" spans="1:5" s="2" customFormat="1" ht="18.75" customHeight="1">
      <c r="A36" s="98"/>
      <c r="B36" s="285"/>
      <c r="C36" s="286"/>
      <c r="D36" s="286"/>
      <c r="E36" s="287"/>
    </row>
    <row r="37" spans="1:5" s="2" customFormat="1" ht="18.75" customHeight="1">
      <c r="A37" s="98"/>
      <c r="B37" s="285"/>
      <c r="C37" s="286"/>
      <c r="D37" s="286"/>
      <c r="E37" s="287"/>
    </row>
    <row r="38" spans="1:5" s="2" customFormat="1" ht="18.75" customHeight="1">
      <c r="A38" s="98"/>
      <c r="B38" s="285"/>
      <c r="C38" s="286"/>
      <c r="D38" s="286"/>
      <c r="E38" s="287"/>
    </row>
    <row r="39" spans="1:5" s="2" customFormat="1" ht="18.75" customHeight="1">
      <c r="A39" s="98"/>
      <c r="B39" s="285"/>
      <c r="C39" s="286"/>
      <c r="D39" s="286"/>
      <c r="E39" s="287"/>
    </row>
    <row r="40" spans="1:5" s="2" customFormat="1" ht="18.75" customHeight="1">
      <c r="A40" s="98"/>
      <c r="B40" s="285"/>
      <c r="C40" s="286"/>
      <c r="D40" s="286"/>
      <c r="E40" s="287"/>
    </row>
    <row r="41" spans="1:5" s="2" customFormat="1" ht="18.75" customHeight="1">
      <c r="A41" s="98"/>
      <c r="B41" s="285"/>
      <c r="C41" s="286"/>
      <c r="D41" s="286"/>
      <c r="E41" s="287"/>
    </row>
    <row r="42" spans="1:5" s="2" customFormat="1" ht="18.75" customHeight="1">
      <c r="A42" s="98"/>
      <c r="B42" s="285"/>
      <c r="C42" s="286"/>
      <c r="D42" s="286"/>
      <c r="E42" s="287"/>
    </row>
    <row r="43" spans="1:5" s="2" customFormat="1" ht="18.75" customHeight="1">
      <c r="A43" s="98"/>
      <c r="B43" s="285"/>
      <c r="C43" s="286"/>
      <c r="D43" s="286"/>
      <c r="E43" s="287"/>
    </row>
    <row r="44" spans="1:5" s="2" customFormat="1" ht="18.75" customHeight="1">
      <c r="A44" s="98"/>
      <c r="B44" s="285"/>
      <c r="C44" s="286"/>
      <c r="D44" s="286"/>
      <c r="E44" s="287"/>
    </row>
    <row r="45" spans="1:5" ht="18.75" customHeight="1">
      <c r="A45" s="67"/>
      <c r="B45" s="285"/>
      <c r="C45" s="286"/>
      <c r="D45" s="286"/>
      <c r="E45" s="287"/>
    </row>
    <row r="46" spans="1:5" ht="18.75" customHeight="1">
      <c r="A46" s="67"/>
      <c r="B46" s="288"/>
      <c r="C46" s="289"/>
      <c r="D46" s="289"/>
      <c r="E46" s="290"/>
    </row>
    <row r="47" spans="1:5" s="2" customFormat="1" ht="18.75" customHeight="1">
      <c r="A47" s="99" t="s">
        <v>14</v>
      </c>
      <c r="B47" s="88" t="s">
        <v>198</v>
      </c>
      <c r="C47" s="89"/>
      <c r="D47" s="89"/>
      <c r="E47" s="89"/>
    </row>
    <row r="48" spans="1:5" ht="18.75" customHeight="1">
      <c r="A48" s="67"/>
      <c r="B48" s="274" t="s">
        <v>199</v>
      </c>
      <c r="C48" s="275"/>
      <c r="D48" s="275"/>
      <c r="E48" s="276"/>
    </row>
    <row r="49" spans="1:5" ht="18.75" customHeight="1">
      <c r="A49" s="67"/>
      <c r="B49" s="277"/>
      <c r="C49" s="278"/>
      <c r="D49" s="278"/>
      <c r="E49" s="279"/>
    </row>
    <row r="50" spans="1:5" ht="18.75" customHeight="1">
      <c r="A50" s="67"/>
      <c r="B50" s="277"/>
      <c r="C50" s="278"/>
      <c r="D50" s="278"/>
      <c r="E50" s="279"/>
    </row>
    <row r="51" spans="1:5" ht="18.75" customHeight="1">
      <c r="A51" s="67"/>
      <c r="B51" s="277"/>
      <c r="C51" s="278"/>
      <c r="D51" s="278"/>
      <c r="E51" s="279"/>
    </row>
    <row r="52" spans="1:5" ht="18.75" customHeight="1">
      <c r="A52" s="67"/>
      <c r="B52" s="277"/>
      <c r="C52" s="278"/>
      <c r="D52" s="278"/>
      <c r="E52" s="279"/>
    </row>
    <row r="53" spans="1:5" ht="18.75" customHeight="1">
      <c r="A53" s="67"/>
      <c r="B53" s="277"/>
      <c r="C53" s="278"/>
      <c r="D53" s="278"/>
      <c r="E53" s="279"/>
    </row>
    <row r="54" spans="1:5" ht="18.75" customHeight="1">
      <c r="A54" s="67"/>
      <c r="B54" s="277"/>
      <c r="C54" s="278"/>
      <c r="D54" s="278"/>
      <c r="E54" s="279"/>
    </row>
    <row r="55" spans="1:5" ht="18.75" customHeight="1">
      <c r="A55" s="67"/>
      <c r="B55" s="277"/>
      <c r="C55" s="278"/>
      <c r="D55" s="278"/>
      <c r="E55" s="279"/>
    </row>
    <row r="56" spans="1:5" ht="18.75" customHeight="1">
      <c r="A56" s="67"/>
      <c r="B56" s="277"/>
      <c r="C56" s="278"/>
      <c r="D56" s="278"/>
      <c r="E56" s="279"/>
    </row>
    <row r="57" spans="1:5" ht="18.75" customHeight="1">
      <c r="A57" s="67"/>
      <c r="B57" s="277"/>
      <c r="C57" s="278"/>
      <c r="D57" s="278"/>
      <c r="E57" s="279"/>
    </row>
    <row r="58" spans="1:5" ht="18.75" customHeight="1">
      <c r="A58" s="67"/>
      <c r="B58" s="277"/>
      <c r="C58" s="278"/>
      <c r="D58" s="278"/>
      <c r="E58" s="279"/>
    </row>
    <row r="59" spans="1:5" ht="18.75" customHeight="1">
      <c r="A59" s="67"/>
      <c r="B59" s="277"/>
      <c r="C59" s="278"/>
      <c r="D59" s="278"/>
      <c r="E59" s="279"/>
    </row>
    <row r="60" spans="1:5" ht="18.75" customHeight="1">
      <c r="A60" s="67"/>
      <c r="B60" s="277"/>
      <c r="C60" s="278"/>
      <c r="D60" s="278"/>
      <c r="E60" s="279"/>
    </row>
    <row r="61" spans="1:5" ht="18.75" customHeight="1">
      <c r="A61" s="67"/>
      <c r="B61" s="277"/>
      <c r="C61" s="278"/>
      <c r="D61" s="278"/>
      <c r="E61" s="279"/>
    </row>
    <row r="62" spans="1:5" ht="18.75" customHeight="1">
      <c r="A62" s="67"/>
      <c r="B62" s="277"/>
      <c r="C62" s="278"/>
      <c r="D62" s="278"/>
      <c r="E62" s="279"/>
    </row>
    <row r="63" spans="1:5" ht="18.75" customHeight="1">
      <c r="A63" s="67"/>
      <c r="B63" s="277"/>
      <c r="C63" s="278"/>
      <c r="D63" s="278"/>
      <c r="E63" s="279"/>
    </row>
    <row r="64" spans="1:5" ht="18.75" customHeight="1">
      <c r="A64" s="67"/>
      <c r="B64" s="277"/>
      <c r="C64" s="278"/>
      <c r="D64" s="278"/>
      <c r="E64" s="279"/>
    </row>
    <row r="65" spans="1:5" ht="18.75" customHeight="1">
      <c r="A65" s="67"/>
      <c r="B65" s="277"/>
      <c r="C65" s="278"/>
      <c r="D65" s="278"/>
      <c r="E65" s="279"/>
    </row>
    <row r="66" spans="1:5" ht="18.75" customHeight="1">
      <c r="A66" s="67"/>
      <c r="B66" s="277"/>
      <c r="C66" s="278"/>
      <c r="D66" s="278"/>
      <c r="E66" s="279"/>
    </row>
    <row r="67" spans="1:5" ht="18.75" customHeight="1">
      <c r="A67" s="67"/>
      <c r="B67" s="277"/>
      <c r="C67" s="278"/>
      <c r="D67" s="278"/>
      <c r="E67" s="279"/>
    </row>
    <row r="68" spans="1:5" ht="18.75" customHeight="1">
      <c r="A68" s="67"/>
      <c r="B68" s="280"/>
      <c r="C68" s="281"/>
      <c r="D68" s="281"/>
      <c r="E68" s="282"/>
    </row>
    <row r="69" spans="1:5" ht="7.5" customHeight="1">
      <c r="A69" s="67"/>
      <c r="B69" s="90"/>
      <c r="C69" s="90"/>
      <c r="D69" s="90"/>
      <c r="E69" s="90"/>
    </row>
    <row r="70" spans="1:5" s="2" customFormat="1" ht="18.75" customHeight="1">
      <c r="A70" s="98" t="s">
        <v>17</v>
      </c>
      <c r="B70" s="88" t="s">
        <v>200</v>
      </c>
      <c r="C70" s="88"/>
      <c r="D70" s="88"/>
      <c r="E70" s="88"/>
    </row>
    <row r="71" spans="1:5" s="2" customFormat="1" ht="18.75" customHeight="1">
      <c r="A71" s="98"/>
      <c r="B71" s="274" t="s">
        <v>201</v>
      </c>
      <c r="C71" s="283"/>
      <c r="D71" s="283"/>
      <c r="E71" s="284"/>
    </row>
    <row r="72" spans="1:5" s="2" customFormat="1" ht="18.75" customHeight="1">
      <c r="A72" s="98"/>
      <c r="B72" s="285"/>
      <c r="C72" s="286"/>
      <c r="D72" s="286"/>
      <c r="E72" s="287"/>
    </row>
    <row r="73" spans="1:5" s="2" customFormat="1" ht="18.75" customHeight="1">
      <c r="A73" s="98"/>
      <c r="B73" s="285"/>
      <c r="C73" s="286"/>
      <c r="D73" s="286"/>
      <c r="E73" s="287"/>
    </row>
    <row r="74" spans="1:5" s="2" customFormat="1" ht="18.75" customHeight="1">
      <c r="A74" s="98"/>
      <c r="B74" s="285"/>
      <c r="C74" s="286"/>
      <c r="D74" s="286"/>
      <c r="E74" s="287"/>
    </row>
    <row r="75" spans="1:5" s="2" customFormat="1" ht="18.75" customHeight="1">
      <c r="A75" s="98"/>
      <c r="B75" s="285"/>
      <c r="C75" s="286"/>
      <c r="D75" s="286"/>
      <c r="E75" s="287"/>
    </row>
    <row r="76" spans="1:5" s="2" customFormat="1" ht="18.75" customHeight="1">
      <c r="A76" s="98"/>
      <c r="B76" s="285"/>
      <c r="C76" s="286"/>
      <c r="D76" s="286"/>
      <c r="E76" s="287"/>
    </row>
    <row r="77" spans="1:5" s="2" customFormat="1" ht="18.75" customHeight="1">
      <c r="A77" s="98"/>
      <c r="B77" s="285"/>
      <c r="C77" s="286"/>
      <c r="D77" s="286"/>
      <c r="E77" s="287"/>
    </row>
    <row r="78" spans="1:5" s="2" customFormat="1" ht="18.75" customHeight="1">
      <c r="A78" s="98"/>
      <c r="B78" s="285"/>
      <c r="C78" s="286"/>
      <c r="D78" s="286"/>
      <c r="E78" s="287"/>
    </row>
    <row r="79" spans="1:5" s="2" customFormat="1" ht="18.75" customHeight="1">
      <c r="A79" s="98"/>
      <c r="B79" s="285"/>
      <c r="C79" s="286"/>
      <c r="D79" s="286"/>
      <c r="E79" s="287"/>
    </row>
    <row r="80" spans="1:5" s="2" customFormat="1" ht="18.75" customHeight="1">
      <c r="A80" s="98"/>
      <c r="B80" s="285"/>
      <c r="C80" s="286"/>
      <c r="D80" s="286"/>
      <c r="E80" s="287"/>
    </row>
    <row r="81" spans="1:5" s="2" customFormat="1" ht="18.75" customHeight="1">
      <c r="A81" s="98"/>
      <c r="B81" s="285"/>
      <c r="C81" s="286"/>
      <c r="D81" s="286"/>
      <c r="E81" s="287"/>
    </row>
    <row r="82" spans="1:5" s="2" customFormat="1" ht="18.75" customHeight="1">
      <c r="A82" s="98"/>
      <c r="B82" s="285"/>
      <c r="C82" s="286"/>
      <c r="D82" s="286"/>
      <c r="E82" s="287"/>
    </row>
    <row r="83" spans="1:5" s="2" customFormat="1" ht="18.75" customHeight="1">
      <c r="A83" s="98"/>
      <c r="B83" s="285"/>
      <c r="C83" s="286"/>
      <c r="D83" s="286"/>
      <c r="E83" s="287"/>
    </row>
    <row r="84" spans="1:5" s="2" customFormat="1" ht="18.75" customHeight="1">
      <c r="A84" s="98"/>
      <c r="B84" s="285"/>
      <c r="C84" s="286"/>
      <c r="D84" s="286"/>
      <c r="E84" s="287"/>
    </row>
    <row r="85" spans="1:5" s="2" customFormat="1" ht="18.75" customHeight="1">
      <c r="A85" s="98"/>
      <c r="B85" s="285"/>
      <c r="C85" s="286"/>
      <c r="D85" s="286"/>
      <c r="E85" s="287"/>
    </row>
    <row r="86" spans="1:5" s="2" customFormat="1" ht="18.75" customHeight="1">
      <c r="A86" s="98"/>
      <c r="B86" s="285"/>
      <c r="C86" s="286"/>
      <c r="D86" s="286"/>
      <c r="E86" s="287"/>
    </row>
    <row r="87" spans="1:5" s="2" customFormat="1" ht="18.75" customHeight="1">
      <c r="A87" s="98"/>
      <c r="B87" s="285"/>
      <c r="C87" s="286"/>
      <c r="D87" s="286"/>
      <c r="E87" s="287"/>
    </row>
    <row r="88" spans="1:5" ht="18.75" customHeight="1">
      <c r="A88" s="67"/>
      <c r="B88" s="285"/>
      <c r="C88" s="286"/>
      <c r="D88" s="286"/>
      <c r="E88" s="287"/>
    </row>
    <row r="89" spans="1:5" ht="18.75" customHeight="1">
      <c r="A89" s="67"/>
      <c r="B89" s="288"/>
      <c r="C89" s="289"/>
      <c r="D89" s="289"/>
      <c r="E89" s="290"/>
    </row>
    <row r="90" spans="1:5" ht="7.5" customHeight="1">
      <c r="A90" s="67"/>
      <c r="B90" s="90"/>
      <c r="C90" s="90"/>
      <c r="D90" s="90"/>
      <c r="E90" s="90"/>
    </row>
    <row r="91" spans="1:5" s="2" customFormat="1" ht="18.75" customHeight="1">
      <c r="A91" s="98" t="s">
        <v>20</v>
      </c>
      <c r="B91" s="88" t="s">
        <v>202</v>
      </c>
      <c r="C91" s="88"/>
      <c r="D91" s="88"/>
      <c r="E91" s="88"/>
    </row>
    <row r="92" spans="1:5" s="2" customFormat="1" ht="18.75" customHeight="1">
      <c r="A92" s="98"/>
      <c r="B92" s="274" t="s">
        <v>203</v>
      </c>
      <c r="C92" s="283"/>
      <c r="D92" s="283"/>
      <c r="E92" s="284"/>
    </row>
    <row r="93" spans="1:5" s="2" customFormat="1" ht="18.75" customHeight="1">
      <c r="A93" s="98"/>
      <c r="B93" s="285"/>
      <c r="C93" s="286"/>
      <c r="D93" s="286"/>
      <c r="E93" s="287"/>
    </row>
    <row r="94" spans="1:5" s="2" customFormat="1" ht="18.75" customHeight="1">
      <c r="A94" s="98"/>
      <c r="B94" s="285"/>
      <c r="C94" s="286"/>
      <c r="D94" s="286"/>
      <c r="E94" s="287"/>
    </row>
    <row r="95" spans="1:5" s="2" customFormat="1" ht="18.75" customHeight="1">
      <c r="A95" s="98"/>
      <c r="B95" s="285"/>
      <c r="C95" s="286"/>
      <c r="D95" s="286"/>
      <c r="E95" s="287"/>
    </row>
    <row r="96" spans="1:5" s="2" customFormat="1" ht="18.75" customHeight="1">
      <c r="A96" s="98"/>
      <c r="B96" s="285"/>
      <c r="C96" s="286"/>
      <c r="D96" s="286"/>
      <c r="E96" s="287"/>
    </row>
    <row r="97" spans="1:5" s="2" customFormat="1" ht="18.75" customHeight="1">
      <c r="A97" s="98"/>
      <c r="B97" s="285"/>
      <c r="C97" s="286"/>
      <c r="D97" s="286"/>
      <c r="E97" s="287"/>
    </row>
    <row r="98" spans="1:5" s="2" customFormat="1" ht="18.75" customHeight="1">
      <c r="A98" s="98"/>
      <c r="B98" s="285"/>
      <c r="C98" s="286"/>
      <c r="D98" s="286"/>
      <c r="E98" s="287"/>
    </row>
    <row r="99" spans="1:5" s="2" customFormat="1" ht="18.75" customHeight="1">
      <c r="A99" s="98"/>
      <c r="B99" s="285"/>
      <c r="C99" s="286"/>
      <c r="D99" s="286"/>
      <c r="E99" s="287"/>
    </row>
    <row r="100" spans="1:5" s="2" customFormat="1" ht="18.75" customHeight="1">
      <c r="A100" s="98"/>
      <c r="B100" s="285"/>
      <c r="C100" s="286"/>
      <c r="D100" s="286"/>
      <c r="E100" s="287"/>
    </row>
    <row r="101" spans="1:5" s="2" customFormat="1" ht="18.75" customHeight="1">
      <c r="A101" s="98"/>
      <c r="B101" s="285"/>
      <c r="C101" s="286"/>
      <c r="D101" s="286"/>
      <c r="E101" s="287"/>
    </row>
    <row r="102" spans="1:5" s="2" customFormat="1" ht="18.75" customHeight="1">
      <c r="A102" s="98"/>
      <c r="B102" s="285"/>
      <c r="C102" s="286"/>
      <c r="D102" s="286"/>
      <c r="E102" s="287"/>
    </row>
    <row r="103" spans="1:5" s="2" customFormat="1" ht="18.75" customHeight="1">
      <c r="A103" s="98"/>
      <c r="B103" s="285"/>
      <c r="C103" s="286"/>
      <c r="D103" s="286"/>
      <c r="E103" s="287"/>
    </row>
    <row r="104" spans="1:5" s="2" customFormat="1" ht="18.75" customHeight="1">
      <c r="A104" s="98"/>
      <c r="B104" s="285"/>
      <c r="C104" s="286"/>
      <c r="D104" s="286"/>
      <c r="E104" s="287"/>
    </row>
    <row r="105" spans="1:5" s="2" customFormat="1" ht="18.75" customHeight="1">
      <c r="A105" s="98"/>
      <c r="B105" s="285"/>
      <c r="C105" s="286"/>
      <c r="D105" s="286"/>
      <c r="E105" s="287"/>
    </row>
    <row r="106" spans="1:5" s="2" customFormat="1" ht="18.75" customHeight="1">
      <c r="A106" s="98"/>
      <c r="B106" s="285"/>
      <c r="C106" s="286"/>
      <c r="D106" s="286"/>
      <c r="E106" s="287"/>
    </row>
    <row r="107" spans="1:5" s="2" customFormat="1" ht="18.75" customHeight="1">
      <c r="A107" s="98"/>
      <c r="B107" s="285"/>
      <c r="C107" s="286"/>
      <c r="D107" s="286"/>
      <c r="E107" s="287"/>
    </row>
    <row r="108" spans="1:5" s="2" customFormat="1" ht="18.75" customHeight="1">
      <c r="A108" s="98"/>
      <c r="B108" s="285"/>
      <c r="C108" s="286"/>
      <c r="D108" s="286"/>
      <c r="E108" s="287"/>
    </row>
    <row r="109" spans="1:5" s="2" customFormat="1" ht="18.75" customHeight="1">
      <c r="A109" s="98"/>
      <c r="B109" s="285"/>
      <c r="C109" s="286"/>
      <c r="D109" s="286"/>
      <c r="E109" s="287"/>
    </row>
    <row r="110" spans="1:5" ht="18.75" customHeight="1">
      <c r="A110" s="67"/>
      <c r="B110" s="285"/>
      <c r="C110" s="286"/>
      <c r="D110" s="286"/>
      <c r="E110" s="287"/>
    </row>
    <row r="111" spans="1:5" ht="18.75" customHeight="1">
      <c r="A111" s="67"/>
      <c r="B111" s="288"/>
      <c r="C111" s="289"/>
      <c r="D111" s="289"/>
      <c r="E111" s="290"/>
    </row>
    <row r="112" spans="1:5" ht="7.5" customHeight="1">
      <c r="A112" s="67"/>
      <c r="B112" s="90"/>
      <c r="C112" s="90"/>
      <c r="D112" s="90"/>
      <c r="E112" s="90"/>
    </row>
    <row r="113" spans="1:5" s="2" customFormat="1" ht="18.75" customHeight="1">
      <c r="A113" s="98" t="s">
        <v>25</v>
      </c>
      <c r="B113" s="291" t="s">
        <v>204</v>
      </c>
      <c r="C113" s="291"/>
      <c r="D113" s="291"/>
      <c r="E113" s="291"/>
    </row>
    <row r="114" spans="1:5" ht="18.75" customHeight="1">
      <c r="A114" s="67"/>
      <c r="B114" s="274" t="s">
        <v>205</v>
      </c>
      <c r="C114" s="283"/>
      <c r="D114" s="283"/>
      <c r="E114" s="284"/>
    </row>
    <row r="115" spans="1:5" ht="18.75" customHeight="1">
      <c r="A115" s="67"/>
      <c r="B115" s="285"/>
      <c r="C115" s="286"/>
      <c r="D115" s="286"/>
      <c r="E115" s="287"/>
    </row>
    <row r="116" spans="1:5" ht="18.75" customHeight="1">
      <c r="A116" s="67"/>
      <c r="B116" s="285"/>
      <c r="C116" s="286"/>
      <c r="D116" s="286"/>
      <c r="E116" s="287"/>
    </row>
    <row r="117" spans="1:5" ht="18.75" customHeight="1">
      <c r="A117" s="67"/>
      <c r="B117" s="285"/>
      <c r="C117" s="286"/>
      <c r="D117" s="286"/>
      <c r="E117" s="287"/>
    </row>
    <row r="118" spans="1:5" ht="18.75" customHeight="1">
      <c r="A118" s="67"/>
      <c r="B118" s="285"/>
      <c r="C118" s="286"/>
      <c r="D118" s="286"/>
      <c r="E118" s="287"/>
    </row>
    <row r="119" spans="1:5" ht="18.75" customHeight="1">
      <c r="A119" s="67"/>
      <c r="B119" s="285"/>
      <c r="C119" s="286"/>
      <c r="D119" s="286"/>
      <c r="E119" s="287"/>
    </row>
    <row r="120" spans="1:5" ht="18.75" customHeight="1">
      <c r="A120" s="67"/>
      <c r="B120" s="285"/>
      <c r="C120" s="286"/>
      <c r="D120" s="286"/>
      <c r="E120" s="287"/>
    </row>
    <row r="121" spans="1:5" ht="18.75" customHeight="1">
      <c r="A121" s="67"/>
      <c r="B121" s="285"/>
      <c r="C121" s="286"/>
      <c r="D121" s="286"/>
      <c r="E121" s="287"/>
    </row>
    <row r="122" spans="1:5" ht="18.75" customHeight="1">
      <c r="A122" s="67"/>
      <c r="B122" s="285"/>
      <c r="C122" s="286"/>
      <c r="D122" s="286"/>
      <c r="E122" s="287"/>
    </row>
    <row r="123" spans="1:5" ht="18.75" customHeight="1">
      <c r="A123" s="67"/>
      <c r="B123" s="285"/>
      <c r="C123" s="286"/>
      <c r="D123" s="286"/>
      <c r="E123" s="287"/>
    </row>
    <row r="124" spans="1:5" ht="18.75" customHeight="1">
      <c r="A124" s="67"/>
      <c r="B124" s="285"/>
      <c r="C124" s="286"/>
      <c r="D124" s="286"/>
      <c r="E124" s="287"/>
    </row>
    <row r="125" spans="1:5" ht="18.75" customHeight="1">
      <c r="A125" s="67"/>
      <c r="B125" s="285"/>
      <c r="C125" s="286"/>
      <c r="D125" s="286"/>
      <c r="E125" s="287"/>
    </row>
    <row r="126" spans="1:5" ht="18.75" customHeight="1">
      <c r="A126" s="67"/>
      <c r="B126" s="285"/>
      <c r="C126" s="286"/>
      <c r="D126" s="286"/>
      <c r="E126" s="287"/>
    </row>
    <row r="127" spans="1:5" ht="18.75" customHeight="1">
      <c r="A127" s="67"/>
      <c r="B127" s="285"/>
      <c r="C127" s="286"/>
      <c r="D127" s="286"/>
      <c r="E127" s="287"/>
    </row>
    <row r="128" spans="1:5" ht="18.75" customHeight="1">
      <c r="A128" s="67"/>
      <c r="B128" s="285"/>
      <c r="C128" s="286"/>
      <c r="D128" s="286"/>
      <c r="E128" s="287"/>
    </row>
    <row r="129" spans="1:5" ht="18.75" customHeight="1">
      <c r="A129" s="67"/>
      <c r="B129" s="285"/>
      <c r="C129" s="286"/>
      <c r="D129" s="286"/>
      <c r="E129" s="287"/>
    </row>
    <row r="130" spans="1:5" ht="18.75" customHeight="1">
      <c r="A130" s="67"/>
      <c r="B130" s="285"/>
      <c r="C130" s="286"/>
      <c r="D130" s="286"/>
      <c r="E130" s="287"/>
    </row>
    <row r="131" spans="1:5" ht="18.75" customHeight="1">
      <c r="A131" s="67"/>
      <c r="B131" s="285"/>
      <c r="C131" s="286"/>
      <c r="D131" s="286"/>
      <c r="E131" s="287"/>
    </row>
    <row r="132" spans="1:5" ht="18.75" customHeight="1">
      <c r="A132" s="67"/>
      <c r="B132" s="285"/>
      <c r="C132" s="286"/>
      <c r="D132" s="286"/>
      <c r="E132" s="287"/>
    </row>
    <row r="133" spans="1:5" ht="18.75" customHeight="1">
      <c r="A133" s="67"/>
      <c r="B133" s="288"/>
      <c r="C133" s="289"/>
      <c r="D133" s="289"/>
      <c r="E133" s="290"/>
    </row>
    <row r="134" spans="1:5" ht="7.5" customHeight="1">
      <c r="A134" s="67"/>
      <c r="B134" s="68"/>
      <c r="C134" s="68"/>
      <c r="D134" s="68"/>
      <c r="E134" s="68"/>
    </row>
    <row r="135" spans="1:5" ht="18.75" customHeight="1">
      <c r="A135" s="67"/>
      <c r="B135" s="67"/>
      <c r="C135" s="67"/>
      <c r="D135" s="67"/>
      <c r="E135" s="67"/>
    </row>
    <row r="136" spans="1:5" ht="18.75" customHeight="1">
      <c r="A136" s="67"/>
      <c r="B136" s="67"/>
      <c r="C136" s="67"/>
      <c r="D136" s="67"/>
      <c r="E136" s="67"/>
    </row>
    <row r="137" spans="1:5" ht="18.75" customHeight="1">
      <c r="A137" s="67"/>
      <c r="B137" s="67"/>
      <c r="C137" s="67"/>
      <c r="D137" s="67"/>
      <c r="E137" s="67"/>
    </row>
    <row r="138" spans="1:5" ht="18.75" customHeight="1">
      <c r="A138" s="67"/>
      <c r="B138" s="67"/>
      <c r="C138" s="67"/>
      <c r="D138" s="67"/>
      <c r="E138" s="67"/>
    </row>
    <row r="139" spans="1:5" ht="18.75" customHeight="1">
      <c r="A139" s="67"/>
      <c r="B139" s="67"/>
      <c r="C139" s="67"/>
      <c r="D139" s="67"/>
      <c r="E139" s="67"/>
    </row>
    <row r="140" spans="1:5" ht="18.75" customHeight="1">
      <c r="A140" s="67"/>
      <c r="B140" s="67"/>
      <c r="C140" s="67"/>
      <c r="D140" s="67"/>
      <c r="E140" s="67"/>
    </row>
    <row r="141" spans="1:5" ht="18.75" customHeight="1">
      <c r="A141" s="67"/>
      <c r="B141" s="67"/>
      <c r="C141" s="67"/>
      <c r="D141" s="67"/>
      <c r="E141" s="67"/>
    </row>
    <row r="142" spans="1:5" ht="18.75" customHeight="1">
      <c r="A142" s="67"/>
      <c r="B142" s="67"/>
      <c r="C142" s="67"/>
      <c r="D142" s="67"/>
      <c r="E142" s="67"/>
    </row>
    <row r="143" spans="1:5" ht="18.75" customHeight="1">
      <c r="A143" s="67"/>
      <c r="B143" s="67"/>
      <c r="C143" s="67"/>
      <c r="D143" s="67"/>
      <c r="E143" s="67"/>
    </row>
    <row r="144" spans="1:5" ht="18.75" customHeight="1">
      <c r="A144" s="67"/>
      <c r="B144" s="67"/>
      <c r="C144" s="67"/>
      <c r="D144" s="67"/>
      <c r="E144" s="67"/>
    </row>
    <row r="145" spans="1:5" ht="18.75" customHeight="1">
      <c r="A145" s="67"/>
      <c r="B145" s="67"/>
      <c r="C145" s="67"/>
      <c r="D145" s="67"/>
      <c r="E145" s="67"/>
    </row>
    <row r="146" spans="1:5" ht="18.75" customHeight="1">
      <c r="A146" s="67"/>
      <c r="B146" s="67"/>
      <c r="C146" s="67"/>
      <c r="D146" s="67"/>
      <c r="E146" s="67"/>
    </row>
    <row r="147" spans="1:5" ht="14.25">
      <c r="A147" s="67"/>
      <c r="B147" s="67"/>
      <c r="C147" s="67"/>
      <c r="D147" s="67"/>
      <c r="E147" s="67"/>
    </row>
    <row r="148" spans="1:5" ht="7.5" customHeight="1">
      <c r="A148" s="69"/>
      <c r="B148" s="69"/>
      <c r="C148" s="69"/>
      <c r="D148" s="69"/>
      <c r="E148" s="69"/>
    </row>
  </sheetData>
  <mergeCells count="11">
    <mergeCell ref="B31:E46"/>
    <mergeCell ref="D2:E2"/>
    <mergeCell ref="B4:E4"/>
    <mergeCell ref="B7:E7"/>
    <mergeCell ref="B10:E14"/>
    <mergeCell ref="B17:E28"/>
    <mergeCell ref="B48:E68"/>
    <mergeCell ref="B71:E89"/>
    <mergeCell ref="B92:E111"/>
    <mergeCell ref="B113:E113"/>
    <mergeCell ref="B114:E133"/>
  </mergeCells>
  <phoneticPr fontId="3"/>
  <printOptions horizontalCentered="1"/>
  <pageMargins left="0.78740157480314965" right="0.78740157480314965" top="0.78740157480314965" bottom="0.39370078740157483" header="0.31496062992125984" footer="0.31496062992125984"/>
  <pageSetup paperSize="9" orientation="portrait" horizontalDpi="300" verticalDpi="300" copies="4" r:id="rId1"/>
  <rowBreaks count="2" manualBreakCount="2">
    <brk id="46" max="4" man="1"/>
    <brk id="89"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28"/>
  <sheetViews>
    <sheetView showZeros="0" topLeftCell="A15" zoomScaleNormal="100" workbookViewId="0">
      <selection activeCell="E16" sqref="E8:J16"/>
    </sheetView>
  </sheetViews>
  <sheetFormatPr defaultColWidth="11.375" defaultRowHeight="22.5" customHeight="1"/>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0" ht="18.75" customHeight="1">
      <c r="A1" s="93"/>
      <c r="B1" s="93"/>
      <c r="C1" s="93"/>
      <c r="D1" s="93"/>
      <c r="E1" s="93"/>
      <c r="F1" s="93"/>
      <c r="G1" s="93"/>
      <c r="H1" s="93"/>
      <c r="I1" s="93"/>
      <c r="J1" s="112" t="s">
        <v>206</v>
      </c>
    </row>
    <row r="2" spans="1:10" ht="18.75" customHeight="1">
      <c r="A2" s="93"/>
      <c r="B2" s="93"/>
      <c r="C2" s="93"/>
      <c r="D2" s="112"/>
      <c r="E2" s="93"/>
      <c r="F2" s="93"/>
      <c r="G2" s="93"/>
      <c r="H2" s="112" t="s">
        <v>207</v>
      </c>
      <c r="I2" s="292" t="s">
        <v>68</v>
      </c>
      <c r="J2" s="292"/>
    </row>
    <row r="3" spans="1:10" ht="18.75" customHeight="1">
      <c r="A3" s="147" t="s">
        <v>208</v>
      </c>
      <c r="B3" s="147"/>
      <c r="C3" s="147"/>
      <c r="D3" s="147"/>
      <c r="E3" s="147"/>
      <c r="F3" s="147"/>
      <c r="G3" s="147"/>
      <c r="H3" s="147"/>
      <c r="I3" s="147"/>
      <c r="J3" s="147"/>
    </row>
    <row r="4" spans="1:10" ht="7.5" customHeight="1">
      <c r="A4" s="93"/>
      <c r="B4" s="120"/>
      <c r="C4" s="120"/>
      <c r="D4" s="326"/>
      <c r="E4" s="327"/>
      <c r="F4" s="327"/>
      <c r="G4" s="327"/>
      <c r="H4" s="327"/>
      <c r="I4" s="327"/>
      <c r="J4" s="327"/>
    </row>
    <row r="5" spans="1:10" ht="18.75" customHeight="1">
      <c r="A5" s="93" t="s">
        <v>2</v>
      </c>
      <c r="B5" s="2" t="s">
        <v>209</v>
      </c>
      <c r="C5" s="120"/>
      <c r="D5" s="120"/>
      <c r="E5" s="121"/>
      <c r="F5" s="121"/>
      <c r="G5" s="121"/>
      <c r="H5" s="121"/>
      <c r="I5" s="121"/>
      <c r="J5" s="121"/>
    </row>
    <row r="6" spans="1:10" ht="18.75" customHeight="1">
      <c r="A6" s="93"/>
      <c r="B6" s="196" t="s">
        <v>210</v>
      </c>
      <c r="C6" s="197"/>
      <c r="D6" s="198"/>
      <c r="E6" s="140" t="s">
        <v>211</v>
      </c>
      <c r="F6" s="140"/>
      <c r="G6" s="140"/>
      <c r="H6" s="140"/>
      <c r="I6" s="140"/>
      <c r="J6" s="141"/>
    </row>
    <row r="7" spans="1:10" ht="18.75" customHeight="1">
      <c r="A7" s="93"/>
      <c r="B7" s="100" t="s">
        <v>212</v>
      </c>
      <c r="C7" s="67"/>
      <c r="D7" s="70"/>
      <c r="E7" s="101"/>
      <c r="F7" s="101"/>
      <c r="G7" s="101"/>
      <c r="H7" s="101"/>
      <c r="I7" s="6"/>
      <c r="J7" s="7"/>
    </row>
    <row r="8" spans="1:10" ht="202.5" customHeight="1">
      <c r="A8" s="93"/>
      <c r="B8" s="71"/>
      <c r="C8" s="315" t="s">
        <v>213</v>
      </c>
      <c r="D8" s="304"/>
      <c r="E8" s="325" t="s">
        <v>214</v>
      </c>
      <c r="F8" s="317"/>
      <c r="G8" s="317"/>
      <c r="H8" s="317"/>
      <c r="I8" s="317"/>
      <c r="J8" s="318"/>
    </row>
    <row r="9" spans="1:10" ht="202.5" customHeight="1">
      <c r="A9" s="93"/>
      <c r="B9" s="71"/>
      <c r="C9" s="323" t="s">
        <v>215</v>
      </c>
      <c r="D9" s="324"/>
      <c r="E9" s="325" t="s">
        <v>216</v>
      </c>
      <c r="F9" s="317"/>
      <c r="G9" s="317"/>
      <c r="H9" s="317"/>
      <c r="I9" s="317"/>
      <c r="J9" s="318"/>
    </row>
    <row r="10" spans="1:10" ht="172.5" customHeight="1">
      <c r="A10" s="93"/>
      <c r="B10" s="71"/>
      <c r="C10" s="315" t="s">
        <v>217</v>
      </c>
      <c r="D10" s="304"/>
      <c r="E10" s="325" t="s">
        <v>218</v>
      </c>
      <c r="F10" s="317"/>
      <c r="G10" s="317"/>
      <c r="H10" s="317"/>
      <c r="I10" s="317"/>
      <c r="J10" s="318"/>
    </row>
    <row r="11" spans="1:10" ht="172.5" customHeight="1">
      <c r="A11" s="93"/>
      <c r="B11" s="71"/>
      <c r="C11" s="315" t="s">
        <v>219</v>
      </c>
      <c r="D11" s="304"/>
      <c r="E11" s="316" t="s">
        <v>220</v>
      </c>
      <c r="F11" s="305"/>
      <c r="G11" s="305"/>
      <c r="H11" s="305"/>
      <c r="I11" s="305"/>
      <c r="J11" s="306"/>
    </row>
    <row r="12" spans="1:10" ht="172.5" customHeight="1">
      <c r="A12" s="93"/>
      <c r="B12" s="71"/>
      <c r="C12" s="315" t="s">
        <v>221</v>
      </c>
      <c r="D12" s="304"/>
      <c r="E12" s="316" t="s">
        <v>222</v>
      </c>
      <c r="F12" s="317"/>
      <c r="G12" s="317"/>
      <c r="H12" s="317"/>
      <c r="I12" s="317"/>
      <c r="J12" s="318"/>
    </row>
    <row r="13" spans="1:10" ht="18.75" customHeight="1">
      <c r="A13" s="93"/>
      <c r="B13" s="102" t="s">
        <v>223</v>
      </c>
      <c r="C13" s="72"/>
      <c r="D13" s="73"/>
      <c r="E13" s="91"/>
      <c r="F13" s="91"/>
      <c r="G13" s="91"/>
      <c r="H13" s="91"/>
      <c r="I13" s="91"/>
      <c r="J13" s="92"/>
    </row>
    <row r="14" spans="1:10" ht="255" customHeight="1">
      <c r="A14" s="93"/>
      <c r="B14" s="71"/>
      <c r="C14" s="315" t="s">
        <v>224</v>
      </c>
      <c r="D14" s="304"/>
      <c r="E14" s="305" t="s">
        <v>225</v>
      </c>
      <c r="F14" s="305"/>
      <c r="G14" s="305"/>
      <c r="H14" s="305"/>
      <c r="I14" s="305"/>
      <c r="J14" s="306"/>
    </row>
    <row r="15" spans="1:10" ht="255" customHeight="1">
      <c r="A15" s="93"/>
      <c r="B15" s="71"/>
      <c r="C15" s="319" t="s">
        <v>226</v>
      </c>
      <c r="D15" s="320"/>
      <c r="E15" s="321" t="s">
        <v>227</v>
      </c>
      <c r="F15" s="321"/>
      <c r="G15" s="321"/>
      <c r="H15" s="321"/>
      <c r="I15" s="321"/>
      <c r="J15" s="322"/>
    </row>
    <row r="16" spans="1:10" ht="232.5" customHeight="1">
      <c r="A16" s="93"/>
      <c r="B16" s="302" t="s">
        <v>228</v>
      </c>
      <c r="C16" s="303"/>
      <c r="D16" s="304"/>
      <c r="E16" s="305" t="s">
        <v>229</v>
      </c>
      <c r="F16" s="305"/>
      <c r="G16" s="305"/>
      <c r="H16" s="305"/>
      <c r="I16" s="305"/>
      <c r="J16" s="306"/>
    </row>
    <row r="17" spans="1:10" ht="232.5" customHeight="1">
      <c r="A17" s="19"/>
      <c r="B17" s="307" t="s">
        <v>230</v>
      </c>
      <c r="C17" s="308"/>
      <c r="D17" s="309"/>
      <c r="E17" s="310" t="s">
        <v>231</v>
      </c>
      <c r="F17" s="310"/>
      <c r="G17" s="310"/>
      <c r="H17" s="310"/>
      <c r="I17" s="310"/>
      <c r="J17" s="311"/>
    </row>
    <row r="18" spans="1:10" ht="7.5" customHeight="1">
      <c r="A18" s="93"/>
      <c r="B18" s="120"/>
      <c r="C18" s="120"/>
      <c r="D18" s="120"/>
      <c r="E18" s="121"/>
      <c r="F18" s="121"/>
      <c r="G18" s="121"/>
      <c r="H18" s="121"/>
      <c r="I18" s="121"/>
      <c r="J18" s="121"/>
    </row>
    <row r="19" spans="1:10" ht="18.75" customHeight="1">
      <c r="A19" s="93"/>
      <c r="B19" s="2"/>
      <c r="C19" s="120"/>
      <c r="D19" s="120"/>
      <c r="E19" s="121"/>
      <c r="F19" s="16"/>
      <c r="G19" s="16"/>
      <c r="H19" s="24" t="s">
        <v>232</v>
      </c>
      <c r="I19" s="20"/>
      <c r="J19" s="21"/>
    </row>
    <row r="20" spans="1:10" ht="18.75" customHeight="1">
      <c r="A20" s="101" t="s">
        <v>5</v>
      </c>
      <c r="B20" s="22" t="s">
        <v>233</v>
      </c>
      <c r="C20" s="74"/>
      <c r="D20" s="74"/>
      <c r="E20" s="23"/>
      <c r="F20" s="97" t="s">
        <v>234</v>
      </c>
      <c r="G20" s="16"/>
      <c r="H20" s="312" t="s">
        <v>235</v>
      </c>
      <c r="I20" s="313"/>
      <c r="J20" s="314"/>
    </row>
    <row r="21" spans="1:10" ht="22.5" customHeight="1">
      <c r="A21" s="93"/>
      <c r="B21" s="120"/>
      <c r="C21" s="120"/>
      <c r="D21" s="120"/>
      <c r="E21" s="121"/>
      <c r="F21" s="121"/>
      <c r="G21" s="121"/>
      <c r="H21" s="121"/>
      <c r="I21" s="121"/>
      <c r="J21" s="121"/>
    </row>
    <row r="22" spans="1:10" ht="22.5" customHeight="1">
      <c r="A22" s="93"/>
      <c r="B22" s="120"/>
      <c r="C22" s="120"/>
      <c r="D22" s="120"/>
      <c r="E22" s="121"/>
      <c r="F22" s="121"/>
      <c r="G22" s="121"/>
      <c r="H22" s="121"/>
      <c r="I22" s="121"/>
      <c r="J22" s="121"/>
    </row>
    <row r="23" spans="1:10" ht="22.5" customHeight="1">
      <c r="A23" s="93"/>
      <c r="B23" s="120"/>
      <c r="C23" s="120"/>
      <c r="D23" s="120"/>
      <c r="E23" s="121"/>
      <c r="F23" s="121"/>
      <c r="G23" s="121"/>
      <c r="H23" s="121"/>
      <c r="I23" s="121"/>
      <c r="J23" s="121"/>
    </row>
    <row r="24" spans="1:10" ht="22.5" customHeight="1">
      <c r="A24" s="93"/>
      <c r="B24" s="120"/>
      <c r="C24" s="120"/>
      <c r="D24" s="120"/>
      <c r="E24" s="121"/>
      <c r="F24" s="121"/>
      <c r="G24" s="121"/>
      <c r="H24" s="121"/>
      <c r="I24" s="121"/>
      <c r="J24" s="121"/>
    </row>
    <row r="25" spans="1:10" ht="22.5" customHeight="1">
      <c r="A25" s="93"/>
      <c r="B25" s="120"/>
      <c r="C25" s="120"/>
      <c r="D25" s="120"/>
      <c r="E25" s="121"/>
      <c r="F25" s="121"/>
      <c r="G25" s="121"/>
      <c r="H25" s="121"/>
      <c r="I25" s="121"/>
      <c r="J25" s="121"/>
    </row>
    <row r="26" spans="1:10" ht="22.5" customHeight="1">
      <c r="A26" s="93"/>
      <c r="B26" s="103"/>
      <c r="C26" s="103"/>
      <c r="D26" s="103"/>
      <c r="E26" s="103"/>
      <c r="F26" s="103"/>
      <c r="G26" s="103"/>
      <c r="H26" s="103"/>
      <c r="I26" s="103"/>
      <c r="J26" s="103"/>
    </row>
    <row r="27" spans="1:10" ht="22.5" customHeight="1">
      <c r="A27" s="93"/>
      <c r="B27" s="103"/>
      <c r="C27" s="103"/>
      <c r="D27" s="103"/>
      <c r="E27" s="103"/>
      <c r="F27" s="103"/>
      <c r="G27" s="103"/>
      <c r="H27" s="103"/>
      <c r="I27" s="103"/>
      <c r="J27" s="103"/>
    </row>
    <row r="28" spans="1:10" ht="22.5" customHeight="1">
      <c r="A28" s="93"/>
      <c r="B28" s="103"/>
      <c r="C28" s="103"/>
      <c r="D28" s="103"/>
      <c r="E28" s="103"/>
      <c r="F28" s="103"/>
      <c r="G28" s="103"/>
      <c r="H28" s="103"/>
      <c r="I28" s="103"/>
      <c r="J28" s="103"/>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3"/>
  <dataValidations count="2">
    <dataValidation type="list" allowBlank="1" showInputMessage="1" showErrorMessage="1" sqref="F19:G19" xr:uid="{00000000-0002-0000-0900-000000000000}">
      <formula1>#REF!</formula1>
    </dataValidation>
    <dataValidation type="list" allowBlank="1" showInputMessage="1" showErrorMessage="1" sqref="F20" xr:uid="{00000000-0002-0000-0900-000001000000}">
      <formula1>"有,無,予定"</formula1>
    </dataValidation>
  </dataValidations>
  <hyperlinks>
    <hyperlink ref="H20" r:id="rId1" xr:uid="{00000000-0004-0000-0900-000000000000}"/>
  </hyperlinks>
  <printOptions horizontalCentered="1"/>
  <pageMargins left="0.78740157480314965" right="0.78740157480314965" top="0.78740157480314965" bottom="0.78740157480314965" header="0.31496062992125984" footer="0.31496062992125984"/>
  <pageSetup paperSize="9" scale="65" fitToHeight="0" orientation="portrait" horizontalDpi="300" verticalDpi="3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0"/>
  <sheetViews>
    <sheetView showZeros="0" zoomScaleNormal="100" workbookViewId="0">
      <selection activeCell="J15" sqref="J15"/>
    </sheetView>
  </sheetViews>
  <sheetFormatPr defaultColWidth="11.375" defaultRowHeight="18.75" customHeight="1"/>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c r="A1" s="93"/>
      <c r="B1" s="93"/>
      <c r="C1" s="93"/>
      <c r="D1" s="93"/>
      <c r="E1" s="174" t="s">
        <v>236</v>
      </c>
      <c r="F1" s="174"/>
    </row>
    <row r="2" spans="1:6" ht="18.75" customHeight="1">
      <c r="A2" s="93"/>
      <c r="B2" s="93"/>
      <c r="C2" s="112" t="s">
        <v>187</v>
      </c>
      <c r="D2" s="112" t="s">
        <v>188</v>
      </c>
      <c r="E2" s="202" t="s">
        <v>68</v>
      </c>
      <c r="F2" s="202"/>
    </row>
    <row r="3" spans="1:6" ht="7.5" customHeight="1">
      <c r="A3" s="93"/>
      <c r="B3" s="93"/>
      <c r="C3" s="112"/>
      <c r="D3" s="112"/>
      <c r="E3" s="116"/>
      <c r="F3" s="116"/>
    </row>
    <row r="4" spans="1:6" ht="18.75" customHeight="1">
      <c r="A4" s="147" t="s">
        <v>237</v>
      </c>
      <c r="B4" s="147"/>
      <c r="C4" s="147"/>
      <c r="D4" s="147"/>
      <c r="E4" s="147"/>
      <c r="F4" s="147"/>
    </row>
    <row r="5" spans="1:6" ht="7.5" customHeight="1">
      <c r="A5" s="109"/>
      <c r="B5" s="109"/>
      <c r="C5" s="109"/>
      <c r="D5" s="109"/>
      <c r="E5" s="109"/>
      <c r="F5" s="109"/>
    </row>
    <row r="6" spans="1:6" ht="18.75" customHeight="1">
      <c r="A6" s="109" t="s">
        <v>2</v>
      </c>
      <c r="B6" s="2" t="s">
        <v>238</v>
      </c>
      <c r="C6" s="109"/>
      <c r="D6" s="109"/>
      <c r="E6" s="109"/>
      <c r="F6" s="109"/>
    </row>
    <row r="7" spans="1:6" ht="18.75" customHeight="1">
      <c r="A7" s="109"/>
      <c r="B7" s="274" t="s">
        <v>239</v>
      </c>
      <c r="C7" s="283"/>
      <c r="D7" s="283"/>
      <c r="E7" s="283"/>
      <c r="F7" s="284"/>
    </row>
    <row r="8" spans="1:6" ht="18.75" customHeight="1">
      <c r="A8" s="109"/>
      <c r="B8" s="285"/>
      <c r="C8" s="286"/>
      <c r="D8" s="286"/>
      <c r="E8" s="286"/>
      <c r="F8" s="287"/>
    </row>
    <row r="9" spans="1:6" ht="18.75" customHeight="1">
      <c r="A9" s="109"/>
      <c r="B9" s="285"/>
      <c r="C9" s="286"/>
      <c r="D9" s="286"/>
      <c r="E9" s="286"/>
      <c r="F9" s="287"/>
    </row>
    <row r="10" spans="1:6" ht="18.75" customHeight="1">
      <c r="A10" s="109"/>
      <c r="B10" s="285"/>
      <c r="C10" s="286"/>
      <c r="D10" s="286"/>
      <c r="E10" s="286"/>
      <c r="F10" s="287"/>
    </row>
    <row r="11" spans="1:6" ht="18.75" customHeight="1">
      <c r="A11" s="109"/>
      <c r="B11" s="285"/>
      <c r="C11" s="286"/>
      <c r="D11" s="286"/>
      <c r="E11" s="286"/>
      <c r="F11" s="287"/>
    </row>
    <row r="12" spans="1:6" ht="18.75" customHeight="1">
      <c r="A12" s="109"/>
      <c r="B12" s="285"/>
      <c r="C12" s="286"/>
      <c r="D12" s="286"/>
      <c r="E12" s="286"/>
      <c r="F12" s="287"/>
    </row>
    <row r="13" spans="1:6" ht="18.75" customHeight="1">
      <c r="A13" s="109"/>
      <c r="B13" s="285"/>
      <c r="C13" s="286"/>
      <c r="D13" s="286"/>
      <c r="E13" s="286"/>
      <c r="F13" s="287"/>
    </row>
    <row r="14" spans="1:6" ht="18.75" customHeight="1">
      <c r="A14" s="109"/>
      <c r="B14" s="285"/>
      <c r="C14" s="286"/>
      <c r="D14" s="286"/>
      <c r="E14" s="286"/>
      <c r="F14" s="287"/>
    </row>
    <row r="15" spans="1:6" ht="18.75" customHeight="1">
      <c r="A15" s="109"/>
      <c r="B15" s="285"/>
      <c r="C15" s="286"/>
      <c r="D15" s="286"/>
      <c r="E15" s="286"/>
      <c r="F15" s="287"/>
    </row>
    <row r="16" spans="1:6" ht="18.75" customHeight="1">
      <c r="A16" s="109"/>
      <c r="B16" s="285"/>
      <c r="C16" s="286"/>
      <c r="D16" s="286"/>
      <c r="E16" s="286"/>
      <c r="F16" s="287"/>
    </row>
    <row r="17" spans="1:6" ht="18.75" customHeight="1">
      <c r="A17" s="109"/>
      <c r="B17" s="285"/>
      <c r="C17" s="286"/>
      <c r="D17" s="286"/>
      <c r="E17" s="286"/>
      <c r="F17" s="287"/>
    </row>
    <row r="18" spans="1:6" ht="18.75" customHeight="1">
      <c r="A18" s="109"/>
      <c r="B18" s="285"/>
      <c r="C18" s="286"/>
      <c r="D18" s="286"/>
      <c r="E18" s="286"/>
      <c r="F18" s="287"/>
    </row>
    <row r="19" spans="1:6" ht="18.75" customHeight="1">
      <c r="A19" s="109"/>
      <c r="B19" s="285"/>
      <c r="C19" s="286"/>
      <c r="D19" s="286"/>
      <c r="E19" s="286"/>
      <c r="F19" s="287"/>
    </row>
    <row r="20" spans="1:6" ht="18.75" customHeight="1">
      <c r="A20" s="109"/>
      <c r="B20" s="285"/>
      <c r="C20" s="286"/>
      <c r="D20" s="286"/>
      <c r="E20" s="286"/>
      <c r="F20" s="287"/>
    </row>
    <row r="21" spans="1:6" ht="18.75" customHeight="1">
      <c r="A21" s="109"/>
      <c r="B21" s="285"/>
      <c r="C21" s="286"/>
      <c r="D21" s="286"/>
      <c r="E21" s="286"/>
      <c r="F21" s="287"/>
    </row>
    <row r="22" spans="1:6" ht="18.75" customHeight="1">
      <c r="A22" s="109"/>
      <c r="B22" s="285"/>
      <c r="C22" s="286"/>
      <c r="D22" s="286"/>
      <c r="E22" s="286"/>
      <c r="F22" s="287"/>
    </row>
    <row r="23" spans="1:6" ht="18.75" customHeight="1">
      <c r="A23" s="109"/>
      <c r="B23" s="285"/>
      <c r="C23" s="286"/>
      <c r="D23" s="286"/>
      <c r="E23" s="286"/>
      <c r="F23" s="287"/>
    </row>
    <row r="24" spans="1:6" ht="18.75" customHeight="1">
      <c r="A24" s="109"/>
      <c r="B24" s="285"/>
      <c r="C24" s="286"/>
      <c r="D24" s="286"/>
      <c r="E24" s="286"/>
      <c r="F24" s="287"/>
    </row>
    <row r="25" spans="1:6" ht="18.75" customHeight="1">
      <c r="A25" s="109"/>
      <c r="B25" s="285"/>
      <c r="C25" s="286"/>
      <c r="D25" s="286"/>
      <c r="E25" s="286"/>
      <c r="F25" s="287"/>
    </row>
    <row r="26" spans="1:6" ht="18.75" customHeight="1">
      <c r="A26" s="109"/>
      <c r="B26" s="285"/>
      <c r="C26" s="286"/>
      <c r="D26" s="286"/>
      <c r="E26" s="286"/>
      <c r="F26" s="287"/>
    </row>
    <row r="27" spans="1:6" ht="18.75" customHeight="1">
      <c r="A27" s="109"/>
      <c r="B27" s="285"/>
      <c r="C27" s="286"/>
      <c r="D27" s="286"/>
      <c r="E27" s="286"/>
      <c r="F27" s="287"/>
    </row>
    <row r="28" spans="1:6" ht="18.75" customHeight="1">
      <c r="A28" s="109"/>
      <c r="B28" s="285"/>
      <c r="C28" s="286"/>
      <c r="D28" s="286"/>
      <c r="E28" s="286"/>
      <c r="F28" s="287"/>
    </row>
    <row r="29" spans="1:6" ht="18.75" customHeight="1">
      <c r="A29" s="109"/>
      <c r="B29" s="285"/>
      <c r="C29" s="286"/>
      <c r="D29" s="286"/>
      <c r="E29" s="286"/>
      <c r="F29" s="287"/>
    </row>
    <row r="30" spans="1:6" ht="18.75" customHeight="1">
      <c r="A30" s="109"/>
      <c r="B30" s="285"/>
      <c r="C30" s="286"/>
      <c r="D30" s="286"/>
      <c r="E30" s="286"/>
      <c r="F30" s="287"/>
    </row>
    <row r="31" spans="1:6" ht="18.75" customHeight="1">
      <c r="A31" s="109"/>
      <c r="B31" s="285"/>
      <c r="C31" s="286"/>
      <c r="D31" s="286"/>
      <c r="E31" s="286"/>
      <c r="F31" s="287"/>
    </row>
    <row r="32" spans="1:6" ht="18.75" customHeight="1">
      <c r="A32" s="109"/>
      <c r="B32" s="285"/>
      <c r="C32" s="286"/>
      <c r="D32" s="286"/>
      <c r="E32" s="286"/>
      <c r="F32" s="287"/>
    </row>
    <row r="33" spans="1:6" ht="18.75" customHeight="1">
      <c r="A33" s="109"/>
      <c r="B33" s="285"/>
      <c r="C33" s="286"/>
      <c r="D33" s="286"/>
      <c r="E33" s="286"/>
      <c r="F33" s="287"/>
    </row>
    <row r="34" spans="1:6" ht="18.75" customHeight="1">
      <c r="A34" s="109"/>
      <c r="B34" s="285"/>
      <c r="C34" s="286"/>
      <c r="D34" s="286"/>
      <c r="E34" s="286"/>
      <c r="F34" s="287"/>
    </row>
    <row r="35" spans="1:6" ht="18.75" customHeight="1">
      <c r="A35" s="109"/>
      <c r="B35" s="285"/>
      <c r="C35" s="286"/>
      <c r="D35" s="286"/>
      <c r="E35" s="286"/>
      <c r="F35" s="287"/>
    </row>
    <row r="36" spans="1:6" ht="18.75" customHeight="1">
      <c r="A36" s="109"/>
      <c r="B36" s="285"/>
      <c r="C36" s="286"/>
      <c r="D36" s="286"/>
      <c r="E36" s="286"/>
      <c r="F36" s="287"/>
    </row>
    <row r="37" spans="1:6" ht="18.75" customHeight="1">
      <c r="A37" s="109"/>
      <c r="B37" s="285"/>
      <c r="C37" s="286"/>
      <c r="D37" s="286"/>
      <c r="E37" s="286"/>
      <c r="F37" s="287"/>
    </row>
    <row r="38" spans="1:6" ht="18.75" customHeight="1">
      <c r="A38" s="109"/>
      <c r="B38" s="285"/>
      <c r="C38" s="286"/>
      <c r="D38" s="286"/>
      <c r="E38" s="286"/>
      <c r="F38" s="287"/>
    </row>
    <row r="39" spans="1:6" ht="18.75" customHeight="1">
      <c r="A39" s="109"/>
      <c r="B39" s="285"/>
      <c r="C39" s="286"/>
      <c r="D39" s="286"/>
      <c r="E39" s="286"/>
      <c r="F39" s="287"/>
    </row>
    <row r="40" spans="1:6" ht="18.75" customHeight="1">
      <c r="A40" s="109"/>
      <c r="B40" s="285"/>
      <c r="C40" s="286"/>
      <c r="D40" s="286"/>
      <c r="E40" s="286"/>
      <c r="F40" s="287"/>
    </row>
    <row r="41" spans="1:6" ht="18.75" customHeight="1">
      <c r="A41" s="109"/>
      <c r="B41" s="285"/>
      <c r="C41" s="286"/>
      <c r="D41" s="286"/>
      <c r="E41" s="286"/>
      <c r="F41" s="287"/>
    </row>
    <row r="42" spans="1:6" ht="18.75" customHeight="1">
      <c r="A42" s="109"/>
      <c r="B42" s="285"/>
      <c r="C42" s="286"/>
      <c r="D42" s="286"/>
      <c r="E42" s="286"/>
      <c r="F42" s="287"/>
    </row>
    <row r="43" spans="1:6" ht="18.75" customHeight="1">
      <c r="A43" s="109"/>
      <c r="B43" s="285"/>
      <c r="C43" s="286"/>
      <c r="D43" s="286"/>
      <c r="E43" s="286"/>
      <c r="F43" s="287"/>
    </row>
    <row r="44" spans="1:6" ht="18.75" customHeight="1">
      <c r="A44" s="109"/>
      <c r="B44" s="288"/>
      <c r="C44" s="289"/>
      <c r="D44" s="289"/>
      <c r="E44" s="289"/>
      <c r="F44" s="290"/>
    </row>
    <row r="45" spans="1:6" ht="18.75" customHeight="1">
      <c r="A45" s="109" t="s">
        <v>5</v>
      </c>
      <c r="B45" s="10" t="s">
        <v>240</v>
      </c>
      <c r="C45" s="110"/>
      <c r="D45" s="110"/>
      <c r="E45" s="110"/>
      <c r="F45" s="110"/>
    </row>
    <row r="46" spans="1:6" ht="18.75" customHeight="1">
      <c r="A46" s="109"/>
      <c r="B46" s="274" t="s">
        <v>241</v>
      </c>
      <c r="C46" s="283"/>
      <c r="D46" s="283"/>
      <c r="E46" s="283"/>
      <c r="F46" s="284"/>
    </row>
    <row r="47" spans="1:6" ht="18.75" customHeight="1">
      <c r="A47" s="109"/>
      <c r="B47" s="285"/>
      <c r="C47" s="286"/>
      <c r="D47" s="286"/>
      <c r="E47" s="286"/>
      <c r="F47" s="287"/>
    </row>
    <row r="48" spans="1:6" ht="18.75" customHeight="1">
      <c r="A48" s="109"/>
      <c r="B48" s="285"/>
      <c r="C48" s="286"/>
      <c r="D48" s="286"/>
      <c r="E48" s="286"/>
      <c r="F48" s="287"/>
    </row>
    <row r="49" spans="1:6" ht="18.75" customHeight="1">
      <c r="A49" s="109"/>
      <c r="B49" s="285"/>
      <c r="C49" s="286"/>
      <c r="D49" s="286"/>
      <c r="E49" s="286"/>
      <c r="F49" s="287"/>
    </row>
    <row r="50" spans="1:6" ht="18.75" customHeight="1">
      <c r="A50" s="109"/>
      <c r="B50" s="285"/>
      <c r="C50" s="286"/>
      <c r="D50" s="286"/>
      <c r="E50" s="286"/>
      <c r="F50" s="287"/>
    </row>
    <row r="51" spans="1:6" ht="18.75" customHeight="1">
      <c r="A51" s="109"/>
      <c r="B51" s="285"/>
      <c r="C51" s="286"/>
      <c r="D51" s="286"/>
      <c r="E51" s="286"/>
      <c r="F51" s="287"/>
    </row>
    <row r="52" spans="1:6" ht="18.75" customHeight="1">
      <c r="A52" s="109"/>
      <c r="B52" s="285"/>
      <c r="C52" s="286"/>
      <c r="D52" s="286"/>
      <c r="E52" s="286"/>
      <c r="F52" s="287"/>
    </row>
    <row r="53" spans="1:6" ht="18.75" customHeight="1">
      <c r="A53" s="109"/>
      <c r="B53" s="285"/>
      <c r="C53" s="286"/>
      <c r="D53" s="286"/>
      <c r="E53" s="286"/>
      <c r="F53" s="287"/>
    </row>
    <row r="54" spans="1:6" ht="18.75" customHeight="1">
      <c r="A54" s="109"/>
      <c r="B54" s="285"/>
      <c r="C54" s="286"/>
      <c r="D54" s="286"/>
      <c r="E54" s="286"/>
      <c r="F54" s="287"/>
    </row>
    <row r="55" spans="1:6" ht="18.75" customHeight="1">
      <c r="A55" s="109"/>
      <c r="B55" s="285"/>
      <c r="C55" s="286"/>
      <c r="D55" s="286"/>
      <c r="E55" s="286"/>
      <c r="F55" s="287"/>
    </row>
    <row r="56" spans="1:6" ht="18.75" customHeight="1">
      <c r="A56" s="109"/>
      <c r="B56" s="285"/>
      <c r="C56" s="286"/>
      <c r="D56" s="286"/>
      <c r="E56" s="286"/>
      <c r="F56" s="287"/>
    </row>
    <row r="57" spans="1:6" ht="18.75" customHeight="1">
      <c r="A57" s="109"/>
      <c r="B57" s="285"/>
      <c r="C57" s="286"/>
      <c r="D57" s="286"/>
      <c r="E57" s="286"/>
      <c r="F57" s="287"/>
    </row>
    <row r="58" spans="1:6" ht="18.75" customHeight="1">
      <c r="A58" s="109"/>
      <c r="B58" s="285"/>
      <c r="C58" s="286"/>
      <c r="D58" s="286"/>
      <c r="E58" s="286"/>
      <c r="F58" s="287"/>
    </row>
    <row r="59" spans="1:6" ht="18.75" customHeight="1">
      <c r="A59" s="109"/>
      <c r="B59" s="285"/>
      <c r="C59" s="286"/>
      <c r="D59" s="286"/>
      <c r="E59" s="286"/>
      <c r="F59" s="287"/>
    </row>
    <row r="60" spans="1:6" ht="18.75" customHeight="1">
      <c r="A60" s="109"/>
      <c r="B60" s="285"/>
      <c r="C60" s="286"/>
      <c r="D60" s="286"/>
      <c r="E60" s="286"/>
      <c r="F60" s="287"/>
    </row>
    <row r="61" spans="1:6" ht="18.75" customHeight="1">
      <c r="A61" s="109"/>
      <c r="B61" s="285"/>
      <c r="C61" s="286"/>
      <c r="D61" s="286"/>
      <c r="E61" s="286"/>
      <c r="F61" s="287"/>
    </row>
    <row r="62" spans="1:6" ht="18.75" customHeight="1">
      <c r="A62" s="109"/>
      <c r="B62" s="285"/>
      <c r="C62" s="286"/>
      <c r="D62" s="286"/>
      <c r="E62" s="286"/>
      <c r="F62" s="287"/>
    </row>
    <row r="63" spans="1:6" ht="18.75" customHeight="1">
      <c r="A63" s="109"/>
      <c r="B63" s="285"/>
      <c r="C63" s="286"/>
      <c r="D63" s="286"/>
      <c r="E63" s="286"/>
      <c r="F63" s="287"/>
    </row>
    <row r="64" spans="1:6" ht="18.75" customHeight="1">
      <c r="A64" s="109"/>
      <c r="B64" s="285"/>
      <c r="C64" s="286"/>
      <c r="D64" s="286"/>
      <c r="E64" s="286"/>
      <c r="F64" s="287"/>
    </row>
    <row r="65" spans="1:6" ht="18.75" customHeight="1">
      <c r="A65" s="109"/>
      <c r="B65" s="285"/>
      <c r="C65" s="286"/>
      <c r="D65" s="286"/>
      <c r="E65" s="286"/>
      <c r="F65" s="287"/>
    </row>
    <row r="66" spans="1:6" ht="18.75" customHeight="1">
      <c r="A66" s="109"/>
      <c r="B66" s="285"/>
      <c r="C66" s="286"/>
      <c r="D66" s="286"/>
      <c r="E66" s="286"/>
      <c r="F66" s="287"/>
    </row>
    <row r="67" spans="1:6" ht="18.75" customHeight="1">
      <c r="A67" s="109"/>
      <c r="B67" s="285"/>
      <c r="C67" s="286"/>
      <c r="D67" s="286"/>
      <c r="E67" s="286"/>
      <c r="F67" s="287"/>
    </row>
    <row r="68" spans="1:6" ht="18.75" customHeight="1">
      <c r="A68" s="109"/>
      <c r="B68" s="285"/>
      <c r="C68" s="286"/>
      <c r="D68" s="286"/>
      <c r="E68" s="286"/>
      <c r="F68" s="287"/>
    </row>
    <row r="69" spans="1:6" ht="18.75" customHeight="1">
      <c r="A69" s="109"/>
      <c r="B69" s="285"/>
      <c r="C69" s="286"/>
      <c r="D69" s="286"/>
      <c r="E69" s="286"/>
      <c r="F69" s="287"/>
    </row>
    <row r="70" spans="1:6" ht="18.75" customHeight="1">
      <c r="A70" s="109"/>
      <c r="B70" s="285"/>
      <c r="C70" s="286"/>
      <c r="D70" s="286"/>
      <c r="E70" s="286"/>
      <c r="F70" s="287"/>
    </row>
    <row r="71" spans="1:6" ht="18.75" customHeight="1">
      <c r="A71" s="109"/>
      <c r="B71" s="285"/>
      <c r="C71" s="286"/>
      <c r="D71" s="286"/>
      <c r="E71" s="286"/>
      <c r="F71" s="287"/>
    </row>
    <row r="72" spans="1:6" ht="18.75" customHeight="1">
      <c r="A72" s="109"/>
      <c r="B72" s="285"/>
      <c r="C72" s="286"/>
      <c r="D72" s="286"/>
      <c r="E72" s="286"/>
      <c r="F72" s="287"/>
    </row>
    <row r="73" spans="1:6" ht="18.75" customHeight="1">
      <c r="A73" s="109"/>
      <c r="B73" s="285"/>
      <c r="C73" s="286"/>
      <c r="D73" s="286"/>
      <c r="E73" s="286"/>
      <c r="F73" s="287"/>
    </row>
    <row r="74" spans="1:6" ht="18.75" customHeight="1">
      <c r="A74" s="109"/>
      <c r="B74" s="285"/>
      <c r="C74" s="286"/>
      <c r="D74" s="286"/>
      <c r="E74" s="286"/>
      <c r="F74" s="287"/>
    </row>
    <row r="75" spans="1:6" ht="18.75" customHeight="1">
      <c r="A75" s="109"/>
      <c r="B75" s="285"/>
      <c r="C75" s="286"/>
      <c r="D75" s="286"/>
      <c r="E75" s="286"/>
      <c r="F75" s="287"/>
    </row>
    <row r="76" spans="1:6" ht="18.75" customHeight="1">
      <c r="A76" s="109"/>
      <c r="B76" s="285"/>
      <c r="C76" s="286"/>
      <c r="D76" s="286"/>
      <c r="E76" s="286"/>
      <c r="F76" s="287"/>
    </row>
    <row r="77" spans="1:6" ht="18.75" customHeight="1">
      <c r="A77" s="109"/>
      <c r="B77" s="285"/>
      <c r="C77" s="286"/>
      <c r="D77" s="286"/>
      <c r="E77" s="286"/>
      <c r="F77" s="287"/>
    </row>
    <row r="78" spans="1:6" ht="18.75" customHeight="1">
      <c r="A78" s="109"/>
      <c r="B78" s="285"/>
      <c r="C78" s="286"/>
      <c r="D78" s="286"/>
      <c r="E78" s="286"/>
      <c r="F78" s="287"/>
    </row>
    <row r="79" spans="1:6" ht="18.75" customHeight="1">
      <c r="A79" s="109"/>
      <c r="B79" s="285"/>
      <c r="C79" s="286"/>
      <c r="D79" s="286"/>
      <c r="E79" s="286"/>
      <c r="F79" s="287"/>
    </row>
    <row r="80" spans="1:6" ht="18.75" customHeight="1">
      <c r="A80" s="109"/>
      <c r="B80" s="285"/>
      <c r="C80" s="286"/>
      <c r="D80" s="286"/>
      <c r="E80" s="286"/>
      <c r="F80" s="287"/>
    </row>
    <row r="81" spans="1:6" ht="18.75" customHeight="1">
      <c r="A81" s="109"/>
      <c r="B81" s="285"/>
      <c r="C81" s="286"/>
      <c r="D81" s="286"/>
      <c r="E81" s="286"/>
      <c r="F81" s="287"/>
    </row>
    <row r="82" spans="1:6" ht="18.75" customHeight="1">
      <c r="A82" s="109"/>
      <c r="B82" s="285"/>
      <c r="C82" s="286"/>
      <c r="D82" s="286"/>
      <c r="E82" s="286"/>
      <c r="F82" s="287"/>
    </row>
    <row r="83" spans="1:6" ht="18.75" customHeight="1">
      <c r="A83" s="109"/>
      <c r="B83" s="285"/>
      <c r="C83" s="286"/>
      <c r="D83" s="286"/>
      <c r="E83" s="286"/>
      <c r="F83" s="287"/>
    </row>
    <row r="84" spans="1:6" ht="18.75" customHeight="1">
      <c r="A84" s="109"/>
      <c r="B84" s="285"/>
      <c r="C84" s="286"/>
      <c r="D84" s="286"/>
      <c r="E84" s="286"/>
      <c r="F84" s="287"/>
    </row>
    <row r="85" spans="1:6" ht="18.75" customHeight="1">
      <c r="A85" s="109"/>
      <c r="B85" s="285"/>
      <c r="C85" s="286"/>
      <c r="D85" s="286"/>
      <c r="E85" s="286"/>
      <c r="F85" s="287"/>
    </row>
    <row r="86" spans="1:6" ht="18.75" customHeight="1">
      <c r="A86" s="109"/>
      <c r="B86" s="285"/>
      <c r="C86" s="286"/>
      <c r="D86" s="286"/>
      <c r="E86" s="286"/>
      <c r="F86" s="287"/>
    </row>
    <row r="87" spans="1:6" ht="18.75" customHeight="1">
      <c r="A87" s="109"/>
      <c r="B87" s="288"/>
      <c r="C87" s="289"/>
      <c r="D87" s="289"/>
      <c r="E87" s="289"/>
      <c r="F87" s="290"/>
    </row>
    <row r="88" spans="1:6" s="5" customFormat="1" ht="18.75" customHeight="1">
      <c r="A88" s="2" t="s">
        <v>8</v>
      </c>
      <c r="B88" s="10" t="s">
        <v>242</v>
      </c>
      <c r="C88" s="10"/>
      <c r="D88" s="10"/>
      <c r="E88" s="10"/>
      <c r="F88" s="10"/>
    </row>
    <row r="89" spans="1:6" ht="18.75" customHeight="1">
      <c r="A89" s="109"/>
      <c r="B89" s="274" t="s">
        <v>243</v>
      </c>
      <c r="C89" s="283"/>
      <c r="D89" s="283"/>
      <c r="E89" s="283"/>
      <c r="F89" s="284"/>
    </row>
    <row r="90" spans="1:6" ht="18.75" customHeight="1">
      <c r="A90" s="109"/>
      <c r="B90" s="285"/>
      <c r="C90" s="286"/>
      <c r="D90" s="286"/>
      <c r="E90" s="286"/>
      <c r="F90" s="287"/>
    </row>
    <row r="91" spans="1:6" ht="18.75" customHeight="1">
      <c r="A91" s="109"/>
      <c r="B91" s="285"/>
      <c r="C91" s="286"/>
      <c r="D91" s="286"/>
      <c r="E91" s="286"/>
      <c r="F91" s="287"/>
    </row>
    <row r="92" spans="1:6" ht="18.75" customHeight="1">
      <c r="A92" s="109"/>
      <c r="B92" s="285"/>
      <c r="C92" s="286"/>
      <c r="D92" s="286"/>
      <c r="E92" s="286"/>
      <c r="F92" s="287"/>
    </row>
    <row r="93" spans="1:6" ht="18.75" customHeight="1">
      <c r="A93" s="109"/>
      <c r="B93" s="285"/>
      <c r="C93" s="286"/>
      <c r="D93" s="286"/>
      <c r="E93" s="286"/>
      <c r="F93" s="287"/>
    </row>
    <row r="94" spans="1:6" ht="18.75" customHeight="1">
      <c r="A94" s="109"/>
      <c r="B94" s="285"/>
      <c r="C94" s="286"/>
      <c r="D94" s="286"/>
      <c r="E94" s="286"/>
      <c r="F94" s="287"/>
    </row>
    <row r="95" spans="1:6" ht="18.75" customHeight="1">
      <c r="A95" s="109"/>
      <c r="B95" s="285"/>
      <c r="C95" s="286"/>
      <c r="D95" s="286"/>
      <c r="E95" s="286"/>
      <c r="F95" s="287"/>
    </row>
    <row r="96" spans="1:6" ht="18.75" customHeight="1">
      <c r="A96" s="109"/>
      <c r="B96" s="285"/>
      <c r="C96" s="286"/>
      <c r="D96" s="286"/>
      <c r="E96" s="286"/>
      <c r="F96" s="287"/>
    </row>
    <row r="97" spans="1:6" ht="18.75" customHeight="1">
      <c r="A97" s="109"/>
      <c r="B97" s="285"/>
      <c r="C97" s="286"/>
      <c r="D97" s="286"/>
      <c r="E97" s="286"/>
      <c r="F97" s="287"/>
    </row>
    <row r="98" spans="1:6" ht="18.75" customHeight="1">
      <c r="A98" s="109"/>
      <c r="B98" s="285"/>
      <c r="C98" s="286"/>
      <c r="D98" s="286"/>
      <c r="E98" s="286"/>
      <c r="F98" s="287"/>
    </row>
    <row r="99" spans="1:6" ht="18.75" customHeight="1">
      <c r="A99" s="109"/>
      <c r="B99" s="285"/>
      <c r="C99" s="286"/>
      <c r="D99" s="286"/>
      <c r="E99" s="286"/>
      <c r="F99" s="287"/>
    </row>
    <row r="100" spans="1:6" ht="18.75" customHeight="1">
      <c r="A100" s="109"/>
      <c r="B100" s="285"/>
      <c r="C100" s="286"/>
      <c r="D100" s="286"/>
      <c r="E100" s="286"/>
      <c r="F100" s="287"/>
    </row>
    <row r="101" spans="1:6" ht="18.75" customHeight="1">
      <c r="A101" s="109"/>
      <c r="B101" s="285"/>
      <c r="C101" s="286"/>
      <c r="D101" s="286"/>
      <c r="E101" s="286"/>
      <c r="F101" s="287"/>
    </row>
    <row r="102" spans="1:6" ht="18.75" customHeight="1">
      <c r="A102" s="109"/>
      <c r="B102" s="285"/>
      <c r="C102" s="286"/>
      <c r="D102" s="286"/>
      <c r="E102" s="286"/>
      <c r="F102" s="287"/>
    </row>
    <row r="103" spans="1:6" ht="18.75" customHeight="1">
      <c r="A103" s="109"/>
      <c r="B103" s="285"/>
      <c r="C103" s="286"/>
      <c r="D103" s="286"/>
      <c r="E103" s="286"/>
      <c r="F103" s="287"/>
    </row>
    <row r="104" spans="1:6" ht="18.75" customHeight="1">
      <c r="A104" s="109"/>
      <c r="B104" s="285"/>
      <c r="C104" s="286"/>
      <c r="D104" s="286"/>
      <c r="E104" s="286"/>
      <c r="F104" s="287"/>
    </row>
    <row r="105" spans="1:6" ht="18.75" customHeight="1">
      <c r="A105" s="109"/>
      <c r="B105" s="285"/>
      <c r="C105" s="286"/>
      <c r="D105" s="286"/>
      <c r="E105" s="286"/>
      <c r="F105" s="287"/>
    </row>
    <row r="106" spans="1:6" ht="18.75" customHeight="1">
      <c r="A106" s="109"/>
      <c r="B106" s="285"/>
      <c r="C106" s="286"/>
      <c r="D106" s="286"/>
      <c r="E106" s="286"/>
      <c r="F106" s="287"/>
    </row>
    <row r="107" spans="1:6" ht="18.75" customHeight="1">
      <c r="A107" s="109"/>
      <c r="B107" s="285"/>
      <c r="C107" s="286"/>
      <c r="D107" s="286"/>
      <c r="E107" s="286"/>
      <c r="F107" s="287"/>
    </row>
    <row r="108" spans="1:6" ht="18.75" customHeight="1">
      <c r="A108" s="109"/>
      <c r="B108" s="285"/>
      <c r="C108" s="286"/>
      <c r="D108" s="286"/>
      <c r="E108" s="286"/>
      <c r="F108" s="287"/>
    </row>
    <row r="109" spans="1:6" ht="18.75" customHeight="1">
      <c r="A109" s="109"/>
      <c r="B109" s="285"/>
      <c r="C109" s="286"/>
      <c r="D109" s="286"/>
      <c r="E109" s="286"/>
      <c r="F109" s="287"/>
    </row>
    <row r="110" spans="1:6" ht="18.75" customHeight="1">
      <c r="A110" s="109"/>
      <c r="B110" s="285"/>
      <c r="C110" s="286"/>
      <c r="D110" s="286"/>
      <c r="E110" s="286"/>
      <c r="F110" s="287"/>
    </row>
    <row r="111" spans="1:6" ht="18.75" customHeight="1">
      <c r="A111" s="109"/>
      <c r="B111" s="285"/>
      <c r="C111" s="286"/>
      <c r="D111" s="286"/>
      <c r="E111" s="286"/>
      <c r="F111" s="287"/>
    </row>
    <row r="112" spans="1:6" ht="18.75" customHeight="1">
      <c r="A112" s="109"/>
      <c r="B112" s="285"/>
      <c r="C112" s="286"/>
      <c r="D112" s="286"/>
      <c r="E112" s="286"/>
      <c r="F112" s="287"/>
    </row>
    <row r="113" spans="1:6" ht="18.75" customHeight="1">
      <c r="A113" s="109"/>
      <c r="B113" s="285"/>
      <c r="C113" s="286"/>
      <c r="D113" s="286"/>
      <c r="E113" s="286"/>
      <c r="F113" s="287"/>
    </row>
    <row r="114" spans="1:6" ht="18.75" customHeight="1">
      <c r="A114" s="109"/>
      <c r="B114" s="285"/>
      <c r="C114" s="286"/>
      <c r="D114" s="286"/>
      <c r="E114" s="286"/>
      <c r="F114" s="287"/>
    </row>
    <row r="115" spans="1:6" ht="18.75" customHeight="1">
      <c r="A115" s="109"/>
      <c r="B115" s="285"/>
      <c r="C115" s="286"/>
      <c r="D115" s="286"/>
      <c r="E115" s="286"/>
      <c r="F115" s="287"/>
    </row>
    <row r="116" spans="1:6" ht="18.75" customHeight="1">
      <c r="A116" s="109"/>
      <c r="B116" s="285"/>
      <c r="C116" s="286"/>
      <c r="D116" s="286"/>
      <c r="E116" s="286"/>
      <c r="F116" s="287"/>
    </row>
    <row r="117" spans="1:6" ht="18.75" customHeight="1">
      <c r="A117" s="109"/>
      <c r="B117" s="285"/>
      <c r="C117" s="286"/>
      <c r="D117" s="286"/>
      <c r="E117" s="286"/>
      <c r="F117" s="287"/>
    </row>
    <row r="118" spans="1:6" ht="18.75" customHeight="1">
      <c r="A118" s="109"/>
      <c r="B118" s="285"/>
      <c r="C118" s="286"/>
      <c r="D118" s="286"/>
      <c r="E118" s="286"/>
      <c r="F118" s="287"/>
    </row>
    <row r="119" spans="1:6" ht="18.75" customHeight="1">
      <c r="A119" s="109"/>
      <c r="B119" s="285"/>
      <c r="C119" s="286"/>
      <c r="D119" s="286"/>
      <c r="E119" s="286"/>
      <c r="F119" s="287"/>
    </row>
    <row r="120" spans="1:6" ht="18.75" customHeight="1">
      <c r="A120" s="109"/>
      <c r="B120" s="285"/>
      <c r="C120" s="286"/>
      <c r="D120" s="286"/>
      <c r="E120" s="286"/>
      <c r="F120" s="287"/>
    </row>
    <row r="121" spans="1:6" ht="18.75" customHeight="1">
      <c r="A121" s="109"/>
      <c r="B121" s="285"/>
      <c r="C121" s="286"/>
      <c r="D121" s="286"/>
      <c r="E121" s="286"/>
      <c r="F121" s="287"/>
    </row>
    <row r="122" spans="1:6" ht="18.75" customHeight="1">
      <c r="A122" s="109"/>
      <c r="B122" s="285"/>
      <c r="C122" s="286"/>
      <c r="D122" s="286"/>
      <c r="E122" s="286"/>
      <c r="F122" s="287"/>
    </row>
    <row r="123" spans="1:6" ht="18.75" customHeight="1">
      <c r="A123" s="109"/>
      <c r="B123" s="285"/>
      <c r="C123" s="286"/>
      <c r="D123" s="286"/>
      <c r="E123" s="286"/>
      <c r="F123" s="287"/>
    </row>
    <row r="124" spans="1:6" ht="18.75" customHeight="1">
      <c r="A124" s="109"/>
      <c r="B124" s="285"/>
      <c r="C124" s="286"/>
      <c r="D124" s="286"/>
      <c r="E124" s="286"/>
      <c r="F124" s="287"/>
    </row>
    <row r="125" spans="1:6" ht="18.75" customHeight="1">
      <c r="A125" s="109"/>
      <c r="B125" s="285"/>
      <c r="C125" s="286"/>
      <c r="D125" s="286"/>
      <c r="E125" s="286"/>
      <c r="F125" s="287"/>
    </row>
    <row r="126" spans="1:6" ht="18.75" customHeight="1">
      <c r="A126" s="109"/>
      <c r="B126" s="285"/>
      <c r="C126" s="286"/>
      <c r="D126" s="286"/>
      <c r="E126" s="286"/>
      <c r="F126" s="287"/>
    </row>
    <row r="127" spans="1:6" ht="18.75" customHeight="1">
      <c r="A127" s="109"/>
      <c r="B127" s="285"/>
      <c r="C127" s="286"/>
      <c r="D127" s="286"/>
      <c r="E127" s="286"/>
      <c r="F127" s="287"/>
    </row>
    <row r="128" spans="1:6" ht="18.75" customHeight="1">
      <c r="A128" s="109"/>
      <c r="B128" s="285"/>
      <c r="C128" s="286"/>
      <c r="D128" s="286"/>
      <c r="E128" s="286"/>
      <c r="F128" s="287"/>
    </row>
    <row r="129" spans="1:6" ht="18.75" customHeight="1">
      <c r="A129" s="109"/>
      <c r="B129" s="285"/>
      <c r="C129" s="286"/>
      <c r="D129" s="286"/>
      <c r="E129" s="286"/>
      <c r="F129" s="287"/>
    </row>
    <row r="130" spans="1:6" ht="18.75" customHeight="1">
      <c r="A130" s="109"/>
      <c r="B130" s="288"/>
      <c r="C130" s="289"/>
      <c r="D130" s="289"/>
      <c r="E130" s="289"/>
      <c r="F130" s="290"/>
    </row>
  </sheetData>
  <mergeCells count="6">
    <mergeCell ref="B89:F130"/>
    <mergeCell ref="E1:F1"/>
    <mergeCell ref="E2:F2"/>
    <mergeCell ref="A4:F4"/>
    <mergeCell ref="B7:F44"/>
    <mergeCell ref="B46:F87"/>
  </mergeCells>
  <phoneticPr fontId="3"/>
  <printOptions horizontalCentered="1"/>
  <pageMargins left="0.78740157480314965" right="0.78740157480314965" top="0.78740157480314965" bottom="0.39370078740157483" header="0.31496062992125984" footer="0.31496062992125984"/>
  <pageSetup paperSize="9" orientation="portrait" horizontalDpi="300" verticalDpi="300" r:id="rId1"/>
  <rowBreaks count="1" manualBreakCount="1">
    <brk id="44"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2022-05-24T01:54:18Z</dcterms:modified>
  <cp:category/>
  <cp:contentStatus/>
</cp:coreProperties>
</file>