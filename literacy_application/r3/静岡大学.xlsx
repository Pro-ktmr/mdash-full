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03"/>
  <workbookPr defaultThemeVersion="124226"/>
  <mc:AlternateContent xmlns:mc="http://schemas.openxmlformats.org/markup-compatibility/2006">
    <mc:Choice Requires="x15">
      <x15ac:absPath xmlns:x15ac="http://schemas.microsoft.com/office/spreadsheetml/2010/11/ac" url="I:\Work\101学務情報係\係長\データサイエンス事業\★認定制度\R3.3.10-5.14認定制度提出書類\R3.7.13再提出依頼\714再提出書類\"/>
    </mc:Choice>
  </mc:AlternateContent>
  <xr:revisionPtr revIDLastSave="0" documentId="11_351D478EB6F1C6AC4D7299971452A80B1EF7AFDA" xr6:coauthVersionLast="47" xr6:coauthVersionMax="47" xr10:uidLastSave="{00000000-0000-0000-0000-000000000000}"/>
  <bookViews>
    <workbookView xWindow="0" yWindow="0" windowWidth="22440" windowHeight="9645"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４　プログラムの授業内容・概要" sheetId="39" r:id="rId4"/>
    <sheet name="様式５　教育の質・履修者数を向上させるための体制・計画" sheetId="37" r:id="rId5"/>
    <sheet name="様式６　自己点検・評価" sheetId="38"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4" i="31" l="1"/>
  <c r="R14" i="31" s="1"/>
  <c r="Q13" i="31"/>
  <c r="R13" i="31" s="1"/>
  <c r="Q12" i="31"/>
  <c r="R12" i="31" s="1"/>
  <c r="Q11" i="31"/>
  <c r="R11" i="31" s="1"/>
  <c r="Q10" i="31"/>
  <c r="R10" i="31" s="1"/>
  <c r="Q8" i="31"/>
  <c r="R8" i="31" s="1"/>
  <c r="P28" i="31" l="1"/>
  <c r="O28" i="31"/>
  <c r="N28" i="31"/>
  <c r="M28" i="31"/>
  <c r="L28" i="31"/>
  <c r="K28" i="31"/>
  <c r="J28" i="31"/>
  <c r="I28" i="31"/>
  <c r="H28" i="31"/>
  <c r="G28" i="31"/>
  <c r="F28" i="31"/>
  <c r="E28" i="31"/>
  <c r="D28" i="31"/>
  <c r="Q9" i="31"/>
  <c r="R9" i="31" s="1"/>
  <c r="Q28" i="31" l="1"/>
  <c r="R28" i="31" s="1"/>
</calcChain>
</file>

<file path=xl/sharedStrings.xml><?xml version="1.0" encoding="utf-8"?>
<sst xmlns="http://schemas.openxmlformats.org/spreadsheetml/2006/main" count="278" uniqueCount="205">
  <si>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</si>
  <si>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</si>
  <si>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</si>
  <si>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</si>
  <si>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静岡大学</t>
    <rPh sb="0" eb="4">
      <t>シズオカダイガク</t>
    </rPh>
    <phoneticPr fontId="1"/>
  </si>
  <si>
    <t>②</t>
    <phoneticPr fontId="1"/>
  </si>
  <si>
    <t>大学等の設置者</t>
  </si>
  <si>
    <t>国立大学法人静岡大学</t>
    <phoneticPr fontId="1"/>
  </si>
  <si>
    <t>③</t>
    <phoneticPr fontId="1"/>
  </si>
  <si>
    <t>設置形態</t>
  </si>
  <si>
    <t>国立大学</t>
  </si>
  <si>
    <t>④</t>
    <phoneticPr fontId="1"/>
  </si>
  <si>
    <t>所在地</t>
    <phoneticPr fontId="1"/>
  </si>
  <si>
    <t>静岡県静岡市駿河区大谷８３６</t>
    <rPh sb="0" eb="3">
      <t>シズオカケン</t>
    </rPh>
    <rPh sb="3" eb="6">
      <t>シズオカシ</t>
    </rPh>
    <rPh sb="6" eb="9">
      <t>スルガク</t>
    </rPh>
    <rPh sb="9" eb="11">
      <t>オオヤ</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</si>
  <si>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</si>
  <si>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</si>
  <si>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数理・データサイエンス</t>
    <rPh sb="0" eb="2">
      <t>スウリ</t>
    </rPh>
    <phoneticPr fontId="1"/>
  </si>
  <si>
    <t>⑥</t>
    <phoneticPr fontId="1"/>
  </si>
  <si>
    <t>プログラムの開設年度</t>
    <rPh sb="6" eb="8">
      <t>カイセツ</t>
    </rPh>
    <rPh sb="8" eb="10">
      <t>ネンド</t>
    </rPh>
    <phoneticPr fontId="1"/>
  </si>
  <si>
    <t>令和２年度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</si>
  <si>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</si>
  <si>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</si>
  <si>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</si>
  <si>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</si>
  <si>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</si>
  <si>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</si>
  <si>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</si>
  <si>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</si>
  <si>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</si>
  <si>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</si>
  <si>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</si>
  <si>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</si>
  <si>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</si>
  <si>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</si>
  <si>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</si>
  <si>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</si>
  <si>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</si>
  <si>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</si>
  <si>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</si>
  <si>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</si>
  <si>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</si>
  <si>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</si>
  <si>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塩尻　信義</t>
    <rPh sb="0" eb="2">
      <t>シオジリ</t>
    </rPh>
    <rPh sb="3" eb="5">
      <t>ノブヨシ</t>
    </rPh>
    <phoneticPr fontId="1"/>
  </si>
  <si>
    <t>（役職名）</t>
    <rPh sb="1" eb="4">
      <t>ヤクショクメイ</t>
    </rPh>
    <phoneticPr fontId="1"/>
  </si>
  <si>
    <t>理事（教育・附属学校園担当）</t>
    <rPh sb="0" eb="2">
      <t>リジ</t>
    </rPh>
    <rPh sb="3" eb="5">
      <t>キョウイク</t>
    </rPh>
    <rPh sb="6" eb="8">
      <t>フゾク</t>
    </rPh>
    <rPh sb="8" eb="10">
      <t>ガッコウ</t>
    </rPh>
    <rPh sb="10" eb="11">
      <t>エン</t>
    </rPh>
    <rPh sb="11" eb="13">
      <t>タントウ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</si>
  <si>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</si>
  <si>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</si>
  <si>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数理・データサイエンス教育プロジェクト研究所</t>
    <rPh sb="0" eb="2">
      <t>スウリ</t>
    </rPh>
    <rPh sb="11" eb="13">
      <t>キョウイク</t>
    </rPh>
    <rPh sb="19" eb="22">
      <t>ケンキュウショ</t>
    </rPh>
    <phoneticPr fontId="1"/>
  </si>
  <si>
    <t>小西　達裕</t>
    <rPh sb="0" eb="2">
      <t>コニシ</t>
    </rPh>
    <rPh sb="3" eb="4">
      <t>タチ</t>
    </rPh>
    <rPh sb="4" eb="5">
      <t>ユウ</t>
    </rPh>
    <phoneticPr fontId="1"/>
  </si>
  <si>
    <t>所長（情報学部　教授）</t>
    <rPh sb="0" eb="2">
      <t>ショチョウ</t>
    </rPh>
    <rPh sb="3" eb="5">
      <t>ジョウホウ</t>
    </rPh>
    <rPh sb="5" eb="7">
      <t>ガクブ</t>
    </rPh>
    <rPh sb="8" eb="10">
      <t>キョウジュ</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</si>
  <si>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</si>
  <si>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</si>
  <si>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大学教育センター内部質保証専門委員会</t>
    <phoneticPr fontId="1"/>
  </si>
  <si>
    <t>厨子　光政</t>
    <rPh sb="0" eb="2">
      <t>ズシ</t>
    </rPh>
    <rPh sb="3" eb="4">
      <t>ヒカリ</t>
    </rPh>
    <rPh sb="4" eb="5">
      <t>マサ</t>
    </rPh>
    <phoneticPr fontId="1"/>
  </si>
  <si>
    <t>センター長（情報学部　教授）</t>
    <rPh sb="4" eb="5">
      <t>チョウ</t>
    </rPh>
    <rPh sb="6" eb="8">
      <t>ジョウホウ</t>
    </rPh>
    <rPh sb="8" eb="10">
      <t>ガクブ</t>
    </rPh>
    <rPh sb="11" eb="13">
      <t>キョウジュ</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</si>
  <si>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</si>
  <si>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</si>
  <si>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</si>
  <si>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</si>
  <si>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</si>
  <si>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学務部教務課教育企画係</t>
    <rPh sb="0" eb="2">
      <t>ガクム</t>
    </rPh>
    <rPh sb="2" eb="3">
      <t>ブ</t>
    </rPh>
    <rPh sb="3" eb="6">
      <t>キョウムカ</t>
    </rPh>
    <rPh sb="6" eb="8">
      <t>キョウイク</t>
    </rPh>
    <rPh sb="8" eb="10">
      <t>キカク</t>
    </rPh>
    <rPh sb="10" eb="11">
      <t>カカリ</t>
    </rPh>
    <phoneticPr fontId="1"/>
  </si>
  <si>
    <t>担当者名</t>
    <rPh sb="0" eb="2">
      <t>タントウ</t>
    </rPh>
    <rPh sb="2" eb="3">
      <t>シャ</t>
    </rPh>
    <rPh sb="3" eb="4">
      <t>メイ</t>
    </rPh>
    <phoneticPr fontId="1"/>
  </si>
  <si>
    <t>池谷　修一郎</t>
    <rPh sb="0" eb="2">
      <t>イケヤ</t>
    </rPh>
    <rPh sb="3" eb="6">
      <t>シュウイチロウ</t>
    </rPh>
    <phoneticPr fontId="1"/>
  </si>
  <si>
    <t>E-mail</t>
  </si>
  <si>
    <t>gkyoumu2@adb.shizuoka.ac.jp</t>
    <phoneticPr fontId="1"/>
  </si>
  <si>
    <t>電話番号</t>
  </si>
  <si>
    <t>054-238-4257</t>
    <phoneticPr fontId="1"/>
  </si>
  <si>
    <t>様式２</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</si>
  <si>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</si>
  <si>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</si>
  <si>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</si>
  <si>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</si>
  <si>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</si>
  <si>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プログラムを構成する全学教育科目「数理・データサイエンス入門」（１単位）及び「情報処理・データサイエンス演習」（２単位）の両方の単位を取得すること。
なおこの両科目は卒業要件における必修科目でもあり、従って本学卒業生は全員が本教育プログラムの修了者となる。</t>
    <rPh sb="6" eb="8">
      <t>コウセイ</t>
    </rPh>
    <rPh sb="10" eb="12">
      <t>ゼンガク</t>
    </rPh>
    <rPh sb="12" eb="14">
      <t>キョウイク</t>
    </rPh>
    <rPh sb="14" eb="16">
      <t>カモク</t>
    </rPh>
    <rPh sb="17" eb="19">
      <t>スウリ</t>
    </rPh>
    <rPh sb="28" eb="30">
      <t>ニュウモン</t>
    </rPh>
    <rPh sb="33" eb="35">
      <t>タンイ</t>
    </rPh>
    <rPh sb="36" eb="37">
      <t>オヨ</t>
    </rPh>
    <rPh sb="39" eb="41">
      <t>ジョウホウ</t>
    </rPh>
    <rPh sb="41" eb="43">
      <t>ショリ</t>
    </rPh>
    <rPh sb="52" eb="54">
      <t>エンシュウ</t>
    </rPh>
    <rPh sb="57" eb="59">
      <t>タンイ</t>
    </rPh>
    <rPh sb="61" eb="63">
      <t>リョウホウ</t>
    </rPh>
    <rPh sb="64" eb="66">
      <t>タンイ</t>
    </rPh>
    <rPh sb="67" eb="69">
      <t>シュトク</t>
    </rPh>
    <rPh sb="80" eb="81">
      <t>リョウ</t>
    </rPh>
    <rPh sb="81" eb="83">
      <t>カモク</t>
    </rPh>
    <rPh sb="84" eb="86">
      <t>ソツギョウ</t>
    </rPh>
    <rPh sb="86" eb="88">
      <t>ヨウケン</t>
    </rPh>
    <rPh sb="92" eb="94">
      <t>ヒッシュウ</t>
    </rPh>
    <rPh sb="94" eb="96">
      <t>カモク</t>
    </rPh>
    <rPh sb="101" eb="102">
      <t>シタガ</t>
    </rPh>
    <rPh sb="104" eb="106">
      <t>ホンガク</t>
    </rPh>
    <rPh sb="106" eb="109">
      <t>ソツギョウセイ</t>
    </rPh>
    <rPh sb="110" eb="112">
      <t>ゼンイン</t>
    </rPh>
    <rPh sb="113" eb="114">
      <t>ホン</t>
    </rPh>
    <rPh sb="114" eb="116">
      <t>キョウイク</t>
    </rPh>
    <rPh sb="122" eb="125">
      <t>シュウリョウシャ</t>
    </rPh>
    <phoneticPr fontId="1"/>
  </si>
  <si>
    <t>授業科目名称</t>
    <rPh sb="0" eb="2">
      <t>ジュギョウ</t>
    </rPh>
    <rPh sb="2" eb="4">
      <t>カモク</t>
    </rPh>
    <rPh sb="4" eb="6">
      <t>メイショウ</t>
    </rPh>
    <phoneticPr fontId="1"/>
  </si>
  <si>
    <t>数理・データサイエンス入門</t>
    <rPh sb="0" eb="2">
      <t>スウリ</t>
    </rPh>
    <rPh sb="11" eb="13">
      <t>ニュウモン</t>
    </rPh>
    <phoneticPr fontId="1"/>
  </si>
  <si>
    <t>情報処理・データサイエンス演習</t>
    <rPh sb="0" eb="2">
      <t>ジョウホウ</t>
    </rPh>
    <rPh sb="2" eb="4">
      <t>ショリ</t>
    </rPh>
    <rPh sb="13" eb="15">
      <t>エンシュウ</t>
    </rPh>
    <phoneticPr fontId="1"/>
  </si>
  <si>
    <t>様式３</t>
    <rPh sb="0" eb="2">
      <t>ヨウシキ</t>
    </rPh>
    <phoneticPr fontId="1"/>
  </si>
  <si>
    <t>学校名：</t>
    <rPh sb="0" eb="2">
      <t>ガッコウ</t>
    </rPh>
    <phoneticPr fontId="1"/>
  </si>
  <si>
    <t>国立大学法人静岡大学</t>
  </si>
  <si>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</si>
  <si>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</si>
  <si>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</si>
  <si>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</si>
  <si>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</si>
  <si>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</si>
  <si>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</si>
  <si>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</si>
  <si>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</si>
  <si>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</si>
  <si>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</si>
  <si>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</si>
  <si>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</si>
  <si>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人文社会科学部（人文科学・社会科学）</t>
    <phoneticPr fontId="1"/>
  </si>
  <si>
    <t>人文社会科学部（夜間主コース）（社会科学）</t>
    <phoneticPr fontId="1"/>
  </si>
  <si>
    <t>教育学部（教育）</t>
    <rPh sb="5" eb="7">
      <t>キョウイク</t>
    </rPh>
    <phoneticPr fontId="1"/>
  </si>
  <si>
    <t>情報学部（社会科学・工学・その他）</t>
    <rPh sb="5" eb="7">
      <t>シャカイ</t>
    </rPh>
    <rPh sb="7" eb="9">
      <t>カガク</t>
    </rPh>
    <rPh sb="10" eb="12">
      <t>コウガク</t>
    </rPh>
    <rPh sb="15" eb="16">
      <t>タ</t>
    </rPh>
    <phoneticPr fontId="1"/>
  </si>
  <si>
    <t>理学部（理学）</t>
    <rPh sb="4" eb="6">
      <t>リガク</t>
    </rPh>
    <phoneticPr fontId="1"/>
  </si>
  <si>
    <t>工学部（工学）</t>
    <rPh sb="4" eb="6">
      <t>コウガク</t>
    </rPh>
    <phoneticPr fontId="1"/>
  </si>
  <si>
    <t>農学部（農学）</t>
    <rPh sb="4" eb="6">
      <t>ノウガク</t>
    </rPh>
    <rPh sb="5" eb="6">
      <t>マナブ</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</si>
  <si>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</si>
  <si>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</si>
  <si>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</si>
  <si>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</si>
  <si>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</si>
  <si>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</si>
  <si>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</si>
  <si>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（社会で起きている変化の観点） 　現代社会で情報技術・データサイエンス技術の発展が社会にもたらしている変化を知り、専門分野によらず全ての大学生にとって数理・データサイエンス・AIを学ぶことには重要な意義があること理解する。
（データ・AI利活用の最新動向の観点）　そのために、数理・データサイエンスの最新応用事例を学び、また企業人へのインタビューを通じて数理・データサイエンスを基盤とする新しいビジネス/サービスを知る。</t>
    <rPh sb="12" eb="14">
      <t>カンテン</t>
    </rPh>
    <rPh sb="17" eb="19">
      <t>ゲンダイ</t>
    </rPh>
    <rPh sb="22" eb="24">
      <t>ジョウホウ</t>
    </rPh>
    <rPh sb="24" eb="26">
      <t>ギジュツ</t>
    </rPh>
    <rPh sb="35" eb="37">
      <t>ギジュツ</t>
    </rPh>
    <rPh sb="38" eb="40">
      <t>ハッテン</t>
    </rPh>
    <rPh sb="41" eb="43">
      <t>シャカイ</t>
    </rPh>
    <rPh sb="57" eb="59">
      <t>センモン</t>
    </rPh>
    <rPh sb="59" eb="61">
      <t>ブンヤ</t>
    </rPh>
    <rPh sb="65" eb="66">
      <t>スベ</t>
    </rPh>
    <rPh sb="68" eb="71">
      <t>ダイガクセイ</t>
    </rPh>
    <rPh sb="96" eb="98">
      <t>ジュウヨウ</t>
    </rPh>
    <rPh sb="129" eb="131">
      <t>カンテン</t>
    </rPh>
    <rPh sb="151" eb="153">
      <t>サイシン</t>
    </rPh>
    <phoneticPr fontId="1"/>
  </si>
  <si>
    <t>授業科目名称</t>
    <rPh sb="0" eb="2">
      <t>ジュギョウ</t>
    </rPh>
    <rPh sb="2" eb="6">
      <t>カモクメイショウ</t>
    </rPh>
    <phoneticPr fontId="1"/>
  </si>
  <si>
    <t>講義テーマ</t>
    <rPh sb="0" eb="2">
      <t>コウギ</t>
    </rPh>
    <phoneticPr fontId="1"/>
  </si>
  <si>
    <t>【企業インタビュー】ビッグデータとAI(1)、数理モデルと統計モデル (7)、　ロボットの動作生成と行動学習(7)、自然言語処理(7)</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</si>
  <si>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</si>
  <si>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（社会で活用されているデータの観点） 現代社会において、どのような組織により、どんなデータが、どのような方法で蒐集されているか、またそのデータがどのような目的で、どのような技術に基づいて活用されているかを学ぶ。
（データ・AIの活用領域の観点） 数理・データサイエンス技術の活用が社会のさまざまな領域で進展していることを学ぶ。</t>
    <rPh sb="15" eb="17">
      <t>カンテン</t>
    </rPh>
    <rPh sb="19" eb="21">
      <t>ゲンダイ</t>
    </rPh>
    <rPh sb="21" eb="23">
      <t>シャカイ</t>
    </rPh>
    <rPh sb="33" eb="35">
      <t>ソシキ</t>
    </rPh>
    <rPh sb="52" eb="54">
      <t>ホウホウ</t>
    </rPh>
    <rPh sb="55" eb="57">
      <t>シュウシュウ</t>
    </rPh>
    <rPh sb="77" eb="79">
      <t>モクテキ</t>
    </rPh>
    <rPh sb="86" eb="88">
      <t>ギジュツ</t>
    </rPh>
    <rPh sb="89" eb="90">
      <t>モト</t>
    </rPh>
    <rPh sb="102" eb="103">
      <t>マナ</t>
    </rPh>
    <rPh sb="120" eb="122">
      <t>カンテン</t>
    </rPh>
    <rPh sb="124" eb="126">
      <t>スウリ</t>
    </rPh>
    <rPh sb="135" eb="137">
      <t>ギジュツ</t>
    </rPh>
    <rPh sb="138" eb="140">
      <t>カツヨウ</t>
    </rPh>
    <rPh sb="141" eb="143">
      <t>シャカイ</t>
    </rPh>
    <rPh sb="152" eb="154">
      <t>シンテン</t>
    </rPh>
    <rPh sb="161" eb="162">
      <t>マナ</t>
    </rPh>
    <phoneticPr fontId="1"/>
  </si>
  <si>
    <t>医療診断１・２(1）、人工社会シミュレーション(7)、行政データの活用(7)、 動画解析に基づく映像生成技術 (7)</t>
    <rPh sb="0" eb="2">
      <t>イリョウ</t>
    </rPh>
    <rPh sb="2" eb="4">
      <t>シンダン</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</si>
  <si>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</si>
  <si>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（データ・AI利活用のための技術の観点） 数理・データサイエンスを活用するために使われている技術と、その基礎となる数理統計などの基礎概念の概要を学ぶ。
（データ・AI利活用の現場からの観点） 数理・データサイエンスを活用することによって、現代社会のビジネスや生産の現場においてどのような価値が生まれているかを学ぶ。</t>
    <rPh sb="17" eb="19">
      <t>カンテン</t>
    </rPh>
    <rPh sb="21" eb="23">
      <t>スウリ</t>
    </rPh>
    <rPh sb="52" eb="54">
      <t>キソ</t>
    </rPh>
    <rPh sb="57" eb="59">
      <t>スウリ</t>
    </rPh>
    <rPh sb="59" eb="61">
      <t>トウケイ</t>
    </rPh>
    <rPh sb="64" eb="66">
      <t>キソ</t>
    </rPh>
    <rPh sb="66" eb="68">
      <t>ガイネン</t>
    </rPh>
    <rPh sb="72" eb="73">
      <t>マナ</t>
    </rPh>
    <rPh sb="93" eb="95">
      <t>カンテン</t>
    </rPh>
    <rPh sb="97" eb="99">
      <t>スウリ</t>
    </rPh>
    <rPh sb="120" eb="122">
      <t>ゲンダイ</t>
    </rPh>
    <rPh sb="122" eb="124">
      <t>シャカイ</t>
    </rPh>
    <rPh sb="130" eb="132">
      <t>セイサン</t>
    </rPh>
    <rPh sb="133" eb="135">
      <t>ゲンバ</t>
    </rPh>
    <rPh sb="155" eb="156">
      <t>マナ</t>
    </rPh>
    <phoneticPr fontId="1"/>
  </si>
  <si>
    <t>画像認識(1)、音声認識(1)、尺度水準(4)、代表値1・２(4)、 データの可視化1-4 (4)、回帰分析(5)、主成分分析(5)、クラスター分析（5)、確率と確率変数(6)、確率分布と期待値(6)、確率と確率分布(6)、母集団、標本、無作為抽出 (6)、有意差検定 (6)、様々な検定手法の紹介(6)</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</si>
  <si>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</si>
  <si>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以下に挙げるような数理・データサイエンス活用における留意事項について学ぶ。
・個人情報保護法やEU一般データ保護規則(GDPR)など、データを取り巻く国際的な動きを理解する。
・データ・AIを利活用する際に求められるモラルや倫理について理解する。
・数理・データサイエンスの活用が進んだ社会においてどのような脅威（リスク）があるか理解する。
・個人のデータを守るために留意すべき事項（データの取り扱い技術、関連法規など）を理解する。</t>
    <rPh sb="1" eb="3">
      <t>イカ</t>
    </rPh>
    <rPh sb="4" eb="5">
      <t>ア</t>
    </rPh>
    <rPh sb="10" eb="12">
      <t>スウリ</t>
    </rPh>
    <rPh sb="21" eb="23">
      <t>カツヨウ</t>
    </rPh>
    <rPh sb="27" eb="29">
      <t>リュウイ</t>
    </rPh>
    <rPh sb="29" eb="31">
      <t>ジコウ</t>
    </rPh>
    <rPh sb="35" eb="36">
      <t>マナ</t>
    </rPh>
    <rPh sb="112" eb="114">
      <t>スウリ</t>
    </rPh>
    <rPh sb="124" eb="126">
      <t>カツヨウ</t>
    </rPh>
    <rPh sb="127" eb="128">
      <t>スス</t>
    </rPh>
    <rPh sb="184" eb="185">
      <t>ト</t>
    </rPh>
    <rPh sb="186" eb="187">
      <t>アツカ</t>
    </rPh>
    <rPh sb="188" eb="190">
      <t>ギジュツ</t>
    </rPh>
    <rPh sb="191" eb="193">
      <t>カンレン</t>
    </rPh>
    <rPh sb="193" eb="195">
      <t>ホウキ</t>
    </rPh>
    <phoneticPr fontId="1"/>
  </si>
  <si>
    <t>データの収集、データの保存(8)、データの前処理1・２(8)、分析手法の選択(8)、個人情報保護法(8)、データの取り扱いに関する注意(8)、情報セキュリティ(8)、 情報の信頼性(8)、改竄(8)、再現性、チャンピオンデータ(8)</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</si>
  <si>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</si>
  <si>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数理・データサイエンスを実践的に活用するための基礎知識、技術、スキルを学ぶ。
・データの特徴を読み解き、起きている事象の背景や意味合いを理解できる
・データを読み解く上で、ドメイン知識が重要であることを理解する
・データの発生現場を確認することの重要性を理解する
・データの比較対象を正しく設定し、数字を比べることができる
・適切な可視化手法を選択し、他者にデータを説明できる
・不適切に作成されたグラフ/数字に騙されない
・文献や現象を読み解き、それらの関係を分析・考察し表現することができる
・スプレッドシート等を使って、小規模データ（数百件～数千件レベル）を集計・加工できる</t>
    <rPh sb="0" eb="2">
      <t>スウリ</t>
    </rPh>
    <rPh sb="12" eb="15">
      <t>ジッセンテキ</t>
    </rPh>
    <rPh sb="16" eb="18">
      <t>カツヨウ</t>
    </rPh>
    <rPh sb="23" eb="25">
      <t>キソ</t>
    </rPh>
    <rPh sb="25" eb="27">
      <t>チシキ</t>
    </rPh>
    <rPh sb="28" eb="30">
      <t>ギジュツ</t>
    </rPh>
    <rPh sb="35" eb="36">
      <t>マナ</t>
    </rPh>
    <phoneticPr fontId="1"/>
  </si>
  <si>
    <t>アナログとデジタル（2）、アナログデータとデジタルデータの変換１・２(2)、文字コード(2)、
プログラミングの概要１・２(2)、データ処理に用いられる言語１・２(3)、プログラミング環境１．２(3)、プログラミング活用事例１・２(3)</t>
  </si>
  <si>
    <t>Ｅｘｃeｌを使った統計処理・データ分析（10－15）</t>
    <rPh sb="6" eb="7">
      <t>ツカ</t>
    </rPh>
    <rPh sb="9" eb="11">
      <t>トウケイ</t>
    </rPh>
    <rPh sb="11" eb="13">
      <t>ショリ</t>
    </rPh>
    <rPh sb="17" eb="19">
      <t>ブンセキ</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</si>
  <si>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</si>
  <si>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</si>
  <si>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数理・データサイエンス入門（対応する授業項目と授業回：確率と確率分布(6)、尺度水準(4)、有意差検定 (6) ）
情報処理・データサイエンス演習</t>
  </si>
  <si>
    <t>アルゴリズム基礎</t>
    <rPh sb="6" eb="8">
      <t>キソ</t>
    </rPh>
    <phoneticPr fontId="1"/>
  </si>
  <si>
    <t>数理・データサイエンス入門（対応する授業項目と授業回：プログラミングの概要１・２(2)、プログラミング活用事例１・２(3)）</t>
  </si>
  <si>
    <t>データ構造とプログラミング基礎</t>
    <rPh sb="3" eb="5">
      <t>コウゾウ</t>
    </rPh>
    <rPh sb="13" eb="15">
      <t>キソ</t>
    </rPh>
    <phoneticPr fontId="1"/>
  </si>
  <si>
    <t>数理・データサイエンス入門（対応する授業項目と授業回：プログラミング環境１．２(3) 、データ処理に用いられる言語１・２(3)）</t>
  </si>
  <si>
    <t>時系列データ解析</t>
    <rPh sb="0" eb="3">
      <t>ジケイレツ</t>
    </rPh>
    <rPh sb="6" eb="8">
      <t>カイセキ</t>
    </rPh>
    <phoneticPr fontId="1"/>
  </si>
  <si>
    <t>数理・データサイエンス入門（対応する授業項目と授業回：音声認識(1)、動画解析に基づく映像生成技術 (7)）</t>
  </si>
  <si>
    <t>テキスト解析</t>
    <rPh sb="4" eb="6">
      <t>カイセキ</t>
    </rPh>
    <phoneticPr fontId="1"/>
  </si>
  <si>
    <t>数理・データサイエンス入門（対応する授業項目と授業回：自然言語処理(7)）</t>
  </si>
  <si>
    <t>画像解析</t>
    <rPh sb="0" eb="2">
      <t>ガゾウ</t>
    </rPh>
    <rPh sb="2" eb="4">
      <t>カイセキ</t>
    </rPh>
    <phoneticPr fontId="1"/>
  </si>
  <si>
    <t>数理・データサイエンス入門（対応する授業項目と授業回：医療診断１・２(1），画像認識(1)）</t>
  </si>
  <si>
    <t>データハンドリング</t>
    <phoneticPr fontId="1"/>
  </si>
  <si>
    <t>数理・データサイエンス入門（対応する授業項目と授業回：データの収集、データの保存(8)、データの取り扱いに関する注意(8)）</t>
  </si>
  <si>
    <t>データ活用実践（教師あり学習）</t>
    <rPh sb="3" eb="5">
      <t>カツヨウ</t>
    </rPh>
    <rPh sb="5" eb="7">
      <t>ジッセン</t>
    </rPh>
    <rPh sb="8" eb="10">
      <t>キョウシ</t>
    </rPh>
    <rPh sb="12" eb="14">
      <t>ガクシュウ</t>
    </rPh>
    <phoneticPr fontId="1"/>
  </si>
  <si>
    <t>数理・データサイエンス入門（対応する授業項目と授業回：回帰分析(5)、行政データの活用(7)）</t>
  </si>
  <si>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</si>
  <si>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</si>
  <si>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https://web.hedc.shizuoka.ac.jp/projects/mds/program/</t>
    <phoneticPr fontId="1"/>
  </si>
  <si>
    <t>プログラムの学修成果（学生等が身に付けられる能力等）</t>
  </si>
  <si>
    <t>数理・データサイエンスにおける知識・スキルの現代社会における必要性を認識し、先端的な活用事例を学ぶ。そのために必要な数学、統計処理、情報処理などに関する基礎概念の意味と活用法を理解する。データの取り扱いに関する法律やモラルなど、将来的に社会人としてデータサイエンスに関わる活動を行う上で必須となる倫理を身につける。計算機を使った演習を通じて、学んだ統計手法を用いたデータ処理を実践し、データ処理に関する実務能力の基礎を身につける。</t>
    <rPh sb="0" eb="2">
      <t>スウリ</t>
    </rPh>
    <rPh sb="15" eb="17">
      <t>チシキ</t>
    </rPh>
    <rPh sb="22" eb="24">
      <t>ゲンダイ</t>
    </rPh>
    <rPh sb="24" eb="26">
      <t>シャカイ</t>
    </rPh>
    <rPh sb="30" eb="33">
      <t>ヒツヨウセイ</t>
    </rPh>
    <rPh sb="34" eb="36">
      <t>ニンシキ</t>
    </rPh>
    <rPh sb="38" eb="41">
      <t>センタンテキ</t>
    </rPh>
    <rPh sb="42" eb="44">
      <t>カツヨウ</t>
    </rPh>
    <rPh sb="44" eb="46">
      <t>ジレイ</t>
    </rPh>
    <rPh sb="47" eb="48">
      <t>マナ</t>
    </rPh>
    <rPh sb="55" eb="57">
      <t>ヒツヨウ</t>
    </rPh>
    <rPh sb="58" eb="60">
      <t>スウガク</t>
    </rPh>
    <rPh sb="61" eb="63">
      <t>トウケイ</t>
    </rPh>
    <rPh sb="63" eb="65">
      <t>ショリ</t>
    </rPh>
    <rPh sb="66" eb="68">
      <t>ジョウホウ</t>
    </rPh>
    <rPh sb="68" eb="70">
      <t>ショリ</t>
    </rPh>
    <rPh sb="73" eb="74">
      <t>カン</t>
    </rPh>
    <rPh sb="76" eb="78">
      <t>キソ</t>
    </rPh>
    <rPh sb="78" eb="80">
      <t>ガイネン</t>
    </rPh>
    <rPh sb="81" eb="83">
      <t>イミ</t>
    </rPh>
    <rPh sb="84" eb="86">
      <t>カツヨウ</t>
    </rPh>
    <rPh sb="86" eb="87">
      <t>ホウ</t>
    </rPh>
    <rPh sb="88" eb="90">
      <t>リカイ</t>
    </rPh>
    <rPh sb="97" eb="98">
      <t>ト</t>
    </rPh>
    <rPh sb="99" eb="100">
      <t>アツカ</t>
    </rPh>
    <rPh sb="102" eb="103">
      <t>カン</t>
    </rPh>
    <rPh sb="105" eb="107">
      <t>ホウリツ</t>
    </rPh>
    <rPh sb="114" eb="117">
      <t>ショウライテキ</t>
    </rPh>
    <rPh sb="118" eb="120">
      <t>シャカイ</t>
    </rPh>
    <rPh sb="120" eb="121">
      <t>ジン</t>
    </rPh>
    <rPh sb="133" eb="134">
      <t>カカ</t>
    </rPh>
    <rPh sb="136" eb="138">
      <t>カツドウ</t>
    </rPh>
    <rPh sb="139" eb="140">
      <t>オコナ</t>
    </rPh>
    <rPh sb="141" eb="142">
      <t>ウエ</t>
    </rPh>
    <rPh sb="143" eb="145">
      <t>ヒッス</t>
    </rPh>
    <rPh sb="148" eb="150">
      <t>リンリ</t>
    </rPh>
    <rPh sb="151" eb="152">
      <t>ミ</t>
    </rPh>
    <rPh sb="157" eb="160">
      <t>ケイサンキ</t>
    </rPh>
    <rPh sb="161" eb="162">
      <t>ツカ</t>
    </rPh>
    <rPh sb="164" eb="166">
      <t>エンシュウ</t>
    </rPh>
    <rPh sb="167" eb="168">
      <t>ツウ</t>
    </rPh>
    <rPh sb="171" eb="172">
      <t>マナ</t>
    </rPh>
    <rPh sb="174" eb="176">
      <t>トウケイ</t>
    </rPh>
    <rPh sb="176" eb="178">
      <t>シュホウ</t>
    </rPh>
    <rPh sb="179" eb="180">
      <t>モチ</t>
    </rPh>
    <rPh sb="185" eb="187">
      <t>ショリ</t>
    </rPh>
    <rPh sb="188" eb="190">
      <t>ジッセン</t>
    </rPh>
    <rPh sb="195" eb="197">
      <t>ショリ</t>
    </rPh>
    <rPh sb="198" eb="199">
      <t>カン</t>
    </rPh>
    <rPh sb="201" eb="203">
      <t>ジツム</t>
    </rPh>
    <rPh sb="203" eb="205">
      <t>ノウリョク</t>
    </rPh>
    <rPh sb="206" eb="208">
      <t>キソ</t>
    </rPh>
    <rPh sb="209" eb="210">
      <t>ミ</t>
    </rPh>
    <phoneticPr fontId="1"/>
  </si>
  <si>
    <t>様式５</t>
    <rPh sb="0" eb="2">
      <t>ヨウシキ</t>
    </rPh>
    <phoneticPr fontId="1"/>
  </si>
  <si>
    <t>学校名</t>
    <rPh sb="0" eb="3">
      <t>ガッコウメイ</t>
    </rPh>
    <phoneticPr fontId="1"/>
  </si>
  <si>
    <t>：</t>
    <phoneticPr fontId="1"/>
  </si>
  <si>
    <t>国立大学法人静岡大学</t>
    <rPh sb="0" eb="2">
      <t>コクリツ</t>
    </rPh>
    <rPh sb="2" eb="4">
      <t>ダイガク</t>
    </rPh>
    <rPh sb="4" eb="6">
      <t>ホウジン</t>
    </rPh>
    <rPh sb="6" eb="10">
      <t>シズオカダイガク</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</si>
  <si>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</si>
  <si>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</si>
  <si>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静岡大学全学教育内部質保証規則</t>
    <rPh sb="0" eb="1">
      <t xml:space="preserve">ダイガク </t>
    </rPh>
    <rPh sb="1" eb="3">
      <t xml:space="preserve">キョウイク </t>
    </rPh>
    <rPh sb="7" eb="9">
      <t xml:space="preserve">ナイキ </t>
    </rPh>
    <phoneticPr fontId="1"/>
  </si>
  <si>
    <t>体制の目的</t>
    <rPh sb="0" eb="2">
      <t>タイセイ</t>
    </rPh>
    <rPh sb="3" eb="5">
      <t>モクテキ</t>
    </rPh>
    <phoneticPr fontId="1"/>
  </si>
  <si>
    <t xml:space="preserve">
　本プログラムは、静岡大学の全学教育科目（教養教育科目）において必修科目として学生に提供される。全学教育科目の、プログラムの自己点検・評価についての責任は、静岡大学全学教育内部質保証規則の基、各教育プログラムを所掌する担当部局において実施する。本プログラムの所掌は、大学教育センターであり、大学教育センター内に設置された内部質保証専門委員会が責任を持ってプログラムの自己点検・評価の責任を持つ。
　数理・データサイエンスの専門性の観点から、本プログラムの改善・進化を担うのは、令和2年度に設置した「数理・データサイエンス教育プロジェクト研究所」となる。本プロジェクト研究所では、静岡大学におけるデータを活用し社会の課題を発見、解決できる人材を育成することを目的に、数理・データサイエンス・AI教育の全学的な普及、関連科目の整備に関する活動を行う。</t>
    <rPh sb="95" eb="96">
      <t>モト</t>
    </rPh>
    <phoneticPr fontId="1"/>
  </si>
  <si>
    <t>具体的な構成員</t>
    <rPh sb="0" eb="3">
      <t>グタイテキ</t>
    </rPh>
    <rPh sb="4" eb="7">
      <t>コウセイイン</t>
    </rPh>
    <phoneticPr fontId="1"/>
  </si>
  <si>
    <t xml:space="preserve">
数理・データサイエンス教育プロジェクト研究所
情報学部　教授　小西 達裕
大学教育センター　准教授　須藤智
大学教育センター　講師　滑田明暢
大学教育センター　特任助教　武田将季 
大学教育センター　特任助教　坂本孝丈 </t>
  </si>
  <si>
    <t>履修者数・履修率の向上に向けた計画</t>
    <rPh sb="5" eb="7">
      <t>リシュウ</t>
    </rPh>
    <rPh sb="7" eb="8">
      <t>リツ</t>
    </rPh>
    <phoneticPr fontId="1"/>
  </si>
  <si>
    <t xml:space="preserve">
各年度の履修者数の目標を以下のとおりとする。（（　）内は履修率。）
令和３年度　3940名　（50％）
令和４年度　5910名　（75％）
令和５年度　7880名　（100％）
令和６年度　7880名　（100％）
令和７年度　7880名　（100％）  ※必修科目のため，休学者は正式な数字からは除く
　本学の数理・データサイエンス教育プログラムは必修科目のため、履修者数については入学者ベースとなる。また、履修率の向上に向けた数値計画はない。必修科目のため、学生の学修動機づけの低下が懸念されるため、学修サポート体制についての取組を強化する。
　具体的には、授業時間内外での学修指導、質問を受け付ける仕組みとしてフルオンライン授業では、TA（大学院生チュータ）によるチュータ指導を導入し、授業内外での質問対応を行う。また、対面の演習授業においては、TA（大学院生チュータ）を導入し、授業内外での質問等を受け付ける仕組みを導入し、学生の学修サポートを行う。</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</si>
  <si>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</si>
  <si>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本プログラムは、全学生が必修科目として履修する数理・データサイエンス科目であり、学部・学科に関わらず受講する。
　すべての学生が受講できるようにするために、数理・データサイエンスプロジェクト研究所の設置により、全学的なフルオンラインの教育コンテンツを作成をおこなっている。プログラムの基幹科目である「数理・データサイエンス入門」については全学生が受講できるようフルオンラインのオンデマンド教材を整備した。また、学生の適切な受講が可能になるようにするために、キャンパス毎にTA（大学院生チュータ）を配置し、適宜質問対応を行う仕組みを整えた。</t>
    <rPh sb="2" eb="3">
      <t xml:space="preserve">ホン </t>
    </rPh>
    <rPh sb="10" eb="13">
      <t xml:space="preserve">ゼンガクセイ </t>
    </rPh>
    <rPh sb="14" eb="16">
      <t xml:space="preserve">ヒッシュウ </t>
    </rPh>
    <rPh sb="16" eb="18">
      <t xml:space="preserve">カモクトシテ </t>
    </rPh>
    <rPh sb="21" eb="23">
      <t xml:space="preserve">リシュウ </t>
    </rPh>
    <rPh sb="25" eb="27">
      <t xml:space="preserve">スウリ </t>
    </rPh>
    <rPh sb="36" eb="38">
      <t xml:space="preserve">カモク </t>
    </rPh>
    <rPh sb="42" eb="44">
      <t xml:space="preserve">ガクブ </t>
    </rPh>
    <rPh sb="45" eb="47">
      <t xml:space="preserve">ガッカニ </t>
    </rPh>
    <rPh sb="48" eb="49">
      <t xml:space="preserve">カカワラズ </t>
    </rPh>
    <rPh sb="52" eb="54">
      <t xml:space="preserve">ジュコウ </t>
    </rPh>
    <rPh sb="63" eb="65">
      <t xml:space="preserve">ガクセイ </t>
    </rPh>
    <rPh sb="66" eb="68">
      <t xml:space="preserve">ジュコウ </t>
    </rPh>
    <rPh sb="80" eb="82">
      <t xml:space="preserve">スウリ </t>
    </rPh>
    <rPh sb="97" eb="100">
      <t xml:space="preserve">ケンキュウジョ </t>
    </rPh>
    <rPh sb="100" eb="102">
      <t>セッチ</t>
    </rPh>
    <rPh sb="105" eb="109">
      <t>ゼンガクテキ</t>
    </rPh>
    <rPh sb="110" eb="120">
      <t>キョウイク</t>
    </rPh>
    <rPh sb="126" eb="128">
      <t>サクセイ</t>
    </rPh>
    <rPh sb="128" eb="138">
      <t>シエン</t>
    </rPh>
    <rPh sb="143" eb="171">
      <t>キソ</t>
    </rPh>
    <rPh sb="171" eb="172">
      <t>ゼンガク</t>
    </rPh>
    <rPh sb="172" eb="173">
      <t>セイ</t>
    </rPh>
    <rPh sb="174" eb="176">
      <t>ジュコウ</t>
    </rPh>
    <rPh sb="195" eb="197">
      <t>キョウザイ</t>
    </rPh>
    <rPh sb="198" eb="200">
      <t>セイビ</t>
    </rPh>
    <rPh sb="207" eb="209">
      <t xml:space="preserve">ガクセイノ </t>
    </rPh>
    <rPh sb="210" eb="212">
      <t xml:space="preserve">テキセツナ </t>
    </rPh>
    <rPh sb="213" eb="215">
      <t xml:space="preserve">ジュコウ </t>
    </rPh>
    <rPh sb="216" eb="218">
      <t xml:space="preserve">カノウ </t>
    </rPh>
    <rPh sb="235" eb="236">
      <t xml:space="preserve">ゴトニ </t>
    </rPh>
    <rPh sb="250" eb="252">
      <t xml:space="preserve">ハイチ </t>
    </rPh>
    <rPh sb="254" eb="256">
      <t xml:space="preserve">テキギ </t>
    </rPh>
    <rPh sb="256" eb="258">
      <t xml:space="preserve">シツモントウ </t>
    </rPh>
    <rPh sb="258" eb="260">
      <t xml:space="preserve">タイオウヲ </t>
    </rPh>
    <rPh sb="261" eb="262">
      <t xml:space="preserve">オコナウ </t>
    </rPh>
    <rPh sb="263" eb="265">
      <t xml:space="preserve">シクミヲ </t>
    </rPh>
    <rPh sb="267" eb="268">
      <t>トトノ</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</si>
  <si>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</si>
  <si>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
　全学生がフルオンラインの授業を1年前期に受講するために、ガイダンス資料として「オンライン授業の受講方法」についての冊子を作成し、本教育プログラムの内容、受講方法について解説する資料を全学的に配布している。
　また、学内のWebページ、広報誌には、本学の数理・データサイエンス教育の取り組みについて紹介する記事などを掲載し、学内の学生達への数理・データサイエンス教育の重要性、必要性を伝えている。</t>
    <rPh sb="2" eb="5">
      <t xml:space="preserve">ゼンガクセイ </t>
    </rPh>
    <rPh sb="14" eb="16">
      <t xml:space="preserve">ジュギョウヲ </t>
    </rPh>
    <rPh sb="22" eb="24">
      <t xml:space="preserve">ジュコウ </t>
    </rPh>
    <rPh sb="35" eb="37">
      <t xml:space="preserve">シリョウ </t>
    </rPh>
    <rPh sb="49" eb="53">
      <t xml:space="preserve">ジュコウホウホウ </t>
    </rPh>
    <rPh sb="59" eb="61">
      <t>サッシヲ</t>
    </rPh>
    <rPh sb="62" eb="64">
      <t xml:space="preserve">サクセイ </t>
    </rPh>
    <rPh sb="66" eb="67">
      <t xml:space="preserve">ホｎ </t>
    </rPh>
    <rPh sb="67" eb="69">
      <t xml:space="preserve">キョウイク </t>
    </rPh>
    <rPh sb="75" eb="77">
      <t xml:space="preserve">ナイヨウ </t>
    </rPh>
    <rPh sb="78" eb="82">
      <t xml:space="preserve">ジュコウホウホウ </t>
    </rPh>
    <rPh sb="86" eb="88">
      <t xml:space="preserve">カイセツ </t>
    </rPh>
    <rPh sb="90" eb="92">
      <t xml:space="preserve">シリョウヲ </t>
    </rPh>
    <rPh sb="93" eb="96">
      <t xml:space="preserve">ゼンガクテキニ </t>
    </rPh>
    <rPh sb="97" eb="99">
      <t xml:space="preserve">ハイフ </t>
    </rPh>
    <rPh sb="109" eb="111">
      <t xml:space="preserve">ガクナイノ </t>
    </rPh>
    <rPh sb="119" eb="122">
      <t xml:space="preserve">コウホウシ </t>
    </rPh>
    <rPh sb="125" eb="127">
      <t xml:space="preserve">ホンガクトシテノ </t>
    </rPh>
    <rPh sb="128" eb="130">
      <t xml:space="preserve">スウリ </t>
    </rPh>
    <rPh sb="139" eb="141">
      <t xml:space="preserve">キョウイク </t>
    </rPh>
    <rPh sb="142" eb="143">
      <t xml:space="preserve">トリクミ </t>
    </rPh>
    <rPh sb="150" eb="152">
      <t xml:space="preserve">ショウカイ </t>
    </rPh>
    <rPh sb="154" eb="156">
      <t xml:space="preserve">キジナドヲ </t>
    </rPh>
    <rPh sb="163" eb="165">
      <t xml:space="preserve">ガクナイ </t>
    </rPh>
    <rPh sb="166" eb="168">
      <t xml:space="preserve">ガクセイ </t>
    </rPh>
    <rPh sb="168" eb="169">
      <t xml:space="preserve">タチヘノ </t>
    </rPh>
    <rPh sb="171" eb="173">
      <t xml:space="preserve">スウリ </t>
    </rPh>
    <rPh sb="182" eb="184">
      <t xml:space="preserve">キョウイク </t>
    </rPh>
    <rPh sb="185" eb="186">
      <t>ジュウヨウセイ1</t>
    </rPh>
    <rPh sb="189" eb="192">
      <t xml:space="preserve">ヒツヨウセイヲ </t>
    </rPh>
    <rPh sb="193" eb="194">
      <t xml:space="preserve">ツタエテイル </t>
    </rPh>
    <phoneticPr fontId="1"/>
  </si>
  <si>
    <t>、</t>
    <rPh sb="0" eb="1">
      <t>ジュウヨウセイ1</t>
    </rPh>
    <phoneticPr fontId="1"/>
  </si>
  <si>
    <t>できる限り多くの学生が履修・修得できるようなサポート体制</t>
    <rPh sb="26" eb="28">
      <t>タイセイ</t>
    </rPh>
    <phoneticPr fontId="1"/>
  </si>
  <si>
    <t xml:space="preserve">
　本教育プログラムの科目は、全学必修科目のため、すべての学生が履修可能である。プログラムを習得するために、学内のLMSで教材配信をおこなっている。学生の教育プログラムにおける科目の学習支援として、学内にヘルプデスクを設置し、学生の授業の質問対応を行っている。LMSの掲示板を利用して、オンライン上で学生の質問対応を行っている。</t>
    <rPh sb="2" eb="3">
      <t xml:space="preserve">ホン </t>
    </rPh>
    <rPh sb="3" eb="5">
      <t xml:space="preserve">キョウイク </t>
    </rPh>
    <rPh sb="11" eb="13">
      <t xml:space="preserve">カモクハ </t>
    </rPh>
    <rPh sb="15" eb="17">
      <t xml:space="preserve">ゼンガク </t>
    </rPh>
    <rPh sb="17" eb="19">
      <t xml:space="preserve">ヒッシュウ </t>
    </rPh>
    <rPh sb="19" eb="21">
      <t xml:space="preserve">カモク </t>
    </rPh>
    <rPh sb="29" eb="31">
      <t xml:space="preserve">ガクセイガ </t>
    </rPh>
    <rPh sb="32" eb="34">
      <t xml:space="preserve">リシュウ </t>
    </rPh>
    <rPh sb="34" eb="36">
      <t xml:space="preserve">カノウ </t>
    </rPh>
    <rPh sb="46" eb="48">
      <t xml:space="preserve">シュウトク </t>
    </rPh>
    <rPh sb="54" eb="56">
      <t xml:space="preserve">ガクナイノ </t>
    </rPh>
    <rPh sb="61" eb="63">
      <t xml:space="preserve">キョウザイ </t>
    </rPh>
    <rPh sb="63" eb="65">
      <t xml:space="preserve">ハイシンヲ </t>
    </rPh>
    <rPh sb="74" eb="76">
      <t xml:space="preserve">ガクセイノ </t>
    </rPh>
    <rPh sb="77" eb="79">
      <t xml:space="preserve">キョウイク </t>
    </rPh>
    <rPh sb="88" eb="90">
      <t xml:space="preserve">カモク </t>
    </rPh>
    <rPh sb="91" eb="93">
      <t xml:space="preserve">ガクシュウ </t>
    </rPh>
    <rPh sb="93" eb="95">
      <t xml:space="preserve">シエン </t>
    </rPh>
    <rPh sb="99" eb="101">
      <t xml:space="preserve">ガクナイニ </t>
    </rPh>
    <rPh sb="109" eb="111">
      <t xml:space="preserve">セッチ </t>
    </rPh>
    <rPh sb="113" eb="115">
      <t xml:space="preserve">ガクセイノ </t>
    </rPh>
    <rPh sb="116" eb="118">
      <t xml:space="preserve">ジュギョウ </t>
    </rPh>
    <rPh sb="119" eb="121">
      <t xml:space="preserve">シツモン </t>
    </rPh>
    <rPh sb="121" eb="123">
      <t xml:space="preserve">タイオウ </t>
    </rPh>
    <rPh sb="124" eb="125">
      <t xml:space="preserve">オコナッテイル </t>
    </rPh>
    <rPh sb="134" eb="137">
      <t>ケイジバン</t>
    </rPh>
    <rPh sb="138" eb="140">
      <t xml:space="preserve">リヨウ </t>
    </rPh>
    <rPh sb="148" eb="149">
      <t>ジョウ</t>
    </rPh>
    <rPh sb="150" eb="152">
      <t xml:space="preserve">ガクセイ </t>
    </rPh>
    <rPh sb="153" eb="157">
      <t xml:space="preserve">シツモンタイオウヲ </t>
    </rPh>
    <rPh sb="158" eb="159">
      <t xml:space="preserve">オコナッテイル </t>
    </rPh>
    <phoneticPr fontId="1"/>
  </si>
  <si>
    <t>授業時間内外で学習指導、質問を受け付ける具体的な仕組み</t>
    <rPh sb="20" eb="23">
      <t>グタイテキ</t>
    </rPh>
    <phoneticPr fontId="1"/>
  </si>
  <si>
    <t xml:space="preserve">
　本教育プログラムについては、フルオンライン授業については履修をLMSにて管理し、学生は授業時間以外に授業内容の不明点等をシステムの掲示板、教員へのメールを通じて質問することができ、質問は大学教育センターの教員、TA（大学院生チュータ）が回答する体制を整備している。対面授業の演習科目については、全学的にTA配置することとし、授業内での質問体制の充実を図っている。教員への授業内容の質問等については、授業外であれば学内のLMSを経由して質問することが可能な体制も整えている。</t>
    <rPh sb="2" eb="3">
      <t xml:space="preserve">ホン </t>
    </rPh>
    <rPh sb="23" eb="25">
      <t xml:space="preserve">ジュギョウ </t>
    </rPh>
    <rPh sb="30" eb="32">
      <t xml:space="preserve">リシュウヲ </t>
    </rPh>
    <rPh sb="38" eb="40">
      <t>カンリ</t>
    </rPh>
    <rPh sb="42" eb="44">
      <t>ガクセイ</t>
    </rPh>
    <rPh sb="45" eb="47">
      <t>ジュギョウ</t>
    </rPh>
    <rPh sb="47" eb="49">
      <t>ジカン</t>
    </rPh>
    <rPh sb="49" eb="51">
      <t>イガイ</t>
    </rPh>
    <rPh sb="52" eb="54">
      <t xml:space="preserve">ジュギョウ </t>
    </rPh>
    <rPh sb="54" eb="56">
      <t xml:space="preserve">ナイヨウ </t>
    </rPh>
    <rPh sb="57" eb="59">
      <t>フメイ</t>
    </rPh>
    <rPh sb="59" eb="60">
      <t>テン</t>
    </rPh>
    <rPh sb="60" eb="61">
      <t>トウ</t>
    </rPh>
    <rPh sb="67" eb="70">
      <t xml:space="preserve">ケイジバン </t>
    </rPh>
    <rPh sb="71" eb="73">
      <t xml:space="preserve">キョウイン </t>
    </rPh>
    <rPh sb="79" eb="80">
      <t>ツウ</t>
    </rPh>
    <rPh sb="82" eb="84">
      <t xml:space="preserve">シツモン </t>
    </rPh>
    <rPh sb="92" eb="94">
      <t>シツモン</t>
    </rPh>
    <rPh sb="95" eb="97">
      <t>ダイガク</t>
    </rPh>
    <rPh sb="97" eb="99">
      <t>キョウイク</t>
    </rPh>
    <rPh sb="104" eb="106">
      <t>キョウイン</t>
    </rPh>
    <rPh sb="110" eb="114">
      <t>ダイガクインセイ</t>
    </rPh>
    <rPh sb="120" eb="122">
      <t xml:space="preserve">カイトウ </t>
    </rPh>
    <rPh sb="124" eb="126">
      <t>タイセイ</t>
    </rPh>
    <rPh sb="127" eb="129">
      <t>セイビ</t>
    </rPh>
    <rPh sb="134" eb="136">
      <t xml:space="preserve">タイメン </t>
    </rPh>
    <rPh sb="136" eb="138">
      <t xml:space="preserve">ジュギョウ </t>
    </rPh>
    <rPh sb="139" eb="141">
      <t xml:space="preserve">エンシュウ </t>
    </rPh>
    <rPh sb="141" eb="143">
      <t xml:space="preserve">カモク </t>
    </rPh>
    <rPh sb="149" eb="152">
      <t xml:space="preserve">ゼンガクテキナ </t>
    </rPh>
    <rPh sb="155" eb="157">
      <t xml:space="preserve">ハイチスルコトト </t>
    </rPh>
    <rPh sb="164" eb="167">
      <t xml:space="preserve">ジュギョウナイ </t>
    </rPh>
    <rPh sb="169" eb="171">
      <t xml:space="preserve">シツモン </t>
    </rPh>
    <rPh sb="171" eb="173">
      <t>タイセイ</t>
    </rPh>
    <rPh sb="174" eb="176">
      <t xml:space="preserve">ジュウジツヲ </t>
    </rPh>
    <rPh sb="177" eb="178">
      <t xml:space="preserve">ハカッテイル </t>
    </rPh>
    <rPh sb="183" eb="185">
      <t xml:space="preserve">キョウイン </t>
    </rPh>
    <rPh sb="187" eb="191">
      <t xml:space="preserve">ジュギョウナイヨウ </t>
    </rPh>
    <rPh sb="192" eb="194">
      <t xml:space="preserve">シツモン </t>
    </rPh>
    <rPh sb="194" eb="195">
      <t>トウ</t>
    </rPh>
    <rPh sb="201" eb="203">
      <t xml:space="preserve">ジュギョウ </t>
    </rPh>
    <rPh sb="203" eb="204">
      <t xml:space="preserve">ガイ </t>
    </rPh>
    <rPh sb="208" eb="210">
      <t xml:space="preserve">ガクナイノ </t>
    </rPh>
    <rPh sb="215" eb="217">
      <t xml:space="preserve">ケイユ </t>
    </rPh>
    <rPh sb="219" eb="221">
      <t xml:space="preserve">シツモｎ </t>
    </rPh>
    <rPh sb="226" eb="228">
      <t xml:space="preserve">カノウ </t>
    </rPh>
    <rPh sb="229" eb="231">
      <t xml:space="preserve">タイセイ </t>
    </rPh>
    <rPh sb="232" eb="233">
      <t xml:space="preserve">トトノエテイル </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</si>
  <si>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</si>
  <si>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</si>
  <si>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</si>
  <si>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</si>
  <si>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</si>
  <si>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</si>
  <si>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</si>
  <si>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</si>
  <si>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学生のプログラムの履修・修得状況については、大学教育センター内部質保証専門委員会において、履修データ、成績分布等を用いた分析・点検を行い問題点を把握し、改善案を策定し実行する。必修科目のため、履修状況については、特に考慮する必要はないが、修得状況（単位取得状況）については、同内部質保証専門委員会において状況を把握し、定期的に教務委員会で各学部に状況を報告し、学生の履修指導につなげている。
　年度ごとのプログラムの履修・修得状況の総括としては、大学教育センター内部質保証専門委員会で、履修・修得状況について点検を行い、問題点等について改善案を策定し、改善取組を同内部質保証専門委員会を中心に実施する。</t>
    <rPh sb="212" eb="214">
      <t>シュウトク</t>
    </rPh>
    <phoneticPr fontId="1"/>
  </si>
  <si>
    <t>学修成果</t>
    <rPh sb="0" eb="2">
      <t>ガクシュウ</t>
    </rPh>
    <rPh sb="2" eb="4">
      <t>セイカ</t>
    </rPh>
    <phoneticPr fontId="1"/>
  </si>
  <si>
    <t>　プログラムの学修成果を把握する仕組みとして、フルオンライン授業の入門授業に関しては小テストの「成績データ」と動画ごとの「難易度報告」のデータをシステムを用いて取得している。学期末の時期にプログラム単位の学生アンケートを実施し、どのような学修が行われたかを定量的（アンケート）、定性的（インタビュー等）に分析するためのデータを得る予定である。これらのデータについては、大学教育センター内の数理データサイエンス教育プロジェクト研究所を中心に解析を行い、解析結果から導きされた学修成果を大学教育センター内部質保証専門委員会内で共有し、プログラムの学修成果を評価す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</si>
  <si>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</si>
  <si>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プログラム単位で実施しているアンケート調査において、学生の学習理解度の主観評価を取得している。また、入門授業においては、単元ごとの小テストを実施しており、学生の理解度のデータを取得し、定期的にモニタリングし教材改善の取り組みに反映させる。</t>
    <rPh sb="6" eb="8">
      <t xml:space="preserve">タンイデ </t>
    </rPh>
    <rPh sb="9" eb="11">
      <t xml:space="preserve">ジッシ </t>
    </rPh>
    <rPh sb="20" eb="22">
      <t xml:space="preserve">チョウサ </t>
    </rPh>
    <rPh sb="27" eb="29">
      <t xml:space="preserve">ガクセイノ </t>
    </rPh>
    <rPh sb="30" eb="34">
      <t xml:space="preserve">ガクシュウリカイドノ </t>
    </rPh>
    <rPh sb="34" eb="35">
      <t xml:space="preserve">ド </t>
    </rPh>
    <rPh sb="36" eb="40">
      <t xml:space="preserve">シュカンヒョウカ </t>
    </rPh>
    <rPh sb="41" eb="43">
      <t xml:space="preserve">シュトクシテイル </t>
    </rPh>
    <rPh sb="51" eb="55">
      <t xml:space="preserve">ニュウモンジュギョウ </t>
    </rPh>
    <rPh sb="61" eb="63">
      <t xml:space="preserve">タンゲンゴトノ </t>
    </rPh>
    <rPh sb="66" eb="67">
      <t xml:space="preserve">ショウテストヲ </t>
    </rPh>
    <rPh sb="71" eb="73">
      <t xml:space="preserve">ジッシ </t>
    </rPh>
    <rPh sb="78" eb="80">
      <t xml:space="preserve">ガクセイノ </t>
    </rPh>
    <rPh sb="81" eb="84">
      <t xml:space="preserve">リカイド </t>
    </rPh>
    <rPh sb="89" eb="91">
      <t xml:space="preserve">シュトク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</si>
  <si>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</si>
  <si>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プログラム単位で実施しているアンケート調査では、「この授業を後輩に勧めたいか」という項目で、他学生への推奨意向について把握を行っている。また、授業内容についての本項目の結果について、学内広報、Webサイト等で周知を行い、学生の講義受講の推奨に活用している。</t>
    <rPh sb="6" eb="8">
      <t xml:space="preserve">タンイ </t>
    </rPh>
    <rPh sb="9" eb="11">
      <t xml:space="preserve">ジッシ </t>
    </rPh>
    <rPh sb="15" eb="16">
      <t>ジュコウセイ</t>
    </rPh>
    <rPh sb="17" eb="18">
      <t>タイ</t>
    </rPh>
    <rPh sb="20" eb="22">
      <t xml:space="preserve">チョウサ </t>
    </rPh>
    <rPh sb="22" eb="24">
      <t>ジュギョウ</t>
    </rPh>
    <rPh sb="34" eb="36">
      <t>コウハイ</t>
    </rPh>
    <rPh sb="36" eb="38">
      <t>ガクセイ</t>
    </rPh>
    <rPh sb="39" eb="40">
      <t>タ</t>
    </rPh>
    <rPh sb="41" eb="43">
      <t>ガクセイ</t>
    </rPh>
    <rPh sb="51" eb="53">
      <t>カクニン</t>
    </rPh>
    <rPh sb="61" eb="64">
      <t>ホンキョウイク</t>
    </rPh>
    <rPh sb="72" eb="74">
      <t xml:space="preserve">ジュギョウ </t>
    </rPh>
    <rPh sb="74" eb="76">
      <t xml:space="preserve">ナイヨウ </t>
    </rPh>
    <rPh sb="85" eb="87">
      <t>センヨウ</t>
    </rPh>
    <rPh sb="94" eb="96">
      <t>ジュコウ</t>
    </rPh>
    <rPh sb="97" eb="99">
      <t>カンソウ</t>
    </rPh>
    <rPh sb="99" eb="100">
      <t>トウ</t>
    </rPh>
    <rPh sb="101" eb="103">
      <t>イケン</t>
    </rPh>
    <rPh sb="104" eb="106">
      <t>ケイジ</t>
    </rPh>
    <rPh sb="108" eb="110">
      <t>コウギ</t>
    </rPh>
    <rPh sb="113" eb="115">
      <t>スイショウ</t>
    </rPh>
    <rPh sb="116" eb="118">
      <t>カツヨウ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</si>
  <si>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</si>
  <si>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教育プログラムについては2科目3単位は必修科目であり、履修率については、構造的には100％となる。ただし、修得率（単位取得率）については学生の学修に依存するため、学生の学修動機を高める必要がある。そのため修得率については学期ごとに把握し、各学部の教務委員会と連携して学修指導にあたる体制を整えている。また、学部での専門教育との連携を行っていくために、大学教育センターの中に設置している情報科目部において各学部教育のニーズを反映させるために各学部の教員と教育内容について点検を行い、4年間の学びを踏まえた教育活動を行う体制を整えている。</t>
    <rPh sb="1" eb="2">
      <t>ホン</t>
    </rPh>
    <rPh sb="2" eb="4">
      <t>キョウイク</t>
    </rPh>
    <rPh sb="10" eb="12">
      <t>レイワ</t>
    </rPh>
    <rPh sb="13" eb="15">
      <t>ネンド</t>
    </rPh>
    <rPh sb="17" eb="19">
      <t>ゼンガク</t>
    </rPh>
    <rPh sb="19" eb="21">
      <t>ヒッシュウ</t>
    </rPh>
    <rPh sb="27" eb="28">
      <t>キ</t>
    </rPh>
    <rPh sb="31" eb="33">
      <t>リシュウ</t>
    </rPh>
    <rPh sb="33" eb="34">
      <t>シャ</t>
    </rPh>
    <rPh sb="34" eb="35">
      <t>スウ</t>
    </rPh>
    <rPh sb="38" eb="39">
      <t>リツ</t>
    </rPh>
    <rPh sb="40" eb="42">
      <t>コウジョウ</t>
    </rPh>
    <rPh sb="46" eb="48">
      <t>スイシン</t>
    </rPh>
    <rPh sb="56" eb="58">
      <t>ケンム</t>
    </rPh>
    <rPh sb="59" eb="61">
      <t xml:space="preserve">タンイ </t>
    </rPh>
    <rPh sb="61" eb="64">
      <t xml:space="preserve">シュトクリツ </t>
    </rPh>
    <rPh sb="65" eb="67">
      <t>キョウイン</t>
    </rPh>
    <rPh sb="67" eb="69">
      <t>カイギ</t>
    </rPh>
    <rPh sb="70" eb="73">
      <t>テイキテキ</t>
    </rPh>
    <rPh sb="78" eb="81">
      <t>カクガクブ</t>
    </rPh>
    <rPh sb="85" eb="86">
      <t>スウリ</t>
    </rPh>
    <rPh sb="86" eb="88">
      <t xml:space="preserve">ガクシュウ </t>
    </rPh>
    <rPh sb="99" eb="101">
      <t>キョウイク</t>
    </rPh>
    <rPh sb="102" eb="104">
      <t>ナイヨウ</t>
    </rPh>
    <rPh sb="109" eb="111">
      <t>カンテン</t>
    </rPh>
    <rPh sb="112" eb="113">
      <t>ト</t>
    </rPh>
    <rPh sb="114" eb="115">
      <t>イ</t>
    </rPh>
    <rPh sb="116" eb="118">
      <t>ミナオ</t>
    </rPh>
    <rPh sb="119" eb="120">
      <t>トウ</t>
    </rPh>
    <rPh sb="121" eb="123">
      <t>ケントウ</t>
    </rPh>
    <rPh sb="127" eb="129">
      <t>ガクセイ</t>
    </rPh>
    <rPh sb="130" eb="132">
      <t>リシュウ</t>
    </rPh>
    <rPh sb="133" eb="135">
      <t>スイシン</t>
    </rPh>
    <rPh sb="135" eb="137">
      <t>ガクシュウ</t>
    </rPh>
    <rPh sb="194" eb="196">
      <t xml:space="preserve">ジョウホウ </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</si>
  <si>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</si>
  <si>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</si>
  <si>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全学的な卒業生調査を大学の評価会議が中心となり定期的に実施している。数理・データサイエンス教育プログラム開始後と開始前を比較することで、本教育プログラムの評価を行う。また，学生の就職先、地域・企業・公共団体等への調査も全学的に実施しており、本プログラムを修了した卒業生の採用状況、企業評価を把握する仕組みを設けている。</t>
    <rPh sb="1" eb="4">
      <t>ソツギョウセイ</t>
    </rPh>
    <rPh sb="4" eb="6">
      <t>チョウサ</t>
    </rPh>
    <rPh sb="7" eb="9">
      <t>ソツゴ</t>
    </rPh>
    <rPh sb="10" eb="11">
      <t>ネン</t>
    </rPh>
    <rPh sb="11" eb="13">
      <t>ジッシ</t>
    </rPh>
    <rPh sb="15" eb="18">
      <t>ホンキョウイク</t>
    </rPh>
    <rPh sb="24" eb="26">
      <t>シュウリョウ</t>
    </rPh>
    <rPh sb="28" eb="31">
      <t>ソツギョウセイ</t>
    </rPh>
    <rPh sb="32" eb="34">
      <t>シンロ</t>
    </rPh>
    <rPh sb="34" eb="35">
      <t>サキ</t>
    </rPh>
    <rPh sb="36" eb="38">
      <t>カツヤク</t>
    </rPh>
    <rPh sb="47" eb="49">
      <t>ハアク</t>
    </rPh>
    <rPh sb="50" eb="52">
      <t>カノウ</t>
    </rPh>
    <rPh sb="58" eb="60">
      <t>ミンカン</t>
    </rPh>
    <rPh sb="60" eb="62">
      <t>キギョウ</t>
    </rPh>
    <rPh sb="63" eb="66">
      <t>コウムイン</t>
    </rPh>
    <rPh sb="66" eb="68">
      <t>ダンタイ</t>
    </rPh>
    <rPh sb="69" eb="70">
      <t>タイ</t>
    </rPh>
    <rPh sb="72" eb="74">
      <t>キギョウ</t>
    </rPh>
    <rPh sb="74" eb="76">
      <t>チョウサ</t>
    </rPh>
    <rPh sb="77" eb="79">
      <t>ジッシ</t>
    </rPh>
    <rPh sb="87" eb="89">
      <t>シュウリョウ</t>
    </rPh>
    <rPh sb="98" eb="100">
      <t>サイヨウ</t>
    </rPh>
    <rPh sb="100" eb="102">
      <t>ジョウキョウ</t>
    </rPh>
    <rPh sb="103" eb="105">
      <t>キギョウ</t>
    </rPh>
    <rPh sb="105" eb="107">
      <t>ヒョウカ</t>
    </rPh>
    <rPh sb="108" eb="110">
      <t>ハアク</t>
    </rPh>
    <rPh sb="112" eb="114">
      <t>シク</t>
    </rPh>
    <rPh sb="116" eb="117">
      <t>モウ</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</si>
  <si>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</si>
  <si>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プログラムにおいては、静岡県内の企業での数理データサイエンス教育への期待を学生に伝えて頂く動画教材を企業と連携して制作しており、この制作過程で，産業界のニーズ把握を行っている。また、本学が主催として毎年開催する数理データサイエンス教育に関するシンポジウムにおいて、地域産業界等と意見を交換をする機会を設けている。得られた意見を踏まえて、本学の数理データサイエンス教育のプログラム改善を目指す。</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</si>
  <si>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</si>
  <si>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本プログラムにおける入門授業では、静岡県内の産業界の協力を得て、動画教材を作成している。この動画では、数理データサイエンスの必要性など学生への期待を説明しているとともに、授業の全般において、数理データサイエンスの実際の最先端事例を紹介し、学ぶ楽しさ、学ぶことの意義について学生が認知できる教材としている。</t>
    <rPh sb="19" eb="21">
      <t>ドウニュウ</t>
    </rPh>
    <rPh sb="21" eb="23">
      <t>ブブン</t>
    </rPh>
    <rPh sb="24" eb="25">
      <t>ジュン</t>
    </rPh>
    <rPh sb="27" eb="29">
      <t>ナイヨウ</t>
    </rPh>
    <rPh sb="30" eb="32">
      <t>テンカイ</t>
    </rPh>
    <rPh sb="34" eb="36">
      <t>ジジ</t>
    </rPh>
    <rPh sb="43" eb="45">
      <t>シャカイ</t>
    </rPh>
    <rPh sb="47" eb="49">
      <t>ジツレイ</t>
    </rPh>
    <rPh sb="55" eb="56">
      <t>トウ</t>
    </rPh>
    <rPh sb="62" eb="64">
      <t>カツヨウ</t>
    </rPh>
    <rPh sb="72" eb="74">
      <t>チュウシン</t>
    </rPh>
    <rPh sb="75" eb="78">
      <t>コウキシン</t>
    </rPh>
    <rPh sb="79" eb="80">
      <t>ウナガ</t>
    </rPh>
    <rPh sb="81" eb="83">
      <t>コウギ</t>
    </rPh>
    <rPh sb="83" eb="85">
      <t>ナイヨウ</t>
    </rPh>
    <rPh sb="91" eb="92">
      <t>ト</t>
    </rPh>
    <rPh sb="93" eb="94">
      <t>ア</t>
    </rPh>
    <rPh sb="96" eb="98">
      <t>ジツレイ</t>
    </rPh>
    <rPh sb="104" eb="106">
      <t>ガクセイ</t>
    </rPh>
    <rPh sb="110" eb="113">
      <t xml:space="preserve">サイセンタン </t>
    </rPh>
    <rPh sb="114" eb="115">
      <t>トウ</t>
    </rPh>
    <rPh sb="116" eb="118">
      <t>カツヨウ</t>
    </rPh>
    <rPh sb="122" eb="124">
      <t>ナイヨウ</t>
    </rPh>
    <rPh sb="128" eb="130">
      <t>ヒョウカ</t>
    </rPh>
    <rPh sb="131" eb="133">
      <t>ジッシ</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</si>
  <si>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</si>
  <si>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入門授業については、数理データサイエンス教育プロジェクト研究所にて、授業動画ごとの難易度調査、小テストの結果の分析を行い、問題点を把握した上で、教材のリニューアル、新規作成を行うことを検討している。演習授業においては、授業アンケートや産業界からの意見を参考に新しい教育内容等の導入を検討するとともに、既存の教育内容についての見直しも検討する。学部での専門教育との連携を行っていくために、大学教育センターの中に設置している情報科目部において各学部教育のニーズを反映させるために各学部の教員と教育内容について点検を行い、4年間の学びを踏まえた教育活動を行う体制を整えている。</t>
    <rPh sb="1" eb="3">
      <t>スウリ</t>
    </rPh>
    <rPh sb="15" eb="19">
      <t>キョウイクケンキュウ</t>
    </rPh>
    <rPh sb="25" eb="27">
      <t>ガクセイ</t>
    </rPh>
    <rPh sb="32" eb="33">
      <t>オヨ</t>
    </rPh>
    <rPh sb="36" eb="38">
      <t>キギョウ</t>
    </rPh>
    <rPh sb="41" eb="43">
      <t>イケン</t>
    </rPh>
    <rPh sb="44" eb="46">
      <t>サンコウ</t>
    </rPh>
    <rPh sb="48" eb="50">
      <t>ガクセイ</t>
    </rPh>
    <rPh sb="52" eb="53">
      <t>ワ</t>
    </rPh>
    <rPh sb="64" eb="66">
      <t>コウギ</t>
    </rPh>
    <rPh sb="67" eb="69">
      <t>ナイヨウ</t>
    </rPh>
    <rPh sb="70" eb="72">
      <t>ジッシ</t>
    </rPh>
    <rPh sb="75" eb="77">
      <t>ミナオ</t>
    </rPh>
    <rPh sb="79" eb="81">
      <t>ケントウ</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</si>
  <si>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</si>
  <si>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</si>
  <si>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</si>
  <si>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</si>
  <si>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</si>
  <si>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</si>
  <si>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r>
      <t xml:space="preserve">
　本プログラムの授業内容における特色は以下の４点である。
</t>
    </r>
    <r>
      <rPr>
        <u/>
        <sz val="12"/>
        <rFont val="ＭＳ Ｐゴシック"/>
        <family val="3"/>
        <charset val="128"/>
        <scheme val="minor"/>
      </rPr>
      <t>（１）専門分野によらず、全卒業生がプログラム修了要件を満たすこと</t>
    </r>
    <r>
      <rPr>
        <sz val="12"/>
        <rFont val="ＭＳ Ｐゴシック"/>
        <family val="3"/>
        <charset val="128"/>
        <scheme val="minor"/>
      </rPr>
      <t xml:space="preserve">
　　本プログラムを構成する２科目はいずれも全学共通必修科目として設置されている。そのため、総合大学である本学において、文系から理工系までの全ての学生が卒業までに必ず本プログラムの修了要件を満たすことになる。
</t>
    </r>
    <r>
      <rPr>
        <u/>
        <sz val="12"/>
        <rFont val="ＭＳ Ｐゴシック"/>
        <family val="3"/>
        <charset val="128"/>
        <scheme val="minor"/>
      </rPr>
      <t xml:space="preserve">（２）講義科目は本学で独自開発した動画教材を用いたフルe-learning授業として実施されること
</t>
    </r>
    <r>
      <rPr>
        <sz val="12"/>
        <rFont val="ＭＳ Ｐゴシック"/>
        <family val="3"/>
        <charset val="128"/>
        <scheme val="minor"/>
      </rPr>
      <t xml:space="preserve">　　本プログラムの講義科目を全学共通必修科目として開講するにあたり、以下の２つの問題点があった。
     (a)本学は１学年2000人の学生がおり、通常の授業形態では50人１クラスとしても40クラ        
　　　 ス分の授業担当教員を確保する必要がある。これは簡単に捻出できるものではな
        い。
　　(b)上記40クラス分の担当教員を配置できたとしても、教員間で授業内容にばらつきが生
        じやすく授業の質保証が難しい。
    以上の問題点は、多くの総合型国立大学・私立大学に共通のものであると考えられる。
　　本プログラムでは独自に約８０本（１本あたり約１０分）の動画教材を開発し、これを視聴することで受講するフルe-learning科目として講義科目（数理・データサイエンス入門）を開講することにした（R2年度より開講）。これにより上記の２つの問題を解消することができた。
　　なお動画教材の内容は数理・データサイエンス教育強化拠点コンソーシアムにより開発されたモデルカリキュラム（リテラシーレベル）に準拠している。
</t>
    </r>
    <r>
      <rPr>
        <u/>
        <sz val="12"/>
        <rFont val="ＭＳ Ｐゴシック"/>
        <family val="3"/>
        <charset val="128"/>
        <scheme val="minor"/>
      </rPr>
      <t>（３）地域密着型の教材を開発したこと</t>
    </r>
    <r>
      <rPr>
        <sz val="12"/>
        <rFont val="ＭＳ Ｐゴシック"/>
        <family val="3"/>
        <charset val="128"/>
        <scheme val="minor"/>
      </rPr>
      <t xml:space="preserve">
　　動画教材のうち導入部の動画では、複数の県内一流企業のトップに本学のデータサイエンスを専門とする教員がインタビューし、現代社会における数理・データサイエンスの重要性についての企業の見解を語っていただいた。特に文系・理工系によらず全ての学生にとってこの分野の学習が重要であるという企業人からのメッセージは学生にインパクトを与え、授業期間終了後のアンケートでもこのインタビューが学習の動機付けに強く貢献したとの意見が多数みられた。
</t>
    </r>
    <r>
      <rPr>
        <u/>
        <sz val="12"/>
        <rFont val="ＭＳ Ｐゴシック"/>
        <family val="3"/>
        <charset val="128"/>
        <scheme val="minor"/>
      </rPr>
      <t>（４）動画教材およびその使用ノウハウを他大学に展開できること</t>
    </r>
    <r>
      <rPr>
        <sz val="12"/>
        <rFont val="ＭＳ Ｐゴシック"/>
        <family val="3"/>
        <charset val="128"/>
        <scheme val="minor"/>
      </rPr>
      <t xml:space="preserve">
　　（２）で述べた動画教材は一般的な学習マネジメントシステム（LMS）上に搭載可能であり、他大学にてこの動画教材を用いた授業を展開することができる。さらに本様式②で述べるe-leaning授業における学生サポートのノウハウも同時に提供可能である。現在、静岡県内の高等教育機関および自治体で構成される「ふじのくに地域・大学コンソーシアム」には本教材を無料で公開しており、また他県のいくつかの大学からも導入のための検討会開催の申し入れを受けている。
</t>
    </r>
    <r>
      <rPr>
        <u/>
        <sz val="12"/>
        <rFont val="ＭＳ Ｐゴシック"/>
        <family val="3"/>
        <charset val="128"/>
        <scheme val="minor"/>
      </rPr>
      <t xml:space="preserve">（５）演習用教科書を本学教員グループにより執筆・出版していること
</t>
    </r>
    <r>
      <rPr>
        <sz val="12"/>
        <rFont val="ＭＳ Ｐゴシック"/>
        <family val="3"/>
        <charset val="128"/>
        <scheme val="minor"/>
      </rPr>
      <t>　　本プログラムの演習科目（情報処理・データサイエンス演習）の担当教員グループを中心に、教科書 ”Let's Enjoy Computing〝(学術図書出版社）を執筆し、毎年改稿して出版している。特に本プログラムの立ち上げにあたり、これまでの教科書の内容にデータサイエンス演習の要素を強化したものをあらたに出版している。この体制により、年々新しくなる数理・データサイエンス分野の動向に適合した演習科目を実施できる。</t>
    </r>
    <rPh sb="2" eb="3">
      <t>ホン</t>
    </rPh>
    <rPh sb="9" eb="11">
      <t>ジュギョウ</t>
    </rPh>
    <rPh sb="11" eb="13">
      <t>ナイヨウ</t>
    </rPh>
    <rPh sb="17" eb="19">
      <t>トクショク</t>
    </rPh>
    <rPh sb="20" eb="22">
      <t>イカ</t>
    </rPh>
    <rPh sb="24" eb="25">
      <t>テン</t>
    </rPh>
    <rPh sb="34" eb="36">
      <t>センモン</t>
    </rPh>
    <rPh sb="36" eb="38">
      <t>ブンヤ</t>
    </rPh>
    <rPh sb="43" eb="44">
      <t>ゼン</t>
    </rPh>
    <rPh sb="44" eb="47">
      <t>ソツギョウセイ</t>
    </rPh>
    <rPh sb="53" eb="55">
      <t>シュウリョウ</t>
    </rPh>
    <rPh sb="55" eb="57">
      <t>ヨウケン</t>
    </rPh>
    <rPh sb="58" eb="59">
      <t>ミ</t>
    </rPh>
    <rPh sb="66" eb="67">
      <t>ホン</t>
    </rPh>
    <rPh sb="73" eb="75">
      <t>コウセイ</t>
    </rPh>
    <rPh sb="78" eb="80">
      <t>カモク</t>
    </rPh>
    <rPh sb="85" eb="87">
      <t>ゼンガク</t>
    </rPh>
    <rPh sb="87" eb="89">
      <t>キョウツウ</t>
    </rPh>
    <rPh sb="89" eb="91">
      <t>ヒッシュウ</t>
    </rPh>
    <rPh sb="91" eb="93">
      <t>カモク</t>
    </rPh>
    <rPh sb="96" eb="98">
      <t>セッチ</t>
    </rPh>
    <rPh sb="109" eb="111">
      <t>ソウゴウ</t>
    </rPh>
    <rPh sb="111" eb="113">
      <t>ダイガク</t>
    </rPh>
    <rPh sb="116" eb="118">
      <t>ホンガク</t>
    </rPh>
    <rPh sb="123" eb="125">
      <t>ブンケイ</t>
    </rPh>
    <rPh sb="127" eb="130">
      <t>リコウケイ</t>
    </rPh>
    <rPh sb="133" eb="134">
      <t>スベ</t>
    </rPh>
    <rPh sb="136" eb="138">
      <t>ガクセイ</t>
    </rPh>
    <rPh sb="139" eb="141">
      <t>ソツギョウ</t>
    </rPh>
    <rPh sb="144" eb="145">
      <t>カナラ</t>
    </rPh>
    <rPh sb="146" eb="147">
      <t>ホン</t>
    </rPh>
    <rPh sb="153" eb="155">
      <t>シュウリョウ</t>
    </rPh>
    <rPh sb="155" eb="157">
      <t>ヨウケン</t>
    </rPh>
    <rPh sb="158" eb="159">
      <t>ミ</t>
    </rPh>
    <rPh sb="172" eb="174">
      <t>コウギ</t>
    </rPh>
    <rPh sb="174" eb="176">
      <t>カモク</t>
    </rPh>
    <rPh sb="177" eb="179">
      <t>ホンガク</t>
    </rPh>
    <rPh sb="180" eb="182">
      <t>ドクジ</t>
    </rPh>
    <rPh sb="182" eb="184">
      <t>カイハツ</t>
    </rPh>
    <rPh sb="186" eb="188">
      <t>ドウガ</t>
    </rPh>
    <rPh sb="188" eb="190">
      <t>キョウザイ</t>
    </rPh>
    <rPh sb="191" eb="192">
      <t>モチ</t>
    </rPh>
    <rPh sb="206" eb="208">
      <t>ジュギョウ</t>
    </rPh>
    <rPh sb="211" eb="213">
      <t>ジッシ</t>
    </rPh>
    <rPh sb="221" eb="222">
      <t>ホン</t>
    </rPh>
    <rPh sb="228" eb="230">
      <t>コウギ</t>
    </rPh>
    <rPh sb="230" eb="232">
      <t>カモク</t>
    </rPh>
    <rPh sb="233" eb="235">
      <t>ゼンガク</t>
    </rPh>
    <rPh sb="235" eb="237">
      <t>キョウツウ</t>
    </rPh>
    <rPh sb="237" eb="239">
      <t>ヒッシュウ</t>
    </rPh>
    <rPh sb="239" eb="241">
      <t>カモク</t>
    </rPh>
    <rPh sb="244" eb="246">
      <t>カイコウ</t>
    </rPh>
    <rPh sb="253" eb="255">
      <t>イカ</t>
    </rPh>
    <rPh sb="259" eb="261">
      <t>モンダイ</t>
    </rPh>
    <rPh sb="261" eb="262">
      <t>テン</t>
    </rPh>
    <rPh sb="279" eb="281">
      <t>ホンガク</t>
    </rPh>
    <rPh sb="283" eb="285">
      <t>ガクネン</t>
    </rPh>
    <rPh sb="289" eb="290">
      <t>ニン</t>
    </rPh>
    <rPh sb="291" eb="293">
      <t>ガクセイ</t>
    </rPh>
    <rPh sb="297" eb="299">
      <t>ツウジョウ</t>
    </rPh>
    <rPh sb="300" eb="302">
      <t>ジュギョウ</t>
    </rPh>
    <rPh sb="302" eb="304">
      <t>ケイタイ</t>
    </rPh>
    <rPh sb="308" eb="309">
      <t>ニン</t>
    </rPh>
    <rPh sb="335" eb="336">
      <t>ブン</t>
    </rPh>
    <rPh sb="337" eb="339">
      <t>ジュギョウ</t>
    </rPh>
    <rPh sb="339" eb="341">
      <t>タントウ</t>
    </rPh>
    <rPh sb="341" eb="343">
      <t>キョウイン</t>
    </rPh>
    <rPh sb="344" eb="346">
      <t>カクホ</t>
    </rPh>
    <rPh sb="348" eb="350">
      <t>ヒツヨウ</t>
    </rPh>
    <rPh sb="357" eb="359">
      <t>カンタン</t>
    </rPh>
    <rPh sb="360" eb="362">
      <t>ネンシュツ</t>
    </rPh>
    <rPh sb="387" eb="389">
      <t>ジョウキ</t>
    </rPh>
    <rPh sb="394" eb="395">
      <t>ブン</t>
    </rPh>
    <rPh sb="396" eb="398">
      <t>タントウ</t>
    </rPh>
    <rPh sb="398" eb="400">
      <t>キョウイン</t>
    </rPh>
    <rPh sb="401" eb="403">
      <t>ハイチ</t>
    </rPh>
    <rPh sb="411" eb="413">
      <t>キョウイン</t>
    </rPh>
    <rPh sb="413" eb="414">
      <t>カン</t>
    </rPh>
    <rPh sb="415" eb="417">
      <t>ジュギョウ</t>
    </rPh>
    <rPh sb="417" eb="419">
      <t>ナイヨウ</t>
    </rPh>
    <rPh sb="425" eb="426">
      <t>ショウ</t>
    </rPh>
    <rPh sb="439" eb="441">
      <t>ジュギョウ</t>
    </rPh>
    <rPh sb="442" eb="443">
      <t>シツ</t>
    </rPh>
    <rPh sb="443" eb="445">
      <t>ホショウ</t>
    </rPh>
    <rPh sb="446" eb="447">
      <t>ムズカ</t>
    </rPh>
    <rPh sb="458" eb="460">
      <t>イジョウ</t>
    </rPh>
    <rPh sb="461" eb="464">
      <t>モンダイテン</t>
    </rPh>
    <rPh sb="466" eb="467">
      <t>オオ</t>
    </rPh>
    <rPh sb="469" eb="472">
      <t>ソウゴウガタ</t>
    </rPh>
    <rPh sb="472" eb="474">
      <t>コクリツ</t>
    </rPh>
    <rPh sb="474" eb="476">
      <t>ダイガク</t>
    </rPh>
    <rPh sb="477" eb="479">
      <t>シリツ</t>
    </rPh>
    <rPh sb="479" eb="481">
      <t>ダイガク</t>
    </rPh>
    <rPh sb="482" eb="484">
      <t>キョウツウ</t>
    </rPh>
    <rPh sb="491" eb="492">
      <t>カンガ</t>
    </rPh>
    <rPh sb="500" eb="501">
      <t>ホン</t>
    </rPh>
    <rPh sb="508" eb="510">
      <t>ドクジ</t>
    </rPh>
    <rPh sb="511" eb="512">
      <t>ヤク</t>
    </rPh>
    <rPh sb="514" eb="515">
      <t>ホン</t>
    </rPh>
    <rPh sb="517" eb="518">
      <t>ホン</t>
    </rPh>
    <rPh sb="521" eb="522">
      <t>ヤク</t>
    </rPh>
    <rPh sb="524" eb="525">
      <t>フン</t>
    </rPh>
    <rPh sb="527" eb="529">
      <t>ドウガ</t>
    </rPh>
    <rPh sb="529" eb="531">
      <t>キョウザイ</t>
    </rPh>
    <rPh sb="532" eb="534">
      <t>カイハツ</t>
    </rPh>
    <rPh sb="539" eb="541">
      <t>シチョウ</t>
    </rPh>
    <rPh sb="546" eb="548">
      <t>ジュコウ</t>
    </rPh>
    <rPh sb="562" eb="564">
      <t>カモク</t>
    </rPh>
    <rPh sb="567" eb="569">
      <t>コウギ</t>
    </rPh>
    <rPh sb="569" eb="571">
      <t>カモク</t>
    </rPh>
    <rPh sb="572" eb="574">
      <t>スウリ</t>
    </rPh>
    <rPh sb="583" eb="585">
      <t>ニュウモン</t>
    </rPh>
    <rPh sb="587" eb="589">
      <t>カイコウ</t>
    </rPh>
    <rPh sb="599" eb="601">
      <t>ネンド</t>
    </rPh>
    <rPh sb="603" eb="605">
      <t>カイコウ</t>
    </rPh>
    <rPh sb="612" eb="614">
      <t>ジョウキ</t>
    </rPh>
    <rPh sb="618" eb="620">
      <t>モンダイ</t>
    </rPh>
    <rPh sb="621" eb="623">
      <t>カイショウ</t>
    </rPh>
    <rPh sb="637" eb="639">
      <t>ドウガ</t>
    </rPh>
    <rPh sb="639" eb="641">
      <t>キョウザイ</t>
    </rPh>
    <rPh sb="642" eb="644">
      <t>ナイヨウ</t>
    </rPh>
    <rPh sb="697" eb="699">
      <t>ジュンキョ</t>
    </rPh>
    <rPh sb="709" eb="711">
      <t>チイキ</t>
    </rPh>
    <rPh sb="711" eb="714">
      <t>ミッチャクガタ</t>
    </rPh>
    <rPh sb="715" eb="717">
      <t>キョウザイ</t>
    </rPh>
    <rPh sb="718" eb="720">
      <t>カイハツ</t>
    </rPh>
    <rPh sb="727" eb="729">
      <t>ドウガ</t>
    </rPh>
    <rPh sb="729" eb="731">
      <t>キョウザイ</t>
    </rPh>
    <rPh sb="734" eb="736">
      <t>ドウニュウ</t>
    </rPh>
    <rPh sb="736" eb="737">
      <t>ブ</t>
    </rPh>
    <rPh sb="738" eb="740">
      <t>ドウガ</t>
    </rPh>
    <rPh sb="743" eb="745">
      <t>フクスウ</t>
    </rPh>
    <rPh sb="746" eb="748">
      <t>ケンナイ</t>
    </rPh>
    <rPh sb="748" eb="750">
      <t>イチリュウ</t>
    </rPh>
    <rPh sb="750" eb="752">
      <t>キギョウ</t>
    </rPh>
    <rPh sb="757" eb="759">
      <t>ホンガク</t>
    </rPh>
    <rPh sb="769" eb="771">
      <t>センモン</t>
    </rPh>
    <rPh sb="774" eb="776">
      <t>キョウイン</t>
    </rPh>
    <rPh sb="785" eb="787">
      <t>ゲンダイ</t>
    </rPh>
    <rPh sb="793" eb="795">
      <t>スウリ</t>
    </rPh>
    <rPh sb="805" eb="808">
      <t>ジュウヨウセイ</t>
    </rPh>
    <rPh sb="813" eb="815">
      <t>キギョウ</t>
    </rPh>
    <rPh sb="816" eb="818">
      <t>ケンカイ</t>
    </rPh>
    <rPh sb="819" eb="820">
      <t>カタ</t>
    </rPh>
    <rPh sb="828" eb="829">
      <t>トク</t>
    </rPh>
    <rPh sb="830" eb="832">
      <t>ブンケイ</t>
    </rPh>
    <rPh sb="833" eb="836">
      <t>リコウケイ</t>
    </rPh>
    <rPh sb="840" eb="841">
      <t>スベ</t>
    </rPh>
    <rPh sb="843" eb="845">
      <t>ガクセイ</t>
    </rPh>
    <rPh sb="851" eb="853">
      <t>ブンヤ</t>
    </rPh>
    <rPh sb="854" eb="856">
      <t>ガクシュウ</t>
    </rPh>
    <rPh sb="857" eb="859">
      <t>ジュウヨウ</t>
    </rPh>
    <rPh sb="865" eb="867">
      <t>キギョウ</t>
    </rPh>
    <rPh sb="867" eb="868">
      <t>ジン</t>
    </rPh>
    <rPh sb="877" eb="879">
      <t>ガクセイ</t>
    </rPh>
    <rPh sb="886" eb="887">
      <t>アタ</t>
    </rPh>
    <rPh sb="889" eb="891">
      <t>ジュギョウ</t>
    </rPh>
    <rPh sb="891" eb="893">
      <t>キカン</t>
    </rPh>
    <rPh sb="893" eb="896">
      <t>シュウリョウゴ</t>
    </rPh>
    <rPh sb="913" eb="915">
      <t>ガクシュウ</t>
    </rPh>
    <rPh sb="916" eb="918">
      <t>ドウキ</t>
    </rPh>
    <rPh sb="918" eb="919">
      <t>ヅ</t>
    </rPh>
    <rPh sb="921" eb="922">
      <t>ツヨ</t>
    </rPh>
    <rPh sb="923" eb="925">
      <t>コウケン</t>
    </rPh>
    <rPh sb="929" eb="931">
      <t>イケン</t>
    </rPh>
    <rPh sb="932" eb="934">
      <t>タスウ</t>
    </rPh>
    <rPh sb="944" eb="946">
      <t>ドウガ</t>
    </rPh>
    <rPh sb="946" eb="948">
      <t>キョウザイ</t>
    </rPh>
    <rPh sb="953" eb="955">
      <t>シヨウ</t>
    </rPh>
    <rPh sb="960" eb="961">
      <t>ホカ</t>
    </rPh>
    <rPh sb="961" eb="963">
      <t>ダイガク</t>
    </rPh>
    <rPh sb="964" eb="966">
      <t>テンカイ</t>
    </rPh>
    <rPh sb="978" eb="979">
      <t>ノ</t>
    </rPh>
    <rPh sb="981" eb="983">
      <t>ドウガ</t>
    </rPh>
    <rPh sb="983" eb="985">
      <t>キョウザイ</t>
    </rPh>
    <rPh sb="986" eb="988">
      <t>イッパン</t>
    </rPh>
    <rPh sb="988" eb="989">
      <t>テキ</t>
    </rPh>
    <rPh sb="990" eb="992">
      <t>ガクシュウ</t>
    </rPh>
    <rPh sb="1007" eb="1008">
      <t>ジョウ</t>
    </rPh>
    <rPh sb="1009" eb="1011">
      <t>トウサイ</t>
    </rPh>
    <rPh sb="1011" eb="1013">
      <t>カノウ</t>
    </rPh>
    <rPh sb="1017" eb="1018">
      <t>ホカ</t>
    </rPh>
    <rPh sb="1018" eb="1020">
      <t>ダイガク</t>
    </rPh>
    <rPh sb="1024" eb="1026">
      <t>ドウガ</t>
    </rPh>
    <rPh sb="1026" eb="1028">
      <t>キョウザイ</t>
    </rPh>
    <rPh sb="1029" eb="1030">
      <t>モチ</t>
    </rPh>
    <rPh sb="1032" eb="1034">
      <t>ジュギョウ</t>
    </rPh>
    <rPh sb="1035" eb="1037">
      <t>テンカイ</t>
    </rPh>
    <rPh sb="1049" eb="1050">
      <t>ホン</t>
    </rPh>
    <rPh sb="1050" eb="1052">
      <t>ヨウシキ</t>
    </rPh>
    <rPh sb="1054" eb="1055">
      <t>ノ</t>
    </rPh>
    <rPh sb="1066" eb="1068">
      <t>ジュギョウ</t>
    </rPh>
    <rPh sb="1072" eb="1074">
      <t>ガクセイ</t>
    </rPh>
    <rPh sb="1084" eb="1086">
      <t>ドウジ</t>
    </rPh>
    <rPh sb="1087" eb="1089">
      <t>テイキョウ</t>
    </rPh>
    <rPh sb="1089" eb="1091">
      <t>カノウ</t>
    </rPh>
    <rPh sb="1095" eb="1097">
      <t>ゲンザイ</t>
    </rPh>
    <rPh sb="1098" eb="1100">
      <t>シズオカ</t>
    </rPh>
    <rPh sb="1100" eb="1102">
      <t>ケンナイ</t>
    </rPh>
    <rPh sb="1103" eb="1105">
      <t>コウトウ</t>
    </rPh>
    <rPh sb="1105" eb="1107">
      <t>キョウイク</t>
    </rPh>
    <rPh sb="1107" eb="1109">
      <t>キカン</t>
    </rPh>
    <rPh sb="1112" eb="1115">
      <t>ジチタイ</t>
    </rPh>
    <rPh sb="1116" eb="1118">
      <t>コウセイ</t>
    </rPh>
    <rPh sb="1127" eb="1129">
      <t>チイキ</t>
    </rPh>
    <rPh sb="1130" eb="1132">
      <t>ダイガク</t>
    </rPh>
    <rPh sb="1142" eb="1143">
      <t>ホン</t>
    </rPh>
    <rPh sb="1143" eb="1145">
      <t>キョウザイ</t>
    </rPh>
    <rPh sb="1146" eb="1148">
      <t>ムリョウ</t>
    </rPh>
    <rPh sb="1149" eb="1151">
      <t>コウカイ</t>
    </rPh>
    <rPh sb="1158" eb="1160">
      <t>タケン</t>
    </rPh>
    <rPh sb="1166" eb="1168">
      <t>ダイガク</t>
    </rPh>
    <rPh sb="1171" eb="1173">
      <t>ドウニュウ</t>
    </rPh>
    <rPh sb="1177" eb="1180">
      <t>ケントウカイ</t>
    </rPh>
    <rPh sb="1180" eb="1182">
      <t>カイサイ</t>
    </rPh>
    <rPh sb="1183" eb="1184">
      <t>モウ</t>
    </rPh>
    <rPh sb="1185" eb="1186">
      <t>イ</t>
    </rPh>
    <rPh sb="1188" eb="1189">
      <t>ウ</t>
    </rPh>
    <rPh sb="1199" eb="1201">
      <t>エンシュウ</t>
    </rPh>
    <rPh sb="1201" eb="1202">
      <t>ヨウ</t>
    </rPh>
    <rPh sb="1202" eb="1205">
      <t>キョウカショ</t>
    </rPh>
    <rPh sb="1206" eb="1208">
      <t>ホンガク</t>
    </rPh>
    <rPh sb="1208" eb="1210">
      <t>キョウイン</t>
    </rPh>
    <rPh sb="1217" eb="1219">
      <t>シッピツ</t>
    </rPh>
    <rPh sb="1220" eb="1222">
      <t>シュッパン</t>
    </rPh>
    <rPh sb="1231" eb="1232">
      <t>ホン</t>
    </rPh>
    <rPh sb="1238" eb="1240">
      <t>エンシュウ</t>
    </rPh>
    <rPh sb="1240" eb="1242">
      <t>カモク</t>
    </rPh>
    <rPh sb="1243" eb="1245">
      <t>ジョウホウ</t>
    </rPh>
    <rPh sb="1245" eb="1247">
      <t>ショリ</t>
    </rPh>
    <rPh sb="1256" eb="1258">
      <t>エンシュウ</t>
    </rPh>
    <rPh sb="1260" eb="1262">
      <t>タントウ</t>
    </rPh>
    <rPh sb="1262" eb="1264">
      <t>キョウイン</t>
    </rPh>
    <rPh sb="1269" eb="1271">
      <t>チュウシン</t>
    </rPh>
    <rPh sb="1273" eb="1276">
      <t>キョウカショ</t>
    </rPh>
    <rPh sb="1301" eb="1303">
      <t>ガクジュツ</t>
    </rPh>
    <rPh sb="1303" eb="1305">
      <t>トショ</t>
    </rPh>
    <rPh sb="1305" eb="1307">
      <t>シュッパン</t>
    </rPh>
    <rPh sb="1307" eb="1308">
      <t>シャ</t>
    </rPh>
    <rPh sb="1310" eb="1312">
      <t>シッピツ</t>
    </rPh>
    <rPh sb="1314" eb="1316">
      <t>マイトシ</t>
    </rPh>
    <rPh sb="1316" eb="1318">
      <t>カイコウ</t>
    </rPh>
    <rPh sb="1320" eb="1322">
      <t>シュッパン</t>
    </rPh>
    <rPh sb="1327" eb="1328">
      <t>トク</t>
    </rPh>
    <rPh sb="1329" eb="1330">
      <t>ホン</t>
    </rPh>
    <rPh sb="1336" eb="1337">
      <t>タ</t>
    </rPh>
    <rPh sb="1338" eb="1339">
      <t>ア</t>
    </rPh>
    <rPh sb="1350" eb="1353">
      <t>キョウカショ</t>
    </rPh>
    <rPh sb="1354" eb="1356">
      <t>ナイヨウ</t>
    </rPh>
    <rPh sb="1365" eb="1367">
      <t>エンシュウ</t>
    </rPh>
    <rPh sb="1368" eb="1370">
      <t>ヨウソ</t>
    </rPh>
    <rPh sb="1371" eb="1373">
      <t>キョウカ</t>
    </rPh>
    <rPh sb="1382" eb="1384">
      <t>シュッパン</t>
    </rPh>
    <rPh sb="1391" eb="1393">
      <t>タイセイ</t>
    </rPh>
    <rPh sb="1397" eb="1399">
      <t>ネンネン</t>
    </rPh>
    <rPh sb="1399" eb="1400">
      <t>アタラ</t>
    </rPh>
    <rPh sb="1404" eb="1406">
      <t>スウリ</t>
    </rPh>
    <rPh sb="1415" eb="1417">
      <t>ブンヤ</t>
    </rPh>
    <rPh sb="1418" eb="1420">
      <t>ドウコウ</t>
    </rPh>
    <rPh sb="1421" eb="1423">
      <t>テキゴウ</t>
    </rPh>
    <rPh sb="1425" eb="1427">
      <t>エンシュウ</t>
    </rPh>
    <rPh sb="1427" eb="1429">
      <t>カモク</t>
    </rPh>
    <rPh sb="1430" eb="1432">
      <t>ジッシ</t>
    </rPh>
    <phoneticPr fontId="1"/>
  </si>
  <si>
    <t>学生への学習支援</t>
    <rPh sb="0" eb="2">
      <t>ガクセイ</t>
    </rPh>
    <rPh sb="4" eb="6">
      <t>ガクシュウ</t>
    </rPh>
    <rPh sb="6" eb="8">
      <t>シエン</t>
    </rPh>
    <phoneticPr fontId="1"/>
  </si>
  <si>
    <r>
      <t xml:space="preserve">
　本プログラムの講義科目は①で述べたようにフルe-learningにて実施したため、学習支援においては特別な配慮が必要であった。
(1) 全学で統一的に学生支援を行う組織体制
　　本学は静岡キャンパス（静岡市。人文社会科学部、教育学部、理学部、農学部）と浜松キャンパス（浜松市。情報学部、工学部）に分かれている。この中で、授業内容、学生の受講サポート、教室や計算機設備などの教育環境、といった諸要因を統一的に管理するための組織として「数理データサイエンス教育企画ワーキンググループ」（以下MDS-wg)を設置した。MDS-ｗｇは定期的に授業の進行や受講状況を点検し、怠学傾向の学生の洗い出しと対処などを行った。
（２）ヘルプデスクの設置
　　学生からの授業内容・受講環境双方の質問に対処するために、TA（大学院生チュータ）によるヘルプデスクを設置した。令和2年度は、新型コロナウイルスの流行のためにほとんどの授業がオンラインで行われ、キャンパスを訪れる学生が少ない状況であった。そのため、オンライン掲示板での対応を行うとともに、オンライン会議システムを用いた1対1の遠隔相談ができる体制を整え、複数の方法にて質問相談を受け付けられるよう体制を整備した。
（３）全学共通受講案内パンフレットの発行と手厚いガイダンスの実施
　　e-learning授業では特にPCリテラシーの低い学生において、教材へのアクセスなどの機器操作に問題が生じることが予想された。そこで学習に使用するシステムの操作方法マニュアルを作成し必要な操作１ステップ毎にスクリーンショットを示して誘導することとした。これにより、操作方法に関する学生の混乱は最小限に抑えることができた。またこのパンフレットを用いたガイダンスを複数回行い、特に機器操作に自信がない学生に手厚いサポートを行った。
（４）公正な成績評価を担保するための活動
　　フルe-learinngで実施した講義科目の評価は、動画教材視聴後に受験するe-testにより行った。SNSなどを通じてテストの解答を教えるといった不正行為が予想されたため、MDS-ｗｇのスタッフがインターネットを巡回し、その種の不正を早期に検知する活動を実施した。幸い令和２年度においては不正行為はみられなかった。　
（５）e-leaning用ラーニングコモンズの整備
　　大学内で自分のノートPCを利用してe-learinngを行う学生も一定数おり、大学内のラウンジや図書館の一部などを利用して、無線LAN環境、適度な照明、電源コンセント、静音性などを備えたスペースを拡充した。</t>
    </r>
    <r>
      <rPr>
        <sz val="12"/>
        <color rgb="FFFF0000"/>
        <rFont val="ＭＳ Ｐゴシック"/>
        <family val="3"/>
        <charset val="128"/>
        <scheme val="minor"/>
      </rPr>
      <t/>
    </r>
    <rPh sb="2" eb="3">
      <t>ホン</t>
    </rPh>
    <rPh sb="9" eb="11">
      <t>コウギ</t>
    </rPh>
    <rPh sb="11" eb="13">
      <t>カモク</t>
    </rPh>
    <rPh sb="16" eb="17">
      <t>ノ</t>
    </rPh>
    <rPh sb="36" eb="38">
      <t>ジッシ</t>
    </rPh>
    <rPh sb="43" eb="45">
      <t>ガクシュウ</t>
    </rPh>
    <rPh sb="45" eb="47">
      <t>シエン</t>
    </rPh>
    <rPh sb="52" eb="54">
      <t>トクベツ</t>
    </rPh>
    <rPh sb="55" eb="57">
      <t>ハイリョ</t>
    </rPh>
    <rPh sb="58" eb="60">
      <t>ヒツヨウ</t>
    </rPh>
    <rPh sb="71" eb="73">
      <t>ゼンガク</t>
    </rPh>
    <rPh sb="74" eb="77">
      <t>トウイツテキ</t>
    </rPh>
    <rPh sb="78" eb="80">
      <t>ガクセイ</t>
    </rPh>
    <rPh sb="80" eb="82">
      <t>シエン</t>
    </rPh>
    <rPh sb="83" eb="84">
      <t>オコナ</t>
    </rPh>
    <rPh sb="85" eb="87">
      <t>ソシキ</t>
    </rPh>
    <rPh sb="87" eb="89">
      <t>タイセイ</t>
    </rPh>
    <rPh sb="92" eb="94">
      <t>ホンガク</t>
    </rPh>
    <rPh sb="95" eb="97">
      <t>シズオカ</t>
    </rPh>
    <rPh sb="103" eb="106">
      <t>シズオカシ</t>
    </rPh>
    <rPh sb="107" eb="109">
      <t>ジンブン</t>
    </rPh>
    <rPh sb="109" eb="111">
      <t>シャカイ</t>
    </rPh>
    <rPh sb="111" eb="113">
      <t>カガク</t>
    </rPh>
    <rPh sb="113" eb="114">
      <t>ブ</t>
    </rPh>
    <rPh sb="120" eb="123">
      <t>リガクブ</t>
    </rPh>
    <rPh sb="124" eb="125">
      <t>ノウ</t>
    </rPh>
    <rPh sb="125" eb="127">
      <t>ガクブ</t>
    </rPh>
    <rPh sb="129" eb="131">
      <t>ハママツ</t>
    </rPh>
    <rPh sb="137" eb="140">
      <t>ハママツシ</t>
    </rPh>
    <rPh sb="141" eb="143">
      <t>ジョウホウ</t>
    </rPh>
    <rPh sb="143" eb="145">
      <t>ガクブ</t>
    </rPh>
    <rPh sb="146" eb="149">
      <t>コウガクブ</t>
    </rPh>
    <rPh sb="151" eb="152">
      <t>ワ</t>
    </rPh>
    <rPh sb="160" eb="161">
      <t>ナカ</t>
    </rPh>
    <rPh sb="163" eb="165">
      <t>ジュギョウ</t>
    </rPh>
    <rPh sb="165" eb="167">
      <t>ナイヨウ</t>
    </rPh>
    <rPh sb="168" eb="170">
      <t>ガクセイ</t>
    </rPh>
    <rPh sb="171" eb="173">
      <t>ジュコウ</t>
    </rPh>
    <rPh sb="178" eb="180">
      <t>キョウシツ</t>
    </rPh>
    <rPh sb="181" eb="184">
      <t>ケイサンキ</t>
    </rPh>
    <rPh sb="184" eb="186">
      <t>セツビ</t>
    </rPh>
    <rPh sb="189" eb="191">
      <t>キョウイク</t>
    </rPh>
    <rPh sb="191" eb="193">
      <t>カンキョウ</t>
    </rPh>
    <rPh sb="198" eb="199">
      <t>ショ</t>
    </rPh>
    <rPh sb="199" eb="201">
      <t>ヨウイン</t>
    </rPh>
    <rPh sb="202" eb="205">
      <t>トウイツテキ</t>
    </rPh>
    <rPh sb="206" eb="208">
      <t>カンリ</t>
    </rPh>
    <rPh sb="213" eb="215">
      <t>ソシキ</t>
    </rPh>
    <rPh sb="219" eb="221">
      <t>スウリ</t>
    </rPh>
    <rPh sb="229" eb="231">
      <t>キョウイク</t>
    </rPh>
    <rPh sb="231" eb="233">
      <t>キカク</t>
    </rPh>
    <rPh sb="244" eb="246">
      <t>イカ</t>
    </rPh>
    <rPh sb="254" eb="256">
      <t>セッチ</t>
    </rPh>
    <rPh sb="266" eb="269">
      <t>テイキテキ</t>
    </rPh>
    <rPh sb="270" eb="272">
      <t>ジュギョウ</t>
    </rPh>
    <rPh sb="281" eb="283">
      <t>テンケン</t>
    </rPh>
    <rPh sb="285" eb="287">
      <t>タイガク</t>
    </rPh>
    <rPh sb="287" eb="289">
      <t>ケイコウ</t>
    </rPh>
    <rPh sb="290" eb="292">
      <t>ガクセイ</t>
    </rPh>
    <rPh sb="293" eb="294">
      <t>アラ</t>
    </rPh>
    <rPh sb="295" eb="296">
      <t>ダ</t>
    </rPh>
    <rPh sb="298" eb="300">
      <t>タイショ</t>
    </rPh>
    <rPh sb="303" eb="304">
      <t>オコナ</t>
    </rPh>
    <rPh sb="319" eb="321">
      <t>セッチ</t>
    </rPh>
    <rPh sb="534" eb="536">
      <t>ゼンガク</t>
    </rPh>
    <rPh sb="536" eb="538">
      <t>キョウツウ</t>
    </rPh>
    <rPh sb="538" eb="540">
      <t>ジュコウ</t>
    </rPh>
    <rPh sb="540" eb="542">
      <t>アンナイ</t>
    </rPh>
    <rPh sb="549" eb="551">
      <t>ハッコウ</t>
    </rPh>
    <rPh sb="552" eb="554">
      <t>テアツ</t>
    </rPh>
    <rPh sb="561" eb="563">
      <t>ジッシ</t>
    </rPh>
    <rPh sb="576" eb="578">
      <t>ジュギョウ</t>
    </rPh>
    <rPh sb="580" eb="581">
      <t>トク</t>
    </rPh>
    <rPh sb="590" eb="591">
      <t>ヒク</t>
    </rPh>
    <rPh sb="592" eb="594">
      <t>ガクセイ</t>
    </rPh>
    <rPh sb="599" eb="601">
      <t>キョウザイ</t>
    </rPh>
    <rPh sb="610" eb="612">
      <t>キキ</t>
    </rPh>
    <rPh sb="612" eb="614">
      <t>ソウサ</t>
    </rPh>
    <rPh sb="615" eb="617">
      <t>モンダイ</t>
    </rPh>
    <rPh sb="618" eb="619">
      <t>ショウ</t>
    </rPh>
    <rPh sb="624" eb="626">
      <t>ヨソウ</t>
    </rPh>
    <rPh sb="633" eb="635">
      <t>ガクシュウ</t>
    </rPh>
    <rPh sb="636" eb="638">
      <t>シヨウ</t>
    </rPh>
    <rPh sb="645" eb="647">
      <t>ソウサ</t>
    </rPh>
    <rPh sb="647" eb="649">
      <t>ホウホウ</t>
    </rPh>
    <rPh sb="655" eb="657">
      <t>サクセイ</t>
    </rPh>
    <rPh sb="658" eb="660">
      <t>ヒツヨウ</t>
    </rPh>
    <rPh sb="661" eb="663">
      <t>ソウサ</t>
    </rPh>
    <rPh sb="668" eb="669">
      <t>マイ</t>
    </rPh>
    <rPh sb="680" eb="681">
      <t>シメ</t>
    </rPh>
    <rPh sb="683" eb="685">
      <t>ユウドウ</t>
    </rPh>
    <rPh sb="699" eb="701">
      <t>ソウサ</t>
    </rPh>
    <rPh sb="701" eb="703">
      <t>ホウホウ</t>
    </rPh>
    <rPh sb="704" eb="705">
      <t>カン</t>
    </rPh>
    <rPh sb="707" eb="709">
      <t>ガクセイ</t>
    </rPh>
    <rPh sb="710" eb="712">
      <t>コンラン</t>
    </rPh>
    <rPh sb="713" eb="716">
      <t>サイショウゲン</t>
    </rPh>
    <rPh sb="717" eb="718">
      <t>オサ</t>
    </rPh>
    <rPh sb="738" eb="739">
      <t>モチ</t>
    </rPh>
    <rPh sb="747" eb="750">
      <t>フクスウカイ</t>
    </rPh>
    <rPh sb="750" eb="751">
      <t>オコナ</t>
    </rPh>
    <rPh sb="753" eb="754">
      <t>トク</t>
    </rPh>
    <rPh sb="755" eb="757">
      <t>キキ</t>
    </rPh>
    <rPh sb="757" eb="759">
      <t>ソウサ</t>
    </rPh>
    <rPh sb="760" eb="762">
      <t>ジシン</t>
    </rPh>
    <rPh sb="765" eb="767">
      <t>ガクセイ</t>
    </rPh>
    <rPh sb="768" eb="770">
      <t>テアツ</t>
    </rPh>
    <rPh sb="776" eb="777">
      <t>オコナ</t>
    </rPh>
    <rPh sb="785" eb="787">
      <t>コウセイ</t>
    </rPh>
    <rPh sb="788" eb="790">
      <t>セイセキ</t>
    </rPh>
    <rPh sb="790" eb="792">
      <t>ヒョウカ</t>
    </rPh>
    <rPh sb="793" eb="795">
      <t>タンポ</t>
    </rPh>
    <rPh sb="800" eb="802">
      <t>カツドウ</t>
    </rPh>
    <rPh sb="818" eb="820">
      <t>ジッシ</t>
    </rPh>
    <rPh sb="822" eb="824">
      <t>コウギ</t>
    </rPh>
    <rPh sb="824" eb="826">
      <t>カモク</t>
    </rPh>
    <rPh sb="827" eb="829">
      <t>ヒョウカ</t>
    </rPh>
    <rPh sb="831" eb="833">
      <t>ドウガ</t>
    </rPh>
    <rPh sb="833" eb="835">
      <t>キョウザイ</t>
    </rPh>
    <rPh sb="835" eb="837">
      <t>シチョウ</t>
    </rPh>
    <rPh sb="837" eb="838">
      <t>ゴ</t>
    </rPh>
    <rPh sb="839" eb="841">
      <t>ジュケン</t>
    </rPh>
    <rPh sb="852" eb="853">
      <t>オコナ</t>
    </rPh>
    <rPh sb="862" eb="863">
      <t>ツウ</t>
    </rPh>
    <rPh sb="869" eb="871">
      <t>カイトウ</t>
    </rPh>
    <rPh sb="872" eb="873">
      <t>オシ</t>
    </rPh>
    <rPh sb="879" eb="881">
      <t>フセイ</t>
    </rPh>
    <rPh sb="881" eb="883">
      <t>コウイ</t>
    </rPh>
    <rPh sb="884" eb="886">
      <t>ヨソウ</t>
    </rPh>
    <rPh sb="912" eb="914">
      <t>ジュンカイ</t>
    </rPh>
    <rPh sb="918" eb="919">
      <t>シュ</t>
    </rPh>
    <rPh sb="920" eb="922">
      <t>フセイ</t>
    </rPh>
    <rPh sb="923" eb="925">
      <t>ソウキ</t>
    </rPh>
    <rPh sb="926" eb="928">
      <t>ケンチ</t>
    </rPh>
    <rPh sb="930" eb="932">
      <t>カツドウ</t>
    </rPh>
    <rPh sb="933" eb="935">
      <t>ジッシ</t>
    </rPh>
    <rPh sb="938" eb="939">
      <t>サイワ</t>
    </rPh>
    <rPh sb="940" eb="942">
      <t>レイワ</t>
    </rPh>
    <rPh sb="943" eb="945">
      <t>ネンド</t>
    </rPh>
    <rPh sb="950" eb="952">
      <t>フセイ</t>
    </rPh>
    <rPh sb="952" eb="954">
      <t>コウイ</t>
    </rPh>
    <rPh sb="978" eb="979">
      <t>ヨウ</t>
    </rPh>
    <rPh sb="989" eb="991">
      <t>セイビ</t>
    </rPh>
    <rPh sb="994" eb="997">
      <t>ダイガクナイ</t>
    </rPh>
    <rPh sb="998" eb="1000">
      <t>ジブン</t>
    </rPh>
    <rPh sb="1007" eb="1009">
      <t>リヨウ</t>
    </rPh>
    <rPh sb="1022" eb="1023">
      <t>オコナ</t>
    </rPh>
    <rPh sb="1024" eb="1026">
      <t>ガクセイ</t>
    </rPh>
    <rPh sb="1027" eb="1030">
      <t>イッテイスウ</t>
    </rPh>
    <rPh sb="1033" eb="1036">
      <t>ダイガクナイ</t>
    </rPh>
    <rPh sb="1042" eb="1045">
      <t>トショカン</t>
    </rPh>
    <rPh sb="1046" eb="1047">
      <t>イチ</t>
    </rPh>
    <rPh sb="1047" eb="1048">
      <t>ブ</t>
    </rPh>
    <rPh sb="1051" eb="1053">
      <t>リヨウ</t>
    </rPh>
    <rPh sb="1056" eb="1058">
      <t>ムセン</t>
    </rPh>
    <rPh sb="1061" eb="1063">
      <t>カンキョウ</t>
    </rPh>
    <rPh sb="1064" eb="1066">
      <t>テキド</t>
    </rPh>
    <rPh sb="1067" eb="1069">
      <t>ショウメイ</t>
    </rPh>
    <rPh sb="1070" eb="1072">
      <t>デンゲン</t>
    </rPh>
    <rPh sb="1078" eb="1080">
      <t>セイオン</t>
    </rPh>
    <rPh sb="1080" eb="1081">
      <t>セイ</t>
    </rPh>
    <rPh sb="1084" eb="1085">
      <t>ソナ</t>
    </rPh>
    <rPh sb="1092" eb="1094">
      <t>カクジュウ</t>
    </rPh>
    <phoneticPr fontId="1"/>
  </si>
  <si>
    <t>その他の取組（地域連携、産業界との連携、海外の大学等との連携等）</t>
    <phoneticPr fontId="1"/>
  </si>
  <si>
    <t xml:space="preserve">
【地域連携】
（１）地域高等教育機関への取り組み成果の展開
　　令和２年度には本学主催の数理・データサイエンス教育に関するシンポジウム（９月）と情報交換会（１２月）を開催した（いずれもオンライン開催）。シンポジウムは県内を中心に全国から参加者を募り、数理・データサイエンス教育に関する講演と、本学で開発した動画教材の紹介、令和２年度前期の授業開講報告などを行った。情報交換会では参加者を県内の数理DS関係教育の担当者に絞り、各大学の数理DS教育の現状や課題などについてディスカッションを行った。これらの活動などを通じて、地域の高等教育機関との連携に有用な人的交流を活発に進めている。上述の通り静岡県内の高等教育機関および自治体で構成される「ふじのくに地域・大学コンソーシアム」には本学で開発した動画教材を無料で公開しており、今後本プログラムの開講を通じて得られた知見を地域の他大学に展開する体制が整っている。
（２）地域企業と協力して作成した動画教材
　　①（３）で紹介したように、静岡地区の一流企業の協力を受けて開発した教材は学生の動機付けに高い効果を挙げており、地域密着型の特色ある教材となっている。
【産業界との連携】
　　本学で開発した動画教材中、情報処理の先端技術を扱うもの（たとえば、画像処理、音声処理、自然言語処理など）においては、本学教員が産学連携活動の成果として開発した技術の数々が含まれており、産業界との連携に強い本学の強みを活かした教育を実現しているという特色がある。</t>
    <rPh sb="2" eb="4">
      <t>チイキ</t>
    </rPh>
    <rPh sb="4" eb="6">
      <t>レンケイ</t>
    </rPh>
    <rPh sb="12" eb="14">
      <t>チイキ</t>
    </rPh>
    <rPh sb="14" eb="16">
      <t>コウトウ</t>
    </rPh>
    <rPh sb="16" eb="18">
      <t>キョウイク</t>
    </rPh>
    <rPh sb="18" eb="20">
      <t>キカン</t>
    </rPh>
    <rPh sb="22" eb="23">
      <t>ト</t>
    </rPh>
    <rPh sb="24" eb="25">
      <t>ク</t>
    </rPh>
    <rPh sb="26" eb="28">
      <t>セイカ</t>
    </rPh>
    <rPh sb="29" eb="31">
      <t>テンカイ</t>
    </rPh>
    <rPh sb="34" eb="36">
      <t>レイワ</t>
    </rPh>
    <rPh sb="37" eb="39">
      <t>ネンド</t>
    </rPh>
    <rPh sb="41" eb="43">
      <t>ホンガク</t>
    </rPh>
    <rPh sb="43" eb="45">
      <t>シュサイ</t>
    </rPh>
    <rPh sb="46" eb="48">
      <t>スウリ</t>
    </rPh>
    <rPh sb="57" eb="59">
      <t>キョウイク</t>
    </rPh>
    <rPh sb="60" eb="61">
      <t>カン</t>
    </rPh>
    <rPh sb="71" eb="72">
      <t>ガツ</t>
    </rPh>
    <rPh sb="74" eb="76">
      <t>ジョウホウ</t>
    </rPh>
    <rPh sb="76" eb="79">
      <t>コウカンカイ</t>
    </rPh>
    <rPh sb="82" eb="83">
      <t>ガツ</t>
    </rPh>
    <rPh sb="85" eb="87">
      <t>カイサイ</t>
    </rPh>
    <rPh sb="99" eb="101">
      <t>カイサイ</t>
    </rPh>
    <rPh sb="110" eb="112">
      <t>ケンナイ</t>
    </rPh>
    <rPh sb="113" eb="115">
      <t>チュウシン</t>
    </rPh>
    <rPh sb="116" eb="118">
      <t>ゼンコク</t>
    </rPh>
    <rPh sb="120" eb="123">
      <t>サンカシャ</t>
    </rPh>
    <rPh sb="124" eb="125">
      <t>ツノ</t>
    </rPh>
    <rPh sb="127" eb="129">
      <t>スウリ</t>
    </rPh>
    <rPh sb="138" eb="140">
      <t>キョウイク</t>
    </rPh>
    <rPh sb="141" eb="142">
      <t>カン</t>
    </rPh>
    <rPh sb="144" eb="146">
      <t>コウエン</t>
    </rPh>
    <rPh sb="148" eb="150">
      <t>ホンガク</t>
    </rPh>
    <rPh sb="151" eb="153">
      <t>カイハツ</t>
    </rPh>
    <rPh sb="155" eb="157">
      <t>ドウガ</t>
    </rPh>
    <rPh sb="157" eb="159">
      <t>キョウザイ</t>
    </rPh>
    <rPh sb="160" eb="162">
      <t>ショウカイ</t>
    </rPh>
    <rPh sb="163" eb="165">
      <t>レイワ</t>
    </rPh>
    <rPh sb="166" eb="168">
      <t>ネンド</t>
    </rPh>
    <rPh sb="168" eb="170">
      <t>ゼンキ</t>
    </rPh>
    <rPh sb="171" eb="173">
      <t>ジュギョウ</t>
    </rPh>
    <rPh sb="173" eb="175">
      <t>カイコウ</t>
    </rPh>
    <rPh sb="175" eb="177">
      <t>ホウコク</t>
    </rPh>
    <rPh sb="180" eb="181">
      <t>オコナ</t>
    </rPh>
    <rPh sb="184" eb="186">
      <t>ジョウホウ</t>
    </rPh>
    <rPh sb="186" eb="189">
      <t>コウカンカイ</t>
    </rPh>
    <rPh sb="191" eb="194">
      <t>サンカシャ</t>
    </rPh>
    <rPh sb="195" eb="197">
      <t>ケンナイ</t>
    </rPh>
    <rPh sb="198" eb="200">
      <t>スウリ</t>
    </rPh>
    <rPh sb="202" eb="204">
      <t>カンケイ</t>
    </rPh>
    <rPh sb="204" eb="206">
      <t>キョウイク</t>
    </rPh>
    <rPh sb="207" eb="210">
      <t>タントウシャ</t>
    </rPh>
    <rPh sb="211" eb="212">
      <t>シボ</t>
    </rPh>
    <rPh sb="214" eb="217">
      <t>カクダイガク</t>
    </rPh>
    <rPh sb="218" eb="220">
      <t>スウリ</t>
    </rPh>
    <rPh sb="222" eb="224">
      <t>キョウイク</t>
    </rPh>
    <rPh sb="225" eb="227">
      <t>ゲンジョウ</t>
    </rPh>
    <rPh sb="228" eb="230">
      <t>カダイ</t>
    </rPh>
    <rPh sb="245" eb="246">
      <t>オコナ</t>
    </rPh>
    <rPh sb="253" eb="255">
      <t>カツドウ</t>
    </rPh>
    <rPh sb="258" eb="259">
      <t>ツウ</t>
    </rPh>
    <rPh sb="262" eb="264">
      <t>チイキ</t>
    </rPh>
    <rPh sb="265" eb="267">
      <t>コウトウ</t>
    </rPh>
    <rPh sb="267" eb="269">
      <t>キョウイク</t>
    </rPh>
    <rPh sb="269" eb="271">
      <t>キカン</t>
    </rPh>
    <rPh sb="273" eb="275">
      <t>レンケイ</t>
    </rPh>
    <rPh sb="276" eb="278">
      <t>ユウヨウ</t>
    </rPh>
    <rPh sb="279" eb="281">
      <t>ジンテキ</t>
    </rPh>
    <rPh sb="281" eb="283">
      <t>コウリュウ</t>
    </rPh>
    <rPh sb="284" eb="286">
      <t>カッパツ</t>
    </rPh>
    <rPh sb="287" eb="288">
      <t>スス</t>
    </rPh>
    <rPh sb="293" eb="295">
      <t>ジョウジュツ</t>
    </rPh>
    <rPh sb="296" eb="297">
      <t>トオ</t>
    </rPh>
    <rPh sb="343" eb="344">
      <t>ガク</t>
    </rPh>
    <rPh sb="345" eb="347">
      <t>カイハツ</t>
    </rPh>
    <rPh sb="349" eb="351">
      <t>ドウガ</t>
    </rPh>
    <rPh sb="364" eb="366">
      <t>コンゴ</t>
    </rPh>
    <rPh sb="411" eb="413">
      <t>チイキ</t>
    </rPh>
    <rPh sb="413" eb="415">
      <t>キギョウ</t>
    </rPh>
    <rPh sb="416" eb="418">
      <t>キョウリョク</t>
    </rPh>
    <rPh sb="420" eb="422">
      <t>サクセイ</t>
    </rPh>
    <rPh sb="424" eb="426">
      <t>ドウガ</t>
    </rPh>
    <rPh sb="426" eb="428">
      <t>キョウザイ</t>
    </rPh>
    <rPh sb="436" eb="438">
      <t>ショウカイ</t>
    </rPh>
    <rPh sb="444" eb="446">
      <t>シズオカ</t>
    </rPh>
    <rPh sb="446" eb="448">
      <t>チク</t>
    </rPh>
    <rPh sb="449" eb="451">
      <t>イチリュウ</t>
    </rPh>
    <rPh sb="451" eb="453">
      <t>キギョウ</t>
    </rPh>
    <rPh sb="454" eb="456">
      <t>キョウリョク</t>
    </rPh>
    <rPh sb="457" eb="458">
      <t>ウ</t>
    </rPh>
    <rPh sb="460" eb="462">
      <t>カイハツ</t>
    </rPh>
    <rPh sb="464" eb="466">
      <t>キョウザイ</t>
    </rPh>
    <rPh sb="467" eb="469">
      <t>ガクセイ</t>
    </rPh>
    <rPh sb="470" eb="472">
      <t>ドウキ</t>
    </rPh>
    <rPh sb="472" eb="473">
      <t>ヅ</t>
    </rPh>
    <rPh sb="475" eb="476">
      <t>タカ</t>
    </rPh>
    <rPh sb="477" eb="479">
      <t>コウカ</t>
    </rPh>
    <rPh sb="480" eb="481">
      <t>ア</t>
    </rPh>
    <rPh sb="486" eb="488">
      <t>チイキ</t>
    </rPh>
    <rPh sb="488" eb="491">
      <t>ミッチャクガタ</t>
    </rPh>
    <rPh sb="492" eb="494">
      <t>トクショク</t>
    </rPh>
    <rPh sb="496" eb="498">
      <t>キョウザイ</t>
    </rPh>
    <rPh sb="509" eb="512">
      <t>サンギョウカイ</t>
    </rPh>
    <rPh sb="514" eb="516">
      <t>レンケイ</t>
    </rPh>
    <rPh sb="521" eb="523">
      <t>ホンガク</t>
    </rPh>
    <rPh sb="524" eb="526">
      <t>カイハツ</t>
    </rPh>
    <rPh sb="528" eb="530">
      <t>ドウガ</t>
    </rPh>
    <rPh sb="530" eb="532">
      <t>キョウザイ</t>
    </rPh>
    <rPh sb="532" eb="533">
      <t>チュウ</t>
    </rPh>
    <rPh sb="534" eb="536">
      <t>ジョウホウ</t>
    </rPh>
    <rPh sb="536" eb="538">
      <t>ショリ</t>
    </rPh>
    <rPh sb="539" eb="541">
      <t>センタン</t>
    </rPh>
    <rPh sb="541" eb="543">
      <t>ギジュツ</t>
    </rPh>
    <rPh sb="544" eb="545">
      <t>アツカ</t>
    </rPh>
    <rPh sb="554" eb="556">
      <t>ガゾウ</t>
    </rPh>
    <rPh sb="556" eb="558">
      <t>ショリ</t>
    </rPh>
    <rPh sb="559" eb="561">
      <t>オンセイ</t>
    </rPh>
    <rPh sb="561" eb="563">
      <t>ショリ</t>
    </rPh>
    <rPh sb="564" eb="566">
      <t>シゼン</t>
    </rPh>
    <rPh sb="566" eb="568">
      <t>ゲンゴ</t>
    </rPh>
    <rPh sb="568" eb="570">
      <t>ショリ</t>
    </rPh>
    <rPh sb="579" eb="581">
      <t>ホンガク</t>
    </rPh>
    <rPh sb="581" eb="583">
      <t>キョウイン</t>
    </rPh>
    <rPh sb="584" eb="586">
      <t>サンガク</t>
    </rPh>
    <rPh sb="586" eb="588">
      <t>レンケイ</t>
    </rPh>
    <rPh sb="588" eb="590">
      <t>カツドウ</t>
    </rPh>
    <rPh sb="591" eb="593">
      <t>セイカ</t>
    </rPh>
    <rPh sb="596" eb="598">
      <t>カイハツ</t>
    </rPh>
    <rPh sb="600" eb="602">
      <t>ギジュツ</t>
    </rPh>
    <rPh sb="603" eb="605">
      <t>カズカズ</t>
    </rPh>
    <rPh sb="606" eb="607">
      <t>フク</t>
    </rPh>
    <rPh sb="613" eb="616">
      <t>サンギョウカイ</t>
    </rPh>
    <rPh sb="618" eb="620">
      <t>レンケイ</t>
    </rPh>
    <rPh sb="621" eb="622">
      <t>ツヨ</t>
    </rPh>
    <rPh sb="623" eb="625">
      <t>ホンガク</t>
    </rPh>
    <rPh sb="626" eb="627">
      <t>ツヨ</t>
    </rPh>
    <rPh sb="629" eb="630">
      <t>イ</t>
    </rPh>
    <rPh sb="633" eb="635">
      <t>キョウイク</t>
    </rPh>
    <rPh sb="636" eb="638">
      <t>ジツゲン</t>
    </rPh>
    <rPh sb="645" eb="647">
      <t>トクショク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</si>
</sst>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3"/>
      <charset val="128"/>
      <scheme val="minor"/>
    </font>
    <font>
      <sz val="9"/>
      <name val="ＭＳ Ｐゴシック"/>
      <family val="3"/>
      <charset val="128"/>
      <scheme val="minor"/>
    </font>
    <font>
      <u/>
      <sz val="11"/>
      <name val="ＭＳ Ｐゴシック"/>
      <family val="3"/>
      <charset val="128"/>
      <scheme val="minor"/>
    </font>
    <font>
      <u/>
      <sz val="12"/>
      <name val="ＭＳ Ｐゴシック"/>
      <family val="3"/>
      <charset val="128"/>
      <scheme val="minor"/>
    </font>
    <font>
      <sz val="11"/>
      <name val="ＭＳ Ｐゴシック"/>
      <family val="3"/>
      <charset val="128"/>
      <scheme val="minor"/>
    </font>
    <font>
      <sz val="16"/>
      <name val="ＭＳ Ｐゴシック"/>
      <family val="3"/>
      <charset val="128"/>
      <scheme val="minor"/>
    </font>
    <font>
      <sz val="12"/>
      <name val="ＭＳ Ｐゴシック"/>
      <family val="3"/>
      <charset val="128"/>
    </font>
    <font>
      <sz val="10"/>
      <name val="ＭＳ Ｐゴシック"/>
      <family val="3"/>
      <charset val="128"/>
      <scheme val="minor"/>
    </font>
    <font>
      <sz val="7"/>
      <name val="ＭＳ Ｐゴシック"/>
      <family val="3"/>
      <charset val="128"/>
      <scheme val="minor"/>
    </font>
    <font>
      <sz val="12"/>
      <color theme="3" tint="0.39997558519241921"/>
      <name val="ＭＳ Ｐゴシック"/>
      <family val="3"/>
      <charset val="128"/>
      <scheme val="minor"/>
    </font>
  </fonts>
  <fills count="2">
    <fill>
      <patternFill patternType="none"/>
    </fill>
    <fill>
      <patternFill patternType="gray125"/>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style="thin">
        <color rgb="FF000000"/>
      </right>
      <top style="thin">
        <color indexed="64"/>
      </top>
      <bottom style="thin">
        <color indexed="64"/>
      </bottom>
      <diagonal/>
    </border>
  </borders>
  <cellStyleXfs count="4">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223">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5" fillId="0" borderId="0" xfId="0" applyFont="1">
      <alignment vertical="center"/>
    </xf>
    <xf numFmtId="0" fontId="4" fillId="0" borderId="0" xfId="0" applyFont="1">
      <alignment vertical="center"/>
    </xf>
    <xf numFmtId="0" fontId="4" fillId="0" borderId="0" xfId="0" applyFont="1" applyAlignment="1">
      <alignment vertical="center"/>
    </xf>
    <xf numFmtId="0" fontId="4" fillId="0" borderId="0" xfId="0" applyFont="1" applyBorder="1" applyAlignment="1">
      <alignment vertical="center"/>
    </xf>
    <xf numFmtId="0" fontId="4" fillId="0" borderId="1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Fill="1" applyBorder="1" applyAlignment="1">
      <alignment horizontal="center" vertical="center" shrinkToFit="1"/>
    </xf>
    <xf numFmtId="0" fontId="4" fillId="0" borderId="0" xfId="0" applyFont="1" applyFill="1" applyBorder="1" applyAlignment="1">
      <alignment vertical="center" shrinkToFit="1"/>
    </xf>
    <xf numFmtId="176" fontId="4" fillId="0" borderId="0" xfId="0" applyNumberFormat="1" applyFont="1" applyFill="1" applyAlignment="1">
      <alignment horizontal="left" vertical="center" wrapText="1"/>
    </xf>
    <xf numFmtId="0" fontId="4" fillId="0" borderId="0" xfId="0" applyFont="1" applyAlignment="1">
      <alignment horizontal="center" vertical="center"/>
    </xf>
    <xf numFmtId="0" fontId="7" fillId="0" borderId="21" xfId="0" applyFont="1" applyBorder="1" applyAlignment="1">
      <alignment vertical="top" shrinkToFit="1"/>
    </xf>
    <xf numFmtId="0" fontId="7" fillId="0" borderId="19" xfId="0" applyFont="1" applyBorder="1" applyAlignment="1">
      <alignment vertical="top" shrinkToFit="1"/>
    </xf>
    <xf numFmtId="0" fontId="4" fillId="0" borderId="10" xfId="0" applyFont="1" applyBorder="1" applyAlignment="1">
      <alignment vertical="center" shrinkToFit="1"/>
    </xf>
    <xf numFmtId="0" fontId="4" fillId="0" borderId="0" xfId="0" applyFont="1" applyFill="1">
      <alignment vertical="center"/>
    </xf>
    <xf numFmtId="0" fontId="4" fillId="0" borderId="10" xfId="0" applyFont="1" applyFill="1" applyBorder="1" applyAlignment="1">
      <alignment vertical="center" shrinkToFit="1"/>
    </xf>
    <xf numFmtId="0" fontId="7" fillId="0" borderId="10" xfId="0" applyFont="1" applyBorder="1" applyAlignment="1">
      <alignment vertical="top" wrapText="1"/>
    </xf>
    <xf numFmtId="0" fontId="7" fillId="0" borderId="5" xfId="0" applyFont="1" applyBorder="1" applyAlignment="1">
      <alignment vertical="top" wrapText="1"/>
    </xf>
    <xf numFmtId="0" fontId="4" fillId="0" borderId="0" xfId="0" applyFont="1" applyAlignment="1">
      <alignment vertical="center" wrapText="1"/>
    </xf>
    <xf numFmtId="0" fontId="4" fillId="0" borderId="0" xfId="0" applyFont="1" applyAlignment="1">
      <alignment vertical="top" wrapText="1"/>
    </xf>
    <xf numFmtId="0" fontId="4" fillId="0" borderId="17" xfId="0" applyFont="1" applyBorder="1">
      <alignment vertical="center"/>
    </xf>
    <xf numFmtId="0" fontId="7" fillId="0" borderId="21" xfId="0" applyFont="1" applyBorder="1" applyAlignment="1">
      <alignment vertical="top" wrapText="1"/>
    </xf>
    <xf numFmtId="0" fontId="7" fillId="0" borderId="19" xfId="0" applyFont="1" applyBorder="1" applyAlignment="1">
      <alignment vertical="top" wrapText="1"/>
    </xf>
    <xf numFmtId="0" fontId="11" fillId="0" borderId="0" xfId="0" applyFont="1" applyAlignment="1">
      <alignment vertical="center" wrapText="1"/>
    </xf>
    <xf numFmtId="0" fontId="10" fillId="0" borderId="0" xfId="2" applyNumberFormat="1" applyFont="1" applyBorder="1" applyAlignment="1">
      <alignment vertical="center" shrinkToFit="1"/>
    </xf>
    <xf numFmtId="0" fontId="7" fillId="0" borderId="0" xfId="0" applyFont="1" applyAlignment="1">
      <alignment vertical="center" shrinkToFit="1"/>
    </xf>
    <xf numFmtId="0" fontId="4" fillId="0" borderId="1" xfId="0" applyFont="1" applyBorder="1" applyAlignment="1">
      <alignment vertical="center" wrapText="1"/>
    </xf>
    <xf numFmtId="0" fontId="7" fillId="0" borderId="0" xfId="0" applyFont="1">
      <alignment vertical="center"/>
    </xf>
    <xf numFmtId="0" fontId="7" fillId="0" borderId="0" xfId="0" applyFont="1" applyAlignment="1">
      <alignment vertical="top" shrinkToFit="1"/>
    </xf>
    <xf numFmtId="0" fontId="7" fillId="0" borderId="0" xfId="0" applyFont="1" applyAlignment="1">
      <alignment vertical="center" wrapText="1"/>
    </xf>
    <xf numFmtId="0" fontId="10" fillId="0" borderId="0" xfId="0" applyFont="1">
      <alignment vertical="center"/>
    </xf>
    <xf numFmtId="0" fontId="14" fillId="0" borderId="11" xfId="0" applyFont="1" applyBorder="1" applyAlignment="1">
      <alignment horizontal="center" vertical="center"/>
    </xf>
    <xf numFmtId="0" fontId="14" fillId="0" borderId="31" xfId="0" applyFont="1" applyBorder="1" applyAlignment="1">
      <alignment horizontal="center" vertical="center" wrapText="1"/>
    </xf>
    <xf numFmtId="0" fontId="14" fillId="0" borderId="32" xfId="0" applyFont="1" applyBorder="1" applyAlignment="1">
      <alignment horizontal="center" vertical="center"/>
    </xf>
    <xf numFmtId="0" fontId="14"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0" fontId="4" fillId="0" borderId="27" xfId="0"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7" fillId="0" borderId="0" xfId="0" applyNumberFormat="1" applyFont="1" applyBorder="1" applyAlignment="1">
      <alignment vertical="center" shrinkToFit="1"/>
    </xf>
    <xf numFmtId="0" fontId="15" fillId="0" borderId="0" xfId="0" applyFont="1">
      <alignment vertical="center"/>
    </xf>
    <xf numFmtId="0" fontId="7" fillId="0" borderId="0" xfId="0" applyFont="1" applyBorder="1" applyAlignment="1">
      <alignment vertical="center" shrinkToFit="1"/>
    </xf>
    <xf numFmtId="0" fontId="4" fillId="0" borderId="0" xfId="0" applyFont="1" applyBorder="1" applyAlignment="1">
      <alignment vertical="center" shrinkToFit="1"/>
    </xf>
    <xf numFmtId="0" fontId="4" fillId="0" borderId="0" xfId="0" applyFont="1" applyBorder="1" applyAlignment="1">
      <alignment horizontal="center" vertical="center"/>
    </xf>
    <xf numFmtId="0" fontId="4" fillId="0" borderId="2" xfId="0" applyFont="1" applyBorder="1" applyAlignment="1">
      <alignment horizontal="center" vertical="center" shrinkToFit="1"/>
    </xf>
    <xf numFmtId="0" fontId="5" fillId="0" borderId="0" xfId="0" applyFont="1" applyAlignment="1">
      <alignment horizontal="right" vertical="center"/>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0" xfId="0" applyFont="1" applyAlignment="1">
      <alignment vertical="center" shrinkToFit="1"/>
    </xf>
    <xf numFmtId="0" fontId="4" fillId="0" borderId="20" xfId="0" applyFont="1" applyBorder="1" applyAlignment="1">
      <alignment vertical="center" shrinkToFit="1"/>
    </xf>
    <xf numFmtId="0" fontId="4" fillId="0" borderId="11" xfId="0"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xf>
    <xf numFmtId="0" fontId="7" fillId="0" borderId="0" xfId="0" applyFont="1" applyAlignment="1">
      <alignment vertical="top" wrapText="1"/>
    </xf>
    <xf numFmtId="49" fontId="8" fillId="0" borderId="2" xfId="2" applyNumberFormat="1" applyFont="1" applyBorder="1" applyAlignment="1">
      <alignment vertical="center" shrinkToFit="1"/>
    </xf>
    <xf numFmtId="49" fontId="4" fillId="0" borderId="3" xfId="0" applyNumberFormat="1" applyFont="1" applyBorder="1" applyAlignment="1">
      <alignment vertical="center" shrinkToFit="1"/>
    </xf>
    <xf numFmtId="49" fontId="4" fillId="0" borderId="4" xfId="0" applyNumberFormat="1" applyFont="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0"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0" xfId="0" applyFont="1" applyFill="1" applyBorder="1" applyAlignment="1">
      <alignment horizontal="right"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5" xfId="0" applyFont="1" applyFill="1" applyBorder="1" applyAlignment="1">
      <alignment horizontal="right" vertical="center" shrinkToFit="1"/>
    </xf>
    <xf numFmtId="0" fontId="4" fillId="0" borderId="10" xfId="0" applyFont="1" applyFill="1" applyBorder="1" applyAlignment="1">
      <alignment horizontal="righ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Border="1" applyAlignment="1">
      <alignment horizontal="center" vertical="center" shrinkToFit="1"/>
    </xf>
    <xf numFmtId="0" fontId="4" fillId="0" borderId="0" xfId="0" applyFont="1" applyAlignment="1">
      <alignment horizontal="center" vertical="center"/>
    </xf>
    <xf numFmtId="0" fontId="4" fillId="0" borderId="0" xfId="0" applyFont="1" applyBorder="1" applyAlignment="1">
      <alignment vertical="center" shrinkToFit="1"/>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4" xfId="0" applyFont="1" applyBorder="1" applyAlignment="1">
      <alignment vertical="center" shrinkToFit="1"/>
    </xf>
    <xf numFmtId="0" fontId="4" fillId="0" borderId="0" xfId="0" applyFont="1" applyAlignment="1">
      <alignment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0" xfId="0" applyFont="1" applyAlignment="1">
      <alignment horizontal="right"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14" fillId="0" borderId="16"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15" xfId="0" applyFont="1" applyBorder="1" applyAlignment="1">
      <alignment vertical="center" shrinkToFit="1"/>
    </xf>
    <xf numFmtId="0" fontId="4" fillId="0" borderId="39" xfId="0" applyFont="1" applyBorder="1" applyAlignment="1">
      <alignment vertical="center" shrinkToFit="1"/>
    </xf>
    <xf numFmtId="0" fontId="12" fillId="0" borderId="2" xfId="0" applyFont="1" applyFill="1" applyBorder="1" applyAlignment="1">
      <alignment vertical="center" wrapText="1"/>
    </xf>
    <xf numFmtId="0" fontId="12" fillId="0" borderId="3" xfId="0" applyFont="1" applyFill="1" applyBorder="1" applyAlignment="1">
      <alignment vertical="center" wrapText="1"/>
    </xf>
    <xf numFmtId="0" fontId="12" fillId="0" borderId="43" xfId="0" applyFont="1" applyFill="1" applyBorder="1" applyAlignment="1">
      <alignment vertical="center" wrapText="1"/>
    </xf>
    <xf numFmtId="0" fontId="12" fillId="0" borderId="2" xfId="0" applyFont="1" applyFill="1" applyBorder="1" applyAlignment="1">
      <alignment vertical="center" wrapText="1" shrinkToFit="1"/>
    </xf>
    <xf numFmtId="0" fontId="4" fillId="0" borderId="3" xfId="0" applyFont="1" applyFill="1" applyBorder="1" applyAlignment="1">
      <alignment vertical="center" wrapText="1" shrinkToFit="1"/>
    </xf>
    <xf numFmtId="0" fontId="4" fillId="0" borderId="4" xfId="0" applyFont="1" applyFill="1" applyBorder="1" applyAlignment="1">
      <alignment vertical="center" wrapText="1" shrinkToFi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16" xfId="0" applyFont="1" applyBorder="1" applyAlignment="1">
      <alignment vertical="center" wrapText="1"/>
    </xf>
    <xf numFmtId="0" fontId="4" fillId="0" borderId="42" xfId="0" applyFont="1" applyBorder="1" applyAlignment="1">
      <alignment vertical="center" wrapText="1"/>
    </xf>
    <xf numFmtId="0" fontId="4" fillId="0" borderId="13" xfId="0" applyFont="1" applyBorder="1" applyAlignment="1">
      <alignment vertical="center" wrapText="1"/>
    </xf>
    <xf numFmtId="0" fontId="4" fillId="0" borderId="7"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0"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6"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2" xfId="0" applyFont="1" applyBorder="1" applyAlignment="1">
      <alignment horizontal="left" vertical="center" wrapText="1" shrinkToFit="1"/>
    </xf>
    <xf numFmtId="0" fontId="4" fillId="0" borderId="3"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3" xfId="0" applyFont="1" applyBorder="1" applyAlignment="1">
      <alignment horizontal="left" vertical="center" wrapText="1" shrinkToFit="1"/>
    </xf>
    <xf numFmtId="0" fontId="4" fillId="0" borderId="4" xfId="0" applyFont="1" applyBorder="1" applyAlignment="1">
      <alignment horizontal="left" vertical="center" wrapText="1" shrinkToFi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6" xfId="0" applyFont="1" applyBorder="1" applyAlignment="1">
      <alignment horizontal="left" vertical="center" wrapText="1"/>
    </xf>
    <xf numFmtId="0" fontId="4" fillId="0" borderId="12" xfId="0" applyFont="1" applyBorder="1" applyAlignment="1">
      <alignment horizontal="left" vertical="center" wrapText="1"/>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0" xfId="0" applyFont="1" applyAlignment="1">
      <alignment vertical="top" shrinkToFit="1"/>
    </xf>
    <xf numFmtId="0" fontId="4" fillId="0" borderId="6" xfId="0" applyFont="1" applyBorder="1" applyAlignment="1">
      <alignment vertical="center"/>
    </xf>
    <xf numFmtId="0" fontId="4" fillId="0" borderId="20" xfId="0" applyFont="1" applyBorder="1" applyAlignment="1">
      <alignment vertical="center" wrapText="1"/>
    </xf>
    <xf numFmtId="0" fontId="4" fillId="0" borderId="21"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4" fillId="0" borderId="18" xfId="0" applyFont="1" applyBorder="1" applyAlignment="1">
      <alignment vertical="center"/>
    </xf>
    <xf numFmtId="0" fontId="10" fillId="0" borderId="19" xfId="0" applyFont="1" applyBorder="1" applyAlignment="1">
      <alignment vertical="center"/>
    </xf>
    <xf numFmtId="0" fontId="4" fillId="0" borderId="0" xfId="0" applyFont="1" applyAlignment="1">
      <alignment horizontal="left" vertical="center"/>
    </xf>
    <xf numFmtId="0" fontId="7" fillId="0" borderId="0" xfId="0" applyFont="1" applyAlignment="1">
      <alignment vertical="top"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cellXfs>
  <cellStyles count="4">
    <cellStyle name="Hyperlink" xfId="3" xr:uid="{00000000-0005-0000-0000-000000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kyoumu2@adb.shizuok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7"/>
  <sheetViews>
    <sheetView tabSelected="1" zoomScaleNormal="100" workbookViewId="0">
      <selection activeCell="R5" sqref="R5"/>
    </sheetView>
  </sheetViews>
  <sheetFormatPr defaultColWidth="9" defaultRowHeight="18.75" customHeight="1"/>
  <cols>
    <col min="1" max="1" width="2.5" style="3" customWidth="1"/>
    <col min="2" max="2" width="12.5" style="3" customWidth="1"/>
    <col min="3" max="8" width="6.1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6" ht="22.5" customHeight="1">
      <c r="M1" s="105" t="s">
        <v>0</v>
      </c>
      <c r="N1" s="105"/>
    </row>
    <row r="2" spans="1:16" ht="22.5" customHeight="1">
      <c r="A2" s="110" t="s">
        <v>1</v>
      </c>
      <c r="B2" s="110"/>
      <c r="C2" s="110"/>
      <c r="D2" s="110"/>
      <c r="E2" s="110"/>
      <c r="F2" s="110"/>
      <c r="G2" s="110"/>
      <c r="H2" s="110"/>
      <c r="I2" s="110"/>
      <c r="J2" s="110"/>
      <c r="K2" s="110"/>
      <c r="L2" s="110"/>
      <c r="M2" s="110"/>
      <c r="N2" s="110"/>
    </row>
    <row r="3" spans="1:16" ht="22.5" customHeight="1"/>
    <row r="4" spans="1:16" ht="22.5" customHeight="1">
      <c r="A4" s="3" t="s">
        <v>2</v>
      </c>
      <c r="B4" s="5" t="s">
        <v>3</v>
      </c>
      <c r="C4" s="89" t="s">
        <v>4</v>
      </c>
      <c r="D4" s="90"/>
      <c r="E4" s="90"/>
      <c r="F4" s="90"/>
      <c r="G4" s="90"/>
      <c r="H4" s="90"/>
      <c r="I4" s="90"/>
      <c r="J4" s="90"/>
      <c r="K4" s="90"/>
      <c r="L4" s="90"/>
      <c r="M4" s="90"/>
      <c r="N4" s="91"/>
    </row>
    <row r="5" spans="1:16" ht="7.5" customHeight="1">
      <c r="B5" s="5"/>
      <c r="C5" s="5"/>
      <c r="D5" s="5"/>
      <c r="E5" s="80"/>
      <c r="F5" s="70"/>
      <c r="G5" s="70"/>
      <c r="H5" s="70"/>
      <c r="I5" s="70"/>
      <c r="J5" s="70"/>
      <c r="K5" s="70"/>
      <c r="L5" s="70"/>
      <c r="M5" s="70"/>
      <c r="N5" s="70"/>
    </row>
    <row r="6" spans="1:16" ht="22.5" customHeight="1">
      <c r="A6" s="3" t="s">
        <v>5</v>
      </c>
      <c r="B6" s="5" t="s">
        <v>6</v>
      </c>
      <c r="C6" s="5"/>
      <c r="D6" s="89" t="s">
        <v>7</v>
      </c>
      <c r="E6" s="90"/>
      <c r="F6" s="90"/>
      <c r="G6" s="90"/>
      <c r="H6" s="90"/>
      <c r="I6" s="90"/>
      <c r="J6" s="90"/>
      <c r="K6" s="90"/>
      <c r="L6" s="90"/>
      <c r="M6" s="90"/>
      <c r="N6" s="91"/>
    </row>
    <row r="7" spans="1:16" ht="7.5" customHeight="1">
      <c r="B7" s="5"/>
      <c r="C7" s="5"/>
      <c r="D7" s="5"/>
      <c r="E7" s="80"/>
      <c r="F7" s="70"/>
      <c r="G7" s="70"/>
      <c r="H7" s="70"/>
      <c r="I7" s="70"/>
      <c r="J7" s="70"/>
      <c r="K7" s="70"/>
      <c r="L7" s="70"/>
      <c r="M7" s="70"/>
      <c r="N7" s="70"/>
    </row>
    <row r="8" spans="1:16" ht="22.5" customHeight="1">
      <c r="A8" s="6" t="s">
        <v>8</v>
      </c>
      <c r="B8" s="7" t="s">
        <v>9</v>
      </c>
      <c r="C8" s="89" t="s">
        <v>10</v>
      </c>
      <c r="D8" s="90"/>
      <c r="E8" s="91"/>
      <c r="F8" s="70"/>
      <c r="G8" s="109"/>
      <c r="H8" s="109"/>
      <c r="I8" s="109"/>
      <c r="J8" s="70"/>
      <c r="K8" s="70"/>
      <c r="L8" s="70"/>
      <c r="M8" s="70"/>
      <c r="N8" s="70"/>
    </row>
    <row r="9" spans="1:16" ht="7.5" customHeight="1">
      <c r="B9" s="5"/>
      <c r="C9" s="5"/>
      <c r="D9" s="5"/>
      <c r="E9" s="80"/>
      <c r="F9" s="70"/>
      <c r="G9" s="70"/>
      <c r="H9" s="70"/>
      <c r="I9" s="70"/>
      <c r="J9" s="70"/>
      <c r="K9" s="70"/>
      <c r="L9" s="70"/>
      <c r="M9" s="70"/>
      <c r="N9" s="70"/>
    </row>
    <row r="10" spans="1:16" ht="22.5" customHeight="1">
      <c r="A10" s="3" t="s">
        <v>11</v>
      </c>
      <c r="B10" s="5" t="s">
        <v>12</v>
      </c>
      <c r="C10" s="89" t="s">
        <v>13</v>
      </c>
      <c r="D10" s="90"/>
      <c r="E10" s="90"/>
      <c r="F10" s="90"/>
      <c r="G10" s="90"/>
      <c r="H10" s="90"/>
      <c r="I10" s="90"/>
      <c r="J10" s="90"/>
      <c r="K10" s="90"/>
      <c r="L10" s="90"/>
      <c r="M10" s="90"/>
      <c r="N10" s="91"/>
    </row>
    <row r="11" spans="1:16" ht="7.5" customHeight="1">
      <c r="B11" s="5"/>
      <c r="C11" s="5"/>
      <c r="D11" s="5"/>
      <c r="E11" s="80"/>
      <c r="F11" s="70"/>
      <c r="G11" s="70"/>
      <c r="H11" s="70"/>
      <c r="I11" s="70"/>
      <c r="J11" s="70"/>
      <c r="K11" s="70"/>
      <c r="L11" s="70"/>
      <c r="M11" s="70"/>
      <c r="N11" s="70"/>
    </row>
    <row r="12" spans="1:16" ht="22.5" customHeight="1">
      <c r="A12" s="3" t="s">
        <v>14</v>
      </c>
      <c r="B12" s="5" t="s">
        <v>15</v>
      </c>
      <c r="C12" s="5"/>
      <c r="D12" s="5"/>
      <c r="E12" s="70"/>
      <c r="F12" s="25"/>
      <c r="G12" s="97" t="s">
        <v>16</v>
      </c>
      <c r="H12" s="98"/>
      <c r="I12" s="98"/>
      <c r="J12" s="98"/>
      <c r="K12" s="98"/>
      <c r="L12" s="98"/>
      <c r="M12" s="98"/>
      <c r="N12" s="99"/>
    </row>
    <row r="13" spans="1:16" ht="7.5" customHeight="1">
      <c r="B13" s="80"/>
      <c r="C13" s="80"/>
      <c r="D13" s="80"/>
      <c r="E13" s="80"/>
      <c r="F13" s="70"/>
      <c r="G13" s="70"/>
      <c r="H13" s="70"/>
      <c r="I13" s="70"/>
      <c r="J13" s="70"/>
      <c r="K13" s="70"/>
      <c r="L13" s="70"/>
      <c r="M13" s="70"/>
      <c r="N13" s="70"/>
    </row>
    <row r="14" spans="1:16" ht="22.5" customHeight="1">
      <c r="A14" s="3" t="s">
        <v>17</v>
      </c>
      <c r="B14" s="80" t="s">
        <v>18</v>
      </c>
      <c r="C14" s="80"/>
      <c r="D14" s="80"/>
      <c r="E14" s="80"/>
      <c r="F14" s="89" t="s">
        <v>19</v>
      </c>
      <c r="G14" s="90"/>
      <c r="H14" s="91"/>
      <c r="I14" s="70"/>
      <c r="J14" s="70"/>
      <c r="K14" s="70"/>
      <c r="L14" s="70"/>
      <c r="M14" s="70"/>
      <c r="N14" s="70"/>
      <c r="P14" s="4"/>
    </row>
    <row r="15" spans="1:16" ht="7.5" customHeight="1">
      <c r="B15" s="80"/>
      <c r="C15" s="80"/>
      <c r="D15" s="80"/>
      <c r="E15" s="80"/>
      <c r="F15" s="70"/>
      <c r="G15" s="70"/>
      <c r="H15" s="70"/>
      <c r="I15" s="70"/>
      <c r="J15" s="70"/>
      <c r="K15" s="70"/>
      <c r="L15" s="70"/>
      <c r="M15" s="70"/>
      <c r="N15" s="70"/>
    </row>
    <row r="16" spans="1:16" ht="22.5" customHeight="1">
      <c r="A16" s="3" t="s">
        <v>20</v>
      </c>
      <c r="B16" s="3" t="s">
        <v>21</v>
      </c>
      <c r="C16" s="106" t="s">
        <v>22</v>
      </c>
      <c r="D16" s="107"/>
      <c r="E16" s="92">
        <v>696</v>
      </c>
      <c r="F16" s="93"/>
      <c r="G16" s="8" t="s">
        <v>23</v>
      </c>
      <c r="I16" s="106" t="s">
        <v>24</v>
      </c>
      <c r="J16" s="107"/>
      <c r="K16" s="92">
        <v>344</v>
      </c>
      <c r="L16" s="108"/>
      <c r="M16" s="93"/>
      <c r="N16" s="9" t="s">
        <v>23</v>
      </c>
      <c r="P16" s="4"/>
    </row>
    <row r="17" spans="1:16" ht="7.5" customHeight="1">
      <c r="F17" s="10"/>
      <c r="G17" s="10"/>
      <c r="H17" s="10"/>
      <c r="I17" s="10"/>
      <c r="J17" s="10"/>
      <c r="K17" s="10"/>
      <c r="L17" s="10"/>
      <c r="M17" s="9"/>
      <c r="N17" s="9"/>
    </row>
    <row r="18" spans="1:16" ht="22.5" customHeight="1">
      <c r="A18" s="3" t="s">
        <v>25</v>
      </c>
      <c r="B18" s="3" t="s">
        <v>26</v>
      </c>
      <c r="F18" s="10"/>
      <c r="G18" s="10"/>
      <c r="H18" s="10"/>
      <c r="I18" s="10"/>
      <c r="J18" s="10"/>
      <c r="K18" s="102">
        <v>49</v>
      </c>
      <c r="L18" s="103"/>
      <c r="M18" s="104"/>
      <c r="N18" s="9" t="s">
        <v>23</v>
      </c>
      <c r="P18" s="4"/>
    </row>
    <row r="19" spans="1:16" ht="7.5" customHeight="1">
      <c r="F19" s="10"/>
      <c r="G19" s="10"/>
      <c r="H19" s="10"/>
      <c r="I19" s="10"/>
      <c r="J19" s="10"/>
      <c r="K19" s="10"/>
      <c r="L19" s="10"/>
      <c r="M19" s="9"/>
      <c r="N19" s="9"/>
    </row>
    <row r="20" spans="1:16" ht="22.5" customHeight="1">
      <c r="A20" s="3" t="s">
        <v>27</v>
      </c>
      <c r="B20" s="3" t="s">
        <v>28</v>
      </c>
      <c r="E20" s="92">
        <v>1970</v>
      </c>
      <c r="F20" s="93"/>
      <c r="G20" s="11" t="s">
        <v>29</v>
      </c>
      <c r="H20" s="10"/>
      <c r="K20" s="111"/>
      <c r="L20" s="111"/>
      <c r="M20" s="111"/>
      <c r="N20" s="111"/>
    </row>
    <row r="21" spans="1:16" ht="7.5" customHeight="1">
      <c r="E21" s="1"/>
      <c r="F21" s="10"/>
      <c r="G21" s="10"/>
      <c r="L21" s="71"/>
      <c r="M21" s="71"/>
      <c r="N21" s="12"/>
    </row>
    <row r="22" spans="1:16" ht="22.5" customHeight="1">
      <c r="A22" s="3" t="s">
        <v>30</v>
      </c>
      <c r="B22" s="3" t="s">
        <v>31</v>
      </c>
      <c r="E22" s="1"/>
      <c r="F22" s="10"/>
      <c r="G22" s="10"/>
      <c r="H22" s="3" t="s">
        <v>32</v>
      </c>
      <c r="J22" s="102">
        <v>8560</v>
      </c>
      <c r="K22" s="103"/>
      <c r="L22" s="104"/>
      <c r="M22" s="71" t="s">
        <v>23</v>
      </c>
      <c r="N22" s="12"/>
    </row>
    <row r="23" spans="1:16" ht="7.5" customHeight="1">
      <c r="E23" s="1"/>
      <c r="F23" s="10"/>
      <c r="G23" s="10"/>
      <c r="L23" s="71"/>
      <c r="M23" s="71"/>
      <c r="N23" s="12"/>
    </row>
    <row r="24" spans="1:16" ht="22.5" customHeight="1">
      <c r="B24" s="74" t="s">
        <v>33</v>
      </c>
      <c r="C24" s="92">
        <v>2039</v>
      </c>
      <c r="D24" s="93"/>
      <c r="E24" s="1" t="s">
        <v>23</v>
      </c>
      <c r="F24" s="10"/>
      <c r="G24" s="88" t="s">
        <v>34</v>
      </c>
      <c r="H24" s="88"/>
      <c r="I24" s="92">
        <v>2050</v>
      </c>
      <c r="J24" s="93"/>
      <c r="K24" s="6" t="s">
        <v>23</v>
      </c>
      <c r="M24" s="71"/>
      <c r="N24" s="12"/>
      <c r="O24" s="4"/>
    </row>
    <row r="25" spans="1:16" ht="7.5" customHeight="1">
      <c r="B25" s="74"/>
      <c r="C25" s="2"/>
      <c r="D25" s="2"/>
      <c r="E25" s="1"/>
      <c r="F25" s="10"/>
      <c r="G25" s="71"/>
      <c r="H25" s="71"/>
      <c r="I25" s="2"/>
      <c r="J25" s="2"/>
      <c r="K25" s="6"/>
      <c r="M25" s="71"/>
      <c r="N25" s="12"/>
      <c r="O25" s="4"/>
    </row>
    <row r="26" spans="1:16" ht="22.5" customHeight="1">
      <c r="B26" s="74" t="s">
        <v>35</v>
      </c>
      <c r="C26" s="92">
        <v>2086</v>
      </c>
      <c r="D26" s="93"/>
      <c r="E26" s="1" t="s">
        <v>23</v>
      </c>
      <c r="F26" s="10"/>
      <c r="G26" s="88" t="s">
        <v>36</v>
      </c>
      <c r="H26" s="88"/>
      <c r="I26" s="92">
        <v>2384</v>
      </c>
      <c r="J26" s="93"/>
      <c r="K26" s="6" t="s">
        <v>23</v>
      </c>
      <c r="M26" s="71"/>
      <c r="N26" s="12"/>
    </row>
    <row r="27" spans="1:16" ht="7.5" customHeight="1">
      <c r="B27" s="74"/>
      <c r="C27" s="2"/>
      <c r="D27" s="2"/>
      <c r="E27" s="1"/>
      <c r="F27" s="10"/>
      <c r="G27" s="71"/>
      <c r="H27" s="71"/>
      <c r="I27" s="2"/>
      <c r="J27" s="2"/>
      <c r="K27" s="6"/>
      <c r="M27" s="71"/>
      <c r="N27" s="12"/>
    </row>
    <row r="28" spans="1:16" ht="22.5" customHeight="1">
      <c r="B28" s="74" t="s">
        <v>37</v>
      </c>
      <c r="C28" s="92"/>
      <c r="D28" s="93"/>
      <c r="E28" s="1" t="s">
        <v>23</v>
      </c>
      <c r="F28" s="10"/>
      <c r="G28" s="88" t="s">
        <v>38</v>
      </c>
      <c r="H28" s="88"/>
      <c r="I28" s="92"/>
      <c r="J28" s="93"/>
      <c r="K28" s="6" t="s">
        <v>23</v>
      </c>
      <c r="M28" s="71"/>
      <c r="N28" s="12"/>
    </row>
    <row r="29" spans="1:16" ht="7.5" customHeight="1">
      <c r="F29" s="10"/>
      <c r="G29" s="10"/>
      <c r="M29" s="13"/>
      <c r="N29" s="13"/>
    </row>
    <row r="30" spans="1:16" ht="22.5" customHeight="1">
      <c r="A30" s="3" t="s">
        <v>39</v>
      </c>
      <c r="B30" s="5" t="s">
        <v>40</v>
      </c>
      <c r="C30" s="5"/>
      <c r="D30" s="5"/>
      <c r="E30" s="5"/>
      <c r="F30" s="6"/>
      <c r="G30" s="70"/>
      <c r="H30" s="70"/>
      <c r="I30" s="70"/>
      <c r="J30" s="14"/>
      <c r="K30" s="14"/>
      <c r="L30" s="14"/>
      <c r="M30" s="14"/>
      <c r="N30" s="14"/>
    </row>
    <row r="31" spans="1:16" s="4" customFormat="1" ht="22.5" customHeight="1">
      <c r="B31" s="112" t="s">
        <v>41</v>
      </c>
      <c r="C31" s="112"/>
      <c r="D31" s="89" t="s">
        <v>42</v>
      </c>
      <c r="E31" s="90"/>
      <c r="F31" s="90"/>
      <c r="G31" s="113" t="s">
        <v>43</v>
      </c>
      <c r="H31" s="112"/>
      <c r="I31" s="114"/>
      <c r="J31" s="89" t="s">
        <v>44</v>
      </c>
      <c r="K31" s="90"/>
      <c r="L31" s="90"/>
      <c r="M31" s="90"/>
      <c r="N31" s="91"/>
    </row>
    <row r="32" spans="1:16" ht="7.5" customHeight="1">
      <c r="F32" s="10"/>
      <c r="G32" s="10"/>
      <c r="M32" s="13"/>
      <c r="N32" s="13"/>
    </row>
    <row r="33" spans="1:16" ht="22.5" customHeight="1">
      <c r="A33" s="3" t="s">
        <v>45</v>
      </c>
      <c r="B33" s="5" t="s">
        <v>46</v>
      </c>
      <c r="C33" s="5"/>
      <c r="D33" s="5"/>
      <c r="E33" s="5"/>
      <c r="F33" s="6"/>
      <c r="G33" s="14"/>
      <c r="H33" s="14"/>
      <c r="I33" s="14"/>
      <c r="J33" s="14"/>
      <c r="K33" s="14"/>
      <c r="L33" s="14"/>
      <c r="M33" s="14"/>
      <c r="N33" s="14"/>
    </row>
    <row r="34" spans="1:16" ht="22.5" customHeight="1">
      <c r="B34" s="97" t="s">
        <v>47</v>
      </c>
      <c r="C34" s="98"/>
      <c r="D34" s="98"/>
      <c r="E34" s="98"/>
      <c r="F34" s="98"/>
      <c r="G34" s="98"/>
      <c r="H34" s="98"/>
      <c r="I34" s="98"/>
      <c r="J34" s="98"/>
      <c r="K34" s="98"/>
      <c r="L34" s="98"/>
      <c r="M34" s="98"/>
      <c r="N34" s="99"/>
    </row>
    <row r="35" spans="1:16" ht="7.5" customHeight="1">
      <c r="B35" s="19"/>
      <c r="C35" s="19"/>
      <c r="D35" s="19"/>
      <c r="E35" s="19"/>
      <c r="F35" s="19"/>
      <c r="G35" s="19"/>
      <c r="H35" s="19"/>
      <c r="I35" s="19"/>
      <c r="J35" s="19"/>
      <c r="K35" s="19"/>
      <c r="L35" s="19"/>
      <c r="M35" s="19"/>
      <c r="N35" s="19"/>
    </row>
    <row r="36" spans="1:16" s="4" customFormat="1" ht="22.5" customHeight="1">
      <c r="B36" s="96" t="s">
        <v>41</v>
      </c>
      <c r="C36" s="96"/>
      <c r="D36" s="97" t="s">
        <v>48</v>
      </c>
      <c r="E36" s="98"/>
      <c r="F36" s="98"/>
      <c r="G36" s="100" t="s">
        <v>43</v>
      </c>
      <c r="H36" s="96"/>
      <c r="I36" s="101"/>
      <c r="J36" s="97" t="s">
        <v>49</v>
      </c>
      <c r="K36" s="98"/>
      <c r="L36" s="98"/>
      <c r="M36" s="98"/>
      <c r="N36" s="99"/>
    </row>
    <row r="37" spans="1:16" ht="7.5" customHeight="1">
      <c r="B37" s="26"/>
      <c r="C37" s="26"/>
      <c r="D37" s="26"/>
      <c r="E37" s="26"/>
      <c r="F37" s="20"/>
      <c r="G37" s="20"/>
      <c r="H37" s="20"/>
      <c r="I37" s="20"/>
      <c r="J37" s="20"/>
      <c r="K37" s="20"/>
      <c r="L37" s="20"/>
      <c r="M37" s="20"/>
      <c r="N37" s="20"/>
    </row>
    <row r="38" spans="1:16" ht="22.5" customHeight="1">
      <c r="A38" s="3" t="s">
        <v>50</v>
      </c>
      <c r="B38" s="26" t="s">
        <v>51</v>
      </c>
      <c r="C38" s="26"/>
      <c r="D38" s="26"/>
      <c r="E38" s="26"/>
      <c r="F38" s="26"/>
      <c r="G38" s="26"/>
      <c r="H38" s="26"/>
      <c r="I38" s="26"/>
      <c r="J38" s="26"/>
      <c r="K38" s="26"/>
      <c r="L38" s="26"/>
      <c r="M38" s="21"/>
      <c r="N38" s="21"/>
    </row>
    <row r="39" spans="1:16" ht="22.5" customHeight="1">
      <c r="B39" s="97" t="s">
        <v>52</v>
      </c>
      <c r="C39" s="98"/>
      <c r="D39" s="98"/>
      <c r="E39" s="98"/>
      <c r="F39" s="98"/>
      <c r="G39" s="98"/>
      <c r="H39" s="98"/>
      <c r="I39" s="98"/>
      <c r="J39" s="98"/>
      <c r="K39" s="98"/>
      <c r="L39" s="98"/>
      <c r="M39" s="98"/>
      <c r="N39" s="99"/>
    </row>
    <row r="40" spans="1:16" ht="7.5" customHeight="1">
      <c r="B40" s="26"/>
      <c r="C40" s="26"/>
      <c r="D40" s="26"/>
      <c r="E40" s="26"/>
      <c r="F40" s="20"/>
      <c r="G40" s="20"/>
      <c r="H40" s="20"/>
      <c r="I40" s="20"/>
      <c r="J40" s="20"/>
      <c r="K40" s="20"/>
      <c r="L40" s="20"/>
      <c r="M40" s="20"/>
      <c r="N40" s="20"/>
    </row>
    <row r="41" spans="1:16" s="4" customFormat="1" ht="22.5" customHeight="1">
      <c r="B41" s="96" t="s">
        <v>41</v>
      </c>
      <c r="C41" s="96"/>
      <c r="D41" s="97" t="s">
        <v>53</v>
      </c>
      <c r="E41" s="98"/>
      <c r="F41" s="98"/>
      <c r="G41" s="100" t="s">
        <v>43</v>
      </c>
      <c r="H41" s="96"/>
      <c r="I41" s="101"/>
      <c r="J41" s="97" t="s">
        <v>54</v>
      </c>
      <c r="K41" s="98"/>
      <c r="L41" s="98"/>
      <c r="M41" s="98"/>
      <c r="N41" s="99"/>
    </row>
    <row r="42" spans="1:16" ht="7.5" customHeight="1">
      <c r="B42" s="26"/>
      <c r="C42" s="26"/>
      <c r="D42" s="26"/>
      <c r="E42" s="26"/>
      <c r="F42" s="20"/>
      <c r="G42" s="20"/>
      <c r="H42" s="20"/>
      <c r="I42" s="20"/>
      <c r="J42" s="20"/>
      <c r="K42" s="20"/>
      <c r="L42" s="20"/>
      <c r="M42" s="20"/>
      <c r="N42" s="20"/>
    </row>
    <row r="43" spans="1:16" ht="22.5" customHeight="1">
      <c r="A43" s="3" t="s">
        <v>55</v>
      </c>
      <c r="B43" s="26" t="s">
        <v>56</v>
      </c>
      <c r="C43" s="26"/>
      <c r="D43" s="26"/>
      <c r="E43" s="27"/>
      <c r="F43" s="97" t="s">
        <v>57</v>
      </c>
      <c r="G43" s="98"/>
      <c r="H43" s="98"/>
      <c r="I43" s="98"/>
      <c r="J43" s="98"/>
      <c r="K43" s="98"/>
      <c r="L43" s="98"/>
      <c r="M43" s="98"/>
      <c r="N43" s="99"/>
      <c r="P43" s="4"/>
    </row>
    <row r="44" spans="1:16" ht="7.5" customHeight="1">
      <c r="B44" s="26"/>
      <c r="C44" s="26"/>
      <c r="D44" s="26"/>
      <c r="E44" s="26"/>
      <c r="F44" s="20"/>
      <c r="G44" s="20"/>
      <c r="H44" s="20"/>
      <c r="I44" s="20"/>
      <c r="J44" s="20"/>
      <c r="K44" s="20"/>
      <c r="L44" s="20"/>
      <c r="M44" s="20"/>
      <c r="N44" s="20"/>
    </row>
    <row r="45" spans="1:16" ht="22.5" customHeight="1">
      <c r="A45" s="3" t="s">
        <v>58</v>
      </c>
    </row>
    <row r="46" spans="1:16" ht="22.5" customHeight="1">
      <c r="B46" s="15" t="s">
        <v>59</v>
      </c>
      <c r="C46" s="94" t="s">
        <v>60</v>
      </c>
      <c r="D46" s="95"/>
      <c r="E46" s="95"/>
      <c r="F46" s="95"/>
      <c r="G46" s="95"/>
      <c r="H46" s="95"/>
      <c r="I46" s="16" t="s">
        <v>61</v>
      </c>
      <c r="J46" s="17"/>
      <c r="K46" s="89" t="s">
        <v>62</v>
      </c>
      <c r="L46" s="90"/>
      <c r="M46" s="90"/>
      <c r="N46" s="91"/>
    </row>
    <row r="47" spans="1:16" ht="22.5" customHeight="1">
      <c r="B47" s="15" t="s">
        <v>63</v>
      </c>
      <c r="C47" s="82" t="s">
        <v>64</v>
      </c>
      <c r="D47" s="83"/>
      <c r="E47" s="83"/>
      <c r="F47" s="83"/>
      <c r="G47" s="83"/>
      <c r="H47" s="84"/>
      <c r="I47" s="16" t="s">
        <v>65</v>
      </c>
      <c r="J47" s="17"/>
      <c r="K47" s="85" t="s">
        <v>66</v>
      </c>
      <c r="L47" s="86"/>
      <c r="M47" s="86"/>
      <c r="N47" s="87"/>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G24" sqref="G24:I24"/>
    </sheetView>
  </sheetViews>
  <sheetFormatPr defaultColWidth="9" defaultRowHeight="18.75" customHeight="1"/>
  <cols>
    <col min="1" max="2" width="2.5" style="3" customWidth="1"/>
    <col min="3" max="3" width="20" style="3" customWidth="1"/>
    <col min="4" max="4" width="8.625" style="3" customWidth="1"/>
    <col min="5" max="5" width="7.5" style="3" customWidth="1"/>
    <col min="6" max="6" width="2.5" style="3" customWidth="1"/>
    <col min="7" max="7" width="15" style="3" customWidth="1"/>
    <col min="8" max="8" width="12.5" style="3" customWidth="1"/>
    <col min="9" max="9" width="11.125" style="3" customWidth="1"/>
    <col min="10" max="16384" width="9" style="3"/>
  </cols>
  <sheetData>
    <row r="1" spans="1:9" ht="18.75" customHeight="1">
      <c r="I1" s="79" t="s">
        <v>67</v>
      </c>
    </row>
    <row r="2" spans="1:9" ht="18.75" customHeight="1">
      <c r="G2" s="79" t="s">
        <v>68</v>
      </c>
      <c r="H2" s="116" t="s">
        <v>7</v>
      </c>
      <c r="I2" s="116"/>
    </row>
    <row r="3" spans="1:9" ht="7.5" customHeight="1"/>
    <row r="4" spans="1:9" ht="18.75" customHeight="1">
      <c r="A4" s="110" t="s">
        <v>69</v>
      </c>
      <c r="B4" s="110"/>
      <c r="C4" s="110"/>
      <c r="D4" s="110"/>
      <c r="E4" s="110"/>
      <c r="F4" s="110"/>
      <c r="G4" s="110"/>
      <c r="H4" s="110"/>
      <c r="I4" s="110"/>
    </row>
    <row r="5" spans="1:9" ht="7.5" customHeight="1">
      <c r="C5" s="74"/>
      <c r="D5" s="74"/>
      <c r="E5" s="74"/>
      <c r="F5" s="74"/>
      <c r="G5" s="74"/>
      <c r="H5" s="74"/>
      <c r="I5" s="74"/>
    </row>
    <row r="6" spans="1:9" ht="18.75" customHeight="1">
      <c r="A6" s="3" t="s">
        <v>2</v>
      </c>
      <c r="B6" s="3" t="s">
        <v>70</v>
      </c>
      <c r="C6" s="74"/>
      <c r="D6" s="74"/>
      <c r="E6" s="102" t="s">
        <v>71</v>
      </c>
      <c r="F6" s="103"/>
      <c r="G6" s="103"/>
      <c r="H6" s="103"/>
      <c r="I6" s="104"/>
    </row>
    <row r="7" spans="1:9" ht="7.5" customHeight="1">
      <c r="C7" s="74"/>
      <c r="D7" s="74"/>
      <c r="F7" s="71"/>
      <c r="G7" s="71"/>
      <c r="H7" s="71"/>
      <c r="I7" s="71"/>
    </row>
    <row r="8" spans="1:9" ht="18.75" customHeight="1">
      <c r="A8" s="3" t="s">
        <v>5</v>
      </c>
      <c r="B8" s="3" t="s">
        <v>72</v>
      </c>
      <c r="C8" s="74"/>
      <c r="D8" s="74"/>
      <c r="E8" s="74"/>
      <c r="F8" s="74"/>
      <c r="G8" s="74"/>
      <c r="H8" s="74"/>
      <c r="I8" s="74"/>
    </row>
    <row r="9" spans="1:9" ht="18.75" customHeight="1">
      <c r="B9" s="119" t="s">
        <v>73</v>
      </c>
      <c r="C9" s="120"/>
      <c r="D9" s="120"/>
      <c r="E9" s="120"/>
      <c r="F9" s="120"/>
      <c r="G9" s="120"/>
      <c r="H9" s="120"/>
      <c r="I9" s="121"/>
    </row>
    <row r="10" spans="1:9" ht="18.75" customHeight="1">
      <c r="B10" s="122"/>
      <c r="C10" s="123"/>
      <c r="D10" s="123"/>
      <c r="E10" s="123"/>
      <c r="F10" s="123"/>
      <c r="G10" s="123"/>
      <c r="H10" s="123"/>
      <c r="I10" s="124"/>
    </row>
    <row r="11" spans="1:9" ht="18.75" customHeight="1">
      <c r="B11" s="122"/>
      <c r="C11" s="123"/>
      <c r="D11" s="123"/>
      <c r="E11" s="123"/>
      <c r="F11" s="123"/>
      <c r="G11" s="123"/>
      <c r="H11" s="123"/>
      <c r="I11" s="124"/>
    </row>
    <row r="12" spans="1:9" ht="18.75" customHeight="1">
      <c r="B12" s="122"/>
      <c r="C12" s="123"/>
      <c r="D12" s="123"/>
      <c r="E12" s="123"/>
      <c r="F12" s="123"/>
      <c r="G12" s="123"/>
      <c r="H12" s="123"/>
      <c r="I12" s="124"/>
    </row>
    <row r="13" spans="1:9" ht="18.75" customHeight="1">
      <c r="B13" s="122"/>
      <c r="C13" s="123"/>
      <c r="D13" s="123"/>
      <c r="E13" s="123"/>
      <c r="F13" s="123"/>
      <c r="G13" s="123"/>
      <c r="H13" s="123"/>
      <c r="I13" s="124"/>
    </row>
    <row r="14" spans="1:9" ht="18.75" customHeight="1">
      <c r="B14" s="122"/>
      <c r="C14" s="123"/>
      <c r="D14" s="123"/>
      <c r="E14" s="123"/>
      <c r="F14" s="123"/>
      <c r="G14" s="123"/>
      <c r="H14" s="123"/>
      <c r="I14" s="124"/>
    </row>
    <row r="15" spans="1:9" ht="18.75" customHeight="1">
      <c r="B15" s="122"/>
      <c r="C15" s="123"/>
      <c r="D15" s="123"/>
      <c r="E15" s="123"/>
      <c r="F15" s="123"/>
      <c r="G15" s="123"/>
      <c r="H15" s="123"/>
      <c r="I15" s="124"/>
    </row>
    <row r="16" spans="1:9" ht="18.75" customHeight="1">
      <c r="B16" s="125"/>
      <c r="C16" s="126"/>
      <c r="D16" s="126"/>
      <c r="E16" s="126"/>
      <c r="F16" s="126"/>
      <c r="G16" s="126"/>
      <c r="H16" s="126"/>
      <c r="I16" s="127"/>
    </row>
    <row r="17" spans="1:10" ht="7.5" customHeight="1">
      <c r="C17" s="74"/>
      <c r="D17" s="74"/>
      <c r="E17" s="74"/>
      <c r="F17" s="74"/>
      <c r="G17" s="74"/>
      <c r="H17" s="74"/>
      <c r="I17" s="74"/>
    </row>
    <row r="18" spans="1:10" ht="18.75" customHeight="1">
      <c r="A18" s="74" t="s">
        <v>8</v>
      </c>
      <c r="B18" s="5" t="s">
        <v>74</v>
      </c>
      <c r="C18" s="5"/>
      <c r="D18" s="5"/>
      <c r="E18" s="5"/>
      <c r="F18" s="74"/>
      <c r="G18" s="74"/>
      <c r="H18" s="74"/>
      <c r="I18" s="74"/>
      <c r="J18" s="74"/>
    </row>
    <row r="19" spans="1:10" ht="18.75" customHeight="1">
      <c r="A19" s="117" t="s">
        <v>74</v>
      </c>
      <c r="B19" s="117"/>
      <c r="C19" s="117"/>
      <c r="D19" s="117"/>
      <c r="E19" s="117"/>
      <c r="F19" s="118" t="s">
        <v>74</v>
      </c>
      <c r="G19" s="118"/>
      <c r="H19" s="118"/>
      <c r="I19" s="118"/>
    </row>
    <row r="20" spans="1:10" ht="18.75" customHeight="1">
      <c r="A20" s="18">
        <v>1</v>
      </c>
      <c r="B20" s="94" t="s">
        <v>75</v>
      </c>
      <c r="C20" s="95"/>
      <c r="D20" s="95"/>
      <c r="E20" s="115"/>
      <c r="F20" s="18">
        <v>26</v>
      </c>
      <c r="G20" s="94"/>
      <c r="H20" s="95"/>
      <c r="I20" s="115"/>
    </row>
    <row r="21" spans="1:10" ht="18.75" customHeight="1">
      <c r="A21" s="18">
        <v>2</v>
      </c>
      <c r="B21" s="94" t="s">
        <v>76</v>
      </c>
      <c r="C21" s="95"/>
      <c r="D21" s="95"/>
      <c r="E21" s="115"/>
      <c r="F21" s="18">
        <v>27</v>
      </c>
      <c r="G21" s="94"/>
      <c r="H21" s="95"/>
      <c r="I21" s="115"/>
    </row>
    <row r="22" spans="1:10" ht="18.75" customHeight="1">
      <c r="A22" s="18">
        <v>3</v>
      </c>
      <c r="B22" s="94"/>
      <c r="C22" s="95"/>
      <c r="D22" s="95"/>
      <c r="E22" s="115"/>
      <c r="F22" s="18">
        <v>28</v>
      </c>
      <c r="G22" s="94"/>
      <c r="H22" s="95"/>
      <c r="I22" s="115"/>
    </row>
    <row r="23" spans="1:10" ht="18.75" customHeight="1">
      <c r="A23" s="18">
        <v>4</v>
      </c>
      <c r="B23" s="94"/>
      <c r="C23" s="95"/>
      <c r="D23" s="95"/>
      <c r="E23" s="115"/>
      <c r="F23" s="18">
        <v>29</v>
      </c>
      <c r="G23" s="94"/>
      <c r="H23" s="95"/>
      <c r="I23" s="115"/>
    </row>
    <row r="24" spans="1:10" ht="18.75" customHeight="1">
      <c r="A24" s="18">
        <v>5</v>
      </c>
      <c r="B24" s="94"/>
      <c r="C24" s="95"/>
      <c r="D24" s="95"/>
      <c r="E24" s="115"/>
      <c r="F24" s="18">
        <v>30</v>
      </c>
      <c r="G24" s="94"/>
      <c r="H24" s="95"/>
      <c r="I24" s="115"/>
    </row>
    <row r="25" spans="1:10" ht="18.75" customHeight="1">
      <c r="A25" s="18">
        <v>6</v>
      </c>
      <c r="B25" s="94"/>
      <c r="C25" s="95"/>
      <c r="D25" s="95"/>
      <c r="E25" s="115"/>
      <c r="F25" s="18">
        <v>31</v>
      </c>
      <c r="G25" s="94"/>
      <c r="H25" s="95"/>
      <c r="I25" s="115"/>
    </row>
    <row r="26" spans="1:10" ht="18.75" customHeight="1">
      <c r="A26" s="18">
        <v>7</v>
      </c>
      <c r="B26" s="94"/>
      <c r="C26" s="95"/>
      <c r="D26" s="95"/>
      <c r="E26" s="115"/>
      <c r="F26" s="18">
        <v>32</v>
      </c>
      <c r="G26" s="94"/>
      <c r="H26" s="95"/>
      <c r="I26" s="115"/>
    </row>
    <row r="27" spans="1:10" ht="18.75" customHeight="1">
      <c r="A27" s="18">
        <v>8</v>
      </c>
      <c r="B27" s="94"/>
      <c r="C27" s="95"/>
      <c r="D27" s="95"/>
      <c r="E27" s="115"/>
      <c r="F27" s="18">
        <v>33</v>
      </c>
      <c r="G27" s="94"/>
      <c r="H27" s="95"/>
      <c r="I27" s="115"/>
    </row>
    <row r="28" spans="1:10" ht="18.75" customHeight="1">
      <c r="A28" s="18">
        <v>9</v>
      </c>
      <c r="B28" s="94"/>
      <c r="C28" s="95"/>
      <c r="D28" s="95"/>
      <c r="E28" s="115"/>
      <c r="F28" s="18">
        <v>34</v>
      </c>
      <c r="G28" s="94"/>
      <c r="H28" s="95"/>
      <c r="I28" s="115"/>
    </row>
    <row r="29" spans="1:10" ht="18.75" customHeight="1">
      <c r="A29" s="18">
        <v>10</v>
      </c>
      <c r="B29" s="94"/>
      <c r="C29" s="95"/>
      <c r="D29" s="95"/>
      <c r="E29" s="115"/>
      <c r="F29" s="18">
        <v>35</v>
      </c>
      <c r="G29" s="94"/>
      <c r="H29" s="95"/>
      <c r="I29" s="115"/>
    </row>
    <row r="30" spans="1:10" ht="18.75" customHeight="1">
      <c r="A30" s="18">
        <v>11</v>
      </c>
      <c r="B30" s="94"/>
      <c r="C30" s="95"/>
      <c r="D30" s="95"/>
      <c r="E30" s="115"/>
      <c r="F30" s="18">
        <v>36</v>
      </c>
      <c r="G30" s="94"/>
      <c r="H30" s="95"/>
      <c r="I30" s="115"/>
    </row>
    <row r="31" spans="1:10" ht="18.75" customHeight="1">
      <c r="A31" s="18">
        <v>12</v>
      </c>
      <c r="B31" s="94"/>
      <c r="C31" s="95"/>
      <c r="D31" s="95"/>
      <c r="E31" s="115"/>
      <c r="F31" s="18">
        <v>37</v>
      </c>
      <c r="G31" s="94"/>
      <c r="H31" s="95"/>
      <c r="I31" s="115"/>
    </row>
    <row r="32" spans="1:10" ht="18.75" customHeight="1">
      <c r="A32" s="18">
        <v>13</v>
      </c>
      <c r="B32" s="94"/>
      <c r="C32" s="95"/>
      <c r="D32" s="95"/>
      <c r="E32" s="115"/>
      <c r="F32" s="18">
        <v>38</v>
      </c>
      <c r="G32" s="94"/>
      <c r="H32" s="95"/>
      <c r="I32" s="115"/>
    </row>
    <row r="33" spans="1:9" ht="18.75" customHeight="1">
      <c r="A33" s="18">
        <v>14</v>
      </c>
      <c r="B33" s="94"/>
      <c r="C33" s="95"/>
      <c r="D33" s="95"/>
      <c r="E33" s="115"/>
      <c r="F33" s="18">
        <v>39</v>
      </c>
      <c r="G33" s="94"/>
      <c r="H33" s="95"/>
      <c r="I33" s="115"/>
    </row>
    <row r="34" spans="1:9" ht="18.75" customHeight="1">
      <c r="A34" s="18">
        <v>15</v>
      </c>
      <c r="B34" s="94"/>
      <c r="C34" s="95"/>
      <c r="D34" s="95"/>
      <c r="E34" s="115"/>
      <c r="F34" s="18">
        <v>40</v>
      </c>
      <c r="G34" s="94"/>
      <c r="H34" s="95"/>
      <c r="I34" s="115"/>
    </row>
    <row r="35" spans="1:9" ht="18.75" customHeight="1">
      <c r="A35" s="18">
        <v>16</v>
      </c>
      <c r="B35" s="94"/>
      <c r="C35" s="95"/>
      <c r="D35" s="95"/>
      <c r="E35" s="115"/>
      <c r="F35" s="18">
        <v>41</v>
      </c>
      <c r="G35" s="94"/>
      <c r="H35" s="95"/>
      <c r="I35" s="115"/>
    </row>
    <row r="36" spans="1:9" ht="18.75" customHeight="1">
      <c r="A36" s="18">
        <v>17</v>
      </c>
      <c r="B36" s="94"/>
      <c r="C36" s="95"/>
      <c r="D36" s="95"/>
      <c r="E36" s="115"/>
      <c r="F36" s="18">
        <v>42</v>
      </c>
      <c r="G36" s="94"/>
      <c r="H36" s="95"/>
      <c r="I36" s="115"/>
    </row>
    <row r="37" spans="1:9" ht="18.75" customHeight="1">
      <c r="A37" s="18">
        <v>18</v>
      </c>
      <c r="B37" s="94"/>
      <c r="C37" s="95"/>
      <c r="D37" s="95"/>
      <c r="E37" s="115"/>
      <c r="F37" s="18">
        <v>43</v>
      </c>
      <c r="G37" s="94"/>
      <c r="H37" s="95"/>
      <c r="I37" s="115"/>
    </row>
    <row r="38" spans="1:9" ht="18.75" customHeight="1">
      <c r="A38" s="18">
        <v>19</v>
      </c>
      <c r="B38" s="94"/>
      <c r="C38" s="95"/>
      <c r="D38" s="95"/>
      <c r="E38" s="115"/>
      <c r="F38" s="18">
        <v>44</v>
      </c>
      <c r="G38" s="94"/>
      <c r="H38" s="95"/>
      <c r="I38" s="115"/>
    </row>
    <row r="39" spans="1:9" ht="18.75" customHeight="1">
      <c r="A39" s="18">
        <v>20</v>
      </c>
      <c r="B39" s="94"/>
      <c r="C39" s="95"/>
      <c r="D39" s="95"/>
      <c r="E39" s="115"/>
      <c r="F39" s="18">
        <v>45</v>
      </c>
      <c r="G39" s="94"/>
      <c r="H39" s="95"/>
      <c r="I39" s="115"/>
    </row>
    <row r="40" spans="1:9" ht="18.75" customHeight="1">
      <c r="A40" s="18">
        <v>21</v>
      </c>
      <c r="B40" s="94"/>
      <c r="C40" s="95"/>
      <c r="D40" s="95"/>
      <c r="E40" s="115"/>
      <c r="F40" s="18">
        <v>46</v>
      </c>
      <c r="G40" s="94"/>
      <c r="H40" s="95"/>
      <c r="I40" s="115"/>
    </row>
    <row r="41" spans="1:9" ht="18.75" customHeight="1">
      <c r="A41" s="18">
        <v>22</v>
      </c>
      <c r="B41" s="94"/>
      <c r="C41" s="95"/>
      <c r="D41" s="95"/>
      <c r="E41" s="115"/>
      <c r="F41" s="18">
        <v>47</v>
      </c>
      <c r="G41" s="94"/>
      <c r="H41" s="95"/>
      <c r="I41" s="115"/>
    </row>
    <row r="42" spans="1:9" ht="18.75" customHeight="1">
      <c r="A42" s="18">
        <v>23</v>
      </c>
      <c r="B42" s="94"/>
      <c r="C42" s="95"/>
      <c r="D42" s="95"/>
      <c r="E42" s="115"/>
      <c r="F42" s="18">
        <v>48</v>
      </c>
      <c r="G42" s="94"/>
      <c r="H42" s="95"/>
      <c r="I42" s="115"/>
    </row>
    <row r="43" spans="1:9" ht="18.75" customHeight="1">
      <c r="A43" s="18">
        <v>24</v>
      </c>
      <c r="B43" s="94"/>
      <c r="C43" s="95"/>
      <c r="D43" s="95"/>
      <c r="E43" s="115"/>
      <c r="F43" s="18">
        <v>49</v>
      </c>
      <c r="G43" s="94"/>
      <c r="H43" s="95"/>
      <c r="I43" s="115"/>
    </row>
    <row r="44" spans="1:9" ht="18.75" customHeight="1">
      <c r="A44" s="18">
        <v>25</v>
      </c>
      <c r="B44" s="94"/>
      <c r="C44" s="95"/>
      <c r="D44" s="95"/>
      <c r="E44" s="115"/>
      <c r="F44" s="18">
        <v>50</v>
      </c>
      <c r="G44" s="94"/>
      <c r="H44" s="95"/>
      <c r="I44" s="115"/>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8"/>
  <sheetViews>
    <sheetView topLeftCell="A7" zoomScale="85" zoomScaleNormal="85" workbookViewId="0">
      <selection activeCell="T21" sqref="T21"/>
    </sheetView>
  </sheetViews>
  <sheetFormatPr defaultColWidth="9" defaultRowHeight="18.75" customHeight="1"/>
  <cols>
    <col min="1" max="1" width="2.5" style="4" customWidth="1"/>
    <col min="2" max="2" width="12.5" style="4" customWidth="1"/>
    <col min="3" max="3" width="21" style="4" customWidth="1"/>
    <col min="4" max="18" width="6.125" style="4" customWidth="1"/>
    <col min="19" max="16384" width="9" style="4"/>
  </cols>
  <sheetData>
    <row r="1" spans="1:20" ht="18.75" customHeight="1">
      <c r="F1" s="128" t="s">
        <v>77</v>
      </c>
      <c r="G1" s="128"/>
      <c r="H1" s="128"/>
      <c r="I1" s="128"/>
      <c r="J1" s="128"/>
      <c r="K1" s="128"/>
      <c r="L1" s="128"/>
      <c r="M1" s="128"/>
      <c r="N1" s="128"/>
      <c r="O1" s="128"/>
      <c r="P1" s="128"/>
      <c r="Q1" s="128"/>
      <c r="R1" s="128"/>
    </row>
    <row r="2" spans="1:20" ht="18.75" customHeight="1">
      <c r="D2" s="76"/>
      <c r="E2" s="76"/>
      <c r="F2" s="76"/>
      <c r="G2" s="76"/>
      <c r="H2" s="76"/>
      <c r="I2" s="76"/>
      <c r="J2" s="76"/>
      <c r="K2" s="128" t="s">
        <v>78</v>
      </c>
      <c r="L2" s="128"/>
      <c r="M2" s="5" t="s">
        <v>79</v>
      </c>
      <c r="N2" s="76"/>
      <c r="O2" s="76"/>
      <c r="P2" s="76"/>
      <c r="Q2" s="76"/>
      <c r="R2" s="76"/>
    </row>
    <row r="3" spans="1:20" ht="7.5" customHeight="1"/>
    <row r="4" spans="1:20" ht="18.75" customHeight="1">
      <c r="A4" s="110" t="s">
        <v>80</v>
      </c>
      <c r="B4" s="110"/>
      <c r="C4" s="110"/>
      <c r="D4" s="110"/>
      <c r="E4" s="110"/>
      <c r="F4" s="110"/>
      <c r="G4" s="110"/>
      <c r="H4" s="110"/>
      <c r="I4" s="110"/>
      <c r="J4" s="110"/>
      <c r="K4" s="110"/>
      <c r="L4" s="110"/>
      <c r="M4" s="110"/>
      <c r="N4" s="110"/>
      <c r="O4" s="110"/>
      <c r="P4" s="110"/>
      <c r="Q4" s="110"/>
      <c r="R4" s="110"/>
      <c r="S4" s="5"/>
    </row>
    <row r="5" spans="1:20" ht="7.5" customHeight="1">
      <c r="A5" s="74"/>
      <c r="B5" s="74"/>
      <c r="C5" s="74"/>
      <c r="D5" s="74"/>
      <c r="E5" s="74"/>
      <c r="F5" s="74"/>
      <c r="G5" s="74"/>
      <c r="H5" s="74"/>
      <c r="I5" s="74"/>
      <c r="J5" s="74"/>
      <c r="K5" s="74"/>
      <c r="L5" s="74"/>
      <c r="M5" s="74"/>
      <c r="N5" s="74"/>
      <c r="O5" s="74"/>
      <c r="P5" s="74"/>
      <c r="Q5" s="74"/>
      <c r="R5" s="74"/>
    </row>
    <row r="6" spans="1:20" ht="18.75" customHeight="1">
      <c r="B6" s="140" t="s">
        <v>81</v>
      </c>
      <c r="C6" s="141"/>
      <c r="D6" s="129" t="s">
        <v>82</v>
      </c>
      <c r="E6" s="131" t="s">
        <v>83</v>
      </c>
      <c r="F6" s="131"/>
      <c r="G6" s="131" t="s">
        <v>84</v>
      </c>
      <c r="H6" s="131"/>
      <c r="I6" s="132" t="s">
        <v>85</v>
      </c>
      <c r="J6" s="133"/>
      <c r="K6" s="132" t="s">
        <v>86</v>
      </c>
      <c r="L6" s="133"/>
      <c r="M6" s="132" t="s">
        <v>87</v>
      </c>
      <c r="N6" s="133"/>
      <c r="O6" s="132" t="s">
        <v>88</v>
      </c>
      <c r="P6" s="133"/>
      <c r="Q6" s="134" t="s">
        <v>89</v>
      </c>
      <c r="R6" s="136" t="s">
        <v>90</v>
      </c>
      <c r="T6" s="42"/>
    </row>
    <row r="7" spans="1:20" ht="18.75" customHeight="1">
      <c r="B7" s="142"/>
      <c r="C7" s="143"/>
      <c r="D7" s="130"/>
      <c r="E7" s="43" t="s">
        <v>91</v>
      </c>
      <c r="F7" s="44" t="s">
        <v>92</v>
      </c>
      <c r="G7" s="45" t="s">
        <v>91</v>
      </c>
      <c r="H7" s="46" t="s">
        <v>92</v>
      </c>
      <c r="I7" s="43" t="s">
        <v>91</v>
      </c>
      <c r="J7" s="44" t="s">
        <v>92</v>
      </c>
      <c r="K7" s="45" t="s">
        <v>91</v>
      </c>
      <c r="L7" s="46" t="s">
        <v>92</v>
      </c>
      <c r="M7" s="43" t="s">
        <v>91</v>
      </c>
      <c r="N7" s="44" t="s">
        <v>92</v>
      </c>
      <c r="O7" s="45" t="s">
        <v>91</v>
      </c>
      <c r="P7" s="46" t="s">
        <v>92</v>
      </c>
      <c r="Q7" s="135"/>
      <c r="R7" s="137"/>
      <c r="T7" s="42"/>
    </row>
    <row r="8" spans="1:20" ht="18.75" customHeight="1">
      <c r="A8" s="70"/>
      <c r="B8" s="148" t="s">
        <v>93</v>
      </c>
      <c r="C8" s="149"/>
      <c r="D8" s="47">
        <v>1564</v>
      </c>
      <c r="E8" s="48">
        <v>405</v>
      </c>
      <c r="F8" s="49">
        <v>391</v>
      </c>
      <c r="G8" s="50">
        <v>0</v>
      </c>
      <c r="H8" s="51">
        <v>0</v>
      </c>
      <c r="I8" s="48">
        <v>0</v>
      </c>
      <c r="J8" s="49">
        <v>0</v>
      </c>
      <c r="K8" s="50">
        <v>0</v>
      </c>
      <c r="L8" s="51">
        <v>0</v>
      </c>
      <c r="M8" s="48">
        <v>0</v>
      </c>
      <c r="N8" s="49">
        <v>0</v>
      </c>
      <c r="O8" s="50">
        <v>0</v>
      </c>
      <c r="P8" s="51">
        <v>0</v>
      </c>
      <c r="Q8" s="52">
        <f>E8+G8+I8+K8+M8+O8</f>
        <v>405</v>
      </c>
      <c r="R8" s="53">
        <f t="shared" ref="R8:R14" si="0">Q8/D8</f>
        <v>0.25895140664961636</v>
      </c>
    </row>
    <row r="9" spans="1:20" ht="18.75" customHeight="1">
      <c r="A9" s="70"/>
      <c r="B9" s="144" t="s">
        <v>94</v>
      </c>
      <c r="C9" s="145"/>
      <c r="D9" s="77">
        <v>246</v>
      </c>
      <c r="E9" s="54">
        <v>61</v>
      </c>
      <c r="F9" s="55">
        <v>55</v>
      </c>
      <c r="G9" s="56">
        <v>0</v>
      </c>
      <c r="H9" s="57">
        <v>0</v>
      </c>
      <c r="I9" s="54">
        <v>0</v>
      </c>
      <c r="J9" s="55">
        <v>0</v>
      </c>
      <c r="K9" s="56">
        <v>0</v>
      </c>
      <c r="L9" s="57">
        <v>0</v>
      </c>
      <c r="M9" s="54">
        <v>0</v>
      </c>
      <c r="N9" s="55">
        <v>0</v>
      </c>
      <c r="O9" s="56">
        <v>0</v>
      </c>
      <c r="P9" s="57">
        <v>0</v>
      </c>
      <c r="Q9" s="58">
        <f t="shared" ref="Q9" si="1">E9+G9+I9+K9+M9+O9</f>
        <v>61</v>
      </c>
      <c r="R9" s="53">
        <f t="shared" si="0"/>
        <v>0.24796747967479674</v>
      </c>
    </row>
    <row r="10" spans="1:20" ht="18.75" customHeight="1">
      <c r="A10" s="70"/>
      <c r="B10" s="144" t="s">
        <v>95</v>
      </c>
      <c r="C10" s="145"/>
      <c r="D10" s="77">
        <v>1200</v>
      </c>
      <c r="E10" s="54">
        <v>308</v>
      </c>
      <c r="F10" s="55">
        <v>294</v>
      </c>
      <c r="G10" s="56">
        <v>0</v>
      </c>
      <c r="H10" s="57">
        <v>0</v>
      </c>
      <c r="I10" s="54">
        <v>0</v>
      </c>
      <c r="J10" s="55">
        <v>0</v>
      </c>
      <c r="K10" s="56">
        <v>0</v>
      </c>
      <c r="L10" s="57">
        <v>0</v>
      </c>
      <c r="M10" s="54">
        <v>0</v>
      </c>
      <c r="N10" s="55">
        <v>0</v>
      </c>
      <c r="O10" s="56">
        <v>0</v>
      </c>
      <c r="P10" s="57">
        <v>0</v>
      </c>
      <c r="Q10" s="58">
        <f>E10+G10+I10+K10+M10+O10</f>
        <v>308</v>
      </c>
      <c r="R10" s="53">
        <f t="shared" si="0"/>
        <v>0.25666666666666665</v>
      </c>
    </row>
    <row r="11" spans="1:20" ht="18.75" customHeight="1">
      <c r="A11" s="70"/>
      <c r="B11" s="144" t="s">
        <v>96</v>
      </c>
      <c r="C11" s="145"/>
      <c r="D11" s="77">
        <v>980</v>
      </c>
      <c r="E11" s="54">
        <v>256</v>
      </c>
      <c r="F11" s="55">
        <v>216</v>
      </c>
      <c r="G11" s="56">
        <v>0</v>
      </c>
      <c r="H11" s="57">
        <v>0</v>
      </c>
      <c r="I11" s="54">
        <v>0</v>
      </c>
      <c r="J11" s="55">
        <v>0</v>
      </c>
      <c r="K11" s="56">
        <v>0</v>
      </c>
      <c r="L11" s="57">
        <v>0</v>
      </c>
      <c r="M11" s="54">
        <v>0</v>
      </c>
      <c r="N11" s="55">
        <v>0</v>
      </c>
      <c r="O11" s="56">
        <v>0</v>
      </c>
      <c r="P11" s="57">
        <v>0</v>
      </c>
      <c r="Q11" s="58">
        <f>E11+G11+I11+K11+M11+O11</f>
        <v>256</v>
      </c>
      <c r="R11" s="53">
        <f t="shared" si="0"/>
        <v>0.26122448979591839</v>
      </c>
    </row>
    <row r="12" spans="1:20" ht="18.75" customHeight="1">
      <c r="A12" s="70"/>
      <c r="B12" s="144" t="s">
        <v>97</v>
      </c>
      <c r="C12" s="145"/>
      <c r="D12" s="77">
        <v>960</v>
      </c>
      <c r="E12" s="54">
        <v>251</v>
      </c>
      <c r="F12" s="55">
        <v>233</v>
      </c>
      <c r="G12" s="56">
        <v>0</v>
      </c>
      <c r="H12" s="57">
        <v>0</v>
      </c>
      <c r="I12" s="54">
        <v>0</v>
      </c>
      <c r="J12" s="55">
        <v>0</v>
      </c>
      <c r="K12" s="56">
        <v>0</v>
      </c>
      <c r="L12" s="57">
        <v>0</v>
      </c>
      <c r="M12" s="54">
        <v>0</v>
      </c>
      <c r="N12" s="55">
        <v>0</v>
      </c>
      <c r="O12" s="56">
        <v>0</v>
      </c>
      <c r="P12" s="57">
        <v>0</v>
      </c>
      <c r="Q12" s="58">
        <f>E12+G12+I12+K12+M12+O12</f>
        <v>251</v>
      </c>
      <c r="R12" s="53">
        <f t="shared" si="0"/>
        <v>0.26145833333333335</v>
      </c>
    </row>
    <row r="13" spans="1:20" ht="18.75" customHeight="1">
      <c r="A13" s="70"/>
      <c r="B13" s="144" t="s">
        <v>98</v>
      </c>
      <c r="C13" s="145"/>
      <c r="D13" s="77">
        <v>2200</v>
      </c>
      <c r="E13" s="54">
        <v>574</v>
      </c>
      <c r="F13" s="55">
        <v>562</v>
      </c>
      <c r="G13" s="56">
        <v>0</v>
      </c>
      <c r="H13" s="57">
        <v>0</v>
      </c>
      <c r="I13" s="54">
        <v>0</v>
      </c>
      <c r="J13" s="55">
        <v>0</v>
      </c>
      <c r="K13" s="56">
        <v>0</v>
      </c>
      <c r="L13" s="57">
        <v>0</v>
      </c>
      <c r="M13" s="54">
        <v>0</v>
      </c>
      <c r="N13" s="55">
        <v>0</v>
      </c>
      <c r="O13" s="56">
        <v>0</v>
      </c>
      <c r="P13" s="57">
        <v>0</v>
      </c>
      <c r="Q13" s="58">
        <f>E13+G13+I13+K13+M13+O13</f>
        <v>574</v>
      </c>
      <c r="R13" s="53">
        <f t="shared" si="0"/>
        <v>0.26090909090909092</v>
      </c>
    </row>
    <row r="14" spans="1:20" ht="18.75" customHeight="1">
      <c r="A14" s="70"/>
      <c r="B14" s="144" t="s">
        <v>99</v>
      </c>
      <c r="C14" s="145"/>
      <c r="D14" s="77">
        <v>760</v>
      </c>
      <c r="E14" s="54">
        <v>188</v>
      </c>
      <c r="F14" s="55">
        <v>183</v>
      </c>
      <c r="G14" s="56">
        <v>0</v>
      </c>
      <c r="H14" s="57">
        <v>0</v>
      </c>
      <c r="I14" s="54">
        <v>0</v>
      </c>
      <c r="J14" s="55">
        <v>0</v>
      </c>
      <c r="K14" s="56">
        <v>0</v>
      </c>
      <c r="L14" s="57">
        <v>0</v>
      </c>
      <c r="M14" s="54">
        <v>0</v>
      </c>
      <c r="N14" s="55">
        <v>0</v>
      </c>
      <c r="O14" s="56">
        <v>0</v>
      </c>
      <c r="P14" s="57">
        <v>0</v>
      </c>
      <c r="Q14" s="58">
        <f>E14+G14+I14+K14+M14+O14</f>
        <v>188</v>
      </c>
      <c r="R14" s="53">
        <f t="shared" si="0"/>
        <v>0.24736842105263157</v>
      </c>
    </row>
    <row r="15" spans="1:20" ht="18.75" customHeight="1">
      <c r="A15" s="70"/>
      <c r="B15" s="144"/>
      <c r="C15" s="145"/>
      <c r="D15" s="77"/>
      <c r="E15" s="54"/>
      <c r="F15" s="55"/>
      <c r="G15" s="56"/>
      <c r="H15" s="57"/>
      <c r="I15" s="54"/>
      <c r="J15" s="55"/>
      <c r="K15" s="56"/>
      <c r="L15" s="57"/>
      <c r="M15" s="54"/>
      <c r="N15" s="55"/>
      <c r="O15" s="56"/>
      <c r="P15" s="57"/>
      <c r="Q15" s="58"/>
      <c r="R15" s="53"/>
    </row>
    <row r="16" spans="1:20" ht="18.75" customHeight="1">
      <c r="A16" s="70"/>
      <c r="B16" s="144"/>
      <c r="C16" s="145"/>
      <c r="D16" s="77"/>
      <c r="E16" s="54"/>
      <c r="F16" s="55"/>
      <c r="G16" s="56"/>
      <c r="H16" s="57"/>
      <c r="I16" s="54"/>
      <c r="J16" s="55"/>
      <c r="K16" s="56"/>
      <c r="L16" s="57"/>
      <c r="M16" s="54"/>
      <c r="N16" s="55"/>
      <c r="O16" s="56"/>
      <c r="P16" s="57"/>
      <c r="Q16" s="58"/>
      <c r="R16" s="53"/>
    </row>
    <row r="17" spans="1:18" ht="18.75" customHeight="1">
      <c r="A17" s="70"/>
      <c r="B17" s="144"/>
      <c r="C17" s="145"/>
      <c r="D17" s="77"/>
      <c r="E17" s="54"/>
      <c r="F17" s="55"/>
      <c r="G17" s="56"/>
      <c r="H17" s="57"/>
      <c r="I17" s="54"/>
      <c r="J17" s="55"/>
      <c r="K17" s="56"/>
      <c r="L17" s="57"/>
      <c r="M17" s="54"/>
      <c r="N17" s="55"/>
      <c r="O17" s="56"/>
      <c r="P17" s="57"/>
      <c r="Q17" s="58"/>
      <c r="R17" s="53"/>
    </row>
    <row r="18" spans="1:18" ht="18.75" customHeight="1">
      <c r="A18" s="70"/>
      <c r="B18" s="144"/>
      <c r="C18" s="145"/>
      <c r="D18" s="77"/>
      <c r="E18" s="54"/>
      <c r="F18" s="55"/>
      <c r="G18" s="56"/>
      <c r="H18" s="57"/>
      <c r="I18" s="54"/>
      <c r="J18" s="55"/>
      <c r="K18" s="56"/>
      <c r="L18" s="57"/>
      <c r="M18" s="54"/>
      <c r="N18" s="55"/>
      <c r="O18" s="56"/>
      <c r="P18" s="57"/>
      <c r="Q18" s="58"/>
      <c r="R18" s="53"/>
    </row>
    <row r="19" spans="1:18" ht="18.75" customHeight="1">
      <c r="A19" s="70"/>
      <c r="B19" s="144"/>
      <c r="C19" s="145"/>
      <c r="D19" s="77"/>
      <c r="E19" s="54"/>
      <c r="F19" s="55"/>
      <c r="G19" s="56"/>
      <c r="H19" s="57"/>
      <c r="I19" s="54"/>
      <c r="J19" s="55"/>
      <c r="K19" s="56"/>
      <c r="L19" s="57"/>
      <c r="M19" s="54"/>
      <c r="N19" s="55"/>
      <c r="O19" s="56"/>
      <c r="P19" s="57"/>
      <c r="Q19" s="58"/>
      <c r="R19" s="53"/>
    </row>
    <row r="20" spans="1:18" ht="18.75" customHeight="1">
      <c r="A20" s="70"/>
      <c r="B20" s="144"/>
      <c r="C20" s="145"/>
      <c r="D20" s="77"/>
      <c r="E20" s="54"/>
      <c r="F20" s="55"/>
      <c r="G20" s="56"/>
      <c r="H20" s="57"/>
      <c r="I20" s="54"/>
      <c r="J20" s="55"/>
      <c r="K20" s="56"/>
      <c r="L20" s="57"/>
      <c r="M20" s="54"/>
      <c r="N20" s="55"/>
      <c r="O20" s="56"/>
      <c r="P20" s="57"/>
      <c r="Q20" s="58"/>
      <c r="R20" s="53"/>
    </row>
    <row r="21" spans="1:18" ht="18.75" customHeight="1">
      <c r="A21" s="70"/>
      <c r="B21" s="144"/>
      <c r="C21" s="145"/>
      <c r="D21" s="77"/>
      <c r="E21" s="54"/>
      <c r="F21" s="55"/>
      <c r="G21" s="56"/>
      <c r="H21" s="57"/>
      <c r="I21" s="54"/>
      <c r="J21" s="55"/>
      <c r="K21" s="56"/>
      <c r="L21" s="57"/>
      <c r="M21" s="54"/>
      <c r="N21" s="55"/>
      <c r="O21" s="56"/>
      <c r="P21" s="57"/>
      <c r="Q21" s="58"/>
      <c r="R21" s="53"/>
    </row>
    <row r="22" spans="1:18" ht="18.75" customHeight="1">
      <c r="A22" s="70"/>
      <c r="B22" s="144"/>
      <c r="C22" s="145"/>
      <c r="D22" s="77"/>
      <c r="E22" s="54"/>
      <c r="F22" s="55"/>
      <c r="G22" s="56"/>
      <c r="H22" s="57"/>
      <c r="I22" s="54"/>
      <c r="J22" s="55"/>
      <c r="K22" s="56"/>
      <c r="L22" s="57"/>
      <c r="M22" s="54"/>
      <c r="N22" s="55"/>
      <c r="O22" s="56"/>
      <c r="P22" s="57"/>
      <c r="Q22" s="58"/>
      <c r="R22" s="53"/>
    </row>
    <row r="23" spans="1:18" ht="18.75" customHeight="1">
      <c r="A23" s="70"/>
      <c r="B23" s="144"/>
      <c r="C23" s="145"/>
      <c r="D23" s="77"/>
      <c r="E23" s="54"/>
      <c r="F23" s="55"/>
      <c r="G23" s="56"/>
      <c r="H23" s="57"/>
      <c r="I23" s="54"/>
      <c r="J23" s="55"/>
      <c r="K23" s="56"/>
      <c r="L23" s="57"/>
      <c r="M23" s="54"/>
      <c r="N23" s="55"/>
      <c r="O23" s="56"/>
      <c r="P23" s="57"/>
      <c r="Q23" s="58"/>
      <c r="R23" s="53"/>
    </row>
    <row r="24" spans="1:18" ht="18.75" customHeight="1">
      <c r="A24" s="70"/>
      <c r="B24" s="144"/>
      <c r="C24" s="145"/>
      <c r="D24" s="77"/>
      <c r="E24" s="54"/>
      <c r="F24" s="55"/>
      <c r="G24" s="56"/>
      <c r="H24" s="57"/>
      <c r="I24" s="54"/>
      <c r="J24" s="55"/>
      <c r="K24" s="56"/>
      <c r="L24" s="57"/>
      <c r="M24" s="54"/>
      <c r="N24" s="55"/>
      <c r="O24" s="56"/>
      <c r="P24" s="57"/>
      <c r="Q24" s="58"/>
      <c r="R24" s="53"/>
    </row>
    <row r="25" spans="1:18" ht="18.75" customHeight="1">
      <c r="A25" s="70"/>
      <c r="B25" s="144"/>
      <c r="C25" s="145"/>
      <c r="D25" s="77"/>
      <c r="E25" s="54"/>
      <c r="F25" s="55"/>
      <c r="G25" s="56"/>
      <c r="H25" s="57"/>
      <c r="I25" s="54"/>
      <c r="J25" s="55"/>
      <c r="K25" s="56"/>
      <c r="L25" s="57"/>
      <c r="M25" s="54"/>
      <c r="N25" s="55"/>
      <c r="O25" s="56"/>
      <c r="P25" s="57"/>
      <c r="Q25" s="58"/>
      <c r="R25" s="53"/>
    </row>
    <row r="26" spans="1:18" ht="18.75" customHeight="1">
      <c r="A26" s="70"/>
      <c r="B26" s="144"/>
      <c r="C26" s="145"/>
      <c r="D26" s="77"/>
      <c r="E26" s="54"/>
      <c r="F26" s="55"/>
      <c r="G26" s="56"/>
      <c r="H26" s="57"/>
      <c r="I26" s="54"/>
      <c r="J26" s="55"/>
      <c r="K26" s="56"/>
      <c r="L26" s="57"/>
      <c r="M26" s="54"/>
      <c r="N26" s="55"/>
      <c r="O26" s="56"/>
      <c r="P26" s="57"/>
      <c r="Q26" s="58"/>
      <c r="R26" s="53"/>
    </row>
    <row r="27" spans="1:18" ht="18.75" customHeight="1" thickBot="1">
      <c r="A27" s="70"/>
      <c r="B27" s="146"/>
      <c r="C27" s="147"/>
      <c r="D27" s="47"/>
      <c r="E27" s="48"/>
      <c r="F27" s="49"/>
      <c r="G27" s="50"/>
      <c r="H27" s="51"/>
      <c r="I27" s="48"/>
      <c r="J27" s="49"/>
      <c r="K27" s="50"/>
      <c r="L27" s="51"/>
      <c r="M27" s="48"/>
      <c r="N27" s="49"/>
      <c r="O27" s="50"/>
      <c r="P27" s="51"/>
      <c r="Q27" s="59"/>
      <c r="R27" s="53"/>
    </row>
    <row r="28" spans="1:18" ht="18.75" customHeight="1" thickTop="1">
      <c r="A28" s="70"/>
      <c r="B28" s="138" t="s">
        <v>100</v>
      </c>
      <c r="C28" s="139"/>
      <c r="D28" s="60">
        <f>SUM(D8:D27)</f>
        <v>7910</v>
      </c>
      <c r="E28" s="61">
        <f t="shared" ref="E28:Q28" si="2">SUM(E8:E27)</f>
        <v>2043</v>
      </c>
      <c r="F28" s="62">
        <f t="shared" si="2"/>
        <v>1934</v>
      </c>
      <c r="G28" s="63">
        <f t="shared" si="2"/>
        <v>0</v>
      </c>
      <c r="H28" s="64">
        <f t="shared" si="2"/>
        <v>0</v>
      </c>
      <c r="I28" s="61">
        <f t="shared" si="2"/>
        <v>0</v>
      </c>
      <c r="J28" s="62">
        <f t="shared" si="2"/>
        <v>0</v>
      </c>
      <c r="K28" s="63">
        <f t="shared" si="2"/>
        <v>0</v>
      </c>
      <c r="L28" s="64">
        <f t="shared" si="2"/>
        <v>0</v>
      </c>
      <c r="M28" s="61">
        <f t="shared" si="2"/>
        <v>0</v>
      </c>
      <c r="N28" s="62">
        <f t="shared" si="2"/>
        <v>0</v>
      </c>
      <c r="O28" s="63">
        <f t="shared" si="2"/>
        <v>0</v>
      </c>
      <c r="P28" s="64">
        <f t="shared" si="2"/>
        <v>0</v>
      </c>
      <c r="Q28" s="65">
        <f t="shared" si="2"/>
        <v>2043</v>
      </c>
      <c r="R28" s="66">
        <f t="shared" ref="R28" si="3">Q28/D28</f>
        <v>0.25828065739570166</v>
      </c>
    </row>
    <row r="29" spans="1:18" ht="6.75" customHeight="1">
      <c r="A29" s="70"/>
      <c r="B29" s="70"/>
      <c r="C29" s="70"/>
      <c r="D29" s="67"/>
      <c r="E29" s="67"/>
      <c r="F29" s="67"/>
      <c r="G29" s="67"/>
      <c r="H29" s="67"/>
      <c r="I29" s="67"/>
      <c r="J29" s="67"/>
      <c r="K29" s="67"/>
      <c r="L29" s="67"/>
      <c r="M29" s="67"/>
      <c r="N29" s="67"/>
      <c r="O29" s="67"/>
      <c r="P29" s="67"/>
      <c r="Q29" s="67"/>
      <c r="R29" s="67"/>
    </row>
    <row r="68" spans="16:16" ht="18.75" customHeight="1">
      <c r="P68" s="3"/>
    </row>
  </sheetData>
  <mergeCells count="34">
    <mergeCell ref="B18:C18"/>
    <mergeCell ref="B8:C8"/>
    <mergeCell ref="B9:C9"/>
    <mergeCell ref="B10:C10"/>
    <mergeCell ref="B12:C12"/>
    <mergeCell ref="B13:C13"/>
    <mergeCell ref="B28:C28"/>
    <mergeCell ref="B6:C7"/>
    <mergeCell ref="B23:C23"/>
    <mergeCell ref="B24:C24"/>
    <mergeCell ref="B25:C25"/>
    <mergeCell ref="B26:C26"/>
    <mergeCell ref="B16:C16"/>
    <mergeCell ref="B19:C19"/>
    <mergeCell ref="B20:C20"/>
    <mergeCell ref="B21:C21"/>
    <mergeCell ref="B27:C27"/>
    <mergeCell ref="B22:C22"/>
    <mergeCell ref="B14:C14"/>
    <mergeCell ref="B11:C11"/>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127" zoomScale="85" zoomScaleNormal="85" zoomScaleSheetLayoutView="90" workbookViewId="0">
      <selection activeCell="C133" sqref="C133:G133"/>
    </sheetView>
  </sheetViews>
  <sheetFormatPr defaultColWidth="9" defaultRowHeight="14.25"/>
  <cols>
    <col min="1" max="1" width="2.5" style="3" customWidth="1"/>
    <col min="2" max="2" width="19" style="3" customWidth="1"/>
    <col min="3" max="3" width="25" style="3" customWidth="1"/>
    <col min="4" max="4" width="10" style="3" customWidth="1"/>
    <col min="5" max="7" width="25" style="3" customWidth="1"/>
    <col min="8" max="9" width="9" style="3"/>
    <col min="10" max="10" width="9.5" style="3" bestFit="1" customWidth="1"/>
    <col min="11" max="16384" width="9" style="3"/>
  </cols>
  <sheetData>
    <row r="1" spans="1:7" ht="18.75" customHeight="1">
      <c r="G1" s="73" t="s">
        <v>101</v>
      </c>
    </row>
    <row r="2" spans="1:7" ht="18.75" customHeight="1">
      <c r="F2" s="73" t="s">
        <v>68</v>
      </c>
      <c r="G2" s="3" t="s">
        <v>79</v>
      </c>
    </row>
    <row r="3" spans="1:7" ht="18.75" customHeight="1">
      <c r="A3" s="110" t="s">
        <v>102</v>
      </c>
      <c r="B3" s="110"/>
      <c r="C3" s="110"/>
      <c r="D3" s="110"/>
      <c r="E3" s="110"/>
      <c r="F3" s="110"/>
      <c r="G3" s="110"/>
    </row>
    <row r="4" spans="1:7" ht="18.75" customHeight="1">
      <c r="A4" s="3" t="s">
        <v>2</v>
      </c>
      <c r="B4" s="3" t="s">
        <v>103</v>
      </c>
    </row>
    <row r="5" spans="1:7" s="22" customFormat="1" ht="18.75" customHeight="1">
      <c r="A5" s="74"/>
      <c r="B5" s="75" t="s">
        <v>104</v>
      </c>
      <c r="C5" s="102" t="s">
        <v>105</v>
      </c>
      <c r="D5" s="103"/>
      <c r="E5" s="103"/>
      <c r="F5" s="103"/>
      <c r="G5" s="104"/>
    </row>
    <row r="6" spans="1:7" s="22" customFormat="1" ht="45" customHeight="1">
      <c r="A6" s="74"/>
      <c r="B6" s="165" t="s">
        <v>106</v>
      </c>
      <c r="C6" s="183" t="s">
        <v>107</v>
      </c>
      <c r="D6" s="184"/>
      <c r="E6" s="184"/>
      <c r="F6" s="184"/>
      <c r="G6" s="185"/>
    </row>
    <row r="7" spans="1:7" s="22" customFormat="1" ht="45" customHeight="1">
      <c r="A7" s="74"/>
      <c r="B7" s="166"/>
      <c r="C7" s="186"/>
      <c r="D7" s="187"/>
      <c r="E7" s="187"/>
      <c r="F7" s="187"/>
      <c r="G7" s="188"/>
    </row>
    <row r="8" spans="1:7" s="22" customFormat="1" ht="45" customHeight="1">
      <c r="A8" s="74"/>
      <c r="B8" s="166"/>
      <c r="C8" s="186"/>
      <c r="D8" s="187"/>
      <c r="E8" s="187"/>
      <c r="F8" s="187"/>
      <c r="G8" s="188"/>
    </row>
    <row r="9" spans="1:7" s="22" customFormat="1" ht="45" customHeight="1">
      <c r="A9" s="74"/>
      <c r="B9" s="166"/>
      <c r="C9" s="189"/>
      <c r="D9" s="190"/>
      <c r="E9" s="190"/>
      <c r="F9" s="190"/>
      <c r="G9" s="191"/>
    </row>
    <row r="10" spans="1:7" s="22" customFormat="1" ht="18.75" customHeight="1">
      <c r="A10" s="74"/>
      <c r="B10" s="166"/>
      <c r="C10" s="78" t="s">
        <v>108</v>
      </c>
      <c r="D10" s="97" t="s">
        <v>109</v>
      </c>
      <c r="E10" s="98"/>
      <c r="F10" s="98"/>
      <c r="G10" s="99"/>
    </row>
    <row r="11" spans="1:7" s="22" customFormat="1" ht="37.5" customHeight="1">
      <c r="A11" s="74"/>
      <c r="B11" s="166"/>
      <c r="C11" s="72" t="s">
        <v>75</v>
      </c>
      <c r="D11" s="177" t="s">
        <v>110</v>
      </c>
      <c r="E11" s="181"/>
      <c r="F11" s="181"/>
      <c r="G11" s="182"/>
    </row>
    <row r="12" spans="1:7" s="22" customFormat="1" ht="18.75" customHeight="1">
      <c r="A12" s="74"/>
      <c r="B12" s="166"/>
      <c r="C12" s="72"/>
      <c r="D12" s="89"/>
      <c r="E12" s="90"/>
      <c r="F12" s="90"/>
      <c r="G12" s="91"/>
    </row>
    <row r="13" spans="1:7" s="22" customFormat="1" ht="18.75" customHeight="1">
      <c r="A13" s="74"/>
      <c r="B13" s="166"/>
      <c r="C13" s="72"/>
      <c r="D13" s="89"/>
      <c r="E13" s="90"/>
      <c r="F13" s="90"/>
      <c r="G13" s="91"/>
    </row>
    <row r="14" spans="1:7" s="22" customFormat="1" ht="18.75" customHeight="1">
      <c r="A14" s="74"/>
      <c r="B14" s="166"/>
      <c r="C14" s="72"/>
      <c r="D14" s="89"/>
      <c r="E14" s="90"/>
      <c r="F14" s="90"/>
      <c r="G14" s="91"/>
    </row>
    <row r="15" spans="1:7" s="22" customFormat="1" ht="18.75" customHeight="1">
      <c r="A15" s="74"/>
      <c r="B15" s="166"/>
      <c r="C15" s="75"/>
      <c r="D15" s="102"/>
      <c r="E15" s="103"/>
      <c r="F15" s="103"/>
      <c r="G15" s="104"/>
    </row>
    <row r="16" spans="1:7" s="22" customFormat="1" ht="18.75" customHeight="1">
      <c r="A16" s="74"/>
      <c r="B16" s="166"/>
      <c r="C16" s="75"/>
      <c r="D16" s="102"/>
      <c r="E16" s="103"/>
      <c r="F16" s="103"/>
      <c r="G16" s="104"/>
    </row>
    <row r="17" spans="2:7" s="22" customFormat="1" ht="18.75" customHeight="1">
      <c r="B17" s="166"/>
      <c r="C17" s="75"/>
      <c r="D17" s="102"/>
      <c r="E17" s="103"/>
      <c r="F17" s="103"/>
      <c r="G17" s="104"/>
    </row>
    <row r="18" spans="2:7" s="22" customFormat="1" ht="18.75" customHeight="1">
      <c r="B18" s="166"/>
      <c r="C18" s="75"/>
      <c r="D18" s="102"/>
      <c r="E18" s="103"/>
      <c r="F18" s="103"/>
      <c r="G18" s="104"/>
    </row>
    <row r="19" spans="2:7" s="22" customFormat="1" ht="18.75" customHeight="1">
      <c r="B19" s="166"/>
      <c r="C19" s="75"/>
      <c r="D19" s="102"/>
      <c r="E19" s="103"/>
      <c r="F19" s="103"/>
      <c r="G19" s="104"/>
    </row>
    <row r="20" spans="2:7" s="22" customFormat="1" ht="18.75" customHeight="1">
      <c r="B20" s="166"/>
      <c r="C20" s="75"/>
      <c r="D20" s="102"/>
      <c r="E20" s="103"/>
      <c r="F20" s="103"/>
      <c r="G20" s="104"/>
    </row>
    <row r="21" spans="2:7" s="22" customFormat="1" ht="18.75" customHeight="1">
      <c r="B21" s="166"/>
      <c r="C21" s="75"/>
      <c r="D21" s="102"/>
      <c r="E21" s="103"/>
      <c r="F21" s="103"/>
      <c r="G21" s="104"/>
    </row>
    <row r="22" spans="2:7" s="22" customFormat="1" ht="18.75" customHeight="1">
      <c r="B22" s="166"/>
      <c r="C22" s="75"/>
      <c r="D22" s="102"/>
      <c r="E22" s="103"/>
      <c r="F22" s="103"/>
      <c r="G22" s="104"/>
    </row>
    <row r="23" spans="2:7" s="22" customFormat="1" ht="18.75" hidden="1" customHeight="1">
      <c r="B23" s="166"/>
      <c r="C23" s="75"/>
      <c r="D23" s="102"/>
      <c r="E23" s="103"/>
      <c r="F23" s="103"/>
      <c r="G23" s="104"/>
    </row>
    <row r="24" spans="2:7" s="22" customFormat="1" ht="18.75" customHeight="1">
      <c r="B24" s="166"/>
      <c r="C24" s="75"/>
      <c r="D24" s="102"/>
      <c r="E24" s="103"/>
      <c r="F24" s="103"/>
      <c r="G24" s="104"/>
    </row>
    <row r="25" spans="2:7" s="22" customFormat="1" ht="18.75" customHeight="1">
      <c r="B25" s="166"/>
      <c r="C25" s="75"/>
      <c r="D25" s="102"/>
      <c r="E25" s="103"/>
      <c r="F25" s="103"/>
      <c r="G25" s="104"/>
    </row>
    <row r="26" spans="2:7" ht="18.75" customHeight="1">
      <c r="B26" s="165" t="s">
        <v>111</v>
      </c>
      <c r="C26" s="102" t="s">
        <v>105</v>
      </c>
      <c r="D26" s="103"/>
      <c r="E26" s="103"/>
      <c r="F26" s="103"/>
      <c r="G26" s="104"/>
    </row>
    <row r="27" spans="2:7" ht="37.5" customHeight="1">
      <c r="B27" s="166"/>
      <c r="C27" s="168" t="s">
        <v>112</v>
      </c>
      <c r="D27" s="169"/>
      <c r="E27" s="169"/>
      <c r="F27" s="169"/>
      <c r="G27" s="170"/>
    </row>
    <row r="28" spans="2:7" ht="37.5" customHeight="1">
      <c r="B28" s="166"/>
      <c r="C28" s="171"/>
      <c r="D28" s="172"/>
      <c r="E28" s="172"/>
      <c r="F28" s="172"/>
      <c r="G28" s="173"/>
    </row>
    <row r="29" spans="2:7" ht="37.5" customHeight="1">
      <c r="B29" s="166"/>
      <c r="C29" s="171"/>
      <c r="D29" s="172"/>
      <c r="E29" s="172"/>
      <c r="F29" s="172"/>
      <c r="G29" s="173"/>
    </row>
    <row r="30" spans="2:7" ht="37.5" customHeight="1">
      <c r="B30" s="166"/>
      <c r="C30" s="171"/>
      <c r="D30" s="172"/>
      <c r="E30" s="172"/>
      <c r="F30" s="172"/>
      <c r="G30" s="173"/>
    </row>
    <row r="31" spans="2:7" ht="37.5" customHeight="1">
      <c r="B31" s="166"/>
      <c r="C31" s="174"/>
      <c r="D31" s="175"/>
      <c r="E31" s="175"/>
      <c r="F31" s="175"/>
      <c r="G31" s="176"/>
    </row>
    <row r="32" spans="2:7" ht="18.75" customHeight="1">
      <c r="B32" s="166"/>
      <c r="C32" s="78" t="s">
        <v>108</v>
      </c>
      <c r="D32" s="102" t="s">
        <v>109</v>
      </c>
      <c r="E32" s="103"/>
      <c r="F32" s="103"/>
      <c r="G32" s="104"/>
    </row>
    <row r="33" spans="2:7" ht="39.75" customHeight="1">
      <c r="B33" s="166"/>
      <c r="C33" s="72" t="s">
        <v>75</v>
      </c>
      <c r="D33" s="177" t="s">
        <v>113</v>
      </c>
      <c r="E33" s="181"/>
      <c r="F33" s="181"/>
      <c r="G33" s="182"/>
    </row>
    <row r="34" spans="2:7" ht="18.75" customHeight="1">
      <c r="B34" s="166"/>
      <c r="C34" s="75"/>
      <c r="D34" s="89"/>
      <c r="E34" s="90"/>
      <c r="F34" s="90"/>
      <c r="G34" s="91"/>
    </row>
    <row r="35" spans="2:7" ht="18.75" customHeight="1">
      <c r="B35" s="166"/>
      <c r="C35" s="75"/>
      <c r="D35" s="89"/>
      <c r="E35" s="90"/>
      <c r="F35" s="90"/>
      <c r="G35" s="91"/>
    </row>
    <row r="36" spans="2:7" ht="18.75" customHeight="1">
      <c r="B36" s="166"/>
      <c r="C36" s="75"/>
      <c r="D36" s="89"/>
      <c r="E36" s="90"/>
      <c r="F36" s="90"/>
      <c r="G36" s="91"/>
    </row>
    <row r="37" spans="2:7" ht="18.75" customHeight="1">
      <c r="B37" s="166"/>
      <c r="C37" s="75"/>
      <c r="D37" s="89"/>
      <c r="E37" s="90"/>
      <c r="F37" s="90"/>
      <c r="G37" s="91"/>
    </row>
    <row r="38" spans="2:7" ht="18.75" customHeight="1">
      <c r="B38" s="166"/>
      <c r="C38" s="75"/>
      <c r="D38" s="89"/>
      <c r="E38" s="90"/>
      <c r="F38" s="90"/>
      <c r="G38" s="91"/>
    </row>
    <row r="39" spans="2:7" ht="18.75" customHeight="1">
      <c r="B39" s="166"/>
      <c r="C39" s="75"/>
      <c r="D39" s="89"/>
      <c r="E39" s="90"/>
      <c r="F39" s="90"/>
      <c r="G39" s="91"/>
    </row>
    <row r="40" spans="2:7" ht="18.75" customHeight="1">
      <c r="B40" s="166"/>
      <c r="C40" s="75"/>
      <c r="D40" s="89"/>
      <c r="E40" s="90"/>
      <c r="F40" s="90"/>
      <c r="G40" s="91"/>
    </row>
    <row r="41" spans="2:7" ht="18.75" customHeight="1">
      <c r="B41" s="166"/>
      <c r="C41" s="75"/>
      <c r="D41" s="89"/>
      <c r="E41" s="90"/>
      <c r="F41" s="90"/>
      <c r="G41" s="91"/>
    </row>
    <row r="42" spans="2:7" ht="18.75" customHeight="1">
      <c r="B42" s="166"/>
      <c r="C42" s="75"/>
      <c r="D42" s="89"/>
      <c r="E42" s="90"/>
      <c r="F42" s="90"/>
      <c r="G42" s="91"/>
    </row>
    <row r="43" spans="2:7" ht="18.75" customHeight="1">
      <c r="B43" s="166"/>
      <c r="C43" s="75"/>
      <c r="D43" s="89"/>
      <c r="E43" s="90"/>
      <c r="F43" s="90"/>
      <c r="G43" s="91"/>
    </row>
    <row r="44" spans="2:7" ht="18.75" customHeight="1">
      <c r="B44" s="166"/>
      <c r="C44" s="75"/>
      <c r="D44" s="89"/>
      <c r="E44" s="90"/>
      <c r="F44" s="90"/>
      <c r="G44" s="91"/>
    </row>
    <row r="45" spans="2:7" ht="18.75" customHeight="1">
      <c r="B45" s="166"/>
      <c r="C45" s="75"/>
      <c r="D45" s="89"/>
      <c r="E45" s="90"/>
      <c r="F45" s="90"/>
      <c r="G45" s="91"/>
    </row>
    <row r="46" spans="2:7" ht="18.75" customHeight="1">
      <c r="B46" s="166"/>
      <c r="C46" s="75"/>
      <c r="D46" s="89"/>
      <c r="E46" s="90"/>
      <c r="F46" s="90"/>
      <c r="G46" s="91"/>
    </row>
    <row r="47" spans="2:7" ht="18.75" hidden="1" customHeight="1">
      <c r="B47" s="166"/>
      <c r="C47" s="75"/>
      <c r="D47" s="89"/>
      <c r="E47" s="90"/>
      <c r="F47" s="90"/>
      <c r="G47" s="91"/>
    </row>
    <row r="48" spans="2:7" ht="18.75" customHeight="1">
      <c r="B48" s="166"/>
      <c r="C48" s="75"/>
      <c r="D48" s="89"/>
      <c r="E48" s="90"/>
      <c r="F48" s="90"/>
      <c r="G48" s="91"/>
    </row>
    <row r="49" spans="2:7" ht="18.75" customHeight="1">
      <c r="B49" s="166"/>
      <c r="C49" s="75"/>
      <c r="D49" s="89"/>
      <c r="E49" s="90"/>
      <c r="F49" s="90"/>
      <c r="G49" s="91"/>
    </row>
    <row r="50" spans="2:7" ht="18.75" customHeight="1">
      <c r="B50" s="167"/>
      <c r="C50" s="75"/>
      <c r="D50" s="89"/>
      <c r="E50" s="90"/>
      <c r="F50" s="90"/>
      <c r="G50" s="91"/>
    </row>
    <row r="51" spans="2:7" ht="18.75" customHeight="1">
      <c r="B51" s="165" t="s">
        <v>114</v>
      </c>
      <c r="C51" s="102" t="s">
        <v>105</v>
      </c>
      <c r="D51" s="103"/>
      <c r="E51" s="103"/>
      <c r="F51" s="103"/>
      <c r="G51" s="104"/>
    </row>
    <row r="52" spans="2:7" ht="37.5" customHeight="1">
      <c r="B52" s="166"/>
      <c r="C52" s="168" t="s">
        <v>115</v>
      </c>
      <c r="D52" s="169"/>
      <c r="E52" s="169"/>
      <c r="F52" s="169"/>
      <c r="G52" s="170"/>
    </row>
    <row r="53" spans="2:7" ht="37.5" customHeight="1">
      <c r="B53" s="166"/>
      <c r="C53" s="171"/>
      <c r="D53" s="172"/>
      <c r="E53" s="172"/>
      <c r="F53" s="172"/>
      <c r="G53" s="173"/>
    </row>
    <row r="54" spans="2:7" ht="37.5" customHeight="1">
      <c r="B54" s="166"/>
      <c r="C54" s="171"/>
      <c r="D54" s="172"/>
      <c r="E54" s="172"/>
      <c r="F54" s="172"/>
      <c r="G54" s="173"/>
    </row>
    <row r="55" spans="2:7" ht="37.5" customHeight="1">
      <c r="B55" s="166"/>
      <c r="C55" s="171"/>
      <c r="D55" s="172"/>
      <c r="E55" s="172"/>
      <c r="F55" s="172"/>
      <c r="G55" s="173"/>
    </row>
    <row r="56" spans="2:7" ht="37.5" customHeight="1">
      <c r="B56" s="166"/>
      <c r="C56" s="174"/>
      <c r="D56" s="175"/>
      <c r="E56" s="175"/>
      <c r="F56" s="175"/>
      <c r="G56" s="176"/>
    </row>
    <row r="57" spans="2:7" ht="18.75" customHeight="1">
      <c r="B57" s="166"/>
      <c r="C57" s="78" t="s">
        <v>108</v>
      </c>
      <c r="D57" s="102" t="s">
        <v>109</v>
      </c>
      <c r="E57" s="103"/>
      <c r="F57" s="103"/>
      <c r="G57" s="104"/>
    </row>
    <row r="58" spans="2:7" ht="56.25" customHeight="1">
      <c r="B58" s="166"/>
      <c r="C58" s="72" t="s">
        <v>75</v>
      </c>
      <c r="D58" s="177" t="s">
        <v>116</v>
      </c>
      <c r="E58" s="181"/>
      <c r="F58" s="181"/>
      <c r="G58" s="182"/>
    </row>
    <row r="59" spans="2:7" ht="18.75" customHeight="1">
      <c r="B59" s="166"/>
      <c r="C59" s="75"/>
      <c r="D59" s="89"/>
      <c r="E59" s="90"/>
      <c r="F59" s="90"/>
      <c r="G59" s="91"/>
    </row>
    <row r="60" spans="2:7" ht="18.75" customHeight="1">
      <c r="B60" s="166"/>
      <c r="C60" s="75"/>
      <c r="D60" s="89"/>
      <c r="E60" s="90"/>
      <c r="F60" s="90"/>
      <c r="G60" s="91"/>
    </row>
    <row r="61" spans="2:7" ht="18.75" customHeight="1">
      <c r="B61" s="166"/>
      <c r="C61" s="75"/>
      <c r="D61" s="89"/>
      <c r="E61" s="90"/>
      <c r="F61" s="90"/>
      <c r="G61" s="91"/>
    </row>
    <row r="62" spans="2:7" ht="18.75" customHeight="1">
      <c r="B62" s="166"/>
      <c r="C62" s="75"/>
      <c r="D62" s="89"/>
      <c r="E62" s="90"/>
      <c r="F62" s="90"/>
      <c r="G62" s="91"/>
    </row>
    <row r="63" spans="2:7" ht="18.75" customHeight="1">
      <c r="B63" s="166"/>
      <c r="C63" s="75"/>
      <c r="D63" s="89"/>
      <c r="E63" s="90"/>
      <c r="F63" s="90"/>
      <c r="G63" s="91"/>
    </row>
    <row r="64" spans="2:7" ht="18.75" customHeight="1">
      <c r="B64" s="166"/>
      <c r="C64" s="75"/>
      <c r="D64" s="89"/>
      <c r="E64" s="90"/>
      <c r="F64" s="90"/>
      <c r="G64" s="91"/>
    </row>
    <row r="65" spans="2:7" ht="18.75" customHeight="1">
      <c r="B65" s="166"/>
      <c r="C65" s="75"/>
      <c r="D65" s="89"/>
      <c r="E65" s="90"/>
      <c r="F65" s="90"/>
      <c r="G65" s="91"/>
    </row>
    <row r="66" spans="2:7" ht="18.75" customHeight="1">
      <c r="B66" s="166"/>
      <c r="C66" s="75"/>
      <c r="D66" s="89"/>
      <c r="E66" s="90"/>
      <c r="F66" s="90"/>
      <c r="G66" s="91"/>
    </row>
    <row r="67" spans="2:7" ht="18.75" customHeight="1">
      <c r="B67" s="166"/>
      <c r="C67" s="75"/>
      <c r="D67" s="89"/>
      <c r="E67" s="90"/>
      <c r="F67" s="90"/>
      <c r="G67" s="91"/>
    </row>
    <row r="68" spans="2:7" ht="18.75" customHeight="1">
      <c r="B68" s="166"/>
      <c r="C68" s="75"/>
      <c r="D68" s="89"/>
      <c r="E68" s="90"/>
      <c r="F68" s="90"/>
      <c r="G68" s="91"/>
    </row>
    <row r="69" spans="2:7" ht="18.75" customHeight="1">
      <c r="B69" s="166"/>
      <c r="C69" s="75"/>
      <c r="D69" s="89"/>
      <c r="E69" s="90"/>
      <c r="F69" s="90"/>
      <c r="G69" s="91"/>
    </row>
    <row r="70" spans="2:7" ht="18.75" customHeight="1">
      <c r="B70" s="166"/>
      <c r="C70" s="75"/>
      <c r="D70" s="89"/>
      <c r="E70" s="90"/>
      <c r="F70" s="90"/>
      <c r="G70" s="91"/>
    </row>
    <row r="71" spans="2:7" ht="18.75" hidden="1" customHeight="1">
      <c r="B71" s="166"/>
      <c r="C71" s="75"/>
      <c r="D71" s="89"/>
      <c r="E71" s="90"/>
      <c r="F71" s="90"/>
      <c r="G71" s="91"/>
    </row>
    <row r="72" spans="2:7" ht="18.75" hidden="1" customHeight="1">
      <c r="B72" s="166"/>
      <c r="C72" s="75"/>
      <c r="D72" s="89"/>
      <c r="E72" s="90"/>
      <c r="F72" s="90"/>
      <c r="G72" s="91"/>
    </row>
    <row r="73" spans="2:7" ht="18.75" customHeight="1">
      <c r="B73" s="166"/>
      <c r="C73" s="75"/>
      <c r="D73" s="89"/>
      <c r="E73" s="90"/>
      <c r="F73" s="90"/>
      <c r="G73" s="91"/>
    </row>
    <row r="74" spans="2:7" ht="18.75" customHeight="1">
      <c r="B74" s="166"/>
      <c r="C74" s="75"/>
      <c r="D74" s="89"/>
      <c r="E74" s="90"/>
      <c r="F74" s="90"/>
      <c r="G74" s="91"/>
    </row>
    <row r="75" spans="2:7" ht="18.75" customHeight="1">
      <c r="B75" s="166"/>
      <c r="C75" s="75"/>
      <c r="D75" s="89"/>
      <c r="E75" s="90"/>
      <c r="F75" s="90"/>
      <c r="G75" s="91"/>
    </row>
    <row r="76" spans="2:7" ht="18.75" customHeight="1">
      <c r="B76" s="165" t="s">
        <v>117</v>
      </c>
      <c r="C76" s="102" t="s">
        <v>105</v>
      </c>
      <c r="D76" s="103"/>
      <c r="E76" s="103"/>
      <c r="F76" s="103"/>
      <c r="G76" s="104"/>
    </row>
    <row r="77" spans="2:7" ht="37.5" customHeight="1">
      <c r="B77" s="166"/>
      <c r="C77" s="168" t="s">
        <v>118</v>
      </c>
      <c r="D77" s="169"/>
      <c r="E77" s="169"/>
      <c r="F77" s="169"/>
      <c r="G77" s="170"/>
    </row>
    <row r="78" spans="2:7" ht="37.5" customHeight="1">
      <c r="B78" s="166"/>
      <c r="C78" s="171"/>
      <c r="D78" s="172"/>
      <c r="E78" s="172"/>
      <c r="F78" s="172"/>
      <c r="G78" s="173"/>
    </row>
    <row r="79" spans="2:7" ht="37.5" customHeight="1">
      <c r="B79" s="166"/>
      <c r="C79" s="171"/>
      <c r="D79" s="172"/>
      <c r="E79" s="172"/>
      <c r="F79" s="172"/>
      <c r="G79" s="173"/>
    </row>
    <row r="80" spans="2:7" ht="37.5" customHeight="1">
      <c r="B80" s="166"/>
      <c r="C80" s="171"/>
      <c r="D80" s="172"/>
      <c r="E80" s="172"/>
      <c r="F80" s="172"/>
      <c r="G80" s="173"/>
    </row>
    <row r="81" spans="2:7" ht="37.5" customHeight="1">
      <c r="B81" s="166"/>
      <c r="C81" s="174"/>
      <c r="D81" s="175"/>
      <c r="E81" s="175"/>
      <c r="F81" s="175"/>
      <c r="G81" s="176"/>
    </row>
    <row r="82" spans="2:7" ht="18.75" customHeight="1">
      <c r="B82" s="166"/>
      <c r="C82" s="78" t="s">
        <v>108</v>
      </c>
      <c r="D82" s="102" t="s">
        <v>109</v>
      </c>
      <c r="E82" s="103"/>
      <c r="F82" s="103"/>
      <c r="G82" s="104"/>
    </row>
    <row r="83" spans="2:7" ht="51.75" customHeight="1">
      <c r="B83" s="166"/>
      <c r="C83" s="72" t="s">
        <v>75</v>
      </c>
      <c r="D83" s="177" t="s">
        <v>119</v>
      </c>
      <c r="E83" s="181"/>
      <c r="F83" s="181"/>
      <c r="G83" s="182"/>
    </row>
    <row r="84" spans="2:7" ht="18.75" customHeight="1">
      <c r="B84" s="166"/>
      <c r="C84" s="75"/>
      <c r="D84" s="89"/>
      <c r="E84" s="90"/>
      <c r="F84" s="90"/>
      <c r="G84" s="91"/>
    </row>
    <row r="85" spans="2:7" ht="18.75" customHeight="1">
      <c r="B85" s="166"/>
      <c r="C85" s="75"/>
      <c r="D85" s="89"/>
      <c r="E85" s="90"/>
      <c r="F85" s="90"/>
      <c r="G85" s="91"/>
    </row>
    <row r="86" spans="2:7" ht="18.75" customHeight="1">
      <c r="B86" s="166"/>
      <c r="C86" s="75"/>
      <c r="D86" s="89"/>
      <c r="E86" s="90"/>
      <c r="F86" s="90"/>
      <c r="G86" s="91"/>
    </row>
    <row r="87" spans="2:7" ht="18.75" customHeight="1">
      <c r="B87" s="166"/>
      <c r="C87" s="75"/>
      <c r="D87" s="89"/>
      <c r="E87" s="90"/>
      <c r="F87" s="90"/>
      <c r="G87" s="91"/>
    </row>
    <row r="88" spans="2:7" ht="18.75" customHeight="1">
      <c r="B88" s="166"/>
      <c r="C88" s="75"/>
      <c r="D88" s="89"/>
      <c r="E88" s="90"/>
      <c r="F88" s="90"/>
      <c r="G88" s="91"/>
    </row>
    <row r="89" spans="2:7" ht="18.75" customHeight="1">
      <c r="B89" s="166"/>
      <c r="C89" s="75"/>
      <c r="D89" s="89"/>
      <c r="E89" s="90"/>
      <c r="F89" s="90"/>
      <c r="G89" s="91"/>
    </row>
    <row r="90" spans="2:7" ht="18.75" customHeight="1">
      <c r="B90" s="166"/>
      <c r="C90" s="75"/>
      <c r="D90" s="89"/>
      <c r="E90" s="90"/>
      <c r="F90" s="90"/>
      <c r="G90" s="91"/>
    </row>
    <row r="91" spans="2:7" ht="18.75" customHeight="1">
      <c r="B91" s="166"/>
      <c r="C91" s="75"/>
      <c r="D91" s="89"/>
      <c r="E91" s="90"/>
      <c r="F91" s="90"/>
      <c r="G91" s="91"/>
    </row>
    <row r="92" spans="2:7" ht="18.75" customHeight="1">
      <c r="B92" s="166"/>
      <c r="C92" s="75"/>
      <c r="D92" s="89"/>
      <c r="E92" s="90"/>
      <c r="F92" s="90"/>
      <c r="G92" s="91"/>
    </row>
    <row r="93" spans="2:7" ht="18.75" customHeight="1">
      <c r="B93" s="166"/>
      <c r="C93" s="75"/>
      <c r="D93" s="89"/>
      <c r="E93" s="90"/>
      <c r="F93" s="90"/>
      <c r="G93" s="91"/>
    </row>
    <row r="94" spans="2:7" ht="18.75" customHeight="1">
      <c r="B94" s="166"/>
      <c r="C94" s="75"/>
      <c r="D94" s="89"/>
      <c r="E94" s="90"/>
      <c r="F94" s="90"/>
      <c r="G94" s="91"/>
    </row>
    <row r="95" spans="2:7" ht="18.75" customHeight="1">
      <c r="B95" s="166"/>
      <c r="C95" s="75"/>
      <c r="D95" s="89"/>
      <c r="E95" s="90"/>
      <c r="F95" s="90"/>
      <c r="G95" s="91"/>
    </row>
    <row r="96" spans="2:7" ht="18.75" customHeight="1">
      <c r="B96" s="166"/>
      <c r="C96" s="75"/>
      <c r="D96" s="89"/>
      <c r="E96" s="90"/>
      <c r="F96" s="90"/>
      <c r="G96" s="91"/>
    </row>
    <row r="97" spans="2:7" ht="18.75" customHeight="1">
      <c r="B97" s="166"/>
      <c r="C97" s="75"/>
      <c r="D97" s="89"/>
      <c r="E97" s="90"/>
      <c r="F97" s="90"/>
      <c r="G97" s="91"/>
    </row>
    <row r="98" spans="2:7" ht="18.75" customHeight="1">
      <c r="B98" s="166"/>
      <c r="C98" s="75"/>
      <c r="D98" s="89"/>
      <c r="E98" s="90"/>
      <c r="F98" s="90"/>
      <c r="G98" s="91"/>
    </row>
    <row r="99" spans="2:7" hidden="1">
      <c r="B99" s="166"/>
      <c r="C99" s="75"/>
      <c r="D99" s="89"/>
      <c r="E99" s="90"/>
      <c r="F99" s="90"/>
      <c r="G99" s="91"/>
    </row>
    <row r="100" spans="2:7" ht="18.75" customHeight="1">
      <c r="B100" s="166"/>
      <c r="C100" s="75"/>
      <c r="D100" s="89"/>
      <c r="E100" s="90"/>
      <c r="F100" s="90"/>
      <c r="G100" s="91"/>
    </row>
    <row r="101" spans="2:7" ht="18.75" customHeight="1">
      <c r="B101" s="165" t="s">
        <v>120</v>
      </c>
      <c r="C101" s="102" t="s">
        <v>105</v>
      </c>
      <c r="D101" s="103"/>
      <c r="E101" s="103"/>
      <c r="F101" s="103"/>
      <c r="G101" s="104"/>
    </row>
    <row r="102" spans="2:7" ht="37.5" customHeight="1">
      <c r="B102" s="166"/>
      <c r="C102" s="168" t="s">
        <v>121</v>
      </c>
      <c r="D102" s="169"/>
      <c r="E102" s="169"/>
      <c r="F102" s="169"/>
      <c r="G102" s="170"/>
    </row>
    <row r="103" spans="2:7" ht="37.5" customHeight="1">
      <c r="B103" s="166"/>
      <c r="C103" s="171"/>
      <c r="D103" s="172"/>
      <c r="E103" s="172"/>
      <c r="F103" s="172"/>
      <c r="G103" s="173"/>
    </row>
    <row r="104" spans="2:7" ht="37.5" customHeight="1">
      <c r="B104" s="166"/>
      <c r="C104" s="171"/>
      <c r="D104" s="172"/>
      <c r="E104" s="172"/>
      <c r="F104" s="172"/>
      <c r="G104" s="173"/>
    </row>
    <row r="105" spans="2:7" ht="37.5" customHeight="1">
      <c r="B105" s="166"/>
      <c r="C105" s="171"/>
      <c r="D105" s="172"/>
      <c r="E105" s="172"/>
      <c r="F105" s="172"/>
      <c r="G105" s="173"/>
    </row>
    <row r="106" spans="2:7" ht="37.5" customHeight="1">
      <c r="B106" s="166"/>
      <c r="C106" s="174"/>
      <c r="D106" s="175"/>
      <c r="E106" s="175"/>
      <c r="F106" s="175"/>
      <c r="G106" s="176"/>
    </row>
    <row r="107" spans="2:7" ht="18.75" customHeight="1">
      <c r="B107" s="166"/>
      <c r="C107" s="78" t="s">
        <v>108</v>
      </c>
      <c r="D107" s="102" t="s">
        <v>109</v>
      </c>
      <c r="E107" s="103"/>
      <c r="F107" s="103"/>
      <c r="G107" s="104"/>
    </row>
    <row r="108" spans="2:7" ht="55.5" customHeight="1">
      <c r="B108" s="166"/>
      <c r="C108" s="72" t="s">
        <v>75</v>
      </c>
      <c r="D108" s="177" t="s">
        <v>122</v>
      </c>
      <c r="E108" s="178"/>
      <c r="F108" s="178"/>
      <c r="G108" s="179"/>
    </row>
    <row r="109" spans="2:7" ht="18.75" customHeight="1">
      <c r="B109" s="166"/>
      <c r="C109" s="75" t="s">
        <v>76</v>
      </c>
      <c r="D109" s="180" t="s">
        <v>123</v>
      </c>
      <c r="E109" s="178"/>
      <c r="F109" s="178"/>
      <c r="G109" s="179"/>
    </row>
    <row r="110" spans="2:7" ht="18.75" customHeight="1">
      <c r="B110" s="166"/>
      <c r="C110" s="75"/>
      <c r="D110" s="89"/>
      <c r="E110" s="90"/>
      <c r="F110" s="90"/>
      <c r="G110" s="91"/>
    </row>
    <row r="111" spans="2:7" ht="18.75" customHeight="1">
      <c r="B111" s="166"/>
      <c r="C111" s="75"/>
      <c r="D111" s="89"/>
      <c r="E111" s="90"/>
      <c r="F111" s="90"/>
      <c r="G111" s="91"/>
    </row>
    <row r="112" spans="2:7" ht="18.75" customHeight="1">
      <c r="B112" s="166"/>
      <c r="C112" s="75"/>
      <c r="D112" s="89"/>
      <c r="E112" s="90"/>
      <c r="F112" s="90"/>
      <c r="G112" s="91"/>
    </row>
    <row r="113" spans="1:7" ht="18.75" customHeight="1">
      <c r="B113" s="166"/>
      <c r="C113" s="75"/>
      <c r="D113" s="89"/>
      <c r="E113" s="90"/>
      <c r="F113" s="90"/>
      <c r="G113" s="91"/>
    </row>
    <row r="114" spans="1:7" ht="18.75" customHeight="1">
      <c r="B114" s="166"/>
      <c r="C114" s="75"/>
      <c r="D114" s="89"/>
      <c r="E114" s="90"/>
      <c r="F114" s="90"/>
      <c r="G114" s="91"/>
    </row>
    <row r="115" spans="1:7" ht="18.75" customHeight="1">
      <c r="B115" s="166"/>
      <c r="C115" s="75"/>
      <c r="D115" s="89"/>
      <c r="E115" s="90"/>
      <c r="F115" s="90"/>
      <c r="G115" s="91"/>
    </row>
    <row r="116" spans="1:7" ht="18.75" customHeight="1">
      <c r="B116" s="166"/>
      <c r="C116" s="75"/>
      <c r="D116" s="89"/>
      <c r="E116" s="90"/>
      <c r="F116" s="90"/>
      <c r="G116" s="91"/>
    </row>
    <row r="117" spans="1:7" ht="18.75" customHeight="1">
      <c r="B117" s="166"/>
      <c r="C117" s="75"/>
      <c r="D117" s="89"/>
      <c r="E117" s="90"/>
      <c r="F117" s="90"/>
      <c r="G117" s="91"/>
    </row>
    <row r="118" spans="1:7" ht="18.75" customHeight="1">
      <c r="B118" s="166"/>
      <c r="C118" s="75"/>
      <c r="D118" s="89"/>
      <c r="E118" s="90"/>
      <c r="F118" s="90"/>
      <c r="G118" s="91"/>
    </row>
    <row r="119" spans="1:7" ht="18.75" customHeight="1">
      <c r="B119" s="166"/>
      <c r="C119" s="75"/>
      <c r="D119" s="89"/>
      <c r="E119" s="90"/>
      <c r="F119" s="90"/>
      <c r="G119" s="91"/>
    </row>
    <row r="120" spans="1:7" ht="18.75" customHeight="1">
      <c r="B120" s="166"/>
      <c r="C120" s="75"/>
      <c r="D120" s="89"/>
      <c r="E120" s="90"/>
      <c r="F120" s="90"/>
      <c r="G120" s="91"/>
    </row>
    <row r="121" spans="1:7" ht="18.75" customHeight="1">
      <c r="B121" s="166"/>
      <c r="C121" s="75"/>
      <c r="D121" s="89"/>
      <c r="E121" s="90"/>
      <c r="F121" s="90"/>
      <c r="G121" s="91"/>
    </row>
    <row r="122" spans="1:7" ht="18.75" hidden="1" customHeight="1">
      <c r="B122" s="166"/>
      <c r="C122" s="75"/>
      <c r="D122" s="89"/>
      <c r="E122" s="90"/>
      <c r="F122" s="90"/>
      <c r="G122" s="91"/>
    </row>
    <row r="123" spans="1:7" ht="18.75" hidden="1" customHeight="1">
      <c r="B123" s="166"/>
      <c r="C123" s="75"/>
      <c r="D123" s="89"/>
      <c r="E123" s="90"/>
      <c r="F123" s="90"/>
      <c r="G123" s="91"/>
    </row>
    <row r="124" spans="1:7" ht="18.75" customHeight="1">
      <c r="B124" s="166"/>
      <c r="C124" s="75"/>
      <c r="D124" s="89"/>
      <c r="E124" s="90"/>
      <c r="F124" s="90"/>
      <c r="G124" s="91"/>
    </row>
    <row r="125" spans="1:7" ht="18.75" customHeight="1">
      <c r="B125" s="167"/>
      <c r="C125" s="75"/>
      <c r="D125" s="89"/>
      <c r="E125" s="90"/>
      <c r="F125" s="90"/>
      <c r="G125" s="91"/>
    </row>
    <row r="126" spans="1:7" ht="18.75" customHeight="1">
      <c r="A126" s="3" t="s">
        <v>5</v>
      </c>
      <c r="B126" s="3" t="s">
        <v>124</v>
      </c>
    </row>
    <row r="127" spans="1:7" ht="22.5" customHeight="1">
      <c r="B127" s="75" t="s">
        <v>104</v>
      </c>
      <c r="C127" s="102" t="s">
        <v>74</v>
      </c>
      <c r="D127" s="103"/>
      <c r="E127" s="103"/>
      <c r="F127" s="103"/>
      <c r="G127" s="104"/>
    </row>
    <row r="128" spans="1:7" ht="45" customHeight="1">
      <c r="B128" s="38" t="s">
        <v>125</v>
      </c>
      <c r="C128" s="150" t="s">
        <v>126</v>
      </c>
      <c r="D128" s="151"/>
      <c r="E128" s="151"/>
      <c r="F128" s="151"/>
      <c r="G128" s="152"/>
    </row>
    <row r="129" spans="1:7" ht="45" customHeight="1">
      <c r="B129" s="38" t="s">
        <v>127</v>
      </c>
      <c r="C129" s="150" t="s">
        <v>128</v>
      </c>
      <c r="D129" s="151"/>
      <c r="E129" s="151"/>
      <c r="F129" s="151"/>
      <c r="G129" s="152"/>
    </row>
    <row r="130" spans="1:7" ht="45" customHeight="1">
      <c r="B130" s="38" t="s">
        <v>129</v>
      </c>
      <c r="C130" s="150" t="s">
        <v>130</v>
      </c>
      <c r="D130" s="151"/>
      <c r="E130" s="151"/>
      <c r="F130" s="151"/>
      <c r="G130" s="152"/>
    </row>
    <row r="131" spans="1:7" ht="45" customHeight="1">
      <c r="B131" s="38" t="s">
        <v>131</v>
      </c>
      <c r="C131" s="150" t="s">
        <v>132</v>
      </c>
      <c r="D131" s="151"/>
      <c r="E131" s="151"/>
      <c r="F131" s="151"/>
      <c r="G131" s="152"/>
    </row>
    <row r="132" spans="1:7" ht="45" customHeight="1">
      <c r="B132" s="38" t="s">
        <v>133</v>
      </c>
      <c r="C132" s="150" t="s">
        <v>134</v>
      </c>
      <c r="D132" s="151"/>
      <c r="E132" s="151"/>
      <c r="F132" s="151"/>
      <c r="G132" s="152"/>
    </row>
    <row r="133" spans="1:7" ht="45" customHeight="1">
      <c r="B133" s="38" t="s">
        <v>135</v>
      </c>
      <c r="C133" s="150" t="s">
        <v>136</v>
      </c>
      <c r="D133" s="151"/>
      <c r="E133" s="151"/>
      <c r="F133" s="151"/>
      <c r="G133" s="152"/>
    </row>
    <row r="134" spans="1:7" ht="45" customHeight="1">
      <c r="B134" s="38" t="s">
        <v>137</v>
      </c>
      <c r="C134" s="150" t="s">
        <v>138</v>
      </c>
      <c r="D134" s="151"/>
      <c r="E134" s="151"/>
      <c r="F134" s="151"/>
      <c r="G134" s="152"/>
    </row>
    <row r="135" spans="1:7" ht="45" customHeight="1">
      <c r="B135" s="38" t="s">
        <v>139</v>
      </c>
      <c r="C135" s="150" t="s">
        <v>140</v>
      </c>
      <c r="D135" s="151"/>
      <c r="E135" s="151"/>
      <c r="F135" s="151"/>
      <c r="G135" s="152"/>
    </row>
    <row r="136" spans="1:7" ht="45" customHeight="1">
      <c r="B136" s="38" t="s">
        <v>141</v>
      </c>
      <c r="C136" s="153"/>
      <c r="D136" s="154"/>
      <c r="E136" s="154"/>
      <c r="F136" s="154"/>
      <c r="G136" s="155"/>
    </row>
    <row r="137" spans="1:7" ht="7.5" customHeight="1"/>
    <row r="138" spans="1:7" ht="18.75" customHeight="1">
      <c r="A138" s="3" t="s">
        <v>8</v>
      </c>
      <c r="B138" s="3" t="s">
        <v>142</v>
      </c>
      <c r="E138" s="220" t="s">
        <v>143</v>
      </c>
      <c r="F138" s="221"/>
      <c r="G138" s="222"/>
    </row>
    <row r="139" spans="1:7" ht="7.5" customHeight="1"/>
    <row r="140" spans="1:7" ht="18.75" customHeight="1">
      <c r="A140" s="3" t="s">
        <v>11</v>
      </c>
      <c r="B140" s="3" t="s">
        <v>144</v>
      </c>
    </row>
    <row r="141" spans="1:7" ht="18.75" customHeight="1">
      <c r="B141" s="156" t="s">
        <v>145</v>
      </c>
      <c r="C141" s="157"/>
      <c r="D141" s="157"/>
      <c r="E141" s="157"/>
      <c r="F141" s="157"/>
      <c r="G141" s="158"/>
    </row>
    <row r="142" spans="1:7" ht="18.75" customHeight="1">
      <c r="B142" s="159"/>
      <c r="C142" s="160"/>
      <c r="D142" s="160"/>
      <c r="E142" s="160"/>
      <c r="F142" s="160"/>
      <c r="G142" s="161"/>
    </row>
    <row r="143" spans="1:7" ht="18.75" customHeight="1">
      <c r="B143" s="159"/>
      <c r="C143" s="160"/>
      <c r="D143" s="160"/>
      <c r="E143" s="160"/>
      <c r="F143" s="160"/>
      <c r="G143" s="161"/>
    </row>
    <row r="144" spans="1:7" ht="18.75" customHeight="1">
      <c r="B144" s="162"/>
      <c r="C144" s="163"/>
      <c r="D144" s="163"/>
      <c r="E144" s="163"/>
      <c r="F144" s="163"/>
      <c r="G144" s="164"/>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8"/>
  <sheetViews>
    <sheetView showZeros="0" topLeftCell="A13" zoomScale="85" zoomScaleNormal="85" workbookViewId="0">
      <selection activeCell="G34" sqref="G34"/>
    </sheetView>
  </sheetViews>
  <sheetFormatPr defaultColWidth="11.375" defaultRowHeight="18.75" customHeight="1"/>
  <cols>
    <col min="1" max="1" width="2.625" style="39" customWidth="1"/>
    <col min="2" max="2" width="54.125" style="4" customWidth="1"/>
    <col min="3" max="3" width="1.125" style="4" customWidth="1"/>
    <col min="4" max="4" width="22.5" style="4" customWidth="1"/>
    <col min="5" max="5" width="6.125" style="4" customWidth="1"/>
    <col min="6" max="6" width="11.375" style="4"/>
    <col min="7" max="7" width="55.5" style="4" customWidth="1"/>
    <col min="8" max="16384" width="11.375" style="4"/>
  </cols>
  <sheetData>
    <row r="1" spans="1:7" ht="18.75" customHeight="1">
      <c r="E1" s="79" t="s">
        <v>146</v>
      </c>
    </row>
    <row r="2" spans="1:7" ht="18.75" customHeight="1">
      <c r="B2" s="79" t="s">
        <v>147</v>
      </c>
      <c r="C2" s="79" t="s">
        <v>148</v>
      </c>
      <c r="D2" s="116" t="s">
        <v>149</v>
      </c>
      <c r="E2" s="116"/>
    </row>
    <row r="3" spans="1:7" ht="7.5" customHeight="1">
      <c r="B3" s="79"/>
      <c r="C3" s="79"/>
      <c r="D3" s="74"/>
      <c r="E3" s="74"/>
    </row>
    <row r="4" spans="1:7" ht="18.75" customHeight="1">
      <c r="B4" s="110" t="s">
        <v>150</v>
      </c>
      <c r="C4" s="110"/>
      <c r="D4" s="110"/>
      <c r="E4" s="110"/>
    </row>
    <row r="5" spans="1:7" ht="7.5" customHeight="1">
      <c r="B5" s="74"/>
      <c r="C5" s="74"/>
      <c r="D5" s="74"/>
      <c r="E5" s="74"/>
    </row>
    <row r="6" spans="1:7" ht="18.75" customHeight="1">
      <c r="A6" s="4" t="s">
        <v>2</v>
      </c>
      <c r="B6" s="4" t="s">
        <v>151</v>
      </c>
      <c r="C6" s="74"/>
      <c r="D6" s="74"/>
      <c r="E6" s="74"/>
    </row>
    <row r="7" spans="1:7" ht="18.75" customHeight="1">
      <c r="A7" s="4"/>
      <c r="B7" s="94" t="s">
        <v>152</v>
      </c>
      <c r="C7" s="95"/>
      <c r="D7" s="95"/>
      <c r="E7" s="115"/>
    </row>
    <row r="8" spans="1:7" ht="7.5" customHeight="1">
      <c r="B8" s="74"/>
      <c r="C8" s="74"/>
      <c r="D8" s="74"/>
      <c r="E8" s="74"/>
    </row>
    <row r="9" spans="1:7" ht="18.75" customHeight="1">
      <c r="A9" s="4" t="s">
        <v>5</v>
      </c>
      <c r="B9" s="4" t="s">
        <v>153</v>
      </c>
    </row>
    <row r="10" spans="1:7" ht="18.75" customHeight="1">
      <c r="A10" s="31"/>
      <c r="B10" s="156" t="s">
        <v>154</v>
      </c>
      <c r="C10" s="157"/>
      <c r="D10" s="157"/>
      <c r="E10" s="158"/>
    </row>
    <row r="11" spans="1:7" ht="18.75" customHeight="1">
      <c r="A11" s="31"/>
      <c r="B11" s="159"/>
      <c r="C11" s="200"/>
      <c r="D11" s="200"/>
      <c r="E11" s="161"/>
      <c r="G11" s="80"/>
    </row>
    <row r="12" spans="1:7" ht="18.75" customHeight="1">
      <c r="A12" s="31"/>
      <c r="B12" s="159"/>
      <c r="C12" s="200"/>
      <c r="D12" s="200"/>
      <c r="E12" s="161"/>
    </row>
    <row r="13" spans="1:7" ht="18.75" customHeight="1">
      <c r="A13" s="31"/>
      <c r="B13" s="159"/>
      <c r="C13" s="200"/>
      <c r="D13" s="200"/>
      <c r="E13" s="161"/>
    </row>
    <row r="14" spans="1:7" ht="98.25" customHeight="1">
      <c r="A14" s="31"/>
      <c r="B14" s="162"/>
      <c r="C14" s="163"/>
      <c r="D14" s="163"/>
      <c r="E14" s="164"/>
    </row>
    <row r="15" spans="1:7" ht="7.5" customHeight="1">
      <c r="A15" s="31"/>
      <c r="B15" s="31"/>
      <c r="C15" s="31"/>
      <c r="D15" s="31"/>
      <c r="E15" s="31"/>
    </row>
    <row r="16" spans="1:7" ht="18.75" customHeight="1">
      <c r="A16" s="30" t="s">
        <v>8</v>
      </c>
      <c r="B16" s="30" t="s">
        <v>155</v>
      </c>
      <c r="C16" s="30"/>
      <c r="D16" s="30"/>
      <c r="E16" s="30"/>
    </row>
    <row r="17" spans="1:7" ht="18.75" customHeight="1">
      <c r="A17" s="31"/>
      <c r="B17" s="156" t="s">
        <v>156</v>
      </c>
      <c r="C17" s="157"/>
      <c r="D17" s="157"/>
      <c r="E17" s="158"/>
    </row>
    <row r="18" spans="1:7" ht="9.75" customHeight="1">
      <c r="A18" s="31"/>
      <c r="B18" s="159"/>
      <c r="C18" s="200"/>
      <c r="D18" s="200"/>
      <c r="E18" s="161"/>
    </row>
    <row r="19" spans="1:7" ht="9.75" customHeight="1">
      <c r="A19" s="31"/>
      <c r="B19" s="159"/>
      <c r="C19" s="200"/>
      <c r="D19" s="200"/>
      <c r="E19" s="161"/>
    </row>
    <row r="20" spans="1:7" ht="9.75" customHeight="1">
      <c r="A20" s="31"/>
      <c r="B20" s="159"/>
      <c r="C20" s="200"/>
      <c r="D20" s="200"/>
      <c r="E20" s="161"/>
    </row>
    <row r="21" spans="1:7" ht="9.75" customHeight="1">
      <c r="A21" s="31"/>
      <c r="B21" s="159"/>
      <c r="C21" s="200"/>
      <c r="D21" s="200"/>
      <c r="E21" s="161"/>
    </row>
    <row r="22" spans="1:7" ht="9.75" customHeight="1">
      <c r="A22" s="31"/>
      <c r="B22" s="159"/>
      <c r="C22" s="200"/>
      <c r="D22" s="200"/>
      <c r="E22" s="161"/>
    </row>
    <row r="23" spans="1:7" ht="9.75" customHeight="1">
      <c r="A23" s="31"/>
      <c r="B23" s="159"/>
      <c r="C23" s="200"/>
      <c r="D23" s="200"/>
      <c r="E23" s="161"/>
    </row>
    <row r="24" spans="1:7" ht="9.75" customHeight="1">
      <c r="A24" s="31"/>
      <c r="B24" s="159"/>
      <c r="C24" s="200"/>
      <c r="D24" s="200"/>
      <c r="E24" s="161"/>
    </row>
    <row r="25" spans="1:7" ht="9.75" customHeight="1">
      <c r="A25" s="31"/>
      <c r="B25" s="159"/>
      <c r="C25" s="200"/>
      <c r="D25" s="200"/>
      <c r="E25" s="161"/>
    </row>
    <row r="26" spans="1:7" ht="9.75" customHeight="1">
      <c r="A26" s="31"/>
      <c r="B26" s="159"/>
      <c r="C26" s="200"/>
      <c r="D26" s="200"/>
      <c r="E26" s="161"/>
    </row>
    <row r="27" spans="1:7" ht="9.75" customHeight="1">
      <c r="A27" s="31"/>
      <c r="B27" s="159"/>
      <c r="C27" s="200"/>
      <c r="D27" s="200"/>
      <c r="E27" s="161"/>
    </row>
    <row r="28" spans="1:7" ht="18.75" customHeight="1">
      <c r="A28" s="31"/>
      <c r="B28" s="162"/>
      <c r="C28" s="163"/>
      <c r="D28" s="163"/>
      <c r="E28" s="164"/>
    </row>
    <row r="29" spans="1:7" ht="7.5" customHeight="1">
      <c r="A29" s="81"/>
      <c r="B29" s="81"/>
      <c r="C29" s="81"/>
      <c r="D29" s="81"/>
      <c r="E29" s="81"/>
    </row>
    <row r="30" spans="1:7" ht="18.75" customHeight="1">
      <c r="A30" s="4" t="s">
        <v>11</v>
      </c>
      <c r="B30" s="4" t="s">
        <v>157</v>
      </c>
    </row>
    <row r="31" spans="1:7" ht="18.75" customHeight="1">
      <c r="A31" s="4"/>
      <c r="B31" s="156" t="s">
        <v>158</v>
      </c>
      <c r="C31" s="157"/>
      <c r="D31" s="157"/>
      <c r="E31" s="158"/>
      <c r="G31" s="68"/>
    </row>
    <row r="32" spans="1:7" ht="18.75" customHeight="1">
      <c r="A32" s="4"/>
      <c r="B32" s="159"/>
      <c r="C32" s="200"/>
      <c r="D32" s="200"/>
      <c r="E32" s="161"/>
    </row>
    <row r="33" spans="1:7" ht="18.75" customHeight="1">
      <c r="A33" s="4"/>
      <c r="B33" s="159"/>
      <c r="C33" s="200"/>
      <c r="D33" s="200"/>
      <c r="E33" s="161"/>
    </row>
    <row r="34" spans="1:7" ht="18.75" customHeight="1">
      <c r="A34" s="4"/>
      <c r="B34" s="159"/>
      <c r="C34" s="200"/>
      <c r="D34" s="200"/>
      <c r="E34" s="161"/>
    </row>
    <row r="35" spans="1:7" ht="18.75" customHeight="1">
      <c r="A35" s="4"/>
      <c r="B35" s="159"/>
      <c r="C35" s="200"/>
      <c r="D35" s="200"/>
      <c r="E35" s="161"/>
    </row>
    <row r="36" spans="1:7" ht="18.75" customHeight="1">
      <c r="A36" s="4"/>
      <c r="B36" s="159"/>
      <c r="C36" s="200"/>
      <c r="D36" s="200"/>
      <c r="E36" s="161"/>
    </row>
    <row r="37" spans="1:7" ht="18.75" customHeight="1">
      <c r="A37" s="4"/>
      <c r="B37" s="159"/>
      <c r="C37" s="200"/>
      <c r="D37" s="200"/>
      <c r="E37" s="161"/>
      <c r="G37" s="68"/>
    </row>
    <row r="38" spans="1:7" ht="18.75" customHeight="1">
      <c r="A38" s="4"/>
      <c r="B38" s="159"/>
      <c r="C38" s="200"/>
      <c r="D38" s="200"/>
      <c r="E38" s="161"/>
    </row>
    <row r="39" spans="1:7" ht="18.75" customHeight="1">
      <c r="A39" s="4"/>
      <c r="B39" s="159"/>
      <c r="C39" s="200"/>
      <c r="D39" s="200"/>
      <c r="E39" s="161"/>
    </row>
    <row r="40" spans="1:7" ht="18.75" customHeight="1">
      <c r="A40" s="4"/>
      <c r="B40" s="159"/>
      <c r="C40" s="200"/>
      <c r="D40" s="200"/>
      <c r="E40" s="161"/>
    </row>
    <row r="41" spans="1:7" ht="18.75" customHeight="1">
      <c r="A41" s="4"/>
      <c r="B41" s="159"/>
      <c r="C41" s="200"/>
      <c r="D41" s="200"/>
      <c r="E41" s="161"/>
    </row>
    <row r="42" spans="1:7" ht="18.75" customHeight="1">
      <c r="A42" s="4"/>
      <c r="B42" s="159"/>
      <c r="C42" s="200"/>
      <c r="D42" s="200"/>
      <c r="E42" s="161"/>
    </row>
    <row r="43" spans="1:7" ht="18.75" customHeight="1">
      <c r="A43" s="4"/>
      <c r="B43" s="159"/>
      <c r="C43" s="200"/>
      <c r="D43" s="200"/>
      <c r="E43" s="161"/>
    </row>
    <row r="44" spans="1:7" ht="18.75" customHeight="1">
      <c r="A44" s="4"/>
      <c r="B44" s="159"/>
      <c r="C44" s="200"/>
      <c r="D44" s="200"/>
      <c r="E44" s="161"/>
    </row>
    <row r="45" spans="1:7" ht="18.75" customHeight="1">
      <c r="A45" s="81"/>
      <c r="B45" s="159"/>
      <c r="C45" s="200"/>
      <c r="D45" s="200"/>
      <c r="E45" s="161"/>
    </row>
    <row r="46" spans="1:7" ht="18.75" customHeight="1">
      <c r="A46" s="81"/>
      <c r="B46" s="162"/>
      <c r="C46" s="163"/>
      <c r="D46" s="163"/>
      <c r="E46" s="164"/>
    </row>
    <row r="47" spans="1:7" ht="18.75" customHeight="1">
      <c r="A47" s="30" t="s">
        <v>14</v>
      </c>
      <c r="B47" s="4" t="s">
        <v>159</v>
      </c>
      <c r="C47" s="30"/>
      <c r="D47" s="30"/>
      <c r="E47" s="30"/>
    </row>
    <row r="48" spans="1:7" ht="18.75" customHeight="1">
      <c r="A48" s="81"/>
      <c r="B48" s="156" t="s">
        <v>160</v>
      </c>
      <c r="C48" s="192"/>
      <c r="D48" s="192"/>
      <c r="E48" s="193"/>
    </row>
    <row r="49" spans="1:7" ht="18.75" customHeight="1">
      <c r="A49" s="81"/>
      <c r="B49" s="194"/>
      <c r="C49" s="195"/>
      <c r="D49" s="195"/>
      <c r="E49" s="196"/>
    </row>
    <row r="50" spans="1:7" ht="18.75" customHeight="1">
      <c r="A50" s="81"/>
      <c r="B50" s="194"/>
      <c r="C50" s="195"/>
      <c r="D50" s="195"/>
      <c r="E50" s="196"/>
    </row>
    <row r="51" spans="1:7" ht="18.75" customHeight="1">
      <c r="A51" s="81"/>
      <c r="B51" s="194"/>
      <c r="C51" s="195"/>
      <c r="D51" s="195"/>
      <c r="E51" s="196"/>
      <c r="G51" s="30"/>
    </row>
    <row r="52" spans="1:7" ht="18.75" customHeight="1">
      <c r="A52" s="81"/>
      <c r="B52" s="194"/>
      <c r="C52" s="195"/>
      <c r="D52" s="195"/>
      <c r="E52" s="196"/>
    </row>
    <row r="53" spans="1:7" ht="18.75" customHeight="1">
      <c r="A53" s="81"/>
      <c r="B53" s="194"/>
      <c r="C53" s="195"/>
      <c r="D53" s="195"/>
      <c r="E53" s="196"/>
    </row>
    <row r="54" spans="1:7" ht="18.75" customHeight="1">
      <c r="A54" s="81"/>
      <c r="B54" s="194"/>
      <c r="C54" s="195"/>
      <c r="D54" s="195"/>
      <c r="E54" s="196"/>
    </row>
    <row r="55" spans="1:7" ht="18.75" customHeight="1">
      <c r="A55" s="81"/>
      <c r="B55" s="194"/>
      <c r="C55" s="195"/>
      <c r="D55" s="195"/>
      <c r="E55" s="196"/>
    </row>
    <row r="56" spans="1:7" ht="18.75" customHeight="1">
      <c r="A56" s="81"/>
      <c r="B56" s="194"/>
      <c r="C56" s="195"/>
      <c r="D56" s="195"/>
      <c r="E56" s="196"/>
    </row>
    <row r="57" spans="1:7" ht="18.75" customHeight="1">
      <c r="A57" s="81"/>
      <c r="B57" s="194"/>
      <c r="C57" s="195"/>
      <c r="D57" s="195"/>
      <c r="E57" s="196"/>
    </row>
    <row r="58" spans="1:7" ht="18.75" customHeight="1">
      <c r="A58" s="81"/>
      <c r="B58" s="194"/>
      <c r="C58" s="195"/>
      <c r="D58" s="195"/>
      <c r="E58" s="196"/>
    </row>
    <row r="59" spans="1:7" ht="18.75" customHeight="1">
      <c r="A59" s="81"/>
      <c r="B59" s="194"/>
      <c r="C59" s="195"/>
      <c r="D59" s="195"/>
      <c r="E59" s="196"/>
    </row>
    <row r="60" spans="1:7" ht="18.75" customHeight="1">
      <c r="A60" s="81"/>
      <c r="B60" s="194"/>
      <c r="C60" s="195"/>
      <c r="D60" s="195"/>
      <c r="E60" s="196"/>
    </row>
    <row r="61" spans="1:7" ht="18.75" customHeight="1">
      <c r="A61" s="81"/>
      <c r="B61" s="194"/>
      <c r="C61" s="195"/>
      <c r="D61" s="195"/>
      <c r="E61" s="196"/>
    </row>
    <row r="62" spans="1:7" ht="18.75" customHeight="1">
      <c r="A62" s="81"/>
      <c r="B62" s="194"/>
      <c r="C62" s="195"/>
      <c r="D62" s="195"/>
      <c r="E62" s="196"/>
    </row>
    <row r="63" spans="1:7" ht="18.75" customHeight="1">
      <c r="A63" s="81"/>
      <c r="B63" s="194"/>
      <c r="C63" s="195"/>
      <c r="D63" s="195"/>
      <c r="E63" s="196"/>
    </row>
    <row r="64" spans="1:7" ht="18.75" customHeight="1">
      <c r="A64" s="81"/>
      <c r="B64" s="194"/>
      <c r="C64" s="195"/>
      <c r="D64" s="195"/>
      <c r="E64" s="196"/>
    </row>
    <row r="65" spans="1:16" ht="18.75" customHeight="1">
      <c r="A65" s="81"/>
      <c r="B65" s="194"/>
      <c r="C65" s="195"/>
      <c r="D65" s="195"/>
      <c r="E65" s="196"/>
    </row>
    <row r="66" spans="1:16" ht="18.75" customHeight="1">
      <c r="A66" s="81"/>
      <c r="B66" s="194"/>
      <c r="C66" s="195"/>
      <c r="D66" s="195"/>
      <c r="E66" s="196"/>
    </row>
    <row r="67" spans="1:16" ht="18.75" customHeight="1">
      <c r="A67" s="81"/>
      <c r="B67" s="194"/>
      <c r="C67" s="195"/>
      <c r="D67" s="195"/>
      <c r="E67" s="196"/>
    </row>
    <row r="68" spans="1:16" ht="18.75" customHeight="1">
      <c r="A68" s="81"/>
      <c r="B68" s="197"/>
      <c r="C68" s="198"/>
      <c r="D68" s="198"/>
      <c r="E68" s="199"/>
      <c r="P68" s="3"/>
    </row>
    <row r="69" spans="1:16" ht="7.5" customHeight="1">
      <c r="A69" s="81"/>
      <c r="B69" s="81"/>
      <c r="C69" s="81"/>
      <c r="D69" s="81"/>
      <c r="E69" s="81"/>
    </row>
    <row r="70" spans="1:16" ht="18.75" customHeight="1">
      <c r="A70" s="4" t="s">
        <v>17</v>
      </c>
      <c r="B70" s="4" t="s">
        <v>161</v>
      </c>
    </row>
    <row r="71" spans="1:16" ht="18.75" customHeight="1">
      <c r="A71" s="4"/>
      <c r="B71" s="156" t="s">
        <v>162</v>
      </c>
      <c r="C71" s="157"/>
      <c r="D71" s="157"/>
      <c r="E71" s="158"/>
    </row>
    <row r="72" spans="1:16" ht="18.75" customHeight="1">
      <c r="A72" s="4"/>
      <c r="B72" s="159"/>
      <c r="C72" s="200"/>
      <c r="D72" s="200"/>
      <c r="E72" s="161"/>
    </row>
    <row r="73" spans="1:16" ht="18.75" customHeight="1">
      <c r="A73" s="4"/>
      <c r="B73" s="159"/>
      <c r="C73" s="200"/>
      <c r="D73" s="200"/>
      <c r="E73" s="161"/>
    </row>
    <row r="74" spans="1:16" ht="18.75" customHeight="1">
      <c r="A74" s="4"/>
      <c r="B74" s="159"/>
      <c r="C74" s="200"/>
      <c r="D74" s="200"/>
      <c r="E74" s="161"/>
    </row>
    <row r="75" spans="1:16" ht="18.75" customHeight="1">
      <c r="A75" s="4"/>
      <c r="B75" s="159"/>
      <c r="C75" s="200"/>
      <c r="D75" s="200"/>
      <c r="E75" s="161"/>
    </row>
    <row r="76" spans="1:16" ht="18.75" customHeight="1">
      <c r="A76" s="4"/>
      <c r="B76" s="159"/>
      <c r="C76" s="200"/>
      <c r="D76" s="200"/>
      <c r="E76" s="161"/>
    </row>
    <row r="77" spans="1:16" ht="18.75" customHeight="1">
      <c r="A77" s="4"/>
      <c r="B77" s="159"/>
      <c r="C77" s="200"/>
      <c r="D77" s="200"/>
      <c r="E77" s="161"/>
    </row>
    <row r="78" spans="1:16" ht="18.75" customHeight="1">
      <c r="A78" s="4"/>
      <c r="B78" s="159"/>
      <c r="C78" s="200"/>
      <c r="D78" s="200"/>
      <c r="E78" s="161"/>
    </row>
    <row r="79" spans="1:16" ht="18.75" customHeight="1">
      <c r="A79" s="4"/>
      <c r="B79" s="159"/>
      <c r="C79" s="200"/>
      <c r="D79" s="200"/>
      <c r="E79" s="161"/>
    </row>
    <row r="80" spans="1:16" ht="18.75" customHeight="1">
      <c r="A80" s="4"/>
      <c r="B80" s="159"/>
      <c r="C80" s="200"/>
      <c r="D80" s="200"/>
      <c r="E80" s="161"/>
    </row>
    <row r="81" spans="1:5" ht="18.75" customHeight="1">
      <c r="A81" s="4"/>
      <c r="B81" s="159"/>
      <c r="C81" s="200"/>
      <c r="D81" s="200"/>
      <c r="E81" s="161"/>
    </row>
    <row r="82" spans="1:5" ht="18.75" customHeight="1">
      <c r="A82" s="4"/>
      <c r="B82" s="159"/>
      <c r="C82" s="200"/>
      <c r="D82" s="200"/>
      <c r="E82" s="161"/>
    </row>
    <row r="83" spans="1:5" ht="18.75" customHeight="1">
      <c r="A83" s="4"/>
      <c r="B83" s="159"/>
      <c r="C83" s="200"/>
      <c r="D83" s="200"/>
      <c r="E83" s="161"/>
    </row>
    <row r="84" spans="1:5" ht="18.75" customHeight="1">
      <c r="A84" s="4"/>
      <c r="B84" s="159"/>
      <c r="C84" s="200"/>
      <c r="D84" s="200"/>
      <c r="E84" s="161"/>
    </row>
    <row r="85" spans="1:5" ht="18.75" customHeight="1">
      <c r="A85" s="4"/>
      <c r="B85" s="159"/>
      <c r="C85" s="200"/>
      <c r="D85" s="200"/>
      <c r="E85" s="161"/>
    </row>
    <row r="86" spans="1:5" ht="18.75" customHeight="1">
      <c r="A86" s="4"/>
      <c r="B86" s="159"/>
      <c r="C86" s="200"/>
      <c r="D86" s="200"/>
      <c r="E86" s="161"/>
    </row>
    <row r="87" spans="1:5" ht="18.75" customHeight="1">
      <c r="A87" s="4"/>
      <c r="B87" s="159"/>
      <c r="C87" s="200"/>
      <c r="D87" s="200"/>
      <c r="E87" s="161"/>
    </row>
    <row r="88" spans="1:5" ht="18.75" customHeight="1">
      <c r="A88" s="81"/>
      <c r="B88" s="159"/>
      <c r="C88" s="200"/>
      <c r="D88" s="200"/>
      <c r="E88" s="161"/>
    </row>
    <row r="89" spans="1:5" ht="18.75" customHeight="1">
      <c r="A89" s="81"/>
      <c r="B89" s="162"/>
      <c r="C89" s="163"/>
      <c r="D89" s="163"/>
      <c r="E89" s="164"/>
    </row>
    <row r="90" spans="1:5" ht="7.5" customHeight="1">
      <c r="A90" s="81"/>
      <c r="B90" s="81" t="s">
        <v>163</v>
      </c>
      <c r="C90" s="81"/>
      <c r="D90" s="81"/>
      <c r="E90" s="81"/>
    </row>
    <row r="91" spans="1:5" ht="18.75" customHeight="1">
      <c r="A91" s="4" t="s">
        <v>20</v>
      </c>
      <c r="B91" s="4" t="s">
        <v>164</v>
      </c>
    </row>
    <row r="92" spans="1:5" ht="18.75" customHeight="1">
      <c r="A92" s="4"/>
      <c r="B92" s="156" t="s">
        <v>165</v>
      </c>
      <c r="C92" s="157"/>
      <c r="D92" s="157"/>
      <c r="E92" s="158"/>
    </row>
    <row r="93" spans="1:5" ht="18.75" customHeight="1">
      <c r="A93" s="4"/>
      <c r="B93" s="159"/>
      <c r="C93" s="200"/>
      <c r="D93" s="200"/>
      <c r="E93" s="161"/>
    </row>
    <row r="94" spans="1:5" ht="18.75" customHeight="1">
      <c r="A94" s="4"/>
      <c r="B94" s="159"/>
      <c r="C94" s="200"/>
      <c r="D94" s="200"/>
      <c r="E94" s="161"/>
    </row>
    <row r="95" spans="1:5" ht="18.75" customHeight="1">
      <c r="A95" s="4"/>
      <c r="B95" s="159"/>
      <c r="C95" s="200"/>
      <c r="D95" s="200"/>
      <c r="E95" s="161"/>
    </row>
    <row r="96" spans="1:5" ht="18.75" customHeight="1">
      <c r="A96" s="4"/>
      <c r="B96" s="159"/>
      <c r="C96" s="200"/>
      <c r="D96" s="200"/>
      <c r="E96" s="161"/>
    </row>
    <row r="97" spans="1:5" ht="18.75" customHeight="1">
      <c r="A97" s="4"/>
      <c r="B97" s="159"/>
      <c r="C97" s="200"/>
      <c r="D97" s="200"/>
      <c r="E97" s="161"/>
    </row>
    <row r="98" spans="1:5" ht="18.75" customHeight="1">
      <c r="A98" s="4"/>
      <c r="B98" s="159"/>
      <c r="C98" s="200"/>
      <c r="D98" s="200"/>
      <c r="E98" s="161"/>
    </row>
    <row r="99" spans="1:5" ht="18.75" customHeight="1">
      <c r="A99" s="4"/>
      <c r="B99" s="159"/>
      <c r="C99" s="200"/>
      <c r="D99" s="200"/>
      <c r="E99" s="161"/>
    </row>
    <row r="100" spans="1:5" ht="18.75" customHeight="1">
      <c r="A100" s="4"/>
      <c r="B100" s="159"/>
      <c r="C100" s="200"/>
      <c r="D100" s="200"/>
      <c r="E100" s="161"/>
    </row>
    <row r="101" spans="1:5" ht="18.75" customHeight="1">
      <c r="A101" s="4"/>
      <c r="B101" s="159"/>
      <c r="C101" s="200"/>
      <c r="D101" s="200"/>
      <c r="E101" s="161"/>
    </row>
    <row r="102" spans="1:5" ht="18.75" customHeight="1">
      <c r="A102" s="4"/>
      <c r="B102" s="159"/>
      <c r="C102" s="200"/>
      <c r="D102" s="200"/>
      <c r="E102" s="161"/>
    </row>
    <row r="103" spans="1:5" ht="18.75" customHeight="1">
      <c r="A103" s="4"/>
      <c r="B103" s="159"/>
      <c r="C103" s="200"/>
      <c r="D103" s="200"/>
      <c r="E103" s="161"/>
    </row>
    <row r="104" spans="1:5" ht="18.75" customHeight="1">
      <c r="A104" s="4"/>
      <c r="B104" s="159"/>
      <c r="C104" s="200"/>
      <c r="D104" s="200"/>
      <c r="E104" s="161"/>
    </row>
    <row r="105" spans="1:5" ht="18.75" customHeight="1">
      <c r="A105" s="4"/>
      <c r="B105" s="159"/>
      <c r="C105" s="200"/>
      <c r="D105" s="200"/>
      <c r="E105" s="161"/>
    </row>
    <row r="106" spans="1:5" ht="18.75" customHeight="1">
      <c r="A106" s="4"/>
      <c r="B106" s="159"/>
      <c r="C106" s="200"/>
      <c r="D106" s="200"/>
      <c r="E106" s="161"/>
    </row>
    <row r="107" spans="1:5" ht="18.75" customHeight="1">
      <c r="A107" s="4"/>
      <c r="B107" s="159"/>
      <c r="C107" s="200"/>
      <c r="D107" s="200"/>
      <c r="E107" s="161"/>
    </row>
    <row r="108" spans="1:5" ht="18.75" customHeight="1">
      <c r="A108" s="4"/>
      <c r="B108" s="159"/>
      <c r="C108" s="200"/>
      <c r="D108" s="200"/>
      <c r="E108" s="161"/>
    </row>
    <row r="109" spans="1:5" ht="18.75" customHeight="1">
      <c r="A109" s="4"/>
      <c r="B109" s="159"/>
      <c r="C109" s="200"/>
      <c r="D109" s="200"/>
      <c r="E109" s="161"/>
    </row>
    <row r="110" spans="1:5" ht="18.75" customHeight="1">
      <c r="A110" s="81"/>
      <c r="B110" s="159"/>
      <c r="C110" s="200"/>
      <c r="D110" s="200"/>
      <c r="E110" s="161"/>
    </row>
    <row r="111" spans="1:5" ht="18.75" customHeight="1">
      <c r="A111" s="81"/>
      <c r="B111" s="162"/>
      <c r="C111" s="163"/>
      <c r="D111" s="163"/>
      <c r="E111" s="164"/>
    </row>
    <row r="112" spans="1:5" ht="7.5" customHeight="1">
      <c r="A112" s="81"/>
      <c r="B112" s="81"/>
      <c r="C112" s="81"/>
      <c r="D112" s="81"/>
      <c r="E112" s="81"/>
    </row>
    <row r="113" spans="1:5" ht="18.75" customHeight="1">
      <c r="A113" s="4" t="s">
        <v>25</v>
      </c>
      <c r="B113" s="201" t="s">
        <v>166</v>
      </c>
      <c r="C113" s="201"/>
      <c r="D113" s="201"/>
      <c r="E113" s="201"/>
    </row>
    <row r="114" spans="1:5" ht="18.75" customHeight="1">
      <c r="A114" s="81"/>
      <c r="B114" s="156" t="s">
        <v>167</v>
      </c>
      <c r="C114" s="157"/>
      <c r="D114" s="157"/>
      <c r="E114" s="158"/>
    </row>
    <row r="115" spans="1:5" ht="18.75" customHeight="1">
      <c r="A115" s="81"/>
      <c r="B115" s="159"/>
      <c r="C115" s="200"/>
      <c r="D115" s="200"/>
      <c r="E115" s="161"/>
    </row>
    <row r="116" spans="1:5" ht="18.75" customHeight="1">
      <c r="A116" s="81"/>
      <c r="B116" s="159"/>
      <c r="C116" s="200"/>
      <c r="D116" s="200"/>
      <c r="E116" s="161"/>
    </row>
    <row r="117" spans="1:5" ht="18.75" customHeight="1">
      <c r="A117" s="81"/>
      <c r="B117" s="159"/>
      <c r="C117" s="200"/>
      <c r="D117" s="200"/>
      <c r="E117" s="161"/>
    </row>
    <row r="118" spans="1:5" ht="18.75" customHeight="1">
      <c r="A118" s="81"/>
      <c r="B118" s="159"/>
      <c r="C118" s="200"/>
      <c r="D118" s="200"/>
      <c r="E118" s="161"/>
    </row>
    <row r="119" spans="1:5" ht="18.75" customHeight="1">
      <c r="A119" s="81"/>
      <c r="B119" s="159"/>
      <c r="C119" s="200"/>
      <c r="D119" s="200"/>
      <c r="E119" s="161"/>
    </row>
    <row r="120" spans="1:5" ht="18.75" customHeight="1">
      <c r="A120" s="81"/>
      <c r="B120" s="159"/>
      <c r="C120" s="200"/>
      <c r="D120" s="200"/>
      <c r="E120" s="161"/>
    </row>
    <row r="121" spans="1:5" ht="18.75" customHeight="1">
      <c r="A121" s="81"/>
      <c r="B121" s="159"/>
      <c r="C121" s="200"/>
      <c r="D121" s="200"/>
      <c r="E121" s="161"/>
    </row>
    <row r="122" spans="1:5" ht="18.75" customHeight="1">
      <c r="A122" s="81"/>
      <c r="B122" s="159"/>
      <c r="C122" s="200"/>
      <c r="D122" s="200"/>
      <c r="E122" s="161"/>
    </row>
    <row r="123" spans="1:5" ht="18.75" customHeight="1">
      <c r="A123" s="81"/>
      <c r="B123" s="159"/>
      <c r="C123" s="200"/>
      <c r="D123" s="200"/>
      <c r="E123" s="161"/>
    </row>
    <row r="124" spans="1:5" ht="18.75" customHeight="1">
      <c r="A124" s="81"/>
      <c r="B124" s="159"/>
      <c r="C124" s="200"/>
      <c r="D124" s="200"/>
      <c r="E124" s="161"/>
    </row>
    <row r="125" spans="1:5" ht="18.75" customHeight="1">
      <c r="A125" s="81"/>
      <c r="B125" s="159"/>
      <c r="C125" s="200"/>
      <c r="D125" s="200"/>
      <c r="E125" s="161"/>
    </row>
    <row r="126" spans="1:5" ht="18.75" customHeight="1">
      <c r="A126" s="81"/>
      <c r="B126" s="159"/>
      <c r="C126" s="200"/>
      <c r="D126" s="200"/>
      <c r="E126" s="161"/>
    </row>
    <row r="127" spans="1:5" ht="18.75" customHeight="1">
      <c r="A127" s="81"/>
      <c r="B127" s="159"/>
      <c r="C127" s="200"/>
      <c r="D127" s="200"/>
      <c r="E127" s="161"/>
    </row>
    <row r="128" spans="1:5" ht="18.75" customHeight="1">
      <c r="A128" s="81"/>
      <c r="B128" s="159"/>
      <c r="C128" s="200"/>
      <c r="D128" s="200"/>
      <c r="E128" s="161"/>
    </row>
    <row r="129" spans="1:5" ht="18.75" customHeight="1">
      <c r="A129" s="81"/>
      <c r="B129" s="159"/>
      <c r="C129" s="200"/>
      <c r="D129" s="200"/>
      <c r="E129" s="161"/>
    </row>
    <row r="130" spans="1:5" ht="18.75" customHeight="1">
      <c r="A130" s="81"/>
      <c r="B130" s="159"/>
      <c r="C130" s="200"/>
      <c r="D130" s="200"/>
      <c r="E130" s="161"/>
    </row>
    <row r="131" spans="1:5" ht="18.75" customHeight="1">
      <c r="A131" s="81"/>
      <c r="B131" s="159"/>
      <c r="C131" s="200"/>
      <c r="D131" s="200"/>
      <c r="E131" s="161"/>
    </row>
    <row r="132" spans="1:5" ht="18.75" customHeight="1">
      <c r="A132" s="81"/>
      <c r="B132" s="159"/>
      <c r="C132" s="200"/>
      <c r="D132" s="200"/>
      <c r="E132" s="161"/>
    </row>
    <row r="133" spans="1:5" ht="18.75" customHeight="1">
      <c r="A133" s="81"/>
      <c r="B133" s="162"/>
      <c r="C133" s="163"/>
      <c r="D133" s="163"/>
      <c r="E133" s="164"/>
    </row>
    <row r="134" spans="1:5" ht="7.5" customHeight="1">
      <c r="A134" s="81"/>
      <c r="B134" s="40"/>
      <c r="C134" s="40"/>
      <c r="D134" s="40"/>
      <c r="E134" s="40"/>
    </row>
    <row r="135" spans="1:5" ht="18.75" customHeight="1">
      <c r="A135" s="81"/>
      <c r="B135" s="81"/>
      <c r="C135" s="81"/>
      <c r="D135" s="81"/>
      <c r="E135" s="81"/>
    </row>
    <row r="136" spans="1:5" ht="18.75" customHeight="1">
      <c r="A136" s="81"/>
      <c r="B136" s="81"/>
      <c r="C136" s="81"/>
      <c r="D136" s="81"/>
      <c r="E136" s="81"/>
    </row>
    <row r="137" spans="1:5" ht="18.75" customHeight="1">
      <c r="A137" s="81"/>
      <c r="B137" s="81"/>
      <c r="C137" s="81"/>
      <c r="D137" s="81"/>
      <c r="E137" s="81"/>
    </row>
    <row r="138" spans="1:5" ht="18.75" customHeight="1">
      <c r="A138" s="81"/>
      <c r="B138" s="81"/>
      <c r="C138" s="81"/>
      <c r="D138" s="81"/>
      <c r="E138" s="81"/>
    </row>
    <row r="139" spans="1:5" ht="18.75" customHeight="1">
      <c r="A139" s="81"/>
      <c r="B139" s="81"/>
      <c r="C139" s="81"/>
      <c r="D139" s="81"/>
      <c r="E139" s="81"/>
    </row>
    <row r="140" spans="1:5" ht="18.75" customHeight="1">
      <c r="A140" s="81"/>
      <c r="B140" s="81"/>
      <c r="C140" s="81"/>
      <c r="D140" s="81"/>
      <c r="E140" s="81"/>
    </row>
    <row r="141" spans="1:5" ht="18.75" customHeight="1">
      <c r="A141" s="81"/>
      <c r="B141" s="81"/>
      <c r="C141" s="81"/>
      <c r="D141" s="81"/>
      <c r="E141" s="81"/>
    </row>
    <row r="142" spans="1:5" ht="18.75" customHeight="1">
      <c r="A142" s="81"/>
      <c r="B142" s="81"/>
      <c r="C142" s="81"/>
      <c r="D142" s="81"/>
      <c r="E142" s="81"/>
    </row>
    <row r="143" spans="1:5" ht="18.75" customHeight="1">
      <c r="A143" s="81"/>
      <c r="B143" s="81"/>
      <c r="C143" s="81"/>
      <c r="D143" s="81"/>
      <c r="E143" s="81"/>
    </row>
    <row r="144" spans="1:5" ht="18.75" customHeight="1">
      <c r="A144" s="81"/>
      <c r="B144" s="81"/>
      <c r="C144" s="81"/>
      <c r="D144" s="81"/>
      <c r="E144" s="81"/>
    </row>
    <row r="145" spans="1:5" ht="18.75" customHeight="1">
      <c r="A145" s="81"/>
      <c r="B145" s="81"/>
      <c r="C145" s="81"/>
      <c r="D145" s="81"/>
      <c r="E145" s="81"/>
    </row>
    <row r="146" spans="1:5" ht="18.75" customHeight="1">
      <c r="A146" s="81"/>
      <c r="B146" s="81"/>
      <c r="C146" s="81"/>
      <c r="D146" s="81"/>
      <c r="E146" s="81"/>
    </row>
    <row r="147" spans="1:5" ht="14.25">
      <c r="A147" s="81"/>
      <c r="B147" s="81"/>
      <c r="C147" s="81"/>
      <c r="D147" s="81"/>
      <c r="E147" s="81"/>
    </row>
    <row r="148" spans="1:5" ht="7.5" customHeight="1">
      <c r="A148" s="41"/>
      <c r="B148" s="41"/>
      <c r="C148" s="41"/>
      <c r="D148" s="41"/>
      <c r="E148" s="41"/>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8"/>
  <sheetViews>
    <sheetView showZeros="0" topLeftCell="A12" zoomScale="85" zoomScaleNormal="85" workbookViewId="0">
      <selection activeCell="L14" sqref="L14"/>
    </sheetView>
  </sheetViews>
  <sheetFormatPr defaultColWidth="11.375" defaultRowHeight="22.5" customHeight="1"/>
  <cols>
    <col min="1" max="3" width="2.5" style="4" customWidth="1"/>
    <col min="4" max="4" width="22.5" style="4" customWidth="1"/>
    <col min="5" max="5" width="21.125" style="3" customWidth="1"/>
    <col min="6" max="7" width="7.5" style="4" customWidth="1"/>
    <col min="8" max="8" width="32.5" style="4" customWidth="1"/>
    <col min="9" max="9" width="24.875" style="4" customWidth="1"/>
    <col min="10" max="10" width="6.125" style="4" customWidth="1"/>
    <col min="11" max="11" width="4.125" style="4" customWidth="1"/>
    <col min="12" max="12" width="51.375" style="4" customWidth="1"/>
    <col min="13" max="16384" width="11.375" style="4"/>
  </cols>
  <sheetData>
    <row r="1" spans="1:12" ht="18.75" customHeight="1">
      <c r="J1" s="79" t="s">
        <v>168</v>
      </c>
    </row>
    <row r="2" spans="1:12" ht="18.75" customHeight="1">
      <c r="D2" s="79"/>
      <c r="H2" s="79" t="s">
        <v>169</v>
      </c>
      <c r="I2" s="218" t="s">
        <v>7</v>
      </c>
      <c r="J2" s="218"/>
    </row>
    <row r="3" spans="1:12" ht="18.75" customHeight="1">
      <c r="A3" s="110" t="s">
        <v>170</v>
      </c>
      <c r="B3" s="110"/>
      <c r="C3" s="110"/>
      <c r="D3" s="110"/>
      <c r="E3" s="110"/>
      <c r="F3" s="110"/>
      <c r="G3" s="110"/>
      <c r="H3" s="110"/>
      <c r="I3" s="110"/>
      <c r="J3" s="110"/>
    </row>
    <row r="4" spans="1:12" ht="7.5" customHeight="1">
      <c r="B4" s="81"/>
      <c r="C4" s="81"/>
      <c r="D4" s="219"/>
      <c r="E4" s="219"/>
      <c r="F4" s="219"/>
      <c r="G4" s="219"/>
      <c r="H4" s="219"/>
      <c r="I4" s="219"/>
      <c r="J4" s="219"/>
    </row>
    <row r="5" spans="1:12" ht="18.75" customHeight="1">
      <c r="A5" s="4" t="s">
        <v>2</v>
      </c>
      <c r="B5" s="4" t="s">
        <v>171</v>
      </c>
      <c r="C5" s="81"/>
      <c r="D5" s="81"/>
      <c r="E5" s="81"/>
      <c r="F5" s="81"/>
      <c r="G5" s="81"/>
      <c r="H5" s="81"/>
      <c r="I5" s="81"/>
      <c r="J5" s="81"/>
    </row>
    <row r="6" spans="1:12" ht="18.75" customHeight="1">
      <c r="B6" s="102" t="s">
        <v>172</v>
      </c>
      <c r="C6" s="103"/>
      <c r="D6" s="104"/>
      <c r="E6" s="103" t="s">
        <v>173</v>
      </c>
      <c r="F6" s="103"/>
      <c r="G6" s="103"/>
      <c r="H6" s="103"/>
      <c r="I6" s="103"/>
      <c r="J6" s="104"/>
    </row>
    <row r="7" spans="1:12" ht="18.75" customHeight="1">
      <c r="B7" s="8" t="s">
        <v>174</v>
      </c>
      <c r="C7" s="81"/>
      <c r="D7" s="28"/>
      <c r="I7" s="81"/>
      <c r="J7" s="28"/>
    </row>
    <row r="8" spans="1:12" ht="202.5" customHeight="1">
      <c r="B8" s="29"/>
      <c r="C8" s="210" t="s">
        <v>175</v>
      </c>
      <c r="D8" s="204"/>
      <c r="E8" s="211" t="s">
        <v>176</v>
      </c>
      <c r="F8" s="205"/>
      <c r="G8" s="205"/>
      <c r="H8" s="205"/>
      <c r="I8" s="205"/>
      <c r="J8" s="206"/>
      <c r="L8" s="30"/>
    </row>
    <row r="9" spans="1:12" ht="202.5" customHeight="1">
      <c r="B9" s="29"/>
      <c r="C9" s="216" t="s">
        <v>177</v>
      </c>
      <c r="D9" s="217"/>
      <c r="E9" s="211" t="s">
        <v>178</v>
      </c>
      <c r="F9" s="205"/>
      <c r="G9" s="205"/>
      <c r="H9" s="205"/>
      <c r="I9" s="205"/>
      <c r="J9" s="206"/>
      <c r="L9" s="30"/>
    </row>
    <row r="10" spans="1:12" ht="172.5" customHeight="1">
      <c r="B10" s="29"/>
      <c r="C10" s="210" t="s">
        <v>179</v>
      </c>
      <c r="D10" s="204"/>
      <c r="E10" s="211" t="s">
        <v>180</v>
      </c>
      <c r="F10" s="205"/>
      <c r="G10" s="205"/>
      <c r="H10" s="205"/>
      <c r="I10" s="205"/>
      <c r="J10" s="206"/>
      <c r="L10" s="30"/>
    </row>
    <row r="11" spans="1:12" ht="172.5" customHeight="1">
      <c r="B11" s="29"/>
      <c r="C11" s="210" t="s">
        <v>181</v>
      </c>
      <c r="D11" s="204"/>
      <c r="E11" s="211" t="s">
        <v>182</v>
      </c>
      <c r="F11" s="205"/>
      <c r="G11" s="205"/>
      <c r="H11" s="205"/>
      <c r="I11" s="205"/>
      <c r="J11" s="206"/>
      <c r="L11" s="30"/>
    </row>
    <row r="12" spans="1:12" ht="172.5" customHeight="1">
      <c r="B12" s="29"/>
      <c r="C12" s="210" t="s">
        <v>183</v>
      </c>
      <c r="D12" s="204"/>
      <c r="E12" s="211" t="s">
        <v>184</v>
      </c>
      <c r="F12" s="205"/>
      <c r="G12" s="205"/>
      <c r="H12" s="205"/>
      <c r="I12" s="205"/>
      <c r="J12" s="206"/>
      <c r="L12" s="31"/>
    </row>
    <row r="13" spans="1:12" ht="18.75" customHeight="1">
      <c r="B13" s="32" t="s">
        <v>185</v>
      </c>
      <c r="C13" s="33"/>
      <c r="D13" s="34"/>
      <c r="E13" s="23"/>
      <c r="F13" s="23"/>
      <c r="G13" s="23"/>
      <c r="H13" s="23"/>
      <c r="I13" s="23"/>
      <c r="J13" s="24"/>
    </row>
    <row r="14" spans="1:12" ht="255" customHeight="1">
      <c r="B14" s="29"/>
      <c r="C14" s="210" t="s">
        <v>186</v>
      </c>
      <c r="D14" s="204"/>
      <c r="E14" s="205" t="s">
        <v>187</v>
      </c>
      <c r="F14" s="205"/>
      <c r="G14" s="205"/>
      <c r="H14" s="205"/>
      <c r="I14" s="205"/>
      <c r="J14" s="206"/>
      <c r="L14" s="35"/>
    </row>
    <row r="15" spans="1:12" ht="255" customHeight="1">
      <c r="B15" s="29"/>
      <c r="C15" s="212" t="s">
        <v>188</v>
      </c>
      <c r="D15" s="213"/>
      <c r="E15" s="214" t="s">
        <v>189</v>
      </c>
      <c r="F15" s="214"/>
      <c r="G15" s="214"/>
      <c r="H15" s="214"/>
      <c r="I15" s="214"/>
      <c r="J15" s="215"/>
    </row>
    <row r="16" spans="1:12" ht="232.5" customHeight="1">
      <c r="B16" s="202" t="s">
        <v>190</v>
      </c>
      <c r="C16" s="203"/>
      <c r="D16" s="204"/>
      <c r="E16" s="205" t="s">
        <v>191</v>
      </c>
      <c r="F16" s="205"/>
      <c r="G16" s="205"/>
      <c r="H16" s="205"/>
      <c r="I16" s="205"/>
      <c r="J16" s="206"/>
      <c r="L16" s="30"/>
    </row>
    <row r="17" spans="1:12" ht="232.5" customHeight="1">
      <c r="B17" s="207" t="s">
        <v>192</v>
      </c>
      <c r="C17" s="208"/>
      <c r="D17" s="209"/>
      <c r="E17" s="198" t="s">
        <v>193</v>
      </c>
      <c r="F17" s="198"/>
      <c r="G17" s="198"/>
      <c r="H17" s="198"/>
      <c r="I17" s="198"/>
      <c r="J17" s="199"/>
      <c r="L17" s="30"/>
    </row>
    <row r="18" spans="1:12" ht="7.5" customHeight="1">
      <c r="B18" s="81"/>
      <c r="C18" s="81"/>
      <c r="D18" s="81"/>
      <c r="E18" s="81"/>
      <c r="F18" s="81"/>
      <c r="G18" s="81"/>
      <c r="H18" s="81"/>
      <c r="I18" s="81"/>
      <c r="J18" s="81"/>
    </row>
    <row r="19" spans="1:12" ht="18.75" customHeight="1">
      <c r="C19" s="81"/>
      <c r="D19" s="81"/>
      <c r="E19" s="81"/>
      <c r="F19" s="30"/>
      <c r="G19" s="30"/>
      <c r="H19" s="36" t="s">
        <v>194</v>
      </c>
      <c r="I19" s="37"/>
      <c r="J19" s="69"/>
    </row>
    <row r="20" spans="1:12" ht="18.75" customHeight="1">
      <c r="A20" s="4" t="s">
        <v>5</v>
      </c>
      <c r="B20" s="4" t="s">
        <v>195</v>
      </c>
      <c r="C20" s="81"/>
      <c r="D20" s="81"/>
      <c r="E20" s="81"/>
      <c r="F20" s="38" t="s">
        <v>196</v>
      </c>
      <c r="G20" s="30"/>
      <c r="H20" s="220" t="s">
        <v>143</v>
      </c>
      <c r="I20" s="221"/>
      <c r="J20" s="222"/>
    </row>
    <row r="21" spans="1:12" ht="22.5" customHeight="1">
      <c r="B21" s="81"/>
      <c r="C21" s="81"/>
      <c r="D21" s="81"/>
      <c r="E21" s="81"/>
      <c r="F21" s="81"/>
      <c r="G21" s="81"/>
      <c r="H21" s="81"/>
      <c r="I21" s="81"/>
      <c r="J21" s="81"/>
    </row>
    <row r="22" spans="1:12" ht="22.5" customHeight="1">
      <c r="B22" s="81"/>
      <c r="C22" s="81"/>
      <c r="D22" s="81"/>
      <c r="E22" s="81"/>
      <c r="F22" s="81"/>
      <c r="G22" s="81"/>
      <c r="H22" s="81"/>
      <c r="I22" s="81"/>
      <c r="J22" s="81"/>
    </row>
    <row r="23" spans="1:12" ht="22.5" customHeight="1">
      <c r="B23" s="81"/>
      <c r="C23" s="81"/>
      <c r="D23" s="81"/>
      <c r="E23" s="81"/>
      <c r="F23" s="81"/>
      <c r="G23" s="81"/>
      <c r="H23" s="81"/>
      <c r="I23" s="81"/>
      <c r="J23" s="81"/>
    </row>
    <row r="24" spans="1:12" ht="22.5" customHeight="1">
      <c r="B24" s="81"/>
      <c r="C24" s="81"/>
      <c r="D24" s="81"/>
      <c r="E24" s="81"/>
      <c r="F24" s="81"/>
      <c r="G24" s="81"/>
      <c r="H24" s="81"/>
      <c r="I24" s="81"/>
      <c r="J24" s="81"/>
    </row>
    <row r="25" spans="1:12" ht="22.5" customHeight="1">
      <c r="B25" s="81"/>
      <c r="C25" s="81"/>
      <c r="D25" s="81"/>
      <c r="E25" s="81"/>
      <c r="F25" s="81"/>
      <c r="G25" s="81"/>
      <c r="H25" s="81"/>
      <c r="I25" s="81"/>
      <c r="J25" s="81"/>
    </row>
    <row r="26" spans="1:12" ht="22.5" customHeight="1">
      <c r="B26" s="31"/>
      <c r="C26" s="31"/>
      <c r="D26" s="31"/>
      <c r="E26" s="31"/>
      <c r="F26" s="31"/>
      <c r="G26" s="31"/>
      <c r="H26" s="31"/>
      <c r="I26" s="31"/>
      <c r="J26" s="31"/>
    </row>
    <row r="27" spans="1:12" ht="22.5" customHeight="1">
      <c r="B27" s="31"/>
      <c r="C27" s="31"/>
      <c r="D27" s="31"/>
      <c r="E27" s="31"/>
      <c r="F27" s="31"/>
      <c r="G27" s="31"/>
      <c r="H27" s="31"/>
      <c r="I27" s="31"/>
      <c r="J27" s="31"/>
    </row>
    <row r="28" spans="1:12" ht="22.5" customHeight="1">
      <c r="B28" s="31"/>
      <c r="C28" s="31"/>
      <c r="D28" s="31"/>
      <c r="E28" s="31"/>
      <c r="F28" s="31"/>
      <c r="G28" s="31"/>
      <c r="H28" s="31"/>
      <c r="I28" s="31"/>
      <c r="J28" s="31"/>
    </row>
    <row r="68" spans="16:16" ht="22.5" customHeight="1">
      <c r="P68" s="3"/>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1"/>
  <dataValidations count="2">
    <dataValidation type="list" allowBlank="1" showInputMessage="1" showErrorMessage="1" sqref="F20" xr:uid="{00000000-0002-0000-0500-000000000000}">
      <formula1>"有,無,予定"</formula1>
    </dataValidation>
    <dataValidation type="list" allowBlank="1" showInputMessage="1" showErrorMessage="1" sqref="F19:G19" xr:uid="{00000000-0002-0000-0500-000001000000}">
      <formula1>#REF!</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0"/>
  <sheetViews>
    <sheetView showZeros="0" zoomScale="85" zoomScaleNormal="85" workbookViewId="0">
      <selection activeCell="G3" sqref="G3"/>
    </sheetView>
  </sheetViews>
  <sheetFormatPr defaultColWidth="11.375" defaultRowHeight="18.75" customHeight="1"/>
  <cols>
    <col min="1" max="1" width="2.5" style="4" customWidth="1"/>
    <col min="2" max="2" width="15" style="4" customWidth="1"/>
    <col min="3" max="3" width="37.5" style="4" customWidth="1"/>
    <col min="4" max="4" width="1.125" style="4" customWidth="1"/>
    <col min="5" max="5" width="21.125" style="4" customWidth="1"/>
    <col min="6" max="6" width="8.625" style="4" customWidth="1"/>
    <col min="7" max="8" width="2.125" style="4" customWidth="1"/>
    <col min="9" max="16384" width="11.375" style="4"/>
  </cols>
  <sheetData>
    <row r="1" spans="1:6" ht="18.75" customHeight="1">
      <c r="E1" s="128" t="s">
        <v>197</v>
      </c>
      <c r="F1" s="128"/>
    </row>
    <row r="2" spans="1:6" ht="18.75" customHeight="1">
      <c r="C2" s="79" t="s">
        <v>147</v>
      </c>
      <c r="D2" s="79" t="s">
        <v>148</v>
      </c>
      <c r="E2" s="218" t="s">
        <v>7</v>
      </c>
      <c r="F2" s="218"/>
    </row>
    <row r="3" spans="1:6" ht="7.5" customHeight="1">
      <c r="C3" s="79"/>
      <c r="D3" s="79"/>
      <c r="E3" s="74"/>
      <c r="F3" s="74"/>
    </row>
    <row r="4" spans="1:6" ht="18.75" customHeight="1">
      <c r="A4" s="110" t="s">
        <v>198</v>
      </c>
      <c r="B4" s="110"/>
      <c r="C4" s="110"/>
      <c r="D4" s="110"/>
      <c r="E4" s="110"/>
      <c r="F4" s="110"/>
    </row>
    <row r="5" spans="1:6" ht="7.5" customHeight="1">
      <c r="A5" s="74"/>
      <c r="B5" s="74"/>
      <c r="C5" s="74"/>
      <c r="D5" s="74"/>
      <c r="E5" s="74"/>
      <c r="F5" s="74"/>
    </row>
    <row r="6" spans="1:6" ht="18.75" customHeight="1">
      <c r="A6" s="74" t="s">
        <v>2</v>
      </c>
      <c r="B6" s="5" t="s">
        <v>199</v>
      </c>
      <c r="C6" s="74"/>
      <c r="D6" s="74"/>
      <c r="E6" s="74"/>
      <c r="F6" s="74"/>
    </row>
    <row r="7" spans="1:6" ht="18.75" customHeight="1">
      <c r="A7" s="74"/>
      <c r="B7" s="156" t="s">
        <v>200</v>
      </c>
      <c r="C7" s="157"/>
      <c r="D7" s="157"/>
      <c r="E7" s="157"/>
      <c r="F7" s="158"/>
    </row>
    <row r="8" spans="1:6" ht="18.75" customHeight="1">
      <c r="A8" s="74"/>
      <c r="B8" s="159"/>
      <c r="C8" s="160"/>
      <c r="D8" s="160"/>
      <c r="E8" s="160"/>
      <c r="F8" s="161"/>
    </row>
    <row r="9" spans="1:6" ht="18.75" customHeight="1">
      <c r="A9" s="74"/>
      <c r="B9" s="159"/>
      <c r="C9" s="160"/>
      <c r="D9" s="160"/>
      <c r="E9" s="160"/>
      <c r="F9" s="161"/>
    </row>
    <row r="10" spans="1:6" ht="18.75" customHeight="1">
      <c r="A10" s="74"/>
      <c r="B10" s="159"/>
      <c r="C10" s="160"/>
      <c r="D10" s="160"/>
      <c r="E10" s="160"/>
      <c r="F10" s="161"/>
    </row>
    <row r="11" spans="1:6" ht="18.75" customHeight="1">
      <c r="A11" s="74"/>
      <c r="B11" s="159"/>
      <c r="C11" s="160"/>
      <c r="D11" s="160"/>
      <c r="E11" s="160"/>
      <c r="F11" s="161"/>
    </row>
    <row r="12" spans="1:6" ht="18.75" customHeight="1">
      <c r="A12" s="74"/>
      <c r="B12" s="159"/>
      <c r="C12" s="160"/>
      <c r="D12" s="160"/>
      <c r="E12" s="160"/>
      <c r="F12" s="161"/>
    </row>
    <row r="13" spans="1:6" ht="18.75" customHeight="1">
      <c r="A13" s="74"/>
      <c r="B13" s="159"/>
      <c r="C13" s="160"/>
      <c r="D13" s="160"/>
      <c r="E13" s="160"/>
      <c r="F13" s="161"/>
    </row>
    <row r="14" spans="1:6" ht="18.75" customHeight="1">
      <c r="A14" s="74"/>
      <c r="B14" s="159"/>
      <c r="C14" s="160"/>
      <c r="D14" s="160"/>
      <c r="E14" s="160"/>
      <c r="F14" s="161"/>
    </row>
    <row r="15" spans="1:6" ht="18.75" customHeight="1">
      <c r="A15" s="74"/>
      <c r="B15" s="159"/>
      <c r="C15" s="160"/>
      <c r="D15" s="160"/>
      <c r="E15" s="160"/>
      <c r="F15" s="161"/>
    </row>
    <row r="16" spans="1:6" ht="18.75" customHeight="1">
      <c r="A16" s="74"/>
      <c r="B16" s="159"/>
      <c r="C16" s="160"/>
      <c r="D16" s="160"/>
      <c r="E16" s="160"/>
      <c r="F16" s="161"/>
    </row>
    <row r="17" spans="1:6" ht="18.75" customHeight="1">
      <c r="A17" s="74"/>
      <c r="B17" s="159"/>
      <c r="C17" s="160"/>
      <c r="D17" s="160"/>
      <c r="E17" s="160"/>
      <c r="F17" s="161"/>
    </row>
    <row r="18" spans="1:6" ht="18.75" customHeight="1">
      <c r="A18" s="74"/>
      <c r="B18" s="159"/>
      <c r="C18" s="160"/>
      <c r="D18" s="160"/>
      <c r="E18" s="160"/>
      <c r="F18" s="161"/>
    </row>
    <row r="19" spans="1:6" ht="18.75" customHeight="1">
      <c r="A19" s="74"/>
      <c r="B19" s="159"/>
      <c r="C19" s="160"/>
      <c r="D19" s="160"/>
      <c r="E19" s="160"/>
      <c r="F19" s="161"/>
    </row>
    <row r="20" spans="1:6" ht="18.75" customHeight="1">
      <c r="A20" s="74"/>
      <c r="B20" s="159"/>
      <c r="C20" s="160"/>
      <c r="D20" s="160"/>
      <c r="E20" s="160"/>
      <c r="F20" s="161"/>
    </row>
    <row r="21" spans="1:6" ht="18.75" customHeight="1">
      <c r="A21" s="74"/>
      <c r="B21" s="159"/>
      <c r="C21" s="160"/>
      <c r="D21" s="160"/>
      <c r="E21" s="160"/>
      <c r="F21" s="161"/>
    </row>
    <row r="22" spans="1:6" ht="18.75" customHeight="1">
      <c r="A22" s="74"/>
      <c r="B22" s="159"/>
      <c r="C22" s="160"/>
      <c r="D22" s="160"/>
      <c r="E22" s="160"/>
      <c r="F22" s="161"/>
    </row>
    <row r="23" spans="1:6" ht="18.75" customHeight="1">
      <c r="A23" s="74"/>
      <c r="B23" s="159"/>
      <c r="C23" s="160"/>
      <c r="D23" s="160"/>
      <c r="E23" s="160"/>
      <c r="F23" s="161"/>
    </row>
    <row r="24" spans="1:6" ht="18.75" customHeight="1">
      <c r="A24" s="74"/>
      <c r="B24" s="159"/>
      <c r="C24" s="160"/>
      <c r="D24" s="160"/>
      <c r="E24" s="160"/>
      <c r="F24" s="161"/>
    </row>
    <row r="25" spans="1:6" ht="18.75" customHeight="1">
      <c r="A25" s="74"/>
      <c r="B25" s="159"/>
      <c r="C25" s="160"/>
      <c r="D25" s="160"/>
      <c r="E25" s="160"/>
      <c r="F25" s="161"/>
    </row>
    <row r="26" spans="1:6" ht="18.75" customHeight="1">
      <c r="A26" s="74"/>
      <c r="B26" s="159"/>
      <c r="C26" s="160"/>
      <c r="D26" s="160"/>
      <c r="E26" s="160"/>
      <c r="F26" s="161"/>
    </row>
    <row r="27" spans="1:6" ht="18.75" customHeight="1">
      <c r="A27" s="74"/>
      <c r="B27" s="159"/>
      <c r="C27" s="160"/>
      <c r="D27" s="160"/>
      <c r="E27" s="160"/>
      <c r="F27" s="161"/>
    </row>
    <row r="28" spans="1:6" ht="18.75" customHeight="1">
      <c r="A28" s="74"/>
      <c r="B28" s="159"/>
      <c r="C28" s="160"/>
      <c r="D28" s="160"/>
      <c r="E28" s="160"/>
      <c r="F28" s="161"/>
    </row>
    <row r="29" spans="1:6" ht="18.75" customHeight="1">
      <c r="A29" s="74"/>
      <c r="B29" s="159"/>
      <c r="C29" s="160"/>
      <c r="D29" s="160"/>
      <c r="E29" s="160"/>
      <c r="F29" s="161"/>
    </row>
    <row r="30" spans="1:6" ht="18.75" customHeight="1">
      <c r="A30" s="74"/>
      <c r="B30" s="159"/>
      <c r="C30" s="160"/>
      <c r="D30" s="160"/>
      <c r="E30" s="160"/>
      <c r="F30" s="161"/>
    </row>
    <row r="31" spans="1:6" ht="18.75" customHeight="1">
      <c r="A31" s="74"/>
      <c r="B31" s="159"/>
      <c r="C31" s="160"/>
      <c r="D31" s="160"/>
      <c r="E31" s="160"/>
      <c r="F31" s="161"/>
    </row>
    <row r="32" spans="1:6" ht="18.75" customHeight="1">
      <c r="A32" s="74"/>
      <c r="B32" s="159"/>
      <c r="C32" s="160"/>
      <c r="D32" s="160"/>
      <c r="E32" s="160"/>
      <c r="F32" s="161"/>
    </row>
    <row r="33" spans="1:6" ht="18.75" customHeight="1">
      <c r="A33" s="74"/>
      <c r="B33" s="159"/>
      <c r="C33" s="160"/>
      <c r="D33" s="160"/>
      <c r="E33" s="160"/>
      <c r="F33" s="161"/>
    </row>
    <row r="34" spans="1:6" ht="18.75" customHeight="1">
      <c r="A34" s="74"/>
      <c r="B34" s="159"/>
      <c r="C34" s="160"/>
      <c r="D34" s="160"/>
      <c r="E34" s="160"/>
      <c r="F34" s="161"/>
    </row>
    <row r="35" spans="1:6" ht="18.75" customHeight="1">
      <c r="A35" s="74"/>
      <c r="B35" s="159"/>
      <c r="C35" s="160"/>
      <c r="D35" s="160"/>
      <c r="E35" s="160"/>
      <c r="F35" s="161"/>
    </row>
    <row r="36" spans="1:6" ht="18.75" customHeight="1">
      <c r="A36" s="74"/>
      <c r="B36" s="159"/>
      <c r="C36" s="160"/>
      <c r="D36" s="160"/>
      <c r="E36" s="160"/>
      <c r="F36" s="161"/>
    </row>
    <row r="37" spans="1:6" ht="18.75" customHeight="1">
      <c r="A37" s="74"/>
      <c r="B37" s="159"/>
      <c r="C37" s="160"/>
      <c r="D37" s="160"/>
      <c r="E37" s="160"/>
      <c r="F37" s="161"/>
    </row>
    <row r="38" spans="1:6" ht="18.75" customHeight="1">
      <c r="A38" s="74"/>
      <c r="B38" s="159"/>
      <c r="C38" s="160"/>
      <c r="D38" s="160"/>
      <c r="E38" s="160"/>
      <c r="F38" s="161"/>
    </row>
    <row r="39" spans="1:6" ht="18.75" customHeight="1">
      <c r="A39" s="74"/>
      <c r="B39" s="159"/>
      <c r="C39" s="160"/>
      <c r="D39" s="160"/>
      <c r="E39" s="160"/>
      <c r="F39" s="161"/>
    </row>
    <row r="40" spans="1:6" ht="18.75" customHeight="1">
      <c r="A40" s="74"/>
      <c r="B40" s="159"/>
      <c r="C40" s="160"/>
      <c r="D40" s="160"/>
      <c r="E40" s="160"/>
      <c r="F40" s="161"/>
    </row>
    <row r="41" spans="1:6" ht="18.75" customHeight="1">
      <c r="A41" s="74"/>
      <c r="B41" s="159"/>
      <c r="C41" s="160"/>
      <c r="D41" s="160"/>
      <c r="E41" s="160"/>
      <c r="F41" s="161"/>
    </row>
    <row r="42" spans="1:6" ht="18.75" customHeight="1">
      <c r="A42" s="74"/>
      <c r="B42" s="159"/>
      <c r="C42" s="160"/>
      <c r="D42" s="160"/>
      <c r="E42" s="160"/>
      <c r="F42" s="161"/>
    </row>
    <row r="43" spans="1:6" ht="18.75" customHeight="1">
      <c r="A43" s="74"/>
      <c r="B43" s="159"/>
      <c r="C43" s="160"/>
      <c r="D43" s="160"/>
      <c r="E43" s="160"/>
      <c r="F43" s="161"/>
    </row>
    <row r="44" spans="1:6" ht="18.75" customHeight="1">
      <c r="A44" s="74"/>
      <c r="B44" s="162"/>
      <c r="C44" s="163"/>
      <c r="D44" s="163"/>
      <c r="E44" s="163"/>
      <c r="F44" s="164"/>
    </row>
    <row r="45" spans="1:6" ht="18.75" customHeight="1">
      <c r="A45" s="74" t="s">
        <v>5</v>
      </c>
      <c r="B45" s="4" t="s">
        <v>201</v>
      </c>
      <c r="C45" s="74"/>
      <c r="D45" s="74"/>
      <c r="E45" s="74"/>
      <c r="F45" s="74"/>
    </row>
    <row r="46" spans="1:6" ht="18.75" customHeight="1">
      <c r="A46" s="74"/>
      <c r="B46" s="156" t="s">
        <v>202</v>
      </c>
      <c r="C46" s="157"/>
      <c r="D46" s="157"/>
      <c r="E46" s="157"/>
      <c r="F46" s="158"/>
    </row>
    <row r="47" spans="1:6" ht="18.75" customHeight="1">
      <c r="A47" s="74"/>
      <c r="B47" s="159"/>
      <c r="C47" s="160"/>
      <c r="D47" s="160"/>
      <c r="E47" s="160"/>
      <c r="F47" s="161"/>
    </row>
    <row r="48" spans="1:6" ht="18.75" customHeight="1">
      <c r="A48" s="74"/>
      <c r="B48" s="159"/>
      <c r="C48" s="160"/>
      <c r="D48" s="160"/>
      <c r="E48" s="160"/>
      <c r="F48" s="161"/>
    </row>
    <row r="49" spans="1:6" ht="18.75" customHeight="1">
      <c r="A49" s="74"/>
      <c r="B49" s="159"/>
      <c r="C49" s="160"/>
      <c r="D49" s="160"/>
      <c r="E49" s="160"/>
      <c r="F49" s="161"/>
    </row>
    <row r="50" spans="1:6" ht="18.75" customHeight="1">
      <c r="A50" s="74"/>
      <c r="B50" s="159"/>
      <c r="C50" s="160"/>
      <c r="D50" s="160"/>
      <c r="E50" s="160"/>
      <c r="F50" s="161"/>
    </row>
    <row r="51" spans="1:6" ht="18.75" customHeight="1">
      <c r="A51" s="74"/>
      <c r="B51" s="159"/>
      <c r="C51" s="160"/>
      <c r="D51" s="160"/>
      <c r="E51" s="160"/>
      <c r="F51" s="161"/>
    </row>
    <row r="52" spans="1:6" ht="18.75" customHeight="1">
      <c r="A52" s="74"/>
      <c r="B52" s="159"/>
      <c r="C52" s="160"/>
      <c r="D52" s="160"/>
      <c r="E52" s="160"/>
      <c r="F52" s="161"/>
    </row>
    <row r="53" spans="1:6" ht="18.75" customHeight="1">
      <c r="A53" s="74"/>
      <c r="B53" s="159"/>
      <c r="C53" s="160"/>
      <c r="D53" s="160"/>
      <c r="E53" s="160"/>
      <c r="F53" s="161"/>
    </row>
    <row r="54" spans="1:6" ht="18.75" customHeight="1">
      <c r="A54" s="74"/>
      <c r="B54" s="159"/>
      <c r="C54" s="160"/>
      <c r="D54" s="160"/>
      <c r="E54" s="160"/>
      <c r="F54" s="161"/>
    </row>
    <row r="55" spans="1:6" ht="18.75" customHeight="1">
      <c r="A55" s="74"/>
      <c r="B55" s="159"/>
      <c r="C55" s="160"/>
      <c r="D55" s="160"/>
      <c r="E55" s="160"/>
      <c r="F55" s="161"/>
    </row>
    <row r="56" spans="1:6" ht="18.75" customHeight="1">
      <c r="A56" s="74"/>
      <c r="B56" s="159"/>
      <c r="C56" s="160"/>
      <c r="D56" s="160"/>
      <c r="E56" s="160"/>
      <c r="F56" s="161"/>
    </row>
    <row r="57" spans="1:6" ht="18.75" customHeight="1">
      <c r="A57" s="74"/>
      <c r="B57" s="159"/>
      <c r="C57" s="160"/>
      <c r="D57" s="160"/>
      <c r="E57" s="160"/>
      <c r="F57" s="161"/>
    </row>
    <row r="58" spans="1:6" ht="18.75" customHeight="1">
      <c r="A58" s="74"/>
      <c r="B58" s="159"/>
      <c r="C58" s="160"/>
      <c r="D58" s="160"/>
      <c r="E58" s="160"/>
      <c r="F58" s="161"/>
    </row>
    <row r="59" spans="1:6" ht="18.75" customHeight="1">
      <c r="A59" s="74"/>
      <c r="B59" s="159"/>
      <c r="C59" s="160"/>
      <c r="D59" s="160"/>
      <c r="E59" s="160"/>
      <c r="F59" s="161"/>
    </row>
    <row r="60" spans="1:6" ht="18.75" customHeight="1">
      <c r="A60" s="74"/>
      <c r="B60" s="159"/>
      <c r="C60" s="160"/>
      <c r="D60" s="160"/>
      <c r="E60" s="160"/>
      <c r="F60" s="161"/>
    </row>
    <row r="61" spans="1:6" ht="18.75" customHeight="1">
      <c r="A61" s="74"/>
      <c r="B61" s="159"/>
      <c r="C61" s="160"/>
      <c r="D61" s="160"/>
      <c r="E61" s="160"/>
      <c r="F61" s="161"/>
    </row>
    <row r="62" spans="1:6" ht="18.75" customHeight="1">
      <c r="A62" s="74"/>
      <c r="B62" s="159"/>
      <c r="C62" s="160"/>
      <c r="D62" s="160"/>
      <c r="E62" s="160"/>
      <c r="F62" s="161"/>
    </row>
    <row r="63" spans="1:6" ht="18.75" customHeight="1">
      <c r="A63" s="74"/>
      <c r="B63" s="159"/>
      <c r="C63" s="160"/>
      <c r="D63" s="160"/>
      <c r="E63" s="160"/>
      <c r="F63" s="161"/>
    </row>
    <row r="64" spans="1:6" ht="18.75" customHeight="1">
      <c r="A64" s="74"/>
      <c r="B64" s="159"/>
      <c r="C64" s="160"/>
      <c r="D64" s="160"/>
      <c r="E64" s="160"/>
      <c r="F64" s="161"/>
    </row>
    <row r="65" spans="1:16" ht="18.75" customHeight="1">
      <c r="A65" s="74"/>
      <c r="B65" s="159"/>
      <c r="C65" s="160"/>
      <c r="D65" s="160"/>
      <c r="E65" s="160"/>
      <c r="F65" s="161"/>
    </row>
    <row r="66" spans="1:16" ht="18.75" customHeight="1">
      <c r="A66" s="74"/>
      <c r="B66" s="159"/>
      <c r="C66" s="160"/>
      <c r="D66" s="160"/>
      <c r="E66" s="160"/>
      <c r="F66" s="161"/>
    </row>
    <row r="67" spans="1:16" ht="18.75" customHeight="1">
      <c r="A67" s="74"/>
      <c r="B67" s="159"/>
      <c r="C67" s="160"/>
      <c r="D67" s="160"/>
      <c r="E67" s="160"/>
      <c r="F67" s="161"/>
    </row>
    <row r="68" spans="1:16" ht="18.75" customHeight="1">
      <c r="A68" s="74"/>
      <c r="B68" s="159"/>
      <c r="C68" s="160"/>
      <c r="D68" s="160"/>
      <c r="E68" s="160"/>
      <c r="F68" s="161"/>
      <c r="P68" s="3"/>
    </row>
    <row r="69" spans="1:16" ht="18.75" customHeight="1">
      <c r="A69" s="74"/>
      <c r="B69" s="159"/>
      <c r="C69" s="160"/>
      <c r="D69" s="160"/>
      <c r="E69" s="160"/>
      <c r="F69" s="161"/>
    </row>
    <row r="70" spans="1:16" ht="18.75" customHeight="1">
      <c r="A70" s="74"/>
      <c r="B70" s="159"/>
      <c r="C70" s="160"/>
      <c r="D70" s="160"/>
      <c r="E70" s="160"/>
      <c r="F70" s="161"/>
    </row>
    <row r="71" spans="1:16" ht="18.75" customHeight="1">
      <c r="A71" s="74"/>
      <c r="B71" s="159"/>
      <c r="C71" s="160"/>
      <c r="D71" s="160"/>
      <c r="E71" s="160"/>
      <c r="F71" s="161"/>
    </row>
    <row r="72" spans="1:16" ht="18.75" customHeight="1">
      <c r="A72" s="74"/>
      <c r="B72" s="159"/>
      <c r="C72" s="160"/>
      <c r="D72" s="160"/>
      <c r="E72" s="160"/>
      <c r="F72" s="161"/>
    </row>
    <row r="73" spans="1:16" ht="18.75" customHeight="1">
      <c r="A73" s="74"/>
      <c r="B73" s="159"/>
      <c r="C73" s="160"/>
      <c r="D73" s="160"/>
      <c r="E73" s="160"/>
      <c r="F73" s="161"/>
    </row>
    <row r="74" spans="1:16" ht="18.75" customHeight="1">
      <c r="A74" s="74"/>
      <c r="B74" s="159"/>
      <c r="C74" s="160"/>
      <c r="D74" s="160"/>
      <c r="E74" s="160"/>
      <c r="F74" s="161"/>
    </row>
    <row r="75" spans="1:16" ht="18.75" customHeight="1">
      <c r="A75" s="74"/>
      <c r="B75" s="159"/>
      <c r="C75" s="160"/>
      <c r="D75" s="160"/>
      <c r="E75" s="160"/>
      <c r="F75" s="161"/>
    </row>
    <row r="76" spans="1:16" ht="18.75" customHeight="1">
      <c r="A76" s="74"/>
      <c r="B76" s="159"/>
      <c r="C76" s="160"/>
      <c r="D76" s="160"/>
      <c r="E76" s="160"/>
      <c r="F76" s="161"/>
    </row>
    <row r="77" spans="1:16" ht="18.75" customHeight="1">
      <c r="A77" s="74"/>
      <c r="B77" s="159"/>
      <c r="C77" s="160"/>
      <c r="D77" s="160"/>
      <c r="E77" s="160"/>
      <c r="F77" s="161"/>
    </row>
    <row r="78" spans="1:16" ht="18.75" customHeight="1">
      <c r="A78" s="74"/>
      <c r="B78" s="159"/>
      <c r="C78" s="160"/>
      <c r="D78" s="160"/>
      <c r="E78" s="160"/>
      <c r="F78" s="161"/>
    </row>
    <row r="79" spans="1:16" ht="18.75" customHeight="1">
      <c r="A79" s="74"/>
      <c r="B79" s="159"/>
      <c r="C79" s="160"/>
      <c r="D79" s="160"/>
      <c r="E79" s="160"/>
      <c r="F79" s="161"/>
    </row>
    <row r="80" spans="1:16" ht="18.75" customHeight="1">
      <c r="A80" s="74"/>
      <c r="B80" s="159"/>
      <c r="C80" s="160"/>
      <c r="D80" s="160"/>
      <c r="E80" s="160"/>
      <c r="F80" s="161"/>
    </row>
    <row r="81" spans="1:6" ht="18.75" customHeight="1">
      <c r="A81" s="74"/>
      <c r="B81" s="159"/>
      <c r="C81" s="160"/>
      <c r="D81" s="160"/>
      <c r="E81" s="160"/>
      <c r="F81" s="161"/>
    </row>
    <row r="82" spans="1:6" ht="18.75" customHeight="1">
      <c r="A82" s="74"/>
      <c r="B82" s="159"/>
      <c r="C82" s="160"/>
      <c r="D82" s="160"/>
      <c r="E82" s="160"/>
      <c r="F82" s="161"/>
    </row>
    <row r="83" spans="1:6" ht="18.75" customHeight="1">
      <c r="A83" s="74"/>
      <c r="B83" s="159"/>
      <c r="C83" s="160"/>
      <c r="D83" s="160"/>
      <c r="E83" s="160"/>
      <c r="F83" s="161"/>
    </row>
    <row r="84" spans="1:6" ht="18.75" customHeight="1">
      <c r="A84" s="74"/>
      <c r="B84" s="159"/>
      <c r="C84" s="160"/>
      <c r="D84" s="160"/>
      <c r="E84" s="160"/>
      <c r="F84" s="161"/>
    </row>
    <row r="85" spans="1:6" ht="18.75" customHeight="1">
      <c r="A85" s="74"/>
      <c r="B85" s="159"/>
      <c r="C85" s="160"/>
      <c r="D85" s="160"/>
      <c r="E85" s="160"/>
      <c r="F85" s="161"/>
    </row>
    <row r="86" spans="1:6" ht="18.75" customHeight="1">
      <c r="A86" s="74"/>
      <c r="B86" s="159"/>
      <c r="C86" s="160"/>
      <c r="D86" s="160"/>
      <c r="E86" s="160"/>
      <c r="F86" s="161"/>
    </row>
    <row r="87" spans="1:6" ht="18.75" customHeight="1">
      <c r="A87" s="74"/>
      <c r="B87" s="162"/>
      <c r="C87" s="163"/>
      <c r="D87" s="163"/>
      <c r="E87" s="163"/>
      <c r="F87" s="164"/>
    </row>
    <row r="88" spans="1:6" s="5" customFormat="1" ht="18.75" customHeight="1">
      <c r="A88" s="5" t="s">
        <v>8</v>
      </c>
      <c r="B88" s="5" t="s">
        <v>203</v>
      </c>
    </row>
    <row r="89" spans="1:6" ht="18.75" customHeight="1">
      <c r="A89" s="74"/>
      <c r="B89" s="156" t="s">
        <v>204</v>
      </c>
      <c r="C89" s="157"/>
      <c r="D89" s="157"/>
      <c r="E89" s="157"/>
      <c r="F89" s="158"/>
    </row>
    <row r="90" spans="1:6" ht="18.75" customHeight="1">
      <c r="A90" s="74"/>
      <c r="B90" s="159"/>
      <c r="C90" s="160"/>
      <c r="D90" s="160"/>
      <c r="E90" s="160"/>
      <c r="F90" s="161"/>
    </row>
    <row r="91" spans="1:6" ht="18.75" customHeight="1">
      <c r="A91" s="74"/>
      <c r="B91" s="159"/>
      <c r="C91" s="160"/>
      <c r="D91" s="160"/>
      <c r="E91" s="160"/>
      <c r="F91" s="161"/>
    </row>
    <row r="92" spans="1:6" ht="18.75" customHeight="1">
      <c r="A92" s="74"/>
      <c r="B92" s="159"/>
      <c r="C92" s="160"/>
      <c r="D92" s="160"/>
      <c r="E92" s="160"/>
      <c r="F92" s="161"/>
    </row>
    <row r="93" spans="1:6" ht="18.75" customHeight="1">
      <c r="A93" s="74"/>
      <c r="B93" s="159"/>
      <c r="C93" s="160"/>
      <c r="D93" s="160"/>
      <c r="E93" s="160"/>
      <c r="F93" s="161"/>
    </row>
    <row r="94" spans="1:6" ht="18.75" customHeight="1">
      <c r="A94" s="74"/>
      <c r="B94" s="159"/>
      <c r="C94" s="160"/>
      <c r="D94" s="160"/>
      <c r="E94" s="160"/>
      <c r="F94" s="161"/>
    </row>
    <row r="95" spans="1:6" ht="18.75" customHeight="1">
      <c r="A95" s="74"/>
      <c r="B95" s="159"/>
      <c r="C95" s="160"/>
      <c r="D95" s="160"/>
      <c r="E95" s="160"/>
      <c r="F95" s="161"/>
    </row>
    <row r="96" spans="1:6" ht="18.75" customHeight="1">
      <c r="A96" s="74"/>
      <c r="B96" s="159"/>
      <c r="C96" s="160"/>
      <c r="D96" s="160"/>
      <c r="E96" s="160"/>
      <c r="F96" s="161"/>
    </row>
    <row r="97" spans="1:6" ht="18.75" customHeight="1">
      <c r="A97" s="74"/>
      <c r="B97" s="159"/>
      <c r="C97" s="160"/>
      <c r="D97" s="160"/>
      <c r="E97" s="160"/>
      <c r="F97" s="161"/>
    </row>
    <row r="98" spans="1:6" ht="18.75" customHeight="1">
      <c r="A98" s="74"/>
      <c r="B98" s="159"/>
      <c r="C98" s="160"/>
      <c r="D98" s="160"/>
      <c r="E98" s="160"/>
      <c r="F98" s="161"/>
    </row>
    <row r="99" spans="1:6" ht="18.75" customHeight="1">
      <c r="A99" s="74"/>
      <c r="B99" s="159"/>
      <c r="C99" s="160"/>
      <c r="D99" s="160"/>
      <c r="E99" s="160"/>
      <c r="F99" s="161"/>
    </row>
    <row r="100" spans="1:6" ht="18.75" customHeight="1">
      <c r="A100" s="74"/>
      <c r="B100" s="159"/>
      <c r="C100" s="160"/>
      <c r="D100" s="160"/>
      <c r="E100" s="160"/>
      <c r="F100" s="161"/>
    </row>
    <row r="101" spans="1:6" ht="18.75" customHeight="1">
      <c r="A101" s="74"/>
      <c r="B101" s="159"/>
      <c r="C101" s="160"/>
      <c r="D101" s="160"/>
      <c r="E101" s="160"/>
      <c r="F101" s="161"/>
    </row>
    <row r="102" spans="1:6" ht="18.75" customHeight="1">
      <c r="A102" s="74"/>
      <c r="B102" s="159"/>
      <c r="C102" s="160"/>
      <c r="D102" s="160"/>
      <c r="E102" s="160"/>
      <c r="F102" s="161"/>
    </row>
    <row r="103" spans="1:6" ht="18.75" customHeight="1">
      <c r="A103" s="74"/>
      <c r="B103" s="159"/>
      <c r="C103" s="160"/>
      <c r="D103" s="160"/>
      <c r="E103" s="160"/>
      <c r="F103" s="161"/>
    </row>
    <row r="104" spans="1:6" ht="18.75" customHeight="1">
      <c r="A104" s="74"/>
      <c r="B104" s="159"/>
      <c r="C104" s="160"/>
      <c r="D104" s="160"/>
      <c r="E104" s="160"/>
      <c r="F104" s="161"/>
    </row>
    <row r="105" spans="1:6" ht="18.75" customHeight="1">
      <c r="A105" s="74"/>
      <c r="B105" s="159"/>
      <c r="C105" s="160"/>
      <c r="D105" s="160"/>
      <c r="E105" s="160"/>
      <c r="F105" s="161"/>
    </row>
    <row r="106" spans="1:6" ht="18.75" customHeight="1">
      <c r="A106" s="74"/>
      <c r="B106" s="159"/>
      <c r="C106" s="160"/>
      <c r="D106" s="160"/>
      <c r="E106" s="160"/>
      <c r="F106" s="161"/>
    </row>
    <row r="107" spans="1:6" ht="18.75" customHeight="1">
      <c r="A107" s="74"/>
      <c r="B107" s="159"/>
      <c r="C107" s="160"/>
      <c r="D107" s="160"/>
      <c r="E107" s="160"/>
      <c r="F107" s="161"/>
    </row>
    <row r="108" spans="1:6" ht="18.75" customHeight="1">
      <c r="A108" s="74"/>
      <c r="B108" s="159"/>
      <c r="C108" s="160"/>
      <c r="D108" s="160"/>
      <c r="E108" s="160"/>
      <c r="F108" s="161"/>
    </row>
    <row r="109" spans="1:6" ht="18.75" customHeight="1">
      <c r="A109" s="74"/>
      <c r="B109" s="159"/>
      <c r="C109" s="160"/>
      <c r="D109" s="160"/>
      <c r="E109" s="160"/>
      <c r="F109" s="161"/>
    </row>
    <row r="110" spans="1:6" ht="18.75" customHeight="1">
      <c r="A110" s="74"/>
      <c r="B110" s="159"/>
      <c r="C110" s="160"/>
      <c r="D110" s="160"/>
      <c r="E110" s="160"/>
      <c r="F110" s="161"/>
    </row>
    <row r="111" spans="1:6" ht="18.75" customHeight="1">
      <c r="A111" s="74"/>
      <c r="B111" s="159"/>
      <c r="C111" s="160"/>
      <c r="D111" s="160"/>
      <c r="E111" s="160"/>
      <c r="F111" s="161"/>
    </row>
    <row r="112" spans="1:6" ht="18.75" customHeight="1">
      <c r="A112" s="74"/>
      <c r="B112" s="159"/>
      <c r="C112" s="160"/>
      <c r="D112" s="160"/>
      <c r="E112" s="160"/>
      <c r="F112" s="161"/>
    </row>
    <row r="113" spans="1:6" ht="18.75" customHeight="1">
      <c r="A113" s="74"/>
      <c r="B113" s="159"/>
      <c r="C113" s="160"/>
      <c r="D113" s="160"/>
      <c r="E113" s="160"/>
      <c r="F113" s="161"/>
    </row>
    <row r="114" spans="1:6" ht="18.75" customHeight="1">
      <c r="A114" s="74"/>
      <c r="B114" s="159"/>
      <c r="C114" s="160"/>
      <c r="D114" s="160"/>
      <c r="E114" s="160"/>
      <c r="F114" s="161"/>
    </row>
    <row r="115" spans="1:6" ht="18.75" customHeight="1">
      <c r="A115" s="74"/>
      <c r="B115" s="159"/>
      <c r="C115" s="160"/>
      <c r="D115" s="160"/>
      <c r="E115" s="160"/>
      <c r="F115" s="161"/>
    </row>
    <row r="116" spans="1:6" ht="18.75" customHeight="1">
      <c r="A116" s="74"/>
      <c r="B116" s="159"/>
      <c r="C116" s="160"/>
      <c r="D116" s="160"/>
      <c r="E116" s="160"/>
      <c r="F116" s="161"/>
    </row>
    <row r="117" spans="1:6" ht="18.75" customHeight="1">
      <c r="A117" s="74"/>
      <c r="B117" s="159"/>
      <c r="C117" s="160"/>
      <c r="D117" s="160"/>
      <c r="E117" s="160"/>
      <c r="F117" s="161"/>
    </row>
    <row r="118" spans="1:6" ht="18.75" customHeight="1">
      <c r="A118" s="74"/>
      <c r="B118" s="159"/>
      <c r="C118" s="160"/>
      <c r="D118" s="160"/>
      <c r="E118" s="160"/>
      <c r="F118" s="161"/>
    </row>
    <row r="119" spans="1:6" ht="18.75" customHeight="1">
      <c r="A119" s="74"/>
      <c r="B119" s="159"/>
      <c r="C119" s="160"/>
      <c r="D119" s="160"/>
      <c r="E119" s="160"/>
      <c r="F119" s="161"/>
    </row>
    <row r="120" spans="1:6" ht="18.75" customHeight="1">
      <c r="A120" s="74"/>
      <c r="B120" s="159"/>
      <c r="C120" s="160"/>
      <c r="D120" s="160"/>
      <c r="E120" s="160"/>
      <c r="F120" s="161"/>
    </row>
    <row r="121" spans="1:6" ht="18.75" customHeight="1">
      <c r="A121" s="74"/>
      <c r="B121" s="159"/>
      <c r="C121" s="160"/>
      <c r="D121" s="160"/>
      <c r="E121" s="160"/>
      <c r="F121" s="161"/>
    </row>
    <row r="122" spans="1:6" ht="18.75" customHeight="1">
      <c r="A122" s="74"/>
      <c r="B122" s="159"/>
      <c r="C122" s="160"/>
      <c r="D122" s="160"/>
      <c r="E122" s="160"/>
      <c r="F122" s="161"/>
    </row>
    <row r="123" spans="1:6" ht="18.75" customHeight="1">
      <c r="A123" s="74"/>
      <c r="B123" s="159"/>
      <c r="C123" s="160"/>
      <c r="D123" s="160"/>
      <c r="E123" s="160"/>
      <c r="F123" s="161"/>
    </row>
    <row r="124" spans="1:6" ht="18.75" customHeight="1">
      <c r="A124" s="74"/>
      <c r="B124" s="159"/>
      <c r="C124" s="160"/>
      <c r="D124" s="160"/>
      <c r="E124" s="160"/>
      <c r="F124" s="161"/>
    </row>
    <row r="125" spans="1:6" ht="18.75" customHeight="1">
      <c r="A125" s="74"/>
      <c r="B125" s="159"/>
      <c r="C125" s="160"/>
      <c r="D125" s="160"/>
      <c r="E125" s="160"/>
      <c r="F125" s="161"/>
    </row>
    <row r="126" spans="1:6" ht="18.75" customHeight="1">
      <c r="A126" s="74"/>
      <c r="B126" s="159"/>
      <c r="C126" s="160"/>
      <c r="D126" s="160"/>
      <c r="E126" s="160"/>
      <c r="F126" s="161"/>
    </row>
    <row r="127" spans="1:6" ht="18.75" customHeight="1">
      <c r="A127" s="74"/>
      <c r="B127" s="159"/>
      <c r="C127" s="160"/>
      <c r="D127" s="160"/>
      <c r="E127" s="160"/>
      <c r="F127" s="161"/>
    </row>
    <row r="128" spans="1:6" ht="18.75" customHeight="1">
      <c r="A128" s="74"/>
      <c r="B128" s="159"/>
      <c r="C128" s="160"/>
      <c r="D128" s="160"/>
      <c r="E128" s="160"/>
      <c r="F128" s="161"/>
    </row>
    <row r="129" spans="1:6" ht="18.75" customHeight="1">
      <c r="A129" s="74"/>
      <c r="B129" s="159"/>
      <c r="C129" s="160"/>
      <c r="D129" s="160"/>
      <c r="E129" s="160"/>
      <c r="F129" s="161"/>
    </row>
    <row r="130" spans="1:6" ht="18.75" customHeight="1">
      <c r="A130" s="74"/>
      <c r="B130" s="162"/>
      <c r="C130" s="163"/>
      <c r="D130" s="163"/>
      <c r="E130" s="163"/>
      <c r="F130" s="164"/>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8A06272744DE1459B870CF4591E190C" ma:contentTypeVersion="7" ma:contentTypeDescription="新しいドキュメントを作成します。" ma:contentTypeScope="" ma:versionID="916a1b1dd79de5d495f6b35f86c6af1c">
  <xsd:schema xmlns:xsd="http://www.w3.org/2001/XMLSchema" xmlns:xs="http://www.w3.org/2001/XMLSchema" xmlns:p="http://schemas.microsoft.com/office/2006/metadata/properties" xmlns:ns2="7ab2231e-c44d-407f-9af2-28572af725d4" targetNamespace="http://schemas.microsoft.com/office/2006/metadata/properties" ma:root="true" ma:fieldsID="96233b8da62758d0e7072a02703e7e35" ns2:_="">
    <xsd:import namespace="7ab2231e-c44d-407f-9af2-28572af725d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2231e-c44d-407f-9af2-28572af72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C65E85-6077-4FEF-92A6-D3E0062E5E26}"/>
</file>

<file path=customXml/itemProps2.xml><?xml version="1.0" encoding="utf-8"?>
<ds:datastoreItem xmlns:ds="http://schemas.openxmlformats.org/officeDocument/2006/customXml" ds:itemID="{CFE0A9CD-3A8F-42D6-8780-EF4DD304E933}"/>
</file>

<file path=customXml/itemProps3.xml><?xml version="1.0" encoding="utf-8"?>
<ds:datastoreItem xmlns:ds="http://schemas.openxmlformats.org/officeDocument/2006/customXml" ds:itemID="{EA87E17B-DD9C-4F57-BD88-EC6460C50E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2022-03-08T12:10:29Z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0x01010098A06272744DE1459B870CF4591E190C</vt:lpwstr>
  </property>
</Properties>
</file>