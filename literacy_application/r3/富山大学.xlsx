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新）学務課共通フォルダ（190401～）\110_教育・学生支援機構\データサイエンス推進センター会議\富山大学数理・データサイエンス・AI教育プログラム\★数理・データサイエンス・ＡＩ教育プログラム認定制度\07_文科省からの指摘事項\"/>
    </mc:Choice>
  </mc:AlternateContent>
  <bookViews>
    <workbookView xWindow="0" yWindow="0" windowWidth="28800" windowHeight="12210" tabRatio="885" firstSheet="4" activeTab="8"/>
  </bookViews>
  <sheets>
    <sheet name="様式１　大学等概要" sheetId="8" r:id="rId1"/>
    <sheet name="様式２　プログラムを構成する授業科目 (1)【修正あり】" sheetId="9" r:id="rId2"/>
    <sheet name="様式２　プログラムを構成する授業科目 (2)【修正あり】" sheetId="37" r:id="rId3"/>
    <sheet name="様式２　プログラムを構成する授業科目 (3)【修正あり】" sheetId="38" r:id="rId4"/>
    <sheet name="様式２　プログラムを構成する授業科目 (4)【修正あり】" sheetId="39" r:id="rId5"/>
    <sheet name="様式２　プログラムを構成する授業科目 (5)【修正あり】" sheetId="40" r:id="rId6"/>
    <sheet name="様式２　プログラムを構成する授業科目 (6)【修正あり】" sheetId="41" r:id="rId7"/>
    <sheet name="様式３　履修者等数の実績" sheetId="31" r:id="rId8"/>
    <sheet name="様式4　プログラムの授業内容・概要【修正あり】" sheetId="34" r:id="rId9"/>
    <sheet name="様式５　教育の質・履修者数を向上させるための体制・計画" sheetId="35" r:id="rId10"/>
    <sheet name="様式６　自己点検・評価" sheetId="36" r:id="rId11"/>
    <sheet name="様式７　特色ある取組" sheetId="29" r:id="rId12"/>
  </sheets>
  <definedNames>
    <definedName name="_xlnm._FilterDatabase" localSheetId="1" hidden="1">'様式２　プログラムを構成する授業科目 (1)【修正あり】'!#REF!</definedName>
    <definedName name="_xlnm._FilterDatabase" localSheetId="2" hidden="1">'様式２　プログラムを構成する授業科目 (2)【修正あり】'!#REF!</definedName>
    <definedName name="_xlnm._FilterDatabase" localSheetId="3" hidden="1">'様式２　プログラムを構成する授業科目 (3)【修正あり】'!#REF!</definedName>
    <definedName name="_xlnm._FilterDatabase" localSheetId="4" hidden="1">'様式２　プログラムを構成する授業科目 (4)【修正あり】'!#REF!</definedName>
    <definedName name="_xlnm._FilterDatabase" localSheetId="5" hidden="1">'様式２　プログラムを構成する授業科目 (5)【修正あり】'!#REF!</definedName>
    <definedName name="_xlnm._FilterDatabase" localSheetId="6" hidden="1">'様式２　プログラムを構成する授業科目 (6)【修正あり】'!#REF!</definedName>
    <definedName name="_xlnm._FilterDatabase" localSheetId="7" hidden="1">'様式３　履修者等数の実績'!#REF!</definedName>
    <definedName name="_xlnm.Print_Area" localSheetId="0">'様式１　大学等概要'!$A$1:$N$47</definedName>
    <definedName name="_xlnm.Print_Area" localSheetId="1">'様式２　プログラムを構成する授業科目 (1)【修正あり】'!$A$1:$I$45</definedName>
    <definedName name="_xlnm.Print_Area" localSheetId="2">'様式２　プログラムを構成する授業科目 (2)【修正あり】'!$A$1:$I$45</definedName>
    <definedName name="_xlnm.Print_Area" localSheetId="3">'様式２　プログラムを構成する授業科目 (3)【修正あり】'!$A$1:$I$45</definedName>
    <definedName name="_xlnm.Print_Area" localSheetId="4">'様式２　プログラムを構成する授業科目 (4)【修正あり】'!$A$1:$I$45</definedName>
    <definedName name="_xlnm.Print_Area" localSheetId="5">'様式２　プログラムを構成する授業科目 (5)【修正あり】'!$A$1:$I$45</definedName>
    <definedName name="_xlnm.Print_Area" localSheetId="6">'様式２　プログラムを構成する授業科目 (6)【修正あり】'!$A$1:$I$45</definedName>
    <definedName name="_xlnm.Print_Area" localSheetId="7">'様式３　履修者等数の実績'!$A$1:$R$27</definedName>
    <definedName name="_xlnm.Print_Area" localSheetId="9">'様式５　教育の質・履修者数を向上させるための体制・計画'!$A$1:$E$134</definedName>
    <definedName name="_xlnm.Print_Area" localSheetId="10">'様式６　自己点検・評価'!$A$1:$J$20</definedName>
    <definedName name="_xlnm.Print_Area" localSheetId="11">'様式７　特色ある取組'!$A$1:$F$128</definedName>
  </definedNames>
  <calcPr calcId="162913"/>
</workbook>
</file>

<file path=xl/calcChain.xml><?xml version="1.0" encoding="utf-8"?>
<calcChain xmlns="http://schemas.openxmlformats.org/spreadsheetml/2006/main">
  <c r="E17" i="31" l="1"/>
  <c r="G31" i="41" l="1"/>
  <c r="G30" i="41"/>
  <c r="G29" i="41"/>
  <c r="G28" i="41"/>
  <c r="G27" i="41"/>
  <c r="G26" i="41"/>
  <c r="G25" i="41"/>
  <c r="G24" i="41"/>
  <c r="G23" i="41"/>
  <c r="G32" i="41"/>
  <c r="G33" i="41"/>
  <c r="G34" i="41"/>
  <c r="G35" i="41"/>
  <c r="G36" i="41"/>
  <c r="G37" i="41"/>
  <c r="G38" i="41"/>
  <c r="G39" i="41"/>
  <c r="G40" i="41"/>
  <c r="G41" i="41"/>
  <c r="G42" i="41"/>
  <c r="G43" i="41"/>
  <c r="G44" i="41"/>
  <c r="P17" i="31" l="1"/>
  <c r="O17" i="31"/>
  <c r="N17" i="31"/>
  <c r="M17" i="31"/>
  <c r="L17" i="31"/>
  <c r="K17" i="31"/>
  <c r="J17" i="31"/>
  <c r="I17" i="31"/>
  <c r="H17" i="31"/>
  <c r="G17" i="31"/>
  <c r="F17" i="31"/>
  <c r="D17" i="31"/>
  <c r="Q16" i="31"/>
  <c r="R16" i="31" s="1"/>
  <c r="Q15" i="31"/>
  <c r="R15" i="31" s="1"/>
  <c r="Q14" i="31"/>
  <c r="R14" i="31" s="1"/>
  <c r="Q13" i="31"/>
  <c r="R13" i="31" s="1"/>
  <c r="Q12" i="31"/>
  <c r="R12" i="31" s="1"/>
  <c r="Q11" i="31"/>
  <c r="R11" i="31" s="1"/>
  <c r="Q10" i="31"/>
  <c r="R10" i="31" s="1"/>
  <c r="Q9" i="31"/>
  <c r="R9" i="31" s="1"/>
  <c r="Q8" i="31"/>
  <c r="Q17" i="31" l="1"/>
  <c r="R17" i="31" s="1"/>
  <c r="R8" i="31"/>
</calcChain>
</file>

<file path=xl/sharedStrings.xml><?xml version="1.0" encoding="utf-8"?>
<sst xmlns="http://schemas.openxmlformats.org/spreadsheetml/2006/main" count="817" uniqueCount="631">
  <si>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</si>
  <si>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</si>
  <si>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</si>
  <si>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</si>
  <si>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</si>
  <si>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</si>
  <si>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</si>
  <si>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</si>
  <si>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</si>
  <si>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</si>
  <si>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</si>
  <si>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</si>
  <si>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</si>
  <si>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</si>
  <si>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</si>
  <si>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</si>
  <si>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</si>
  <si>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</si>
  <si>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</si>
  <si>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</si>
  <si>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</si>
  <si>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</si>
  <si>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</si>
  <si>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</si>
  <si>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</si>
  <si>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</si>
  <si>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</si>
  <si>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</si>
  <si>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</si>
  <si>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</si>
  <si>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</si>
  <si>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</si>
  <si>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</si>
  <si>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</si>
  <si>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</si>
  <si>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</si>
  <si>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</si>
  <si>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</si>
  <si>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</si>
  <si>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</si>
  <si>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</si>
  <si>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</si>
  <si>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</si>
  <si>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</si>
  <si>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</si>
  <si>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</si>
  <si>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</si>
  <si>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</si>
  <si>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</si>
  <si>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</si>
  <si>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</si>
  <si>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</si>
  <si>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</si>
  <si>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</si>
  <si>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</si>
  <si>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</si>
  <si>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</si>
  <si>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</si>
  <si>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</si>
  <si>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</si>
  <si>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</si>
  <si>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</si>
  <si>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</si>
  <si>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</si>
  <si>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</si>
  <si>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</si>
  <si>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</si>
  <si>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</si>
  <si>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</si>
  <si>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</si>
  <si>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</si>
  <si>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</si>
  <si>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</si>
  <si>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</si>
  <si>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</si>
  <si>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</si>
  <si>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</si>
  <si>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</si>
  <si>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</si>
  <si>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</si>
  <si>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</si>
  <si>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</si>
  <si>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</si>
  <si>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</si>
  <si>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</si>
  <si>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</si>
  <si>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</si>
  <si>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</si>
  <si>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</si>
  <si>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</si>
  <si>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</si>
  <si>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</si>
  <si>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</si>
  <si>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</si>
  <si>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</si>
  <si>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</si>
  <si>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</si>
  <si>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</si>
  <si>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</si>
  <si>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</si>
  <si>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</si>
  <si>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</si>
  <si>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</si>
  <si>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</si>
  <si>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</si>
  <si>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</si>
  <si>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</si>
  <si>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</si>
  <si>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</si>
  <si>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</si>
  <si>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</si>
  <si>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</si>
  <si>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</si>
  <si>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</si>
  <si>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</si>
  <si>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</si>
  <si>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</si>
  <si>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</si>
  <si>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</si>
  <si>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</si>
  <si>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</si>
  <si>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</si>
  <si>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</si>
  <si>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</si>
  <si>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</si>
  <si>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</si>
  <si>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</si>
  <si>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</si>
  <si>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</si>
  <si>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富山大学</t>
    <rPh sb="0" eb="4">
      <t>トヤマダイガク</t>
    </rPh>
    <phoneticPr fontId="1"/>
  </si>
  <si>
    <t>国立大学法人富山大学</t>
    <rPh sb="0" eb="4">
      <t>コクリツダイガク</t>
    </rPh>
    <rPh sb="4" eb="6">
      <t>ホウジン</t>
    </rPh>
    <rPh sb="6" eb="10">
      <t>トヤマダイガク</t>
    </rPh>
    <phoneticPr fontId="1"/>
  </si>
  <si>
    <t>国立大学</t>
  </si>
  <si>
    <t>富山県富山市五福3190</t>
    <rPh sb="0" eb="6">
      <t>トヤマケントヤマシ</t>
    </rPh>
    <rPh sb="6" eb="8">
      <t>ゴフク</t>
    </rPh>
    <phoneticPr fontId="1"/>
  </si>
  <si>
    <t>令和２年度</t>
    <rPh sb="0" eb="2">
      <t>レイワ</t>
    </rPh>
    <rPh sb="3" eb="5">
      <t>ネンド</t>
    </rPh>
    <phoneticPr fontId="1"/>
  </si>
  <si>
    <t>データサイエンス推進センター長</t>
    <rPh sb="8" eb="10">
      <t>スイシン</t>
    </rPh>
    <rPh sb="14" eb="15">
      <t>チョウ</t>
    </rPh>
    <phoneticPr fontId="1"/>
  </si>
  <si>
    <t>データサイエンス推進センター会議</t>
    <rPh sb="8" eb="10">
      <t>スイシン</t>
    </rPh>
    <rPh sb="14" eb="16">
      <t>カイギ</t>
    </rPh>
    <phoneticPr fontId="1"/>
  </si>
  <si>
    <t>富山大学教育・学生支援機構データサイエンス推進センター会議内規</t>
    <phoneticPr fontId="1"/>
  </si>
  <si>
    <t>富山大学数理・データサイエンス・AI教育プログラム</t>
    <rPh sb="0" eb="4">
      <t>トヤマダイガク</t>
    </rPh>
    <rPh sb="4" eb="6">
      <t>スウリ</t>
    </rPh>
    <rPh sb="18" eb="20">
      <t>キョウイク</t>
    </rPh>
    <phoneticPr fontId="1"/>
  </si>
  <si>
    <t>g-kikaku@adm.u-toyama.ac.jp</t>
    <phoneticPr fontId="1"/>
  </si>
  <si>
    <t>自然と情報の数理</t>
  </si>
  <si>
    <t>社会と情報の数理</t>
  </si>
  <si>
    <t>コンピュータの話</t>
  </si>
  <si>
    <t>解析学－Ａ</t>
  </si>
  <si>
    <t>解析学－Ｂ</t>
  </si>
  <si>
    <t>微分積分Ⅰ－Ａ</t>
  </si>
  <si>
    <t>微分積分Ⅰ－Ｂ</t>
  </si>
  <si>
    <t>微分積分Ⅰ－Ｃ</t>
  </si>
  <si>
    <t>微分積分Ⅰ－Ｄ</t>
  </si>
  <si>
    <t>微分積分Ⅰ－Ｅ</t>
  </si>
  <si>
    <t>線形代数Ⅰ－Ａ</t>
  </si>
  <si>
    <t>線形代数Ⅰ－Ｂ</t>
  </si>
  <si>
    <t>線形代数Ⅰ－Ｃ</t>
  </si>
  <si>
    <t>線形代数Ⅰ－Ｄ</t>
  </si>
  <si>
    <t>線形代数Ⅰ－Ｅ</t>
  </si>
  <si>
    <t>自然現象のモデル化とその解析</t>
  </si>
  <si>
    <t>脳科学入門</t>
  </si>
  <si>
    <t>情報処理－Ａ</t>
  </si>
  <si>
    <t>情報処理－Ｂ</t>
  </si>
  <si>
    <t>情報処理－Ｃ</t>
  </si>
  <si>
    <t>応用情報処理</t>
  </si>
  <si>
    <t>学部・学科によって、修了要件は相違しない</t>
  </si>
  <si>
    <t>審査項目①～⑤を満たす科目である「情報処理」（教養教育科目，全学部生必修）においては，授業評価アンケートの結果を，授業担当教員が毎週の定例ミーティングにおいて分析し，改善策を検討している。</t>
    <rPh sb="0" eb="4">
      <t>シンサコウモク</t>
    </rPh>
    <rPh sb="8" eb="9">
      <t>ミ</t>
    </rPh>
    <rPh sb="11" eb="13">
      <t>カモク</t>
    </rPh>
    <rPh sb="17" eb="21">
      <t>ジョウホウショリ</t>
    </rPh>
    <rPh sb="23" eb="27">
      <t>キョウヨウキョウイク</t>
    </rPh>
    <rPh sb="27" eb="29">
      <t>カモク</t>
    </rPh>
    <rPh sb="30" eb="31">
      <t>ゼン</t>
    </rPh>
    <rPh sb="31" eb="32">
      <t>ガク</t>
    </rPh>
    <rPh sb="32" eb="33">
      <t>ブ</t>
    </rPh>
    <rPh sb="33" eb="34">
      <t>セイ</t>
    </rPh>
    <rPh sb="34" eb="36">
      <t>ヒッシュウ</t>
    </rPh>
    <rPh sb="43" eb="47">
      <t>ジュギョウヒョウカ</t>
    </rPh>
    <rPh sb="53" eb="55">
      <t>ケッカ</t>
    </rPh>
    <rPh sb="57" eb="59">
      <t>ジュギョウ</t>
    </rPh>
    <rPh sb="59" eb="61">
      <t>タントウ</t>
    </rPh>
    <rPh sb="61" eb="63">
      <t>キョウイン</t>
    </rPh>
    <rPh sb="64" eb="66">
      <t>マイシュウ</t>
    </rPh>
    <rPh sb="67" eb="69">
      <t>テイレイ</t>
    </rPh>
    <rPh sb="79" eb="81">
      <t>ブンセキ</t>
    </rPh>
    <rPh sb="83" eb="86">
      <t>カイゼンサク</t>
    </rPh>
    <rPh sb="87" eb="89">
      <t>ケントウ</t>
    </rPh>
    <phoneticPr fontId="1"/>
  </si>
  <si>
    <t>社会学フィールド演習(a)</t>
  </si>
  <si>
    <t>社会学フィールド演習(b)</t>
  </si>
  <si>
    <t>社会調査法(a)</t>
  </si>
  <si>
    <t>社会調査法(c)</t>
  </si>
  <si>
    <t>社会文化演習</t>
  </si>
  <si>
    <t>統計学(1)</t>
  </si>
  <si>
    <t>統計学(2)</t>
  </si>
  <si>
    <t>心理学演習(A)</t>
  </si>
  <si>
    <t>心理学演習(B)</t>
  </si>
  <si>
    <t>心理学演習(C)</t>
  </si>
  <si>
    <t>心理学演習(F)</t>
  </si>
  <si>
    <t>心理学研究法Ⅰ</t>
  </si>
  <si>
    <t>心理学研究法Ⅱ</t>
  </si>
  <si>
    <t>心理学実験Ⅰ</t>
  </si>
  <si>
    <t>心理学実験Ⅱ</t>
  </si>
  <si>
    <t>心理学実験Ⅲ</t>
  </si>
  <si>
    <t>心理学実験Ⅳ</t>
  </si>
  <si>
    <t>心理学統計法</t>
  </si>
  <si>
    <t>人文地理学フィールド演習(1)</t>
  </si>
  <si>
    <t>人文地理学フィールド演習(2)</t>
  </si>
  <si>
    <t>人文地理学特殊講義(a)</t>
  </si>
  <si>
    <t>地理情報科学(GIS)実習</t>
  </si>
  <si>
    <t>発達科学概論</t>
  </si>
  <si>
    <t>社会調査法</t>
  </si>
  <si>
    <t>教育心理学実験</t>
  </si>
  <si>
    <t>心理学研究法</t>
  </si>
  <si>
    <t>心理学実験法</t>
  </si>
  <si>
    <t>心理統計学</t>
  </si>
  <si>
    <t>特別支援教育研究法</t>
  </si>
  <si>
    <t>発達福祉統計学</t>
  </si>
  <si>
    <t>ネットワークリテラシー</t>
  </si>
  <si>
    <t>スポーツ動作分析法</t>
  </si>
  <si>
    <t>バイオメカニクス</t>
  </si>
  <si>
    <t>マルチメディアシステム</t>
  </si>
  <si>
    <t>マルチメディアシステム演習</t>
  </si>
  <si>
    <t>環境測定と誤差</t>
  </si>
  <si>
    <t>環境物理学実験</t>
  </si>
  <si>
    <t>基本統計</t>
  </si>
  <si>
    <t>情報集中演習</t>
  </si>
  <si>
    <t>基礎数学</t>
  </si>
  <si>
    <t>経営システム‐Ａ</t>
  </si>
  <si>
    <t>経営システム‐Ｂ</t>
  </si>
  <si>
    <t>金融論Ⅰ‐Ａ</t>
  </si>
  <si>
    <t>金融論Ⅰ‐Ｂ</t>
  </si>
  <si>
    <t>経営学と経済学で出る数学</t>
  </si>
  <si>
    <t>経済情報処理</t>
  </si>
  <si>
    <t>計量経済学‐Ａ</t>
  </si>
  <si>
    <t>計量経済学‐Ｂ</t>
  </si>
  <si>
    <t>情報システム論‐Ａ</t>
  </si>
  <si>
    <t>情報システム論‐Ｂ</t>
  </si>
  <si>
    <t>統計学‐Ａ</t>
  </si>
  <si>
    <t>統計学‐Ｂ</t>
  </si>
  <si>
    <t>応用数学基礎</t>
  </si>
  <si>
    <t>線形代数学Ａ</t>
  </si>
  <si>
    <t>線形代数学Ｂ</t>
  </si>
  <si>
    <t>プログラミングⅠ</t>
  </si>
  <si>
    <t>解析学Ⅲ</t>
  </si>
  <si>
    <t>解析学Ⅳ</t>
  </si>
  <si>
    <t>情報数理特論Ａ</t>
  </si>
  <si>
    <t>物理数学Ａ</t>
  </si>
  <si>
    <t>物理実験学</t>
  </si>
  <si>
    <t>物理学実験Ａ</t>
  </si>
  <si>
    <t>物理学実験Ｂ</t>
  </si>
  <si>
    <t>物理学実験Ｃ</t>
  </si>
  <si>
    <t>プログラミング実習</t>
  </si>
  <si>
    <t>物理化学実験</t>
  </si>
  <si>
    <t>無機分析化学実験</t>
  </si>
  <si>
    <t>基礎生化学</t>
  </si>
  <si>
    <t>進化生態学</t>
  </si>
  <si>
    <t>生体構造学実験Ⅰ</t>
  </si>
  <si>
    <t>生体構造学実験Ⅱ</t>
  </si>
  <si>
    <t>生体制御学実験Ⅰ</t>
  </si>
  <si>
    <t>生体制御学実験Ⅱ</t>
  </si>
  <si>
    <t>生命情報科学</t>
  </si>
  <si>
    <t>環境化学計測</t>
  </si>
  <si>
    <t>植物生態学</t>
  </si>
  <si>
    <t>大気物理学</t>
  </si>
  <si>
    <t>環境物理学</t>
  </si>
  <si>
    <t>生物圏環境科学実験Ⅰ</t>
  </si>
  <si>
    <t>生物圏環境科学実験Ⅱ</t>
  </si>
  <si>
    <t>生物圏環境科学実験Ⅲ</t>
  </si>
  <si>
    <t>医学統計</t>
  </si>
  <si>
    <t>環境保健学</t>
  </si>
  <si>
    <t>研究医養成プログラム</t>
  </si>
  <si>
    <t>社会医学実習</t>
  </si>
  <si>
    <t>神経・脳科学</t>
  </si>
  <si>
    <t>診療情報・臨床研究と医療</t>
  </si>
  <si>
    <t>対人保健学</t>
  </si>
  <si>
    <t>臨床薬理・ＥＢＭと医療</t>
  </si>
  <si>
    <t>ヘルスケアシステム論</t>
  </si>
  <si>
    <t>公衆衛生学</t>
  </si>
  <si>
    <t>行動科学</t>
  </si>
  <si>
    <t>最先端医療と看護</t>
  </si>
  <si>
    <t>助産学ゼミナール</t>
  </si>
  <si>
    <t>総合実習</t>
  </si>
  <si>
    <t>地域看護学実習</t>
  </si>
  <si>
    <t>医療系実習(薬剤学)</t>
  </si>
  <si>
    <t>医療薬剤学</t>
  </si>
  <si>
    <t>合成化学</t>
  </si>
  <si>
    <t>総合薬学演習</t>
  </si>
  <si>
    <t>統計学</t>
  </si>
  <si>
    <t>物理系実習(物理化学Ⅰ)</t>
  </si>
  <si>
    <t>医療統計学</t>
  </si>
  <si>
    <t>製薬企業と創薬</t>
  </si>
  <si>
    <t>微分積分Ⅰ（A）</t>
  </si>
  <si>
    <t>微分積分Ⅰ（B）</t>
  </si>
  <si>
    <t>微分積分Ⅱ</t>
  </si>
  <si>
    <t>線形代数Ⅱ</t>
  </si>
  <si>
    <t>プログラミング実習Ａ</t>
  </si>
  <si>
    <t>プログラミング実習Ｂ</t>
  </si>
  <si>
    <t>線形代数Ⅰ（B）</t>
  </si>
  <si>
    <t>データサイエンスⅠ</t>
  </si>
  <si>
    <t>工学概論／情報</t>
  </si>
  <si>
    <t>熱・波動</t>
  </si>
  <si>
    <t>プログラミング応用Ｂ</t>
  </si>
  <si>
    <t>情報倫理</t>
  </si>
  <si>
    <t>線形代数演習</t>
  </si>
  <si>
    <t>離散数学</t>
  </si>
  <si>
    <t>フーリエ解析</t>
  </si>
  <si>
    <t>計算機アーキテクチャ</t>
  </si>
  <si>
    <t>情報理論</t>
  </si>
  <si>
    <t>知的システム</t>
  </si>
  <si>
    <t>データサイエンスⅡ</t>
  </si>
  <si>
    <t>プログラミング応用Ａ</t>
  </si>
  <si>
    <t>ディジタル電子回路</t>
  </si>
  <si>
    <t>電気電子計測工学</t>
  </si>
  <si>
    <t>オブジェクト指向</t>
  </si>
  <si>
    <t>ソフトウェア工学</t>
  </si>
  <si>
    <t>データベース論</t>
  </si>
  <si>
    <t>ヒューマンコンピュータインタラクション</t>
  </si>
  <si>
    <t>人工知能</t>
  </si>
  <si>
    <t>生体情報処理</t>
  </si>
  <si>
    <t>知能情報工学実験Ａ</t>
  </si>
  <si>
    <t>知能情報工学実験Ｂ</t>
  </si>
  <si>
    <t>論理情報回路</t>
  </si>
  <si>
    <t>基礎センサ工学</t>
  </si>
  <si>
    <t>図形情報演習</t>
  </si>
  <si>
    <t>数値解析</t>
  </si>
  <si>
    <t>データ解析概論</t>
  </si>
  <si>
    <t>デジタル信号処理</t>
  </si>
  <si>
    <t>パターン認識</t>
  </si>
  <si>
    <t>ブレインコンピューティング</t>
  </si>
  <si>
    <t>音情報学</t>
  </si>
  <si>
    <t>画像処理工学</t>
  </si>
  <si>
    <t>機械学習</t>
  </si>
  <si>
    <t>自然言語処理</t>
  </si>
  <si>
    <t>情報セキュリティ</t>
  </si>
  <si>
    <t>情報ネットワーク</t>
  </si>
  <si>
    <t>知能情報工学実験Ｃ</t>
  </si>
  <si>
    <t>通信システム</t>
  </si>
  <si>
    <t>センサ工学</t>
  </si>
  <si>
    <t>計測工学</t>
  </si>
  <si>
    <t>計測工学演習</t>
  </si>
  <si>
    <t>システム工学</t>
  </si>
  <si>
    <t>バイオインフォマティクス</t>
  </si>
  <si>
    <t>生命工学実験Ⅲ</t>
  </si>
  <si>
    <t>CG基礎演習</t>
  </si>
  <si>
    <t>CG入門演習（3D）</t>
  </si>
  <si>
    <t>Web演習Ⅰ</t>
  </si>
  <si>
    <t>Web演習Ⅱ</t>
  </si>
  <si>
    <t>コンピュータグラフィックス</t>
  </si>
  <si>
    <t>デザインのためのデータ活用実習</t>
  </si>
  <si>
    <t>デジタルコンテンツ</t>
  </si>
  <si>
    <t>デジタルコンテンツ演習</t>
  </si>
  <si>
    <t>プログラミング基礎演習</t>
  </si>
  <si>
    <t>芸文基礎演習D</t>
  </si>
  <si>
    <t>芸文総合演習D</t>
  </si>
  <si>
    <t>人間工学概論</t>
  </si>
  <si>
    <t>線形代数</t>
  </si>
  <si>
    <t>微分積分</t>
  </si>
  <si>
    <t>地球計算機実習</t>
  </si>
  <si>
    <t>地球情報学</t>
  </si>
  <si>
    <t>地質学実験</t>
  </si>
  <si>
    <t>気水圏情報処理論</t>
  </si>
  <si>
    <t>プログラミング演習</t>
  </si>
  <si>
    <t>プログラミング基礎</t>
  </si>
  <si>
    <t>構造力学基礎</t>
  </si>
  <si>
    <t>水理・水工学基礎</t>
  </si>
  <si>
    <t>測量学及び実習</t>
  </si>
  <si>
    <t>地盤工学基礎</t>
  </si>
  <si>
    <t>都市と交通の基礎理論</t>
  </si>
  <si>
    <t>構造・材料実験</t>
  </si>
  <si>
    <t>地盤・水理実験</t>
  </si>
  <si>
    <t>都市・交通情報通信</t>
  </si>
  <si>
    <t>防災と情報</t>
  </si>
  <si>
    <t>材料力学</t>
  </si>
  <si>
    <t>地域の経済と社会・文化</t>
    <phoneticPr fontId="1"/>
  </si>
  <si>
    <t>富山大学</t>
    <rPh sb="0" eb="4">
      <t>トヤマダイガク</t>
    </rPh>
    <phoneticPr fontId="1"/>
  </si>
  <si>
    <t>数理・データサイエンス・ＡＩ教育の全学的推進，質保証・質向上を目的に，全学機構である教育・学生支援機構のセンターとして設置。本センターが，プログラムの評価・改善について企画立案・実施する。</t>
    <rPh sb="17" eb="20">
      <t>ゼンガクテキ</t>
    </rPh>
    <rPh sb="27" eb="28">
      <t>シツ</t>
    </rPh>
    <rPh sb="31" eb="33">
      <t>モクテキ</t>
    </rPh>
    <rPh sb="35" eb="37">
      <t>ゼンガク</t>
    </rPh>
    <rPh sb="37" eb="39">
      <t>キコウ</t>
    </rPh>
    <rPh sb="42" eb="44">
      <t>キョウイク</t>
    </rPh>
    <rPh sb="59" eb="61">
      <t>セッチ</t>
    </rPh>
    <rPh sb="62" eb="63">
      <t>ホン</t>
    </rPh>
    <rPh sb="75" eb="77">
      <t>ヒョウカ</t>
    </rPh>
    <rPh sb="78" eb="80">
      <t>カイゼン</t>
    </rPh>
    <rPh sb="84" eb="88">
      <t>キカクリツアン</t>
    </rPh>
    <rPh sb="89" eb="91">
      <t>ジッシ</t>
    </rPh>
    <phoneticPr fontId="1"/>
  </si>
  <si>
    <t>https://ds.ctg.u-toyama.ac.jp/</t>
    <phoneticPr fontId="1"/>
  </si>
  <si>
    <t>富山県経済連合会・北陸経済連合会の参画企業，及び令和３年度開講寄附講座参画企業と情報交換・意見交換している。</t>
    <rPh sb="0" eb="3">
      <t>トヤマケン</t>
    </rPh>
    <rPh sb="3" eb="8">
      <t>ケイザイレンゴウカイ</t>
    </rPh>
    <rPh sb="17" eb="19">
      <t>サンカク</t>
    </rPh>
    <rPh sb="19" eb="21">
      <t>キギョウ</t>
    </rPh>
    <rPh sb="22" eb="23">
      <t>オヨ</t>
    </rPh>
    <rPh sb="24" eb="26">
      <t>レイワ</t>
    </rPh>
    <rPh sb="27" eb="29">
      <t>ネンド</t>
    </rPh>
    <rPh sb="29" eb="31">
      <t>カイコウ</t>
    </rPh>
    <rPh sb="31" eb="35">
      <t>キフコウザ</t>
    </rPh>
    <rPh sb="35" eb="39">
      <t>サンカクキギョウ</t>
    </rPh>
    <rPh sb="40" eb="42">
      <t>ジョウホウ</t>
    </rPh>
    <phoneticPr fontId="1"/>
  </si>
  <si>
    <t>各授業科目の質問等は，オフィスアワーほか，授業時間内外を問わずLMS（富山大学Moodle）上で受け付ける体制を整備している。
プログラムに関する質問等については，学務部学務課で受け付けるほか，データサイエンス推進センターの教員が各学部に１名ずつ配置されており，所属学部の学生に対し履修指導を行っている。</t>
    <rPh sb="0" eb="1">
      <t>カク</t>
    </rPh>
    <rPh sb="1" eb="3">
      <t>ジュギョウ</t>
    </rPh>
    <rPh sb="3" eb="5">
      <t>カモク</t>
    </rPh>
    <rPh sb="6" eb="8">
      <t>シツモン</t>
    </rPh>
    <rPh sb="8" eb="9">
      <t>トウ</t>
    </rPh>
    <rPh sb="21" eb="25">
      <t>ジュギョウジカン</t>
    </rPh>
    <rPh sb="25" eb="26">
      <t>ナイ</t>
    </rPh>
    <rPh sb="26" eb="27">
      <t>ガイ</t>
    </rPh>
    <rPh sb="28" eb="29">
      <t>ト</t>
    </rPh>
    <rPh sb="35" eb="39">
      <t>トヤマダイガク</t>
    </rPh>
    <rPh sb="46" eb="47">
      <t>ジョウ</t>
    </rPh>
    <rPh sb="48" eb="49">
      <t>ウ</t>
    </rPh>
    <rPh sb="50" eb="51">
      <t>ツ</t>
    </rPh>
    <rPh sb="53" eb="55">
      <t>タイセイ</t>
    </rPh>
    <rPh sb="56" eb="58">
      <t>セイビ</t>
    </rPh>
    <rPh sb="70" eb="71">
      <t>カン</t>
    </rPh>
    <rPh sb="73" eb="75">
      <t>シツモン</t>
    </rPh>
    <rPh sb="75" eb="76">
      <t>トウ</t>
    </rPh>
    <rPh sb="82" eb="85">
      <t>ガクムブ</t>
    </rPh>
    <rPh sb="85" eb="88">
      <t>ガクムカ</t>
    </rPh>
    <rPh sb="89" eb="90">
      <t>ウ</t>
    </rPh>
    <rPh sb="91" eb="92">
      <t>ツ</t>
    </rPh>
    <rPh sb="105" eb="107">
      <t>スイシン</t>
    </rPh>
    <rPh sb="112" eb="114">
      <t>キョウイン</t>
    </rPh>
    <rPh sb="115" eb="118">
      <t>カクガクブ</t>
    </rPh>
    <rPh sb="120" eb="121">
      <t>メイ</t>
    </rPh>
    <rPh sb="123" eb="125">
      <t>ハイチ</t>
    </rPh>
    <rPh sb="131" eb="135">
      <t>ショゾクガクブ</t>
    </rPh>
    <rPh sb="136" eb="138">
      <t>ガクセイ</t>
    </rPh>
    <rPh sb="139" eb="140">
      <t>タイ</t>
    </rPh>
    <rPh sb="141" eb="145">
      <t>リシュウシドウ</t>
    </rPh>
    <rPh sb="146" eb="147">
      <t>オコナ</t>
    </rPh>
    <phoneticPr fontId="1"/>
  </si>
  <si>
    <t>栗本　猛</t>
    <rPh sb="0" eb="2">
      <t>クリモト</t>
    </rPh>
    <rPh sb="3" eb="4">
      <t>タケシ</t>
    </rPh>
    <phoneticPr fontId="1"/>
  </si>
  <si>
    <t>情報処理－Ａ,B,C</t>
    <phoneticPr fontId="1"/>
  </si>
  <si>
    <t>ネットワークリテラシー</t>
    <phoneticPr fontId="1"/>
  </si>
  <si>
    <t>デジタルコンテンツ</t>
    <phoneticPr fontId="1"/>
  </si>
  <si>
    <t>情報処理とデータサイエンス：原データから有用な情報へ，その社会での活用例(5)</t>
    <phoneticPr fontId="1"/>
  </si>
  <si>
    <t>現代社会におけるデータサイエンス(1-3)</t>
    <phoneticPr fontId="1"/>
  </si>
  <si>
    <t>最新動向（知的財産, ビッグデータなどを説明）(14)</t>
    <phoneticPr fontId="1"/>
  </si>
  <si>
    <t>脳科学ワークショップ(15)</t>
    <phoneticPr fontId="1"/>
  </si>
  <si>
    <t>クラウドサービスの危険性(11)</t>
    <phoneticPr fontId="1"/>
  </si>
  <si>
    <t>知能情報工学分野の研究調査(12-15)</t>
    <phoneticPr fontId="1"/>
  </si>
  <si>
    <t>デジタルコンテンツの最新情報(15)</t>
    <phoneticPr fontId="1"/>
  </si>
  <si>
    <t>ビッグデータ解析の実践(13)</t>
    <phoneticPr fontId="1"/>
  </si>
  <si>
    <t>スマートインフラを支える情報通信技術(8-9)</t>
    <phoneticPr fontId="1"/>
  </si>
  <si>
    <t>情報処理とデータサイエンス：原データから有用な情報へ，その社会での活用例(5)</t>
  </si>
  <si>
    <t>社会と情報の数理</t>
    <phoneticPr fontId="1"/>
  </si>
  <si>
    <t>環境保健学</t>
    <phoneticPr fontId="1"/>
  </si>
  <si>
    <t>公衆衛生学</t>
    <phoneticPr fontId="1"/>
  </si>
  <si>
    <t>医療薬剤学</t>
    <phoneticPr fontId="1"/>
  </si>
  <si>
    <t>デザインのためのデータ活用実習</t>
    <phoneticPr fontId="1"/>
  </si>
  <si>
    <t>工学概論／情報</t>
    <phoneticPr fontId="1"/>
  </si>
  <si>
    <t>ヒューマンコンピュータインタラクション</t>
    <phoneticPr fontId="1"/>
  </si>
  <si>
    <t>生体情報処理</t>
    <phoneticPr fontId="1"/>
  </si>
  <si>
    <t>通信システム</t>
    <phoneticPr fontId="1"/>
  </si>
  <si>
    <t>センサ工学</t>
    <phoneticPr fontId="1"/>
  </si>
  <si>
    <t>海洋物理学</t>
    <phoneticPr fontId="1"/>
  </si>
  <si>
    <t>地球情報学</t>
    <phoneticPr fontId="1"/>
  </si>
  <si>
    <t>地質学実験</t>
    <phoneticPr fontId="1"/>
  </si>
  <si>
    <t>都市・交通情報通信</t>
    <phoneticPr fontId="1"/>
  </si>
  <si>
    <t>機能的空間分化（CBD，中心商業・工業・混在・住宅・文教・港湾・郊外中心地区等）と地域間関係・地域問題(10)</t>
    <phoneticPr fontId="1"/>
  </si>
  <si>
    <t>行動経済学(13)</t>
    <phoneticPr fontId="1"/>
  </si>
  <si>
    <t>オープンデータの活用(9)</t>
    <phoneticPr fontId="1"/>
  </si>
  <si>
    <t>疫学と予防医学(1-9)</t>
    <phoneticPr fontId="1"/>
  </si>
  <si>
    <t>社会構造と健康・疾病との関係(3)</t>
    <phoneticPr fontId="1"/>
  </si>
  <si>
    <t>インシデントの分析と対策手法(3)，薬局における医薬品情報(6-8)</t>
    <phoneticPr fontId="1"/>
  </si>
  <si>
    <t>データ収集と解析(1-15)</t>
    <rPh sb="3" eb="5">
      <t>シュウシュウ</t>
    </rPh>
    <rPh sb="6" eb="8">
      <t>カイセキ</t>
    </rPh>
    <phoneticPr fontId="1"/>
  </si>
  <si>
    <t>社会でのヒューマンコンピュータインターフェイスの再開発(14)</t>
    <phoneticPr fontId="1"/>
  </si>
  <si>
    <t>生体情報処理の応用(11-15)</t>
    <phoneticPr fontId="1"/>
  </si>
  <si>
    <t>様々な通信・計測システム(14)</t>
    <phoneticPr fontId="1"/>
  </si>
  <si>
    <t>IoTとセンサ技術(13)</t>
    <phoneticPr fontId="1"/>
  </si>
  <si>
    <t>気候と海洋の変動(６－１５)</t>
    <rPh sb="3" eb="5">
      <t>カイヨウ</t>
    </rPh>
    <rPh sb="6" eb="8">
      <t>ヘンドウ</t>
    </rPh>
    <phoneticPr fontId="1"/>
  </si>
  <si>
    <t>地理情報データベースの構成と利用(8-15)</t>
    <phoneticPr fontId="1"/>
  </si>
  <si>
    <t>GISの活用(10-12)</t>
    <rPh sb="4" eb="6">
      <t>カツヨウ</t>
    </rPh>
    <phoneticPr fontId="1"/>
  </si>
  <si>
    <t>情報のデジタル化(2-3)</t>
    <phoneticPr fontId="1"/>
  </si>
  <si>
    <t>応用情報処理</t>
    <phoneticPr fontId="1"/>
  </si>
  <si>
    <t>コンピュータの話</t>
    <phoneticPr fontId="1"/>
  </si>
  <si>
    <t>社会医学実習</t>
    <phoneticPr fontId="1"/>
  </si>
  <si>
    <t>医学統計</t>
    <phoneticPr fontId="1"/>
  </si>
  <si>
    <t>物理系実習(物理化学Ⅰ)</t>
    <phoneticPr fontId="1"/>
  </si>
  <si>
    <t>CG基礎演習</t>
    <phoneticPr fontId="1"/>
  </si>
  <si>
    <t>コンピュータグラフィックス</t>
    <phoneticPr fontId="1"/>
  </si>
  <si>
    <t>ブレインコンピューティング</t>
    <phoneticPr fontId="1"/>
  </si>
  <si>
    <t>地球計算機実習</t>
    <phoneticPr fontId="1"/>
  </si>
  <si>
    <t>気水圏情報処理論</t>
    <phoneticPr fontId="1"/>
  </si>
  <si>
    <t>測量学及び実習</t>
    <phoneticPr fontId="1"/>
  </si>
  <si>
    <t>都市と交通の基礎理論</t>
    <phoneticPr fontId="1"/>
  </si>
  <si>
    <t>防災と情報</t>
    <phoneticPr fontId="1"/>
  </si>
  <si>
    <t>ヒューマンインタフェースの考え・技術(1-15)</t>
    <phoneticPr fontId="1"/>
  </si>
  <si>
    <t>情報処理とデータサイエンス：原データから有用な情報へ，その社会での活用例(5)，用途と特性に応じた様々なグラフの作成(9)</t>
    <phoneticPr fontId="1"/>
  </si>
  <si>
    <t>人工知能(13)</t>
    <phoneticPr fontId="1"/>
  </si>
  <si>
    <t>課題解決アルゴリズム(2-15)</t>
    <rPh sb="0" eb="4">
      <t>カダイカイケツ</t>
    </rPh>
    <phoneticPr fontId="1"/>
  </si>
  <si>
    <t>生命倫理学</t>
    <phoneticPr fontId="1"/>
  </si>
  <si>
    <t>情報倫理</t>
    <phoneticPr fontId="1"/>
  </si>
  <si>
    <t>セキュリティ(11)</t>
    <phoneticPr fontId="1"/>
  </si>
  <si>
    <t>ネットワーク利用に関するルールやマナー(10-14)</t>
    <phoneticPr fontId="1"/>
  </si>
  <si>
    <t>社会文化演習</t>
    <phoneticPr fontId="1"/>
  </si>
  <si>
    <t>社会調査法</t>
    <phoneticPr fontId="1"/>
  </si>
  <si>
    <t>社会心理学調査法</t>
    <phoneticPr fontId="1"/>
  </si>
  <si>
    <t>経済情報処理</t>
    <phoneticPr fontId="1"/>
  </si>
  <si>
    <t>計量経済学A,B</t>
    <phoneticPr fontId="1"/>
  </si>
  <si>
    <t>物理化学実験</t>
    <phoneticPr fontId="1"/>
  </si>
  <si>
    <t>物理学実験Ａ,B,C</t>
    <phoneticPr fontId="1"/>
  </si>
  <si>
    <t>統計学</t>
    <phoneticPr fontId="1"/>
  </si>
  <si>
    <t>データ解析概論</t>
    <phoneticPr fontId="1"/>
  </si>
  <si>
    <t>知能情報工学実験Ｃ</t>
    <phoneticPr fontId="1"/>
  </si>
  <si>
    <t>計測工学演習</t>
    <phoneticPr fontId="1"/>
  </si>
  <si>
    <t>バイオインフォマティクス</t>
    <phoneticPr fontId="1"/>
  </si>
  <si>
    <t>芸文基礎演習D</t>
    <phoneticPr fontId="1"/>
  </si>
  <si>
    <t>CG入門演習（3D）</t>
    <phoneticPr fontId="1"/>
  </si>
  <si>
    <t>人間工学概論</t>
    <phoneticPr fontId="1"/>
  </si>
  <si>
    <t>情報処理とデータサイエンス：原データから有用な情報へ，その社会での活用例(5)，表計算ソフトによるデータ分析と様々なグラフの作成(6-9)</t>
    <rPh sb="40" eb="43">
      <t>ヒョウケイサン</t>
    </rPh>
    <rPh sb="52" eb="54">
      <t>ブンセキ</t>
    </rPh>
    <phoneticPr fontId="1"/>
  </si>
  <si>
    <t>コンピュータを用いたデータ分析とその基礎(4-12)</t>
    <phoneticPr fontId="1"/>
  </si>
  <si>
    <t>社会調査の意義や目的、種類(1-13)</t>
    <phoneticPr fontId="1"/>
  </si>
  <si>
    <t>社会学分野での情報収集・整理の技術(1-15)</t>
    <phoneticPr fontId="1"/>
  </si>
  <si>
    <t>社会調査の設計と実施、データの整理・分析(1-15)</t>
    <rPh sb="0" eb="2">
      <t>シャカイ</t>
    </rPh>
    <rPh sb="18" eb="20">
      <t>ブンセキ</t>
    </rPh>
    <phoneticPr fontId="1"/>
  </si>
  <si>
    <t>心理学のための統計法基礎(1-15)</t>
    <phoneticPr fontId="1"/>
  </si>
  <si>
    <t>心理学のためのデータ収集と分析(1-15)</t>
    <rPh sb="10" eb="12">
      <t>シュウシュウ</t>
    </rPh>
    <rPh sb="13" eb="15">
      <t>ブンセキ</t>
    </rPh>
    <phoneticPr fontId="1"/>
  </si>
  <si>
    <t>心理学の研究に必要なデータの収集と分析(1-15)</t>
    <phoneticPr fontId="1"/>
  </si>
  <si>
    <t>フィールドワークによるデータ収集と分析(1-15)</t>
    <rPh sb="14" eb="16">
      <t>シュウシュウ</t>
    </rPh>
    <rPh sb="17" eb="19">
      <t>ブンセキ</t>
    </rPh>
    <phoneticPr fontId="1"/>
  </si>
  <si>
    <t>地図・統計データを用いた空間解析(1-15)</t>
    <rPh sb="9" eb="10">
      <t>モチ</t>
    </rPh>
    <phoneticPr fontId="1"/>
  </si>
  <si>
    <t>社会（福祉）調査データ分析(8-13)</t>
    <phoneticPr fontId="1"/>
  </si>
  <si>
    <t>心理学研究データの収集と分液(7-15)</t>
    <rPh sb="12" eb="14">
      <t>ブンエキ</t>
    </rPh>
    <phoneticPr fontId="1"/>
  </si>
  <si>
    <t>経済データの分析(1-15)</t>
    <rPh sb="0" eb="2">
      <t>ケイザイ</t>
    </rPh>
    <rPh sb="6" eb="8">
      <t>ブンセキ</t>
    </rPh>
    <phoneticPr fontId="1"/>
  </si>
  <si>
    <t>計量経済学での統計的手法(1-15)</t>
    <rPh sb="7" eb="12">
      <t>トウケイテキシュホウ</t>
    </rPh>
    <phoneticPr fontId="1"/>
  </si>
  <si>
    <t>実験データの収集と解析</t>
    <rPh sb="0" eb="2">
      <t>ジッケン</t>
    </rPh>
    <rPh sb="6" eb="8">
      <t>シュウシュウ</t>
    </rPh>
    <rPh sb="9" eb="11">
      <t>カイセキ</t>
    </rPh>
    <phoneticPr fontId="1"/>
  </si>
  <si>
    <t>理学実験データの収集と解析</t>
    <rPh sb="0" eb="2">
      <t>リガク</t>
    </rPh>
    <rPh sb="2" eb="4">
      <t>ジッケン</t>
    </rPh>
    <rPh sb="8" eb="10">
      <t>シュウシュウ</t>
    </rPh>
    <rPh sb="11" eb="13">
      <t>カイセキ</t>
    </rPh>
    <phoneticPr fontId="1"/>
  </si>
  <si>
    <t>社会医学の方法論（研究計画、データの収集と分析等)の体得(2-7)</t>
  </si>
  <si>
    <t>エビデンスに基づいた薬物治療(1-7)</t>
    <phoneticPr fontId="1"/>
  </si>
  <si>
    <t>医療における統計手法(1-7)</t>
    <phoneticPr fontId="1"/>
  </si>
  <si>
    <t>薬学教育における生物統計(1-15)</t>
    <phoneticPr fontId="1"/>
  </si>
  <si>
    <t>データ解析に必要な統計解析の基本概念と基本手法(1-15)</t>
    <phoneticPr fontId="1"/>
  </si>
  <si>
    <t>工学実験データの収集と解析</t>
    <rPh sb="0" eb="2">
      <t>コウガク</t>
    </rPh>
    <rPh sb="2" eb="4">
      <t>ジッケン</t>
    </rPh>
    <rPh sb="8" eb="10">
      <t>シュウシュウ</t>
    </rPh>
    <rPh sb="11" eb="13">
      <t>カイセキ</t>
    </rPh>
    <phoneticPr fontId="1"/>
  </si>
  <si>
    <t>計測データの統計処理と分析(1-15)</t>
    <rPh sb="0" eb="2">
      <t>ケイソク</t>
    </rPh>
    <rPh sb="6" eb="10">
      <t>トウケイショリ</t>
    </rPh>
    <rPh sb="11" eb="13">
      <t>ブンセキ</t>
    </rPh>
    <phoneticPr fontId="1"/>
  </si>
  <si>
    <t>分子生物学データベースの利用と応用(1-15)</t>
    <rPh sb="15" eb="17">
      <t>オウヨウ</t>
    </rPh>
    <phoneticPr fontId="1"/>
  </si>
  <si>
    <t>デジタル技術の原理と応用(3-15)</t>
  </si>
  <si>
    <t>デザインのためのデータ収集と解析(1-15)</t>
    <rPh sb="11" eb="13">
      <t>シュウシュウ</t>
    </rPh>
    <rPh sb="14" eb="16">
      <t>カイセキ</t>
    </rPh>
    <phoneticPr fontId="1"/>
  </si>
  <si>
    <t>デジタル技術を用いたグラフっクスの作成(1-15)</t>
    <phoneticPr fontId="1"/>
  </si>
  <si>
    <t>問題解決のためのデータ収集と解析(1-15)</t>
    <rPh sb="14" eb="16">
      <t>カイセキ</t>
    </rPh>
    <phoneticPr fontId="1"/>
  </si>
  <si>
    <t>3Dデータの解析と応用</t>
    <rPh sb="6" eb="8">
      <t>カイセキ</t>
    </rPh>
    <rPh sb="9" eb="11">
      <t>オウヨウ</t>
    </rPh>
    <phoneticPr fontId="1"/>
  </si>
  <si>
    <t>生体計測とデータ処理(9-12)</t>
    <rPh sb="8" eb="10">
      <t>ショリ</t>
    </rPh>
    <phoneticPr fontId="1"/>
  </si>
  <si>
    <t>ビッグデータ解析の基本的手法(1-13)</t>
    <phoneticPr fontId="1"/>
  </si>
  <si>
    <t>多変量解析(1-15)</t>
    <phoneticPr fontId="1"/>
  </si>
  <si>
    <t>データサイエンスで必要とされる統計(1-15)</t>
    <phoneticPr fontId="1"/>
  </si>
  <si>
    <t>地理情報システムの仕組みと応用(1-15)</t>
    <phoneticPr fontId="1"/>
  </si>
  <si>
    <t>地理情報システムの利用(7-12)</t>
  </si>
  <si>
    <t>観測・実験データの可視化(1-15)</t>
    <phoneticPr fontId="1"/>
  </si>
  <si>
    <t>測量技術とその応用(1-15)</t>
    <phoneticPr fontId="1"/>
  </si>
  <si>
    <t>都市経済学・交通経済学の基礎と応用(1-15)</t>
    <phoneticPr fontId="1"/>
  </si>
  <si>
    <t>情報処理－A,B,C</t>
    <phoneticPr fontId="1"/>
  </si>
  <si>
    <t>その応用で</t>
    <rPh sb="2" eb="4">
      <t>オウヨウ</t>
    </rPh>
    <phoneticPr fontId="1"/>
  </si>
  <si>
    <t xml:space="preserve">コンピュータの話,データサイエンスIII／ビッグデータ解析基礎,離散数学,プログラミング基礎／電気電子,プログラミング基礎／機械,プログラミング応用Ａ,数値解析,パターン認識,応用情報処理,地球計算機実習,線形代数I,気水圏情報処理論,マルチメディアシステム,マルチメディアシステム演習,情報集中演習,プログラミング実習Ａ,プログラミング実習Ｂ,プログラミング基礎／知能情報,プログラミング応用Ｂ,アルゴリズムとデータ構造,知能情報工学実験Ａ,デジタルコンテンツ演習,プログラミング基礎演習,プログラミング演習,プログラミング基礎
</t>
    <phoneticPr fontId="1"/>
  </si>
  <si>
    <t>機械学習,最先端医療と看護,自然言語処理</t>
    <phoneticPr fontId="1"/>
  </si>
  <si>
    <t>プログラミング基礎演習,知能情報工学実験Ｃ,コンピュータグラフィックス,地球情報学,地質学実験,地球情報学,生体構造学実験Ⅰ,生体構造学実験Ⅱ,都市・交通情報通信,図形情報演習,画像処理工学</t>
    <phoneticPr fontId="1"/>
  </si>
  <si>
    <t>生体構造学実験Ⅰ,生体構造学実験Ⅱ,地球計算機実習,統計学,医療統計学,医療系実習(薬剤学),データサイエンスIII／ビッグデータ解析基礎,情報処理－Ａ,情報処理－Ｂ,情報処理－Ｃ,計量経済学‐Ａ,計量経済学‐Ｂ,プログラミング基礎／生命,プログラミング基礎／応用化学,社会医学実習,データサイエンスII／多変量解析,データサイエンスII／多変量解析,医学統計,データサイエンスII／多変量解析,線形代数,研究医養成プログラム,経済情報処理,物理学実験Ａ,物理学実験Ｂ,物理学実験Ｃ,物理化学実験,無機分析化学実験,生体制御学実験Ⅰ,生体制御学実験Ⅱ,生物圏環境科学実験Ⅰ,生物圏環境科学実験Ⅱ,生物圏環境科学実験Ⅲ,バイオインフォマティクス,物理系実習(物理化学Ⅰ),基礎生化学,進化生態学,生命情報科学,環境化学計測,植物生態学,大気物理学,環境物理学,合成化学,総合薬学演習,製薬企業と創薬,生命工学実験Ⅲ,地球内部物理学,材料デザイン工学実験Ａ,材料デザイン工学実験Ｂ,材料デザイン工学実験Ｃ,材料デザイン工学実験Ｄ,</t>
    <phoneticPr fontId="1"/>
  </si>
  <si>
    <t>生体構造学実験Ⅰ,生体構造学実験Ⅱ,統計学,医療統計学,データサイエンスIII／ビッグデータ解析基礎,計量経済学‐Ａ,計量経済学‐Ｂ,データサイエンスII／多変量解析,データサイエンスII／多変量解析,データサイエンスII／多変量解析,経済情報処理,物理学実験Ａ,物理学実験Ｂ,物理学実験Ｃ,物理化学実験,無機分析化学実験,生体制御学実験Ⅰ,生体制御学実験Ⅱ,生物圏環境科学実験Ⅰ,生物圏環境科学実験Ⅱ,生物圏環境科学実験Ⅲ,バイオインフォマティクス,生命工学実験Ⅲ,画像処理工学,機械学習,地球電磁気学,パターン認識,医療薬剤学,経営システム‐Ａ,経営システム‐Ｂ,情報システム論‐Ａ,ヘルスケアシステム論,地域の経済と社会・文化,総合実習,金融論Ⅰ‐Ａ,金融論Ⅰ‐Ｂ,地域看護学実習</t>
    <phoneticPr fontId="1"/>
  </si>
  <si>
    <t>学部・学科に関係なく希望する学生全員が受講可能となるような必要な体制・取組等</t>
  </si>
  <si>
    <t>認定教育プログラムと認定教育プログラム+（プラス）</t>
  </si>
  <si>
    <t>プログラミング基礎／知能情報</t>
  </si>
  <si>
    <t>プログラミング基礎／電気電子</t>
  </si>
  <si>
    <t>プログラミング基礎／機械</t>
  </si>
  <si>
    <t>プログラミング基礎／生命</t>
  </si>
  <si>
    <t>プログラミング基礎／応用化学</t>
  </si>
  <si>
    <t>海洋物理学</t>
  </si>
  <si>
    <t>気象学</t>
  </si>
  <si>
    <t>雪氷学</t>
  </si>
  <si>
    <t>地殻物理学</t>
  </si>
  <si>
    <t>地球電磁気学</t>
  </si>
  <si>
    <t>組込みシステム</t>
  </si>
  <si>
    <t>地球内部物理学</t>
  </si>
  <si>
    <t>マルチメディア工学</t>
  </si>
  <si>
    <t>材料デザイン工学実験Ａ</t>
  </si>
  <si>
    <t>材料デザイン工学実験Ｂ</t>
  </si>
  <si>
    <t>材料デザイン工学実験Ｃ</t>
  </si>
  <si>
    <t>材料デザイン工学実験Ｄ</t>
  </si>
  <si>
    <t>様式４</t>
    <rPh sb="0" eb="2">
      <t>ヨウシキ</t>
    </rPh>
    <phoneticPr fontId="1"/>
  </si>
  <si>
    <t>情報処理－Ａ,B,C</t>
  </si>
  <si>
    <t>コンピュータを用いたデータ分析とその基礎(4-12)</t>
    <rPh sb="18" eb="20">
      <t>キソ</t>
    </rPh>
    <phoneticPr fontId="1"/>
  </si>
  <si>
    <t>地形図等から地域を読む(5-7)</t>
    <phoneticPr fontId="1"/>
  </si>
  <si>
    <r>
      <t>経営システム</t>
    </r>
    <r>
      <rPr>
        <sz val="11"/>
        <rFont val="ＭＳ Ｐゴシック"/>
        <family val="3"/>
        <charset val="128"/>
        <scheme val="minor"/>
      </rPr>
      <t>‐Ａ</t>
    </r>
    <phoneticPr fontId="1"/>
  </si>
  <si>
    <t>企業活動の分析(2-14)</t>
    <rPh sb="5" eb="7">
      <t>ブンセキ</t>
    </rPh>
    <phoneticPr fontId="1"/>
  </si>
  <si>
    <t>企業活動と情報(1-14)</t>
    <rPh sb="5" eb="7">
      <t>ジョウホウ</t>
    </rPh>
    <phoneticPr fontId="1"/>
  </si>
  <si>
    <r>
      <t>情報システム論</t>
    </r>
    <r>
      <rPr>
        <sz val="11"/>
        <rFont val="ＭＳ Ｐゴシック"/>
        <family val="3"/>
        <charset val="128"/>
        <scheme val="minor"/>
      </rPr>
      <t>‐Ａ</t>
    </r>
    <phoneticPr fontId="1"/>
  </si>
  <si>
    <t>企業経営における情報システムの種類と意義(2-14)</t>
    <phoneticPr fontId="1"/>
  </si>
  <si>
    <t>社会医学の方法論（研究計画、データの収集と分析等)の体得(2-7)</t>
    <rPh sb="23" eb="24">
      <t>トウ</t>
    </rPh>
    <rPh sb="26" eb="28">
      <t>タイトク</t>
    </rPh>
    <phoneticPr fontId="1"/>
  </si>
  <si>
    <t>社会・環境の健康影響(5-9)</t>
    <phoneticPr fontId="1"/>
  </si>
  <si>
    <t>医療における統計手法(1-7)</t>
    <rPh sb="0" eb="2">
      <t>イリョウ</t>
    </rPh>
    <rPh sb="6" eb="8">
      <t>トウケイ</t>
    </rPh>
    <rPh sb="8" eb="10">
      <t>シュホウ</t>
    </rPh>
    <phoneticPr fontId="1"/>
  </si>
  <si>
    <t>データベース利用によるタンパク質の配列解析(7,8)</t>
    <phoneticPr fontId="1"/>
  </si>
  <si>
    <t>デジタル技術の原理と応用(3-15)</t>
    <rPh sb="4" eb="6">
      <t>ギジュツ</t>
    </rPh>
    <phoneticPr fontId="1"/>
  </si>
  <si>
    <t>デジタル技術を用いたグラフっクスの作成(1-15)</t>
    <rPh sb="4" eb="6">
      <t>ギジュツ</t>
    </rPh>
    <rPh sb="7" eb="8">
      <t>モチ</t>
    </rPh>
    <rPh sb="17" eb="19">
      <t>サクセイ</t>
    </rPh>
    <phoneticPr fontId="1"/>
  </si>
  <si>
    <t>コンピュータグラフィックスの原理から応用(1-15)</t>
    <phoneticPr fontId="1"/>
  </si>
  <si>
    <t>工業における情報及び情報手段の活用(1-15)</t>
    <rPh sb="0" eb="2">
      <t>コウギョウ</t>
    </rPh>
    <rPh sb="15" eb="17">
      <t>カツヨウ</t>
    </rPh>
    <phoneticPr fontId="1"/>
  </si>
  <si>
    <t>神経機能の医用工学的応用(14)</t>
    <phoneticPr fontId="1"/>
  </si>
  <si>
    <t>音声とデジタル転送(4-7)</t>
    <rPh sb="0" eb="2">
      <t>オンセイ</t>
    </rPh>
    <rPh sb="7" eb="9">
      <t>テンソウ</t>
    </rPh>
    <phoneticPr fontId="1"/>
  </si>
  <si>
    <t>各種センサの基礎と応用(1-15)</t>
    <phoneticPr fontId="1"/>
  </si>
  <si>
    <t>地理情報システムの仕組みと応用(1-15)</t>
    <rPh sb="9" eb="11">
      <t>シク</t>
    </rPh>
    <rPh sb="13" eb="15">
      <t>オウヨウ</t>
    </rPh>
    <phoneticPr fontId="1"/>
  </si>
  <si>
    <t>地理情報システムの利用(7-12)</t>
    <rPh sb="9" eb="11">
      <t>リヨウ</t>
    </rPh>
    <phoneticPr fontId="1"/>
  </si>
  <si>
    <t>大気・海洋観測データのスペクトル解析(6-7)</t>
    <phoneticPr fontId="1"/>
  </si>
  <si>
    <t>スマート社会と情報通信システム(1-15)</t>
    <phoneticPr fontId="1"/>
  </si>
  <si>
    <t>測量技術とその応用(1-15)</t>
    <rPh sb="7" eb="9">
      <t>オウヨウ</t>
    </rPh>
    <phoneticPr fontId="1"/>
  </si>
  <si>
    <t>都市経済学・交通経済学の基礎と応用(1-15)</t>
    <rPh sb="15" eb="17">
      <t>オウヨウ</t>
    </rPh>
    <phoneticPr fontId="1"/>
  </si>
  <si>
    <t>防災の情報戦略(1-15)</t>
    <phoneticPr fontId="1"/>
  </si>
  <si>
    <t>情報倫理の遵守及び情報の管理・安全確保(2-11)</t>
    <rPh sb="7" eb="8">
      <t>オヨ</t>
    </rPh>
    <phoneticPr fontId="1"/>
  </si>
  <si>
    <t>情報セキュリティとットワークリテラシー(1-15)</t>
    <phoneticPr fontId="1"/>
  </si>
  <si>
    <t>産業保健(6)</t>
    <phoneticPr fontId="1"/>
  </si>
  <si>
    <t>医療倫理(1-15)</t>
    <phoneticPr fontId="1"/>
  </si>
  <si>
    <t>電子透かし(8)</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</si>
  <si>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</si>
  <si>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データサイエンス推進センター長　　栗本　猛
データサイエンス推進センター副センター長　　唐渡　広志　
人文学部　准教授　　坪見　博之
人間発達科学部　教授　　上山　輝
経済学部　教授　　モヴシュク・オレクサンダー
理学部　教授　　林　直人
医学部　助教　　三原　弘
薬学部　教授　　松谷　裕二
工学部　教授　　廣林　茂樹
芸術文化学部　准教授　　辻合　秀一
都市デザイン学部　教授　　堀田　裕弘
教養教育院　准教授　　吉田　勝一
学務部長　　中三川　敏之
学務部学務課長　　田才　貴大</t>
    <rPh sb="8" eb="10">
      <t>スイシン</t>
    </rPh>
    <rPh sb="30" eb="32">
      <t>スイシン</t>
    </rPh>
    <rPh sb="56" eb="59">
      <t>ジュンキョウジュ</t>
    </rPh>
    <rPh sb="61" eb="63">
      <t>ツボミ</t>
    </rPh>
    <rPh sb="64" eb="66">
      <t>ヒロユキ</t>
    </rPh>
    <rPh sb="115" eb="116">
      <t>ハヤシ</t>
    </rPh>
    <rPh sb="117" eb="119">
      <t>ナオト</t>
    </rPh>
    <rPh sb="124" eb="126">
      <t>ジョキョウ</t>
    </rPh>
    <rPh sb="128" eb="130">
      <t>ミハラ</t>
    </rPh>
    <rPh sb="131" eb="132">
      <t>ヒロシ</t>
    </rPh>
    <rPh sb="215" eb="219">
      <t>ガクムブチョウ</t>
    </rPh>
    <phoneticPr fontId="1"/>
  </si>
  <si>
    <t>審査要件①～⑤を満たす「情報処理」（教養教育科目）は，必修科目であるため，全学部の全学生が単位を修得しなければならない。
「情報処理」以外のプログラム構成科目のうち，教養教育科目については，全ての学部生が履修可能である。また，専門教育科目については，全学部の科目にそれぞれデータサイエンスに関する科目が配置されているため，全ての学部・学科の学生がプログラムを履修・修了することが可能である。なお，所属学部以外の授業科目を履修する場合は，他学部履修制度を利用することが可能である。</t>
    <phoneticPr fontId="1"/>
  </si>
  <si>
    <t>様式２</t>
    <rPh sb="0" eb="2">
      <t>ヨウシキ</t>
    </rPh>
    <phoneticPr fontId="1"/>
  </si>
  <si>
    <t>人間発達科学部（教育）</t>
    <rPh sb="0" eb="7">
      <t>ニンゲンハッタツカガクブ</t>
    </rPh>
    <rPh sb="8" eb="10">
      <t>キョウイク</t>
    </rPh>
    <phoneticPr fontId="1"/>
  </si>
  <si>
    <t>経済学部（社会科学）</t>
    <rPh sb="0" eb="2">
      <t>ケイザイ</t>
    </rPh>
    <rPh sb="2" eb="4">
      <t>ガクブ</t>
    </rPh>
    <rPh sb="5" eb="9">
      <t>シャカイカガク</t>
    </rPh>
    <phoneticPr fontId="1"/>
  </si>
  <si>
    <t>理学部（理学）</t>
    <rPh sb="0" eb="3">
      <t>リガクブ</t>
    </rPh>
    <rPh sb="4" eb="6">
      <t>リガク</t>
    </rPh>
    <phoneticPr fontId="1"/>
  </si>
  <si>
    <t>医学部（保健）</t>
    <rPh sb="0" eb="2">
      <t>イガク</t>
    </rPh>
    <rPh sb="2" eb="3">
      <t>ブ</t>
    </rPh>
    <rPh sb="4" eb="6">
      <t>ホケン</t>
    </rPh>
    <phoneticPr fontId="1"/>
  </si>
  <si>
    <t>芸術文化学部（芸術）</t>
    <rPh sb="0" eb="6">
      <t>ゲイジュツブンカガクブ</t>
    </rPh>
    <rPh sb="7" eb="9">
      <t>ゲイジュツ</t>
    </rPh>
    <phoneticPr fontId="1"/>
  </si>
  <si>
    <t>薬学部（保健）</t>
    <rPh sb="0" eb="3">
      <t>ヤクガクブ</t>
    </rPh>
    <rPh sb="4" eb="6">
      <t>ホケン</t>
    </rPh>
    <phoneticPr fontId="1"/>
  </si>
  <si>
    <t>工学部（工学）</t>
    <rPh sb="0" eb="3">
      <t>コウガクブ</t>
    </rPh>
    <rPh sb="4" eb="6">
      <t>コウガク</t>
    </rPh>
    <phoneticPr fontId="1"/>
  </si>
  <si>
    <t>データサイエンス推進センター会議において，教育プログラム対象科目の履修状況を分析している。</t>
    <rPh sb="8" eb="10">
      <t>スイシン</t>
    </rPh>
    <rPh sb="14" eb="16">
      <t>カイギ</t>
    </rPh>
    <rPh sb="21" eb="23">
      <t>キョウイク</t>
    </rPh>
    <rPh sb="28" eb="32">
      <t>タイショウカモク</t>
    </rPh>
    <rPh sb="33" eb="35">
      <t>リシュウ</t>
    </rPh>
    <rPh sb="35" eb="37">
      <t>ジョウキョウ</t>
    </rPh>
    <rPh sb="38" eb="40">
      <t>ブンセキ</t>
    </rPh>
    <phoneticPr fontId="1"/>
  </si>
  <si>
    <t>必修科目「情報処理」におけるデータサイエンス学修の理解度等，その他の教育プログラム対象科目における各授業科目の難易度等について調査しており，これらの結果をデータサイエンス推進センター会議で分析・評価し，改善に活用している。</t>
    <rPh sb="0" eb="4">
      <t>ヒッシュウカモク</t>
    </rPh>
    <rPh sb="5" eb="9">
      <t>ジョウホウショリ</t>
    </rPh>
    <rPh sb="22" eb="24">
      <t>ガクシュウ</t>
    </rPh>
    <rPh sb="25" eb="27">
      <t>リカイ</t>
    </rPh>
    <rPh sb="27" eb="28">
      <t>ド</t>
    </rPh>
    <rPh sb="28" eb="29">
      <t>トウ</t>
    </rPh>
    <rPh sb="32" eb="33">
      <t>タ</t>
    </rPh>
    <rPh sb="34" eb="36">
      <t>キョウイク</t>
    </rPh>
    <rPh sb="41" eb="43">
      <t>タイショウ</t>
    </rPh>
    <rPh sb="43" eb="45">
      <t>カモク</t>
    </rPh>
    <rPh sb="85" eb="87">
      <t>スイシン</t>
    </rPh>
    <rPh sb="91" eb="93">
      <t>カイギ</t>
    </rPh>
    <rPh sb="94" eb="96">
      <t>ブンセキ</t>
    </rPh>
    <rPh sb="97" eb="99">
      <t>ヒョウカ</t>
    </rPh>
    <rPh sb="101" eb="103">
      <t>カイゼン</t>
    </rPh>
    <rPh sb="104" eb="106">
      <t>カツヨウ</t>
    </rPh>
    <phoneticPr fontId="1"/>
  </si>
  <si>
    <t>信頼性の高い資料・データを収集・分析して得られた情報を基に論理的考察を行って課題解決をはかることは全ての学問に求められる姿勢であるだけでなく，Society 5.0 で実現される社会の多くの現場でも必要とされる。数理・データサイエンス・AIの知識と技術はこの作業にとって非常に有用であることを理解するとともに，現代社会の多くの分野・場面で数理・データサイエンス・AIの最新技術が利活用されていることを識る。また，計算機の進化と通信技術の進歩に伴って可能となったビッグデータの収集と活用が，実社会にどのような影響を与えているのかを学ぶ。</t>
    <rPh sb="0" eb="3">
      <t>シンライセイ</t>
    </rPh>
    <rPh sb="4" eb="5">
      <t>タカ</t>
    </rPh>
    <rPh sb="6" eb="8">
      <t>シリョウ</t>
    </rPh>
    <rPh sb="13" eb="15">
      <t>シュウシュウ</t>
    </rPh>
    <rPh sb="16" eb="18">
      <t>ブンセキ</t>
    </rPh>
    <rPh sb="20" eb="21">
      <t>エ</t>
    </rPh>
    <rPh sb="24" eb="26">
      <t>ジョウホウ</t>
    </rPh>
    <rPh sb="27" eb="28">
      <t>モト</t>
    </rPh>
    <rPh sb="29" eb="32">
      <t>ロンリテキ</t>
    </rPh>
    <rPh sb="32" eb="34">
      <t>コウサツ</t>
    </rPh>
    <rPh sb="35" eb="36">
      <t>オコナ</t>
    </rPh>
    <rPh sb="84" eb="86">
      <t>ジツゲン</t>
    </rPh>
    <rPh sb="92" eb="93">
      <t>オオ</t>
    </rPh>
    <rPh sb="95" eb="97">
      <t>ゲンバ</t>
    </rPh>
    <rPh sb="184" eb="188">
      <t>サイシンギジュツ</t>
    </rPh>
    <rPh sb="206" eb="209">
      <t>ケイサンキ</t>
    </rPh>
    <rPh sb="210" eb="212">
      <t>シンカ</t>
    </rPh>
    <rPh sb="213" eb="215">
      <t>ツウシン</t>
    </rPh>
    <phoneticPr fontId="1"/>
  </si>
  <si>
    <t>学術研究やその応用に利用されている調査データや実験データの収集方法，種類，性質等を学び，それらが研究開発のみならず製造や物流，医療，自然災害の予防など実社会で利活用されている領域が時代とともに広がっていることを識る。</t>
    <rPh sb="0" eb="2">
      <t>ガクジュツ</t>
    </rPh>
    <rPh sb="2" eb="4">
      <t>ケンキュウ</t>
    </rPh>
    <rPh sb="7" eb="9">
      <t>オウヨウ</t>
    </rPh>
    <rPh sb="10" eb="12">
      <t>リヨウ</t>
    </rPh>
    <rPh sb="17" eb="19">
      <t>チョウサ</t>
    </rPh>
    <rPh sb="23" eb="25">
      <t>ジッケン</t>
    </rPh>
    <rPh sb="29" eb="31">
      <t>シュウシュウ</t>
    </rPh>
    <rPh sb="31" eb="33">
      <t>ホウホウ</t>
    </rPh>
    <rPh sb="34" eb="36">
      <t>シュルイ</t>
    </rPh>
    <rPh sb="37" eb="39">
      <t>セイシツ</t>
    </rPh>
    <rPh sb="39" eb="40">
      <t>トウ</t>
    </rPh>
    <rPh sb="41" eb="42">
      <t>マナ</t>
    </rPh>
    <rPh sb="48" eb="50">
      <t>ケンキュウ</t>
    </rPh>
    <rPh sb="50" eb="52">
      <t>カイハツ</t>
    </rPh>
    <rPh sb="57" eb="59">
      <t>セイゾウ</t>
    </rPh>
    <rPh sb="60" eb="62">
      <t>ブツリュウ</t>
    </rPh>
    <rPh sb="63" eb="65">
      <t>イリョウ</t>
    </rPh>
    <rPh sb="66" eb="68">
      <t>シゼン</t>
    </rPh>
    <rPh sb="68" eb="70">
      <t>サイガイ</t>
    </rPh>
    <rPh sb="71" eb="73">
      <t>ヨボウ</t>
    </rPh>
    <rPh sb="75" eb="78">
      <t>ジッシャカイ</t>
    </rPh>
    <rPh sb="79" eb="82">
      <t>リカツヨウ</t>
    </rPh>
    <rPh sb="87" eb="89">
      <t>リョウイキ</t>
    </rPh>
    <rPh sb="90" eb="92">
      <t>ジダイ</t>
    </rPh>
    <rPh sb="96" eb="97">
      <t>ヒロ</t>
    </rPh>
    <rPh sb="105" eb="106">
      <t>シキ</t>
    </rPh>
    <phoneticPr fontId="1"/>
  </si>
  <si>
    <t>ネットワーク環境の発展に伴いデータの取得や複製，加工，発信が容易になったが，その一方で，悪意をもって情報を搾取しようとする者やデータを捏造，改竄，盗用しようとする者が存在すること，無知や不注意で周囲に迷惑をかけてしまう可能性があることを認識し，個人情報を保護することや倫理を保持すること，情報セキュリティを維持することなど，データやネットワークを利用する上で留意すべき事項を学ぶ。</t>
    <rPh sb="6" eb="8">
      <t>カンキョウ</t>
    </rPh>
    <rPh sb="9" eb="11">
      <t>ハッテン</t>
    </rPh>
    <rPh sb="12" eb="13">
      <t>トモナ</t>
    </rPh>
    <rPh sb="18" eb="20">
      <t>シュトク</t>
    </rPh>
    <rPh sb="21" eb="23">
      <t>フクセイ</t>
    </rPh>
    <rPh sb="24" eb="26">
      <t>カコウ</t>
    </rPh>
    <rPh sb="27" eb="29">
      <t>ハッシン</t>
    </rPh>
    <rPh sb="30" eb="32">
      <t>ヨウイ</t>
    </rPh>
    <rPh sb="40" eb="42">
      <t>イッポウ</t>
    </rPh>
    <rPh sb="44" eb="46">
      <t>アクイ</t>
    </rPh>
    <rPh sb="50" eb="52">
      <t>ジョウホウ</t>
    </rPh>
    <rPh sb="53" eb="55">
      <t>サクシュ</t>
    </rPh>
    <rPh sb="61" eb="62">
      <t>モノ</t>
    </rPh>
    <rPh sb="67" eb="69">
      <t>ネツゾウ</t>
    </rPh>
    <rPh sb="70" eb="72">
      <t>カイザン</t>
    </rPh>
    <rPh sb="73" eb="75">
      <t>トウヨウ</t>
    </rPh>
    <rPh sb="81" eb="82">
      <t>モノ</t>
    </rPh>
    <rPh sb="83" eb="85">
      <t>ソンザイ</t>
    </rPh>
    <rPh sb="90" eb="92">
      <t>ムチ</t>
    </rPh>
    <rPh sb="93" eb="96">
      <t>フチュウイ</t>
    </rPh>
    <rPh sb="97" eb="99">
      <t>シュウイ</t>
    </rPh>
    <rPh sb="100" eb="102">
      <t>メイワク</t>
    </rPh>
    <rPh sb="109" eb="112">
      <t>カノウセイ</t>
    </rPh>
    <rPh sb="118" eb="120">
      <t>ニンシキ</t>
    </rPh>
    <rPh sb="122" eb="124">
      <t>コジン</t>
    </rPh>
    <rPh sb="173" eb="175">
      <t>リヨウ</t>
    </rPh>
    <rPh sb="177" eb="178">
      <t>ウエ</t>
    </rPh>
    <rPh sb="179" eb="181">
      <t>リュウイ</t>
    </rPh>
    <rPh sb="184" eb="186">
      <t>ジコウ</t>
    </rPh>
    <rPh sb="187" eb="188">
      <t>マナ</t>
    </rPh>
    <phoneticPr fontId="1"/>
  </si>
  <si>
    <t>学術研究とその応用で用いられる様々なデータの種類と収集方法，取り扱い方，統計的処理の手法を学ぶ．それらの手法を活用してデータが意味することを読み解き，必要に応じてグラフや図表を用いて他者が理解しやすい形に整え，発表することを学ぶ。</t>
    <rPh sb="0" eb="2">
      <t>ガクジュツ</t>
    </rPh>
    <rPh sb="2" eb="4">
      <t>ケンキュウ</t>
    </rPh>
    <rPh sb="7" eb="9">
      <t>オウヨウ</t>
    </rPh>
    <rPh sb="10" eb="11">
      <t>モチ</t>
    </rPh>
    <rPh sb="15" eb="17">
      <t>サマザマ</t>
    </rPh>
    <rPh sb="22" eb="24">
      <t>シュルイ</t>
    </rPh>
    <rPh sb="25" eb="27">
      <t>シュウシュウ</t>
    </rPh>
    <rPh sb="27" eb="29">
      <t>ホウホウ</t>
    </rPh>
    <rPh sb="30" eb="31">
      <t>ト</t>
    </rPh>
    <rPh sb="32" eb="33">
      <t>アツカ</t>
    </rPh>
    <rPh sb="34" eb="35">
      <t>カタ</t>
    </rPh>
    <rPh sb="36" eb="39">
      <t>トウケイテキ</t>
    </rPh>
    <rPh sb="39" eb="41">
      <t>ショリ</t>
    </rPh>
    <rPh sb="42" eb="44">
      <t>シュホウ</t>
    </rPh>
    <rPh sb="45" eb="46">
      <t>マナ</t>
    </rPh>
    <rPh sb="52" eb="54">
      <t>シュホウ</t>
    </rPh>
    <rPh sb="55" eb="57">
      <t>カツヨウ</t>
    </rPh>
    <rPh sb="63" eb="65">
      <t>イミ</t>
    </rPh>
    <rPh sb="70" eb="71">
      <t>ヨ</t>
    </rPh>
    <rPh sb="72" eb="73">
      <t>ト</t>
    </rPh>
    <rPh sb="75" eb="77">
      <t>ヒツヨウ</t>
    </rPh>
    <rPh sb="78" eb="79">
      <t>オウ</t>
    </rPh>
    <rPh sb="85" eb="87">
      <t>ズヒョウ</t>
    </rPh>
    <rPh sb="88" eb="89">
      <t>モチ</t>
    </rPh>
    <rPh sb="91" eb="93">
      <t>タシャ</t>
    </rPh>
    <rPh sb="94" eb="96">
      <t>リカイ</t>
    </rPh>
    <rPh sb="100" eb="101">
      <t>カタチ</t>
    </rPh>
    <rPh sb="102" eb="103">
      <t>トトノ</t>
    </rPh>
    <rPh sb="105" eb="107">
      <t>ハッピョウ</t>
    </rPh>
    <rPh sb="112" eb="113">
      <t>マナ</t>
    </rPh>
    <phoneticPr fontId="1"/>
  </si>
  <si>
    <t>　富山大学数理・データサイエンス・AI教育プログラムは全学生を対象としており，これからの社会で必須となる数理・データサイエンス・AI関連の知識・技術を基礎から専門レベルまで，個々の学生の専門と志向に基づいて学べる仕組みとなっている。
　まず入学直後の1年前期に全学生必修である「情報処理-A,B,C」 (A,B,Cは学生の所属キャンパスによる区分で内容は同一) を履修し，データサイエンスの基本を学ぶ。この科目には審査項目(1)～(5)すべての基本が含まれている。これを基盤としてその後は各自の専門や志向によってプログラム対象となる科目を選択して受講し，以下の条件を満たした者をプログラム修了者として認定する。
（リテラシーレベル）
プログラムを構成する科目から４科目８単位以上修得すること。
（応用基礎レベル）
プログラムを構成する科目から８科目１６単位以上修得すること。
なお，教養教育科目…2科目4単位以上　専門教育科目…3科目6単位以上修得することが必要。
プログラムの構成科目は教養科目のうち約20，各学部毎の専門科目のうち学部毎に約10から40あり，専門と学年に応じて通常の履修において選択科目でプログラム構成科目を多くとればリテラシーレベルは十分に達成できるものとなっている。理系の学生には応用基礎レベルに達することも十分可能である。興味のある科目が自分の学部で開講されていない場合にも他学部科目も申請によって履修可能としている。</t>
    <rPh sb="442" eb="446">
      <t>コウセイカモク</t>
    </rPh>
    <rPh sb="599" eb="601">
      <t>バアイ</t>
    </rPh>
    <phoneticPr fontId="1"/>
  </si>
  <si>
    <t>　大学で開講しているほぼすべての科目は Moodle（LMS）による学習支援システムに登録されており，そこに教材や課題，教務上の連絡事項が掲載されるようになっている。Moodleには学外からの接続も可能であり，学内のみならず自宅や出先での学習も可能となっている。
　必修であり，プログラムの基盤となっている「情報処理」は特に学習支援システム上の教材整備が充実しており，新型コロナ禍の下での遠隔授業にも対応してきた。自習で疑問点やわからない点が出た場合は学習支援システムの質問コーナーやメールを通じての質問に担当教員が適宜対応する体制をとっている。
　学習支援システムを通じて提出された課題は，採点後にはその結果と教員からのコメントが閲覧でき，学生が容易に学習達成度を知ることがきるようになっている。学習支援システムとは別に学務情報システム（ヘルンシステム）も稼働しており，学生は履修登録，学期毎の個々の科目の成績，教務上の連絡が閲覧できるようになっている。</t>
    <rPh sb="1" eb="3">
      <t>ダイガク</t>
    </rPh>
    <rPh sb="4" eb="6">
      <t>カイコウ</t>
    </rPh>
    <rPh sb="16" eb="18">
      <t>カモク</t>
    </rPh>
    <rPh sb="34" eb="36">
      <t>ガクシュウ</t>
    </rPh>
    <rPh sb="36" eb="38">
      <t>シエン</t>
    </rPh>
    <rPh sb="43" eb="45">
      <t>トウロク</t>
    </rPh>
    <rPh sb="54" eb="56">
      <t>キョウザイ</t>
    </rPh>
    <rPh sb="57" eb="59">
      <t>カダイ</t>
    </rPh>
    <rPh sb="60" eb="63">
      <t>キョウムジョウ</t>
    </rPh>
    <rPh sb="64" eb="68">
      <t>レンラクジコウ</t>
    </rPh>
    <rPh sb="69" eb="71">
      <t>ケイサイ</t>
    </rPh>
    <rPh sb="91" eb="93">
      <t>ガクガイ</t>
    </rPh>
    <rPh sb="96" eb="98">
      <t>セツゾク</t>
    </rPh>
    <rPh sb="99" eb="101">
      <t>カノウ</t>
    </rPh>
    <rPh sb="105" eb="107">
      <t>ガクナイ</t>
    </rPh>
    <rPh sb="112" eb="114">
      <t>ジタク</t>
    </rPh>
    <rPh sb="115" eb="117">
      <t>デサキ</t>
    </rPh>
    <rPh sb="119" eb="121">
      <t>ガクシュウ</t>
    </rPh>
    <rPh sb="122" eb="124">
      <t>カノウ</t>
    </rPh>
    <rPh sb="134" eb="136">
      <t>ヒッシュウ</t>
    </rPh>
    <rPh sb="146" eb="148">
      <t>キバン</t>
    </rPh>
    <rPh sb="155" eb="159">
      <t>ジョウホウショリ</t>
    </rPh>
    <rPh sb="161" eb="162">
      <t>トク</t>
    </rPh>
    <rPh sb="171" eb="172">
      <t>ウエ</t>
    </rPh>
    <rPh sb="173" eb="175">
      <t>キョウザイ</t>
    </rPh>
    <rPh sb="175" eb="177">
      <t>セイビ</t>
    </rPh>
    <rPh sb="178" eb="180">
      <t>ジュウジツ</t>
    </rPh>
    <rPh sb="185" eb="187">
      <t>シンガタ</t>
    </rPh>
    <rPh sb="190" eb="191">
      <t>ワザワイ</t>
    </rPh>
    <rPh sb="192" eb="193">
      <t>モト</t>
    </rPh>
    <rPh sb="195" eb="197">
      <t>エンカク</t>
    </rPh>
    <rPh sb="197" eb="199">
      <t>ジュギョウ</t>
    </rPh>
    <rPh sb="201" eb="203">
      <t>タイオウ</t>
    </rPh>
    <rPh sb="208" eb="210">
      <t>ジシュウ</t>
    </rPh>
    <rPh sb="211" eb="213">
      <t>ギモン</t>
    </rPh>
    <rPh sb="213" eb="214">
      <t>テン</t>
    </rPh>
    <rPh sb="220" eb="221">
      <t>テン</t>
    </rPh>
    <rPh sb="222" eb="223">
      <t>デ</t>
    </rPh>
    <rPh sb="224" eb="226">
      <t>バアイ</t>
    </rPh>
    <rPh sb="236" eb="238">
      <t>シツモン</t>
    </rPh>
    <rPh sb="247" eb="248">
      <t>ツウ</t>
    </rPh>
    <rPh sb="251" eb="253">
      <t>シツモン</t>
    </rPh>
    <rPh sb="254" eb="258">
      <t>タントウキョウイン</t>
    </rPh>
    <rPh sb="259" eb="261">
      <t>テキギ</t>
    </rPh>
    <rPh sb="261" eb="263">
      <t>タイオウ</t>
    </rPh>
    <rPh sb="265" eb="267">
      <t>タイセイ</t>
    </rPh>
    <rPh sb="286" eb="287">
      <t>ツウ</t>
    </rPh>
    <rPh sb="289" eb="291">
      <t>テイシュツ</t>
    </rPh>
    <rPh sb="294" eb="296">
      <t>カダイ</t>
    </rPh>
    <rPh sb="298" eb="300">
      <t>サイテン</t>
    </rPh>
    <rPh sb="300" eb="301">
      <t>ゴ</t>
    </rPh>
    <rPh sb="305" eb="307">
      <t>ケッカ</t>
    </rPh>
    <rPh sb="308" eb="310">
      <t>キョウイン</t>
    </rPh>
    <rPh sb="318" eb="320">
      <t>エツラン</t>
    </rPh>
    <rPh sb="323" eb="325">
      <t>ガクセイ</t>
    </rPh>
    <rPh sb="326" eb="328">
      <t>ヨウイ</t>
    </rPh>
    <rPh sb="329" eb="331">
      <t>ガクシュウ</t>
    </rPh>
    <rPh sb="331" eb="334">
      <t>タッセイド</t>
    </rPh>
    <rPh sb="335" eb="336">
      <t>シ</t>
    </rPh>
    <rPh sb="351" eb="353">
      <t>ガクシュウ</t>
    </rPh>
    <rPh sb="353" eb="355">
      <t>シエン</t>
    </rPh>
    <rPh sb="361" eb="362">
      <t>ベツ</t>
    </rPh>
    <rPh sb="363" eb="367">
      <t>ガクムジョウホウ</t>
    </rPh>
    <rPh sb="381" eb="383">
      <t>カドウ</t>
    </rPh>
    <rPh sb="388" eb="390">
      <t>ガクセイ</t>
    </rPh>
    <rPh sb="391" eb="395">
      <t>リシュウトウロク</t>
    </rPh>
    <phoneticPr fontId="1"/>
  </si>
  <si>
    <r>
      <t xml:space="preserve">富山大学では，データサイエンスに関して，以下のとおり自治体や産業界との連携を実施している。
</t>
    </r>
    <r>
      <rPr>
        <b/>
        <u/>
        <sz val="11"/>
        <color theme="1"/>
        <rFont val="ＭＳ Ｐゴシック"/>
        <family val="3"/>
        <charset val="128"/>
        <scheme val="minor"/>
      </rPr>
      <t>①データサイエンス寄附講座</t>
    </r>
    <r>
      <rPr>
        <sz val="11"/>
        <color theme="1"/>
        <rFont val="ＭＳ Ｐゴシック"/>
        <family val="3"/>
        <charset val="128"/>
        <scheme val="minor"/>
      </rPr>
      <t xml:space="preserve">
　富山大学とNECの組織的連携協力に基づくデータサイエンス寄附講座を設置した（期間：令和３年４月～令和５年３月）。「地域の行政や産業界の課題解決」「創出された解決案による地域貢献」「企業等から寄せられた課題を教材とした教育によるデータサイエンスの素養を身につけた人材の育成」を本講座の主な目的としている。本講座の教員には，NECソリューションイノベータ株式会社からクロスアポイントメントにより教授を１名招聘し，助教１名も現在公募中である。学内からは経済学部教員を中心として，全９学部の教員が協力教員として参画している。
　具体的な活動としては，県内企業からデータの利活用等についての相談を受け付け，寄せられた相談・課題を題材に授業を展開し，さらに共同研究へとつなげ，その成果を県内企業に還元することを予定している。
　令和３年度は，本寄附講座提供科目として，経済学部及び経済学研究科のそれぞれにおいて，前・後期に各２科目を開講する。前期開講科目については，延べ65名の学生が履修中である。そのうち，学部科目の「データサイエンス実践演習Ⅰ」については，19名の学生（内訳　経済学部9名/工学部1名/都市デザイン学部9名）が履修中で，授業では県内の４企業から寄せられた課題を題材として，履修者はグループに分かれ，各課題の解決提案までを実践する。
</t>
    </r>
    <r>
      <rPr>
        <b/>
        <u/>
        <sz val="11"/>
        <color theme="1"/>
        <rFont val="ＭＳ Ｐゴシック"/>
        <family val="3"/>
        <charset val="128"/>
        <scheme val="minor"/>
      </rPr>
      <t>②富山県及び富山市との連携</t>
    </r>
    <r>
      <rPr>
        <sz val="11"/>
        <color theme="1"/>
        <rFont val="ＭＳ Ｐゴシック"/>
        <family val="3"/>
        <charset val="128"/>
        <scheme val="minor"/>
      </rPr>
      <t xml:space="preserve">
　小中教員及びICT教員・支援員向けのデータサイエンス教育に関する講座を人間発達科学部が中心となり開講しており，今後も「社会人向けデータサイエンス講座開講」「企業・自治体におけるDX推進に向けた取組み」など富山県及び富山市とのデータサイエンス推進に向けた連携をさらに強化すべく検討を進めている。
（参考：連携のイメージ図）
</t>
    </r>
    <rPh sb="26" eb="29">
      <t>ジチタイ</t>
    </rPh>
    <rPh sb="602" eb="605">
      <t>リシュウシャ</t>
    </rPh>
    <rPh sb="611" eb="612">
      <t>ワ</t>
    </rPh>
    <rPh sb="615" eb="616">
      <t>カク</t>
    </rPh>
    <rPh sb="616" eb="618">
      <t>カダイ</t>
    </rPh>
    <rPh sb="800" eb="802">
      <t>サンコウ</t>
    </rPh>
    <rPh sb="803" eb="805">
      <t>レンケイ</t>
    </rPh>
    <rPh sb="810" eb="811">
      <t>ズ</t>
    </rPh>
    <phoneticPr fontId="1"/>
  </si>
  <si>
    <t>人文学部（人文科学）</t>
    <rPh sb="0" eb="2">
      <t>ジンブン</t>
    </rPh>
    <rPh sb="2" eb="4">
      <t>ガクブ</t>
    </rPh>
    <rPh sb="5" eb="7">
      <t>ジンブン</t>
    </rPh>
    <rPh sb="7" eb="9">
      <t>カガク</t>
    </rPh>
    <phoneticPr fontId="1"/>
  </si>
  <si>
    <t>都市デザイン学部（その他）</t>
    <rPh sb="0" eb="2">
      <t>トシ</t>
    </rPh>
    <rPh sb="6" eb="8">
      <t>ガクブ</t>
    </rPh>
    <rPh sb="11" eb="12">
      <t>タ</t>
    </rPh>
    <phoneticPr fontId="1"/>
  </si>
  <si>
    <t>学務部学務課（担当課）</t>
    <rPh sb="0" eb="6">
      <t>ガクムブガクムカ</t>
    </rPh>
    <rPh sb="7" eb="10">
      <t>タントウカ</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</si>
  <si>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</si>
  <si>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</si>
  <si>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者調査を３年に１回実施しており，本教育プログラムを修了した卒業生に対して，本教育プログラムの教育評価を把握することが可能である。また本学と関わりのある県内民間企業等に対して企業調査を実施し，本教育プログラムを修了した卒業生の評価等を実施予定である。</t>
    <rPh sb="0" eb="3">
      <t>ソツギョウシャ</t>
    </rPh>
    <rPh sb="3" eb="5">
      <t>チョウサ</t>
    </rPh>
    <rPh sb="7" eb="8">
      <t>ネン</t>
    </rPh>
    <rPh sb="10" eb="11">
      <t>カイ</t>
    </rPh>
    <rPh sb="11" eb="13">
      <t>ジッシ</t>
    </rPh>
    <rPh sb="35" eb="36">
      <t>タイ</t>
    </rPh>
    <rPh sb="39" eb="42">
      <t>ホンキョウイク</t>
    </rPh>
    <rPh sb="48" eb="50">
      <t>キョウイク</t>
    </rPh>
    <rPh sb="50" eb="52">
      <t>ヒョウカ</t>
    </rPh>
    <rPh sb="53" eb="55">
      <t>ハアク</t>
    </rPh>
    <rPh sb="60" eb="62">
      <t>カノウ</t>
    </rPh>
    <rPh sb="68" eb="70">
      <t>ホンガク</t>
    </rPh>
    <rPh sb="71" eb="72">
      <t>カカ</t>
    </rPh>
    <rPh sb="77" eb="79">
      <t>ケンナイ</t>
    </rPh>
    <rPh sb="83" eb="84">
      <t>トウ</t>
    </rPh>
    <rPh sb="114" eb="117">
      <t>ヒョウカトウ</t>
    </rPh>
    <rPh sb="118" eb="120">
      <t>ジッシ</t>
    </rPh>
    <rPh sb="120" eb="122">
      <t>ヨテイ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</si>
  <si>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</si>
  <si>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プログラムの学修成果（学生等が身に付けられる能力等）</t>
    <phoneticPr fontId="1"/>
  </si>
  <si>
    <t>＊課題解決に実用なデータを自ら収集し，その信頼性を確認する力
＊データを分析するための基本的統計的手法とそれに必要なITC技術の習得
＊データに基づいた論理的考察力
＊データ分析と考察の結果を他者に分かりやすく伝えるための発表能力
＊現代社会や自分の専門分野でデータがどのように利活用されているかの知見
＊自分の専門と志向にマッチしたデータ利活用手法の修得</t>
    <rPh sb="1" eb="5">
      <t>カダイカイケツ</t>
    </rPh>
    <rPh sb="6" eb="8">
      <t>ジツヨウ</t>
    </rPh>
    <rPh sb="13" eb="14">
      <t>ミズカ</t>
    </rPh>
    <rPh sb="15" eb="17">
      <t>シュウシュウ</t>
    </rPh>
    <rPh sb="21" eb="24">
      <t>シンライセイ</t>
    </rPh>
    <rPh sb="25" eb="27">
      <t>カクニン</t>
    </rPh>
    <rPh sb="29" eb="30">
      <t>チカラ</t>
    </rPh>
    <rPh sb="36" eb="38">
      <t>ブンセキ</t>
    </rPh>
    <rPh sb="43" eb="46">
      <t>キホンテキ</t>
    </rPh>
    <rPh sb="46" eb="48">
      <t>トウケイ</t>
    </rPh>
    <rPh sb="48" eb="49">
      <t>テキ</t>
    </rPh>
    <rPh sb="49" eb="51">
      <t>シュホウ</t>
    </rPh>
    <rPh sb="55" eb="57">
      <t>ヒツヨウ</t>
    </rPh>
    <rPh sb="61" eb="63">
      <t>ギジュツ</t>
    </rPh>
    <rPh sb="72" eb="73">
      <t>モト</t>
    </rPh>
    <rPh sb="76" eb="78">
      <t>ロンリ</t>
    </rPh>
    <rPh sb="79" eb="82">
      <t>コウサツリョク</t>
    </rPh>
    <rPh sb="87" eb="89">
      <t>ブンセキ</t>
    </rPh>
    <rPh sb="90" eb="92">
      <t>コウサツ</t>
    </rPh>
    <rPh sb="93" eb="95">
      <t>ケッカ</t>
    </rPh>
    <rPh sb="96" eb="98">
      <t>タシャ</t>
    </rPh>
    <rPh sb="99" eb="100">
      <t>ワ</t>
    </rPh>
    <rPh sb="105" eb="106">
      <t>ツタ</t>
    </rPh>
    <rPh sb="111" eb="113">
      <t>ハッピョウ</t>
    </rPh>
    <rPh sb="113" eb="115">
      <t>ノウリョク</t>
    </rPh>
    <rPh sb="117" eb="121">
      <t>ゲンダイシャカイ</t>
    </rPh>
    <rPh sb="122" eb="124">
      <t>ジブン</t>
    </rPh>
    <rPh sb="125" eb="127">
      <t>センモン</t>
    </rPh>
    <rPh sb="127" eb="129">
      <t>ブンヤ</t>
    </rPh>
    <rPh sb="139" eb="142">
      <t>リカツヨウ</t>
    </rPh>
    <rPh sb="149" eb="151">
      <t>チケン</t>
    </rPh>
    <rPh sb="153" eb="155">
      <t>ジブン</t>
    </rPh>
    <rPh sb="156" eb="158">
      <t>センモン</t>
    </rPh>
    <rPh sb="159" eb="161">
      <t>シコウ</t>
    </rPh>
    <rPh sb="170" eb="173">
      <t>リカツヨウ</t>
    </rPh>
    <rPh sb="173" eb="175">
      <t>シュホウ</t>
    </rPh>
    <rPh sb="176" eb="178">
      <t>シュウトク</t>
    </rPh>
    <phoneticPr fontId="1"/>
  </si>
  <si>
    <t>社会心理学調査法</t>
  </si>
  <si>
    <t>微分積分学Ⅰ</t>
  </si>
  <si>
    <t>微分積分学Ⅱ</t>
  </si>
  <si>
    <t>解析学Ａ</t>
  </si>
  <si>
    <t>解析学B</t>
  </si>
  <si>
    <r>
      <t>アルゴリズムとデータ構造　</t>
    </r>
    <r>
      <rPr>
        <i/>
        <sz val="10"/>
        <rFont val="ＭＳ Ｐゴシック"/>
        <family val="3"/>
        <charset val="128"/>
        <scheme val="minor"/>
      </rPr>
      <t>［人間発達科学部］</t>
    </r>
    <rPh sb="14" eb="18">
      <t>ニンゲンハッタツ</t>
    </rPh>
    <rPh sb="18" eb="21">
      <t>カガクブ</t>
    </rPh>
    <phoneticPr fontId="1"/>
  </si>
  <si>
    <r>
      <t>線形代数学　</t>
    </r>
    <r>
      <rPr>
        <i/>
        <sz val="11"/>
        <rFont val="ＭＳ Ｐゴシック"/>
        <family val="3"/>
        <charset val="128"/>
        <scheme val="minor"/>
      </rPr>
      <t>［教養教育科目］</t>
    </r>
    <rPh sb="7" eb="13">
      <t>キョウヨウキョウイクカモク</t>
    </rPh>
    <phoneticPr fontId="1"/>
  </si>
  <si>
    <r>
      <t>確率論　</t>
    </r>
    <r>
      <rPr>
        <i/>
        <sz val="11"/>
        <rFont val="ＭＳ Ｐゴシック"/>
        <family val="3"/>
        <charset val="128"/>
        <scheme val="minor"/>
      </rPr>
      <t>［人間発達科学部］</t>
    </r>
    <phoneticPr fontId="1"/>
  </si>
  <si>
    <r>
      <t>線形代数学　</t>
    </r>
    <r>
      <rPr>
        <i/>
        <sz val="11"/>
        <rFont val="ＭＳ Ｐゴシック"/>
        <family val="3"/>
        <charset val="128"/>
        <scheme val="minor"/>
      </rPr>
      <t>［理学部］</t>
    </r>
    <rPh sb="7" eb="10">
      <t>リガクブ</t>
    </rPh>
    <phoneticPr fontId="1"/>
  </si>
  <si>
    <r>
      <t>確率論　</t>
    </r>
    <r>
      <rPr>
        <i/>
        <sz val="11"/>
        <rFont val="ＭＳ Ｐゴシック"/>
        <family val="3"/>
        <charset val="128"/>
        <scheme val="minor"/>
      </rPr>
      <t>［理学部］</t>
    </r>
    <rPh sb="5" eb="8">
      <t>リガクブ</t>
    </rPh>
    <phoneticPr fontId="1"/>
  </si>
  <si>
    <t>疫学・保健統計</t>
  </si>
  <si>
    <r>
      <t>生命倫理学　</t>
    </r>
    <r>
      <rPr>
        <i/>
        <sz val="11"/>
        <rFont val="ＭＳ Ｐゴシック"/>
        <family val="3"/>
        <charset val="128"/>
        <scheme val="minor"/>
      </rPr>
      <t>［医学部医学科］</t>
    </r>
    <rPh sb="7" eb="10">
      <t>イガクブ</t>
    </rPh>
    <rPh sb="10" eb="13">
      <t>イガクカ</t>
    </rPh>
    <phoneticPr fontId="1"/>
  </si>
  <si>
    <r>
      <t>生命倫理学　</t>
    </r>
    <r>
      <rPr>
        <i/>
        <sz val="11"/>
        <rFont val="ＭＳ Ｐゴシック"/>
        <family val="3"/>
        <charset val="128"/>
        <scheme val="minor"/>
      </rPr>
      <t>［医学部看護学科］</t>
    </r>
    <rPh sb="7" eb="10">
      <t>イガクブ</t>
    </rPh>
    <phoneticPr fontId="1"/>
  </si>
  <si>
    <r>
      <t>アルゴリズムとデータ構造　</t>
    </r>
    <r>
      <rPr>
        <i/>
        <sz val="11"/>
        <rFont val="ＭＳ Ｐゴシック"/>
        <family val="3"/>
        <charset val="128"/>
        <scheme val="minor"/>
      </rPr>
      <t>［工学部］</t>
    </r>
    <rPh sb="14" eb="17">
      <t>コウガクブ</t>
    </rPh>
    <phoneticPr fontId="1"/>
  </si>
  <si>
    <r>
      <t xml:space="preserve">応用数学
</t>
    </r>
    <r>
      <rPr>
        <i/>
        <sz val="11"/>
        <rFont val="ＭＳ Ｐゴシック"/>
        <family val="3"/>
        <charset val="128"/>
        <scheme val="minor"/>
      </rPr>
      <t>［都市デザイン学部地球システム科学科］</t>
    </r>
    <phoneticPr fontId="1"/>
  </si>
  <si>
    <r>
      <t>力学</t>
    </r>
    <r>
      <rPr>
        <sz val="11"/>
        <rFont val="ＭＳ Ｐゴシック"/>
        <family val="3"/>
        <charset val="128"/>
        <scheme val="minor"/>
      </rPr>
      <t>　</t>
    </r>
    <r>
      <rPr>
        <i/>
        <sz val="10"/>
        <rFont val="ＭＳ Ｐゴシック"/>
        <family val="3"/>
        <charset val="128"/>
        <scheme val="minor"/>
      </rPr>
      <t>［都市デザイン学部地球システム科学科］</t>
    </r>
    <phoneticPr fontId="1"/>
  </si>
  <si>
    <r>
      <t xml:space="preserve">力学
</t>
    </r>
    <r>
      <rPr>
        <i/>
        <sz val="11"/>
        <rFont val="ＭＳ Ｐゴシック"/>
        <family val="3"/>
        <charset val="128"/>
        <scheme val="minor"/>
      </rPr>
      <t>［都市デザイン学部都市・交通デザイン学科］</t>
    </r>
    <phoneticPr fontId="1"/>
  </si>
  <si>
    <r>
      <t xml:space="preserve">応用数学
</t>
    </r>
    <r>
      <rPr>
        <i/>
        <sz val="11"/>
        <rFont val="ＭＳ Ｐゴシック"/>
        <family val="3"/>
        <charset val="128"/>
        <scheme val="minor"/>
      </rPr>
      <t>［都市デザイン学部都市・交通デザイン学科］</t>
    </r>
    <phoneticPr fontId="1"/>
  </si>
  <si>
    <r>
      <t xml:space="preserve">微分積分Ⅱ
</t>
    </r>
    <r>
      <rPr>
        <i/>
        <sz val="11"/>
        <rFont val="ＭＳ Ｐゴシック"/>
        <family val="3"/>
        <charset val="128"/>
        <scheme val="minor"/>
      </rPr>
      <t>［都市デザイン学部都市・交通デザイン学科］</t>
    </r>
    <phoneticPr fontId="1"/>
  </si>
  <si>
    <r>
      <t xml:space="preserve">微分積分Ⅰ
</t>
    </r>
    <r>
      <rPr>
        <i/>
        <sz val="11"/>
        <rFont val="ＭＳ Ｐゴシック"/>
        <family val="3"/>
        <charset val="128"/>
        <scheme val="minor"/>
      </rPr>
      <t>［都市デザイン学部都市・交通デザイン学科］</t>
    </r>
    <phoneticPr fontId="1"/>
  </si>
  <si>
    <r>
      <t xml:space="preserve">線形代数Ⅱ
</t>
    </r>
    <r>
      <rPr>
        <i/>
        <sz val="11"/>
        <rFont val="ＭＳ Ｐゴシック"/>
        <family val="3"/>
        <charset val="128"/>
        <scheme val="minor"/>
      </rPr>
      <t>［都市デザイン学部都市・交通デザイン学科］</t>
    </r>
    <phoneticPr fontId="1"/>
  </si>
  <si>
    <r>
      <t xml:space="preserve">線形代数Ⅰ
</t>
    </r>
    <r>
      <rPr>
        <i/>
        <sz val="11"/>
        <rFont val="ＭＳ Ｐゴシック"/>
        <family val="3"/>
        <charset val="128"/>
        <scheme val="minor"/>
      </rPr>
      <t>［都市デザイン学部都市・交通デザイン学科］</t>
    </r>
    <phoneticPr fontId="1"/>
  </si>
  <si>
    <r>
      <t xml:space="preserve">地球情報学
</t>
    </r>
    <r>
      <rPr>
        <i/>
        <sz val="11"/>
        <rFont val="ＭＳ Ｐゴシック"/>
        <family val="3"/>
        <charset val="128"/>
        <scheme val="minor"/>
      </rPr>
      <t>［都市デザイン学部地球システム科学科］</t>
    </r>
    <phoneticPr fontId="1"/>
  </si>
  <si>
    <r>
      <t xml:space="preserve">地球情報学
</t>
    </r>
    <r>
      <rPr>
        <i/>
        <sz val="11"/>
        <rFont val="ＭＳ Ｐゴシック"/>
        <family val="3"/>
        <charset val="128"/>
        <scheme val="minor"/>
      </rPr>
      <t>［都市デザイン学部都市・交通デザイン学科］</t>
    </r>
    <phoneticPr fontId="1"/>
  </si>
  <si>
    <r>
      <t xml:space="preserve">線形代数Ⅰ
</t>
    </r>
    <r>
      <rPr>
        <i/>
        <sz val="11"/>
        <rFont val="ＭＳ Ｐゴシック"/>
        <family val="3"/>
        <charset val="128"/>
        <scheme val="minor"/>
      </rPr>
      <t>［都市デザイン学部材料デザイン工学科］</t>
    </r>
    <phoneticPr fontId="1"/>
  </si>
  <si>
    <r>
      <t xml:space="preserve">線形代数Ⅱ
</t>
    </r>
    <r>
      <rPr>
        <i/>
        <sz val="11"/>
        <rFont val="ＭＳ Ｐゴシック"/>
        <family val="3"/>
        <charset val="128"/>
        <scheme val="minor"/>
      </rPr>
      <t>［都市デザイン学部材料デザイン工学科］</t>
    </r>
    <phoneticPr fontId="1"/>
  </si>
  <si>
    <r>
      <t xml:space="preserve">微分積分Ⅰ
</t>
    </r>
    <r>
      <rPr>
        <i/>
        <sz val="11"/>
        <rFont val="ＭＳ Ｐゴシック"/>
        <family val="3"/>
        <charset val="128"/>
        <scheme val="minor"/>
      </rPr>
      <t>［都市デザイン学部材料デザイン工学科］</t>
    </r>
    <phoneticPr fontId="1"/>
  </si>
  <si>
    <r>
      <t xml:space="preserve">微分積分Ⅱ
</t>
    </r>
    <r>
      <rPr>
        <i/>
        <sz val="11"/>
        <rFont val="ＭＳ Ｐゴシック"/>
        <family val="3"/>
        <charset val="128"/>
        <scheme val="minor"/>
      </rPr>
      <t>［都市デザイン学部材料デザイン工学科］</t>
    </r>
    <phoneticPr fontId="1"/>
  </si>
  <si>
    <r>
      <t xml:space="preserve">データサイエンスⅡ／多変量解析
</t>
    </r>
    <r>
      <rPr>
        <i/>
        <sz val="11"/>
        <rFont val="ＭＳ Ｐゴシック"/>
        <family val="3"/>
        <charset val="128"/>
        <scheme val="minor"/>
      </rPr>
      <t>［都市デザイン学部材料デザイン工学科］</t>
    </r>
    <phoneticPr fontId="1"/>
  </si>
  <si>
    <r>
      <t xml:space="preserve">データサイエンスⅠ／確率統計
</t>
    </r>
    <r>
      <rPr>
        <i/>
        <sz val="11"/>
        <rFont val="ＭＳ Ｐゴシック"/>
        <family val="3"/>
        <charset val="128"/>
        <scheme val="minor"/>
      </rPr>
      <t>［都市デザイン学部材料デザイン工学科］</t>
    </r>
    <phoneticPr fontId="1"/>
  </si>
  <si>
    <t>計算材料学Ⅱ</t>
  </si>
  <si>
    <t>材料工学序論Ⅱ</t>
  </si>
  <si>
    <t>移動現象論Ⅱ</t>
  </si>
  <si>
    <t>データサイエンスⅢ／ビッグデータ解析基礎</t>
  </si>
  <si>
    <r>
      <t xml:space="preserve">データサイエンスⅡ／多変量解析
</t>
    </r>
    <r>
      <rPr>
        <i/>
        <sz val="11"/>
        <rFont val="ＭＳ Ｐゴシック"/>
        <family val="3"/>
        <charset val="128"/>
        <scheme val="minor"/>
      </rPr>
      <t>［都市デザイン学部都市・交通デザイン学科］</t>
    </r>
    <phoneticPr fontId="1"/>
  </si>
  <si>
    <r>
      <t xml:space="preserve">データサイエンスⅡ／多変量解析
</t>
    </r>
    <r>
      <rPr>
        <i/>
        <sz val="11"/>
        <rFont val="ＭＳ Ｐゴシック"/>
        <family val="3"/>
        <charset val="128"/>
        <scheme val="minor"/>
      </rPr>
      <t>［都市デザイン学部地球システム科学科］</t>
    </r>
    <rPh sb="17" eb="19">
      <t>トシ</t>
    </rPh>
    <rPh sb="23" eb="25">
      <t>ガクブ</t>
    </rPh>
    <rPh sb="25" eb="27">
      <t>チキュウ</t>
    </rPh>
    <rPh sb="31" eb="34">
      <t>カガッカ</t>
    </rPh>
    <phoneticPr fontId="1"/>
  </si>
  <si>
    <r>
      <t xml:space="preserve">データサイエンスⅠ／確率統計
</t>
    </r>
    <r>
      <rPr>
        <i/>
        <sz val="11"/>
        <rFont val="ＭＳ Ｐゴシック"/>
        <family val="3"/>
        <charset val="128"/>
        <scheme val="minor"/>
      </rPr>
      <t>［都市デザイン学部都市・交通デザイン学科］</t>
    </r>
    <rPh sb="16" eb="18">
      <t>トシ</t>
    </rPh>
    <rPh sb="22" eb="24">
      <t>ガクブ</t>
    </rPh>
    <rPh sb="24" eb="26">
      <t>トシ</t>
    </rPh>
    <rPh sb="27" eb="29">
      <t>コウツウ</t>
    </rPh>
    <rPh sb="33" eb="35">
      <t>ガッカ</t>
    </rPh>
    <phoneticPr fontId="1"/>
  </si>
  <si>
    <r>
      <t xml:space="preserve">データサイエンスⅠ／確率統計
</t>
    </r>
    <r>
      <rPr>
        <i/>
        <sz val="11"/>
        <rFont val="ＭＳ Ｐゴシック"/>
        <family val="3"/>
        <charset val="128"/>
        <scheme val="minor"/>
      </rPr>
      <t>［都市デザイン学部地球システム科学科］</t>
    </r>
    <rPh sb="24" eb="26">
      <t>チキュウ</t>
    </rPh>
    <rPh sb="30" eb="31">
      <t>カ</t>
    </rPh>
    <rPh sb="31" eb="33">
      <t>ガッカ</t>
    </rPh>
    <phoneticPr fontId="1"/>
  </si>
  <si>
    <t>課長　田才　貴大
主任　岩崎　友紀</t>
    <rPh sb="0" eb="2">
      <t>カチョウ</t>
    </rPh>
    <rPh sb="3" eb="5">
      <t>タサイ</t>
    </rPh>
    <rPh sb="6" eb="7">
      <t>タカ</t>
    </rPh>
    <rPh sb="7" eb="8">
      <t>オオ</t>
    </rPh>
    <rPh sb="9" eb="11">
      <t>シュニン</t>
    </rPh>
    <rPh sb="12" eb="14">
      <t>イワサキ</t>
    </rPh>
    <rPh sb="15" eb="17">
      <t>ユキ</t>
    </rPh>
    <phoneticPr fontId="1"/>
  </si>
  <si>
    <t>076-445-6081
076-445-6078</t>
    <phoneticPr fontId="1"/>
  </si>
  <si>
    <t>（リテラシーレベル） プログラムを構成する科目から４科目８単位以上修得すること。
（応用基礎レベル） プログラムを構成する科目から８科目１６単位以上修得すること。
なお，教養教育科目…2科目4単位以上　専門教育科目…3科目6単位以上修得することが必要。
「情報処理-A,B,C」 (A,B,Cは学生の所属キャンパスによる区分で内容は同一) は全学生の必修科目(1年前期)であり，本プログラムの基盤となる科目である。この科目で項目の(1)～(5)すべての基本を体系的に学修したうえで，その後は各自の専門や志向によって関連科目を受講し，上記の単位を修得することが修了要件となる。なお，令和３年度中に，学部ごとの履修モデルを作成予定であり，これにより，２年次以降の体系的な学修が可能となる。</t>
    <rPh sb="231" eb="234">
      <t>タイケイテキ</t>
    </rPh>
    <rPh sb="235" eb="237">
      <t>ガクシュウ</t>
    </rPh>
    <rPh sb="292" eb="294">
      <t>レイワ</t>
    </rPh>
    <rPh sb="295" eb="298">
      <t>ネンドチュウ</t>
    </rPh>
    <rPh sb="311" eb="315">
      <t>サクセイヨテイ</t>
    </rPh>
    <rPh sb="326" eb="330">
      <t>ネンジイコウ</t>
    </rPh>
    <rPh sb="331" eb="334">
      <t>タイケイテキ</t>
    </rPh>
    <rPh sb="335" eb="337">
      <t>ガクシュウ</t>
    </rPh>
    <rPh sb="338" eb="340">
      <t>カノウ</t>
    </rPh>
    <phoneticPr fontId="1"/>
  </si>
  <si>
    <t>＊学部間又は学科間等で，同じ科目名の科目がある場合のみ，［ ］で開講学部等を記載</t>
    <phoneticPr fontId="1"/>
  </si>
  <si>
    <t>データサイエンスⅢ／ビッグデータ解析基礎</t>
    <phoneticPr fontId="1"/>
  </si>
  <si>
    <t>心理学研究法Ⅰ,Ⅱ</t>
    <phoneticPr fontId="1"/>
  </si>
  <si>
    <t>心理学実験Ⅰ,Ⅱ,Ⅲ,Ⅳ</t>
    <phoneticPr fontId="1"/>
  </si>
  <si>
    <t>生体構造学実験Ⅰ,Ⅱ</t>
    <phoneticPr fontId="1"/>
  </si>
  <si>
    <t>生体制御学実験Ⅰ,Ⅱ</t>
    <phoneticPr fontId="1"/>
  </si>
  <si>
    <t>生物圏環境科学実験Ⅰ,Ⅱ,Ⅲ</t>
    <phoneticPr fontId="1"/>
  </si>
  <si>
    <r>
      <t>臨床薬理・</t>
    </r>
    <r>
      <rPr>
        <sz val="11"/>
        <rFont val="ＭＳ Ｐゴシック"/>
        <family val="3"/>
        <charset val="128"/>
        <scheme val="minor"/>
      </rPr>
      <t>EBMと医療</t>
    </r>
    <phoneticPr fontId="1"/>
  </si>
  <si>
    <r>
      <t>データサイエンス</t>
    </r>
    <r>
      <rPr>
        <sz val="11"/>
        <rFont val="ＭＳ Ｐゴシック"/>
        <family val="3"/>
        <charset val="128"/>
        <scheme val="minor"/>
      </rPr>
      <t>Ⅲ／ビッグデータ解析基礎</t>
    </r>
    <phoneticPr fontId="1"/>
  </si>
  <si>
    <t>https://ds.ctg.u-toyama.ac.jp/education-about/，http://syllabus.adm.u-toyama.ac.jp/syllabus/</t>
    <phoneticPr fontId="1"/>
  </si>
  <si>
    <r>
      <t>令和２年度入学生より，１年次前期の</t>
    </r>
    <r>
      <rPr>
        <u/>
        <sz val="12"/>
        <rFont val="ＭＳ Ｐゴシック"/>
        <family val="3"/>
        <charset val="128"/>
        <scheme val="minor"/>
      </rPr>
      <t>必修科目</t>
    </r>
    <r>
      <rPr>
        <sz val="12"/>
        <rFont val="ＭＳ Ｐゴシック"/>
        <family val="3"/>
        <charset val="128"/>
        <scheme val="minor"/>
      </rPr>
      <t>「情報処理」（所属キャンパスによって「A」「B」「C」に分類）に数理・データサイエンスに関する内容を盛り込んでおり，全学部生が数理・データサイエンスに関する基本を学ぶため，令和２年度以降，収容定員に対する履修率は年々上昇する予定である。
各年度の履修予定者数（目標値）は以下のとおりである（（　　）内は，履修率。）。
　令和２年度　1,821名（24％）［実績］※
　　※令和２年度入学者数を母数とした場合は，</t>
    </r>
    <r>
      <rPr>
        <u/>
        <sz val="12"/>
        <rFont val="ＭＳ Ｐゴシック"/>
        <family val="3"/>
        <charset val="128"/>
        <scheme val="minor"/>
      </rPr>
      <t>99.8％</t>
    </r>
    <r>
      <rPr>
        <sz val="12"/>
        <rFont val="ＭＳ Ｐゴシック"/>
        <family val="3"/>
        <charset val="128"/>
        <scheme val="minor"/>
      </rPr>
      <t xml:space="preserve">
　令和３年度　3,591名（48％）
　令和４年度　5,361名（71％）
　令和５年度　7,131名（94％）
　令和６年度　7,291名（96％）
　令和７年度　7,451名（99％）
＊上記のとおり，「数理・データサイエンス・ＡＩ教育プログラム（リテラシーレベル）プラス」の要件を満たす予定である。
＊令和2年度入学者によるプログラム対象科目の履修者数の合計（延べ人数）は，教養科目で2978，専門科目で4129であり，総計の7107を令和2年度入学者数で割ると一人当たりの平均履修科目数は 3.9 となる。また，当該年度入学生は，2年生となった令和3年度前期には平均して対象科目を1.5科目履修している。これらの実績からも学生が一定の科目数を履修する見込みであることがわかる。</t>
    </r>
    <rPh sb="112" eb="114">
      <t>イコウ</t>
    </rPh>
    <rPh sb="152" eb="155">
      <t>モクヒョウチ</t>
    </rPh>
    <rPh sb="330" eb="332">
      <t>ジョウキ</t>
    </rPh>
    <rPh sb="374" eb="376">
      <t>ヨウケン</t>
    </rPh>
    <rPh sb="377" eb="378">
      <t>ミ</t>
    </rPh>
    <rPh sb="380" eb="382">
      <t>ヨテイ</t>
    </rPh>
    <rPh sb="418" eb="419">
      <t>ノ</t>
    </rPh>
    <rPh sb="420" eb="422">
      <t>ニンズウ</t>
    </rPh>
    <rPh sb="469" eb="472">
      <t>ヒトリア</t>
    </rPh>
    <rPh sb="475" eb="482">
      <t>ヘイキンリシュウカモクスウ</t>
    </rPh>
    <rPh sb="545" eb="547">
      <t>ジッセキ</t>
    </rPh>
    <rPh sb="550" eb="552">
      <t>ガクセイ</t>
    </rPh>
    <rPh sb="553" eb="555">
      <t>イッテイ</t>
    </rPh>
    <rPh sb="556" eb="559">
      <t>カモクスウ</t>
    </rPh>
    <rPh sb="560" eb="562">
      <t>リシュウ</t>
    </rPh>
    <rPh sb="564" eb="566">
      <t>ミコ</t>
    </rPh>
    <phoneticPr fontId="1"/>
  </si>
  <si>
    <t>新入生オリエンテーションにおいて，当該プログラムを説明するとともに，データサイエンスを学ぶことの意義及び具体的な学修内容をまとめたパンフレットを配布し，履修を促進している。
また，データサイエンス推進センターのウェブサイトにおいて教育プログラムを実施するための計画等を紹介するとともに，シラバスからも該当科目を検索できるように設定している。
令和２年度においては，全学部において外部有識者等を講師に招聘した講演会を開催し，実社会でデータが活用されている事例を紹介することで，新入生に数理・データサイエンス学修への動機づけを図った。</t>
    <rPh sb="17" eb="19">
      <t>トウガイ</t>
    </rPh>
    <rPh sb="25" eb="27">
      <t>セツメイ</t>
    </rPh>
    <rPh sb="43" eb="44">
      <t>マナ</t>
    </rPh>
    <rPh sb="48" eb="50">
      <t>イギ</t>
    </rPh>
    <rPh sb="50" eb="51">
      <t>オヨ</t>
    </rPh>
    <rPh sb="52" eb="55">
      <t>グタイテキ</t>
    </rPh>
    <rPh sb="123" eb="125">
      <t>ジッシ</t>
    </rPh>
    <rPh sb="130" eb="132">
      <t>ケイカク</t>
    </rPh>
    <rPh sb="132" eb="133">
      <t>トウ</t>
    </rPh>
    <phoneticPr fontId="1"/>
  </si>
  <si>
    <t>審査要件①～⑤を満たす「情報処理」（教養教育科目）は，必修科目であるため，全学部の全学生が単位を修得しなければならない。令和２年度については，コロナ禍であることも考慮し，本科目をLMS(富山大学Moodle)を活用したオンデマンド形式で実施した。これにより，学生は自身の理解の進捗に合わせて受講することが可能であった。令和４年度以降も，このコンテンツを利用し，学生が履修しやすい体制をとることとする。
「情報処理」以外のプログラム構成科目のうち，教養教育科目については，全ての学部生が履修可能である。また，専門教育科目については，全学部の科目にそれぞれデータサイエンスに関する科目が配置されているため，全ての学部・学科の学生がプログラムを履修・修了することが可能である。なお，所属学部以外の授業科目を履修する場合は，他学部履修制度を利用することが可能である。</t>
    <phoneticPr fontId="1"/>
  </si>
  <si>
    <t xml:space="preserve">必修科目「情報処理」におけるデータサイエンス学修の理解度等，その他の本プログラム科目の難易度等について調査し，これらの結果をデータサイエンス推進センター会議で分析・評価し，改善に活用している。
令和２年度は，データサイエンス教育についてのアンケートにおいて以下の結果を得た。（回答数 1,618)
＊ データサイエンスとはなにか,データサイエンスがなぜ重要か認識しましたか 
                はい 86.4%      いいえ 1.8%    どちらでもない 11.8%
＊ データの入手から分析までの流れを把握しましたか 
                はい 84.5%      いいえ 2.3%    どちらでもない 13.2%
＊ データの信頼性や分析方法の正当性を検証する必要性を理解しましたか
                はい 89.6%      いいえ 1.2%    どちらでもない 9.2%
＊ 社会で大量のデータを活用している例を知りましたか
                はい 90.9%      いいえ 0.9%    どちらでもない 8.2%
この結果から，データサイエンスの重要性が認識され，初歩的な知識・技術は修得できているものと思われる。
</t>
    <rPh sb="34" eb="35">
      <t>ホン</t>
    </rPh>
    <rPh sb="98" eb="100">
      <t>レイワ</t>
    </rPh>
    <rPh sb="101" eb="103">
      <t>ネンド</t>
    </rPh>
    <rPh sb="113" eb="115">
      <t>キョウイク</t>
    </rPh>
    <rPh sb="129" eb="131">
      <t>イカ</t>
    </rPh>
    <rPh sb="132" eb="134">
      <t>ケッカ</t>
    </rPh>
    <rPh sb="135" eb="136">
      <t>エ</t>
    </rPh>
    <rPh sb="139" eb="141">
      <t>カイトウ</t>
    </rPh>
    <rPh sb="141" eb="142">
      <t>スウ</t>
    </rPh>
    <rPh sb="503" eb="505">
      <t>ケッカ</t>
    </rPh>
    <rPh sb="517" eb="520">
      <t>ジュウヨウセイ</t>
    </rPh>
    <rPh sb="521" eb="523">
      <t>ニンシキ</t>
    </rPh>
    <rPh sb="526" eb="529">
      <t>ショホテキ</t>
    </rPh>
    <rPh sb="530" eb="532">
      <t>チシキ</t>
    </rPh>
    <rPh sb="533" eb="535">
      <t>ギジュツ</t>
    </rPh>
    <rPh sb="536" eb="538">
      <t>シュウトク</t>
    </rPh>
    <rPh sb="546" eb="547">
      <t>オモ</t>
    </rPh>
    <phoneticPr fontId="1"/>
  </si>
  <si>
    <t>先述のアンケートでは，さらに進んだデータサイエンス関連科目を受講したいかと尋ねたところ，肯定的な回答（ぜひ受講したい，内容や時間帯によっては受講する）が 78.4% であった。データサイエンス学習への興味・関心が高まっていることが見受けられ，自らだけでなく他の学生への良い影響も出てきていると思われる。</t>
    <rPh sb="0" eb="2">
      <t>センジュツ</t>
    </rPh>
    <rPh sb="14" eb="15">
      <t>スス</t>
    </rPh>
    <rPh sb="25" eb="29">
      <t>カンレンカモク</t>
    </rPh>
    <rPh sb="30" eb="32">
      <t>ジュコウ</t>
    </rPh>
    <rPh sb="37" eb="38">
      <t>タズ</t>
    </rPh>
    <rPh sb="44" eb="47">
      <t>コウテイテキ</t>
    </rPh>
    <rPh sb="48" eb="50">
      <t>カイトウ</t>
    </rPh>
    <rPh sb="53" eb="55">
      <t>ジュコウ</t>
    </rPh>
    <rPh sb="59" eb="61">
      <t>ナイヨウ</t>
    </rPh>
    <rPh sb="62" eb="65">
      <t>ジカンタイ</t>
    </rPh>
    <rPh sb="70" eb="72">
      <t>ジュコウ</t>
    </rPh>
    <rPh sb="96" eb="98">
      <t>ガクシュウ</t>
    </rPh>
    <rPh sb="100" eb="102">
      <t>キョウミ</t>
    </rPh>
    <rPh sb="103" eb="105">
      <t>カンシン</t>
    </rPh>
    <rPh sb="106" eb="107">
      <t>タカ</t>
    </rPh>
    <rPh sb="115" eb="117">
      <t>ミウ</t>
    </rPh>
    <rPh sb="121" eb="122">
      <t>ミズカ</t>
    </rPh>
    <rPh sb="128" eb="129">
      <t>タ</t>
    </rPh>
    <rPh sb="130" eb="132">
      <t>ガクセイ</t>
    </rPh>
    <rPh sb="134" eb="135">
      <t>ヨ</t>
    </rPh>
    <rPh sb="136" eb="138">
      <t>エイキョウ</t>
    </rPh>
    <rPh sb="139" eb="140">
      <t>デ</t>
    </rPh>
    <rPh sb="146" eb="147">
      <t>オモ</t>
    </rPh>
    <phoneticPr fontId="1"/>
  </si>
  <si>
    <t>令和２年度・３年度は，既設の教養教育科目「応用情報処理」にデータサイエンスに特化したクラスを１つ新設した。これを発展させ，令和４年度からは教養教育科目として，項目①から⑤を満たす内容の科目である「データサイエンスの世界」「データサイエンスの実践」を新設することとしており，履修者数の向上が見込まれる。
また，データサイエンス推進センター会議を定期的に開催し，各学部における数理・データサイエンス・AI教育の内容について見直しを行うことで質の確保を図り，学生の履修を促進する。</t>
    <rPh sb="0" eb="2">
      <t>レイワ</t>
    </rPh>
    <rPh sb="3" eb="5">
      <t>ネンド</t>
    </rPh>
    <rPh sb="7" eb="9">
      <t>ネンド</t>
    </rPh>
    <rPh sb="11" eb="13">
      <t>キセツ</t>
    </rPh>
    <rPh sb="14" eb="18">
      <t>キョウヨウキョウイク</t>
    </rPh>
    <rPh sb="18" eb="20">
      <t>カモク</t>
    </rPh>
    <rPh sb="21" eb="27">
      <t>オウヨウジョウホウショリ</t>
    </rPh>
    <rPh sb="38" eb="40">
      <t>トッカ</t>
    </rPh>
    <rPh sb="48" eb="50">
      <t>シンセツ</t>
    </rPh>
    <rPh sb="56" eb="58">
      <t>ハッテン</t>
    </rPh>
    <rPh sb="61" eb="63">
      <t>レイワ</t>
    </rPh>
    <rPh sb="64" eb="66">
      <t>ネンド</t>
    </rPh>
    <rPh sb="69" eb="75">
      <t>キョウヨウキョウイクカモク</t>
    </rPh>
    <rPh sb="79" eb="81">
      <t>コウモク</t>
    </rPh>
    <rPh sb="86" eb="87">
      <t>ミ</t>
    </rPh>
    <rPh sb="89" eb="91">
      <t>ナイヨウ</t>
    </rPh>
    <rPh sb="92" eb="94">
      <t>カモク</t>
    </rPh>
    <rPh sb="107" eb="109">
      <t>セカイ</t>
    </rPh>
    <rPh sb="120" eb="122">
      <t>ジッセン</t>
    </rPh>
    <rPh sb="124" eb="126">
      <t>シンセツ</t>
    </rPh>
    <rPh sb="136" eb="138">
      <t>リシュウ</t>
    </rPh>
    <rPh sb="138" eb="139">
      <t>シャ</t>
    </rPh>
    <rPh sb="139" eb="140">
      <t>スウ</t>
    </rPh>
    <rPh sb="141" eb="143">
      <t>コウジョウ</t>
    </rPh>
    <rPh sb="144" eb="146">
      <t>ミコ</t>
    </rPh>
    <rPh sb="162" eb="164">
      <t>スイシン</t>
    </rPh>
    <rPh sb="168" eb="170">
      <t>カイギ</t>
    </rPh>
    <rPh sb="175" eb="177">
      <t>カイサイ</t>
    </rPh>
    <rPh sb="213" eb="214">
      <t>オコナ</t>
    </rPh>
    <rPh sb="218" eb="219">
      <t>シツ</t>
    </rPh>
    <rPh sb="220" eb="222">
      <t>カクホ</t>
    </rPh>
    <rPh sb="223" eb="224">
      <t>ハカ</t>
    </rPh>
    <rPh sb="232" eb="234">
      <t>ソクシン</t>
    </rPh>
    <phoneticPr fontId="1"/>
  </si>
  <si>
    <t>全学部において外部有識者等を講師に招聘した講演会を開催し，データサイエンスが実社会で活用されている事例等を紹介することでデータサイエンス学修の楽しさや意義を理解させ，学修の動機づけを図っている。
講演会の実績とテーマ
「人文情報学 —データサイエンスに基づく人文学」　［令和2年7月29日（水）開催］
「学校現場で求められるプログラミングの指導力」　［令和2年12月2日（水）開催］
「AIが創る視覚 -AIは映像をどのように処理しているのか-」　［令和2年7月22日（水）開催］
「理学と数理・データサイエンス」　［令和2年10月28日（水）開催］
「国民健康保険ビッグデータによる健康ハザードマップ（メタボマップ）作成」　［令和2年10月14日（水）開催］
「データサイエンスが変える創薬」　［令和3年1月8日（金）開催］
「データサイエンスのためのMATLAB」　［令和2年10月7日（水）開催］
「デジタルヒューマニティーとデータサイエンス」　［令和2年11月4日（水）開催］
「富山から世界へ -データサイエンティストの未来-」　［令和2年10月14日（水）開催］</t>
    <rPh sb="12" eb="13">
      <t>トウ</t>
    </rPh>
    <rPh sb="17" eb="19">
      <t>ショウヘイ</t>
    </rPh>
    <rPh sb="21" eb="24">
      <t>コウエンカイ</t>
    </rPh>
    <rPh sb="25" eb="27">
      <t>カイサイ</t>
    </rPh>
    <rPh sb="38" eb="41">
      <t>ジッシャカイ</t>
    </rPh>
    <rPh sb="42" eb="44">
      <t>カツヨウ</t>
    </rPh>
    <rPh sb="49" eb="51">
      <t>ジレイ</t>
    </rPh>
    <rPh sb="51" eb="52">
      <t>トウ</t>
    </rPh>
    <rPh sb="53" eb="55">
      <t>ショウカイ</t>
    </rPh>
    <rPh sb="68" eb="70">
      <t>ガクシュウ</t>
    </rPh>
    <rPh sb="71" eb="72">
      <t>タノ</t>
    </rPh>
    <rPh sb="75" eb="77">
      <t>イギ</t>
    </rPh>
    <rPh sb="78" eb="80">
      <t>リカイ</t>
    </rPh>
    <rPh sb="83" eb="85">
      <t>ガクシュウ</t>
    </rPh>
    <rPh sb="86" eb="88">
      <t>ドウキ</t>
    </rPh>
    <rPh sb="91" eb="92">
      <t>ハカ</t>
    </rPh>
    <rPh sb="99" eb="102">
      <t>コウエンカイ</t>
    </rPh>
    <rPh sb="103" eb="105">
      <t>ジッセキ</t>
    </rPh>
    <rPh sb="136" eb="138">
      <t>レイワ</t>
    </rPh>
    <rPh sb="139" eb="140">
      <t>ネン</t>
    </rPh>
    <rPh sb="148" eb="150">
      <t>カイサイ</t>
    </rPh>
    <rPh sb="260" eb="262">
      <t>レイワ</t>
    </rPh>
    <rPh sb="263" eb="264">
      <t>ネン</t>
    </rPh>
    <rPh sb="273" eb="275">
      <t>カイサイ</t>
    </rPh>
    <rPh sb="315" eb="317">
      <t>レイワ</t>
    </rPh>
    <rPh sb="318" eb="319">
      <t>ネン</t>
    </rPh>
    <rPh sb="350" eb="352">
      <t>レイワ</t>
    </rPh>
    <rPh sb="353" eb="354">
      <t>ネン</t>
    </rPh>
    <rPh sb="355" eb="356">
      <t>ガツ</t>
    </rPh>
    <rPh sb="357" eb="358">
      <t>ニチ</t>
    </rPh>
    <rPh sb="359" eb="360">
      <t>キン</t>
    </rPh>
    <rPh sb="387" eb="389">
      <t>レイワ</t>
    </rPh>
    <rPh sb="390" eb="391">
      <t>ネン</t>
    </rPh>
    <rPh sb="428" eb="430">
      <t>レイワ</t>
    </rPh>
    <rPh sb="431" eb="432">
      <t>ネン</t>
    </rPh>
    <rPh sb="434" eb="435">
      <t>ガツ</t>
    </rPh>
    <rPh sb="436" eb="437">
      <t>ニチ</t>
    </rPh>
    <rPh sb="438" eb="439">
      <t>スイ</t>
    </rPh>
    <rPh sb="472" eb="474">
      <t>レイワ</t>
    </rPh>
    <rPh sb="475" eb="476">
      <t>ネン</t>
    </rPh>
    <rPh sb="478" eb="479">
      <t>ガツ</t>
    </rPh>
    <rPh sb="481" eb="482">
      <t>ニチ</t>
    </rPh>
    <rPh sb="483" eb="484">
      <t>スイ</t>
    </rPh>
    <phoneticPr fontId="1"/>
  </si>
  <si>
    <t>予定</t>
  </si>
  <si>
    <t>※公表している場合のアドレス　［公表予定のウェブサイトのアドレスを記載］</t>
    <rPh sb="1" eb="3">
      <t>コウヒョウ</t>
    </rPh>
    <rPh sb="7" eb="9">
      <t>バアイ</t>
    </rPh>
    <rPh sb="16" eb="20">
      <t>コウヒョウヨテイ</t>
    </rPh>
    <rPh sb="33" eb="35">
      <t>キサイ</t>
    </rPh>
    <phoneticPr fontId="1"/>
  </si>
  <si>
    <t>コンピュータの話,データサイエンスIII／ビッグデータ解析基礎,プログラミング基礎／電気電子,プログラミング基礎／機械,プログラミング応用Ａ,応用情報処理,地球計算機実習,マルチメディアシステム,マルチメディアシステム演習,情報集中演習,プログラミング実習Ａ,プログラミング実習Ｂ,プログラミング基礎／知能情報,プログラミング応用Ｂ,アルゴリズムとデータ構造,知能情報工学実験Ａ,デジタルコンテンツ演習,プログラミング基礎演習,プログラミング演習,プログラミング基礎,情報処理－Ａ,情報処理－Ｂ,情報処理－Ｃ,計量経済学‐Ａ,計量経済学‐Ｂ,知能情報工学実験Ｂ,計算材料学Ⅱ,アルゴリズムとデータ構造,プログラミングⅠ,プログラミング実習,プログラミング基礎／生命,プログラミング基礎／応用化学,オブジェクト指向,ソフトウェア工学,データベース論,Web演習Ⅱ</t>
    <phoneticPr fontId="1"/>
  </si>
  <si>
    <t>地球計算機実習,知能情報工学実験Ｂ,計算材料学Ⅱ,気水圏情報処理論,都市と交通の基礎理論,統計学,医療統計学,医療系実習(薬剤学),地球電磁気学,雪氷学,構造・材料実験</t>
    <phoneticPr fontId="1"/>
  </si>
  <si>
    <r>
      <t>学</t>
    </r>
    <r>
      <rPr>
        <sz val="11"/>
        <rFont val="ＭＳ Ｐゴシック"/>
        <family val="3"/>
        <charset val="128"/>
        <scheme val="minor"/>
      </rPr>
      <t>術研究やその応用および実社会でのデータ利活用で用いられるデータ解析の技術，可視化の手法，音声や画像などの非構造データの取り扱いなど，数理・データサイエンス・AI の諸技術や課題解決の手法(アルゴリズム)を学び，それらが企業活動やヘルスケア，社会インフラ整備に利活用されている事例を知る。</t>
    </r>
    <rPh sb="12" eb="15">
      <t>ジッシャカイ</t>
    </rPh>
    <rPh sb="20" eb="23">
      <t>リカツヨウ</t>
    </rPh>
    <rPh sb="24" eb="25">
      <t>モチ</t>
    </rPh>
    <rPh sb="32" eb="34">
      <t>カイセキ</t>
    </rPh>
    <rPh sb="35" eb="37">
      <t>ギジュツ</t>
    </rPh>
    <rPh sb="38" eb="41">
      <t>カシカ</t>
    </rPh>
    <rPh sb="42" eb="44">
      <t>シュホウ</t>
    </rPh>
    <rPh sb="45" eb="47">
      <t>オンセイ</t>
    </rPh>
    <rPh sb="48" eb="50">
      <t>ガゾウ</t>
    </rPh>
    <rPh sb="53" eb="54">
      <t>ヒ</t>
    </rPh>
    <rPh sb="54" eb="56">
      <t>コウゾウ</t>
    </rPh>
    <rPh sb="60" eb="61">
      <t>ト</t>
    </rPh>
    <rPh sb="62" eb="63">
      <t>アツカ</t>
    </rPh>
    <rPh sb="67" eb="69">
      <t>スウリ</t>
    </rPh>
    <rPh sb="83" eb="84">
      <t>ショ</t>
    </rPh>
    <rPh sb="84" eb="86">
      <t>ギジュツ</t>
    </rPh>
    <rPh sb="87" eb="89">
      <t>カダイ</t>
    </rPh>
    <rPh sb="89" eb="91">
      <t>カイケツ</t>
    </rPh>
    <rPh sb="92" eb="94">
      <t>シュホウ</t>
    </rPh>
    <rPh sb="103" eb="104">
      <t>マナ</t>
    </rPh>
    <rPh sb="110" eb="112">
      <t>キギョウ</t>
    </rPh>
    <rPh sb="112" eb="114">
      <t>カツドウ</t>
    </rPh>
    <rPh sb="121" eb="123">
      <t>シャカイ</t>
    </rPh>
    <rPh sb="127" eb="129">
      <t>セイビ</t>
    </rPh>
    <rPh sb="130" eb="133">
      <t>リカツヨウ</t>
    </rPh>
    <rPh sb="138" eb="140">
      <t>ジレイ</t>
    </rPh>
    <rPh sb="141" eb="142">
      <t>シ</t>
    </rPh>
    <phoneticPr fontId="1"/>
  </si>
  <si>
    <r>
      <t>臨床薬理</t>
    </r>
    <r>
      <rPr>
        <sz val="11"/>
        <rFont val="ＭＳ Ｐゴシック"/>
        <family val="3"/>
        <charset val="128"/>
        <scheme val="minor"/>
      </rPr>
      <t>・EBMと医療</t>
    </r>
    <phoneticPr fontId="1"/>
  </si>
  <si>
    <r>
      <t>データサイエンス</t>
    </r>
    <r>
      <rPr>
        <sz val="11"/>
        <rFont val="ＭＳ Ｐゴシック"/>
        <family val="3"/>
        <charset val="128"/>
        <scheme val="minor"/>
      </rPr>
      <t>Ⅱ／多変量解析</t>
    </r>
    <phoneticPr fontId="1"/>
  </si>
  <si>
    <r>
      <t>地理情報科学</t>
    </r>
    <r>
      <rPr>
        <sz val="11"/>
        <rFont val="ＭＳ Ｐゴシック"/>
        <family val="3"/>
        <charset val="128"/>
        <scheme val="minor"/>
      </rPr>
      <t>(GIS)実習</t>
    </r>
    <phoneticPr fontId="1"/>
  </si>
  <si>
    <r>
      <t>データサイエンス</t>
    </r>
    <r>
      <rPr>
        <sz val="11"/>
        <rFont val="ＭＳ Ｐゴシック"/>
        <family val="3"/>
        <charset val="128"/>
        <scheme val="minor"/>
      </rPr>
      <t>Ⅰ／確率統計</t>
    </r>
    <phoneticPr fontId="1"/>
  </si>
  <si>
    <t>データサイエンスIII／ビッグデータ解析基礎,経営システム‐Ａ,経営システム‐Ｂ,情報システム論‐Ａ,地域の経済と社会・文化,金融論Ⅰ‐Ａ,金融論Ⅰ‐Ｂ,Web演習Ⅱ,社会と情報の数理,脳科学入門,情報システム論‐Ｂ,Web演習Ⅰ,気象学,地殻物理学,力学,水理・水工学基礎,地盤工学基礎,地盤・水理実験,微分積分I,微分積分II,移動現象論II,人文地理学特殊講義(a),芸文総合演習D,材料力学,神経・脳科学,診療情報・臨床研究と医療,行動科学</t>
    <phoneticPr fontId="1"/>
  </si>
  <si>
    <t>社会学フィールド演習(a),(b)</t>
    <phoneticPr fontId="1"/>
  </si>
  <si>
    <t>社会調査法(a),(c)</t>
    <phoneticPr fontId="1"/>
  </si>
  <si>
    <t>心理学演習(A),(B),(C),(F)</t>
    <phoneticPr fontId="1"/>
  </si>
  <si>
    <t>人文地理学フィールド演習(1),(2)</t>
    <phoneticPr fontId="1"/>
  </si>
  <si>
    <t>統計学(1),統計学(2),コンピュータの話,情報処理－Ａ,情報処理－Ｂ,情報処理－Ｃ,社会医学実習,臨床薬理・ＥＢＭと医療,データサイエンスIII／ビッグデータ解析基礎,社会調査法(c),データサイエンスII／多変量解析,データサイエンスII／多変量解析,医学統計,データサイエンスII／多変量解析,測量学及び実習,都市と交通の基礎理論,線形代数,医療薬剤学,海洋物理学,心理学研究法Ⅰ,心理学研究法Ⅱ,社会調査法,社会心理学調査法,特別支援教育研究法,計量経済学‐Ａ,計量経済学‐Ｂ,研究医養成プログラム,対人保健学,統計学,医療統計学,データ解析概論,知能情報工学実験Ｃ,計測工学演習,データサイエンスI／確率統計,応用数学,データサイエンスI／確率統計,データサイエンスI／確率統計,組込みシステム,医療系実習(薬剤学),生体情報処理,生体情報処理,社会と情報の数理,通信システム,センサ工学,コンピュータグラフィックス,自然と情報の数理,経営システム‐Ａ,経営システム‐Ｂ,情報システム論‐Ａ,助産学ゼミナール,微分積分II,フーリエ解析,解析学－Ａ,解析学－Ｂ,微分積分Ⅰ－Ａ,微分積分Ⅰ－Ｂ,微分積分Ⅰ－Ｃ,微分積分Ⅰ－Ｄ,微分積分Ⅰ－Ｅ,線形代数学,線形代数Ⅰ－Ａ,線形代数Ⅰ－Ｂ,線形代数Ⅰ－Ｃ,線形代数Ⅰ－Ｄ,線形代数Ⅰ－Ｅ,自然現象のモデル化とその解析,心理学統計法,発達科学概論,教育心理学実験,心理学研究法,心理学実験法,心理統計学,発達福祉統計学,スポーツ動作分析法,バイオメカニクス,確率論,環境測定と誤差,環境物理学実験,基本統計,基礎数学,経営学と経済学で出る数学,統計学‐Ａ,統計学‐Ｂ,微分積分学Ⅰ,微分積分学Ⅱ,応用数学基礎,線形代数学,解析学Ａ,解析学B,線形代数学Ａ,線形代数学Ｂ,解析学Ⅲ,解析学Ⅳ,確率論,情報数理特論Ａ,物理数学Ａ,物理実験学,疫学・保健統計,ヘルスケアシステム論,微分積分Ⅰ（A）,微分積分Ⅰ（B）,微分積分Ⅱ,線形代数Ⅱ,線形代数Ⅰ（B）,データサイエンスⅠ,熱・波動,線形代数演習,離散数学,計算機アーキテクチャ,情報理論,知的システム,データサイエンスⅡ,プログラミング基礎／電気電子,プログラミング基礎／機械,プログラミング応用Ａ,ディジタル電子回路,電気電子計測工学,人工知能,知能情報工学実験Ｂ,論理情報回路,基礎センサ工学,数値解析,デジタル信号処理,パターン認識,音情報学,機械学習,情報セキュリティ,情報ネットワーク,計測工学,システム工学,マルチメディア工学,微分積分,力学,線形代数II,微分積分I,応用数学,構造力学基礎,線形代数II,計算材料学Ⅱ</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</si>
</sst>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3"/>
      <charset val="128"/>
      <scheme val="minor"/>
    </font>
    <font>
      <sz val="11"/>
      <color theme="1"/>
      <name val="ＭＳ Ｐゴシック"/>
      <family val="3"/>
      <charset val="128"/>
      <scheme val="minor"/>
    </font>
    <font>
      <u/>
      <sz val="11"/>
      <name val="ＭＳ Ｐゴシック"/>
      <family val="3"/>
      <charset val="128"/>
      <scheme val="minor"/>
    </font>
    <font>
      <sz val="9"/>
      <name val="ＭＳ Ｐゴシック"/>
      <family val="2"/>
      <charset val="128"/>
      <scheme val="minor"/>
    </font>
    <font>
      <sz val="9"/>
      <name val="ＭＳ Ｐゴシック"/>
      <family val="3"/>
      <charset val="128"/>
      <scheme val="minor"/>
    </font>
    <font>
      <sz val="12"/>
      <name val="ＭＳ ゴシック"/>
      <family val="3"/>
      <charset val="128"/>
    </font>
    <font>
      <sz val="11"/>
      <name val="ＭＳ Ｐゴシック"/>
      <family val="3"/>
      <charset val="128"/>
      <scheme val="minor"/>
    </font>
    <font>
      <sz val="10"/>
      <name val="ＭＳ Ｐゴシック"/>
      <family val="3"/>
      <charset val="128"/>
      <scheme val="minor"/>
    </font>
    <font>
      <sz val="12"/>
      <name val="ＭＳ Ｐゴシック"/>
      <family val="3"/>
      <charset val="128"/>
    </font>
    <font>
      <b/>
      <u/>
      <sz val="11"/>
      <color theme="1"/>
      <name val="ＭＳ Ｐゴシック"/>
      <family val="3"/>
      <charset val="128"/>
      <scheme val="minor"/>
    </font>
    <font>
      <u/>
      <sz val="12"/>
      <name val="ＭＳ Ｐゴシック"/>
      <family val="3"/>
      <charset val="128"/>
      <scheme val="minor"/>
    </font>
    <font>
      <b/>
      <sz val="12"/>
      <name val="ＭＳ Ｐゴシック"/>
      <family val="3"/>
      <charset val="128"/>
      <scheme val="minor"/>
    </font>
    <font>
      <i/>
      <sz val="11"/>
      <name val="ＭＳ Ｐゴシック"/>
      <family val="3"/>
      <charset val="128"/>
      <scheme val="minor"/>
    </font>
    <font>
      <i/>
      <sz val="10"/>
      <name val="ＭＳ Ｐゴシック"/>
      <family val="3"/>
      <charset val="128"/>
      <scheme val="minor"/>
    </font>
    <font>
      <sz val="10"/>
      <name val="ＭＳ Ｐゴシック"/>
      <family val="2"/>
      <charset val="128"/>
      <scheme val="minor"/>
    </font>
    <font>
      <strike/>
      <sz val="12"/>
      <color rgb="FFFF0000"/>
      <name val="ＭＳ Ｐゴシック"/>
      <family val="3"/>
      <charset val="128"/>
      <scheme val="minor"/>
    </font>
  </fonts>
  <fills count="2">
    <fill>
      <patternFill patternType="none"/>
    </fill>
    <fill>
      <patternFill patternType="gray125"/>
    </fill>
  </fills>
  <borders count="4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style="thin">
        <color auto="1"/>
      </right>
      <top/>
      <bottom/>
      <diagonal/>
    </border>
    <border>
      <left style="thin">
        <color auto="1"/>
      </left>
      <right/>
      <top style="hair">
        <color theme="1"/>
      </top>
      <bottom style="hair">
        <color auto="1"/>
      </bottom>
      <diagonal/>
    </border>
    <border>
      <left/>
      <right/>
      <top style="hair">
        <color theme="1"/>
      </top>
      <bottom style="hair">
        <color auto="1"/>
      </bottom>
      <diagonal/>
    </border>
    <border>
      <left/>
      <right style="thin">
        <color auto="1"/>
      </right>
      <top style="hair">
        <color theme="1"/>
      </top>
      <bottom style="hair">
        <color auto="1"/>
      </bottom>
      <diagonal/>
    </border>
    <border>
      <left style="thin">
        <color auto="1"/>
      </left>
      <right/>
      <top/>
      <bottom style="hair">
        <color theme="1"/>
      </bottom>
      <diagonal/>
    </border>
    <border>
      <left style="hair">
        <color auto="1"/>
      </left>
      <right/>
      <top style="hair">
        <color auto="1"/>
      </top>
      <bottom style="hair">
        <color theme="1"/>
      </bottom>
      <diagonal/>
    </border>
    <border>
      <left/>
      <right style="thin">
        <color auto="1"/>
      </right>
      <top style="hair">
        <color auto="1"/>
      </top>
      <bottom style="hair">
        <color theme="1"/>
      </bottom>
      <diagonal/>
    </border>
    <border>
      <left/>
      <right/>
      <top style="hair">
        <color auto="1"/>
      </top>
      <bottom style="hair">
        <color theme="1"/>
      </bottom>
      <diagonal/>
    </border>
    <border>
      <left style="thin">
        <color auto="1"/>
      </left>
      <right style="thin">
        <color auto="1"/>
      </right>
      <top/>
      <bottom style="thin">
        <color theme="1"/>
      </bottom>
      <diagonal/>
    </border>
    <border>
      <left style="thin">
        <color auto="1"/>
      </left>
      <right style="thin">
        <color auto="1"/>
      </right>
      <top style="thin">
        <color theme="1"/>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371">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xf>
    <xf numFmtId="0" fontId="3" fillId="0" borderId="0" xfId="0" applyFont="1" applyAlignment="1">
      <alignment horizontal="center" vertical="center"/>
    </xf>
    <xf numFmtId="0" fontId="8"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2" fillId="0" borderId="0" xfId="0" applyFont="1">
      <alignment vertical="center"/>
    </xf>
    <xf numFmtId="0" fontId="3" fillId="0" borderId="0" xfId="0" applyFont="1" applyBorder="1" applyAlignment="1">
      <alignment vertical="center" shrinkToFit="1"/>
    </xf>
    <xf numFmtId="176" fontId="3" fillId="0" borderId="5"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2" xfId="0" applyNumberFormat="1" applyFont="1" applyBorder="1" applyAlignment="1">
      <alignment vertical="center" shrinkToFit="1"/>
    </xf>
    <xf numFmtId="176" fontId="3" fillId="0" borderId="23"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9" fontId="3" fillId="0" borderId="25" xfId="0" applyNumberFormat="1" applyFont="1" applyBorder="1" applyAlignment="1">
      <alignment vertical="center" shrinkToFit="1"/>
    </xf>
    <xf numFmtId="176" fontId="4" fillId="0" borderId="0"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10" xfId="0" applyFont="1" applyBorder="1" applyAlignment="1">
      <alignment vertical="center" shrinkToFit="1"/>
    </xf>
    <xf numFmtId="0" fontId="8" fillId="0" borderId="0" xfId="0" applyFont="1" applyFill="1">
      <alignment vertical="center"/>
    </xf>
    <xf numFmtId="0" fontId="14" fillId="0" borderId="0" xfId="0" applyFont="1">
      <alignment vertical="center"/>
    </xf>
    <xf numFmtId="0" fontId="8" fillId="0" borderId="0" xfId="0" applyFont="1" applyBorder="1" applyAlignment="1">
      <alignment vertical="top" wrapText="1"/>
    </xf>
    <xf numFmtId="0" fontId="8" fillId="0" borderId="0" xfId="0" applyFont="1" applyBorder="1" applyAlignment="1">
      <alignment vertical="center" wrapText="1"/>
    </xf>
    <xf numFmtId="0" fontId="15" fillId="0" borderId="0" xfId="0" applyFont="1" applyBorder="1" applyAlignment="1">
      <alignment vertical="top" wrapText="1"/>
    </xf>
    <xf numFmtId="0" fontId="15" fillId="0" borderId="0" xfId="0" applyFont="1" applyBorder="1" applyAlignment="1">
      <alignment vertical="top" shrinkToFit="1"/>
    </xf>
    <xf numFmtId="0" fontId="15" fillId="0" borderId="0" xfId="0" applyFont="1" applyBorder="1" applyAlignment="1">
      <alignment vertical="center" wrapText="1"/>
    </xf>
    <xf numFmtId="0" fontId="16" fillId="0" borderId="0" xfId="0" applyFont="1" applyAlignment="1">
      <alignment vertical="center" wrapText="1"/>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Alignment="1">
      <alignment horizontal="center" vertical="center"/>
    </xf>
    <xf numFmtId="0" fontId="8" fillId="0" borderId="0" xfId="0" applyFont="1" applyBorder="1" applyAlignment="1">
      <alignment horizontal="center" vertical="center" shrinkToFit="1"/>
    </xf>
    <xf numFmtId="0" fontId="15" fillId="0" borderId="0" xfId="0" applyFont="1" applyAlignment="1">
      <alignment vertical="top" wrapText="1"/>
    </xf>
    <xf numFmtId="0" fontId="15" fillId="0" borderId="10" xfId="0" applyFont="1" applyBorder="1" applyAlignment="1">
      <alignment vertical="top" wrapText="1"/>
    </xf>
    <xf numFmtId="0" fontId="15" fillId="0" borderId="5" xfId="0" applyFont="1" applyBorder="1" applyAlignment="1">
      <alignment vertical="top" wrapText="1"/>
    </xf>
    <xf numFmtId="0" fontId="8" fillId="0" borderId="17" xfId="0" applyFont="1" applyBorder="1">
      <alignment vertical="center"/>
    </xf>
    <xf numFmtId="0" fontId="15" fillId="0" borderId="21" xfId="0" applyFont="1" applyBorder="1" applyAlignment="1">
      <alignment vertical="top" wrapText="1"/>
    </xf>
    <xf numFmtId="0" fontId="15" fillId="0" borderId="19" xfId="0" applyFont="1" applyBorder="1" applyAlignment="1">
      <alignment vertical="top" wrapText="1"/>
    </xf>
    <xf numFmtId="0" fontId="15" fillId="0" borderId="21" xfId="0" applyFont="1" applyBorder="1" applyAlignment="1">
      <alignment vertical="top" shrinkToFit="1"/>
    </xf>
    <xf numFmtId="0" fontId="15" fillId="0" borderId="19" xfId="0" applyFont="1" applyBorder="1" applyAlignment="1">
      <alignment vertical="top" shrinkToFit="1"/>
    </xf>
    <xf numFmtId="0" fontId="8" fillId="0" borderId="0" xfId="0" applyFont="1" applyAlignment="1">
      <alignment vertical="center" wrapText="1"/>
    </xf>
    <xf numFmtId="0" fontId="15" fillId="0" borderId="0" xfId="0" applyFont="1" applyBorder="1" applyAlignment="1">
      <alignment vertical="center" shrinkToFit="1"/>
    </xf>
    <xf numFmtId="0" fontId="8" fillId="0" borderId="0" xfId="0" applyFont="1" applyFill="1" applyBorder="1" applyAlignment="1">
      <alignment vertical="center"/>
    </xf>
    <xf numFmtId="0" fontId="15" fillId="0" borderId="0" xfId="0" applyFont="1" applyFill="1" applyBorder="1" applyAlignment="1">
      <alignment vertical="top" wrapText="1"/>
    </xf>
    <xf numFmtId="0" fontId="8" fillId="0" borderId="1" xfId="0" applyFont="1" applyBorder="1" applyAlignment="1">
      <alignment vertical="center" wrapText="1"/>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Alignment="1">
      <alignment horizontal="center" vertical="center"/>
    </xf>
    <xf numFmtId="0" fontId="2" fillId="0" borderId="0" xfId="0" applyFont="1" applyBorder="1" applyAlignment="1">
      <alignment vertical="center"/>
    </xf>
    <xf numFmtId="38" fontId="2" fillId="0" borderId="0" xfId="1" applyFont="1">
      <alignment vertical="center"/>
    </xf>
    <xf numFmtId="38" fontId="3" fillId="0" borderId="0" xfId="1" applyFont="1" applyAlignment="1">
      <alignment vertical="center" shrinkToFit="1"/>
    </xf>
    <xf numFmtId="38" fontId="3" fillId="0" borderId="0" xfId="1" applyFont="1" applyAlignment="1">
      <alignment horizontal="center" vertical="center"/>
    </xf>
    <xf numFmtId="38" fontId="3" fillId="0" borderId="5" xfId="1" applyFont="1" applyBorder="1" applyAlignment="1">
      <alignment vertical="center" shrinkToFit="1"/>
    </xf>
    <xf numFmtId="38" fontId="3" fillId="0" borderId="20" xfId="1" applyFont="1" applyBorder="1" applyAlignment="1">
      <alignment vertical="center" shrinkToFit="1"/>
    </xf>
    <xf numFmtId="38" fontId="3" fillId="0" borderId="23" xfId="1" applyFont="1" applyBorder="1" applyAlignment="1">
      <alignment vertical="center" shrinkToFit="1"/>
    </xf>
    <xf numFmtId="38" fontId="4" fillId="0" borderId="0" xfId="1" applyFont="1" applyBorder="1" applyAlignment="1">
      <alignment vertical="center" shrinkToFit="1"/>
    </xf>
    <xf numFmtId="176" fontId="11" fillId="0" borderId="3" xfId="0" applyNumberFormat="1" applyFont="1" applyBorder="1" applyAlignment="1">
      <alignment vertical="center" shrinkToFit="1"/>
    </xf>
    <xf numFmtId="0" fontId="11" fillId="0" borderId="0" xfId="0" applyFont="1">
      <alignment vertical="center"/>
    </xf>
    <xf numFmtId="0" fontId="11" fillId="0" borderId="0" xfId="0" applyFont="1" applyBorder="1" applyAlignment="1">
      <alignment horizontal="center" vertical="center"/>
    </xf>
    <xf numFmtId="0" fontId="8" fillId="0" borderId="3" xfId="0" applyFont="1" applyBorder="1" applyAlignment="1">
      <alignment vertical="center" shrinkToFit="1"/>
    </xf>
    <xf numFmtId="0" fontId="9" fillId="0" borderId="0" xfId="0" applyFont="1" applyAlignment="1">
      <alignment horizontal="right" vertical="center"/>
    </xf>
    <xf numFmtId="0" fontId="8" fillId="0" borderId="4" xfId="0" applyFont="1" applyBorder="1" applyAlignment="1">
      <alignment vertical="center" shrinkToFit="1"/>
    </xf>
    <xf numFmtId="0" fontId="8" fillId="0" borderId="0" xfId="0" applyFont="1" applyFill="1" applyBorder="1" applyAlignment="1">
      <alignment vertical="top" shrinkToFi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19" fillId="0" borderId="2" xfId="0" applyFont="1" applyBorder="1" applyAlignment="1">
      <alignment vertical="center"/>
    </xf>
    <xf numFmtId="0" fontId="15" fillId="0" borderId="40" xfId="0" applyFont="1" applyBorder="1" applyAlignment="1">
      <alignment vertical="top" wrapText="1"/>
    </xf>
    <xf numFmtId="176" fontId="9" fillId="0" borderId="0" xfId="0" applyNumberFormat="1" applyFont="1">
      <alignment vertical="center"/>
    </xf>
    <xf numFmtId="0" fontId="8" fillId="0" borderId="0" xfId="0" applyFont="1" applyAlignment="1">
      <alignment wrapText="1"/>
    </xf>
    <xf numFmtId="0" fontId="8" fillId="0" borderId="5" xfId="0" applyFont="1" applyBorder="1" applyAlignment="1"/>
    <xf numFmtId="0" fontId="22" fillId="0" borderId="5" xfId="0" applyFont="1" applyBorder="1" applyAlignment="1"/>
    <xf numFmtId="0" fontId="8" fillId="0" borderId="1" xfId="0" applyFont="1" applyBorder="1" applyAlignment="1">
      <alignment horizontal="center" vertical="center" shrinkToFit="1"/>
    </xf>
    <xf numFmtId="0" fontId="25" fillId="0" borderId="0" xfId="0" applyFont="1">
      <alignment vertical="center"/>
    </xf>
    <xf numFmtId="0" fontId="9" fillId="0" borderId="0" xfId="0" applyFont="1" applyBorder="1">
      <alignment vertical="center"/>
    </xf>
    <xf numFmtId="0" fontId="17" fillId="0" borderId="0" xfId="2" applyNumberFormat="1" applyFont="1" applyBorder="1" applyAlignment="1">
      <alignment vertical="center"/>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2" xfId="0" applyFont="1" applyBorder="1" applyAlignment="1">
      <alignment vertical="center" shrinkToFit="1"/>
    </xf>
    <xf numFmtId="0" fontId="8" fillId="0" borderId="2" xfId="0"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1" xfId="0" applyFont="1" applyBorder="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11" xfId="0" applyFont="1" applyBorder="1" applyAlignment="1">
      <alignment horizontal="center" vertical="center"/>
    </xf>
    <xf numFmtId="0" fontId="8" fillId="0" borderId="11" xfId="0" applyFont="1" applyBorder="1" applyAlignment="1">
      <alignment horizontal="left" vertical="center"/>
    </xf>
    <xf numFmtId="0" fontId="8" fillId="0" borderId="11" xfId="0" applyFont="1" applyBorder="1" applyAlignment="1">
      <alignment horizontal="left" vertical="center" shrinkToFit="1"/>
    </xf>
    <xf numFmtId="0" fontId="17" fillId="0" borderId="2" xfId="0" applyFont="1" applyBorder="1" applyAlignment="1">
      <alignment vertical="center"/>
    </xf>
    <xf numFmtId="0" fontId="8" fillId="0" borderId="0" xfId="0" applyFont="1" applyBorder="1" applyAlignment="1">
      <alignment horizontal="left" vertical="center" wrapText="1"/>
    </xf>
    <xf numFmtId="0" fontId="8" fillId="0" borderId="1" xfId="0" applyFont="1" applyFill="1" applyBorder="1" applyAlignment="1">
      <alignment vertical="center" wrapText="1"/>
    </xf>
    <xf numFmtId="20" fontId="8" fillId="0" borderId="0" xfId="0" applyNumberFormat="1" applyFont="1">
      <alignment vertical="center"/>
    </xf>
    <xf numFmtId="49" fontId="17" fillId="0" borderId="3" xfId="0" applyNumberFormat="1" applyFont="1" applyBorder="1" applyAlignment="1">
      <alignment horizontal="left" vertical="center"/>
    </xf>
    <xf numFmtId="49" fontId="17" fillId="0" borderId="4" xfId="0" applyNumberFormat="1" applyFont="1" applyBorder="1" applyAlignment="1">
      <alignment horizontal="left" vertical="center"/>
    </xf>
    <xf numFmtId="0" fontId="26" fillId="0" borderId="3" xfId="0" applyFont="1" applyBorder="1" applyAlignment="1">
      <alignment vertical="center" shrinkToFit="1"/>
    </xf>
    <xf numFmtId="0" fontId="26" fillId="0" borderId="4" xfId="0" applyFont="1" applyBorder="1" applyAlignment="1">
      <alignment vertical="center" shrinkToFit="1"/>
    </xf>
    <xf numFmtId="0" fontId="8" fillId="0" borderId="3" xfId="0" applyFont="1" applyBorder="1" applyAlignment="1">
      <alignment vertical="center" wrapText="1"/>
    </xf>
    <xf numFmtId="0" fontId="8" fillId="0" borderId="4" xfId="0" applyFont="1" applyBorder="1" applyAlignment="1">
      <alignment vertical="center" wrapText="1"/>
    </xf>
    <xf numFmtId="0" fontId="9" fillId="0" borderId="5" xfId="0" applyFont="1" applyBorder="1">
      <alignment vertical="center"/>
    </xf>
    <xf numFmtId="0" fontId="8" fillId="0" borderId="5" xfId="0" applyFont="1" applyBorder="1" applyAlignment="1">
      <alignment vertical="center" wrapText="1"/>
    </xf>
    <xf numFmtId="0" fontId="8" fillId="0" borderId="5" xfId="0" applyFont="1" applyBorder="1" applyAlignment="1">
      <alignment vertical="center" shrinkToFit="1"/>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Border="1" applyAlignment="1">
      <alignment horizontal="center" vertical="center"/>
    </xf>
    <xf numFmtId="38" fontId="8" fillId="0" borderId="2" xfId="1" applyFont="1" applyBorder="1" applyAlignment="1">
      <alignment horizontal="center" vertical="center"/>
    </xf>
    <xf numFmtId="38" fontId="8" fillId="0" borderId="3" xfId="1" applyFont="1" applyBorder="1" applyAlignment="1">
      <alignment horizontal="center" vertical="center"/>
    </xf>
    <xf numFmtId="38" fontId="8" fillId="0" borderId="4" xfId="1" applyFont="1" applyBorder="1" applyAlignment="1">
      <alignment horizontal="center" vertical="center"/>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49" fontId="13"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wrapText="1"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horizontal="center" vertical="center" wrapText="1" shrinkToFit="1"/>
    </xf>
    <xf numFmtId="0" fontId="18" fillId="0" borderId="7" xfId="0" applyFont="1" applyBorder="1" applyAlignment="1">
      <alignment vertical="top" wrapText="1"/>
    </xf>
    <xf numFmtId="0" fontId="18" fillId="0" borderId="8" xfId="0" applyFont="1" applyBorder="1" applyAlignment="1">
      <alignment vertical="top" wrapText="1"/>
    </xf>
    <xf numFmtId="0" fontId="18" fillId="0" borderId="9" xfId="0" applyFont="1" applyBorder="1" applyAlignment="1">
      <alignment vertical="top" wrapText="1"/>
    </xf>
    <xf numFmtId="0" fontId="18" fillId="0" borderId="5" xfId="0" applyFont="1" applyBorder="1" applyAlignment="1">
      <alignment vertical="top" wrapText="1"/>
    </xf>
    <xf numFmtId="0" fontId="18" fillId="0" borderId="0" xfId="0" applyFont="1" applyBorder="1" applyAlignment="1">
      <alignment vertical="top" wrapText="1"/>
    </xf>
    <xf numFmtId="0" fontId="18" fillId="0" borderId="10" xfId="0" applyFont="1" applyBorder="1" applyAlignment="1">
      <alignment vertical="top" wrapText="1"/>
    </xf>
    <xf numFmtId="0" fontId="18" fillId="0" borderId="11" xfId="0" applyFont="1" applyBorder="1" applyAlignment="1">
      <alignment vertical="top" wrapText="1"/>
    </xf>
    <xf numFmtId="0" fontId="18" fillId="0" borderId="6" xfId="0" applyFont="1" applyBorder="1" applyAlignment="1">
      <alignment vertical="top" wrapText="1"/>
    </xf>
    <xf numFmtId="0" fontId="18" fillId="0" borderId="12" xfId="0" applyFont="1" applyBorder="1" applyAlignment="1">
      <alignment vertical="top" wrapText="1"/>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3" fillId="0" borderId="23" xfId="0" applyFont="1" applyBorder="1" applyAlignment="1">
      <alignment horizontal="center" vertical="center" shrinkToFit="1"/>
    </xf>
    <xf numFmtId="0" fontId="3" fillId="0" borderId="24"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horizontal="left" vertical="center" shrinkToFit="1"/>
    </xf>
    <xf numFmtId="0" fontId="3" fillId="0" borderId="19" xfId="0" applyFont="1" applyBorder="1" applyAlignment="1">
      <alignment horizontal="left"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5" xfId="0" applyFont="1" applyBorder="1" applyAlignment="1">
      <alignment vertical="center" shrinkToFit="1"/>
    </xf>
    <xf numFmtId="0" fontId="2" fillId="0" borderId="0" xfId="0" applyFont="1" applyAlignment="1">
      <alignment horizontal="right" vertical="center"/>
    </xf>
    <xf numFmtId="38" fontId="7" fillId="0" borderId="7" xfId="1" applyFont="1" applyBorder="1" applyAlignment="1">
      <alignment horizontal="center" vertical="center" wrapText="1"/>
    </xf>
    <xf numFmtId="38" fontId="7" fillId="0" borderId="11" xfId="1"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5"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2" fillId="0" borderId="0" xfId="0" applyFont="1" applyAlignment="1">
      <alignment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18" fillId="0" borderId="2" xfId="0" applyFont="1" applyBorder="1" applyAlignment="1">
      <alignment vertical="center"/>
    </xf>
    <xf numFmtId="0" fontId="18" fillId="0" borderId="3" xfId="0" applyFont="1" applyBorder="1" applyAlignment="1">
      <alignment vertical="center"/>
    </xf>
    <xf numFmtId="0" fontId="18" fillId="0" borderId="4" xfId="0" applyFont="1" applyBorder="1" applyAlignment="1">
      <alignment vertical="center"/>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1"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49" fontId="17" fillId="0" borderId="2" xfId="0" applyNumberFormat="1" applyFont="1" applyBorder="1" applyAlignment="1">
      <alignment horizontal="left" vertical="center"/>
    </xf>
    <xf numFmtId="49" fontId="17" fillId="0" borderId="3" xfId="0" applyNumberFormat="1" applyFont="1" applyBorder="1" applyAlignment="1">
      <alignment horizontal="left" vertical="center"/>
    </xf>
    <xf numFmtId="49" fontId="17" fillId="0" borderId="4" xfId="0" applyNumberFormat="1" applyFont="1" applyBorder="1" applyAlignment="1">
      <alignment horizontal="left" vertical="center"/>
    </xf>
    <xf numFmtId="0" fontId="17" fillId="0" borderId="2" xfId="0" applyFont="1" applyBorder="1" applyAlignment="1">
      <alignment vertical="center"/>
    </xf>
    <xf numFmtId="0" fontId="17" fillId="0" borderId="3" xfId="0" applyFont="1" applyBorder="1" applyAlignment="1">
      <alignment vertical="center"/>
    </xf>
    <xf numFmtId="0" fontId="17" fillId="0" borderId="4" xfId="0" applyFont="1" applyBorder="1" applyAlignment="1">
      <alignment vertical="center"/>
    </xf>
    <xf numFmtId="49" fontId="17" fillId="0" borderId="2" xfId="0" applyNumberFormat="1" applyFont="1" applyBorder="1" applyAlignment="1">
      <alignment horizontal="left" vertical="center" shrinkToFit="1"/>
    </xf>
    <xf numFmtId="49" fontId="17" fillId="0" borderId="3" xfId="0" applyNumberFormat="1" applyFont="1" applyBorder="1" applyAlignment="1">
      <alignment horizontal="left" vertical="center" shrinkToFit="1"/>
    </xf>
    <xf numFmtId="49" fontId="17" fillId="0" borderId="4" xfId="0" applyNumberFormat="1" applyFont="1" applyBorder="1" applyAlignment="1">
      <alignment horizontal="left" vertical="center" shrinkToFit="1"/>
    </xf>
    <xf numFmtId="0" fontId="17" fillId="0" borderId="2" xfId="2"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8" fillId="0" borderId="2" xfId="0" applyFont="1" applyFill="1" applyBorder="1" applyAlignment="1">
      <alignment horizontal="left" vertical="top" wrapText="1" shrinkToFit="1"/>
    </xf>
    <xf numFmtId="0" fontId="8" fillId="0" borderId="3" xfId="0" applyFont="1" applyFill="1" applyBorder="1" applyAlignment="1">
      <alignment horizontal="left" vertical="top" wrapText="1" shrinkToFit="1"/>
    </xf>
    <xf numFmtId="0" fontId="8" fillId="0" borderId="4" xfId="0" applyFont="1" applyFill="1" applyBorder="1" applyAlignment="1">
      <alignment horizontal="left" vertical="top" wrapText="1" shrinkToFit="1"/>
    </xf>
    <xf numFmtId="0" fontId="8" fillId="0" borderId="16" xfId="0" applyFont="1" applyBorder="1" applyAlignment="1">
      <alignment vertical="center" wrapText="1"/>
    </xf>
    <xf numFmtId="0" fontId="8" fillId="0" borderId="36" xfId="0" applyFont="1" applyBorder="1" applyAlignment="1">
      <alignment vertical="center" wrapText="1"/>
    </xf>
    <xf numFmtId="0" fontId="8" fillId="0" borderId="44" xfId="0" applyFont="1" applyBorder="1" applyAlignment="1">
      <alignment vertical="center" wrapText="1"/>
    </xf>
    <xf numFmtId="0" fontId="8" fillId="0" borderId="3" xfId="0" applyFont="1" applyFill="1" applyBorder="1" applyAlignment="1">
      <alignment horizontal="left" vertical="top" shrinkToFit="1"/>
    </xf>
    <xf numFmtId="0" fontId="8" fillId="0" borderId="4" xfId="0" applyFont="1" applyFill="1" applyBorder="1" applyAlignment="1">
      <alignment horizontal="left" vertical="top" shrinkToFit="1"/>
    </xf>
    <xf numFmtId="0" fontId="18" fillId="0" borderId="2" xfId="0" applyFont="1" applyBorder="1" applyAlignment="1">
      <alignment vertical="center" shrinkToFit="1"/>
    </xf>
    <xf numFmtId="0" fontId="18" fillId="0" borderId="3" xfId="0" applyFont="1" applyBorder="1" applyAlignment="1">
      <alignment vertical="center" shrinkToFit="1"/>
    </xf>
    <xf numFmtId="0" fontId="18" fillId="0" borderId="4" xfId="0" applyFont="1" applyBorder="1" applyAlignment="1">
      <alignment vertical="center" shrinkToFit="1"/>
    </xf>
    <xf numFmtId="0" fontId="8" fillId="0" borderId="45" xfId="0" applyFont="1" applyBorder="1" applyAlignment="1">
      <alignment vertical="center" wrapText="1"/>
    </xf>
    <xf numFmtId="0" fontId="8" fillId="0" borderId="13" xfId="0" applyFont="1" applyBorder="1" applyAlignment="1">
      <alignment vertical="center" wrapText="1"/>
    </xf>
    <xf numFmtId="0" fontId="8" fillId="0" borderId="7" xfId="0" applyFont="1" applyFill="1" applyBorder="1" applyAlignment="1">
      <alignment vertical="center" wrapText="1" shrinkToFit="1"/>
    </xf>
    <xf numFmtId="0" fontId="8" fillId="0" borderId="8" xfId="0" applyFont="1" applyFill="1" applyBorder="1" applyAlignment="1">
      <alignment vertical="center" shrinkToFit="1"/>
    </xf>
    <xf numFmtId="0" fontId="8" fillId="0" borderId="9" xfId="0" applyFont="1" applyFill="1" applyBorder="1" applyAlignment="1">
      <alignment vertical="center" shrinkToFit="1"/>
    </xf>
    <xf numFmtId="0" fontId="8" fillId="0" borderId="5" xfId="0" applyFont="1" applyFill="1" applyBorder="1" applyAlignment="1">
      <alignment vertical="center" shrinkToFit="1"/>
    </xf>
    <xf numFmtId="0" fontId="8" fillId="0" borderId="0" xfId="0" applyFont="1" applyFill="1" applyBorder="1" applyAlignment="1">
      <alignment vertical="center" shrinkToFit="1"/>
    </xf>
    <xf numFmtId="0" fontId="8" fillId="0" borderId="10" xfId="0" applyFont="1" applyFill="1" applyBorder="1" applyAlignment="1">
      <alignment vertical="center" shrinkToFit="1"/>
    </xf>
    <xf numFmtId="0" fontId="8" fillId="0" borderId="11" xfId="0" applyFont="1" applyFill="1" applyBorder="1" applyAlignment="1">
      <alignment vertical="center" shrinkToFit="1"/>
    </xf>
    <xf numFmtId="0" fontId="8" fillId="0" borderId="6" xfId="0" applyFont="1" applyFill="1" applyBorder="1" applyAlignment="1">
      <alignment vertical="center" shrinkToFit="1"/>
    </xf>
    <xf numFmtId="0" fontId="8" fillId="0" borderId="12" xfId="0" applyFont="1" applyFill="1" applyBorder="1" applyAlignment="1">
      <alignment vertical="center" shrinkToFit="1"/>
    </xf>
    <xf numFmtId="0" fontId="17" fillId="0" borderId="2" xfId="0" applyFont="1" applyBorder="1" applyAlignment="1">
      <alignment horizontal="left" vertical="center" shrinkToFit="1"/>
    </xf>
    <xf numFmtId="0" fontId="17" fillId="0" borderId="3" xfId="0" applyFont="1" applyBorder="1" applyAlignment="1">
      <alignment horizontal="left" vertical="center" shrinkToFit="1"/>
    </xf>
    <xf numFmtId="0" fontId="17" fillId="0" borderId="4" xfId="0" applyFont="1" applyBorder="1" applyAlignment="1">
      <alignment horizontal="left" vertical="center" shrinkToFit="1"/>
    </xf>
    <xf numFmtId="0" fontId="8" fillId="0" borderId="16" xfId="0" applyFont="1" applyBorder="1" applyAlignment="1">
      <alignment horizontal="left" vertical="center" wrapText="1"/>
    </xf>
    <xf numFmtId="0" fontId="8" fillId="0" borderId="36" xfId="0" applyFont="1" applyBorder="1" applyAlignment="1">
      <alignment horizontal="left" vertical="center" wrapText="1"/>
    </xf>
    <xf numFmtId="0" fontId="8" fillId="0" borderId="13" xfId="0" applyFont="1" applyBorder="1" applyAlignment="1">
      <alignment horizontal="left" vertical="center" wrapText="1"/>
    </xf>
    <xf numFmtId="0" fontId="17" fillId="0" borderId="16" xfId="0" applyFont="1" applyBorder="1" applyAlignment="1">
      <alignment horizontal="left" vertical="center" wrapText="1"/>
    </xf>
    <xf numFmtId="0" fontId="17" fillId="0" borderId="36" xfId="0" applyFont="1" applyBorder="1" applyAlignment="1">
      <alignment horizontal="left" vertical="center" wrapText="1"/>
    </xf>
    <xf numFmtId="0" fontId="17" fillId="0" borderId="13" xfId="0" applyFont="1" applyBorder="1" applyAlignment="1">
      <alignment horizontal="left" vertical="center" wrapText="1"/>
    </xf>
    <xf numFmtId="0" fontId="8" fillId="0" borderId="7" xfId="0" applyFont="1" applyFill="1" applyBorder="1" applyAlignment="1">
      <alignment vertical="top" wrapText="1"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Border="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8" xfId="0" applyFont="1" applyFill="1" applyBorder="1" applyAlignment="1">
      <alignment vertical="top" wrapText="1" shrinkToFit="1"/>
    </xf>
    <xf numFmtId="0" fontId="8" fillId="0" borderId="9" xfId="0" applyFont="1" applyFill="1" applyBorder="1" applyAlignment="1">
      <alignment vertical="top" wrapText="1" shrinkToFit="1"/>
    </xf>
    <xf numFmtId="0" fontId="8" fillId="0" borderId="5" xfId="0" applyFont="1" applyFill="1" applyBorder="1" applyAlignment="1">
      <alignment vertical="top" wrapText="1" shrinkToFit="1"/>
    </xf>
    <xf numFmtId="0" fontId="8" fillId="0" borderId="0" xfId="0" applyFont="1" applyFill="1" applyBorder="1" applyAlignment="1">
      <alignment vertical="top" wrapText="1" shrinkToFit="1"/>
    </xf>
    <xf numFmtId="0" fontId="8" fillId="0" borderId="10" xfId="0" applyFont="1" applyFill="1" applyBorder="1" applyAlignment="1">
      <alignment vertical="top" wrapText="1" shrinkToFit="1"/>
    </xf>
    <xf numFmtId="0" fontId="8" fillId="0" borderId="11" xfId="0" applyFont="1" applyFill="1" applyBorder="1" applyAlignment="1">
      <alignment vertical="top" wrapText="1" shrinkToFi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7" fillId="0" borderId="19" xfId="0" applyFont="1" applyBorder="1" applyAlignment="1">
      <alignment vertical="center"/>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8" fillId="0" borderId="41" xfId="0" applyFont="1" applyBorder="1" applyAlignment="1">
      <alignment vertical="center" wrapText="1"/>
    </xf>
    <xf numFmtId="0" fontId="8" fillId="0" borderId="42" xfId="0" applyFont="1" applyBorder="1" applyAlignment="1">
      <alignment vertical="center" wrapText="1"/>
    </xf>
    <xf numFmtId="0" fontId="8" fillId="0" borderId="43" xfId="0" applyFont="1" applyBorder="1" applyAlignment="1">
      <alignment vertical="top" wrapText="1" shrinkToFit="1"/>
    </xf>
    <xf numFmtId="0" fontId="8" fillId="0" borderId="42" xfId="0" applyFont="1" applyBorder="1" applyAlignment="1">
      <alignment vertical="top" wrapText="1" shrinkToFit="1"/>
    </xf>
    <xf numFmtId="0" fontId="8" fillId="0" borderId="37" xfId="0" applyFont="1" applyBorder="1" applyAlignment="1">
      <alignment vertical="center" wrapText="1"/>
    </xf>
    <xf numFmtId="0" fontId="8" fillId="0" borderId="38" xfId="0" applyFont="1" applyBorder="1" applyAlignment="1">
      <alignment vertical="center" wrapText="1"/>
    </xf>
    <xf numFmtId="0" fontId="8" fillId="0" borderId="39" xfId="0" applyFont="1" applyBorder="1" applyAlignment="1">
      <alignment vertical="center" wrapText="1"/>
    </xf>
    <xf numFmtId="0" fontId="8" fillId="0" borderId="38" xfId="0" applyFont="1" applyFill="1" applyBorder="1" applyAlignment="1">
      <alignment vertical="top" wrapText="1" shrinkToFit="1"/>
    </xf>
    <xf numFmtId="0" fontId="8" fillId="0" borderId="39" xfId="0" applyFont="1" applyFill="1" applyBorder="1" applyAlignment="1">
      <alignment vertical="top" wrapText="1" shrinkToFit="1"/>
    </xf>
    <xf numFmtId="0" fontId="13" fillId="0" borderId="2" xfId="2" applyFont="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8" fillId="0" borderId="20" xfId="0" applyFont="1" applyBorder="1" applyAlignment="1">
      <alignment vertical="top" wrapText="1" shrinkToFit="1"/>
    </xf>
    <xf numFmtId="0" fontId="15" fillId="0" borderId="0" xfId="0" applyFont="1" applyAlignment="1">
      <alignment vertical="top"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12" fillId="0" borderId="7" xfId="0" applyFont="1" applyBorder="1" applyAlignment="1">
      <alignment vertical="top" wrapText="1" shrinkToFit="1"/>
    </xf>
    <xf numFmtId="0" fontId="12" fillId="0" borderId="8" xfId="0" applyFont="1" applyBorder="1" applyAlignment="1">
      <alignment vertical="top"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Border="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49" fontId="8" fillId="0" borderId="1" xfId="0" quotePrefix="1" applyNumberFormat="1" applyFont="1" applyBorder="1" applyAlignment="1">
      <alignment vertical="center" shrinkToFit="1"/>
    </xf>
  </cellXfs>
  <cellStyles count="3">
    <cellStyle name="ハイパーリンク" xfId="2" builtinId="8"/>
    <cellStyle name="桁区切り" xfId="1" builtinId="6"/>
    <cellStyle name="標準"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19610</xdr:colOff>
      <xdr:row>18</xdr:row>
      <xdr:rowOff>54910</xdr:rowOff>
    </xdr:from>
    <xdr:to>
      <xdr:col>17</xdr:col>
      <xdr:colOff>302558</xdr:colOff>
      <xdr:row>24</xdr:row>
      <xdr:rowOff>212912</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2765051" y="3876116"/>
          <a:ext cx="7028889" cy="156994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rPr>
            <a:t>令和２年度</a:t>
          </a:r>
          <a:endParaRPr kumimoji="1" lang="en-US" altLang="ja-JP" sz="1100" b="1">
            <a:solidFill>
              <a:sysClr val="windowText" lastClr="000000"/>
            </a:solidFill>
          </a:endParaRPr>
        </a:p>
        <a:p>
          <a:pPr algn="l"/>
          <a:r>
            <a:rPr kumimoji="1" lang="ja-JP" altLang="en-US" sz="1100" b="1">
              <a:solidFill>
                <a:sysClr val="windowText" lastClr="000000"/>
              </a:solidFill>
            </a:rPr>
            <a:t>プログラム対象科目の履修者数の合計（実人数）を計上</a:t>
          </a:r>
          <a:endParaRPr kumimoji="1" lang="en-US" altLang="ja-JP" sz="1100" b="1">
            <a:solidFill>
              <a:sysClr val="windowText" lastClr="000000"/>
            </a:solidFill>
          </a:endParaRPr>
        </a:p>
        <a:p>
          <a:pPr algn="l"/>
          <a:endParaRPr kumimoji="1" lang="en-US" altLang="ja-JP" sz="1100" b="1">
            <a:solidFill>
              <a:sysClr val="windowText" lastClr="000000"/>
            </a:solidFill>
          </a:endParaRPr>
        </a:p>
        <a:p>
          <a:pPr algn="l"/>
          <a:r>
            <a:rPr kumimoji="1" lang="en-US" altLang="ja-JP" sz="1100" b="0">
              <a:solidFill>
                <a:sysClr val="windowText" lastClr="000000"/>
              </a:solidFill>
            </a:rPr>
            <a:t>※</a:t>
          </a:r>
          <a:r>
            <a:rPr kumimoji="1" lang="ja-JP" altLang="en-US" sz="1100" b="0">
              <a:solidFill>
                <a:sysClr val="windowText" lastClr="000000"/>
              </a:solidFill>
            </a:rPr>
            <a:t>本プログラムは令和２年度以降入学生対象のみため，１学年のみの数字</a:t>
          </a:r>
          <a:endParaRPr kumimoji="1" lang="en-US" altLang="ja-JP" sz="1100" b="0">
            <a:solidFill>
              <a:sysClr val="windowText" lastClr="000000"/>
            </a:solidFill>
          </a:endParaRPr>
        </a:p>
        <a:p>
          <a:pPr algn="l"/>
          <a:endParaRPr kumimoji="1" lang="en-US" altLang="ja-JP" sz="1100" b="0">
            <a:solidFill>
              <a:sysClr val="windowText" lastClr="000000"/>
            </a:solidFill>
          </a:endParaRPr>
        </a:p>
        <a:p>
          <a:pPr algn="l"/>
          <a:r>
            <a:rPr kumimoji="1" lang="en-US" altLang="ja-JP" sz="1100" b="0">
              <a:solidFill>
                <a:sysClr val="windowText" lastClr="000000"/>
              </a:solidFill>
            </a:rPr>
            <a:t>※</a:t>
          </a:r>
          <a:r>
            <a:rPr kumimoji="1" lang="ja-JP" altLang="en-US" sz="1100" b="0">
              <a:solidFill>
                <a:sysClr val="windowText" lastClr="000000"/>
              </a:solidFill>
            </a:rPr>
            <a:t>修了者数について，本プログラムは「リテラシーレベル」「応用基礎レベル」２段階の修了要件が設けられているが「リテラシーレベル」の修了要件を満たした学生を計上</a:t>
          </a:r>
          <a:endParaRPr kumimoji="1" lang="en-US" altLang="ja-JP" sz="1100" b="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107</xdr:row>
      <xdr:rowOff>133350</xdr:rowOff>
    </xdr:from>
    <xdr:to>
      <xdr:col>5</xdr:col>
      <xdr:colOff>649586</xdr:colOff>
      <xdr:row>127</xdr:row>
      <xdr:rowOff>142875</xdr:rowOff>
    </xdr:to>
    <xdr:pic>
      <xdr:nvPicPr>
        <xdr:cNvPr id="3" name="図 2"/>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26" t="1698" r="1412" b="1357"/>
        <a:stretch/>
      </xdr:blipFill>
      <xdr:spPr bwMode="auto">
        <a:xfrm>
          <a:off x="219075" y="25326975"/>
          <a:ext cx="6326486" cy="4772025"/>
        </a:xfrm>
        <a:prstGeom prst="rect">
          <a:avLst/>
        </a:prstGeom>
        <a:noFill/>
        <a:ln>
          <a:solidFill>
            <a:schemeClr val="bg1">
              <a:lumMod val="50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view="pageBreakPreview" zoomScale="85" zoomScaleNormal="85" zoomScaleSheetLayoutView="85" workbookViewId="0">
      <selection activeCell="O51" sqref="O51"/>
    </sheetView>
  </sheetViews>
  <sheetFormatPr defaultColWidth="9" defaultRowHeight="18.75" customHeight="1" x14ac:dyDescent="0.15"/>
  <cols>
    <col min="1" max="1" width="2.5" style="9" customWidth="1"/>
    <col min="2" max="2" width="12.5" style="9" customWidth="1"/>
    <col min="3" max="8" width="6.25" style="9" customWidth="1"/>
    <col min="9" max="9" width="2.5" style="9" customWidth="1"/>
    <col min="10" max="10" width="10" style="9" customWidth="1"/>
    <col min="11" max="11" width="2.5" style="9" customWidth="1"/>
    <col min="12" max="12" width="7.5" style="9" customWidth="1"/>
    <col min="13" max="13" width="2.5" style="9" customWidth="1"/>
    <col min="14" max="14" width="7.5" style="9" customWidth="1"/>
    <col min="15" max="16384" width="9" style="9"/>
  </cols>
  <sheetData>
    <row r="1" spans="1:14" ht="22.5" customHeight="1" x14ac:dyDescent="0.15">
      <c r="M1" s="159" t="s">
        <v>29</v>
      </c>
      <c r="N1" s="159"/>
    </row>
    <row r="2" spans="1:14" ht="22.5" customHeight="1" x14ac:dyDescent="0.15">
      <c r="A2" s="164" t="s">
        <v>128</v>
      </c>
      <c r="B2" s="164"/>
      <c r="C2" s="164"/>
      <c r="D2" s="164"/>
      <c r="E2" s="164"/>
      <c r="F2" s="164"/>
      <c r="G2" s="164"/>
      <c r="H2" s="164"/>
      <c r="I2" s="164"/>
      <c r="J2" s="164"/>
      <c r="K2" s="164"/>
      <c r="L2" s="164"/>
      <c r="M2" s="164"/>
      <c r="N2" s="164"/>
    </row>
    <row r="3" spans="1:14" ht="22.5" customHeight="1" x14ac:dyDescent="0.15"/>
    <row r="4" spans="1:14" ht="22.5" customHeight="1" x14ac:dyDescent="0.15">
      <c r="A4" s="9" t="s">
        <v>7</v>
      </c>
      <c r="B4" s="11" t="s">
        <v>20</v>
      </c>
      <c r="C4" s="146" t="s">
        <v>129</v>
      </c>
      <c r="D4" s="147"/>
      <c r="E4" s="147"/>
      <c r="F4" s="147"/>
      <c r="G4" s="147"/>
      <c r="H4" s="147"/>
      <c r="I4" s="147"/>
      <c r="J4" s="147"/>
      <c r="K4" s="147"/>
      <c r="L4" s="147"/>
      <c r="M4" s="147"/>
      <c r="N4" s="148"/>
    </row>
    <row r="5" spans="1:14" ht="7.5" customHeight="1" x14ac:dyDescent="0.15">
      <c r="B5" s="11"/>
      <c r="C5" s="11"/>
      <c r="D5" s="11"/>
      <c r="E5" s="12"/>
      <c r="F5" s="54"/>
      <c r="G5" s="54"/>
      <c r="H5" s="54"/>
      <c r="I5" s="54"/>
      <c r="J5" s="54"/>
      <c r="K5" s="54"/>
      <c r="L5" s="54"/>
      <c r="M5" s="54"/>
      <c r="N5" s="54"/>
    </row>
    <row r="6" spans="1:14" ht="22.5" customHeight="1" x14ac:dyDescent="0.15">
      <c r="A6" s="9" t="s">
        <v>54</v>
      </c>
      <c r="B6" s="11" t="s">
        <v>55</v>
      </c>
      <c r="C6" s="11"/>
      <c r="D6" s="146" t="s">
        <v>130</v>
      </c>
      <c r="E6" s="147"/>
      <c r="F6" s="147"/>
      <c r="G6" s="147"/>
      <c r="H6" s="147"/>
      <c r="I6" s="147"/>
      <c r="J6" s="147"/>
      <c r="K6" s="147"/>
      <c r="L6" s="147"/>
      <c r="M6" s="147"/>
      <c r="N6" s="148"/>
    </row>
    <row r="7" spans="1:14" ht="7.5" customHeight="1" x14ac:dyDescent="0.15">
      <c r="B7" s="11"/>
      <c r="C7" s="11"/>
      <c r="D7" s="11"/>
      <c r="E7" s="12"/>
      <c r="F7" s="54"/>
      <c r="G7" s="54"/>
      <c r="H7" s="54"/>
      <c r="I7" s="54"/>
      <c r="J7" s="54"/>
      <c r="K7" s="54"/>
      <c r="L7" s="54"/>
      <c r="M7" s="54"/>
      <c r="N7" s="54"/>
    </row>
    <row r="8" spans="1:14" ht="22.5" customHeight="1" x14ac:dyDescent="0.15">
      <c r="A8" s="13" t="s">
        <v>13</v>
      </c>
      <c r="B8" s="14" t="s">
        <v>56</v>
      </c>
      <c r="C8" s="146" t="s">
        <v>131</v>
      </c>
      <c r="D8" s="147"/>
      <c r="E8" s="148"/>
      <c r="F8" s="54"/>
      <c r="G8" s="163"/>
      <c r="H8" s="163"/>
      <c r="I8" s="163"/>
      <c r="J8" s="54"/>
      <c r="K8" s="54"/>
      <c r="L8" s="54"/>
      <c r="M8" s="54"/>
      <c r="N8" s="54"/>
    </row>
    <row r="9" spans="1:14" ht="7.5" customHeight="1" x14ac:dyDescent="0.15">
      <c r="B9" s="11"/>
      <c r="C9" s="11"/>
      <c r="D9" s="11"/>
      <c r="E9" s="12"/>
      <c r="F9" s="54"/>
      <c r="G9" s="54"/>
      <c r="H9" s="54"/>
      <c r="I9" s="54"/>
      <c r="J9" s="54"/>
      <c r="K9" s="54"/>
      <c r="L9" s="54"/>
      <c r="M9" s="54"/>
      <c r="N9" s="54"/>
    </row>
    <row r="10" spans="1:14" ht="22.5" customHeight="1" x14ac:dyDescent="0.15">
      <c r="A10" s="9" t="s">
        <v>17</v>
      </c>
      <c r="B10" s="11" t="s">
        <v>51</v>
      </c>
      <c r="C10" s="146" t="s">
        <v>132</v>
      </c>
      <c r="D10" s="147"/>
      <c r="E10" s="147"/>
      <c r="F10" s="147"/>
      <c r="G10" s="147"/>
      <c r="H10" s="147"/>
      <c r="I10" s="147"/>
      <c r="J10" s="147"/>
      <c r="K10" s="147"/>
      <c r="L10" s="147"/>
      <c r="M10" s="147"/>
      <c r="N10" s="148"/>
    </row>
    <row r="11" spans="1:14" ht="7.5" customHeight="1" x14ac:dyDescent="0.15">
      <c r="B11" s="11"/>
      <c r="C11" s="11"/>
      <c r="D11" s="11"/>
      <c r="E11" s="12"/>
      <c r="F11" s="54"/>
      <c r="G11" s="54"/>
      <c r="H11" s="54"/>
      <c r="I11" s="54"/>
      <c r="J11" s="54"/>
      <c r="K11" s="54"/>
      <c r="L11" s="54"/>
      <c r="M11" s="54"/>
      <c r="N11" s="54"/>
    </row>
    <row r="12" spans="1:14" ht="22.5" customHeight="1" x14ac:dyDescent="0.15">
      <c r="A12" s="9" t="s">
        <v>14</v>
      </c>
      <c r="B12" s="11" t="s">
        <v>124</v>
      </c>
      <c r="C12" s="11"/>
      <c r="D12" s="11"/>
      <c r="E12" s="54"/>
      <c r="F12" s="59"/>
      <c r="G12" s="165" t="s">
        <v>137</v>
      </c>
      <c r="H12" s="166"/>
      <c r="I12" s="166"/>
      <c r="J12" s="166"/>
      <c r="K12" s="166"/>
      <c r="L12" s="166"/>
      <c r="M12" s="166"/>
      <c r="N12" s="167"/>
    </row>
    <row r="13" spans="1:14" ht="7.5" customHeight="1" x14ac:dyDescent="0.15">
      <c r="B13" s="12"/>
      <c r="C13" s="12"/>
      <c r="D13" s="12"/>
      <c r="E13" s="12"/>
      <c r="F13" s="54"/>
      <c r="G13" s="54"/>
      <c r="H13" s="54"/>
      <c r="I13" s="54"/>
      <c r="J13" s="54"/>
      <c r="K13" s="54"/>
      <c r="L13" s="54"/>
      <c r="M13" s="54"/>
      <c r="N13" s="54"/>
    </row>
    <row r="14" spans="1:14" ht="22.5" customHeight="1" x14ac:dyDescent="0.15">
      <c r="A14" s="9" t="s">
        <v>65</v>
      </c>
      <c r="B14" s="12" t="s">
        <v>66</v>
      </c>
      <c r="C14" s="12"/>
      <c r="D14" s="12"/>
      <c r="E14" s="12"/>
      <c r="F14" s="146" t="s">
        <v>133</v>
      </c>
      <c r="G14" s="147"/>
      <c r="H14" s="148"/>
      <c r="I14" s="54"/>
      <c r="J14" s="54"/>
      <c r="K14" s="54"/>
      <c r="L14" s="54"/>
      <c r="M14" s="54"/>
      <c r="N14" s="54"/>
    </row>
    <row r="15" spans="1:14" ht="7.5" customHeight="1" x14ac:dyDescent="0.15">
      <c r="B15" s="12"/>
      <c r="C15" s="12"/>
      <c r="D15" s="12"/>
      <c r="E15" s="12"/>
      <c r="F15" s="54"/>
      <c r="G15" s="54"/>
      <c r="H15" s="54"/>
      <c r="I15" s="54"/>
      <c r="J15" s="54"/>
      <c r="K15" s="54"/>
      <c r="L15" s="54"/>
      <c r="M15" s="54"/>
      <c r="N15" s="54"/>
    </row>
    <row r="16" spans="1:14" ht="22.5" customHeight="1" x14ac:dyDescent="0.15">
      <c r="A16" s="9" t="s">
        <v>15</v>
      </c>
      <c r="B16" s="9" t="s">
        <v>0</v>
      </c>
      <c r="C16" s="160" t="s">
        <v>6</v>
      </c>
      <c r="D16" s="161"/>
      <c r="E16" s="144">
        <v>840</v>
      </c>
      <c r="F16" s="145"/>
      <c r="G16" s="15" t="s">
        <v>10</v>
      </c>
      <c r="I16" s="160" t="s">
        <v>11</v>
      </c>
      <c r="J16" s="161"/>
      <c r="K16" s="144">
        <v>285</v>
      </c>
      <c r="L16" s="162"/>
      <c r="M16" s="145"/>
      <c r="N16" s="16" t="s">
        <v>10</v>
      </c>
    </row>
    <row r="17" spans="1:15" ht="7.5" customHeight="1" x14ac:dyDescent="0.15">
      <c r="F17" s="17"/>
      <c r="G17" s="17"/>
      <c r="H17" s="17"/>
      <c r="I17" s="17"/>
      <c r="J17" s="17"/>
      <c r="K17" s="17"/>
      <c r="L17" s="17"/>
      <c r="M17" s="16"/>
      <c r="N17" s="16"/>
    </row>
    <row r="18" spans="1:15" ht="22.5" customHeight="1" x14ac:dyDescent="0.15">
      <c r="A18" s="9" t="s">
        <v>60</v>
      </c>
      <c r="B18" s="9" t="s">
        <v>87</v>
      </c>
      <c r="F18" s="17"/>
      <c r="G18" s="17"/>
      <c r="H18" s="17"/>
      <c r="I18" s="17"/>
      <c r="J18" s="17"/>
      <c r="K18" s="156">
        <v>214</v>
      </c>
      <c r="L18" s="157"/>
      <c r="M18" s="158"/>
      <c r="N18" s="16" t="s">
        <v>58</v>
      </c>
    </row>
    <row r="19" spans="1:15" ht="7.5" customHeight="1" x14ac:dyDescent="0.15">
      <c r="F19" s="17"/>
      <c r="G19" s="17"/>
      <c r="H19" s="17"/>
      <c r="I19" s="17"/>
      <c r="J19" s="17"/>
      <c r="K19" s="17"/>
      <c r="L19" s="17"/>
      <c r="M19" s="16"/>
      <c r="N19" s="16"/>
    </row>
    <row r="20" spans="1:15" ht="22.5" customHeight="1" x14ac:dyDescent="0.15">
      <c r="A20" s="9" t="s">
        <v>67</v>
      </c>
      <c r="B20" s="9" t="s">
        <v>121</v>
      </c>
      <c r="E20" s="144">
        <v>1770</v>
      </c>
      <c r="F20" s="145"/>
      <c r="G20" s="18" t="s">
        <v>25</v>
      </c>
      <c r="H20" s="17"/>
      <c r="K20" s="143"/>
      <c r="L20" s="143"/>
      <c r="M20" s="143"/>
      <c r="N20" s="143"/>
    </row>
    <row r="21" spans="1:15" ht="7.5" customHeight="1" x14ac:dyDescent="0.15">
      <c r="E21" s="7"/>
      <c r="F21" s="17"/>
      <c r="G21" s="17"/>
      <c r="L21" s="55"/>
      <c r="M21" s="55"/>
      <c r="N21" s="19"/>
    </row>
    <row r="22" spans="1:15" ht="22.5" customHeight="1" x14ac:dyDescent="0.15">
      <c r="A22" s="9" t="s">
        <v>28</v>
      </c>
      <c r="B22" s="9" t="s">
        <v>122</v>
      </c>
      <c r="E22" s="7"/>
      <c r="F22" s="17"/>
      <c r="G22" s="17"/>
      <c r="H22" s="9" t="s">
        <v>59</v>
      </c>
      <c r="J22" s="150">
        <v>7942</v>
      </c>
      <c r="K22" s="151"/>
      <c r="L22" s="152"/>
      <c r="M22" s="55" t="s">
        <v>58</v>
      </c>
      <c r="N22" s="19"/>
      <c r="O22" s="108"/>
    </row>
    <row r="23" spans="1:15" ht="7.5" customHeight="1" x14ac:dyDescent="0.15">
      <c r="E23" s="7"/>
      <c r="F23" s="17"/>
      <c r="G23" s="17"/>
      <c r="J23" s="97"/>
      <c r="K23" s="97"/>
      <c r="L23" s="98"/>
      <c r="M23" s="55"/>
      <c r="N23" s="19"/>
    </row>
    <row r="24" spans="1:15" ht="22.5" customHeight="1" x14ac:dyDescent="0.15">
      <c r="B24" s="58" t="s">
        <v>21</v>
      </c>
      <c r="C24" s="144">
        <v>1836</v>
      </c>
      <c r="D24" s="145"/>
      <c r="E24" s="7" t="s">
        <v>26</v>
      </c>
      <c r="F24" s="17"/>
      <c r="G24" s="149" t="s">
        <v>22</v>
      </c>
      <c r="H24" s="149"/>
      <c r="I24" s="144">
        <v>1871</v>
      </c>
      <c r="J24" s="145"/>
      <c r="K24" s="13" t="s">
        <v>26</v>
      </c>
      <c r="M24" s="55"/>
      <c r="N24" s="19"/>
      <c r="O24" s="10"/>
    </row>
    <row r="25" spans="1:15" ht="7.5" customHeight="1" x14ac:dyDescent="0.15">
      <c r="B25" s="58"/>
      <c r="C25" s="96"/>
      <c r="D25" s="96"/>
      <c r="E25" s="7"/>
      <c r="F25" s="17"/>
      <c r="G25" s="55"/>
      <c r="H25" s="55"/>
      <c r="I25" s="8"/>
      <c r="J25" s="8"/>
      <c r="K25" s="13"/>
      <c r="M25" s="55"/>
      <c r="N25" s="19"/>
      <c r="O25" s="10"/>
    </row>
    <row r="26" spans="1:15" ht="22.5" customHeight="1" x14ac:dyDescent="0.15">
      <c r="B26" s="58" t="s">
        <v>23</v>
      </c>
      <c r="C26" s="144">
        <v>1929</v>
      </c>
      <c r="D26" s="145"/>
      <c r="E26" s="7" t="s">
        <v>26</v>
      </c>
      <c r="F26" s="17"/>
      <c r="G26" s="149" t="s">
        <v>24</v>
      </c>
      <c r="H26" s="149"/>
      <c r="I26" s="144">
        <v>1991</v>
      </c>
      <c r="J26" s="145"/>
      <c r="K26" s="13" t="s">
        <v>26</v>
      </c>
      <c r="M26" s="55"/>
      <c r="N26" s="19"/>
    </row>
    <row r="27" spans="1:15" ht="7.5" customHeight="1" x14ac:dyDescent="0.15">
      <c r="B27" s="58"/>
      <c r="C27" s="96"/>
      <c r="D27" s="96"/>
      <c r="E27" s="7"/>
      <c r="F27" s="17"/>
      <c r="G27" s="55"/>
      <c r="H27" s="55"/>
      <c r="I27" s="8"/>
      <c r="J27" s="8"/>
      <c r="K27" s="13"/>
      <c r="M27" s="55"/>
      <c r="N27" s="19"/>
    </row>
    <row r="28" spans="1:15" ht="22.5" customHeight="1" x14ac:dyDescent="0.15">
      <c r="B28" s="58" t="s">
        <v>52</v>
      </c>
      <c r="C28" s="144">
        <v>154</v>
      </c>
      <c r="D28" s="145"/>
      <c r="E28" s="7" t="s">
        <v>10</v>
      </c>
      <c r="F28" s="17"/>
      <c r="G28" s="149" t="s">
        <v>53</v>
      </c>
      <c r="H28" s="149"/>
      <c r="I28" s="144">
        <v>161</v>
      </c>
      <c r="J28" s="145"/>
      <c r="K28" s="13" t="s">
        <v>10</v>
      </c>
      <c r="M28" s="55"/>
      <c r="N28" s="19"/>
    </row>
    <row r="29" spans="1:15" ht="7.5" customHeight="1" x14ac:dyDescent="0.15">
      <c r="F29" s="17"/>
      <c r="G29" s="17"/>
      <c r="M29" s="20"/>
      <c r="N29" s="20"/>
    </row>
    <row r="30" spans="1:15" ht="22.5" customHeight="1" x14ac:dyDescent="0.15">
      <c r="A30" s="9" t="s">
        <v>120</v>
      </c>
      <c r="B30" s="11" t="s">
        <v>111</v>
      </c>
      <c r="C30" s="11"/>
      <c r="D30" s="11"/>
      <c r="E30" s="11"/>
      <c r="F30" s="13"/>
      <c r="G30" s="54"/>
      <c r="H30" s="54"/>
      <c r="I30" s="54"/>
      <c r="J30" s="22"/>
      <c r="K30" s="22"/>
      <c r="L30" s="22"/>
      <c r="M30" s="22"/>
      <c r="N30" s="22"/>
    </row>
    <row r="31" spans="1:15" s="10" customFormat="1" ht="22.5" customHeight="1" x14ac:dyDescent="0.15">
      <c r="B31" s="153" t="s">
        <v>110</v>
      </c>
      <c r="C31" s="153"/>
      <c r="D31" s="146" t="s">
        <v>354</v>
      </c>
      <c r="E31" s="147"/>
      <c r="F31" s="147"/>
      <c r="G31" s="154" t="s">
        <v>27</v>
      </c>
      <c r="H31" s="153"/>
      <c r="I31" s="155"/>
      <c r="J31" s="146" t="s">
        <v>134</v>
      </c>
      <c r="K31" s="147"/>
      <c r="L31" s="147"/>
      <c r="M31" s="147"/>
      <c r="N31" s="148"/>
    </row>
    <row r="32" spans="1:15" ht="7.5" customHeight="1" x14ac:dyDescent="0.15">
      <c r="F32" s="17"/>
      <c r="G32" s="17"/>
      <c r="M32" s="20"/>
      <c r="N32" s="20"/>
    </row>
    <row r="33" spans="1:14" ht="22.5" customHeight="1" x14ac:dyDescent="0.15">
      <c r="A33" s="9" t="s">
        <v>57</v>
      </c>
      <c r="B33" s="11" t="s">
        <v>125</v>
      </c>
      <c r="C33" s="11"/>
      <c r="D33" s="11"/>
      <c r="E33" s="11"/>
      <c r="F33" s="13"/>
      <c r="G33" s="22"/>
      <c r="H33" s="22"/>
      <c r="I33" s="22"/>
      <c r="J33" s="22"/>
      <c r="K33" s="22"/>
      <c r="L33" s="22"/>
      <c r="M33" s="22"/>
      <c r="N33" s="22"/>
    </row>
    <row r="34" spans="1:14" ht="22.5" customHeight="1" x14ac:dyDescent="0.15">
      <c r="B34" s="146" t="s">
        <v>135</v>
      </c>
      <c r="C34" s="147"/>
      <c r="D34" s="147"/>
      <c r="E34" s="147"/>
      <c r="F34" s="147"/>
      <c r="G34" s="147"/>
      <c r="H34" s="147"/>
      <c r="I34" s="147"/>
      <c r="J34" s="147"/>
      <c r="K34" s="147"/>
      <c r="L34" s="147"/>
      <c r="M34" s="147"/>
      <c r="N34" s="148"/>
    </row>
    <row r="35" spans="1:14" ht="7.5" customHeight="1" x14ac:dyDescent="0.15">
      <c r="B35" s="57"/>
      <c r="C35" s="57"/>
      <c r="D35" s="57"/>
      <c r="E35" s="57"/>
      <c r="F35" s="57"/>
      <c r="G35" s="57"/>
      <c r="H35" s="57"/>
      <c r="I35" s="57"/>
      <c r="J35" s="57"/>
      <c r="K35" s="57"/>
      <c r="L35" s="57"/>
      <c r="M35" s="57"/>
      <c r="N35" s="57"/>
    </row>
    <row r="36" spans="1:14" s="10" customFormat="1" ht="22.5" customHeight="1" x14ac:dyDescent="0.15">
      <c r="B36" s="153" t="s">
        <v>110</v>
      </c>
      <c r="C36" s="153"/>
      <c r="D36" s="146" t="s">
        <v>354</v>
      </c>
      <c r="E36" s="147"/>
      <c r="F36" s="147"/>
      <c r="G36" s="154" t="s">
        <v>27</v>
      </c>
      <c r="H36" s="153"/>
      <c r="I36" s="155"/>
      <c r="J36" s="146" t="s">
        <v>134</v>
      </c>
      <c r="K36" s="147"/>
      <c r="L36" s="147"/>
      <c r="M36" s="147"/>
      <c r="N36" s="148"/>
    </row>
    <row r="37" spans="1:14" ht="7.5" customHeight="1" x14ac:dyDescent="0.15">
      <c r="F37" s="54"/>
      <c r="G37" s="54"/>
      <c r="H37" s="54"/>
      <c r="I37" s="54"/>
      <c r="J37" s="54"/>
      <c r="K37" s="54"/>
      <c r="L37" s="54"/>
      <c r="M37" s="54"/>
      <c r="N37" s="54"/>
    </row>
    <row r="38" spans="1:14" ht="22.5" customHeight="1" x14ac:dyDescent="0.15">
      <c r="A38" s="9" t="s">
        <v>61</v>
      </c>
      <c r="B38" s="9" t="s">
        <v>126</v>
      </c>
      <c r="M38" s="20"/>
      <c r="N38" s="20"/>
    </row>
    <row r="39" spans="1:14" ht="22.5" customHeight="1" x14ac:dyDescent="0.15">
      <c r="B39" s="146" t="s">
        <v>135</v>
      </c>
      <c r="C39" s="147"/>
      <c r="D39" s="147"/>
      <c r="E39" s="147"/>
      <c r="F39" s="147"/>
      <c r="G39" s="147"/>
      <c r="H39" s="147"/>
      <c r="I39" s="147"/>
      <c r="J39" s="147"/>
      <c r="K39" s="147"/>
      <c r="L39" s="147"/>
      <c r="M39" s="147"/>
      <c r="N39" s="148"/>
    </row>
    <row r="40" spans="1:14" ht="7.5" customHeight="1" x14ac:dyDescent="0.15">
      <c r="B40" s="71"/>
      <c r="C40" s="71"/>
      <c r="D40" s="71"/>
      <c r="E40" s="71"/>
      <c r="F40" s="71"/>
      <c r="G40" s="71"/>
      <c r="H40" s="71"/>
      <c r="I40" s="71"/>
      <c r="J40" s="71"/>
      <c r="K40" s="71"/>
      <c r="L40" s="71"/>
      <c r="M40" s="71"/>
      <c r="N40" s="71"/>
    </row>
    <row r="41" spans="1:14" s="10" customFormat="1" ht="22.5" customHeight="1" x14ac:dyDescent="0.15">
      <c r="B41" s="153" t="s">
        <v>110</v>
      </c>
      <c r="C41" s="153"/>
      <c r="D41" s="146" t="s">
        <v>354</v>
      </c>
      <c r="E41" s="147"/>
      <c r="F41" s="147"/>
      <c r="G41" s="154" t="s">
        <v>27</v>
      </c>
      <c r="H41" s="153"/>
      <c r="I41" s="155"/>
      <c r="J41" s="146" t="s">
        <v>134</v>
      </c>
      <c r="K41" s="147"/>
      <c r="L41" s="147"/>
      <c r="M41" s="147"/>
      <c r="N41" s="148"/>
    </row>
    <row r="42" spans="1:14" ht="7.5" customHeight="1" x14ac:dyDescent="0.15">
      <c r="F42" s="54"/>
      <c r="G42" s="54"/>
      <c r="H42" s="54"/>
      <c r="I42" s="54"/>
      <c r="J42" s="54"/>
      <c r="K42" s="54"/>
      <c r="L42" s="54"/>
      <c r="M42" s="54"/>
      <c r="N42" s="54"/>
    </row>
    <row r="43" spans="1:14" ht="22.5" customHeight="1" x14ac:dyDescent="0.15">
      <c r="A43" s="9" t="s">
        <v>68</v>
      </c>
      <c r="B43" s="60" t="s">
        <v>86</v>
      </c>
      <c r="E43" s="59"/>
      <c r="F43" s="146" t="s">
        <v>479</v>
      </c>
      <c r="G43" s="147"/>
      <c r="H43" s="147"/>
      <c r="I43" s="147"/>
      <c r="J43" s="147"/>
      <c r="K43" s="147"/>
      <c r="L43" s="147"/>
      <c r="M43" s="147"/>
      <c r="N43" s="148"/>
    </row>
    <row r="44" spans="1:14" ht="7.5" customHeight="1" x14ac:dyDescent="0.15">
      <c r="F44" s="54"/>
      <c r="G44" s="54"/>
      <c r="H44" s="54"/>
      <c r="I44" s="54"/>
      <c r="J44" s="54"/>
      <c r="K44" s="54"/>
      <c r="L44" s="54"/>
      <c r="M44" s="54"/>
      <c r="N44" s="54"/>
    </row>
    <row r="45" spans="1:14" ht="22.5" customHeight="1" x14ac:dyDescent="0.15">
      <c r="A45" s="9" t="s">
        <v>3</v>
      </c>
    </row>
    <row r="46" spans="1:14" ht="39" customHeight="1" x14ac:dyDescent="0.15">
      <c r="B46" s="23" t="s">
        <v>1</v>
      </c>
      <c r="C46" s="165" t="s">
        <v>551</v>
      </c>
      <c r="D46" s="166"/>
      <c r="E46" s="166"/>
      <c r="F46" s="166"/>
      <c r="G46" s="166"/>
      <c r="H46" s="166"/>
      <c r="I46" s="24" t="s">
        <v>2</v>
      </c>
      <c r="J46" s="25"/>
      <c r="K46" s="174" t="s">
        <v>596</v>
      </c>
      <c r="L46" s="147"/>
      <c r="M46" s="147"/>
      <c r="N46" s="148"/>
    </row>
    <row r="47" spans="1:14" ht="39" customHeight="1" x14ac:dyDescent="0.15">
      <c r="B47" s="23" t="s">
        <v>5</v>
      </c>
      <c r="C47" s="168" t="s">
        <v>138</v>
      </c>
      <c r="D47" s="169"/>
      <c r="E47" s="169"/>
      <c r="F47" s="169"/>
      <c r="G47" s="169"/>
      <c r="H47" s="170"/>
      <c r="I47" s="24" t="s">
        <v>4</v>
      </c>
      <c r="J47" s="25"/>
      <c r="K47" s="171" t="s">
        <v>597</v>
      </c>
      <c r="L47" s="172"/>
      <c r="M47" s="172"/>
      <c r="N47" s="173"/>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5"/>
  <sheetViews>
    <sheetView showZeros="0" view="pageBreakPreview" zoomScale="115" zoomScaleNormal="85" zoomScaleSheetLayoutView="115" workbookViewId="0">
      <selection activeCell="G44" sqref="G44"/>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6384" width="9" style="9"/>
  </cols>
  <sheetData>
    <row r="1" spans="1:9" ht="18.75" customHeight="1" x14ac:dyDescent="0.15">
      <c r="I1" s="100"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70"/>
      <c r="D5" s="70"/>
      <c r="E5" s="70"/>
      <c r="F5" s="70"/>
      <c r="G5" s="70"/>
      <c r="H5" s="70"/>
      <c r="I5" s="70"/>
    </row>
    <row r="6" spans="1:9" ht="18.75" customHeight="1" x14ac:dyDescent="0.15">
      <c r="A6" s="9" t="s">
        <v>7</v>
      </c>
      <c r="B6" s="9" t="s">
        <v>97</v>
      </c>
      <c r="C6" s="70"/>
      <c r="D6" s="70"/>
      <c r="E6" s="156" t="s">
        <v>160</v>
      </c>
      <c r="F6" s="157"/>
      <c r="G6" s="157"/>
      <c r="H6" s="157"/>
      <c r="I6" s="158"/>
    </row>
    <row r="7" spans="1:9" ht="7.5" customHeight="1" x14ac:dyDescent="0.15">
      <c r="C7" s="70"/>
      <c r="D7" s="70"/>
      <c r="F7" s="68"/>
      <c r="G7" s="68"/>
      <c r="H7" s="68"/>
      <c r="I7" s="68"/>
    </row>
    <row r="8" spans="1:9" ht="18.75" customHeight="1" x14ac:dyDescent="0.15">
      <c r="A8" s="9" t="s">
        <v>12</v>
      </c>
      <c r="B8" s="9" t="s">
        <v>98</v>
      </c>
      <c r="C8" s="70"/>
      <c r="D8" s="70"/>
      <c r="E8" s="70"/>
      <c r="F8" s="70"/>
      <c r="G8" s="70"/>
      <c r="H8" s="70"/>
      <c r="I8" s="70"/>
    </row>
    <row r="9" spans="1:9" ht="18.75" customHeight="1" x14ac:dyDescent="0.15">
      <c r="B9" s="175" t="s">
        <v>598</v>
      </c>
      <c r="C9" s="176"/>
      <c r="D9" s="176"/>
      <c r="E9" s="176"/>
      <c r="F9" s="176"/>
      <c r="G9" s="176"/>
      <c r="H9" s="176"/>
      <c r="I9" s="177"/>
    </row>
    <row r="10" spans="1:9" ht="18.75" customHeight="1" x14ac:dyDescent="0.15">
      <c r="B10" s="178"/>
      <c r="C10" s="179"/>
      <c r="D10" s="179"/>
      <c r="E10" s="179"/>
      <c r="F10" s="179"/>
      <c r="G10" s="179"/>
      <c r="H10" s="179"/>
      <c r="I10" s="180"/>
    </row>
    <row r="11" spans="1:9" ht="18.75" customHeight="1" x14ac:dyDescent="0.15">
      <c r="B11" s="178"/>
      <c r="C11" s="179"/>
      <c r="D11" s="179"/>
      <c r="E11" s="179"/>
      <c r="F11" s="179"/>
      <c r="G11" s="179"/>
      <c r="H11" s="179"/>
      <c r="I11" s="180"/>
    </row>
    <row r="12" spans="1:9" ht="18.75" customHeight="1" x14ac:dyDescent="0.15">
      <c r="B12" s="178"/>
      <c r="C12" s="179"/>
      <c r="D12" s="179"/>
      <c r="E12" s="179"/>
      <c r="F12" s="179"/>
      <c r="G12" s="179"/>
      <c r="H12" s="179"/>
      <c r="I12" s="180"/>
    </row>
    <row r="13" spans="1:9" ht="18.75" customHeight="1" x14ac:dyDescent="0.15">
      <c r="B13" s="178"/>
      <c r="C13" s="179"/>
      <c r="D13" s="179"/>
      <c r="E13" s="179"/>
      <c r="F13" s="179"/>
      <c r="G13" s="179"/>
      <c r="H13" s="179"/>
      <c r="I13" s="180"/>
    </row>
    <row r="14" spans="1:9" ht="18.75" customHeight="1" x14ac:dyDescent="0.15">
      <c r="B14" s="178"/>
      <c r="C14" s="179"/>
      <c r="D14" s="179"/>
      <c r="E14" s="179"/>
      <c r="F14" s="179"/>
      <c r="G14" s="179"/>
      <c r="H14" s="179"/>
      <c r="I14" s="180"/>
    </row>
    <row r="15" spans="1:9" ht="18.75" customHeight="1" x14ac:dyDescent="0.15">
      <c r="B15" s="178"/>
      <c r="C15" s="179"/>
      <c r="D15" s="179"/>
      <c r="E15" s="179"/>
      <c r="F15" s="179"/>
      <c r="G15" s="179"/>
      <c r="H15" s="179"/>
      <c r="I15" s="180"/>
    </row>
    <row r="16" spans="1:9" ht="14.25" x14ac:dyDescent="0.15">
      <c r="B16" s="181"/>
      <c r="C16" s="182"/>
      <c r="D16" s="182"/>
      <c r="E16" s="182"/>
      <c r="F16" s="182"/>
      <c r="G16" s="182"/>
      <c r="H16" s="182"/>
      <c r="I16" s="183"/>
    </row>
    <row r="17" spans="1:10" ht="14.25" x14ac:dyDescent="0.15">
      <c r="C17" s="70"/>
      <c r="D17" s="70"/>
      <c r="E17" s="70"/>
      <c r="F17" s="70"/>
      <c r="G17" s="70"/>
      <c r="H17" s="70"/>
      <c r="I17" s="70"/>
    </row>
    <row r="18" spans="1:10" ht="18.75" customHeight="1" x14ac:dyDescent="0.15">
      <c r="A18" s="70" t="s">
        <v>13</v>
      </c>
      <c r="B18" s="11" t="s">
        <v>99</v>
      </c>
      <c r="C18" s="11"/>
      <c r="D18" s="11"/>
      <c r="E18" s="11"/>
      <c r="F18" s="70"/>
      <c r="G18" s="70"/>
      <c r="H18" s="70"/>
      <c r="I18" s="70"/>
      <c r="J18" s="70"/>
    </row>
    <row r="19" spans="1:10" ht="18.75" customHeight="1" x14ac:dyDescent="0.15">
      <c r="A19" s="185" t="s">
        <v>99</v>
      </c>
      <c r="B19" s="185"/>
      <c r="C19" s="185"/>
      <c r="D19" s="185"/>
      <c r="E19" s="185"/>
      <c r="F19" s="186" t="s">
        <v>99</v>
      </c>
      <c r="G19" s="186"/>
      <c r="H19" s="186"/>
      <c r="I19" s="186"/>
    </row>
    <row r="20" spans="1:10" ht="18.75" customHeight="1" x14ac:dyDescent="0.15">
      <c r="A20" s="31">
        <v>1</v>
      </c>
      <c r="B20" s="165" t="s">
        <v>348</v>
      </c>
      <c r="C20" s="166"/>
      <c r="D20" s="166"/>
      <c r="E20" s="167"/>
      <c r="F20" s="31">
        <v>26</v>
      </c>
      <c r="G20" s="165" t="s">
        <v>164</v>
      </c>
      <c r="H20" s="166"/>
      <c r="I20" s="167"/>
    </row>
    <row r="21" spans="1:10" ht="18.75" customHeight="1" x14ac:dyDescent="0.15">
      <c r="A21" s="31">
        <v>2</v>
      </c>
      <c r="B21" s="165" t="s">
        <v>139</v>
      </c>
      <c r="C21" s="166"/>
      <c r="D21" s="166"/>
      <c r="E21" s="167"/>
      <c r="F21" s="31">
        <v>27</v>
      </c>
      <c r="G21" s="165" t="s">
        <v>165</v>
      </c>
      <c r="H21" s="166"/>
      <c r="I21" s="167"/>
    </row>
    <row r="22" spans="1:10" ht="18.75" customHeight="1" x14ac:dyDescent="0.15">
      <c r="A22" s="31">
        <v>3</v>
      </c>
      <c r="B22" s="165" t="s">
        <v>140</v>
      </c>
      <c r="C22" s="166"/>
      <c r="D22" s="166"/>
      <c r="E22" s="167"/>
      <c r="F22" s="31">
        <v>28</v>
      </c>
      <c r="G22" s="124" t="s">
        <v>166</v>
      </c>
      <c r="H22" s="125"/>
      <c r="I22" s="126"/>
    </row>
    <row r="23" spans="1:10" ht="18.75" customHeight="1" x14ac:dyDescent="0.15">
      <c r="A23" s="31">
        <v>4</v>
      </c>
      <c r="B23" s="165" t="s">
        <v>141</v>
      </c>
      <c r="C23" s="166"/>
      <c r="D23" s="166"/>
      <c r="E23" s="167"/>
      <c r="F23" s="31">
        <v>29</v>
      </c>
      <c r="G23" s="124" t="s">
        <v>167</v>
      </c>
      <c r="H23" s="125"/>
      <c r="I23" s="126"/>
    </row>
    <row r="24" spans="1:10" ht="18.75" customHeight="1" x14ac:dyDescent="0.15">
      <c r="A24" s="31">
        <v>5</v>
      </c>
      <c r="B24" s="165" t="s">
        <v>142</v>
      </c>
      <c r="C24" s="166"/>
      <c r="D24" s="166"/>
      <c r="E24" s="167"/>
      <c r="F24" s="31">
        <v>30</v>
      </c>
      <c r="G24" s="124" t="s">
        <v>168</v>
      </c>
      <c r="H24" s="125"/>
      <c r="I24" s="126"/>
    </row>
    <row r="25" spans="1:10" ht="18.75" customHeight="1" x14ac:dyDescent="0.15">
      <c r="A25" s="31">
        <v>6</v>
      </c>
      <c r="B25" s="165" t="s">
        <v>143</v>
      </c>
      <c r="C25" s="166"/>
      <c r="D25" s="166"/>
      <c r="E25" s="167"/>
      <c r="F25" s="31">
        <v>31</v>
      </c>
      <c r="G25" s="124" t="s">
        <v>169</v>
      </c>
      <c r="H25" s="125"/>
      <c r="I25" s="126"/>
    </row>
    <row r="26" spans="1:10" ht="18.75" customHeight="1" x14ac:dyDescent="0.15">
      <c r="A26" s="31">
        <v>7</v>
      </c>
      <c r="B26" s="165" t="s">
        <v>144</v>
      </c>
      <c r="C26" s="166"/>
      <c r="D26" s="166"/>
      <c r="E26" s="167"/>
      <c r="F26" s="31">
        <v>32</v>
      </c>
      <c r="G26" s="165" t="s">
        <v>170</v>
      </c>
      <c r="H26" s="166"/>
      <c r="I26" s="167"/>
    </row>
    <row r="27" spans="1:10" ht="18.75" customHeight="1" x14ac:dyDescent="0.15">
      <c r="A27" s="31">
        <v>8</v>
      </c>
      <c r="B27" s="165" t="s">
        <v>145</v>
      </c>
      <c r="C27" s="166"/>
      <c r="D27" s="166"/>
      <c r="E27" s="167"/>
      <c r="F27" s="31">
        <v>33</v>
      </c>
      <c r="G27" s="165" t="s">
        <v>171</v>
      </c>
      <c r="H27" s="166"/>
      <c r="I27" s="167"/>
    </row>
    <row r="28" spans="1:10" ht="18.75" customHeight="1" x14ac:dyDescent="0.15">
      <c r="A28" s="31">
        <v>9</v>
      </c>
      <c r="B28" s="165" t="s">
        <v>146</v>
      </c>
      <c r="C28" s="166"/>
      <c r="D28" s="166"/>
      <c r="E28" s="167"/>
      <c r="F28" s="31">
        <v>34</v>
      </c>
      <c r="G28" s="124" t="s">
        <v>172</v>
      </c>
      <c r="H28" s="125"/>
      <c r="I28" s="126"/>
    </row>
    <row r="29" spans="1:10" ht="18.75" customHeight="1" x14ac:dyDescent="0.15">
      <c r="A29" s="31">
        <v>10</v>
      </c>
      <c r="B29" s="165" t="s">
        <v>147</v>
      </c>
      <c r="C29" s="166"/>
      <c r="D29" s="166"/>
      <c r="E29" s="167"/>
      <c r="F29" s="31">
        <v>35</v>
      </c>
      <c r="G29" s="124" t="s">
        <v>173</v>
      </c>
      <c r="H29" s="125"/>
      <c r="I29" s="126"/>
    </row>
    <row r="30" spans="1:10" ht="18.75" customHeight="1" x14ac:dyDescent="0.15">
      <c r="A30" s="31">
        <v>11</v>
      </c>
      <c r="B30" s="165" t="s">
        <v>148</v>
      </c>
      <c r="C30" s="166"/>
      <c r="D30" s="166"/>
      <c r="E30" s="167"/>
      <c r="F30" s="31">
        <v>36</v>
      </c>
      <c r="G30" s="124" t="s">
        <v>174</v>
      </c>
      <c r="H30" s="125"/>
      <c r="I30" s="126"/>
    </row>
    <row r="31" spans="1:10" ht="18.75" customHeight="1" x14ac:dyDescent="0.15">
      <c r="A31" s="31">
        <v>12</v>
      </c>
      <c r="B31" s="165" t="s">
        <v>564</v>
      </c>
      <c r="C31" s="166"/>
      <c r="D31" s="166"/>
      <c r="E31" s="167"/>
      <c r="F31" s="31">
        <v>37</v>
      </c>
      <c r="G31" s="124" t="s">
        <v>175</v>
      </c>
      <c r="H31" s="125"/>
      <c r="I31" s="126"/>
    </row>
    <row r="32" spans="1:10" ht="18.75" customHeight="1" x14ac:dyDescent="0.15">
      <c r="A32" s="31">
        <v>13</v>
      </c>
      <c r="B32" s="165" t="s">
        <v>149</v>
      </c>
      <c r="C32" s="166"/>
      <c r="D32" s="166"/>
      <c r="E32" s="167"/>
      <c r="F32" s="31">
        <v>38</v>
      </c>
      <c r="G32" s="124" t="s">
        <v>176</v>
      </c>
      <c r="H32" s="125"/>
      <c r="I32" s="126"/>
    </row>
    <row r="33" spans="1:9" ht="18.75" customHeight="1" x14ac:dyDescent="0.15">
      <c r="A33" s="31">
        <v>14</v>
      </c>
      <c r="B33" s="165" t="s">
        <v>150</v>
      </c>
      <c r="C33" s="166"/>
      <c r="D33" s="166"/>
      <c r="E33" s="167"/>
      <c r="F33" s="31">
        <v>39</v>
      </c>
      <c r="G33" s="165" t="s">
        <v>177</v>
      </c>
      <c r="H33" s="166"/>
      <c r="I33" s="167"/>
    </row>
    <row r="34" spans="1:9" ht="18.75" customHeight="1" x14ac:dyDescent="0.15">
      <c r="A34" s="31">
        <v>15</v>
      </c>
      <c r="B34" s="165" t="s">
        <v>151</v>
      </c>
      <c r="C34" s="166"/>
      <c r="D34" s="166"/>
      <c r="E34" s="167"/>
      <c r="F34" s="31">
        <v>40</v>
      </c>
      <c r="G34" s="165" t="s">
        <v>178</v>
      </c>
      <c r="H34" s="166"/>
      <c r="I34" s="167"/>
    </row>
    <row r="35" spans="1:9" ht="18.75" customHeight="1" x14ac:dyDescent="0.15">
      <c r="A35" s="31">
        <v>16</v>
      </c>
      <c r="B35" s="165" t="s">
        <v>152</v>
      </c>
      <c r="C35" s="166"/>
      <c r="D35" s="166"/>
      <c r="E35" s="167"/>
      <c r="F35" s="31">
        <v>41</v>
      </c>
      <c r="G35" s="165" t="s">
        <v>179</v>
      </c>
      <c r="H35" s="166"/>
      <c r="I35" s="167"/>
    </row>
    <row r="36" spans="1:9" ht="18.75" customHeight="1" x14ac:dyDescent="0.15">
      <c r="A36" s="31">
        <v>17</v>
      </c>
      <c r="B36" s="165" t="s">
        <v>153</v>
      </c>
      <c r="C36" s="166"/>
      <c r="D36" s="166"/>
      <c r="E36" s="167"/>
      <c r="F36" s="31">
        <v>42</v>
      </c>
      <c r="G36" s="165" t="s">
        <v>180</v>
      </c>
      <c r="H36" s="166"/>
      <c r="I36" s="167"/>
    </row>
    <row r="37" spans="1:9" ht="18.75" customHeight="1" x14ac:dyDescent="0.15">
      <c r="A37" s="31">
        <v>18</v>
      </c>
      <c r="B37" s="165" t="s">
        <v>154</v>
      </c>
      <c r="C37" s="166"/>
      <c r="D37" s="166"/>
      <c r="E37" s="167"/>
      <c r="F37" s="31">
        <v>43</v>
      </c>
      <c r="G37" s="165" t="s">
        <v>181</v>
      </c>
      <c r="H37" s="166"/>
      <c r="I37" s="167"/>
    </row>
    <row r="38" spans="1:9" ht="18.75" customHeight="1" x14ac:dyDescent="0.15">
      <c r="A38" s="31">
        <v>19</v>
      </c>
      <c r="B38" s="165" t="s">
        <v>155</v>
      </c>
      <c r="C38" s="166"/>
      <c r="D38" s="166"/>
      <c r="E38" s="167"/>
      <c r="F38" s="31">
        <v>44</v>
      </c>
      <c r="G38" s="103" t="s">
        <v>182</v>
      </c>
      <c r="H38" s="136"/>
      <c r="I38" s="137"/>
    </row>
    <row r="39" spans="1:9" ht="18.75" customHeight="1" x14ac:dyDescent="0.15">
      <c r="A39" s="31">
        <v>20</v>
      </c>
      <c r="B39" s="165" t="s">
        <v>156</v>
      </c>
      <c r="C39" s="166"/>
      <c r="D39" s="166"/>
      <c r="E39" s="167"/>
      <c r="F39" s="31">
        <v>45</v>
      </c>
      <c r="G39" s="103" t="s">
        <v>183</v>
      </c>
      <c r="H39" s="125"/>
      <c r="I39" s="126"/>
    </row>
    <row r="40" spans="1:9" ht="18.75" customHeight="1" x14ac:dyDescent="0.15">
      <c r="A40" s="31">
        <v>21</v>
      </c>
      <c r="B40" s="165" t="s">
        <v>157</v>
      </c>
      <c r="C40" s="166"/>
      <c r="D40" s="166"/>
      <c r="E40" s="167"/>
      <c r="F40" s="31">
        <v>46</v>
      </c>
      <c r="G40" s="103" t="s">
        <v>184</v>
      </c>
      <c r="H40" s="125"/>
      <c r="I40" s="126"/>
    </row>
    <row r="41" spans="1:9" ht="18.75" customHeight="1" x14ac:dyDescent="0.15">
      <c r="A41" s="31">
        <v>22</v>
      </c>
      <c r="B41" s="165" t="s">
        <v>158</v>
      </c>
      <c r="C41" s="166"/>
      <c r="D41" s="166"/>
      <c r="E41" s="167"/>
      <c r="F41" s="31">
        <v>47</v>
      </c>
      <c r="G41" s="103" t="s">
        <v>185</v>
      </c>
      <c r="H41" s="125"/>
      <c r="I41" s="126"/>
    </row>
    <row r="42" spans="1:9" ht="18.75" customHeight="1" x14ac:dyDescent="0.15">
      <c r="A42" s="31">
        <v>23</v>
      </c>
      <c r="B42" s="165" t="s">
        <v>159</v>
      </c>
      <c r="C42" s="166"/>
      <c r="D42" s="166"/>
      <c r="E42" s="167"/>
      <c r="F42" s="31">
        <v>48</v>
      </c>
      <c r="G42" s="103" t="s">
        <v>558</v>
      </c>
      <c r="H42" s="125"/>
      <c r="I42" s="126"/>
    </row>
    <row r="43" spans="1:9" ht="18.75" customHeight="1" x14ac:dyDescent="0.15">
      <c r="A43" s="31">
        <v>24</v>
      </c>
      <c r="B43" s="165" t="s">
        <v>162</v>
      </c>
      <c r="C43" s="166"/>
      <c r="D43" s="166"/>
      <c r="E43" s="167"/>
      <c r="F43" s="31">
        <v>49</v>
      </c>
      <c r="G43" s="103" t="s">
        <v>186</v>
      </c>
      <c r="H43" s="125"/>
      <c r="I43" s="126"/>
    </row>
    <row r="44" spans="1:9" ht="18.75" customHeight="1" x14ac:dyDescent="0.15">
      <c r="A44" s="31">
        <v>25</v>
      </c>
      <c r="B44" s="165" t="s">
        <v>163</v>
      </c>
      <c r="C44" s="166"/>
      <c r="D44" s="166"/>
      <c r="E44" s="167"/>
      <c r="F44" s="31">
        <v>50</v>
      </c>
      <c r="G44" s="103" t="s">
        <v>187</v>
      </c>
      <c r="H44" s="136"/>
      <c r="I44" s="137"/>
    </row>
    <row r="45" spans="1:9" ht="14.25" x14ac:dyDescent="0.15">
      <c r="A45" s="113" t="s">
        <v>599</v>
      </c>
    </row>
  </sheetData>
  <mergeCells count="40">
    <mergeCell ref="B44:E44"/>
    <mergeCell ref="G21:I21"/>
    <mergeCell ref="G33:I33"/>
    <mergeCell ref="B39:E39"/>
    <mergeCell ref="B40:E40"/>
    <mergeCell ref="B41:E41"/>
    <mergeCell ref="B42:E42"/>
    <mergeCell ref="B43:E43"/>
    <mergeCell ref="B34:E34"/>
    <mergeCell ref="G34:I34"/>
    <mergeCell ref="G35:I35"/>
    <mergeCell ref="G36:I36"/>
    <mergeCell ref="G37:I37"/>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6:I26"/>
    <mergeCell ref="G27:I27"/>
  </mergeCells>
  <phoneticPr fontId="1"/>
  <conditionalFormatting sqref="B31:E31">
    <cfRule type="duplicateValues" dxfId="0" priority="1"/>
  </conditionalFormatting>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5"/>
  <sheetViews>
    <sheetView showZeros="0" view="pageBreakPreview" topLeftCell="A10" zoomScale="85" zoomScaleNormal="85" zoomScaleSheetLayoutView="85" workbookViewId="0">
      <selection activeCell="L37" sqref="L37"/>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2" width="9" style="9"/>
    <col min="13" max="13" width="37.5" style="9" customWidth="1"/>
    <col min="14" max="16384" width="9" style="9"/>
  </cols>
  <sheetData>
    <row r="1" spans="1:9" ht="18.75" customHeight="1" x14ac:dyDescent="0.15">
      <c r="I1" s="86"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87"/>
      <c r="D5" s="87"/>
      <c r="E5" s="87"/>
      <c r="F5" s="87"/>
      <c r="G5" s="87"/>
      <c r="H5" s="87"/>
      <c r="I5" s="87"/>
    </row>
    <row r="6" spans="1:9" ht="18.75" customHeight="1" x14ac:dyDescent="0.15">
      <c r="A6" s="9" t="s">
        <v>7</v>
      </c>
      <c r="B6" s="9" t="s">
        <v>97</v>
      </c>
      <c r="C6" s="87"/>
      <c r="D6" s="87"/>
      <c r="E6" s="156" t="s">
        <v>160</v>
      </c>
      <c r="F6" s="157"/>
      <c r="G6" s="157"/>
      <c r="H6" s="157"/>
      <c r="I6" s="158"/>
    </row>
    <row r="7" spans="1:9" ht="7.5" customHeight="1" x14ac:dyDescent="0.15">
      <c r="C7" s="87"/>
      <c r="D7" s="87"/>
      <c r="F7" s="85"/>
      <c r="G7" s="85"/>
      <c r="H7" s="85"/>
      <c r="I7" s="85"/>
    </row>
    <row r="8" spans="1:9" ht="18.75" customHeight="1" x14ac:dyDescent="0.15">
      <c r="A8" s="9" t="s">
        <v>12</v>
      </c>
      <c r="B8" s="9" t="s">
        <v>98</v>
      </c>
      <c r="C8" s="87"/>
      <c r="D8" s="87"/>
      <c r="E8" s="87"/>
      <c r="F8" s="87"/>
      <c r="G8" s="87"/>
      <c r="H8" s="87"/>
      <c r="I8" s="87"/>
    </row>
    <row r="9" spans="1:9" ht="18.75" customHeight="1" x14ac:dyDescent="0.15">
      <c r="B9" s="175"/>
      <c r="C9" s="176"/>
      <c r="D9" s="176"/>
      <c r="E9" s="176"/>
      <c r="F9" s="176"/>
      <c r="G9" s="176"/>
      <c r="H9" s="176"/>
      <c r="I9" s="177"/>
    </row>
    <row r="10" spans="1:9" ht="18.75" customHeight="1" x14ac:dyDescent="0.15">
      <c r="B10" s="178"/>
      <c r="C10" s="179"/>
      <c r="D10" s="179"/>
      <c r="E10" s="179"/>
      <c r="F10" s="179"/>
      <c r="G10" s="179"/>
      <c r="H10" s="179"/>
      <c r="I10" s="180"/>
    </row>
    <row r="11" spans="1:9" ht="18.75" customHeight="1" x14ac:dyDescent="0.15">
      <c r="B11" s="178"/>
      <c r="C11" s="179"/>
      <c r="D11" s="179"/>
      <c r="E11" s="179"/>
      <c r="F11" s="179"/>
      <c r="G11" s="179"/>
      <c r="H11" s="179"/>
      <c r="I11" s="180"/>
    </row>
    <row r="12" spans="1:9" ht="18.75" customHeight="1" x14ac:dyDescent="0.15">
      <c r="B12" s="178"/>
      <c r="C12" s="179"/>
      <c r="D12" s="179"/>
      <c r="E12" s="179"/>
      <c r="F12" s="179"/>
      <c r="G12" s="179"/>
      <c r="H12" s="179"/>
      <c r="I12" s="180"/>
    </row>
    <row r="13" spans="1:9" ht="18.75" customHeight="1" x14ac:dyDescent="0.15">
      <c r="B13" s="178"/>
      <c r="C13" s="179"/>
      <c r="D13" s="179"/>
      <c r="E13" s="179"/>
      <c r="F13" s="179"/>
      <c r="G13" s="179"/>
      <c r="H13" s="179"/>
      <c r="I13" s="180"/>
    </row>
    <row r="14" spans="1:9" ht="18.75" customHeight="1" x14ac:dyDescent="0.15">
      <c r="B14" s="178"/>
      <c r="C14" s="179"/>
      <c r="D14" s="179"/>
      <c r="E14" s="179"/>
      <c r="F14" s="179"/>
      <c r="G14" s="179"/>
      <c r="H14" s="179"/>
      <c r="I14" s="180"/>
    </row>
    <row r="15" spans="1:9" ht="18.75" customHeight="1" x14ac:dyDescent="0.15">
      <c r="B15" s="178"/>
      <c r="C15" s="179"/>
      <c r="D15" s="179"/>
      <c r="E15" s="179"/>
      <c r="F15" s="179"/>
      <c r="G15" s="179"/>
      <c r="H15" s="179"/>
      <c r="I15" s="180"/>
    </row>
    <row r="16" spans="1:9" ht="14.25" x14ac:dyDescent="0.15">
      <c r="B16" s="181"/>
      <c r="C16" s="182"/>
      <c r="D16" s="182"/>
      <c r="E16" s="182"/>
      <c r="F16" s="182"/>
      <c r="G16" s="182"/>
      <c r="H16" s="182"/>
      <c r="I16" s="183"/>
    </row>
    <row r="17" spans="1:10" ht="14.25" x14ac:dyDescent="0.15">
      <c r="C17" s="87"/>
      <c r="D17" s="87"/>
      <c r="E17" s="87"/>
      <c r="F17" s="87"/>
      <c r="G17" s="87"/>
      <c r="H17" s="87"/>
      <c r="I17" s="87"/>
    </row>
    <row r="18" spans="1:10" ht="18.75" customHeight="1" x14ac:dyDescent="0.15">
      <c r="A18" s="87" t="s">
        <v>13</v>
      </c>
      <c r="B18" s="11" t="s">
        <v>99</v>
      </c>
      <c r="C18" s="11"/>
      <c r="D18" s="11"/>
      <c r="E18" s="11"/>
      <c r="F18" s="87"/>
      <c r="G18" s="87"/>
      <c r="H18" s="87"/>
      <c r="I18" s="87"/>
      <c r="J18" s="87"/>
    </row>
    <row r="19" spans="1:10" ht="18.75" customHeight="1" x14ac:dyDescent="0.15">
      <c r="A19" s="185" t="s">
        <v>99</v>
      </c>
      <c r="B19" s="185"/>
      <c r="C19" s="185"/>
      <c r="D19" s="185"/>
      <c r="E19" s="185"/>
      <c r="F19" s="186" t="s">
        <v>99</v>
      </c>
      <c r="G19" s="186"/>
      <c r="H19" s="186"/>
      <c r="I19" s="186"/>
    </row>
    <row r="20" spans="1:10" ht="18.75" customHeight="1" x14ac:dyDescent="0.15">
      <c r="A20" s="31">
        <v>51</v>
      </c>
      <c r="B20" s="103" t="s">
        <v>188</v>
      </c>
      <c r="C20" s="104"/>
      <c r="D20" s="104"/>
      <c r="E20" s="105"/>
      <c r="F20" s="31">
        <v>76</v>
      </c>
      <c r="G20" s="103" t="s">
        <v>211</v>
      </c>
      <c r="H20" s="104"/>
      <c r="I20" s="105"/>
    </row>
    <row r="21" spans="1:10" ht="18.75" customHeight="1" x14ac:dyDescent="0.15">
      <c r="A21" s="31">
        <v>52</v>
      </c>
      <c r="B21" s="103" t="s">
        <v>189</v>
      </c>
      <c r="C21" s="104"/>
      <c r="D21" s="104"/>
      <c r="E21" s="105"/>
      <c r="F21" s="31">
        <v>77</v>
      </c>
      <c r="G21" s="103" t="s">
        <v>212</v>
      </c>
      <c r="H21" s="104"/>
      <c r="I21" s="105"/>
    </row>
    <row r="22" spans="1:10" ht="18.75" customHeight="1" x14ac:dyDescent="0.15">
      <c r="A22" s="31">
        <v>53</v>
      </c>
      <c r="B22" s="103" t="s">
        <v>190</v>
      </c>
      <c r="C22" s="104"/>
      <c r="D22" s="104"/>
      <c r="E22" s="105"/>
      <c r="F22" s="31">
        <v>78</v>
      </c>
      <c r="G22" s="103" t="s">
        <v>213</v>
      </c>
      <c r="H22" s="104"/>
      <c r="I22" s="105"/>
    </row>
    <row r="23" spans="1:10" ht="18.75" customHeight="1" x14ac:dyDescent="0.15">
      <c r="A23" s="31">
        <v>54</v>
      </c>
      <c r="B23" s="103" t="s">
        <v>191</v>
      </c>
      <c r="C23" s="104"/>
      <c r="D23" s="104"/>
      <c r="E23" s="105"/>
      <c r="F23" s="31">
        <v>79</v>
      </c>
      <c r="G23" s="103" t="s">
        <v>559</v>
      </c>
      <c r="H23" s="104"/>
      <c r="I23" s="105"/>
    </row>
    <row r="24" spans="1:10" ht="18.75" customHeight="1" x14ac:dyDescent="0.15">
      <c r="A24" s="31">
        <v>55</v>
      </c>
      <c r="B24" s="103" t="s">
        <v>192</v>
      </c>
      <c r="C24" s="104"/>
      <c r="D24" s="104"/>
      <c r="E24" s="105"/>
      <c r="F24" s="31">
        <v>80</v>
      </c>
      <c r="G24" s="103" t="s">
        <v>560</v>
      </c>
      <c r="H24" s="104"/>
      <c r="I24" s="105"/>
    </row>
    <row r="25" spans="1:10" ht="18.75" customHeight="1" x14ac:dyDescent="0.15">
      <c r="A25" s="31">
        <v>56</v>
      </c>
      <c r="B25" s="130" t="s">
        <v>563</v>
      </c>
      <c r="C25" s="104"/>
      <c r="D25" s="104"/>
      <c r="E25" s="105"/>
      <c r="F25" s="31">
        <v>81</v>
      </c>
      <c r="G25" s="103" t="s">
        <v>214</v>
      </c>
      <c r="H25" s="104"/>
      <c r="I25" s="105"/>
    </row>
    <row r="26" spans="1:10" ht="18.75" customHeight="1" x14ac:dyDescent="0.15">
      <c r="A26" s="31">
        <v>57</v>
      </c>
      <c r="B26" s="103" t="s">
        <v>193</v>
      </c>
      <c r="C26" s="104"/>
      <c r="D26" s="104"/>
      <c r="E26" s="105"/>
      <c r="F26" s="31">
        <v>82</v>
      </c>
      <c r="G26" s="103" t="s">
        <v>566</v>
      </c>
      <c r="H26" s="104"/>
      <c r="I26" s="105"/>
    </row>
    <row r="27" spans="1:10" ht="18.75" customHeight="1" x14ac:dyDescent="0.15">
      <c r="A27" s="31">
        <v>58</v>
      </c>
      <c r="B27" s="103" t="s">
        <v>194</v>
      </c>
      <c r="C27" s="104"/>
      <c r="D27" s="104"/>
      <c r="E27" s="105"/>
      <c r="F27" s="31">
        <v>83</v>
      </c>
      <c r="G27" s="103" t="s">
        <v>561</v>
      </c>
      <c r="H27" s="104"/>
      <c r="I27" s="105"/>
    </row>
    <row r="28" spans="1:10" ht="18.75" customHeight="1" x14ac:dyDescent="0.15">
      <c r="A28" s="31">
        <v>59</v>
      </c>
      <c r="B28" s="103" t="s">
        <v>195</v>
      </c>
      <c r="C28" s="104"/>
      <c r="D28" s="104"/>
      <c r="E28" s="105"/>
      <c r="F28" s="31">
        <v>84</v>
      </c>
      <c r="G28" s="103" t="s">
        <v>562</v>
      </c>
      <c r="H28" s="104"/>
      <c r="I28" s="105"/>
    </row>
    <row r="29" spans="1:10" ht="18.75" customHeight="1" x14ac:dyDescent="0.15">
      <c r="A29" s="31">
        <v>60</v>
      </c>
      <c r="B29" s="103" t="s">
        <v>196</v>
      </c>
      <c r="C29" s="104"/>
      <c r="D29" s="104"/>
      <c r="E29" s="105"/>
      <c r="F29" s="31">
        <v>85</v>
      </c>
      <c r="G29" s="103" t="s">
        <v>215</v>
      </c>
      <c r="H29" s="104"/>
      <c r="I29" s="105"/>
    </row>
    <row r="30" spans="1:10" ht="18.75" customHeight="1" x14ac:dyDescent="0.15">
      <c r="A30" s="31">
        <v>61</v>
      </c>
      <c r="B30" s="103" t="s">
        <v>565</v>
      </c>
      <c r="C30" s="104"/>
      <c r="D30" s="104"/>
      <c r="E30" s="105"/>
      <c r="F30" s="31">
        <v>86</v>
      </c>
      <c r="G30" s="103" t="s">
        <v>216</v>
      </c>
      <c r="H30" s="104"/>
      <c r="I30" s="105"/>
    </row>
    <row r="31" spans="1:10" ht="18.75" customHeight="1" x14ac:dyDescent="0.15">
      <c r="A31" s="31">
        <v>62</v>
      </c>
      <c r="B31" s="103" t="s">
        <v>197</v>
      </c>
      <c r="C31" s="104"/>
      <c r="D31" s="104"/>
      <c r="E31" s="105"/>
      <c r="F31" s="31">
        <v>87</v>
      </c>
      <c r="G31" s="103" t="s">
        <v>217</v>
      </c>
      <c r="H31" s="104"/>
      <c r="I31" s="105"/>
    </row>
    <row r="32" spans="1:10" ht="18.75" customHeight="1" x14ac:dyDescent="0.15">
      <c r="A32" s="31">
        <v>63</v>
      </c>
      <c r="B32" s="103" t="s">
        <v>198</v>
      </c>
      <c r="C32" s="104"/>
      <c r="D32" s="104"/>
      <c r="E32" s="105"/>
      <c r="F32" s="31">
        <v>88</v>
      </c>
      <c r="G32" s="103" t="s">
        <v>218</v>
      </c>
      <c r="H32" s="104"/>
      <c r="I32" s="105"/>
    </row>
    <row r="33" spans="1:9" ht="18.75" customHeight="1" x14ac:dyDescent="0.15">
      <c r="A33" s="31">
        <v>64</v>
      </c>
      <c r="B33" s="103" t="s">
        <v>199</v>
      </c>
      <c r="C33" s="104"/>
      <c r="D33" s="104"/>
      <c r="E33" s="105"/>
      <c r="F33" s="31">
        <v>89</v>
      </c>
      <c r="G33" s="103" t="s">
        <v>219</v>
      </c>
      <c r="H33" s="104"/>
      <c r="I33" s="105"/>
    </row>
    <row r="34" spans="1:9" ht="18.75" customHeight="1" x14ac:dyDescent="0.15">
      <c r="A34" s="31">
        <v>65</v>
      </c>
      <c r="B34" s="103" t="s">
        <v>200</v>
      </c>
      <c r="C34" s="104"/>
      <c r="D34" s="104"/>
      <c r="E34" s="105"/>
      <c r="F34" s="31">
        <v>90</v>
      </c>
      <c r="G34" s="103" t="s">
        <v>567</v>
      </c>
      <c r="H34" s="104"/>
      <c r="I34" s="105"/>
    </row>
    <row r="35" spans="1:9" ht="18.75" customHeight="1" x14ac:dyDescent="0.15">
      <c r="A35" s="31">
        <v>66</v>
      </c>
      <c r="B35" s="103" t="s">
        <v>201</v>
      </c>
      <c r="C35" s="104"/>
      <c r="D35" s="104"/>
      <c r="E35" s="105"/>
      <c r="F35" s="31">
        <v>91</v>
      </c>
      <c r="G35" s="103" t="s">
        <v>220</v>
      </c>
      <c r="H35" s="104"/>
      <c r="I35" s="105"/>
    </row>
    <row r="36" spans="1:9" ht="18.75" customHeight="1" x14ac:dyDescent="0.15">
      <c r="A36" s="31">
        <v>67</v>
      </c>
      <c r="B36" s="103" t="s">
        <v>202</v>
      </c>
      <c r="C36" s="104"/>
      <c r="D36" s="104"/>
      <c r="E36" s="105"/>
      <c r="F36" s="31">
        <v>92</v>
      </c>
      <c r="G36" s="103" t="s">
        <v>221</v>
      </c>
      <c r="H36" s="104"/>
      <c r="I36" s="105"/>
    </row>
    <row r="37" spans="1:9" ht="18.75" customHeight="1" x14ac:dyDescent="0.15">
      <c r="A37" s="31">
        <v>68</v>
      </c>
      <c r="B37" s="103" t="s">
        <v>203</v>
      </c>
      <c r="C37" s="104"/>
      <c r="D37" s="104"/>
      <c r="E37" s="105"/>
      <c r="F37" s="31">
        <v>93</v>
      </c>
      <c r="G37" s="103" t="s">
        <v>222</v>
      </c>
      <c r="H37" s="104"/>
      <c r="I37" s="105"/>
    </row>
    <row r="38" spans="1:9" ht="18.75" customHeight="1" x14ac:dyDescent="0.15">
      <c r="A38" s="31">
        <v>69</v>
      </c>
      <c r="B38" s="103" t="s">
        <v>204</v>
      </c>
      <c r="C38" s="104"/>
      <c r="D38" s="104"/>
      <c r="E38" s="105"/>
      <c r="F38" s="31">
        <v>94</v>
      </c>
      <c r="G38" s="103" t="s">
        <v>223</v>
      </c>
      <c r="H38" s="104"/>
      <c r="I38" s="105"/>
    </row>
    <row r="39" spans="1:9" ht="18.75" customHeight="1" x14ac:dyDescent="0.15">
      <c r="A39" s="31">
        <v>70</v>
      </c>
      <c r="B39" s="103" t="s">
        <v>205</v>
      </c>
      <c r="C39" s="104"/>
      <c r="D39" s="104"/>
      <c r="E39" s="105"/>
      <c r="F39" s="31">
        <v>95</v>
      </c>
      <c r="G39" s="103" t="s">
        <v>224</v>
      </c>
      <c r="H39" s="104"/>
      <c r="I39" s="105"/>
    </row>
    <row r="40" spans="1:9" ht="18.75" customHeight="1" x14ac:dyDescent="0.15">
      <c r="A40" s="31">
        <v>71</v>
      </c>
      <c r="B40" s="103" t="s">
        <v>206</v>
      </c>
      <c r="C40" s="104"/>
      <c r="D40" s="104"/>
      <c r="E40" s="105"/>
      <c r="F40" s="31">
        <v>96</v>
      </c>
      <c r="G40" s="103" t="s">
        <v>225</v>
      </c>
      <c r="H40" s="104"/>
      <c r="I40" s="105"/>
    </row>
    <row r="41" spans="1:9" ht="18.75" customHeight="1" x14ac:dyDescent="0.15">
      <c r="A41" s="31">
        <v>72</v>
      </c>
      <c r="B41" s="103" t="s">
        <v>207</v>
      </c>
      <c r="C41" s="104"/>
      <c r="D41" s="104"/>
      <c r="E41" s="105"/>
      <c r="F41" s="31">
        <v>97</v>
      </c>
      <c r="G41" s="103" t="s">
        <v>226</v>
      </c>
      <c r="H41" s="104"/>
      <c r="I41" s="105"/>
    </row>
    <row r="42" spans="1:9" ht="18.75" customHeight="1" x14ac:dyDescent="0.15">
      <c r="A42" s="31">
        <v>73</v>
      </c>
      <c r="B42" s="103" t="s">
        <v>208</v>
      </c>
      <c r="C42" s="104"/>
      <c r="D42" s="104"/>
      <c r="E42" s="105"/>
      <c r="F42" s="31">
        <v>98</v>
      </c>
      <c r="G42" s="103" t="s">
        <v>227</v>
      </c>
      <c r="H42" s="104"/>
      <c r="I42" s="105"/>
    </row>
    <row r="43" spans="1:9" ht="18.75" customHeight="1" x14ac:dyDescent="0.15">
      <c r="A43" s="31">
        <v>74</v>
      </c>
      <c r="B43" s="103" t="s">
        <v>209</v>
      </c>
      <c r="C43" s="104"/>
      <c r="D43" s="104"/>
      <c r="E43" s="105"/>
      <c r="F43" s="31">
        <v>99</v>
      </c>
      <c r="G43" s="103" t="s">
        <v>228</v>
      </c>
      <c r="H43" s="104"/>
      <c r="I43" s="105"/>
    </row>
    <row r="44" spans="1:9" ht="18.75" customHeight="1" x14ac:dyDescent="0.15">
      <c r="A44" s="31">
        <v>75</v>
      </c>
      <c r="B44" s="103" t="s">
        <v>210</v>
      </c>
      <c r="C44" s="104"/>
      <c r="D44" s="104"/>
      <c r="E44" s="105"/>
      <c r="F44" s="112">
        <v>100</v>
      </c>
      <c r="G44" s="103" t="s">
        <v>229</v>
      </c>
      <c r="H44" s="104"/>
      <c r="I44" s="105"/>
    </row>
    <row r="45" spans="1:9" ht="14.25" x14ac:dyDescent="0.15">
      <c r="A45" s="113" t="s">
        <v>599</v>
      </c>
    </row>
  </sheetData>
  <mergeCells count="6">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5"/>
  <sheetViews>
    <sheetView showZeros="0" view="pageBreakPreview" topLeftCell="A13" zoomScale="85" zoomScaleNormal="85" zoomScaleSheetLayoutView="85" workbookViewId="0">
      <selection activeCell="G36" sqref="G36:H44"/>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2" width="9" style="9"/>
    <col min="13" max="13" width="37.5" style="9" customWidth="1"/>
    <col min="14" max="16384" width="9" style="9"/>
  </cols>
  <sheetData>
    <row r="1" spans="1:9" ht="18.75" customHeight="1" x14ac:dyDescent="0.15">
      <c r="I1" s="86"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87"/>
      <c r="D5" s="87"/>
      <c r="E5" s="87"/>
      <c r="F5" s="87"/>
      <c r="G5" s="87"/>
      <c r="H5" s="87"/>
      <c r="I5" s="87"/>
    </row>
    <row r="6" spans="1:9" ht="18.75" customHeight="1" x14ac:dyDescent="0.15">
      <c r="A6" s="9" t="s">
        <v>7</v>
      </c>
      <c r="B6" s="9" t="s">
        <v>97</v>
      </c>
      <c r="C6" s="87"/>
      <c r="D6" s="87"/>
      <c r="E6" s="156" t="s">
        <v>160</v>
      </c>
      <c r="F6" s="157"/>
      <c r="G6" s="157"/>
      <c r="H6" s="157"/>
      <c r="I6" s="158"/>
    </row>
    <row r="7" spans="1:9" ht="7.5" customHeight="1" x14ac:dyDescent="0.15">
      <c r="C7" s="87"/>
      <c r="D7" s="87"/>
      <c r="F7" s="85"/>
      <c r="G7" s="85"/>
      <c r="H7" s="85"/>
      <c r="I7" s="85"/>
    </row>
    <row r="8" spans="1:9" ht="18.75" customHeight="1" x14ac:dyDescent="0.15">
      <c r="A8" s="9" t="s">
        <v>12</v>
      </c>
      <c r="B8" s="9" t="s">
        <v>98</v>
      </c>
      <c r="C8" s="87"/>
      <c r="D8" s="87"/>
      <c r="E8" s="87"/>
      <c r="F8" s="87"/>
      <c r="G8" s="87"/>
      <c r="H8" s="87"/>
      <c r="I8" s="87"/>
    </row>
    <row r="9" spans="1:9" ht="18.75" customHeight="1" x14ac:dyDescent="0.15">
      <c r="B9" s="175"/>
      <c r="C9" s="176"/>
      <c r="D9" s="176"/>
      <c r="E9" s="176"/>
      <c r="F9" s="176"/>
      <c r="G9" s="176"/>
      <c r="H9" s="176"/>
      <c r="I9" s="177"/>
    </row>
    <row r="10" spans="1:9" ht="18.75" customHeight="1" x14ac:dyDescent="0.15">
      <c r="B10" s="178"/>
      <c r="C10" s="179"/>
      <c r="D10" s="179"/>
      <c r="E10" s="179"/>
      <c r="F10" s="179"/>
      <c r="G10" s="179"/>
      <c r="H10" s="179"/>
      <c r="I10" s="180"/>
    </row>
    <row r="11" spans="1:9" ht="18.75" customHeight="1" x14ac:dyDescent="0.15">
      <c r="B11" s="178"/>
      <c r="C11" s="179"/>
      <c r="D11" s="179"/>
      <c r="E11" s="179"/>
      <c r="F11" s="179"/>
      <c r="G11" s="179"/>
      <c r="H11" s="179"/>
      <c r="I11" s="180"/>
    </row>
    <row r="12" spans="1:9" ht="18.75" customHeight="1" x14ac:dyDescent="0.15">
      <c r="B12" s="178"/>
      <c r="C12" s="179"/>
      <c r="D12" s="179"/>
      <c r="E12" s="179"/>
      <c r="F12" s="179"/>
      <c r="G12" s="179"/>
      <c r="H12" s="179"/>
      <c r="I12" s="180"/>
    </row>
    <row r="13" spans="1:9" ht="18.75" customHeight="1" x14ac:dyDescent="0.15">
      <c r="B13" s="178"/>
      <c r="C13" s="179"/>
      <c r="D13" s="179"/>
      <c r="E13" s="179"/>
      <c r="F13" s="179"/>
      <c r="G13" s="179"/>
      <c r="H13" s="179"/>
      <c r="I13" s="180"/>
    </row>
    <row r="14" spans="1:9" ht="18.75" customHeight="1" x14ac:dyDescent="0.15">
      <c r="B14" s="178"/>
      <c r="C14" s="179"/>
      <c r="D14" s="179"/>
      <c r="E14" s="179"/>
      <c r="F14" s="179"/>
      <c r="G14" s="179"/>
      <c r="H14" s="179"/>
      <c r="I14" s="180"/>
    </row>
    <row r="15" spans="1:9" ht="18.75" customHeight="1" x14ac:dyDescent="0.15">
      <c r="B15" s="178"/>
      <c r="C15" s="179"/>
      <c r="D15" s="179"/>
      <c r="E15" s="179"/>
      <c r="F15" s="179"/>
      <c r="G15" s="179"/>
      <c r="H15" s="179"/>
      <c r="I15" s="180"/>
    </row>
    <row r="16" spans="1:9" ht="14.25" x14ac:dyDescent="0.15">
      <c r="B16" s="181"/>
      <c r="C16" s="182"/>
      <c r="D16" s="182"/>
      <c r="E16" s="182"/>
      <c r="F16" s="182"/>
      <c r="G16" s="182"/>
      <c r="H16" s="182"/>
      <c r="I16" s="183"/>
    </row>
    <row r="17" spans="1:10" ht="14.25" x14ac:dyDescent="0.15">
      <c r="C17" s="87"/>
      <c r="D17" s="87"/>
      <c r="E17" s="87"/>
      <c r="F17" s="87"/>
      <c r="G17" s="87"/>
      <c r="H17" s="87"/>
      <c r="I17" s="87"/>
    </row>
    <row r="18" spans="1:10" ht="18.75" customHeight="1" x14ac:dyDescent="0.15">
      <c r="A18" s="87" t="s">
        <v>13</v>
      </c>
      <c r="B18" s="11" t="s">
        <v>99</v>
      </c>
      <c r="C18" s="11"/>
      <c r="D18" s="11"/>
      <c r="E18" s="11"/>
      <c r="F18" s="87"/>
      <c r="G18" s="87"/>
      <c r="H18" s="87"/>
      <c r="I18" s="87"/>
      <c r="J18" s="87"/>
    </row>
    <row r="19" spans="1:10" ht="18.75" customHeight="1" x14ac:dyDescent="0.15">
      <c r="A19" s="185" t="s">
        <v>99</v>
      </c>
      <c r="B19" s="185"/>
      <c r="C19" s="185"/>
      <c r="D19" s="185"/>
      <c r="E19" s="185"/>
      <c r="F19" s="186" t="s">
        <v>99</v>
      </c>
      <c r="G19" s="186"/>
      <c r="H19" s="186"/>
      <c r="I19" s="186"/>
    </row>
    <row r="20" spans="1:10" ht="18.75" customHeight="1" x14ac:dyDescent="0.15">
      <c r="A20" s="112">
        <v>101</v>
      </c>
      <c r="B20" s="103" t="s">
        <v>230</v>
      </c>
      <c r="C20" s="104"/>
      <c r="D20" s="104"/>
      <c r="E20" s="105"/>
      <c r="F20" s="112">
        <v>126</v>
      </c>
      <c r="G20" s="103" t="s">
        <v>253</v>
      </c>
      <c r="H20" s="104"/>
      <c r="I20" s="105"/>
    </row>
    <row r="21" spans="1:10" ht="18.75" customHeight="1" x14ac:dyDescent="0.15">
      <c r="A21" s="112">
        <v>102</v>
      </c>
      <c r="B21" s="103" t="s">
        <v>231</v>
      </c>
      <c r="C21" s="104"/>
      <c r="D21" s="104"/>
      <c r="E21" s="105"/>
      <c r="F21" s="112">
        <v>127</v>
      </c>
      <c r="G21" s="103" t="s">
        <v>254</v>
      </c>
      <c r="H21" s="104"/>
      <c r="I21" s="105"/>
    </row>
    <row r="22" spans="1:10" ht="18.75" customHeight="1" x14ac:dyDescent="0.15">
      <c r="A22" s="112">
        <v>103</v>
      </c>
      <c r="B22" s="103" t="s">
        <v>232</v>
      </c>
      <c r="C22" s="104"/>
      <c r="D22" s="104"/>
      <c r="E22" s="105"/>
      <c r="F22" s="112">
        <v>128</v>
      </c>
      <c r="G22" s="103" t="s">
        <v>255</v>
      </c>
      <c r="H22" s="104"/>
      <c r="I22" s="105"/>
    </row>
    <row r="23" spans="1:10" ht="18.75" customHeight="1" x14ac:dyDescent="0.15">
      <c r="A23" s="112">
        <v>104</v>
      </c>
      <c r="B23" s="103" t="s">
        <v>233</v>
      </c>
      <c r="C23" s="104"/>
      <c r="D23" s="104"/>
      <c r="E23" s="105"/>
      <c r="F23" s="112">
        <v>129</v>
      </c>
      <c r="G23" s="103" t="s">
        <v>570</v>
      </c>
      <c r="H23" s="104"/>
      <c r="I23" s="105"/>
    </row>
    <row r="24" spans="1:10" ht="18.75" customHeight="1" x14ac:dyDescent="0.15">
      <c r="A24" s="112">
        <v>105</v>
      </c>
      <c r="B24" s="103" t="s">
        <v>234</v>
      </c>
      <c r="C24" s="104"/>
      <c r="D24" s="104"/>
      <c r="E24" s="105"/>
      <c r="F24" s="112">
        <v>130</v>
      </c>
      <c r="G24" s="103" t="s">
        <v>256</v>
      </c>
      <c r="H24" s="104"/>
      <c r="I24" s="105"/>
    </row>
    <row r="25" spans="1:10" ht="18.75" customHeight="1" x14ac:dyDescent="0.15">
      <c r="A25" s="112">
        <v>106</v>
      </c>
      <c r="B25" s="103" t="s">
        <v>235</v>
      </c>
      <c r="C25" s="104"/>
      <c r="D25" s="104"/>
      <c r="E25" s="105"/>
      <c r="F25" s="112">
        <v>131</v>
      </c>
      <c r="G25" s="103" t="s">
        <v>257</v>
      </c>
      <c r="H25" s="104"/>
      <c r="I25" s="105"/>
    </row>
    <row r="26" spans="1:10" ht="18.75" customHeight="1" x14ac:dyDescent="0.15">
      <c r="A26" s="112">
        <v>107</v>
      </c>
      <c r="B26" s="103" t="s">
        <v>236</v>
      </c>
      <c r="C26" s="104"/>
      <c r="D26" s="104"/>
      <c r="E26" s="105"/>
      <c r="F26" s="112">
        <v>132</v>
      </c>
      <c r="G26" s="103" t="s">
        <v>258</v>
      </c>
      <c r="H26" s="104"/>
      <c r="I26" s="105"/>
    </row>
    <row r="27" spans="1:10" ht="18.75" customHeight="1" x14ac:dyDescent="0.15">
      <c r="A27" s="112">
        <v>108</v>
      </c>
      <c r="B27" s="103" t="s">
        <v>237</v>
      </c>
      <c r="C27" s="104"/>
      <c r="D27" s="104"/>
      <c r="E27" s="105"/>
      <c r="F27" s="112">
        <v>133</v>
      </c>
      <c r="G27" s="103" t="s">
        <v>259</v>
      </c>
      <c r="H27" s="104"/>
      <c r="I27" s="105"/>
    </row>
    <row r="28" spans="1:10" ht="18.75" customHeight="1" x14ac:dyDescent="0.15">
      <c r="A28" s="112">
        <v>109</v>
      </c>
      <c r="B28" s="103" t="s">
        <v>238</v>
      </c>
      <c r="C28" s="104"/>
      <c r="D28" s="104"/>
      <c r="E28" s="105"/>
      <c r="F28" s="112">
        <v>134</v>
      </c>
      <c r="G28" s="103" t="s">
        <v>260</v>
      </c>
      <c r="H28" s="104"/>
      <c r="I28" s="105"/>
    </row>
    <row r="29" spans="1:10" ht="18.75" customHeight="1" x14ac:dyDescent="0.15">
      <c r="A29" s="112">
        <v>110</v>
      </c>
      <c r="B29" s="103" t="s">
        <v>239</v>
      </c>
      <c r="C29" s="104"/>
      <c r="D29" s="104"/>
      <c r="E29" s="105"/>
      <c r="F29" s="112">
        <v>135</v>
      </c>
      <c r="G29" s="103" t="s">
        <v>261</v>
      </c>
      <c r="H29" s="104"/>
      <c r="I29" s="105"/>
    </row>
    <row r="30" spans="1:10" ht="18.75" customHeight="1" x14ac:dyDescent="0.15">
      <c r="A30" s="112">
        <v>111</v>
      </c>
      <c r="B30" s="103" t="s">
        <v>240</v>
      </c>
      <c r="C30" s="104"/>
      <c r="D30" s="104"/>
      <c r="E30" s="105"/>
      <c r="F30" s="112">
        <v>136</v>
      </c>
      <c r="G30" s="103" t="s">
        <v>262</v>
      </c>
      <c r="H30" s="104"/>
      <c r="I30" s="105"/>
    </row>
    <row r="31" spans="1:10" ht="18.75" customHeight="1" x14ac:dyDescent="0.15">
      <c r="A31" s="112">
        <v>112</v>
      </c>
      <c r="B31" s="103" t="s">
        <v>241</v>
      </c>
      <c r="C31" s="104"/>
      <c r="D31" s="104"/>
      <c r="E31" s="105"/>
      <c r="F31" s="112">
        <v>137</v>
      </c>
      <c r="G31" s="103" t="s">
        <v>263</v>
      </c>
      <c r="H31" s="104"/>
      <c r="I31" s="105"/>
    </row>
    <row r="32" spans="1:10" ht="18.75" customHeight="1" x14ac:dyDescent="0.15">
      <c r="A32" s="112">
        <v>113</v>
      </c>
      <c r="B32" s="103" t="s">
        <v>242</v>
      </c>
      <c r="C32" s="104"/>
      <c r="D32" s="104"/>
      <c r="E32" s="105"/>
      <c r="F32" s="112">
        <v>138</v>
      </c>
      <c r="G32" s="103" t="s">
        <v>264</v>
      </c>
      <c r="H32" s="104"/>
      <c r="I32" s="105"/>
    </row>
    <row r="33" spans="1:9" ht="18.75" customHeight="1" x14ac:dyDescent="0.15">
      <c r="A33" s="112">
        <v>114</v>
      </c>
      <c r="B33" s="103" t="s">
        <v>243</v>
      </c>
      <c r="C33" s="104"/>
      <c r="D33" s="104"/>
      <c r="E33" s="105"/>
      <c r="F33" s="112">
        <v>139</v>
      </c>
      <c r="G33" s="103" t="s">
        <v>265</v>
      </c>
      <c r="H33" s="104"/>
      <c r="I33" s="105"/>
    </row>
    <row r="34" spans="1:9" ht="18.75" customHeight="1" x14ac:dyDescent="0.15">
      <c r="A34" s="112">
        <v>115</v>
      </c>
      <c r="B34" s="103" t="s">
        <v>244</v>
      </c>
      <c r="C34" s="104"/>
      <c r="D34" s="104"/>
      <c r="E34" s="105"/>
      <c r="F34" s="112">
        <v>140</v>
      </c>
      <c r="G34" s="103" t="s">
        <v>266</v>
      </c>
      <c r="H34" s="104"/>
      <c r="I34" s="105"/>
    </row>
    <row r="35" spans="1:9" ht="18.75" customHeight="1" x14ac:dyDescent="0.15">
      <c r="A35" s="112">
        <v>116</v>
      </c>
      <c r="B35" s="103" t="s">
        <v>245</v>
      </c>
      <c r="C35" s="104"/>
      <c r="D35" s="104"/>
      <c r="E35" s="105"/>
      <c r="F35" s="112">
        <v>141</v>
      </c>
      <c r="G35" s="103" t="s">
        <v>267</v>
      </c>
      <c r="H35" s="104"/>
      <c r="I35" s="105"/>
    </row>
    <row r="36" spans="1:9" ht="18.75" customHeight="1" x14ac:dyDescent="0.15">
      <c r="A36" s="112">
        <v>117</v>
      </c>
      <c r="B36" s="103" t="s">
        <v>246</v>
      </c>
      <c r="C36" s="104"/>
      <c r="D36" s="104"/>
      <c r="E36" s="105"/>
      <c r="F36" s="112">
        <v>142</v>
      </c>
      <c r="G36" s="103" t="s">
        <v>268</v>
      </c>
      <c r="H36" s="104"/>
      <c r="I36" s="105"/>
    </row>
    <row r="37" spans="1:9" ht="18.75" customHeight="1" x14ac:dyDescent="0.15">
      <c r="A37" s="112">
        <v>118</v>
      </c>
      <c r="B37" s="103" t="s">
        <v>247</v>
      </c>
      <c r="C37" s="104"/>
      <c r="D37" s="104"/>
      <c r="E37" s="105"/>
      <c r="F37" s="112">
        <v>143</v>
      </c>
      <c r="G37" s="103" t="s">
        <v>269</v>
      </c>
      <c r="H37" s="104"/>
      <c r="I37" s="105"/>
    </row>
    <row r="38" spans="1:9" ht="18.75" customHeight="1" x14ac:dyDescent="0.15">
      <c r="A38" s="112">
        <v>119</v>
      </c>
      <c r="B38" s="103" t="s">
        <v>248</v>
      </c>
      <c r="C38" s="104"/>
      <c r="D38" s="104"/>
      <c r="E38" s="105"/>
      <c r="F38" s="112">
        <v>144</v>
      </c>
      <c r="G38" s="103" t="s">
        <v>270</v>
      </c>
      <c r="H38" s="104"/>
      <c r="I38" s="105"/>
    </row>
    <row r="39" spans="1:9" ht="18.75" customHeight="1" x14ac:dyDescent="0.15">
      <c r="A39" s="112">
        <v>120</v>
      </c>
      <c r="B39" s="103" t="s">
        <v>569</v>
      </c>
      <c r="C39" s="104"/>
      <c r="D39" s="104"/>
      <c r="E39" s="105"/>
      <c r="F39" s="112">
        <v>145</v>
      </c>
      <c r="G39" s="103" t="s">
        <v>271</v>
      </c>
      <c r="H39" s="104"/>
      <c r="I39" s="105"/>
    </row>
    <row r="40" spans="1:9" ht="18.75" customHeight="1" x14ac:dyDescent="0.15">
      <c r="A40" s="112">
        <v>121</v>
      </c>
      <c r="B40" s="103" t="s">
        <v>249</v>
      </c>
      <c r="C40" s="104"/>
      <c r="D40" s="104"/>
      <c r="E40" s="105"/>
      <c r="F40" s="112">
        <v>146</v>
      </c>
      <c r="G40" s="103" t="s">
        <v>272</v>
      </c>
      <c r="H40" s="104"/>
      <c r="I40" s="105"/>
    </row>
    <row r="41" spans="1:9" ht="18.75" customHeight="1" x14ac:dyDescent="0.15">
      <c r="A41" s="112">
        <v>122</v>
      </c>
      <c r="B41" s="103" t="s">
        <v>250</v>
      </c>
      <c r="C41" s="104"/>
      <c r="D41" s="104"/>
      <c r="E41" s="105"/>
      <c r="F41" s="112">
        <v>147</v>
      </c>
      <c r="G41" s="103" t="s">
        <v>273</v>
      </c>
      <c r="H41" s="104"/>
      <c r="I41" s="105"/>
    </row>
    <row r="42" spans="1:9" ht="18.75" customHeight="1" x14ac:dyDescent="0.15">
      <c r="A42" s="112">
        <v>123</v>
      </c>
      <c r="B42" s="103" t="s">
        <v>568</v>
      </c>
      <c r="C42" s="104"/>
      <c r="D42" s="104"/>
      <c r="E42" s="105"/>
      <c r="F42" s="112">
        <v>148</v>
      </c>
      <c r="G42" s="103" t="s">
        <v>274</v>
      </c>
      <c r="H42" s="104"/>
      <c r="I42" s="105"/>
    </row>
    <row r="43" spans="1:9" ht="18.75" customHeight="1" x14ac:dyDescent="0.15">
      <c r="A43" s="112">
        <v>124</v>
      </c>
      <c r="B43" s="103" t="s">
        <v>251</v>
      </c>
      <c r="C43" s="104"/>
      <c r="D43" s="104"/>
      <c r="E43" s="105"/>
      <c r="F43" s="112">
        <v>149</v>
      </c>
      <c r="G43" s="103" t="s">
        <v>275</v>
      </c>
      <c r="H43" s="104"/>
      <c r="I43" s="105"/>
    </row>
    <row r="44" spans="1:9" ht="18.75" customHeight="1" x14ac:dyDescent="0.15">
      <c r="A44" s="112">
        <v>125</v>
      </c>
      <c r="B44" s="103" t="s">
        <v>252</v>
      </c>
      <c r="C44" s="104"/>
      <c r="D44" s="104"/>
      <c r="E44" s="105"/>
      <c r="F44" s="112">
        <v>150</v>
      </c>
      <c r="G44" s="103" t="s">
        <v>480</v>
      </c>
      <c r="H44" s="104"/>
      <c r="I44" s="105"/>
    </row>
    <row r="45" spans="1:9" ht="14.25" x14ac:dyDescent="0.15">
      <c r="A45" s="113" t="s">
        <v>599</v>
      </c>
    </row>
  </sheetData>
  <mergeCells count="6">
    <mergeCell ref="H2:I2"/>
    <mergeCell ref="A4:I4"/>
    <mergeCell ref="E6:I6"/>
    <mergeCell ref="B9:I16"/>
    <mergeCell ref="A19:E19"/>
    <mergeCell ref="F19:I19"/>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5"/>
  <sheetViews>
    <sheetView showZeros="0" view="pageBreakPreview" topLeftCell="A24" zoomScale="115" zoomScaleNormal="85" zoomScaleSheetLayoutView="115" workbookViewId="0">
      <selection activeCell="M42" sqref="M42"/>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2" width="9" style="9"/>
    <col min="13" max="13" width="37.5" style="9" customWidth="1"/>
    <col min="14" max="16384" width="9" style="9"/>
  </cols>
  <sheetData>
    <row r="1" spans="1:9" ht="18.75" customHeight="1" x14ac:dyDescent="0.15">
      <c r="I1" s="86"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87"/>
      <c r="D5" s="87"/>
      <c r="E5" s="87"/>
      <c r="F5" s="87"/>
      <c r="G5" s="87"/>
      <c r="H5" s="87"/>
      <c r="I5" s="87"/>
    </row>
    <row r="6" spans="1:9" ht="18.75" customHeight="1" x14ac:dyDescent="0.15">
      <c r="A6" s="9" t="s">
        <v>7</v>
      </c>
      <c r="B6" s="9" t="s">
        <v>97</v>
      </c>
      <c r="C6" s="87"/>
      <c r="D6" s="87"/>
      <c r="E6" s="156" t="s">
        <v>160</v>
      </c>
      <c r="F6" s="157"/>
      <c r="G6" s="157"/>
      <c r="H6" s="157"/>
      <c r="I6" s="158"/>
    </row>
    <row r="7" spans="1:9" ht="7.5" customHeight="1" x14ac:dyDescent="0.15">
      <c r="C7" s="87"/>
      <c r="D7" s="87"/>
      <c r="F7" s="85"/>
      <c r="G7" s="85"/>
      <c r="H7" s="85"/>
      <c r="I7" s="85"/>
    </row>
    <row r="8" spans="1:9" ht="18.75" customHeight="1" x14ac:dyDescent="0.15">
      <c r="A8" s="9" t="s">
        <v>12</v>
      </c>
      <c r="B8" s="9" t="s">
        <v>98</v>
      </c>
      <c r="C8" s="87"/>
      <c r="D8" s="87"/>
      <c r="E8" s="87"/>
      <c r="F8" s="87"/>
      <c r="G8" s="87"/>
      <c r="H8" s="87"/>
      <c r="I8" s="87"/>
    </row>
    <row r="9" spans="1:9" ht="18.75" customHeight="1" x14ac:dyDescent="0.15">
      <c r="B9" s="175"/>
      <c r="C9" s="176"/>
      <c r="D9" s="176"/>
      <c r="E9" s="176"/>
      <c r="F9" s="176"/>
      <c r="G9" s="176"/>
      <c r="H9" s="176"/>
      <c r="I9" s="177"/>
    </row>
    <row r="10" spans="1:9" ht="18.75" customHeight="1" x14ac:dyDescent="0.15">
      <c r="B10" s="178"/>
      <c r="C10" s="179"/>
      <c r="D10" s="179"/>
      <c r="E10" s="179"/>
      <c r="F10" s="179"/>
      <c r="G10" s="179"/>
      <c r="H10" s="179"/>
      <c r="I10" s="180"/>
    </row>
    <row r="11" spans="1:9" ht="18.75" customHeight="1" x14ac:dyDescent="0.15">
      <c r="B11" s="178"/>
      <c r="C11" s="179"/>
      <c r="D11" s="179"/>
      <c r="E11" s="179"/>
      <c r="F11" s="179"/>
      <c r="G11" s="179"/>
      <c r="H11" s="179"/>
      <c r="I11" s="180"/>
    </row>
    <row r="12" spans="1:9" ht="18.75" customHeight="1" x14ac:dyDescent="0.15">
      <c r="B12" s="178"/>
      <c r="C12" s="179"/>
      <c r="D12" s="179"/>
      <c r="E12" s="179"/>
      <c r="F12" s="179"/>
      <c r="G12" s="179"/>
      <c r="H12" s="179"/>
      <c r="I12" s="180"/>
    </row>
    <row r="13" spans="1:9" ht="18.75" customHeight="1" x14ac:dyDescent="0.15">
      <c r="B13" s="178"/>
      <c r="C13" s="179"/>
      <c r="D13" s="179"/>
      <c r="E13" s="179"/>
      <c r="F13" s="179"/>
      <c r="G13" s="179"/>
      <c r="H13" s="179"/>
      <c r="I13" s="180"/>
    </row>
    <row r="14" spans="1:9" ht="18.75" customHeight="1" x14ac:dyDescent="0.15">
      <c r="B14" s="178"/>
      <c r="C14" s="179"/>
      <c r="D14" s="179"/>
      <c r="E14" s="179"/>
      <c r="F14" s="179"/>
      <c r="G14" s="179"/>
      <c r="H14" s="179"/>
      <c r="I14" s="180"/>
    </row>
    <row r="15" spans="1:9" ht="18.75" customHeight="1" x14ac:dyDescent="0.15">
      <c r="B15" s="178"/>
      <c r="C15" s="179"/>
      <c r="D15" s="179"/>
      <c r="E15" s="179"/>
      <c r="F15" s="179"/>
      <c r="G15" s="179"/>
      <c r="H15" s="179"/>
      <c r="I15" s="180"/>
    </row>
    <row r="16" spans="1:9" ht="14.25" x14ac:dyDescent="0.15">
      <c r="B16" s="181"/>
      <c r="C16" s="182"/>
      <c r="D16" s="182"/>
      <c r="E16" s="182"/>
      <c r="F16" s="182"/>
      <c r="G16" s="182"/>
      <c r="H16" s="182"/>
      <c r="I16" s="183"/>
    </row>
    <row r="17" spans="1:10" ht="14.25" x14ac:dyDescent="0.15">
      <c r="C17" s="87"/>
      <c r="D17" s="87"/>
      <c r="E17" s="87"/>
      <c r="F17" s="87"/>
      <c r="G17" s="87"/>
      <c r="H17" s="87"/>
      <c r="I17" s="87"/>
    </row>
    <row r="18" spans="1:10" ht="18.75" customHeight="1" x14ac:dyDescent="0.15">
      <c r="A18" s="87" t="s">
        <v>13</v>
      </c>
      <c r="B18" s="11" t="s">
        <v>99</v>
      </c>
      <c r="C18" s="11"/>
      <c r="D18" s="11"/>
      <c r="E18" s="11"/>
      <c r="F18" s="87"/>
      <c r="G18" s="87"/>
      <c r="H18" s="87"/>
      <c r="I18" s="87"/>
      <c r="J18" s="87"/>
    </row>
    <row r="19" spans="1:10" ht="18.75" customHeight="1" x14ac:dyDescent="0.15">
      <c r="A19" s="185" t="s">
        <v>99</v>
      </c>
      <c r="B19" s="185"/>
      <c r="C19" s="185"/>
      <c r="D19" s="185"/>
      <c r="E19" s="185"/>
      <c r="F19" s="186" t="s">
        <v>99</v>
      </c>
      <c r="G19" s="186"/>
      <c r="H19" s="186"/>
      <c r="I19" s="186"/>
    </row>
    <row r="20" spans="1:10" ht="18.75" customHeight="1" x14ac:dyDescent="0.15">
      <c r="A20" s="112">
        <v>151</v>
      </c>
      <c r="B20" s="103" t="s">
        <v>276</v>
      </c>
      <c r="C20" s="104"/>
      <c r="D20" s="104"/>
      <c r="E20" s="105"/>
      <c r="F20" s="112">
        <v>176</v>
      </c>
      <c r="G20" s="103" t="s">
        <v>296</v>
      </c>
      <c r="H20" s="99"/>
      <c r="I20" s="101"/>
    </row>
    <row r="21" spans="1:10" ht="18.75" customHeight="1" x14ac:dyDescent="0.15">
      <c r="A21" s="112">
        <v>152</v>
      </c>
      <c r="B21" s="103" t="s">
        <v>277</v>
      </c>
      <c r="C21" s="104"/>
      <c r="D21" s="104"/>
      <c r="E21" s="105"/>
      <c r="F21" s="112">
        <v>177</v>
      </c>
      <c r="G21" s="103" t="s">
        <v>297</v>
      </c>
      <c r="H21" s="99"/>
      <c r="I21" s="101"/>
    </row>
    <row r="22" spans="1:10" ht="18.75" customHeight="1" x14ac:dyDescent="0.15">
      <c r="A22" s="112">
        <v>153</v>
      </c>
      <c r="B22" s="103" t="s">
        <v>278</v>
      </c>
      <c r="C22" s="104"/>
      <c r="D22" s="104"/>
      <c r="E22" s="105"/>
      <c r="F22" s="112">
        <v>178</v>
      </c>
      <c r="G22" s="103" t="s">
        <v>298</v>
      </c>
      <c r="H22" s="99"/>
      <c r="I22" s="101"/>
    </row>
    <row r="23" spans="1:10" ht="18.75" customHeight="1" x14ac:dyDescent="0.15">
      <c r="A23" s="112">
        <v>154</v>
      </c>
      <c r="B23" s="103" t="s">
        <v>279</v>
      </c>
      <c r="C23" s="104"/>
      <c r="D23" s="104"/>
      <c r="E23" s="105"/>
      <c r="F23" s="112">
        <v>179</v>
      </c>
      <c r="G23" s="103" t="s">
        <v>299</v>
      </c>
      <c r="H23" s="99"/>
      <c r="I23" s="101"/>
    </row>
    <row r="24" spans="1:10" ht="18.75" customHeight="1" x14ac:dyDescent="0.15">
      <c r="A24" s="112">
        <v>155</v>
      </c>
      <c r="B24" s="103" t="s">
        <v>280</v>
      </c>
      <c r="C24" s="104"/>
      <c r="D24" s="104"/>
      <c r="E24" s="105"/>
      <c r="F24" s="112">
        <v>180</v>
      </c>
      <c r="G24" s="103" t="s">
        <v>300</v>
      </c>
      <c r="H24" s="99"/>
      <c r="I24" s="101"/>
    </row>
    <row r="25" spans="1:10" ht="18.75" customHeight="1" x14ac:dyDescent="0.15">
      <c r="A25" s="112">
        <v>156</v>
      </c>
      <c r="B25" s="103" t="s">
        <v>281</v>
      </c>
      <c r="C25" s="104"/>
      <c r="D25" s="104"/>
      <c r="E25" s="105"/>
      <c r="F25" s="112">
        <v>181</v>
      </c>
      <c r="G25" s="103" t="s">
        <v>301</v>
      </c>
      <c r="H25" s="99"/>
      <c r="I25" s="101"/>
    </row>
    <row r="26" spans="1:10" ht="18.75" customHeight="1" x14ac:dyDescent="0.15">
      <c r="A26" s="112">
        <v>157</v>
      </c>
      <c r="B26" s="103" t="s">
        <v>282</v>
      </c>
      <c r="C26" s="104"/>
      <c r="D26" s="104"/>
      <c r="E26" s="105"/>
      <c r="F26" s="112">
        <v>182</v>
      </c>
      <c r="G26" s="103" t="s">
        <v>302</v>
      </c>
      <c r="H26" s="99"/>
      <c r="I26" s="101"/>
    </row>
    <row r="27" spans="1:10" ht="18.75" customHeight="1" x14ac:dyDescent="0.15">
      <c r="A27" s="112">
        <v>158</v>
      </c>
      <c r="B27" s="103" t="s">
        <v>283</v>
      </c>
      <c r="C27" s="104"/>
      <c r="D27" s="104"/>
      <c r="E27" s="105"/>
      <c r="F27" s="112">
        <v>183</v>
      </c>
      <c r="G27" s="103" t="s">
        <v>303</v>
      </c>
      <c r="H27" s="99"/>
      <c r="I27" s="101"/>
    </row>
    <row r="28" spans="1:10" ht="18.75" customHeight="1" x14ac:dyDescent="0.15">
      <c r="A28" s="112">
        <v>159</v>
      </c>
      <c r="B28" s="103" t="s">
        <v>284</v>
      </c>
      <c r="C28" s="104"/>
      <c r="D28" s="104"/>
      <c r="E28" s="105"/>
      <c r="F28" s="112">
        <v>184</v>
      </c>
      <c r="G28" s="103" t="s">
        <v>304</v>
      </c>
      <c r="H28" s="99"/>
      <c r="I28" s="101"/>
    </row>
    <row r="29" spans="1:10" ht="18.75" customHeight="1" x14ac:dyDescent="0.15">
      <c r="A29" s="112">
        <v>160</v>
      </c>
      <c r="B29" s="103" t="s">
        <v>481</v>
      </c>
      <c r="C29" s="104"/>
      <c r="D29" s="104"/>
      <c r="E29" s="105"/>
      <c r="F29" s="112">
        <v>185</v>
      </c>
      <c r="G29" s="103" t="s">
        <v>305</v>
      </c>
      <c r="H29" s="99"/>
      <c r="I29" s="101"/>
    </row>
    <row r="30" spans="1:10" ht="18.75" customHeight="1" x14ac:dyDescent="0.15">
      <c r="A30" s="112">
        <v>161</v>
      </c>
      <c r="B30" s="103" t="s">
        <v>482</v>
      </c>
      <c r="C30" s="104"/>
      <c r="D30" s="104"/>
      <c r="E30" s="105"/>
      <c r="F30" s="112">
        <v>186</v>
      </c>
      <c r="G30" s="103" t="s">
        <v>306</v>
      </c>
      <c r="H30" s="99"/>
      <c r="I30" s="101"/>
    </row>
    <row r="31" spans="1:10" ht="18.75" customHeight="1" x14ac:dyDescent="0.15">
      <c r="A31" s="112">
        <v>162</v>
      </c>
      <c r="B31" s="103" t="s">
        <v>483</v>
      </c>
      <c r="C31" s="104"/>
      <c r="D31" s="104"/>
      <c r="E31" s="105"/>
      <c r="F31" s="112">
        <v>187</v>
      </c>
      <c r="G31" s="103" t="s">
        <v>307</v>
      </c>
      <c r="H31" s="99"/>
      <c r="I31" s="101"/>
    </row>
    <row r="32" spans="1:10" ht="18.75" customHeight="1" x14ac:dyDescent="0.15">
      <c r="A32" s="112">
        <v>163</v>
      </c>
      <c r="B32" s="103" t="s">
        <v>484</v>
      </c>
      <c r="C32" s="104"/>
      <c r="D32" s="104"/>
      <c r="E32" s="105"/>
      <c r="F32" s="112">
        <v>188</v>
      </c>
      <c r="G32" s="103" t="s">
        <v>308</v>
      </c>
      <c r="H32" s="99"/>
      <c r="I32" s="101"/>
    </row>
    <row r="33" spans="1:9" ht="18.75" customHeight="1" x14ac:dyDescent="0.15">
      <c r="A33" s="112">
        <v>164</v>
      </c>
      <c r="B33" s="103" t="s">
        <v>285</v>
      </c>
      <c r="C33" s="104"/>
      <c r="D33" s="104"/>
      <c r="E33" s="105"/>
      <c r="F33" s="112">
        <v>189</v>
      </c>
      <c r="G33" s="103" t="s">
        <v>309</v>
      </c>
      <c r="H33" s="99"/>
      <c r="I33" s="101"/>
    </row>
    <row r="34" spans="1:9" ht="18.75" customHeight="1" x14ac:dyDescent="0.15">
      <c r="A34" s="112">
        <v>165</v>
      </c>
      <c r="B34" s="103" t="s">
        <v>286</v>
      </c>
      <c r="C34" s="104"/>
      <c r="D34" s="104"/>
      <c r="E34" s="105"/>
      <c r="F34" s="112">
        <v>190</v>
      </c>
      <c r="G34" s="103" t="s">
        <v>310</v>
      </c>
      <c r="H34" s="99"/>
      <c r="I34" s="101"/>
    </row>
    <row r="35" spans="1:9" ht="18.75" customHeight="1" x14ac:dyDescent="0.15">
      <c r="A35" s="112">
        <v>166</v>
      </c>
      <c r="B35" s="103" t="s">
        <v>287</v>
      </c>
      <c r="C35" s="104"/>
      <c r="D35" s="104"/>
      <c r="E35" s="105"/>
      <c r="F35" s="112">
        <v>191</v>
      </c>
      <c r="G35" s="103" t="s">
        <v>311</v>
      </c>
      <c r="H35" s="99"/>
      <c r="I35" s="101"/>
    </row>
    <row r="36" spans="1:9" ht="18.75" customHeight="1" x14ac:dyDescent="0.15">
      <c r="A36" s="112">
        <v>167</v>
      </c>
      <c r="B36" s="103" t="s">
        <v>571</v>
      </c>
      <c r="C36" s="104"/>
      <c r="D36" s="104"/>
      <c r="E36" s="105"/>
      <c r="F36" s="112">
        <v>192</v>
      </c>
      <c r="G36" s="103" t="s">
        <v>312</v>
      </c>
      <c r="H36" s="104"/>
      <c r="I36" s="101"/>
    </row>
    <row r="37" spans="1:9" ht="18.75" customHeight="1" x14ac:dyDescent="0.15">
      <c r="A37" s="112">
        <v>168</v>
      </c>
      <c r="B37" s="103" t="s">
        <v>288</v>
      </c>
      <c r="C37" s="104"/>
      <c r="D37" s="104"/>
      <c r="E37" s="105"/>
      <c r="F37" s="112">
        <v>193</v>
      </c>
      <c r="G37" s="103" t="s">
        <v>313</v>
      </c>
      <c r="H37" s="104"/>
      <c r="I37" s="101"/>
    </row>
    <row r="38" spans="1:9" ht="18.75" customHeight="1" x14ac:dyDescent="0.15">
      <c r="A38" s="112">
        <v>169</v>
      </c>
      <c r="B38" s="103" t="s">
        <v>289</v>
      </c>
      <c r="C38" s="104"/>
      <c r="D38" s="104"/>
      <c r="E38" s="105"/>
      <c r="F38" s="112">
        <v>194</v>
      </c>
      <c r="G38" s="103" t="s">
        <v>314</v>
      </c>
      <c r="H38" s="104"/>
      <c r="I38" s="101"/>
    </row>
    <row r="39" spans="1:9" ht="18.75" customHeight="1" x14ac:dyDescent="0.15">
      <c r="A39" s="112">
        <v>170</v>
      </c>
      <c r="B39" s="103" t="s">
        <v>290</v>
      </c>
      <c r="C39" s="104"/>
      <c r="D39" s="104"/>
      <c r="E39" s="105"/>
      <c r="F39" s="112">
        <v>195</v>
      </c>
      <c r="G39" s="103" t="s">
        <v>315</v>
      </c>
      <c r="H39" s="104"/>
      <c r="I39" s="101"/>
    </row>
    <row r="40" spans="1:9" ht="18.75" customHeight="1" x14ac:dyDescent="0.15">
      <c r="A40" s="112">
        <v>171</v>
      </c>
      <c r="B40" s="103" t="s">
        <v>291</v>
      </c>
      <c r="C40" s="104"/>
      <c r="D40" s="104"/>
      <c r="E40" s="105"/>
      <c r="F40" s="112">
        <v>196</v>
      </c>
      <c r="G40" s="103" t="s">
        <v>316</v>
      </c>
      <c r="H40" s="104"/>
      <c r="I40" s="101"/>
    </row>
    <row r="41" spans="1:9" ht="18.75" customHeight="1" x14ac:dyDescent="0.15">
      <c r="A41" s="112">
        <v>172</v>
      </c>
      <c r="B41" s="103" t="s">
        <v>292</v>
      </c>
      <c r="C41" s="104"/>
      <c r="D41" s="104"/>
      <c r="E41" s="105"/>
      <c r="F41" s="112">
        <v>197</v>
      </c>
      <c r="G41" s="106" t="s">
        <v>317</v>
      </c>
      <c r="H41" s="104"/>
      <c r="I41" s="101"/>
    </row>
    <row r="42" spans="1:9" ht="18.75" customHeight="1" x14ac:dyDescent="0.15">
      <c r="A42" s="112">
        <v>173</v>
      </c>
      <c r="B42" s="103" t="s">
        <v>293</v>
      </c>
      <c r="C42" s="104"/>
      <c r="D42" s="104"/>
      <c r="E42" s="105"/>
      <c r="F42" s="112">
        <v>198</v>
      </c>
      <c r="G42" s="103" t="s">
        <v>490</v>
      </c>
      <c r="H42" s="104"/>
      <c r="I42" s="101"/>
    </row>
    <row r="43" spans="1:9" ht="18.75" customHeight="1" x14ac:dyDescent="0.15">
      <c r="A43" s="112">
        <v>174</v>
      </c>
      <c r="B43" s="103" t="s">
        <v>294</v>
      </c>
      <c r="C43" s="104"/>
      <c r="D43" s="104"/>
      <c r="E43" s="105"/>
      <c r="F43" s="112">
        <v>199</v>
      </c>
      <c r="G43" s="103" t="s">
        <v>492</v>
      </c>
      <c r="H43" s="104"/>
      <c r="I43" s="101"/>
    </row>
    <row r="44" spans="1:9" ht="18.75" customHeight="1" x14ac:dyDescent="0.15">
      <c r="A44" s="112">
        <v>175</v>
      </c>
      <c r="B44" s="103" t="s">
        <v>295</v>
      </c>
      <c r="C44" s="104"/>
      <c r="D44" s="104"/>
      <c r="E44" s="105"/>
      <c r="F44" s="112">
        <v>200</v>
      </c>
      <c r="G44" s="103" t="s">
        <v>318</v>
      </c>
      <c r="H44" s="104"/>
      <c r="I44" s="101"/>
    </row>
    <row r="45" spans="1:9" ht="14.25" x14ac:dyDescent="0.15">
      <c r="A45" s="113" t="s">
        <v>599</v>
      </c>
    </row>
  </sheetData>
  <mergeCells count="6">
    <mergeCell ref="H2:I2"/>
    <mergeCell ref="A4:I4"/>
    <mergeCell ref="E6:I6"/>
    <mergeCell ref="B9:I16"/>
    <mergeCell ref="A19:E19"/>
    <mergeCell ref="F19:I19"/>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6"/>
  <sheetViews>
    <sheetView showZeros="0" view="pageBreakPreview" topLeftCell="A25" zoomScaleNormal="85" zoomScaleSheetLayoutView="100" workbookViewId="0">
      <selection activeCell="L39" sqref="L39"/>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2" width="9" style="9"/>
    <col min="13" max="13" width="37.5" style="9" customWidth="1"/>
    <col min="14" max="16384" width="9" style="9"/>
  </cols>
  <sheetData>
    <row r="1" spans="1:9" ht="18.75" customHeight="1" x14ac:dyDescent="0.15">
      <c r="I1" s="86"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87"/>
      <c r="D5" s="87"/>
      <c r="E5" s="87"/>
      <c r="F5" s="87"/>
      <c r="G5" s="87"/>
      <c r="H5" s="87"/>
      <c r="I5" s="87"/>
    </row>
    <row r="6" spans="1:9" ht="18.75" customHeight="1" x14ac:dyDescent="0.15">
      <c r="A6" s="9" t="s">
        <v>7</v>
      </c>
      <c r="B6" s="9" t="s">
        <v>97</v>
      </c>
      <c r="C6" s="87"/>
      <c r="D6" s="87"/>
      <c r="E6" s="156" t="s">
        <v>160</v>
      </c>
      <c r="F6" s="157"/>
      <c r="G6" s="157"/>
      <c r="H6" s="157"/>
      <c r="I6" s="158"/>
    </row>
    <row r="7" spans="1:9" ht="7.5" customHeight="1" x14ac:dyDescent="0.15">
      <c r="C7" s="87"/>
      <c r="D7" s="87"/>
      <c r="F7" s="85"/>
      <c r="G7" s="85"/>
      <c r="H7" s="85"/>
      <c r="I7" s="85"/>
    </row>
    <row r="8" spans="1:9" ht="14.25" x14ac:dyDescent="0.15">
      <c r="A8" s="9" t="s">
        <v>12</v>
      </c>
      <c r="B8" s="9" t="s">
        <v>98</v>
      </c>
      <c r="C8" s="87"/>
      <c r="D8" s="87"/>
      <c r="E8" s="87"/>
      <c r="F8" s="87"/>
      <c r="G8" s="87"/>
      <c r="H8" s="87"/>
      <c r="I8" s="87"/>
    </row>
    <row r="9" spans="1:9" ht="6.75" customHeight="1" x14ac:dyDescent="0.15">
      <c r="B9" s="175"/>
      <c r="C9" s="176"/>
      <c r="D9" s="176"/>
      <c r="E9" s="176"/>
      <c r="F9" s="176"/>
      <c r="G9" s="176"/>
      <c r="H9" s="176"/>
      <c r="I9" s="177"/>
    </row>
    <row r="10" spans="1:9" ht="6.75" customHeight="1" x14ac:dyDescent="0.15">
      <c r="B10" s="178"/>
      <c r="C10" s="179"/>
      <c r="D10" s="179"/>
      <c r="E10" s="179"/>
      <c r="F10" s="179"/>
      <c r="G10" s="179"/>
      <c r="H10" s="179"/>
      <c r="I10" s="180"/>
    </row>
    <row r="11" spans="1:9" ht="6.75" customHeight="1" x14ac:dyDescent="0.15">
      <c r="B11" s="178"/>
      <c r="C11" s="179"/>
      <c r="D11" s="179"/>
      <c r="E11" s="179"/>
      <c r="F11" s="179"/>
      <c r="G11" s="179"/>
      <c r="H11" s="179"/>
      <c r="I11" s="180"/>
    </row>
    <row r="12" spans="1:9" ht="6.75" customHeight="1" x14ac:dyDescent="0.15">
      <c r="B12" s="178"/>
      <c r="C12" s="179"/>
      <c r="D12" s="179"/>
      <c r="E12" s="179"/>
      <c r="F12" s="179"/>
      <c r="G12" s="179"/>
      <c r="H12" s="179"/>
      <c r="I12" s="180"/>
    </row>
    <row r="13" spans="1:9" ht="6.75" customHeight="1" x14ac:dyDescent="0.15">
      <c r="B13" s="178"/>
      <c r="C13" s="179"/>
      <c r="D13" s="179"/>
      <c r="E13" s="179"/>
      <c r="F13" s="179"/>
      <c r="G13" s="179"/>
      <c r="H13" s="179"/>
      <c r="I13" s="180"/>
    </row>
    <row r="14" spans="1:9" ht="6.75" customHeight="1" x14ac:dyDescent="0.15">
      <c r="B14" s="178"/>
      <c r="C14" s="179"/>
      <c r="D14" s="179"/>
      <c r="E14" s="179"/>
      <c r="F14" s="179"/>
      <c r="G14" s="179"/>
      <c r="H14" s="179"/>
      <c r="I14" s="180"/>
    </row>
    <row r="15" spans="1:9" ht="6.75" customHeight="1" x14ac:dyDescent="0.15">
      <c r="B15" s="178"/>
      <c r="C15" s="179"/>
      <c r="D15" s="179"/>
      <c r="E15" s="179"/>
      <c r="F15" s="179"/>
      <c r="G15" s="179"/>
      <c r="H15" s="179"/>
      <c r="I15" s="180"/>
    </row>
    <row r="16" spans="1:9" ht="6.75" customHeight="1" x14ac:dyDescent="0.15">
      <c r="B16" s="181"/>
      <c r="C16" s="182"/>
      <c r="D16" s="182"/>
      <c r="E16" s="182"/>
      <c r="F16" s="182"/>
      <c r="G16" s="182"/>
      <c r="H16" s="182"/>
      <c r="I16" s="183"/>
    </row>
    <row r="17" spans="1:10" ht="14.25" x14ac:dyDescent="0.15">
      <c r="C17" s="87"/>
      <c r="D17" s="87"/>
      <c r="E17" s="87"/>
      <c r="F17" s="87"/>
      <c r="G17" s="87"/>
      <c r="H17" s="87"/>
      <c r="I17" s="87"/>
    </row>
    <row r="18" spans="1:10" ht="18.75" customHeight="1" x14ac:dyDescent="0.15">
      <c r="A18" s="87" t="s">
        <v>13</v>
      </c>
      <c r="B18" s="11" t="s">
        <v>99</v>
      </c>
      <c r="C18" s="11"/>
      <c r="D18" s="11"/>
      <c r="E18" s="11"/>
      <c r="F18" s="87"/>
      <c r="G18" s="87"/>
      <c r="H18" s="87"/>
      <c r="I18" s="87"/>
      <c r="J18" s="87"/>
    </row>
    <row r="19" spans="1:10" ht="18.75" customHeight="1" x14ac:dyDescent="0.15">
      <c r="A19" s="185" t="s">
        <v>99</v>
      </c>
      <c r="B19" s="185"/>
      <c r="C19" s="185"/>
      <c r="D19" s="185"/>
      <c r="E19" s="185"/>
      <c r="F19" s="186" t="s">
        <v>99</v>
      </c>
      <c r="G19" s="186"/>
      <c r="H19" s="186"/>
      <c r="I19" s="186"/>
    </row>
    <row r="20" spans="1:10" ht="31.5" customHeight="1" x14ac:dyDescent="0.15">
      <c r="A20" s="31">
        <v>201</v>
      </c>
      <c r="B20" s="103" t="s">
        <v>319</v>
      </c>
      <c r="C20" s="104"/>
      <c r="D20" s="104"/>
      <c r="E20" s="105"/>
      <c r="F20" s="31">
        <v>226</v>
      </c>
      <c r="G20" s="187" t="s">
        <v>580</v>
      </c>
      <c r="H20" s="188"/>
      <c r="I20" s="189"/>
    </row>
    <row r="21" spans="1:10" ht="18.75" customHeight="1" x14ac:dyDescent="0.15">
      <c r="A21" s="31">
        <v>202</v>
      </c>
      <c r="B21" s="103" t="s">
        <v>320</v>
      </c>
      <c r="C21" s="104"/>
      <c r="D21" s="104"/>
      <c r="E21" s="105"/>
      <c r="F21" s="31">
        <v>227</v>
      </c>
      <c r="G21" s="103" t="s">
        <v>334</v>
      </c>
      <c r="H21" s="125"/>
      <c r="I21" s="126"/>
    </row>
    <row r="22" spans="1:10" ht="18.75" customHeight="1" x14ac:dyDescent="0.15">
      <c r="A22" s="31">
        <v>203</v>
      </c>
      <c r="B22" s="103" t="s">
        <v>321</v>
      </c>
      <c r="C22" s="104"/>
      <c r="D22" s="104"/>
      <c r="E22" s="105"/>
      <c r="F22" s="31">
        <v>228</v>
      </c>
      <c r="G22" s="103" t="s">
        <v>335</v>
      </c>
      <c r="H22" s="125"/>
      <c r="I22" s="126"/>
    </row>
    <row r="23" spans="1:10" ht="30.75" customHeight="1" x14ac:dyDescent="0.15">
      <c r="A23" s="31">
        <v>204</v>
      </c>
      <c r="B23" s="103" t="s">
        <v>322</v>
      </c>
      <c r="C23" s="104"/>
      <c r="D23" s="104"/>
      <c r="E23" s="105"/>
      <c r="F23" s="31">
        <v>229</v>
      </c>
      <c r="G23" s="187" t="s">
        <v>594</v>
      </c>
      <c r="H23" s="188"/>
      <c r="I23" s="189"/>
    </row>
    <row r="24" spans="1:10" ht="30.75" customHeight="1" x14ac:dyDescent="0.15">
      <c r="A24" s="31">
        <v>205</v>
      </c>
      <c r="B24" s="103" t="s">
        <v>323</v>
      </c>
      <c r="C24" s="104"/>
      <c r="D24" s="104"/>
      <c r="E24" s="105"/>
      <c r="F24" s="31">
        <v>230</v>
      </c>
      <c r="G24" s="187" t="s">
        <v>579</v>
      </c>
      <c r="H24" s="188"/>
      <c r="I24" s="189"/>
    </row>
    <row r="25" spans="1:10" ht="30.75" customHeight="1" x14ac:dyDescent="0.15">
      <c r="A25" s="31">
        <v>206</v>
      </c>
      <c r="B25" s="103" t="s">
        <v>324</v>
      </c>
      <c r="C25" s="104"/>
      <c r="D25" s="104"/>
      <c r="E25" s="105"/>
      <c r="F25" s="31">
        <v>231</v>
      </c>
      <c r="G25" s="187" t="s">
        <v>578</v>
      </c>
      <c r="H25" s="188"/>
      <c r="I25" s="189"/>
    </row>
    <row r="26" spans="1:10" ht="30.75" customHeight="1" x14ac:dyDescent="0.15">
      <c r="A26" s="31">
        <v>207</v>
      </c>
      <c r="B26" s="103" t="s">
        <v>325</v>
      </c>
      <c r="C26" s="104"/>
      <c r="D26" s="104"/>
      <c r="E26" s="105"/>
      <c r="F26" s="31">
        <v>232</v>
      </c>
      <c r="G26" s="187" t="s">
        <v>577</v>
      </c>
      <c r="H26" s="188"/>
      <c r="I26" s="189"/>
    </row>
    <row r="27" spans="1:10" ht="30" customHeight="1" x14ac:dyDescent="0.15">
      <c r="A27" s="31">
        <v>208</v>
      </c>
      <c r="B27" s="103" t="s">
        <v>326</v>
      </c>
      <c r="C27" s="104"/>
      <c r="D27" s="104"/>
      <c r="E27" s="105"/>
      <c r="F27" s="31">
        <v>233</v>
      </c>
      <c r="G27" s="187" t="s">
        <v>576</v>
      </c>
      <c r="H27" s="188"/>
      <c r="I27" s="189"/>
    </row>
    <row r="28" spans="1:10" ht="35.25" customHeight="1" x14ac:dyDescent="0.15">
      <c r="A28" s="31">
        <v>209</v>
      </c>
      <c r="B28" s="103" t="s">
        <v>327</v>
      </c>
      <c r="C28" s="104"/>
      <c r="D28" s="104"/>
      <c r="E28" s="105"/>
      <c r="F28" s="31">
        <v>234</v>
      </c>
      <c r="G28" s="187" t="s">
        <v>574</v>
      </c>
      <c r="H28" s="188"/>
      <c r="I28" s="189"/>
    </row>
    <row r="29" spans="1:10" ht="30" customHeight="1" x14ac:dyDescent="0.15">
      <c r="A29" s="31">
        <v>210</v>
      </c>
      <c r="B29" s="103" t="s">
        <v>328</v>
      </c>
      <c r="C29" s="104"/>
      <c r="D29" s="104"/>
      <c r="E29" s="105"/>
      <c r="F29" s="31">
        <v>235</v>
      </c>
      <c r="G29" s="187" t="s">
        <v>592</v>
      </c>
      <c r="H29" s="188"/>
      <c r="I29" s="189"/>
    </row>
    <row r="30" spans="1:10" ht="18.75" customHeight="1" x14ac:dyDescent="0.15">
      <c r="A30" s="31">
        <v>211</v>
      </c>
      <c r="B30" s="103" t="s">
        <v>329</v>
      </c>
      <c r="C30" s="104"/>
      <c r="D30" s="104"/>
      <c r="E30" s="105"/>
      <c r="F30" s="31">
        <v>236</v>
      </c>
      <c r="G30" s="103" t="s">
        <v>336</v>
      </c>
      <c r="H30" s="125"/>
      <c r="I30" s="126"/>
    </row>
    <row r="31" spans="1:10" ht="18.75" customHeight="1" x14ac:dyDescent="0.15">
      <c r="A31" s="31">
        <v>212</v>
      </c>
      <c r="B31" s="190" t="s">
        <v>591</v>
      </c>
      <c r="C31" s="191"/>
      <c r="D31" s="191"/>
      <c r="E31" s="192"/>
      <c r="F31" s="31">
        <v>237</v>
      </c>
      <c r="G31" s="103" t="s">
        <v>337</v>
      </c>
      <c r="H31" s="125"/>
      <c r="I31" s="126"/>
      <c r="J31" s="140"/>
    </row>
    <row r="32" spans="1:10" ht="30" customHeight="1" x14ac:dyDescent="0.15">
      <c r="A32" s="31">
        <v>213</v>
      </c>
      <c r="B32" s="187" t="s">
        <v>595</v>
      </c>
      <c r="C32" s="188"/>
      <c r="D32" s="188"/>
      <c r="E32" s="189"/>
      <c r="F32" s="31">
        <v>238</v>
      </c>
      <c r="G32" s="187" t="s">
        <v>575</v>
      </c>
      <c r="H32" s="188"/>
      <c r="I32" s="189"/>
      <c r="J32" s="140"/>
    </row>
    <row r="33" spans="1:10" ht="30" customHeight="1" x14ac:dyDescent="0.15">
      <c r="A33" s="31">
        <v>214</v>
      </c>
      <c r="B33" s="187" t="s">
        <v>572</v>
      </c>
      <c r="C33" s="188"/>
      <c r="D33" s="188"/>
      <c r="E33" s="189"/>
      <c r="F33" s="31">
        <v>239</v>
      </c>
      <c r="G33" s="103" t="s">
        <v>338</v>
      </c>
      <c r="H33" s="125"/>
      <c r="I33" s="126"/>
      <c r="J33" s="140"/>
    </row>
    <row r="34" spans="1:10" ht="18.75" customHeight="1" x14ac:dyDescent="0.15">
      <c r="A34" s="31">
        <v>215</v>
      </c>
      <c r="B34" s="103" t="s">
        <v>330</v>
      </c>
      <c r="C34" s="104"/>
      <c r="D34" s="104"/>
      <c r="E34" s="105"/>
      <c r="F34" s="31">
        <v>240</v>
      </c>
      <c r="G34" s="103" t="s">
        <v>339</v>
      </c>
      <c r="H34" s="125"/>
      <c r="I34" s="126"/>
      <c r="J34" s="140"/>
    </row>
    <row r="35" spans="1:10" ht="18.75" customHeight="1" x14ac:dyDescent="0.15">
      <c r="A35" s="31">
        <v>216</v>
      </c>
      <c r="B35" s="103" t="s">
        <v>331</v>
      </c>
      <c r="C35" s="104"/>
      <c r="D35" s="104"/>
      <c r="E35" s="105"/>
      <c r="F35" s="31">
        <v>241</v>
      </c>
      <c r="G35" s="103" t="s">
        <v>340</v>
      </c>
      <c r="H35" s="125"/>
      <c r="I35" s="126"/>
      <c r="J35" s="140"/>
    </row>
    <row r="36" spans="1:10" ht="30" customHeight="1" x14ac:dyDescent="0.15">
      <c r="A36" s="31">
        <v>217</v>
      </c>
      <c r="B36" s="103" t="s">
        <v>573</v>
      </c>
      <c r="C36" s="125"/>
      <c r="D36" s="126"/>
      <c r="E36" s="105"/>
      <c r="F36" s="31">
        <v>242</v>
      </c>
      <c r="G36" s="187" t="s">
        <v>581</v>
      </c>
      <c r="H36" s="188"/>
      <c r="I36" s="189"/>
      <c r="J36" s="141"/>
    </row>
    <row r="37" spans="1:10" ht="18.75" customHeight="1" x14ac:dyDescent="0.15">
      <c r="A37" s="31">
        <v>218</v>
      </c>
      <c r="B37" s="103" t="s">
        <v>485</v>
      </c>
      <c r="C37" s="125"/>
      <c r="D37" s="125"/>
      <c r="E37" s="105"/>
      <c r="F37" s="31">
        <v>243</v>
      </c>
      <c r="G37" s="103" t="s">
        <v>341</v>
      </c>
      <c r="H37" s="104"/>
      <c r="I37" s="126"/>
      <c r="J37" s="142"/>
    </row>
    <row r="38" spans="1:10" ht="18.75" customHeight="1" x14ac:dyDescent="0.15">
      <c r="A38" s="31">
        <v>219</v>
      </c>
      <c r="B38" s="103" t="s">
        <v>486</v>
      </c>
      <c r="C38" s="125"/>
      <c r="D38" s="125"/>
      <c r="E38" s="105"/>
      <c r="F38" s="31">
        <v>244</v>
      </c>
      <c r="G38" s="103" t="s">
        <v>342</v>
      </c>
      <c r="H38" s="104"/>
      <c r="I38" s="126"/>
      <c r="J38" s="142"/>
    </row>
    <row r="39" spans="1:10" ht="18.75" customHeight="1" x14ac:dyDescent="0.15">
      <c r="A39" s="31">
        <v>220</v>
      </c>
      <c r="B39" s="103" t="s">
        <v>487</v>
      </c>
      <c r="C39" s="125"/>
      <c r="D39" s="125"/>
      <c r="E39" s="105"/>
      <c r="F39" s="31">
        <v>245</v>
      </c>
      <c r="G39" s="103" t="s">
        <v>343</v>
      </c>
      <c r="H39" s="104"/>
      <c r="I39" s="126"/>
      <c r="J39" s="142"/>
    </row>
    <row r="40" spans="1:10" ht="18.75" customHeight="1" x14ac:dyDescent="0.15">
      <c r="A40" s="31">
        <v>221</v>
      </c>
      <c r="B40" s="103" t="s">
        <v>488</v>
      </c>
      <c r="C40" s="125"/>
      <c r="D40" s="125"/>
      <c r="E40" s="126"/>
      <c r="F40" s="31">
        <v>246</v>
      </c>
      <c r="G40" s="103" t="s">
        <v>344</v>
      </c>
      <c r="H40" s="104"/>
      <c r="I40" s="126"/>
      <c r="J40" s="142"/>
    </row>
    <row r="41" spans="1:10" ht="18.75" customHeight="1" x14ac:dyDescent="0.15">
      <c r="A41" s="31">
        <v>222</v>
      </c>
      <c r="B41" s="103" t="s">
        <v>489</v>
      </c>
      <c r="C41" s="125"/>
      <c r="D41" s="125"/>
      <c r="E41" s="139"/>
      <c r="F41" s="31">
        <v>247</v>
      </c>
      <c r="G41" s="103" t="s">
        <v>345</v>
      </c>
      <c r="H41" s="104"/>
      <c r="I41" s="126"/>
      <c r="J41" s="142"/>
    </row>
    <row r="42" spans="1:10" ht="18.75" customHeight="1" x14ac:dyDescent="0.15">
      <c r="A42" s="31">
        <v>223</v>
      </c>
      <c r="B42" s="103" t="s">
        <v>491</v>
      </c>
      <c r="C42" s="125"/>
      <c r="D42" s="125"/>
      <c r="E42" s="139"/>
      <c r="F42" s="31">
        <v>248</v>
      </c>
      <c r="G42" s="103" t="s">
        <v>346</v>
      </c>
      <c r="H42" s="104"/>
      <c r="I42" s="126"/>
      <c r="J42" s="142"/>
    </row>
    <row r="43" spans="1:10" ht="27.75" customHeight="1" x14ac:dyDescent="0.15">
      <c r="A43" s="31">
        <v>224</v>
      </c>
      <c r="B43" s="187" t="s">
        <v>593</v>
      </c>
      <c r="C43" s="188"/>
      <c r="D43" s="188"/>
      <c r="E43" s="189"/>
      <c r="F43" s="31">
        <v>249</v>
      </c>
      <c r="G43" s="187" t="s">
        <v>587</v>
      </c>
      <c r="H43" s="188"/>
      <c r="I43" s="189"/>
      <c r="J43" s="141"/>
    </row>
    <row r="44" spans="1:10" ht="27.75" customHeight="1" x14ac:dyDescent="0.15">
      <c r="A44" s="31">
        <v>225</v>
      </c>
      <c r="B44" s="103" t="s">
        <v>332</v>
      </c>
      <c r="C44" s="125"/>
      <c r="D44" s="125"/>
      <c r="E44" s="105"/>
      <c r="F44" s="31">
        <v>250</v>
      </c>
      <c r="G44" s="187" t="s">
        <v>582</v>
      </c>
      <c r="H44" s="188"/>
      <c r="I44" s="189"/>
      <c r="J44" s="141"/>
    </row>
    <row r="45" spans="1:10" ht="14.25" x14ac:dyDescent="0.15">
      <c r="A45" s="113" t="s">
        <v>599</v>
      </c>
      <c r="J45" s="114"/>
    </row>
    <row r="46" spans="1:10" ht="18.75" customHeight="1" x14ac:dyDescent="0.15">
      <c r="J46" s="114"/>
    </row>
  </sheetData>
  <mergeCells count="22">
    <mergeCell ref="H2:I2"/>
    <mergeCell ref="A4:I4"/>
    <mergeCell ref="E6:I6"/>
    <mergeCell ref="B9:I16"/>
    <mergeCell ref="A19:E19"/>
    <mergeCell ref="F19:I19"/>
    <mergeCell ref="B31:E31"/>
    <mergeCell ref="B32:E32"/>
    <mergeCell ref="B33:E33"/>
    <mergeCell ref="G28:I28"/>
    <mergeCell ref="B43:E43"/>
    <mergeCell ref="G29:I29"/>
    <mergeCell ref="G36:I36"/>
    <mergeCell ref="G32:I32"/>
    <mergeCell ref="G43:I43"/>
    <mergeCell ref="G44:I44"/>
    <mergeCell ref="G20:I20"/>
    <mergeCell ref="G23:I23"/>
    <mergeCell ref="G24:I24"/>
    <mergeCell ref="G25:I25"/>
    <mergeCell ref="G26:I26"/>
    <mergeCell ref="G27:I27"/>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19685039370078741"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45"/>
  <sheetViews>
    <sheetView showZeros="0" view="pageBreakPreview" topLeftCell="A10" zoomScale="85" zoomScaleNormal="85" zoomScaleSheetLayoutView="85" workbookViewId="0">
      <selection activeCell="M26" sqref="M26"/>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2" width="9" style="9"/>
    <col min="13" max="13" width="37.5" style="9" customWidth="1"/>
    <col min="14" max="16384" width="9" style="9"/>
  </cols>
  <sheetData>
    <row r="1" spans="1:9" ht="18.75" customHeight="1" x14ac:dyDescent="0.15">
      <c r="I1" s="86" t="s">
        <v>532</v>
      </c>
    </row>
    <row r="2" spans="1:9" ht="18.75" customHeight="1" x14ac:dyDescent="0.15">
      <c r="G2" s="21" t="s">
        <v>32</v>
      </c>
      <c r="H2" s="184" t="s">
        <v>349</v>
      </c>
      <c r="I2" s="184"/>
    </row>
    <row r="3" spans="1:9" ht="7.5" customHeight="1" x14ac:dyDescent="0.15"/>
    <row r="4" spans="1:9" ht="18.75" customHeight="1" x14ac:dyDescent="0.15">
      <c r="A4" s="164" t="s">
        <v>84</v>
      </c>
      <c r="B4" s="164"/>
      <c r="C4" s="164"/>
      <c r="D4" s="164"/>
      <c r="E4" s="164"/>
      <c r="F4" s="164"/>
      <c r="G4" s="164"/>
      <c r="H4" s="164"/>
      <c r="I4" s="164"/>
    </row>
    <row r="5" spans="1:9" ht="7.5" customHeight="1" x14ac:dyDescent="0.15">
      <c r="C5" s="87"/>
      <c r="D5" s="87"/>
      <c r="E5" s="87"/>
      <c r="F5" s="87"/>
      <c r="G5" s="87"/>
      <c r="H5" s="87"/>
      <c r="I5" s="87"/>
    </row>
    <row r="6" spans="1:9" ht="18.75" customHeight="1" x14ac:dyDescent="0.15">
      <c r="A6" s="9" t="s">
        <v>7</v>
      </c>
      <c r="B6" s="9" t="s">
        <v>97</v>
      </c>
      <c r="C6" s="87"/>
      <c r="D6" s="87"/>
      <c r="E6" s="156" t="s">
        <v>160</v>
      </c>
      <c r="F6" s="157"/>
      <c r="G6" s="157"/>
      <c r="H6" s="157"/>
      <c r="I6" s="158"/>
    </row>
    <row r="7" spans="1:9" ht="7.5" customHeight="1" x14ac:dyDescent="0.15">
      <c r="C7" s="87"/>
      <c r="D7" s="87"/>
      <c r="F7" s="85"/>
      <c r="G7" s="85"/>
      <c r="H7" s="85"/>
      <c r="I7" s="85"/>
    </row>
    <row r="8" spans="1:9" ht="18.75" customHeight="1" x14ac:dyDescent="0.15">
      <c r="A8" s="9" t="s">
        <v>12</v>
      </c>
      <c r="B8" s="9" t="s">
        <v>98</v>
      </c>
      <c r="C8" s="87"/>
      <c r="D8" s="87"/>
      <c r="E8" s="87"/>
      <c r="F8" s="87"/>
      <c r="G8" s="87"/>
      <c r="H8" s="87"/>
      <c r="I8" s="87"/>
    </row>
    <row r="9" spans="1:9" ht="18.75" customHeight="1" x14ac:dyDescent="0.15">
      <c r="B9" s="175"/>
      <c r="C9" s="176"/>
      <c r="D9" s="176"/>
      <c r="E9" s="176"/>
      <c r="F9" s="176"/>
      <c r="G9" s="176"/>
      <c r="H9" s="176"/>
      <c r="I9" s="177"/>
    </row>
    <row r="10" spans="1:9" ht="14.25" customHeight="1" x14ac:dyDescent="0.15">
      <c r="B10" s="178"/>
      <c r="C10" s="179"/>
      <c r="D10" s="179"/>
      <c r="E10" s="179"/>
      <c r="F10" s="179"/>
      <c r="G10" s="179"/>
      <c r="H10" s="179"/>
      <c r="I10" s="180"/>
    </row>
    <row r="11" spans="1:9" ht="14.25" customHeight="1" x14ac:dyDescent="0.15">
      <c r="B11" s="178"/>
      <c r="C11" s="179"/>
      <c r="D11" s="179"/>
      <c r="E11" s="179"/>
      <c r="F11" s="179"/>
      <c r="G11" s="179"/>
      <c r="H11" s="179"/>
      <c r="I11" s="180"/>
    </row>
    <row r="12" spans="1:9" ht="14.25" customHeight="1" x14ac:dyDescent="0.15">
      <c r="B12" s="178"/>
      <c r="C12" s="179"/>
      <c r="D12" s="179"/>
      <c r="E12" s="179"/>
      <c r="F12" s="179"/>
      <c r="G12" s="179"/>
      <c r="H12" s="179"/>
      <c r="I12" s="180"/>
    </row>
    <row r="13" spans="1:9" ht="14.25" customHeight="1" x14ac:dyDescent="0.15">
      <c r="B13" s="178"/>
      <c r="C13" s="179"/>
      <c r="D13" s="179"/>
      <c r="E13" s="179"/>
      <c r="F13" s="179"/>
      <c r="G13" s="179"/>
      <c r="H13" s="179"/>
      <c r="I13" s="180"/>
    </row>
    <row r="14" spans="1:9" ht="14.25" customHeight="1" x14ac:dyDescent="0.15">
      <c r="B14" s="178"/>
      <c r="C14" s="179"/>
      <c r="D14" s="179"/>
      <c r="E14" s="179"/>
      <c r="F14" s="179"/>
      <c r="G14" s="179"/>
      <c r="H14" s="179"/>
      <c r="I14" s="180"/>
    </row>
    <row r="15" spans="1:9" ht="14.25" customHeight="1" x14ac:dyDescent="0.15">
      <c r="B15" s="178"/>
      <c r="C15" s="179"/>
      <c r="D15" s="179"/>
      <c r="E15" s="179"/>
      <c r="F15" s="179"/>
      <c r="G15" s="179"/>
      <c r="H15" s="179"/>
      <c r="I15" s="180"/>
    </row>
    <row r="16" spans="1:9" ht="14.25" x14ac:dyDescent="0.15">
      <c r="B16" s="181"/>
      <c r="C16" s="182"/>
      <c r="D16" s="182"/>
      <c r="E16" s="182"/>
      <c r="F16" s="182"/>
      <c r="G16" s="182"/>
      <c r="H16" s="182"/>
      <c r="I16" s="183"/>
    </row>
    <row r="17" spans="1:10" ht="14.25" x14ac:dyDescent="0.15">
      <c r="C17" s="87"/>
      <c r="D17" s="87"/>
      <c r="E17" s="87"/>
      <c r="F17" s="87"/>
      <c r="G17" s="87"/>
      <c r="H17" s="87"/>
      <c r="I17" s="87"/>
    </row>
    <row r="18" spans="1:10" ht="18.75" customHeight="1" x14ac:dyDescent="0.15">
      <c r="A18" s="87" t="s">
        <v>13</v>
      </c>
      <c r="B18" s="11" t="s">
        <v>99</v>
      </c>
      <c r="C18" s="11"/>
      <c r="D18" s="11"/>
      <c r="E18" s="11"/>
      <c r="F18" s="87"/>
      <c r="G18" s="87"/>
      <c r="H18" s="87"/>
      <c r="I18" s="87"/>
      <c r="J18" s="87"/>
    </row>
    <row r="19" spans="1:10" ht="18.75" customHeight="1" x14ac:dyDescent="0.15">
      <c r="A19" s="185" t="s">
        <v>99</v>
      </c>
      <c r="B19" s="185"/>
      <c r="C19" s="185"/>
      <c r="D19" s="185"/>
      <c r="E19" s="185"/>
      <c r="F19" s="186" t="s">
        <v>99</v>
      </c>
      <c r="G19" s="186"/>
      <c r="H19" s="186"/>
      <c r="I19" s="186"/>
    </row>
    <row r="20" spans="1:10" ht="30" customHeight="1" x14ac:dyDescent="0.15">
      <c r="A20" s="31">
        <v>251</v>
      </c>
      <c r="B20" s="187" t="s">
        <v>583</v>
      </c>
      <c r="C20" s="188"/>
      <c r="D20" s="188"/>
      <c r="E20" s="189"/>
      <c r="F20" s="31"/>
      <c r="G20" s="165"/>
      <c r="H20" s="166"/>
      <c r="I20" s="167"/>
    </row>
    <row r="21" spans="1:10" ht="30" customHeight="1" x14ac:dyDescent="0.15">
      <c r="A21" s="31">
        <v>252</v>
      </c>
      <c r="B21" s="187" t="s">
        <v>584</v>
      </c>
      <c r="C21" s="188"/>
      <c r="D21" s="188"/>
      <c r="E21" s="189"/>
      <c r="F21" s="31"/>
      <c r="G21" s="165"/>
      <c r="H21" s="166"/>
      <c r="I21" s="167"/>
    </row>
    <row r="22" spans="1:10" ht="30" customHeight="1" x14ac:dyDescent="0.15">
      <c r="A22" s="31">
        <v>253</v>
      </c>
      <c r="B22" s="187" t="s">
        <v>585</v>
      </c>
      <c r="C22" s="188"/>
      <c r="D22" s="188"/>
      <c r="E22" s="189"/>
      <c r="F22" s="31"/>
      <c r="G22" s="165"/>
      <c r="H22" s="166"/>
      <c r="I22" s="167"/>
    </row>
    <row r="23" spans="1:10" ht="30" customHeight="1" x14ac:dyDescent="0.15">
      <c r="A23" s="31">
        <v>254</v>
      </c>
      <c r="B23" s="187" t="s">
        <v>586</v>
      </c>
      <c r="C23" s="188"/>
      <c r="D23" s="188"/>
      <c r="E23" s="189"/>
      <c r="F23" s="31"/>
      <c r="G23" s="165">
        <f t="shared" ref="G23:G31" si="0">M275</f>
        <v>0</v>
      </c>
      <c r="H23" s="166"/>
      <c r="I23" s="167"/>
    </row>
    <row r="24" spans="1:10" ht="18.75" customHeight="1" x14ac:dyDescent="0.15">
      <c r="A24" s="31">
        <v>255</v>
      </c>
      <c r="B24" s="103" t="s">
        <v>588</v>
      </c>
      <c r="C24" s="104"/>
      <c r="D24" s="125"/>
      <c r="E24" s="126"/>
      <c r="F24" s="31"/>
      <c r="G24" s="165">
        <f t="shared" si="0"/>
        <v>0</v>
      </c>
      <c r="H24" s="166"/>
      <c r="I24" s="167"/>
    </row>
    <row r="25" spans="1:10" ht="18.75" customHeight="1" x14ac:dyDescent="0.15">
      <c r="A25" s="31">
        <v>256</v>
      </c>
      <c r="B25" s="103" t="s">
        <v>589</v>
      </c>
      <c r="C25" s="104"/>
      <c r="D25" s="125"/>
      <c r="E25" s="126"/>
      <c r="F25" s="31"/>
      <c r="G25" s="165">
        <f t="shared" si="0"/>
        <v>0</v>
      </c>
      <c r="H25" s="166"/>
      <c r="I25" s="167"/>
    </row>
    <row r="26" spans="1:10" ht="18.75" customHeight="1" x14ac:dyDescent="0.15">
      <c r="A26" s="31">
        <v>257</v>
      </c>
      <c r="B26" s="103" t="s">
        <v>347</v>
      </c>
      <c r="C26" s="104"/>
      <c r="D26" s="125"/>
      <c r="E26" s="126"/>
      <c r="F26" s="31"/>
      <c r="G26" s="165">
        <f t="shared" si="0"/>
        <v>0</v>
      </c>
      <c r="H26" s="166"/>
      <c r="I26" s="167"/>
    </row>
    <row r="27" spans="1:10" ht="18.75" customHeight="1" x14ac:dyDescent="0.15">
      <c r="A27" s="31">
        <v>258</v>
      </c>
      <c r="B27" s="103" t="s">
        <v>590</v>
      </c>
      <c r="C27" s="104"/>
      <c r="D27" s="138"/>
      <c r="E27" s="139"/>
      <c r="F27" s="31"/>
      <c r="G27" s="165">
        <f t="shared" si="0"/>
        <v>0</v>
      </c>
      <c r="H27" s="166"/>
      <c r="I27" s="167"/>
    </row>
    <row r="28" spans="1:10" ht="18.75" customHeight="1" x14ac:dyDescent="0.15">
      <c r="A28" s="31">
        <v>259</v>
      </c>
      <c r="B28" s="103" t="s">
        <v>493</v>
      </c>
      <c r="C28" s="104"/>
      <c r="D28" s="138"/>
      <c r="E28" s="139"/>
      <c r="F28" s="31"/>
      <c r="G28" s="165">
        <f t="shared" si="0"/>
        <v>0</v>
      </c>
      <c r="H28" s="166"/>
      <c r="I28" s="167"/>
    </row>
    <row r="29" spans="1:10" ht="18.75" customHeight="1" x14ac:dyDescent="0.15">
      <c r="A29" s="31">
        <v>260</v>
      </c>
      <c r="B29" s="103" t="s">
        <v>494</v>
      </c>
      <c r="C29" s="104"/>
      <c r="D29" s="138"/>
      <c r="E29" s="139"/>
      <c r="F29" s="31"/>
      <c r="G29" s="165">
        <f t="shared" si="0"/>
        <v>0</v>
      </c>
      <c r="H29" s="166"/>
      <c r="I29" s="167"/>
    </row>
    <row r="30" spans="1:10" ht="18.75" customHeight="1" x14ac:dyDescent="0.15">
      <c r="A30" s="31">
        <v>261</v>
      </c>
      <c r="B30" s="103" t="s">
        <v>495</v>
      </c>
      <c r="C30" s="104"/>
      <c r="D30" s="138"/>
      <c r="E30" s="139"/>
      <c r="F30" s="31"/>
      <c r="G30" s="165">
        <f t="shared" si="0"/>
        <v>0</v>
      </c>
      <c r="H30" s="166"/>
      <c r="I30" s="167"/>
    </row>
    <row r="31" spans="1:10" ht="18.75" customHeight="1" x14ac:dyDescent="0.15">
      <c r="A31" s="31">
        <v>262</v>
      </c>
      <c r="B31" s="103" t="s">
        <v>496</v>
      </c>
      <c r="C31" s="104"/>
      <c r="D31" s="138"/>
      <c r="E31" s="139"/>
      <c r="F31" s="31"/>
      <c r="G31" s="165">
        <f t="shared" si="0"/>
        <v>0</v>
      </c>
      <c r="H31" s="166"/>
      <c r="I31" s="167"/>
    </row>
    <row r="32" spans="1:10" ht="18.75" customHeight="1" x14ac:dyDescent="0.15">
      <c r="A32" s="31"/>
      <c r="B32" s="103"/>
      <c r="C32" s="104"/>
      <c r="D32" s="138"/>
      <c r="E32" s="139"/>
      <c r="F32" s="31"/>
      <c r="G32" s="165">
        <f t="shared" ref="G32:G44" si="1">M275</f>
        <v>0</v>
      </c>
      <c r="H32" s="166"/>
      <c r="I32" s="167"/>
    </row>
    <row r="33" spans="1:9" ht="18.75" customHeight="1" x14ac:dyDescent="0.15">
      <c r="A33" s="31"/>
      <c r="B33" s="103"/>
      <c r="C33" s="104"/>
      <c r="D33" s="125"/>
      <c r="E33" s="126"/>
      <c r="F33" s="31"/>
      <c r="G33" s="165">
        <f t="shared" si="1"/>
        <v>0</v>
      </c>
      <c r="H33" s="166"/>
      <c r="I33" s="167"/>
    </row>
    <row r="34" spans="1:9" ht="18.75" customHeight="1" x14ac:dyDescent="0.15">
      <c r="A34" s="31"/>
      <c r="B34" s="103"/>
      <c r="C34" s="104"/>
      <c r="D34" s="125"/>
      <c r="E34" s="126"/>
      <c r="F34" s="31"/>
      <c r="G34" s="165">
        <f t="shared" si="1"/>
        <v>0</v>
      </c>
      <c r="H34" s="166"/>
      <c r="I34" s="167"/>
    </row>
    <row r="35" spans="1:9" ht="18.75" customHeight="1" x14ac:dyDescent="0.15">
      <c r="A35" s="31"/>
      <c r="B35" s="103"/>
      <c r="C35" s="104"/>
      <c r="D35" s="125"/>
      <c r="E35" s="126"/>
      <c r="F35" s="31"/>
      <c r="G35" s="165">
        <f t="shared" si="1"/>
        <v>0</v>
      </c>
      <c r="H35" s="166"/>
      <c r="I35" s="167"/>
    </row>
    <row r="36" spans="1:9" ht="18.75" customHeight="1" x14ac:dyDescent="0.15">
      <c r="A36" s="31"/>
      <c r="B36" s="103"/>
      <c r="C36" s="104"/>
      <c r="D36" s="125"/>
      <c r="E36" s="126"/>
      <c r="F36" s="31"/>
      <c r="G36" s="165">
        <f t="shared" si="1"/>
        <v>0</v>
      </c>
      <c r="H36" s="166"/>
      <c r="I36" s="167"/>
    </row>
    <row r="37" spans="1:9" ht="18.75" customHeight="1" x14ac:dyDescent="0.15">
      <c r="A37" s="31"/>
      <c r="B37" s="103"/>
      <c r="C37" s="104"/>
      <c r="D37" s="125"/>
      <c r="E37" s="126"/>
      <c r="F37" s="31"/>
      <c r="G37" s="165">
        <f t="shared" si="1"/>
        <v>0</v>
      </c>
      <c r="H37" s="166"/>
      <c r="I37" s="167"/>
    </row>
    <row r="38" spans="1:9" ht="18.75" customHeight="1" x14ac:dyDescent="0.15">
      <c r="A38" s="31"/>
      <c r="B38" s="103"/>
      <c r="C38" s="104"/>
      <c r="D38" s="125"/>
      <c r="E38" s="126"/>
      <c r="F38" s="31"/>
      <c r="G38" s="165">
        <f t="shared" si="1"/>
        <v>0</v>
      </c>
      <c r="H38" s="166"/>
      <c r="I38" s="167"/>
    </row>
    <row r="39" spans="1:9" ht="18.75" customHeight="1" x14ac:dyDescent="0.15">
      <c r="A39" s="31"/>
      <c r="B39" s="103"/>
      <c r="C39" s="104"/>
      <c r="D39" s="125"/>
      <c r="E39" s="126"/>
      <c r="F39" s="31"/>
      <c r="G39" s="165">
        <f t="shared" si="1"/>
        <v>0</v>
      </c>
      <c r="H39" s="166"/>
      <c r="I39" s="167"/>
    </row>
    <row r="40" spans="1:9" ht="18.75" customHeight="1" x14ac:dyDescent="0.15">
      <c r="A40" s="31"/>
      <c r="B40" s="103"/>
      <c r="C40" s="104"/>
      <c r="D40" s="125"/>
      <c r="E40" s="126"/>
      <c r="F40" s="31"/>
      <c r="G40" s="165">
        <f t="shared" si="1"/>
        <v>0</v>
      </c>
      <c r="H40" s="166"/>
      <c r="I40" s="167"/>
    </row>
    <row r="41" spans="1:9" ht="18.75" customHeight="1" x14ac:dyDescent="0.15">
      <c r="A41" s="31"/>
      <c r="B41" s="103"/>
      <c r="C41" s="104"/>
      <c r="D41" s="125"/>
      <c r="E41" s="126"/>
      <c r="F41" s="31"/>
      <c r="G41" s="165">
        <f t="shared" si="1"/>
        <v>0</v>
      </c>
      <c r="H41" s="166"/>
      <c r="I41" s="167"/>
    </row>
    <row r="42" spans="1:9" ht="18.75" customHeight="1" x14ac:dyDescent="0.15">
      <c r="A42" s="31"/>
      <c r="B42" s="103"/>
      <c r="C42" s="104"/>
      <c r="D42" s="125"/>
      <c r="E42" s="126"/>
      <c r="F42" s="31"/>
      <c r="G42" s="165">
        <f t="shared" si="1"/>
        <v>0</v>
      </c>
      <c r="H42" s="166"/>
      <c r="I42" s="167"/>
    </row>
    <row r="43" spans="1:9" ht="18.75" customHeight="1" x14ac:dyDescent="0.15">
      <c r="A43" s="31"/>
      <c r="B43" s="103"/>
      <c r="C43" s="104"/>
      <c r="D43" s="125"/>
      <c r="E43" s="126"/>
      <c r="F43" s="31"/>
      <c r="G43" s="165">
        <f t="shared" si="1"/>
        <v>0</v>
      </c>
      <c r="H43" s="166"/>
      <c r="I43" s="167"/>
    </row>
    <row r="44" spans="1:9" ht="18.75" customHeight="1" x14ac:dyDescent="0.15">
      <c r="A44" s="31"/>
      <c r="B44" s="103"/>
      <c r="C44" s="104"/>
      <c r="D44" s="125"/>
      <c r="E44" s="126"/>
      <c r="F44" s="31"/>
      <c r="G44" s="165">
        <f t="shared" si="1"/>
        <v>0</v>
      </c>
      <c r="H44" s="166"/>
      <c r="I44" s="167"/>
    </row>
    <row r="45" spans="1:9" ht="14.25" x14ac:dyDescent="0.15">
      <c r="A45" s="113" t="s">
        <v>599</v>
      </c>
    </row>
  </sheetData>
  <mergeCells count="35">
    <mergeCell ref="G44:I44"/>
    <mergeCell ref="G41:I41"/>
    <mergeCell ref="G42:I42"/>
    <mergeCell ref="G43:I43"/>
    <mergeCell ref="G38:I38"/>
    <mergeCell ref="G39:I39"/>
    <mergeCell ref="G40:I40"/>
    <mergeCell ref="G35:I35"/>
    <mergeCell ref="G36:I36"/>
    <mergeCell ref="G37:I37"/>
    <mergeCell ref="G32:I32"/>
    <mergeCell ref="G33:I33"/>
    <mergeCell ref="G34:I34"/>
    <mergeCell ref="G29:I29"/>
    <mergeCell ref="G30:I30"/>
    <mergeCell ref="G31:I31"/>
    <mergeCell ref="G26:I26"/>
    <mergeCell ref="G27:I27"/>
    <mergeCell ref="G28:I28"/>
    <mergeCell ref="G24:I24"/>
    <mergeCell ref="G25:I25"/>
    <mergeCell ref="G20:I20"/>
    <mergeCell ref="G21:I21"/>
    <mergeCell ref="G22:I22"/>
    <mergeCell ref="B20:E20"/>
    <mergeCell ref="B23:E23"/>
    <mergeCell ref="B22:E22"/>
    <mergeCell ref="B21:E21"/>
    <mergeCell ref="H2:I2"/>
    <mergeCell ref="A4:I4"/>
    <mergeCell ref="E6:I6"/>
    <mergeCell ref="B9:I16"/>
    <mergeCell ref="A19:E19"/>
    <mergeCell ref="F19:I19"/>
    <mergeCell ref="G23:I2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F7:I7">
      <formula1>"学部等によって、認定要件は相違する,学部等によって、認定要件は相違しない"</formula1>
    </dataValidation>
  </dataValidations>
  <printOptions horizontalCentered="1"/>
  <pageMargins left="0.78740157480314965" right="0.78740157480314965" top="0.78740157480314965" bottom="0.19685039370078741"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view="pageBreakPreview" zoomScale="85" zoomScaleNormal="85" zoomScaleSheetLayoutView="85" workbookViewId="0">
      <selection activeCell="D31" sqref="D31"/>
    </sheetView>
  </sheetViews>
  <sheetFormatPr defaultColWidth="9" defaultRowHeight="18.75" customHeight="1" x14ac:dyDescent="0.15"/>
  <cols>
    <col min="1" max="1" width="2.5" style="1" customWidth="1"/>
    <col min="2" max="2" width="12.5" style="1" customWidth="1"/>
    <col min="3" max="3" width="21" style="1" customWidth="1"/>
    <col min="4" max="4" width="6.25" style="89" customWidth="1"/>
    <col min="5" max="18" width="6.25" style="1" customWidth="1"/>
    <col min="19" max="16384" width="9" style="1"/>
  </cols>
  <sheetData>
    <row r="1" spans="1:20" ht="18.75" customHeight="1" x14ac:dyDescent="0.15">
      <c r="F1" s="205" t="s">
        <v>70</v>
      </c>
      <c r="G1" s="205"/>
      <c r="H1" s="205"/>
      <c r="I1" s="205"/>
      <c r="J1" s="205"/>
      <c r="K1" s="205"/>
      <c r="L1" s="205"/>
      <c r="M1" s="205"/>
      <c r="N1" s="205"/>
      <c r="O1" s="205"/>
      <c r="P1" s="205"/>
      <c r="Q1" s="205"/>
      <c r="R1" s="205"/>
    </row>
    <row r="2" spans="1:20" ht="18.75" customHeight="1" x14ac:dyDescent="0.15">
      <c r="D2" s="90"/>
      <c r="E2" s="33"/>
      <c r="F2" s="33"/>
      <c r="G2" s="33"/>
      <c r="H2" s="33"/>
      <c r="I2" s="33"/>
      <c r="J2" s="33"/>
      <c r="K2" s="205" t="s">
        <v>62</v>
      </c>
      <c r="L2" s="205"/>
      <c r="M2" s="216" t="s">
        <v>129</v>
      </c>
      <c r="N2" s="216"/>
      <c r="O2" s="33"/>
      <c r="P2" s="33"/>
      <c r="Q2" s="33"/>
      <c r="R2" s="33"/>
    </row>
    <row r="3" spans="1:20" ht="7.5" customHeight="1" x14ac:dyDescent="0.15"/>
    <row r="4" spans="1:20" ht="18.75" customHeight="1" x14ac:dyDescent="0.15">
      <c r="A4" s="215" t="s">
        <v>118</v>
      </c>
      <c r="B4" s="215"/>
      <c r="C4" s="215"/>
      <c r="D4" s="215"/>
      <c r="E4" s="215"/>
      <c r="F4" s="215"/>
      <c r="G4" s="215"/>
      <c r="H4" s="215"/>
      <c r="I4" s="215"/>
      <c r="J4" s="215"/>
      <c r="K4" s="215"/>
      <c r="L4" s="215"/>
      <c r="M4" s="215"/>
      <c r="N4" s="215"/>
      <c r="O4" s="215"/>
      <c r="P4" s="215"/>
      <c r="Q4" s="215"/>
      <c r="R4" s="215"/>
      <c r="S4" s="2"/>
    </row>
    <row r="5" spans="1:20" ht="7.5" customHeight="1" x14ac:dyDescent="0.15">
      <c r="A5" s="32"/>
      <c r="B5" s="32"/>
      <c r="C5" s="32"/>
      <c r="D5" s="91"/>
      <c r="E5" s="32"/>
      <c r="F5" s="32"/>
      <c r="G5" s="32"/>
      <c r="H5" s="32"/>
      <c r="I5" s="32"/>
      <c r="J5" s="32"/>
      <c r="K5" s="32"/>
      <c r="L5" s="32"/>
      <c r="M5" s="32"/>
      <c r="N5" s="32"/>
      <c r="O5" s="32"/>
      <c r="P5" s="32"/>
      <c r="Q5" s="32"/>
      <c r="R5" s="32"/>
    </row>
    <row r="6" spans="1:20" ht="18.75" customHeight="1" x14ac:dyDescent="0.15">
      <c r="B6" s="195" t="s">
        <v>123</v>
      </c>
      <c r="C6" s="196"/>
      <c r="D6" s="206" t="s">
        <v>85</v>
      </c>
      <c r="E6" s="208" t="s">
        <v>112</v>
      </c>
      <c r="F6" s="208"/>
      <c r="G6" s="208" t="s">
        <v>113</v>
      </c>
      <c r="H6" s="208"/>
      <c r="I6" s="209" t="s">
        <v>114</v>
      </c>
      <c r="J6" s="210"/>
      <c r="K6" s="209" t="s">
        <v>115</v>
      </c>
      <c r="L6" s="210"/>
      <c r="M6" s="209" t="s">
        <v>116</v>
      </c>
      <c r="N6" s="210"/>
      <c r="O6" s="209" t="s">
        <v>117</v>
      </c>
      <c r="P6" s="210"/>
      <c r="Q6" s="211" t="s">
        <v>69</v>
      </c>
      <c r="R6" s="213" t="s">
        <v>63</v>
      </c>
      <c r="T6" s="34"/>
    </row>
    <row r="7" spans="1:20" ht="18.75" customHeight="1" x14ac:dyDescent="0.15">
      <c r="B7" s="197"/>
      <c r="C7" s="198"/>
      <c r="D7" s="207"/>
      <c r="E7" s="26" t="s">
        <v>50</v>
      </c>
      <c r="F7" s="28" t="s">
        <v>49</v>
      </c>
      <c r="G7" s="29" t="s">
        <v>50</v>
      </c>
      <c r="H7" s="27" t="s">
        <v>49</v>
      </c>
      <c r="I7" s="26" t="s">
        <v>50</v>
      </c>
      <c r="J7" s="28" t="s">
        <v>49</v>
      </c>
      <c r="K7" s="29" t="s">
        <v>50</v>
      </c>
      <c r="L7" s="27" t="s">
        <v>49</v>
      </c>
      <c r="M7" s="26" t="s">
        <v>50</v>
      </c>
      <c r="N7" s="28" t="s">
        <v>49</v>
      </c>
      <c r="O7" s="29" t="s">
        <v>50</v>
      </c>
      <c r="P7" s="27" t="s">
        <v>49</v>
      </c>
      <c r="Q7" s="212"/>
      <c r="R7" s="214"/>
      <c r="T7" s="34"/>
    </row>
    <row r="8" spans="1:20" ht="18.75" customHeight="1" x14ac:dyDescent="0.15">
      <c r="A8" s="35"/>
      <c r="B8" s="203" t="s">
        <v>549</v>
      </c>
      <c r="C8" s="204"/>
      <c r="D8" s="92">
        <v>709</v>
      </c>
      <c r="E8" s="36">
        <v>179</v>
      </c>
      <c r="F8" s="37">
        <v>0</v>
      </c>
      <c r="G8" s="38">
        <v>0</v>
      </c>
      <c r="H8" s="39">
        <v>0</v>
      </c>
      <c r="I8" s="36">
        <v>0</v>
      </c>
      <c r="J8" s="37">
        <v>0</v>
      </c>
      <c r="K8" s="38">
        <v>0</v>
      </c>
      <c r="L8" s="39">
        <v>0</v>
      </c>
      <c r="M8" s="36">
        <v>0</v>
      </c>
      <c r="N8" s="37">
        <v>0</v>
      </c>
      <c r="O8" s="38">
        <v>0</v>
      </c>
      <c r="P8" s="39">
        <v>0</v>
      </c>
      <c r="Q8" s="40">
        <f>E8+G8+I8+K8+M8+O8</f>
        <v>179</v>
      </c>
      <c r="R8" s="41">
        <f>Q8/D8</f>
        <v>0.25246826516220028</v>
      </c>
    </row>
    <row r="9" spans="1:20" ht="18.75" customHeight="1" x14ac:dyDescent="0.15">
      <c r="A9" s="35"/>
      <c r="B9" s="201" t="s">
        <v>533</v>
      </c>
      <c r="C9" s="202"/>
      <c r="D9" s="93">
        <v>680</v>
      </c>
      <c r="E9" s="42">
        <v>177</v>
      </c>
      <c r="F9" s="43">
        <v>31</v>
      </c>
      <c r="G9" s="44">
        <v>0</v>
      </c>
      <c r="H9" s="45">
        <v>0</v>
      </c>
      <c r="I9" s="42">
        <v>0</v>
      </c>
      <c r="J9" s="43">
        <v>0</v>
      </c>
      <c r="K9" s="44">
        <v>0</v>
      </c>
      <c r="L9" s="45">
        <v>0</v>
      </c>
      <c r="M9" s="42">
        <v>0</v>
      </c>
      <c r="N9" s="43">
        <v>0</v>
      </c>
      <c r="O9" s="44">
        <v>0</v>
      </c>
      <c r="P9" s="45">
        <v>0</v>
      </c>
      <c r="Q9" s="46">
        <f t="shared" ref="Q9:Q16" si="0">E9+G9+I9+K9+M9+O9</f>
        <v>177</v>
      </c>
      <c r="R9" s="41">
        <f t="shared" ref="R9:R16" si="1">Q9/D9</f>
        <v>0.26029411764705884</v>
      </c>
    </row>
    <row r="10" spans="1:20" ht="18.75" customHeight="1" x14ac:dyDescent="0.15">
      <c r="A10" s="35"/>
      <c r="B10" s="201" t="s">
        <v>534</v>
      </c>
      <c r="C10" s="202"/>
      <c r="D10" s="93">
        <v>1430</v>
      </c>
      <c r="E10" s="42">
        <v>342</v>
      </c>
      <c r="F10" s="43">
        <v>23</v>
      </c>
      <c r="G10" s="44">
        <v>0</v>
      </c>
      <c r="H10" s="45">
        <v>0</v>
      </c>
      <c r="I10" s="42">
        <v>0</v>
      </c>
      <c r="J10" s="43">
        <v>0</v>
      </c>
      <c r="K10" s="44">
        <v>0</v>
      </c>
      <c r="L10" s="45">
        <v>0</v>
      </c>
      <c r="M10" s="42">
        <v>0</v>
      </c>
      <c r="N10" s="43">
        <v>0</v>
      </c>
      <c r="O10" s="44">
        <v>0</v>
      </c>
      <c r="P10" s="45">
        <v>0</v>
      </c>
      <c r="Q10" s="46">
        <f t="shared" si="0"/>
        <v>342</v>
      </c>
      <c r="R10" s="41">
        <f t="shared" si="1"/>
        <v>0.23916083916083916</v>
      </c>
    </row>
    <row r="11" spans="1:20" ht="18.75" customHeight="1" x14ac:dyDescent="0.15">
      <c r="A11" s="35"/>
      <c r="B11" s="201" t="s">
        <v>535</v>
      </c>
      <c r="C11" s="202"/>
      <c r="D11" s="93">
        <v>808</v>
      </c>
      <c r="E11" s="42">
        <v>196</v>
      </c>
      <c r="F11" s="43">
        <v>111</v>
      </c>
      <c r="G11" s="44">
        <v>0</v>
      </c>
      <c r="H11" s="45">
        <v>0</v>
      </c>
      <c r="I11" s="42">
        <v>0</v>
      </c>
      <c r="J11" s="43">
        <v>0</v>
      </c>
      <c r="K11" s="44">
        <v>0</v>
      </c>
      <c r="L11" s="45">
        <v>0</v>
      </c>
      <c r="M11" s="42">
        <v>0</v>
      </c>
      <c r="N11" s="43">
        <v>0</v>
      </c>
      <c r="O11" s="44">
        <v>0</v>
      </c>
      <c r="P11" s="45">
        <v>0</v>
      </c>
      <c r="Q11" s="46">
        <f t="shared" si="0"/>
        <v>196</v>
      </c>
      <c r="R11" s="41">
        <f t="shared" si="1"/>
        <v>0.24257425742574257</v>
      </c>
    </row>
    <row r="12" spans="1:20" ht="18.75" customHeight="1" x14ac:dyDescent="0.15">
      <c r="A12" s="35"/>
      <c r="B12" s="199" t="s">
        <v>536</v>
      </c>
      <c r="C12" s="200"/>
      <c r="D12" s="93">
        <v>995</v>
      </c>
      <c r="E12" s="42">
        <v>185</v>
      </c>
      <c r="F12" s="43">
        <v>7</v>
      </c>
      <c r="G12" s="44">
        <v>0</v>
      </c>
      <c r="H12" s="45">
        <v>0</v>
      </c>
      <c r="I12" s="42">
        <v>0</v>
      </c>
      <c r="J12" s="43">
        <v>0</v>
      </c>
      <c r="K12" s="44">
        <v>0</v>
      </c>
      <c r="L12" s="45">
        <v>0</v>
      </c>
      <c r="M12" s="42">
        <v>0</v>
      </c>
      <c r="N12" s="43">
        <v>0</v>
      </c>
      <c r="O12" s="44">
        <v>0</v>
      </c>
      <c r="P12" s="45">
        <v>0</v>
      </c>
      <c r="Q12" s="46">
        <f t="shared" si="0"/>
        <v>185</v>
      </c>
      <c r="R12" s="41">
        <f t="shared" si="1"/>
        <v>0.18592964824120603</v>
      </c>
    </row>
    <row r="13" spans="1:20" ht="18.75" customHeight="1" x14ac:dyDescent="0.15">
      <c r="A13" s="35"/>
      <c r="B13" s="199" t="s">
        <v>538</v>
      </c>
      <c r="C13" s="200"/>
      <c r="D13" s="93">
        <v>530</v>
      </c>
      <c r="E13" s="42">
        <v>109</v>
      </c>
      <c r="F13" s="43">
        <v>1</v>
      </c>
      <c r="G13" s="44">
        <v>0</v>
      </c>
      <c r="H13" s="45">
        <v>0</v>
      </c>
      <c r="I13" s="42">
        <v>0</v>
      </c>
      <c r="J13" s="43">
        <v>0</v>
      </c>
      <c r="K13" s="44">
        <v>0</v>
      </c>
      <c r="L13" s="45">
        <v>0</v>
      </c>
      <c r="M13" s="42">
        <v>0</v>
      </c>
      <c r="N13" s="43">
        <v>0</v>
      </c>
      <c r="O13" s="44">
        <v>0</v>
      </c>
      <c r="P13" s="45">
        <v>0</v>
      </c>
      <c r="Q13" s="46">
        <f t="shared" si="0"/>
        <v>109</v>
      </c>
      <c r="R13" s="41">
        <f t="shared" si="1"/>
        <v>0.20566037735849058</v>
      </c>
    </row>
    <row r="14" spans="1:20" ht="18.75" customHeight="1" x14ac:dyDescent="0.15">
      <c r="A14" s="35"/>
      <c r="B14" s="199" t="s">
        <v>539</v>
      </c>
      <c r="C14" s="200"/>
      <c r="D14" s="93">
        <v>1537</v>
      </c>
      <c r="E14" s="42">
        <v>375</v>
      </c>
      <c r="F14" s="43">
        <v>167</v>
      </c>
      <c r="G14" s="44">
        <v>0</v>
      </c>
      <c r="H14" s="45">
        <v>0</v>
      </c>
      <c r="I14" s="42">
        <v>0</v>
      </c>
      <c r="J14" s="43">
        <v>0</v>
      </c>
      <c r="K14" s="44">
        <v>0</v>
      </c>
      <c r="L14" s="45">
        <v>0</v>
      </c>
      <c r="M14" s="42">
        <v>0</v>
      </c>
      <c r="N14" s="43">
        <v>0</v>
      </c>
      <c r="O14" s="44">
        <v>0</v>
      </c>
      <c r="P14" s="45">
        <v>0</v>
      </c>
      <c r="Q14" s="46">
        <f t="shared" si="0"/>
        <v>375</v>
      </c>
      <c r="R14" s="41">
        <f t="shared" si="1"/>
        <v>0.24398178269355889</v>
      </c>
    </row>
    <row r="15" spans="1:20" ht="18.75" customHeight="1" x14ac:dyDescent="0.15">
      <c r="A15" s="35"/>
      <c r="B15" s="199" t="s">
        <v>537</v>
      </c>
      <c r="C15" s="200"/>
      <c r="D15" s="93">
        <v>445</v>
      </c>
      <c r="E15" s="42">
        <v>112</v>
      </c>
      <c r="F15" s="43">
        <v>40</v>
      </c>
      <c r="G15" s="44">
        <v>0</v>
      </c>
      <c r="H15" s="45">
        <v>0</v>
      </c>
      <c r="I15" s="42">
        <v>0</v>
      </c>
      <c r="J15" s="43">
        <v>0</v>
      </c>
      <c r="K15" s="44">
        <v>0</v>
      </c>
      <c r="L15" s="45">
        <v>0</v>
      </c>
      <c r="M15" s="42">
        <v>0</v>
      </c>
      <c r="N15" s="43">
        <v>0</v>
      </c>
      <c r="O15" s="44">
        <v>0</v>
      </c>
      <c r="P15" s="45">
        <v>0</v>
      </c>
      <c r="Q15" s="46">
        <f t="shared" si="0"/>
        <v>112</v>
      </c>
      <c r="R15" s="41">
        <f t="shared" si="1"/>
        <v>0.25168539325842698</v>
      </c>
    </row>
    <row r="16" spans="1:20" ht="18.75" customHeight="1" thickBot="1" x14ac:dyDescent="0.2">
      <c r="A16" s="35"/>
      <c r="B16" s="201" t="s">
        <v>550</v>
      </c>
      <c r="C16" s="202"/>
      <c r="D16" s="93">
        <v>423</v>
      </c>
      <c r="E16" s="42">
        <v>146</v>
      </c>
      <c r="F16" s="43">
        <v>140</v>
      </c>
      <c r="G16" s="44">
        <v>0</v>
      </c>
      <c r="H16" s="45">
        <v>0</v>
      </c>
      <c r="I16" s="42">
        <v>0</v>
      </c>
      <c r="J16" s="43">
        <v>0</v>
      </c>
      <c r="K16" s="44">
        <v>0</v>
      </c>
      <c r="L16" s="45">
        <v>0</v>
      </c>
      <c r="M16" s="42">
        <v>0</v>
      </c>
      <c r="N16" s="43">
        <v>0</v>
      </c>
      <c r="O16" s="44">
        <v>0</v>
      </c>
      <c r="P16" s="45">
        <v>0</v>
      </c>
      <c r="Q16" s="46">
        <f t="shared" si="0"/>
        <v>146</v>
      </c>
      <c r="R16" s="41">
        <f t="shared" si="1"/>
        <v>0.34515366430260047</v>
      </c>
    </row>
    <row r="17" spans="1:18" ht="18.75" customHeight="1" thickTop="1" x14ac:dyDescent="0.15">
      <c r="A17" s="35"/>
      <c r="B17" s="193" t="s">
        <v>64</v>
      </c>
      <c r="C17" s="194"/>
      <c r="D17" s="94">
        <f t="shared" ref="D17:Q17" si="2">SUM(D8:D16)</f>
        <v>7557</v>
      </c>
      <c r="E17" s="47">
        <f>SUM(E8:E16)</f>
        <v>1821</v>
      </c>
      <c r="F17" s="48">
        <f t="shared" si="2"/>
        <v>520</v>
      </c>
      <c r="G17" s="49">
        <f t="shared" si="2"/>
        <v>0</v>
      </c>
      <c r="H17" s="50">
        <f t="shared" si="2"/>
        <v>0</v>
      </c>
      <c r="I17" s="47">
        <f t="shared" si="2"/>
        <v>0</v>
      </c>
      <c r="J17" s="48">
        <f t="shared" si="2"/>
        <v>0</v>
      </c>
      <c r="K17" s="49">
        <f t="shared" si="2"/>
        <v>0</v>
      </c>
      <c r="L17" s="50">
        <f t="shared" si="2"/>
        <v>0</v>
      </c>
      <c r="M17" s="47">
        <f t="shared" si="2"/>
        <v>0</v>
      </c>
      <c r="N17" s="48">
        <f t="shared" si="2"/>
        <v>0</v>
      </c>
      <c r="O17" s="49">
        <f t="shared" si="2"/>
        <v>0</v>
      </c>
      <c r="P17" s="50">
        <f t="shared" si="2"/>
        <v>0</v>
      </c>
      <c r="Q17" s="51">
        <f t="shared" si="2"/>
        <v>1821</v>
      </c>
      <c r="R17" s="52">
        <f>Q17/D17</f>
        <v>0.24096863834855101</v>
      </c>
    </row>
    <row r="18" spans="1:18" ht="6.75" customHeight="1" x14ac:dyDescent="0.15">
      <c r="A18" s="35"/>
      <c r="B18" s="35"/>
      <c r="C18" s="35"/>
      <c r="D18" s="95"/>
      <c r="E18" s="53"/>
      <c r="F18" s="53"/>
      <c r="G18" s="53"/>
      <c r="H18" s="53"/>
      <c r="I18" s="53"/>
      <c r="J18" s="53"/>
      <c r="K18" s="53"/>
      <c r="L18" s="53"/>
      <c r="M18" s="53"/>
      <c r="N18" s="53"/>
      <c r="O18" s="53"/>
      <c r="P18" s="53"/>
      <c r="Q18" s="53"/>
      <c r="R18" s="53"/>
    </row>
  </sheetData>
  <mergeCells count="24">
    <mergeCell ref="F1:R1"/>
    <mergeCell ref="K2:L2"/>
    <mergeCell ref="D6:D7"/>
    <mergeCell ref="E6:F6"/>
    <mergeCell ref="G6:H6"/>
    <mergeCell ref="I6:J6"/>
    <mergeCell ref="K6:L6"/>
    <mergeCell ref="M6:N6"/>
    <mergeCell ref="O6:P6"/>
    <mergeCell ref="Q6:Q7"/>
    <mergeCell ref="R6:R7"/>
    <mergeCell ref="A4:R4"/>
    <mergeCell ref="M2:N2"/>
    <mergeCell ref="B17:C17"/>
    <mergeCell ref="B6:C7"/>
    <mergeCell ref="B14:C14"/>
    <mergeCell ref="B15:C15"/>
    <mergeCell ref="B16:C16"/>
    <mergeCell ref="B12:C12"/>
    <mergeCell ref="B13:C13"/>
    <mergeCell ref="B11:C11"/>
    <mergeCell ref="B8:C8"/>
    <mergeCell ref="B9:C9"/>
    <mergeCell ref="B10:C10"/>
  </mergeCells>
  <phoneticPr fontId="1"/>
  <printOptions horizontalCentered="1"/>
  <pageMargins left="0.78740157480314965" right="0.78740157480314965" top="0.78740157480314965" bottom="0.59055118110236227" header="0.31496062992125984" footer="0.31496062992125984"/>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78"/>
  <sheetViews>
    <sheetView tabSelected="1" view="pageBreakPreview" topLeftCell="A61" zoomScale="85" zoomScaleNormal="130" zoomScaleSheetLayoutView="85" workbookViewId="0">
      <selection activeCell="B81" sqref="B81:B87"/>
    </sheetView>
  </sheetViews>
  <sheetFormatPr defaultColWidth="9" defaultRowHeight="14.25" x14ac:dyDescent="0.15"/>
  <cols>
    <col min="1" max="1" width="2.5" style="10" customWidth="1"/>
    <col min="2" max="2" width="19" style="10" customWidth="1"/>
    <col min="3" max="3" width="25" style="10" customWidth="1"/>
    <col min="4" max="4" width="10" style="10" customWidth="1"/>
    <col min="5" max="7" width="25" style="10" customWidth="1"/>
    <col min="8" max="16384" width="9" style="10"/>
  </cols>
  <sheetData>
    <row r="1" spans="1:7" ht="18.75" customHeight="1" x14ac:dyDescent="0.15">
      <c r="G1" s="21" t="s">
        <v>497</v>
      </c>
    </row>
    <row r="2" spans="1:7" ht="18.75" customHeight="1" x14ac:dyDescent="0.15">
      <c r="F2" s="21" t="s">
        <v>72</v>
      </c>
      <c r="G2" s="10" t="s">
        <v>129</v>
      </c>
    </row>
    <row r="3" spans="1:7" ht="18.75" customHeight="1" x14ac:dyDescent="0.15">
      <c r="A3" s="164" t="s">
        <v>91</v>
      </c>
      <c r="B3" s="164"/>
      <c r="C3" s="164"/>
      <c r="D3" s="164"/>
      <c r="E3" s="164"/>
      <c r="F3" s="164"/>
      <c r="G3" s="164"/>
    </row>
    <row r="4" spans="1:7" ht="18.75" customHeight="1" x14ac:dyDescent="0.15">
      <c r="A4" s="10" t="s">
        <v>7</v>
      </c>
      <c r="B4" s="10" t="s">
        <v>90</v>
      </c>
    </row>
    <row r="5" spans="1:7" s="121" customFormat="1" ht="18.75" customHeight="1" x14ac:dyDescent="0.15">
      <c r="B5" s="118" t="s">
        <v>71</v>
      </c>
      <c r="C5" s="156" t="s">
        <v>102</v>
      </c>
      <c r="D5" s="157"/>
      <c r="E5" s="157"/>
      <c r="F5" s="157"/>
      <c r="G5" s="158"/>
    </row>
    <row r="6" spans="1:7" s="121" customFormat="1" ht="45" customHeight="1" x14ac:dyDescent="0.15">
      <c r="B6" s="263" t="s">
        <v>105</v>
      </c>
      <c r="C6" s="229" t="s">
        <v>542</v>
      </c>
      <c r="D6" s="230"/>
      <c r="E6" s="230"/>
      <c r="F6" s="230"/>
      <c r="G6" s="231"/>
    </row>
    <row r="7" spans="1:7" s="121" customFormat="1" ht="29.45" customHeight="1" x14ac:dyDescent="0.15">
      <c r="B7" s="264"/>
      <c r="C7" s="232"/>
      <c r="D7" s="233"/>
      <c r="E7" s="233"/>
      <c r="F7" s="233"/>
      <c r="G7" s="234"/>
    </row>
    <row r="8" spans="1:7" s="121" customFormat="1" ht="14.45" customHeight="1" x14ac:dyDescent="0.15">
      <c r="B8" s="264"/>
      <c r="C8" s="232"/>
      <c r="D8" s="233"/>
      <c r="E8" s="233"/>
      <c r="F8" s="233"/>
      <c r="G8" s="234"/>
    </row>
    <row r="9" spans="1:7" s="121" customFormat="1" ht="3.6" customHeight="1" x14ac:dyDescent="0.15">
      <c r="B9" s="264"/>
      <c r="C9" s="235"/>
      <c r="D9" s="236"/>
      <c r="E9" s="236"/>
      <c r="F9" s="236"/>
      <c r="G9" s="237"/>
    </row>
    <row r="10" spans="1:7" s="121" customFormat="1" ht="18.75" customHeight="1" x14ac:dyDescent="0.15">
      <c r="B10" s="264"/>
      <c r="C10" s="127" t="s">
        <v>103</v>
      </c>
      <c r="D10" s="217" t="s">
        <v>104</v>
      </c>
      <c r="E10" s="218"/>
      <c r="F10" s="218"/>
      <c r="G10" s="219"/>
    </row>
    <row r="11" spans="1:7" s="121" customFormat="1" ht="18.75" customHeight="1" x14ac:dyDescent="0.15">
      <c r="B11" s="264"/>
      <c r="C11" s="128" t="s">
        <v>498</v>
      </c>
      <c r="D11" s="220" t="s">
        <v>358</v>
      </c>
      <c r="E11" s="221"/>
      <c r="F11" s="221"/>
      <c r="G11" s="222"/>
    </row>
    <row r="12" spans="1:7" s="121" customFormat="1" ht="18.75" customHeight="1" x14ac:dyDescent="0.15">
      <c r="B12" s="264"/>
      <c r="C12" s="128" t="s">
        <v>159</v>
      </c>
      <c r="D12" s="223" t="s">
        <v>359</v>
      </c>
      <c r="E12" s="224"/>
      <c r="F12" s="224"/>
      <c r="G12" s="225"/>
    </row>
    <row r="13" spans="1:7" s="121" customFormat="1" ht="18.75" customHeight="1" x14ac:dyDescent="0.15">
      <c r="B13" s="264"/>
      <c r="C13" s="128" t="s">
        <v>141</v>
      </c>
      <c r="D13" s="220" t="s">
        <v>360</v>
      </c>
      <c r="E13" s="221"/>
      <c r="F13" s="221"/>
      <c r="G13" s="222"/>
    </row>
    <row r="14" spans="1:7" s="121" customFormat="1" ht="18.75" customHeight="1" x14ac:dyDescent="0.15">
      <c r="B14" s="264"/>
      <c r="C14" s="128" t="s">
        <v>155</v>
      </c>
      <c r="D14" s="223" t="s">
        <v>361</v>
      </c>
      <c r="E14" s="224"/>
      <c r="F14" s="224"/>
      <c r="G14" s="225"/>
    </row>
    <row r="15" spans="1:7" s="121" customFormat="1" ht="18.75" customHeight="1" x14ac:dyDescent="0.15">
      <c r="B15" s="264"/>
      <c r="C15" s="128" t="s">
        <v>192</v>
      </c>
      <c r="D15" s="223" t="s">
        <v>362</v>
      </c>
      <c r="E15" s="224"/>
      <c r="F15" s="224"/>
      <c r="G15" s="225"/>
    </row>
    <row r="16" spans="1:7" s="121" customFormat="1" ht="18.75" customHeight="1" x14ac:dyDescent="0.15">
      <c r="B16" s="264"/>
      <c r="C16" s="128" t="s">
        <v>274</v>
      </c>
      <c r="D16" s="223" t="s">
        <v>363</v>
      </c>
      <c r="E16" s="224"/>
      <c r="F16" s="224"/>
      <c r="G16" s="225"/>
    </row>
    <row r="17" spans="2:7" s="121" customFormat="1" ht="18.75" customHeight="1" x14ac:dyDescent="0.15">
      <c r="B17" s="264"/>
      <c r="C17" s="128" t="s">
        <v>324</v>
      </c>
      <c r="D17" s="223" t="s">
        <v>364</v>
      </c>
      <c r="E17" s="224"/>
      <c r="F17" s="224"/>
      <c r="G17" s="225"/>
    </row>
    <row r="18" spans="2:7" s="121" customFormat="1" ht="18.75" customHeight="1" x14ac:dyDescent="0.15">
      <c r="B18" s="264"/>
      <c r="C18" s="129" t="s">
        <v>600</v>
      </c>
      <c r="D18" s="223" t="s">
        <v>365</v>
      </c>
      <c r="E18" s="224"/>
      <c r="F18" s="224"/>
      <c r="G18" s="225"/>
    </row>
    <row r="19" spans="2:7" s="121" customFormat="1" ht="18.75" customHeight="1" x14ac:dyDescent="0.15">
      <c r="B19" s="264"/>
      <c r="C19" s="128" t="s">
        <v>345</v>
      </c>
      <c r="D19" s="223" t="s">
        <v>366</v>
      </c>
      <c r="E19" s="224"/>
      <c r="F19" s="224"/>
      <c r="G19" s="225"/>
    </row>
    <row r="20" spans="2:7" s="121" customFormat="1" ht="18.75" customHeight="1" x14ac:dyDescent="0.15">
      <c r="B20" s="265"/>
      <c r="C20" s="118"/>
      <c r="D20" s="156"/>
      <c r="E20" s="157"/>
      <c r="F20" s="157"/>
      <c r="G20" s="158"/>
    </row>
    <row r="21" spans="2:7" ht="18.75" customHeight="1" x14ac:dyDescent="0.15">
      <c r="B21" s="271" t="s">
        <v>106</v>
      </c>
      <c r="C21" s="156" t="s">
        <v>102</v>
      </c>
      <c r="D21" s="157"/>
      <c r="E21" s="157"/>
      <c r="F21" s="157"/>
      <c r="G21" s="158"/>
    </row>
    <row r="22" spans="2:7" ht="28.9" customHeight="1" x14ac:dyDescent="0.15">
      <c r="B22" s="264"/>
      <c r="C22" s="229" t="s">
        <v>543</v>
      </c>
      <c r="D22" s="230"/>
      <c r="E22" s="230"/>
      <c r="F22" s="230"/>
      <c r="G22" s="231"/>
    </row>
    <row r="23" spans="2:7" ht="6" customHeight="1" x14ac:dyDescent="0.15">
      <c r="B23" s="264"/>
      <c r="C23" s="232"/>
      <c r="D23" s="233"/>
      <c r="E23" s="233"/>
      <c r="F23" s="233"/>
      <c r="G23" s="234"/>
    </row>
    <row r="24" spans="2:7" ht="4.1500000000000004" customHeight="1" x14ac:dyDescent="0.15">
      <c r="B24" s="264"/>
      <c r="C24" s="232"/>
      <c r="D24" s="233"/>
      <c r="E24" s="233"/>
      <c r="F24" s="233"/>
      <c r="G24" s="234"/>
    </row>
    <row r="25" spans="2:7" ht="6.6" customHeight="1" x14ac:dyDescent="0.15">
      <c r="B25" s="264"/>
      <c r="C25" s="232"/>
      <c r="D25" s="233"/>
      <c r="E25" s="233"/>
      <c r="F25" s="233"/>
      <c r="G25" s="234"/>
    </row>
    <row r="26" spans="2:7" ht="4.1500000000000004" customHeight="1" x14ac:dyDescent="0.15">
      <c r="B26" s="264"/>
      <c r="C26" s="235"/>
      <c r="D26" s="236"/>
      <c r="E26" s="236"/>
      <c r="F26" s="236"/>
      <c r="G26" s="237"/>
    </row>
    <row r="27" spans="2:7" ht="18.75" customHeight="1" x14ac:dyDescent="0.15">
      <c r="B27" s="264"/>
      <c r="C27" s="127" t="s">
        <v>103</v>
      </c>
      <c r="D27" s="156" t="s">
        <v>104</v>
      </c>
      <c r="E27" s="157"/>
      <c r="F27" s="157"/>
      <c r="G27" s="158"/>
    </row>
    <row r="28" spans="2:7" ht="18.75" customHeight="1" x14ac:dyDescent="0.15">
      <c r="B28" s="264"/>
      <c r="C28" s="128" t="s">
        <v>498</v>
      </c>
      <c r="D28" s="223" t="s">
        <v>367</v>
      </c>
      <c r="E28" s="224"/>
      <c r="F28" s="224"/>
      <c r="G28" s="225"/>
    </row>
    <row r="29" spans="2:7" ht="18.75" customHeight="1" x14ac:dyDescent="0.15">
      <c r="B29" s="264"/>
      <c r="C29" s="31" t="s">
        <v>159</v>
      </c>
      <c r="D29" s="223" t="s">
        <v>359</v>
      </c>
      <c r="E29" s="224"/>
      <c r="F29" s="224"/>
      <c r="G29" s="225"/>
    </row>
    <row r="30" spans="2:7" ht="18.75" customHeight="1" x14ac:dyDescent="0.15">
      <c r="B30" s="264"/>
      <c r="C30" s="31" t="s">
        <v>141</v>
      </c>
      <c r="D30" s="223" t="s">
        <v>360</v>
      </c>
      <c r="E30" s="224"/>
      <c r="F30" s="224"/>
      <c r="G30" s="225"/>
    </row>
    <row r="31" spans="2:7" ht="18.75" customHeight="1" x14ac:dyDescent="0.15">
      <c r="B31" s="264"/>
      <c r="C31" s="31" t="s">
        <v>348</v>
      </c>
      <c r="D31" s="268" t="s">
        <v>382</v>
      </c>
      <c r="E31" s="269"/>
      <c r="F31" s="269"/>
      <c r="G31" s="270"/>
    </row>
    <row r="32" spans="2:7" ht="18.75" customHeight="1" x14ac:dyDescent="0.15">
      <c r="B32" s="264"/>
      <c r="C32" s="31" t="s">
        <v>368</v>
      </c>
      <c r="D32" s="226" t="s">
        <v>383</v>
      </c>
      <c r="E32" s="227"/>
      <c r="F32" s="227"/>
      <c r="G32" s="228"/>
    </row>
    <row r="33" spans="2:7" ht="18.75" customHeight="1" x14ac:dyDescent="0.15">
      <c r="B33" s="264"/>
      <c r="C33" s="31" t="s">
        <v>356</v>
      </c>
      <c r="D33" s="226" t="s">
        <v>384</v>
      </c>
      <c r="E33" s="227"/>
      <c r="F33" s="227"/>
      <c r="G33" s="228"/>
    </row>
    <row r="34" spans="2:7" ht="18.75" customHeight="1" x14ac:dyDescent="0.15">
      <c r="B34" s="264"/>
      <c r="C34" s="31" t="s">
        <v>369</v>
      </c>
      <c r="D34" s="226" t="s">
        <v>385</v>
      </c>
      <c r="E34" s="227"/>
      <c r="F34" s="227"/>
      <c r="G34" s="228"/>
    </row>
    <row r="35" spans="2:7" ht="18.75" customHeight="1" x14ac:dyDescent="0.15">
      <c r="B35" s="264"/>
      <c r="C35" s="31" t="s">
        <v>370</v>
      </c>
      <c r="D35" s="223" t="s">
        <v>386</v>
      </c>
      <c r="E35" s="224"/>
      <c r="F35" s="224"/>
      <c r="G35" s="225"/>
    </row>
    <row r="36" spans="2:7" ht="18.75" customHeight="1" x14ac:dyDescent="0.15">
      <c r="B36" s="264"/>
      <c r="C36" s="31" t="s">
        <v>371</v>
      </c>
      <c r="D36" s="223" t="s">
        <v>387</v>
      </c>
      <c r="E36" s="224"/>
      <c r="F36" s="224"/>
      <c r="G36" s="225"/>
    </row>
    <row r="37" spans="2:7" ht="18.75" customHeight="1" x14ac:dyDescent="0.15">
      <c r="B37" s="264"/>
      <c r="C37" s="31" t="s">
        <v>357</v>
      </c>
      <c r="D37" s="226" t="s">
        <v>364</v>
      </c>
      <c r="E37" s="227"/>
      <c r="F37" s="227"/>
      <c r="G37" s="228"/>
    </row>
    <row r="38" spans="2:7" ht="18.75" customHeight="1" x14ac:dyDescent="0.15">
      <c r="B38" s="264"/>
      <c r="C38" s="31" t="s">
        <v>372</v>
      </c>
      <c r="D38" s="223" t="s">
        <v>388</v>
      </c>
      <c r="E38" s="224"/>
      <c r="F38" s="224"/>
      <c r="G38" s="225"/>
    </row>
    <row r="39" spans="2:7" ht="18.75" customHeight="1" x14ac:dyDescent="0.15">
      <c r="B39" s="264"/>
      <c r="C39" s="31" t="s">
        <v>373</v>
      </c>
      <c r="D39" s="223" t="s">
        <v>363</v>
      </c>
      <c r="E39" s="224"/>
      <c r="F39" s="224"/>
      <c r="G39" s="225"/>
    </row>
    <row r="40" spans="2:7" ht="18.75" customHeight="1" x14ac:dyDescent="0.15">
      <c r="B40" s="264"/>
      <c r="C40" s="31" t="s">
        <v>374</v>
      </c>
      <c r="D40" s="223" t="s">
        <v>389</v>
      </c>
      <c r="E40" s="224"/>
      <c r="F40" s="224"/>
      <c r="G40" s="225"/>
    </row>
    <row r="41" spans="2:7" ht="18.75" customHeight="1" x14ac:dyDescent="0.15">
      <c r="B41" s="264"/>
      <c r="C41" s="31" t="s">
        <v>375</v>
      </c>
      <c r="D41" s="223" t="s">
        <v>390</v>
      </c>
      <c r="E41" s="224"/>
      <c r="F41" s="224"/>
      <c r="G41" s="225"/>
    </row>
    <row r="42" spans="2:7" ht="18.75" customHeight="1" x14ac:dyDescent="0.15">
      <c r="B42" s="264"/>
      <c r="C42" s="31" t="s">
        <v>376</v>
      </c>
      <c r="D42" s="226" t="s">
        <v>391</v>
      </c>
      <c r="E42" s="227"/>
      <c r="F42" s="227"/>
      <c r="G42" s="228"/>
    </row>
    <row r="43" spans="2:7" ht="18.75" customHeight="1" x14ac:dyDescent="0.15">
      <c r="B43" s="264"/>
      <c r="C43" s="31" t="s">
        <v>377</v>
      </c>
      <c r="D43" s="226" t="s">
        <v>392</v>
      </c>
      <c r="E43" s="227"/>
      <c r="F43" s="227"/>
      <c r="G43" s="228"/>
    </row>
    <row r="44" spans="2:7" ht="18.75" customHeight="1" x14ac:dyDescent="0.15">
      <c r="B44" s="264"/>
      <c r="C44" s="31" t="s">
        <v>378</v>
      </c>
      <c r="D44" s="226" t="s">
        <v>393</v>
      </c>
      <c r="E44" s="227"/>
      <c r="F44" s="227"/>
      <c r="G44" s="228"/>
    </row>
    <row r="45" spans="2:7" ht="18.75" customHeight="1" x14ac:dyDescent="0.15">
      <c r="B45" s="264"/>
      <c r="C45" s="31" t="s">
        <v>379</v>
      </c>
      <c r="D45" s="223" t="s">
        <v>394</v>
      </c>
      <c r="E45" s="224"/>
      <c r="F45" s="224"/>
      <c r="G45" s="225"/>
    </row>
    <row r="46" spans="2:7" ht="18.75" customHeight="1" x14ac:dyDescent="0.15">
      <c r="B46" s="264"/>
      <c r="C46" s="31" t="s">
        <v>380</v>
      </c>
      <c r="D46" s="223" t="s">
        <v>395</v>
      </c>
      <c r="E46" s="224"/>
      <c r="F46" s="224"/>
      <c r="G46" s="225"/>
    </row>
    <row r="47" spans="2:7" ht="18.75" customHeight="1" x14ac:dyDescent="0.15">
      <c r="B47" s="264"/>
      <c r="C47" s="31" t="s">
        <v>381</v>
      </c>
      <c r="D47" s="223" t="s">
        <v>396</v>
      </c>
      <c r="E47" s="224"/>
      <c r="F47" s="224"/>
      <c r="G47" s="225"/>
    </row>
    <row r="48" spans="2:7" ht="18.75" customHeight="1" x14ac:dyDescent="0.15">
      <c r="B48" s="272"/>
      <c r="C48" s="31"/>
      <c r="D48" s="146"/>
      <c r="E48" s="147"/>
      <c r="F48" s="147"/>
      <c r="G48" s="148"/>
    </row>
    <row r="49" spans="2:7" ht="18.75" customHeight="1" x14ac:dyDescent="0.15">
      <c r="B49" s="285" t="s">
        <v>108</v>
      </c>
      <c r="C49" s="156" t="s">
        <v>102</v>
      </c>
      <c r="D49" s="157"/>
      <c r="E49" s="157"/>
      <c r="F49" s="157"/>
      <c r="G49" s="158"/>
    </row>
    <row r="50" spans="2:7" ht="29.45" customHeight="1" x14ac:dyDescent="0.15">
      <c r="B50" s="286"/>
      <c r="C50" s="229" t="s">
        <v>620</v>
      </c>
      <c r="D50" s="230"/>
      <c r="E50" s="230"/>
      <c r="F50" s="230"/>
      <c r="G50" s="231"/>
    </row>
    <row r="51" spans="2:7" ht="3.6" customHeight="1" x14ac:dyDescent="0.15">
      <c r="B51" s="286"/>
      <c r="C51" s="232"/>
      <c r="D51" s="233"/>
      <c r="E51" s="233"/>
      <c r="F51" s="233"/>
      <c r="G51" s="234"/>
    </row>
    <row r="52" spans="2:7" ht="6" customHeight="1" x14ac:dyDescent="0.15">
      <c r="B52" s="286"/>
      <c r="C52" s="232"/>
      <c r="D52" s="233"/>
      <c r="E52" s="233"/>
      <c r="F52" s="233"/>
      <c r="G52" s="234"/>
    </row>
    <row r="53" spans="2:7" ht="10.9" customHeight="1" x14ac:dyDescent="0.15">
      <c r="B53" s="286"/>
      <c r="C53" s="232"/>
      <c r="D53" s="233"/>
      <c r="E53" s="233"/>
      <c r="F53" s="233"/>
      <c r="G53" s="234"/>
    </row>
    <row r="54" spans="2:7" ht="7.15" customHeight="1" x14ac:dyDescent="0.15">
      <c r="B54" s="286"/>
      <c r="C54" s="235"/>
      <c r="D54" s="236"/>
      <c r="E54" s="236"/>
      <c r="F54" s="236"/>
      <c r="G54" s="237"/>
    </row>
    <row r="55" spans="2:7" ht="18.75" customHeight="1" x14ac:dyDescent="0.15">
      <c r="B55" s="286"/>
      <c r="C55" s="127" t="s">
        <v>103</v>
      </c>
      <c r="D55" s="156" t="s">
        <v>104</v>
      </c>
      <c r="E55" s="157"/>
      <c r="F55" s="157"/>
      <c r="G55" s="158"/>
    </row>
    <row r="56" spans="2:7" ht="18.75" customHeight="1" x14ac:dyDescent="0.15">
      <c r="B56" s="286"/>
      <c r="C56" s="31" t="s">
        <v>471</v>
      </c>
      <c r="D56" s="254" t="s">
        <v>411</v>
      </c>
      <c r="E56" s="255"/>
      <c r="F56" s="255"/>
      <c r="G56" s="256"/>
    </row>
    <row r="57" spans="2:7" ht="18.75" customHeight="1" x14ac:dyDescent="0.15">
      <c r="B57" s="286"/>
      <c r="C57" s="31" t="s">
        <v>397</v>
      </c>
      <c r="D57" s="248" t="s">
        <v>499</v>
      </c>
      <c r="E57" s="249"/>
      <c r="F57" s="249"/>
      <c r="G57" s="250"/>
    </row>
    <row r="58" spans="2:7" ht="18.75" customHeight="1" x14ac:dyDescent="0.15">
      <c r="B58" s="286"/>
      <c r="C58" s="31" t="s">
        <v>398</v>
      </c>
      <c r="D58" s="251" t="s">
        <v>412</v>
      </c>
      <c r="E58" s="252"/>
      <c r="F58" s="252"/>
      <c r="G58" s="253"/>
    </row>
    <row r="59" spans="2:7" ht="18.75" customHeight="1" x14ac:dyDescent="0.15">
      <c r="B59" s="286"/>
      <c r="C59" s="31" t="s">
        <v>348</v>
      </c>
      <c r="D59" s="248" t="s">
        <v>500</v>
      </c>
      <c r="E59" s="249"/>
      <c r="F59" s="249"/>
      <c r="G59" s="250"/>
    </row>
    <row r="60" spans="2:7" ht="18.75" customHeight="1" x14ac:dyDescent="0.15">
      <c r="B60" s="286"/>
      <c r="C60" s="31" t="s">
        <v>368</v>
      </c>
      <c r="D60" s="248" t="s">
        <v>413</v>
      </c>
      <c r="E60" s="249"/>
      <c r="F60" s="249"/>
      <c r="G60" s="250"/>
    </row>
    <row r="61" spans="2:7" ht="18.75" customHeight="1" x14ac:dyDescent="0.15">
      <c r="B61" s="286"/>
      <c r="C61" s="31" t="s">
        <v>501</v>
      </c>
      <c r="D61" s="248" t="s">
        <v>502</v>
      </c>
      <c r="E61" s="249"/>
      <c r="F61" s="249"/>
      <c r="G61" s="250"/>
    </row>
    <row r="62" spans="2:7" ht="18.75" customHeight="1" x14ac:dyDescent="0.15">
      <c r="B62" s="286"/>
      <c r="C62" s="31" t="s">
        <v>203</v>
      </c>
      <c r="D62" s="248" t="s">
        <v>503</v>
      </c>
      <c r="E62" s="249"/>
      <c r="F62" s="249"/>
      <c r="G62" s="250"/>
    </row>
    <row r="63" spans="2:7" ht="18.75" customHeight="1" x14ac:dyDescent="0.15">
      <c r="B63" s="286"/>
      <c r="C63" s="31" t="s">
        <v>504</v>
      </c>
      <c r="D63" s="248" t="s">
        <v>505</v>
      </c>
      <c r="E63" s="249"/>
      <c r="F63" s="249"/>
      <c r="G63" s="250"/>
    </row>
    <row r="64" spans="2:7" ht="18.75" customHeight="1" x14ac:dyDescent="0.15">
      <c r="B64" s="286"/>
      <c r="C64" s="31" t="s">
        <v>399</v>
      </c>
      <c r="D64" s="248" t="s">
        <v>506</v>
      </c>
      <c r="E64" s="249"/>
      <c r="F64" s="249"/>
      <c r="G64" s="250"/>
    </row>
    <row r="65" spans="2:7" ht="18.75" customHeight="1" x14ac:dyDescent="0.15">
      <c r="B65" s="286"/>
      <c r="C65" s="31" t="s">
        <v>369</v>
      </c>
      <c r="D65" s="248" t="s">
        <v>507</v>
      </c>
      <c r="E65" s="249"/>
      <c r="F65" s="249"/>
      <c r="G65" s="250"/>
    </row>
    <row r="66" spans="2:7" ht="18.75" customHeight="1" x14ac:dyDescent="0.15">
      <c r="B66" s="286"/>
      <c r="C66" s="31" t="s">
        <v>621</v>
      </c>
      <c r="D66" s="248" t="s">
        <v>450</v>
      </c>
      <c r="E66" s="249"/>
      <c r="F66" s="249"/>
      <c r="G66" s="250"/>
    </row>
    <row r="67" spans="2:7" ht="18.75" customHeight="1" x14ac:dyDescent="0.15">
      <c r="B67" s="286"/>
      <c r="C67" s="31" t="s">
        <v>400</v>
      </c>
      <c r="D67" s="248" t="s">
        <v>508</v>
      </c>
      <c r="E67" s="249"/>
      <c r="F67" s="249"/>
      <c r="G67" s="250"/>
    </row>
    <row r="68" spans="2:7" ht="18.75" customHeight="1" x14ac:dyDescent="0.15">
      <c r="B68" s="286"/>
      <c r="C68" s="31" t="s">
        <v>401</v>
      </c>
      <c r="D68" s="248" t="s">
        <v>509</v>
      </c>
      <c r="E68" s="249"/>
      <c r="F68" s="249"/>
      <c r="G68" s="250"/>
    </row>
    <row r="69" spans="2:7" ht="18.75" customHeight="1" x14ac:dyDescent="0.15">
      <c r="B69" s="286"/>
      <c r="C69" s="31" t="s">
        <v>357</v>
      </c>
      <c r="D69" s="248" t="s">
        <v>510</v>
      </c>
      <c r="E69" s="249"/>
      <c r="F69" s="249"/>
      <c r="G69" s="250"/>
    </row>
    <row r="70" spans="2:7" ht="18.75" customHeight="1" x14ac:dyDescent="0.15">
      <c r="B70" s="286"/>
      <c r="C70" s="31" t="s">
        <v>402</v>
      </c>
      <c r="D70" s="248" t="s">
        <v>511</v>
      </c>
      <c r="E70" s="249"/>
      <c r="F70" s="249"/>
      <c r="G70" s="250"/>
    </row>
    <row r="71" spans="2:7" ht="18.75" customHeight="1" x14ac:dyDescent="0.15">
      <c r="B71" s="286"/>
      <c r="C71" s="31" t="s">
        <v>403</v>
      </c>
      <c r="D71" s="248" t="s">
        <v>512</v>
      </c>
      <c r="E71" s="249"/>
      <c r="F71" s="249"/>
      <c r="G71" s="250"/>
    </row>
    <row r="72" spans="2:7" ht="18.75" customHeight="1" x14ac:dyDescent="0.15">
      <c r="B72" s="286"/>
      <c r="C72" s="31" t="s">
        <v>373</v>
      </c>
      <c r="D72" s="248" t="s">
        <v>513</v>
      </c>
      <c r="E72" s="249"/>
      <c r="F72" s="249"/>
      <c r="G72" s="250"/>
    </row>
    <row r="73" spans="2:7" ht="18.75" customHeight="1" x14ac:dyDescent="0.15">
      <c r="B73" s="286"/>
      <c r="C73" s="31" t="s">
        <v>374</v>
      </c>
      <c r="D73" s="251" t="s">
        <v>410</v>
      </c>
      <c r="E73" s="252"/>
      <c r="F73" s="252"/>
      <c r="G73" s="253"/>
    </row>
    <row r="74" spans="2:7" ht="18.75" customHeight="1" x14ac:dyDescent="0.15">
      <c r="B74" s="286"/>
      <c r="C74" s="31" t="s">
        <v>404</v>
      </c>
      <c r="D74" s="248" t="s">
        <v>514</v>
      </c>
      <c r="E74" s="249"/>
      <c r="F74" s="249"/>
      <c r="G74" s="250"/>
    </row>
    <row r="75" spans="2:7" ht="18.75" customHeight="1" x14ac:dyDescent="0.15">
      <c r="B75" s="286"/>
      <c r="C75" s="31" t="s">
        <v>376</v>
      </c>
      <c r="D75" s="248" t="s">
        <v>515</v>
      </c>
      <c r="E75" s="249"/>
      <c r="F75" s="249"/>
      <c r="G75" s="250"/>
    </row>
    <row r="76" spans="2:7" ht="18.75" customHeight="1" x14ac:dyDescent="0.15">
      <c r="B76" s="286"/>
      <c r="C76" s="31" t="s">
        <v>377</v>
      </c>
      <c r="D76" s="248" t="s">
        <v>516</v>
      </c>
      <c r="E76" s="249"/>
      <c r="F76" s="249"/>
      <c r="G76" s="250"/>
    </row>
    <row r="77" spans="2:7" ht="18.75" customHeight="1" x14ac:dyDescent="0.15">
      <c r="B77" s="286"/>
      <c r="C77" s="31" t="s">
        <v>622</v>
      </c>
      <c r="D77" s="248" t="s">
        <v>464</v>
      </c>
      <c r="E77" s="249"/>
      <c r="F77" s="249"/>
      <c r="G77" s="250"/>
    </row>
    <row r="78" spans="2:7" ht="18.75" customHeight="1" x14ac:dyDescent="0.15">
      <c r="B78" s="286"/>
      <c r="C78" s="31" t="s">
        <v>379</v>
      </c>
      <c r="D78" s="248" t="s">
        <v>517</v>
      </c>
      <c r="E78" s="249"/>
      <c r="F78" s="249"/>
      <c r="G78" s="250"/>
    </row>
    <row r="79" spans="2:7" ht="18.75" customHeight="1" x14ac:dyDescent="0.15">
      <c r="B79" s="286"/>
      <c r="C79" s="31" t="s">
        <v>380</v>
      </c>
      <c r="D79" s="248" t="s">
        <v>518</v>
      </c>
      <c r="E79" s="249"/>
      <c r="F79" s="249"/>
      <c r="G79" s="250"/>
    </row>
    <row r="80" spans="2:7" ht="21" customHeight="1" x14ac:dyDescent="0.15">
      <c r="B80" s="287"/>
      <c r="C80" s="31" t="s">
        <v>405</v>
      </c>
      <c r="D80" s="248" t="s">
        <v>468</v>
      </c>
      <c r="E80" s="249"/>
      <c r="F80" s="249"/>
      <c r="G80" s="250"/>
    </row>
    <row r="81" spans="2:7" ht="21" customHeight="1" x14ac:dyDescent="0.15">
      <c r="B81" s="288" t="s">
        <v>529</v>
      </c>
      <c r="C81" s="31" t="s">
        <v>406</v>
      </c>
      <c r="D81" s="248" t="s">
        <v>519</v>
      </c>
      <c r="E81" s="249"/>
      <c r="F81" s="249"/>
      <c r="G81" s="250"/>
    </row>
    <row r="82" spans="2:7" ht="21" customHeight="1" x14ac:dyDescent="0.15">
      <c r="B82" s="289"/>
      <c r="C82" s="31" t="s">
        <v>381</v>
      </c>
      <c r="D82" s="248" t="s">
        <v>520</v>
      </c>
      <c r="E82" s="249"/>
      <c r="F82" s="249"/>
      <c r="G82" s="250"/>
    </row>
    <row r="83" spans="2:7" ht="21" customHeight="1" x14ac:dyDescent="0.15">
      <c r="B83" s="289"/>
      <c r="C83" s="31" t="s">
        <v>407</v>
      </c>
      <c r="D83" s="248" t="s">
        <v>521</v>
      </c>
      <c r="E83" s="249"/>
      <c r="F83" s="249"/>
      <c r="G83" s="250"/>
    </row>
    <row r="84" spans="2:7" ht="21" customHeight="1" x14ac:dyDescent="0.15">
      <c r="B84" s="289"/>
      <c r="C84" s="31" t="s">
        <v>408</v>
      </c>
      <c r="D84" s="248" t="s">
        <v>522</v>
      </c>
      <c r="E84" s="249"/>
      <c r="F84" s="249"/>
      <c r="G84" s="250"/>
    </row>
    <row r="85" spans="2:7" ht="21" customHeight="1" x14ac:dyDescent="0.15">
      <c r="B85" s="289"/>
      <c r="C85" s="31" t="s">
        <v>409</v>
      </c>
      <c r="D85" s="248" t="s">
        <v>523</v>
      </c>
      <c r="E85" s="249"/>
      <c r="F85" s="249"/>
      <c r="G85" s="250"/>
    </row>
    <row r="86" spans="2:7" ht="21" customHeight="1" x14ac:dyDescent="0.15">
      <c r="B86" s="289"/>
      <c r="C86" s="31"/>
      <c r="D86" s="134"/>
      <c r="E86" s="134"/>
      <c r="F86" s="134"/>
      <c r="G86" s="135"/>
    </row>
    <row r="87" spans="2:7" ht="21" customHeight="1" x14ac:dyDescent="0.15">
      <c r="B87" s="290"/>
      <c r="C87" s="31"/>
      <c r="D87" s="116"/>
      <c r="E87" s="116"/>
      <c r="F87" s="116"/>
      <c r="G87" s="117"/>
    </row>
    <row r="88" spans="2:7" ht="18.75" customHeight="1" x14ac:dyDescent="0.15">
      <c r="B88" s="238" t="s">
        <v>107</v>
      </c>
      <c r="C88" s="156" t="s">
        <v>102</v>
      </c>
      <c r="D88" s="157"/>
      <c r="E88" s="157"/>
      <c r="F88" s="157"/>
      <c r="G88" s="158"/>
    </row>
    <row r="89" spans="2:7" ht="69.599999999999994" customHeight="1" x14ac:dyDescent="0.15">
      <c r="B89" s="238"/>
      <c r="C89" s="239" t="s">
        <v>544</v>
      </c>
      <c r="D89" s="240"/>
      <c r="E89" s="240"/>
      <c r="F89" s="240"/>
      <c r="G89" s="241"/>
    </row>
    <row r="90" spans="2:7" ht="10.9" customHeight="1" x14ac:dyDescent="0.15">
      <c r="B90" s="238"/>
      <c r="C90" s="242"/>
      <c r="D90" s="243"/>
      <c r="E90" s="243"/>
      <c r="F90" s="243"/>
      <c r="G90" s="244"/>
    </row>
    <row r="91" spans="2:7" ht="0.6" hidden="1" customHeight="1" x14ac:dyDescent="0.15">
      <c r="B91" s="238"/>
      <c r="C91" s="242"/>
      <c r="D91" s="243"/>
      <c r="E91" s="243"/>
      <c r="F91" s="243"/>
      <c r="G91" s="244"/>
    </row>
    <row r="92" spans="2:7" ht="37.15" hidden="1" customHeight="1" x14ac:dyDescent="0.15">
      <c r="B92" s="238"/>
      <c r="C92" s="245"/>
      <c r="D92" s="246"/>
      <c r="E92" s="246"/>
      <c r="F92" s="246"/>
      <c r="G92" s="247"/>
    </row>
    <row r="93" spans="2:7" ht="14.45" customHeight="1" x14ac:dyDescent="0.15">
      <c r="B93" s="238"/>
      <c r="C93" s="119"/>
      <c r="D93" s="116"/>
      <c r="E93" s="116"/>
      <c r="F93" s="116"/>
      <c r="G93" s="117"/>
    </row>
    <row r="94" spans="2:7" ht="18.75" customHeight="1" x14ac:dyDescent="0.15">
      <c r="B94" s="238"/>
      <c r="C94" s="127" t="s">
        <v>103</v>
      </c>
      <c r="D94" s="156" t="s">
        <v>104</v>
      </c>
      <c r="E94" s="157"/>
      <c r="F94" s="157"/>
      <c r="G94" s="158"/>
    </row>
    <row r="95" spans="2:7" ht="18.75" customHeight="1" x14ac:dyDescent="0.15">
      <c r="B95" s="238"/>
      <c r="C95" s="31" t="s">
        <v>355</v>
      </c>
      <c r="D95" s="220" t="s">
        <v>524</v>
      </c>
      <c r="E95" s="221"/>
      <c r="F95" s="221"/>
      <c r="G95" s="222"/>
    </row>
    <row r="96" spans="2:7" ht="18.75" customHeight="1" x14ac:dyDescent="0.15">
      <c r="B96" s="238"/>
      <c r="C96" s="31" t="s">
        <v>398</v>
      </c>
      <c r="D96" s="226" t="s">
        <v>416</v>
      </c>
      <c r="E96" s="227"/>
      <c r="F96" s="227"/>
      <c r="G96" s="228"/>
    </row>
    <row r="97" spans="2:7" ht="18.75" customHeight="1" x14ac:dyDescent="0.15">
      <c r="B97" s="238"/>
      <c r="C97" s="31" t="s">
        <v>356</v>
      </c>
      <c r="D97" s="220" t="s">
        <v>525</v>
      </c>
      <c r="E97" s="221"/>
      <c r="F97" s="221"/>
      <c r="G97" s="222"/>
    </row>
    <row r="98" spans="2:7" ht="18.75" customHeight="1" x14ac:dyDescent="0.15">
      <c r="B98" s="238"/>
      <c r="C98" s="31" t="s">
        <v>369</v>
      </c>
      <c r="D98" s="220" t="s">
        <v>526</v>
      </c>
      <c r="E98" s="221"/>
      <c r="F98" s="221"/>
      <c r="G98" s="222"/>
    </row>
    <row r="99" spans="2:7" ht="18.75" customHeight="1" x14ac:dyDescent="0.15">
      <c r="B99" s="238"/>
      <c r="C99" s="31" t="s">
        <v>414</v>
      </c>
      <c r="D99" s="220" t="s">
        <v>527</v>
      </c>
      <c r="E99" s="221"/>
      <c r="F99" s="221"/>
      <c r="G99" s="222"/>
    </row>
    <row r="100" spans="2:7" ht="18.75" customHeight="1" x14ac:dyDescent="0.15">
      <c r="B100" s="238"/>
      <c r="C100" s="31" t="s">
        <v>357</v>
      </c>
      <c r="D100" s="220" t="s">
        <v>528</v>
      </c>
      <c r="E100" s="221"/>
      <c r="F100" s="221"/>
      <c r="G100" s="222"/>
    </row>
    <row r="101" spans="2:7" ht="18.75" customHeight="1" x14ac:dyDescent="0.15">
      <c r="B101" s="238"/>
      <c r="C101" s="31" t="s">
        <v>415</v>
      </c>
      <c r="D101" s="226" t="s">
        <v>417</v>
      </c>
      <c r="E101" s="227"/>
      <c r="F101" s="227"/>
      <c r="G101" s="228"/>
    </row>
    <row r="102" spans="2:7" ht="18.75" customHeight="1" x14ac:dyDescent="0.15">
      <c r="B102" s="238"/>
      <c r="C102" s="118"/>
      <c r="D102" s="146"/>
      <c r="E102" s="147"/>
      <c r="F102" s="147"/>
      <c r="G102" s="148"/>
    </row>
    <row r="103" spans="2:7" ht="18.75" customHeight="1" x14ac:dyDescent="0.15">
      <c r="B103" s="285" t="s">
        <v>109</v>
      </c>
      <c r="C103" s="156" t="s">
        <v>102</v>
      </c>
      <c r="D103" s="157"/>
      <c r="E103" s="157"/>
      <c r="F103" s="157"/>
      <c r="G103" s="158"/>
    </row>
    <row r="104" spans="2:7" ht="31.15" customHeight="1" x14ac:dyDescent="0.15">
      <c r="B104" s="286"/>
      <c r="C104" s="239" t="s">
        <v>545</v>
      </c>
      <c r="D104" s="240"/>
      <c r="E104" s="240"/>
      <c r="F104" s="240"/>
      <c r="G104" s="241"/>
    </row>
    <row r="105" spans="2:7" ht="8.4499999999999993" customHeight="1" x14ac:dyDescent="0.15">
      <c r="B105" s="286"/>
      <c r="C105" s="242"/>
      <c r="D105" s="243"/>
      <c r="E105" s="243"/>
      <c r="F105" s="243"/>
      <c r="G105" s="244"/>
    </row>
    <row r="106" spans="2:7" ht="10.9" customHeight="1" x14ac:dyDescent="0.15">
      <c r="B106" s="286"/>
      <c r="C106" s="242"/>
      <c r="D106" s="243"/>
      <c r="E106" s="243"/>
      <c r="F106" s="243"/>
      <c r="G106" s="244"/>
    </row>
    <row r="107" spans="2:7" ht="7.15" customHeight="1" x14ac:dyDescent="0.15">
      <c r="B107" s="286"/>
      <c r="C107" s="242"/>
      <c r="D107" s="243"/>
      <c r="E107" s="243"/>
      <c r="F107" s="243"/>
      <c r="G107" s="244"/>
    </row>
    <row r="108" spans="2:7" ht="37.15" hidden="1" customHeight="1" x14ac:dyDescent="0.15">
      <c r="B108" s="286"/>
      <c r="C108" s="245"/>
      <c r="D108" s="246"/>
      <c r="E108" s="246"/>
      <c r="F108" s="246"/>
      <c r="G108" s="247"/>
    </row>
    <row r="109" spans="2:7" ht="18.75" customHeight="1" x14ac:dyDescent="0.15">
      <c r="B109" s="286"/>
      <c r="C109" s="123" t="s">
        <v>103</v>
      </c>
      <c r="D109" s="156" t="s">
        <v>472</v>
      </c>
      <c r="E109" s="157"/>
      <c r="F109" s="157"/>
      <c r="G109" s="158"/>
    </row>
    <row r="110" spans="2:7" ht="18.75" customHeight="1" x14ac:dyDescent="0.15">
      <c r="B110" s="286"/>
      <c r="C110" s="31" t="s">
        <v>355</v>
      </c>
      <c r="D110" s="282" t="s">
        <v>433</v>
      </c>
      <c r="E110" s="283"/>
      <c r="F110" s="283"/>
      <c r="G110" s="284"/>
    </row>
    <row r="111" spans="2:7" ht="18.75" customHeight="1" x14ac:dyDescent="0.15">
      <c r="B111" s="286"/>
      <c r="C111" s="31" t="s">
        <v>159</v>
      </c>
      <c r="D111" s="223" t="s">
        <v>434</v>
      </c>
      <c r="E111" s="224"/>
      <c r="F111" s="224"/>
      <c r="G111" s="225"/>
    </row>
    <row r="112" spans="2:7" ht="18.75" customHeight="1" x14ac:dyDescent="0.15">
      <c r="B112" s="286"/>
      <c r="C112" s="31" t="s">
        <v>418</v>
      </c>
      <c r="D112" s="223" t="s">
        <v>435</v>
      </c>
      <c r="E112" s="224"/>
      <c r="F112" s="224"/>
      <c r="G112" s="225"/>
    </row>
    <row r="113" spans="2:7" ht="18.75" customHeight="1" x14ac:dyDescent="0.15">
      <c r="B113" s="286"/>
      <c r="C113" s="31" t="s">
        <v>626</v>
      </c>
      <c r="D113" s="223" t="s">
        <v>436</v>
      </c>
      <c r="E113" s="224"/>
      <c r="F113" s="224"/>
      <c r="G113" s="225"/>
    </row>
    <row r="114" spans="2:7" ht="18.75" customHeight="1" x14ac:dyDescent="0.15">
      <c r="B114" s="286"/>
      <c r="C114" s="370" t="s">
        <v>627</v>
      </c>
      <c r="D114" s="223" t="s">
        <v>437</v>
      </c>
      <c r="E114" s="224"/>
      <c r="F114" s="224"/>
      <c r="G114" s="225"/>
    </row>
    <row r="115" spans="2:7" ht="18.75" customHeight="1" x14ac:dyDescent="0.15">
      <c r="B115" s="286"/>
      <c r="C115" s="31" t="s">
        <v>628</v>
      </c>
      <c r="D115" s="223" t="s">
        <v>438</v>
      </c>
      <c r="E115" s="224"/>
      <c r="F115" s="224"/>
      <c r="G115" s="225"/>
    </row>
    <row r="116" spans="2:7" ht="18.75" customHeight="1" x14ac:dyDescent="0.15">
      <c r="B116" s="286"/>
      <c r="C116" s="31" t="s">
        <v>601</v>
      </c>
      <c r="D116" s="223" t="s">
        <v>439</v>
      </c>
      <c r="E116" s="224"/>
      <c r="F116" s="224"/>
      <c r="G116" s="225"/>
    </row>
    <row r="117" spans="2:7" ht="18.75" customHeight="1" x14ac:dyDescent="0.15">
      <c r="B117" s="286"/>
      <c r="C117" s="31" t="s">
        <v>602</v>
      </c>
      <c r="D117" s="223" t="s">
        <v>440</v>
      </c>
      <c r="E117" s="224"/>
      <c r="F117" s="224"/>
      <c r="G117" s="225"/>
    </row>
    <row r="118" spans="2:7" ht="18.75" customHeight="1" x14ac:dyDescent="0.15">
      <c r="B118" s="286"/>
      <c r="C118" s="31" t="s">
        <v>629</v>
      </c>
      <c r="D118" s="223" t="s">
        <v>441</v>
      </c>
      <c r="E118" s="224"/>
      <c r="F118" s="224"/>
      <c r="G118" s="225"/>
    </row>
    <row r="119" spans="2:7" ht="18.75" customHeight="1" x14ac:dyDescent="0.15">
      <c r="B119" s="286"/>
      <c r="C119" s="31" t="s">
        <v>623</v>
      </c>
      <c r="D119" s="223" t="s">
        <v>442</v>
      </c>
      <c r="E119" s="224"/>
      <c r="F119" s="224"/>
      <c r="G119" s="225"/>
    </row>
    <row r="120" spans="2:7" ht="18.75" customHeight="1" x14ac:dyDescent="0.15">
      <c r="B120" s="286"/>
      <c r="C120" s="31" t="s">
        <v>419</v>
      </c>
      <c r="D120" s="223" t="s">
        <v>443</v>
      </c>
      <c r="E120" s="224"/>
      <c r="F120" s="224"/>
      <c r="G120" s="225"/>
    </row>
    <row r="121" spans="2:7" ht="18.75" customHeight="1" x14ac:dyDescent="0.15">
      <c r="B121" s="286"/>
      <c r="C121" s="31" t="s">
        <v>420</v>
      </c>
      <c r="D121" s="223" t="s">
        <v>444</v>
      </c>
      <c r="E121" s="224"/>
      <c r="F121" s="224"/>
      <c r="G121" s="225"/>
    </row>
    <row r="122" spans="2:7" ht="18.75" customHeight="1" x14ac:dyDescent="0.15">
      <c r="B122" s="286"/>
      <c r="C122" s="31" t="s">
        <v>421</v>
      </c>
      <c r="D122" s="223" t="s">
        <v>445</v>
      </c>
      <c r="E122" s="224"/>
      <c r="F122" s="224"/>
      <c r="G122" s="225"/>
    </row>
    <row r="123" spans="2:7" ht="18.75" customHeight="1" x14ac:dyDescent="0.15">
      <c r="B123" s="286"/>
      <c r="C123" s="31" t="s">
        <v>422</v>
      </c>
      <c r="D123" s="223" t="s">
        <v>446</v>
      </c>
      <c r="E123" s="224"/>
      <c r="F123" s="224"/>
      <c r="G123" s="225"/>
    </row>
    <row r="124" spans="2:7" ht="18.75" customHeight="1" x14ac:dyDescent="0.15">
      <c r="B124" s="286"/>
      <c r="C124" s="31" t="s">
        <v>423</v>
      </c>
      <c r="D124" s="223" t="s">
        <v>447</v>
      </c>
      <c r="E124" s="224"/>
      <c r="F124" s="224"/>
      <c r="G124" s="225"/>
    </row>
    <row r="125" spans="2:7" ht="18.75" customHeight="1" x14ac:dyDescent="0.15">
      <c r="B125" s="286"/>
      <c r="C125" s="31" t="s">
        <v>228</v>
      </c>
      <c r="D125" s="223" t="s">
        <v>447</v>
      </c>
      <c r="E125" s="224"/>
      <c r="F125" s="224"/>
      <c r="G125" s="225"/>
    </row>
    <row r="126" spans="2:7" ht="18.75" customHeight="1" x14ac:dyDescent="0.15">
      <c r="B126" s="286"/>
      <c r="C126" s="31" t="s">
        <v>603</v>
      </c>
      <c r="D126" s="223" t="s">
        <v>448</v>
      </c>
      <c r="E126" s="224"/>
      <c r="F126" s="224"/>
      <c r="G126" s="225"/>
    </row>
    <row r="127" spans="2:7" ht="18.75" customHeight="1" x14ac:dyDescent="0.15">
      <c r="B127" s="286"/>
      <c r="C127" s="31" t="s">
        <v>604</v>
      </c>
      <c r="D127" s="223" t="s">
        <v>448</v>
      </c>
      <c r="E127" s="224"/>
      <c r="F127" s="224"/>
      <c r="G127" s="225"/>
    </row>
    <row r="128" spans="2:7" ht="18.75" customHeight="1" x14ac:dyDescent="0.15">
      <c r="B128" s="286"/>
      <c r="C128" s="31" t="s">
        <v>605</v>
      </c>
      <c r="D128" s="223" t="s">
        <v>448</v>
      </c>
      <c r="E128" s="224"/>
      <c r="F128" s="224"/>
      <c r="G128" s="225"/>
    </row>
    <row r="129" spans="2:7" ht="18.75" customHeight="1" x14ac:dyDescent="0.15">
      <c r="B129" s="286"/>
      <c r="C129" s="31" t="s">
        <v>424</v>
      </c>
      <c r="D129" s="223" t="s">
        <v>448</v>
      </c>
      <c r="E129" s="224"/>
      <c r="F129" s="224"/>
      <c r="G129" s="225"/>
    </row>
    <row r="130" spans="2:7" ht="18.75" customHeight="1" x14ac:dyDescent="0.15">
      <c r="B130" s="286"/>
      <c r="C130" s="31" t="s">
        <v>246</v>
      </c>
      <c r="D130" s="223" t="s">
        <v>449</v>
      </c>
      <c r="E130" s="224"/>
      <c r="F130" s="224"/>
      <c r="G130" s="225"/>
    </row>
    <row r="131" spans="2:7" ht="18.75" customHeight="1" x14ac:dyDescent="0.15">
      <c r="B131" s="286"/>
      <c r="C131" s="31" t="s">
        <v>606</v>
      </c>
      <c r="D131" s="223" t="s">
        <v>450</v>
      </c>
      <c r="E131" s="224"/>
      <c r="F131" s="224"/>
      <c r="G131" s="225"/>
    </row>
    <row r="132" spans="2:7" ht="18.75" customHeight="1" x14ac:dyDescent="0.15">
      <c r="B132" s="286"/>
      <c r="C132" s="31" t="s">
        <v>243</v>
      </c>
      <c r="D132" s="223" t="s">
        <v>451</v>
      </c>
      <c r="E132" s="224"/>
      <c r="F132" s="224"/>
      <c r="G132" s="225"/>
    </row>
    <row r="133" spans="2:7" ht="18.75" customHeight="1" x14ac:dyDescent="0.15">
      <c r="B133" s="286"/>
      <c r="C133" s="31" t="s">
        <v>425</v>
      </c>
      <c r="D133" s="223" t="s">
        <v>452</v>
      </c>
      <c r="E133" s="224"/>
      <c r="F133" s="224"/>
      <c r="G133" s="225"/>
    </row>
    <row r="134" spans="2:7" ht="18.75" customHeight="1" x14ac:dyDescent="0.15">
      <c r="B134" s="287"/>
      <c r="C134" s="31" t="s">
        <v>426</v>
      </c>
      <c r="D134" s="223" t="s">
        <v>453</v>
      </c>
      <c r="E134" s="224"/>
      <c r="F134" s="224"/>
      <c r="G134" s="225"/>
    </row>
    <row r="135" spans="2:7" ht="18.75" customHeight="1" x14ac:dyDescent="0.15">
      <c r="B135" s="285" t="s">
        <v>109</v>
      </c>
      <c r="C135" s="31" t="s">
        <v>427</v>
      </c>
      <c r="D135" s="223" t="s">
        <v>454</v>
      </c>
      <c r="E135" s="224"/>
      <c r="F135" s="224"/>
      <c r="G135" s="225"/>
    </row>
    <row r="136" spans="2:7" ht="18.75" customHeight="1" x14ac:dyDescent="0.15">
      <c r="B136" s="286"/>
      <c r="C136" s="31" t="s">
        <v>428</v>
      </c>
      <c r="D136" s="223" t="s">
        <v>455</v>
      </c>
      <c r="E136" s="224"/>
      <c r="F136" s="224"/>
      <c r="G136" s="225"/>
    </row>
    <row r="137" spans="2:7" ht="18.75" customHeight="1" x14ac:dyDescent="0.15">
      <c r="B137" s="286"/>
      <c r="C137" s="31" t="s">
        <v>429</v>
      </c>
      <c r="D137" s="223" t="s">
        <v>456</v>
      </c>
      <c r="E137" s="224"/>
      <c r="F137" s="224"/>
      <c r="G137" s="225"/>
    </row>
    <row r="138" spans="2:7" ht="18.75" customHeight="1" x14ac:dyDescent="0.15">
      <c r="B138" s="286"/>
      <c r="C138" s="31" t="s">
        <v>324</v>
      </c>
      <c r="D138" s="223" t="s">
        <v>457</v>
      </c>
      <c r="E138" s="224"/>
      <c r="F138" s="224"/>
      <c r="G138" s="225"/>
    </row>
    <row r="139" spans="2:7" ht="18.75" customHeight="1" x14ac:dyDescent="0.15">
      <c r="B139" s="286"/>
      <c r="C139" s="31" t="s">
        <v>430</v>
      </c>
      <c r="D139" s="223" t="s">
        <v>458</v>
      </c>
      <c r="E139" s="224"/>
      <c r="F139" s="224"/>
      <c r="G139" s="225"/>
    </row>
    <row r="140" spans="2:7" ht="18.75" customHeight="1" x14ac:dyDescent="0.15">
      <c r="B140" s="286"/>
      <c r="C140" s="31" t="s">
        <v>318</v>
      </c>
      <c r="D140" s="223" t="s">
        <v>459</v>
      </c>
      <c r="E140" s="224"/>
      <c r="F140" s="224"/>
      <c r="G140" s="225"/>
    </row>
    <row r="141" spans="2:7" ht="18.75" customHeight="1" x14ac:dyDescent="0.15">
      <c r="B141" s="286"/>
      <c r="C141" s="31" t="s">
        <v>372</v>
      </c>
      <c r="D141" s="223" t="s">
        <v>460</v>
      </c>
      <c r="E141" s="224"/>
      <c r="F141" s="224"/>
      <c r="G141" s="225"/>
    </row>
    <row r="142" spans="2:7" ht="18.75" customHeight="1" x14ac:dyDescent="0.15">
      <c r="B142" s="286"/>
      <c r="C142" s="31" t="s">
        <v>431</v>
      </c>
      <c r="D142" s="223" t="s">
        <v>461</v>
      </c>
      <c r="E142" s="224"/>
      <c r="F142" s="224"/>
      <c r="G142" s="225"/>
    </row>
    <row r="143" spans="2:7" ht="18.75" customHeight="1" x14ac:dyDescent="0.15">
      <c r="B143" s="286"/>
      <c r="C143" s="31" t="s">
        <v>432</v>
      </c>
      <c r="D143" s="223" t="s">
        <v>462</v>
      </c>
      <c r="E143" s="224"/>
      <c r="F143" s="224"/>
      <c r="G143" s="225"/>
    </row>
    <row r="144" spans="2:7" ht="18.75" customHeight="1" x14ac:dyDescent="0.15">
      <c r="B144" s="286"/>
      <c r="C144" s="31" t="s">
        <v>607</v>
      </c>
      <c r="D144" s="223" t="s">
        <v>463</v>
      </c>
      <c r="E144" s="224"/>
      <c r="F144" s="224"/>
      <c r="G144" s="225"/>
    </row>
    <row r="145" spans="1:7" ht="18.75" customHeight="1" x14ac:dyDescent="0.15">
      <c r="B145" s="286"/>
      <c r="C145" s="31" t="s">
        <v>622</v>
      </c>
      <c r="D145" s="223" t="s">
        <v>464</v>
      </c>
      <c r="E145" s="224"/>
      <c r="F145" s="224"/>
      <c r="G145" s="225"/>
    </row>
    <row r="146" spans="1:7" ht="18.75" customHeight="1" x14ac:dyDescent="0.15">
      <c r="B146" s="286"/>
      <c r="C146" s="31" t="s">
        <v>624</v>
      </c>
      <c r="D146" s="223" t="s">
        <v>465</v>
      </c>
      <c r="E146" s="224"/>
      <c r="F146" s="224"/>
      <c r="G146" s="225"/>
    </row>
    <row r="147" spans="1:7" ht="18.75" customHeight="1" x14ac:dyDescent="0.15">
      <c r="B147" s="286"/>
      <c r="C147" s="31" t="s">
        <v>333</v>
      </c>
      <c r="D147" s="223" t="s">
        <v>466</v>
      </c>
      <c r="E147" s="224"/>
      <c r="F147" s="224"/>
      <c r="G147" s="225"/>
    </row>
    <row r="148" spans="1:7" ht="18.75" customHeight="1" x14ac:dyDescent="0.15">
      <c r="B148" s="286"/>
      <c r="C148" s="31" t="s">
        <v>334</v>
      </c>
      <c r="D148" s="223" t="s">
        <v>467</v>
      </c>
      <c r="E148" s="224"/>
      <c r="F148" s="224"/>
      <c r="G148" s="225"/>
    </row>
    <row r="149" spans="1:7" ht="18.75" customHeight="1" x14ac:dyDescent="0.15">
      <c r="B149" s="286"/>
      <c r="C149" s="31" t="s">
        <v>332</v>
      </c>
      <c r="D149" s="223" t="s">
        <v>468</v>
      </c>
      <c r="E149" s="224"/>
      <c r="F149" s="224"/>
      <c r="G149" s="225"/>
    </row>
    <row r="150" spans="1:7" ht="18.75" customHeight="1" x14ac:dyDescent="0.15">
      <c r="B150" s="286"/>
      <c r="C150" s="31" t="s">
        <v>340</v>
      </c>
      <c r="D150" s="223" t="s">
        <v>469</v>
      </c>
      <c r="E150" s="224"/>
      <c r="F150" s="224"/>
      <c r="G150" s="225"/>
    </row>
    <row r="151" spans="1:7" ht="18.75" customHeight="1" x14ac:dyDescent="0.15">
      <c r="B151" s="286"/>
      <c r="C151" s="31" t="s">
        <v>342</v>
      </c>
      <c r="D151" s="223" t="s">
        <v>470</v>
      </c>
      <c r="E151" s="224"/>
      <c r="F151" s="224"/>
      <c r="G151" s="225"/>
    </row>
    <row r="152" spans="1:7" ht="18.75" customHeight="1" x14ac:dyDescent="0.15">
      <c r="B152" s="287"/>
      <c r="C152" s="118"/>
      <c r="D152" s="119"/>
      <c r="E152" s="116"/>
      <c r="F152" s="116"/>
      <c r="G152" s="117"/>
    </row>
    <row r="153" spans="1:7" ht="13.5" customHeight="1" x14ac:dyDescent="0.15">
      <c r="B153" s="131"/>
      <c r="C153" s="122"/>
      <c r="D153" s="120"/>
      <c r="E153" s="120"/>
      <c r="F153" s="120"/>
      <c r="G153" s="120"/>
    </row>
    <row r="154" spans="1:7" ht="23.45" customHeight="1" x14ac:dyDescent="0.15">
      <c r="A154" s="10" t="s">
        <v>12</v>
      </c>
      <c r="B154" s="10" t="s">
        <v>100</v>
      </c>
    </row>
    <row r="155" spans="1:7" ht="22.5" customHeight="1" x14ac:dyDescent="0.15">
      <c r="B155" s="118" t="s">
        <v>71</v>
      </c>
      <c r="C155" s="156" t="s">
        <v>99</v>
      </c>
      <c r="D155" s="157"/>
      <c r="E155" s="157"/>
      <c r="F155" s="157"/>
      <c r="G155" s="158"/>
    </row>
    <row r="156" spans="1:7" ht="294" customHeight="1" x14ac:dyDescent="0.15">
      <c r="B156" s="132" t="s">
        <v>73</v>
      </c>
      <c r="C156" s="260" t="s">
        <v>630</v>
      </c>
      <c r="D156" s="261"/>
      <c r="E156" s="261"/>
      <c r="F156" s="261"/>
      <c r="G156" s="262"/>
    </row>
    <row r="157" spans="1:7" ht="84" customHeight="1" x14ac:dyDescent="0.15">
      <c r="B157" s="132" t="s">
        <v>74</v>
      </c>
      <c r="C157" s="260" t="s">
        <v>473</v>
      </c>
      <c r="D157" s="266"/>
      <c r="E157" s="266"/>
      <c r="F157" s="266"/>
      <c r="G157" s="267"/>
    </row>
    <row r="158" spans="1:7" ht="111.6" customHeight="1" x14ac:dyDescent="0.15">
      <c r="B158" s="132" t="s">
        <v>75</v>
      </c>
      <c r="C158" s="260" t="s">
        <v>618</v>
      </c>
      <c r="D158" s="261"/>
      <c r="E158" s="261"/>
      <c r="F158" s="261"/>
      <c r="G158" s="262"/>
    </row>
    <row r="159" spans="1:7" ht="45" customHeight="1" x14ac:dyDescent="0.15">
      <c r="B159" s="132" t="s">
        <v>76</v>
      </c>
      <c r="C159" s="260" t="s">
        <v>619</v>
      </c>
      <c r="D159" s="261"/>
      <c r="E159" s="261"/>
      <c r="F159" s="261"/>
      <c r="G159" s="262"/>
    </row>
    <row r="160" spans="1:7" ht="28.5" customHeight="1" x14ac:dyDescent="0.15">
      <c r="B160" s="132" t="s">
        <v>77</v>
      </c>
      <c r="C160" s="260" t="s">
        <v>474</v>
      </c>
      <c r="D160" s="261"/>
      <c r="E160" s="261"/>
      <c r="F160" s="261"/>
      <c r="G160" s="262"/>
    </row>
    <row r="161" spans="1:7" ht="45" customHeight="1" x14ac:dyDescent="0.15">
      <c r="B161" s="132" t="s">
        <v>78</v>
      </c>
      <c r="C161" s="260" t="s">
        <v>475</v>
      </c>
      <c r="D161" s="261"/>
      <c r="E161" s="261"/>
      <c r="F161" s="261"/>
      <c r="G161" s="262"/>
    </row>
    <row r="162" spans="1:7" ht="129" customHeight="1" x14ac:dyDescent="0.15">
      <c r="B162" s="132" t="s">
        <v>79</v>
      </c>
      <c r="C162" s="260" t="s">
        <v>476</v>
      </c>
      <c r="D162" s="261"/>
      <c r="E162" s="261"/>
      <c r="F162" s="261"/>
      <c r="G162" s="262"/>
    </row>
    <row r="163" spans="1:7" ht="107.45" customHeight="1" x14ac:dyDescent="0.15">
      <c r="B163" s="132" t="s">
        <v>80</v>
      </c>
      <c r="C163" s="260" t="s">
        <v>477</v>
      </c>
      <c r="D163" s="261"/>
      <c r="E163" s="261"/>
      <c r="F163" s="261"/>
      <c r="G163" s="262"/>
    </row>
    <row r="164" spans="1:7" ht="66" customHeight="1" x14ac:dyDescent="0.15">
      <c r="B164" s="132" t="s">
        <v>81</v>
      </c>
      <c r="C164" s="260" t="s">
        <v>625</v>
      </c>
      <c r="D164" s="261"/>
      <c r="E164" s="261"/>
      <c r="F164" s="261"/>
      <c r="G164" s="262"/>
    </row>
    <row r="165" spans="1:7" ht="7.5" customHeight="1" x14ac:dyDescent="0.15">
      <c r="B165" s="60"/>
      <c r="C165" s="60"/>
      <c r="D165" s="60"/>
      <c r="E165" s="60"/>
      <c r="F165" s="60"/>
      <c r="G165" s="60"/>
    </row>
    <row r="166" spans="1:7" ht="18.75" customHeight="1" x14ac:dyDescent="0.15">
      <c r="A166" s="10" t="s">
        <v>94</v>
      </c>
      <c r="B166" s="60" t="s">
        <v>95</v>
      </c>
      <c r="C166" s="60"/>
      <c r="D166" s="60"/>
      <c r="E166" s="257" t="s">
        <v>608</v>
      </c>
      <c r="F166" s="258"/>
      <c r="G166" s="259"/>
    </row>
    <row r="167" spans="1:7" ht="7.5" customHeight="1" x14ac:dyDescent="0.15">
      <c r="B167" s="60"/>
      <c r="C167" s="60"/>
      <c r="D167" s="60"/>
      <c r="E167" s="60"/>
      <c r="F167" s="60"/>
      <c r="G167" s="60"/>
    </row>
    <row r="168" spans="1:7" ht="18.75" customHeight="1" x14ac:dyDescent="0.15">
      <c r="A168" s="10" t="s">
        <v>96</v>
      </c>
      <c r="B168" s="60" t="s">
        <v>556</v>
      </c>
      <c r="C168" s="60"/>
      <c r="D168" s="60"/>
      <c r="E168" s="60"/>
      <c r="F168" s="60"/>
      <c r="G168" s="60"/>
    </row>
    <row r="169" spans="1:7" ht="24.75" customHeight="1" x14ac:dyDescent="0.15">
      <c r="B169" s="273" t="s">
        <v>557</v>
      </c>
      <c r="C169" s="274"/>
      <c r="D169" s="274"/>
      <c r="E169" s="274"/>
      <c r="F169" s="274"/>
      <c r="G169" s="275"/>
    </row>
    <row r="170" spans="1:7" ht="24.75" customHeight="1" x14ac:dyDescent="0.15">
      <c r="B170" s="276"/>
      <c r="C170" s="277"/>
      <c r="D170" s="277"/>
      <c r="E170" s="277"/>
      <c r="F170" s="277"/>
      <c r="G170" s="278"/>
    </row>
    <row r="171" spans="1:7" ht="24.75" customHeight="1" x14ac:dyDescent="0.15">
      <c r="B171" s="276"/>
      <c r="C171" s="277"/>
      <c r="D171" s="277"/>
      <c r="E171" s="277"/>
      <c r="F171" s="277"/>
      <c r="G171" s="278"/>
    </row>
    <row r="172" spans="1:7" ht="24.75" customHeight="1" x14ac:dyDescent="0.15">
      <c r="B172" s="279"/>
      <c r="C172" s="280"/>
      <c r="D172" s="280"/>
      <c r="E172" s="280"/>
      <c r="F172" s="280"/>
      <c r="G172" s="281"/>
    </row>
    <row r="173" spans="1:7" ht="18.75" customHeight="1" x14ac:dyDescent="0.15"/>
    <row r="174" spans="1:7" ht="18.75" customHeight="1" x14ac:dyDescent="0.15"/>
    <row r="175" spans="1:7" ht="18.75" customHeight="1" x14ac:dyDescent="0.15">
      <c r="B175" s="133"/>
    </row>
    <row r="176" spans="1:7" ht="18.75" customHeight="1" x14ac:dyDescent="0.15"/>
    <row r="177" ht="18.75" customHeight="1" x14ac:dyDescent="0.15"/>
    <row r="178" ht="18.75" customHeight="1" x14ac:dyDescent="0.15"/>
  </sheetData>
  <mergeCells count="146">
    <mergeCell ref="B81:B87"/>
    <mergeCell ref="B49:B80"/>
    <mergeCell ref="B135:B152"/>
    <mergeCell ref="B103:B134"/>
    <mergeCell ref="D150:G150"/>
    <mergeCell ref="D151:G151"/>
    <mergeCell ref="D138:G138"/>
    <mergeCell ref="D139:G139"/>
    <mergeCell ref="D140:G140"/>
    <mergeCell ref="D141:G141"/>
    <mergeCell ref="D142:G142"/>
    <mergeCell ref="D143:G143"/>
    <mergeCell ref="D144:G144"/>
    <mergeCell ref="D145:G145"/>
    <mergeCell ref="D146:G146"/>
    <mergeCell ref="D132:G132"/>
    <mergeCell ref="D133:G133"/>
    <mergeCell ref="D134:G134"/>
    <mergeCell ref="D135:G135"/>
    <mergeCell ref="D136:G136"/>
    <mergeCell ref="D137:G137"/>
    <mergeCell ref="D147:G147"/>
    <mergeCell ref="D148:G148"/>
    <mergeCell ref="D149:G149"/>
    <mergeCell ref="D101:G101"/>
    <mergeCell ref="D102:G102"/>
    <mergeCell ref="D122:G122"/>
    <mergeCell ref="D118:G118"/>
    <mergeCell ref="D119:G119"/>
    <mergeCell ref="D120:G120"/>
    <mergeCell ref="D121:G121"/>
    <mergeCell ref="D110:G110"/>
    <mergeCell ref="D131:G131"/>
    <mergeCell ref="D123:G123"/>
    <mergeCell ref="D129:G129"/>
    <mergeCell ref="D130:G130"/>
    <mergeCell ref="D111:G111"/>
    <mergeCell ref="D112:G112"/>
    <mergeCell ref="D113:G113"/>
    <mergeCell ref="D114:G114"/>
    <mergeCell ref="D115:G115"/>
    <mergeCell ref="D116:G116"/>
    <mergeCell ref="D117:G117"/>
    <mergeCell ref="D109:G109"/>
    <mergeCell ref="D124:G124"/>
    <mergeCell ref="B169:G172"/>
    <mergeCell ref="D44:G44"/>
    <mergeCell ref="D45:G45"/>
    <mergeCell ref="D46:G46"/>
    <mergeCell ref="D95:G95"/>
    <mergeCell ref="D94:G94"/>
    <mergeCell ref="C88:G88"/>
    <mergeCell ref="D73:G73"/>
    <mergeCell ref="D74:G74"/>
    <mergeCell ref="D75:G75"/>
    <mergeCell ref="D76:G76"/>
    <mergeCell ref="D77:G77"/>
    <mergeCell ref="D78:G78"/>
    <mergeCell ref="D79:G79"/>
    <mergeCell ref="D80:G80"/>
    <mergeCell ref="D81:G81"/>
    <mergeCell ref="D82:G82"/>
    <mergeCell ref="D125:G125"/>
    <mergeCell ref="D126:G126"/>
    <mergeCell ref="D127:G127"/>
    <mergeCell ref="D128:G128"/>
    <mergeCell ref="D58:G58"/>
    <mergeCell ref="D59:G59"/>
    <mergeCell ref="D70:G70"/>
    <mergeCell ref="D69:G69"/>
    <mergeCell ref="D96:G96"/>
    <mergeCell ref="D97:G97"/>
    <mergeCell ref="D100:G100"/>
    <mergeCell ref="D83:G83"/>
    <mergeCell ref="D84:G84"/>
    <mergeCell ref="D85:G85"/>
    <mergeCell ref="D98:G98"/>
    <mergeCell ref="D99:G99"/>
    <mergeCell ref="C89:G92"/>
    <mergeCell ref="A3:G3"/>
    <mergeCell ref="C5:G5"/>
    <mergeCell ref="C6:G9"/>
    <mergeCell ref="E166:G166"/>
    <mergeCell ref="C155:G155"/>
    <mergeCell ref="C161:G161"/>
    <mergeCell ref="C162:G162"/>
    <mergeCell ref="C163:G163"/>
    <mergeCell ref="C164:G164"/>
    <mergeCell ref="C156:G156"/>
    <mergeCell ref="B6:B20"/>
    <mergeCell ref="C157:G157"/>
    <mergeCell ref="C158:G158"/>
    <mergeCell ref="C159:G159"/>
    <mergeCell ref="C160:G160"/>
    <mergeCell ref="D29:G29"/>
    <mergeCell ref="D30:G30"/>
    <mergeCell ref="D31:G31"/>
    <mergeCell ref="D32:G32"/>
    <mergeCell ref="D33:G33"/>
    <mergeCell ref="D34:G34"/>
    <mergeCell ref="D35:G35"/>
    <mergeCell ref="D36:G36"/>
    <mergeCell ref="B21:B48"/>
    <mergeCell ref="C21:G21"/>
    <mergeCell ref="C22:G26"/>
    <mergeCell ref="D27:G27"/>
    <mergeCell ref="D28:G28"/>
    <mergeCell ref="D37:G37"/>
    <mergeCell ref="D38:G38"/>
    <mergeCell ref="D39:G39"/>
    <mergeCell ref="D40:G40"/>
    <mergeCell ref="D41:G41"/>
    <mergeCell ref="D42:G42"/>
    <mergeCell ref="D43:G43"/>
    <mergeCell ref="D47:G47"/>
    <mergeCell ref="D48:G48"/>
    <mergeCell ref="C49:G49"/>
    <mergeCell ref="C50:G54"/>
    <mergeCell ref="B88:B102"/>
    <mergeCell ref="C103:G103"/>
    <mergeCell ref="C104:G108"/>
    <mergeCell ref="D55:G55"/>
    <mergeCell ref="D71:G71"/>
    <mergeCell ref="D72:G72"/>
    <mergeCell ref="D67:G67"/>
    <mergeCell ref="D68:G68"/>
    <mergeCell ref="D64:G64"/>
    <mergeCell ref="D65:G65"/>
    <mergeCell ref="D66:G66"/>
    <mergeCell ref="D56:G56"/>
    <mergeCell ref="D57:G57"/>
    <mergeCell ref="D60:G60"/>
    <mergeCell ref="D61:G61"/>
    <mergeCell ref="D62:G62"/>
    <mergeCell ref="D63:G63"/>
    <mergeCell ref="D10:G10"/>
    <mergeCell ref="D11:G11"/>
    <mergeCell ref="D12:G12"/>
    <mergeCell ref="D13:G13"/>
    <mergeCell ref="D14:G14"/>
    <mergeCell ref="D20:G20"/>
    <mergeCell ref="D17:G17"/>
    <mergeCell ref="D18:G18"/>
    <mergeCell ref="D15:G15"/>
    <mergeCell ref="D16:G16"/>
    <mergeCell ref="D19:G19"/>
  </mergeCells>
  <phoneticPr fontId="1"/>
  <printOptions horizontalCentered="1"/>
  <pageMargins left="0.78740157480314965" right="0.78740157480314965" top="0.59055118110236227" bottom="0.39370078740157483" header="0.31496062992125984" footer="0.31496062992125984"/>
  <pageSetup paperSize="9" orientation="landscape" r:id="rId1"/>
  <rowBreaks count="4" manualBreakCount="4">
    <brk id="20" max="16383" man="1"/>
    <brk id="48" max="16383" man="1"/>
    <brk id="102" max="16383" man="1"/>
    <brk id="15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8"/>
  <sheetViews>
    <sheetView showZeros="0" view="pageBreakPreview" zoomScaleNormal="100" zoomScaleSheetLayoutView="100" workbookViewId="0">
      <selection activeCell="F138" sqref="F138"/>
    </sheetView>
  </sheetViews>
  <sheetFormatPr defaultColWidth="11.375" defaultRowHeight="18.75" customHeight="1" x14ac:dyDescent="0.15"/>
  <cols>
    <col min="1" max="1" width="2.75" style="61" customWidth="1"/>
    <col min="2" max="2" width="54.25" style="9" customWidth="1"/>
    <col min="3" max="3" width="1.25" style="9" customWidth="1"/>
    <col min="4" max="4" width="22.5" style="9" customWidth="1"/>
    <col min="5" max="5" width="6.25" style="9" customWidth="1"/>
    <col min="6" max="16384" width="11.375" style="9"/>
  </cols>
  <sheetData>
    <row r="1" spans="1:11" ht="18.75" customHeight="1" x14ac:dyDescent="0.15">
      <c r="E1" s="56" t="s">
        <v>101</v>
      </c>
    </row>
    <row r="2" spans="1:11" ht="18.75" customHeight="1" x14ac:dyDescent="0.15">
      <c r="B2" s="56" t="s">
        <v>83</v>
      </c>
      <c r="C2" s="56" t="s">
        <v>8</v>
      </c>
      <c r="D2" s="184" t="s">
        <v>129</v>
      </c>
      <c r="E2" s="184"/>
    </row>
    <row r="3" spans="1:11" ht="7.5" customHeight="1" x14ac:dyDescent="0.15">
      <c r="B3" s="56"/>
      <c r="C3" s="56"/>
      <c r="D3" s="58"/>
      <c r="E3" s="58"/>
    </row>
    <row r="4" spans="1:11" ht="18.75" customHeight="1" x14ac:dyDescent="0.15">
      <c r="B4" s="164" t="s">
        <v>82</v>
      </c>
      <c r="C4" s="164"/>
      <c r="D4" s="164"/>
      <c r="E4" s="164"/>
    </row>
    <row r="5" spans="1:11" ht="7.5" customHeight="1" x14ac:dyDescent="0.15">
      <c r="B5" s="58"/>
      <c r="C5" s="58"/>
      <c r="D5" s="58"/>
      <c r="E5" s="58"/>
    </row>
    <row r="6" spans="1:11" ht="18.75" customHeight="1" x14ac:dyDescent="0.15">
      <c r="A6" s="13" t="s">
        <v>7</v>
      </c>
      <c r="B6" s="11" t="s">
        <v>93</v>
      </c>
      <c r="C6" s="58"/>
      <c r="D6" s="58"/>
      <c r="E6" s="58"/>
    </row>
    <row r="7" spans="1:11" ht="18.75" customHeight="1" x14ac:dyDescent="0.15">
      <c r="A7" s="13"/>
      <c r="B7" s="165" t="s">
        <v>136</v>
      </c>
      <c r="C7" s="166"/>
      <c r="D7" s="166"/>
      <c r="E7" s="167"/>
    </row>
    <row r="8" spans="1:11" ht="7.5" customHeight="1" x14ac:dyDescent="0.15">
      <c r="B8" s="58"/>
      <c r="C8" s="58"/>
      <c r="D8" s="58"/>
      <c r="E8" s="58"/>
    </row>
    <row r="9" spans="1:11" s="11" customFormat="1" ht="18.75" customHeight="1" x14ac:dyDescent="0.15">
      <c r="A9" s="13" t="s">
        <v>12</v>
      </c>
      <c r="B9" s="13" t="s">
        <v>44</v>
      </c>
      <c r="C9" s="13"/>
      <c r="D9" s="13"/>
      <c r="E9" s="13"/>
    </row>
    <row r="10" spans="1:11" s="10" customFormat="1" ht="18.75" customHeight="1" x14ac:dyDescent="0.15">
      <c r="A10" s="62"/>
      <c r="B10" s="291" t="s">
        <v>350</v>
      </c>
      <c r="C10" s="292"/>
      <c r="D10" s="292"/>
      <c r="E10" s="293"/>
    </row>
    <row r="11" spans="1:11" s="10" customFormat="1" ht="10.5" customHeight="1" x14ac:dyDescent="0.15">
      <c r="A11" s="62"/>
      <c r="B11" s="294"/>
      <c r="C11" s="295"/>
      <c r="D11" s="295"/>
      <c r="E11" s="296"/>
      <c r="K11" s="67"/>
    </row>
    <row r="12" spans="1:11" s="10" customFormat="1" ht="9" customHeight="1" x14ac:dyDescent="0.15">
      <c r="A12" s="62"/>
      <c r="B12" s="294"/>
      <c r="C12" s="295"/>
      <c r="D12" s="295"/>
      <c r="E12" s="296"/>
    </row>
    <row r="13" spans="1:11" s="10" customFormat="1" ht="9" customHeight="1" x14ac:dyDescent="0.15">
      <c r="A13" s="62"/>
      <c r="B13" s="294"/>
      <c r="C13" s="295"/>
      <c r="D13" s="295"/>
      <c r="E13" s="296"/>
    </row>
    <row r="14" spans="1:11" s="10" customFormat="1" ht="10.5" customHeight="1" x14ac:dyDescent="0.15">
      <c r="A14" s="62"/>
      <c r="B14" s="297"/>
      <c r="C14" s="298"/>
      <c r="D14" s="298"/>
      <c r="E14" s="299"/>
    </row>
    <row r="15" spans="1:11" s="10" customFormat="1" ht="7.5" customHeight="1" x14ac:dyDescent="0.15">
      <c r="A15" s="62"/>
      <c r="B15" s="62"/>
      <c r="C15" s="62"/>
      <c r="D15" s="62"/>
      <c r="E15" s="62"/>
    </row>
    <row r="16" spans="1:11" s="11" customFormat="1" ht="18.75" customHeight="1" x14ac:dyDescent="0.15">
      <c r="A16" s="63" t="s">
        <v>13</v>
      </c>
      <c r="B16" s="63" t="s">
        <v>19</v>
      </c>
      <c r="C16" s="63"/>
      <c r="D16" s="63"/>
      <c r="E16" s="63"/>
    </row>
    <row r="17" spans="1:6" s="10" customFormat="1" ht="18.75" customHeight="1" x14ac:dyDescent="0.15">
      <c r="A17" s="62"/>
      <c r="B17" s="300" t="s">
        <v>530</v>
      </c>
      <c r="C17" s="301"/>
      <c r="D17" s="301"/>
      <c r="E17" s="302"/>
      <c r="F17" s="9"/>
    </row>
    <row r="18" spans="1:6" s="10" customFormat="1" ht="18.75" customHeight="1" x14ac:dyDescent="0.15">
      <c r="A18" s="62"/>
      <c r="B18" s="303"/>
      <c r="C18" s="304"/>
      <c r="D18" s="304"/>
      <c r="E18" s="305"/>
    </row>
    <row r="19" spans="1:6" s="10" customFormat="1" ht="18.75" customHeight="1" x14ac:dyDescent="0.15">
      <c r="A19" s="62"/>
      <c r="B19" s="303"/>
      <c r="C19" s="304"/>
      <c r="D19" s="304"/>
      <c r="E19" s="305"/>
    </row>
    <row r="20" spans="1:6" s="10" customFormat="1" ht="18.75" customHeight="1" x14ac:dyDescent="0.15">
      <c r="A20" s="62"/>
      <c r="B20" s="303"/>
      <c r="C20" s="304"/>
      <c r="D20" s="304"/>
      <c r="E20" s="305"/>
    </row>
    <row r="21" spans="1:6" s="10" customFormat="1" ht="18.75" customHeight="1" x14ac:dyDescent="0.15">
      <c r="A21" s="62"/>
      <c r="B21" s="303"/>
      <c r="C21" s="304"/>
      <c r="D21" s="304"/>
      <c r="E21" s="305"/>
    </row>
    <row r="22" spans="1:6" s="10" customFormat="1" ht="18.75" customHeight="1" x14ac:dyDescent="0.15">
      <c r="A22" s="62"/>
      <c r="B22" s="303"/>
      <c r="C22" s="304"/>
      <c r="D22" s="304"/>
      <c r="E22" s="305"/>
    </row>
    <row r="23" spans="1:6" s="10" customFormat="1" ht="18.75" customHeight="1" x14ac:dyDescent="0.15">
      <c r="A23" s="62"/>
      <c r="B23" s="303"/>
      <c r="C23" s="304"/>
      <c r="D23" s="304"/>
      <c r="E23" s="305"/>
    </row>
    <row r="24" spans="1:6" s="10" customFormat="1" ht="18.75" customHeight="1" x14ac:dyDescent="0.15">
      <c r="A24" s="62"/>
      <c r="B24" s="303"/>
      <c r="C24" s="304"/>
      <c r="D24" s="304"/>
      <c r="E24" s="305"/>
    </row>
    <row r="25" spans="1:6" s="10" customFormat="1" ht="18.75" customHeight="1" x14ac:dyDescent="0.15">
      <c r="A25" s="62"/>
      <c r="B25" s="303"/>
      <c r="C25" s="304"/>
      <c r="D25" s="304"/>
      <c r="E25" s="305"/>
    </row>
    <row r="26" spans="1:6" s="10" customFormat="1" ht="18.75" customHeight="1" x14ac:dyDescent="0.15">
      <c r="A26" s="62"/>
      <c r="B26" s="303"/>
      <c r="C26" s="304"/>
      <c r="D26" s="304"/>
      <c r="E26" s="305"/>
    </row>
    <row r="27" spans="1:6" s="10" customFormat="1" ht="18.75" customHeight="1" x14ac:dyDescent="0.15">
      <c r="A27" s="62"/>
      <c r="B27" s="303"/>
      <c r="C27" s="304"/>
      <c r="D27" s="304"/>
      <c r="E27" s="305"/>
    </row>
    <row r="28" spans="1:6" s="10" customFormat="1" ht="18.75" customHeight="1" x14ac:dyDescent="0.15">
      <c r="A28" s="62"/>
      <c r="B28" s="306"/>
      <c r="C28" s="307"/>
      <c r="D28" s="307"/>
      <c r="E28" s="308"/>
    </row>
    <row r="29" spans="1:6" ht="7.5" customHeight="1" x14ac:dyDescent="0.15">
      <c r="A29" s="64"/>
      <c r="B29" s="64"/>
      <c r="C29" s="64"/>
      <c r="D29" s="64"/>
      <c r="E29" s="64"/>
    </row>
    <row r="30" spans="1:6" s="11" customFormat="1" ht="18.75" customHeight="1" x14ac:dyDescent="0.15">
      <c r="A30" s="13" t="s">
        <v>17</v>
      </c>
      <c r="B30" s="88" t="s">
        <v>30</v>
      </c>
      <c r="C30" s="13"/>
      <c r="D30" s="13"/>
      <c r="E30" s="13"/>
    </row>
    <row r="31" spans="1:6" s="11" customFormat="1" ht="18.75" customHeight="1" x14ac:dyDescent="0.15">
      <c r="A31" s="13"/>
      <c r="B31" s="291" t="s">
        <v>609</v>
      </c>
      <c r="C31" s="292"/>
      <c r="D31" s="292"/>
      <c r="E31" s="293"/>
      <c r="F31" s="9"/>
    </row>
    <row r="32" spans="1:6" s="11" customFormat="1" ht="18.75" customHeight="1" x14ac:dyDescent="0.15">
      <c r="A32" s="13"/>
      <c r="B32" s="294"/>
      <c r="C32" s="295"/>
      <c r="D32" s="295"/>
      <c r="E32" s="296"/>
    </row>
    <row r="33" spans="1:13" s="11" customFormat="1" ht="18.75" customHeight="1" x14ac:dyDescent="0.15">
      <c r="A33" s="13"/>
      <c r="B33" s="294"/>
      <c r="C33" s="295"/>
      <c r="D33" s="295"/>
      <c r="E33" s="296"/>
    </row>
    <row r="34" spans="1:13" s="11" customFormat="1" ht="18.75" customHeight="1" x14ac:dyDescent="0.15">
      <c r="A34" s="13"/>
      <c r="B34" s="294"/>
      <c r="C34" s="295"/>
      <c r="D34" s="295"/>
      <c r="E34" s="296"/>
    </row>
    <row r="35" spans="1:13" s="11" customFormat="1" ht="18.75" customHeight="1" x14ac:dyDescent="0.15">
      <c r="A35" s="13"/>
      <c r="B35" s="294"/>
      <c r="C35" s="295"/>
      <c r="D35" s="295"/>
      <c r="E35" s="296"/>
    </row>
    <row r="36" spans="1:13" s="11" customFormat="1" ht="18.75" customHeight="1" x14ac:dyDescent="0.15">
      <c r="A36" s="13"/>
      <c r="B36" s="294"/>
      <c r="C36" s="295"/>
      <c r="D36" s="295"/>
      <c r="E36" s="296"/>
    </row>
    <row r="37" spans="1:13" s="11" customFormat="1" ht="18.75" customHeight="1" x14ac:dyDescent="0.15">
      <c r="A37" s="13"/>
      <c r="B37" s="294"/>
      <c r="C37" s="295"/>
      <c r="D37" s="295"/>
      <c r="E37" s="296"/>
    </row>
    <row r="38" spans="1:13" s="11" customFormat="1" ht="18.75" customHeight="1" x14ac:dyDescent="0.15">
      <c r="A38" s="13"/>
      <c r="B38" s="294"/>
      <c r="C38" s="295"/>
      <c r="D38" s="295"/>
      <c r="E38" s="296"/>
    </row>
    <row r="39" spans="1:13" s="11" customFormat="1" ht="18.75" customHeight="1" x14ac:dyDescent="0.15">
      <c r="A39" s="13"/>
      <c r="B39" s="294"/>
      <c r="C39" s="295"/>
      <c r="D39" s="295"/>
      <c r="E39" s="296"/>
    </row>
    <row r="40" spans="1:13" s="11" customFormat="1" ht="18.75" customHeight="1" x14ac:dyDescent="0.15">
      <c r="A40" s="13"/>
      <c r="B40" s="294"/>
      <c r="C40" s="295"/>
      <c r="D40" s="295"/>
      <c r="E40" s="296"/>
    </row>
    <row r="41" spans="1:13" s="11" customFormat="1" ht="18.75" customHeight="1" x14ac:dyDescent="0.15">
      <c r="A41" s="13"/>
      <c r="B41" s="294"/>
      <c r="C41" s="295"/>
      <c r="D41" s="295"/>
      <c r="E41" s="296"/>
      <c r="F41" s="110"/>
      <c r="G41" s="109"/>
      <c r="H41" s="109"/>
      <c r="I41" s="109"/>
      <c r="J41" s="109"/>
      <c r="K41" s="109"/>
      <c r="L41" s="109"/>
      <c r="M41" s="109"/>
    </row>
    <row r="42" spans="1:13" s="11" customFormat="1" ht="18.75" customHeight="1" x14ac:dyDescent="0.15">
      <c r="A42" s="13"/>
      <c r="B42" s="294"/>
      <c r="C42" s="295"/>
      <c r="D42" s="295"/>
      <c r="E42" s="296"/>
      <c r="F42" s="111"/>
      <c r="G42" s="109"/>
      <c r="H42" s="109"/>
      <c r="I42" s="109"/>
      <c r="J42" s="109"/>
      <c r="K42" s="109"/>
      <c r="L42" s="109"/>
      <c r="M42" s="109"/>
    </row>
    <row r="43" spans="1:13" s="11" customFormat="1" ht="18.75" customHeight="1" x14ac:dyDescent="0.15">
      <c r="A43" s="13"/>
      <c r="B43" s="294"/>
      <c r="C43" s="295"/>
      <c r="D43" s="295"/>
      <c r="E43" s="296"/>
      <c r="F43" s="232"/>
      <c r="G43" s="233"/>
      <c r="H43" s="233"/>
      <c r="I43" s="233"/>
      <c r="J43" s="233"/>
      <c r="K43" s="233"/>
      <c r="L43" s="233"/>
      <c r="M43" s="233"/>
    </row>
    <row r="44" spans="1:13" s="11" customFormat="1" ht="18.75" customHeight="1" x14ac:dyDescent="0.15">
      <c r="A44" s="13"/>
      <c r="B44" s="294"/>
      <c r="C44" s="295"/>
      <c r="D44" s="295"/>
      <c r="E44" s="296"/>
      <c r="F44" s="232"/>
      <c r="G44" s="233"/>
      <c r="H44" s="233"/>
      <c r="I44" s="233"/>
      <c r="J44" s="233"/>
      <c r="K44" s="233"/>
      <c r="L44" s="233"/>
      <c r="M44" s="233"/>
    </row>
    <row r="45" spans="1:13" ht="18.75" customHeight="1" x14ac:dyDescent="0.15">
      <c r="A45" s="64"/>
      <c r="B45" s="294"/>
      <c r="C45" s="295"/>
      <c r="D45" s="295"/>
      <c r="E45" s="296"/>
      <c r="F45" s="232"/>
      <c r="G45" s="233"/>
      <c r="H45" s="233"/>
      <c r="I45" s="233"/>
      <c r="J45" s="233"/>
      <c r="K45" s="233"/>
      <c r="L45" s="233"/>
      <c r="M45" s="233"/>
    </row>
    <row r="46" spans="1:13" ht="49.15" customHeight="1" x14ac:dyDescent="0.15">
      <c r="A46" s="64"/>
      <c r="B46" s="297"/>
      <c r="C46" s="298"/>
      <c r="D46" s="298"/>
      <c r="E46" s="299"/>
      <c r="F46" s="232"/>
      <c r="G46" s="233"/>
      <c r="H46" s="233"/>
      <c r="I46" s="233"/>
      <c r="J46" s="233"/>
      <c r="K46" s="233"/>
      <c r="L46" s="233"/>
      <c r="M46" s="233"/>
    </row>
    <row r="47" spans="1:13" ht="9" customHeight="1" x14ac:dyDescent="0.15">
      <c r="A47" s="64"/>
      <c r="B47" s="102"/>
      <c r="C47" s="102"/>
      <c r="D47" s="102"/>
      <c r="E47" s="102"/>
    </row>
    <row r="48" spans="1:13" s="11" customFormat="1" ht="36.6" customHeight="1" x14ac:dyDescent="0.15">
      <c r="A48" s="63" t="s">
        <v>14</v>
      </c>
      <c r="B48" s="13" t="s">
        <v>478</v>
      </c>
      <c r="C48" s="63"/>
      <c r="D48" s="63"/>
      <c r="E48" s="63"/>
    </row>
    <row r="49" spans="1:5" ht="18.75" customHeight="1" x14ac:dyDescent="0.15">
      <c r="A49" s="64"/>
      <c r="B49" s="291" t="s">
        <v>531</v>
      </c>
      <c r="C49" s="310"/>
      <c r="D49" s="310"/>
      <c r="E49" s="311"/>
    </row>
    <row r="50" spans="1:5" ht="18.75" customHeight="1" x14ac:dyDescent="0.15">
      <c r="A50" s="64"/>
      <c r="B50" s="312"/>
      <c r="C50" s="313"/>
      <c r="D50" s="313"/>
      <c r="E50" s="314"/>
    </row>
    <row r="51" spans="1:5" ht="18.75" customHeight="1" x14ac:dyDescent="0.15">
      <c r="A51" s="64"/>
      <c r="B51" s="312"/>
      <c r="C51" s="313"/>
      <c r="D51" s="313"/>
      <c r="E51" s="314"/>
    </row>
    <row r="52" spans="1:5" ht="18.75" customHeight="1" x14ac:dyDescent="0.15">
      <c r="A52" s="64"/>
      <c r="B52" s="312"/>
      <c r="C52" s="313"/>
      <c r="D52" s="313"/>
      <c r="E52" s="314"/>
    </row>
    <row r="53" spans="1:5" ht="18.75" customHeight="1" x14ac:dyDescent="0.15">
      <c r="A53" s="64"/>
      <c r="B53" s="312"/>
      <c r="C53" s="313"/>
      <c r="D53" s="313"/>
      <c r="E53" s="314"/>
    </row>
    <row r="54" spans="1:5" ht="18.75" customHeight="1" x14ac:dyDescent="0.15">
      <c r="A54" s="64"/>
      <c r="B54" s="312"/>
      <c r="C54" s="313"/>
      <c r="D54" s="313"/>
      <c r="E54" s="314"/>
    </row>
    <row r="55" spans="1:5" ht="18.75" customHeight="1" x14ac:dyDescent="0.15">
      <c r="A55" s="64"/>
      <c r="B55" s="312"/>
      <c r="C55" s="313"/>
      <c r="D55" s="313"/>
      <c r="E55" s="314"/>
    </row>
    <row r="56" spans="1:5" ht="18.75" customHeight="1" x14ac:dyDescent="0.15">
      <c r="A56" s="64"/>
      <c r="B56" s="312"/>
      <c r="C56" s="313"/>
      <c r="D56" s="313"/>
      <c r="E56" s="314"/>
    </row>
    <row r="57" spans="1:5" ht="18.75" customHeight="1" x14ac:dyDescent="0.15">
      <c r="A57" s="64"/>
      <c r="B57" s="312"/>
      <c r="C57" s="313"/>
      <c r="D57" s="313"/>
      <c r="E57" s="314"/>
    </row>
    <row r="58" spans="1:5" ht="18.75" customHeight="1" x14ac:dyDescent="0.15">
      <c r="A58" s="64"/>
      <c r="B58" s="312"/>
      <c r="C58" s="313"/>
      <c r="D58" s="313"/>
      <c r="E58" s="314"/>
    </row>
    <row r="59" spans="1:5" ht="18.75" customHeight="1" x14ac:dyDescent="0.15">
      <c r="A59" s="64"/>
      <c r="B59" s="312"/>
      <c r="C59" s="313"/>
      <c r="D59" s="313"/>
      <c r="E59" s="314"/>
    </row>
    <row r="60" spans="1:5" ht="18.75" customHeight="1" x14ac:dyDescent="0.15">
      <c r="A60" s="64"/>
      <c r="B60" s="312"/>
      <c r="C60" s="313"/>
      <c r="D60" s="313"/>
      <c r="E60" s="314"/>
    </row>
    <row r="61" spans="1:5" ht="18.75" customHeight="1" x14ac:dyDescent="0.15">
      <c r="A61" s="64"/>
      <c r="B61" s="312"/>
      <c r="C61" s="313"/>
      <c r="D61" s="313"/>
      <c r="E61" s="314"/>
    </row>
    <row r="62" spans="1:5" ht="18.75" customHeight="1" x14ac:dyDescent="0.15">
      <c r="A62" s="64"/>
      <c r="B62" s="312"/>
      <c r="C62" s="313"/>
      <c r="D62" s="313"/>
      <c r="E62" s="314"/>
    </row>
    <row r="63" spans="1:5" ht="18.75" customHeight="1" x14ac:dyDescent="0.15">
      <c r="A63" s="64"/>
      <c r="B63" s="312"/>
      <c r="C63" s="313"/>
      <c r="D63" s="313"/>
      <c r="E63" s="314"/>
    </row>
    <row r="64" spans="1:5" ht="18.75" customHeight="1" x14ac:dyDescent="0.15">
      <c r="A64" s="64"/>
      <c r="B64" s="312"/>
      <c r="C64" s="313"/>
      <c r="D64" s="313"/>
      <c r="E64" s="314"/>
    </row>
    <row r="65" spans="1:6" ht="18.75" customHeight="1" x14ac:dyDescent="0.15">
      <c r="A65" s="64"/>
      <c r="B65" s="312"/>
      <c r="C65" s="313"/>
      <c r="D65" s="313"/>
      <c r="E65" s="314"/>
    </row>
    <row r="66" spans="1:6" ht="18.75" customHeight="1" x14ac:dyDescent="0.15">
      <c r="A66" s="64"/>
      <c r="B66" s="312"/>
      <c r="C66" s="313"/>
      <c r="D66" s="313"/>
      <c r="E66" s="314"/>
    </row>
    <row r="67" spans="1:6" ht="18.75" customHeight="1" x14ac:dyDescent="0.15">
      <c r="A67" s="64"/>
      <c r="B67" s="312"/>
      <c r="C67" s="313"/>
      <c r="D67" s="313"/>
      <c r="E67" s="314"/>
    </row>
    <row r="68" spans="1:6" ht="18.75" customHeight="1" x14ac:dyDescent="0.15">
      <c r="A68" s="64"/>
      <c r="B68" s="312"/>
      <c r="C68" s="313"/>
      <c r="D68" s="313"/>
      <c r="E68" s="314"/>
    </row>
    <row r="69" spans="1:6" ht="18.75" customHeight="1" x14ac:dyDescent="0.15">
      <c r="A69" s="64"/>
      <c r="B69" s="315"/>
      <c r="C69" s="316"/>
      <c r="D69" s="316"/>
      <c r="E69" s="317"/>
    </row>
    <row r="70" spans="1:6" ht="7.5" customHeight="1" x14ac:dyDescent="0.15">
      <c r="A70" s="64"/>
      <c r="B70" s="64"/>
      <c r="C70" s="64"/>
      <c r="D70" s="64"/>
      <c r="E70" s="64"/>
    </row>
    <row r="71" spans="1:6" s="11" customFormat="1" ht="18.75" customHeight="1" x14ac:dyDescent="0.15">
      <c r="A71" s="13" t="s">
        <v>18</v>
      </c>
      <c r="B71" s="13" t="s">
        <v>92</v>
      </c>
      <c r="C71" s="13"/>
      <c r="D71" s="13"/>
      <c r="E71" s="13"/>
    </row>
    <row r="72" spans="1:6" s="11" customFormat="1" ht="18.75" customHeight="1" x14ac:dyDescent="0.15">
      <c r="A72" s="13"/>
      <c r="B72" s="291" t="s">
        <v>610</v>
      </c>
      <c r="C72" s="292"/>
      <c r="D72" s="292"/>
      <c r="E72" s="293"/>
      <c r="F72" s="9"/>
    </row>
    <row r="73" spans="1:6" s="11" customFormat="1" ht="18.75" customHeight="1" x14ac:dyDescent="0.15">
      <c r="A73" s="13"/>
      <c r="B73" s="294"/>
      <c r="C73" s="295"/>
      <c r="D73" s="295"/>
      <c r="E73" s="296"/>
    </row>
    <row r="74" spans="1:6" s="11" customFormat="1" ht="18.75" customHeight="1" x14ac:dyDescent="0.15">
      <c r="A74" s="13"/>
      <c r="B74" s="294"/>
      <c r="C74" s="295"/>
      <c r="D74" s="295"/>
      <c r="E74" s="296"/>
    </row>
    <row r="75" spans="1:6" s="11" customFormat="1" ht="18.75" customHeight="1" x14ac:dyDescent="0.15">
      <c r="A75" s="13"/>
      <c r="B75" s="294"/>
      <c r="C75" s="295"/>
      <c r="D75" s="295"/>
      <c r="E75" s="296"/>
    </row>
    <row r="76" spans="1:6" s="11" customFormat="1" ht="18.75" customHeight="1" x14ac:dyDescent="0.15">
      <c r="A76" s="13"/>
      <c r="B76" s="294"/>
      <c r="C76" s="295"/>
      <c r="D76" s="295"/>
      <c r="E76" s="296"/>
    </row>
    <row r="77" spans="1:6" s="11" customFormat="1" ht="18.75" customHeight="1" x14ac:dyDescent="0.15">
      <c r="A77" s="13"/>
      <c r="B77" s="294"/>
      <c r="C77" s="295"/>
      <c r="D77" s="295"/>
      <c r="E77" s="296"/>
    </row>
    <row r="78" spans="1:6" s="11" customFormat="1" ht="18.75" customHeight="1" x14ac:dyDescent="0.15">
      <c r="A78" s="13"/>
      <c r="B78" s="294"/>
      <c r="C78" s="295"/>
      <c r="D78" s="295"/>
      <c r="E78" s="296"/>
    </row>
    <row r="79" spans="1:6" s="11" customFormat="1" ht="18.75" customHeight="1" x14ac:dyDescent="0.15">
      <c r="A79" s="13"/>
      <c r="B79" s="294"/>
      <c r="C79" s="295"/>
      <c r="D79" s="295"/>
      <c r="E79" s="296"/>
    </row>
    <row r="80" spans="1:6" s="11" customFormat="1" ht="18.75" customHeight="1" x14ac:dyDescent="0.15">
      <c r="A80" s="13"/>
      <c r="B80" s="294"/>
      <c r="C80" s="295"/>
      <c r="D80" s="295"/>
      <c r="E80" s="296"/>
    </row>
    <row r="81" spans="1:6" s="11" customFormat="1" ht="18.75" customHeight="1" x14ac:dyDescent="0.15">
      <c r="A81" s="13"/>
      <c r="B81" s="294"/>
      <c r="C81" s="295"/>
      <c r="D81" s="295"/>
      <c r="E81" s="296"/>
    </row>
    <row r="82" spans="1:6" s="11" customFormat="1" ht="18.75" customHeight="1" x14ac:dyDescent="0.15">
      <c r="A82" s="13"/>
      <c r="B82" s="294"/>
      <c r="C82" s="295"/>
      <c r="D82" s="295"/>
      <c r="E82" s="296"/>
    </row>
    <row r="83" spans="1:6" s="11" customFormat="1" ht="18.75" customHeight="1" x14ac:dyDescent="0.15">
      <c r="A83" s="13"/>
      <c r="B83" s="294"/>
      <c r="C83" s="295"/>
      <c r="D83" s="295"/>
      <c r="E83" s="296"/>
    </row>
    <row r="84" spans="1:6" s="11" customFormat="1" ht="18.75" customHeight="1" x14ac:dyDescent="0.15">
      <c r="A84" s="13"/>
      <c r="B84" s="294"/>
      <c r="C84" s="295"/>
      <c r="D84" s="295"/>
      <c r="E84" s="296"/>
    </row>
    <row r="85" spans="1:6" s="11" customFormat="1" ht="18.75" customHeight="1" x14ac:dyDescent="0.15">
      <c r="A85" s="13"/>
      <c r="B85" s="294"/>
      <c r="C85" s="295"/>
      <c r="D85" s="295"/>
      <c r="E85" s="296"/>
    </row>
    <row r="86" spans="1:6" s="11" customFormat="1" ht="18.75" customHeight="1" x14ac:dyDescent="0.15">
      <c r="A86" s="13"/>
      <c r="B86" s="294"/>
      <c r="C86" s="295"/>
      <c r="D86" s="295"/>
      <c r="E86" s="296"/>
    </row>
    <row r="87" spans="1:6" s="11" customFormat="1" ht="18.75" customHeight="1" x14ac:dyDescent="0.15">
      <c r="A87" s="13"/>
      <c r="B87" s="294"/>
      <c r="C87" s="295"/>
      <c r="D87" s="295"/>
      <c r="E87" s="296"/>
    </row>
    <row r="88" spans="1:6" ht="18.75" customHeight="1" x14ac:dyDescent="0.15">
      <c r="A88" s="64"/>
      <c r="B88" s="294"/>
      <c r="C88" s="295"/>
      <c r="D88" s="295"/>
      <c r="E88" s="296"/>
    </row>
    <row r="89" spans="1:6" ht="18.75" customHeight="1" x14ac:dyDescent="0.15">
      <c r="A89" s="64"/>
      <c r="B89" s="297"/>
      <c r="C89" s="298"/>
      <c r="D89" s="298"/>
      <c r="E89" s="299"/>
    </row>
    <row r="90" spans="1:6" ht="7.5" customHeight="1" x14ac:dyDescent="0.15">
      <c r="A90" s="64"/>
      <c r="B90" s="64"/>
      <c r="C90" s="64"/>
      <c r="D90" s="64"/>
      <c r="E90" s="64"/>
    </row>
    <row r="91" spans="1:6" s="11" customFormat="1" ht="18.75" customHeight="1" x14ac:dyDescent="0.15">
      <c r="A91" s="13" t="s">
        <v>15</v>
      </c>
      <c r="B91" s="13" t="s">
        <v>34</v>
      </c>
      <c r="C91" s="13"/>
      <c r="D91" s="13"/>
      <c r="E91" s="13"/>
    </row>
    <row r="92" spans="1:6" s="11" customFormat="1" ht="18.75" customHeight="1" x14ac:dyDescent="0.15">
      <c r="A92" s="13"/>
      <c r="B92" s="291" t="s">
        <v>611</v>
      </c>
      <c r="C92" s="292"/>
      <c r="D92" s="292"/>
      <c r="E92" s="293"/>
      <c r="F92" s="9"/>
    </row>
    <row r="93" spans="1:6" s="11" customFormat="1" ht="18.75" customHeight="1" x14ac:dyDescent="0.15">
      <c r="A93" s="13"/>
      <c r="B93" s="294"/>
      <c r="C93" s="295"/>
      <c r="D93" s="295"/>
      <c r="E93" s="296"/>
    </row>
    <row r="94" spans="1:6" s="11" customFormat="1" ht="18.75" customHeight="1" x14ac:dyDescent="0.15">
      <c r="A94" s="13"/>
      <c r="B94" s="294"/>
      <c r="C94" s="295"/>
      <c r="D94" s="295"/>
      <c r="E94" s="296"/>
    </row>
    <row r="95" spans="1:6" s="11" customFormat="1" ht="18.75" customHeight="1" x14ac:dyDescent="0.15">
      <c r="A95" s="13"/>
      <c r="B95" s="294"/>
      <c r="C95" s="295"/>
      <c r="D95" s="295"/>
      <c r="E95" s="296"/>
    </row>
    <row r="96" spans="1:6" s="11" customFormat="1" ht="18.75" customHeight="1" x14ac:dyDescent="0.15">
      <c r="A96" s="13"/>
      <c r="B96" s="294"/>
      <c r="C96" s="295"/>
      <c r="D96" s="295"/>
      <c r="E96" s="296"/>
    </row>
    <row r="97" spans="1:5" s="11" customFormat="1" ht="18.75" customHeight="1" x14ac:dyDescent="0.15">
      <c r="A97" s="13"/>
      <c r="B97" s="294"/>
      <c r="C97" s="295"/>
      <c r="D97" s="295"/>
      <c r="E97" s="296"/>
    </row>
    <row r="98" spans="1:5" s="11" customFormat="1" ht="18.75" customHeight="1" x14ac:dyDescent="0.15">
      <c r="A98" s="13"/>
      <c r="B98" s="294"/>
      <c r="C98" s="295"/>
      <c r="D98" s="295"/>
      <c r="E98" s="296"/>
    </row>
    <row r="99" spans="1:5" s="11" customFormat="1" ht="18.75" customHeight="1" x14ac:dyDescent="0.15">
      <c r="A99" s="13"/>
      <c r="B99" s="294"/>
      <c r="C99" s="295"/>
      <c r="D99" s="295"/>
      <c r="E99" s="296"/>
    </row>
    <row r="100" spans="1:5" s="11" customFormat="1" ht="18.75" customHeight="1" x14ac:dyDescent="0.15">
      <c r="A100" s="13"/>
      <c r="B100" s="294"/>
      <c r="C100" s="295"/>
      <c r="D100" s="295"/>
      <c r="E100" s="296"/>
    </row>
    <row r="101" spans="1:5" s="11" customFormat="1" ht="18.75" customHeight="1" x14ac:dyDescent="0.15">
      <c r="A101" s="13"/>
      <c r="B101" s="294"/>
      <c r="C101" s="295"/>
      <c r="D101" s="295"/>
      <c r="E101" s="296"/>
    </row>
    <row r="102" spans="1:5" s="11" customFormat="1" ht="18.75" customHeight="1" x14ac:dyDescent="0.15">
      <c r="A102" s="13"/>
      <c r="B102" s="294"/>
      <c r="C102" s="295"/>
      <c r="D102" s="295"/>
      <c r="E102" s="296"/>
    </row>
    <row r="103" spans="1:5" s="11" customFormat="1" ht="18.75" customHeight="1" x14ac:dyDescent="0.15">
      <c r="A103" s="13"/>
      <c r="B103" s="294"/>
      <c r="C103" s="295"/>
      <c r="D103" s="295"/>
      <c r="E103" s="296"/>
    </row>
    <row r="104" spans="1:5" s="11" customFormat="1" ht="18.75" customHeight="1" x14ac:dyDescent="0.15">
      <c r="A104" s="13"/>
      <c r="B104" s="294"/>
      <c r="C104" s="295"/>
      <c r="D104" s="295"/>
      <c r="E104" s="296"/>
    </row>
    <row r="105" spans="1:5" s="11" customFormat="1" ht="18.75" customHeight="1" x14ac:dyDescent="0.15">
      <c r="A105" s="13"/>
      <c r="B105" s="294"/>
      <c r="C105" s="295"/>
      <c r="D105" s="295"/>
      <c r="E105" s="296"/>
    </row>
    <row r="106" spans="1:5" s="11" customFormat="1" ht="18.75" customHeight="1" x14ac:dyDescent="0.15">
      <c r="A106" s="13"/>
      <c r="B106" s="294"/>
      <c r="C106" s="295"/>
      <c r="D106" s="295"/>
      <c r="E106" s="296"/>
    </row>
    <row r="107" spans="1:5" s="11" customFormat="1" ht="18.75" customHeight="1" x14ac:dyDescent="0.15">
      <c r="A107" s="13"/>
      <c r="B107" s="294"/>
      <c r="C107" s="295"/>
      <c r="D107" s="295"/>
      <c r="E107" s="296"/>
    </row>
    <row r="108" spans="1:5" s="11" customFormat="1" ht="18.75" customHeight="1" x14ac:dyDescent="0.15">
      <c r="A108" s="13"/>
      <c r="B108" s="294"/>
      <c r="C108" s="295"/>
      <c r="D108" s="295"/>
      <c r="E108" s="296"/>
    </row>
    <row r="109" spans="1:5" s="11" customFormat="1" ht="18.75" customHeight="1" x14ac:dyDescent="0.15">
      <c r="A109" s="13"/>
      <c r="B109" s="294"/>
      <c r="C109" s="295"/>
      <c r="D109" s="295"/>
      <c r="E109" s="296"/>
    </row>
    <row r="110" spans="1:5" ht="18.75" customHeight="1" x14ac:dyDescent="0.15">
      <c r="A110" s="64"/>
      <c r="B110" s="294"/>
      <c r="C110" s="295"/>
      <c r="D110" s="295"/>
      <c r="E110" s="296"/>
    </row>
    <row r="111" spans="1:5" ht="18.75" customHeight="1" x14ac:dyDescent="0.15">
      <c r="A111" s="64"/>
      <c r="B111" s="297"/>
      <c r="C111" s="298"/>
      <c r="D111" s="298"/>
      <c r="E111" s="299"/>
    </row>
    <row r="112" spans="1:5" ht="7.5" customHeight="1" x14ac:dyDescent="0.15">
      <c r="A112" s="64"/>
      <c r="B112" s="64"/>
      <c r="C112" s="64"/>
      <c r="D112" s="64"/>
      <c r="E112" s="64"/>
    </row>
    <row r="113" spans="1:5" s="11" customFormat="1" ht="18.75" customHeight="1" x14ac:dyDescent="0.15">
      <c r="A113" s="13" t="s">
        <v>60</v>
      </c>
      <c r="B113" s="309" t="s">
        <v>127</v>
      </c>
      <c r="C113" s="309"/>
      <c r="D113" s="309"/>
      <c r="E113" s="309"/>
    </row>
    <row r="114" spans="1:5" ht="18.75" customHeight="1" x14ac:dyDescent="0.15">
      <c r="A114" s="64"/>
      <c r="B114" s="291" t="s">
        <v>353</v>
      </c>
      <c r="C114" s="292"/>
      <c r="D114" s="292"/>
      <c r="E114" s="293"/>
    </row>
    <row r="115" spans="1:5" ht="18.75" customHeight="1" x14ac:dyDescent="0.15">
      <c r="A115" s="64"/>
      <c r="B115" s="294"/>
      <c r="C115" s="295"/>
      <c r="D115" s="295"/>
      <c r="E115" s="296"/>
    </row>
    <row r="116" spans="1:5" ht="18.75" customHeight="1" x14ac:dyDescent="0.15">
      <c r="A116" s="64"/>
      <c r="B116" s="294"/>
      <c r="C116" s="295"/>
      <c r="D116" s="295"/>
      <c r="E116" s="296"/>
    </row>
    <row r="117" spans="1:5" ht="18.75" customHeight="1" x14ac:dyDescent="0.15">
      <c r="A117" s="64"/>
      <c r="B117" s="294"/>
      <c r="C117" s="295"/>
      <c r="D117" s="295"/>
      <c r="E117" s="296"/>
    </row>
    <row r="118" spans="1:5" ht="18.75" customHeight="1" x14ac:dyDescent="0.15">
      <c r="A118" s="64"/>
      <c r="B118" s="294"/>
      <c r="C118" s="295"/>
      <c r="D118" s="295"/>
      <c r="E118" s="296"/>
    </row>
    <row r="119" spans="1:5" ht="18.75" customHeight="1" x14ac:dyDescent="0.15">
      <c r="A119" s="64"/>
      <c r="B119" s="294"/>
      <c r="C119" s="295"/>
      <c r="D119" s="295"/>
      <c r="E119" s="296"/>
    </row>
    <row r="120" spans="1:5" ht="18.75" customHeight="1" x14ac:dyDescent="0.15">
      <c r="A120" s="64"/>
      <c r="B120" s="294"/>
      <c r="C120" s="295"/>
      <c r="D120" s="295"/>
      <c r="E120" s="296"/>
    </row>
    <row r="121" spans="1:5" ht="18.75" customHeight="1" x14ac:dyDescent="0.15">
      <c r="A121" s="64"/>
      <c r="B121" s="294"/>
      <c r="C121" s="295"/>
      <c r="D121" s="295"/>
      <c r="E121" s="296"/>
    </row>
    <row r="122" spans="1:5" ht="18.75" customHeight="1" x14ac:dyDescent="0.15">
      <c r="A122" s="64"/>
      <c r="B122" s="294"/>
      <c r="C122" s="295"/>
      <c r="D122" s="295"/>
      <c r="E122" s="296"/>
    </row>
    <row r="123" spans="1:5" ht="18.75" customHeight="1" x14ac:dyDescent="0.15">
      <c r="A123" s="64"/>
      <c r="B123" s="294"/>
      <c r="C123" s="295"/>
      <c r="D123" s="295"/>
      <c r="E123" s="296"/>
    </row>
    <row r="124" spans="1:5" ht="18.75" customHeight="1" x14ac:dyDescent="0.15">
      <c r="A124" s="64"/>
      <c r="B124" s="294"/>
      <c r="C124" s="295"/>
      <c r="D124" s="295"/>
      <c r="E124" s="296"/>
    </row>
    <row r="125" spans="1:5" ht="18.75" customHeight="1" x14ac:dyDescent="0.15">
      <c r="A125" s="64"/>
      <c r="B125" s="294"/>
      <c r="C125" s="295"/>
      <c r="D125" s="295"/>
      <c r="E125" s="296"/>
    </row>
    <row r="126" spans="1:5" ht="18.75" customHeight="1" x14ac:dyDescent="0.15">
      <c r="A126" s="64"/>
      <c r="B126" s="294"/>
      <c r="C126" s="295"/>
      <c r="D126" s="295"/>
      <c r="E126" s="296"/>
    </row>
    <row r="127" spans="1:5" ht="18.75" customHeight="1" x14ac:dyDescent="0.15">
      <c r="A127" s="64"/>
      <c r="B127" s="294"/>
      <c r="C127" s="295"/>
      <c r="D127" s="295"/>
      <c r="E127" s="296"/>
    </row>
    <row r="128" spans="1:5" ht="18.75" customHeight="1" x14ac:dyDescent="0.15">
      <c r="A128" s="64"/>
      <c r="B128" s="294"/>
      <c r="C128" s="295"/>
      <c r="D128" s="295"/>
      <c r="E128" s="296"/>
    </row>
    <row r="129" spans="1:5" ht="18.75" customHeight="1" x14ac:dyDescent="0.15">
      <c r="A129" s="64"/>
      <c r="B129" s="294"/>
      <c r="C129" s="295"/>
      <c r="D129" s="295"/>
      <c r="E129" s="296"/>
    </row>
    <row r="130" spans="1:5" ht="18.75" customHeight="1" x14ac:dyDescent="0.15">
      <c r="A130" s="64"/>
      <c r="B130" s="294"/>
      <c r="C130" s="295"/>
      <c r="D130" s="295"/>
      <c r="E130" s="296"/>
    </row>
    <row r="131" spans="1:5" ht="18.75" customHeight="1" x14ac:dyDescent="0.15">
      <c r="A131" s="64"/>
      <c r="B131" s="294"/>
      <c r="C131" s="295"/>
      <c r="D131" s="295"/>
      <c r="E131" s="296"/>
    </row>
    <row r="132" spans="1:5" ht="18.75" customHeight="1" x14ac:dyDescent="0.15">
      <c r="A132" s="64"/>
      <c r="B132" s="294"/>
      <c r="C132" s="295"/>
      <c r="D132" s="295"/>
      <c r="E132" s="296"/>
    </row>
    <row r="133" spans="1:5" ht="18.75" customHeight="1" x14ac:dyDescent="0.15">
      <c r="A133" s="64"/>
      <c r="B133" s="297"/>
      <c r="C133" s="298"/>
      <c r="D133" s="298"/>
      <c r="E133" s="299"/>
    </row>
    <row r="134" spans="1:5" ht="7.5" customHeight="1" x14ac:dyDescent="0.15">
      <c r="A134" s="64"/>
      <c r="B134" s="65"/>
      <c r="C134" s="65"/>
      <c r="D134" s="65"/>
      <c r="E134" s="65"/>
    </row>
    <row r="135" spans="1:5" ht="18.75" customHeight="1" x14ac:dyDescent="0.15">
      <c r="A135" s="64"/>
      <c r="B135" s="64"/>
      <c r="C135" s="64"/>
      <c r="D135" s="64"/>
      <c r="E135" s="64"/>
    </row>
    <row r="136" spans="1:5" ht="18.75" customHeight="1" x14ac:dyDescent="0.15">
      <c r="A136" s="64"/>
      <c r="B136" s="64"/>
      <c r="C136" s="64"/>
      <c r="D136" s="64"/>
      <c r="E136" s="64"/>
    </row>
    <row r="137" spans="1:5" ht="18.75" customHeight="1" x14ac:dyDescent="0.15">
      <c r="A137" s="64"/>
      <c r="B137" s="64"/>
      <c r="C137" s="64"/>
      <c r="D137" s="64"/>
      <c r="E137" s="64"/>
    </row>
    <row r="138" spans="1:5" ht="18.75" customHeight="1" x14ac:dyDescent="0.15">
      <c r="A138" s="64"/>
      <c r="B138" s="64"/>
      <c r="C138" s="64"/>
      <c r="D138" s="64"/>
      <c r="E138" s="64"/>
    </row>
    <row r="139" spans="1:5" ht="18.75" customHeight="1" x14ac:dyDescent="0.15">
      <c r="A139" s="64"/>
      <c r="B139" s="64"/>
      <c r="C139" s="64"/>
      <c r="D139" s="64"/>
      <c r="E139" s="64"/>
    </row>
    <row r="140" spans="1:5" ht="18.75" customHeight="1" x14ac:dyDescent="0.15">
      <c r="A140" s="64"/>
      <c r="B140" s="64"/>
      <c r="C140" s="64"/>
      <c r="D140" s="64"/>
      <c r="E140" s="64"/>
    </row>
    <row r="141" spans="1:5" ht="18.75" customHeight="1" x14ac:dyDescent="0.15">
      <c r="A141" s="64"/>
      <c r="B141" s="64"/>
      <c r="C141" s="64"/>
      <c r="D141" s="64"/>
      <c r="E141" s="64"/>
    </row>
    <row r="142" spans="1:5" ht="18.75" customHeight="1" x14ac:dyDescent="0.15">
      <c r="A142" s="64"/>
      <c r="B142" s="64"/>
      <c r="C142" s="64"/>
      <c r="D142" s="64"/>
      <c r="E142" s="64"/>
    </row>
    <row r="143" spans="1:5" ht="18.75" customHeight="1" x14ac:dyDescent="0.15">
      <c r="A143" s="64"/>
      <c r="B143" s="64"/>
      <c r="C143" s="64"/>
      <c r="D143" s="64"/>
      <c r="E143" s="64"/>
    </row>
    <row r="144" spans="1:5" ht="18.75" customHeight="1" x14ac:dyDescent="0.15">
      <c r="A144" s="64"/>
      <c r="B144" s="64"/>
      <c r="C144" s="64"/>
      <c r="D144" s="64"/>
      <c r="E144" s="64"/>
    </row>
    <row r="145" spans="1:5" ht="18.75" customHeight="1" x14ac:dyDescent="0.15">
      <c r="A145" s="64"/>
      <c r="B145" s="64"/>
      <c r="C145" s="64"/>
      <c r="D145" s="64"/>
      <c r="E145" s="64"/>
    </row>
    <row r="146" spans="1:5" ht="18.75" customHeight="1" x14ac:dyDescent="0.15">
      <c r="A146" s="64"/>
      <c r="B146" s="64"/>
      <c r="C146" s="64"/>
      <c r="D146" s="64"/>
      <c r="E146" s="64"/>
    </row>
    <row r="147" spans="1:5" ht="14.25" x14ac:dyDescent="0.15">
      <c r="A147" s="64"/>
      <c r="B147" s="64"/>
      <c r="C147" s="64"/>
      <c r="D147" s="64"/>
      <c r="E147" s="64"/>
    </row>
    <row r="148" spans="1:5" ht="7.5" customHeight="1" x14ac:dyDescent="0.15">
      <c r="A148" s="66"/>
      <c r="B148" s="66"/>
      <c r="C148" s="66"/>
      <c r="D148" s="66"/>
      <c r="E148" s="66"/>
    </row>
  </sheetData>
  <mergeCells count="12">
    <mergeCell ref="F43:M46"/>
    <mergeCell ref="B72:E89"/>
    <mergeCell ref="B92:E111"/>
    <mergeCell ref="B113:E113"/>
    <mergeCell ref="B114:E133"/>
    <mergeCell ref="B49:E69"/>
    <mergeCell ref="D2:E2"/>
    <mergeCell ref="B4:E4"/>
    <mergeCell ref="B10:E14"/>
    <mergeCell ref="B17:E28"/>
    <mergeCell ref="B31:E46"/>
    <mergeCell ref="B7:E7"/>
  </mergeCells>
  <phoneticPr fontId="1"/>
  <printOptions horizontalCentered="1"/>
  <pageMargins left="0.78740157480314965" right="0.78740157480314965" top="0.78740157480314965" bottom="0.78740157480314965" header="0.31496062992125984" footer="0.31496062992125984"/>
  <pageSetup paperSize="9" scale="98" orientation="portrait" r:id="rId1"/>
  <rowBreaks count="2" manualBreakCount="2">
    <brk id="47" max="4" man="1"/>
    <brk id="90"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showZeros="0" view="pageBreakPreview" zoomScale="85" zoomScaleNormal="85" zoomScaleSheetLayoutView="85" workbookViewId="0">
      <selection activeCell="L16" sqref="L16"/>
    </sheetView>
  </sheetViews>
  <sheetFormatPr defaultColWidth="11.375" defaultRowHeight="22.5" customHeight="1" x14ac:dyDescent="0.15"/>
  <cols>
    <col min="1" max="3" width="2.5" style="9" customWidth="1"/>
    <col min="4" max="4" width="22.5" style="9" customWidth="1"/>
    <col min="5" max="5" width="21.25" style="9" customWidth="1"/>
    <col min="6" max="7" width="7.5" style="9" customWidth="1"/>
    <col min="8" max="8" width="32.5" style="9" customWidth="1"/>
    <col min="9" max="9" width="24.875" style="9" customWidth="1"/>
    <col min="10" max="10" width="6.25" style="9" customWidth="1"/>
    <col min="11" max="11" width="4.125" style="9" customWidth="1"/>
    <col min="12" max="16384" width="11.375" style="9"/>
  </cols>
  <sheetData>
    <row r="1" spans="1:10" ht="18.75" customHeight="1" x14ac:dyDescent="0.15">
      <c r="J1" s="69" t="s">
        <v>9</v>
      </c>
    </row>
    <row r="2" spans="1:10" ht="18.75" customHeight="1" x14ac:dyDescent="0.15">
      <c r="D2" s="69"/>
      <c r="H2" s="69" t="s">
        <v>31</v>
      </c>
      <c r="I2" s="184" t="s">
        <v>129</v>
      </c>
      <c r="J2" s="184"/>
    </row>
    <row r="3" spans="1:10" ht="18.75" customHeight="1" x14ac:dyDescent="0.15">
      <c r="A3" s="164" t="s">
        <v>48</v>
      </c>
      <c r="B3" s="164"/>
      <c r="C3" s="164"/>
      <c r="D3" s="164"/>
      <c r="E3" s="164"/>
      <c r="F3" s="164"/>
      <c r="G3" s="164"/>
      <c r="H3" s="164"/>
      <c r="I3" s="164"/>
      <c r="J3" s="164"/>
    </row>
    <row r="4" spans="1:10" ht="7.5" customHeight="1" x14ac:dyDescent="0.15">
      <c r="B4" s="72"/>
      <c r="C4" s="72"/>
      <c r="D4" s="340"/>
      <c r="E4" s="340"/>
      <c r="F4" s="340"/>
      <c r="G4" s="340"/>
      <c r="H4" s="340"/>
      <c r="I4" s="340"/>
      <c r="J4" s="340"/>
    </row>
    <row r="5" spans="1:10" ht="18.75" customHeight="1" x14ac:dyDescent="0.15">
      <c r="A5" s="9" t="s">
        <v>7</v>
      </c>
      <c r="B5" s="11" t="s">
        <v>46</v>
      </c>
      <c r="C5" s="72"/>
      <c r="D5" s="72"/>
      <c r="E5" s="72"/>
      <c r="F5" s="72"/>
      <c r="G5" s="72"/>
      <c r="H5" s="72"/>
      <c r="I5" s="72"/>
      <c r="J5" s="72"/>
    </row>
    <row r="6" spans="1:10" ht="18.75" customHeight="1" x14ac:dyDescent="0.15">
      <c r="B6" s="156" t="s">
        <v>43</v>
      </c>
      <c r="C6" s="157"/>
      <c r="D6" s="158"/>
      <c r="E6" s="157" t="s">
        <v>45</v>
      </c>
      <c r="F6" s="157"/>
      <c r="G6" s="157"/>
      <c r="H6" s="157"/>
      <c r="I6" s="157"/>
      <c r="J6" s="158"/>
    </row>
    <row r="7" spans="1:10" ht="18.75" customHeight="1" x14ac:dyDescent="0.15">
      <c r="B7" s="15" t="s">
        <v>35</v>
      </c>
      <c r="C7" s="64"/>
      <c r="D7" s="73"/>
      <c r="E7" s="17"/>
      <c r="F7" s="17"/>
      <c r="G7" s="17"/>
      <c r="H7" s="17"/>
      <c r="I7" s="64"/>
      <c r="J7" s="73"/>
    </row>
    <row r="8" spans="1:10" ht="53.25" customHeight="1" x14ac:dyDescent="0.15">
      <c r="B8" s="74"/>
      <c r="C8" s="323" t="s">
        <v>36</v>
      </c>
      <c r="D8" s="324"/>
      <c r="E8" s="339" t="s">
        <v>540</v>
      </c>
      <c r="F8" s="325"/>
      <c r="G8" s="325"/>
      <c r="H8" s="325"/>
      <c r="I8" s="325"/>
      <c r="J8" s="326"/>
    </row>
    <row r="9" spans="1:10" ht="66.75" customHeight="1" x14ac:dyDescent="0.15">
      <c r="B9" s="74"/>
      <c r="C9" s="321" t="s">
        <v>37</v>
      </c>
      <c r="D9" s="322"/>
      <c r="E9" s="339" t="s">
        <v>541</v>
      </c>
      <c r="F9" s="325"/>
      <c r="G9" s="325"/>
      <c r="H9" s="325"/>
      <c r="I9" s="325"/>
      <c r="J9" s="326"/>
    </row>
    <row r="10" spans="1:10" ht="261.60000000000002" customHeight="1" x14ac:dyDescent="0.15">
      <c r="B10" s="74"/>
      <c r="C10" s="323" t="s">
        <v>38</v>
      </c>
      <c r="D10" s="324"/>
      <c r="E10" s="339" t="s">
        <v>612</v>
      </c>
      <c r="F10" s="325"/>
      <c r="G10" s="325"/>
      <c r="H10" s="325"/>
      <c r="I10" s="325"/>
      <c r="J10" s="326"/>
    </row>
    <row r="11" spans="1:10" ht="118.5" customHeight="1" x14ac:dyDescent="0.15">
      <c r="B11" s="74"/>
      <c r="C11" s="323" t="s">
        <v>39</v>
      </c>
      <c r="D11" s="324"/>
      <c r="E11" s="339" t="s">
        <v>613</v>
      </c>
      <c r="F11" s="325"/>
      <c r="G11" s="325"/>
      <c r="H11" s="325"/>
      <c r="I11" s="325"/>
      <c r="J11" s="326"/>
    </row>
    <row r="12" spans="1:10" ht="127.5" customHeight="1" x14ac:dyDescent="0.15">
      <c r="B12" s="74"/>
      <c r="C12" s="323" t="s">
        <v>552</v>
      </c>
      <c r="D12" s="324"/>
      <c r="E12" s="339" t="s">
        <v>614</v>
      </c>
      <c r="F12" s="325"/>
      <c r="G12" s="325"/>
      <c r="H12" s="325"/>
      <c r="I12" s="325"/>
      <c r="J12" s="326"/>
    </row>
    <row r="13" spans="1:10" ht="18.75" customHeight="1" x14ac:dyDescent="0.15">
      <c r="B13" s="75" t="s">
        <v>40</v>
      </c>
      <c r="C13" s="76"/>
      <c r="D13" s="77"/>
      <c r="E13" s="78"/>
      <c r="F13" s="78"/>
      <c r="G13" s="78"/>
      <c r="H13" s="78"/>
      <c r="I13" s="78"/>
      <c r="J13" s="79"/>
    </row>
    <row r="14" spans="1:10" ht="77.25" customHeight="1" x14ac:dyDescent="0.15">
      <c r="B14" s="74"/>
      <c r="C14" s="323" t="s">
        <v>553</v>
      </c>
      <c r="D14" s="324"/>
      <c r="E14" s="325" t="s">
        <v>554</v>
      </c>
      <c r="F14" s="325"/>
      <c r="G14" s="325"/>
      <c r="H14" s="325"/>
      <c r="I14" s="325"/>
      <c r="J14" s="326"/>
    </row>
    <row r="15" spans="1:10" ht="77.25" customHeight="1" x14ac:dyDescent="0.15">
      <c r="B15" s="107"/>
      <c r="C15" s="327" t="s">
        <v>41</v>
      </c>
      <c r="D15" s="328"/>
      <c r="E15" s="329" t="s">
        <v>352</v>
      </c>
      <c r="F15" s="329"/>
      <c r="G15" s="329"/>
      <c r="H15" s="329"/>
      <c r="I15" s="329"/>
      <c r="J15" s="330"/>
    </row>
    <row r="16" spans="1:10" ht="231" customHeight="1" x14ac:dyDescent="0.15">
      <c r="B16" s="331" t="s">
        <v>42</v>
      </c>
      <c r="C16" s="332"/>
      <c r="D16" s="333"/>
      <c r="E16" s="334" t="s">
        <v>615</v>
      </c>
      <c r="F16" s="334"/>
      <c r="G16" s="334"/>
      <c r="H16" s="334"/>
      <c r="I16" s="334"/>
      <c r="J16" s="335"/>
    </row>
    <row r="17" spans="1:11" ht="105" customHeight="1" x14ac:dyDescent="0.15">
      <c r="A17" s="10"/>
      <c r="B17" s="318" t="s">
        <v>555</v>
      </c>
      <c r="C17" s="319"/>
      <c r="D17" s="320"/>
      <c r="E17" s="341" t="s">
        <v>161</v>
      </c>
      <c r="F17" s="341"/>
      <c r="G17" s="341"/>
      <c r="H17" s="341"/>
      <c r="I17" s="341"/>
      <c r="J17" s="342"/>
    </row>
    <row r="18" spans="1:11" ht="7.5" customHeight="1" x14ac:dyDescent="0.15">
      <c r="B18" s="72"/>
      <c r="C18" s="72"/>
      <c r="D18" s="72"/>
      <c r="E18" s="72"/>
      <c r="F18" s="72"/>
      <c r="G18" s="72"/>
      <c r="H18" s="72"/>
      <c r="I18" s="72"/>
      <c r="J18" s="64"/>
      <c r="K18" s="114"/>
    </row>
    <row r="19" spans="1:11" ht="18.75" customHeight="1" x14ac:dyDescent="0.15">
      <c r="B19" s="11"/>
      <c r="C19" s="72"/>
      <c r="D19" s="72"/>
      <c r="E19" s="72"/>
      <c r="F19" s="80"/>
      <c r="G19" s="80"/>
      <c r="H19" s="115" t="s">
        <v>617</v>
      </c>
      <c r="I19" s="81"/>
      <c r="J19" s="81"/>
      <c r="K19" s="114"/>
    </row>
    <row r="20" spans="1:11" ht="18.75" customHeight="1" x14ac:dyDescent="0.15">
      <c r="A20" s="17" t="s">
        <v>12</v>
      </c>
      <c r="B20" s="82" t="s">
        <v>47</v>
      </c>
      <c r="C20" s="83"/>
      <c r="D20" s="83"/>
      <c r="E20" s="83"/>
      <c r="F20" s="84" t="s">
        <v>616</v>
      </c>
      <c r="G20" s="80"/>
      <c r="H20" s="336" t="s">
        <v>351</v>
      </c>
      <c r="I20" s="337"/>
      <c r="J20" s="338"/>
    </row>
    <row r="21" spans="1:11" ht="22.5" customHeight="1" x14ac:dyDescent="0.15">
      <c r="B21" s="72"/>
      <c r="C21" s="72"/>
      <c r="D21" s="72"/>
      <c r="E21" s="72"/>
      <c r="F21" s="72"/>
      <c r="G21" s="72"/>
      <c r="H21" s="72"/>
      <c r="I21" s="72"/>
      <c r="J21" s="72"/>
    </row>
    <row r="22" spans="1:11" ht="22.5" customHeight="1" x14ac:dyDescent="0.15">
      <c r="B22" s="72"/>
      <c r="C22" s="72"/>
      <c r="D22" s="72"/>
      <c r="E22" s="72"/>
      <c r="F22" s="72"/>
      <c r="G22" s="72"/>
      <c r="H22" s="72"/>
      <c r="I22" s="72"/>
      <c r="J22" s="72"/>
    </row>
    <row r="23" spans="1:11" ht="22.5" customHeight="1" x14ac:dyDescent="0.15">
      <c r="B23" s="72"/>
      <c r="C23" s="72"/>
      <c r="D23" s="72"/>
      <c r="E23" s="72"/>
      <c r="F23" s="72"/>
      <c r="G23" s="72"/>
      <c r="H23" s="72"/>
      <c r="I23" s="72"/>
      <c r="J23" s="72"/>
    </row>
    <row r="24" spans="1:11" ht="22.5" customHeight="1" x14ac:dyDescent="0.15">
      <c r="B24" s="72"/>
      <c r="C24" s="72"/>
      <c r="D24" s="72"/>
      <c r="E24" s="72"/>
      <c r="F24" s="72"/>
      <c r="G24" s="72"/>
      <c r="H24" s="72"/>
      <c r="I24" s="72"/>
      <c r="J24" s="72"/>
    </row>
    <row r="25" spans="1:11" ht="22.5" customHeight="1" x14ac:dyDescent="0.15">
      <c r="B25" s="72"/>
      <c r="C25" s="72"/>
      <c r="D25" s="72"/>
      <c r="E25" s="72"/>
      <c r="F25" s="72"/>
      <c r="G25" s="72"/>
      <c r="H25" s="72"/>
      <c r="I25" s="72"/>
      <c r="J25" s="72"/>
    </row>
    <row r="26" spans="1:11" ht="22.5" customHeight="1" x14ac:dyDescent="0.15">
      <c r="B26" s="62"/>
      <c r="C26" s="62"/>
      <c r="D26" s="62"/>
      <c r="E26" s="62"/>
      <c r="F26" s="62"/>
      <c r="G26" s="62"/>
      <c r="H26" s="62"/>
      <c r="I26" s="62"/>
      <c r="J26" s="62"/>
    </row>
    <row r="27" spans="1:11" ht="22.5" customHeight="1" x14ac:dyDescent="0.15">
      <c r="B27" s="62"/>
      <c r="C27" s="62"/>
      <c r="D27" s="62"/>
      <c r="E27" s="62"/>
      <c r="F27" s="62"/>
      <c r="G27" s="62"/>
      <c r="H27" s="62"/>
      <c r="I27" s="62"/>
      <c r="J27" s="62"/>
    </row>
    <row r="28" spans="1:11" ht="22.5" customHeight="1" x14ac:dyDescent="0.15">
      <c r="B28" s="62"/>
      <c r="C28" s="62"/>
      <c r="D28" s="62"/>
      <c r="E28" s="62"/>
      <c r="F28" s="62"/>
      <c r="G28" s="62"/>
      <c r="H28" s="62"/>
      <c r="I28" s="62"/>
      <c r="J28" s="62"/>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disablePrompts="1" count="2">
    <dataValidation type="list" allowBlank="1" showInputMessage="1" showErrorMessage="1" sqref="F19:G19">
      <formula1>#REF!</formula1>
    </dataValidation>
    <dataValidation type="list" allowBlank="1" showInputMessage="1" showErrorMessage="1" sqref="F2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rowBreaks count="2" manualBreakCount="2">
    <brk id="10" max="9" man="1"/>
    <brk id="15"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
  <sheetViews>
    <sheetView showZeros="0" view="pageBreakPreview" zoomScaleNormal="100" zoomScaleSheetLayoutView="100" workbookViewId="0">
      <selection activeCell="G1" sqref="G1:G1048576"/>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4.75" style="1" customWidth="1"/>
    <col min="8" max="8" width="2.125" style="1" customWidth="1"/>
    <col min="9" max="16384" width="11.375" style="1"/>
  </cols>
  <sheetData>
    <row r="1" spans="1:6" ht="18.75" customHeight="1" x14ac:dyDescent="0.15">
      <c r="E1" s="205" t="s">
        <v>16</v>
      </c>
      <c r="F1" s="205"/>
    </row>
    <row r="2" spans="1:6" ht="18.75" customHeight="1" x14ac:dyDescent="0.15">
      <c r="C2" s="5" t="s">
        <v>83</v>
      </c>
      <c r="D2" s="5" t="s">
        <v>8</v>
      </c>
      <c r="E2" s="352" t="s">
        <v>129</v>
      </c>
      <c r="F2" s="352"/>
    </row>
    <row r="3" spans="1:6" ht="7.5" customHeight="1" x14ac:dyDescent="0.15">
      <c r="C3" s="5"/>
      <c r="D3" s="5"/>
      <c r="E3" s="4"/>
      <c r="F3" s="4"/>
    </row>
    <row r="4" spans="1:6" ht="18.75" customHeight="1" x14ac:dyDescent="0.15">
      <c r="A4" s="215" t="s">
        <v>119</v>
      </c>
      <c r="B4" s="215"/>
      <c r="C4" s="215"/>
      <c r="D4" s="215"/>
      <c r="E4" s="215"/>
      <c r="F4" s="215"/>
    </row>
    <row r="5" spans="1:6" ht="7.5" customHeight="1" x14ac:dyDescent="0.15">
      <c r="A5" s="6"/>
      <c r="B5" s="6"/>
      <c r="C5" s="6"/>
      <c r="D5" s="6"/>
      <c r="E5" s="6"/>
      <c r="F5" s="6"/>
    </row>
    <row r="6" spans="1:6" ht="18.75" customHeight="1" x14ac:dyDescent="0.15">
      <c r="A6" s="6" t="s">
        <v>7</v>
      </c>
      <c r="B6" s="2" t="s">
        <v>33</v>
      </c>
      <c r="C6" s="6"/>
      <c r="D6" s="6"/>
      <c r="E6" s="6"/>
      <c r="F6" s="6"/>
    </row>
    <row r="7" spans="1:6" ht="18.75" customHeight="1" x14ac:dyDescent="0.15">
      <c r="A7" s="6"/>
      <c r="B7" s="353" t="s">
        <v>546</v>
      </c>
      <c r="C7" s="354"/>
      <c r="D7" s="354"/>
      <c r="E7" s="354"/>
      <c r="F7" s="355"/>
    </row>
    <row r="8" spans="1:6" ht="18.75" customHeight="1" x14ac:dyDescent="0.15">
      <c r="A8" s="30"/>
      <c r="B8" s="356"/>
      <c r="C8" s="357"/>
      <c r="D8" s="357"/>
      <c r="E8" s="357"/>
      <c r="F8" s="358"/>
    </row>
    <row r="9" spans="1:6" ht="18.75" customHeight="1" x14ac:dyDescent="0.15">
      <c r="A9" s="30"/>
      <c r="B9" s="356"/>
      <c r="C9" s="357"/>
      <c r="D9" s="357"/>
      <c r="E9" s="357"/>
      <c r="F9" s="358"/>
    </row>
    <row r="10" spans="1:6" ht="18.75" customHeight="1" x14ac:dyDescent="0.15">
      <c r="A10" s="30"/>
      <c r="B10" s="356"/>
      <c r="C10" s="357"/>
      <c r="D10" s="357"/>
      <c r="E10" s="357"/>
      <c r="F10" s="358"/>
    </row>
    <row r="11" spans="1:6" ht="18.75" customHeight="1" x14ac:dyDescent="0.15">
      <c r="A11" s="30"/>
      <c r="B11" s="356"/>
      <c r="C11" s="357"/>
      <c r="D11" s="357"/>
      <c r="E11" s="357"/>
      <c r="F11" s="358"/>
    </row>
    <row r="12" spans="1:6" ht="18.75" customHeight="1" x14ac:dyDescent="0.15">
      <c r="A12" s="30"/>
      <c r="B12" s="356"/>
      <c r="C12" s="357"/>
      <c r="D12" s="357"/>
      <c r="E12" s="357"/>
      <c r="F12" s="358"/>
    </row>
    <row r="13" spans="1:6" ht="18.75" customHeight="1" x14ac:dyDescent="0.15">
      <c r="A13" s="30"/>
      <c r="B13" s="356"/>
      <c r="C13" s="357"/>
      <c r="D13" s="357"/>
      <c r="E13" s="357"/>
      <c r="F13" s="358"/>
    </row>
    <row r="14" spans="1:6" ht="18.75" customHeight="1" x14ac:dyDescent="0.15">
      <c r="A14" s="30"/>
      <c r="B14" s="356"/>
      <c r="C14" s="357"/>
      <c r="D14" s="357"/>
      <c r="E14" s="357"/>
      <c r="F14" s="358"/>
    </row>
    <row r="15" spans="1:6" ht="18.75" customHeight="1" x14ac:dyDescent="0.15">
      <c r="A15" s="30"/>
      <c r="B15" s="356"/>
      <c r="C15" s="357"/>
      <c r="D15" s="357"/>
      <c r="E15" s="357"/>
      <c r="F15" s="358"/>
    </row>
    <row r="16" spans="1:6" ht="18.75" customHeight="1" x14ac:dyDescent="0.15">
      <c r="A16" s="30"/>
      <c r="B16" s="356"/>
      <c r="C16" s="357"/>
      <c r="D16" s="357"/>
      <c r="E16" s="357"/>
      <c r="F16" s="358"/>
    </row>
    <row r="17" spans="1:6" ht="18.75" customHeight="1" x14ac:dyDescent="0.15">
      <c r="A17" s="30"/>
      <c r="B17" s="356"/>
      <c r="C17" s="357"/>
      <c r="D17" s="357"/>
      <c r="E17" s="357"/>
      <c r="F17" s="358"/>
    </row>
    <row r="18" spans="1:6" ht="18.75" customHeight="1" x14ac:dyDescent="0.15">
      <c r="A18" s="30"/>
      <c r="B18" s="356"/>
      <c r="C18" s="357"/>
      <c r="D18" s="357"/>
      <c r="E18" s="357"/>
      <c r="F18" s="358"/>
    </row>
    <row r="19" spans="1:6" ht="18.75" customHeight="1" x14ac:dyDescent="0.15">
      <c r="A19" s="30"/>
      <c r="B19" s="356"/>
      <c r="C19" s="357"/>
      <c r="D19" s="357"/>
      <c r="E19" s="357"/>
      <c r="F19" s="358"/>
    </row>
    <row r="20" spans="1:6" ht="18.75" customHeight="1" x14ac:dyDescent="0.15">
      <c r="A20" s="30"/>
      <c r="B20" s="356"/>
      <c r="C20" s="357"/>
      <c r="D20" s="357"/>
      <c r="E20" s="357"/>
      <c r="F20" s="358"/>
    </row>
    <row r="21" spans="1:6" ht="18.75" customHeight="1" x14ac:dyDescent="0.15">
      <c r="A21" s="30"/>
      <c r="B21" s="356"/>
      <c r="C21" s="357"/>
      <c r="D21" s="357"/>
      <c r="E21" s="357"/>
      <c r="F21" s="358"/>
    </row>
    <row r="22" spans="1:6" ht="18.75" customHeight="1" x14ac:dyDescent="0.15">
      <c r="A22" s="30"/>
      <c r="B22" s="356"/>
      <c r="C22" s="357"/>
      <c r="D22" s="357"/>
      <c r="E22" s="357"/>
      <c r="F22" s="358"/>
    </row>
    <row r="23" spans="1:6" ht="18.75" customHeight="1" x14ac:dyDescent="0.15">
      <c r="A23" s="30"/>
      <c r="B23" s="356"/>
      <c r="C23" s="357"/>
      <c r="D23" s="357"/>
      <c r="E23" s="357"/>
      <c r="F23" s="358"/>
    </row>
    <row r="24" spans="1:6" ht="18.75" customHeight="1" x14ac:dyDescent="0.15">
      <c r="A24" s="30"/>
      <c r="B24" s="356"/>
      <c r="C24" s="357"/>
      <c r="D24" s="357"/>
      <c r="E24" s="357"/>
      <c r="F24" s="358"/>
    </row>
    <row r="25" spans="1:6" ht="18.75" customHeight="1" x14ac:dyDescent="0.15">
      <c r="A25" s="30"/>
      <c r="B25" s="356"/>
      <c r="C25" s="357"/>
      <c r="D25" s="357"/>
      <c r="E25" s="357"/>
      <c r="F25" s="358"/>
    </row>
    <row r="26" spans="1:6" ht="18.75" customHeight="1" x14ac:dyDescent="0.15">
      <c r="A26" s="30"/>
      <c r="B26" s="356"/>
      <c r="C26" s="357"/>
      <c r="D26" s="357"/>
      <c r="E26" s="357"/>
      <c r="F26" s="358"/>
    </row>
    <row r="27" spans="1:6" ht="18.75" customHeight="1" x14ac:dyDescent="0.15">
      <c r="A27" s="30"/>
      <c r="B27" s="356"/>
      <c r="C27" s="357"/>
      <c r="D27" s="357"/>
      <c r="E27" s="357"/>
      <c r="F27" s="358"/>
    </row>
    <row r="28" spans="1:6" ht="18.75" customHeight="1" x14ac:dyDescent="0.15">
      <c r="A28" s="6"/>
      <c r="B28" s="356"/>
      <c r="C28" s="357"/>
      <c r="D28" s="357"/>
      <c r="E28" s="357"/>
      <c r="F28" s="358"/>
    </row>
    <row r="29" spans="1:6" ht="18.75" customHeight="1" x14ac:dyDescent="0.15">
      <c r="A29" s="6"/>
      <c r="B29" s="356"/>
      <c r="C29" s="357"/>
      <c r="D29" s="357"/>
      <c r="E29" s="357"/>
      <c r="F29" s="358"/>
    </row>
    <row r="30" spans="1:6" ht="18.75" customHeight="1" x14ac:dyDescent="0.15">
      <c r="A30" s="6"/>
      <c r="B30" s="356"/>
      <c r="C30" s="357"/>
      <c r="D30" s="357"/>
      <c r="E30" s="357"/>
      <c r="F30" s="358"/>
    </row>
    <row r="31" spans="1:6" ht="18.75" customHeight="1" x14ac:dyDescent="0.15">
      <c r="A31" s="6"/>
      <c r="B31" s="356"/>
      <c r="C31" s="357"/>
      <c r="D31" s="357"/>
      <c r="E31" s="357"/>
      <c r="F31" s="358"/>
    </row>
    <row r="32" spans="1:6" ht="18.75" customHeight="1" x14ac:dyDescent="0.15">
      <c r="A32" s="6"/>
      <c r="B32" s="356"/>
      <c r="C32" s="357"/>
      <c r="D32" s="357"/>
      <c r="E32" s="357"/>
      <c r="F32" s="358"/>
    </row>
    <row r="33" spans="1:6" ht="18.75" customHeight="1" x14ac:dyDescent="0.15">
      <c r="A33" s="6"/>
      <c r="B33" s="356"/>
      <c r="C33" s="357"/>
      <c r="D33" s="357"/>
      <c r="E33" s="357"/>
      <c r="F33" s="358"/>
    </row>
    <row r="34" spans="1:6" ht="18.75" customHeight="1" x14ac:dyDescent="0.15">
      <c r="A34" s="6"/>
      <c r="B34" s="356"/>
      <c r="C34" s="357"/>
      <c r="D34" s="357"/>
      <c r="E34" s="357"/>
      <c r="F34" s="358"/>
    </row>
    <row r="35" spans="1:6" ht="18.75" customHeight="1" x14ac:dyDescent="0.15">
      <c r="A35" s="6"/>
      <c r="B35" s="356"/>
      <c r="C35" s="357"/>
      <c r="D35" s="357"/>
      <c r="E35" s="357"/>
      <c r="F35" s="358"/>
    </row>
    <row r="36" spans="1:6" ht="18.75" customHeight="1" x14ac:dyDescent="0.15">
      <c r="A36" s="6"/>
      <c r="B36" s="356"/>
      <c r="C36" s="357"/>
      <c r="D36" s="357"/>
      <c r="E36" s="357"/>
      <c r="F36" s="358"/>
    </row>
    <row r="37" spans="1:6" ht="18.75" customHeight="1" x14ac:dyDescent="0.15">
      <c r="A37" s="6"/>
      <c r="B37" s="356"/>
      <c r="C37" s="357"/>
      <c r="D37" s="357"/>
      <c r="E37" s="357"/>
      <c r="F37" s="358"/>
    </row>
    <row r="38" spans="1:6" ht="18.75" customHeight="1" x14ac:dyDescent="0.15">
      <c r="A38" s="6"/>
      <c r="B38" s="356"/>
      <c r="C38" s="357"/>
      <c r="D38" s="357"/>
      <c r="E38" s="357"/>
      <c r="F38" s="358"/>
    </row>
    <row r="39" spans="1:6" ht="18.75" customHeight="1" x14ac:dyDescent="0.15">
      <c r="A39" s="6"/>
      <c r="B39" s="356"/>
      <c r="C39" s="357"/>
      <c r="D39" s="357"/>
      <c r="E39" s="357"/>
      <c r="F39" s="358"/>
    </row>
    <row r="40" spans="1:6" ht="18.75" customHeight="1" x14ac:dyDescent="0.15">
      <c r="A40" s="6"/>
      <c r="B40" s="356"/>
      <c r="C40" s="357"/>
      <c r="D40" s="357"/>
      <c r="E40" s="357"/>
      <c r="F40" s="358"/>
    </row>
    <row r="41" spans="1:6" ht="18.75" customHeight="1" x14ac:dyDescent="0.15">
      <c r="A41" s="6"/>
      <c r="B41" s="356"/>
      <c r="C41" s="357"/>
      <c r="D41" s="357"/>
      <c r="E41" s="357"/>
      <c r="F41" s="358"/>
    </row>
    <row r="42" spans="1:6" ht="18.75" customHeight="1" x14ac:dyDescent="0.15">
      <c r="A42" s="6"/>
      <c r="B42" s="356"/>
      <c r="C42" s="357"/>
      <c r="D42" s="357"/>
      <c r="E42" s="357"/>
      <c r="F42" s="358"/>
    </row>
    <row r="43" spans="1:6" ht="18.75" customHeight="1" x14ac:dyDescent="0.15">
      <c r="A43" s="6"/>
      <c r="B43" s="356"/>
      <c r="C43" s="357"/>
      <c r="D43" s="357"/>
      <c r="E43" s="357"/>
      <c r="F43" s="358"/>
    </row>
    <row r="44" spans="1:6" ht="18.75" customHeight="1" x14ac:dyDescent="0.15">
      <c r="A44" s="6"/>
      <c r="B44" s="359"/>
      <c r="C44" s="360"/>
      <c r="D44" s="360"/>
      <c r="E44" s="360"/>
      <c r="F44" s="361"/>
    </row>
    <row r="45" spans="1:6" ht="18.75" customHeight="1" x14ac:dyDescent="0.15">
      <c r="A45" s="6" t="s">
        <v>12</v>
      </c>
      <c r="B45" s="2" t="s">
        <v>88</v>
      </c>
      <c r="C45" s="6"/>
      <c r="D45" s="6"/>
      <c r="E45" s="6"/>
      <c r="F45" s="6"/>
    </row>
    <row r="46" spans="1:6" ht="18.75" customHeight="1" x14ac:dyDescent="0.15">
      <c r="A46" s="6"/>
      <c r="B46" s="353" t="s">
        <v>547</v>
      </c>
      <c r="C46" s="362"/>
      <c r="D46" s="362"/>
      <c r="E46" s="362"/>
      <c r="F46" s="363"/>
    </row>
    <row r="47" spans="1:6" ht="18.75" customHeight="1" x14ac:dyDescent="0.15">
      <c r="A47" s="30"/>
      <c r="B47" s="364"/>
      <c r="C47" s="365"/>
      <c r="D47" s="365"/>
      <c r="E47" s="365"/>
      <c r="F47" s="366"/>
    </row>
    <row r="48" spans="1:6" ht="18.75" customHeight="1" x14ac:dyDescent="0.15">
      <c r="A48" s="30"/>
      <c r="B48" s="364"/>
      <c r="C48" s="365"/>
      <c r="D48" s="365"/>
      <c r="E48" s="365"/>
      <c r="F48" s="366"/>
    </row>
    <row r="49" spans="1:6" ht="18.75" customHeight="1" x14ac:dyDescent="0.15">
      <c r="A49" s="30"/>
      <c r="B49" s="364"/>
      <c r="C49" s="365"/>
      <c r="D49" s="365"/>
      <c r="E49" s="365"/>
      <c r="F49" s="366"/>
    </row>
    <row r="50" spans="1:6" ht="18.75" customHeight="1" x14ac:dyDescent="0.15">
      <c r="A50" s="30"/>
      <c r="B50" s="364"/>
      <c r="C50" s="365"/>
      <c r="D50" s="365"/>
      <c r="E50" s="365"/>
      <c r="F50" s="366"/>
    </row>
    <row r="51" spans="1:6" ht="18.75" customHeight="1" x14ac:dyDescent="0.15">
      <c r="A51" s="30"/>
      <c r="B51" s="364"/>
      <c r="C51" s="365"/>
      <c r="D51" s="365"/>
      <c r="E51" s="365"/>
      <c r="F51" s="366"/>
    </row>
    <row r="52" spans="1:6" ht="18.75" customHeight="1" x14ac:dyDescent="0.15">
      <c r="A52" s="30"/>
      <c r="B52" s="364"/>
      <c r="C52" s="365"/>
      <c r="D52" s="365"/>
      <c r="E52" s="365"/>
      <c r="F52" s="366"/>
    </row>
    <row r="53" spans="1:6" ht="18.75" customHeight="1" x14ac:dyDescent="0.15">
      <c r="A53" s="30"/>
      <c r="B53" s="364"/>
      <c r="C53" s="365"/>
      <c r="D53" s="365"/>
      <c r="E53" s="365"/>
      <c r="F53" s="366"/>
    </row>
    <row r="54" spans="1:6" ht="18.75" customHeight="1" x14ac:dyDescent="0.15">
      <c r="A54" s="30"/>
      <c r="B54" s="364"/>
      <c r="C54" s="365"/>
      <c r="D54" s="365"/>
      <c r="E54" s="365"/>
      <c r="F54" s="366"/>
    </row>
    <row r="55" spans="1:6" ht="18.75" customHeight="1" x14ac:dyDescent="0.15">
      <c r="A55" s="30"/>
      <c r="B55" s="364"/>
      <c r="C55" s="365"/>
      <c r="D55" s="365"/>
      <c r="E55" s="365"/>
      <c r="F55" s="366"/>
    </row>
    <row r="56" spans="1:6" ht="18.75" customHeight="1" x14ac:dyDescent="0.15">
      <c r="A56" s="30"/>
      <c r="B56" s="364"/>
      <c r="C56" s="365"/>
      <c r="D56" s="365"/>
      <c r="E56" s="365"/>
      <c r="F56" s="366"/>
    </row>
    <row r="57" spans="1:6" ht="18.75" customHeight="1" x14ac:dyDescent="0.15">
      <c r="A57" s="30"/>
      <c r="B57" s="364"/>
      <c r="C57" s="365"/>
      <c r="D57" s="365"/>
      <c r="E57" s="365"/>
      <c r="F57" s="366"/>
    </row>
    <row r="58" spans="1:6" ht="18.75" customHeight="1" x14ac:dyDescent="0.15">
      <c r="A58" s="30"/>
      <c r="B58" s="364"/>
      <c r="C58" s="365"/>
      <c r="D58" s="365"/>
      <c r="E58" s="365"/>
      <c r="F58" s="366"/>
    </row>
    <row r="59" spans="1:6" ht="18.75" customHeight="1" x14ac:dyDescent="0.15">
      <c r="A59" s="30"/>
      <c r="B59" s="364"/>
      <c r="C59" s="365"/>
      <c r="D59" s="365"/>
      <c r="E59" s="365"/>
      <c r="F59" s="366"/>
    </row>
    <row r="60" spans="1:6" ht="18.75" customHeight="1" x14ac:dyDescent="0.15">
      <c r="A60" s="30"/>
      <c r="B60" s="364"/>
      <c r="C60" s="365"/>
      <c r="D60" s="365"/>
      <c r="E60" s="365"/>
      <c r="F60" s="366"/>
    </row>
    <row r="61" spans="1:6" ht="18.75" customHeight="1" x14ac:dyDescent="0.15">
      <c r="A61" s="30"/>
      <c r="B61" s="364"/>
      <c r="C61" s="365"/>
      <c r="D61" s="365"/>
      <c r="E61" s="365"/>
      <c r="F61" s="366"/>
    </row>
    <row r="62" spans="1:6" ht="18.75" customHeight="1" x14ac:dyDescent="0.15">
      <c r="A62" s="30"/>
      <c r="B62" s="364"/>
      <c r="C62" s="365"/>
      <c r="D62" s="365"/>
      <c r="E62" s="365"/>
      <c r="F62" s="366"/>
    </row>
    <row r="63" spans="1:6" ht="18.75" customHeight="1" x14ac:dyDescent="0.15">
      <c r="A63" s="30"/>
      <c r="B63" s="364"/>
      <c r="C63" s="365"/>
      <c r="D63" s="365"/>
      <c r="E63" s="365"/>
      <c r="F63" s="366"/>
    </row>
    <row r="64" spans="1:6" ht="18.75" customHeight="1" x14ac:dyDescent="0.15">
      <c r="A64" s="30"/>
      <c r="B64" s="364"/>
      <c r="C64" s="365"/>
      <c r="D64" s="365"/>
      <c r="E64" s="365"/>
      <c r="F64" s="366"/>
    </row>
    <row r="65" spans="1:6" ht="18.75" customHeight="1" x14ac:dyDescent="0.15">
      <c r="A65" s="30"/>
      <c r="B65" s="364"/>
      <c r="C65" s="365"/>
      <c r="D65" s="365"/>
      <c r="E65" s="365"/>
      <c r="F65" s="366"/>
    </row>
    <row r="66" spans="1:6" ht="18.75" customHeight="1" x14ac:dyDescent="0.15">
      <c r="A66" s="30"/>
      <c r="B66" s="364"/>
      <c r="C66" s="365"/>
      <c r="D66" s="365"/>
      <c r="E66" s="365"/>
      <c r="F66" s="366"/>
    </row>
    <row r="67" spans="1:6" ht="18.75" customHeight="1" x14ac:dyDescent="0.15">
      <c r="A67" s="30"/>
      <c r="B67" s="364"/>
      <c r="C67" s="365"/>
      <c r="D67" s="365"/>
      <c r="E67" s="365"/>
      <c r="F67" s="366"/>
    </row>
    <row r="68" spans="1:6" ht="18.75" customHeight="1" x14ac:dyDescent="0.15">
      <c r="A68" s="30"/>
      <c r="B68" s="364"/>
      <c r="C68" s="365"/>
      <c r="D68" s="365"/>
      <c r="E68" s="365"/>
      <c r="F68" s="366"/>
    </row>
    <row r="69" spans="1:6" ht="18.75" customHeight="1" x14ac:dyDescent="0.15">
      <c r="A69" s="30"/>
      <c r="B69" s="364"/>
      <c r="C69" s="365"/>
      <c r="D69" s="365"/>
      <c r="E69" s="365"/>
      <c r="F69" s="366"/>
    </row>
    <row r="70" spans="1:6" ht="18.75" customHeight="1" x14ac:dyDescent="0.15">
      <c r="A70" s="6"/>
      <c r="B70" s="364"/>
      <c r="C70" s="365"/>
      <c r="D70" s="365"/>
      <c r="E70" s="365"/>
      <c r="F70" s="366"/>
    </row>
    <row r="71" spans="1:6" ht="18.75" customHeight="1" x14ac:dyDescent="0.15">
      <c r="A71" s="6"/>
      <c r="B71" s="364"/>
      <c r="C71" s="365"/>
      <c r="D71" s="365"/>
      <c r="E71" s="365"/>
      <c r="F71" s="366"/>
    </row>
    <row r="72" spans="1:6" ht="18.75" customHeight="1" x14ac:dyDescent="0.15">
      <c r="A72" s="6"/>
      <c r="B72" s="364"/>
      <c r="C72" s="365"/>
      <c r="D72" s="365"/>
      <c r="E72" s="365"/>
      <c r="F72" s="366"/>
    </row>
    <row r="73" spans="1:6" ht="18.75" customHeight="1" x14ac:dyDescent="0.15">
      <c r="A73" s="6"/>
      <c r="B73" s="364"/>
      <c r="C73" s="365"/>
      <c r="D73" s="365"/>
      <c r="E73" s="365"/>
      <c r="F73" s="366"/>
    </row>
    <row r="74" spans="1:6" ht="18.75" customHeight="1" x14ac:dyDescent="0.15">
      <c r="A74" s="6"/>
      <c r="B74" s="364"/>
      <c r="C74" s="365"/>
      <c r="D74" s="365"/>
      <c r="E74" s="365"/>
      <c r="F74" s="366"/>
    </row>
    <row r="75" spans="1:6" ht="18.75" customHeight="1" x14ac:dyDescent="0.15">
      <c r="A75" s="6"/>
      <c r="B75" s="364"/>
      <c r="C75" s="365"/>
      <c r="D75" s="365"/>
      <c r="E75" s="365"/>
      <c r="F75" s="366"/>
    </row>
    <row r="76" spans="1:6" ht="18.75" customHeight="1" x14ac:dyDescent="0.15">
      <c r="A76" s="6"/>
      <c r="B76" s="364"/>
      <c r="C76" s="365"/>
      <c r="D76" s="365"/>
      <c r="E76" s="365"/>
      <c r="F76" s="366"/>
    </row>
    <row r="77" spans="1:6" ht="18.75" customHeight="1" x14ac:dyDescent="0.15">
      <c r="A77" s="6"/>
      <c r="B77" s="364"/>
      <c r="C77" s="365"/>
      <c r="D77" s="365"/>
      <c r="E77" s="365"/>
      <c r="F77" s="366"/>
    </row>
    <row r="78" spans="1:6" ht="18.75" customHeight="1" x14ac:dyDescent="0.15">
      <c r="A78" s="6"/>
      <c r="B78" s="364"/>
      <c r="C78" s="365"/>
      <c r="D78" s="365"/>
      <c r="E78" s="365"/>
      <c r="F78" s="366"/>
    </row>
    <row r="79" spans="1:6" ht="18.75" customHeight="1" x14ac:dyDescent="0.15">
      <c r="A79" s="6"/>
      <c r="B79" s="364"/>
      <c r="C79" s="365"/>
      <c r="D79" s="365"/>
      <c r="E79" s="365"/>
      <c r="F79" s="366"/>
    </row>
    <row r="80" spans="1:6" ht="18.75" customHeight="1" x14ac:dyDescent="0.15">
      <c r="A80" s="6"/>
      <c r="B80" s="364"/>
      <c r="C80" s="365"/>
      <c r="D80" s="365"/>
      <c r="E80" s="365"/>
      <c r="F80" s="366"/>
    </row>
    <row r="81" spans="1:6" ht="18.75" customHeight="1" x14ac:dyDescent="0.15">
      <c r="A81" s="6"/>
      <c r="B81" s="364"/>
      <c r="C81" s="365"/>
      <c r="D81" s="365"/>
      <c r="E81" s="365"/>
      <c r="F81" s="366"/>
    </row>
    <row r="82" spans="1:6" ht="18.75" customHeight="1" x14ac:dyDescent="0.15">
      <c r="A82" s="30"/>
      <c r="B82" s="364"/>
      <c r="C82" s="365"/>
      <c r="D82" s="365"/>
      <c r="E82" s="365"/>
      <c r="F82" s="366"/>
    </row>
    <row r="83" spans="1:6" ht="18.75" customHeight="1" x14ac:dyDescent="0.15">
      <c r="A83" s="6"/>
      <c r="B83" s="364"/>
      <c r="C83" s="365"/>
      <c r="D83" s="365"/>
      <c r="E83" s="365"/>
      <c r="F83" s="366"/>
    </row>
    <row r="84" spans="1:6" ht="18.75" customHeight="1" x14ac:dyDescent="0.15">
      <c r="A84" s="6"/>
      <c r="B84" s="364"/>
      <c r="C84" s="365"/>
      <c r="D84" s="365"/>
      <c r="E84" s="365"/>
      <c r="F84" s="366"/>
    </row>
    <row r="85" spans="1:6" ht="18.75" customHeight="1" x14ac:dyDescent="0.15">
      <c r="A85" s="6"/>
      <c r="B85" s="364"/>
      <c r="C85" s="365"/>
      <c r="D85" s="365"/>
      <c r="E85" s="365"/>
      <c r="F85" s="366"/>
    </row>
    <row r="86" spans="1:6" ht="18.75" customHeight="1" x14ac:dyDescent="0.15">
      <c r="A86" s="6"/>
      <c r="B86" s="367"/>
      <c r="C86" s="368"/>
      <c r="D86" s="368"/>
      <c r="E86" s="368"/>
      <c r="F86" s="369"/>
    </row>
    <row r="87" spans="1:6" s="3" customFormat="1" ht="18.75" customHeight="1" x14ac:dyDescent="0.15">
      <c r="A87" s="2" t="s">
        <v>13</v>
      </c>
      <c r="B87" s="2" t="s">
        <v>89</v>
      </c>
      <c r="C87" s="2"/>
      <c r="D87" s="2"/>
      <c r="E87" s="2"/>
      <c r="F87" s="2"/>
    </row>
    <row r="88" spans="1:6" ht="18.75" customHeight="1" x14ac:dyDescent="0.15">
      <c r="A88" s="6"/>
      <c r="B88" s="343" t="s">
        <v>548</v>
      </c>
      <c r="C88" s="344"/>
      <c r="D88" s="344"/>
      <c r="E88" s="344"/>
      <c r="F88" s="345"/>
    </row>
    <row r="89" spans="1:6" ht="18.75" customHeight="1" x14ac:dyDescent="0.15">
      <c r="A89" s="6"/>
      <c r="B89" s="346"/>
      <c r="C89" s="347"/>
      <c r="D89" s="347"/>
      <c r="E89" s="347"/>
      <c r="F89" s="348"/>
    </row>
    <row r="90" spans="1:6" ht="18.75" customHeight="1" x14ac:dyDescent="0.15">
      <c r="A90" s="30"/>
      <c r="B90" s="346"/>
      <c r="C90" s="347"/>
      <c r="D90" s="347"/>
      <c r="E90" s="347"/>
      <c r="F90" s="348"/>
    </row>
    <row r="91" spans="1:6" ht="18.75" customHeight="1" x14ac:dyDescent="0.15">
      <c r="A91" s="30"/>
      <c r="B91" s="346"/>
      <c r="C91" s="347"/>
      <c r="D91" s="347"/>
      <c r="E91" s="347"/>
      <c r="F91" s="348"/>
    </row>
    <row r="92" spans="1:6" ht="18.75" customHeight="1" x14ac:dyDescent="0.15">
      <c r="A92" s="30"/>
      <c r="B92" s="346"/>
      <c r="C92" s="347"/>
      <c r="D92" s="347"/>
      <c r="E92" s="347"/>
      <c r="F92" s="348"/>
    </row>
    <row r="93" spans="1:6" ht="18.75" customHeight="1" x14ac:dyDescent="0.15">
      <c r="A93" s="30"/>
      <c r="B93" s="346"/>
      <c r="C93" s="347"/>
      <c r="D93" s="347"/>
      <c r="E93" s="347"/>
      <c r="F93" s="348"/>
    </row>
    <row r="94" spans="1:6" ht="18.75" customHeight="1" x14ac:dyDescent="0.15">
      <c r="A94" s="30"/>
      <c r="B94" s="346"/>
      <c r="C94" s="347"/>
      <c r="D94" s="347"/>
      <c r="E94" s="347"/>
      <c r="F94" s="348"/>
    </row>
    <row r="95" spans="1:6" ht="18.75" customHeight="1" x14ac:dyDescent="0.15">
      <c r="A95" s="30"/>
      <c r="B95" s="346"/>
      <c r="C95" s="347"/>
      <c r="D95" s="347"/>
      <c r="E95" s="347"/>
      <c r="F95" s="348"/>
    </row>
    <row r="96" spans="1:6" ht="18.75" customHeight="1" x14ac:dyDescent="0.15">
      <c r="A96" s="30"/>
      <c r="B96" s="346"/>
      <c r="C96" s="347"/>
      <c r="D96" s="347"/>
      <c r="E96" s="347"/>
      <c r="F96" s="348"/>
    </row>
    <row r="97" spans="1:6" ht="18.75" customHeight="1" x14ac:dyDescent="0.15">
      <c r="A97" s="30"/>
      <c r="B97" s="346"/>
      <c r="C97" s="347"/>
      <c r="D97" s="347"/>
      <c r="E97" s="347"/>
      <c r="F97" s="348"/>
    </row>
    <row r="98" spans="1:6" ht="18.75" customHeight="1" x14ac:dyDescent="0.15">
      <c r="A98" s="30"/>
      <c r="B98" s="346"/>
      <c r="C98" s="347"/>
      <c r="D98" s="347"/>
      <c r="E98" s="347"/>
      <c r="F98" s="348"/>
    </row>
    <row r="99" spans="1:6" ht="18.75" customHeight="1" x14ac:dyDescent="0.15">
      <c r="A99" s="30"/>
      <c r="B99" s="346"/>
      <c r="C99" s="347"/>
      <c r="D99" s="347"/>
      <c r="E99" s="347"/>
      <c r="F99" s="348"/>
    </row>
    <row r="100" spans="1:6" ht="18.75" customHeight="1" x14ac:dyDescent="0.15">
      <c r="A100" s="30"/>
      <c r="B100" s="346"/>
      <c r="C100" s="347"/>
      <c r="D100" s="347"/>
      <c r="E100" s="347"/>
      <c r="F100" s="348"/>
    </row>
    <row r="101" spans="1:6" ht="18.75" customHeight="1" x14ac:dyDescent="0.15">
      <c r="A101" s="30"/>
      <c r="B101" s="346"/>
      <c r="C101" s="347"/>
      <c r="D101" s="347"/>
      <c r="E101" s="347"/>
      <c r="F101" s="348"/>
    </row>
    <row r="102" spans="1:6" ht="18.75" customHeight="1" x14ac:dyDescent="0.15">
      <c r="A102" s="30"/>
      <c r="B102" s="346"/>
      <c r="C102" s="347"/>
      <c r="D102" s="347"/>
      <c r="E102" s="347"/>
      <c r="F102" s="348"/>
    </row>
    <row r="103" spans="1:6" ht="18.75" customHeight="1" x14ac:dyDescent="0.15">
      <c r="A103" s="30"/>
      <c r="B103" s="346"/>
      <c r="C103" s="347"/>
      <c r="D103" s="347"/>
      <c r="E103" s="347"/>
      <c r="F103" s="348"/>
    </row>
    <row r="104" spans="1:6" ht="18.75" customHeight="1" x14ac:dyDescent="0.15">
      <c r="A104" s="30"/>
      <c r="B104" s="346"/>
      <c r="C104" s="347"/>
      <c r="D104" s="347"/>
      <c r="E104" s="347"/>
      <c r="F104" s="348"/>
    </row>
    <row r="105" spans="1:6" ht="18.75" customHeight="1" x14ac:dyDescent="0.15">
      <c r="A105" s="30"/>
      <c r="B105" s="346"/>
      <c r="C105" s="347"/>
      <c r="D105" s="347"/>
      <c r="E105" s="347"/>
      <c r="F105" s="348"/>
    </row>
    <row r="106" spans="1:6" ht="18.75" customHeight="1" x14ac:dyDescent="0.15">
      <c r="A106" s="30"/>
      <c r="B106" s="346"/>
      <c r="C106" s="347"/>
      <c r="D106" s="347"/>
      <c r="E106" s="347"/>
      <c r="F106" s="348"/>
    </row>
    <row r="107" spans="1:6" ht="18.75" customHeight="1" x14ac:dyDescent="0.15">
      <c r="A107" s="30"/>
      <c r="B107" s="346"/>
      <c r="C107" s="347"/>
      <c r="D107" s="347"/>
      <c r="E107" s="347"/>
      <c r="F107" s="348"/>
    </row>
    <row r="108" spans="1:6" ht="18.75" customHeight="1" x14ac:dyDescent="0.15">
      <c r="A108" s="30"/>
      <c r="B108" s="346"/>
      <c r="C108" s="347"/>
      <c r="D108" s="347"/>
      <c r="E108" s="347"/>
      <c r="F108" s="348"/>
    </row>
    <row r="109" spans="1:6" ht="18.75" customHeight="1" x14ac:dyDescent="0.15">
      <c r="A109" s="30"/>
      <c r="B109" s="346"/>
      <c r="C109" s="347"/>
      <c r="D109" s="347"/>
      <c r="E109" s="347"/>
      <c r="F109" s="348"/>
    </row>
    <row r="110" spans="1:6" ht="18.75" customHeight="1" x14ac:dyDescent="0.15">
      <c r="A110" s="30"/>
      <c r="B110" s="346"/>
      <c r="C110" s="347"/>
      <c r="D110" s="347"/>
      <c r="E110" s="347"/>
      <c r="F110" s="348"/>
    </row>
    <row r="111" spans="1:6" ht="18.75" customHeight="1" x14ac:dyDescent="0.15">
      <c r="A111" s="30"/>
      <c r="B111" s="346"/>
      <c r="C111" s="347"/>
      <c r="D111" s="347"/>
      <c r="E111" s="347"/>
      <c r="F111" s="348"/>
    </row>
    <row r="112" spans="1:6" ht="18.75" customHeight="1" x14ac:dyDescent="0.15">
      <c r="A112" s="30"/>
      <c r="B112" s="346"/>
      <c r="C112" s="347"/>
      <c r="D112" s="347"/>
      <c r="E112" s="347"/>
      <c r="F112" s="348"/>
    </row>
    <row r="113" spans="1:6" ht="18.75" customHeight="1" x14ac:dyDescent="0.15">
      <c r="A113" s="30"/>
      <c r="B113" s="346"/>
      <c r="C113" s="347"/>
      <c r="D113" s="347"/>
      <c r="E113" s="347"/>
      <c r="F113" s="348"/>
    </row>
    <row r="114" spans="1:6" ht="18.75" customHeight="1" x14ac:dyDescent="0.15">
      <c r="A114" s="6"/>
      <c r="B114" s="346"/>
      <c r="C114" s="347"/>
      <c r="D114" s="347"/>
      <c r="E114" s="347"/>
      <c r="F114" s="348"/>
    </row>
    <row r="115" spans="1:6" ht="18.75" customHeight="1" x14ac:dyDescent="0.15">
      <c r="A115" s="6"/>
      <c r="B115" s="346"/>
      <c r="C115" s="347"/>
      <c r="D115" s="347"/>
      <c r="E115" s="347"/>
      <c r="F115" s="348"/>
    </row>
    <row r="116" spans="1:6" ht="18.75" customHeight="1" x14ac:dyDescent="0.15">
      <c r="A116" s="6"/>
      <c r="B116" s="346"/>
      <c r="C116" s="347"/>
      <c r="D116" s="347"/>
      <c r="E116" s="347"/>
      <c r="F116" s="348"/>
    </row>
    <row r="117" spans="1:6" ht="18.75" customHeight="1" x14ac:dyDescent="0.15">
      <c r="A117" s="6"/>
      <c r="B117" s="346"/>
      <c r="C117" s="347"/>
      <c r="D117" s="347"/>
      <c r="E117" s="347"/>
      <c r="F117" s="348"/>
    </row>
    <row r="118" spans="1:6" ht="18.75" customHeight="1" x14ac:dyDescent="0.15">
      <c r="A118" s="6"/>
      <c r="B118" s="346"/>
      <c r="C118" s="347"/>
      <c r="D118" s="347"/>
      <c r="E118" s="347"/>
      <c r="F118" s="348"/>
    </row>
    <row r="119" spans="1:6" ht="18.75" customHeight="1" x14ac:dyDescent="0.15">
      <c r="A119" s="6"/>
      <c r="B119" s="346"/>
      <c r="C119" s="347"/>
      <c r="D119" s="347"/>
      <c r="E119" s="347"/>
      <c r="F119" s="348"/>
    </row>
    <row r="120" spans="1:6" ht="18.75" customHeight="1" x14ac:dyDescent="0.15">
      <c r="A120" s="6"/>
      <c r="B120" s="346"/>
      <c r="C120" s="347"/>
      <c r="D120" s="347"/>
      <c r="E120" s="347"/>
      <c r="F120" s="348"/>
    </row>
    <row r="121" spans="1:6" ht="18.75" customHeight="1" x14ac:dyDescent="0.15">
      <c r="A121" s="6"/>
      <c r="B121" s="346"/>
      <c r="C121" s="347"/>
      <c r="D121" s="347"/>
      <c r="E121" s="347"/>
      <c r="F121" s="348"/>
    </row>
    <row r="122" spans="1:6" ht="18.75" customHeight="1" x14ac:dyDescent="0.15">
      <c r="A122" s="6"/>
      <c r="B122" s="346"/>
      <c r="C122" s="347"/>
      <c r="D122" s="347"/>
      <c r="E122" s="347"/>
      <c r="F122" s="348"/>
    </row>
    <row r="123" spans="1:6" ht="18.75" customHeight="1" x14ac:dyDescent="0.15">
      <c r="A123" s="6"/>
      <c r="B123" s="346"/>
      <c r="C123" s="347"/>
      <c r="D123" s="347"/>
      <c r="E123" s="347"/>
      <c r="F123" s="348"/>
    </row>
    <row r="124" spans="1:6" ht="18.75" customHeight="1" x14ac:dyDescent="0.15">
      <c r="A124" s="6"/>
      <c r="B124" s="346"/>
      <c r="C124" s="347"/>
      <c r="D124" s="347"/>
      <c r="E124" s="347"/>
      <c r="F124" s="348"/>
    </row>
    <row r="125" spans="1:6" ht="18.75" customHeight="1" x14ac:dyDescent="0.15">
      <c r="A125" s="6"/>
      <c r="B125" s="346"/>
      <c r="C125" s="347"/>
      <c r="D125" s="347"/>
      <c r="E125" s="347"/>
      <c r="F125" s="348"/>
    </row>
    <row r="126" spans="1:6" ht="18.75" customHeight="1" x14ac:dyDescent="0.15">
      <c r="A126" s="6"/>
      <c r="B126" s="346"/>
      <c r="C126" s="347"/>
      <c r="D126" s="347"/>
      <c r="E126" s="347"/>
      <c r="F126" s="348"/>
    </row>
    <row r="127" spans="1:6" ht="18.75" customHeight="1" x14ac:dyDescent="0.15">
      <c r="A127" s="6"/>
      <c r="B127" s="346"/>
      <c r="C127" s="347"/>
      <c r="D127" s="347"/>
      <c r="E127" s="347"/>
      <c r="F127" s="348"/>
    </row>
    <row r="128" spans="1:6" ht="18.75" customHeight="1" x14ac:dyDescent="0.15">
      <c r="A128" s="6"/>
      <c r="B128" s="349"/>
      <c r="C128" s="350"/>
      <c r="D128" s="350"/>
      <c r="E128" s="350"/>
      <c r="F128" s="351"/>
    </row>
  </sheetData>
  <mergeCells count="6">
    <mergeCell ref="B88:F128"/>
    <mergeCell ref="E1:F1"/>
    <mergeCell ref="E2:F2"/>
    <mergeCell ref="A4:F4"/>
    <mergeCell ref="B7:F44"/>
    <mergeCell ref="B46:F86"/>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86" min="1"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様式１　大学等概要</vt:lpstr>
      <vt:lpstr>様式２　プログラムを構成する授業科目 (1)【修正あり】</vt:lpstr>
      <vt:lpstr>様式２　プログラムを構成する授業科目 (2)【修正あり】</vt:lpstr>
      <vt:lpstr>様式２　プログラムを構成する授業科目 (3)【修正あり】</vt:lpstr>
      <vt:lpstr>様式２　プログラムを構成する授業科目 (4)【修正あり】</vt:lpstr>
      <vt:lpstr>様式２　プログラムを構成する授業科目 (5)【修正あり】</vt:lpstr>
      <vt:lpstr>様式２　プログラムを構成する授業科目 (6)【修正あり】</vt:lpstr>
      <vt:lpstr>様式３　履修者等数の実績</vt:lpstr>
      <vt:lpstr>様式4　プログラムの授業内容・概要【修正あり】</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 (1)【修正あり】'!Print_Area</vt:lpstr>
      <vt:lpstr>'様式２　プログラムを構成する授業科目 (2)【修正あり】'!Print_Area</vt:lpstr>
      <vt:lpstr>'様式２　プログラムを構成する授業科目 (3)【修正あり】'!Print_Area</vt:lpstr>
      <vt:lpstr>'様式２　プログラムを構成する授業科目 (4)【修正あり】'!Print_Area</vt:lpstr>
      <vt:lpstr>'様式２　プログラムを構成する授業科目 (5)【修正あり】'!Print_Area</vt:lpstr>
      <vt:lpstr>'様式２　プログラムを構成する授業科目 (6)【修正あり】'!Print_Area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2021-07-02T07:31:50Z</cp:lastPrinted>
  <dcterms:created xsi:type="dcterms:W3CDTF">2011-06-14T05:32:50Z</dcterms:created>
  <dcterms:modified xsi:type="dcterms:W3CDTF">2021-07-02T07:31:54Z</dcterms:modified>
</cp:coreProperties>
</file>