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defaultThemeVersion="124226"/>
  <mc:AlternateContent xmlns:mc="http://schemas.openxmlformats.org/markup-compatibility/2006">
    <mc:Choice Requires="x15">
      <x15ac:absPath xmlns:x15ac="http://schemas.microsoft.com/office/spreadsheetml/2010/11/ac" url="Z:\事務共有\17_認定制度\認定制度申請（20210630差替）\"/>
    </mc:Choice>
  </mc:AlternateContent>
  <xr:revisionPtr revIDLastSave="0" documentId="13_ncr:1_{29B03C61-9165-4685-BDCA-8114978615FD}" xr6:coauthVersionLast="47" xr6:coauthVersionMax="47" xr10:uidLastSave="{00000000-0000-0000-0000-000000000000}"/>
  <bookViews>
    <workbookView xWindow="-120" yWindow="-120" windowWidth="29040" windowHeight="17640" tabRatio="854" activeTab="5" xr2:uid="{00000000-000D-0000-FFFF-FFFF00000000}"/>
  </bookViews>
  <sheets>
    <sheet name="様式１　大学等概要" sheetId="37" r:id="rId1"/>
    <sheet name="様式２　プログラムを構成する授業科目" sheetId="9" r:id="rId2"/>
    <sheet name="様式３　履修者等数の実績" sheetId="40" r:id="rId3"/>
    <sheet name="様式4　プログラムの授業内容・概要" sheetId="44" r:id="rId4"/>
    <sheet name="様式５　教育の質・履修者数を向上させるための体制・計画" sheetId="42" r:id="rId5"/>
    <sheet name="様式６　自己点検・評価" sheetId="43"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履修者等数の実績'!$A$1:$R$30</definedName>
    <definedName name="_xlnm.Print_Area" localSheetId="4">'様式５　教育の質・履修者数を向上させるための体制・計画'!$A$1:$E$133</definedName>
    <definedName name="_xlnm.Print_Area" localSheetId="5">'様式６　自己点検・評価'!$A$1:$J$20</definedName>
    <definedName name="_xlnm.Print_Area" localSheetId="6">'様式７　特色ある取組'!$A$1:$F$128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40" l="1"/>
  <c r="R8" i="40" s="1"/>
  <c r="Q9" i="40"/>
  <c r="R9" i="40" s="1"/>
  <c r="Q10" i="40"/>
  <c r="R10" i="40" s="1"/>
  <c r="Q11" i="40"/>
  <c r="R11" i="40" s="1"/>
  <c r="Q12" i="40"/>
  <c r="R12" i="40" s="1"/>
  <c r="Q13" i="40"/>
  <c r="R13" i="40" s="1"/>
  <c r="Q14" i="40"/>
  <c r="R14" i="40" s="1"/>
  <c r="D28" i="40"/>
  <c r="E28" i="40"/>
  <c r="F28" i="40"/>
  <c r="G28" i="40"/>
  <c r="H28" i="40"/>
  <c r="I28" i="40"/>
  <c r="J28" i="40"/>
  <c r="K28" i="40"/>
  <c r="L28" i="40"/>
  <c r="M28" i="40"/>
  <c r="N28" i="40"/>
  <c r="O28" i="40"/>
  <c r="P28" i="40"/>
  <c r="Q28" i="40" l="1"/>
  <c r="R28" i="40" s="1"/>
</calcChain>
</file>

<file path=xl/sharedStrings.xml><?xml version="1.0" encoding="utf-8"?>
<sst xmlns="http://schemas.openxmlformats.org/spreadsheetml/2006/main" count="285" uniqueCount="200">
  <si>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</si>
  <si>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</si>
  <si>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</si>
  <si>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</si>
  <si>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愛媛大学</t>
  </si>
  <si>
    <t>②</t>
    <phoneticPr fontId="1"/>
  </si>
  <si>
    <t>大学等の設置者</t>
  </si>
  <si>
    <t>国立大学法人　愛媛大学</t>
    <phoneticPr fontId="1"/>
  </si>
  <si>
    <t>③</t>
    <phoneticPr fontId="1"/>
  </si>
  <si>
    <t>設置形態</t>
  </si>
  <si>
    <t>国立大学</t>
  </si>
  <si>
    <t>④</t>
    <phoneticPr fontId="1"/>
  </si>
  <si>
    <t>所在地</t>
    <phoneticPr fontId="1"/>
  </si>
  <si>
    <t>愛媛県松山市文京町３</t>
    <rPh sb="0" eb="3">
      <t>エヒメケン</t>
    </rPh>
    <rPh sb="3" eb="6">
      <t>マツヤマシ</t>
    </rPh>
    <rPh sb="6" eb="9">
      <t>ブンキョウチョウ</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</si>
  <si>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</si>
  <si>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</si>
  <si>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⑥</t>
    <phoneticPr fontId="1"/>
  </si>
  <si>
    <t>プログラムの開設年度</t>
    <rPh sb="6" eb="8">
      <t>カイセツ</t>
    </rPh>
    <rPh sb="8" eb="10">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</si>
  <si>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</si>
  <si>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</si>
  <si>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</si>
  <si>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</si>
  <si>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</si>
  <si>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</si>
  <si>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</si>
  <si>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</si>
  <si>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</si>
  <si>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</si>
  <si>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</si>
  <si>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</si>
  <si>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</si>
  <si>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</si>
  <si>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</si>
  <si>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</si>
  <si>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</si>
  <si>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</si>
  <si>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</si>
  <si>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</si>
  <si>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</si>
  <si>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</si>
  <si>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（役職名）</t>
    <rPh sb="1" eb="4">
      <t>ヤクショクメイ</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</si>
  <si>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</si>
  <si>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</si>
  <si>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松浦　真也</t>
    <phoneticPr fontId="1"/>
  </si>
  <si>
    <t>チームリーダー・データサイエンスセンター副センター長</t>
    <rPh sb="20" eb="21">
      <t>フク</t>
    </rPh>
    <rPh sb="25" eb="26">
      <t>チョウ</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</si>
  <si>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</si>
  <si>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</si>
  <si>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愛媛大学データサイエンスセンター運営委員会</t>
    <rPh sb="0" eb="4">
      <t>エヒメダイガク</t>
    </rPh>
    <rPh sb="16" eb="18">
      <t>ウンエイ</t>
    </rPh>
    <rPh sb="18" eb="21">
      <t>イインカイ</t>
    </rPh>
    <phoneticPr fontId="1"/>
  </si>
  <si>
    <t>平野　幹</t>
    <rPh sb="0" eb="2">
      <t>ヒラノ</t>
    </rPh>
    <rPh sb="3" eb="4">
      <t>ミキ</t>
    </rPh>
    <phoneticPr fontId="1"/>
  </si>
  <si>
    <t>委員長・データサイエンスセンター長</t>
    <rPh sb="0" eb="3">
      <t>イインチョウ</t>
    </rPh>
    <rPh sb="16" eb="17">
      <t>チョウ</t>
    </rPh>
    <phoneticPr fontId="1"/>
  </si>
  <si>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</si>
  <si>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</si>
  <si>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</si>
  <si>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</si>
  <si>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</si>
  <si>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研究支援部情報システム課</t>
    <rPh sb="0" eb="7">
      <t>ケンキュウシエンブジョウホウ</t>
    </rPh>
    <rPh sb="11" eb="12">
      <t>カ</t>
    </rPh>
    <phoneticPr fontId="1"/>
  </si>
  <si>
    <t>担当者名</t>
    <rPh sb="0" eb="2">
      <t>タントウ</t>
    </rPh>
    <rPh sb="2" eb="3">
      <t>シャ</t>
    </rPh>
    <rPh sb="3" eb="4">
      <t>メイ</t>
    </rPh>
    <phoneticPr fontId="1"/>
  </si>
  <si>
    <t>和氣家　孝夫</t>
    <rPh sb="0" eb="6">
      <t>ワケヤ</t>
    </rPh>
    <phoneticPr fontId="1"/>
  </si>
  <si>
    <t>E-mail</t>
  </si>
  <si>
    <t>syssoumu@stu.ehime-u.ac.jp</t>
    <phoneticPr fontId="1"/>
  </si>
  <si>
    <t>電話番号</t>
  </si>
  <si>
    <t>089-927-8950</t>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</si>
  <si>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</si>
  <si>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</si>
  <si>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</si>
  <si>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</si>
  <si>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</si>
  <si>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下記１～３の３科目３単位を取得すること。</t>
    <rPh sb="0" eb="2">
      <t>カキ</t>
    </rPh>
    <rPh sb="7" eb="9">
      <t>カモク</t>
    </rPh>
    <rPh sb="10" eb="12">
      <t>タンイ</t>
    </rPh>
    <rPh sb="13" eb="15">
      <t>シュトク</t>
    </rPh>
    <phoneticPr fontId="1"/>
  </si>
  <si>
    <t>授業科目名称</t>
    <rPh sb="0" eb="2">
      <t>ジュギョウ</t>
    </rPh>
    <rPh sb="2" eb="4">
      <t>カモク</t>
    </rPh>
    <rPh sb="4" eb="6">
      <t>メイショウ</t>
    </rPh>
    <phoneticPr fontId="1"/>
  </si>
  <si>
    <t>情報リテラシー入門Ⅰ</t>
    <rPh sb="0" eb="2">
      <t>ジョウホウ</t>
    </rPh>
    <rPh sb="7" eb="9">
      <t>ニュウモン</t>
    </rPh>
    <phoneticPr fontId="1"/>
  </si>
  <si>
    <t>情報リテラシー入門Ⅱ</t>
    <rPh sb="0" eb="2">
      <t>ジョウホウ</t>
    </rPh>
    <rPh sb="7" eb="9">
      <t>ニュウモン</t>
    </rPh>
    <phoneticPr fontId="1"/>
  </si>
  <si>
    <t>数学入門（データリテラシー入門）</t>
    <rPh sb="0" eb="2">
      <t>スウガク</t>
    </rPh>
    <rPh sb="2" eb="4">
      <t>ニュウモン</t>
    </rPh>
    <rPh sb="13" eb="15">
      <t>ニュウモン</t>
    </rPh>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</si>
  <si>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</si>
  <si>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</si>
  <si>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</si>
  <si>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</si>
  <si>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</si>
  <si>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</si>
  <si>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</si>
  <si>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</si>
  <si>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</si>
  <si>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</si>
  <si>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</si>
  <si>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</si>
  <si>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</si>
  <si>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</si>
  <si>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</si>
  <si>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法文学部（その他）</t>
  </si>
  <si>
    <t>教育学部（教育）</t>
  </si>
  <si>
    <t>社会共創学部（社会）</t>
  </si>
  <si>
    <t>理学部（理学）</t>
  </si>
  <si>
    <t>医学部（保健）</t>
  </si>
  <si>
    <t>工学部（工学）</t>
  </si>
  <si>
    <t>農学部（農学）</t>
  </si>
  <si>
    <t>合　計</t>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</si>
  <si>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</si>
  <si>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</si>
  <si>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</si>
  <si>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</si>
  <si>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</si>
  <si>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授業科目名称</t>
    <rPh sb="0" eb="2">
      <t>ジュギョウ</t>
    </rPh>
    <rPh sb="2" eb="6">
      <t>カモクメイショウ</t>
    </rPh>
    <phoneticPr fontId="1"/>
  </si>
  <si>
    <t>講義テーマ</t>
    <rPh sb="0" eb="2">
      <t>コウギ</t>
    </rPh>
    <phoneticPr fontId="1"/>
  </si>
  <si>
    <t>ネットワークの利用(2), 情報とデータ（5）</t>
    <rPh sb="14" eb="16">
      <t>ジョウホウ</t>
    </rPh>
    <phoneticPr fontId="1"/>
  </si>
  <si>
    <t>ガイダンス：「データ」の成り立ち, 分析で何がわかるか(1), AIの活用, 事例と課題, まとめ(8)</t>
    <rPh sb="12" eb="13">
      <t>ナ</t>
    </rPh>
    <rPh sb="14" eb="15">
      <t>タ</t>
    </rPh>
    <rPh sb="18" eb="20">
      <t>ブンセキ</t>
    </rPh>
    <rPh sb="21" eb="22">
      <t>ナニ</t>
    </rPh>
    <rPh sb="35" eb="37">
      <t>カツヨウ</t>
    </rPh>
    <rPh sb="39" eb="41">
      <t>ジレイ</t>
    </rPh>
    <rPh sb="42" eb="44">
      <t>カダイ</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</si>
  <si>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</si>
  <si>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情報とデータ(5)</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</si>
  <si>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</si>
  <si>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情報リテラシー入門Ⅰ</t>
    <phoneticPr fontId="1"/>
  </si>
  <si>
    <t>情報リテラシー入門Ⅱ</t>
    <phoneticPr fontId="1"/>
  </si>
  <si>
    <t>情報利活用：表計算（3～5）</t>
    <phoneticPr fontId="1"/>
  </si>
  <si>
    <t>回帰分析　予測するには(5), AIの活用, 事例と課題, まとめ(8)</t>
    <rPh sb="0" eb="4">
      <t>カイキブンセキ</t>
    </rPh>
    <rPh sb="5" eb="7">
      <t>ヨソク</t>
    </rPh>
    <rPh sb="19" eb="21">
      <t>カツヨウ</t>
    </rPh>
    <rPh sb="23" eb="25">
      <t>ジレイ</t>
    </rPh>
    <rPh sb="26" eb="28">
      <t>カダイ</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</si>
  <si>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</si>
  <si>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情報セキュリティー(1), ネットワークの利用(2), 情報とデータ(5)</t>
    <rPh sb="0" eb="2">
      <t>ジョウホウ</t>
    </rPh>
    <rPh sb="21" eb="23">
      <t>リヨウ</t>
    </rPh>
    <rPh sb="28" eb="30">
      <t>ジョウホウ</t>
    </rPh>
    <phoneticPr fontId="1"/>
  </si>
  <si>
    <t>数学入門（データリテラシー入門）</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</si>
  <si>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</si>
  <si>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データの種類, 数値の客観性, 意図はどのように入り込むのか(2)</t>
    <rPh sb="4" eb="6">
      <t>シュルイ</t>
    </rPh>
    <rPh sb="8" eb="10">
      <t>スウチ</t>
    </rPh>
    <rPh sb="11" eb="14">
      <t>キャッカンセイ</t>
    </rPh>
    <rPh sb="16" eb="18">
      <t>イト</t>
    </rPh>
    <rPh sb="24" eb="25">
      <t>ハイ</t>
    </rPh>
    <rPh sb="26" eb="27">
      <t>コ</t>
    </rPh>
    <phoneticPr fontId="1"/>
  </si>
  <si>
    <t xml:space="preserve">基本統計量１：（グラフ, 平均, 分散）データを代表する値(3) </t>
    <rPh sb="0" eb="5">
      <t>キホントウケイリョウ</t>
    </rPh>
    <rPh sb="13" eb="15">
      <t>ヘイキン</t>
    </rPh>
    <rPh sb="17" eb="19">
      <t>ブンサン</t>
    </rPh>
    <rPh sb="24" eb="26">
      <t>ダイヒョウ</t>
    </rPh>
    <rPh sb="28" eb="29">
      <t>アタイ</t>
    </rPh>
    <phoneticPr fontId="1"/>
  </si>
  <si>
    <t xml:space="preserve">基本統計量２：（散布図, 相関, 因果関係）データの関連性(4) </t>
    <rPh sb="0" eb="5">
      <t>キホントウケイリョウ</t>
    </rPh>
    <rPh sb="8" eb="10">
      <t>サンプ</t>
    </rPh>
    <rPh sb="10" eb="11">
      <t>ズ</t>
    </rPh>
    <rPh sb="13" eb="15">
      <t>ソウカン</t>
    </rPh>
    <rPh sb="17" eb="19">
      <t>インガ</t>
    </rPh>
    <rPh sb="19" eb="21">
      <t>カンケイ</t>
    </rPh>
    <rPh sb="26" eb="28">
      <t>カンレン</t>
    </rPh>
    <rPh sb="28" eb="29">
      <t>セイ</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</si>
  <si>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</si>
  <si>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</si>
  <si>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</si>
  <si>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</si>
  <si>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</si>
  <si>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</si>
  <si>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</si>
  <si>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</si>
  <si>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</si>
  <si>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</si>
  <si>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</si>
  <si>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</si>
  <si>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</si>
  <si>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</si>
  <si>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</si>
  <si>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</si>
  <si>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</si>
  <si>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</si>
  <si>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具体的な構成員</t>
    <rPh sb="0" eb="3">
      <t>グタイテキ</t>
    </rPh>
    <rPh sb="4" eb="7">
      <t>コウセイイン</t>
    </rPh>
    <phoneticPr fontId="1"/>
  </si>
  <si>
    <t xml:space="preserve"> </t>
    <phoneticPr fontId="1"/>
  </si>
  <si>
    <t>履修者数・履修率の向上に向けた計画</t>
    <rPh sb="5" eb="7">
      <t>リシュウ</t>
    </rPh>
    <rPh sb="7" eb="8">
      <t>リツ</t>
    </rPh>
    <phoneticPr fontId="1"/>
  </si>
  <si>
    <t>学部・学科に関係なく希望する学生全員が受講可能となるような必要な体制・取組等</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</si>
  <si>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</si>
  <si>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</si>
  <si>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</si>
  <si>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</si>
  <si>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</si>
  <si>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</si>
  <si>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</si>
  <si>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</si>
  <si>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</si>
  <si>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</si>
  <si>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</si>
  <si>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</si>
  <si>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</si>
  <si>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</si>
  <si>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</si>
  <si>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</si>
  <si>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</si>
  <si>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</si>
  <si>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</si>
  <si>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</si>
  <si>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</si>
  <si>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</si>
  <si>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</si>
  <si>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</si>
  <si>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</si>
  <si>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</si>
  <si>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</si>
  <si>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仁科　弘重</t>
    <rPh sb="0" eb="2">
      <t>ニシナ</t>
    </rPh>
    <rPh sb="3" eb="5">
      <t>ヒロシゲ</t>
    </rPh>
    <phoneticPr fontId="1"/>
  </si>
  <si>
    <t>学長</t>
    <rPh sb="0" eb="2">
      <t>ガクチョウ</t>
    </rPh>
    <phoneticPr fontId="1"/>
  </si>
  <si>
    <r>
      <rPr>
        <sz val="12"/>
        <color theme="1"/>
        <rFont val="ＭＳ Ｐゴシック"/>
        <family val="3"/>
        <charset val="128"/>
        <scheme val="minor"/>
      </rPr>
      <t xml:space="preserve">プログラム構成科目のうち、「情報リテラシー入門I」「情報リテラシー入門II」は全学必修科目のため、本学の学生全員が受講するのが前提であり、それを可能とする体制が整備され、安定的に運用されている。残りの1科目「データリテラシー入門」については、各学部の時間割を考慮し、開講クオーター、曜日、時限の異なるクラスをバランスよく配置し、クラスサイズも適正に設計している。これにより、全学的な受講ニーズに対し、無理なく対応できる状況にある。
</t>
    </r>
    <r>
      <rPr>
        <sz val="12"/>
        <color rgb="FFFF0000"/>
        <rFont val="ＭＳ Ｐゴシック"/>
        <family val="2"/>
        <charset val="128"/>
        <scheme val="minor"/>
      </rPr>
      <t xml:space="preserve">
</t>
    </r>
    <rPh sb="5" eb="9">
      <t>コウセイカモク</t>
    </rPh>
    <rPh sb="14" eb="16">
      <t>ジョウホウ</t>
    </rPh>
    <rPh sb="21" eb="23">
      <t>ニュウモン</t>
    </rPh>
    <rPh sb="39" eb="41">
      <t>ゼンガク</t>
    </rPh>
    <rPh sb="41" eb="45">
      <t>ヒッシュウカモク</t>
    </rPh>
    <rPh sb="49" eb="51">
      <t>ホンガク</t>
    </rPh>
    <rPh sb="52" eb="54">
      <t>ガクセイ</t>
    </rPh>
    <rPh sb="54" eb="56">
      <t>ゼンイン</t>
    </rPh>
    <rPh sb="57" eb="59">
      <t>ジュコウ</t>
    </rPh>
    <rPh sb="63" eb="65">
      <t>ゼンテイ</t>
    </rPh>
    <rPh sb="72" eb="74">
      <t>カノウ</t>
    </rPh>
    <rPh sb="77" eb="79">
      <t>タイセイ</t>
    </rPh>
    <rPh sb="80" eb="82">
      <t>セイビ</t>
    </rPh>
    <rPh sb="85" eb="88">
      <t>アンテイテキ</t>
    </rPh>
    <rPh sb="89" eb="91">
      <t>ウンヨウ</t>
    </rPh>
    <rPh sb="97" eb="98">
      <t>ノコ</t>
    </rPh>
    <rPh sb="101" eb="103">
      <t>カモク</t>
    </rPh>
    <rPh sb="124" eb="127">
      <t>カクガクブ</t>
    </rPh>
    <rPh sb="128" eb="131">
      <t>ジカンワリ</t>
    </rPh>
    <rPh sb="132" eb="134">
      <t>コウリョ</t>
    </rPh>
    <rPh sb="136" eb="138">
      <t>カイコウ</t>
    </rPh>
    <rPh sb="144" eb="146">
      <t>ヨウビ</t>
    </rPh>
    <rPh sb="147" eb="149">
      <t>ジゲン</t>
    </rPh>
    <rPh sb="150" eb="151">
      <t>コト</t>
    </rPh>
    <rPh sb="163" eb="165">
      <t>ハイチ</t>
    </rPh>
    <rPh sb="174" eb="176">
      <t>テキセイ</t>
    </rPh>
    <rPh sb="177" eb="179">
      <t>セッケイ</t>
    </rPh>
    <rPh sb="187" eb="189">
      <t>ゼンガク</t>
    </rPh>
    <rPh sb="189" eb="190">
      <t>テキ</t>
    </rPh>
    <rPh sb="191" eb="193">
      <t>ジュコウ</t>
    </rPh>
    <rPh sb="197" eb="198">
      <t>タイ</t>
    </rPh>
    <rPh sb="200" eb="202">
      <t>ムリ</t>
    </rPh>
    <rPh sb="204" eb="206">
      <t>タイオウ</t>
    </rPh>
    <rPh sb="209" eb="211">
      <t>ジョウキョウ</t>
    </rPh>
    <phoneticPr fontId="1"/>
  </si>
  <si>
    <t>学習指導については、毎回の授業で計画定期に課題（宿題）を出題しており、課題に取り組むことで、授業時間外にも必要な学習が効果的に行える仕組みにしている。質問を受け付ける仕組みについては、多数の方法を用意し、質問しやすい環境作りに努めている。具体的には、まず、授業時間内においては、随時、口頭での質問を受け付けている。また、授業後に自由討論の時間を確保しており、授業中にできなかった質問を聞けるようにしている。さらに、各回の課題提出に併せて、自由記述欄も設けており、そこでも質問を書き込むことができる。加えて、授業担当教員毎に、オフィスアワーを設定しており、シラバスで明示している。なお、令和2年度は、コロナウイルスの影響で遠隔授業となったが、その際も、各種資料にてメールでの質問を推奨し、寄せられた質問には速やかに回答するなどし、双方向性の確保に最大限の配慮を行った。</t>
    <rPh sb="10" eb="12">
      <t>マイカイ</t>
    </rPh>
    <rPh sb="13" eb="15">
      <t>ジュギョウ</t>
    </rPh>
    <rPh sb="16" eb="20">
      <t>ケイカクテイキ</t>
    </rPh>
    <rPh sb="24" eb="26">
      <t>シュクダイ</t>
    </rPh>
    <rPh sb="28" eb="30">
      <t>シュツダイ</t>
    </rPh>
    <rPh sb="38" eb="39">
      <t>ト</t>
    </rPh>
    <rPh sb="40" eb="41">
      <t>ク</t>
    </rPh>
    <rPh sb="46" eb="51">
      <t>ジュギョウジカンガイ</t>
    </rPh>
    <rPh sb="53" eb="55">
      <t>ヒツヨウ</t>
    </rPh>
    <rPh sb="56" eb="58">
      <t>ガクシュウ</t>
    </rPh>
    <rPh sb="59" eb="62">
      <t>コウカテキ</t>
    </rPh>
    <rPh sb="63" eb="64">
      <t>オコナ</t>
    </rPh>
    <rPh sb="66" eb="68">
      <t>シク</t>
    </rPh>
    <rPh sb="92" eb="94">
      <t>タスウ</t>
    </rPh>
    <rPh sb="95" eb="97">
      <t>ホウホウ</t>
    </rPh>
    <rPh sb="98" eb="100">
      <t>ヨウイ</t>
    </rPh>
    <rPh sb="102" eb="104">
      <t>シツモン</t>
    </rPh>
    <rPh sb="108" eb="110">
      <t>カンキョウ</t>
    </rPh>
    <rPh sb="110" eb="111">
      <t>ヅク</t>
    </rPh>
    <rPh sb="113" eb="114">
      <t>ツト</t>
    </rPh>
    <rPh sb="119" eb="122">
      <t>グタイテキ</t>
    </rPh>
    <rPh sb="139" eb="141">
      <t>ズイジ</t>
    </rPh>
    <rPh sb="142" eb="144">
      <t>コウトウ</t>
    </rPh>
    <rPh sb="146" eb="148">
      <t>シツモン</t>
    </rPh>
    <rPh sb="149" eb="150">
      <t>ウ</t>
    </rPh>
    <rPh sb="151" eb="152">
      <t>ツ</t>
    </rPh>
    <rPh sb="192" eb="193">
      <t>キ</t>
    </rPh>
    <rPh sb="207" eb="209">
      <t>カクカイ</t>
    </rPh>
    <rPh sb="210" eb="214">
      <t>カダイテイシュツ</t>
    </rPh>
    <rPh sb="215" eb="216">
      <t>アワ</t>
    </rPh>
    <rPh sb="219" eb="223">
      <t>ジユウキジュツ</t>
    </rPh>
    <rPh sb="223" eb="224">
      <t>ラン</t>
    </rPh>
    <rPh sb="225" eb="226">
      <t>モウ</t>
    </rPh>
    <rPh sb="235" eb="237">
      <t>シツモン</t>
    </rPh>
    <rPh sb="238" eb="239">
      <t>カ</t>
    </rPh>
    <rPh sb="240" eb="241">
      <t>コ</t>
    </rPh>
    <rPh sb="249" eb="250">
      <t>クワ</t>
    </rPh>
    <rPh sb="292" eb="294">
      <t>レイワ</t>
    </rPh>
    <rPh sb="295" eb="297">
      <t>ネンド</t>
    </rPh>
    <rPh sb="307" eb="309">
      <t>エイキョウ</t>
    </rPh>
    <rPh sb="310" eb="312">
      <t>エンカク</t>
    </rPh>
    <rPh sb="312" eb="314">
      <t>ジュギョウ</t>
    </rPh>
    <rPh sb="322" eb="323">
      <t>サイ</t>
    </rPh>
    <rPh sb="325" eb="327">
      <t>カクシュ</t>
    </rPh>
    <rPh sb="327" eb="329">
      <t>シリョウ</t>
    </rPh>
    <rPh sb="336" eb="338">
      <t>シツモン</t>
    </rPh>
    <rPh sb="343" eb="344">
      <t>ヨ</t>
    </rPh>
    <rPh sb="348" eb="350">
      <t>シツモン</t>
    </rPh>
    <rPh sb="352" eb="353">
      <t>スミ</t>
    </rPh>
    <rPh sb="356" eb="358">
      <t>カイトウ</t>
    </rPh>
    <rPh sb="364" eb="368">
      <t>ソウホウコウセイ</t>
    </rPh>
    <rPh sb="369" eb="371">
      <t>カクホ</t>
    </rPh>
    <rPh sb="372" eb="375">
      <t>サイダイゲン</t>
    </rPh>
    <rPh sb="376" eb="378">
      <t>ハイリョ</t>
    </rPh>
    <rPh sb="379" eb="380">
      <t>オコナ</t>
    </rPh>
    <phoneticPr fontId="1"/>
  </si>
  <si>
    <t>愛媛大学ICT/DS/AI 教育プログラム（リテラシー）</t>
    <rPh sb="0" eb="4">
      <t>エヒメダイガク</t>
    </rPh>
    <rPh sb="14" eb="16">
      <t>キョウイク</t>
    </rPh>
    <phoneticPr fontId="1"/>
  </si>
  <si>
    <t>令和２年度</t>
    <rPh sb="4" eb="5">
      <t>ド</t>
    </rPh>
    <phoneticPr fontId="1"/>
  </si>
  <si>
    <t>愛媛大学ICT/DS/AI 教育プログラム（リテラシー）・ミッションチーム</t>
    <rPh sb="0" eb="4">
      <t>エヒメダイガク</t>
    </rPh>
    <rPh sb="14" eb="16">
      <t>キョウイク</t>
    </rPh>
    <phoneticPr fontId="1"/>
  </si>
  <si>
    <t>　情報通信技術および計算機能力の飛躍的な向上により、ビッグデータやAIの利活用が身近なものとなり、社会全体がデータ駆動型にシフトしてきている。このような社会変化について、ネットワークの利用の「検索サイト」では、Webブラウズを通して訪問するWebサイトや検索キーワードなどからサジェスト機能や検索連動型広告などが行われていることなどをはじめ、データ駆動型社会によって実現されてきた様々な事例を通じて理解する。また、これらの事例における基本的な仕組みとなるビッグデータを分析する手法やそれらを実現する機械学習の手法など、ビッグデータやAIに関する基本的な知識を学ぶ。</t>
    <phoneticPr fontId="1"/>
  </si>
  <si>
    <t>　データ駆動型社会においては、多様なデータがあらゆる場面で利活用されている。このことについて、コンピュータで扱われるデータの多様な例を通じて、ネットワークを介して流れるデータの種類やその量、構造化データと非構造化データの違い、などについて理解すると同時に、官民が提供するデータやその取得などについて学ぶ。さらに、これら多様なデータは、適切に分析・加工されることにより企業活動などで広範囲に活用されていることを学ぶ。</t>
    <phoneticPr fontId="1"/>
  </si>
  <si>
    <t>　データ・AIを利活用した社会における価値創造に際しては、関連する様々な技術をもとにした多くの工夫が凝らされている。分類、回帰、クラスタリング、データの可視化などデータ・AIの利活用に向けたデータ利活用の基礎についての理解のもと、コンビニ等の店舗売上の予測が重回帰分析で得られることをはじめ、交通インフラ関連の最適化、教育画面での各種サポート、スポーツやコンビニなどでの各種認識自動化など、データ活用技術が様々な適用領域で応用されていることを学ぶ。また、今のAIでできることとできないこと、AIの判断と人間の判断の違い、特徴などについて理解する。</t>
    <phoneticPr fontId="1"/>
  </si>
  <si>
    <t>　データ・AIの利活用においては、個人情報保護やデータ倫理、情報セキュリティなどについての様々な事項に留意しなければならない。学生に直結するデータ管理に関する問題例を通じて情報の取り扱いについての注意点を理解する。また、個人情報その他の権利やそれらを守る法律を他国の例も交えて学ぶ。さらに、ネットワーク上での問題点と情報を守るための暗号化について理解し、ビッグデータおよびAIと共に生きるために必要な事柄を議論する。</t>
    <phoneticPr fontId="1"/>
  </si>
  <si>
    <t>　実際にデータ・AIを利活用するためには、データを取り扱うための基礎知識が必要不可欠である。まずは、数値以外にどのようなデータがあるかを理解し、数値データについては高等学校で学んだ統計基礎、特に散布図と相関について復習する。相関関係と因果関係の違いに注目した後、学習データから作られる単回帰分析の原理を学び、重回帰へ展開した後に実際にデータを重回帰式に当てはめて予測を体感する。また、取得データにある不具合とそれを処理するデータクレンジングを理解し、Excelを用いて簡単なデータ処理と可視化について学ぶ。</t>
    <phoneticPr fontId="1"/>
  </si>
  <si>
    <t>データサイエンスセンター・ミッションチーム申合せ、愛媛大学ICT/DS/AI 教育プログラム（リテラシー）・ミッションチーム認定書</t>
    <rPh sb="21" eb="23">
      <t>モウシアワ</t>
    </rPh>
    <rPh sb="25" eb="29">
      <t>エヒメダイガク</t>
    </rPh>
    <rPh sb="39" eb="41">
      <t>キョウイク</t>
    </rPh>
    <rPh sb="62" eb="65">
      <t>ニンテイショ</t>
    </rPh>
    <phoneticPr fontId="1"/>
  </si>
  <si>
    <t>ICT/DS/AI 教育プログラム（リテラシー）・ミッションチームリーダー
理学部　教授　CDSE（兼）副センター長　松浦　真也
ICT/DS/AI 教育プログラム（リテラシー）・ミッションチームメンバー
CDSE 教授・運営委員　中川　祐治
CDSE 助教・運営委員　石川　勲
法文学部　准教授　CDSE（兼）運営委員　新関　剛史
教育学部　准教授　CDSE（兼）運営委員　原本　博史　
理学部　教授　CDSE（兼）　尾國　新一
理学部　助教　CDSE（兼）　高橋　裕子
教育・学生支援機構教育企画室　講師　竹中　喜一</t>
    <rPh sb="50" eb="51">
      <t>ケン</t>
    </rPh>
    <rPh sb="155" eb="156">
      <t>ケン</t>
    </rPh>
    <rPh sb="182" eb="183">
      <t>ケン</t>
    </rPh>
    <phoneticPr fontId="1"/>
  </si>
  <si>
    <t>愛媛大学データサイエンスセンター（CDSE）は、データサイエンス（以下DS）・AIについての利活用能力を有する人材の育成を支援することを目的に、全学的に展開するデータリテラシー教育、各学部で開講するデータ応用基礎教育、研究科で実施する高度DS教育など、本学および地域における様々なレベルに応じたDSに係る教育機会を整備・提供することとしている。このうち、特に、リテラシー教育の推進と改善を行う組織として、ICT/DS/AI 教育プログラム（リテラシー）・ミッションチームを設置している。</t>
    <rPh sb="0" eb="4">
      <t>エヒメダイガク</t>
    </rPh>
    <rPh sb="33" eb="35">
      <t>イカ</t>
    </rPh>
    <rPh sb="177" eb="178">
      <t>トク</t>
    </rPh>
    <rPh sb="188" eb="190">
      <t>スイシン</t>
    </rPh>
    <rPh sb="191" eb="193">
      <t>カイゼン</t>
    </rPh>
    <rPh sb="194" eb="195">
      <t>オコナ</t>
    </rPh>
    <rPh sb="236" eb="238">
      <t>セッチ</t>
    </rPh>
    <phoneticPr fontId="1"/>
  </si>
  <si>
    <t>組織的な対応としては、ICT/DS/AI 教育プログラム（リテラシー）・ミッションチームに、文系から理系まで専門分野の異なる多様な教員が参画するようにしており、これにより、予備知識や学問的興味の異なる多様な学生たちに対し、それぞれに見合ったサポートができる体制となっている。技術面での対応としては、eラーニングシステムのMoodle上に教材を蓄積し、学生が自身の理解度に応じ、いつでもじっくり予復習可能な環境を構築している。教材の中で、学生の身近な話題や関心事を具体例として取り上げるなど、学習動機の向上につながる内容を盛り込んでおり、これにより、できる限り多くの学生が、意欲的に受講し、学習内容を修得できる環境を整えている。</t>
    <rPh sb="0" eb="3">
      <t>ソシキテキ</t>
    </rPh>
    <rPh sb="4" eb="6">
      <t>タイオウ</t>
    </rPh>
    <rPh sb="46" eb="48">
      <t>ブンケイ</t>
    </rPh>
    <rPh sb="50" eb="52">
      <t>リケイ</t>
    </rPh>
    <rPh sb="54" eb="58">
      <t>センモンブンヤ</t>
    </rPh>
    <rPh sb="59" eb="60">
      <t>コト</t>
    </rPh>
    <rPh sb="62" eb="64">
      <t>タヨウ</t>
    </rPh>
    <rPh sb="65" eb="67">
      <t>キョウイン</t>
    </rPh>
    <rPh sb="68" eb="70">
      <t>サンカク</t>
    </rPh>
    <rPh sb="86" eb="88">
      <t>ヨビ</t>
    </rPh>
    <rPh sb="88" eb="90">
      <t>チシキ</t>
    </rPh>
    <rPh sb="91" eb="94">
      <t>ガクモンテキ</t>
    </rPh>
    <rPh sb="94" eb="96">
      <t>キョウミ</t>
    </rPh>
    <rPh sb="97" eb="98">
      <t>コト</t>
    </rPh>
    <rPh sb="100" eb="102">
      <t>タヨウ</t>
    </rPh>
    <rPh sb="103" eb="105">
      <t>ガクセイ</t>
    </rPh>
    <rPh sb="108" eb="109">
      <t>タイ</t>
    </rPh>
    <rPh sb="116" eb="118">
      <t>ミア</t>
    </rPh>
    <rPh sb="128" eb="130">
      <t>タイセイ</t>
    </rPh>
    <rPh sb="137" eb="140">
      <t>ギジュツメン</t>
    </rPh>
    <rPh sb="142" eb="144">
      <t>タイオウ</t>
    </rPh>
    <rPh sb="166" eb="167">
      <t>ウエ</t>
    </rPh>
    <rPh sb="168" eb="170">
      <t>キョウザイ</t>
    </rPh>
    <rPh sb="171" eb="173">
      <t>チクセキ</t>
    </rPh>
    <rPh sb="178" eb="180">
      <t>ジシン</t>
    </rPh>
    <rPh sb="181" eb="184">
      <t>リカイド</t>
    </rPh>
    <rPh sb="185" eb="186">
      <t>オウ</t>
    </rPh>
    <rPh sb="212" eb="214">
      <t>キョウザイ</t>
    </rPh>
    <rPh sb="215" eb="216">
      <t>ナカ</t>
    </rPh>
    <rPh sb="218" eb="220">
      <t>ガクセイ</t>
    </rPh>
    <rPh sb="221" eb="223">
      <t>ミジカ</t>
    </rPh>
    <rPh sb="224" eb="226">
      <t>ワダイ</t>
    </rPh>
    <rPh sb="227" eb="230">
      <t>カンシンジ</t>
    </rPh>
    <rPh sb="231" eb="234">
      <t>グタイレイ</t>
    </rPh>
    <rPh sb="237" eb="238">
      <t>ト</t>
    </rPh>
    <rPh sb="239" eb="240">
      <t>ア</t>
    </rPh>
    <rPh sb="260" eb="261">
      <t>モ</t>
    </rPh>
    <rPh sb="262" eb="263">
      <t>コ</t>
    </rPh>
    <rPh sb="277" eb="278">
      <t>カギ</t>
    </rPh>
    <rPh sb="279" eb="280">
      <t>オオ</t>
    </rPh>
    <rPh sb="282" eb="284">
      <t>ガクセイ</t>
    </rPh>
    <rPh sb="286" eb="289">
      <t>イヨクテキ</t>
    </rPh>
    <rPh sb="290" eb="292">
      <t>ジュコウ</t>
    </rPh>
    <rPh sb="294" eb="298">
      <t>ガクシュウナイヨウ</t>
    </rPh>
    <rPh sb="299" eb="301">
      <t>シュウトク</t>
    </rPh>
    <rPh sb="304" eb="306">
      <t>カンキョウ</t>
    </rPh>
    <rPh sb="307" eb="308">
      <t>トトノ</t>
    </rPh>
    <phoneticPr fontId="1"/>
  </si>
  <si>
    <t>CDSEにて、本教育プログラムの修了認定者の名簿を適切に管理する体制を整備している。これにより、卒業予定者アンケート、進路・就職状況等、本学で収集している各種データとの照合が可能となり、追跡調査も効率的に行うことができる。なお、現時点では本教育プログラムを修了した卒業生はまだいないが、1期生卒業以降、地元の民間企業、地方公共団体等の就職先に対してヒアリングを実施し、本プログラム修了生の活躍状況や評価を調査することにしている。</t>
    <phoneticPr fontId="1"/>
  </si>
  <si>
    <t>CDSEでは、ICT/DS/AI 教育プログラムの自己点検・評価組織でもあるCDSE運営委員会のメンバーを中心に、地元企業・自治体と、頻繁に懇談の場を設け、情報交換や意見交換を行っている。その中で、DSやAIのリテラシー教育について、本学の教育に期待することや、社会に出てから必要となる知識・能力について情報収集している。参加企業、自治体からは、CDSEの取り組みに高い期待が寄せられ、好意的に受け止められている。懇談により得られた新たな知見は、自己点検・評価を通じ、ICT/DS/AI 教育プログラム・ミッションチームにフィードバックし、プログラムの改善に役立てている。</t>
    <rPh sb="32" eb="34">
      <t>ソシキ</t>
    </rPh>
    <rPh sb="110" eb="112">
      <t>キョウイク</t>
    </rPh>
    <rPh sb="161" eb="163">
      <t>サンカ</t>
    </rPh>
    <rPh sb="163" eb="165">
      <t>キギョウ</t>
    </rPh>
    <rPh sb="166" eb="169">
      <t>ジチタイ</t>
    </rPh>
    <rPh sb="178" eb="179">
      <t>ト</t>
    </rPh>
    <rPh sb="180" eb="181">
      <t>ク</t>
    </rPh>
    <rPh sb="183" eb="184">
      <t>タカ</t>
    </rPh>
    <rPh sb="185" eb="187">
      <t>キタイ</t>
    </rPh>
    <rPh sb="188" eb="189">
      <t>ヨ</t>
    </rPh>
    <rPh sb="193" eb="196">
      <t>コウイテキ</t>
    </rPh>
    <rPh sb="197" eb="198">
      <t>ウ</t>
    </rPh>
    <rPh sb="199" eb="200">
      <t>ト</t>
    </rPh>
    <rPh sb="207" eb="209">
      <t>コンダン</t>
    </rPh>
    <rPh sb="212" eb="213">
      <t>エ</t>
    </rPh>
    <rPh sb="216" eb="217">
      <t>アラ</t>
    </rPh>
    <rPh sb="219" eb="221">
      <t>チケン</t>
    </rPh>
    <rPh sb="231" eb="232">
      <t>ツウ</t>
    </rPh>
    <rPh sb="279" eb="281">
      <t>ヤクダ</t>
    </rPh>
    <phoneticPr fontId="1"/>
  </si>
  <si>
    <t>本学は、データサイエンス（以下DS）・AIについての利活用能力を有する人材の育成を支援することを目的に、令和２年４月にCDSEを設置した。ICT、DS、AI のリテラシー教育の推進は、CDSEの主要な任務の1つである。CDSEは、すべての学部から計68名の教員が参画する全学体制となっており、様々な専門分野の教員が関与することで、全学的に履修を推進する体制を築いている。こうした体制の整備の成果として、令和2年度には「データリテラシー入門」の開講が5クラスだったのに対し、令和3年度には8クラスに増設されるなど、履修者数及び履修率向上に向け、着実に前進している。</t>
    <rPh sb="0" eb="2">
      <t>ホンガク</t>
    </rPh>
    <rPh sb="13" eb="15">
      <t>イカ</t>
    </rPh>
    <rPh sb="64" eb="66">
      <t>セッチ</t>
    </rPh>
    <rPh sb="85" eb="87">
      <t>キョウイク</t>
    </rPh>
    <rPh sb="97" eb="99">
      <t>シュヨウ</t>
    </rPh>
    <rPh sb="100" eb="102">
      <t>ニンム</t>
    </rPh>
    <rPh sb="165" eb="168">
      <t>ゼンガクテキ</t>
    </rPh>
    <rPh sb="189" eb="191">
      <t>タイセイ</t>
    </rPh>
    <rPh sb="192" eb="194">
      <t>セイビ</t>
    </rPh>
    <rPh sb="195" eb="197">
      <t>セイカ</t>
    </rPh>
    <rPh sb="201" eb="203">
      <t>レイワ</t>
    </rPh>
    <rPh sb="204" eb="206">
      <t>ネンド</t>
    </rPh>
    <rPh sb="217" eb="219">
      <t>ニュウモン</t>
    </rPh>
    <rPh sb="221" eb="223">
      <t>カイコウ</t>
    </rPh>
    <rPh sb="233" eb="234">
      <t>タイ</t>
    </rPh>
    <rPh sb="236" eb="238">
      <t>レイワ</t>
    </rPh>
    <rPh sb="239" eb="241">
      <t>ネンド</t>
    </rPh>
    <rPh sb="248" eb="250">
      <t>ゾウセツ</t>
    </rPh>
    <rPh sb="256" eb="260">
      <t>リシュウシャスウ</t>
    </rPh>
    <rPh sb="260" eb="261">
      <t>オヨ</t>
    </rPh>
    <rPh sb="262" eb="265">
      <t>リシュウリツ</t>
    </rPh>
    <rPh sb="265" eb="267">
      <t>コウジョウ</t>
    </rPh>
    <rPh sb="268" eb="269">
      <t>ム</t>
    </rPh>
    <rPh sb="271" eb="273">
      <t>チャクジツ</t>
    </rPh>
    <rPh sb="274" eb="276">
      <t>ゼンシン</t>
    </rPh>
    <phoneticPr fontId="1"/>
  </si>
  <si>
    <t xml:space="preserve">
受講のための前提知識を、全学共通のレベルに抑える一方、講義資料を充実させ、知識が少ない人は資料を読んで補うことができるように、また、知識がある人は読み飛ばすことができるように工夫している。さらに、数式を多用して重要事項を説明するのではなく、図やグラフ等を用い、視覚的にも理解が進むようにスライド資料を工夫している。また、身近な事項を考察の対象とした方が理解が進みやすいため、令和２年度には、従来から用いていた各種実例に加え、新型コロナウイルス感染症に関する各種の科学的データも取り入れた。こうした工夫の効果は、アンケートや課題提出時の感想等をもとに検証し、授業改善に繋げている。</t>
    <rPh sb="1" eb="3">
      <t>ジュコウ</t>
    </rPh>
    <rPh sb="9" eb="11">
      <t>チシキ</t>
    </rPh>
    <rPh sb="13" eb="15">
      <t>ゼンガク</t>
    </rPh>
    <rPh sb="15" eb="17">
      <t>キョウツウ</t>
    </rPh>
    <rPh sb="22" eb="23">
      <t>オサ</t>
    </rPh>
    <rPh sb="25" eb="27">
      <t>イッポウ</t>
    </rPh>
    <rPh sb="28" eb="30">
      <t>コウギ</t>
    </rPh>
    <rPh sb="30" eb="32">
      <t>シリョウ</t>
    </rPh>
    <rPh sb="33" eb="35">
      <t>ジュウジツ</t>
    </rPh>
    <rPh sb="41" eb="42">
      <t>スク</t>
    </rPh>
    <rPh sb="44" eb="45">
      <t>ヒト</t>
    </rPh>
    <rPh sb="46" eb="48">
      <t>シリョウ</t>
    </rPh>
    <rPh sb="49" eb="50">
      <t>ヨ</t>
    </rPh>
    <rPh sb="52" eb="53">
      <t>オギナ</t>
    </rPh>
    <rPh sb="88" eb="90">
      <t>クフウ</t>
    </rPh>
    <rPh sb="99" eb="101">
      <t>スウシキ</t>
    </rPh>
    <rPh sb="102" eb="104">
      <t>タヨウ</t>
    </rPh>
    <rPh sb="106" eb="108">
      <t>ジュウヨウ</t>
    </rPh>
    <rPh sb="111" eb="113">
      <t>セツメイ</t>
    </rPh>
    <rPh sb="121" eb="122">
      <t>ズ</t>
    </rPh>
    <rPh sb="126" eb="127">
      <t>トウ</t>
    </rPh>
    <rPh sb="128" eb="129">
      <t>モチ</t>
    </rPh>
    <rPh sb="131" eb="134">
      <t>シカクテキ</t>
    </rPh>
    <rPh sb="136" eb="138">
      <t>リカイ</t>
    </rPh>
    <rPh sb="139" eb="140">
      <t>スス</t>
    </rPh>
    <rPh sb="148" eb="150">
      <t>シリョウ</t>
    </rPh>
    <rPh sb="151" eb="153">
      <t>クフウ</t>
    </rPh>
    <rPh sb="161" eb="163">
      <t>ミジカ</t>
    </rPh>
    <rPh sb="239" eb="240">
      <t>ト</t>
    </rPh>
    <rPh sb="241" eb="242">
      <t>イ</t>
    </rPh>
    <rPh sb="249" eb="251">
      <t>クフウ</t>
    </rPh>
    <rPh sb="252" eb="254">
      <t>コウカ</t>
    </rPh>
    <rPh sb="268" eb="270">
      <t>カンソウ</t>
    </rPh>
    <rPh sb="270" eb="271">
      <t>トウ</t>
    </rPh>
    <rPh sb="275" eb="277">
      <t>ケンショウ</t>
    </rPh>
    <phoneticPr fontId="1"/>
  </si>
  <si>
    <r>
      <rPr>
        <sz val="12"/>
        <color theme="1"/>
        <rFont val="ＭＳ Ｐゴシック"/>
        <family val="3"/>
        <charset val="128"/>
        <scheme val="minor"/>
      </rPr>
      <t>学生が必ず目を通す修学支援システム、時間割表、履修案内冊子等を用いて、履修に必要な情報が確認できるようにしている。特に、プログラム構成科目のうち、「情報リテラシー入門I」「情報リテラシー入門II」は全学必修科目のため、履修漏れのないよう、履修ガイダンス等でも周知徹底している。「データリテラシー入門」についても、CDSE兼担の教員が窓口役となり、自学部の学生の履修を促している。</t>
    </r>
    <r>
      <rPr>
        <sz val="12"/>
        <rFont val="ＭＳ Ｐゴシック"/>
        <family val="3"/>
        <charset val="128"/>
        <scheme val="minor"/>
      </rPr>
      <t>また、CDSEのWEBサイト上でも周知を行っている。</t>
    </r>
    <rPh sb="0" eb="2">
      <t>ガクセイ</t>
    </rPh>
    <rPh sb="3" eb="4">
      <t>カナラ</t>
    </rPh>
    <rPh sb="5" eb="6">
      <t>メ</t>
    </rPh>
    <rPh sb="7" eb="8">
      <t>トオ</t>
    </rPh>
    <rPh sb="18" eb="22">
      <t>ジカンワリヒョウ</t>
    </rPh>
    <rPh sb="23" eb="25">
      <t>リシュウ</t>
    </rPh>
    <rPh sb="25" eb="27">
      <t>アンナイ</t>
    </rPh>
    <rPh sb="27" eb="29">
      <t>サッシ</t>
    </rPh>
    <rPh sb="29" eb="30">
      <t>トウ</t>
    </rPh>
    <rPh sb="31" eb="32">
      <t>モチ</t>
    </rPh>
    <rPh sb="35" eb="37">
      <t>リシュウ</t>
    </rPh>
    <rPh sb="38" eb="40">
      <t>ヒツヨウ</t>
    </rPh>
    <rPh sb="41" eb="43">
      <t>ジョウホウ</t>
    </rPh>
    <rPh sb="44" eb="46">
      <t>カクニン</t>
    </rPh>
    <rPh sb="57" eb="58">
      <t>トク</t>
    </rPh>
    <rPh sb="109" eb="111">
      <t>リシュウ</t>
    </rPh>
    <rPh sb="111" eb="112">
      <t>モ</t>
    </rPh>
    <rPh sb="173" eb="176">
      <t>ジガクブ</t>
    </rPh>
    <rPh sb="177" eb="179">
      <t>ガクセイ</t>
    </rPh>
    <rPh sb="180" eb="182">
      <t>リシュウ</t>
    </rPh>
    <rPh sb="183" eb="184">
      <t>ウナガ</t>
    </rPh>
    <rPh sb="203" eb="204">
      <t>ジョウ</t>
    </rPh>
    <rPh sb="206" eb="208">
      <t>シュウチ</t>
    </rPh>
    <rPh sb="209" eb="210">
      <t>オコナ</t>
    </rPh>
    <phoneticPr fontId="1"/>
  </si>
  <si>
    <t>情報処理技術の飛躍的な向上により、世界中のあらゆる産業分野におけるデジタル革命が急速に進展している。本教育プログラムにおけるICT/DS/AIリテラシー教育を通じて、このように社会全体がデジタル化・データ駆動型にシフトしている状況を理解できるとともに、日常の道具としてコンピュータ・インターネットを活用するために必要な基礎的な知識・技能を身に付けられる。さらに、ビッグデータ・AI技術の利活用のために必要な基礎知識や注意点を理解できる。</t>
    <rPh sb="76" eb="78">
      <t>キョウイク</t>
    </rPh>
    <rPh sb="88" eb="90">
      <t>シャカイ</t>
    </rPh>
    <rPh sb="90" eb="92">
      <t>ゼンタイ</t>
    </rPh>
    <rPh sb="97" eb="98">
      <t>カ</t>
    </rPh>
    <rPh sb="102" eb="105">
      <t>クドウガタ</t>
    </rPh>
    <rPh sb="113" eb="115">
      <t>ジョウキョウ</t>
    </rPh>
    <phoneticPr fontId="1"/>
  </si>
  <si>
    <t xml:space="preserve">
全学的に運用されている修学支援システム上のデータをもとに、教育学生支援部教育センター事務課と研究支援部情報システム課とが連携して、プログラムの履修・修得状況を管理する体制を整えている。また、同じく全学導入のコラボレーション・プラットフォームのMicrosoft Teams上で、教材やアンケート結果を関係教員間で共有しているのに加え、eラーニングシステムのMoodle上でも、関係教員が当該授業のコンテンツや学生の提出課題・解答など、学修状況を随時、確認できるようになっている。なお、令和2年度のプログラムの履修・修得状況は、履修者数３７０人・取得者数３４５人（１学年あたりの学生定員１７７０人）であり、順調に授業が実施できたことを確認した。</t>
    <rPh sb="264" eb="268">
      <t>リシュウシャスウ</t>
    </rPh>
    <rPh sb="271" eb="272">
      <t>ニン</t>
    </rPh>
    <rPh sb="273" eb="276">
      <t>シュトクシャ</t>
    </rPh>
    <rPh sb="276" eb="277">
      <t>スウ</t>
    </rPh>
    <rPh sb="280" eb="281">
      <t>ニン</t>
    </rPh>
    <rPh sb="283" eb="285">
      <t>ガクネン</t>
    </rPh>
    <rPh sb="289" eb="293">
      <t>ガクセイテイイン</t>
    </rPh>
    <rPh sb="297" eb="298">
      <t>ニン</t>
    </rPh>
    <phoneticPr fontId="1"/>
  </si>
  <si>
    <t xml:space="preserve">
学修成果は、課題の答案や、受講生全員を対象とした授業アンケートの分析を通じて確認している。例えば、自分自身で主体的に考える姿勢の高まりは、教員の視点では、授業課題の答案において、独自の考察の有無を通じて確認できており、一方で、授業アンケートでも「能動的に正しい情報をつかみに行こうという姿勢が身についた」などの回答により、受講生たち自身、そのことを自覚していることが確認できている。なお、現時点では本教育プログラムを修了した卒業生はまだいないが、プログラム1期生が卒業以降は、本学の学生全員を対象として実施されている入学時・卒業時の学生調査（特にコンピテンシーに関する項目）と連動した分析を実施できる。
</t>
    <rPh sb="296" eb="298">
      <t>ジッシ</t>
    </rPh>
    <phoneticPr fontId="1"/>
  </si>
  <si>
    <t xml:space="preserve">
授業アンケートで「この授業を通して自分が普段どのようにデータと向き合っているか考え直すきっかけになりました。情報があふれる現代に必要な授業だと思いました」など受講の必要性を唱える回答や「数学が苦手であったので履修前は少し不安でしたが、何とか乗り切ることができてよかったです」など文系学生からの肯定的な感想も寄せられ、全学的な履修を促す好材料が得られている。実際、「数学は高校時代からどちらかというと苦手だったが、計算問題があまり必要がないと知り、挑戦がてら履修させてもらった」といった受講生も見受けられる。こうした情報はICT/DS/AI 教育プログラム（リテラシー）・ミッションチームにて積極活用を試みている。</t>
    <rPh sb="87" eb="88">
      <t>トナ</t>
    </rPh>
    <phoneticPr fontId="1"/>
  </si>
  <si>
    <t xml:space="preserve">
身近な実例を取り上げることで、DSやAIの技術が自分達に直結したものであることを意識させるように心がけている。それと同時に、AIが万能ではないこと、人間の方が優れている点も多いことも具体例を通じて、実感をもってもらえるようにしている。例の取り上げ方、説明の仕方については、課題提出時に記入してもらっている感想等も参考に改善を行っている。これにより、「AIに使われる」にならないよう、まずはAIを知ることの重要性を意識させている。AIを知ることは、各自が将来的にDSやAIとどう関わるかを考え、そのために、大学で何をどう学んでいくか考える際の判断材料となる。</t>
    <rPh sb="1" eb="3">
      <t>ミジカ</t>
    </rPh>
    <rPh sb="4" eb="6">
      <t>ジツレイ</t>
    </rPh>
    <rPh sb="7" eb="8">
      <t>ト</t>
    </rPh>
    <rPh sb="9" eb="10">
      <t>ア</t>
    </rPh>
    <rPh sb="22" eb="24">
      <t>ギジュツ</t>
    </rPh>
    <rPh sb="25" eb="27">
      <t>ジブン</t>
    </rPh>
    <rPh sb="27" eb="28">
      <t>タチ</t>
    </rPh>
    <rPh sb="29" eb="31">
      <t>チョッケツ</t>
    </rPh>
    <rPh sb="41" eb="43">
      <t>イシキ</t>
    </rPh>
    <rPh sb="49" eb="50">
      <t>ココロ</t>
    </rPh>
    <rPh sb="59" eb="61">
      <t>ドウジ</t>
    </rPh>
    <rPh sb="66" eb="68">
      <t>バンノウ</t>
    </rPh>
    <rPh sb="75" eb="77">
      <t>ニンゲン</t>
    </rPh>
    <rPh sb="78" eb="79">
      <t>ホウ</t>
    </rPh>
    <rPh sb="80" eb="81">
      <t>スグ</t>
    </rPh>
    <rPh sb="85" eb="86">
      <t>テン</t>
    </rPh>
    <rPh sb="87" eb="88">
      <t>オオ</t>
    </rPh>
    <rPh sb="92" eb="95">
      <t>グタイレイ</t>
    </rPh>
    <rPh sb="96" eb="97">
      <t>ツウ</t>
    </rPh>
    <rPh sb="100" eb="102">
      <t>ジッカン</t>
    </rPh>
    <rPh sb="137" eb="142">
      <t>カダイテイシュツジ</t>
    </rPh>
    <rPh sb="143" eb="145">
      <t>キニュウ</t>
    </rPh>
    <rPh sb="153" eb="155">
      <t>カンソウ</t>
    </rPh>
    <rPh sb="155" eb="156">
      <t>トウ</t>
    </rPh>
    <rPh sb="157" eb="159">
      <t>サンコウ</t>
    </rPh>
    <rPh sb="160" eb="162">
      <t>カイゼン</t>
    </rPh>
    <rPh sb="163" eb="164">
      <t>オコナ</t>
    </rPh>
    <rPh sb="179" eb="180">
      <t>ツカ</t>
    </rPh>
    <rPh sb="198" eb="199">
      <t>シ</t>
    </rPh>
    <rPh sb="203" eb="206">
      <t>ジュウヨウセイ</t>
    </rPh>
    <rPh sb="207" eb="209">
      <t>イシキ</t>
    </rPh>
    <rPh sb="218" eb="219">
      <t>シ</t>
    </rPh>
    <rPh sb="227" eb="230">
      <t>ショウライテキ</t>
    </rPh>
    <rPh sb="239" eb="240">
      <t>カカ</t>
    </rPh>
    <rPh sb="244" eb="245">
      <t>カンガ</t>
    </rPh>
    <rPh sb="253" eb="255">
      <t>ダイガク</t>
    </rPh>
    <rPh sb="256" eb="257">
      <t>ナニ</t>
    </rPh>
    <rPh sb="260" eb="261">
      <t>マナ</t>
    </rPh>
    <rPh sb="271" eb="275">
      <t>ハンダンザイリョウ</t>
    </rPh>
    <phoneticPr fontId="1"/>
  </si>
  <si>
    <t xml:space="preserve">各年度の履修者数の目標を以下のとおりとする。（（　）内は履修率。）
令和３年度　４５０名　（１１％）
令和４年度　５００名　（１８％）
令和５年度　５５０名　（２５％）
令和６年度　６００名　（２８％）
令和７年度　６５０名　（３１％）
目標を実現するために、令和2年度には、ICT/DS/AI 教育プログラム（リテラシー）・ミッションチームにおいて、リテラシー教育のあり方の再検討を進め、文系学部の教員も授業担当者に加わる体制を構築した。
さらに、令和3年度より、プログラム修了後の接続科目「データリテラシー入門プラス」を新設することを決定した。後に続く学習内容を明示することで、学修意欲を向上させることができる。なお、令和3年度よりノートPC必携化を決定した。PC必携により、デジタルツールがより身近な存在となり、DS・AIへの関心が増す。加えて、計算機室のキャパシティーの問題も解消され、より多くの受講生を受け入れる環境が整った。
</t>
    <rPh sb="131" eb="133">
      <t>レイワ</t>
    </rPh>
    <rPh sb="134" eb="136">
      <t>ネンド</t>
    </rPh>
    <rPh sb="187" eb="188">
      <t>カタ</t>
    </rPh>
    <rPh sb="189" eb="192">
      <t>サイケントウ</t>
    </rPh>
    <rPh sb="193" eb="194">
      <t>スス</t>
    </rPh>
    <rPh sb="196" eb="198">
      <t>ブンケイ</t>
    </rPh>
    <rPh sb="198" eb="200">
      <t>ガクブ</t>
    </rPh>
    <rPh sb="201" eb="203">
      <t>キョウイン</t>
    </rPh>
    <rPh sb="204" eb="209">
      <t>ジュギョウタントウシャ</t>
    </rPh>
    <rPh sb="210" eb="211">
      <t>クワ</t>
    </rPh>
    <rPh sb="213" eb="215">
      <t>タイセイ</t>
    </rPh>
    <rPh sb="216" eb="218">
      <t>コウチク</t>
    </rPh>
    <rPh sb="256" eb="258">
      <t>ニュウモン</t>
    </rPh>
    <rPh sb="270" eb="272">
      <t>ケッテイ</t>
    </rPh>
    <rPh sb="324" eb="326">
      <t>ヒッケイ</t>
    </rPh>
    <rPh sb="326" eb="327">
      <t>カ</t>
    </rPh>
    <rPh sb="328" eb="330">
      <t>ケッテイ</t>
    </rPh>
    <rPh sb="351" eb="353">
      <t>ミジカ</t>
    </rPh>
    <rPh sb="354" eb="356">
      <t>ソンザイ</t>
    </rPh>
    <rPh sb="367" eb="369">
      <t>カンシン</t>
    </rPh>
    <rPh sb="370" eb="371">
      <t>マ</t>
    </rPh>
    <rPh sb="373" eb="374">
      <t>クワ</t>
    </rPh>
    <rPh sb="377" eb="380">
      <t>ケイサンキ</t>
    </rPh>
    <rPh sb="390" eb="392">
      <t>モンダイ</t>
    </rPh>
    <rPh sb="393" eb="395">
      <t>カイショウ</t>
    </rPh>
    <rPh sb="400" eb="401">
      <t>オオ</t>
    </rPh>
    <rPh sb="403" eb="406">
      <t>ジュコウセイ</t>
    </rPh>
    <rPh sb="407" eb="408">
      <t>ウ</t>
    </rPh>
    <rPh sb="409" eb="410">
      <t>イ</t>
    </rPh>
    <rPh sb="412" eb="414">
      <t>カンキョウ</t>
    </rPh>
    <rPh sb="415" eb="416">
      <t>トトノ</t>
    </rPh>
    <phoneticPr fontId="1"/>
  </si>
  <si>
    <t>※情報リテラシー入門Ⅰ、Ⅱについては全学部1回生対象の必修科目であるが、数学入門（データリテラシー入門）科目については、理学部・工学部は当該学部の
　履修指導方針により令和２年度の履修実績なし。令和３年度以降の履修について調整済み。</t>
    <phoneticPr fontId="1"/>
  </si>
  <si>
    <t xml:space="preserve">
受講生全員に対し授業アンケートを実施しており、その結果をICT/DS/AI 教育プログラム・ミッションチームで分析し、愛媛大学データサイエンスセンター（以下CDSE）運営委員会で検証する体制を整えている。アンケートでは、定量的評価を目的とした多肢選択式項目に加え、自由記述項目も設けており、「AIやデータに関する認識というのは大いに変わった。」「数学をAI目線から考えられたことは良かった。数学に対する視野が広がった。」「情報の読み取り方を詳しく学ぶことができ、テレビやインターネットで見かける情報の読み取り方や受け取るメッセージが変わった。」など、本授業内容を理解した結果が、普段の行動に反映されている様子が確認できた。</t>
    <rPh sb="60" eb="64">
      <t>エヒメダイガク</t>
    </rPh>
    <rPh sb="77" eb="79">
      <t>イカ</t>
    </rPh>
    <phoneticPr fontId="1"/>
  </si>
  <si>
    <t>様式２</t>
    <rPh sb="0" eb="2">
      <t>ヨウシキ</t>
    </rPh>
    <phoneticPr fontId="1"/>
  </si>
  <si>
    <t>様式４</t>
    <rPh sb="0" eb="2">
      <t>ヨウシキ</t>
    </rPh>
    <phoneticPr fontId="1"/>
  </si>
  <si>
    <t>https://www.cdse.ehime-u.ac.jp/program.html</t>
    <phoneticPr fontId="1"/>
  </si>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</sst>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2"/>
      <color rgb="FF0070C0"/>
      <name val="ＭＳ Ｐゴシック"/>
      <family val="3"/>
      <charset val="128"/>
      <scheme val="minor"/>
    </font>
    <font>
      <sz val="12"/>
      <color theme="1" tint="0.499984740745262"/>
      <name val="ＭＳ Ｐゴシック"/>
      <family val="2"/>
      <charset val="128"/>
      <scheme val="minor"/>
    </font>
    <font>
      <u/>
      <sz val="11"/>
      <name val="ＭＳ Ｐゴシック"/>
      <family val="3"/>
      <charset val="128"/>
      <scheme val="minor"/>
    </font>
    <font>
      <sz val="9"/>
      <name val="ＭＳ Ｐゴシック"/>
      <family val="3"/>
      <charset val="128"/>
      <scheme val="minor"/>
    </font>
    <font>
      <b/>
      <sz val="12"/>
      <color rgb="FF0070C0"/>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84">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pplyAlignment="1">
      <alignment vertical="center"/>
    </xf>
    <xf numFmtId="0" fontId="3" fillId="0" borderId="0" xfId="0" applyFont="1">
      <alignment vertical="center"/>
    </xf>
    <xf numFmtId="0" fontId="2" fillId="0" borderId="0" xfId="0" applyFont="1" applyAlignment="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5" xfId="0" applyFont="1" applyBorder="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9" fillId="0" borderId="0" xfId="0" applyFont="1" applyBorder="1" applyAlignment="1">
      <alignment horizontal="center" vertical="center"/>
    </xf>
    <xf numFmtId="0" fontId="9" fillId="0" borderId="1" xfId="0" applyFont="1" applyBorder="1" applyAlignment="1">
      <alignment vertical="center" shrinkToFit="1"/>
    </xf>
    <xf numFmtId="0" fontId="2" fillId="0" borderId="11" xfId="0" applyFont="1" applyBorder="1" applyAlignment="1">
      <alignment horizontal="center" vertical="center"/>
    </xf>
    <xf numFmtId="0" fontId="2" fillId="0" borderId="1" xfId="0" applyFont="1" applyBorder="1" applyAlignment="1">
      <alignment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0" fontId="10" fillId="0" borderId="2" xfId="0" applyFont="1" applyBorder="1" applyAlignment="1">
      <alignment horizontal="center" vertical="center" shrinkToFit="1"/>
    </xf>
    <xf numFmtId="0" fontId="15" fillId="0" borderId="0" xfId="2" applyNumberFormat="1" applyFont="1" applyFill="1" applyBorder="1" applyAlignment="1">
      <alignment vertical="center" shrinkToFit="1"/>
    </xf>
    <xf numFmtId="176" fontId="9" fillId="0" borderId="0" xfId="0" applyNumberFormat="1" applyFont="1">
      <alignment vertical="center"/>
    </xf>
    <xf numFmtId="176" fontId="10" fillId="0" borderId="0" xfId="0" applyNumberFormat="1" applyFont="1">
      <alignment vertical="center"/>
    </xf>
    <xf numFmtId="176" fontId="9" fillId="0" borderId="5" xfId="0" applyNumberFormat="1" applyFont="1" applyBorder="1">
      <alignment vertical="center"/>
    </xf>
    <xf numFmtId="0" fontId="9" fillId="0" borderId="10" xfId="0" applyFont="1" applyBorder="1">
      <alignment vertical="center"/>
    </xf>
    <xf numFmtId="176" fontId="5" fillId="0" borderId="0" xfId="0" applyNumberFormat="1" applyFont="1" applyAlignment="1">
      <alignment vertical="center" shrinkToFit="1"/>
    </xf>
    <xf numFmtId="0" fontId="17" fillId="0" borderId="0" xfId="0" applyFont="1" applyAlignment="1">
      <alignment horizontal="center" vertical="center"/>
    </xf>
    <xf numFmtId="0" fontId="12" fillId="0" borderId="0" xfId="0" applyFont="1">
      <alignment vertical="center"/>
    </xf>
    <xf numFmtId="0" fontId="9" fillId="0" borderId="0" xfId="0" applyFont="1" applyAlignment="1">
      <alignment horizontal="center" vertical="center"/>
    </xf>
    <xf numFmtId="0" fontId="3" fillId="0" borderId="2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vertical="top" wrapText="1"/>
    </xf>
    <xf numFmtId="0" fontId="3" fillId="0" borderId="0" xfId="0" applyFont="1" applyAlignment="1">
      <alignment vertical="center" wrapText="1"/>
    </xf>
    <xf numFmtId="0" fontId="4" fillId="0" borderId="0" xfId="0" applyFont="1" applyAlignment="1">
      <alignment vertical="top" wrapTex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horizontal="right" vertical="center"/>
    </xf>
    <xf numFmtId="0" fontId="2" fillId="0" borderId="0" xfId="0" applyFont="1" applyAlignment="1">
      <alignment horizontal="center" vertical="center"/>
    </xf>
    <xf numFmtId="0" fontId="9" fillId="0" borderId="2"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2" xfId="0" applyFont="1" applyBorder="1" applyAlignment="1">
      <alignment vertical="center" shrinkToFit="1"/>
    </xf>
    <xf numFmtId="0" fontId="5" fillId="0" borderId="0" xfId="0" applyFont="1" applyAlignment="1">
      <alignment vertical="top" wrapText="1"/>
    </xf>
    <xf numFmtId="0" fontId="2" fillId="0" borderId="5" xfId="0" applyFont="1" applyBorder="1">
      <alignment vertical="center"/>
    </xf>
    <xf numFmtId="0" fontId="4" fillId="0" borderId="1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2" fillId="0" borderId="17" xfId="0" applyFont="1" applyBorder="1">
      <alignment vertical="center"/>
    </xf>
    <xf numFmtId="0" fontId="4" fillId="0" borderId="21" xfId="0" applyFont="1" applyBorder="1" applyAlignment="1">
      <alignment vertical="top" wrapText="1"/>
    </xf>
    <xf numFmtId="0" fontId="4" fillId="0" borderId="19" xfId="0" applyFont="1" applyBorder="1" applyAlignment="1">
      <alignment vertical="top" wrapText="1"/>
    </xf>
    <xf numFmtId="0" fontId="14" fillId="0" borderId="0" xfId="0" applyFont="1" applyAlignment="1">
      <alignment vertical="center" shrinkToFit="1"/>
    </xf>
    <xf numFmtId="0" fontId="14" fillId="0" borderId="10" xfId="0" applyFont="1" applyBorder="1" applyAlignment="1">
      <alignment vertical="center" shrinkToFit="1"/>
    </xf>
    <xf numFmtId="0" fontId="10" fillId="0" borderId="1" xfId="0" applyFont="1" applyBorder="1" applyAlignment="1">
      <alignment vertical="center" wrapText="1"/>
    </xf>
    <xf numFmtId="0" fontId="2" fillId="0" borderId="0" xfId="0" applyFont="1" applyAlignment="1">
      <alignment vertical="top" wrapText="1"/>
    </xf>
    <xf numFmtId="0" fontId="9" fillId="0" borderId="0" xfId="0" applyFont="1" applyAlignment="1">
      <alignment horizontal="center" vertical="center"/>
    </xf>
    <xf numFmtId="0" fontId="9" fillId="0" borderId="0" xfId="0" applyFont="1" applyAlignment="1">
      <alignment horizontal="right" vertical="center"/>
    </xf>
    <xf numFmtId="0" fontId="9" fillId="0" borderId="0" xfId="0" applyFont="1" applyAlignment="1">
      <alignment vertical="center" shrinkToFit="1"/>
    </xf>
    <xf numFmtId="0" fontId="9" fillId="0" borderId="0" xfId="0" applyFont="1" applyAlignment="1">
      <alignment horizontal="center" vertical="center" shrinkToFit="1"/>
    </xf>
    <xf numFmtId="0" fontId="9" fillId="0" borderId="10" xfId="0" applyFont="1" applyBorder="1" applyAlignment="1">
      <alignment vertical="center" shrinkToFit="1"/>
    </xf>
    <xf numFmtId="0" fontId="19" fillId="0" borderId="21" xfId="0" applyFont="1" applyBorder="1" applyAlignment="1">
      <alignment vertical="top" shrinkToFit="1"/>
    </xf>
    <xf numFmtId="0" fontId="19" fillId="0" borderId="19" xfId="0" applyFont="1" applyBorder="1" applyAlignment="1">
      <alignment vertical="top"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176" fontId="9" fillId="0" borderId="2" xfId="0" applyNumberFormat="1" applyFont="1" applyBorder="1" applyAlignment="1">
      <alignment horizontal="center" vertical="center"/>
    </xf>
    <xf numFmtId="176" fontId="9" fillId="0" borderId="3" xfId="0" applyNumberFormat="1" applyFont="1" applyBorder="1" applyAlignment="1">
      <alignment horizontal="center" vertical="center"/>
    </xf>
    <xf numFmtId="176" fontId="9" fillId="0" borderId="4" xfId="0" applyNumberFormat="1" applyFont="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right" vertical="center"/>
    </xf>
    <xf numFmtId="0" fontId="9" fillId="0" borderId="10" xfId="0" applyFont="1" applyBorder="1" applyAlignment="1">
      <alignment horizontal="right"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3" xfId="0" applyNumberFormat="1" applyFont="1" applyBorder="1" applyAlignment="1">
      <alignment horizontal="center" vertical="center" shrinkToFit="1"/>
    </xf>
    <xf numFmtId="0" fontId="9" fillId="0" borderId="0" xfId="0" applyFont="1" applyAlignment="1">
      <alignment horizontal="center" vertical="center" shrinkToFit="1"/>
    </xf>
    <xf numFmtId="0" fontId="9" fillId="0" borderId="5" xfId="0" applyFont="1" applyBorder="1" applyAlignment="1">
      <alignment horizontal="right" vertical="center" shrinkToFit="1"/>
    </xf>
    <xf numFmtId="0" fontId="9" fillId="0" borderId="0" xfId="0" applyFont="1" applyAlignment="1">
      <alignment horizontal="right" vertical="center" shrinkToFit="1"/>
    </xf>
    <xf numFmtId="0" fontId="9" fillId="0" borderId="10" xfId="0" applyFont="1" applyBorder="1" applyAlignment="1">
      <alignment horizontal="righ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vertical="center" shrinkToFit="1"/>
    </xf>
    <xf numFmtId="49" fontId="18" fillId="0" borderId="2" xfId="2" applyNumberFormat="1" applyFont="1" applyBorder="1" applyAlignment="1">
      <alignment vertical="center" shrinkToFit="1"/>
    </xf>
    <xf numFmtId="49" fontId="9" fillId="0" borderId="3" xfId="0" applyNumberFormat="1" applyFont="1" applyBorder="1" applyAlignment="1">
      <alignment vertical="center" shrinkToFit="1"/>
    </xf>
    <xf numFmtId="49" fontId="9" fillId="0" borderId="4" xfId="0" applyNumberFormat="1" applyFont="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2" fillId="0" borderId="0" xfId="0" applyFont="1" applyAlignment="1">
      <alignment horizontal="right" vertical="center"/>
    </xf>
    <xf numFmtId="0" fontId="3" fillId="0" borderId="0" xfId="0" applyFont="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11" xfId="0" applyFont="1" applyBorder="1" applyAlignment="1">
      <alignment horizontal="center" vertical="center"/>
    </xf>
    <xf numFmtId="0" fontId="9" fillId="0" borderId="6" xfId="0" applyFont="1" applyBorder="1" applyAlignment="1">
      <alignment horizontal="center"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9" fillId="0" borderId="20" xfId="0" applyFont="1" applyBorder="1" applyAlignment="1">
      <alignment vertical="center" shrinkToFit="1"/>
    </xf>
    <xf numFmtId="0" fontId="9" fillId="0" borderId="19" xfId="0" applyFont="1" applyBorder="1" applyAlignment="1">
      <alignment vertical="center" shrinkToFit="1"/>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9" fillId="0" borderId="15" xfId="0" applyFont="1" applyBorder="1" applyAlignment="1">
      <alignment vertical="center" shrinkToFit="1"/>
    </xf>
    <xf numFmtId="0" fontId="9" fillId="0" borderId="39" xfId="0" applyFont="1" applyBorder="1" applyAlignment="1">
      <alignment vertical="center" shrinkToFit="1"/>
    </xf>
    <xf numFmtId="0" fontId="21" fillId="0" borderId="0" xfId="0" applyFont="1" applyAlignment="1">
      <alignment horizontal="left" vertical="center" wrapTex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0" xfId="0" applyFont="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3" fillId="0" borderId="13"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7" fillId="0" borderId="2" xfId="2" applyBorder="1" applyAlignment="1">
      <alignment vertical="center" shrinkToFit="1"/>
    </xf>
    <xf numFmtId="0" fontId="20" fillId="0" borderId="3" xfId="0" applyFont="1" applyBorder="1" applyAlignment="1">
      <alignment vertical="center" shrinkToFit="1"/>
    </xf>
    <xf numFmtId="0" fontId="20" fillId="0" borderId="4" xfId="0" applyFont="1" applyBorder="1" applyAlignment="1">
      <alignment vertical="center" shrinkToFit="1"/>
    </xf>
    <xf numFmtId="0" fontId="9" fillId="0" borderId="7"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2" fillId="0" borderId="0" xfId="0" applyFont="1" applyAlignment="1">
      <alignment vertical="center" shrinkToFit="1"/>
    </xf>
    <xf numFmtId="0" fontId="3" fillId="0" borderId="2" xfId="0" applyFont="1" applyBorder="1" applyAlignment="1">
      <alignment vertical="center" shrinkToFit="1"/>
    </xf>
    <xf numFmtId="0" fontId="3"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16" fillId="0" borderId="7" xfId="0" applyFont="1" applyBorder="1" applyAlignment="1">
      <alignment vertical="top" wrapText="1" shrinkToFit="1"/>
    </xf>
    <xf numFmtId="0" fontId="2" fillId="0" borderId="6" xfId="0" applyFont="1" applyBorder="1">
      <alignment vertical="center"/>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19" xfId="0" applyFont="1" applyBorder="1" applyAlignment="1">
      <alignment vertical="center" wrapTex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2" fillId="0" borderId="18" xfId="0" applyFont="1" applyBorder="1" applyAlignment="1">
      <alignment vertical="center" wrapText="1"/>
    </xf>
    <xf numFmtId="0" fontId="9" fillId="0" borderId="20" xfId="0" applyFont="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9" fillId="0" borderId="24" xfId="0" applyFont="1" applyBorder="1" applyAlignment="1">
      <alignment vertical="top" wrapText="1" shrinkToFit="1"/>
    </xf>
    <xf numFmtId="0" fontId="9" fillId="0" borderId="23" xfId="0" applyFont="1" applyBorder="1" applyAlignment="1">
      <alignment vertical="top" wrapText="1" shrinkToFit="1"/>
    </xf>
    <xf numFmtId="0" fontId="2" fillId="0" borderId="18" xfId="0" applyFont="1" applyBorder="1">
      <alignment vertical="center"/>
    </xf>
    <xf numFmtId="0" fontId="0" fillId="0" borderId="19" xfId="0" applyBorder="1">
      <alignment vertical="center"/>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vertical="top" shrinkToFit="1"/>
    </xf>
    <xf numFmtId="0" fontId="3" fillId="0" borderId="0" xfId="0" applyFont="1" applyBorder="1" applyAlignment="1">
      <alignment vertical="top" shrinkToFit="1"/>
    </xf>
    <xf numFmtId="0" fontId="7" fillId="0" borderId="2" xfId="2" applyFill="1" applyBorder="1" applyAlignment="1">
      <alignment horizontal="left"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yssoumu@stu.ehime-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dse.ehime-u.ac.jp/program.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dse.ehime-u.ac.jp/program.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5CC36-E6B4-4C1E-B1ED-ED1501664CCE}">
  <sheetPr>
    <pageSetUpPr fitToPage="1"/>
  </sheetPr>
  <dimension ref="A1:Q47"/>
  <sheetViews>
    <sheetView zoomScaleNormal="100" workbookViewId="0"/>
  </sheetViews>
  <sheetFormatPr defaultColWidth="9" defaultRowHeight="18.75" customHeight="1" x14ac:dyDescent="0.15"/>
  <cols>
    <col min="1" max="1" width="2.5" style="7" customWidth="1"/>
    <col min="2" max="2" width="12.5" style="7" customWidth="1"/>
    <col min="3" max="8" width="6.25" style="7" customWidth="1"/>
    <col min="9" max="9" width="2.5" style="7" customWidth="1"/>
    <col min="10" max="10" width="10" style="7" customWidth="1"/>
    <col min="11" max="11" width="2.5" style="7" customWidth="1"/>
    <col min="12" max="12" width="7.5" style="7" customWidth="1"/>
    <col min="13" max="13" width="2.5" style="7" customWidth="1"/>
    <col min="14" max="14" width="7.5" style="7" customWidth="1"/>
    <col min="15" max="16384" width="9" style="7"/>
  </cols>
  <sheetData>
    <row r="1" spans="1:14" ht="22.5" customHeight="1" x14ac:dyDescent="0.15">
      <c r="A1" s="8"/>
      <c r="B1" s="8"/>
      <c r="C1" s="8"/>
      <c r="D1" s="8"/>
      <c r="E1" s="8"/>
      <c r="F1" s="8"/>
      <c r="G1" s="8"/>
      <c r="H1" s="8"/>
      <c r="I1" s="8"/>
      <c r="J1" s="8"/>
      <c r="K1" s="8"/>
      <c r="L1" s="8"/>
      <c r="M1" s="101" t="s">
        <v>0</v>
      </c>
      <c r="N1" s="101"/>
    </row>
    <row r="2" spans="1:14" ht="22.5" customHeight="1" x14ac:dyDescent="0.15">
      <c r="A2" s="100" t="s">
        <v>1</v>
      </c>
      <c r="B2" s="100"/>
      <c r="C2" s="100"/>
      <c r="D2" s="100"/>
      <c r="E2" s="100"/>
      <c r="F2" s="100"/>
      <c r="G2" s="100"/>
      <c r="H2" s="100"/>
      <c r="I2" s="100"/>
      <c r="J2" s="100"/>
      <c r="K2" s="100"/>
      <c r="L2" s="100"/>
      <c r="M2" s="100"/>
      <c r="N2" s="100"/>
    </row>
    <row r="3" spans="1:14" ht="22.5" customHeight="1" x14ac:dyDescent="0.15">
      <c r="A3" s="8"/>
      <c r="B3" s="8"/>
      <c r="C3" s="8"/>
      <c r="D3" s="8"/>
      <c r="E3" s="8"/>
      <c r="F3" s="8"/>
      <c r="G3" s="8"/>
      <c r="H3" s="8"/>
      <c r="I3" s="8"/>
      <c r="J3" s="8"/>
      <c r="K3" s="8"/>
      <c r="L3" s="8"/>
      <c r="M3" s="8"/>
      <c r="N3" s="8"/>
    </row>
    <row r="4" spans="1:14" ht="22.5" customHeight="1" x14ac:dyDescent="0.15">
      <c r="A4" s="8" t="s">
        <v>2</v>
      </c>
      <c r="B4" s="8" t="s">
        <v>3</v>
      </c>
      <c r="C4" s="103" t="s">
        <v>4</v>
      </c>
      <c r="D4" s="104"/>
      <c r="E4" s="104"/>
      <c r="F4" s="104"/>
      <c r="G4" s="104"/>
      <c r="H4" s="104"/>
      <c r="I4" s="104"/>
      <c r="J4" s="104"/>
      <c r="K4" s="104"/>
      <c r="L4" s="104"/>
      <c r="M4" s="104"/>
      <c r="N4" s="105"/>
    </row>
    <row r="5" spans="1:14" ht="7.5" customHeight="1" x14ac:dyDescent="0.15">
      <c r="A5" s="8"/>
      <c r="B5" s="8"/>
      <c r="C5" s="8"/>
      <c r="D5" s="8"/>
      <c r="E5" s="10"/>
      <c r="F5" s="90"/>
      <c r="G5" s="90"/>
      <c r="H5" s="90"/>
      <c r="I5" s="90"/>
      <c r="J5" s="90"/>
      <c r="K5" s="90"/>
      <c r="L5" s="90"/>
      <c r="M5" s="90"/>
      <c r="N5" s="90"/>
    </row>
    <row r="6" spans="1:14" ht="22.5" customHeight="1" x14ac:dyDescent="0.15">
      <c r="A6" s="8" t="s">
        <v>5</v>
      </c>
      <c r="B6" s="8" t="s">
        <v>6</v>
      </c>
      <c r="C6" s="8"/>
      <c r="D6" s="103" t="s">
        <v>7</v>
      </c>
      <c r="E6" s="104"/>
      <c r="F6" s="104"/>
      <c r="G6" s="104"/>
      <c r="H6" s="104"/>
      <c r="I6" s="104"/>
      <c r="J6" s="104"/>
      <c r="K6" s="104"/>
      <c r="L6" s="104"/>
      <c r="M6" s="104"/>
      <c r="N6" s="105"/>
    </row>
    <row r="7" spans="1:14" ht="7.5" customHeight="1" x14ac:dyDescent="0.15">
      <c r="A7" s="8"/>
      <c r="B7" s="8"/>
      <c r="C7" s="8"/>
      <c r="D7" s="8"/>
      <c r="E7" s="10"/>
      <c r="F7" s="90"/>
      <c r="G7" s="90"/>
      <c r="H7" s="90"/>
      <c r="I7" s="90"/>
      <c r="J7" s="90"/>
      <c r="K7" s="90"/>
      <c r="L7" s="90"/>
      <c r="M7" s="90"/>
      <c r="N7" s="90"/>
    </row>
    <row r="8" spans="1:14" ht="22.5" customHeight="1" x14ac:dyDescent="0.15">
      <c r="A8" s="8" t="s">
        <v>8</v>
      </c>
      <c r="B8" s="52" t="s">
        <v>9</v>
      </c>
      <c r="C8" s="103" t="s">
        <v>10</v>
      </c>
      <c r="D8" s="104"/>
      <c r="E8" s="105"/>
      <c r="F8" s="90"/>
      <c r="G8" s="107"/>
      <c r="H8" s="107"/>
      <c r="I8" s="107"/>
      <c r="J8" s="90"/>
      <c r="K8" s="90"/>
      <c r="L8" s="90"/>
      <c r="M8" s="90"/>
      <c r="N8" s="90"/>
    </row>
    <row r="9" spans="1:14" ht="7.5" customHeight="1" x14ac:dyDescent="0.15">
      <c r="A9" s="8"/>
      <c r="B9" s="8"/>
      <c r="C9" s="8"/>
      <c r="D9" s="8"/>
      <c r="E9" s="10"/>
      <c r="F9" s="90"/>
      <c r="G9" s="90"/>
      <c r="H9" s="90"/>
      <c r="I9" s="90"/>
      <c r="J9" s="90"/>
      <c r="K9" s="90"/>
      <c r="L9" s="90"/>
      <c r="M9" s="90"/>
      <c r="N9" s="90"/>
    </row>
    <row r="10" spans="1:14" ht="22.5" customHeight="1" x14ac:dyDescent="0.15">
      <c r="A10" s="8" t="s">
        <v>11</v>
      </c>
      <c r="B10" s="8" t="s">
        <v>12</v>
      </c>
      <c r="C10" s="103" t="s">
        <v>13</v>
      </c>
      <c r="D10" s="104"/>
      <c r="E10" s="104"/>
      <c r="F10" s="104"/>
      <c r="G10" s="104"/>
      <c r="H10" s="104"/>
      <c r="I10" s="104"/>
      <c r="J10" s="104"/>
      <c r="K10" s="104"/>
      <c r="L10" s="104"/>
      <c r="M10" s="104"/>
      <c r="N10" s="105"/>
    </row>
    <row r="11" spans="1:14" ht="7.5" customHeight="1" x14ac:dyDescent="0.15">
      <c r="A11" s="8"/>
      <c r="B11" s="8"/>
      <c r="C11" s="8"/>
      <c r="D11" s="8"/>
      <c r="E11" s="10"/>
      <c r="F11" s="90"/>
      <c r="G11" s="90"/>
      <c r="H11" s="90"/>
      <c r="I11" s="90"/>
      <c r="J11" s="90"/>
      <c r="K11" s="90"/>
      <c r="L11" s="90"/>
      <c r="M11" s="90"/>
      <c r="N11" s="90"/>
    </row>
    <row r="12" spans="1:14" ht="22.5" customHeight="1" x14ac:dyDescent="0.15">
      <c r="A12" s="8" t="s">
        <v>14</v>
      </c>
      <c r="B12" s="8" t="s">
        <v>15</v>
      </c>
      <c r="C12" s="8"/>
      <c r="D12" s="8"/>
      <c r="E12" s="90"/>
      <c r="F12" s="92"/>
      <c r="G12" s="111" t="s">
        <v>171</v>
      </c>
      <c r="H12" s="112"/>
      <c r="I12" s="112"/>
      <c r="J12" s="112"/>
      <c r="K12" s="112"/>
      <c r="L12" s="112"/>
      <c r="M12" s="112"/>
      <c r="N12" s="113"/>
    </row>
    <row r="13" spans="1:14" ht="7.5" customHeight="1" x14ac:dyDescent="0.15">
      <c r="A13" s="8"/>
      <c r="B13" s="10"/>
      <c r="C13" s="10"/>
      <c r="D13" s="10"/>
      <c r="E13" s="10"/>
      <c r="F13" s="90"/>
      <c r="G13" s="90"/>
      <c r="H13" s="90"/>
      <c r="I13" s="90"/>
      <c r="J13" s="90"/>
      <c r="K13" s="90"/>
      <c r="L13" s="90"/>
      <c r="M13" s="90"/>
      <c r="N13" s="90"/>
    </row>
    <row r="14" spans="1:14" ht="22.5" customHeight="1" x14ac:dyDescent="0.15">
      <c r="A14" s="8" t="s">
        <v>16</v>
      </c>
      <c r="B14" s="10" t="s">
        <v>17</v>
      </c>
      <c r="C14" s="10"/>
      <c r="D14" s="10"/>
      <c r="E14" s="10"/>
      <c r="F14" s="103" t="s">
        <v>172</v>
      </c>
      <c r="G14" s="104"/>
      <c r="H14" s="105"/>
      <c r="I14" s="90"/>
      <c r="J14" s="90"/>
      <c r="K14" s="90"/>
      <c r="L14" s="90"/>
      <c r="M14" s="90"/>
      <c r="N14" s="90"/>
    </row>
    <row r="15" spans="1:14" ht="7.5" customHeight="1" x14ac:dyDescent="0.15">
      <c r="A15" s="8"/>
      <c r="B15" s="10"/>
      <c r="C15" s="10"/>
      <c r="D15" s="10"/>
      <c r="E15" s="10"/>
      <c r="F15" s="90"/>
      <c r="G15" s="90"/>
      <c r="H15" s="90"/>
      <c r="I15" s="90"/>
      <c r="J15" s="90"/>
      <c r="K15" s="90"/>
      <c r="L15" s="90"/>
      <c r="M15" s="90"/>
      <c r="N15" s="90"/>
    </row>
    <row r="16" spans="1:14" ht="22.5" customHeight="1" x14ac:dyDescent="0.15">
      <c r="A16" s="8" t="s">
        <v>18</v>
      </c>
      <c r="B16" s="8" t="s">
        <v>19</v>
      </c>
      <c r="C16" s="101" t="s">
        <v>20</v>
      </c>
      <c r="D16" s="102"/>
      <c r="E16" s="95">
        <v>794</v>
      </c>
      <c r="F16" s="96"/>
      <c r="G16" s="11" t="s">
        <v>21</v>
      </c>
      <c r="H16" s="8"/>
      <c r="I16" s="101" t="s">
        <v>22</v>
      </c>
      <c r="J16" s="102"/>
      <c r="K16" s="95">
        <v>403</v>
      </c>
      <c r="L16" s="106"/>
      <c r="M16" s="96"/>
      <c r="N16" s="12" t="s">
        <v>21</v>
      </c>
    </row>
    <row r="17" spans="1:17" ht="7.5" customHeight="1" x14ac:dyDescent="0.15">
      <c r="A17" s="8"/>
      <c r="B17" s="8"/>
      <c r="C17" s="8"/>
      <c r="D17" s="8"/>
      <c r="E17" s="8"/>
      <c r="F17" s="8"/>
      <c r="G17" s="8"/>
      <c r="H17" s="8"/>
      <c r="I17" s="8"/>
      <c r="J17" s="8"/>
      <c r="K17" s="8"/>
      <c r="L17" s="8"/>
      <c r="M17" s="12"/>
      <c r="N17" s="12"/>
    </row>
    <row r="18" spans="1:17" ht="22.5" customHeight="1" x14ac:dyDescent="0.15">
      <c r="A18" s="8" t="s">
        <v>23</v>
      </c>
      <c r="B18" s="8" t="s">
        <v>24</v>
      </c>
      <c r="C18" s="8"/>
      <c r="D18" s="8"/>
      <c r="E18" s="8"/>
      <c r="F18" s="8"/>
      <c r="G18" s="8"/>
      <c r="H18" s="8"/>
      <c r="I18" s="8"/>
      <c r="J18" s="8"/>
      <c r="K18" s="114">
        <v>22</v>
      </c>
      <c r="L18" s="115"/>
      <c r="M18" s="116"/>
      <c r="N18" s="12" t="s">
        <v>21</v>
      </c>
    </row>
    <row r="19" spans="1:17" ht="7.5" customHeight="1" x14ac:dyDescent="0.15">
      <c r="A19" s="8"/>
      <c r="B19" s="8"/>
      <c r="C19" s="8"/>
      <c r="D19" s="8"/>
      <c r="E19" s="8"/>
      <c r="F19" s="8"/>
      <c r="G19" s="8"/>
      <c r="H19" s="8"/>
      <c r="I19" s="8"/>
      <c r="J19" s="8"/>
      <c r="K19" s="8"/>
      <c r="L19" s="8"/>
      <c r="M19" s="12"/>
      <c r="N19" s="12"/>
    </row>
    <row r="20" spans="1:17" ht="22.5" customHeight="1" x14ac:dyDescent="0.15">
      <c r="A20" s="8" t="s">
        <v>25</v>
      </c>
      <c r="B20" s="8" t="s">
        <v>26</v>
      </c>
      <c r="C20" s="8"/>
      <c r="D20" s="8"/>
      <c r="E20" s="95">
        <v>1770</v>
      </c>
      <c r="F20" s="96"/>
      <c r="G20" s="51" t="s">
        <v>27</v>
      </c>
      <c r="H20" s="8"/>
      <c r="I20" s="8"/>
      <c r="J20" s="8"/>
      <c r="K20" s="117"/>
      <c r="L20" s="117"/>
      <c r="M20" s="117"/>
      <c r="N20" s="117"/>
    </row>
    <row r="21" spans="1:17" ht="7.5" customHeight="1" x14ac:dyDescent="0.15">
      <c r="A21" s="8"/>
      <c r="B21" s="8"/>
      <c r="C21" s="8"/>
      <c r="D21" s="8"/>
      <c r="E21" s="49"/>
      <c r="F21" s="8"/>
      <c r="G21" s="8"/>
      <c r="H21" s="8"/>
      <c r="I21" s="8"/>
      <c r="J21" s="8"/>
      <c r="K21" s="8"/>
      <c r="L21" s="88"/>
      <c r="M21" s="88"/>
      <c r="N21" s="12"/>
    </row>
    <row r="22" spans="1:17" ht="22.5" customHeight="1" x14ac:dyDescent="0.15">
      <c r="A22" s="8" t="s">
        <v>28</v>
      </c>
      <c r="B22" s="8" t="s">
        <v>29</v>
      </c>
      <c r="C22" s="8"/>
      <c r="D22" s="8"/>
      <c r="E22" s="49"/>
      <c r="F22" s="8"/>
      <c r="G22" s="8"/>
      <c r="H22" s="8" t="s">
        <v>30</v>
      </c>
      <c r="I22" s="8"/>
      <c r="J22" s="97">
        <v>8062</v>
      </c>
      <c r="K22" s="98"/>
      <c r="L22" s="99"/>
      <c r="M22" s="88" t="s">
        <v>21</v>
      </c>
      <c r="N22" s="12"/>
    </row>
    <row r="23" spans="1:17" ht="7.5" customHeight="1" x14ac:dyDescent="0.15">
      <c r="A23" s="8"/>
      <c r="B23" s="8"/>
      <c r="C23" s="8"/>
      <c r="D23" s="8"/>
      <c r="E23" s="49"/>
      <c r="F23" s="8"/>
      <c r="G23" s="8"/>
      <c r="H23" s="8"/>
      <c r="I23" s="8"/>
      <c r="J23" s="8"/>
      <c r="K23" s="8"/>
      <c r="L23" s="88"/>
      <c r="M23" s="88"/>
      <c r="N23" s="12"/>
    </row>
    <row r="24" spans="1:17" ht="22.5" customHeight="1" x14ac:dyDescent="0.15">
      <c r="A24" s="8"/>
      <c r="B24" s="88" t="s">
        <v>31</v>
      </c>
      <c r="C24" s="95">
        <v>1833</v>
      </c>
      <c r="D24" s="96"/>
      <c r="E24" s="49" t="s">
        <v>21</v>
      </c>
      <c r="F24" s="8"/>
      <c r="G24" s="100" t="s">
        <v>32</v>
      </c>
      <c r="H24" s="100"/>
      <c r="I24" s="95">
        <v>1838</v>
      </c>
      <c r="J24" s="96"/>
      <c r="K24" s="8" t="s">
        <v>21</v>
      </c>
      <c r="L24" s="8"/>
      <c r="M24" s="88"/>
      <c r="N24" s="12"/>
      <c r="O24" s="8"/>
      <c r="Q24" s="50"/>
    </row>
    <row r="25" spans="1:17" ht="7.5" customHeight="1" x14ac:dyDescent="0.15">
      <c r="A25" s="8"/>
      <c r="B25" s="88"/>
      <c r="C25" s="6"/>
      <c r="D25" s="6"/>
      <c r="E25" s="49"/>
      <c r="F25" s="8"/>
      <c r="G25" s="88"/>
      <c r="H25" s="88"/>
      <c r="I25" s="6"/>
      <c r="J25" s="6"/>
      <c r="K25" s="8"/>
      <c r="L25" s="8"/>
      <c r="M25" s="88"/>
      <c r="N25" s="12"/>
      <c r="O25" s="8"/>
    </row>
    <row r="26" spans="1:17" ht="22.5" customHeight="1" x14ac:dyDescent="0.15">
      <c r="A26" s="8"/>
      <c r="B26" s="88" t="s">
        <v>33</v>
      </c>
      <c r="C26" s="95">
        <v>1919</v>
      </c>
      <c r="D26" s="96"/>
      <c r="E26" s="49" t="s">
        <v>21</v>
      </c>
      <c r="F26" s="8"/>
      <c r="G26" s="100" t="s">
        <v>34</v>
      </c>
      <c r="H26" s="100"/>
      <c r="I26" s="95">
        <v>2239</v>
      </c>
      <c r="J26" s="96"/>
      <c r="K26" s="8" t="s">
        <v>21</v>
      </c>
      <c r="L26" s="8"/>
      <c r="M26" s="88"/>
      <c r="N26" s="12"/>
    </row>
    <row r="27" spans="1:17" ht="7.5" customHeight="1" x14ac:dyDescent="0.15">
      <c r="A27" s="8"/>
      <c r="B27" s="88"/>
      <c r="C27" s="6"/>
      <c r="D27" s="6"/>
      <c r="E27" s="49"/>
      <c r="F27" s="8"/>
      <c r="G27" s="88"/>
      <c r="H27" s="88"/>
      <c r="I27" s="6"/>
      <c r="J27" s="6"/>
      <c r="K27" s="8"/>
      <c r="L27" s="8"/>
      <c r="M27" s="88"/>
      <c r="N27" s="12"/>
    </row>
    <row r="28" spans="1:17" ht="22.5" customHeight="1" x14ac:dyDescent="0.15">
      <c r="A28" s="8"/>
      <c r="B28" s="88" t="s">
        <v>35</v>
      </c>
      <c r="C28" s="95">
        <v>112</v>
      </c>
      <c r="D28" s="96"/>
      <c r="E28" s="49" t="s">
        <v>21</v>
      </c>
      <c r="F28" s="8"/>
      <c r="G28" s="100" t="s">
        <v>36</v>
      </c>
      <c r="H28" s="100"/>
      <c r="I28" s="95">
        <v>121</v>
      </c>
      <c r="J28" s="96"/>
      <c r="K28" s="8" t="s">
        <v>21</v>
      </c>
      <c r="L28" s="8"/>
      <c r="M28" s="88"/>
      <c r="N28" s="12"/>
    </row>
    <row r="29" spans="1:17" ht="7.5" customHeight="1" x14ac:dyDescent="0.15">
      <c r="A29" s="8"/>
      <c r="B29" s="8"/>
      <c r="C29" s="8"/>
      <c r="D29" s="8"/>
      <c r="E29" s="8"/>
      <c r="F29" s="8"/>
      <c r="G29" s="8"/>
      <c r="H29" s="8"/>
      <c r="I29" s="8"/>
      <c r="J29" s="8"/>
      <c r="K29" s="8"/>
      <c r="L29" s="8"/>
      <c r="M29" s="13"/>
      <c r="N29" s="13"/>
    </row>
    <row r="30" spans="1:17" ht="22.5" customHeight="1" x14ac:dyDescent="0.15">
      <c r="A30" s="8" t="s">
        <v>37</v>
      </c>
      <c r="B30" s="8" t="s">
        <v>38</v>
      </c>
      <c r="C30" s="8"/>
      <c r="D30" s="8"/>
      <c r="E30" s="8"/>
      <c r="F30" s="8"/>
      <c r="G30" s="90"/>
      <c r="H30" s="90"/>
      <c r="I30" s="90"/>
      <c r="J30" s="14"/>
      <c r="K30" s="14"/>
      <c r="L30" s="14"/>
      <c r="M30" s="14"/>
      <c r="N30" s="14"/>
    </row>
    <row r="31" spans="1:17" s="8" customFormat="1" ht="22.5" customHeight="1" x14ac:dyDescent="0.15">
      <c r="B31" s="109" t="s">
        <v>39</v>
      </c>
      <c r="C31" s="109"/>
      <c r="D31" s="103" t="s">
        <v>167</v>
      </c>
      <c r="E31" s="104"/>
      <c r="F31" s="104"/>
      <c r="G31" s="108" t="s">
        <v>40</v>
      </c>
      <c r="H31" s="109"/>
      <c r="I31" s="110"/>
      <c r="J31" s="103" t="s">
        <v>168</v>
      </c>
      <c r="K31" s="104"/>
      <c r="L31" s="104"/>
      <c r="M31" s="104"/>
      <c r="N31" s="105"/>
    </row>
    <row r="32" spans="1:17" ht="7.5" customHeight="1" x14ac:dyDescent="0.15">
      <c r="A32" s="8"/>
      <c r="B32" s="8"/>
      <c r="C32" s="8"/>
      <c r="D32" s="8"/>
      <c r="E32" s="8"/>
      <c r="F32" s="8"/>
      <c r="G32" s="8"/>
      <c r="H32" s="8"/>
      <c r="I32" s="8"/>
      <c r="J32" s="8"/>
      <c r="K32" s="8"/>
      <c r="L32" s="8"/>
      <c r="M32" s="13"/>
      <c r="N32" s="13"/>
    </row>
    <row r="33" spans="1:14" ht="22.5" customHeight="1" x14ac:dyDescent="0.15">
      <c r="A33" s="8" t="s">
        <v>41</v>
      </c>
      <c r="B33" s="8" t="s">
        <v>42</v>
      </c>
      <c r="C33" s="8"/>
      <c r="D33" s="8"/>
      <c r="E33" s="8"/>
      <c r="F33" s="8"/>
      <c r="G33" s="14"/>
      <c r="H33" s="14"/>
      <c r="I33" s="14"/>
      <c r="J33" s="14"/>
      <c r="K33" s="14"/>
      <c r="L33" s="14"/>
      <c r="M33" s="14"/>
      <c r="N33" s="14"/>
    </row>
    <row r="34" spans="1:14" ht="22.5" customHeight="1" x14ac:dyDescent="0.15">
      <c r="A34" s="8"/>
      <c r="B34" s="103" t="s">
        <v>173</v>
      </c>
      <c r="C34" s="104"/>
      <c r="D34" s="104"/>
      <c r="E34" s="104"/>
      <c r="F34" s="104"/>
      <c r="G34" s="104"/>
      <c r="H34" s="104"/>
      <c r="I34" s="104"/>
      <c r="J34" s="104"/>
      <c r="K34" s="104"/>
      <c r="L34" s="104"/>
      <c r="M34" s="104"/>
      <c r="N34" s="105"/>
    </row>
    <row r="35" spans="1:14" ht="7.5" customHeight="1" x14ac:dyDescent="0.15">
      <c r="A35" s="8"/>
      <c r="B35" s="91"/>
      <c r="C35" s="91"/>
      <c r="D35" s="91"/>
      <c r="E35" s="91"/>
      <c r="F35" s="91"/>
      <c r="G35" s="91"/>
      <c r="H35" s="91"/>
      <c r="I35" s="91"/>
      <c r="J35" s="91"/>
      <c r="K35" s="91"/>
      <c r="L35" s="91"/>
      <c r="M35" s="91"/>
      <c r="N35" s="91"/>
    </row>
    <row r="36" spans="1:14" s="8" customFormat="1" ht="22.5" customHeight="1" x14ac:dyDescent="0.15">
      <c r="B36" s="109" t="s">
        <v>39</v>
      </c>
      <c r="C36" s="109"/>
      <c r="D36" s="103" t="s">
        <v>43</v>
      </c>
      <c r="E36" s="104"/>
      <c r="F36" s="104"/>
      <c r="G36" s="108" t="s">
        <v>40</v>
      </c>
      <c r="H36" s="109"/>
      <c r="I36" s="110"/>
      <c r="J36" s="103" t="s">
        <v>44</v>
      </c>
      <c r="K36" s="104"/>
      <c r="L36" s="104"/>
      <c r="M36" s="104"/>
      <c r="N36" s="105"/>
    </row>
    <row r="37" spans="1:14" ht="7.5" customHeight="1" x14ac:dyDescent="0.15">
      <c r="A37" s="8"/>
      <c r="B37" s="8"/>
      <c r="C37" s="8"/>
      <c r="D37" s="8"/>
      <c r="E37" s="8"/>
      <c r="F37" s="90"/>
      <c r="G37" s="90"/>
      <c r="H37" s="90"/>
      <c r="I37" s="90"/>
      <c r="J37" s="90"/>
      <c r="K37" s="90"/>
      <c r="L37" s="90"/>
      <c r="M37" s="90"/>
      <c r="N37" s="90"/>
    </row>
    <row r="38" spans="1:14" ht="22.5" customHeight="1" x14ac:dyDescent="0.15">
      <c r="A38" s="8" t="s">
        <v>45</v>
      </c>
      <c r="B38" s="8" t="s">
        <v>46</v>
      </c>
      <c r="C38" s="8"/>
      <c r="D38" s="8"/>
      <c r="E38" s="8"/>
      <c r="F38" s="8"/>
      <c r="G38" s="8"/>
      <c r="H38" s="8"/>
      <c r="I38" s="8"/>
      <c r="J38" s="8"/>
      <c r="K38" s="8"/>
      <c r="L38" s="8"/>
      <c r="M38" s="13"/>
      <c r="N38" s="13"/>
    </row>
    <row r="39" spans="1:14" ht="22.5" customHeight="1" x14ac:dyDescent="0.15">
      <c r="A39" s="8"/>
      <c r="B39" s="103" t="s">
        <v>47</v>
      </c>
      <c r="C39" s="104"/>
      <c r="D39" s="104"/>
      <c r="E39" s="104"/>
      <c r="F39" s="104"/>
      <c r="G39" s="104"/>
      <c r="H39" s="104"/>
      <c r="I39" s="104"/>
      <c r="J39" s="104"/>
      <c r="K39" s="104"/>
      <c r="L39" s="104"/>
      <c r="M39" s="104"/>
      <c r="N39" s="105"/>
    </row>
    <row r="40" spans="1:14" ht="7.5" customHeight="1" x14ac:dyDescent="0.15">
      <c r="A40" s="8"/>
      <c r="B40" s="8"/>
      <c r="C40" s="8"/>
      <c r="D40" s="8"/>
      <c r="E40" s="8"/>
      <c r="F40" s="90"/>
      <c r="G40" s="90"/>
      <c r="H40" s="90"/>
      <c r="I40" s="90"/>
      <c r="J40" s="90"/>
      <c r="K40" s="90"/>
      <c r="L40" s="90"/>
      <c r="M40" s="90"/>
      <c r="N40" s="90"/>
    </row>
    <row r="41" spans="1:14" s="8" customFormat="1" ht="22.5" customHeight="1" x14ac:dyDescent="0.15">
      <c r="B41" s="109" t="s">
        <v>39</v>
      </c>
      <c r="C41" s="109"/>
      <c r="D41" s="103" t="s">
        <v>48</v>
      </c>
      <c r="E41" s="104"/>
      <c r="F41" s="104"/>
      <c r="G41" s="108" t="s">
        <v>40</v>
      </c>
      <c r="H41" s="109"/>
      <c r="I41" s="110"/>
      <c r="J41" s="103" t="s">
        <v>49</v>
      </c>
      <c r="K41" s="104"/>
      <c r="L41" s="104"/>
      <c r="M41" s="104"/>
      <c r="N41" s="105"/>
    </row>
    <row r="42" spans="1:14" ht="7.5" customHeight="1" x14ac:dyDescent="0.15">
      <c r="A42" s="8"/>
      <c r="B42" s="8"/>
      <c r="C42" s="8"/>
      <c r="D42" s="8"/>
      <c r="E42" s="8"/>
      <c r="F42" s="90"/>
      <c r="G42" s="90"/>
      <c r="H42" s="90"/>
      <c r="I42" s="90"/>
      <c r="J42" s="90"/>
      <c r="K42" s="90"/>
      <c r="L42" s="90"/>
      <c r="M42" s="90"/>
      <c r="N42" s="90"/>
    </row>
    <row r="43" spans="1:14" ht="22.5" customHeight="1" x14ac:dyDescent="0.15">
      <c r="A43" s="8" t="s">
        <v>50</v>
      </c>
      <c r="B43" s="8" t="s">
        <v>51</v>
      </c>
      <c r="C43" s="8"/>
      <c r="D43" s="8"/>
      <c r="E43" s="92"/>
      <c r="F43" s="103" t="s">
        <v>52</v>
      </c>
      <c r="G43" s="104"/>
      <c r="H43" s="104"/>
      <c r="I43" s="104"/>
      <c r="J43" s="104"/>
      <c r="K43" s="104"/>
      <c r="L43" s="104"/>
      <c r="M43" s="104"/>
      <c r="N43" s="105"/>
    </row>
    <row r="44" spans="1:14" ht="7.5" customHeight="1" x14ac:dyDescent="0.15">
      <c r="A44" s="8"/>
      <c r="B44" s="8"/>
      <c r="C44" s="8"/>
      <c r="D44" s="8"/>
      <c r="E44" s="8"/>
      <c r="F44" s="90"/>
      <c r="G44" s="90"/>
      <c r="H44" s="90"/>
      <c r="I44" s="90"/>
      <c r="J44" s="90"/>
      <c r="K44" s="90"/>
      <c r="L44" s="90"/>
      <c r="M44" s="90"/>
      <c r="N44" s="90"/>
    </row>
    <row r="45" spans="1:14" ht="22.5" customHeight="1" x14ac:dyDescent="0.15">
      <c r="A45" s="8" t="s">
        <v>53</v>
      </c>
      <c r="B45" s="8"/>
      <c r="C45" s="8"/>
      <c r="D45" s="8"/>
      <c r="E45" s="8"/>
      <c r="F45" s="8"/>
      <c r="G45" s="8"/>
      <c r="H45" s="8"/>
      <c r="I45" s="8"/>
      <c r="J45" s="8"/>
      <c r="K45" s="8"/>
      <c r="L45" s="8"/>
      <c r="M45" s="8"/>
      <c r="N45" s="8"/>
    </row>
    <row r="46" spans="1:14" ht="22.5" customHeight="1" x14ac:dyDescent="0.15">
      <c r="A46" s="8"/>
      <c r="B46" s="15" t="s">
        <v>54</v>
      </c>
      <c r="C46" s="111" t="s">
        <v>55</v>
      </c>
      <c r="D46" s="112"/>
      <c r="E46" s="112"/>
      <c r="F46" s="112"/>
      <c r="G46" s="112"/>
      <c r="H46" s="112"/>
      <c r="I46" s="16" t="s">
        <v>56</v>
      </c>
      <c r="J46" s="17"/>
      <c r="K46" s="103" t="s">
        <v>57</v>
      </c>
      <c r="L46" s="104"/>
      <c r="M46" s="104"/>
      <c r="N46" s="105"/>
    </row>
    <row r="47" spans="1:14" ht="22.5" customHeight="1" x14ac:dyDescent="0.15">
      <c r="A47" s="8"/>
      <c r="B47" s="15" t="s">
        <v>58</v>
      </c>
      <c r="C47" s="118" t="s">
        <v>59</v>
      </c>
      <c r="D47" s="119"/>
      <c r="E47" s="119"/>
      <c r="F47" s="119"/>
      <c r="G47" s="119"/>
      <c r="H47" s="120"/>
      <c r="I47" s="16" t="s">
        <v>60</v>
      </c>
      <c r="J47" s="17"/>
      <c r="K47" s="121" t="s">
        <v>61</v>
      </c>
      <c r="L47" s="122"/>
      <c r="M47" s="122"/>
      <c r="N47" s="123"/>
    </row>
  </sheetData>
  <mergeCells count="45">
    <mergeCell ref="C47:H47"/>
    <mergeCell ref="K47:N47"/>
    <mergeCell ref="G26:H26"/>
    <mergeCell ref="K46:N46"/>
    <mergeCell ref="I26:J26"/>
    <mergeCell ref="C46:H46"/>
    <mergeCell ref="B36:C36"/>
    <mergeCell ref="J36:N36"/>
    <mergeCell ref="D31:F31"/>
    <mergeCell ref="G31:I31"/>
    <mergeCell ref="F43:N43"/>
    <mergeCell ref="J31:N31"/>
    <mergeCell ref="D36:F36"/>
    <mergeCell ref="G36:I36"/>
    <mergeCell ref="B41:C41"/>
    <mergeCell ref="D41:F41"/>
    <mergeCell ref="G41:I41"/>
    <mergeCell ref="C24:D24"/>
    <mergeCell ref="G12:N12"/>
    <mergeCell ref="E16:F16"/>
    <mergeCell ref="I16:J16"/>
    <mergeCell ref="J41:N41"/>
    <mergeCell ref="B34:N34"/>
    <mergeCell ref="B39:N39"/>
    <mergeCell ref="B31:C31"/>
    <mergeCell ref="C28:D28"/>
    <mergeCell ref="K18:M18"/>
    <mergeCell ref="I24:J24"/>
    <mergeCell ref="K20:N20"/>
    <mergeCell ref="E20:F20"/>
    <mergeCell ref="G28:H28"/>
    <mergeCell ref="I28:J28"/>
    <mergeCell ref="C26:D26"/>
    <mergeCell ref="J22:L22"/>
    <mergeCell ref="G24:H24"/>
    <mergeCell ref="M1:N1"/>
    <mergeCell ref="C16:D16"/>
    <mergeCell ref="C8:E8"/>
    <mergeCell ref="C10:N10"/>
    <mergeCell ref="K16:M16"/>
    <mergeCell ref="G8:I8"/>
    <mergeCell ref="C4:N4"/>
    <mergeCell ref="D6:N6"/>
    <mergeCell ref="F14:H14"/>
    <mergeCell ref="A2:N2"/>
  </mergeCells>
  <phoneticPr fontId="1"/>
  <dataValidations count="2">
    <dataValidation type="list" allowBlank="1" showInputMessage="1" showErrorMessage="1" sqref="F43" xr:uid="{00000000-0002-0000-0000-000001000000}">
      <formula1>"認定教育プログラム,認定教育プログラムと認定教育プログラム+（プラス）"</formula1>
    </dataValidation>
    <dataValidation type="list" allowBlank="1" showInputMessage="1" showErrorMessage="1" sqref="C8" xr:uid="{00000000-0002-0000-0000-000000000000}">
      <formula1>"国立大学, 公立大学, 私立大学, 短期大学, 高等専門学校, その他"</formula1>
    </dataValidation>
  </dataValidations>
  <hyperlinks>
    <hyperlink ref="C47" r:id="rId1" xr:uid="{8D7DEC00-6627-479A-8485-F82B828561C9}"/>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heetViews>
  <sheetFormatPr defaultColWidth="9" defaultRowHeight="18.75" customHeight="1" x14ac:dyDescent="0.15"/>
  <cols>
    <col min="1" max="2" width="2.5" style="7" customWidth="1"/>
    <col min="3" max="3" width="20" style="7" customWidth="1"/>
    <col min="4" max="4" width="8.75" style="7" customWidth="1"/>
    <col min="5" max="5" width="7.5" style="7" customWidth="1"/>
    <col min="6" max="6" width="2.5" style="7" customWidth="1"/>
    <col min="7" max="7" width="15" style="7" customWidth="1"/>
    <col min="8" max="8" width="12.5" style="7" customWidth="1"/>
    <col min="9" max="9" width="11.25" style="7" customWidth="1"/>
    <col min="10" max="16384" width="9" style="7"/>
  </cols>
  <sheetData>
    <row r="1" spans="1:9" ht="18.75" customHeight="1" x14ac:dyDescent="0.15">
      <c r="A1" s="8"/>
      <c r="B1" s="8"/>
      <c r="C1" s="8"/>
      <c r="D1" s="8"/>
      <c r="E1" s="8"/>
      <c r="F1" s="8"/>
      <c r="G1" s="8"/>
      <c r="H1" s="8"/>
      <c r="I1" s="89" t="s">
        <v>196</v>
      </c>
    </row>
    <row r="2" spans="1:9" ht="18.75" customHeight="1" x14ac:dyDescent="0.15">
      <c r="A2" s="8"/>
      <c r="B2" s="8"/>
      <c r="C2" s="8"/>
      <c r="D2" s="8"/>
      <c r="E2" s="8"/>
      <c r="F2" s="8"/>
      <c r="G2" s="89" t="s">
        <v>62</v>
      </c>
      <c r="H2" s="117" t="s">
        <v>4</v>
      </c>
      <c r="I2" s="117"/>
    </row>
    <row r="3" spans="1:9" ht="7.5" customHeight="1" x14ac:dyDescent="0.15">
      <c r="A3" s="8"/>
      <c r="B3" s="8"/>
      <c r="C3" s="8"/>
      <c r="D3" s="8"/>
      <c r="E3" s="8"/>
      <c r="F3" s="8"/>
      <c r="G3" s="8"/>
      <c r="H3" s="8"/>
      <c r="I3" s="8"/>
    </row>
    <row r="4" spans="1:9" ht="18.75" customHeight="1" x14ac:dyDescent="0.15">
      <c r="A4" s="100" t="s">
        <v>63</v>
      </c>
      <c r="B4" s="100"/>
      <c r="C4" s="100"/>
      <c r="D4" s="100"/>
      <c r="E4" s="100"/>
      <c r="F4" s="100"/>
      <c r="G4" s="100"/>
      <c r="H4" s="100"/>
      <c r="I4" s="100"/>
    </row>
    <row r="5" spans="1:9" ht="7.5" customHeight="1" x14ac:dyDescent="0.15">
      <c r="A5" s="8"/>
      <c r="B5" s="8"/>
      <c r="C5" s="88"/>
      <c r="D5" s="88"/>
      <c r="E5" s="88"/>
      <c r="F5" s="88"/>
      <c r="G5" s="88"/>
      <c r="H5" s="88"/>
      <c r="I5" s="88"/>
    </row>
    <row r="6" spans="1:9" ht="18.75" customHeight="1" x14ac:dyDescent="0.15">
      <c r="A6" s="8" t="s">
        <v>2</v>
      </c>
      <c r="B6" s="8" t="s">
        <v>64</v>
      </c>
      <c r="C6" s="88"/>
      <c r="D6" s="88"/>
      <c r="E6" s="114" t="s">
        <v>65</v>
      </c>
      <c r="F6" s="115"/>
      <c r="G6" s="115"/>
      <c r="H6" s="115"/>
      <c r="I6" s="116"/>
    </row>
    <row r="7" spans="1:9" ht="7.5" customHeight="1" x14ac:dyDescent="0.15">
      <c r="A7" s="8"/>
      <c r="B7" s="8"/>
      <c r="C7" s="88"/>
      <c r="D7" s="88"/>
      <c r="E7" s="8"/>
      <c r="F7" s="22"/>
      <c r="G7" s="22"/>
      <c r="H7" s="22"/>
      <c r="I7" s="22"/>
    </row>
    <row r="8" spans="1:9" ht="18.75" customHeight="1" x14ac:dyDescent="0.15">
      <c r="A8" s="8" t="s">
        <v>5</v>
      </c>
      <c r="B8" s="8" t="s">
        <v>66</v>
      </c>
      <c r="C8" s="88"/>
      <c r="D8" s="88"/>
      <c r="E8" s="88"/>
      <c r="F8" s="88"/>
      <c r="G8" s="88"/>
      <c r="H8" s="88"/>
      <c r="I8" s="88"/>
    </row>
    <row r="9" spans="1:9" ht="18.75" customHeight="1" x14ac:dyDescent="0.15">
      <c r="A9" s="8"/>
      <c r="B9" s="129" t="s">
        <v>67</v>
      </c>
      <c r="C9" s="130"/>
      <c r="D9" s="130"/>
      <c r="E9" s="130"/>
      <c r="F9" s="130"/>
      <c r="G9" s="130"/>
      <c r="H9" s="130"/>
      <c r="I9" s="131"/>
    </row>
    <row r="10" spans="1:9" ht="18.75" customHeight="1" x14ac:dyDescent="0.15">
      <c r="A10" s="8"/>
      <c r="B10" s="132"/>
      <c r="C10" s="133"/>
      <c r="D10" s="133"/>
      <c r="E10" s="133"/>
      <c r="F10" s="133"/>
      <c r="G10" s="133"/>
      <c r="H10" s="133"/>
      <c r="I10" s="134"/>
    </row>
    <row r="11" spans="1:9" ht="18.75" customHeight="1" x14ac:dyDescent="0.15">
      <c r="A11" s="8"/>
      <c r="B11" s="132"/>
      <c r="C11" s="133"/>
      <c r="D11" s="133"/>
      <c r="E11" s="133"/>
      <c r="F11" s="133"/>
      <c r="G11" s="133"/>
      <c r="H11" s="133"/>
      <c r="I11" s="134"/>
    </row>
    <row r="12" spans="1:9" ht="18.75" customHeight="1" x14ac:dyDescent="0.15">
      <c r="A12" s="8"/>
      <c r="B12" s="132"/>
      <c r="C12" s="133"/>
      <c r="D12" s="133"/>
      <c r="E12" s="133"/>
      <c r="F12" s="133"/>
      <c r="G12" s="133"/>
      <c r="H12" s="133"/>
      <c r="I12" s="134"/>
    </row>
    <row r="13" spans="1:9" ht="18.75" customHeight="1" x14ac:dyDescent="0.15">
      <c r="A13" s="8"/>
      <c r="B13" s="132"/>
      <c r="C13" s="133"/>
      <c r="D13" s="133"/>
      <c r="E13" s="133"/>
      <c r="F13" s="133"/>
      <c r="G13" s="133"/>
      <c r="H13" s="133"/>
      <c r="I13" s="134"/>
    </row>
    <row r="14" spans="1:9" ht="18.75" customHeight="1" x14ac:dyDescent="0.15">
      <c r="A14" s="8"/>
      <c r="B14" s="132"/>
      <c r="C14" s="133"/>
      <c r="D14" s="133"/>
      <c r="E14" s="133"/>
      <c r="F14" s="133"/>
      <c r="G14" s="133"/>
      <c r="H14" s="133"/>
      <c r="I14" s="134"/>
    </row>
    <row r="15" spans="1:9" ht="18.75" customHeight="1" x14ac:dyDescent="0.15">
      <c r="A15" s="8"/>
      <c r="B15" s="132"/>
      <c r="C15" s="133"/>
      <c r="D15" s="133"/>
      <c r="E15" s="133"/>
      <c r="F15" s="133"/>
      <c r="G15" s="133"/>
      <c r="H15" s="133"/>
      <c r="I15" s="134"/>
    </row>
    <row r="16" spans="1:9" ht="18.75" customHeight="1" x14ac:dyDescent="0.15">
      <c r="A16" s="8"/>
      <c r="B16" s="135"/>
      <c r="C16" s="136"/>
      <c r="D16" s="136"/>
      <c r="E16" s="136"/>
      <c r="F16" s="136"/>
      <c r="G16" s="136"/>
      <c r="H16" s="136"/>
      <c r="I16" s="137"/>
    </row>
    <row r="17" spans="1:10" ht="7.5" customHeight="1" x14ac:dyDescent="0.15">
      <c r="C17" s="56"/>
      <c r="D17" s="56"/>
      <c r="E17" s="56"/>
      <c r="F17" s="56"/>
      <c r="G17" s="56"/>
      <c r="H17" s="56"/>
      <c r="I17" s="56"/>
    </row>
    <row r="18" spans="1:10" ht="18.75" customHeight="1" x14ac:dyDescent="0.15">
      <c r="A18" s="56" t="s">
        <v>8</v>
      </c>
      <c r="B18" s="9" t="s">
        <v>68</v>
      </c>
      <c r="C18" s="9"/>
      <c r="D18" s="9"/>
      <c r="E18" s="9"/>
      <c r="F18" s="56"/>
      <c r="G18" s="56"/>
      <c r="H18" s="56"/>
      <c r="I18" s="56"/>
      <c r="J18" s="56"/>
    </row>
    <row r="19" spans="1:10" ht="18.75" customHeight="1" x14ac:dyDescent="0.15">
      <c r="A19" s="127" t="s">
        <v>68</v>
      </c>
      <c r="B19" s="127"/>
      <c r="C19" s="127"/>
      <c r="D19" s="127"/>
      <c r="E19" s="127"/>
      <c r="F19" s="128" t="s">
        <v>68</v>
      </c>
      <c r="G19" s="128"/>
      <c r="H19" s="128"/>
      <c r="I19" s="128"/>
    </row>
    <row r="20" spans="1:10" ht="18.75" customHeight="1" x14ac:dyDescent="0.15">
      <c r="A20" s="23">
        <v>1</v>
      </c>
      <c r="B20" s="111" t="s">
        <v>69</v>
      </c>
      <c r="C20" s="112"/>
      <c r="D20" s="112"/>
      <c r="E20" s="113"/>
      <c r="F20" s="23">
        <v>26</v>
      </c>
      <c r="G20" s="111"/>
      <c r="H20" s="112"/>
      <c r="I20" s="113"/>
    </row>
    <row r="21" spans="1:10" ht="18.75" customHeight="1" x14ac:dyDescent="0.15">
      <c r="A21" s="23">
        <v>2</v>
      </c>
      <c r="B21" s="111" t="s">
        <v>70</v>
      </c>
      <c r="C21" s="112"/>
      <c r="D21" s="112"/>
      <c r="E21" s="113"/>
      <c r="F21" s="23">
        <v>27</v>
      </c>
      <c r="G21" s="111"/>
      <c r="H21" s="112"/>
      <c r="I21" s="113"/>
    </row>
    <row r="22" spans="1:10" ht="18.75" customHeight="1" x14ac:dyDescent="0.15">
      <c r="A22" s="23">
        <v>3</v>
      </c>
      <c r="B22" s="111" t="s">
        <v>71</v>
      </c>
      <c r="C22" s="112"/>
      <c r="D22" s="112"/>
      <c r="E22" s="113"/>
      <c r="F22" s="23">
        <v>28</v>
      </c>
      <c r="G22" s="111"/>
      <c r="H22" s="112"/>
      <c r="I22" s="113"/>
    </row>
    <row r="23" spans="1:10" ht="18.75" customHeight="1" x14ac:dyDescent="0.15">
      <c r="A23" s="23">
        <v>4</v>
      </c>
      <c r="B23" s="124"/>
      <c r="C23" s="125"/>
      <c r="D23" s="125"/>
      <c r="E23" s="126"/>
      <c r="F23" s="23">
        <v>29</v>
      </c>
      <c r="G23" s="111"/>
      <c r="H23" s="112"/>
      <c r="I23" s="113"/>
    </row>
    <row r="24" spans="1:10" ht="18.75" customHeight="1" x14ac:dyDescent="0.15">
      <c r="A24" s="23">
        <v>5</v>
      </c>
      <c r="B24" s="124"/>
      <c r="C24" s="125"/>
      <c r="D24" s="125"/>
      <c r="E24" s="126"/>
      <c r="F24" s="23">
        <v>30</v>
      </c>
      <c r="G24" s="111"/>
      <c r="H24" s="112"/>
      <c r="I24" s="113"/>
    </row>
    <row r="25" spans="1:10" ht="18.75" customHeight="1" x14ac:dyDescent="0.15">
      <c r="A25" s="23">
        <v>6</v>
      </c>
      <c r="B25" s="124"/>
      <c r="C25" s="125"/>
      <c r="D25" s="125"/>
      <c r="E25" s="126"/>
      <c r="F25" s="23">
        <v>31</v>
      </c>
      <c r="G25" s="111"/>
      <c r="H25" s="112"/>
      <c r="I25" s="113"/>
    </row>
    <row r="26" spans="1:10" ht="18.75" customHeight="1" x14ac:dyDescent="0.15">
      <c r="A26" s="23">
        <v>7</v>
      </c>
      <c r="B26" s="124"/>
      <c r="C26" s="125"/>
      <c r="D26" s="125"/>
      <c r="E26" s="126"/>
      <c r="F26" s="23">
        <v>32</v>
      </c>
      <c r="G26" s="111"/>
      <c r="H26" s="112"/>
      <c r="I26" s="113"/>
    </row>
    <row r="27" spans="1:10" ht="18.75" customHeight="1" x14ac:dyDescent="0.15">
      <c r="A27" s="23">
        <v>8</v>
      </c>
      <c r="B27" s="124"/>
      <c r="C27" s="125"/>
      <c r="D27" s="125"/>
      <c r="E27" s="126"/>
      <c r="F27" s="23">
        <v>33</v>
      </c>
      <c r="G27" s="111"/>
      <c r="H27" s="112"/>
      <c r="I27" s="113"/>
    </row>
    <row r="28" spans="1:10" ht="18.75" customHeight="1" x14ac:dyDescent="0.15">
      <c r="A28" s="23">
        <v>9</v>
      </c>
      <c r="B28" s="124"/>
      <c r="C28" s="125"/>
      <c r="D28" s="125"/>
      <c r="E28" s="126"/>
      <c r="F28" s="23">
        <v>34</v>
      </c>
      <c r="G28" s="111"/>
      <c r="H28" s="112"/>
      <c r="I28" s="113"/>
    </row>
    <row r="29" spans="1:10" ht="18.75" customHeight="1" x14ac:dyDescent="0.15">
      <c r="A29" s="23">
        <v>10</v>
      </c>
      <c r="B29" s="124"/>
      <c r="C29" s="125"/>
      <c r="D29" s="125"/>
      <c r="E29" s="126"/>
      <c r="F29" s="23">
        <v>35</v>
      </c>
      <c r="G29" s="111"/>
      <c r="H29" s="112"/>
      <c r="I29" s="113"/>
    </row>
    <row r="30" spans="1:10" ht="18.75" customHeight="1" x14ac:dyDescent="0.15">
      <c r="A30" s="23">
        <v>11</v>
      </c>
      <c r="B30" s="111"/>
      <c r="C30" s="112"/>
      <c r="D30" s="112"/>
      <c r="E30" s="113"/>
      <c r="F30" s="23">
        <v>36</v>
      </c>
      <c r="G30" s="111"/>
      <c r="H30" s="112"/>
      <c r="I30" s="113"/>
    </row>
    <row r="31" spans="1:10" ht="18.75" customHeight="1" x14ac:dyDescent="0.15">
      <c r="A31" s="23">
        <v>12</v>
      </c>
      <c r="B31" s="111"/>
      <c r="C31" s="112"/>
      <c r="D31" s="112"/>
      <c r="E31" s="113"/>
      <c r="F31" s="23">
        <v>37</v>
      </c>
      <c r="G31" s="111"/>
      <c r="H31" s="112"/>
      <c r="I31" s="113"/>
    </row>
    <row r="32" spans="1:10" ht="18.75" customHeight="1" x14ac:dyDescent="0.15">
      <c r="A32" s="23">
        <v>13</v>
      </c>
      <c r="B32" s="111"/>
      <c r="C32" s="112"/>
      <c r="D32" s="112"/>
      <c r="E32" s="113"/>
      <c r="F32" s="23">
        <v>38</v>
      </c>
      <c r="G32" s="111"/>
      <c r="H32" s="112"/>
      <c r="I32" s="113"/>
    </row>
    <row r="33" spans="1:9" ht="18.75" customHeight="1" x14ac:dyDescent="0.15">
      <c r="A33" s="23">
        <v>14</v>
      </c>
      <c r="B33" s="111"/>
      <c r="C33" s="112"/>
      <c r="D33" s="112"/>
      <c r="E33" s="113"/>
      <c r="F33" s="23">
        <v>39</v>
      </c>
      <c r="G33" s="111"/>
      <c r="H33" s="112"/>
      <c r="I33" s="113"/>
    </row>
    <row r="34" spans="1:9" ht="18.75" customHeight="1" x14ac:dyDescent="0.15">
      <c r="A34" s="23">
        <v>15</v>
      </c>
      <c r="B34" s="111"/>
      <c r="C34" s="112"/>
      <c r="D34" s="112"/>
      <c r="E34" s="113"/>
      <c r="F34" s="23">
        <v>40</v>
      </c>
      <c r="G34" s="111"/>
      <c r="H34" s="112"/>
      <c r="I34" s="113"/>
    </row>
    <row r="35" spans="1:9" ht="18.75" customHeight="1" x14ac:dyDescent="0.15">
      <c r="A35" s="23">
        <v>16</v>
      </c>
      <c r="B35" s="111"/>
      <c r="C35" s="112"/>
      <c r="D35" s="112"/>
      <c r="E35" s="113"/>
      <c r="F35" s="23">
        <v>41</v>
      </c>
      <c r="G35" s="111"/>
      <c r="H35" s="112"/>
      <c r="I35" s="113"/>
    </row>
    <row r="36" spans="1:9" ht="18.75" customHeight="1" x14ac:dyDescent="0.15">
      <c r="A36" s="23">
        <v>17</v>
      </c>
      <c r="B36" s="111"/>
      <c r="C36" s="112"/>
      <c r="D36" s="112"/>
      <c r="E36" s="113"/>
      <c r="F36" s="23">
        <v>42</v>
      </c>
      <c r="G36" s="111"/>
      <c r="H36" s="112"/>
      <c r="I36" s="113"/>
    </row>
    <row r="37" spans="1:9" ht="18.75" customHeight="1" x14ac:dyDescent="0.15">
      <c r="A37" s="23">
        <v>18</v>
      </c>
      <c r="B37" s="111"/>
      <c r="C37" s="112"/>
      <c r="D37" s="112"/>
      <c r="E37" s="113"/>
      <c r="F37" s="23">
        <v>43</v>
      </c>
      <c r="G37" s="111"/>
      <c r="H37" s="112"/>
      <c r="I37" s="113"/>
    </row>
    <row r="38" spans="1:9" ht="18.75" customHeight="1" x14ac:dyDescent="0.15">
      <c r="A38" s="23">
        <v>19</v>
      </c>
      <c r="B38" s="111"/>
      <c r="C38" s="112"/>
      <c r="D38" s="112"/>
      <c r="E38" s="113"/>
      <c r="F38" s="23">
        <v>44</v>
      </c>
      <c r="G38" s="111"/>
      <c r="H38" s="112"/>
      <c r="I38" s="113"/>
    </row>
    <row r="39" spans="1:9" ht="18.75" customHeight="1" x14ac:dyDescent="0.15">
      <c r="A39" s="23">
        <v>20</v>
      </c>
      <c r="B39" s="111"/>
      <c r="C39" s="112"/>
      <c r="D39" s="112"/>
      <c r="E39" s="113"/>
      <c r="F39" s="23">
        <v>45</v>
      </c>
      <c r="G39" s="111"/>
      <c r="H39" s="112"/>
      <c r="I39" s="113"/>
    </row>
    <row r="40" spans="1:9" ht="18.75" customHeight="1" x14ac:dyDescent="0.15">
      <c r="A40" s="23">
        <v>21</v>
      </c>
      <c r="B40" s="111"/>
      <c r="C40" s="112"/>
      <c r="D40" s="112"/>
      <c r="E40" s="113"/>
      <c r="F40" s="23">
        <v>46</v>
      </c>
      <c r="G40" s="111"/>
      <c r="H40" s="112"/>
      <c r="I40" s="113"/>
    </row>
    <row r="41" spans="1:9" ht="18.75" customHeight="1" x14ac:dyDescent="0.15">
      <c r="A41" s="23">
        <v>22</v>
      </c>
      <c r="B41" s="111"/>
      <c r="C41" s="112"/>
      <c r="D41" s="112"/>
      <c r="E41" s="113"/>
      <c r="F41" s="23">
        <v>47</v>
      </c>
      <c r="G41" s="111"/>
      <c r="H41" s="112"/>
      <c r="I41" s="113"/>
    </row>
    <row r="42" spans="1:9" ht="18.75" customHeight="1" x14ac:dyDescent="0.15">
      <c r="A42" s="23">
        <v>23</v>
      </c>
      <c r="B42" s="111"/>
      <c r="C42" s="112"/>
      <c r="D42" s="112"/>
      <c r="E42" s="113"/>
      <c r="F42" s="23">
        <v>48</v>
      </c>
      <c r="G42" s="111"/>
      <c r="H42" s="112"/>
      <c r="I42" s="113"/>
    </row>
    <row r="43" spans="1:9" ht="18.75" customHeight="1" x14ac:dyDescent="0.15">
      <c r="A43" s="23">
        <v>24</v>
      </c>
      <c r="B43" s="111"/>
      <c r="C43" s="112"/>
      <c r="D43" s="112"/>
      <c r="E43" s="113"/>
      <c r="F43" s="23">
        <v>49</v>
      </c>
      <c r="G43" s="111"/>
      <c r="H43" s="112"/>
      <c r="I43" s="113"/>
    </row>
    <row r="44" spans="1:9" ht="18.75" customHeight="1" x14ac:dyDescent="0.15">
      <c r="A44" s="23">
        <v>25</v>
      </c>
      <c r="B44" s="111"/>
      <c r="C44" s="112"/>
      <c r="D44" s="112"/>
      <c r="E44" s="113"/>
      <c r="F44" s="23">
        <v>50</v>
      </c>
      <c r="G44" s="111"/>
      <c r="H44" s="112"/>
      <c r="I44" s="113"/>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3420-CEC6-4632-B8FF-12D6DC0306F8}">
  <dimension ref="A1:T30"/>
  <sheetViews>
    <sheetView workbookViewId="0"/>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4.25" x14ac:dyDescent="0.15">
      <c r="F1" s="138" t="s">
        <v>72</v>
      </c>
      <c r="G1" s="138"/>
      <c r="H1" s="138"/>
      <c r="I1" s="138"/>
      <c r="J1" s="138"/>
      <c r="K1" s="138"/>
      <c r="L1" s="138"/>
      <c r="M1" s="138"/>
      <c r="N1" s="138"/>
      <c r="O1" s="138"/>
      <c r="P1" s="138"/>
      <c r="Q1" s="138"/>
      <c r="R1" s="138"/>
    </row>
    <row r="2" spans="1:20" ht="14.25" x14ac:dyDescent="0.15">
      <c r="D2" s="26"/>
      <c r="E2" s="26"/>
      <c r="F2" s="26"/>
      <c r="G2" s="26"/>
      <c r="H2" s="26"/>
      <c r="I2" s="26"/>
      <c r="J2" s="26"/>
      <c r="K2" s="138" t="s">
        <v>73</v>
      </c>
      <c r="L2" s="138"/>
      <c r="M2" s="26" t="s">
        <v>4</v>
      </c>
      <c r="N2" s="26"/>
      <c r="O2" s="26"/>
      <c r="P2" s="26"/>
      <c r="Q2" s="26"/>
      <c r="R2" s="26"/>
    </row>
    <row r="3" spans="1:20" ht="7.5" customHeight="1" x14ac:dyDescent="0.15"/>
    <row r="4" spans="1:20" ht="14.25" x14ac:dyDescent="0.15">
      <c r="A4" s="139" t="s">
        <v>74</v>
      </c>
      <c r="B4" s="139"/>
      <c r="C4" s="139"/>
      <c r="D4" s="139"/>
      <c r="E4" s="139"/>
      <c r="F4" s="139"/>
      <c r="G4" s="139"/>
      <c r="H4" s="139"/>
      <c r="I4" s="139"/>
      <c r="J4" s="139"/>
      <c r="K4" s="139"/>
      <c r="L4" s="139"/>
      <c r="M4" s="139"/>
      <c r="N4" s="139"/>
      <c r="O4" s="139"/>
      <c r="P4" s="139"/>
      <c r="Q4" s="139"/>
      <c r="R4" s="139"/>
      <c r="S4" s="4"/>
    </row>
    <row r="5" spans="1:20" ht="14.25" x14ac:dyDescent="0.15">
      <c r="A5" s="59"/>
      <c r="B5" s="59"/>
      <c r="C5" s="59"/>
      <c r="D5" s="59"/>
      <c r="E5" s="59"/>
      <c r="F5" s="59"/>
      <c r="G5" s="59"/>
      <c r="H5" s="59"/>
      <c r="I5" s="59"/>
      <c r="J5" s="59"/>
      <c r="K5" s="59"/>
      <c r="L5" s="59"/>
      <c r="M5" s="59"/>
      <c r="N5" s="59"/>
      <c r="O5" s="59"/>
      <c r="P5" s="59"/>
      <c r="Q5" s="59"/>
      <c r="R5" s="59"/>
    </row>
    <row r="6" spans="1:20" ht="14.25" x14ac:dyDescent="0.15">
      <c r="B6" s="140" t="s">
        <v>75</v>
      </c>
      <c r="C6" s="141"/>
      <c r="D6" s="144" t="s">
        <v>76</v>
      </c>
      <c r="E6" s="146" t="s">
        <v>77</v>
      </c>
      <c r="F6" s="146"/>
      <c r="G6" s="146" t="s">
        <v>78</v>
      </c>
      <c r="H6" s="146"/>
      <c r="I6" s="147" t="s">
        <v>79</v>
      </c>
      <c r="J6" s="148"/>
      <c r="K6" s="147" t="s">
        <v>80</v>
      </c>
      <c r="L6" s="148"/>
      <c r="M6" s="147" t="s">
        <v>81</v>
      </c>
      <c r="N6" s="148"/>
      <c r="O6" s="147" t="s">
        <v>82</v>
      </c>
      <c r="P6" s="148"/>
      <c r="Q6" s="151" t="s">
        <v>83</v>
      </c>
      <c r="R6" s="153" t="s">
        <v>84</v>
      </c>
      <c r="T6"/>
    </row>
    <row r="7" spans="1:20" ht="14.25" x14ac:dyDescent="0.15">
      <c r="B7" s="142"/>
      <c r="C7" s="143"/>
      <c r="D7" s="145"/>
      <c r="E7" s="18" t="s">
        <v>85</v>
      </c>
      <c r="F7" s="20" t="s">
        <v>86</v>
      </c>
      <c r="G7" s="21" t="s">
        <v>85</v>
      </c>
      <c r="H7" s="19" t="s">
        <v>86</v>
      </c>
      <c r="I7" s="18" t="s">
        <v>85</v>
      </c>
      <c r="J7" s="20" t="s">
        <v>86</v>
      </c>
      <c r="K7" s="21" t="s">
        <v>85</v>
      </c>
      <c r="L7" s="19" t="s">
        <v>86</v>
      </c>
      <c r="M7" s="18" t="s">
        <v>85</v>
      </c>
      <c r="N7" s="20" t="s">
        <v>86</v>
      </c>
      <c r="O7" s="21" t="s">
        <v>85</v>
      </c>
      <c r="P7" s="19" t="s">
        <v>86</v>
      </c>
      <c r="Q7" s="152"/>
      <c r="R7" s="154"/>
      <c r="T7"/>
    </row>
    <row r="8" spans="1:20" ht="14.25" x14ac:dyDescent="0.15">
      <c r="A8" s="26"/>
      <c r="B8" s="155" t="s">
        <v>87</v>
      </c>
      <c r="C8" s="156"/>
      <c r="D8" s="27">
        <v>1520</v>
      </c>
      <c r="E8" s="28">
        <v>148</v>
      </c>
      <c r="F8" s="29">
        <v>134</v>
      </c>
      <c r="G8" s="30"/>
      <c r="H8" s="31"/>
      <c r="I8" s="28"/>
      <c r="J8" s="29"/>
      <c r="K8" s="30"/>
      <c r="L8" s="31"/>
      <c r="M8" s="28"/>
      <c r="N8" s="29"/>
      <c r="O8" s="30"/>
      <c r="P8" s="31"/>
      <c r="Q8" s="32">
        <f t="shared" ref="Q8:Q14" si="0">E8+G8+I8+K8+M8+O8</f>
        <v>148</v>
      </c>
      <c r="R8" s="33">
        <f t="shared" ref="R8:R28" si="1">Q8/D8</f>
        <v>9.7368421052631576E-2</v>
      </c>
    </row>
    <row r="9" spans="1:20" ht="14.25" x14ac:dyDescent="0.15">
      <c r="A9" s="26"/>
      <c r="B9" s="149" t="s">
        <v>88</v>
      </c>
      <c r="C9" s="150"/>
      <c r="D9" s="57">
        <v>640</v>
      </c>
      <c r="E9" s="34">
        <v>76</v>
      </c>
      <c r="F9" s="35">
        <v>65</v>
      </c>
      <c r="G9" s="36"/>
      <c r="H9" s="37"/>
      <c r="I9" s="34"/>
      <c r="J9" s="35"/>
      <c r="K9" s="36"/>
      <c r="L9" s="37"/>
      <c r="M9" s="34"/>
      <c r="N9" s="35"/>
      <c r="O9" s="36"/>
      <c r="P9" s="37"/>
      <c r="Q9" s="38">
        <f t="shared" si="0"/>
        <v>76</v>
      </c>
      <c r="R9" s="33">
        <f t="shared" si="1"/>
        <v>0.11874999999999999</v>
      </c>
    </row>
    <row r="10" spans="1:20" ht="14.25" x14ac:dyDescent="0.15">
      <c r="A10" s="26"/>
      <c r="B10" s="149" t="s">
        <v>89</v>
      </c>
      <c r="C10" s="150"/>
      <c r="D10" s="57">
        <v>720</v>
      </c>
      <c r="E10" s="34">
        <v>59</v>
      </c>
      <c r="F10" s="35">
        <v>59</v>
      </c>
      <c r="G10" s="36"/>
      <c r="H10" s="37"/>
      <c r="I10" s="34"/>
      <c r="J10" s="35"/>
      <c r="K10" s="36"/>
      <c r="L10" s="37"/>
      <c r="M10" s="34"/>
      <c r="N10" s="35"/>
      <c r="O10" s="36"/>
      <c r="P10" s="37"/>
      <c r="Q10" s="38">
        <f t="shared" si="0"/>
        <v>59</v>
      </c>
      <c r="R10" s="33">
        <f t="shared" si="1"/>
        <v>8.1944444444444445E-2</v>
      </c>
    </row>
    <row r="11" spans="1:20" ht="14.25" x14ac:dyDescent="0.15">
      <c r="A11" s="26"/>
      <c r="B11" s="149" t="s">
        <v>90</v>
      </c>
      <c r="C11" s="150"/>
      <c r="D11" s="57">
        <v>900</v>
      </c>
      <c r="E11" s="34">
        <v>0</v>
      </c>
      <c r="F11" s="35">
        <v>0</v>
      </c>
      <c r="G11" s="36"/>
      <c r="H11" s="37"/>
      <c r="I11" s="34"/>
      <c r="J11" s="35"/>
      <c r="K11" s="36"/>
      <c r="L11" s="37"/>
      <c r="M11" s="34"/>
      <c r="N11" s="35"/>
      <c r="O11" s="36"/>
      <c r="P11" s="37"/>
      <c r="Q11" s="38">
        <f t="shared" si="0"/>
        <v>0</v>
      </c>
      <c r="R11" s="33">
        <f t="shared" si="1"/>
        <v>0</v>
      </c>
    </row>
    <row r="12" spans="1:20" ht="14.25" x14ac:dyDescent="0.15">
      <c r="A12" s="26"/>
      <c r="B12" s="149" t="s">
        <v>91</v>
      </c>
      <c r="C12" s="150"/>
      <c r="D12" s="57">
        <v>945</v>
      </c>
      <c r="E12" s="34">
        <v>73</v>
      </c>
      <c r="F12" s="35">
        <v>73</v>
      </c>
      <c r="G12" s="36"/>
      <c r="H12" s="37"/>
      <c r="I12" s="34"/>
      <c r="J12" s="35"/>
      <c r="K12" s="36"/>
      <c r="L12" s="37"/>
      <c r="M12" s="34"/>
      <c r="N12" s="35"/>
      <c r="O12" s="36"/>
      <c r="P12" s="37"/>
      <c r="Q12" s="38">
        <f t="shared" si="0"/>
        <v>73</v>
      </c>
      <c r="R12" s="33">
        <f t="shared" si="1"/>
        <v>7.7248677248677247E-2</v>
      </c>
    </row>
    <row r="13" spans="1:20" ht="14.25" x14ac:dyDescent="0.15">
      <c r="A13" s="26"/>
      <c r="B13" s="149" t="s">
        <v>92</v>
      </c>
      <c r="C13" s="150"/>
      <c r="D13" s="57">
        <v>2020</v>
      </c>
      <c r="E13" s="34">
        <v>0</v>
      </c>
      <c r="F13" s="35">
        <v>0</v>
      </c>
      <c r="G13" s="36"/>
      <c r="H13" s="37"/>
      <c r="I13" s="34"/>
      <c r="J13" s="35"/>
      <c r="K13" s="36"/>
      <c r="L13" s="37"/>
      <c r="M13" s="34"/>
      <c r="N13" s="35"/>
      <c r="O13" s="36"/>
      <c r="P13" s="37"/>
      <c r="Q13" s="38">
        <f t="shared" si="0"/>
        <v>0</v>
      </c>
      <c r="R13" s="33">
        <f t="shared" si="1"/>
        <v>0</v>
      </c>
    </row>
    <row r="14" spans="1:20" ht="14.25" x14ac:dyDescent="0.15">
      <c r="A14" s="26"/>
      <c r="B14" s="149" t="s">
        <v>93</v>
      </c>
      <c r="C14" s="150"/>
      <c r="D14" s="57">
        <v>700</v>
      </c>
      <c r="E14" s="34">
        <v>14</v>
      </c>
      <c r="F14" s="35">
        <v>14</v>
      </c>
      <c r="G14" s="36"/>
      <c r="H14" s="37"/>
      <c r="I14" s="34"/>
      <c r="J14" s="35"/>
      <c r="K14" s="36"/>
      <c r="L14" s="37"/>
      <c r="M14" s="34"/>
      <c r="N14" s="35"/>
      <c r="O14" s="36"/>
      <c r="P14" s="37"/>
      <c r="Q14" s="38">
        <f t="shared" si="0"/>
        <v>14</v>
      </c>
      <c r="R14" s="33">
        <f t="shared" si="1"/>
        <v>0.02</v>
      </c>
    </row>
    <row r="15" spans="1:20" ht="14.25" x14ac:dyDescent="0.15">
      <c r="A15" s="26"/>
      <c r="B15" s="149"/>
      <c r="C15" s="150"/>
      <c r="D15" s="57"/>
      <c r="E15" s="34"/>
      <c r="F15" s="35"/>
      <c r="G15" s="36"/>
      <c r="H15" s="37"/>
      <c r="I15" s="34"/>
      <c r="J15" s="35"/>
      <c r="K15" s="36"/>
      <c r="L15" s="37"/>
      <c r="M15" s="34"/>
      <c r="N15" s="35"/>
      <c r="O15" s="36"/>
      <c r="P15" s="37"/>
      <c r="Q15" s="38"/>
      <c r="R15" s="33"/>
    </row>
    <row r="16" spans="1:20" ht="14.25" x14ac:dyDescent="0.15">
      <c r="A16" s="26"/>
      <c r="B16" s="149"/>
      <c r="C16" s="150"/>
      <c r="D16" s="57"/>
      <c r="E16" s="34"/>
      <c r="F16" s="35"/>
      <c r="G16" s="36"/>
      <c r="H16" s="37"/>
      <c r="I16" s="34"/>
      <c r="J16" s="35"/>
      <c r="K16" s="36"/>
      <c r="L16" s="37"/>
      <c r="M16" s="34"/>
      <c r="N16" s="35"/>
      <c r="O16" s="36"/>
      <c r="P16" s="37"/>
      <c r="Q16" s="38"/>
      <c r="R16" s="33"/>
    </row>
    <row r="17" spans="1:18" ht="14.25" x14ac:dyDescent="0.15">
      <c r="A17" s="26"/>
      <c r="B17" s="160"/>
      <c r="C17" s="161"/>
      <c r="D17" s="57"/>
      <c r="E17" s="34"/>
      <c r="F17" s="35"/>
      <c r="G17" s="36"/>
      <c r="H17" s="37"/>
      <c r="I17" s="34"/>
      <c r="J17" s="35"/>
      <c r="K17" s="36"/>
      <c r="L17" s="37"/>
      <c r="M17" s="34"/>
      <c r="N17" s="35"/>
      <c r="O17" s="36"/>
      <c r="P17" s="37"/>
      <c r="Q17" s="38"/>
      <c r="R17" s="33"/>
    </row>
    <row r="18" spans="1:18" ht="14.25" x14ac:dyDescent="0.15">
      <c r="A18" s="26"/>
      <c r="B18" s="160"/>
      <c r="C18" s="161"/>
      <c r="D18" s="57"/>
      <c r="E18" s="34"/>
      <c r="F18" s="35"/>
      <c r="G18" s="36"/>
      <c r="H18" s="37"/>
      <c r="I18" s="34"/>
      <c r="J18" s="35"/>
      <c r="K18" s="36"/>
      <c r="L18" s="37"/>
      <c r="M18" s="34"/>
      <c r="N18" s="35"/>
      <c r="O18" s="36"/>
      <c r="P18" s="37"/>
      <c r="Q18" s="38"/>
      <c r="R18" s="33"/>
    </row>
    <row r="19" spans="1:18" ht="14.25" x14ac:dyDescent="0.15">
      <c r="A19" s="26"/>
      <c r="B19" s="160"/>
      <c r="C19" s="161"/>
      <c r="D19" s="57"/>
      <c r="E19" s="34"/>
      <c r="F19" s="35"/>
      <c r="G19" s="36"/>
      <c r="H19" s="37"/>
      <c r="I19" s="34"/>
      <c r="J19" s="35"/>
      <c r="K19" s="36"/>
      <c r="L19" s="37"/>
      <c r="M19" s="34"/>
      <c r="N19" s="35"/>
      <c r="O19" s="36"/>
      <c r="P19" s="37"/>
      <c r="Q19" s="38"/>
      <c r="R19" s="33"/>
    </row>
    <row r="20" spans="1:18" ht="14.25" x14ac:dyDescent="0.15">
      <c r="A20" s="26"/>
      <c r="B20" s="160"/>
      <c r="C20" s="161"/>
      <c r="D20" s="57"/>
      <c r="E20" s="34"/>
      <c r="F20" s="35"/>
      <c r="G20" s="36"/>
      <c r="H20" s="37"/>
      <c r="I20" s="34"/>
      <c r="J20" s="35"/>
      <c r="K20" s="36"/>
      <c r="L20" s="37"/>
      <c r="M20" s="34"/>
      <c r="N20" s="35"/>
      <c r="O20" s="36"/>
      <c r="P20" s="37"/>
      <c r="Q20" s="38"/>
      <c r="R20" s="33"/>
    </row>
    <row r="21" spans="1:18" ht="14.25" x14ac:dyDescent="0.15">
      <c r="A21" s="26"/>
      <c r="B21" s="160"/>
      <c r="C21" s="161"/>
      <c r="D21" s="57"/>
      <c r="E21" s="34"/>
      <c r="F21" s="35"/>
      <c r="G21" s="36"/>
      <c r="H21" s="37"/>
      <c r="I21" s="34"/>
      <c r="J21" s="35"/>
      <c r="K21" s="36"/>
      <c r="L21" s="37"/>
      <c r="M21" s="34"/>
      <c r="N21" s="35"/>
      <c r="O21" s="36"/>
      <c r="P21" s="37"/>
      <c r="Q21" s="38"/>
      <c r="R21" s="33"/>
    </row>
    <row r="22" spans="1:18" ht="14.25" x14ac:dyDescent="0.15">
      <c r="A22" s="26"/>
      <c r="B22" s="160"/>
      <c r="C22" s="161"/>
      <c r="D22" s="57"/>
      <c r="E22" s="34"/>
      <c r="F22" s="35"/>
      <c r="G22" s="36"/>
      <c r="H22" s="37"/>
      <c r="I22" s="34"/>
      <c r="J22" s="35"/>
      <c r="K22" s="36"/>
      <c r="L22" s="37"/>
      <c r="M22" s="34"/>
      <c r="N22" s="35"/>
      <c r="O22" s="36"/>
      <c r="P22" s="37"/>
      <c r="Q22" s="38"/>
      <c r="R22" s="33"/>
    </row>
    <row r="23" spans="1:18" ht="14.25" x14ac:dyDescent="0.15">
      <c r="A23" s="26"/>
      <c r="B23" s="160"/>
      <c r="C23" s="161"/>
      <c r="D23" s="57"/>
      <c r="E23" s="34"/>
      <c r="F23" s="35"/>
      <c r="G23" s="36"/>
      <c r="H23" s="37"/>
      <c r="I23" s="34"/>
      <c r="J23" s="35"/>
      <c r="K23" s="36"/>
      <c r="L23" s="37"/>
      <c r="M23" s="34"/>
      <c r="N23" s="35"/>
      <c r="O23" s="36"/>
      <c r="P23" s="37"/>
      <c r="Q23" s="38"/>
      <c r="R23" s="33"/>
    </row>
    <row r="24" spans="1:18" ht="14.25" x14ac:dyDescent="0.15">
      <c r="A24" s="26"/>
      <c r="B24" s="160"/>
      <c r="C24" s="161"/>
      <c r="D24" s="57"/>
      <c r="E24" s="34"/>
      <c r="F24" s="35"/>
      <c r="G24" s="36"/>
      <c r="H24" s="37"/>
      <c r="I24" s="34"/>
      <c r="J24" s="35"/>
      <c r="K24" s="36"/>
      <c r="L24" s="37"/>
      <c r="M24" s="34"/>
      <c r="N24" s="35"/>
      <c r="O24" s="36"/>
      <c r="P24" s="37"/>
      <c r="Q24" s="38"/>
      <c r="R24" s="33"/>
    </row>
    <row r="25" spans="1:18" ht="14.25" x14ac:dyDescent="0.15">
      <c r="A25" s="26"/>
      <c r="B25" s="160"/>
      <c r="C25" s="161"/>
      <c r="D25" s="57"/>
      <c r="E25" s="34"/>
      <c r="F25" s="35"/>
      <c r="G25" s="36"/>
      <c r="H25" s="37"/>
      <c r="I25" s="34"/>
      <c r="J25" s="35"/>
      <c r="K25" s="36"/>
      <c r="L25" s="37"/>
      <c r="M25" s="34"/>
      <c r="N25" s="35"/>
      <c r="O25" s="36"/>
      <c r="P25" s="37"/>
      <c r="Q25" s="38"/>
      <c r="R25" s="33"/>
    </row>
    <row r="26" spans="1:18" ht="14.25" x14ac:dyDescent="0.15">
      <c r="A26" s="26"/>
      <c r="B26" s="160"/>
      <c r="C26" s="161"/>
      <c r="D26" s="57"/>
      <c r="E26" s="34"/>
      <c r="F26" s="35"/>
      <c r="G26" s="36"/>
      <c r="H26" s="37"/>
      <c r="I26" s="34"/>
      <c r="J26" s="35"/>
      <c r="K26" s="36"/>
      <c r="L26" s="37"/>
      <c r="M26" s="34"/>
      <c r="N26" s="35"/>
      <c r="O26" s="36"/>
      <c r="P26" s="37"/>
      <c r="Q26" s="38"/>
      <c r="R26" s="33"/>
    </row>
    <row r="27" spans="1:18" ht="15" thickBot="1" x14ac:dyDescent="0.2">
      <c r="A27" s="26"/>
      <c r="B27" s="162"/>
      <c r="C27" s="163"/>
      <c r="D27" s="27"/>
      <c r="E27" s="28"/>
      <c r="F27" s="29"/>
      <c r="G27" s="30"/>
      <c r="H27" s="31"/>
      <c r="I27" s="28"/>
      <c r="J27" s="29"/>
      <c r="K27" s="30"/>
      <c r="L27" s="31"/>
      <c r="M27" s="28"/>
      <c r="N27" s="29"/>
      <c r="O27" s="30"/>
      <c r="P27" s="31"/>
      <c r="Q27" s="39"/>
      <c r="R27" s="33"/>
    </row>
    <row r="28" spans="1:18" ht="15" thickTop="1" x14ac:dyDescent="0.15">
      <c r="A28" s="26"/>
      <c r="B28" s="158" t="s">
        <v>94</v>
      </c>
      <c r="C28" s="159"/>
      <c r="D28" s="40">
        <f t="shared" ref="D28:Q28" si="2">SUM(D8:D27)</f>
        <v>7445</v>
      </c>
      <c r="E28" s="41">
        <f t="shared" si="2"/>
        <v>370</v>
      </c>
      <c r="F28" s="42">
        <f t="shared" si="2"/>
        <v>345</v>
      </c>
      <c r="G28" s="43">
        <f t="shared" si="2"/>
        <v>0</v>
      </c>
      <c r="H28" s="44">
        <f t="shared" si="2"/>
        <v>0</v>
      </c>
      <c r="I28" s="41">
        <f t="shared" si="2"/>
        <v>0</v>
      </c>
      <c r="J28" s="42">
        <f t="shared" si="2"/>
        <v>0</v>
      </c>
      <c r="K28" s="43">
        <f t="shared" si="2"/>
        <v>0</v>
      </c>
      <c r="L28" s="44">
        <f t="shared" si="2"/>
        <v>0</v>
      </c>
      <c r="M28" s="41">
        <f t="shared" si="2"/>
        <v>0</v>
      </c>
      <c r="N28" s="42">
        <f t="shared" si="2"/>
        <v>0</v>
      </c>
      <c r="O28" s="43">
        <f t="shared" si="2"/>
        <v>0</v>
      </c>
      <c r="P28" s="44">
        <f t="shared" si="2"/>
        <v>0</v>
      </c>
      <c r="Q28" s="45">
        <f t="shared" si="2"/>
        <v>370</v>
      </c>
      <c r="R28" s="46">
        <f t="shared" si="1"/>
        <v>4.969778374748153E-2</v>
      </c>
    </row>
    <row r="29" spans="1:18" ht="14.25" x14ac:dyDescent="0.15">
      <c r="A29" s="26"/>
      <c r="B29" s="26"/>
      <c r="C29" s="26"/>
      <c r="D29" s="53"/>
      <c r="E29" s="53"/>
      <c r="F29" s="53"/>
      <c r="G29" s="53"/>
      <c r="H29" s="53"/>
      <c r="I29" s="53"/>
      <c r="J29" s="53"/>
      <c r="K29" s="53"/>
      <c r="L29" s="53"/>
      <c r="M29" s="53"/>
      <c r="N29" s="53"/>
      <c r="O29" s="53"/>
      <c r="P29" s="53"/>
      <c r="Q29" s="53"/>
      <c r="R29" s="53"/>
    </row>
    <row r="30" spans="1:18" ht="38.25" customHeight="1" x14ac:dyDescent="0.15">
      <c r="B30" s="157" t="s">
        <v>194</v>
      </c>
      <c r="C30" s="157"/>
      <c r="D30" s="157"/>
      <c r="E30" s="157"/>
      <c r="F30" s="157"/>
      <c r="G30" s="157"/>
      <c r="H30" s="157"/>
      <c r="I30" s="157"/>
      <c r="J30" s="157"/>
      <c r="K30" s="157"/>
      <c r="L30" s="157"/>
      <c r="M30" s="157"/>
      <c r="N30" s="157"/>
      <c r="O30" s="157"/>
      <c r="P30" s="157"/>
      <c r="Q30" s="157"/>
      <c r="R30" s="157"/>
    </row>
  </sheetData>
  <mergeCells count="35">
    <mergeCell ref="B30:R30"/>
    <mergeCell ref="B28:C28"/>
    <mergeCell ref="B17:C17"/>
    <mergeCell ref="B18:C18"/>
    <mergeCell ref="B19:C19"/>
    <mergeCell ref="B20:C20"/>
    <mergeCell ref="B21:C21"/>
    <mergeCell ref="B22:C22"/>
    <mergeCell ref="B23:C23"/>
    <mergeCell ref="B24:C24"/>
    <mergeCell ref="B25:C25"/>
    <mergeCell ref="B26:C26"/>
    <mergeCell ref="B27:C27"/>
    <mergeCell ref="B16:C16"/>
    <mergeCell ref="O6:P6"/>
    <mergeCell ref="Q6:Q7"/>
    <mergeCell ref="R6:R7"/>
    <mergeCell ref="B8:C8"/>
    <mergeCell ref="B9:C9"/>
    <mergeCell ref="B10:C10"/>
    <mergeCell ref="B11:C11"/>
    <mergeCell ref="B12:C12"/>
    <mergeCell ref="B13:C13"/>
    <mergeCell ref="B14:C14"/>
    <mergeCell ref="B15:C15"/>
    <mergeCell ref="F1:R1"/>
    <mergeCell ref="K2:L2"/>
    <mergeCell ref="A4:R4"/>
    <mergeCell ref="B6:C7"/>
    <mergeCell ref="D6:D7"/>
    <mergeCell ref="E6:F6"/>
    <mergeCell ref="G6:H6"/>
    <mergeCell ref="I6:J6"/>
    <mergeCell ref="K6:L6"/>
    <mergeCell ref="M6:N6"/>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3577-EF8B-4E9D-BD81-A9745FDCD65E}">
  <sheetPr>
    <pageSetUpPr fitToPage="1"/>
  </sheetPr>
  <dimension ref="A1:N150"/>
  <sheetViews>
    <sheetView topLeftCell="A124" workbookViewId="0">
      <selection activeCell="E138" sqref="E138:G138"/>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14" ht="18.75" customHeight="1" x14ac:dyDescent="0.15">
      <c r="G1" s="71" t="s">
        <v>197</v>
      </c>
    </row>
    <row r="2" spans="1:14" ht="18.75" customHeight="1" x14ac:dyDescent="0.15">
      <c r="F2" s="71" t="s">
        <v>62</v>
      </c>
      <c r="G2" s="1" t="s">
        <v>4</v>
      </c>
    </row>
    <row r="3" spans="1:14" ht="18.75" customHeight="1" x14ac:dyDescent="0.15">
      <c r="A3" s="170" t="s">
        <v>95</v>
      </c>
      <c r="B3" s="170"/>
      <c r="C3" s="170"/>
      <c r="D3" s="170"/>
      <c r="E3" s="170"/>
      <c r="F3" s="170"/>
      <c r="G3" s="170"/>
    </row>
    <row r="4" spans="1:14" ht="18.75" customHeight="1" x14ac:dyDescent="0.15">
      <c r="A4" s="1" t="s">
        <v>2</v>
      </c>
      <c r="B4" s="1" t="s">
        <v>96</v>
      </c>
    </row>
    <row r="5" spans="1:14" s="72" customFormat="1" ht="18.75" customHeight="1" x14ac:dyDescent="0.15">
      <c r="B5" s="75" t="s">
        <v>97</v>
      </c>
      <c r="C5" s="164" t="s">
        <v>98</v>
      </c>
      <c r="D5" s="165"/>
      <c r="E5" s="165"/>
      <c r="F5" s="165"/>
      <c r="G5" s="166"/>
    </row>
    <row r="6" spans="1:14" s="72" customFormat="1" ht="45" customHeight="1" x14ac:dyDescent="0.15">
      <c r="B6" s="171" t="s">
        <v>99</v>
      </c>
      <c r="C6" s="173" t="s">
        <v>174</v>
      </c>
      <c r="D6" s="174"/>
      <c r="E6" s="174"/>
      <c r="F6" s="174"/>
      <c r="G6" s="175"/>
      <c r="N6" s="54"/>
    </row>
    <row r="7" spans="1:14" s="72" customFormat="1" ht="45" customHeight="1" x14ac:dyDescent="0.15">
      <c r="B7" s="172"/>
      <c r="C7" s="176"/>
      <c r="D7" s="177"/>
      <c r="E7" s="177"/>
      <c r="F7" s="177"/>
      <c r="G7" s="178"/>
    </row>
    <row r="8" spans="1:14" s="72" customFormat="1" ht="45" customHeight="1" x14ac:dyDescent="0.15">
      <c r="B8" s="172"/>
      <c r="C8" s="176"/>
      <c r="D8" s="177"/>
      <c r="E8" s="177"/>
      <c r="F8" s="177"/>
      <c r="G8" s="178"/>
    </row>
    <row r="9" spans="1:14" s="72" customFormat="1" ht="45" customHeight="1" x14ac:dyDescent="0.15">
      <c r="B9" s="172"/>
      <c r="C9" s="179"/>
      <c r="D9" s="180"/>
      <c r="E9" s="180"/>
      <c r="F9" s="180"/>
      <c r="G9" s="181"/>
    </row>
    <row r="10" spans="1:14" s="72" customFormat="1" ht="18.75" customHeight="1" x14ac:dyDescent="0.15">
      <c r="B10" s="172"/>
      <c r="C10" s="24" t="s">
        <v>100</v>
      </c>
      <c r="D10" s="182" t="s">
        <v>101</v>
      </c>
      <c r="E10" s="183"/>
      <c r="F10" s="183"/>
      <c r="G10" s="184"/>
    </row>
    <row r="11" spans="1:14" s="72" customFormat="1" ht="18.75" customHeight="1" x14ac:dyDescent="0.15">
      <c r="B11" s="172"/>
      <c r="C11" s="47" t="s">
        <v>69</v>
      </c>
      <c r="D11" s="103" t="s">
        <v>102</v>
      </c>
      <c r="E11" s="104"/>
      <c r="F11" s="104"/>
      <c r="G11" s="105"/>
    </row>
    <row r="12" spans="1:14" s="72" customFormat="1" ht="18.75" customHeight="1" x14ac:dyDescent="0.15">
      <c r="B12" s="172"/>
      <c r="C12" s="47" t="s">
        <v>71</v>
      </c>
      <c r="D12" s="103" t="s">
        <v>103</v>
      </c>
      <c r="E12" s="104"/>
      <c r="F12" s="104"/>
      <c r="G12" s="105"/>
    </row>
    <row r="13" spans="1:14" s="72" customFormat="1" ht="18.75" customHeight="1" x14ac:dyDescent="0.15">
      <c r="B13" s="172"/>
      <c r="C13" s="47"/>
      <c r="D13" s="167"/>
      <c r="E13" s="168"/>
      <c r="F13" s="168"/>
      <c r="G13" s="169"/>
    </row>
    <row r="14" spans="1:14" s="72" customFormat="1" ht="18.75" customHeight="1" x14ac:dyDescent="0.15">
      <c r="B14" s="172"/>
      <c r="C14" s="73"/>
      <c r="D14" s="167"/>
      <c r="E14" s="168"/>
      <c r="F14" s="168"/>
      <c r="G14" s="169"/>
    </row>
    <row r="15" spans="1:14" s="72" customFormat="1" ht="18.75" customHeight="1" x14ac:dyDescent="0.15">
      <c r="B15" s="172"/>
      <c r="C15" s="75"/>
      <c r="D15" s="164"/>
      <c r="E15" s="165"/>
      <c r="F15" s="165"/>
      <c r="G15" s="166"/>
    </row>
    <row r="16" spans="1:14" s="72" customFormat="1" ht="18.75" customHeight="1" x14ac:dyDescent="0.15">
      <c r="B16" s="172"/>
      <c r="C16" s="75"/>
      <c r="D16" s="164"/>
      <c r="E16" s="165"/>
      <c r="F16" s="165"/>
      <c r="G16" s="166"/>
    </row>
    <row r="17" spans="2:7" s="72" customFormat="1" ht="18.75" customHeight="1" x14ac:dyDescent="0.15">
      <c r="B17" s="172"/>
      <c r="C17" s="75"/>
      <c r="D17" s="164"/>
      <c r="E17" s="165"/>
      <c r="F17" s="165"/>
      <c r="G17" s="166"/>
    </row>
    <row r="18" spans="2:7" s="72" customFormat="1" ht="18.75" customHeight="1" x14ac:dyDescent="0.15">
      <c r="B18" s="172"/>
      <c r="C18" s="47"/>
      <c r="D18" s="167"/>
      <c r="E18" s="168"/>
      <c r="F18" s="168"/>
      <c r="G18" s="169"/>
    </row>
    <row r="19" spans="2:7" s="72" customFormat="1" ht="18.75" customHeight="1" x14ac:dyDescent="0.15">
      <c r="B19" s="172"/>
      <c r="C19" s="73"/>
      <c r="D19" s="167"/>
      <c r="E19" s="168"/>
      <c r="F19" s="168"/>
      <c r="G19" s="169"/>
    </row>
    <row r="20" spans="2:7" s="72" customFormat="1" ht="18.75" customHeight="1" x14ac:dyDescent="0.15">
      <c r="B20" s="172"/>
      <c r="C20" s="73"/>
      <c r="D20" s="167"/>
      <c r="E20" s="168"/>
      <c r="F20" s="168"/>
      <c r="G20" s="169"/>
    </row>
    <row r="21" spans="2:7" s="72" customFormat="1" ht="18.75" customHeight="1" x14ac:dyDescent="0.15">
      <c r="B21" s="172"/>
      <c r="C21" s="73"/>
      <c r="D21" s="167"/>
      <c r="E21" s="168"/>
      <c r="F21" s="168"/>
      <c r="G21" s="169"/>
    </row>
    <row r="22" spans="2:7" s="72" customFormat="1" ht="18.75" customHeight="1" x14ac:dyDescent="0.15">
      <c r="B22" s="172"/>
      <c r="C22" s="75"/>
      <c r="D22" s="164"/>
      <c r="E22" s="165"/>
      <c r="F22" s="165"/>
      <c r="G22" s="166"/>
    </row>
    <row r="23" spans="2:7" s="72" customFormat="1" ht="18.75" customHeight="1" x14ac:dyDescent="0.15">
      <c r="B23" s="172"/>
      <c r="C23" s="75"/>
      <c r="D23" s="164"/>
      <c r="E23" s="165"/>
      <c r="F23" s="165"/>
      <c r="G23" s="166"/>
    </row>
    <row r="24" spans="2:7" s="72" customFormat="1" ht="18.75" customHeight="1" x14ac:dyDescent="0.15">
      <c r="B24" s="172"/>
      <c r="C24" s="75"/>
      <c r="D24" s="164"/>
      <c r="E24" s="165"/>
      <c r="F24" s="165"/>
      <c r="G24" s="166"/>
    </row>
    <row r="25" spans="2:7" s="72" customFormat="1" ht="18.75" customHeight="1" x14ac:dyDescent="0.15">
      <c r="B25" s="172"/>
      <c r="C25" s="75"/>
      <c r="D25" s="164"/>
      <c r="E25" s="165"/>
      <c r="F25" s="165"/>
      <c r="G25" s="166"/>
    </row>
    <row r="26" spans="2:7" ht="18.75" customHeight="1" x14ac:dyDescent="0.15">
      <c r="B26" s="171" t="s">
        <v>104</v>
      </c>
      <c r="C26" s="164" t="s">
        <v>98</v>
      </c>
      <c r="D26" s="165"/>
      <c r="E26" s="165"/>
      <c r="F26" s="165"/>
      <c r="G26" s="166"/>
    </row>
    <row r="27" spans="2:7" ht="37.5" customHeight="1" x14ac:dyDescent="0.15">
      <c r="B27" s="172"/>
      <c r="C27" s="186" t="s">
        <v>175</v>
      </c>
      <c r="D27" s="187"/>
      <c r="E27" s="187"/>
      <c r="F27" s="187"/>
      <c r="G27" s="188"/>
    </row>
    <row r="28" spans="2:7" ht="37.5" customHeight="1" x14ac:dyDescent="0.15">
      <c r="B28" s="172"/>
      <c r="C28" s="189"/>
      <c r="D28" s="190"/>
      <c r="E28" s="190"/>
      <c r="F28" s="190"/>
      <c r="G28" s="191"/>
    </row>
    <row r="29" spans="2:7" ht="37.5" customHeight="1" x14ac:dyDescent="0.15">
      <c r="B29" s="172"/>
      <c r="C29" s="189"/>
      <c r="D29" s="190"/>
      <c r="E29" s="190"/>
      <c r="F29" s="190"/>
      <c r="G29" s="191"/>
    </row>
    <row r="30" spans="2:7" ht="37.5" customHeight="1" x14ac:dyDescent="0.15">
      <c r="B30" s="172"/>
      <c r="C30" s="189"/>
      <c r="D30" s="190"/>
      <c r="E30" s="190"/>
      <c r="F30" s="190"/>
      <c r="G30" s="191"/>
    </row>
    <row r="31" spans="2:7" ht="37.5" customHeight="1" x14ac:dyDescent="0.15">
      <c r="B31" s="172"/>
      <c r="C31" s="192"/>
      <c r="D31" s="193"/>
      <c r="E31" s="193"/>
      <c r="F31" s="193"/>
      <c r="G31" s="194"/>
    </row>
    <row r="32" spans="2:7" ht="18.75" customHeight="1" x14ac:dyDescent="0.15">
      <c r="B32" s="172"/>
      <c r="C32" s="24" t="s">
        <v>100</v>
      </c>
      <c r="D32" s="164" t="s">
        <v>101</v>
      </c>
      <c r="E32" s="165"/>
      <c r="F32" s="165"/>
      <c r="G32" s="166"/>
    </row>
    <row r="33" spans="2:7" ht="18.75" customHeight="1" x14ac:dyDescent="0.15">
      <c r="B33" s="172"/>
      <c r="C33" s="74" t="s">
        <v>69</v>
      </c>
      <c r="D33" s="167" t="s">
        <v>105</v>
      </c>
      <c r="E33" s="168"/>
      <c r="F33" s="168"/>
      <c r="G33" s="169"/>
    </row>
    <row r="34" spans="2:7" ht="18.75" customHeight="1" x14ac:dyDescent="0.15">
      <c r="B34" s="172"/>
      <c r="C34" s="73" t="s">
        <v>71</v>
      </c>
      <c r="D34" s="103" t="s">
        <v>103</v>
      </c>
      <c r="E34" s="104"/>
      <c r="F34" s="104"/>
      <c r="G34" s="105"/>
    </row>
    <row r="35" spans="2:7" ht="18.75" customHeight="1" x14ac:dyDescent="0.15">
      <c r="B35" s="172"/>
      <c r="C35" s="73"/>
      <c r="D35" s="167"/>
      <c r="E35" s="168"/>
      <c r="F35" s="168"/>
      <c r="G35" s="169"/>
    </row>
    <row r="36" spans="2:7" ht="18.75" customHeight="1" x14ac:dyDescent="0.15">
      <c r="B36" s="172"/>
      <c r="C36" s="73"/>
      <c r="D36" s="167"/>
      <c r="E36" s="168"/>
      <c r="F36" s="168"/>
      <c r="G36" s="169"/>
    </row>
    <row r="37" spans="2:7" ht="18.75" customHeight="1" x14ac:dyDescent="0.15">
      <c r="B37" s="172"/>
      <c r="C37" s="75"/>
      <c r="D37" s="167"/>
      <c r="E37" s="168"/>
      <c r="F37" s="168"/>
      <c r="G37" s="169"/>
    </row>
    <row r="38" spans="2:7" ht="18.75" customHeight="1" x14ac:dyDescent="0.15">
      <c r="B38" s="172"/>
      <c r="C38" s="75"/>
      <c r="D38" s="167"/>
      <c r="E38" s="168"/>
      <c r="F38" s="168"/>
      <c r="G38" s="169"/>
    </row>
    <row r="39" spans="2:7" ht="18.75" customHeight="1" x14ac:dyDescent="0.15">
      <c r="B39" s="172"/>
      <c r="C39" s="75"/>
      <c r="D39" s="167"/>
      <c r="E39" s="168"/>
      <c r="F39" s="168"/>
      <c r="G39" s="169"/>
    </row>
    <row r="40" spans="2:7" ht="18.75" customHeight="1" x14ac:dyDescent="0.15">
      <c r="B40" s="172"/>
      <c r="C40" s="75"/>
      <c r="D40" s="167"/>
      <c r="E40" s="168"/>
      <c r="F40" s="168"/>
      <c r="G40" s="169"/>
    </row>
    <row r="41" spans="2:7" ht="18.75" customHeight="1" x14ac:dyDescent="0.15">
      <c r="B41" s="172"/>
      <c r="C41" s="75"/>
      <c r="D41" s="167"/>
      <c r="E41" s="168"/>
      <c r="F41" s="168"/>
      <c r="G41" s="169"/>
    </row>
    <row r="42" spans="2:7" ht="18.75" customHeight="1" x14ac:dyDescent="0.15">
      <c r="B42" s="172"/>
      <c r="C42" s="73"/>
      <c r="D42" s="167"/>
      <c r="E42" s="168"/>
      <c r="F42" s="168"/>
      <c r="G42" s="169"/>
    </row>
    <row r="43" spans="2:7" ht="18.75" customHeight="1" x14ac:dyDescent="0.15">
      <c r="B43" s="172"/>
      <c r="C43" s="73"/>
      <c r="D43" s="167"/>
      <c r="E43" s="168"/>
      <c r="F43" s="168"/>
      <c r="G43" s="169"/>
    </row>
    <row r="44" spans="2:7" ht="18.75" customHeight="1" x14ac:dyDescent="0.15">
      <c r="B44" s="172"/>
      <c r="C44" s="73"/>
      <c r="D44" s="167"/>
      <c r="E44" s="168"/>
      <c r="F44" s="168"/>
      <c r="G44" s="169"/>
    </row>
    <row r="45" spans="2:7" ht="18.75" customHeight="1" x14ac:dyDescent="0.15">
      <c r="B45" s="172"/>
      <c r="C45" s="73"/>
      <c r="D45" s="167"/>
      <c r="E45" s="168"/>
      <c r="F45" s="168"/>
      <c r="G45" s="169"/>
    </row>
    <row r="46" spans="2:7" ht="18.75" customHeight="1" x14ac:dyDescent="0.15">
      <c r="B46" s="172"/>
      <c r="C46" s="75"/>
      <c r="D46" s="167"/>
      <c r="E46" s="168"/>
      <c r="F46" s="168"/>
      <c r="G46" s="169"/>
    </row>
    <row r="47" spans="2:7" ht="18.75" customHeight="1" x14ac:dyDescent="0.15">
      <c r="B47" s="172"/>
      <c r="C47" s="75"/>
      <c r="D47" s="167"/>
      <c r="E47" s="168"/>
      <c r="F47" s="168"/>
      <c r="G47" s="169"/>
    </row>
    <row r="48" spans="2:7" ht="18.75" customHeight="1" x14ac:dyDescent="0.15">
      <c r="B48" s="172"/>
      <c r="C48" s="75"/>
      <c r="D48" s="167"/>
      <c r="E48" s="168"/>
      <c r="F48" s="168"/>
      <c r="G48" s="169"/>
    </row>
    <row r="49" spans="2:7" ht="18.75" customHeight="1" x14ac:dyDescent="0.15">
      <c r="B49" s="172"/>
      <c r="C49" s="75"/>
      <c r="D49" s="167"/>
      <c r="E49" s="168"/>
      <c r="F49" s="168"/>
      <c r="G49" s="169"/>
    </row>
    <row r="50" spans="2:7" ht="18.75" customHeight="1" x14ac:dyDescent="0.15">
      <c r="B50" s="185"/>
      <c r="C50" s="75"/>
      <c r="D50" s="167"/>
      <c r="E50" s="168"/>
      <c r="F50" s="168"/>
      <c r="G50" s="169"/>
    </row>
    <row r="51" spans="2:7" ht="18.75" customHeight="1" x14ac:dyDescent="0.15">
      <c r="B51" s="171" t="s">
        <v>106</v>
      </c>
      <c r="C51" s="164" t="s">
        <v>98</v>
      </c>
      <c r="D51" s="165"/>
      <c r="E51" s="165"/>
      <c r="F51" s="165"/>
      <c r="G51" s="166"/>
    </row>
    <row r="52" spans="2:7" ht="37.5" customHeight="1" x14ac:dyDescent="0.15">
      <c r="B52" s="172"/>
      <c r="C52" s="186" t="s">
        <v>176</v>
      </c>
      <c r="D52" s="195"/>
      <c r="E52" s="195"/>
      <c r="F52" s="195"/>
      <c r="G52" s="196"/>
    </row>
    <row r="53" spans="2:7" ht="37.5" customHeight="1" x14ac:dyDescent="0.15">
      <c r="B53" s="172"/>
      <c r="C53" s="197"/>
      <c r="D53" s="198"/>
      <c r="E53" s="198"/>
      <c r="F53" s="198"/>
      <c r="G53" s="199"/>
    </row>
    <row r="54" spans="2:7" ht="37.5" customHeight="1" x14ac:dyDescent="0.15">
      <c r="B54" s="172"/>
      <c r="C54" s="197"/>
      <c r="D54" s="198"/>
      <c r="E54" s="198"/>
      <c r="F54" s="198"/>
      <c r="G54" s="199"/>
    </row>
    <row r="55" spans="2:7" ht="37.5" customHeight="1" x14ac:dyDescent="0.15">
      <c r="B55" s="172"/>
      <c r="C55" s="197"/>
      <c r="D55" s="198"/>
      <c r="E55" s="198"/>
      <c r="F55" s="198"/>
      <c r="G55" s="199"/>
    </row>
    <row r="56" spans="2:7" ht="37.5" customHeight="1" x14ac:dyDescent="0.15">
      <c r="B56" s="172"/>
      <c r="C56" s="200"/>
      <c r="D56" s="201"/>
      <c r="E56" s="201"/>
      <c r="F56" s="201"/>
      <c r="G56" s="202"/>
    </row>
    <row r="57" spans="2:7" ht="18.75" customHeight="1" x14ac:dyDescent="0.15">
      <c r="B57" s="172"/>
      <c r="C57" s="24" t="s">
        <v>100</v>
      </c>
      <c r="D57" s="164" t="s">
        <v>101</v>
      </c>
      <c r="E57" s="165"/>
      <c r="F57" s="165"/>
      <c r="G57" s="166"/>
    </row>
    <row r="58" spans="2:7" ht="18.75" customHeight="1" x14ac:dyDescent="0.15">
      <c r="B58" s="172"/>
      <c r="C58" s="74" t="s">
        <v>107</v>
      </c>
      <c r="D58" s="167" t="s">
        <v>105</v>
      </c>
      <c r="E58" s="168"/>
      <c r="F58" s="168"/>
      <c r="G58" s="169"/>
    </row>
    <row r="59" spans="2:7" ht="18.75" customHeight="1" x14ac:dyDescent="0.15">
      <c r="B59" s="172"/>
      <c r="C59" s="74" t="s">
        <v>108</v>
      </c>
      <c r="D59" s="167" t="s">
        <v>109</v>
      </c>
      <c r="E59" s="168"/>
      <c r="F59" s="168"/>
      <c r="G59" s="169"/>
    </row>
    <row r="60" spans="2:7" ht="18.75" customHeight="1" x14ac:dyDescent="0.15">
      <c r="B60" s="172"/>
      <c r="C60" s="73" t="s">
        <v>71</v>
      </c>
      <c r="D60" s="167" t="s">
        <v>110</v>
      </c>
      <c r="E60" s="168"/>
      <c r="F60" s="168"/>
      <c r="G60" s="169"/>
    </row>
    <row r="61" spans="2:7" ht="18.75" customHeight="1" x14ac:dyDescent="0.15">
      <c r="B61" s="172"/>
      <c r="C61" s="73"/>
      <c r="D61" s="167"/>
      <c r="E61" s="168"/>
      <c r="F61" s="168"/>
      <c r="G61" s="169"/>
    </row>
    <row r="62" spans="2:7" ht="18.75" customHeight="1" x14ac:dyDescent="0.15">
      <c r="B62" s="172"/>
      <c r="C62" s="75"/>
      <c r="D62" s="167"/>
      <c r="E62" s="168"/>
      <c r="F62" s="168"/>
      <c r="G62" s="169"/>
    </row>
    <row r="63" spans="2:7" ht="18.75" customHeight="1" x14ac:dyDescent="0.15">
      <c r="B63" s="172"/>
      <c r="C63" s="75"/>
      <c r="D63" s="167"/>
      <c r="E63" s="168"/>
      <c r="F63" s="168"/>
      <c r="G63" s="169"/>
    </row>
    <row r="64" spans="2:7" ht="18.75" customHeight="1" x14ac:dyDescent="0.15">
      <c r="B64" s="172"/>
      <c r="C64" s="73"/>
      <c r="D64" s="167"/>
      <c r="E64" s="168"/>
      <c r="F64" s="168"/>
      <c r="G64" s="169"/>
    </row>
    <row r="65" spans="2:7" ht="18.75" customHeight="1" x14ac:dyDescent="0.15">
      <c r="B65" s="172"/>
      <c r="C65" s="73"/>
      <c r="D65" s="167"/>
      <c r="E65" s="168"/>
      <c r="F65" s="168"/>
      <c r="G65" s="169"/>
    </row>
    <row r="66" spans="2:7" ht="18.75" customHeight="1" x14ac:dyDescent="0.15">
      <c r="B66" s="172"/>
      <c r="C66" s="73"/>
      <c r="D66" s="167"/>
      <c r="E66" s="168"/>
      <c r="F66" s="168"/>
      <c r="G66" s="169"/>
    </row>
    <row r="67" spans="2:7" ht="18.75" customHeight="1" x14ac:dyDescent="0.15">
      <c r="B67" s="172"/>
      <c r="C67" s="73"/>
      <c r="D67" s="167"/>
      <c r="E67" s="168"/>
      <c r="F67" s="168"/>
      <c r="G67" s="169"/>
    </row>
    <row r="68" spans="2:7" ht="18.75" customHeight="1" x14ac:dyDescent="0.15">
      <c r="B68" s="172"/>
      <c r="C68" s="75"/>
      <c r="D68" s="167"/>
      <c r="E68" s="168"/>
      <c r="F68" s="168"/>
      <c r="G68" s="169"/>
    </row>
    <row r="69" spans="2:7" ht="18.75" customHeight="1" x14ac:dyDescent="0.15">
      <c r="B69" s="172"/>
      <c r="C69" s="75"/>
      <c r="D69" s="167"/>
      <c r="E69" s="168"/>
      <c r="F69" s="168"/>
      <c r="G69" s="169"/>
    </row>
    <row r="70" spans="2:7" ht="18.75" customHeight="1" x14ac:dyDescent="0.15">
      <c r="B70" s="172"/>
      <c r="C70" s="75"/>
      <c r="D70" s="167"/>
      <c r="E70" s="168"/>
      <c r="F70" s="168"/>
      <c r="G70" s="169"/>
    </row>
    <row r="71" spans="2:7" ht="18.75" customHeight="1" x14ac:dyDescent="0.15">
      <c r="B71" s="172"/>
      <c r="C71" s="75"/>
      <c r="D71" s="167"/>
      <c r="E71" s="168"/>
      <c r="F71" s="168"/>
      <c r="G71" s="169"/>
    </row>
    <row r="72" spans="2:7" ht="18.75" customHeight="1" x14ac:dyDescent="0.15">
      <c r="B72" s="172"/>
      <c r="C72" s="75"/>
      <c r="D72" s="167"/>
      <c r="E72" s="168"/>
      <c r="F72" s="168"/>
      <c r="G72" s="169"/>
    </row>
    <row r="73" spans="2:7" ht="18.75" customHeight="1" x14ac:dyDescent="0.15">
      <c r="B73" s="172"/>
      <c r="C73" s="75"/>
      <c r="D73" s="167"/>
      <c r="E73" s="168"/>
      <c r="F73" s="168"/>
      <c r="G73" s="169"/>
    </row>
    <row r="74" spans="2:7" ht="18.75" customHeight="1" x14ac:dyDescent="0.15">
      <c r="B74" s="172"/>
      <c r="C74" s="75"/>
      <c r="D74" s="167"/>
      <c r="E74" s="168"/>
      <c r="F74" s="168"/>
      <c r="G74" s="169"/>
    </row>
    <row r="75" spans="2:7" ht="18.75" customHeight="1" x14ac:dyDescent="0.15">
      <c r="B75" s="172"/>
      <c r="C75" s="75"/>
      <c r="D75" s="167"/>
      <c r="E75" s="168"/>
      <c r="F75" s="168"/>
      <c r="G75" s="169"/>
    </row>
    <row r="76" spans="2:7" ht="18.75" customHeight="1" x14ac:dyDescent="0.15">
      <c r="B76" s="171" t="s">
        <v>111</v>
      </c>
      <c r="C76" s="164" t="s">
        <v>98</v>
      </c>
      <c r="D76" s="165"/>
      <c r="E76" s="165"/>
      <c r="F76" s="165"/>
      <c r="G76" s="166"/>
    </row>
    <row r="77" spans="2:7" ht="37.5" customHeight="1" x14ac:dyDescent="0.15">
      <c r="B77" s="172"/>
      <c r="C77" s="203" t="s">
        <v>177</v>
      </c>
      <c r="D77" s="204"/>
      <c r="E77" s="204"/>
      <c r="F77" s="204"/>
      <c r="G77" s="205"/>
    </row>
    <row r="78" spans="2:7" ht="37.5" customHeight="1" x14ac:dyDescent="0.15">
      <c r="B78" s="172"/>
      <c r="C78" s="206"/>
      <c r="D78" s="207"/>
      <c r="E78" s="207"/>
      <c r="F78" s="207"/>
      <c r="G78" s="208"/>
    </row>
    <row r="79" spans="2:7" ht="37.5" customHeight="1" x14ac:dyDescent="0.15">
      <c r="B79" s="172"/>
      <c r="C79" s="206"/>
      <c r="D79" s="207"/>
      <c r="E79" s="207"/>
      <c r="F79" s="207"/>
      <c r="G79" s="208"/>
    </row>
    <row r="80" spans="2:7" ht="37.5" customHeight="1" x14ac:dyDescent="0.15">
      <c r="B80" s="172"/>
      <c r="C80" s="206"/>
      <c r="D80" s="207"/>
      <c r="E80" s="207"/>
      <c r="F80" s="207"/>
      <c r="G80" s="208"/>
    </row>
    <row r="81" spans="2:7" ht="37.5" customHeight="1" x14ac:dyDescent="0.15">
      <c r="B81" s="172"/>
      <c r="C81" s="209"/>
      <c r="D81" s="210"/>
      <c r="E81" s="210"/>
      <c r="F81" s="210"/>
      <c r="G81" s="211"/>
    </row>
    <row r="82" spans="2:7" ht="18.75" customHeight="1" x14ac:dyDescent="0.15">
      <c r="B82" s="172"/>
      <c r="C82" s="24" t="s">
        <v>100</v>
      </c>
      <c r="D82" s="164" t="s">
        <v>101</v>
      </c>
      <c r="E82" s="165"/>
      <c r="F82" s="165"/>
      <c r="G82" s="166"/>
    </row>
    <row r="83" spans="2:7" ht="18.75" customHeight="1" x14ac:dyDescent="0.15">
      <c r="B83" s="172"/>
      <c r="C83" s="74" t="s">
        <v>69</v>
      </c>
      <c r="D83" s="167" t="s">
        <v>112</v>
      </c>
      <c r="E83" s="168"/>
      <c r="F83" s="168"/>
      <c r="G83" s="169"/>
    </row>
    <row r="84" spans="2:7" ht="18.75" customHeight="1" x14ac:dyDescent="0.15">
      <c r="B84" s="172"/>
      <c r="C84" s="47" t="s">
        <v>113</v>
      </c>
      <c r="D84" s="103" t="s">
        <v>103</v>
      </c>
      <c r="E84" s="104"/>
      <c r="F84" s="104"/>
      <c r="G84" s="105"/>
    </row>
    <row r="85" spans="2:7" ht="18.75" customHeight="1" x14ac:dyDescent="0.15">
      <c r="B85" s="172"/>
      <c r="C85" s="75"/>
      <c r="D85" s="167"/>
      <c r="E85" s="168"/>
      <c r="F85" s="168"/>
      <c r="G85" s="169"/>
    </row>
    <row r="86" spans="2:7" ht="18.75" customHeight="1" x14ac:dyDescent="0.15">
      <c r="B86" s="172"/>
      <c r="C86" s="47"/>
      <c r="D86" s="167"/>
      <c r="E86" s="168"/>
      <c r="F86" s="168"/>
      <c r="G86" s="169"/>
    </row>
    <row r="87" spans="2:7" ht="18.75" customHeight="1" x14ac:dyDescent="0.15">
      <c r="B87" s="172"/>
      <c r="C87" s="75"/>
      <c r="D87" s="167"/>
      <c r="E87" s="168"/>
      <c r="F87" s="168"/>
      <c r="G87" s="169"/>
    </row>
    <row r="88" spans="2:7" ht="18.75" customHeight="1" x14ac:dyDescent="0.15">
      <c r="B88" s="172"/>
      <c r="C88" s="75"/>
      <c r="D88" s="167"/>
      <c r="E88" s="168"/>
      <c r="F88" s="168"/>
      <c r="G88" s="169"/>
    </row>
    <row r="89" spans="2:7" ht="18.75" customHeight="1" x14ac:dyDescent="0.15">
      <c r="B89" s="172"/>
      <c r="C89" s="75"/>
      <c r="D89" s="167"/>
      <c r="E89" s="168"/>
      <c r="F89" s="168"/>
      <c r="G89" s="169"/>
    </row>
    <row r="90" spans="2:7" ht="18.75" customHeight="1" x14ac:dyDescent="0.15">
      <c r="B90" s="172"/>
      <c r="C90" s="75"/>
      <c r="D90" s="167"/>
      <c r="E90" s="168"/>
      <c r="F90" s="168"/>
      <c r="G90" s="169"/>
    </row>
    <row r="91" spans="2:7" ht="18.75" customHeight="1" x14ac:dyDescent="0.15">
      <c r="B91" s="172"/>
      <c r="C91" s="75"/>
      <c r="D91" s="167"/>
      <c r="E91" s="168"/>
      <c r="F91" s="168"/>
      <c r="G91" s="169"/>
    </row>
    <row r="92" spans="2:7" ht="18.75" customHeight="1" x14ac:dyDescent="0.15">
      <c r="B92" s="172"/>
      <c r="C92" s="75"/>
      <c r="D92" s="167"/>
      <c r="E92" s="168"/>
      <c r="F92" s="168"/>
      <c r="G92" s="169"/>
    </row>
    <row r="93" spans="2:7" ht="18.75" customHeight="1" x14ac:dyDescent="0.15">
      <c r="B93" s="172"/>
      <c r="C93" s="47"/>
      <c r="D93" s="167"/>
      <c r="E93" s="168"/>
      <c r="F93" s="168"/>
      <c r="G93" s="169"/>
    </row>
    <row r="94" spans="2:7" ht="18.75" customHeight="1" x14ac:dyDescent="0.15">
      <c r="B94" s="172"/>
      <c r="C94" s="47"/>
      <c r="D94" s="167"/>
      <c r="E94" s="168"/>
      <c r="F94" s="168"/>
      <c r="G94" s="169"/>
    </row>
    <row r="95" spans="2:7" ht="18.75" customHeight="1" x14ac:dyDescent="0.15">
      <c r="B95" s="172"/>
      <c r="C95" s="47"/>
      <c r="D95" s="167"/>
      <c r="E95" s="168"/>
      <c r="F95" s="168"/>
      <c r="G95" s="169"/>
    </row>
    <row r="96" spans="2:7" ht="18.75" customHeight="1" x14ac:dyDescent="0.15">
      <c r="B96" s="172"/>
      <c r="C96" s="47"/>
      <c r="D96" s="167"/>
      <c r="E96" s="168"/>
      <c r="F96" s="168"/>
      <c r="G96" s="169"/>
    </row>
    <row r="97" spans="2:7" ht="18.75" customHeight="1" x14ac:dyDescent="0.15">
      <c r="B97" s="172"/>
      <c r="C97" s="75"/>
      <c r="D97" s="167"/>
      <c r="E97" s="168"/>
      <c r="F97" s="168"/>
      <c r="G97" s="169"/>
    </row>
    <row r="98" spans="2:7" ht="18.75" customHeight="1" x14ac:dyDescent="0.15">
      <c r="B98" s="172"/>
      <c r="C98" s="75"/>
      <c r="D98" s="167"/>
      <c r="E98" s="168"/>
      <c r="F98" s="168"/>
      <c r="G98" s="169"/>
    </row>
    <row r="99" spans="2:7" ht="18.75" customHeight="1" x14ac:dyDescent="0.15">
      <c r="B99" s="172"/>
      <c r="C99" s="75"/>
      <c r="D99" s="167"/>
      <c r="E99" s="168"/>
      <c r="F99" s="168"/>
      <c r="G99" s="169"/>
    </row>
    <row r="100" spans="2:7" ht="18.75" customHeight="1" x14ac:dyDescent="0.15">
      <c r="B100" s="172"/>
      <c r="C100" s="75"/>
      <c r="D100" s="167"/>
      <c r="E100" s="168"/>
      <c r="F100" s="168"/>
      <c r="G100" s="169"/>
    </row>
    <row r="101" spans="2:7" ht="18.75" customHeight="1" x14ac:dyDescent="0.15">
      <c r="B101" s="171" t="s">
        <v>114</v>
      </c>
      <c r="C101" s="164" t="s">
        <v>98</v>
      </c>
      <c r="D101" s="165"/>
      <c r="E101" s="165"/>
      <c r="F101" s="165"/>
      <c r="G101" s="166"/>
    </row>
    <row r="102" spans="2:7" ht="37.5" customHeight="1" x14ac:dyDescent="0.15">
      <c r="B102" s="172"/>
      <c r="C102" s="203" t="s">
        <v>178</v>
      </c>
      <c r="D102" s="204"/>
      <c r="E102" s="204"/>
      <c r="F102" s="204"/>
      <c r="G102" s="205"/>
    </row>
    <row r="103" spans="2:7" ht="37.5" customHeight="1" x14ac:dyDescent="0.15">
      <c r="B103" s="172"/>
      <c r="C103" s="206"/>
      <c r="D103" s="207"/>
      <c r="E103" s="207"/>
      <c r="F103" s="207"/>
      <c r="G103" s="208"/>
    </row>
    <row r="104" spans="2:7" ht="37.5" customHeight="1" x14ac:dyDescent="0.15">
      <c r="B104" s="172"/>
      <c r="C104" s="206"/>
      <c r="D104" s="207"/>
      <c r="E104" s="207"/>
      <c r="F104" s="207"/>
      <c r="G104" s="208"/>
    </row>
    <row r="105" spans="2:7" ht="37.5" customHeight="1" x14ac:dyDescent="0.15">
      <c r="B105" s="172"/>
      <c r="C105" s="206"/>
      <c r="D105" s="207"/>
      <c r="E105" s="207"/>
      <c r="F105" s="207"/>
      <c r="G105" s="208"/>
    </row>
    <row r="106" spans="2:7" ht="37.5" customHeight="1" x14ac:dyDescent="0.15">
      <c r="B106" s="172"/>
      <c r="C106" s="209"/>
      <c r="D106" s="210"/>
      <c r="E106" s="210"/>
      <c r="F106" s="210"/>
      <c r="G106" s="211"/>
    </row>
    <row r="107" spans="2:7" ht="18.75" customHeight="1" x14ac:dyDescent="0.15">
      <c r="B107" s="172"/>
      <c r="C107" s="24" t="s">
        <v>100</v>
      </c>
      <c r="D107" s="164" t="s">
        <v>101</v>
      </c>
      <c r="E107" s="165"/>
      <c r="F107" s="165"/>
      <c r="G107" s="166"/>
    </row>
    <row r="108" spans="2:7" ht="18.75" customHeight="1" x14ac:dyDescent="0.15">
      <c r="B108" s="172"/>
      <c r="C108" s="74" t="s">
        <v>107</v>
      </c>
      <c r="D108" s="167" t="s">
        <v>105</v>
      </c>
      <c r="E108" s="168"/>
      <c r="F108" s="168"/>
      <c r="G108" s="169"/>
    </row>
    <row r="109" spans="2:7" ht="18.75" customHeight="1" x14ac:dyDescent="0.15">
      <c r="B109" s="172"/>
      <c r="C109" s="74" t="s">
        <v>108</v>
      </c>
      <c r="D109" s="167" t="s">
        <v>109</v>
      </c>
      <c r="E109" s="168"/>
      <c r="F109" s="168"/>
      <c r="G109" s="169"/>
    </row>
    <row r="110" spans="2:7" ht="18.75" customHeight="1" x14ac:dyDescent="0.15">
      <c r="B110" s="172"/>
      <c r="C110" s="47" t="s">
        <v>71</v>
      </c>
      <c r="D110" s="167" t="s">
        <v>115</v>
      </c>
      <c r="E110" s="168"/>
      <c r="F110" s="168"/>
      <c r="G110" s="169"/>
    </row>
    <row r="111" spans="2:7" ht="18.75" customHeight="1" x14ac:dyDescent="0.15">
      <c r="B111" s="172"/>
      <c r="C111" s="47" t="s">
        <v>71</v>
      </c>
      <c r="D111" s="167" t="s">
        <v>116</v>
      </c>
      <c r="E111" s="168"/>
      <c r="F111" s="168"/>
      <c r="G111" s="169"/>
    </row>
    <row r="112" spans="2:7" ht="18.75" customHeight="1" x14ac:dyDescent="0.15">
      <c r="B112" s="172"/>
      <c r="C112" s="47" t="s">
        <v>71</v>
      </c>
      <c r="D112" s="167" t="s">
        <v>117</v>
      </c>
      <c r="E112" s="168"/>
      <c r="F112" s="168"/>
      <c r="G112" s="169"/>
    </row>
    <row r="113" spans="1:7" ht="18.75" customHeight="1" x14ac:dyDescent="0.15">
      <c r="B113" s="172"/>
      <c r="C113" s="75"/>
      <c r="D113" s="167"/>
      <c r="E113" s="168"/>
      <c r="F113" s="168"/>
      <c r="G113" s="169"/>
    </row>
    <row r="114" spans="1:7" ht="18.75" customHeight="1" x14ac:dyDescent="0.15">
      <c r="B114" s="172"/>
      <c r="C114" s="75"/>
      <c r="D114" s="167"/>
      <c r="E114" s="168"/>
      <c r="F114" s="168"/>
      <c r="G114" s="169"/>
    </row>
    <row r="115" spans="1:7" ht="18.75" customHeight="1" x14ac:dyDescent="0.15">
      <c r="B115" s="172"/>
      <c r="C115" s="47"/>
      <c r="D115" s="167"/>
      <c r="E115" s="168"/>
      <c r="F115" s="168"/>
      <c r="G115" s="169"/>
    </row>
    <row r="116" spans="1:7" ht="18.75" customHeight="1" x14ac:dyDescent="0.15">
      <c r="B116" s="172"/>
      <c r="C116" s="73"/>
      <c r="D116" s="167"/>
      <c r="E116" s="168"/>
      <c r="F116" s="168"/>
      <c r="G116" s="169"/>
    </row>
    <row r="117" spans="1:7" ht="18.75" customHeight="1" x14ac:dyDescent="0.15">
      <c r="B117" s="172"/>
      <c r="C117" s="73"/>
      <c r="D117" s="167"/>
      <c r="E117" s="168"/>
      <c r="F117" s="168"/>
      <c r="G117" s="169"/>
    </row>
    <row r="118" spans="1:7" ht="18.75" customHeight="1" x14ac:dyDescent="0.15">
      <c r="B118" s="172"/>
      <c r="C118" s="73"/>
      <c r="D118" s="167"/>
      <c r="E118" s="168"/>
      <c r="F118" s="168"/>
      <c r="G118" s="169"/>
    </row>
    <row r="119" spans="1:7" ht="18.75" customHeight="1" x14ac:dyDescent="0.15">
      <c r="B119" s="172"/>
      <c r="C119" s="73"/>
      <c r="D119" s="167"/>
      <c r="E119" s="168"/>
      <c r="F119" s="168"/>
      <c r="G119" s="169"/>
    </row>
    <row r="120" spans="1:7" ht="18.75" customHeight="1" x14ac:dyDescent="0.15">
      <c r="B120" s="172"/>
      <c r="C120" s="75"/>
      <c r="D120" s="167"/>
      <c r="E120" s="168"/>
      <c r="F120" s="168"/>
      <c r="G120" s="169"/>
    </row>
    <row r="121" spans="1:7" ht="18.75" customHeight="1" x14ac:dyDescent="0.15">
      <c r="B121" s="172"/>
      <c r="C121" s="75"/>
      <c r="D121" s="167"/>
      <c r="E121" s="168"/>
      <c r="F121" s="168"/>
      <c r="G121" s="169"/>
    </row>
    <row r="122" spans="1:7" ht="18.75" customHeight="1" x14ac:dyDescent="0.15">
      <c r="B122" s="172"/>
      <c r="C122" s="75"/>
      <c r="D122" s="167"/>
      <c r="E122" s="168"/>
      <c r="F122" s="168"/>
      <c r="G122" s="169"/>
    </row>
    <row r="123" spans="1:7" ht="18.75" customHeight="1" x14ac:dyDescent="0.15">
      <c r="B123" s="172"/>
      <c r="C123" s="75"/>
      <c r="D123" s="167"/>
      <c r="E123" s="168"/>
      <c r="F123" s="168"/>
      <c r="G123" s="169"/>
    </row>
    <row r="124" spans="1:7" ht="18.75" customHeight="1" x14ac:dyDescent="0.15">
      <c r="B124" s="172"/>
      <c r="C124" s="75"/>
      <c r="D124" s="167"/>
      <c r="E124" s="168"/>
      <c r="F124" s="168"/>
      <c r="G124" s="169"/>
    </row>
    <row r="125" spans="1:7" ht="18.75" customHeight="1" x14ac:dyDescent="0.15">
      <c r="B125" s="172"/>
      <c r="C125" s="75"/>
      <c r="D125" s="167"/>
      <c r="E125" s="168"/>
      <c r="F125" s="168"/>
      <c r="G125" s="169"/>
    </row>
    <row r="126" spans="1:7" ht="18.75" customHeight="1" x14ac:dyDescent="0.15">
      <c r="A126" s="1" t="s">
        <v>5</v>
      </c>
      <c r="B126" s="1" t="s">
        <v>118</v>
      </c>
    </row>
    <row r="127" spans="1:7" ht="22.5" customHeight="1" x14ac:dyDescent="0.15">
      <c r="B127" s="75" t="s">
        <v>97</v>
      </c>
      <c r="C127" s="164" t="s">
        <v>68</v>
      </c>
      <c r="D127" s="165"/>
      <c r="E127" s="165"/>
      <c r="F127" s="165"/>
      <c r="G127" s="166"/>
    </row>
    <row r="128" spans="1:7" ht="45" customHeight="1" x14ac:dyDescent="0.15">
      <c r="B128" s="25" t="s">
        <v>119</v>
      </c>
      <c r="C128" s="212"/>
      <c r="D128" s="213"/>
      <c r="E128" s="213"/>
      <c r="F128" s="213"/>
      <c r="G128" s="214"/>
    </row>
    <row r="129" spans="1:7" ht="45" customHeight="1" x14ac:dyDescent="0.15">
      <c r="B129" s="25" t="s">
        <v>120</v>
      </c>
      <c r="C129" s="212"/>
      <c r="D129" s="213"/>
      <c r="E129" s="213"/>
      <c r="F129" s="213"/>
      <c r="G129" s="214"/>
    </row>
    <row r="130" spans="1:7" ht="45" customHeight="1" x14ac:dyDescent="0.15">
      <c r="B130" s="25" t="s">
        <v>121</v>
      </c>
      <c r="C130" s="212"/>
      <c r="D130" s="213"/>
      <c r="E130" s="213"/>
      <c r="F130" s="213"/>
      <c r="G130" s="214"/>
    </row>
    <row r="131" spans="1:7" ht="45" customHeight="1" x14ac:dyDescent="0.15">
      <c r="B131" s="25" t="s">
        <v>122</v>
      </c>
      <c r="C131" s="212"/>
      <c r="D131" s="213"/>
      <c r="E131" s="213"/>
      <c r="F131" s="213"/>
      <c r="G131" s="214"/>
    </row>
    <row r="132" spans="1:7" ht="45" customHeight="1" x14ac:dyDescent="0.15">
      <c r="B132" s="25" t="s">
        <v>123</v>
      </c>
      <c r="C132" s="212"/>
      <c r="D132" s="213"/>
      <c r="E132" s="213"/>
      <c r="F132" s="213"/>
      <c r="G132" s="214"/>
    </row>
    <row r="133" spans="1:7" ht="45" customHeight="1" x14ac:dyDescent="0.15">
      <c r="B133" s="25" t="s">
        <v>124</v>
      </c>
      <c r="C133" s="212"/>
      <c r="D133" s="213"/>
      <c r="E133" s="213"/>
      <c r="F133" s="213"/>
      <c r="G133" s="214"/>
    </row>
    <row r="134" spans="1:7" ht="45" customHeight="1" x14ac:dyDescent="0.15">
      <c r="B134" s="25" t="s">
        <v>125</v>
      </c>
      <c r="C134" s="212"/>
      <c r="D134" s="213"/>
      <c r="E134" s="213"/>
      <c r="F134" s="213"/>
      <c r="G134" s="214"/>
    </row>
    <row r="135" spans="1:7" ht="45" customHeight="1" x14ac:dyDescent="0.15">
      <c r="B135" s="25" t="s">
        <v>126</v>
      </c>
      <c r="C135" s="212"/>
      <c r="D135" s="213"/>
      <c r="E135" s="213"/>
      <c r="F135" s="213"/>
      <c r="G135" s="214"/>
    </row>
    <row r="136" spans="1:7" ht="45" customHeight="1" x14ac:dyDescent="0.15">
      <c r="B136" s="25" t="s">
        <v>127</v>
      </c>
      <c r="C136" s="212"/>
      <c r="D136" s="213"/>
      <c r="E136" s="213"/>
      <c r="F136" s="213"/>
      <c r="G136" s="214"/>
    </row>
    <row r="137" spans="1:7" ht="7.5" customHeight="1" x14ac:dyDescent="0.15"/>
    <row r="138" spans="1:7" ht="18.75" customHeight="1" x14ac:dyDescent="0.15">
      <c r="A138" s="1" t="s">
        <v>8</v>
      </c>
      <c r="B138" s="8" t="s">
        <v>128</v>
      </c>
      <c r="C138" s="8"/>
      <c r="D138" s="8"/>
      <c r="E138" s="215" t="s">
        <v>198</v>
      </c>
      <c r="F138" s="216"/>
      <c r="G138" s="217"/>
    </row>
    <row r="139" spans="1:7" ht="7.5" customHeight="1" x14ac:dyDescent="0.15">
      <c r="B139" s="8"/>
      <c r="C139" s="8"/>
      <c r="D139" s="8"/>
      <c r="E139" s="8"/>
      <c r="F139" s="8"/>
      <c r="G139" s="8"/>
    </row>
    <row r="140" spans="1:7" ht="18.75" customHeight="1" x14ac:dyDescent="0.15">
      <c r="A140" s="1" t="s">
        <v>11</v>
      </c>
      <c r="B140" s="8" t="s">
        <v>129</v>
      </c>
      <c r="C140" s="8"/>
      <c r="D140" s="8"/>
      <c r="E140" s="8"/>
      <c r="F140" s="8"/>
      <c r="G140" s="8"/>
    </row>
    <row r="141" spans="1:7" ht="18.75" customHeight="1" x14ac:dyDescent="0.15">
      <c r="B141" s="129" t="s">
        <v>188</v>
      </c>
      <c r="C141" s="130"/>
      <c r="D141" s="130"/>
      <c r="E141" s="130"/>
      <c r="F141" s="130"/>
      <c r="G141" s="131"/>
    </row>
    <row r="142" spans="1:7" ht="18.75" customHeight="1" x14ac:dyDescent="0.15">
      <c r="B142" s="132"/>
      <c r="C142" s="133"/>
      <c r="D142" s="133"/>
      <c r="E142" s="133"/>
      <c r="F142" s="133"/>
      <c r="G142" s="134"/>
    </row>
    <row r="143" spans="1:7" ht="18.75" customHeight="1" x14ac:dyDescent="0.15">
      <c r="B143" s="132"/>
      <c r="C143" s="133"/>
      <c r="D143" s="133"/>
      <c r="E143" s="133"/>
      <c r="F143" s="133"/>
      <c r="G143" s="134"/>
    </row>
    <row r="144" spans="1:7" ht="18.75" customHeight="1" x14ac:dyDescent="0.15">
      <c r="B144" s="135"/>
      <c r="C144" s="136"/>
      <c r="D144" s="136"/>
      <c r="E144" s="136"/>
      <c r="F144" s="136"/>
      <c r="G144" s="137"/>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xr:uid="{D9ED2CDA-35D6-4FEE-8F12-EE2C1D766F36}"/>
  </hyperlinks>
  <printOptions horizontalCentered="1"/>
  <pageMargins left="0.78740157480314965" right="0.78740157480314965" top="0.59055118110236227" bottom="0.39370078740157483" header="0.31496062992125984" footer="0.31496062992125984"/>
  <pageSetup paperSize="9" scale="66" fitToHeight="0"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65E05-3F91-4CD5-B0F4-9CD6FCF774D5}">
  <dimension ref="A1:H147"/>
  <sheetViews>
    <sheetView showZeros="0" zoomScaleNormal="100" workbookViewId="0"/>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8" ht="18.75" customHeight="1" x14ac:dyDescent="0.15">
      <c r="E1" s="61" t="s">
        <v>130</v>
      </c>
    </row>
    <row r="2" spans="1:8" ht="18.75" customHeight="1" x14ac:dyDescent="0.15">
      <c r="B2" s="61" t="s">
        <v>131</v>
      </c>
      <c r="C2" s="61" t="s">
        <v>132</v>
      </c>
      <c r="D2" s="227" t="s">
        <v>4</v>
      </c>
      <c r="E2" s="227"/>
    </row>
    <row r="3" spans="1:8" ht="7.5" customHeight="1" x14ac:dyDescent="0.15">
      <c r="B3" s="61"/>
      <c r="C3" s="61"/>
      <c r="D3" s="63"/>
      <c r="E3" s="63"/>
    </row>
    <row r="4" spans="1:8" ht="18.75" customHeight="1" x14ac:dyDescent="0.15">
      <c r="B4" s="139" t="s">
        <v>133</v>
      </c>
      <c r="C4" s="139"/>
      <c r="D4" s="139"/>
      <c r="E4" s="139"/>
    </row>
    <row r="5" spans="1:8" ht="7.5" customHeight="1" x14ac:dyDescent="0.15">
      <c r="B5" s="62"/>
      <c r="C5" s="62"/>
      <c r="D5" s="62"/>
      <c r="E5" s="62"/>
    </row>
    <row r="6" spans="1:8" ht="18.75" customHeight="1" x14ac:dyDescent="0.15">
      <c r="A6" s="1" t="s">
        <v>2</v>
      </c>
      <c r="B6" s="4" t="s">
        <v>134</v>
      </c>
      <c r="C6" s="62"/>
      <c r="D6" s="62"/>
      <c r="E6" s="62"/>
    </row>
    <row r="7" spans="1:8" ht="18.75" customHeight="1" x14ac:dyDescent="0.15">
      <c r="A7" s="1"/>
      <c r="B7" s="228" t="s">
        <v>179</v>
      </c>
      <c r="C7" s="125"/>
      <c r="D7" s="125"/>
      <c r="E7" s="126"/>
      <c r="H7" s="55"/>
    </row>
    <row r="8" spans="1:8" ht="7.5" customHeight="1" x14ac:dyDescent="0.15">
      <c r="B8" s="62"/>
      <c r="C8" s="62"/>
      <c r="D8" s="62"/>
      <c r="E8" s="62"/>
    </row>
    <row r="9" spans="1:8" s="4" customFormat="1" ht="18.75" customHeight="1" x14ac:dyDescent="0.15">
      <c r="A9" s="1" t="s">
        <v>5</v>
      </c>
      <c r="B9" s="1" t="s">
        <v>135</v>
      </c>
      <c r="C9" s="1"/>
      <c r="D9" s="1"/>
      <c r="E9" s="1"/>
    </row>
    <row r="10" spans="1:8" s="4" customFormat="1" ht="18.75" customHeight="1" x14ac:dyDescent="0.15">
      <c r="A10" s="65"/>
      <c r="B10" s="229" t="s">
        <v>181</v>
      </c>
      <c r="C10" s="230"/>
      <c r="D10" s="230"/>
      <c r="E10" s="231"/>
    </row>
    <row r="11" spans="1:8" s="4" customFormat="1" ht="18.75" customHeight="1" x14ac:dyDescent="0.15">
      <c r="A11" s="65"/>
      <c r="B11" s="232"/>
      <c r="C11" s="233"/>
      <c r="D11" s="233"/>
      <c r="E11" s="234"/>
    </row>
    <row r="12" spans="1:8" s="4" customFormat="1" ht="18.75" customHeight="1" x14ac:dyDescent="0.15">
      <c r="A12" s="65"/>
      <c r="B12" s="232"/>
      <c r="C12" s="233"/>
      <c r="D12" s="233"/>
      <c r="E12" s="234"/>
    </row>
    <row r="13" spans="1:8" s="4" customFormat="1" ht="18.75" customHeight="1" x14ac:dyDescent="0.15">
      <c r="A13" s="65"/>
      <c r="B13" s="232"/>
      <c r="C13" s="233"/>
      <c r="D13" s="233"/>
      <c r="E13" s="234"/>
    </row>
    <row r="14" spans="1:8" s="4" customFormat="1" ht="18.75" customHeight="1" x14ac:dyDescent="0.15">
      <c r="A14" s="65"/>
      <c r="B14" s="235"/>
      <c r="C14" s="236"/>
      <c r="D14" s="236"/>
      <c r="E14" s="237"/>
    </row>
    <row r="15" spans="1:8" s="4" customFormat="1" ht="7.5" customHeight="1" x14ac:dyDescent="0.15">
      <c r="A15" s="65"/>
      <c r="B15" s="65"/>
      <c r="C15" s="65"/>
      <c r="D15" s="65"/>
      <c r="E15" s="65"/>
    </row>
    <row r="16" spans="1:8" s="4" customFormat="1" ht="18.75" customHeight="1" x14ac:dyDescent="0.15">
      <c r="A16" s="66" t="s">
        <v>8</v>
      </c>
      <c r="B16" s="66" t="s">
        <v>136</v>
      </c>
      <c r="C16" s="66"/>
      <c r="D16" s="66"/>
      <c r="E16" s="66"/>
    </row>
    <row r="17" spans="1:6" s="4" customFormat="1" ht="18.75" customHeight="1" x14ac:dyDescent="0.15">
      <c r="A17" s="65"/>
      <c r="B17" s="229" t="s">
        <v>180</v>
      </c>
      <c r="C17" s="238"/>
      <c r="D17" s="238"/>
      <c r="E17" s="239"/>
      <c r="F17" s="4" t="s">
        <v>137</v>
      </c>
    </row>
    <row r="18" spans="1:6" s="4" customFormat="1" ht="18.75" customHeight="1" x14ac:dyDescent="0.15">
      <c r="A18" s="65"/>
      <c r="B18" s="240"/>
      <c r="C18" s="241"/>
      <c r="D18" s="241"/>
      <c r="E18" s="242"/>
    </row>
    <row r="19" spans="1:6" s="4" customFormat="1" ht="18.75" customHeight="1" x14ac:dyDescent="0.15">
      <c r="A19" s="65"/>
      <c r="B19" s="240"/>
      <c r="C19" s="241"/>
      <c r="D19" s="241"/>
      <c r="E19" s="242"/>
    </row>
    <row r="20" spans="1:6" s="4" customFormat="1" ht="18.75" customHeight="1" x14ac:dyDescent="0.15">
      <c r="A20" s="65"/>
      <c r="B20" s="240"/>
      <c r="C20" s="241"/>
      <c r="D20" s="241"/>
      <c r="E20" s="242"/>
    </row>
    <row r="21" spans="1:6" s="4" customFormat="1" ht="18.75" customHeight="1" x14ac:dyDescent="0.15">
      <c r="A21" s="65"/>
      <c r="B21" s="240"/>
      <c r="C21" s="241"/>
      <c r="D21" s="241"/>
      <c r="E21" s="242"/>
    </row>
    <row r="22" spans="1:6" s="4" customFormat="1" ht="18.75" customHeight="1" x14ac:dyDescent="0.15">
      <c r="A22" s="65"/>
      <c r="B22" s="240"/>
      <c r="C22" s="241"/>
      <c r="D22" s="241"/>
      <c r="E22" s="242"/>
    </row>
    <row r="23" spans="1:6" s="4" customFormat="1" ht="18.75" customHeight="1" x14ac:dyDescent="0.15">
      <c r="A23" s="65"/>
      <c r="B23" s="240"/>
      <c r="C23" s="241"/>
      <c r="D23" s="241"/>
      <c r="E23" s="242"/>
    </row>
    <row r="24" spans="1:6" s="4" customFormat="1" ht="18.75" customHeight="1" x14ac:dyDescent="0.15">
      <c r="A24" s="65"/>
      <c r="B24" s="240"/>
      <c r="C24" s="241"/>
      <c r="D24" s="241"/>
      <c r="E24" s="242"/>
    </row>
    <row r="25" spans="1:6" s="4" customFormat="1" ht="18.75" customHeight="1" x14ac:dyDescent="0.15">
      <c r="A25" s="65"/>
      <c r="B25" s="240"/>
      <c r="C25" s="241"/>
      <c r="D25" s="241"/>
      <c r="E25" s="242"/>
    </row>
    <row r="26" spans="1:6" s="4" customFormat="1" ht="18.75" customHeight="1" x14ac:dyDescent="0.15">
      <c r="A26" s="65"/>
      <c r="B26" s="240"/>
      <c r="C26" s="241"/>
      <c r="D26" s="241"/>
      <c r="E26" s="242"/>
    </row>
    <row r="27" spans="1:6" s="4" customFormat="1" ht="18.75" customHeight="1" x14ac:dyDescent="0.15">
      <c r="A27" s="65"/>
      <c r="B27" s="240"/>
      <c r="C27" s="241"/>
      <c r="D27" s="241"/>
      <c r="E27" s="242"/>
    </row>
    <row r="28" spans="1:6" s="4" customFormat="1" ht="18.75" customHeight="1" x14ac:dyDescent="0.15">
      <c r="A28" s="65"/>
      <c r="B28" s="243"/>
      <c r="C28" s="244"/>
      <c r="D28" s="244"/>
      <c r="E28" s="245"/>
    </row>
    <row r="29" spans="1:6" ht="7.5" customHeight="1" x14ac:dyDescent="0.15">
      <c r="A29" s="67"/>
      <c r="B29" s="67"/>
      <c r="C29" s="67"/>
      <c r="D29" s="67"/>
      <c r="E29" s="67"/>
    </row>
    <row r="30" spans="1:6" s="4" customFormat="1" ht="18.75" customHeight="1" x14ac:dyDescent="0.15">
      <c r="A30" s="1" t="s">
        <v>11</v>
      </c>
      <c r="B30" s="1" t="s">
        <v>138</v>
      </c>
      <c r="C30" s="1"/>
      <c r="D30" s="1"/>
      <c r="E30" s="1"/>
    </row>
    <row r="31" spans="1:6" s="4" customFormat="1" ht="18.75" customHeight="1" x14ac:dyDescent="0.15">
      <c r="A31" s="1"/>
      <c r="B31" s="218" t="s">
        <v>193</v>
      </c>
      <c r="C31" s="219"/>
      <c r="D31" s="219"/>
      <c r="E31" s="220"/>
    </row>
    <row r="32" spans="1:6" s="4" customFormat="1" ht="18.75" customHeight="1" x14ac:dyDescent="0.15">
      <c r="A32" s="1"/>
      <c r="B32" s="221"/>
      <c r="C32" s="222"/>
      <c r="D32" s="222"/>
      <c r="E32" s="223"/>
    </row>
    <row r="33" spans="1:5" s="4" customFormat="1" ht="18.75" customHeight="1" x14ac:dyDescent="0.15">
      <c r="A33" s="1"/>
      <c r="B33" s="221"/>
      <c r="C33" s="222"/>
      <c r="D33" s="222"/>
      <c r="E33" s="223"/>
    </row>
    <row r="34" spans="1:5" s="4" customFormat="1" ht="18.75" customHeight="1" x14ac:dyDescent="0.15">
      <c r="A34" s="1"/>
      <c r="B34" s="221"/>
      <c r="C34" s="222"/>
      <c r="D34" s="222"/>
      <c r="E34" s="223"/>
    </row>
    <row r="35" spans="1:5" s="4" customFormat="1" ht="18.75" customHeight="1" x14ac:dyDescent="0.15">
      <c r="A35" s="1"/>
      <c r="B35" s="221"/>
      <c r="C35" s="222"/>
      <c r="D35" s="222"/>
      <c r="E35" s="223"/>
    </row>
    <row r="36" spans="1:5" s="4" customFormat="1" ht="18.75" customHeight="1" x14ac:dyDescent="0.15">
      <c r="A36" s="1"/>
      <c r="B36" s="221"/>
      <c r="C36" s="222"/>
      <c r="D36" s="222"/>
      <c r="E36" s="223"/>
    </row>
    <row r="37" spans="1:5" s="4" customFormat="1" ht="18.75" customHeight="1" x14ac:dyDescent="0.15">
      <c r="A37" s="1"/>
      <c r="B37" s="221"/>
      <c r="C37" s="222"/>
      <c r="D37" s="222"/>
      <c r="E37" s="223"/>
    </row>
    <row r="38" spans="1:5" s="4" customFormat="1" ht="18.75" customHeight="1" x14ac:dyDescent="0.15">
      <c r="A38" s="1"/>
      <c r="B38" s="221"/>
      <c r="C38" s="222"/>
      <c r="D38" s="222"/>
      <c r="E38" s="223"/>
    </row>
    <row r="39" spans="1:5" s="4" customFormat="1" ht="18.75" customHeight="1" x14ac:dyDescent="0.15">
      <c r="A39" s="1"/>
      <c r="B39" s="221"/>
      <c r="C39" s="222"/>
      <c r="D39" s="222"/>
      <c r="E39" s="223"/>
    </row>
    <row r="40" spans="1:5" s="4" customFormat="1" ht="18.75" customHeight="1" x14ac:dyDescent="0.15">
      <c r="A40" s="1"/>
      <c r="B40" s="221"/>
      <c r="C40" s="222"/>
      <c r="D40" s="222"/>
      <c r="E40" s="223"/>
    </row>
    <row r="41" spans="1:5" s="4" customFormat="1" ht="18.75" customHeight="1" x14ac:dyDescent="0.15">
      <c r="A41" s="1"/>
      <c r="B41" s="221"/>
      <c r="C41" s="222"/>
      <c r="D41" s="222"/>
      <c r="E41" s="223"/>
    </row>
    <row r="42" spans="1:5" s="4" customFormat="1" ht="18.75" customHeight="1" x14ac:dyDescent="0.15">
      <c r="A42" s="1"/>
      <c r="B42" s="221"/>
      <c r="C42" s="222"/>
      <c r="D42" s="222"/>
      <c r="E42" s="223"/>
    </row>
    <row r="43" spans="1:5" s="4" customFormat="1" ht="18.75" customHeight="1" x14ac:dyDescent="0.15">
      <c r="A43" s="1"/>
      <c r="B43" s="221"/>
      <c r="C43" s="222"/>
      <c r="D43" s="222"/>
      <c r="E43" s="223"/>
    </row>
    <row r="44" spans="1:5" ht="18.75" customHeight="1" x14ac:dyDescent="0.15">
      <c r="A44" s="67"/>
      <c r="B44" s="221"/>
      <c r="C44" s="222"/>
      <c r="D44" s="222"/>
      <c r="E44" s="223"/>
    </row>
    <row r="45" spans="1:5" ht="18.75" customHeight="1" x14ac:dyDescent="0.15">
      <c r="A45" s="67"/>
      <c r="B45" s="224"/>
      <c r="C45" s="225"/>
      <c r="D45" s="225"/>
      <c r="E45" s="226"/>
    </row>
    <row r="46" spans="1:5" s="4" customFormat="1" ht="18.75" customHeight="1" x14ac:dyDescent="0.15">
      <c r="A46" s="68" t="s">
        <v>14</v>
      </c>
      <c r="B46" s="1" t="s">
        <v>139</v>
      </c>
      <c r="C46" s="68"/>
      <c r="D46" s="68"/>
      <c r="E46" s="68"/>
    </row>
    <row r="47" spans="1:5" ht="18.75" customHeight="1" x14ac:dyDescent="0.15">
      <c r="A47" s="67"/>
      <c r="B47" s="246" t="s">
        <v>169</v>
      </c>
      <c r="C47" s="247"/>
      <c r="D47" s="247"/>
      <c r="E47" s="248"/>
    </row>
    <row r="48" spans="1:5" ht="18.75" customHeight="1" x14ac:dyDescent="0.15">
      <c r="A48" s="67"/>
      <c r="B48" s="249"/>
      <c r="C48" s="250"/>
      <c r="D48" s="250"/>
      <c r="E48" s="251"/>
    </row>
    <row r="49" spans="1:5" ht="18.75" customHeight="1" x14ac:dyDescent="0.15">
      <c r="A49" s="67"/>
      <c r="B49" s="249"/>
      <c r="C49" s="250"/>
      <c r="D49" s="250"/>
      <c r="E49" s="251"/>
    </row>
    <row r="50" spans="1:5" ht="18.75" customHeight="1" x14ac:dyDescent="0.15">
      <c r="A50" s="67"/>
      <c r="B50" s="249"/>
      <c r="C50" s="250"/>
      <c r="D50" s="250"/>
      <c r="E50" s="251"/>
    </row>
    <row r="51" spans="1:5" ht="18.75" customHeight="1" x14ac:dyDescent="0.15">
      <c r="A51" s="67"/>
      <c r="B51" s="249"/>
      <c r="C51" s="250"/>
      <c r="D51" s="250"/>
      <c r="E51" s="251"/>
    </row>
    <row r="52" spans="1:5" ht="18.75" customHeight="1" x14ac:dyDescent="0.15">
      <c r="A52" s="67"/>
      <c r="B52" s="249"/>
      <c r="C52" s="250"/>
      <c r="D52" s="250"/>
      <c r="E52" s="251"/>
    </row>
    <row r="53" spans="1:5" ht="18.75" customHeight="1" x14ac:dyDescent="0.15">
      <c r="A53" s="67"/>
      <c r="B53" s="249"/>
      <c r="C53" s="250"/>
      <c r="D53" s="250"/>
      <c r="E53" s="251"/>
    </row>
    <row r="54" spans="1:5" ht="18.75" customHeight="1" x14ac:dyDescent="0.15">
      <c r="A54" s="67"/>
      <c r="B54" s="249"/>
      <c r="C54" s="250"/>
      <c r="D54" s="250"/>
      <c r="E54" s="251"/>
    </row>
    <row r="55" spans="1:5" ht="18.75" customHeight="1" x14ac:dyDescent="0.15">
      <c r="A55" s="67"/>
      <c r="B55" s="249"/>
      <c r="C55" s="250"/>
      <c r="D55" s="250"/>
      <c r="E55" s="251"/>
    </row>
    <row r="56" spans="1:5" ht="18.75" customHeight="1" x14ac:dyDescent="0.15">
      <c r="A56" s="67"/>
      <c r="B56" s="249"/>
      <c r="C56" s="250"/>
      <c r="D56" s="250"/>
      <c r="E56" s="251"/>
    </row>
    <row r="57" spans="1:5" ht="18.75" customHeight="1" x14ac:dyDescent="0.15">
      <c r="A57" s="67"/>
      <c r="B57" s="249"/>
      <c r="C57" s="250"/>
      <c r="D57" s="250"/>
      <c r="E57" s="251"/>
    </row>
    <row r="58" spans="1:5" ht="18.75" customHeight="1" x14ac:dyDescent="0.15">
      <c r="A58" s="67"/>
      <c r="B58" s="249"/>
      <c r="C58" s="250"/>
      <c r="D58" s="250"/>
      <c r="E58" s="251"/>
    </row>
    <row r="59" spans="1:5" ht="18.75" customHeight="1" x14ac:dyDescent="0.15">
      <c r="A59" s="67"/>
      <c r="B59" s="249"/>
      <c r="C59" s="250"/>
      <c r="D59" s="250"/>
      <c r="E59" s="251"/>
    </row>
    <row r="60" spans="1:5" ht="18.75" customHeight="1" x14ac:dyDescent="0.15">
      <c r="A60" s="67"/>
      <c r="B60" s="249"/>
      <c r="C60" s="250"/>
      <c r="D60" s="250"/>
      <c r="E60" s="251"/>
    </row>
    <row r="61" spans="1:5" ht="18.75" customHeight="1" x14ac:dyDescent="0.15">
      <c r="A61" s="67"/>
      <c r="B61" s="249"/>
      <c r="C61" s="250"/>
      <c r="D61" s="250"/>
      <c r="E61" s="251"/>
    </row>
    <row r="62" spans="1:5" ht="18.75" customHeight="1" x14ac:dyDescent="0.15">
      <c r="A62" s="67"/>
      <c r="B62" s="249"/>
      <c r="C62" s="250"/>
      <c r="D62" s="250"/>
      <c r="E62" s="251"/>
    </row>
    <row r="63" spans="1:5" ht="18.75" customHeight="1" x14ac:dyDescent="0.15">
      <c r="A63" s="67"/>
      <c r="B63" s="249"/>
      <c r="C63" s="250"/>
      <c r="D63" s="250"/>
      <c r="E63" s="251"/>
    </row>
    <row r="64" spans="1:5" ht="18.75" customHeight="1" x14ac:dyDescent="0.15">
      <c r="A64" s="67"/>
      <c r="B64" s="249"/>
      <c r="C64" s="250"/>
      <c r="D64" s="250"/>
      <c r="E64" s="251"/>
    </row>
    <row r="65" spans="1:5" ht="18.75" customHeight="1" x14ac:dyDescent="0.15">
      <c r="A65" s="67"/>
      <c r="B65" s="249"/>
      <c r="C65" s="250"/>
      <c r="D65" s="250"/>
      <c r="E65" s="251"/>
    </row>
    <row r="66" spans="1:5" ht="18.75" customHeight="1" x14ac:dyDescent="0.15">
      <c r="A66" s="67"/>
      <c r="B66" s="249"/>
      <c r="C66" s="250"/>
      <c r="D66" s="250"/>
      <c r="E66" s="251"/>
    </row>
    <row r="67" spans="1:5" ht="18.75" customHeight="1" x14ac:dyDescent="0.15">
      <c r="A67" s="67"/>
      <c r="B67" s="252"/>
      <c r="C67" s="253"/>
      <c r="D67" s="253"/>
      <c r="E67" s="254"/>
    </row>
    <row r="68" spans="1:5" ht="7.5" customHeight="1" x14ac:dyDescent="0.15">
      <c r="A68" s="67"/>
      <c r="B68" s="67"/>
      <c r="C68" s="67"/>
      <c r="D68" s="67"/>
      <c r="E68" s="67"/>
    </row>
    <row r="69" spans="1:5" s="4" customFormat="1" ht="18.75" customHeight="1" x14ac:dyDescent="0.15">
      <c r="A69" s="1" t="s">
        <v>16</v>
      </c>
      <c r="B69" s="1" t="s">
        <v>140</v>
      </c>
      <c r="C69" s="1"/>
      <c r="D69" s="1"/>
      <c r="E69" s="1"/>
    </row>
    <row r="70" spans="1:5" s="4" customFormat="1" ht="18.75" customHeight="1" x14ac:dyDescent="0.15">
      <c r="A70" s="1"/>
      <c r="B70" s="255" t="s">
        <v>187</v>
      </c>
      <c r="C70" s="230"/>
      <c r="D70" s="230"/>
      <c r="E70" s="231"/>
    </row>
    <row r="71" spans="1:5" s="4" customFormat="1" ht="18.75" customHeight="1" x14ac:dyDescent="0.15">
      <c r="A71" s="1"/>
      <c r="B71" s="232"/>
      <c r="C71" s="233"/>
      <c r="D71" s="233"/>
      <c r="E71" s="234"/>
    </row>
    <row r="72" spans="1:5" s="4" customFormat="1" ht="18.75" customHeight="1" x14ac:dyDescent="0.15">
      <c r="A72" s="1"/>
      <c r="B72" s="232"/>
      <c r="C72" s="233"/>
      <c r="D72" s="233"/>
      <c r="E72" s="234"/>
    </row>
    <row r="73" spans="1:5" s="4" customFormat="1" ht="18.75" customHeight="1" x14ac:dyDescent="0.15">
      <c r="A73" s="1"/>
      <c r="B73" s="232"/>
      <c r="C73" s="233"/>
      <c r="D73" s="233"/>
      <c r="E73" s="234"/>
    </row>
    <row r="74" spans="1:5" s="4" customFormat="1" ht="18.75" customHeight="1" x14ac:dyDescent="0.15">
      <c r="A74" s="1"/>
      <c r="B74" s="232"/>
      <c r="C74" s="233"/>
      <c r="D74" s="233"/>
      <c r="E74" s="234"/>
    </row>
    <row r="75" spans="1:5" s="4" customFormat="1" ht="18.75" customHeight="1" x14ac:dyDescent="0.15">
      <c r="A75" s="1"/>
      <c r="B75" s="232"/>
      <c r="C75" s="233"/>
      <c r="D75" s="233"/>
      <c r="E75" s="234"/>
    </row>
    <row r="76" spans="1:5" s="4" customFormat="1" ht="18.75" customHeight="1" x14ac:dyDescent="0.15">
      <c r="A76" s="1"/>
      <c r="B76" s="232"/>
      <c r="C76" s="233"/>
      <c r="D76" s="233"/>
      <c r="E76" s="234"/>
    </row>
    <row r="77" spans="1:5" s="4" customFormat="1" ht="18.75" customHeight="1" x14ac:dyDescent="0.15">
      <c r="A77" s="1"/>
      <c r="B77" s="232"/>
      <c r="C77" s="233"/>
      <c r="D77" s="233"/>
      <c r="E77" s="234"/>
    </row>
    <row r="78" spans="1:5" s="4" customFormat="1" ht="18.75" customHeight="1" x14ac:dyDescent="0.15">
      <c r="A78" s="1"/>
      <c r="B78" s="232"/>
      <c r="C78" s="233"/>
      <c r="D78" s="233"/>
      <c r="E78" s="234"/>
    </row>
    <row r="79" spans="1:5" s="4" customFormat="1" ht="18.75" customHeight="1" x14ac:dyDescent="0.15">
      <c r="A79" s="1"/>
      <c r="B79" s="232"/>
      <c r="C79" s="233"/>
      <c r="D79" s="233"/>
      <c r="E79" s="234"/>
    </row>
    <row r="80" spans="1:5" s="4" customFormat="1" ht="18.75" customHeight="1" x14ac:dyDescent="0.15">
      <c r="A80" s="1"/>
      <c r="B80" s="232"/>
      <c r="C80" s="233"/>
      <c r="D80" s="233"/>
      <c r="E80" s="234"/>
    </row>
    <row r="81" spans="1:5" s="4" customFormat="1" ht="18.75" customHeight="1" x14ac:dyDescent="0.15">
      <c r="A81" s="1"/>
      <c r="B81" s="232"/>
      <c r="C81" s="233"/>
      <c r="D81" s="233"/>
      <c r="E81" s="234"/>
    </row>
    <row r="82" spans="1:5" s="4" customFormat="1" ht="18.75" customHeight="1" x14ac:dyDescent="0.15">
      <c r="A82" s="1"/>
      <c r="B82" s="232"/>
      <c r="C82" s="233"/>
      <c r="D82" s="233"/>
      <c r="E82" s="234"/>
    </row>
    <row r="83" spans="1:5" s="4" customFormat="1" ht="18.75" customHeight="1" x14ac:dyDescent="0.15">
      <c r="A83" s="1"/>
      <c r="B83" s="232"/>
      <c r="C83" s="233"/>
      <c r="D83" s="233"/>
      <c r="E83" s="234"/>
    </row>
    <row r="84" spans="1:5" s="4" customFormat="1" ht="18.75" customHeight="1" x14ac:dyDescent="0.15">
      <c r="A84" s="1"/>
      <c r="B84" s="232"/>
      <c r="C84" s="233"/>
      <c r="D84" s="233"/>
      <c r="E84" s="234"/>
    </row>
    <row r="85" spans="1:5" s="4" customFormat="1" ht="18.75" customHeight="1" x14ac:dyDescent="0.15">
      <c r="A85" s="1"/>
      <c r="B85" s="232"/>
      <c r="C85" s="233"/>
      <c r="D85" s="233"/>
      <c r="E85" s="234"/>
    </row>
    <row r="86" spans="1:5" s="4" customFormat="1" ht="18.75" customHeight="1" x14ac:dyDescent="0.15">
      <c r="A86" s="1"/>
      <c r="B86" s="232"/>
      <c r="C86" s="233"/>
      <c r="D86" s="233"/>
      <c r="E86" s="234"/>
    </row>
    <row r="87" spans="1:5" ht="18.75" customHeight="1" x14ac:dyDescent="0.15">
      <c r="A87" s="67"/>
      <c r="B87" s="232"/>
      <c r="C87" s="233"/>
      <c r="D87" s="233"/>
      <c r="E87" s="234"/>
    </row>
    <row r="88" spans="1:5" ht="18.75" customHeight="1" x14ac:dyDescent="0.15">
      <c r="A88" s="67"/>
      <c r="B88" s="235"/>
      <c r="C88" s="236"/>
      <c r="D88" s="236"/>
      <c r="E88" s="237"/>
    </row>
    <row r="89" spans="1:5" ht="7.5" customHeight="1" x14ac:dyDescent="0.15">
      <c r="A89" s="67"/>
      <c r="B89" s="67"/>
      <c r="C89" s="67"/>
      <c r="D89" s="67"/>
      <c r="E89" s="67"/>
    </row>
    <row r="90" spans="1:5" s="4" customFormat="1" ht="18.75" customHeight="1" x14ac:dyDescent="0.15">
      <c r="A90" s="1" t="s">
        <v>18</v>
      </c>
      <c r="B90" s="1" t="s">
        <v>141</v>
      </c>
      <c r="C90" s="1"/>
      <c r="D90" s="1"/>
      <c r="E90" s="1"/>
    </row>
    <row r="91" spans="1:5" s="4" customFormat="1" ht="18.75" customHeight="1" x14ac:dyDescent="0.15">
      <c r="A91" s="1"/>
      <c r="B91" s="229" t="s">
        <v>182</v>
      </c>
      <c r="C91" s="230"/>
      <c r="D91" s="230"/>
      <c r="E91" s="231"/>
    </row>
    <row r="92" spans="1:5" s="4" customFormat="1" ht="18.75" customHeight="1" x14ac:dyDescent="0.15">
      <c r="A92" s="1"/>
      <c r="B92" s="232"/>
      <c r="C92" s="233"/>
      <c r="D92" s="233"/>
      <c r="E92" s="234"/>
    </row>
    <row r="93" spans="1:5" s="4" customFormat="1" ht="18.75" customHeight="1" x14ac:dyDescent="0.15">
      <c r="A93" s="1"/>
      <c r="B93" s="232"/>
      <c r="C93" s="233"/>
      <c r="D93" s="233"/>
      <c r="E93" s="234"/>
    </row>
    <row r="94" spans="1:5" s="4" customFormat="1" ht="18.75" customHeight="1" x14ac:dyDescent="0.15">
      <c r="A94" s="1"/>
      <c r="B94" s="232"/>
      <c r="C94" s="233"/>
      <c r="D94" s="233"/>
      <c r="E94" s="234"/>
    </row>
    <row r="95" spans="1:5" s="4" customFormat="1" ht="18.75" customHeight="1" x14ac:dyDescent="0.15">
      <c r="A95" s="1"/>
      <c r="B95" s="232"/>
      <c r="C95" s="233"/>
      <c r="D95" s="233"/>
      <c r="E95" s="234"/>
    </row>
    <row r="96" spans="1:5" s="4" customFormat="1" ht="18.75" customHeight="1" x14ac:dyDescent="0.15">
      <c r="A96" s="1"/>
      <c r="B96" s="232"/>
      <c r="C96" s="233"/>
      <c r="D96" s="233"/>
      <c r="E96" s="234"/>
    </row>
    <row r="97" spans="1:5" s="4" customFormat="1" ht="18.75" customHeight="1" x14ac:dyDescent="0.15">
      <c r="A97" s="1"/>
      <c r="B97" s="232"/>
      <c r="C97" s="233"/>
      <c r="D97" s="233"/>
      <c r="E97" s="234"/>
    </row>
    <row r="98" spans="1:5" s="4" customFormat="1" ht="18.75" customHeight="1" x14ac:dyDescent="0.15">
      <c r="A98" s="1"/>
      <c r="B98" s="232"/>
      <c r="C98" s="233"/>
      <c r="D98" s="233"/>
      <c r="E98" s="234"/>
    </row>
    <row r="99" spans="1:5" s="4" customFormat="1" ht="18.75" customHeight="1" x14ac:dyDescent="0.15">
      <c r="A99" s="1"/>
      <c r="B99" s="232"/>
      <c r="C99" s="233"/>
      <c r="D99" s="233"/>
      <c r="E99" s="234"/>
    </row>
    <row r="100" spans="1:5" s="4" customFormat="1" ht="18.75" customHeight="1" x14ac:dyDescent="0.15">
      <c r="A100" s="1"/>
      <c r="B100" s="232"/>
      <c r="C100" s="233"/>
      <c r="D100" s="233"/>
      <c r="E100" s="234"/>
    </row>
    <row r="101" spans="1:5" s="4" customFormat="1" ht="18.75" customHeight="1" x14ac:dyDescent="0.15">
      <c r="A101" s="1"/>
      <c r="B101" s="232"/>
      <c r="C101" s="233"/>
      <c r="D101" s="233"/>
      <c r="E101" s="234"/>
    </row>
    <row r="102" spans="1:5" s="4" customFormat="1" ht="18.75" customHeight="1" x14ac:dyDescent="0.15">
      <c r="A102" s="1"/>
      <c r="B102" s="232"/>
      <c r="C102" s="233"/>
      <c r="D102" s="233"/>
      <c r="E102" s="234"/>
    </row>
    <row r="103" spans="1:5" s="4" customFormat="1" ht="18.75" customHeight="1" x14ac:dyDescent="0.15">
      <c r="A103" s="1"/>
      <c r="B103" s="232"/>
      <c r="C103" s="233"/>
      <c r="D103" s="233"/>
      <c r="E103" s="234"/>
    </row>
    <row r="104" spans="1:5" s="4" customFormat="1" ht="18.75" customHeight="1" x14ac:dyDescent="0.15">
      <c r="A104" s="1"/>
      <c r="B104" s="232"/>
      <c r="C104" s="233"/>
      <c r="D104" s="233"/>
      <c r="E104" s="234"/>
    </row>
    <row r="105" spans="1:5" s="4" customFormat="1" ht="18.75" customHeight="1" x14ac:dyDescent="0.15">
      <c r="A105" s="1"/>
      <c r="B105" s="232"/>
      <c r="C105" s="233"/>
      <c r="D105" s="233"/>
      <c r="E105" s="234"/>
    </row>
    <row r="106" spans="1:5" s="4" customFormat="1" ht="18.75" customHeight="1" x14ac:dyDescent="0.15">
      <c r="A106" s="1"/>
      <c r="B106" s="232"/>
      <c r="C106" s="233"/>
      <c r="D106" s="233"/>
      <c r="E106" s="234"/>
    </row>
    <row r="107" spans="1:5" s="4" customFormat="1" ht="18.75" customHeight="1" x14ac:dyDescent="0.15">
      <c r="A107" s="1"/>
      <c r="B107" s="232"/>
      <c r="C107" s="233"/>
      <c r="D107" s="233"/>
      <c r="E107" s="234"/>
    </row>
    <row r="108" spans="1:5" s="4" customFormat="1" ht="18.75" customHeight="1" x14ac:dyDescent="0.15">
      <c r="A108" s="1"/>
      <c r="B108" s="232"/>
      <c r="C108" s="233"/>
      <c r="D108" s="233"/>
      <c r="E108" s="234"/>
    </row>
    <row r="109" spans="1:5" ht="18.75" customHeight="1" x14ac:dyDescent="0.15">
      <c r="A109" s="67"/>
      <c r="B109" s="232"/>
      <c r="C109" s="233"/>
      <c r="D109" s="233"/>
      <c r="E109" s="234"/>
    </row>
    <row r="110" spans="1:5" ht="18.75" customHeight="1" x14ac:dyDescent="0.15">
      <c r="A110" s="67"/>
      <c r="B110" s="235"/>
      <c r="C110" s="236"/>
      <c r="D110" s="236"/>
      <c r="E110" s="237"/>
    </row>
    <row r="111" spans="1:5" ht="7.5" customHeight="1" x14ac:dyDescent="0.15">
      <c r="A111" s="67"/>
      <c r="B111" s="67"/>
      <c r="C111" s="67"/>
      <c r="D111" s="67"/>
      <c r="E111" s="67"/>
    </row>
    <row r="112" spans="1:5" s="4" customFormat="1" ht="18.75" customHeight="1" x14ac:dyDescent="0.15">
      <c r="A112" s="1" t="s">
        <v>23</v>
      </c>
      <c r="B112" s="256" t="s">
        <v>142</v>
      </c>
      <c r="C112" s="256"/>
      <c r="D112" s="256"/>
      <c r="E112" s="256"/>
    </row>
    <row r="113" spans="1:5" ht="18.75" customHeight="1" x14ac:dyDescent="0.15">
      <c r="A113" s="67"/>
      <c r="B113" s="218" t="s">
        <v>170</v>
      </c>
      <c r="C113" s="219"/>
      <c r="D113" s="219"/>
      <c r="E113" s="220"/>
    </row>
    <row r="114" spans="1:5" ht="18.75" customHeight="1" x14ac:dyDescent="0.15">
      <c r="A114" s="67"/>
      <c r="B114" s="221"/>
      <c r="C114" s="222"/>
      <c r="D114" s="222"/>
      <c r="E114" s="223"/>
    </row>
    <row r="115" spans="1:5" ht="18.75" customHeight="1" x14ac:dyDescent="0.15">
      <c r="A115" s="67"/>
      <c r="B115" s="221"/>
      <c r="C115" s="222"/>
      <c r="D115" s="222"/>
      <c r="E115" s="223"/>
    </row>
    <row r="116" spans="1:5" ht="18.75" customHeight="1" x14ac:dyDescent="0.15">
      <c r="A116" s="67"/>
      <c r="B116" s="221"/>
      <c r="C116" s="222"/>
      <c r="D116" s="222"/>
      <c r="E116" s="223"/>
    </row>
    <row r="117" spans="1:5" ht="18.75" customHeight="1" x14ac:dyDescent="0.15">
      <c r="A117" s="67"/>
      <c r="B117" s="221"/>
      <c r="C117" s="222"/>
      <c r="D117" s="222"/>
      <c r="E117" s="223"/>
    </row>
    <row r="118" spans="1:5" ht="18.75" customHeight="1" x14ac:dyDescent="0.15">
      <c r="A118" s="67"/>
      <c r="B118" s="221"/>
      <c r="C118" s="222"/>
      <c r="D118" s="222"/>
      <c r="E118" s="223"/>
    </row>
    <row r="119" spans="1:5" ht="18.75" customHeight="1" x14ac:dyDescent="0.15">
      <c r="A119" s="67"/>
      <c r="B119" s="221"/>
      <c r="C119" s="222"/>
      <c r="D119" s="222"/>
      <c r="E119" s="223"/>
    </row>
    <row r="120" spans="1:5" ht="18.75" customHeight="1" x14ac:dyDescent="0.15">
      <c r="A120" s="67"/>
      <c r="B120" s="221"/>
      <c r="C120" s="222"/>
      <c r="D120" s="222"/>
      <c r="E120" s="223"/>
    </row>
    <row r="121" spans="1:5" ht="18.75" customHeight="1" x14ac:dyDescent="0.15">
      <c r="A121" s="67"/>
      <c r="B121" s="221"/>
      <c r="C121" s="222"/>
      <c r="D121" s="222"/>
      <c r="E121" s="223"/>
    </row>
    <row r="122" spans="1:5" ht="18.75" customHeight="1" x14ac:dyDescent="0.15">
      <c r="A122" s="67"/>
      <c r="B122" s="221"/>
      <c r="C122" s="222"/>
      <c r="D122" s="222"/>
      <c r="E122" s="223"/>
    </row>
    <row r="123" spans="1:5" ht="18.75" customHeight="1" x14ac:dyDescent="0.15">
      <c r="A123" s="67"/>
      <c r="B123" s="221"/>
      <c r="C123" s="222"/>
      <c r="D123" s="222"/>
      <c r="E123" s="223"/>
    </row>
    <row r="124" spans="1:5" ht="18.75" customHeight="1" x14ac:dyDescent="0.15">
      <c r="A124" s="67"/>
      <c r="B124" s="221"/>
      <c r="C124" s="222"/>
      <c r="D124" s="222"/>
      <c r="E124" s="223"/>
    </row>
    <row r="125" spans="1:5" ht="18.75" customHeight="1" x14ac:dyDescent="0.15">
      <c r="A125" s="67"/>
      <c r="B125" s="221"/>
      <c r="C125" s="222"/>
      <c r="D125" s="222"/>
      <c r="E125" s="223"/>
    </row>
    <row r="126" spans="1:5" ht="18.75" customHeight="1" x14ac:dyDescent="0.15">
      <c r="A126" s="67"/>
      <c r="B126" s="221"/>
      <c r="C126" s="222"/>
      <c r="D126" s="222"/>
      <c r="E126" s="223"/>
    </row>
    <row r="127" spans="1:5" ht="18.75" customHeight="1" x14ac:dyDescent="0.15">
      <c r="A127" s="67"/>
      <c r="B127" s="221"/>
      <c r="C127" s="222"/>
      <c r="D127" s="222"/>
      <c r="E127" s="223"/>
    </row>
    <row r="128" spans="1:5" ht="18.75" customHeight="1" x14ac:dyDescent="0.15">
      <c r="A128" s="67"/>
      <c r="B128" s="221"/>
      <c r="C128" s="222"/>
      <c r="D128" s="222"/>
      <c r="E128" s="223"/>
    </row>
    <row r="129" spans="1:5" ht="18.75" customHeight="1" x14ac:dyDescent="0.15">
      <c r="A129" s="67"/>
      <c r="B129" s="221"/>
      <c r="C129" s="222"/>
      <c r="D129" s="222"/>
      <c r="E129" s="223"/>
    </row>
    <row r="130" spans="1:5" ht="18.75" customHeight="1" x14ac:dyDescent="0.15">
      <c r="A130" s="67"/>
      <c r="B130" s="221"/>
      <c r="C130" s="222"/>
      <c r="D130" s="222"/>
      <c r="E130" s="223"/>
    </row>
    <row r="131" spans="1:5" ht="18.75" customHeight="1" x14ac:dyDescent="0.15">
      <c r="A131" s="67"/>
      <c r="B131" s="221"/>
      <c r="C131" s="222"/>
      <c r="D131" s="222"/>
      <c r="E131" s="223"/>
    </row>
    <row r="132" spans="1:5" ht="18.75" customHeight="1" x14ac:dyDescent="0.15">
      <c r="A132" s="67"/>
      <c r="B132" s="224"/>
      <c r="C132" s="225"/>
      <c r="D132" s="225"/>
      <c r="E132" s="226"/>
    </row>
    <row r="133" spans="1:5" ht="7.5" customHeight="1" x14ac:dyDescent="0.15">
      <c r="A133" s="67"/>
      <c r="B133" s="69"/>
      <c r="C133" s="69"/>
      <c r="D133" s="69"/>
      <c r="E133" s="69"/>
    </row>
    <row r="134" spans="1:5" ht="18.75" customHeight="1" x14ac:dyDescent="0.15">
      <c r="A134" s="67"/>
      <c r="B134" s="67"/>
      <c r="C134" s="67"/>
      <c r="D134" s="67"/>
      <c r="E134" s="67"/>
    </row>
    <row r="135" spans="1:5" ht="18.75" customHeight="1" x14ac:dyDescent="0.15">
      <c r="A135" s="67"/>
      <c r="B135" s="67"/>
      <c r="C135" s="67"/>
      <c r="D135" s="67"/>
      <c r="E135" s="67"/>
    </row>
    <row r="136" spans="1:5" ht="18.75" customHeight="1" x14ac:dyDescent="0.15">
      <c r="A136" s="67"/>
      <c r="B136" s="67"/>
      <c r="C136" s="67"/>
      <c r="D136" s="67"/>
      <c r="E136" s="67"/>
    </row>
    <row r="137" spans="1:5" ht="18.75" customHeight="1" x14ac:dyDescent="0.15">
      <c r="A137" s="67"/>
      <c r="B137" s="67"/>
      <c r="C137" s="67"/>
      <c r="D137" s="67"/>
      <c r="E137" s="67"/>
    </row>
    <row r="138" spans="1:5" ht="18.75" customHeight="1" x14ac:dyDescent="0.15">
      <c r="A138" s="67"/>
      <c r="B138" s="67"/>
      <c r="C138" s="67"/>
      <c r="D138" s="67"/>
      <c r="E138" s="67"/>
    </row>
    <row r="139" spans="1:5" ht="18.75" customHeight="1" x14ac:dyDescent="0.15">
      <c r="A139" s="67"/>
      <c r="B139" s="67"/>
      <c r="C139" s="67"/>
      <c r="D139" s="67"/>
      <c r="E139" s="67"/>
    </row>
    <row r="140" spans="1:5" ht="18.75" customHeight="1" x14ac:dyDescent="0.15">
      <c r="A140" s="67"/>
      <c r="B140" s="67"/>
      <c r="C140" s="67"/>
      <c r="D140" s="67"/>
      <c r="E140" s="67"/>
    </row>
    <row r="141" spans="1:5" ht="18.75" customHeight="1" x14ac:dyDescent="0.15">
      <c r="A141" s="67"/>
      <c r="B141" s="67"/>
      <c r="C141" s="67"/>
      <c r="D141" s="67"/>
      <c r="E141" s="67"/>
    </row>
    <row r="142" spans="1:5" ht="18.75" customHeight="1" x14ac:dyDescent="0.15">
      <c r="A142" s="67"/>
      <c r="B142" s="67"/>
      <c r="C142" s="67"/>
      <c r="D142" s="67"/>
      <c r="E142" s="67"/>
    </row>
    <row r="143" spans="1:5" ht="18.75" customHeight="1" x14ac:dyDescent="0.15">
      <c r="A143" s="67"/>
      <c r="B143" s="67"/>
      <c r="C143" s="67"/>
      <c r="D143" s="67"/>
      <c r="E143" s="67"/>
    </row>
    <row r="144" spans="1:5" ht="18.75" customHeight="1" x14ac:dyDescent="0.15">
      <c r="A144" s="67"/>
      <c r="B144" s="67"/>
      <c r="C144" s="67"/>
      <c r="D144" s="67"/>
      <c r="E144" s="67"/>
    </row>
    <row r="145" spans="1:5" ht="18.75" customHeight="1" x14ac:dyDescent="0.15">
      <c r="A145" s="67"/>
      <c r="B145" s="67"/>
      <c r="C145" s="67"/>
      <c r="D145" s="67"/>
      <c r="E145" s="67"/>
    </row>
    <row r="146" spans="1:5" ht="14.25" x14ac:dyDescent="0.15">
      <c r="A146" s="67"/>
      <c r="B146" s="67"/>
      <c r="C146" s="67"/>
      <c r="D146" s="67"/>
      <c r="E146" s="67"/>
    </row>
    <row r="147" spans="1:5" ht="7.5" customHeight="1" x14ac:dyDescent="0.15">
      <c r="A147" s="70"/>
      <c r="B147" s="70"/>
      <c r="C147" s="70"/>
      <c r="D147" s="70"/>
      <c r="E147" s="70"/>
    </row>
  </sheetData>
  <mergeCells count="11">
    <mergeCell ref="B47:E67"/>
    <mergeCell ref="B70:E88"/>
    <mergeCell ref="B91:E110"/>
    <mergeCell ref="B112:E112"/>
    <mergeCell ref="B113:E132"/>
    <mergeCell ref="B31:E45"/>
    <mergeCell ref="D2:E2"/>
    <mergeCell ref="B4:E4"/>
    <mergeCell ref="B7:E7"/>
    <mergeCell ref="B10:E14"/>
    <mergeCell ref="B17:E28"/>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649A-CB8D-48CD-B64A-C7D3B784B8A4}">
  <sheetPr>
    <pageSetUpPr fitToPage="1"/>
  </sheetPr>
  <dimension ref="A1:N28"/>
  <sheetViews>
    <sheetView showZeros="0" tabSelected="1" view="pageBreakPreview" topLeftCell="A17" zoomScale="90" zoomScaleNormal="100" zoomScaleSheetLayoutView="90" workbookViewId="0">
      <selection activeCell="H27" sqref="H27"/>
    </sheetView>
  </sheetViews>
  <sheetFormatPr defaultColWidth="11.375" defaultRowHeight="22.5" customHeight="1" x14ac:dyDescent="0.15"/>
  <cols>
    <col min="1" max="3" width="2.5" style="1" customWidth="1"/>
    <col min="4" max="4" width="22.5" style="1" customWidth="1"/>
    <col min="5" max="5" width="21.125" style="1" customWidth="1"/>
    <col min="6" max="7" width="7.5" style="1" customWidth="1"/>
    <col min="8" max="8" width="32.5" style="1" customWidth="1"/>
    <col min="9" max="9" width="24.875" style="1" customWidth="1"/>
    <col min="10" max="10" width="6.125" style="1" customWidth="1"/>
    <col min="11" max="11" width="4.125" style="1" customWidth="1"/>
    <col min="12" max="16384" width="11.375" style="1"/>
  </cols>
  <sheetData>
    <row r="1" spans="1:14" ht="18.75" customHeight="1" x14ac:dyDescent="0.15">
      <c r="J1" s="64" t="s">
        <v>143</v>
      </c>
    </row>
    <row r="2" spans="1:14" ht="18.75" customHeight="1" x14ac:dyDescent="0.15">
      <c r="D2" s="64"/>
      <c r="H2" s="64" t="s">
        <v>144</v>
      </c>
      <c r="I2" s="227" t="s">
        <v>4</v>
      </c>
      <c r="J2" s="227"/>
    </row>
    <row r="3" spans="1:14" ht="18.75" customHeight="1" x14ac:dyDescent="0.15">
      <c r="A3" s="139" t="s">
        <v>145</v>
      </c>
      <c r="B3" s="139"/>
      <c r="C3" s="139"/>
      <c r="D3" s="139"/>
      <c r="E3" s="139"/>
      <c r="F3" s="139"/>
      <c r="G3" s="139"/>
      <c r="H3" s="139"/>
      <c r="I3" s="139"/>
      <c r="J3" s="139"/>
    </row>
    <row r="4" spans="1:14" ht="7.5" customHeight="1" x14ac:dyDescent="0.15">
      <c r="B4" s="67"/>
      <c r="C4" s="67"/>
      <c r="D4" s="277"/>
      <c r="E4" s="278"/>
      <c r="F4" s="278"/>
      <c r="G4" s="278"/>
      <c r="H4" s="278"/>
      <c r="I4" s="278"/>
      <c r="J4" s="278"/>
    </row>
    <row r="5" spans="1:14" ht="18.75" customHeight="1" x14ac:dyDescent="0.15">
      <c r="A5" s="1" t="s">
        <v>2</v>
      </c>
      <c r="B5" s="4" t="s">
        <v>146</v>
      </c>
      <c r="C5" s="67"/>
      <c r="D5" s="67"/>
      <c r="E5" s="76"/>
      <c r="F5" s="76"/>
      <c r="G5" s="76"/>
      <c r="H5" s="76"/>
      <c r="I5" s="76"/>
      <c r="J5" s="76"/>
    </row>
    <row r="6" spans="1:14" ht="18.75" customHeight="1" x14ac:dyDescent="0.15">
      <c r="B6" s="164" t="s">
        <v>147</v>
      </c>
      <c r="C6" s="165"/>
      <c r="D6" s="166"/>
      <c r="E6" s="279" t="s">
        <v>148</v>
      </c>
      <c r="F6" s="279"/>
      <c r="G6" s="279"/>
      <c r="H6" s="279"/>
      <c r="I6" s="279"/>
      <c r="J6" s="280"/>
    </row>
    <row r="7" spans="1:14" ht="18.75" customHeight="1" x14ac:dyDescent="0.15">
      <c r="B7" s="77" t="s">
        <v>149</v>
      </c>
      <c r="C7" s="67"/>
      <c r="D7" s="78"/>
      <c r="I7" s="76"/>
      <c r="J7" s="79"/>
      <c r="N7" s="55"/>
    </row>
    <row r="8" spans="1:14" ht="202.5" customHeight="1" x14ac:dyDescent="0.15">
      <c r="B8" s="80"/>
      <c r="C8" s="269" t="s">
        <v>150</v>
      </c>
      <c r="D8" s="259"/>
      <c r="E8" s="270" t="s">
        <v>189</v>
      </c>
      <c r="F8" s="260"/>
      <c r="G8" s="260"/>
      <c r="H8" s="260"/>
      <c r="I8" s="260"/>
      <c r="J8" s="261"/>
    </row>
    <row r="9" spans="1:14" ht="202.5" customHeight="1" x14ac:dyDescent="0.15">
      <c r="B9" s="80"/>
      <c r="C9" s="275" t="s">
        <v>151</v>
      </c>
      <c r="D9" s="276"/>
      <c r="E9" s="270" t="s">
        <v>190</v>
      </c>
      <c r="F9" s="260"/>
      <c r="G9" s="260"/>
      <c r="H9" s="260"/>
      <c r="I9" s="260"/>
      <c r="J9" s="261"/>
    </row>
    <row r="10" spans="1:14" ht="172.5" customHeight="1" x14ac:dyDescent="0.15">
      <c r="B10" s="80"/>
      <c r="C10" s="269" t="s">
        <v>152</v>
      </c>
      <c r="D10" s="259"/>
      <c r="E10" s="270" t="s">
        <v>195</v>
      </c>
      <c r="F10" s="260"/>
      <c r="G10" s="260"/>
      <c r="H10" s="260"/>
      <c r="I10" s="260"/>
      <c r="J10" s="261"/>
    </row>
    <row r="11" spans="1:14" ht="172.5" customHeight="1" x14ac:dyDescent="0.15">
      <c r="B11" s="80"/>
      <c r="C11" s="269" t="s">
        <v>153</v>
      </c>
      <c r="D11" s="259"/>
      <c r="E11" s="270" t="s">
        <v>191</v>
      </c>
      <c r="F11" s="260"/>
      <c r="G11" s="260"/>
      <c r="H11" s="260"/>
      <c r="I11" s="260"/>
      <c r="J11" s="261"/>
    </row>
    <row r="12" spans="1:14" ht="172.5" customHeight="1" x14ac:dyDescent="0.15">
      <c r="B12" s="80"/>
      <c r="C12" s="269" t="s">
        <v>154</v>
      </c>
      <c r="D12" s="259"/>
      <c r="E12" s="270" t="s">
        <v>185</v>
      </c>
      <c r="F12" s="260"/>
      <c r="G12" s="260"/>
      <c r="H12" s="260"/>
      <c r="I12" s="260"/>
      <c r="J12" s="261"/>
    </row>
    <row r="13" spans="1:14" ht="18.75" customHeight="1" x14ac:dyDescent="0.15">
      <c r="B13" s="81" t="s">
        <v>155</v>
      </c>
      <c r="C13" s="82"/>
      <c r="D13" s="83"/>
      <c r="E13" s="93"/>
      <c r="F13" s="93"/>
      <c r="G13" s="93"/>
      <c r="H13" s="93"/>
      <c r="I13" s="93"/>
      <c r="J13" s="94"/>
    </row>
    <row r="14" spans="1:14" ht="255" customHeight="1" x14ac:dyDescent="0.15">
      <c r="B14" s="80"/>
      <c r="C14" s="269" t="s">
        <v>156</v>
      </c>
      <c r="D14" s="259"/>
      <c r="E14" s="260" t="s">
        <v>183</v>
      </c>
      <c r="F14" s="260"/>
      <c r="G14" s="260"/>
      <c r="H14" s="260"/>
      <c r="I14" s="260"/>
      <c r="J14" s="261"/>
    </row>
    <row r="15" spans="1:14" ht="255" customHeight="1" x14ac:dyDescent="0.15">
      <c r="B15" s="80"/>
      <c r="C15" s="271" t="s">
        <v>157</v>
      </c>
      <c r="D15" s="272"/>
      <c r="E15" s="273" t="s">
        <v>184</v>
      </c>
      <c r="F15" s="273"/>
      <c r="G15" s="273"/>
      <c r="H15" s="273"/>
      <c r="I15" s="273"/>
      <c r="J15" s="274"/>
    </row>
    <row r="16" spans="1:14" ht="232.5" customHeight="1" x14ac:dyDescent="0.15">
      <c r="B16" s="257" t="s">
        <v>158</v>
      </c>
      <c r="C16" s="258"/>
      <c r="D16" s="259"/>
      <c r="E16" s="260" t="s">
        <v>192</v>
      </c>
      <c r="F16" s="260"/>
      <c r="G16" s="260"/>
      <c r="H16" s="260"/>
      <c r="I16" s="260"/>
      <c r="J16" s="261"/>
    </row>
    <row r="17" spans="1:10" ht="232.5" customHeight="1" x14ac:dyDescent="0.15">
      <c r="A17" s="55"/>
      <c r="B17" s="262" t="s">
        <v>159</v>
      </c>
      <c r="C17" s="263"/>
      <c r="D17" s="264"/>
      <c r="E17" s="265" t="s">
        <v>186</v>
      </c>
      <c r="F17" s="265"/>
      <c r="G17" s="265"/>
      <c r="H17" s="265"/>
      <c r="I17" s="265"/>
      <c r="J17" s="266"/>
    </row>
    <row r="18" spans="1:10" ht="7.5" customHeight="1" x14ac:dyDescent="0.15">
      <c r="B18" s="67"/>
      <c r="C18" s="67"/>
      <c r="D18" s="67"/>
      <c r="E18" s="76"/>
      <c r="F18" s="76"/>
      <c r="G18" s="76"/>
      <c r="H18" s="76"/>
      <c r="I18" s="76"/>
      <c r="J18" s="76"/>
    </row>
    <row r="19" spans="1:10" ht="18.75" customHeight="1" x14ac:dyDescent="0.15">
      <c r="B19" s="4"/>
      <c r="C19" s="67"/>
      <c r="D19" s="67"/>
      <c r="E19" s="76"/>
      <c r="F19" s="66"/>
      <c r="G19" s="66"/>
      <c r="H19" s="48" t="s">
        <v>160</v>
      </c>
      <c r="I19" s="84"/>
      <c r="J19" s="85"/>
    </row>
    <row r="20" spans="1:10" ht="18.75" customHeight="1" x14ac:dyDescent="0.15">
      <c r="A20" s="1" t="s">
        <v>5</v>
      </c>
      <c r="B20" s="4" t="s">
        <v>161</v>
      </c>
      <c r="C20" s="67"/>
      <c r="D20" s="67"/>
      <c r="E20" s="76"/>
      <c r="F20" s="86" t="s">
        <v>199</v>
      </c>
      <c r="G20" s="66"/>
      <c r="H20" s="283" t="s">
        <v>198</v>
      </c>
      <c r="I20" s="267"/>
      <c r="J20" s="268"/>
    </row>
    <row r="21" spans="1:10" ht="22.5" customHeight="1" x14ac:dyDescent="0.15">
      <c r="B21" s="67"/>
      <c r="C21" s="67"/>
      <c r="D21" s="67"/>
      <c r="E21" s="76"/>
      <c r="F21" s="76"/>
      <c r="G21" s="76"/>
      <c r="H21" s="76"/>
      <c r="I21" s="76"/>
      <c r="J21" s="76"/>
    </row>
    <row r="22" spans="1:10" ht="22.5" customHeight="1" x14ac:dyDescent="0.15">
      <c r="B22" s="67"/>
      <c r="C22" s="67"/>
      <c r="D22" s="67"/>
      <c r="E22" s="76"/>
      <c r="F22" s="76"/>
      <c r="G22" s="76"/>
      <c r="H22" s="76"/>
      <c r="I22" s="76"/>
      <c r="J22" s="76"/>
    </row>
    <row r="23" spans="1:10" ht="22.5" customHeight="1" x14ac:dyDescent="0.15">
      <c r="B23" s="67"/>
      <c r="C23" s="67"/>
      <c r="D23" s="67"/>
      <c r="E23" s="76"/>
      <c r="F23" s="76"/>
      <c r="G23" s="76"/>
      <c r="H23" s="76"/>
      <c r="I23" s="76"/>
      <c r="J23" s="76"/>
    </row>
    <row r="24" spans="1:10" ht="22.5" customHeight="1" x14ac:dyDescent="0.15">
      <c r="B24" s="67"/>
      <c r="C24" s="67"/>
      <c r="D24" s="67"/>
      <c r="E24" s="76"/>
      <c r="F24" s="76"/>
      <c r="G24" s="76"/>
      <c r="H24" s="76"/>
      <c r="I24" s="76"/>
      <c r="J24" s="76"/>
    </row>
    <row r="25" spans="1:10" ht="22.5" customHeight="1" x14ac:dyDescent="0.15">
      <c r="B25" s="67"/>
      <c r="C25" s="67"/>
      <c r="D25" s="67"/>
      <c r="E25" s="76"/>
      <c r="F25" s="76"/>
      <c r="G25" s="76"/>
      <c r="H25" s="76"/>
      <c r="I25" s="76"/>
      <c r="J25" s="76"/>
    </row>
    <row r="26" spans="1:10" ht="22.5" customHeight="1" x14ac:dyDescent="0.15">
      <c r="B26" s="87"/>
      <c r="C26" s="87"/>
      <c r="D26" s="87"/>
      <c r="E26" s="87"/>
      <c r="F26" s="87"/>
      <c r="G26" s="87"/>
      <c r="H26" s="87"/>
      <c r="I26" s="87"/>
      <c r="J26" s="87"/>
    </row>
    <row r="27" spans="1:10" ht="22.5" customHeight="1" x14ac:dyDescent="0.15">
      <c r="B27" s="87"/>
      <c r="C27" s="87"/>
      <c r="D27" s="87"/>
      <c r="E27" s="87"/>
      <c r="F27" s="87"/>
      <c r="G27" s="87"/>
      <c r="H27" s="87"/>
      <c r="I27" s="87"/>
      <c r="J27" s="87"/>
    </row>
    <row r="28" spans="1:10" ht="22.5" customHeight="1" x14ac:dyDescent="0.15">
      <c r="B28" s="87"/>
      <c r="C28" s="87"/>
      <c r="D28" s="87"/>
      <c r="E28" s="87"/>
      <c r="F28" s="87"/>
      <c r="G28" s="87"/>
      <c r="H28" s="87"/>
      <c r="I28" s="87"/>
      <c r="J28" s="87"/>
    </row>
  </sheetData>
  <mergeCells count="24">
    <mergeCell ref="C8:D8"/>
    <mergeCell ref="E8:J8"/>
    <mergeCell ref="I2:J2"/>
    <mergeCell ref="A3:J3"/>
    <mergeCell ref="D4:J4"/>
    <mergeCell ref="B6:D6"/>
    <mergeCell ref="E6:J6"/>
    <mergeCell ref="C9:D9"/>
    <mergeCell ref="E9:J9"/>
    <mergeCell ref="C10:D10"/>
    <mergeCell ref="E10:J10"/>
    <mergeCell ref="C11:D11"/>
    <mergeCell ref="E11:J11"/>
    <mergeCell ref="C12:D12"/>
    <mergeCell ref="E12:J12"/>
    <mergeCell ref="C14:D14"/>
    <mergeCell ref="E14:J14"/>
    <mergeCell ref="C15:D15"/>
    <mergeCell ref="E15:J15"/>
    <mergeCell ref="B16:D16"/>
    <mergeCell ref="E16:J16"/>
    <mergeCell ref="B17:D17"/>
    <mergeCell ref="E17:J17"/>
    <mergeCell ref="H20:J20"/>
  </mergeCells>
  <phoneticPr fontId="1"/>
  <dataValidations count="2">
    <dataValidation type="list" allowBlank="1" showInputMessage="1" showErrorMessage="1" sqref="F20" xr:uid="{F86C49E0-2F41-4168-BB68-735A30F46816}">
      <formula1>"有,無,予定"</formula1>
    </dataValidation>
    <dataValidation type="list" allowBlank="1" showInputMessage="1" showErrorMessage="1" sqref="F19:G19" xr:uid="{E35F2E0F-C940-48F9-8C04-301A3BBBFEB7}">
      <formula1>#REF!</formula1>
    </dataValidation>
  </dataValidations>
  <hyperlinks>
    <hyperlink ref="H20" r:id="rId1" xr:uid="{7668994D-85E4-4828-B418-957995943B3A}"/>
  </hyperlinks>
  <printOptions horizontalCentered="1"/>
  <pageMargins left="0.78740157480314965" right="0.78740157480314965" top="0.78740157480314965" bottom="0.78740157480314965" header="0.31496062992125984" footer="0.31496062992125984"/>
  <pageSetup paperSize="9" scale="67" fitToHeight="0" orientation="portrait" r:id="rId2"/>
  <rowBreaks count="1" manualBreakCount="1">
    <brk id="1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8"/>
  <sheetViews>
    <sheetView showZeros="0" workbookViewId="0">
      <selection activeCell="L26" sqref="L26"/>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38" t="s">
        <v>162</v>
      </c>
      <c r="F1" s="138"/>
    </row>
    <row r="2" spans="1:6" ht="18.75" customHeight="1" x14ac:dyDescent="0.15">
      <c r="C2" s="58" t="s">
        <v>131</v>
      </c>
      <c r="D2" s="58" t="s">
        <v>132</v>
      </c>
      <c r="E2" s="170" t="s">
        <v>4</v>
      </c>
      <c r="F2" s="170"/>
    </row>
    <row r="3" spans="1:6" ht="7.5" customHeight="1" x14ac:dyDescent="0.15">
      <c r="C3" s="58"/>
      <c r="D3" s="58"/>
      <c r="E3" s="60"/>
      <c r="F3" s="60"/>
    </row>
    <row r="4" spans="1:6" ht="18.75" customHeight="1" x14ac:dyDescent="0.15">
      <c r="A4" s="139" t="s">
        <v>163</v>
      </c>
      <c r="B4" s="139"/>
      <c r="C4" s="139"/>
      <c r="D4" s="139"/>
      <c r="E4" s="139"/>
      <c r="F4" s="139"/>
    </row>
    <row r="5" spans="1:6" ht="7.5" customHeight="1" x14ac:dyDescent="0.15">
      <c r="A5" s="59"/>
      <c r="B5" s="59"/>
      <c r="C5" s="59"/>
      <c r="D5" s="59"/>
      <c r="E5" s="59"/>
      <c r="F5" s="59"/>
    </row>
    <row r="6" spans="1:6" ht="18.75" customHeight="1" x14ac:dyDescent="0.15">
      <c r="A6" s="59" t="s">
        <v>2</v>
      </c>
      <c r="B6" s="3" t="s">
        <v>164</v>
      </c>
      <c r="C6" s="59"/>
      <c r="D6" s="59"/>
      <c r="E6" s="59"/>
      <c r="F6" s="59"/>
    </row>
    <row r="7" spans="1:6" ht="18.75" customHeight="1" x14ac:dyDescent="0.15">
      <c r="A7" s="59"/>
      <c r="B7" s="281"/>
      <c r="C7" s="238"/>
      <c r="D7" s="238"/>
      <c r="E7" s="238"/>
      <c r="F7" s="239"/>
    </row>
    <row r="8" spans="1:6" ht="18.75" customHeight="1" x14ac:dyDescent="0.15">
      <c r="A8" s="59"/>
      <c r="B8" s="240"/>
      <c r="C8" s="282"/>
      <c r="D8" s="282"/>
      <c r="E8" s="282"/>
      <c r="F8" s="242"/>
    </row>
    <row r="9" spans="1:6" ht="18.75" customHeight="1" x14ac:dyDescent="0.15">
      <c r="A9" s="59"/>
      <c r="B9" s="240"/>
      <c r="C9" s="282"/>
      <c r="D9" s="282"/>
      <c r="E9" s="282"/>
      <c r="F9" s="242"/>
    </row>
    <row r="10" spans="1:6" ht="18.75" customHeight="1" x14ac:dyDescent="0.15">
      <c r="A10" s="59"/>
      <c r="B10" s="240"/>
      <c r="C10" s="282"/>
      <c r="D10" s="282"/>
      <c r="E10" s="282"/>
      <c r="F10" s="242"/>
    </row>
    <row r="11" spans="1:6" ht="18.75" customHeight="1" x14ac:dyDescent="0.15">
      <c r="A11" s="59"/>
      <c r="B11" s="240"/>
      <c r="C11" s="282"/>
      <c r="D11" s="282"/>
      <c r="E11" s="282"/>
      <c r="F11" s="242"/>
    </row>
    <row r="12" spans="1:6" ht="18.75" customHeight="1" x14ac:dyDescent="0.15">
      <c r="A12" s="59"/>
      <c r="B12" s="240"/>
      <c r="C12" s="282"/>
      <c r="D12" s="282"/>
      <c r="E12" s="282"/>
      <c r="F12" s="242"/>
    </row>
    <row r="13" spans="1:6" ht="18.75" customHeight="1" x14ac:dyDescent="0.15">
      <c r="A13" s="59"/>
      <c r="B13" s="240"/>
      <c r="C13" s="282"/>
      <c r="D13" s="282"/>
      <c r="E13" s="282"/>
      <c r="F13" s="242"/>
    </row>
    <row r="14" spans="1:6" ht="18.75" customHeight="1" x14ac:dyDescent="0.15">
      <c r="A14" s="59"/>
      <c r="B14" s="240"/>
      <c r="C14" s="282"/>
      <c r="D14" s="282"/>
      <c r="E14" s="282"/>
      <c r="F14" s="242"/>
    </row>
    <row r="15" spans="1:6" ht="18.75" customHeight="1" x14ac:dyDescent="0.15">
      <c r="A15" s="59"/>
      <c r="B15" s="240"/>
      <c r="C15" s="282"/>
      <c r="D15" s="282"/>
      <c r="E15" s="282"/>
      <c r="F15" s="242"/>
    </row>
    <row r="16" spans="1:6" ht="18.75" customHeight="1" x14ac:dyDescent="0.15">
      <c r="A16" s="59"/>
      <c r="B16" s="240"/>
      <c r="C16" s="282"/>
      <c r="D16" s="282"/>
      <c r="E16" s="282"/>
      <c r="F16" s="242"/>
    </row>
    <row r="17" spans="1:6" ht="18.75" customHeight="1" x14ac:dyDescent="0.15">
      <c r="A17" s="59"/>
      <c r="B17" s="240"/>
      <c r="C17" s="282"/>
      <c r="D17" s="282"/>
      <c r="E17" s="282"/>
      <c r="F17" s="242"/>
    </row>
    <row r="18" spans="1:6" ht="18.75" customHeight="1" x14ac:dyDescent="0.15">
      <c r="A18" s="59"/>
      <c r="B18" s="240"/>
      <c r="C18" s="282"/>
      <c r="D18" s="282"/>
      <c r="E18" s="282"/>
      <c r="F18" s="242"/>
    </row>
    <row r="19" spans="1:6" ht="18.75" customHeight="1" x14ac:dyDescent="0.15">
      <c r="A19" s="59"/>
      <c r="B19" s="240"/>
      <c r="C19" s="282"/>
      <c r="D19" s="282"/>
      <c r="E19" s="282"/>
      <c r="F19" s="242"/>
    </row>
    <row r="20" spans="1:6" ht="18.75" customHeight="1" x14ac:dyDescent="0.15">
      <c r="A20" s="59"/>
      <c r="B20" s="240"/>
      <c r="C20" s="282"/>
      <c r="D20" s="282"/>
      <c r="E20" s="282"/>
      <c r="F20" s="242"/>
    </row>
    <row r="21" spans="1:6" ht="18.75" customHeight="1" x14ac:dyDescent="0.15">
      <c r="A21" s="59"/>
      <c r="B21" s="240"/>
      <c r="C21" s="282"/>
      <c r="D21" s="282"/>
      <c r="E21" s="282"/>
      <c r="F21" s="242"/>
    </row>
    <row r="22" spans="1:6" ht="18.75" customHeight="1" x14ac:dyDescent="0.15">
      <c r="A22" s="59"/>
      <c r="B22" s="240"/>
      <c r="C22" s="282"/>
      <c r="D22" s="282"/>
      <c r="E22" s="282"/>
      <c r="F22" s="242"/>
    </row>
    <row r="23" spans="1:6" ht="18.75" customHeight="1" x14ac:dyDescent="0.15">
      <c r="A23" s="59"/>
      <c r="B23" s="240"/>
      <c r="C23" s="282"/>
      <c r="D23" s="282"/>
      <c r="E23" s="282"/>
      <c r="F23" s="242"/>
    </row>
    <row r="24" spans="1:6" ht="18.75" customHeight="1" x14ac:dyDescent="0.15">
      <c r="A24" s="59"/>
      <c r="B24" s="240"/>
      <c r="C24" s="282"/>
      <c r="D24" s="282"/>
      <c r="E24" s="282"/>
      <c r="F24" s="242"/>
    </row>
    <row r="25" spans="1:6" ht="18.75" customHeight="1" x14ac:dyDescent="0.15">
      <c r="A25" s="59"/>
      <c r="B25" s="240"/>
      <c r="C25" s="282"/>
      <c r="D25" s="282"/>
      <c r="E25" s="282"/>
      <c r="F25" s="242"/>
    </row>
    <row r="26" spans="1:6" ht="18.75" customHeight="1" x14ac:dyDescent="0.15">
      <c r="A26" s="59"/>
      <c r="B26" s="240"/>
      <c r="C26" s="282"/>
      <c r="D26" s="282"/>
      <c r="E26" s="282"/>
      <c r="F26" s="242"/>
    </row>
    <row r="27" spans="1:6" ht="18.75" customHeight="1" x14ac:dyDescent="0.15">
      <c r="A27" s="59"/>
      <c r="B27" s="240"/>
      <c r="C27" s="282"/>
      <c r="D27" s="282"/>
      <c r="E27" s="282"/>
      <c r="F27" s="242"/>
    </row>
    <row r="28" spans="1:6" ht="18.75" customHeight="1" x14ac:dyDescent="0.15">
      <c r="A28" s="59"/>
      <c r="B28" s="240"/>
      <c r="C28" s="282"/>
      <c r="D28" s="282"/>
      <c r="E28" s="282"/>
      <c r="F28" s="242"/>
    </row>
    <row r="29" spans="1:6" ht="18.75" customHeight="1" x14ac:dyDescent="0.15">
      <c r="A29" s="59"/>
      <c r="B29" s="240"/>
      <c r="C29" s="282"/>
      <c r="D29" s="282"/>
      <c r="E29" s="282"/>
      <c r="F29" s="242"/>
    </row>
    <row r="30" spans="1:6" ht="18.75" customHeight="1" x14ac:dyDescent="0.15">
      <c r="A30" s="59"/>
      <c r="B30" s="240"/>
      <c r="C30" s="282"/>
      <c r="D30" s="282"/>
      <c r="E30" s="282"/>
      <c r="F30" s="242"/>
    </row>
    <row r="31" spans="1:6" ht="18.75" customHeight="1" x14ac:dyDescent="0.15">
      <c r="A31" s="59"/>
      <c r="B31" s="240"/>
      <c r="C31" s="282"/>
      <c r="D31" s="282"/>
      <c r="E31" s="282"/>
      <c r="F31" s="242"/>
    </row>
    <row r="32" spans="1:6" ht="18.75" customHeight="1" x14ac:dyDescent="0.15">
      <c r="A32" s="59"/>
      <c r="B32" s="240"/>
      <c r="C32" s="282"/>
      <c r="D32" s="282"/>
      <c r="E32" s="282"/>
      <c r="F32" s="242"/>
    </row>
    <row r="33" spans="1:6" ht="18.75" customHeight="1" x14ac:dyDescent="0.15">
      <c r="A33" s="59"/>
      <c r="B33" s="240"/>
      <c r="C33" s="282"/>
      <c r="D33" s="282"/>
      <c r="E33" s="282"/>
      <c r="F33" s="242"/>
    </row>
    <row r="34" spans="1:6" ht="18.75" customHeight="1" x14ac:dyDescent="0.15">
      <c r="A34" s="59"/>
      <c r="B34" s="240"/>
      <c r="C34" s="282"/>
      <c r="D34" s="282"/>
      <c r="E34" s="282"/>
      <c r="F34" s="242"/>
    </row>
    <row r="35" spans="1:6" ht="18.75" customHeight="1" x14ac:dyDescent="0.15">
      <c r="A35" s="59"/>
      <c r="B35" s="240"/>
      <c r="C35" s="282"/>
      <c r="D35" s="282"/>
      <c r="E35" s="282"/>
      <c r="F35" s="242"/>
    </row>
    <row r="36" spans="1:6" ht="18.75" customHeight="1" x14ac:dyDescent="0.15">
      <c r="A36" s="59"/>
      <c r="B36" s="240"/>
      <c r="C36" s="282"/>
      <c r="D36" s="282"/>
      <c r="E36" s="282"/>
      <c r="F36" s="242"/>
    </row>
    <row r="37" spans="1:6" ht="18.75" customHeight="1" x14ac:dyDescent="0.15">
      <c r="A37" s="59"/>
      <c r="B37" s="240"/>
      <c r="C37" s="282"/>
      <c r="D37" s="282"/>
      <c r="E37" s="282"/>
      <c r="F37" s="242"/>
    </row>
    <row r="38" spans="1:6" ht="18.75" customHeight="1" x14ac:dyDescent="0.15">
      <c r="A38" s="59"/>
      <c r="B38" s="240"/>
      <c r="C38" s="282"/>
      <c r="D38" s="282"/>
      <c r="E38" s="282"/>
      <c r="F38" s="242"/>
    </row>
    <row r="39" spans="1:6" ht="18.75" customHeight="1" x14ac:dyDescent="0.15">
      <c r="A39" s="59"/>
      <c r="B39" s="240"/>
      <c r="C39" s="282"/>
      <c r="D39" s="282"/>
      <c r="E39" s="282"/>
      <c r="F39" s="242"/>
    </row>
    <row r="40" spans="1:6" ht="18.75" customHeight="1" x14ac:dyDescent="0.15">
      <c r="A40" s="59"/>
      <c r="B40" s="240"/>
      <c r="C40" s="282"/>
      <c r="D40" s="282"/>
      <c r="E40" s="282"/>
      <c r="F40" s="242"/>
    </row>
    <row r="41" spans="1:6" ht="18.75" customHeight="1" x14ac:dyDescent="0.15">
      <c r="A41" s="59"/>
      <c r="B41" s="240"/>
      <c r="C41" s="282"/>
      <c r="D41" s="282"/>
      <c r="E41" s="282"/>
      <c r="F41" s="242"/>
    </row>
    <row r="42" spans="1:6" ht="18.75" customHeight="1" x14ac:dyDescent="0.15">
      <c r="A42" s="59"/>
      <c r="B42" s="240"/>
      <c r="C42" s="282"/>
      <c r="D42" s="282"/>
      <c r="E42" s="282"/>
      <c r="F42" s="242"/>
    </row>
    <row r="43" spans="1:6" ht="18.75" customHeight="1" x14ac:dyDescent="0.15">
      <c r="A43" s="59"/>
      <c r="B43" s="240"/>
      <c r="C43" s="282"/>
      <c r="D43" s="282"/>
      <c r="E43" s="282"/>
      <c r="F43" s="242"/>
    </row>
    <row r="44" spans="1:6" ht="18.75" customHeight="1" x14ac:dyDescent="0.15">
      <c r="A44" s="59"/>
      <c r="B44" s="243"/>
      <c r="C44" s="244"/>
      <c r="D44" s="244"/>
      <c r="E44" s="244"/>
      <c r="F44" s="245"/>
    </row>
    <row r="45" spans="1:6" ht="18.75" customHeight="1" x14ac:dyDescent="0.15">
      <c r="A45" s="59" t="s">
        <v>5</v>
      </c>
      <c r="B45" s="3" t="s">
        <v>165</v>
      </c>
      <c r="C45" s="59"/>
      <c r="D45" s="59"/>
      <c r="E45" s="59"/>
      <c r="F45" s="59"/>
    </row>
    <row r="46" spans="1:6" ht="18.75" customHeight="1" x14ac:dyDescent="0.15">
      <c r="A46" s="59"/>
      <c r="B46" s="281"/>
      <c r="C46" s="238"/>
      <c r="D46" s="238"/>
      <c r="E46" s="238"/>
      <c r="F46" s="239"/>
    </row>
    <row r="47" spans="1:6" ht="18.75" customHeight="1" x14ac:dyDescent="0.15">
      <c r="A47" s="59"/>
      <c r="B47" s="240"/>
      <c r="C47" s="282"/>
      <c r="D47" s="282"/>
      <c r="E47" s="282"/>
      <c r="F47" s="242"/>
    </row>
    <row r="48" spans="1:6" ht="18.75" customHeight="1" x14ac:dyDescent="0.15">
      <c r="A48" s="59"/>
      <c r="B48" s="240"/>
      <c r="C48" s="282"/>
      <c r="D48" s="282"/>
      <c r="E48" s="282"/>
      <c r="F48" s="242"/>
    </row>
    <row r="49" spans="1:6" ht="18.75" customHeight="1" x14ac:dyDescent="0.15">
      <c r="A49" s="59"/>
      <c r="B49" s="240"/>
      <c r="C49" s="282"/>
      <c r="D49" s="282"/>
      <c r="E49" s="282"/>
      <c r="F49" s="242"/>
    </row>
    <row r="50" spans="1:6" ht="18.75" customHeight="1" x14ac:dyDescent="0.15">
      <c r="A50" s="59"/>
      <c r="B50" s="240"/>
      <c r="C50" s="282"/>
      <c r="D50" s="282"/>
      <c r="E50" s="282"/>
      <c r="F50" s="242"/>
    </row>
    <row r="51" spans="1:6" ht="18.75" customHeight="1" x14ac:dyDescent="0.15">
      <c r="A51" s="59"/>
      <c r="B51" s="240"/>
      <c r="C51" s="282"/>
      <c r="D51" s="282"/>
      <c r="E51" s="282"/>
      <c r="F51" s="242"/>
    </row>
    <row r="52" spans="1:6" ht="18.75" customHeight="1" x14ac:dyDescent="0.15">
      <c r="A52" s="59"/>
      <c r="B52" s="240"/>
      <c r="C52" s="282"/>
      <c r="D52" s="282"/>
      <c r="E52" s="282"/>
      <c r="F52" s="242"/>
    </row>
    <row r="53" spans="1:6" ht="18.75" customHeight="1" x14ac:dyDescent="0.15">
      <c r="A53" s="59"/>
      <c r="B53" s="240"/>
      <c r="C53" s="282"/>
      <c r="D53" s="282"/>
      <c r="E53" s="282"/>
      <c r="F53" s="242"/>
    </row>
    <row r="54" spans="1:6" ht="18.75" customHeight="1" x14ac:dyDescent="0.15">
      <c r="A54" s="59"/>
      <c r="B54" s="240"/>
      <c r="C54" s="282"/>
      <c r="D54" s="282"/>
      <c r="E54" s="282"/>
      <c r="F54" s="242"/>
    </row>
    <row r="55" spans="1:6" ht="18.75" customHeight="1" x14ac:dyDescent="0.15">
      <c r="A55" s="59"/>
      <c r="B55" s="240"/>
      <c r="C55" s="282"/>
      <c r="D55" s="282"/>
      <c r="E55" s="282"/>
      <c r="F55" s="242"/>
    </row>
    <row r="56" spans="1:6" ht="18.75" customHeight="1" x14ac:dyDescent="0.15">
      <c r="A56" s="59"/>
      <c r="B56" s="240"/>
      <c r="C56" s="282"/>
      <c r="D56" s="282"/>
      <c r="E56" s="282"/>
      <c r="F56" s="242"/>
    </row>
    <row r="57" spans="1:6" ht="18.75" customHeight="1" x14ac:dyDescent="0.15">
      <c r="A57" s="59"/>
      <c r="B57" s="240"/>
      <c r="C57" s="282"/>
      <c r="D57" s="282"/>
      <c r="E57" s="282"/>
      <c r="F57" s="242"/>
    </row>
    <row r="58" spans="1:6" ht="18.75" customHeight="1" x14ac:dyDescent="0.15">
      <c r="A58" s="59"/>
      <c r="B58" s="240"/>
      <c r="C58" s="282"/>
      <c r="D58" s="282"/>
      <c r="E58" s="282"/>
      <c r="F58" s="242"/>
    </row>
    <row r="59" spans="1:6" ht="18.75" customHeight="1" x14ac:dyDescent="0.15">
      <c r="A59" s="59"/>
      <c r="B59" s="240"/>
      <c r="C59" s="282"/>
      <c r="D59" s="282"/>
      <c r="E59" s="282"/>
      <c r="F59" s="242"/>
    </row>
    <row r="60" spans="1:6" ht="18.75" customHeight="1" x14ac:dyDescent="0.15">
      <c r="A60" s="59"/>
      <c r="B60" s="240"/>
      <c r="C60" s="282"/>
      <c r="D60" s="282"/>
      <c r="E60" s="282"/>
      <c r="F60" s="242"/>
    </row>
    <row r="61" spans="1:6" ht="18.75" customHeight="1" x14ac:dyDescent="0.15">
      <c r="A61" s="59"/>
      <c r="B61" s="240"/>
      <c r="C61" s="282"/>
      <c r="D61" s="282"/>
      <c r="E61" s="282"/>
      <c r="F61" s="242"/>
    </row>
    <row r="62" spans="1:6" ht="18.75" customHeight="1" x14ac:dyDescent="0.15">
      <c r="A62" s="59"/>
      <c r="B62" s="240"/>
      <c r="C62" s="282"/>
      <c r="D62" s="282"/>
      <c r="E62" s="282"/>
      <c r="F62" s="242"/>
    </row>
    <row r="63" spans="1:6" ht="18.75" customHeight="1" x14ac:dyDescent="0.15">
      <c r="A63" s="59"/>
      <c r="B63" s="240"/>
      <c r="C63" s="282"/>
      <c r="D63" s="282"/>
      <c r="E63" s="282"/>
      <c r="F63" s="242"/>
    </row>
    <row r="64" spans="1:6" ht="18.75" customHeight="1" x14ac:dyDescent="0.15">
      <c r="A64" s="59"/>
      <c r="B64" s="240"/>
      <c r="C64" s="282"/>
      <c r="D64" s="282"/>
      <c r="E64" s="282"/>
      <c r="F64" s="242"/>
    </row>
    <row r="65" spans="1:6" ht="18.75" customHeight="1" x14ac:dyDescent="0.15">
      <c r="A65" s="59"/>
      <c r="B65" s="240"/>
      <c r="C65" s="282"/>
      <c r="D65" s="282"/>
      <c r="E65" s="282"/>
      <c r="F65" s="242"/>
    </row>
    <row r="66" spans="1:6" ht="18.75" customHeight="1" x14ac:dyDescent="0.15">
      <c r="A66" s="59"/>
      <c r="B66" s="240"/>
      <c r="C66" s="282"/>
      <c r="D66" s="282"/>
      <c r="E66" s="282"/>
      <c r="F66" s="242"/>
    </row>
    <row r="67" spans="1:6" ht="18.75" customHeight="1" x14ac:dyDescent="0.15">
      <c r="A67" s="59"/>
      <c r="B67" s="240"/>
      <c r="C67" s="282"/>
      <c r="D67" s="282"/>
      <c r="E67" s="282"/>
      <c r="F67" s="242"/>
    </row>
    <row r="68" spans="1:6" ht="18.75" customHeight="1" x14ac:dyDescent="0.15">
      <c r="A68" s="59"/>
      <c r="B68" s="240"/>
      <c r="C68" s="282"/>
      <c r="D68" s="282"/>
      <c r="E68" s="282"/>
      <c r="F68" s="242"/>
    </row>
    <row r="69" spans="1:6" ht="18.75" customHeight="1" x14ac:dyDescent="0.15">
      <c r="A69" s="59"/>
      <c r="B69" s="240"/>
      <c r="C69" s="282"/>
      <c r="D69" s="282"/>
      <c r="E69" s="282"/>
      <c r="F69" s="242"/>
    </row>
    <row r="70" spans="1:6" ht="18.75" customHeight="1" x14ac:dyDescent="0.15">
      <c r="A70" s="59"/>
      <c r="B70" s="240"/>
      <c r="C70" s="282"/>
      <c r="D70" s="282"/>
      <c r="E70" s="282"/>
      <c r="F70" s="242"/>
    </row>
    <row r="71" spans="1:6" ht="18.75" customHeight="1" x14ac:dyDescent="0.15">
      <c r="A71" s="59"/>
      <c r="B71" s="240"/>
      <c r="C71" s="282"/>
      <c r="D71" s="282"/>
      <c r="E71" s="282"/>
      <c r="F71" s="242"/>
    </row>
    <row r="72" spans="1:6" ht="18.75" customHeight="1" x14ac:dyDescent="0.15">
      <c r="A72" s="59"/>
      <c r="B72" s="240"/>
      <c r="C72" s="282"/>
      <c r="D72" s="282"/>
      <c r="E72" s="282"/>
      <c r="F72" s="242"/>
    </row>
    <row r="73" spans="1:6" ht="18.75" customHeight="1" x14ac:dyDescent="0.15">
      <c r="A73" s="59"/>
      <c r="B73" s="240"/>
      <c r="C73" s="282"/>
      <c r="D73" s="282"/>
      <c r="E73" s="282"/>
      <c r="F73" s="242"/>
    </row>
    <row r="74" spans="1:6" ht="18.75" customHeight="1" x14ac:dyDescent="0.15">
      <c r="A74" s="59"/>
      <c r="B74" s="240"/>
      <c r="C74" s="282"/>
      <c r="D74" s="282"/>
      <c r="E74" s="282"/>
      <c r="F74" s="242"/>
    </row>
    <row r="75" spans="1:6" ht="18.75" customHeight="1" x14ac:dyDescent="0.15">
      <c r="A75" s="59"/>
      <c r="B75" s="240"/>
      <c r="C75" s="282"/>
      <c r="D75" s="282"/>
      <c r="E75" s="282"/>
      <c r="F75" s="242"/>
    </row>
    <row r="76" spans="1:6" ht="18.75" customHeight="1" x14ac:dyDescent="0.15">
      <c r="A76" s="59"/>
      <c r="B76" s="240"/>
      <c r="C76" s="282"/>
      <c r="D76" s="282"/>
      <c r="E76" s="282"/>
      <c r="F76" s="242"/>
    </row>
    <row r="77" spans="1:6" ht="18.75" customHeight="1" x14ac:dyDescent="0.15">
      <c r="A77" s="59"/>
      <c r="B77" s="240"/>
      <c r="C77" s="282"/>
      <c r="D77" s="282"/>
      <c r="E77" s="282"/>
      <c r="F77" s="242"/>
    </row>
    <row r="78" spans="1:6" ht="18.75" customHeight="1" x14ac:dyDescent="0.15">
      <c r="A78" s="59"/>
      <c r="B78" s="240"/>
      <c r="C78" s="282"/>
      <c r="D78" s="282"/>
      <c r="E78" s="282"/>
      <c r="F78" s="242"/>
    </row>
    <row r="79" spans="1:6" ht="18.75" customHeight="1" x14ac:dyDescent="0.15">
      <c r="A79" s="59"/>
      <c r="B79" s="240"/>
      <c r="C79" s="282"/>
      <c r="D79" s="282"/>
      <c r="E79" s="282"/>
      <c r="F79" s="242"/>
    </row>
    <row r="80" spans="1:6" ht="18.75" customHeight="1" x14ac:dyDescent="0.15">
      <c r="A80" s="59"/>
      <c r="B80" s="240"/>
      <c r="C80" s="282"/>
      <c r="D80" s="282"/>
      <c r="E80" s="282"/>
      <c r="F80" s="242"/>
    </row>
    <row r="81" spans="1:6" ht="18.75" customHeight="1" x14ac:dyDescent="0.15">
      <c r="A81" s="59"/>
      <c r="B81" s="240"/>
      <c r="C81" s="282"/>
      <c r="D81" s="282"/>
      <c r="E81" s="282"/>
      <c r="F81" s="242"/>
    </row>
    <row r="82" spans="1:6" ht="18.75" customHeight="1" x14ac:dyDescent="0.15">
      <c r="A82" s="59"/>
      <c r="B82" s="240"/>
      <c r="C82" s="282"/>
      <c r="D82" s="282"/>
      <c r="E82" s="282"/>
      <c r="F82" s="242"/>
    </row>
    <row r="83" spans="1:6" ht="18.75" customHeight="1" x14ac:dyDescent="0.15">
      <c r="A83" s="59"/>
      <c r="B83" s="240"/>
      <c r="C83" s="282"/>
      <c r="D83" s="282"/>
      <c r="E83" s="282"/>
      <c r="F83" s="242"/>
    </row>
    <row r="84" spans="1:6" ht="18.75" customHeight="1" x14ac:dyDescent="0.15">
      <c r="A84" s="59"/>
      <c r="B84" s="240"/>
      <c r="C84" s="282"/>
      <c r="D84" s="282"/>
      <c r="E84" s="282"/>
      <c r="F84" s="242"/>
    </row>
    <row r="85" spans="1:6" ht="18.75" customHeight="1" x14ac:dyDescent="0.15">
      <c r="A85" s="59"/>
      <c r="B85" s="240"/>
      <c r="C85" s="282"/>
      <c r="D85" s="282"/>
      <c r="E85" s="282"/>
      <c r="F85" s="242"/>
    </row>
    <row r="86" spans="1:6" ht="18.75" customHeight="1" x14ac:dyDescent="0.15">
      <c r="A86" s="59"/>
      <c r="B86" s="243"/>
      <c r="C86" s="244"/>
      <c r="D86" s="244"/>
      <c r="E86" s="244"/>
      <c r="F86" s="245"/>
    </row>
    <row r="87" spans="1:6" s="5" customFormat="1" ht="18.75" customHeight="1" x14ac:dyDescent="0.15">
      <c r="A87" s="3" t="s">
        <v>8</v>
      </c>
      <c r="B87" s="3" t="s">
        <v>166</v>
      </c>
      <c r="C87" s="3"/>
      <c r="D87" s="3"/>
      <c r="E87" s="3"/>
      <c r="F87" s="3"/>
    </row>
    <row r="88" spans="1:6" ht="18.75" customHeight="1" x14ac:dyDescent="0.15">
      <c r="A88" s="59"/>
      <c r="B88" s="281"/>
      <c r="C88" s="238"/>
      <c r="D88" s="238"/>
      <c r="E88" s="238"/>
      <c r="F88" s="239"/>
    </row>
    <row r="89" spans="1:6" ht="18.75" customHeight="1" x14ac:dyDescent="0.15">
      <c r="A89" s="59"/>
      <c r="B89" s="240"/>
      <c r="C89" s="282"/>
      <c r="D89" s="282"/>
      <c r="E89" s="282"/>
      <c r="F89" s="242"/>
    </row>
    <row r="90" spans="1:6" ht="18.75" customHeight="1" x14ac:dyDescent="0.15">
      <c r="A90" s="59"/>
      <c r="B90" s="240"/>
      <c r="C90" s="282"/>
      <c r="D90" s="282"/>
      <c r="E90" s="282"/>
      <c r="F90" s="242"/>
    </row>
    <row r="91" spans="1:6" ht="18.75" customHeight="1" x14ac:dyDescent="0.15">
      <c r="A91" s="59"/>
      <c r="B91" s="240"/>
      <c r="C91" s="282"/>
      <c r="D91" s="282"/>
      <c r="E91" s="282"/>
      <c r="F91" s="242"/>
    </row>
    <row r="92" spans="1:6" ht="18.75" customHeight="1" x14ac:dyDescent="0.15">
      <c r="A92" s="59"/>
      <c r="B92" s="240"/>
      <c r="C92" s="282"/>
      <c r="D92" s="282"/>
      <c r="E92" s="282"/>
      <c r="F92" s="242"/>
    </row>
    <row r="93" spans="1:6" ht="18.75" customHeight="1" x14ac:dyDescent="0.15">
      <c r="A93" s="59"/>
      <c r="B93" s="240"/>
      <c r="C93" s="282"/>
      <c r="D93" s="282"/>
      <c r="E93" s="282"/>
      <c r="F93" s="242"/>
    </row>
    <row r="94" spans="1:6" ht="18.75" customHeight="1" x14ac:dyDescent="0.15">
      <c r="A94" s="59"/>
      <c r="B94" s="240"/>
      <c r="C94" s="282"/>
      <c r="D94" s="282"/>
      <c r="E94" s="282"/>
      <c r="F94" s="242"/>
    </row>
    <row r="95" spans="1:6" ht="18.75" customHeight="1" x14ac:dyDescent="0.15">
      <c r="A95" s="59"/>
      <c r="B95" s="240"/>
      <c r="C95" s="282"/>
      <c r="D95" s="282"/>
      <c r="E95" s="282"/>
      <c r="F95" s="242"/>
    </row>
    <row r="96" spans="1:6" ht="18.75" customHeight="1" x14ac:dyDescent="0.15">
      <c r="A96" s="59"/>
      <c r="B96" s="240"/>
      <c r="C96" s="282"/>
      <c r="D96" s="282"/>
      <c r="E96" s="282"/>
      <c r="F96" s="242"/>
    </row>
    <row r="97" spans="1:6" ht="18.75" customHeight="1" x14ac:dyDescent="0.15">
      <c r="A97" s="59"/>
      <c r="B97" s="240"/>
      <c r="C97" s="282"/>
      <c r="D97" s="282"/>
      <c r="E97" s="282"/>
      <c r="F97" s="242"/>
    </row>
    <row r="98" spans="1:6" ht="18.75" customHeight="1" x14ac:dyDescent="0.15">
      <c r="A98" s="59"/>
      <c r="B98" s="240"/>
      <c r="C98" s="282"/>
      <c r="D98" s="282"/>
      <c r="E98" s="282"/>
      <c r="F98" s="242"/>
    </row>
    <row r="99" spans="1:6" ht="18.75" customHeight="1" x14ac:dyDescent="0.15">
      <c r="A99" s="59"/>
      <c r="B99" s="240"/>
      <c r="C99" s="282"/>
      <c r="D99" s="282"/>
      <c r="E99" s="282"/>
      <c r="F99" s="242"/>
    </row>
    <row r="100" spans="1:6" ht="18.75" customHeight="1" x14ac:dyDescent="0.15">
      <c r="A100" s="59"/>
      <c r="B100" s="240"/>
      <c r="C100" s="282"/>
      <c r="D100" s="282"/>
      <c r="E100" s="282"/>
      <c r="F100" s="242"/>
    </row>
    <row r="101" spans="1:6" ht="18.75" customHeight="1" x14ac:dyDescent="0.15">
      <c r="A101" s="59"/>
      <c r="B101" s="240"/>
      <c r="C101" s="282"/>
      <c r="D101" s="282"/>
      <c r="E101" s="282"/>
      <c r="F101" s="242"/>
    </row>
    <row r="102" spans="1:6" ht="18.75" customHeight="1" x14ac:dyDescent="0.15">
      <c r="A102" s="59"/>
      <c r="B102" s="240"/>
      <c r="C102" s="282"/>
      <c r="D102" s="282"/>
      <c r="E102" s="282"/>
      <c r="F102" s="242"/>
    </row>
    <row r="103" spans="1:6" ht="18.75" customHeight="1" x14ac:dyDescent="0.15">
      <c r="A103" s="59"/>
      <c r="B103" s="240"/>
      <c r="C103" s="282"/>
      <c r="D103" s="282"/>
      <c r="E103" s="282"/>
      <c r="F103" s="242"/>
    </row>
    <row r="104" spans="1:6" ht="18.75" customHeight="1" x14ac:dyDescent="0.15">
      <c r="A104" s="59"/>
      <c r="B104" s="240"/>
      <c r="C104" s="282"/>
      <c r="D104" s="282"/>
      <c r="E104" s="282"/>
      <c r="F104" s="242"/>
    </row>
    <row r="105" spans="1:6" ht="18.75" customHeight="1" x14ac:dyDescent="0.15">
      <c r="A105" s="59"/>
      <c r="B105" s="240"/>
      <c r="C105" s="282"/>
      <c r="D105" s="282"/>
      <c r="E105" s="282"/>
      <c r="F105" s="242"/>
    </row>
    <row r="106" spans="1:6" ht="18.75" customHeight="1" x14ac:dyDescent="0.15">
      <c r="A106" s="59"/>
      <c r="B106" s="240"/>
      <c r="C106" s="282"/>
      <c r="D106" s="282"/>
      <c r="E106" s="282"/>
      <c r="F106" s="242"/>
    </row>
    <row r="107" spans="1:6" ht="18.75" customHeight="1" x14ac:dyDescent="0.15">
      <c r="A107" s="59"/>
      <c r="B107" s="240"/>
      <c r="C107" s="282"/>
      <c r="D107" s="282"/>
      <c r="E107" s="282"/>
      <c r="F107" s="242"/>
    </row>
    <row r="108" spans="1:6" ht="18.75" customHeight="1" x14ac:dyDescent="0.15">
      <c r="A108" s="59"/>
      <c r="B108" s="240"/>
      <c r="C108" s="282"/>
      <c r="D108" s="282"/>
      <c r="E108" s="282"/>
      <c r="F108" s="242"/>
    </row>
    <row r="109" spans="1:6" ht="18.75" customHeight="1" x14ac:dyDescent="0.15">
      <c r="A109" s="59"/>
      <c r="B109" s="240"/>
      <c r="C109" s="282"/>
      <c r="D109" s="282"/>
      <c r="E109" s="282"/>
      <c r="F109" s="242"/>
    </row>
    <row r="110" spans="1:6" ht="18.75" customHeight="1" x14ac:dyDescent="0.15">
      <c r="A110" s="59"/>
      <c r="B110" s="240"/>
      <c r="C110" s="282"/>
      <c r="D110" s="282"/>
      <c r="E110" s="282"/>
      <c r="F110" s="242"/>
    </row>
    <row r="111" spans="1:6" ht="18.75" customHeight="1" x14ac:dyDescent="0.15">
      <c r="A111" s="59"/>
      <c r="B111" s="240"/>
      <c r="C111" s="282"/>
      <c r="D111" s="282"/>
      <c r="E111" s="282"/>
      <c r="F111" s="242"/>
    </row>
    <row r="112" spans="1:6" ht="18.75" customHeight="1" x14ac:dyDescent="0.15">
      <c r="A112" s="59"/>
      <c r="B112" s="240"/>
      <c r="C112" s="282"/>
      <c r="D112" s="282"/>
      <c r="E112" s="282"/>
      <c r="F112" s="242"/>
    </row>
    <row r="113" spans="1:6" ht="18.75" customHeight="1" x14ac:dyDescent="0.15">
      <c r="A113" s="59"/>
      <c r="B113" s="240"/>
      <c r="C113" s="282"/>
      <c r="D113" s="282"/>
      <c r="E113" s="282"/>
      <c r="F113" s="242"/>
    </row>
    <row r="114" spans="1:6" ht="18.75" customHeight="1" x14ac:dyDescent="0.15">
      <c r="A114" s="59"/>
      <c r="B114" s="240"/>
      <c r="C114" s="282"/>
      <c r="D114" s="282"/>
      <c r="E114" s="282"/>
      <c r="F114" s="242"/>
    </row>
    <row r="115" spans="1:6" ht="18.75" customHeight="1" x14ac:dyDescent="0.15">
      <c r="A115" s="59"/>
      <c r="B115" s="240"/>
      <c r="C115" s="282"/>
      <c r="D115" s="282"/>
      <c r="E115" s="282"/>
      <c r="F115" s="242"/>
    </row>
    <row r="116" spans="1:6" ht="18.75" customHeight="1" x14ac:dyDescent="0.15">
      <c r="A116" s="59"/>
      <c r="B116" s="240"/>
      <c r="C116" s="282"/>
      <c r="D116" s="282"/>
      <c r="E116" s="282"/>
      <c r="F116" s="242"/>
    </row>
    <row r="117" spans="1:6" ht="18.75" customHeight="1" x14ac:dyDescent="0.15">
      <c r="A117" s="59"/>
      <c r="B117" s="240"/>
      <c r="C117" s="282"/>
      <c r="D117" s="282"/>
      <c r="E117" s="282"/>
      <c r="F117" s="242"/>
    </row>
    <row r="118" spans="1:6" ht="18.75" customHeight="1" x14ac:dyDescent="0.15">
      <c r="A118" s="59"/>
      <c r="B118" s="240"/>
      <c r="C118" s="282"/>
      <c r="D118" s="282"/>
      <c r="E118" s="282"/>
      <c r="F118" s="242"/>
    </row>
    <row r="119" spans="1:6" ht="18.75" customHeight="1" x14ac:dyDescent="0.15">
      <c r="A119" s="59"/>
      <c r="B119" s="240"/>
      <c r="C119" s="282"/>
      <c r="D119" s="282"/>
      <c r="E119" s="282"/>
      <c r="F119" s="242"/>
    </row>
    <row r="120" spans="1:6" ht="18.75" customHeight="1" x14ac:dyDescent="0.15">
      <c r="A120" s="59"/>
      <c r="B120" s="240"/>
      <c r="C120" s="282"/>
      <c r="D120" s="282"/>
      <c r="E120" s="282"/>
      <c r="F120" s="242"/>
    </row>
    <row r="121" spans="1:6" ht="18.75" customHeight="1" x14ac:dyDescent="0.15">
      <c r="A121" s="59"/>
      <c r="B121" s="240"/>
      <c r="C121" s="282"/>
      <c r="D121" s="282"/>
      <c r="E121" s="282"/>
      <c r="F121" s="242"/>
    </row>
    <row r="122" spans="1:6" ht="18.75" customHeight="1" x14ac:dyDescent="0.15">
      <c r="A122" s="59"/>
      <c r="B122" s="240"/>
      <c r="C122" s="282"/>
      <c r="D122" s="282"/>
      <c r="E122" s="282"/>
      <c r="F122" s="242"/>
    </row>
    <row r="123" spans="1:6" ht="18.75" customHeight="1" x14ac:dyDescent="0.15">
      <c r="A123" s="59"/>
      <c r="B123" s="240"/>
      <c r="C123" s="282"/>
      <c r="D123" s="282"/>
      <c r="E123" s="282"/>
      <c r="F123" s="242"/>
    </row>
    <row r="124" spans="1:6" ht="18.75" customHeight="1" x14ac:dyDescent="0.15">
      <c r="A124" s="59"/>
      <c r="B124" s="240"/>
      <c r="C124" s="282"/>
      <c r="D124" s="282"/>
      <c r="E124" s="282"/>
      <c r="F124" s="242"/>
    </row>
    <row r="125" spans="1:6" ht="18.75" customHeight="1" x14ac:dyDescent="0.15">
      <c r="A125" s="59"/>
      <c r="B125" s="240"/>
      <c r="C125" s="282"/>
      <c r="D125" s="282"/>
      <c r="E125" s="282"/>
      <c r="F125" s="242"/>
    </row>
    <row r="126" spans="1:6" ht="18.75" customHeight="1" x14ac:dyDescent="0.15">
      <c r="A126" s="59"/>
      <c r="B126" s="240"/>
      <c r="C126" s="282"/>
      <c r="D126" s="282"/>
      <c r="E126" s="282"/>
      <c r="F126" s="242"/>
    </row>
    <row r="127" spans="1:6" ht="18.75" customHeight="1" x14ac:dyDescent="0.15">
      <c r="A127" s="59"/>
      <c r="B127" s="240"/>
      <c r="C127" s="282"/>
      <c r="D127" s="282"/>
      <c r="E127" s="282"/>
      <c r="F127" s="242"/>
    </row>
    <row r="128" spans="1:6" ht="18.75" customHeight="1" x14ac:dyDescent="0.15">
      <c r="A128" s="59"/>
      <c r="B128" s="243"/>
      <c r="C128" s="244"/>
      <c r="D128" s="244"/>
      <c r="E128" s="244"/>
      <c r="F128" s="245"/>
    </row>
  </sheetData>
  <mergeCells count="6">
    <mergeCell ref="B88:F128"/>
    <mergeCell ref="E1:F1"/>
    <mergeCell ref="E2:F2"/>
    <mergeCell ref="A4:F4"/>
    <mergeCell ref="B7:F44"/>
    <mergeCell ref="B46:F86"/>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3EF9D6D6ACB3346B1B763F9715BE123" ma:contentTypeVersion="7" ma:contentTypeDescription="新しいドキュメントを作成します。" ma:contentTypeScope="" ma:versionID="cf090f33dcb9e93c27374a22927bd600">
  <xsd:schema xmlns:xsd="http://www.w3.org/2001/XMLSchema" xmlns:xs="http://www.w3.org/2001/XMLSchema" xmlns:p="http://schemas.microsoft.com/office/2006/metadata/properties" xmlns:ns2="6893c449-a37d-4056-96dc-b3063fe9bc81" targetNamespace="http://schemas.microsoft.com/office/2006/metadata/properties" ma:root="true" ma:fieldsID="e38c9fb0785060549224762e6ed230b2" ns2:_="">
    <xsd:import namespace="6893c449-a37d-4056-96dc-b3063fe9bc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93c449-a37d-4056-96dc-b3063fe9bc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A0752B-994D-4462-8BAB-7152BFB864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93c449-a37d-4056-96dc-b3063fe9bc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3950A3-459F-4E9D-AFDD-2B8E2EB75CD0}">
  <ds:schemaRefs>
    <ds:schemaRef ds:uri="http://schemas.microsoft.com/sharepoint/v3/contenttype/forms"/>
  </ds:schemaRefs>
</ds:datastoreItem>
</file>

<file path=customXml/itemProps3.xml><?xml version="1.0" encoding="utf-8"?>
<ds:datastoreItem xmlns:ds="http://schemas.openxmlformats.org/officeDocument/2006/customXml" ds:itemID="{4F2DFD2E-5DB9-462C-BA6D-79543D338F5F}">
  <ds:schemaRefs>
    <ds:schemaRef ds:uri="6893c449-a37d-4056-96dc-b3063fe9bc81"/>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CDSE</cp:lastModifiedBy>
  <cp:revision/>
  <cp:lastPrinted>2021-05-11T06:48:25Z</cp:lastPrinted>
  <dcterms:created xsi:type="dcterms:W3CDTF">2011-06-14T05:32:50Z</dcterms:created>
  <dcterms:modified xsi:type="dcterms:W3CDTF">2021-06-29T08:31:16Z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0x010100E3EF9D6D6ACB3346B1B763F9715BE123</vt:lpwstr>
  </property>
</Properties>
</file>