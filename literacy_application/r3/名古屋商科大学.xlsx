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gakus\Desktop\提出書類-20210716T150024Z-001\提出書類\"/>
    </mc:Choice>
  </mc:AlternateContent>
  <bookViews>
    <workbookView xWindow="41115" yWindow="495" windowWidth="37365" windowHeight="26040" tabRatio="885"/>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3">'様式4 プログラムの授業内容・概要'!$A$1:$G$141</definedName>
    <definedName name="_xlnm.Print_Area" localSheetId="4">'様式５　教育の質・履修者数を向上させるための体制・計画'!$A$1:$E$134</definedName>
    <definedName name="_xlnm.Print_Area" localSheetId="5">'様式６　自己点検・評価'!$A$1:$K$20</definedName>
    <definedName name="_xlnm.Print_Area" localSheetId="6">'様式７　特色ある取組'!$A$1:$F$130</definedName>
  </definedNames>
  <calcPr calcId="162913"/>
</workbook>
</file>

<file path=xl/calcChain.xml><?xml version="1.0" encoding="utf-8"?>
<calcChain xmlns="http://schemas.openxmlformats.org/spreadsheetml/2006/main">
  <c r="R9" i="31" l="1"/>
  <c r="R28" i="31"/>
  <c r="Q28" i="31"/>
  <c r="J22" i="8"/>
  <c r="P28" i="31" l="1"/>
  <c r="O28" i="31"/>
  <c r="N28" i="31"/>
  <c r="M28" i="31"/>
  <c r="L28" i="31"/>
  <c r="K28" i="31"/>
  <c r="J28" i="31"/>
  <c r="I28" i="31"/>
  <c r="H28" i="31"/>
  <c r="G28" i="31"/>
  <c r="F28" i="31"/>
  <c r="E28" i="31"/>
  <c r="D28" i="31"/>
  <c r="Q11" i="31"/>
  <c r="R11" i="31" s="1"/>
  <c r="Q10" i="31"/>
  <c r="R10" i="31" s="1"/>
  <c r="Q9" i="31"/>
  <c r="Q8" i="31"/>
  <c r="R8" i="31" l="1"/>
</calcChain>
</file>

<file path=xl/sharedStrings.xml><?xml version="1.0" encoding="utf-8"?>
<sst xmlns="http://schemas.openxmlformats.org/spreadsheetml/2006/main" count="297" uniqueCount="230">
  <si>
    <t>教員数</t>
    <rPh sb="0" eb="2">
      <t>キョウイン</t>
    </rPh>
    <rPh sb="2" eb="3">
      <t>スウ</t>
    </rPh>
    <phoneticPr fontId="6"/>
  </si>
  <si>
    <t>所属部署名</t>
    <rPh sb="0" eb="2">
      <t>ショゾク</t>
    </rPh>
    <rPh sb="2" eb="4">
      <t>ブショ</t>
    </rPh>
    <rPh sb="4" eb="5">
      <t>メイ</t>
    </rPh>
    <phoneticPr fontId="6"/>
  </si>
  <si>
    <t>担当者名</t>
    <rPh sb="0" eb="2">
      <t>タントウ</t>
    </rPh>
    <rPh sb="2" eb="3">
      <t>シャ</t>
    </rPh>
    <rPh sb="3" eb="4">
      <t>メイ</t>
    </rPh>
    <phoneticPr fontId="6"/>
  </si>
  <si>
    <t>連絡先</t>
    <rPh sb="0" eb="3">
      <t>レンラクサキ</t>
    </rPh>
    <phoneticPr fontId="6"/>
  </si>
  <si>
    <t>電話番号</t>
  </si>
  <si>
    <t>E-mail</t>
  </si>
  <si>
    <t>（常勤）</t>
    <rPh sb="1" eb="3">
      <t>ジョウキン</t>
    </rPh>
    <phoneticPr fontId="6"/>
  </si>
  <si>
    <t>①</t>
    <phoneticPr fontId="6"/>
  </si>
  <si>
    <t>：</t>
    <phoneticPr fontId="6"/>
  </si>
  <si>
    <t>様式６</t>
    <rPh sb="0" eb="2">
      <t>ヨウシキ</t>
    </rPh>
    <phoneticPr fontId="6"/>
  </si>
  <si>
    <t>人</t>
    <rPh sb="0" eb="1">
      <t>ニン</t>
    </rPh>
    <phoneticPr fontId="6"/>
  </si>
  <si>
    <t>（非常勤）</t>
    <rPh sb="1" eb="4">
      <t>ヒジョウキン</t>
    </rPh>
    <phoneticPr fontId="6"/>
  </si>
  <si>
    <t>②</t>
    <phoneticPr fontId="6"/>
  </si>
  <si>
    <t>③</t>
    <phoneticPr fontId="6"/>
  </si>
  <si>
    <t>⑤</t>
    <phoneticPr fontId="6"/>
  </si>
  <si>
    <t>⑦</t>
    <phoneticPr fontId="6"/>
  </si>
  <si>
    <t>様式７</t>
    <rPh sb="0" eb="2">
      <t>ヨウシキ</t>
    </rPh>
    <phoneticPr fontId="6"/>
  </si>
  <si>
    <t>④</t>
    <phoneticPr fontId="6"/>
  </si>
  <si>
    <t>⑥</t>
    <phoneticPr fontId="6"/>
  </si>
  <si>
    <t>具体的な構成員</t>
    <rPh sb="0" eb="3">
      <t>グタイテキ</t>
    </rPh>
    <rPh sb="4" eb="7">
      <t>コウセイイン</t>
    </rPh>
    <phoneticPr fontId="6"/>
  </si>
  <si>
    <t>学校名</t>
    <rPh sb="0" eb="2">
      <t>ガッコウ</t>
    </rPh>
    <rPh sb="2" eb="3">
      <t>メイ</t>
    </rPh>
    <phoneticPr fontId="6"/>
  </si>
  <si>
    <t>１年次</t>
    <rPh sb="1" eb="2">
      <t>ネン</t>
    </rPh>
    <rPh sb="2" eb="3">
      <t>ツギ</t>
    </rPh>
    <phoneticPr fontId="6"/>
  </si>
  <si>
    <t>２年次</t>
    <rPh sb="1" eb="2">
      <t>ネン</t>
    </rPh>
    <rPh sb="2" eb="3">
      <t>ツギ</t>
    </rPh>
    <phoneticPr fontId="6"/>
  </si>
  <si>
    <t>３年次</t>
    <rPh sb="1" eb="2">
      <t>ネン</t>
    </rPh>
    <rPh sb="2" eb="3">
      <t>ツギ</t>
    </rPh>
    <phoneticPr fontId="6"/>
  </si>
  <si>
    <t>４年次</t>
    <rPh sb="1" eb="2">
      <t>ネン</t>
    </rPh>
    <rPh sb="2" eb="3">
      <t>ツギ</t>
    </rPh>
    <phoneticPr fontId="6"/>
  </si>
  <si>
    <t>人</t>
  </si>
  <si>
    <t>人</t>
    <rPh sb="0" eb="1">
      <t>ニン</t>
    </rPh>
    <phoneticPr fontId="6"/>
  </si>
  <si>
    <t>（役職名）</t>
    <rPh sb="1" eb="4">
      <t>ヤクショクメイ</t>
    </rPh>
    <phoneticPr fontId="6"/>
  </si>
  <si>
    <t>⑩</t>
    <phoneticPr fontId="6"/>
  </si>
  <si>
    <t>様式１</t>
    <rPh sb="0" eb="2">
      <t>ヨウシキ</t>
    </rPh>
    <phoneticPr fontId="6"/>
  </si>
  <si>
    <t>履修者数・履修率の向上に向けた計画</t>
    <rPh sb="5" eb="7">
      <t>リシュウ</t>
    </rPh>
    <rPh sb="7" eb="8">
      <t>リツ</t>
    </rPh>
    <phoneticPr fontId="6"/>
  </si>
  <si>
    <t>学校名：</t>
    <rPh sb="0" eb="3">
      <t>ガッコウメイ</t>
    </rPh>
    <phoneticPr fontId="6"/>
  </si>
  <si>
    <t>学校名：</t>
    <rPh sb="0" eb="2">
      <t>ガッコウ</t>
    </rPh>
    <rPh sb="2" eb="3">
      <t>メイ</t>
    </rPh>
    <phoneticPr fontId="6"/>
  </si>
  <si>
    <t>授業内容</t>
    <rPh sb="0" eb="2">
      <t>ジュギョウ</t>
    </rPh>
    <rPh sb="2" eb="4">
      <t>ナイヨウ</t>
    </rPh>
    <phoneticPr fontId="6"/>
  </si>
  <si>
    <t>できる限り多くの学生が履修・修得できるようなサポート体制</t>
    <rPh sb="26" eb="28">
      <t>タイセイ</t>
    </rPh>
    <phoneticPr fontId="6"/>
  </si>
  <si>
    <t>学内からの視点</t>
    <rPh sb="0" eb="2">
      <t>ガクナイ</t>
    </rPh>
    <rPh sb="5" eb="7">
      <t>シテン</t>
    </rPh>
    <phoneticPr fontId="6"/>
  </si>
  <si>
    <t>プログラムの履修・修得状況</t>
    <rPh sb="6" eb="8">
      <t>リシュウ</t>
    </rPh>
    <rPh sb="9" eb="11">
      <t>シュウトク</t>
    </rPh>
    <rPh sb="11" eb="13">
      <t>ジョウキョウ</t>
    </rPh>
    <phoneticPr fontId="6"/>
  </si>
  <si>
    <t>学修成果</t>
    <rPh sb="0" eb="2">
      <t>ガクシュウ</t>
    </rPh>
    <rPh sb="2" eb="4">
      <t>セイカ</t>
    </rPh>
    <phoneticPr fontId="6"/>
  </si>
  <si>
    <t>学生アンケート等を通じた学生の内容の理解度</t>
    <rPh sb="0" eb="2">
      <t>ガクセイ</t>
    </rPh>
    <rPh sb="7" eb="8">
      <t>トウ</t>
    </rPh>
    <rPh sb="9" eb="10">
      <t>ツウ</t>
    </rPh>
    <rPh sb="12" eb="14">
      <t>ガクセイ</t>
    </rPh>
    <rPh sb="15" eb="17">
      <t>ナイヨウ</t>
    </rPh>
    <rPh sb="18" eb="21">
      <t>リカイド</t>
    </rPh>
    <phoneticPr fontId="6"/>
  </si>
  <si>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6"/>
  </si>
  <si>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6"/>
  </si>
  <si>
    <t>学外からの視点</t>
    <rPh sb="0" eb="2">
      <t>ガクガイ</t>
    </rPh>
    <rPh sb="5" eb="7">
      <t>シテン</t>
    </rPh>
    <phoneticPr fontId="6"/>
  </si>
  <si>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6"/>
  </si>
  <si>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6"/>
  </si>
  <si>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6"/>
  </si>
  <si>
    <t>自己点検・評価の視点</t>
    <rPh sb="0" eb="2">
      <t>ジコ</t>
    </rPh>
    <rPh sb="2" eb="4">
      <t>テンケン</t>
    </rPh>
    <rPh sb="5" eb="7">
      <t>ヒョウカ</t>
    </rPh>
    <rPh sb="8" eb="10">
      <t>シテン</t>
    </rPh>
    <phoneticPr fontId="6"/>
  </si>
  <si>
    <t>体制の目的</t>
    <rPh sb="0" eb="2">
      <t>タイセイ</t>
    </rPh>
    <rPh sb="3" eb="5">
      <t>モクテキ</t>
    </rPh>
    <phoneticPr fontId="6"/>
  </si>
  <si>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6"/>
  </si>
  <si>
    <t>自己点検・評価体制における意見等</t>
    <rPh sb="15" eb="16">
      <t>トウ</t>
    </rPh>
    <phoneticPr fontId="6"/>
  </si>
  <si>
    <t>自己点検・評価体制における意見等の公表の有無</t>
    <rPh sb="17" eb="19">
      <t>コウヒョウ</t>
    </rPh>
    <rPh sb="20" eb="22">
      <t>ウム</t>
    </rPh>
    <phoneticPr fontId="6"/>
  </si>
  <si>
    <t>自己点検・評価について</t>
    <rPh sb="0" eb="2">
      <t>ジコ</t>
    </rPh>
    <rPh sb="2" eb="4">
      <t>テンケン</t>
    </rPh>
    <rPh sb="5" eb="7">
      <t>ヒョウカ</t>
    </rPh>
    <phoneticPr fontId="6"/>
  </si>
  <si>
    <t>修了者数</t>
    <rPh sb="0" eb="3">
      <t>シュウリョウシャ</t>
    </rPh>
    <rPh sb="3" eb="4">
      <t>スウ</t>
    </rPh>
    <phoneticPr fontId="6"/>
  </si>
  <si>
    <t>履修者数</t>
    <rPh sb="0" eb="2">
      <t>リシュウ</t>
    </rPh>
    <rPh sb="2" eb="3">
      <t>シャ</t>
    </rPh>
    <rPh sb="3" eb="4">
      <t>スウ</t>
    </rPh>
    <phoneticPr fontId="6"/>
  </si>
  <si>
    <t>所在地</t>
    <phoneticPr fontId="6"/>
  </si>
  <si>
    <t>５年次</t>
    <rPh sb="1" eb="2">
      <t>ネン</t>
    </rPh>
    <rPh sb="2" eb="3">
      <t>ツギ</t>
    </rPh>
    <phoneticPr fontId="6"/>
  </si>
  <si>
    <t>６年次</t>
    <rPh sb="1" eb="2">
      <t>ネン</t>
    </rPh>
    <rPh sb="2" eb="3">
      <t>ツギ</t>
    </rPh>
    <phoneticPr fontId="6"/>
  </si>
  <si>
    <t>②</t>
    <phoneticPr fontId="6"/>
  </si>
  <si>
    <t>大学等の設置者</t>
  </si>
  <si>
    <t>設置形態</t>
  </si>
  <si>
    <t>⑫</t>
    <phoneticPr fontId="6"/>
  </si>
  <si>
    <t>人</t>
    <rPh sb="0" eb="1">
      <t>ニン</t>
    </rPh>
    <phoneticPr fontId="6"/>
  </si>
  <si>
    <t>総数</t>
    <rPh sb="0" eb="2">
      <t>ソウスウ</t>
    </rPh>
    <phoneticPr fontId="6"/>
  </si>
  <si>
    <t>⑧</t>
    <phoneticPr fontId="6"/>
  </si>
  <si>
    <t>⑬</t>
    <phoneticPr fontId="6"/>
  </si>
  <si>
    <t>（役職名）</t>
    <rPh sb="1" eb="4">
      <t>ヤクショクメイ</t>
    </rPh>
    <phoneticPr fontId="6"/>
  </si>
  <si>
    <t>学校名：</t>
    <rPh sb="0" eb="2">
      <t>ガッコウ</t>
    </rPh>
    <phoneticPr fontId="6"/>
  </si>
  <si>
    <t>履修率</t>
    <rPh sb="0" eb="2">
      <t>リシュウ</t>
    </rPh>
    <rPh sb="2" eb="3">
      <t>リツ</t>
    </rPh>
    <phoneticPr fontId="6"/>
  </si>
  <si>
    <t>合　計</t>
    <phoneticPr fontId="6"/>
  </si>
  <si>
    <t>⑥</t>
    <phoneticPr fontId="6"/>
  </si>
  <si>
    <t>プログラムの開設年度</t>
    <rPh sb="6" eb="8">
      <t>カイセツ</t>
    </rPh>
    <rPh sb="8" eb="10">
      <t>ネンド</t>
    </rPh>
    <phoneticPr fontId="6"/>
  </si>
  <si>
    <t>⑨</t>
    <phoneticPr fontId="6"/>
  </si>
  <si>
    <t>⑭</t>
    <phoneticPr fontId="6"/>
  </si>
  <si>
    <t>履修者数
合計</t>
    <rPh sb="0" eb="2">
      <t>リシュウ</t>
    </rPh>
    <rPh sb="2" eb="3">
      <t>シャ</t>
    </rPh>
    <rPh sb="3" eb="4">
      <t>スウ</t>
    </rPh>
    <rPh sb="5" eb="7">
      <t>ゴウケイ</t>
    </rPh>
    <phoneticPr fontId="6"/>
  </si>
  <si>
    <t>様式３</t>
    <rPh sb="0" eb="2">
      <t>ヨウシキ</t>
    </rPh>
    <phoneticPr fontId="6"/>
  </si>
  <si>
    <t>授業に含まれている内容・要素</t>
    <rPh sb="0" eb="2">
      <t>ジュギョウ</t>
    </rPh>
    <rPh sb="3" eb="4">
      <t>フク</t>
    </rPh>
    <rPh sb="9" eb="11">
      <t>ナイヨウ</t>
    </rPh>
    <rPh sb="12" eb="14">
      <t>ヨウソ</t>
    </rPh>
    <phoneticPr fontId="6"/>
  </si>
  <si>
    <t>学校名：</t>
    <rPh sb="0" eb="2">
      <t>ガッコウ</t>
    </rPh>
    <rPh sb="2" eb="3">
      <t>メイ</t>
    </rPh>
    <phoneticPr fontId="6"/>
  </si>
  <si>
    <t>統計及び数理基礎</t>
    <rPh sb="0" eb="2">
      <t>トウケイ</t>
    </rPh>
    <rPh sb="2" eb="3">
      <t>オヨ</t>
    </rPh>
    <rPh sb="4" eb="6">
      <t>スウリ</t>
    </rPh>
    <rPh sb="6" eb="8">
      <t>キソ</t>
    </rPh>
    <phoneticPr fontId="6"/>
  </si>
  <si>
    <t>アルゴリズム基礎</t>
    <rPh sb="6" eb="8">
      <t>キソ</t>
    </rPh>
    <phoneticPr fontId="6"/>
  </si>
  <si>
    <t>データ構造とプログラミング基礎</t>
    <rPh sb="3" eb="5">
      <t>コウゾウ</t>
    </rPh>
    <rPh sb="13" eb="15">
      <t>キソ</t>
    </rPh>
    <phoneticPr fontId="6"/>
  </si>
  <si>
    <t>時系列データ解析</t>
    <rPh sb="0" eb="3">
      <t>ジケイレツ</t>
    </rPh>
    <rPh sb="6" eb="8">
      <t>カイセキ</t>
    </rPh>
    <phoneticPr fontId="6"/>
  </si>
  <si>
    <t>テキスト解析</t>
    <rPh sb="4" eb="6">
      <t>カイセキ</t>
    </rPh>
    <phoneticPr fontId="6"/>
  </si>
  <si>
    <t>画像解析</t>
    <rPh sb="0" eb="2">
      <t>ガゾウ</t>
    </rPh>
    <rPh sb="2" eb="4">
      <t>カイセキ</t>
    </rPh>
    <phoneticPr fontId="6"/>
  </si>
  <si>
    <t>データハンドリング</t>
    <phoneticPr fontId="6"/>
  </si>
  <si>
    <t>データ活用実践（教師あり学習）</t>
    <rPh sb="3" eb="5">
      <t>カツヨウ</t>
    </rPh>
    <rPh sb="5" eb="7">
      <t>ジッセン</t>
    </rPh>
    <rPh sb="8" eb="10">
      <t>キョウシ</t>
    </rPh>
    <rPh sb="12" eb="14">
      <t>ガクシュウ</t>
    </rPh>
    <phoneticPr fontId="6"/>
  </si>
  <si>
    <t>その他</t>
    <rPh sb="2" eb="3">
      <t>タ</t>
    </rPh>
    <phoneticPr fontId="6"/>
  </si>
  <si>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6"/>
  </si>
  <si>
    <t>学部・学科に関係なく希望する学生全員が受講可能となるような必要な体制・取組等</t>
    <rPh sb="29" eb="31">
      <t>ヒツヨウ</t>
    </rPh>
    <rPh sb="32" eb="34">
      <t>タイセイ</t>
    </rPh>
    <rPh sb="35" eb="37">
      <t>トリクミ</t>
    </rPh>
    <rPh sb="37" eb="38">
      <t>トウ</t>
    </rPh>
    <phoneticPr fontId="6"/>
  </si>
  <si>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6"/>
  </si>
  <si>
    <t>学校名</t>
    <rPh sb="0" eb="3">
      <t>ガッコウメイ</t>
    </rPh>
    <phoneticPr fontId="6"/>
  </si>
  <si>
    <t>プログラムを構成する授業科目について</t>
    <phoneticPr fontId="6"/>
  </si>
  <si>
    <t>収容
定員</t>
    <rPh sb="0" eb="2">
      <t>シュウヨウ</t>
    </rPh>
    <rPh sb="3" eb="5">
      <t>テイイン</t>
    </rPh>
    <phoneticPr fontId="6"/>
  </si>
  <si>
    <t>申請する認定プログラム</t>
    <rPh sb="0" eb="2">
      <t>シンセイ</t>
    </rPh>
    <rPh sb="4" eb="6">
      <t>ニンテイ</t>
    </rPh>
    <phoneticPr fontId="6"/>
  </si>
  <si>
    <t>プログラムの授業を教えている教員数</t>
    <rPh sb="6" eb="8">
      <t>ジュギョウ</t>
    </rPh>
    <rPh sb="9" eb="10">
      <t>オシ</t>
    </rPh>
    <rPh sb="14" eb="16">
      <t>キョウイン</t>
    </rPh>
    <rPh sb="16" eb="17">
      <t>スウ</t>
    </rPh>
    <phoneticPr fontId="6"/>
  </si>
  <si>
    <t>学生への学習支援</t>
    <rPh sb="0" eb="2">
      <t>ガクセイ</t>
    </rPh>
    <rPh sb="4" eb="6">
      <t>ガクシュウ</t>
    </rPh>
    <rPh sb="6" eb="8">
      <t>シエン</t>
    </rPh>
    <phoneticPr fontId="6"/>
  </si>
  <si>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6"/>
  </si>
  <si>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6"/>
  </si>
  <si>
    <t>プログラムの授業内容・概要</t>
    <rPh sb="6" eb="8">
      <t>ジュギョウ</t>
    </rPh>
    <rPh sb="8" eb="10">
      <t>ナイヨウ</t>
    </rPh>
    <rPh sb="11" eb="13">
      <t>ガイヨウ</t>
    </rPh>
    <phoneticPr fontId="6"/>
  </si>
  <si>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6"/>
  </si>
  <si>
    <t>プログラムを改善・進化させるための体制を定める規則名称</t>
    <phoneticPr fontId="6"/>
  </si>
  <si>
    <t>③</t>
    <phoneticPr fontId="6"/>
  </si>
  <si>
    <t>プログラムの授業内容等を公表しているアドレス</t>
    <rPh sb="6" eb="8">
      <t>ジュギョウ</t>
    </rPh>
    <rPh sb="8" eb="10">
      <t>ナイヨウ</t>
    </rPh>
    <rPh sb="10" eb="11">
      <t>トウ</t>
    </rPh>
    <rPh sb="12" eb="14">
      <t>コウヒョウ</t>
    </rPh>
    <phoneticPr fontId="6"/>
  </si>
  <si>
    <t>④</t>
    <phoneticPr fontId="6"/>
  </si>
  <si>
    <t>プログラムの学修成果（学生等が身に付けられる能力等）</t>
  </si>
  <si>
    <t>教育プログラムの修了要件</t>
    <rPh sb="8" eb="10">
      <t>シュウリョウ</t>
    </rPh>
    <phoneticPr fontId="6"/>
  </si>
  <si>
    <t>具体的な修了要件</t>
    <rPh sb="0" eb="3">
      <t>グタイテキ</t>
    </rPh>
    <rPh sb="4" eb="6">
      <t>シュウリョウ</t>
    </rPh>
    <rPh sb="6" eb="8">
      <t>ヨウケン</t>
    </rPh>
    <phoneticPr fontId="6"/>
  </si>
  <si>
    <t>授業科目名称</t>
    <rPh sb="0" eb="2">
      <t>ジュギョウ</t>
    </rPh>
    <rPh sb="2" eb="4">
      <t>カモク</t>
    </rPh>
    <rPh sb="4" eb="6">
      <t>メイショウ</t>
    </rPh>
    <phoneticPr fontId="6"/>
  </si>
  <si>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6"/>
  </si>
  <si>
    <t>様式５</t>
    <rPh sb="0" eb="2">
      <t>ヨウシキ</t>
    </rPh>
    <phoneticPr fontId="6"/>
  </si>
  <si>
    <t>授業概要</t>
    <rPh sb="0" eb="2">
      <t>ジュギョウ</t>
    </rPh>
    <rPh sb="2" eb="4">
      <t>ガイヨウ</t>
    </rPh>
    <phoneticPr fontId="6"/>
  </si>
  <si>
    <t>授業科目名称</t>
    <rPh sb="0" eb="2">
      <t>ジュギョウ</t>
    </rPh>
    <rPh sb="2" eb="6">
      <t>カモクメイショウ</t>
    </rPh>
    <phoneticPr fontId="6"/>
  </si>
  <si>
    <t>講義テーマ</t>
    <rPh sb="0" eb="2">
      <t>コウギ</t>
    </rPh>
    <phoneticPr fontId="6"/>
  </si>
  <si>
    <t>（１）現在進行中の社会変化（第４次産業革命、Society 5.0、データ駆動型社会等）に深く寄与しているものであり、それが自らの生活と密接に結びついている
※モデルカリキュラム導入１－１、導入１－６が該当</t>
    <phoneticPr fontId="6"/>
  </si>
  <si>
    <t>（２）「社会で活用されているデータ」や「データの活用領域」は非常に広範囲であって、日常生活や社会の課題を解決する有用なツールになり得るもの
※モデルカリキュラム導入１－２、導入１－３が該当</t>
    <phoneticPr fontId="6"/>
  </si>
  <si>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6"/>
  </si>
  <si>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6"/>
  </si>
  <si>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6"/>
  </si>
  <si>
    <t>※公表している場合のアドレス</t>
    <rPh sb="1" eb="3">
      <t>コウヒョウ</t>
    </rPh>
    <rPh sb="7" eb="9">
      <t>バアイ</t>
    </rPh>
    <phoneticPr fontId="6"/>
  </si>
  <si>
    <t>（責任者名）</t>
    <rPh sb="1" eb="4">
      <t>セキニンシャ</t>
    </rPh>
    <rPh sb="4" eb="5">
      <t>メイ</t>
    </rPh>
    <phoneticPr fontId="6"/>
  </si>
  <si>
    <t>プログラムの運営責任者</t>
    <phoneticPr fontId="6"/>
  </si>
  <si>
    <t>令和2年度</t>
    <rPh sb="0" eb="2">
      <t>レイワ</t>
    </rPh>
    <rPh sb="3" eb="5">
      <t>ネンド</t>
    </rPh>
    <phoneticPr fontId="6"/>
  </si>
  <si>
    <t>令和元年度</t>
    <rPh sb="0" eb="2">
      <t>レイワ</t>
    </rPh>
    <rPh sb="2" eb="3">
      <t>ゲン</t>
    </rPh>
    <rPh sb="3" eb="5">
      <t>ネンド</t>
    </rPh>
    <phoneticPr fontId="6"/>
  </si>
  <si>
    <t>平成30年度</t>
    <rPh sb="0" eb="2">
      <t>ヘイセイ</t>
    </rPh>
    <rPh sb="4" eb="6">
      <t>ネンド</t>
    </rPh>
    <phoneticPr fontId="6"/>
  </si>
  <si>
    <t>平成29年度</t>
    <rPh sb="0" eb="2">
      <t>ヘイセイ</t>
    </rPh>
    <rPh sb="4" eb="6">
      <t>ネンド</t>
    </rPh>
    <phoneticPr fontId="6"/>
  </si>
  <si>
    <t>平成28年度</t>
    <rPh sb="0" eb="2">
      <t>ヘイセイ</t>
    </rPh>
    <rPh sb="4" eb="6">
      <t>ネンド</t>
    </rPh>
    <phoneticPr fontId="6"/>
  </si>
  <si>
    <t>平成27年度</t>
    <rPh sb="0" eb="2">
      <t>ヘイセイ</t>
    </rPh>
    <rPh sb="4" eb="6">
      <t>ネンド</t>
    </rPh>
    <phoneticPr fontId="6"/>
  </si>
  <si>
    <t>プログラムの履修者数等の実績について</t>
    <phoneticPr fontId="6"/>
  </si>
  <si>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6"/>
  </si>
  <si>
    <t>⑪</t>
    <phoneticPr fontId="6"/>
  </si>
  <si>
    <t>全学部・学科の入学定員</t>
    <rPh sb="0" eb="1">
      <t>ゼン</t>
    </rPh>
    <rPh sb="4" eb="6">
      <t>ガッカ</t>
    </rPh>
    <rPh sb="7" eb="9">
      <t>ニュウガク</t>
    </rPh>
    <rPh sb="9" eb="11">
      <t>テイイン</t>
    </rPh>
    <phoneticPr fontId="6"/>
  </si>
  <si>
    <t>全学部・学科の学生数（学年別）</t>
    <rPh sb="0" eb="1">
      <t>ゼン</t>
    </rPh>
    <rPh sb="4" eb="6">
      <t>ガッカ</t>
    </rPh>
    <rPh sb="7" eb="10">
      <t>ガクセイスウ</t>
    </rPh>
    <rPh sb="11" eb="13">
      <t>ガクネン</t>
    </rPh>
    <rPh sb="13" eb="14">
      <t>ベツ</t>
    </rPh>
    <phoneticPr fontId="6"/>
  </si>
  <si>
    <t>学部・学科名称</t>
    <rPh sb="0" eb="2">
      <t>ガクブ</t>
    </rPh>
    <rPh sb="3" eb="5">
      <t>ガッカ</t>
    </rPh>
    <rPh sb="5" eb="7">
      <t>メイショウ</t>
    </rPh>
    <phoneticPr fontId="6"/>
  </si>
  <si>
    <t>申請するプログラム又は授業科目名称</t>
    <rPh sb="0" eb="2">
      <t>シンセイ</t>
    </rPh>
    <rPh sb="9" eb="10">
      <t>マタ</t>
    </rPh>
    <rPh sb="11" eb="13">
      <t>ジュギョウ</t>
    </rPh>
    <rPh sb="13" eb="15">
      <t>カモク</t>
    </rPh>
    <rPh sb="15" eb="17">
      <t>メイショウ</t>
    </rPh>
    <phoneticPr fontId="6"/>
  </si>
  <si>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6"/>
  </si>
  <si>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6"/>
  </si>
  <si>
    <t>授業時間内外で学習指導、質問を受け付ける具体的な仕組み</t>
    <rPh sb="20" eb="23">
      <t>グタイテキ</t>
    </rPh>
    <phoneticPr fontId="6"/>
  </si>
  <si>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6"/>
  </si>
  <si>
    <t>名古屋商科大学</t>
    <phoneticPr fontId="6"/>
  </si>
  <si>
    <t>学校法人栗本学園</t>
    <phoneticPr fontId="6"/>
  </si>
  <si>
    <t>私立大学</t>
  </si>
  <si>
    <t>愛知県日進市米野木町三ヶ峯４番地の４</t>
    <phoneticPr fontId="6"/>
  </si>
  <si>
    <t>データサイエンス教育プログラム</t>
    <phoneticPr fontId="6"/>
  </si>
  <si>
    <t>-</t>
    <phoneticPr fontId="6"/>
  </si>
  <si>
    <t>韓　尚憲</t>
    <phoneticPr fontId="6"/>
  </si>
  <si>
    <t>経営学部長</t>
    <phoneticPr fontId="6"/>
  </si>
  <si>
    <t>教務委員会</t>
    <phoneticPr fontId="6"/>
  </si>
  <si>
    <t>教務委員長</t>
    <phoneticPr fontId="6"/>
  </si>
  <si>
    <t>AOL委員会</t>
    <phoneticPr fontId="6"/>
  </si>
  <si>
    <t>伊藤　博</t>
    <phoneticPr fontId="6"/>
  </si>
  <si>
    <t>AOL委員長</t>
    <phoneticPr fontId="6"/>
  </si>
  <si>
    <t>認定教育プログラム</t>
  </si>
  <si>
    <t>学生支援部門教務担当</t>
    <phoneticPr fontId="6"/>
  </si>
  <si>
    <t>石井博巳</t>
    <phoneticPr fontId="6"/>
  </si>
  <si>
    <t>bunsho@nucba.ac.jp</t>
    <phoneticPr fontId="6"/>
  </si>
  <si>
    <t>0561-73-2111</t>
    <phoneticPr fontId="6"/>
  </si>
  <si>
    <t>学部・学科によって、修了要件は相違しない</t>
  </si>
  <si>
    <t>様式２</t>
    <rPh sb="0" eb="2">
      <t>ヨウシキ</t>
    </rPh>
    <phoneticPr fontId="6"/>
  </si>
  <si>
    <t>データサイエンス教育プログラムでは、構成されている全学部共通の教養科目（下記１〜３）６単位と全学部共通の専門科目（下記４〜６）６単位を必須とし、さらに選択科目として（下記７〜１１）から４単位以上、合計１６単位以上を修得することを修了要件とする。</t>
    <phoneticPr fontId="6"/>
  </si>
  <si>
    <t>名古屋商科大学</t>
    <rPh sb="0" eb="7">
      <t>ナゴ</t>
    </rPh>
    <phoneticPr fontId="6"/>
  </si>
  <si>
    <t>コンピュータと情報化社会</t>
    <phoneticPr fontId="6"/>
  </si>
  <si>
    <t>情報リテラシー 1</t>
    <phoneticPr fontId="6"/>
  </si>
  <si>
    <t>情報リテラシー 2</t>
    <phoneticPr fontId="6"/>
  </si>
  <si>
    <t>統計学入門</t>
    <phoneticPr fontId="6"/>
  </si>
  <si>
    <t>データプレゼンテーション</t>
    <phoneticPr fontId="6"/>
  </si>
  <si>
    <t>情報倫理</t>
    <phoneticPr fontId="6"/>
  </si>
  <si>
    <t>データ分析</t>
    <phoneticPr fontId="6"/>
  </si>
  <si>
    <t>基礎の確率</t>
    <phoneticPr fontId="6"/>
  </si>
  <si>
    <t>線形性の数理</t>
    <phoneticPr fontId="6"/>
  </si>
  <si>
    <t>数学の基礎</t>
    <phoneticPr fontId="6"/>
  </si>
  <si>
    <t>AIのためのプログラミング</t>
    <phoneticPr fontId="6"/>
  </si>
  <si>
    <t>名古屋商科大学</t>
    <rPh sb="0" eb="7">
      <t>ナ</t>
    </rPh>
    <phoneticPr fontId="6"/>
  </si>
  <si>
    <t>商学部（社会科学）</t>
    <phoneticPr fontId="6"/>
  </si>
  <si>
    <t>経営学部（社会科学）</t>
    <phoneticPr fontId="6"/>
  </si>
  <si>
    <t>経済学部（社会科学）</t>
    <phoneticPr fontId="6"/>
  </si>
  <si>
    <t>国際学部（文学関係）</t>
    <phoneticPr fontId="6"/>
  </si>
  <si>
    <t>様式４</t>
    <rPh sb="0" eb="2">
      <t>ヨウシキ</t>
    </rPh>
    <phoneticPr fontId="6"/>
  </si>
  <si>
    <t>名古屋商科大学</t>
    <rPh sb="0" eb="7">
      <t>ナｇ</t>
    </rPh>
    <phoneticPr fontId="6"/>
  </si>
  <si>
    <t>「情報化社会」とは、情報がヒト・モノ・カネなどの経営資源と同等の価値を持ち、情報を中心として機能する社会のことである。そこでは、IT（情報通信技術）の爆発的な進展とともに、ビジネスを取り巻く環境が、時々刻々と変化し続けている。企業を取り巻く外部環境のそのような急激な変化の下で、経営者が、その専門性を生かしつつ、リーダーシップを発揮して、組織の活動を取り纏め、所定の成果を達成する為には、最先端のITに関する知見・経験が不可欠である。このため、本講義では、受講生が「情報活用の実践力」「情報の科学的な理解」「情報社会に経営者として参加するための最低限の素養」を獲得できるように支援する。統計学や機械学習などを含むデータサイエンスの基本的な考え方を統一的に学び、又、基本スキルを身に付ける。ケースメソッドを活用して、学びの共同体を通した自主的な学習を推進する。</t>
    <phoneticPr fontId="6"/>
  </si>
  <si>
    <t>情報リテラシー１</t>
    <phoneticPr fontId="6"/>
  </si>
  <si>
    <t>現代社会の多方面の分野において各種の情報が広範囲に供給されている。日常生活なかで供給される会話の情報、商品の購買情報、病気の治療に関する医療情報、そして自然の変化を観測して得られる情報などがある。それらの情報の中には有益な情報が多く含まれているにもかかわらず、十分には利用されていない。その情報から有益な知見を得て自分の学習の発展や社会の向上を図るためには、その情報の分析を行うことが必要であり、その重要性が高まっている。本授業は、そのような情報の分析力を獲得するために必要な、統計学の基礎概念を学習し理解を深める。そしてその概念を用いて、各種の情報をコンピュータを用いて分析する統計的分析力を育成する。本講義は、大学での勉強に役立てるだけでなく、社会人になってからの仕事のうえで役に立つ必要な統計学の基礎概念と分析能力を育成する。</t>
    <phoneticPr fontId="6"/>
  </si>
  <si>
    <t>ビックデータとA Iの時代とも称される第４次革命を担うリーダーや人材には日常生活や社会現象を理解し、そこで起きている様々な変化及びそれらによる問題を解決する能力が求められる。この授業はデータの入手から解決策の提案に至るまで企業の意思決定者または実務担当者に必要となる数理・データサイエンス・AIに関連する幅広い知識を学び、それらを活用する擬似的な体験を提供する。また、本学が誇るケース・メソッドの授業方式を取り入れることで参加者同士のディスカッションにより様々な分野での活用事例に対する理解を深める。受講者たちは統計的思考、データ分析、プレゼンテーション能力などの実践的なスキルを身につけることにより第４次革命が実現するSoceity5.0で活躍できる人材に育つことが期待できる。</t>
    <phoneticPr fontId="6"/>
  </si>
  <si>
    <t>本授業は、1) 急速に情報化が進む現代社会において圧倒的情報量に飲み込まれることなく、情報をより正しく使いこなすための判断を受講生自身ができるようになること、及び2) 急激な情報技術革新によってもたらされる功罪の両面を理解し、倫理的・法的・社会的課題（ELSI）についてより良い判断ができる規範を受講生が獲得することを目的とする。具体的には、毎回の授業においてケース教材で学びを深める。当該ケースは近年実際に起こった情報倫理に関する事例をもとにしている。本学の強みである「ケースメソッド」で教育を行うことで、実際の現実の状況下に学習者が身を置き、事例を追体験することを繰り返すことを通して、今後どのように情報化が進展しようとも、受講生自身が情報を取捨選択し、様々な事柄を勘案しながら、的確に意思決定できることを目指す。</t>
    <phoneticPr fontId="6"/>
  </si>
  <si>
    <t>情報リテラシー1</t>
    <phoneticPr fontId="6"/>
  </si>
  <si>
    <t>基本的な記述統計学や確率と推測統計学を学び、データの整理・要約や母集団と標本の関係およびデータ（標本）に基づく推測の意味を理解できるようにする。さらに、回帰分析などを学習することによって、関心のある変数と関連する要因を見つける方法を学ぶことにより、データサイエンスのビジネスや社会への応用の可能性を体験できるようにする。これらの方法を学ぶにあたり、実際のデータの分析の仕方や、エクセルなどのプログラムの使用方法を学び、またAIの利用の必要性についても理解できるようにする。
また、これにより未来の社会や、新しいビジネスやサービスに対応できるようにする。</t>
    <phoneticPr fontId="6"/>
  </si>
  <si>
    <t>統計学入門、データプレゼンテーション</t>
    <phoneticPr fontId="6"/>
  </si>
  <si>
    <t>データサイエンスの基礎となる数学、統計学、データ分析、AIの知識および技能と、ケースメソッドを活用した専門科目で得られる知識・技能が有機的に結びつけることによって、社会の価値創造に貢献する人材に必要な知識・技能を修得します。</t>
    <phoneticPr fontId="6"/>
  </si>
  <si>
    <t>教務委員会規程、事務組織規程</t>
    <phoneticPr fontId="6"/>
  </si>
  <si>
    <t>データを活用し社会の課題を発見、解決できる人材を育成することを目的に、数理・データサイエンス・AI教育の全学的な普及、関連科目の整備を行う為、全学教授会のもとに置かれている教務委員会がその役割を担う。また、教職協働による、全学的な取り組みを支援するため、学生支援部門コンピューター担当の職員が教務委員会と連携して「データサイエンス教育プログラム」の運営や授業開発などをサポートする。加えて、アクティブラーニングセンター内に同プログラムの活動拠点を整備し、授業外などに学生が課題に取り組める環境の整備を進める。</t>
    <phoneticPr fontId="6"/>
  </si>
  <si>
    <t>教務委員会
委員長　韓　尚憲（経営学部長/教授）
委員　小野裕二（商学部長/教授/学園常務理事）、亀倉正彦（商学部・教授）、鑓田　亨（経済学部・教授）、廣島　勉（国際学部・教授）、山分俊幸（経済学部・教授）、山本裕子（国際学部・准教授）、磯野英治（国際学部・准教授）、佐藤亜美（国際学部・専任講師）、石井博巳（学生支援部門教務担当・チームリーダー）、鈴木　麻衣子（学生支援部門教務担当・サブリーダー）
学生支援部門コンピューター担当
青木雄一（チームリーダー）、高岡　誠（専任事務職員）、平田悠樹（専任事務職員）</t>
    <phoneticPr fontId="6"/>
  </si>
  <si>
    <t>全学的に教育課程を編成している教務委員会が本プログラムの統括を行うことにより、数理・データサイエンス・AI教育の全学的な普及、関連科目の整備を行うことができる。また、教職協働による、全学的な取り組みを支援するため、学生支援部門コンピューター担当の職員が教務委員会と連携して「データサイエンス教育プログラム」の運営や授業開発などをサポートする。加えて、アクティブラーニングセンター内に本プログラムの活動拠点を整備し、授業外などに学生が課題に取り組める環境の整備を進める。</t>
    <phoneticPr fontId="6"/>
  </si>
  <si>
    <t>入学段階の新入生オリエンテーションで本プログラムの内容やデータサイエンスの重要性、第４次産業革命を担うリーダーや人材には日常生活や社会現象を理解し、問題を解決する能力が求められることを説明している。また、1年次全学生が履修している情報リテラシー1.2や初年次教育として実施している科目「クリティカルシンキング」内においても同様の説明をしている。また、本学では1985年より全ての入学生に対してパソコン（ノートPC）を無償譲渡しており、全学生が当該プログラムの履修に必要な情報機材を有している。</t>
    <phoneticPr fontId="6"/>
  </si>
  <si>
    <t>教職協働による、全学的な取り組みを支援するため、学生支援部門コンピューター担当の職員が教務委員会と連携して本プログラムの運営や授業開発などをサポートする。加えて、アクティブラーニングセンター内にデータサイエンス教育プログラムの活動拠点を整備し、授業外などに学生が課題に取り組める環境の整備を進める。</t>
    <phoneticPr fontId="6"/>
  </si>
  <si>
    <t>授業時間内では教員による学習指導を受けられる他、授業時間外でも全ての履修科目はLMSで管理しているため、学生はいつでも質問できる環境が整っている。また教員のオフィスアワーも全学生に知らせており、学生は対面での相談も可能である。</t>
    <phoneticPr fontId="6"/>
  </si>
  <si>
    <t>本学では、国際認証機関の基準をもとにAOLに取り組み、学修成果の測定指標として活用されている。学習成果測定のベースになるのは、測定項目LGと、具体的に学生に修得して欲しい能力を明示した学修目的：LO（Learning Objective）である。LGならびにLOは、平成18年（2006年）以降、見直しが行われてきており、現在においては、学部においては合計8つのLGが設定され、それに付随するLOも設定されている。学修成果の測定には、LOをベースに作成されたルーブリックが使用される。</t>
    <phoneticPr fontId="6"/>
  </si>
  <si>
    <t>名古屋商科大学授業調査規程規程に基づき、全ての授業について授業調査アンケートを実施している。授業調査アンケートの結果に基づき、教務委員会において学生の理解度分析を実施している。その他、教務委員会と学生支援部門コンピューター担当とが連係して、必要に応じてLMS上で学生の理解度を把握するためのアンケートを実施する。それらの結果等を総合的に検討して理解度の把握に努める。</t>
    <phoneticPr fontId="6"/>
  </si>
  <si>
    <t>本学では教育内容・方法および学修指導等の改善のため、全ての授業において授業調査を実施している。教員には前年度の学生の授業評価に対するコメントをシラバスに記載するよう義務づけており、後輩学生はそのコメントを見て履修登録することが可能である。</t>
    <phoneticPr fontId="6"/>
  </si>
  <si>
    <t xml:space="preserve">本学では卒後三年を迎える卒業生に対して、アンケート調査を実施を予定している他、卒業生には転職などをした際に就業先企業の情報を本学同窓生WEBサイトから報告するよう卒業時に依頼をしている。本学では卒業後のアンケートを実施しておりまた就職先企業の情報などをもとに企業アンケートを実施の予定をしており、これらの情報を活用して当該データサイエンス教育プログラム修了生の採用状況や企業評価を把握する仕組みを構築している。	</t>
    <phoneticPr fontId="6"/>
  </si>
  <si>
    <t>本学が実施予定の産業界ニーズ調査アンケートにて、各企業が大学に求める人材育成に関する項目の調査をする。これらの調査結果を踏まえ、企業が大学で実施するデータサイエンスの入門コースに対してどのような期待や習得すべき技能や知識を求めているかなどを把握しプログラムの改善に活用していく。</t>
    <phoneticPr fontId="6"/>
  </si>
  <si>
    <t>本学では全学的にケースメソッドによる実践的なビジネス教育を推進しており、データサイエンスの知識や技能を活用した実用的な教育を実施している。ケース教材は近年実際に起こった事例をもとにして作成されていることが多く、実際の現実の状況下に学習者が身を置き、事例を追体験することを繰り返すことを通して、今後どのように情報化が進展しようとも、受講生自身が情報を取捨選択し、様々な事柄を勘案しながら、的確に意思決定できることを目指す。</t>
    <phoneticPr fontId="6"/>
  </si>
  <si>
    <t>名古屋商科大学授業調査規程規程に基づき、全ての授業について授業調査アンケートを実施している。授業調査アンケートの結果に基づき、AOL委員会にて講義の内容・実施方法の見直しを検討している。また、プログラム全体の改善点については、教務委員会と学生支援部門コンピューター担当が連携して、データサイエンス教育プログラムの受講学生に対するアンケート等を実施してプログラムの維持向上に努める。</t>
    <phoneticPr fontId="6"/>
  </si>
  <si>
    <t>データ分析、統計学入門</t>
    <phoneticPr fontId="6"/>
  </si>
  <si>
    <t>各年度の履修者数の目標を以下のとおりとする。（（　）内は履修率。）
令和３年度　320名　（10％）
令和４年度　960名　（30％）
令和５年度　1,600名 （50％）
令和６年度　1,760名 （55％）
令和７年度　1,920名 （60％）
本学では、従来から本プログラムを構成科目である情報リテラシー１・２を卒業必修科目としており、1年次から全学生が履修し卒業するまでに全員（100%）が履修し修得をしている。しかし、その他の科目については、学生の希望による履修登録のみであり履修者数が少ない現状である。そのため上記の目標を実現するために、令和３年度より、統計学入門、数学の基礎、基礎の確率などデータサイエンスの基礎となる数学系の科目を1年次の事前指定科目として設定している。これらを基礎的な知識として身に付けることにより、やや難易度の高いデータプレゼンテーションやデータ分析、AIのためのプログラミングといった科目を履修する学生が年々増加すると考えている。</t>
    <phoneticPr fontId="6"/>
  </si>
  <si>
    <t>情報リテラシー１・２や統計学入門、数学の基礎、基礎の確率などデータサイエンスの基礎となる数学系の科目履修者は増加している。しかし、やや難易度の高いデータプレゼンテーションやデータ分析といった科目については履修者数が少ないのが課題である。難易度が高く学生が履修を避ける傾向もある科目もあるが、クラス開講数が少ないことから履修者数が少ない科目あるため今後、クラス数の増加などについても検討が必要である。</t>
    <phoneticPr fontId="6"/>
  </si>
  <si>
    <t>学生支援部門教務担当および同コンピューター担当において、プログラムの履修・修得状況の分析を実施し、LMS(*1)や学生カルテシステムに蓄積されたデータの活用により、受講者毎の履修進捗状況や課題への回答状況を把握することができる。これらの蓄積されたデータの分析については、AOL(*2)委員会の委員と協働で実施している。また、令和3年度よりデジタルを活用した大学・高専教育高度化プランの採択を受け学修成果の可視化による個別指導の充実と学修者本意の教育を実現するためのデジタルツールを整備する計画であり、それらの機能の活用も進める。
*1 LMS (Learning Management System)
*2 AOL (Assurance of Learning)</t>
    <phoneticPr fontId="6"/>
  </si>
  <si>
    <t>データサイエンスの重要性とデータ分析の一連の流れを理解する（5～9）</t>
    <phoneticPr fontId="6"/>
  </si>
  <si>
    <t>情報社会の基礎知識（1,2,7～10）</t>
    <phoneticPr fontId="6"/>
  </si>
  <si>
    <t>基礎的なAI手法を用いたデータ分析（1）</t>
    <phoneticPr fontId="6"/>
  </si>
  <si>
    <t>身近な課題に対してデータの活用事例とデータ分析の必要性を知る（1,2）</t>
    <phoneticPr fontId="6"/>
  </si>
  <si>
    <t>事例を用いたビッグデータの可視化と解析（1〜7）</t>
    <phoneticPr fontId="6"/>
  </si>
  <si>
    <t>データの活用事例からデータの概念と価値を理解する（1,2）</t>
    <phoneticPr fontId="6"/>
  </si>
  <si>
    <t>情報化社会における倫理とモラルの必要性を理解する（1〜12）</t>
    <phoneticPr fontId="6"/>
  </si>
  <si>
    <t>情報の基礎知識から情報活用時のモラルの重要性を理解する（1,2,7,8）</t>
    <phoneticPr fontId="6"/>
  </si>
  <si>
    <t>社会からの様々なビッグデータに対して適切な統計手法を用いて解析する（1〜10）</t>
  </si>
  <si>
    <t>情報解析の基礎知識からデータを可視化・体系化し情報発信力を高める（5〜12）</t>
  </si>
  <si>
    <t>データの収集からデータの特徴を特定し解析を行う（1〜13）</t>
  </si>
  <si>
    <t>情報リテラシー２</t>
  </si>
  <si>
    <t>データプレゼンテーション</t>
  </si>
  <si>
    <t>データ分析</t>
  </si>
  <si>
    <t>統計学入門</t>
  </si>
  <si>
    <t>基礎の確率</t>
  </si>
  <si>
    <t>線形性の数理</t>
  </si>
  <si>
    <t>AIのためのプログラミング</t>
  </si>
  <si>
    <t>数学の基礎</t>
  </si>
  <si>
    <t>表計算ソフトからデータの収集と加工そして基本的な分析（8〜13）</t>
  </si>
  <si>
    <t>データ分析の基幹となる確率の概念と適用性を理解する（1〜14）</t>
  </si>
  <si>
    <t>構造化されたデータを扱うために必要な知識を身につける（1〜14）</t>
  </si>
  <si>
    <t>Pythonを用いて基本的ななデータ分析を行う（2〜14）</t>
  </si>
  <si>
    <t>データ分析の基礎のなる関数やグラフなど基礎数理の概念を身につける（1〜14）</t>
  </si>
  <si>
    <t>統計学入門、データプレゼンテーション、基礎の確率、線形性の数理</t>
    <rPh sb="26" eb="27">
      <t>カタチ</t>
    </rPh>
    <phoneticPr fontId="6"/>
  </si>
  <si>
    <t>https://www.nucba.ac.jp/academic/data_science_program.html</t>
    <phoneticPr fontId="6"/>
  </si>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</sst>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0%"/>
  </numFmts>
  <fonts count="16" x14ac:knownFonts="1">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7"/>
      <color theme="1"/>
      <name val="ＭＳ Ｐゴシック"/>
      <family val="3"/>
      <charset val="128"/>
      <scheme val="minor"/>
    </font>
    <font>
      <sz val="11"/>
      <color theme="1"/>
      <name val="ＭＳ Ｐゴシック"/>
      <family val="3"/>
      <charset val="128"/>
      <scheme val="minor"/>
    </font>
  </fonts>
  <fills count="2">
    <fill>
      <patternFill patternType="none"/>
    </fill>
    <fill>
      <patternFill patternType="gray125"/>
    </fill>
  </fills>
  <borders count="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diagonalUp="1">
      <left style="thin">
        <color auto="1"/>
      </left>
      <right style="hair">
        <color auto="1"/>
      </right>
      <top style="thin">
        <color auto="1"/>
      </top>
      <bottom/>
      <diagonal style="dashed">
        <color auto="1"/>
      </diagonal>
    </border>
    <border diagonalUp="1">
      <left/>
      <right style="thin">
        <color auto="1"/>
      </right>
      <top style="thin">
        <color auto="1"/>
      </top>
      <bottom/>
      <diagonal style="dashed">
        <color auto="1"/>
      </diagonal>
    </border>
    <border diagonalUp="1">
      <left style="thin">
        <color auto="1"/>
      </left>
      <right/>
      <top style="thin">
        <color auto="1"/>
      </top>
      <bottom/>
      <diagonal style="dashed">
        <color auto="1"/>
      </diagonal>
    </border>
    <border diagonalUp="1">
      <left style="hair">
        <color auto="1"/>
      </left>
      <right style="thin">
        <color auto="1"/>
      </right>
      <top style="thin">
        <color auto="1"/>
      </top>
      <bottom/>
      <diagonal style="dashed">
        <color auto="1"/>
      </diagonal>
    </border>
    <border diagonalUp="1">
      <left style="thin">
        <color auto="1"/>
      </left>
      <right style="hair">
        <color auto="1"/>
      </right>
      <top style="hair">
        <color auto="1"/>
      </top>
      <bottom style="hair">
        <color auto="1"/>
      </bottom>
      <diagonal style="dashed">
        <color auto="1"/>
      </diagonal>
    </border>
    <border diagonalUp="1">
      <left/>
      <right style="thin">
        <color auto="1"/>
      </right>
      <top style="hair">
        <color auto="1"/>
      </top>
      <bottom style="hair">
        <color auto="1"/>
      </bottom>
      <diagonal style="dashed">
        <color auto="1"/>
      </diagonal>
    </border>
    <border diagonalUp="1">
      <left style="thin">
        <color auto="1"/>
      </left>
      <right/>
      <top style="hair">
        <color auto="1"/>
      </top>
      <bottom style="hair">
        <color auto="1"/>
      </bottom>
      <diagonal style="dashed">
        <color auto="1"/>
      </diagonal>
    </border>
    <border diagonalUp="1">
      <left style="hair">
        <color auto="1"/>
      </left>
      <right style="thin">
        <color auto="1"/>
      </right>
      <top style="hair">
        <color auto="1"/>
      </top>
      <bottom style="hair">
        <color auto="1"/>
      </bottom>
      <diagonal style="dashed">
        <color auto="1"/>
      </diagonal>
    </border>
    <border>
      <left style="thin">
        <color auto="1"/>
      </left>
      <right style="hair">
        <color auto="1"/>
      </right>
      <top/>
      <bottom style="thin">
        <color indexed="64"/>
      </bottom>
      <diagonal/>
    </border>
  </borders>
  <cellStyleXfs count="4">
    <xf numFmtId="0" fontId="0" fillId="0" borderId="0">
      <alignment vertical="center"/>
    </xf>
    <xf numFmtId="38" fontId="11" fillId="0" borderId="0" applyFont="0" applyFill="0" applyBorder="0" applyAlignment="0" applyProtection="0">
      <alignment vertical="center"/>
    </xf>
    <xf numFmtId="0" fontId="12" fillId="0" borderId="0" applyNumberFormat="0" applyFill="0" applyBorder="0" applyAlignment="0" applyProtection="0">
      <alignment vertical="center"/>
    </xf>
    <xf numFmtId="9" fontId="11" fillId="0" borderId="0" applyFont="0" applyFill="0" applyBorder="0" applyAlignment="0" applyProtection="0">
      <alignment vertical="center"/>
    </xf>
  </cellStyleXfs>
  <cellXfs count="303">
    <xf numFmtId="0" fontId="0" fillId="0" borderId="0" xfId="0">
      <alignment vertical="center"/>
    </xf>
    <xf numFmtId="0" fontId="7" fillId="0" borderId="0" xfId="0" applyFont="1">
      <alignment vertical="center"/>
    </xf>
    <xf numFmtId="0" fontId="9" fillId="0" borderId="0" xfId="0" applyFont="1">
      <alignment vertical="center"/>
    </xf>
    <xf numFmtId="0" fontId="9" fillId="0" borderId="0" xfId="0" applyFont="1" applyBorder="1" applyAlignment="1">
      <alignment vertical="center" wrapText="1"/>
    </xf>
    <xf numFmtId="0" fontId="8" fillId="0" borderId="0" xfId="0" applyFont="1" applyAlignment="1">
      <alignment vertical="center"/>
    </xf>
    <xf numFmtId="0" fontId="9" fillId="0" borderId="0" xfId="0" applyFont="1" applyBorder="1" applyAlignment="1">
      <alignment vertical="top" wrapText="1"/>
    </xf>
    <xf numFmtId="0" fontId="9" fillId="0" borderId="0" xfId="0" applyFont="1" applyBorder="1" applyAlignment="1">
      <alignment vertical="top" shrinkToFit="1"/>
    </xf>
    <xf numFmtId="0" fontId="7" fillId="0" borderId="0" xfId="0" applyFont="1" applyAlignment="1">
      <alignment vertical="center"/>
    </xf>
    <xf numFmtId="0" fontId="9" fillId="0" borderId="5" xfId="0" applyFont="1" applyBorder="1" applyAlignment="1">
      <alignment vertical="top" wrapText="1"/>
    </xf>
    <xf numFmtId="0" fontId="9" fillId="0" borderId="10" xfId="0" applyFont="1" applyBorder="1" applyAlignment="1">
      <alignment vertical="top" wrapText="1"/>
    </xf>
    <xf numFmtId="0" fontId="9" fillId="0" borderId="18" xfId="0" applyFont="1" applyBorder="1" applyAlignment="1">
      <alignment vertical="top" wrapText="1"/>
    </xf>
    <xf numFmtId="0" fontId="7" fillId="0" borderId="0" xfId="0" applyFont="1" applyAlignment="1">
      <alignment horizontal="center" vertical="center"/>
    </xf>
    <xf numFmtId="0" fontId="7" fillId="0" borderId="0" xfId="0" applyFont="1" applyAlignment="1">
      <alignment horizontal="right" vertical="center"/>
    </xf>
    <xf numFmtId="0" fontId="8" fillId="0" borderId="0" xfId="0" applyFont="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xf>
    <xf numFmtId="0" fontId="8" fillId="0" borderId="0" xfId="0" applyFont="1" applyAlignment="1">
      <alignment horizontal="center" vertical="center"/>
    </xf>
    <xf numFmtId="0" fontId="9" fillId="0" borderId="20" xfId="0" applyFont="1" applyBorder="1" applyAlignment="1">
      <alignment vertical="top" wrapText="1"/>
    </xf>
    <xf numFmtId="0" fontId="9" fillId="0" borderId="0" xfId="0" applyFont="1" applyFill="1" applyBorder="1" applyAlignment="1">
      <alignment vertical="top" wrapText="1"/>
    </xf>
    <xf numFmtId="0" fontId="8" fillId="0" borderId="0" xfId="0" applyFont="1" applyAlignment="1">
      <alignment horizontal="center" vertical="center"/>
    </xf>
    <xf numFmtId="0" fontId="8" fillId="0" borderId="0" xfId="0" applyFont="1" applyAlignment="1">
      <alignment vertical="center" shrinkToFit="1"/>
    </xf>
    <xf numFmtId="0" fontId="15" fillId="0" borderId="0" xfId="0" applyFont="1">
      <alignment vertical="center"/>
    </xf>
    <xf numFmtId="0" fontId="8" fillId="0" borderId="0" xfId="0" applyFont="1" applyBorder="1" applyAlignment="1">
      <alignment vertical="center" shrinkToFi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2"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10" xfId="0" applyNumberFormat="1" applyFont="1" applyBorder="1" applyAlignment="1">
      <alignment vertical="center" shrinkToFit="1"/>
    </xf>
    <xf numFmtId="0" fontId="8" fillId="0" borderId="19" xfId="0" applyFont="1" applyBorder="1" applyAlignment="1">
      <alignment vertical="center" shrinkToFit="1"/>
    </xf>
    <xf numFmtId="176" fontId="8" fillId="0" borderId="19"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35" xfId="0" applyNumberFormat="1" applyFont="1" applyBorder="1" applyAlignment="1">
      <alignment vertical="center" shrinkToFit="1"/>
    </xf>
    <xf numFmtId="176" fontId="8" fillId="0" borderId="18" xfId="0" applyNumberFormat="1" applyFont="1" applyBorder="1" applyAlignment="1">
      <alignment vertical="center" shrinkToFit="1"/>
    </xf>
    <xf numFmtId="176" fontId="8" fillId="0" borderId="24" xfId="0" applyNumberFormat="1" applyFont="1" applyBorder="1" applyAlignment="1">
      <alignment vertical="center" shrinkToFit="1"/>
    </xf>
    <xf numFmtId="176" fontId="8" fillId="0" borderId="25" xfId="0" applyNumberFormat="1" applyFont="1" applyBorder="1" applyAlignment="1">
      <alignment vertical="center" shrinkToFit="1"/>
    </xf>
    <xf numFmtId="176" fontId="8" fillId="0" borderId="26" xfId="0" applyNumberFormat="1" applyFont="1" applyBorder="1" applyAlignment="1">
      <alignment vertical="center" shrinkToFit="1"/>
    </xf>
    <xf numFmtId="176" fontId="8" fillId="0" borderId="36" xfId="0" applyNumberFormat="1" applyFont="1" applyBorder="1" applyAlignment="1">
      <alignment vertical="center" shrinkToFit="1"/>
    </xf>
    <xf numFmtId="176" fontId="8" fillId="0" borderId="37" xfId="0" applyNumberFormat="1" applyFont="1" applyBorder="1" applyAlignment="1">
      <alignment vertical="center" shrinkToFit="1"/>
    </xf>
    <xf numFmtId="176" fontId="8" fillId="0" borderId="28" xfId="0" applyNumberFormat="1" applyFont="1" applyBorder="1" applyAlignment="1">
      <alignment vertical="center" shrinkToFit="1"/>
    </xf>
    <xf numFmtId="176" fontId="8" fillId="0" borderId="29" xfId="0" applyNumberFormat="1" applyFont="1" applyBorder="1" applyAlignment="1">
      <alignment vertical="center" shrinkToFit="1"/>
    </xf>
    <xf numFmtId="176" fontId="10" fillId="0" borderId="0" xfId="0" applyNumberFormat="1" applyFont="1" applyBorder="1" applyAlignment="1">
      <alignment vertical="center" shrinkToFit="1"/>
    </xf>
    <xf numFmtId="0" fontId="9" fillId="0" borderId="0" xfId="0" applyFont="1" applyAlignment="1">
      <alignment vertical="top" wrapText="1"/>
    </xf>
    <xf numFmtId="0" fontId="5" fillId="0" borderId="0" xfId="0" applyFont="1">
      <alignment vertical="center"/>
    </xf>
    <xf numFmtId="0" fontId="5" fillId="0" borderId="0" xfId="0" applyFont="1" applyAlignment="1">
      <alignment vertical="center"/>
    </xf>
    <xf numFmtId="0" fontId="5" fillId="0" borderId="0" xfId="0" applyFont="1" applyAlignment="1">
      <alignment horizontal="left" vertical="center"/>
    </xf>
    <xf numFmtId="0" fontId="5" fillId="0" borderId="0" xfId="0" applyFont="1" applyBorder="1" applyAlignment="1">
      <alignment vertical="center" shrinkToFit="1"/>
    </xf>
    <xf numFmtId="0" fontId="5" fillId="0" borderId="0" xfId="0" applyFont="1" applyBorder="1" applyAlignment="1">
      <alignment vertical="center"/>
    </xf>
    <xf numFmtId="0" fontId="5" fillId="0" borderId="10" xfId="0" applyFont="1" applyBorder="1" applyAlignment="1">
      <alignment vertical="center"/>
    </xf>
    <xf numFmtId="0" fontId="5" fillId="0" borderId="10" xfId="0" applyFont="1" applyBorder="1" applyAlignment="1">
      <alignment vertical="center" shrinkToFit="1"/>
    </xf>
    <xf numFmtId="0" fontId="5" fillId="0" borderId="5" xfId="0" applyFont="1" applyBorder="1">
      <alignment vertical="center"/>
    </xf>
    <xf numFmtId="176" fontId="5" fillId="0" borderId="0" xfId="0" applyNumberFormat="1" applyFont="1" applyBorder="1" applyAlignment="1">
      <alignment vertical="center" wrapText="1"/>
    </xf>
    <xf numFmtId="0" fontId="5" fillId="0" borderId="0" xfId="0" applyFont="1" applyBorder="1">
      <alignment vertical="center"/>
    </xf>
    <xf numFmtId="176" fontId="5" fillId="0" borderId="5" xfId="0" applyNumberFormat="1" applyFont="1" applyBorder="1" applyAlignment="1">
      <alignment vertical="center"/>
    </xf>
    <xf numFmtId="176" fontId="5" fillId="0" borderId="0" xfId="0" applyNumberFormat="1" applyFont="1" applyBorder="1">
      <alignment vertical="center"/>
    </xf>
    <xf numFmtId="0" fontId="5" fillId="0" borderId="0" xfId="0" applyFont="1" applyBorder="1" applyAlignment="1">
      <alignment horizontal="center" vertical="center"/>
    </xf>
    <xf numFmtId="176" fontId="5" fillId="0" borderId="0" xfId="0" applyNumberFormat="1" applyFont="1" applyAlignment="1">
      <alignment vertical="center" wrapText="1"/>
    </xf>
    <xf numFmtId="0" fontId="5" fillId="0" borderId="0" xfId="0" applyFont="1" applyAlignment="1">
      <alignment horizontal="center" vertical="center"/>
    </xf>
    <xf numFmtId="176" fontId="5" fillId="0" borderId="3" xfId="0" applyNumberFormat="1" applyFont="1" applyBorder="1" applyAlignment="1">
      <alignment vertical="center" shrinkToFit="1"/>
    </xf>
    <xf numFmtId="176" fontId="5" fillId="0" borderId="0" xfId="0" applyNumberFormat="1" applyFont="1" applyAlignment="1">
      <alignment horizontal="left" vertical="center" wrapText="1"/>
    </xf>
    <xf numFmtId="0" fontId="5" fillId="0" borderId="6" xfId="0" applyFont="1" applyBorder="1" applyAlignment="1">
      <alignment vertical="center" shrinkToFit="1"/>
    </xf>
    <xf numFmtId="0" fontId="5" fillId="0" borderId="0" xfId="0" applyFont="1" applyBorder="1" applyAlignment="1">
      <alignment horizontal="center" vertical="center" shrinkToFit="1"/>
    </xf>
    <xf numFmtId="0" fontId="5" fillId="0" borderId="0" xfId="0" applyFont="1" applyFill="1">
      <alignment vertical="center"/>
    </xf>
    <xf numFmtId="0" fontId="5" fillId="0" borderId="1" xfId="0" applyFont="1" applyBorder="1">
      <alignment vertical="center"/>
    </xf>
    <xf numFmtId="0" fontId="5" fillId="0" borderId="2" xfId="0" applyFont="1" applyBorder="1">
      <alignment vertical="center"/>
    </xf>
    <xf numFmtId="0" fontId="5" fillId="0" borderId="4" xfId="0" applyFont="1" applyBorder="1">
      <alignment vertical="center"/>
    </xf>
    <xf numFmtId="0" fontId="5" fillId="0" borderId="0" xfId="0" applyFont="1" applyAlignment="1">
      <alignment horizontal="right" vertical="center"/>
    </xf>
    <xf numFmtId="0" fontId="5" fillId="0" borderId="1" xfId="0" applyFont="1" applyBorder="1" applyAlignment="1">
      <alignment vertical="center" shrinkToFit="1"/>
    </xf>
    <xf numFmtId="38" fontId="8" fillId="0" borderId="26" xfId="1" applyFont="1" applyBorder="1" applyAlignment="1">
      <alignment vertical="center" shrinkToFit="1"/>
    </xf>
    <xf numFmtId="176" fontId="8" fillId="0" borderId="42" xfId="0" applyNumberFormat="1" applyFont="1" applyBorder="1" applyAlignment="1">
      <alignment vertical="center" shrinkToFit="1"/>
    </xf>
    <xf numFmtId="176" fontId="8" fillId="0" borderId="43" xfId="0" applyNumberFormat="1" applyFont="1" applyBorder="1" applyAlignment="1">
      <alignment vertical="center" shrinkToFit="1"/>
    </xf>
    <xf numFmtId="176" fontId="8" fillId="0" borderId="44" xfId="0" applyNumberFormat="1" applyFont="1" applyBorder="1" applyAlignment="1">
      <alignment vertical="center" shrinkToFit="1"/>
    </xf>
    <xf numFmtId="176" fontId="8" fillId="0" borderId="45" xfId="0" applyNumberFormat="1" applyFont="1" applyBorder="1" applyAlignment="1">
      <alignment vertical="center" shrinkToFit="1"/>
    </xf>
    <xf numFmtId="176" fontId="8" fillId="0" borderId="46" xfId="0" applyNumberFormat="1" applyFont="1" applyBorder="1" applyAlignment="1">
      <alignment vertical="center" shrinkToFit="1"/>
    </xf>
    <xf numFmtId="176" fontId="8" fillId="0" borderId="47" xfId="0" applyNumberFormat="1" applyFont="1" applyBorder="1" applyAlignment="1">
      <alignment vertical="center" shrinkToFit="1"/>
    </xf>
    <xf numFmtId="176" fontId="8" fillId="0" borderId="48" xfId="0" applyNumberFormat="1" applyFont="1" applyBorder="1" applyAlignment="1">
      <alignment vertical="center" shrinkToFit="1"/>
    </xf>
    <xf numFmtId="176" fontId="8" fillId="0" borderId="49" xfId="0" applyNumberFormat="1" applyFont="1" applyBorder="1" applyAlignment="1">
      <alignment vertical="center" shrinkToFit="1"/>
    </xf>
    <xf numFmtId="177" fontId="8" fillId="0" borderId="14" xfId="3" applyNumberFormat="1" applyFont="1" applyBorder="1" applyAlignment="1">
      <alignment horizontal="right" vertical="center" shrinkToFit="1"/>
    </xf>
    <xf numFmtId="177" fontId="8" fillId="0" borderId="24" xfId="3" applyNumberFormat="1" applyFont="1" applyBorder="1" applyAlignment="1">
      <alignment horizontal="right" vertical="center" shrinkToFit="1"/>
    </xf>
    <xf numFmtId="176" fontId="8" fillId="0" borderId="14" xfId="0" applyNumberFormat="1" applyFont="1" applyBorder="1" applyAlignment="1">
      <alignment horizontal="right" vertical="center" shrinkToFit="1"/>
    </xf>
    <xf numFmtId="176" fontId="8" fillId="0" borderId="24" xfId="0" applyNumberFormat="1" applyFont="1" applyBorder="1" applyAlignment="1">
      <alignment horizontal="right" vertical="center" shrinkToFit="1"/>
    </xf>
    <xf numFmtId="177" fontId="8" fillId="0" borderId="28" xfId="0" applyNumberFormat="1" applyFont="1" applyBorder="1" applyAlignment="1">
      <alignment vertical="center" shrinkToFit="1"/>
    </xf>
    <xf numFmtId="38" fontId="8" fillId="0" borderId="5" xfId="1" applyFont="1" applyBorder="1" applyAlignment="1">
      <alignment vertical="center" shrinkToFit="1"/>
    </xf>
    <xf numFmtId="38" fontId="8" fillId="0" borderId="19" xfId="1" applyFont="1" applyBorder="1" applyAlignment="1">
      <alignment vertical="center" shrinkToFit="1"/>
    </xf>
    <xf numFmtId="0" fontId="5" fillId="0" borderId="2" xfId="0" applyFont="1" applyBorder="1" applyAlignment="1">
      <alignment vertical="center" shrinkToFit="1"/>
    </xf>
    <xf numFmtId="0" fontId="5" fillId="0" borderId="11" xfId="0" applyFont="1" applyBorder="1" applyAlignment="1">
      <alignment horizontal="center" vertical="center"/>
    </xf>
    <xf numFmtId="0" fontId="5" fillId="0" borderId="1" xfId="0" applyFont="1" applyBorder="1" applyAlignment="1">
      <alignment vertical="center" wrapText="1"/>
    </xf>
    <xf numFmtId="0" fontId="5" fillId="0" borderId="2" xfId="0" applyFont="1" applyBorder="1" applyAlignment="1">
      <alignment horizontal="left" vertical="top" shrinkToFit="1"/>
    </xf>
    <xf numFmtId="0" fontId="4" fillId="0" borderId="0" xfId="0" applyFont="1">
      <alignment vertical="center"/>
    </xf>
    <xf numFmtId="0" fontId="4" fillId="0" borderId="0" xfId="0" applyFont="1" applyAlignment="1">
      <alignment horizontal="right" vertical="center"/>
    </xf>
    <xf numFmtId="0" fontId="4" fillId="0" borderId="0" xfId="0" applyFont="1" applyAlignment="1">
      <alignment horizontal="center"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Font="1" applyBorder="1" applyAlignment="1">
      <alignment vertical="top" wrapText="1"/>
    </xf>
    <xf numFmtId="0" fontId="4" fillId="0" borderId="0" xfId="0" applyFont="1" applyBorder="1" applyAlignment="1">
      <alignment vertical="center" wrapText="1"/>
    </xf>
    <xf numFmtId="0" fontId="4" fillId="0" borderId="5" xfId="0" applyFont="1" applyBorder="1">
      <alignment vertical="center"/>
    </xf>
    <xf numFmtId="0" fontId="4" fillId="0" borderId="0" xfId="0" applyFont="1" applyBorder="1">
      <alignment vertical="center"/>
    </xf>
    <xf numFmtId="0" fontId="9" fillId="0" borderId="20" xfId="0" applyFont="1" applyBorder="1" applyAlignment="1">
      <alignment vertical="top" shrinkToFit="1"/>
    </xf>
    <xf numFmtId="0" fontId="9" fillId="0" borderId="18" xfId="0" applyFont="1" applyBorder="1" applyAlignment="1">
      <alignment vertical="top" shrinkToFit="1"/>
    </xf>
    <xf numFmtId="0" fontId="4" fillId="0" borderId="0" xfId="0" applyFont="1" applyAlignment="1">
      <alignment vertical="center" wrapText="1"/>
    </xf>
    <xf numFmtId="0" fontId="0" fillId="0" borderId="0" xfId="2" applyNumberFormat="1" applyFont="1" applyBorder="1" applyAlignment="1">
      <alignment vertical="center" shrinkToFit="1"/>
    </xf>
    <xf numFmtId="0" fontId="9" fillId="0" borderId="0" xfId="0" applyFont="1" applyBorder="1" applyAlignment="1">
      <alignment vertical="center" shrinkToFit="1"/>
    </xf>
    <xf numFmtId="0" fontId="4" fillId="0" borderId="0" xfId="0" applyFont="1" applyFill="1" applyBorder="1" applyAlignment="1">
      <alignment vertical="center"/>
    </xf>
    <xf numFmtId="0" fontId="4" fillId="0" borderId="1" xfId="0" applyFont="1" applyBorder="1" applyAlignment="1">
      <alignment vertical="center" wrapText="1"/>
    </xf>
    <xf numFmtId="0" fontId="5" fillId="0" borderId="2" xfId="0" applyFont="1" applyBorder="1" applyAlignment="1">
      <alignment vertical="center" shrinkToFit="1"/>
    </xf>
    <xf numFmtId="0" fontId="1" fillId="0" borderId="2" xfId="0" applyFont="1" applyBorder="1" applyAlignment="1">
      <alignment vertical="center" shrinkToFit="1"/>
    </xf>
    <xf numFmtId="0" fontId="5" fillId="0" borderId="7" xfId="0" applyFont="1" applyBorder="1" applyAlignment="1">
      <alignment horizontal="left" vertical="top" shrinkToFit="1"/>
    </xf>
    <xf numFmtId="0" fontId="1" fillId="0" borderId="16" xfId="0" applyFont="1" applyBorder="1" applyAlignment="1">
      <alignment vertical="top" wrapText="1" shrinkToFit="1"/>
    </xf>
    <xf numFmtId="0" fontId="5" fillId="0" borderId="2" xfId="0" applyFont="1" applyBorder="1" applyAlignment="1">
      <alignment vertical="center" shrinkToFit="1"/>
    </xf>
    <xf numFmtId="0" fontId="5" fillId="0" borderId="0" xfId="0" applyFont="1" applyAlignment="1">
      <alignment horizontal="center" vertical="center"/>
    </xf>
    <xf numFmtId="0" fontId="5" fillId="0" borderId="1" xfId="0" applyFont="1" applyBorder="1" applyAlignment="1">
      <alignment vertical="top" shrinkToFit="1"/>
    </xf>
    <xf numFmtId="0" fontId="3" fillId="0" borderId="16" xfId="0" applyFont="1" applyBorder="1" applyAlignment="1">
      <alignment vertical="top" shrinkToFit="1"/>
    </xf>
    <xf numFmtId="0" fontId="3" fillId="0" borderId="1" xfId="0" applyFont="1" applyBorder="1" applyAlignment="1">
      <alignment vertical="top" shrinkToFit="1"/>
    </xf>
    <xf numFmtId="0" fontId="5" fillId="0" borderId="16" xfId="0" applyFont="1" applyBorder="1" applyAlignment="1">
      <alignment vertical="top" shrinkToFit="1"/>
    </xf>
    <xf numFmtId="0" fontId="1" fillId="0" borderId="7" xfId="0" applyFont="1" applyBorder="1" applyAlignment="1">
      <alignment vertical="top" wrapText="1" shrinkToFit="1"/>
    </xf>
    <xf numFmtId="0" fontId="5" fillId="0" borderId="16" xfId="0" applyFont="1" applyBorder="1" applyAlignment="1">
      <alignment vertical="top" wrapText="1" shrinkToFit="1"/>
    </xf>
    <xf numFmtId="0" fontId="1" fillId="0" borderId="0" xfId="0" applyFont="1" applyAlignment="1">
      <alignment horizontal="center" vertical="center"/>
    </xf>
    <xf numFmtId="0" fontId="1" fillId="0" borderId="1" xfId="0" applyFont="1" applyBorder="1" applyAlignment="1">
      <alignment vertical="top" shrinkToFit="1"/>
    </xf>
    <xf numFmtId="0" fontId="9" fillId="0" borderId="50" xfId="0" applyFont="1" applyBorder="1" applyAlignment="1">
      <alignment vertical="top" wrapText="1"/>
    </xf>
    <xf numFmtId="0" fontId="5" fillId="0" borderId="0" xfId="0" applyFont="1" applyBorder="1" applyAlignment="1">
      <alignment vertical="center" shrinkToFit="1"/>
    </xf>
    <xf numFmtId="176" fontId="5" fillId="0" borderId="2" xfId="0" applyNumberFormat="1" applyFont="1" applyBorder="1" applyAlignment="1">
      <alignment horizontal="center" vertical="center" shrinkToFit="1"/>
    </xf>
    <xf numFmtId="176" fontId="5" fillId="0" borderId="4" xfId="0" applyNumberFormat="1"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0" xfId="0" applyFont="1" applyBorder="1" applyAlignment="1">
      <alignment horizontal="center" vertical="center"/>
    </xf>
    <xf numFmtId="176" fontId="5" fillId="0" borderId="2" xfId="0" applyNumberFormat="1"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Border="1" applyAlignment="1">
      <alignment horizontal="right" vertical="center" shrinkToFit="1"/>
    </xf>
    <xf numFmtId="0" fontId="5" fillId="0" borderId="5" xfId="0" applyFont="1" applyBorder="1" applyAlignment="1">
      <alignment horizontal="right" vertical="center" shrinkToFit="1"/>
    </xf>
    <xf numFmtId="0" fontId="5" fillId="0" borderId="10" xfId="0" applyFont="1" applyBorder="1" applyAlignment="1">
      <alignment horizontal="right" vertical="center" shrinkToFit="1"/>
    </xf>
    <xf numFmtId="0" fontId="5" fillId="0" borderId="2" xfId="0" applyFont="1" applyBorder="1" applyAlignment="1">
      <alignment horizontal="center" vertical="center"/>
    </xf>
    <xf numFmtId="0" fontId="5" fillId="0" borderId="0" xfId="0" applyFont="1" applyAlignment="1">
      <alignment horizontal="right" vertical="center"/>
    </xf>
    <xf numFmtId="0" fontId="5" fillId="0" borderId="0" xfId="0" applyFont="1" applyBorder="1" applyAlignment="1">
      <alignment horizontal="right" vertical="center"/>
    </xf>
    <xf numFmtId="0" fontId="5" fillId="0" borderId="10" xfId="0" applyFont="1" applyBorder="1" applyAlignment="1">
      <alignment horizontal="right" vertical="center"/>
    </xf>
    <xf numFmtId="0" fontId="5" fillId="0" borderId="2" xfId="0" applyFont="1" applyBorder="1" applyAlignment="1">
      <alignment horizontal="left" vertical="center" shrinkToFit="1"/>
    </xf>
    <xf numFmtId="0" fontId="5" fillId="0" borderId="3" xfId="0" applyFont="1" applyBorder="1" applyAlignment="1">
      <alignment horizontal="left" vertical="center" shrinkToFit="1"/>
    </xf>
    <xf numFmtId="0" fontId="5" fillId="0" borderId="4" xfId="0" applyFont="1" applyBorder="1" applyAlignment="1">
      <alignment horizontal="left" vertical="center" shrinkToFit="1"/>
    </xf>
    <xf numFmtId="176" fontId="5" fillId="0" borderId="3" xfId="0" applyNumberFormat="1" applyFont="1" applyBorder="1" applyAlignment="1">
      <alignment horizontal="center" vertical="center" shrinkToFit="1"/>
    </xf>
    <xf numFmtId="0" fontId="5" fillId="0" borderId="0" xfId="0" applyFont="1" applyBorder="1" applyAlignment="1">
      <alignment horizontal="center" vertical="center" shrinkToFit="1"/>
    </xf>
    <xf numFmtId="0" fontId="5" fillId="0" borderId="0" xfId="0" applyFont="1" applyAlignment="1">
      <alignment horizontal="center" vertical="center"/>
    </xf>
    <xf numFmtId="0" fontId="5" fillId="0" borderId="2" xfId="0" applyFont="1" applyBorder="1" applyAlignment="1">
      <alignment vertical="center" shrinkToFit="1"/>
    </xf>
    <xf numFmtId="0" fontId="5" fillId="0" borderId="3" xfId="0" applyFont="1" applyBorder="1" applyAlignment="1">
      <alignment vertical="center" shrinkToFit="1"/>
    </xf>
    <xf numFmtId="0" fontId="5" fillId="0" borderId="4" xfId="0" applyFont="1" applyBorder="1" applyAlignment="1">
      <alignment vertical="center" shrinkToFit="1"/>
    </xf>
    <xf numFmtId="0" fontId="0" fillId="0" borderId="2" xfId="0" applyFill="1" applyBorder="1">
      <alignment vertical="center"/>
    </xf>
    <xf numFmtId="0" fontId="0" fillId="0" borderId="3" xfId="0" applyFill="1" applyBorder="1">
      <alignment vertical="center"/>
    </xf>
    <xf numFmtId="0" fontId="0" fillId="0" borderId="4" xfId="0" applyFill="1" applyBorder="1">
      <alignment vertical="center"/>
    </xf>
    <xf numFmtId="49" fontId="5" fillId="0" borderId="2" xfId="1" applyNumberFormat="1" applyFont="1" applyBorder="1" applyAlignment="1">
      <alignment horizontal="center" vertical="center" shrinkToFit="1"/>
    </xf>
    <xf numFmtId="49" fontId="5" fillId="0" borderId="3" xfId="1" applyNumberFormat="1" applyFont="1" applyBorder="1" applyAlignment="1">
      <alignment horizontal="center" vertical="center" shrinkToFit="1"/>
    </xf>
    <xf numFmtId="49" fontId="5" fillId="0" borderId="4" xfId="1" applyNumberFormat="1" applyFont="1" applyBorder="1" applyAlignment="1">
      <alignment horizontal="center" vertical="center" shrinkToFit="1"/>
    </xf>
    <xf numFmtId="0" fontId="5" fillId="0" borderId="7" xfId="0" applyFont="1" applyBorder="1" applyAlignment="1">
      <alignmen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5" xfId="0" applyFont="1" applyBorder="1" applyAlignment="1">
      <alignment vertical="top" wrapText="1"/>
    </xf>
    <xf numFmtId="0" fontId="5" fillId="0" borderId="0" xfId="0" applyFont="1" applyBorder="1" applyAlignment="1">
      <alignment vertical="top" wrapText="1"/>
    </xf>
    <xf numFmtId="0" fontId="5" fillId="0" borderId="10" xfId="0" applyFont="1" applyBorder="1" applyAlignment="1">
      <alignment vertical="top" wrapText="1"/>
    </xf>
    <xf numFmtId="0" fontId="5" fillId="0" borderId="11" xfId="0" applyFont="1" applyBorder="1" applyAlignment="1">
      <alignment vertical="top" wrapText="1"/>
    </xf>
    <xf numFmtId="0" fontId="5" fillId="0" borderId="6" xfId="0" applyFont="1" applyBorder="1" applyAlignment="1">
      <alignment vertical="top" wrapText="1"/>
    </xf>
    <xf numFmtId="0" fontId="5" fillId="0" borderId="12" xfId="0" applyFont="1" applyBorder="1" applyAlignment="1">
      <alignment vertical="top" wrapText="1"/>
    </xf>
    <xf numFmtId="0" fontId="5" fillId="0" borderId="0" xfId="0" applyFont="1" applyAlignment="1">
      <alignment vertical="center" shrinkToFit="1"/>
    </xf>
    <xf numFmtId="0" fontId="5" fillId="0" borderId="1" xfId="0" applyFont="1" applyBorder="1" applyAlignment="1">
      <alignment horizontal="center" vertical="center"/>
    </xf>
    <xf numFmtId="0" fontId="5" fillId="0" borderId="1" xfId="0" applyFont="1" applyBorder="1" applyAlignment="1">
      <alignment horizontal="center" vertical="center" shrinkToFit="1"/>
    </xf>
    <xf numFmtId="0" fontId="8" fillId="0" borderId="19" xfId="0" applyFont="1" applyBorder="1" applyAlignment="1">
      <alignment vertical="center" shrinkToFit="1"/>
    </xf>
    <xf numFmtId="0" fontId="8" fillId="0" borderId="18" xfId="0" applyFont="1" applyBorder="1" applyAlignment="1">
      <alignment vertical="center" shrinkToFit="1"/>
    </xf>
    <xf numFmtId="0" fontId="8" fillId="0" borderId="15" xfId="0" applyFont="1" applyBorder="1" applyAlignment="1">
      <alignment vertical="center" shrinkToFit="1"/>
    </xf>
    <xf numFmtId="0" fontId="8" fillId="0" borderId="38" xfId="0" applyFont="1" applyBorder="1" applyAlignment="1">
      <alignment vertical="center" shrinkToFit="1"/>
    </xf>
    <xf numFmtId="0" fontId="8" fillId="0" borderId="26" xfId="0" applyFont="1" applyBorder="1" applyAlignment="1">
      <alignment horizontal="center" vertical="center" shrinkToFit="1"/>
    </xf>
    <xf numFmtId="0" fontId="8" fillId="0" borderId="27"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11" xfId="0" applyFont="1" applyBorder="1" applyAlignment="1">
      <alignment horizontal="center" vertical="center"/>
    </xf>
    <xf numFmtId="0" fontId="8" fillId="0" borderId="6" xfId="0" applyFont="1" applyBorder="1" applyAlignment="1">
      <alignment horizontal="center" vertical="center"/>
    </xf>
    <xf numFmtId="0" fontId="8" fillId="0" borderId="39" xfId="0" applyFont="1" applyBorder="1" applyAlignment="1">
      <alignment vertical="center" shrinkToFit="1"/>
    </xf>
    <xf numFmtId="0" fontId="8" fillId="0" borderId="40" xfId="0" applyFont="1" applyBorder="1" applyAlignment="1">
      <alignment vertical="center" shrinkToFit="1"/>
    </xf>
    <xf numFmtId="0" fontId="7" fillId="0" borderId="0" xfId="0" applyFont="1" applyAlignment="1">
      <alignment horizontal="right" vertical="center"/>
    </xf>
    <xf numFmtId="0" fontId="13" fillId="0" borderId="7" xfId="0" applyFont="1" applyBorder="1" applyAlignment="1">
      <alignment horizontal="center" vertical="center" wrapText="1"/>
    </xf>
    <xf numFmtId="0" fontId="13" fillId="0" borderId="11"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38" xfId="0" applyFont="1" applyBorder="1" applyAlignment="1">
      <alignment horizontal="center" vertical="center"/>
    </xf>
    <xf numFmtId="0" fontId="14" fillId="0" borderId="16" xfId="0" applyFont="1" applyBorder="1" applyAlignment="1">
      <alignment horizontal="center" vertical="center" wrapText="1"/>
    </xf>
    <xf numFmtId="0" fontId="14" fillId="0" borderId="13" xfId="0" applyFont="1" applyBorder="1" applyAlignment="1">
      <alignment horizontal="center" vertical="center"/>
    </xf>
    <xf numFmtId="0" fontId="13" fillId="0" borderId="9" xfId="0" applyFont="1" applyBorder="1" applyAlignment="1">
      <alignment horizontal="center" vertical="center"/>
    </xf>
    <xf numFmtId="0" fontId="13" fillId="0" borderId="12"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center" shrinkToFit="1"/>
    </xf>
    <xf numFmtId="0" fontId="1" fillId="0" borderId="7" xfId="0" applyFont="1" applyBorder="1" applyAlignment="1">
      <alignment horizontal="left" vertical="top" wrapText="1" shrinkToFit="1"/>
    </xf>
    <xf numFmtId="0" fontId="1" fillId="0" borderId="8" xfId="0" applyFont="1" applyBorder="1" applyAlignment="1">
      <alignment horizontal="left" vertical="top" wrapText="1" shrinkToFit="1"/>
    </xf>
    <xf numFmtId="0" fontId="1" fillId="0" borderId="9" xfId="0" applyFont="1" applyBorder="1" applyAlignment="1">
      <alignment horizontal="left" vertical="top" wrapText="1" shrinkToFi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5" fillId="0" borderId="7" xfId="0" applyFont="1" applyBorder="1" applyAlignment="1">
      <alignment horizontal="left" vertical="top" wrapText="1" shrinkToFit="1"/>
    </xf>
    <xf numFmtId="0" fontId="5" fillId="0" borderId="8" xfId="0" applyFont="1" applyBorder="1" applyAlignment="1">
      <alignment horizontal="left" vertical="top" wrapText="1" shrinkToFit="1"/>
    </xf>
    <xf numFmtId="0" fontId="5" fillId="0" borderId="9" xfId="0" applyFont="1" applyBorder="1" applyAlignment="1">
      <alignment horizontal="left" vertical="top" wrapText="1" shrinkToFit="1"/>
    </xf>
    <xf numFmtId="0" fontId="5" fillId="0" borderId="5" xfId="0" applyFont="1" applyBorder="1" applyAlignment="1">
      <alignment horizontal="left" vertical="top" wrapText="1" shrinkToFit="1"/>
    </xf>
    <xf numFmtId="0" fontId="5" fillId="0" borderId="0" xfId="0" applyFont="1" applyBorder="1" applyAlignment="1">
      <alignment horizontal="left" vertical="top" wrapText="1" shrinkToFit="1"/>
    </xf>
    <xf numFmtId="0" fontId="5" fillId="0" borderId="10" xfId="0" applyFont="1" applyBorder="1" applyAlignment="1">
      <alignment horizontal="left" vertical="top" wrapText="1" shrinkToFit="1"/>
    </xf>
    <xf numFmtId="0" fontId="5" fillId="0" borderId="11" xfId="0" applyFont="1" applyBorder="1" applyAlignment="1">
      <alignment horizontal="left" vertical="top" wrapText="1" shrinkToFit="1"/>
    </xf>
    <xf numFmtId="0" fontId="5" fillId="0" borderId="6" xfId="0" applyFont="1" applyBorder="1" applyAlignment="1">
      <alignment horizontal="left" vertical="top" wrapText="1" shrinkToFit="1"/>
    </xf>
    <xf numFmtId="0" fontId="5" fillId="0" borderId="12" xfId="0" applyFont="1" applyBorder="1" applyAlignment="1">
      <alignment horizontal="left" vertical="top" wrapText="1" shrinkToFit="1"/>
    </xf>
    <xf numFmtId="0" fontId="1" fillId="0" borderId="2" xfId="0" applyFont="1" applyBorder="1" applyAlignment="1">
      <alignment horizontal="left" vertical="top" wrapText="1" shrinkToFit="1"/>
    </xf>
    <xf numFmtId="0" fontId="1" fillId="0" borderId="3" xfId="0" applyFont="1" applyBorder="1" applyAlignment="1">
      <alignment horizontal="left" vertical="top" wrapText="1" shrinkToFit="1"/>
    </xf>
    <xf numFmtId="0" fontId="1" fillId="0" borderId="4" xfId="0" applyFont="1" applyBorder="1" applyAlignment="1">
      <alignment horizontal="left" vertical="top" wrapText="1" shrinkToFit="1"/>
    </xf>
    <xf numFmtId="0" fontId="1" fillId="0" borderId="2" xfId="0" applyFont="1" applyFill="1" applyBorder="1" applyAlignment="1">
      <alignment horizontal="left" vertical="top" wrapText="1" shrinkToFit="1"/>
    </xf>
    <xf numFmtId="0" fontId="1" fillId="0" borderId="3" xfId="0" applyFont="1" applyFill="1" applyBorder="1" applyAlignment="1">
      <alignment horizontal="left" vertical="top" wrapText="1" shrinkToFit="1"/>
    </xf>
    <xf numFmtId="0" fontId="1" fillId="0" borderId="4" xfId="0" applyFont="1" applyFill="1" applyBorder="1" applyAlignment="1">
      <alignment horizontal="left" vertical="top" wrapText="1" shrinkToFi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5" xfId="0" applyFont="1" applyBorder="1" applyAlignment="1">
      <alignment horizontal="left" vertical="top" wrapText="1"/>
    </xf>
    <xf numFmtId="0" fontId="5" fillId="0" borderId="0"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2" xfId="0" applyFont="1" applyBorder="1" applyAlignment="1">
      <alignment horizontal="left" vertical="top" wrapText="1"/>
    </xf>
    <xf numFmtId="0" fontId="5" fillId="0" borderId="7" xfId="0" applyFont="1" applyBorder="1" applyAlignment="1">
      <alignment vertical="top" wrapText="1" shrinkToFit="1"/>
    </xf>
    <xf numFmtId="0" fontId="5" fillId="0" borderId="8" xfId="0" applyFont="1" applyBorder="1" applyAlignment="1">
      <alignment vertical="top" wrapText="1" shrinkToFit="1"/>
    </xf>
    <xf numFmtId="0" fontId="5" fillId="0" borderId="9" xfId="0" applyFont="1" applyBorder="1" applyAlignment="1">
      <alignment vertical="top" wrapText="1" shrinkToFit="1"/>
    </xf>
    <xf numFmtId="0" fontId="5" fillId="0" borderId="5" xfId="0" applyFont="1" applyBorder="1" applyAlignment="1">
      <alignment vertical="top" wrapText="1" shrinkToFit="1"/>
    </xf>
    <xf numFmtId="0" fontId="5" fillId="0" borderId="0" xfId="0" applyFont="1" applyBorder="1" applyAlignment="1">
      <alignment vertical="top" wrapText="1" shrinkToFit="1"/>
    </xf>
    <xf numFmtId="0" fontId="5" fillId="0" borderId="10" xfId="0" applyFont="1" applyBorder="1" applyAlignment="1">
      <alignment vertical="top" wrapText="1" shrinkToFit="1"/>
    </xf>
    <xf numFmtId="0" fontId="5" fillId="0" borderId="11" xfId="0" applyFont="1" applyBorder="1" applyAlignment="1">
      <alignment vertical="top" wrapText="1" shrinkToFit="1"/>
    </xf>
    <xf numFmtId="0" fontId="5" fillId="0" borderId="6" xfId="0" applyFont="1" applyBorder="1" applyAlignment="1">
      <alignment vertical="top" wrapText="1" shrinkToFit="1"/>
    </xf>
    <xf numFmtId="0" fontId="5" fillId="0" borderId="12" xfId="0" applyFont="1" applyBorder="1" applyAlignment="1">
      <alignment vertical="top" wrapText="1" shrinkToFit="1"/>
    </xf>
    <xf numFmtId="0" fontId="12" fillId="0" borderId="0" xfId="2">
      <alignment vertical="center"/>
    </xf>
    <xf numFmtId="0" fontId="0" fillId="0" borderId="0" xfId="0">
      <alignment vertical="center"/>
    </xf>
    <xf numFmtId="0" fontId="2" fillId="0" borderId="2" xfId="0" applyFont="1" applyBorder="1" applyAlignment="1">
      <alignment vertical="center" shrinkToFit="1"/>
    </xf>
    <xf numFmtId="0" fontId="1" fillId="0" borderId="2" xfId="0" applyFont="1" applyBorder="1" applyAlignment="1">
      <alignment vertical="center" shrinkToFit="1"/>
    </xf>
    <xf numFmtId="0" fontId="3" fillId="0" borderId="2" xfId="0" applyFont="1" applyFill="1" applyBorder="1" applyAlignment="1">
      <alignment horizontal="center" vertical="top" wrapText="1" shrinkToFit="1"/>
    </xf>
    <xf numFmtId="0" fontId="3" fillId="0" borderId="3" xfId="0" applyFont="1" applyFill="1" applyBorder="1" applyAlignment="1">
      <alignment horizontal="center" vertical="top" wrapText="1" shrinkToFit="1"/>
    </xf>
    <xf numFmtId="0" fontId="3" fillId="0" borderId="4" xfId="0" applyFont="1" applyFill="1" applyBorder="1" applyAlignment="1">
      <alignment horizontal="center" vertical="top" wrapText="1" shrinkToFit="1"/>
    </xf>
    <xf numFmtId="0" fontId="5" fillId="0" borderId="13" xfId="0" applyFont="1" applyBorder="1" applyAlignment="1">
      <alignment horizontal="center" vertical="center" shrinkToFit="1"/>
    </xf>
    <xf numFmtId="0" fontId="5" fillId="0" borderId="16" xfId="0" applyFont="1" applyBorder="1" applyAlignment="1">
      <alignment horizontal="center" vertical="center" wrapText="1"/>
    </xf>
    <xf numFmtId="0" fontId="5" fillId="0" borderId="41" xfId="0" applyFont="1" applyBorder="1" applyAlignment="1">
      <alignment horizontal="center" vertical="center" wrapText="1"/>
    </xf>
    <xf numFmtId="0" fontId="5" fillId="0" borderId="13" xfId="0" applyFont="1" applyBorder="1" applyAlignment="1">
      <alignment horizontal="center" vertical="center" wrapText="1"/>
    </xf>
    <xf numFmtId="0" fontId="1" fillId="0" borderId="2" xfId="0" applyFont="1" applyBorder="1" applyAlignment="1">
      <alignment horizontal="left" vertical="center" shrinkToFi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0" fontId="1" fillId="0" borderId="2" xfId="0" applyFont="1" applyBorder="1" applyAlignment="1">
      <alignment horizontal="left" vertical="top" shrinkToFit="1"/>
    </xf>
    <xf numFmtId="0" fontId="5" fillId="0" borderId="3" xfId="0" applyFont="1" applyBorder="1" applyAlignment="1">
      <alignment horizontal="left" vertical="top" shrinkToFit="1"/>
    </xf>
    <xf numFmtId="0" fontId="5" fillId="0" borderId="4" xfId="0" applyFont="1" applyBorder="1" applyAlignment="1">
      <alignment horizontal="left" vertical="top" shrinkToFit="1"/>
    </xf>
    <xf numFmtId="0" fontId="4" fillId="0" borderId="7"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Border="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6" xfId="0" applyFont="1" applyBorder="1" applyAlignment="1">
      <alignment vertical="center"/>
    </xf>
    <xf numFmtId="0" fontId="4" fillId="0" borderId="0" xfId="0" applyFont="1" applyAlignment="1">
      <alignment vertical="center" shrinkToFit="1"/>
    </xf>
    <xf numFmtId="0" fontId="4" fillId="0" borderId="0" xfId="0" applyFont="1" applyAlignment="1">
      <alignment horizontal="center" vertical="center"/>
    </xf>
    <xf numFmtId="0" fontId="2" fillId="0" borderId="7" xfId="0" applyFont="1" applyBorder="1" applyAlignment="1">
      <alignment vertical="top" wrapText="1" shrinkToFit="1"/>
    </xf>
    <xf numFmtId="0" fontId="4" fillId="0" borderId="8" xfId="0" applyFont="1" applyBorder="1" applyAlignment="1">
      <alignment vertical="top" wrapText="1" shrinkToFit="1"/>
    </xf>
    <xf numFmtId="0" fontId="4" fillId="0" borderId="9"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Border="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4" fillId="0" borderId="17" xfId="0" applyFont="1" applyBorder="1" applyAlignment="1">
      <alignment vertical="center"/>
    </xf>
    <xf numFmtId="0" fontId="0" fillId="0" borderId="18" xfId="0" applyFont="1" applyBorder="1" applyAlignment="1">
      <alignment vertical="center"/>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20" xfId="0" applyFont="1" applyBorder="1" applyAlignment="1">
      <alignment vertical="top" wrapText="1" shrinkToFit="1"/>
    </xf>
    <xf numFmtId="0" fontId="4" fillId="0" borderId="18" xfId="0" applyFont="1" applyBorder="1" applyAlignment="1">
      <alignment vertical="top" wrapText="1" shrinkToFit="1"/>
    </xf>
    <xf numFmtId="0" fontId="4" fillId="0" borderId="21" xfId="0" applyFont="1" applyBorder="1" applyAlignment="1">
      <alignment vertical="center" wrapText="1"/>
    </xf>
    <xf numFmtId="0" fontId="4" fillId="0" borderId="22" xfId="0" applyFont="1" applyBorder="1" applyAlignment="1">
      <alignment vertical="center" wrapText="1"/>
    </xf>
    <xf numFmtId="0" fontId="4" fillId="0" borderId="23" xfId="0" applyFont="1" applyBorder="1" applyAlignment="1">
      <alignment vertical="top" wrapText="1" shrinkToFit="1"/>
    </xf>
    <xf numFmtId="0" fontId="4" fillId="0" borderId="22" xfId="0" applyFont="1" applyBorder="1" applyAlignment="1">
      <alignment vertical="top" wrapText="1" shrinkToFit="1"/>
    </xf>
    <xf numFmtId="0" fontId="4" fillId="0" borderId="19" xfId="0" applyFont="1" applyBorder="1" applyAlignment="1">
      <alignment vertical="center" wrapText="1"/>
    </xf>
    <xf numFmtId="0" fontId="4" fillId="0" borderId="20" xfId="0" applyFont="1" applyBorder="1" applyAlignment="1">
      <alignment vertical="center" wrapText="1"/>
    </xf>
    <xf numFmtId="0" fontId="2" fillId="0" borderId="19" xfId="0" applyFont="1" applyBorder="1" applyAlignment="1">
      <alignment vertical="top" wrapText="1" shrinkToFit="1"/>
    </xf>
    <xf numFmtId="0" fontId="9" fillId="0" borderId="0" xfId="0" applyFont="1" applyAlignment="1">
      <alignment vertical="top"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9" xfId="0" applyFont="1" applyBorder="1" applyAlignment="1">
      <alignment vertical="top" wrapText="1" shrinkToFit="1"/>
    </xf>
    <xf numFmtId="0" fontId="8" fillId="0" borderId="7" xfId="0" applyFont="1" applyBorder="1" applyAlignment="1">
      <alignment vertical="top"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7" fillId="0" borderId="0" xfId="0" applyFont="1" applyAlignment="1">
      <alignment horizontal="center" vertical="center"/>
    </xf>
    <xf numFmtId="0" fontId="4" fillId="0" borderId="7" xfId="0" applyFont="1" applyBorder="1">
      <alignment vertical="center"/>
    </xf>
  </cellXfs>
  <cellStyles count="4">
    <cellStyle name="パーセント" xfId="3" builtinId="5"/>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nucba.ac.jp/academic/data_science_program.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7"/>
  <sheetViews>
    <sheetView tabSelected="1" zoomScale="120" zoomScaleNormal="120" workbookViewId="0">
      <selection activeCell="B1" sqref="B1"/>
    </sheetView>
  </sheetViews>
  <sheetFormatPr defaultColWidth="9" defaultRowHeight="18.75" customHeight="1" x14ac:dyDescent="0.15"/>
  <cols>
    <col min="1" max="1" width="2.5" style="44" customWidth="1"/>
    <col min="2" max="2" width="12.5" style="44" customWidth="1"/>
    <col min="3" max="8" width="6.125" style="44" customWidth="1"/>
    <col min="9" max="9" width="2.5" style="44" customWidth="1"/>
    <col min="10" max="10" width="10" style="44" customWidth="1"/>
    <col min="11" max="11" width="2.5" style="44" customWidth="1"/>
    <col min="12" max="12" width="7.5" style="44" customWidth="1"/>
    <col min="13" max="13" width="2.5" style="44" customWidth="1"/>
    <col min="14" max="14" width="7.5" style="44" customWidth="1"/>
    <col min="15" max="16384" width="9" style="44"/>
  </cols>
  <sheetData>
    <row r="1" spans="1:14" ht="22.5" customHeight="1" x14ac:dyDescent="0.15">
      <c r="M1" s="134" t="s">
        <v>29</v>
      </c>
      <c r="N1" s="134"/>
    </row>
    <row r="2" spans="1:14" ht="22.5" customHeight="1" x14ac:dyDescent="0.15">
      <c r="A2" s="142" t="s">
        <v>135</v>
      </c>
      <c r="B2" s="142"/>
      <c r="C2" s="142"/>
      <c r="D2" s="142"/>
      <c r="E2" s="142"/>
      <c r="F2" s="142"/>
      <c r="G2" s="142"/>
      <c r="H2" s="142"/>
      <c r="I2" s="142"/>
      <c r="J2" s="142"/>
      <c r="K2" s="142"/>
      <c r="L2" s="142"/>
      <c r="M2" s="142"/>
      <c r="N2" s="142"/>
    </row>
    <row r="3" spans="1:14" ht="22.5" customHeight="1" x14ac:dyDescent="0.15"/>
    <row r="4" spans="1:14" ht="22.5" customHeight="1" x14ac:dyDescent="0.15">
      <c r="A4" s="44" t="s">
        <v>7</v>
      </c>
      <c r="B4" s="45" t="s">
        <v>20</v>
      </c>
      <c r="C4" s="137" t="s">
        <v>136</v>
      </c>
      <c r="D4" s="138"/>
      <c r="E4" s="138"/>
      <c r="F4" s="138"/>
      <c r="G4" s="138"/>
      <c r="H4" s="138"/>
      <c r="I4" s="138"/>
      <c r="J4" s="138"/>
      <c r="K4" s="138"/>
      <c r="L4" s="138"/>
      <c r="M4" s="138"/>
      <c r="N4" s="139"/>
    </row>
    <row r="5" spans="1:14" ht="7.5" customHeight="1" x14ac:dyDescent="0.15">
      <c r="B5" s="45"/>
      <c r="C5" s="45"/>
      <c r="D5" s="45"/>
      <c r="E5" s="46"/>
      <c r="F5" s="47"/>
      <c r="G5" s="47"/>
      <c r="H5" s="47"/>
      <c r="I5" s="47"/>
      <c r="J5" s="47"/>
      <c r="K5" s="47"/>
      <c r="L5" s="47"/>
      <c r="M5" s="47"/>
      <c r="N5" s="47"/>
    </row>
    <row r="6" spans="1:14" ht="22.5" customHeight="1" x14ac:dyDescent="0.15">
      <c r="A6" s="44" t="s">
        <v>56</v>
      </c>
      <c r="B6" s="45" t="s">
        <v>57</v>
      </c>
      <c r="C6" s="45"/>
      <c r="D6" s="137" t="s">
        <v>137</v>
      </c>
      <c r="E6" s="138"/>
      <c r="F6" s="138"/>
      <c r="G6" s="138"/>
      <c r="H6" s="138"/>
      <c r="I6" s="138"/>
      <c r="J6" s="138"/>
      <c r="K6" s="138"/>
      <c r="L6" s="138"/>
      <c r="M6" s="138"/>
      <c r="N6" s="139"/>
    </row>
    <row r="7" spans="1:14" ht="7.5" customHeight="1" x14ac:dyDescent="0.15">
      <c r="B7" s="45"/>
      <c r="C7" s="45"/>
      <c r="D7" s="45"/>
      <c r="E7" s="46"/>
      <c r="F7" s="47"/>
      <c r="G7" s="47"/>
      <c r="H7" s="47"/>
      <c r="I7" s="47"/>
      <c r="J7" s="47"/>
      <c r="K7" s="47"/>
      <c r="L7" s="47"/>
      <c r="M7" s="47"/>
      <c r="N7" s="47"/>
    </row>
    <row r="8" spans="1:14" ht="22.5" customHeight="1" x14ac:dyDescent="0.15">
      <c r="A8" s="48" t="s">
        <v>13</v>
      </c>
      <c r="B8" s="49" t="s">
        <v>58</v>
      </c>
      <c r="C8" s="123" t="s">
        <v>138</v>
      </c>
      <c r="D8" s="124"/>
      <c r="E8" s="125"/>
      <c r="F8" s="47"/>
      <c r="G8" s="141"/>
      <c r="H8" s="141"/>
      <c r="I8" s="141"/>
      <c r="J8" s="47"/>
      <c r="K8" s="47"/>
      <c r="L8" s="47"/>
      <c r="M8" s="47"/>
      <c r="N8" s="47"/>
    </row>
    <row r="9" spans="1:14" ht="7.5" customHeight="1" x14ac:dyDescent="0.15">
      <c r="B9" s="45"/>
      <c r="C9" s="45"/>
      <c r="D9" s="45"/>
      <c r="E9" s="46"/>
      <c r="F9" s="47"/>
      <c r="G9" s="47"/>
      <c r="H9" s="47"/>
      <c r="I9" s="47"/>
      <c r="J9" s="47"/>
      <c r="K9" s="47"/>
      <c r="L9" s="47"/>
      <c r="M9" s="47"/>
      <c r="N9" s="47"/>
    </row>
    <row r="10" spans="1:14" ht="22.5" customHeight="1" x14ac:dyDescent="0.15">
      <c r="A10" s="44" t="s">
        <v>17</v>
      </c>
      <c r="B10" s="45" t="s">
        <v>53</v>
      </c>
      <c r="C10" s="137" t="s">
        <v>139</v>
      </c>
      <c r="D10" s="138"/>
      <c r="E10" s="138"/>
      <c r="F10" s="138"/>
      <c r="G10" s="138"/>
      <c r="H10" s="138"/>
      <c r="I10" s="138"/>
      <c r="J10" s="138"/>
      <c r="K10" s="138"/>
      <c r="L10" s="138"/>
      <c r="M10" s="138"/>
      <c r="N10" s="139"/>
    </row>
    <row r="11" spans="1:14" ht="7.5" customHeight="1" x14ac:dyDescent="0.15">
      <c r="B11" s="45"/>
      <c r="C11" s="45"/>
      <c r="D11" s="45"/>
      <c r="E11" s="46"/>
      <c r="F11" s="47"/>
      <c r="G11" s="47"/>
      <c r="H11" s="47"/>
      <c r="I11" s="47"/>
      <c r="J11" s="47"/>
      <c r="K11" s="47"/>
      <c r="L11" s="47"/>
      <c r="M11" s="47"/>
      <c r="N11" s="47"/>
    </row>
    <row r="12" spans="1:14" ht="22.5" customHeight="1" x14ac:dyDescent="0.15">
      <c r="A12" s="44" t="s">
        <v>14</v>
      </c>
      <c r="B12" s="45" t="s">
        <v>131</v>
      </c>
      <c r="C12" s="45"/>
      <c r="D12" s="45"/>
      <c r="E12" s="47"/>
      <c r="F12" s="50"/>
      <c r="G12" s="143" t="s">
        <v>140</v>
      </c>
      <c r="H12" s="144"/>
      <c r="I12" s="144"/>
      <c r="J12" s="144"/>
      <c r="K12" s="144"/>
      <c r="L12" s="144"/>
      <c r="M12" s="144"/>
      <c r="N12" s="145"/>
    </row>
    <row r="13" spans="1:14" ht="7.5" customHeight="1" x14ac:dyDescent="0.15">
      <c r="B13" s="46"/>
      <c r="C13" s="46"/>
      <c r="D13" s="46"/>
      <c r="E13" s="46"/>
      <c r="F13" s="47"/>
      <c r="G13" s="47"/>
      <c r="H13" s="47"/>
      <c r="I13" s="47"/>
      <c r="J13" s="47"/>
      <c r="K13" s="47"/>
      <c r="L13" s="47"/>
      <c r="M13" s="47"/>
      <c r="N13" s="47"/>
    </row>
    <row r="14" spans="1:14" ht="22.5" customHeight="1" x14ac:dyDescent="0.15">
      <c r="A14" s="44" t="s">
        <v>68</v>
      </c>
      <c r="B14" s="46" t="s">
        <v>69</v>
      </c>
      <c r="C14" s="46"/>
      <c r="D14" s="46"/>
      <c r="E14" s="46"/>
      <c r="F14" s="123">
        <v>2020</v>
      </c>
      <c r="G14" s="124"/>
      <c r="H14" s="125"/>
      <c r="I14" s="47"/>
      <c r="J14" s="47"/>
      <c r="K14" s="47"/>
      <c r="L14" s="47"/>
      <c r="M14" s="47"/>
      <c r="N14" s="47"/>
    </row>
    <row r="15" spans="1:14" ht="7.5" customHeight="1" x14ac:dyDescent="0.15">
      <c r="B15" s="46"/>
      <c r="C15" s="46"/>
      <c r="D15" s="46"/>
      <c r="E15" s="46"/>
      <c r="F15" s="47"/>
      <c r="G15" s="47"/>
      <c r="H15" s="47"/>
      <c r="I15" s="47"/>
      <c r="J15" s="47"/>
      <c r="K15" s="47"/>
      <c r="L15" s="47"/>
      <c r="M15" s="47"/>
      <c r="N15" s="47"/>
    </row>
    <row r="16" spans="1:14" ht="22.5" customHeight="1" x14ac:dyDescent="0.15">
      <c r="A16" s="44" t="s">
        <v>15</v>
      </c>
      <c r="B16" s="44" t="s">
        <v>0</v>
      </c>
      <c r="C16" s="135" t="s">
        <v>6</v>
      </c>
      <c r="D16" s="136"/>
      <c r="E16" s="121">
        <v>99</v>
      </c>
      <c r="F16" s="122"/>
      <c r="G16" s="51" t="s">
        <v>10</v>
      </c>
      <c r="I16" s="135" t="s">
        <v>11</v>
      </c>
      <c r="J16" s="136"/>
      <c r="K16" s="121">
        <v>58</v>
      </c>
      <c r="L16" s="140"/>
      <c r="M16" s="122"/>
      <c r="N16" s="52" t="s">
        <v>10</v>
      </c>
    </row>
    <row r="17" spans="1:14" ht="7.5" customHeight="1" x14ac:dyDescent="0.15">
      <c r="F17" s="53"/>
      <c r="G17" s="53"/>
      <c r="H17" s="53"/>
      <c r="I17" s="53"/>
      <c r="J17" s="53"/>
      <c r="K17" s="53"/>
      <c r="L17" s="53"/>
      <c r="M17" s="52"/>
      <c r="N17" s="52"/>
    </row>
    <row r="18" spans="1:14" ht="22.5" customHeight="1" x14ac:dyDescent="0.15">
      <c r="A18" s="44" t="s">
        <v>62</v>
      </c>
      <c r="B18" s="44" t="s">
        <v>92</v>
      </c>
      <c r="F18" s="53"/>
      <c r="G18" s="53"/>
      <c r="H18" s="53"/>
      <c r="I18" s="53"/>
      <c r="J18" s="53"/>
      <c r="K18" s="133">
        <v>7</v>
      </c>
      <c r="L18" s="128"/>
      <c r="M18" s="129"/>
      <c r="N18" s="52" t="s">
        <v>60</v>
      </c>
    </row>
    <row r="19" spans="1:14" ht="7.5" customHeight="1" x14ac:dyDescent="0.15">
      <c r="F19" s="53"/>
      <c r="G19" s="53"/>
      <c r="H19" s="53"/>
      <c r="I19" s="53"/>
      <c r="J19" s="53"/>
      <c r="K19" s="53"/>
      <c r="L19" s="53"/>
      <c r="M19" s="52"/>
      <c r="N19" s="52"/>
    </row>
    <row r="20" spans="1:14" ht="22.5" customHeight="1" x14ac:dyDescent="0.15">
      <c r="A20" s="44" t="s">
        <v>70</v>
      </c>
      <c r="B20" s="44" t="s">
        <v>128</v>
      </c>
      <c r="E20" s="121">
        <v>800</v>
      </c>
      <c r="F20" s="122"/>
      <c r="G20" s="54" t="s">
        <v>25</v>
      </c>
      <c r="H20" s="53"/>
      <c r="K20" s="120"/>
      <c r="L20" s="120"/>
      <c r="M20" s="120"/>
      <c r="N20" s="120"/>
    </row>
    <row r="21" spans="1:14" ht="7.5" customHeight="1" x14ac:dyDescent="0.15">
      <c r="E21" s="55"/>
      <c r="F21" s="53"/>
      <c r="G21" s="53"/>
      <c r="L21" s="56"/>
      <c r="M21" s="56"/>
      <c r="N21" s="57"/>
    </row>
    <row r="22" spans="1:14" ht="22.5" customHeight="1" x14ac:dyDescent="0.15">
      <c r="A22" s="44" t="s">
        <v>28</v>
      </c>
      <c r="B22" s="44" t="s">
        <v>129</v>
      </c>
      <c r="E22" s="55"/>
      <c r="F22" s="53"/>
      <c r="G22" s="53"/>
      <c r="H22" s="44" t="s">
        <v>61</v>
      </c>
      <c r="J22" s="127">
        <f>SUM(C24,I24,C26,I26)</f>
        <v>2853</v>
      </c>
      <c r="K22" s="128"/>
      <c r="L22" s="129"/>
      <c r="M22" s="56" t="s">
        <v>60</v>
      </c>
      <c r="N22" s="57"/>
    </row>
    <row r="23" spans="1:14" ht="7.5" customHeight="1" x14ac:dyDescent="0.15">
      <c r="E23" s="55"/>
      <c r="F23" s="53"/>
      <c r="G23" s="53"/>
      <c r="L23" s="56"/>
      <c r="M23" s="56"/>
      <c r="N23" s="57"/>
    </row>
    <row r="24" spans="1:14" ht="22.5" customHeight="1" x14ac:dyDescent="0.15">
      <c r="B24" s="58" t="s">
        <v>21</v>
      </c>
      <c r="C24" s="121">
        <v>495</v>
      </c>
      <c r="D24" s="122"/>
      <c r="E24" s="55" t="s">
        <v>26</v>
      </c>
      <c r="F24" s="53"/>
      <c r="G24" s="126" t="s">
        <v>22</v>
      </c>
      <c r="H24" s="126"/>
      <c r="I24" s="121">
        <v>745</v>
      </c>
      <c r="J24" s="122"/>
      <c r="K24" s="48" t="s">
        <v>26</v>
      </c>
      <c r="M24" s="56"/>
      <c r="N24" s="57"/>
    </row>
    <row r="25" spans="1:14" ht="7.5" customHeight="1" x14ac:dyDescent="0.15">
      <c r="B25" s="58"/>
      <c r="C25" s="59"/>
      <c r="D25" s="59"/>
      <c r="E25" s="55"/>
      <c r="F25" s="53"/>
      <c r="G25" s="56"/>
      <c r="H25" s="56"/>
      <c r="I25" s="59"/>
      <c r="J25" s="59"/>
      <c r="K25" s="48"/>
      <c r="M25" s="56"/>
      <c r="N25" s="57"/>
    </row>
    <row r="26" spans="1:14" ht="22.5" customHeight="1" x14ac:dyDescent="0.15">
      <c r="B26" s="58" t="s">
        <v>23</v>
      </c>
      <c r="C26" s="121">
        <v>717</v>
      </c>
      <c r="D26" s="122"/>
      <c r="E26" s="55" t="s">
        <v>26</v>
      </c>
      <c r="F26" s="53"/>
      <c r="G26" s="126" t="s">
        <v>24</v>
      </c>
      <c r="H26" s="126"/>
      <c r="I26" s="121">
        <v>896</v>
      </c>
      <c r="J26" s="122"/>
      <c r="K26" s="48" t="s">
        <v>26</v>
      </c>
      <c r="M26" s="56"/>
      <c r="N26" s="57"/>
    </row>
    <row r="27" spans="1:14" ht="7.5" customHeight="1" x14ac:dyDescent="0.15">
      <c r="B27" s="58"/>
      <c r="C27" s="59"/>
      <c r="D27" s="59"/>
      <c r="E27" s="55"/>
      <c r="F27" s="53"/>
      <c r="G27" s="56"/>
      <c r="H27" s="56"/>
      <c r="I27" s="59"/>
      <c r="J27" s="59"/>
      <c r="K27" s="48"/>
      <c r="M27" s="56"/>
      <c r="N27" s="57"/>
    </row>
    <row r="28" spans="1:14" ht="22.5" customHeight="1" x14ac:dyDescent="0.15">
      <c r="B28" s="58" t="s">
        <v>54</v>
      </c>
      <c r="C28" s="121" t="s">
        <v>141</v>
      </c>
      <c r="D28" s="122"/>
      <c r="E28" s="55" t="s">
        <v>10</v>
      </c>
      <c r="F28" s="53"/>
      <c r="G28" s="126" t="s">
        <v>55</v>
      </c>
      <c r="H28" s="126"/>
      <c r="I28" s="121" t="s">
        <v>141</v>
      </c>
      <c r="J28" s="122"/>
      <c r="K28" s="48" t="s">
        <v>10</v>
      </c>
      <c r="M28" s="56"/>
      <c r="N28" s="57"/>
    </row>
    <row r="29" spans="1:14" ht="7.5" customHeight="1" x14ac:dyDescent="0.15">
      <c r="F29" s="53"/>
      <c r="G29" s="53"/>
      <c r="M29" s="60"/>
      <c r="N29" s="60"/>
    </row>
    <row r="30" spans="1:14" ht="22.5" customHeight="1" x14ac:dyDescent="0.15">
      <c r="A30" s="44" t="s">
        <v>127</v>
      </c>
      <c r="B30" s="45" t="s">
        <v>118</v>
      </c>
      <c r="C30" s="45"/>
      <c r="D30" s="45"/>
      <c r="E30" s="45"/>
      <c r="F30" s="48"/>
      <c r="G30" s="47"/>
      <c r="H30" s="47"/>
      <c r="I30" s="47"/>
      <c r="J30" s="61"/>
      <c r="K30" s="61"/>
      <c r="L30" s="61"/>
      <c r="M30" s="61"/>
      <c r="N30" s="61"/>
    </row>
    <row r="31" spans="1:14" ht="22.5" customHeight="1" x14ac:dyDescent="0.15">
      <c r="B31" s="130" t="s">
        <v>117</v>
      </c>
      <c r="C31" s="130"/>
      <c r="D31" s="123" t="s">
        <v>142</v>
      </c>
      <c r="E31" s="124"/>
      <c r="F31" s="124"/>
      <c r="G31" s="131" t="s">
        <v>27</v>
      </c>
      <c r="H31" s="130"/>
      <c r="I31" s="132"/>
      <c r="J31" s="123" t="s">
        <v>143</v>
      </c>
      <c r="K31" s="124"/>
      <c r="L31" s="124"/>
      <c r="M31" s="124"/>
      <c r="N31" s="125"/>
    </row>
    <row r="32" spans="1:14" ht="7.5" customHeight="1" x14ac:dyDescent="0.15">
      <c r="F32" s="53"/>
      <c r="G32" s="53"/>
      <c r="M32" s="60"/>
      <c r="N32" s="60"/>
    </row>
    <row r="33" spans="1:14" ht="22.5" customHeight="1" x14ac:dyDescent="0.15">
      <c r="A33" s="44" t="s">
        <v>59</v>
      </c>
      <c r="B33" s="45" t="s">
        <v>132</v>
      </c>
      <c r="C33" s="45"/>
      <c r="D33" s="45"/>
      <c r="E33" s="45"/>
      <c r="F33" s="48"/>
      <c r="G33" s="61"/>
      <c r="H33" s="61"/>
      <c r="I33" s="61"/>
      <c r="J33" s="61"/>
      <c r="K33" s="61"/>
      <c r="L33" s="61"/>
      <c r="M33" s="61"/>
      <c r="N33" s="61"/>
    </row>
    <row r="34" spans="1:14" ht="22.5" customHeight="1" x14ac:dyDescent="0.15">
      <c r="B34" s="123" t="s">
        <v>144</v>
      </c>
      <c r="C34" s="124"/>
      <c r="D34" s="124"/>
      <c r="E34" s="124"/>
      <c r="F34" s="124"/>
      <c r="G34" s="124"/>
      <c r="H34" s="124"/>
      <c r="I34" s="124"/>
      <c r="J34" s="124"/>
      <c r="K34" s="124"/>
      <c r="L34" s="124"/>
      <c r="M34" s="124"/>
      <c r="N34" s="125"/>
    </row>
    <row r="35" spans="1:14" ht="7.5" customHeight="1" x14ac:dyDescent="0.15">
      <c r="B35" s="62"/>
      <c r="C35" s="62"/>
      <c r="D35" s="62"/>
      <c r="E35" s="62"/>
      <c r="F35" s="62"/>
      <c r="G35" s="62"/>
      <c r="H35" s="62"/>
      <c r="I35" s="62"/>
      <c r="J35" s="62"/>
      <c r="K35" s="62"/>
      <c r="L35" s="62"/>
      <c r="M35" s="62"/>
      <c r="N35" s="62"/>
    </row>
    <row r="36" spans="1:14" ht="22.5" customHeight="1" x14ac:dyDescent="0.15">
      <c r="B36" s="130" t="s">
        <v>117</v>
      </c>
      <c r="C36" s="130"/>
      <c r="D36" s="123" t="s">
        <v>142</v>
      </c>
      <c r="E36" s="124"/>
      <c r="F36" s="124"/>
      <c r="G36" s="131" t="s">
        <v>64</v>
      </c>
      <c r="H36" s="130"/>
      <c r="I36" s="132"/>
      <c r="J36" s="123" t="s">
        <v>145</v>
      </c>
      <c r="K36" s="124"/>
      <c r="L36" s="124"/>
      <c r="M36" s="124"/>
      <c r="N36" s="125"/>
    </row>
    <row r="37" spans="1:14" ht="7.5" customHeight="1" x14ac:dyDescent="0.15">
      <c r="F37" s="47"/>
      <c r="G37" s="47"/>
      <c r="H37" s="47"/>
      <c r="I37" s="47"/>
      <c r="J37" s="47"/>
      <c r="K37" s="47"/>
      <c r="L37" s="47"/>
      <c r="M37" s="47"/>
      <c r="N37" s="47"/>
    </row>
    <row r="38" spans="1:14" ht="22.5" customHeight="1" x14ac:dyDescent="0.15">
      <c r="A38" s="44" t="s">
        <v>63</v>
      </c>
      <c r="B38" s="44" t="s">
        <v>133</v>
      </c>
      <c r="M38" s="60"/>
      <c r="N38" s="60"/>
    </row>
    <row r="39" spans="1:14" ht="22.5" customHeight="1" x14ac:dyDescent="0.15">
      <c r="B39" s="123" t="s">
        <v>146</v>
      </c>
      <c r="C39" s="124"/>
      <c r="D39" s="124"/>
      <c r="E39" s="124"/>
      <c r="F39" s="124"/>
      <c r="G39" s="124"/>
      <c r="H39" s="124"/>
      <c r="I39" s="124"/>
      <c r="J39" s="124"/>
      <c r="K39" s="124"/>
      <c r="L39" s="124"/>
      <c r="M39" s="124"/>
      <c r="N39" s="125"/>
    </row>
    <row r="40" spans="1:14" ht="7.5" customHeight="1" x14ac:dyDescent="0.15">
      <c r="F40" s="47"/>
      <c r="G40" s="47"/>
      <c r="H40" s="47"/>
      <c r="I40" s="47"/>
      <c r="J40" s="47"/>
      <c r="K40" s="47"/>
      <c r="L40" s="47"/>
      <c r="M40" s="47"/>
      <c r="N40" s="47"/>
    </row>
    <row r="41" spans="1:14" ht="22.5" customHeight="1" x14ac:dyDescent="0.15">
      <c r="B41" s="130" t="s">
        <v>117</v>
      </c>
      <c r="C41" s="130"/>
      <c r="D41" s="123" t="s">
        <v>147</v>
      </c>
      <c r="E41" s="124"/>
      <c r="F41" s="124"/>
      <c r="G41" s="131" t="s">
        <v>64</v>
      </c>
      <c r="H41" s="130"/>
      <c r="I41" s="132"/>
      <c r="J41" s="123" t="s">
        <v>148</v>
      </c>
      <c r="K41" s="124"/>
      <c r="L41" s="124"/>
      <c r="M41" s="124"/>
      <c r="N41" s="125"/>
    </row>
    <row r="42" spans="1:14" ht="7.5" customHeight="1" x14ac:dyDescent="0.15">
      <c r="F42" s="47"/>
      <c r="G42" s="47"/>
      <c r="H42" s="47"/>
      <c r="I42" s="47"/>
      <c r="J42" s="47"/>
      <c r="K42" s="47"/>
      <c r="L42" s="47"/>
      <c r="M42" s="47"/>
      <c r="N42" s="47"/>
    </row>
    <row r="43" spans="1:14" ht="22.5" customHeight="1" x14ac:dyDescent="0.15">
      <c r="A43" s="44" t="s">
        <v>71</v>
      </c>
      <c r="B43" s="63" t="s">
        <v>91</v>
      </c>
      <c r="E43" s="50"/>
      <c r="F43" s="123" t="s">
        <v>149</v>
      </c>
      <c r="G43" s="124"/>
      <c r="H43" s="124"/>
      <c r="I43" s="124"/>
      <c r="J43" s="124"/>
      <c r="K43" s="124"/>
      <c r="L43" s="124"/>
      <c r="M43" s="124"/>
      <c r="N43" s="125"/>
    </row>
    <row r="44" spans="1:14" ht="7.5" customHeight="1" x14ac:dyDescent="0.15">
      <c r="F44" s="47"/>
      <c r="G44" s="47"/>
      <c r="H44" s="47"/>
      <c r="I44" s="47"/>
      <c r="J44" s="47"/>
      <c r="K44" s="47"/>
      <c r="L44" s="47"/>
      <c r="M44" s="47"/>
      <c r="N44" s="47"/>
    </row>
    <row r="45" spans="1:14" ht="22.5" customHeight="1" x14ac:dyDescent="0.15">
      <c r="A45" s="44" t="s">
        <v>3</v>
      </c>
    </row>
    <row r="46" spans="1:14" ht="22.5" customHeight="1" x14ac:dyDescent="0.15">
      <c r="B46" s="64" t="s">
        <v>1</v>
      </c>
      <c r="C46" s="143" t="s">
        <v>150</v>
      </c>
      <c r="D46" s="144"/>
      <c r="E46" s="144"/>
      <c r="F46" s="144"/>
      <c r="G46" s="144"/>
      <c r="H46" s="144"/>
      <c r="I46" s="65" t="s">
        <v>2</v>
      </c>
      <c r="J46" s="66"/>
      <c r="K46" s="123" t="s">
        <v>151</v>
      </c>
      <c r="L46" s="124"/>
      <c r="M46" s="124"/>
      <c r="N46" s="125"/>
    </row>
    <row r="47" spans="1:14" ht="22.5" customHeight="1" x14ac:dyDescent="0.15">
      <c r="B47" s="64" t="s">
        <v>5</v>
      </c>
      <c r="C47" s="146" t="s">
        <v>152</v>
      </c>
      <c r="D47" s="147"/>
      <c r="E47" s="147"/>
      <c r="F47" s="147"/>
      <c r="G47" s="147"/>
      <c r="H47" s="148"/>
      <c r="I47" s="65" t="s">
        <v>4</v>
      </c>
      <c r="J47" s="66"/>
      <c r="K47" s="149" t="s">
        <v>153</v>
      </c>
      <c r="L47" s="150"/>
      <c r="M47" s="150"/>
      <c r="N47" s="151"/>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6"/>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4"/>
  <sheetViews>
    <sheetView showZeros="0" zoomScaleNormal="100" workbookViewId="0">
      <selection activeCell="T32" sqref="T32"/>
    </sheetView>
  </sheetViews>
  <sheetFormatPr defaultColWidth="9" defaultRowHeight="18.75" customHeight="1" x14ac:dyDescent="0.15"/>
  <cols>
    <col min="1" max="2" width="2.5" style="44" customWidth="1"/>
    <col min="3" max="3" width="20" style="44" customWidth="1"/>
    <col min="4" max="4" width="8.625" style="44" customWidth="1"/>
    <col min="5" max="5" width="7.5" style="44" customWidth="1"/>
    <col min="6" max="6" width="2.5" style="44" customWidth="1"/>
    <col min="7" max="7" width="15" style="44" customWidth="1"/>
    <col min="8" max="8" width="12.5" style="44" customWidth="1"/>
    <col min="9" max="9" width="11.125" style="44" customWidth="1"/>
    <col min="10" max="16384" width="9" style="44"/>
  </cols>
  <sheetData>
    <row r="1" spans="1:9" ht="18.75" customHeight="1" x14ac:dyDescent="0.15">
      <c r="I1" s="67" t="s">
        <v>155</v>
      </c>
    </row>
    <row r="2" spans="1:9" ht="18.75" customHeight="1" x14ac:dyDescent="0.15">
      <c r="G2" s="67" t="s">
        <v>32</v>
      </c>
      <c r="H2" s="161" t="s">
        <v>157</v>
      </c>
      <c r="I2" s="161"/>
    </row>
    <row r="3" spans="1:9" ht="7.5" customHeight="1" x14ac:dyDescent="0.15"/>
    <row r="4" spans="1:9" ht="18.75" customHeight="1" x14ac:dyDescent="0.15">
      <c r="A4" s="142" t="s">
        <v>89</v>
      </c>
      <c r="B4" s="142"/>
      <c r="C4" s="142"/>
      <c r="D4" s="142"/>
      <c r="E4" s="142"/>
      <c r="F4" s="142"/>
      <c r="G4" s="142"/>
      <c r="H4" s="142"/>
      <c r="I4" s="142"/>
    </row>
    <row r="5" spans="1:9" ht="7.5" customHeight="1" x14ac:dyDescent="0.15">
      <c r="C5" s="58"/>
      <c r="D5" s="58"/>
      <c r="E5" s="58"/>
      <c r="F5" s="58"/>
      <c r="G5" s="58"/>
      <c r="H5" s="58"/>
      <c r="I5" s="58"/>
    </row>
    <row r="6" spans="1:9" ht="18.75" customHeight="1" x14ac:dyDescent="0.15">
      <c r="A6" s="44" t="s">
        <v>7</v>
      </c>
      <c r="B6" s="44" t="s">
        <v>103</v>
      </c>
      <c r="C6" s="58"/>
      <c r="D6" s="58"/>
      <c r="E6" s="133" t="s">
        <v>154</v>
      </c>
      <c r="F6" s="128"/>
      <c r="G6" s="128"/>
      <c r="H6" s="128"/>
      <c r="I6" s="129"/>
    </row>
    <row r="7" spans="1:9" ht="7.5" customHeight="1" x14ac:dyDescent="0.15">
      <c r="C7" s="58"/>
      <c r="D7" s="58"/>
      <c r="F7" s="56"/>
      <c r="G7" s="56"/>
      <c r="H7" s="56"/>
      <c r="I7" s="56"/>
    </row>
    <row r="8" spans="1:9" ht="18.75" customHeight="1" x14ac:dyDescent="0.15">
      <c r="A8" s="44" t="s">
        <v>12</v>
      </c>
      <c r="B8" s="44" t="s">
        <v>104</v>
      </c>
      <c r="C8" s="58"/>
      <c r="D8" s="58"/>
      <c r="E8" s="58"/>
      <c r="F8" s="58"/>
      <c r="G8" s="58"/>
      <c r="H8" s="58"/>
      <c r="I8" s="58"/>
    </row>
    <row r="9" spans="1:9" ht="18.75" customHeight="1" x14ac:dyDescent="0.15">
      <c r="B9" s="152" t="s">
        <v>156</v>
      </c>
      <c r="C9" s="153"/>
      <c r="D9" s="153"/>
      <c r="E9" s="153"/>
      <c r="F9" s="153"/>
      <c r="G9" s="153"/>
      <c r="H9" s="153"/>
      <c r="I9" s="154"/>
    </row>
    <row r="10" spans="1:9" ht="18.75" customHeight="1" x14ac:dyDescent="0.15">
      <c r="B10" s="155"/>
      <c r="C10" s="156"/>
      <c r="D10" s="156"/>
      <c r="E10" s="156"/>
      <c r="F10" s="156"/>
      <c r="G10" s="156"/>
      <c r="H10" s="156"/>
      <c r="I10" s="157"/>
    </row>
    <row r="11" spans="1:9" ht="18.75" customHeight="1" x14ac:dyDescent="0.15">
      <c r="B11" s="155"/>
      <c r="C11" s="156"/>
      <c r="D11" s="156"/>
      <c r="E11" s="156"/>
      <c r="F11" s="156"/>
      <c r="G11" s="156"/>
      <c r="H11" s="156"/>
      <c r="I11" s="157"/>
    </row>
    <row r="12" spans="1:9" ht="18.75" customHeight="1" x14ac:dyDescent="0.15">
      <c r="B12" s="155"/>
      <c r="C12" s="156"/>
      <c r="D12" s="156"/>
      <c r="E12" s="156"/>
      <c r="F12" s="156"/>
      <c r="G12" s="156"/>
      <c r="H12" s="156"/>
      <c r="I12" s="157"/>
    </row>
    <row r="13" spans="1:9" ht="18.75" customHeight="1" x14ac:dyDescent="0.15">
      <c r="B13" s="155"/>
      <c r="C13" s="156"/>
      <c r="D13" s="156"/>
      <c r="E13" s="156"/>
      <c r="F13" s="156"/>
      <c r="G13" s="156"/>
      <c r="H13" s="156"/>
      <c r="I13" s="157"/>
    </row>
    <row r="14" spans="1:9" ht="18.75" customHeight="1" x14ac:dyDescent="0.15">
      <c r="B14" s="155"/>
      <c r="C14" s="156"/>
      <c r="D14" s="156"/>
      <c r="E14" s="156"/>
      <c r="F14" s="156"/>
      <c r="G14" s="156"/>
      <c r="H14" s="156"/>
      <c r="I14" s="157"/>
    </row>
    <row r="15" spans="1:9" ht="18.75" customHeight="1" x14ac:dyDescent="0.15">
      <c r="B15" s="155"/>
      <c r="C15" s="156"/>
      <c r="D15" s="156"/>
      <c r="E15" s="156"/>
      <c r="F15" s="156"/>
      <c r="G15" s="156"/>
      <c r="H15" s="156"/>
      <c r="I15" s="157"/>
    </row>
    <row r="16" spans="1:9" ht="18.75" customHeight="1" x14ac:dyDescent="0.15">
      <c r="B16" s="158"/>
      <c r="C16" s="159"/>
      <c r="D16" s="159"/>
      <c r="E16" s="159"/>
      <c r="F16" s="159"/>
      <c r="G16" s="159"/>
      <c r="H16" s="159"/>
      <c r="I16" s="160"/>
    </row>
    <row r="17" spans="1:10" ht="7.5" customHeight="1" x14ac:dyDescent="0.15">
      <c r="C17" s="58"/>
      <c r="D17" s="58"/>
      <c r="E17" s="58"/>
      <c r="F17" s="58"/>
      <c r="G17" s="58"/>
      <c r="H17" s="58"/>
      <c r="I17" s="58"/>
    </row>
    <row r="18" spans="1:10" ht="18.75" customHeight="1" x14ac:dyDescent="0.15">
      <c r="A18" s="58" t="s">
        <v>13</v>
      </c>
      <c r="B18" s="45" t="s">
        <v>105</v>
      </c>
      <c r="C18" s="45"/>
      <c r="D18" s="45"/>
      <c r="E18" s="45"/>
      <c r="F18" s="58"/>
      <c r="G18" s="58"/>
      <c r="H18" s="58"/>
      <c r="I18" s="58"/>
      <c r="J18" s="58"/>
    </row>
    <row r="19" spans="1:10" ht="18.75" customHeight="1" x14ac:dyDescent="0.15">
      <c r="A19" s="162" t="s">
        <v>105</v>
      </c>
      <c r="B19" s="162"/>
      <c r="C19" s="162"/>
      <c r="D19" s="162"/>
      <c r="E19" s="162"/>
      <c r="F19" s="163" t="s">
        <v>105</v>
      </c>
      <c r="G19" s="163"/>
      <c r="H19" s="163"/>
      <c r="I19" s="163"/>
    </row>
    <row r="20" spans="1:10" ht="18.75" customHeight="1" x14ac:dyDescent="0.15">
      <c r="A20" s="68">
        <v>1</v>
      </c>
      <c r="B20" s="143" t="s">
        <v>158</v>
      </c>
      <c r="C20" s="144"/>
      <c r="D20" s="144"/>
      <c r="E20" s="145"/>
      <c r="F20" s="68">
        <v>26</v>
      </c>
      <c r="G20" s="143"/>
      <c r="H20" s="144"/>
      <c r="I20" s="145"/>
    </row>
    <row r="21" spans="1:10" ht="18.75" customHeight="1" x14ac:dyDescent="0.15">
      <c r="A21" s="68">
        <v>2</v>
      </c>
      <c r="B21" s="143" t="s">
        <v>159</v>
      </c>
      <c r="C21" s="144"/>
      <c r="D21" s="144"/>
      <c r="E21" s="145"/>
      <c r="F21" s="68">
        <v>27</v>
      </c>
      <c r="G21" s="143"/>
      <c r="H21" s="144"/>
      <c r="I21" s="145"/>
    </row>
    <row r="22" spans="1:10" ht="18.75" customHeight="1" x14ac:dyDescent="0.15">
      <c r="A22" s="68">
        <v>3</v>
      </c>
      <c r="B22" s="143" t="s">
        <v>160</v>
      </c>
      <c r="C22" s="144"/>
      <c r="D22" s="144"/>
      <c r="E22" s="145"/>
      <c r="F22" s="68">
        <v>28</v>
      </c>
      <c r="G22" s="143"/>
      <c r="H22" s="144"/>
      <c r="I22" s="145"/>
    </row>
    <row r="23" spans="1:10" ht="18.75" customHeight="1" x14ac:dyDescent="0.15">
      <c r="A23" s="68">
        <v>4</v>
      </c>
      <c r="B23" s="143" t="s">
        <v>161</v>
      </c>
      <c r="C23" s="144"/>
      <c r="D23" s="144"/>
      <c r="E23" s="145"/>
      <c r="F23" s="68">
        <v>29</v>
      </c>
      <c r="G23" s="143"/>
      <c r="H23" s="144"/>
      <c r="I23" s="145"/>
    </row>
    <row r="24" spans="1:10" ht="18.75" customHeight="1" x14ac:dyDescent="0.15">
      <c r="A24" s="68">
        <v>5</v>
      </c>
      <c r="B24" s="143" t="s">
        <v>162</v>
      </c>
      <c r="C24" s="144"/>
      <c r="D24" s="144"/>
      <c r="E24" s="145"/>
      <c r="F24" s="68">
        <v>30</v>
      </c>
      <c r="G24" s="143"/>
      <c r="H24" s="144"/>
      <c r="I24" s="145"/>
    </row>
    <row r="25" spans="1:10" ht="18.75" customHeight="1" x14ac:dyDescent="0.15">
      <c r="A25" s="68">
        <v>6</v>
      </c>
      <c r="B25" s="143" t="s">
        <v>163</v>
      </c>
      <c r="C25" s="144"/>
      <c r="D25" s="144"/>
      <c r="E25" s="145"/>
      <c r="F25" s="68">
        <v>31</v>
      </c>
      <c r="G25" s="143"/>
      <c r="H25" s="144"/>
      <c r="I25" s="145"/>
    </row>
    <row r="26" spans="1:10" ht="18.75" customHeight="1" x14ac:dyDescent="0.15">
      <c r="A26" s="68">
        <v>7</v>
      </c>
      <c r="B26" s="143" t="s">
        <v>164</v>
      </c>
      <c r="C26" s="144"/>
      <c r="D26" s="144"/>
      <c r="E26" s="145"/>
      <c r="F26" s="68">
        <v>32</v>
      </c>
      <c r="G26" s="143"/>
      <c r="H26" s="144"/>
      <c r="I26" s="145"/>
    </row>
    <row r="27" spans="1:10" ht="18.75" customHeight="1" x14ac:dyDescent="0.15">
      <c r="A27" s="68">
        <v>8</v>
      </c>
      <c r="B27" s="143" t="s">
        <v>165</v>
      </c>
      <c r="C27" s="144"/>
      <c r="D27" s="144"/>
      <c r="E27" s="145"/>
      <c r="F27" s="68">
        <v>33</v>
      </c>
      <c r="G27" s="143"/>
      <c r="H27" s="144"/>
      <c r="I27" s="145"/>
    </row>
    <row r="28" spans="1:10" ht="18.75" customHeight="1" x14ac:dyDescent="0.15">
      <c r="A28" s="68">
        <v>9</v>
      </c>
      <c r="B28" s="143" t="s">
        <v>166</v>
      </c>
      <c r="C28" s="144"/>
      <c r="D28" s="144"/>
      <c r="E28" s="145"/>
      <c r="F28" s="68">
        <v>34</v>
      </c>
      <c r="G28" s="143"/>
      <c r="H28" s="144"/>
      <c r="I28" s="145"/>
    </row>
    <row r="29" spans="1:10" ht="18.75" customHeight="1" x14ac:dyDescent="0.15">
      <c r="A29" s="68">
        <v>10</v>
      </c>
      <c r="B29" s="143" t="s">
        <v>167</v>
      </c>
      <c r="C29" s="144"/>
      <c r="D29" s="144"/>
      <c r="E29" s="145"/>
      <c r="F29" s="68">
        <v>35</v>
      </c>
      <c r="G29" s="143"/>
      <c r="H29" s="144"/>
      <c r="I29" s="145"/>
    </row>
    <row r="30" spans="1:10" ht="18.75" customHeight="1" x14ac:dyDescent="0.15">
      <c r="A30" s="68">
        <v>11</v>
      </c>
      <c r="B30" s="143" t="s">
        <v>168</v>
      </c>
      <c r="C30" s="144"/>
      <c r="D30" s="144"/>
      <c r="E30" s="145"/>
      <c r="F30" s="68">
        <v>36</v>
      </c>
      <c r="G30" s="143"/>
      <c r="H30" s="144"/>
      <c r="I30" s="145"/>
    </row>
    <row r="31" spans="1:10" ht="18.75" customHeight="1" x14ac:dyDescent="0.15">
      <c r="A31" s="68">
        <v>12</v>
      </c>
      <c r="B31" s="143"/>
      <c r="C31" s="144"/>
      <c r="D31" s="144"/>
      <c r="E31" s="145"/>
      <c r="F31" s="68">
        <v>37</v>
      </c>
      <c r="G31" s="143"/>
      <c r="H31" s="144"/>
      <c r="I31" s="145"/>
    </row>
    <row r="32" spans="1:10" ht="18.75" customHeight="1" x14ac:dyDescent="0.15">
      <c r="A32" s="68">
        <v>13</v>
      </c>
      <c r="B32" s="143"/>
      <c r="C32" s="144"/>
      <c r="D32" s="144"/>
      <c r="E32" s="145"/>
      <c r="F32" s="68">
        <v>38</v>
      </c>
      <c r="G32" s="143"/>
      <c r="H32" s="144"/>
      <c r="I32" s="145"/>
    </row>
    <row r="33" spans="1:9" ht="18.75" customHeight="1" x14ac:dyDescent="0.15">
      <c r="A33" s="68">
        <v>14</v>
      </c>
      <c r="B33" s="143"/>
      <c r="C33" s="144"/>
      <c r="D33" s="144"/>
      <c r="E33" s="145"/>
      <c r="F33" s="68">
        <v>39</v>
      </c>
      <c r="G33" s="143"/>
      <c r="H33" s="144"/>
      <c r="I33" s="145"/>
    </row>
    <row r="34" spans="1:9" ht="18.75" customHeight="1" x14ac:dyDescent="0.15">
      <c r="A34" s="68">
        <v>15</v>
      </c>
      <c r="B34" s="143"/>
      <c r="C34" s="144"/>
      <c r="D34" s="144"/>
      <c r="E34" s="145"/>
      <c r="F34" s="68">
        <v>40</v>
      </c>
      <c r="G34" s="143"/>
      <c r="H34" s="144"/>
      <c r="I34" s="145"/>
    </row>
    <row r="35" spans="1:9" ht="18.75" customHeight="1" x14ac:dyDescent="0.15">
      <c r="A35" s="68">
        <v>16</v>
      </c>
      <c r="B35" s="143"/>
      <c r="C35" s="144"/>
      <c r="D35" s="144"/>
      <c r="E35" s="145"/>
      <c r="F35" s="68">
        <v>41</v>
      </c>
      <c r="G35" s="143"/>
      <c r="H35" s="144"/>
      <c r="I35" s="145"/>
    </row>
    <row r="36" spans="1:9" ht="18.75" customHeight="1" x14ac:dyDescent="0.15">
      <c r="A36" s="68">
        <v>17</v>
      </c>
      <c r="B36" s="143"/>
      <c r="C36" s="144"/>
      <c r="D36" s="144"/>
      <c r="E36" s="145"/>
      <c r="F36" s="68">
        <v>42</v>
      </c>
      <c r="G36" s="143"/>
      <c r="H36" s="144"/>
      <c r="I36" s="145"/>
    </row>
    <row r="37" spans="1:9" ht="18.75" customHeight="1" x14ac:dyDescent="0.15">
      <c r="A37" s="68">
        <v>18</v>
      </c>
      <c r="B37" s="143"/>
      <c r="C37" s="144"/>
      <c r="D37" s="144"/>
      <c r="E37" s="145"/>
      <c r="F37" s="68">
        <v>43</v>
      </c>
      <c r="G37" s="143"/>
      <c r="H37" s="144"/>
      <c r="I37" s="145"/>
    </row>
    <row r="38" spans="1:9" ht="18.75" customHeight="1" x14ac:dyDescent="0.15">
      <c r="A38" s="68">
        <v>19</v>
      </c>
      <c r="B38" s="143"/>
      <c r="C38" s="144"/>
      <c r="D38" s="144"/>
      <c r="E38" s="145"/>
      <c r="F38" s="68">
        <v>44</v>
      </c>
      <c r="G38" s="143"/>
      <c r="H38" s="144"/>
      <c r="I38" s="145"/>
    </row>
    <row r="39" spans="1:9" ht="18.75" customHeight="1" x14ac:dyDescent="0.15">
      <c r="A39" s="68">
        <v>20</v>
      </c>
      <c r="B39" s="143"/>
      <c r="C39" s="144"/>
      <c r="D39" s="144"/>
      <c r="E39" s="145"/>
      <c r="F39" s="68">
        <v>45</v>
      </c>
      <c r="G39" s="143"/>
      <c r="H39" s="144"/>
      <c r="I39" s="145"/>
    </row>
    <row r="40" spans="1:9" ht="18.75" customHeight="1" x14ac:dyDescent="0.15">
      <c r="A40" s="68">
        <v>21</v>
      </c>
      <c r="B40" s="143"/>
      <c r="C40" s="144"/>
      <c r="D40" s="144"/>
      <c r="E40" s="145"/>
      <c r="F40" s="68">
        <v>46</v>
      </c>
      <c r="G40" s="143"/>
      <c r="H40" s="144"/>
      <c r="I40" s="145"/>
    </row>
    <row r="41" spans="1:9" ht="18.75" customHeight="1" x14ac:dyDescent="0.15">
      <c r="A41" s="68">
        <v>22</v>
      </c>
      <c r="B41" s="143"/>
      <c r="C41" s="144"/>
      <c r="D41" s="144"/>
      <c r="E41" s="145"/>
      <c r="F41" s="68">
        <v>47</v>
      </c>
      <c r="G41" s="143"/>
      <c r="H41" s="144"/>
      <c r="I41" s="145"/>
    </row>
    <row r="42" spans="1:9" ht="18.75" customHeight="1" x14ac:dyDescent="0.15">
      <c r="A42" s="68">
        <v>23</v>
      </c>
      <c r="B42" s="143"/>
      <c r="C42" s="144"/>
      <c r="D42" s="144"/>
      <c r="E42" s="145"/>
      <c r="F42" s="68">
        <v>48</v>
      </c>
      <c r="G42" s="143"/>
      <c r="H42" s="144"/>
      <c r="I42" s="145"/>
    </row>
    <row r="43" spans="1:9" ht="18.75" customHeight="1" x14ac:dyDescent="0.15">
      <c r="A43" s="68">
        <v>24</v>
      </c>
      <c r="B43" s="143"/>
      <c r="C43" s="144"/>
      <c r="D43" s="144"/>
      <c r="E43" s="145"/>
      <c r="F43" s="68">
        <v>49</v>
      </c>
      <c r="G43" s="143"/>
      <c r="H43" s="144"/>
      <c r="I43" s="145"/>
    </row>
    <row r="44" spans="1:9" ht="18.75" customHeight="1" x14ac:dyDescent="0.15">
      <c r="A44" s="68">
        <v>25</v>
      </c>
      <c r="B44" s="143"/>
      <c r="C44" s="144"/>
      <c r="D44" s="144"/>
      <c r="E44" s="145"/>
      <c r="F44" s="68">
        <v>50</v>
      </c>
      <c r="G44" s="143"/>
      <c r="H44" s="144"/>
      <c r="I44" s="145"/>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6"/>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scale="9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9"/>
  <sheetViews>
    <sheetView zoomScale="200" zoomScaleNormal="200" workbookViewId="0">
      <selection activeCell="I13" sqref="I13"/>
    </sheetView>
  </sheetViews>
  <sheetFormatPr defaultColWidth="9" defaultRowHeight="18.75" customHeight="1" x14ac:dyDescent="0.15"/>
  <cols>
    <col min="1" max="1" width="2.5" style="1" customWidth="1"/>
    <col min="2" max="2" width="12.5" style="1" customWidth="1"/>
    <col min="3" max="3" width="21" style="1" customWidth="1"/>
    <col min="4" max="18" width="6.125" style="1" customWidth="1"/>
    <col min="19" max="16384" width="9" style="1"/>
  </cols>
  <sheetData>
    <row r="1" spans="1:20" ht="18.75" customHeight="1" x14ac:dyDescent="0.15">
      <c r="F1" s="176" t="s">
        <v>73</v>
      </c>
      <c r="G1" s="176"/>
      <c r="H1" s="176"/>
      <c r="I1" s="176"/>
      <c r="J1" s="176"/>
      <c r="K1" s="176"/>
      <c r="L1" s="176"/>
      <c r="M1" s="176"/>
      <c r="N1" s="176"/>
      <c r="O1" s="176"/>
      <c r="P1" s="176"/>
      <c r="Q1" s="176"/>
      <c r="R1" s="176"/>
    </row>
    <row r="2" spans="1:20" ht="18.75" customHeight="1" x14ac:dyDescent="0.15">
      <c r="D2" s="22"/>
      <c r="E2" s="22"/>
      <c r="F2" s="22"/>
      <c r="G2" s="22"/>
      <c r="H2" s="22"/>
      <c r="I2" s="22"/>
      <c r="J2" s="22"/>
      <c r="K2" s="176" t="s">
        <v>65</v>
      </c>
      <c r="L2" s="176"/>
      <c r="M2" s="187" t="s">
        <v>169</v>
      </c>
      <c r="N2" s="187"/>
      <c r="O2" s="187"/>
      <c r="P2" s="187"/>
      <c r="Q2" s="187"/>
      <c r="R2" s="187"/>
    </row>
    <row r="3" spans="1:20" ht="7.5" customHeight="1" x14ac:dyDescent="0.15"/>
    <row r="4" spans="1:20" ht="18.75" customHeight="1" x14ac:dyDescent="0.15">
      <c r="A4" s="186" t="s">
        <v>125</v>
      </c>
      <c r="B4" s="186"/>
      <c r="C4" s="186"/>
      <c r="D4" s="186"/>
      <c r="E4" s="186"/>
      <c r="F4" s="186"/>
      <c r="G4" s="186"/>
      <c r="H4" s="186"/>
      <c r="I4" s="186"/>
      <c r="J4" s="186"/>
      <c r="K4" s="186"/>
      <c r="L4" s="186"/>
      <c r="M4" s="186"/>
      <c r="N4" s="186"/>
      <c r="O4" s="186"/>
      <c r="P4" s="186"/>
      <c r="Q4" s="186"/>
      <c r="R4" s="186"/>
      <c r="S4" s="4"/>
    </row>
    <row r="5" spans="1:20" ht="7.5" customHeight="1" x14ac:dyDescent="0.15">
      <c r="A5" s="21"/>
      <c r="B5" s="21"/>
      <c r="C5" s="21"/>
      <c r="D5" s="21"/>
      <c r="E5" s="21"/>
      <c r="F5" s="21"/>
      <c r="G5" s="21"/>
      <c r="H5" s="21"/>
      <c r="I5" s="21"/>
      <c r="J5" s="21"/>
      <c r="K5" s="21"/>
      <c r="L5" s="21"/>
      <c r="M5" s="21"/>
      <c r="N5" s="21"/>
      <c r="O5" s="21"/>
      <c r="P5" s="21"/>
      <c r="Q5" s="21"/>
      <c r="R5" s="21"/>
    </row>
    <row r="6" spans="1:20" ht="18.75" customHeight="1" x14ac:dyDescent="0.15">
      <c r="B6" s="170" t="s">
        <v>130</v>
      </c>
      <c r="C6" s="171"/>
      <c r="D6" s="177" t="s">
        <v>90</v>
      </c>
      <c r="E6" s="179" t="s">
        <v>119</v>
      </c>
      <c r="F6" s="179"/>
      <c r="G6" s="179" t="s">
        <v>120</v>
      </c>
      <c r="H6" s="179"/>
      <c r="I6" s="180" t="s">
        <v>121</v>
      </c>
      <c r="J6" s="181"/>
      <c r="K6" s="180" t="s">
        <v>122</v>
      </c>
      <c r="L6" s="181"/>
      <c r="M6" s="180" t="s">
        <v>123</v>
      </c>
      <c r="N6" s="181"/>
      <c r="O6" s="180" t="s">
        <v>124</v>
      </c>
      <c r="P6" s="181"/>
      <c r="Q6" s="182" t="s">
        <v>72</v>
      </c>
      <c r="R6" s="184" t="s">
        <v>66</v>
      </c>
      <c r="T6" s="23"/>
    </row>
    <row r="7" spans="1:20" ht="18.75" customHeight="1" x14ac:dyDescent="0.15">
      <c r="B7" s="172"/>
      <c r="C7" s="173"/>
      <c r="D7" s="178"/>
      <c r="E7" s="14" t="s">
        <v>52</v>
      </c>
      <c r="F7" s="16" t="s">
        <v>51</v>
      </c>
      <c r="G7" s="17" t="s">
        <v>52</v>
      </c>
      <c r="H7" s="15" t="s">
        <v>51</v>
      </c>
      <c r="I7" s="14" t="s">
        <v>52</v>
      </c>
      <c r="J7" s="16" t="s">
        <v>51</v>
      </c>
      <c r="K7" s="17" t="s">
        <v>52</v>
      </c>
      <c r="L7" s="15" t="s">
        <v>51</v>
      </c>
      <c r="M7" s="14" t="s">
        <v>52</v>
      </c>
      <c r="N7" s="16" t="s">
        <v>51</v>
      </c>
      <c r="O7" s="17" t="s">
        <v>52</v>
      </c>
      <c r="P7" s="15" t="s">
        <v>51</v>
      </c>
      <c r="Q7" s="183"/>
      <c r="R7" s="185"/>
      <c r="T7" s="23"/>
    </row>
    <row r="8" spans="1:20" ht="18.75" customHeight="1" x14ac:dyDescent="0.15">
      <c r="A8" s="24"/>
      <c r="B8" s="166" t="s">
        <v>170</v>
      </c>
      <c r="C8" s="167"/>
      <c r="D8" s="83">
        <v>792</v>
      </c>
      <c r="E8" s="26">
        <v>2</v>
      </c>
      <c r="F8" s="27">
        <v>0</v>
      </c>
      <c r="G8" s="70"/>
      <c r="H8" s="71"/>
      <c r="I8" s="72"/>
      <c r="J8" s="73"/>
      <c r="K8" s="70"/>
      <c r="L8" s="71"/>
      <c r="M8" s="72"/>
      <c r="N8" s="73"/>
      <c r="O8" s="70"/>
      <c r="P8" s="71"/>
      <c r="Q8" s="80">
        <f>E8+G8+I8+K8+M8+O8</f>
        <v>2</v>
      </c>
      <c r="R8" s="78">
        <f>Q8/D8</f>
        <v>2.5252525252525255E-3</v>
      </c>
    </row>
    <row r="9" spans="1:20" ht="18.75" customHeight="1" x14ac:dyDescent="0.15">
      <c r="A9" s="24"/>
      <c r="B9" s="164" t="s">
        <v>171</v>
      </c>
      <c r="C9" s="165"/>
      <c r="D9" s="84">
        <v>1080</v>
      </c>
      <c r="E9" s="31">
        <v>14</v>
      </c>
      <c r="F9" s="32">
        <v>5</v>
      </c>
      <c r="G9" s="74"/>
      <c r="H9" s="75"/>
      <c r="I9" s="76"/>
      <c r="J9" s="77"/>
      <c r="K9" s="74"/>
      <c r="L9" s="75"/>
      <c r="M9" s="76"/>
      <c r="N9" s="77"/>
      <c r="O9" s="74"/>
      <c r="P9" s="75"/>
      <c r="Q9" s="81">
        <f t="shared" ref="Q9:Q11" si="0">E9+G9+I9+K9+M9+O9</f>
        <v>14</v>
      </c>
      <c r="R9" s="79">
        <f>Q9/D9</f>
        <v>1.2962962962962963E-2</v>
      </c>
    </row>
    <row r="10" spans="1:20" ht="18.75" customHeight="1" x14ac:dyDescent="0.15">
      <c r="A10" s="24"/>
      <c r="B10" s="164" t="s">
        <v>172</v>
      </c>
      <c r="C10" s="165"/>
      <c r="D10" s="84">
        <v>792</v>
      </c>
      <c r="E10" s="31">
        <v>3</v>
      </c>
      <c r="F10" s="32">
        <v>0</v>
      </c>
      <c r="G10" s="74"/>
      <c r="H10" s="75"/>
      <c r="I10" s="76"/>
      <c r="J10" s="77"/>
      <c r="K10" s="74"/>
      <c r="L10" s="75"/>
      <c r="M10" s="76"/>
      <c r="N10" s="77"/>
      <c r="O10" s="74"/>
      <c r="P10" s="75"/>
      <c r="Q10" s="81">
        <f t="shared" si="0"/>
        <v>3</v>
      </c>
      <c r="R10" s="79">
        <f t="shared" ref="R10:R11" si="1">Q10/D10</f>
        <v>3.787878787878788E-3</v>
      </c>
    </row>
    <row r="11" spans="1:20" ht="18.75" customHeight="1" x14ac:dyDescent="0.15">
      <c r="A11" s="24"/>
      <c r="B11" s="164" t="s">
        <v>173</v>
      </c>
      <c r="C11" s="165"/>
      <c r="D11" s="84">
        <v>536</v>
      </c>
      <c r="E11" s="31">
        <v>1</v>
      </c>
      <c r="F11" s="32">
        <v>1</v>
      </c>
      <c r="G11" s="74"/>
      <c r="H11" s="75"/>
      <c r="I11" s="76"/>
      <c r="J11" s="77"/>
      <c r="K11" s="74"/>
      <c r="L11" s="75"/>
      <c r="M11" s="76"/>
      <c r="N11" s="77"/>
      <c r="O11" s="74"/>
      <c r="P11" s="75"/>
      <c r="Q11" s="81">
        <f t="shared" si="0"/>
        <v>1</v>
      </c>
      <c r="R11" s="79">
        <f t="shared" si="1"/>
        <v>1.8656716417910447E-3</v>
      </c>
    </row>
    <row r="12" spans="1:20" ht="18.75" customHeight="1" x14ac:dyDescent="0.15">
      <c r="A12" s="24"/>
      <c r="B12" s="164"/>
      <c r="C12" s="165"/>
      <c r="D12" s="30"/>
      <c r="E12" s="31"/>
      <c r="F12" s="32"/>
      <c r="G12" s="33"/>
      <c r="H12" s="34"/>
      <c r="I12" s="31"/>
      <c r="J12" s="32"/>
      <c r="K12" s="33"/>
      <c r="L12" s="34"/>
      <c r="M12" s="31"/>
      <c r="N12" s="32"/>
      <c r="O12" s="33"/>
      <c r="P12" s="34"/>
      <c r="Q12" s="35"/>
      <c r="R12" s="35"/>
    </row>
    <row r="13" spans="1:20" ht="18.75" customHeight="1" x14ac:dyDescent="0.15">
      <c r="A13" s="24"/>
      <c r="B13" s="164"/>
      <c r="C13" s="165"/>
      <c r="D13" s="30"/>
      <c r="E13" s="31"/>
      <c r="F13" s="32"/>
      <c r="G13" s="33"/>
      <c r="H13" s="34"/>
      <c r="I13" s="31"/>
      <c r="J13" s="32"/>
      <c r="K13" s="33"/>
      <c r="L13" s="34"/>
      <c r="M13" s="31"/>
      <c r="N13" s="32"/>
      <c r="O13" s="33"/>
      <c r="P13" s="34"/>
      <c r="Q13" s="35"/>
      <c r="R13" s="35"/>
    </row>
    <row r="14" spans="1:20" ht="18.75" customHeight="1" x14ac:dyDescent="0.15">
      <c r="A14" s="24"/>
      <c r="B14" s="164"/>
      <c r="C14" s="165"/>
      <c r="D14" s="30"/>
      <c r="E14" s="31"/>
      <c r="F14" s="32"/>
      <c r="G14" s="33"/>
      <c r="H14" s="34"/>
      <c r="I14" s="31"/>
      <c r="J14" s="32"/>
      <c r="K14" s="33"/>
      <c r="L14" s="34"/>
      <c r="M14" s="31"/>
      <c r="N14" s="32"/>
      <c r="O14" s="33"/>
      <c r="P14" s="34"/>
      <c r="Q14" s="35"/>
      <c r="R14" s="35"/>
    </row>
    <row r="15" spans="1:20" ht="18.75" customHeight="1" x14ac:dyDescent="0.15">
      <c r="A15" s="24"/>
      <c r="B15" s="164"/>
      <c r="C15" s="165"/>
      <c r="D15" s="30"/>
      <c r="E15" s="31"/>
      <c r="F15" s="32"/>
      <c r="G15" s="33"/>
      <c r="H15" s="34"/>
      <c r="I15" s="31"/>
      <c r="J15" s="32"/>
      <c r="K15" s="33"/>
      <c r="L15" s="34"/>
      <c r="M15" s="31"/>
      <c r="N15" s="32"/>
      <c r="O15" s="33"/>
      <c r="P15" s="34"/>
      <c r="Q15" s="35"/>
      <c r="R15" s="35"/>
    </row>
    <row r="16" spans="1:20" ht="18.75" customHeight="1" x14ac:dyDescent="0.15">
      <c r="A16" s="24"/>
      <c r="B16" s="164"/>
      <c r="C16" s="165"/>
      <c r="D16" s="30"/>
      <c r="E16" s="31"/>
      <c r="F16" s="32"/>
      <c r="G16" s="33"/>
      <c r="H16" s="34"/>
      <c r="I16" s="31"/>
      <c r="J16" s="32"/>
      <c r="K16" s="33"/>
      <c r="L16" s="34"/>
      <c r="M16" s="31"/>
      <c r="N16" s="32"/>
      <c r="O16" s="33"/>
      <c r="P16" s="34"/>
      <c r="Q16" s="35"/>
      <c r="R16" s="35"/>
    </row>
    <row r="17" spans="1:18" ht="18.75" customHeight="1" x14ac:dyDescent="0.15">
      <c r="A17" s="24"/>
      <c r="B17" s="164"/>
      <c r="C17" s="165"/>
      <c r="D17" s="30"/>
      <c r="E17" s="31"/>
      <c r="F17" s="32"/>
      <c r="G17" s="33"/>
      <c r="H17" s="34"/>
      <c r="I17" s="31"/>
      <c r="J17" s="32"/>
      <c r="K17" s="33"/>
      <c r="L17" s="34"/>
      <c r="M17" s="31"/>
      <c r="N17" s="32"/>
      <c r="O17" s="33"/>
      <c r="P17" s="34"/>
      <c r="Q17" s="35"/>
      <c r="R17" s="35"/>
    </row>
    <row r="18" spans="1:18" ht="18.75" customHeight="1" x14ac:dyDescent="0.15">
      <c r="A18" s="24"/>
      <c r="B18" s="164"/>
      <c r="C18" s="165"/>
      <c r="D18" s="30"/>
      <c r="E18" s="31"/>
      <c r="F18" s="32"/>
      <c r="G18" s="33"/>
      <c r="H18" s="34"/>
      <c r="I18" s="31"/>
      <c r="J18" s="32"/>
      <c r="K18" s="33"/>
      <c r="L18" s="34"/>
      <c r="M18" s="31"/>
      <c r="N18" s="32"/>
      <c r="O18" s="33"/>
      <c r="P18" s="34"/>
      <c r="Q18" s="35"/>
      <c r="R18" s="35"/>
    </row>
    <row r="19" spans="1:18" ht="18.75" customHeight="1" x14ac:dyDescent="0.15">
      <c r="A19" s="24"/>
      <c r="B19" s="164"/>
      <c r="C19" s="165"/>
      <c r="D19" s="30"/>
      <c r="E19" s="31"/>
      <c r="F19" s="32"/>
      <c r="G19" s="33"/>
      <c r="H19" s="34"/>
      <c r="I19" s="31"/>
      <c r="J19" s="32"/>
      <c r="K19" s="33"/>
      <c r="L19" s="34"/>
      <c r="M19" s="31"/>
      <c r="N19" s="32"/>
      <c r="O19" s="33"/>
      <c r="P19" s="34"/>
      <c r="Q19" s="35"/>
      <c r="R19" s="35"/>
    </row>
    <row r="20" spans="1:18" ht="18.75" customHeight="1" x14ac:dyDescent="0.15">
      <c r="A20" s="24"/>
      <c r="B20" s="164"/>
      <c r="C20" s="165"/>
      <c r="D20" s="30"/>
      <c r="E20" s="31"/>
      <c r="F20" s="32"/>
      <c r="G20" s="33"/>
      <c r="H20" s="34"/>
      <c r="I20" s="31"/>
      <c r="J20" s="32"/>
      <c r="K20" s="33"/>
      <c r="L20" s="34"/>
      <c r="M20" s="31"/>
      <c r="N20" s="32"/>
      <c r="O20" s="33"/>
      <c r="P20" s="34"/>
      <c r="Q20" s="35"/>
      <c r="R20" s="35"/>
    </row>
    <row r="21" spans="1:18" ht="18.75" customHeight="1" x14ac:dyDescent="0.15">
      <c r="A21" s="24"/>
      <c r="B21" s="164"/>
      <c r="C21" s="165"/>
      <c r="D21" s="30"/>
      <c r="E21" s="31"/>
      <c r="F21" s="32"/>
      <c r="G21" s="33"/>
      <c r="H21" s="34"/>
      <c r="I21" s="31"/>
      <c r="J21" s="32"/>
      <c r="K21" s="33"/>
      <c r="L21" s="34"/>
      <c r="M21" s="31"/>
      <c r="N21" s="32"/>
      <c r="O21" s="33"/>
      <c r="P21" s="34"/>
      <c r="Q21" s="35"/>
      <c r="R21" s="35"/>
    </row>
    <row r="22" spans="1:18" ht="18.75" customHeight="1" x14ac:dyDescent="0.15">
      <c r="A22" s="24"/>
      <c r="B22" s="164"/>
      <c r="C22" s="165"/>
      <c r="D22" s="30"/>
      <c r="E22" s="31"/>
      <c r="F22" s="32"/>
      <c r="G22" s="33"/>
      <c r="H22" s="34"/>
      <c r="I22" s="31"/>
      <c r="J22" s="32"/>
      <c r="K22" s="33"/>
      <c r="L22" s="34"/>
      <c r="M22" s="31"/>
      <c r="N22" s="32"/>
      <c r="O22" s="33"/>
      <c r="P22" s="34"/>
      <c r="Q22" s="35"/>
      <c r="R22" s="35"/>
    </row>
    <row r="23" spans="1:18" ht="18.75" customHeight="1" x14ac:dyDescent="0.15">
      <c r="A23" s="24"/>
      <c r="B23" s="164"/>
      <c r="C23" s="165"/>
      <c r="D23" s="30"/>
      <c r="E23" s="31"/>
      <c r="F23" s="32"/>
      <c r="G23" s="33"/>
      <c r="H23" s="34"/>
      <c r="I23" s="31"/>
      <c r="J23" s="32"/>
      <c r="K23" s="33"/>
      <c r="L23" s="34"/>
      <c r="M23" s="31"/>
      <c r="N23" s="32"/>
      <c r="O23" s="33"/>
      <c r="P23" s="34"/>
      <c r="Q23" s="35"/>
      <c r="R23" s="35"/>
    </row>
    <row r="24" spans="1:18" ht="18.75" customHeight="1" x14ac:dyDescent="0.15">
      <c r="A24" s="24"/>
      <c r="B24" s="164"/>
      <c r="C24" s="165"/>
      <c r="D24" s="30"/>
      <c r="E24" s="31"/>
      <c r="F24" s="32"/>
      <c r="G24" s="33"/>
      <c r="H24" s="34"/>
      <c r="I24" s="31"/>
      <c r="J24" s="32"/>
      <c r="K24" s="33"/>
      <c r="L24" s="34"/>
      <c r="M24" s="31"/>
      <c r="N24" s="32"/>
      <c r="O24" s="33"/>
      <c r="P24" s="34"/>
      <c r="Q24" s="35"/>
      <c r="R24" s="35"/>
    </row>
    <row r="25" spans="1:18" ht="18.75" customHeight="1" x14ac:dyDescent="0.15">
      <c r="A25" s="24"/>
      <c r="B25" s="164"/>
      <c r="C25" s="165"/>
      <c r="D25" s="30"/>
      <c r="E25" s="31"/>
      <c r="F25" s="32"/>
      <c r="G25" s="33"/>
      <c r="H25" s="34"/>
      <c r="I25" s="31"/>
      <c r="J25" s="32"/>
      <c r="K25" s="33"/>
      <c r="L25" s="34"/>
      <c r="M25" s="31"/>
      <c r="N25" s="32"/>
      <c r="O25" s="33"/>
      <c r="P25" s="34"/>
      <c r="Q25" s="35"/>
      <c r="R25" s="35"/>
    </row>
    <row r="26" spans="1:18" ht="18.75" customHeight="1" x14ac:dyDescent="0.15">
      <c r="A26" s="24"/>
      <c r="B26" s="164"/>
      <c r="C26" s="165"/>
      <c r="D26" s="30"/>
      <c r="E26" s="31"/>
      <c r="F26" s="32"/>
      <c r="G26" s="33"/>
      <c r="H26" s="34"/>
      <c r="I26" s="31"/>
      <c r="J26" s="32"/>
      <c r="K26" s="33"/>
      <c r="L26" s="34"/>
      <c r="M26" s="31"/>
      <c r="N26" s="32"/>
      <c r="O26" s="33"/>
      <c r="P26" s="34"/>
      <c r="Q26" s="35"/>
      <c r="R26" s="35"/>
    </row>
    <row r="27" spans="1:18" ht="18.75" customHeight="1" thickBot="1" x14ac:dyDescent="0.2">
      <c r="A27" s="24"/>
      <c r="B27" s="174"/>
      <c r="C27" s="175"/>
      <c r="D27" s="25"/>
      <c r="E27" s="26"/>
      <c r="F27" s="27"/>
      <c r="G27" s="28"/>
      <c r="H27" s="29"/>
      <c r="I27" s="26"/>
      <c r="J27" s="27"/>
      <c r="K27" s="28"/>
      <c r="L27" s="29"/>
      <c r="M27" s="26"/>
      <c r="N27" s="27"/>
      <c r="O27" s="28"/>
      <c r="P27" s="29"/>
      <c r="Q27" s="36"/>
      <c r="R27" s="36"/>
    </row>
    <row r="28" spans="1:18" ht="18.75" customHeight="1" thickTop="1" x14ac:dyDescent="0.15">
      <c r="A28" s="24"/>
      <c r="B28" s="168" t="s">
        <v>67</v>
      </c>
      <c r="C28" s="169"/>
      <c r="D28" s="69">
        <f t="shared" ref="D28:P28" si="2">SUM(D8:D27)</f>
        <v>3200</v>
      </c>
      <c r="E28" s="37">
        <f t="shared" si="2"/>
        <v>20</v>
      </c>
      <c r="F28" s="38">
        <f t="shared" si="2"/>
        <v>6</v>
      </c>
      <c r="G28" s="39">
        <f t="shared" si="2"/>
        <v>0</v>
      </c>
      <c r="H28" s="40">
        <f t="shared" si="2"/>
        <v>0</v>
      </c>
      <c r="I28" s="37">
        <f t="shared" si="2"/>
        <v>0</v>
      </c>
      <c r="J28" s="38">
        <f t="shared" si="2"/>
        <v>0</v>
      </c>
      <c r="K28" s="39">
        <f t="shared" si="2"/>
        <v>0</v>
      </c>
      <c r="L28" s="40">
        <f t="shared" si="2"/>
        <v>0</v>
      </c>
      <c r="M28" s="37">
        <f t="shared" si="2"/>
        <v>0</v>
      </c>
      <c r="N28" s="38">
        <f t="shared" si="2"/>
        <v>0</v>
      </c>
      <c r="O28" s="39">
        <f t="shared" si="2"/>
        <v>0</v>
      </c>
      <c r="P28" s="40">
        <f t="shared" si="2"/>
        <v>0</v>
      </c>
      <c r="Q28" s="41">
        <f>SUM(Q8:Q27)</f>
        <v>20</v>
      </c>
      <c r="R28" s="82">
        <f>Q28/D28</f>
        <v>6.2500000000000003E-3</v>
      </c>
    </row>
    <row r="29" spans="1:18" ht="6.75" customHeight="1" x14ac:dyDescent="0.15">
      <c r="A29" s="24"/>
      <c r="B29" s="24"/>
      <c r="C29" s="24"/>
      <c r="D29" s="42"/>
      <c r="E29" s="42"/>
      <c r="F29" s="42"/>
      <c r="G29" s="42"/>
      <c r="H29" s="42"/>
      <c r="I29" s="42"/>
      <c r="J29" s="42"/>
      <c r="K29" s="42"/>
      <c r="L29" s="42"/>
      <c r="M29" s="42"/>
      <c r="N29" s="42"/>
      <c r="O29" s="42"/>
      <c r="P29" s="42"/>
      <c r="Q29" s="42"/>
      <c r="R29" s="42"/>
    </row>
  </sheetData>
  <mergeCells count="35">
    <mergeCell ref="F1:R1"/>
    <mergeCell ref="K2:L2"/>
    <mergeCell ref="D6:D7"/>
    <mergeCell ref="E6:F6"/>
    <mergeCell ref="G6:H6"/>
    <mergeCell ref="I6:J6"/>
    <mergeCell ref="K6:L6"/>
    <mergeCell ref="M6:N6"/>
    <mergeCell ref="O6:P6"/>
    <mergeCell ref="Q6:Q7"/>
    <mergeCell ref="R6:R7"/>
    <mergeCell ref="A4:R4"/>
    <mergeCell ref="M2:R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6"/>
  <printOptions horizontalCentered="1"/>
  <pageMargins left="0.78740157480314965" right="0.78740157480314965" top="0.78740157480314965" bottom="0.59055118110236227" header="0.31496062992125984" footer="0.31496062992125984"/>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7"/>
  <sheetViews>
    <sheetView view="pageBreakPreview" topLeftCell="A103" zoomScale="50" zoomScaleNormal="110" zoomScaleSheetLayoutView="50" workbookViewId="0">
      <selection activeCell="Y126" sqref="Y126"/>
    </sheetView>
  </sheetViews>
  <sheetFormatPr defaultColWidth="9" defaultRowHeight="14.25" x14ac:dyDescent="0.15"/>
  <cols>
    <col min="1" max="1" width="2.5" style="44" customWidth="1"/>
    <col min="2" max="2" width="19" style="44" customWidth="1"/>
    <col min="3" max="3" width="25" style="44" customWidth="1"/>
    <col min="4" max="4" width="10" style="44" customWidth="1"/>
    <col min="5" max="6" width="25" style="44" customWidth="1"/>
    <col min="7" max="7" width="22.5" style="44" customWidth="1"/>
    <col min="8" max="16384" width="9" style="44"/>
  </cols>
  <sheetData>
    <row r="1" spans="1:7" ht="18.75" customHeight="1" x14ac:dyDescent="0.15">
      <c r="G1" s="67" t="s">
        <v>174</v>
      </c>
    </row>
    <row r="2" spans="1:7" ht="18.75" customHeight="1" x14ac:dyDescent="0.15">
      <c r="F2" s="67" t="s">
        <v>75</v>
      </c>
      <c r="G2" s="44" t="s">
        <v>175</v>
      </c>
    </row>
    <row r="3" spans="1:7" ht="18.75" customHeight="1" x14ac:dyDescent="0.15">
      <c r="A3" s="142" t="s">
        <v>96</v>
      </c>
      <c r="B3" s="142"/>
      <c r="C3" s="142"/>
      <c r="D3" s="142"/>
      <c r="E3" s="142"/>
      <c r="F3" s="142"/>
      <c r="G3" s="142"/>
    </row>
    <row r="4" spans="1:7" ht="18.75" customHeight="1" x14ac:dyDescent="0.15">
      <c r="A4" s="44" t="s">
        <v>7</v>
      </c>
      <c r="B4" s="44" t="s">
        <v>95</v>
      </c>
    </row>
    <row r="5" spans="1:7" s="58" customFormat="1" ht="18.75" customHeight="1" x14ac:dyDescent="0.15">
      <c r="B5" s="85" t="s">
        <v>74</v>
      </c>
      <c r="C5" s="133" t="s">
        <v>108</v>
      </c>
      <c r="D5" s="128"/>
      <c r="E5" s="128"/>
      <c r="F5" s="128"/>
      <c r="G5" s="129"/>
    </row>
    <row r="6" spans="1:7" s="58" customFormat="1" ht="34.5" customHeight="1" x14ac:dyDescent="0.15">
      <c r="B6" s="235" t="s">
        <v>111</v>
      </c>
      <c r="C6" s="209" t="s">
        <v>176</v>
      </c>
      <c r="D6" s="210"/>
      <c r="E6" s="210"/>
      <c r="F6" s="210"/>
      <c r="G6" s="211"/>
    </row>
    <row r="7" spans="1:7" s="58" customFormat="1" ht="34.5" customHeight="1" x14ac:dyDescent="0.15">
      <c r="B7" s="236"/>
      <c r="C7" s="212"/>
      <c r="D7" s="213"/>
      <c r="E7" s="213"/>
      <c r="F7" s="213"/>
      <c r="G7" s="214"/>
    </row>
    <row r="8" spans="1:7" s="58" customFormat="1" ht="34.5" customHeight="1" x14ac:dyDescent="0.15">
      <c r="B8" s="236"/>
      <c r="C8" s="212"/>
      <c r="D8" s="213"/>
      <c r="E8" s="213"/>
      <c r="F8" s="213"/>
      <c r="G8" s="214"/>
    </row>
    <row r="9" spans="1:7" s="58" customFormat="1" ht="34.5" customHeight="1" x14ac:dyDescent="0.15">
      <c r="B9" s="236"/>
      <c r="C9" s="215"/>
      <c r="D9" s="216"/>
      <c r="E9" s="216"/>
      <c r="F9" s="216"/>
      <c r="G9" s="217"/>
    </row>
    <row r="10" spans="1:7" s="58" customFormat="1" ht="18.75" customHeight="1" x14ac:dyDescent="0.15">
      <c r="B10" s="236"/>
      <c r="C10" s="86" t="s">
        <v>109</v>
      </c>
      <c r="D10" s="241" t="s">
        <v>110</v>
      </c>
      <c r="E10" s="242"/>
      <c r="F10" s="242"/>
      <c r="G10" s="243"/>
    </row>
    <row r="11" spans="1:7" s="58" customFormat="1" ht="21" customHeight="1" x14ac:dyDescent="0.15">
      <c r="B11" s="236"/>
      <c r="C11" s="107" t="s">
        <v>158</v>
      </c>
      <c r="D11" s="188" t="s">
        <v>203</v>
      </c>
      <c r="E11" s="189"/>
      <c r="F11" s="189"/>
      <c r="G11" s="190"/>
    </row>
    <row r="12" spans="1:7" s="58" customFormat="1" ht="21" customHeight="1" x14ac:dyDescent="0.15">
      <c r="B12" s="236"/>
      <c r="C12" s="88" t="s">
        <v>177</v>
      </c>
      <c r="D12" s="244" t="s">
        <v>204</v>
      </c>
      <c r="E12" s="245"/>
      <c r="F12" s="245"/>
      <c r="G12" s="246"/>
    </row>
    <row r="13" spans="1:7" s="58" customFormat="1" ht="21" customHeight="1" x14ac:dyDescent="0.15">
      <c r="B13" s="236"/>
      <c r="C13" s="108" t="s">
        <v>168</v>
      </c>
      <c r="D13" s="191" t="s">
        <v>205</v>
      </c>
      <c r="E13" s="192"/>
      <c r="F13" s="192"/>
      <c r="G13" s="193"/>
    </row>
    <row r="14" spans="1:7" s="110" customFormat="1" ht="21" customHeight="1" x14ac:dyDescent="0.15">
      <c r="B14" s="236"/>
      <c r="C14" s="115"/>
      <c r="D14" s="133"/>
      <c r="E14" s="128"/>
      <c r="F14" s="128"/>
      <c r="G14" s="129"/>
    </row>
    <row r="15" spans="1:7" s="110" customFormat="1" ht="21" customHeight="1" x14ac:dyDescent="0.15">
      <c r="B15" s="236"/>
      <c r="C15" s="115"/>
      <c r="D15" s="133"/>
      <c r="E15" s="128"/>
      <c r="F15" s="128"/>
      <c r="G15" s="129"/>
    </row>
    <row r="16" spans="1:7" s="110" customFormat="1" ht="21" customHeight="1" x14ac:dyDescent="0.15">
      <c r="B16" s="236"/>
      <c r="C16" s="115"/>
      <c r="D16" s="133"/>
      <c r="E16" s="128"/>
      <c r="F16" s="128"/>
      <c r="G16" s="129"/>
    </row>
    <row r="17" spans="2:7" s="110" customFormat="1" ht="21" customHeight="1" x14ac:dyDescent="0.15">
      <c r="B17" s="236"/>
      <c r="C17" s="115"/>
      <c r="D17" s="133"/>
      <c r="E17" s="128"/>
      <c r="F17" s="128"/>
      <c r="G17" s="129"/>
    </row>
    <row r="18" spans="2:7" s="110" customFormat="1" ht="21" customHeight="1" x14ac:dyDescent="0.15">
      <c r="B18" s="236"/>
      <c r="C18" s="115"/>
      <c r="D18" s="133"/>
      <c r="E18" s="128"/>
      <c r="F18" s="128"/>
      <c r="G18" s="129"/>
    </row>
    <row r="19" spans="2:7" s="58" customFormat="1" ht="18.75" customHeight="1" x14ac:dyDescent="0.15">
      <c r="B19" s="236"/>
      <c r="C19" s="85"/>
      <c r="D19" s="133"/>
      <c r="E19" s="128"/>
      <c r="F19" s="128"/>
      <c r="G19" s="129"/>
    </row>
    <row r="20" spans="2:7" s="58" customFormat="1" ht="18.75" customHeight="1" x14ac:dyDescent="0.15">
      <c r="B20" s="236"/>
      <c r="C20" s="85"/>
      <c r="D20" s="133"/>
      <c r="E20" s="128"/>
      <c r="F20" s="128"/>
      <c r="G20" s="129"/>
    </row>
    <row r="21" spans="2:7" s="58" customFormat="1" ht="18.75" customHeight="1" x14ac:dyDescent="0.15">
      <c r="B21" s="236"/>
      <c r="C21" s="85"/>
      <c r="D21" s="133"/>
      <c r="E21" s="128"/>
      <c r="F21" s="128"/>
      <c r="G21" s="129"/>
    </row>
    <row r="22" spans="2:7" s="58" customFormat="1" ht="18.75" customHeight="1" x14ac:dyDescent="0.15">
      <c r="B22" s="236"/>
      <c r="C22" s="85"/>
      <c r="D22" s="133"/>
      <c r="E22" s="128"/>
      <c r="F22" s="128"/>
      <c r="G22" s="129"/>
    </row>
    <row r="23" spans="2:7" s="58" customFormat="1" ht="18.75" customHeight="1" x14ac:dyDescent="0.15">
      <c r="B23" s="236"/>
      <c r="C23" s="85"/>
      <c r="D23" s="133"/>
      <c r="E23" s="128"/>
      <c r="F23" s="128"/>
      <c r="G23" s="129"/>
    </row>
    <row r="24" spans="2:7" s="58" customFormat="1" ht="18.75" customHeight="1" x14ac:dyDescent="0.15">
      <c r="B24" s="236"/>
      <c r="C24" s="85"/>
      <c r="D24" s="133"/>
      <c r="E24" s="128"/>
      <c r="F24" s="128"/>
      <c r="G24" s="129"/>
    </row>
    <row r="25" spans="2:7" s="58" customFormat="1" ht="18.75" customHeight="1" x14ac:dyDescent="0.15">
      <c r="B25" s="236"/>
      <c r="C25" s="85"/>
      <c r="D25" s="133"/>
      <c r="E25" s="128"/>
      <c r="F25" s="128"/>
      <c r="G25" s="129"/>
    </row>
    <row r="26" spans="2:7" s="58" customFormat="1" ht="18.75" customHeight="1" x14ac:dyDescent="0.15">
      <c r="B26" s="236"/>
      <c r="C26" s="85"/>
      <c r="D26" s="133"/>
      <c r="E26" s="128"/>
      <c r="F26" s="128"/>
      <c r="G26" s="129"/>
    </row>
    <row r="27" spans="2:7" s="58" customFormat="1" ht="18.75" customHeight="1" x14ac:dyDescent="0.15">
      <c r="B27" s="237"/>
      <c r="C27" s="85"/>
      <c r="D27" s="133"/>
      <c r="E27" s="128"/>
      <c r="F27" s="128"/>
      <c r="G27" s="129"/>
    </row>
    <row r="28" spans="2:7" ht="18.75" customHeight="1" x14ac:dyDescent="0.15">
      <c r="B28" s="235" t="s">
        <v>112</v>
      </c>
      <c r="C28" s="133" t="s">
        <v>108</v>
      </c>
      <c r="D28" s="128"/>
      <c r="E28" s="128"/>
      <c r="F28" s="128"/>
      <c r="G28" s="129"/>
    </row>
    <row r="29" spans="2:7" ht="28.5" customHeight="1" x14ac:dyDescent="0.15">
      <c r="B29" s="236"/>
      <c r="C29" s="194" t="s">
        <v>178</v>
      </c>
      <c r="D29" s="195"/>
      <c r="E29" s="195"/>
      <c r="F29" s="195"/>
      <c r="G29" s="196"/>
    </row>
    <row r="30" spans="2:7" ht="28.5" customHeight="1" x14ac:dyDescent="0.15">
      <c r="B30" s="236"/>
      <c r="C30" s="197"/>
      <c r="D30" s="198"/>
      <c r="E30" s="198"/>
      <c r="F30" s="198"/>
      <c r="G30" s="199"/>
    </row>
    <row r="31" spans="2:7" ht="28.5" customHeight="1" x14ac:dyDescent="0.15">
      <c r="B31" s="236"/>
      <c r="C31" s="197"/>
      <c r="D31" s="198"/>
      <c r="E31" s="198"/>
      <c r="F31" s="198"/>
      <c r="G31" s="199"/>
    </row>
    <row r="32" spans="2:7" ht="28.5" customHeight="1" x14ac:dyDescent="0.15">
      <c r="B32" s="236"/>
      <c r="C32" s="197"/>
      <c r="D32" s="198"/>
      <c r="E32" s="198"/>
      <c r="F32" s="198"/>
      <c r="G32" s="199"/>
    </row>
    <row r="33" spans="2:7" ht="28.5" customHeight="1" x14ac:dyDescent="0.15">
      <c r="B33" s="236"/>
      <c r="C33" s="200"/>
      <c r="D33" s="201"/>
      <c r="E33" s="201"/>
      <c r="F33" s="201"/>
      <c r="G33" s="202"/>
    </row>
    <row r="34" spans="2:7" ht="18.75" customHeight="1" x14ac:dyDescent="0.15">
      <c r="B34" s="236"/>
      <c r="C34" s="86" t="s">
        <v>109</v>
      </c>
      <c r="D34" s="133" t="s">
        <v>110</v>
      </c>
      <c r="E34" s="128"/>
      <c r="F34" s="128"/>
      <c r="G34" s="129"/>
    </row>
    <row r="35" spans="2:7" ht="18.75" customHeight="1" x14ac:dyDescent="0.15">
      <c r="B35" s="236"/>
      <c r="C35" s="111" t="s">
        <v>161</v>
      </c>
      <c r="D35" s="206" t="s">
        <v>206</v>
      </c>
      <c r="E35" s="207"/>
      <c r="F35" s="207"/>
      <c r="G35" s="208"/>
    </row>
    <row r="36" spans="2:7" ht="18.75" customHeight="1" x14ac:dyDescent="0.15">
      <c r="B36" s="236"/>
      <c r="C36" s="105"/>
      <c r="D36" s="231"/>
      <c r="E36" s="232"/>
      <c r="F36" s="232"/>
      <c r="G36" s="233"/>
    </row>
    <row r="37" spans="2:7" ht="18.75" customHeight="1" x14ac:dyDescent="0.15">
      <c r="B37" s="236"/>
      <c r="C37" s="68"/>
      <c r="D37" s="234"/>
      <c r="E37" s="234"/>
      <c r="F37" s="234"/>
      <c r="G37" s="234"/>
    </row>
    <row r="38" spans="2:7" ht="18.75" customHeight="1" x14ac:dyDescent="0.15">
      <c r="B38" s="236"/>
      <c r="C38" s="85"/>
      <c r="D38" s="123"/>
      <c r="E38" s="124"/>
      <c r="F38" s="124"/>
      <c r="G38" s="125"/>
    </row>
    <row r="39" spans="2:7" ht="18.75" customHeight="1" x14ac:dyDescent="0.15">
      <c r="B39" s="236"/>
      <c r="C39" s="85"/>
      <c r="D39" s="123"/>
      <c r="E39" s="124"/>
      <c r="F39" s="124"/>
      <c r="G39" s="125"/>
    </row>
    <row r="40" spans="2:7" ht="18.75" customHeight="1" x14ac:dyDescent="0.15">
      <c r="B40" s="236"/>
      <c r="C40" s="85"/>
      <c r="D40" s="123"/>
      <c r="E40" s="124"/>
      <c r="F40" s="124"/>
      <c r="G40" s="125"/>
    </row>
    <row r="41" spans="2:7" ht="18.75" customHeight="1" x14ac:dyDescent="0.15">
      <c r="B41" s="236"/>
      <c r="C41" s="85"/>
      <c r="D41" s="123"/>
      <c r="E41" s="124"/>
      <c r="F41" s="124"/>
      <c r="G41" s="125"/>
    </row>
    <row r="42" spans="2:7" ht="18.75" customHeight="1" x14ac:dyDescent="0.15">
      <c r="B42" s="236"/>
      <c r="C42" s="85"/>
      <c r="D42" s="123"/>
      <c r="E42" s="124"/>
      <c r="F42" s="124"/>
      <c r="G42" s="125"/>
    </row>
    <row r="43" spans="2:7" ht="18.75" customHeight="1" x14ac:dyDescent="0.15">
      <c r="B43" s="236"/>
      <c r="C43" s="85"/>
      <c r="D43" s="123"/>
      <c r="E43" s="124"/>
      <c r="F43" s="124"/>
      <c r="G43" s="125"/>
    </row>
    <row r="44" spans="2:7" ht="18.75" customHeight="1" x14ac:dyDescent="0.15">
      <c r="B44" s="236"/>
      <c r="C44" s="85"/>
      <c r="D44" s="123"/>
      <c r="E44" s="124"/>
      <c r="F44" s="124"/>
      <c r="G44" s="125"/>
    </row>
    <row r="45" spans="2:7" ht="18.75" customHeight="1" x14ac:dyDescent="0.15">
      <c r="B45" s="236"/>
      <c r="C45" s="85"/>
      <c r="D45" s="123"/>
      <c r="E45" s="124"/>
      <c r="F45" s="124"/>
      <c r="G45" s="125"/>
    </row>
    <row r="46" spans="2:7" ht="18.75" customHeight="1" x14ac:dyDescent="0.15">
      <c r="B46" s="236"/>
      <c r="C46" s="85"/>
      <c r="D46" s="123"/>
      <c r="E46" s="124"/>
      <c r="F46" s="124"/>
      <c r="G46" s="125"/>
    </row>
    <row r="47" spans="2:7" ht="18.75" customHeight="1" x14ac:dyDescent="0.15">
      <c r="B47" s="236"/>
      <c r="C47" s="109"/>
      <c r="D47" s="123"/>
      <c r="E47" s="124"/>
      <c r="F47" s="124"/>
      <c r="G47" s="125"/>
    </row>
    <row r="48" spans="2:7" ht="18.75" customHeight="1" x14ac:dyDescent="0.15">
      <c r="B48" s="236"/>
      <c r="C48" s="85"/>
      <c r="D48" s="123"/>
      <c r="E48" s="124"/>
      <c r="F48" s="124"/>
      <c r="G48" s="125"/>
    </row>
    <row r="49" spans="2:8" ht="18.75" customHeight="1" x14ac:dyDescent="0.15">
      <c r="B49" s="236"/>
      <c r="C49" s="85"/>
      <c r="D49" s="123"/>
      <c r="E49" s="124"/>
      <c r="F49" s="124"/>
      <c r="G49" s="125"/>
    </row>
    <row r="50" spans="2:8" ht="18.75" customHeight="1" x14ac:dyDescent="0.15">
      <c r="B50" s="236"/>
      <c r="C50" s="85"/>
      <c r="D50" s="123"/>
      <c r="E50" s="124"/>
      <c r="F50" s="124"/>
      <c r="G50" s="125"/>
    </row>
    <row r="51" spans="2:8" ht="18.75" customHeight="1" x14ac:dyDescent="0.15">
      <c r="B51" s="237"/>
      <c r="C51" s="85"/>
      <c r="D51" s="123"/>
      <c r="E51" s="124"/>
      <c r="F51" s="124"/>
      <c r="G51" s="125"/>
    </row>
    <row r="52" spans="2:8" ht="18.75" customHeight="1" x14ac:dyDescent="0.15">
      <c r="B52" s="235" t="s">
        <v>114</v>
      </c>
      <c r="C52" s="133" t="s">
        <v>108</v>
      </c>
      <c r="D52" s="128"/>
      <c r="E52" s="128"/>
      <c r="F52" s="128"/>
      <c r="G52" s="129"/>
    </row>
    <row r="53" spans="2:8" ht="25.5" customHeight="1" x14ac:dyDescent="0.15">
      <c r="B53" s="236"/>
      <c r="C53" s="194" t="s">
        <v>179</v>
      </c>
      <c r="D53" s="195"/>
      <c r="E53" s="195"/>
      <c r="F53" s="195"/>
      <c r="G53" s="196"/>
    </row>
    <row r="54" spans="2:8" ht="25.5" customHeight="1" x14ac:dyDescent="0.15">
      <c r="B54" s="236"/>
      <c r="C54" s="197"/>
      <c r="D54" s="198"/>
      <c r="E54" s="198"/>
      <c r="F54" s="198"/>
      <c r="G54" s="199"/>
    </row>
    <row r="55" spans="2:8" ht="25.5" customHeight="1" x14ac:dyDescent="0.15">
      <c r="B55" s="236"/>
      <c r="C55" s="197"/>
      <c r="D55" s="198"/>
      <c r="E55" s="198"/>
      <c r="F55" s="198"/>
      <c r="G55" s="199"/>
    </row>
    <row r="56" spans="2:8" ht="25.5" customHeight="1" x14ac:dyDescent="0.15">
      <c r="B56" s="236"/>
      <c r="C56" s="197"/>
      <c r="D56" s="198"/>
      <c r="E56" s="198"/>
      <c r="F56" s="198"/>
      <c r="G56" s="199"/>
    </row>
    <row r="57" spans="2:8" ht="25.5" customHeight="1" x14ac:dyDescent="0.15">
      <c r="B57" s="236"/>
      <c r="C57" s="200"/>
      <c r="D57" s="201"/>
      <c r="E57" s="201"/>
      <c r="F57" s="201"/>
      <c r="G57" s="202"/>
    </row>
    <row r="58" spans="2:8" ht="18.75" customHeight="1" x14ac:dyDescent="0.15">
      <c r="B58" s="236"/>
      <c r="C58" s="86" t="s">
        <v>109</v>
      </c>
      <c r="D58" s="133" t="s">
        <v>110</v>
      </c>
      <c r="E58" s="128"/>
      <c r="F58" s="128"/>
      <c r="G58" s="129"/>
    </row>
    <row r="59" spans="2:8" ht="18.75" customHeight="1" x14ac:dyDescent="0.15">
      <c r="B59" s="236"/>
      <c r="C59" s="112" t="s">
        <v>162</v>
      </c>
      <c r="D59" s="206" t="s">
        <v>207</v>
      </c>
      <c r="E59" s="207"/>
      <c r="F59" s="207"/>
      <c r="G59" s="208"/>
      <c r="H59" s="117"/>
    </row>
    <row r="60" spans="2:8" ht="18.75" customHeight="1" x14ac:dyDescent="0.15">
      <c r="B60" s="236"/>
      <c r="C60" s="113" t="s">
        <v>161</v>
      </c>
      <c r="D60" s="203" t="s">
        <v>208</v>
      </c>
      <c r="E60" s="204"/>
      <c r="F60" s="204"/>
      <c r="G60" s="205"/>
      <c r="H60" s="117"/>
    </row>
    <row r="61" spans="2:8" ht="18.75" customHeight="1" x14ac:dyDescent="0.15">
      <c r="B61" s="236"/>
      <c r="C61" s="68"/>
      <c r="D61" s="163"/>
      <c r="E61" s="163"/>
      <c r="F61" s="163"/>
      <c r="G61" s="163"/>
      <c r="H61" s="117"/>
    </row>
    <row r="62" spans="2:8" ht="18.75" customHeight="1" x14ac:dyDescent="0.15">
      <c r="B62" s="236"/>
      <c r="C62" s="68"/>
      <c r="D62" s="163"/>
      <c r="E62" s="163"/>
      <c r="F62" s="163"/>
      <c r="G62" s="163"/>
      <c r="H62" s="117"/>
    </row>
    <row r="63" spans="2:8" ht="18.75" customHeight="1" x14ac:dyDescent="0.15">
      <c r="B63" s="236"/>
      <c r="C63" s="68"/>
      <c r="D63" s="163"/>
      <c r="E63" s="163"/>
      <c r="F63" s="163"/>
      <c r="G63" s="163"/>
      <c r="H63" s="117"/>
    </row>
    <row r="64" spans="2:8" ht="18.75" customHeight="1" x14ac:dyDescent="0.15">
      <c r="B64" s="236"/>
      <c r="C64" s="68"/>
      <c r="D64" s="163"/>
      <c r="E64" s="163"/>
      <c r="F64" s="163"/>
      <c r="G64" s="163"/>
      <c r="H64" s="117"/>
    </row>
    <row r="65" spans="2:8" ht="18.75" customHeight="1" x14ac:dyDescent="0.15">
      <c r="B65" s="236"/>
      <c r="C65" s="68"/>
      <c r="D65" s="163"/>
      <c r="E65" s="163"/>
      <c r="F65" s="163"/>
      <c r="G65" s="163"/>
      <c r="H65" s="117"/>
    </row>
    <row r="66" spans="2:8" ht="18.75" customHeight="1" x14ac:dyDescent="0.15">
      <c r="B66" s="236"/>
      <c r="C66" s="68"/>
      <c r="D66" s="163"/>
      <c r="E66" s="163"/>
      <c r="F66" s="163"/>
      <c r="G66" s="163"/>
      <c r="H66" s="117"/>
    </row>
    <row r="67" spans="2:8" ht="18.75" customHeight="1" x14ac:dyDescent="0.15">
      <c r="B67" s="236"/>
      <c r="C67" s="68"/>
      <c r="D67" s="163"/>
      <c r="E67" s="163"/>
      <c r="F67" s="163"/>
      <c r="G67" s="163"/>
      <c r="H67" s="117"/>
    </row>
    <row r="68" spans="2:8" ht="18.75" customHeight="1" x14ac:dyDescent="0.15">
      <c r="B68" s="236"/>
      <c r="C68" s="68"/>
      <c r="D68" s="163"/>
      <c r="E68" s="163"/>
      <c r="F68" s="163"/>
      <c r="G68" s="163"/>
      <c r="H68" s="117"/>
    </row>
    <row r="69" spans="2:8" ht="18.75" customHeight="1" x14ac:dyDescent="0.15">
      <c r="B69" s="236"/>
      <c r="C69" s="68"/>
      <c r="D69" s="163"/>
      <c r="E69" s="163"/>
      <c r="F69" s="163"/>
      <c r="G69" s="163"/>
      <c r="H69" s="117"/>
    </row>
    <row r="70" spans="2:8" ht="18.75" customHeight="1" x14ac:dyDescent="0.15">
      <c r="B70" s="236"/>
      <c r="C70" s="85"/>
      <c r="D70" s="123"/>
      <c r="E70" s="124"/>
      <c r="F70" s="124"/>
      <c r="G70" s="125"/>
      <c r="H70" s="117"/>
    </row>
    <row r="71" spans="2:8" ht="18.75" customHeight="1" x14ac:dyDescent="0.15">
      <c r="B71" s="236"/>
      <c r="C71" s="85"/>
      <c r="D71" s="123"/>
      <c r="E71" s="124"/>
      <c r="F71" s="124"/>
      <c r="G71" s="125"/>
      <c r="H71" s="117"/>
    </row>
    <row r="72" spans="2:8" ht="18.75" customHeight="1" x14ac:dyDescent="0.15">
      <c r="B72" s="236"/>
      <c r="C72" s="85"/>
      <c r="D72" s="123"/>
      <c r="E72" s="124"/>
      <c r="F72" s="124"/>
      <c r="G72" s="125"/>
      <c r="H72" s="117"/>
    </row>
    <row r="73" spans="2:8" ht="18.75" customHeight="1" x14ac:dyDescent="0.15">
      <c r="B73" s="236"/>
      <c r="C73" s="85"/>
      <c r="D73" s="123"/>
      <c r="E73" s="124"/>
      <c r="F73" s="124"/>
      <c r="G73" s="125"/>
      <c r="H73" s="117"/>
    </row>
    <row r="74" spans="2:8" ht="18.75" customHeight="1" x14ac:dyDescent="0.15">
      <c r="B74" s="236"/>
      <c r="C74" s="85"/>
      <c r="D74" s="123"/>
      <c r="E74" s="124"/>
      <c r="F74" s="124"/>
      <c r="G74" s="125"/>
      <c r="H74" s="117"/>
    </row>
    <row r="75" spans="2:8" ht="18.75" customHeight="1" x14ac:dyDescent="0.15">
      <c r="B75" s="237"/>
      <c r="C75" s="85"/>
      <c r="D75" s="123"/>
      <c r="E75" s="124"/>
      <c r="F75" s="124"/>
      <c r="G75" s="125"/>
      <c r="H75" s="117"/>
    </row>
    <row r="76" spans="2:8" ht="18.75" customHeight="1" x14ac:dyDescent="0.15">
      <c r="B76" s="235" t="s">
        <v>113</v>
      </c>
      <c r="C76" s="133" t="s">
        <v>108</v>
      </c>
      <c r="D76" s="128"/>
      <c r="E76" s="128"/>
      <c r="F76" s="128"/>
      <c r="G76" s="129"/>
    </row>
    <row r="77" spans="2:8" ht="26.25" customHeight="1" x14ac:dyDescent="0.15">
      <c r="B77" s="236"/>
      <c r="C77" s="194" t="s">
        <v>180</v>
      </c>
      <c r="D77" s="195"/>
      <c r="E77" s="195"/>
      <c r="F77" s="195"/>
      <c r="G77" s="196"/>
    </row>
    <row r="78" spans="2:8" ht="26.25" customHeight="1" x14ac:dyDescent="0.15">
      <c r="B78" s="236"/>
      <c r="C78" s="197"/>
      <c r="D78" s="198"/>
      <c r="E78" s="198"/>
      <c r="F78" s="198"/>
      <c r="G78" s="199"/>
    </row>
    <row r="79" spans="2:8" ht="26.25" customHeight="1" x14ac:dyDescent="0.15">
      <c r="B79" s="236"/>
      <c r="C79" s="197"/>
      <c r="D79" s="198"/>
      <c r="E79" s="198"/>
      <c r="F79" s="198"/>
      <c r="G79" s="199"/>
    </row>
    <row r="80" spans="2:8" ht="26.25" customHeight="1" x14ac:dyDescent="0.15">
      <c r="B80" s="236"/>
      <c r="C80" s="197"/>
      <c r="D80" s="198"/>
      <c r="E80" s="198"/>
      <c r="F80" s="198"/>
      <c r="G80" s="199"/>
    </row>
    <row r="81" spans="2:7" ht="26.25" customHeight="1" x14ac:dyDescent="0.15">
      <c r="B81" s="236"/>
      <c r="C81" s="200"/>
      <c r="D81" s="201"/>
      <c r="E81" s="201"/>
      <c r="F81" s="201"/>
      <c r="G81" s="202"/>
    </row>
    <row r="82" spans="2:7" ht="18.75" customHeight="1" x14ac:dyDescent="0.15">
      <c r="B82" s="236"/>
      <c r="C82" s="86" t="s">
        <v>109</v>
      </c>
      <c r="D82" s="133" t="s">
        <v>110</v>
      </c>
      <c r="E82" s="128"/>
      <c r="F82" s="128"/>
      <c r="G82" s="129"/>
    </row>
    <row r="83" spans="2:7" ht="18.75" customHeight="1" x14ac:dyDescent="0.15">
      <c r="B83" s="236"/>
      <c r="C83" s="114" t="s">
        <v>163</v>
      </c>
      <c r="D83" s="203" t="s">
        <v>209</v>
      </c>
      <c r="E83" s="204"/>
      <c r="F83" s="204"/>
      <c r="G83" s="205"/>
    </row>
    <row r="84" spans="2:7" ht="18.75" customHeight="1" x14ac:dyDescent="0.15">
      <c r="B84" s="236"/>
      <c r="C84" s="116" t="s">
        <v>181</v>
      </c>
      <c r="D84" s="203" t="s">
        <v>210</v>
      </c>
      <c r="E84" s="204"/>
      <c r="F84" s="204"/>
      <c r="G84" s="205"/>
    </row>
    <row r="85" spans="2:7" ht="18.75" customHeight="1" x14ac:dyDescent="0.15">
      <c r="B85" s="236"/>
      <c r="C85" s="85"/>
      <c r="D85" s="123"/>
      <c r="E85" s="124"/>
      <c r="F85" s="124"/>
      <c r="G85" s="125"/>
    </row>
    <row r="86" spans="2:7" ht="18.75" customHeight="1" x14ac:dyDescent="0.15">
      <c r="B86" s="236"/>
      <c r="C86" s="85"/>
      <c r="D86" s="123"/>
      <c r="E86" s="124"/>
      <c r="F86" s="124"/>
      <c r="G86" s="125"/>
    </row>
    <row r="87" spans="2:7" ht="18.75" customHeight="1" x14ac:dyDescent="0.15">
      <c r="B87" s="236"/>
      <c r="C87" s="85"/>
      <c r="D87" s="123"/>
      <c r="E87" s="124"/>
      <c r="F87" s="124"/>
      <c r="G87" s="125"/>
    </row>
    <row r="88" spans="2:7" ht="18.75" customHeight="1" x14ac:dyDescent="0.15">
      <c r="B88" s="236"/>
      <c r="C88" s="85"/>
      <c r="D88" s="123"/>
      <c r="E88" s="124"/>
      <c r="F88" s="124"/>
      <c r="G88" s="125"/>
    </row>
    <row r="89" spans="2:7" ht="18.75" customHeight="1" x14ac:dyDescent="0.15">
      <c r="B89" s="236"/>
      <c r="C89" s="109"/>
      <c r="D89" s="123"/>
      <c r="E89" s="124"/>
      <c r="F89" s="124"/>
      <c r="G89" s="125"/>
    </row>
    <row r="90" spans="2:7" ht="18.75" customHeight="1" x14ac:dyDescent="0.15">
      <c r="B90" s="236"/>
      <c r="C90" s="85"/>
      <c r="D90" s="123"/>
      <c r="E90" s="124"/>
      <c r="F90" s="124"/>
      <c r="G90" s="125"/>
    </row>
    <row r="91" spans="2:7" ht="18.75" customHeight="1" x14ac:dyDescent="0.15">
      <c r="B91" s="236"/>
      <c r="C91" s="85"/>
      <c r="D91" s="123"/>
      <c r="E91" s="124"/>
      <c r="F91" s="124"/>
      <c r="G91" s="125"/>
    </row>
    <row r="92" spans="2:7" ht="18.75" customHeight="1" x14ac:dyDescent="0.15">
      <c r="B92" s="236"/>
      <c r="C92" s="85"/>
      <c r="D92" s="123"/>
      <c r="E92" s="124"/>
      <c r="F92" s="124"/>
      <c r="G92" s="125"/>
    </row>
    <row r="93" spans="2:7" ht="18.75" customHeight="1" x14ac:dyDescent="0.15">
      <c r="B93" s="236"/>
      <c r="C93" s="85"/>
      <c r="D93" s="123"/>
      <c r="E93" s="124"/>
      <c r="F93" s="124"/>
      <c r="G93" s="125"/>
    </row>
    <row r="94" spans="2:7" ht="18.75" customHeight="1" x14ac:dyDescent="0.15">
      <c r="B94" s="236"/>
      <c r="C94" s="85"/>
      <c r="D94" s="123"/>
      <c r="E94" s="124"/>
      <c r="F94" s="124"/>
      <c r="G94" s="125"/>
    </row>
    <row r="95" spans="2:7" ht="18.75" customHeight="1" x14ac:dyDescent="0.15">
      <c r="B95" s="236"/>
      <c r="C95" s="85"/>
      <c r="D95" s="123"/>
      <c r="E95" s="124"/>
      <c r="F95" s="124"/>
      <c r="G95" s="125"/>
    </row>
    <row r="96" spans="2:7" ht="18.75" customHeight="1" x14ac:dyDescent="0.15">
      <c r="B96" s="236"/>
      <c r="C96" s="85"/>
      <c r="D96" s="123"/>
      <c r="E96" s="124"/>
      <c r="F96" s="124"/>
      <c r="G96" s="125"/>
    </row>
    <row r="97" spans="2:8" ht="18.75" customHeight="1" x14ac:dyDescent="0.15">
      <c r="B97" s="236"/>
      <c r="C97" s="85"/>
      <c r="D97" s="123"/>
      <c r="E97" s="124"/>
      <c r="F97" s="124"/>
      <c r="G97" s="125"/>
    </row>
    <row r="98" spans="2:8" ht="18.75" customHeight="1" x14ac:dyDescent="0.15">
      <c r="B98" s="237"/>
      <c r="C98" s="85"/>
      <c r="D98" s="123"/>
      <c r="E98" s="124"/>
      <c r="F98" s="124"/>
      <c r="G98" s="125"/>
    </row>
    <row r="99" spans="2:8" ht="18.75" customHeight="1" x14ac:dyDescent="0.15">
      <c r="B99" s="235" t="s">
        <v>115</v>
      </c>
      <c r="C99" s="133" t="s">
        <v>108</v>
      </c>
      <c r="D99" s="128"/>
      <c r="E99" s="128"/>
      <c r="F99" s="128"/>
      <c r="G99" s="129"/>
    </row>
    <row r="100" spans="2:8" ht="24" customHeight="1" x14ac:dyDescent="0.15">
      <c r="B100" s="236"/>
      <c r="C100" s="194" t="s">
        <v>182</v>
      </c>
      <c r="D100" s="195"/>
      <c r="E100" s="195"/>
      <c r="F100" s="195"/>
      <c r="G100" s="196"/>
    </row>
    <row r="101" spans="2:8" ht="24" customHeight="1" x14ac:dyDescent="0.15">
      <c r="B101" s="236"/>
      <c r="C101" s="197"/>
      <c r="D101" s="198"/>
      <c r="E101" s="198"/>
      <c r="F101" s="198"/>
      <c r="G101" s="199"/>
    </row>
    <row r="102" spans="2:8" ht="24" customHeight="1" x14ac:dyDescent="0.15">
      <c r="B102" s="236"/>
      <c r="C102" s="197"/>
      <c r="D102" s="198"/>
      <c r="E102" s="198"/>
      <c r="F102" s="198"/>
      <c r="G102" s="199"/>
    </row>
    <row r="103" spans="2:8" ht="24" customHeight="1" x14ac:dyDescent="0.15">
      <c r="B103" s="236"/>
      <c r="C103" s="197"/>
      <c r="D103" s="198"/>
      <c r="E103" s="198"/>
      <c r="F103" s="198"/>
      <c r="G103" s="199"/>
    </row>
    <row r="104" spans="2:8" ht="24" customHeight="1" x14ac:dyDescent="0.15">
      <c r="B104" s="236"/>
      <c r="C104" s="200"/>
      <c r="D104" s="201"/>
      <c r="E104" s="201"/>
      <c r="F104" s="201"/>
      <c r="G104" s="202"/>
    </row>
    <row r="105" spans="2:8" ht="18.75" customHeight="1" x14ac:dyDescent="0.15">
      <c r="B105" s="236"/>
      <c r="C105" s="86" t="s">
        <v>109</v>
      </c>
      <c r="D105" s="133" t="s">
        <v>110</v>
      </c>
      <c r="E105" s="128"/>
      <c r="F105" s="128"/>
      <c r="G105" s="129"/>
    </row>
    <row r="106" spans="2:8" ht="18.75" customHeight="1" x14ac:dyDescent="0.15">
      <c r="B106" s="236"/>
      <c r="C106" s="111" t="s">
        <v>216</v>
      </c>
      <c r="D106" s="238" t="s">
        <v>211</v>
      </c>
      <c r="E106" s="239"/>
      <c r="F106" s="239"/>
      <c r="G106" s="240"/>
      <c r="H106" s="117"/>
    </row>
    <row r="107" spans="2:8" ht="18.75" customHeight="1" x14ac:dyDescent="0.15">
      <c r="B107" s="236"/>
      <c r="C107" s="118" t="s">
        <v>215</v>
      </c>
      <c r="D107" s="238" t="s">
        <v>212</v>
      </c>
      <c r="E107" s="239"/>
      <c r="F107" s="239"/>
      <c r="G107" s="240"/>
      <c r="H107" s="117"/>
    </row>
    <row r="108" spans="2:8" ht="18.75" customHeight="1" x14ac:dyDescent="0.15">
      <c r="B108" s="236"/>
      <c r="C108" s="111" t="s">
        <v>217</v>
      </c>
      <c r="D108" s="238" t="s">
        <v>213</v>
      </c>
      <c r="E108" s="239"/>
      <c r="F108" s="239"/>
      <c r="G108" s="240"/>
      <c r="H108" s="117"/>
    </row>
    <row r="109" spans="2:8" ht="18.75" customHeight="1" x14ac:dyDescent="0.15">
      <c r="B109" s="236"/>
      <c r="C109" s="111" t="s">
        <v>214</v>
      </c>
      <c r="D109" s="238" t="s">
        <v>222</v>
      </c>
      <c r="E109" s="239"/>
      <c r="F109" s="239"/>
      <c r="G109" s="240"/>
      <c r="H109" s="117"/>
    </row>
    <row r="110" spans="2:8" ht="18.75" customHeight="1" x14ac:dyDescent="0.15">
      <c r="B110" s="236"/>
      <c r="C110" s="111" t="s">
        <v>218</v>
      </c>
      <c r="D110" s="238" t="s">
        <v>223</v>
      </c>
      <c r="E110" s="239"/>
      <c r="F110" s="239"/>
      <c r="G110" s="240"/>
      <c r="H110" s="117"/>
    </row>
    <row r="111" spans="2:8" ht="18.75" customHeight="1" x14ac:dyDescent="0.15">
      <c r="B111" s="236"/>
      <c r="C111" s="114" t="s">
        <v>219</v>
      </c>
      <c r="D111" s="238" t="s">
        <v>224</v>
      </c>
      <c r="E111" s="239"/>
      <c r="F111" s="239"/>
      <c r="G111" s="240"/>
      <c r="H111" s="117"/>
    </row>
    <row r="112" spans="2:8" ht="18.75" customHeight="1" x14ac:dyDescent="0.15">
      <c r="B112" s="236"/>
      <c r="C112" s="106" t="s">
        <v>220</v>
      </c>
      <c r="D112" s="238" t="s">
        <v>225</v>
      </c>
      <c r="E112" s="239"/>
      <c r="F112" s="239"/>
      <c r="G112" s="240"/>
      <c r="H112" s="117"/>
    </row>
    <row r="113" spans="1:8" ht="18.75" customHeight="1" x14ac:dyDescent="0.15">
      <c r="B113" s="236"/>
      <c r="C113" s="106" t="s">
        <v>221</v>
      </c>
      <c r="D113" s="137" t="s">
        <v>226</v>
      </c>
      <c r="E113" s="138"/>
      <c r="F113" s="138"/>
      <c r="G113" s="139"/>
      <c r="H113" s="117"/>
    </row>
    <row r="114" spans="1:8" ht="18.75" customHeight="1" x14ac:dyDescent="0.15">
      <c r="B114" s="236"/>
      <c r="C114" s="106"/>
      <c r="D114" s="123"/>
      <c r="E114" s="124"/>
      <c r="F114" s="124"/>
      <c r="G114" s="125"/>
      <c r="H114" s="117"/>
    </row>
    <row r="115" spans="1:8" ht="18.75" customHeight="1" x14ac:dyDescent="0.15">
      <c r="B115" s="236"/>
      <c r="C115" s="106"/>
      <c r="D115" s="123"/>
      <c r="E115" s="124"/>
      <c r="F115" s="124"/>
      <c r="G115" s="125"/>
      <c r="H115" s="117"/>
    </row>
    <row r="116" spans="1:8" ht="18.75" customHeight="1" x14ac:dyDescent="0.15">
      <c r="B116" s="236"/>
      <c r="C116" s="106"/>
      <c r="D116" s="123"/>
      <c r="E116" s="124"/>
      <c r="F116" s="124"/>
      <c r="G116" s="125"/>
      <c r="H116" s="117"/>
    </row>
    <row r="117" spans="1:8" ht="18.75" customHeight="1" x14ac:dyDescent="0.15">
      <c r="B117" s="236"/>
      <c r="C117" s="106"/>
      <c r="D117" s="123"/>
      <c r="E117" s="124"/>
      <c r="F117" s="124"/>
      <c r="G117" s="125"/>
      <c r="H117" s="117"/>
    </row>
    <row r="118" spans="1:8" ht="18.75" customHeight="1" x14ac:dyDescent="0.15">
      <c r="B118" s="236"/>
      <c r="C118" s="106"/>
      <c r="D118" s="123"/>
      <c r="E118" s="124"/>
      <c r="F118" s="124"/>
      <c r="G118" s="125"/>
      <c r="H118" s="117"/>
    </row>
    <row r="119" spans="1:8" ht="18.75" customHeight="1" x14ac:dyDescent="0.15">
      <c r="B119" s="236"/>
      <c r="C119" s="106"/>
      <c r="D119" s="123"/>
      <c r="E119" s="124"/>
      <c r="F119" s="124"/>
      <c r="G119" s="125"/>
      <c r="H119" s="117"/>
    </row>
    <row r="120" spans="1:8" ht="18.75" customHeight="1" x14ac:dyDescent="0.15">
      <c r="B120" s="236"/>
      <c r="C120" s="106"/>
      <c r="D120" s="123"/>
      <c r="E120" s="124"/>
      <c r="F120" s="124"/>
      <c r="G120" s="125"/>
      <c r="H120" s="117"/>
    </row>
    <row r="121" spans="1:8" ht="18.75" customHeight="1" x14ac:dyDescent="0.15">
      <c r="B121" s="236"/>
      <c r="C121" s="85"/>
      <c r="D121" s="123"/>
      <c r="E121" s="124"/>
      <c r="F121" s="124"/>
      <c r="G121" s="125"/>
      <c r="H121" s="117"/>
    </row>
    <row r="122" spans="1:8" ht="18.75" customHeight="1" x14ac:dyDescent="0.15">
      <c r="B122" s="237"/>
      <c r="C122" s="85"/>
      <c r="D122" s="123"/>
      <c r="E122" s="124"/>
      <c r="F122" s="124"/>
      <c r="G122" s="125"/>
      <c r="H122" s="117"/>
    </row>
    <row r="123" spans="1:8" ht="18.75" customHeight="1" x14ac:dyDescent="0.15">
      <c r="A123" s="44" t="s">
        <v>12</v>
      </c>
      <c r="B123" s="44" t="s">
        <v>106</v>
      </c>
    </row>
    <row r="124" spans="1:8" ht="22.5" customHeight="1" x14ac:dyDescent="0.15">
      <c r="B124" s="85" t="s">
        <v>74</v>
      </c>
      <c r="C124" s="133" t="s">
        <v>105</v>
      </c>
      <c r="D124" s="128"/>
      <c r="E124" s="128"/>
      <c r="F124" s="128"/>
      <c r="G124" s="129"/>
    </row>
    <row r="125" spans="1:8" ht="45" customHeight="1" x14ac:dyDescent="0.15">
      <c r="B125" s="87" t="s">
        <v>76</v>
      </c>
      <c r="C125" s="230" t="s">
        <v>227</v>
      </c>
      <c r="D125" s="144"/>
      <c r="E125" s="144"/>
      <c r="F125" s="144"/>
      <c r="G125" s="145"/>
    </row>
    <row r="126" spans="1:8" ht="45" customHeight="1" x14ac:dyDescent="0.15">
      <c r="B126" s="87" t="s">
        <v>77</v>
      </c>
      <c r="C126" s="143"/>
      <c r="D126" s="144"/>
      <c r="E126" s="144"/>
      <c r="F126" s="144"/>
      <c r="G126" s="145"/>
    </row>
    <row r="127" spans="1:8" ht="45" customHeight="1" x14ac:dyDescent="0.15">
      <c r="B127" s="87" t="s">
        <v>78</v>
      </c>
      <c r="C127" s="143" t="s">
        <v>168</v>
      </c>
      <c r="D127" s="144"/>
      <c r="E127" s="144"/>
      <c r="F127" s="144"/>
      <c r="G127" s="145"/>
    </row>
    <row r="128" spans="1:8" ht="45" customHeight="1" x14ac:dyDescent="0.15">
      <c r="B128" s="87" t="s">
        <v>79</v>
      </c>
      <c r="C128" s="229" t="s">
        <v>164</v>
      </c>
      <c r="D128" s="144"/>
      <c r="E128" s="144"/>
      <c r="F128" s="144"/>
      <c r="G128" s="145"/>
    </row>
    <row r="129" spans="1:7" ht="45" customHeight="1" x14ac:dyDescent="0.15">
      <c r="B129" s="87" t="s">
        <v>80</v>
      </c>
      <c r="C129" s="143"/>
      <c r="D129" s="144"/>
      <c r="E129" s="144"/>
      <c r="F129" s="144"/>
      <c r="G129" s="145"/>
    </row>
    <row r="130" spans="1:7" ht="45" customHeight="1" x14ac:dyDescent="0.15">
      <c r="B130" s="87" t="s">
        <v>81</v>
      </c>
      <c r="C130" s="143"/>
      <c r="D130" s="144"/>
      <c r="E130" s="144"/>
      <c r="F130" s="144"/>
      <c r="G130" s="145"/>
    </row>
    <row r="131" spans="1:7" ht="45" customHeight="1" x14ac:dyDescent="0.15">
      <c r="B131" s="87" t="s">
        <v>82</v>
      </c>
      <c r="C131" s="229" t="s">
        <v>199</v>
      </c>
      <c r="D131" s="144"/>
      <c r="E131" s="144"/>
      <c r="F131" s="144"/>
      <c r="G131" s="145"/>
    </row>
    <row r="132" spans="1:7" ht="45" customHeight="1" x14ac:dyDescent="0.15">
      <c r="B132" s="87" t="s">
        <v>83</v>
      </c>
      <c r="C132" s="143" t="s">
        <v>183</v>
      </c>
      <c r="D132" s="144"/>
      <c r="E132" s="144"/>
      <c r="F132" s="144"/>
      <c r="G132" s="145"/>
    </row>
    <row r="133" spans="1:7" ht="45" customHeight="1" x14ac:dyDescent="0.15">
      <c r="B133" s="87" t="s">
        <v>84</v>
      </c>
      <c r="C133" s="143"/>
      <c r="D133" s="144"/>
      <c r="E133" s="144"/>
      <c r="F133" s="144"/>
      <c r="G133" s="145"/>
    </row>
    <row r="134" spans="1:7" ht="7.5" customHeight="1" x14ac:dyDescent="0.15"/>
    <row r="135" spans="1:7" ht="18.75" customHeight="1" x14ac:dyDescent="0.15">
      <c r="A135" s="44" t="s">
        <v>99</v>
      </c>
      <c r="B135" s="44" t="s">
        <v>100</v>
      </c>
      <c r="E135" s="227" t="s">
        <v>228</v>
      </c>
      <c r="F135" s="228"/>
      <c r="G135" s="228"/>
    </row>
    <row r="136" spans="1:7" ht="7.5" customHeight="1" x14ac:dyDescent="0.15"/>
    <row r="137" spans="1:7" ht="18.75" customHeight="1" x14ac:dyDescent="0.15">
      <c r="A137" s="44" t="s">
        <v>101</v>
      </c>
      <c r="B137" s="44" t="s">
        <v>102</v>
      </c>
    </row>
    <row r="138" spans="1:7" ht="18.75" customHeight="1" x14ac:dyDescent="0.15">
      <c r="B138" s="218" t="s">
        <v>184</v>
      </c>
      <c r="C138" s="219"/>
      <c r="D138" s="219"/>
      <c r="E138" s="219"/>
      <c r="F138" s="219"/>
      <c r="G138" s="220"/>
    </row>
    <row r="139" spans="1:7" ht="18.75" customHeight="1" x14ac:dyDescent="0.15">
      <c r="B139" s="221"/>
      <c r="C139" s="222"/>
      <c r="D139" s="222"/>
      <c r="E139" s="222"/>
      <c r="F139" s="222"/>
      <c r="G139" s="223"/>
    </row>
    <row r="140" spans="1:7" ht="18.75" customHeight="1" x14ac:dyDescent="0.15">
      <c r="B140" s="221"/>
      <c r="C140" s="222"/>
      <c r="D140" s="222"/>
      <c r="E140" s="222"/>
      <c r="F140" s="222"/>
      <c r="G140" s="223"/>
    </row>
    <row r="141" spans="1:7" ht="18.75" customHeight="1" x14ac:dyDescent="0.15">
      <c r="B141" s="224"/>
      <c r="C141" s="225"/>
      <c r="D141" s="225"/>
      <c r="E141" s="225"/>
      <c r="F141" s="225"/>
      <c r="G141" s="226"/>
    </row>
    <row r="142" spans="1:7" ht="18.75" customHeight="1" x14ac:dyDescent="0.15"/>
    <row r="143" spans="1:7" ht="18.75" customHeight="1" x14ac:dyDescent="0.15"/>
    <row r="144" spans="1:7" ht="18.75" customHeight="1" x14ac:dyDescent="0.15"/>
    <row r="145" ht="18.75" customHeight="1" x14ac:dyDescent="0.15"/>
    <row r="146" ht="18.75" customHeight="1" x14ac:dyDescent="0.15"/>
    <row r="147" ht="18.75" customHeight="1" x14ac:dyDescent="0.15"/>
  </sheetData>
  <mergeCells count="117">
    <mergeCell ref="B99:B122"/>
    <mergeCell ref="D117:G117"/>
    <mergeCell ref="D118:G118"/>
    <mergeCell ref="D119:G119"/>
    <mergeCell ref="D120:G120"/>
    <mergeCell ref="D106:G106"/>
    <mergeCell ref="D107:G107"/>
    <mergeCell ref="D108:G108"/>
    <mergeCell ref="D109:G109"/>
    <mergeCell ref="D110:G110"/>
    <mergeCell ref="D111:G111"/>
    <mergeCell ref="B6:B27"/>
    <mergeCell ref="B28:B51"/>
    <mergeCell ref="D14:G14"/>
    <mergeCell ref="D15:G15"/>
    <mergeCell ref="D16:G16"/>
    <mergeCell ref="D17:G17"/>
    <mergeCell ref="D18:G18"/>
    <mergeCell ref="D47:G47"/>
    <mergeCell ref="D65:G65"/>
    <mergeCell ref="B52:B75"/>
    <mergeCell ref="D42:G42"/>
    <mergeCell ref="D43:G43"/>
    <mergeCell ref="D44:G44"/>
    <mergeCell ref="D45:G45"/>
    <mergeCell ref="D46:G46"/>
    <mergeCell ref="D48:G48"/>
    <mergeCell ref="D49:G49"/>
    <mergeCell ref="D50:G50"/>
    <mergeCell ref="D51:G51"/>
    <mergeCell ref="D35:G35"/>
    <mergeCell ref="C52:G52"/>
    <mergeCell ref="C53:G57"/>
    <mergeCell ref="D10:G10"/>
    <mergeCell ref="D12:G12"/>
    <mergeCell ref="B76:B98"/>
    <mergeCell ref="D121:G121"/>
    <mergeCell ref="D112:G112"/>
    <mergeCell ref="D62:G62"/>
    <mergeCell ref="D63:G63"/>
    <mergeCell ref="D73:G73"/>
    <mergeCell ref="D72:G72"/>
    <mergeCell ref="D97:G97"/>
    <mergeCell ref="D93:G93"/>
    <mergeCell ref="D94:G94"/>
    <mergeCell ref="D88:G88"/>
    <mergeCell ref="D90:G90"/>
    <mergeCell ref="D91:G91"/>
    <mergeCell ref="D92:G92"/>
    <mergeCell ref="D85:G85"/>
    <mergeCell ref="D86:G86"/>
    <mergeCell ref="D87:G87"/>
    <mergeCell ref="D96:G96"/>
    <mergeCell ref="D95:G95"/>
    <mergeCell ref="D113:G113"/>
    <mergeCell ref="D114:G114"/>
    <mergeCell ref="D115:G115"/>
    <mergeCell ref="D116:G116"/>
    <mergeCell ref="D84:G84"/>
    <mergeCell ref="A3:G3"/>
    <mergeCell ref="C5:G5"/>
    <mergeCell ref="C6:G9"/>
    <mergeCell ref="B138:G141"/>
    <mergeCell ref="E135:G135"/>
    <mergeCell ref="C124:G124"/>
    <mergeCell ref="C130:G130"/>
    <mergeCell ref="C131:G131"/>
    <mergeCell ref="C132:G132"/>
    <mergeCell ref="C133:G133"/>
    <mergeCell ref="C125:G125"/>
    <mergeCell ref="C126:G126"/>
    <mergeCell ref="C127:G127"/>
    <mergeCell ref="C128:G128"/>
    <mergeCell ref="C129:G129"/>
    <mergeCell ref="D36:G36"/>
    <mergeCell ref="D37:G37"/>
    <mergeCell ref="D38:G38"/>
    <mergeCell ref="D39:G39"/>
    <mergeCell ref="D40:G40"/>
    <mergeCell ref="D41:G41"/>
    <mergeCell ref="C28:G28"/>
    <mergeCell ref="C29:G33"/>
    <mergeCell ref="D34:G34"/>
    <mergeCell ref="C76:G76"/>
    <mergeCell ref="C77:G81"/>
    <mergeCell ref="D82:G82"/>
    <mergeCell ref="D98:G98"/>
    <mergeCell ref="C99:G99"/>
    <mergeCell ref="C100:G104"/>
    <mergeCell ref="D105:G105"/>
    <mergeCell ref="D122:G122"/>
    <mergeCell ref="D58:G58"/>
    <mergeCell ref="D74:G74"/>
    <mergeCell ref="D75:G75"/>
    <mergeCell ref="D70:G70"/>
    <mergeCell ref="D71:G71"/>
    <mergeCell ref="D64:G64"/>
    <mergeCell ref="D67:G67"/>
    <mergeCell ref="D68:G68"/>
    <mergeCell ref="D69:G69"/>
    <mergeCell ref="D61:G61"/>
    <mergeCell ref="D60:G60"/>
    <mergeCell ref="D59:G59"/>
    <mergeCell ref="D89:G89"/>
    <mergeCell ref="D83:G83"/>
    <mergeCell ref="D66:G66"/>
    <mergeCell ref="D11:G11"/>
    <mergeCell ref="D13:G13"/>
    <mergeCell ref="D27:G27"/>
    <mergeCell ref="D26:G26"/>
    <mergeCell ref="D19:G19"/>
    <mergeCell ref="D20:G20"/>
    <mergeCell ref="D24:G24"/>
    <mergeCell ref="D25:G25"/>
    <mergeCell ref="D21:G21"/>
    <mergeCell ref="D22:G22"/>
    <mergeCell ref="D23:G23"/>
  </mergeCells>
  <phoneticPr fontId="6"/>
  <hyperlinks>
    <hyperlink ref="E135" r:id="rId1"/>
  </hyperlinks>
  <printOptions horizontalCentered="1"/>
  <pageMargins left="0.78740157480314998" right="0.78740157480314998" top="0.59055118110236204" bottom="0.39370078740157499" header="0.31496062992126" footer="0.31496062992126"/>
  <pageSetup paperSize="9" scale="67" orientation="portrait" r:id="rId2"/>
  <rowBreaks count="2" manualBreakCount="2">
    <brk id="51" max="6" man="1"/>
    <brk id="98"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view="pageBreakPreview" zoomScale="119" zoomScaleNormal="100" zoomScaleSheetLayoutView="119" workbookViewId="0">
      <selection activeCell="B31" sqref="B31:E46"/>
    </sheetView>
  </sheetViews>
  <sheetFormatPr defaultColWidth="11.375" defaultRowHeight="18.75" customHeight="1" x14ac:dyDescent="0.15"/>
  <cols>
    <col min="1" max="1" width="2.625" style="2" customWidth="1"/>
    <col min="2" max="2" width="54.125" style="89" customWidth="1"/>
    <col min="3" max="3" width="1.125" style="89" customWidth="1"/>
    <col min="4" max="4" width="22.5" style="89" customWidth="1"/>
    <col min="5" max="5" width="6.125" style="89" customWidth="1"/>
    <col min="6" max="16384" width="11.375" style="89"/>
  </cols>
  <sheetData>
    <row r="1" spans="1:5" ht="18.75" customHeight="1" x14ac:dyDescent="0.15">
      <c r="E1" s="90" t="s">
        <v>107</v>
      </c>
    </row>
    <row r="2" spans="1:5" ht="18.75" customHeight="1" x14ac:dyDescent="0.15">
      <c r="B2" s="90" t="s">
        <v>88</v>
      </c>
      <c r="C2" s="90" t="s">
        <v>8</v>
      </c>
      <c r="D2" s="257" t="s">
        <v>157</v>
      </c>
      <c r="E2" s="257"/>
    </row>
    <row r="3" spans="1:5" ht="7.5" customHeight="1" x14ac:dyDescent="0.15">
      <c r="B3" s="90"/>
      <c r="C3" s="90"/>
      <c r="D3" s="91"/>
      <c r="E3" s="91"/>
    </row>
    <row r="4" spans="1:5" ht="18.75" customHeight="1" x14ac:dyDescent="0.15">
      <c r="B4" s="258" t="s">
        <v>85</v>
      </c>
      <c r="C4" s="258"/>
      <c r="D4" s="258"/>
      <c r="E4" s="258"/>
    </row>
    <row r="5" spans="1:5" ht="7.5" customHeight="1" x14ac:dyDescent="0.15">
      <c r="B5" s="91"/>
      <c r="C5" s="91"/>
      <c r="D5" s="91"/>
      <c r="E5" s="91"/>
    </row>
    <row r="6" spans="1:5" ht="18.75" customHeight="1" x14ac:dyDescent="0.15">
      <c r="A6" s="92" t="s">
        <v>7</v>
      </c>
      <c r="B6" s="93" t="s">
        <v>98</v>
      </c>
      <c r="C6" s="91"/>
      <c r="D6" s="91"/>
      <c r="E6" s="91"/>
    </row>
    <row r="7" spans="1:5" ht="18.75" customHeight="1" x14ac:dyDescent="0.15">
      <c r="A7" s="92"/>
      <c r="B7" s="268" t="s">
        <v>185</v>
      </c>
      <c r="C7" s="269"/>
      <c r="D7" s="269"/>
      <c r="E7" s="270"/>
    </row>
    <row r="8" spans="1:5" ht="7.5" customHeight="1" x14ac:dyDescent="0.15">
      <c r="B8" s="91"/>
      <c r="C8" s="91"/>
      <c r="D8" s="91"/>
      <c r="E8" s="91"/>
    </row>
    <row r="9" spans="1:5" s="93" customFormat="1" ht="18.75" customHeight="1" x14ac:dyDescent="0.15">
      <c r="A9" s="92" t="s">
        <v>12</v>
      </c>
      <c r="B9" s="92" t="s">
        <v>46</v>
      </c>
      <c r="C9" s="92"/>
      <c r="D9" s="92"/>
      <c r="E9" s="92"/>
    </row>
    <row r="10" spans="1:5" ht="18.75" customHeight="1" x14ac:dyDescent="0.15">
      <c r="A10" s="94"/>
      <c r="B10" s="247" t="s">
        <v>186</v>
      </c>
      <c r="C10" s="248"/>
      <c r="D10" s="248"/>
      <c r="E10" s="249"/>
    </row>
    <row r="11" spans="1:5" ht="18.75" customHeight="1" x14ac:dyDescent="0.15">
      <c r="A11" s="94"/>
      <c r="B11" s="250"/>
      <c r="C11" s="251"/>
      <c r="D11" s="251"/>
      <c r="E11" s="252"/>
    </row>
    <row r="12" spans="1:5" ht="18.75" customHeight="1" x14ac:dyDescent="0.15">
      <c r="A12" s="94"/>
      <c r="B12" s="250"/>
      <c r="C12" s="251"/>
      <c r="D12" s="251"/>
      <c r="E12" s="252"/>
    </row>
    <row r="13" spans="1:5" ht="18.75" customHeight="1" x14ac:dyDescent="0.15">
      <c r="A13" s="94"/>
      <c r="B13" s="250"/>
      <c r="C13" s="251"/>
      <c r="D13" s="251"/>
      <c r="E13" s="252"/>
    </row>
    <row r="14" spans="1:5" ht="18.75" customHeight="1" x14ac:dyDescent="0.15">
      <c r="A14" s="94"/>
      <c r="B14" s="253"/>
      <c r="C14" s="254"/>
      <c r="D14" s="254"/>
      <c r="E14" s="255"/>
    </row>
    <row r="15" spans="1:5" ht="7.5" customHeight="1" x14ac:dyDescent="0.15">
      <c r="A15" s="94"/>
      <c r="B15" s="94"/>
      <c r="C15" s="94"/>
      <c r="D15" s="94"/>
      <c r="E15" s="94"/>
    </row>
    <row r="16" spans="1:5" s="93" customFormat="1" ht="18.75" customHeight="1" x14ac:dyDescent="0.15">
      <c r="A16" s="95" t="s">
        <v>13</v>
      </c>
      <c r="B16" s="95" t="s">
        <v>19</v>
      </c>
      <c r="C16" s="95"/>
      <c r="D16" s="95"/>
      <c r="E16" s="95"/>
    </row>
    <row r="17" spans="1:5" ht="18.75" customHeight="1" x14ac:dyDescent="0.15">
      <c r="A17" s="94"/>
      <c r="B17" s="247" t="s">
        <v>187</v>
      </c>
      <c r="C17" s="248"/>
      <c r="D17" s="248"/>
      <c r="E17" s="249"/>
    </row>
    <row r="18" spans="1:5" ht="18.75" customHeight="1" x14ac:dyDescent="0.15">
      <c r="A18" s="94"/>
      <c r="B18" s="250"/>
      <c r="C18" s="251"/>
      <c r="D18" s="251"/>
      <c r="E18" s="252"/>
    </row>
    <row r="19" spans="1:5" ht="18.75" customHeight="1" x14ac:dyDescent="0.15">
      <c r="A19" s="94"/>
      <c r="B19" s="250"/>
      <c r="C19" s="251"/>
      <c r="D19" s="251"/>
      <c r="E19" s="252"/>
    </row>
    <row r="20" spans="1:5" ht="18.75" customHeight="1" x14ac:dyDescent="0.15">
      <c r="A20" s="94"/>
      <c r="B20" s="250"/>
      <c r="C20" s="251"/>
      <c r="D20" s="251"/>
      <c r="E20" s="252"/>
    </row>
    <row r="21" spans="1:5" ht="18.75" customHeight="1" x14ac:dyDescent="0.15">
      <c r="A21" s="94"/>
      <c r="B21" s="250"/>
      <c r="C21" s="251"/>
      <c r="D21" s="251"/>
      <c r="E21" s="252"/>
    </row>
    <row r="22" spans="1:5" ht="18.75" customHeight="1" x14ac:dyDescent="0.15">
      <c r="A22" s="94"/>
      <c r="B22" s="250"/>
      <c r="C22" s="251"/>
      <c r="D22" s="251"/>
      <c r="E22" s="252"/>
    </row>
    <row r="23" spans="1:5" ht="18.75" customHeight="1" x14ac:dyDescent="0.15">
      <c r="A23" s="94"/>
      <c r="B23" s="250"/>
      <c r="C23" s="251"/>
      <c r="D23" s="251"/>
      <c r="E23" s="252"/>
    </row>
    <row r="24" spans="1:5" ht="18.75" customHeight="1" x14ac:dyDescent="0.15">
      <c r="A24" s="94"/>
      <c r="B24" s="250"/>
      <c r="C24" s="251"/>
      <c r="D24" s="251"/>
      <c r="E24" s="252"/>
    </row>
    <row r="25" spans="1:5" ht="18.75" customHeight="1" x14ac:dyDescent="0.15">
      <c r="A25" s="94"/>
      <c r="B25" s="250"/>
      <c r="C25" s="251"/>
      <c r="D25" s="251"/>
      <c r="E25" s="252"/>
    </row>
    <row r="26" spans="1:5" ht="18.75" customHeight="1" x14ac:dyDescent="0.15">
      <c r="A26" s="94"/>
      <c r="B26" s="250"/>
      <c r="C26" s="251"/>
      <c r="D26" s="251"/>
      <c r="E26" s="252"/>
    </row>
    <row r="27" spans="1:5" ht="18.75" customHeight="1" x14ac:dyDescent="0.15">
      <c r="A27" s="94"/>
      <c r="B27" s="250"/>
      <c r="C27" s="251"/>
      <c r="D27" s="251"/>
      <c r="E27" s="252"/>
    </row>
    <row r="28" spans="1:5" ht="18.75" customHeight="1" x14ac:dyDescent="0.15">
      <c r="A28" s="94"/>
      <c r="B28" s="253"/>
      <c r="C28" s="254"/>
      <c r="D28" s="254"/>
      <c r="E28" s="255"/>
    </row>
    <row r="29" spans="1:5" ht="7.5" customHeight="1" x14ac:dyDescent="0.15">
      <c r="A29" s="5"/>
      <c r="B29" s="5"/>
      <c r="C29" s="5"/>
      <c r="D29" s="5"/>
      <c r="E29" s="5"/>
    </row>
    <row r="30" spans="1:5" s="93" customFormat="1" ht="18.75" customHeight="1" x14ac:dyDescent="0.15">
      <c r="A30" s="92" t="s">
        <v>17</v>
      </c>
      <c r="B30" s="92" t="s">
        <v>30</v>
      </c>
      <c r="C30" s="92"/>
      <c r="D30" s="92"/>
      <c r="E30" s="92"/>
    </row>
    <row r="31" spans="1:5" s="93" customFormat="1" ht="18.75" customHeight="1" x14ac:dyDescent="0.15">
      <c r="A31" s="92"/>
      <c r="B31" s="259" t="s">
        <v>200</v>
      </c>
      <c r="C31" s="248"/>
      <c r="D31" s="248"/>
      <c r="E31" s="249"/>
    </row>
    <row r="32" spans="1:5" s="93" customFormat="1" ht="18.75" customHeight="1" x14ac:dyDescent="0.15">
      <c r="A32" s="92"/>
      <c r="B32" s="250"/>
      <c r="C32" s="251"/>
      <c r="D32" s="251"/>
      <c r="E32" s="252"/>
    </row>
    <row r="33" spans="1:5" s="93" customFormat="1" ht="18.75" customHeight="1" x14ac:dyDescent="0.15">
      <c r="A33" s="92"/>
      <c r="B33" s="250"/>
      <c r="C33" s="251"/>
      <c r="D33" s="251"/>
      <c r="E33" s="252"/>
    </row>
    <row r="34" spans="1:5" s="93" customFormat="1" ht="18.75" customHeight="1" x14ac:dyDescent="0.15">
      <c r="A34" s="92"/>
      <c r="B34" s="250"/>
      <c r="C34" s="251"/>
      <c r="D34" s="251"/>
      <c r="E34" s="252"/>
    </row>
    <row r="35" spans="1:5" s="93" customFormat="1" ht="18.75" customHeight="1" x14ac:dyDescent="0.15">
      <c r="A35" s="92"/>
      <c r="B35" s="250"/>
      <c r="C35" s="251"/>
      <c r="D35" s="251"/>
      <c r="E35" s="252"/>
    </row>
    <row r="36" spans="1:5" s="93" customFormat="1" ht="18.75" customHeight="1" x14ac:dyDescent="0.15">
      <c r="A36" s="92"/>
      <c r="B36" s="250"/>
      <c r="C36" s="251"/>
      <c r="D36" s="251"/>
      <c r="E36" s="252"/>
    </row>
    <row r="37" spans="1:5" s="93" customFormat="1" ht="18.75" customHeight="1" x14ac:dyDescent="0.15">
      <c r="A37" s="92"/>
      <c r="B37" s="250"/>
      <c r="C37" s="251"/>
      <c r="D37" s="251"/>
      <c r="E37" s="252"/>
    </row>
    <row r="38" spans="1:5" s="93" customFormat="1" ht="18.75" customHeight="1" x14ac:dyDescent="0.15">
      <c r="A38" s="92"/>
      <c r="B38" s="250"/>
      <c r="C38" s="251"/>
      <c r="D38" s="251"/>
      <c r="E38" s="252"/>
    </row>
    <row r="39" spans="1:5" s="93" customFormat="1" ht="18.75" customHeight="1" x14ac:dyDescent="0.15">
      <c r="A39" s="92"/>
      <c r="B39" s="250"/>
      <c r="C39" s="251"/>
      <c r="D39" s="251"/>
      <c r="E39" s="252"/>
    </row>
    <row r="40" spans="1:5" s="93" customFormat="1" ht="18.75" customHeight="1" x14ac:dyDescent="0.15">
      <c r="A40" s="92"/>
      <c r="B40" s="250"/>
      <c r="C40" s="251"/>
      <c r="D40" s="251"/>
      <c r="E40" s="252"/>
    </row>
    <row r="41" spans="1:5" s="93" customFormat="1" ht="18.75" customHeight="1" x14ac:dyDescent="0.15">
      <c r="A41" s="92"/>
      <c r="B41" s="250"/>
      <c r="C41" s="251"/>
      <c r="D41" s="251"/>
      <c r="E41" s="252"/>
    </row>
    <row r="42" spans="1:5" s="93" customFormat="1" ht="18.75" customHeight="1" x14ac:dyDescent="0.15">
      <c r="A42" s="92"/>
      <c r="B42" s="250"/>
      <c r="C42" s="251"/>
      <c r="D42" s="251"/>
      <c r="E42" s="252"/>
    </row>
    <row r="43" spans="1:5" s="93" customFormat="1" ht="18.75" customHeight="1" x14ac:dyDescent="0.15">
      <c r="A43" s="92"/>
      <c r="B43" s="250"/>
      <c r="C43" s="251"/>
      <c r="D43" s="251"/>
      <c r="E43" s="252"/>
    </row>
    <row r="44" spans="1:5" s="93" customFormat="1" ht="18.75" customHeight="1" x14ac:dyDescent="0.15">
      <c r="A44" s="92"/>
      <c r="B44" s="250"/>
      <c r="C44" s="251"/>
      <c r="D44" s="251"/>
      <c r="E44" s="252"/>
    </row>
    <row r="45" spans="1:5" ht="18.75" customHeight="1" x14ac:dyDescent="0.15">
      <c r="A45" s="5"/>
      <c r="B45" s="250"/>
      <c r="C45" s="251"/>
      <c r="D45" s="251"/>
      <c r="E45" s="252"/>
    </row>
    <row r="46" spans="1:5" ht="18.75" customHeight="1" x14ac:dyDescent="0.15">
      <c r="A46" s="5"/>
      <c r="B46" s="253"/>
      <c r="C46" s="254"/>
      <c r="D46" s="254"/>
      <c r="E46" s="255"/>
    </row>
    <row r="47" spans="1:5" s="93" customFormat="1" ht="18.75" customHeight="1" x14ac:dyDescent="0.15">
      <c r="A47" s="95" t="s">
        <v>14</v>
      </c>
      <c r="B47" s="92" t="s">
        <v>86</v>
      </c>
      <c r="C47" s="95"/>
      <c r="D47" s="95"/>
      <c r="E47" s="95"/>
    </row>
    <row r="48" spans="1:5" ht="18.75" customHeight="1" x14ac:dyDescent="0.15">
      <c r="A48" s="5"/>
      <c r="B48" s="247" t="s">
        <v>188</v>
      </c>
      <c r="C48" s="260"/>
      <c r="D48" s="260"/>
      <c r="E48" s="261"/>
    </row>
    <row r="49" spans="1:5" ht="18.75" customHeight="1" x14ac:dyDescent="0.15">
      <c r="A49" s="5"/>
      <c r="B49" s="262"/>
      <c r="C49" s="263"/>
      <c r="D49" s="263"/>
      <c r="E49" s="264"/>
    </row>
    <row r="50" spans="1:5" ht="18.75" customHeight="1" x14ac:dyDescent="0.15">
      <c r="A50" s="5"/>
      <c r="B50" s="262"/>
      <c r="C50" s="263"/>
      <c r="D50" s="263"/>
      <c r="E50" s="264"/>
    </row>
    <row r="51" spans="1:5" ht="18.75" customHeight="1" x14ac:dyDescent="0.15">
      <c r="A51" s="5"/>
      <c r="B51" s="262"/>
      <c r="C51" s="263"/>
      <c r="D51" s="263"/>
      <c r="E51" s="264"/>
    </row>
    <row r="52" spans="1:5" ht="18.75" customHeight="1" x14ac:dyDescent="0.15">
      <c r="A52" s="5"/>
      <c r="B52" s="262"/>
      <c r="C52" s="263"/>
      <c r="D52" s="263"/>
      <c r="E52" s="264"/>
    </row>
    <row r="53" spans="1:5" ht="18.75" customHeight="1" x14ac:dyDescent="0.15">
      <c r="A53" s="5"/>
      <c r="B53" s="262"/>
      <c r="C53" s="263"/>
      <c r="D53" s="263"/>
      <c r="E53" s="264"/>
    </row>
    <row r="54" spans="1:5" ht="18.75" customHeight="1" x14ac:dyDescent="0.15">
      <c r="A54" s="5"/>
      <c r="B54" s="262"/>
      <c r="C54" s="263"/>
      <c r="D54" s="263"/>
      <c r="E54" s="264"/>
    </row>
    <row r="55" spans="1:5" ht="18.75" customHeight="1" x14ac:dyDescent="0.15">
      <c r="A55" s="5"/>
      <c r="B55" s="262"/>
      <c r="C55" s="263"/>
      <c r="D55" s="263"/>
      <c r="E55" s="264"/>
    </row>
    <row r="56" spans="1:5" ht="18.75" customHeight="1" x14ac:dyDescent="0.15">
      <c r="A56" s="5"/>
      <c r="B56" s="262"/>
      <c r="C56" s="263"/>
      <c r="D56" s="263"/>
      <c r="E56" s="264"/>
    </row>
    <row r="57" spans="1:5" ht="18.75" customHeight="1" x14ac:dyDescent="0.15">
      <c r="A57" s="5"/>
      <c r="B57" s="262"/>
      <c r="C57" s="263"/>
      <c r="D57" s="263"/>
      <c r="E57" s="264"/>
    </row>
    <row r="58" spans="1:5" ht="18.75" customHeight="1" x14ac:dyDescent="0.15">
      <c r="A58" s="5"/>
      <c r="B58" s="262"/>
      <c r="C58" s="263"/>
      <c r="D58" s="263"/>
      <c r="E58" s="264"/>
    </row>
    <row r="59" spans="1:5" ht="18.75" customHeight="1" x14ac:dyDescent="0.15">
      <c r="A59" s="5"/>
      <c r="B59" s="262"/>
      <c r="C59" s="263"/>
      <c r="D59" s="263"/>
      <c r="E59" s="264"/>
    </row>
    <row r="60" spans="1:5" ht="18.75" customHeight="1" x14ac:dyDescent="0.15">
      <c r="A60" s="5"/>
      <c r="B60" s="262"/>
      <c r="C60" s="263"/>
      <c r="D60" s="263"/>
      <c r="E60" s="264"/>
    </row>
    <row r="61" spans="1:5" ht="18.75" customHeight="1" x14ac:dyDescent="0.15">
      <c r="A61" s="5"/>
      <c r="B61" s="262"/>
      <c r="C61" s="263"/>
      <c r="D61" s="263"/>
      <c r="E61" s="264"/>
    </row>
    <row r="62" spans="1:5" ht="18.75" customHeight="1" x14ac:dyDescent="0.15">
      <c r="A62" s="5"/>
      <c r="B62" s="262"/>
      <c r="C62" s="263"/>
      <c r="D62" s="263"/>
      <c r="E62" s="264"/>
    </row>
    <row r="63" spans="1:5" ht="18.75" customHeight="1" x14ac:dyDescent="0.15">
      <c r="A63" s="5"/>
      <c r="B63" s="262"/>
      <c r="C63" s="263"/>
      <c r="D63" s="263"/>
      <c r="E63" s="264"/>
    </row>
    <row r="64" spans="1:5" ht="18.75" customHeight="1" x14ac:dyDescent="0.15">
      <c r="A64" s="5"/>
      <c r="B64" s="262"/>
      <c r="C64" s="263"/>
      <c r="D64" s="263"/>
      <c r="E64" s="264"/>
    </row>
    <row r="65" spans="1:5" ht="18.75" customHeight="1" x14ac:dyDescent="0.15">
      <c r="A65" s="5"/>
      <c r="B65" s="262"/>
      <c r="C65" s="263"/>
      <c r="D65" s="263"/>
      <c r="E65" s="264"/>
    </row>
    <row r="66" spans="1:5" ht="18.75" customHeight="1" x14ac:dyDescent="0.15">
      <c r="A66" s="5"/>
      <c r="B66" s="262"/>
      <c r="C66" s="263"/>
      <c r="D66" s="263"/>
      <c r="E66" s="264"/>
    </row>
    <row r="67" spans="1:5" ht="18.75" customHeight="1" x14ac:dyDescent="0.15">
      <c r="A67" s="5"/>
      <c r="B67" s="262"/>
      <c r="C67" s="263"/>
      <c r="D67" s="263"/>
      <c r="E67" s="264"/>
    </row>
    <row r="68" spans="1:5" ht="18.75" customHeight="1" x14ac:dyDescent="0.15">
      <c r="A68" s="5"/>
      <c r="B68" s="265"/>
      <c r="C68" s="266"/>
      <c r="D68" s="266"/>
      <c r="E68" s="267"/>
    </row>
    <row r="69" spans="1:5" ht="7.5" customHeight="1" x14ac:dyDescent="0.15">
      <c r="A69" s="5"/>
      <c r="B69" s="5"/>
      <c r="C69" s="5"/>
      <c r="D69" s="5"/>
      <c r="E69" s="5"/>
    </row>
    <row r="70" spans="1:5" s="93" customFormat="1" ht="18.75" customHeight="1" x14ac:dyDescent="0.15">
      <c r="A70" s="92" t="s">
        <v>18</v>
      </c>
      <c r="B70" s="92" t="s">
        <v>97</v>
      </c>
      <c r="C70" s="92"/>
      <c r="D70" s="92"/>
      <c r="E70" s="92"/>
    </row>
    <row r="71" spans="1:5" s="93" customFormat="1" ht="18.75" customHeight="1" x14ac:dyDescent="0.15">
      <c r="A71" s="92"/>
      <c r="B71" s="247" t="s">
        <v>189</v>
      </c>
      <c r="C71" s="248"/>
      <c r="D71" s="248"/>
      <c r="E71" s="249"/>
    </row>
    <row r="72" spans="1:5" s="93" customFormat="1" ht="18.75" customHeight="1" x14ac:dyDescent="0.15">
      <c r="A72" s="92"/>
      <c r="B72" s="250"/>
      <c r="C72" s="251"/>
      <c r="D72" s="251"/>
      <c r="E72" s="252"/>
    </row>
    <row r="73" spans="1:5" s="93" customFormat="1" ht="18.75" customHeight="1" x14ac:dyDescent="0.15">
      <c r="A73" s="92"/>
      <c r="B73" s="250"/>
      <c r="C73" s="251"/>
      <c r="D73" s="251"/>
      <c r="E73" s="252"/>
    </row>
    <row r="74" spans="1:5" s="93" customFormat="1" ht="18.75" customHeight="1" x14ac:dyDescent="0.15">
      <c r="A74" s="92"/>
      <c r="B74" s="250"/>
      <c r="C74" s="251"/>
      <c r="D74" s="251"/>
      <c r="E74" s="252"/>
    </row>
    <row r="75" spans="1:5" s="93" customFormat="1" ht="18.75" customHeight="1" x14ac:dyDescent="0.15">
      <c r="A75" s="92"/>
      <c r="B75" s="250"/>
      <c r="C75" s="251"/>
      <c r="D75" s="251"/>
      <c r="E75" s="252"/>
    </row>
    <row r="76" spans="1:5" s="93" customFormat="1" ht="18.75" customHeight="1" x14ac:dyDescent="0.15">
      <c r="A76" s="92"/>
      <c r="B76" s="250"/>
      <c r="C76" s="251"/>
      <c r="D76" s="251"/>
      <c r="E76" s="252"/>
    </row>
    <row r="77" spans="1:5" s="93" customFormat="1" ht="18.75" customHeight="1" x14ac:dyDescent="0.15">
      <c r="A77" s="92"/>
      <c r="B77" s="250"/>
      <c r="C77" s="251"/>
      <c r="D77" s="251"/>
      <c r="E77" s="252"/>
    </row>
    <row r="78" spans="1:5" s="93" customFormat="1" ht="18.75" customHeight="1" x14ac:dyDescent="0.15">
      <c r="A78" s="92"/>
      <c r="B78" s="250"/>
      <c r="C78" s="251"/>
      <c r="D78" s="251"/>
      <c r="E78" s="252"/>
    </row>
    <row r="79" spans="1:5" s="93" customFormat="1" ht="18.75" customHeight="1" x14ac:dyDescent="0.15">
      <c r="A79" s="92"/>
      <c r="B79" s="250"/>
      <c r="C79" s="251"/>
      <c r="D79" s="251"/>
      <c r="E79" s="252"/>
    </row>
    <row r="80" spans="1:5" s="93" customFormat="1" ht="18.75" customHeight="1" x14ac:dyDescent="0.15">
      <c r="A80" s="92"/>
      <c r="B80" s="250"/>
      <c r="C80" s="251"/>
      <c r="D80" s="251"/>
      <c r="E80" s="252"/>
    </row>
    <row r="81" spans="1:5" s="93" customFormat="1" ht="18.75" customHeight="1" x14ac:dyDescent="0.15">
      <c r="A81" s="92"/>
      <c r="B81" s="250"/>
      <c r="C81" s="251"/>
      <c r="D81" s="251"/>
      <c r="E81" s="252"/>
    </row>
    <row r="82" spans="1:5" s="93" customFormat="1" ht="18.75" customHeight="1" x14ac:dyDescent="0.15">
      <c r="A82" s="92"/>
      <c r="B82" s="250"/>
      <c r="C82" s="251"/>
      <c r="D82" s="251"/>
      <c r="E82" s="252"/>
    </row>
    <row r="83" spans="1:5" s="93" customFormat="1" ht="18.75" customHeight="1" x14ac:dyDescent="0.15">
      <c r="A83" s="92"/>
      <c r="B83" s="250"/>
      <c r="C83" s="251"/>
      <c r="D83" s="251"/>
      <c r="E83" s="252"/>
    </row>
    <row r="84" spans="1:5" s="93" customFormat="1" ht="18.75" customHeight="1" x14ac:dyDescent="0.15">
      <c r="A84" s="92"/>
      <c r="B84" s="250"/>
      <c r="C84" s="251"/>
      <c r="D84" s="251"/>
      <c r="E84" s="252"/>
    </row>
    <row r="85" spans="1:5" s="93" customFormat="1" ht="18.75" customHeight="1" x14ac:dyDescent="0.15">
      <c r="A85" s="92"/>
      <c r="B85" s="250"/>
      <c r="C85" s="251"/>
      <c r="D85" s="251"/>
      <c r="E85" s="252"/>
    </row>
    <row r="86" spans="1:5" s="93" customFormat="1" ht="18.75" customHeight="1" x14ac:dyDescent="0.15">
      <c r="A86" s="92"/>
      <c r="B86" s="250"/>
      <c r="C86" s="251"/>
      <c r="D86" s="251"/>
      <c r="E86" s="252"/>
    </row>
    <row r="87" spans="1:5" s="93" customFormat="1" ht="18.75" customHeight="1" x14ac:dyDescent="0.15">
      <c r="A87" s="92"/>
      <c r="B87" s="250"/>
      <c r="C87" s="251"/>
      <c r="D87" s="251"/>
      <c r="E87" s="252"/>
    </row>
    <row r="88" spans="1:5" ht="18.75" customHeight="1" x14ac:dyDescent="0.15">
      <c r="A88" s="5"/>
      <c r="B88" s="250"/>
      <c r="C88" s="251"/>
      <c r="D88" s="251"/>
      <c r="E88" s="252"/>
    </row>
    <row r="89" spans="1:5" ht="18.75" customHeight="1" x14ac:dyDescent="0.15">
      <c r="A89" s="5"/>
      <c r="B89" s="253"/>
      <c r="C89" s="254"/>
      <c r="D89" s="254"/>
      <c r="E89" s="255"/>
    </row>
    <row r="90" spans="1:5" ht="7.5" customHeight="1" x14ac:dyDescent="0.15">
      <c r="A90" s="5"/>
      <c r="B90" s="5"/>
      <c r="C90" s="5"/>
      <c r="D90" s="5"/>
      <c r="E90" s="5"/>
    </row>
    <row r="91" spans="1:5" s="93" customFormat="1" ht="18.75" customHeight="1" x14ac:dyDescent="0.15">
      <c r="A91" s="92" t="s">
        <v>15</v>
      </c>
      <c r="B91" s="92" t="s">
        <v>34</v>
      </c>
      <c r="C91" s="92"/>
      <c r="D91" s="92"/>
      <c r="E91" s="92"/>
    </row>
    <row r="92" spans="1:5" s="93" customFormat="1" ht="18.75" customHeight="1" x14ac:dyDescent="0.15">
      <c r="A92" s="92"/>
      <c r="B92" s="247" t="s">
        <v>190</v>
      </c>
      <c r="C92" s="248"/>
      <c r="D92" s="248"/>
      <c r="E92" s="249"/>
    </row>
    <row r="93" spans="1:5" s="93" customFormat="1" ht="18.75" customHeight="1" x14ac:dyDescent="0.15">
      <c r="A93" s="92"/>
      <c r="B93" s="250"/>
      <c r="C93" s="251"/>
      <c r="D93" s="251"/>
      <c r="E93" s="252"/>
    </row>
    <row r="94" spans="1:5" s="93" customFormat="1" ht="18.75" customHeight="1" x14ac:dyDescent="0.15">
      <c r="A94" s="92"/>
      <c r="B94" s="250"/>
      <c r="C94" s="251"/>
      <c r="D94" s="251"/>
      <c r="E94" s="252"/>
    </row>
    <row r="95" spans="1:5" s="93" customFormat="1" ht="18.75" customHeight="1" x14ac:dyDescent="0.15">
      <c r="A95" s="92"/>
      <c r="B95" s="250"/>
      <c r="C95" s="251"/>
      <c r="D95" s="251"/>
      <c r="E95" s="252"/>
    </row>
    <row r="96" spans="1:5" s="93" customFormat="1" ht="18.75" customHeight="1" x14ac:dyDescent="0.15">
      <c r="A96" s="92"/>
      <c r="B96" s="250"/>
      <c r="C96" s="251"/>
      <c r="D96" s="251"/>
      <c r="E96" s="252"/>
    </row>
    <row r="97" spans="1:5" s="93" customFormat="1" ht="18.75" customHeight="1" x14ac:dyDescent="0.15">
      <c r="A97" s="92"/>
      <c r="B97" s="250"/>
      <c r="C97" s="251"/>
      <c r="D97" s="251"/>
      <c r="E97" s="252"/>
    </row>
    <row r="98" spans="1:5" s="93" customFormat="1" ht="18.75" customHeight="1" x14ac:dyDescent="0.15">
      <c r="A98" s="92"/>
      <c r="B98" s="250"/>
      <c r="C98" s="251"/>
      <c r="D98" s="251"/>
      <c r="E98" s="252"/>
    </row>
    <row r="99" spans="1:5" s="93" customFormat="1" ht="18.75" customHeight="1" x14ac:dyDescent="0.15">
      <c r="A99" s="92"/>
      <c r="B99" s="250"/>
      <c r="C99" s="251"/>
      <c r="D99" s="251"/>
      <c r="E99" s="252"/>
    </row>
    <row r="100" spans="1:5" s="93" customFormat="1" ht="18.75" customHeight="1" x14ac:dyDescent="0.15">
      <c r="A100" s="92"/>
      <c r="B100" s="250"/>
      <c r="C100" s="251"/>
      <c r="D100" s="251"/>
      <c r="E100" s="252"/>
    </row>
    <row r="101" spans="1:5" s="93" customFormat="1" ht="18.75" customHeight="1" x14ac:dyDescent="0.15">
      <c r="A101" s="92"/>
      <c r="B101" s="250"/>
      <c r="C101" s="251"/>
      <c r="D101" s="251"/>
      <c r="E101" s="252"/>
    </row>
    <row r="102" spans="1:5" s="93" customFormat="1" ht="18.75" customHeight="1" x14ac:dyDescent="0.15">
      <c r="A102" s="92"/>
      <c r="B102" s="250"/>
      <c r="C102" s="251"/>
      <c r="D102" s="251"/>
      <c r="E102" s="252"/>
    </row>
    <row r="103" spans="1:5" s="93" customFormat="1" ht="18.75" customHeight="1" x14ac:dyDescent="0.15">
      <c r="A103" s="92"/>
      <c r="B103" s="250"/>
      <c r="C103" s="251"/>
      <c r="D103" s="251"/>
      <c r="E103" s="252"/>
    </row>
    <row r="104" spans="1:5" s="93" customFormat="1" ht="18.75" customHeight="1" x14ac:dyDescent="0.15">
      <c r="A104" s="92"/>
      <c r="B104" s="250"/>
      <c r="C104" s="251"/>
      <c r="D104" s="251"/>
      <c r="E104" s="252"/>
    </row>
    <row r="105" spans="1:5" s="93" customFormat="1" ht="18.75" customHeight="1" x14ac:dyDescent="0.15">
      <c r="A105" s="92"/>
      <c r="B105" s="250"/>
      <c r="C105" s="251"/>
      <c r="D105" s="251"/>
      <c r="E105" s="252"/>
    </row>
    <row r="106" spans="1:5" s="93" customFormat="1" ht="18.75" customHeight="1" x14ac:dyDescent="0.15">
      <c r="A106" s="92"/>
      <c r="B106" s="250"/>
      <c r="C106" s="251"/>
      <c r="D106" s="251"/>
      <c r="E106" s="252"/>
    </row>
    <row r="107" spans="1:5" s="93" customFormat="1" ht="18.75" customHeight="1" x14ac:dyDescent="0.15">
      <c r="A107" s="92"/>
      <c r="B107" s="250"/>
      <c r="C107" s="251"/>
      <c r="D107" s="251"/>
      <c r="E107" s="252"/>
    </row>
    <row r="108" spans="1:5" s="93" customFormat="1" ht="18.75" customHeight="1" x14ac:dyDescent="0.15">
      <c r="A108" s="92"/>
      <c r="B108" s="250"/>
      <c r="C108" s="251"/>
      <c r="D108" s="251"/>
      <c r="E108" s="252"/>
    </row>
    <row r="109" spans="1:5" s="93" customFormat="1" ht="18.75" customHeight="1" x14ac:dyDescent="0.15">
      <c r="A109" s="92"/>
      <c r="B109" s="250"/>
      <c r="C109" s="251"/>
      <c r="D109" s="251"/>
      <c r="E109" s="252"/>
    </row>
    <row r="110" spans="1:5" ht="18.75" customHeight="1" x14ac:dyDescent="0.15">
      <c r="A110" s="5"/>
      <c r="B110" s="250"/>
      <c r="C110" s="251"/>
      <c r="D110" s="251"/>
      <c r="E110" s="252"/>
    </row>
    <row r="111" spans="1:5" ht="18.75" customHeight="1" x14ac:dyDescent="0.15">
      <c r="A111" s="5"/>
      <c r="B111" s="253"/>
      <c r="C111" s="254"/>
      <c r="D111" s="254"/>
      <c r="E111" s="255"/>
    </row>
    <row r="112" spans="1:5" ht="7.5" customHeight="1" x14ac:dyDescent="0.15">
      <c r="A112" s="5"/>
      <c r="B112" s="5"/>
      <c r="C112" s="5"/>
      <c r="D112" s="5"/>
      <c r="E112" s="5"/>
    </row>
    <row r="113" spans="1:5" s="93" customFormat="1" ht="18.75" customHeight="1" x14ac:dyDescent="0.15">
      <c r="A113" s="92" t="s">
        <v>62</v>
      </c>
      <c r="B113" s="256" t="s">
        <v>134</v>
      </c>
      <c r="C113" s="256"/>
      <c r="D113" s="256"/>
      <c r="E113" s="256"/>
    </row>
    <row r="114" spans="1:5" ht="18.75" customHeight="1" x14ac:dyDescent="0.15">
      <c r="A114" s="5"/>
      <c r="B114" s="247" t="s">
        <v>191</v>
      </c>
      <c r="C114" s="248"/>
      <c r="D114" s="248"/>
      <c r="E114" s="249"/>
    </row>
    <row r="115" spans="1:5" ht="18.75" customHeight="1" x14ac:dyDescent="0.15">
      <c r="A115" s="5"/>
      <c r="B115" s="250"/>
      <c r="C115" s="251"/>
      <c r="D115" s="251"/>
      <c r="E115" s="252"/>
    </row>
    <row r="116" spans="1:5" ht="18.75" customHeight="1" x14ac:dyDescent="0.15">
      <c r="A116" s="5"/>
      <c r="B116" s="250"/>
      <c r="C116" s="251"/>
      <c r="D116" s="251"/>
      <c r="E116" s="252"/>
    </row>
    <row r="117" spans="1:5" ht="18.75" customHeight="1" x14ac:dyDescent="0.15">
      <c r="A117" s="5"/>
      <c r="B117" s="250"/>
      <c r="C117" s="251"/>
      <c r="D117" s="251"/>
      <c r="E117" s="252"/>
    </row>
    <row r="118" spans="1:5" ht="18.75" customHeight="1" x14ac:dyDescent="0.15">
      <c r="A118" s="5"/>
      <c r="B118" s="250"/>
      <c r="C118" s="251"/>
      <c r="D118" s="251"/>
      <c r="E118" s="252"/>
    </row>
    <row r="119" spans="1:5" ht="18.75" customHeight="1" x14ac:dyDescent="0.15">
      <c r="A119" s="5"/>
      <c r="B119" s="250"/>
      <c r="C119" s="251"/>
      <c r="D119" s="251"/>
      <c r="E119" s="252"/>
    </row>
    <row r="120" spans="1:5" ht="18.75" customHeight="1" x14ac:dyDescent="0.15">
      <c r="A120" s="5"/>
      <c r="B120" s="250"/>
      <c r="C120" s="251"/>
      <c r="D120" s="251"/>
      <c r="E120" s="252"/>
    </row>
    <row r="121" spans="1:5" ht="18.75" customHeight="1" x14ac:dyDescent="0.15">
      <c r="A121" s="5"/>
      <c r="B121" s="250"/>
      <c r="C121" s="251"/>
      <c r="D121" s="251"/>
      <c r="E121" s="252"/>
    </row>
    <row r="122" spans="1:5" ht="18.75" customHeight="1" x14ac:dyDescent="0.15">
      <c r="A122" s="5"/>
      <c r="B122" s="250"/>
      <c r="C122" s="251"/>
      <c r="D122" s="251"/>
      <c r="E122" s="252"/>
    </row>
    <row r="123" spans="1:5" ht="18.75" customHeight="1" x14ac:dyDescent="0.15">
      <c r="A123" s="5"/>
      <c r="B123" s="250"/>
      <c r="C123" s="251"/>
      <c r="D123" s="251"/>
      <c r="E123" s="252"/>
    </row>
    <row r="124" spans="1:5" ht="18.75" customHeight="1" x14ac:dyDescent="0.15">
      <c r="A124" s="5"/>
      <c r="B124" s="250"/>
      <c r="C124" s="251"/>
      <c r="D124" s="251"/>
      <c r="E124" s="252"/>
    </row>
    <row r="125" spans="1:5" ht="18.75" customHeight="1" x14ac:dyDescent="0.15">
      <c r="A125" s="5"/>
      <c r="B125" s="250"/>
      <c r="C125" s="251"/>
      <c r="D125" s="251"/>
      <c r="E125" s="252"/>
    </row>
    <row r="126" spans="1:5" ht="18.75" customHeight="1" x14ac:dyDescent="0.15">
      <c r="A126" s="5"/>
      <c r="B126" s="250"/>
      <c r="C126" s="251"/>
      <c r="D126" s="251"/>
      <c r="E126" s="252"/>
    </row>
    <row r="127" spans="1:5" ht="18.75" customHeight="1" x14ac:dyDescent="0.15">
      <c r="A127" s="5"/>
      <c r="B127" s="250"/>
      <c r="C127" s="251"/>
      <c r="D127" s="251"/>
      <c r="E127" s="252"/>
    </row>
    <row r="128" spans="1:5" ht="18.75" customHeight="1" x14ac:dyDescent="0.15">
      <c r="A128" s="5"/>
      <c r="B128" s="250"/>
      <c r="C128" s="251"/>
      <c r="D128" s="251"/>
      <c r="E128" s="252"/>
    </row>
    <row r="129" spans="1:5" ht="18.75" customHeight="1" x14ac:dyDescent="0.15">
      <c r="A129" s="5"/>
      <c r="B129" s="250"/>
      <c r="C129" s="251"/>
      <c r="D129" s="251"/>
      <c r="E129" s="252"/>
    </row>
    <row r="130" spans="1:5" ht="18.75" customHeight="1" x14ac:dyDescent="0.15">
      <c r="A130" s="5"/>
      <c r="B130" s="250"/>
      <c r="C130" s="251"/>
      <c r="D130" s="251"/>
      <c r="E130" s="252"/>
    </row>
    <row r="131" spans="1:5" ht="18.75" customHeight="1" x14ac:dyDescent="0.15">
      <c r="A131" s="5"/>
      <c r="B131" s="250"/>
      <c r="C131" s="251"/>
      <c r="D131" s="251"/>
      <c r="E131" s="252"/>
    </row>
    <row r="132" spans="1:5" ht="18.75" customHeight="1" x14ac:dyDescent="0.15">
      <c r="A132" s="5"/>
      <c r="B132" s="250"/>
      <c r="C132" s="251"/>
      <c r="D132" s="251"/>
      <c r="E132" s="252"/>
    </row>
    <row r="133" spans="1:5" ht="18.75" customHeight="1" x14ac:dyDescent="0.15">
      <c r="A133" s="5"/>
      <c r="B133" s="253"/>
      <c r="C133" s="254"/>
      <c r="D133" s="254"/>
      <c r="E133" s="255"/>
    </row>
    <row r="134" spans="1:5" ht="7.5" customHeight="1" x14ac:dyDescent="0.15">
      <c r="A134" s="5"/>
      <c r="B134" s="6"/>
      <c r="C134" s="6"/>
      <c r="D134" s="6"/>
      <c r="E134" s="6"/>
    </row>
    <row r="135" spans="1:5" ht="18.75" customHeight="1" x14ac:dyDescent="0.15">
      <c r="A135" s="5"/>
      <c r="B135" s="5"/>
      <c r="C135" s="5"/>
      <c r="D135" s="5"/>
      <c r="E135" s="5"/>
    </row>
    <row r="136" spans="1:5" ht="18.75" customHeight="1" x14ac:dyDescent="0.15">
      <c r="A136" s="5"/>
      <c r="B136" s="5"/>
      <c r="C136" s="5"/>
      <c r="D136" s="5"/>
      <c r="E136" s="5"/>
    </row>
    <row r="137" spans="1:5" ht="18.75" customHeight="1" x14ac:dyDescent="0.15">
      <c r="A137" s="5"/>
      <c r="B137" s="5"/>
      <c r="C137" s="5"/>
      <c r="D137" s="5"/>
      <c r="E137" s="5"/>
    </row>
    <row r="138" spans="1:5" ht="18.75" customHeight="1" x14ac:dyDescent="0.15">
      <c r="A138" s="5"/>
      <c r="B138" s="5"/>
      <c r="C138" s="5"/>
      <c r="D138" s="5"/>
      <c r="E138" s="5"/>
    </row>
    <row r="139" spans="1:5" ht="18.75" customHeight="1" x14ac:dyDescent="0.15">
      <c r="A139" s="5"/>
      <c r="B139" s="5"/>
      <c r="C139" s="5"/>
      <c r="D139" s="5"/>
      <c r="E139" s="5"/>
    </row>
    <row r="140" spans="1:5" ht="18.75" customHeight="1" x14ac:dyDescent="0.15">
      <c r="A140" s="5"/>
      <c r="B140" s="5"/>
      <c r="C140" s="5"/>
      <c r="D140" s="5"/>
      <c r="E140" s="5"/>
    </row>
    <row r="141" spans="1:5" ht="18.75" customHeight="1" x14ac:dyDescent="0.15">
      <c r="A141" s="5"/>
      <c r="B141" s="5"/>
      <c r="C141" s="5"/>
      <c r="D141" s="5"/>
      <c r="E141" s="5"/>
    </row>
    <row r="142" spans="1:5" ht="18.75" customHeight="1" x14ac:dyDescent="0.15">
      <c r="A142" s="5"/>
      <c r="B142" s="5"/>
      <c r="C142" s="5"/>
      <c r="D142" s="5"/>
      <c r="E142" s="5"/>
    </row>
    <row r="143" spans="1:5" ht="18.75" customHeight="1" x14ac:dyDescent="0.15">
      <c r="A143" s="5"/>
      <c r="B143" s="5"/>
      <c r="C143" s="5"/>
      <c r="D143" s="5"/>
      <c r="E143" s="5"/>
    </row>
    <row r="144" spans="1:5" ht="18.75" customHeight="1" x14ac:dyDescent="0.15">
      <c r="A144" s="5"/>
      <c r="B144" s="5"/>
      <c r="C144" s="5"/>
      <c r="D144" s="5"/>
      <c r="E144" s="5"/>
    </row>
    <row r="145" spans="1:5" ht="18.75" customHeight="1" x14ac:dyDescent="0.15">
      <c r="A145" s="5"/>
      <c r="B145" s="5"/>
      <c r="C145" s="5"/>
      <c r="D145" s="5"/>
      <c r="E145" s="5"/>
    </row>
    <row r="146" spans="1:5" ht="18.75" customHeight="1" x14ac:dyDescent="0.15">
      <c r="A146" s="5"/>
      <c r="B146" s="5"/>
      <c r="C146" s="5"/>
      <c r="D146" s="5"/>
      <c r="E146" s="5"/>
    </row>
    <row r="147" spans="1:5" ht="14.25" x14ac:dyDescent="0.15">
      <c r="A147" s="5"/>
      <c r="B147" s="5"/>
      <c r="C147" s="5"/>
      <c r="D147" s="5"/>
      <c r="E147" s="5"/>
    </row>
    <row r="148" spans="1:5" ht="7.5" customHeight="1" x14ac:dyDescent="0.15">
      <c r="A148" s="3"/>
      <c r="B148" s="3"/>
      <c r="C148" s="3"/>
      <c r="D148" s="3"/>
      <c r="E148" s="3"/>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6"/>
  <printOptions horizontalCentered="1"/>
  <pageMargins left="0.78740157480314998" right="0.78740157480314998" top="0.78740157480314998" bottom="0.78740157480314998" header="0.31496062992126" footer="0.31496062992126"/>
  <pageSetup paperSize="9" scale="92" orientation="portrait" r:id="rId1"/>
  <rowBreaks count="2" manualBreakCount="2">
    <brk id="46" max="4" man="1"/>
    <brk id="90"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GridLines="0" showZeros="0" view="pageBreakPreview" topLeftCell="A13" zoomScaleNormal="100" zoomScaleSheetLayoutView="100" workbookViewId="0">
      <selection activeCell="B13" sqref="B13"/>
    </sheetView>
  </sheetViews>
  <sheetFormatPr defaultColWidth="11.375" defaultRowHeight="22.5" customHeight="1" x14ac:dyDescent="0.15"/>
  <cols>
    <col min="1" max="3" width="2.5" style="89" customWidth="1"/>
    <col min="4" max="4" width="22.5" style="89" customWidth="1"/>
    <col min="5" max="5" width="21.125" style="89" customWidth="1"/>
    <col min="6" max="7" width="7.5" style="89" customWidth="1"/>
    <col min="8" max="8" width="32.5" style="89" customWidth="1"/>
    <col min="9" max="9" width="24.875" style="89" customWidth="1"/>
    <col min="10" max="10" width="6.125" style="89" customWidth="1"/>
    <col min="11" max="11" width="1" style="89" customWidth="1"/>
    <col min="12" max="16384" width="11.375" style="89"/>
  </cols>
  <sheetData>
    <row r="1" spans="1:10" ht="18.75" customHeight="1" x14ac:dyDescent="0.15">
      <c r="J1" s="90" t="s">
        <v>9</v>
      </c>
    </row>
    <row r="2" spans="1:10" ht="18.75" customHeight="1" x14ac:dyDescent="0.15">
      <c r="D2" s="90"/>
      <c r="H2" s="90" t="s">
        <v>31</v>
      </c>
      <c r="I2" s="257" t="s">
        <v>169</v>
      </c>
      <c r="J2" s="257"/>
    </row>
    <row r="3" spans="1:10" ht="18.75" customHeight="1" x14ac:dyDescent="0.15">
      <c r="A3" s="258" t="s">
        <v>50</v>
      </c>
      <c r="B3" s="258"/>
      <c r="C3" s="258"/>
      <c r="D3" s="258"/>
      <c r="E3" s="258"/>
      <c r="F3" s="258"/>
      <c r="G3" s="258"/>
      <c r="H3" s="258"/>
      <c r="I3" s="258"/>
      <c r="J3" s="258"/>
    </row>
    <row r="4" spans="1:10" ht="7.5" customHeight="1" x14ac:dyDescent="0.15">
      <c r="B4" s="43"/>
      <c r="C4" s="43"/>
      <c r="D4" s="287"/>
      <c r="E4" s="287"/>
      <c r="F4" s="287"/>
      <c r="G4" s="287"/>
      <c r="H4" s="287"/>
      <c r="I4" s="287"/>
      <c r="J4" s="287"/>
    </row>
    <row r="5" spans="1:10" ht="18.75" customHeight="1" x14ac:dyDescent="0.15">
      <c r="A5" s="89" t="s">
        <v>7</v>
      </c>
      <c r="B5" s="93" t="s">
        <v>48</v>
      </c>
      <c r="C5" s="43"/>
      <c r="D5" s="43"/>
      <c r="E5" s="43"/>
      <c r="F5" s="43"/>
      <c r="G5" s="43"/>
      <c r="H5" s="43"/>
      <c r="I5" s="43"/>
      <c r="J5" s="43"/>
    </row>
    <row r="6" spans="1:10" ht="18.75" customHeight="1" x14ac:dyDescent="0.15">
      <c r="B6" s="288" t="s">
        <v>45</v>
      </c>
      <c r="C6" s="289"/>
      <c r="D6" s="290"/>
      <c r="E6" s="289" t="s">
        <v>47</v>
      </c>
      <c r="F6" s="289"/>
      <c r="G6" s="289"/>
      <c r="H6" s="289"/>
      <c r="I6" s="289"/>
      <c r="J6" s="290"/>
    </row>
    <row r="7" spans="1:10" ht="18.75" customHeight="1" x14ac:dyDescent="0.15">
      <c r="B7" s="96" t="s">
        <v>35</v>
      </c>
      <c r="C7" s="5"/>
      <c r="D7" s="9"/>
      <c r="E7" s="97"/>
      <c r="F7" s="97"/>
      <c r="G7" s="97"/>
      <c r="H7" s="97"/>
      <c r="I7" s="5"/>
      <c r="J7" s="9"/>
    </row>
    <row r="8" spans="1:10" ht="202.5" customHeight="1" x14ac:dyDescent="0.15">
      <c r="B8" s="8"/>
      <c r="C8" s="276" t="s">
        <v>36</v>
      </c>
      <c r="D8" s="277"/>
      <c r="E8" s="286" t="s">
        <v>202</v>
      </c>
      <c r="F8" s="278"/>
      <c r="G8" s="278"/>
      <c r="H8" s="278"/>
      <c r="I8" s="278"/>
      <c r="J8" s="279"/>
    </row>
    <row r="9" spans="1:10" ht="202.5" customHeight="1" x14ac:dyDescent="0.15">
      <c r="B9" s="8"/>
      <c r="C9" s="274" t="s">
        <v>37</v>
      </c>
      <c r="D9" s="275"/>
      <c r="E9" s="291" t="s">
        <v>192</v>
      </c>
      <c r="F9" s="278"/>
      <c r="G9" s="278"/>
      <c r="H9" s="278"/>
      <c r="I9" s="278"/>
      <c r="J9" s="279"/>
    </row>
    <row r="10" spans="1:10" ht="172.5" customHeight="1" x14ac:dyDescent="0.15">
      <c r="B10" s="8"/>
      <c r="C10" s="276" t="s">
        <v>38</v>
      </c>
      <c r="D10" s="277"/>
      <c r="E10" s="291" t="s">
        <v>193</v>
      </c>
      <c r="F10" s="278"/>
      <c r="G10" s="278"/>
      <c r="H10" s="278"/>
      <c r="I10" s="278"/>
      <c r="J10" s="279"/>
    </row>
    <row r="11" spans="1:10" ht="172.5" customHeight="1" x14ac:dyDescent="0.15">
      <c r="B11" s="8"/>
      <c r="C11" s="276" t="s">
        <v>39</v>
      </c>
      <c r="D11" s="277"/>
      <c r="E11" s="291" t="s">
        <v>194</v>
      </c>
      <c r="F11" s="278"/>
      <c r="G11" s="278"/>
      <c r="H11" s="278"/>
      <c r="I11" s="278"/>
      <c r="J11" s="279"/>
    </row>
    <row r="12" spans="1:10" ht="172.5" customHeight="1" x14ac:dyDescent="0.15">
      <c r="B12" s="119"/>
      <c r="C12" s="276" t="s">
        <v>40</v>
      </c>
      <c r="D12" s="277"/>
      <c r="E12" s="286" t="s">
        <v>201</v>
      </c>
      <c r="F12" s="278"/>
      <c r="G12" s="278"/>
      <c r="H12" s="278"/>
      <c r="I12" s="278"/>
      <c r="J12" s="279"/>
    </row>
    <row r="13" spans="1:10" ht="18.75" customHeight="1" x14ac:dyDescent="0.15">
      <c r="B13" s="302" t="s">
        <v>41</v>
      </c>
      <c r="C13" s="19"/>
      <c r="D13" s="10"/>
      <c r="E13" s="98"/>
      <c r="F13" s="98"/>
      <c r="G13" s="98"/>
      <c r="H13" s="98"/>
      <c r="I13" s="98"/>
      <c r="J13" s="99"/>
    </row>
    <row r="14" spans="1:10" ht="255" customHeight="1" x14ac:dyDescent="0.15">
      <c r="B14" s="8"/>
      <c r="C14" s="276" t="s">
        <v>42</v>
      </c>
      <c r="D14" s="277"/>
      <c r="E14" s="278" t="s">
        <v>195</v>
      </c>
      <c r="F14" s="278"/>
      <c r="G14" s="278"/>
      <c r="H14" s="278"/>
      <c r="I14" s="278"/>
      <c r="J14" s="279"/>
    </row>
    <row r="15" spans="1:10" ht="255" customHeight="1" x14ac:dyDescent="0.15">
      <c r="B15" s="8"/>
      <c r="C15" s="280" t="s">
        <v>43</v>
      </c>
      <c r="D15" s="281"/>
      <c r="E15" s="282" t="s">
        <v>196</v>
      </c>
      <c r="F15" s="282"/>
      <c r="G15" s="282"/>
      <c r="H15" s="282"/>
      <c r="I15" s="282"/>
      <c r="J15" s="283"/>
    </row>
    <row r="16" spans="1:10" ht="232.5" customHeight="1" x14ac:dyDescent="0.15">
      <c r="B16" s="284" t="s">
        <v>44</v>
      </c>
      <c r="C16" s="285"/>
      <c r="D16" s="277"/>
      <c r="E16" s="278" t="s">
        <v>197</v>
      </c>
      <c r="F16" s="278"/>
      <c r="G16" s="278"/>
      <c r="H16" s="278"/>
      <c r="I16" s="278"/>
      <c r="J16" s="279"/>
    </row>
    <row r="17" spans="1:10" ht="232.5" customHeight="1" x14ac:dyDescent="0.15">
      <c r="B17" s="271" t="s">
        <v>87</v>
      </c>
      <c r="C17" s="272"/>
      <c r="D17" s="273"/>
      <c r="E17" s="266" t="s">
        <v>198</v>
      </c>
      <c r="F17" s="266"/>
      <c r="G17" s="266"/>
      <c r="H17" s="266"/>
      <c r="I17" s="266"/>
      <c r="J17" s="267"/>
    </row>
    <row r="18" spans="1:10" ht="7.5" customHeight="1" x14ac:dyDescent="0.15">
      <c r="B18" s="43"/>
      <c r="C18" s="43"/>
      <c r="D18" s="43"/>
      <c r="E18" s="43"/>
      <c r="F18" s="43"/>
      <c r="G18" s="43"/>
      <c r="H18" s="43"/>
      <c r="I18" s="43"/>
      <c r="J18" s="43"/>
    </row>
    <row r="19" spans="1:10" ht="18.75" customHeight="1" x14ac:dyDescent="0.15">
      <c r="B19" s="93"/>
      <c r="C19" s="43"/>
      <c r="D19" s="43"/>
      <c r="E19" s="43"/>
      <c r="F19" s="100"/>
      <c r="G19" s="100"/>
      <c r="H19" s="101" t="s">
        <v>116</v>
      </c>
      <c r="I19" s="102"/>
      <c r="J19" s="102"/>
    </row>
    <row r="20" spans="1:10" ht="18.75" customHeight="1" x14ac:dyDescent="0.15">
      <c r="A20" s="97" t="s">
        <v>12</v>
      </c>
      <c r="B20" s="103" t="s">
        <v>49</v>
      </c>
      <c r="C20" s="20"/>
      <c r="D20" s="20"/>
      <c r="E20" s="20"/>
      <c r="F20" s="104" t="s">
        <v>229</v>
      </c>
      <c r="G20" s="100"/>
      <c r="H20" s="228" t="s">
        <v>228</v>
      </c>
      <c r="I20" s="228"/>
      <c r="J20" s="228"/>
    </row>
    <row r="21" spans="1:10" ht="22.5" customHeight="1" x14ac:dyDescent="0.15">
      <c r="B21" s="43"/>
      <c r="C21" s="43"/>
      <c r="D21" s="43"/>
      <c r="E21" s="43"/>
      <c r="F21" s="43"/>
      <c r="G21" s="43"/>
      <c r="H21" s="43"/>
      <c r="I21" s="43"/>
      <c r="J21" s="43"/>
    </row>
    <row r="22" spans="1:10" ht="22.5" customHeight="1" x14ac:dyDescent="0.15">
      <c r="B22" s="43"/>
      <c r="C22" s="43"/>
      <c r="D22" s="43"/>
      <c r="E22" s="43"/>
      <c r="F22" s="43"/>
      <c r="G22" s="43"/>
      <c r="H22" s="43"/>
      <c r="I22" s="43"/>
      <c r="J22" s="43"/>
    </row>
    <row r="23" spans="1:10" ht="22.5" customHeight="1" x14ac:dyDescent="0.15">
      <c r="B23" s="43"/>
      <c r="C23" s="43"/>
      <c r="D23" s="43"/>
      <c r="E23" s="43"/>
      <c r="F23" s="43"/>
      <c r="G23" s="43"/>
      <c r="H23" s="43"/>
      <c r="I23" s="43"/>
      <c r="J23" s="43"/>
    </row>
    <row r="24" spans="1:10" ht="22.5" customHeight="1" x14ac:dyDescent="0.15">
      <c r="B24" s="43"/>
      <c r="C24" s="43"/>
      <c r="D24" s="43"/>
      <c r="E24" s="43"/>
      <c r="F24" s="43"/>
      <c r="G24" s="43"/>
      <c r="H24" s="43"/>
      <c r="I24" s="43"/>
      <c r="J24" s="43"/>
    </row>
    <row r="25" spans="1:10" ht="22.5" customHeight="1" x14ac:dyDescent="0.15">
      <c r="B25" s="43"/>
      <c r="C25" s="43"/>
      <c r="D25" s="43"/>
      <c r="E25" s="43"/>
      <c r="F25" s="43"/>
      <c r="G25" s="43"/>
      <c r="H25" s="43"/>
      <c r="I25" s="43"/>
      <c r="J25" s="43"/>
    </row>
    <row r="26" spans="1:10" ht="22.5" customHeight="1" x14ac:dyDescent="0.15">
      <c r="B26" s="94"/>
      <c r="C26" s="94"/>
      <c r="D26" s="94"/>
      <c r="E26" s="94"/>
      <c r="F26" s="94"/>
      <c r="G26" s="94"/>
      <c r="H26" s="94"/>
      <c r="I26" s="94"/>
      <c r="J26" s="94"/>
    </row>
    <row r="27" spans="1:10" ht="22.5" customHeight="1" x14ac:dyDescent="0.15">
      <c r="B27" s="94"/>
      <c r="C27" s="94"/>
      <c r="D27" s="94"/>
      <c r="E27" s="94"/>
      <c r="F27" s="94"/>
      <c r="G27" s="94"/>
      <c r="H27" s="94"/>
      <c r="I27" s="94"/>
      <c r="J27" s="94"/>
    </row>
    <row r="28" spans="1:10" ht="22.5" customHeight="1" x14ac:dyDescent="0.15">
      <c r="B28" s="94"/>
      <c r="C28" s="94"/>
      <c r="D28" s="94"/>
      <c r="E28" s="94"/>
      <c r="F28" s="94"/>
      <c r="G28" s="94"/>
      <c r="H28" s="94"/>
      <c r="I28" s="94"/>
      <c r="J28" s="94"/>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6"/>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printOptions horizontalCentered="1"/>
  <pageMargins left="0.78740157480314998" right="0.78740157480314998" top="0.78740157480314998" bottom="0.78740157480314998" header="0.31496062992126" footer="0.31496062992126"/>
  <pageSetup paperSize="9" scale="62" fitToHeight="3" orientation="portrait" r:id="rId1"/>
  <rowBreaks count="1" manualBreakCount="1">
    <brk id="12" max="10"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workbookViewId="0"/>
  </sheetViews>
  <sheetFormatPr defaultColWidth="11.375" defaultRowHeight="18.75" customHeight="1" x14ac:dyDescent="0.15"/>
  <cols>
    <col min="1" max="1" width="2.5" style="1" customWidth="1"/>
    <col min="2" max="2" width="15" style="1" customWidth="1"/>
    <col min="3" max="3" width="37.5" style="1" customWidth="1"/>
    <col min="4" max="4" width="1.125" style="1" customWidth="1"/>
    <col min="5" max="5" width="21.125" style="1" customWidth="1"/>
    <col min="6" max="6" width="8.625" style="1" customWidth="1"/>
    <col min="7" max="8" width="2.125" style="1" customWidth="1"/>
    <col min="9" max="16384" width="11.375" style="1"/>
  </cols>
  <sheetData>
    <row r="1" spans="1:6" ht="18.75" customHeight="1" x14ac:dyDescent="0.15">
      <c r="E1" s="176" t="s">
        <v>16</v>
      </c>
      <c r="F1" s="176"/>
    </row>
    <row r="2" spans="1:6" ht="18.75" customHeight="1" x14ac:dyDescent="0.15">
      <c r="C2" s="12" t="s">
        <v>88</v>
      </c>
      <c r="D2" s="12" t="s">
        <v>8</v>
      </c>
      <c r="E2" s="301"/>
      <c r="F2" s="301"/>
    </row>
    <row r="3" spans="1:6" ht="7.5" customHeight="1" x14ac:dyDescent="0.15">
      <c r="C3" s="12"/>
      <c r="D3" s="12"/>
      <c r="E3" s="11"/>
      <c r="F3" s="11"/>
    </row>
    <row r="4" spans="1:6" ht="18.75" customHeight="1" x14ac:dyDescent="0.15">
      <c r="A4" s="186" t="s">
        <v>126</v>
      </c>
      <c r="B4" s="186"/>
      <c r="C4" s="186"/>
      <c r="D4" s="186"/>
      <c r="E4" s="186"/>
      <c r="F4" s="186"/>
    </row>
    <row r="5" spans="1:6" ht="7.5" customHeight="1" x14ac:dyDescent="0.15">
      <c r="A5" s="13"/>
      <c r="B5" s="13"/>
      <c r="C5" s="13"/>
      <c r="D5" s="13"/>
      <c r="E5" s="13"/>
      <c r="F5" s="13"/>
    </row>
    <row r="6" spans="1:6" ht="18.75" customHeight="1" x14ac:dyDescent="0.15">
      <c r="A6" s="13" t="s">
        <v>7</v>
      </c>
      <c r="B6" s="4" t="s">
        <v>33</v>
      </c>
      <c r="C6" s="13"/>
      <c r="D6" s="13"/>
      <c r="E6" s="13"/>
      <c r="F6" s="13"/>
    </row>
    <row r="7" spans="1:6" ht="18.75" customHeight="1" x14ac:dyDescent="0.15">
      <c r="A7" s="13"/>
      <c r="B7" s="292"/>
      <c r="C7" s="293"/>
      <c r="D7" s="293"/>
      <c r="E7" s="293"/>
      <c r="F7" s="294"/>
    </row>
    <row r="8" spans="1:6" ht="18.75" customHeight="1" x14ac:dyDescent="0.15">
      <c r="A8" s="18"/>
      <c r="B8" s="295"/>
      <c r="C8" s="296"/>
      <c r="D8" s="296"/>
      <c r="E8" s="296"/>
      <c r="F8" s="297"/>
    </row>
    <row r="9" spans="1:6" ht="18.75" customHeight="1" x14ac:dyDescent="0.15">
      <c r="A9" s="18"/>
      <c r="B9" s="295"/>
      <c r="C9" s="296"/>
      <c r="D9" s="296"/>
      <c r="E9" s="296"/>
      <c r="F9" s="297"/>
    </row>
    <row r="10" spans="1:6" ht="18.75" customHeight="1" x14ac:dyDescent="0.15">
      <c r="A10" s="18"/>
      <c r="B10" s="295"/>
      <c r="C10" s="296"/>
      <c r="D10" s="296"/>
      <c r="E10" s="296"/>
      <c r="F10" s="297"/>
    </row>
    <row r="11" spans="1:6" ht="18.75" customHeight="1" x14ac:dyDescent="0.15">
      <c r="A11" s="18"/>
      <c r="B11" s="295"/>
      <c r="C11" s="296"/>
      <c r="D11" s="296"/>
      <c r="E11" s="296"/>
      <c r="F11" s="297"/>
    </row>
    <row r="12" spans="1:6" ht="18.75" customHeight="1" x14ac:dyDescent="0.15">
      <c r="A12" s="18"/>
      <c r="B12" s="295"/>
      <c r="C12" s="296"/>
      <c r="D12" s="296"/>
      <c r="E12" s="296"/>
      <c r="F12" s="297"/>
    </row>
    <row r="13" spans="1:6" ht="18.75" customHeight="1" x14ac:dyDescent="0.15">
      <c r="A13" s="18"/>
      <c r="B13" s="295"/>
      <c r="C13" s="296"/>
      <c r="D13" s="296"/>
      <c r="E13" s="296"/>
      <c r="F13" s="297"/>
    </row>
    <row r="14" spans="1:6" ht="18.75" customHeight="1" x14ac:dyDescent="0.15">
      <c r="A14" s="18"/>
      <c r="B14" s="295"/>
      <c r="C14" s="296"/>
      <c r="D14" s="296"/>
      <c r="E14" s="296"/>
      <c r="F14" s="297"/>
    </row>
    <row r="15" spans="1:6" ht="18.75" customHeight="1" x14ac:dyDescent="0.15">
      <c r="A15" s="18"/>
      <c r="B15" s="295"/>
      <c r="C15" s="296"/>
      <c r="D15" s="296"/>
      <c r="E15" s="296"/>
      <c r="F15" s="297"/>
    </row>
    <row r="16" spans="1:6" ht="18.75" customHeight="1" x14ac:dyDescent="0.15">
      <c r="A16" s="18"/>
      <c r="B16" s="295"/>
      <c r="C16" s="296"/>
      <c r="D16" s="296"/>
      <c r="E16" s="296"/>
      <c r="F16" s="297"/>
    </row>
    <row r="17" spans="1:6" ht="18.75" customHeight="1" x14ac:dyDescent="0.15">
      <c r="A17" s="18"/>
      <c r="B17" s="295"/>
      <c r="C17" s="296"/>
      <c r="D17" s="296"/>
      <c r="E17" s="296"/>
      <c r="F17" s="297"/>
    </row>
    <row r="18" spans="1:6" ht="18.75" customHeight="1" x14ac:dyDescent="0.15">
      <c r="A18" s="18"/>
      <c r="B18" s="295"/>
      <c r="C18" s="296"/>
      <c r="D18" s="296"/>
      <c r="E18" s="296"/>
      <c r="F18" s="297"/>
    </row>
    <row r="19" spans="1:6" ht="18.75" customHeight="1" x14ac:dyDescent="0.15">
      <c r="A19" s="18"/>
      <c r="B19" s="295"/>
      <c r="C19" s="296"/>
      <c r="D19" s="296"/>
      <c r="E19" s="296"/>
      <c r="F19" s="297"/>
    </row>
    <row r="20" spans="1:6" ht="18.75" customHeight="1" x14ac:dyDescent="0.15">
      <c r="A20" s="18"/>
      <c r="B20" s="295"/>
      <c r="C20" s="296"/>
      <c r="D20" s="296"/>
      <c r="E20" s="296"/>
      <c r="F20" s="297"/>
    </row>
    <row r="21" spans="1:6" ht="18.75" customHeight="1" x14ac:dyDescent="0.15">
      <c r="A21" s="18"/>
      <c r="B21" s="295"/>
      <c r="C21" s="296"/>
      <c r="D21" s="296"/>
      <c r="E21" s="296"/>
      <c r="F21" s="297"/>
    </row>
    <row r="22" spans="1:6" ht="18.75" customHeight="1" x14ac:dyDescent="0.15">
      <c r="A22" s="18"/>
      <c r="B22" s="295"/>
      <c r="C22" s="296"/>
      <c r="D22" s="296"/>
      <c r="E22" s="296"/>
      <c r="F22" s="297"/>
    </row>
    <row r="23" spans="1:6" ht="18.75" customHeight="1" x14ac:dyDescent="0.15">
      <c r="A23" s="18"/>
      <c r="B23" s="295"/>
      <c r="C23" s="296"/>
      <c r="D23" s="296"/>
      <c r="E23" s="296"/>
      <c r="F23" s="297"/>
    </row>
    <row r="24" spans="1:6" ht="18.75" customHeight="1" x14ac:dyDescent="0.15">
      <c r="A24" s="18"/>
      <c r="B24" s="295"/>
      <c r="C24" s="296"/>
      <c r="D24" s="296"/>
      <c r="E24" s="296"/>
      <c r="F24" s="297"/>
    </row>
    <row r="25" spans="1:6" ht="18.75" customHeight="1" x14ac:dyDescent="0.15">
      <c r="A25" s="18"/>
      <c r="B25" s="295"/>
      <c r="C25" s="296"/>
      <c r="D25" s="296"/>
      <c r="E25" s="296"/>
      <c r="F25" s="297"/>
    </row>
    <row r="26" spans="1:6" ht="18.75" customHeight="1" x14ac:dyDescent="0.15">
      <c r="A26" s="18"/>
      <c r="B26" s="295"/>
      <c r="C26" s="296"/>
      <c r="D26" s="296"/>
      <c r="E26" s="296"/>
      <c r="F26" s="297"/>
    </row>
    <row r="27" spans="1:6" ht="18.75" customHeight="1" x14ac:dyDescent="0.15">
      <c r="A27" s="18"/>
      <c r="B27" s="295"/>
      <c r="C27" s="296"/>
      <c r="D27" s="296"/>
      <c r="E27" s="296"/>
      <c r="F27" s="297"/>
    </row>
    <row r="28" spans="1:6" ht="18.75" customHeight="1" x14ac:dyDescent="0.15">
      <c r="A28" s="13"/>
      <c r="B28" s="295"/>
      <c r="C28" s="296"/>
      <c r="D28" s="296"/>
      <c r="E28" s="296"/>
      <c r="F28" s="297"/>
    </row>
    <row r="29" spans="1:6" ht="18.75" customHeight="1" x14ac:dyDescent="0.15">
      <c r="A29" s="13"/>
      <c r="B29" s="295"/>
      <c r="C29" s="296"/>
      <c r="D29" s="296"/>
      <c r="E29" s="296"/>
      <c r="F29" s="297"/>
    </row>
    <row r="30" spans="1:6" ht="18.75" customHeight="1" x14ac:dyDescent="0.15">
      <c r="A30" s="13"/>
      <c r="B30" s="295"/>
      <c r="C30" s="296"/>
      <c r="D30" s="296"/>
      <c r="E30" s="296"/>
      <c r="F30" s="297"/>
    </row>
    <row r="31" spans="1:6" ht="18.75" customHeight="1" x14ac:dyDescent="0.15">
      <c r="A31" s="13"/>
      <c r="B31" s="295"/>
      <c r="C31" s="296"/>
      <c r="D31" s="296"/>
      <c r="E31" s="296"/>
      <c r="F31" s="297"/>
    </row>
    <row r="32" spans="1:6" ht="18.75" customHeight="1" x14ac:dyDescent="0.15">
      <c r="A32" s="13"/>
      <c r="B32" s="295"/>
      <c r="C32" s="296"/>
      <c r="D32" s="296"/>
      <c r="E32" s="296"/>
      <c r="F32" s="297"/>
    </row>
    <row r="33" spans="1:6" ht="18.75" customHeight="1" x14ac:dyDescent="0.15">
      <c r="A33" s="13"/>
      <c r="B33" s="295"/>
      <c r="C33" s="296"/>
      <c r="D33" s="296"/>
      <c r="E33" s="296"/>
      <c r="F33" s="297"/>
    </row>
    <row r="34" spans="1:6" ht="18.75" customHeight="1" x14ac:dyDescent="0.15">
      <c r="A34" s="13"/>
      <c r="B34" s="295"/>
      <c r="C34" s="296"/>
      <c r="D34" s="296"/>
      <c r="E34" s="296"/>
      <c r="F34" s="297"/>
    </row>
    <row r="35" spans="1:6" ht="18.75" customHeight="1" x14ac:dyDescent="0.15">
      <c r="A35" s="13"/>
      <c r="B35" s="295"/>
      <c r="C35" s="296"/>
      <c r="D35" s="296"/>
      <c r="E35" s="296"/>
      <c r="F35" s="297"/>
    </row>
    <row r="36" spans="1:6" ht="18.75" customHeight="1" x14ac:dyDescent="0.15">
      <c r="A36" s="13"/>
      <c r="B36" s="295"/>
      <c r="C36" s="296"/>
      <c r="D36" s="296"/>
      <c r="E36" s="296"/>
      <c r="F36" s="297"/>
    </row>
    <row r="37" spans="1:6" ht="18.75" customHeight="1" x14ac:dyDescent="0.15">
      <c r="A37" s="13"/>
      <c r="B37" s="295"/>
      <c r="C37" s="296"/>
      <c r="D37" s="296"/>
      <c r="E37" s="296"/>
      <c r="F37" s="297"/>
    </row>
    <row r="38" spans="1:6" ht="18.75" customHeight="1" x14ac:dyDescent="0.15">
      <c r="A38" s="13"/>
      <c r="B38" s="295"/>
      <c r="C38" s="296"/>
      <c r="D38" s="296"/>
      <c r="E38" s="296"/>
      <c r="F38" s="297"/>
    </row>
    <row r="39" spans="1:6" ht="18.75" customHeight="1" x14ac:dyDescent="0.15">
      <c r="A39" s="13"/>
      <c r="B39" s="295"/>
      <c r="C39" s="296"/>
      <c r="D39" s="296"/>
      <c r="E39" s="296"/>
      <c r="F39" s="297"/>
    </row>
    <row r="40" spans="1:6" ht="18.75" customHeight="1" x14ac:dyDescent="0.15">
      <c r="A40" s="13"/>
      <c r="B40" s="295"/>
      <c r="C40" s="296"/>
      <c r="D40" s="296"/>
      <c r="E40" s="296"/>
      <c r="F40" s="297"/>
    </row>
    <row r="41" spans="1:6" ht="18.75" customHeight="1" x14ac:dyDescent="0.15">
      <c r="A41" s="13"/>
      <c r="B41" s="295"/>
      <c r="C41" s="296"/>
      <c r="D41" s="296"/>
      <c r="E41" s="296"/>
      <c r="F41" s="297"/>
    </row>
    <row r="42" spans="1:6" ht="18.75" customHeight="1" x14ac:dyDescent="0.15">
      <c r="A42" s="13"/>
      <c r="B42" s="295"/>
      <c r="C42" s="296"/>
      <c r="D42" s="296"/>
      <c r="E42" s="296"/>
      <c r="F42" s="297"/>
    </row>
    <row r="43" spans="1:6" ht="18.75" customHeight="1" x14ac:dyDescent="0.15">
      <c r="A43" s="13"/>
      <c r="B43" s="295"/>
      <c r="C43" s="296"/>
      <c r="D43" s="296"/>
      <c r="E43" s="296"/>
      <c r="F43" s="297"/>
    </row>
    <row r="44" spans="1:6" ht="18.75" customHeight="1" x14ac:dyDescent="0.15">
      <c r="A44" s="13"/>
      <c r="B44" s="298"/>
      <c r="C44" s="299"/>
      <c r="D44" s="299"/>
      <c r="E44" s="299"/>
      <c r="F44" s="300"/>
    </row>
    <row r="45" spans="1:6" ht="18.75" customHeight="1" x14ac:dyDescent="0.15">
      <c r="A45" s="13" t="s">
        <v>12</v>
      </c>
      <c r="B45" s="4" t="s">
        <v>93</v>
      </c>
      <c r="C45" s="13"/>
      <c r="D45" s="13"/>
      <c r="E45" s="13"/>
      <c r="F45" s="13"/>
    </row>
    <row r="46" spans="1:6" ht="18.75" customHeight="1" x14ac:dyDescent="0.15">
      <c r="A46" s="13"/>
      <c r="B46" s="292"/>
      <c r="C46" s="293"/>
      <c r="D46" s="293"/>
      <c r="E46" s="293"/>
      <c r="F46" s="294"/>
    </row>
    <row r="47" spans="1:6" ht="18.75" customHeight="1" x14ac:dyDescent="0.15">
      <c r="A47" s="18"/>
      <c r="B47" s="295"/>
      <c r="C47" s="296"/>
      <c r="D47" s="296"/>
      <c r="E47" s="296"/>
      <c r="F47" s="297"/>
    </row>
    <row r="48" spans="1:6" ht="18.75" customHeight="1" x14ac:dyDescent="0.15">
      <c r="A48" s="18"/>
      <c r="B48" s="295"/>
      <c r="C48" s="296"/>
      <c r="D48" s="296"/>
      <c r="E48" s="296"/>
      <c r="F48" s="297"/>
    </row>
    <row r="49" spans="1:6" ht="18.75" customHeight="1" x14ac:dyDescent="0.15">
      <c r="A49" s="18"/>
      <c r="B49" s="295"/>
      <c r="C49" s="296"/>
      <c r="D49" s="296"/>
      <c r="E49" s="296"/>
      <c r="F49" s="297"/>
    </row>
    <row r="50" spans="1:6" ht="18.75" customHeight="1" x14ac:dyDescent="0.15">
      <c r="A50" s="18"/>
      <c r="B50" s="295"/>
      <c r="C50" s="296"/>
      <c r="D50" s="296"/>
      <c r="E50" s="296"/>
      <c r="F50" s="297"/>
    </row>
    <row r="51" spans="1:6" ht="18.75" customHeight="1" x14ac:dyDescent="0.15">
      <c r="A51" s="18"/>
      <c r="B51" s="295"/>
      <c r="C51" s="296"/>
      <c r="D51" s="296"/>
      <c r="E51" s="296"/>
      <c r="F51" s="297"/>
    </row>
    <row r="52" spans="1:6" ht="18.75" customHeight="1" x14ac:dyDescent="0.15">
      <c r="A52" s="18"/>
      <c r="B52" s="295"/>
      <c r="C52" s="296"/>
      <c r="D52" s="296"/>
      <c r="E52" s="296"/>
      <c r="F52" s="297"/>
    </row>
    <row r="53" spans="1:6" ht="18.75" customHeight="1" x14ac:dyDescent="0.15">
      <c r="A53" s="18"/>
      <c r="B53" s="295"/>
      <c r="C53" s="296"/>
      <c r="D53" s="296"/>
      <c r="E53" s="296"/>
      <c r="F53" s="297"/>
    </row>
    <row r="54" spans="1:6" ht="18.75" customHeight="1" x14ac:dyDescent="0.15">
      <c r="A54" s="18"/>
      <c r="B54" s="295"/>
      <c r="C54" s="296"/>
      <c r="D54" s="296"/>
      <c r="E54" s="296"/>
      <c r="F54" s="297"/>
    </row>
    <row r="55" spans="1:6" ht="18.75" customHeight="1" x14ac:dyDescent="0.15">
      <c r="A55" s="18"/>
      <c r="B55" s="295"/>
      <c r="C55" s="296"/>
      <c r="D55" s="296"/>
      <c r="E55" s="296"/>
      <c r="F55" s="297"/>
    </row>
    <row r="56" spans="1:6" ht="18.75" customHeight="1" x14ac:dyDescent="0.15">
      <c r="A56" s="18"/>
      <c r="B56" s="295"/>
      <c r="C56" s="296"/>
      <c r="D56" s="296"/>
      <c r="E56" s="296"/>
      <c r="F56" s="297"/>
    </row>
    <row r="57" spans="1:6" ht="18.75" customHeight="1" x14ac:dyDescent="0.15">
      <c r="A57" s="18"/>
      <c r="B57" s="295"/>
      <c r="C57" s="296"/>
      <c r="D57" s="296"/>
      <c r="E57" s="296"/>
      <c r="F57" s="297"/>
    </row>
    <row r="58" spans="1:6" ht="18.75" customHeight="1" x14ac:dyDescent="0.15">
      <c r="A58" s="18"/>
      <c r="B58" s="295"/>
      <c r="C58" s="296"/>
      <c r="D58" s="296"/>
      <c r="E58" s="296"/>
      <c r="F58" s="297"/>
    </row>
    <row r="59" spans="1:6" ht="18.75" customHeight="1" x14ac:dyDescent="0.15">
      <c r="A59" s="18"/>
      <c r="B59" s="295"/>
      <c r="C59" s="296"/>
      <c r="D59" s="296"/>
      <c r="E59" s="296"/>
      <c r="F59" s="297"/>
    </row>
    <row r="60" spans="1:6" ht="18.75" customHeight="1" x14ac:dyDescent="0.15">
      <c r="A60" s="18"/>
      <c r="B60" s="295"/>
      <c r="C60" s="296"/>
      <c r="D60" s="296"/>
      <c r="E60" s="296"/>
      <c r="F60" s="297"/>
    </row>
    <row r="61" spans="1:6" ht="18.75" customHeight="1" x14ac:dyDescent="0.15">
      <c r="A61" s="18"/>
      <c r="B61" s="295"/>
      <c r="C61" s="296"/>
      <c r="D61" s="296"/>
      <c r="E61" s="296"/>
      <c r="F61" s="297"/>
    </row>
    <row r="62" spans="1:6" ht="18.75" customHeight="1" x14ac:dyDescent="0.15">
      <c r="A62" s="18"/>
      <c r="B62" s="295"/>
      <c r="C62" s="296"/>
      <c r="D62" s="296"/>
      <c r="E62" s="296"/>
      <c r="F62" s="297"/>
    </row>
    <row r="63" spans="1:6" ht="18.75" customHeight="1" x14ac:dyDescent="0.15">
      <c r="A63" s="18"/>
      <c r="B63" s="295"/>
      <c r="C63" s="296"/>
      <c r="D63" s="296"/>
      <c r="E63" s="296"/>
      <c r="F63" s="297"/>
    </row>
    <row r="64" spans="1:6" ht="18.75" customHeight="1" x14ac:dyDescent="0.15">
      <c r="A64" s="18"/>
      <c r="B64" s="295"/>
      <c r="C64" s="296"/>
      <c r="D64" s="296"/>
      <c r="E64" s="296"/>
      <c r="F64" s="297"/>
    </row>
    <row r="65" spans="1:6" ht="18.75" customHeight="1" x14ac:dyDescent="0.15">
      <c r="A65" s="18"/>
      <c r="B65" s="295"/>
      <c r="C65" s="296"/>
      <c r="D65" s="296"/>
      <c r="E65" s="296"/>
      <c r="F65" s="297"/>
    </row>
    <row r="66" spans="1:6" ht="18.75" customHeight="1" x14ac:dyDescent="0.15">
      <c r="A66" s="18"/>
      <c r="B66" s="295"/>
      <c r="C66" s="296"/>
      <c r="D66" s="296"/>
      <c r="E66" s="296"/>
      <c r="F66" s="297"/>
    </row>
    <row r="67" spans="1:6" ht="18.75" customHeight="1" x14ac:dyDescent="0.15">
      <c r="A67" s="18"/>
      <c r="B67" s="295"/>
      <c r="C67" s="296"/>
      <c r="D67" s="296"/>
      <c r="E67" s="296"/>
      <c r="F67" s="297"/>
    </row>
    <row r="68" spans="1:6" ht="18.75" customHeight="1" x14ac:dyDescent="0.15">
      <c r="A68" s="18"/>
      <c r="B68" s="295"/>
      <c r="C68" s="296"/>
      <c r="D68" s="296"/>
      <c r="E68" s="296"/>
      <c r="F68" s="297"/>
    </row>
    <row r="69" spans="1:6" ht="18.75" customHeight="1" x14ac:dyDescent="0.15">
      <c r="A69" s="18"/>
      <c r="B69" s="295"/>
      <c r="C69" s="296"/>
      <c r="D69" s="296"/>
      <c r="E69" s="296"/>
      <c r="F69" s="297"/>
    </row>
    <row r="70" spans="1:6" ht="18.75" customHeight="1" x14ac:dyDescent="0.15">
      <c r="A70" s="13"/>
      <c r="B70" s="295"/>
      <c r="C70" s="296"/>
      <c r="D70" s="296"/>
      <c r="E70" s="296"/>
      <c r="F70" s="297"/>
    </row>
    <row r="71" spans="1:6" ht="18.75" customHeight="1" x14ac:dyDescent="0.15">
      <c r="A71" s="13"/>
      <c r="B71" s="295"/>
      <c r="C71" s="296"/>
      <c r="D71" s="296"/>
      <c r="E71" s="296"/>
      <c r="F71" s="297"/>
    </row>
    <row r="72" spans="1:6" ht="18.75" customHeight="1" x14ac:dyDescent="0.15">
      <c r="A72" s="13"/>
      <c r="B72" s="295"/>
      <c r="C72" s="296"/>
      <c r="D72" s="296"/>
      <c r="E72" s="296"/>
      <c r="F72" s="297"/>
    </row>
    <row r="73" spans="1:6" ht="18.75" customHeight="1" x14ac:dyDescent="0.15">
      <c r="A73" s="13"/>
      <c r="B73" s="295"/>
      <c r="C73" s="296"/>
      <c r="D73" s="296"/>
      <c r="E73" s="296"/>
      <c r="F73" s="297"/>
    </row>
    <row r="74" spans="1:6" ht="18.75" customHeight="1" x14ac:dyDescent="0.15">
      <c r="A74" s="13"/>
      <c r="B74" s="295"/>
      <c r="C74" s="296"/>
      <c r="D74" s="296"/>
      <c r="E74" s="296"/>
      <c r="F74" s="297"/>
    </row>
    <row r="75" spans="1:6" ht="18.75" customHeight="1" x14ac:dyDescent="0.15">
      <c r="A75" s="13"/>
      <c r="B75" s="295"/>
      <c r="C75" s="296"/>
      <c r="D75" s="296"/>
      <c r="E75" s="296"/>
      <c r="F75" s="297"/>
    </row>
    <row r="76" spans="1:6" ht="18.75" customHeight="1" x14ac:dyDescent="0.15">
      <c r="A76" s="13"/>
      <c r="B76" s="295"/>
      <c r="C76" s="296"/>
      <c r="D76" s="296"/>
      <c r="E76" s="296"/>
      <c r="F76" s="297"/>
    </row>
    <row r="77" spans="1:6" ht="18.75" customHeight="1" x14ac:dyDescent="0.15">
      <c r="A77" s="13"/>
      <c r="B77" s="295"/>
      <c r="C77" s="296"/>
      <c r="D77" s="296"/>
      <c r="E77" s="296"/>
      <c r="F77" s="297"/>
    </row>
    <row r="78" spans="1:6" ht="18.75" customHeight="1" x14ac:dyDescent="0.15">
      <c r="A78" s="13"/>
      <c r="B78" s="295"/>
      <c r="C78" s="296"/>
      <c r="D78" s="296"/>
      <c r="E78" s="296"/>
      <c r="F78" s="297"/>
    </row>
    <row r="79" spans="1:6" ht="18.75" customHeight="1" x14ac:dyDescent="0.15">
      <c r="A79" s="13"/>
      <c r="B79" s="295"/>
      <c r="C79" s="296"/>
      <c r="D79" s="296"/>
      <c r="E79" s="296"/>
      <c r="F79" s="297"/>
    </row>
    <row r="80" spans="1:6" ht="18.75" customHeight="1" x14ac:dyDescent="0.15">
      <c r="A80" s="13"/>
      <c r="B80" s="295"/>
      <c r="C80" s="296"/>
      <c r="D80" s="296"/>
      <c r="E80" s="296"/>
      <c r="F80" s="297"/>
    </row>
    <row r="81" spans="1:6" ht="18.75" customHeight="1" x14ac:dyDescent="0.15">
      <c r="A81" s="13"/>
      <c r="B81" s="295"/>
      <c r="C81" s="296"/>
      <c r="D81" s="296"/>
      <c r="E81" s="296"/>
      <c r="F81" s="297"/>
    </row>
    <row r="82" spans="1:6" ht="18.75" customHeight="1" x14ac:dyDescent="0.15">
      <c r="A82" s="13"/>
      <c r="B82" s="295"/>
      <c r="C82" s="296"/>
      <c r="D82" s="296"/>
      <c r="E82" s="296"/>
      <c r="F82" s="297"/>
    </row>
    <row r="83" spans="1:6" ht="18.75" customHeight="1" x14ac:dyDescent="0.15">
      <c r="A83" s="18"/>
      <c r="B83" s="295"/>
      <c r="C83" s="296"/>
      <c r="D83" s="296"/>
      <c r="E83" s="296"/>
      <c r="F83" s="297"/>
    </row>
    <row r="84" spans="1:6" ht="18.75" customHeight="1" x14ac:dyDescent="0.15">
      <c r="A84" s="13"/>
      <c r="B84" s="295"/>
      <c r="C84" s="296"/>
      <c r="D84" s="296"/>
      <c r="E84" s="296"/>
      <c r="F84" s="297"/>
    </row>
    <row r="85" spans="1:6" ht="18.75" customHeight="1" x14ac:dyDescent="0.15">
      <c r="A85" s="13"/>
      <c r="B85" s="295"/>
      <c r="C85" s="296"/>
      <c r="D85" s="296"/>
      <c r="E85" s="296"/>
      <c r="F85" s="297"/>
    </row>
    <row r="86" spans="1:6" ht="18.75" customHeight="1" x14ac:dyDescent="0.15">
      <c r="A86" s="13"/>
      <c r="B86" s="295"/>
      <c r="C86" s="296"/>
      <c r="D86" s="296"/>
      <c r="E86" s="296"/>
      <c r="F86" s="297"/>
    </row>
    <row r="87" spans="1:6" ht="18.75" customHeight="1" x14ac:dyDescent="0.15">
      <c r="A87" s="13"/>
      <c r="B87" s="298"/>
      <c r="C87" s="299"/>
      <c r="D87" s="299"/>
      <c r="E87" s="299"/>
      <c r="F87" s="300"/>
    </row>
    <row r="88" spans="1:6" s="7" customFormat="1" ht="18.75" customHeight="1" x14ac:dyDescent="0.15">
      <c r="A88" s="4" t="s">
        <v>13</v>
      </c>
      <c r="B88" s="4" t="s">
        <v>94</v>
      </c>
      <c r="C88" s="4"/>
      <c r="D88" s="4"/>
      <c r="E88" s="4"/>
      <c r="F88" s="4"/>
    </row>
    <row r="89" spans="1:6" ht="18.75" customHeight="1" x14ac:dyDescent="0.15">
      <c r="A89" s="13"/>
      <c r="B89" s="292"/>
      <c r="C89" s="293"/>
      <c r="D89" s="293"/>
      <c r="E89" s="293"/>
      <c r="F89" s="294"/>
    </row>
    <row r="90" spans="1:6" ht="18.75" customHeight="1" x14ac:dyDescent="0.15">
      <c r="A90" s="13"/>
      <c r="B90" s="295"/>
      <c r="C90" s="296"/>
      <c r="D90" s="296"/>
      <c r="E90" s="296"/>
      <c r="F90" s="297"/>
    </row>
    <row r="91" spans="1:6" ht="18.75" customHeight="1" x14ac:dyDescent="0.15">
      <c r="A91" s="18"/>
      <c r="B91" s="295"/>
      <c r="C91" s="296"/>
      <c r="D91" s="296"/>
      <c r="E91" s="296"/>
      <c r="F91" s="297"/>
    </row>
    <row r="92" spans="1:6" ht="18.75" customHeight="1" x14ac:dyDescent="0.15">
      <c r="A92" s="18"/>
      <c r="B92" s="295"/>
      <c r="C92" s="296"/>
      <c r="D92" s="296"/>
      <c r="E92" s="296"/>
      <c r="F92" s="297"/>
    </row>
    <row r="93" spans="1:6" ht="18.75" customHeight="1" x14ac:dyDescent="0.15">
      <c r="A93" s="18"/>
      <c r="B93" s="295"/>
      <c r="C93" s="296"/>
      <c r="D93" s="296"/>
      <c r="E93" s="296"/>
      <c r="F93" s="297"/>
    </row>
    <row r="94" spans="1:6" ht="18.75" customHeight="1" x14ac:dyDescent="0.15">
      <c r="A94" s="18"/>
      <c r="B94" s="295"/>
      <c r="C94" s="296"/>
      <c r="D94" s="296"/>
      <c r="E94" s="296"/>
      <c r="F94" s="297"/>
    </row>
    <row r="95" spans="1:6" ht="18.75" customHeight="1" x14ac:dyDescent="0.15">
      <c r="A95" s="18"/>
      <c r="B95" s="295"/>
      <c r="C95" s="296"/>
      <c r="D95" s="296"/>
      <c r="E95" s="296"/>
      <c r="F95" s="297"/>
    </row>
    <row r="96" spans="1:6" ht="18.75" customHeight="1" x14ac:dyDescent="0.15">
      <c r="A96" s="18"/>
      <c r="B96" s="295"/>
      <c r="C96" s="296"/>
      <c r="D96" s="296"/>
      <c r="E96" s="296"/>
      <c r="F96" s="297"/>
    </row>
    <row r="97" spans="1:6" ht="18.75" customHeight="1" x14ac:dyDescent="0.15">
      <c r="A97" s="18"/>
      <c r="B97" s="295"/>
      <c r="C97" s="296"/>
      <c r="D97" s="296"/>
      <c r="E97" s="296"/>
      <c r="F97" s="297"/>
    </row>
    <row r="98" spans="1:6" ht="18.75" customHeight="1" x14ac:dyDescent="0.15">
      <c r="A98" s="18"/>
      <c r="B98" s="295"/>
      <c r="C98" s="296"/>
      <c r="D98" s="296"/>
      <c r="E98" s="296"/>
      <c r="F98" s="297"/>
    </row>
    <row r="99" spans="1:6" ht="18.75" customHeight="1" x14ac:dyDescent="0.15">
      <c r="A99" s="18"/>
      <c r="B99" s="295"/>
      <c r="C99" s="296"/>
      <c r="D99" s="296"/>
      <c r="E99" s="296"/>
      <c r="F99" s="297"/>
    </row>
    <row r="100" spans="1:6" ht="18.75" customHeight="1" x14ac:dyDescent="0.15">
      <c r="A100" s="18"/>
      <c r="B100" s="295"/>
      <c r="C100" s="296"/>
      <c r="D100" s="296"/>
      <c r="E100" s="296"/>
      <c r="F100" s="297"/>
    </row>
    <row r="101" spans="1:6" ht="18.75" customHeight="1" x14ac:dyDescent="0.15">
      <c r="A101" s="18"/>
      <c r="B101" s="295"/>
      <c r="C101" s="296"/>
      <c r="D101" s="296"/>
      <c r="E101" s="296"/>
      <c r="F101" s="297"/>
    </row>
    <row r="102" spans="1:6" ht="18.75" customHeight="1" x14ac:dyDescent="0.15">
      <c r="A102" s="18"/>
      <c r="B102" s="295"/>
      <c r="C102" s="296"/>
      <c r="D102" s="296"/>
      <c r="E102" s="296"/>
      <c r="F102" s="297"/>
    </row>
    <row r="103" spans="1:6" ht="18.75" customHeight="1" x14ac:dyDescent="0.15">
      <c r="A103" s="18"/>
      <c r="B103" s="295"/>
      <c r="C103" s="296"/>
      <c r="D103" s="296"/>
      <c r="E103" s="296"/>
      <c r="F103" s="297"/>
    </row>
    <row r="104" spans="1:6" ht="18.75" customHeight="1" x14ac:dyDescent="0.15">
      <c r="A104" s="18"/>
      <c r="B104" s="295"/>
      <c r="C104" s="296"/>
      <c r="D104" s="296"/>
      <c r="E104" s="296"/>
      <c r="F104" s="297"/>
    </row>
    <row r="105" spans="1:6" ht="18.75" customHeight="1" x14ac:dyDescent="0.15">
      <c r="A105" s="18"/>
      <c r="B105" s="295"/>
      <c r="C105" s="296"/>
      <c r="D105" s="296"/>
      <c r="E105" s="296"/>
      <c r="F105" s="297"/>
    </row>
    <row r="106" spans="1:6" ht="18.75" customHeight="1" x14ac:dyDescent="0.15">
      <c r="A106" s="18"/>
      <c r="B106" s="295"/>
      <c r="C106" s="296"/>
      <c r="D106" s="296"/>
      <c r="E106" s="296"/>
      <c r="F106" s="297"/>
    </row>
    <row r="107" spans="1:6" ht="18.75" customHeight="1" x14ac:dyDescent="0.15">
      <c r="A107" s="18"/>
      <c r="B107" s="295"/>
      <c r="C107" s="296"/>
      <c r="D107" s="296"/>
      <c r="E107" s="296"/>
      <c r="F107" s="297"/>
    </row>
    <row r="108" spans="1:6" ht="18.75" customHeight="1" x14ac:dyDescent="0.15">
      <c r="A108" s="18"/>
      <c r="B108" s="295"/>
      <c r="C108" s="296"/>
      <c r="D108" s="296"/>
      <c r="E108" s="296"/>
      <c r="F108" s="297"/>
    </row>
    <row r="109" spans="1:6" ht="18.75" customHeight="1" x14ac:dyDescent="0.15">
      <c r="A109" s="18"/>
      <c r="B109" s="295"/>
      <c r="C109" s="296"/>
      <c r="D109" s="296"/>
      <c r="E109" s="296"/>
      <c r="F109" s="297"/>
    </row>
    <row r="110" spans="1:6" ht="18.75" customHeight="1" x14ac:dyDescent="0.15">
      <c r="A110" s="18"/>
      <c r="B110" s="295"/>
      <c r="C110" s="296"/>
      <c r="D110" s="296"/>
      <c r="E110" s="296"/>
      <c r="F110" s="297"/>
    </row>
    <row r="111" spans="1:6" ht="18.75" customHeight="1" x14ac:dyDescent="0.15">
      <c r="A111" s="18"/>
      <c r="B111" s="295"/>
      <c r="C111" s="296"/>
      <c r="D111" s="296"/>
      <c r="E111" s="296"/>
      <c r="F111" s="297"/>
    </row>
    <row r="112" spans="1:6" ht="18.75" customHeight="1" x14ac:dyDescent="0.15">
      <c r="A112" s="18"/>
      <c r="B112" s="295"/>
      <c r="C112" s="296"/>
      <c r="D112" s="296"/>
      <c r="E112" s="296"/>
      <c r="F112" s="297"/>
    </row>
    <row r="113" spans="1:6" ht="18.75" customHeight="1" x14ac:dyDescent="0.15">
      <c r="A113" s="18"/>
      <c r="B113" s="295"/>
      <c r="C113" s="296"/>
      <c r="D113" s="296"/>
      <c r="E113" s="296"/>
      <c r="F113" s="297"/>
    </row>
    <row r="114" spans="1:6" ht="18.75" customHeight="1" x14ac:dyDescent="0.15">
      <c r="A114" s="18"/>
      <c r="B114" s="295"/>
      <c r="C114" s="296"/>
      <c r="D114" s="296"/>
      <c r="E114" s="296"/>
      <c r="F114" s="297"/>
    </row>
    <row r="115" spans="1:6" ht="18.75" customHeight="1" x14ac:dyDescent="0.15">
      <c r="A115" s="13"/>
      <c r="B115" s="295"/>
      <c r="C115" s="296"/>
      <c r="D115" s="296"/>
      <c r="E115" s="296"/>
      <c r="F115" s="297"/>
    </row>
    <row r="116" spans="1:6" ht="18.75" customHeight="1" x14ac:dyDescent="0.15">
      <c r="A116" s="13"/>
      <c r="B116" s="295"/>
      <c r="C116" s="296"/>
      <c r="D116" s="296"/>
      <c r="E116" s="296"/>
      <c r="F116" s="297"/>
    </row>
    <row r="117" spans="1:6" ht="18.75" customHeight="1" x14ac:dyDescent="0.15">
      <c r="A117" s="13"/>
      <c r="B117" s="295"/>
      <c r="C117" s="296"/>
      <c r="D117" s="296"/>
      <c r="E117" s="296"/>
      <c r="F117" s="297"/>
    </row>
    <row r="118" spans="1:6" ht="18.75" customHeight="1" x14ac:dyDescent="0.15">
      <c r="A118" s="13"/>
      <c r="B118" s="295"/>
      <c r="C118" s="296"/>
      <c r="D118" s="296"/>
      <c r="E118" s="296"/>
      <c r="F118" s="297"/>
    </row>
    <row r="119" spans="1:6" ht="18.75" customHeight="1" x14ac:dyDescent="0.15">
      <c r="A119" s="13"/>
      <c r="B119" s="295"/>
      <c r="C119" s="296"/>
      <c r="D119" s="296"/>
      <c r="E119" s="296"/>
      <c r="F119" s="297"/>
    </row>
    <row r="120" spans="1:6" ht="18.75" customHeight="1" x14ac:dyDescent="0.15">
      <c r="A120" s="13"/>
      <c r="B120" s="295"/>
      <c r="C120" s="296"/>
      <c r="D120" s="296"/>
      <c r="E120" s="296"/>
      <c r="F120" s="297"/>
    </row>
    <row r="121" spans="1:6" ht="18.75" customHeight="1" x14ac:dyDescent="0.15">
      <c r="A121" s="13"/>
      <c r="B121" s="295"/>
      <c r="C121" s="296"/>
      <c r="D121" s="296"/>
      <c r="E121" s="296"/>
      <c r="F121" s="297"/>
    </row>
    <row r="122" spans="1:6" ht="18.75" customHeight="1" x14ac:dyDescent="0.15">
      <c r="A122" s="13"/>
      <c r="B122" s="295"/>
      <c r="C122" s="296"/>
      <c r="D122" s="296"/>
      <c r="E122" s="296"/>
      <c r="F122" s="297"/>
    </row>
    <row r="123" spans="1:6" ht="18.75" customHeight="1" x14ac:dyDescent="0.15">
      <c r="A123" s="13"/>
      <c r="B123" s="295"/>
      <c r="C123" s="296"/>
      <c r="D123" s="296"/>
      <c r="E123" s="296"/>
      <c r="F123" s="297"/>
    </row>
    <row r="124" spans="1:6" ht="18.75" customHeight="1" x14ac:dyDescent="0.15">
      <c r="A124" s="13"/>
      <c r="B124" s="295"/>
      <c r="C124" s="296"/>
      <c r="D124" s="296"/>
      <c r="E124" s="296"/>
      <c r="F124" s="297"/>
    </row>
    <row r="125" spans="1:6" ht="18.75" customHeight="1" x14ac:dyDescent="0.15">
      <c r="A125" s="13"/>
      <c r="B125" s="295"/>
      <c r="C125" s="296"/>
      <c r="D125" s="296"/>
      <c r="E125" s="296"/>
      <c r="F125" s="297"/>
    </row>
    <row r="126" spans="1:6" ht="18.75" customHeight="1" x14ac:dyDescent="0.15">
      <c r="A126" s="13"/>
      <c r="B126" s="295"/>
      <c r="C126" s="296"/>
      <c r="D126" s="296"/>
      <c r="E126" s="296"/>
      <c r="F126" s="297"/>
    </row>
    <row r="127" spans="1:6" ht="18.75" customHeight="1" x14ac:dyDescent="0.15">
      <c r="A127" s="13"/>
      <c r="B127" s="295"/>
      <c r="C127" s="296"/>
      <c r="D127" s="296"/>
      <c r="E127" s="296"/>
      <c r="F127" s="297"/>
    </row>
    <row r="128" spans="1:6" ht="18.75" customHeight="1" x14ac:dyDescent="0.15">
      <c r="A128" s="13"/>
      <c r="B128" s="295"/>
      <c r="C128" s="296"/>
      <c r="D128" s="296"/>
      <c r="E128" s="296"/>
      <c r="F128" s="297"/>
    </row>
    <row r="129" spans="1:6" ht="18.75" customHeight="1" x14ac:dyDescent="0.15">
      <c r="A129" s="13"/>
      <c r="B129" s="295"/>
      <c r="C129" s="296"/>
      <c r="D129" s="296"/>
      <c r="E129" s="296"/>
      <c r="F129" s="297"/>
    </row>
    <row r="130" spans="1:6" ht="18.75" customHeight="1" x14ac:dyDescent="0.15">
      <c r="A130" s="13"/>
      <c r="B130" s="298"/>
      <c r="C130" s="299"/>
      <c r="D130" s="299"/>
      <c r="E130" s="299"/>
      <c r="F130" s="300"/>
    </row>
  </sheetData>
  <mergeCells count="6">
    <mergeCell ref="B89:F130"/>
    <mergeCell ref="E1:F1"/>
    <mergeCell ref="E2:F2"/>
    <mergeCell ref="A4:F4"/>
    <mergeCell ref="B7:F44"/>
    <mergeCell ref="B46:F87"/>
  </mergeCells>
  <phoneticPr fontId="6"/>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'様式4 プログラムの授業内容・概要'!Print_Area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岡本浩輔</cp:lastModifiedBy>
  <cp:lastPrinted>2021-07-16T15:09:37Z</cp:lastPrinted>
  <dcterms:created xsi:type="dcterms:W3CDTF">2011-06-14T05:32:50Z</dcterms:created>
  <dcterms:modified xsi:type="dcterms:W3CDTF">2021-07-16T15:09:44Z</dcterms:modified>
</cp:coreProperties>
</file>