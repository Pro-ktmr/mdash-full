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8.160\share\共有\【ﾃﾞ】データサイエンス\AI・データサイエンス\リテラシーレベル\申請書類\再提出20210616\"/>
    </mc:Choice>
  </mc:AlternateContent>
  <bookViews>
    <workbookView xWindow="0" yWindow="0" windowWidth="28800" windowHeight="11295" tabRatio="938"/>
  </bookViews>
  <sheets>
    <sheet name="様式１　大学等概要" sheetId="8" r:id="rId1"/>
    <sheet name="様式２－1　プログラムを構成する授業科目" sheetId="9" r:id="rId2"/>
    <sheet name="様式２－2　プログラムを構成する授業科目" sheetId="41" r:id="rId3"/>
    <sheet name="様式３　履修者等数の実績" sheetId="31" r:id="rId4"/>
    <sheet name="様式4－１　プログラムの授業内容・概要" sheetId="40" r:id="rId5"/>
    <sheet name="様式4－２プログラムの授業内容・概要" sheetId="42"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_FilterDatabase" localSheetId="4" hidden="1">'様式4－１　プログラムの授業内容・概要'!$C$1:$G$150</definedName>
    <definedName name="_xlnm._FilterDatabase" localSheetId="5" hidden="1">'様式4－２プログラムの授業内容・概要'!$C$1:$G$150</definedName>
    <definedName name="_xlnm.Print_Area" localSheetId="0">'様式１　大学等概要'!$A$1:$N$47</definedName>
    <definedName name="_xlnm.Print_Area" localSheetId="1">'様式２－1　プログラムを構成する授業科目'!$A$1:$I$44</definedName>
    <definedName name="_xlnm.Print_Area" localSheetId="2">'様式２－2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6" i="29" l="1"/>
  <c r="Q8" i="31" l="1"/>
  <c r="R8" i="31" s="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<sst xmlns="http://schemas.openxmlformats.org/spreadsheetml/2006/main" count="443" uniqueCount="265">
  <si>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</si>
  <si>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</si>
  <si>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</si>
  <si>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</si>
  <si>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</si>
  <si>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</si>
  <si>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</si>
  <si>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</si>
  <si>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</si>
  <si>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</si>
  <si>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</si>
  <si>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</si>
  <si>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</si>
  <si>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</si>
  <si>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</si>
  <si>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</si>
  <si>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</si>
  <si>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</si>
  <si>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</si>
  <si>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</si>
  <si>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</si>
  <si>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</si>
  <si>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</si>
  <si>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</si>
  <si>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</si>
  <si>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</si>
  <si>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</si>
  <si>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</si>
  <si>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</si>
  <si>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</si>
  <si>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</si>
  <si>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</si>
  <si>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</si>
  <si>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</si>
  <si>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</si>
  <si>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</si>
  <si>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</si>
  <si>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</si>
  <si>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</si>
  <si>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</si>
  <si>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</si>
  <si>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</si>
  <si>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</si>
  <si>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</si>
  <si>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</si>
  <si>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</si>
  <si>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</si>
  <si>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</si>
  <si>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</si>
  <si>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</si>
  <si>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</si>
  <si>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</si>
  <si>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</si>
  <si>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</si>
  <si>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</si>
  <si>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</si>
  <si>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</si>
  <si>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</si>
  <si>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</si>
  <si>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</si>
  <si>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</si>
  <si>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</si>
  <si>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</si>
  <si>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</si>
  <si>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</si>
  <si>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</si>
  <si>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</si>
  <si>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</si>
  <si>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</si>
  <si>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</si>
  <si>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</si>
  <si>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</si>
  <si>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</si>
  <si>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</si>
  <si>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</si>
  <si>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</si>
  <si>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</si>
  <si>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</si>
  <si>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</si>
  <si>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</si>
  <si>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</si>
  <si>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</si>
  <si>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</si>
  <si>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</si>
  <si>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</si>
  <si>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</si>
  <si>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</si>
  <si>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</si>
  <si>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</si>
  <si>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</si>
  <si>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</si>
  <si>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</si>
  <si>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</si>
  <si>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</si>
  <si>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</si>
  <si>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</si>
  <si>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</si>
  <si>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</si>
  <si>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</si>
  <si>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</si>
  <si>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</si>
  <si>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</si>
  <si>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</si>
  <si>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</si>
  <si>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</si>
  <si>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</si>
  <si>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</si>
  <si>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</si>
  <si>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</si>
  <si>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</si>
  <si>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</si>
  <si>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</si>
  <si>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</si>
  <si>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</si>
  <si>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</si>
  <si>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</si>
  <si>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</si>
  <si>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</si>
  <si>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</si>
  <si>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</si>
  <si>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</si>
  <si>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</si>
  <si>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</si>
  <si>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</si>
  <si>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</si>
  <si>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</si>
  <si>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</si>
  <si>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</si>
  <si>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</si>
  <si>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</si>
  <si>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敬愛大学</t>
    <rPh sb="0" eb="2">
      <t>ケイアイ</t>
    </rPh>
    <rPh sb="2" eb="4">
      <t>ダイガク</t>
    </rPh>
    <phoneticPr fontId="1"/>
  </si>
  <si>
    <t>私立大学</t>
  </si>
  <si>
    <t>副専攻「AI・データサイエンス」</t>
    <rPh sb="0" eb="3">
      <t>フクセンコウ</t>
    </rPh>
    <phoneticPr fontId="1"/>
  </si>
  <si>
    <t>令和元年度</t>
    <rPh sb="0" eb="2">
      <t>レイワ</t>
    </rPh>
    <rPh sb="2" eb="4">
      <t>ガンネン</t>
    </rPh>
    <rPh sb="4" eb="5">
      <t>ド</t>
    </rPh>
    <phoneticPr fontId="1"/>
  </si>
  <si>
    <t>高橋　和子</t>
    <rPh sb="0" eb="2">
      <t>タカハシ</t>
    </rPh>
    <rPh sb="3" eb="5">
      <t>カズコ</t>
    </rPh>
    <phoneticPr fontId="1"/>
  </si>
  <si>
    <t>国際学部長</t>
    <rPh sb="0" eb="2">
      <t>コクサイ</t>
    </rPh>
    <rPh sb="2" eb="4">
      <t>ガクブ</t>
    </rPh>
    <rPh sb="4" eb="5">
      <t>チョウ</t>
    </rPh>
    <phoneticPr fontId="1"/>
  </si>
  <si>
    <t>AI・データサイエンス教育研究会</t>
    <rPh sb="11" eb="13">
      <t>キョウイク</t>
    </rPh>
    <rPh sb="13" eb="16">
      <t>ケンキュウカイ</t>
    </rPh>
    <phoneticPr fontId="1"/>
  </si>
  <si>
    <t>学長</t>
    <rPh sb="0" eb="2">
      <t>ガクチョウ</t>
    </rPh>
    <phoneticPr fontId="1"/>
  </si>
  <si>
    <t>認定教育プログラム</t>
  </si>
  <si>
    <t>IR・広報室</t>
    <rPh sb="3" eb="6">
      <t>コウホウシツ</t>
    </rPh>
    <phoneticPr fontId="1"/>
  </si>
  <si>
    <t>工藤　龍雄</t>
    <rPh sb="0" eb="2">
      <t>クドウ</t>
    </rPh>
    <rPh sb="3" eb="5">
      <t>タツオ</t>
    </rPh>
    <phoneticPr fontId="1"/>
  </si>
  <si>
    <t>t-kudoh@u-keiai.ac.jp</t>
    <phoneticPr fontId="1"/>
  </si>
  <si>
    <t>043-284-2335</t>
    <phoneticPr fontId="1"/>
  </si>
  <si>
    <t>三幣　利夫</t>
    <rPh sb="0" eb="2">
      <t>サンヘイ</t>
    </rPh>
    <rPh sb="3" eb="5">
      <t>トシオ</t>
    </rPh>
    <phoneticPr fontId="1"/>
  </si>
  <si>
    <t>⑫</t>
    <phoneticPr fontId="1"/>
  </si>
  <si>
    <t>大学等の設置者</t>
    <phoneticPr fontId="1"/>
  </si>
  <si>
    <t>設置形態</t>
    <phoneticPr fontId="1"/>
  </si>
  <si>
    <t>千葉県千葉市稲毛区穴川1-5-21</t>
    <rPh sb="0" eb="3">
      <t>チバケン</t>
    </rPh>
    <rPh sb="3" eb="5">
      <t>チバ</t>
    </rPh>
    <rPh sb="5" eb="6">
      <t>シ</t>
    </rPh>
    <rPh sb="6" eb="9">
      <t>イナゲク</t>
    </rPh>
    <rPh sb="9" eb="11">
      <t>アナガワ</t>
    </rPh>
    <phoneticPr fontId="1"/>
  </si>
  <si>
    <t>データサイエンス総論</t>
    <rPh sb="8" eb="10">
      <t>ソウロン</t>
    </rPh>
    <phoneticPr fontId="1"/>
  </si>
  <si>
    <t>情報概論</t>
    <rPh sb="0" eb="2">
      <t>ジョウホウ</t>
    </rPh>
    <rPh sb="2" eb="4">
      <t>ガイロン</t>
    </rPh>
    <phoneticPr fontId="1"/>
  </si>
  <si>
    <t>AI概論</t>
    <rPh sb="2" eb="4">
      <t>ガイロン</t>
    </rPh>
    <phoneticPr fontId="1"/>
  </si>
  <si>
    <t>統計学Ⅰ</t>
    <rPh sb="0" eb="3">
      <t>トウケイガク</t>
    </rPh>
    <phoneticPr fontId="1"/>
  </si>
  <si>
    <t>統計学Ⅱ</t>
    <rPh sb="0" eb="3">
      <t>トウケイガク</t>
    </rPh>
    <phoneticPr fontId="1"/>
  </si>
  <si>
    <t>アルゴリズム論</t>
    <rPh sb="6" eb="7">
      <t>ロン</t>
    </rPh>
    <phoneticPr fontId="1"/>
  </si>
  <si>
    <t>マーケティング・リサーチⅠ</t>
  </si>
  <si>
    <t>マーケティング・リサーチⅡ</t>
  </si>
  <si>
    <t>観光マーケティング調査</t>
    <rPh sb="0" eb="2">
      <t>カンコウ</t>
    </rPh>
    <rPh sb="9" eb="11">
      <t>チョウサ</t>
    </rPh>
    <phoneticPr fontId="1"/>
  </si>
  <si>
    <t>プログラミング</t>
  </si>
  <si>
    <t>情報ビジネス論</t>
    <rPh sb="0" eb="2">
      <t>ジョウホウ</t>
    </rPh>
    <rPh sb="6" eb="7">
      <t>ロン</t>
    </rPh>
    <phoneticPr fontId="1"/>
  </si>
  <si>
    <t>社会調査法Ⅰ</t>
    <rPh sb="0" eb="2">
      <t>シャカイ</t>
    </rPh>
    <rPh sb="2" eb="4">
      <t>チョウサ</t>
    </rPh>
    <rPh sb="4" eb="5">
      <t>ホウ</t>
    </rPh>
    <phoneticPr fontId="1"/>
  </si>
  <si>
    <t>社会調査法Ⅱ</t>
    <rPh sb="0" eb="2">
      <t>シャカイ</t>
    </rPh>
    <rPh sb="2" eb="4">
      <t>チョウサ</t>
    </rPh>
    <rPh sb="4" eb="5">
      <t>ホウ</t>
    </rPh>
    <phoneticPr fontId="1"/>
  </si>
  <si>
    <t>社会調査実習Ⅰ</t>
    <rPh sb="0" eb="2">
      <t>シャカイ</t>
    </rPh>
    <rPh sb="2" eb="4">
      <t>チョウサ</t>
    </rPh>
    <rPh sb="4" eb="6">
      <t>ジッシュウ</t>
    </rPh>
    <phoneticPr fontId="1"/>
  </si>
  <si>
    <t>社会調査実習Ⅱ</t>
    <rPh sb="0" eb="2">
      <t>シャカイ</t>
    </rPh>
    <rPh sb="2" eb="4">
      <t>チョウサ</t>
    </rPh>
    <rPh sb="4" eb="6">
      <t>ジッシュウ</t>
    </rPh>
    <phoneticPr fontId="1"/>
  </si>
  <si>
    <t>情報セキュリティ論</t>
    <rPh sb="0" eb="2">
      <t>ジョウホウ</t>
    </rPh>
    <rPh sb="8" eb="9">
      <t>ロン</t>
    </rPh>
    <phoneticPr fontId="1"/>
  </si>
  <si>
    <t>統計学総論Ⅰ</t>
    <rPh sb="0" eb="3">
      <t>トウケイガク</t>
    </rPh>
    <rPh sb="3" eb="5">
      <t>ソウロン</t>
    </rPh>
    <phoneticPr fontId="1"/>
  </si>
  <si>
    <t>統計学総論Ⅱ</t>
    <rPh sb="0" eb="3">
      <t>トウケイガク</t>
    </rPh>
    <rPh sb="3" eb="5">
      <t>ソウロン</t>
    </rPh>
    <phoneticPr fontId="1"/>
  </si>
  <si>
    <t>計量経済学Ⅰ</t>
    <rPh sb="0" eb="2">
      <t>ケイリョウ</t>
    </rPh>
    <rPh sb="2" eb="5">
      <t>ケイザイガク</t>
    </rPh>
    <phoneticPr fontId="1"/>
  </si>
  <si>
    <t>計量経済学Ⅱ</t>
    <rPh sb="0" eb="2">
      <t>ケイリョウ</t>
    </rPh>
    <rPh sb="2" eb="5">
      <t>ケイザイガク</t>
    </rPh>
    <phoneticPr fontId="1"/>
  </si>
  <si>
    <t>ビジネスデータ解析</t>
    <rPh sb="7" eb="9">
      <t>カイセキ</t>
    </rPh>
    <phoneticPr fontId="1"/>
  </si>
  <si>
    <t>経済統計Ⅰ</t>
    <rPh sb="0" eb="2">
      <t>ケイザイ</t>
    </rPh>
    <rPh sb="2" eb="4">
      <t>トウケイ</t>
    </rPh>
    <phoneticPr fontId="1"/>
  </si>
  <si>
    <t>経済統計Ⅱ</t>
    <rPh sb="0" eb="2">
      <t>ケイザイ</t>
    </rPh>
    <rPh sb="2" eb="4">
      <t>トウケイ</t>
    </rPh>
    <phoneticPr fontId="1"/>
  </si>
  <si>
    <t>学部・学科によって、修了要件は相違する</t>
  </si>
  <si>
    <t>様式２－２</t>
    <rPh sb="0" eb="2">
      <t>ヨウシキ</t>
    </rPh>
    <phoneticPr fontId="1"/>
  </si>
  <si>
    <t>様式２－１</t>
    <rPh sb="0" eb="2">
      <t>ヨウシキ</t>
    </rPh>
    <phoneticPr fontId="1"/>
  </si>
  <si>
    <t>経済学部(社会科学)</t>
    <rPh sb="0" eb="2">
      <t>ケイザイ</t>
    </rPh>
    <rPh sb="2" eb="4">
      <t>ガクブ</t>
    </rPh>
    <rPh sb="5" eb="7">
      <t>シャカイ</t>
    </rPh>
    <rPh sb="7" eb="9">
      <t>カガク</t>
    </rPh>
    <phoneticPr fontId="1"/>
  </si>
  <si>
    <t>自己点検・評価委員会、教学マネジメント協議会</t>
    <rPh sb="0" eb="2">
      <t>ジコ</t>
    </rPh>
    <rPh sb="2" eb="4">
      <t>テンケン</t>
    </rPh>
    <rPh sb="5" eb="7">
      <t>ヒョウカ</t>
    </rPh>
    <rPh sb="7" eb="10">
      <t>イインカイ</t>
    </rPh>
    <rPh sb="11" eb="13">
      <t>キョウガク</t>
    </rPh>
    <rPh sb="19" eb="22">
      <t>キョウギカイ</t>
    </rPh>
    <phoneticPr fontId="1"/>
  </si>
  <si>
    <t>敬愛大学</t>
    <phoneticPr fontId="1"/>
  </si>
  <si>
    <t>学校法人千葉敬愛学園</t>
    <rPh sb="0" eb="2">
      <t>ガッコウ</t>
    </rPh>
    <rPh sb="2" eb="4">
      <t>ホウジン</t>
    </rPh>
    <rPh sb="4" eb="6">
      <t>チバ</t>
    </rPh>
    <rPh sb="6" eb="8">
      <t>ケイアイ</t>
    </rPh>
    <rPh sb="8" eb="10">
      <t>ガクエン</t>
    </rPh>
    <phoneticPr fontId="1"/>
  </si>
  <si>
    <t>様式４－２</t>
    <rPh sb="0" eb="2">
      <t>ヨウシキ</t>
    </rPh>
    <phoneticPr fontId="1"/>
  </si>
  <si>
    <t>様式４－１</t>
    <rPh sb="0" eb="2">
      <t>ヨウシキ</t>
    </rPh>
    <phoneticPr fontId="1"/>
  </si>
  <si>
    <t>アルゴリズム論　プログラミング</t>
    <phoneticPr fontId="1"/>
  </si>
  <si>
    <t>なし</t>
    <phoneticPr fontId="1"/>
  </si>
  <si>
    <t>産業別ユースケース（金融、自動車、物流、製造、農業、観光、医療、セキュリティ、教育における実例）（7～9）</t>
    <rPh sb="10" eb="12">
      <t>キンユウ</t>
    </rPh>
    <rPh sb="13" eb="15">
      <t>ジドウ</t>
    </rPh>
    <rPh sb="15" eb="16">
      <t>シャ</t>
    </rPh>
    <rPh sb="17" eb="19">
      <t>ブツリュウ</t>
    </rPh>
    <rPh sb="20" eb="22">
      <t>セイゾウ</t>
    </rPh>
    <rPh sb="23" eb="25">
      <t>ノウギョウ</t>
    </rPh>
    <rPh sb="26" eb="28">
      <t>カンコウ</t>
    </rPh>
    <rPh sb="29" eb="31">
      <t>イリョウ</t>
    </rPh>
    <rPh sb="39" eb="41">
      <t>キョウイク</t>
    </rPh>
    <rPh sb="45" eb="47">
      <t>ジツレイ</t>
    </rPh>
    <phoneticPr fontId="1"/>
  </si>
  <si>
    <t>AIの社会的課題（倫理的な問題、法的問題、企業側の防衛策）（14）</t>
    <rPh sb="3" eb="5">
      <t>シャカイ</t>
    </rPh>
    <rPh sb="5" eb="6">
      <t>テキ</t>
    </rPh>
    <rPh sb="6" eb="8">
      <t>カダイ</t>
    </rPh>
    <rPh sb="9" eb="12">
      <t>リンリテキ</t>
    </rPh>
    <rPh sb="13" eb="15">
      <t>モンダイ</t>
    </rPh>
    <rPh sb="16" eb="18">
      <t>ホウテキ</t>
    </rPh>
    <rPh sb="18" eb="20">
      <t>モンダイ</t>
    </rPh>
    <rPh sb="21" eb="23">
      <t>キギョウ</t>
    </rPh>
    <rPh sb="23" eb="24">
      <t>ガワ</t>
    </rPh>
    <rPh sb="25" eb="27">
      <t>ボウエイ</t>
    </rPh>
    <rPh sb="27" eb="28">
      <t>サク</t>
    </rPh>
    <phoneticPr fontId="1"/>
  </si>
  <si>
    <t>情報技術と社会（Society5.0）（１）、ICTにおける現在の動向（ソーシャルメディア、IoT・ビッグデータ・AI・ロボティクス）（12～14）</t>
    <rPh sb="0" eb="2">
      <t>ジョウホウ</t>
    </rPh>
    <rPh sb="2" eb="4">
      <t>ギジュツ</t>
    </rPh>
    <rPh sb="5" eb="7">
      <t>シャカイ</t>
    </rPh>
    <rPh sb="30" eb="32">
      <t>ゲンザイ</t>
    </rPh>
    <rPh sb="33" eb="35">
      <t>ドウコウ</t>
    </rPh>
    <phoneticPr fontId="1"/>
  </si>
  <si>
    <t>AIとは（Society5.0、AIの適用領域）（１）、ディープラーニング（概要、アプリケーション）（10～11）</t>
    <rPh sb="19" eb="21">
      <t>テキヨウ</t>
    </rPh>
    <rPh sb="21" eb="23">
      <t>リョウイキ</t>
    </rPh>
    <rPh sb="38" eb="40">
      <t>ガイヨウ</t>
    </rPh>
    <phoneticPr fontId="1"/>
  </si>
  <si>
    <t>（統計学総論Ⅰ）</t>
    <rPh sb="1" eb="4">
      <t>トウケイガク</t>
    </rPh>
    <rPh sb="4" eb="6">
      <t>ソウロン</t>
    </rPh>
    <phoneticPr fontId="1"/>
  </si>
  <si>
    <t>（統計学総論Ⅱ）</t>
    <rPh sb="1" eb="4">
      <t>トウケイガク</t>
    </rPh>
    <rPh sb="4" eb="6">
      <t>ソウロン</t>
    </rPh>
    <phoneticPr fontId="1"/>
  </si>
  <si>
    <t>（経済統計Ⅰ）</t>
    <rPh sb="1" eb="3">
      <t>ケイザイ</t>
    </rPh>
    <rPh sb="3" eb="5">
      <t>トウケイ</t>
    </rPh>
    <phoneticPr fontId="1"/>
  </si>
  <si>
    <t>（経済統計Ⅱ）</t>
    <rPh sb="1" eb="3">
      <t>ケイザイ</t>
    </rPh>
    <rPh sb="3" eb="5">
      <t>トウケイ</t>
    </rPh>
    <phoneticPr fontId="1"/>
  </si>
  <si>
    <t>（計量経済学Ⅰ）</t>
    <rPh sb="1" eb="3">
      <t>ケイリョウ</t>
    </rPh>
    <rPh sb="3" eb="6">
      <t>ケイザイガク</t>
    </rPh>
    <phoneticPr fontId="1"/>
  </si>
  <si>
    <t>（計量経済学Ⅱ）</t>
    <rPh sb="1" eb="3">
      <t>ケイリョウ</t>
    </rPh>
    <rPh sb="3" eb="6">
      <t>ケイザイガク</t>
    </rPh>
    <phoneticPr fontId="1"/>
  </si>
  <si>
    <t>マーケティングリサーチⅠ</t>
  </si>
  <si>
    <t>ビッグデータ（次世代社会を支えるビッグデータとデータサイエンス）（2）</t>
    <rPh sb="7" eb="10">
      <t>ジセダイ</t>
    </rPh>
    <rPh sb="10" eb="12">
      <t>シャカイ</t>
    </rPh>
    <rPh sb="13" eb="14">
      <t>ササ</t>
    </rPh>
    <phoneticPr fontId="1"/>
  </si>
  <si>
    <t>ビジネス活用事例（データ解析の目的と活用事例）（4）</t>
    <rPh sb="4" eb="6">
      <t>カツヨウ</t>
    </rPh>
    <rPh sb="6" eb="8">
      <t>ジレイ</t>
    </rPh>
    <rPh sb="12" eb="14">
      <t>カイセキ</t>
    </rPh>
    <rPh sb="15" eb="17">
      <t>モクテキ</t>
    </rPh>
    <rPh sb="18" eb="20">
      <t>カツヨウ</t>
    </rPh>
    <rPh sb="20" eb="22">
      <t>ジレイ</t>
    </rPh>
    <phoneticPr fontId="1"/>
  </si>
  <si>
    <t>統計学Ⅱ　マーケティングリサーチⅡ　観光マーケティング調査　（統計学総論Ⅱ）</t>
    <rPh sb="0" eb="2">
      <t>トウケイ</t>
    </rPh>
    <rPh sb="2" eb="3">
      <t>ガク</t>
    </rPh>
    <phoneticPr fontId="1"/>
  </si>
  <si>
    <t>実地調査入門</t>
    <phoneticPr fontId="1"/>
  </si>
  <si>
    <t>（情報セキュリティ論）</t>
    <rPh sb="1" eb="3">
      <t>ジョウホウ</t>
    </rPh>
    <rPh sb="9" eb="10">
      <t>ロン</t>
    </rPh>
    <phoneticPr fontId="1"/>
  </si>
  <si>
    <t>　（統計学総論Ⅰ）</t>
    <rPh sb="2" eb="5">
      <t>トウケイガク</t>
    </rPh>
    <rPh sb="5" eb="7">
      <t>ソウロン</t>
    </rPh>
    <phoneticPr fontId="1"/>
  </si>
  <si>
    <t>　統計学総論Ⅰ</t>
    <rPh sb="1" eb="4">
      <t>トウケイガク</t>
    </rPh>
    <rPh sb="4" eb="6">
      <t>ソウロン</t>
    </rPh>
    <phoneticPr fontId="1"/>
  </si>
  <si>
    <t>計量経済学Ⅰ　計量経済学Ⅱ　社会調査法Ⅰ　社会調査法Ⅱ　社会調査実習Ⅰ　社会調査実習Ⅱ　情報ビジネス論</t>
    <rPh sb="7" eb="9">
      <t>ケイリョウ</t>
    </rPh>
    <rPh sb="9" eb="12">
      <t>ケイザイガク</t>
    </rPh>
    <rPh sb="35" eb="37">
      <t>ジッチ</t>
    </rPh>
    <rPh sb="37" eb="39">
      <t>チョウサ</t>
    </rPh>
    <rPh sb="39" eb="41">
      <t>ニュウモン</t>
    </rPh>
    <phoneticPr fontId="1"/>
  </si>
  <si>
    <t>マーケティングリサーチと統計（1）、記述統計の基本知識とSPSS（社会科学統計パッケージ）を利用した調査データの処理（実習）（2～14）</t>
    <rPh sb="12" eb="14">
      <t>トウケイ</t>
    </rPh>
    <rPh sb="18" eb="20">
      <t>キジュツ</t>
    </rPh>
    <rPh sb="33" eb="35">
      <t>シャカイ</t>
    </rPh>
    <rPh sb="35" eb="37">
      <t>カガク</t>
    </rPh>
    <rPh sb="37" eb="39">
      <t>トウケイ</t>
    </rPh>
    <rPh sb="46" eb="48">
      <t>リヨウ</t>
    </rPh>
    <rPh sb="50" eb="52">
      <t>チョウサ</t>
    </rPh>
    <rPh sb="56" eb="58">
      <t>ショリ</t>
    </rPh>
    <rPh sb="59" eb="61">
      <t>ジッシュウ</t>
    </rPh>
    <phoneticPr fontId="1"/>
  </si>
  <si>
    <t>国際学部(社会科学・教育）</t>
    <rPh sb="0" eb="2">
      <t>コクサイ</t>
    </rPh>
    <rPh sb="2" eb="4">
      <t>ガクブ</t>
    </rPh>
    <rPh sb="10" eb="12">
      <t>キョウイク</t>
    </rPh>
    <phoneticPr fontId="1"/>
  </si>
  <si>
    <t>統計解析（基本統計とクロス集計、相関分析と回帰分析）（8～9）、多変量解析（9～10）</t>
    <rPh sb="0" eb="2">
      <t>トウケイ</t>
    </rPh>
    <rPh sb="2" eb="4">
      <t>カイセキ</t>
    </rPh>
    <rPh sb="5" eb="7">
      <t>キホン</t>
    </rPh>
    <rPh sb="7" eb="9">
      <t>トウケイ</t>
    </rPh>
    <rPh sb="13" eb="15">
      <t>シュウケイ</t>
    </rPh>
    <rPh sb="16" eb="20">
      <t>ソウカンブンセキ</t>
    </rPh>
    <rPh sb="21" eb="23">
      <t>カイキ</t>
    </rPh>
    <rPh sb="23" eb="25">
      <t>ブンセキ</t>
    </rPh>
    <phoneticPr fontId="1"/>
  </si>
  <si>
    <t>AI実践（IT企業における実際の取組）（12～13）、AIの技術（機械学習、ディープラーニング、自然言語処理、画像処理、音声処理）（2～6、10～11）</t>
    <rPh sb="30" eb="32">
      <t>ギジュツ</t>
    </rPh>
    <rPh sb="33" eb="37">
      <t>キカイガクシュウ</t>
    </rPh>
    <rPh sb="48" eb="54">
      <t>シゼンゲンゴショリ</t>
    </rPh>
    <rPh sb="55" eb="57">
      <t>ガゾウ</t>
    </rPh>
    <rPh sb="57" eb="59">
      <t>ショリ</t>
    </rPh>
    <rPh sb="60" eb="62">
      <t>オンセイ</t>
    </rPh>
    <rPh sb="62" eb="64">
      <t>ショリ</t>
    </rPh>
    <phoneticPr fontId="1"/>
  </si>
  <si>
    <t>ビジネス活用事例（データ解析の目的と活用事例）（4）、データマイニング（3）、AI（機械学習、ディープラーニング、自然言語処理とテキストマイニング）（11～13）</t>
    <rPh sb="42" eb="46">
      <t>キカイガクシュウ</t>
    </rPh>
    <rPh sb="57" eb="59">
      <t>シゼン</t>
    </rPh>
    <rPh sb="59" eb="61">
      <t>ゲンゴ</t>
    </rPh>
    <rPh sb="61" eb="63">
      <t>ショリ</t>
    </rPh>
    <phoneticPr fontId="1"/>
  </si>
  <si>
    <t>フィールドワーク入門　</t>
    <rPh sb="8" eb="10">
      <t>ニュウモン</t>
    </rPh>
    <phoneticPr fontId="1"/>
  </si>
  <si>
    <t>次世代社会を支えるビッグデータとデータサイエンス（2）</t>
    <rPh sb="0" eb="3">
      <t>ジセダイ</t>
    </rPh>
    <rPh sb="3" eb="5">
      <t>シャカイ</t>
    </rPh>
    <rPh sb="6" eb="7">
      <t>ササ</t>
    </rPh>
    <phoneticPr fontId="1"/>
  </si>
  <si>
    <t>Society5.0に向けた人材育成の必要性、AIの適用領域（１）、ディープラーニング（概要、アプリケーション）（10～11）</t>
    <rPh sb="11" eb="12">
      <t>ム</t>
    </rPh>
    <rPh sb="14" eb="16">
      <t>ジンザイ</t>
    </rPh>
    <rPh sb="16" eb="18">
      <t>イクセイ</t>
    </rPh>
    <rPh sb="19" eb="22">
      <t>ヒツヨウセイ</t>
    </rPh>
    <rPh sb="26" eb="28">
      <t>テキヨウ</t>
    </rPh>
    <rPh sb="28" eb="30">
      <t>リョウイキ</t>
    </rPh>
    <rPh sb="44" eb="46">
      <t>ガイヨウ</t>
    </rPh>
    <phoneticPr fontId="1"/>
  </si>
  <si>
    <t>インターネットにおけるセキュリティと情報倫理（11）、情報リテラシ、ディジタルディバイド（14）</t>
    <rPh sb="18" eb="20">
      <t>ジョウホウ</t>
    </rPh>
    <rPh sb="20" eb="22">
      <t>リンリ</t>
    </rPh>
    <rPh sb="27" eb="29">
      <t>ジョウホウ</t>
    </rPh>
    <phoneticPr fontId="1"/>
  </si>
  <si>
    <t>マーケティングリサーチと統計（1）、データの収集（3）、記述統計の基本知識とSPSS（社会科学統計パッケージ）を利用した調査データの処理（実習）（2～14）</t>
    <rPh sb="12" eb="14">
      <t>トウケイ</t>
    </rPh>
    <rPh sb="22" eb="24">
      <t>シュウシュウ</t>
    </rPh>
    <rPh sb="28" eb="30">
      <t>キジュツ</t>
    </rPh>
    <rPh sb="43" eb="45">
      <t>シャカイ</t>
    </rPh>
    <rPh sb="45" eb="47">
      <t>カガク</t>
    </rPh>
    <rPh sb="47" eb="49">
      <t>トウケイ</t>
    </rPh>
    <rPh sb="56" eb="58">
      <t>リヨウ</t>
    </rPh>
    <rPh sb="60" eb="62">
      <t>チョウサ</t>
    </rPh>
    <rPh sb="66" eb="68">
      <t>ショリ</t>
    </rPh>
    <rPh sb="69" eb="71">
      <t>ジッシュウ</t>
    </rPh>
    <phoneticPr fontId="1"/>
  </si>
  <si>
    <t>実際の社会において、データがどのような領域でどのように利活用されているかについて、ビジネスをはじめ、医療や教育等多くの領域における状況を知ることで、社会のあらゆるところに多種多様なデータが存在することを理解する。また、これらのデータは、AIを含めたデータサイエンスの解析技術により活用されることで、日常生活や社会における様々な課題の解決に役立っていることを理解する。</t>
    <rPh sb="0" eb="2">
      <t>ジッサイ</t>
    </rPh>
    <rPh sb="27" eb="28">
      <t>リ</t>
    </rPh>
    <rPh sb="50" eb="52">
      <t>イリョウ</t>
    </rPh>
    <rPh sb="55" eb="56">
      <t>トウ</t>
    </rPh>
    <rPh sb="56" eb="57">
      <t>オオ</t>
    </rPh>
    <rPh sb="59" eb="61">
      <t>リョウイキ</t>
    </rPh>
    <rPh sb="65" eb="67">
      <t>ジョウキョウ</t>
    </rPh>
    <rPh sb="68" eb="69">
      <t>シ</t>
    </rPh>
    <rPh sb="74" eb="76">
      <t>シャカイ</t>
    </rPh>
    <rPh sb="85" eb="89">
      <t>タシュタヨウ</t>
    </rPh>
    <rPh sb="94" eb="96">
      <t>ソンザイ</t>
    </rPh>
    <rPh sb="101" eb="103">
      <t>リカイ</t>
    </rPh>
    <rPh sb="121" eb="122">
      <t>フク</t>
    </rPh>
    <rPh sb="140" eb="142">
      <t>カツヨウ</t>
    </rPh>
    <rPh sb="149" eb="153">
      <t>ニチジョウセイカツ</t>
    </rPh>
    <rPh sb="154" eb="156">
      <t>シャカイ</t>
    </rPh>
    <rPh sb="160" eb="162">
      <t>サマザマ</t>
    </rPh>
    <rPh sb="163" eb="165">
      <t>カダイ</t>
    </rPh>
    <rPh sb="166" eb="168">
      <t>カイケツ</t>
    </rPh>
    <rPh sb="169" eb="171">
      <t>ヤクダ</t>
    </rPh>
    <rPh sb="178" eb="180">
      <t>リカイ</t>
    </rPh>
    <phoneticPr fontId="1"/>
  </si>
  <si>
    <t>データ解析とデータベース（3）、統計解析（基本統計とクロス集計、相関分析）（8～9）</t>
    <rPh sb="3" eb="5">
      <t>カイセキ</t>
    </rPh>
    <rPh sb="16" eb="18">
      <t>トウケイ</t>
    </rPh>
    <rPh sb="18" eb="20">
      <t>カイセキ</t>
    </rPh>
    <rPh sb="21" eb="23">
      <t>キホン</t>
    </rPh>
    <rPh sb="23" eb="25">
      <t>トウケイ</t>
    </rPh>
    <rPh sb="29" eb="31">
      <t>シュウケイ</t>
    </rPh>
    <rPh sb="32" eb="34">
      <t>ソウカン</t>
    </rPh>
    <rPh sb="34" eb="36">
      <t>ブンセキ</t>
    </rPh>
    <phoneticPr fontId="1"/>
  </si>
  <si>
    <t>意図的脅威の種類（2）、情報セキュリティ対策(3)、情報セキュリティと制度（12)</t>
    <rPh sb="0" eb="5">
      <t>イトテ</t>
    </rPh>
    <rPh sb="12" eb="14">
      <t>ジョウホウ</t>
    </rPh>
    <rPh sb="26" eb="28">
      <t>ジョウホウ</t>
    </rPh>
    <phoneticPr fontId="1"/>
  </si>
  <si>
    <t>調査方法とデータの種類(2)、データ分析(5)、データの可視化(6)</t>
    <rPh sb="0" eb="4">
      <t>チョウサ</t>
    </rPh>
    <phoneticPr fontId="1"/>
  </si>
  <si>
    <t>経済統計Ⅰ　</t>
    <phoneticPr fontId="1"/>
  </si>
  <si>
    <t>（経済統計Ⅰ）　</t>
    <phoneticPr fontId="1"/>
  </si>
  <si>
    <t>計算ソフト操作（1,2）、実データの分析実習(3,4,10-14)、 統計データの意味(5-7)</t>
    <rPh sb="0" eb="2">
      <t xml:space="preserve">ケイサンソフト </t>
    </rPh>
    <rPh sb="5" eb="7">
      <t xml:space="preserve">ソウサ </t>
    </rPh>
    <rPh sb="13" eb="14">
      <t xml:space="preserve">ジツデータ </t>
    </rPh>
    <rPh sb="18" eb="22">
      <t xml:space="preserve">ブンセキジッシュウ </t>
    </rPh>
    <rPh sb="35" eb="37">
      <t xml:space="preserve">トウケイ </t>
    </rPh>
    <rPh sb="41" eb="43">
      <t xml:space="preserve">イミ </t>
    </rPh>
    <phoneticPr fontId="1"/>
  </si>
  <si>
    <t>実データの運用事例（2−4）、統計データの読み方(5,6)、調査方法の理解(7)、調査方法の実践(9-14)</t>
    <rPh sb="0" eb="1">
      <t xml:space="preserve">ジツデータ </t>
    </rPh>
    <rPh sb="5" eb="7">
      <t xml:space="preserve">ウンヨウ </t>
    </rPh>
    <rPh sb="7" eb="9">
      <t xml:space="preserve">ジレイ </t>
    </rPh>
    <rPh sb="15" eb="17">
      <t xml:space="preserve">トウケイデータノ </t>
    </rPh>
    <rPh sb="21" eb="22">
      <t xml:space="preserve">ヨミカタ </t>
    </rPh>
    <rPh sb="30" eb="34">
      <t xml:space="preserve">チョウサホウホウ </t>
    </rPh>
    <rPh sb="35" eb="37">
      <t xml:space="preserve">リカイ </t>
    </rPh>
    <rPh sb="41" eb="45">
      <t xml:space="preserve">チョウサホウホウ </t>
    </rPh>
    <rPh sb="46" eb="48">
      <t xml:space="preserve">ジッセン </t>
    </rPh>
    <phoneticPr fontId="1"/>
  </si>
  <si>
    <t>（ビジネスデータ解析）</t>
    <rPh sb="8" eb="10">
      <t>カイセキ</t>
    </rPh>
    <phoneticPr fontId="1"/>
  </si>
  <si>
    <t xml:space="preserve">AI・データサイエンス教育研究会代表　高橋和子　国際学部長
経済学部　教授(学部長)　成松恭平
経済学部　教授(教務部長)　森島隆晴
経済学部　教授　馬場正弘
経済学部　講師　米田紘康
国際学部　教授(学部長)　高橋和子
国際学部　講師　三幣真理
国際学部　講師　大塚慎太郎
大学事務局　局長　渡辺賢二　
修学支援室　室長　松本潤
IR・広報室　室長　工藤龍雄
キャリアセンター長　中山雄二　
</t>
    <rPh sb="16" eb="18">
      <t>ダイヒョウ</t>
    </rPh>
    <rPh sb="19" eb="21">
      <t>タカハシ</t>
    </rPh>
    <rPh sb="21" eb="23">
      <t>カズコ</t>
    </rPh>
    <rPh sb="24" eb="28">
      <t>コクサイガクブ</t>
    </rPh>
    <rPh sb="28" eb="29">
      <t>チョウ</t>
    </rPh>
    <rPh sb="30" eb="32">
      <t>ケイザイ</t>
    </rPh>
    <rPh sb="32" eb="34">
      <t>ガクブ</t>
    </rPh>
    <rPh sb="35" eb="37">
      <t>キョウジュ</t>
    </rPh>
    <rPh sb="38" eb="41">
      <t>ガクブチョウ</t>
    </rPh>
    <rPh sb="43" eb="45">
      <t>ナリマツ</t>
    </rPh>
    <rPh sb="45" eb="47">
      <t>キョウヘイ</t>
    </rPh>
    <rPh sb="48" eb="50">
      <t>ケイザイ</t>
    </rPh>
    <rPh sb="50" eb="52">
      <t>ガクブ</t>
    </rPh>
    <rPh sb="53" eb="55">
      <t>キョウジュ</t>
    </rPh>
    <rPh sb="56" eb="58">
      <t>キョウム</t>
    </rPh>
    <rPh sb="58" eb="60">
      <t>ブチョウ</t>
    </rPh>
    <rPh sb="62" eb="64">
      <t>モリシマ</t>
    </rPh>
    <rPh sb="64" eb="66">
      <t>タカハル</t>
    </rPh>
    <rPh sb="67" eb="69">
      <t>ケイザイ</t>
    </rPh>
    <rPh sb="69" eb="71">
      <t>ガクブ</t>
    </rPh>
    <rPh sb="72" eb="74">
      <t>キョウジュ</t>
    </rPh>
    <rPh sb="75" eb="77">
      <t>ババ</t>
    </rPh>
    <rPh sb="77" eb="78">
      <t>タダ</t>
    </rPh>
    <rPh sb="78" eb="79">
      <t>ヒロシ</t>
    </rPh>
    <rPh sb="80" eb="82">
      <t>ケイザイ</t>
    </rPh>
    <rPh sb="82" eb="84">
      <t>ガクブ</t>
    </rPh>
    <rPh sb="88" eb="90">
      <t>ヨネダ</t>
    </rPh>
    <rPh sb="90" eb="91">
      <t>ヒロ</t>
    </rPh>
    <rPh sb="91" eb="92">
      <t>ヤスシ</t>
    </rPh>
    <rPh sb="93" eb="95">
      <t>コクサイ</t>
    </rPh>
    <rPh sb="95" eb="97">
      <t>ガクブ</t>
    </rPh>
    <rPh sb="98" eb="100">
      <t>キョウジュ</t>
    </rPh>
    <rPh sb="101" eb="104">
      <t>ガクブチョウ</t>
    </rPh>
    <rPh sb="106" eb="108">
      <t>タカハシ</t>
    </rPh>
    <rPh sb="108" eb="110">
      <t>カズコ</t>
    </rPh>
    <rPh sb="111" eb="113">
      <t>コクサイ</t>
    </rPh>
    <rPh sb="113" eb="115">
      <t>ガクブ</t>
    </rPh>
    <rPh sb="116" eb="118">
      <t>コウシ</t>
    </rPh>
    <rPh sb="119" eb="121">
      <t>サンペイ</t>
    </rPh>
    <rPh sb="121" eb="123">
      <t>マリ</t>
    </rPh>
    <rPh sb="124" eb="126">
      <t>コクサイ</t>
    </rPh>
    <rPh sb="126" eb="128">
      <t>ガクブ</t>
    </rPh>
    <rPh sb="129" eb="131">
      <t>コウシ</t>
    </rPh>
    <rPh sb="132" eb="134">
      <t>オオツカ</t>
    </rPh>
    <rPh sb="134" eb="137">
      <t>シンタロウ</t>
    </rPh>
    <rPh sb="138" eb="140">
      <t>ダイガク</t>
    </rPh>
    <rPh sb="140" eb="143">
      <t>ジムキョク</t>
    </rPh>
    <rPh sb="144" eb="146">
      <t>キョクチョウ</t>
    </rPh>
    <rPh sb="147" eb="149">
      <t>ワタナベ</t>
    </rPh>
    <rPh sb="149" eb="151">
      <t>ケンジ</t>
    </rPh>
    <rPh sb="153" eb="155">
      <t>シュウガク</t>
    </rPh>
    <rPh sb="155" eb="157">
      <t>シエン</t>
    </rPh>
    <rPh sb="157" eb="158">
      <t>シツ</t>
    </rPh>
    <rPh sb="159" eb="161">
      <t>シツチョウ</t>
    </rPh>
    <rPh sb="162" eb="164">
      <t>マツモト</t>
    </rPh>
    <rPh sb="164" eb="165">
      <t>ジュン</t>
    </rPh>
    <rPh sb="169" eb="172">
      <t>コウホウシツ</t>
    </rPh>
    <rPh sb="173" eb="175">
      <t>シツチョウ</t>
    </rPh>
    <rPh sb="176" eb="178">
      <t>クドウ</t>
    </rPh>
    <rPh sb="178" eb="180">
      <t>タツオ</t>
    </rPh>
    <rPh sb="189" eb="190">
      <t>チョウ</t>
    </rPh>
    <phoneticPr fontId="1"/>
  </si>
  <si>
    <t>データサイエンス総論（必修）（「基本」）</t>
    <rPh sb="8" eb="10">
      <t>ソウロン</t>
    </rPh>
    <rPh sb="11" eb="13">
      <t>ヒッシュウ</t>
    </rPh>
    <rPh sb="16" eb="18">
      <t>キホン</t>
    </rPh>
    <phoneticPr fontId="1"/>
  </si>
  <si>
    <t>情報概論（必修）（「基本」）</t>
    <rPh sb="0" eb="2">
      <t>ジョウホウ</t>
    </rPh>
    <rPh sb="2" eb="4">
      <t>ガイロン</t>
    </rPh>
    <phoneticPr fontId="1"/>
  </si>
  <si>
    <t>AI概論（必修）（「基本」）</t>
    <rPh sb="2" eb="4">
      <t>ガイロン</t>
    </rPh>
    <phoneticPr fontId="1"/>
  </si>
  <si>
    <t>統計学Ⅰ（必修）（「基本」）</t>
    <rPh sb="0" eb="3">
      <t>トウケイガク</t>
    </rPh>
    <phoneticPr fontId="1"/>
  </si>
  <si>
    <t>統計学Ⅱ（必修）（「基本」）</t>
    <rPh sb="0" eb="3">
      <t>トウケイガク</t>
    </rPh>
    <phoneticPr fontId="1"/>
  </si>
  <si>
    <t>アルゴリズム論（必修）（「基本」）</t>
    <rPh sb="6" eb="7">
      <t>ロン</t>
    </rPh>
    <phoneticPr fontId="1"/>
  </si>
  <si>
    <t>プログラムの学修成果（学生等が身に付けられる能力等）</t>
    <phoneticPr fontId="1"/>
  </si>
  <si>
    <t>フィールドワーク入門（経済学科必修）（「実践」）</t>
    <rPh sb="8" eb="10">
      <t>ニュウモン</t>
    </rPh>
    <rPh sb="11" eb="13">
      <t>ケイザイ</t>
    </rPh>
    <rPh sb="13" eb="15">
      <t>ガッカ</t>
    </rPh>
    <phoneticPr fontId="1"/>
  </si>
  <si>
    <t>実地調査入門（経営学科必修）（「実践」）</t>
    <rPh sb="0" eb="2">
      <t>ジッチ</t>
    </rPh>
    <rPh sb="2" eb="4">
      <t>チョウサ</t>
    </rPh>
    <rPh sb="4" eb="6">
      <t>ニュウモン</t>
    </rPh>
    <rPh sb="7" eb="9">
      <t>ケイエイ</t>
    </rPh>
    <phoneticPr fontId="1"/>
  </si>
  <si>
    <t>社会の諸現象を理解する場合も、質的でなく数量的な分析も不可欠で、統計学を学ぶ必要がある。実データ・実課題を用いた例として、経済学で取り扱う株価、失業率、GDP等の実データに対して、データの読み方やまとめ方（記述統計）を実際に手を使って納得しながら、その取り扱い方法を学んだり（主に経済学科における関心）、経営学で、ビジネスの現場で直面する課題に立ち向かうための情報収集能力や、実践的な経営を考えながらデータを操作し、統計分析結果を思考・判断できる能力を身につける方法を学ぶ（主に経営学科における関心）。また、社会で起きる様々な事象を理解するために実施した「調査」により得られたデータに対して、自ら記述統計量を求め、単純集計表やグラフの作成、相関などの分析を行って、専門分野の問題について論理的に述べる表現力や実践的なコミュニケーション能力を身につける方法も学ぶ（主に国際学部における関心）。</t>
    <rPh sb="44" eb="45">
      <t>ジツ</t>
    </rPh>
    <rPh sb="49" eb="50">
      <t>ジツ</t>
    </rPh>
    <rPh sb="50" eb="52">
      <t>カダイ</t>
    </rPh>
    <rPh sb="53" eb="54">
      <t>モチ</t>
    </rPh>
    <rPh sb="138" eb="139">
      <t>オモ</t>
    </rPh>
    <rPh sb="140" eb="142">
      <t>ケイザイ</t>
    </rPh>
    <rPh sb="142" eb="144">
      <t>ガッカ</t>
    </rPh>
    <rPh sb="148" eb="150">
      <t>カンシン</t>
    </rPh>
    <rPh sb="156" eb="157">
      <t>カ</t>
    </rPh>
    <rPh sb="239" eb="241">
      <t>ケイエイ</t>
    </rPh>
    <rPh sb="247" eb="249">
      <t>カンシン</t>
    </rPh>
    <rPh sb="381" eb="382">
      <t>オモ</t>
    </rPh>
    <rPh sb="391" eb="393">
      <t>カンシン</t>
    </rPh>
    <phoneticPr fontId="1"/>
  </si>
  <si>
    <t>データは社会のあらゆる領域に存在するが、実際の現場でどのように利活用されているかを具体的な事例を知ることで理解する。データは、ただ存在しているだけでは意味をもたず、適切な方法で解析された結果をそれぞれの適用領域におけるこれまでの知見と組み合わせ、そこから人間が予想しなかったような知識を得ることによって、新たな価値を創出することができる。データを解析するAIの代表的な技術として、機械学習、ディープラーニング、自然言語処理等を学ぶ。ディープラーニングについては、大手IT企業のシステム開発者による特別講義を4回実施し、ディープラーニングの概要とその実践例を紹介してもらう。</t>
    <rPh sb="127" eb="129">
      <t>ニンゲン</t>
    </rPh>
    <rPh sb="130" eb="132">
      <t>ヨソウ</t>
    </rPh>
    <rPh sb="140" eb="142">
      <t>チシキ</t>
    </rPh>
    <rPh sb="143" eb="144">
      <t>エ</t>
    </rPh>
    <rPh sb="180" eb="183">
      <t>ダイヒョウテキ</t>
    </rPh>
    <rPh sb="231" eb="233">
      <t>オオテ</t>
    </rPh>
    <rPh sb="235" eb="237">
      <t>キギョウ</t>
    </rPh>
    <rPh sb="242" eb="244">
      <t>カイハツ</t>
    </rPh>
    <rPh sb="244" eb="245">
      <t>シャ</t>
    </rPh>
    <rPh sb="248" eb="250">
      <t>トクベツ</t>
    </rPh>
    <rPh sb="250" eb="252">
      <t>コウギ</t>
    </rPh>
    <rPh sb="254" eb="255">
      <t>カイ</t>
    </rPh>
    <rPh sb="255" eb="257">
      <t>ジッシ</t>
    </rPh>
    <rPh sb="269" eb="271">
      <t>ガイヨウ</t>
    </rPh>
    <rPh sb="274" eb="276">
      <t>ジッセン</t>
    </rPh>
    <rPh sb="278" eb="280">
      <t>ショウカイ</t>
    </rPh>
    <phoneticPr fontId="1"/>
  </si>
  <si>
    <t>新入生は、ガイダンス等で本副専攻の内容を知り、該当科目の詳細は本学のLMSで公開されたシラバスで理解できる。また授業担当者や研究会構成員からも情報を得る。副専攻の申込み窓口は、学部・学科によらず修学支援室が担当し、履修相談や卒業要件単位との関連を考慮した科目選択の助言も行う。修了に必要な資格取得の支援は、資格の種類により、修学支援室、メディアセンター、担当教員が対応するが、合格者には本学の教育後援会から受験費用の一部補助が適用される。自律的な学修によって着実な修得を促す目的で、メディアセンター内に専用コーナーを設け、約100冊の図書を備えて常時貸し出しを行っている。コンピュータは約300台を設置し、教室以外に設置されたものは常時、教室に設置されたものも授業で使用する時間帯以外は解放されている。講義資料は本学のLMSに蓄積されており、受講生であればいつでも閲覧可能な環境を構築している。</t>
    <rPh sb="10" eb="11">
      <t>トウ</t>
    </rPh>
    <rPh sb="23" eb="25">
      <t>ガイトウ</t>
    </rPh>
    <rPh sb="25" eb="27">
      <t>カモク</t>
    </rPh>
    <rPh sb="28" eb="30">
      <t>ショウサイ</t>
    </rPh>
    <rPh sb="38" eb="40">
      <t>コウカイ</t>
    </rPh>
    <rPh sb="48" eb="50">
      <t>リカイ</t>
    </rPh>
    <rPh sb="56" eb="58">
      <t>ジュギョウ</t>
    </rPh>
    <rPh sb="58" eb="61">
      <t>タントウシャ</t>
    </rPh>
    <rPh sb="62" eb="65">
      <t>ケンキュウカイ</t>
    </rPh>
    <rPh sb="65" eb="67">
      <t>コウセイ</t>
    </rPh>
    <rPh sb="67" eb="68">
      <t>イン</t>
    </rPh>
    <rPh sb="71" eb="73">
      <t>ジョウホウ</t>
    </rPh>
    <rPh sb="74" eb="75">
      <t>エ</t>
    </rPh>
    <rPh sb="77" eb="80">
      <t>フクセンコウ</t>
    </rPh>
    <rPh sb="81" eb="83">
      <t>モウシコ</t>
    </rPh>
    <rPh sb="84" eb="86">
      <t>マドグチ</t>
    </rPh>
    <rPh sb="97" eb="99">
      <t>シュウガク</t>
    </rPh>
    <rPh sb="99" eb="101">
      <t>シエン</t>
    </rPh>
    <rPh sb="101" eb="102">
      <t>シツ</t>
    </rPh>
    <rPh sb="109" eb="111">
      <t>リシュウ</t>
    </rPh>
    <rPh sb="114" eb="116">
      <t>ソツギョウ</t>
    </rPh>
    <rPh sb="116" eb="118">
      <t>ヨウケン</t>
    </rPh>
    <rPh sb="118" eb="120">
      <t>タンイ</t>
    </rPh>
    <rPh sb="122" eb="124">
      <t>カンレン</t>
    </rPh>
    <rPh sb="129" eb="131">
      <t>カモク</t>
    </rPh>
    <rPh sb="131" eb="133">
      <t>センタク</t>
    </rPh>
    <rPh sb="137" eb="138">
      <t>オコナ</t>
    </rPh>
    <rPh sb="140" eb="142">
      <t>シュウリョウ</t>
    </rPh>
    <rPh sb="143" eb="145">
      <t>ヒツヨウ</t>
    </rPh>
    <rPh sb="146" eb="148">
      <t>シカク</t>
    </rPh>
    <rPh sb="148" eb="150">
      <t>シュトク</t>
    </rPh>
    <rPh sb="151" eb="153">
      <t>シエン</t>
    </rPh>
    <rPh sb="155" eb="157">
      <t>シカク</t>
    </rPh>
    <rPh sb="158" eb="160">
      <t>シュルイ</t>
    </rPh>
    <rPh sb="183" eb="184">
      <t>オコナ</t>
    </rPh>
    <rPh sb="184" eb="186">
      <t>タイオウ</t>
    </rPh>
    <rPh sb="194" eb="196">
      <t>ホンガク</t>
    </rPh>
    <rPh sb="197" eb="199">
      <t>キョウイク</t>
    </rPh>
    <rPh sb="199" eb="202">
      <t>コウエンカイ</t>
    </rPh>
    <rPh sb="204" eb="206">
      <t>ジュケン</t>
    </rPh>
    <rPh sb="206" eb="208">
      <t>ヒヨウ</t>
    </rPh>
    <rPh sb="209" eb="211">
      <t>イチブ</t>
    </rPh>
    <rPh sb="211" eb="213">
      <t>ホジョ</t>
    </rPh>
    <rPh sb="214" eb="216">
      <t>テキヨウ</t>
    </rPh>
    <rPh sb="220" eb="223">
      <t>ジリツテキ</t>
    </rPh>
    <rPh sb="224" eb="226">
      <t>ガクシュウ</t>
    </rPh>
    <rPh sb="230" eb="232">
      <t>チャクジツ</t>
    </rPh>
    <rPh sb="233" eb="235">
      <t>シュウトク</t>
    </rPh>
    <rPh sb="236" eb="237">
      <t>ウナガ</t>
    </rPh>
    <rPh sb="239" eb="241">
      <t>モクテキ</t>
    </rPh>
    <rPh sb="260" eb="261">
      <t>モウ</t>
    </rPh>
    <rPh sb="266" eb="267">
      <t>サツ</t>
    </rPh>
    <rPh sb="305" eb="307">
      <t>キョウシツ</t>
    </rPh>
    <rPh sb="307" eb="309">
      <t>イガイ</t>
    </rPh>
    <rPh sb="310" eb="312">
      <t>セッチ</t>
    </rPh>
    <rPh sb="318" eb="320">
      <t>ジョウジ</t>
    </rPh>
    <rPh sb="321" eb="323">
      <t>キョウシツ</t>
    </rPh>
    <rPh sb="324" eb="326">
      <t>セッチ</t>
    </rPh>
    <rPh sb="332" eb="334">
      <t>ジュギョウ</t>
    </rPh>
    <rPh sb="335" eb="337">
      <t>シヨウ</t>
    </rPh>
    <rPh sb="341" eb="342">
      <t>タイ</t>
    </rPh>
    <rPh sb="342" eb="344">
      <t>イガイ</t>
    </rPh>
    <rPh sb="358" eb="360">
      <t>ホンガク</t>
    </rPh>
    <rPh sb="365" eb="367">
      <t>チクセキ</t>
    </rPh>
    <rPh sb="373" eb="376">
      <t>ジュコウセイ</t>
    </rPh>
    <rPh sb="384" eb="386">
      <t>エツラン</t>
    </rPh>
    <rPh sb="386" eb="388">
      <t>カノウ</t>
    </rPh>
    <rPh sb="389" eb="391">
      <t>カンキョウ</t>
    </rPh>
    <rPh sb="392" eb="394">
      <t>コウチク</t>
    </rPh>
    <phoneticPr fontId="1"/>
  </si>
  <si>
    <r>
      <rPr>
        <sz val="12"/>
        <color theme="1"/>
        <rFont val="ＭＳ Ｐゴシック"/>
        <family val="3"/>
        <charset val="128"/>
        <scheme val="minor"/>
      </rPr>
      <t>本専攻は開始後2年のため卒業生を出していないが、大手信用調査会社の企業データベースを導入することで、卒業生の進路状況を体系的に記録・管理することが可能となった。具体的には、就職先の企業名、産業分類、従業員数、上場区分、所在地等の情報が、卒業生個人、在籍時の学部・学科、本副専攻履修の有無等の各単位によって把握可能となる。企業等のAI・データサイエンス人材に対する需要を調査する点からも企業データベースの活用は有効で、今後、本副専攻の内容と企業ニーズとの調整を図り、社会に求められる文理融合人材の育成に向けてカリキュラムの</t>
    </r>
    <r>
      <rPr>
        <sz val="12"/>
        <rFont val="ＭＳ Ｐゴシック"/>
        <family val="3"/>
        <charset val="128"/>
        <scheme val="minor"/>
      </rPr>
      <t>改善を行っていく。</t>
    </r>
    <rPh sb="0" eb="1">
      <t>ホン</t>
    </rPh>
    <rPh sb="1" eb="3">
      <t>センコウ</t>
    </rPh>
    <rPh sb="4" eb="6">
      <t>カイシ</t>
    </rPh>
    <rPh sb="6" eb="7">
      <t>ゴ</t>
    </rPh>
    <rPh sb="8" eb="9">
      <t>ネン</t>
    </rPh>
    <rPh sb="12" eb="15">
      <t>ソツギョウセイ</t>
    </rPh>
    <rPh sb="16" eb="17">
      <t>ダ</t>
    </rPh>
    <rPh sb="24" eb="26">
      <t>オオテ</t>
    </rPh>
    <rPh sb="26" eb="28">
      <t>シンヨウ</t>
    </rPh>
    <rPh sb="28" eb="30">
      <t>チョウサ</t>
    </rPh>
    <rPh sb="30" eb="32">
      <t>ガイシャ</t>
    </rPh>
    <rPh sb="33" eb="35">
      <t>キギョウ</t>
    </rPh>
    <rPh sb="42" eb="44">
      <t>ドウニュウ</t>
    </rPh>
    <rPh sb="50" eb="53">
      <t>ソツギョウセイ</t>
    </rPh>
    <rPh sb="54" eb="56">
      <t>シンロ</t>
    </rPh>
    <rPh sb="56" eb="58">
      <t>ジョウキョウ</t>
    </rPh>
    <rPh sb="59" eb="62">
      <t>タイケイテキ</t>
    </rPh>
    <rPh sb="63" eb="65">
      <t>キロク</t>
    </rPh>
    <rPh sb="66" eb="68">
      <t>カンリ</t>
    </rPh>
    <rPh sb="73" eb="75">
      <t>カノウ</t>
    </rPh>
    <rPh sb="80" eb="83">
      <t>グタイテキ</t>
    </rPh>
    <rPh sb="86" eb="88">
      <t>シュウショク</t>
    </rPh>
    <rPh sb="88" eb="89">
      <t>サキ</t>
    </rPh>
    <rPh sb="90" eb="92">
      <t>キギョウ</t>
    </rPh>
    <rPh sb="92" eb="93">
      <t>メイ</t>
    </rPh>
    <rPh sb="94" eb="96">
      <t>サンギョウ</t>
    </rPh>
    <rPh sb="96" eb="98">
      <t>ブンルイ</t>
    </rPh>
    <rPh sb="99" eb="102">
      <t>ジュウギョウイン</t>
    </rPh>
    <rPh sb="102" eb="103">
      <t>スウ</t>
    </rPh>
    <rPh sb="104" eb="106">
      <t>ジョウジョウ</t>
    </rPh>
    <rPh sb="106" eb="108">
      <t>クブン</t>
    </rPh>
    <rPh sb="109" eb="112">
      <t>ショザイチ</t>
    </rPh>
    <rPh sb="112" eb="113">
      <t>トウ</t>
    </rPh>
    <rPh sb="114" eb="116">
      <t>ジョウホウ</t>
    </rPh>
    <rPh sb="118" eb="121">
      <t>ソツギョウセイ</t>
    </rPh>
    <rPh sb="121" eb="123">
      <t>コジン</t>
    </rPh>
    <rPh sb="124" eb="126">
      <t>ザイセキ</t>
    </rPh>
    <rPh sb="126" eb="127">
      <t>ジ</t>
    </rPh>
    <rPh sb="128" eb="130">
      <t>ガクブ</t>
    </rPh>
    <rPh sb="131" eb="133">
      <t>ガッカ</t>
    </rPh>
    <rPh sb="138" eb="140">
      <t>リシュウ</t>
    </rPh>
    <rPh sb="141" eb="143">
      <t>ウム</t>
    </rPh>
    <rPh sb="143" eb="144">
      <t>トウ</t>
    </rPh>
    <rPh sb="145" eb="146">
      <t>カク</t>
    </rPh>
    <rPh sb="146" eb="148">
      <t>タンイ</t>
    </rPh>
    <rPh sb="152" eb="154">
      <t>ハアク</t>
    </rPh>
    <rPh sb="154" eb="156">
      <t>カノウ</t>
    </rPh>
    <rPh sb="160" eb="162">
      <t>キギョウ</t>
    </rPh>
    <rPh sb="162" eb="163">
      <t>トウ</t>
    </rPh>
    <rPh sb="175" eb="177">
      <t>ジンザイ</t>
    </rPh>
    <rPh sb="178" eb="179">
      <t>タイ</t>
    </rPh>
    <rPh sb="181" eb="183">
      <t>ジュヨウ</t>
    </rPh>
    <rPh sb="184" eb="186">
      <t>チョウサ</t>
    </rPh>
    <rPh sb="201" eb="203">
      <t>カツヨウ</t>
    </rPh>
    <rPh sb="204" eb="206">
      <t>ユウコウ</t>
    </rPh>
    <rPh sb="208" eb="210">
      <t>コンゴ</t>
    </rPh>
    <rPh sb="211" eb="212">
      <t>ホン</t>
    </rPh>
    <rPh sb="212" eb="215">
      <t>フクセンコウ</t>
    </rPh>
    <rPh sb="216" eb="218">
      <t>ナイヨウ</t>
    </rPh>
    <rPh sb="226" eb="228">
      <t>チョウセイ</t>
    </rPh>
    <rPh sb="229" eb="230">
      <t>ハカ</t>
    </rPh>
    <rPh sb="232" eb="234">
      <t>シャカイ</t>
    </rPh>
    <rPh sb="235" eb="236">
      <t>モト</t>
    </rPh>
    <rPh sb="240" eb="242">
      <t>ブンリ</t>
    </rPh>
    <rPh sb="242" eb="244">
      <t>ユウゴウ</t>
    </rPh>
    <rPh sb="244" eb="246">
      <t>ジンザイ</t>
    </rPh>
    <rPh sb="247" eb="249">
      <t>イクセイ</t>
    </rPh>
    <rPh sb="250" eb="251">
      <t>ム</t>
    </rPh>
    <rPh sb="260" eb="262">
      <t>カイゼン</t>
    </rPh>
    <rPh sb="263" eb="264">
      <t>オコナ</t>
    </rPh>
    <phoneticPr fontId="1"/>
  </si>
  <si>
    <t>本学では、毎学期半ばに全授業科目について科目ごとに「学生による授業評価」を実施し、難易度、方法の工夫、資料の分かりやすさ、時間配分、課題の量等について点検を行っている。結果は担当教員にフィードバックされ、教員は改善点を授業で学生に伝え、「授業改善報告書」提出が課されている。また、毎学期、教員間の授業参観を実施し、各自の授業の参考にしている。学期末には「ティーチング・ポートフォリオ」を作成して、自らの教育活動を振り返るとともに、ベストプラクティスを教員間で共有している。本副専攻では、特に数理分野における入学者の学習経験や学生アンケートの結果を踏まえた分かりやすい内容・水準の見直しを検討中である。</t>
    <rPh sb="0" eb="2">
      <t>ホンガク</t>
    </rPh>
    <rPh sb="8" eb="9">
      <t>ナカ</t>
    </rPh>
    <rPh sb="11" eb="12">
      <t>ゼン</t>
    </rPh>
    <rPh sb="12" eb="14">
      <t>ジュギョウ</t>
    </rPh>
    <rPh sb="14" eb="16">
      <t>カモク</t>
    </rPh>
    <rPh sb="20" eb="22">
      <t>カモク</t>
    </rPh>
    <rPh sb="26" eb="28">
      <t>ガクセイ</t>
    </rPh>
    <rPh sb="37" eb="39">
      <t>ジッシ</t>
    </rPh>
    <rPh sb="75" eb="77">
      <t>テンケン</t>
    </rPh>
    <rPh sb="78" eb="79">
      <t>オコナ</t>
    </rPh>
    <rPh sb="102" eb="104">
      <t>キョウイン</t>
    </rPh>
    <rPh sb="105" eb="108">
      <t>カイゼンテン</t>
    </rPh>
    <rPh sb="109" eb="111">
      <t>ジュギョウ</t>
    </rPh>
    <rPh sb="112" eb="114">
      <t>ガクセイ</t>
    </rPh>
    <rPh sb="115" eb="116">
      <t>ツタ</t>
    </rPh>
    <rPh sb="119" eb="121">
      <t>ジュギョウ</t>
    </rPh>
    <rPh sb="121" eb="123">
      <t>カイゼン</t>
    </rPh>
    <rPh sb="123" eb="126">
      <t>ホウコクショ</t>
    </rPh>
    <rPh sb="127" eb="129">
      <t>テイシュツ</t>
    </rPh>
    <rPh sb="130" eb="131">
      <t>カ</t>
    </rPh>
    <rPh sb="137" eb="139">
      <t>ドウジ</t>
    </rPh>
    <rPh sb="141" eb="144">
      <t>マイガッキ</t>
    </rPh>
    <rPh sb="145" eb="148">
      <t>キョウインカン</t>
    </rPh>
    <rPh sb="149" eb="151">
      <t>ジュギョウ</t>
    </rPh>
    <rPh sb="151" eb="153">
      <t>サンカン</t>
    </rPh>
    <rPh sb="154" eb="156">
      <t>ジッシ</t>
    </rPh>
    <rPh sb="158" eb="160">
      <t>カクジ</t>
    </rPh>
    <rPh sb="161" eb="163">
      <t>ジュギョウ</t>
    </rPh>
    <rPh sb="164" eb="166">
      <t>サンコウ</t>
    </rPh>
    <rPh sb="172" eb="175">
      <t>ガッキマツ</t>
    </rPh>
    <rPh sb="194" eb="196">
      <t>サクセイ</t>
    </rPh>
    <rPh sb="237" eb="238">
      <t>ホン</t>
    </rPh>
    <rPh sb="238" eb="241">
      <t>フクセンコウ</t>
    </rPh>
    <rPh sb="243" eb="244">
      <t>トク</t>
    </rPh>
    <rPh sb="245" eb="247">
      <t>スウリ</t>
    </rPh>
    <rPh sb="247" eb="249">
      <t>ブンヤ</t>
    </rPh>
    <rPh sb="255" eb="256">
      <t>モノ</t>
    </rPh>
    <rPh sb="259" eb="261">
      <t>ケイケン</t>
    </rPh>
    <rPh sb="262" eb="264">
      <t>ガクセイ</t>
    </rPh>
    <rPh sb="270" eb="272">
      <t>ケッカ</t>
    </rPh>
    <rPh sb="277" eb="278">
      <t>ワ</t>
    </rPh>
    <rPh sb="289" eb="291">
      <t>ミナオ</t>
    </rPh>
    <phoneticPr fontId="1"/>
  </si>
  <si>
    <r>
      <t>各年度の履修者数の目標を以下のとおりとする。（（　）内は履修率）
令和３年度　200名　（12.5％）
令和４年度</t>
    </r>
    <r>
      <rPr>
        <sz val="12"/>
        <color rgb="FFFF0000"/>
        <rFont val="ＭＳ Ｐゴシック"/>
        <family val="3"/>
        <charset val="128"/>
        <scheme val="minor"/>
      </rPr>
      <t>　</t>
    </r>
    <r>
      <rPr>
        <sz val="12"/>
        <color theme="1"/>
        <rFont val="ＭＳ Ｐゴシック"/>
        <family val="3"/>
        <charset val="128"/>
        <scheme val="minor"/>
      </rPr>
      <t>550名　（34.4％）
令和５年度　850名　（53.1％）
令和６年度　1150名　（71.9％）
令和７年度　1400名　（87.5％）
令和3年度より、初学者がリテラシーレベルのモデルカリキュラム項目①～⑤を楽しく学べるオンデマンド型新規科目「AI・DSへのいざない」（本副専攻必修。本研究会制作の動画教材利用）を開講する。新入生ガイダンスで、リーフレットに加え、新規作成した「履修の手引き」も配布し周知を徹底する。在学生向けのホームページ、広報誌、公式YouTubeチャンネルをさらに充実させる。
令和4年度より、「AI・DSへのいざない」を全学部必修の教養科目とし、本副専攻をリテラシーレベルと応用基礎レベルの2段階構成にし、本科目単位取得者にリテラシー修了証を与える。
令和5年度より、「情報Ⅰ」に対応した新カリキュラムの検討を始める。
令和6年度より、学修支援員（他大学院生）と支援室の設置により学修支援体制の強化を図る。</t>
    </r>
    <r>
      <rPr>
        <sz val="12"/>
        <rFont val="ＭＳ Ｐゴシック"/>
        <family val="3"/>
        <charset val="128"/>
        <scheme val="minor"/>
      </rPr>
      <t xml:space="preserve">
令和7年度より、新カリキュラムを開始する。</t>
    </r>
    <rPh sb="271" eb="274">
      <t>ザイガクセイ</t>
    </rPh>
    <rPh sb="274" eb="275">
      <t>ム</t>
    </rPh>
    <rPh sb="341" eb="343">
      <t>キョウヨウ</t>
    </rPh>
    <rPh sb="343" eb="345">
      <t>カモク</t>
    </rPh>
    <rPh sb="410" eb="412">
      <t>ジョウホウ</t>
    </rPh>
    <phoneticPr fontId="1"/>
  </si>
  <si>
    <t>令和元年度に全学生が履修できる副専攻「AI・データサイエンス」を設立して以来、全学生を対象にガイダンスを行い、授業等を通じて希望者を募ってきた。また、両学部長・教務部長・本副専攻科目担当教員および関連部署の事務職員で、全学で教育研究会を組織し、教員は毎月の活動を学部教授会と教務委員会に報告し、令和元年と令和2年度全学FD研修会で、「数理・データサイエンス・AIと社会のつながり」をテーマとする講演を行い、全教員にAI・データサイエンス教育の必要性と重要性の理解を深めてもらった。事務組織も、大学事務局が本取組に対する協力体制を推進し、ガイダンス開催、本副専攻申込や履修方法等の指導（修学支援室）、学修状況の調査、本副専攻への提言、学内外への広報（IR・広報室）等を行って、全学の希望学生が受講しやすい体制を支援している。令和3年度に研究会はセンターに昇格し、学生支援の体制・取組をさらに充実させる。</t>
    <rPh sb="6" eb="8">
      <t>ゼンガク</t>
    </rPh>
    <rPh sb="8" eb="9">
      <t>セイ</t>
    </rPh>
    <rPh sb="10" eb="12">
      <t>リシュウ</t>
    </rPh>
    <rPh sb="32" eb="34">
      <t>セツリツ</t>
    </rPh>
    <rPh sb="36" eb="38">
      <t>イライ</t>
    </rPh>
    <rPh sb="40" eb="42">
      <t>ガクセイ</t>
    </rPh>
    <rPh sb="43" eb="45">
      <t>タイショウ</t>
    </rPh>
    <rPh sb="52" eb="53">
      <t>オコナ</t>
    </rPh>
    <rPh sb="57" eb="58">
      <t>トウ</t>
    </rPh>
    <rPh sb="66" eb="67">
      <t>ツノ</t>
    </rPh>
    <rPh sb="75" eb="76">
      <t>リョウ</t>
    </rPh>
    <rPh sb="76" eb="79">
      <t>ガクブチョウ</t>
    </rPh>
    <rPh sb="80" eb="82">
      <t>キョウム</t>
    </rPh>
    <rPh sb="82" eb="84">
      <t>ブチョウ</t>
    </rPh>
    <rPh sb="85" eb="86">
      <t>ホン</t>
    </rPh>
    <rPh sb="86" eb="89">
      <t>フクセンコウ</t>
    </rPh>
    <rPh sb="98" eb="100">
      <t>カンレン</t>
    </rPh>
    <rPh sb="100" eb="102">
      <t>ブショ</t>
    </rPh>
    <rPh sb="103" eb="105">
      <t>ジム</t>
    </rPh>
    <rPh sb="105" eb="107">
      <t>ショクイン</t>
    </rPh>
    <rPh sb="112" eb="114">
      <t>キョウイク</t>
    </rPh>
    <rPh sb="149" eb="151">
      <t>ガンネン</t>
    </rPh>
    <rPh sb="155" eb="157">
      <t>ネンド</t>
    </rPh>
    <rPh sb="197" eb="199">
      <t>コウエン</t>
    </rPh>
    <rPh sb="200" eb="201">
      <t>オコナ</t>
    </rPh>
    <rPh sb="203" eb="204">
      <t>ゼン</t>
    </rPh>
    <rPh sb="204" eb="206">
      <t>キョウイン</t>
    </rPh>
    <rPh sb="232" eb="233">
      <t>フカ</t>
    </rPh>
    <rPh sb="252" eb="253">
      <t>ホン</t>
    </rPh>
    <rPh sb="256" eb="257">
      <t>タイ</t>
    </rPh>
    <rPh sb="259" eb="261">
      <t>キョウリョク</t>
    </rPh>
    <rPh sb="261" eb="263">
      <t>タイセイ</t>
    </rPh>
    <rPh sb="264" eb="266">
      <t>スイシン</t>
    </rPh>
    <rPh sb="273" eb="275">
      <t>カイサイ</t>
    </rPh>
    <rPh sb="276" eb="277">
      <t>ホン</t>
    </rPh>
    <rPh sb="277" eb="278">
      <t>フク</t>
    </rPh>
    <rPh sb="278" eb="280">
      <t>センコウ</t>
    </rPh>
    <rPh sb="285" eb="287">
      <t>ホウホウ</t>
    </rPh>
    <rPh sb="287" eb="288">
      <t>トウ</t>
    </rPh>
    <rPh sb="307" eb="308">
      <t>ホン</t>
    </rPh>
    <rPh sb="308" eb="311">
      <t>フクセンコウ</t>
    </rPh>
    <rPh sb="317" eb="318">
      <t>ナイ</t>
    </rPh>
    <rPh sb="331" eb="332">
      <t>トウ</t>
    </rPh>
    <rPh sb="333" eb="334">
      <t>オコナ</t>
    </rPh>
    <rPh sb="337" eb="339">
      <t>ゼンガク</t>
    </rPh>
    <rPh sb="340" eb="342">
      <t>キボウ</t>
    </rPh>
    <rPh sb="342" eb="344">
      <t>ガクセイ</t>
    </rPh>
    <rPh sb="345" eb="347">
      <t>ジュコウ</t>
    </rPh>
    <rPh sb="354" eb="356">
      <t>シエン</t>
    </rPh>
    <rPh sb="380" eb="382">
      <t>ガクセイ</t>
    </rPh>
    <rPh sb="382" eb="384">
      <t>シエン</t>
    </rPh>
    <rPh sb="385" eb="387">
      <t>タイセイ</t>
    </rPh>
    <rPh sb="388" eb="389">
      <t>ト</t>
    </rPh>
    <rPh sb="389" eb="390">
      <t>ク</t>
    </rPh>
    <rPh sb="394" eb="396">
      <t>ジュウジツ</t>
    </rPh>
    <phoneticPr fontId="1"/>
  </si>
  <si>
    <t>修学支援室より全学生に配布する総合案内書『Campus Life』に本副専攻の解説ページを設け、学修の目的や修了要件、授業科目等を記載し、全学的な履修を促進してきた。ガイダンスでも本副専攻の説明会を実施し、特に新入生にはリーフレットも配布して本副専攻の魅力を伝え、意欲の高い学生の確保に取り組んできた。IR・広報室では、ホームページに「AI・データサイエンス」専用ページを開設して周知に努め、紹介動画も公開している。
多くの学生が履修できるために、令和3年度に④で述べた初学者向け新規科目「AI・DSへのいざない」を経済学部・国際学部で開講、令和4年度は本科目を教育学部を含めた全学部で必修教養科目とし、卒業までに全学生が本科目を学ぶ計画である。また、同年に本副専攻をリテラシーと応用基礎の2段階構成に改変し、本科目の単位取得者にはリテラシー修了証を与えて学生の意欲を高め、リテラシー教育を徹底する。</t>
    <rPh sb="209" eb="210">
      <t>オオ</t>
    </rPh>
    <rPh sb="212" eb="214">
      <t>ガクセイ</t>
    </rPh>
    <rPh sb="215" eb="217">
      <t>リシュウ</t>
    </rPh>
    <rPh sb="224" eb="226">
      <t>レイワ</t>
    </rPh>
    <rPh sb="240" eb="242">
      <t>シンキ</t>
    </rPh>
    <rPh sb="258" eb="260">
      <t>ケイザイ</t>
    </rPh>
    <rPh sb="260" eb="262">
      <t>ガクブ</t>
    </rPh>
    <rPh sb="263" eb="265">
      <t>コクサイ</t>
    </rPh>
    <rPh sb="265" eb="267">
      <t>ガクブ</t>
    </rPh>
    <rPh sb="281" eb="283">
      <t>キョウイク</t>
    </rPh>
    <rPh sb="283" eb="285">
      <t>ガクブ</t>
    </rPh>
    <rPh sb="286" eb="287">
      <t>フク</t>
    </rPh>
    <rPh sb="289" eb="292">
      <t>ゼンガクブ</t>
    </rPh>
    <rPh sb="302" eb="304">
      <t>ソツギョウ</t>
    </rPh>
    <rPh sb="315" eb="316">
      <t>マナブ</t>
    </rPh>
    <rPh sb="317" eb="319">
      <t>ケイカク</t>
    </rPh>
    <rPh sb="326" eb="328">
      <t>ドウネン</t>
    </rPh>
    <rPh sb="351" eb="353">
      <t>カイヘン</t>
    </rPh>
    <rPh sb="392" eb="394">
      <t>キョウイク</t>
    </rPh>
    <rPh sb="395" eb="397">
      <t>テッテイ</t>
    </rPh>
    <phoneticPr fontId="1"/>
  </si>
  <si>
    <t>本副専攻開始2年終了時に、学生ポータルサイトを通じて申請者全員にアンケートを実施した（N=118, 回答率=45%)。この結果、学生からみた成果は、AI・データサイエンスに対する興味・関心が「高まった」が約7割、「変わらず」が3割であった。文系学部である本学全学生の数学基礎学力を高校数学の学習状況で測ると、「数学Ⅰ」100%、「数学Ⅱ」85%、「数学Ⅲ」8%、「数学A」88%、「数学B」31%で、ベクトル・行列(数学B)を履修していない学生が多数いる。令和3年度は要件とする科目は増やさず授業で補う。また学修成果可視化のために、「修了証授与の方針」で定めた3つの能力の測定方法を検討する。</t>
    <rPh sb="26" eb="28">
      <t>シンセイ</t>
    </rPh>
    <rPh sb="61" eb="63">
      <t>ケッカ</t>
    </rPh>
    <rPh sb="64" eb="66">
      <t>ガクセイ</t>
    </rPh>
    <rPh sb="70" eb="72">
      <t>セイカ</t>
    </rPh>
    <rPh sb="86" eb="87">
      <t>タイ</t>
    </rPh>
    <rPh sb="89" eb="91">
      <t>キョウミ</t>
    </rPh>
    <rPh sb="92" eb="94">
      <t>カンシン</t>
    </rPh>
    <rPh sb="96" eb="97">
      <t>タカ</t>
    </rPh>
    <rPh sb="102" eb="103">
      <t>ヤク</t>
    </rPh>
    <rPh sb="104" eb="105">
      <t>ワリ</t>
    </rPh>
    <rPh sb="114" eb="115">
      <t>ワリ</t>
    </rPh>
    <rPh sb="120" eb="122">
      <t>ブンケイ</t>
    </rPh>
    <rPh sb="122" eb="124">
      <t>ガクブ</t>
    </rPh>
    <rPh sb="127" eb="129">
      <t>ホンガク</t>
    </rPh>
    <rPh sb="129" eb="130">
      <t>ゼン</t>
    </rPh>
    <rPh sb="133" eb="135">
      <t>スウガク</t>
    </rPh>
    <rPh sb="135" eb="137">
      <t>キソ</t>
    </rPh>
    <rPh sb="137" eb="139">
      <t>ガクリョク</t>
    </rPh>
    <rPh sb="147" eb="149">
      <t>ジョウキョウ</t>
    </rPh>
    <rPh sb="150" eb="151">
      <t>ハカ</t>
    </rPh>
    <rPh sb="220" eb="222">
      <t>ガクセイ</t>
    </rPh>
    <rPh sb="231" eb="233">
      <t>ネンド</t>
    </rPh>
    <rPh sb="234" eb="236">
      <t>ヨウケン</t>
    </rPh>
    <rPh sb="246" eb="248">
      <t>ジュギョウ</t>
    </rPh>
    <rPh sb="249" eb="250">
      <t>オギナ</t>
    </rPh>
    <rPh sb="254" eb="256">
      <t>ガクシュウ</t>
    </rPh>
    <rPh sb="256" eb="258">
      <t>セイカ</t>
    </rPh>
    <rPh sb="267" eb="270">
      <t>シュウリョウショウ</t>
    </rPh>
    <rPh sb="270" eb="272">
      <t>ジュヨ</t>
    </rPh>
    <rPh sb="273" eb="275">
      <t>ホウシン</t>
    </rPh>
    <rPh sb="277" eb="278">
      <t>サダ</t>
    </rPh>
    <rPh sb="283" eb="285">
      <t>ノウリョク</t>
    </rPh>
    <rPh sb="286" eb="288">
      <t>ソクテイ</t>
    </rPh>
    <rPh sb="288" eb="290">
      <t>ホウホウ</t>
    </rPh>
    <rPh sb="291" eb="293">
      <t>ケントウ</t>
    </rPh>
    <phoneticPr fontId="1"/>
  </si>
  <si>
    <t>前述のアンケート調査によると、推奨度は全学で85%、経済学部90%、国際学部75%であった。経済学部では1年生96%が2年生で87%に低下するが、国際学部では68%が79%に向上しているのは、国際学部は「AI・データサイエンスゼミ（2年次専門研究）」で学生の関心に応じた学びを提供できているためであると考えられる。前述の「学生による授業評価」は冊子としてメディアセンターに配置され、誰もが閲覧可能なため、他の学生の講義受講の参考にできる。令和3年度は本副専攻も3年目となるため、専用のホームページに、今回のアンケートによる推奨度の他に履修者へのインタビュー結果を掲載し、後輩学生への推奨に活用する。</t>
    <rPh sb="19" eb="21">
      <t>ゼンガク</t>
    </rPh>
    <rPh sb="26" eb="28">
      <t>ケイザイ</t>
    </rPh>
    <rPh sb="28" eb="30">
      <t>ガクブ</t>
    </rPh>
    <rPh sb="34" eb="36">
      <t>コクサイ</t>
    </rPh>
    <rPh sb="36" eb="38">
      <t>ガクブ</t>
    </rPh>
    <rPh sb="46" eb="48">
      <t>ケイザイ</t>
    </rPh>
    <rPh sb="48" eb="50">
      <t>ガクブ</t>
    </rPh>
    <rPh sb="53" eb="55">
      <t>ネンセイ</t>
    </rPh>
    <rPh sb="60" eb="62">
      <t>ネンセイ</t>
    </rPh>
    <rPh sb="67" eb="69">
      <t>テイカ</t>
    </rPh>
    <rPh sb="73" eb="75">
      <t>コクサイ</t>
    </rPh>
    <rPh sb="75" eb="77">
      <t>ガクブ</t>
    </rPh>
    <rPh sb="87" eb="89">
      <t>コウジョウ</t>
    </rPh>
    <rPh sb="96" eb="98">
      <t>コクサイ</t>
    </rPh>
    <rPh sb="98" eb="100">
      <t>ガクブ</t>
    </rPh>
    <rPh sb="117" eb="119">
      <t>ネンジ</t>
    </rPh>
    <rPh sb="119" eb="121">
      <t>センモン</t>
    </rPh>
    <rPh sb="121" eb="123">
      <t>ケンキュウ</t>
    </rPh>
    <rPh sb="126" eb="128">
      <t>ガクセイ</t>
    </rPh>
    <rPh sb="129" eb="131">
      <t>カンシン</t>
    </rPh>
    <rPh sb="132" eb="133">
      <t>オウ</t>
    </rPh>
    <rPh sb="135" eb="136">
      <t>マナ</t>
    </rPh>
    <rPh sb="138" eb="140">
      <t>テイキョウ</t>
    </rPh>
    <rPh sb="151" eb="152">
      <t>カンガ</t>
    </rPh>
    <rPh sb="172" eb="174">
      <t>サッシ</t>
    </rPh>
    <rPh sb="191" eb="192">
      <t>ダレ</t>
    </rPh>
    <rPh sb="202" eb="203">
      <t>タ</t>
    </rPh>
    <rPh sb="204" eb="206">
      <t>ガクセイ</t>
    </rPh>
    <rPh sb="207" eb="209">
      <t>コウギ</t>
    </rPh>
    <rPh sb="209" eb="211">
      <t>ジュコウ</t>
    </rPh>
    <rPh sb="219" eb="221">
      <t>レイワ</t>
    </rPh>
    <rPh sb="222" eb="224">
      <t>ネンド</t>
    </rPh>
    <rPh sb="239" eb="241">
      <t>センヨウ</t>
    </rPh>
    <rPh sb="281" eb="283">
      <t>ケイサイ</t>
    </rPh>
    <rPh sb="285" eb="287">
      <t>コウハイ</t>
    </rPh>
    <rPh sb="287" eb="289">
      <t>ガクセイ</t>
    </rPh>
    <rPh sb="291" eb="293">
      <t>スイショウ</t>
    </rPh>
    <rPh sb="294" eb="296">
      <t>カツヨウ</t>
    </rPh>
    <phoneticPr fontId="1"/>
  </si>
  <si>
    <t>AI・データサイエンス教育の全学的な普及促進を目的に、令和3年度に研究会は「AI・データサイエンス教育センター」に昇格する。履修者数向上には、入学前の認知度を高める必要があり、ホームページ、大学案内、広報誌、公式YouTubeチャンネル、進学ポータルサイト、WEBメール等により高校生への周知を強化する。在学生への周知も十分ではないため、副専攻説明会でリーフレット配布に加え、令和3年度は「履修の手引き」で履修のメリットや修了要件等を分かりやすく説明し、履修手続きにつなげる。令和4年度は、リテラシーレベル科目「AI・DSへのいざない」を全学部必修とし、卒業までに全学生にリテラシーを身に付けさせる。</t>
    <rPh sb="11" eb="13">
      <t>キョウイク</t>
    </rPh>
    <rPh sb="18" eb="20">
      <t>フキュウ</t>
    </rPh>
    <rPh sb="20" eb="22">
      <t>ソクシン</t>
    </rPh>
    <rPh sb="23" eb="25">
      <t>モクテキ</t>
    </rPh>
    <rPh sb="30" eb="31">
      <t>ネン</t>
    </rPh>
    <rPh sb="31" eb="32">
      <t>ド</t>
    </rPh>
    <rPh sb="49" eb="51">
      <t>キョウイク</t>
    </rPh>
    <rPh sb="57" eb="59">
      <t>ショウカク</t>
    </rPh>
    <rPh sb="66" eb="68">
      <t>コウジョウ</t>
    </rPh>
    <rPh sb="71" eb="74">
      <t>ニュウガクマエ</t>
    </rPh>
    <rPh sb="75" eb="77">
      <t>ニンチ</t>
    </rPh>
    <rPh sb="77" eb="78">
      <t>ド</t>
    </rPh>
    <rPh sb="79" eb="80">
      <t>タカ</t>
    </rPh>
    <rPh sb="82" eb="84">
      <t>ヒツヨウ</t>
    </rPh>
    <rPh sb="104" eb="106">
      <t>コウシキ</t>
    </rPh>
    <rPh sb="119" eb="121">
      <t>シンガク</t>
    </rPh>
    <rPh sb="135" eb="136">
      <t>トウ</t>
    </rPh>
    <rPh sb="139" eb="142">
      <t>コウコウセイ</t>
    </rPh>
    <rPh sb="144" eb="146">
      <t>シュウチ</t>
    </rPh>
    <rPh sb="152" eb="154">
      <t>ザイガク</t>
    </rPh>
    <rPh sb="154" eb="155">
      <t>セイ</t>
    </rPh>
    <rPh sb="157" eb="159">
      <t>シュウチ</t>
    </rPh>
    <rPh sb="160" eb="162">
      <t>ジュウブン</t>
    </rPh>
    <rPh sb="169" eb="172">
      <t>フクセンコウ</t>
    </rPh>
    <rPh sb="172" eb="175">
      <t>セツメイカイ</t>
    </rPh>
    <rPh sb="182" eb="184">
      <t>ハイフ</t>
    </rPh>
    <rPh sb="185" eb="186">
      <t>クワ</t>
    </rPh>
    <rPh sb="191" eb="192">
      <t>ネン</t>
    </rPh>
    <rPh sb="192" eb="193">
      <t>ド</t>
    </rPh>
    <rPh sb="195" eb="197">
      <t>リシュウ</t>
    </rPh>
    <rPh sb="198" eb="200">
      <t>テビ</t>
    </rPh>
    <rPh sb="211" eb="213">
      <t>シュウリョウ</t>
    </rPh>
    <rPh sb="213" eb="215">
      <t>ヨウケン</t>
    </rPh>
    <rPh sb="215" eb="216">
      <t>ナド</t>
    </rPh>
    <rPh sb="217" eb="218">
      <t>ワ</t>
    </rPh>
    <rPh sb="223" eb="225">
      <t>セツメイ</t>
    </rPh>
    <rPh sb="227" eb="229">
      <t>リシュウ</t>
    </rPh>
    <rPh sb="229" eb="231">
      <t>テツヅ</t>
    </rPh>
    <rPh sb="241" eb="243">
      <t>ネンド</t>
    </rPh>
    <rPh sb="253" eb="255">
      <t>カモク</t>
    </rPh>
    <rPh sb="269" eb="272">
      <t>ゼンガクブ</t>
    </rPh>
    <rPh sb="272" eb="274">
      <t>ヒッシュウ</t>
    </rPh>
    <rPh sb="277" eb="279">
      <t>ソツギョウ</t>
    </rPh>
    <rPh sb="282" eb="285">
      <t>ゼンガクセイ</t>
    </rPh>
    <rPh sb="292" eb="293">
      <t>ミ</t>
    </rPh>
    <rPh sb="294" eb="295">
      <t>ツ</t>
    </rPh>
    <phoneticPr fontId="1"/>
  </si>
  <si>
    <t>本学の自己点検・評価の一環として、毎年千葉県内の公立高校、千葉市役所、千葉市商工会議所、千葉県経営者協会の実務経験者を評価委員とする「教育検証会議」を実施している。本会議は本学が実施する教育研究活動について外部検証及び評価を行い、質向上に資する提言を受けることを目的とするもので、令和2年度は、千葉県で9割を占める中小企業からのニーズとして、AI・データサイエンスの知識・スキルを持つ人材の育成が求められた（国際学部には英語力も期待)。本副専攻研究会には、学部長・教務部長の他にキャリアセンター長も参画しているため、この提言を踏まえた教育の内容や手法の改善に向けてさらに企業からの意見を聴取できる。</t>
    <rPh sb="0" eb="2">
      <t>ホンガク</t>
    </rPh>
    <rPh sb="3" eb="5">
      <t>ジコ</t>
    </rPh>
    <rPh sb="5" eb="7">
      <t>テンケン</t>
    </rPh>
    <rPh sb="8" eb="10">
      <t>ヒョウカ</t>
    </rPh>
    <rPh sb="11" eb="13">
      <t>イッカン</t>
    </rPh>
    <rPh sb="59" eb="61">
      <t>ヒョウカ</t>
    </rPh>
    <rPh sb="61" eb="63">
      <t>イイン</t>
    </rPh>
    <rPh sb="67" eb="69">
      <t>キョウイク</t>
    </rPh>
    <rPh sb="69" eb="71">
      <t>ケンショウ</t>
    </rPh>
    <rPh sb="71" eb="73">
      <t>カイギ</t>
    </rPh>
    <rPh sb="75" eb="77">
      <t>ジッシ</t>
    </rPh>
    <rPh sb="82" eb="83">
      <t>ホン</t>
    </rPh>
    <rPh sb="83" eb="85">
      <t>カイギ</t>
    </rPh>
    <rPh sb="93" eb="95">
      <t>キョウイク</t>
    </rPh>
    <rPh sb="95" eb="97">
      <t>ケンキュウ</t>
    </rPh>
    <rPh sb="97" eb="99">
      <t>カツドウ</t>
    </rPh>
    <rPh sb="103" eb="105">
      <t>ガイブ</t>
    </rPh>
    <rPh sb="125" eb="126">
      <t>ウ</t>
    </rPh>
    <rPh sb="131" eb="133">
      <t>モクテキ</t>
    </rPh>
    <rPh sb="143" eb="145">
      <t>ネンド</t>
    </rPh>
    <rPh sb="147" eb="150">
      <t>チバケン</t>
    </rPh>
    <rPh sb="152" eb="153">
      <t>ワリ</t>
    </rPh>
    <rPh sb="154" eb="155">
      <t>シ</t>
    </rPh>
    <rPh sb="157" eb="159">
      <t>チュウショウ</t>
    </rPh>
    <rPh sb="159" eb="161">
      <t>キギョウ</t>
    </rPh>
    <rPh sb="183" eb="185">
      <t>チシキ</t>
    </rPh>
    <rPh sb="190" eb="191">
      <t>モ</t>
    </rPh>
    <rPh sb="192" eb="194">
      <t>ジンザイ</t>
    </rPh>
    <rPh sb="195" eb="197">
      <t>イクセイ</t>
    </rPh>
    <rPh sb="198" eb="199">
      <t>モト</t>
    </rPh>
    <rPh sb="204" eb="206">
      <t>コクサイ</t>
    </rPh>
    <rPh sb="206" eb="208">
      <t>ガクブ</t>
    </rPh>
    <rPh sb="210" eb="212">
      <t>エイゴ</t>
    </rPh>
    <rPh sb="212" eb="213">
      <t>リョク</t>
    </rPh>
    <rPh sb="214" eb="216">
      <t>キタイ</t>
    </rPh>
    <rPh sb="218" eb="219">
      <t>ホン</t>
    </rPh>
    <rPh sb="219" eb="222">
      <t>フクセンコウ</t>
    </rPh>
    <rPh sb="222" eb="225">
      <t>ケンキュウカイ</t>
    </rPh>
    <rPh sb="230" eb="231">
      <t>チョウ</t>
    </rPh>
    <rPh sb="232" eb="234">
      <t>キョウム</t>
    </rPh>
    <rPh sb="234" eb="236">
      <t>ブチョウ</t>
    </rPh>
    <rPh sb="237" eb="238">
      <t>タ</t>
    </rPh>
    <rPh sb="247" eb="248">
      <t>チョウ</t>
    </rPh>
    <rPh sb="249" eb="251">
      <t>サンカク</t>
    </rPh>
    <rPh sb="267" eb="269">
      <t>キョウイク</t>
    </rPh>
    <rPh sb="270" eb="272">
      <t>ナイヨウ</t>
    </rPh>
    <rPh sb="273" eb="275">
      <t>シュホウ</t>
    </rPh>
    <rPh sb="279" eb="280">
      <t>ム</t>
    </rPh>
    <rPh sb="285" eb="287">
      <t>キギョウ</t>
    </rPh>
    <rPh sb="290" eb="292">
      <t>イケン</t>
    </rPh>
    <rPh sb="293" eb="295">
      <t>チョウシュ</t>
    </rPh>
    <phoneticPr fontId="1"/>
  </si>
  <si>
    <t>令和3年度より経済学部と国際学部で開講する「AI・DSへのいざない」（本副専攻必修）は、リテラシーレベルのモデルカリキュラム全項目に対応するが、受験科目に数学が必修化されていない文系学部の本学学生のレベルに合わせ、数理・データサイエンス・AIを「学ぶ楽しさ」と「学ぶことの意義」を理解させることを最優先課題として研究会で作成したオリジナルの動画教材を用いる。履修しやすいようにオンデマンド型集中講義とし、学生が親しみを感じるように、本学学生考案のオリジナルキャラクターによるナビゲーション等、視聴覚教材としても充実させた。知識を定着化させるために、各回に小テストを行い、最終回に確認試験を実施する。</t>
    <rPh sb="3" eb="4">
      <t>ネン</t>
    </rPh>
    <rPh sb="4" eb="5">
      <t>ド</t>
    </rPh>
    <rPh sb="7" eb="9">
      <t>ケイザイ</t>
    </rPh>
    <rPh sb="9" eb="11">
      <t>ガクブ</t>
    </rPh>
    <rPh sb="12" eb="14">
      <t>コクサイ</t>
    </rPh>
    <rPh sb="14" eb="16">
      <t>ガクブ</t>
    </rPh>
    <rPh sb="35" eb="36">
      <t>ホン</t>
    </rPh>
    <rPh sb="36" eb="39">
      <t>フクセンコウ</t>
    </rPh>
    <rPh sb="39" eb="41">
      <t>ヒッシュウ</t>
    </rPh>
    <rPh sb="72" eb="74">
      <t>ジュケン</t>
    </rPh>
    <rPh sb="74" eb="76">
      <t>カモク</t>
    </rPh>
    <rPh sb="77" eb="79">
      <t>スウガク</t>
    </rPh>
    <rPh sb="80" eb="82">
      <t>ヒッシュウ</t>
    </rPh>
    <rPh sb="82" eb="83">
      <t>カ</t>
    </rPh>
    <rPh sb="89" eb="91">
      <t>ブンケイ</t>
    </rPh>
    <rPh sb="91" eb="93">
      <t>ガクブ</t>
    </rPh>
    <rPh sb="94" eb="96">
      <t>ホンガク</t>
    </rPh>
    <rPh sb="96" eb="98">
      <t>ガクセイ</t>
    </rPh>
    <rPh sb="103" eb="104">
      <t>ア</t>
    </rPh>
    <rPh sb="107" eb="109">
      <t>スウリ</t>
    </rPh>
    <rPh sb="140" eb="142">
      <t>リカイ</t>
    </rPh>
    <rPh sb="151" eb="153">
      <t>カダイ</t>
    </rPh>
    <rPh sb="156" eb="159">
      <t>ケンキュウカイ</t>
    </rPh>
    <rPh sb="170" eb="172">
      <t>ドウガ</t>
    </rPh>
    <rPh sb="172" eb="174">
      <t>キョウザイ</t>
    </rPh>
    <rPh sb="175" eb="176">
      <t>モチ</t>
    </rPh>
    <rPh sb="202" eb="204">
      <t>ガクセイ</t>
    </rPh>
    <rPh sb="205" eb="206">
      <t>シタ</t>
    </rPh>
    <rPh sb="209" eb="210">
      <t>カン</t>
    </rPh>
    <rPh sb="216" eb="218">
      <t>ホンガク</t>
    </rPh>
    <rPh sb="218" eb="220">
      <t>ガクセイ</t>
    </rPh>
    <rPh sb="220" eb="222">
      <t>コウアン</t>
    </rPh>
    <rPh sb="244" eb="245">
      <t>トウ</t>
    </rPh>
    <rPh sb="246" eb="249">
      <t>シチョウカク</t>
    </rPh>
    <rPh sb="249" eb="251">
      <t>キョウザイ</t>
    </rPh>
    <rPh sb="255" eb="257">
      <t>ジュウジツ</t>
    </rPh>
    <rPh sb="261" eb="263">
      <t>チシキ</t>
    </rPh>
    <rPh sb="282" eb="283">
      <t>オコナ</t>
    </rPh>
    <phoneticPr fontId="1"/>
  </si>
  <si>
    <t>本副専攻の目的は、AIやデータサイエンスの知識と技能、創造的思考力を身につけ、卒業後の社会におけるAIやデータサイエンスの活用の基礎力を育成することである。また、AIやデータサイエンスの進歩による社会の変化、技術の革新に対応する柔軟な力を養うことである。この目的を達成するための目標を「修了証授与の方針」として以下の通り定める。
&lt; 知識・理解 &gt;　1. AIやデータサイエンスの活用の倫理を知り、有用性や可能性、限界を理解している。(リテラシー)　2. 統計処理やデータ解析を行う上で必要な数理的知識と理論、方法を体系的に理解している。(方法論)
&lt; 技能 &gt;　3. 分析ソフトやプログラムを使いデータを効率的に扱うことができる。(ハンドリング)　4. 分析ソフトやプログラムを使い統計処理やデータ解析を的確に実行することができる。(実装)
&lt; 創造的思考力 &gt;　5. 自らが立てた新たな課題にAIやデータサイエンスの知識と技能を適用し、その課題を解決できる。(総合力)</t>
    <rPh sb="129" eb="131">
      <t>モクテキ</t>
    </rPh>
    <rPh sb="132" eb="134">
      <t>タッセイ</t>
    </rPh>
    <rPh sb="143" eb="146">
      <t>シュウリョウショウ</t>
    </rPh>
    <rPh sb="146" eb="148">
      <t>ジュヨ</t>
    </rPh>
    <rPh sb="149" eb="151">
      <t>ホウシン</t>
    </rPh>
    <rPh sb="155" eb="157">
      <t>イカ</t>
    </rPh>
    <rPh sb="158" eb="159">
      <t>トオ</t>
    </rPh>
    <phoneticPr fontId="1"/>
  </si>
  <si>
    <r>
      <t xml:space="preserve">【経済学部の修了要件】
</t>
    </r>
    <r>
      <rPr>
        <sz val="9"/>
        <color theme="1"/>
        <rFont val="ＭＳ Ｐゴシック"/>
        <family val="3"/>
        <charset val="128"/>
        <scheme val="minor"/>
      </rPr>
      <t>副専攻の修了要件は以下の通りである。このうち2）の「基本」区分科目の履修条件が申請要件を満たす。</t>
    </r>
    <r>
      <rPr>
        <sz val="9"/>
        <rFont val="ＭＳ Ｐゴシック"/>
        <family val="3"/>
        <charset val="128"/>
        <scheme val="minor"/>
      </rPr>
      <t xml:space="preserve">
1) 副専攻履修申込書を所定の期日までに提出すること。
2) 必修科目を含め、各区分で指定された単位数以上で合計22単位以上を修得すること。
・</t>
    </r>
    <r>
      <rPr>
        <u/>
        <sz val="9"/>
        <rFont val="ＭＳ Ｐゴシック"/>
        <family val="3"/>
        <charset val="128"/>
        <scheme val="minor"/>
      </rPr>
      <t>「基本」区分は12単位以上(必修4単位含む)</t>
    </r>
    <r>
      <rPr>
        <u/>
        <sz val="9"/>
        <color theme="1"/>
        <rFont val="ＭＳ Ｐゴシック"/>
        <family val="3"/>
        <charset val="128"/>
        <scheme val="minor"/>
      </rPr>
      <t>。ただし、「統計」「ICT」「プログラミング」分野から各2単位以上の履修が必要。</t>
    </r>
    <r>
      <rPr>
        <sz val="9"/>
        <color theme="1"/>
        <rFont val="ＭＳ Ｐゴシック"/>
        <family val="3"/>
        <charset val="128"/>
        <scheme val="minor"/>
      </rPr>
      <t xml:space="preserve">
・「データ分析ツー</t>
    </r>
    <r>
      <rPr>
        <sz val="9"/>
        <rFont val="ＭＳ Ｐゴシック"/>
        <family val="3"/>
        <charset val="128"/>
        <scheme val="minor"/>
      </rPr>
      <t>ル」区分は4単位以上。
・「専門領域」区分は4単位以上。
・「実践」区分は2単位以上。
3) 指定の資格を1つ以上取得すること。
・Microsoft Offiece Specialist(Excel)　・ITパスポート　・統計検定2級
・社会調査士(資格の申請・認定に科目を修得することで取得)</t>
    </r>
    <rPh sb="1" eb="3">
      <t>ケイザイ</t>
    </rPh>
    <rPh sb="3" eb="5">
      <t>ガクブ</t>
    </rPh>
    <rPh sb="6" eb="8">
      <t>シュウリョウ</t>
    </rPh>
    <rPh sb="8" eb="10">
      <t>ヨウケン</t>
    </rPh>
    <rPh sb="41" eb="43">
      <t>クブン</t>
    </rPh>
    <rPh sb="43" eb="45">
      <t>カモク</t>
    </rPh>
    <rPh sb="51" eb="53">
      <t>リシュウ</t>
    </rPh>
    <rPh sb="63" eb="66">
      <t>フクセンコウ</t>
    </rPh>
    <rPh sb="66" eb="68">
      <t>リシュウ</t>
    </rPh>
    <rPh sb="68" eb="71">
      <t>モウシコミショ</t>
    </rPh>
    <rPh sb="72" eb="74">
      <t>ショテイ</t>
    </rPh>
    <rPh sb="75" eb="77">
      <t>キジツ</t>
    </rPh>
    <rPh sb="80" eb="82">
      <t>テイシュツ</t>
    </rPh>
    <rPh sb="91" eb="93">
      <t>ヒッシュウ</t>
    </rPh>
    <rPh sb="93" eb="95">
      <t>カモク</t>
    </rPh>
    <rPh sb="96" eb="97">
      <t>フク</t>
    </rPh>
    <rPh sb="99" eb="102">
      <t>カククブン</t>
    </rPh>
    <rPh sb="103" eb="105">
      <t>シテイ</t>
    </rPh>
    <rPh sb="108" eb="111">
      <t>タンイスウ</t>
    </rPh>
    <rPh sb="111" eb="113">
      <t>イジョウ</t>
    </rPh>
    <rPh sb="115" eb="117">
      <t>ゴウケイ</t>
    </rPh>
    <rPh sb="137" eb="139">
      <t>クブン</t>
    </rPh>
    <rPh sb="141" eb="143">
      <t>タンイ</t>
    </rPh>
    <rPh sb="143" eb="145">
      <t>イジョウ</t>
    </rPh>
    <rPh sb="152" eb="153">
      <t>フク</t>
    </rPh>
    <rPh sb="160" eb="162">
      <t>トウケイ</t>
    </rPh>
    <rPh sb="182" eb="183">
      <t>カク</t>
    </rPh>
    <rPh sb="183" eb="185">
      <t>タンイ</t>
    </rPh>
    <rPh sb="185" eb="187">
      <t>イジョウ</t>
    </rPh>
    <rPh sb="188" eb="190">
      <t>リシュウ</t>
    </rPh>
    <rPh sb="191" eb="193">
      <t>ヒツヨウ</t>
    </rPh>
    <rPh sb="200" eb="202">
      <t>ブンセキ</t>
    </rPh>
    <rPh sb="210" eb="214">
      <t>タンイイジョウ</t>
    </rPh>
    <rPh sb="235" eb="237">
      <t>ジッセン</t>
    </rPh>
    <rPh sb="247" eb="248">
      <t>ア</t>
    </rPh>
    <rPh sb="251" eb="253">
      <t>シテイ</t>
    </rPh>
    <rPh sb="254" eb="256">
      <t>シカク</t>
    </rPh>
    <rPh sb="259" eb="261">
      <t>イジョウ</t>
    </rPh>
    <rPh sb="261" eb="263">
      <t>シュトク</t>
    </rPh>
    <rPh sb="316" eb="318">
      <t>トウケイ</t>
    </rPh>
    <rPh sb="318" eb="320">
      <t>ケンテイ</t>
    </rPh>
    <rPh sb="321" eb="322">
      <t>キュウ</t>
    </rPh>
    <rPh sb="324" eb="326">
      <t>シャカイ</t>
    </rPh>
    <rPh sb="326" eb="328">
      <t>チョウサ</t>
    </rPh>
    <rPh sb="328" eb="329">
      <t>シ</t>
    </rPh>
    <rPh sb="330" eb="332">
      <t>シカク</t>
    </rPh>
    <rPh sb="333" eb="335">
      <t>シンセイ</t>
    </rPh>
    <rPh sb="336" eb="338">
      <t>ニンテイ</t>
    </rPh>
    <rPh sb="339" eb="341">
      <t>カモク</t>
    </rPh>
    <rPh sb="342" eb="344">
      <t>シュウトク</t>
    </rPh>
    <rPh sb="349" eb="351">
      <t>シュトク</t>
    </rPh>
    <phoneticPr fontId="1"/>
  </si>
  <si>
    <r>
      <t xml:space="preserve">【国際学部の修了要件】
</t>
    </r>
    <r>
      <rPr>
        <sz val="9"/>
        <color theme="1"/>
        <rFont val="ＭＳ Ｐゴシック"/>
        <family val="3"/>
        <charset val="128"/>
        <scheme val="minor"/>
      </rPr>
      <t>副専攻の修了要件は以下の通りである。このうち2）の「基本」区分科目の履修条件が申請要件を満たす。
1) 副専</t>
    </r>
    <r>
      <rPr>
        <sz val="9"/>
        <rFont val="ＭＳ Ｐゴシック"/>
        <family val="3"/>
        <charset val="128"/>
        <scheme val="minor"/>
      </rPr>
      <t>攻履修申込書を所定の期日までに提出すること。
2) 必修科目を含め、各区分で指定された単位数以上で合計22単位以上を修得すること。経済学部科目（（　）内の科目）も自由選択科目として卒業要件単位に認定。
・</t>
    </r>
    <r>
      <rPr>
        <u/>
        <sz val="9"/>
        <rFont val="ＭＳ Ｐゴシック"/>
        <family val="3"/>
        <charset val="128"/>
        <scheme val="minor"/>
      </rPr>
      <t>「基本」区分は12単位以上(すべて必修)。</t>
    </r>
    <r>
      <rPr>
        <sz val="9"/>
        <rFont val="ＭＳ Ｐゴシック"/>
        <family val="3"/>
        <charset val="128"/>
        <scheme val="minor"/>
      </rPr>
      <t xml:space="preserve">
・「データ分析ツール」区分は4単位以上。
・「専門領域」区分は4単位以上。
・「実践」区分は2単位以上。
</t>
    </r>
    <r>
      <rPr>
        <sz val="9"/>
        <color theme="1"/>
        <rFont val="ＭＳ Ｐゴシック"/>
        <family val="3"/>
        <charset val="128"/>
        <scheme val="minor"/>
      </rPr>
      <t>3) 指定の資格を1つ以上取得すること。</t>
    </r>
    <r>
      <rPr>
        <sz val="9"/>
        <rFont val="ＭＳ Ｐゴシック"/>
        <family val="3"/>
        <charset val="128"/>
        <scheme val="minor"/>
      </rPr>
      <t xml:space="preserve">
・Microsoft Offiece Specialist(Excel)　・ITパスポート　・統計検定2級
・社会調査士(資格の申請・認定に科目を修得することで取得)</t>
    </r>
    <rPh sb="1" eb="3">
      <t>コクサイ</t>
    </rPh>
    <rPh sb="3" eb="5">
      <t>ガクブ</t>
    </rPh>
    <rPh sb="6" eb="8">
      <t>シュウリョウ</t>
    </rPh>
    <rPh sb="8" eb="10">
      <t>ヨウケン</t>
    </rPh>
    <rPh sb="46" eb="48">
      <t>リシュウ</t>
    </rPh>
    <rPh sb="48" eb="50">
      <t>ジョウケン</t>
    </rPh>
    <rPh sb="64" eb="67">
      <t>フクセンコウ</t>
    </rPh>
    <rPh sb="67" eb="69">
      <t>リシュウ</t>
    </rPh>
    <rPh sb="69" eb="72">
      <t>モウシコミショ</t>
    </rPh>
    <rPh sb="73" eb="75">
      <t>ショテイ</t>
    </rPh>
    <rPh sb="76" eb="78">
      <t>キジツ</t>
    </rPh>
    <rPh sb="81" eb="83">
      <t>テイシュツ</t>
    </rPh>
    <rPh sb="141" eb="142">
      <t>ナイ</t>
    </rPh>
    <rPh sb="143" eb="145">
      <t>カモク</t>
    </rPh>
    <rPh sb="246" eb="248">
      <t>シテイ</t>
    </rPh>
    <rPh sb="249" eb="251">
      <t>シカク</t>
    </rPh>
    <rPh sb="254" eb="256">
      <t>イジョウ</t>
    </rPh>
    <rPh sb="256" eb="258">
      <t>シュトク</t>
    </rPh>
    <phoneticPr fontId="1"/>
  </si>
  <si>
    <t>現代社会は、インターネットに接続してサイバー空間とフィジカル空間の間で情報をやり取りする情報社会（Society4.0）であるが、これがさらに進化した新たな時代「Society5.0」に移行しつつある。情報社会との大きな違いは、利用できるデータが膨大かつ多種多様で即時に入手可能なビッグデータであることと、これをAIの技術により解析し活用することで、新たな価値を創出できることである。このような社会の変化を身近な例により知ることで、ビッグデータやAIが私たちの生活と密接に結び付いていることを理解する。また、昨今は、判断の根拠としてデータに基づく客観的証拠(エビデンス）が求められるため、社会のあらゆる場面でデータサイエンスの知識が不可欠であることも理解し、Society5.0の時代に向けて、誰もがデータとAIに対する正しい知識をもって、これを適切に扱うことができる必要があることを理解する。</t>
    <rPh sb="0" eb="2">
      <t>ゲンダイ</t>
    </rPh>
    <rPh sb="2" eb="4">
      <t>シャカイ</t>
    </rPh>
    <rPh sb="22" eb="24">
      <t>クウカン</t>
    </rPh>
    <rPh sb="30" eb="32">
      <t>クウカン</t>
    </rPh>
    <rPh sb="33" eb="34">
      <t>アイダ</t>
    </rPh>
    <rPh sb="35" eb="37">
      <t>ジョウホウ</t>
    </rPh>
    <rPh sb="40" eb="41">
      <t>ト</t>
    </rPh>
    <rPh sb="71" eb="73">
      <t>シンカ</t>
    </rPh>
    <rPh sb="93" eb="95">
      <t>イコウ</t>
    </rPh>
    <rPh sb="101" eb="103">
      <t>ジョウホウ</t>
    </rPh>
    <rPh sb="103" eb="105">
      <t>シャカイ</t>
    </rPh>
    <rPh sb="107" eb="108">
      <t>オオ</t>
    </rPh>
    <rPh sb="110" eb="111">
      <t>チガ</t>
    </rPh>
    <rPh sb="123" eb="125">
      <t>ボウダイ</t>
    </rPh>
    <rPh sb="127" eb="131">
      <t>タシュタヨウ</t>
    </rPh>
    <rPh sb="135" eb="137">
      <t>ニュウシュ</t>
    </rPh>
    <rPh sb="137" eb="139">
      <t>カノウ</t>
    </rPh>
    <rPh sb="159" eb="161">
      <t>ギジュツ</t>
    </rPh>
    <rPh sb="164" eb="166">
      <t>カイセキ</t>
    </rPh>
    <rPh sb="167" eb="169">
      <t>カツヨウ</t>
    </rPh>
    <rPh sb="175" eb="176">
      <t>アラ</t>
    </rPh>
    <rPh sb="178" eb="180">
      <t>カチ</t>
    </rPh>
    <rPh sb="181" eb="183">
      <t>ソウシュツ</t>
    </rPh>
    <rPh sb="197" eb="199">
      <t>シャカイ</t>
    </rPh>
    <rPh sb="200" eb="202">
      <t>ヘンカ</t>
    </rPh>
    <rPh sb="203" eb="205">
      <t>ミジカ</t>
    </rPh>
    <rPh sb="206" eb="207">
      <t>レイ</t>
    </rPh>
    <rPh sb="210" eb="211">
      <t>シ</t>
    </rPh>
    <rPh sb="233" eb="235">
      <t>ミッセツ</t>
    </rPh>
    <rPh sb="238" eb="239">
      <t>ツ</t>
    </rPh>
    <rPh sb="246" eb="248">
      <t>リカイ</t>
    </rPh>
    <rPh sb="254" eb="256">
      <t>サッコン</t>
    </rPh>
    <rPh sb="258" eb="260">
      <t>ハンダン</t>
    </rPh>
    <rPh sb="261" eb="263">
      <t>コンキョ</t>
    </rPh>
    <rPh sb="302" eb="303">
      <t>メン</t>
    </rPh>
    <rPh sb="318" eb="319">
      <t>ケツ</t>
    </rPh>
    <rPh sb="340" eb="342">
      <t>ジダイ</t>
    </rPh>
    <rPh sb="343" eb="344">
      <t>ム</t>
    </rPh>
    <rPh sb="357" eb="358">
      <t>タイ</t>
    </rPh>
    <rPh sb="360" eb="361">
      <t>タダ</t>
    </rPh>
    <rPh sb="373" eb="375">
      <t>テキセツ</t>
    </rPh>
    <rPh sb="376" eb="377">
      <t>アツカ</t>
    </rPh>
    <rPh sb="384" eb="386">
      <t>ヒツヨウ</t>
    </rPh>
    <rPh sb="392" eb="394">
      <t>リカイ</t>
    </rPh>
    <phoneticPr fontId="1"/>
  </si>
  <si>
    <t>AIは快適な生活を創り出す一方で、倫理的な問題や法的な問題も抱えているため、その利用に当たっては十分に注意する必要があることを理解する。また、データの活用においても、インターネットの利用が広まるにつれ、個人情報や情報セキュリティにおける問題が深刻化してきたため、これに対応するには、技術や法律だけでは難しく、情報倫理が重要であることを学ぶ。</t>
    <rPh sb="6" eb="8">
      <t>セイカツ</t>
    </rPh>
    <rPh sb="13" eb="14">
      <t>イチ</t>
    </rPh>
    <rPh sb="24" eb="26">
      <t>ホウテキ</t>
    </rPh>
    <rPh sb="27" eb="29">
      <t>モンダイ</t>
    </rPh>
    <rPh sb="30" eb="31">
      <t>カカ</t>
    </rPh>
    <rPh sb="40" eb="42">
      <t>リヨウ</t>
    </rPh>
    <rPh sb="43" eb="44">
      <t>ア</t>
    </rPh>
    <rPh sb="48" eb="50">
      <t>ジュウブン</t>
    </rPh>
    <rPh sb="51" eb="53">
      <t>チュウイ</t>
    </rPh>
    <rPh sb="55" eb="57">
      <t>ヒツヨウ</t>
    </rPh>
    <rPh sb="63" eb="65">
      <t>リカイ</t>
    </rPh>
    <rPh sb="75" eb="77">
      <t>カツヨウ</t>
    </rPh>
    <rPh sb="91" eb="93">
      <t>リヨウ</t>
    </rPh>
    <rPh sb="94" eb="95">
      <t>ヒロ</t>
    </rPh>
    <rPh sb="101" eb="103">
      <t>コジン</t>
    </rPh>
    <rPh sb="103" eb="105">
      <t>ジョウホウ</t>
    </rPh>
    <rPh sb="106" eb="108">
      <t>ジョウホウ</t>
    </rPh>
    <rPh sb="118" eb="120">
      <t>モンダイ</t>
    </rPh>
    <rPh sb="121" eb="124">
      <t>シンコクカ</t>
    </rPh>
    <rPh sb="134" eb="136">
      <t>タイオウ</t>
    </rPh>
    <rPh sb="141" eb="143">
      <t>ギジュツ</t>
    </rPh>
    <rPh sb="144" eb="146">
      <t>ホウリツ</t>
    </rPh>
    <rPh sb="150" eb="151">
      <t>ムズカ</t>
    </rPh>
    <rPh sb="154" eb="156">
      <t>ジョウホウ</t>
    </rPh>
    <rPh sb="156" eb="158">
      <t>リンリ</t>
    </rPh>
    <rPh sb="159" eb="161">
      <t>ジュウヨウ</t>
    </rPh>
    <rPh sb="167" eb="168">
      <t>マナ</t>
    </rPh>
    <phoneticPr fontId="1"/>
  </si>
  <si>
    <t>統計学Ⅱ　統計学総論Ⅱ　マーケティングリサーチⅡ　観光マーケティング調査</t>
    <rPh sb="0" eb="2">
      <t>トウケイ</t>
    </rPh>
    <rPh sb="2" eb="3">
      <t>ガク</t>
    </rPh>
    <phoneticPr fontId="1"/>
  </si>
  <si>
    <t>現代社会は、インターネットに接続してサイバー空間とフィジカル空間の間で情報をやり取りする情報社会（Socety4.0）であるが、これがさらに進化した新たな時代「Society5.0」に移行しつつある。情報社会との大きな違いは、利用できるデータが膨大かつ多種多様で即時に入手可能なビッグデータであることと、これをAIの技術により解析し活用することで、新たな価値を創出できることである。このような社会の変化を身近な例により知ることで、ビッグデータやAIが私たちの生活と密接に結び付いていることを理解する。また、昨今は、判断の根拠としてデータに基づく客観的証拠(エビデンス）が求められるため、社会のあらゆる場面でデータサイエンスの知識が不可欠であることも理解し、Society5.0の時代に向けて、誰もがデータとAIに対する正しい知識をもって、これを適切に扱うことができる必要があることを理解する。</t>
    <rPh sb="0" eb="2">
      <t>ゲンダイ</t>
    </rPh>
    <rPh sb="2" eb="4">
      <t>シャカイ</t>
    </rPh>
    <rPh sb="22" eb="24">
      <t>クウカン</t>
    </rPh>
    <rPh sb="30" eb="32">
      <t>クウカン</t>
    </rPh>
    <rPh sb="33" eb="34">
      <t>アイダ</t>
    </rPh>
    <rPh sb="35" eb="37">
      <t>ジョウホウ</t>
    </rPh>
    <rPh sb="40" eb="41">
      <t>ト</t>
    </rPh>
    <rPh sb="70" eb="72">
      <t>シンカ</t>
    </rPh>
    <rPh sb="92" eb="94">
      <t>イコウ</t>
    </rPh>
    <rPh sb="100" eb="102">
      <t>ジョウホウ</t>
    </rPh>
    <rPh sb="102" eb="104">
      <t>シャカイ</t>
    </rPh>
    <rPh sb="106" eb="107">
      <t>オオ</t>
    </rPh>
    <rPh sb="109" eb="110">
      <t>チガ</t>
    </rPh>
    <rPh sb="122" eb="124">
      <t>ボウダイ</t>
    </rPh>
    <rPh sb="126" eb="130">
      <t>タシュタヨウ</t>
    </rPh>
    <rPh sb="134" eb="136">
      <t>ニュウシュ</t>
    </rPh>
    <rPh sb="136" eb="138">
      <t>カノウ</t>
    </rPh>
    <rPh sb="158" eb="160">
      <t>ギジュツ</t>
    </rPh>
    <rPh sb="163" eb="165">
      <t>カイセキ</t>
    </rPh>
    <rPh sb="166" eb="168">
      <t>カツヨウ</t>
    </rPh>
    <rPh sb="174" eb="175">
      <t>アラ</t>
    </rPh>
    <rPh sb="177" eb="179">
      <t>カチ</t>
    </rPh>
    <rPh sb="180" eb="182">
      <t>ソウシュツ</t>
    </rPh>
    <rPh sb="196" eb="198">
      <t>シャカイ</t>
    </rPh>
    <rPh sb="199" eb="201">
      <t>ヘンカ</t>
    </rPh>
    <rPh sb="202" eb="204">
      <t>ミジカ</t>
    </rPh>
    <rPh sb="205" eb="206">
      <t>レイ</t>
    </rPh>
    <rPh sb="209" eb="210">
      <t>シ</t>
    </rPh>
    <rPh sb="232" eb="234">
      <t>ミッセツ</t>
    </rPh>
    <rPh sb="237" eb="238">
      <t>ツ</t>
    </rPh>
    <rPh sb="245" eb="247">
      <t>リカイ</t>
    </rPh>
    <rPh sb="253" eb="255">
      <t>サッコン</t>
    </rPh>
    <rPh sb="257" eb="259">
      <t>ハンダン</t>
    </rPh>
    <rPh sb="260" eb="262">
      <t>コンキョ</t>
    </rPh>
    <rPh sb="301" eb="302">
      <t>メン</t>
    </rPh>
    <rPh sb="317" eb="318">
      <t>ケツ</t>
    </rPh>
    <rPh sb="339" eb="341">
      <t>ジダイ</t>
    </rPh>
    <rPh sb="342" eb="343">
      <t>ム</t>
    </rPh>
    <rPh sb="356" eb="357">
      <t>タイ</t>
    </rPh>
    <rPh sb="359" eb="360">
      <t>タダ</t>
    </rPh>
    <rPh sb="372" eb="374">
      <t>テキセツ</t>
    </rPh>
    <rPh sb="375" eb="376">
      <t>アツカ</t>
    </rPh>
    <rPh sb="383" eb="385">
      <t>ヒツヨウ</t>
    </rPh>
    <rPh sb="391" eb="393">
      <t>リカイ</t>
    </rPh>
    <phoneticPr fontId="1"/>
  </si>
  <si>
    <t>AIは快適な生活を創り出す一方で、倫理的な問題や法的な問題も抱えているため、その利用に当たっては十分に注意する必要があることを理解する。また、データの活用においても、インターネットの利用が広まるにつれ、個人情報や情報セキュリティにおける問題が深刻化してきたため、これに対応するには、技術や法律だけでは難しく、情報倫理が重要であることを学ぶ。</t>
    <rPh sb="6" eb="8">
      <t>セイカツ</t>
    </rPh>
    <rPh sb="13" eb="15">
      <t>イッポウ</t>
    </rPh>
    <rPh sb="24" eb="26">
      <t>ホウテキ</t>
    </rPh>
    <rPh sb="27" eb="29">
      <t>モンダイ</t>
    </rPh>
    <rPh sb="30" eb="31">
      <t>カカ</t>
    </rPh>
    <rPh sb="40" eb="42">
      <t>リヨウ</t>
    </rPh>
    <rPh sb="43" eb="44">
      <t>ア</t>
    </rPh>
    <rPh sb="48" eb="50">
      <t>ジュウブン</t>
    </rPh>
    <rPh sb="51" eb="53">
      <t>チュウイ</t>
    </rPh>
    <rPh sb="55" eb="57">
      <t>ヒツヨウ</t>
    </rPh>
    <rPh sb="63" eb="65">
      <t>リカイ</t>
    </rPh>
    <rPh sb="75" eb="77">
      <t>カツヨウ</t>
    </rPh>
    <rPh sb="91" eb="93">
      <t>リヨウ</t>
    </rPh>
    <rPh sb="94" eb="95">
      <t>ヒロ</t>
    </rPh>
    <rPh sb="101" eb="103">
      <t>コジン</t>
    </rPh>
    <rPh sb="103" eb="105">
      <t>ジョウホウ</t>
    </rPh>
    <rPh sb="106" eb="108">
      <t>ジョウホウ</t>
    </rPh>
    <rPh sb="118" eb="120">
      <t>モンダイ</t>
    </rPh>
    <rPh sb="121" eb="124">
      <t>シンコクカ</t>
    </rPh>
    <rPh sb="134" eb="136">
      <t>タイオウ</t>
    </rPh>
    <rPh sb="141" eb="143">
      <t>ギジュツ</t>
    </rPh>
    <rPh sb="144" eb="146">
      <t>ホウリツ</t>
    </rPh>
    <rPh sb="150" eb="151">
      <t>ムズカ</t>
    </rPh>
    <rPh sb="154" eb="156">
      <t>ジョウホウ</t>
    </rPh>
    <rPh sb="156" eb="158">
      <t>リンリ</t>
    </rPh>
    <rPh sb="159" eb="161">
      <t>ジュウヨウ</t>
    </rPh>
    <rPh sb="167" eb="168">
      <t>マナ</t>
    </rPh>
    <phoneticPr fontId="1"/>
  </si>
  <si>
    <t>記述統計（4−7）、図表化と理解（8,9）、データの関係性（相関関係、12-14）</t>
    <phoneticPr fontId="1"/>
  </si>
  <si>
    <t xml:space="preserve">本研究会は、経済学・経営学・国際学・教育学等の各分野におけるAI・データサイエンスの活用を通して、Society5.0に向けた文理融合人材の育成に貢献することを目的とする。この目的を達成するために主に以下の活動を行う。
（1）AI・データサイエンスの学修に必要なカリキュラムの研究・開発　（2）AI・データサイエンスの学修に必要な教材の研究・開発　（3）AI・データサイエンスの教育に必要な指導法の研究・開発　（4）AI・データサイエンスに関わる学修データの調査・分析　（5）履修案内を含む学内外広報　（6）FD/SD研修会での活動報告　（7）他大学、研究機関、研究者との交流　（8）図書、資料の収集・保管　（9）その他、目的達成に必要な活動
</t>
    <rPh sb="0" eb="1">
      <t>ホン</t>
    </rPh>
    <rPh sb="88" eb="90">
      <t>モクテキ</t>
    </rPh>
    <rPh sb="91" eb="93">
      <t>タッセイ</t>
    </rPh>
    <rPh sb="98" eb="99">
      <t>オモ</t>
    </rPh>
    <rPh sb="100" eb="102">
      <t>イカ</t>
    </rPh>
    <rPh sb="103" eb="105">
      <t>カツドウ</t>
    </rPh>
    <rPh sb="106" eb="107">
      <t>オコナ</t>
    </rPh>
    <phoneticPr fontId="1"/>
  </si>
  <si>
    <t>敬愛大学AI・データサイエンス教育研究会内規</t>
    <rPh sb="0" eb="2">
      <t>ケイアイ</t>
    </rPh>
    <rPh sb="2" eb="4">
      <t>ダイガク</t>
    </rPh>
    <rPh sb="15" eb="20">
      <t>キョウイクケンキュウカイ</t>
    </rPh>
    <rPh sb="20" eb="22">
      <t>ナイキ</t>
    </rPh>
    <phoneticPr fontId="1"/>
  </si>
  <si>
    <t>全学「自己点検・評価委員会」の下で大学基準協会の基準に基づく点検・評価を行っている。特に、令和2年度は内部質保証の観点から大学認証評価に向けた点検・評価を行った。本専攻の3ポリシーを策定し、「修了証授与の方針」に定めた目標の実現に向けて取り組んでいる。全科目の履修状況をLMSで管理しており、課題提出率や小テストの正答率、単位取得率などの状況を各授業科目で点検・評価することができるため、令和2年度に単位取得率、GPAについて調査した。この結果、1年次開講科目で単位取得率とGPAが低く、入学前の学習経験を踏まえた理解の再構築が必要であるという課題に至った。</t>
    <rPh sb="45" eb="47">
      <t>レイワ</t>
    </rPh>
    <phoneticPr fontId="1"/>
  </si>
  <si>
    <t>本学では全科目の履修状況をLMSで管理しているため、授業時間外であっても質問があればLMS上の「授業Q&amp;A」で受け付け、教員はこれに回答するしくみとなっている。メイルでも質問を受け付けて対応している。オンライン授業では、授業時間が定められていないオンデマンド型の場合は、常時「授業Q&amp;A」やメイルを利用した学習指導を行い、双方向型の場合は、授業時間内はチャット等による質問を受け付けて対応し、授業時間外はオンデマンド型と同様に「授業Q&amp;A」やメイルにより対応している。対面授業では、授業時間内に直接質問ができるが、授業終了後もそのまま教室で質問や相談を受け付けており、授業時間外はオンライン授業の場合と同様の方法で対応している。また、各教員が全学生に公開しているオフィスアワーを利用して、研究室で指導を受けることもできる。さらに、授業担当教員以外でも、研究会の教員が随時、学修指導や相談に乗っている。</t>
    <rPh sb="93" eb="95">
      <t>タイオウ</t>
    </rPh>
    <rPh sb="110" eb="112">
      <t>ジュギョウ</t>
    </rPh>
    <rPh sb="112" eb="114">
      <t>ジカン</t>
    </rPh>
    <rPh sb="115" eb="116">
      <t>サダ</t>
    </rPh>
    <rPh sb="135" eb="137">
      <t>ジョウジ</t>
    </rPh>
    <rPh sb="158" eb="159">
      <t>オコナ</t>
    </rPh>
    <rPh sb="170" eb="172">
      <t>ジュギョウ</t>
    </rPh>
    <rPh sb="172" eb="175">
      <t>ジカンナイ</t>
    </rPh>
    <rPh sb="192" eb="194">
      <t>タイオウ</t>
    </rPh>
    <rPh sb="227" eb="229">
      <t>タイオウ</t>
    </rPh>
    <rPh sb="247" eb="249">
      <t>チョクセツ</t>
    </rPh>
    <rPh sb="267" eb="269">
      <t>キョウシツ</t>
    </rPh>
    <rPh sb="270" eb="272">
      <t>シツモン</t>
    </rPh>
    <rPh sb="276" eb="277">
      <t>ウ</t>
    </rPh>
    <rPh sb="278" eb="279">
      <t>ツ</t>
    </rPh>
    <rPh sb="295" eb="297">
      <t>ジュギョウ</t>
    </rPh>
    <rPh sb="298" eb="300">
      <t>バアイ</t>
    </rPh>
    <rPh sb="301" eb="303">
      <t>ドウヨウ</t>
    </rPh>
    <rPh sb="304" eb="306">
      <t>ホウホウ</t>
    </rPh>
    <rPh sb="307" eb="309">
      <t>タイオウ</t>
    </rPh>
    <rPh sb="365" eb="367">
      <t>ジュギョウ</t>
    </rPh>
    <phoneticPr fontId="1"/>
  </si>
  <si>
    <t>前述のアンケート調査によると、副専攻科目全体の難易度は、全学で、「やや難しい」62%、「ちょうどよい」21%、「難しい」17%で、「易しい」は「やや」も含めゼロであった。この難易度を学生の内容の理解度を測る一つの指標とすると、理解が十分ではない8割の学生への支援が必要である。1・2年生とも、経済学部は全学と同順、国際学部は「やや難しい」「難しい」「ちょうどよい」の順で、経済学部生の方が理解度が高いと判断できる。科目単位では、客観的にはシラバスに明記した方法・判定基準に基づく成績やGPAから測定し、学生自身による主観的な評価は、本学で毎学期実施している「学生による授業評価」の結果を活用できる。</t>
    <rPh sb="15" eb="18">
      <t>フクセンコウ</t>
    </rPh>
    <rPh sb="18" eb="20">
      <t>カモク</t>
    </rPh>
    <rPh sb="28" eb="30">
      <t>ゼンガク</t>
    </rPh>
    <rPh sb="35" eb="36">
      <t>ムズカ</t>
    </rPh>
    <rPh sb="56" eb="57">
      <t>ムズカ</t>
    </rPh>
    <rPh sb="66" eb="67">
      <t>ヤサ</t>
    </rPh>
    <rPh sb="76" eb="77">
      <t>フク</t>
    </rPh>
    <rPh sb="91" eb="93">
      <t>ガクセイ</t>
    </rPh>
    <rPh sb="94" eb="96">
      <t>ナイヨウ</t>
    </rPh>
    <rPh sb="103" eb="104">
      <t>ヒト</t>
    </rPh>
    <rPh sb="113" eb="115">
      <t>リカイ</t>
    </rPh>
    <rPh sb="116" eb="118">
      <t>ジュウブン</t>
    </rPh>
    <rPh sb="123" eb="124">
      <t>ワリ</t>
    </rPh>
    <rPh sb="125" eb="127">
      <t>ガクセイ</t>
    </rPh>
    <rPh sb="129" eb="131">
      <t>シエン</t>
    </rPh>
    <rPh sb="132" eb="134">
      <t>ヒツヨウ</t>
    </rPh>
    <rPh sb="141" eb="142">
      <t>ネン</t>
    </rPh>
    <rPh sb="142" eb="143">
      <t>セイ</t>
    </rPh>
    <rPh sb="146" eb="148">
      <t>ケイザイ</t>
    </rPh>
    <rPh sb="148" eb="150">
      <t>ガクブ</t>
    </rPh>
    <rPh sb="151" eb="153">
      <t>ゼンガク</t>
    </rPh>
    <rPh sb="157" eb="159">
      <t>コクサイ</t>
    </rPh>
    <rPh sb="159" eb="161">
      <t>ガクブ</t>
    </rPh>
    <rPh sb="170" eb="171">
      <t>ムズカ</t>
    </rPh>
    <rPh sb="183" eb="184">
      <t>ジュン</t>
    </rPh>
    <rPh sb="186" eb="188">
      <t>ケイザイ</t>
    </rPh>
    <rPh sb="188" eb="190">
      <t>ガクブ</t>
    </rPh>
    <rPh sb="192" eb="193">
      <t>ホウ</t>
    </rPh>
    <rPh sb="194" eb="197">
      <t>リカイド</t>
    </rPh>
    <rPh sb="198" eb="199">
      <t>タカ</t>
    </rPh>
    <rPh sb="224" eb="226">
      <t>メイキ</t>
    </rPh>
    <rPh sb="228" eb="230">
      <t>ホウホウ</t>
    </rPh>
    <rPh sb="236" eb="237">
      <t>モト</t>
    </rPh>
    <rPh sb="239" eb="241">
      <t>セイセキ</t>
    </rPh>
    <rPh sb="247" eb="249">
      <t>ソクテイ</t>
    </rPh>
    <rPh sb="251" eb="253">
      <t>ガクセイ</t>
    </rPh>
    <rPh sb="253" eb="255">
      <t>ジシン</t>
    </rPh>
    <rPh sb="258" eb="260">
      <t>シュカン</t>
    </rPh>
    <rPh sb="260" eb="261">
      <t>テキ</t>
    </rPh>
    <rPh sb="262" eb="264">
      <t>ヒョウカ</t>
    </rPh>
    <rPh sb="266" eb="268">
      <t>ホンガク</t>
    </rPh>
    <rPh sb="269" eb="272">
      <t>マイガッキ</t>
    </rPh>
    <rPh sb="272" eb="274">
      <t>ジッシ</t>
    </rPh>
    <rPh sb="279" eb="281">
      <t>ガクセイ</t>
    </rPh>
    <rPh sb="293" eb="295">
      <t>カツヨウ</t>
    </rPh>
    <phoneticPr fontId="1"/>
  </si>
  <si>
    <t>統計学の基本知識（1）、データの視覚化（3）、記述統計の基礎知識とEXCELを利用したデータの処理（実習）（5～14）</t>
    <rPh sb="0" eb="3">
      <t>トウケイガク</t>
    </rPh>
    <rPh sb="4" eb="6">
      <t>キホン</t>
    </rPh>
    <rPh sb="6" eb="8">
      <t>チシキ</t>
    </rPh>
    <rPh sb="16" eb="18">
      <t>シカク</t>
    </rPh>
    <rPh sb="18" eb="19">
      <t>カ</t>
    </rPh>
    <rPh sb="23" eb="25">
      <t>キジュツ</t>
    </rPh>
    <rPh sb="25" eb="27">
      <t>トウケイ</t>
    </rPh>
    <rPh sb="28" eb="30">
      <t>キソ</t>
    </rPh>
    <rPh sb="30" eb="32">
      <t>チシキ</t>
    </rPh>
    <rPh sb="39" eb="41">
      <t>リヨウ</t>
    </rPh>
    <rPh sb="47" eb="49">
      <t>ショリ</t>
    </rPh>
    <rPh sb="50" eb="52">
      <t>ジッシュウ</t>
    </rPh>
    <phoneticPr fontId="1"/>
  </si>
  <si>
    <t>統計学の基本知識（1）、データの視覚化（3）、記述統計の基礎知識とEXCELを利用した経済データの処理（実習）（5～14）</t>
    <rPh sb="0" eb="3">
      <t>トウケイガク</t>
    </rPh>
    <rPh sb="4" eb="6">
      <t>キホン</t>
    </rPh>
    <rPh sb="6" eb="8">
      <t>チシキ</t>
    </rPh>
    <rPh sb="16" eb="18">
      <t>シカク</t>
    </rPh>
    <rPh sb="18" eb="19">
      <t>カ</t>
    </rPh>
    <rPh sb="23" eb="25">
      <t>キジュツ</t>
    </rPh>
    <rPh sb="25" eb="27">
      <t>トウケイ</t>
    </rPh>
    <rPh sb="28" eb="30">
      <t>キソ</t>
    </rPh>
    <rPh sb="30" eb="32">
      <t>チシキ</t>
    </rPh>
    <rPh sb="39" eb="41">
      <t>リヨウ</t>
    </rPh>
    <rPh sb="43" eb="45">
      <t>ケイザイ</t>
    </rPh>
    <rPh sb="49" eb="51">
      <t>ショリ</t>
    </rPh>
    <rPh sb="52" eb="54">
      <t>ジッシュウ</t>
    </rPh>
    <phoneticPr fontId="1"/>
  </si>
  <si>
    <t>https://www.u-keiai.ac.jp/datascience/#87474c94</t>
    <phoneticPr fontId="1"/>
  </si>
  <si>
    <t>https://www.u-keiai.ac.jp/datascience/#87474c94</t>
    <phoneticPr fontId="1"/>
  </si>
  <si>
    <t>有</t>
  </si>
  <si>
    <t>社会調査法Ⅰ　社会調査法Ⅱ　社会調査実習Ⅰ　社会調査実習Ⅱ　情報ビジネス論　（計量経済学Ⅰ）　（計量経済学Ⅱ）</t>
    <rPh sb="48" eb="50">
      <t>ケイリョウ</t>
    </rPh>
    <rPh sb="50" eb="53">
      <t>ケイザイガク</t>
    </rPh>
    <phoneticPr fontId="1"/>
  </si>
  <si>
    <t>マーケティングのデータ解析（1,2）、統計解析の基礎（3,4）、検定（11-13）、実データによる相関分析（5）・回帰分析（6-9）・コンジョイント分析（10）</t>
    <rPh sb="11" eb="13">
      <t>カイセキ</t>
    </rPh>
    <rPh sb="19" eb="21">
      <t>トウケイ</t>
    </rPh>
    <rPh sb="21" eb="23">
      <t>カイセキ</t>
    </rPh>
    <rPh sb="24" eb="26">
      <t>キソ</t>
    </rPh>
    <rPh sb="42" eb="43">
      <t>ジツ</t>
    </rPh>
    <rPh sb="49" eb="51">
      <t>ソウカン</t>
    </rPh>
    <rPh sb="51" eb="53">
      <t>ブンセキ</t>
    </rPh>
    <rPh sb="57" eb="59">
      <t>カイキ</t>
    </rPh>
    <rPh sb="59" eb="61">
      <t>ブンセキ</t>
    </rPh>
    <rPh sb="74" eb="76">
      <t>ブンセキ</t>
    </rPh>
    <phoneticPr fontId="1"/>
  </si>
  <si>
    <t>計算ソフト操作（1,2）、実データの分析実習(3,4,10-14)、 統計データの意味(5-7)</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</si>
</sst>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_ "/>
    <numFmt numFmtId="177" formatCode="0.0%"/>
  </numFmts>
  <fonts count="29">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u/>
      <sz val="11"/>
      <name val="ＭＳ Ｐゴシック"/>
      <family val="3"/>
      <charset val="128"/>
      <scheme val="minor"/>
    </font>
    <font>
      <sz val="9"/>
      <name val="ＭＳ Ｐゴシック"/>
      <family val="3"/>
      <charset val="128"/>
      <scheme val="minor"/>
    </font>
    <font>
      <sz val="11"/>
      <name val="ＭＳ Ｐゴシック"/>
      <family val="3"/>
      <charset val="128"/>
      <scheme val="minor"/>
    </font>
    <font>
      <sz val="9"/>
      <name val="ＭＳ Ｐゴシック"/>
      <family val="2"/>
      <charset val="128"/>
      <scheme val="minor"/>
    </font>
    <font>
      <sz val="10"/>
      <color rgb="FF00B050"/>
      <name val="ＭＳ Ｐゴシック"/>
      <family val="3"/>
      <charset val="128"/>
      <scheme val="minor"/>
    </font>
    <font>
      <sz val="10"/>
      <name val="ＭＳ Ｐゴシック"/>
      <family val="3"/>
      <charset val="128"/>
      <scheme val="minor"/>
    </font>
    <font>
      <sz val="12"/>
      <color rgb="FF00B050"/>
      <name val="ＭＳ Ｐゴシック"/>
      <family val="2"/>
      <charset val="128"/>
      <scheme val="minor"/>
    </font>
    <font>
      <sz val="10"/>
      <color rgb="FF00B050"/>
      <name val="ＭＳ Ｐゴシック"/>
      <family val="2"/>
      <charset val="128"/>
      <scheme val="minor"/>
    </font>
    <font>
      <sz val="12"/>
      <color rgb="FF00B050"/>
      <name val="ＭＳ Ｐゴシック"/>
      <family val="3"/>
      <charset val="128"/>
      <scheme val="minor"/>
    </font>
    <font>
      <b/>
      <sz val="12"/>
      <name val="ＭＳ Ｐゴシック"/>
      <family val="3"/>
      <charset val="128"/>
      <scheme val="minor"/>
    </font>
    <font>
      <b/>
      <sz val="12"/>
      <color theme="1"/>
      <name val="ＭＳ Ｐゴシック"/>
      <family val="3"/>
      <charset val="128"/>
      <scheme val="minor"/>
    </font>
    <font>
      <sz val="10"/>
      <color rgb="FF00B0F0"/>
      <name val="ＭＳ Ｐゴシック"/>
      <family val="3"/>
      <charset val="128"/>
      <scheme val="minor"/>
    </font>
    <font>
      <u/>
      <sz val="9"/>
      <name val="ＭＳ Ｐゴシック"/>
      <family val="3"/>
      <charset val="128"/>
      <scheme val="minor"/>
    </font>
    <font>
      <u/>
      <sz val="9"/>
      <color theme="1"/>
      <name val="ＭＳ Ｐゴシック"/>
      <family val="3"/>
      <charset val="128"/>
      <scheme val="minor"/>
    </font>
    <font>
      <sz val="12"/>
      <color theme="1"/>
      <name val="ＭＳ Ｐゴシック"/>
      <family val="3"/>
      <charset val="128"/>
      <scheme val="major"/>
    </font>
  </fonts>
  <fills count="2">
    <fill>
      <patternFill patternType="none"/>
    </fill>
    <fill>
      <patternFill patternType="gray125"/>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bottom style="hair">
        <color auto="1"/>
      </bottom>
      <diagonal/>
    </border>
    <border>
      <left/>
      <right style="thin">
        <color auto="1"/>
      </right>
      <top/>
      <bottom style="hair">
        <color auto="1"/>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46">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Border="1" applyAlignment="1">
      <alignment vertical="center"/>
    </xf>
    <xf numFmtId="0" fontId="8" fillId="0" borderId="5" xfId="0" applyFont="1" applyBorder="1">
      <alignment vertical="center"/>
    </xf>
    <xf numFmtId="0" fontId="8" fillId="0" borderId="0" xfId="0" applyFont="1" applyBorder="1">
      <alignment vertical="center"/>
    </xf>
    <xf numFmtId="0" fontId="3" fillId="0" borderId="0" xfId="0" applyFont="1" applyAlignment="1">
      <alignment horizontal="center" vertical="center"/>
    </xf>
    <xf numFmtId="0" fontId="9" fillId="0" borderId="0" xfId="0" applyFont="1" applyFill="1">
      <alignment vertical="center"/>
    </xf>
    <xf numFmtId="0" fontId="11" fillId="0" borderId="0" xfId="0" applyFont="1">
      <alignment vertical="center"/>
    </xf>
    <xf numFmtId="0" fontId="9" fillId="0" borderId="0" xfId="0" applyFont="1" applyAlignment="1">
      <alignment horizontal="right" vertical="center"/>
    </xf>
    <xf numFmtId="0" fontId="8" fillId="0" borderId="0" xfId="0" applyFont="1" applyAlignment="1">
      <alignment horizontal="center" vertical="center"/>
    </xf>
    <xf numFmtId="0" fontId="10" fillId="0" borderId="11" xfId="0" applyFont="1" applyFill="1" applyBorder="1" applyAlignment="1">
      <alignment horizontal="center" vertical="center"/>
    </xf>
    <xf numFmtId="0" fontId="10" fillId="0" borderId="31" xfId="0" applyFont="1" applyFill="1" applyBorder="1" applyAlignment="1">
      <alignment horizontal="center" vertical="center" wrapText="1"/>
    </xf>
    <xf numFmtId="0" fontId="10" fillId="0" borderId="32" xfId="0" applyFont="1" applyFill="1" applyBorder="1" applyAlignment="1">
      <alignment horizontal="center" vertical="center"/>
    </xf>
    <xf numFmtId="0" fontId="10" fillId="0" borderId="12" xfId="0" applyFont="1" applyFill="1" applyBorder="1" applyAlignment="1">
      <alignment horizontal="center" vertical="center" wrapTex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4" xfId="0" applyNumberFormat="1" applyFont="1" applyFill="1" applyBorder="1" applyAlignment="1">
      <alignment vertical="center" shrinkToFit="1"/>
    </xf>
    <xf numFmtId="9" fontId="3" fillId="0" borderId="10" xfId="0" applyNumberFormat="1" applyFont="1" applyFill="1" applyBorder="1" applyAlignment="1">
      <alignment vertical="center" shrinkToFit="1"/>
    </xf>
    <xf numFmtId="0" fontId="3" fillId="0" borderId="20" xfId="0"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25" xfId="0" applyNumberFormat="1" applyFont="1" applyFill="1" applyBorder="1" applyAlignment="1">
      <alignment vertical="center" shrinkToFit="1"/>
    </xf>
    <xf numFmtId="176" fontId="3" fillId="0" borderId="26" xfId="0" applyNumberFormat="1" applyFont="1" applyFill="1" applyBorder="1" applyAlignment="1">
      <alignment vertical="center" shrinkToFit="1"/>
    </xf>
    <xf numFmtId="0" fontId="3" fillId="0" borderId="27" xfId="0" applyFont="1" applyFill="1" applyBorder="1" applyAlignment="1">
      <alignment vertical="center" shrinkToFit="1"/>
    </xf>
    <xf numFmtId="176" fontId="3" fillId="0" borderId="27" xfId="0" applyNumberFormat="1" applyFont="1" applyFill="1" applyBorder="1" applyAlignment="1">
      <alignment vertical="center" shrinkToFit="1"/>
    </xf>
    <xf numFmtId="176" fontId="3" fillId="0" borderId="37" xfId="0" applyNumberFormat="1" applyFont="1" applyFill="1" applyBorder="1" applyAlignment="1">
      <alignment vertical="center" shrinkToFit="1"/>
    </xf>
    <xf numFmtId="176" fontId="3" fillId="0" borderId="38" xfId="0" applyNumberFormat="1" applyFont="1" applyFill="1" applyBorder="1" applyAlignment="1">
      <alignment vertical="center" shrinkToFit="1"/>
    </xf>
    <xf numFmtId="176" fontId="3" fillId="0" borderId="29" xfId="0" applyNumberFormat="1" applyFont="1" applyFill="1" applyBorder="1" applyAlignment="1">
      <alignment vertical="center" shrinkToFit="1"/>
    </xf>
    <xf numFmtId="176" fontId="3" fillId="0" borderId="30" xfId="0" applyNumberFormat="1" applyFont="1" applyFill="1" applyBorder="1" applyAlignment="1">
      <alignment vertical="center" shrinkToFit="1"/>
    </xf>
    <xf numFmtId="9" fontId="3" fillId="0" borderId="29" xfId="0" applyNumberFormat="1" applyFont="1" applyFill="1" applyBorder="1" applyAlignment="1">
      <alignment vertical="center" shrinkToFit="1"/>
    </xf>
    <xf numFmtId="0" fontId="2" fillId="0" borderId="0" xfId="0" applyFont="1" applyFill="1">
      <alignment vertical="center"/>
    </xf>
    <xf numFmtId="0" fontId="3" fillId="0" borderId="0" xfId="0" applyFont="1" applyFill="1" applyAlignment="1">
      <alignment vertical="center" shrinkToFit="1"/>
    </xf>
    <xf numFmtId="0" fontId="3" fillId="0" borderId="0" xfId="0" applyFont="1" applyFill="1" applyAlignment="1">
      <alignment vertical="center"/>
    </xf>
    <xf numFmtId="0" fontId="3" fillId="0" borderId="0" xfId="0" applyFont="1" applyFill="1" applyAlignment="1">
      <alignment horizontal="center" vertical="center"/>
    </xf>
    <xf numFmtId="0" fontId="13" fillId="0" borderId="0" xfId="0" applyFont="1" applyFill="1">
      <alignment vertical="center"/>
    </xf>
    <xf numFmtId="0" fontId="3" fillId="0" borderId="0" xfId="0" applyFont="1" applyFill="1" applyBorder="1" applyAlignment="1">
      <alignment vertical="center" shrinkToFit="1"/>
    </xf>
    <xf numFmtId="176" fontId="4" fillId="0" borderId="0" xfId="0" applyNumberFormat="1" applyFont="1" applyFill="1" applyBorder="1" applyAlignment="1">
      <alignment vertical="center" shrinkToFit="1"/>
    </xf>
    <xf numFmtId="0" fontId="9" fillId="0" borderId="0" xfId="0" applyFont="1" applyFill="1" applyAlignment="1">
      <alignment horizontal="right" vertical="center"/>
    </xf>
    <xf numFmtId="0" fontId="8" fillId="0" borderId="0" xfId="0" applyFont="1" applyFill="1" applyAlignment="1">
      <alignment horizontal="right" vertical="center"/>
    </xf>
    <xf numFmtId="0" fontId="8" fillId="0" borderId="0" xfId="0" applyFont="1" applyFill="1" applyAlignment="1">
      <alignment horizontal="center" vertical="center"/>
    </xf>
    <xf numFmtId="0" fontId="8" fillId="0" borderId="0" xfId="0" applyFont="1" applyFill="1" applyBorder="1" applyAlignment="1">
      <alignment horizontal="center" vertical="center"/>
    </xf>
    <xf numFmtId="0" fontId="8" fillId="0" borderId="0" xfId="0" applyFont="1" applyFill="1" applyAlignment="1">
      <alignment vertical="center"/>
    </xf>
    <xf numFmtId="0" fontId="8" fillId="0" borderId="1" xfId="0" applyFont="1" applyFill="1" applyBorder="1" applyAlignment="1">
      <alignment vertical="center" shrinkToFit="1"/>
    </xf>
    <xf numFmtId="0" fontId="8" fillId="0" borderId="0" xfId="0" applyFont="1" applyFill="1" applyAlignment="1">
      <alignment horizontal="left" vertical="center"/>
    </xf>
    <xf numFmtId="0" fontId="8" fillId="0" borderId="0" xfId="0" applyFont="1" applyFill="1" applyBorder="1" applyAlignment="1">
      <alignment vertical="center"/>
    </xf>
    <xf numFmtId="0" fontId="8" fillId="0" borderId="10" xfId="0" applyFont="1" applyFill="1" applyBorder="1" applyAlignment="1">
      <alignment vertical="center"/>
    </xf>
    <xf numFmtId="0" fontId="8" fillId="0" borderId="5" xfId="0" applyFont="1" applyFill="1" applyBorder="1">
      <alignment vertical="center"/>
    </xf>
    <xf numFmtId="176" fontId="8" fillId="0" borderId="0" xfId="0" applyNumberFormat="1" applyFont="1" applyFill="1" applyBorder="1" applyAlignment="1">
      <alignment vertical="center" wrapText="1"/>
    </xf>
    <xf numFmtId="0" fontId="8" fillId="0" borderId="0" xfId="0" applyFont="1" applyFill="1" applyBorder="1">
      <alignment vertical="center"/>
    </xf>
    <xf numFmtId="176" fontId="8" fillId="0" borderId="5" xfId="0" applyNumberFormat="1" applyFont="1" applyFill="1" applyBorder="1" applyAlignment="1">
      <alignment vertical="center"/>
    </xf>
    <xf numFmtId="0" fontId="8" fillId="0" borderId="0" xfId="0" applyFont="1" applyFill="1" applyBorder="1" applyAlignment="1">
      <alignment vertical="center" shrinkToFit="1"/>
    </xf>
    <xf numFmtId="176" fontId="8" fillId="0" borderId="0" xfId="0" applyNumberFormat="1" applyFont="1" applyFill="1" applyBorder="1">
      <alignment vertical="center"/>
    </xf>
    <xf numFmtId="176" fontId="8" fillId="0" borderId="0" xfId="0" applyNumberFormat="1" applyFont="1" applyFill="1" applyAlignment="1">
      <alignment vertical="center" wrapText="1"/>
    </xf>
    <xf numFmtId="0" fontId="8" fillId="0" borderId="0" xfId="0" applyFont="1" applyFill="1" applyBorder="1" applyAlignment="1">
      <alignment horizontal="center" vertical="center"/>
    </xf>
    <xf numFmtId="0" fontId="8" fillId="0" borderId="0" xfId="0" applyFont="1" applyFill="1">
      <alignment vertical="center"/>
    </xf>
    <xf numFmtId="176" fontId="8" fillId="0" borderId="3" xfId="0" applyNumberFormat="1" applyFont="1" applyFill="1" applyBorder="1" applyAlignment="1">
      <alignment vertical="center" shrinkToFit="1"/>
    </xf>
    <xf numFmtId="176" fontId="8" fillId="0" borderId="0" xfId="0" applyNumberFormat="1" applyFont="1" applyFill="1" applyAlignment="1">
      <alignment horizontal="left" vertical="center" wrapText="1"/>
    </xf>
    <xf numFmtId="0" fontId="8" fillId="0" borderId="6" xfId="0" applyFont="1" applyFill="1" applyBorder="1" applyAlignment="1">
      <alignment vertical="center" shrinkToFit="1"/>
    </xf>
    <xf numFmtId="0" fontId="8" fillId="0" borderId="0" xfId="0" applyFont="1" applyFill="1" applyBorder="1" applyAlignment="1">
      <alignment horizontal="center" vertical="center" shrinkToFit="1"/>
    </xf>
    <xf numFmtId="0" fontId="8" fillId="0" borderId="1" xfId="0" applyFont="1" applyFill="1" applyBorder="1">
      <alignment vertical="center"/>
    </xf>
    <xf numFmtId="0" fontId="8" fillId="0" borderId="2" xfId="0" applyFont="1" applyFill="1" applyBorder="1">
      <alignment vertical="center"/>
    </xf>
    <xf numFmtId="0" fontId="8" fillId="0" borderId="4" xfId="0" applyFont="1" applyFill="1" applyBorder="1">
      <alignment vertical="center"/>
    </xf>
    <xf numFmtId="0" fontId="15" fillId="0" borderId="0" xfId="0" applyFont="1" applyAlignment="1">
      <alignment vertical="top" wrapText="1"/>
    </xf>
    <xf numFmtId="0" fontId="15" fillId="0" borderId="0" xfId="0" applyFont="1" applyBorder="1" applyAlignment="1">
      <alignment vertical="top" wrapText="1"/>
    </xf>
    <xf numFmtId="0" fontId="15" fillId="0" borderId="10" xfId="0" applyFont="1" applyBorder="1" applyAlignment="1">
      <alignment vertical="top" wrapText="1"/>
    </xf>
    <xf numFmtId="0" fontId="15" fillId="0" borderId="5" xfId="0" applyFont="1" applyBorder="1" applyAlignment="1">
      <alignment vertical="top" wrapText="1"/>
    </xf>
    <xf numFmtId="0" fontId="8" fillId="0" borderId="17" xfId="0" applyFont="1" applyBorder="1">
      <alignment vertical="center"/>
    </xf>
    <xf numFmtId="0" fontId="15" fillId="0" borderId="21" xfId="0" applyFont="1" applyBorder="1" applyAlignment="1">
      <alignment vertical="top" wrapText="1"/>
    </xf>
    <xf numFmtId="0" fontId="15" fillId="0" borderId="19" xfId="0" applyFont="1" applyBorder="1" applyAlignment="1">
      <alignment vertical="top" wrapText="1"/>
    </xf>
    <xf numFmtId="0" fontId="8" fillId="0" borderId="0" xfId="0" applyFont="1" applyAlignment="1">
      <alignment vertical="center" wrapText="1"/>
    </xf>
    <xf numFmtId="0" fontId="16" fillId="0" borderId="0" xfId="2" applyNumberFormat="1" applyFont="1" applyBorder="1" applyAlignment="1">
      <alignment vertical="center" shrinkToFit="1"/>
    </xf>
    <xf numFmtId="0" fontId="15" fillId="0" borderId="0" xfId="0" applyFont="1" applyBorder="1" applyAlignment="1">
      <alignment vertical="center" shrinkToFit="1"/>
    </xf>
    <xf numFmtId="0" fontId="15" fillId="0" borderId="0" xfId="0" applyFont="1" applyFill="1" applyBorder="1" applyAlignment="1">
      <alignment vertical="top" wrapText="1"/>
    </xf>
    <xf numFmtId="0" fontId="8" fillId="0" borderId="1" xfId="0" applyFont="1" applyBorder="1" applyAlignment="1">
      <alignment vertical="center" wrapText="1"/>
    </xf>
    <xf numFmtId="0" fontId="8" fillId="0" borderId="0" xfId="0" applyFont="1" applyBorder="1" applyAlignment="1">
      <alignment vertical="top" wrapText="1"/>
    </xf>
    <xf numFmtId="0" fontId="17" fillId="0" borderId="0" xfId="0" applyFont="1">
      <alignment vertical="center"/>
    </xf>
    <xf numFmtId="0" fontId="8" fillId="0" borderId="0" xfId="0" applyFont="1" applyBorder="1" applyAlignment="1">
      <alignment vertical="center" wrapText="1"/>
    </xf>
    <xf numFmtId="0" fontId="15" fillId="0" borderId="0" xfId="0" applyFont="1" applyBorder="1" applyAlignment="1">
      <alignment vertical="top" shrinkToFit="1"/>
    </xf>
    <xf numFmtId="0" fontId="15" fillId="0" borderId="0" xfId="0" applyFont="1" applyBorder="1" applyAlignment="1">
      <alignment vertical="center" wrapText="1"/>
    </xf>
    <xf numFmtId="0" fontId="8" fillId="0" borderId="10" xfId="0" applyFont="1" applyFill="1" applyBorder="1" applyAlignment="1">
      <alignment vertical="center" shrinkToFit="1"/>
    </xf>
    <xf numFmtId="0" fontId="12" fillId="0" borderId="0" xfId="0" applyFont="1">
      <alignment vertical="center"/>
    </xf>
    <xf numFmtId="177" fontId="8" fillId="0" borderId="0" xfId="0" applyNumberFormat="1" applyFont="1" applyFill="1" applyAlignment="1">
      <alignment vertical="center"/>
    </xf>
    <xf numFmtId="0" fontId="12" fillId="0" borderId="0" xfId="0" applyFont="1" applyAlignment="1">
      <alignment vertical="center"/>
    </xf>
    <xf numFmtId="0" fontId="3" fillId="0" borderId="0" xfId="0" applyFont="1" applyFill="1">
      <alignment vertical="center"/>
    </xf>
    <xf numFmtId="0" fontId="3" fillId="0" borderId="0" xfId="0" applyFont="1" applyFill="1" applyAlignment="1">
      <alignment horizontal="right" vertical="center"/>
    </xf>
    <xf numFmtId="0" fontId="3" fillId="0" borderId="1" xfId="0" applyFont="1" applyFill="1" applyBorder="1" applyAlignment="1">
      <alignment vertical="center" wrapText="1"/>
    </xf>
    <xf numFmtId="0" fontId="8" fillId="0" borderId="0" xfId="0" applyFont="1" applyFill="1" applyBorder="1" applyAlignment="1">
      <alignment horizontal="center" vertical="center"/>
    </xf>
    <xf numFmtId="0" fontId="9" fillId="0" borderId="0" xfId="0" applyFont="1" applyFill="1" applyAlignment="1">
      <alignment horizontal="right" vertical="center"/>
    </xf>
    <xf numFmtId="0" fontId="8" fillId="0" borderId="0" xfId="0" applyFont="1" applyFill="1" applyAlignment="1">
      <alignment horizontal="center" vertical="center"/>
    </xf>
    <xf numFmtId="0" fontId="3" fillId="0" borderId="20" xfId="0" applyFont="1" applyFill="1" applyBorder="1" applyAlignment="1">
      <alignment vertical="center" shrinkToFit="1"/>
    </xf>
    <xf numFmtId="0" fontId="18" fillId="0" borderId="0" xfId="0" applyFont="1" applyFill="1">
      <alignment vertical="center"/>
    </xf>
    <xf numFmtId="0" fontId="19" fillId="0" borderId="0" xfId="0" applyFont="1" applyFill="1">
      <alignment vertical="center"/>
    </xf>
    <xf numFmtId="0" fontId="21" fillId="0" borderId="0" xfId="0" applyFont="1" applyFill="1">
      <alignment vertical="center"/>
    </xf>
    <xf numFmtId="0" fontId="12" fillId="0" borderId="0" xfId="0" applyFont="1" applyFill="1">
      <alignment vertical="center"/>
    </xf>
    <xf numFmtId="0" fontId="20" fillId="0" borderId="0" xfId="0" applyFont="1" applyFill="1" applyAlignment="1">
      <alignment horizontal="center" vertical="center"/>
    </xf>
    <xf numFmtId="0" fontId="22" fillId="0" borderId="0" xfId="0" applyFont="1" applyAlignment="1">
      <alignment vertical="center"/>
    </xf>
    <xf numFmtId="0" fontId="24" fillId="0" borderId="2" xfId="0" applyFont="1" applyFill="1" applyBorder="1" applyAlignment="1">
      <alignment horizontal="center" vertical="center" shrinkToFit="1"/>
    </xf>
    <xf numFmtId="0" fontId="3" fillId="0" borderId="0" xfId="0" applyFont="1" applyFill="1" applyAlignment="1">
      <alignment vertical="center" wrapText="1"/>
    </xf>
    <xf numFmtId="0" fontId="3" fillId="0" borderId="2" xfId="0" applyFont="1" applyFill="1" applyBorder="1" applyAlignment="1">
      <alignment vertical="center" shrinkToFit="1"/>
    </xf>
    <xf numFmtId="0" fontId="3" fillId="0" borderId="0" xfId="0" applyFont="1" applyFill="1" applyAlignment="1">
      <alignment horizontal="center" vertical="center"/>
    </xf>
    <xf numFmtId="0" fontId="3" fillId="0" borderId="11" xfId="0" applyFont="1" applyFill="1" applyBorder="1" applyAlignment="1">
      <alignment horizontal="center" vertical="center"/>
    </xf>
    <xf numFmtId="0" fontId="3" fillId="0" borderId="2" xfId="0" applyFont="1" applyFill="1" applyBorder="1" applyAlignment="1">
      <alignment horizontal="center" vertical="center" shrinkToFit="1"/>
    </xf>
    <xf numFmtId="0" fontId="15" fillId="0" borderId="21" xfId="0" applyFont="1" applyFill="1" applyBorder="1" applyAlignment="1">
      <alignment vertical="top" shrinkToFit="1"/>
    </xf>
    <xf numFmtId="0" fontId="15" fillId="0" borderId="19" xfId="0" applyFont="1" applyFill="1" applyBorder="1" applyAlignment="1">
      <alignment vertical="top" shrinkToFit="1"/>
    </xf>
    <xf numFmtId="0" fontId="22" fillId="0" borderId="0" xfId="0" applyFont="1" applyFill="1" applyAlignment="1">
      <alignment horizontal="center" vertical="center"/>
    </xf>
    <xf numFmtId="0" fontId="3" fillId="0" borderId="0" xfId="0" applyFont="1" applyFill="1" applyAlignment="1">
      <alignment horizontal="left" vertical="center"/>
    </xf>
    <xf numFmtId="0" fontId="25" fillId="0" borderId="0" xfId="0" applyFont="1" applyFill="1">
      <alignment vertical="center"/>
    </xf>
    <xf numFmtId="0" fontId="3" fillId="0" borderId="1" xfId="0" applyFont="1" applyFill="1" applyBorder="1">
      <alignment vertical="center"/>
    </xf>
    <xf numFmtId="0" fontId="12" fillId="0" borderId="0" xfId="0" applyFont="1" applyFill="1" applyAlignment="1">
      <alignment horizontal="left" vertical="center"/>
    </xf>
    <xf numFmtId="0" fontId="22" fillId="0" borderId="0" xfId="0" applyFont="1" applyFill="1" applyAlignment="1">
      <alignment horizontal="left" vertical="center"/>
    </xf>
    <xf numFmtId="0" fontId="12" fillId="0" borderId="0" xfId="0" applyFont="1" applyFill="1" applyAlignment="1">
      <alignment vertical="center"/>
    </xf>
    <xf numFmtId="0" fontId="3" fillId="0" borderId="0" xfId="0" applyFont="1" applyFill="1" applyAlignment="1">
      <alignment horizontal="center" vertical="center"/>
    </xf>
    <xf numFmtId="0" fontId="8" fillId="0" borderId="0" xfId="0" applyFont="1" applyFill="1" applyBorder="1" applyAlignment="1">
      <alignment vertical="center" wrapText="1"/>
    </xf>
    <xf numFmtId="0" fontId="20" fillId="0" borderId="0" xfId="0" applyFont="1" applyFill="1">
      <alignment vertical="center"/>
    </xf>
    <xf numFmtId="0" fontId="20" fillId="0" borderId="0" xfId="0" applyFont="1" applyAlignment="1">
      <alignment vertical="center" wrapText="1"/>
    </xf>
    <xf numFmtId="0" fontId="15" fillId="0" borderId="6" xfId="0" applyFont="1" applyBorder="1" applyAlignment="1">
      <alignment vertical="center" shrinkToFit="1"/>
    </xf>
    <xf numFmtId="0" fontId="3" fillId="0" borderId="1" xfId="0" applyFont="1" applyFill="1" applyBorder="1" applyAlignment="1">
      <alignment horizontal="center" vertical="center"/>
    </xf>
    <xf numFmtId="0" fontId="8" fillId="0" borderId="0" xfId="0" applyFont="1" applyFill="1" applyBorder="1" applyAlignment="1">
      <alignment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0"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0" xfId="0" applyFont="1" applyFill="1" applyBorder="1" applyAlignment="1">
      <alignment horizontal="right" vertical="center" shrinkToFit="1"/>
    </xf>
    <xf numFmtId="0" fontId="8" fillId="0" borderId="5" xfId="0" applyFont="1" applyFill="1" applyBorder="1" applyAlignment="1">
      <alignment horizontal="right" vertical="center" shrinkToFit="1"/>
    </xf>
    <xf numFmtId="0" fontId="8" fillId="0" borderId="10" xfId="0" applyFont="1" applyFill="1" applyBorder="1" applyAlignment="1">
      <alignment horizontal="right"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9" fillId="0" borderId="0" xfId="0" applyFont="1" applyFill="1" applyAlignment="1">
      <alignment horizontal="right" vertical="center"/>
    </xf>
    <xf numFmtId="0" fontId="8" fillId="0" borderId="0" xfId="0" applyFont="1" applyFill="1" applyBorder="1" applyAlignment="1">
      <alignment horizontal="right" vertical="center"/>
    </xf>
    <xf numFmtId="0" fontId="8" fillId="0" borderId="10" xfId="0" applyFont="1" applyFill="1" applyBorder="1" applyAlignment="1">
      <alignment horizontal="right" vertical="center"/>
    </xf>
    <xf numFmtId="176" fontId="8" fillId="0" borderId="3" xfId="0" applyNumberFormat="1" applyFont="1" applyFill="1" applyBorder="1" applyAlignment="1">
      <alignment horizontal="center" vertical="center" shrinkToFit="1"/>
    </xf>
    <xf numFmtId="0" fontId="8" fillId="0" borderId="0" xfId="0" applyFont="1" applyFill="1" applyBorder="1" applyAlignment="1">
      <alignment horizontal="center" vertical="center" shrinkToFit="1"/>
    </xf>
    <xf numFmtId="0" fontId="8" fillId="0" borderId="0" xfId="0" applyFont="1" applyFill="1" applyAlignment="1">
      <alignment horizontal="center" vertical="center"/>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49" fontId="14" fillId="0" borderId="2" xfId="2" applyNumberFormat="1" applyFont="1" applyFill="1" applyBorder="1" applyAlignment="1">
      <alignment vertical="center" shrinkToFit="1"/>
    </xf>
    <xf numFmtId="49" fontId="8" fillId="0" borderId="3" xfId="0" applyNumberFormat="1" applyFont="1" applyFill="1" applyBorder="1" applyAlignment="1">
      <alignment vertical="center" shrinkToFit="1"/>
    </xf>
    <xf numFmtId="49" fontId="8" fillId="0" borderId="4" xfId="0" applyNumberFormat="1" applyFont="1" applyFill="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15" fillId="0" borderId="7" xfId="0" applyFont="1" applyFill="1" applyBorder="1" applyAlignment="1">
      <alignment horizontal="left" vertical="top" wrapText="1"/>
    </xf>
    <xf numFmtId="0" fontId="15" fillId="0" borderId="8" xfId="0" applyFont="1" applyFill="1" applyBorder="1" applyAlignment="1">
      <alignment horizontal="left" vertical="top" wrapText="1"/>
    </xf>
    <xf numFmtId="0" fontId="15" fillId="0" borderId="9" xfId="0" applyFont="1" applyFill="1" applyBorder="1" applyAlignment="1">
      <alignment horizontal="left" vertical="top" wrapText="1"/>
    </xf>
    <xf numFmtId="0" fontId="15" fillId="0" borderId="5"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0"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6" xfId="0" applyFont="1" applyFill="1" applyBorder="1" applyAlignment="1">
      <alignment horizontal="left" vertical="top" wrapText="1"/>
    </xf>
    <xf numFmtId="0" fontId="15" fillId="0" borderId="12" xfId="0" applyFont="1" applyFill="1" applyBorder="1" applyAlignment="1">
      <alignment horizontal="left" vertical="top" wrapText="1"/>
    </xf>
    <xf numFmtId="0" fontId="23" fillId="0" borderId="2" xfId="0" applyFont="1" applyFill="1" applyBorder="1" applyAlignment="1">
      <alignment vertical="center" shrinkToFit="1"/>
    </xf>
    <xf numFmtId="0" fontId="23" fillId="0" borderId="3" xfId="0" applyFont="1" applyFill="1" applyBorder="1" applyAlignment="1">
      <alignment vertical="center" shrinkToFit="1"/>
    </xf>
    <xf numFmtId="0" fontId="23" fillId="0" borderId="4" xfId="0" applyFont="1" applyFill="1" applyBorder="1" applyAlignment="1">
      <alignment vertical="center" shrinkToFit="1"/>
    </xf>
    <xf numFmtId="0" fontId="8" fillId="0" borderId="0" xfId="0" applyFont="1" applyFill="1" applyAlignment="1">
      <alignment vertical="center" shrinkToFi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shrinkToFit="1"/>
    </xf>
    <xf numFmtId="0" fontId="8" fillId="0" borderId="1" xfId="0" applyFont="1" applyFill="1" applyBorder="1" applyAlignment="1">
      <alignment vertical="center"/>
    </xf>
    <xf numFmtId="0" fontId="0" fillId="0" borderId="1" xfId="0" applyBorder="1" applyAlignment="1">
      <alignment vertical="center"/>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15" xfId="0" applyFont="1" applyFill="1" applyBorder="1" applyAlignment="1">
      <alignment vertical="center" shrinkToFit="1"/>
    </xf>
    <xf numFmtId="0" fontId="3" fillId="0" borderId="39" xfId="0" applyFont="1" applyFill="1" applyBorder="1" applyAlignment="1">
      <alignment vertical="center" shrinkToFit="1"/>
    </xf>
    <xf numFmtId="0" fontId="3" fillId="0" borderId="43" xfId="0" applyFont="1" applyFill="1" applyBorder="1" applyAlignment="1">
      <alignment vertical="center" shrinkToFit="1"/>
    </xf>
    <xf numFmtId="0" fontId="3" fillId="0" borderId="44" xfId="0" applyFont="1" applyFill="1" applyBorder="1" applyAlignment="1">
      <alignment vertical="center" shrinkToFit="1"/>
    </xf>
    <xf numFmtId="0" fontId="3" fillId="0" borderId="27" xfId="0" applyFont="1" applyFill="1" applyBorder="1" applyAlignment="1">
      <alignment horizontal="center" vertical="center" shrinkToFit="1"/>
    </xf>
    <xf numFmtId="0" fontId="3" fillId="0" borderId="28" xfId="0" applyFont="1" applyFill="1" applyBorder="1" applyAlignment="1">
      <alignment horizontal="center" vertical="center" shrinkToFi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40" xfId="0" applyFont="1" applyFill="1" applyBorder="1" applyAlignment="1">
      <alignment vertical="center" shrinkToFit="1"/>
    </xf>
    <xf numFmtId="0" fontId="3" fillId="0" borderId="41" xfId="0" applyFont="1" applyFill="1" applyBorder="1" applyAlignment="1">
      <alignment vertical="center" shrinkToFit="1"/>
    </xf>
    <xf numFmtId="0" fontId="2" fillId="0" borderId="0" xfId="0" applyFont="1" applyFill="1" applyAlignment="1">
      <alignment horizontal="right" vertical="center"/>
    </xf>
    <xf numFmtId="0" fontId="7" fillId="0" borderId="7" xfId="0" applyFont="1" applyFill="1" applyBorder="1" applyAlignment="1">
      <alignment horizontal="center" vertical="center" wrapText="1"/>
    </xf>
    <xf numFmtId="0" fontId="7" fillId="0" borderId="1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39" xfId="0" applyFont="1" applyFill="1" applyBorder="1" applyAlignment="1">
      <alignment horizontal="center" vertical="center"/>
    </xf>
    <xf numFmtId="0" fontId="10" fillId="0" borderId="16" xfId="0" applyFont="1" applyFill="1" applyBorder="1" applyAlignment="1">
      <alignment horizontal="center" vertical="center" wrapText="1"/>
    </xf>
    <xf numFmtId="0" fontId="10" fillId="0" borderId="13"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2" xfId="0"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shrinkToFit="1"/>
    </xf>
    <xf numFmtId="0" fontId="3" fillId="0" borderId="16" xfId="0" applyFont="1" applyFill="1" applyBorder="1" applyAlignment="1">
      <alignment vertical="center" wrapText="1"/>
    </xf>
    <xf numFmtId="0" fontId="3" fillId="0" borderId="42" xfId="0" applyFont="1" applyFill="1" applyBorder="1" applyAlignment="1">
      <alignment vertical="center" wrapText="1"/>
    </xf>
    <xf numFmtId="0" fontId="28" fillId="0" borderId="7" xfId="0" applyFont="1" applyFill="1" applyBorder="1" applyAlignment="1">
      <alignment horizontal="left" vertical="top" wrapText="1"/>
    </xf>
    <xf numFmtId="0" fontId="28" fillId="0" borderId="8" xfId="0" applyFont="1" applyFill="1" applyBorder="1" applyAlignment="1">
      <alignment horizontal="left" vertical="top" wrapText="1"/>
    </xf>
    <xf numFmtId="0" fontId="28" fillId="0" borderId="9" xfId="0" applyFont="1" applyFill="1" applyBorder="1" applyAlignment="1">
      <alignment horizontal="left" vertical="top" wrapText="1"/>
    </xf>
    <xf numFmtId="0" fontId="28" fillId="0" borderId="5" xfId="0" applyFont="1" applyFill="1" applyBorder="1" applyAlignment="1">
      <alignment horizontal="left" vertical="top" wrapText="1"/>
    </xf>
    <xf numFmtId="0" fontId="28" fillId="0" borderId="0" xfId="0" applyFont="1" applyFill="1" applyBorder="1" applyAlignment="1">
      <alignment horizontal="left" vertical="top" wrapText="1"/>
    </xf>
    <xf numFmtId="0" fontId="28" fillId="0" borderId="10" xfId="0" applyFont="1" applyFill="1" applyBorder="1" applyAlignment="1">
      <alignment horizontal="left" vertical="top" wrapText="1"/>
    </xf>
    <xf numFmtId="0" fontId="28" fillId="0" borderId="11" xfId="0" applyFont="1" applyFill="1" applyBorder="1" applyAlignment="1">
      <alignment horizontal="left" vertical="top" wrapText="1"/>
    </xf>
    <xf numFmtId="0" fontId="28" fillId="0" borderId="6" xfId="0" applyFont="1" applyFill="1" applyBorder="1" applyAlignment="1">
      <alignment horizontal="left" vertical="top" wrapText="1"/>
    </xf>
    <xf numFmtId="0" fontId="28" fillId="0" borderId="12" xfId="0" applyFont="1" applyFill="1" applyBorder="1" applyAlignment="1">
      <alignment horizontal="left" vertical="top" wrapText="1"/>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13" xfId="0" applyFont="1" applyFill="1" applyBorder="1" applyAlignment="1">
      <alignment vertical="center" wrapText="1"/>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shrinkToFit="1"/>
    </xf>
    <xf numFmtId="0" fontId="3" fillId="0" borderId="9" xfId="0" applyFont="1" applyFill="1" applyBorder="1" applyAlignment="1">
      <alignment horizontal="left" vertical="top" shrinkToFit="1"/>
    </xf>
    <xf numFmtId="0" fontId="3" fillId="0" borderId="5" xfId="0" applyFont="1" applyFill="1" applyBorder="1" applyAlignment="1">
      <alignment horizontal="left" vertical="top" shrinkToFit="1"/>
    </xf>
    <xf numFmtId="0" fontId="3" fillId="0" borderId="0" xfId="0" applyFont="1" applyFill="1" applyBorder="1" applyAlignment="1">
      <alignment horizontal="left" vertical="top" shrinkToFit="1"/>
    </xf>
    <xf numFmtId="0" fontId="3" fillId="0" borderId="10" xfId="0" applyFont="1" applyFill="1" applyBorder="1" applyAlignment="1">
      <alignment horizontal="left" vertical="top" shrinkToFit="1"/>
    </xf>
    <xf numFmtId="0" fontId="3" fillId="0" borderId="11" xfId="0" applyFont="1" applyFill="1" applyBorder="1" applyAlignment="1">
      <alignment horizontal="left" vertical="top" shrinkToFit="1"/>
    </xf>
    <xf numFmtId="0" fontId="3" fillId="0" borderId="6" xfId="0" applyFont="1" applyFill="1" applyBorder="1" applyAlignment="1">
      <alignment horizontal="left" vertical="top" shrinkToFit="1"/>
    </xf>
    <xf numFmtId="0" fontId="3" fillId="0" borderId="12" xfId="0" applyFont="1" applyFill="1" applyBorder="1" applyAlignment="1">
      <alignment horizontal="left" vertical="top" shrinkToFit="1"/>
    </xf>
    <xf numFmtId="0" fontId="3" fillId="0" borderId="8" xfId="0" applyFont="1" applyFill="1" applyBorder="1" applyAlignment="1">
      <alignment horizontal="left" vertical="top" wrapText="1" shrinkToFit="1"/>
    </xf>
    <xf numFmtId="0" fontId="3" fillId="0" borderId="9" xfId="0" applyFont="1" applyFill="1" applyBorder="1" applyAlignment="1">
      <alignment horizontal="left" vertical="top" wrapText="1" shrinkToFit="1"/>
    </xf>
    <xf numFmtId="0" fontId="3" fillId="0" borderId="5" xfId="0" applyFont="1" applyFill="1" applyBorder="1" applyAlignment="1">
      <alignment horizontal="left" vertical="top" wrapText="1" shrinkToFit="1"/>
    </xf>
    <xf numFmtId="0" fontId="3" fillId="0" borderId="0" xfId="0" applyFont="1" applyFill="1" applyBorder="1" applyAlignment="1">
      <alignment horizontal="left" vertical="top" wrapText="1" shrinkToFit="1"/>
    </xf>
    <xf numFmtId="0" fontId="3" fillId="0" borderId="10" xfId="0" applyFont="1" applyFill="1" applyBorder="1" applyAlignment="1">
      <alignment horizontal="left" vertical="top" wrapText="1" shrinkToFit="1"/>
    </xf>
    <xf numFmtId="0" fontId="3" fillId="0" borderId="11" xfId="0" applyFont="1" applyFill="1" applyBorder="1" applyAlignment="1">
      <alignment horizontal="left" vertical="top" wrapText="1" shrinkToFit="1"/>
    </xf>
    <xf numFmtId="0" fontId="3" fillId="0" borderId="6" xfId="0" applyFont="1" applyFill="1" applyBorder="1" applyAlignment="1">
      <alignment horizontal="left" vertical="top" wrapText="1" shrinkToFit="1"/>
    </xf>
    <xf numFmtId="0" fontId="3" fillId="0" borderId="12" xfId="0" applyFont="1" applyFill="1" applyBorder="1" applyAlignment="1">
      <alignment horizontal="left" vertical="top" wrapText="1"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6" fillId="0" borderId="2" xfId="2" applyFill="1" applyBorder="1">
      <alignment vertical="center"/>
    </xf>
    <xf numFmtId="0" fontId="13" fillId="0" borderId="3" xfId="0" applyFont="1" applyFill="1" applyBorder="1">
      <alignment vertical="center"/>
    </xf>
    <xf numFmtId="0" fontId="13" fillId="0" borderId="4" xfId="0" applyFont="1" applyFill="1" applyBorder="1">
      <alignment vertical="center"/>
    </xf>
    <xf numFmtId="0" fontId="4" fillId="0" borderId="7" xfId="0" applyFont="1" applyFill="1" applyBorder="1" applyAlignment="1">
      <alignment vertical="top" wrapText="1" shrinkToFit="1"/>
    </xf>
    <xf numFmtId="0" fontId="4" fillId="0" borderId="8" xfId="0" applyFont="1" applyFill="1" applyBorder="1" applyAlignment="1">
      <alignment vertical="top" wrapText="1" shrinkToFit="1"/>
    </xf>
    <xf numFmtId="0" fontId="4" fillId="0" borderId="9" xfId="0" applyFont="1" applyFill="1" applyBorder="1" applyAlignment="1">
      <alignment vertical="top" wrapText="1" shrinkToFit="1"/>
    </xf>
    <xf numFmtId="0" fontId="4" fillId="0" borderId="5" xfId="0" applyFont="1" applyFill="1" applyBorder="1" applyAlignment="1">
      <alignment vertical="top" wrapText="1" shrinkToFit="1"/>
    </xf>
    <xf numFmtId="0" fontId="4" fillId="0" borderId="0" xfId="0" applyFont="1" applyFill="1" applyBorder="1" applyAlignment="1">
      <alignment vertical="top" wrapText="1" shrinkToFit="1"/>
    </xf>
    <xf numFmtId="0" fontId="4" fillId="0" borderId="10" xfId="0" applyFont="1" applyFill="1" applyBorder="1" applyAlignment="1">
      <alignment vertical="top" wrapText="1" shrinkToFit="1"/>
    </xf>
    <xf numFmtId="0" fontId="4" fillId="0" borderId="11" xfId="0" applyFont="1" applyFill="1" applyBorder="1" applyAlignment="1">
      <alignment vertical="top" wrapText="1" shrinkToFit="1"/>
    </xf>
    <xf numFmtId="0" fontId="4" fillId="0" borderId="6" xfId="0" applyFont="1" applyFill="1" applyBorder="1" applyAlignment="1">
      <alignment vertical="top" wrapText="1" shrinkToFit="1"/>
    </xf>
    <xf numFmtId="0" fontId="4" fillId="0" borderId="12" xfId="0" applyFont="1" applyFill="1" applyBorder="1" applyAlignment="1">
      <alignment vertical="top" wrapText="1"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3" fillId="0" borderId="7"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9" xfId="0" applyFont="1" applyFill="1" applyBorder="1" applyAlignment="1">
      <alignment horizontal="left" vertical="top" wrapText="1"/>
    </xf>
    <xf numFmtId="0" fontId="3" fillId="0" borderId="5"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Fill="1" applyBorder="1" applyAlignment="1">
      <alignment vertical="center"/>
    </xf>
    <xf numFmtId="0" fontId="8" fillId="0" borderId="0" xfId="0" applyFont="1" applyAlignment="1">
      <alignment vertical="center" shrinkToFit="1"/>
    </xf>
    <xf numFmtId="0" fontId="8" fillId="0" borderId="0" xfId="0" applyFont="1" applyAlignment="1">
      <alignment horizontal="center" vertical="center"/>
    </xf>
    <xf numFmtId="0" fontId="19" fillId="0" borderId="7" xfId="0" applyFont="1" applyBorder="1" applyAlignment="1">
      <alignment horizontal="left" vertical="top" wrapText="1" shrinkToFit="1"/>
    </xf>
    <xf numFmtId="0" fontId="19" fillId="0" borderId="8" xfId="0" applyFont="1" applyBorder="1" applyAlignment="1">
      <alignment horizontal="left" vertical="top" wrapText="1" shrinkToFit="1"/>
    </xf>
    <xf numFmtId="0" fontId="19" fillId="0" borderId="9" xfId="0" applyFont="1" applyBorder="1" applyAlignment="1">
      <alignment horizontal="left" vertical="top" wrapText="1" shrinkToFit="1"/>
    </xf>
    <xf numFmtId="0" fontId="19" fillId="0" borderId="5" xfId="0" applyFont="1" applyBorder="1" applyAlignment="1">
      <alignment horizontal="left" vertical="top" wrapText="1" shrinkToFit="1"/>
    </xf>
    <xf numFmtId="0" fontId="19" fillId="0" borderId="0" xfId="0" applyFont="1" applyBorder="1" applyAlignment="1">
      <alignment horizontal="left" vertical="top" wrapText="1" shrinkToFit="1"/>
    </xf>
    <xf numFmtId="0" fontId="19" fillId="0" borderId="10" xfId="0" applyFont="1" applyBorder="1" applyAlignment="1">
      <alignment horizontal="left" vertical="top" wrapText="1" shrinkToFit="1"/>
    </xf>
    <xf numFmtId="0" fontId="19" fillId="0" borderId="11" xfId="0" applyFont="1" applyBorder="1" applyAlignment="1">
      <alignment horizontal="left" vertical="top" wrapText="1" shrinkToFit="1"/>
    </xf>
    <xf numFmtId="0" fontId="19" fillId="0" borderId="6" xfId="0" applyFont="1" applyBorder="1" applyAlignment="1">
      <alignment horizontal="left" vertical="top" wrapText="1" shrinkToFit="1"/>
    </xf>
    <xf numFmtId="0" fontId="19" fillId="0" borderId="12" xfId="0" applyFont="1" applyBorder="1" applyAlignment="1">
      <alignment horizontal="left" vertical="top" wrapText="1"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11" xfId="0" applyFont="1" applyFill="1" applyBorder="1" applyAlignment="1">
      <alignment vertical="center" wrapText="1"/>
    </xf>
    <xf numFmtId="0" fontId="8" fillId="0" borderId="6" xfId="0" applyFont="1" applyFill="1" applyBorder="1" applyAlignment="1">
      <alignment vertical="center" wrapText="1"/>
    </xf>
    <xf numFmtId="0" fontId="8" fillId="0" borderId="12" xfId="0" applyFont="1" applyFill="1" applyBorder="1" applyAlignment="1">
      <alignment vertical="center" wrapText="1"/>
    </xf>
    <xf numFmtId="0" fontId="8" fillId="0" borderId="18" xfId="0" applyFont="1" applyFill="1" applyBorder="1" applyAlignment="1">
      <alignment vertical="center"/>
    </xf>
    <xf numFmtId="0" fontId="16" fillId="0" borderId="19" xfId="0" applyFont="1" applyFill="1" applyBorder="1" applyAlignment="1">
      <alignment vertical="center"/>
    </xf>
    <xf numFmtId="0" fontId="8" fillId="0" borderId="18" xfId="0" applyFont="1" applyFill="1" applyBorder="1" applyAlignment="1">
      <alignment vertical="center" wrapText="1"/>
    </xf>
    <xf numFmtId="0" fontId="8" fillId="0" borderId="19" xfId="0" applyFont="1" applyFill="1" applyBorder="1" applyAlignment="1">
      <alignment vertical="center" wrapTex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8" fillId="0" borderId="22" xfId="0" applyFont="1" applyFill="1" applyBorder="1" applyAlignment="1">
      <alignment vertical="center" wrapText="1"/>
    </xf>
    <xf numFmtId="0" fontId="8" fillId="0" borderId="23" xfId="0" applyFont="1" applyFill="1" applyBorder="1" applyAlignment="1">
      <alignment vertical="center" wrapText="1"/>
    </xf>
    <xf numFmtId="0" fontId="3" fillId="0" borderId="24" xfId="0" applyFont="1" applyFill="1" applyBorder="1" applyAlignment="1">
      <alignment vertical="top" wrapText="1" shrinkToFit="1"/>
    </xf>
    <xf numFmtId="0" fontId="8" fillId="0" borderId="24" xfId="0" applyFont="1" applyFill="1" applyBorder="1" applyAlignment="1">
      <alignment vertical="top" wrapText="1" shrinkToFit="1"/>
    </xf>
    <xf numFmtId="0" fontId="8" fillId="0" borderId="23" xfId="0" applyFont="1" applyFill="1" applyBorder="1" applyAlignment="1">
      <alignment vertical="top" wrapText="1" shrinkToFit="1"/>
    </xf>
    <xf numFmtId="0" fontId="8" fillId="0" borderId="20" xfId="0" applyFont="1" applyFill="1" applyBorder="1" applyAlignment="1">
      <alignment vertical="center" wrapText="1"/>
    </xf>
    <xf numFmtId="0" fontId="8" fillId="0" borderId="21" xfId="0" applyFont="1" applyFill="1" applyBorder="1" applyAlignment="1">
      <alignment vertical="center" wrapText="1"/>
    </xf>
    <xf numFmtId="0" fontId="3" fillId="0" borderId="21" xfId="0" applyFont="1" applyFill="1" applyBorder="1" applyAlignment="1">
      <alignment vertical="top" wrapText="1" shrinkToFit="1"/>
    </xf>
    <xf numFmtId="0" fontId="6" fillId="0" borderId="2" xfId="2"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3" fillId="0" borderId="20" xfId="0" applyFont="1" applyFill="1" applyBorder="1" applyAlignment="1">
      <alignment vertical="top" wrapText="1" shrinkToFit="1"/>
    </xf>
    <xf numFmtId="0" fontId="15" fillId="0" borderId="0" xfId="0" applyFont="1" applyAlignment="1">
      <alignment vertical="top"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0" xfId="0" applyFont="1" applyFill="1" applyBorder="1" applyAlignment="1">
      <alignment vertical="top" wrapText="1" shrinkToFit="1"/>
    </xf>
    <xf numFmtId="0" fontId="3" fillId="0" borderId="6" xfId="0" applyFont="1" applyFill="1" applyBorder="1" applyAlignment="1">
      <alignment vertical="top" wrapText="1" shrinkToFi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FFCC"/>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kudoh@u-keiai.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u-keiai.ac.jp/datascience/"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u-keiai.ac.jp/datascienc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u-keiai.ac.jp/datascienc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election activeCell="B1" sqref="B1"/>
    </sheetView>
  </sheetViews>
  <sheetFormatPr defaultColWidth="9" defaultRowHeight="18.75" customHeight="1"/>
  <cols>
    <col min="1" max="1" width="2.5" style="14" customWidth="1"/>
    <col min="2" max="2" width="12.5" style="14" customWidth="1"/>
    <col min="3" max="8" width="6.125" style="14" customWidth="1"/>
    <col min="9" max="9" width="2.5" style="14" customWidth="1"/>
    <col min="10" max="10" width="10" style="14" customWidth="1"/>
    <col min="11" max="11" width="2.5" style="14" customWidth="1"/>
    <col min="12" max="12" width="7.5" style="14" customWidth="1"/>
    <col min="13" max="13" width="2.5" style="14" customWidth="1"/>
    <col min="14" max="14" width="7.5" style="14" customWidth="1"/>
    <col min="15" max="16384" width="9" style="14"/>
  </cols>
  <sheetData>
    <row r="1" spans="1:14" ht="22.5" customHeight="1">
      <c r="M1" s="146" t="s">
        <v>29</v>
      </c>
      <c r="N1" s="146"/>
    </row>
    <row r="2" spans="1:14" ht="22.5" customHeight="1">
      <c r="A2" s="151" t="s">
        <v>129</v>
      </c>
      <c r="B2" s="151"/>
      <c r="C2" s="151"/>
      <c r="D2" s="151"/>
      <c r="E2" s="151"/>
      <c r="F2" s="151"/>
      <c r="G2" s="151"/>
      <c r="H2" s="151"/>
      <c r="I2" s="151"/>
      <c r="J2" s="151"/>
      <c r="K2" s="151"/>
      <c r="L2" s="151"/>
      <c r="M2" s="151"/>
      <c r="N2" s="151"/>
    </row>
    <row r="3" spans="1:14" ht="22.5" customHeight="1"/>
    <row r="4" spans="1:14" ht="22.5" customHeight="1">
      <c r="A4" s="14" t="s">
        <v>7</v>
      </c>
      <c r="B4" s="54" t="s">
        <v>20</v>
      </c>
      <c r="C4" s="133" t="s">
        <v>130</v>
      </c>
      <c r="D4" s="134"/>
      <c r="E4" s="134"/>
      <c r="F4" s="134"/>
      <c r="G4" s="134"/>
      <c r="H4" s="134"/>
      <c r="I4" s="134"/>
      <c r="J4" s="134"/>
      <c r="K4" s="134"/>
      <c r="L4" s="134"/>
      <c r="M4" s="134"/>
      <c r="N4" s="135"/>
    </row>
    <row r="5" spans="1:14" ht="7.5" customHeight="1">
      <c r="B5" s="54"/>
      <c r="C5" s="54"/>
      <c r="D5" s="54"/>
      <c r="E5" s="56"/>
      <c r="F5" s="63"/>
      <c r="G5" s="63"/>
      <c r="H5" s="63"/>
      <c r="I5" s="63"/>
      <c r="J5" s="63"/>
      <c r="K5" s="63"/>
      <c r="L5" s="63"/>
      <c r="M5" s="63"/>
      <c r="N5" s="63"/>
    </row>
    <row r="6" spans="1:14" ht="22.5" customHeight="1">
      <c r="A6" s="14" t="s">
        <v>56</v>
      </c>
      <c r="B6" s="54" t="s">
        <v>145</v>
      </c>
      <c r="C6" s="54"/>
      <c r="D6" s="133" t="s">
        <v>177</v>
      </c>
      <c r="E6" s="134"/>
      <c r="F6" s="134"/>
      <c r="G6" s="134"/>
      <c r="H6" s="134"/>
      <c r="I6" s="134"/>
      <c r="J6" s="134"/>
      <c r="K6" s="134"/>
      <c r="L6" s="134"/>
      <c r="M6" s="134"/>
      <c r="N6" s="135"/>
    </row>
    <row r="7" spans="1:14" ht="7.5" customHeight="1">
      <c r="B7" s="54"/>
      <c r="C7" s="54"/>
      <c r="D7" s="54"/>
      <c r="E7" s="56"/>
      <c r="F7" s="63"/>
      <c r="G7" s="63"/>
      <c r="H7" s="63"/>
      <c r="I7" s="63"/>
      <c r="J7" s="63"/>
      <c r="K7" s="63"/>
      <c r="L7" s="63"/>
      <c r="M7" s="63"/>
      <c r="N7" s="63"/>
    </row>
    <row r="8" spans="1:14" ht="22.5" customHeight="1">
      <c r="A8" s="57" t="s">
        <v>13</v>
      </c>
      <c r="B8" s="58" t="s">
        <v>146</v>
      </c>
      <c r="C8" s="133" t="s">
        <v>131</v>
      </c>
      <c r="D8" s="134"/>
      <c r="E8" s="135"/>
      <c r="F8" s="63"/>
      <c r="G8" s="150"/>
      <c r="H8" s="150"/>
      <c r="I8" s="150"/>
      <c r="J8" s="63"/>
      <c r="K8" s="63"/>
      <c r="L8" s="63"/>
      <c r="M8" s="63"/>
      <c r="N8" s="63"/>
    </row>
    <row r="9" spans="1:14" ht="7.5" customHeight="1">
      <c r="B9" s="54"/>
      <c r="C9" s="54"/>
      <c r="D9" s="54"/>
      <c r="E9" s="56"/>
      <c r="F9" s="63"/>
      <c r="G9" s="63"/>
      <c r="H9" s="63"/>
      <c r="I9" s="63"/>
      <c r="J9" s="63"/>
      <c r="K9" s="63"/>
      <c r="L9" s="63"/>
      <c r="M9" s="63"/>
      <c r="N9" s="63"/>
    </row>
    <row r="10" spans="1:14" ht="22.5" customHeight="1">
      <c r="A10" s="14" t="s">
        <v>17</v>
      </c>
      <c r="B10" s="54" t="s">
        <v>53</v>
      </c>
      <c r="C10" s="133" t="s">
        <v>147</v>
      </c>
      <c r="D10" s="134"/>
      <c r="E10" s="134"/>
      <c r="F10" s="134"/>
      <c r="G10" s="134"/>
      <c r="H10" s="134"/>
      <c r="I10" s="134"/>
      <c r="J10" s="134"/>
      <c r="K10" s="134"/>
      <c r="L10" s="134"/>
      <c r="M10" s="134"/>
      <c r="N10" s="135"/>
    </row>
    <row r="11" spans="1:14" ht="7.5" customHeight="1">
      <c r="B11" s="54"/>
      <c r="C11" s="54"/>
      <c r="D11" s="54"/>
      <c r="E11" s="56"/>
      <c r="F11" s="63"/>
      <c r="G11" s="63"/>
      <c r="H11" s="63"/>
      <c r="I11" s="63"/>
      <c r="J11" s="63"/>
      <c r="K11" s="63"/>
      <c r="L11" s="63"/>
      <c r="M11" s="63"/>
      <c r="N11" s="63"/>
    </row>
    <row r="12" spans="1:14" ht="22.5" customHeight="1">
      <c r="A12" s="14" t="s">
        <v>14</v>
      </c>
      <c r="B12" s="54" t="s">
        <v>125</v>
      </c>
      <c r="C12" s="54"/>
      <c r="D12" s="54"/>
      <c r="E12" s="63"/>
      <c r="F12" s="92"/>
      <c r="G12" s="152" t="s">
        <v>132</v>
      </c>
      <c r="H12" s="153"/>
      <c r="I12" s="153"/>
      <c r="J12" s="153"/>
      <c r="K12" s="153"/>
      <c r="L12" s="153"/>
      <c r="M12" s="153"/>
      <c r="N12" s="154"/>
    </row>
    <row r="13" spans="1:14" ht="7.5" customHeight="1">
      <c r="B13" s="56"/>
      <c r="C13" s="56"/>
      <c r="D13" s="56"/>
      <c r="E13" s="56"/>
      <c r="F13" s="63"/>
      <c r="G13" s="63"/>
      <c r="H13" s="63"/>
      <c r="I13" s="63"/>
      <c r="J13" s="63"/>
      <c r="K13" s="63"/>
      <c r="L13" s="63"/>
      <c r="M13" s="63"/>
      <c r="N13" s="63"/>
    </row>
    <row r="14" spans="1:14" ht="22.5" customHeight="1">
      <c r="A14" s="14" t="s">
        <v>65</v>
      </c>
      <c r="B14" s="56" t="s">
        <v>66</v>
      </c>
      <c r="C14" s="56"/>
      <c r="D14" s="56"/>
      <c r="E14" s="56"/>
      <c r="F14" s="133" t="s">
        <v>133</v>
      </c>
      <c r="G14" s="134"/>
      <c r="H14" s="135"/>
      <c r="I14" s="63"/>
      <c r="J14" s="63"/>
      <c r="K14" s="63"/>
      <c r="L14" s="63"/>
      <c r="M14" s="63"/>
      <c r="N14" s="63"/>
    </row>
    <row r="15" spans="1:14" ht="7.5" customHeight="1">
      <c r="B15" s="56"/>
      <c r="C15" s="56"/>
      <c r="D15" s="56"/>
      <c r="E15" s="56"/>
      <c r="F15" s="63"/>
      <c r="G15" s="63"/>
      <c r="H15" s="63"/>
      <c r="I15" s="63"/>
      <c r="J15" s="63"/>
      <c r="K15" s="63"/>
      <c r="L15" s="63"/>
      <c r="M15" s="63"/>
      <c r="N15" s="63"/>
    </row>
    <row r="16" spans="1:14" ht="22.5" customHeight="1">
      <c r="A16" s="14" t="s">
        <v>15</v>
      </c>
      <c r="B16" s="14" t="s">
        <v>0</v>
      </c>
      <c r="C16" s="147" t="s">
        <v>6</v>
      </c>
      <c r="D16" s="148"/>
      <c r="E16" s="131">
        <v>61</v>
      </c>
      <c r="F16" s="132"/>
      <c r="G16" s="59" t="s">
        <v>10</v>
      </c>
      <c r="I16" s="147" t="s">
        <v>11</v>
      </c>
      <c r="J16" s="148"/>
      <c r="K16" s="131">
        <v>80</v>
      </c>
      <c r="L16" s="149"/>
      <c r="M16" s="132"/>
      <c r="N16" s="60" t="s">
        <v>10</v>
      </c>
    </row>
    <row r="17" spans="1:15" ht="7.5" customHeight="1">
      <c r="F17" s="61"/>
      <c r="G17" s="61"/>
      <c r="H17" s="61"/>
      <c r="I17" s="61"/>
      <c r="J17" s="61"/>
      <c r="K17" s="61"/>
      <c r="L17" s="61"/>
      <c r="M17" s="60"/>
      <c r="N17" s="60"/>
    </row>
    <row r="18" spans="1:15" ht="22.5" customHeight="1">
      <c r="A18" s="14" t="s">
        <v>59</v>
      </c>
      <c r="B18" s="14" t="s">
        <v>88</v>
      </c>
      <c r="F18" s="61"/>
      <c r="G18" s="61"/>
      <c r="H18" s="61"/>
      <c r="I18" s="61"/>
      <c r="J18" s="61"/>
      <c r="K18" s="143">
        <v>7</v>
      </c>
      <c r="L18" s="144"/>
      <c r="M18" s="145"/>
      <c r="N18" s="60" t="s">
        <v>57</v>
      </c>
    </row>
    <row r="19" spans="1:15" ht="7.5" customHeight="1">
      <c r="F19" s="61"/>
      <c r="G19" s="61"/>
      <c r="H19" s="61"/>
      <c r="I19" s="61"/>
      <c r="J19" s="61"/>
      <c r="K19" s="61"/>
      <c r="L19" s="61"/>
      <c r="M19" s="60"/>
      <c r="N19" s="60"/>
    </row>
    <row r="20" spans="1:15" ht="22.5" customHeight="1">
      <c r="A20" s="14" t="s">
        <v>67</v>
      </c>
      <c r="B20" s="14" t="s">
        <v>122</v>
      </c>
      <c r="E20" s="131">
        <v>395</v>
      </c>
      <c r="F20" s="132"/>
      <c r="G20" s="62" t="s">
        <v>25</v>
      </c>
      <c r="H20" s="61"/>
      <c r="K20" s="130"/>
      <c r="L20" s="130"/>
      <c r="M20" s="130"/>
      <c r="N20" s="130"/>
    </row>
    <row r="21" spans="1:15" ht="7.5" customHeight="1">
      <c r="E21" s="64"/>
      <c r="F21" s="61"/>
      <c r="G21" s="61"/>
      <c r="L21" s="66"/>
      <c r="M21" s="66"/>
      <c r="N21" s="65"/>
    </row>
    <row r="22" spans="1:15" ht="22.5" customHeight="1">
      <c r="A22" s="14" t="s">
        <v>28</v>
      </c>
      <c r="B22" s="14" t="s">
        <v>123</v>
      </c>
      <c r="E22" s="64"/>
      <c r="F22" s="61"/>
      <c r="G22" s="61"/>
      <c r="H22" s="14" t="s">
        <v>58</v>
      </c>
      <c r="J22" s="137">
        <v>1792</v>
      </c>
      <c r="K22" s="138"/>
      <c r="L22" s="139"/>
      <c r="M22" s="66" t="s">
        <v>57</v>
      </c>
      <c r="N22" s="65"/>
    </row>
    <row r="23" spans="1:15" ht="7.5" customHeight="1">
      <c r="E23" s="64"/>
      <c r="F23" s="61"/>
      <c r="G23" s="61"/>
      <c r="L23" s="66"/>
      <c r="M23" s="66"/>
      <c r="N23" s="65"/>
    </row>
    <row r="24" spans="1:15" ht="22.5" customHeight="1">
      <c r="B24" s="52" t="s">
        <v>21</v>
      </c>
      <c r="C24" s="131">
        <v>470</v>
      </c>
      <c r="D24" s="132"/>
      <c r="E24" s="64" t="s">
        <v>26</v>
      </c>
      <c r="F24" s="61"/>
      <c r="G24" s="136" t="s">
        <v>22</v>
      </c>
      <c r="H24" s="136"/>
      <c r="I24" s="131">
        <v>476</v>
      </c>
      <c r="J24" s="132"/>
      <c r="K24" s="57" t="s">
        <v>26</v>
      </c>
      <c r="M24" s="66"/>
      <c r="N24" s="65"/>
      <c r="O24" s="67"/>
    </row>
    <row r="25" spans="1:15" ht="7.5" customHeight="1">
      <c r="B25" s="52"/>
      <c r="C25" s="68"/>
      <c r="D25" s="68"/>
      <c r="E25" s="64"/>
      <c r="F25" s="61"/>
      <c r="G25" s="66"/>
      <c r="H25" s="66"/>
      <c r="I25" s="68"/>
      <c r="J25" s="68"/>
      <c r="K25" s="57"/>
      <c r="M25" s="66"/>
      <c r="N25" s="65"/>
      <c r="O25" s="67"/>
    </row>
    <row r="26" spans="1:15" ht="22.5" customHeight="1">
      <c r="B26" s="52" t="s">
        <v>23</v>
      </c>
      <c r="C26" s="131">
        <v>419</v>
      </c>
      <c r="D26" s="132"/>
      <c r="E26" s="64" t="s">
        <v>26</v>
      </c>
      <c r="F26" s="61"/>
      <c r="G26" s="136" t="s">
        <v>24</v>
      </c>
      <c r="H26" s="136"/>
      <c r="I26" s="131">
        <v>427</v>
      </c>
      <c r="J26" s="132"/>
      <c r="K26" s="57" t="s">
        <v>26</v>
      </c>
      <c r="M26" s="66"/>
      <c r="N26" s="65"/>
    </row>
    <row r="27" spans="1:15" ht="7.5" customHeight="1">
      <c r="B27" s="52"/>
      <c r="C27" s="68"/>
      <c r="D27" s="68"/>
      <c r="E27" s="64"/>
      <c r="F27" s="61"/>
      <c r="G27" s="66"/>
      <c r="H27" s="66"/>
      <c r="I27" s="68"/>
      <c r="J27" s="68"/>
      <c r="K27" s="57"/>
      <c r="M27" s="66"/>
      <c r="N27" s="65"/>
    </row>
    <row r="28" spans="1:15" ht="22.5" customHeight="1">
      <c r="B28" s="52" t="s">
        <v>54</v>
      </c>
      <c r="C28" s="131"/>
      <c r="D28" s="132"/>
      <c r="E28" s="64" t="s">
        <v>10</v>
      </c>
      <c r="F28" s="61"/>
      <c r="G28" s="136" t="s">
        <v>55</v>
      </c>
      <c r="H28" s="136"/>
      <c r="I28" s="131"/>
      <c r="J28" s="132"/>
      <c r="K28" s="57" t="s">
        <v>10</v>
      </c>
      <c r="M28" s="66"/>
      <c r="N28" s="65"/>
    </row>
    <row r="29" spans="1:15" ht="7.5" customHeight="1">
      <c r="F29" s="61"/>
      <c r="G29" s="61"/>
      <c r="M29" s="69"/>
      <c r="N29" s="69"/>
    </row>
    <row r="30" spans="1:15" ht="22.5" customHeight="1">
      <c r="A30" s="14" t="s">
        <v>121</v>
      </c>
      <c r="B30" s="54" t="s">
        <v>112</v>
      </c>
      <c r="C30" s="54"/>
      <c r="D30" s="54"/>
      <c r="E30" s="54"/>
      <c r="F30" s="57"/>
      <c r="G30" s="63"/>
      <c r="H30" s="63"/>
      <c r="I30" s="63"/>
      <c r="J30" s="70"/>
      <c r="K30" s="70"/>
      <c r="L30" s="70"/>
      <c r="M30" s="70"/>
      <c r="N30" s="70"/>
    </row>
    <row r="31" spans="1:15" s="67" customFormat="1" ht="22.5" customHeight="1">
      <c r="B31" s="140" t="s">
        <v>111</v>
      </c>
      <c r="C31" s="140"/>
      <c r="D31" s="133" t="s">
        <v>134</v>
      </c>
      <c r="E31" s="134"/>
      <c r="F31" s="134"/>
      <c r="G31" s="141" t="s">
        <v>27</v>
      </c>
      <c r="H31" s="140"/>
      <c r="I31" s="142"/>
      <c r="J31" s="133" t="s">
        <v>135</v>
      </c>
      <c r="K31" s="134"/>
      <c r="L31" s="134"/>
      <c r="M31" s="134"/>
      <c r="N31" s="135"/>
    </row>
    <row r="32" spans="1:15" ht="7.5" customHeight="1">
      <c r="F32" s="61"/>
      <c r="G32" s="61"/>
      <c r="M32" s="69"/>
      <c r="N32" s="69"/>
    </row>
    <row r="33" spans="1:14" ht="22.5" customHeight="1">
      <c r="A33" s="14" t="s">
        <v>144</v>
      </c>
      <c r="B33" s="54" t="s">
        <v>126</v>
      </c>
      <c r="C33" s="54"/>
      <c r="D33" s="54"/>
      <c r="E33" s="54"/>
      <c r="F33" s="57"/>
      <c r="G33" s="70"/>
      <c r="H33" s="70"/>
      <c r="I33" s="70"/>
      <c r="J33" s="70"/>
      <c r="K33" s="70"/>
      <c r="L33" s="70"/>
      <c r="M33" s="70"/>
      <c r="N33" s="70"/>
    </row>
    <row r="34" spans="1:14" ht="22.5" customHeight="1">
      <c r="B34" s="133" t="s">
        <v>136</v>
      </c>
      <c r="C34" s="134"/>
      <c r="D34" s="134"/>
      <c r="E34" s="134"/>
      <c r="F34" s="134"/>
      <c r="G34" s="134"/>
      <c r="H34" s="134"/>
      <c r="I34" s="134"/>
      <c r="J34" s="134"/>
      <c r="K34" s="134"/>
      <c r="L34" s="134"/>
      <c r="M34" s="134"/>
      <c r="N34" s="135"/>
    </row>
    <row r="35" spans="1:14" ht="7.5" customHeight="1">
      <c r="B35" s="71"/>
      <c r="C35" s="71"/>
      <c r="D35" s="71"/>
      <c r="E35" s="71"/>
      <c r="F35" s="71"/>
      <c r="G35" s="71"/>
      <c r="H35" s="71"/>
      <c r="I35" s="71"/>
      <c r="J35" s="71"/>
      <c r="K35" s="71"/>
      <c r="L35" s="71"/>
      <c r="M35" s="71"/>
      <c r="N35" s="71"/>
    </row>
    <row r="36" spans="1:14" s="67" customFormat="1" ht="22.5" customHeight="1">
      <c r="B36" s="140" t="s">
        <v>111</v>
      </c>
      <c r="C36" s="140"/>
      <c r="D36" s="133" t="s">
        <v>134</v>
      </c>
      <c r="E36" s="134"/>
      <c r="F36" s="134"/>
      <c r="G36" s="141" t="s">
        <v>61</v>
      </c>
      <c r="H36" s="140"/>
      <c r="I36" s="142"/>
      <c r="J36" s="133" t="s">
        <v>135</v>
      </c>
      <c r="K36" s="134"/>
      <c r="L36" s="134"/>
      <c r="M36" s="134"/>
      <c r="N36" s="135"/>
    </row>
    <row r="37" spans="1:14" ht="7.5" customHeight="1">
      <c r="F37" s="63"/>
      <c r="G37" s="63"/>
      <c r="H37" s="63"/>
      <c r="I37" s="63"/>
      <c r="J37" s="63"/>
      <c r="K37" s="63"/>
      <c r="L37" s="63"/>
      <c r="M37" s="63"/>
      <c r="N37" s="63"/>
    </row>
    <row r="38" spans="1:14" ht="22.5" customHeight="1">
      <c r="A38" s="14" t="s">
        <v>60</v>
      </c>
      <c r="B38" s="14" t="s">
        <v>127</v>
      </c>
      <c r="M38" s="69"/>
      <c r="N38" s="69"/>
    </row>
    <row r="39" spans="1:14" ht="22.5" customHeight="1">
      <c r="B39" s="133" t="s">
        <v>175</v>
      </c>
      <c r="C39" s="134"/>
      <c r="D39" s="134"/>
      <c r="E39" s="134"/>
      <c r="F39" s="134"/>
      <c r="G39" s="134"/>
      <c r="H39" s="134"/>
      <c r="I39" s="134"/>
      <c r="J39" s="134"/>
      <c r="K39" s="134"/>
      <c r="L39" s="134"/>
      <c r="M39" s="134"/>
      <c r="N39" s="135"/>
    </row>
    <row r="40" spans="1:14" ht="7.5" customHeight="1">
      <c r="F40" s="63"/>
      <c r="G40" s="63"/>
      <c r="H40" s="63"/>
      <c r="I40" s="63"/>
      <c r="J40" s="63"/>
      <c r="K40" s="63"/>
      <c r="L40" s="63"/>
      <c r="M40" s="63"/>
      <c r="N40" s="63"/>
    </row>
    <row r="41" spans="1:14" s="67" customFormat="1" ht="22.5" customHeight="1">
      <c r="B41" s="140" t="s">
        <v>111</v>
      </c>
      <c r="C41" s="140"/>
      <c r="D41" s="133" t="s">
        <v>143</v>
      </c>
      <c r="E41" s="134"/>
      <c r="F41" s="134"/>
      <c r="G41" s="141" t="s">
        <v>61</v>
      </c>
      <c r="H41" s="140"/>
      <c r="I41" s="142"/>
      <c r="J41" s="133" t="s">
        <v>137</v>
      </c>
      <c r="K41" s="134"/>
      <c r="L41" s="134"/>
      <c r="M41" s="134"/>
      <c r="N41" s="135"/>
    </row>
    <row r="42" spans="1:14" ht="7.5" customHeight="1">
      <c r="F42" s="63"/>
      <c r="G42" s="63"/>
      <c r="H42" s="63"/>
      <c r="I42" s="63"/>
      <c r="J42" s="63"/>
      <c r="K42" s="63"/>
      <c r="L42" s="63"/>
      <c r="M42" s="63"/>
      <c r="N42" s="63"/>
    </row>
    <row r="43" spans="1:14" ht="22.5" customHeight="1">
      <c r="A43" s="14" t="s">
        <v>68</v>
      </c>
      <c r="B43" s="14" t="s">
        <v>87</v>
      </c>
      <c r="E43" s="92"/>
      <c r="F43" s="133" t="s">
        <v>138</v>
      </c>
      <c r="G43" s="134"/>
      <c r="H43" s="134"/>
      <c r="I43" s="134"/>
      <c r="J43" s="134"/>
      <c r="K43" s="134"/>
      <c r="L43" s="134"/>
      <c r="M43" s="134"/>
      <c r="N43" s="135"/>
    </row>
    <row r="44" spans="1:14" ht="7.5" customHeight="1">
      <c r="F44" s="63"/>
      <c r="G44" s="63"/>
      <c r="H44" s="63"/>
      <c r="I44" s="63"/>
      <c r="J44" s="63"/>
      <c r="K44" s="63"/>
      <c r="L44" s="63"/>
      <c r="M44" s="63"/>
      <c r="N44" s="63"/>
    </row>
    <row r="45" spans="1:14" ht="22.5" customHeight="1">
      <c r="A45" s="14" t="s">
        <v>3</v>
      </c>
    </row>
    <row r="46" spans="1:14" ht="22.5" customHeight="1">
      <c r="B46" s="72" t="s">
        <v>1</v>
      </c>
      <c r="C46" s="152" t="s">
        <v>139</v>
      </c>
      <c r="D46" s="153"/>
      <c r="E46" s="153"/>
      <c r="F46" s="153"/>
      <c r="G46" s="153"/>
      <c r="H46" s="153"/>
      <c r="I46" s="73" t="s">
        <v>2</v>
      </c>
      <c r="J46" s="74"/>
      <c r="K46" s="133" t="s">
        <v>140</v>
      </c>
      <c r="L46" s="134"/>
      <c r="M46" s="134"/>
      <c r="N46" s="135"/>
    </row>
    <row r="47" spans="1:14" ht="22.5" customHeight="1">
      <c r="B47" s="72" t="s">
        <v>5</v>
      </c>
      <c r="C47" s="155" t="s">
        <v>141</v>
      </c>
      <c r="D47" s="156"/>
      <c r="E47" s="156"/>
      <c r="F47" s="156"/>
      <c r="G47" s="156"/>
      <c r="H47" s="157"/>
      <c r="I47" s="73" t="s">
        <v>4</v>
      </c>
      <c r="J47" s="74"/>
      <c r="K47" s="158" t="s">
        <v>142</v>
      </c>
      <c r="L47" s="159"/>
      <c r="M47" s="159"/>
      <c r="N47" s="16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4"/>
  <sheetViews>
    <sheetView showZeros="0" zoomScaleNormal="100" workbookViewId="0">
      <selection activeCell="B1" sqref="B1"/>
    </sheetView>
  </sheetViews>
  <sheetFormatPr defaultColWidth="9" defaultRowHeight="18.75" customHeight="1"/>
  <cols>
    <col min="1" max="2" width="2.5" style="14" customWidth="1"/>
    <col min="3" max="3" width="20" style="14" customWidth="1"/>
    <col min="4" max="4" width="8.625" style="14" customWidth="1"/>
    <col min="5" max="5" width="7.5" style="14" customWidth="1"/>
    <col min="6" max="6" width="2.5" style="14" customWidth="1"/>
    <col min="7" max="7" width="15" style="14" customWidth="1"/>
    <col min="8" max="8" width="12.5" style="14" customWidth="1"/>
    <col min="9" max="9" width="11.125" style="14" customWidth="1"/>
    <col min="10" max="16384" width="9" style="14"/>
  </cols>
  <sheetData>
    <row r="1" spans="1:16" ht="18.75" customHeight="1">
      <c r="I1" s="50" t="s">
        <v>173</v>
      </c>
    </row>
    <row r="2" spans="1:16" ht="18.75" customHeight="1">
      <c r="G2" s="51" t="s">
        <v>32</v>
      </c>
      <c r="H2" s="173" t="s">
        <v>130</v>
      </c>
      <c r="I2" s="173"/>
    </row>
    <row r="3" spans="1:16" ht="7.5" customHeight="1"/>
    <row r="4" spans="1:16" ht="18.75" customHeight="1">
      <c r="A4" s="151" t="s">
        <v>85</v>
      </c>
      <c r="B4" s="151"/>
      <c r="C4" s="151"/>
      <c r="D4" s="151"/>
      <c r="E4" s="151"/>
      <c r="F4" s="151"/>
      <c r="G4" s="151"/>
      <c r="H4" s="151"/>
      <c r="I4" s="151"/>
    </row>
    <row r="5" spans="1:16" ht="7.5" customHeight="1">
      <c r="C5" s="52"/>
      <c r="D5" s="52"/>
      <c r="E5" s="52"/>
      <c r="F5" s="52"/>
      <c r="G5" s="52"/>
      <c r="H5" s="52"/>
      <c r="I5" s="52"/>
    </row>
    <row r="6" spans="1:16" ht="18.75" customHeight="1">
      <c r="A6" s="14" t="s">
        <v>7</v>
      </c>
      <c r="B6" s="14" t="s">
        <v>97</v>
      </c>
      <c r="C6" s="52"/>
      <c r="D6" s="52"/>
      <c r="E6" s="137" t="s">
        <v>171</v>
      </c>
      <c r="F6" s="138"/>
      <c r="G6" s="138"/>
      <c r="H6" s="138"/>
      <c r="I6" s="139"/>
    </row>
    <row r="7" spans="1:16" ht="7.5" customHeight="1">
      <c r="C7" s="52"/>
      <c r="D7" s="52"/>
      <c r="F7" s="53"/>
      <c r="G7" s="53"/>
      <c r="H7" s="53"/>
      <c r="I7" s="53"/>
    </row>
    <row r="8" spans="1:16" ht="18.75" customHeight="1">
      <c r="A8" s="14" t="s">
        <v>12</v>
      </c>
      <c r="B8" s="14" t="s">
        <v>98</v>
      </c>
      <c r="C8" s="52"/>
      <c r="D8" s="52"/>
      <c r="E8" s="52"/>
      <c r="F8" s="52"/>
      <c r="G8" s="52"/>
      <c r="H8" s="52"/>
      <c r="I8" s="52"/>
    </row>
    <row r="9" spans="1:16" ht="18.75" customHeight="1">
      <c r="B9" s="161" t="s">
        <v>244</v>
      </c>
      <c r="C9" s="162"/>
      <c r="D9" s="162"/>
      <c r="E9" s="162"/>
      <c r="F9" s="162"/>
      <c r="G9" s="162"/>
      <c r="H9" s="162"/>
      <c r="I9" s="163"/>
    </row>
    <row r="10" spans="1:16" ht="18.75" customHeight="1">
      <c r="B10" s="164"/>
      <c r="C10" s="165"/>
      <c r="D10" s="165"/>
      <c r="E10" s="165"/>
      <c r="F10" s="165"/>
      <c r="G10" s="165"/>
      <c r="H10" s="165"/>
      <c r="I10" s="166"/>
    </row>
    <row r="11" spans="1:16" ht="18.75" customHeight="1">
      <c r="B11" s="164"/>
      <c r="C11" s="165"/>
      <c r="D11" s="165"/>
      <c r="E11" s="165"/>
      <c r="F11" s="165"/>
      <c r="G11" s="165"/>
      <c r="H11" s="165"/>
      <c r="I11" s="166"/>
    </row>
    <row r="12" spans="1:16" ht="18.75" customHeight="1">
      <c r="B12" s="164"/>
      <c r="C12" s="165"/>
      <c r="D12" s="165"/>
      <c r="E12" s="165"/>
      <c r="F12" s="165"/>
      <c r="G12" s="165"/>
      <c r="H12" s="165"/>
      <c r="I12" s="166"/>
      <c r="K12" s="103"/>
    </row>
    <row r="13" spans="1:16" ht="18.75" customHeight="1">
      <c r="B13" s="164"/>
      <c r="C13" s="165"/>
      <c r="D13" s="165"/>
      <c r="E13" s="165"/>
      <c r="F13" s="165"/>
      <c r="G13" s="165"/>
      <c r="H13" s="165"/>
      <c r="I13" s="166"/>
      <c r="K13" s="104"/>
      <c r="L13" s="104"/>
      <c r="M13" s="104"/>
      <c r="N13" s="104"/>
      <c r="O13" s="104"/>
      <c r="P13" s="104"/>
    </row>
    <row r="14" spans="1:16" ht="18.75" customHeight="1">
      <c r="B14" s="164"/>
      <c r="C14" s="165"/>
      <c r="D14" s="165"/>
      <c r="E14" s="165"/>
      <c r="F14" s="165"/>
      <c r="G14" s="165"/>
      <c r="H14" s="165"/>
      <c r="I14" s="166"/>
    </row>
    <row r="15" spans="1:16" ht="18.75" customHeight="1">
      <c r="B15" s="164"/>
      <c r="C15" s="165"/>
      <c r="D15" s="165"/>
      <c r="E15" s="165"/>
      <c r="F15" s="165"/>
      <c r="G15" s="165"/>
      <c r="H15" s="165"/>
      <c r="I15" s="166"/>
    </row>
    <row r="16" spans="1:16" ht="18.75" customHeight="1">
      <c r="B16" s="167"/>
      <c r="C16" s="168"/>
      <c r="D16" s="168"/>
      <c r="E16" s="168"/>
      <c r="F16" s="168"/>
      <c r="G16" s="168"/>
      <c r="H16" s="168"/>
      <c r="I16" s="169"/>
    </row>
    <row r="17" spans="1:10" ht="7.5" customHeight="1">
      <c r="C17" s="52"/>
      <c r="D17" s="52"/>
      <c r="E17" s="52"/>
      <c r="F17" s="52"/>
      <c r="G17" s="52"/>
      <c r="H17" s="52"/>
      <c r="I17" s="52"/>
    </row>
    <row r="18" spans="1:10" ht="18.75" customHeight="1">
      <c r="A18" s="52" t="s">
        <v>13</v>
      </c>
      <c r="B18" s="54" t="s">
        <v>99</v>
      </c>
      <c r="C18" s="54"/>
      <c r="D18" s="54"/>
      <c r="E18" s="54"/>
      <c r="F18" s="52"/>
      <c r="G18" s="52"/>
      <c r="H18" s="52"/>
      <c r="I18" s="52"/>
      <c r="J18" s="52"/>
    </row>
    <row r="19" spans="1:10" ht="18.75" customHeight="1">
      <c r="A19" s="174" t="s">
        <v>99</v>
      </c>
      <c r="B19" s="174"/>
      <c r="C19" s="174"/>
      <c r="D19" s="174"/>
      <c r="E19" s="174"/>
      <c r="F19" s="175" t="s">
        <v>99</v>
      </c>
      <c r="G19" s="175"/>
      <c r="H19" s="175"/>
      <c r="I19" s="175"/>
    </row>
    <row r="20" spans="1:10" ht="18.75" customHeight="1">
      <c r="A20" s="55">
        <v>1</v>
      </c>
      <c r="B20" s="170" t="s">
        <v>221</v>
      </c>
      <c r="C20" s="171"/>
      <c r="D20" s="171"/>
      <c r="E20" s="172"/>
      <c r="F20" s="55">
        <v>26</v>
      </c>
      <c r="G20" s="152"/>
      <c r="H20" s="153"/>
      <c r="I20" s="154"/>
      <c r="J20" s="126"/>
    </row>
    <row r="21" spans="1:10" ht="18.75" customHeight="1">
      <c r="A21" s="55">
        <v>2</v>
      </c>
      <c r="B21" s="170" t="s">
        <v>222</v>
      </c>
      <c r="C21" s="171"/>
      <c r="D21" s="171"/>
      <c r="E21" s="172"/>
      <c r="F21" s="55">
        <v>27</v>
      </c>
      <c r="G21" s="152"/>
      <c r="H21" s="153"/>
      <c r="I21" s="154"/>
    </row>
    <row r="22" spans="1:10" ht="18.75" customHeight="1">
      <c r="A22" s="55">
        <v>3</v>
      </c>
      <c r="B22" s="152" t="s">
        <v>163</v>
      </c>
      <c r="C22" s="153"/>
      <c r="D22" s="153"/>
      <c r="E22" s="154"/>
      <c r="F22" s="55">
        <v>28</v>
      </c>
      <c r="G22" s="152"/>
      <c r="H22" s="153"/>
      <c r="I22" s="154"/>
    </row>
    <row r="23" spans="1:10" ht="18.75" customHeight="1">
      <c r="A23" s="55">
        <v>4</v>
      </c>
      <c r="B23" s="152" t="s">
        <v>150</v>
      </c>
      <c r="C23" s="153"/>
      <c r="D23" s="153"/>
      <c r="E23" s="154"/>
      <c r="F23" s="55">
        <v>29</v>
      </c>
      <c r="G23" s="152"/>
      <c r="H23" s="153"/>
      <c r="I23" s="154"/>
    </row>
    <row r="24" spans="1:10" ht="18.75" customHeight="1">
      <c r="A24" s="55">
        <v>5</v>
      </c>
      <c r="B24" s="152" t="s">
        <v>153</v>
      </c>
      <c r="C24" s="153"/>
      <c r="D24" s="153"/>
      <c r="E24" s="154"/>
      <c r="F24" s="55">
        <v>30</v>
      </c>
      <c r="G24" s="152"/>
      <c r="H24" s="153"/>
      <c r="I24" s="154"/>
    </row>
    <row r="25" spans="1:10" ht="18.75" customHeight="1">
      <c r="A25" s="55">
        <v>6</v>
      </c>
      <c r="B25" s="152" t="s">
        <v>151</v>
      </c>
      <c r="C25" s="153"/>
      <c r="D25" s="153"/>
      <c r="E25" s="154"/>
      <c r="F25" s="55">
        <v>31</v>
      </c>
      <c r="G25" s="152"/>
      <c r="H25" s="153"/>
      <c r="I25" s="154"/>
    </row>
    <row r="26" spans="1:10" ht="18.75" customHeight="1">
      <c r="A26" s="55">
        <v>7</v>
      </c>
      <c r="B26" s="152" t="s">
        <v>152</v>
      </c>
      <c r="C26" s="153"/>
      <c r="D26" s="153"/>
      <c r="E26" s="154"/>
      <c r="F26" s="55">
        <v>32</v>
      </c>
      <c r="G26" s="152"/>
      <c r="H26" s="153"/>
      <c r="I26" s="154"/>
    </row>
    <row r="27" spans="1:10" ht="18.75" customHeight="1">
      <c r="A27" s="55">
        <v>8</v>
      </c>
      <c r="B27" s="152" t="s">
        <v>164</v>
      </c>
      <c r="C27" s="153"/>
      <c r="D27" s="153"/>
      <c r="E27" s="154"/>
      <c r="F27" s="55">
        <v>33</v>
      </c>
      <c r="G27" s="152"/>
      <c r="H27" s="153"/>
      <c r="I27" s="154"/>
    </row>
    <row r="28" spans="1:10" ht="18.75" customHeight="1">
      <c r="A28" s="55">
        <v>9</v>
      </c>
      <c r="B28" s="152" t="s">
        <v>165</v>
      </c>
      <c r="C28" s="153"/>
      <c r="D28" s="153"/>
      <c r="E28" s="154"/>
      <c r="F28" s="55">
        <v>34</v>
      </c>
      <c r="G28" s="152"/>
      <c r="H28" s="153"/>
      <c r="I28" s="154"/>
    </row>
    <row r="29" spans="1:10" ht="18.75" customHeight="1">
      <c r="A29" s="55">
        <v>10</v>
      </c>
      <c r="B29" s="152" t="s">
        <v>157</v>
      </c>
      <c r="C29" s="153"/>
      <c r="D29" s="153"/>
      <c r="E29" s="154"/>
      <c r="F29" s="55">
        <v>35</v>
      </c>
      <c r="G29" s="152"/>
      <c r="H29" s="153"/>
      <c r="I29" s="154"/>
    </row>
    <row r="30" spans="1:10" ht="18.75" customHeight="1">
      <c r="A30" s="55">
        <v>11</v>
      </c>
      <c r="B30" s="152" t="s">
        <v>154</v>
      </c>
      <c r="C30" s="153"/>
      <c r="D30" s="153"/>
      <c r="E30" s="154"/>
      <c r="F30" s="55">
        <v>36</v>
      </c>
      <c r="G30" s="152"/>
      <c r="H30" s="153"/>
      <c r="I30" s="154"/>
    </row>
    <row r="31" spans="1:10" ht="18.75" customHeight="1">
      <c r="A31" s="55">
        <v>12</v>
      </c>
      <c r="B31" s="152" t="s">
        <v>155</v>
      </c>
      <c r="C31" s="153"/>
      <c r="D31" s="153"/>
      <c r="E31" s="154"/>
      <c r="F31" s="55">
        <v>37</v>
      </c>
      <c r="G31" s="152"/>
      <c r="H31" s="153"/>
      <c r="I31" s="154"/>
    </row>
    <row r="32" spans="1:10" ht="18.75" customHeight="1">
      <c r="A32" s="55">
        <v>13</v>
      </c>
      <c r="B32" s="152" t="s">
        <v>156</v>
      </c>
      <c r="C32" s="153"/>
      <c r="D32" s="153"/>
      <c r="E32" s="154"/>
      <c r="F32" s="55">
        <v>38</v>
      </c>
      <c r="G32" s="152"/>
      <c r="H32" s="153"/>
      <c r="I32" s="154"/>
    </row>
    <row r="33" spans="1:9" ht="18.75" customHeight="1">
      <c r="A33" s="55">
        <v>14</v>
      </c>
      <c r="B33" s="152" t="s">
        <v>169</v>
      </c>
      <c r="C33" s="153"/>
      <c r="D33" s="153"/>
      <c r="E33" s="154"/>
      <c r="F33" s="55">
        <v>39</v>
      </c>
      <c r="G33" s="152"/>
      <c r="H33" s="153"/>
      <c r="I33" s="154"/>
    </row>
    <row r="34" spans="1:9" ht="18.75" customHeight="1">
      <c r="A34" s="55">
        <v>15</v>
      </c>
      <c r="B34" s="152" t="s">
        <v>170</v>
      </c>
      <c r="C34" s="153"/>
      <c r="D34" s="153"/>
      <c r="E34" s="154"/>
      <c r="F34" s="55">
        <v>40</v>
      </c>
      <c r="G34" s="152"/>
      <c r="H34" s="153"/>
      <c r="I34" s="154"/>
    </row>
    <row r="35" spans="1:9" ht="18.75" customHeight="1">
      <c r="A35" s="55">
        <v>16</v>
      </c>
      <c r="B35" s="152" t="s">
        <v>166</v>
      </c>
      <c r="C35" s="153"/>
      <c r="D35" s="153"/>
      <c r="E35" s="154"/>
      <c r="F35" s="55">
        <v>41</v>
      </c>
      <c r="G35" s="152"/>
      <c r="H35" s="153"/>
      <c r="I35" s="154"/>
    </row>
    <row r="36" spans="1:9" ht="18.75" customHeight="1">
      <c r="A36" s="55">
        <v>17</v>
      </c>
      <c r="B36" s="152" t="s">
        <v>167</v>
      </c>
      <c r="C36" s="153"/>
      <c r="D36" s="153"/>
      <c r="E36" s="154"/>
      <c r="F36" s="55">
        <v>42</v>
      </c>
      <c r="G36" s="152"/>
      <c r="H36" s="153"/>
      <c r="I36" s="154"/>
    </row>
    <row r="37" spans="1:9" ht="18.75" customHeight="1">
      <c r="A37" s="55">
        <v>18</v>
      </c>
      <c r="B37" s="152" t="s">
        <v>158</v>
      </c>
      <c r="C37" s="153"/>
      <c r="D37" s="153"/>
      <c r="E37" s="154"/>
      <c r="F37" s="55">
        <v>43</v>
      </c>
      <c r="G37" s="152"/>
      <c r="H37" s="153"/>
      <c r="I37" s="154"/>
    </row>
    <row r="38" spans="1:9" ht="18.75" customHeight="1">
      <c r="A38" s="55">
        <v>19</v>
      </c>
      <c r="B38" s="152" t="s">
        <v>168</v>
      </c>
      <c r="C38" s="153"/>
      <c r="D38" s="153"/>
      <c r="E38" s="154"/>
      <c r="F38" s="55">
        <v>44</v>
      </c>
      <c r="G38" s="152"/>
      <c r="H38" s="153"/>
      <c r="I38" s="154"/>
    </row>
    <row r="39" spans="1:9" ht="18.75" customHeight="1">
      <c r="A39" s="55">
        <v>20</v>
      </c>
      <c r="B39" s="152" t="s">
        <v>159</v>
      </c>
      <c r="C39" s="153"/>
      <c r="D39" s="153"/>
      <c r="E39" s="154"/>
      <c r="F39" s="55">
        <v>45</v>
      </c>
      <c r="G39" s="152"/>
      <c r="H39" s="153"/>
      <c r="I39" s="154"/>
    </row>
    <row r="40" spans="1:9" ht="18.75" customHeight="1">
      <c r="A40" s="55">
        <v>21</v>
      </c>
      <c r="B40" s="152" t="s">
        <v>160</v>
      </c>
      <c r="C40" s="153"/>
      <c r="D40" s="153"/>
      <c r="E40" s="154"/>
      <c r="F40" s="55">
        <v>46</v>
      </c>
      <c r="G40" s="152"/>
      <c r="H40" s="153"/>
      <c r="I40" s="154"/>
    </row>
    <row r="41" spans="1:9" ht="18.75" customHeight="1">
      <c r="A41" s="55">
        <v>22</v>
      </c>
      <c r="B41" s="170" t="s">
        <v>228</v>
      </c>
      <c r="C41" s="171"/>
      <c r="D41" s="171"/>
      <c r="E41" s="172"/>
      <c r="F41" s="55">
        <v>47</v>
      </c>
      <c r="G41" s="176"/>
      <c r="H41" s="177"/>
      <c r="I41" s="177"/>
    </row>
    <row r="42" spans="1:9" ht="18.75" customHeight="1">
      <c r="A42" s="55">
        <v>23</v>
      </c>
      <c r="B42" s="170" t="s">
        <v>229</v>
      </c>
      <c r="C42" s="171"/>
      <c r="D42" s="171"/>
      <c r="E42" s="172"/>
      <c r="F42" s="55">
        <v>48</v>
      </c>
      <c r="G42" s="176"/>
      <c r="H42" s="177"/>
      <c r="I42" s="177"/>
    </row>
    <row r="43" spans="1:9" ht="18.75" customHeight="1">
      <c r="A43" s="55">
        <v>24</v>
      </c>
      <c r="B43" s="152" t="s">
        <v>161</v>
      </c>
      <c r="C43" s="153"/>
      <c r="D43" s="153"/>
      <c r="E43" s="154"/>
      <c r="F43" s="55">
        <v>49</v>
      </c>
      <c r="G43" s="152"/>
      <c r="H43" s="153"/>
      <c r="I43" s="154"/>
    </row>
    <row r="44" spans="1:9" ht="18.75" customHeight="1">
      <c r="A44" s="55">
        <v>25</v>
      </c>
      <c r="B44" s="152" t="s">
        <v>162</v>
      </c>
      <c r="C44" s="153"/>
      <c r="D44" s="153"/>
      <c r="E44" s="154"/>
      <c r="F44" s="55">
        <v>50</v>
      </c>
      <c r="G44" s="152"/>
      <c r="H44" s="153"/>
      <c r="I44" s="15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Zeros="0" zoomScaleNormal="100" workbookViewId="0">
      <selection activeCell="B1" sqref="B1"/>
    </sheetView>
  </sheetViews>
  <sheetFormatPr defaultColWidth="9" defaultRowHeight="18.75" customHeight="1"/>
  <cols>
    <col min="1" max="2" width="2.5" style="14" customWidth="1"/>
    <col min="3" max="3" width="20" style="14" customWidth="1"/>
    <col min="4" max="4" width="8.625" style="14" customWidth="1"/>
    <col min="5" max="5" width="7.5" style="14" customWidth="1"/>
    <col min="6" max="6" width="2.5" style="14" customWidth="1"/>
    <col min="7" max="7" width="15" style="14" customWidth="1"/>
    <col min="8" max="8" width="12.5" style="14" customWidth="1"/>
    <col min="9" max="9" width="11.125" style="14" customWidth="1"/>
    <col min="10" max="16384" width="9" style="14"/>
  </cols>
  <sheetData>
    <row r="1" spans="1:11" ht="18.75" customHeight="1">
      <c r="I1" s="100" t="s">
        <v>172</v>
      </c>
    </row>
    <row r="2" spans="1:11" ht="18.75" customHeight="1">
      <c r="G2" s="51" t="s">
        <v>32</v>
      </c>
      <c r="H2" s="173" t="s">
        <v>130</v>
      </c>
      <c r="I2" s="173"/>
    </row>
    <row r="3" spans="1:11" ht="7.5" customHeight="1"/>
    <row r="4" spans="1:11" ht="18.75" customHeight="1">
      <c r="A4" s="151" t="s">
        <v>85</v>
      </c>
      <c r="B4" s="151"/>
      <c r="C4" s="151"/>
      <c r="D4" s="151"/>
      <c r="E4" s="151"/>
      <c r="F4" s="151"/>
      <c r="G4" s="151"/>
      <c r="H4" s="151"/>
      <c r="I4" s="151"/>
    </row>
    <row r="5" spans="1:11" ht="7.5" customHeight="1">
      <c r="C5" s="101"/>
      <c r="D5" s="101"/>
      <c r="E5" s="101"/>
      <c r="F5" s="101"/>
      <c r="G5" s="101"/>
      <c r="H5" s="101"/>
      <c r="I5" s="101"/>
    </row>
    <row r="6" spans="1:11" ht="18.75" customHeight="1">
      <c r="A6" s="14" t="s">
        <v>7</v>
      </c>
      <c r="B6" s="14" t="s">
        <v>97</v>
      </c>
      <c r="C6" s="101"/>
      <c r="D6" s="101"/>
      <c r="E6" s="137" t="s">
        <v>171</v>
      </c>
      <c r="F6" s="138"/>
      <c r="G6" s="138"/>
      <c r="H6" s="138"/>
      <c r="I6" s="139"/>
    </row>
    <row r="7" spans="1:11" ht="7.5" customHeight="1">
      <c r="C7" s="101"/>
      <c r="D7" s="101"/>
      <c r="F7" s="99"/>
      <c r="G7" s="99"/>
      <c r="H7" s="99"/>
      <c r="I7" s="99"/>
    </row>
    <row r="8" spans="1:11" ht="18.75" customHeight="1">
      <c r="A8" s="14" t="s">
        <v>12</v>
      </c>
      <c r="B8" s="14" t="s">
        <v>98</v>
      </c>
      <c r="C8" s="101"/>
      <c r="D8" s="101"/>
      <c r="E8" s="101"/>
      <c r="F8" s="101"/>
      <c r="G8" s="101"/>
      <c r="H8" s="101"/>
      <c r="I8" s="101"/>
    </row>
    <row r="9" spans="1:11" ht="18.75" customHeight="1">
      <c r="B9" s="161" t="s">
        <v>245</v>
      </c>
      <c r="C9" s="162"/>
      <c r="D9" s="162"/>
      <c r="E9" s="162"/>
      <c r="F9" s="162"/>
      <c r="G9" s="162"/>
      <c r="H9" s="162"/>
      <c r="I9" s="163"/>
    </row>
    <row r="10" spans="1:11" ht="18.75" customHeight="1">
      <c r="B10" s="164"/>
      <c r="C10" s="165"/>
      <c r="D10" s="165"/>
      <c r="E10" s="165"/>
      <c r="F10" s="165"/>
      <c r="G10" s="165"/>
      <c r="H10" s="165"/>
      <c r="I10" s="166"/>
    </row>
    <row r="11" spans="1:11" ht="18.75" customHeight="1">
      <c r="B11" s="164"/>
      <c r="C11" s="165"/>
      <c r="D11" s="165"/>
      <c r="E11" s="165"/>
      <c r="F11" s="165"/>
      <c r="G11" s="165"/>
      <c r="H11" s="165"/>
      <c r="I11" s="166"/>
    </row>
    <row r="12" spans="1:11" ht="18.75" customHeight="1">
      <c r="B12" s="164"/>
      <c r="C12" s="165"/>
      <c r="D12" s="165"/>
      <c r="E12" s="165"/>
      <c r="F12" s="165"/>
      <c r="G12" s="165"/>
      <c r="H12" s="165"/>
      <c r="I12" s="166"/>
      <c r="K12" s="103"/>
    </row>
    <row r="13" spans="1:11" ht="18.75" customHeight="1">
      <c r="B13" s="164"/>
      <c r="C13" s="165"/>
      <c r="D13" s="165"/>
      <c r="E13" s="165"/>
      <c r="F13" s="165"/>
      <c r="G13" s="165"/>
      <c r="H13" s="165"/>
      <c r="I13" s="166"/>
    </row>
    <row r="14" spans="1:11" ht="18.75" customHeight="1">
      <c r="B14" s="164"/>
      <c r="C14" s="165"/>
      <c r="D14" s="165"/>
      <c r="E14" s="165"/>
      <c r="F14" s="165"/>
      <c r="G14" s="165"/>
      <c r="H14" s="165"/>
      <c r="I14" s="166"/>
    </row>
    <row r="15" spans="1:11" ht="18.75" customHeight="1">
      <c r="B15" s="164"/>
      <c r="C15" s="165"/>
      <c r="D15" s="165"/>
      <c r="E15" s="165"/>
      <c r="F15" s="165"/>
      <c r="G15" s="165"/>
      <c r="H15" s="165"/>
      <c r="I15" s="166"/>
    </row>
    <row r="16" spans="1:11" ht="18.75" customHeight="1">
      <c r="B16" s="167"/>
      <c r="C16" s="168"/>
      <c r="D16" s="168"/>
      <c r="E16" s="168"/>
      <c r="F16" s="168"/>
      <c r="G16" s="168"/>
      <c r="H16" s="168"/>
      <c r="I16" s="169"/>
    </row>
    <row r="17" spans="1:10" ht="7.5" customHeight="1">
      <c r="C17" s="101"/>
      <c r="D17" s="101"/>
      <c r="E17" s="101"/>
      <c r="F17" s="101"/>
      <c r="G17" s="101"/>
      <c r="H17" s="101"/>
      <c r="I17" s="101"/>
    </row>
    <row r="18" spans="1:10" ht="18.75" customHeight="1">
      <c r="A18" s="101" t="s">
        <v>13</v>
      </c>
      <c r="B18" s="54" t="s">
        <v>99</v>
      </c>
      <c r="C18" s="54"/>
      <c r="D18" s="54"/>
      <c r="E18" s="54"/>
      <c r="F18" s="101"/>
      <c r="G18" s="101"/>
      <c r="H18" s="101"/>
      <c r="I18" s="101"/>
      <c r="J18" s="101"/>
    </row>
    <row r="19" spans="1:10" ht="18.75" customHeight="1">
      <c r="A19" s="174" t="s">
        <v>99</v>
      </c>
      <c r="B19" s="174"/>
      <c r="C19" s="174"/>
      <c r="D19" s="174"/>
      <c r="E19" s="174"/>
      <c r="F19" s="175" t="s">
        <v>99</v>
      </c>
      <c r="G19" s="175"/>
      <c r="H19" s="175"/>
      <c r="I19" s="175"/>
    </row>
    <row r="20" spans="1:10" ht="18.75" customHeight="1">
      <c r="A20" s="55">
        <v>1</v>
      </c>
      <c r="B20" s="170" t="s">
        <v>221</v>
      </c>
      <c r="C20" s="171"/>
      <c r="D20" s="171"/>
      <c r="E20" s="172"/>
      <c r="F20" s="55">
        <v>26</v>
      </c>
      <c r="G20" s="152"/>
      <c r="H20" s="153"/>
      <c r="I20" s="154"/>
      <c r="J20" s="126"/>
    </row>
    <row r="21" spans="1:10" ht="18.75" customHeight="1">
      <c r="A21" s="55">
        <v>2</v>
      </c>
      <c r="B21" s="170" t="s">
        <v>222</v>
      </c>
      <c r="C21" s="171"/>
      <c r="D21" s="171"/>
      <c r="E21" s="172"/>
      <c r="F21" s="55">
        <v>27</v>
      </c>
      <c r="G21" s="152"/>
      <c r="H21" s="153"/>
      <c r="I21" s="154"/>
    </row>
    <row r="22" spans="1:10" ht="18.75" customHeight="1">
      <c r="A22" s="55">
        <v>3</v>
      </c>
      <c r="B22" s="152" t="s">
        <v>197</v>
      </c>
      <c r="C22" s="153"/>
      <c r="D22" s="153"/>
      <c r="E22" s="154"/>
      <c r="F22" s="55">
        <v>28</v>
      </c>
      <c r="G22" s="152"/>
      <c r="H22" s="153"/>
      <c r="I22" s="154"/>
    </row>
    <row r="23" spans="1:10" ht="18.75" customHeight="1">
      <c r="A23" s="55">
        <v>4</v>
      </c>
      <c r="B23" s="170" t="s">
        <v>223</v>
      </c>
      <c r="C23" s="171"/>
      <c r="D23" s="171"/>
      <c r="E23" s="172"/>
      <c r="F23" s="55">
        <v>29</v>
      </c>
      <c r="G23" s="152"/>
      <c r="H23" s="153"/>
      <c r="I23" s="154"/>
    </row>
    <row r="24" spans="1:10" ht="18.75" customHeight="1">
      <c r="A24" s="55">
        <v>5</v>
      </c>
      <c r="B24" s="170" t="s">
        <v>226</v>
      </c>
      <c r="C24" s="171"/>
      <c r="D24" s="171"/>
      <c r="E24" s="172"/>
      <c r="F24" s="55">
        <v>30</v>
      </c>
      <c r="G24" s="152"/>
      <c r="H24" s="153"/>
      <c r="I24" s="154"/>
    </row>
    <row r="25" spans="1:10" ht="18.75" customHeight="1">
      <c r="A25" s="55">
        <v>6</v>
      </c>
      <c r="B25" s="170" t="s">
        <v>224</v>
      </c>
      <c r="C25" s="171"/>
      <c r="D25" s="171"/>
      <c r="E25" s="172"/>
      <c r="F25" s="55">
        <v>31</v>
      </c>
      <c r="G25" s="152"/>
      <c r="H25" s="153"/>
      <c r="I25" s="154"/>
    </row>
    <row r="26" spans="1:10" ht="18.75" customHeight="1">
      <c r="A26" s="55">
        <v>7</v>
      </c>
      <c r="B26" s="170" t="s">
        <v>225</v>
      </c>
      <c r="C26" s="171"/>
      <c r="D26" s="171"/>
      <c r="E26" s="172"/>
      <c r="F26" s="55">
        <v>32</v>
      </c>
      <c r="G26" s="152"/>
      <c r="H26" s="153"/>
      <c r="I26" s="154"/>
    </row>
    <row r="27" spans="1:10" ht="18.75" customHeight="1">
      <c r="A27" s="55">
        <v>8</v>
      </c>
      <c r="B27" s="152" t="s">
        <v>186</v>
      </c>
      <c r="C27" s="153"/>
      <c r="D27" s="153"/>
      <c r="E27" s="154"/>
      <c r="F27" s="55">
        <v>33</v>
      </c>
      <c r="G27" s="152"/>
      <c r="H27" s="153"/>
      <c r="I27" s="154"/>
    </row>
    <row r="28" spans="1:10" ht="18.75" customHeight="1">
      <c r="A28" s="55">
        <v>9</v>
      </c>
      <c r="B28" s="152" t="s">
        <v>187</v>
      </c>
      <c r="C28" s="153"/>
      <c r="D28" s="153"/>
      <c r="E28" s="154"/>
      <c r="F28" s="55">
        <v>34</v>
      </c>
      <c r="G28" s="152"/>
      <c r="H28" s="153"/>
      <c r="I28" s="154"/>
    </row>
    <row r="29" spans="1:10" ht="18.75" customHeight="1">
      <c r="A29" s="55">
        <v>10</v>
      </c>
      <c r="B29" s="152" t="s">
        <v>157</v>
      </c>
      <c r="C29" s="153"/>
      <c r="D29" s="153"/>
      <c r="E29" s="154"/>
      <c r="F29" s="55">
        <v>35</v>
      </c>
      <c r="G29" s="152"/>
      <c r="H29" s="153"/>
      <c r="I29" s="154"/>
    </row>
    <row r="30" spans="1:10" ht="18.75" customHeight="1">
      <c r="A30" s="55">
        <v>11</v>
      </c>
      <c r="B30" s="152" t="s">
        <v>154</v>
      </c>
      <c r="C30" s="153"/>
      <c r="D30" s="153"/>
      <c r="E30" s="154"/>
      <c r="F30" s="55">
        <v>36</v>
      </c>
      <c r="G30" s="152"/>
      <c r="H30" s="153"/>
      <c r="I30" s="154"/>
    </row>
    <row r="31" spans="1:10" ht="18.75" customHeight="1">
      <c r="A31" s="55">
        <v>12</v>
      </c>
      <c r="B31" s="152" t="s">
        <v>155</v>
      </c>
      <c r="C31" s="153"/>
      <c r="D31" s="153"/>
      <c r="E31" s="154"/>
      <c r="F31" s="55">
        <v>37</v>
      </c>
      <c r="G31" s="152"/>
      <c r="H31" s="153"/>
      <c r="I31" s="154"/>
    </row>
    <row r="32" spans="1:10" ht="18.75" customHeight="1">
      <c r="A32" s="55">
        <v>13</v>
      </c>
      <c r="B32" s="152" t="s">
        <v>156</v>
      </c>
      <c r="C32" s="153"/>
      <c r="D32" s="153"/>
      <c r="E32" s="154"/>
      <c r="F32" s="55">
        <v>38</v>
      </c>
      <c r="G32" s="152"/>
      <c r="H32" s="153"/>
      <c r="I32" s="154"/>
    </row>
    <row r="33" spans="1:9" ht="18.75" customHeight="1">
      <c r="A33" s="55">
        <v>14</v>
      </c>
      <c r="B33" s="152" t="s">
        <v>188</v>
      </c>
      <c r="C33" s="153"/>
      <c r="D33" s="153"/>
      <c r="E33" s="154"/>
      <c r="F33" s="55">
        <v>39</v>
      </c>
      <c r="G33" s="152"/>
      <c r="H33" s="153"/>
      <c r="I33" s="154"/>
    </row>
    <row r="34" spans="1:9" ht="18.75" customHeight="1">
      <c r="A34" s="55">
        <v>15</v>
      </c>
      <c r="B34" s="152" t="s">
        <v>189</v>
      </c>
      <c r="C34" s="153"/>
      <c r="D34" s="153"/>
      <c r="E34" s="154"/>
      <c r="F34" s="55">
        <v>40</v>
      </c>
      <c r="G34" s="152"/>
      <c r="H34" s="153"/>
      <c r="I34" s="154"/>
    </row>
    <row r="35" spans="1:9" ht="18.75" customHeight="1">
      <c r="A35" s="55">
        <v>16</v>
      </c>
      <c r="B35" s="152" t="s">
        <v>190</v>
      </c>
      <c r="C35" s="153"/>
      <c r="D35" s="153"/>
      <c r="E35" s="154"/>
      <c r="F35" s="55">
        <v>41</v>
      </c>
      <c r="G35" s="152"/>
      <c r="H35" s="153"/>
      <c r="I35" s="154"/>
    </row>
    <row r="36" spans="1:9" ht="18.75" customHeight="1">
      <c r="A36" s="55">
        <v>17</v>
      </c>
      <c r="B36" s="152" t="s">
        <v>191</v>
      </c>
      <c r="C36" s="153"/>
      <c r="D36" s="153"/>
      <c r="E36" s="154"/>
      <c r="F36" s="55">
        <v>42</v>
      </c>
      <c r="G36" s="152"/>
      <c r="H36" s="153"/>
      <c r="I36" s="154"/>
    </row>
    <row r="37" spans="1:9" ht="18.75" customHeight="1">
      <c r="A37" s="55">
        <v>18</v>
      </c>
      <c r="B37" s="152" t="s">
        <v>158</v>
      </c>
      <c r="C37" s="153"/>
      <c r="D37" s="153"/>
      <c r="E37" s="154"/>
      <c r="F37" s="55">
        <v>43</v>
      </c>
      <c r="G37" s="152"/>
      <c r="H37" s="153"/>
      <c r="I37" s="154"/>
    </row>
    <row r="38" spans="1:9" ht="18.75" customHeight="1">
      <c r="A38" s="55">
        <v>19</v>
      </c>
      <c r="B38" s="152" t="s">
        <v>219</v>
      </c>
      <c r="C38" s="153"/>
      <c r="D38" s="153"/>
      <c r="E38" s="154"/>
      <c r="F38" s="55">
        <v>44</v>
      </c>
      <c r="G38" s="152"/>
      <c r="H38" s="153"/>
      <c r="I38" s="154"/>
    </row>
    <row r="39" spans="1:9" ht="18.75" customHeight="1">
      <c r="A39" s="55">
        <v>20</v>
      </c>
      <c r="B39" s="152" t="s">
        <v>159</v>
      </c>
      <c r="C39" s="153"/>
      <c r="D39" s="153"/>
      <c r="E39" s="154"/>
      <c r="F39" s="55">
        <v>45</v>
      </c>
      <c r="G39" s="152"/>
      <c r="H39" s="153"/>
      <c r="I39" s="154"/>
    </row>
    <row r="40" spans="1:9" ht="18.75" customHeight="1">
      <c r="A40" s="55">
        <v>21</v>
      </c>
      <c r="B40" s="152" t="s">
        <v>160</v>
      </c>
      <c r="C40" s="153"/>
      <c r="D40" s="153"/>
      <c r="E40" s="154"/>
      <c r="F40" s="55">
        <v>46</v>
      </c>
      <c r="G40" s="152"/>
      <c r="H40" s="153"/>
      <c r="I40" s="154"/>
    </row>
    <row r="41" spans="1:9" ht="18.75" customHeight="1">
      <c r="A41" s="55">
        <v>22</v>
      </c>
      <c r="B41" s="152" t="s">
        <v>161</v>
      </c>
      <c r="C41" s="153"/>
      <c r="D41" s="153"/>
      <c r="E41" s="154"/>
      <c r="F41" s="55">
        <v>47</v>
      </c>
      <c r="G41" s="152"/>
      <c r="H41" s="153"/>
      <c r="I41" s="154"/>
    </row>
    <row r="42" spans="1:9" ht="18.75" customHeight="1">
      <c r="A42" s="55">
        <v>23</v>
      </c>
      <c r="B42" s="152" t="s">
        <v>162</v>
      </c>
      <c r="C42" s="153"/>
      <c r="D42" s="153"/>
      <c r="E42" s="154"/>
      <c r="F42" s="55">
        <v>48</v>
      </c>
      <c r="G42" s="152"/>
      <c r="H42" s="153"/>
      <c r="I42" s="154"/>
    </row>
    <row r="43" spans="1:9" ht="18.75" customHeight="1">
      <c r="A43" s="55">
        <v>24</v>
      </c>
      <c r="B43" s="152"/>
      <c r="C43" s="153"/>
      <c r="D43" s="153"/>
      <c r="E43" s="154"/>
      <c r="F43" s="55">
        <v>49</v>
      </c>
      <c r="G43" s="152"/>
      <c r="H43" s="153"/>
      <c r="I43" s="154"/>
    </row>
    <row r="44" spans="1:9" ht="18.75" customHeight="1">
      <c r="A44" s="55">
        <v>25</v>
      </c>
      <c r="B44" s="152"/>
      <c r="C44" s="153"/>
      <c r="D44" s="153"/>
      <c r="E44" s="154"/>
      <c r="F44" s="55">
        <v>50</v>
      </c>
      <c r="G44" s="152"/>
      <c r="H44" s="153"/>
      <c r="I44" s="15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zoomScaleNormal="100" workbookViewId="0">
      <selection activeCell="B1" sqref="B1"/>
    </sheetView>
  </sheetViews>
  <sheetFormatPr defaultColWidth="9" defaultRowHeight="18.75" customHeight="1"/>
  <cols>
    <col min="1" max="1" width="2.5" style="43" customWidth="1"/>
    <col min="2" max="2" width="12.5" style="43" customWidth="1"/>
    <col min="3" max="3" width="21" style="43" customWidth="1"/>
    <col min="4" max="18" width="6.125" style="43" customWidth="1"/>
    <col min="19" max="16384" width="9" style="43"/>
  </cols>
  <sheetData>
    <row r="1" spans="1:20" ht="18.75" customHeight="1">
      <c r="F1" s="192" t="s">
        <v>70</v>
      </c>
      <c r="G1" s="192"/>
      <c r="H1" s="192"/>
      <c r="I1" s="192"/>
      <c r="J1" s="192"/>
      <c r="K1" s="192"/>
      <c r="L1" s="192"/>
      <c r="M1" s="192"/>
      <c r="N1" s="192"/>
      <c r="O1" s="192"/>
      <c r="P1" s="192"/>
      <c r="Q1" s="192"/>
      <c r="R1" s="192"/>
    </row>
    <row r="2" spans="1:20" ht="18.75" customHeight="1">
      <c r="D2" s="44"/>
      <c r="E2" s="44"/>
      <c r="F2" s="44"/>
      <c r="G2" s="44"/>
      <c r="H2" s="44"/>
      <c r="I2" s="44"/>
      <c r="J2" s="44"/>
      <c r="K2" s="192" t="s">
        <v>62</v>
      </c>
      <c r="L2" s="192"/>
      <c r="M2" s="203" t="s">
        <v>130</v>
      </c>
      <c r="N2" s="203"/>
      <c r="O2" s="203"/>
      <c r="P2" s="203"/>
      <c r="Q2" s="203"/>
      <c r="R2" s="203"/>
    </row>
    <row r="3" spans="1:20" ht="7.5" customHeight="1"/>
    <row r="4" spans="1:20" ht="18.75" customHeight="1">
      <c r="A4" s="202" t="s">
        <v>119</v>
      </c>
      <c r="B4" s="202"/>
      <c r="C4" s="202"/>
      <c r="D4" s="202"/>
      <c r="E4" s="202"/>
      <c r="F4" s="202"/>
      <c r="G4" s="202"/>
      <c r="H4" s="202"/>
      <c r="I4" s="202"/>
      <c r="J4" s="202"/>
      <c r="K4" s="202"/>
      <c r="L4" s="202"/>
      <c r="M4" s="202"/>
      <c r="N4" s="202"/>
      <c r="O4" s="202"/>
      <c r="P4" s="202"/>
      <c r="Q4" s="202"/>
      <c r="R4" s="202"/>
      <c r="S4" s="45"/>
    </row>
    <row r="5" spans="1:20" ht="7.5" customHeight="1">
      <c r="A5" s="46"/>
      <c r="B5" s="46"/>
      <c r="C5" s="46"/>
      <c r="D5" s="46"/>
      <c r="E5" s="46"/>
      <c r="F5" s="46"/>
      <c r="G5" s="46"/>
      <c r="H5" s="46"/>
      <c r="I5" s="46"/>
      <c r="J5" s="46"/>
      <c r="K5" s="46"/>
      <c r="L5" s="46"/>
      <c r="M5" s="46"/>
      <c r="N5" s="46"/>
      <c r="O5" s="46"/>
      <c r="P5" s="46"/>
      <c r="Q5" s="46"/>
      <c r="R5" s="46"/>
    </row>
    <row r="6" spans="1:20" ht="18.75" customHeight="1">
      <c r="B6" s="186" t="s">
        <v>124</v>
      </c>
      <c r="C6" s="187"/>
      <c r="D6" s="193" t="s">
        <v>86</v>
      </c>
      <c r="E6" s="195" t="s">
        <v>113</v>
      </c>
      <c r="F6" s="195"/>
      <c r="G6" s="195" t="s">
        <v>114</v>
      </c>
      <c r="H6" s="195"/>
      <c r="I6" s="196" t="s">
        <v>115</v>
      </c>
      <c r="J6" s="197"/>
      <c r="K6" s="196" t="s">
        <v>116</v>
      </c>
      <c r="L6" s="197"/>
      <c r="M6" s="196" t="s">
        <v>117</v>
      </c>
      <c r="N6" s="197"/>
      <c r="O6" s="196" t="s">
        <v>118</v>
      </c>
      <c r="P6" s="197"/>
      <c r="Q6" s="198" t="s">
        <v>69</v>
      </c>
      <c r="R6" s="200" t="s">
        <v>63</v>
      </c>
      <c r="T6" s="47"/>
    </row>
    <row r="7" spans="1:20" ht="18.75" customHeight="1">
      <c r="B7" s="188"/>
      <c r="C7" s="189"/>
      <c r="D7" s="194"/>
      <c r="E7" s="18" t="s">
        <v>52</v>
      </c>
      <c r="F7" s="19" t="s">
        <v>51</v>
      </c>
      <c r="G7" s="20" t="s">
        <v>52</v>
      </c>
      <c r="H7" s="21" t="s">
        <v>51</v>
      </c>
      <c r="I7" s="18" t="s">
        <v>52</v>
      </c>
      <c r="J7" s="19" t="s">
        <v>51</v>
      </c>
      <c r="K7" s="20" t="s">
        <v>52</v>
      </c>
      <c r="L7" s="21" t="s">
        <v>51</v>
      </c>
      <c r="M7" s="18" t="s">
        <v>52</v>
      </c>
      <c r="N7" s="19" t="s">
        <v>51</v>
      </c>
      <c r="O7" s="20" t="s">
        <v>52</v>
      </c>
      <c r="P7" s="21" t="s">
        <v>51</v>
      </c>
      <c r="Q7" s="199"/>
      <c r="R7" s="201"/>
      <c r="T7" s="47"/>
    </row>
    <row r="8" spans="1:20" ht="18.75" customHeight="1">
      <c r="A8" s="48"/>
      <c r="B8" s="180" t="s">
        <v>174</v>
      </c>
      <c r="C8" s="181"/>
      <c r="D8" s="22">
        <v>910</v>
      </c>
      <c r="E8" s="23">
        <v>53</v>
      </c>
      <c r="F8" s="24">
        <v>0</v>
      </c>
      <c r="G8" s="25">
        <v>32</v>
      </c>
      <c r="H8" s="26">
        <v>0</v>
      </c>
      <c r="I8" s="23"/>
      <c r="J8" s="24"/>
      <c r="K8" s="25"/>
      <c r="L8" s="26"/>
      <c r="M8" s="23"/>
      <c r="N8" s="24"/>
      <c r="O8" s="25"/>
      <c r="P8" s="26"/>
      <c r="Q8" s="27">
        <f>E8+G8+I8+K8+M8+O8</f>
        <v>85</v>
      </c>
      <c r="R8" s="28">
        <f>Q8/D8</f>
        <v>9.3406593406593408E-2</v>
      </c>
    </row>
    <row r="9" spans="1:20" ht="18.75" customHeight="1">
      <c r="A9" s="48"/>
      <c r="B9" s="182" t="s">
        <v>202</v>
      </c>
      <c r="C9" s="183"/>
      <c r="D9" s="102">
        <v>690</v>
      </c>
      <c r="E9" s="30">
        <v>16</v>
      </c>
      <c r="F9" s="31">
        <v>0</v>
      </c>
      <c r="G9" s="32">
        <v>17</v>
      </c>
      <c r="H9" s="33">
        <v>0</v>
      </c>
      <c r="I9" s="30"/>
      <c r="J9" s="31"/>
      <c r="K9" s="32"/>
      <c r="L9" s="33"/>
      <c r="M9" s="30"/>
      <c r="N9" s="31"/>
      <c r="O9" s="32"/>
      <c r="P9" s="33"/>
      <c r="Q9" s="34">
        <f t="shared" ref="Q9:Q27" si="0">E9+G9+I9+K9+M9+O9</f>
        <v>33</v>
      </c>
      <c r="R9" s="28">
        <f t="shared" ref="R9:R27" si="1">Q9/D9</f>
        <v>4.7826086956521741E-2</v>
      </c>
    </row>
    <row r="10" spans="1:20" ht="18.75" customHeight="1">
      <c r="A10" s="48"/>
      <c r="B10" s="182"/>
      <c r="C10" s="183"/>
      <c r="D10" s="102"/>
      <c r="E10" s="30"/>
      <c r="F10" s="31"/>
      <c r="G10" s="32"/>
      <c r="H10" s="31"/>
      <c r="I10" s="30"/>
      <c r="J10" s="31"/>
      <c r="K10" s="32"/>
      <c r="L10" s="33"/>
      <c r="M10" s="30"/>
      <c r="N10" s="31"/>
      <c r="O10" s="32"/>
      <c r="P10" s="33"/>
      <c r="Q10" s="34">
        <f t="shared" si="0"/>
        <v>0</v>
      </c>
      <c r="R10" s="28" t="e">
        <f t="shared" si="1"/>
        <v>#DIV/0!</v>
      </c>
    </row>
    <row r="11" spans="1:20" ht="18.75" customHeight="1">
      <c r="A11" s="48"/>
      <c r="B11" s="178"/>
      <c r="C11" s="179"/>
      <c r="D11" s="29"/>
      <c r="E11" s="30"/>
      <c r="F11" s="31"/>
      <c r="G11" s="32"/>
      <c r="H11" s="33"/>
      <c r="I11" s="30"/>
      <c r="J11" s="31"/>
      <c r="K11" s="32"/>
      <c r="L11" s="33"/>
      <c r="M11" s="30"/>
      <c r="N11" s="31"/>
      <c r="O11" s="32"/>
      <c r="P11" s="33"/>
      <c r="Q11" s="34">
        <f t="shared" si="0"/>
        <v>0</v>
      </c>
      <c r="R11" s="28" t="e">
        <f t="shared" si="1"/>
        <v>#DIV/0!</v>
      </c>
    </row>
    <row r="12" spans="1:20" ht="18.75" customHeight="1">
      <c r="A12" s="48"/>
      <c r="B12" s="178"/>
      <c r="C12" s="179"/>
      <c r="D12" s="29"/>
      <c r="E12" s="30"/>
      <c r="F12" s="31"/>
      <c r="G12" s="32"/>
      <c r="H12" s="33"/>
      <c r="I12" s="30"/>
      <c r="J12" s="31"/>
      <c r="K12" s="32"/>
      <c r="L12" s="33"/>
      <c r="M12" s="30"/>
      <c r="N12" s="31"/>
      <c r="O12" s="32"/>
      <c r="P12" s="33"/>
      <c r="Q12" s="34">
        <f t="shared" si="0"/>
        <v>0</v>
      </c>
      <c r="R12" s="28" t="e">
        <f t="shared" si="1"/>
        <v>#DIV/0!</v>
      </c>
      <c r="T12" s="105"/>
    </row>
    <row r="13" spans="1:20" ht="18.75" customHeight="1">
      <c r="A13" s="48"/>
      <c r="B13" s="178"/>
      <c r="C13" s="179"/>
      <c r="D13" s="29"/>
      <c r="E13" s="30"/>
      <c r="F13" s="31"/>
      <c r="G13" s="32"/>
      <c r="H13" s="33"/>
      <c r="I13" s="30"/>
      <c r="J13" s="31"/>
      <c r="K13" s="32"/>
      <c r="L13" s="33"/>
      <c r="M13" s="30"/>
      <c r="N13" s="31"/>
      <c r="O13" s="32"/>
      <c r="P13" s="33"/>
      <c r="Q13" s="34">
        <f t="shared" si="0"/>
        <v>0</v>
      </c>
      <c r="R13" s="28" t="e">
        <f t="shared" si="1"/>
        <v>#DIV/0!</v>
      </c>
    </row>
    <row r="14" spans="1:20" ht="18.75" customHeight="1">
      <c r="A14" s="48"/>
      <c r="B14" s="178"/>
      <c r="C14" s="179"/>
      <c r="D14" s="29"/>
      <c r="E14" s="30"/>
      <c r="F14" s="31"/>
      <c r="G14" s="32"/>
      <c r="H14" s="33"/>
      <c r="I14" s="30"/>
      <c r="J14" s="31"/>
      <c r="K14" s="32"/>
      <c r="L14" s="33"/>
      <c r="M14" s="30"/>
      <c r="N14" s="31"/>
      <c r="O14" s="32"/>
      <c r="P14" s="33"/>
      <c r="Q14" s="34">
        <f t="shared" si="0"/>
        <v>0</v>
      </c>
      <c r="R14" s="28" t="e">
        <f t="shared" si="1"/>
        <v>#DIV/0!</v>
      </c>
    </row>
    <row r="15" spans="1:20" ht="18.75" customHeight="1">
      <c r="A15" s="48"/>
      <c r="B15" s="178"/>
      <c r="C15" s="179"/>
      <c r="D15" s="29"/>
      <c r="E15" s="30"/>
      <c r="F15" s="31"/>
      <c r="G15" s="32"/>
      <c r="H15" s="33"/>
      <c r="I15" s="30"/>
      <c r="J15" s="31"/>
      <c r="K15" s="32"/>
      <c r="L15" s="33"/>
      <c r="M15" s="30"/>
      <c r="N15" s="31"/>
      <c r="O15" s="32"/>
      <c r="P15" s="33"/>
      <c r="Q15" s="34">
        <f t="shared" si="0"/>
        <v>0</v>
      </c>
      <c r="R15" s="28" t="e">
        <f t="shared" si="1"/>
        <v>#DIV/0!</v>
      </c>
    </row>
    <row r="16" spans="1:20" ht="18.75" customHeight="1">
      <c r="A16" s="48"/>
      <c r="B16" s="178"/>
      <c r="C16" s="179"/>
      <c r="D16" s="29"/>
      <c r="E16" s="30"/>
      <c r="F16" s="31"/>
      <c r="G16" s="32"/>
      <c r="H16" s="33"/>
      <c r="I16" s="30"/>
      <c r="J16" s="31"/>
      <c r="K16" s="32"/>
      <c r="L16" s="33"/>
      <c r="M16" s="30"/>
      <c r="N16" s="31"/>
      <c r="O16" s="32"/>
      <c r="P16" s="33"/>
      <c r="Q16" s="34">
        <f>E16+G16+I16+K16+M16+O16</f>
        <v>0</v>
      </c>
      <c r="R16" s="28" t="e">
        <f t="shared" si="1"/>
        <v>#DIV/0!</v>
      </c>
    </row>
    <row r="17" spans="1:18" ht="18.75" customHeight="1">
      <c r="A17" s="48"/>
      <c r="B17" s="178"/>
      <c r="C17" s="179"/>
      <c r="D17" s="29"/>
      <c r="E17" s="30"/>
      <c r="F17" s="31"/>
      <c r="G17" s="32"/>
      <c r="H17" s="33"/>
      <c r="I17" s="30"/>
      <c r="J17" s="31"/>
      <c r="K17" s="32"/>
      <c r="L17" s="33"/>
      <c r="M17" s="30"/>
      <c r="N17" s="31"/>
      <c r="O17" s="32"/>
      <c r="P17" s="33"/>
      <c r="Q17" s="34">
        <f t="shared" si="0"/>
        <v>0</v>
      </c>
      <c r="R17" s="28" t="e">
        <f t="shared" si="1"/>
        <v>#DIV/0!</v>
      </c>
    </row>
    <row r="18" spans="1:18" ht="18.75" customHeight="1">
      <c r="A18" s="48"/>
      <c r="B18" s="178"/>
      <c r="C18" s="179"/>
      <c r="D18" s="29"/>
      <c r="E18" s="30"/>
      <c r="F18" s="31"/>
      <c r="G18" s="32"/>
      <c r="H18" s="33"/>
      <c r="I18" s="30"/>
      <c r="J18" s="31"/>
      <c r="K18" s="32"/>
      <c r="L18" s="33"/>
      <c r="M18" s="30"/>
      <c r="N18" s="31"/>
      <c r="O18" s="32"/>
      <c r="P18" s="33"/>
      <c r="Q18" s="34">
        <f t="shared" si="0"/>
        <v>0</v>
      </c>
      <c r="R18" s="28" t="e">
        <f t="shared" si="1"/>
        <v>#DIV/0!</v>
      </c>
    </row>
    <row r="19" spans="1:18" ht="18.75" customHeight="1">
      <c r="A19" s="48"/>
      <c r="B19" s="178"/>
      <c r="C19" s="179"/>
      <c r="D19" s="29"/>
      <c r="E19" s="30"/>
      <c r="F19" s="31"/>
      <c r="G19" s="32"/>
      <c r="H19" s="33"/>
      <c r="I19" s="30"/>
      <c r="J19" s="31"/>
      <c r="K19" s="32"/>
      <c r="L19" s="33"/>
      <c r="M19" s="30"/>
      <c r="N19" s="31"/>
      <c r="O19" s="32"/>
      <c r="P19" s="33"/>
      <c r="Q19" s="34">
        <f t="shared" si="0"/>
        <v>0</v>
      </c>
      <c r="R19" s="28" t="e">
        <f t="shared" si="1"/>
        <v>#DIV/0!</v>
      </c>
    </row>
    <row r="20" spans="1:18" ht="18.75" customHeight="1">
      <c r="A20" s="48"/>
      <c r="B20" s="178"/>
      <c r="C20" s="179"/>
      <c r="D20" s="29"/>
      <c r="E20" s="30"/>
      <c r="F20" s="31"/>
      <c r="G20" s="32"/>
      <c r="H20" s="33"/>
      <c r="I20" s="30"/>
      <c r="J20" s="31"/>
      <c r="K20" s="32"/>
      <c r="L20" s="33"/>
      <c r="M20" s="30"/>
      <c r="N20" s="31"/>
      <c r="O20" s="32"/>
      <c r="P20" s="33"/>
      <c r="Q20" s="34">
        <f t="shared" si="0"/>
        <v>0</v>
      </c>
      <c r="R20" s="28" t="e">
        <f t="shared" si="1"/>
        <v>#DIV/0!</v>
      </c>
    </row>
    <row r="21" spans="1:18" ht="18.75" customHeight="1">
      <c r="A21" s="48"/>
      <c r="B21" s="178"/>
      <c r="C21" s="179"/>
      <c r="D21" s="29"/>
      <c r="E21" s="30"/>
      <c r="F21" s="31"/>
      <c r="G21" s="32"/>
      <c r="H21" s="33"/>
      <c r="I21" s="30"/>
      <c r="J21" s="31"/>
      <c r="K21" s="32"/>
      <c r="L21" s="33"/>
      <c r="M21" s="30"/>
      <c r="N21" s="31"/>
      <c r="O21" s="32"/>
      <c r="P21" s="33"/>
      <c r="Q21" s="34">
        <f t="shared" si="0"/>
        <v>0</v>
      </c>
      <c r="R21" s="28" t="e">
        <f t="shared" si="1"/>
        <v>#DIV/0!</v>
      </c>
    </row>
    <row r="22" spans="1:18" ht="18.75" customHeight="1">
      <c r="A22" s="48"/>
      <c r="B22" s="178"/>
      <c r="C22" s="179"/>
      <c r="D22" s="29"/>
      <c r="E22" s="30"/>
      <c r="F22" s="31"/>
      <c r="G22" s="32"/>
      <c r="H22" s="33"/>
      <c r="I22" s="30"/>
      <c r="J22" s="31"/>
      <c r="K22" s="32"/>
      <c r="L22" s="33"/>
      <c r="M22" s="30"/>
      <c r="N22" s="31"/>
      <c r="O22" s="32"/>
      <c r="P22" s="33"/>
      <c r="Q22" s="34">
        <f t="shared" si="0"/>
        <v>0</v>
      </c>
      <c r="R22" s="28" t="e">
        <f t="shared" si="1"/>
        <v>#DIV/0!</v>
      </c>
    </row>
    <row r="23" spans="1:18" ht="18.75" customHeight="1">
      <c r="A23" s="48"/>
      <c r="B23" s="178"/>
      <c r="C23" s="179"/>
      <c r="D23" s="29"/>
      <c r="E23" s="30"/>
      <c r="F23" s="31"/>
      <c r="G23" s="32"/>
      <c r="H23" s="33"/>
      <c r="I23" s="30"/>
      <c r="J23" s="31"/>
      <c r="K23" s="32"/>
      <c r="L23" s="33"/>
      <c r="M23" s="30"/>
      <c r="N23" s="31"/>
      <c r="O23" s="32"/>
      <c r="P23" s="33"/>
      <c r="Q23" s="34">
        <f t="shared" si="0"/>
        <v>0</v>
      </c>
      <c r="R23" s="28" t="e">
        <f t="shared" si="1"/>
        <v>#DIV/0!</v>
      </c>
    </row>
    <row r="24" spans="1:18" ht="18.75" customHeight="1">
      <c r="A24" s="48"/>
      <c r="B24" s="178"/>
      <c r="C24" s="179"/>
      <c r="D24" s="29"/>
      <c r="E24" s="30"/>
      <c r="F24" s="31"/>
      <c r="G24" s="32"/>
      <c r="H24" s="33"/>
      <c r="I24" s="30"/>
      <c r="J24" s="31"/>
      <c r="K24" s="32"/>
      <c r="L24" s="33"/>
      <c r="M24" s="30"/>
      <c r="N24" s="31"/>
      <c r="O24" s="32"/>
      <c r="P24" s="33"/>
      <c r="Q24" s="34">
        <f t="shared" si="0"/>
        <v>0</v>
      </c>
      <c r="R24" s="28" t="e">
        <f t="shared" si="1"/>
        <v>#DIV/0!</v>
      </c>
    </row>
    <row r="25" spans="1:18" ht="18.75" customHeight="1">
      <c r="A25" s="48"/>
      <c r="B25" s="178"/>
      <c r="C25" s="179"/>
      <c r="D25" s="29"/>
      <c r="E25" s="30"/>
      <c r="F25" s="31"/>
      <c r="G25" s="32"/>
      <c r="H25" s="33"/>
      <c r="I25" s="30"/>
      <c r="J25" s="31"/>
      <c r="K25" s="32"/>
      <c r="L25" s="33"/>
      <c r="M25" s="30"/>
      <c r="N25" s="31"/>
      <c r="O25" s="32"/>
      <c r="P25" s="33"/>
      <c r="Q25" s="34">
        <f t="shared" si="0"/>
        <v>0</v>
      </c>
      <c r="R25" s="28" t="e">
        <f t="shared" si="1"/>
        <v>#DIV/0!</v>
      </c>
    </row>
    <row r="26" spans="1:18" ht="18.75" customHeight="1">
      <c r="A26" s="48"/>
      <c r="B26" s="178"/>
      <c r="C26" s="179"/>
      <c r="D26" s="29"/>
      <c r="E26" s="30"/>
      <c r="F26" s="31"/>
      <c r="G26" s="32"/>
      <c r="H26" s="33"/>
      <c r="I26" s="30"/>
      <c r="J26" s="31"/>
      <c r="K26" s="32"/>
      <c r="L26" s="33"/>
      <c r="M26" s="30"/>
      <c r="N26" s="31"/>
      <c r="O26" s="32"/>
      <c r="P26" s="33"/>
      <c r="Q26" s="34">
        <f t="shared" si="0"/>
        <v>0</v>
      </c>
      <c r="R26" s="28" t="e">
        <f t="shared" si="1"/>
        <v>#DIV/0!</v>
      </c>
    </row>
    <row r="27" spans="1:18" ht="18.75" customHeight="1" thickBot="1">
      <c r="A27" s="48"/>
      <c r="B27" s="190"/>
      <c r="C27" s="191"/>
      <c r="D27" s="22"/>
      <c r="E27" s="23"/>
      <c r="F27" s="24"/>
      <c r="G27" s="25"/>
      <c r="H27" s="26"/>
      <c r="I27" s="23"/>
      <c r="J27" s="24"/>
      <c r="K27" s="25"/>
      <c r="L27" s="26"/>
      <c r="M27" s="23"/>
      <c r="N27" s="24"/>
      <c r="O27" s="25"/>
      <c r="P27" s="26"/>
      <c r="Q27" s="35">
        <f t="shared" si="0"/>
        <v>0</v>
      </c>
      <c r="R27" s="28" t="e">
        <f t="shared" si="1"/>
        <v>#DIV/0!</v>
      </c>
    </row>
    <row r="28" spans="1:18" ht="18.75" customHeight="1" thickTop="1">
      <c r="A28" s="48"/>
      <c r="B28" s="184" t="s">
        <v>64</v>
      </c>
      <c r="C28" s="185"/>
      <c r="D28" s="36">
        <f t="shared" ref="D28:Q28" si="2">SUM(D8:D27)</f>
        <v>1600</v>
      </c>
      <c r="E28" s="37">
        <f t="shared" si="2"/>
        <v>69</v>
      </c>
      <c r="F28" s="38">
        <f t="shared" si="2"/>
        <v>0</v>
      </c>
      <c r="G28" s="39">
        <f t="shared" si="2"/>
        <v>49</v>
      </c>
      <c r="H28" s="40">
        <f t="shared" si="2"/>
        <v>0</v>
      </c>
      <c r="I28" s="37">
        <f t="shared" si="2"/>
        <v>0</v>
      </c>
      <c r="J28" s="38">
        <f t="shared" si="2"/>
        <v>0</v>
      </c>
      <c r="K28" s="39">
        <f t="shared" si="2"/>
        <v>0</v>
      </c>
      <c r="L28" s="40">
        <f t="shared" si="2"/>
        <v>0</v>
      </c>
      <c r="M28" s="37">
        <f t="shared" si="2"/>
        <v>0</v>
      </c>
      <c r="N28" s="38">
        <f t="shared" si="2"/>
        <v>0</v>
      </c>
      <c r="O28" s="39">
        <f t="shared" si="2"/>
        <v>0</v>
      </c>
      <c r="P28" s="40">
        <f t="shared" si="2"/>
        <v>0</v>
      </c>
      <c r="Q28" s="41">
        <f t="shared" si="2"/>
        <v>118</v>
      </c>
      <c r="R28" s="42">
        <f>Q28/D28</f>
        <v>7.3749999999999996E-2</v>
      </c>
    </row>
    <row r="29" spans="1:18" ht="6.75" customHeight="1">
      <c r="A29" s="48"/>
      <c r="B29" s="48"/>
      <c r="C29" s="48"/>
      <c r="D29" s="49"/>
      <c r="E29" s="49"/>
      <c r="F29" s="49"/>
      <c r="G29" s="49"/>
      <c r="H29" s="49"/>
      <c r="I29" s="49"/>
      <c r="J29" s="49"/>
      <c r="K29" s="49"/>
      <c r="L29" s="49"/>
      <c r="M29" s="49"/>
      <c r="N29" s="49"/>
      <c r="O29" s="49"/>
      <c r="P29" s="49"/>
      <c r="Q29" s="49"/>
      <c r="R29" s="49"/>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0"/>
  <sheetViews>
    <sheetView topLeftCell="A97" zoomScaleNormal="100" workbookViewId="0">
      <selection activeCell="C102" sqref="C102:G106"/>
    </sheetView>
  </sheetViews>
  <sheetFormatPr defaultColWidth="9" defaultRowHeight="14.25"/>
  <cols>
    <col min="1" max="1" width="2.5" style="96" customWidth="1"/>
    <col min="2" max="2" width="19" style="96" customWidth="1"/>
    <col min="3" max="3" width="25" style="96" customWidth="1"/>
    <col min="4" max="4" width="10" style="96" customWidth="1"/>
    <col min="5" max="7" width="25" style="96" customWidth="1"/>
    <col min="8" max="8" width="9" style="112"/>
    <col min="9" max="16384" width="9" style="96"/>
  </cols>
  <sheetData>
    <row r="1" spans="1:9" ht="18.75" customHeight="1">
      <c r="G1" s="97" t="s">
        <v>179</v>
      </c>
    </row>
    <row r="2" spans="1:9" ht="18.75" customHeight="1">
      <c r="F2" s="97" t="s">
        <v>32</v>
      </c>
      <c r="G2" s="96" t="s">
        <v>176</v>
      </c>
    </row>
    <row r="3" spans="1:9" ht="18.75" customHeight="1">
      <c r="A3" s="202" t="s">
        <v>92</v>
      </c>
      <c r="B3" s="202"/>
      <c r="C3" s="202"/>
      <c r="D3" s="202"/>
      <c r="E3" s="202"/>
      <c r="F3" s="202"/>
      <c r="G3" s="202"/>
      <c r="I3" s="112"/>
    </row>
    <row r="4" spans="1:9" ht="18.75" customHeight="1">
      <c r="A4" s="96" t="s">
        <v>7</v>
      </c>
      <c r="B4" s="96" t="s">
        <v>91</v>
      </c>
    </row>
    <row r="5" spans="1:9" s="112" customFormat="1" ht="18.75" customHeight="1">
      <c r="B5" s="111" t="s">
        <v>71</v>
      </c>
      <c r="C5" s="143" t="s">
        <v>102</v>
      </c>
      <c r="D5" s="144"/>
      <c r="E5" s="144"/>
      <c r="F5" s="144"/>
      <c r="G5" s="145"/>
      <c r="H5" s="117"/>
    </row>
    <row r="6" spans="1:9" s="112" customFormat="1" ht="45" customHeight="1">
      <c r="B6" s="204" t="s">
        <v>105</v>
      </c>
      <c r="C6" s="206" t="s">
        <v>246</v>
      </c>
      <c r="D6" s="207"/>
      <c r="E6" s="207"/>
      <c r="F6" s="207"/>
      <c r="G6" s="208"/>
    </row>
    <row r="7" spans="1:9" s="112" customFormat="1" ht="45" customHeight="1">
      <c r="B7" s="205"/>
      <c r="C7" s="209"/>
      <c r="D7" s="210"/>
      <c r="E7" s="210"/>
      <c r="F7" s="210"/>
      <c r="G7" s="211"/>
    </row>
    <row r="8" spans="1:9" s="112" customFormat="1" ht="45" customHeight="1">
      <c r="B8" s="205"/>
      <c r="C8" s="209"/>
      <c r="D8" s="210"/>
      <c r="E8" s="210"/>
      <c r="F8" s="210"/>
      <c r="G8" s="211"/>
    </row>
    <row r="9" spans="1:9" s="112" customFormat="1" ht="45" customHeight="1">
      <c r="B9" s="205"/>
      <c r="C9" s="212"/>
      <c r="D9" s="213"/>
      <c r="E9" s="213"/>
      <c r="F9" s="213"/>
      <c r="G9" s="214"/>
    </row>
    <row r="10" spans="1:9" s="112" customFormat="1" ht="18.75" customHeight="1">
      <c r="B10" s="205"/>
      <c r="C10" s="113" t="s">
        <v>103</v>
      </c>
      <c r="D10" s="215" t="s">
        <v>104</v>
      </c>
      <c r="E10" s="216"/>
      <c r="F10" s="216"/>
      <c r="G10" s="217"/>
    </row>
    <row r="11" spans="1:9" s="112" customFormat="1" ht="18.75" customHeight="1">
      <c r="B11" s="205"/>
      <c r="C11" s="109" t="s">
        <v>148</v>
      </c>
      <c r="D11" s="215" t="s">
        <v>193</v>
      </c>
      <c r="E11" s="216"/>
      <c r="F11" s="216"/>
      <c r="G11" s="217"/>
    </row>
    <row r="12" spans="1:9" s="112" customFormat="1" ht="18.75" customHeight="1">
      <c r="B12" s="205"/>
      <c r="C12" s="109" t="s">
        <v>149</v>
      </c>
      <c r="D12" s="215" t="s">
        <v>184</v>
      </c>
      <c r="E12" s="216"/>
      <c r="F12" s="216"/>
      <c r="G12" s="217"/>
      <c r="H12" s="118"/>
    </row>
    <row r="13" spans="1:9" s="112" customFormat="1" ht="18.75" customHeight="1">
      <c r="B13" s="205"/>
      <c r="C13" s="114" t="s">
        <v>150</v>
      </c>
      <c r="D13" s="215" t="s">
        <v>185</v>
      </c>
      <c r="E13" s="216"/>
      <c r="F13" s="216"/>
      <c r="G13" s="217"/>
    </row>
    <row r="14" spans="1:9" s="112" customFormat="1" ht="18.75" customHeight="1">
      <c r="B14" s="205"/>
      <c r="C14" s="111"/>
      <c r="D14" s="143"/>
      <c r="E14" s="144"/>
      <c r="F14" s="144"/>
      <c r="G14" s="145"/>
    </row>
    <row r="15" spans="1:9" s="112" customFormat="1" ht="18.75" customHeight="1">
      <c r="B15" s="205"/>
      <c r="C15" s="111"/>
      <c r="D15" s="143"/>
      <c r="E15" s="144"/>
      <c r="F15" s="144"/>
      <c r="G15" s="145"/>
    </row>
    <row r="16" spans="1:9" s="112" customFormat="1" ht="18.75" customHeight="1">
      <c r="B16" s="205"/>
      <c r="C16" s="111"/>
      <c r="D16" s="143"/>
      <c r="E16" s="144"/>
      <c r="F16" s="144"/>
      <c r="G16" s="145"/>
    </row>
    <row r="17" spans="2:7" s="112" customFormat="1" ht="18.75" customHeight="1">
      <c r="B17" s="205"/>
      <c r="C17" s="111"/>
      <c r="D17" s="143"/>
      <c r="E17" s="144"/>
      <c r="F17" s="144"/>
      <c r="G17" s="145"/>
    </row>
    <row r="18" spans="2:7" s="112" customFormat="1" ht="18.75" customHeight="1">
      <c r="B18" s="205"/>
      <c r="C18" s="111"/>
      <c r="D18" s="143"/>
      <c r="E18" s="144"/>
      <c r="F18" s="144"/>
      <c r="G18" s="145"/>
    </row>
    <row r="19" spans="2:7" s="112" customFormat="1" ht="18.75" customHeight="1">
      <c r="B19" s="205"/>
      <c r="C19" s="111"/>
      <c r="D19" s="143"/>
      <c r="E19" s="144"/>
      <c r="F19" s="144"/>
      <c r="G19" s="145"/>
    </row>
    <row r="20" spans="2:7" s="112" customFormat="1" ht="18.75" customHeight="1">
      <c r="B20" s="205"/>
      <c r="C20" s="111"/>
      <c r="D20" s="143"/>
      <c r="E20" s="144"/>
      <c r="F20" s="144"/>
      <c r="G20" s="145"/>
    </row>
    <row r="21" spans="2:7" s="112" customFormat="1" ht="18.75" customHeight="1">
      <c r="B21" s="205"/>
      <c r="C21" s="111"/>
      <c r="D21" s="143"/>
      <c r="E21" s="144"/>
      <c r="F21" s="144"/>
      <c r="G21" s="145"/>
    </row>
    <row r="22" spans="2:7" s="112" customFormat="1" ht="18.75" customHeight="1">
      <c r="B22" s="205"/>
      <c r="C22" s="111"/>
      <c r="D22" s="143"/>
      <c r="E22" s="144"/>
      <c r="F22" s="144"/>
      <c r="G22" s="145"/>
    </row>
    <row r="23" spans="2:7" s="112" customFormat="1" ht="18.75" customHeight="1">
      <c r="B23" s="205"/>
      <c r="C23" s="111"/>
      <c r="D23" s="143"/>
      <c r="E23" s="144"/>
      <c r="F23" s="144"/>
      <c r="G23" s="145"/>
    </row>
    <row r="24" spans="2:7" s="112" customFormat="1" ht="18.75" customHeight="1">
      <c r="B24" s="205"/>
      <c r="C24" s="111"/>
      <c r="D24" s="143"/>
      <c r="E24" s="144"/>
      <c r="F24" s="144"/>
      <c r="G24" s="145"/>
    </row>
    <row r="25" spans="2:7" s="112" customFormat="1" ht="18.75" customHeight="1">
      <c r="B25" s="205"/>
      <c r="C25" s="111"/>
      <c r="D25" s="143"/>
      <c r="E25" s="144"/>
      <c r="F25" s="144"/>
      <c r="G25" s="145"/>
    </row>
    <row r="26" spans="2:7" ht="18.75" customHeight="1">
      <c r="B26" s="204" t="s">
        <v>106</v>
      </c>
      <c r="C26" s="143" t="s">
        <v>102</v>
      </c>
      <c r="D26" s="144"/>
      <c r="E26" s="144"/>
      <c r="F26" s="144"/>
      <c r="G26" s="145"/>
    </row>
    <row r="27" spans="2:7" ht="37.5" customHeight="1">
      <c r="B27" s="205"/>
      <c r="C27" s="219" t="s">
        <v>211</v>
      </c>
      <c r="D27" s="220"/>
      <c r="E27" s="220"/>
      <c r="F27" s="220"/>
      <c r="G27" s="221"/>
    </row>
    <row r="28" spans="2:7" ht="37.5" customHeight="1">
      <c r="B28" s="205"/>
      <c r="C28" s="222"/>
      <c r="D28" s="223"/>
      <c r="E28" s="223"/>
      <c r="F28" s="223"/>
      <c r="G28" s="224"/>
    </row>
    <row r="29" spans="2:7" ht="37.5" customHeight="1">
      <c r="B29" s="205"/>
      <c r="C29" s="222"/>
      <c r="D29" s="223"/>
      <c r="E29" s="223"/>
      <c r="F29" s="223"/>
      <c r="G29" s="224"/>
    </row>
    <row r="30" spans="2:7" ht="37.5" customHeight="1">
      <c r="B30" s="205"/>
      <c r="C30" s="222"/>
      <c r="D30" s="223"/>
      <c r="E30" s="223"/>
      <c r="F30" s="223"/>
      <c r="G30" s="224"/>
    </row>
    <row r="31" spans="2:7" ht="37.5" customHeight="1">
      <c r="B31" s="205"/>
      <c r="C31" s="225"/>
      <c r="D31" s="226"/>
      <c r="E31" s="226"/>
      <c r="F31" s="226"/>
      <c r="G31" s="227"/>
    </row>
    <row r="32" spans="2:7" ht="18.75" customHeight="1">
      <c r="B32" s="205"/>
      <c r="C32" s="113"/>
      <c r="D32" s="143" t="s">
        <v>104</v>
      </c>
      <c r="E32" s="144"/>
      <c r="F32" s="144"/>
      <c r="G32" s="145"/>
    </row>
    <row r="33" spans="2:8" ht="18.75" customHeight="1">
      <c r="B33" s="205"/>
      <c r="C33" s="109" t="s">
        <v>148</v>
      </c>
      <c r="D33" s="215" t="s">
        <v>194</v>
      </c>
      <c r="E33" s="216"/>
      <c r="F33" s="216"/>
      <c r="G33" s="217"/>
    </row>
    <row r="34" spans="2:8" ht="18.75" customHeight="1">
      <c r="B34" s="205"/>
      <c r="C34" s="114" t="s">
        <v>150</v>
      </c>
      <c r="D34" s="215" t="s">
        <v>182</v>
      </c>
      <c r="E34" s="216"/>
      <c r="F34" s="216"/>
      <c r="G34" s="217"/>
      <c r="H34" s="118"/>
    </row>
    <row r="35" spans="2:8" ht="18.75" customHeight="1">
      <c r="B35" s="205"/>
      <c r="C35" s="111"/>
      <c r="D35" s="215"/>
      <c r="E35" s="216"/>
      <c r="F35" s="216"/>
      <c r="G35" s="217"/>
    </row>
    <row r="36" spans="2:8" ht="18.75" customHeight="1">
      <c r="B36" s="205"/>
      <c r="C36" s="111"/>
      <c r="D36" s="215"/>
      <c r="E36" s="216"/>
      <c r="F36" s="216"/>
      <c r="G36" s="217"/>
    </row>
    <row r="37" spans="2:8" ht="18.75" customHeight="1">
      <c r="B37" s="205"/>
      <c r="C37" s="111"/>
      <c r="D37" s="215"/>
      <c r="E37" s="216"/>
      <c r="F37" s="216"/>
      <c r="G37" s="217"/>
    </row>
    <row r="38" spans="2:8" ht="18.75" customHeight="1">
      <c r="B38" s="205"/>
      <c r="C38" s="111"/>
      <c r="D38" s="215"/>
      <c r="E38" s="216"/>
      <c r="F38" s="216"/>
      <c r="G38" s="217"/>
    </row>
    <row r="39" spans="2:8" ht="18.75" customHeight="1">
      <c r="B39" s="205"/>
      <c r="C39" s="111"/>
      <c r="D39" s="215"/>
      <c r="E39" s="216"/>
      <c r="F39" s="216"/>
      <c r="G39" s="217"/>
    </row>
    <row r="40" spans="2:8" ht="18.75" customHeight="1">
      <c r="B40" s="205"/>
      <c r="C40" s="111"/>
      <c r="D40" s="215"/>
      <c r="E40" s="216"/>
      <c r="F40" s="216"/>
      <c r="G40" s="217"/>
    </row>
    <row r="41" spans="2:8" ht="18.75" customHeight="1">
      <c r="B41" s="205"/>
      <c r="C41" s="111"/>
      <c r="D41" s="215"/>
      <c r="E41" s="216"/>
      <c r="F41" s="216"/>
      <c r="G41" s="217"/>
    </row>
    <row r="42" spans="2:8" ht="18.75" customHeight="1">
      <c r="B42" s="205"/>
      <c r="C42" s="111"/>
      <c r="D42" s="215"/>
      <c r="E42" s="216"/>
      <c r="F42" s="216"/>
      <c r="G42" s="217"/>
    </row>
    <row r="43" spans="2:8" ht="18.75" customHeight="1">
      <c r="B43" s="205"/>
      <c r="C43" s="111"/>
      <c r="D43" s="215"/>
      <c r="E43" s="216"/>
      <c r="F43" s="216"/>
      <c r="G43" s="217"/>
    </row>
    <row r="44" spans="2:8" ht="18.75" customHeight="1">
      <c r="B44" s="205"/>
      <c r="C44" s="111"/>
      <c r="D44" s="215"/>
      <c r="E44" s="216"/>
      <c r="F44" s="216"/>
      <c r="G44" s="217"/>
    </row>
    <row r="45" spans="2:8" ht="18.75" customHeight="1">
      <c r="B45" s="205"/>
      <c r="C45" s="111"/>
      <c r="D45" s="215"/>
      <c r="E45" s="216"/>
      <c r="F45" s="216"/>
      <c r="G45" s="217"/>
    </row>
    <row r="46" spans="2:8" ht="18.75" customHeight="1">
      <c r="B46" s="205"/>
      <c r="C46" s="111"/>
      <c r="D46" s="215"/>
      <c r="E46" s="216"/>
      <c r="F46" s="216"/>
      <c r="G46" s="217"/>
    </row>
    <row r="47" spans="2:8" ht="18.75" customHeight="1">
      <c r="B47" s="205"/>
      <c r="C47" s="111"/>
      <c r="D47" s="215"/>
      <c r="E47" s="216"/>
      <c r="F47" s="216"/>
      <c r="G47" s="217"/>
    </row>
    <row r="48" spans="2:8" ht="18.75" customHeight="1">
      <c r="B48" s="205"/>
      <c r="C48" s="111"/>
      <c r="D48" s="215"/>
      <c r="E48" s="216"/>
      <c r="F48" s="216"/>
      <c r="G48" s="217"/>
    </row>
    <row r="49" spans="2:8" ht="18.75" customHeight="1">
      <c r="B49" s="205"/>
      <c r="C49" s="111"/>
      <c r="D49" s="215"/>
      <c r="E49" s="216"/>
      <c r="F49" s="216"/>
      <c r="G49" s="217"/>
    </row>
    <row r="50" spans="2:8" ht="18.75" customHeight="1">
      <c r="B50" s="218"/>
      <c r="C50" s="111"/>
      <c r="D50" s="215"/>
      <c r="E50" s="216"/>
      <c r="F50" s="216"/>
      <c r="G50" s="217"/>
    </row>
    <row r="51" spans="2:8" ht="18.75" customHeight="1">
      <c r="B51" s="204" t="s">
        <v>108</v>
      </c>
      <c r="C51" s="143" t="s">
        <v>102</v>
      </c>
      <c r="D51" s="144"/>
      <c r="E51" s="144"/>
      <c r="F51" s="144"/>
      <c r="G51" s="145"/>
    </row>
    <row r="52" spans="2:8" ht="37.5" customHeight="1">
      <c r="B52" s="205"/>
      <c r="C52" s="219" t="s">
        <v>231</v>
      </c>
      <c r="D52" s="228"/>
      <c r="E52" s="228"/>
      <c r="F52" s="228"/>
      <c r="G52" s="229"/>
    </row>
    <row r="53" spans="2:8" ht="37.5" customHeight="1">
      <c r="B53" s="205"/>
      <c r="C53" s="230"/>
      <c r="D53" s="231"/>
      <c r="E53" s="231"/>
      <c r="F53" s="231"/>
      <c r="G53" s="232"/>
    </row>
    <row r="54" spans="2:8" ht="37.5" customHeight="1">
      <c r="B54" s="205"/>
      <c r="C54" s="230"/>
      <c r="D54" s="231"/>
      <c r="E54" s="231"/>
      <c r="F54" s="231"/>
      <c r="G54" s="232"/>
    </row>
    <row r="55" spans="2:8" ht="37.5" customHeight="1">
      <c r="B55" s="205"/>
      <c r="C55" s="230"/>
      <c r="D55" s="231"/>
      <c r="E55" s="231"/>
      <c r="F55" s="231"/>
      <c r="G55" s="232"/>
    </row>
    <row r="56" spans="2:8" ht="37.5" customHeight="1">
      <c r="B56" s="205"/>
      <c r="C56" s="233"/>
      <c r="D56" s="234"/>
      <c r="E56" s="234"/>
      <c r="F56" s="234"/>
      <c r="G56" s="235"/>
    </row>
    <row r="57" spans="2:8" ht="18.75" customHeight="1">
      <c r="B57" s="205"/>
      <c r="C57" s="113"/>
      <c r="D57" s="143" t="s">
        <v>104</v>
      </c>
      <c r="E57" s="144"/>
      <c r="F57" s="144"/>
      <c r="G57" s="145"/>
    </row>
    <row r="58" spans="2:8" ht="23.25" customHeight="1">
      <c r="B58" s="205"/>
      <c r="C58" s="109" t="s">
        <v>148</v>
      </c>
      <c r="D58" s="215" t="s">
        <v>205</v>
      </c>
      <c r="E58" s="216"/>
      <c r="F58" s="216"/>
      <c r="G58" s="217"/>
    </row>
    <row r="59" spans="2:8" ht="18.75" customHeight="1">
      <c r="B59" s="205"/>
      <c r="C59" s="114" t="s">
        <v>150</v>
      </c>
      <c r="D59" s="215" t="s">
        <v>204</v>
      </c>
      <c r="E59" s="216"/>
      <c r="F59" s="216"/>
      <c r="G59" s="217"/>
      <c r="H59" s="118"/>
    </row>
    <row r="60" spans="2:8" ht="18.75" customHeight="1">
      <c r="B60" s="205"/>
      <c r="C60" s="111"/>
      <c r="D60" s="215"/>
      <c r="E60" s="216"/>
      <c r="F60" s="216"/>
      <c r="G60" s="217"/>
    </row>
    <row r="61" spans="2:8" ht="18.75" customHeight="1">
      <c r="B61" s="205"/>
      <c r="C61" s="111"/>
      <c r="D61" s="215"/>
      <c r="E61" s="216"/>
      <c r="F61" s="216"/>
      <c r="G61" s="217"/>
    </row>
    <row r="62" spans="2:8" ht="18.75" customHeight="1">
      <c r="B62" s="205"/>
      <c r="C62" s="111"/>
      <c r="D62" s="215"/>
      <c r="E62" s="216"/>
      <c r="F62" s="216"/>
      <c r="G62" s="217"/>
    </row>
    <row r="63" spans="2:8" ht="18.75" customHeight="1">
      <c r="B63" s="205"/>
      <c r="C63" s="111"/>
      <c r="D63" s="215"/>
      <c r="E63" s="216"/>
      <c r="F63" s="216"/>
      <c r="G63" s="217"/>
    </row>
    <row r="64" spans="2:8" ht="18.75" customHeight="1">
      <c r="B64" s="205"/>
      <c r="C64" s="111"/>
      <c r="D64" s="215"/>
      <c r="E64" s="216"/>
      <c r="F64" s="216"/>
      <c r="G64" s="217"/>
    </row>
    <row r="65" spans="2:9" ht="18.75" customHeight="1">
      <c r="B65" s="205"/>
      <c r="C65" s="111"/>
      <c r="D65" s="215"/>
      <c r="E65" s="216"/>
      <c r="F65" s="216"/>
      <c r="G65" s="217"/>
    </row>
    <row r="66" spans="2:9" ht="18.75" customHeight="1">
      <c r="B66" s="205"/>
      <c r="C66" s="111"/>
      <c r="D66" s="215"/>
      <c r="E66" s="216"/>
      <c r="F66" s="216"/>
      <c r="G66" s="217"/>
    </row>
    <row r="67" spans="2:9" ht="18.75" customHeight="1">
      <c r="B67" s="205"/>
      <c r="C67" s="111"/>
      <c r="D67" s="215"/>
      <c r="E67" s="216"/>
      <c r="F67" s="216"/>
      <c r="G67" s="217"/>
    </row>
    <row r="68" spans="2:9" ht="18.75" customHeight="1">
      <c r="B68" s="205"/>
      <c r="C68" s="111"/>
      <c r="D68" s="215"/>
      <c r="E68" s="216"/>
      <c r="F68" s="216"/>
      <c r="G68" s="217"/>
    </row>
    <row r="69" spans="2:9" ht="18.75" customHeight="1">
      <c r="B69" s="205"/>
      <c r="C69" s="111"/>
      <c r="D69" s="215"/>
      <c r="E69" s="216"/>
      <c r="F69" s="216"/>
      <c r="G69" s="217"/>
    </row>
    <row r="70" spans="2:9" ht="18.75" customHeight="1">
      <c r="B70" s="205"/>
      <c r="C70" s="111"/>
      <c r="D70" s="215"/>
      <c r="E70" s="216"/>
      <c r="F70" s="216"/>
      <c r="G70" s="217"/>
    </row>
    <row r="71" spans="2:9" ht="18.75" customHeight="1">
      <c r="B71" s="205"/>
      <c r="C71" s="111"/>
      <c r="D71" s="215"/>
      <c r="E71" s="216"/>
      <c r="F71" s="216"/>
      <c r="G71" s="217"/>
    </row>
    <row r="72" spans="2:9" ht="18.75" customHeight="1">
      <c r="B72" s="205"/>
      <c r="C72" s="111"/>
      <c r="D72" s="215"/>
      <c r="E72" s="216"/>
      <c r="F72" s="216"/>
      <c r="G72" s="217"/>
    </row>
    <row r="73" spans="2:9" ht="18.75" customHeight="1">
      <c r="B73" s="205"/>
      <c r="C73" s="111"/>
      <c r="D73" s="215"/>
      <c r="E73" s="216"/>
      <c r="F73" s="216"/>
      <c r="G73" s="217"/>
    </row>
    <row r="74" spans="2:9" ht="18.75" customHeight="1">
      <c r="B74" s="205"/>
      <c r="C74" s="111"/>
      <c r="D74" s="215"/>
      <c r="E74" s="216"/>
      <c r="F74" s="216"/>
      <c r="G74" s="217"/>
    </row>
    <row r="75" spans="2:9" ht="18.75" customHeight="1">
      <c r="B75" s="218"/>
      <c r="C75" s="111"/>
      <c r="D75" s="215"/>
      <c r="E75" s="216"/>
      <c r="F75" s="216"/>
      <c r="G75" s="217"/>
    </row>
    <row r="76" spans="2:9" ht="18.75" customHeight="1">
      <c r="B76" s="204" t="s">
        <v>107</v>
      </c>
      <c r="C76" s="143" t="s">
        <v>102</v>
      </c>
      <c r="D76" s="144"/>
      <c r="E76" s="144"/>
      <c r="F76" s="144"/>
      <c r="G76" s="145"/>
    </row>
    <row r="77" spans="2:9" ht="37.5" customHeight="1">
      <c r="B77" s="205"/>
      <c r="C77" s="219" t="s">
        <v>247</v>
      </c>
      <c r="D77" s="228"/>
      <c r="E77" s="228"/>
      <c r="F77" s="228"/>
      <c r="G77" s="229"/>
      <c r="I77" s="119"/>
    </row>
    <row r="78" spans="2:9" ht="37.5" customHeight="1">
      <c r="B78" s="205"/>
      <c r="C78" s="230"/>
      <c r="D78" s="231"/>
      <c r="E78" s="231"/>
      <c r="F78" s="231"/>
      <c r="G78" s="232"/>
      <c r="I78" s="119"/>
    </row>
    <row r="79" spans="2:9" ht="37.5" customHeight="1">
      <c r="B79" s="205"/>
      <c r="C79" s="230"/>
      <c r="D79" s="231"/>
      <c r="E79" s="231"/>
      <c r="F79" s="231"/>
      <c r="G79" s="232"/>
      <c r="I79" s="119"/>
    </row>
    <row r="80" spans="2:9" ht="37.5" customHeight="1">
      <c r="B80" s="205"/>
      <c r="C80" s="230"/>
      <c r="D80" s="231"/>
      <c r="E80" s="231"/>
      <c r="F80" s="231"/>
      <c r="G80" s="232"/>
    </row>
    <row r="81" spans="2:7" ht="37.5" customHeight="1">
      <c r="B81" s="205"/>
      <c r="C81" s="233"/>
      <c r="D81" s="234"/>
      <c r="E81" s="234"/>
      <c r="F81" s="234"/>
      <c r="G81" s="235"/>
    </row>
    <row r="82" spans="2:7" ht="18.75" customHeight="1">
      <c r="B82" s="205"/>
      <c r="C82" s="113" t="s">
        <v>103</v>
      </c>
      <c r="D82" s="143" t="s">
        <v>104</v>
      </c>
      <c r="E82" s="144"/>
      <c r="F82" s="144"/>
      <c r="G82" s="145"/>
    </row>
    <row r="83" spans="2:7" ht="18.75" customHeight="1">
      <c r="B83" s="205"/>
      <c r="C83" s="109" t="s">
        <v>149</v>
      </c>
      <c r="D83" s="215" t="s">
        <v>209</v>
      </c>
      <c r="E83" s="216"/>
      <c r="F83" s="216"/>
      <c r="G83" s="217"/>
    </row>
    <row r="84" spans="2:7" ht="18.75" customHeight="1">
      <c r="B84" s="205"/>
      <c r="C84" s="114" t="s">
        <v>150</v>
      </c>
      <c r="D84" s="215" t="s">
        <v>183</v>
      </c>
      <c r="E84" s="216"/>
      <c r="F84" s="216"/>
      <c r="G84" s="217"/>
    </row>
    <row r="85" spans="2:7" ht="18.75" customHeight="1">
      <c r="B85" s="205"/>
      <c r="C85" s="114" t="s">
        <v>163</v>
      </c>
      <c r="D85" s="215" t="s">
        <v>213</v>
      </c>
      <c r="E85" s="216"/>
      <c r="F85" s="216"/>
      <c r="G85" s="217"/>
    </row>
    <row r="86" spans="2:7" ht="18.75" customHeight="1">
      <c r="B86" s="205"/>
      <c r="C86" s="111"/>
      <c r="D86" s="215"/>
      <c r="E86" s="216"/>
      <c r="F86" s="216"/>
      <c r="G86" s="217"/>
    </row>
    <row r="87" spans="2:7" ht="18.75" customHeight="1">
      <c r="B87" s="205"/>
      <c r="C87" s="111"/>
      <c r="D87" s="215"/>
      <c r="E87" s="216"/>
      <c r="F87" s="216"/>
      <c r="G87" s="217"/>
    </row>
    <row r="88" spans="2:7" ht="18.75" customHeight="1">
      <c r="B88" s="205"/>
      <c r="C88" s="111"/>
      <c r="D88" s="215"/>
      <c r="E88" s="216"/>
      <c r="F88" s="216"/>
      <c r="G88" s="217"/>
    </row>
    <row r="89" spans="2:7" ht="18.75" customHeight="1">
      <c r="B89" s="205"/>
      <c r="C89" s="111"/>
      <c r="D89" s="215"/>
      <c r="E89" s="216"/>
      <c r="F89" s="216"/>
      <c r="G89" s="217"/>
    </row>
    <row r="90" spans="2:7" ht="18.75" customHeight="1">
      <c r="B90" s="205"/>
      <c r="C90" s="111"/>
      <c r="D90" s="215"/>
      <c r="E90" s="216"/>
      <c r="F90" s="216"/>
      <c r="G90" s="217"/>
    </row>
    <row r="91" spans="2:7" ht="18.75" customHeight="1">
      <c r="B91" s="205"/>
      <c r="C91" s="111"/>
      <c r="D91" s="215"/>
      <c r="E91" s="216"/>
      <c r="F91" s="216"/>
      <c r="G91" s="217"/>
    </row>
    <row r="92" spans="2:7" ht="18.75" customHeight="1">
      <c r="B92" s="205"/>
      <c r="C92" s="111"/>
      <c r="D92" s="215"/>
      <c r="E92" s="216"/>
      <c r="F92" s="216"/>
      <c r="G92" s="217"/>
    </row>
    <row r="93" spans="2:7" ht="18.75" customHeight="1">
      <c r="B93" s="205"/>
      <c r="C93" s="111"/>
      <c r="D93" s="215"/>
      <c r="E93" s="216"/>
      <c r="F93" s="216"/>
      <c r="G93" s="217"/>
    </row>
    <row r="94" spans="2:7" ht="18.75" customHeight="1">
      <c r="B94" s="205"/>
      <c r="C94" s="111"/>
      <c r="D94" s="215"/>
      <c r="E94" s="216"/>
      <c r="F94" s="216"/>
      <c r="G94" s="217"/>
    </row>
    <row r="95" spans="2:7" ht="18.75" customHeight="1">
      <c r="B95" s="205"/>
      <c r="C95" s="111"/>
      <c r="D95" s="215"/>
      <c r="E95" s="216"/>
      <c r="F95" s="216"/>
      <c r="G95" s="217"/>
    </row>
    <row r="96" spans="2:7" ht="18.75" customHeight="1">
      <c r="B96" s="205"/>
      <c r="C96" s="111"/>
      <c r="D96" s="215"/>
      <c r="E96" s="216"/>
      <c r="F96" s="216"/>
      <c r="G96" s="217"/>
    </row>
    <row r="97" spans="2:8" ht="18.75" customHeight="1">
      <c r="B97" s="205"/>
      <c r="C97" s="111"/>
      <c r="D97" s="215"/>
      <c r="E97" s="216"/>
      <c r="F97" s="216"/>
      <c r="G97" s="217"/>
    </row>
    <row r="98" spans="2:8" ht="18.75" customHeight="1">
      <c r="B98" s="205"/>
      <c r="C98" s="111"/>
      <c r="D98" s="215"/>
      <c r="E98" s="216"/>
      <c r="F98" s="216"/>
      <c r="G98" s="217"/>
    </row>
    <row r="99" spans="2:8" ht="18.75" customHeight="1">
      <c r="B99" s="205"/>
      <c r="C99" s="111"/>
      <c r="D99" s="215"/>
      <c r="E99" s="216"/>
      <c r="F99" s="216"/>
      <c r="G99" s="217"/>
    </row>
    <row r="100" spans="2:8" ht="18.75" customHeight="1">
      <c r="B100" s="205"/>
      <c r="C100" s="111"/>
      <c r="D100" s="215"/>
      <c r="E100" s="216"/>
      <c r="F100" s="216"/>
      <c r="G100" s="217"/>
    </row>
    <row r="101" spans="2:8" ht="18.75" customHeight="1">
      <c r="B101" s="204" t="s">
        <v>109</v>
      </c>
      <c r="C101" s="143" t="s">
        <v>102</v>
      </c>
      <c r="D101" s="144"/>
      <c r="E101" s="144"/>
      <c r="F101" s="144"/>
      <c r="G101" s="145"/>
    </row>
    <row r="102" spans="2:8" ht="37.5" customHeight="1">
      <c r="B102" s="205"/>
      <c r="C102" s="219" t="s">
        <v>230</v>
      </c>
      <c r="D102" s="220"/>
      <c r="E102" s="220"/>
      <c r="F102" s="220"/>
      <c r="G102" s="221"/>
    </row>
    <row r="103" spans="2:8" ht="37.5" customHeight="1">
      <c r="B103" s="205"/>
      <c r="C103" s="222"/>
      <c r="D103" s="223"/>
      <c r="E103" s="223"/>
      <c r="F103" s="223"/>
      <c r="G103" s="224"/>
    </row>
    <row r="104" spans="2:8" ht="37.5" customHeight="1">
      <c r="B104" s="205"/>
      <c r="C104" s="222"/>
      <c r="D104" s="223"/>
      <c r="E104" s="223"/>
      <c r="F104" s="223"/>
      <c r="G104" s="224"/>
    </row>
    <row r="105" spans="2:8" ht="37.5" customHeight="1">
      <c r="B105" s="205"/>
      <c r="C105" s="222"/>
      <c r="D105" s="223"/>
      <c r="E105" s="223"/>
      <c r="F105" s="223"/>
      <c r="G105" s="224"/>
    </row>
    <row r="106" spans="2:8" ht="37.5" customHeight="1">
      <c r="B106" s="205"/>
      <c r="C106" s="225"/>
      <c r="D106" s="226"/>
      <c r="E106" s="226"/>
      <c r="F106" s="226"/>
      <c r="G106" s="227"/>
    </row>
    <row r="107" spans="2:8" ht="18.75" customHeight="1">
      <c r="B107" s="205"/>
      <c r="C107" s="113" t="s">
        <v>103</v>
      </c>
      <c r="D107" s="143" t="s">
        <v>104</v>
      </c>
      <c r="E107" s="144"/>
      <c r="F107" s="144"/>
      <c r="G107" s="145"/>
    </row>
    <row r="108" spans="2:8" ht="18.75" customHeight="1">
      <c r="B108" s="205"/>
      <c r="C108" s="109" t="s">
        <v>148</v>
      </c>
      <c r="D108" s="215" t="s">
        <v>203</v>
      </c>
      <c r="E108" s="216"/>
      <c r="F108" s="216"/>
      <c r="G108" s="217"/>
      <c r="H108" s="118"/>
    </row>
    <row r="109" spans="2:8" ht="18.75" customHeight="1">
      <c r="B109" s="205"/>
      <c r="C109" s="109" t="s">
        <v>206</v>
      </c>
      <c r="D109" s="215" t="s">
        <v>218</v>
      </c>
      <c r="E109" s="236"/>
      <c r="F109" s="236"/>
      <c r="G109" s="237"/>
    </row>
    <row r="110" spans="2:8" ht="18.75" customHeight="1">
      <c r="B110" s="205"/>
      <c r="C110" s="109" t="s">
        <v>196</v>
      </c>
      <c r="D110" s="215" t="s">
        <v>214</v>
      </c>
      <c r="E110" s="216"/>
      <c r="F110" s="216"/>
      <c r="G110" s="217"/>
    </row>
    <row r="111" spans="2:8" ht="18.75" customHeight="1">
      <c r="B111" s="205"/>
      <c r="C111" s="114" t="s">
        <v>151</v>
      </c>
      <c r="D111" s="215" t="s">
        <v>251</v>
      </c>
      <c r="E111" s="216"/>
      <c r="F111" s="216"/>
      <c r="G111" s="217"/>
    </row>
    <row r="112" spans="2:8" ht="18.75" customHeight="1">
      <c r="B112" s="205"/>
      <c r="C112" s="114" t="s">
        <v>199</v>
      </c>
      <c r="D112" s="215" t="s">
        <v>257</v>
      </c>
      <c r="E112" s="216"/>
      <c r="F112" s="216"/>
      <c r="G112" s="217"/>
    </row>
    <row r="113" spans="1:10" ht="18.75" customHeight="1">
      <c r="B113" s="205"/>
      <c r="C113" s="114" t="s">
        <v>215</v>
      </c>
      <c r="D113" s="215" t="s">
        <v>217</v>
      </c>
      <c r="E113" s="216"/>
      <c r="F113" s="216"/>
      <c r="G113" s="217"/>
    </row>
    <row r="114" spans="1:10" ht="18.75" customHeight="1">
      <c r="B114" s="205"/>
      <c r="C114" s="114" t="s">
        <v>192</v>
      </c>
      <c r="D114" s="215" t="s">
        <v>201</v>
      </c>
      <c r="E114" s="216"/>
      <c r="F114" s="216"/>
      <c r="G114" s="217"/>
    </row>
    <row r="115" spans="1:10" ht="18.75" customHeight="1">
      <c r="B115" s="205"/>
      <c r="C115" s="129" t="s">
        <v>168</v>
      </c>
      <c r="D115" s="215" t="s">
        <v>263</v>
      </c>
      <c r="E115" s="216"/>
      <c r="F115" s="216"/>
      <c r="G115" s="217"/>
    </row>
    <row r="116" spans="1:10" ht="18.75" customHeight="1">
      <c r="B116" s="205"/>
      <c r="C116" s="120"/>
      <c r="D116" s="215"/>
      <c r="E116" s="216"/>
      <c r="F116" s="216"/>
      <c r="G116" s="217"/>
    </row>
    <row r="117" spans="1:10" ht="18.75" customHeight="1">
      <c r="B117" s="205"/>
      <c r="C117" s="120"/>
      <c r="D117" s="215"/>
      <c r="E117" s="216"/>
      <c r="F117" s="216"/>
      <c r="G117" s="217"/>
    </row>
    <row r="118" spans="1:10" ht="18.75" customHeight="1">
      <c r="B118" s="205"/>
      <c r="C118" s="114"/>
      <c r="D118" s="215"/>
      <c r="E118" s="236"/>
      <c r="F118" s="236"/>
      <c r="G118" s="237"/>
    </row>
    <row r="119" spans="1:10" ht="18.75" customHeight="1">
      <c r="B119" s="205"/>
      <c r="C119" s="111"/>
      <c r="D119" s="215"/>
      <c r="E119" s="216"/>
      <c r="F119" s="216"/>
      <c r="G119" s="217"/>
    </row>
    <row r="120" spans="1:10" ht="18.75" customHeight="1">
      <c r="B120" s="205"/>
      <c r="C120" s="111"/>
      <c r="D120" s="215"/>
      <c r="E120" s="216"/>
      <c r="F120" s="216"/>
      <c r="G120" s="217"/>
    </row>
    <row r="121" spans="1:10" ht="18.75" customHeight="1">
      <c r="B121" s="205"/>
      <c r="C121" s="111"/>
      <c r="D121" s="215"/>
      <c r="E121" s="216"/>
      <c r="F121" s="216"/>
      <c r="G121" s="217"/>
    </row>
    <row r="122" spans="1:10" ht="18.75" customHeight="1">
      <c r="B122" s="205"/>
      <c r="C122" s="111"/>
      <c r="D122" s="215"/>
      <c r="E122" s="216"/>
      <c r="F122" s="216"/>
      <c r="G122" s="217"/>
    </row>
    <row r="123" spans="1:10" ht="18.75" customHeight="1">
      <c r="B123" s="205"/>
      <c r="C123" s="111"/>
      <c r="D123" s="215"/>
      <c r="E123" s="216"/>
      <c r="F123" s="216"/>
      <c r="G123" s="217"/>
    </row>
    <row r="124" spans="1:10" ht="18.75" customHeight="1">
      <c r="B124" s="205"/>
      <c r="C124" s="111"/>
      <c r="D124" s="215"/>
      <c r="E124" s="216"/>
      <c r="F124" s="216"/>
      <c r="G124" s="217"/>
    </row>
    <row r="125" spans="1:10" ht="18.75" customHeight="1">
      <c r="B125" s="205"/>
      <c r="C125" s="111"/>
      <c r="D125" s="215"/>
      <c r="E125" s="216"/>
      <c r="F125" s="216"/>
      <c r="G125" s="217"/>
    </row>
    <row r="126" spans="1:10" ht="18.75" customHeight="1">
      <c r="A126" s="96" t="s">
        <v>12</v>
      </c>
      <c r="B126" s="96" t="s">
        <v>100</v>
      </c>
      <c r="H126" s="121"/>
      <c r="I126" s="106"/>
      <c r="J126" s="106"/>
    </row>
    <row r="127" spans="1:10" ht="22.5" customHeight="1">
      <c r="B127" s="111" t="s">
        <v>71</v>
      </c>
      <c r="C127" s="143" t="s">
        <v>99</v>
      </c>
      <c r="D127" s="144"/>
      <c r="E127" s="144"/>
      <c r="F127" s="144"/>
      <c r="G127" s="145"/>
    </row>
    <row r="128" spans="1:10" ht="45" customHeight="1">
      <c r="B128" s="98" t="s">
        <v>72</v>
      </c>
      <c r="C128" s="238" t="s">
        <v>248</v>
      </c>
      <c r="D128" s="239"/>
      <c r="E128" s="239"/>
      <c r="F128" s="239"/>
      <c r="G128" s="240"/>
    </row>
    <row r="129" spans="1:8" ht="45" customHeight="1">
      <c r="B129" s="98" t="s">
        <v>73</v>
      </c>
      <c r="C129" s="238" t="s">
        <v>153</v>
      </c>
      <c r="D129" s="239"/>
      <c r="E129" s="239"/>
      <c r="F129" s="239"/>
      <c r="G129" s="240"/>
    </row>
    <row r="130" spans="1:8" ht="45" customHeight="1">
      <c r="B130" s="98" t="s">
        <v>74</v>
      </c>
      <c r="C130" s="238" t="s">
        <v>180</v>
      </c>
      <c r="D130" s="239"/>
      <c r="E130" s="239"/>
      <c r="F130" s="239"/>
      <c r="G130" s="240"/>
    </row>
    <row r="131" spans="1:8" ht="45" customHeight="1">
      <c r="B131" s="98" t="s">
        <v>75</v>
      </c>
      <c r="C131" s="238" t="s">
        <v>170</v>
      </c>
      <c r="D131" s="239"/>
      <c r="E131" s="239"/>
      <c r="F131" s="239"/>
      <c r="G131" s="240"/>
    </row>
    <row r="132" spans="1:8" ht="45" customHeight="1">
      <c r="B132" s="98" t="s">
        <v>76</v>
      </c>
      <c r="C132" s="238" t="s">
        <v>150</v>
      </c>
      <c r="D132" s="239"/>
      <c r="E132" s="239"/>
      <c r="F132" s="239"/>
      <c r="G132" s="240"/>
    </row>
    <row r="133" spans="1:8" ht="45" customHeight="1">
      <c r="B133" s="98" t="s">
        <v>77</v>
      </c>
      <c r="C133" s="238" t="s">
        <v>150</v>
      </c>
      <c r="D133" s="239"/>
      <c r="E133" s="239"/>
      <c r="F133" s="239"/>
      <c r="G133" s="240"/>
    </row>
    <row r="134" spans="1:8" ht="45" customHeight="1">
      <c r="B134" s="98" t="s">
        <v>78</v>
      </c>
      <c r="C134" s="238" t="s">
        <v>181</v>
      </c>
      <c r="D134" s="239"/>
      <c r="E134" s="239"/>
      <c r="F134" s="239"/>
      <c r="G134" s="240"/>
    </row>
    <row r="135" spans="1:8" ht="45" customHeight="1">
      <c r="B135" s="98" t="s">
        <v>79</v>
      </c>
      <c r="C135" s="238" t="s">
        <v>181</v>
      </c>
      <c r="D135" s="239"/>
      <c r="E135" s="239"/>
      <c r="F135" s="239"/>
      <c r="G135" s="240"/>
    </row>
    <row r="136" spans="1:8" ht="45" customHeight="1">
      <c r="B136" s="98" t="s">
        <v>80</v>
      </c>
      <c r="C136" s="238" t="s">
        <v>200</v>
      </c>
      <c r="D136" s="239"/>
      <c r="E136" s="239"/>
      <c r="F136" s="239"/>
      <c r="G136" s="240"/>
    </row>
    <row r="137" spans="1:8" ht="7.5" customHeight="1"/>
    <row r="138" spans="1:8" ht="18.75" customHeight="1">
      <c r="A138" s="96" t="s">
        <v>13</v>
      </c>
      <c r="B138" s="96" t="s">
        <v>95</v>
      </c>
      <c r="E138" s="241" t="s">
        <v>259</v>
      </c>
      <c r="F138" s="242"/>
      <c r="G138" s="243"/>
      <c r="H138" s="122"/>
    </row>
    <row r="139" spans="1:8" ht="7.5" customHeight="1"/>
    <row r="140" spans="1:8" ht="18.75" customHeight="1">
      <c r="A140" s="96" t="s">
        <v>17</v>
      </c>
      <c r="B140" s="96" t="s">
        <v>227</v>
      </c>
    </row>
    <row r="141" spans="1:8" ht="18.75" customHeight="1">
      <c r="B141" s="244" t="s">
        <v>243</v>
      </c>
      <c r="C141" s="245"/>
      <c r="D141" s="245"/>
      <c r="E141" s="245"/>
      <c r="F141" s="245"/>
      <c r="G141" s="246"/>
      <c r="H141" s="122"/>
    </row>
    <row r="142" spans="1:8" ht="18.75" customHeight="1">
      <c r="B142" s="247"/>
      <c r="C142" s="248"/>
      <c r="D142" s="248"/>
      <c r="E142" s="248"/>
      <c r="F142" s="248"/>
      <c r="G142" s="249"/>
    </row>
    <row r="143" spans="1:8" ht="18.75" customHeight="1">
      <c r="B143" s="247"/>
      <c r="C143" s="248"/>
      <c r="D143" s="248"/>
      <c r="E143" s="248"/>
      <c r="F143" s="248"/>
      <c r="G143" s="249"/>
    </row>
    <row r="144" spans="1:8" ht="18" customHeight="1">
      <c r="B144" s="250"/>
      <c r="C144" s="251"/>
      <c r="D144" s="251"/>
      <c r="E144" s="251"/>
      <c r="F144" s="251"/>
      <c r="G144" s="252"/>
    </row>
    <row r="145" spans="2:2" ht="18.75" customHeight="1"/>
    <row r="146" spans="2:2" ht="18.75" customHeight="1">
      <c r="B146" s="106"/>
    </row>
    <row r="147" spans="2:2" ht="18.75" customHeight="1">
      <c r="B147" s="110"/>
    </row>
    <row r="148" spans="2:2" ht="18.75" customHeight="1"/>
    <row r="149" spans="2:2" ht="18.75" customHeight="1"/>
    <row r="150" spans="2:2" ht="18.75" customHeight="1"/>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location="87474c94"/>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topLeftCell="A97" zoomScaleNormal="100" workbookViewId="0">
      <selection activeCell="C102" sqref="C102:G106"/>
    </sheetView>
  </sheetViews>
  <sheetFormatPr defaultColWidth="9" defaultRowHeight="14.25"/>
  <cols>
    <col min="1" max="1" width="2.5" style="96" customWidth="1"/>
    <col min="2" max="2" width="19" style="96" customWidth="1"/>
    <col min="3" max="3" width="25" style="96" customWidth="1"/>
    <col min="4" max="4" width="10" style="96" customWidth="1"/>
    <col min="5" max="7" width="25" style="96" customWidth="1"/>
    <col min="8" max="8" width="9" style="112"/>
    <col min="9" max="16384" width="9" style="96"/>
  </cols>
  <sheetData>
    <row r="1" spans="1:9" ht="18.75" customHeight="1">
      <c r="G1" s="97" t="s">
        <v>178</v>
      </c>
    </row>
    <row r="2" spans="1:9" ht="18.75" customHeight="1">
      <c r="F2" s="97" t="s">
        <v>32</v>
      </c>
      <c r="G2" s="96" t="s">
        <v>176</v>
      </c>
    </row>
    <row r="3" spans="1:9" ht="18.75" customHeight="1">
      <c r="A3" s="202" t="s">
        <v>92</v>
      </c>
      <c r="B3" s="202"/>
      <c r="C3" s="202"/>
      <c r="D3" s="202"/>
      <c r="E3" s="202"/>
      <c r="F3" s="202"/>
      <c r="G3" s="202"/>
      <c r="I3" s="112"/>
    </row>
    <row r="4" spans="1:9" ht="18.75" customHeight="1">
      <c r="A4" s="96" t="s">
        <v>7</v>
      </c>
      <c r="B4" s="96" t="s">
        <v>91</v>
      </c>
      <c r="I4" s="119"/>
    </row>
    <row r="5" spans="1:9" s="112" customFormat="1" ht="18.75" customHeight="1">
      <c r="B5" s="111" t="s">
        <v>71</v>
      </c>
      <c r="C5" s="143" t="s">
        <v>102</v>
      </c>
      <c r="D5" s="144"/>
      <c r="E5" s="144"/>
      <c r="F5" s="144"/>
      <c r="G5" s="145"/>
      <c r="H5" s="117"/>
      <c r="I5" s="119"/>
    </row>
    <row r="6" spans="1:9" s="112" customFormat="1" ht="45" customHeight="1">
      <c r="B6" s="204" t="s">
        <v>105</v>
      </c>
      <c r="C6" s="255" t="s">
        <v>249</v>
      </c>
      <c r="D6" s="256"/>
      <c r="E6" s="256"/>
      <c r="F6" s="256"/>
      <c r="G6" s="257"/>
      <c r="I6" s="119"/>
    </row>
    <row r="7" spans="1:9" s="112" customFormat="1" ht="45" customHeight="1">
      <c r="B7" s="205"/>
      <c r="C7" s="258"/>
      <c r="D7" s="259"/>
      <c r="E7" s="259"/>
      <c r="F7" s="259"/>
      <c r="G7" s="260"/>
    </row>
    <row r="8" spans="1:9" s="112" customFormat="1" ht="45" customHeight="1">
      <c r="B8" s="205"/>
      <c r="C8" s="258"/>
      <c r="D8" s="259"/>
      <c r="E8" s="259"/>
      <c r="F8" s="259"/>
      <c r="G8" s="260"/>
    </row>
    <row r="9" spans="1:9" s="112" customFormat="1" ht="45" customHeight="1">
      <c r="B9" s="205"/>
      <c r="C9" s="261"/>
      <c r="D9" s="262"/>
      <c r="E9" s="262"/>
      <c r="F9" s="262"/>
      <c r="G9" s="263"/>
    </row>
    <row r="10" spans="1:9" s="112" customFormat="1" ht="18.75" customHeight="1">
      <c r="B10" s="205"/>
      <c r="C10" s="113" t="s">
        <v>103</v>
      </c>
      <c r="D10" s="215" t="s">
        <v>104</v>
      </c>
      <c r="E10" s="216"/>
      <c r="F10" s="216"/>
      <c r="G10" s="217"/>
    </row>
    <row r="11" spans="1:9" s="112" customFormat="1" ht="18.75" customHeight="1">
      <c r="B11" s="205"/>
      <c r="C11" s="109" t="s">
        <v>150</v>
      </c>
      <c r="D11" s="215" t="s">
        <v>208</v>
      </c>
      <c r="E11" s="216"/>
      <c r="F11" s="216"/>
      <c r="G11" s="217"/>
    </row>
    <row r="12" spans="1:9" s="112" customFormat="1" ht="18.75" customHeight="1">
      <c r="B12" s="205"/>
      <c r="C12" s="109" t="s">
        <v>148</v>
      </c>
      <c r="D12" s="215" t="s">
        <v>207</v>
      </c>
      <c r="E12" s="216"/>
      <c r="F12" s="216"/>
      <c r="G12" s="217"/>
      <c r="H12" s="118"/>
    </row>
    <row r="13" spans="1:9" s="112" customFormat="1" ht="18.75" customHeight="1">
      <c r="B13" s="205"/>
      <c r="C13" s="109" t="s">
        <v>149</v>
      </c>
      <c r="D13" s="215" t="s">
        <v>184</v>
      </c>
      <c r="E13" s="216"/>
      <c r="F13" s="216"/>
      <c r="G13" s="217"/>
    </row>
    <row r="14" spans="1:9" s="112" customFormat="1" ht="18.75" customHeight="1">
      <c r="B14" s="205"/>
      <c r="C14" s="114"/>
      <c r="D14" s="215"/>
      <c r="E14" s="216"/>
      <c r="F14" s="216"/>
      <c r="G14" s="217"/>
    </row>
    <row r="15" spans="1:9" s="112" customFormat="1" ht="18.75" customHeight="1">
      <c r="B15" s="205"/>
      <c r="C15" s="111"/>
      <c r="D15" s="143"/>
      <c r="E15" s="144"/>
      <c r="F15" s="144"/>
      <c r="G15" s="145"/>
    </row>
    <row r="16" spans="1:9" s="112" customFormat="1" ht="18.75" customHeight="1">
      <c r="B16" s="205"/>
      <c r="C16" s="111"/>
      <c r="D16" s="143"/>
      <c r="E16" s="144"/>
      <c r="F16" s="144"/>
      <c r="G16" s="145"/>
    </row>
    <row r="17" spans="2:7" s="112" customFormat="1" ht="18.75" customHeight="1">
      <c r="B17" s="205"/>
      <c r="C17" s="111"/>
      <c r="D17" s="143"/>
      <c r="E17" s="144"/>
      <c r="F17" s="144"/>
      <c r="G17" s="145"/>
    </row>
    <row r="18" spans="2:7" s="112" customFormat="1" ht="18.75" customHeight="1">
      <c r="B18" s="205"/>
      <c r="C18" s="111"/>
      <c r="D18" s="143"/>
      <c r="E18" s="144"/>
      <c r="F18" s="144"/>
      <c r="G18" s="145"/>
    </row>
    <row r="19" spans="2:7" s="112" customFormat="1" ht="18.75" customHeight="1">
      <c r="B19" s="205"/>
      <c r="C19" s="111"/>
      <c r="D19" s="143"/>
      <c r="E19" s="144"/>
      <c r="F19" s="144"/>
      <c r="G19" s="145"/>
    </row>
    <row r="20" spans="2:7" s="112" customFormat="1" ht="18.75" customHeight="1">
      <c r="B20" s="205"/>
      <c r="C20" s="111"/>
      <c r="D20" s="143"/>
      <c r="E20" s="144"/>
      <c r="F20" s="144"/>
      <c r="G20" s="145"/>
    </row>
    <row r="21" spans="2:7" s="112" customFormat="1" ht="18.75" customHeight="1">
      <c r="B21" s="205"/>
      <c r="C21" s="111"/>
      <c r="D21" s="143"/>
      <c r="E21" s="144"/>
      <c r="F21" s="144"/>
      <c r="G21" s="145"/>
    </row>
    <row r="22" spans="2:7" s="112" customFormat="1" ht="18.75" customHeight="1">
      <c r="B22" s="205"/>
      <c r="C22" s="111"/>
      <c r="D22" s="143"/>
      <c r="E22" s="144"/>
      <c r="F22" s="144"/>
      <c r="G22" s="145"/>
    </row>
    <row r="23" spans="2:7" s="112" customFormat="1" ht="18.75" customHeight="1">
      <c r="B23" s="205"/>
      <c r="C23" s="111"/>
      <c r="D23" s="143"/>
      <c r="E23" s="144"/>
      <c r="F23" s="144"/>
      <c r="G23" s="145"/>
    </row>
    <row r="24" spans="2:7" s="112" customFormat="1" ht="18.75" customHeight="1">
      <c r="B24" s="205"/>
      <c r="C24" s="111"/>
      <c r="D24" s="143"/>
      <c r="E24" s="144"/>
      <c r="F24" s="144"/>
      <c r="G24" s="145"/>
    </row>
    <row r="25" spans="2:7" s="112" customFormat="1" ht="18.75" customHeight="1">
      <c r="B25" s="205"/>
      <c r="C25" s="111"/>
      <c r="D25" s="143"/>
      <c r="E25" s="144"/>
      <c r="F25" s="144"/>
      <c r="G25" s="145"/>
    </row>
    <row r="26" spans="2:7" ht="18.75" customHeight="1">
      <c r="B26" s="204" t="s">
        <v>106</v>
      </c>
      <c r="C26" s="143" t="s">
        <v>102</v>
      </c>
      <c r="D26" s="144"/>
      <c r="E26" s="144"/>
      <c r="F26" s="144"/>
      <c r="G26" s="145"/>
    </row>
    <row r="27" spans="2:7" ht="37.5" customHeight="1">
      <c r="B27" s="205"/>
      <c r="C27" s="219" t="s">
        <v>211</v>
      </c>
      <c r="D27" s="220"/>
      <c r="E27" s="220"/>
      <c r="F27" s="220"/>
      <c r="G27" s="221"/>
    </row>
    <row r="28" spans="2:7" ht="37.5" customHeight="1">
      <c r="B28" s="205"/>
      <c r="C28" s="222"/>
      <c r="D28" s="223"/>
      <c r="E28" s="223"/>
      <c r="F28" s="223"/>
      <c r="G28" s="224"/>
    </row>
    <row r="29" spans="2:7" ht="37.5" customHeight="1">
      <c r="B29" s="205"/>
      <c r="C29" s="222"/>
      <c r="D29" s="223"/>
      <c r="E29" s="223"/>
      <c r="F29" s="223"/>
      <c r="G29" s="224"/>
    </row>
    <row r="30" spans="2:7" ht="37.5" customHeight="1">
      <c r="B30" s="205"/>
      <c r="C30" s="222"/>
      <c r="D30" s="223"/>
      <c r="E30" s="223"/>
      <c r="F30" s="223"/>
      <c r="G30" s="224"/>
    </row>
    <row r="31" spans="2:7" ht="37.5" customHeight="1">
      <c r="B31" s="205"/>
      <c r="C31" s="225"/>
      <c r="D31" s="226"/>
      <c r="E31" s="226"/>
      <c r="F31" s="226"/>
      <c r="G31" s="227"/>
    </row>
    <row r="32" spans="2:7" ht="18.75" customHeight="1">
      <c r="B32" s="205"/>
      <c r="C32" s="113" t="s">
        <v>103</v>
      </c>
      <c r="D32" s="143" t="s">
        <v>104</v>
      </c>
      <c r="E32" s="144"/>
      <c r="F32" s="144"/>
      <c r="G32" s="145"/>
    </row>
    <row r="33" spans="2:8" ht="18.75" customHeight="1">
      <c r="B33" s="205"/>
      <c r="C33" s="109" t="s">
        <v>150</v>
      </c>
      <c r="D33" s="215" t="s">
        <v>182</v>
      </c>
      <c r="E33" s="216"/>
      <c r="F33" s="216"/>
      <c r="G33" s="217"/>
    </row>
    <row r="34" spans="2:8" ht="18.75" customHeight="1">
      <c r="B34" s="205"/>
      <c r="C34" s="109" t="s">
        <v>148</v>
      </c>
      <c r="D34" s="215" t="s">
        <v>194</v>
      </c>
      <c r="E34" s="216"/>
      <c r="F34" s="216"/>
      <c r="G34" s="217"/>
      <c r="H34" s="118"/>
    </row>
    <row r="35" spans="2:8" ht="18.75" customHeight="1">
      <c r="B35" s="205"/>
      <c r="C35" s="111"/>
      <c r="D35" s="215"/>
      <c r="E35" s="216"/>
      <c r="F35" s="216"/>
      <c r="G35" s="217"/>
    </row>
    <row r="36" spans="2:8" ht="18.75" customHeight="1">
      <c r="B36" s="205"/>
      <c r="C36" s="111"/>
      <c r="D36" s="215"/>
      <c r="E36" s="216"/>
      <c r="F36" s="216"/>
      <c r="G36" s="217"/>
    </row>
    <row r="37" spans="2:8" ht="18.75" customHeight="1">
      <c r="B37" s="205"/>
      <c r="C37" s="111"/>
      <c r="D37" s="215"/>
      <c r="E37" s="216"/>
      <c r="F37" s="216"/>
      <c r="G37" s="217"/>
    </row>
    <row r="38" spans="2:8" ht="18.75" customHeight="1">
      <c r="B38" s="205"/>
      <c r="C38" s="111"/>
      <c r="D38" s="215"/>
      <c r="E38" s="216"/>
      <c r="F38" s="216"/>
      <c r="G38" s="217"/>
    </row>
    <row r="39" spans="2:8" ht="18.75" customHeight="1">
      <c r="B39" s="205"/>
      <c r="C39" s="111"/>
      <c r="D39" s="215"/>
      <c r="E39" s="216"/>
      <c r="F39" s="216"/>
      <c r="G39" s="217"/>
    </row>
    <row r="40" spans="2:8" ht="18.75" customHeight="1">
      <c r="B40" s="205"/>
      <c r="C40" s="111"/>
      <c r="D40" s="215"/>
      <c r="E40" s="216"/>
      <c r="F40" s="216"/>
      <c r="G40" s="217"/>
    </row>
    <row r="41" spans="2:8" ht="18.75" customHeight="1">
      <c r="B41" s="205"/>
      <c r="C41" s="111"/>
      <c r="D41" s="215"/>
      <c r="E41" s="216"/>
      <c r="F41" s="216"/>
      <c r="G41" s="217"/>
    </row>
    <row r="42" spans="2:8" ht="18.75" customHeight="1">
      <c r="B42" s="205"/>
      <c r="C42" s="111"/>
      <c r="D42" s="215"/>
      <c r="E42" s="216"/>
      <c r="F42" s="216"/>
      <c r="G42" s="217"/>
    </row>
    <row r="43" spans="2:8" ht="18.75" customHeight="1">
      <c r="B43" s="205"/>
      <c r="C43" s="111"/>
      <c r="D43" s="215"/>
      <c r="E43" s="216"/>
      <c r="F43" s="216"/>
      <c r="G43" s="217"/>
    </row>
    <row r="44" spans="2:8" ht="18.75" customHeight="1">
      <c r="B44" s="205"/>
      <c r="C44" s="111"/>
      <c r="D44" s="215"/>
      <c r="E44" s="216"/>
      <c r="F44" s="216"/>
      <c r="G44" s="217"/>
    </row>
    <row r="45" spans="2:8" ht="18.75" customHeight="1">
      <c r="B45" s="205"/>
      <c r="C45" s="111"/>
      <c r="D45" s="215"/>
      <c r="E45" s="216"/>
      <c r="F45" s="216"/>
      <c r="G45" s="217"/>
    </row>
    <row r="46" spans="2:8" ht="18.75" customHeight="1">
      <c r="B46" s="205"/>
      <c r="C46" s="111"/>
      <c r="D46" s="215"/>
      <c r="E46" s="216"/>
      <c r="F46" s="216"/>
      <c r="G46" s="217"/>
    </row>
    <row r="47" spans="2:8" ht="18.75" customHeight="1">
      <c r="B47" s="205"/>
      <c r="C47" s="111"/>
      <c r="D47" s="215"/>
      <c r="E47" s="216"/>
      <c r="F47" s="216"/>
      <c r="G47" s="217"/>
    </row>
    <row r="48" spans="2:8" ht="18.75" customHeight="1">
      <c r="B48" s="205"/>
      <c r="C48" s="111"/>
      <c r="D48" s="215"/>
      <c r="E48" s="216"/>
      <c r="F48" s="216"/>
      <c r="G48" s="217"/>
    </row>
    <row r="49" spans="2:8" ht="18.75" customHeight="1">
      <c r="B49" s="205"/>
      <c r="C49" s="111"/>
      <c r="D49" s="215"/>
      <c r="E49" s="216"/>
      <c r="F49" s="216"/>
      <c r="G49" s="217"/>
    </row>
    <row r="50" spans="2:8" ht="18.75" customHeight="1">
      <c r="B50" s="218"/>
      <c r="C50" s="111"/>
      <c r="D50" s="215"/>
      <c r="E50" s="216"/>
      <c r="F50" s="216"/>
      <c r="G50" s="217"/>
    </row>
    <row r="51" spans="2:8" ht="18.75" customHeight="1">
      <c r="B51" s="204" t="s">
        <v>108</v>
      </c>
      <c r="C51" s="143" t="s">
        <v>102</v>
      </c>
      <c r="D51" s="144"/>
      <c r="E51" s="144"/>
      <c r="F51" s="144"/>
      <c r="G51" s="145"/>
    </row>
    <row r="52" spans="2:8" ht="37.5" customHeight="1">
      <c r="B52" s="205"/>
      <c r="C52" s="219" t="s">
        <v>231</v>
      </c>
      <c r="D52" s="228"/>
      <c r="E52" s="228"/>
      <c r="F52" s="228"/>
      <c r="G52" s="229"/>
    </row>
    <row r="53" spans="2:8" ht="37.5" customHeight="1">
      <c r="B53" s="205"/>
      <c r="C53" s="230"/>
      <c r="D53" s="231"/>
      <c r="E53" s="231"/>
      <c r="F53" s="231"/>
      <c r="G53" s="232"/>
      <c r="H53" s="124"/>
    </row>
    <row r="54" spans="2:8" ht="37.5" customHeight="1">
      <c r="B54" s="205"/>
      <c r="C54" s="230"/>
      <c r="D54" s="231"/>
      <c r="E54" s="231"/>
      <c r="F54" s="231"/>
      <c r="G54" s="232"/>
    </row>
    <row r="55" spans="2:8" ht="37.5" customHeight="1">
      <c r="B55" s="205"/>
      <c r="C55" s="230"/>
      <c r="D55" s="231"/>
      <c r="E55" s="231"/>
      <c r="F55" s="231"/>
      <c r="G55" s="232"/>
    </row>
    <row r="56" spans="2:8" ht="37.5" customHeight="1">
      <c r="B56" s="205"/>
      <c r="C56" s="233"/>
      <c r="D56" s="234"/>
      <c r="E56" s="234"/>
      <c r="F56" s="234"/>
      <c r="G56" s="235"/>
    </row>
    <row r="57" spans="2:8" ht="18.75" customHeight="1">
      <c r="B57" s="205"/>
      <c r="C57" s="113"/>
      <c r="D57" s="143" t="s">
        <v>104</v>
      </c>
      <c r="E57" s="144"/>
      <c r="F57" s="144"/>
      <c r="G57" s="145"/>
    </row>
    <row r="58" spans="2:8" ht="23.25" customHeight="1">
      <c r="B58" s="205"/>
      <c r="C58" s="109" t="s">
        <v>150</v>
      </c>
      <c r="D58" s="215" t="s">
        <v>204</v>
      </c>
      <c r="E58" s="216"/>
      <c r="F58" s="216"/>
      <c r="G58" s="217"/>
    </row>
    <row r="59" spans="2:8" ht="18.75" customHeight="1">
      <c r="B59" s="205"/>
      <c r="C59" s="109" t="s">
        <v>148</v>
      </c>
      <c r="D59" s="215" t="s">
        <v>205</v>
      </c>
      <c r="E59" s="216"/>
      <c r="F59" s="216"/>
      <c r="G59" s="217"/>
      <c r="H59" s="118"/>
    </row>
    <row r="60" spans="2:8" ht="18.75" customHeight="1">
      <c r="B60" s="205"/>
      <c r="C60" s="111"/>
      <c r="D60" s="215"/>
      <c r="E60" s="216"/>
      <c r="F60" s="216"/>
      <c r="G60" s="217"/>
    </row>
    <row r="61" spans="2:8" ht="18.75" customHeight="1">
      <c r="B61" s="205"/>
      <c r="C61" s="111"/>
      <c r="D61" s="215"/>
      <c r="E61" s="216"/>
      <c r="F61" s="216"/>
      <c r="G61" s="217"/>
    </row>
    <row r="62" spans="2:8" ht="18.75" customHeight="1">
      <c r="B62" s="205"/>
      <c r="C62" s="111"/>
      <c r="D62" s="215"/>
      <c r="E62" s="216"/>
      <c r="F62" s="216"/>
      <c r="G62" s="217"/>
    </row>
    <row r="63" spans="2:8" ht="18.75" customHeight="1">
      <c r="B63" s="205"/>
      <c r="C63" s="111"/>
      <c r="D63" s="215"/>
      <c r="E63" s="216"/>
      <c r="F63" s="216"/>
      <c r="G63" s="217"/>
    </row>
    <row r="64" spans="2:8" ht="18.75" customHeight="1">
      <c r="B64" s="205"/>
      <c r="C64" s="111"/>
      <c r="D64" s="215"/>
      <c r="E64" s="216"/>
      <c r="F64" s="216"/>
      <c r="G64" s="217"/>
    </row>
    <row r="65" spans="2:7" ht="18.75" customHeight="1">
      <c r="B65" s="205"/>
      <c r="C65" s="111"/>
      <c r="D65" s="215"/>
      <c r="E65" s="216"/>
      <c r="F65" s="216"/>
      <c r="G65" s="217"/>
    </row>
    <row r="66" spans="2:7" ht="18.75" customHeight="1">
      <c r="B66" s="205"/>
      <c r="C66" s="111"/>
      <c r="D66" s="215"/>
      <c r="E66" s="216"/>
      <c r="F66" s="216"/>
      <c r="G66" s="217"/>
    </row>
    <row r="67" spans="2:7" ht="18.75" customHeight="1">
      <c r="B67" s="205"/>
      <c r="C67" s="111"/>
      <c r="D67" s="215"/>
      <c r="E67" s="216"/>
      <c r="F67" s="216"/>
      <c r="G67" s="217"/>
    </row>
    <row r="68" spans="2:7" ht="18.75" customHeight="1">
      <c r="B68" s="205"/>
      <c r="C68" s="111"/>
      <c r="D68" s="215"/>
      <c r="E68" s="216"/>
      <c r="F68" s="216"/>
      <c r="G68" s="217"/>
    </row>
    <row r="69" spans="2:7" ht="18.75" customHeight="1">
      <c r="B69" s="205"/>
      <c r="C69" s="111"/>
      <c r="D69" s="215"/>
      <c r="E69" s="216"/>
      <c r="F69" s="216"/>
      <c r="G69" s="217"/>
    </row>
    <row r="70" spans="2:7" ht="18.75" customHeight="1">
      <c r="B70" s="205"/>
      <c r="C70" s="111"/>
      <c r="D70" s="215"/>
      <c r="E70" s="216"/>
      <c r="F70" s="216"/>
      <c r="G70" s="217"/>
    </row>
    <row r="71" spans="2:7" ht="18.75" customHeight="1">
      <c r="B71" s="205"/>
      <c r="C71" s="111"/>
      <c r="D71" s="215"/>
      <c r="E71" s="216"/>
      <c r="F71" s="216"/>
      <c r="G71" s="217"/>
    </row>
    <row r="72" spans="2:7" ht="18.75" customHeight="1">
      <c r="B72" s="205"/>
      <c r="C72" s="111"/>
      <c r="D72" s="215"/>
      <c r="E72" s="216"/>
      <c r="F72" s="216"/>
      <c r="G72" s="217"/>
    </row>
    <row r="73" spans="2:7" ht="18.75" customHeight="1">
      <c r="B73" s="205"/>
      <c r="C73" s="111"/>
      <c r="D73" s="215"/>
      <c r="E73" s="216"/>
      <c r="F73" s="216"/>
      <c r="G73" s="217"/>
    </row>
    <row r="74" spans="2:7" ht="18.75" customHeight="1">
      <c r="B74" s="205"/>
      <c r="C74" s="111"/>
      <c r="D74" s="215"/>
      <c r="E74" s="216"/>
      <c r="F74" s="216"/>
      <c r="G74" s="217"/>
    </row>
    <row r="75" spans="2:7" ht="18.75" customHeight="1">
      <c r="B75" s="218"/>
      <c r="C75" s="111"/>
      <c r="D75" s="215"/>
      <c r="E75" s="216"/>
      <c r="F75" s="216"/>
      <c r="G75" s="217"/>
    </row>
    <row r="76" spans="2:7" ht="18.75" customHeight="1">
      <c r="B76" s="204" t="s">
        <v>107</v>
      </c>
      <c r="C76" s="143" t="s">
        <v>102</v>
      </c>
      <c r="D76" s="144"/>
      <c r="E76" s="144"/>
      <c r="F76" s="144"/>
      <c r="G76" s="145"/>
    </row>
    <row r="77" spans="2:7" ht="37.5" customHeight="1">
      <c r="B77" s="205"/>
      <c r="C77" s="219" t="s">
        <v>250</v>
      </c>
      <c r="D77" s="228"/>
      <c r="E77" s="228"/>
      <c r="F77" s="228"/>
      <c r="G77" s="229"/>
    </row>
    <row r="78" spans="2:7" ht="37.5" customHeight="1">
      <c r="B78" s="205"/>
      <c r="C78" s="230"/>
      <c r="D78" s="231"/>
      <c r="E78" s="231"/>
      <c r="F78" s="231"/>
      <c r="G78" s="232"/>
    </row>
    <row r="79" spans="2:7" ht="37.5" customHeight="1">
      <c r="B79" s="205"/>
      <c r="C79" s="230"/>
      <c r="D79" s="231"/>
      <c r="E79" s="231"/>
      <c r="F79" s="231"/>
      <c r="G79" s="232"/>
    </row>
    <row r="80" spans="2:7" ht="37.5" customHeight="1">
      <c r="B80" s="205"/>
      <c r="C80" s="230"/>
      <c r="D80" s="231"/>
      <c r="E80" s="231"/>
      <c r="F80" s="231"/>
      <c r="G80" s="232"/>
    </row>
    <row r="81" spans="2:7" ht="37.5" customHeight="1">
      <c r="B81" s="205"/>
      <c r="C81" s="233"/>
      <c r="D81" s="234"/>
      <c r="E81" s="234"/>
      <c r="F81" s="234"/>
      <c r="G81" s="235"/>
    </row>
    <row r="82" spans="2:7" ht="18.75" customHeight="1">
      <c r="B82" s="205"/>
      <c r="C82" s="113" t="s">
        <v>103</v>
      </c>
      <c r="D82" s="143" t="s">
        <v>104</v>
      </c>
      <c r="E82" s="144"/>
      <c r="F82" s="144"/>
      <c r="G82" s="145"/>
    </row>
    <row r="83" spans="2:7" ht="18.75" customHeight="1">
      <c r="B83" s="205"/>
      <c r="C83" s="109" t="s">
        <v>150</v>
      </c>
      <c r="D83" s="215" t="s">
        <v>183</v>
      </c>
      <c r="E83" s="216"/>
      <c r="F83" s="216"/>
      <c r="G83" s="217"/>
    </row>
    <row r="84" spans="2:7" ht="18.75" customHeight="1">
      <c r="B84" s="205"/>
      <c r="C84" s="109" t="s">
        <v>149</v>
      </c>
      <c r="D84" s="215" t="s">
        <v>209</v>
      </c>
      <c r="E84" s="216"/>
      <c r="F84" s="216"/>
      <c r="G84" s="217"/>
    </row>
    <row r="85" spans="2:7" ht="18.75" customHeight="1">
      <c r="B85" s="205"/>
      <c r="C85" s="114" t="s">
        <v>197</v>
      </c>
      <c r="D85" s="215" t="s">
        <v>213</v>
      </c>
      <c r="E85" s="216"/>
      <c r="F85" s="216"/>
      <c r="G85" s="217"/>
    </row>
    <row r="86" spans="2:7" ht="18.75" customHeight="1">
      <c r="B86" s="205"/>
      <c r="C86" s="111"/>
      <c r="D86" s="215"/>
      <c r="E86" s="216"/>
      <c r="F86" s="216"/>
      <c r="G86" s="217"/>
    </row>
    <row r="87" spans="2:7" ht="18.75" customHeight="1">
      <c r="B87" s="205"/>
      <c r="C87" s="111"/>
      <c r="D87" s="215"/>
      <c r="E87" s="216"/>
      <c r="F87" s="216"/>
      <c r="G87" s="217"/>
    </row>
    <row r="88" spans="2:7" ht="18.75" customHeight="1">
      <c r="B88" s="205"/>
      <c r="C88" s="111"/>
      <c r="D88" s="215"/>
      <c r="E88" s="216"/>
      <c r="F88" s="216"/>
      <c r="G88" s="217"/>
    </row>
    <row r="89" spans="2:7" ht="18.75" customHeight="1">
      <c r="B89" s="205"/>
      <c r="C89" s="111"/>
      <c r="D89" s="215"/>
      <c r="E89" s="216"/>
      <c r="F89" s="216"/>
      <c r="G89" s="217"/>
    </row>
    <row r="90" spans="2:7" ht="18.75" customHeight="1">
      <c r="B90" s="205"/>
      <c r="C90" s="111"/>
      <c r="D90" s="215"/>
      <c r="E90" s="216"/>
      <c r="F90" s="216"/>
      <c r="G90" s="217"/>
    </row>
    <row r="91" spans="2:7" ht="18.75" customHeight="1">
      <c r="B91" s="205"/>
      <c r="C91" s="111"/>
      <c r="D91" s="215"/>
      <c r="E91" s="216"/>
      <c r="F91" s="216"/>
      <c r="G91" s="217"/>
    </row>
    <row r="92" spans="2:7" ht="18.75" customHeight="1">
      <c r="B92" s="205"/>
      <c r="C92" s="111"/>
      <c r="D92" s="215"/>
      <c r="E92" s="216"/>
      <c r="F92" s="216"/>
      <c r="G92" s="217"/>
    </row>
    <row r="93" spans="2:7" ht="18.75" customHeight="1">
      <c r="B93" s="205"/>
      <c r="C93" s="111"/>
      <c r="D93" s="215"/>
      <c r="E93" s="216"/>
      <c r="F93" s="216"/>
      <c r="G93" s="217"/>
    </row>
    <row r="94" spans="2:7" ht="18.75" customHeight="1">
      <c r="B94" s="205"/>
      <c r="C94" s="111"/>
      <c r="D94" s="215"/>
      <c r="E94" s="216"/>
      <c r="F94" s="216"/>
      <c r="G94" s="217"/>
    </row>
    <row r="95" spans="2:7" ht="18.75" customHeight="1">
      <c r="B95" s="205"/>
      <c r="C95" s="111"/>
      <c r="D95" s="215"/>
      <c r="E95" s="216"/>
      <c r="F95" s="216"/>
      <c r="G95" s="217"/>
    </row>
    <row r="96" spans="2:7" ht="18.75" customHeight="1">
      <c r="B96" s="205"/>
      <c r="C96" s="111"/>
      <c r="D96" s="215"/>
      <c r="E96" s="216"/>
      <c r="F96" s="216"/>
      <c r="G96" s="217"/>
    </row>
    <row r="97" spans="2:8" ht="18.75" customHeight="1">
      <c r="B97" s="205"/>
      <c r="C97" s="111"/>
      <c r="D97" s="215"/>
      <c r="E97" s="216"/>
      <c r="F97" s="216"/>
      <c r="G97" s="217"/>
    </row>
    <row r="98" spans="2:8" ht="18.75" customHeight="1">
      <c r="B98" s="205"/>
      <c r="C98" s="111"/>
      <c r="D98" s="215"/>
      <c r="E98" s="216"/>
      <c r="F98" s="216"/>
      <c r="G98" s="217"/>
    </row>
    <row r="99" spans="2:8" ht="18.75" customHeight="1">
      <c r="B99" s="205"/>
      <c r="C99" s="111"/>
      <c r="D99" s="215"/>
      <c r="E99" s="216"/>
      <c r="F99" s="216"/>
      <c r="G99" s="217"/>
    </row>
    <row r="100" spans="2:8" ht="18.75" customHeight="1">
      <c r="B100" s="205"/>
      <c r="C100" s="111"/>
      <c r="D100" s="215"/>
      <c r="E100" s="216"/>
      <c r="F100" s="216"/>
      <c r="G100" s="217"/>
    </row>
    <row r="101" spans="2:8" ht="18.75" customHeight="1">
      <c r="B101" s="204" t="s">
        <v>109</v>
      </c>
      <c r="C101" s="143" t="s">
        <v>102</v>
      </c>
      <c r="D101" s="144"/>
      <c r="E101" s="144"/>
      <c r="F101" s="144"/>
      <c r="G101" s="145"/>
      <c r="H101" s="124"/>
    </row>
    <row r="102" spans="2:8" ht="37.5" customHeight="1">
      <c r="B102" s="205"/>
      <c r="C102" s="219" t="s">
        <v>230</v>
      </c>
      <c r="D102" s="220"/>
      <c r="E102" s="220"/>
      <c r="F102" s="220"/>
      <c r="G102" s="221"/>
      <c r="H102" s="124"/>
    </row>
    <row r="103" spans="2:8" ht="37.5" customHeight="1">
      <c r="B103" s="205"/>
      <c r="C103" s="222"/>
      <c r="D103" s="223"/>
      <c r="E103" s="223"/>
      <c r="F103" s="223"/>
      <c r="G103" s="224"/>
      <c r="H103" s="124"/>
    </row>
    <row r="104" spans="2:8" ht="37.5" customHeight="1">
      <c r="B104" s="205"/>
      <c r="C104" s="222"/>
      <c r="D104" s="223"/>
      <c r="E104" s="223"/>
      <c r="F104" s="223"/>
      <c r="G104" s="224"/>
      <c r="H104" s="124"/>
    </row>
    <row r="105" spans="2:8" ht="37.5" customHeight="1">
      <c r="B105" s="205"/>
      <c r="C105" s="222"/>
      <c r="D105" s="223"/>
      <c r="E105" s="223"/>
      <c r="F105" s="223"/>
      <c r="G105" s="224"/>
      <c r="H105" s="124"/>
    </row>
    <row r="106" spans="2:8" ht="37.5" customHeight="1">
      <c r="B106" s="205"/>
      <c r="C106" s="225"/>
      <c r="D106" s="226"/>
      <c r="E106" s="226"/>
      <c r="F106" s="226"/>
      <c r="G106" s="227"/>
      <c r="H106" s="124"/>
    </row>
    <row r="107" spans="2:8" ht="18.75" customHeight="1">
      <c r="B107" s="205"/>
      <c r="C107" s="113" t="s">
        <v>103</v>
      </c>
      <c r="D107" s="143" t="s">
        <v>104</v>
      </c>
      <c r="E107" s="144"/>
      <c r="F107" s="144"/>
      <c r="G107" s="145"/>
    </row>
    <row r="108" spans="2:8" ht="18.75" customHeight="1">
      <c r="B108" s="205"/>
      <c r="C108" s="109" t="s">
        <v>148</v>
      </c>
      <c r="D108" s="215" t="s">
        <v>212</v>
      </c>
      <c r="E108" s="216"/>
      <c r="F108" s="216"/>
      <c r="G108" s="217"/>
      <c r="H108" s="118"/>
    </row>
    <row r="109" spans="2:8" ht="18.75" customHeight="1">
      <c r="B109" s="205"/>
      <c r="C109" s="109" t="s">
        <v>151</v>
      </c>
      <c r="D109" s="215" t="s">
        <v>251</v>
      </c>
      <c r="E109" s="216"/>
      <c r="F109" s="216"/>
      <c r="G109" s="217"/>
    </row>
    <row r="110" spans="2:8" ht="18.75" customHeight="1">
      <c r="B110" s="205"/>
      <c r="C110" s="114" t="s">
        <v>192</v>
      </c>
      <c r="D110" s="215" t="s">
        <v>210</v>
      </c>
      <c r="E110" s="236"/>
      <c r="F110" s="236"/>
      <c r="G110" s="237"/>
    </row>
    <row r="111" spans="2:8" ht="18.75" customHeight="1">
      <c r="B111" s="205"/>
      <c r="C111" s="114" t="s">
        <v>198</v>
      </c>
      <c r="D111" s="215" t="s">
        <v>258</v>
      </c>
      <c r="E111" s="236"/>
      <c r="F111" s="236"/>
      <c r="G111" s="237"/>
    </row>
    <row r="112" spans="2:8" ht="18.75" customHeight="1">
      <c r="B112" s="205"/>
      <c r="C112" s="114" t="s">
        <v>216</v>
      </c>
      <c r="D112" s="215" t="s">
        <v>264</v>
      </c>
      <c r="E112" s="216"/>
      <c r="F112" s="216"/>
      <c r="G112" s="217"/>
    </row>
    <row r="113" spans="1:7" ht="18.75" customHeight="1">
      <c r="B113" s="205"/>
      <c r="C113" s="129" t="s">
        <v>219</v>
      </c>
      <c r="D113" s="215" t="s">
        <v>263</v>
      </c>
      <c r="E113" s="216"/>
      <c r="F113" s="216"/>
      <c r="G113" s="217"/>
    </row>
    <row r="114" spans="1:7" ht="18.75" customHeight="1">
      <c r="B114" s="205"/>
      <c r="C114" s="114"/>
      <c r="D114" s="215"/>
      <c r="E114" s="216"/>
      <c r="F114" s="216"/>
      <c r="G114" s="217"/>
    </row>
    <row r="115" spans="1:7" ht="18.75" customHeight="1">
      <c r="B115" s="205"/>
      <c r="C115" s="114"/>
      <c r="D115" s="215"/>
      <c r="E115" s="216"/>
      <c r="F115" s="216"/>
      <c r="G115" s="217"/>
    </row>
    <row r="116" spans="1:7" ht="18.75" customHeight="1">
      <c r="B116" s="205"/>
      <c r="C116" s="114"/>
      <c r="D116" s="215"/>
      <c r="E116" s="216"/>
      <c r="F116" s="216"/>
      <c r="G116" s="217"/>
    </row>
    <row r="117" spans="1:7" ht="18.75" customHeight="1">
      <c r="B117" s="205"/>
      <c r="C117" s="114"/>
      <c r="D117" s="215"/>
      <c r="E117" s="253"/>
      <c r="F117" s="253"/>
      <c r="G117" s="254"/>
    </row>
    <row r="118" spans="1:7" ht="18.75" customHeight="1">
      <c r="B118" s="205"/>
      <c r="C118" s="114"/>
      <c r="D118" s="215"/>
      <c r="E118" s="236"/>
      <c r="F118" s="236"/>
      <c r="G118" s="237"/>
    </row>
    <row r="119" spans="1:7" ht="18.75" customHeight="1">
      <c r="B119" s="205"/>
      <c r="C119" s="111"/>
      <c r="D119" s="215"/>
      <c r="E119" s="216"/>
      <c r="F119" s="216"/>
      <c r="G119" s="217"/>
    </row>
    <row r="120" spans="1:7" ht="18.75" customHeight="1">
      <c r="B120" s="205"/>
      <c r="C120" s="111"/>
      <c r="D120" s="215"/>
      <c r="E120" s="216"/>
      <c r="F120" s="216"/>
      <c r="G120" s="217"/>
    </row>
    <row r="121" spans="1:7" ht="18.75" customHeight="1">
      <c r="B121" s="205"/>
      <c r="C121" s="111"/>
      <c r="D121" s="215"/>
      <c r="E121" s="216"/>
      <c r="F121" s="216"/>
      <c r="G121" s="217"/>
    </row>
    <row r="122" spans="1:7" ht="18.75" customHeight="1">
      <c r="B122" s="205"/>
      <c r="C122" s="111"/>
      <c r="D122" s="215"/>
      <c r="E122" s="216"/>
      <c r="F122" s="216"/>
      <c r="G122" s="217"/>
    </row>
    <row r="123" spans="1:7" ht="18.75" customHeight="1">
      <c r="B123" s="205"/>
      <c r="C123" s="111"/>
      <c r="D123" s="215"/>
      <c r="E123" s="216"/>
      <c r="F123" s="216"/>
      <c r="G123" s="217"/>
    </row>
    <row r="124" spans="1:7" ht="18.75" customHeight="1">
      <c r="B124" s="205"/>
      <c r="C124" s="111"/>
      <c r="D124" s="215"/>
      <c r="E124" s="216"/>
      <c r="F124" s="216"/>
      <c r="G124" s="217"/>
    </row>
    <row r="125" spans="1:7" ht="18.75" customHeight="1">
      <c r="B125" s="205"/>
      <c r="C125" s="111"/>
      <c r="D125" s="215"/>
      <c r="E125" s="216"/>
      <c r="F125" s="216"/>
      <c r="G125" s="217"/>
    </row>
    <row r="126" spans="1:7" ht="18.75" customHeight="1">
      <c r="A126" s="96" t="s">
        <v>12</v>
      </c>
      <c r="B126" s="96" t="s">
        <v>100</v>
      </c>
    </row>
    <row r="127" spans="1:7" ht="22.5" customHeight="1">
      <c r="B127" s="111" t="s">
        <v>71</v>
      </c>
      <c r="C127" s="143" t="s">
        <v>99</v>
      </c>
      <c r="D127" s="144"/>
      <c r="E127" s="144"/>
      <c r="F127" s="144"/>
      <c r="G127" s="145"/>
    </row>
    <row r="128" spans="1:7" ht="45" customHeight="1">
      <c r="B128" s="98" t="s">
        <v>72</v>
      </c>
      <c r="C128" s="238" t="s">
        <v>195</v>
      </c>
      <c r="D128" s="239"/>
      <c r="E128" s="239"/>
      <c r="F128" s="239"/>
      <c r="G128" s="240"/>
    </row>
    <row r="129" spans="1:8" ht="45" customHeight="1">
      <c r="B129" s="98" t="s">
        <v>73</v>
      </c>
      <c r="C129" s="238" t="s">
        <v>153</v>
      </c>
      <c r="D129" s="239"/>
      <c r="E129" s="239"/>
      <c r="F129" s="239"/>
      <c r="G129" s="240"/>
    </row>
    <row r="130" spans="1:8" ht="45" customHeight="1">
      <c r="B130" s="98" t="s">
        <v>74</v>
      </c>
      <c r="C130" s="238" t="s">
        <v>180</v>
      </c>
      <c r="D130" s="239"/>
      <c r="E130" s="239"/>
      <c r="F130" s="239"/>
      <c r="G130" s="240"/>
    </row>
    <row r="131" spans="1:8" ht="45" customHeight="1">
      <c r="B131" s="98" t="s">
        <v>75</v>
      </c>
      <c r="C131" s="238" t="s">
        <v>189</v>
      </c>
      <c r="D131" s="239"/>
      <c r="E131" s="239"/>
      <c r="F131" s="239"/>
      <c r="G131" s="240"/>
    </row>
    <row r="132" spans="1:8" ht="45" customHeight="1">
      <c r="B132" s="98" t="s">
        <v>76</v>
      </c>
      <c r="C132" s="238" t="s">
        <v>150</v>
      </c>
      <c r="D132" s="239"/>
      <c r="E132" s="239"/>
      <c r="F132" s="239"/>
      <c r="G132" s="240"/>
    </row>
    <row r="133" spans="1:8" ht="45" customHeight="1">
      <c r="B133" s="98" t="s">
        <v>77</v>
      </c>
      <c r="C133" s="238" t="s">
        <v>150</v>
      </c>
      <c r="D133" s="239"/>
      <c r="E133" s="239"/>
      <c r="F133" s="239"/>
      <c r="G133" s="240"/>
    </row>
    <row r="134" spans="1:8" ht="45" customHeight="1">
      <c r="B134" s="98" t="s">
        <v>78</v>
      </c>
      <c r="C134" s="238" t="s">
        <v>181</v>
      </c>
      <c r="D134" s="239"/>
      <c r="E134" s="239"/>
      <c r="F134" s="239"/>
      <c r="G134" s="240"/>
    </row>
    <row r="135" spans="1:8" ht="45" customHeight="1">
      <c r="B135" s="98" t="s">
        <v>79</v>
      </c>
      <c r="C135" s="238" t="s">
        <v>181</v>
      </c>
      <c r="D135" s="239"/>
      <c r="E135" s="239"/>
      <c r="F135" s="239"/>
      <c r="G135" s="240"/>
    </row>
    <row r="136" spans="1:8" ht="45" customHeight="1">
      <c r="B136" s="98" t="s">
        <v>80</v>
      </c>
      <c r="C136" s="238" t="s">
        <v>262</v>
      </c>
      <c r="D136" s="239"/>
      <c r="E136" s="239"/>
      <c r="F136" s="239"/>
      <c r="G136" s="240"/>
    </row>
    <row r="137" spans="1:8" ht="7.5" customHeight="1"/>
    <row r="138" spans="1:8" ht="18.75" customHeight="1">
      <c r="A138" s="96" t="s">
        <v>13</v>
      </c>
      <c r="B138" s="96" t="s">
        <v>95</v>
      </c>
      <c r="E138" s="241" t="s">
        <v>260</v>
      </c>
      <c r="F138" s="242"/>
      <c r="G138" s="243"/>
      <c r="H138" s="122"/>
    </row>
    <row r="139" spans="1:8" ht="7.5" customHeight="1"/>
    <row r="140" spans="1:8" ht="18.75" customHeight="1">
      <c r="A140" s="96" t="s">
        <v>17</v>
      </c>
      <c r="B140" s="96" t="s">
        <v>96</v>
      </c>
    </row>
    <row r="141" spans="1:8" ht="18.75" customHeight="1">
      <c r="B141" s="244" t="s">
        <v>243</v>
      </c>
      <c r="C141" s="245"/>
      <c r="D141" s="245"/>
      <c r="E141" s="245"/>
      <c r="F141" s="245"/>
      <c r="G141" s="246"/>
      <c r="H141" s="122"/>
    </row>
    <row r="142" spans="1:8" ht="18.75" customHeight="1">
      <c r="B142" s="247"/>
      <c r="C142" s="248"/>
      <c r="D142" s="248"/>
      <c r="E142" s="248"/>
      <c r="F142" s="248"/>
      <c r="G142" s="249"/>
    </row>
    <row r="143" spans="1:8" ht="18.75" customHeight="1">
      <c r="B143" s="247"/>
      <c r="C143" s="248"/>
      <c r="D143" s="248"/>
      <c r="E143" s="248"/>
      <c r="F143" s="248"/>
      <c r="G143" s="249"/>
    </row>
    <row r="144" spans="1:8" ht="18" customHeight="1">
      <c r="B144" s="250"/>
      <c r="C144" s="251"/>
      <c r="D144" s="251"/>
      <c r="E144" s="251"/>
      <c r="F144" s="251"/>
      <c r="G144" s="252"/>
    </row>
    <row r="145" spans="2:2" ht="18.75" customHeight="1"/>
    <row r="146" spans="2:2" ht="18.75" customHeight="1">
      <c r="B146" s="106"/>
    </row>
    <row r="147" spans="2:2" ht="18.75" customHeight="1">
      <c r="B147" s="110"/>
    </row>
    <row r="148" spans="2:2" ht="18.75" customHeight="1"/>
    <row r="149" spans="2:2" ht="18.75" customHeight="1"/>
    <row r="150" spans="2:2"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location="87474c94"/>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8"/>
  <sheetViews>
    <sheetView showZeros="0" zoomScaleNormal="100" workbookViewId="0">
      <selection activeCell="B1" sqref="B1"/>
    </sheetView>
  </sheetViews>
  <sheetFormatPr defaultColWidth="11.375" defaultRowHeight="18.75" customHeight="1"/>
  <cols>
    <col min="1" max="1" width="2.625" style="88" customWidth="1"/>
    <col min="2" max="2" width="54.125" style="7" customWidth="1"/>
    <col min="3" max="3" width="1.125" style="7" customWidth="1"/>
    <col min="4" max="4" width="22.5" style="7" customWidth="1"/>
    <col min="5" max="5" width="6.125" style="7" customWidth="1"/>
    <col min="6" max="16384" width="11.375" style="7"/>
  </cols>
  <sheetData>
    <row r="1" spans="1:6" ht="18.75" customHeight="1">
      <c r="E1" s="16" t="s">
        <v>101</v>
      </c>
    </row>
    <row r="2" spans="1:6" ht="18.75" customHeight="1">
      <c r="B2" s="16" t="s">
        <v>84</v>
      </c>
      <c r="C2" s="16" t="s">
        <v>8</v>
      </c>
      <c r="D2" s="274" t="s">
        <v>176</v>
      </c>
      <c r="E2" s="274"/>
    </row>
    <row r="3" spans="1:6" ht="7.5" customHeight="1">
      <c r="B3" s="16"/>
      <c r="C3" s="16"/>
      <c r="D3" s="17"/>
      <c r="E3" s="17"/>
    </row>
    <row r="4" spans="1:6" ht="18.75" customHeight="1">
      <c r="B4" s="275" t="s">
        <v>81</v>
      </c>
      <c r="C4" s="275"/>
      <c r="D4" s="275"/>
      <c r="E4" s="275"/>
    </row>
    <row r="5" spans="1:6" ht="7.5" customHeight="1">
      <c r="B5" s="17"/>
      <c r="C5" s="17"/>
      <c r="D5" s="17"/>
      <c r="E5" s="17"/>
    </row>
    <row r="6" spans="1:6" ht="18.75" customHeight="1">
      <c r="A6" s="10" t="s">
        <v>7</v>
      </c>
      <c r="B6" s="54" t="s">
        <v>94</v>
      </c>
      <c r="C6" s="17"/>
      <c r="D6" s="17"/>
      <c r="E6" s="17"/>
    </row>
    <row r="7" spans="1:6" ht="18.75" customHeight="1">
      <c r="A7" s="10"/>
      <c r="B7" s="294" t="s">
        <v>253</v>
      </c>
      <c r="C7" s="295"/>
      <c r="D7" s="295"/>
      <c r="E7" s="296"/>
    </row>
    <row r="8" spans="1:6" ht="7.5" customHeight="1">
      <c r="B8" s="17"/>
      <c r="C8" s="17"/>
      <c r="D8" s="17"/>
      <c r="E8" s="17"/>
    </row>
    <row r="9" spans="1:6" s="9" customFormat="1" ht="18.75" customHeight="1">
      <c r="A9" s="10" t="s">
        <v>12</v>
      </c>
      <c r="B9" s="57" t="s">
        <v>46</v>
      </c>
      <c r="C9" s="10"/>
      <c r="D9" s="10"/>
      <c r="E9" s="10"/>
    </row>
    <row r="10" spans="1:6" s="8" customFormat="1" ht="18.75" customHeight="1">
      <c r="A10" s="87"/>
      <c r="B10" s="276" t="s">
        <v>252</v>
      </c>
      <c r="C10" s="277"/>
      <c r="D10" s="277"/>
      <c r="E10" s="278"/>
      <c r="F10" s="9"/>
    </row>
    <row r="11" spans="1:6" s="8" customFormat="1" ht="18.75" customHeight="1">
      <c r="A11" s="87"/>
      <c r="B11" s="279"/>
      <c r="C11" s="280"/>
      <c r="D11" s="280"/>
      <c r="E11" s="281"/>
    </row>
    <row r="12" spans="1:6" s="8" customFormat="1" ht="18.75" customHeight="1">
      <c r="A12" s="87"/>
      <c r="B12" s="279"/>
      <c r="C12" s="280"/>
      <c r="D12" s="280"/>
      <c r="E12" s="281"/>
    </row>
    <row r="13" spans="1:6" s="8" customFormat="1" ht="18.75" customHeight="1">
      <c r="A13" s="87"/>
      <c r="B13" s="279"/>
      <c r="C13" s="280"/>
      <c r="D13" s="280"/>
      <c r="E13" s="281"/>
    </row>
    <row r="14" spans="1:6" s="8" customFormat="1" ht="18.75" customHeight="1">
      <c r="A14" s="87"/>
      <c r="B14" s="282"/>
      <c r="C14" s="283"/>
      <c r="D14" s="283"/>
      <c r="E14" s="284"/>
    </row>
    <row r="15" spans="1:6" s="8" customFormat="1" ht="7.5" customHeight="1">
      <c r="A15" s="87"/>
      <c r="B15" s="87"/>
      <c r="C15" s="87"/>
      <c r="D15" s="87"/>
      <c r="E15" s="87"/>
    </row>
    <row r="16" spans="1:6" s="9" customFormat="1" ht="18.75" customHeight="1">
      <c r="A16" s="89" t="s">
        <v>13</v>
      </c>
      <c r="B16" s="125" t="s">
        <v>19</v>
      </c>
      <c r="C16" s="89"/>
      <c r="D16" s="89"/>
      <c r="E16" s="89"/>
    </row>
    <row r="17" spans="1:18" s="8" customFormat="1" ht="18.75" customHeight="1">
      <c r="A17" s="87"/>
      <c r="B17" s="285" t="s">
        <v>220</v>
      </c>
      <c r="C17" s="265"/>
      <c r="D17" s="265"/>
      <c r="E17" s="266"/>
      <c r="G17" s="93"/>
    </row>
    <row r="18" spans="1:18" s="8" customFormat="1" ht="18.75" customHeight="1">
      <c r="A18" s="87"/>
      <c r="B18" s="267"/>
      <c r="C18" s="268"/>
      <c r="D18" s="268"/>
      <c r="E18" s="269"/>
      <c r="G18" s="93"/>
    </row>
    <row r="19" spans="1:18" s="8" customFormat="1" ht="18.75" customHeight="1">
      <c r="A19" s="87"/>
      <c r="B19" s="267"/>
      <c r="C19" s="268"/>
      <c r="D19" s="268"/>
      <c r="E19" s="269"/>
      <c r="G19" s="93"/>
    </row>
    <row r="20" spans="1:18" s="8" customFormat="1" ht="18.75" customHeight="1">
      <c r="A20" s="87"/>
      <c r="B20" s="267"/>
      <c r="C20" s="268"/>
      <c r="D20" s="268"/>
      <c r="E20" s="269"/>
      <c r="G20" s="93"/>
    </row>
    <row r="21" spans="1:18" s="8" customFormat="1" ht="18.75" customHeight="1">
      <c r="A21" s="87"/>
      <c r="B21" s="267"/>
      <c r="C21" s="268"/>
      <c r="D21" s="268"/>
      <c r="E21" s="269"/>
      <c r="G21" s="67"/>
    </row>
    <row r="22" spans="1:18" s="8" customFormat="1" ht="18.75" customHeight="1">
      <c r="A22" s="87"/>
      <c r="B22" s="267"/>
      <c r="C22" s="268"/>
      <c r="D22" s="268"/>
      <c r="E22" s="269"/>
    </row>
    <row r="23" spans="1:18" s="8" customFormat="1" ht="18.75" customHeight="1">
      <c r="A23" s="87"/>
      <c r="B23" s="267"/>
      <c r="C23" s="268"/>
      <c r="D23" s="268"/>
      <c r="E23" s="269"/>
    </row>
    <row r="24" spans="1:18" s="8" customFormat="1" ht="18.75" customHeight="1">
      <c r="A24" s="87"/>
      <c r="B24" s="267"/>
      <c r="C24" s="268"/>
      <c r="D24" s="268"/>
      <c r="E24" s="269"/>
    </row>
    <row r="25" spans="1:18" s="8" customFormat="1" ht="18.75" customHeight="1">
      <c r="A25" s="87"/>
      <c r="B25" s="267"/>
      <c r="C25" s="268"/>
      <c r="D25" s="268"/>
      <c r="E25" s="269"/>
    </row>
    <row r="26" spans="1:18" s="8" customFormat="1" ht="18.75" customHeight="1">
      <c r="A26" s="87"/>
      <c r="B26" s="267"/>
      <c r="C26" s="268"/>
      <c r="D26" s="268"/>
      <c r="E26" s="269"/>
    </row>
    <row r="27" spans="1:18" s="8" customFormat="1" ht="18.75" customHeight="1">
      <c r="A27" s="87"/>
      <c r="B27" s="267"/>
      <c r="C27" s="268"/>
      <c r="D27" s="268"/>
      <c r="E27" s="269"/>
    </row>
    <row r="28" spans="1:18" s="8" customFormat="1" ht="18.75" customHeight="1">
      <c r="A28" s="87"/>
      <c r="B28" s="270"/>
      <c r="C28" s="271"/>
      <c r="D28" s="271"/>
      <c r="E28" s="272"/>
    </row>
    <row r="29" spans="1:18" ht="7.5" customHeight="1">
      <c r="A29" s="76"/>
      <c r="B29" s="76"/>
      <c r="C29" s="76"/>
      <c r="D29" s="76"/>
      <c r="E29" s="76"/>
    </row>
    <row r="30" spans="1:18" s="9" customFormat="1" ht="18.75" customHeight="1">
      <c r="A30" s="10" t="s">
        <v>17</v>
      </c>
      <c r="B30" s="57" t="s">
        <v>30</v>
      </c>
      <c r="C30" s="10"/>
      <c r="D30" s="10"/>
      <c r="E30" s="10"/>
      <c r="F30" s="108"/>
      <c r="G30" s="54"/>
      <c r="H30" s="54"/>
      <c r="I30" s="54"/>
      <c r="J30" s="54"/>
      <c r="K30" s="54"/>
      <c r="L30" s="54"/>
      <c r="M30" s="54"/>
      <c r="N30" s="54"/>
      <c r="O30" s="54"/>
      <c r="P30" s="54"/>
      <c r="Q30" s="54"/>
      <c r="R30" s="54"/>
    </row>
    <row r="31" spans="1:18" s="9" customFormat="1" ht="18.75" customHeight="1">
      <c r="A31" s="10"/>
      <c r="B31" s="285" t="s">
        <v>235</v>
      </c>
      <c r="C31" s="265"/>
      <c r="D31" s="265"/>
      <c r="E31" s="266"/>
      <c r="F31" s="2"/>
      <c r="G31" s="54"/>
      <c r="H31" s="54"/>
      <c r="I31" s="54"/>
      <c r="J31" s="54"/>
      <c r="K31" s="54"/>
      <c r="L31" s="54"/>
      <c r="M31" s="54"/>
      <c r="N31" s="54"/>
      <c r="O31" s="54"/>
      <c r="P31" s="54"/>
      <c r="Q31" s="54"/>
      <c r="R31" s="54"/>
    </row>
    <row r="32" spans="1:18" s="9" customFormat="1" ht="18.75" customHeight="1">
      <c r="A32" s="10"/>
      <c r="B32" s="267"/>
      <c r="C32" s="268"/>
      <c r="D32" s="268"/>
      <c r="E32" s="269"/>
      <c r="G32" s="54"/>
      <c r="H32" s="54"/>
      <c r="I32" s="54"/>
      <c r="J32" s="54"/>
      <c r="K32" s="54"/>
      <c r="L32" s="54"/>
      <c r="M32" s="54"/>
      <c r="N32" s="54"/>
      <c r="O32" s="54"/>
      <c r="P32" s="94"/>
      <c r="Q32" s="54"/>
      <c r="R32" s="54"/>
    </row>
    <row r="33" spans="1:18" s="9" customFormat="1" ht="18.75" customHeight="1">
      <c r="A33" s="10"/>
      <c r="B33" s="267"/>
      <c r="C33" s="268"/>
      <c r="D33" s="268"/>
      <c r="E33" s="269"/>
      <c r="G33" s="54"/>
      <c r="H33" s="54"/>
      <c r="I33" s="54"/>
      <c r="J33" s="54"/>
      <c r="K33" s="54"/>
      <c r="L33" s="54"/>
      <c r="M33" s="54"/>
      <c r="N33" s="54"/>
      <c r="O33" s="54"/>
      <c r="P33" s="94"/>
      <c r="Q33" s="51"/>
      <c r="R33" s="54"/>
    </row>
    <row r="34" spans="1:18" s="9" customFormat="1" ht="18.75" customHeight="1">
      <c r="A34" s="10"/>
      <c r="B34" s="267"/>
      <c r="C34" s="268"/>
      <c r="D34" s="268"/>
      <c r="E34" s="269"/>
      <c r="G34" s="54"/>
      <c r="H34" s="54"/>
      <c r="I34" s="54"/>
      <c r="J34" s="54"/>
      <c r="K34" s="54"/>
      <c r="L34" s="54"/>
      <c r="M34" s="54"/>
      <c r="N34" s="54"/>
      <c r="O34" s="54"/>
      <c r="P34" s="94"/>
      <c r="Q34" s="94"/>
      <c r="R34" s="54"/>
    </row>
    <row r="35" spans="1:18" s="9" customFormat="1" ht="18.75" customHeight="1">
      <c r="A35" s="10"/>
      <c r="B35" s="267"/>
      <c r="C35" s="268"/>
      <c r="D35" s="268"/>
      <c r="E35" s="269"/>
      <c r="G35" s="54"/>
      <c r="H35" s="54"/>
      <c r="I35" s="54"/>
      <c r="J35" s="54"/>
      <c r="K35" s="123"/>
      <c r="L35" s="123"/>
      <c r="M35" s="123"/>
      <c r="N35" s="123"/>
      <c r="O35" s="54"/>
      <c r="P35" s="94"/>
      <c r="Q35" s="94"/>
      <c r="R35" s="54"/>
    </row>
    <row r="36" spans="1:18" s="9" customFormat="1" ht="18.75" customHeight="1">
      <c r="A36" s="10"/>
      <c r="B36" s="267"/>
      <c r="C36" s="268"/>
      <c r="D36" s="268"/>
      <c r="E36" s="269"/>
      <c r="G36" s="54"/>
      <c r="H36" s="54"/>
      <c r="I36" s="54"/>
      <c r="J36" s="54"/>
      <c r="K36" s="123"/>
      <c r="L36" s="123"/>
      <c r="M36" s="123"/>
      <c r="N36" s="123"/>
      <c r="O36" s="54"/>
      <c r="P36" s="94"/>
      <c r="Q36" s="94"/>
      <c r="R36" s="54"/>
    </row>
    <row r="37" spans="1:18" s="9" customFormat="1" ht="18.75" customHeight="1">
      <c r="A37" s="10"/>
      <c r="B37" s="267"/>
      <c r="C37" s="268"/>
      <c r="D37" s="268"/>
      <c r="E37" s="269"/>
      <c r="G37" s="54"/>
      <c r="H37" s="54"/>
      <c r="I37" s="54"/>
      <c r="J37" s="54"/>
      <c r="K37" s="123"/>
      <c r="L37" s="123"/>
      <c r="M37" s="123"/>
      <c r="N37" s="123"/>
      <c r="O37" s="54"/>
      <c r="P37" s="94"/>
      <c r="Q37" s="94"/>
      <c r="R37" s="54"/>
    </row>
    <row r="38" spans="1:18" s="9" customFormat="1" ht="18.75" customHeight="1">
      <c r="A38" s="10"/>
      <c r="B38" s="267"/>
      <c r="C38" s="268"/>
      <c r="D38" s="268"/>
      <c r="E38" s="269"/>
      <c r="G38" s="54"/>
      <c r="H38" s="54"/>
      <c r="I38" s="54"/>
      <c r="J38" s="54"/>
      <c r="K38" s="123"/>
      <c r="L38" s="123"/>
      <c r="M38" s="123"/>
      <c r="N38" s="123"/>
      <c r="O38" s="54"/>
      <c r="P38" s="94"/>
      <c r="Q38" s="94"/>
      <c r="R38" s="54"/>
    </row>
    <row r="39" spans="1:18" s="9" customFormat="1" ht="18.75" customHeight="1">
      <c r="A39" s="10"/>
      <c r="B39" s="267"/>
      <c r="C39" s="268"/>
      <c r="D39" s="268"/>
      <c r="E39" s="269"/>
      <c r="G39" s="123"/>
      <c r="H39" s="54"/>
      <c r="I39" s="54"/>
      <c r="J39" s="54"/>
      <c r="K39" s="54"/>
      <c r="L39" s="54"/>
      <c r="M39" s="54"/>
      <c r="N39" s="54"/>
      <c r="O39" s="54"/>
      <c r="P39" s="54"/>
      <c r="Q39" s="54"/>
      <c r="R39" s="54"/>
    </row>
    <row r="40" spans="1:18" s="9" customFormat="1" ht="18.75" customHeight="1">
      <c r="A40" s="10"/>
      <c r="B40" s="267"/>
      <c r="C40" s="268"/>
      <c r="D40" s="268"/>
      <c r="E40" s="269"/>
      <c r="G40" s="54"/>
      <c r="H40" s="54"/>
      <c r="I40" s="54"/>
      <c r="J40" s="54"/>
      <c r="K40" s="54"/>
      <c r="L40" s="54"/>
      <c r="M40" s="54"/>
      <c r="N40" s="54"/>
      <c r="O40" s="54"/>
      <c r="P40" s="54"/>
      <c r="Q40" s="54"/>
      <c r="R40" s="54"/>
    </row>
    <row r="41" spans="1:18" s="9" customFormat="1" ht="18.75" customHeight="1">
      <c r="A41" s="10"/>
      <c r="B41" s="267"/>
      <c r="C41" s="268"/>
      <c r="D41" s="268"/>
      <c r="E41" s="269"/>
      <c r="G41" s="54"/>
      <c r="H41" s="54"/>
      <c r="I41" s="54"/>
      <c r="J41" s="54"/>
      <c r="K41" s="54"/>
      <c r="L41" s="54"/>
      <c r="M41" s="54"/>
      <c r="N41" s="54"/>
      <c r="O41" s="54"/>
      <c r="P41" s="54"/>
      <c r="Q41" s="54"/>
      <c r="R41" s="54"/>
    </row>
    <row r="42" spans="1:18" s="9" customFormat="1" ht="18.75" customHeight="1">
      <c r="A42" s="10"/>
      <c r="B42" s="267"/>
      <c r="C42" s="268"/>
      <c r="D42" s="268"/>
      <c r="E42" s="269"/>
      <c r="G42" s="54"/>
      <c r="H42" s="54"/>
      <c r="I42" s="54"/>
      <c r="J42" s="54"/>
      <c r="K42" s="54"/>
      <c r="L42" s="54"/>
      <c r="M42" s="54"/>
      <c r="N42" s="54"/>
      <c r="O42" s="54"/>
      <c r="P42" s="54"/>
      <c r="Q42" s="54"/>
      <c r="R42" s="54"/>
    </row>
    <row r="43" spans="1:18" s="9" customFormat="1" ht="18.75" customHeight="1">
      <c r="A43" s="10"/>
      <c r="B43" s="267"/>
      <c r="C43" s="268"/>
      <c r="D43" s="268"/>
      <c r="E43" s="269"/>
      <c r="G43" s="54"/>
      <c r="H43" s="54"/>
      <c r="I43" s="54"/>
      <c r="J43" s="54"/>
      <c r="K43" s="54"/>
      <c r="L43" s="54"/>
      <c r="M43" s="54"/>
      <c r="N43" s="54"/>
      <c r="O43" s="54"/>
      <c r="P43" s="54"/>
      <c r="Q43" s="54"/>
      <c r="R43" s="54"/>
    </row>
    <row r="44" spans="1:18" s="9" customFormat="1" ht="18.75" customHeight="1">
      <c r="A44" s="10"/>
      <c r="B44" s="267"/>
      <c r="C44" s="268"/>
      <c r="D44" s="268"/>
      <c r="E44" s="269"/>
    </row>
    <row r="45" spans="1:18" ht="18.75" customHeight="1">
      <c r="A45" s="76"/>
      <c r="B45" s="267"/>
      <c r="C45" s="268"/>
      <c r="D45" s="268"/>
      <c r="E45" s="269"/>
    </row>
    <row r="46" spans="1:18" ht="18.75" customHeight="1">
      <c r="A46" s="76"/>
      <c r="B46" s="270"/>
      <c r="C46" s="271"/>
      <c r="D46" s="271"/>
      <c r="E46" s="272"/>
    </row>
    <row r="47" spans="1:18" s="9" customFormat="1" ht="18.75" customHeight="1">
      <c r="A47" s="89" t="s">
        <v>14</v>
      </c>
      <c r="B47" s="43" t="s">
        <v>82</v>
      </c>
      <c r="C47" s="125"/>
      <c r="D47" s="125"/>
      <c r="E47" s="89"/>
      <c r="F47" s="107"/>
    </row>
    <row r="48" spans="1:18" ht="18.75" customHeight="1">
      <c r="A48" s="76"/>
      <c r="B48" s="264" t="s">
        <v>236</v>
      </c>
      <c r="C48" s="286"/>
      <c r="D48" s="286"/>
      <c r="E48" s="287"/>
      <c r="F48" s="9"/>
    </row>
    <row r="49" spans="1:5" ht="18.75" customHeight="1">
      <c r="A49" s="76"/>
      <c r="B49" s="288"/>
      <c r="C49" s="289"/>
      <c r="D49" s="289"/>
      <c r="E49" s="290"/>
    </row>
    <row r="50" spans="1:5" ht="18.75" customHeight="1">
      <c r="A50" s="76"/>
      <c r="B50" s="288"/>
      <c r="C50" s="289"/>
      <c r="D50" s="289"/>
      <c r="E50" s="290"/>
    </row>
    <row r="51" spans="1:5" ht="18.75" customHeight="1">
      <c r="A51" s="76"/>
      <c r="B51" s="288"/>
      <c r="C51" s="289"/>
      <c r="D51" s="289"/>
      <c r="E51" s="290"/>
    </row>
    <row r="52" spans="1:5" ht="18.75" customHeight="1">
      <c r="A52" s="76"/>
      <c r="B52" s="288"/>
      <c r="C52" s="289"/>
      <c r="D52" s="289"/>
      <c r="E52" s="290"/>
    </row>
    <row r="53" spans="1:5" ht="18.75" customHeight="1">
      <c r="A53" s="76"/>
      <c r="B53" s="288"/>
      <c r="C53" s="289"/>
      <c r="D53" s="289"/>
      <c r="E53" s="290"/>
    </row>
    <row r="54" spans="1:5" ht="18.75" customHeight="1">
      <c r="A54" s="76"/>
      <c r="B54" s="288"/>
      <c r="C54" s="289"/>
      <c r="D54" s="289"/>
      <c r="E54" s="290"/>
    </row>
    <row r="55" spans="1:5" ht="18.75" customHeight="1">
      <c r="A55" s="76"/>
      <c r="B55" s="288"/>
      <c r="C55" s="289"/>
      <c r="D55" s="289"/>
      <c r="E55" s="290"/>
    </row>
    <row r="56" spans="1:5" ht="18.75" customHeight="1">
      <c r="A56" s="76"/>
      <c r="B56" s="288"/>
      <c r="C56" s="289"/>
      <c r="D56" s="289"/>
      <c r="E56" s="290"/>
    </row>
    <row r="57" spans="1:5" ht="18.75" customHeight="1">
      <c r="A57" s="76"/>
      <c r="B57" s="288"/>
      <c r="C57" s="289"/>
      <c r="D57" s="289"/>
      <c r="E57" s="290"/>
    </row>
    <row r="58" spans="1:5" ht="18.75" customHeight="1">
      <c r="A58" s="76"/>
      <c r="B58" s="288"/>
      <c r="C58" s="289"/>
      <c r="D58" s="289"/>
      <c r="E58" s="290"/>
    </row>
    <row r="59" spans="1:5" ht="18.75" customHeight="1">
      <c r="A59" s="76"/>
      <c r="B59" s="288"/>
      <c r="C59" s="289"/>
      <c r="D59" s="289"/>
      <c r="E59" s="290"/>
    </row>
    <row r="60" spans="1:5" ht="18.75" customHeight="1">
      <c r="A60" s="76"/>
      <c r="B60" s="288"/>
      <c r="C60" s="289"/>
      <c r="D60" s="289"/>
      <c r="E60" s="290"/>
    </row>
    <row r="61" spans="1:5" ht="18.75" customHeight="1">
      <c r="A61" s="76"/>
      <c r="B61" s="288"/>
      <c r="C61" s="289"/>
      <c r="D61" s="289"/>
      <c r="E61" s="290"/>
    </row>
    <row r="62" spans="1:5" ht="18.75" customHeight="1">
      <c r="A62" s="76"/>
      <c r="B62" s="288"/>
      <c r="C62" s="289"/>
      <c r="D62" s="289"/>
      <c r="E62" s="290"/>
    </row>
    <row r="63" spans="1:5" ht="18.75" customHeight="1">
      <c r="A63" s="76"/>
      <c r="B63" s="288"/>
      <c r="C63" s="289"/>
      <c r="D63" s="289"/>
      <c r="E63" s="290"/>
    </row>
    <row r="64" spans="1:5" ht="18.75" customHeight="1">
      <c r="A64" s="76"/>
      <c r="B64" s="288"/>
      <c r="C64" s="289"/>
      <c r="D64" s="289"/>
      <c r="E64" s="290"/>
    </row>
    <row r="65" spans="1:6" ht="18.75" customHeight="1">
      <c r="A65" s="76"/>
      <c r="B65" s="288"/>
      <c r="C65" s="289"/>
      <c r="D65" s="289"/>
      <c r="E65" s="290"/>
    </row>
    <row r="66" spans="1:6" ht="18.75" customHeight="1">
      <c r="A66" s="76"/>
      <c r="B66" s="288"/>
      <c r="C66" s="289"/>
      <c r="D66" s="289"/>
      <c r="E66" s="290"/>
    </row>
    <row r="67" spans="1:6" ht="18.75" customHeight="1">
      <c r="A67" s="76"/>
      <c r="B67" s="288"/>
      <c r="C67" s="289"/>
      <c r="D67" s="289"/>
      <c r="E67" s="290"/>
    </row>
    <row r="68" spans="1:6" ht="18.75" customHeight="1">
      <c r="A68" s="76"/>
      <c r="B68" s="291"/>
      <c r="C68" s="292"/>
      <c r="D68" s="292"/>
      <c r="E68" s="293"/>
    </row>
    <row r="69" spans="1:6" ht="7.5" customHeight="1">
      <c r="A69" s="76"/>
      <c r="B69" s="76"/>
      <c r="C69" s="76"/>
      <c r="D69" s="76"/>
      <c r="E69" s="76"/>
    </row>
    <row r="70" spans="1:6" s="9" customFormat="1" ht="18.75" customHeight="1">
      <c r="A70" s="10" t="s">
        <v>18</v>
      </c>
      <c r="B70" s="57" t="s">
        <v>93</v>
      </c>
      <c r="C70" s="10"/>
      <c r="D70" s="10"/>
      <c r="E70" s="10"/>
      <c r="F70" s="107"/>
    </row>
    <row r="71" spans="1:6" s="9" customFormat="1" ht="18.75" customHeight="1">
      <c r="A71" s="10"/>
      <c r="B71" s="264" t="s">
        <v>237</v>
      </c>
      <c r="C71" s="265"/>
      <c r="D71" s="265"/>
      <c r="E71" s="266"/>
    </row>
    <row r="72" spans="1:6" s="9" customFormat="1" ht="18.75" customHeight="1">
      <c r="A72" s="10"/>
      <c r="B72" s="267"/>
      <c r="C72" s="268"/>
      <c r="D72" s="268"/>
      <c r="E72" s="269"/>
    </row>
    <row r="73" spans="1:6" s="9" customFormat="1" ht="18.75" customHeight="1">
      <c r="A73" s="10"/>
      <c r="B73" s="267"/>
      <c r="C73" s="268"/>
      <c r="D73" s="268"/>
      <c r="E73" s="269"/>
    </row>
    <row r="74" spans="1:6" s="9" customFormat="1" ht="18.75" customHeight="1">
      <c r="A74" s="10"/>
      <c r="B74" s="267"/>
      <c r="C74" s="268"/>
      <c r="D74" s="268"/>
      <c r="E74" s="269"/>
    </row>
    <row r="75" spans="1:6" s="9" customFormat="1" ht="18.75" customHeight="1">
      <c r="A75" s="10"/>
      <c r="B75" s="267"/>
      <c r="C75" s="268"/>
      <c r="D75" s="268"/>
      <c r="E75" s="269"/>
    </row>
    <row r="76" spans="1:6" s="9" customFormat="1" ht="18.75" customHeight="1">
      <c r="A76" s="10"/>
      <c r="B76" s="267"/>
      <c r="C76" s="268"/>
      <c r="D76" s="268"/>
      <c r="E76" s="269"/>
    </row>
    <row r="77" spans="1:6" s="9" customFormat="1" ht="18.75" customHeight="1">
      <c r="A77" s="10"/>
      <c r="B77" s="267"/>
      <c r="C77" s="268"/>
      <c r="D77" s="268"/>
      <c r="E77" s="269"/>
    </row>
    <row r="78" spans="1:6" s="9" customFormat="1" ht="18.75" customHeight="1">
      <c r="A78" s="10"/>
      <c r="B78" s="267"/>
      <c r="C78" s="268"/>
      <c r="D78" s="268"/>
      <c r="E78" s="269"/>
    </row>
    <row r="79" spans="1:6" s="9" customFormat="1" ht="18.75" customHeight="1">
      <c r="A79" s="10"/>
      <c r="B79" s="267"/>
      <c r="C79" s="268"/>
      <c r="D79" s="268"/>
      <c r="E79" s="269"/>
    </row>
    <row r="80" spans="1:6" s="9" customFormat="1" ht="18.75" customHeight="1">
      <c r="A80" s="10"/>
      <c r="B80" s="267"/>
      <c r="C80" s="268"/>
      <c r="D80" s="268"/>
      <c r="E80" s="269"/>
    </row>
    <row r="81" spans="1:6" s="9" customFormat="1" ht="18.75" customHeight="1">
      <c r="A81" s="10"/>
      <c r="B81" s="267"/>
      <c r="C81" s="268"/>
      <c r="D81" s="268"/>
      <c r="E81" s="269"/>
    </row>
    <row r="82" spans="1:6" s="9" customFormat="1" ht="18.75" customHeight="1">
      <c r="A82" s="10"/>
      <c r="B82" s="267"/>
      <c r="C82" s="268"/>
      <c r="D82" s="268"/>
      <c r="E82" s="269"/>
    </row>
    <row r="83" spans="1:6" s="9" customFormat="1" ht="18.75" customHeight="1">
      <c r="A83" s="10"/>
      <c r="B83" s="267"/>
      <c r="C83" s="268"/>
      <c r="D83" s="268"/>
      <c r="E83" s="269"/>
    </row>
    <row r="84" spans="1:6" s="9" customFormat="1" ht="18.75" customHeight="1">
      <c r="A84" s="10"/>
      <c r="B84" s="267"/>
      <c r="C84" s="268"/>
      <c r="D84" s="268"/>
      <c r="E84" s="269"/>
    </row>
    <row r="85" spans="1:6" s="9" customFormat="1" ht="18.75" customHeight="1">
      <c r="A85" s="10"/>
      <c r="B85" s="267"/>
      <c r="C85" s="268"/>
      <c r="D85" s="268"/>
      <c r="E85" s="269"/>
    </row>
    <row r="86" spans="1:6" s="9" customFormat="1" ht="18.75" customHeight="1">
      <c r="A86" s="10"/>
      <c r="B86" s="267"/>
      <c r="C86" s="268"/>
      <c r="D86" s="268"/>
      <c r="E86" s="269"/>
    </row>
    <row r="87" spans="1:6" s="9" customFormat="1" ht="18.75" customHeight="1">
      <c r="A87" s="10"/>
      <c r="B87" s="267"/>
      <c r="C87" s="268"/>
      <c r="D87" s="268"/>
      <c r="E87" s="269"/>
    </row>
    <row r="88" spans="1:6" ht="18.75" customHeight="1">
      <c r="A88" s="76"/>
      <c r="B88" s="267"/>
      <c r="C88" s="268"/>
      <c r="D88" s="268"/>
      <c r="E88" s="269"/>
    </row>
    <row r="89" spans="1:6" ht="18.75" customHeight="1">
      <c r="A89" s="76"/>
      <c r="B89" s="270"/>
      <c r="C89" s="271"/>
      <c r="D89" s="271"/>
      <c r="E89" s="272"/>
    </row>
    <row r="90" spans="1:6" ht="7.5" customHeight="1">
      <c r="A90" s="76"/>
      <c r="B90" s="76"/>
      <c r="C90" s="76"/>
      <c r="D90" s="76"/>
      <c r="E90" s="76"/>
    </row>
    <row r="91" spans="1:6" s="9" customFormat="1" ht="18.75" customHeight="1">
      <c r="A91" s="10" t="s">
        <v>15</v>
      </c>
      <c r="B91" s="57" t="s">
        <v>34</v>
      </c>
      <c r="C91" s="10"/>
      <c r="D91" s="10"/>
      <c r="E91" s="10"/>
      <c r="F91" s="107"/>
    </row>
    <row r="92" spans="1:6" s="9" customFormat="1" ht="18.75" customHeight="1">
      <c r="A92" s="10"/>
      <c r="B92" s="264" t="s">
        <v>232</v>
      </c>
      <c r="C92" s="265"/>
      <c r="D92" s="265"/>
      <c r="E92" s="266"/>
    </row>
    <row r="93" spans="1:6" s="9" customFormat="1" ht="18.75" customHeight="1">
      <c r="A93" s="10"/>
      <c r="B93" s="267"/>
      <c r="C93" s="268"/>
      <c r="D93" s="268"/>
      <c r="E93" s="269"/>
    </row>
    <row r="94" spans="1:6" s="9" customFormat="1" ht="18.75" customHeight="1">
      <c r="A94" s="10"/>
      <c r="B94" s="267"/>
      <c r="C94" s="268"/>
      <c r="D94" s="268"/>
      <c r="E94" s="269"/>
    </row>
    <row r="95" spans="1:6" s="9" customFormat="1" ht="18.75" customHeight="1">
      <c r="A95" s="10"/>
      <c r="B95" s="267"/>
      <c r="C95" s="268"/>
      <c r="D95" s="268"/>
      <c r="E95" s="269"/>
    </row>
    <row r="96" spans="1:6" s="9" customFormat="1" ht="18.75" customHeight="1">
      <c r="A96" s="10"/>
      <c r="B96" s="267"/>
      <c r="C96" s="268"/>
      <c r="D96" s="268"/>
      <c r="E96" s="269"/>
    </row>
    <row r="97" spans="1:5" s="9" customFormat="1" ht="18.75" customHeight="1">
      <c r="A97" s="10"/>
      <c r="B97" s="267"/>
      <c r="C97" s="268"/>
      <c r="D97" s="268"/>
      <c r="E97" s="269"/>
    </row>
    <row r="98" spans="1:5" s="9" customFormat="1" ht="18.75" customHeight="1">
      <c r="A98" s="10"/>
      <c r="B98" s="267"/>
      <c r="C98" s="268"/>
      <c r="D98" s="268"/>
      <c r="E98" s="269"/>
    </row>
    <row r="99" spans="1:5" s="9" customFormat="1" ht="18.75" customHeight="1">
      <c r="A99" s="10"/>
      <c r="B99" s="267"/>
      <c r="C99" s="268"/>
      <c r="D99" s="268"/>
      <c r="E99" s="269"/>
    </row>
    <row r="100" spans="1:5" s="9" customFormat="1" ht="18.75" customHeight="1">
      <c r="A100" s="10"/>
      <c r="B100" s="267"/>
      <c r="C100" s="268"/>
      <c r="D100" s="268"/>
      <c r="E100" s="269"/>
    </row>
    <row r="101" spans="1:5" s="9" customFormat="1" ht="18.75" customHeight="1">
      <c r="A101" s="10"/>
      <c r="B101" s="267"/>
      <c r="C101" s="268"/>
      <c r="D101" s="268"/>
      <c r="E101" s="269"/>
    </row>
    <row r="102" spans="1:5" s="9" customFormat="1" ht="18.75" customHeight="1">
      <c r="A102" s="10"/>
      <c r="B102" s="267"/>
      <c r="C102" s="268"/>
      <c r="D102" s="268"/>
      <c r="E102" s="269"/>
    </row>
    <row r="103" spans="1:5" s="9" customFormat="1" ht="18.75" customHeight="1">
      <c r="A103" s="10"/>
      <c r="B103" s="267"/>
      <c r="C103" s="268"/>
      <c r="D103" s="268"/>
      <c r="E103" s="269"/>
    </row>
    <row r="104" spans="1:5" s="9" customFormat="1" ht="18.75" customHeight="1">
      <c r="A104" s="10"/>
      <c r="B104" s="267"/>
      <c r="C104" s="268"/>
      <c r="D104" s="268"/>
      <c r="E104" s="269"/>
    </row>
    <row r="105" spans="1:5" s="9" customFormat="1" ht="18.75" customHeight="1">
      <c r="A105" s="10"/>
      <c r="B105" s="267"/>
      <c r="C105" s="268"/>
      <c r="D105" s="268"/>
      <c r="E105" s="269"/>
    </row>
    <row r="106" spans="1:5" s="9" customFormat="1" ht="18.75" customHeight="1">
      <c r="A106" s="10"/>
      <c r="B106" s="267"/>
      <c r="C106" s="268"/>
      <c r="D106" s="268"/>
      <c r="E106" s="269"/>
    </row>
    <row r="107" spans="1:5" s="9" customFormat="1" ht="18.75" customHeight="1">
      <c r="A107" s="10"/>
      <c r="B107" s="267"/>
      <c r="C107" s="268"/>
      <c r="D107" s="268"/>
      <c r="E107" s="269"/>
    </row>
    <row r="108" spans="1:5" s="9" customFormat="1" ht="18.75" customHeight="1">
      <c r="A108" s="10"/>
      <c r="B108" s="267"/>
      <c r="C108" s="268"/>
      <c r="D108" s="268"/>
      <c r="E108" s="269"/>
    </row>
    <row r="109" spans="1:5" s="9" customFormat="1" ht="18.75" customHeight="1">
      <c r="A109" s="10"/>
      <c r="B109" s="267"/>
      <c r="C109" s="268"/>
      <c r="D109" s="268"/>
      <c r="E109" s="269"/>
    </row>
    <row r="110" spans="1:5" ht="18.75" customHeight="1">
      <c r="A110" s="76"/>
      <c r="B110" s="267"/>
      <c r="C110" s="268"/>
      <c r="D110" s="268"/>
      <c r="E110" s="269"/>
    </row>
    <row r="111" spans="1:5" ht="18.75" customHeight="1">
      <c r="A111" s="76"/>
      <c r="B111" s="270"/>
      <c r="C111" s="271"/>
      <c r="D111" s="271"/>
      <c r="E111" s="272"/>
    </row>
    <row r="112" spans="1:5" ht="7.5" customHeight="1">
      <c r="A112" s="76"/>
      <c r="B112" s="76"/>
      <c r="C112" s="76"/>
      <c r="D112" s="76"/>
      <c r="E112" s="76"/>
    </row>
    <row r="113" spans="1:7" s="9" customFormat="1" ht="18.75" customHeight="1">
      <c r="A113" s="10" t="s">
        <v>59</v>
      </c>
      <c r="B113" s="273" t="s">
        <v>128</v>
      </c>
      <c r="C113" s="273"/>
      <c r="D113" s="273"/>
      <c r="E113" s="273"/>
      <c r="F113" s="107"/>
    </row>
    <row r="114" spans="1:7" ht="18.75" customHeight="1">
      <c r="A114" s="76"/>
      <c r="B114" s="264" t="s">
        <v>255</v>
      </c>
      <c r="C114" s="265"/>
      <c r="D114" s="265"/>
      <c r="E114" s="266"/>
      <c r="F114" s="95"/>
      <c r="G114" s="15"/>
    </row>
    <row r="115" spans="1:7" ht="18.75" customHeight="1">
      <c r="A115" s="76"/>
      <c r="B115" s="267"/>
      <c r="C115" s="268"/>
      <c r="D115" s="268"/>
      <c r="E115" s="269"/>
      <c r="F115" s="9"/>
    </row>
    <row r="116" spans="1:7" ht="18.75" customHeight="1">
      <c r="A116" s="76"/>
      <c r="B116" s="267"/>
      <c r="C116" s="268"/>
      <c r="D116" s="268"/>
      <c r="E116" s="269"/>
    </row>
    <row r="117" spans="1:7" ht="18.75" customHeight="1">
      <c r="A117" s="76"/>
      <c r="B117" s="267"/>
      <c r="C117" s="268"/>
      <c r="D117" s="268"/>
      <c r="E117" s="269"/>
    </row>
    <row r="118" spans="1:7" ht="18.75" customHeight="1">
      <c r="A118" s="76"/>
      <c r="B118" s="267"/>
      <c r="C118" s="268"/>
      <c r="D118" s="268"/>
      <c r="E118" s="269"/>
    </row>
    <row r="119" spans="1:7" ht="18.75" customHeight="1">
      <c r="A119" s="76"/>
      <c r="B119" s="267"/>
      <c r="C119" s="268"/>
      <c r="D119" s="268"/>
      <c r="E119" s="269"/>
    </row>
    <row r="120" spans="1:7" ht="18.75" customHeight="1">
      <c r="A120" s="76"/>
      <c r="B120" s="267"/>
      <c r="C120" s="268"/>
      <c r="D120" s="268"/>
      <c r="E120" s="269"/>
    </row>
    <row r="121" spans="1:7" ht="18.75" customHeight="1">
      <c r="A121" s="76"/>
      <c r="B121" s="267"/>
      <c r="C121" s="268"/>
      <c r="D121" s="268"/>
      <c r="E121" s="269"/>
    </row>
    <row r="122" spans="1:7" ht="18.75" customHeight="1">
      <c r="A122" s="76"/>
      <c r="B122" s="267"/>
      <c r="C122" s="268"/>
      <c r="D122" s="268"/>
      <c r="E122" s="269"/>
    </row>
    <row r="123" spans="1:7" ht="18.75" customHeight="1">
      <c r="A123" s="76"/>
      <c r="B123" s="267"/>
      <c r="C123" s="268"/>
      <c r="D123" s="268"/>
      <c r="E123" s="269"/>
    </row>
    <row r="124" spans="1:7" ht="18.75" customHeight="1">
      <c r="A124" s="76"/>
      <c r="B124" s="267"/>
      <c r="C124" s="268"/>
      <c r="D124" s="268"/>
      <c r="E124" s="269"/>
    </row>
    <row r="125" spans="1:7" ht="18.75" customHeight="1">
      <c r="A125" s="76"/>
      <c r="B125" s="267"/>
      <c r="C125" s="268"/>
      <c r="D125" s="268"/>
      <c r="E125" s="269"/>
    </row>
    <row r="126" spans="1:7" ht="18.75" customHeight="1">
      <c r="A126" s="76"/>
      <c r="B126" s="267"/>
      <c r="C126" s="268"/>
      <c r="D126" s="268"/>
      <c r="E126" s="269"/>
    </row>
    <row r="127" spans="1:7" ht="18.75" customHeight="1">
      <c r="A127" s="76"/>
      <c r="B127" s="267"/>
      <c r="C127" s="268"/>
      <c r="D127" s="268"/>
      <c r="E127" s="269"/>
    </row>
    <row r="128" spans="1:7" ht="18.75" customHeight="1">
      <c r="A128" s="76"/>
      <c r="B128" s="267"/>
      <c r="C128" s="268"/>
      <c r="D128" s="268"/>
      <c r="E128" s="269"/>
    </row>
    <row r="129" spans="1:5" ht="18.75" customHeight="1">
      <c r="A129" s="76"/>
      <c r="B129" s="267"/>
      <c r="C129" s="268"/>
      <c r="D129" s="268"/>
      <c r="E129" s="269"/>
    </row>
    <row r="130" spans="1:5" ht="18.75" customHeight="1">
      <c r="A130" s="76"/>
      <c r="B130" s="267"/>
      <c r="C130" s="268"/>
      <c r="D130" s="268"/>
      <c r="E130" s="269"/>
    </row>
    <row r="131" spans="1:5" ht="18.75" customHeight="1">
      <c r="A131" s="76"/>
      <c r="B131" s="267"/>
      <c r="C131" s="268"/>
      <c r="D131" s="268"/>
      <c r="E131" s="269"/>
    </row>
    <row r="132" spans="1:5" ht="18.75" customHeight="1">
      <c r="A132" s="76"/>
      <c r="B132" s="267"/>
      <c r="C132" s="268"/>
      <c r="D132" s="268"/>
      <c r="E132" s="269"/>
    </row>
    <row r="133" spans="1:5" ht="18.75" customHeight="1">
      <c r="A133" s="76"/>
      <c r="B133" s="270"/>
      <c r="C133" s="271"/>
      <c r="D133" s="271"/>
      <c r="E133" s="272"/>
    </row>
    <row r="134" spans="1:5" ht="7.5" customHeight="1">
      <c r="A134" s="76"/>
      <c r="B134" s="90"/>
      <c r="C134" s="90"/>
      <c r="D134" s="90"/>
      <c r="E134" s="90"/>
    </row>
    <row r="135" spans="1:5" ht="18.75" customHeight="1">
      <c r="A135" s="76"/>
      <c r="B135" s="76"/>
      <c r="C135" s="76"/>
      <c r="D135" s="76"/>
      <c r="E135" s="76"/>
    </row>
    <row r="136" spans="1:5" ht="18.75" customHeight="1">
      <c r="A136" s="76"/>
      <c r="B136" s="76"/>
      <c r="C136" s="76"/>
      <c r="D136" s="76"/>
      <c r="E136" s="76"/>
    </row>
    <row r="137" spans="1:5" ht="18.75" customHeight="1">
      <c r="A137" s="76"/>
      <c r="B137" s="76"/>
      <c r="C137" s="76"/>
      <c r="D137" s="76"/>
      <c r="E137" s="76"/>
    </row>
    <row r="138" spans="1:5" ht="18.75" customHeight="1">
      <c r="A138" s="76"/>
      <c r="B138" s="76"/>
      <c r="C138" s="76"/>
      <c r="D138" s="76"/>
      <c r="E138" s="76"/>
    </row>
    <row r="139" spans="1:5" ht="18.75" customHeight="1">
      <c r="A139" s="76"/>
      <c r="B139" s="76"/>
      <c r="C139" s="76"/>
      <c r="D139" s="76"/>
      <c r="E139" s="76"/>
    </row>
    <row r="140" spans="1:5" ht="18.75" customHeight="1">
      <c r="A140" s="76"/>
      <c r="B140" s="76"/>
      <c r="C140" s="76"/>
      <c r="D140" s="76"/>
      <c r="E140" s="76"/>
    </row>
    <row r="141" spans="1:5" ht="18.75" customHeight="1">
      <c r="A141" s="76"/>
      <c r="B141" s="76"/>
      <c r="C141" s="76"/>
      <c r="D141" s="76"/>
      <c r="E141" s="76"/>
    </row>
    <row r="142" spans="1:5" ht="18.75" customHeight="1">
      <c r="A142" s="76"/>
      <c r="B142" s="76"/>
      <c r="C142" s="76"/>
      <c r="D142" s="76"/>
      <c r="E142" s="76"/>
    </row>
    <row r="143" spans="1:5" ht="18.75" customHeight="1">
      <c r="A143" s="76"/>
      <c r="B143" s="76"/>
      <c r="C143" s="76"/>
      <c r="D143" s="76"/>
      <c r="E143" s="76"/>
    </row>
    <row r="144" spans="1:5" ht="18.75" customHeight="1">
      <c r="A144" s="76"/>
      <c r="B144" s="76"/>
      <c r="C144" s="76"/>
      <c r="D144" s="76"/>
      <c r="E144" s="76"/>
    </row>
    <row r="145" spans="1:5" ht="18.75" customHeight="1">
      <c r="A145" s="76"/>
      <c r="B145" s="76"/>
      <c r="C145" s="76"/>
      <c r="D145" s="76"/>
      <c r="E145" s="76"/>
    </row>
    <row r="146" spans="1:5" ht="18.75" customHeight="1">
      <c r="A146" s="76"/>
      <c r="B146" s="76"/>
      <c r="C146" s="76"/>
      <c r="D146" s="76"/>
      <c r="E146" s="76"/>
    </row>
    <row r="147" spans="1:5" ht="14.25">
      <c r="A147" s="76"/>
      <c r="B147" s="76"/>
      <c r="C147" s="76"/>
      <c r="D147" s="76"/>
      <c r="E147" s="76"/>
    </row>
    <row r="148" spans="1:5" ht="7.5" customHeight="1">
      <c r="A148" s="91"/>
      <c r="B148" s="91"/>
      <c r="C148" s="91"/>
      <c r="D148" s="91"/>
      <c r="E148" s="91"/>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6" max="4" man="1"/>
    <brk id="89"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showZeros="0" topLeftCell="A17" zoomScaleNormal="100" workbookViewId="0">
      <selection activeCell="B19" sqref="B19"/>
    </sheetView>
  </sheetViews>
  <sheetFormatPr defaultColWidth="11.375" defaultRowHeight="22.5" customHeight="1"/>
  <cols>
    <col min="1" max="3" width="2.5" style="7" customWidth="1"/>
    <col min="4" max="4" width="22.5" style="7" customWidth="1"/>
    <col min="5" max="5" width="21.125" style="7" customWidth="1"/>
    <col min="6" max="7" width="7.5" style="7" customWidth="1"/>
    <col min="8" max="8" width="32.5" style="7" customWidth="1"/>
    <col min="9" max="9" width="24.875" style="7" customWidth="1"/>
    <col min="10" max="10" width="6.125" style="7" customWidth="1"/>
    <col min="11" max="11" width="4.125" style="7" customWidth="1"/>
    <col min="12" max="16384" width="11.375" style="7"/>
  </cols>
  <sheetData>
    <row r="1" spans="1:12" ht="18.75" customHeight="1">
      <c r="J1" s="16" t="s">
        <v>9</v>
      </c>
    </row>
    <row r="2" spans="1:12" ht="18.75" customHeight="1">
      <c r="D2" s="16"/>
      <c r="H2" s="16" t="s">
        <v>31</v>
      </c>
      <c r="I2" s="274" t="s">
        <v>130</v>
      </c>
      <c r="J2" s="274"/>
    </row>
    <row r="3" spans="1:12" ht="18.75" customHeight="1">
      <c r="A3" s="275" t="s">
        <v>50</v>
      </c>
      <c r="B3" s="275"/>
      <c r="C3" s="275"/>
      <c r="D3" s="275"/>
      <c r="E3" s="275"/>
      <c r="F3" s="275"/>
      <c r="G3" s="275"/>
      <c r="H3" s="275"/>
      <c r="I3" s="275"/>
      <c r="J3" s="275"/>
    </row>
    <row r="4" spans="1:12" ht="7.5" customHeight="1">
      <c r="B4" s="75"/>
      <c r="C4" s="75"/>
      <c r="D4" s="318"/>
      <c r="E4" s="318"/>
      <c r="F4" s="318"/>
      <c r="G4" s="318"/>
      <c r="H4" s="318"/>
      <c r="I4" s="318"/>
      <c r="J4" s="318"/>
    </row>
    <row r="5" spans="1:12" ht="18.75" customHeight="1">
      <c r="A5" s="7" t="s">
        <v>7</v>
      </c>
      <c r="B5" s="9" t="s">
        <v>48</v>
      </c>
      <c r="C5" s="75"/>
      <c r="D5" s="75"/>
      <c r="E5" s="75"/>
      <c r="F5" s="75"/>
      <c r="G5" s="75"/>
      <c r="H5" s="75"/>
      <c r="I5" s="75"/>
      <c r="J5" s="75"/>
    </row>
    <row r="6" spans="1:12" ht="18.75" customHeight="1">
      <c r="B6" s="319" t="s">
        <v>45</v>
      </c>
      <c r="C6" s="320"/>
      <c r="D6" s="321"/>
      <c r="E6" s="320" t="s">
        <v>47</v>
      </c>
      <c r="F6" s="320"/>
      <c r="G6" s="320"/>
      <c r="H6" s="320"/>
      <c r="I6" s="320"/>
      <c r="J6" s="321"/>
      <c r="L6" s="15"/>
    </row>
    <row r="7" spans="1:12" ht="18.75" customHeight="1">
      <c r="B7" s="11" t="s">
        <v>35</v>
      </c>
      <c r="C7" s="76"/>
      <c r="D7" s="77"/>
      <c r="E7" s="12"/>
      <c r="F7" s="12"/>
      <c r="G7" s="12"/>
      <c r="H7" s="12"/>
      <c r="I7" s="76"/>
      <c r="J7" s="77"/>
      <c r="K7" s="15"/>
      <c r="L7" s="93"/>
    </row>
    <row r="8" spans="1:12" ht="202.5" customHeight="1">
      <c r="B8" s="78"/>
      <c r="C8" s="302" t="s">
        <v>36</v>
      </c>
      <c r="D8" s="303"/>
      <c r="E8" s="317" t="s">
        <v>254</v>
      </c>
      <c r="F8" s="304"/>
      <c r="G8" s="304"/>
      <c r="H8" s="304"/>
      <c r="I8" s="304"/>
      <c r="J8" s="305"/>
      <c r="L8" s="1"/>
    </row>
    <row r="9" spans="1:12" ht="202.5" customHeight="1">
      <c r="B9" s="78"/>
      <c r="C9" s="300" t="s">
        <v>37</v>
      </c>
      <c r="D9" s="301"/>
      <c r="E9" s="317" t="s">
        <v>238</v>
      </c>
      <c r="F9" s="304"/>
      <c r="G9" s="304"/>
      <c r="H9" s="304"/>
      <c r="I9" s="304"/>
      <c r="J9" s="305"/>
      <c r="L9" s="1"/>
    </row>
    <row r="10" spans="1:12" ht="172.5" customHeight="1">
      <c r="B10" s="78"/>
      <c r="C10" s="302" t="s">
        <v>38</v>
      </c>
      <c r="D10" s="303"/>
      <c r="E10" s="322" t="s">
        <v>256</v>
      </c>
      <c r="F10" s="304"/>
      <c r="G10" s="304"/>
      <c r="H10" s="304"/>
      <c r="I10" s="304"/>
      <c r="J10" s="305"/>
      <c r="K10" s="127"/>
      <c r="L10" s="1"/>
    </row>
    <row r="11" spans="1:12" ht="172.5" customHeight="1">
      <c r="B11" s="78"/>
      <c r="C11" s="302" t="s">
        <v>39</v>
      </c>
      <c r="D11" s="303"/>
      <c r="E11" s="317" t="s">
        <v>239</v>
      </c>
      <c r="F11" s="304"/>
      <c r="G11" s="304"/>
      <c r="H11" s="304"/>
      <c r="I11" s="304"/>
      <c r="J11" s="305"/>
    </row>
    <row r="12" spans="1:12" ht="172.5" customHeight="1">
      <c r="B12" s="78"/>
      <c r="C12" s="302" t="s">
        <v>40</v>
      </c>
      <c r="D12" s="303"/>
      <c r="E12" s="317" t="s">
        <v>240</v>
      </c>
      <c r="F12" s="304"/>
      <c r="G12" s="304"/>
      <c r="H12" s="304"/>
      <c r="I12" s="304"/>
      <c r="J12" s="305"/>
    </row>
    <row r="13" spans="1:12" ht="18.75" customHeight="1">
      <c r="B13" s="79" t="s">
        <v>41</v>
      </c>
      <c r="C13" s="80"/>
      <c r="D13" s="81"/>
      <c r="E13" s="115"/>
      <c r="F13" s="115"/>
      <c r="G13" s="115"/>
      <c r="H13" s="115"/>
      <c r="I13" s="115"/>
      <c r="J13" s="116"/>
    </row>
    <row r="14" spans="1:12" ht="255" customHeight="1">
      <c r="B14" s="78"/>
      <c r="C14" s="302" t="s">
        <v>42</v>
      </c>
      <c r="D14" s="303"/>
      <c r="E14" s="304" t="s">
        <v>233</v>
      </c>
      <c r="F14" s="304"/>
      <c r="G14" s="304"/>
      <c r="H14" s="304"/>
      <c r="I14" s="304"/>
      <c r="J14" s="305"/>
    </row>
    <row r="15" spans="1:12" ht="255" customHeight="1">
      <c r="B15" s="78"/>
      <c r="C15" s="306" t="s">
        <v>43</v>
      </c>
      <c r="D15" s="307"/>
      <c r="E15" s="308" t="s">
        <v>241</v>
      </c>
      <c r="F15" s="309"/>
      <c r="G15" s="309"/>
      <c r="H15" s="309"/>
      <c r="I15" s="309"/>
      <c r="J15" s="310"/>
    </row>
    <row r="16" spans="1:12" ht="232.5" customHeight="1">
      <c r="B16" s="311" t="s">
        <v>44</v>
      </c>
      <c r="C16" s="312"/>
      <c r="D16" s="303"/>
      <c r="E16" s="313" t="s">
        <v>242</v>
      </c>
      <c r="F16" s="304"/>
      <c r="G16" s="304"/>
      <c r="H16" s="304"/>
      <c r="I16" s="304"/>
      <c r="J16" s="305"/>
    </row>
    <row r="17" spans="1:10" ht="232.5" customHeight="1">
      <c r="A17" s="8"/>
      <c r="B17" s="297" t="s">
        <v>83</v>
      </c>
      <c r="C17" s="298"/>
      <c r="D17" s="299"/>
      <c r="E17" s="323" t="s">
        <v>234</v>
      </c>
      <c r="F17" s="324"/>
      <c r="G17" s="324"/>
      <c r="H17" s="324"/>
      <c r="I17" s="324"/>
      <c r="J17" s="325"/>
    </row>
    <row r="18" spans="1:10" ht="7.5" customHeight="1">
      <c r="B18" s="75"/>
      <c r="C18" s="75"/>
      <c r="D18" s="75"/>
      <c r="E18" s="75"/>
      <c r="F18" s="75"/>
      <c r="G18" s="75"/>
      <c r="H18" s="75"/>
      <c r="I18" s="75"/>
      <c r="J18" s="75"/>
    </row>
    <row r="19" spans="1:10" ht="18.75" customHeight="1">
      <c r="B19" s="9"/>
      <c r="C19" s="75"/>
      <c r="D19" s="75"/>
      <c r="E19" s="75"/>
      <c r="F19" s="82"/>
      <c r="G19" s="82"/>
      <c r="H19" s="83" t="s">
        <v>110</v>
      </c>
      <c r="I19" s="84"/>
      <c r="J19" s="128"/>
    </row>
    <row r="20" spans="1:10" ht="18.75" customHeight="1">
      <c r="A20" s="12" t="s">
        <v>12</v>
      </c>
      <c r="B20" s="57" t="s">
        <v>49</v>
      </c>
      <c r="C20" s="85"/>
      <c r="D20" s="85"/>
      <c r="E20" s="85"/>
      <c r="F20" s="86" t="s">
        <v>261</v>
      </c>
      <c r="G20" s="82"/>
      <c r="H20" s="314" t="s">
        <v>259</v>
      </c>
      <c r="I20" s="315"/>
      <c r="J20" s="316"/>
    </row>
    <row r="21" spans="1:10" ht="22.5" customHeight="1">
      <c r="B21" s="75"/>
      <c r="C21" s="75"/>
      <c r="D21" s="75"/>
      <c r="E21" s="75"/>
      <c r="F21" s="75"/>
      <c r="G21" s="75"/>
      <c r="H21" s="75"/>
      <c r="I21" s="75"/>
      <c r="J21" s="75"/>
    </row>
    <row r="22" spans="1:10" ht="22.5" customHeight="1">
      <c r="B22" s="75"/>
      <c r="C22" s="75"/>
      <c r="D22" s="75"/>
      <c r="E22" s="75"/>
      <c r="F22" s="75"/>
      <c r="G22" s="75"/>
      <c r="H22" s="75"/>
      <c r="I22" s="75"/>
      <c r="J22" s="75"/>
    </row>
    <row r="23" spans="1:10" ht="22.5" customHeight="1">
      <c r="B23" s="75"/>
      <c r="C23" s="75"/>
      <c r="D23" s="75"/>
      <c r="E23" s="75"/>
      <c r="F23" s="75"/>
      <c r="G23" s="75"/>
      <c r="H23" s="75"/>
      <c r="I23" s="75"/>
      <c r="J23" s="75"/>
    </row>
    <row r="24" spans="1:10" ht="22.5" customHeight="1">
      <c r="B24" s="75"/>
      <c r="C24" s="75"/>
      <c r="D24" s="75"/>
      <c r="E24" s="75"/>
      <c r="F24" s="75"/>
      <c r="G24" s="75"/>
      <c r="H24" s="75"/>
      <c r="I24" s="75"/>
      <c r="J24" s="75"/>
    </row>
    <row r="25" spans="1:10" ht="22.5" customHeight="1">
      <c r="B25" s="75"/>
      <c r="C25" s="75"/>
      <c r="D25" s="75"/>
      <c r="E25" s="75"/>
      <c r="F25" s="75"/>
      <c r="G25" s="75"/>
      <c r="H25" s="75"/>
      <c r="I25" s="75"/>
      <c r="J25" s="75"/>
    </row>
    <row r="26" spans="1:10" ht="22.5" customHeight="1">
      <c r="B26" s="87"/>
      <c r="C26" s="87"/>
      <c r="D26" s="87"/>
      <c r="E26" s="87"/>
      <c r="F26" s="87"/>
      <c r="G26" s="87"/>
      <c r="H26" s="87"/>
      <c r="I26" s="87"/>
      <c r="J26" s="87"/>
    </row>
    <row r="27" spans="1:10" ht="22.5" customHeight="1">
      <c r="B27" s="87"/>
      <c r="C27" s="87"/>
      <c r="D27" s="87"/>
      <c r="E27" s="87"/>
      <c r="F27" s="87"/>
      <c r="G27" s="87"/>
      <c r="H27" s="87"/>
      <c r="I27" s="87"/>
      <c r="J27" s="87"/>
    </row>
    <row r="28" spans="1:10" ht="22.5" customHeight="1">
      <c r="B28" s="87"/>
      <c r="C28" s="87"/>
      <c r="D28" s="87"/>
      <c r="E28" s="87"/>
      <c r="F28" s="87"/>
      <c r="G28" s="87"/>
      <c r="H28" s="87"/>
      <c r="I28" s="87"/>
      <c r="J28" s="87"/>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location="87474c94"/>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showZeros="0" workbookViewId="0">
      <selection activeCell="B1" sqref="B1"/>
    </sheetView>
  </sheetViews>
  <sheetFormatPr defaultColWidth="11.375" defaultRowHeight="18.75" customHeight="1"/>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9" ht="18.75" customHeight="1">
      <c r="E1" s="335" t="s">
        <v>16</v>
      </c>
      <c r="F1" s="335"/>
    </row>
    <row r="2" spans="1:9" ht="18.75" customHeight="1">
      <c r="C2" s="5" t="s">
        <v>84</v>
      </c>
      <c r="D2" s="5" t="s">
        <v>8</v>
      </c>
      <c r="E2" s="336" t="s">
        <v>130</v>
      </c>
      <c r="F2" s="336"/>
    </row>
    <row r="3" spans="1:9" ht="7.5" customHeight="1">
      <c r="C3" s="5"/>
      <c r="D3" s="5"/>
      <c r="E3" s="4"/>
      <c r="F3" s="4"/>
    </row>
    <row r="4" spans="1:9" ht="18.75" customHeight="1">
      <c r="A4" s="337" t="s">
        <v>120</v>
      </c>
      <c r="B4" s="337"/>
      <c r="C4" s="337"/>
      <c r="D4" s="337"/>
      <c r="E4" s="337"/>
      <c r="F4" s="337"/>
    </row>
    <row r="5" spans="1:9" ht="7.5" customHeight="1">
      <c r="A5" s="6"/>
      <c r="B5" s="6"/>
      <c r="C5" s="6"/>
      <c r="D5" s="6"/>
      <c r="E5" s="6"/>
      <c r="F5" s="6"/>
    </row>
    <row r="6" spans="1:9" ht="18.75" customHeight="1">
      <c r="A6" s="6" t="s">
        <v>7</v>
      </c>
      <c r="B6" s="2" t="s">
        <v>33</v>
      </c>
      <c r="C6" s="6"/>
      <c r="D6" s="6"/>
      <c r="E6" s="6"/>
      <c r="F6" s="6"/>
      <c r="I6" s="15"/>
    </row>
    <row r="7" spans="1:9" ht="18.75" customHeight="1">
      <c r="A7" s="6"/>
      <c r="B7" s="326"/>
      <c r="C7" s="327"/>
      <c r="D7" s="327"/>
      <c r="E7" s="327"/>
      <c r="F7" s="328"/>
      <c r="I7" s="93"/>
    </row>
    <row r="8" spans="1:9" ht="18.75" customHeight="1">
      <c r="A8" s="13"/>
      <c r="B8" s="329"/>
      <c r="C8" s="330"/>
      <c r="D8" s="330"/>
      <c r="E8" s="330"/>
      <c r="F8" s="331"/>
      <c r="I8" s="93"/>
    </row>
    <row r="9" spans="1:9" ht="18.75" customHeight="1">
      <c r="A9" s="13"/>
      <c r="B9" s="329"/>
      <c r="C9" s="330"/>
      <c r="D9" s="330"/>
      <c r="E9" s="330"/>
      <c r="F9" s="331"/>
    </row>
    <row r="10" spans="1:9" ht="18.75" customHeight="1">
      <c r="A10" s="13"/>
      <c r="B10" s="329"/>
      <c r="C10" s="330"/>
      <c r="D10" s="330"/>
      <c r="E10" s="330"/>
      <c r="F10" s="331"/>
    </row>
    <row r="11" spans="1:9" ht="18.75" customHeight="1">
      <c r="A11" s="13"/>
      <c r="B11" s="329"/>
      <c r="C11" s="330"/>
      <c r="D11" s="330"/>
      <c r="E11" s="330"/>
      <c r="F11" s="331"/>
    </row>
    <row r="12" spans="1:9" ht="18.75" customHeight="1">
      <c r="A12" s="13"/>
      <c r="B12" s="329"/>
      <c r="C12" s="330"/>
      <c r="D12" s="330"/>
      <c r="E12" s="330"/>
      <c r="F12" s="331"/>
    </row>
    <row r="13" spans="1:9" ht="18.75" customHeight="1">
      <c r="A13" s="13"/>
      <c r="B13" s="329"/>
      <c r="C13" s="330"/>
      <c r="D13" s="330"/>
      <c r="E13" s="330"/>
      <c r="F13" s="331"/>
    </row>
    <row r="14" spans="1:9" ht="18.75" customHeight="1">
      <c r="A14" s="13"/>
      <c r="B14" s="329"/>
      <c r="C14" s="330"/>
      <c r="D14" s="330"/>
      <c r="E14" s="330"/>
      <c r="F14" s="331"/>
    </row>
    <row r="15" spans="1:9" ht="18.75" customHeight="1">
      <c r="A15" s="13"/>
      <c r="B15" s="329"/>
      <c r="C15" s="330"/>
      <c r="D15" s="330"/>
      <c r="E15" s="330"/>
      <c r="F15" s="331"/>
    </row>
    <row r="16" spans="1:9" ht="18.75" customHeight="1">
      <c r="A16" s="13"/>
      <c r="B16" s="329"/>
      <c r="C16" s="330"/>
      <c r="D16" s="330"/>
      <c r="E16" s="330"/>
      <c r="F16" s="331"/>
    </row>
    <row r="17" spans="1:6" ht="18.75" customHeight="1">
      <c r="A17" s="13"/>
      <c r="B17" s="329"/>
      <c r="C17" s="330"/>
      <c r="D17" s="330"/>
      <c r="E17" s="330"/>
      <c r="F17" s="331"/>
    </row>
    <row r="18" spans="1:6" ht="18.75" customHeight="1">
      <c r="A18" s="13"/>
      <c r="B18" s="329"/>
      <c r="C18" s="330"/>
      <c r="D18" s="330"/>
      <c r="E18" s="330"/>
      <c r="F18" s="331"/>
    </row>
    <row r="19" spans="1:6" ht="18.75" customHeight="1">
      <c r="A19" s="13"/>
      <c r="B19" s="329"/>
      <c r="C19" s="330"/>
      <c r="D19" s="330"/>
      <c r="E19" s="330"/>
      <c r="F19" s="331"/>
    </row>
    <row r="20" spans="1:6" ht="18.75" customHeight="1">
      <c r="A20" s="13"/>
      <c r="B20" s="329"/>
      <c r="C20" s="330"/>
      <c r="D20" s="330"/>
      <c r="E20" s="330"/>
      <c r="F20" s="331"/>
    </row>
    <row r="21" spans="1:6" ht="18.75" customHeight="1">
      <c r="A21" s="13"/>
      <c r="B21" s="329"/>
      <c r="C21" s="330"/>
      <c r="D21" s="330"/>
      <c r="E21" s="330"/>
      <c r="F21" s="331"/>
    </row>
    <row r="22" spans="1:6" ht="18.75" customHeight="1">
      <c r="A22" s="13"/>
      <c r="B22" s="329"/>
      <c r="C22" s="330"/>
      <c r="D22" s="330"/>
      <c r="E22" s="330"/>
      <c r="F22" s="331"/>
    </row>
    <row r="23" spans="1:6" ht="18.75" customHeight="1">
      <c r="A23" s="13"/>
      <c r="B23" s="329"/>
      <c r="C23" s="330"/>
      <c r="D23" s="330"/>
      <c r="E23" s="330"/>
      <c r="F23" s="331"/>
    </row>
    <row r="24" spans="1:6" ht="18.75" customHeight="1">
      <c r="A24" s="13"/>
      <c r="B24" s="329"/>
      <c r="C24" s="330"/>
      <c r="D24" s="330"/>
      <c r="E24" s="330"/>
      <c r="F24" s="331"/>
    </row>
    <row r="25" spans="1:6" ht="18.75" customHeight="1">
      <c r="A25" s="13"/>
      <c r="B25" s="329"/>
      <c r="C25" s="330"/>
      <c r="D25" s="330"/>
      <c r="E25" s="330"/>
      <c r="F25" s="331"/>
    </row>
    <row r="26" spans="1:6" ht="18.75" customHeight="1">
      <c r="A26" s="13"/>
      <c r="B26" s="329"/>
      <c r="C26" s="330"/>
      <c r="D26" s="330"/>
      <c r="E26" s="330"/>
      <c r="F26" s="331"/>
    </row>
    <row r="27" spans="1:6" ht="18.75" customHeight="1">
      <c r="A27" s="13"/>
      <c r="B27" s="329"/>
      <c r="C27" s="330"/>
      <c r="D27" s="330"/>
      <c r="E27" s="330"/>
      <c r="F27" s="331"/>
    </row>
    <row r="28" spans="1:6" ht="18.75" customHeight="1">
      <c r="A28" s="6"/>
      <c r="B28" s="329"/>
      <c r="C28" s="330"/>
      <c r="D28" s="330"/>
      <c r="E28" s="330"/>
      <c r="F28" s="331"/>
    </row>
    <row r="29" spans="1:6" ht="18.75" customHeight="1">
      <c r="A29" s="6"/>
      <c r="B29" s="329"/>
      <c r="C29" s="330"/>
      <c r="D29" s="330"/>
      <c r="E29" s="330"/>
      <c r="F29" s="331"/>
    </row>
    <row r="30" spans="1:6" ht="18.75" customHeight="1">
      <c r="A30" s="6"/>
      <c r="B30" s="329"/>
      <c r="C30" s="330"/>
      <c r="D30" s="330"/>
      <c r="E30" s="330"/>
      <c r="F30" s="331"/>
    </row>
    <row r="31" spans="1:6" ht="18.75" customHeight="1">
      <c r="A31" s="6"/>
      <c r="B31" s="329"/>
      <c r="C31" s="330"/>
      <c r="D31" s="330"/>
      <c r="E31" s="330"/>
      <c r="F31" s="331"/>
    </row>
    <row r="32" spans="1:6" ht="18.75" customHeight="1">
      <c r="A32" s="6"/>
      <c r="B32" s="329"/>
      <c r="C32" s="330"/>
      <c r="D32" s="330"/>
      <c r="E32" s="330"/>
      <c r="F32" s="331"/>
    </row>
    <row r="33" spans="1:9" ht="18.75" customHeight="1">
      <c r="A33" s="6"/>
      <c r="B33" s="329"/>
      <c r="C33" s="330"/>
      <c r="D33" s="330"/>
      <c r="E33" s="330"/>
      <c r="F33" s="331"/>
    </row>
    <row r="34" spans="1:9" ht="18.75" customHeight="1">
      <c r="A34" s="6"/>
      <c r="B34" s="329"/>
      <c r="C34" s="330"/>
      <c r="D34" s="330"/>
      <c r="E34" s="330"/>
      <c r="F34" s="331"/>
    </row>
    <row r="35" spans="1:9" ht="18.75" customHeight="1">
      <c r="A35" s="6"/>
      <c r="B35" s="329"/>
      <c r="C35" s="330"/>
      <c r="D35" s="330"/>
      <c r="E35" s="330"/>
      <c r="F35" s="331"/>
    </row>
    <row r="36" spans="1:9" ht="18.75" customHeight="1">
      <c r="A36" s="6"/>
      <c r="B36" s="329"/>
      <c r="C36" s="330"/>
      <c r="D36" s="330"/>
      <c r="E36" s="330"/>
      <c r="F36" s="331"/>
    </row>
    <row r="37" spans="1:9" ht="18.75" customHeight="1">
      <c r="A37" s="6"/>
      <c r="B37" s="329"/>
      <c r="C37" s="330"/>
      <c r="D37" s="330"/>
      <c r="E37" s="330"/>
      <c r="F37" s="331"/>
    </row>
    <row r="38" spans="1:9" ht="18.75" customHeight="1">
      <c r="A38" s="6"/>
      <c r="B38" s="329"/>
      <c r="C38" s="330"/>
      <c r="D38" s="330"/>
      <c r="E38" s="330"/>
      <c r="F38" s="331"/>
    </row>
    <row r="39" spans="1:9" ht="18.75" customHeight="1">
      <c r="A39" s="6"/>
      <c r="B39" s="329"/>
      <c r="C39" s="330"/>
      <c r="D39" s="330"/>
      <c r="E39" s="330"/>
      <c r="F39" s="331"/>
    </row>
    <row r="40" spans="1:9" ht="18.75" customHeight="1">
      <c r="A40" s="6"/>
      <c r="B40" s="329"/>
      <c r="C40" s="330"/>
      <c r="D40" s="330"/>
      <c r="E40" s="330"/>
      <c r="F40" s="331"/>
    </row>
    <row r="41" spans="1:9" ht="18.75" customHeight="1">
      <c r="A41" s="6"/>
      <c r="B41" s="329"/>
      <c r="C41" s="330"/>
      <c r="D41" s="330"/>
      <c r="E41" s="330"/>
      <c r="F41" s="331"/>
    </row>
    <row r="42" spans="1:9" ht="18.75" customHeight="1">
      <c r="A42" s="6"/>
      <c r="B42" s="329"/>
      <c r="C42" s="330"/>
      <c r="D42" s="330"/>
      <c r="E42" s="330"/>
      <c r="F42" s="331"/>
    </row>
    <row r="43" spans="1:9" ht="18.75" customHeight="1">
      <c r="A43" s="6"/>
      <c r="B43" s="329"/>
      <c r="C43" s="330"/>
      <c r="D43" s="330"/>
      <c r="E43" s="330"/>
      <c r="F43" s="331"/>
    </row>
    <row r="44" spans="1:9" ht="18.75" customHeight="1">
      <c r="A44" s="6"/>
      <c r="B44" s="332"/>
      <c r="C44" s="333"/>
      <c r="D44" s="333"/>
      <c r="E44" s="333"/>
      <c r="F44" s="334"/>
    </row>
    <row r="45" spans="1:9" ht="18.75" customHeight="1">
      <c r="A45" s="6" t="s">
        <v>12</v>
      </c>
      <c r="B45" s="2" t="s">
        <v>89</v>
      </c>
      <c r="C45" s="6"/>
      <c r="D45" s="6"/>
      <c r="E45" s="6"/>
      <c r="F45" s="6"/>
    </row>
    <row r="46" spans="1:9" ht="18.75" customHeight="1">
      <c r="A46" s="6"/>
      <c r="B46" s="264"/>
      <c r="C46" s="338"/>
      <c r="D46" s="338"/>
      <c r="E46" s="338"/>
      <c r="F46" s="339"/>
      <c r="I46" s="1">
        <f>LEN(B46)</f>
        <v>0</v>
      </c>
    </row>
    <row r="47" spans="1:9" ht="18.75" customHeight="1">
      <c r="A47" s="13"/>
      <c r="B47" s="340"/>
      <c r="C47" s="341"/>
      <c r="D47" s="341"/>
      <c r="E47" s="341"/>
      <c r="F47" s="342"/>
    </row>
    <row r="48" spans="1:9" ht="18.75" customHeight="1">
      <c r="A48" s="13"/>
      <c r="B48" s="340"/>
      <c r="C48" s="341"/>
      <c r="D48" s="341"/>
      <c r="E48" s="341"/>
      <c r="F48" s="342"/>
    </row>
    <row r="49" spans="1:6" ht="18.75" customHeight="1">
      <c r="A49" s="13"/>
      <c r="B49" s="340"/>
      <c r="C49" s="341"/>
      <c r="D49" s="341"/>
      <c r="E49" s="341"/>
      <c r="F49" s="342"/>
    </row>
    <row r="50" spans="1:6" ht="18.75" customHeight="1">
      <c r="A50" s="13"/>
      <c r="B50" s="340"/>
      <c r="C50" s="341"/>
      <c r="D50" s="341"/>
      <c r="E50" s="341"/>
      <c r="F50" s="342"/>
    </row>
    <row r="51" spans="1:6" ht="18.75" customHeight="1">
      <c r="A51" s="13"/>
      <c r="B51" s="340"/>
      <c r="C51" s="341"/>
      <c r="D51" s="341"/>
      <c r="E51" s="341"/>
      <c r="F51" s="342"/>
    </row>
    <row r="52" spans="1:6" ht="18.75" customHeight="1">
      <c r="A52" s="13"/>
      <c r="B52" s="340"/>
      <c r="C52" s="341"/>
      <c r="D52" s="341"/>
      <c r="E52" s="341"/>
      <c r="F52" s="342"/>
    </row>
    <row r="53" spans="1:6" ht="18.75" customHeight="1">
      <c r="A53" s="13"/>
      <c r="B53" s="340"/>
      <c r="C53" s="341"/>
      <c r="D53" s="341"/>
      <c r="E53" s="341"/>
      <c r="F53" s="342"/>
    </row>
    <row r="54" spans="1:6" ht="18.75" customHeight="1">
      <c r="A54" s="13"/>
      <c r="B54" s="340"/>
      <c r="C54" s="341"/>
      <c r="D54" s="341"/>
      <c r="E54" s="341"/>
      <c r="F54" s="342"/>
    </row>
    <row r="55" spans="1:6" ht="18.75" customHeight="1">
      <c r="A55" s="13"/>
      <c r="B55" s="340"/>
      <c r="C55" s="341"/>
      <c r="D55" s="341"/>
      <c r="E55" s="341"/>
      <c r="F55" s="342"/>
    </row>
    <row r="56" spans="1:6" ht="18.75" customHeight="1">
      <c r="A56" s="13"/>
      <c r="B56" s="340"/>
      <c r="C56" s="341"/>
      <c r="D56" s="341"/>
      <c r="E56" s="341"/>
      <c r="F56" s="342"/>
    </row>
    <row r="57" spans="1:6" ht="18.75" customHeight="1">
      <c r="A57" s="13"/>
      <c r="B57" s="340"/>
      <c r="C57" s="341"/>
      <c r="D57" s="341"/>
      <c r="E57" s="341"/>
      <c r="F57" s="342"/>
    </row>
    <row r="58" spans="1:6" ht="18.75" customHeight="1">
      <c r="A58" s="13"/>
      <c r="B58" s="340"/>
      <c r="C58" s="341"/>
      <c r="D58" s="341"/>
      <c r="E58" s="341"/>
      <c r="F58" s="342"/>
    </row>
    <row r="59" spans="1:6" ht="18.75" customHeight="1">
      <c r="A59" s="13"/>
      <c r="B59" s="340"/>
      <c r="C59" s="341"/>
      <c r="D59" s="341"/>
      <c r="E59" s="341"/>
      <c r="F59" s="342"/>
    </row>
    <row r="60" spans="1:6" ht="18.75" customHeight="1">
      <c r="A60" s="13"/>
      <c r="B60" s="340"/>
      <c r="C60" s="341"/>
      <c r="D60" s="341"/>
      <c r="E60" s="341"/>
      <c r="F60" s="342"/>
    </row>
    <row r="61" spans="1:6" ht="18.75" customHeight="1">
      <c r="A61" s="13"/>
      <c r="B61" s="340"/>
      <c r="C61" s="341"/>
      <c r="D61" s="341"/>
      <c r="E61" s="341"/>
      <c r="F61" s="342"/>
    </row>
    <row r="62" spans="1:6" ht="18.75" customHeight="1">
      <c r="A62" s="13"/>
      <c r="B62" s="340"/>
      <c r="C62" s="341"/>
      <c r="D62" s="341"/>
      <c r="E62" s="341"/>
      <c r="F62" s="342"/>
    </row>
    <row r="63" spans="1:6" ht="18.75" customHeight="1">
      <c r="A63" s="13"/>
      <c r="B63" s="340"/>
      <c r="C63" s="341"/>
      <c r="D63" s="341"/>
      <c r="E63" s="341"/>
      <c r="F63" s="342"/>
    </row>
    <row r="64" spans="1:6" ht="18.75" customHeight="1">
      <c r="A64" s="13"/>
      <c r="B64" s="340"/>
      <c r="C64" s="341"/>
      <c r="D64" s="341"/>
      <c r="E64" s="341"/>
      <c r="F64" s="342"/>
    </row>
    <row r="65" spans="1:6" ht="18.75" customHeight="1">
      <c r="A65" s="13"/>
      <c r="B65" s="340"/>
      <c r="C65" s="341"/>
      <c r="D65" s="341"/>
      <c r="E65" s="341"/>
      <c r="F65" s="342"/>
    </row>
    <row r="66" spans="1:6" ht="18.75" customHeight="1">
      <c r="A66" s="13"/>
      <c r="B66" s="340"/>
      <c r="C66" s="341"/>
      <c r="D66" s="341"/>
      <c r="E66" s="341"/>
      <c r="F66" s="342"/>
    </row>
    <row r="67" spans="1:6" ht="18.75" customHeight="1">
      <c r="A67" s="13"/>
      <c r="B67" s="340"/>
      <c r="C67" s="341"/>
      <c r="D67" s="341"/>
      <c r="E67" s="341"/>
      <c r="F67" s="342"/>
    </row>
    <row r="68" spans="1:6" ht="18.75" customHeight="1">
      <c r="A68" s="13"/>
      <c r="B68" s="340"/>
      <c r="C68" s="341"/>
      <c r="D68" s="341"/>
      <c r="E68" s="341"/>
      <c r="F68" s="342"/>
    </row>
    <row r="69" spans="1:6" ht="18.75" customHeight="1">
      <c r="A69" s="13"/>
      <c r="B69" s="340"/>
      <c r="C69" s="341"/>
      <c r="D69" s="341"/>
      <c r="E69" s="341"/>
      <c r="F69" s="342"/>
    </row>
    <row r="70" spans="1:6" ht="18.75" customHeight="1">
      <c r="A70" s="6"/>
      <c r="B70" s="340"/>
      <c r="C70" s="341"/>
      <c r="D70" s="341"/>
      <c r="E70" s="341"/>
      <c r="F70" s="342"/>
    </row>
    <row r="71" spans="1:6" ht="18.75" customHeight="1">
      <c r="A71" s="6"/>
      <c r="B71" s="340"/>
      <c r="C71" s="341"/>
      <c r="D71" s="341"/>
      <c r="E71" s="341"/>
      <c r="F71" s="342"/>
    </row>
    <row r="72" spans="1:6" ht="18.75" customHeight="1">
      <c r="A72" s="6"/>
      <c r="B72" s="340"/>
      <c r="C72" s="341"/>
      <c r="D72" s="341"/>
      <c r="E72" s="341"/>
      <c r="F72" s="342"/>
    </row>
    <row r="73" spans="1:6" ht="18.75" customHeight="1">
      <c r="A73" s="6"/>
      <c r="B73" s="340"/>
      <c r="C73" s="341"/>
      <c r="D73" s="341"/>
      <c r="E73" s="341"/>
      <c r="F73" s="342"/>
    </row>
    <row r="74" spans="1:6" ht="18.75" customHeight="1">
      <c r="A74" s="6"/>
      <c r="B74" s="340"/>
      <c r="C74" s="341"/>
      <c r="D74" s="341"/>
      <c r="E74" s="341"/>
      <c r="F74" s="342"/>
    </row>
    <row r="75" spans="1:6" ht="18.75" customHeight="1">
      <c r="A75" s="6"/>
      <c r="B75" s="340"/>
      <c r="C75" s="341"/>
      <c r="D75" s="341"/>
      <c r="E75" s="341"/>
      <c r="F75" s="342"/>
    </row>
    <row r="76" spans="1:6" ht="18.75" customHeight="1">
      <c r="A76" s="6"/>
      <c r="B76" s="340"/>
      <c r="C76" s="341"/>
      <c r="D76" s="341"/>
      <c r="E76" s="341"/>
      <c r="F76" s="342"/>
    </row>
    <row r="77" spans="1:6" ht="18.75" customHeight="1">
      <c r="A77" s="6"/>
      <c r="B77" s="340"/>
      <c r="C77" s="341"/>
      <c r="D77" s="341"/>
      <c r="E77" s="341"/>
      <c r="F77" s="342"/>
    </row>
    <row r="78" spans="1:6" ht="18.75" customHeight="1">
      <c r="A78" s="6"/>
      <c r="B78" s="340"/>
      <c r="C78" s="341"/>
      <c r="D78" s="341"/>
      <c r="E78" s="341"/>
      <c r="F78" s="342"/>
    </row>
    <row r="79" spans="1:6" ht="18.75" customHeight="1">
      <c r="A79" s="6"/>
      <c r="B79" s="340"/>
      <c r="C79" s="341"/>
      <c r="D79" s="341"/>
      <c r="E79" s="341"/>
      <c r="F79" s="342"/>
    </row>
    <row r="80" spans="1:6" ht="18.75" customHeight="1">
      <c r="A80" s="6"/>
      <c r="B80" s="340"/>
      <c r="C80" s="341"/>
      <c r="D80" s="341"/>
      <c r="E80" s="341"/>
      <c r="F80" s="342"/>
    </row>
    <row r="81" spans="1:6" ht="18.75" customHeight="1">
      <c r="A81" s="6"/>
      <c r="B81" s="340"/>
      <c r="C81" s="341"/>
      <c r="D81" s="341"/>
      <c r="E81" s="341"/>
      <c r="F81" s="342"/>
    </row>
    <row r="82" spans="1:6" ht="18.75" customHeight="1">
      <c r="A82" s="6"/>
      <c r="B82" s="340"/>
      <c r="C82" s="341"/>
      <c r="D82" s="341"/>
      <c r="E82" s="341"/>
      <c r="F82" s="342"/>
    </row>
    <row r="83" spans="1:6" ht="18.75" customHeight="1">
      <c r="A83" s="13"/>
      <c r="B83" s="340"/>
      <c r="C83" s="341"/>
      <c r="D83" s="341"/>
      <c r="E83" s="341"/>
      <c r="F83" s="342"/>
    </row>
    <row r="84" spans="1:6" ht="18.75" customHeight="1">
      <c r="A84" s="6"/>
      <c r="B84" s="340"/>
      <c r="C84" s="341"/>
      <c r="D84" s="341"/>
      <c r="E84" s="341"/>
      <c r="F84" s="342"/>
    </row>
    <row r="85" spans="1:6" ht="18.75" customHeight="1">
      <c r="A85" s="6"/>
      <c r="B85" s="340"/>
      <c r="C85" s="341"/>
      <c r="D85" s="341"/>
      <c r="E85" s="341"/>
      <c r="F85" s="342"/>
    </row>
    <row r="86" spans="1:6" ht="18.75" customHeight="1">
      <c r="A86" s="6"/>
      <c r="B86" s="340"/>
      <c r="C86" s="341"/>
      <c r="D86" s="341"/>
      <c r="E86" s="341"/>
      <c r="F86" s="342"/>
    </row>
    <row r="87" spans="1:6" ht="18.75" customHeight="1">
      <c r="A87" s="6"/>
      <c r="B87" s="343"/>
      <c r="C87" s="344"/>
      <c r="D87" s="344"/>
      <c r="E87" s="344"/>
      <c r="F87" s="345"/>
    </row>
    <row r="88" spans="1:6" s="3" customFormat="1" ht="18.75" customHeight="1">
      <c r="A88" s="2" t="s">
        <v>13</v>
      </c>
      <c r="B88" s="2" t="s">
        <v>90</v>
      </c>
      <c r="C88" s="2"/>
      <c r="D88" s="2"/>
      <c r="E88" s="2"/>
      <c r="F88" s="2"/>
    </row>
    <row r="89" spans="1:6" ht="18.75" customHeight="1">
      <c r="A89" s="6"/>
      <c r="B89" s="326"/>
      <c r="C89" s="327"/>
      <c r="D89" s="327"/>
      <c r="E89" s="327"/>
      <c r="F89" s="328"/>
    </row>
    <row r="90" spans="1:6" ht="18.75" customHeight="1">
      <c r="A90" s="6"/>
      <c r="B90" s="329"/>
      <c r="C90" s="330"/>
      <c r="D90" s="330"/>
      <c r="E90" s="330"/>
      <c r="F90" s="331"/>
    </row>
    <row r="91" spans="1:6" ht="18.75" customHeight="1">
      <c r="A91" s="13"/>
      <c r="B91" s="329"/>
      <c r="C91" s="330"/>
      <c r="D91" s="330"/>
      <c r="E91" s="330"/>
      <c r="F91" s="331"/>
    </row>
    <row r="92" spans="1:6" ht="18.75" customHeight="1">
      <c r="A92" s="13"/>
      <c r="B92" s="329"/>
      <c r="C92" s="330"/>
      <c r="D92" s="330"/>
      <c r="E92" s="330"/>
      <c r="F92" s="331"/>
    </row>
    <row r="93" spans="1:6" ht="18.75" customHeight="1">
      <c r="A93" s="13"/>
      <c r="B93" s="329"/>
      <c r="C93" s="330"/>
      <c r="D93" s="330"/>
      <c r="E93" s="330"/>
      <c r="F93" s="331"/>
    </row>
    <row r="94" spans="1:6" ht="18.75" customHeight="1">
      <c r="A94" s="13"/>
      <c r="B94" s="329"/>
      <c r="C94" s="330"/>
      <c r="D94" s="330"/>
      <c r="E94" s="330"/>
      <c r="F94" s="331"/>
    </row>
    <row r="95" spans="1:6" ht="18.75" customHeight="1">
      <c r="A95" s="13"/>
      <c r="B95" s="329"/>
      <c r="C95" s="330"/>
      <c r="D95" s="330"/>
      <c r="E95" s="330"/>
      <c r="F95" s="331"/>
    </row>
    <row r="96" spans="1:6" ht="18.75" customHeight="1">
      <c r="A96" s="13"/>
      <c r="B96" s="329"/>
      <c r="C96" s="330"/>
      <c r="D96" s="330"/>
      <c r="E96" s="330"/>
      <c r="F96" s="331"/>
    </row>
    <row r="97" spans="1:6" ht="18.75" customHeight="1">
      <c r="A97" s="13"/>
      <c r="B97" s="329"/>
      <c r="C97" s="330"/>
      <c r="D97" s="330"/>
      <c r="E97" s="330"/>
      <c r="F97" s="331"/>
    </row>
    <row r="98" spans="1:6" ht="18.75" customHeight="1">
      <c r="A98" s="13"/>
      <c r="B98" s="329"/>
      <c r="C98" s="330"/>
      <c r="D98" s="330"/>
      <c r="E98" s="330"/>
      <c r="F98" s="331"/>
    </row>
    <row r="99" spans="1:6" ht="18.75" customHeight="1">
      <c r="A99" s="13"/>
      <c r="B99" s="329"/>
      <c r="C99" s="330"/>
      <c r="D99" s="330"/>
      <c r="E99" s="330"/>
      <c r="F99" s="331"/>
    </row>
    <row r="100" spans="1:6" ht="18.75" customHeight="1">
      <c r="A100" s="13"/>
      <c r="B100" s="329"/>
      <c r="C100" s="330"/>
      <c r="D100" s="330"/>
      <c r="E100" s="330"/>
      <c r="F100" s="331"/>
    </row>
    <row r="101" spans="1:6" ht="18.75" customHeight="1">
      <c r="A101" s="13"/>
      <c r="B101" s="329"/>
      <c r="C101" s="330"/>
      <c r="D101" s="330"/>
      <c r="E101" s="330"/>
      <c r="F101" s="331"/>
    </row>
    <row r="102" spans="1:6" ht="18.75" customHeight="1">
      <c r="A102" s="13"/>
      <c r="B102" s="329"/>
      <c r="C102" s="330"/>
      <c r="D102" s="330"/>
      <c r="E102" s="330"/>
      <c r="F102" s="331"/>
    </row>
    <row r="103" spans="1:6" ht="18.75" customHeight="1">
      <c r="A103" s="13"/>
      <c r="B103" s="329"/>
      <c r="C103" s="330"/>
      <c r="D103" s="330"/>
      <c r="E103" s="330"/>
      <c r="F103" s="331"/>
    </row>
    <row r="104" spans="1:6" ht="18.75" customHeight="1">
      <c r="A104" s="13"/>
      <c r="B104" s="329"/>
      <c r="C104" s="330"/>
      <c r="D104" s="330"/>
      <c r="E104" s="330"/>
      <c r="F104" s="331"/>
    </row>
    <row r="105" spans="1:6" ht="18.75" customHeight="1">
      <c r="A105" s="13"/>
      <c r="B105" s="329"/>
      <c r="C105" s="330"/>
      <c r="D105" s="330"/>
      <c r="E105" s="330"/>
      <c r="F105" s="331"/>
    </row>
    <row r="106" spans="1:6" ht="18.75" customHeight="1">
      <c r="A106" s="13"/>
      <c r="B106" s="329"/>
      <c r="C106" s="330"/>
      <c r="D106" s="330"/>
      <c r="E106" s="330"/>
      <c r="F106" s="331"/>
    </row>
    <row r="107" spans="1:6" ht="18.75" customHeight="1">
      <c r="A107" s="13"/>
      <c r="B107" s="329"/>
      <c r="C107" s="330"/>
      <c r="D107" s="330"/>
      <c r="E107" s="330"/>
      <c r="F107" s="331"/>
    </row>
    <row r="108" spans="1:6" ht="18.75" customHeight="1">
      <c r="A108" s="13"/>
      <c r="B108" s="329"/>
      <c r="C108" s="330"/>
      <c r="D108" s="330"/>
      <c r="E108" s="330"/>
      <c r="F108" s="331"/>
    </row>
    <row r="109" spans="1:6" ht="18.75" customHeight="1">
      <c r="A109" s="13"/>
      <c r="B109" s="329"/>
      <c r="C109" s="330"/>
      <c r="D109" s="330"/>
      <c r="E109" s="330"/>
      <c r="F109" s="331"/>
    </row>
    <row r="110" spans="1:6" ht="18.75" customHeight="1">
      <c r="A110" s="13"/>
      <c r="B110" s="329"/>
      <c r="C110" s="330"/>
      <c r="D110" s="330"/>
      <c r="E110" s="330"/>
      <c r="F110" s="331"/>
    </row>
    <row r="111" spans="1:6" ht="18.75" customHeight="1">
      <c r="A111" s="13"/>
      <c r="B111" s="329"/>
      <c r="C111" s="330"/>
      <c r="D111" s="330"/>
      <c r="E111" s="330"/>
      <c r="F111" s="331"/>
    </row>
    <row r="112" spans="1:6" ht="18.75" customHeight="1">
      <c r="A112" s="13"/>
      <c r="B112" s="329"/>
      <c r="C112" s="330"/>
      <c r="D112" s="330"/>
      <c r="E112" s="330"/>
      <c r="F112" s="331"/>
    </row>
    <row r="113" spans="1:6" ht="18.75" customHeight="1">
      <c r="A113" s="13"/>
      <c r="B113" s="329"/>
      <c r="C113" s="330"/>
      <c r="D113" s="330"/>
      <c r="E113" s="330"/>
      <c r="F113" s="331"/>
    </row>
    <row r="114" spans="1:6" ht="18.75" customHeight="1">
      <c r="A114" s="13"/>
      <c r="B114" s="329"/>
      <c r="C114" s="330"/>
      <c r="D114" s="330"/>
      <c r="E114" s="330"/>
      <c r="F114" s="331"/>
    </row>
    <row r="115" spans="1:6" ht="18.75" customHeight="1">
      <c r="A115" s="6"/>
      <c r="B115" s="329"/>
      <c r="C115" s="330"/>
      <c r="D115" s="330"/>
      <c r="E115" s="330"/>
      <c r="F115" s="331"/>
    </row>
    <row r="116" spans="1:6" ht="18.75" customHeight="1">
      <c r="A116" s="6"/>
      <c r="B116" s="329"/>
      <c r="C116" s="330"/>
      <c r="D116" s="330"/>
      <c r="E116" s="330"/>
      <c r="F116" s="331"/>
    </row>
    <row r="117" spans="1:6" ht="18.75" customHeight="1">
      <c r="A117" s="6"/>
      <c r="B117" s="329"/>
      <c r="C117" s="330"/>
      <c r="D117" s="330"/>
      <c r="E117" s="330"/>
      <c r="F117" s="331"/>
    </row>
    <row r="118" spans="1:6" ht="18.75" customHeight="1">
      <c r="A118" s="6"/>
      <c r="B118" s="329"/>
      <c r="C118" s="330"/>
      <c r="D118" s="330"/>
      <c r="E118" s="330"/>
      <c r="F118" s="331"/>
    </row>
    <row r="119" spans="1:6" ht="18.75" customHeight="1">
      <c r="A119" s="6"/>
      <c r="B119" s="329"/>
      <c r="C119" s="330"/>
      <c r="D119" s="330"/>
      <c r="E119" s="330"/>
      <c r="F119" s="331"/>
    </row>
    <row r="120" spans="1:6" ht="18.75" customHeight="1">
      <c r="A120" s="6"/>
      <c r="B120" s="329"/>
      <c r="C120" s="330"/>
      <c r="D120" s="330"/>
      <c r="E120" s="330"/>
      <c r="F120" s="331"/>
    </row>
    <row r="121" spans="1:6" ht="18.75" customHeight="1">
      <c r="A121" s="6"/>
      <c r="B121" s="329"/>
      <c r="C121" s="330"/>
      <c r="D121" s="330"/>
      <c r="E121" s="330"/>
      <c r="F121" s="331"/>
    </row>
    <row r="122" spans="1:6" ht="18.75" customHeight="1">
      <c r="A122" s="6"/>
      <c r="B122" s="329"/>
      <c r="C122" s="330"/>
      <c r="D122" s="330"/>
      <c r="E122" s="330"/>
      <c r="F122" s="331"/>
    </row>
    <row r="123" spans="1:6" ht="18.75" customHeight="1">
      <c r="A123" s="6"/>
      <c r="B123" s="329"/>
      <c r="C123" s="330"/>
      <c r="D123" s="330"/>
      <c r="E123" s="330"/>
      <c r="F123" s="331"/>
    </row>
    <row r="124" spans="1:6" ht="18.75" customHeight="1">
      <c r="A124" s="6"/>
      <c r="B124" s="329"/>
      <c r="C124" s="330"/>
      <c r="D124" s="330"/>
      <c r="E124" s="330"/>
      <c r="F124" s="331"/>
    </row>
    <row r="125" spans="1:6" ht="18.75" customHeight="1">
      <c r="A125" s="6"/>
      <c r="B125" s="329"/>
      <c r="C125" s="330"/>
      <c r="D125" s="330"/>
      <c r="E125" s="330"/>
      <c r="F125" s="331"/>
    </row>
    <row r="126" spans="1:6" ht="18.75" customHeight="1">
      <c r="A126" s="6"/>
      <c r="B126" s="329"/>
      <c r="C126" s="330"/>
      <c r="D126" s="330"/>
      <c r="E126" s="330"/>
      <c r="F126" s="331"/>
    </row>
    <row r="127" spans="1:6" ht="18.75" customHeight="1">
      <c r="A127" s="6"/>
      <c r="B127" s="329"/>
      <c r="C127" s="330"/>
      <c r="D127" s="330"/>
      <c r="E127" s="330"/>
      <c r="F127" s="331"/>
    </row>
    <row r="128" spans="1:6" ht="18.75" customHeight="1">
      <c r="A128" s="6"/>
      <c r="B128" s="329"/>
      <c r="C128" s="330"/>
      <c r="D128" s="330"/>
      <c r="E128" s="330"/>
      <c r="F128" s="331"/>
    </row>
    <row r="129" spans="1:6" ht="18.75" customHeight="1">
      <c r="A129" s="6"/>
      <c r="B129" s="329"/>
      <c r="C129" s="330"/>
      <c r="D129" s="330"/>
      <c r="E129" s="330"/>
      <c r="F129" s="331"/>
    </row>
    <row r="130" spans="1:6" ht="18.75" customHeight="1">
      <c r="A130" s="6"/>
      <c r="B130" s="332"/>
      <c r="C130" s="333"/>
      <c r="D130" s="333"/>
      <c r="E130" s="333"/>
      <c r="F130" s="334"/>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様式１　大学等概要</vt:lpstr>
      <vt:lpstr>様式２－1　プログラムを構成する授業科目</vt:lpstr>
      <vt:lpstr>様式２－2　プログラムを構成する授業科目</vt:lpstr>
      <vt:lpstr>様式３　履修者等数の実績</vt:lpstr>
      <vt:lpstr>様式4－１　プログラムの授業内容・概要</vt:lpstr>
      <vt:lpstr>様式4－２プログラムの授業内容・概要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t-kudoh</cp:lastModifiedBy>
  <cp:lastPrinted>2021-04-02T07:19:40Z</cp:lastPrinted>
  <dcterms:created xsi:type="dcterms:W3CDTF">2011-06-14T05:32:50Z</dcterms:created>
  <dcterms:modified xsi:type="dcterms:W3CDTF">2021-06-16T23:56:05Z</dcterms:modified>
</cp:coreProperties>
</file>