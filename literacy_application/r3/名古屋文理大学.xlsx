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201010_教学課\数理･ﾃﾞｰﾀｻｲｴﾝｽ・・認定関係\文科提出用\修正（６月９日）\7.5再修正提出書類\"/>
    </mc:Choice>
  </mc:AlternateContent>
  <bookViews>
    <workbookView xWindow="0" yWindow="0" windowWidth="24000" windowHeight="9135" tabRatio="885" firstSheet="1" activeTab="5"/>
  </bookViews>
  <sheets>
    <sheet name="様式１　大学等概要" sheetId="8" r:id="rId1"/>
    <sheet name="様式２－１　プログラムを構成する授業科目" sheetId="9" r:id="rId2"/>
    <sheet name="様式３　履修者等数の実績" sheetId="31" r:id="rId3"/>
    <sheet name="様式4－1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'様式２－１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特色ある取組'!$A$1:$F$129</definedName>
  </definedNames>
  <calcPr calcId="162913"/>
</workbook>
</file>

<file path=xl/calcChain.xml><?xml version="1.0" encoding="utf-8"?>
<calcChain xmlns="http://schemas.openxmlformats.org/spreadsheetml/2006/main">
  <c r="R15" i="31" l="1"/>
  <c r="R16" i="31"/>
  <c r="R17" i="31"/>
  <c r="R18" i="31"/>
  <c r="R19" i="31"/>
  <c r="R20" i="31"/>
  <c r="R21" i="31"/>
  <c r="R22" i="31"/>
  <c r="R23" i="31"/>
  <c r="R24" i="31"/>
  <c r="R25" i="31"/>
  <c r="R26" i="31"/>
  <c r="R27" i="31"/>
  <c r="Q16" i="31" l="1"/>
  <c r="P28" i="31" l="1"/>
  <c r="O28" i="31"/>
  <c r="N28" i="31"/>
  <c r="M28" i="31"/>
  <c r="L28" i="31"/>
  <c r="K28" i="31"/>
  <c r="J28" i="31"/>
  <c r="I28" i="31"/>
  <c r="H28" i="31"/>
  <c r="G28" i="31"/>
  <c r="F28" i="31"/>
  <c r="E28" i="31"/>
  <c r="D28" i="31"/>
  <c r="Q27" i="31"/>
  <c r="Q26" i="31"/>
  <c r="Q25" i="31"/>
  <c r="Q24" i="31"/>
  <c r="Q23" i="31"/>
  <c r="Q22" i="31"/>
  <c r="Q21" i="31"/>
  <c r="Q20" i="31"/>
  <c r="Q19" i="31"/>
  <c r="Q18" i="31"/>
  <c r="Q17" i="31"/>
  <c r="Q15" i="3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<sst xmlns="http://schemas.openxmlformats.org/spreadsheetml/2006/main" count="310" uniqueCount="236">
  <si>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</si>
  <si>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</si>
  <si>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</si>
  <si>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</si>
  <si>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</si>
  <si>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</si>
  <si>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</si>
  <si>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</si>
  <si>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</si>
  <si>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</si>
  <si>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</si>
  <si>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</si>
  <si>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</si>
  <si>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</si>
  <si>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</si>
  <si>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</si>
  <si>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</si>
  <si>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</si>
  <si>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</si>
  <si>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</si>
  <si>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</si>
  <si>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</si>
  <si>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</si>
  <si>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</si>
  <si>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</si>
  <si>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</si>
  <si>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</si>
  <si>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</si>
  <si>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</si>
  <si>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</si>
  <si>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</si>
  <si>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</si>
  <si>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</si>
  <si>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</si>
  <si>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</si>
  <si>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</si>
  <si>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</si>
  <si>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</si>
  <si>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</si>
  <si>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</si>
  <si>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</si>
  <si>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</si>
  <si>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</si>
  <si>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</si>
  <si>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</si>
  <si>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</si>
  <si>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</si>
  <si>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</si>
  <si>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</si>
  <si>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</si>
  <si>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</si>
  <si>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</si>
  <si>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</si>
  <si>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</si>
  <si>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</si>
  <si>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</si>
  <si>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</si>
  <si>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</si>
  <si>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</si>
  <si>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</si>
  <si>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</si>
  <si>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</si>
  <si>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</si>
  <si>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</si>
  <si>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</si>
  <si>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</si>
  <si>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</si>
  <si>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</si>
  <si>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</si>
  <si>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</si>
  <si>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</si>
  <si>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</si>
  <si>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</si>
  <si>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</si>
  <si>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</si>
  <si>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</si>
  <si>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</si>
  <si>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</si>
  <si>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</si>
  <si>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</si>
  <si>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</si>
  <si>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</si>
  <si>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</si>
  <si>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</si>
  <si>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</si>
  <si>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</si>
  <si>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</si>
  <si>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</si>
  <si>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</si>
  <si>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</si>
  <si>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</si>
  <si>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</si>
  <si>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</si>
  <si>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</si>
  <si>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</si>
  <si>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</si>
  <si>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</si>
  <si>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</si>
  <si>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</si>
  <si>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</si>
  <si>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</si>
  <si>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</si>
  <si>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</si>
  <si>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</si>
  <si>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</si>
  <si>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</si>
  <si>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</si>
  <si>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</si>
  <si>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</si>
  <si>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</si>
  <si>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</si>
  <si>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</si>
  <si>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</si>
  <si>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</si>
  <si>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</si>
  <si>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</si>
  <si>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</si>
  <si>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</si>
  <si>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</si>
  <si>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</si>
  <si>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</si>
  <si>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</si>
  <si>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</si>
  <si>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</si>
  <si>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</si>
  <si>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</si>
  <si>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</si>
  <si>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</si>
  <si>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</si>
  <si>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</si>
  <si>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</si>
  <si>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</si>
  <si>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</si>
  <si>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</si>
  <si>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</si>
  <si>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</si>
  <si>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名古屋文理大学</t>
    <rPh sb="0" eb="7">
      <t>ナゴヤブンリダイガク</t>
    </rPh>
    <phoneticPr fontId="1"/>
  </si>
  <si>
    <t>私立大学</t>
  </si>
  <si>
    <t>愛知県稲沢市稲沢町前田365番地</t>
    <rPh sb="0" eb="11">
      <t>アイチケンイナザワシイナザワチョウマエダ</t>
    </rPh>
    <rPh sb="14" eb="16">
      <t>バンチ</t>
    </rPh>
    <phoneticPr fontId="1"/>
  </si>
  <si>
    <t>教学部教学課</t>
    <rPh sb="0" eb="6">
      <t>キョウガクブキョウガクカ</t>
    </rPh>
    <phoneticPr fontId="1"/>
  </si>
  <si>
    <t>0587-23-2400</t>
    <phoneticPr fontId="1"/>
  </si>
  <si>
    <t>鈴木　敦之</t>
    <rPh sb="0" eb="2">
      <t>スズキ</t>
    </rPh>
    <rPh sb="3" eb="5">
      <t>アツユキ</t>
    </rPh>
    <phoneticPr fontId="1"/>
  </si>
  <si>
    <t>－</t>
    <phoneticPr fontId="1"/>
  </si>
  <si>
    <t>kyogaku@nagoya-bunri.ac.jp</t>
    <phoneticPr fontId="1"/>
  </si>
  <si>
    <t>景山　節</t>
    <rPh sb="0" eb="2">
      <t>カゲヤマ</t>
    </rPh>
    <rPh sb="3" eb="4">
      <t>セツ</t>
    </rPh>
    <phoneticPr fontId="1"/>
  </si>
  <si>
    <t>学長</t>
    <rPh sb="0" eb="2">
      <t>ガクチョウ</t>
    </rPh>
    <phoneticPr fontId="1"/>
  </si>
  <si>
    <t>教務委員会</t>
    <rPh sb="0" eb="5">
      <t>キョウムイインカイ</t>
    </rPh>
    <phoneticPr fontId="1"/>
  </si>
  <si>
    <t>関川　靖</t>
    <rPh sb="0" eb="2">
      <t>セキガワ</t>
    </rPh>
    <rPh sb="3" eb="4">
      <t>ヤスシ</t>
    </rPh>
    <phoneticPr fontId="1"/>
  </si>
  <si>
    <t>教務委員会　委員長</t>
    <rPh sb="0" eb="5">
      <t>キョウムイインカイ</t>
    </rPh>
    <rPh sb="6" eb="9">
      <t>イインチョウ</t>
    </rPh>
    <phoneticPr fontId="1"/>
  </si>
  <si>
    <t>自己点検評価委員会</t>
    <rPh sb="0" eb="2">
      <t>ジコ</t>
    </rPh>
    <rPh sb="2" eb="4">
      <t>テンケン</t>
    </rPh>
    <rPh sb="4" eb="6">
      <t>ヒョウカ</t>
    </rPh>
    <rPh sb="6" eb="9">
      <t>イインカイ</t>
    </rPh>
    <phoneticPr fontId="1"/>
  </si>
  <si>
    <t>自己点検評価委員会　委員長</t>
    <rPh sb="0" eb="2">
      <t>ジコ</t>
    </rPh>
    <rPh sb="2" eb="4">
      <t>テンケン</t>
    </rPh>
    <rPh sb="4" eb="6">
      <t>ヒョウカ</t>
    </rPh>
    <rPh sb="6" eb="9">
      <t>イインカイ</t>
    </rPh>
    <rPh sb="10" eb="13">
      <t>イインチョウ</t>
    </rPh>
    <phoneticPr fontId="1"/>
  </si>
  <si>
    <t>令和２年度</t>
    <rPh sb="0" eb="2">
      <t>レイワ</t>
    </rPh>
    <rPh sb="3" eb="5">
      <t>ネンド</t>
    </rPh>
    <phoneticPr fontId="1"/>
  </si>
  <si>
    <t>認定教育プログラムと認定教育プログラム+（プラス）</t>
  </si>
  <si>
    <t>数理・データサイエンス・AI教育プログラム（リテラシーレベル）</t>
    <rPh sb="0" eb="2">
      <t>スウリ</t>
    </rPh>
    <rPh sb="14" eb="16">
      <t>キョウイク</t>
    </rPh>
    <phoneticPr fontId="1"/>
  </si>
  <si>
    <t>名古屋文理大学</t>
    <rPh sb="0" eb="3">
      <t>ナゴヤ</t>
    </rPh>
    <rPh sb="3" eb="7">
      <t>ブンリダイガク</t>
    </rPh>
    <phoneticPr fontId="1"/>
  </si>
  <si>
    <t>健康生活学部健康栄養学科（家政）</t>
    <rPh sb="0" eb="6">
      <t>ケンコウセイカツガクブ</t>
    </rPh>
    <rPh sb="6" eb="12">
      <t>ケンコウエイヨウガッカ</t>
    </rPh>
    <rPh sb="13" eb="15">
      <t>カセイ</t>
    </rPh>
    <phoneticPr fontId="1"/>
  </si>
  <si>
    <t>健康生活学部フードビジネス学科（家政）</t>
    <phoneticPr fontId="1"/>
  </si>
  <si>
    <t>情報メディア学部情報メディア学科（社会科学）</t>
    <rPh sb="0" eb="2">
      <t>ジョウホウ</t>
    </rPh>
    <rPh sb="8" eb="10">
      <t>ジョウホウ</t>
    </rPh>
    <rPh sb="17" eb="21">
      <t>シャカイカガク</t>
    </rPh>
    <phoneticPr fontId="1"/>
  </si>
  <si>
    <t>様式２－１</t>
    <rPh sb="0" eb="2">
      <t>ヨウシキ</t>
    </rPh>
    <phoneticPr fontId="1"/>
  </si>
  <si>
    <t>名古屋文理大学</t>
    <rPh sb="0" eb="7">
      <t>ナゴヤブンリダイガク</t>
    </rPh>
    <phoneticPr fontId="1"/>
  </si>
  <si>
    <t>学部・学科によって、修了要件は相違しない</t>
  </si>
  <si>
    <t>数的処理Ⅰ（健康栄養学科）</t>
    <rPh sb="0" eb="5">
      <t>スウテキショリイチ</t>
    </rPh>
    <rPh sb="6" eb="12">
      <t>ケンコウエイヨウガッカ</t>
    </rPh>
    <phoneticPr fontId="1"/>
  </si>
  <si>
    <t>数的処理Ⅰ（フードビジネス学科）</t>
    <rPh sb="0" eb="1">
      <t>スウ</t>
    </rPh>
    <rPh sb="1" eb="2">
      <t>テキ</t>
    </rPh>
    <rPh sb="2" eb="4">
      <t>ショリ</t>
    </rPh>
    <rPh sb="13" eb="15">
      <t>ガッカ</t>
    </rPh>
    <phoneticPr fontId="1"/>
  </si>
  <si>
    <t>数的処理Ⅰ（情報メディア学科）</t>
    <rPh sb="0" eb="1">
      <t>スウ</t>
    </rPh>
    <rPh sb="1" eb="2">
      <t>テキ</t>
    </rPh>
    <rPh sb="2" eb="4">
      <t>ショリ</t>
    </rPh>
    <rPh sb="6" eb="8">
      <t>ジョウホウ</t>
    </rPh>
    <rPh sb="12" eb="14">
      <t>ガッカ</t>
    </rPh>
    <phoneticPr fontId="1"/>
  </si>
  <si>
    <t>数的処理Ⅱ（健康栄養学科）</t>
    <rPh sb="0" eb="1">
      <t>スウ</t>
    </rPh>
    <rPh sb="1" eb="2">
      <t>テキ</t>
    </rPh>
    <rPh sb="2" eb="4">
      <t>ショリ</t>
    </rPh>
    <rPh sb="6" eb="12">
      <t>ケンコウエイヨウガッカ</t>
    </rPh>
    <phoneticPr fontId="1"/>
  </si>
  <si>
    <t>数的処理Ⅱ（フードビジネス学科）</t>
    <rPh sb="0" eb="1">
      <t>スウ</t>
    </rPh>
    <rPh sb="1" eb="2">
      <t>テキ</t>
    </rPh>
    <rPh sb="2" eb="4">
      <t>ショリ</t>
    </rPh>
    <rPh sb="13" eb="15">
      <t>ガッカ</t>
    </rPh>
    <phoneticPr fontId="1"/>
  </si>
  <si>
    <t>数的処理Ⅱ（情報メディア学科）</t>
    <rPh sb="0" eb="1">
      <t>スウ</t>
    </rPh>
    <rPh sb="1" eb="2">
      <t>テキ</t>
    </rPh>
    <rPh sb="2" eb="4">
      <t>ショリ</t>
    </rPh>
    <rPh sb="6" eb="8">
      <t>ジョウホウ</t>
    </rPh>
    <rPh sb="12" eb="14">
      <t>ガッカ</t>
    </rPh>
    <phoneticPr fontId="1"/>
  </si>
  <si>
    <t>情報リテラシー（健康栄養学科）</t>
    <rPh sb="0" eb="2">
      <t>ジョウホウ</t>
    </rPh>
    <phoneticPr fontId="1"/>
  </si>
  <si>
    <t>情報リテラシー（フードビジネス学科）</t>
    <rPh sb="0" eb="2">
      <t>ジョウホウ</t>
    </rPh>
    <phoneticPr fontId="1"/>
  </si>
  <si>
    <t>情報リテラシー（情報メディア学科）</t>
    <rPh sb="0" eb="2">
      <t>ジョウホウ</t>
    </rPh>
    <phoneticPr fontId="1"/>
  </si>
  <si>
    <t>教務委員会規程</t>
    <phoneticPr fontId="1"/>
  </si>
  <si>
    <t>有</t>
  </si>
  <si>
    <t>名古屋文理大学</t>
    <rPh sb="0" eb="5">
      <t>ナゴヤブンリ</t>
    </rPh>
    <rPh sb="5" eb="7">
      <t>ダイガク</t>
    </rPh>
    <phoneticPr fontId="1"/>
  </si>
  <si>
    <t>データを起点としたものの見方とビッグデータの活用を前提にして学ぶとともにAIを活用した新しいビジネスモデルを考える（1、2、3、15）</t>
    <rPh sb="4" eb="6">
      <t>キテン</t>
    </rPh>
    <rPh sb="12" eb="14">
      <t>ミカタ</t>
    </rPh>
    <rPh sb="22" eb="24">
      <t>カツヨウ</t>
    </rPh>
    <rPh sb="25" eb="27">
      <t>ゼンテイ</t>
    </rPh>
    <rPh sb="30" eb="31">
      <t>マナ</t>
    </rPh>
    <rPh sb="39" eb="41">
      <t>カツヨウ</t>
    </rPh>
    <rPh sb="43" eb="44">
      <t>アタラ</t>
    </rPh>
    <rPh sb="54" eb="55">
      <t>カンガ</t>
    </rPh>
    <phoneticPr fontId="1"/>
  </si>
  <si>
    <t>データを起点としたものの見方を確率推定の観点から学ぶ（1、4、5、7、8）</t>
    <rPh sb="3" eb="5">
      <t>キテン</t>
    </rPh>
    <rPh sb="11" eb="13">
      <t>ミカタ</t>
    </rPh>
    <rPh sb="14" eb="16">
      <t>カクリツ</t>
    </rPh>
    <rPh sb="16" eb="18">
      <t>スイテイ</t>
    </rPh>
    <rPh sb="19" eb="21">
      <t>カンテン</t>
    </rPh>
    <rPh sb="23" eb="24">
      <t>マナ</t>
    </rPh>
    <phoneticPr fontId="1"/>
  </si>
  <si>
    <t>データを起点としたものの見方を消費者物価指数など経済指標との関連で学ぶ（1、2、6）</t>
    <rPh sb="4" eb="6">
      <t>キテン</t>
    </rPh>
    <rPh sb="12" eb="14">
      <t>ミカタ</t>
    </rPh>
    <rPh sb="15" eb="18">
      <t>ショウヒシャ</t>
    </rPh>
    <rPh sb="18" eb="20">
      <t>ブッカ</t>
    </rPh>
    <rPh sb="20" eb="22">
      <t>シスウ</t>
    </rPh>
    <rPh sb="24" eb="26">
      <t>ケイザイ</t>
    </rPh>
    <rPh sb="26" eb="28">
      <t>シヒョウ</t>
    </rPh>
    <rPh sb="30" eb="32">
      <t>カンレン</t>
    </rPh>
    <rPh sb="33" eb="34">
      <t>マナ</t>
    </rPh>
    <phoneticPr fontId="1"/>
  </si>
  <si>
    <t>データを起点としたものの見方を養い、ビッグデータの活用を視野に入れて人間の知性とAIの関係性を考える（1、2、3、6）</t>
    <rPh sb="4" eb="6">
      <t>キテン</t>
    </rPh>
    <rPh sb="12" eb="14">
      <t>ミカタ</t>
    </rPh>
    <rPh sb="15" eb="16">
      <t>ヤシナ</t>
    </rPh>
    <rPh sb="25" eb="27">
      <t>カツヨウ</t>
    </rPh>
    <rPh sb="28" eb="30">
      <t>シヤ</t>
    </rPh>
    <rPh sb="31" eb="32">
      <t>イ</t>
    </rPh>
    <rPh sb="34" eb="36">
      <t>ニンゲン</t>
    </rPh>
    <rPh sb="37" eb="39">
      <t>チセイ</t>
    </rPh>
    <rPh sb="43" eb="46">
      <t>カンケイセイ</t>
    </rPh>
    <rPh sb="47" eb="48">
      <t>カンガ</t>
    </rPh>
    <phoneticPr fontId="1"/>
  </si>
  <si>
    <t>問題解決にはどのような調査データが必要で、そのデータから何が主張できるか（１、2、15）</t>
    <rPh sb="0" eb="2">
      <t>モンダイ</t>
    </rPh>
    <rPh sb="2" eb="4">
      <t>カイケツ</t>
    </rPh>
    <rPh sb="11" eb="13">
      <t>チョウサ</t>
    </rPh>
    <rPh sb="17" eb="19">
      <t>ヒツヨウ</t>
    </rPh>
    <rPh sb="28" eb="29">
      <t>ナニ</t>
    </rPh>
    <rPh sb="30" eb="32">
      <t>シュチョウ</t>
    </rPh>
    <phoneticPr fontId="1"/>
  </si>
  <si>
    <t>標本調査などで得られる調査データからどんな予測ができるか（4、5、7、8）</t>
    <rPh sb="0" eb="2">
      <t>ヒョウホン</t>
    </rPh>
    <rPh sb="2" eb="4">
      <t>チョウサ</t>
    </rPh>
    <rPh sb="7" eb="8">
      <t>エ</t>
    </rPh>
    <rPh sb="11" eb="13">
      <t>チョウサ</t>
    </rPh>
    <rPh sb="21" eb="23">
      <t>ヨソク</t>
    </rPh>
    <phoneticPr fontId="1"/>
  </si>
  <si>
    <t>調査データをマーケティングやサービス向上に役立てるあるいは景気判断に役立てる（4、6）</t>
    <rPh sb="0" eb="2">
      <t>チョウサ</t>
    </rPh>
    <rPh sb="18" eb="20">
      <t>コウジョウ</t>
    </rPh>
    <rPh sb="21" eb="23">
      <t>ヤクダ</t>
    </rPh>
    <rPh sb="29" eb="31">
      <t>ケイキ</t>
    </rPh>
    <rPh sb="31" eb="33">
      <t>ハンダン</t>
    </rPh>
    <rPh sb="34" eb="36">
      <t>ヤクダ</t>
    </rPh>
    <phoneticPr fontId="1"/>
  </si>
  <si>
    <t>ビッグデータを含む調査データの意味を理解し、自然・社会現象を分析する方法を学ぶ（１、2、7、8）</t>
    <rPh sb="7" eb="8">
      <t>フク</t>
    </rPh>
    <rPh sb="9" eb="11">
      <t>チョウサ</t>
    </rPh>
    <rPh sb="15" eb="17">
      <t>イミ</t>
    </rPh>
    <rPh sb="18" eb="20">
      <t>リカイ</t>
    </rPh>
    <rPh sb="22" eb="24">
      <t>シゼン</t>
    </rPh>
    <rPh sb="25" eb="27">
      <t>シャカイ</t>
    </rPh>
    <rPh sb="27" eb="29">
      <t>ゲンショウ</t>
    </rPh>
    <rPh sb="30" eb="32">
      <t>ブンセキ</t>
    </rPh>
    <rPh sb="34" eb="36">
      <t>ホウホウ</t>
    </rPh>
    <rPh sb="37" eb="38">
      <t>マナ</t>
    </rPh>
    <phoneticPr fontId="1"/>
  </si>
  <si>
    <t>いつ、どのような状況でどのようなデータ解析の手法が必要になるか（2、15）</t>
    <rPh sb="8" eb="10">
      <t>ジョウキョウ</t>
    </rPh>
    <rPh sb="19" eb="21">
      <t>カイセキ</t>
    </rPh>
    <rPh sb="22" eb="24">
      <t>シュホウ</t>
    </rPh>
    <rPh sb="25" eb="27">
      <t>ヒツヨウ</t>
    </rPh>
    <phoneticPr fontId="1"/>
  </si>
  <si>
    <t>推測統計の手法を用いてデータから様々な予測を行う（4、5、7、8）</t>
    <rPh sb="0" eb="2">
      <t>スイソク</t>
    </rPh>
    <rPh sb="2" eb="4">
      <t>トウケイ</t>
    </rPh>
    <rPh sb="5" eb="7">
      <t>シュホウ</t>
    </rPh>
    <rPh sb="8" eb="9">
      <t>モチ</t>
    </rPh>
    <rPh sb="16" eb="18">
      <t>サマザマ</t>
    </rPh>
    <rPh sb="19" eb="21">
      <t>ヨソク</t>
    </rPh>
    <rPh sb="22" eb="23">
      <t>オコナ</t>
    </rPh>
    <phoneticPr fontId="1"/>
  </si>
  <si>
    <t>流通やサービスの現場でのデータ・AIの活用事例としてABC分析を学ぶ（4）</t>
    <rPh sb="0" eb="2">
      <t>リュウツウ</t>
    </rPh>
    <rPh sb="8" eb="10">
      <t>ゲンバ</t>
    </rPh>
    <rPh sb="19" eb="21">
      <t>カツヨウ</t>
    </rPh>
    <rPh sb="21" eb="23">
      <t>ジレイ</t>
    </rPh>
    <rPh sb="29" eb="31">
      <t>ブンセキ</t>
    </rPh>
    <rPh sb="32" eb="33">
      <t>マナ</t>
    </rPh>
    <phoneticPr fontId="1"/>
  </si>
  <si>
    <t>データ解析の基本的な考え方を理解し、金融、特に保険という具体的な事例を通してリスクの予測という問題を考える（6）</t>
    <rPh sb="3" eb="5">
      <t>カイセキ</t>
    </rPh>
    <rPh sb="6" eb="8">
      <t>キホン</t>
    </rPh>
    <rPh sb="8" eb="9">
      <t>テキ</t>
    </rPh>
    <rPh sb="10" eb="11">
      <t>カンガ</t>
    </rPh>
    <rPh sb="12" eb="13">
      <t>カタ</t>
    </rPh>
    <rPh sb="14" eb="16">
      <t>リカイ</t>
    </rPh>
    <rPh sb="18" eb="20">
      <t>キンユウ</t>
    </rPh>
    <rPh sb="21" eb="22">
      <t>トク</t>
    </rPh>
    <rPh sb="23" eb="25">
      <t>ホケン</t>
    </rPh>
    <rPh sb="28" eb="31">
      <t>グタイテキ</t>
    </rPh>
    <rPh sb="32" eb="34">
      <t>ジレイ</t>
    </rPh>
    <rPh sb="35" eb="36">
      <t>トオ</t>
    </rPh>
    <rPh sb="42" eb="44">
      <t>ヨソク</t>
    </rPh>
    <rPh sb="47" eb="49">
      <t>モンダイ</t>
    </rPh>
    <rPh sb="50" eb="51">
      <t>カンガ</t>
    </rPh>
    <phoneticPr fontId="1"/>
  </si>
  <si>
    <t>個人情報の取り扱い（2）、AIサービスの活用方法（4）</t>
    <rPh sb="0" eb="4">
      <t>コジンジョウホウ</t>
    </rPh>
    <rPh sb="5" eb="6">
      <t>ト</t>
    </rPh>
    <rPh sb="7" eb="8">
      <t>アツカ</t>
    </rPh>
    <rPh sb="20" eb="24">
      <t>カツヨウホウホウ</t>
    </rPh>
    <phoneticPr fontId="1"/>
  </si>
  <si>
    <t>個人情報の取り扱い（2）、AIサービスの活用方法（3）</t>
    <rPh sb="0" eb="4">
      <t>コジンジョウホウ</t>
    </rPh>
    <rPh sb="5" eb="6">
      <t>ト</t>
    </rPh>
    <rPh sb="7" eb="8">
      <t>アツカ</t>
    </rPh>
    <rPh sb="20" eb="24">
      <t>カツヨウホウホウ</t>
    </rPh>
    <phoneticPr fontId="1"/>
  </si>
  <si>
    <t>データ活用・AIシステム活用の基本知識・注意事項（4）、情報分野のELSI（倫理的・法的・社会的課題）（5）</t>
    <rPh sb="3" eb="5">
      <t>カツヨウ</t>
    </rPh>
    <rPh sb="12" eb="14">
      <t>カツヨウ</t>
    </rPh>
    <rPh sb="15" eb="17">
      <t>キホン</t>
    </rPh>
    <rPh sb="17" eb="19">
      <t>チシキ</t>
    </rPh>
    <rPh sb="20" eb="24">
      <t>チュウイジコウ</t>
    </rPh>
    <rPh sb="28" eb="30">
      <t>ジョウホウ</t>
    </rPh>
    <rPh sb="30" eb="32">
      <t>ブンヤ</t>
    </rPh>
    <rPh sb="38" eb="41">
      <t>リンリテキ</t>
    </rPh>
    <rPh sb="42" eb="44">
      <t>ホウテキ</t>
    </rPh>
    <rPh sb="45" eb="47">
      <t>シャカイ</t>
    </rPh>
    <rPh sb="47" eb="48">
      <t>テキ</t>
    </rPh>
    <rPh sb="48" eb="50">
      <t>カダイ</t>
    </rPh>
    <phoneticPr fontId="1"/>
  </si>
  <si>
    <t>関数（縦横集計、平均、論理関数、相対・絶対参照など）を使いこなす（9）、アンケート調査結果を用いた統計処理（12）</t>
    <rPh sb="0" eb="2">
      <t>カンスウ</t>
    </rPh>
    <rPh sb="3" eb="5">
      <t>タテヨコ</t>
    </rPh>
    <rPh sb="5" eb="7">
      <t>シュウケイ</t>
    </rPh>
    <rPh sb="8" eb="10">
      <t>ヘイキン</t>
    </rPh>
    <rPh sb="11" eb="13">
      <t>ロンリ</t>
    </rPh>
    <rPh sb="13" eb="15">
      <t>カンスウ</t>
    </rPh>
    <rPh sb="16" eb="18">
      <t>ソウタイ</t>
    </rPh>
    <rPh sb="19" eb="21">
      <t>ゼッタイ</t>
    </rPh>
    <rPh sb="21" eb="23">
      <t>サンショウ</t>
    </rPh>
    <rPh sb="27" eb="28">
      <t>ツカ</t>
    </rPh>
    <rPh sb="41" eb="45">
      <t>チョウサケッカ</t>
    </rPh>
    <rPh sb="46" eb="47">
      <t>モチ</t>
    </rPh>
    <rPh sb="49" eb="51">
      <t>トウケイ</t>
    </rPh>
    <rPh sb="51" eb="53">
      <t>ショリ</t>
    </rPh>
    <phoneticPr fontId="1"/>
  </si>
  <si>
    <t>統計関数と論理関数を利用したデータ処理（12）、グラフの描画と統計処理（13）</t>
    <rPh sb="0" eb="2">
      <t>トウケイ</t>
    </rPh>
    <rPh sb="2" eb="4">
      <t>カンスウ</t>
    </rPh>
    <rPh sb="5" eb="7">
      <t>ロンリ</t>
    </rPh>
    <rPh sb="7" eb="9">
      <t>カンスウ</t>
    </rPh>
    <rPh sb="10" eb="12">
      <t>リヨウ</t>
    </rPh>
    <rPh sb="17" eb="19">
      <t>ショリ</t>
    </rPh>
    <rPh sb="28" eb="29">
      <t>カ</t>
    </rPh>
    <rPh sb="29" eb="30">
      <t>ガ</t>
    </rPh>
    <rPh sb="31" eb="35">
      <t>トウケイショリ</t>
    </rPh>
    <phoneticPr fontId="1"/>
  </si>
  <si>
    <t>様式４-1</t>
    <rPh sb="0" eb="2">
      <t>ヨウシキ</t>
    </rPh>
    <phoneticPr fontId="1"/>
  </si>
  <si>
    <t xml:space="preserve">https://www.nagoya-bunri.ac.jp/campus/lecture/ai.html </t>
    <phoneticPr fontId="1"/>
  </si>
  <si>
    <t>本学では、本教育プログラム申請科目の全てが全学部・学科で必修科目であり、学部・学科に関係なく、全員が履修する体制となっている。</t>
    <phoneticPr fontId="1"/>
  </si>
  <si>
    <t>本講義では統計学の基礎的な概念を応用し、日常生活で出会う様々な問題について議論します。それによって統計数字の意味を理解することができるようになるだけでなく、大学生や社会人に求められる数的処理能力が養われるはずです。ビッグデータを活用するデータサイエンスの基礎は統計学です。本講義で扱う統計処理は基本的なものばかりですが、それらの意味や活用法を深く理解することができれば、専門科目の学修において大きな力になります。 
各回のテーマはビッグデータの活用を前提として、データを起点としたものの見方とはどのようなものかを考えさせる内容になっており、人間の知的活動とAIの関係性を考えたり、AI等を活用した新しいビジネスモデルを提案するヒントを与えます。</t>
    <phoneticPr fontId="1"/>
  </si>
  <si>
    <t>数的処理Ⅰ（健康栄養学科）</t>
    <rPh sb="0" eb="4">
      <t>スウテキショリ</t>
    </rPh>
    <rPh sb="6" eb="8">
      <t>ケンコウ</t>
    </rPh>
    <rPh sb="8" eb="10">
      <t>エイヨウ</t>
    </rPh>
    <rPh sb="10" eb="12">
      <t>ガッカ</t>
    </rPh>
    <phoneticPr fontId="1"/>
  </si>
  <si>
    <t>数的処理Ⅱ（健康栄養学科）</t>
    <rPh sb="0" eb="4">
      <t>スウテキショリ</t>
    </rPh>
    <rPh sb="6" eb="8">
      <t>ケンコウ</t>
    </rPh>
    <rPh sb="8" eb="10">
      <t>エイヨウ</t>
    </rPh>
    <rPh sb="10" eb="12">
      <t>ガッカ</t>
    </rPh>
    <phoneticPr fontId="1"/>
  </si>
  <si>
    <t>数的処理Ⅰ（フードビジネス学科）</t>
    <rPh sb="0" eb="2">
      <t>スウテキ</t>
    </rPh>
    <rPh sb="2" eb="4">
      <t>ショリ</t>
    </rPh>
    <rPh sb="13" eb="15">
      <t>ガッカ</t>
    </rPh>
    <phoneticPr fontId="1"/>
  </si>
  <si>
    <t>数的処理Ⅱ（フードビジネス学科）</t>
    <rPh sb="0" eb="2">
      <t>スウテキ</t>
    </rPh>
    <rPh sb="2" eb="4">
      <t>ショリ</t>
    </rPh>
    <rPh sb="13" eb="15">
      <t>ガッカ</t>
    </rPh>
    <phoneticPr fontId="1"/>
  </si>
  <si>
    <t>数的処理Ⅰ（情報メディア学科）</t>
    <rPh sb="0" eb="2">
      <t>スウテキ</t>
    </rPh>
    <rPh sb="2" eb="4">
      <t>ショリ</t>
    </rPh>
    <rPh sb="6" eb="8">
      <t>ジョウホウ</t>
    </rPh>
    <rPh sb="12" eb="14">
      <t>ガッカ</t>
    </rPh>
    <phoneticPr fontId="1"/>
  </si>
  <si>
    <t>数的処理Ⅱ（情報メディア学科）</t>
    <rPh sb="0" eb="2">
      <t>スウテキ</t>
    </rPh>
    <rPh sb="2" eb="4">
      <t>ショリ</t>
    </rPh>
    <rPh sb="6" eb="8">
      <t>ジョウホウ</t>
    </rPh>
    <rPh sb="12" eb="14">
      <t>ガッカ</t>
    </rPh>
    <phoneticPr fontId="1"/>
  </si>
  <si>
    <t>本講義では統計学の基礎的な概念を応用し、日常生活で出会う様々な問題について議論します。それによって統計数字の意味を理解することができるようになるだけでなく、大学生や社会人に求められる数的処理能力が養われるはずです。ビッグデータを活用するデータサイエンスの基礎は統計学です。本講義で扱う統計処理は基本的なものばかりですが、それらの意味や活用法を深く理解することができれば、専門科目の学修において大きな力になります。 
ビックデータを含む調査データの意味を正しく読み取り、データを活用して経営判断を行ったり、経済動向を予測したりするための基礎知識を学び、それをもとにしてマーケティングやサービスのあり方さらにはリスクマネージメントの方法を理解します。</t>
    <phoneticPr fontId="1"/>
  </si>
  <si>
    <t>情報処理の基礎科目として情報活用能力の土台となる知識と技術を習得するとともに、AIやクラウド技術の活用など近年の情報化社会におけるルールやモラルを理解することを目的とします。実習はOfficeツール（ワープロ、表計算）によるレポート作成、インターネットを使った情報検索や活用法など毎回課題を与えます。</t>
    <rPh sb="87" eb="89">
      <t>ジッシュウ</t>
    </rPh>
    <rPh sb="105" eb="108">
      <t>ヒョウケイサン</t>
    </rPh>
    <rPh sb="116" eb="118">
      <t>サクセイ</t>
    </rPh>
    <rPh sb="127" eb="128">
      <t>ツカ</t>
    </rPh>
    <rPh sb="130" eb="132">
      <t>ジョウホウ</t>
    </rPh>
    <rPh sb="132" eb="134">
      <t>ケンサク</t>
    </rPh>
    <rPh sb="135" eb="138">
      <t>カツヨウホウ</t>
    </rPh>
    <rPh sb="140" eb="142">
      <t>マイカイ</t>
    </rPh>
    <rPh sb="142" eb="144">
      <t>カダイ</t>
    </rPh>
    <rPh sb="145" eb="146">
      <t>アタ</t>
    </rPh>
    <phoneticPr fontId="1"/>
  </si>
  <si>
    <t>情報リテラシー（健康栄養学科）</t>
    <rPh sb="0" eb="2">
      <t>ジョウホウ</t>
    </rPh>
    <rPh sb="8" eb="12">
      <t>ケンコウエイヨウ</t>
    </rPh>
    <rPh sb="12" eb="14">
      <t>ガッカ</t>
    </rPh>
    <phoneticPr fontId="1"/>
  </si>
  <si>
    <t>情報リテラシー（フードビジネス学科）</t>
    <rPh sb="0" eb="2">
      <t>ジョウホウ</t>
    </rPh>
    <rPh sb="15" eb="17">
      <t>ガッカ</t>
    </rPh>
    <phoneticPr fontId="1"/>
  </si>
  <si>
    <t>情報リテラシー（情報メディア学科）</t>
    <rPh sb="0" eb="2">
      <t>ジョウホウ</t>
    </rPh>
    <rPh sb="8" eb="10">
      <t>ジョウホウ</t>
    </rPh>
    <rPh sb="14" eb="16">
      <t>ガッカ</t>
    </rPh>
    <phoneticPr fontId="1"/>
  </si>
  <si>
    <t>情報処理の基礎科目として情報活用能力の土台となる知識と技術を習得するとともに、AIやクラウド技術の活用など近年の情報化社会におけるルールやモラルを理解することを目的とします。実習はOfficeツール（ワープロ、表計算）によるレポート作成、インターネットを使った情報検索や活用法など毎回課題を与えます。</t>
    <phoneticPr fontId="1"/>
  </si>
  <si>
    <t>本講義では統計学の基礎的な概念を応用し、日常生活で出会う様々な問題について議論します。それによって統計数字の意味を理解することができるようになるだけでなく、大学生や社会人に求められる数的処理能力が養われるはずです。ビッグデータを活用するデータサイエンスの基礎は統計学です。本講義で扱う統計処理は基本的なものばかりですが、それらの意味や活用法を深く理解することができれば、専門科目の学修において大きな力になります。 
いつ、どのような場面や状況で、どのようなデータ解析の手法が必要になるかを、流通、サービス、金融といった具体的かつ現実的な事例を学び、データを利活用してリスクを予測したり評価したりできるようになります。</t>
    <phoneticPr fontId="1"/>
  </si>
  <si>
    <t>教務委員会は全学の教育課程や進級・卒業など教育に関する事項を審議する場所であり、さらに「教育の質保証」を目指すために委員会の中にワーキンググループを設置し具体策を提言している。本委員会にて、「数理・データサイエンス・AI教育ワーキンググループ」を運営し、数理・データサイエンス・AI教育の円滑な実施および教育内容の確認と教育効果の質向上を図っている。なお、本教育プログラム申請科目はすべて必修科目であるので受講者数増加策は現状では課題となっていない。</t>
    <rPh sb="27" eb="29">
      <t>ジコウ</t>
    </rPh>
    <phoneticPr fontId="1"/>
  </si>
  <si>
    <t>本教育プログラムの申請科目はすべて必修科目であるので、１００％の履修率でなければならない。従って、オンラインでの履修登録期間終了後、履修登録漏れの有無を確認するとともに、該当科目の履修者の単位修得状況は、自己点検委員会に報告して確認している。また、授業がシラバスに従って運営され、項目①～⑤が全て実施されているかどうかを確認する。</t>
    <phoneticPr fontId="1"/>
  </si>
  <si>
    <t>全学科（3学科）において実施されている申請科目の学修成果について、学生による授業評価における理解度等の結果をもとに、年度ごとおよび学科間で差異があるかどうか、各学科の他の授業科目の理解度（数値化された平均値）との比較を含めて、評価結果を検討している。3学科すべての受講生に同じレベルの習熟度の達成を目標としており、これを実現するため科目担当者間での検討結果の報告を受け改善への方向を把握する。</t>
    <phoneticPr fontId="1"/>
  </si>
  <si>
    <t>本教育プログラム受講者全員に対して申請関連科目の学生による授業評価を実施しており、昨年度は学生による授業評価の分析結果が「拡大FD・SDフォーラム」で報告され、全教職員に検討結果が周知された。学生による授業評価の結果は、個別の科目の結果のみでなく、全体の科目の平均値などの統計データも教学課で整理し、毎学期、学内で公開されるので、学生による授業評価の「理解度」の項目を中心に学生の内容の理解度を把握している。</t>
    <rPh sb="24" eb="26">
      <t>ガクセイ</t>
    </rPh>
    <rPh sb="29" eb="31">
      <t>ジュギョウ</t>
    </rPh>
    <rPh sb="31" eb="33">
      <t>ヒョウカ</t>
    </rPh>
    <rPh sb="45" eb="47">
      <t>ガクセイ</t>
    </rPh>
    <rPh sb="96" eb="98">
      <t>ガクセイ</t>
    </rPh>
    <rPh sb="165" eb="167">
      <t>ガクセイ</t>
    </rPh>
    <rPh sb="170" eb="172">
      <t>ジュギョウ</t>
    </rPh>
    <rPh sb="172" eb="174">
      <t>ヒョウカ</t>
    </rPh>
    <phoneticPr fontId="1"/>
  </si>
  <si>
    <t xml:space="preserve">全学科の新入学生全員にタブレット端末（iPad）を無償配布し、学内・学外で、いつでも情報データ収集・分析できるようにすることで、アクティブラーニングを推進できる環境を整備している。また、学内では全館で無線LAN（Wi-Fi）が利用でき、LMSを導入して全科目で使用しており、オンラインで教員への質問が可能であり、双方向的な学修支援体制を整えている。
健康生活学部健康栄養学科では、授業内のプレゼンテーションの際にLMSを用いて学生の相互評価のアンケートを実施し、結果を集計解析する実習を実施している。また、健康生活学部フードビジネス学科では専門科目に「統計処理」を設置し、より複雑なデータ処理能力を身につけることで、データサイエンスの実践化を「専門演習」でも行えるようにしている。
情報メディア学部情報メディア学科では、専門科目で多くの応用的内容を含むデータサイエンス系科目やAIの活用・開発を実践する科目を設置し、卒業研究に至る過程で実際にデータサイエンスを実践している。
このように、本申請に係る数理・データサイエンス・AI教育（リテラシーレベル）の内容を含む基礎科目「数的処理I」「数的処理II」及び「情報リテラシー」で習得した数理・データサイエンスの知識や分析手法を、専門分野で応用できるように努めている。
この「数的処理I」「数的処理II」と「情報リテラシー」は、各学科の１年次必修科目であるが、「情報リテラシー」には、科目担当教員の他に１名の上級生をSA（Student Assistant）として配置しており、上級学年でのデータ活用の経験を踏まえて学修サポートにあたっている。
さらに、GPA制度を導入してGPAの変化を各学生に周知させるとともに、学年ごとの度数分布表を作成し学修成果の可視化に努めている。
</t>
    <phoneticPr fontId="1"/>
  </si>
  <si>
    <t xml:space="preserve">健康生活学部健康栄養学科では、地域連携として大学所在地である愛知県稲沢市の保健センターにおける健康フェスティバルや隣接する市の幼稚園と連携している。そこで健康や食に関するアンケート調査等を行い、学生によるデータ解析・学会発表等を実施し、地域住民への食育活動の推進に還元している。また管理栄養士資格要件である「臨地実習」では、地域の給食施設や医療施設と連携した実習教育を行っている。
健康生活学部フードビジネス学科では、愛知県安城市の農務課と安城市役所の1階食堂を運営する企業と連携し、同食堂に来店した市民を対象として、安城市の地産地消と食堂利用に関するアンケート調査を実施した。学生が実際に調査設計に関わり、安城市民の地産地消意識や新たな特産品開発への意向等に関する分析を行った。このように、行政団体・産業界のとの連携を諮り、データサイエンス教育の実践力を学生が身につけられるようにしている。
情報メディア学部情報メディア学科では、履修年次を限定しない「学生プロジェクト」を授業の一環で実施している。学生による地域連携活動として、これまでに、企業と連携してAI機能を持つスマホアプリの開発、VR（バーチャルリアリティ）技術を使った地域イベントの実施、提携高校である愛知県立稲沢東高校の文化祭へのVR・AR体験イベントの出展などを行ない、愛知県行政書士会一宮支部と連携したPR動画の制作等を手がけた。
全学的には、地域連携センターを窓口に、地域連携・産学連携・高大連携活動に学生が参加しており、稲沢イルミネーション点灯式のオンライン中継、愛知県下水道科学館等での子供向け科学実験教室や、小学生向けプログラミング教室、小学校での食育講座に、学生が講師として参加し、アンケート実施や統計データの活用も含めて学生が活動している。
</t>
    <phoneticPr fontId="1"/>
  </si>
  <si>
    <t>教務委員長（フードビジネス学科　教授）関川　靖　
副学長・健康生活学部長（健康栄養学科　教授）　山田ゆかり
教学部長（フードビジネス学科　教授）　吉田　洋
情報メディア学部長（情報メディア学科　教授）　長谷川聡
情報メディア学科長（教授）　吉田友敬
フードビジネス学科長（教授）　中村麻理
基礎教育センター長（教授）　落合洋文
情報メディア学科　教授　本多一彦
情報メディア学科　助教　吉川　遼
情報メディア学科　助教　濱口輝士
健康栄養学科長（教授）　加藤丈雄
健康栄養学科　教授　後藤千穂　　　</t>
    <rPh sb="13" eb="15">
      <t>ガッカ</t>
    </rPh>
    <rPh sb="16" eb="18">
      <t>キョウジュ</t>
    </rPh>
    <rPh sb="66" eb="68">
      <t>ガッカ</t>
    </rPh>
    <rPh sb="69" eb="71">
      <t>キョウジュ</t>
    </rPh>
    <rPh sb="88" eb="90">
      <t>ジョウホウ</t>
    </rPh>
    <rPh sb="94" eb="96">
      <t>ガッカ</t>
    </rPh>
    <rPh sb="97" eb="99">
      <t>キョウジュ</t>
    </rPh>
    <rPh sb="116" eb="118">
      <t>キョウジュ</t>
    </rPh>
    <rPh sb="136" eb="138">
      <t>キョウジュ</t>
    </rPh>
    <rPh sb="143" eb="144">
      <t>リ</t>
    </rPh>
    <rPh sb="155" eb="157">
      <t>キョウジュ</t>
    </rPh>
    <rPh sb="223" eb="225">
      <t>キョウジュ</t>
    </rPh>
    <phoneticPr fontId="1"/>
  </si>
  <si>
    <t>本教育プログラム申請科目の「数的処理Ⅰ」「数的処理Ⅱ」は、基礎教育センターが所属の教員が担当している。基礎教育センターでは、文章表現能力の向上ばかりでなく、確率・統計などの知識向上目指し、そのための授業方法・授業内容の検討を定期的に実施しするとともに、専門科目との連携を図るための学科からの意見を取り入れている。また、学生による授業評価の「満足度」「理解度」および自由記述から学生の理解度等を把握して検討し、授業改善につなげている。</t>
    <phoneticPr fontId="1"/>
  </si>
  <si>
    <t>入学後のガイダンスにて本プログラムを周知し、本学のWebサイトトップ画面にプログラム専用ページへのリンクを掲載して、学生に本教育プログラムの重要性の周知する方策としている。</t>
    <phoneticPr fontId="1"/>
  </si>
  <si>
    <t>現在はIoTの世界となり、実社会においてデータや情報を分析し活用することがビジネスにおける成功に必要不可欠なっている。本プログラムを履修することで、社会における情報を正しく利用し、そしてデータ・ＡＩを活用する知識を身につけ、データを読み解く能力の身につけられる。また、授業内容に各学科の特徴を考慮した事例を用いており、このプログラムを修めることで実社会に出てすぐに遭遇するデータを分析・理解できるようなる。</t>
    <phoneticPr fontId="1"/>
  </si>
  <si>
    <t>健康生活学部及び情報メディア学部では、プログラムを構成する基礎教育科目「数的処理Ⅰ」1単位、「数的処理Ⅱ」1単位、「情報リテラシー」2単位、計4単位を取得すること。</t>
    <rPh sb="0" eb="6">
      <t>ケンコウセイカツガクブ</t>
    </rPh>
    <rPh sb="6" eb="7">
      <t>オヨ</t>
    </rPh>
    <rPh sb="8" eb="10">
      <t>ジョウホウ</t>
    </rPh>
    <rPh sb="14" eb="16">
      <t>ガクブ</t>
    </rPh>
    <rPh sb="25" eb="27">
      <t>コウセイ</t>
    </rPh>
    <rPh sb="29" eb="31">
      <t>キソ</t>
    </rPh>
    <rPh sb="31" eb="33">
      <t>キョウイク</t>
    </rPh>
    <rPh sb="33" eb="35">
      <t>カモク</t>
    </rPh>
    <rPh sb="36" eb="40">
      <t>スウテキショリ</t>
    </rPh>
    <rPh sb="43" eb="45">
      <t>タンイ</t>
    </rPh>
    <rPh sb="47" eb="51">
      <t>スウテキショリ</t>
    </rPh>
    <rPh sb="54" eb="56">
      <t>タンイ</t>
    </rPh>
    <rPh sb="58" eb="60">
      <t>ジョウホウ</t>
    </rPh>
    <rPh sb="67" eb="69">
      <t>タンイ</t>
    </rPh>
    <rPh sb="70" eb="71">
      <t>ケイ</t>
    </rPh>
    <rPh sb="72" eb="74">
      <t>タンイ</t>
    </rPh>
    <rPh sb="75" eb="77">
      <t>シュトク</t>
    </rPh>
    <phoneticPr fontId="1"/>
  </si>
  <si>
    <t>本学では本教育プログラムの申請科目は、すべて必修である。実際の履修者数・履修率に加えて単位取得者数を含めた報告を自己点検評価委員会で確認している。</t>
    <rPh sb="60" eb="62">
      <t>ヒョウカ</t>
    </rPh>
    <phoneticPr fontId="1"/>
  </si>
  <si>
    <t xml:space="preserve">「数的処理Ⅰ」「数的処理Ⅱ」では、気候変化や豊かさなど感覚的な情報を数値化したり、身近な社会現象や自然現象を数学的なモデルを使って解析したりすることで、データの意味について考え、課題の実行に不可欠なデータは何かを見抜くセンスを養う。社会で起きている変化を意識し最新のデータ・AI活用を踏まえた、課題解決型の授業であり、グループワークが基本である。教員は各クラスに２名を配置し、ファシリテーターとして学生の討議を支援する。毎回の授業で扱うテーマは、学科の専門性に配慮して、学生が取り組みやすいものを選択している。学科の専門分野に関係する実際のデータや、社会で広範囲に活用されている領域や様々な活用事例を参照しつつ、実際のデータを基礎的な統計的手法を用いて記述・解析したり推定したりするが、特に「数的処理Ⅰ」では統計技術よりもデータの意味について考えさせることに主眼を置いている。
「情報リテラシー」はPC（パーソナルコンピュータ）実習室で実施し、自宅でも全学生が利用できるタブレット端末（iPad）も活用している。社会における情報モラルを学び、安全なデータ活用のために留意すべき事項を理解した上で、インターネット環境を活用したデータの収集・加工・表現を実践する。インターネットの検索エンジンを利用してデータを収集し、データの意味を解釈して問題解決に必要なデータを取捨選択すると同時に、表計算ソフトを用いて目的にあった情報を抽出する。適切なグラフや図を利用して、情報をビジュアル化し、プレゼンテーションソフトを利用して情報を適切に説明する。これらを通して、情報システムを活用したデータ活用における心得と基本スキルを身につける。
上記3科目は、１年次の全学共通科目であるが、授業は各学科開講され、２年次以降の学生の専門性に応じた進路（専修コース、「専門演習」、「卒業研究」）へつながる。
</t>
    <phoneticPr fontId="1"/>
  </si>
  <si>
    <t>本教育プログラムの修了学生は非輩出のため、進路・活躍状況・企業からの評価を把握できていない。近隣の関係企業（産学連携先や就職実績があり継続して採用計画のある企業）からは、本学卒業生に関して定期的に、評価や要望などの調査を実施しており、今後、本プログラムの修了者についても状況把握を行う予定である。</t>
    <phoneticPr fontId="1"/>
  </si>
  <si>
    <t>フードビジネス学科では、昨年度企業との協議により本学科の教育課程に関する意見を収集した。この意見を参考にしてカリキュラム改編計画を進めており、改編の中に数理・データサイエンス・AI教育の充実も図ることにしている。健康栄養学科では、管理栄養士の臨地実習先である医療施設や給食施設において、教育プログラムや教育成果・教育手法への意見を収集している。情報メディア学科では、産学連携先やインターンシップ先で主にシステム開発に係るデータサイエンス教育の内容について定期的に意見交換する場に参加している。いずれも今後は本プログラムの内容・手法についても意見聴取を行う。</t>
    <rPh sb="39" eb="41">
      <t>シュウシュウ</t>
    </rPh>
    <rPh sb="61" eb="62">
      <t>ヘン</t>
    </rPh>
    <rPh sb="72" eb="73">
      <t>ヘン</t>
    </rPh>
    <rPh sb="165" eb="167">
      <t>シュウシュウ</t>
    </rPh>
    <phoneticPr fontId="1"/>
  </si>
  <si>
    <t>モデルカリキュラム・リテラシーレベルの科目の授業の中で、情報社会の進展でデータの有効活用により、新たな経営戦略・新たなビジネスモデルが生まれる可能性と、その実現例を紹介することで数理・データサイエンス・AI教育の必要性を分かりやすく講義するとともに、必要不可欠性を理解させる。学生による授業評価の「授業への参加度」「授業への満足度」や「理解度」および自由記述から学生の積極的参加意欲等を比較検討し、授業改善を図っている。</t>
    <phoneticPr fontId="1"/>
  </si>
  <si>
    <t>担当教員へ直接疑問点を相談することができ、理解できるまでのサポートが必要であるので、本学では全教員がオフィスアワーを設定している。また、授業に関する情報は授業ごとにLMS（学修管理システム）に掲載してあり、受講生はオンラインでいつでも担当教員に質問することができる。さらに、申請科目のうち「数的処理Ⅰ」「数的処理Ⅱ」は基礎教育センターの教員が担当し、センター内で教員が学生からの質問などに対応できるようにしている。</t>
    <phoneticPr fontId="1"/>
  </si>
  <si>
    <t>申請科目の中で「情報リテラシー」の授業では、理解度向上を図るためにSA（Student Assistant）を配置し受講生の理解を助け受講生からの個別の質問等もサポートする。また、「数的処理Ⅰ」「数的処理Ⅱ」では、グループワークを含む授業の運営を円滑にするため、教員2名体制で進めており、本学「基礎教育センター」が質問等に対応している。いずれも全学で必修科目であり、上記のような個別対応によって理解度の向上を図り、受講生の円滑な学修と教育内容の修得ができるようサポートしている。　　</t>
    <phoneticPr fontId="1"/>
  </si>
  <si>
    <t>本学では、1年生全員に少人数制のフレッシュマンセミナーを実施しており、その中で昨年度実施した「拡大FD・SDフォーラム」での学生による授業評価分析結果を参考に、既履修学生の経験や意見を紹介し本プログラムに取り組む姿勢の重要なポイントを周知させている。学生による授業評価の結果（受講生の自由記述を含む）は学内に公開し後輩の学生も閲覧可能にしてある。もともと必修科目であるが、本プログラムの意味・学修の意義については、新入生ガイダンスや専用Webサイトにて周知するとともに、該当授業をサポートする上級学年のSA（Student Assistant）からも伝えられる。</t>
    <rPh sb="47" eb="49">
      <t>カクダイ</t>
    </rPh>
    <rPh sb="62" eb="64">
      <t>ガクセイ</t>
    </rPh>
    <rPh sb="67" eb="69">
      <t>ジュギョウ</t>
    </rPh>
    <rPh sb="69" eb="71">
      <t>ヒョウカ</t>
    </rPh>
    <rPh sb="80" eb="81">
      <t>スデ</t>
    </rPh>
    <rPh sb="81" eb="83">
      <t>リシュウ</t>
    </rPh>
    <rPh sb="83" eb="85">
      <t>ガクセイ</t>
    </rPh>
    <rPh sb="125" eb="127">
      <t>ガクセイ</t>
    </rPh>
    <phoneticPr fontId="1"/>
  </si>
  <si>
    <t>本教育プログラム・リテラシーレベルの申請科目はすべて必修科目であるため、学生は必ず履修する。そのため収容定員に対する履修率は向上していく。
令和３年度　250名（履修率50％）
令和４年度　250名（履修率75％）
令和５年度　250名（履修率100％）
令和６年度　250名（履修率100％）
令和７年度　250名（履修率100％）
カリキュラム改編を予定しているが、本教育プログラム・リテラシーレベルの申請科目を変更することは無いので目標は達成可能である。</t>
    <phoneticPr fontId="1"/>
  </si>
  <si>
    <t>学校法人 滝川学園</t>
    <rPh sb="0" eb="4">
      <t>ガッコウホウジン</t>
    </rPh>
    <rPh sb="5" eb="7">
      <t>タキガワ</t>
    </rPh>
    <rPh sb="7" eb="9">
      <t>ガクエン</t>
    </rPh>
    <phoneticPr fontId="1"/>
  </si>
  <si>
    <t>データを起点としたものの見方を変動係数など経営指標と結びつけて理解する（11）</t>
    <rPh sb="3" eb="5">
      <t>キテン</t>
    </rPh>
    <rPh sb="11" eb="13">
      <t>ミカタ</t>
    </rPh>
    <rPh sb="14" eb="16">
      <t>ヘンドウ</t>
    </rPh>
    <rPh sb="16" eb="18">
      <t>ケイスウ</t>
    </rPh>
    <rPh sb="20" eb="22">
      <t>ケイエイ</t>
    </rPh>
    <rPh sb="22" eb="24">
      <t>シヒョウ</t>
    </rPh>
    <rPh sb="25" eb="26">
      <t>ムス</t>
    </rPh>
    <rPh sb="30" eb="32">
      <t>リカイ</t>
    </rPh>
    <phoneticPr fontId="1"/>
  </si>
  <si>
    <t>データを起点としたものの見方を養い、ビッグデータとして提供される調査データを活用して予測や判断に役立てる方法を学ぶ（13､15）</t>
    <rPh sb="4" eb="6">
      <t>キテン</t>
    </rPh>
    <rPh sb="12" eb="14">
      <t>ミカタ</t>
    </rPh>
    <rPh sb="15" eb="16">
      <t>ヤシナ</t>
    </rPh>
    <rPh sb="27" eb="29">
      <t>テイキョウ</t>
    </rPh>
    <rPh sb="32" eb="34">
      <t>チョウサ</t>
    </rPh>
    <rPh sb="38" eb="40">
      <t>カツヨウ</t>
    </rPh>
    <rPh sb="42" eb="44">
      <t>ヨソク</t>
    </rPh>
    <rPh sb="45" eb="47">
      <t>ハンダン</t>
    </rPh>
    <rPh sb="48" eb="50">
      <t>ヤクダ</t>
    </rPh>
    <rPh sb="52" eb="54">
      <t>ホウホウ</t>
    </rPh>
    <rPh sb="55" eb="56">
      <t>マナ</t>
    </rPh>
    <phoneticPr fontId="1"/>
  </si>
  <si>
    <t>調査データを経営判断やリスクマネージメントに役立てる（11、15）</t>
    <rPh sb="0" eb="2">
      <t>チョウサ</t>
    </rPh>
    <rPh sb="6" eb="8">
      <t>ケイエイ</t>
    </rPh>
    <rPh sb="8" eb="10">
      <t>ハンダン</t>
    </rPh>
    <rPh sb="22" eb="24">
      <t>ヤクダ</t>
    </rPh>
    <phoneticPr fontId="1"/>
  </si>
  <si>
    <t>複数の調査データを関連づけ、自然・社会現象に内在する構造を推定する（14）</t>
    <rPh sb="0" eb="2">
      <t>フクスウ</t>
    </rPh>
    <rPh sb="3" eb="5">
      <t>チョウサ</t>
    </rPh>
    <rPh sb="9" eb="11">
      <t>カンレン</t>
    </rPh>
    <rPh sb="14" eb="16">
      <t>シゼン</t>
    </rPh>
    <rPh sb="17" eb="19">
      <t>シャカイ</t>
    </rPh>
    <rPh sb="19" eb="21">
      <t>ゲンショウ</t>
    </rPh>
    <rPh sb="22" eb="24">
      <t>ナイザイ</t>
    </rPh>
    <rPh sb="26" eb="28">
      <t>コウゾウ</t>
    </rPh>
    <rPh sb="29" eb="31">
      <t>スイテイ</t>
    </rPh>
    <phoneticPr fontId="1"/>
  </si>
  <si>
    <t>調査データを解析し、経営リスクと予測する（11）</t>
    <rPh sb="0" eb="2">
      <t>チョウサ</t>
    </rPh>
    <rPh sb="6" eb="8">
      <t>カイセキ</t>
    </rPh>
    <rPh sb="10" eb="12">
      <t>ケイエイ</t>
    </rPh>
    <rPh sb="16" eb="18">
      <t>ヨソク</t>
    </rPh>
    <phoneticPr fontId="1"/>
  </si>
  <si>
    <t>調査データを用いて確率論的な手法で様々な予測と行う方法を学ぶ（13）</t>
    <rPh sb="0" eb="2">
      <t>チョウサ</t>
    </rPh>
    <rPh sb="6" eb="7">
      <t>モチ</t>
    </rPh>
    <rPh sb="9" eb="11">
      <t>カクリツ</t>
    </rPh>
    <rPh sb="11" eb="12">
      <t>ロン</t>
    </rPh>
    <rPh sb="12" eb="13">
      <t>テキ</t>
    </rPh>
    <rPh sb="14" eb="16">
      <t>シュホウ</t>
    </rPh>
    <rPh sb="17" eb="19">
      <t>サマザマ</t>
    </rPh>
    <rPh sb="20" eb="22">
      <t>ヨソク</t>
    </rPh>
    <rPh sb="23" eb="24">
      <t>オコナ</t>
    </rPh>
    <rPh sb="25" eb="27">
      <t>ホウホウ</t>
    </rPh>
    <rPh sb="28" eb="29">
      <t>マナ</t>
    </rPh>
    <phoneticPr fontId="1"/>
  </si>
  <si>
    <t>関数（縦横集計、平均、論理関数、相対・絶対参照など）を使いこなす（8）、アンケート調査結果を用いた統計処理（11）</t>
    <rPh sb="0" eb="2">
      <t>カンスウ</t>
    </rPh>
    <rPh sb="3" eb="5">
      <t>タテヨコ</t>
    </rPh>
    <rPh sb="5" eb="7">
      <t>シュウケイ</t>
    </rPh>
    <rPh sb="8" eb="10">
      <t>ヘイキン</t>
    </rPh>
    <rPh sb="11" eb="13">
      <t>ロンリ</t>
    </rPh>
    <rPh sb="13" eb="15">
      <t>カンスウ</t>
    </rPh>
    <rPh sb="16" eb="18">
      <t>ソウタイ</t>
    </rPh>
    <rPh sb="19" eb="21">
      <t>ゼッタイ</t>
    </rPh>
    <rPh sb="21" eb="23">
      <t>サンショウ</t>
    </rPh>
    <rPh sb="27" eb="28">
      <t>ツカ</t>
    </rPh>
    <rPh sb="41" eb="45">
      <t>チョウサケッカ</t>
    </rPh>
    <rPh sb="46" eb="47">
      <t>モチ</t>
    </rPh>
    <rPh sb="49" eb="51">
      <t>トウケイ</t>
    </rPh>
    <rPh sb="51" eb="53">
      <t>ショリ</t>
    </rPh>
    <phoneticPr fontId="1"/>
  </si>
  <si>
    <t>https://www.nagoya-bunri.ac.jp/campus/internal_evaluation2020.pdf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</si>
</sst>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u/>
      <sz val="11"/>
      <name val="ＭＳ Ｐゴシック"/>
      <family val="2"/>
      <charset val="128"/>
      <scheme val="minor"/>
    </font>
    <font>
      <u/>
      <sz val="11"/>
      <name val="ＭＳ Ｐゴシック"/>
      <family val="3"/>
      <charset val="128"/>
      <scheme val="minor"/>
    </font>
    <font>
      <sz val="9"/>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4" fillId="0" borderId="21" xfId="0" applyFont="1" applyBorder="1" applyAlignment="1">
      <alignment vertical="top" shrinkToFit="1"/>
    </xf>
    <xf numFmtId="0" fontId="14" fillId="0" borderId="19" xfId="0" applyFont="1" applyBorder="1" applyAlignment="1">
      <alignment vertical="top" shrinkToFit="1"/>
    </xf>
    <xf numFmtId="0" fontId="2" fillId="0" borderId="2" xfId="0" applyFont="1" applyBorder="1" applyAlignment="1">
      <alignment vertical="center"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2" fillId="0" borderId="2" xfId="0" applyFont="1" applyBorder="1" applyAlignment="1">
      <alignment vertical="center" shrinkToFit="1"/>
    </xf>
    <xf numFmtId="0" fontId="9" fillId="0" borderId="2" xfId="0" applyFont="1" applyBorder="1" applyAlignment="1">
      <alignment horizontal="left" vertical="center" shrinkToFit="1"/>
    </xf>
    <xf numFmtId="0" fontId="2" fillId="0" borderId="2" xfId="0" applyFont="1" applyBorder="1" applyAlignment="1">
      <alignment horizontal="left" vertical="center" shrinkToFit="1"/>
    </xf>
    <xf numFmtId="0" fontId="10" fillId="0" borderId="1" xfId="0" applyFont="1" applyBorder="1" applyAlignment="1">
      <alignment vertical="center" wrapText="1"/>
    </xf>
    <xf numFmtId="0" fontId="0" fillId="0" borderId="0" xfId="0" applyFont="1">
      <alignment vertical="center"/>
    </xf>
    <xf numFmtId="0" fontId="9" fillId="0" borderId="5" xfId="0" applyFont="1" applyBorder="1" applyAlignment="1">
      <alignment vertical="center" shrinkToFit="1"/>
    </xf>
    <xf numFmtId="176" fontId="9" fillId="0" borderId="5" xfId="0" applyNumberFormat="1" applyFont="1" applyBorder="1" applyAlignment="1">
      <alignment vertical="center" shrinkToFit="1"/>
    </xf>
    <xf numFmtId="176" fontId="9" fillId="0" borderId="33" xfId="0" applyNumberFormat="1" applyFont="1" applyBorder="1" applyAlignment="1">
      <alignment vertical="center" shrinkToFit="1"/>
    </xf>
    <xf numFmtId="0" fontId="9" fillId="0" borderId="20" xfId="0" applyFont="1" applyBorder="1" applyAlignment="1">
      <alignment vertical="center" shrinkToFit="1"/>
    </xf>
    <xf numFmtId="176" fontId="9" fillId="0" borderId="20" xfId="0" applyNumberFormat="1" applyFont="1" applyBorder="1" applyAlignment="1">
      <alignment vertical="center" shrinkToFit="1"/>
    </xf>
    <xf numFmtId="176" fontId="9" fillId="0" borderId="35" xfId="0" applyNumberFormat="1" applyFont="1" applyBorder="1" applyAlignment="1">
      <alignment vertical="center" shrinkToFit="1"/>
    </xf>
    <xf numFmtId="0" fontId="9" fillId="0" borderId="0" xfId="0" applyFont="1" applyBorder="1" applyAlignment="1">
      <alignment vertical="center" shrinkToFit="1"/>
    </xf>
    <xf numFmtId="0" fontId="9" fillId="0" borderId="0" xfId="0" applyFont="1" applyBorder="1" applyAlignment="1">
      <alignment horizontal="center"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176" fontId="9" fillId="0" borderId="34" xfId="0" applyNumberFormat="1" applyFont="1" applyBorder="1" applyAlignment="1">
      <alignment vertical="center" shrinkToFit="1"/>
    </xf>
    <xf numFmtId="176" fontId="9" fillId="0" borderId="10" xfId="0" applyNumberFormat="1" applyFont="1" applyBorder="1" applyAlignment="1">
      <alignment vertical="center" shrinkToFit="1"/>
    </xf>
    <xf numFmtId="176" fontId="9" fillId="0" borderId="14" xfId="0" applyNumberFormat="1" applyFont="1" applyBorder="1" applyAlignment="1">
      <alignment vertical="center" shrinkToFit="1"/>
    </xf>
    <xf numFmtId="9" fontId="9" fillId="0" borderId="10" xfId="0" applyNumberFormat="1" applyFont="1" applyBorder="1" applyAlignment="1">
      <alignment vertical="center" shrinkToFit="1"/>
    </xf>
    <xf numFmtId="176" fontId="9" fillId="0" borderId="36" xfId="0" applyNumberFormat="1" applyFont="1" applyBorder="1" applyAlignment="1">
      <alignment vertical="center" shrinkToFit="1"/>
    </xf>
    <xf numFmtId="176" fontId="9" fillId="0" borderId="19" xfId="0" applyNumberFormat="1" applyFont="1" applyBorder="1" applyAlignment="1">
      <alignment vertical="center" shrinkToFit="1"/>
    </xf>
    <xf numFmtId="176" fontId="9" fillId="0" borderId="25" xfId="0" applyNumberFormat="1" applyFont="1" applyBorder="1" applyAlignment="1">
      <alignment vertical="center" shrinkToFit="1"/>
    </xf>
    <xf numFmtId="0" fontId="9" fillId="0" borderId="0" xfId="0" applyFont="1" applyFill="1">
      <alignment vertical="center"/>
    </xf>
    <xf numFmtId="0" fontId="9" fillId="0" borderId="10" xfId="0" applyFont="1" applyBorder="1" applyAlignment="1">
      <alignment vertical="center" shrinkToFit="1"/>
    </xf>
    <xf numFmtId="0" fontId="3" fillId="0" borderId="0" xfId="0" applyFont="1" applyAlignment="1">
      <alignment horizontal="center" vertical="center"/>
    </xf>
    <xf numFmtId="0" fontId="5" fillId="0" borderId="0" xfId="0" applyFont="1" applyAlignment="1">
      <alignment vertical="top" wrapText="1"/>
    </xf>
    <xf numFmtId="49" fontId="18" fillId="0" borderId="2" xfId="2" applyNumberFormat="1" applyFont="1" applyBorder="1" applyAlignment="1">
      <alignment vertical="center" shrinkToFit="1"/>
    </xf>
    <xf numFmtId="49" fontId="9" fillId="0" borderId="3" xfId="0" applyNumberFormat="1" applyFont="1" applyBorder="1" applyAlignment="1">
      <alignment vertical="center" shrinkToFit="1"/>
    </xf>
    <xf numFmtId="49" fontId="9" fillId="0" borderId="4" xfId="0" applyNumberFormat="1" applyFont="1" applyBorder="1" applyAlignment="1">
      <alignment vertical="center" shrinkToFit="1"/>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4" xfId="0" applyFont="1" applyBorder="1" applyAlignment="1">
      <alignment vertical="center" shrinkToFit="1"/>
    </xf>
    <xf numFmtId="0" fontId="9" fillId="0" borderId="0" xfId="0" applyFont="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10"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Border="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9" fillId="0" borderId="15" xfId="0" applyFont="1" applyBorder="1" applyAlignment="1">
      <alignment vertical="center" shrinkToFit="1"/>
    </xf>
    <xf numFmtId="0" fontId="9" fillId="0" borderId="39" xfId="0" applyFont="1" applyBorder="1" applyAlignment="1">
      <alignment vertical="center" shrinkToFit="1"/>
    </xf>
    <xf numFmtId="0" fontId="9" fillId="0" borderId="20" xfId="0" applyFont="1" applyBorder="1" applyAlignment="1">
      <alignment vertical="center" shrinkToFit="1"/>
    </xf>
    <xf numFmtId="0" fontId="9" fillId="0" borderId="19" xfId="0" applyFont="1" applyBorder="1" applyAlignment="1">
      <alignmen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4" xfId="0" applyFont="1" applyBorder="1" applyAlignment="1">
      <alignment horizontal="left" vertical="center" shrinkToFit="1"/>
    </xf>
    <xf numFmtId="0" fontId="9" fillId="0" borderId="2" xfId="0" applyFont="1" applyBorder="1" applyAlignment="1">
      <alignment horizontal="left" vertical="center" shrinkToFit="1"/>
    </xf>
    <xf numFmtId="0" fontId="9" fillId="0" borderId="3" xfId="0" applyFont="1" applyBorder="1" applyAlignment="1">
      <alignment horizontal="left" vertical="center" shrinkToFit="1"/>
    </xf>
    <xf numFmtId="0" fontId="9" fillId="0" borderId="4" xfId="0" applyFont="1" applyBorder="1" applyAlignment="1">
      <alignment horizontal="left" vertical="center" shrinkToFit="1"/>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10"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Border="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17" fillId="0" borderId="2" xfId="2" applyFont="1"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13" xfId="0" applyFont="1" applyBorder="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Border="1" applyAlignment="1">
      <alignment horizontal="left" vertical="top" shrinkToFit="1"/>
    </xf>
    <xf numFmtId="0" fontId="2" fillId="0" borderId="10" xfId="0" applyFont="1" applyBorder="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9" fillId="0" borderId="2" xfId="0" quotePrefix="1" applyFont="1" applyBorder="1" applyAlignment="1">
      <alignment horizontal="left" vertical="center"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Border="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9" fillId="0" borderId="7" xfId="0" applyFont="1" applyBorder="1" applyAlignment="1">
      <alignment vertical="top" wrapText="1"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9" fillId="0" borderId="20" xfId="0" applyFont="1" applyBorder="1" applyAlignment="1">
      <alignment vertical="top" wrapText="1" shrinkToFit="1"/>
    </xf>
    <xf numFmtId="0" fontId="9" fillId="0" borderId="21" xfId="0" applyFont="1" applyBorder="1" applyAlignment="1">
      <alignment vertical="top" wrapText="1" shrinkToFit="1"/>
    </xf>
    <xf numFmtId="0" fontId="9"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9" fillId="0" borderId="24" xfId="0" applyFont="1" applyBorder="1" applyAlignment="1">
      <alignment vertical="top" wrapText="1" shrinkToFit="1"/>
    </xf>
    <xf numFmtId="0" fontId="9"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Border="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5" fillId="0" borderId="2" xfId="2" applyFont="1" applyBorder="1" applyAlignment="1">
      <alignment horizontal="left" vertical="top" wrapText="1" shrinkToFit="1"/>
    </xf>
    <xf numFmtId="0" fontId="19" fillId="0" borderId="3" xfId="0" applyFont="1" applyBorder="1" applyAlignment="1">
      <alignment horizontal="left" vertical="top" shrinkToFit="1"/>
    </xf>
    <xf numFmtId="0" fontId="19" fillId="0" borderId="4" xfId="0" applyFont="1" applyBorder="1" applyAlignment="1">
      <alignment horizontal="lef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zoomScaleNormal="100" workbookViewId="0">
      <selection activeCell="D7" sqref="D7"/>
    </sheetView>
  </sheetViews>
  <sheetFormatPr defaultColWidth="9" defaultRowHeight="18.75" customHeight="1" x14ac:dyDescent="0.15"/>
  <cols>
    <col min="1" max="1" width="2.5" style="27" customWidth="1"/>
    <col min="2" max="2" width="12.5" style="27" customWidth="1"/>
    <col min="3" max="8" width="6.25" style="27" customWidth="1"/>
    <col min="9" max="9" width="2.5" style="27" customWidth="1"/>
    <col min="10" max="10" width="10" style="27" customWidth="1"/>
    <col min="11" max="11" width="2.5" style="27" customWidth="1"/>
    <col min="12" max="12" width="7.5" style="27" customWidth="1"/>
    <col min="13" max="13" width="2.5" style="27" customWidth="1"/>
    <col min="14" max="14" width="7.5" style="27" customWidth="1"/>
    <col min="15" max="16384" width="9" style="27"/>
  </cols>
  <sheetData>
    <row r="1" spans="1:14" ht="22.5" customHeight="1" x14ac:dyDescent="0.15">
      <c r="M1" s="160" t="s">
        <v>29</v>
      </c>
      <c r="N1" s="160"/>
    </row>
    <row r="2" spans="1:14" ht="22.5" customHeight="1" x14ac:dyDescent="0.15">
      <c r="A2" s="165" t="s">
        <v>135</v>
      </c>
      <c r="B2" s="165"/>
      <c r="C2" s="165"/>
      <c r="D2" s="165"/>
      <c r="E2" s="165"/>
      <c r="F2" s="165"/>
      <c r="G2" s="165"/>
      <c r="H2" s="165"/>
      <c r="I2" s="165"/>
      <c r="J2" s="165"/>
      <c r="K2" s="165"/>
      <c r="L2" s="165"/>
      <c r="M2" s="165"/>
      <c r="N2" s="165"/>
    </row>
    <row r="3" spans="1:14" ht="22.5" customHeight="1" x14ac:dyDescent="0.15"/>
    <row r="4" spans="1:14" ht="22.5" customHeight="1" x14ac:dyDescent="0.15">
      <c r="A4" s="27" t="s">
        <v>7</v>
      </c>
      <c r="B4" s="30" t="s">
        <v>20</v>
      </c>
      <c r="C4" s="147" t="s">
        <v>136</v>
      </c>
      <c r="D4" s="148"/>
      <c r="E4" s="148"/>
      <c r="F4" s="148"/>
      <c r="G4" s="148"/>
      <c r="H4" s="148"/>
      <c r="I4" s="148"/>
      <c r="J4" s="148"/>
      <c r="K4" s="148"/>
      <c r="L4" s="148"/>
      <c r="M4" s="148"/>
      <c r="N4" s="149"/>
    </row>
    <row r="5" spans="1:14" ht="7.5" customHeight="1" x14ac:dyDescent="0.15">
      <c r="B5" s="30"/>
      <c r="C5" s="30"/>
      <c r="D5" s="30"/>
      <c r="E5" s="31"/>
      <c r="F5" s="28"/>
      <c r="G5" s="28"/>
      <c r="H5" s="28"/>
      <c r="I5" s="28"/>
      <c r="J5" s="28"/>
      <c r="K5" s="28"/>
      <c r="L5" s="28"/>
      <c r="M5" s="28"/>
      <c r="N5" s="28"/>
    </row>
    <row r="6" spans="1:14" ht="22.5" customHeight="1" x14ac:dyDescent="0.15">
      <c r="A6" s="27" t="s">
        <v>56</v>
      </c>
      <c r="B6" s="30" t="s">
        <v>57</v>
      </c>
      <c r="C6" s="30"/>
      <c r="D6" s="147" t="s">
        <v>227</v>
      </c>
      <c r="E6" s="148"/>
      <c r="F6" s="148"/>
      <c r="G6" s="148"/>
      <c r="H6" s="148"/>
      <c r="I6" s="148"/>
      <c r="J6" s="148"/>
      <c r="K6" s="148"/>
      <c r="L6" s="148"/>
      <c r="M6" s="148"/>
      <c r="N6" s="149"/>
    </row>
    <row r="7" spans="1:14" ht="7.5" customHeight="1" x14ac:dyDescent="0.15">
      <c r="B7" s="30"/>
      <c r="C7" s="30"/>
      <c r="D7" s="30"/>
      <c r="E7" s="31"/>
      <c r="F7" s="28"/>
      <c r="G7" s="28"/>
      <c r="H7" s="28"/>
      <c r="I7" s="28"/>
      <c r="J7" s="28"/>
      <c r="K7" s="28"/>
      <c r="L7" s="28"/>
      <c r="M7" s="28"/>
      <c r="N7" s="28"/>
    </row>
    <row r="8" spans="1:14" ht="22.5" customHeight="1" x14ac:dyDescent="0.15">
      <c r="A8" s="32" t="s">
        <v>13</v>
      </c>
      <c r="B8" s="33" t="s">
        <v>58</v>
      </c>
      <c r="C8" s="147" t="s">
        <v>137</v>
      </c>
      <c r="D8" s="148"/>
      <c r="E8" s="149"/>
      <c r="F8" s="125"/>
      <c r="G8" s="164"/>
      <c r="H8" s="164"/>
      <c r="I8" s="164"/>
      <c r="J8" s="125"/>
      <c r="K8" s="125"/>
      <c r="L8" s="125"/>
      <c r="M8" s="125"/>
      <c r="N8" s="125"/>
    </row>
    <row r="9" spans="1:14" ht="7.5" customHeight="1" x14ac:dyDescent="0.15">
      <c r="B9" s="30"/>
      <c r="C9" s="30"/>
      <c r="D9" s="30"/>
      <c r="E9" s="31"/>
      <c r="F9" s="125"/>
      <c r="G9" s="125"/>
      <c r="H9" s="125"/>
      <c r="I9" s="125"/>
      <c r="J9" s="125"/>
      <c r="K9" s="125"/>
      <c r="L9" s="125"/>
      <c r="M9" s="125"/>
      <c r="N9" s="125"/>
    </row>
    <row r="10" spans="1:14" ht="22.5" customHeight="1" x14ac:dyDescent="0.15">
      <c r="A10" s="27" t="s">
        <v>17</v>
      </c>
      <c r="B10" s="30" t="s">
        <v>53</v>
      </c>
      <c r="C10" s="147" t="s">
        <v>138</v>
      </c>
      <c r="D10" s="148"/>
      <c r="E10" s="148"/>
      <c r="F10" s="148"/>
      <c r="G10" s="148"/>
      <c r="H10" s="148"/>
      <c r="I10" s="148"/>
      <c r="J10" s="148"/>
      <c r="K10" s="148"/>
      <c r="L10" s="148"/>
      <c r="M10" s="148"/>
      <c r="N10" s="149"/>
    </row>
    <row r="11" spans="1:14" ht="7.5" customHeight="1" x14ac:dyDescent="0.15">
      <c r="B11" s="30"/>
      <c r="C11" s="30"/>
      <c r="D11" s="30"/>
      <c r="E11" s="31"/>
      <c r="F11" s="28"/>
      <c r="G11" s="28"/>
      <c r="H11" s="28"/>
      <c r="I11" s="28"/>
      <c r="J11" s="28"/>
      <c r="K11" s="28"/>
      <c r="L11" s="28"/>
      <c r="M11" s="28"/>
      <c r="N11" s="28"/>
    </row>
    <row r="12" spans="1:14" ht="22.5" customHeight="1" x14ac:dyDescent="0.15">
      <c r="A12" s="27" t="s">
        <v>14</v>
      </c>
      <c r="B12" s="30" t="s">
        <v>131</v>
      </c>
      <c r="C12" s="30"/>
      <c r="D12" s="30"/>
      <c r="E12" s="112"/>
      <c r="F12" s="113"/>
      <c r="G12" s="152" t="s">
        <v>153</v>
      </c>
      <c r="H12" s="153"/>
      <c r="I12" s="153"/>
      <c r="J12" s="153"/>
      <c r="K12" s="153"/>
      <c r="L12" s="153"/>
      <c r="M12" s="153"/>
      <c r="N12" s="166"/>
    </row>
    <row r="13" spans="1:14" ht="7.5" customHeight="1" x14ac:dyDescent="0.15">
      <c r="B13" s="31"/>
      <c r="C13" s="31"/>
      <c r="D13" s="31"/>
      <c r="E13" s="31"/>
      <c r="F13" s="28"/>
      <c r="G13" s="28"/>
      <c r="H13" s="28"/>
      <c r="I13" s="28"/>
      <c r="J13" s="28"/>
      <c r="K13" s="28"/>
      <c r="L13" s="28"/>
      <c r="M13" s="28"/>
      <c r="N13" s="28"/>
    </row>
    <row r="14" spans="1:14" ht="22.5" customHeight="1" x14ac:dyDescent="0.15">
      <c r="A14" s="27" t="s">
        <v>68</v>
      </c>
      <c r="B14" s="31" t="s">
        <v>69</v>
      </c>
      <c r="C14" s="31"/>
      <c r="D14" s="31"/>
      <c r="E14" s="31"/>
      <c r="F14" s="147" t="s">
        <v>151</v>
      </c>
      <c r="G14" s="148"/>
      <c r="H14" s="149"/>
      <c r="I14" s="125"/>
      <c r="J14" s="125"/>
      <c r="K14" s="125"/>
      <c r="L14" s="125"/>
      <c r="M14" s="125"/>
      <c r="N14" s="125"/>
    </row>
    <row r="15" spans="1:14" ht="7.5" customHeight="1" x14ac:dyDescent="0.15">
      <c r="B15" s="31"/>
      <c r="C15" s="31"/>
      <c r="D15" s="31"/>
      <c r="E15" s="31"/>
      <c r="F15" s="125"/>
      <c r="G15" s="125"/>
      <c r="H15" s="125"/>
      <c r="I15" s="125"/>
      <c r="J15" s="125"/>
      <c r="K15" s="125"/>
      <c r="L15" s="125"/>
      <c r="M15" s="125"/>
      <c r="N15" s="125"/>
    </row>
    <row r="16" spans="1:14" ht="22.5" customHeight="1" x14ac:dyDescent="0.15">
      <c r="A16" s="27" t="s">
        <v>15</v>
      </c>
      <c r="B16" s="29" t="s">
        <v>0</v>
      </c>
      <c r="C16" s="161" t="s">
        <v>6</v>
      </c>
      <c r="D16" s="162"/>
      <c r="E16" s="150">
        <v>58</v>
      </c>
      <c r="F16" s="151"/>
      <c r="G16" s="34" t="s">
        <v>10</v>
      </c>
      <c r="H16" s="29"/>
      <c r="I16" s="161" t="s">
        <v>11</v>
      </c>
      <c r="J16" s="162"/>
      <c r="K16" s="150">
        <v>32</v>
      </c>
      <c r="L16" s="163"/>
      <c r="M16" s="151"/>
      <c r="N16" s="35" t="s">
        <v>10</v>
      </c>
    </row>
    <row r="17" spans="1:15" ht="7.5" customHeight="1" x14ac:dyDescent="0.15">
      <c r="B17" s="29"/>
      <c r="C17" s="29"/>
      <c r="D17" s="29"/>
      <c r="E17" s="29"/>
      <c r="F17" s="36"/>
      <c r="G17" s="36"/>
      <c r="H17" s="36"/>
      <c r="I17" s="36"/>
      <c r="J17" s="36"/>
      <c r="K17" s="36"/>
      <c r="L17" s="36"/>
      <c r="M17" s="35"/>
      <c r="N17" s="35"/>
    </row>
    <row r="18" spans="1:15" ht="22.5" customHeight="1" x14ac:dyDescent="0.15">
      <c r="A18" s="27" t="s">
        <v>62</v>
      </c>
      <c r="B18" s="29" t="s">
        <v>92</v>
      </c>
      <c r="C18" s="29"/>
      <c r="D18" s="29"/>
      <c r="E18" s="29"/>
      <c r="F18" s="36"/>
      <c r="G18" s="36"/>
      <c r="H18" s="36"/>
      <c r="I18" s="36"/>
      <c r="J18" s="36"/>
      <c r="K18" s="157">
        <v>5</v>
      </c>
      <c r="L18" s="158"/>
      <c r="M18" s="159"/>
      <c r="N18" s="35" t="s">
        <v>60</v>
      </c>
    </row>
    <row r="19" spans="1:15" ht="7.5" customHeight="1" x14ac:dyDescent="0.15">
      <c r="B19" s="29"/>
      <c r="C19" s="29"/>
      <c r="D19" s="29"/>
      <c r="E19" s="29"/>
      <c r="F19" s="36"/>
      <c r="G19" s="36"/>
      <c r="H19" s="36"/>
      <c r="I19" s="36"/>
      <c r="J19" s="36"/>
      <c r="K19" s="36"/>
      <c r="L19" s="36"/>
      <c r="M19" s="35"/>
      <c r="N19" s="35"/>
    </row>
    <row r="20" spans="1:15" ht="22.5" customHeight="1" x14ac:dyDescent="0.15">
      <c r="A20" s="27" t="s">
        <v>70</v>
      </c>
      <c r="B20" s="29" t="s">
        <v>128</v>
      </c>
      <c r="C20" s="29"/>
      <c r="D20" s="29"/>
      <c r="E20" s="150">
        <v>250</v>
      </c>
      <c r="F20" s="151"/>
      <c r="G20" s="37" t="s">
        <v>25</v>
      </c>
      <c r="H20" s="36"/>
      <c r="I20" s="29"/>
      <c r="J20" s="29"/>
      <c r="K20" s="167"/>
      <c r="L20" s="167"/>
      <c r="M20" s="167"/>
      <c r="N20" s="167"/>
    </row>
    <row r="21" spans="1:15" ht="7.5" customHeight="1" x14ac:dyDescent="0.15">
      <c r="B21" s="29"/>
      <c r="C21" s="29"/>
      <c r="D21" s="29"/>
      <c r="E21" s="25"/>
      <c r="F21" s="36"/>
      <c r="G21" s="36"/>
      <c r="H21" s="29"/>
      <c r="I21" s="29"/>
      <c r="J21" s="29"/>
      <c r="K21" s="29"/>
      <c r="L21" s="126"/>
      <c r="M21" s="126"/>
      <c r="N21" s="38"/>
    </row>
    <row r="22" spans="1:15" ht="22.5" customHeight="1" x14ac:dyDescent="0.15">
      <c r="A22" s="27" t="s">
        <v>28</v>
      </c>
      <c r="B22" s="29" t="s">
        <v>129</v>
      </c>
      <c r="C22" s="29"/>
      <c r="D22" s="29"/>
      <c r="E22" s="25"/>
      <c r="F22" s="36"/>
      <c r="G22" s="36"/>
      <c r="H22" s="29" t="s">
        <v>61</v>
      </c>
      <c r="I22" s="29"/>
      <c r="J22" s="157">
        <v>1078</v>
      </c>
      <c r="K22" s="158"/>
      <c r="L22" s="159"/>
      <c r="M22" s="126" t="s">
        <v>60</v>
      </c>
      <c r="N22" s="38"/>
    </row>
    <row r="23" spans="1:15" ht="7.5" customHeight="1" x14ac:dyDescent="0.15">
      <c r="B23" s="29"/>
      <c r="C23" s="29"/>
      <c r="D23" s="29"/>
      <c r="E23" s="25"/>
      <c r="F23" s="36"/>
      <c r="G23" s="36"/>
      <c r="H23" s="29"/>
      <c r="I23" s="29"/>
      <c r="J23" s="29"/>
      <c r="K23" s="29"/>
      <c r="L23" s="126"/>
      <c r="M23" s="126"/>
      <c r="N23" s="38"/>
    </row>
    <row r="24" spans="1:15" ht="22.5" customHeight="1" x14ac:dyDescent="0.15">
      <c r="B24" s="128" t="s">
        <v>21</v>
      </c>
      <c r="C24" s="150">
        <v>278</v>
      </c>
      <c r="D24" s="151"/>
      <c r="E24" s="25" t="s">
        <v>26</v>
      </c>
      <c r="F24" s="36"/>
      <c r="G24" s="146" t="s">
        <v>22</v>
      </c>
      <c r="H24" s="146"/>
      <c r="I24" s="150">
        <v>290</v>
      </c>
      <c r="J24" s="151"/>
      <c r="K24" s="32" t="s">
        <v>26</v>
      </c>
      <c r="L24" s="29"/>
      <c r="M24" s="126"/>
      <c r="N24" s="38"/>
      <c r="O24" s="29"/>
    </row>
    <row r="25" spans="1:15" ht="7.5" customHeight="1" x14ac:dyDescent="0.15">
      <c r="B25" s="128"/>
      <c r="C25" s="26"/>
      <c r="D25" s="26"/>
      <c r="E25" s="25"/>
      <c r="F25" s="36"/>
      <c r="G25" s="126"/>
      <c r="H25" s="126"/>
      <c r="I25" s="26"/>
      <c r="J25" s="26"/>
      <c r="K25" s="32"/>
      <c r="L25" s="29"/>
      <c r="M25" s="126"/>
      <c r="N25" s="38"/>
      <c r="O25" s="29"/>
    </row>
    <row r="26" spans="1:15" ht="22.5" customHeight="1" x14ac:dyDescent="0.15">
      <c r="B26" s="128" t="s">
        <v>23</v>
      </c>
      <c r="C26" s="150">
        <v>247</v>
      </c>
      <c r="D26" s="151"/>
      <c r="E26" s="25" t="s">
        <v>26</v>
      </c>
      <c r="F26" s="36"/>
      <c r="G26" s="146" t="s">
        <v>24</v>
      </c>
      <c r="H26" s="146"/>
      <c r="I26" s="150">
        <v>263</v>
      </c>
      <c r="J26" s="151"/>
      <c r="K26" s="32" t="s">
        <v>26</v>
      </c>
      <c r="L26" s="29"/>
      <c r="M26" s="126"/>
      <c r="N26" s="38"/>
    </row>
    <row r="27" spans="1:15" ht="7.5" customHeight="1" x14ac:dyDescent="0.15">
      <c r="B27" s="128"/>
      <c r="C27" s="26"/>
      <c r="D27" s="26"/>
      <c r="E27" s="25"/>
      <c r="F27" s="36"/>
      <c r="G27" s="126"/>
      <c r="H27" s="126"/>
      <c r="I27" s="26"/>
      <c r="J27" s="26"/>
      <c r="K27" s="32"/>
      <c r="L27" s="29"/>
      <c r="M27" s="126"/>
      <c r="N27" s="38"/>
    </row>
    <row r="28" spans="1:15" ht="22.5" customHeight="1" x14ac:dyDescent="0.15">
      <c r="B28" s="128" t="s">
        <v>54</v>
      </c>
      <c r="C28" s="150" t="s">
        <v>142</v>
      </c>
      <c r="D28" s="151"/>
      <c r="E28" s="25" t="s">
        <v>10</v>
      </c>
      <c r="F28" s="36"/>
      <c r="G28" s="146" t="s">
        <v>55</v>
      </c>
      <c r="H28" s="146"/>
      <c r="I28" s="150" t="s">
        <v>142</v>
      </c>
      <c r="J28" s="151"/>
      <c r="K28" s="32" t="s">
        <v>10</v>
      </c>
      <c r="L28" s="29"/>
      <c r="M28" s="126"/>
      <c r="N28" s="38"/>
    </row>
    <row r="29" spans="1:15" ht="7.5" customHeight="1" x14ac:dyDescent="0.15">
      <c r="B29" s="29"/>
      <c r="C29" s="29"/>
      <c r="D29" s="29"/>
      <c r="E29" s="29"/>
      <c r="F29" s="36"/>
      <c r="G29" s="36"/>
      <c r="H29" s="29"/>
      <c r="I29" s="29"/>
      <c r="J29" s="29"/>
      <c r="K29" s="29"/>
      <c r="L29" s="29"/>
      <c r="M29" s="40"/>
      <c r="N29" s="40"/>
    </row>
    <row r="30" spans="1:15" ht="22.5" customHeight="1" x14ac:dyDescent="0.15">
      <c r="A30" s="27" t="s">
        <v>127</v>
      </c>
      <c r="B30" s="30" t="s">
        <v>118</v>
      </c>
      <c r="C30" s="30"/>
      <c r="D30" s="30"/>
      <c r="E30" s="30"/>
      <c r="F30" s="32"/>
      <c r="G30" s="125"/>
      <c r="H30" s="125"/>
      <c r="I30" s="125"/>
      <c r="J30" s="42"/>
      <c r="K30" s="42"/>
      <c r="L30" s="42"/>
      <c r="M30" s="42"/>
      <c r="N30" s="42"/>
    </row>
    <row r="31" spans="1:15" s="29" customFormat="1" ht="22.5" customHeight="1" x14ac:dyDescent="0.15">
      <c r="B31" s="154" t="s">
        <v>117</v>
      </c>
      <c r="C31" s="154"/>
      <c r="D31" s="147" t="s">
        <v>144</v>
      </c>
      <c r="E31" s="148"/>
      <c r="F31" s="148"/>
      <c r="G31" s="155" t="s">
        <v>27</v>
      </c>
      <c r="H31" s="154"/>
      <c r="I31" s="156"/>
      <c r="J31" s="147" t="s">
        <v>145</v>
      </c>
      <c r="K31" s="148"/>
      <c r="L31" s="148"/>
      <c r="M31" s="148"/>
      <c r="N31" s="149"/>
    </row>
    <row r="32" spans="1:15" ht="7.5" customHeight="1" x14ac:dyDescent="0.15">
      <c r="B32" s="29"/>
      <c r="C32" s="29"/>
      <c r="D32" s="29"/>
      <c r="E32" s="29"/>
      <c r="F32" s="36"/>
      <c r="G32" s="36"/>
      <c r="H32" s="29"/>
      <c r="I32" s="29"/>
      <c r="J32" s="29"/>
      <c r="K32" s="29"/>
      <c r="L32" s="29"/>
      <c r="M32" s="40"/>
      <c r="N32" s="40"/>
    </row>
    <row r="33" spans="1:14" ht="22.5" customHeight="1" x14ac:dyDescent="0.15">
      <c r="A33" s="27" t="s">
        <v>59</v>
      </c>
      <c r="B33" s="30" t="s">
        <v>132</v>
      </c>
      <c r="C33" s="30"/>
      <c r="D33" s="30"/>
      <c r="E33" s="30"/>
      <c r="F33" s="32"/>
      <c r="G33" s="42"/>
      <c r="H33" s="42"/>
      <c r="I33" s="42"/>
      <c r="J33" s="42"/>
      <c r="K33" s="42"/>
      <c r="L33" s="42"/>
      <c r="M33" s="42"/>
      <c r="N33" s="42"/>
    </row>
    <row r="34" spans="1:14" ht="22.5" customHeight="1" x14ac:dyDescent="0.15">
      <c r="B34" s="147" t="s">
        <v>146</v>
      </c>
      <c r="C34" s="148"/>
      <c r="D34" s="148"/>
      <c r="E34" s="148"/>
      <c r="F34" s="148"/>
      <c r="G34" s="148"/>
      <c r="H34" s="148"/>
      <c r="I34" s="148"/>
      <c r="J34" s="148"/>
      <c r="K34" s="148"/>
      <c r="L34" s="148"/>
      <c r="M34" s="148"/>
      <c r="N34" s="149"/>
    </row>
    <row r="35" spans="1:14" ht="7.5" customHeight="1" x14ac:dyDescent="0.15">
      <c r="B35" s="127"/>
      <c r="C35" s="127"/>
      <c r="D35" s="127"/>
      <c r="E35" s="127"/>
      <c r="F35" s="127"/>
      <c r="G35" s="127"/>
      <c r="H35" s="127"/>
      <c r="I35" s="127"/>
      <c r="J35" s="127"/>
      <c r="K35" s="127"/>
      <c r="L35" s="127"/>
      <c r="M35" s="127"/>
      <c r="N35" s="127"/>
    </row>
    <row r="36" spans="1:14" s="29" customFormat="1" ht="22.5" customHeight="1" x14ac:dyDescent="0.15">
      <c r="B36" s="154" t="s">
        <v>117</v>
      </c>
      <c r="C36" s="154"/>
      <c r="D36" s="147" t="s">
        <v>147</v>
      </c>
      <c r="E36" s="148"/>
      <c r="F36" s="148"/>
      <c r="G36" s="155" t="s">
        <v>64</v>
      </c>
      <c r="H36" s="154"/>
      <c r="I36" s="156"/>
      <c r="J36" s="147" t="s">
        <v>148</v>
      </c>
      <c r="K36" s="148"/>
      <c r="L36" s="148"/>
      <c r="M36" s="148"/>
      <c r="N36" s="149"/>
    </row>
    <row r="37" spans="1:14" ht="7.5" customHeight="1" x14ac:dyDescent="0.15">
      <c r="B37" s="29"/>
      <c r="C37" s="29"/>
      <c r="D37" s="29"/>
      <c r="E37" s="29"/>
      <c r="F37" s="125"/>
      <c r="G37" s="125"/>
      <c r="H37" s="125"/>
      <c r="I37" s="125"/>
      <c r="J37" s="125"/>
      <c r="K37" s="125"/>
      <c r="L37" s="125"/>
      <c r="M37" s="125"/>
      <c r="N37" s="125"/>
    </row>
    <row r="38" spans="1:14" ht="22.5" customHeight="1" x14ac:dyDescent="0.15">
      <c r="A38" s="27" t="s">
        <v>63</v>
      </c>
      <c r="B38" s="29" t="s">
        <v>133</v>
      </c>
      <c r="C38" s="29"/>
      <c r="D38" s="29"/>
      <c r="E38" s="29"/>
      <c r="F38" s="29"/>
      <c r="G38" s="29"/>
      <c r="H38" s="29"/>
      <c r="I38" s="29"/>
      <c r="J38" s="29"/>
      <c r="K38" s="29"/>
      <c r="L38" s="29"/>
      <c r="M38" s="40"/>
      <c r="N38" s="40"/>
    </row>
    <row r="39" spans="1:14" ht="22.5" customHeight="1" x14ac:dyDescent="0.15">
      <c r="B39" s="147" t="s">
        <v>149</v>
      </c>
      <c r="C39" s="148"/>
      <c r="D39" s="148"/>
      <c r="E39" s="148"/>
      <c r="F39" s="148"/>
      <c r="G39" s="148"/>
      <c r="H39" s="148"/>
      <c r="I39" s="148"/>
      <c r="J39" s="148"/>
      <c r="K39" s="148"/>
      <c r="L39" s="148"/>
      <c r="M39" s="148"/>
      <c r="N39" s="149"/>
    </row>
    <row r="40" spans="1:14" ht="7.5" customHeight="1" x14ac:dyDescent="0.15">
      <c r="B40" s="29"/>
      <c r="C40" s="29"/>
      <c r="D40" s="29"/>
      <c r="E40" s="29"/>
      <c r="F40" s="125"/>
      <c r="G40" s="125"/>
      <c r="H40" s="125"/>
      <c r="I40" s="125"/>
      <c r="J40" s="125"/>
      <c r="K40" s="125"/>
      <c r="L40" s="125"/>
      <c r="M40" s="125"/>
      <c r="N40" s="125"/>
    </row>
    <row r="41" spans="1:14" s="29" customFormat="1" ht="22.5" customHeight="1" x14ac:dyDescent="0.15">
      <c r="B41" s="154" t="s">
        <v>117</v>
      </c>
      <c r="C41" s="154"/>
      <c r="D41" s="147" t="s">
        <v>144</v>
      </c>
      <c r="E41" s="148"/>
      <c r="F41" s="148"/>
      <c r="G41" s="155" t="s">
        <v>64</v>
      </c>
      <c r="H41" s="154"/>
      <c r="I41" s="156"/>
      <c r="J41" s="147" t="s">
        <v>150</v>
      </c>
      <c r="K41" s="148"/>
      <c r="L41" s="148"/>
      <c r="M41" s="148"/>
      <c r="N41" s="149"/>
    </row>
    <row r="42" spans="1:14" ht="7.5" customHeight="1" x14ac:dyDescent="0.15">
      <c r="B42" s="29"/>
      <c r="C42" s="29"/>
      <c r="D42" s="29"/>
      <c r="E42" s="29"/>
      <c r="F42" s="125"/>
      <c r="G42" s="125"/>
      <c r="H42" s="125"/>
      <c r="I42" s="125"/>
      <c r="J42" s="125"/>
      <c r="K42" s="125"/>
      <c r="L42" s="125"/>
      <c r="M42" s="125"/>
      <c r="N42" s="125"/>
    </row>
    <row r="43" spans="1:14" ht="22.5" customHeight="1" x14ac:dyDescent="0.15">
      <c r="A43" s="27" t="s">
        <v>71</v>
      </c>
      <c r="B43" s="136" t="s">
        <v>91</v>
      </c>
      <c r="C43" s="29"/>
      <c r="D43" s="29"/>
      <c r="E43" s="137"/>
      <c r="F43" s="147" t="s">
        <v>152</v>
      </c>
      <c r="G43" s="148"/>
      <c r="H43" s="148"/>
      <c r="I43" s="148"/>
      <c r="J43" s="148"/>
      <c r="K43" s="148"/>
      <c r="L43" s="148"/>
      <c r="M43" s="148"/>
      <c r="N43" s="149"/>
    </row>
    <row r="44" spans="1:14" ht="7.5" customHeight="1" x14ac:dyDescent="0.15">
      <c r="B44" s="29"/>
      <c r="C44" s="29"/>
      <c r="D44" s="29"/>
      <c r="E44" s="29"/>
      <c r="F44" s="125"/>
      <c r="G44" s="125"/>
      <c r="H44" s="125"/>
      <c r="I44" s="125"/>
      <c r="J44" s="125"/>
      <c r="K44" s="125"/>
      <c r="L44" s="125"/>
      <c r="M44" s="125"/>
      <c r="N44" s="125"/>
    </row>
    <row r="45" spans="1:14" ht="22.5" customHeight="1" x14ac:dyDescent="0.15">
      <c r="A45" s="27" t="s">
        <v>3</v>
      </c>
      <c r="B45" s="29"/>
      <c r="C45" s="29"/>
      <c r="D45" s="29"/>
      <c r="E45" s="29"/>
      <c r="F45" s="29"/>
      <c r="G45" s="29"/>
      <c r="H45" s="29"/>
      <c r="I45" s="29"/>
      <c r="J45" s="29"/>
      <c r="K45" s="29"/>
      <c r="L45" s="29"/>
      <c r="M45" s="29"/>
      <c r="N45" s="29"/>
    </row>
    <row r="46" spans="1:14" ht="22.5" customHeight="1" x14ac:dyDescent="0.15">
      <c r="B46" s="43" t="s">
        <v>1</v>
      </c>
      <c r="C46" s="152" t="s">
        <v>139</v>
      </c>
      <c r="D46" s="153"/>
      <c r="E46" s="153"/>
      <c r="F46" s="153"/>
      <c r="G46" s="153"/>
      <c r="H46" s="153"/>
      <c r="I46" s="44" t="s">
        <v>2</v>
      </c>
      <c r="J46" s="45"/>
      <c r="K46" s="147" t="s">
        <v>141</v>
      </c>
      <c r="L46" s="148"/>
      <c r="M46" s="148"/>
      <c r="N46" s="149"/>
    </row>
    <row r="47" spans="1:14" ht="22.5" customHeight="1" x14ac:dyDescent="0.15">
      <c r="B47" s="43" t="s">
        <v>5</v>
      </c>
      <c r="C47" s="140" t="s">
        <v>143</v>
      </c>
      <c r="D47" s="141"/>
      <c r="E47" s="141"/>
      <c r="F47" s="141"/>
      <c r="G47" s="141"/>
      <c r="H47" s="142"/>
      <c r="I47" s="44" t="s">
        <v>4</v>
      </c>
      <c r="J47" s="45"/>
      <c r="K47" s="143" t="s">
        <v>140</v>
      </c>
      <c r="L47" s="144"/>
      <c r="M47" s="144"/>
      <c r="N47" s="145"/>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J10" sqref="J10"/>
    </sheetView>
  </sheetViews>
  <sheetFormatPr defaultColWidth="9" defaultRowHeight="18.75" customHeight="1" x14ac:dyDescent="0.15"/>
  <cols>
    <col min="1" max="2" width="2.5" style="27" customWidth="1"/>
    <col min="3" max="3" width="20" style="27" customWidth="1"/>
    <col min="4" max="4" width="8.75" style="27" customWidth="1"/>
    <col min="5" max="5" width="7.5" style="27" customWidth="1"/>
    <col min="6" max="6" width="2.5" style="27" customWidth="1"/>
    <col min="7" max="7" width="15" style="27" customWidth="1"/>
    <col min="8" max="8" width="12.5" style="27" customWidth="1"/>
    <col min="9" max="9" width="11.25" style="27" customWidth="1"/>
    <col min="10" max="16384" width="9" style="27"/>
  </cols>
  <sheetData>
    <row r="1" spans="1:9" ht="18.75" customHeight="1" x14ac:dyDescent="0.15">
      <c r="C1" s="118"/>
      <c r="I1" s="66" t="s">
        <v>158</v>
      </c>
    </row>
    <row r="2" spans="1:9" ht="18.75" customHeight="1" x14ac:dyDescent="0.15">
      <c r="G2" s="41" t="s">
        <v>32</v>
      </c>
      <c r="H2" s="171" t="s">
        <v>159</v>
      </c>
      <c r="I2" s="171"/>
    </row>
    <row r="3" spans="1:9" ht="7.5" customHeight="1" x14ac:dyDescent="0.15"/>
    <row r="4" spans="1:9" ht="18.75" customHeight="1" x14ac:dyDescent="0.15">
      <c r="A4" s="165" t="s">
        <v>89</v>
      </c>
      <c r="B4" s="165"/>
      <c r="C4" s="165"/>
      <c r="D4" s="165"/>
      <c r="E4" s="165"/>
      <c r="F4" s="165"/>
      <c r="G4" s="165"/>
      <c r="H4" s="165"/>
      <c r="I4" s="165"/>
    </row>
    <row r="5" spans="1:9" ht="7.5" customHeight="1" x14ac:dyDescent="0.15">
      <c r="C5" s="39"/>
      <c r="D5" s="46"/>
      <c r="E5" s="59"/>
      <c r="F5" s="39"/>
      <c r="G5" s="46"/>
      <c r="H5" s="39"/>
      <c r="I5" s="39"/>
    </row>
    <row r="6" spans="1:9" ht="18.75" customHeight="1" x14ac:dyDescent="0.15">
      <c r="A6" s="27" t="s">
        <v>7</v>
      </c>
      <c r="B6" s="27" t="s">
        <v>103</v>
      </c>
      <c r="C6" s="65"/>
      <c r="D6" s="65"/>
      <c r="E6" s="157" t="s">
        <v>160</v>
      </c>
      <c r="F6" s="158"/>
      <c r="G6" s="158"/>
      <c r="H6" s="158"/>
      <c r="I6" s="159"/>
    </row>
    <row r="7" spans="1:9" ht="7.5" customHeight="1" x14ac:dyDescent="0.15">
      <c r="C7" s="65"/>
      <c r="D7" s="65"/>
      <c r="F7" s="64"/>
      <c r="G7" s="64"/>
      <c r="H7" s="64"/>
      <c r="I7" s="64"/>
    </row>
    <row r="8" spans="1:9" ht="18.75" customHeight="1" x14ac:dyDescent="0.15">
      <c r="A8" s="27" t="s">
        <v>12</v>
      </c>
      <c r="B8" s="27" t="s">
        <v>104</v>
      </c>
      <c r="C8" s="65"/>
      <c r="D8" s="65"/>
      <c r="E8" s="65"/>
      <c r="F8" s="65"/>
      <c r="G8" s="65"/>
      <c r="H8" s="65"/>
      <c r="I8" s="65"/>
    </row>
    <row r="9" spans="1:9" ht="18.75" customHeight="1" x14ac:dyDescent="0.15">
      <c r="B9" s="174" t="s">
        <v>217</v>
      </c>
      <c r="C9" s="175"/>
      <c r="D9" s="175"/>
      <c r="E9" s="175"/>
      <c r="F9" s="175"/>
      <c r="G9" s="175"/>
      <c r="H9" s="175"/>
      <c r="I9" s="176"/>
    </row>
    <row r="10" spans="1:9" ht="18.75" customHeight="1" x14ac:dyDescent="0.15">
      <c r="B10" s="177"/>
      <c r="C10" s="178"/>
      <c r="D10" s="178"/>
      <c r="E10" s="178"/>
      <c r="F10" s="178"/>
      <c r="G10" s="178"/>
      <c r="H10" s="178"/>
      <c r="I10" s="179"/>
    </row>
    <row r="11" spans="1:9" ht="18.75" customHeight="1" x14ac:dyDescent="0.15">
      <c r="B11" s="177"/>
      <c r="C11" s="178"/>
      <c r="D11" s="178"/>
      <c r="E11" s="178"/>
      <c r="F11" s="178"/>
      <c r="G11" s="178"/>
      <c r="H11" s="178"/>
      <c r="I11" s="179"/>
    </row>
    <row r="12" spans="1:9" ht="18.75" customHeight="1" x14ac:dyDescent="0.15">
      <c r="B12" s="177"/>
      <c r="C12" s="178"/>
      <c r="D12" s="178"/>
      <c r="E12" s="178"/>
      <c r="F12" s="178"/>
      <c r="G12" s="178"/>
      <c r="H12" s="178"/>
      <c r="I12" s="179"/>
    </row>
    <row r="13" spans="1:9" ht="18.75" customHeight="1" x14ac:dyDescent="0.15">
      <c r="B13" s="177"/>
      <c r="C13" s="178"/>
      <c r="D13" s="178"/>
      <c r="E13" s="178"/>
      <c r="F13" s="178"/>
      <c r="G13" s="178"/>
      <c r="H13" s="178"/>
      <c r="I13" s="179"/>
    </row>
    <row r="14" spans="1:9" ht="18.75" customHeight="1" x14ac:dyDescent="0.15">
      <c r="B14" s="177"/>
      <c r="C14" s="178"/>
      <c r="D14" s="178"/>
      <c r="E14" s="178"/>
      <c r="F14" s="178"/>
      <c r="G14" s="178"/>
      <c r="H14" s="178"/>
      <c r="I14" s="179"/>
    </row>
    <row r="15" spans="1:9" ht="18.75" customHeight="1" x14ac:dyDescent="0.15">
      <c r="B15" s="177"/>
      <c r="C15" s="178"/>
      <c r="D15" s="178"/>
      <c r="E15" s="178"/>
      <c r="F15" s="178"/>
      <c r="G15" s="178"/>
      <c r="H15" s="178"/>
      <c r="I15" s="179"/>
    </row>
    <row r="16" spans="1:9" ht="18.75" customHeight="1" x14ac:dyDescent="0.15">
      <c r="B16" s="180"/>
      <c r="C16" s="181"/>
      <c r="D16" s="181"/>
      <c r="E16" s="181"/>
      <c r="F16" s="181"/>
      <c r="G16" s="181"/>
      <c r="H16" s="181"/>
      <c r="I16" s="182"/>
    </row>
    <row r="17" spans="1:10" ht="7.5" customHeight="1" x14ac:dyDescent="0.15">
      <c r="C17" s="65"/>
      <c r="D17" s="65"/>
      <c r="E17" s="65"/>
      <c r="F17" s="65"/>
      <c r="G17" s="65"/>
      <c r="H17" s="65"/>
      <c r="I17" s="65"/>
    </row>
    <row r="18" spans="1:10" ht="18.75" customHeight="1" x14ac:dyDescent="0.15">
      <c r="A18" s="39" t="s">
        <v>13</v>
      </c>
      <c r="B18" s="30" t="s">
        <v>105</v>
      </c>
      <c r="C18" s="30"/>
      <c r="D18" s="30"/>
      <c r="E18" s="30"/>
      <c r="F18" s="39"/>
      <c r="G18" s="46"/>
      <c r="H18" s="39"/>
      <c r="I18" s="39"/>
      <c r="J18" s="39"/>
    </row>
    <row r="19" spans="1:10" ht="18.75" customHeight="1" x14ac:dyDescent="0.15">
      <c r="A19" s="172" t="s">
        <v>105</v>
      </c>
      <c r="B19" s="172"/>
      <c r="C19" s="172"/>
      <c r="D19" s="172"/>
      <c r="E19" s="172"/>
      <c r="F19" s="173" t="s">
        <v>105</v>
      </c>
      <c r="G19" s="173"/>
      <c r="H19" s="173"/>
      <c r="I19" s="173"/>
    </row>
    <row r="20" spans="1:10" ht="18.75" customHeight="1" x14ac:dyDescent="0.15">
      <c r="A20" s="67">
        <v>1</v>
      </c>
      <c r="B20" s="152" t="s">
        <v>161</v>
      </c>
      <c r="C20" s="153"/>
      <c r="D20" s="153"/>
      <c r="E20" s="166"/>
      <c r="F20" s="67">
        <v>26</v>
      </c>
      <c r="G20" s="152"/>
      <c r="H20" s="153"/>
      <c r="I20" s="166"/>
    </row>
    <row r="21" spans="1:10" ht="18.75" customHeight="1" x14ac:dyDescent="0.15">
      <c r="A21" s="67">
        <v>2</v>
      </c>
      <c r="B21" s="152" t="s">
        <v>162</v>
      </c>
      <c r="C21" s="153"/>
      <c r="D21" s="153"/>
      <c r="E21" s="166"/>
      <c r="F21" s="67">
        <v>27</v>
      </c>
      <c r="G21" s="152"/>
      <c r="H21" s="153"/>
      <c r="I21" s="166"/>
    </row>
    <row r="22" spans="1:10" ht="18.75" customHeight="1" x14ac:dyDescent="0.15">
      <c r="A22" s="67">
        <v>3</v>
      </c>
      <c r="B22" s="152" t="s">
        <v>163</v>
      </c>
      <c r="C22" s="153"/>
      <c r="D22" s="153"/>
      <c r="E22" s="166"/>
      <c r="F22" s="67">
        <v>28</v>
      </c>
      <c r="G22" s="152"/>
      <c r="H22" s="153"/>
      <c r="I22" s="166"/>
    </row>
    <row r="23" spans="1:10" ht="18.75" customHeight="1" x14ac:dyDescent="0.15">
      <c r="A23" s="67">
        <v>4</v>
      </c>
      <c r="B23" s="152" t="s">
        <v>164</v>
      </c>
      <c r="C23" s="153"/>
      <c r="D23" s="153"/>
      <c r="E23" s="166"/>
      <c r="F23" s="67">
        <v>29</v>
      </c>
      <c r="G23" s="152"/>
      <c r="H23" s="153"/>
      <c r="I23" s="166"/>
    </row>
    <row r="24" spans="1:10" ht="18.75" customHeight="1" x14ac:dyDescent="0.15">
      <c r="A24" s="67">
        <v>5</v>
      </c>
      <c r="B24" s="152" t="s">
        <v>165</v>
      </c>
      <c r="C24" s="153"/>
      <c r="D24" s="153"/>
      <c r="E24" s="166"/>
      <c r="F24" s="67">
        <v>30</v>
      </c>
      <c r="G24" s="152"/>
      <c r="H24" s="153"/>
      <c r="I24" s="166"/>
    </row>
    <row r="25" spans="1:10" ht="18.75" customHeight="1" x14ac:dyDescent="0.15">
      <c r="A25" s="67">
        <v>6</v>
      </c>
      <c r="B25" s="152" t="s">
        <v>166</v>
      </c>
      <c r="C25" s="153"/>
      <c r="D25" s="153"/>
      <c r="E25" s="166"/>
      <c r="F25" s="67">
        <v>31</v>
      </c>
      <c r="G25" s="152"/>
      <c r="H25" s="153"/>
      <c r="I25" s="166"/>
    </row>
    <row r="26" spans="1:10" ht="18.75" customHeight="1" x14ac:dyDescent="0.15">
      <c r="A26" s="67">
        <v>7</v>
      </c>
      <c r="B26" s="152" t="s">
        <v>167</v>
      </c>
      <c r="C26" s="153"/>
      <c r="D26" s="153"/>
      <c r="E26" s="166"/>
      <c r="F26" s="67">
        <v>32</v>
      </c>
      <c r="G26" s="152"/>
      <c r="H26" s="153"/>
      <c r="I26" s="166"/>
    </row>
    <row r="27" spans="1:10" ht="18.75" customHeight="1" x14ac:dyDescent="0.15">
      <c r="A27" s="67">
        <v>8</v>
      </c>
      <c r="B27" s="152" t="s">
        <v>168</v>
      </c>
      <c r="C27" s="153"/>
      <c r="D27" s="153"/>
      <c r="E27" s="166"/>
      <c r="F27" s="67">
        <v>33</v>
      </c>
      <c r="G27" s="152"/>
      <c r="H27" s="153"/>
      <c r="I27" s="166"/>
    </row>
    <row r="28" spans="1:10" ht="18.75" customHeight="1" x14ac:dyDescent="0.15">
      <c r="A28" s="67">
        <v>9</v>
      </c>
      <c r="B28" s="152" t="s">
        <v>169</v>
      </c>
      <c r="C28" s="153"/>
      <c r="D28" s="153"/>
      <c r="E28" s="166"/>
      <c r="F28" s="67">
        <v>34</v>
      </c>
      <c r="G28" s="152"/>
      <c r="H28" s="153"/>
      <c r="I28" s="166"/>
    </row>
    <row r="29" spans="1:10" ht="18.75" customHeight="1" x14ac:dyDescent="0.15">
      <c r="A29" s="67">
        <v>10</v>
      </c>
      <c r="B29" s="168"/>
      <c r="C29" s="169"/>
      <c r="D29" s="169"/>
      <c r="E29" s="170"/>
      <c r="F29" s="67">
        <v>35</v>
      </c>
      <c r="G29" s="152"/>
      <c r="H29" s="153"/>
      <c r="I29" s="166"/>
    </row>
    <row r="30" spans="1:10" ht="18.75" customHeight="1" x14ac:dyDescent="0.15">
      <c r="A30" s="67">
        <v>11</v>
      </c>
      <c r="B30" s="168"/>
      <c r="C30" s="169"/>
      <c r="D30" s="169"/>
      <c r="E30" s="170"/>
      <c r="F30" s="67">
        <v>36</v>
      </c>
      <c r="G30" s="152"/>
      <c r="H30" s="153"/>
      <c r="I30" s="166"/>
    </row>
    <row r="31" spans="1:10" ht="18.75" customHeight="1" x14ac:dyDescent="0.15">
      <c r="A31" s="67">
        <v>12</v>
      </c>
      <c r="B31" s="168"/>
      <c r="C31" s="169"/>
      <c r="D31" s="169"/>
      <c r="E31" s="170"/>
      <c r="F31" s="67">
        <v>37</v>
      </c>
      <c r="G31" s="152"/>
      <c r="H31" s="153"/>
      <c r="I31" s="166"/>
    </row>
    <row r="32" spans="1:10" ht="18.75" customHeight="1" x14ac:dyDescent="0.15">
      <c r="A32" s="67">
        <v>13</v>
      </c>
      <c r="B32" s="152"/>
      <c r="C32" s="153"/>
      <c r="D32" s="153"/>
      <c r="E32" s="166"/>
      <c r="F32" s="67">
        <v>38</v>
      </c>
      <c r="G32" s="152"/>
      <c r="H32" s="153"/>
      <c r="I32" s="166"/>
    </row>
    <row r="33" spans="1:9" ht="18.75" customHeight="1" x14ac:dyDescent="0.15">
      <c r="A33" s="67">
        <v>14</v>
      </c>
      <c r="B33" s="152"/>
      <c r="C33" s="153"/>
      <c r="D33" s="153"/>
      <c r="E33" s="166"/>
      <c r="F33" s="67">
        <v>39</v>
      </c>
      <c r="G33" s="152"/>
      <c r="H33" s="153"/>
      <c r="I33" s="166"/>
    </row>
    <row r="34" spans="1:9" ht="18.75" customHeight="1" x14ac:dyDescent="0.15">
      <c r="A34" s="67">
        <v>15</v>
      </c>
      <c r="B34" s="152"/>
      <c r="C34" s="153"/>
      <c r="D34" s="153"/>
      <c r="E34" s="166"/>
      <c r="F34" s="67">
        <v>40</v>
      </c>
      <c r="G34" s="152"/>
      <c r="H34" s="153"/>
      <c r="I34" s="166"/>
    </row>
    <row r="35" spans="1:9" ht="18.75" customHeight="1" x14ac:dyDescent="0.15">
      <c r="A35" s="67">
        <v>16</v>
      </c>
      <c r="B35" s="152"/>
      <c r="C35" s="153"/>
      <c r="D35" s="153"/>
      <c r="E35" s="166"/>
      <c r="F35" s="67">
        <v>41</v>
      </c>
      <c r="G35" s="152"/>
      <c r="H35" s="153"/>
      <c r="I35" s="166"/>
    </row>
    <row r="36" spans="1:9" ht="18.75" customHeight="1" x14ac:dyDescent="0.15">
      <c r="A36" s="67">
        <v>17</v>
      </c>
      <c r="B36" s="152"/>
      <c r="C36" s="153"/>
      <c r="D36" s="153"/>
      <c r="E36" s="166"/>
      <c r="F36" s="67">
        <v>42</v>
      </c>
      <c r="G36" s="152"/>
      <c r="H36" s="153"/>
      <c r="I36" s="166"/>
    </row>
    <row r="37" spans="1:9" ht="18.75" customHeight="1" x14ac:dyDescent="0.15">
      <c r="A37" s="67">
        <v>18</v>
      </c>
      <c r="B37" s="152"/>
      <c r="C37" s="153"/>
      <c r="D37" s="153"/>
      <c r="E37" s="166"/>
      <c r="F37" s="67">
        <v>43</v>
      </c>
      <c r="G37" s="152"/>
      <c r="H37" s="153"/>
      <c r="I37" s="166"/>
    </row>
    <row r="38" spans="1:9" ht="18.75" customHeight="1" x14ac:dyDescent="0.15">
      <c r="A38" s="67">
        <v>19</v>
      </c>
      <c r="B38" s="152"/>
      <c r="C38" s="153"/>
      <c r="D38" s="153"/>
      <c r="E38" s="166"/>
      <c r="F38" s="67">
        <v>44</v>
      </c>
      <c r="G38" s="152"/>
      <c r="H38" s="153"/>
      <c r="I38" s="166"/>
    </row>
    <row r="39" spans="1:9" ht="18.75" customHeight="1" x14ac:dyDescent="0.15">
      <c r="A39" s="67">
        <v>20</v>
      </c>
      <c r="B39" s="152"/>
      <c r="C39" s="153"/>
      <c r="D39" s="153"/>
      <c r="E39" s="166"/>
      <c r="F39" s="67">
        <v>45</v>
      </c>
      <c r="G39" s="152"/>
      <c r="H39" s="153"/>
      <c r="I39" s="166"/>
    </row>
    <row r="40" spans="1:9" ht="18.75" customHeight="1" x14ac:dyDescent="0.15">
      <c r="A40" s="67">
        <v>21</v>
      </c>
      <c r="B40" s="152"/>
      <c r="C40" s="153"/>
      <c r="D40" s="153"/>
      <c r="E40" s="166"/>
      <c r="F40" s="67">
        <v>46</v>
      </c>
      <c r="G40" s="152"/>
      <c r="H40" s="153"/>
      <c r="I40" s="166"/>
    </row>
    <row r="41" spans="1:9" ht="18.75" customHeight="1" x14ac:dyDescent="0.15">
      <c r="A41" s="67">
        <v>22</v>
      </c>
      <c r="B41" s="152"/>
      <c r="C41" s="153"/>
      <c r="D41" s="153"/>
      <c r="E41" s="166"/>
      <c r="F41" s="67">
        <v>47</v>
      </c>
      <c r="G41" s="152"/>
      <c r="H41" s="153"/>
      <c r="I41" s="166"/>
    </row>
    <row r="42" spans="1:9" ht="18.75" customHeight="1" x14ac:dyDescent="0.15">
      <c r="A42" s="67">
        <v>23</v>
      </c>
      <c r="B42" s="152"/>
      <c r="C42" s="153"/>
      <c r="D42" s="153"/>
      <c r="E42" s="166"/>
      <c r="F42" s="67">
        <v>48</v>
      </c>
      <c r="G42" s="152"/>
      <c r="H42" s="153"/>
      <c r="I42" s="166"/>
    </row>
    <row r="43" spans="1:9" ht="18.75" customHeight="1" x14ac:dyDescent="0.15">
      <c r="A43" s="67">
        <v>24</v>
      </c>
      <c r="B43" s="152"/>
      <c r="C43" s="153"/>
      <c r="D43" s="153"/>
      <c r="E43" s="166"/>
      <c r="F43" s="67">
        <v>49</v>
      </c>
      <c r="G43" s="152"/>
      <c r="H43" s="153"/>
      <c r="I43" s="166"/>
    </row>
    <row r="44" spans="1:9" ht="18.75" customHeight="1" x14ac:dyDescent="0.15">
      <c r="A44" s="67">
        <v>25</v>
      </c>
      <c r="B44" s="152"/>
      <c r="C44" s="153"/>
      <c r="D44" s="153"/>
      <c r="E44" s="166"/>
      <c r="F44" s="67">
        <v>50</v>
      </c>
      <c r="G44" s="152"/>
      <c r="H44" s="153"/>
      <c r="I44" s="166"/>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workbookViewId="0">
      <selection activeCell="V8" sqref="V8"/>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83" t="s">
        <v>73</v>
      </c>
      <c r="G1" s="183"/>
      <c r="H1" s="183"/>
      <c r="I1" s="183"/>
      <c r="J1" s="183"/>
      <c r="K1" s="183"/>
      <c r="L1" s="183"/>
      <c r="M1" s="183"/>
      <c r="N1" s="183"/>
      <c r="O1" s="183"/>
      <c r="P1" s="183"/>
      <c r="Q1" s="183"/>
      <c r="R1" s="183"/>
    </row>
    <row r="2" spans="1:20" ht="18.75" customHeight="1" x14ac:dyDescent="0.15">
      <c r="D2" s="88"/>
      <c r="E2" s="88"/>
      <c r="F2" s="88"/>
      <c r="G2" s="88"/>
      <c r="H2" s="88"/>
      <c r="I2" s="88"/>
      <c r="J2" s="88"/>
      <c r="K2" s="183" t="s">
        <v>65</v>
      </c>
      <c r="L2" s="183"/>
      <c r="M2" s="194" t="s">
        <v>154</v>
      </c>
      <c r="N2" s="194"/>
      <c r="O2" s="194"/>
      <c r="P2" s="194"/>
      <c r="Q2" s="194"/>
      <c r="R2" s="194"/>
    </row>
    <row r="3" spans="1:20" ht="7.5" customHeight="1" x14ac:dyDescent="0.15"/>
    <row r="4" spans="1:20" ht="18.75" customHeight="1" x14ac:dyDescent="0.15">
      <c r="A4" s="193" t="s">
        <v>125</v>
      </c>
      <c r="B4" s="193"/>
      <c r="C4" s="193"/>
      <c r="D4" s="193"/>
      <c r="E4" s="193"/>
      <c r="F4" s="193"/>
      <c r="G4" s="193"/>
      <c r="H4" s="193"/>
      <c r="I4" s="193"/>
      <c r="J4" s="193"/>
      <c r="K4" s="193"/>
      <c r="L4" s="193"/>
      <c r="M4" s="193"/>
      <c r="N4" s="193"/>
      <c r="O4" s="193"/>
      <c r="P4" s="193"/>
      <c r="Q4" s="193"/>
      <c r="R4" s="193"/>
      <c r="S4" s="5"/>
    </row>
    <row r="5" spans="1:20" ht="7.5" customHeight="1" x14ac:dyDescent="0.15">
      <c r="A5" s="87"/>
      <c r="B5" s="87"/>
      <c r="C5" s="87"/>
      <c r="D5" s="87"/>
      <c r="E5" s="87"/>
      <c r="F5" s="87"/>
      <c r="G5" s="87"/>
      <c r="H5" s="87"/>
      <c r="I5" s="87"/>
      <c r="J5" s="87"/>
      <c r="K5" s="87"/>
      <c r="L5" s="87"/>
      <c r="M5" s="87"/>
      <c r="N5" s="87"/>
      <c r="O5" s="87"/>
      <c r="P5" s="87"/>
      <c r="Q5" s="87"/>
      <c r="R5" s="87"/>
    </row>
    <row r="6" spans="1:20" ht="18.75" customHeight="1" x14ac:dyDescent="0.15">
      <c r="B6" s="197" t="s">
        <v>130</v>
      </c>
      <c r="C6" s="198"/>
      <c r="D6" s="184" t="s">
        <v>90</v>
      </c>
      <c r="E6" s="186" t="s">
        <v>119</v>
      </c>
      <c r="F6" s="186"/>
      <c r="G6" s="186" t="s">
        <v>120</v>
      </c>
      <c r="H6" s="186"/>
      <c r="I6" s="187" t="s">
        <v>121</v>
      </c>
      <c r="J6" s="188"/>
      <c r="K6" s="187" t="s">
        <v>122</v>
      </c>
      <c r="L6" s="188"/>
      <c r="M6" s="187" t="s">
        <v>123</v>
      </c>
      <c r="N6" s="188"/>
      <c r="O6" s="187" t="s">
        <v>124</v>
      </c>
      <c r="P6" s="188"/>
      <c r="Q6" s="189" t="s">
        <v>72</v>
      </c>
      <c r="R6" s="191" t="s">
        <v>66</v>
      </c>
      <c r="T6" s="89"/>
    </row>
    <row r="7" spans="1:20" ht="18.75" customHeight="1" x14ac:dyDescent="0.15">
      <c r="B7" s="199"/>
      <c r="C7" s="200"/>
      <c r="D7" s="185"/>
      <c r="E7" s="47" t="s">
        <v>52</v>
      </c>
      <c r="F7" s="49" t="s">
        <v>51</v>
      </c>
      <c r="G7" s="50" t="s">
        <v>52</v>
      </c>
      <c r="H7" s="48" t="s">
        <v>51</v>
      </c>
      <c r="I7" s="47" t="s">
        <v>52</v>
      </c>
      <c r="J7" s="49" t="s">
        <v>51</v>
      </c>
      <c r="K7" s="50" t="s">
        <v>52</v>
      </c>
      <c r="L7" s="48" t="s">
        <v>51</v>
      </c>
      <c r="M7" s="47" t="s">
        <v>52</v>
      </c>
      <c r="N7" s="49" t="s">
        <v>51</v>
      </c>
      <c r="O7" s="50" t="s">
        <v>52</v>
      </c>
      <c r="P7" s="48" t="s">
        <v>51</v>
      </c>
      <c r="Q7" s="190"/>
      <c r="R7" s="192"/>
      <c r="T7" s="89"/>
    </row>
    <row r="8" spans="1:20" ht="18.75" customHeight="1" x14ac:dyDescent="0.15">
      <c r="A8" s="90"/>
      <c r="B8" s="205" t="s">
        <v>155</v>
      </c>
      <c r="C8" s="206"/>
      <c r="D8" s="119">
        <v>324</v>
      </c>
      <c r="E8" s="120">
        <v>87</v>
      </c>
      <c r="F8" s="121">
        <v>75</v>
      </c>
      <c r="G8" s="129">
        <v>0</v>
      </c>
      <c r="H8" s="130">
        <v>0</v>
      </c>
      <c r="I8" s="120">
        <v>0</v>
      </c>
      <c r="J8" s="121">
        <v>0</v>
      </c>
      <c r="K8" s="129">
        <v>0</v>
      </c>
      <c r="L8" s="130">
        <v>0</v>
      </c>
      <c r="M8" s="120">
        <v>0</v>
      </c>
      <c r="N8" s="121">
        <v>0</v>
      </c>
      <c r="O8" s="129">
        <v>0</v>
      </c>
      <c r="P8" s="130">
        <v>0</v>
      </c>
      <c r="Q8" s="131">
        <f>E8+G8+I8+K8+M8+O8</f>
        <v>87</v>
      </c>
      <c r="R8" s="132">
        <f>Q8/D8</f>
        <v>0.26851851851851855</v>
      </c>
    </row>
    <row r="9" spans="1:20" ht="18.75" customHeight="1" x14ac:dyDescent="0.15">
      <c r="A9" s="90"/>
      <c r="B9" s="207" t="s">
        <v>156</v>
      </c>
      <c r="C9" s="208"/>
      <c r="D9" s="122">
        <v>280</v>
      </c>
      <c r="E9" s="123">
        <v>66</v>
      </c>
      <c r="F9" s="124">
        <v>59</v>
      </c>
      <c r="G9" s="133">
        <v>0</v>
      </c>
      <c r="H9" s="134">
        <v>0</v>
      </c>
      <c r="I9" s="123">
        <v>0</v>
      </c>
      <c r="J9" s="124">
        <v>0</v>
      </c>
      <c r="K9" s="133">
        <v>0</v>
      </c>
      <c r="L9" s="134">
        <v>0</v>
      </c>
      <c r="M9" s="123">
        <v>0</v>
      </c>
      <c r="N9" s="124">
        <v>0</v>
      </c>
      <c r="O9" s="133">
        <v>0</v>
      </c>
      <c r="P9" s="134">
        <v>0</v>
      </c>
      <c r="Q9" s="135">
        <f t="shared" ref="Q9:Q27" si="0">E9+G9+I9+K9+M9+O9</f>
        <v>66</v>
      </c>
      <c r="R9" s="132">
        <f t="shared" ref="R9:R27" si="1">Q9/D9</f>
        <v>0.23571428571428571</v>
      </c>
    </row>
    <row r="10" spans="1:20" ht="18.75" customHeight="1" x14ac:dyDescent="0.15">
      <c r="A10" s="90"/>
      <c r="B10" s="207" t="s">
        <v>157</v>
      </c>
      <c r="C10" s="208"/>
      <c r="D10" s="122">
        <v>400</v>
      </c>
      <c r="E10" s="123">
        <v>124</v>
      </c>
      <c r="F10" s="124">
        <v>113</v>
      </c>
      <c r="G10" s="133">
        <v>0</v>
      </c>
      <c r="H10" s="134">
        <v>0</v>
      </c>
      <c r="I10" s="123">
        <v>0</v>
      </c>
      <c r="J10" s="124">
        <v>0</v>
      </c>
      <c r="K10" s="133">
        <v>0</v>
      </c>
      <c r="L10" s="134">
        <v>0</v>
      </c>
      <c r="M10" s="123">
        <v>0</v>
      </c>
      <c r="N10" s="124">
        <v>0</v>
      </c>
      <c r="O10" s="133">
        <v>0</v>
      </c>
      <c r="P10" s="134">
        <v>0</v>
      </c>
      <c r="Q10" s="135">
        <f t="shared" si="0"/>
        <v>124</v>
      </c>
      <c r="R10" s="132">
        <f t="shared" si="1"/>
        <v>0.31</v>
      </c>
    </row>
    <row r="11" spans="1:20" ht="18.75" customHeight="1" x14ac:dyDescent="0.15">
      <c r="A11" s="90"/>
      <c r="B11" s="201"/>
      <c r="C11" s="202"/>
      <c r="D11" s="97"/>
      <c r="E11" s="98"/>
      <c r="F11" s="99"/>
      <c r="G11" s="100"/>
      <c r="H11" s="101"/>
      <c r="I11" s="98"/>
      <c r="J11" s="99"/>
      <c r="K11" s="100"/>
      <c r="L11" s="101"/>
      <c r="M11" s="98"/>
      <c r="N11" s="99"/>
      <c r="O11" s="100"/>
      <c r="P11" s="101"/>
      <c r="Q11" s="102">
        <f t="shared" si="0"/>
        <v>0</v>
      </c>
      <c r="R11" s="96" t="e">
        <f t="shared" si="1"/>
        <v>#DIV/0!</v>
      </c>
    </row>
    <row r="12" spans="1:20" ht="18.75" customHeight="1" x14ac:dyDescent="0.15">
      <c r="A12" s="90"/>
      <c r="B12" s="201"/>
      <c r="C12" s="202"/>
      <c r="D12" s="97"/>
      <c r="E12" s="98"/>
      <c r="F12" s="99"/>
      <c r="G12" s="100"/>
      <c r="H12" s="101"/>
      <c r="I12" s="98"/>
      <c r="J12" s="99"/>
      <c r="K12" s="100"/>
      <c r="L12" s="101"/>
      <c r="M12" s="98"/>
      <c r="N12" s="99"/>
      <c r="O12" s="100"/>
      <c r="P12" s="101"/>
      <c r="Q12" s="102">
        <f t="shared" si="0"/>
        <v>0</v>
      </c>
      <c r="R12" s="96" t="e">
        <f t="shared" si="1"/>
        <v>#DIV/0!</v>
      </c>
    </row>
    <row r="13" spans="1:20" ht="18.75" customHeight="1" x14ac:dyDescent="0.15">
      <c r="A13" s="90"/>
      <c r="B13" s="201"/>
      <c r="C13" s="202"/>
      <c r="D13" s="97"/>
      <c r="E13" s="98"/>
      <c r="F13" s="99"/>
      <c r="G13" s="100"/>
      <c r="H13" s="101"/>
      <c r="I13" s="98"/>
      <c r="J13" s="99"/>
      <c r="K13" s="100"/>
      <c r="L13" s="101"/>
      <c r="M13" s="98"/>
      <c r="N13" s="99"/>
      <c r="O13" s="100"/>
      <c r="P13" s="101"/>
      <c r="Q13" s="102">
        <f t="shared" si="0"/>
        <v>0</v>
      </c>
      <c r="R13" s="96" t="e">
        <f t="shared" si="1"/>
        <v>#DIV/0!</v>
      </c>
    </row>
    <row r="14" spans="1:20" ht="18.75" customHeight="1" x14ac:dyDescent="0.15">
      <c r="A14" s="90"/>
      <c r="B14" s="201"/>
      <c r="C14" s="202"/>
      <c r="D14" s="97"/>
      <c r="E14" s="98"/>
      <c r="F14" s="99"/>
      <c r="G14" s="100"/>
      <c r="H14" s="101"/>
      <c r="I14" s="98"/>
      <c r="J14" s="99"/>
      <c r="K14" s="100"/>
      <c r="L14" s="101"/>
      <c r="M14" s="98"/>
      <c r="N14" s="99"/>
      <c r="O14" s="100"/>
      <c r="P14" s="101"/>
      <c r="Q14" s="102">
        <f t="shared" si="0"/>
        <v>0</v>
      </c>
      <c r="R14" s="96" t="e">
        <f t="shared" si="1"/>
        <v>#DIV/0!</v>
      </c>
    </row>
    <row r="15" spans="1:20" ht="18.75" customHeight="1" x14ac:dyDescent="0.15">
      <c r="A15" s="90"/>
      <c r="B15" s="201"/>
      <c r="C15" s="202"/>
      <c r="D15" s="97"/>
      <c r="E15" s="98"/>
      <c r="F15" s="99"/>
      <c r="G15" s="100"/>
      <c r="H15" s="101"/>
      <c r="I15" s="98"/>
      <c r="J15" s="99"/>
      <c r="K15" s="100"/>
      <c r="L15" s="101"/>
      <c r="M15" s="98"/>
      <c r="N15" s="99"/>
      <c r="O15" s="100"/>
      <c r="P15" s="101"/>
      <c r="Q15" s="102">
        <f t="shared" si="0"/>
        <v>0</v>
      </c>
      <c r="R15" s="96" t="e">
        <f t="shared" si="1"/>
        <v>#DIV/0!</v>
      </c>
    </row>
    <row r="16" spans="1:20" ht="18.75" customHeight="1" x14ac:dyDescent="0.15">
      <c r="A16" s="90"/>
      <c r="B16" s="201"/>
      <c r="C16" s="202"/>
      <c r="D16" s="97"/>
      <c r="E16" s="98"/>
      <c r="F16" s="99"/>
      <c r="G16" s="100"/>
      <c r="H16" s="101"/>
      <c r="I16" s="98"/>
      <c r="J16" s="99"/>
      <c r="K16" s="100"/>
      <c r="L16" s="101"/>
      <c r="M16" s="98"/>
      <c r="N16" s="99"/>
      <c r="O16" s="100"/>
      <c r="P16" s="101"/>
      <c r="Q16" s="102">
        <f>E16+G16+I16+K16+M16+O16</f>
        <v>0</v>
      </c>
      <c r="R16" s="96" t="e">
        <f t="shared" si="1"/>
        <v>#DIV/0!</v>
      </c>
    </row>
    <row r="17" spans="1:18" ht="18.75" customHeight="1" x14ac:dyDescent="0.15">
      <c r="A17" s="90"/>
      <c r="B17" s="201"/>
      <c r="C17" s="202"/>
      <c r="D17" s="97"/>
      <c r="E17" s="98"/>
      <c r="F17" s="99"/>
      <c r="G17" s="100"/>
      <c r="H17" s="101"/>
      <c r="I17" s="98"/>
      <c r="J17" s="99"/>
      <c r="K17" s="100"/>
      <c r="L17" s="101"/>
      <c r="M17" s="98"/>
      <c r="N17" s="99"/>
      <c r="O17" s="100"/>
      <c r="P17" s="101"/>
      <c r="Q17" s="102">
        <f t="shared" si="0"/>
        <v>0</v>
      </c>
      <c r="R17" s="96" t="e">
        <f t="shared" si="1"/>
        <v>#DIV/0!</v>
      </c>
    </row>
    <row r="18" spans="1:18" ht="18.75" customHeight="1" x14ac:dyDescent="0.15">
      <c r="A18" s="90"/>
      <c r="B18" s="201"/>
      <c r="C18" s="202"/>
      <c r="D18" s="97"/>
      <c r="E18" s="98"/>
      <c r="F18" s="99"/>
      <c r="G18" s="100"/>
      <c r="H18" s="101"/>
      <c r="I18" s="98"/>
      <c r="J18" s="99"/>
      <c r="K18" s="100"/>
      <c r="L18" s="101"/>
      <c r="M18" s="98"/>
      <c r="N18" s="99"/>
      <c r="O18" s="100"/>
      <c r="P18" s="101"/>
      <c r="Q18" s="102">
        <f t="shared" si="0"/>
        <v>0</v>
      </c>
      <c r="R18" s="96" t="e">
        <f t="shared" si="1"/>
        <v>#DIV/0!</v>
      </c>
    </row>
    <row r="19" spans="1:18" ht="18.75" customHeight="1" x14ac:dyDescent="0.15">
      <c r="A19" s="90"/>
      <c r="B19" s="201"/>
      <c r="C19" s="202"/>
      <c r="D19" s="97"/>
      <c r="E19" s="98"/>
      <c r="F19" s="99"/>
      <c r="G19" s="100"/>
      <c r="H19" s="101"/>
      <c r="I19" s="98"/>
      <c r="J19" s="99"/>
      <c r="K19" s="100"/>
      <c r="L19" s="101"/>
      <c r="M19" s="98"/>
      <c r="N19" s="99"/>
      <c r="O19" s="100"/>
      <c r="P19" s="101"/>
      <c r="Q19" s="102">
        <f t="shared" si="0"/>
        <v>0</v>
      </c>
      <c r="R19" s="96" t="e">
        <f t="shared" si="1"/>
        <v>#DIV/0!</v>
      </c>
    </row>
    <row r="20" spans="1:18" ht="18.75" customHeight="1" x14ac:dyDescent="0.15">
      <c r="A20" s="90"/>
      <c r="B20" s="201"/>
      <c r="C20" s="202"/>
      <c r="D20" s="97"/>
      <c r="E20" s="98"/>
      <c r="F20" s="99"/>
      <c r="G20" s="100"/>
      <c r="H20" s="101"/>
      <c r="I20" s="98"/>
      <c r="J20" s="99"/>
      <c r="K20" s="100"/>
      <c r="L20" s="101"/>
      <c r="M20" s="98"/>
      <c r="N20" s="99"/>
      <c r="O20" s="100"/>
      <c r="P20" s="101"/>
      <c r="Q20" s="102">
        <f t="shared" si="0"/>
        <v>0</v>
      </c>
      <c r="R20" s="96" t="e">
        <f t="shared" si="1"/>
        <v>#DIV/0!</v>
      </c>
    </row>
    <row r="21" spans="1:18" ht="18.75" customHeight="1" x14ac:dyDescent="0.15">
      <c r="A21" s="90"/>
      <c r="B21" s="201"/>
      <c r="C21" s="202"/>
      <c r="D21" s="97"/>
      <c r="E21" s="98"/>
      <c r="F21" s="99"/>
      <c r="G21" s="100"/>
      <c r="H21" s="101"/>
      <c r="I21" s="98"/>
      <c r="J21" s="99"/>
      <c r="K21" s="100"/>
      <c r="L21" s="101"/>
      <c r="M21" s="98"/>
      <c r="N21" s="99"/>
      <c r="O21" s="100"/>
      <c r="P21" s="101"/>
      <c r="Q21" s="102">
        <f t="shared" si="0"/>
        <v>0</v>
      </c>
      <c r="R21" s="96" t="e">
        <f t="shared" si="1"/>
        <v>#DIV/0!</v>
      </c>
    </row>
    <row r="22" spans="1:18" ht="18.75" customHeight="1" x14ac:dyDescent="0.15">
      <c r="A22" s="90"/>
      <c r="B22" s="201"/>
      <c r="C22" s="202"/>
      <c r="D22" s="97"/>
      <c r="E22" s="98"/>
      <c r="F22" s="99"/>
      <c r="G22" s="100"/>
      <c r="H22" s="101"/>
      <c r="I22" s="98"/>
      <c r="J22" s="99"/>
      <c r="K22" s="100"/>
      <c r="L22" s="101"/>
      <c r="M22" s="98"/>
      <c r="N22" s="99"/>
      <c r="O22" s="100"/>
      <c r="P22" s="101"/>
      <c r="Q22" s="102">
        <f t="shared" si="0"/>
        <v>0</v>
      </c>
      <c r="R22" s="96" t="e">
        <f t="shared" si="1"/>
        <v>#DIV/0!</v>
      </c>
    </row>
    <row r="23" spans="1:18" ht="18.75" customHeight="1" x14ac:dyDescent="0.15">
      <c r="A23" s="90"/>
      <c r="B23" s="201"/>
      <c r="C23" s="202"/>
      <c r="D23" s="97"/>
      <c r="E23" s="98"/>
      <c r="F23" s="99"/>
      <c r="G23" s="100"/>
      <c r="H23" s="101"/>
      <c r="I23" s="98"/>
      <c r="J23" s="99"/>
      <c r="K23" s="100"/>
      <c r="L23" s="101"/>
      <c r="M23" s="98"/>
      <c r="N23" s="99"/>
      <c r="O23" s="100"/>
      <c r="P23" s="101"/>
      <c r="Q23" s="102">
        <f t="shared" si="0"/>
        <v>0</v>
      </c>
      <c r="R23" s="96" t="e">
        <f t="shared" si="1"/>
        <v>#DIV/0!</v>
      </c>
    </row>
    <row r="24" spans="1:18" ht="18.75" customHeight="1" x14ac:dyDescent="0.15">
      <c r="A24" s="90"/>
      <c r="B24" s="201"/>
      <c r="C24" s="202"/>
      <c r="D24" s="97"/>
      <c r="E24" s="98"/>
      <c r="F24" s="99"/>
      <c r="G24" s="100"/>
      <c r="H24" s="101"/>
      <c r="I24" s="98"/>
      <c r="J24" s="99"/>
      <c r="K24" s="100"/>
      <c r="L24" s="101"/>
      <c r="M24" s="98"/>
      <c r="N24" s="99"/>
      <c r="O24" s="100"/>
      <c r="P24" s="101"/>
      <c r="Q24" s="102">
        <f t="shared" si="0"/>
        <v>0</v>
      </c>
      <c r="R24" s="96" t="e">
        <f t="shared" si="1"/>
        <v>#DIV/0!</v>
      </c>
    </row>
    <row r="25" spans="1:18" ht="18.75" customHeight="1" x14ac:dyDescent="0.15">
      <c r="A25" s="90"/>
      <c r="B25" s="201"/>
      <c r="C25" s="202"/>
      <c r="D25" s="97"/>
      <c r="E25" s="98"/>
      <c r="F25" s="99"/>
      <c r="G25" s="100"/>
      <c r="H25" s="101"/>
      <c r="I25" s="98"/>
      <c r="J25" s="99"/>
      <c r="K25" s="100"/>
      <c r="L25" s="101"/>
      <c r="M25" s="98"/>
      <c r="N25" s="99"/>
      <c r="O25" s="100"/>
      <c r="P25" s="101"/>
      <c r="Q25" s="102">
        <f t="shared" si="0"/>
        <v>0</v>
      </c>
      <c r="R25" s="96" t="e">
        <f t="shared" si="1"/>
        <v>#DIV/0!</v>
      </c>
    </row>
    <row r="26" spans="1:18" ht="18.75" customHeight="1" x14ac:dyDescent="0.15">
      <c r="A26" s="90"/>
      <c r="B26" s="201"/>
      <c r="C26" s="202"/>
      <c r="D26" s="97"/>
      <c r="E26" s="98"/>
      <c r="F26" s="99"/>
      <c r="G26" s="100"/>
      <c r="H26" s="101"/>
      <c r="I26" s="98"/>
      <c r="J26" s="99"/>
      <c r="K26" s="100"/>
      <c r="L26" s="101"/>
      <c r="M26" s="98"/>
      <c r="N26" s="99"/>
      <c r="O26" s="100"/>
      <c r="P26" s="101"/>
      <c r="Q26" s="102">
        <f t="shared" si="0"/>
        <v>0</v>
      </c>
      <c r="R26" s="96" t="e">
        <f t="shared" si="1"/>
        <v>#DIV/0!</v>
      </c>
    </row>
    <row r="27" spans="1:18" ht="18.75" customHeight="1" thickBot="1" x14ac:dyDescent="0.2">
      <c r="A27" s="90"/>
      <c r="B27" s="203"/>
      <c r="C27" s="204"/>
      <c r="D27" s="91"/>
      <c r="E27" s="92"/>
      <c r="F27" s="93"/>
      <c r="G27" s="94"/>
      <c r="H27" s="95"/>
      <c r="I27" s="92"/>
      <c r="J27" s="93"/>
      <c r="K27" s="94"/>
      <c r="L27" s="95"/>
      <c r="M27" s="92"/>
      <c r="N27" s="93"/>
      <c r="O27" s="94"/>
      <c r="P27" s="95"/>
      <c r="Q27" s="103">
        <f t="shared" si="0"/>
        <v>0</v>
      </c>
      <c r="R27" s="96" t="e">
        <f t="shared" si="1"/>
        <v>#DIV/0!</v>
      </c>
    </row>
    <row r="28" spans="1:18" ht="18.75" customHeight="1" thickTop="1" x14ac:dyDescent="0.15">
      <c r="A28" s="90"/>
      <c r="B28" s="195" t="s">
        <v>67</v>
      </c>
      <c r="C28" s="196"/>
      <c r="D28" s="104">
        <f t="shared" ref="D28:Q28" si="2">SUM(D8:D27)</f>
        <v>1004</v>
      </c>
      <c r="E28" s="105">
        <f t="shared" si="2"/>
        <v>277</v>
      </c>
      <c r="F28" s="106">
        <f t="shared" si="2"/>
        <v>247</v>
      </c>
      <c r="G28" s="107">
        <f t="shared" si="2"/>
        <v>0</v>
      </c>
      <c r="H28" s="108">
        <f t="shared" si="2"/>
        <v>0</v>
      </c>
      <c r="I28" s="105">
        <f t="shared" si="2"/>
        <v>0</v>
      </c>
      <c r="J28" s="106">
        <f t="shared" si="2"/>
        <v>0</v>
      </c>
      <c r="K28" s="107">
        <f t="shared" si="2"/>
        <v>0</v>
      </c>
      <c r="L28" s="108">
        <f t="shared" si="2"/>
        <v>0</v>
      </c>
      <c r="M28" s="105">
        <f t="shared" si="2"/>
        <v>0</v>
      </c>
      <c r="N28" s="106">
        <f t="shared" si="2"/>
        <v>0</v>
      </c>
      <c r="O28" s="107">
        <f t="shared" si="2"/>
        <v>0</v>
      </c>
      <c r="P28" s="108">
        <f t="shared" si="2"/>
        <v>0</v>
      </c>
      <c r="Q28" s="109">
        <f t="shared" si="2"/>
        <v>277</v>
      </c>
      <c r="R28" s="110">
        <f>Q28/D28</f>
        <v>0.27589641434262946</v>
      </c>
    </row>
    <row r="29" spans="1:18" ht="6.75" customHeight="1" x14ac:dyDescent="0.15">
      <c r="A29" s="90"/>
      <c r="B29" s="90"/>
      <c r="C29" s="90"/>
      <c r="D29" s="111"/>
      <c r="E29" s="111"/>
      <c r="F29" s="111"/>
      <c r="G29" s="111"/>
      <c r="H29" s="111"/>
      <c r="I29" s="111"/>
      <c r="J29" s="111"/>
      <c r="K29" s="111"/>
      <c r="L29" s="111"/>
      <c r="M29" s="111"/>
      <c r="N29" s="111"/>
      <c r="O29" s="111"/>
      <c r="P29" s="111"/>
      <c r="Q29" s="111"/>
      <c r="R29" s="111"/>
    </row>
  </sheetData>
  <mergeCells count="35">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 ref="M2:R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opLeftCell="A112" zoomScaleNormal="100" workbookViewId="0">
      <selection activeCell="D114" sqref="D114:G114"/>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52" t="s">
        <v>190</v>
      </c>
    </row>
    <row r="2" spans="1:7" ht="18.75" customHeight="1" x14ac:dyDescent="0.15">
      <c r="F2" s="52" t="s">
        <v>75</v>
      </c>
      <c r="G2" s="1" t="s">
        <v>172</v>
      </c>
    </row>
    <row r="3" spans="1:7" ht="18.75" customHeight="1" x14ac:dyDescent="0.15">
      <c r="A3" s="218" t="s">
        <v>96</v>
      </c>
      <c r="B3" s="218"/>
      <c r="C3" s="218"/>
      <c r="D3" s="218"/>
      <c r="E3" s="218"/>
      <c r="F3" s="218"/>
      <c r="G3" s="218"/>
    </row>
    <row r="4" spans="1:7" ht="18.75" customHeight="1" x14ac:dyDescent="0.15">
      <c r="A4" s="1" t="s">
        <v>7</v>
      </c>
      <c r="B4" s="1" t="s">
        <v>95</v>
      </c>
    </row>
    <row r="5" spans="1:7" s="51" customFormat="1" ht="18.75" customHeight="1" x14ac:dyDescent="0.15">
      <c r="B5" s="71" t="s">
        <v>74</v>
      </c>
      <c r="C5" s="219" t="s">
        <v>108</v>
      </c>
      <c r="D5" s="220"/>
      <c r="E5" s="220"/>
      <c r="F5" s="220"/>
      <c r="G5" s="221"/>
    </row>
    <row r="6" spans="1:7" s="68" customFormat="1" ht="45" customHeight="1" x14ac:dyDescent="0.15">
      <c r="B6" s="244" t="s">
        <v>111</v>
      </c>
      <c r="C6" s="222" t="s">
        <v>193</v>
      </c>
      <c r="D6" s="223"/>
      <c r="E6" s="223"/>
      <c r="F6" s="223"/>
      <c r="G6" s="224"/>
    </row>
    <row r="7" spans="1:7" s="68" customFormat="1" ht="45" customHeight="1" x14ac:dyDescent="0.15">
      <c r="B7" s="245"/>
      <c r="C7" s="225"/>
      <c r="D7" s="226"/>
      <c r="E7" s="226"/>
      <c r="F7" s="226"/>
      <c r="G7" s="227"/>
    </row>
    <row r="8" spans="1:7" s="68" customFormat="1" ht="45" customHeight="1" x14ac:dyDescent="0.15">
      <c r="B8" s="245"/>
      <c r="C8" s="225"/>
      <c r="D8" s="226"/>
      <c r="E8" s="226"/>
      <c r="F8" s="226"/>
      <c r="G8" s="227"/>
    </row>
    <row r="9" spans="1:7" s="68" customFormat="1" ht="45" customHeight="1" x14ac:dyDescent="0.15">
      <c r="B9" s="245"/>
      <c r="C9" s="228"/>
      <c r="D9" s="229"/>
      <c r="E9" s="229"/>
      <c r="F9" s="229"/>
      <c r="G9" s="230"/>
    </row>
    <row r="10" spans="1:7" s="70" customFormat="1" ht="18.75" customHeight="1" x14ac:dyDescent="0.15">
      <c r="B10" s="245"/>
      <c r="C10" s="69" t="s">
        <v>109</v>
      </c>
      <c r="D10" s="265" t="s">
        <v>110</v>
      </c>
      <c r="E10" s="266"/>
      <c r="F10" s="266"/>
      <c r="G10" s="267"/>
    </row>
    <row r="11" spans="1:7" s="68" customFormat="1" ht="18.75" customHeight="1" x14ac:dyDescent="0.15">
      <c r="B11" s="245"/>
      <c r="C11" s="115" t="s">
        <v>194</v>
      </c>
      <c r="D11" s="215" t="s">
        <v>173</v>
      </c>
      <c r="E11" s="216"/>
      <c r="F11" s="216"/>
      <c r="G11" s="217"/>
    </row>
    <row r="12" spans="1:7" s="70" customFormat="1" ht="18.75" customHeight="1" x14ac:dyDescent="0.15">
      <c r="B12" s="245"/>
      <c r="C12" s="115" t="s">
        <v>195</v>
      </c>
      <c r="D12" s="268" t="s">
        <v>174</v>
      </c>
      <c r="E12" s="216"/>
      <c r="F12" s="216"/>
      <c r="G12" s="217"/>
    </row>
    <row r="13" spans="1:7" s="70" customFormat="1" ht="18.75" customHeight="1" x14ac:dyDescent="0.15">
      <c r="B13" s="245"/>
      <c r="C13" s="115" t="s">
        <v>196</v>
      </c>
      <c r="D13" s="215" t="s">
        <v>175</v>
      </c>
      <c r="E13" s="216"/>
      <c r="F13" s="216"/>
      <c r="G13" s="217"/>
    </row>
    <row r="14" spans="1:7" s="70" customFormat="1" ht="18.75" customHeight="1" x14ac:dyDescent="0.15">
      <c r="B14" s="245"/>
      <c r="C14" s="115" t="s">
        <v>197</v>
      </c>
      <c r="D14" s="268" t="s">
        <v>228</v>
      </c>
      <c r="E14" s="216"/>
      <c r="F14" s="216"/>
      <c r="G14" s="217"/>
    </row>
    <row r="15" spans="1:7" s="73" customFormat="1" ht="18.75" customHeight="1" x14ac:dyDescent="0.15">
      <c r="B15" s="245"/>
      <c r="C15" s="115" t="s">
        <v>198</v>
      </c>
      <c r="D15" s="215" t="s">
        <v>176</v>
      </c>
      <c r="E15" s="216"/>
      <c r="F15" s="216"/>
      <c r="G15" s="217"/>
    </row>
    <row r="16" spans="1:7" s="73" customFormat="1" ht="18.75" customHeight="1" x14ac:dyDescent="0.15">
      <c r="B16" s="245"/>
      <c r="C16" s="115" t="s">
        <v>199</v>
      </c>
      <c r="D16" s="215" t="s">
        <v>229</v>
      </c>
      <c r="E16" s="216"/>
      <c r="F16" s="216"/>
      <c r="G16" s="217"/>
    </row>
    <row r="17" spans="2:7" s="73" customFormat="1" ht="18.75" customHeight="1" x14ac:dyDescent="0.15">
      <c r="B17" s="245"/>
      <c r="C17" s="74"/>
      <c r="D17" s="219"/>
      <c r="E17" s="220"/>
      <c r="F17" s="220"/>
      <c r="G17" s="221"/>
    </row>
    <row r="18" spans="2:7" s="73" customFormat="1" ht="18.75" customHeight="1" x14ac:dyDescent="0.15">
      <c r="B18" s="245"/>
      <c r="C18" s="74"/>
      <c r="D18" s="219"/>
      <c r="E18" s="220"/>
      <c r="F18" s="220"/>
      <c r="G18" s="221"/>
    </row>
    <row r="19" spans="2:7" s="73" customFormat="1" ht="18.75" customHeight="1" x14ac:dyDescent="0.15">
      <c r="B19" s="245"/>
      <c r="C19" s="74"/>
      <c r="D19" s="219"/>
      <c r="E19" s="220"/>
      <c r="F19" s="220"/>
      <c r="G19" s="221"/>
    </row>
    <row r="20" spans="2:7" s="73" customFormat="1" ht="18.75" customHeight="1" x14ac:dyDescent="0.15">
      <c r="B20" s="245"/>
      <c r="C20" s="74"/>
      <c r="D20" s="219"/>
      <c r="E20" s="220"/>
      <c r="F20" s="220"/>
      <c r="G20" s="221"/>
    </row>
    <row r="21" spans="2:7" s="73" customFormat="1" ht="18.75" customHeight="1" x14ac:dyDescent="0.15">
      <c r="B21" s="245"/>
      <c r="C21" s="74"/>
      <c r="D21" s="219"/>
      <c r="E21" s="220"/>
      <c r="F21" s="220"/>
      <c r="G21" s="221"/>
    </row>
    <row r="22" spans="2:7" s="73" customFormat="1" ht="18.75" customHeight="1" x14ac:dyDescent="0.15">
      <c r="B22" s="245"/>
      <c r="C22" s="74"/>
      <c r="D22" s="219"/>
      <c r="E22" s="220"/>
      <c r="F22" s="220"/>
      <c r="G22" s="221"/>
    </row>
    <row r="23" spans="2:7" s="73" customFormat="1" ht="18.75" customHeight="1" x14ac:dyDescent="0.15">
      <c r="B23" s="245"/>
      <c r="C23" s="74"/>
      <c r="D23" s="219"/>
      <c r="E23" s="220"/>
      <c r="F23" s="220"/>
      <c r="G23" s="221"/>
    </row>
    <row r="24" spans="2:7" s="73" customFormat="1" ht="18.75" customHeight="1" x14ac:dyDescent="0.15">
      <c r="B24" s="245"/>
      <c r="C24" s="74"/>
      <c r="D24" s="219"/>
      <c r="E24" s="220"/>
      <c r="F24" s="220"/>
      <c r="G24" s="221"/>
    </row>
    <row r="25" spans="2:7" s="70" customFormat="1" ht="18.75" customHeight="1" x14ac:dyDescent="0.15">
      <c r="B25" s="246"/>
      <c r="C25" s="71"/>
      <c r="D25" s="219"/>
      <c r="E25" s="220"/>
      <c r="F25" s="220"/>
      <c r="G25" s="221"/>
    </row>
    <row r="26" spans="2:7" ht="18.75" customHeight="1" x14ac:dyDescent="0.15">
      <c r="B26" s="244" t="s">
        <v>112</v>
      </c>
      <c r="C26" s="219" t="s">
        <v>108</v>
      </c>
      <c r="D26" s="220"/>
      <c r="E26" s="220"/>
      <c r="F26" s="220"/>
      <c r="G26" s="221"/>
    </row>
    <row r="27" spans="2:7" ht="37.5" customHeight="1" x14ac:dyDescent="0.15">
      <c r="B27" s="245"/>
      <c r="C27" s="247" t="s">
        <v>200</v>
      </c>
      <c r="D27" s="248"/>
      <c r="E27" s="248"/>
      <c r="F27" s="248"/>
      <c r="G27" s="249"/>
    </row>
    <row r="28" spans="2:7" ht="37.5" customHeight="1" x14ac:dyDescent="0.15">
      <c r="B28" s="245"/>
      <c r="C28" s="250"/>
      <c r="D28" s="251"/>
      <c r="E28" s="251"/>
      <c r="F28" s="251"/>
      <c r="G28" s="252"/>
    </row>
    <row r="29" spans="2:7" ht="37.5" customHeight="1" x14ac:dyDescent="0.15">
      <c r="B29" s="245"/>
      <c r="C29" s="250"/>
      <c r="D29" s="251"/>
      <c r="E29" s="251"/>
      <c r="F29" s="251"/>
      <c r="G29" s="252"/>
    </row>
    <row r="30" spans="2:7" ht="37.5" customHeight="1" x14ac:dyDescent="0.15">
      <c r="B30" s="245"/>
      <c r="C30" s="250"/>
      <c r="D30" s="251"/>
      <c r="E30" s="251"/>
      <c r="F30" s="251"/>
      <c r="G30" s="252"/>
    </row>
    <row r="31" spans="2:7" ht="37.5" customHeight="1" x14ac:dyDescent="0.15">
      <c r="B31" s="245"/>
      <c r="C31" s="253"/>
      <c r="D31" s="254"/>
      <c r="E31" s="254"/>
      <c r="F31" s="254"/>
      <c r="G31" s="255"/>
    </row>
    <row r="32" spans="2:7" ht="18.75" customHeight="1" x14ac:dyDescent="0.15">
      <c r="B32" s="245"/>
      <c r="C32" s="69" t="s">
        <v>109</v>
      </c>
      <c r="D32" s="219" t="s">
        <v>110</v>
      </c>
      <c r="E32" s="220"/>
      <c r="F32" s="220"/>
      <c r="G32" s="221"/>
    </row>
    <row r="33" spans="2:7" ht="18.75" customHeight="1" x14ac:dyDescent="0.15">
      <c r="B33" s="245"/>
      <c r="C33" s="115" t="s">
        <v>194</v>
      </c>
      <c r="D33" s="215" t="s">
        <v>177</v>
      </c>
      <c r="E33" s="216"/>
      <c r="F33" s="216"/>
      <c r="G33" s="217"/>
    </row>
    <row r="34" spans="2:7" ht="18.75" customHeight="1" x14ac:dyDescent="0.15">
      <c r="B34" s="245"/>
      <c r="C34" s="115" t="s">
        <v>195</v>
      </c>
      <c r="D34" s="215" t="s">
        <v>178</v>
      </c>
      <c r="E34" s="216"/>
      <c r="F34" s="216"/>
      <c r="G34" s="217"/>
    </row>
    <row r="35" spans="2:7" ht="18.75" customHeight="1" x14ac:dyDescent="0.15">
      <c r="B35" s="245"/>
      <c r="C35" s="115" t="s">
        <v>196</v>
      </c>
      <c r="D35" s="215" t="s">
        <v>179</v>
      </c>
      <c r="E35" s="216"/>
      <c r="F35" s="216"/>
      <c r="G35" s="217"/>
    </row>
    <row r="36" spans="2:7" ht="18.75" customHeight="1" x14ac:dyDescent="0.15">
      <c r="B36" s="245"/>
      <c r="C36" s="115" t="s">
        <v>197</v>
      </c>
      <c r="D36" s="215" t="s">
        <v>230</v>
      </c>
      <c r="E36" s="216"/>
      <c r="F36" s="216"/>
      <c r="G36" s="217"/>
    </row>
    <row r="37" spans="2:7" ht="18.75" customHeight="1" x14ac:dyDescent="0.15">
      <c r="B37" s="245"/>
      <c r="C37" s="115" t="s">
        <v>198</v>
      </c>
      <c r="D37" s="215" t="s">
        <v>180</v>
      </c>
      <c r="E37" s="216"/>
      <c r="F37" s="216"/>
      <c r="G37" s="217"/>
    </row>
    <row r="38" spans="2:7" ht="18.75" customHeight="1" x14ac:dyDescent="0.15">
      <c r="B38" s="245"/>
      <c r="C38" s="115" t="s">
        <v>199</v>
      </c>
      <c r="D38" s="215" t="s">
        <v>231</v>
      </c>
      <c r="E38" s="216"/>
      <c r="F38" s="216"/>
      <c r="G38" s="217"/>
    </row>
    <row r="39" spans="2:7" ht="18.75" customHeight="1" x14ac:dyDescent="0.15">
      <c r="B39" s="245"/>
      <c r="C39" s="71"/>
      <c r="D39" s="209"/>
      <c r="E39" s="210"/>
      <c r="F39" s="210"/>
      <c r="G39" s="211"/>
    </row>
    <row r="40" spans="2:7" ht="18.75" customHeight="1" x14ac:dyDescent="0.15">
      <c r="B40" s="245"/>
      <c r="C40" s="71"/>
      <c r="D40" s="209"/>
      <c r="E40" s="210"/>
      <c r="F40" s="210"/>
      <c r="G40" s="211"/>
    </row>
    <row r="41" spans="2:7" ht="18.75" customHeight="1" x14ac:dyDescent="0.15">
      <c r="B41" s="245"/>
      <c r="C41" s="71"/>
      <c r="D41" s="209"/>
      <c r="E41" s="210"/>
      <c r="F41" s="210"/>
      <c r="G41" s="211"/>
    </row>
    <row r="42" spans="2:7" ht="18.75" customHeight="1" x14ac:dyDescent="0.15">
      <c r="B42" s="245"/>
      <c r="C42" s="71"/>
      <c r="D42" s="209"/>
      <c r="E42" s="210"/>
      <c r="F42" s="210"/>
      <c r="G42" s="211"/>
    </row>
    <row r="43" spans="2:7" ht="18.75" customHeight="1" x14ac:dyDescent="0.15">
      <c r="B43" s="245"/>
      <c r="C43" s="71"/>
      <c r="D43" s="209"/>
      <c r="E43" s="210"/>
      <c r="F43" s="210"/>
      <c r="G43" s="211"/>
    </row>
    <row r="44" spans="2:7" ht="18.75" customHeight="1" x14ac:dyDescent="0.15">
      <c r="B44" s="245"/>
      <c r="C44" s="71"/>
      <c r="D44" s="209"/>
      <c r="E44" s="210"/>
      <c r="F44" s="210"/>
      <c r="G44" s="211"/>
    </row>
    <row r="45" spans="2:7" ht="18.75" customHeight="1" x14ac:dyDescent="0.15">
      <c r="B45" s="245"/>
      <c r="C45" s="71"/>
      <c r="D45" s="209"/>
      <c r="E45" s="210"/>
      <c r="F45" s="210"/>
      <c r="G45" s="211"/>
    </row>
    <row r="46" spans="2:7" ht="18.75" customHeight="1" x14ac:dyDescent="0.15">
      <c r="B46" s="245"/>
      <c r="C46" s="71"/>
      <c r="D46" s="209"/>
      <c r="E46" s="210"/>
      <c r="F46" s="210"/>
      <c r="G46" s="211"/>
    </row>
    <row r="47" spans="2:7" ht="18.75" customHeight="1" x14ac:dyDescent="0.15">
      <c r="B47" s="245"/>
      <c r="C47" s="71"/>
      <c r="D47" s="209"/>
      <c r="E47" s="210"/>
      <c r="F47" s="210"/>
      <c r="G47" s="211"/>
    </row>
    <row r="48" spans="2:7" ht="18.75" customHeight="1" x14ac:dyDescent="0.15">
      <c r="B48" s="245"/>
      <c r="C48" s="71"/>
      <c r="D48" s="209"/>
      <c r="E48" s="210"/>
      <c r="F48" s="210"/>
      <c r="G48" s="211"/>
    </row>
    <row r="49" spans="2:7" ht="18.75" customHeight="1" x14ac:dyDescent="0.15">
      <c r="B49" s="245"/>
      <c r="C49" s="71"/>
      <c r="D49" s="209"/>
      <c r="E49" s="210"/>
      <c r="F49" s="210"/>
      <c r="G49" s="211"/>
    </row>
    <row r="50" spans="2:7" ht="18.75" customHeight="1" x14ac:dyDescent="0.15">
      <c r="B50" s="246"/>
      <c r="C50" s="71"/>
      <c r="D50" s="209"/>
      <c r="E50" s="210"/>
      <c r="F50" s="210"/>
      <c r="G50" s="211"/>
    </row>
    <row r="51" spans="2:7" ht="18.75" customHeight="1" x14ac:dyDescent="0.15">
      <c r="B51" s="244" t="s">
        <v>114</v>
      </c>
      <c r="C51" s="219" t="s">
        <v>108</v>
      </c>
      <c r="D51" s="220"/>
      <c r="E51" s="220"/>
      <c r="F51" s="220"/>
      <c r="G51" s="221"/>
    </row>
    <row r="52" spans="2:7" ht="37.5" customHeight="1" x14ac:dyDescent="0.15">
      <c r="B52" s="245"/>
      <c r="C52" s="247" t="s">
        <v>206</v>
      </c>
      <c r="D52" s="248"/>
      <c r="E52" s="248"/>
      <c r="F52" s="248"/>
      <c r="G52" s="249"/>
    </row>
    <row r="53" spans="2:7" ht="37.5" customHeight="1" x14ac:dyDescent="0.15">
      <c r="B53" s="245"/>
      <c r="C53" s="250"/>
      <c r="D53" s="251"/>
      <c r="E53" s="251"/>
      <c r="F53" s="251"/>
      <c r="G53" s="252"/>
    </row>
    <row r="54" spans="2:7" ht="37.5" customHeight="1" x14ac:dyDescent="0.15">
      <c r="B54" s="245"/>
      <c r="C54" s="250"/>
      <c r="D54" s="251"/>
      <c r="E54" s="251"/>
      <c r="F54" s="251"/>
      <c r="G54" s="252"/>
    </row>
    <row r="55" spans="2:7" ht="37.5" customHeight="1" x14ac:dyDescent="0.15">
      <c r="B55" s="245"/>
      <c r="C55" s="250"/>
      <c r="D55" s="251"/>
      <c r="E55" s="251"/>
      <c r="F55" s="251"/>
      <c r="G55" s="252"/>
    </row>
    <row r="56" spans="2:7" ht="37.5" customHeight="1" x14ac:dyDescent="0.15">
      <c r="B56" s="245"/>
      <c r="C56" s="253"/>
      <c r="D56" s="254"/>
      <c r="E56" s="254"/>
      <c r="F56" s="254"/>
      <c r="G56" s="255"/>
    </row>
    <row r="57" spans="2:7" ht="18.75" customHeight="1" x14ac:dyDescent="0.15">
      <c r="B57" s="245"/>
      <c r="C57" s="69" t="s">
        <v>109</v>
      </c>
      <c r="D57" s="219" t="s">
        <v>110</v>
      </c>
      <c r="E57" s="220"/>
      <c r="F57" s="220"/>
      <c r="G57" s="221"/>
    </row>
    <row r="58" spans="2:7" ht="18.75" customHeight="1" x14ac:dyDescent="0.15">
      <c r="B58" s="245"/>
      <c r="C58" s="115" t="s">
        <v>194</v>
      </c>
      <c r="D58" s="215" t="s">
        <v>181</v>
      </c>
      <c r="E58" s="216"/>
      <c r="F58" s="216"/>
      <c r="G58" s="217"/>
    </row>
    <row r="59" spans="2:7" ht="18.75" customHeight="1" x14ac:dyDescent="0.15">
      <c r="B59" s="245"/>
      <c r="C59" s="115" t="s">
        <v>195</v>
      </c>
      <c r="D59" s="215" t="s">
        <v>182</v>
      </c>
      <c r="E59" s="216"/>
      <c r="F59" s="216"/>
      <c r="G59" s="217"/>
    </row>
    <row r="60" spans="2:7" ht="18.75" customHeight="1" x14ac:dyDescent="0.15">
      <c r="B60" s="245"/>
      <c r="C60" s="115" t="s">
        <v>196</v>
      </c>
      <c r="D60" s="215" t="s">
        <v>183</v>
      </c>
      <c r="E60" s="216"/>
      <c r="F60" s="216"/>
      <c r="G60" s="217"/>
    </row>
    <row r="61" spans="2:7" ht="18.75" customHeight="1" x14ac:dyDescent="0.15">
      <c r="B61" s="245"/>
      <c r="C61" s="115" t="s">
        <v>197</v>
      </c>
      <c r="D61" s="215" t="s">
        <v>232</v>
      </c>
      <c r="E61" s="216"/>
      <c r="F61" s="216"/>
      <c r="G61" s="217"/>
    </row>
    <row r="62" spans="2:7" ht="18.75" customHeight="1" x14ac:dyDescent="0.15">
      <c r="B62" s="245"/>
      <c r="C62" s="115" t="s">
        <v>198</v>
      </c>
      <c r="D62" s="215" t="s">
        <v>184</v>
      </c>
      <c r="E62" s="216"/>
      <c r="F62" s="216"/>
      <c r="G62" s="217"/>
    </row>
    <row r="63" spans="2:7" ht="18.75" customHeight="1" x14ac:dyDescent="0.15">
      <c r="B63" s="245"/>
      <c r="C63" s="115" t="s">
        <v>199</v>
      </c>
      <c r="D63" s="215" t="s">
        <v>233</v>
      </c>
      <c r="E63" s="216"/>
      <c r="F63" s="216"/>
      <c r="G63" s="217"/>
    </row>
    <row r="64" spans="2:7" ht="18.75" customHeight="1" x14ac:dyDescent="0.15">
      <c r="B64" s="245"/>
      <c r="C64" s="80"/>
      <c r="D64" s="209"/>
      <c r="E64" s="210"/>
      <c r="F64" s="210"/>
      <c r="G64" s="211"/>
    </row>
    <row r="65" spans="2:7" ht="18.75" customHeight="1" x14ac:dyDescent="0.15">
      <c r="B65" s="245"/>
      <c r="C65" s="80"/>
      <c r="D65" s="209"/>
      <c r="E65" s="210"/>
      <c r="F65" s="210"/>
      <c r="G65" s="211"/>
    </row>
    <row r="66" spans="2:7" ht="18.75" customHeight="1" x14ac:dyDescent="0.15">
      <c r="B66" s="245"/>
      <c r="C66" s="80"/>
      <c r="D66" s="209"/>
      <c r="E66" s="210"/>
      <c r="F66" s="210"/>
      <c r="G66" s="211"/>
    </row>
    <row r="67" spans="2:7" ht="18.75" customHeight="1" x14ac:dyDescent="0.15">
      <c r="B67" s="245"/>
      <c r="C67" s="80"/>
      <c r="D67" s="209"/>
      <c r="E67" s="210"/>
      <c r="F67" s="210"/>
      <c r="G67" s="211"/>
    </row>
    <row r="68" spans="2:7" ht="18.75" customHeight="1" x14ac:dyDescent="0.15">
      <c r="B68" s="245"/>
      <c r="C68" s="80"/>
      <c r="D68" s="209"/>
      <c r="E68" s="210"/>
      <c r="F68" s="210"/>
      <c r="G68" s="211"/>
    </row>
    <row r="69" spans="2:7" ht="18.75" customHeight="1" x14ac:dyDescent="0.15">
      <c r="B69" s="245"/>
      <c r="C69" s="80"/>
      <c r="D69" s="209"/>
      <c r="E69" s="210"/>
      <c r="F69" s="210"/>
      <c r="G69" s="211"/>
    </row>
    <row r="70" spans="2:7" ht="18.75" customHeight="1" x14ac:dyDescent="0.15">
      <c r="B70" s="245"/>
      <c r="C70" s="80"/>
      <c r="D70" s="209"/>
      <c r="E70" s="210"/>
      <c r="F70" s="210"/>
      <c r="G70" s="211"/>
    </row>
    <row r="71" spans="2:7" ht="18.75" customHeight="1" x14ac:dyDescent="0.15">
      <c r="B71" s="245"/>
      <c r="C71" s="80"/>
      <c r="D71" s="209"/>
      <c r="E71" s="210"/>
      <c r="F71" s="210"/>
      <c r="G71" s="211"/>
    </row>
    <row r="72" spans="2:7" ht="18.75" customHeight="1" x14ac:dyDescent="0.15">
      <c r="B72" s="245"/>
      <c r="C72" s="80"/>
      <c r="D72" s="209"/>
      <c r="E72" s="210"/>
      <c r="F72" s="210"/>
      <c r="G72" s="211"/>
    </row>
    <row r="73" spans="2:7" ht="18.75" customHeight="1" x14ac:dyDescent="0.15">
      <c r="B73" s="245"/>
      <c r="C73" s="80"/>
      <c r="D73" s="209"/>
      <c r="E73" s="210"/>
      <c r="F73" s="210"/>
      <c r="G73" s="211"/>
    </row>
    <row r="74" spans="2:7" ht="18.75" customHeight="1" x14ac:dyDescent="0.15">
      <c r="B74" s="245"/>
      <c r="C74" s="71"/>
      <c r="D74" s="209"/>
      <c r="E74" s="210"/>
      <c r="F74" s="210"/>
      <c r="G74" s="211"/>
    </row>
    <row r="75" spans="2:7" ht="18.75" customHeight="1" x14ac:dyDescent="0.15">
      <c r="B75" s="246"/>
      <c r="C75" s="71"/>
      <c r="D75" s="209"/>
      <c r="E75" s="210"/>
      <c r="F75" s="210"/>
      <c r="G75" s="211"/>
    </row>
    <row r="76" spans="2:7" ht="18.75" customHeight="1" x14ac:dyDescent="0.15">
      <c r="B76" s="244" t="s">
        <v>113</v>
      </c>
      <c r="C76" s="219" t="s">
        <v>108</v>
      </c>
      <c r="D76" s="220"/>
      <c r="E76" s="220"/>
      <c r="F76" s="220"/>
      <c r="G76" s="221"/>
    </row>
    <row r="77" spans="2:7" ht="37.5" customHeight="1" x14ac:dyDescent="0.15">
      <c r="B77" s="245"/>
      <c r="C77" s="256" t="s">
        <v>201</v>
      </c>
      <c r="D77" s="257"/>
      <c r="E77" s="257"/>
      <c r="F77" s="257"/>
      <c r="G77" s="258"/>
    </row>
    <row r="78" spans="2:7" ht="37.5" customHeight="1" x14ac:dyDescent="0.15">
      <c r="B78" s="245"/>
      <c r="C78" s="259"/>
      <c r="D78" s="260"/>
      <c r="E78" s="260"/>
      <c r="F78" s="260"/>
      <c r="G78" s="261"/>
    </row>
    <row r="79" spans="2:7" ht="37.5" customHeight="1" x14ac:dyDescent="0.15">
      <c r="B79" s="245"/>
      <c r="C79" s="259"/>
      <c r="D79" s="260"/>
      <c r="E79" s="260"/>
      <c r="F79" s="260"/>
      <c r="G79" s="261"/>
    </row>
    <row r="80" spans="2:7" ht="37.5" customHeight="1" x14ac:dyDescent="0.15">
      <c r="B80" s="245"/>
      <c r="C80" s="259"/>
      <c r="D80" s="260"/>
      <c r="E80" s="260"/>
      <c r="F80" s="260"/>
      <c r="G80" s="261"/>
    </row>
    <row r="81" spans="2:7" ht="37.5" customHeight="1" x14ac:dyDescent="0.15">
      <c r="B81" s="245"/>
      <c r="C81" s="262"/>
      <c r="D81" s="263"/>
      <c r="E81" s="263"/>
      <c r="F81" s="263"/>
      <c r="G81" s="264"/>
    </row>
    <row r="82" spans="2:7" ht="18.75" customHeight="1" x14ac:dyDescent="0.15">
      <c r="B82" s="245"/>
      <c r="C82" s="69" t="s">
        <v>109</v>
      </c>
      <c r="D82" s="219" t="s">
        <v>110</v>
      </c>
      <c r="E82" s="220"/>
      <c r="F82" s="220"/>
      <c r="G82" s="221"/>
    </row>
    <row r="83" spans="2:7" ht="18.75" customHeight="1" x14ac:dyDescent="0.15">
      <c r="B83" s="245"/>
      <c r="C83" s="114" t="s">
        <v>202</v>
      </c>
      <c r="D83" s="212" t="s">
        <v>185</v>
      </c>
      <c r="E83" s="213"/>
      <c r="F83" s="213"/>
      <c r="G83" s="214"/>
    </row>
    <row r="84" spans="2:7" ht="18.75" customHeight="1" x14ac:dyDescent="0.15">
      <c r="B84" s="245"/>
      <c r="C84" s="114" t="s">
        <v>203</v>
      </c>
      <c r="D84" s="212" t="s">
        <v>186</v>
      </c>
      <c r="E84" s="213"/>
      <c r="F84" s="213"/>
      <c r="G84" s="214"/>
    </row>
    <row r="85" spans="2:7" ht="18.75" customHeight="1" x14ac:dyDescent="0.15">
      <c r="B85" s="245"/>
      <c r="C85" s="114" t="s">
        <v>204</v>
      </c>
      <c r="D85" s="212" t="s">
        <v>187</v>
      </c>
      <c r="E85" s="213"/>
      <c r="F85" s="213"/>
      <c r="G85" s="214"/>
    </row>
    <row r="86" spans="2:7" ht="18.75" customHeight="1" x14ac:dyDescent="0.15">
      <c r="B86" s="245"/>
      <c r="C86" s="80"/>
      <c r="D86" s="209"/>
      <c r="E86" s="210"/>
      <c r="F86" s="210"/>
      <c r="G86" s="211"/>
    </row>
    <row r="87" spans="2:7" ht="18.75" customHeight="1" x14ac:dyDescent="0.15">
      <c r="B87" s="245"/>
      <c r="C87" s="80"/>
      <c r="D87" s="209"/>
      <c r="E87" s="210"/>
      <c r="F87" s="210"/>
      <c r="G87" s="211"/>
    </row>
    <row r="88" spans="2:7" ht="18.75" customHeight="1" x14ac:dyDescent="0.15">
      <c r="B88" s="245"/>
      <c r="C88" s="80"/>
      <c r="D88" s="209"/>
      <c r="E88" s="210"/>
      <c r="F88" s="210"/>
      <c r="G88" s="211"/>
    </row>
    <row r="89" spans="2:7" ht="18.75" customHeight="1" x14ac:dyDescent="0.15">
      <c r="B89" s="245"/>
      <c r="C89" s="80"/>
      <c r="D89" s="209"/>
      <c r="E89" s="210"/>
      <c r="F89" s="210"/>
      <c r="G89" s="211"/>
    </row>
    <row r="90" spans="2:7" ht="18.75" customHeight="1" x14ac:dyDescent="0.15">
      <c r="B90" s="245"/>
      <c r="C90" s="80"/>
      <c r="D90" s="209"/>
      <c r="E90" s="210"/>
      <c r="F90" s="210"/>
      <c r="G90" s="211"/>
    </row>
    <row r="91" spans="2:7" ht="18.75" customHeight="1" x14ac:dyDescent="0.15">
      <c r="B91" s="245"/>
      <c r="C91" s="80"/>
      <c r="D91" s="209"/>
      <c r="E91" s="210"/>
      <c r="F91" s="210"/>
      <c r="G91" s="211"/>
    </row>
    <row r="92" spans="2:7" ht="18.75" customHeight="1" x14ac:dyDescent="0.15">
      <c r="B92" s="245"/>
      <c r="C92" s="80"/>
      <c r="D92" s="209"/>
      <c r="E92" s="210"/>
      <c r="F92" s="210"/>
      <c r="G92" s="211"/>
    </row>
    <row r="93" spans="2:7" ht="18.75" customHeight="1" x14ac:dyDescent="0.15">
      <c r="B93" s="245"/>
      <c r="C93" s="80"/>
      <c r="D93" s="209"/>
      <c r="E93" s="210"/>
      <c r="F93" s="210"/>
      <c r="G93" s="211"/>
    </row>
    <row r="94" spans="2:7" ht="18.75" customHeight="1" x14ac:dyDescent="0.15">
      <c r="B94" s="245"/>
      <c r="C94" s="80"/>
      <c r="D94" s="209"/>
      <c r="E94" s="210"/>
      <c r="F94" s="210"/>
      <c r="G94" s="211"/>
    </row>
    <row r="95" spans="2:7" ht="18.75" customHeight="1" x14ac:dyDescent="0.15">
      <c r="B95" s="245"/>
      <c r="C95" s="80"/>
      <c r="D95" s="209"/>
      <c r="E95" s="210"/>
      <c r="F95" s="210"/>
      <c r="G95" s="211"/>
    </row>
    <row r="96" spans="2:7" ht="18.75" customHeight="1" x14ac:dyDescent="0.15">
      <c r="B96" s="245"/>
      <c r="C96" s="80"/>
      <c r="D96" s="209"/>
      <c r="E96" s="210"/>
      <c r="F96" s="210"/>
      <c r="G96" s="211"/>
    </row>
    <row r="97" spans="2:7" ht="18.75" customHeight="1" x14ac:dyDescent="0.15">
      <c r="B97" s="245"/>
      <c r="C97" s="80"/>
      <c r="D97" s="209"/>
      <c r="E97" s="210"/>
      <c r="F97" s="210"/>
      <c r="G97" s="211"/>
    </row>
    <row r="98" spans="2:7" ht="18.75" customHeight="1" x14ac:dyDescent="0.15">
      <c r="B98" s="245"/>
      <c r="C98" s="80"/>
      <c r="D98" s="209"/>
      <c r="E98" s="210"/>
      <c r="F98" s="210"/>
      <c r="G98" s="211"/>
    </row>
    <row r="99" spans="2:7" ht="18.75" customHeight="1" x14ac:dyDescent="0.15">
      <c r="B99" s="245"/>
      <c r="C99" s="80"/>
      <c r="D99" s="209"/>
      <c r="E99" s="210"/>
      <c r="F99" s="210"/>
      <c r="G99" s="211"/>
    </row>
    <row r="100" spans="2:7" ht="18.75" customHeight="1" x14ac:dyDescent="0.15">
      <c r="B100" s="246"/>
      <c r="C100" s="71"/>
      <c r="D100" s="209"/>
      <c r="E100" s="210"/>
      <c r="F100" s="210"/>
      <c r="G100" s="211"/>
    </row>
    <row r="101" spans="2:7" ht="18.75" customHeight="1" x14ac:dyDescent="0.15">
      <c r="B101" s="244" t="s">
        <v>115</v>
      </c>
      <c r="C101" s="219" t="s">
        <v>108</v>
      </c>
      <c r="D101" s="220"/>
      <c r="E101" s="220"/>
      <c r="F101" s="220"/>
      <c r="G101" s="221"/>
    </row>
    <row r="102" spans="2:7" ht="37.5" customHeight="1" x14ac:dyDescent="0.15">
      <c r="B102" s="245"/>
      <c r="C102" s="256" t="s">
        <v>205</v>
      </c>
      <c r="D102" s="257"/>
      <c r="E102" s="257"/>
      <c r="F102" s="257"/>
      <c r="G102" s="258"/>
    </row>
    <row r="103" spans="2:7" ht="37.5" customHeight="1" x14ac:dyDescent="0.15">
      <c r="B103" s="245"/>
      <c r="C103" s="259"/>
      <c r="D103" s="260"/>
      <c r="E103" s="260"/>
      <c r="F103" s="260"/>
      <c r="G103" s="261"/>
    </row>
    <row r="104" spans="2:7" ht="37.5" customHeight="1" x14ac:dyDescent="0.15">
      <c r="B104" s="245"/>
      <c r="C104" s="259"/>
      <c r="D104" s="260"/>
      <c r="E104" s="260"/>
      <c r="F104" s="260"/>
      <c r="G104" s="261"/>
    </row>
    <row r="105" spans="2:7" ht="37.5" customHeight="1" x14ac:dyDescent="0.15">
      <c r="B105" s="245"/>
      <c r="C105" s="259"/>
      <c r="D105" s="260"/>
      <c r="E105" s="260"/>
      <c r="F105" s="260"/>
      <c r="G105" s="261"/>
    </row>
    <row r="106" spans="2:7" ht="37.5" customHeight="1" x14ac:dyDescent="0.15">
      <c r="B106" s="245"/>
      <c r="C106" s="262"/>
      <c r="D106" s="263"/>
      <c r="E106" s="263"/>
      <c r="F106" s="263"/>
      <c r="G106" s="264"/>
    </row>
    <row r="107" spans="2:7" ht="18.75" customHeight="1" x14ac:dyDescent="0.15">
      <c r="B107" s="245"/>
      <c r="C107" s="69" t="s">
        <v>109</v>
      </c>
      <c r="D107" s="219" t="s">
        <v>110</v>
      </c>
      <c r="E107" s="220"/>
      <c r="F107" s="220"/>
      <c r="G107" s="221"/>
    </row>
    <row r="108" spans="2:7" ht="18.75" customHeight="1" x14ac:dyDescent="0.15">
      <c r="B108" s="245"/>
      <c r="C108" s="116" t="s">
        <v>202</v>
      </c>
      <c r="D108" s="212" t="s">
        <v>188</v>
      </c>
      <c r="E108" s="213"/>
      <c r="F108" s="213"/>
      <c r="G108" s="214"/>
    </row>
    <row r="109" spans="2:7" ht="18.75" customHeight="1" x14ac:dyDescent="0.15">
      <c r="B109" s="245"/>
      <c r="C109" s="116" t="s">
        <v>203</v>
      </c>
      <c r="D109" s="212" t="s">
        <v>234</v>
      </c>
      <c r="E109" s="213"/>
      <c r="F109" s="213"/>
      <c r="G109" s="214"/>
    </row>
    <row r="110" spans="2:7" ht="18.75" customHeight="1" x14ac:dyDescent="0.15">
      <c r="B110" s="245"/>
      <c r="C110" s="116" t="s">
        <v>204</v>
      </c>
      <c r="D110" s="212" t="s">
        <v>189</v>
      </c>
      <c r="E110" s="213"/>
      <c r="F110" s="213"/>
      <c r="G110" s="214"/>
    </row>
    <row r="111" spans="2:7" ht="18.75" customHeight="1" x14ac:dyDescent="0.15">
      <c r="B111" s="245"/>
      <c r="C111" s="80"/>
      <c r="D111" s="209"/>
      <c r="E111" s="210"/>
      <c r="F111" s="210"/>
      <c r="G111" s="211"/>
    </row>
    <row r="112" spans="2:7" ht="18.75" customHeight="1" x14ac:dyDescent="0.15">
      <c r="B112" s="245"/>
      <c r="C112" s="80"/>
      <c r="D112" s="209"/>
      <c r="E112" s="210"/>
      <c r="F112" s="210"/>
      <c r="G112" s="211"/>
    </row>
    <row r="113" spans="1:7" ht="18.75" customHeight="1" x14ac:dyDescent="0.15">
      <c r="B113" s="245"/>
      <c r="C113" s="80"/>
      <c r="D113" s="209"/>
      <c r="E113" s="210"/>
      <c r="F113" s="210"/>
      <c r="G113" s="211"/>
    </row>
    <row r="114" spans="1:7" ht="18.75" customHeight="1" x14ac:dyDescent="0.15">
      <c r="B114" s="245"/>
      <c r="C114" s="80"/>
      <c r="D114" s="209"/>
      <c r="E114" s="210"/>
      <c r="F114" s="210"/>
      <c r="G114" s="211"/>
    </row>
    <row r="115" spans="1:7" ht="18.75" customHeight="1" x14ac:dyDescent="0.15">
      <c r="B115" s="245"/>
      <c r="C115" s="80"/>
      <c r="D115" s="209"/>
      <c r="E115" s="210"/>
      <c r="F115" s="210"/>
      <c r="G115" s="211"/>
    </row>
    <row r="116" spans="1:7" ht="18.75" customHeight="1" x14ac:dyDescent="0.15">
      <c r="B116" s="245"/>
      <c r="C116" s="80"/>
      <c r="D116" s="209"/>
      <c r="E116" s="210"/>
      <c r="F116" s="210"/>
      <c r="G116" s="211"/>
    </row>
    <row r="117" spans="1:7" ht="18.75" customHeight="1" x14ac:dyDescent="0.15">
      <c r="B117" s="245"/>
      <c r="C117" s="80"/>
      <c r="D117" s="209"/>
      <c r="E117" s="210"/>
      <c r="F117" s="210"/>
      <c r="G117" s="211"/>
    </row>
    <row r="118" spans="1:7" ht="18.75" customHeight="1" x14ac:dyDescent="0.15">
      <c r="B118" s="245"/>
      <c r="C118" s="80"/>
      <c r="D118" s="209"/>
      <c r="E118" s="210"/>
      <c r="F118" s="210"/>
      <c r="G118" s="211"/>
    </row>
    <row r="119" spans="1:7" ht="18.75" customHeight="1" x14ac:dyDescent="0.15">
      <c r="B119" s="245"/>
      <c r="C119" s="80"/>
      <c r="D119" s="209"/>
      <c r="E119" s="210"/>
      <c r="F119" s="210"/>
      <c r="G119" s="211"/>
    </row>
    <row r="120" spans="1:7" ht="18.75" customHeight="1" x14ac:dyDescent="0.15">
      <c r="B120" s="245"/>
      <c r="C120" s="80"/>
      <c r="D120" s="209"/>
      <c r="E120" s="210"/>
      <c r="F120" s="210"/>
      <c r="G120" s="211"/>
    </row>
    <row r="121" spans="1:7" ht="18.75" customHeight="1" x14ac:dyDescent="0.15">
      <c r="B121" s="245"/>
      <c r="C121" s="80"/>
      <c r="D121" s="209"/>
      <c r="E121" s="210"/>
      <c r="F121" s="210"/>
      <c r="G121" s="211"/>
    </row>
    <row r="122" spans="1:7" ht="18.75" customHeight="1" x14ac:dyDescent="0.15">
      <c r="B122" s="245"/>
      <c r="C122" s="80"/>
      <c r="D122" s="209"/>
      <c r="E122" s="210"/>
      <c r="F122" s="210"/>
      <c r="G122" s="211"/>
    </row>
    <row r="123" spans="1:7" ht="18.75" customHeight="1" x14ac:dyDescent="0.15">
      <c r="B123" s="245"/>
      <c r="C123" s="80"/>
      <c r="D123" s="209"/>
      <c r="E123" s="210"/>
      <c r="F123" s="210"/>
      <c r="G123" s="211"/>
    </row>
    <row r="124" spans="1:7" ht="18.75" customHeight="1" x14ac:dyDescent="0.15">
      <c r="B124" s="245"/>
      <c r="C124" s="80"/>
      <c r="D124" s="209"/>
      <c r="E124" s="210"/>
      <c r="F124" s="210"/>
      <c r="G124" s="211"/>
    </row>
    <row r="125" spans="1:7" ht="18.75" customHeight="1" x14ac:dyDescent="0.15">
      <c r="B125" s="246"/>
      <c r="C125" s="71"/>
      <c r="D125" s="209"/>
      <c r="E125" s="210"/>
      <c r="F125" s="210"/>
      <c r="G125" s="211"/>
    </row>
    <row r="126" spans="1:7" ht="18.75" customHeight="1" x14ac:dyDescent="0.15">
      <c r="A126" s="1" t="s">
        <v>12</v>
      </c>
      <c r="B126" s="1" t="s">
        <v>106</v>
      </c>
    </row>
    <row r="127" spans="1:7" ht="22.5" customHeight="1" x14ac:dyDescent="0.15">
      <c r="B127" s="71" t="s">
        <v>74</v>
      </c>
      <c r="C127" s="219" t="s">
        <v>105</v>
      </c>
      <c r="D127" s="220"/>
      <c r="E127" s="220"/>
      <c r="F127" s="220"/>
      <c r="G127" s="221"/>
    </row>
    <row r="128" spans="1:7" ht="45" customHeight="1" x14ac:dyDescent="0.15">
      <c r="B128" s="72" t="s">
        <v>76</v>
      </c>
      <c r="C128" s="241"/>
      <c r="D128" s="242"/>
      <c r="E128" s="242"/>
      <c r="F128" s="242"/>
      <c r="G128" s="243"/>
    </row>
    <row r="129" spans="1:7" ht="45" customHeight="1" x14ac:dyDescent="0.15">
      <c r="B129" s="72" t="s">
        <v>77</v>
      </c>
      <c r="C129" s="241"/>
      <c r="D129" s="242"/>
      <c r="E129" s="242"/>
      <c r="F129" s="242"/>
      <c r="G129" s="243"/>
    </row>
    <row r="130" spans="1:7" ht="45" customHeight="1" x14ac:dyDescent="0.15">
      <c r="B130" s="72" t="s">
        <v>78</v>
      </c>
      <c r="C130" s="241"/>
      <c r="D130" s="242"/>
      <c r="E130" s="242"/>
      <c r="F130" s="242"/>
      <c r="G130" s="243"/>
    </row>
    <row r="131" spans="1:7" ht="45" customHeight="1" x14ac:dyDescent="0.15">
      <c r="B131" s="72" t="s">
        <v>79</v>
      </c>
      <c r="C131" s="241"/>
      <c r="D131" s="242"/>
      <c r="E131" s="242"/>
      <c r="F131" s="242"/>
      <c r="G131" s="243"/>
    </row>
    <row r="132" spans="1:7" ht="45" customHeight="1" x14ac:dyDescent="0.15">
      <c r="B132" s="72" t="s">
        <v>80</v>
      </c>
      <c r="C132" s="241"/>
      <c r="D132" s="242"/>
      <c r="E132" s="242"/>
      <c r="F132" s="242"/>
      <c r="G132" s="243"/>
    </row>
    <row r="133" spans="1:7" ht="45" customHeight="1" x14ac:dyDescent="0.15">
      <c r="B133" s="72" t="s">
        <v>81</v>
      </c>
      <c r="C133" s="241"/>
      <c r="D133" s="242"/>
      <c r="E133" s="242"/>
      <c r="F133" s="242"/>
      <c r="G133" s="243"/>
    </row>
    <row r="134" spans="1:7" ht="45" customHeight="1" x14ac:dyDescent="0.15">
      <c r="B134" s="72" t="s">
        <v>82</v>
      </c>
      <c r="C134" s="241"/>
      <c r="D134" s="242"/>
      <c r="E134" s="242"/>
      <c r="F134" s="242"/>
      <c r="G134" s="243"/>
    </row>
    <row r="135" spans="1:7" ht="45" customHeight="1" x14ac:dyDescent="0.15">
      <c r="B135" s="72" t="s">
        <v>83</v>
      </c>
      <c r="C135" s="241"/>
      <c r="D135" s="242"/>
      <c r="E135" s="242"/>
      <c r="F135" s="242"/>
      <c r="G135" s="243"/>
    </row>
    <row r="136" spans="1:7" ht="45" customHeight="1" x14ac:dyDescent="0.15">
      <c r="B136" s="72" t="s">
        <v>84</v>
      </c>
      <c r="C136" s="241"/>
      <c r="D136" s="242"/>
      <c r="E136" s="242"/>
      <c r="F136" s="242"/>
      <c r="G136" s="243"/>
    </row>
    <row r="137" spans="1:7" ht="7.5" customHeight="1" x14ac:dyDescent="0.15"/>
    <row r="138" spans="1:7" ht="18.75" customHeight="1" x14ac:dyDescent="0.15">
      <c r="A138" s="1" t="s">
        <v>99</v>
      </c>
      <c r="B138" s="1" t="s">
        <v>100</v>
      </c>
      <c r="E138" s="240" t="s">
        <v>191</v>
      </c>
      <c r="F138" s="153"/>
      <c r="G138" s="166"/>
    </row>
    <row r="139" spans="1:7" ht="7.5" customHeight="1" x14ac:dyDescent="0.15"/>
    <row r="140" spans="1:7" ht="18.75" customHeight="1" x14ac:dyDescent="0.15">
      <c r="A140" s="1" t="s">
        <v>101</v>
      </c>
      <c r="B140" s="1" t="s">
        <v>102</v>
      </c>
    </row>
    <row r="141" spans="1:7" ht="18.75" customHeight="1" x14ac:dyDescent="0.15">
      <c r="B141" s="231" t="s">
        <v>216</v>
      </c>
      <c r="C141" s="232"/>
      <c r="D141" s="232"/>
      <c r="E141" s="232"/>
      <c r="F141" s="232"/>
      <c r="G141" s="233"/>
    </row>
    <row r="142" spans="1:7" ht="18.75" customHeight="1" x14ac:dyDescent="0.15">
      <c r="B142" s="234"/>
      <c r="C142" s="235"/>
      <c r="D142" s="235"/>
      <c r="E142" s="235"/>
      <c r="F142" s="235"/>
      <c r="G142" s="236"/>
    </row>
    <row r="143" spans="1:7" ht="18.75" customHeight="1" x14ac:dyDescent="0.15">
      <c r="B143" s="234"/>
      <c r="C143" s="235"/>
      <c r="D143" s="235"/>
      <c r="E143" s="235"/>
      <c r="F143" s="235"/>
      <c r="G143" s="236"/>
    </row>
    <row r="144" spans="1:7" ht="18.75" customHeight="1" x14ac:dyDescent="0.15">
      <c r="B144" s="237"/>
      <c r="C144" s="238"/>
      <c r="D144" s="238"/>
      <c r="E144" s="238"/>
      <c r="F144" s="238"/>
      <c r="G144" s="239"/>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zoomScaleNormal="100" workbookViewId="0">
      <selection activeCell="G25" sqref="G25"/>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53" t="s">
        <v>107</v>
      </c>
    </row>
    <row r="2" spans="1:5" ht="18.75" customHeight="1" x14ac:dyDescent="0.15">
      <c r="B2" s="53" t="s">
        <v>88</v>
      </c>
      <c r="C2" s="53" t="s">
        <v>8</v>
      </c>
      <c r="D2" s="278" t="s">
        <v>172</v>
      </c>
      <c r="E2" s="278"/>
    </row>
    <row r="3" spans="1:5" ht="7.5" customHeight="1" x14ac:dyDescent="0.15">
      <c r="B3" s="53"/>
      <c r="C3" s="53"/>
      <c r="D3" s="54"/>
      <c r="E3" s="54"/>
    </row>
    <row r="4" spans="1:5" ht="18.75" customHeight="1" x14ac:dyDescent="0.15">
      <c r="B4" s="193" t="s">
        <v>85</v>
      </c>
      <c r="C4" s="193"/>
      <c r="D4" s="193"/>
      <c r="E4" s="193"/>
    </row>
    <row r="5" spans="1:5" ht="7.5" customHeight="1" x14ac:dyDescent="0.15">
      <c r="B5" s="55"/>
      <c r="C5" s="55"/>
      <c r="D5" s="55"/>
      <c r="E5" s="55"/>
    </row>
    <row r="6" spans="1:5" ht="18.75" customHeight="1" x14ac:dyDescent="0.15">
      <c r="A6" s="15" t="s">
        <v>7</v>
      </c>
      <c r="B6" s="5" t="s">
        <v>98</v>
      </c>
      <c r="C6" s="61"/>
      <c r="D6" s="61"/>
      <c r="E6" s="61"/>
    </row>
    <row r="7" spans="1:5" ht="18.75" customHeight="1" x14ac:dyDescent="0.15">
      <c r="A7" s="15"/>
      <c r="B7" s="152" t="s">
        <v>170</v>
      </c>
      <c r="C7" s="153"/>
      <c r="D7" s="153"/>
      <c r="E7" s="166"/>
    </row>
    <row r="8" spans="1:5" ht="7.5" customHeight="1" x14ac:dyDescent="0.15">
      <c r="B8" s="61"/>
      <c r="C8" s="61"/>
      <c r="D8" s="61"/>
      <c r="E8" s="61"/>
    </row>
    <row r="9" spans="1:5" s="5" customFormat="1" ht="18.75" customHeight="1" x14ac:dyDescent="0.15">
      <c r="A9" s="15" t="s">
        <v>12</v>
      </c>
      <c r="B9" s="15" t="s">
        <v>46</v>
      </c>
      <c r="C9" s="15"/>
      <c r="D9" s="15"/>
      <c r="E9" s="15"/>
    </row>
    <row r="10" spans="1:5" s="10" customFormat="1" ht="18.75" customHeight="1" x14ac:dyDescent="0.15">
      <c r="A10" s="9"/>
      <c r="B10" s="279" t="s">
        <v>207</v>
      </c>
      <c r="C10" s="269"/>
      <c r="D10" s="269"/>
      <c r="E10" s="270"/>
    </row>
    <row r="11" spans="1:5" s="10" customFormat="1" ht="18.75" customHeight="1" x14ac:dyDescent="0.15">
      <c r="A11" s="9"/>
      <c r="B11" s="271"/>
      <c r="C11" s="272"/>
      <c r="D11" s="272"/>
      <c r="E11" s="273"/>
    </row>
    <row r="12" spans="1:5" s="10" customFormat="1" ht="18.75" customHeight="1" x14ac:dyDescent="0.15">
      <c r="A12" s="9"/>
      <c r="B12" s="271"/>
      <c r="C12" s="272"/>
      <c r="D12" s="272"/>
      <c r="E12" s="273"/>
    </row>
    <row r="13" spans="1:5" s="10" customFormat="1" ht="18.75" customHeight="1" x14ac:dyDescent="0.15">
      <c r="A13" s="9"/>
      <c r="B13" s="271"/>
      <c r="C13" s="272"/>
      <c r="D13" s="272"/>
      <c r="E13" s="273"/>
    </row>
    <row r="14" spans="1:5" s="10" customFormat="1" ht="18.75" customHeight="1" x14ac:dyDescent="0.15">
      <c r="A14" s="9"/>
      <c r="B14" s="274"/>
      <c r="C14" s="275"/>
      <c r="D14" s="275"/>
      <c r="E14" s="276"/>
    </row>
    <row r="15" spans="1:5" s="10" customFormat="1" ht="7.5" customHeight="1" x14ac:dyDescent="0.15">
      <c r="A15" s="9"/>
      <c r="B15" s="9"/>
      <c r="C15" s="9"/>
      <c r="D15" s="9"/>
      <c r="E15" s="9"/>
    </row>
    <row r="16" spans="1:5" s="5" customFormat="1" ht="18.75" customHeight="1" x14ac:dyDescent="0.15">
      <c r="A16" s="11" t="s">
        <v>13</v>
      </c>
      <c r="B16" s="11" t="s">
        <v>19</v>
      </c>
      <c r="C16" s="11"/>
      <c r="D16" s="11"/>
      <c r="E16" s="11"/>
    </row>
    <row r="17" spans="1:5" s="10" customFormat="1" ht="18.75" customHeight="1" x14ac:dyDescent="0.15">
      <c r="A17" s="9"/>
      <c r="B17" s="279" t="s">
        <v>213</v>
      </c>
      <c r="C17" s="269"/>
      <c r="D17" s="269"/>
      <c r="E17" s="270"/>
    </row>
    <row r="18" spans="1:5" s="10" customFormat="1" ht="18.75" customHeight="1" x14ac:dyDescent="0.15">
      <c r="A18" s="9"/>
      <c r="B18" s="271"/>
      <c r="C18" s="272"/>
      <c r="D18" s="272"/>
      <c r="E18" s="273"/>
    </row>
    <row r="19" spans="1:5" s="10" customFormat="1" ht="18.75" customHeight="1" x14ac:dyDescent="0.15">
      <c r="A19" s="9"/>
      <c r="B19" s="271"/>
      <c r="C19" s="272"/>
      <c r="D19" s="272"/>
      <c r="E19" s="273"/>
    </row>
    <row r="20" spans="1:5" s="10" customFormat="1" ht="18.75" customHeight="1" x14ac:dyDescent="0.15">
      <c r="A20" s="9"/>
      <c r="B20" s="271"/>
      <c r="C20" s="272"/>
      <c r="D20" s="272"/>
      <c r="E20" s="273"/>
    </row>
    <row r="21" spans="1:5" s="10" customFormat="1" ht="18.75" customHeight="1" x14ac:dyDescent="0.15">
      <c r="A21" s="9"/>
      <c r="B21" s="271"/>
      <c r="C21" s="272"/>
      <c r="D21" s="272"/>
      <c r="E21" s="273"/>
    </row>
    <row r="22" spans="1:5" s="10" customFormat="1" ht="18.75" customHeight="1" x14ac:dyDescent="0.15">
      <c r="A22" s="9"/>
      <c r="B22" s="271"/>
      <c r="C22" s="272"/>
      <c r="D22" s="272"/>
      <c r="E22" s="273"/>
    </row>
    <row r="23" spans="1:5" s="10" customFormat="1" ht="18.75" customHeight="1" x14ac:dyDescent="0.15">
      <c r="A23" s="9"/>
      <c r="B23" s="271"/>
      <c r="C23" s="272"/>
      <c r="D23" s="272"/>
      <c r="E23" s="273"/>
    </row>
    <row r="24" spans="1:5" s="10" customFormat="1" ht="18.75" customHeight="1" x14ac:dyDescent="0.15">
      <c r="A24" s="9"/>
      <c r="B24" s="271"/>
      <c r="C24" s="272"/>
      <c r="D24" s="272"/>
      <c r="E24" s="273"/>
    </row>
    <row r="25" spans="1:5" s="10" customFormat="1" ht="18.75" customHeight="1" x14ac:dyDescent="0.15">
      <c r="A25" s="9"/>
      <c r="B25" s="271"/>
      <c r="C25" s="272"/>
      <c r="D25" s="272"/>
      <c r="E25" s="273"/>
    </row>
    <row r="26" spans="1:5" s="10" customFormat="1" ht="18.75" customHeight="1" x14ac:dyDescent="0.15">
      <c r="A26" s="9"/>
      <c r="B26" s="271"/>
      <c r="C26" s="272"/>
      <c r="D26" s="272"/>
      <c r="E26" s="273"/>
    </row>
    <row r="27" spans="1:5" s="10" customFormat="1" ht="18.75" customHeight="1" x14ac:dyDescent="0.15">
      <c r="A27" s="9"/>
      <c r="B27" s="271"/>
      <c r="C27" s="272"/>
      <c r="D27" s="272"/>
      <c r="E27" s="273"/>
    </row>
    <row r="28" spans="1:5" s="10" customFormat="1" ht="18.75" customHeight="1" x14ac:dyDescent="0.15">
      <c r="A28" s="9"/>
      <c r="B28" s="274"/>
      <c r="C28" s="275"/>
      <c r="D28" s="275"/>
      <c r="E28" s="276"/>
    </row>
    <row r="29" spans="1:5" ht="7.5" customHeight="1" x14ac:dyDescent="0.15">
      <c r="A29" s="8"/>
      <c r="B29" s="8"/>
      <c r="C29" s="8"/>
      <c r="D29" s="8"/>
      <c r="E29" s="8"/>
    </row>
    <row r="30" spans="1:5" s="5" customFormat="1" ht="18.75" customHeight="1" x14ac:dyDescent="0.15">
      <c r="A30" s="15" t="s">
        <v>17</v>
      </c>
      <c r="B30" s="15" t="s">
        <v>30</v>
      </c>
      <c r="C30" s="15"/>
      <c r="D30" s="15"/>
      <c r="E30" s="15"/>
    </row>
    <row r="31" spans="1:5" s="5" customFormat="1" ht="18.75" customHeight="1" x14ac:dyDescent="0.15">
      <c r="A31" s="15"/>
      <c r="B31" s="231" t="s">
        <v>226</v>
      </c>
      <c r="C31" s="269"/>
      <c r="D31" s="269"/>
      <c r="E31" s="270"/>
    </row>
    <row r="32" spans="1:5" s="5" customFormat="1" ht="18.75" customHeight="1" x14ac:dyDescent="0.15">
      <c r="A32" s="15"/>
      <c r="B32" s="271"/>
      <c r="C32" s="272"/>
      <c r="D32" s="272"/>
      <c r="E32" s="273"/>
    </row>
    <row r="33" spans="1:5" s="5" customFormat="1" ht="18.75" customHeight="1" x14ac:dyDescent="0.15">
      <c r="A33" s="15"/>
      <c r="B33" s="271"/>
      <c r="C33" s="272"/>
      <c r="D33" s="272"/>
      <c r="E33" s="273"/>
    </row>
    <row r="34" spans="1:5" s="5" customFormat="1" ht="18.75" customHeight="1" x14ac:dyDescent="0.15">
      <c r="A34" s="15"/>
      <c r="B34" s="271"/>
      <c r="C34" s="272"/>
      <c r="D34" s="272"/>
      <c r="E34" s="273"/>
    </row>
    <row r="35" spans="1:5" s="5" customFormat="1" ht="18.75" customHeight="1" x14ac:dyDescent="0.15">
      <c r="A35" s="15"/>
      <c r="B35" s="271"/>
      <c r="C35" s="272"/>
      <c r="D35" s="272"/>
      <c r="E35" s="273"/>
    </row>
    <row r="36" spans="1:5" s="5" customFormat="1" ht="18.75" customHeight="1" x14ac:dyDescent="0.15">
      <c r="A36" s="15"/>
      <c r="B36" s="271"/>
      <c r="C36" s="272"/>
      <c r="D36" s="272"/>
      <c r="E36" s="273"/>
    </row>
    <row r="37" spans="1:5" s="5" customFormat="1" ht="18.75" customHeight="1" x14ac:dyDescent="0.15">
      <c r="A37" s="15"/>
      <c r="B37" s="271"/>
      <c r="C37" s="272"/>
      <c r="D37" s="272"/>
      <c r="E37" s="273"/>
    </row>
    <row r="38" spans="1:5" s="5" customFormat="1" ht="18.75" customHeight="1" x14ac:dyDescent="0.15">
      <c r="A38" s="15"/>
      <c r="B38" s="271"/>
      <c r="C38" s="272"/>
      <c r="D38" s="272"/>
      <c r="E38" s="273"/>
    </row>
    <row r="39" spans="1:5" s="5" customFormat="1" ht="18.75" customHeight="1" x14ac:dyDescent="0.15">
      <c r="A39" s="15"/>
      <c r="B39" s="271"/>
      <c r="C39" s="272"/>
      <c r="D39" s="272"/>
      <c r="E39" s="273"/>
    </row>
    <row r="40" spans="1:5" s="5" customFormat="1" ht="18.75" customHeight="1" x14ac:dyDescent="0.15">
      <c r="A40" s="15"/>
      <c r="B40" s="271"/>
      <c r="C40" s="272"/>
      <c r="D40" s="272"/>
      <c r="E40" s="273"/>
    </row>
    <row r="41" spans="1:5" s="5" customFormat="1" ht="18.75" customHeight="1" x14ac:dyDescent="0.15">
      <c r="A41" s="15"/>
      <c r="B41" s="271"/>
      <c r="C41" s="272"/>
      <c r="D41" s="272"/>
      <c r="E41" s="273"/>
    </row>
    <row r="42" spans="1:5" s="5" customFormat="1" ht="18.75" customHeight="1" x14ac:dyDescent="0.15">
      <c r="A42" s="15"/>
      <c r="B42" s="271"/>
      <c r="C42" s="272"/>
      <c r="D42" s="272"/>
      <c r="E42" s="273"/>
    </row>
    <row r="43" spans="1:5" s="5" customFormat="1" ht="18.75" customHeight="1" x14ac:dyDescent="0.15">
      <c r="A43" s="15"/>
      <c r="B43" s="271"/>
      <c r="C43" s="272"/>
      <c r="D43" s="272"/>
      <c r="E43" s="273"/>
    </row>
    <row r="44" spans="1:5" s="5" customFormat="1" ht="18.75" customHeight="1" x14ac:dyDescent="0.15">
      <c r="A44" s="15"/>
      <c r="B44" s="271"/>
      <c r="C44" s="272"/>
      <c r="D44" s="272"/>
      <c r="E44" s="273"/>
    </row>
    <row r="45" spans="1:5" ht="18.75" customHeight="1" x14ac:dyDescent="0.15">
      <c r="A45" s="8"/>
      <c r="B45" s="271"/>
      <c r="C45" s="272"/>
      <c r="D45" s="272"/>
      <c r="E45" s="273"/>
    </row>
    <row r="46" spans="1:5" ht="18.75" customHeight="1" x14ac:dyDescent="0.15">
      <c r="A46" s="8"/>
      <c r="B46" s="274"/>
      <c r="C46" s="275"/>
      <c r="D46" s="275"/>
      <c r="E46" s="276"/>
    </row>
    <row r="47" spans="1:5" s="5" customFormat="1" ht="18.75" customHeight="1" x14ac:dyDescent="0.15">
      <c r="A47" s="7" t="s">
        <v>14</v>
      </c>
      <c r="B47" s="15" t="s">
        <v>86</v>
      </c>
      <c r="C47" s="7"/>
      <c r="D47" s="7"/>
      <c r="E47" s="7"/>
    </row>
    <row r="48" spans="1:5" ht="18.75" customHeight="1" x14ac:dyDescent="0.15">
      <c r="A48" s="8"/>
      <c r="B48" s="231" t="s">
        <v>192</v>
      </c>
      <c r="C48" s="232"/>
      <c r="D48" s="232"/>
      <c r="E48" s="233"/>
    </row>
    <row r="49" spans="1:5" ht="18.75" customHeight="1" x14ac:dyDescent="0.15">
      <c r="A49" s="8"/>
      <c r="B49" s="234"/>
      <c r="C49" s="235"/>
      <c r="D49" s="235"/>
      <c r="E49" s="236"/>
    </row>
    <row r="50" spans="1:5" ht="18.75" customHeight="1" x14ac:dyDescent="0.15">
      <c r="A50" s="8"/>
      <c r="B50" s="234"/>
      <c r="C50" s="235"/>
      <c r="D50" s="235"/>
      <c r="E50" s="236"/>
    </row>
    <row r="51" spans="1:5" ht="18.75" customHeight="1" x14ac:dyDescent="0.15">
      <c r="A51" s="8"/>
      <c r="B51" s="234"/>
      <c r="C51" s="235"/>
      <c r="D51" s="235"/>
      <c r="E51" s="236"/>
    </row>
    <row r="52" spans="1:5" ht="18.75" customHeight="1" x14ac:dyDescent="0.15">
      <c r="A52" s="8"/>
      <c r="B52" s="234"/>
      <c r="C52" s="235"/>
      <c r="D52" s="235"/>
      <c r="E52" s="236"/>
    </row>
    <row r="53" spans="1:5" ht="18.75" customHeight="1" x14ac:dyDescent="0.15">
      <c r="A53" s="8"/>
      <c r="B53" s="234"/>
      <c r="C53" s="235"/>
      <c r="D53" s="235"/>
      <c r="E53" s="236"/>
    </row>
    <row r="54" spans="1:5" ht="18.75" customHeight="1" x14ac:dyDescent="0.15">
      <c r="A54" s="8"/>
      <c r="B54" s="234"/>
      <c r="C54" s="235"/>
      <c r="D54" s="235"/>
      <c r="E54" s="236"/>
    </row>
    <row r="55" spans="1:5" ht="18.75" customHeight="1" x14ac:dyDescent="0.15">
      <c r="A55" s="8"/>
      <c r="B55" s="234"/>
      <c r="C55" s="235"/>
      <c r="D55" s="235"/>
      <c r="E55" s="236"/>
    </row>
    <row r="56" spans="1:5" ht="18.75" customHeight="1" x14ac:dyDescent="0.15">
      <c r="A56" s="8"/>
      <c r="B56" s="234"/>
      <c r="C56" s="235"/>
      <c r="D56" s="235"/>
      <c r="E56" s="236"/>
    </row>
    <row r="57" spans="1:5" ht="18.75" customHeight="1" x14ac:dyDescent="0.15">
      <c r="A57" s="8"/>
      <c r="B57" s="234"/>
      <c r="C57" s="235"/>
      <c r="D57" s="235"/>
      <c r="E57" s="236"/>
    </row>
    <row r="58" spans="1:5" ht="18.75" customHeight="1" x14ac:dyDescent="0.15">
      <c r="A58" s="8"/>
      <c r="B58" s="234"/>
      <c r="C58" s="235"/>
      <c r="D58" s="235"/>
      <c r="E58" s="236"/>
    </row>
    <row r="59" spans="1:5" ht="18.75" customHeight="1" x14ac:dyDescent="0.15">
      <c r="A59" s="8"/>
      <c r="B59" s="234"/>
      <c r="C59" s="235"/>
      <c r="D59" s="235"/>
      <c r="E59" s="236"/>
    </row>
    <row r="60" spans="1:5" ht="18.75" customHeight="1" x14ac:dyDescent="0.15">
      <c r="A60" s="8"/>
      <c r="B60" s="234"/>
      <c r="C60" s="235"/>
      <c r="D60" s="235"/>
      <c r="E60" s="236"/>
    </row>
    <row r="61" spans="1:5" ht="18.75" customHeight="1" x14ac:dyDescent="0.15">
      <c r="A61" s="8"/>
      <c r="B61" s="234"/>
      <c r="C61" s="235"/>
      <c r="D61" s="235"/>
      <c r="E61" s="236"/>
    </row>
    <row r="62" spans="1:5" ht="18.75" customHeight="1" x14ac:dyDescent="0.15">
      <c r="A62" s="8"/>
      <c r="B62" s="234"/>
      <c r="C62" s="235"/>
      <c r="D62" s="235"/>
      <c r="E62" s="236"/>
    </row>
    <row r="63" spans="1:5" ht="18.75" customHeight="1" x14ac:dyDescent="0.15">
      <c r="A63" s="8"/>
      <c r="B63" s="234"/>
      <c r="C63" s="235"/>
      <c r="D63" s="235"/>
      <c r="E63" s="236"/>
    </row>
    <row r="64" spans="1:5" ht="18.75" customHeight="1" x14ac:dyDescent="0.15">
      <c r="A64" s="8"/>
      <c r="B64" s="234"/>
      <c r="C64" s="235"/>
      <c r="D64" s="235"/>
      <c r="E64" s="236"/>
    </row>
    <row r="65" spans="1:5" ht="18.75" customHeight="1" x14ac:dyDescent="0.15">
      <c r="A65" s="8"/>
      <c r="B65" s="234"/>
      <c r="C65" s="235"/>
      <c r="D65" s="235"/>
      <c r="E65" s="236"/>
    </row>
    <row r="66" spans="1:5" ht="18.75" customHeight="1" x14ac:dyDescent="0.15">
      <c r="A66" s="8"/>
      <c r="B66" s="234"/>
      <c r="C66" s="235"/>
      <c r="D66" s="235"/>
      <c r="E66" s="236"/>
    </row>
    <row r="67" spans="1:5" ht="18.75" customHeight="1" x14ac:dyDescent="0.15">
      <c r="A67" s="8"/>
      <c r="B67" s="234"/>
      <c r="C67" s="235"/>
      <c r="D67" s="235"/>
      <c r="E67" s="236"/>
    </row>
    <row r="68" spans="1:5" ht="18.75" customHeight="1" x14ac:dyDescent="0.15">
      <c r="A68" s="8"/>
      <c r="B68" s="237"/>
      <c r="C68" s="238"/>
      <c r="D68" s="238"/>
      <c r="E68" s="239"/>
    </row>
    <row r="69" spans="1:5" ht="7.5" customHeight="1" x14ac:dyDescent="0.15">
      <c r="A69" s="8"/>
      <c r="B69" s="8"/>
      <c r="C69" s="8"/>
      <c r="D69" s="8"/>
      <c r="E69" s="8"/>
    </row>
    <row r="70" spans="1:5" s="5" customFormat="1" ht="18.75" customHeight="1" x14ac:dyDescent="0.15">
      <c r="A70" s="15" t="s">
        <v>18</v>
      </c>
      <c r="B70" s="15" t="s">
        <v>97</v>
      </c>
      <c r="C70" s="15"/>
      <c r="D70" s="15"/>
      <c r="E70" s="15"/>
    </row>
    <row r="71" spans="1:5" s="5" customFormat="1" ht="18.75" customHeight="1" x14ac:dyDescent="0.15">
      <c r="A71" s="15"/>
      <c r="B71" s="231" t="s">
        <v>215</v>
      </c>
      <c r="C71" s="269"/>
      <c r="D71" s="269"/>
      <c r="E71" s="270"/>
    </row>
    <row r="72" spans="1:5" s="5" customFormat="1" ht="18.75" customHeight="1" x14ac:dyDescent="0.15">
      <c r="A72" s="15"/>
      <c r="B72" s="271"/>
      <c r="C72" s="272"/>
      <c r="D72" s="272"/>
      <c r="E72" s="273"/>
    </row>
    <row r="73" spans="1:5" s="5" customFormat="1" ht="18.75" customHeight="1" x14ac:dyDescent="0.15">
      <c r="A73" s="15"/>
      <c r="B73" s="271"/>
      <c r="C73" s="272"/>
      <c r="D73" s="272"/>
      <c r="E73" s="273"/>
    </row>
    <row r="74" spans="1:5" s="5" customFormat="1" ht="18.75" customHeight="1" x14ac:dyDescent="0.15">
      <c r="A74" s="15"/>
      <c r="B74" s="271"/>
      <c r="C74" s="272"/>
      <c r="D74" s="272"/>
      <c r="E74" s="273"/>
    </row>
    <row r="75" spans="1:5" s="5" customFormat="1" ht="18.75" customHeight="1" x14ac:dyDescent="0.15">
      <c r="A75" s="15"/>
      <c r="B75" s="271"/>
      <c r="C75" s="272"/>
      <c r="D75" s="272"/>
      <c r="E75" s="273"/>
    </row>
    <row r="76" spans="1:5" s="5" customFormat="1" ht="18.75" customHeight="1" x14ac:dyDescent="0.15">
      <c r="A76" s="15"/>
      <c r="B76" s="271"/>
      <c r="C76" s="272"/>
      <c r="D76" s="272"/>
      <c r="E76" s="273"/>
    </row>
    <row r="77" spans="1:5" s="5" customFormat="1" ht="18.75" customHeight="1" x14ac:dyDescent="0.15">
      <c r="A77" s="15"/>
      <c r="B77" s="271"/>
      <c r="C77" s="272"/>
      <c r="D77" s="272"/>
      <c r="E77" s="273"/>
    </row>
    <row r="78" spans="1:5" s="5" customFormat="1" ht="18.75" customHeight="1" x14ac:dyDescent="0.15">
      <c r="A78" s="15"/>
      <c r="B78" s="271"/>
      <c r="C78" s="272"/>
      <c r="D78" s="272"/>
      <c r="E78" s="273"/>
    </row>
    <row r="79" spans="1:5" s="5" customFormat="1" ht="18.75" customHeight="1" x14ac:dyDescent="0.15">
      <c r="A79" s="15"/>
      <c r="B79" s="271"/>
      <c r="C79" s="272"/>
      <c r="D79" s="272"/>
      <c r="E79" s="273"/>
    </row>
    <row r="80" spans="1:5" s="5" customFormat="1" ht="18.75" customHeight="1" x14ac:dyDescent="0.15">
      <c r="A80" s="15"/>
      <c r="B80" s="271"/>
      <c r="C80" s="272"/>
      <c r="D80" s="272"/>
      <c r="E80" s="273"/>
    </row>
    <row r="81" spans="1:5" s="5" customFormat="1" ht="18.75" customHeight="1" x14ac:dyDescent="0.15">
      <c r="A81" s="15"/>
      <c r="B81" s="271"/>
      <c r="C81" s="272"/>
      <c r="D81" s="272"/>
      <c r="E81" s="273"/>
    </row>
    <row r="82" spans="1:5" s="5" customFormat="1" ht="18.75" customHeight="1" x14ac:dyDescent="0.15">
      <c r="A82" s="15"/>
      <c r="B82" s="271"/>
      <c r="C82" s="272"/>
      <c r="D82" s="272"/>
      <c r="E82" s="273"/>
    </row>
    <row r="83" spans="1:5" s="5" customFormat="1" ht="18.75" customHeight="1" x14ac:dyDescent="0.15">
      <c r="A83" s="15"/>
      <c r="B83" s="271"/>
      <c r="C83" s="272"/>
      <c r="D83" s="272"/>
      <c r="E83" s="273"/>
    </row>
    <row r="84" spans="1:5" s="5" customFormat="1" ht="18.75" customHeight="1" x14ac:dyDescent="0.15">
      <c r="A84" s="15"/>
      <c r="B84" s="271"/>
      <c r="C84" s="272"/>
      <c r="D84" s="272"/>
      <c r="E84" s="273"/>
    </row>
    <row r="85" spans="1:5" s="5" customFormat="1" ht="18.75" customHeight="1" x14ac:dyDescent="0.15">
      <c r="A85" s="15"/>
      <c r="B85" s="271"/>
      <c r="C85" s="272"/>
      <c r="D85" s="272"/>
      <c r="E85" s="273"/>
    </row>
    <row r="86" spans="1:5" s="5" customFormat="1" ht="18.75" customHeight="1" x14ac:dyDescent="0.15">
      <c r="A86" s="15"/>
      <c r="B86" s="271"/>
      <c r="C86" s="272"/>
      <c r="D86" s="272"/>
      <c r="E86" s="273"/>
    </row>
    <row r="87" spans="1:5" s="5" customFormat="1" ht="18.75" customHeight="1" x14ac:dyDescent="0.15">
      <c r="A87" s="15"/>
      <c r="B87" s="271"/>
      <c r="C87" s="272"/>
      <c r="D87" s="272"/>
      <c r="E87" s="273"/>
    </row>
    <row r="88" spans="1:5" ht="18.75" customHeight="1" x14ac:dyDescent="0.15">
      <c r="A88" s="8"/>
      <c r="B88" s="271"/>
      <c r="C88" s="272"/>
      <c r="D88" s="272"/>
      <c r="E88" s="273"/>
    </row>
    <row r="89" spans="1:5" ht="18.75" customHeight="1" x14ac:dyDescent="0.15">
      <c r="A89" s="8"/>
      <c r="B89" s="274"/>
      <c r="C89" s="275"/>
      <c r="D89" s="275"/>
      <c r="E89" s="276"/>
    </row>
    <row r="90" spans="1:5" ht="7.5" customHeight="1" x14ac:dyDescent="0.15">
      <c r="A90" s="8"/>
      <c r="B90" s="8"/>
      <c r="C90" s="8"/>
      <c r="D90" s="8"/>
      <c r="E90" s="8"/>
    </row>
    <row r="91" spans="1:5" s="5" customFormat="1" ht="18.75" customHeight="1" x14ac:dyDescent="0.15">
      <c r="A91" s="15" t="s">
        <v>15</v>
      </c>
      <c r="B91" s="15" t="s">
        <v>34</v>
      </c>
      <c r="C91" s="15"/>
      <c r="D91" s="15"/>
      <c r="E91" s="15"/>
    </row>
    <row r="92" spans="1:5" s="5" customFormat="1" ht="18.75" customHeight="1" x14ac:dyDescent="0.15">
      <c r="A92" s="15"/>
      <c r="B92" s="231" t="s">
        <v>224</v>
      </c>
      <c r="C92" s="269"/>
      <c r="D92" s="269"/>
      <c r="E92" s="270"/>
    </row>
    <row r="93" spans="1:5" s="5" customFormat="1" ht="18.75" customHeight="1" x14ac:dyDescent="0.15">
      <c r="A93" s="15"/>
      <c r="B93" s="271"/>
      <c r="C93" s="272"/>
      <c r="D93" s="272"/>
      <c r="E93" s="273"/>
    </row>
    <row r="94" spans="1:5" s="5" customFormat="1" ht="18.75" customHeight="1" x14ac:dyDescent="0.15">
      <c r="A94" s="15"/>
      <c r="B94" s="271"/>
      <c r="C94" s="272"/>
      <c r="D94" s="272"/>
      <c r="E94" s="273"/>
    </row>
    <row r="95" spans="1:5" s="5" customFormat="1" ht="18.75" customHeight="1" x14ac:dyDescent="0.15">
      <c r="A95" s="15"/>
      <c r="B95" s="271"/>
      <c r="C95" s="272"/>
      <c r="D95" s="272"/>
      <c r="E95" s="273"/>
    </row>
    <row r="96" spans="1:5" s="5" customFormat="1" ht="18.75" customHeight="1" x14ac:dyDescent="0.15">
      <c r="A96" s="15"/>
      <c r="B96" s="271"/>
      <c r="C96" s="272"/>
      <c r="D96" s="272"/>
      <c r="E96" s="273"/>
    </row>
    <row r="97" spans="1:5" s="5" customFormat="1" ht="18.75" customHeight="1" x14ac:dyDescent="0.15">
      <c r="A97" s="15"/>
      <c r="B97" s="271"/>
      <c r="C97" s="272"/>
      <c r="D97" s="272"/>
      <c r="E97" s="273"/>
    </row>
    <row r="98" spans="1:5" s="5" customFormat="1" ht="18.75" customHeight="1" x14ac:dyDescent="0.15">
      <c r="A98" s="15"/>
      <c r="B98" s="271"/>
      <c r="C98" s="272"/>
      <c r="D98" s="272"/>
      <c r="E98" s="273"/>
    </row>
    <row r="99" spans="1:5" s="5" customFormat="1" ht="18.75" customHeight="1" x14ac:dyDescent="0.15">
      <c r="A99" s="15"/>
      <c r="B99" s="271"/>
      <c r="C99" s="272"/>
      <c r="D99" s="272"/>
      <c r="E99" s="273"/>
    </row>
    <row r="100" spans="1:5" s="5" customFormat="1" ht="18.75" customHeight="1" x14ac:dyDescent="0.15">
      <c r="A100" s="15"/>
      <c r="B100" s="271"/>
      <c r="C100" s="272"/>
      <c r="D100" s="272"/>
      <c r="E100" s="273"/>
    </row>
    <row r="101" spans="1:5" s="5" customFormat="1" ht="18.75" customHeight="1" x14ac:dyDescent="0.15">
      <c r="A101" s="15"/>
      <c r="B101" s="271"/>
      <c r="C101" s="272"/>
      <c r="D101" s="272"/>
      <c r="E101" s="273"/>
    </row>
    <row r="102" spans="1:5" s="5" customFormat="1" ht="18.75" customHeight="1" x14ac:dyDescent="0.15">
      <c r="A102" s="15"/>
      <c r="B102" s="271"/>
      <c r="C102" s="272"/>
      <c r="D102" s="272"/>
      <c r="E102" s="273"/>
    </row>
    <row r="103" spans="1:5" s="5" customFormat="1" ht="18.75" customHeight="1" x14ac:dyDescent="0.15">
      <c r="A103" s="15"/>
      <c r="B103" s="271"/>
      <c r="C103" s="272"/>
      <c r="D103" s="272"/>
      <c r="E103" s="273"/>
    </row>
    <row r="104" spans="1:5" s="5" customFormat="1" ht="18.75" customHeight="1" x14ac:dyDescent="0.15">
      <c r="A104" s="15"/>
      <c r="B104" s="271"/>
      <c r="C104" s="272"/>
      <c r="D104" s="272"/>
      <c r="E104" s="273"/>
    </row>
    <row r="105" spans="1:5" s="5" customFormat="1" ht="18.75" customHeight="1" x14ac:dyDescent="0.15">
      <c r="A105" s="15"/>
      <c r="B105" s="271"/>
      <c r="C105" s="272"/>
      <c r="D105" s="272"/>
      <c r="E105" s="273"/>
    </row>
    <row r="106" spans="1:5" s="5" customFormat="1" ht="18.75" customHeight="1" x14ac:dyDescent="0.15">
      <c r="A106" s="15"/>
      <c r="B106" s="271"/>
      <c r="C106" s="272"/>
      <c r="D106" s="272"/>
      <c r="E106" s="273"/>
    </row>
    <row r="107" spans="1:5" s="5" customFormat="1" ht="18.75" customHeight="1" x14ac:dyDescent="0.15">
      <c r="A107" s="15"/>
      <c r="B107" s="271"/>
      <c r="C107" s="272"/>
      <c r="D107" s="272"/>
      <c r="E107" s="273"/>
    </row>
    <row r="108" spans="1:5" s="5" customFormat="1" ht="18.75" customHeight="1" x14ac:dyDescent="0.15">
      <c r="A108" s="15"/>
      <c r="B108" s="271"/>
      <c r="C108" s="272"/>
      <c r="D108" s="272"/>
      <c r="E108" s="273"/>
    </row>
    <row r="109" spans="1:5" s="5" customFormat="1" ht="18.75" customHeight="1" x14ac:dyDescent="0.15">
      <c r="A109" s="15"/>
      <c r="B109" s="271"/>
      <c r="C109" s="272"/>
      <c r="D109" s="272"/>
      <c r="E109" s="273"/>
    </row>
    <row r="110" spans="1:5" ht="18.75" customHeight="1" x14ac:dyDescent="0.15">
      <c r="A110" s="8"/>
      <c r="B110" s="271"/>
      <c r="C110" s="272"/>
      <c r="D110" s="272"/>
      <c r="E110" s="273"/>
    </row>
    <row r="111" spans="1:5" ht="18.75" customHeight="1" x14ac:dyDescent="0.15">
      <c r="A111" s="8"/>
      <c r="B111" s="274"/>
      <c r="C111" s="275"/>
      <c r="D111" s="275"/>
      <c r="E111" s="276"/>
    </row>
    <row r="112" spans="1:5" ht="7.5" customHeight="1" x14ac:dyDescent="0.15">
      <c r="A112" s="8"/>
      <c r="B112" s="8"/>
      <c r="C112" s="8"/>
      <c r="D112" s="8"/>
      <c r="E112" s="8"/>
    </row>
    <row r="113" spans="1:5" s="5" customFormat="1" ht="18.75" customHeight="1" x14ac:dyDescent="0.15">
      <c r="A113" s="15" t="s">
        <v>62</v>
      </c>
      <c r="B113" s="277" t="s">
        <v>134</v>
      </c>
      <c r="C113" s="277"/>
      <c r="D113" s="277"/>
      <c r="E113" s="277"/>
    </row>
    <row r="114" spans="1:5" ht="18.75" customHeight="1" x14ac:dyDescent="0.15">
      <c r="A114" s="8"/>
      <c r="B114" s="231" t="s">
        <v>223</v>
      </c>
      <c r="C114" s="269"/>
      <c r="D114" s="269"/>
      <c r="E114" s="270"/>
    </row>
    <row r="115" spans="1:5" ht="18.75" customHeight="1" x14ac:dyDescent="0.15">
      <c r="A115" s="8"/>
      <c r="B115" s="271"/>
      <c r="C115" s="272"/>
      <c r="D115" s="272"/>
      <c r="E115" s="273"/>
    </row>
    <row r="116" spans="1:5" ht="18.75" customHeight="1" x14ac:dyDescent="0.15">
      <c r="A116" s="8"/>
      <c r="B116" s="271"/>
      <c r="C116" s="272"/>
      <c r="D116" s="272"/>
      <c r="E116" s="273"/>
    </row>
    <row r="117" spans="1:5" ht="18.75" customHeight="1" x14ac:dyDescent="0.15">
      <c r="A117" s="8"/>
      <c r="B117" s="271"/>
      <c r="C117" s="272"/>
      <c r="D117" s="272"/>
      <c r="E117" s="273"/>
    </row>
    <row r="118" spans="1:5" ht="18.75" customHeight="1" x14ac:dyDescent="0.15">
      <c r="A118" s="8"/>
      <c r="B118" s="271"/>
      <c r="C118" s="272"/>
      <c r="D118" s="272"/>
      <c r="E118" s="273"/>
    </row>
    <row r="119" spans="1:5" ht="18.75" customHeight="1" x14ac:dyDescent="0.15">
      <c r="A119" s="8"/>
      <c r="B119" s="271"/>
      <c r="C119" s="272"/>
      <c r="D119" s="272"/>
      <c r="E119" s="273"/>
    </row>
    <row r="120" spans="1:5" ht="18.75" customHeight="1" x14ac:dyDescent="0.15">
      <c r="A120" s="8"/>
      <c r="B120" s="271"/>
      <c r="C120" s="272"/>
      <c r="D120" s="272"/>
      <c r="E120" s="273"/>
    </row>
    <row r="121" spans="1:5" ht="18.75" customHeight="1" x14ac:dyDescent="0.15">
      <c r="A121" s="8"/>
      <c r="B121" s="271"/>
      <c r="C121" s="272"/>
      <c r="D121" s="272"/>
      <c r="E121" s="273"/>
    </row>
    <row r="122" spans="1:5" ht="18.75" customHeight="1" x14ac:dyDescent="0.15">
      <c r="A122" s="8"/>
      <c r="B122" s="271"/>
      <c r="C122" s="272"/>
      <c r="D122" s="272"/>
      <c r="E122" s="273"/>
    </row>
    <row r="123" spans="1:5" ht="18.75" customHeight="1" x14ac:dyDescent="0.15">
      <c r="A123" s="8"/>
      <c r="B123" s="271"/>
      <c r="C123" s="272"/>
      <c r="D123" s="272"/>
      <c r="E123" s="273"/>
    </row>
    <row r="124" spans="1:5" ht="18.75" customHeight="1" x14ac:dyDescent="0.15">
      <c r="A124" s="8"/>
      <c r="B124" s="271"/>
      <c r="C124" s="272"/>
      <c r="D124" s="272"/>
      <c r="E124" s="273"/>
    </row>
    <row r="125" spans="1:5" ht="18.75" customHeight="1" x14ac:dyDescent="0.15">
      <c r="A125" s="8"/>
      <c r="B125" s="271"/>
      <c r="C125" s="272"/>
      <c r="D125" s="272"/>
      <c r="E125" s="273"/>
    </row>
    <row r="126" spans="1:5" ht="18.75" customHeight="1" x14ac:dyDescent="0.15">
      <c r="A126" s="8"/>
      <c r="B126" s="271"/>
      <c r="C126" s="272"/>
      <c r="D126" s="272"/>
      <c r="E126" s="273"/>
    </row>
    <row r="127" spans="1:5" ht="18.75" customHeight="1" x14ac:dyDescent="0.15">
      <c r="A127" s="8"/>
      <c r="B127" s="271"/>
      <c r="C127" s="272"/>
      <c r="D127" s="272"/>
      <c r="E127" s="273"/>
    </row>
    <row r="128" spans="1:5" ht="18.75" customHeight="1" x14ac:dyDescent="0.15">
      <c r="A128" s="8"/>
      <c r="B128" s="271"/>
      <c r="C128" s="272"/>
      <c r="D128" s="272"/>
      <c r="E128" s="273"/>
    </row>
    <row r="129" spans="1:5" ht="18.75" customHeight="1" x14ac:dyDescent="0.15">
      <c r="A129" s="8"/>
      <c r="B129" s="271"/>
      <c r="C129" s="272"/>
      <c r="D129" s="272"/>
      <c r="E129" s="273"/>
    </row>
    <row r="130" spans="1:5" ht="18.75" customHeight="1" x14ac:dyDescent="0.15">
      <c r="A130" s="8"/>
      <c r="B130" s="271"/>
      <c r="C130" s="272"/>
      <c r="D130" s="272"/>
      <c r="E130" s="273"/>
    </row>
    <row r="131" spans="1:5" ht="18.75" customHeight="1" x14ac:dyDescent="0.15">
      <c r="A131" s="8"/>
      <c r="B131" s="271"/>
      <c r="C131" s="272"/>
      <c r="D131" s="272"/>
      <c r="E131" s="273"/>
    </row>
    <row r="132" spans="1:5" ht="18.75" customHeight="1" x14ac:dyDescent="0.15">
      <c r="A132" s="8"/>
      <c r="B132" s="271"/>
      <c r="C132" s="272"/>
      <c r="D132" s="272"/>
      <c r="E132" s="273"/>
    </row>
    <row r="133" spans="1:5" ht="18.75" customHeight="1" x14ac:dyDescent="0.15">
      <c r="A133" s="8"/>
      <c r="B133" s="274"/>
      <c r="C133" s="275"/>
      <c r="D133" s="275"/>
      <c r="E133" s="276"/>
    </row>
    <row r="134" spans="1:5" ht="7.5" customHeight="1" x14ac:dyDescent="0.15">
      <c r="A134" s="8"/>
      <c r="B134" s="12"/>
      <c r="C134" s="12"/>
      <c r="D134" s="12"/>
      <c r="E134" s="12"/>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abSelected="1" zoomScaleNormal="100" workbookViewId="0">
      <selection activeCell="H20" sqref="H20:J20"/>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J1" s="53" t="s">
        <v>9</v>
      </c>
    </row>
    <row r="2" spans="1:10" ht="18.75" customHeight="1" x14ac:dyDescent="0.15">
      <c r="D2" s="53"/>
      <c r="H2" s="53" t="s">
        <v>31</v>
      </c>
      <c r="I2" s="278" t="s">
        <v>172</v>
      </c>
      <c r="J2" s="278"/>
    </row>
    <row r="3" spans="1:10" ht="18.75" customHeight="1" x14ac:dyDescent="0.15">
      <c r="A3" s="193" t="s">
        <v>50</v>
      </c>
      <c r="B3" s="193"/>
      <c r="C3" s="193"/>
      <c r="D3" s="193"/>
      <c r="E3" s="193"/>
      <c r="F3" s="193"/>
      <c r="G3" s="193"/>
      <c r="H3" s="193"/>
      <c r="I3" s="193"/>
      <c r="J3" s="193"/>
    </row>
    <row r="4" spans="1:10" ht="7.5" customHeight="1" x14ac:dyDescent="0.15">
      <c r="B4" s="56"/>
      <c r="C4" s="56"/>
      <c r="D4" s="285"/>
      <c r="E4" s="286"/>
      <c r="F4" s="286"/>
      <c r="G4" s="286"/>
      <c r="H4" s="286"/>
      <c r="I4" s="286"/>
      <c r="J4" s="286"/>
    </row>
    <row r="5" spans="1:10" ht="18.75" customHeight="1" x14ac:dyDescent="0.15">
      <c r="A5" s="1" t="s">
        <v>7</v>
      </c>
      <c r="B5" s="5" t="s">
        <v>48</v>
      </c>
      <c r="C5" s="56"/>
      <c r="D5" s="56"/>
      <c r="E5" s="57"/>
      <c r="F5" s="60"/>
      <c r="G5" s="62"/>
      <c r="H5" s="60"/>
      <c r="I5" s="57"/>
      <c r="J5" s="57"/>
    </row>
    <row r="6" spans="1:10" ht="18.75" customHeight="1" x14ac:dyDescent="0.15">
      <c r="B6" s="219" t="s">
        <v>45</v>
      </c>
      <c r="C6" s="220"/>
      <c r="D6" s="221"/>
      <c r="E6" s="287" t="s">
        <v>47</v>
      </c>
      <c r="F6" s="287"/>
      <c r="G6" s="287"/>
      <c r="H6" s="287"/>
      <c r="I6" s="287"/>
      <c r="J6" s="288"/>
    </row>
    <row r="7" spans="1:10" ht="18.75" customHeight="1" x14ac:dyDescent="0.15">
      <c r="B7" s="6" t="s">
        <v>35</v>
      </c>
      <c r="C7" s="8"/>
      <c r="D7" s="19"/>
      <c r="E7" s="3"/>
      <c r="F7" s="3"/>
      <c r="G7" s="3"/>
      <c r="H7" s="3"/>
      <c r="I7" s="16"/>
      <c r="J7" s="17"/>
    </row>
    <row r="8" spans="1:10" ht="202.5" customHeight="1" x14ac:dyDescent="0.15">
      <c r="B8" s="18"/>
      <c r="C8" s="280" t="s">
        <v>36</v>
      </c>
      <c r="D8" s="281"/>
      <c r="E8" s="282" t="s">
        <v>208</v>
      </c>
      <c r="F8" s="283"/>
      <c r="G8" s="283"/>
      <c r="H8" s="283"/>
      <c r="I8" s="283"/>
      <c r="J8" s="284"/>
    </row>
    <row r="9" spans="1:10" ht="202.5" customHeight="1" x14ac:dyDescent="0.15">
      <c r="B9" s="18"/>
      <c r="C9" s="292" t="s">
        <v>37</v>
      </c>
      <c r="D9" s="293"/>
      <c r="E9" s="282" t="s">
        <v>209</v>
      </c>
      <c r="F9" s="283"/>
      <c r="G9" s="283"/>
      <c r="H9" s="283"/>
      <c r="I9" s="283"/>
      <c r="J9" s="284"/>
    </row>
    <row r="10" spans="1:10" ht="172.5" customHeight="1" x14ac:dyDescent="0.15">
      <c r="B10" s="18"/>
      <c r="C10" s="280" t="s">
        <v>38</v>
      </c>
      <c r="D10" s="281"/>
      <c r="E10" s="282" t="s">
        <v>210</v>
      </c>
      <c r="F10" s="283"/>
      <c r="G10" s="283"/>
      <c r="H10" s="283"/>
      <c r="I10" s="283"/>
      <c r="J10" s="284"/>
    </row>
    <row r="11" spans="1:10" ht="172.5" customHeight="1" x14ac:dyDescent="0.15">
      <c r="B11" s="18"/>
      <c r="C11" s="280" t="s">
        <v>39</v>
      </c>
      <c r="D11" s="281"/>
      <c r="E11" s="282" t="s">
        <v>225</v>
      </c>
      <c r="F11" s="283"/>
      <c r="G11" s="283"/>
      <c r="H11" s="283"/>
      <c r="I11" s="283"/>
      <c r="J11" s="284"/>
    </row>
    <row r="12" spans="1:10" ht="172.5" customHeight="1" x14ac:dyDescent="0.15">
      <c r="B12" s="18"/>
      <c r="C12" s="280" t="s">
        <v>40</v>
      </c>
      <c r="D12" s="281"/>
      <c r="E12" s="282" t="s">
        <v>218</v>
      </c>
      <c r="F12" s="283"/>
      <c r="G12" s="283"/>
      <c r="H12" s="283"/>
      <c r="I12" s="283"/>
      <c r="J12" s="284"/>
    </row>
    <row r="13" spans="1:10" ht="18.75" customHeight="1" x14ac:dyDescent="0.15">
      <c r="B13" s="21" t="s">
        <v>41</v>
      </c>
      <c r="C13" s="58"/>
      <c r="D13" s="20"/>
      <c r="E13" s="78"/>
      <c r="F13" s="78"/>
      <c r="G13" s="78"/>
      <c r="H13" s="78"/>
      <c r="I13" s="78"/>
      <c r="J13" s="79"/>
    </row>
    <row r="14" spans="1:10" ht="255" customHeight="1" x14ac:dyDescent="0.15">
      <c r="B14" s="18"/>
      <c r="C14" s="280" t="s">
        <v>42</v>
      </c>
      <c r="D14" s="281"/>
      <c r="E14" s="283" t="s">
        <v>220</v>
      </c>
      <c r="F14" s="283"/>
      <c r="G14" s="283"/>
      <c r="H14" s="283"/>
      <c r="I14" s="283"/>
      <c r="J14" s="284"/>
    </row>
    <row r="15" spans="1:10" ht="255" customHeight="1" x14ac:dyDescent="0.15">
      <c r="B15" s="18"/>
      <c r="C15" s="294" t="s">
        <v>43</v>
      </c>
      <c r="D15" s="295"/>
      <c r="E15" s="296" t="s">
        <v>221</v>
      </c>
      <c r="F15" s="296"/>
      <c r="G15" s="296"/>
      <c r="H15" s="296"/>
      <c r="I15" s="296"/>
      <c r="J15" s="297"/>
    </row>
    <row r="16" spans="1:10" ht="232.5" customHeight="1" x14ac:dyDescent="0.15">
      <c r="B16" s="298" t="s">
        <v>44</v>
      </c>
      <c r="C16" s="299"/>
      <c r="D16" s="281"/>
      <c r="E16" s="283" t="s">
        <v>222</v>
      </c>
      <c r="F16" s="283"/>
      <c r="G16" s="283"/>
      <c r="H16" s="283"/>
      <c r="I16" s="283"/>
      <c r="J16" s="284"/>
    </row>
    <row r="17" spans="1:10" ht="232.5" customHeight="1" x14ac:dyDescent="0.15">
      <c r="A17" s="77"/>
      <c r="B17" s="289" t="s">
        <v>87</v>
      </c>
      <c r="C17" s="290"/>
      <c r="D17" s="291"/>
      <c r="E17" s="238" t="s">
        <v>214</v>
      </c>
      <c r="F17" s="238"/>
      <c r="G17" s="238"/>
      <c r="H17" s="238"/>
      <c r="I17" s="238"/>
      <c r="J17" s="239"/>
    </row>
    <row r="18" spans="1:10" ht="7.5" customHeight="1" x14ac:dyDescent="0.15">
      <c r="B18" s="56"/>
      <c r="C18" s="56"/>
      <c r="D18" s="56"/>
      <c r="E18" s="57"/>
      <c r="F18" s="60"/>
      <c r="G18" s="62"/>
      <c r="H18" s="60"/>
      <c r="I18" s="57"/>
      <c r="J18" s="57"/>
    </row>
    <row r="19" spans="1:10" ht="18.75" customHeight="1" x14ac:dyDescent="0.15">
      <c r="B19" s="5"/>
      <c r="C19" s="75"/>
      <c r="D19" s="75"/>
      <c r="E19" s="76"/>
      <c r="F19" s="63"/>
      <c r="G19" s="63"/>
      <c r="H19" s="86" t="s">
        <v>116</v>
      </c>
      <c r="I19" s="81"/>
      <c r="J19" s="82"/>
    </row>
    <row r="20" spans="1:10" ht="18.75" customHeight="1" x14ac:dyDescent="0.15">
      <c r="A20" s="3" t="s">
        <v>12</v>
      </c>
      <c r="B20" s="83" t="s">
        <v>49</v>
      </c>
      <c r="C20" s="84"/>
      <c r="D20" s="84"/>
      <c r="E20" s="85"/>
      <c r="F20" s="117" t="s">
        <v>171</v>
      </c>
      <c r="G20" s="63"/>
      <c r="H20" s="318" t="s">
        <v>235</v>
      </c>
      <c r="I20" s="319"/>
      <c r="J20" s="320"/>
    </row>
    <row r="21" spans="1:10" ht="22.5" customHeight="1" x14ac:dyDescent="0.15">
      <c r="B21" s="56"/>
      <c r="C21" s="56"/>
      <c r="D21" s="56"/>
      <c r="E21" s="57"/>
      <c r="F21" s="60"/>
      <c r="G21" s="62"/>
      <c r="H21" s="139"/>
      <c r="I21" s="57"/>
      <c r="J21" s="57"/>
    </row>
    <row r="22" spans="1:10" ht="22.5" customHeight="1" x14ac:dyDescent="0.15">
      <c r="B22" s="56"/>
      <c r="C22" s="56"/>
      <c r="D22" s="56"/>
      <c r="E22" s="57"/>
      <c r="F22" s="60"/>
      <c r="G22" s="62"/>
      <c r="H22" s="139"/>
      <c r="I22" s="57"/>
      <c r="J22" s="57"/>
    </row>
    <row r="23" spans="1:10" ht="22.5" customHeight="1" x14ac:dyDescent="0.15">
      <c r="B23" s="56"/>
      <c r="C23" s="56"/>
      <c r="D23" s="56"/>
      <c r="E23" s="57"/>
      <c r="F23" s="60"/>
      <c r="G23" s="62"/>
      <c r="H23" s="60"/>
      <c r="I23" s="57"/>
      <c r="J23" s="57"/>
    </row>
    <row r="24" spans="1:10" ht="22.5" customHeight="1" x14ac:dyDescent="0.15">
      <c r="B24" s="56"/>
      <c r="C24" s="56"/>
      <c r="D24" s="56"/>
      <c r="E24" s="57"/>
      <c r="F24" s="60"/>
      <c r="G24" s="62"/>
      <c r="H24" s="60"/>
      <c r="I24" s="57"/>
      <c r="J24" s="57"/>
    </row>
    <row r="25" spans="1:10" ht="22.5" customHeight="1" x14ac:dyDescent="0.15">
      <c r="B25" s="56"/>
      <c r="C25" s="56"/>
      <c r="D25" s="56"/>
      <c r="E25" s="57"/>
      <c r="F25" s="60"/>
      <c r="G25" s="62"/>
      <c r="H25" s="60"/>
      <c r="I25" s="57"/>
      <c r="J25" s="57"/>
    </row>
    <row r="26" spans="1:10" ht="22.5" customHeight="1" x14ac:dyDescent="0.15">
      <c r="B26" s="14"/>
      <c r="C26" s="14"/>
      <c r="D26" s="14"/>
      <c r="E26" s="14"/>
      <c r="F26" s="14"/>
      <c r="G26" s="14"/>
      <c r="H26" s="14"/>
      <c r="I26" s="14"/>
      <c r="J26" s="14"/>
    </row>
    <row r="27" spans="1:10" ht="22.5" customHeight="1" x14ac:dyDescent="0.15">
      <c r="B27" s="14"/>
      <c r="C27" s="14"/>
      <c r="D27" s="14"/>
      <c r="E27" s="14"/>
      <c r="F27" s="14"/>
      <c r="G27" s="14"/>
      <c r="H27" s="14"/>
      <c r="I27" s="14"/>
      <c r="J27" s="14"/>
    </row>
    <row r="28" spans="1:10" ht="22.5" customHeight="1" x14ac:dyDescent="0.15">
      <c r="B28" s="14"/>
      <c r="C28" s="14"/>
      <c r="D28" s="14"/>
      <c r="E28" s="14"/>
      <c r="F28" s="14"/>
      <c r="G28" s="14"/>
      <c r="H28" s="14"/>
      <c r="I28" s="14"/>
      <c r="J28" s="14"/>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showZeros="0" topLeftCell="A112" workbookViewId="0">
      <selection activeCell="A85" sqref="A85:XFD85"/>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83" t="s">
        <v>16</v>
      </c>
      <c r="F1" s="183"/>
    </row>
    <row r="2" spans="1:6" ht="18.75" customHeight="1" x14ac:dyDescent="0.15">
      <c r="C2" s="23" t="s">
        <v>88</v>
      </c>
      <c r="D2" s="23" t="s">
        <v>8</v>
      </c>
      <c r="E2" s="218" t="s">
        <v>172</v>
      </c>
      <c r="F2" s="218"/>
    </row>
    <row r="3" spans="1:6" ht="7.5" customHeight="1" x14ac:dyDescent="0.15">
      <c r="C3" s="23"/>
      <c r="D3" s="23"/>
      <c r="E3" s="22"/>
      <c r="F3" s="22"/>
    </row>
    <row r="4" spans="1:6" ht="18.75" customHeight="1" x14ac:dyDescent="0.15">
      <c r="A4" s="193" t="s">
        <v>126</v>
      </c>
      <c r="B4" s="193"/>
      <c r="C4" s="193"/>
      <c r="D4" s="193"/>
      <c r="E4" s="193"/>
      <c r="F4" s="193"/>
    </row>
    <row r="5" spans="1:6" ht="7.5" customHeight="1" x14ac:dyDescent="0.15">
      <c r="A5" s="24"/>
      <c r="B5" s="24"/>
      <c r="C5" s="24"/>
      <c r="D5" s="24"/>
      <c r="E5" s="24"/>
      <c r="F5" s="24"/>
    </row>
    <row r="6" spans="1:6" ht="18.75" customHeight="1" x14ac:dyDescent="0.15">
      <c r="A6" s="24" t="s">
        <v>7</v>
      </c>
      <c r="B6" s="5" t="s">
        <v>33</v>
      </c>
      <c r="C6" s="24"/>
      <c r="D6" s="24"/>
      <c r="E6" s="24"/>
      <c r="F6" s="24"/>
    </row>
    <row r="7" spans="1:6" ht="18.75" customHeight="1" x14ac:dyDescent="0.15">
      <c r="A7" s="24"/>
      <c r="B7" s="309" t="s">
        <v>219</v>
      </c>
      <c r="C7" s="310"/>
      <c r="D7" s="310"/>
      <c r="E7" s="310"/>
      <c r="F7" s="311"/>
    </row>
    <row r="8" spans="1:6" ht="18.75" customHeight="1" x14ac:dyDescent="0.15">
      <c r="A8" s="55"/>
      <c r="B8" s="312"/>
      <c r="C8" s="313"/>
      <c r="D8" s="313"/>
      <c r="E8" s="313"/>
      <c r="F8" s="314"/>
    </row>
    <row r="9" spans="1:6" ht="18.75" customHeight="1" x14ac:dyDescent="0.15">
      <c r="A9" s="55"/>
      <c r="B9" s="312"/>
      <c r="C9" s="313"/>
      <c r="D9" s="313"/>
      <c r="E9" s="313"/>
      <c r="F9" s="314"/>
    </row>
    <row r="10" spans="1:6" ht="18.75" customHeight="1" x14ac:dyDescent="0.15">
      <c r="A10" s="55"/>
      <c r="B10" s="312"/>
      <c r="C10" s="313"/>
      <c r="D10" s="313"/>
      <c r="E10" s="313"/>
      <c r="F10" s="314"/>
    </row>
    <row r="11" spans="1:6" ht="18.75" customHeight="1" x14ac:dyDescent="0.15">
      <c r="A11" s="55"/>
      <c r="B11" s="312"/>
      <c r="C11" s="313"/>
      <c r="D11" s="313"/>
      <c r="E11" s="313"/>
      <c r="F11" s="314"/>
    </row>
    <row r="12" spans="1:6" ht="18.75" customHeight="1" x14ac:dyDescent="0.15">
      <c r="A12" s="55"/>
      <c r="B12" s="312"/>
      <c r="C12" s="313"/>
      <c r="D12" s="313"/>
      <c r="E12" s="313"/>
      <c r="F12" s="314"/>
    </row>
    <row r="13" spans="1:6" ht="18.75" customHeight="1" x14ac:dyDescent="0.15">
      <c r="A13" s="55"/>
      <c r="B13" s="312"/>
      <c r="C13" s="313"/>
      <c r="D13" s="313"/>
      <c r="E13" s="313"/>
      <c r="F13" s="314"/>
    </row>
    <row r="14" spans="1:6" ht="18.75" customHeight="1" x14ac:dyDescent="0.15">
      <c r="A14" s="55"/>
      <c r="B14" s="312"/>
      <c r="C14" s="313"/>
      <c r="D14" s="313"/>
      <c r="E14" s="313"/>
      <c r="F14" s="314"/>
    </row>
    <row r="15" spans="1:6" ht="18.75" customHeight="1" x14ac:dyDescent="0.15">
      <c r="A15" s="55"/>
      <c r="B15" s="312"/>
      <c r="C15" s="313"/>
      <c r="D15" s="313"/>
      <c r="E15" s="313"/>
      <c r="F15" s="314"/>
    </row>
    <row r="16" spans="1:6" ht="18.75" customHeight="1" x14ac:dyDescent="0.15">
      <c r="A16" s="55"/>
      <c r="B16" s="312"/>
      <c r="C16" s="313"/>
      <c r="D16" s="313"/>
      <c r="E16" s="313"/>
      <c r="F16" s="314"/>
    </row>
    <row r="17" spans="1:6" ht="18.75" customHeight="1" x14ac:dyDescent="0.15">
      <c r="A17" s="55"/>
      <c r="B17" s="312"/>
      <c r="C17" s="313"/>
      <c r="D17" s="313"/>
      <c r="E17" s="313"/>
      <c r="F17" s="314"/>
    </row>
    <row r="18" spans="1:6" ht="18.75" customHeight="1" x14ac:dyDescent="0.15">
      <c r="A18" s="55"/>
      <c r="B18" s="312"/>
      <c r="C18" s="313"/>
      <c r="D18" s="313"/>
      <c r="E18" s="313"/>
      <c r="F18" s="314"/>
    </row>
    <row r="19" spans="1:6" ht="18.75" customHeight="1" x14ac:dyDescent="0.15">
      <c r="A19" s="55"/>
      <c r="B19" s="312"/>
      <c r="C19" s="313"/>
      <c r="D19" s="313"/>
      <c r="E19" s="313"/>
      <c r="F19" s="314"/>
    </row>
    <row r="20" spans="1:6" ht="18.75" customHeight="1" x14ac:dyDescent="0.15">
      <c r="A20" s="55"/>
      <c r="B20" s="312"/>
      <c r="C20" s="313"/>
      <c r="D20" s="313"/>
      <c r="E20" s="313"/>
      <c r="F20" s="314"/>
    </row>
    <row r="21" spans="1:6" ht="18.75" customHeight="1" x14ac:dyDescent="0.15">
      <c r="A21" s="55"/>
      <c r="B21" s="312"/>
      <c r="C21" s="313"/>
      <c r="D21" s="313"/>
      <c r="E21" s="313"/>
      <c r="F21" s="314"/>
    </row>
    <row r="22" spans="1:6" ht="18.75" customHeight="1" x14ac:dyDescent="0.15">
      <c r="A22" s="55"/>
      <c r="B22" s="312"/>
      <c r="C22" s="313"/>
      <c r="D22" s="313"/>
      <c r="E22" s="313"/>
      <c r="F22" s="314"/>
    </row>
    <row r="23" spans="1:6" ht="18.75" customHeight="1" x14ac:dyDescent="0.15">
      <c r="A23" s="55"/>
      <c r="B23" s="312"/>
      <c r="C23" s="313"/>
      <c r="D23" s="313"/>
      <c r="E23" s="313"/>
      <c r="F23" s="314"/>
    </row>
    <row r="24" spans="1:6" ht="18.75" customHeight="1" x14ac:dyDescent="0.15">
      <c r="A24" s="55"/>
      <c r="B24" s="312"/>
      <c r="C24" s="313"/>
      <c r="D24" s="313"/>
      <c r="E24" s="313"/>
      <c r="F24" s="314"/>
    </row>
    <row r="25" spans="1:6" ht="18.75" customHeight="1" x14ac:dyDescent="0.15">
      <c r="A25" s="55"/>
      <c r="B25" s="312"/>
      <c r="C25" s="313"/>
      <c r="D25" s="313"/>
      <c r="E25" s="313"/>
      <c r="F25" s="314"/>
    </row>
    <row r="26" spans="1:6" ht="18.75" customHeight="1" x14ac:dyDescent="0.15">
      <c r="A26" s="55"/>
      <c r="B26" s="312"/>
      <c r="C26" s="313"/>
      <c r="D26" s="313"/>
      <c r="E26" s="313"/>
      <c r="F26" s="314"/>
    </row>
    <row r="27" spans="1:6" ht="18.75" customHeight="1" x14ac:dyDescent="0.15">
      <c r="A27" s="55"/>
      <c r="B27" s="312"/>
      <c r="C27" s="313"/>
      <c r="D27" s="313"/>
      <c r="E27" s="313"/>
      <c r="F27" s="314"/>
    </row>
    <row r="28" spans="1:6" ht="18.75" customHeight="1" x14ac:dyDescent="0.15">
      <c r="A28" s="24"/>
      <c r="B28" s="312"/>
      <c r="C28" s="313"/>
      <c r="D28" s="313"/>
      <c r="E28" s="313"/>
      <c r="F28" s="314"/>
    </row>
    <row r="29" spans="1:6" ht="18.75" customHeight="1" x14ac:dyDescent="0.15">
      <c r="A29" s="24"/>
      <c r="B29" s="312"/>
      <c r="C29" s="313"/>
      <c r="D29" s="313"/>
      <c r="E29" s="313"/>
      <c r="F29" s="314"/>
    </row>
    <row r="30" spans="1:6" ht="18.75" customHeight="1" x14ac:dyDescent="0.15">
      <c r="A30" s="24"/>
      <c r="B30" s="312"/>
      <c r="C30" s="313"/>
      <c r="D30" s="313"/>
      <c r="E30" s="313"/>
      <c r="F30" s="314"/>
    </row>
    <row r="31" spans="1:6" ht="18.75" customHeight="1" x14ac:dyDescent="0.15">
      <c r="A31" s="24"/>
      <c r="B31" s="312"/>
      <c r="C31" s="313"/>
      <c r="D31" s="313"/>
      <c r="E31" s="313"/>
      <c r="F31" s="314"/>
    </row>
    <row r="32" spans="1:6" ht="18.75" customHeight="1" x14ac:dyDescent="0.15">
      <c r="A32" s="24"/>
      <c r="B32" s="312"/>
      <c r="C32" s="313"/>
      <c r="D32" s="313"/>
      <c r="E32" s="313"/>
      <c r="F32" s="314"/>
    </row>
    <row r="33" spans="1:6" ht="18.75" customHeight="1" x14ac:dyDescent="0.15">
      <c r="A33" s="24"/>
      <c r="B33" s="312"/>
      <c r="C33" s="313"/>
      <c r="D33" s="313"/>
      <c r="E33" s="313"/>
      <c r="F33" s="314"/>
    </row>
    <row r="34" spans="1:6" ht="18.75" customHeight="1" x14ac:dyDescent="0.15">
      <c r="A34" s="24"/>
      <c r="B34" s="312"/>
      <c r="C34" s="313"/>
      <c r="D34" s="313"/>
      <c r="E34" s="313"/>
      <c r="F34" s="314"/>
    </row>
    <row r="35" spans="1:6" ht="18.75" customHeight="1" x14ac:dyDescent="0.15">
      <c r="A35" s="24"/>
      <c r="B35" s="312"/>
      <c r="C35" s="313"/>
      <c r="D35" s="313"/>
      <c r="E35" s="313"/>
      <c r="F35" s="314"/>
    </row>
    <row r="36" spans="1:6" ht="18.75" customHeight="1" x14ac:dyDescent="0.15">
      <c r="A36" s="24"/>
      <c r="B36" s="312"/>
      <c r="C36" s="313"/>
      <c r="D36" s="313"/>
      <c r="E36" s="313"/>
      <c r="F36" s="314"/>
    </row>
    <row r="37" spans="1:6" ht="18.75" customHeight="1" x14ac:dyDescent="0.15">
      <c r="A37" s="24"/>
      <c r="B37" s="312"/>
      <c r="C37" s="313"/>
      <c r="D37" s="313"/>
      <c r="E37" s="313"/>
      <c r="F37" s="314"/>
    </row>
    <row r="38" spans="1:6" ht="18.75" customHeight="1" x14ac:dyDescent="0.15">
      <c r="A38" s="24"/>
      <c r="B38" s="312"/>
      <c r="C38" s="313"/>
      <c r="D38" s="313"/>
      <c r="E38" s="313"/>
      <c r="F38" s="314"/>
    </row>
    <row r="39" spans="1:6" ht="18.75" customHeight="1" x14ac:dyDescent="0.15">
      <c r="A39" s="24"/>
      <c r="B39" s="312"/>
      <c r="C39" s="313"/>
      <c r="D39" s="313"/>
      <c r="E39" s="313"/>
      <c r="F39" s="314"/>
    </row>
    <row r="40" spans="1:6" ht="18.75" customHeight="1" x14ac:dyDescent="0.15">
      <c r="A40" s="24"/>
      <c r="B40" s="312"/>
      <c r="C40" s="313"/>
      <c r="D40" s="313"/>
      <c r="E40" s="313"/>
      <c r="F40" s="314"/>
    </row>
    <row r="41" spans="1:6" ht="18.75" customHeight="1" x14ac:dyDescent="0.15">
      <c r="A41" s="24"/>
      <c r="B41" s="312"/>
      <c r="C41" s="313"/>
      <c r="D41" s="313"/>
      <c r="E41" s="313"/>
      <c r="F41" s="314"/>
    </row>
    <row r="42" spans="1:6" ht="18.75" customHeight="1" x14ac:dyDescent="0.15">
      <c r="A42" s="24"/>
      <c r="B42" s="312"/>
      <c r="C42" s="313"/>
      <c r="D42" s="313"/>
      <c r="E42" s="313"/>
      <c r="F42" s="314"/>
    </row>
    <row r="43" spans="1:6" ht="18.75" customHeight="1" x14ac:dyDescent="0.15">
      <c r="A43" s="24"/>
      <c r="B43" s="312"/>
      <c r="C43" s="313"/>
      <c r="D43" s="313"/>
      <c r="E43" s="313"/>
      <c r="F43" s="314"/>
    </row>
    <row r="44" spans="1:6" ht="18.75" customHeight="1" x14ac:dyDescent="0.15">
      <c r="A44" s="24"/>
      <c r="B44" s="315"/>
      <c r="C44" s="316"/>
      <c r="D44" s="316"/>
      <c r="E44" s="316"/>
      <c r="F44" s="317"/>
    </row>
    <row r="45" spans="1:6" ht="18.75" customHeight="1" x14ac:dyDescent="0.15">
      <c r="A45" s="24" t="s">
        <v>12</v>
      </c>
      <c r="B45" s="5" t="s">
        <v>93</v>
      </c>
      <c r="C45" s="24"/>
      <c r="D45" s="24"/>
      <c r="E45" s="24"/>
      <c r="F45" s="24"/>
    </row>
    <row r="46" spans="1:6" ht="18.75" customHeight="1" x14ac:dyDescent="0.15">
      <c r="A46" s="24"/>
      <c r="B46" s="309" t="s">
        <v>211</v>
      </c>
      <c r="C46" s="310"/>
      <c r="D46" s="310"/>
      <c r="E46" s="310"/>
      <c r="F46" s="311"/>
    </row>
    <row r="47" spans="1:6" ht="18.75" customHeight="1" x14ac:dyDescent="0.15">
      <c r="A47" s="55"/>
      <c r="B47" s="312"/>
      <c r="C47" s="313"/>
      <c r="D47" s="313"/>
      <c r="E47" s="313"/>
      <c r="F47" s="314"/>
    </row>
    <row r="48" spans="1:6" ht="18.75" customHeight="1" x14ac:dyDescent="0.15">
      <c r="A48" s="55"/>
      <c r="B48" s="312"/>
      <c r="C48" s="313"/>
      <c r="D48" s="313"/>
      <c r="E48" s="313"/>
      <c r="F48" s="314"/>
    </row>
    <row r="49" spans="1:6" ht="18.75" customHeight="1" x14ac:dyDescent="0.15">
      <c r="A49" s="55"/>
      <c r="B49" s="312"/>
      <c r="C49" s="313"/>
      <c r="D49" s="313"/>
      <c r="E49" s="313"/>
      <c r="F49" s="314"/>
    </row>
    <row r="50" spans="1:6" ht="18.75" customHeight="1" x14ac:dyDescent="0.15">
      <c r="A50" s="55"/>
      <c r="B50" s="312"/>
      <c r="C50" s="313"/>
      <c r="D50" s="313"/>
      <c r="E50" s="313"/>
      <c r="F50" s="314"/>
    </row>
    <row r="51" spans="1:6" ht="18.75" customHeight="1" x14ac:dyDescent="0.15">
      <c r="A51" s="55"/>
      <c r="B51" s="312"/>
      <c r="C51" s="313"/>
      <c r="D51" s="313"/>
      <c r="E51" s="313"/>
      <c r="F51" s="314"/>
    </row>
    <row r="52" spans="1:6" ht="18.75" customHeight="1" x14ac:dyDescent="0.15">
      <c r="A52" s="55"/>
      <c r="B52" s="312"/>
      <c r="C52" s="313"/>
      <c r="D52" s="313"/>
      <c r="E52" s="313"/>
      <c r="F52" s="314"/>
    </row>
    <row r="53" spans="1:6" ht="18.75" customHeight="1" x14ac:dyDescent="0.15">
      <c r="A53" s="55"/>
      <c r="B53" s="312"/>
      <c r="C53" s="313"/>
      <c r="D53" s="313"/>
      <c r="E53" s="313"/>
      <c r="F53" s="314"/>
    </row>
    <row r="54" spans="1:6" ht="18.75" customHeight="1" x14ac:dyDescent="0.15">
      <c r="A54" s="55"/>
      <c r="B54" s="312"/>
      <c r="C54" s="313"/>
      <c r="D54" s="313"/>
      <c r="E54" s="313"/>
      <c r="F54" s="314"/>
    </row>
    <row r="55" spans="1:6" ht="18.75" customHeight="1" x14ac:dyDescent="0.15">
      <c r="A55" s="55"/>
      <c r="B55" s="312"/>
      <c r="C55" s="313"/>
      <c r="D55" s="313"/>
      <c r="E55" s="313"/>
      <c r="F55" s="314"/>
    </row>
    <row r="56" spans="1:6" ht="18.75" customHeight="1" x14ac:dyDescent="0.15">
      <c r="A56" s="55"/>
      <c r="B56" s="312"/>
      <c r="C56" s="313"/>
      <c r="D56" s="313"/>
      <c r="E56" s="313"/>
      <c r="F56" s="314"/>
    </row>
    <row r="57" spans="1:6" ht="18.75" customHeight="1" x14ac:dyDescent="0.15">
      <c r="A57" s="55"/>
      <c r="B57" s="312"/>
      <c r="C57" s="313"/>
      <c r="D57" s="313"/>
      <c r="E57" s="313"/>
      <c r="F57" s="314"/>
    </row>
    <row r="58" spans="1:6" ht="18.75" customHeight="1" x14ac:dyDescent="0.15">
      <c r="A58" s="55"/>
      <c r="B58" s="312"/>
      <c r="C58" s="313"/>
      <c r="D58" s="313"/>
      <c r="E58" s="313"/>
      <c r="F58" s="314"/>
    </row>
    <row r="59" spans="1:6" ht="18.75" customHeight="1" x14ac:dyDescent="0.15">
      <c r="A59" s="55"/>
      <c r="B59" s="312"/>
      <c r="C59" s="313"/>
      <c r="D59" s="313"/>
      <c r="E59" s="313"/>
      <c r="F59" s="314"/>
    </row>
    <row r="60" spans="1:6" ht="18.75" customHeight="1" x14ac:dyDescent="0.15">
      <c r="A60" s="55"/>
      <c r="B60" s="312"/>
      <c r="C60" s="313"/>
      <c r="D60" s="313"/>
      <c r="E60" s="313"/>
      <c r="F60" s="314"/>
    </row>
    <row r="61" spans="1:6" ht="18.75" customHeight="1" x14ac:dyDescent="0.15">
      <c r="A61" s="55"/>
      <c r="B61" s="312"/>
      <c r="C61" s="313"/>
      <c r="D61" s="313"/>
      <c r="E61" s="313"/>
      <c r="F61" s="314"/>
    </row>
    <row r="62" spans="1:6" ht="18.75" customHeight="1" x14ac:dyDescent="0.15">
      <c r="A62" s="55"/>
      <c r="B62" s="312"/>
      <c r="C62" s="313"/>
      <c r="D62" s="313"/>
      <c r="E62" s="313"/>
      <c r="F62" s="314"/>
    </row>
    <row r="63" spans="1:6" ht="18.75" customHeight="1" x14ac:dyDescent="0.15">
      <c r="A63" s="55"/>
      <c r="B63" s="312"/>
      <c r="C63" s="313"/>
      <c r="D63" s="313"/>
      <c r="E63" s="313"/>
      <c r="F63" s="314"/>
    </row>
    <row r="64" spans="1:6" ht="18.75" customHeight="1" x14ac:dyDescent="0.15">
      <c r="A64" s="55"/>
      <c r="B64" s="312"/>
      <c r="C64" s="313"/>
      <c r="D64" s="313"/>
      <c r="E64" s="313"/>
      <c r="F64" s="314"/>
    </row>
    <row r="65" spans="1:6" ht="18.75" customHeight="1" x14ac:dyDescent="0.15">
      <c r="A65" s="55"/>
      <c r="B65" s="312"/>
      <c r="C65" s="313"/>
      <c r="D65" s="313"/>
      <c r="E65" s="313"/>
      <c r="F65" s="314"/>
    </row>
    <row r="66" spans="1:6" ht="18.75" customHeight="1" x14ac:dyDescent="0.15">
      <c r="A66" s="55"/>
      <c r="B66" s="312"/>
      <c r="C66" s="313"/>
      <c r="D66" s="313"/>
      <c r="E66" s="313"/>
      <c r="F66" s="314"/>
    </row>
    <row r="67" spans="1:6" ht="18.75" customHeight="1" x14ac:dyDescent="0.15">
      <c r="A67" s="55"/>
      <c r="B67" s="312"/>
      <c r="C67" s="313"/>
      <c r="D67" s="313"/>
      <c r="E67" s="313"/>
      <c r="F67" s="314"/>
    </row>
    <row r="68" spans="1:6" ht="18.75" customHeight="1" x14ac:dyDescent="0.15">
      <c r="A68" s="55"/>
      <c r="B68" s="312"/>
      <c r="C68" s="313"/>
      <c r="D68" s="313"/>
      <c r="E68" s="313"/>
      <c r="F68" s="314"/>
    </row>
    <row r="69" spans="1:6" ht="18.75" customHeight="1" x14ac:dyDescent="0.15">
      <c r="A69" s="55"/>
      <c r="B69" s="312"/>
      <c r="C69" s="313"/>
      <c r="D69" s="313"/>
      <c r="E69" s="313"/>
      <c r="F69" s="314"/>
    </row>
    <row r="70" spans="1:6" ht="18.75" customHeight="1" x14ac:dyDescent="0.15">
      <c r="A70" s="24"/>
      <c r="B70" s="312"/>
      <c r="C70" s="313"/>
      <c r="D70" s="313"/>
      <c r="E70" s="313"/>
      <c r="F70" s="314"/>
    </row>
    <row r="71" spans="1:6" ht="18.75" customHeight="1" x14ac:dyDescent="0.15">
      <c r="A71" s="24"/>
      <c r="B71" s="312"/>
      <c r="C71" s="313"/>
      <c r="D71" s="313"/>
      <c r="E71" s="313"/>
      <c r="F71" s="314"/>
    </row>
    <row r="72" spans="1:6" ht="18.75" customHeight="1" x14ac:dyDescent="0.15">
      <c r="A72" s="24"/>
      <c r="B72" s="312"/>
      <c r="C72" s="313"/>
      <c r="D72" s="313"/>
      <c r="E72" s="313"/>
      <c r="F72" s="314"/>
    </row>
    <row r="73" spans="1:6" ht="18.75" customHeight="1" x14ac:dyDescent="0.15">
      <c r="A73" s="24"/>
      <c r="B73" s="312"/>
      <c r="C73" s="313"/>
      <c r="D73" s="313"/>
      <c r="E73" s="313"/>
      <c r="F73" s="314"/>
    </row>
    <row r="74" spans="1:6" ht="18.75" customHeight="1" x14ac:dyDescent="0.15">
      <c r="A74" s="24"/>
      <c r="B74" s="312"/>
      <c r="C74" s="313"/>
      <c r="D74" s="313"/>
      <c r="E74" s="313"/>
      <c r="F74" s="314"/>
    </row>
    <row r="75" spans="1:6" ht="18.75" customHeight="1" x14ac:dyDescent="0.15">
      <c r="A75" s="24"/>
      <c r="B75" s="312"/>
      <c r="C75" s="313"/>
      <c r="D75" s="313"/>
      <c r="E75" s="313"/>
      <c r="F75" s="314"/>
    </row>
    <row r="76" spans="1:6" ht="18.75" customHeight="1" x14ac:dyDescent="0.15">
      <c r="A76" s="24"/>
      <c r="B76" s="312"/>
      <c r="C76" s="313"/>
      <c r="D76" s="313"/>
      <c r="E76" s="313"/>
      <c r="F76" s="314"/>
    </row>
    <row r="77" spans="1:6" ht="18.75" customHeight="1" x14ac:dyDescent="0.15">
      <c r="A77" s="24"/>
      <c r="B77" s="312"/>
      <c r="C77" s="313"/>
      <c r="D77" s="313"/>
      <c r="E77" s="313"/>
      <c r="F77" s="314"/>
    </row>
    <row r="78" spans="1:6" ht="18.75" customHeight="1" x14ac:dyDescent="0.15">
      <c r="A78" s="24"/>
      <c r="B78" s="312"/>
      <c r="C78" s="313"/>
      <c r="D78" s="313"/>
      <c r="E78" s="313"/>
      <c r="F78" s="314"/>
    </row>
    <row r="79" spans="1:6" ht="18.75" customHeight="1" x14ac:dyDescent="0.15">
      <c r="A79" s="24"/>
      <c r="B79" s="312"/>
      <c r="C79" s="313"/>
      <c r="D79" s="313"/>
      <c r="E79" s="313"/>
      <c r="F79" s="314"/>
    </row>
    <row r="80" spans="1:6" ht="18.75" customHeight="1" x14ac:dyDescent="0.15">
      <c r="A80" s="24"/>
      <c r="B80" s="312"/>
      <c r="C80" s="313"/>
      <c r="D80" s="313"/>
      <c r="E80" s="313"/>
      <c r="F80" s="314"/>
    </row>
    <row r="81" spans="1:6" ht="18.75" customHeight="1" x14ac:dyDescent="0.15">
      <c r="A81" s="24"/>
      <c r="B81" s="312"/>
      <c r="C81" s="313"/>
      <c r="D81" s="313"/>
      <c r="E81" s="313"/>
      <c r="F81" s="314"/>
    </row>
    <row r="82" spans="1:6" ht="18.75" customHeight="1" x14ac:dyDescent="0.15">
      <c r="A82" s="24"/>
      <c r="B82" s="312"/>
      <c r="C82" s="313"/>
      <c r="D82" s="313"/>
      <c r="E82" s="313"/>
      <c r="F82" s="314"/>
    </row>
    <row r="83" spans="1:6" ht="18.75" customHeight="1" x14ac:dyDescent="0.15">
      <c r="A83" s="55"/>
      <c r="B83" s="312"/>
      <c r="C83" s="313"/>
      <c r="D83" s="313"/>
      <c r="E83" s="313"/>
      <c r="F83" s="314"/>
    </row>
    <row r="84" spans="1:6" ht="18.75" customHeight="1" x14ac:dyDescent="0.15">
      <c r="A84" s="24"/>
      <c r="B84" s="312"/>
      <c r="C84" s="313"/>
      <c r="D84" s="313"/>
      <c r="E84" s="313"/>
      <c r="F84" s="314"/>
    </row>
    <row r="85" spans="1:6" ht="18.75" customHeight="1" x14ac:dyDescent="0.15">
      <c r="A85" s="138"/>
      <c r="B85" s="312"/>
      <c r="C85" s="313"/>
      <c r="D85" s="313"/>
      <c r="E85" s="313"/>
      <c r="F85" s="314"/>
    </row>
    <row r="86" spans="1:6" ht="18.75" customHeight="1" x14ac:dyDescent="0.15">
      <c r="A86" s="24"/>
      <c r="B86" s="312"/>
      <c r="C86" s="313"/>
      <c r="D86" s="313"/>
      <c r="E86" s="313"/>
      <c r="F86" s="314"/>
    </row>
    <row r="87" spans="1:6" ht="18.75" customHeight="1" x14ac:dyDescent="0.15">
      <c r="A87" s="24"/>
      <c r="B87" s="315"/>
      <c r="C87" s="316"/>
      <c r="D87" s="316"/>
      <c r="E87" s="316"/>
      <c r="F87" s="317"/>
    </row>
    <row r="88" spans="1:6" s="13" customFormat="1" ht="18.75" customHeight="1" x14ac:dyDescent="0.15">
      <c r="A88" s="5" t="s">
        <v>13</v>
      </c>
      <c r="B88" s="5" t="s">
        <v>94</v>
      </c>
      <c r="C88" s="5"/>
      <c r="D88" s="5"/>
      <c r="E88" s="5"/>
      <c r="F88" s="5"/>
    </row>
    <row r="89" spans="1:6" ht="18.75" customHeight="1" x14ac:dyDescent="0.15">
      <c r="A89" s="24"/>
      <c r="B89" s="300" t="s">
        <v>212</v>
      </c>
      <c r="C89" s="301"/>
      <c r="D89" s="301"/>
      <c r="E89" s="301"/>
      <c r="F89" s="302"/>
    </row>
    <row r="90" spans="1:6" ht="18.75" customHeight="1" x14ac:dyDescent="0.15">
      <c r="A90" s="24"/>
      <c r="B90" s="303"/>
      <c r="C90" s="304"/>
      <c r="D90" s="304"/>
      <c r="E90" s="304"/>
      <c r="F90" s="305"/>
    </row>
    <row r="91" spans="1:6" ht="18.75" customHeight="1" x14ac:dyDescent="0.15">
      <c r="A91" s="55"/>
      <c r="B91" s="303"/>
      <c r="C91" s="304"/>
      <c r="D91" s="304"/>
      <c r="E91" s="304"/>
      <c r="F91" s="305"/>
    </row>
    <row r="92" spans="1:6" ht="18.75" customHeight="1" x14ac:dyDescent="0.15">
      <c r="A92" s="55"/>
      <c r="B92" s="303"/>
      <c r="C92" s="304"/>
      <c r="D92" s="304"/>
      <c r="E92" s="304"/>
      <c r="F92" s="305"/>
    </row>
    <row r="93" spans="1:6" ht="18.75" customHeight="1" x14ac:dyDescent="0.15">
      <c r="A93" s="55"/>
      <c r="B93" s="303"/>
      <c r="C93" s="304"/>
      <c r="D93" s="304"/>
      <c r="E93" s="304"/>
      <c r="F93" s="305"/>
    </row>
    <row r="94" spans="1:6" ht="18.75" customHeight="1" x14ac:dyDescent="0.15">
      <c r="A94" s="55"/>
      <c r="B94" s="303"/>
      <c r="C94" s="304"/>
      <c r="D94" s="304"/>
      <c r="E94" s="304"/>
      <c r="F94" s="305"/>
    </row>
    <row r="95" spans="1:6" ht="18.75" customHeight="1" x14ac:dyDescent="0.15">
      <c r="A95" s="55"/>
      <c r="B95" s="303"/>
      <c r="C95" s="304"/>
      <c r="D95" s="304"/>
      <c r="E95" s="304"/>
      <c r="F95" s="305"/>
    </row>
    <row r="96" spans="1:6" ht="18.75" customHeight="1" x14ac:dyDescent="0.15">
      <c r="A96" s="55"/>
      <c r="B96" s="303"/>
      <c r="C96" s="304"/>
      <c r="D96" s="304"/>
      <c r="E96" s="304"/>
      <c r="F96" s="305"/>
    </row>
    <row r="97" spans="1:6" ht="18.75" customHeight="1" x14ac:dyDescent="0.15">
      <c r="A97" s="55"/>
      <c r="B97" s="303"/>
      <c r="C97" s="304"/>
      <c r="D97" s="304"/>
      <c r="E97" s="304"/>
      <c r="F97" s="305"/>
    </row>
    <row r="98" spans="1:6" ht="18.75" customHeight="1" x14ac:dyDescent="0.15">
      <c r="A98" s="55"/>
      <c r="B98" s="303"/>
      <c r="C98" s="304"/>
      <c r="D98" s="304"/>
      <c r="E98" s="304"/>
      <c r="F98" s="305"/>
    </row>
    <row r="99" spans="1:6" ht="18.75" customHeight="1" x14ac:dyDescent="0.15">
      <c r="A99" s="55"/>
      <c r="B99" s="303"/>
      <c r="C99" s="304"/>
      <c r="D99" s="304"/>
      <c r="E99" s="304"/>
      <c r="F99" s="305"/>
    </row>
    <row r="100" spans="1:6" ht="18.75" customHeight="1" x14ac:dyDescent="0.15">
      <c r="A100" s="55"/>
      <c r="B100" s="303"/>
      <c r="C100" s="304"/>
      <c r="D100" s="304"/>
      <c r="E100" s="304"/>
      <c r="F100" s="305"/>
    </row>
    <row r="101" spans="1:6" ht="18.75" customHeight="1" x14ac:dyDescent="0.15">
      <c r="A101" s="55"/>
      <c r="B101" s="303"/>
      <c r="C101" s="304"/>
      <c r="D101" s="304"/>
      <c r="E101" s="304"/>
      <c r="F101" s="305"/>
    </row>
    <row r="102" spans="1:6" ht="18.75" customHeight="1" x14ac:dyDescent="0.15">
      <c r="A102" s="55"/>
      <c r="B102" s="303"/>
      <c r="C102" s="304"/>
      <c r="D102" s="304"/>
      <c r="E102" s="304"/>
      <c r="F102" s="305"/>
    </row>
    <row r="103" spans="1:6" ht="18.75" customHeight="1" x14ac:dyDescent="0.15">
      <c r="A103" s="55"/>
      <c r="B103" s="303"/>
      <c r="C103" s="304"/>
      <c r="D103" s="304"/>
      <c r="E103" s="304"/>
      <c r="F103" s="305"/>
    </row>
    <row r="104" spans="1:6" ht="18.75" customHeight="1" x14ac:dyDescent="0.15">
      <c r="A104" s="55"/>
      <c r="B104" s="303"/>
      <c r="C104" s="304"/>
      <c r="D104" s="304"/>
      <c r="E104" s="304"/>
      <c r="F104" s="305"/>
    </row>
    <row r="105" spans="1:6" ht="18.75" customHeight="1" x14ac:dyDescent="0.15">
      <c r="A105" s="55"/>
      <c r="B105" s="303"/>
      <c r="C105" s="304"/>
      <c r="D105" s="304"/>
      <c r="E105" s="304"/>
      <c r="F105" s="305"/>
    </row>
    <row r="106" spans="1:6" ht="18.75" customHeight="1" x14ac:dyDescent="0.15">
      <c r="A106" s="55"/>
      <c r="B106" s="303"/>
      <c r="C106" s="304"/>
      <c r="D106" s="304"/>
      <c r="E106" s="304"/>
      <c r="F106" s="305"/>
    </row>
    <row r="107" spans="1:6" ht="18.75" customHeight="1" x14ac:dyDescent="0.15">
      <c r="A107" s="55"/>
      <c r="B107" s="303"/>
      <c r="C107" s="304"/>
      <c r="D107" s="304"/>
      <c r="E107" s="304"/>
      <c r="F107" s="305"/>
    </row>
    <row r="108" spans="1:6" ht="18.75" customHeight="1" x14ac:dyDescent="0.15">
      <c r="A108" s="55"/>
      <c r="B108" s="303"/>
      <c r="C108" s="304"/>
      <c r="D108" s="304"/>
      <c r="E108" s="304"/>
      <c r="F108" s="305"/>
    </row>
    <row r="109" spans="1:6" ht="18.75" customHeight="1" x14ac:dyDescent="0.15">
      <c r="A109" s="55"/>
      <c r="B109" s="303"/>
      <c r="C109" s="304"/>
      <c r="D109" s="304"/>
      <c r="E109" s="304"/>
      <c r="F109" s="305"/>
    </row>
    <row r="110" spans="1:6" ht="18.75" customHeight="1" x14ac:dyDescent="0.15">
      <c r="A110" s="55"/>
      <c r="B110" s="303"/>
      <c r="C110" s="304"/>
      <c r="D110" s="304"/>
      <c r="E110" s="304"/>
      <c r="F110" s="305"/>
    </row>
    <row r="111" spans="1:6" ht="18.75" customHeight="1" x14ac:dyDescent="0.15">
      <c r="A111" s="55"/>
      <c r="B111" s="303"/>
      <c r="C111" s="304"/>
      <c r="D111" s="304"/>
      <c r="E111" s="304"/>
      <c r="F111" s="305"/>
    </row>
    <row r="112" spans="1:6" ht="18.75" customHeight="1" x14ac:dyDescent="0.15">
      <c r="A112" s="55"/>
      <c r="B112" s="303"/>
      <c r="C112" s="304"/>
      <c r="D112" s="304"/>
      <c r="E112" s="304"/>
      <c r="F112" s="305"/>
    </row>
    <row r="113" spans="1:6" ht="18.75" customHeight="1" x14ac:dyDescent="0.15">
      <c r="A113" s="55"/>
      <c r="B113" s="303"/>
      <c r="C113" s="304"/>
      <c r="D113" s="304"/>
      <c r="E113" s="304"/>
      <c r="F113" s="305"/>
    </row>
    <row r="114" spans="1:6" ht="18.75" customHeight="1" x14ac:dyDescent="0.15">
      <c r="A114" s="55"/>
      <c r="B114" s="303"/>
      <c r="C114" s="304"/>
      <c r="D114" s="304"/>
      <c r="E114" s="304"/>
      <c r="F114" s="305"/>
    </row>
    <row r="115" spans="1:6" ht="18.75" customHeight="1" x14ac:dyDescent="0.15">
      <c r="A115" s="24"/>
      <c r="B115" s="303"/>
      <c r="C115" s="304"/>
      <c r="D115" s="304"/>
      <c r="E115" s="304"/>
      <c r="F115" s="305"/>
    </row>
    <row r="116" spans="1:6" ht="18.75" customHeight="1" x14ac:dyDescent="0.15">
      <c r="A116" s="24"/>
      <c r="B116" s="303"/>
      <c r="C116" s="304"/>
      <c r="D116" s="304"/>
      <c r="E116" s="304"/>
      <c r="F116" s="305"/>
    </row>
    <row r="117" spans="1:6" ht="18.75" customHeight="1" x14ac:dyDescent="0.15">
      <c r="A117" s="24"/>
      <c r="B117" s="303"/>
      <c r="C117" s="304"/>
      <c r="D117" s="304"/>
      <c r="E117" s="304"/>
      <c r="F117" s="305"/>
    </row>
    <row r="118" spans="1:6" ht="18.75" customHeight="1" x14ac:dyDescent="0.15">
      <c r="A118" s="24"/>
      <c r="B118" s="303"/>
      <c r="C118" s="304"/>
      <c r="D118" s="304"/>
      <c r="E118" s="304"/>
      <c r="F118" s="305"/>
    </row>
    <row r="119" spans="1:6" ht="18.75" customHeight="1" x14ac:dyDescent="0.15">
      <c r="A119" s="24"/>
      <c r="B119" s="303"/>
      <c r="C119" s="304"/>
      <c r="D119" s="304"/>
      <c r="E119" s="304"/>
      <c r="F119" s="305"/>
    </row>
    <row r="120" spans="1:6" ht="18.75" customHeight="1" x14ac:dyDescent="0.15">
      <c r="A120" s="24"/>
      <c r="B120" s="303"/>
      <c r="C120" s="304"/>
      <c r="D120" s="304"/>
      <c r="E120" s="304"/>
      <c r="F120" s="305"/>
    </row>
    <row r="121" spans="1:6" ht="18.75" customHeight="1" x14ac:dyDescent="0.15">
      <c r="A121" s="24"/>
      <c r="B121" s="303"/>
      <c r="C121" s="304"/>
      <c r="D121" s="304"/>
      <c r="E121" s="304"/>
      <c r="F121" s="305"/>
    </row>
    <row r="122" spans="1:6" ht="18.75" customHeight="1" x14ac:dyDescent="0.15">
      <c r="A122" s="24"/>
      <c r="B122" s="303"/>
      <c r="C122" s="304"/>
      <c r="D122" s="304"/>
      <c r="E122" s="304"/>
      <c r="F122" s="305"/>
    </row>
    <row r="123" spans="1:6" ht="18.75" customHeight="1" x14ac:dyDescent="0.15">
      <c r="A123" s="24"/>
      <c r="B123" s="303"/>
      <c r="C123" s="304"/>
      <c r="D123" s="304"/>
      <c r="E123" s="304"/>
      <c r="F123" s="305"/>
    </row>
    <row r="124" spans="1:6" ht="18.75" customHeight="1" x14ac:dyDescent="0.15">
      <c r="A124" s="24"/>
      <c r="B124" s="303"/>
      <c r="C124" s="304"/>
      <c r="D124" s="304"/>
      <c r="E124" s="304"/>
      <c r="F124" s="305"/>
    </row>
    <row r="125" spans="1:6" ht="18.75" customHeight="1" x14ac:dyDescent="0.15">
      <c r="A125" s="24"/>
      <c r="B125" s="303"/>
      <c r="C125" s="304"/>
      <c r="D125" s="304"/>
      <c r="E125" s="304"/>
      <c r="F125" s="305"/>
    </row>
    <row r="126" spans="1:6" ht="18.75" customHeight="1" x14ac:dyDescent="0.15">
      <c r="A126" s="24"/>
      <c r="B126" s="303"/>
      <c r="C126" s="304"/>
      <c r="D126" s="304"/>
      <c r="E126" s="304"/>
      <c r="F126" s="305"/>
    </row>
    <row r="127" spans="1:6" ht="18.75" customHeight="1" x14ac:dyDescent="0.15">
      <c r="A127" s="24"/>
      <c r="B127" s="303"/>
      <c r="C127" s="304"/>
      <c r="D127" s="304"/>
      <c r="E127" s="304"/>
      <c r="F127" s="305"/>
    </row>
    <row r="128" spans="1:6" ht="18.75" customHeight="1" x14ac:dyDescent="0.15">
      <c r="A128" s="24"/>
      <c r="B128" s="303"/>
      <c r="C128" s="304"/>
      <c r="D128" s="304"/>
      <c r="E128" s="304"/>
      <c r="F128" s="305"/>
    </row>
    <row r="129" spans="1:6" ht="18.75" customHeight="1" x14ac:dyDescent="0.15">
      <c r="A129" s="24"/>
      <c r="B129" s="306"/>
      <c r="C129" s="307"/>
      <c r="D129" s="307"/>
      <c r="E129" s="307"/>
      <c r="F129" s="308"/>
    </row>
  </sheetData>
  <mergeCells count="6">
    <mergeCell ref="B89:F129"/>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様式２－１　プログラムを構成する授業科目</vt:lpstr>
      <vt:lpstr>様式３　履修者等数の実績</vt:lpstr>
      <vt:lpstr>様式4－1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丹羽 勇二</cp:lastModifiedBy>
  <cp:lastPrinted>2021-05-12T02:15:08Z</cp:lastPrinted>
  <dcterms:created xsi:type="dcterms:W3CDTF">2011-06-14T05:32:50Z</dcterms:created>
  <dcterms:modified xsi:type="dcterms:W3CDTF">2021-07-02T07:31:05Z</dcterms:modified>
</cp:coreProperties>
</file>