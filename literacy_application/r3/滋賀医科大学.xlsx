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72.28.64.72\20_学生企画係\数理・データサイエンス・ＡＩ教育プログラム認定制度（リテラシーレベル）\20210714修正依頼\"/>
    </mc:Choice>
  </mc:AlternateContent>
  <bookViews>
    <workbookView xWindow="0" yWindow="0" windowWidth="28800" windowHeight="12255" tabRatio="885"/>
  </bookViews>
  <sheets>
    <sheet name="様式1　大学等概要" sheetId="44" r:id="rId1"/>
    <sheet name="様式２－１　プログラムを構成する授業科目 " sheetId="45" r:id="rId2"/>
    <sheet name="様式２－２　プログラムを構成する授業科目 " sheetId="46" r:id="rId3"/>
    <sheet name="様式３　履修者等数の実績" sheetId="47" r:id="rId4"/>
    <sheet name="様式4－１　プログラムの授業内容・概要" sheetId="38" r:id="rId5"/>
    <sheet name="様式4－２　プログラムの授業内容・概要" sheetId="43" r:id="rId6"/>
    <sheet name="様式５　教育の質・履修者数向上の体制・計画 " sheetId="39" r:id="rId7"/>
    <sheet name="様式６　自己点検・評価 " sheetId="37" r:id="rId8"/>
    <sheet name="〔記載なし〕様式７　特色ある取組" sheetId="29" r:id="rId9"/>
  </sheets>
  <definedNames>
    <definedName name="_xlnm._FilterDatabase" localSheetId="1" hidden="1">'様式２－１　プログラムを構成する授業科目 '!#REF!</definedName>
    <definedName name="_xlnm._FilterDatabase" localSheetId="2" hidden="1">'様式２－２　プログラムを構成する授業科目 '!#REF!</definedName>
    <definedName name="_xlnm._FilterDatabase" localSheetId="3" hidden="1">'様式３　履修者等数の実績'!#REF!</definedName>
    <definedName name="_xlnm.Print_Area" localSheetId="8">'〔記載なし〕様式７　特色ある取組'!$A$1:$F$130</definedName>
    <definedName name="_xlnm.Print_Area" localSheetId="0">'様式1　大学等概要'!$A$1:$N$55</definedName>
    <definedName name="_xlnm.Print_Area" localSheetId="1">'様式２－１　プログラムを構成する授業科目 '!$A$1:$I$44</definedName>
    <definedName name="_xlnm.Print_Area" localSheetId="2">'様式２－２　プログラムを構成する授業科目 '!$A$1:$I$44</definedName>
    <definedName name="_xlnm.Print_Area" localSheetId="3">'様式３　履修者等数の実績'!$A$1:$R$29</definedName>
    <definedName name="_xlnm.Print_Area" localSheetId="6">'様式５　教育の質・履修者数向上の体制・計画 '!$A$1:$E$127</definedName>
    <definedName name="_xlnm.Print_Area" localSheetId="7">'様式６　自己点検・評価 '!$A$1:$J$20</definedName>
  </definedNames>
  <calcPr calcId="162913" calcMode="manual"/>
</workbook>
</file>

<file path=xl/calcChain.xml><?xml version="1.0" encoding="utf-8"?>
<calcChain xmlns="http://schemas.openxmlformats.org/spreadsheetml/2006/main">
  <c r="P28" i="47" l="1"/>
  <c r="O28" i="47"/>
  <c r="N28" i="47"/>
  <c r="M28" i="47"/>
  <c r="L28" i="47"/>
  <c r="K28" i="47"/>
  <c r="J28" i="47"/>
  <c r="I28" i="47"/>
  <c r="H28" i="47"/>
  <c r="G28" i="47"/>
  <c r="F28" i="47"/>
  <c r="E28" i="47"/>
  <c r="D28" i="47"/>
  <c r="Q27" i="47"/>
  <c r="R27" i="47" s="1"/>
  <c r="Q26" i="47"/>
  <c r="R26" i="47" s="1"/>
  <c r="Q25" i="47"/>
  <c r="R25" i="47" s="1"/>
  <c r="R24" i="47"/>
  <c r="Q24" i="47"/>
  <c r="Q23" i="47"/>
  <c r="R23" i="47" s="1"/>
  <c r="Q22" i="47"/>
  <c r="R22" i="47" s="1"/>
  <c r="Q21" i="47"/>
  <c r="R21" i="47" s="1"/>
  <c r="R20" i="47"/>
  <c r="Q20" i="47"/>
  <c r="Q19" i="47"/>
  <c r="R19" i="47" s="1"/>
  <c r="Q18" i="47"/>
  <c r="R18" i="47" s="1"/>
  <c r="Q17" i="47"/>
  <c r="R17" i="47" s="1"/>
  <c r="R16" i="47"/>
  <c r="Q16" i="47"/>
  <c r="Q15" i="47"/>
  <c r="R15" i="47" s="1"/>
  <c r="Q14" i="47"/>
  <c r="R14" i="47" s="1"/>
  <c r="Q13" i="47"/>
  <c r="R13" i="47" s="1"/>
  <c r="R12" i="47"/>
  <c r="Q12" i="47"/>
  <c r="Q11" i="47"/>
  <c r="R11" i="47" s="1"/>
  <c r="Q10" i="47"/>
  <c r="R10" i="47" s="1"/>
  <c r="Q9" i="47"/>
  <c r="Q8" i="47"/>
  <c r="R8" i="47" s="1"/>
  <c r="Q28" i="47" l="1"/>
  <c r="R28" i="47" s="1"/>
  <c r="R9" i="47"/>
</calcChain>
</file>

<file path=xl/sharedStrings.xml><?xml version="1.0" encoding="utf-8"?>
<sst xmlns="http://schemas.openxmlformats.org/spreadsheetml/2006/main" count="476" uniqueCount="332">
  <si>
    <t>教員数</t>
    <rPh sb="0" eb="2">
      <t>キョウイン</t>
    </rPh>
    <rPh sb="2" eb="3">
      <t>スウ</t>
    </rPh>
    <phoneticPr fontId="3"/>
  </si>
  <si>
    <t>所属部署名</t>
    <rPh sb="0" eb="2">
      <t>ショゾク</t>
    </rPh>
    <rPh sb="2" eb="4">
      <t>ブショ</t>
    </rPh>
    <rPh sb="4" eb="5">
      <t>メイ</t>
    </rPh>
    <phoneticPr fontId="3"/>
  </si>
  <si>
    <t>担当者名</t>
    <rPh sb="0" eb="2">
      <t>タントウ</t>
    </rPh>
    <rPh sb="2" eb="3">
      <t>シャ</t>
    </rPh>
    <rPh sb="3" eb="4">
      <t>メイ</t>
    </rPh>
    <phoneticPr fontId="3"/>
  </si>
  <si>
    <t>連絡先</t>
    <rPh sb="0" eb="3">
      <t>レンラクサキ</t>
    </rPh>
    <phoneticPr fontId="3"/>
  </si>
  <si>
    <t>電話番号</t>
  </si>
  <si>
    <t>E-mail</t>
  </si>
  <si>
    <t>（常勤）</t>
    <rPh sb="1" eb="3">
      <t>ジョウキン</t>
    </rPh>
    <phoneticPr fontId="3"/>
  </si>
  <si>
    <t>①</t>
    <phoneticPr fontId="3"/>
  </si>
  <si>
    <t>：</t>
    <phoneticPr fontId="3"/>
  </si>
  <si>
    <t>様式６</t>
    <rPh sb="0" eb="2">
      <t>ヨウシキ</t>
    </rPh>
    <phoneticPr fontId="3"/>
  </si>
  <si>
    <t>人</t>
    <rPh sb="0" eb="1">
      <t>ニン</t>
    </rPh>
    <phoneticPr fontId="3"/>
  </si>
  <si>
    <t>（非常勤）</t>
    <rPh sb="1" eb="4">
      <t>ヒジョウキン</t>
    </rPh>
    <phoneticPr fontId="3"/>
  </si>
  <si>
    <t>②</t>
    <phoneticPr fontId="3"/>
  </si>
  <si>
    <t>③</t>
    <phoneticPr fontId="3"/>
  </si>
  <si>
    <t>⑦</t>
    <phoneticPr fontId="3"/>
  </si>
  <si>
    <t>様式７</t>
    <rPh sb="0" eb="2">
      <t>ヨウシキ</t>
    </rPh>
    <phoneticPr fontId="3"/>
  </si>
  <si>
    <t>④</t>
    <phoneticPr fontId="3"/>
  </si>
  <si>
    <t>⑥</t>
    <phoneticPr fontId="3"/>
  </si>
  <si>
    <t>具体的な構成員</t>
    <rPh sb="0" eb="3">
      <t>グタイテキ</t>
    </rPh>
    <rPh sb="4" eb="7">
      <t>コウセイイン</t>
    </rPh>
    <phoneticPr fontId="3"/>
  </si>
  <si>
    <t>学校名</t>
    <rPh sb="0" eb="2">
      <t>ガッコウ</t>
    </rPh>
    <rPh sb="2" eb="3">
      <t>メイ</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</si>
  <si>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</si>
  <si>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</si>
  <si>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</si>
  <si>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</si>
  <si>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人</t>
  </si>
  <si>
    <t>（役職名）</t>
    <rPh sb="1" eb="4">
      <t>ヤクショクメイ</t>
    </rPh>
    <phoneticPr fontId="3"/>
  </si>
  <si>
    <t>様式１</t>
    <rPh sb="0" eb="2">
      <t>ヨウシキ</t>
    </rPh>
    <phoneticPr fontId="3"/>
  </si>
  <si>
    <t>履修者数・履修率の向上に向けた計画</t>
    <rPh sb="5" eb="7">
      <t>リシュウ</t>
    </rPh>
    <rPh sb="7" eb="8">
      <t>リツ</t>
    </rPh>
    <phoneticPr fontId="3"/>
  </si>
  <si>
    <t>学校名：</t>
    <rPh sb="0" eb="3">
      <t>ガッコウメイ</t>
    </rPh>
    <phoneticPr fontId="3"/>
  </si>
  <si>
    <t>学校名：</t>
    <rPh sb="0" eb="2">
      <t>ガッコウ</t>
    </rPh>
    <rPh sb="2" eb="3">
      <t>メイ</t>
    </rPh>
    <phoneticPr fontId="3"/>
  </si>
  <si>
    <t>授業内容</t>
    <rPh sb="0" eb="2">
      <t>ジュギョウ</t>
    </rPh>
    <rPh sb="2" eb="4">
      <t>ナイヨウ</t>
    </rPh>
    <phoneticPr fontId="3"/>
  </si>
  <si>
    <t>できる限り多くの学生が履修・修得できるようなサポート体制</t>
    <rPh sb="26" eb="28">
      <t>タイセイ</t>
    </rPh>
    <phoneticPr fontId="3"/>
  </si>
  <si>
    <t>学内からの視点</t>
    <rPh sb="0" eb="2">
      <t>ガクナイ</t>
    </rPh>
    <rPh sb="5" eb="7">
      <t>シテン</t>
    </rPh>
    <phoneticPr fontId="3"/>
  </si>
  <si>
    <t>プログラムの履修・修得状況</t>
    <rPh sb="6" eb="8">
      <t>リシュウ</t>
    </rPh>
    <rPh sb="9" eb="11">
      <t>シュウトク</t>
    </rPh>
    <rPh sb="11" eb="13">
      <t>ジョウキョウ</t>
    </rPh>
    <phoneticPr fontId="3"/>
  </si>
  <si>
    <t>学修成果</t>
    <rPh sb="0" eb="2">
      <t>ガクシュウ</t>
    </rPh>
    <rPh sb="2" eb="4">
      <t>セイカ</t>
    </rPh>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</si>
  <si>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</si>
  <si>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</si>
  <si>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</si>
  <si>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学外からの視点</t>
    <rPh sb="0" eb="2">
      <t>ガクガイ</t>
    </rPh>
    <rPh sb="5" eb="7">
      <t>シテン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</si>
  <si>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</si>
  <si>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</si>
  <si>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</si>
  <si>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t>自己点検・評価の視点</t>
    <rPh sb="0" eb="2">
      <t>ジコ</t>
    </rPh>
    <rPh sb="2" eb="4">
      <t>テンケン</t>
    </rPh>
    <rPh sb="5" eb="7">
      <t>ヒョウカ</t>
    </rPh>
    <rPh sb="8" eb="10">
      <t>シテン</t>
    </rPh>
    <phoneticPr fontId="3"/>
  </si>
  <si>
    <t>体制の目的</t>
    <rPh sb="0" eb="2">
      <t>タイセイ</t>
    </rPh>
    <rPh sb="3" eb="5">
      <t>モクテキ</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</si>
  <si>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</si>
  <si>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自己点検・評価体制における意見等</t>
    <rPh sb="15" eb="16">
      <t>トウ</t>
    </rPh>
    <phoneticPr fontId="3"/>
  </si>
  <si>
    <t>自己点検・評価体制における意見等の公表の有無</t>
    <rPh sb="17" eb="19">
      <t>コウヒョウ</t>
    </rPh>
    <rPh sb="20" eb="22">
      <t>ウム</t>
    </rPh>
    <phoneticPr fontId="3"/>
  </si>
  <si>
    <t>自己点検・評価について</t>
    <rPh sb="0" eb="2">
      <t>ジコ</t>
    </rPh>
    <rPh sb="2" eb="4">
      <t>テンケン</t>
    </rPh>
    <rPh sb="5" eb="7">
      <t>ヒョウカ</t>
    </rPh>
    <phoneticPr fontId="3"/>
  </si>
  <si>
    <t>修了者数</t>
    <rPh sb="0" eb="3">
      <t>シュウリョウシャ</t>
    </rPh>
    <rPh sb="3" eb="4">
      <t>スウ</t>
    </rPh>
    <phoneticPr fontId="3"/>
  </si>
  <si>
    <t>履修者数</t>
    <rPh sb="0" eb="2">
      <t>リシュウ</t>
    </rPh>
    <rPh sb="2" eb="3">
      <t>シャ</t>
    </rPh>
    <rPh sb="3" eb="4">
      <t>スウ</t>
    </rPh>
    <phoneticPr fontId="3"/>
  </si>
  <si>
    <t>５年次</t>
    <rPh sb="1" eb="2">
      <t>ネン</t>
    </rPh>
    <rPh sb="2" eb="3">
      <t>ツギ</t>
    </rPh>
    <phoneticPr fontId="3"/>
  </si>
  <si>
    <t>６年次</t>
    <rPh sb="1" eb="2">
      <t>ネン</t>
    </rPh>
    <rPh sb="2" eb="3">
      <t>ツギ</t>
    </rPh>
    <phoneticPr fontId="3"/>
  </si>
  <si>
    <t>大学等の設置者</t>
  </si>
  <si>
    <t>設置形態</t>
  </si>
  <si>
    <t>総数</t>
    <rPh sb="0" eb="2">
      <t>ソウスウ</t>
    </rPh>
    <phoneticPr fontId="3"/>
  </si>
  <si>
    <t>学校名：</t>
    <rPh sb="0" eb="2">
      <t>ガッコウ</t>
    </rPh>
    <phoneticPr fontId="3"/>
  </si>
  <si>
    <t>履修率</t>
    <rPh sb="0" eb="2">
      <t>リシュウ</t>
    </rPh>
    <rPh sb="2" eb="3">
      <t>リツ</t>
    </rPh>
    <phoneticPr fontId="3"/>
  </si>
  <si>
    <t>プログラムの開設年度</t>
    <rPh sb="6" eb="8">
      <t>カイセツ</t>
    </rPh>
    <rPh sb="8" eb="10">
      <t>ネンド</t>
    </rPh>
    <phoneticPr fontId="3"/>
  </si>
  <si>
    <t>履修者数
合計</t>
    <rPh sb="0" eb="2">
      <t>リシュウ</t>
    </rPh>
    <rPh sb="2" eb="3">
      <t>シャ</t>
    </rPh>
    <rPh sb="3" eb="4">
      <t>スウ</t>
    </rPh>
    <rPh sb="5" eb="7">
      <t>ゴウケイ</t>
    </rPh>
    <phoneticPr fontId="3"/>
  </si>
  <si>
    <t>様式３</t>
    <rPh sb="0" eb="2">
      <t>ヨウシキ</t>
    </rPh>
    <phoneticPr fontId="3"/>
  </si>
  <si>
    <t>授業に含まれている内容・要素</t>
    <rPh sb="0" eb="2">
      <t>ジュギョウ</t>
    </rPh>
    <rPh sb="3" eb="4">
      <t>フク</t>
    </rPh>
    <rPh sb="9" eb="11">
      <t>ナイヨウ</t>
    </rPh>
    <rPh sb="12" eb="14">
      <t>ヨウソ</t>
    </rPh>
    <phoneticPr fontId="3"/>
  </si>
  <si>
    <t>統計及び数理基礎</t>
    <rPh sb="0" eb="2">
      <t>トウケイ</t>
    </rPh>
    <rPh sb="2" eb="3">
      <t>オヨ</t>
    </rPh>
    <rPh sb="4" eb="6">
      <t>スウリ</t>
    </rPh>
    <rPh sb="6" eb="8">
      <t>キソ</t>
    </rPh>
    <phoneticPr fontId="3"/>
  </si>
  <si>
    <t>アルゴリズム基礎</t>
    <rPh sb="6" eb="8">
      <t>キソ</t>
    </rPh>
    <phoneticPr fontId="3"/>
  </si>
  <si>
    <t>データ構造とプログラミング基礎</t>
    <rPh sb="3" eb="5">
      <t>コウゾウ</t>
    </rPh>
    <rPh sb="13" eb="15">
      <t>キソ</t>
    </rPh>
    <phoneticPr fontId="3"/>
  </si>
  <si>
    <t>時系列データ解析</t>
    <rPh sb="0" eb="3">
      <t>ジケイレツ</t>
    </rPh>
    <rPh sb="6" eb="8">
      <t>カイセキ</t>
    </rPh>
    <phoneticPr fontId="3"/>
  </si>
  <si>
    <t>テキスト解析</t>
    <rPh sb="4" eb="6">
      <t>カイセキ</t>
    </rPh>
    <phoneticPr fontId="3"/>
  </si>
  <si>
    <t>画像解析</t>
    <rPh sb="0" eb="2">
      <t>ガゾウ</t>
    </rPh>
    <rPh sb="2" eb="4">
      <t>カイセキ</t>
    </rPh>
    <phoneticPr fontId="3"/>
  </si>
  <si>
    <t>データ活用実践（教師あり学習）</t>
    <rPh sb="3" eb="5">
      <t>カツヨウ</t>
    </rPh>
    <rPh sb="5" eb="7">
      <t>ジッセン</t>
    </rPh>
    <rPh sb="8" eb="10">
      <t>キョウシ</t>
    </rPh>
    <rPh sb="12" eb="14">
      <t>ガクシュウ</t>
    </rPh>
    <phoneticPr fontId="3"/>
  </si>
  <si>
    <t>その他</t>
    <rPh sb="2" eb="3">
      <t>タ</t>
    </rPh>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</si>
  <si>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</si>
  <si>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</si>
  <si>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学校名</t>
    <rPh sb="0" eb="3">
      <t>ガッコウメイ</t>
    </rPh>
    <phoneticPr fontId="3"/>
  </si>
  <si>
    <t>収容
定員</t>
    <rPh sb="0" eb="2">
      <t>シュウヨウ</t>
    </rPh>
    <rPh sb="3" eb="5">
      <t>テイイン</t>
    </rPh>
    <phoneticPr fontId="3"/>
  </si>
  <si>
    <t>申請する認定プログラム</t>
    <rPh sb="0" eb="2">
      <t>シンセイ</t>
    </rPh>
    <rPh sb="4" eb="6">
      <t>ニンテイ</t>
    </rPh>
    <phoneticPr fontId="3"/>
  </si>
  <si>
    <t>プログラムの授業を教えている教員数</t>
    <rPh sb="6" eb="8">
      <t>ジュギョウ</t>
    </rPh>
    <rPh sb="9" eb="10">
      <t>オシ</t>
    </rPh>
    <rPh sb="14" eb="16">
      <t>キョウイン</t>
    </rPh>
    <rPh sb="16" eb="17">
      <t>スウ</t>
    </rPh>
    <phoneticPr fontId="3"/>
  </si>
  <si>
    <t>学生への学習支援</t>
    <rPh sb="0" eb="2">
      <t>ガクセイ</t>
    </rPh>
    <rPh sb="4" eb="6">
      <t>ガクシュウ</t>
    </rPh>
    <rPh sb="6" eb="8">
      <t>シエン</t>
    </rPh>
    <phoneticPr fontId="3"/>
  </si>
  <si>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3"/>
  </si>
  <si>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3"/>
  </si>
  <si>
    <t>プログラムの授業内容・概要</t>
    <rPh sb="6" eb="8">
      <t>ジュギョウ</t>
    </rPh>
    <rPh sb="8" eb="10">
      <t>ナイヨウ</t>
    </rPh>
    <rPh sb="11" eb="13">
      <t>ガイヨウ</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</si>
  <si>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</si>
  <si>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t>プログラムの授業内容等を公表しているアドレス</t>
    <rPh sb="6" eb="8">
      <t>ジュギョウ</t>
    </rPh>
    <rPh sb="8" eb="10">
      <t>ナイヨウ</t>
    </rPh>
    <rPh sb="10" eb="11">
      <t>トウ</t>
    </rPh>
    <rPh sb="12" eb="14">
      <t>コウヒョウ</t>
    </rPh>
    <phoneticPr fontId="3"/>
  </si>
  <si>
    <t>プログラムの学修成果（学生等が身に付けられる能力等）</t>
  </si>
  <si>
    <t>教育プログラムの修了要件</t>
    <rPh sb="8" eb="10">
      <t>シュウリョウ</t>
    </rPh>
    <phoneticPr fontId="3"/>
  </si>
  <si>
    <t>具体的な修了要件</t>
    <rPh sb="0" eb="3">
      <t>グタイテキ</t>
    </rPh>
    <rPh sb="4" eb="6">
      <t>シュウリョウ</t>
    </rPh>
    <rPh sb="6" eb="8">
      <t>ヨウケン</t>
    </rPh>
    <phoneticPr fontId="3"/>
  </si>
  <si>
    <t>授業科目名称</t>
    <rPh sb="0" eb="2">
      <t>ジュギョウ</t>
    </rPh>
    <rPh sb="2" eb="4">
      <t>カモク</t>
    </rPh>
    <rPh sb="4" eb="6">
      <t>メイショウ</t>
    </rPh>
    <phoneticPr fontId="3"/>
  </si>
  <si>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3"/>
  </si>
  <si>
    <t>様式５</t>
    <rPh sb="0" eb="2">
      <t>ヨウシキ</t>
    </rPh>
    <phoneticPr fontId="3"/>
  </si>
  <si>
    <t>授業概要</t>
    <rPh sb="0" eb="2">
      <t>ジュギョウ</t>
    </rPh>
    <rPh sb="2" eb="4">
      <t>ガイヨウ</t>
    </rPh>
    <phoneticPr fontId="3"/>
  </si>
  <si>
    <t>授業科目名称</t>
    <rPh sb="0" eb="2">
      <t>ジュギョウ</t>
    </rPh>
    <rPh sb="2" eb="6">
      <t>カモクメイショウ</t>
    </rPh>
    <phoneticPr fontId="3"/>
  </si>
  <si>
    <t>講義テーマ</t>
    <rPh sb="0" eb="2">
      <t>コウギ</t>
    </rPh>
    <phoneticPr fontId="3"/>
  </si>
  <si>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3"/>
  </si>
  <si>
    <t>※公表している場合のアドレス</t>
    <rPh sb="1" eb="3">
      <t>コウヒョウ</t>
    </rPh>
    <rPh sb="7" eb="9">
      <t>バアイ</t>
    </rPh>
    <phoneticPr fontId="3"/>
  </si>
  <si>
    <t>（責任者名）</t>
    <rPh sb="1" eb="4">
      <t>セキニンシャ</t>
    </rPh>
    <rPh sb="4" eb="5">
      <t>メイ</t>
    </rPh>
    <phoneticPr fontId="3"/>
  </si>
  <si>
    <t>令和2年度</t>
    <rPh sb="0" eb="2">
      <t>レイワ</t>
    </rPh>
    <rPh sb="3" eb="5">
      <t>ネンド</t>
    </rPh>
    <phoneticPr fontId="3"/>
  </si>
  <si>
    <t>令和元年度</t>
    <rPh sb="0" eb="2">
      <t>レイワ</t>
    </rPh>
    <rPh sb="2" eb="3">
      <t>ゲン</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</si>
  <si>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</si>
  <si>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</si>
  <si>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</si>
  <si>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平成27年度</t>
    <rPh sb="0" eb="2">
      <t>ヘイセイ</t>
    </rPh>
    <rPh sb="4" eb="6">
      <t>ネンド</t>
    </rPh>
    <phoneticPr fontId="3"/>
  </si>
  <si>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3"/>
  </si>
  <si>
    <t>全学部・学科の入学定員</t>
    <rPh sb="0" eb="1">
      <t>ゼン</t>
    </rPh>
    <rPh sb="4" eb="6">
      <t>ガッカ</t>
    </rPh>
    <rPh sb="7" eb="9">
      <t>ニュウガク</t>
    </rPh>
    <rPh sb="9" eb="11">
      <t>テイイン</t>
    </rPh>
    <phoneticPr fontId="3"/>
  </si>
  <si>
    <t>全学部・学科の学生数（学年別）</t>
    <rPh sb="0" eb="1">
      <t>ゼン</t>
    </rPh>
    <rPh sb="4" eb="6">
      <t>ガッカ</t>
    </rPh>
    <rPh sb="7" eb="10">
      <t>ガクセイスウ</t>
    </rPh>
    <rPh sb="11" eb="13">
      <t>ガクネン</t>
    </rPh>
    <rPh sb="13" eb="14">
      <t>ベツ</t>
    </rPh>
    <phoneticPr fontId="3"/>
  </si>
  <si>
    <t>学部・学科名称</t>
    <rPh sb="0" eb="2">
      <t>ガクブ</t>
    </rPh>
    <rPh sb="3" eb="5">
      <t>ガッカ</t>
    </rPh>
    <rPh sb="5" eb="7">
      <t>メイショウ</t>
    </rPh>
    <phoneticPr fontId="3"/>
  </si>
  <si>
    <t>申請するプログラム又は授業科目名称</t>
    <rPh sb="0" eb="2">
      <t>シンセイ</t>
    </rPh>
    <rPh sb="9" eb="10">
      <t>マタ</t>
    </rPh>
    <rPh sb="11" eb="13">
      <t>ジュギョウ</t>
    </rPh>
    <rPh sb="13" eb="15">
      <t>カモク</t>
    </rPh>
    <rPh sb="15" eb="17">
      <t>メイショウ</t>
    </rPh>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</si>
  <si>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</si>
  <si>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</si>
  <si>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授業時間内外で学習指導、質問を受け付ける具体的な仕組み</t>
    <rPh sb="20" eb="23">
      <t>グタイテキ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</si>
  <si>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</si>
  <si>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情報科学</t>
    <rPh sb="0" eb="2">
      <t>ジョウホウ</t>
    </rPh>
    <rPh sb="2" eb="4">
      <t>カガク</t>
    </rPh>
    <phoneticPr fontId="3"/>
  </si>
  <si>
    <t>医療イノベーションの基礎</t>
    <rPh sb="0" eb="2">
      <t>イリョウ</t>
    </rPh>
    <rPh sb="10" eb="12">
      <t>キソ</t>
    </rPh>
    <phoneticPr fontId="3"/>
  </si>
  <si>
    <t>医療情報学</t>
    <rPh sb="0" eb="2">
      <t>イリョウ</t>
    </rPh>
    <rPh sb="2" eb="4">
      <t>ジョウホウ</t>
    </rPh>
    <rPh sb="4" eb="5">
      <t>ガク</t>
    </rPh>
    <phoneticPr fontId="3"/>
  </si>
  <si>
    <t>滋賀医科大学</t>
    <rPh sb="0" eb="2">
      <t>シガ</t>
    </rPh>
    <rPh sb="2" eb="4">
      <t>イカ</t>
    </rPh>
    <rPh sb="4" eb="6">
      <t>ダイガク</t>
    </rPh>
    <phoneticPr fontId="3"/>
  </si>
  <si>
    <t>国立大学</t>
  </si>
  <si>
    <t>森　康行</t>
    <rPh sb="0" eb="1">
      <t>モリ</t>
    </rPh>
    <rPh sb="2" eb="4">
      <t>ヤスユキ</t>
    </rPh>
    <phoneticPr fontId="3"/>
  </si>
  <si>
    <t>学生課学生企画係</t>
    <rPh sb="0" eb="2">
      <t>ガクセイ</t>
    </rPh>
    <rPh sb="2" eb="3">
      <t>カ</t>
    </rPh>
    <rPh sb="3" eb="5">
      <t>ガクセイ</t>
    </rPh>
    <rPh sb="5" eb="7">
      <t>キカク</t>
    </rPh>
    <rPh sb="7" eb="8">
      <t>カカ</t>
    </rPh>
    <phoneticPr fontId="3"/>
  </si>
  <si>
    <t>松浦　博</t>
    <rPh sb="0" eb="2">
      <t>マツウラ</t>
    </rPh>
    <rPh sb="3" eb="4">
      <t>ヒロシ</t>
    </rPh>
    <phoneticPr fontId="3"/>
  </si>
  <si>
    <t>理事・副学長（教育・学生支援・コンプライアンス担当）</t>
    <rPh sb="0" eb="2">
      <t>リジ</t>
    </rPh>
    <rPh sb="3" eb="6">
      <t>フクガクチョウ</t>
    </rPh>
    <rPh sb="7" eb="9">
      <t>キョウイク</t>
    </rPh>
    <rPh sb="10" eb="12">
      <t>ガクセイ</t>
    </rPh>
    <rPh sb="12" eb="14">
      <t>シエン</t>
    </rPh>
    <rPh sb="23" eb="25">
      <t>タントウ</t>
    </rPh>
    <phoneticPr fontId="3"/>
  </si>
  <si>
    <t>大津市瀬田月輪町</t>
    <rPh sb="0" eb="3">
      <t>オオツシ</t>
    </rPh>
    <rPh sb="3" eb="5">
      <t>セタ</t>
    </rPh>
    <rPh sb="5" eb="6">
      <t>ツキ</t>
    </rPh>
    <rPh sb="6" eb="7">
      <t>ワ</t>
    </rPh>
    <rPh sb="7" eb="8">
      <t>マチ</t>
    </rPh>
    <phoneticPr fontId="3"/>
  </si>
  <si>
    <t>教育推進本部会議</t>
    <rPh sb="0" eb="2">
      <t>キョウイク</t>
    </rPh>
    <rPh sb="2" eb="4">
      <t>スイシン</t>
    </rPh>
    <rPh sb="4" eb="6">
      <t>ホンブ</t>
    </rPh>
    <rPh sb="6" eb="8">
      <t>カイギ</t>
    </rPh>
    <phoneticPr fontId="3"/>
  </si>
  <si>
    <t>認定教育プログラム</t>
  </si>
  <si>
    <t>学部・学科によって、修了要件は相違する</t>
  </si>
  <si>
    <t>医学部・医学科</t>
    <rPh sb="0" eb="2">
      <t>イガク</t>
    </rPh>
    <rPh sb="2" eb="3">
      <t>ブ</t>
    </rPh>
    <rPh sb="4" eb="5">
      <t>イ</t>
    </rPh>
    <rPh sb="5" eb="7">
      <t>ガッカ</t>
    </rPh>
    <phoneticPr fontId="3"/>
  </si>
  <si>
    <t>医学部・看護学科</t>
    <rPh sb="0" eb="2">
      <t>イガク</t>
    </rPh>
    <rPh sb="2" eb="3">
      <t>ブ</t>
    </rPh>
    <rPh sb="4" eb="6">
      <t>カンゴ</t>
    </rPh>
    <rPh sb="6" eb="8">
      <t>ガッカ</t>
    </rPh>
    <phoneticPr fontId="3"/>
  </si>
  <si>
    <t>滋賀医科大学</t>
    <rPh sb="0" eb="2">
      <t>シガ</t>
    </rPh>
    <rPh sb="2" eb="4">
      <t>イカ</t>
    </rPh>
    <rPh sb="4" eb="6">
      <t>ダイガク</t>
    </rPh>
    <phoneticPr fontId="3"/>
  </si>
  <si>
    <t>滋賀医科大学</t>
    <phoneticPr fontId="3"/>
  </si>
  <si>
    <t>①</t>
    <phoneticPr fontId="3"/>
  </si>
  <si>
    <t>（１）現在進行中の社会変化（第４次産業革命、Society 5.0、データ駆動型社会等）に深く寄与しているものであり、それが自らの生活と密接に結びついている
※モデルカリキュラム導入１－１、導入１－６が該当</t>
    <phoneticPr fontId="3"/>
  </si>
  <si>
    <t>（２）「社会で活用されているデータ」や「データの活用領域」は非常に広範囲であって、日常生活や社会の課題を解決する有用なツールになり得るもの
※モデルカリキュラム導入１－２、導入１－３が該当</t>
    <phoneticPr fontId="3"/>
  </si>
  <si>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3"/>
  </si>
  <si>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3"/>
  </si>
  <si>
    <t>②</t>
    <phoneticPr fontId="3"/>
  </si>
  <si>
    <t>データハンドリング</t>
    <phoneticPr fontId="3"/>
  </si>
  <si>
    <t>③</t>
    <phoneticPr fontId="3"/>
  </si>
  <si>
    <t>④</t>
    <phoneticPr fontId="3"/>
  </si>
  <si>
    <t>医療イノベーションの基礎</t>
    <phoneticPr fontId="3"/>
  </si>
  <si>
    <t>ランダム現象の数理</t>
    <phoneticPr fontId="3"/>
  </si>
  <si>
    <t>：</t>
    <phoneticPr fontId="3"/>
  </si>
  <si>
    <t>プログラムを改善・進化させるための体制を定める規則名称</t>
    <phoneticPr fontId="3"/>
  </si>
  <si>
    <t>②</t>
    <phoneticPr fontId="3"/>
  </si>
  <si>
    <t>⑤</t>
    <phoneticPr fontId="3"/>
  </si>
  <si>
    <t>⑧</t>
    <phoneticPr fontId="3"/>
  </si>
  <si>
    <t>現代社会と科学</t>
    <rPh sb="0" eb="2">
      <t>ゲンダイ</t>
    </rPh>
    <rPh sb="2" eb="4">
      <t>シャカイ</t>
    </rPh>
    <rPh sb="5" eb="7">
      <t>カガク</t>
    </rPh>
    <phoneticPr fontId="3"/>
  </si>
  <si>
    <t>検査医学</t>
    <rPh sb="0" eb="2">
      <t>ケンサ</t>
    </rPh>
    <rPh sb="2" eb="4">
      <t>イガク</t>
    </rPh>
    <phoneticPr fontId="3"/>
  </si>
  <si>
    <t>確率・統計</t>
    <rPh sb="0" eb="2">
      <t>カクリツ</t>
    </rPh>
    <rPh sb="3" eb="5">
      <t>トウケイ</t>
    </rPh>
    <phoneticPr fontId="3"/>
  </si>
  <si>
    <t>日本語表現法・アカデミックライティング</t>
    <phoneticPr fontId="3"/>
  </si>
  <si>
    <t>現代社会と科学</t>
    <phoneticPr fontId="3"/>
  </si>
  <si>
    <t>医療情報学</t>
    <rPh sb="0" eb="2">
      <t>イリョウ</t>
    </rPh>
    <rPh sb="2" eb="4">
      <t>ジョウホウ</t>
    </rPh>
    <rPh sb="4" eb="5">
      <t>ガク</t>
    </rPh>
    <phoneticPr fontId="3"/>
  </si>
  <si>
    <t>医療を取り巻く社会環境、医療分野のAI活用事例（１、７、８）</t>
    <phoneticPr fontId="3"/>
  </si>
  <si>
    <t>情報科学（看）</t>
    <rPh sb="0" eb="2">
      <t>ジョウホウ</t>
    </rPh>
    <rPh sb="2" eb="4">
      <t>カガク</t>
    </rPh>
    <rPh sb="5" eb="6">
      <t>ミ</t>
    </rPh>
    <phoneticPr fontId="3"/>
  </si>
  <si>
    <t>現代社会と科学</t>
    <phoneticPr fontId="3"/>
  </si>
  <si>
    <t>情報社会・Society 5.0における医療分野ICT、ビッグデータ、IoT、AIの活用例と限界(1, 6)</t>
    <phoneticPr fontId="3"/>
  </si>
  <si>
    <t>医療分野におけるAIの歴史・基本概念・研究開発・応用可能性・限界(1、6)</t>
    <rPh sb="0" eb="2">
      <t xml:space="preserve">イリョウ </t>
    </rPh>
    <rPh sb="2" eb="4">
      <t xml:space="preserve">ブンヤニ </t>
    </rPh>
    <rPh sb="11" eb="13">
      <t xml:space="preserve">レキシ </t>
    </rPh>
    <rPh sb="14" eb="18">
      <t xml:space="preserve">キホンガイネｎ </t>
    </rPh>
    <rPh sb="19" eb="23">
      <t xml:space="preserve">ケンキュウカイハツ </t>
    </rPh>
    <rPh sb="24" eb="29">
      <t xml:space="preserve">オウヨウカノウセイ </t>
    </rPh>
    <rPh sb="30" eb="32">
      <t xml:space="preserve">ゲンカイ </t>
    </rPh>
    <phoneticPr fontId="3"/>
  </si>
  <si>
    <t>医療情報学</t>
    <rPh sb="0" eb="2">
      <t xml:space="preserve">イリョウジョウホウガク </t>
    </rPh>
    <phoneticPr fontId="3"/>
  </si>
  <si>
    <t>医療・医学分野におけるAIとコンピュータシミュレーション(5, 6）</t>
    <rPh sb="0" eb="1">
      <t xml:space="preserve">イリョウ </t>
    </rPh>
    <rPh sb="3" eb="5">
      <t xml:space="preserve">イガク </t>
    </rPh>
    <rPh sb="5" eb="7">
      <t xml:space="preserve">ブンヤ </t>
    </rPh>
    <phoneticPr fontId="3"/>
  </si>
  <si>
    <t>医療情報・AI利活用における関連法案と情報セキュリティ(2, 6, 7, 8, 11, 12)</t>
    <phoneticPr fontId="3"/>
  </si>
  <si>
    <t>放射線医療学</t>
    <phoneticPr fontId="3"/>
  </si>
  <si>
    <t>放射線医療学</t>
    <rPh sb="0" eb="3">
      <t>ホウシャセン</t>
    </rPh>
    <rPh sb="3" eb="5">
      <t>イリョウ</t>
    </rPh>
    <rPh sb="5" eb="6">
      <t>ガク</t>
    </rPh>
    <phoneticPr fontId="3"/>
  </si>
  <si>
    <t>様式２－１</t>
    <rPh sb="0" eb="2">
      <t>ヨウシキ</t>
    </rPh>
    <phoneticPr fontId="3"/>
  </si>
  <si>
    <t>様式２－２</t>
    <rPh sb="0" eb="2">
      <t>ヨウシキ</t>
    </rPh>
    <phoneticPr fontId="3"/>
  </si>
  <si>
    <t>様式４－１</t>
    <rPh sb="0" eb="2">
      <t>ヨウシキ</t>
    </rPh>
    <phoneticPr fontId="3"/>
  </si>
  <si>
    <t>情報科学（医）</t>
    <rPh sb="0" eb="4">
      <t>ジョウホウカガク</t>
    </rPh>
    <rPh sb="5" eb="6">
      <t>イ</t>
    </rPh>
    <phoneticPr fontId="3"/>
  </si>
  <si>
    <t>確率・統計</t>
    <phoneticPr fontId="3"/>
  </si>
  <si>
    <t>教学活動評価委員会</t>
    <rPh sb="0" eb="2">
      <t>キョウガク</t>
    </rPh>
    <rPh sb="2" eb="4">
      <t>カツドウ</t>
    </rPh>
    <rPh sb="4" eb="6">
      <t>ヒョウカ</t>
    </rPh>
    <rPh sb="6" eb="9">
      <t>イインカイ</t>
    </rPh>
    <phoneticPr fontId="3"/>
  </si>
  <si>
    <t>河内　明宏</t>
    <rPh sb="0" eb="2">
      <t>カワウチ</t>
    </rPh>
    <rPh sb="3" eb="5">
      <t>アキヒロ</t>
    </rPh>
    <phoneticPr fontId="3"/>
  </si>
  <si>
    <t>有</t>
  </si>
  <si>
    <t>確率・統計</t>
    <phoneticPr fontId="3"/>
  </si>
  <si>
    <t>公衆衛生学</t>
    <phoneticPr fontId="3"/>
  </si>
  <si>
    <t>教育推進本部会議長</t>
    <rPh sb="0" eb="3">
      <t>ホンブチョウ</t>
    </rPh>
    <phoneticPr fontId="3"/>
  </si>
  <si>
    <t>教学活動評価委員会委員長</t>
    <rPh sb="0" eb="3">
      <t>イインチョウ</t>
    </rPh>
    <phoneticPr fontId="3"/>
  </si>
  <si>
    <t>神経系</t>
    <phoneticPr fontId="3"/>
  </si>
  <si>
    <t>耳鼻・咽喉系</t>
    <phoneticPr fontId="3"/>
  </si>
  <si>
    <t>臓器生理学実習II</t>
    <rPh sb="0" eb="2">
      <t>ジッシュウ</t>
    </rPh>
    <phoneticPr fontId="3"/>
  </si>
  <si>
    <t>実習(3)、実習(4)</t>
    <rPh sb="0" eb="2">
      <t>ジッシュウ</t>
    </rPh>
    <phoneticPr fontId="3"/>
  </si>
  <si>
    <t>様式４－２</t>
    <rPh sb="0" eb="2">
      <t>ヨウシキ</t>
    </rPh>
    <phoneticPr fontId="3"/>
  </si>
  <si>
    <t>医療情報学</t>
    <phoneticPr fontId="3"/>
  </si>
  <si>
    <t>保健医療情報１(10)</t>
    <rPh sb="0" eb="6">
      <t xml:space="preserve">ホケンイリョウジョウホウ </t>
    </rPh>
    <phoneticPr fontId="3"/>
  </si>
  <si>
    <t>医療イノベーションの基礎</t>
    <phoneticPr fontId="3"/>
  </si>
  <si>
    <t>公衆衛生学総論(1), 地域保健・衛生行政(6),生物統計学（10）,保健統計（11）,疫学方法論1～4（14,15,18,19）</t>
    <rPh sb="0" eb="2">
      <t>コウシュウ</t>
    </rPh>
    <rPh sb="2" eb="5">
      <t>エイセイガク</t>
    </rPh>
    <rPh sb="5" eb="7">
      <t>ソウロン</t>
    </rPh>
    <rPh sb="12" eb="14">
      <t>チイキ</t>
    </rPh>
    <rPh sb="14" eb="16">
      <t>ホケン</t>
    </rPh>
    <rPh sb="17" eb="19">
      <t>エイセイ</t>
    </rPh>
    <rPh sb="19" eb="21">
      <t>ギョウセイ</t>
    </rPh>
    <rPh sb="25" eb="27">
      <t>セイブツ</t>
    </rPh>
    <rPh sb="27" eb="30">
      <t>トウケイガク</t>
    </rPh>
    <rPh sb="35" eb="37">
      <t>ホケン</t>
    </rPh>
    <rPh sb="37" eb="39">
      <t>トウケイ</t>
    </rPh>
    <rPh sb="44" eb="46">
      <t>エキガク</t>
    </rPh>
    <rPh sb="46" eb="49">
      <t>ホウホウロン</t>
    </rPh>
    <phoneticPr fontId="3"/>
  </si>
  <si>
    <t>社会医学フィールド実習</t>
    <phoneticPr fontId="3"/>
  </si>
  <si>
    <t>生物統計学（10）,保健統計（11）, 疫学方法論1～4（14,15,18,19）</t>
    <rPh sb="0" eb="2">
      <t>セイブツ</t>
    </rPh>
    <rPh sb="2" eb="5">
      <t>トウケイガク</t>
    </rPh>
    <rPh sb="10" eb="12">
      <t>ホケン</t>
    </rPh>
    <rPh sb="12" eb="14">
      <t>トウケイ</t>
    </rPh>
    <rPh sb="20" eb="22">
      <t>エキガク</t>
    </rPh>
    <rPh sb="22" eb="25">
      <t>ホウホウロン</t>
    </rPh>
    <phoneticPr fontId="3"/>
  </si>
  <si>
    <t>臨床実習（放射線科）</t>
    <rPh sb="0" eb="2">
      <t>リンショウ</t>
    </rPh>
    <rPh sb="2" eb="4">
      <t>ジッシュウ</t>
    </rPh>
    <rPh sb="5" eb="9">
      <t>ホウシャセンカ</t>
    </rPh>
    <phoneticPr fontId="3"/>
  </si>
  <si>
    <t>放射線医療学総論（２）</t>
    <rPh sb="0" eb="3">
      <t>ホウシャセン</t>
    </rPh>
    <rPh sb="3" eb="5">
      <t>イリョウ</t>
    </rPh>
    <rPh sb="5" eb="6">
      <t>ガク</t>
    </rPh>
    <rPh sb="6" eb="8">
      <t>ソウロン</t>
    </rPh>
    <phoneticPr fontId="3"/>
  </si>
  <si>
    <t>放射線医療学総論（２）、放射線治療法Ⅰ（９）、放射線治療法Ⅱ（１０）</t>
    <rPh sb="0" eb="3">
      <t>ホウシャセン</t>
    </rPh>
    <rPh sb="3" eb="5">
      <t>イリョウ</t>
    </rPh>
    <rPh sb="5" eb="6">
      <t>ガク</t>
    </rPh>
    <rPh sb="6" eb="8">
      <t>ソウロン</t>
    </rPh>
    <rPh sb="12" eb="15">
      <t>ホウシャセン</t>
    </rPh>
    <rPh sb="15" eb="17">
      <t>チリョウ</t>
    </rPh>
    <rPh sb="17" eb="18">
      <t>ホウ</t>
    </rPh>
    <rPh sb="23" eb="26">
      <t>ホウシャセン</t>
    </rPh>
    <rPh sb="26" eb="28">
      <t>チリョウ</t>
    </rPh>
    <rPh sb="28" eb="29">
      <t>ホウ</t>
    </rPh>
    <phoneticPr fontId="3"/>
  </si>
  <si>
    <t>解剖と画像診断（３，４）、肺の構造と画像の基礎（５）</t>
    <phoneticPr fontId="3"/>
  </si>
  <si>
    <t>筋・骨格系</t>
    <rPh sb="0" eb="1">
      <t>スジ</t>
    </rPh>
    <rPh sb="2" eb="4">
      <t>コッカク</t>
    </rPh>
    <rPh sb="4" eb="5">
      <t>ケイ</t>
    </rPh>
    <phoneticPr fontId="3"/>
  </si>
  <si>
    <t>筋骨格系の画像診断（９）</t>
    <phoneticPr fontId="3"/>
  </si>
  <si>
    <t>耳鼻・咽喉系</t>
    <rPh sb="0" eb="2">
      <t>ジビ</t>
    </rPh>
    <rPh sb="3" eb="5">
      <t>インコウ</t>
    </rPh>
    <rPh sb="5" eb="6">
      <t>ケイ</t>
    </rPh>
    <phoneticPr fontId="3"/>
  </si>
  <si>
    <t>耳鼻咽喉科画像診断（２３）</t>
    <phoneticPr fontId="3"/>
  </si>
  <si>
    <t>神経系</t>
    <rPh sb="0" eb="3">
      <t>シンケイケイ</t>
    </rPh>
    <phoneticPr fontId="3"/>
  </si>
  <si>
    <t>中枢神経系の画像診（２）</t>
    <phoneticPr fontId="3"/>
  </si>
  <si>
    <t>循環器系</t>
    <rPh sb="0" eb="3">
      <t>ジュンカンキ</t>
    </rPh>
    <rPh sb="3" eb="4">
      <t>ケイ</t>
    </rPh>
    <phoneticPr fontId="3"/>
  </si>
  <si>
    <t>循環器画像診断総論（１７）</t>
    <phoneticPr fontId="3"/>
  </si>
  <si>
    <t>内分泌・代謝系</t>
    <rPh sb="0" eb="3">
      <t>ナイブンピツ</t>
    </rPh>
    <rPh sb="4" eb="6">
      <t>タイシャ</t>
    </rPh>
    <rPh sb="6" eb="7">
      <t>ケイ</t>
    </rPh>
    <phoneticPr fontId="3"/>
  </si>
  <si>
    <t>内分泌画像診断　Ｘ線診断学、MRI、RI（１８）</t>
    <phoneticPr fontId="3"/>
  </si>
  <si>
    <t>腎・尿路系</t>
    <rPh sb="0" eb="1">
      <t>ジン</t>
    </rPh>
    <rPh sb="2" eb="4">
      <t>ニョウロ</t>
    </rPh>
    <rPh sb="4" eb="5">
      <t>ケイ</t>
    </rPh>
    <phoneticPr fontId="3"/>
  </si>
  <si>
    <t>腎・尿路系の画像診断　MRI、X線診断、CT、RI診断（６）</t>
    <phoneticPr fontId="3"/>
  </si>
  <si>
    <t>消化器系</t>
    <rPh sb="0" eb="3">
      <t>ショウカキ</t>
    </rPh>
    <rPh sb="3" eb="4">
      <t>ケイ</t>
    </rPh>
    <phoneticPr fontId="3"/>
  </si>
  <si>
    <t>消化管画像診断（１７）</t>
    <phoneticPr fontId="3"/>
  </si>
  <si>
    <t>社会医学フィールド実習（1～52）</t>
    <phoneticPr fontId="3"/>
  </si>
  <si>
    <t>公衆衛生学総論(1), 生活習慣と健康１-2(4,16), 地域保健・衛生行政(6),社会保障・高齢者保健（7), 生物統計学（10）,保健統計（11）, 疫学方法論1～4（14,15,18,19）</t>
    <phoneticPr fontId="3"/>
  </si>
  <si>
    <t>学部・学科に関係なく希望する学生全員が受講可能となるような必要な体制・取組等</t>
    <rPh sb="0" eb="2">
      <t>ガクブ</t>
    </rPh>
    <phoneticPr fontId="3"/>
  </si>
  <si>
    <t>医療人育成を目指した数理・データサイエンス・AI教育プログラム</t>
    <rPh sb="0" eb="2">
      <t>イリョウ</t>
    </rPh>
    <rPh sb="2" eb="3">
      <t>ジン</t>
    </rPh>
    <rPh sb="3" eb="5">
      <t>イクセイ</t>
    </rPh>
    <rPh sb="6" eb="8">
      <t>メザ</t>
    </rPh>
    <rPh sb="18" eb="20">
      <t>キョウイク</t>
    </rPh>
    <phoneticPr fontId="3"/>
  </si>
  <si>
    <t>スーパーコンピューターの社会への貢献（４）</t>
    <phoneticPr fontId="3"/>
  </si>
  <si>
    <t>術中ナビゲーションシステム(22)</t>
    <phoneticPr fontId="3"/>
  </si>
  <si>
    <t>ナビゲーション手術(18)</t>
    <phoneticPr fontId="3"/>
  </si>
  <si>
    <t>研究開発、製品開発の流れ、仮説検証、データの活用方法（１３）</t>
    <rPh sb="2" eb="4">
      <t>カイハツ</t>
    </rPh>
    <phoneticPr fontId="3"/>
  </si>
  <si>
    <t>表計算ソフトウェア（基礎編、応用編）（３、５）、画像処理（７）、動画処理の仕組みと加工（８）、医療とAI（１３）</t>
    <rPh sb="47" eb="49">
      <t>イリョウ</t>
    </rPh>
    <phoneticPr fontId="3"/>
  </si>
  <si>
    <r>
      <t xml:space="preserve">医療現場でのデータ・AIの活用事例、課題解決に向けた提案方法（５、６、９、１０）、
</t>
    </r>
    <r>
      <rPr>
        <sz val="12"/>
        <rFont val="ＭＳ Ｐゴシック"/>
        <family val="3"/>
        <charset val="128"/>
        <scheme val="minor"/>
      </rPr>
      <t>金融経済教育（２）、進化型医療（ヘルスケア）（７）</t>
    </r>
    <rPh sb="42" eb="44">
      <t>キンユウ</t>
    </rPh>
    <rPh sb="44" eb="46">
      <t>ケイザイ</t>
    </rPh>
    <rPh sb="46" eb="48">
      <t>キョウイク</t>
    </rPh>
    <rPh sb="52" eb="55">
      <t>シンカガタ</t>
    </rPh>
    <rPh sb="55" eb="57">
      <t>イリョウ</t>
    </rPh>
    <phoneticPr fontId="3"/>
  </si>
  <si>
    <t>スーパーコンピュータの社会への貢献（４）</t>
    <rPh sb="11" eb="13">
      <t>シャカイ</t>
    </rPh>
    <rPh sb="15" eb="17">
      <t>コウケン</t>
    </rPh>
    <phoneticPr fontId="3"/>
  </si>
  <si>
    <t>画像処理（７）、動画処理の仕組みと加工（８）、医療とAI（１３）</t>
    <rPh sb="0" eb="2">
      <t>ガゾウ</t>
    </rPh>
    <rPh sb="2" eb="4">
      <t>ショリ</t>
    </rPh>
    <rPh sb="8" eb="12">
      <t>ドウガショリ</t>
    </rPh>
    <rPh sb="13" eb="15">
      <t>シク</t>
    </rPh>
    <rPh sb="17" eb="19">
      <t>カコウ</t>
    </rPh>
    <rPh sb="23" eb="25">
      <t>イリョウ</t>
    </rPh>
    <phoneticPr fontId="3"/>
  </si>
  <si>
    <t>情報科学（医）</t>
    <rPh sb="0" eb="2">
      <t>ジョウホウ</t>
    </rPh>
    <rPh sb="2" eb="4">
      <t>カガク</t>
    </rPh>
    <rPh sb="5" eb="6">
      <t>イ</t>
    </rPh>
    <phoneticPr fontId="3"/>
  </si>
  <si>
    <t>検査データの評価法と精度管理(1)</t>
    <phoneticPr fontId="3"/>
  </si>
  <si>
    <t>アカデミック・ライティング１）　科学者にとって必要なもの（１）
アカデミック・ライティング２）　引用のルール・著作権（２）</t>
    <phoneticPr fontId="3"/>
  </si>
  <si>
    <r>
      <t>情報科学</t>
    </r>
    <r>
      <rPr>
        <sz val="12"/>
        <rFont val="ＭＳ Ｐゴシック"/>
        <family val="3"/>
        <charset val="128"/>
        <scheme val="minor"/>
      </rPr>
      <t>（医）</t>
    </r>
    <phoneticPr fontId="3"/>
  </si>
  <si>
    <r>
      <t>情報セキュリティ（</t>
    </r>
    <r>
      <rPr>
        <sz val="12"/>
        <rFont val="ＭＳ Ｐゴシック"/>
        <family val="3"/>
        <charset val="128"/>
        <scheme val="minor"/>
      </rPr>
      <t>10, 11</t>
    </r>
    <r>
      <rPr>
        <sz val="12"/>
        <rFont val="ＭＳ Ｐゴシック"/>
        <family val="2"/>
        <charset val="128"/>
        <scheme val="minor"/>
      </rPr>
      <t>）</t>
    </r>
    <phoneticPr fontId="3"/>
  </si>
  <si>
    <t>情報科学（医）、医療情報学</t>
    <rPh sb="0" eb="2">
      <t>ジョウホウ</t>
    </rPh>
    <rPh sb="2" eb="4">
      <t>カガク</t>
    </rPh>
    <rPh sb="8" eb="10">
      <t>イリョウ</t>
    </rPh>
    <rPh sb="10" eb="12">
      <t>ジョウホウ</t>
    </rPh>
    <rPh sb="12" eb="13">
      <t>ガク</t>
    </rPh>
    <phoneticPr fontId="3"/>
  </si>
  <si>
    <t>情報科学（医）、放射線医療学、病態発生学Ⅰ</t>
    <rPh sb="0" eb="2">
      <t>ジョウホウ</t>
    </rPh>
    <rPh sb="2" eb="4">
      <t>カガク</t>
    </rPh>
    <phoneticPr fontId="3"/>
  </si>
  <si>
    <t>情報科学（医）、医療情報学、公衆衛生学・社会医学フィールド実習、臓器生理学実習I</t>
    <rPh sb="0" eb="2">
      <t>ジョウホウ</t>
    </rPh>
    <rPh sb="2" eb="4">
      <t>カガク</t>
    </rPh>
    <rPh sb="8" eb="10">
      <t>イリョウ</t>
    </rPh>
    <rPh sb="10" eb="12">
      <t>ジョウホウ</t>
    </rPh>
    <rPh sb="12" eb="13">
      <t>ガク</t>
    </rPh>
    <phoneticPr fontId="3"/>
  </si>
  <si>
    <t>表計算ソフトウェア（基礎編、応用編）（３、６）</t>
    <phoneticPr fontId="3"/>
  </si>
  <si>
    <t>社会、医療、医学研究のデータを適切、有効に応用できるための基礎を身につける（１～９、１５）</t>
    <rPh sb="0" eb="2">
      <t>シャカイ</t>
    </rPh>
    <rPh sb="3" eb="5">
      <t>イリョウ</t>
    </rPh>
    <rPh sb="6" eb="8">
      <t>イガク</t>
    </rPh>
    <rPh sb="8" eb="10">
      <t>ケンキュウ</t>
    </rPh>
    <rPh sb="15" eb="17">
      <t>テキセツ</t>
    </rPh>
    <rPh sb="18" eb="20">
      <t>ユウコウ</t>
    </rPh>
    <rPh sb="21" eb="23">
      <t>オウヨウ</t>
    </rPh>
    <rPh sb="29" eb="31">
      <t>キソ</t>
    </rPh>
    <rPh sb="32" eb="33">
      <t>ミ</t>
    </rPh>
    <phoneticPr fontId="3"/>
  </si>
  <si>
    <t>情報科学（医）</t>
    <rPh sb="0" eb="2">
      <t>ジョウホウ</t>
    </rPh>
    <rPh sb="2" eb="4">
      <t>カガク</t>
    </rPh>
    <phoneticPr fontId="3"/>
  </si>
  <si>
    <t>画像処理（７）、動画処理の仕組みと加工（８）</t>
    <rPh sb="0" eb="2">
      <t>ガゾウ</t>
    </rPh>
    <rPh sb="2" eb="4">
      <t>ショリ</t>
    </rPh>
    <rPh sb="8" eb="12">
      <t>ドウガショリ</t>
    </rPh>
    <rPh sb="13" eb="15">
      <t>シク</t>
    </rPh>
    <rPh sb="17" eb="19">
      <t>カコウ</t>
    </rPh>
    <phoneticPr fontId="3"/>
  </si>
  <si>
    <t>情報科学（看）</t>
    <rPh sb="0" eb="2">
      <t>ジョウホウ</t>
    </rPh>
    <rPh sb="2" eb="4">
      <t>カガク</t>
    </rPh>
    <phoneticPr fontId="3"/>
  </si>
  <si>
    <t>情報セキュリティ（11, 12）、保健医療情報2（１３）</t>
    <rPh sb="17" eb="19">
      <t>ホケン</t>
    </rPh>
    <rPh sb="19" eb="21">
      <t>イリョウ</t>
    </rPh>
    <rPh sb="21" eb="23">
      <t>ジョウホウ</t>
    </rPh>
    <phoneticPr fontId="3"/>
  </si>
  <si>
    <t>表計算ソフトウェア（基礎編、応用編）（３、６）</t>
    <phoneticPr fontId="3"/>
  </si>
  <si>
    <t>社会、医療、看護研究のデータを適切、有効に応用できるための基礎を身につける（１～１２）</t>
    <rPh sb="6" eb="8">
      <t>カンゴ</t>
    </rPh>
    <phoneticPr fontId="3"/>
  </si>
  <si>
    <t>医学・看護学教育センター</t>
    <rPh sb="0" eb="2">
      <t>イガク</t>
    </rPh>
    <rPh sb="3" eb="6">
      <t>カンゴガク</t>
    </rPh>
    <rPh sb="6" eb="8">
      <t>キョウイク</t>
    </rPh>
    <phoneticPr fontId="3"/>
  </si>
  <si>
    <t>医学・看護学教育センター長</t>
    <rPh sb="0" eb="2">
      <t>イガク</t>
    </rPh>
    <rPh sb="3" eb="6">
      <t>カンゴガク</t>
    </rPh>
    <rPh sb="6" eb="8">
      <t>キョウイク</t>
    </rPh>
    <rPh sb="12" eb="13">
      <t>チョウ</t>
    </rPh>
    <phoneticPr fontId="3"/>
  </si>
  <si>
    <t>ＩＲ室</t>
    <rPh sb="2" eb="3">
      <t>シツ</t>
    </rPh>
    <phoneticPr fontId="3"/>
  </si>
  <si>
    <t>森野　勝太郎</t>
    <rPh sb="0" eb="2">
      <t>モリノ</t>
    </rPh>
    <rPh sb="3" eb="6">
      <t>カツタロウ</t>
    </rPh>
    <phoneticPr fontId="3"/>
  </si>
  <si>
    <t>ＩＲ室室長</t>
    <rPh sb="2" eb="3">
      <t>シツ</t>
    </rPh>
    <rPh sb="3" eb="5">
      <t>シツチョウ</t>
    </rPh>
    <phoneticPr fontId="3"/>
  </si>
  <si>
    <t>呼吸器系</t>
    <rPh sb="0" eb="3">
      <t>コキュウキ</t>
    </rPh>
    <rPh sb="3" eb="4">
      <t>ケイ</t>
    </rPh>
    <phoneticPr fontId="3"/>
  </si>
  <si>
    <t>アカデミックスキル</t>
    <phoneticPr fontId="3"/>
  </si>
  <si>
    <t>疫学</t>
    <rPh sb="0" eb="2">
      <t>エキガｋウ</t>
    </rPh>
    <phoneticPr fontId="3"/>
  </si>
  <si>
    <t>看護研究、看護学研究方法論</t>
    <rPh sb="0" eb="1">
      <t>カンｇオ</t>
    </rPh>
    <phoneticPr fontId="3"/>
  </si>
  <si>
    <t>統計資料の見方（１、２）、人口動態・保健統計調査（３〜７）、保健医療情報の管理と活用の基礎、保健統計演習（１０〜１５）</t>
    <rPh sb="0" eb="4">
      <t>トウケイ</t>
    </rPh>
    <rPh sb="13" eb="17">
      <t>ジンコウ</t>
    </rPh>
    <rPh sb="18" eb="24">
      <t>ホケｎン</t>
    </rPh>
    <rPh sb="30" eb="36">
      <t>ホケｎン</t>
    </rPh>
    <rPh sb="37" eb="39">
      <t>カンリトカツイ</t>
    </rPh>
    <rPh sb="46" eb="52">
      <t>ホケｎン</t>
    </rPh>
    <phoneticPr fontId="3"/>
  </si>
  <si>
    <t>疫学の概念、集団の健康状態の把握、疫学の研究方法（９〜１２）</t>
    <rPh sb="0" eb="2">
      <t>エキガｋウ</t>
    </rPh>
    <rPh sb="6" eb="8">
      <t>シュウダｎン</t>
    </rPh>
    <rPh sb="17" eb="19">
      <t>エキガｋウ</t>
    </rPh>
    <phoneticPr fontId="3"/>
  </si>
  <si>
    <t>実験・調査の方法(７、８）</t>
    <phoneticPr fontId="3"/>
  </si>
  <si>
    <t>アカデミック・スキル</t>
    <phoneticPr fontId="3"/>
  </si>
  <si>
    <t>文献やデータの引用のルールやマナー、著作権（５）</t>
    <phoneticPr fontId="3"/>
  </si>
  <si>
    <r>
      <t>情報科学（看）、</t>
    </r>
    <r>
      <rPr>
        <sz val="12"/>
        <rFont val="ＭＳ Ｐゴシック"/>
        <family val="3"/>
        <charset val="128"/>
      </rPr>
      <t>看護研究</t>
    </r>
    <rPh sb="0" eb="2">
      <t>ジョウホウ</t>
    </rPh>
    <rPh sb="2" eb="4">
      <t>カガク</t>
    </rPh>
    <rPh sb="8" eb="12">
      <t>カンｇオ</t>
    </rPh>
    <phoneticPr fontId="3"/>
  </si>
  <si>
    <t>診断学序論</t>
    <rPh sb="0" eb="2">
      <t>シンダン</t>
    </rPh>
    <rPh sb="2" eb="3">
      <t>ガク</t>
    </rPh>
    <rPh sb="3" eb="5">
      <t>ジョロン</t>
    </rPh>
    <phoneticPr fontId="3"/>
  </si>
  <si>
    <t>Ｇｒｏｕｐ　work（６）</t>
    <phoneticPr fontId="3"/>
  </si>
  <si>
    <t>病態発生学I</t>
    <rPh sb="0" eb="2">
      <t>ビョウタイ</t>
    </rPh>
    <rPh sb="2" eb="5">
      <t>ハッセイガク</t>
    </rPh>
    <phoneticPr fontId="3"/>
  </si>
  <si>
    <t>症例演習(23）</t>
    <rPh sb="0" eb="2">
      <t>ショウレイ</t>
    </rPh>
    <rPh sb="2" eb="4">
      <t>エンシュウ</t>
    </rPh>
    <phoneticPr fontId="3"/>
  </si>
  <si>
    <t>臓器生理学実習I</t>
    <phoneticPr fontId="3"/>
  </si>
  <si>
    <t>心電図の基礎知識Ⅰ（3）、Ⅱ（4）</t>
    <rPh sb="0" eb="3">
      <t>シンデンズ</t>
    </rPh>
    <rPh sb="4" eb="6">
      <t>キソ</t>
    </rPh>
    <rPh sb="6" eb="8">
      <t>チシキ</t>
    </rPh>
    <phoneticPr fontId="3"/>
  </si>
  <si>
    <t>看護学研究方法論</t>
    <phoneticPr fontId="3"/>
  </si>
  <si>
    <t>看護研究</t>
    <phoneticPr fontId="3"/>
  </si>
  <si>
    <r>
      <t>【モデルカリキュラム導入1-1. 社会で起きている変化】
・わが国が目指すべき未来社会の姿として、フィジカル（現実）空間とサイバー（仮想）空間が高度に融合した新たな社会</t>
    </r>
    <r>
      <rPr>
        <u/>
        <sz val="12"/>
        <rFont val="ＭＳ Ｐゴシック (本文)"/>
      </rPr>
      <t>Society5.0</t>
    </r>
    <r>
      <rPr>
        <sz val="12"/>
        <rFont val="ＭＳ Ｐゴシック"/>
        <family val="3"/>
        <charset val="128"/>
        <scheme val="minor"/>
      </rPr>
      <t>が求められている。医療分野においても情報化すなわち医療・介護・健康分野のネットワーク化、</t>
    </r>
    <r>
      <rPr>
        <u/>
        <sz val="12"/>
        <rFont val="ＭＳ Ｐゴシック"/>
        <family val="3"/>
        <charset val="128"/>
      </rPr>
      <t>ビッグデータ</t>
    </r>
    <r>
      <rPr>
        <u/>
        <sz val="12"/>
        <rFont val="ＭＳ Ｐゴシック"/>
        <family val="3"/>
        <charset val="128"/>
        <scheme val="minor"/>
      </rPr>
      <t>・</t>
    </r>
    <r>
      <rPr>
        <u/>
        <sz val="12"/>
        <rFont val="ＭＳ Ｐゴシック (本文)"/>
      </rPr>
      <t>IoT</t>
    </r>
    <r>
      <rPr>
        <u/>
        <sz val="12"/>
        <rFont val="ＭＳ Ｐゴシック"/>
        <family val="3"/>
        <charset val="128"/>
        <scheme val="minor"/>
      </rPr>
      <t>・</t>
    </r>
    <r>
      <rPr>
        <u/>
        <sz val="12"/>
        <rFont val="ＭＳ Ｐゴシック (本文)"/>
      </rPr>
      <t>AI</t>
    </r>
    <r>
      <rPr>
        <sz val="12"/>
        <rFont val="ＭＳ Ｐゴシック"/>
        <family val="3"/>
        <charset val="128"/>
        <scheme val="minor"/>
      </rPr>
      <t>の利活用が推進されている。そのような</t>
    </r>
    <r>
      <rPr>
        <u/>
        <sz val="12"/>
        <rFont val="ＭＳ Ｐゴシック (本文)"/>
      </rPr>
      <t>Society5.0</t>
    </r>
    <r>
      <rPr>
        <sz val="12"/>
        <rFont val="ＭＳ Ｐゴシック"/>
        <family val="3"/>
        <charset val="128"/>
        <scheme val="minor"/>
      </rPr>
      <t>において医療分野ICTが担う役割と将来の方向性について学習する 「情報科学（看）」。
・</t>
    </r>
    <r>
      <rPr>
        <u/>
        <sz val="12"/>
        <rFont val="ＭＳ Ｐゴシック"/>
        <family val="3"/>
        <charset val="128"/>
      </rPr>
      <t>計算機の処理性能の向上</t>
    </r>
    <r>
      <rPr>
        <sz val="12"/>
        <rFont val="ＭＳ Ｐゴシック"/>
        <family val="3"/>
        <charset val="128"/>
        <scheme val="minor"/>
      </rPr>
      <t>の歴史を振り返り、計算の高速化の鍵となる技術的要素について理解を深める。また、高性能のスーパーコンピュータが</t>
    </r>
    <r>
      <rPr>
        <u/>
        <sz val="12"/>
        <rFont val="ＭＳ Ｐゴシック (本文)"/>
      </rPr>
      <t>AI</t>
    </r>
    <r>
      <rPr>
        <sz val="12"/>
        <rFont val="ＭＳ Ｐゴシック"/>
        <family val="3"/>
        <charset val="128"/>
        <scheme val="minor"/>
      </rPr>
      <t>や</t>
    </r>
    <r>
      <rPr>
        <u/>
        <sz val="12"/>
        <rFont val="ＭＳ Ｐゴシック"/>
        <family val="3"/>
        <charset val="128"/>
      </rPr>
      <t>ビッグデータ</t>
    </r>
    <r>
      <rPr>
        <sz val="12"/>
        <rFont val="ＭＳ Ｐゴシック"/>
        <family val="2"/>
        <charset val="128"/>
      </rPr>
      <t>の解析</t>
    </r>
    <r>
      <rPr>
        <sz val="12"/>
        <rFont val="ＭＳ Ｐゴシック"/>
        <family val="3"/>
        <charset val="128"/>
        <scheme val="minor"/>
      </rPr>
      <t>にも活用されていることについても学習する 「現代社会と科学」。
【モデルカリキュラム導入1-6. データ・AI利活用の最新動向】
・医療を取り巻く社会の変化と医薬品や医療機器の分野でのイノベーション（医療データや</t>
    </r>
    <r>
      <rPr>
        <u/>
        <sz val="12"/>
        <rFont val="ＭＳ Ｐゴシック (本文)"/>
      </rPr>
      <t>AI</t>
    </r>
    <r>
      <rPr>
        <u/>
        <sz val="12"/>
        <rFont val="ＭＳ Ｐゴシック"/>
        <family val="3"/>
        <charset val="128"/>
      </rPr>
      <t>を活用した革新的な製品やサービス</t>
    </r>
    <r>
      <rPr>
        <sz val="12"/>
        <rFont val="ＭＳ Ｐゴシック"/>
        <family val="3"/>
        <charset val="128"/>
        <scheme val="minor"/>
      </rPr>
      <t>等）を学び、自らが医療人となった際に広い視野で物事が捉えられる視点や異分野の人とのコミュニケーションの重要性について学習する 「医療イノベーションの基礎」。</t>
    </r>
    <rPh sb="0" eb="2">
      <t>カイセキ</t>
    </rPh>
    <rPh sb="9" eb="10">
      <t>ホン</t>
    </rPh>
    <rPh sb="10" eb="11">
      <t>ヤマ</t>
    </rPh>
    <rPh sb="11" eb="14">
      <t>ジュンキョウジュ</t>
    </rPh>
    <phoneticPr fontId="3"/>
  </si>
  <si>
    <r>
      <t>【モデルカリキュラム心得3-1. データ・AIを扱う上での留意事項】
・医療情報・医療データ・AIを利活用する上で理解しておくべき</t>
    </r>
    <r>
      <rPr>
        <u/>
        <sz val="12"/>
        <rFont val="ＭＳ Ｐゴシック"/>
        <family val="2"/>
        <charset val="128"/>
      </rPr>
      <t>個人情報保護法</t>
    </r>
    <r>
      <rPr>
        <sz val="12"/>
        <rFont val="ＭＳ Ｐゴシック"/>
        <family val="2"/>
        <charset val="128"/>
        <scheme val="minor"/>
      </rPr>
      <t>、</t>
    </r>
    <r>
      <rPr>
        <u/>
        <sz val="12"/>
        <rFont val="ＭＳ Ｐゴシック (本文)"/>
      </rPr>
      <t>GDPR</t>
    </r>
    <r>
      <rPr>
        <sz val="12"/>
        <rFont val="ＭＳ Ｐゴシック"/>
        <family val="2"/>
        <charset val="128"/>
        <scheme val="minor"/>
      </rPr>
      <t>、プライバシー保護、</t>
    </r>
    <r>
      <rPr>
        <u/>
        <sz val="12"/>
        <rFont val="ＭＳ Ｐゴシック (本文)"/>
      </rPr>
      <t>AI</t>
    </r>
    <r>
      <rPr>
        <u/>
        <sz val="12"/>
        <rFont val="ＭＳ Ｐゴシック"/>
        <family val="2"/>
        <charset val="128"/>
      </rPr>
      <t>社会原則</t>
    </r>
    <r>
      <rPr>
        <sz val="12"/>
        <rFont val="ＭＳ Ｐゴシック"/>
        <family val="2"/>
        <charset val="128"/>
        <scheme val="minor"/>
      </rPr>
      <t>、</t>
    </r>
    <r>
      <rPr>
        <u/>
        <sz val="12"/>
        <rFont val="ＭＳ Ｐゴシック"/>
        <family val="2"/>
        <charset val="128"/>
      </rPr>
      <t>データバイアス</t>
    </r>
    <r>
      <rPr>
        <sz val="12"/>
        <rFont val="ＭＳ Ｐゴシック"/>
        <family val="2"/>
        <charset val="128"/>
        <scheme val="minor"/>
      </rPr>
      <t>、</t>
    </r>
    <r>
      <rPr>
        <u/>
        <sz val="12"/>
        <rFont val="ＭＳ Ｐゴシック (本文)"/>
      </rPr>
      <t>AI</t>
    </r>
    <r>
      <rPr>
        <u/>
        <sz val="12"/>
        <rFont val="ＭＳ Ｐゴシック"/>
        <family val="2"/>
        <charset val="128"/>
      </rPr>
      <t>サービス責任論</t>
    </r>
    <r>
      <rPr>
        <sz val="12"/>
        <rFont val="ＭＳ Ｐゴシック"/>
        <family val="2"/>
        <charset val="128"/>
        <scheme val="minor"/>
      </rPr>
      <t>、</t>
    </r>
    <r>
      <rPr>
        <u/>
        <sz val="12"/>
        <rFont val="ＭＳ Ｐゴシック"/>
        <family val="2"/>
        <charset val="128"/>
      </rPr>
      <t>データ・</t>
    </r>
    <r>
      <rPr>
        <u/>
        <sz val="12"/>
        <rFont val="ＭＳ Ｐゴシック (本文)"/>
      </rPr>
      <t>AI</t>
    </r>
    <r>
      <rPr>
        <u/>
        <sz val="12"/>
        <rFont val="ＭＳ Ｐゴシック"/>
        <family val="2"/>
        <charset val="128"/>
      </rPr>
      <t>利活用における負の事例</t>
    </r>
    <r>
      <rPr>
        <sz val="12"/>
        <rFont val="ＭＳ Ｐゴシック"/>
        <family val="2"/>
        <charset val="128"/>
        <scheme val="minor"/>
      </rPr>
      <t>・限界等について学ぶ  「医療情報学」。
・科学者の倫理や科学者と社会の関わり方として、文献やデータの引用のルールやマナー、著作権について学び、学習や研究の成果を正しく表現できる実践力を身につける 「日本語表現法・アカデミックライティング」。
【モデルカリキュラム心得3-2. データを守る上での留意事項】
・機密性、可用性、完全性という</t>
    </r>
    <r>
      <rPr>
        <u/>
        <sz val="12"/>
        <rFont val="ＭＳ Ｐゴシック"/>
        <family val="2"/>
        <charset val="128"/>
      </rPr>
      <t>情報セキュリティ</t>
    </r>
    <r>
      <rPr>
        <sz val="12"/>
        <rFont val="ＭＳ Ｐゴシック"/>
        <family val="2"/>
        <charset val="128"/>
        <scheme val="minor"/>
      </rPr>
      <t>の基本的な考え方を学ぶとともに、コンピュータウイルスやネットワーク・サーバへの不正侵入、フィッシングなど、</t>
    </r>
    <r>
      <rPr>
        <u/>
        <sz val="12"/>
        <rFont val="ＭＳ Ｐゴシック"/>
        <family val="2"/>
        <charset val="128"/>
      </rPr>
      <t>セキュリティ事故</t>
    </r>
    <r>
      <rPr>
        <sz val="12"/>
        <rFont val="ＭＳ Ｐゴシック"/>
        <family val="2"/>
        <charset val="128"/>
        <scheme val="minor"/>
      </rPr>
      <t>の事例を通してインターネット上の「脅威」について理解を深める。</t>
    </r>
    <r>
      <rPr>
        <u/>
        <sz val="12"/>
        <rFont val="ＭＳ Ｐゴシック"/>
        <family val="2"/>
        <charset val="128"/>
      </rPr>
      <t>悪意ある情報窃取</t>
    </r>
    <r>
      <rPr>
        <sz val="12"/>
        <rFont val="ＭＳ Ｐゴシック"/>
        <family val="2"/>
        <charset val="128"/>
        <scheme val="minor"/>
      </rPr>
      <t>への対策として、</t>
    </r>
    <r>
      <rPr>
        <u/>
        <sz val="12"/>
        <rFont val="ＭＳ Ｐゴシック"/>
        <family val="2"/>
        <charset val="128"/>
      </rPr>
      <t>パスワード</t>
    </r>
    <r>
      <rPr>
        <sz val="12"/>
        <rFont val="ＭＳ Ｐゴシック"/>
        <family val="2"/>
        <charset val="128"/>
        <scheme val="minor"/>
      </rPr>
      <t>管理の重要性についても学ぶ 「情報科学（医）」。　
・医療情報を扱う上で必須となる</t>
    </r>
    <r>
      <rPr>
        <u/>
        <sz val="12"/>
        <rFont val="ＭＳ Ｐゴシック"/>
        <family val="2"/>
        <charset val="128"/>
      </rPr>
      <t>情報セキュリティ（機密性・完全性・可用性）</t>
    </r>
    <r>
      <rPr>
        <sz val="12"/>
        <rFont val="ＭＳ Ｐゴシック"/>
        <family val="2"/>
        <charset val="128"/>
        <scheme val="minor"/>
      </rPr>
      <t>、</t>
    </r>
    <r>
      <rPr>
        <u/>
        <sz val="12"/>
        <rFont val="ＭＳ Ｐゴシック"/>
        <family val="2"/>
        <charset val="128"/>
      </rPr>
      <t>匿名加工情報</t>
    </r>
    <r>
      <rPr>
        <sz val="12"/>
        <rFont val="ＭＳ Ｐゴシック"/>
        <family val="2"/>
        <charset val="128"/>
        <scheme val="minor"/>
      </rPr>
      <t>、</t>
    </r>
    <r>
      <rPr>
        <u/>
        <sz val="12"/>
        <rFont val="ＭＳ Ｐゴシック"/>
        <family val="2"/>
        <charset val="128"/>
      </rPr>
      <t>暗号化</t>
    </r>
    <r>
      <rPr>
        <sz val="12"/>
        <rFont val="ＭＳ Ｐゴシック"/>
        <family val="2"/>
        <charset val="128"/>
        <scheme val="minor"/>
      </rPr>
      <t>、</t>
    </r>
    <r>
      <rPr>
        <u/>
        <sz val="12"/>
        <rFont val="ＭＳ Ｐゴシック"/>
        <family val="2"/>
        <charset val="128"/>
      </rPr>
      <t>悪意ある情報搾取</t>
    </r>
    <r>
      <rPr>
        <sz val="12"/>
        <rFont val="ＭＳ Ｐゴシック"/>
        <family val="2"/>
        <charset val="128"/>
        <scheme val="minor"/>
      </rPr>
      <t>事例、</t>
    </r>
    <r>
      <rPr>
        <u/>
        <sz val="12"/>
        <rFont val="ＭＳ Ｐゴシック"/>
        <family val="2"/>
        <charset val="128"/>
      </rPr>
      <t>情報漏洩等によるセキュリティ事故の事例</t>
    </r>
    <r>
      <rPr>
        <sz val="12"/>
        <rFont val="ＭＳ Ｐゴシック"/>
        <family val="2"/>
        <charset val="128"/>
        <scheme val="minor"/>
      </rPr>
      <t xml:space="preserve">についても紹介する 「医療情報学」。
</t>
    </r>
    <rPh sb="0" eb="1">
      <t>アツカウウエデジュギョウガイヨウコウギマツウラトクニンカクニンチュウココロエ</t>
    </rPh>
    <phoneticPr fontId="3"/>
  </si>
  <si>
    <r>
      <t xml:space="preserve">【モデルカリキュラム導入1-2. 社会で活用されているデータ】
</t>
    </r>
    <r>
      <rPr>
        <sz val="12"/>
        <rFont val="ＭＳ Ｐゴシック"/>
        <family val="3"/>
        <charset val="128"/>
      </rPr>
      <t>・人集団の健康関連</t>
    </r>
    <r>
      <rPr>
        <u/>
        <sz val="12"/>
        <rFont val="ＭＳ Ｐゴシック"/>
        <family val="2"/>
        <charset val="128"/>
      </rPr>
      <t>調査データ</t>
    </r>
    <r>
      <rPr>
        <sz val="12"/>
        <rFont val="ＭＳ Ｐゴシック"/>
        <family val="3"/>
        <charset val="128"/>
      </rPr>
      <t>がどのように得られるか（疫学調査、標本抽出、臨床試験等）、利用できる既存データにはどのようなものがあるのか（疾病統計、人口統計等）について学ぶ</t>
    </r>
    <r>
      <rPr>
        <sz val="12"/>
        <rFont val="ＭＳ Ｐゴシック (本文)"/>
      </rPr>
      <t xml:space="preserve"> </t>
    </r>
    <r>
      <rPr>
        <sz val="12"/>
        <rFont val="ＭＳ Ｐゴシック"/>
        <family val="3"/>
        <charset val="128"/>
      </rPr>
      <t>「公衆衛生学」。</t>
    </r>
    <r>
      <rPr>
        <sz val="12"/>
        <rFont val="ＭＳ Ｐゴシック"/>
        <family val="3"/>
        <charset val="128"/>
        <scheme val="minor"/>
      </rPr>
      <t xml:space="preserve">
</t>
    </r>
    <r>
      <rPr>
        <sz val="12"/>
        <rFont val="ＭＳ Ｐゴシック"/>
        <family val="3"/>
        <charset val="128"/>
      </rPr>
      <t>・疫学研究におけるデータの種類、標本抽出、関連解析方法、因果推論等について学ぶ。疫学研究に関わる研究デザイン（観察研究（症例対照研究、コホート研究）、ランダム化比較試験、メタアナリシス）について学習する</t>
    </r>
    <r>
      <rPr>
        <sz val="12"/>
        <rFont val="ＭＳ Ｐゴシック (本文)"/>
      </rPr>
      <t xml:space="preserve"> </t>
    </r>
    <r>
      <rPr>
        <sz val="12"/>
        <rFont val="ＭＳ Ｐゴシック"/>
        <family val="3"/>
        <charset val="128"/>
      </rPr>
      <t>「公衆衛生学」。</t>
    </r>
    <r>
      <rPr>
        <sz val="12"/>
        <rFont val="ＭＳ Ｐゴシック"/>
        <family val="2"/>
        <charset val="128"/>
        <scheme val="minor"/>
      </rPr>
      <t xml:space="preserve">
・</t>
    </r>
    <r>
      <rPr>
        <u/>
        <sz val="12"/>
        <rFont val="ＭＳ Ｐゴシック"/>
        <family val="2"/>
        <charset val="128"/>
      </rPr>
      <t>構造化データ</t>
    </r>
    <r>
      <rPr>
        <sz val="12"/>
        <rFont val="ＭＳ Ｐゴシック"/>
        <family val="2"/>
        <charset val="128"/>
        <scheme val="minor"/>
      </rPr>
      <t>および</t>
    </r>
    <r>
      <rPr>
        <u/>
        <sz val="12"/>
        <rFont val="ＭＳ Ｐゴシック"/>
        <family val="2"/>
        <charset val="128"/>
      </rPr>
      <t>非構造化データ</t>
    </r>
    <r>
      <rPr>
        <sz val="12"/>
        <rFont val="ＭＳ Ｐゴシック"/>
        <family val="2"/>
        <charset val="128"/>
        <scheme val="minor"/>
      </rPr>
      <t>のデータ構造の基本的な知識を学習して身につける 「情報科学</t>
    </r>
    <r>
      <rPr>
        <sz val="12"/>
        <rFont val="ＭＳ Ｐゴシック"/>
        <family val="3"/>
        <charset val="128"/>
        <scheme val="minor"/>
      </rPr>
      <t>（医）</t>
    </r>
    <r>
      <rPr>
        <sz val="12"/>
        <rFont val="ＭＳ Ｐゴシック"/>
        <family val="2"/>
        <charset val="128"/>
        <scheme val="minor"/>
      </rPr>
      <t>」。
・現在臨床の現場では、科学的根拠に基づく医療（Evidence-Based Medicine, EBM）を実践することが求められているが、そのために遂行される研究（観察研究（記述研究、横断研究、症例対照研究、コホート研究）、介入研究（臨床研究、ランダム化比較試験）、システマティックレビュー、</t>
    </r>
    <r>
      <rPr>
        <u/>
        <sz val="12"/>
        <rFont val="ＭＳ Ｐゴシック"/>
        <family val="2"/>
        <charset val="128"/>
      </rPr>
      <t>メタ</t>
    </r>
    <r>
      <rPr>
        <sz val="12"/>
        <rFont val="ＭＳ Ｐゴシック"/>
        <family val="2"/>
        <charset val="128"/>
        <scheme val="minor"/>
      </rPr>
      <t>分析（メタアナリシス）について学習する 「診断学序論」。
【モデルカリキュラム導入1-3. データ・AIの活用領域】
・近年、</t>
    </r>
    <r>
      <rPr>
        <u/>
        <sz val="12"/>
        <rFont val="ＭＳ Ｐゴシック (本文)"/>
      </rPr>
      <t>AI</t>
    </r>
    <r>
      <rPr>
        <u/>
        <sz val="12"/>
        <rFont val="ＭＳ Ｐゴシック"/>
        <family val="2"/>
        <charset val="128"/>
      </rPr>
      <t>活用領域が急速に広がり</t>
    </r>
    <r>
      <rPr>
        <sz val="12"/>
        <rFont val="ＭＳ Ｐゴシック"/>
        <family val="2"/>
        <charset val="128"/>
        <scheme val="minor"/>
      </rPr>
      <t>、医学・医療に応用され始めている。AIの歴史と基本的な概念、今後の医療への応用可能性と限界などについて学習する 「医療情報学」。
・医療・ヘルスケア分野における</t>
    </r>
    <r>
      <rPr>
        <u/>
        <sz val="12"/>
        <rFont val="ＭＳ Ｐゴシック"/>
        <family val="2"/>
        <charset val="128"/>
      </rPr>
      <t>研究開発</t>
    </r>
    <r>
      <rPr>
        <sz val="12"/>
        <rFont val="ＭＳ Ｐゴシック"/>
        <family val="2"/>
        <charset val="128"/>
        <scheme val="minor"/>
      </rPr>
      <t>、製品開発で留意すべき点について解説し、その内容について理解する。また、具体的な事例についても理解を深める 「医療イノベーションの基礎」。
・企業での研究開発やマーケティングなどの事例を知り、データの活用方法を理解する。また、製品開発におけるデータを活用した</t>
    </r>
    <r>
      <rPr>
        <u/>
        <sz val="12"/>
        <rFont val="ＭＳ Ｐゴシック"/>
        <family val="2"/>
        <charset val="128"/>
      </rPr>
      <t>仮説検証</t>
    </r>
    <r>
      <rPr>
        <sz val="12"/>
        <rFont val="ＭＳ Ｐゴシック"/>
        <family val="2"/>
        <charset val="128"/>
        <scheme val="minor"/>
      </rPr>
      <t>についても解説し、理解を深める 「医療イノベーションの基礎」。
・国や都道府県の医療</t>
    </r>
    <r>
      <rPr>
        <u/>
        <sz val="12"/>
        <rFont val="ＭＳ Ｐゴシック"/>
        <family val="2"/>
        <charset val="128"/>
      </rPr>
      <t>計画の策定</t>
    </r>
    <r>
      <rPr>
        <sz val="12"/>
        <rFont val="ＭＳ Ｐゴシック"/>
        <family val="2"/>
        <charset val="128"/>
        <scheme val="minor"/>
      </rPr>
      <t>とその実効性向上のプロセスを学ぶ（データを活用した推進・評価・次期計画のPDCAサイクル）「公衆衛生学」。
・COVID19の感染拡大に伴う保健行政の取り組み（</t>
    </r>
    <r>
      <rPr>
        <u/>
        <sz val="12"/>
        <rFont val="ＭＳ Ｐゴシック"/>
        <family val="2"/>
        <charset val="128"/>
      </rPr>
      <t>原因究明</t>
    </r>
    <r>
      <rPr>
        <sz val="12"/>
        <rFont val="ＭＳ Ｐゴシック"/>
        <family val="2"/>
        <charset val="128"/>
        <scheme val="minor"/>
      </rPr>
      <t>や感染流行拡大を予防するための具体的な計画・施策・評価）の実際を学ぶ　「社会医学フィールド実習」。</t>
    </r>
    <r>
      <rPr>
        <sz val="12"/>
        <rFont val="ＭＳ Ｐゴシック"/>
        <family val="3"/>
        <charset val="128"/>
        <scheme val="minor"/>
      </rPr>
      <t xml:space="preserve">
</t>
    </r>
    <rPh sb="0" eb="2">
      <t>ガクシュウシテキンエンホンヤマジュンキョウジュコウシュウエイセイガクミウラ</t>
    </rPh>
    <phoneticPr fontId="3"/>
  </si>
  <si>
    <r>
      <t>近年、ビッグデータの利活用、バイオインフォマティクス、画像診断、病理診断など、最新の医学・医療の分野においても、数学、統計学、データサイエンス、情報科学、</t>
    </r>
    <r>
      <rPr>
        <sz val="12"/>
        <color theme="1"/>
        <rFont val="ＭＳ Ｐゴシック (本文)"/>
      </rPr>
      <t>AI</t>
    </r>
    <r>
      <rPr>
        <sz val="12"/>
        <color theme="1"/>
        <rFont val="ＭＳ Ｐゴシック"/>
        <family val="2"/>
        <charset val="128"/>
      </rPr>
      <t>の理論・技術が応用されている。本申請である「医療人育成を目指した数理・データサイエンス・</t>
    </r>
    <r>
      <rPr>
        <sz val="12"/>
        <color theme="1"/>
        <rFont val="ＭＳ Ｐゴシック (本文)"/>
      </rPr>
      <t>AI</t>
    </r>
    <r>
      <rPr>
        <sz val="12"/>
        <color theme="1"/>
        <rFont val="ＭＳ Ｐゴシック"/>
        <family val="2"/>
        <charset val="128"/>
      </rPr>
      <t>教育プログラム」を医学部学生が学修することにより、将来医療現場に出たとき、これらの理論・技術を理解し臨床診療で活用することができる。さらに、新しい医療技術を生み出すことも期待でき、将来の医学・医療の発展、さらにはそれに基づいた人類の健康増進に寄与することができる。</t>
    </r>
    <rPh sb="0" eb="2">
      <t>・</t>
    </rPh>
    <phoneticPr fontId="3"/>
  </si>
  <si>
    <t>近年、ビッグデータの利活用、バイオインフォマティクス、画像診断、病理診断など、最新の医学・医療の分野においても、数学、統計学、データサイエンス、情報科学、AIの理論・技術が応用されている。本申請である「医療人育成を目指した数理・データサイエンス・AI教育プログラム」を医学部学生が学修することにより、将来医療現場に出たとき、これらの理論・技術を理解し臨床診療で活用することができる。さらに、新しい医療技術を生み出すことも期待でき、将来の医学・医療の発展、さらにはそれに基づいた人類の健康増進に寄与することができる。</t>
    <rPh sb="0" eb="2">
      <t>・</t>
    </rPh>
    <phoneticPr fontId="3"/>
  </si>
  <si>
    <t>①</t>
    <phoneticPr fontId="3"/>
  </si>
  <si>
    <t>②</t>
    <phoneticPr fontId="3"/>
  </si>
  <si>
    <t>③</t>
    <phoneticPr fontId="3"/>
  </si>
  <si>
    <t>所在地</t>
    <phoneticPr fontId="3"/>
  </si>
  <si>
    <t>⑤</t>
    <phoneticPr fontId="3"/>
  </si>
  <si>
    <t>⑥</t>
    <phoneticPr fontId="3"/>
  </si>
  <si>
    <t>⑦</t>
    <phoneticPr fontId="3"/>
  </si>
  <si>
    <t>⑧</t>
    <phoneticPr fontId="3"/>
  </si>
  <si>
    <t>⑨</t>
    <phoneticPr fontId="3"/>
  </si>
  <si>
    <t>⑩</t>
    <phoneticPr fontId="3"/>
  </si>
  <si>
    <t>⑪</t>
    <phoneticPr fontId="3"/>
  </si>
  <si>
    <t>プログラムの運営責任者</t>
    <phoneticPr fontId="3"/>
  </si>
  <si>
    <t>⑫</t>
    <phoneticPr fontId="3"/>
  </si>
  <si>
    <t>⑬</t>
    <phoneticPr fontId="3"/>
  </si>
  <si>
    <t>⑭</t>
    <phoneticPr fontId="3"/>
  </si>
  <si>
    <t>hqgkikak@belle.shiga-med.ac.jp</t>
    <phoneticPr fontId="3"/>
  </si>
  <si>
    <t>077-548-3597</t>
    <phoneticPr fontId="3"/>
  </si>
  <si>
    <t>プログラムを構成する授業科目について</t>
    <phoneticPr fontId="3"/>
  </si>
  <si>
    <t>公衆衛生学</t>
    <rPh sb="0" eb="2">
      <t>コウシュウ</t>
    </rPh>
    <rPh sb="2" eb="5">
      <t>エイセイガク</t>
    </rPh>
    <phoneticPr fontId="3"/>
  </si>
  <si>
    <t>社会医学フィールド実習</t>
    <rPh sb="0" eb="2">
      <t>シャカイ</t>
    </rPh>
    <rPh sb="2" eb="4">
      <t>イガク</t>
    </rPh>
    <rPh sb="9" eb="11">
      <t>ジッシュウ</t>
    </rPh>
    <phoneticPr fontId="3"/>
  </si>
  <si>
    <t>日本語表現法・アカデミックライティング</t>
    <phoneticPr fontId="3"/>
  </si>
  <si>
    <t>耳鼻・咽喉系</t>
    <phoneticPr fontId="3"/>
  </si>
  <si>
    <t>臨床実習（放射線科）</t>
    <phoneticPr fontId="3"/>
  </si>
  <si>
    <t>臓器生理学実習II</t>
    <phoneticPr fontId="3"/>
  </si>
  <si>
    <t>筋・骨格系</t>
    <phoneticPr fontId="3"/>
  </si>
  <si>
    <t>循環器系</t>
    <phoneticPr fontId="3"/>
  </si>
  <si>
    <t>内分泌・代謝系</t>
    <phoneticPr fontId="3"/>
  </si>
  <si>
    <t>腎・尿路系</t>
    <phoneticPr fontId="3"/>
  </si>
  <si>
    <t>消化器系</t>
    <phoneticPr fontId="3"/>
  </si>
  <si>
    <t>呼吸器系</t>
    <phoneticPr fontId="3"/>
  </si>
  <si>
    <t>臓器生理学実習I</t>
    <phoneticPr fontId="3"/>
  </si>
  <si>
    <t>病態発生学Ⅰ</t>
    <phoneticPr fontId="3"/>
  </si>
  <si>
    <t>選択</t>
    <rPh sb="0" eb="2">
      <t>センタク</t>
    </rPh>
    <phoneticPr fontId="3"/>
  </si>
  <si>
    <t>プログラムを構成する授業科目について</t>
    <phoneticPr fontId="3"/>
  </si>
  <si>
    <t>②</t>
    <phoneticPr fontId="3"/>
  </si>
  <si>
    <t>③</t>
    <phoneticPr fontId="3"/>
  </si>
  <si>
    <t>アカデミックスキル</t>
    <phoneticPr fontId="3"/>
  </si>
  <si>
    <t>保健統計学</t>
    <rPh sb="0" eb="4">
      <t>ホケｎン</t>
    </rPh>
    <rPh sb="4" eb="5">
      <t>ガク</t>
    </rPh>
    <phoneticPr fontId="3"/>
  </si>
  <si>
    <t>プログラムの履修者数等の実績について</t>
    <phoneticPr fontId="3"/>
  </si>
  <si>
    <t>合　計</t>
    <phoneticPr fontId="3"/>
  </si>
  <si>
    <t>読影実習（1日目と5日目）</t>
    <rPh sb="0" eb="2">
      <t>ドクエイ</t>
    </rPh>
    <rPh sb="2" eb="4">
      <t>ジッシュウ</t>
    </rPh>
    <rPh sb="6" eb="7">
      <t>ヒ</t>
    </rPh>
    <rPh sb="7" eb="8">
      <t>メ</t>
    </rPh>
    <rPh sb="10" eb="11">
      <t>ヒ</t>
    </rPh>
    <rPh sb="11" eb="12">
      <t>メ</t>
    </rPh>
    <phoneticPr fontId="3"/>
  </si>
  <si>
    <r>
      <t>【モデルカリキュラム基礎2-1. データを読む】
・</t>
    </r>
    <r>
      <rPr>
        <u/>
        <sz val="12"/>
        <rFont val="ＭＳ Ｐゴシック"/>
        <family val="2"/>
        <charset val="128"/>
      </rPr>
      <t>質的変数</t>
    </r>
    <r>
      <rPr>
        <sz val="12"/>
        <rFont val="ＭＳ Ｐゴシック"/>
        <family val="2"/>
        <charset val="128"/>
        <scheme val="minor"/>
      </rPr>
      <t>や</t>
    </r>
    <r>
      <rPr>
        <u/>
        <sz val="12"/>
        <rFont val="ＭＳ Ｐゴシック"/>
        <family val="2"/>
        <charset val="128"/>
      </rPr>
      <t>量的変数</t>
    </r>
    <r>
      <rPr>
        <sz val="12"/>
        <rFont val="ＭＳ Ｐゴシック"/>
        <family val="2"/>
        <charset val="128"/>
        <scheme val="minor"/>
      </rPr>
      <t>、それらに関連する離散的な分布や連続的な分布についてまず学習し、続いてそれぞれの分布について、</t>
    </r>
    <r>
      <rPr>
        <u/>
        <sz val="12"/>
        <rFont val="ＭＳ Ｐゴシック"/>
        <family val="2"/>
        <charset val="128"/>
      </rPr>
      <t>平均値</t>
    </r>
    <r>
      <rPr>
        <sz val="12"/>
        <rFont val="ＭＳ Ｐゴシック"/>
        <family val="2"/>
        <charset val="128"/>
      </rPr>
      <t>、</t>
    </r>
    <r>
      <rPr>
        <u/>
        <sz val="12"/>
        <rFont val="ＭＳ Ｐゴシック"/>
        <family val="2"/>
        <charset val="128"/>
      </rPr>
      <t>分散</t>
    </r>
    <r>
      <rPr>
        <sz val="12"/>
        <rFont val="ＭＳ Ｐゴシック"/>
        <family val="2"/>
        <charset val="128"/>
      </rPr>
      <t>、</t>
    </r>
    <r>
      <rPr>
        <u/>
        <sz val="12"/>
        <rFont val="ＭＳ Ｐゴシック"/>
        <family val="2"/>
        <charset val="128"/>
      </rPr>
      <t>標準偏差</t>
    </r>
    <r>
      <rPr>
        <sz val="12"/>
        <rFont val="ＭＳ Ｐゴシック"/>
        <family val="2"/>
        <charset val="128"/>
        <scheme val="minor"/>
      </rPr>
      <t>の定義やその意味、そして</t>
    </r>
    <r>
      <rPr>
        <u/>
        <sz val="12"/>
        <rFont val="ＭＳ Ｐゴシック"/>
        <family val="2"/>
        <charset val="128"/>
      </rPr>
      <t>母集団</t>
    </r>
    <r>
      <rPr>
        <sz val="12"/>
        <rFont val="ＭＳ Ｐゴシック"/>
        <family val="2"/>
        <charset val="128"/>
        <scheme val="minor"/>
      </rPr>
      <t>と</t>
    </r>
    <r>
      <rPr>
        <u/>
        <sz val="12"/>
        <rFont val="ＭＳ Ｐゴシック"/>
        <family val="2"/>
        <charset val="128"/>
      </rPr>
      <t>標本抽出</t>
    </r>
    <r>
      <rPr>
        <sz val="12"/>
        <rFont val="ＭＳ Ｐゴシック"/>
        <family val="2"/>
        <charset val="128"/>
        <scheme val="minor"/>
      </rPr>
      <t xml:space="preserve">、データの比較について学ぶ 「確率・統計」。
・学生同士で記録した心電図データをAD変換してコンピュター上で保存し、様々な心電図に関わるパラメータ（PQ間隔、QRS間隔、QT間隔）を計測し、その生理学的・病態生理学的意義について学習する 「臓器生理学実習I」。
</t>
    </r>
    <r>
      <rPr>
        <sz val="12"/>
        <rFont val="ＭＳ Ｐゴシック"/>
        <family val="3"/>
        <charset val="128"/>
      </rPr>
      <t>・疫学研究におけるデータの種類、標本抽出、関連解析方法、因果推論等について学ぶ</t>
    </r>
    <r>
      <rPr>
        <sz val="12"/>
        <rFont val="ＭＳ Ｐゴシック (本文)"/>
      </rPr>
      <t xml:space="preserve"> </t>
    </r>
    <r>
      <rPr>
        <sz val="12"/>
        <rFont val="ＭＳ Ｐゴシック"/>
        <family val="3"/>
        <charset val="128"/>
      </rPr>
      <t>「公衆衛生学」。</t>
    </r>
    <r>
      <rPr>
        <sz val="12"/>
        <rFont val="ＭＳ Ｐゴシック"/>
        <family val="3"/>
        <charset val="128"/>
        <scheme val="minor"/>
      </rPr>
      <t xml:space="preserve">
</t>
    </r>
    <r>
      <rPr>
        <sz val="12"/>
        <rFont val="ＭＳ Ｐゴシック"/>
        <family val="2"/>
        <charset val="128"/>
      </rPr>
      <t>・「確率・統計」等で学習した知識を生かし、ヒトを対象とする保健医療データの特徴（誤差が大きい、不確実性）をふまえた応用統計である「生物統計学」を理解する。生物統計学が目標とする、仮説の明確化（量的研究で解答可能な形へ整理を行う）、意思決定の支援、解釈とコミュニケーション、効率的なデータ収集調査計画の立案（標本調査，疫学調査）、実験計画立案（臨床試験を含む）など、研究デザイン、データの性質に応じた解析方法の選択や統計的解釈の基礎を学ぶ</t>
    </r>
    <r>
      <rPr>
        <sz val="12"/>
        <rFont val="ＭＳ Ｐゴシック"/>
        <family val="3"/>
        <charset val="128"/>
      </rPr>
      <t>「公衆衛生学」。</t>
    </r>
    <r>
      <rPr>
        <sz val="12"/>
        <rFont val="ＭＳ Ｐゴシック"/>
        <family val="2"/>
        <charset val="128"/>
        <scheme val="minor"/>
      </rPr>
      <t xml:space="preserve">
【モデルカリキュラム基礎2-2. データを説明する】
・社会での実例データ</t>
    </r>
    <r>
      <rPr>
        <sz val="12"/>
        <color theme="1"/>
        <rFont val="ＭＳ Ｐゴシック"/>
        <family val="2"/>
        <charset val="128"/>
      </rPr>
      <t>（視聴率</t>
    </r>
    <r>
      <rPr>
        <sz val="12"/>
        <rFont val="ＭＳ Ｐゴシック"/>
        <family val="2"/>
        <charset val="128"/>
        <scheme val="minor"/>
      </rPr>
      <t>、不良品率、電球の平均寿命、製薬会社の錠剤の直径の変化、血圧値の変化、麻酔薬の持続時間の比較、２つの治療法の比較のデータ）を題材として、学生自らがそれらを</t>
    </r>
    <r>
      <rPr>
        <u/>
        <sz val="12"/>
        <rFont val="ＭＳ Ｐゴシック"/>
        <family val="2"/>
        <charset val="128"/>
      </rPr>
      <t>グラフで表現</t>
    </r>
    <r>
      <rPr>
        <sz val="12"/>
        <rFont val="ＭＳ Ｐゴシック"/>
        <family val="2"/>
        <charset val="128"/>
        <scheme val="minor"/>
      </rPr>
      <t>したり、</t>
    </r>
    <r>
      <rPr>
        <u/>
        <sz val="12"/>
        <rFont val="ＭＳ Ｐゴシック"/>
        <family val="2"/>
        <charset val="128"/>
      </rPr>
      <t>チャート化</t>
    </r>
    <r>
      <rPr>
        <sz val="12"/>
        <rFont val="ＭＳ Ｐゴシック"/>
        <family val="2"/>
        <charset val="128"/>
        <scheme val="minor"/>
      </rPr>
      <t>してから、</t>
    </r>
    <r>
      <rPr>
        <u/>
        <sz val="12"/>
        <rFont val="ＭＳ Ｐゴシック"/>
        <family val="2"/>
        <charset val="128"/>
      </rPr>
      <t>平均値</t>
    </r>
    <r>
      <rPr>
        <sz val="12"/>
        <rFont val="ＭＳ Ｐゴシック"/>
        <family val="2"/>
        <charset val="128"/>
      </rPr>
      <t>、</t>
    </r>
    <r>
      <rPr>
        <u/>
        <sz val="12"/>
        <rFont val="ＭＳ Ｐゴシック"/>
        <family val="2"/>
        <charset val="128"/>
      </rPr>
      <t>分散</t>
    </r>
    <r>
      <rPr>
        <sz val="12"/>
        <rFont val="ＭＳ Ｐゴシック"/>
        <family val="2"/>
        <charset val="128"/>
      </rPr>
      <t>、</t>
    </r>
    <r>
      <rPr>
        <u/>
        <sz val="12"/>
        <rFont val="ＭＳ Ｐゴシック"/>
        <family val="2"/>
        <charset val="128"/>
      </rPr>
      <t>標準偏差</t>
    </r>
    <r>
      <rPr>
        <sz val="12"/>
        <rFont val="ＭＳ Ｐゴシック"/>
        <family val="2"/>
        <charset val="128"/>
        <scheme val="minor"/>
      </rPr>
      <t>を求める演習を行い理解を深める 「確率・統計」。
・目的に応じた様々なグラフ（</t>
    </r>
    <r>
      <rPr>
        <u/>
        <sz val="12"/>
        <rFont val="ＭＳ Ｐゴシック"/>
        <family val="2"/>
        <charset val="128"/>
      </rPr>
      <t>棒グラフ</t>
    </r>
    <r>
      <rPr>
        <sz val="12"/>
        <rFont val="ＭＳ Ｐゴシック"/>
        <family val="2"/>
        <charset val="128"/>
      </rPr>
      <t>、</t>
    </r>
    <r>
      <rPr>
        <u/>
        <sz val="12"/>
        <rFont val="ＭＳ Ｐゴシック"/>
        <family val="2"/>
        <charset val="128"/>
      </rPr>
      <t>折れ線グラフ</t>
    </r>
    <r>
      <rPr>
        <sz val="12"/>
        <rFont val="ＭＳ Ｐゴシック"/>
        <family val="2"/>
        <charset val="128"/>
      </rPr>
      <t>、</t>
    </r>
    <r>
      <rPr>
        <u/>
        <sz val="12"/>
        <rFont val="ＭＳ Ｐゴシック"/>
        <family val="2"/>
        <charset val="128"/>
      </rPr>
      <t>散布図</t>
    </r>
    <r>
      <rPr>
        <sz val="12"/>
        <rFont val="ＭＳ Ｐゴシック"/>
        <family val="2"/>
        <charset val="128"/>
        <scheme val="minor"/>
      </rPr>
      <t>等）を用いたデータ表現について学ぶ 「情報科学</t>
    </r>
    <r>
      <rPr>
        <sz val="12"/>
        <rFont val="ＭＳ Ｐゴシック"/>
        <family val="3"/>
        <charset val="128"/>
        <scheme val="minor"/>
      </rPr>
      <t>（医）</t>
    </r>
    <r>
      <rPr>
        <sz val="12"/>
        <rFont val="ＭＳ Ｐゴシック"/>
        <family val="2"/>
        <charset val="128"/>
        <scheme val="minor"/>
      </rPr>
      <t>」。
【モデルカリキュラム基礎2-3. データを扱う】
・表計算ソフトを用いて、</t>
    </r>
    <r>
      <rPr>
        <u/>
        <sz val="12"/>
        <rFont val="ＭＳ Ｐゴシック"/>
        <family val="2"/>
        <charset val="128"/>
      </rPr>
      <t>データの集計</t>
    </r>
    <r>
      <rPr>
        <sz val="12"/>
        <rFont val="ＭＳ Ｐゴシック"/>
        <family val="2"/>
        <charset val="128"/>
        <scheme val="minor"/>
      </rPr>
      <t>や</t>
    </r>
    <r>
      <rPr>
        <u/>
        <sz val="12"/>
        <rFont val="ＭＳ Ｐゴシック"/>
        <family val="2"/>
        <charset val="128"/>
      </rPr>
      <t>並び替え</t>
    </r>
    <r>
      <rPr>
        <sz val="12"/>
        <rFont val="ＭＳ Ｐゴシック"/>
        <family val="2"/>
        <charset val="128"/>
        <scheme val="minor"/>
      </rPr>
      <t>、統計処理を学ぶ。</t>
    </r>
    <r>
      <rPr>
        <u/>
        <sz val="12"/>
        <rFont val="ＭＳ Ｐゴシック"/>
        <family val="2"/>
        <charset val="128"/>
      </rPr>
      <t>表形式のデータ（csv等）を取り扱うためのファイル形式についての知識も身につける 「情報科学（医）」。</t>
    </r>
    <r>
      <rPr>
        <sz val="12"/>
        <rFont val="ＭＳ Ｐゴシック"/>
        <family val="2"/>
        <charset val="128"/>
        <scheme val="minor"/>
      </rPr>
      <t xml:space="preserve">
</t>
    </r>
    <r>
      <rPr>
        <sz val="12"/>
        <rFont val="ＭＳ Ｐゴシック"/>
        <family val="3"/>
        <charset val="128"/>
        <scheme val="minor"/>
      </rPr>
      <t xml:space="preserve">
</t>
    </r>
    <rPh sb="0" eb="1">
      <t>カワキタジモチイタエュンセイリガクビョウタイテキセイリガクテイギニツイテキガクシュウスルキョウジリンショモチイルウケンキュケンキュウデザインウニュケンビキョウガゾウカミウラキョウジュミウラキョウジュ_x0000__x0000__x0001__x0005__x0000__x0004__x000C__x0000__x0002__x0011__x0000__x0004__x0018__x0000__x0002__x001E__x0000__x0002_%_x0000__x0004_0_x0000__x0001_4_x0000__x0002_=_x0000_芉c_x0000__x0005_m_x0000__x0002_q_x0000__x0001_u_x0000__x0001_y_x0000__x0002_}_x0000__x0001__x0000__x0002__x0000__x0002__x0000__x0001__x0000__x0002__x0000__x0001__x0000__x0001__x0000__x0001__x0000__x0001__x0000__x0001__x0000__x0001__x0000__x0000__x0001_±_x0000__x0002_µ_x0000__x0002_¹_x0000__x0002_</t>
    </rPh>
    <phoneticPr fontId="3"/>
  </si>
  <si>
    <r>
      <t>ランダム現象の数理、</t>
    </r>
    <r>
      <rPr>
        <sz val="12"/>
        <rFont val="ＭＳ Ｐゴシック"/>
        <family val="3"/>
        <charset val="128"/>
      </rPr>
      <t>疫学、保健統計学、看護研究</t>
    </r>
    <r>
      <rPr>
        <sz val="12"/>
        <rFont val="ＭＳ Ｐゴシック"/>
        <family val="3"/>
        <charset val="128"/>
        <scheme val="minor"/>
      </rPr>
      <t>、</t>
    </r>
    <r>
      <rPr>
        <sz val="12"/>
        <rFont val="ＭＳ Ｐゴシック"/>
        <family val="3"/>
        <charset val="128"/>
      </rPr>
      <t>看護学研究方法論</t>
    </r>
    <rPh sb="17" eb="18">
      <t>ガク</t>
    </rPh>
    <phoneticPr fontId="3"/>
  </si>
  <si>
    <t>看護研究</t>
    <rPh sb="0" eb="2">
      <t>カンゴ</t>
    </rPh>
    <rPh sb="2" eb="4">
      <t>ケンキュウ</t>
    </rPh>
    <phoneticPr fontId="3"/>
  </si>
  <si>
    <t>グループ別討議と計画作成（2）、社会医学フィールド実習（45～52）</t>
    <rPh sb="4" eb="5">
      <t>ベツ</t>
    </rPh>
    <rPh sb="5" eb="7">
      <t>トウギ</t>
    </rPh>
    <rPh sb="8" eb="10">
      <t>ケイカク</t>
    </rPh>
    <rPh sb="10" eb="12">
      <t>サクセイ</t>
    </rPh>
    <phoneticPr fontId="3"/>
  </si>
  <si>
    <r>
      <t>【モデルカリキュラム導入1-2. 社会で活用されているデータ】
・</t>
    </r>
    <r>
      <rPr>
        <u/>
        <sz val="12"/>
        <rFont val="ＭＳ Ｐゴシック"/>
        <family val="3"/>
        <charset val="128"/>
      </rPr>
      <t>構造化データ</t>
    </r>
    <r>
      <rPr>
        <sz val="12"/>
        <rFont val="ＭＳ Ｐゴシック"/>
        <family val="3"/>
        <charset val="128"/>
        <scheme val="minor"/>
      </rPr>
      <t>および</t>
    </r>
    <r>
      <rPr>
        <u/>
        <sz val="12"/>
        <rFont val="ＭＳ Ｐゴシック"/>
        <family val="3"/>
        <charset val="128"/>
      </rPr>
      <t>非構造化データ</t>
    </r>
    <r>
      <rPr>
        <sz val="12"/>
        <rFont val="ＭＳ Ｐゴシック"/>
        <family val="3"/>
        <charset val="128"/>
        <scheme val="minor"/>
      </rPr>
      <t>のデータ構造の基本的な知識を学習して身につけ、さらに</t>
    </r>
    <r>
      <rPr>
        <u/>
        <sz val="12"/>
        <rFont val="ＭＳ Ｐゴシック"/>
        <family val="3"/>
        <charset val="128"/>
      </rPr>
      <t>画像</t>
    </r>
    <r>
      <rPr>
        <sz val="12"/>
        <rFont val="ＭＳ Ｐゴシック"/>
        <family val="3"/>
        <charset val="128"/>
        <scheme val="minor"/>
      </rPr>
      <t>や</t>
    </r>
    <r>
      <rPr>
        <u/>
        <sz val="12"/>
        <rFont val="ＭＳ Ｐゴシック"/>
        <family val="3"/>
        <charset val="128"/>
      </rPr>
      <t>動画</t>
    </r>
    <r>
      <rPr>
        <sz val="12"/>
        <rFont val="ＭＳ Ｐゴシック"/>
        <family val="3"/>
        <charset val="128"/>
        <scheme val="minor"/>
      </rPr>
      <t>などの</t>
    </r>
    <r>
      <rPr>
        <u/>
        <sz val="12"/>
        <rFont val="ＭＳ Ｐゴシック"/>
        <family val="3"/>
        <charset val="128"/>
      </rPr>
      <t>非構造化データ</t>
    </r>
    <r>
      <rPr>
        <sz val="12"/>
        <rFont val="ＭＳ Ｐゴシック"/>
        <family val="3"/>
        <charset val="128"/>
        <scheme val="minor"/>
      </rPr>
      <t>の処理を実習形式で学ぶ 「情報科学（看）」。 
【モデルカリキュラム導入1-3. データ・AIの活用領域】
・医療・ヘルスケア分野における</t>
    </r>
    <r>
      <rPr>
        <u/>
        <sz val="12"/>
        <rFont val="ＭＳ Ｐゴシック"/>
        <family val="3"/>
        <charset val="128"/>
      </rPr>
      <t>研究開発</t>
    </r>
    <r>
      <rPr>
        <sz val="12"/>
        <rFont val="ＭＳ Ｐゴシック"/>
        <family val="3"/>
        <charset val="128"/>
        <scheme val="minor"/>
      </rPr>
      <t>、製品開発で留意すべき点について解説し、その内容について理解する。また、具体的な事例についても理解を深める 「医療イノベーションの基礎」。
・企業での研究開発やマーケティングなどの事例を知り、データの活用方法を理解する。また、製品開発におけるデータを活用した仮説検証についても解説し、理解を深める 「医療イノベーションの基礎」。
・自ら</t>
    </r>
    <r>
      <rPr>
        <u/>
        <sz val="12"/>
        <rFont val="ＭＳ Ｐゴシック"/>
        <family val="3"/>
        <charset val="128"/>
      </rPr>
      <t>仮説</t>
    </r>
    <r>
      <rPr>
        <sz val="12"/>
        <rFont val="ＭＳ Ｐゴシック"/>
        <family val="3"/>
        <charset val="128"/>
        <scheme val="minor"/>
      </rPr>
      <t>を立て（構想力）、それを</t>
    </r>
    <r>
      <rPr>
        <u/>
        <sz val="12"/>
        <rFont val="ＭＳ Ｐゴシック"/>
        <family val="3"/>
        <charset val="128"/>
      </rPr>
      <t>検証</t>
    </r>
    <r>
      <rPr>
        <sz val="12"/>
        <rFont val="ＭＳ Ｐゴシック"/>
        <family val="3"/>
        <charset val="128"/>
        <scheme val="minor"/>
      </rPr>
      <t xml:space="preserve">するための方法やプロトコール（臨床研究／実験計画手順書）などの作成についての基礎知識を学習する「アカデミックスキル」。
</t>
    </r>
    <rPh sb="0" eb="4">
      <t>ケンキュウカイハツ</t>
    </rPh>
    <phoneticPr fontId="3"/>
  </si>
  <si>
    <r>
      <t>【モデルカリキュラム導入1-4. データ・AI利活用のための技術】
・スーパーコンピュータによる</t>
    </r>
    <r>
      <rPr>
        <u/>
        <sz val="12"/>
        <rFont val="ＭＳ Ｐゴシック"/>
        <family val="3"/>
        <charset val="128"/>
      </rPr>
      <t>シミュレーション</t>
    </r>
    <r>
      <rPr>
        <sz val="12"/>
        <rFont val="ＭＳ Ｐゴシック"/>
        <family val="3"/>
        <charset val="128"/>
        <scheme val="minor"/>
      </rPr>
      <t>が、基礎科学、防災、医療、気象、ものづくり等の様々な分野で利用され、科学の発展や社会問題の解決に貢献していることを学ぶ 「現代社会と科学」。
【モデルカリキュラム導入1-5. データ・AI利活用の現場】
・医療・ヘルスケア分野における</t>
    </r>
    <r>
      <rPr>
        <u/>
        <sz val="12"/>
        <rFont val="ＭＳ Ｐゴシック"/>
        <family val="3"/>
        <charset val="128"/>
      </rPr>
      <t>データ・</t>
    </r>
    <r>
      <rPr>
        <u/>
        <sz val="12"/>
        <rFont val="ＭＳ Ｐゴシック (本文)"/>
      </rPr>
      <t>AI</t>
    </r>
    <r>
      <rPr>
        <u/>
        <sz val="12"/>
        <rFont val="ＭＳ Ｐゴシック"/>
        <family val="3"/>
        <charset val="128"/>
      </rPr>
      <t>の利活用事例</t>
    </r>
    <r>
      <rPr>
        <sz val="12"/>
        <rFont val="ＭＳ Ｐゴシック"/>
        <family val="3"/>
        <charset val="128"/>
        <scheme val="minor"/>
      </rPr>
      <t xml:space="preserve">を紹介し、その内容について理解する。また、課題解決に向けた応用事例についても理解を深める 「医療イノベーションの基礎」。
</t>
    </r>
    <r>
      <rPr>
        <sz val="12"/>
        <rFont val="ＭＳ Ｐゴシック"/>
        <family val="3"/>
        <charset val="128"/>
      </rPr>
      <t xml:space="preserve">・疫学の基本となる概念や用語並びに調査手法を理解した上で、疫学研究の知見の限界や課題について批判的に考える力を養う「疫学」。
</t>
    </r>
    <r>
      <rPr>
        <sz val="12"/>
        <rFont val="ＭＳ Ｐゴシック"/>
        <family val="3"/>
        <charset val="128"/>
        <scheme val="minor"/>
      </rPr>
      <t xml:space="preserve">
</t>
    </r>
    <rPh sb="0" eb="2">
      <t>ガクシュウ</t>
    </rPh>
    <rPh sb="121" eb="122">
      <t>ホン</t>
    </rPh>
    <rPh sb="122" eb="123">
      <t>ヤマ</t>
    </rPh>
    <rPh sb="123" eb="126">
      <t>ジュンキョウジュ</t>
    </rPh>
    <phoneticPr fontId="3"/>
  </si>
  <si>
    <r>
      <t>【モデルカリキュラム導入1-1. 社会で起きている変化】
・わが国が目指すべき未来社会の姿として、フィジカル（現実）空間とサイバー（仮想）空間が高度に融合した新たな社会</t>
    </r>
    <r>
      <rPr>
        <u/>
        <sz val="12"/>
        <rFont val="ＭＳ Ｐゴシック (本文)"/>
        <family val="3"/>
      </rPr>
      <t>Society5.0</t>
    </r>
    <r>
      <rPr>
        <sz val="12"/>
        <rFont val="ＭＳ Ｐゴシック"/>
        <family val="3"/>
        <charset val="128"/>
        <scheme val="minor"/>
      </rPr>
      <t>が求められている。医療分野においても情報化すなわち医療・介護・健康分野のネットワーク化、</t>
    </r>
    <r>
      <rPr>
        <u/>
        <sz val="12"/>
        <rFont val="ＭＳ Ｐゴシック"/>
        <family val="3"/>
        <charset val="128"/>
      </rPr>
      <t>ビッグデータ・</t>
    </r>
    <r>
      <rPr>
        <u/>
        <sz val="12"/>
        <rFont val="ＭＳ Ｐゴシック (本文)"/>
      </rPr>
      <t>IoT</t>
    </r>
    <r>
      <rPr>
        <u/>
        <sz val="12"/>
        <rFont val="ＭＳ Ｐゴシック"/>
        <family val="3"/>
        <charset val="128"/>
      </rPr>
      <t>・</t>
    </r>
    <r>
      <rPr>
        <u/>
        <sz val="12"/>
        <rFont val="ＭＳ Ｐゴシック (本文)"/>
      </rPr>
      <t>AI</t>
    </r>
    <r>
      <rPr>
        <sz val="12"/>
        <rFont val="ＭＳ Ｐゴシック"/>
        <family val="3"/>
        <charset val="128"/>
        <scheme val="minor"/>
      </rPr>
      <t>の利活用が推進されており、そのような</t>
    </r>
    <r>
      <rPr>
        <u/>
        <sz val="12"/>
        <rFont val="ＭＳ Ｐゴシック (本文)"/>
      </rPr>
      <t>Society5.0</t>
    </r>
    <r>
      <rPr>
        <sz val="12"/>
        <rFont val="ＭＳ Ｐゴシック"/>
        <family val="3"/>
        <charset val="128"/>
        <scheme val="minor"/>
      </rPr>
      <t xml:space="preserve">において医療分野ICTが担う役割と将来の方向性について学習する 「医療情報学」。
</t>
    </r>
    <r>
      <rPr>
        <sz val="12"/>
        <rFont val="ＭＳ Ｐゴシック"/>
        <family val="3"/>
        <charset val="128"/>
      </rPr>
      <t>・医療分野の</t>
    </r>
    <r>
      <rPr>
        <u/>
        <sz val="12"/>
        <rFont val="ＭＳ Ｐゴシック"/>
        <family val="2"/>
        <charset val="128"/>
      </rPr>
      <t>ビッグデータ</t>
    </r>
    <r>
      <rPr>
        <sz val="12"/>
        <rFont val="ＭＳ Ｐゴシック"/>
        <family val="3"/>
        <charset val="128"/>
      </rPr>
      <t>としてレセプトデータの概要およびその利活用について学習する</t>
    </r>
    <r>
      <rPr>
        <sz val="12"/>
        <rFont val="ＭＳ Ｐゴシック (本文)"/>
      </rPr>
      <t xml:space="preserve"> </t>
    </r>
    <r>
      <rPr>
        <sz val="12"/>
        <rFont val="ＭＳ Ｐゴシック"/>
        <family val="3"/>
        <charset val="128"/>
      </rPr>
      <t xml:space="preserve">「医療情報学」。
</t>
    </r>
    <r>
      <rPr>
        <sz val="12"/>
        <rFont val="ＭＳ Ｐゴシック"/>
        <family val="2"/>
        <charset val="128"/>
      </rPr>
      <t>・</t>
    </r>
    <r>
      <rPr>
        <u/>
        <sz val="12"/>
        <rFont val="ＭＳ Ｐゴシック"/>
        <family val="2"/>
        <charset val="128"/>
      </rPr>
      <t>計算機の処理性能の向上</t>
    </r>
    <r>
      <rPr>
        <sz val="12"/>
        <rFont val="ＭＳ Ｐゴシック"/>
        <family val="2"/>
        <charset val="128"/>
      </rPr>
      <t>の歴史を振り返り、計算の高速化の鍵となる技術的要素について理解を深める。また、高性能のスーパーコンピュータが</t>
    </r>
    <r>
      <rPr>
        <u/>
        <sz val="12"/>
        <rFont val="ＭＳ Ｐゴシック"/>
        <family val="2"/>
        <charset val="128"/>
      </rPr>
      <t>AI</t>
    </r>
    <r>
      <rPr>
        <sz val="12"/>
        <rFont val="ＭＳ Ｐゴシック"/>
        <family val="2"/>
        <charset val="128"/>
      </rPr>
      <t>や</t>
    </r>
    <r>
      <rPr>
        <u/>
        <sz val="12"/>
        <rFont val="ＭＳ Ｐゴシック"/>
        <family val="2"/>
        <charset val="128"/>
      </rPr>
      <t>ビッグデータ</t>
    </r>
    <r>
      <rPr>
        <sz val="12"/>
        <rFont val="ＭＳ Ｐゴシック"/>
        <family val="2"/>
        <charset val="128"/>
      </rPr>
      <t>の解析にも活用されていることについても学習する 「現代社会と科学」。
・近年の放射線診断に係わる画像データは</t>
    </r>
    <r>
      <rPr>
        <u/>
        <sz val="12"/>
        <rFont val="ＭＳ Ｐゴシック"/>
        <family val="2"/>
        <charset val="128"/>
      </rPr>
      <t>データ量が増加</t>
    </r>
    <r>
      <rPr>
        <sz val="12"/>
        <rFont val="ＭＳ Ｐゴシック"/>
        <family val="2"/>
        <charset val="128"/>
      </rPr>
      <t>しているため、積極的に</t>
    </r>
    <r>
      <rPr>
        <u/>
        <sz val="12"/>
        <rFont val="ＭＳ Ｐゴシック"/>
        <family val="2"/>
        <charset val="128"/>
      </rPr>
      <t>AI</t>
    </r>
    <r>
      <rPr>
        <sz val="12"/>
        <rFont val="ＭＳ Ｐゴシック"/>
        <family val="2"/>
        <charset val="128"/>
      </rPr>
      <t>を活用することの重要性を学習する「放射線医療学」。</t>
    </r>
    <r>
      <rPr>
        <sz val="12"/>
        <rFont val="ＭＳ Ｐゴシック"/>
        <family val="3"/>
        <charset val="128"/>
        <scheme val="minor"/>
      </rPr>
      <t xml:space="preserve">
【モデルカリキュラム導入1-6. データ・AI利活用の最新動向】
・医療を取り巻く社会の変化と医薬品や医療機器の分野でのイノベーション（医療データや</t>
    </r>
    <r>
      <rPr>
        <u/>
        <sz val="12"/>
        <rFont val="ＭＳ Ｐゴシック (本文)"/>
      </rPr>
      <t>AI</t>
    </r>
    <r>
      <rPr>
        <u/>
        <sz val="12"/>
        <rFont val="ＭＳ Ｐゴシック"/>
        <family val="3"/>
        <charset val="128"/>
        <scheme val="minor"/>
      </rPr>
      <t>を活用した革新的な製品やサービス</t>
    </r>
    <r>
      <rPr>
        <sz val="12"/>
        <rFont val="ＭＳ Ｐゴシック"/>
        <family val="3"/>
        <charset val="128"/>
        <scheme val="minor"/>
      </rPr>
      <t>等）を学び、自らが医療人となった際に広い視野で物事が捉えられる視点や異分野の人</t>
    </r>
    <r>
      <rPr>
        <sz val="12"/>
        <rFont val="ＭＳ Ｐゴシック"/>
        <family val="3"/>
        <charset val="128"/>
      </rPr>
      <t>との</t>
    </r>
    <r>
      <rPr>
        <sz val="12"/>
        <rFont val="ＭＳ Ｐゴシック"/>
        <family val="3"/>
        <charset val="128"/>
        <scheme val="minor"/>
      </rPr>
      <t>コミュニケーションの重要性について学習する 「医療イノベーションの基礎」。
・医療の現場では脳神経外科領域や耳鼻咽喉科・頭頸部外科学領域の手術において、近年導入が進んでいるAI技術を用いた手術ナビゲーションシステムについても学習する 「神経系」、「耳鼻・咽喉系」。
・本学附属病院内の放射線画像参照システムに導入された</t>
    </r>
    <r>
      <rPr>
        <u/>
        <sz val="12"/>
        <rFont val="ＭＳ Ｐゴシック (本文)"/>
      </rPr>
      <t>AI</t>
    </r>
    <r>
      <rPr>
        <sz val="12"/>
        <rFont val="ＭＳ Ｐゴシック"/>
        <family val="3"/>
        <charset val="128"/>
        <scheme val="minor"/>
      </rPr>
      <t>診断補助ソフトを体験する 「臨床実習（放射線科）」。</t>
    </r>
    <rPh sb="0" eb="2">
      <t>ジュンキョシャカイデウジュオキテイルヘリカツヨウノンカサイシンドドウニュウウコウアシハラサッコンホウシャセンガゾウシンダンリョウゾウカセッキョクテキカツヨウジュウヨウセイガクシュウホンガクフゾクビョウインナイホウシャセンガゾウサンショウドウニュウシンダンホジョタイケン_x0000__x0000__x0002_,艓_x0002_0</t>
    </rPh>
    <phoneticPr fontId="3"/>
  </si>
  <si>
    <r>
      <t>【モデルカリキュラム導入1-4. データ・AI利活用のための技術】
・</t>
    </r>
    <r>
      <rPr>
        <u/>
        <sz val="12"/>
        <rFont val="ＭＳ Ｐゴシック"/>
        <family val="2"/>
        <charset val="128"/>
      </rPr>
      <t>画像や動画などの非構造化データの処理</t>
    </r>
    <r>
      <rPr>
        <sz val="12"/>
        <rFont val="ＭＳ Ｐゴシック"/>
        <family val="2"/>
        <charset val="128"/>
        <scheme val="minor"/>
      </rPr>
      <t>を実習形式で学ぶ</t>
    </r>
    <r>
      <rPr>
        <sz val="12"/>
        <rFont val="ＭＳ Ｐゴシック (本文)"/>
      </rPr>
      <t xml:space="preserve"> </t>
    </r>
    <r>
      <rPr>
        <sz val="12"/>
        <rFont val="ＭＳ Ｐゴシック"/>
        <family val="2"/>
        <charset val="128"/>
        <scheme val="minor"/>
      </rPr>
      <t>「情報科学</t>
    </r>
    <r>
      <rPr>
        <sz val="12"/>
        <rFont val="ＭＳ Ｐゴシック"/>
        <family val="3"/>
        <charset val="128"/>
        <scheme val="minor"/>
      </rPr>
      <t>（医）</t>
    </r>
    <r>
      <rPr>
        <sz val="12"/>
        <rFont val="ＭＳ Ｐゴシック"/>
        <family val="2"/>
        <charset val="128"/>
        <scheme val="minor"/>
      </rPr>
      <t>」。
・医療・医学分野におけるAIとコンピュータシミュレーション（in silico）による研究や臨床応用について学</t>
    </r>
    <r>
      <rPr>
        <sz val="12"/>
        <rFont val="ＭＳ Ｐゴシック"/>
        <family val="3"/>
        <charset val="128"/>
        <scheme val="minor"/>
      </rPr>
      <t>ぶ。</t>
    </r>
    <r>
      <rPr>
        <sz val="12"/>
        <rFont val="ＭＳ Ｐゴシック"/>
        <family val="3"/>
        <charset val="128"/>
      </rPr>
      <t>そ</t>
    </r>
    <r>
      <rPr>
        <sz val="12"/>
        <rFont val="ＭＳ Ｐゴシック"/>
        <family val="3"/>
        <charset val="128"/>
        <scheme val="minor"/>
      </rPr>
      <t>の</t>
    </r>
    <r>
      <rPr>
        <sz val="12"/>
        <rFont val="ＭＳ Ｐゴシック"/>
        <family val="2"/>
        <charset val="128"/>
        <scheme val="minor"/>
      </rPr>
      <t>なかでは</t>
    </r>
    <r>
      <rPr>
        <u/>
        <sz val="12"/>
        <rFont val="ＭＳ Ｐゴシック"/>
        <family val="2"/>
        <charset val="128"/>
      </rPr>
      <t>データ同化、データ可視化、挙動・軌跡の可視化、リアルタイム可視化</t>
    </r>
    <r>
      <rPr>
        <sz val="12"/>
        <rFont val="ＭＳ Ｐゴシック"/>
        <family val="2"/>
        <charset val="128"/>
      </rPr>
      <t>、</t>
    </r>
    <r>
      <rPr>
        <sz val="12"/>
        <rFont val="ＭＳ Ｐゴシック"/>
        <family val="2"/>
        <charset val="128"/>
        <scheme val="minor"/>
      </rPr>
      <t>自然</t>
    </r>
    <r>
      <rPr>
        <u/>
        <sz val="12"/>
        <rFont val="ＭＳ Ｐゴシック"/>
        <family val="2"/>
        <charset val="128"/>
      </rPr>
      <t>言語処理</t>
    </r>
    <r>
      <rPr>
        <sz val="12"/>
        <rFont val="ＭＳ Ｐゴシック"/>
        <family val="2"/>
        <charset val="128"/>
        <scheme val="minor"/>
      </rPr>
      <t>、</t>
    </r>
    <r>
      <rPr>
        <u/>
        <sz val="12"/>
        <rFont val="ＭＳ Ｐゴシック"/>
        <family val="2"/>
        <charset val="128"/>
      </rPr>
      <t>画像／動画処理</t>
    </r>
    <r>
      <rPr>
        <sz val="12"/>
        <rFont val="ＭＳ Ｐゴシック"/>
        <family val="2"/>
        <charset val="128"/>
        <scheme val="minor"/>
      </rPr>
      <t>、</t>
    </r>
    <r>
      <rPr>
        <u/>
        <sz val="12"/>
        <rFont val="ＭＳ Ｐゴシック"/>
        <family val="2"/>
        <charset val="128"/>
      </rPr>
      <t>音声処理</t>
    </r>
    <r>
      <rPr>
        <sz val="12"/>
        <rFont val="ＭＳ Ｐゴシック"/>
        <family val="2"/>
        <charset val="128"/>
        <scheme val="minor"/>
      </rPr>
      <t>、</t>
    </r>
    <r>
      <rPr>
        <u/>
        <sz val="12"/>
        <rFont val="ＭＳ Ｐゴシック"/>
        <family val="2"/>
        <charset val="128"/>
      </rPr>
      <t>特化型</t>
    </r>
    <r>
      <rPr>
        <u/>
        <sz val="12"/>
        <rFont val="ＭＳ Ｐゴシック (本文)"/>
      </rPr>
      <t>AI</t>
    </r>
    <r>
      <rPr>
        <u/>
        <sz val="12"/>
        <rFont val="ＭＳ Ｐゴシック"/>
        <family val="2"/>
        <charset val="128"/>
      </rPr>
      <t>と汎用</t>
    </r>
    <r>
      <rPr>
        <u/>
        <sz val="12"/>
        <rFont val="ＭＳ Ｐゴシック (本文)"/>
      </rPr>
      <t>AI</t>
    </r>
    <r>
      <rPr>
        <sz val="12"/>
        <rFont val="ＭＳ Ｐゴシック"/>
        <family val="2"/>
        <charset val="128"/>
        <scheme val="minor"/>
      </rPr>
      <t>、データサイエンスのサイクルなど、とくにヘルスケア分野での利活用とその限界などを扱う 「医療情報学」。
・スーパーコンピュータによる</t>
    </r>
    <r>
      <rPr>
        <u/>
        <sz val="12"/>
        <rFont val="ＭＳ Ｐゴシック"/>
        <family val="2"/>
        <charset val="128"/>
      </rPr>
      <t>シミュレーション</t>
    </r>
    <r>
      <rPr>
        <sz val="12"/>
        <rFont val="ＭＳ Ｐゴシック"/>
        <family val="2"/>
        <charset val="128"/>
        <scheme val="minor"/>
      </rPr>
      <t xml:space="preserve">が、基礎科学、防災、医療、気象、ものづくり等の様々な分野で利用され、科学の発展や社会問題の解決に貢献していることを学ぶ 「現代社会と科学」。
</t>
    </r>
    <r>
      <rPr>
        <sz val="12"/>
        <rFont val="ＭＳ Ｐゴシック"/>
        <family val="3"/>
        <charset val="128"/>
      </rPr>
      <t>・自律神経伝達物質による心臓機能調節に関して、心臓機能（心拍数、収縮力、酵素反応など）をコンピュータ上の仮想時空間において再現する</t>
    </r>
    <r>
      <rPr>
        <u/>
        <sz val="12"/>
        <rFont val="ＭＳ Ｐゴシック"/>
        <family val="2"/>
        <charset val="128"/>
      </rPr>
      <t>シミュレーション</t>
    </r>
    <r>
      <rPr>
        <sz val="12"/>
        <rFont val="ＭＳ Ｐゴシック"/>
        <family val="3"/>
        <charset val="128"/>
      </rPr>
      <t>教材を用いたインシリコ実習を行う 「臓器生理学実習II」。
・公衆衛生において、人間集団の健康問題を把握しその対策を明らかにする基本的方法である疫学的手法やその理解の基盤となる生物統計学の知識を学ぶ</t>
    </r>
    <r>
      <rPr>
        <sz val="12"/>
        <rFont val="ＭＳ Ｐゴシック (本文)"/>
      </rPr>
      <t xml:space="preserve"> </t>
    </r>
    <r>
      <rPr>
        <sz val="12"/>
        <rFont val="ＭＳ Ｐゴシック"/>
        <family val="3"/>
        <charset val="128"/>
      </rPr>
      <t xml:space="preserve">「公衆衛生学」。
</t>
    </r>
    <r>
      <rPr>
        <sz val="12"/>
        <rFont val="ＭＳ Ｐゴシック"/>
        <family val="2"/>
        <charset val="128"/>
      </rPr>
      <t>・フィールド実習において、各実習先で行う健康教育（児童・生徒、職域勤労者で実施する）において、その計画立案、実施、評価を経験する。数値目標の設定や介入前後での比較をもって効果を評価する（研究デザインに応じた解析手法の選択、解析結果の解釈、デザインの限界点を理解する）「社会医学フィールド実習」。</t>
    </r>
    <r>
      <rPr>
        <sz val="12"/>
        <rFont val="ＭＳ Ｐゴシック"/>
        <family val="2"/>
        <charset val="128"/>
        <scheme val="minor"/>
      </rPr>
      <t xml:space="preserve">
・人体病理所見の顕微鏡画像をデジタル化したバーチャルスライドを作成して実習に用いる　「病態発生学I」。
【モデルカリキュラム導入1-5. データ・AI利活用の現場】
・医療・ヘルスケア分野における</t>
    </r>
    <r>
      <rPr>
        <u/>
        <sz val="12"/>
        <rFont val="ＭＳ Ｐゴシック"/>
        <family val="2"/>
        <charset val="128"/>
      </rPr>
      <t>データ・</t>
    </r>
    <r>
      <rPr>
        <u/>
        <sz val="12"/>
        <rFont val="ＭＳ Ｐゴシック (本文)"/>
      </rPr>
      <t>AI</t>
    </r>
    <r>
      <rPr>
        <u/>
        <sz val="12"/>
        <rFont val="ＭＳ Ｐゴシック"/>
        <family val="2"/>
        <charset val="128"/>
      </rPr>
      <t>の利活用事例</t>
    </r>
    <r>
      <rPr>
        <sz val="12"/>
        <rFont val="ＭＳ Ｐゴシック"/>
        <family val="2"/>
        <charset val="128"/>
        <scheme val="minor"/>
      </rPr>
      <t>を紹介し、その内容について理解する。また、課題解決に向けた応用事例についても理解を深める 「医療イノベーションの基礎」。
・</t>
    </r>
    <r>
      <rPr>
        <sz val="12"/>
        <rFont val="ＭＳ Ｐゴシック"/>
        <family val="3"/>
        <charset val="128"/>
        <scheme val="minor"/>
      </rPr>
      <t xml:space="preserve">種々の医用画像を利用し、ＡＩを用いた病変の検出、質的診断、あるいは病変の広がりを診断する画像診断と、ＡＩやロボットを用いた高エネルギー放射線を利用した放射線治療ならびに放射線診断技術を利用した低侵襲治療（インターベンショナル・ラディオロジー、IVR）について学ぶ 「放射線医療学」。
・臨床医が実地診療の現場で正確に診断し適切な医療を行うためには必要十分な臨床検査を選択し、データを解釈する能力を身につけることが重要であり、その精度管理や実施方法を総論的に学ぶ 「検査医学」。
</t>
    </r>
    <r>
      <rPr>
        <sz val="12"/>
        <rFont val="ＭＳ Ｐゴシック"/>
        <family val="3"/>
        <charset val="128"/>
      </rPr>
      <t>・公的統計データ、保健行政データの二次利用（目的外利用・第三者利用）の実例を学ぶ（例：人口動態統計、レセプト情報・特定健診等情報データベース（</t>
    </r>
    <r>
      <rPr>
        <sz val="12"/>
        <rFont val="ＭＳ Ｐゴシック (本文)"/>
      </rPr>
      <t>NDB)</t>
    </r>
    <r>
      <rPr>
        <sz val="12"/>
        <rFont val="ＭＳ Ｐゴシック"/>
        <family val="3"/>
        <charset val="128"/>
      </rPr>
      <t>、要介護データベース、都道府県・市町村による国保データベースの分析事例） 「公衆衛生学」。
・臨床系の系別講義では、各系において画像診断の講義を行う。「筋・骨格系」「耳鼻・咽喉系」「神経系」「循環器系」「内分泌・代謝系」「腎・尿路系」「消化器系」「呼吸器系」。</t>
    </r>
    <rPh sb="0" eb="2">
      <t>ホンヤマジュケンサデータンキカンベツカカワルシンダンョリンショシカタマナブケンサイガクヲウスイロンウジュコウシュウエイセイガクミウラリンショウジッシュウニュウモンコウギガイヨウカクニンチュウモチモチ</t>
    </rPh>
    <phoneticPr fontId="3"/>
  </si>
  <si>
    <t>本学医学部医学科では、一般教育科目では単位制を、専門科目では単位制ではなく時間制を採用している。
下記③の授業科目のうち「現代社会と科学」と「医療イノベーションの基礎」を除く21科目が進級要件に関わる必修科目である。本教育プログラムの修了要件として、これらの必修科目の21科目と選択科目の2科目を合わせた23科目全て（10単位＋822時間）を履修・合格することを修了要件とする。</t>
    <phoneticPr fontId="3"/>
  </si>
  <si>
    <t>アンケート対象者のプライバシー保護データやデータを扱う上での研究規範の重要性</t>
    <phoneticPr fontId="3"/>
  </si>
  <si>
    <r>
      <t>情報科学（看）、</t>
    </r>
    <r>
      <rPr>
        <sz val="12"/>
        <rFont val="ＭＳ Ｐゴシック"/>
        <family val="3"/>
        <charset val="128"/>
      </rPr>
      <t>疫学、保健統計学、看護研究</t>
    </r>
    <rPh sb="0" eb="2">
      <t>ジョウホウ</t>
    </rPh>
    <rPh sb="2" eb="4">
      <t>カガク</t>
    </rPh>
    <rPh sb="8" eb="10">
      <t>エキガｋウ</t>
    </rPh>
    <rPh sb="11" eb="15">
      <t>ホケｎン</t>
    </rPh>
    <rPh sb="15" eb="16">
      <t>ガク</t>
    </rPh>
    <phoneticPr fontId="3"/>
  </si>
  <si>
    <t>看護学科では、全ての授業科目において単位制を採用している。
下記③の授業科目のうち「現代社会と科学」と「医療イノベーションの基礎」を除く7科目が進級要件に関わる必修科目である。本教育プログラムの修了要件として、これらの必修科目の7科目と選択科目の2科目を合わせた9科目全て（13単位）を履修・合格することを修了要件とする。</t>
    <phoneticPr fontId="3"/>
  </si>
  <si>
    <t>国立大学法人滋賀医科大学教育推進本部規程、国立大学法人滋賀医科大学医学・看護学教育センター規程</t>
    <rPh sb="0" eb="20">
      <t>、</t>
    </rPh>
    <phoneticPr fontId="3"/>
  </si>
  <si>
    <t>授業に対する学生調査のうち、「授業に集中できた」「事前学習を行った」「授業内容をよく理解できた」の項目を分析することにより、学生の授業への取組状況や内容の理解度を把握することができる。さらに、学期末に筆記試験、レポート、グループディスカッション、プレゼンテーションなど各授業科目に設定・明示された成績評価基準に基づき評価を行っており、学生の授業内容の理解度・到達度を客観的に把握することができる。その結果を医学・看護学教育センター学部教育部門で審議のうえ、教授会で単位認定する（秀・優・良・可・不可の5段階）。加えて、IR室で学生の成績分布を分析し、本教育プログラムの評価・改善に活用する。</t>
    <phoneticPr fontId="3"/>
  </si>
  <si>
    <r>
      <t>【モデルカリキュラム心得3-1. データ・AIを扱う上での留意事項】
・医療情報・医療データ・AIを利活用する上で理解しておくべき</t>
    </r>
    <r>
      <rPr>
        <u/>
        <sz val="12"/>
        <rFont val="ＭＳ Ｐゴシック"/>
        <family val="3"/>
        <charset val="128"/>
      </rPr>
      <t>個人情報保護法</t>
    </r>
    <r>
      <rPr>
        <sz val="12"/>
        <rFont val="ＭＳ Ｐゴシック"/>
        <family val="3"/>
        <charset val="128"/>
        <scheme val="minor"/>
      </rPr>
      <t>、</t>
    </r>
    <r>
      <rPr>
        <u/>
        <sz val="12"/>
        <rFont val="ＭＳ Ｐゴシック (本文)"/>
      </rPr>
      <t>GDPR</t>
    </r>
    <r>
      <rPr>
        <sz val="12"/>
        <rFont val="ＭＳ Ｐゴシック"/>
        <family val="3"/>
        <charset val="128"/>
        <scheme val="minor"/>
      </rPr>
      <t>、</t>
    </r>
    <r>
      <rPr>
        <u/>
        <sz val="12"/>
        <rFont val="ＭＳ Ｐゴシック"/>
        <family val="3"/>
        <charset val="128"/>
      </rPr>
      <t>プライバシー保護</t>
    </r>
    <r>
      <rPr>
        <sz val="12"/>
        <rFont val="ＭＳ Ｐゴシック"/>
        <family val="3"/>
        <charset val="128"/>
        <scheme val="minor"/>
      </rPr>
      <t>、医療情報を扱う上で必須となる</t>
    </r>
    <r>
      <rPr>
        <u/>
        <sz val="12"/>
        <rFont val="ＭＳ Ｐゴシック"/>
        <family val="3"/>
        <charset val="128"/>
      </rPr>
      <t>情報セキュリティー</t>
    </r>
    <r>
      <rPr>
        <sz val="12"/>
        <rFont val="ＭＳ Ｐゴシック"/>
        <family val="3"/>
        <charset val="128"/>
        <scheme val="minor"/>
      </rPr>
      <t>、</t>
    </r>
    <r>
      <rPr>
        <u/>
        <sz val="12"/>
        <rFont val="ＭＳ Ｐゴシック"/>
        <family val="3"/>
        <charset val="128"/>
      </rPr>
      <t>匿名加工情報</t>
    </r>
    <r>
      <rPr>
        <sz val="12"/>
        <rFont val="ＭＳ Ｐゴシック"/>
        <family val="3"/>
        <charset val="128"/>
        <scheme val="minor"/>
      </rPr>
      <t>、</t>
    </r>
    <r>
      <rPr>
        <u/>
        <sz val="12"/>
        <rFont val="ＭＳ Ｐゴシック"/>
        <family val="3"/>
        <charset val="128"/>
      </rPr>
      <t>暗号化</t>
    </r>
    <r>
      <rPr>
        <sz val="12"/>
        <rFont val="ＭＳ Ｐゴシック"/>
        <family val="3"/>
        <charset val="128"/>
        <scheme val="minor"/>
      </rPr>
      <t>、</t>
    </r>
    <r>
      <rPr>
        <u/>
        <sz val="12"/>
        <rFont val="ＭＳ Ｐゴシック"/>
        <family val="3"/>
        <charset val="128"/>
      </rPr>
      <t>悪意ある情報搾取</t>
    </r>
    <r>
      <rPr>
        <sz val="12"/>
        <rFont val="ＭＳ Ｐゴシック"/>
        <family val="3"/>
        <charset val="128"/>
        <scheme val="minor"/>
      </rPr>
      <t>事例、</t>
    </r>
    <r>
      <rPr>
        <u/>
        <sz val="12"/>
        <rFont val="ＭＳ Ｐゴシック"/>
        <family val="3"/>
        <charset val="128"/>
      </rPr>
      <t>情報漏洩事例</t>
    </r>
    <r>
      <rPr>
        <sz val="12"/>
        <rFont val="ＭＳ Ｐゴシック"/>
        <family val="3"/>
        <charset val="128"/>
        <scheme val="minor"/>
      </rPr>
      <t>等についても学習する「情報科学（看）」。　
・看護学分野の研究・</t>
    </r>
    <r>
      <rPr>
        <u/>
        <sz val="12"/>
        <rFont val="ＭＳ Ｐゴシック"/>
        <family val="3"/>
        <charset val="128"/>
      </rPr>
      <t>データ</t>
    </r>
    <r>
      <rPr>
        <u/>
        <sz val="12"/>
        <rFont val="ＭＳ Ｐゴシック"/>
        <family val="3"/>
        <charset val="128"/>
        <scheme val="minor"/>
      </rPr>
      <t>倫理</t>
    </r>
    <r>
      <rPr>
        <sz val="12"/>
        <rFont val="ＭＳ Ｐゴシック"/>
        <family val="3"/>
        <charset val="128"/>
        <scheme val="minor"/>
      </rPr>
      <t>として、文献やデータの引用のルールやマナー、著作権について学び、学習や研究の成果を正しく表現できる実践力を身につける 「アカデミック・スキル」。
・アンケート対象者のプライバシー保護データやデータを扱う上での研究規範の重要性について学習する「看護研究」。
【モデルカリキュラム心得3-2. データを守る上での留意事項】
・機密性、可用性、完全性という</t>
    </r>
    <r>
      <rPr>
        <u/>
        <sz val="12"/>
        <rFont val="ＭＳ Ｐゴシック"/>
        <family val="3"/>
        <charset val="128"/>
      </rPr>
      <t>情報セキュリティ</t>
    </r>
    <r>
      <rPr>
        <sz val="12"/>
        <rFont val="ＭＳ Ｐゴシック"/>
        <family val="3"/>
        <charset val="128"/>
        <scheme val="minor"/>
      </rPr>
      <t>の基本的な考え方を学ぶとともに、コンピュータウイルスやネットワーク・サーバへの不正侵入、フィッシングなど、</t>
    </r>
    <r>
      <rPr>
        <u/>
        <sz val="12"/>
        <rFont val="ＭＳ Ｐゴシック"/>
        <family val="3"/>
        <charset val="128"/>
      </rPr>
      <t>セキュリティ事故</t>
    </r>
    <r>
      <rPr>
        <sz val="12"/>
        <rFont val="ＭＳ Ｐゴシック"/>
        <family val="3"/>
        <charset val="128"/>
        <scheme val="minor"/>
      </rPr>
      <t>の事例を通してインターネット上の「脅威」について理解を深める。</t>
    </r>
    <r>
      <rPr>
        <u/>
        <sz val="12"/>
        <rFont val="ＭＳ Ｐゴシック"/>
        <family val="3"/>
        <charset val="128"/>
      </rPr>
      <t>悪意ある情報窃取</t>
    </r>
    <r>
      <rPr>
        <sz val="12"/>
        <rFont val="ＭＳ Ｐゴシック"/>
        <family val="3"/>
        <charset val="128"/>
        <scheme val="minor"/>
      </rPr>
      <t>への対策として、</t>
    </r>
    <r>
      <rPr>
        <u/>
        <sz val="12"/>
        <rFont val="ＭＳ Ｐゴシック"/>
        <family val="3"/>
        <charset val="128"/>
      </rPr>
      <t>パスワード</t>
    </r>
    <r>
      <rPr>
        <sz val="12"/>
        <rFont val="ＭＳ Ｐゴシック"/>
        <family val="3"/>
        <charset val="128"/>
        <scheme val="minor"/>
      </rPr>
      <t xml:space="preserve">管理の重要性についても学ぶ「情報科学（看）」。 
</t>
    </r>
    <r>
      <rPr>
        <u val="double"/>
        <sz val="12"/>
        <rFont val="ＭＳ Ｐゴシック"/>
        <family val="3"/>
        <charset val="128"/>
        <scheme val="minor"/>
      </rPr>
      <t xml:space="preserve">
</t>
    </r>
    <rPh sb="0" eb="5">
      <t>カンゴガクブンヤノ</t>
    </rPh>
    <rPh sb="255" eb="257">
      <t>タイショウ</t>
    </rPh>
    <rPh sb="257" eb="258">
      <t>シャ</t>
    </rPh>
    <rPh sb="265" eb="267">
      <t>ホゴ</t>
    </rPh>
    <rPh sb="275" eb="276">
      <t>アツカ</t>
    </rPh>
    <rPh sb="277" eb="278">
      <t>ウエ</t>
    </rPh>
    <rPh sb="280" eb="282">
      <t>ケンキュウ</t>
    </rPh>
    <rPh sb="282" eb="284">
      <t>キハン</t>
    </rPh>
    <rPh sb="285" eb="288">
      <t>ジュウヨウセイ</t>
    </rPh>
    <rPh sb="292" eb="294">
      <t>ガクシュウ</t>
    </rPh>
    <rPh sb="297" eb="299">
      <t>カンゴ</t>
    </rPh>
    <rPh sb="299" eb="301">
      <t>ケンキュウ</t>
    </rPh>
    <phoneticPr fontId="3"/>
  </si>
  <si>
    <t>②</t>
    <phoneticPr fontId="3"/>
  </si>
  <si>
    <t>https://www.shiga-med.ac.jp/education-and-support/distinctive-programs</t>
    <phoneticPr fontId="3"/>
  </si>
  <si>
    <t>https://www.shiga-med.ac.jp/education-and-support/distinctive-programs</t>
    <phoneticPr fontId="3"/>
  </si>
  <si>
    <r>
      <t>国立大学法人滋賀医科大学</t>
    </r>
    <r>
      <rPr>
        <sz val="12"/>
        <color rgb="FFFF0000"/>
        <rFont val="ＭＳ Ｐゴシック"/>
        <family val="3"/>
        <charset val="128"/>
        <scheme val="minor"/>
      </rPr>
      <t/>
    </r>
    <rPh sb="0" eb="2">
      <t>コクリツ</t>
    </rPh>
    <rPh sb="2" eb="4">
      <t>ダイガク</t>
    </rPh>
    <rPh sb="4" eb="6">
      <t>ホウジン</t>
    </rPh>
    <rPh sb="6" eb="8">
      <t>シガ</t>
    </rPh>
    <rPh sb="8" eb="10">
      <t>イカ</t>
    </rPh>
    <rPh sb="10" eb="12">
      <t>ダイガク</t>
    </rPh>
    <phoneticPr fontId="3"/>
  </si>
  <si>
    <r>
      <t>【モデルカリキュラム基礎2-1. データを読む】
・</t>
    </r>
    <r>
      <rPr>
        <u/>
        <sz val="12"/>
        <rFont val="ＭＳ Ｐゴシック"/>
        <family val="3"/>
        <charset val="128"/>
      </rPr>
      <t>質的変数</t>
    </r>
    <r>
      <rPr>
        <sz val="12"/>
        <rFont val="ＭＳ Ｐゴシック"/>
        <family val="3"/>
        <charset val="128"/>
        <scheme val="minor"/>
      </rPr>
      <t>や</t>
    </r>
    <r>
      <rPr>
        <u/>
        <sz val="12"/>
        <rFont val="ＭＳ Ｐゴシック"/>
        <family val="3"/>
        <charset val="128"/>
      </rPr>
      <t>量的変数</t>
    </r>
    <r>
      <rPr>
        <sz val="12"/>
        <rFont val="ＭＳ Ｐゴシック"/>
        <family val="3"/>
        <charset val="128"/>
        <scheme val="minor"/>
      </rPr>
      <t>、それらに関連する離散的な</t>
    </r>
    <r>
      <rPr>
        <sz val="12"/>
        <rFont val="ＭＳ Ｐゴシック"/>
        <family val="2"/>
        <charset val="128"/>
      </rPr>
      <t>分布</t>
    </r>
    <r>
      <rPr>
        <sz val="12"/>
        <rFont val="ＭＳ Ｐゴシック"/>
        <family val="3"/>
        <charset val="128"/>
        <scheme val="minor"/>
      </rPr>
      <t>や連続的な分布についてまず学習し、続いてそれぞれの分布について、</t>
    </r>
    <r>
      <rPr>
        <u/>
        <sz val="12"/>
        <rFont val="ＭＳ Ｐゴシック"/>
        <family val="3"/>
        <charset val="128"/>
      </rPr>
      <t>平均値</t>
    </r>
    <r>
      <rPr>
        <sz val="12"/>
        <rFont val="ＭＳ Ｐゴシック"/>
        <family val="3"/>
        <charset val="128"/>
        <scheme val="minor"/>
      </rPr>
      <t>、</t>
    </r>
    <r>
      <rPr>
        <u/>
        <sz val="12"/>
        <rFont val="ＭＳ Ｐゴシック"/>
        <family val="3"/>
        <charset val="128"/>
      </rPr>
      <t>分散</t>
    </r>
    <r>
      <rPr>
        <sz val="12"/>
        <rFont val="ＭＳ Ｐゴシック"/>
        <family val="3"/>
        <charset val="128"/>
        <scheme val="minor"/>
      </rPr>
      <t>、</t>
    </r>
    <r>
      <rPr>
        <u/>
        <sz val="12"/>
        <rFont val="ＭＳ Ｐゴシック"/>
        <family val="3"/>
        <charset val="128"/>
      </rPr>
      <t>標準偏差</t>
    </r>
    <r>
      <rPr>
        <sz val="12"/>
        <rFont val="ＭＳ Ｐゴシック"/>
        <family val="3"/>
        <charset val="128"/>
        <scheme val="minor"/>
      </rPr>
      <t>の定義やその意味、そして</t>
    </r>
    <r>
      <rPr>
        <u/>
        <sz val="12"/>
        <rFont val="ＭＳ Ｐゴシック"/>
        <family val="3"/>
        <charset val="128"/>
      </rPr>
      <t>母集団</t>
    </r>
    <r>
      <rPr>
        <sz val="12"/>
        <rFont val="ＭＳ Ｐゴシック"/>
        <family val="3"/>
        <charset val="128"/>
        <scheme val="minor"/>
      </rPr>
      <t>と</t>
    </r>
    <r>
      <rPr>
        <u/>
        <sz val="12"/>
        <rFont val="ＭＳ Ｐゴシック"/>
        <family val="3"/>
        <charset val="128"/>
      </rPr>
      <t>標本抽出</t>
    </r>
    <r>
      <rPr>
        <sz val="12"/>
        <rFont val="ＭＳ Ｐゴシック"/>
        <family val="3"/>
        <charset val="128"/>
        <scheme val="minor"/>
      </rPr>
      <t xml:space="preserve">、データの比較について学ぶ。 「ランダム現象の数理」。
</t>
    </r>
    <r>
      <rPr>
        <sz val="12"/>
        <rFont val="ＭＳ Ｐゴシック"/>
        <family val="3"/>
        <charset val="128"/>
      </rPr>
      <t>・保健</t>
    </r>
    <r>
      <rPr>
        <u/>
        <sz val="12"/>
        <rFont val="ＭＳ Ｐゴシック"/>
        <family val="2"/>
        <charset val="128"/>
      </rPr>
      <t>統計</t>
    </r>
    <r>
      <rPr>
        <sz val="12"/>
        <rFont val="ＭＳ Ｐゴシック"/>
        <family val="3"/>
        <charset val="128"/>
      </rPr>
      <t>指標の意味と意義の理解、基礎的な統計解析の方法の習得と統計解析演習による実践により、統計解析の結果を適切に表し、</t>
    </r>
    <r>
      <rPr>
        <u/>
        <sz val="12"/>
        <rFont val="ＭＳ Ｐゴシック"/>
        <family val="2"/>
        <charset val="128"/>
      </rPr>
      <t>正しく</t>
    </r>
    <r>
      <rPr>
        <sz val="12"/>
        <rFont val="ＭＳ Ｐゴシック"/>
        <family val="3"/>
        <charset val="128"/>
      </rPr>
      <t>解釈・</t>
    </r>
    <r>
      <rPr>
        <u/>
        <sz val="12"/>
        <rFont val="ＭＳ Ｐゴシック"/>
        <family val="2"/>
        <charset val="128"/>
      </rPr>
      <t>理解</t>
    </r>
    <r>
      <rPr>
        <sz val="12"/>
        <rFont val="ＭＳ Ｐゴシック"/>
        <family val="3"/>
        <charset val="128"/>
      </rPr>
      <t>できる基礎的能力を養う「保健統計学」。</t>
    </r>
    <r>
      <rPr>
        <sz val="12"/>
        <rFont val="ＭＳ Ｐゴシック"/>
        <family val="3"/>
        <charset val="128"/>
        <scheme val="minor"/>
      </rPr>
      <t xml:space="preserve">
【モデルカリキュラム基礎2-2. データを説明する】
・社会での実例データ（サイコロの出る目の数、身長、体重、成績、出生時の体重、患者の診療時間と待ち時間）を題材として、学生自らそれらを</t>
    </r>
    <r>
      <rPr>
        <u/>
        <sz val="12"/>
        <rFont val="ＭＳ Ｐゴシック"/>
        <family val="3"/>
        <charset val="128"/>
      </rPr>
      <t>グラフで表現</t>
    </r>
    <r>
      <rPr>
        <sz val="12"/>
        <rFont val="ＭＳ Ｐゴシック"/>
        <family val="3"/>
        <charset val="128"/>
        <scheme val="minor"/>
      </rPr>
      <t>したり、</t>
    </r>
    <r>
      <rPr>
        <u/>
        <sz val="12"/>
        <rFont val="ＭＳ Ｐゴシック"/>
        <family val="3"/>
        <charset val="128"/>
      </rPr>
      <t>チャート化</t>
    </r>
    <r>
      <rPr>
        <sz val="12"/>
        <rFont val="ＭＳ Ｐゴシック"/>
        <family val="3"/>
        <charset val="128"/>
        <scheme val="minor"/>
      </rPr>
      <t>してから、</t>
    </r>
    <r>
      <rPr>
        <u/>
        <sz val="12"/>
        <rFont val="ＭＳ Ｐゴシック"/>
        <family val="3"/>
        <charset val="128"/>
      </rPr>
      <t>平均値</t>
    </r>
    <r>
      <rPr>
        <sz val="12"/>
        <rFont val="ＭＳ Ｐゴシック"/>
        <family val="3"/>
        <charset val="128"/>
        <scheme val="minor"/>
      </rPr>
      <t>、</t>
    </r>
    <r>
      <rPr>
        <u/>
        <sz val="12"/>
        <rFont val="ＭＳ Ｐゴシック"/>
        <family val="3"/>
        <charset val="128"/>
      </rPr>
      <t>分散</t>
    </r>
    <r>
      <rPr>
        <sz val="12"/>
        <rFont val="ＭＳ Ｐゴシック"/>
        <family val="3"/>
        <charset val="128"/>
        <scheme val="minor"/>
      </rPr>
      <t>、</t>
    </r>
    <r>
      <rPr>
        <u/>
        <sz val="12"/>
        <rFont val="ＭＳ Ｐゴシック"/>
        <family val="3"/>
        <charset val="128"/>
      </rPr>
      <t>標準偏差</t>
    </r>
    <r>
      <rPr>
        <sz val="12"/>
        <rFont val="ＭＳ Ｐゴシック"/>
        <family val="3"/>
        <charset val="128"/>
        <scheme val="minor"/>
      </rPr>
      <t>を求める演習を行い理解を深める 「ランダム現象の数理」。
・目的に応じた様々なグラフ（棒グラフ、折れ線グラフ、散布図等）を用いたデータ表現について学ぶ 「情報科学（看）」。
【モデルカリキュラム基礎2-3.　データを扱う】
・表計算ソフトを用いて、</t>
    </r>
    <r>
      <rPr>
        <u/>
        <sz val="12"/>
        <rFont val="ＭＳ Ｐゴシック"/>
        <family val="3"/>
        <charset val="128"/>
      </rPr>
      <t>データの集計</t>
    </r>
    <r>
      <rPr>
        <sz val="12"/>
        <rFont val="ＭＳ Ｐゴシック"/>
        <family val="3"/>
        <charset val="128"/>
        <scheme val="minor"/>
      </rPr>
      <t>や</t>
    </r>
    <r>
      <rPr>
        <u/>
        <sz val="12"/>
        <rFont val="ＭＳ Ｐゴシック"/>
        <family val="3"/>
        <charset val="128"/>
      </rPr>
      <t>並び替え</t>
    </r>
    <r>
      <rPr>
        <sz val="12"/>
        <rFont val="ＭＳ Ｐゴシック"/>
        <family val="3"/>
        <charset val="128"/>
        <scheme val="minor"/>
      </rPr>
      <t>、統計処理を学ぶ。</t>
    </r>
    <r>
      <rPr>
        <u/>
        <sz val="12"/>
        <rFont val="ＭＳ Ｐゴシック (本文)"/>
      </rPr>
      <t>CSV</t>
    </r>
    <r>
      <rPr>
        <sz val="12"/>
        <rFont val="ＭＳ Ｐゴシック"/>
        <family val="3"/>
        <charset val="128"/>
        <scheme val="minor"/>
      </rPr>
      <t>等の</t>
    </r>
    <r>
      <rPr>
        <u/>
        <sz val="12"/>
        <rFont val="ＭＳ Ｐゴシック"/>
        <family val="3"/>
        <charset val="128"/>
      </rPr>
      <t>表形式データ</t>
    </r>
    <r>
      <rPr>
        <sz val="12"/>
        <rFont val="ＭＳ Ｐゴシック"/>
        <family val="3"/>
        <charset val="128"/>
        <scheme val="minor"/>
      </rPr>
      <t xml:space="preserve">を取り扱うためのファイル形式についての知識も身につける 「情報科学（看）」。
</t>
    </r>
    <rPh sb="0" eb="2">
      <t>ガクシュウシ</t>
    </rPh>
    <rPh sb="10" eb="12">
      <t>カワキタ</t>
    </rPh>
    <rPh sb="12" eb="15">
      <t>ジュンキョウジュ</t>
    </rPh>
    <rPh sb="226" eb="227">
      <t>ガク</t>
    </rPh>
    <phoneticPr fontId="3"/>
  </si>
  <si>
    <t>疫学、保健統計学</t>
    <rPh sb="7" eb="8">
      <t>ガク</t>
    </rPh>
    <phoneticPr fontId="3"/>
  </si>
  <si>
    <r>
      <t>情報科学（看）、</t>
    </r>
    <r>
      <rPr>
        <sz val="12"/>
        <rFont val="ＭＳ Ｐゴシック"/>
        <family val="3"/>
        <charset val="128"/>
      </rPr>
      <t>疫学、保健統計学</t>
    </r>
    <r>
      <rPr>
        <sz val="12"/>
        <rFont val="ＭＳ Ｐゴシック"/>
        <family val="3"/>
        <charset val="128"/>
        <scheme val="minor"/>
      </rPr>
      <t>、</t>
    </r>
    <r>
      <rPr>
        <sz val="12"/>
        <rFont val="ＭＳ Ｐゴシック"/>
        <family val="3"/>
        <charset val="128"/>
      </rPr>
      <t>看護学研究方法論</t>
    </r>
    <rPh sb="0" eb="2">
      <t>ジョウホウ</t>
    </rPh>
    <rPh sb="2" eb="4">
      <t>カガク</t>
    </rPh>
    <rPh sb="7" eb="9">
      <t>、</t>
    </rPh>
    <rPh sb="15" eb="16">
      <t>ガク</t>
    </rPh>
    <rPh sb="16" eb="23">
      <t>カンゴガク</t>
    </rPh>
    <phoneticPr fontId="3"/>
  </si>
  <si>
    <t>本教育プログラムを構成する各授業科目の概要・特徴や獲得できる能力・スキル、さらには履修した学生の感想などについて、入学時に実施する新入生オリエンテーションや在校生に対して各年度初めに実施する学年別オリエンテーションで丁寧に説明して周知を図る。さらに、本学のWEBサイトホームページにも掲載することにより学生が履修に関しての情報を受け取りやすい環境を整備する。</t>
    <phoneticPr fontId="3"/>
  </si>
  <si>
    <r>
      <t>本教育プログラムを改善・進化させるための組織等として、教育推進本部があり、それを構成する委員の名前、役職・所属は以下の通りである。
教育推進本部：
本部長　教育等担当理事・副学長　　　　　　松浦　博</t>
    </r>
    <r>
      <rPr>
        <sz val="12"/>
        <rFont val="ＭＳ Ｐゴシック (本文)"/>
      </rPr>
      <t xml:space="preserve">
</t>
    </r>
    <r>
      <rPr>
        <sz val="12"/>
        <rFont val="ＭＳ Ｐゴシック"/>
        <family val="3"/>
        <charset val="128"/>
      </rPr>
      <t>委員　医学部・生命科学講座・教授　　　　　目良　裕
委員　医学部・薬理学講座教授　　　　　　　西　英一郎
委員　医学部・小児科学講座・教授　　　　　丸尾　良浩
委員　医学部・基礎看護学講座・教授　　　　相見　良成
委員　医学部・臨床看護学講座・教授　　　　河村　奈美子
委員　医学部・内科学講座（循環器）・教授　中川　義久
委員　医学・看護学教育センター・教授　　　　伊藤　俊之
委員　医師臨床教育センター・准教授　　　　　川崎　拓
委員　看護臨床教育センター・准教授　　　　　多川　晴美</t>
    </r>
    <r>
      <rPr>
        <sz val="12"/>
        <rFont val="ＭＳ Ｐゴシック (本文)"/>
      </rPr>
      <t xml:space="preserve">
</t>
    </r>
    <r>
      <rPr>
        <sz val="12"/>
        <rFont val="ＭＳ Ｐゴシック"/>
        <family val="2"/>
        <charset val="128"/>
      </rPr>
      <t>「数理・データサイエンス・</t>
    </r>
    <r>
      <rPr>
        <sz val="12"/>
        <rFont val="ＭＳ Ｐゴシック (本文)"/>
      </rPr>
      <t>AI</t>
    </r>
    <r>
      <rPr>
        <sz val="12"/>
        <rFont val="ＭＳ Ｐゴシック"/>
        <family val="2"/>
        <charset val="128"/>
      </rPr>
      <t>教育プログラム」を構成する各授業科目を受講した学生による授業アンケート（学習意欲・満足度・理解度など）や各授業科目の試験における成績分布などを</t>
    </r>
    <r>
      <rPr>
        <sz val="12"/>
        <rFont val="ＭＳ Ｐゴシック (本文)"/>
      </rPr>
      <t>IR</t>
    </r>
    <r>
      <rPr>
        <sz val="12"/>
        <rFont val="ＭＳ Ｐゴシック"/>
        <family val="2"/>
        <charset val="128"/>
      </rPr>
      <t>室で分析</t>
    </r>
    <r>
      <rPr>
        <sz val="12"/>
        <rFont val="ＭＳ Ｐゴシック"/>
        <family val="3"/>
        <charset val="128"/>
      </rPr>
      <t>し</t>
    </r>
    <r>
      <rPr>
        <sz val="12"/>
        <rFont val="ＭＳ Ｐゴシック"/>
        <family val="2"/>
        <charset val="128"/>
      </rPr>
      <t>、それに基づいて教学活動評価委員会において、各授業科目における学生の到達度について確認・評価を行う。この評価に基づき、教育推進本部において、各授業科目の内容・実施形態・教授方法などに関</t>
    </r>
    <r>
      <rPr>
        <sz val="12"/>
        <rFont val="ＭＳ Ｐゴシック"/>
        <family val="3"/>
        <charset val="128"/>
      </rPr>
      <t>する</t>
    </r>
    <r>
      <rPr>
        <sz val="12"/>
        <rFont val="ＭＳ Ｐゴシック"/>
        <family val="2"/>
        <charset val="128"/>
      </rPr>
      <t>改善方針を決定し、</t>
    </r>
    <r>
      <rPr>
        <sz val="12"/>
        <rFont val="ＭＳ Ｐゴシック"/>
        <family val="3"/>
        <charset val="128"/>
      </rPr>
      <t>医学・看護学教育センターにおいて</t>
    </r>
    <r>
      <rPr>
        <sz val="12"/>
        <rFont val="ＭＳ Ｐゴシック"/>
        <family val="2"/>
        <charset val="128"/>
      </rPr>
      <t>プログラム全体を進化させる。</t>
    </r>
    <rPh sb="0" eb="2">
      <t>スイシンホンブキョウガク・_x0000__x0000__x0002__x0007_脁_x0002__x000C__x0000__x0003__x000D__x0000__x0003__x000E__x0000__x0003__x000F__x0000__x0003__x0010__x0000__x0003__x0011__x0000__x0003__x0012__x0000__x0002__x0017__x0000__x0003__x0018_</t>
    </rPh>
    <phoneticPr fontId="3"/>
  </si>
  <si>
    <r>
      <t>本プログラムを構成する各授業科目は対面式で授業を行っており、令和２年度後期より、その授業内容は、医学・看護学教育センターが中心となり、情報総合センターの支援を受けて、Zoom録画してオンデマンド形式でも配信されており、学科に関係なく学生全員が好きなときに何度でも視聴・学修できる体制を整えている。教員に対する教育コンテンツの作成や学生に対するその視聴に</t>
    </r>
    <r>
      <rPr>
        <sz val="12"/>
        <rFont val="ＭＳ Ｐゴシック"/>
        <family val="3"/>
        <charset val="128"/>
      </rPr>
      <t>関わる</t>
    </r>
    <r>
      <rPr>
        <sz val="12"/>
        <rFont val="ＭＳ Ｐゴシック"/>
        <family val="2"/>
        <charset val="128"/>
      </rPr>
      <t>技術的支援は情報総合センターが中心となって担っており、またその内容は本学のWEBサイトホームページ上の「滋賀医科大学遠隔講義ポータルサイト」に掲示しており、全教員・全学生が見ることができる。</t>
    </r>
    <rPh sb="0" eb="4294934674">
      <t>カンゴガクキョウイクチュウシンカモクガクシュウタイセイセイビキボウガクセイゼンインジュコウカノウタイセイトトノスデレイワネンドジュギョウカカンリョウキボウシャゼンインジュコウカノウキョウイクカテイカイセイオコナ。</t>
    </rPh>
    <rPh sb="176" eb="177">
      <t>カカ</t>
    </rPh>
    <phoneticPr fontId="3"/>
  </si>
  <si>
    <t>本教育プログラムを構成する全授業科目を含めて全ての科目において、授業内容、授業の進め方、話し方、説明、配付資料、板書やスライドの使用の仕方等に関して、授業アンケートを行っており、学生の理解度、満足度や課題を把握している。さらに授業アンケートを教員にフィードバックして、教員自らが教育方法の見直しや改善を行い、教育の質の向上に努めている。この授業アンケートの結果およびそれに対する教員の対応策・改善策を医学看護学教育センターで評価し、継続的な授業改善に関わる内部質保証を担保している。多くの授業科目で毎回出席チェックを兼ねて、授業に関する感想の記入や小テストを行っており、満足度や理解度を把握している。</t>
    <phoneticPr fontId="3"/>
  </si>
  <si>
    <t>本教育プログラムを構成する授業科目を含めて全ての科目において、「教育内容」、「学習環境・共用施設」、「学習支援」、等についての学生の満足度を調査し、大学ホームページ等で公開している（『学習・学生生活実態調査』）。また、本教育プログラムを含む本学カリキュラム編成は、医学・看護学教育センター学部教育部門医学科カリキュラム改革ワーキングにおいて行っており、その正式メンバーとして学生委員を加えている。これらの機会を活用して、学生へ推奨していく。さらに、令和３年度では、本教育プログラムに関する専用ページを開設し、講義概要や授業評価を提示し、受講生の拡大に向けた取組を強化する計画である。</t>
    <rPh sb="0" eb="2">
      <t>ジュコウセイ</t>
    </rPh>
    <rPh sb="3" eb="4">
      <t>タイ</t>
    </rPh>
    <rPh sb="6" eb="10">
      <t>ジュギョウヒョウカ</t>
    </rPh>
    <rPh sb="20" eb="24">
      <t>コウハイガクセイ</t>
    </rPh>
    <rPh sb="25" eb="26">
      <t>タ</t>
    </rPh>
    <rPh sb="27" eb="29">
      <t>ガクセイ</t>
    </rPh>
    <rPh sb="31" eb="33">
      <t>スイショウ</t>
    </rPh>
    <rPh sb="37" eb="39">
      <t>カクニン</t>
    </rPh>
    <rPh sb="47" eb="50">
      <t>ジュコウセイ</t>
    </rPh>
    <rPh sb="51" eb="53">
      <t>カクダイ</t>
    </rPh>
    <rPh sb="54" eb="55">
      <t>ハカ</t>
    </rPh>
    <rPh sb="65" eb="67">
      <t>ケッカ</t>
    </rPh>
    <rPh sb="68" eb="70">
      <t>ガクナイ</t>
    </rPh>
    <rPh sb="77" eb="79">
      <t>テイジ</t>
    </rPh>
    <rPh sb="81" eb="83">
      <t>ヒッシュウ</t>
    </rPh>
    <rPh sb="83" eb="87">
      <t>カモクイガイ</t>
    </rPh>
    <rPh sb="88" eb="90">
      <t>カモク</t>
    </rPh>
    <rPh sb="94" eb="96">
      <t>ジュコウ</t>
    </rPh>
    <rPh sb="97" eb="99">
      <t>スイショウ</t>
    </rPh>
    <rPh sb="100" eb="102">
      <t>カツヨウ</t>
    </rPh>
    <rPh sb="254" eb="256">
      <t>コウギ</t>
    </rPh>
    <rPh sb="259" eb="261">
      <t>ジュギョウ</t>
    </rPh>
    <rPh sb="261" eb="263">
      <t>ヒョウカ</t>
    </rPh>
    <phoneticPr fontId="3"/>
  </si>
  <si>
    <t>本学は、医療人（医師・看護師・保健師・助産師）養成大学であるので、卒業生の多くは医療機関で専門職者として仕事に従事する。本学のカリキュラム、授業科目の配置、授業内容などは、医学・看護学教育センター学部教育部門医学科カリキュラム改革ワーキング及び看護学科カリキュラム改革ワーキングにおいて検討を行っている。医学科カリキュラム改革ワーキングの正式メンバーとしては、学生に加えて外部有識者（大津市医師会会長）の参加を得ており、医療現場の視点からの教育プログラムの内容・手法等への意見を求め、それに基づきプログラムの改善につなげる。</t>
    <rPh sb="0" eb="2">
      <t>ホンガク</t>
    </rPh>
    <rPh sb="4" eb="7">
      <t>イリョウジン</t>
    </rPh>
    <rPh sb="8" eb="10">
      <t>イシ</t>
    </rPh>
    <rPh sb="11" eb="14">
      <t>カンゴシ</t>
    </rPh>
    <rPh sb="15" eb="18">
      <t>ホケンシ</t>
    </rPh>
    <rPh sb="19" eb="22">
      <t>ジョサンシ</t>
    </rPh>
    <rPh sb="23" eb="27">
      <t>ヨウセイダイガク</t>
    </rPh>
    <rPh sb="33" eb="35">
      <t>イガク</t>
    </rPh>
    <rPh sb="36" eb="39">
      <t>カンゴガク</t>
    </rPh>
    <rPh sb="39" eb="41">
      <t>キョウイク</t>
    </rPh>
    <rPh sb="42" eb="44">
      <t>キカン</t>
    </rPh>
    <rPh sb="52" eb="55">
      <t>イガッカ</t>
    </rPh>
    <rPh sb="61" eb="63">
      <t>カイカク</t>
    </rPh>
    <rPh sb="79" eb="81">
      <t>ヒョウカ</t>
    </rPh>
    <rPh sb="82" eb="84">
      <t>イッカン</t>
    </rPh>
    <rPh sb="87" eb="91">
      <t>ガイブイイン</t>
    </rPh>
    <rPh sb="92" eb="98">
      <t>オオツシイシカイ</t>
    </rPh>
    <rPh sb="98" eb="100">
      <t>カイチョウ</t>
    </rPh>
    <rPh sb="101" eb="102">
      <t>オヨ</t>
    </rPh>
    <rPh sb="103" eb="105">
      <t>ガクセイ</t>
    </rPh>
    <rPh sb="106" eb="108">
      <t>イケン</t>
    </rPh>
    <rPh sb="109" eb="111">
      <t>イケン</t>
    </rPh>
    <rPh sb="112" eb="114">
      <t>シュウシュウ</t>
    </rPh>
    <rPh sb="120" eb="121">
      <t>オヨ</t>
    </rPh>
    <rPh sb="122" eb="124">
      <t>カンゴ</t>
    </rPh>
    <rPh sb="124" eb="126">
      <t>ガッカ</t>
    </rPh>
    <rPh sb="132" eb="134">
      <t>カイカク</t>
    </rPh>
    <rPh sb="141" eb="143">
      <t>カイゼン</t>
    </rPh>
    <rPh sb="144" eb="145">
      <t>ツナイガッカカイカク</t>
    </rPh>
    <phoneticPr fontId="3"/>
  </si>
  <si>
    <r>
      <t>教育推進本部は、教育全般に関する計画の策定及び改善を行い、本学における教育の推進を図るために</t>
    </r>
    <r>
      <rPr>
        <sz val="12"/>
        <rFont val="ＭＳ Ｐゴシック"/>
        <family val="3"/>
        <charset val="128"/>
      </rPr>
      <t>設置</t>
    </r>
    <r>
      <rPr>
        <sz val="12"/>
        <rFont val="ＭＳ Ｐゴシック"/>
        <family val="2"/>
        <charset val="128"/>
      </rPr>
      <t>されている。一方、医学・看護学教育センターは、医師等の養成のためのカリキュラムの策定及び実施を担う組織である。よって、本教育プログラムを改善・進化させるために、教育推進本部では、最新の数理・データサイエンス・AIに関連する医学・看護学・医療の発展に柔軟に対応できる優秀な人材を育成することを目的に、数理・データサイエンス・AI教育プログラムの立案を行</t>
    </r>
    <r>
      <rPr>
        <sz val="12"/>
        <rFont val="ＭＳ Ｐゴシック"/>
        <family val="3"/>
        <charset val="128"/>
      </rPr>
      <t>う。一方、</t>
    </r>
    <r>
      <rPr>
        <sz val="12"/>
        <rFont val="ＭＳ Ｐゴシック"/>
        <family val="2"/>
        <charset val="128"/>
      </rPr>
      <t>医学・看護学教育センターでは、教育推進本部の決定のもと、必要な授業科目の選定と内容の検討、配置などの教育プログラムの実施体制を整え</t>
    </r>
    <r>
      <rPr>
        <sz val="12"/>
        <rFont val="ＭＳ Ｐゴシック"/>
        <family val="3"/>
        <charset val="128"/>
      </rPr>
      <t>るとともに、</t>
    </r>
    <r>
      <rPr>
        <sz val="12"/>
        <rFont val="ＭＳ Ｐゴシック"/>
        <family val="2"/>
        <charset val="128"/>
      </rPr>
      <t>各授業担当教員による授業</t>
    </r>
    <r>
      <rPr>
        <sz val="12"/>
        <rFont val="ＭＳ Ｐゴシック"/>
        <family val="3"/>
        <charset val="128"/>
      </rPr>
      <t>の</t>
    </r>
    <r>
      <rPr>
        <sz val="12"/>
        <rFont val="ＭＳ Ｐゴシック"/>
        <family val="2"/>
        <charset val="128"/>
      </rPr>
      <t>支援</t>
    </r>
    <r>
      <rPr>
        <sz val="12"/>
        <rFont val="ＭＳ Ｐゴシック"/>
        <family val="3"/>
        <charset val="128"/>
      </rPr>
      <t>を行う。</t>
    </r>
    <r>
      <rPr>
        <sz val="12"/>
        <rFont val="ＭＳ Ｐゴシック (本文)"/>
      </rPr>
      <t xml:space="preserve">
</t>
    </r>
    <rPh sb="46" eb="48">
      <t>セッチ</t>
    </rPh>
    <rPh sb="75" eb="77">
      <t>ヨウセイ</t>
    </rPh>
    <rPh sb="225" eb="227">
      <t>イッポウ</t>
    </rPh>
    <rPh sb="315" eb="316">
      <t>オコナ</t>
    </rPh>
    <phoneticPr fontId="3"/>
  </si>
  <si>
    <t xml:space="preserve">各年度の履修者数の目標を以下のとおりとする。（（　）内は履修率。）
【医学科収容定員（６７８名) + 看護学科収容定員（２６０名） = 大学全体収容定員９３８名】
令和３年度　９４名　  （１０％）
令和４年度　１８８名　（２０％）
令和５年度　２８２名　（３０％）
令和６年度　３７６名　（４０％）
令和７年度　４６９名　（５０％）
令和３年度より医学・看護学教育センターにおいて以下の取組を実施することにより、履修者数・履修率の向上を目指す。
・各授業科目のオフィスアワーの拡充して授業時間外での学修サポート体制を充実
・FD実施による教員の教育技法の改善
・専門家による講演会の開催による教員・学生への最新の数理・データサイエンス・AI関連分野の教育
・各授業担当教員間の打合せ・話合いにより授業科目間の有機的な連携とプログラム全体の一貫性の確保
・本教育プログラムに関する教員対象の講演会やFD研修会を学生にも周知して参加の促進
</t>
    <rPh sb="4294934800" eb="4294934801">
      <t>イ</t>
    </rPh>
    <rPh sb="4294934801" eb="4294934805">
      <t>シュウヨウテイイン</t>
    </rPh>
    <rPh sb="4294934833" eb="4294934836">
      <t>シンセイジ</t>
    </rPh>
    <rPh sb="4294934836" eb="4294934839">
      <t>ゲンインスウ</t>
    </rPh>
    <rPh sb="4294934840" eb="4294934842">
      <t>ヘンコウイカトリクミジッシリシュウシャカズモクヒョウチコウジョウハカヨウケンミカモクカクダイカクダイオヨヒッシュウカ</t>
    </rPh>
    <rPh sb="266" eb="268">
      <t>ジッシ</t>
    </rPh>
    <rPh sb="301" eb="303">
      <t>ガクセイ</t>
    </rPh>
    <rPh sb="305" eb="307">
      <t>サイシン</t>
    </rPh>
    <rPh sb="340" eb="342">
      <t>ウチアワ</t>
    </rPh>
    <phoneticPr fontId="3"/>
  </si>
  <si>
    <r>
      <t>本教育プログラムを構成する各授業科目は、対面式で授業を行っているが、令和２年度後期より、同時に</t>
    </r>
    <r>
      <rPr>
        <sz val="12"/>
        <rFont val="ＭＳ Ｐゴシック (本文)"/>
      </rPr>
      <t>Zoom</t>
    </r>
    <r>
      <rPr>
        <sz val="12"/>
        <rFont val="ＭＳ Ｐゴシック"/>
        <family val="3"/>
        <charset val="128"/>
      </rPr>
      <t>を使って遠隔送信（リアルタイム）も行っている（ハイフレックス方式授業）。よって、新型コロナウイルス感染拡大等で来学は困難なときには、自宅で授業の受講が可能である。さらに、医学・看護学教育センターが中心となり、情報総合センターの支援を受けて、</t>
    </r>
    <r>
      <rPr>
        <sz val="12"/>
        <rFont val="ＭＳ Ｐゴシック (本文)"/>
      </rPr>
      <t>Zoom</t>
    </r>
    <r>
      <rPr>
        <sz val="12"/>
        <rFont val="ＭＳ Ｐゴシック"/>
        <family val="3"/>
        <charset val="128"/>
      </rPr>
      <t>送信した内容を録画して、オンデマンド形式でも視聴できる体制を整備している。よって、希望する学生はいつでも講義の閲覧が可能な環境を構築している。このように、既に令和</t>
    </r>
    <r>
      <rPr>
        <sz val="12"/>
        <rFont val="ＭＳ Ｐゴシック (本文)"/>
      </rPr>
      <t>2</t>
    </r>
    <r>
      <rPr>
        <sz val="12"/>
        <rFont val="ＭＳ Ｐゴシック"/>
        <family val="3"/>
        <charset val="128"/>
      </rPr>
      <t>年度に授業のオンデマンド化は完了しており、できる限り多くの学生が履修・修得できるサポート体制を構築している。</t>
    </r>
    <rPh sb="0" eb="2">
      <t>コウチク</t>
    </rPh>
    <rPh sb="81" eb="83">
      <t>ホウシキ</t>
    </rPh>
    <rPh sb="83" eb="85">
      <t>ジュギョウ</t>
    </rPh>
    <rPh sb="193" eb="195">
      <t>ケイシキ</t>
    </rPh>
    <rPh sb="289" eb="291">
      <t>リシュウ</t>
    </rPh>
    <rPh sb="292" eb="294">
      <t>シュウトク</t>
    </rPh>
    <rPh sb="304" eb="306">
      <t>コウチク</t>
    </rPh>
    <phoneticPr fontId="3"/>
  </si>
  <si>
    <t>本申請プログラムに係る各授業科目については、「オフィスアワー（授業相談）」を設け、授業内容や勉強方法等についての学生からの質問・相談に教員が対応できる体制を構築している。</t>
    <rPh sb="0" eb="1">
      <t>ジュギョウ</t>
    </rPh>
    <rPh sb="43" eb="45">
      <t>ナイヨウ</t>
    </rPh>
    <rPh sb="56" eb="58">
      <t>ガクセイ</t>
    </rPh>
    <rPh sb="61" eb="63">
      <t>シツモン</t>
    </rPh>
    <rPh sb="64" eb="66">
      <t>ソウダン</t>
    </rPh>
    <rPh sb="70" eb="72">
      <t>タイオウ</t>
    </rPh>
    <phoneticPr fontId="3"/>
  </si>
  <si>
    <t>本学では、教学活動のPDCAを確実に推進するために教育推進本部（P、A）、医学・看護学教育センター（D）教学活動評価委員会（C）を設置しており、自己点検・評価に基づいた教育の継続的改善を行っている。本教育プログラムを構成する授業科目の大部分は必修科目であるが、一部は選択科目である。必修・選択科目ともに授業への出席率は極めて高い。さらに、受講者毎の講義・実習への出席状況や課題の提出・達成状況は、授業担当教員及び学生課が確実に把握して医学・看護学教育センター学部教育部門に報告されるため、本教育プログラムの進捗に関する評価及び改善事項の提示を行うことができる。</t>
    <rPh sb="117" eb="120">
      <t>ダイブブン</t>
    </rPh>
    <rPh sb="130" eb="132">
      <t>イチブ</t>
    </rPh>
    <rPh sb="133" eb="135">
      <t>センタク</t>
    </rPh>
    <rPh sb="135" eb="137">
      <t>カモク</t>
    </rPh>
    <phoneticPr fontId="3"/>
  </si>
  <si>
    <t>本教育プログラムを構成する主要科目は、医学科では「情報科学」（第１学年）、「確率・統計」（第１学年）、「医療情報学」（第４学年）、看護学科では「情報科学」（第１学年）、「ランダム現象の数理」（第１学年）であるが、これらの科目は全て必修科目であるため、主要科目については全学生が履修する。選択科目として、「現代社会と科学」（医学科第１学年、看護学科第１学年）および「医療イノベーションの基礎」の履修率の向上に向けて、授業内容・方法を改善する。加えて、授業担当教員会議を開催して授業内容の連携や連続性の確保を行い、科目間の有機的な連携を図ることによりプログラムの質の改善を行い、学生の学修・習得レベルのさらなる向上を図る。</t>
    <rPh sb="6" eb="8">
      <t>シュジク</t>
    </rPh>
    <rPh sb="9" eb="13">
      <t>ヒッシュウカモク</t>
    </rPh>
    <rPh sb="14" eb="16">
      <t>コウセイ</t>
    </rPh>
    <rPh sb="26" eb="29">
      <t>イガッカ</t>
    </rPh>
    <rPh sb="36" eb="37">
      <t>ネン</t>
    </rPh>
    <rPh sb="37" eb="38">
      <t>セイ</t>
    </rPh>
    <rPh sb="40" eb="41">
      <t>ネン</t>
    </rPh>
    <rPh sb="41" eb="42">
      <t>セイ</t>
    </rPh>
    <rPh sb="42" eb="43">
      <t>オヨ</t>
    </rPh>
    <rPh sb="45" eb="46">
      <t>ネン</t>
    </rPh>
    <rPh sb="46" eb="47">
      <t>セイ</t>
    </rPh>
    <rPh sb="48" eb="50">
      <t>ハイトウ</t>
    </rPh>
    <rPh sb="56" eb="58">
      <t>カモク</t>
    </rPh>
    <rPh sb="59" eb="61">
      <t>リシュウ</t>
    </rPh>
    <rPh sb="69" eb="72">
      <t>イガッカ</t>
    </rPh>
    <rPh sb="73" eb="75">
      <t>ガクセイ</t>
    </rPh>
    <rPh sb="75" eb="77">
      <t>ゼンイン</t>
    </rPh>
    <rPh sb="78" eb="79">
      <t>ホン</t>
    </rPh>
    <rPh sb="85" eb="87">
      <t>リシュウ</t>
    </rPh>
    <rPh sb="98" eb="102">
      <t>カンゴガッカ</t>
    </rPh>
    <rPh sb="113" eb="115">
      <t>ヨウケン</t>
    </rPh>
    <rPh sb="116" eb="118">
      <t>イチブ</t>
    </rPh>
    <rPh sb="119" eb="123">
      <t>センタクカモク</t>
    </rPh>
    <rPh sb="124" eb="126">
      <t>コウセイ</t>
    </rPh>
    <rPh sb="134" eb="138">
      <t>ヒッシュウカモク</t>
    </rPh>
    <rPh sb="138" eb="139">
      <t>カ</t>
    </rPh>
    <rPh sb="139" eb="140">
      <t>トウ</t>
    </rPh>
    <rPh sb="141" eb="143">
      <t>ミナオ</t>
    </rPh>
    <rPh sb="145" eb="147">
      <t>ケントウ</t>
    </rPh>
    <rPh sb="166" eb="168">
      <t>ガクネン</t>
    </rPh>
    <phoneticPr fontId="3"/>
  </si>
  <si>
    <t>本学は、医学科および看護学科からなる医学部のみを有する医科大学であるため、卒業生の多くは医師、看護師、助産師、保健師として病院や地域の医療機関などで専門職者として仕事に従事する。現在、卒業生調査を卒後５年に実施しており、本教育プログラムを修了した卒業生の進路先での活動状況の把握が可能である。また、卒業生が勤務している病院、診療所等の医療機関に対して卒業生に関するアンケート調査を行っており、卒業生評価を把握する仕組みを設けている。今後は、卒業生調査において、本教育プログラムの学修効果を把握できるようなアンケート項目を加えることを計画している。それに基づき本教育プログラムの更なる改善に結びつける。</t>
    <rPh sb="58" eb="60">
      <t>ナイヨウ</t>
    </rPh>
    <rPh sb="61" eb="63">
      <t>ヒョウカ</t>
    </rPh>
    <rPh sb="64" eb="66">
      <t>シヨウ</t>
    </rPh>
    <rPh sb="69" eb="71">
      <t>キカン</t>
    </rPh>
    <rPh sb="78" eb="80">
      <t>カイゼン</t>
    </rPh>
    <rPh sb="81" eb="82">
      <t>ツナ</t>
    </rPh>
    <rPh sb="132" eb="134">
      <t>カツドウ</t>
    </rPh>
    <rPh sb="291" eb="293">
      <t>カイゼン</t>
    </rPh>
    <phoneticPr fontId="3"/>
  </si>
  <si>
    <t>本学卒業生の多くは医学・医療に携わるため、本教育プログラムを構成する授業科目で扱う内容には、医学・医療に係わるAIやデータサイエンスの利活用についての内容を積極的に取り入れる。例えば、本プログラムにおいて、医療分野のビッグデータとしてのレセプトデータの利活用の現状や脳神経外科領域や耳鼻咽喉科・頭頸部外科領域のAI技術を用いた手術ナビゲーションシステムについて解説する。さらに、学生自らが、AI診断補助ソフトの使用を体験して、AIによる放射線画像診断について理解を深める。今後、医療現場でさらにAI等の利活用が進むことが予想されることから、その最新の実例を取り上げてプログラムを発展させていく計画である。</t>
    <rPh sb="15" eb="16">
      <t>タズサ</t>
    </rPh>
    <rPh sb="75" eb="77">
      <t>ナイヨウ</t>
    </rPh>
    <rPh sb="84" eb="85">
      <t>イ</t>
    </rPh>
    <rPh sb="92" eb="93">
      <t>ホン</t>
    </rPh>
    <rPh sb="226" eb="228">
      <t>セイキ</t>
    </rPh>
    <rPh sb="229" eb="231">
      <t>キョウイク</t>
    </rPh>
    <rPh sb="231" eb="233">
      <t>カテイ</t>
    </rPh>
    <rPh sb="234" eb="236">
      <t>ハイチ</t>
    </rPh>
    <rPh sb="240" eb="241">
      <t>ホン</t>
    </rPh>
    <rPh sb="247" eb="251">
      <t>ジュギョウカモク</t>
    </rPh>
    <rPh sb="252" eb="254">
      <t>リシュウ</t>
    </rPh>
    <rPh sb="260" eb="263">
      <t>コウガクシン</t>
    </rPh>
    <rPh sb="269" eb="271">
      <t>シコウ</t>
    </rPh>
    <rPh sb="272" eb="274">
      <t>サイシン</t>
    </rPh>
    <rPh sb="275" eb="277">
      <t>カンヨウ</t>
    </rPh>
    <rPh sb="279" eb="280">
      <t>エガ</t>
    </rPh>
    <rPh sb="282" eb="284">
      <t>ミライ</t>
    </rPh>
    <rPh sb="285" eb="286">
      <t>ムカ</t>
    </rPh>
    <rPh sb="288" eb="289">
      <t>イ</t>
    </rPh>
    <rPh sb="296" eb="298">
      <t>ジンザイ</t>
    </rPh>
    <rPh sb="299" eb="301">
      <t>ヨウセイ</t>
    </rPh>
    <phoneticPr fontId="3"/>
  </si>
  <si>
    <t>医学・看護学教育センターでは、本教育プログラムを構成する授業科目を含めて全ての授業科目について授業アンケートを行っており、学生からの意見を授業担当教員へフィードバックすることにより、より「分かりやすい」授業を目指した講義内容や実施方法の改善に取り組む仕組みを構築している。さらに、前述のように、医学科カリキュラム改革ワーキングには教員に加えて、外部有識者（大津市医師会長）や学生（在校生、各学年代表１名）を正式委員としているため、この場においても意見の聴取を積極的に行い、学生の「分かりやすさ」の観点から、講義の内容・実施方法の見直しについて検討を行う。</t>
    <rPh sb="0" eb="2">
      <t>イガク</t>
    </rPh>
    <rPh sb="3" eb="6">
      <t>カンゴガク</t>
    </rPh>
    <rPh sb="6" eb="8">
      <t>キョウイクイガッカ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</si>
</sst>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41">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2"/>
      <color rgb="FF0070C0"/>
      <name val="ＭＳ Ｐゴシック"/>
      <family val="3"/>
      <charset val="128"/>
      <scheme val="minor"/>
    </font>
    <font>
      <sz val="12"/>
      <color theme="9" tint="-0.249977111117893"/>
      <name val="ＭＳ Ｐゴシック"/>
      <family val="3"/>
      <charset val="128"/>
      <scheme val="minor"/>
    </font>
    <font>
      <sz val="11"/>
      <name val="ＭＳ Ｐゴシック"/>
      <family val="3"/>
      <charset val="128"/>
      <scheme val="minor"/>
    </font>
    <font>
      <u val="double"/>
      <sz val="12"/>
      <color rgb="FFFF0000"/>
      <name val="ＭＳ Ｐゴシック"/>
      <family val="3"/>
      <charset val="128"/>
      <scheme val="minor"/>
    </font>
    <font>
      <sz val="18"/>
      <color theme="1"/>
      <name val="ＭＳ Ｐゴシック"/>
      <family val="2"/>
      <charset val="128"/>
      <scheme val="minor"/>
    </font>
    <font>
      <sz val="8"/>
      <color theme="9" tint="-0.249977111117893"/>
      <name val="ＭＳ Ｐゴシック"/>
      <family val="3"/>
      <charset val="128"/>
      <scheme val="minor"/>
    </font>
    <font>
      <sz val="12"/>
      <color theme="0"/>
      <name val="ＭＳ Ｐゴシック"/>
      <family val="3"/>
      <charset val="128"/>
      <scheme val="minor"/>
    </font>
    <font>
      <u/>
      <sz val="12"/>
      <name val="ＭＳ Ｐゴシック (本文)"/>
      <family val="3"/>
    </font>
    <font>
      <u/>
      <sz val="12"/>
      <name val="ＭＳ Ｐゴシック"/>
      <family val="3"/>
      <charset val="128"/>
    </font>
    <font>
      <u/>
      <sz val="12"/>
      <name val="ＭＳ Ｐゴシック (本文)"/>
    </font>
    <font>
      <u/>
      <sz val="12"/>
      <name val="ＭＳ Ｐゴシック"/>
      <family val="3"/>
      <charset val="128"/>
      <scheme val="minor"/>
    </font>
    <font>
      <sz val="12"/>
      <name val="ＭＳ Ｐゴシック"/>
      <family val="3"/>
      <charset val="128"/>
    </font>
    <font>
      <u/>
      <sz val="12"/>
      <name val="ＭＳ Ｐゴシック"/>
      <family val="2"/>
      <charset val="128"/>
    </font>
    <font>
      <sz val="12"/>
      <name val="ＭＳ Ｐゴシック (本文)"/>
    </font>
    <font>
      <sz val="12"/>
      <name val="ＭＳ Ｐゴシック"/>
      <family val="2"/>
      <charset val="128"/>
    </font>
    <font>
      <u val="double"/>
      <sz val="12"/>
      <name val="ＭＳ Ｐゴシック"/>
      <family val="3"/>
      <charset val="128"/>
      <scheme val="minor"/>
    </font>
    <font>
      <strike/>
      <sz val="12"/>
      <color rgb="FFFF0000"/>
      <name val="ＭＳ Ｐゴシック"/>
      <family val="3"/>
      <charset val="128"/>
      <scheme val="minor"/>
    </font>
    <font>
      <b/>
      <strike/>
      <sz val="12"/>
      <color rgb="FFFF0000"/>
      <name val="ＭＳ Ｐゴシック"/>
      <family val="3"/>
      <charset val="128"/>
      <scheme val="minor"/>
    </font>
    <font>
      <sz val="12"/>
      <color theme="1"/>
      <name val="ＭＳ Ｐゴシック"/>
      <family val="2"/>
      <charset val="128"/>
    </font>
    <font>
      <sz val="12"/>
      <color theme="1"/>
      <name val="ＭＳ Ｐゴシック (本文)"/>
    </font>
    <font>
      <sz val="12"/>
      <color theme="0"/>
      <name val="ＭＳ Ｐゴシック"/>
      <family val="2"/>
      <charset val="128"/>
      <scheme val="minor"/>
    </font>
    <font>
      <sz val="9"/>
      <name val="ＭＳ Ｐゴシック"/>
      <family val="2"/>
      <charset val="128"/>
      <scheme val="minor"/>
    </font>
    <font>
      <sz val="9"/>
      <name val="ＭＳ Ｐゴシック"/>
      <family val="3"/>
      <charset val="128"/>
      <scheme val="minor"/>
    </font>
    <font>
      <u/>
      <sz val="11"/>
      <color rgb="FF0432FF"/>
      <name val="ＭＳ Ｐゴシック"/>
      <family val="3"/>
      <charset val="128"/>
      <scheme val="minor"/>
    </font>
    <font>
      <sz val="9"/>
      <color rgb="FF0432FF"/>
      <name val="ＭＳ Ｐゴシック"/>
      <family val="3"/>
      <charset val="128"/>
      <scheme val="minor"/>
    </font>
  </fonts>
  <fills count="2">
    <fill>
      <patternFill patternType="none"/>
    </fill>
    <fill>
      <patternFill patternType="gray125"/>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diagonalUp="1">
      <left style="thin">
        <color auto="1"/>
      </left>
      <right/>
      <top style="thin">
        <color auto="1"/>
      </top>
      <bottom style="hair">
        <color auto="1"/>
      </bottom>
      <diagonal style="thin">
        <color auto="1"/>
      </diagonal>
    </border>
    <border diagonalUp="1">
      <left style="hair">
        <color auto="1"/>
      </left>
      <right style="thin">
        <color auto="1"/>
      </right>
      <top style="thin">
        <color auto="1"/>
      </top>
      <bottom style="hair">
        <color auto="1"/>
      </bottom>
      <diagonal style="thin">
        <color auto="1"/>
      </diagonal>
    </border>
    <border diagonalUp="1">
      <left style="thin">
        <color auto="1"/>
      </left>
      <right style="hair">
        <color auto="1"/>
      </right>
      <top style="thin">
        <color auto="1"/>
      </top>
      <bottom style="hair">
        <color auto="1"/>
      </bottom>
      <diagonal style="thin">
        <color auto="1"/>
      </diagonal>
    </border>
    <border diagonalUp="1">
      <left/>
      <right style="thin">
        <color auto="1"/>
      </right>
      <top style="thin">
        <color auto="1"/>
      </top>
      <bottom style="hair">
        <color auto="1"/>
      </bottom>
      <diagonal style="thin">
        <color auto="1"/>
      </diagonal>
    </border>
    <border diagonalUp="1">
      <left style="thin">
        <color auto="1"/>
      </left>
      <right style="hair">
        <color auto="1"/>
      </right>
      <top style="hair">
        <color auto="1"/>
      </top>
      <bottom style="hair">
        <color auto="1"/>
      </bottom>
      <diagonal style="thin">
        <color auto="1"/>
      </diagonal>
    </border>
    <border diagonalUp="1">
      <left/>
      <right style="thin">
        <color auto="1"/>
      </right>
      <top style="hair">
        <color auto="1"/>
      </top>
      <bottom style="hair">
        <color auto="1"/>
      </bottom>
      <diagonal style="thin">
        <color auto="1"/>
      </diagonal>
    </border>
    <border diagonalUp="1">
      <left style="thin">
        <color auto="1"/>
      </left>
      <right/>
      <top style="hair">
        <color auto="1"/>
      </top>
      <bottom style="hair">
        <color auto="1"/>
      </bottom>
      <diagonal style="thin">
        <color auto="1"/>
      </diagonal>
    </border>
    <border diagonalUp="1">
      <left style="hair">
        <color auto="1"/>
      </left>
      <right style="thin">
        <color auto="1"/>
      </right>
      <top style="hair">
        <color auto="1"/>
      </top>
      <bottom style="hair">
        <color auto="1"/>
      </bottom>
      <diagonal style="thin">
        <color auto="1"/>
      </diagonal>
    </border>
    <border>
      <left style="hair">
        <color auto="1"/>
      </left>
      <right style="thin">
        <color auto="1"/>
      </right>
      <top style="thin">
        <color auto="1"/>
      </top>
      <bottom style="hair">
        <color auto="1"/>
      </bottom>
      <diagonal/>
    </border>
    <border>
      <left style="thin">
        <color auto="1"/>
      </left>
      <right/>
      <top/>
      <bottom style="hair">
        <color auto="1"/>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427">
    <xf numFmtId="0" fontId="0" fillId="0" borderId="0" xfId="0">
      <alignment vertical="center"/>
    </xf>
    <xf numFmtId="0" fontId="4" fillId="0" borderId="0" xfId="0" applyFont="1">
      <alignment vertical="center"/>
    </xf>
    <xf numFmtId="0" fontId="5" fillId="0" borderId="0" xfId="0" applyFont="1" applyAlignment="1">
      <alignment vertical="center"/>
    </xf>
    <xf numFmtId="0" fontId="5" fillId="0" borderId="0" xfId="0" applyFont="1">
      <alignment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right" vertical="center"/>
    </xf>
    <xf numFmtId="0" fontId="5" fillId="0" borderId="0" xfId="0" applyFont="1" applyAlignment="1">
      <alignment horizontal="center" vertical="center"/>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0" xfId="0" applyFont="1" applyBorder="1" applyAlignment="1">
      <alignment vertical="center"/>
    </xf>
    <xf numFmtId="0" fontId="10" fillId="0" borderId="0" xfId="0" applyFont="1" applyBorder="1">
      <alignment vertical="center"/>
    </xf>
    <xf numFmtId="176" fontId="10" fillId="0" borderId="0" xfId="0" applyNumberFormat="1" applyFont="1" applyAlignment="1">
      <alignment horizontal="left" vertical="center" wrapText="1"/>
    </xf>
    <xf numFmtId="0" fontId="10" fillId="0" borderId="0" xfId="0" applyFont="1" applyAlignment="1">
      <alignment horizontal="right" vertical="center"/>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5" fillId="0" borderId="0" xfId="0" applyFont="1" applyAlignment="1">
      <alignment horizontal="center" vertical="center"/>
    </xf>
    <xf numFmtId="0" fontId="11" fillId="0" borderId="10" xfId="0" applyFont="1" applyBorder="1" applyAlignment="1">
      <alignment vertical="center" shrinkToFit="1"/>
    </xf>
    <xf numFmtId="0" fontId="4" fillId="0" borderId="11" xfId="0" applyFont="1" applyBorder="1" applyAlignment="1">
      <alignment horizontal="center" vertical="center"/>
    </xf>
    <xf numFmtId="0" fontId="4" fillId="0" borderId="1" xfId="0" applyFont="1" applyBorder="1" applyAlignment="1">
      <alignment vertical="center" wrapText="1"/>
    </xf>
    <xf numFmtId="0" fontId="11" fillId="0" borderId="0" xfId="0" applyFont="1" applyFill="1">
      <alignment vertical="center"/>
    </xf>
    <xf numFmtId="0" fontId="13" fillId="0" borderId="0" xfId="0" applyFont="1">
      <alignment vertical="center"/>
    </xf>
    <xf numFmtId="0" fontId="5" fillId="0" borderId="0" xfId="0" applyFont="1" applyAlignment="1">
      <alignment vertical="center" shrinkToFit="1"/>
    </xf>
    <xf numFmtId="0" fontId="15" fillId="0" borderId="0" xfId="0" applyFont="1">
      <alignment vertical="center"/>
    </xf>
    <xf numFmtId="0" fontId="5" fillId="0" borderId="0" xfId="0" applyFont="1" applyBorder="1" applyAlignment="1">
      <alignment vertical="center" shrinkToFit="1"/>
    </xf>
    <xf numFmtId="0" fontId="5" fillId="0" borderId="5" xfId="0" applyFont="1" applyBorder="1" applyAlignment="1">
      <alignment vertical="center" shrinkToFit="1"/>
    </xf>
    <xf numFmtId="176" fontId="5" fillId="0" borderId="5" xfId="0" applyNumberFormat="1" applyFont="1" applyBorder="1" applyAlignment="1">
      <alignment vertical="center" shrinkToFit="1"/>
    </xf>
    <xf numFmtId="176" fontId="5" fillId="0" borderId="30" xfId="0" applyNumberFormat="1" applyFont="1" applyBorder="1" applyAlignment="1">
      <alignment vertical="center" shrinkToFit="1"/>
    </xf>
    <xf numFmtId="176" fontId="5" fillId="0" borderId="31" xfId="0" applyNumberFormat="1" applyFont="1" applyBorder="1" applyAlignment="1">
      <alignment vertical="center" shrinkToFit="1"/>
    </xf>
    <xf numFmtId="176" fontId="5" fillId="0" borderId="10" xfId="0" applyNumberFormat="1" applyFont="1" applyBorder="1" applyAlignment="1">
      <alignment vertical="center" shrinkToFit="1"/>
    </xf>
    <xf numFmtId="9" fontId="5" fillId="0" borderId="10" xfId="0" applyNumberFormat="1" applyFont="1" applyBorder="1" applyAlignment="1">
      <alignment vertical="center" shrinkToFit="1"/>
    </xf>
    <xf numFmtId="176" fontId="5" fillId="0" borderId="20" xfId="0" applyNumberFormat="1" applyFont="1" applyBorder="1" applyAlignment="1">
      <alignment vertical="center" shrinkToFit="1"/>
    </xf>
    <xf numFmtId="176" fontId="5" fillId="0" borderId="32" xfId="0" applyNumberFormat="1" applyFont="1" applyBorder="1" applyAlignment="1">
      <alignment vertical="center" shrinkToFit="1"/>
    </xf>
    <xf numFmtId="176" fontId="5" fillId="0" borderId="33" xfId="0" applyNumberFormat="1" applyFont="1" applyBorder="1" applyAlignment="1">
      <alignment vertical="center" shrinkToFit="1"/>
    </xf>
    <xf numFmtId="176" fontId="5" fillId="0" borderId="19" xfId="0" applyNumberFormat="1" applyFont="1" applyBorder="1" applyAlignment="1">
      <alignment vertical="center" shrinkToFit="1"/>
    </xf>
    <xf numFmtId="176" fontId="5" fillId="0" borderId="22" xfId="0" applyNumberFormat="1" applyFont="1" applyBorder="1" applyAlignment="1">
      <alignment vertical="center" shrinkToFit="1"/>
    </xf>
    <xf numFmtId="176" fontId="5" fillId="0" borderId="23" xfId="0" applyNumberFormat="1" applyFont="1" applyBorder="1" applyAlignment="1">
      <alignment vertical="center" shrinkToFit="1"/>
    </xf>
    <xf numFmtId="0" fontId="5" fillId="0" borderId="24" xfId="0" applyFont="1" applyBorder="1" applyAlignment="1">
      <alignment vertical="center" shrinkToFit="1"/>
    </xf>
    <xf numFmtId="176" fontId="5" fillId="0" borderId="24" xfId="0" applyNumberFormat="1" applyFont="1" applyBorder="1" applyAlignment="1">
      <alignment vertical="center" shrinkToFit="1"/>
    </xf>
    <xf numFmtId="176" fontId="5" fillId="0" borderId="34" xfId="0" applyNumberFormat="1" applyFont="1" applyBorder="1" applyAlignment="1">
      <alignment vertical="center" shrinkToFit="1"/>
    </xf>
    <xf numFmtId="176" fontId="5" fillId="0" borderId="35" xfId="0" applyNumberFormat="1" applyFont="1" applyBorder="1" applyAlignment="1">
      <alignment vertical="center" shrinkToFit="1"/>
    </xf>
    <xf numFmtId="176" fontId="5" fillId="0" borderId="26" xfId="0" applyNumberFormat="1" applyFont="1" applyBorder="1" applyAlignment="1">
      <alignment vertical="center" shrinkToFit="1"/>
    </xf>
    <xf numFmtId="176" fontId="5" fillId="0" borderId="27" xfId="0" applyNumberFormat="1" applyFont="1" applyBorder="1" applyAlignment="1">
      <alignment vertical="center" shrinkToFit="1"/>
    </xf>
    <xf numFmtId="9" fontId="5" fillId="0" borderId="26" xfId="0" applyNumberFormat="1" applyFont="1" applyBorder="1" applyAlignment="1">
      <alignment vertical="center" shrinkToFit="1"/>
    </xf>
    <xf numFmtId="176" fontId="6" fillId="0" borderId="0" xfId="0" applyNumberFormat="1"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4" fillId="0" borderId="0" xfId="0" applyFont="1" applyAlignment="1">
      <alignment horizontal="right" vertical="center"/>
    </xf>
    <xf numFmtId="0" fontId="4" fillId="0" borderId="0" xfId="0" applyFont="1" applyAlignment="1">
      <alignment horizontal="center" vertical="center"/>
    </xf>
    <xf numFmtId="0" fontId="4" fillId="0" borderId="2" xfId="0" applyFont="1" applyBorder="1" applyAlignment="1">
      <alignment vertical="center" shrinkToFit="1"/>
    </xf>
    <xf numFmtId="0" fontId="4" fillId="0" borderId="2" xfId="0" applyFont="1" applyBorder="1" applyAlignment="1">
      <alignment vertical="center" shrinkToFit="1"/>
    </xf>
    <xf numFmtId="0" fontId="11" fillId="0" borderId="2" xfId="0" applyFont="1" applyBorder="1" applyAlignment="1">
      <alignment horizontal="center" vertical="center" shrinkToFit="1"/>
    </xf>
    <xf numFmtId="0" fontId="10" fillId="0" borderId="0" xfId="0" applyFont="1" applyBorder="1" applyAlignment="1">
      <alignment horizontal="center" vertical="center" shrinkToFit="1"/>
    </xf>
    <xf numFmtId="0" fontId="18" fillId="0" borderId="1" xfId="0"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center" vertical="center"/>
    </xf>
    <xf numFmtId="0" fontId="19" fillId="0" borderId="2" xfId="0" applyFont="1" applyBorder="1" applyAlignment="1">
      <alignment horizontal="center" vertical="center" shrinkToFit="1"/>
    </xf>
    <xf numFmtId="0" fontId="20" fillId="0" borderId="0" xfId="0" applyFont="1">
      <alignment vertical="center"/>
    </xf>
    <xf numFmtId="0" fontId="19" fillId="0" borderId="2" xfId="0" applyFont="1" applyFill="1" applyBorder="1" applyAlignment="1">
      <alignment vertical="center" shrinkToFit="1"/>
    </xf>
    <xf numFmtId="0" fontId="2" fillId="0" borderId="2" xfId="0" applyFont="1" applyBorder="1" applyAlignment="1">
      <alignment horizontal="center" vertical="center" shrinkToFit="1"/>
    </xf>
    <xf numFmtId="0" fontId="2" fillId="0" borderId="2" xfId="0" applyFont="1" applyBorder="1" applyAlignment="1">
      <alignment vertical="center" shrinkToFit="1"/>
    </xf>
    <xf numFmtId="0" fontId="2" fillId="0" borderId="0" xfId="0" applyFont="1" applyAlignment="1">
      <alignment horizontal="right" vertical="center"/>
    </xf>
    <xf numFmtId="0" fontId="12" fillId="0" borderId="11" xfId="0" applyFont="1" applyFill="1" applyBorder="1" applyAlignment="1">
      <alignment horizontal="center" vertical="center"/>
    </xf>
    <xf numFmtId="0" fontId="12" fillId="0" borderId="28" xfId="0" applyFont="1" applyFill="1" applyBorder="1" applyAlignment="1">
      <alignment horizontal="center" vertical="center" wrapText="1"/>
    </xf>
    <xf numFmtId="0" fontId="12" fillId="0" borderId="29" xfId="0" applyFont="1" applyFill="1" applyBorder="1" applyAlignment="1">
      <alignment horizontal="center" vertical="center"/>
    </xf>
    <xf numFmtId="0" fontId="12" fillId="0" borderId="12" xfId="0" applyFont="1" applyFill="1" applyBorder="1" applyAlignment="1">
      <alignment horizontal="center" vertical="center" wrapText="1"/>
    </xf>
    <xf numFmtId="0" fontId="10" fillId="0" borderId="2" xfId="0" applyFont="1" applyBorder="1" applyAlignment="1">
      <alignment vertical="center" shrinkToFit="1"/>
    </xf>
    <xf numFmtId="0" fontId="10" fillId="0" borderId="2" xfId="0" applyFont="1" applyBorder="1" applyAlignment="1">
      <alignment vertical="center" shrinkToFit="1"/>
    </xf>
    <xf numFmtId="0" fontId="1" fillId="0" borderId="0" xfId="0" applyFont="1">
      <alignment vertical="center"/>
    </xf>
    <xf numFmtId="0" fontId="10" fillId="0" borderId="2" xfId="0" applyFont="1" applyFill="1" applyBorder="1" applyAlignment="1">
      <alignment vertical="center" shrinkToFit="1"/>
    </xf>
    <xf numFmtId="0" fontId="10" fillId="0" borderId="11" xfId="0" applyFont="1" applyBorder="1" applyAlignment="1">
      <alignment horizontal="center" vertical="center"/>
    </xf>
    <xf numFmtId="0" fontId="33" fillId="0" borderId="2" xfId="0" applyFont="1" applyBorder="1" applyAlignment="1">
      <alignment vertical="center" shrinkToFit="1"/>
    </xf>
    <xf numFmtId="0" fontId="10" fillId="0" borderId="2" xfId="0" applyFont="1" applyFill="1" applyBorder="1" applyAlignment="1">
      <alignment vertical="center" shrinkToFit="1"/>
    </xf>
    <xf numFmtId="0" fontId="10" fillId="0" borderId="2" xfId="0" applyFont="1" applyBorder="1" applyAlignment="1">
      <alignment vertical="center" shrinkToFit="1"/>
    </xf>
    <xf numFmtId="0" fontId="4" fillId="0" borderId="0" xfId="0" applyFont="1" applyAlignment="1">
      <alignment horizontal="center" vertical="center"/>
    </xf>
    <xf numFmtId="0" fontId="4" fillId="0" borderId="1" xfId="0" applyFont="1" applyBorder="1" applyAlignment="1">
      <alignment horizontal="center"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2" xfId="0" applyFont="1" applyFill="1" applyBorder="1" applyAlignment="1">
      <alignment vertical="center" shrinkToFit="1"/>
    </xf>
    <xf numFmtId="0" fontId="10" fillId="0" borderId="0" xfId="0" applyFont="1" applyBorder="1" applyAlignment="1">
      <alignment horizontal="center"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0" xfId="0" applyFont="1" applyBorder="1" applyAlignment="1">
      <alignment vertical="center" shrinkToFit="1"/>
    </xf>
    <xf numFmtId="0" fontId="11" fillId="0" borderId="0" xfId="0" applyFont="1" applyAlignment="1">
      <alignment horizontal="right" vertical="center"/>
    </xf>
    <xf numFmtId="0" fontId="10" fillId="0" borderId="0" xfId="0" applyFont="1" applyAlignment="1">
      <alignment horizontal="center" vertical="center"/>
    </xf>
    <xf numFmtId="0" fontId="10" fillId="0" borderId="4" xfId="0" applyFont="1" applyBorder="1" applyAlignment="1">
      <alignment vertical="center" shrinkToFit="1"/>
    </xf>
    <xf numFmtId="0" fontId="10" fillId="0" borderId="1" xfId="0" applyFont="1" applyBorder="1" applyAlignment="1">
      <alignment horizontal="center" vertical="center" shrinkToFit="1"/>
    </xf>
    <xf numFmtId="0" fontId="5" fillId="0" borderId="0" xfId="0" applyFont="1" applyAlignment="1">
      <alignment horizontal="center" vertical="center"/>
    </xf>
    <xf numFmtId="0" fontId="5" fillId="0" borderId="20" xfId="0" applyFont="1" applyBorder="1" applyAlignment="1">
      <alignment vertical="center" shrinkToFit="1"/>
    </xf>
    <xf numFmtId="0" fontId="36" fillId="0" borderId="0" xfId="0" applyFont="1">
      <alignment vertical="center"/>
    </xf>
    <xf numFmtId="0" fontId="22" fillId="0" borderId="0" xfId="0" applyFont="1" applyFill="1">
      <alignment vertical="center"/>
    </xf>
    <xf numFmtId="0" fontId="10" fillId="0" borderId="5" xfId="0" applyFont="1" applyFill="1" applyBorder="1">
      <alignment vertical="center"/>
    </xf>
    <xf numFmtId="176" fontId="10" fillId="0" borderId="0" xfId="0" applyNumberFormat="1" applyFont="1" applyFill="1" applyBorder="1" applyAlignment="1">
      <alignment vertical="center" wrapText="1"/>
    </xf>
    <xf numFmtId="0" fontId="10" fillId="0" borderId="0" xfId="0" applyFont="1" applyFill="1" applyBorder="1">
      <alignment vertical="center"/>
    </xf>
    <xf numFmtId="176" fontId="10" fillId="0" borderId="5" xfId="0" applyNumberFormat="1" applyFont="1" applyFill="1" applyBorder="1" applyAlignment="1">
      <alignment vertical="center"/>
    </xf>
    <xf numFmtId="176" fontId="10" fillId="0" borderId="0" xfId="0" applyNumberFormat="1" applyFont="1" applyFill="1" applyBorder="1">
      <alignment vertical="center"/>
    </xf>
    <xf numFmtId="0" fontId="10" fillId="0" borderId="0" xfId="0" applyFont="1" applyFill="1" applyBorder="1" applyAlignment="1">
      <alignment horizontal="center" vertical="center"/>
    </xf>
    <xf numFmtId="176" fontId="10" fillId="0" borderId="0" xfId="0" applyNumberFormat="1" applyFont="1" applyFill="1" applyAlignment="1">
      <alignment vertical="center" wrapText="1"/>
    </xf>
    <xf numFmtId="0" fontId="10" fillId="0" borderId="0" xfId="0" applyFont="1" applyFill="1" applyAlignment="1">
      <alignment horizontal="center" vertical="center"/>
    </xf>
    <xf numFmtId="0" fontId="10" fillId="0" borderId="0" xfId="0" applyFont="1" applyFill="1" applyBorder="1" applyAlignment="1">
      <alignment vertical="center"/>
    </xf>
    <xf numFmtId="176" fontId="10" fillId="0" borderId="3" xfId="0" applyNumberFormat="1" applyFont="1" applyFill="1" applyBorder="1" applyAlignment="1">
      <alignment vertical="center" shrinkToFit="1"/>
    </xf>
    <xf numFmtId="0" fontId="1" fillId="0" borderId="0" xfId="0" applyFont="1" applyBorder="1">
      <alignment vertical="center"/>
    </xf>
    <xf numFmtId="0" fontId="10" fillId="0" borderId="2" xfId="0" applyFont="1" applyFill="1" applyBorder="1" applyAlignment="1">
      <alignment vertical="center" shrinkToFit="1"/>
    </xf>
    <xf numFmtId="0" fontId="10" fillId="0" borderId="2" xfId="0" applyFont="1" applyFill="1" applyBorder="1" applyAlignment="1">
      <alignment vertical="center" shrinkToFit="1"/>
    </xf>
    <xf numFmtId="0" fontId="10" fillId="0" borderId="0" xfId="0" applyFont="1" applyFill="1" applyBorder="1" applyAlignment="1">
      <alignment vertical="top" wrapText="1"/>
    </xf>
    <xf numFmtId="0" fontId="1" fillId="0" borderId="11" xfId="0" applyFont="1" applyFill="1" applyBorder="1" applyAlignment="1">
      <alignment horizontal="center" vertical="center"/>
    </xf>
    <xf numFmtId="0" fontId="11" fillId="0" borderId="11" xfId="0" applyFont="1" applyFill="1" applyBorder="1" applyAlignment="1">
      <alignment horizontal="center" vertical="center"/>
    </xf>
    <xf numFmtId="0" fontId="2" fillId="0" borderId="2" xfId="0" applyFont="1" applyFill="1" applyBorder="1" applyAlignment="1">
      <alignment vertical="center" shrinkToFit="1"/>
    </xf>
    <xf numFmtId="0" fontId="4" fillId="0" borderId="11" xfId="0" applyFont="1" applyFill="1" applyBorder="1" applyAlignment="1">
      <alignment horizontal="center" vertical="center"/>
    </xf>
    <xf numFmtId="0" fontId="4" fillId="0" borderId="2" xfId="0" applyFont="1" applyFill="1" applyBorder="1" applyAlignment="1">
      <alignment vertical="center" shrinkToFit="1"/>
    </xf>
    <xf numFmtId="0" fontId="33" fillId="0" borderId="2" xfId="0" applyFont="1" applyFill="1" applyBorder="1" applyAlignment="1">
      <alignment horizontal="left" vertical="center" shrinkToFit="1"/>
    </xf>
    <xf numFmtId="0" fontId="33" fillId="0" borderId="3" xfId="0" applyFont="1" applyFill="1" applyBorder="1" applyAlignment="1">
      <alignment horizontal="left" vertical="center" shrinkToFit="1"/>
    </xf>
    <xf numFmtId="0" fontId="33" fillId="0" borderId="4" xfId="0" applyFont="1" applyFill="1" applyBorder="1" applyAlignment="1">
      <alignment horizontal="left" vertical="center" shrinkToFit="1"/>
    </xf>
    <xf numFmtId="176" fontId="10" fillId="0" borderId="40" xfId="0" applyNumberFormat="1" applyFont="1" applyFill="1" applyBorder="1" applyAlignment="1">
      <alignment vertical="center" shrinkToFit="1"/>
    </xf>
    <xf numFmtId="176" fontId="10" fillId="0" borderId="41" xfId="0" applyNumberFormat="1" applyFont="1" applyFill="1" applyBorder="1" applyAlignment="1">
      <alignment vertical="center" shrinkToFit="1"/>
    </xf>
    <xf numFmtId="176" fontId="10" fillId="0" borderId="42" xfId="0" applyNumberFormat="1" applyFont="1" applyFill="1" applyBorder="1" applyAlignment="1">
      <alignment vertical="center" shrinkToFit="1"/>
    </xf>
    <xf numFmtId="176" fontId="10" fillId="0" borderId="43" xfId="0" applyNumberFormat="1" applyFont="1" applyFill="1" applyBorder="1" applyAlignment="1">
      <alignment vertical="center" shrinkToFit="1"/>
    </xf>
    <xf numFmtId="176" fontId="10" fillId="0" borderId="44" xfId="0" applyNumberFormat="1" applyFont="1" applyFill="1" applyBorder="1" applyAlignment="1">
      <alignment vertical="center" shrinkToFit="1"/>
    </xf>
    <xf numFmtId="176" fontId="10" fillId="0" borderId="45" xfId="0" applyNumberFormat="1" applyFont="1" applyFill="1" applyBorder="1" applyAlignment="1">
      <alignment vertical="center" shrinkToFit="1"/>
    </xf>
    <xf numFmtId="176" fontId="10" fillId="0" borderId="46" xfId="0" applyNumberFormat="1" applyFont="1" applyFill="1" applyBorder="1" applyAlignment="1">
      <alignment vertical="center" shrinkToFit="1"/>
    </xf>
    <xf numFmtId="176" fontId="10" fillId="0" borderId="47" xfId="0" applyNumberFormat="1" applyFont="1" applyFill="1" applyBorder="1" applyAlignment="1">
      <alignment vertical="center" shrinkToFit="1"/>
    </xf>
    <xf numFmtId="0" fontId="10" fillId="0" borderId="5" xfId="0" applyFont="1" applyFill="1" applyBorder="1" applyAlignment="1">
      <alignment vertical="center" shrinkToFit="1"/>
    </xf>
    <xf numFmtId="176" fontId="10" fillId="0" borderId="31" xfId="0" applyNumberFormat="1" applyFont="1" applyFill="1" applyBorder="1" applyAlignment="1">
      <alignment vertical="center" shrinkToFit="1"/>
    </xf>
    <xf numFmtId="176" fontId="10" fillId="0" borderId="10" xfId="0" applyNumberFormat="1" applyFont="1" applyFill="1" applyBorder="1" applyAlignment="1">
      <alignment vertical="center" shrinkToFit="1"/>
    </xf>
    <xf numFmtId="176" fontId="10" fillId="0" borderId="15" xfId="0" applyNumberFormat="1" applyFont="1" applyFill="1" applyBorder="1" applyAlignment="1">
      <alignment vertical="center" shrinkToFit="1"/>
    </xf>
    <xf numFmtId="176" fontId="10" fillId="0" borderId="48" xfId="0" applyNumberFormat="1" applyFont="1" applyFill="1" applyBorder="1" applyAlignment="1">
      <alignment vertical="center" shrinkToFit="1"/>
    </xf>
    <xf numFmtId="176" fontId="10" fillId="0" borderId="14" xfId="0" applyNumberFormat="1" applyFont="1" applyFill="1" applyBorder="1" applyAlignment="1">
      <alignment vertical="center" shrinkToFit="1"/>
    </xf>
    <xf numFmtId="9" fontId="10" fillId="0" borderId="10" xfId="0" applyNumberFormat="1" applyFont="1" applyFill="1" applyBorder="1" applyAlignment="1">
      <alignment vertical="center" shrinkToFit="1"/>
    </xf>
    <xf numFmtId="0" fontId="10" fillId="0" borderId="20" xfId="0" applyFont="1" applyFill="1" applyBorder="1" applyAlignment="1">
      <alignment vertical="center" shrinkToFit="1"/>
    </xf>
    <xf numFmtId="176" fontId="10" fillId="0" borderId="33" xfId="0" applyNumberFormat="1" applyFont="1" applyFill="1" applyBorder="1" applyAlignment="1">
      <alignment vertical="center" shrinkToFit="1"/>
    </xf>
    <xf numFmtId="176" fontId="10" fillId="0" borderId="19" xfId="0" applyNumberFormat="1" applyFont="1" applyFill="1" applyBorder="1" applyAlignment="1">
      <alignment vertical="center" shrinkToFit="1"/>
    </xf>
    <xf numFmtId="176" fontId="10" fillId="0" borderId="22" xfId="0" applyNumberFormat="1" applyFont="1" applyFill="1" applyBorder="1" applyAlignment="1">
      <alignment vertical="center" shrinkToFit="1"/>
    </xf>
    <xf numFmtId="0" fontId="4" fillId="0" borderId="0" xfId="0" applyFont="1" applyFill="1">
      <alignment vertical="center"/>
    </xf>
    <xf numFmtId="0" fontId="37" fillId="0" borderId="0" xfId="0" applyFont="1" applyFill="1">
      <alignment vertical="center"/>
    </xf>
    <xf numFmtId="0" fontId="11" fillId="0" borderId="0" xfId="0" applyFont="1" applyFill="1" applyAlignment="1">
      <alignment horizontal="right" vertical="center"/>
    </xf>
    <xf numFmtId="0" fontId="11" fillId="0" borderId="0" xfId="0" applyFont="1" applyFill="1" applyAlignment="1">
      <alignment horizontal="center" vertical="center"/>
    </xf>
    <xf numFmtId="0" fontId="11" fillId="0" borderId="0" xfId="0" applyFont="1" applyFill="1" applyBorder="1" applyAlignment="1">
      <alignment vertical="center"/>
    </xf>
    <xf numFmtId="0" fontId="10" fillId="0" borderId="0" xfId="0" applyFont="1" applyFill="1" applyAlignment="1">
      <alignment vertical="center"/>
    </xf>
    <xf numFmtId="0" fontId="10" fillId="0" borderId="0" xfId="0" applyFont="1" applyFill="1" applyBorder="1" applyAlignment="1">
      <alignment vertical="center" wrapText="1"/>
    </xf>
    <xf numFmtId="0" fontId="37" fillId="0" borderId="0" xfId="0" applyFont="1" applyFill="1" applyBorder="1" applyAlignment="1">
      <alignment vertical="top" wrapText="1"/>
    </xf>
    <xf numFmtId="0" fontId="11" fillId="0" borderId="0" xfId="0" applyFont="1" applyFill="1" applyBorder="1" applyAlignment="1">
      <alignment vertical="center" wrapText="1"/>
    </xf>
    <xf numFmtId="0" fontId="37" fillId="0" borderId="0" xfId="0" applyFont="1" applyFill="1" applyBorder="1" applyAlignment="1">
      <alignment vertical="top" shrinkToFit="1"/>
    </xf>
    <xf numFmtId="0" fontId="37" fillId="0" borderId="0" xfId="0" applyFont="1" applyFill="1" applyBorder="1" applyAlignment="1">
      <alignment vertical="center" wrapText="1"/>
    </xf>
    <xf numFmtId="0" fontId="38" fillId="0" borderId="0" xfId="0" applyFont="1" applyFill="1" applyAlignment="1">
      <alignment vertical="top" wrapText="1"/>
    </xf>
    <xf numFmtId="0" fontId="38" fillId="0" borderId="0" xfId="0" applyFont="1" applyFill="1" applyBorder="1" applyAlignment="1">
      <alignment vertical="top" wrapText="1"/>
    </xf>
    <xf numFmtId="0" fontId="38" fillId="0" borderId="10" xfId="0" applyFont="1" applyFill="1" applyBorder="1" applyAlignment="1">
      <alignment vertical="top" wrapText="1"/>
    </xf>
    <xf numFmtId="0" fontId="38" fillId="0" borderId="5" xfId="0" applyFont="1" applyFill="1" applyBorder="1" applyAlignment="1">
      <alignment vertical="top" wrapText="1"/>
    </xf>
    <xf numFmtId="0" fontId="10" fillId="0" borderId="17" xfId="0" applyFont="1" applyFill="1" applyBorder="1">
      <alignment vertical="center"/>
    </xf>
    <xf numFmtId="0" fontId="38" fillId="0" borderId="21" xfId="0" applyFont="1" applyFill="1" applyBorder="1" applyAlignment="1">
      <alignment vertical="top" wrapText="1"/>
    </xf>
    <xf numFmtId="0" fontId="38" fillId="0" borderId="19" xfId="0" applyFont="1" applyFill="1" applyBorder="1" applyAlignment="1">
      <alignment vertical="top" wrapText="1"/>
    </xf>
    <xf numFmtId="0" fontId="38" fillId="0" borderId="21" xfId="0" applyFont="1" applyFill="1" applyBorder="1" applyAlignment="1">
      <alignment vertical="top" shrinkToFit="1"/>
    </xf>
    <xf numFmtId="0" fontId="38" fillId="0" borderId="19" xfId="0" applyFont="1" applyFill="1" applyBorder="1" applyAlignment="1">
      <alignment vertical="top" shrinkToFit="1"/>
    </xf>
    <xf numFmtId="0" fontId="10" fillId="0" borderId="0" xfId="0" applyFont="1" applyFill="1" applyAlignment="1">
      <alignment vertical="center" wrapText="1"/>
    </xf>
    <xf numFmtId="0" fontId="18" fillId="0" borderId="0" xfId="2" applyNumberFormat="1" applyFont="1" applyFill="1" applyBorder="1" applyAlignment="1">
      <alignment vertical="center" shrinkToFit="1"/>
    </xf>
    <xf numFmtId="0" fontId="38" fillId="0" borderId="0" xfId="0" applyFont="1" applyFill="1" applyBorder="1" applyAlignment="1">
      <alignment vertical="center" shrinkToFit="1"/>
    </xf>
    <xf numFmtId="0" fontId="38" fillId="0" borderId="10" xfId="0" applyFont="1" applyFill="1" applyBorder="1" applyAlignment="1">
      <alignment vertical="center" shrinkToFit="1"/>
    </xf>
    <xf numFmtId="0" fontId="10" fillId="0" borderId="2" xfId="0" applyFont="1" applyBorder="1" applyAlignment="1">
      <alignment horizontal="center" vertical="center" shrinkToFit="1"/>
    </xf>
    <xf numFmtId="0" fontId="10" fillId="0" borderId="2" xfId="0" applyFont="1" applyFill="1" applyBorder="1" applyAlignment="1">
      <alignment horizontal="center" vertical="center" shrinkToFit="1"/>
    </xf>
    <xf numFmtId="0" fontId="10" fillId="0" borderId="2" xfId="0" applyFont="1" applyFill="1" applyBorder="1" applyAlignment="1">
      <alignment vertical="center" shrinkToFit="1"/>
    </xf>
    <xf numFmtId="0" fontId="10" fillId="0" borderId="2" xfId="0" applyFont="1" applyBorder="1" applyAlignment="1">
      <alignment vertical="center" shrinkToFit="1"/>
    </xf>
    <xf numFmtId="0" fontId="10" fillId="0" borderId="2" xfId="0" applyFont="1" applyFill="1" applyBorder="1" applyAlignment="1">
      <alignment horizontal="left" vertical="center" shrinkToFit="1"/>
    </xf>
    <xf numFmtId="0" fontId="11" fillId="0" borderId="2" xfId="0" applyFont="1" applyFill="1" applyBorder="1" applyAlignment="1">
      <alignment vertical="center" shrinkToFit="1"/>
    </xf>
    <xf numFmtId="0" fontId="11" fillId="0" borderId="1" xfId="0" applyFont="1" applyBorder="1" applyAlignment="1">
      <alignment horizontal="center" vertical="center"/>
    </xf>
    <xf numFmtId="0" fontId="38" fillId="0" borderId="49" xfId="0" applyFont="1" applyFill="1" applyBorder="1" applyAlignment="1">
      <alignment vertical="top" wrapText="1"/>
    </xf>
    <xf numFmtId="0" fontId="10" fillId="0" borderId="1" xfId="0" applyFont="1" applyFill="1" applyBorder="1" applyAlignment="1">
      <alignment horizontal="center" vertical="center" wrapText="1"/>
    </xf>
    <xf numFmtId="0" fontId="11" fillId="0" borderId="0" xfId="0" applyFont="1" applyAlignment="1">
      <alignment horizontal="right" vertical="center"/>
    </xf>
    <xf numFmtId="0" fontId="10" fillId="0" borderId="0" xfId="0" applyFont="1" applyAlignment="1">
      <alignment horizontal="center"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2" xfId="0" applyFont="1" applyFill="1" applyBorder="1" applyAlignment="1">
      <alignment horizontal="center" vertical="center" shrinkToFit="1"/>
    </xf>
    <xf numFmtId="0" fontId="10" fillId="0" borderId="3" xfId="0" applyFont="1" applyFill="1" applyBorder="1" applyAlignment="1">
      <alignment horizontal="center" vertical="center" shrinkToFit="1"/>
    </xf>
    <xf numFmtId="0" fontId="10" fillId="0" borderId="4" xfId="0" applyFont="1" applyFill="1" applyBorder="1" applyAlignment="1">
      <alignment horizontal="center" vertical="center" shrinkToFit="1"/>
    </xf>
    <xf numFmtId="0" fontId="21" fillId="0" borderId="0" xfId="0" applyFont="1" applyFill="1" applyBorder="1" applyAlignment="1">
      <alignment horizontal="left" vertical="center" wrapText="1" shrinkToFit="1"/>
    </xf>
    <xf numFmtId="0" fontId="21" fillId="0" borderId="0" xfId="0" applyFont="1" applyFill="1" applyBorder="1" applyAlignment="1">
      <alignment horizontal="left" vertical="center" shrinkToFit="1"/>
    </xf>
    <xf numFmtId="0" fontId="10" fillId="0" borderId="2" xfId="0" applyFont="1" applyFill="1" applyBorder="1" applyAlignment="1">
      <alignment vertical="center" shrinkToFit="1"/>
    </xf>
    <xf numFmtId="0" fontId="10" fillId="0" borderId="3" xfId="0" applyFont="1" applyFill="1" applyBorder="1" applyAlignment="1">
      <alignment vertical="center" shrinkToFit="1"/>
    </xf>
    <xf numFmtId="0" fontId="10" fillId="0" borderId="4" xfId="0" applyFont="1" applyFill="1" applyBorder="1" applyAlignment="1">
      <alignment vertical="center" shrinkToFit="1"/>
    </xf>
    <xf numFmtId="0" fontId="10" fillId="0" borderId="0" xfId="0" applyFont="1" applyFill="1" applyBorder="1" applyAlignment="1">
      <alignment horizontal="right" vertical="center"/>
    </xf>
    <xf numFmtId="0" fontId="10" fillId="0" borderId="10" xfId="0" applyFont="1" applyFill="1" applyBorder="1" applyAlignment="1">
      <alignment horizontal="right" vertical="center"/>
    </xf>
    <xf numFmtId="176" fontId="10" fillId="0" borderId="2" xfId="0" applyNumberFormat="1" applyFont="1" applyFill="1" applyBorder="1" applyAlignment="1">
      <alignment horizontal="center" vertical="center" shrinkToFit="1"/>
    </xf>
    <xf numFmtId="176" fontId="10" fillId="0" borderId="4" xfId="0" applyNumberFormat="1" applyFont="1" applyFill="1" applyBorder="1" applyAlignment="1">
      <alignment horizontal="center" vertical="center" shrinkToFit="1"/>
    </xf>
    <xf numFmtId="176" fontId="10" fillId="0" borderId="3" xfId="0" applyNumberFormat="1" applyFont="1" applyFill="1" applyBorder="1" applyAlignment="1">
      <alignment horizontal="center" vertical="center" shrinkToFit="1"/>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0" xfId="0" applyFont="1" applyFill="1" applyBorder="1" applyAlignment="1">
      <alignment vertical="center" shrinkToFit="1"/>
    </xf>
    <xf numFmtId="176" fontId="10" fillId="0" borderId="2" xfId="0" applyNumberFormat="1" applyFont="1" applyFill="1" applyBorder="1" applyAlignment="1">
      <alignment horizontal="center" vertical="center"/>
    </xf>
    <xf numFmtId="176" fontId="10" fillId="0" borderId="3" xfId="0" applyNumberFormat="1" applyFont="1" applyFill="1" applyBorder="1" applyAlignment="1">
      <alignment horizontal="center" vertical="center"/>
    </xf>
    <xf numFmtId="176" fontId="10" fillId="0" borderId="4" xfId="0" applyNumberFormat="1"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0" fillId="0" borderId="2" xfId="0" applyFont="1" applyBorder="1" applyAlignment="1">
      <alignment vertical="center" shrinkToFit="1"/>
    </xf>
    <xf numFmtId="0" fontId="10" fillId="0" borderId="3" xfId="0" applyFont="1" applyBorder="1" applyAlignment="1">
      <alignment vertical="center" shrinkToFit="1"/>
    </xf>
    <xf numFmtId="49" fontId="8" fillId="0" borderId="2" xfId="2" applyNumberFormat="1" applyBorder="1" applyAlignment="1">
      <alignment vertical="center" shrinkToFit="1"/>
    </xf>
    <xf numFmtId="49" fontId="14" fillId="0" borderId="3" xfId="0" applyNumberFormat="1" applyFont="1" applyBorder="1" applyAlignment="1">
      <alignment vertical="center" shrinkToFit="1"/>
    </xf>
    <xf numFmtId="49" fontId="14" fillId="0" borderId="4" xfId="0" applyNumberFormat="1" applyFont="1" applyBorder="1" applyAlignment="1">
      <alignment vertical="center" shrinkToFit="1"/>
    </xf>
    <xf numFmtId="49" fontId="10" fillId="0" borderId="2" xfId="1" applyNumberFormat="1" applyFont="1" applyBorder="1" applyAlignment="1">
      <alignment horizontal="center" vertical="center" shrinkToFit="1"/>
    </xf>
    <xf numFmtId="49" fontId="10" fillId="0" borderId="3" xfId="1" applyNumberFormat="1" applyFont="1" applyBorder="1" applyAlignment="1">
      <alignment horizontal="center" vertical="center" shrinkToFit="1"/>
    </xf>
    <xf numFmtId="49" fontId="10" fillId="0" borderId="4" xfId="1" applyNumberFormat="1" applyFont="1" applyBorder="1" applyAlignment="1">
      <alignment horizontal="center" vertical="center" shrinkToFit="1"/>
    </xf>
    <xf numFmtId="0" fontId="10" fillId="0" borderId="2" xfId="0" applyFont="1" applyFill="1" applyBorder="1" applyAlignment="1">
      <alignment horizontal="left" vertical="center" wrapText="1" shrinkToFit="1"/>
    </xf>
    <xf numFmtId="0" fontId="10" fillId="0" borderId="3" xfId="0" applyFont="1" applyFill="1" applyBorder="1" applyAlignment="1">
      <alignment horizontal="left" vertical="center" shrinkToFit="1"/>
    </xf>
    <xf numFmtId="0" fontId="10" fillId="0" borderId="4" xfId="0" applyFont="1" applyFill="1" applyBorder="1" applyAlignment="1">
      <alignment horizontal="left" vertical="center" shrinkToFit="1"/>
    </xf>
    <xf numFmtId="0" fontId="10" fillId="0" borderId="0" xfId="0" applyFont="1" applyAlignment="1">
      <alignment vertical="center" shrinkToFi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7" xfId="0" applyFont="1" applyFill="1" applyBorder="1" applyAlignment="1">
      <alignment vertical="top" wrapText="1"/>
    </xf>
    <xf numFmtId="0" fontId="10" fillId="0" borderId="8" xfId="0" applyFont="1" applyFill="1" applyBorder="1" applyAlignment="1">
      <alignment vertical="top" wrapText="1"/>
    </xf>
    <xf numFmtId="0" fontId="10" fillId="0" borderId="9" xfId="0" applyFont="1" applyFill="1" applyBorder="1" applyAlignment="1">
      <alignment vertical="top" wrapText="1"/>
    </xf>
    <xf numFmtId="0" fontId="10" fillId="0" borderId="5" xfId="0" applyFont="1" applyFill="1" applyBorder="1" applyAlignment="1">
      <alignment vertical="top" wrapText="1"/>
    </xf>
    <xf numFmtId="0" fontId="10" fillId="0" borderId="0" xfId="0" applyFont="1" applyFill="1" applyBorder="1" applyAlignment="1">
      <alignment vertical="top" wrapText="1"/>
    </xf>
    <xf numFmtId="0" fontId="10" fillId="0" borderId="10" xfId="0" applyFont="1" applyFill="1" applyBorder="1" applyAlignment="1">
      <alignment vertical="top" wrapText="1"/>
    </xf>
    <xf numFmtId="0" fontId="10" fillId="0" borderId="11" xfId="0" applyFont="1" applyFill="1" applyBorder="1" applyAlignment="1">
      <alignment vertical="top" wrapText="1"/>
    </xf>
    <xf numFmtId="0" fontId="10" fillId="0" borderId="6" xfId="0" applyFont="1" applyFill="1" applyBorder="1" applyAlignment="1">
      <alignment vertical="top" wrapText="1"/>
    </xf>
    <xf numFmtId="0" fontId="10" fillId="0" borderId="12" xfId="0" applyFont="1" applyFill="1" applyBorder="1" applyAlignment="1">
      <alignment vertical="top" wrapText="1"/>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10" fillId="0" borderId="2" xfId="0" applyFont="1" applyFill="1" applyBorder="1" applyAlignment="1">
      <alignment horizontal="left" vertical="center" shrinkToFit="1"/>
    </xf>
    <xf numFmtId="0" fontId="10" fillId="0" borderId="4" xfId="0" applyFont="1" applyBorder="1" applyAlignment="1">
      <alignment vertical="center" shrinkToFit="1"/>
    </xf>
    <xf numFmtId="0" fontId="10" fillId="0" borderId="2" xfId="0" applyFont="1" applyBorder="1" applyAlignment="1">
      <alignment horizontal="left" vertical="center" shrinkToFi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32" fillId="0" borderId="2" xfId="0" applyFont="1" applyBorder="1" applyAlignment="1">
      <alignment horizontal="left" vertical="center"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14" fillId="0" borderId="2" xfId="0" applyFont="1" applyBorder="1" applyAlignment="1">
      <alignment vertical="center" shrinkToFit="1"/>
    </xf>
    <xf numFmtId="0" fontId="5" fillId="0" borderId="2" xfId="0" applyFont="1" applyFill="1" applyBorder="1" applyAlignment="1">
      <alignment vertical="center" shrinkToFit="1"/>
    </xf>
    <xf numFmtId="0" fontId="5" fillId="0" borderId="3" xfId="0" applyFont="1" applyFill="1" applyBorder="1" applyAlignment="1">
      <alignment vertical="center" shrinkToFit="1"/>
    </xf>
    <xf numFmtId="0" fontId="5" fillId="0" borderId="4" xfId="0" applyFont="1" applyFill="1" applyBorder="1" applyAlignment="1">
      <alignment vertical="center" shrinkToFit="1"/>
    </xf>
    <xf numFmtId="0" fontId="5" fillId="0" borderId="2" xfId="0" applyFont="1" applyFill="1" applyBorder="1" applyAlignment="1">
      <alignment horizontal="left" vertical="center" shrinkToFit="1"/>
    </xf>
    <xf numFmtId="0" fontId="5" fillId="0" borderId="3" xfId="0" applyFont="1" applyFill="1" applyBorder="1" applyAlignment="1">
      <alignment horizontal="left" vertical="center" shrinkToFit="1"/>
    </xf>
    <xf numFmtId="0" fontId="5" fillId="0" borderId="4" xfId="0" applyFont="1" applyFill="1" applyBorder="1" applyAlignment="1">
      <alignment horizontal="left" vertical="center" shrinkToFit="1"/>
    </xf>
    <xf numFmtId="0" fontId="11" fillId="0" borderId="2" xfId="0" applyFont="1" applyBorder="1" applyAlignment="1">
      <alignment horizontal="lef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6" fillId="0" borderId="2" xfId="0" applyFont="1" applyBorder="1" applyAlignment="1">
      <alignment vertical="center" shrinkToFit="1"/>
    </xf>
    <xf numFmtId="0" fontId="16" fillId="0" borderId="3" xfId="0" applyFont="1" applyBorder="1" applyAlignment="1">
      <alignment vertical="center" shrinkToFit="1"/>
    </xf>
    <xf numFmtId="0" fontId="16" fillId="0" borderId="4" xfId="0" applyFont="1" applyBorder="1" applyAlignment="1">
      <alignment vertical="center" shrinkToFit="1"/>
    </xf>
    <xf numFmtId="0" fontId="16" fillId="0" borderId="2" xfId="0" applyFont="1" applyBorder="1" applyAlignment="1">
      <alignment horizontal="left" vertical="center" shrinkToFit="1"/>
    </xf>
    <xf numFmtId="0" fontId="16" fillId="0" borderId="3" xfId="0" applyFont="1" applyBorder="1" applyAlignment="1">
      <alignment horizontal="left" vertical="center" shrinkToFit="1"/>
    </xf>
    <xf numFmtId="0" fontId="16" fillId="0" borderId="4" xfId="0" applyFont="1" applyBorder="1" applyAlignment="1">
      <alignment horizontal="left" vertical="center" shrinkToFit="1"/>
    </xf>
    <xf numFmtId="0" fontId="17" fillId="0" borderId="2" xfId="0" applyFont="1" applyBorder="1" applyAlignment="1">
      <alignment vertical="center" shrinkToFit="1"/>
    </xf>
    <xf numFmtId="0" fontId="17" fillId="0" borderId="3" xfId="0" applyFont="1" applyBorder="1" applyAlignment="1">
      <alignment vertical="center" shrinkToFit="1"/>
    </xf>
    <xf numFmtId="0" fontId="17" fillId="0" borderId="4" xfId="0" applyFont="1" applyBorder="1" applyAlignment="1">
      <alignment vertical="center" shrinkToFit="1"/>
    </xf>
    <xf numFmtId="0" fontId="17" fillId="0" borderId="2" xfId="0" applyFont="1" applyBorder="1" applyAlignment="1">
      <alignment horizontal="left" vertical="center" shrinkToFit="1"/>
    </xf>
    <xf numFmtId="0" fontId="17" fillId="0" borderId="3" xfId="0" applyFont="1" applyBorder="1" applyAlignment="1">
      <alignment horizontal="left" vertical="center" shrinkToFit="1"/>
    </xf>
    <xf numFmtId="0" fontId="17" fillId="0" borderId="4" xfId="0" applyFont="1" applyBorder="1" applyAlignment="1">
      <alignment horizontal="left" vertical="center" shrinkToFit="1"/>
    </xf>
    <xf numFmtId="0" fontId="5" fillId="0" borderId="20" xfId="0" applyFont="1" applyBorder="1" applyAlignment="1">
      <alignment vertical="center" shrinkToFit="1"/>
    </xf>
    <xf numFmtId="0" fontId="5" fillId="0" borderId="19" xfId="0" applyFont="1" applyBorder="1" applyAlignment="1">
      <alignment vertical="center" shrinkToFit="1"/>
    </xf>
    <xf numFmtId="0" fontId="1" fillId="0" borderId="0" xfId="0" applyFont="1" applyAlignment="1">
      <alignment horizontal="right" vertical="center"/>
    </xf>
    <xf numFmtId="0" fontId="5" fillId="0" borderId="0" xfId="0" applyFont="1" applyAlignment="1">
      <alignment horizontal="center" vertical="center" shrinkToFit="1"/>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6" xfId="0" applyFont="1" applyBorder="1" applyAlignment="1">
      <alignment horizontal="center" vertical="center"/>
    </xf>
    <xf numFmtId="0" fontId="9" fillId="0" borderId="7" xfId="0" applyFont="1" applyBorder="1" applyAlignment="1">
      <alignment horizontal="center" vertical="center" wrapText="1"/>
    </xf>
    <xf numFmtId="0" fontId="9" fillId="0" borderId="11" xfId="0" applyFont="1" applyBorder="1" applyAlignment="1">
      <alignment horizontal="center" vertical="center"/>
    </xf>
    <xf numFmtId="0" fontId="5" fillId="0" borderId="14"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36" xfId="0" applyFont="1" applyFill="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5" fillId="0" borderId="15" xfId="0" applyFont="1" applyBorder="1" applyAlignment="1">
      <alignment vertical="center" shrinkToFit="1"/>
    </xf>
    <xf numFmtId="0" fontId="5" fillId="0" borderId="36" xfId="0" applyFont="1" applyBorder="1" applyAlignment="1">
      <alignment vertical="center" shrinkToFit="1"/>
    </xf>
    <xf numFmtId="0" fontId="5" fillId="0" borderId="24" xfId="0" applyFont="1" applyBorder="1" applyAlignment="1">
      <alignment horizontal="center" vertical="center" shrinkToFit="1"/>
    </xf>
    <xf numFmtId="0" fontId="5" fillId="0" borderId="25" xfId="0" applyFont="1" applyBorder="1" applyAlignment="1">
      <alignment horizontal="center" vertical="center" shrinkToFit="1"/>
    </xf>
    <xf numFmtId="0" fontId="5" fillId="0" borderId="37" xfId="0" applyFont="1" applyBorder="1" applyAlignment="1">
      <alignment vertical="center" shrinkToFit="1"/>
    </xf>
    <xf numFmtId="0" fontId="5" fillId="0" borderId="38" xfId="0" applyFont="1" applyBorder="1" applyAlignment="1">
      <alignment vertical="center" shrinkToFit="1"/>
    </xf>
    <xf numFmtId="0" fontId="19" fillId="0" borderId="2" xfId="0" applyFont="1" applyFill="1" applyBorder="1" applyAlignment="1">
      <alignment horizontal="left" vertical="center" shrinkToFit="1"/>
    </xf>
    <xf numFmtId="0" fontId="10" fillId="0" borderId="2" xfId="0" applyFont="1" applyFill="1" applyBorder="1" applyAlignment="1">
      <alignment horizontal="left" vertical="center" wrapText="1"/>
    </xf>
    <xf numFmtId="0" fontId="10" fillId="0" borderId="3"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4" fillId="0" borderId="0" xfId="0" applyFont="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16" xfId="0" applyFont="1" applyBorder="1" applyAlignment="1">
      <alignment vertical="center" wrapText="1"/>
    </xf>
    <xf numFmtId="0" fontId="5" fillId="0" borderId="39" xfId="0" applyFont="1" applyBorder="1" applyAlignment="1">
      <alignment vertical="center" wrapText="1"/>
    </xf>
    <xf numFmtId="0" fontId="5" fillId="0" borderId="13" xfId="0" applyFont="1" applyBorder="1" applyAlignment="1">
      <alignment vertical="center" wrapText="1"/>
    </xf>
    <xf numFmtId="0" fontId="10" fillId="0" borderId="7" xfId="0" applyFont="1" applyFill="1" applyBorder="1" applyAlignment="1">
      <alignment horizontal="left" vertical="top" wrapText="1"/>
    </xf>
    <xf numFmtId="0" fontId="10" fillId="0" borderId="8" xfId="0" applyFont="1" applyFill="1" applyBorder="1" applyAlignment="1">
      <alignment horizontal="left" vertical="top" wrapText="1"/>
    </xf>
    <xf numFmtId="0" fontId="10" fillId="0" borderId="9" xfId="0" applyFont="1" applyFill="1" applyBorder="1" applyAlignment="1">
      <alignment horizontal="left" vertical="top" wrapText="1"/>
    </xf>
    <xf numFmtId="0" fontId="10" fillId="0" borderId="5"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10" xfId="0" applyFont="1" applyFill="1" applyBorder="1" applyAlignment="1">
      <alignment horizontal="left" vertical="top" wrapText="1"/>
    </xf>
    <xf numFmtId="0" fontId="10" fillId="0" borderId="11" xfId="0" applyFont="1" applyFill="1" applyBorder="1" applyAlignment="1">
      <alignment horizontal="left" vertical="top" wrapText="1"/>
    </xf>
    <xf numFmtId="0" fontId="10" fillId="0" borderId="6" xfId="0" applyFont="1" applyFill="1" applyBorder="1" applyAlignment="1">
      <alignment horizontal="left" vertical="top" wrapText="1"/>
    </xf>
    <xf numFmtId="0" fontId="10" fillId="0" borderId="12" xfId="0" applyFont="1" applyFill="1" applyBorder="1" applyAlignment="1">
      <alignment horizontal="left" vertical="top" wrapTex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10" fillId="0" borderId="2" xfId="0" applyFont="1" applyFill="1" applyBorder="1" applyAlignment="1">
      <alignment horizontal="left" vertical="center"/>
    </xf>
    <xf numFmtId="0" fontId="10" fillId="0" borderId="3" xfId="0" applyFont="1" applyFill="1" applyBorder="1" applyAlignment="1">
      <alignment horizontal="left" vertical="center"/>
    </xf>
    <xf numFmtId="0" fontId="10" fillId="0" borderId="4" xfId="0" applyFont="1" applyFill="1" applyBorder="1" applyAlignment="1">
      <alignment horizontal="left" vertical="center"/>
    </xf>
    <xf numFmtId="0" fontId="11" fillId="0" borderId="7" xfId="0" applyFont="1" applyFill="1" applyBorder="1" applyAlignment="1">
      <alignment horizontal="left" vertical="top" wrapText="1"/>
    </xf>
    <xf numFmtId="0" fontId="11" fillId="0" borderId="8" xfId="0" applyFont="1" applyFill="1" applyBorder="1" applyAlignment="1">
      <alignment horizontal="left" vertical="top" wrapText="1"/>
    </xf>
    <xf numFmtId="0" fontId="11" fillId="0" borderId="9" xfId="0" applyFont="1" applyFill="1" applyBorder="1" applyAlignment="1">
      <alignment horizontal="left" vertical="top" wrapText="1"/>
    </xf>
    <xf numFmtId="0" fontId="11" fillId="0" borderId="5" xfId="0" applyFont="1" applyFill="1" applyBorder="1" applyAlignment="1">
      <alignment horizontal="left" vertical="top" wrapText="1"/>
    </xf>
    <xf numFmtId="0" fontId="11" fillId="0" borderId="0" xfId="0" applyFont="1" applyFill="1" applyBorder="1" applyAlignment="1">
      <alignment horizontal="left" vertical="top" wrapText="1"/>
    </xf>
    <xf numFmtId="0" fontId="11" fillId="0" borderId="10" xfId="0" applyFont="1" applyFill="1" applyBorder="1" applyAlignment="1">
      <alignment horizontal="left" vertical="top" wrapText="1"/>
    </xf>
    <xf numFmtId="0" fontId="11" fillId="0" borderId="11" xfId="0" applyFont="1" applyFill="1" applyBorder="1" applyAlignment="1">
      <alignment horizontal="left" vertical="top" wrapText="1"/>
    </xf>
    <xf numFmtId="0" fontId="11" fillId="0" borderId="6" xfId="0" applyFont="1" applyFill="1" applyBorder="1" applyAlignment="1">
      <alignment horizontal="left" vertical="top" wrapText="1"/>
    </xf>
    <xf numFmtId="0" fontId="11" fillId="0" borderId="12" xfId="0" applyFont="1" applyFill="1" applyBorder="1" applyAlignment="1">
      <alignment horizontal="left" vertical="top" wrapTex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2" xfId="0" applyFont="1" applyFill="1" applyBorder="1" applyAlignment="1">
      <alignment horizontal="left" vertical="center" wrapText="1" shrinkToFit="1"/>
    </xf>
    <xf numFmtId="0" fontId="11" fillId="0" borderId="3" xfId="0" applyFont="1" applyFill="1" applyBorder="1" applyAlignment="1">
      <alignment horizontal="left" vertical="center" shrinkToFit="1"/>
    </xf>
    <xf numFmtId="0" fontId="11" fillId="0" borderId="4" xfId="0" applyFont="1" applyFill="1" applyBorder="1" applyAlignment="1">
      <alignment horizontal="left" vertical="center" shrinkToFit="1"/>
    </xf>
    <xf numFmtId="0" fontId="10" fillId="0" borderId="3" xfId="0" applyFont="1" applyFill="1" applyBorder="1" applyAlignment="1">
      <alignment horizontal="left" vertical="center" wrapText="1" shrinkToFit="1"/>
    </xf>
    <xf numFmtId="0" fontId="10" fillId="0" borderId="4" xfId="0" applyFont="1" applyFill="1" applyBorder="1" applyAlignment="1">
      <alignment horizontal="left" vertical="center" wrapText="1" shrinkToFit="1"/>
    </xf>
    <xf numFmtId="0" fontId="11" fillId="0" borderId="2"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4" xfId="0" applyFont="1" applyFill="1" applyBorder="1" applyAlignment="1">
      <alignment horizontal="center" vertical="center"/>
    </xf>
    <xf numFmtId="0" fontId="11" fillId="0" borderId="7" xfId="0" applyFont="1" applyFill="1" applyBorder="1" applyAlignment="1">
      <alignment horizontal="left" vertical="top" wrapText="1" shrinkToFit="1"/>
    </xf>
    <xf numFmtId="0" fontId="11" fillId="0" borderId="8" xfId="0" applyFont="1" applyFill="1" applyBorder="1" applyAlignment="1">
      <alignment horizontal="left" vertical="top" shrinkToFit="1"/>
    </xf>
    <xf numFmtId="0" fontId="11" fillId="0" borderId="9" xfId="0" applyFont="1" applyFill="1" applyBorder="1" applyAlignment="1">
      <alignment horizontal="left" vertical="top" shrinkToFit="1"/>
    </xf>
    <xf numFmtId="0" fontId="11" fillId="0" borderId="5" xfId="0" applyFont="1" applyFill="1" applyBorder="1" applyAlignment="1">
      <alignment horizontal="left" vertical="top" shrinkToFit="1"/>
    </xf>
    <xf numFmtId="0" fontId="11" fillId="0" borderId="0" xfId="0" applyFont="1" applyFill="1" applyBorder="1" applyAlignment="1">
      <alignment horizontal="left" vertical="top" shrinkToFit="1"/>
    </xf>
    <xf numFmtId="0" fontId="11" fillId="0" borderId="10" xfId="0" applyFont="1" applyFill="1" applyBorder="1" applyAlignment="1">
      <alignment horizontal="left" vertical="top" shrinkToFit="1"/>
    </xf>
    <xf numFmtId="0" fontId="11" fillId="0" borderId="11" xfId="0" applyFont="1" applyFill="1" applyBorder="1" applyAlignment="1">
      <alignment horizontal="left" vertical="top" shrinkToFit="1"/>
    </xf>
    <xf numFmtId="0" fontId="11" fillId="0" borderId="6" xfId="0" applyFont="1" applyFill="1" applyBorder="1" applyAlignment="1">
      <alignment horizontal="left" vertical="top" shrinkToFit="1"/>
    </xf>
    <xf numFmtId="0" fontId="11" fillId="0" borderId="12" xfId="0" applyFont="1" applyFill="1" applyBorder="1" applyAlignment="1">
      <alignment horizontal="left" vertical="top" shrinkToFit="1"/>
    </xf>
    <xf numFmtId="0" fontId="11" fillId="0" borderId="2" xfId="0" applyFont="1" applyFill="1" applyBorder="1" applyAlignment="1">
      <alignment horizontal="left" vertical="center" shrinkToFit="1"/>
    </xf>
    <xf numFmtId="0" fontId="8" fillId="0" borderId="2" xfId="2" applyFill="1" applyBorder="1" applyAlignment="1">
      <alignment horizontal="center" vertical="center" wrapText="1" shrinkToFit="1"/>
    </xf>
    <xf numFmtId="0" fontId="34" fillId="0" borderId="7" xfId="0" applyFont="1" applyFill="1" applyBorder="1" applyAlignment="1">
      <alignment vertical="top" wrapText="1" shrinkToFit="1"/>
    </xf>
    <xf numFmtId="0" fontId="14" fillId="0" borderId="8" xfId="0" applyFont="1" applyFill="1" applyBorder="1" applyAlignment="1">
      <alignment vertical="top" shrinkToFit="1"/>
    </xf>
    <xf numFmtId="0" fontId="14" fillId="0" borderId="9" xfId="0" applyFont="1" applyFill="1" applyBorder="1" applyAlignment="1">
      <alignment vertical="top" shrinkToFit="1"/>
    </xf>
    <xf numFmtId="0" fontId="14" fillId="0" borderId="5" xfId="0" applyFont="1" applyFill="1" applyBorder="1" applyAlignment="1">
      <alignment vertical="top" shrinkToFit="1"/>
    </xf>
    <xf numFmtId="0" fontId="14" fillId="0" borderId="0" xfId="0" applyFont="1" applyFill="1" applyBorder="1" applyAlignment="1">
      <alignment vertical="top" shrinkToFit="1"/>
    </xf>
    <xf numFmtId="0" fontId="14" fillId="0" borderId="10" xfId="0" applyFont="1" applyFill="1" applyBorder="1" applyAlignment="1">
      <alignment vertical="top" shrinkToFit="1"/>
    </xf>
    <xf numFmtId="0" fontId="14" fillId="0" borderId="11" xfId="0" applyFont="1" applyFill="1" applyBorder="1" applyAlignment="1">
      <alignment vertical="top" shrinkToFit="1"/>
    </xf>
    <xf numFmtId="0" fontId="14" fillId="0" borderId="6" xfId="0" applyFont="1" applyFill="1" applyBorder="1" applyAlignment="1">
      <alignment vertical="top" shrinkToFit="1"/>
    </xf>
    <xf numFmtId="0" fontId="14" fillId="0" borderId="12" xfId="0" applyFont="1" applyFill="1" applyBorder="1" applyAlignment="1">
      <alignment vertical="top"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1" fillId="0" borderId="2" xfId="0" applyFont="1" applyBorder="1" applyAlignment="1">
      <alignment horizontal="center" vertical="center"/>
    </xf>
    <xf numFmtId="0" fontId="5" fillId="0" borderId="16" xfId="0" applyFont="1" applyBorder="1" applyAlignment="1">
      <alignment horizontal="left" vertical="center" wrapText="1"/>
    </xf>
    <xf numFmtId="0" fontId="5" fillId="0" borderId="39" xfId="0" applyFont="1" applyBorder="1" applyAlignment="1">
      <alignment horizontal="left" vertical="center" wrapText="1"/>
    </xf>
    <xf numFmtId="0" fontId="5" fillId="0" borderId="13" xfId="0" applyFont="1" applyBorder="1" applyAlignment="1">
      <alignment horizontal="left" vertical="center" wrapText="1"/>
    </xf>
    <xf numFmtId="0" fontId="1" fillId="0" borderId="2" xfId="0" applyFont="1" applyFill="1" applyBorder="1" applyAlignment="1">
      <alignment horizontal="left" vertical="center" wrapText="1" shrinkToFit="1"/>
    </xf>
    <xf numFmtId="0" fontId="4" fillId="0" borderId="3" xfId="0" applyFont="1" applyFill="1" applyBorder="1" applyAlignment="1">
      <alignment horizontal="left" vertical="center" shrinkToFit="1"/>
    </xf>
    <xf numFmtId="0" fontId="4" fillId="0" borderId="4" xfId="0" applyFont="1" applyFill="1" applyBorder="1" applyAlignment="1">
      <alignment horizontal="left" vertical="center" shrinkToFit="1"/>
    </xf>
    <xf numFmtId="0" fontId="14" fillId="0" borderId="2" xfId="0" applyFont="1" applyFill="1" applyBorder="1" applyAlignment="1">
      <alignment horizontal="left" vertical="center" shrinkToFit="1"/>
    </xf>
    <xf numFmtId="0" fontId="14" fillId="0" borderId="3" xfId="0" applyFont="1" applyFill="1" applyBorder="1" applyAlignment="1">
      <alignment horizontal="left" vertical="center" shrinkToFit="1"/>
    </xf>
    <xf numFmtId="0" fontId="14" fillId="0" borderId="4" xfId="0" applyFont="1" applyFill="1" applyBorder="1" applyAlignment="1">
      <alignment horizontal="left" vertical="center" shrinkToFit="1"/>
    </xf>
    <xf numFmtId="0" fontId="11" fillId="0" borderId="2" xfId="0" applyFont="1" applyFill="1" applyBorder="1" applyAlignment="1">
      <alignment vertical="center" shrinkToFit="1"/>
    </xf>
    <xf numFmtId="0" fontId="27" fillId="0" borderId="2" xfId="0" applyFont="1" applyFill="1" applyBorder="1" applyAlignment="1">
      <alignment vertical="center" shrinkToFit="1"/>
    </xf>
    <xf numFmtId="0" fontId="27" fillId="0" borderId="3" xfId="0" applyFont="1" applyFill="1" applyBorder="1" applyAlignment="1">
      <alignment vertical="center" shrinkToFit="1"/>
    </xf>
    <xf numFmtId="0" fontId="27" fillId="0" borderId="4" xfId="0" applyFont="1" applyFill="1" applyBorder="1" applyAlignment="1">
      <alignment vertical="center" shrinkToFit="1"/>
    </xf>
    <xf numFmtId="0" fontId="10" fillId="0" borderId="7" xfId="0" applyFont="1" applyFill="1" applyBorder="1" applyAlignment="1">
      <alignment horizontal="left" vertical="top" wrapText="1" shrinkToFit="1"/>
    </xf>
    <xf numFmtId="0" fontId="10" fillId="0" borderId="8" xfId="0" applyFont="1" applyFill="1" applyBorder="1" applyAlignment="1">
      <alignment horizontal="left" vertical="top" shrinkToFit="1"/>
    </xf>
    <xf numFmtId="0" fontId="10" fillId="0" borderId="9" xfId="0" applyFont="1" applyFill="1" applyBorder="1" applyAlignment="1">
      <alignment horizontal="left" vertical="top" shrinkToFit="1"/>
    </xf>
    <xf numFmtId="0" fontId="10" fillId="0" borderId="5" xfId="0" applyFont="1" applyFill="1" applyBorder="1" applyAlignment="1">
      <alignment horizontal="left" vertical="top" shrinkToFit="1"/>
    </xf>
    <xf numFmtId="0" fontId="10" fillId="0" borderId="0" xfId="0" applyFont="1" applyFill="1" applyBorder="1" applyAlignment="1">
      <alignment horizontal="left" vertical="top" shrinkToFit="1"/>
    </xf>
    <xf numFmtId="0" fontId="10" fillId="0" borderId="10" xfId="0" applyFont="1" applyFill="1" applyBorder="1" applyAlignment="1">
      <alignment horizontal="left" vertical="top" shrinkToFit="1"/>
    </xf>
    <xf numFmtId="0" fontId="10" fillId="0" borderId="11" xfId="0" applyFont="1" applyFill="1" applyBorder="1" applyAlignment="1">
      <alignment horizontal="left" vertical="top" shrinkToFit="1"/>
    </xf>
    <xf numFmtId="0" fontId="10" fillId="0" borderId="6" xfId="0" applyFont="1" applyFill="1" applyBorder="1" applyAlignment="1">
      <alignment horizontal="left" vertical="top" shrinkToFit="1"/>
    </xf>
    <xf numFmtId="0" fontId="10" fillId="0" borderId="12" xfId="0" applyFont="1" applyFill="1" applyBorder="1" applyAlignment="1">
      <alignment horizontal="left" vertical="top" shrinkToFit="1"/>
    </xf>
    <xf numFmtId="0" fontId="33" fillId="0" borderId="2" xfId="0" applyFont="1" applyFill="1" applyBorder="1" applyAlignment="1">
      <alignment horizontal="left" vertical="center" shrinkToFit="1"/>
    </xf>
    <xf numFmtId="0" fontId="33" fillId="0" borderId="3" xfId="0" applyFont="1" applyFill="1" applyBorder="1" applyAlignment="1">
      <alignment horizontal="left" vertical="center" shrinkToFit="1"/>
    </xf>
    <xf numFmtId="0" fontId="33" fillId="0" borderId="4" xfId="0" applyFont="1" applyFill="1" applyBorder="1" applyAlignment="1">
      <alignment horizontal="left" vertical="center" shrinkToFit="1"/>
    </xf>
    <xf numFmtId="0" fontId="27" fillId="0" borderId="7" xfId="0" applyFont="1" applyFill="1" applyBorder="1" applyAlignment="1">
      <alignment vertical="top" wrapText="1" shrinkToFit="1"/>
    </xf>
    <xf numFmtId="0" fontId="10" fillId="0" borderId="8" xfId="0" applyFont="1" applyFill="1" applyBorder="1" applyAlignment="1">
      <alignment vertical="top" shrinkToFit="1"/>
    </xf>
    <xf numFmtId="0" fontId="10" fillId="0" borderId="9" xfId="0" applyFont="1" applyFill="1" applyBorder="1" applyAlignment="1">
      <alignment vertical="top" shrinkToFit="1"/>
    </xf>
    <xf numFmtId="0" fontId="10" fillId="0" borderId="5" xfId="0" applyFont="1" applyFill="1" applyBorder="1" applyAlignment="1">
      <alignment vertical="top" shrinkToFit="1"/>
    </xf>
    <xf numFmtId="0" fontId="10" fillId="0" borderId="0" xfId="0" applyFont="1" applyFill="1" applyBorder="1" applyAlignment="1">
      <alignment vertical="top" shrinkToFit="1"/>
    </xf>
    <xf numFmtId="0" fontId="10" fillId="0" borderId="10" xfId="0" applyFont="1" applyFill="1" applyBorder="1" applyAlignment="1">
      <alignment vertical="top" shrinkToFit="1"/>
    </xf>
    <xf numFmtId="0" fontId="10" fillId="0" borderId="11" xfId="0" applyFont="1" applyFill="1" applyBorder="1" applyAlignment="1">
      <alignment vertical="top" shrinkToFit="1"/>
    </xf>
    <xf numFmtId="0" fontId="10" fillId="0" borderId="6" xfId="0" applyFont="1" applyFill="1" applyBorder="1" applyAlignment="1">
      <alignment vertical="top" shrinkToFit="1"/>
    </xf>
    <xf numFmtId="0" fontId="10" fillId="0" borderId="12" xfId="0" applyFont="1" applyFill="1" applyBorder="1" applyAlignment="1">
      <alignment vertical="top" shrinkToFit="1"/>
    </xf>
    <xf numFmtId="0" fontId="11" fillId="0" borderId="0" xfId="0" applyFont="1" applyFill="1" applyAlignment="1">
      <alignment vertical="center" shrinkToFit="1"/>
    </xf>
    <xf numFmtId="0" fontId="10" fillId="0" borderId="0" xfId="0" applyFont="1" applyFill="1" applyAlignment="1">
      <alignment horizontal="center" vertical="center"/>
    </xf>
    <xf numFmtId="0" fontId="27" fillId="0" borderId="2" xfId="0" applyFont="1" applyFill="1" applyBorder="1" applyAlignment="1">
      <alignment vertical="center" wrapText="1" shrinkToFit="1"/>
    </xf>
    <xf numFmtId="0" fontId="30" fillId="0" borderId="7" xfId="0" applyFont="1" applyFill="1" applyBorder="1" applyAlignment="1">
      <alignment vertical="top" wrapText="1" shrinkToFit="1"/>
    </xf>
    <xf numFmtId="0" fontId="10" fillId="0" borderId="8" xfId="0" applyFont="1" applyFill="1" applyBorder="1" applyAlignment="1">
      <alignment vertical="top" wrapText="1" shrinkToFit="1"/>
    </xf>
    <xf numFmtId="0" fontId="10" fillId="0" borderId="9" xfId="0" applyFont="1" applyFill="1" applyBorder="1" applyAlignment="1">
      <alignment vertical="top" wrapText="1" shrinkToFit="1"/>
    </xf>
    <xf numFmtId="0" fontId="10" fillId="0" borderId="5" xfId="0" applyFont="1" applyFill="1" applyBorder="1" applyAlignment="1">
      <alignment vertical="top" wrapText="1" shrinkToFit="1"/>
    </xf>
    <xf numFmtId="0" fontId="10" fillId="0" borderId="0" xfId="0" applyFont="1" applyFill="1" applyBorder="1" applyAlignment="1">
      <alignment vertical="top" wrapText="1" shrinkToFit="1"/>
    </xf>
    <xf numFmtId="0" fontId="10" fillId="0" borderId="10" xfId="0" applyFont="1" applyFill="1" applyBorder="1" applyAlignment="1">
      <alignment vertical="top" wrapText="1" shrinkToFit="1"/>
    </xf>
    <xf numFmtId="0" fontId="10" fillId="0" borderId="11" xfId="0" applyFont="1" applyFill="1" applyBorder="1" applyAlignment="1">
      <alignment vertical="top" wrapText="1" shrinkToFit="1"/>
    </xf>
    <xf numFmtId="0" fontId="10" fillId="0" borderId="6" xfId="0" applyFont="1" applyFill="1" applyBorder="1" applyAlignment="1">
      <alignment vertical="top" wrapText="1" shrinkToFit="1"/>
    </xf>
    <xf numFmtId="0" fontId="10" fillId="0" borderId="12" xfId="0" applyFont="1" applyFill="1" applyBorder="1" applyAlignment="1">
      <alignment vertical="top" wrapText="1" shrinkToFit="1"/>
    </xf>
    <xf numFmtId="0" fontId="11" fillId="0" borderId="6" xfId="0" applyFont="1" applyFill="1" applyBorder="1" applyAlignment="1">
      <alignment vertical="center"/>
    </xf>
    <xf numFmtId="0" fontId="10" fillId="0" borderId="18" xfId="0" applyFont="1" applyFill="1" applyBorder="1" applyAlignment="1">
      <alignment vertical="center" wrapText="1"/>
    </xf>
    <xf numFmtId="0" fontId="10" fillId="0" borderId="19" xfId="0" applyFont="1" applyFill="1" applyBorder="1" applyAlignment="1">
      <alignment vertical="center" wrapText="1"/>
    </xf>
    <xf numFmtId="0" fontId="10" fillId="0" borderId="20" xfId="0" applyFont="1" applyFill="1" applyBorder="1" applyAlignment="1">
      <alignment vertical="top" wrapText="1" shrinkToFit="1"/>
    </xf>
    <xf numFmtId="0" fontId="10" fillId="0" borderId="21" xfId="0" applyFont="1" applyFill="1" applyBorder="1" applyAlignment="1">
      <alignment vertical="top" wrapText="1" shrinkToFit="1"/>
    </xf>
    <xf numFmtId="0" fontId="10" fillId="0" borderId="19" xfId="0" applyFont="1" applyFill="1" applyBorder="1" applyAlignment="1">
      <alignment vertical="top" wrapText="1" shrinkToFit="1"/>
    </xf>
    <xf numFmtId="0" fontId="10" fillId="0" borderId="0" xfId="0" applyFont="1" applyFill="1" applyAlignment="1">
      <alignment vertical="center" shrinkToFit="1"/>
    </xf>
    <xf numFmtId="0" fontId="38" fillId="0" borderId="0" xfId="0" applyFont="1" applyFill="1" applyAlignment="1">
      <alignment vertical="top" wrapText="1"/>
    </xf>
    <xf numFmtId="0" fontId="10" fillId="0" borderId="18" xfId="0" applyFont="1" applyFill="1" applyBorder="1" applyAlignment="1">
      <alignment vertical="center"/>
    </xf>
    <xf numFmtId="0" fontId="18" fillId="0" borderId="19" xfId="0" applyFont="1" applyFill="1" applyBorder="1" applyAlignment="1">
      <alignment vertical="center"/>
    </xf>
    <xf numFmtId="0" fontId="10" fillId="0" borderId="20" xfId="0" applyFont="1" applyFill="1" applyBorder="1" applyAlignment="1">
      <alignment vertical="center" wrapText="1"/>
    </xf>
    <xf numFmtId="0" fontId="10" fillId="0" borderId="21" xfId="0" applyFont="1" applyFill="1" applyBorder="1" applyAlignment="1">
      <alignment vertical="center" wrapText="1"/>
    </xf>
    <xf numFmtId="0" fontId="10" fillId="0" borderId="11" xfId="0" applyFont="1" applyFill="1" applyBorder="1" applyAlignment="1">
      <alignment vertical="center" wrapText="1"/>
    </xf>
    <xf numFmtId="0" fontId="10" fillId="0" borderId="6" xfId="0" applyFont="1" applyFill="1" applyBorder="1" applyAlignment="1">
      <alignment vertical="center" wrapText="1"/>
    </xf>
    <xf numFmtId="0" fontId="10" fillId="0" borderId="12" xfId="0" applyFont="1" applyFill="1" applyBorder="1" applyAlignment="1">
      <alignment vertical="center" wrapText="1"/>
    </xf>
    <xf numFmtId="0" fontId="39" fillId="0" borderId="2" xfId="2" applyFont="1" applyFill="1" applyBorder="1" applyAlignment="1">
      <alignment horizontal="left" vertical="center" wrapText="1" shrinkToFit="1"/>
    </xf>
    <xf numFmtId="0" fontId="40" fillId="0" borderId="3" xfId="0" applyFont="1" applyFill="1" applyBorder="1" applyAlignment="1">
      <alignment horizontal="left" vertical="center" shrinkToFit="1"/>
    </xf>
    <xf numFmtId="0" fontId="40" fillId="0" borderId="4" xfId="0" applyFont="1" applyFill="1" applyBorder="1" applyAlignment="1">
      <alignment horizontal="left" vertical="center" shrinkToFit="1"/>
    </xf>
    <xf numFmtId="0" fontId="5" fillId="0" borderId="7" xfId="0" applyFont="1" applyBorder="1" applyAlignment="1">
      <alignment vertical="top"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Border="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4" fillId="0" borderId="0" xfId="0" applyFont="1" applyAlignment="1">
      <alignment horizontal="righ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2</xdr:col>
      <xdr:colOff>1369718</xdr:colOff>
      <xdr:row>11</xdr:row>
      <xdr:rowOff>51397</xdr:rowOff>
    </xdr:from>
    <xdr:ext cx="6202657" cy="1939327"/>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512718" y="2385022"/>
          <a:ext cx="6202657" cy="1939327"/>
        </a:xfrm>
        <a:prstGeom prst="rect">
          <a:avLst/>
        </a:prstGeom>
        <a:noFill/>
      </xdr:spPr>
      <xdr:txBody>
        <a:bodyPr wrap="none" lIns="91440" tIns="45720" rIns="91440" bIns="45720">
          <a:noAutofit/>
        </a:bodyPr>
        <a:lstStyle/>
        <a:p>
          <a:pPr algn="l"/>
          <a:r>
            <a:rPr lang="ja-JP" altLang="en-US" sz="1400" b="0" cap="none" spc="0">
              <a:ln w="0"/>
              <a:solidFill>
                <a:srgbClr val="FF0000"/>
              </a:solidFill>
              <a:effectLst>
                <a:outerShdw blurRad="38100" dist="19050" dir="2700000" algn="tl" rotWithShape="0">
                  <a:schemeClr val="dk1">
                    <a:alpha val="40000"/>
                  </a:schemeClr>
                </a:outerShdw>
              </a:effectLst>
            </a:rPr>
            <a:t>　</a:t>
          </a:r>
          <a:r>
            <a:rPr lang="ja-JP" altLang="en-US" sz="1300" b="0" cap="none" spc="0">
              <a:ln w="0"/>
              <a:solidFill>
                <a:srgbClr val="FF0000"/>
              </a:solidFill>
              <a:effectLst>
                <a:outerShdw blurRad="38100" dist="19050" dir="2700000" algn="tl" rotWithShape="0">
                  <a:schemeClr val="dk1">
                    <a:alpha val="40000"/>
                  </a:schemeClr>
                </a:outerShdw>
              </a:effectLst>
            </a:rPr>
            <a:t>　</a:t>
          </a:r>
          <a:r>
            <a:rPr lang="en-US" altLang="ja-JP" sz="1300" b="1" cap="none" spc="0">
              <a:ln w="0"/>
              <a:solidFill>
                <a:srgbClr val="FF0000"/>
              </a:solidFill>
              <a:effectLst>
                <a:outerShdw blurRad="38100" dist="19050" dir="2700000" algn="tl" rotWithShape="0">
                  <a:schemeClr val="dk1">
                    <a:alpha val="40000"/>
                  </a:schemeClr>
                </a:outerShdw>
              </a:effectLst>
            </a:rPr>
            <a:t>※</a:t>
          </a:r>
          <a:r>
            <a:rPr lang="ja-JP" altLang="en-US" sz="1300" b="1" cap="none" spc="0">
              <a:ln w="0"/>
              <a:solidFill>
                <a:srgbClr val="FF0000"/>
              </a:solidFill>
              <a:effectLst>
                <a:outerShdw blurRad="38100" dist="19050" dir="2700000" algn="tl" rotWithShape="0">
                  <a:schemeClr val="dk1">
                    <a:alpha val="40000"/>
                  </a:schemeClr>
                </a:outerShdw>
              </a:effectLst>
            </a:rPr>
            <a:t>このプログラムでは、必修科目に加えて、選択科目である「現代社会と科学」</a:t>
          </a:r>
          <a:endParaRPr lang="en-US" altLang="ja-JP" sz="1300" b="1" cap="none" spc="0">
            <a:ln w="0"/>
            <a:solidFill>
              <a:srgbClr val="FF0000"/>
            </a:solidFill>
            <a:effectLst>
              <a:outerShdw blurRad="38100" dist="19050" dir="2700000" algn="tl" rotWithShape="0">
                <a:schemeClr val="dk1">
                  <a:alpha val="40000"/>
                </a:schemeClr>
              </a:outerShdw>
            </a:effectLst>
          </a:endParaRPr>
        </a:p>
        <a:p>
          <a:pPr algn="l"/>
          <a:r>
            <a:rPr lang="ja-JP" altLang="en-US" sz="1300" b="1" cap="none" spc="0">
              <a:ln w="0"/>
              <a:solidFill>
                <a:srgbClr val="FF0000"/>
              </a:solidFill>
              <a:effectLst>
                <a:outerShdw blurRad="38100" dist="19050" dir="2700000" algn="tl" rotWithShape="0">
                  <a:schemeClr val="dk1">
                    <a:alpha val="40000"/>
                  </a:schemeClr>
                </a:outerShdw>
              </a:effectLst>
            </a:rPr>
            <a:t>　　</a:t>
          </a:r>
          <a:r>
            <a:rPr lang="ja-JP" altLang="en-US" sz="1300" b="1" cap="none" spc="0" baseline="0">
              <a:ln w="0"/>
              <a:solidFill>
                <a:srgbClr val="FF0000"/>
              </a:solidFill>
              <a:effectLst>
                <a:outerShdw blurRad="38100" dist="19050" dir="2700000" algn="tl" rotWithShape="0">
                  <a:schemeClr val="dk1">
                    <a:alpha val="40000"/>
                  </a:schemeClr>
                </a:outerShdw>
              </a:effectLst>
            </a:rPr>
            <a:t>    </a:t>
          </a:r>
          <a:r>
            <a:rPr lang="ja-JP" altLang="en-US" sz="1300" b="1" cap="none" spc="0">
              <a:ln w="0"/>
              <a:solidFill>
                <a:srgbClr val="FF0000"/>
              </a:solidFill>
              <a:effectLst>
                <a:outerShdw blurRad="38100" dist="19050" dir="2700000" algn="tl" rotWithShape="0">
                  <a:schemeClr val="dk1">
                    <a:alpha val="40000"/>
                  </a:schemeClr>
                </a:outerShdw>
              </a:effectLst>
            </a:rPr>
            <a:t>および「医療イノベーションの基礎」が修了要件となるので、その履修者数を</a:t>
          </a:r>
          <a:endParaRPr lang="en-US" altLang="ja-JP" sz="1300" b="1" cap="none" spc="0">
            <a:ln w="0"/>
            <a:solidFill>
              <a:srgbClr val="FF0000"/>
            </a:solidFill>
            <a:effectLst>
              <a:outerShdw blurRad="38100" dist="19050" dir="2700000" algn="tl" rotWithShape="0">
                <a:schemeClr val="dk1">
                  <a:alpha val="40000"/>
                </a:schemeClr>
              </a:outerShdw>
            </a:effectLst>
          </a:endParaRPr>
        </a:p>
        <a:p>
          <a:pPr algn="l"/>
          <a:r>
            <a:rPr lang="ja-JP" altLang="en-US" sz="1300" b="1" cap="none" spc="0">
              <a:ln w="0"/>
              <a:solidFill>
                <a:srgbClr val="FF0000"/>
              </a:solidFill>
              <a:effectLst>
                <a:outerShdw blurRad="38100" dist="19050" dir="2700000" algn="tl" rotWithShape="0">
                  <a:schemeClr val="dk1">
                    <a:alpha val="40000"/>
                  </a:schemeClr>
                </a:outerShdw>
              </a:effectLst>
            </a:rPr>
            <a:t>　　　 計上した。</a:t>
          </a:r>
          <a:endParaRPr lang="en-US" altLang="ja-JP" sz="1300" b="1" cap="none" spc="0">
            <a:ln w="0"/>
            <a:solidFill>
              <a:srgbClr val="FF0000"/>
            </a:solidFill>
            <a:effectLst>
              <a:outerShdw blurRad="38100" dist="19050" dir="2700000" algn="tl" rotWithShape="0">
                <a:schemeClr val="dk1">
                  <a:alpha val="40000"/>
                </a:schemeClr>
              </a:outerShdw>
            </a:effectLst>
          </a:endParaRPr>
        </a:p>
        <a:p>
          <a:pPr algn="l"/>
          <a:r>
            <a:rPr lang="ja-JP" altLang="en-US" sz="1300" b="1" cap="none" spc="0">
              <a:ln w="0"/>
              <a:solidFill>
                <a:srgbClr val="FF0000"/>
              </a:solidFill>
              <a:effectLst>
                <a:outerShdw blurRad="38100" dist="19050" dir="2700000" algn="tl" rotWithShape="0">
                  <a:schemeClr val="dk1">
                    <a:alpha val="40000"/>
                  </a:schemeClr>
                </a:outerShdw>
              </a:effectLst>
            </a:rPr>
            <a:t>　　　　 なお、「医療イノベーションの基礎」は、医学科は令和元年度からの開講、</a:t>
          </a:r>
          <a:endParaRPr lang="en-US" altLang="ja-JP" sz="1300" b="1" cap="none" spc="0">
            <a:ln w="0"/>
            <a:solidFill>
              <a:srgbClr val="FF0000"/>
            </a:solidFill>
            <a:effectLst>
              <a:outerShdw blurRad="38100" dist="19050" dir="2700000" algn="tl" rotWithShape="0">
                <a:schemeClr val="dk1">
                  <a:alpha val="40000"/>
                </a:schemeClr>
              </a:outerShdw>
            </a:effectLst>
          </a:endParaRPr>
        </a:p>
        <a:p>
          <a:pPr algn="l"/>
          <a:r>
            <a:rPr lang="ja-JP" altLang="en-US" sz="1300" b="1" cap="none" spc="0">
              <a:ln w="0"/>
              <a:solidFill>
                <a:srgbClr val="FF0000"/>
              </a:solidFill>
              <a:effectLst>
                <a:outerShdw blurRad="38100" dist="19050" dir="2700000" algn="tl" rotWithShape="0">
                  <a:schemeClr val="dk1">
                    <a:alpha val="40000"/>
                  </a:schemeClr>
                </a:outerShdw>
              </a:effectLst>
            </a:rPr>
            <a:t>　　　 看護学科は令和</a:t>
          </a:r>
          <a:r>
            <a:rPr lang="en-US" altLang="ja-JP" sz="1300" b="1" cap="none" spc="0">
              <a:ln w="0"/>
              <a:solidFill>
                <a:srgbClr val="FF0000"/>
              </a:solidFill>
              <a:effectLst>
                <a:outerShdw blurRad="38100" dist="19050" dir="2700000" algn="tl" rotWithShape="0">
                  <a:schemeClr val="dk1">
                    <a:alpha val="40000"/>
                  </a:schemeClr>
                </a:outerShdw>
              </a:effectLst>
            </a:rPr>
            <a:t>2</a:t>
          </a:r>
          <a:r>
            <a:rPr lang="ja-JP" altLang="en-US" sz="1300" b="1" cap="none" spc="0">
              <a:ln w="0"/>
              <a:solidFill>
                <a:srgbClr val="FF0000"/>
              </a:solidFill>
              <a:effectLst>
                <a:outerShdw blurRad="38100" dist="19050" dir="2700000" algn="tl" rotWithShape="0">
                  <a:schemeClr val="dk1">
                    <a:alpha val="40000"/>
                  </a:schemeClr>
                </a:outerShdw>
              </a:effectLst>
            </a:rPr>
            <a:t>年度からの開講であるため、それ以前の履修者は 存在</a:t>
          </a:r>
          <a:endParaRPr lang="en-US" altLang="ja-JP" sz="1300" b="1" cap="none" spc="0">
            <a:ln w="0"/>
            <a:solidFill>
              <a:srgbClr val="FF0000"/>
            </a:solidFill>
            <a:effectLst>
              <a:outerShdw blurRad="38100" dist="19050" dir="2700000" algn="tl" rotWithShape="0">
                <a:schemeClr val="dk1">
                  <a:alpha val="40000"/>
                </a:schemeClr>
              </a:outerShdw>
            </a:effectLst>
          </a:endParaRPr>
        </a:p>
        <a:p>
          <a:pPr algn="l"/>
          <a:r>
            <a:rPr lang="ja-JP" altLang="en-US" sz="1300" b="1" cap="none" spc="0">
              <a:ln w="0"/>
              <a:solidFill>
                <a:srgbClr val="FF0000"/>
              </a:solidFill>
              <a:effectLst>
                <a:outerShdw blurRad="38100" dist="19050" dir="2700000" algn="tl" rotWithShape="0">
                  <a:schemeClr val="dk1">
                    <a:alpha val="40000"/>
                  </a:schemeClr>
                </a:outerShdw>
              </a:effectLst>
            </a:rPr>
            <a:t>　　　</a:t>
          </a:r>
          <a:r>
            <a:rPr lang="ja-JP" altLang="en-US" sz="1300" b="1" cap="none" spc="0" baseline="0">
              <a:ln w="0"/>
              <a:solidFill>
                <a:srgbClr val="FF0000"/>
              </a:solidFill>
              <a:effectLst>
                <a:outerShdw blurRad="38100" dist="19050" dir="2700000" algn="tl" rotWithShape="0">
                  <a:schemeClr val="dk1">
                    <a:alpha val="40000"/>
                  </a:schemeClr>
                </a:outerShdw>
              </a:effectLst>
            </a:rPr>
            <a:t>  </a:t>
          </a:r>
          <a:r>
            <a:rPr lang="ja-JP" altLang="en-US" sz="1300" b="1" cap="none" spc="0">
              <a:ln w="0"/>
              <a:solidFill>
                <a:srgbClr val="FF0000"/>
              </a:solidFill>
              <a:effectLst>
                <a:outerShdw blurRad="38100" dist="19050" dir="2700000" algn="tl" rotWithShape="0">
                  <a:schemeClr val="dk1">
                    <a:alpha val="40000"/>
                  </a:schemeClr>
                </a:outerShdw>
              </a:effectLst>
            </a:rPr>
            <a:t>しません。</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257175</xdr:colOff>
      <xdr:row>7</xdr:row>
      <xdr:rowOff>123825</xdr:rowOff>
    </xdr:from>
    <xdr:to>
      <xdr:col>5</xdr:col>
      <xdr:colOff>323849</xdr:colOff>
      <xdr:row>11</xdr:row>
      <xdr:rowOff>161925</xdr:rowOff>
    </xdr:to>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447675" y="1504950"/>
          <a:ext cx="5772149"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分かりやすさ、学習意欲が高まる内容、学生の習熟度や専門性を踏まえた学習内容、学生の習熟度や専門性に応じた授業選択など、具体的に記載してください。（</a:t>
          </a:r>
          <a:r>
            <a:rPr lang="en-US" altLang="ja-JP" sz="1100">
              <a:solidFill>
                <a:srgbClr val="FF0000"/>
              </a:solidFill>
              <a:effectLst/>
              <a:latin typeface="游ゴシック" panose="020B0400000000000000" pitchFamily="50" charset="-128"/>
              <a:ea typeface="游ゴシック" panose="020B0400000000000000" pitchFamily="50" charset="-128"/>
              <a:cs typeface="+mn-cs"/>
            </a:rPr>
            <a:t>800</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字以内）</a:t>
          </a:r>
          <a:endParaRPr kumimoji="1" lang="ja-JP" altLang="en-US" sz="1100">
            <a:solidFill>
              <a:srgbClr val="FF0000"/>
            </a:solidFill>
            <a:latin typeface="游ゴシック" panose="020B0400000000000000" pitchFamily="50" charset="-128"/>
            <a:ea typeface="游ゴシック" panose="020B0400000000000000" pitchFamily="50" charset="-128"/>
          </a:endParaRPr>
        </a:p>
      </xdr:txBody>
    </xdr:sp>
    <xdr:clientData/>
  </xdr:twoCellAnchor>
  <xdr:twoCellAnchor>
    <xdr:from>
      <xdr:col>1</xdr:col>
      <xdr:colOff>266700</xdr:colOff>
      <xdr:row>46</xdr:row>
      <xdr:rowOff>114300</xdr:rowOff>
    </xdr:from>
    <xdr:to>
      <xdr:col>5</xdr:col>
      <xdr:colOff>333374</xdr:colOff>
      <xdr:row>50</xdr:row>
      <xdr:rowOff>152400</xdr:rowOff>
    </xdr:to>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457200" y="10782300"/>
          <a:ext cx="5772149"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学習支援システムの構築、補完的な教育の実施、インターンシップ先での実践やＴＡとしての指導、学修成果の可視化等の導入など、具体的に記載してください。（</a:t>
          </a:r>
          <a:r>
            <a:rPr lang="en-US" altLang="ja-JP" sz="1100">
              <a:solidFill>
                <a:srgbClr val="FF0000"/>
              </a:solidFill>
              <a:effectLst/>
              <a:latin typeface="游ゴシック" panose="020B0400000000000000" pitchFamily="50" charset="-128"/>
              <a:ea typeface="游ゴシック" panose="020B0400000000000000" pitchFamily="50" charset="-128"/>
              <a:cs typeface="+mn-cs"/>
            </a:rPr>
            <a:t>800</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字以内）</a:t>
          </a:r>
          <a:endParaRPr kumimoji="1" lang="ja-JP" altLang="en-US" sz="1100">
            <a:solidFill>
              <a:srgbClr val="FF0000"/>
            </a:solidFill>
            <a:latin typeface="游ゴシック" panose="020B0400000000000000" pitchFamily="50" charset="-128"/>
            <a:ea typeface="游ゴシック" panose="020B0400000000000000" pitchFamily="50" charset="-128"/>
          </a:endParaRPr>
        </a:p>
      </xdr:txBody>
    </xdr:sp>
    <xdr:clientData/>
  </xdr:twoCellAnchor>
  <xdr:twoCellAnchor>
    <xdr:from>
      <xdr:col>1</xdr:col>
      <xdr:colOff>247650</xdr:colOff>
      <xdr:row>89</xdr:row>
      <xdr:rowOff>38100</xdr:rowOff>
    </xdr:from>
    <xdr:to>
      <xdr:col>5</xdr:col>
      <xdr:colOff>314324</xdr:colOff>
      <xdr:row>93</xdr:row>
      <xdr:rowOff>76200</xdr:rowOff>
    </xdr:to>
    <xdr:sp macro="" textlink="">
      <xdr:nvSpPr>
        <xdr:cNvPr id="6" name="テキスト ボックス 5">
          <a:extLst>
            <a:ext uri="{FF2B5EF4-FFF2-40B4-BE49-F238E27FC236}">
              <a16:creationId xmlns:a16="http://schemas.microsoft.com/office/drawing/2014/main" id="{00000000-0008-0000-0800-000006000000}"/>
            </a:ext>
          </a:extLst>
        </xdr:cNvPr>
        <xdr:cNvSpPr txBox="1"/>
      </xdr:nvSpPr>
      <xdr:spPr>
        <a:xfrm>
          <a:off x="438150" y="20945475"/>
          <a:ext cx="5772149"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ja-JP" altLang="en-US" sz="1100">
              <a:solidFill>
                <a:srgbClr val="FF0000"/>
              </a:solidFill>
              <a:effectLst/>
              <a:latin typeface="游ゴシック" panose="020B0400000000000000" pitchFamily="50" charset="-128"/>
              <a:ea typeface="游ゴシック" panose="020B0400000000000000" pitchFamily="50" charset="-128"/>
              <a:cs typeface="+mn-cs"/>
            </a:rPr>
            <a:t>地域連携や産業界との連携、海外の大学等との連携など、具体的に記載してください。（</a:t>
          </a:r>
          <a:r>
            <a:rPr lang="en-US" altLang="ja-JP" sz="1100">
              <a:solidFill>
                <a:srgbClr val="FF0000"/>
              </a:solidFill>
              <a:effectLst/>
              <a:latin typeface="游ゴシック" panose="020B0400000000000000" pitchFamily="50" charset="-128"/>
              <a:ea typeface="游ゴシック" panose="020B0400000000000000" pitchFamily="50" charset="-128"/>
              <a:cs typeface="+mn-cs"/>
            </a:rPr>
            <a:t>800</a:t>
          </a:r>
          <a:r>
            <a:rPr lang="ja-JP" altLang="en-US" sz="1100">
              <a:solidFill>
                <a:srgbClr val="FF0000"/>
              </a:solidFill>
              <a:effectLst/>
              <a:latin typeface="游ゴシック" panose="020B0400000000000000" pitchFamily="50" charset="-128"/>
              <a:ea typeface="游ゴシック" panose="020B0400000000000000" pitchFamily="50" charset="-128"/>
              <a:cs typeface="+mn-cs"/>
            </a:rPr>
            <a:t>字以内）</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qgkikak@belle.shiga-med.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higa-med.ac.jp/education-and-support/distinctive-program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higa-med.ac.jp/education-and-support/distinctive-program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shiga-med.ac.jp/education-and-support/distinctive-programs"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5"/>
  <sheetViews>
    <sheetView tabSelected="1" zoomScaleNormal="100" workbookViewId="0"/>
  </sheetViews>
  <sheetFormatPr defaultColWidth="9" defaultRowHeight="18.75" customHeight="1"/>
  <cols>
    <col min="1" max="1" width="2.5" style="8" customWidth="1"/>
    <col min="2" max="2" width="12.5" style="8" customWidth="1"/>
    <col min="3" max="8" width="6.125" style="8" customWidth="1"/>
    <col min="9" max="9" width="2.5" style="8" customWidth="1"/>
    <col min="10" max="10" width="10" style="8" customWidth="1"/>
    <col min="11" max="11" width="2.5" style="8" customWidth="1"/>
    <col min="12" max="12" width="7.5" style="8" customWidth="1"/>
    <col min="13" max="13" width="2.5" style="8" customWidth="1"/>
    <col min="14" max="14" width="7.5" style="8" customWidth="1"/>
    <col min="15" max="16384" width="9" style="8"/>
  </cols>
  <sheetData>
    <row r="1" spans="1:14" ht="22.5" customHeight="1">
      <c r="M1" s="171" t="s">
        <v>26</v>
      </c>
      <c r="N1" s="171"/>
    </row>
    <row r="2" spans="1:14" ht="22.5" customHeight="1">
      <c r="A2" s="172" t="s">
        <v>107</v>
      </c>
      <c r="B2" s="172"/>
      <c r="C2" s="172"/>
      <c r="D2" s="172"/>
      <c r="E2" s="172"/>
      <c r="F2" s="172"/>
      <c r="G2" s="172"/>
      <c r="H2" s="172"/>
      <c r="I2" s="172"/>
      <c r="J2" s="172"/>
      <c r="K2" s="172"/>
      <c r="L2" s="172"/>
      <c r="M2" s="172"/>
      <c r="N2" s="172"/>
    </row>
    <row r="3" spans="1:14" ht="22.5" customHeight="1"/>
    <row r="4" spans="1:14" ht="22.5" customHeight="1">
      <c r="A4" s="8" t="s">
        <v>254</v>
      </c>
      <c r="B4" s="10" t="s">
        <v>19</v>
      </c>
      <c r="C4" s="173" t="s">
        <v>111</v>
      </c>
      <c r="D4" s="174"/>
      <c r="E4" s="174"/>
      <c r="F4" s="174"/>
      <c r="G4" s="174"/>
      <c r="H4" s="174"/>
      <c r="I4" s="174"/>
      <c r="J4" s="174"/>
      <c r="K4" s="174"/>
      <c r="L4" s="174"/>
      <c r="M4" s="174"/>
      <c r="N4" s="175"/>
    </row>
    <row r="5" spans="1:14" ht="7.5" customHeight="1">
      <c r="B5" s="10"/>
      <c r="C5" s="10"/>
      <c r="D5" s="10"/>
      <c r="E5" s="11"/>
      <c r="F5" s="88"/>
      <c r="G5" s="88"/>
      <c r="H5" s="88"/>
      <c r="I5" s="88"/>
      <c r="J5" s="88"/>
      <c r="K5" s="88"/>
      <c r="L5" s="88"/>
      <c r="M5" s="88"/>
      <c r="N5" s="88"/>
    </row>
    <row r="6" spans="1:14" ht="22.5" customHeight="1">
      <c r="A6" s="8" t="s">
        <v>255</v>
      </c>
      <c r="B6" s="10" t="s">
        <v>52</v>
      </c>
      <c r="C6" s="10"/>
      <c r="D6" s="176" t="s">
        <v>313</v>
      </c>
      <c r="E6" s="177"/>
      <c r="F6" s="177"/>
      <c r="G6" s="177"/>
      <c r="H6" s="177"/>
      <c r="I6" s="177"/>
      <c r="J6" s="177"/>
      <c r="K6" s="177"/>
      <c r="L6" s="177"/>
      <c r="M6" s="177"/>
      <c r="N6" s="178"/>
    </row>
    <row r="7" spans="1:14" ht="7.5" customHeight="1">
      <c r="B7" s="10"/>
      <c r="C7" s="10"/>
      <c r="D7" s="10"/>
      <c r="E7" s="11"/>
      <c r="F7" s="88"/>
      <c r="G7" s="88"/>
      <c r="H7" s="88"/>
      <c r="I7" s="88"/>
      <c r="J7" s="88"/>
      <c r="K7" s="88"/>
      <c r="L7" s="88"/>
      <c r="M7" s="88"/>
      <c r="N7" s="88"/>
    </row>
    <row r="8" spans="1:14" ht="22.5" customHeight="1">
      <c r="A8" s="12" t="s">
        <v>256</v>
      </c>
      <c r="B8" s="13" t="s">
        <v>53</v>
      </c>
      <c r="C8" s="173" t="s">
        <v>112</v>
      </c>
      <c r="D8" s="174"/>
      <c r="E8" s="175"/>
      <c r="F8" s="88"/>
      <c r="G8" s="179"/>
      <c r="H8" s="180"/>
      <c r="I8" s="180"/>
      <c r="J8" s="180"/>
      <c r="K8" s="180"/>
      <c r="L8" s="180"/>
      <c r="M8" s="180"/>
      <c r="N8" s="180"/>
    </row>
    <row r="9" spans="1:14" ht="7.5" customHeight="1">
      <c r="B9" s="10"/>
      <c r="C9" s="10"/>
      <c r="D9" s="10"/>
      <c r="E9" s="11"/>
      <c r="F9" s="88"/>
      <c r="G9" s="88"/>
      <c r="H9" s="88"/>
      <c r="I9" s="88"/>
      <c r="J9" s="88"/>
      <c r="K9" s="88"/>
      <c r="L9" s="88"/>
      <c r="M9" s="88"/>
      <c r="N9" s="88"/>
    </row>
    <row r="10" spans="1:14" ht="22.5" customHeight="1">
      <c r="A10" s="8" t="s">
        <v>16</v>
      </c>
      <c r="B10" s="10" t="s">
        <v>257</v>
      </c>
      <c r="C10" s="173" t="s">
        <v>117</v>
      </c>
      <c r="D10" s="174"/>
      <c r="E10" s="174"/>
      <c r="F10" s="174"/>
      <c r="G10" s="174"/>
      <c r="H10" s="174"/>
      <c r="I10" s="174"/>
      <c r="J10" s="174"/>
      <c r="K10" s="174"/>
      <c r="L10" s="174"/>
      <c r="M10" s="174"/>
      <c r="N10" s="175"/>
    </row>
    <row r="11" spans="1:14" ht="7.5" customHeight="1">
      <c r="B11" s="10"/>
      <c r="C11" s="10"/>
      <c r="D11" s="10"/>
      <c r="E11" s="11"/>
      <c r="F11" s="88"/>
      <c r="G11" s="88"/>
      <c r="H11" s="88"/>
      <c r="I11" s="88"/>
      <c r="J11" s="88"/>
      <c r="K11" s="88"/>
      <c r="L11" s="88"/>
      <c r="M11" s="88"/>
      <c r="N11" s="88"/>
    </row>
    <row r="12" spans="1:14" ht="22.5" customHeight="1">
      <c r="A12" s="8" t="s">
        <v>258</v>
      </c>
      <c r="B12" s="10" t="s">
        <v>103</v>
      </c>
      <c r="C12" s="10"/>
      <c r="D12" s="10"/>
      <c r="E12" s="50"/>
      <c r="F12" s="51"/>
      <c r="G12" s="181" t="s">
        <v>201</v>
      </c>
      <c r="H12" s="182"/>
      <c r="I12" s="182"/>
      <c r="J12" s="182"/>
      <c r="K12" s="182"/>
      <c r="L12" s="182"/>
      <c r="M12" s="182"/>
      <c r="N12" s="183"/>
    </row>
    <row r="13" spans="1:14" ht="7.5" customHeight="1">
      <c r="B13" s="11"/>
      <c r="C13" s="11"/>
      <c r="D13" s="11"/>
      <c r="E13" s="11"/>
      <c r="F13" s="88"/>
      <c r="G13" s="88"/>
      <c r="H13" s="88"/>
      <c r="I13" s="88"/>
      <c r="J13" s="88"/>
      <c r="K13" s="88"/>
      <c r="L13" s="88"/>
      <c r="M13" s="88"/>
      <c r="N13" s="88"/>
    </row>
    <row r="14" spans="1:14" ht="22.5" customHeight="1">
      <c r="A14" s="8" t="s">
        <v>259</v>
      </c>
      <c r="B14" s="11" t="s">
        <v>57</v>
      </c>
      <c r="C14" s="11"/>
      <c r="D14" s="11"/>
      <c r="E14" s="11"/>
      <c r="F14" s="176">
        <v>2019</v>
      </c>
      <c r="G14" s="177"/>
      <c r="H14" s="178"/>
      <c r="I14" s="88"/>
      <c r="J14" s="88"/>
      <c r="K14" s="88"/>
      <c r="L14" s="88"/>
      <c r="M14" s="88"/>
      <c r="N14" s="88"/>
    </row>
    <row r="15" spans="1:14" ht="7.5" customHeight="1">
      <c r="B15" s="11"/>
      <c r="C15" s="11"/>
      <c r="D15" s="11"/>
      <c r="E15" s="11"/>
      <c r="F15" s="88"/>
      <c r="G15" s="88"/>
      <c r="H15" s="88"/>
      <c r="I15" s="88"/>
      <c r="J15" s="88"/>
      <c r="K15" s="88"/>
      <c r="L15" s="88"/>
      <c r="M15" s="88"/>
      <c r="N15" s="88"/>
    </row>
    <row r="16" spans="1:14" ht="22.5" customHeight="1">
      <c r="A16" s="8" t="s">
        <v>260</v>
      </c>
      <c r="B16" s="25" t="s">
        <v>0</v>
      </c>
      <c r="C16" s="184" t="s">
        <v>6</v>
      </c>
      <c r="D16" s="185"/>
      <c r="E16" s="186">
        <v>369</v>
      </c>
      <c r="F16" s="187"/>
      <c r="G16" s="97" t="s">
        <v>10</v>
      </c>
      <c r="H16" s="25"/>
      <c r="I16" s="184" t="s">
        <v>11</v>
      </c>
      <c r="J16" s="185"/>
      <c r="K16" s="186">
        <v>287</v>
      </c>
      <c r="L16" s="188"/>
      <c r="M16" s="187"/>
      <c r="N16" s="98" t="s">
        <v>10</v>
      </c>
    </row>
    <row r="17" spans="1:15" ht="7.5" customHeight="1">
      <c r="B17" s="25"/>
      <c r="C17" s="25"/>
      <c r="D17" s="25"/>
      <c r="E17" s="25"/>
      <c r="F17" s="99"/>
      <c r="G17" s="99"/>
      <c r="H17" s="99"/>
      <c r="I17" s="99"/>
      <c r="J17" s="99"/>
      <c r="K17" s="99"/>
      <c r="L17" s="99"/>
      <c r="M17" s="98"/>
      <c r="N17" s="98"/>
    </row>
    <row r="18" spans="1:15" ht="22.5" customHeight="1">
      <c r="A18" s="8" t="s">
        <v>261</v>
      </c>
      <c r="B18" s="25" t="s">
        <v>74</v>
      </c>
      <c r="C18" s="25"/>
      <c r="D18" s="25"/>
      <c r="E18" s="25"/>
      <c r="F18" s="99"/>
      <c r="G18" s="99"/>
      <c r="H18" s="99"/>
      <c r="I18" s="99"/>
      <c r="J18" s="99"/>
      <c r="K18" s="189">
        <v>192</v>
      </c>
      <c r="L18" s="190"/>
      <c r="M18" s="191"/>
      <c r="N18" s="98" t="s">
        <v>10</v>
      </c>
    </row>
    <row r="19" spans="1:15" ht="7.5" customHeight="1">
      <c r="B19" s="25"/>
      <c r="C19" s="25"/>
      <c r="D19" s="25"/>
      <c r="E19" s="25"/>
      <c r="F19" s="99"/>
      <c r="G19" s="99"/>
      <c r="H19" s="99"/>
      <c r="I19" s="99"/>
      <c r="J19" s="99"/>
      <c r="K19" s="99"/>
      <c r="L19" s="99"/>
      <c r="M19" s="98"/>
      <c r="N19" s="98"/>
    </row>
    <row r="20" spans="1:15" ht="22.5" customHeight="1">
      <c r="A20" s="8" t="s">
        <v>262</v>
      </c>
      <c r="B20" s="25" t="s">
        <v>100</v>
      </c>
      <c r="C20" s="25"/>
      <c r="D20" s="25"/>
      <c r="E20" s="186">
        <v>180</v>
      </c>
      <c r="F20" s="187"/>
      <c r="G20" s="100" t="s">
        <v>24</v>
      </c>
      <c r="H20" s="99"/>
      <c r="I20" s="25"/>
      <c r="J20" s="25"/>
      <c r="K20" s="192"/>
      <c r="L20" s="192"/>
      <c r="M20" s="192"/>
      <c r="N20" s="192"/>
    </row>
    <row r="21" spans="1:15" ht="7.5" customHeight="1">
      <c r="B21" s="25"/>
      <c r="C21" s="25"/>
      <c r="D21" s="25"/>
      <c r="E21" s="101"/>
      <c r="F21" s="99"/>
      <c r="G21" s="99"/>
      <c r="H21" s="25"/>
      <c r="I21" s="25"/>
      <c r="J21" s="25"/>
      <c r="K21" s="25"/>
      <c r="L21" s="102"/>
      <c r="M21" s="102"/>
      <c r="N21" s="103"/>
    </row>
    <row r="22" spans="1:15" ht="22.5" customHeight="1">
      <c r="A22" s="8" t="s">
        <v>263</v>
      </c>
      <c r="B22" s="25" t="s">
        <v>101</v>
      </c>
      <c r="C22" s="25"/>
      <c r="D22" s="25"/>
      <c r="E22" s="101"/>
      <c r="F22" s="99"/>
      <c r="G22" s="99"/>
      <c r="H22" s="25" t="s">
        <v>54</v>
      </c>
      <c r="I22" s="25"/>
      <c r="J22" s="193">
        <v>955</v>
      </c>
      <c r="K22" s="194"/>
      <c r="L22" s="195"/>
      <c r="M22" s="102" t="s">
        <v>10</v>
      </c>
      <c r="N22" s="103"/>
    </row>
    <row r="23" spans="1:15" ht="7.5" customHeight="1">
      <c r="B23" s="25"/>
      <c r="C23" s="25"/>
      <c r="D23" s="25"/>
      <c r="E23" s="101"/>
      <c r="F23" s="99"/>
      <c r="G23" s="99"/>
      <c r="H23" s="25"/>
      <c r="I23" s="25"/>
      <c r="J23" s="25"/>
      <c r="K23" s="25"/>
      <c r="L23" s="102"/>
      <c r="M23" s="102"/>
      <c r="N23" s="103"/>
    </row>
    <row r="24" spans="1:15" ht="22.5" customHeight="1">
      <c r="B24" s="104" t="s">
        <v>20</v>
      </c>
      <c r="C24" s="186">
        <v>159</v>
      </c>
      <c r="D24" s="187"/>
      <c r="E24" s="101" t="s">
        <v>10</v>
      </c>
      <c r="F24" s="99"/>
      <c r="G24" s="196" t="s">
        <v>21</v>
      </c>
      <c r="H24" s="196"/>
      <c r="I24" s="186">
        <v>189</v>
      </c>
      <c r="J24" s="187"/>
      <c r="K24" s="105" t="s">
        <v>10</v>
      </c>
      <c r="L24" s="25"/>
      <c r="M24" s="102"/>
      <c r="N24" s="103"/>
      <c r="O24" s="9"/>
    </row>
    <row r="25" spans="1:15" ht="7.5" customHeight="1">
      <c r="B25" s="104"/>
      <c r="C25" s="106"/>
      <c r="D25" s="106"/>
      <c r="E25" s="101"/>
      <c r="F25" s="99"/>
      <c r="G25" s="102"/>
      <c r="H25" s="102"/>
      <c r="I25" s="106"/>
      <c r="J25" s="106"/>
      <c r="K25" s="105"/>
      <c r="L25" s="25"/>
      <c r="M25" s="102"/>
      <c r="N25" s="103"/>
      <c r="O25" s="9"/>
    </row>
    <row r="26" spans="1:15" ht="22.5" customHeight="1">
      <c r="B26" s="104" t="s">
        <v>22</v>
      </c>
      <c r="C26" s="186">
        <v>185</v>
      </c>
      <c r="D26" s="187"/>
      <c r="E26" s="101" t="s">
        <v>10</v>
      </c>
      <c r="F26" s="99"/>
      <c r="G26" s="196" t="s">
        <v>23</v>
      </c>
      <c r="H26" s="196"/>
      <c r="I26" s="186">
        <v>176</v>
      </c>
      <c r="J26" s="187"/>
      <c r="K26" s="105" t="s">
        <v>10</v>
      </c>
      <c r="L26" s="25"/>
      <c r="M26" s="102"/>
      <c r="N26" s="103"/>
    </row>
    <row r="27" spans="1:15" ht="7.5" customHeight="1">
      <c r="B27" s="104"/>
      <c r="C27" s="106"/>
      <c r="D27" s="106"/>
      <c r="E27" s="101"/>
      <c r="F27" s="99"/>
      <c r="G27" s="102"/>
      <c r="H27" s="102"/>
      <c r="I27" s="106"/>
      <c r="J27" s="106"/>
      <c r="K27" s="105"/>
      <c r="L27" s="25"/>
      <c r="M27" s="102"/>
      <c r="N27" s="103"/>
    </row>
    <row r="28" spans="1:15" ht="22.5" customHeight="1">
      <c r="B28" s="104" t="s">
        <v>50</v>
      </c>
      <c r="C28" s="186">
        <v>119</v>
      </c>
      <c r="D28" s="187"/>
      <c r="E28" s="101" t="s">
        <v>10</v>
      </c>
      <c r="F28" s="99"/>
      <c r="G28" s="196" t="s">
        <v>51</v>
      </c>
      <c r="H28" s="196"/>
      <c r="I28" s="186">
        <v>127</v>
      </c>
      <c r="J28" s="187"/>
      <c r="K28" s="105" t="s">
        <v>10</v>
      </c>
      <c r="L28" s="25"/>
      <c r="M28" s="102"/>
      <c r="N28" s="103"/>
    </row>
    <row r="29" spans="1:15" ht="7.5" customHeight="1">
      <c r="F29" s="14"/>
      <c r="G29" s="14"/>
      <c r="M29" s="15"/>
      <c r="N29" s="15"/>
    </row>
    <row r="30" spans="1:15" ht="22.5" customHeight="1">
      <c r="A30" s="8" t="s">
        <v>264</v>
      </c>
      <c r="B30" s="10" t="s">
        <v>265</v>
      </c>
      <c r="C30" s="10"/>
      <c r="D30" s="10"/>
      <c r="E30" s="10"/>
      <c r="F30" s="12"/>
      <c r="G30" s="88"/>
      <c r="H30" s="88"/>
      <c r="I30" s="88"/>
      <c r="J30" s="17"/>
      <c r="K30" s="17"/>
      <c r="L30" s="17"/>
      <c r="M30" s="17"/>
      <c r="N30" s="17"/>
    </row>
    <row r="31" spans="1:15" s="9" customFormat="1" ht="22.5" customHeight="1">
      <c r="B31" s="197" t="s">
        <v>92</v>
      </c>
      <c r="C31" s="197"/>
      <c r="D31" s="173" t="s">
        <v>115</v>
      </c>
      <c r="E31" s="174"/>
      <c r="F31" s="174"/>
      <c r="G31" s="198" t="s">
        <v>25</v>
      </c>
      <c r="H31" s="197"/>
      <c r="I31" s="199"/>
      <c r="J31" s="173" t="s">
        <v>116</v>
      </c>
      <c r="K31" s="174"/>
      <c r="L31" s="174"/>
      <c r="M31" s="174"/>
      <c r="N31" s="175"/>
    </row>
    <row r="32" spans="1:15" ht="7.5" customHeight="1">
      <c r="F32" s="14"/>
      <c r="G32" s="14"/>
      <c r="M32" s="15"/>
      <c r="N32" s="15"/>
    </row>
    <row r="33" spans="1:14" ht="22.5" customHeight="1">
      <c r="A33" s="8" t="s">
        <v>266</v>
      </c>
      <c r="B33" s="10" t="s">
        <v>104</v>
      </c>
      <c r="C33" s="10"/>
      <c r="D33" s="10"/>
      <c r="E33" s="10"/>
      <c r="F33" s="12"/>
      <c r="G33" s="17"/>
      <c r="H33" s="17"/>
      <c r="I33" s="17"/>
      <c r="J33" s="17"/>
      <c r="K33" s="17"/>
      <c r="L33" s="17"/>
      <c r="M33" s="17"/>
      <c r="N33" s="17"/>
    </row>
    <row r="34" spans="1:14" ht="22.5" customHeight="1">
      <c r="B34" s="173" t="s">
        <v>118</v>
      </c>
      <c r="C34" s="174"/>
      <c r="D34" s="174"/>
      <c r="E34" s="174"/>
      <c r="F34" s="174"/>
      <c r="G34" s="174"/>
      <c r="H34" s="174"/>
      <c r="I34" s="174"/>
      <c r="J34" s="174"/>
      <c r="K34" s="174"/>
      <c r="L34" s="174"/>
      <c r="M34" s="174"/>
      <c r="N34" s="175"/>
    </row>
    <row r="35" spans="1:14" ht="7.5" customHeight="1">
      <c r="B35" s="57"/>
      <c r="C35" s="57"/>
      <c r="D35" s="57"/>
      <c r="E35" s="57"/>
      <c r="F35" s="57"/>
      <c r="G35" s="57"/>
      <c r="H35" s="57"/>
      <c r="I35" s="57"/>
      <c r="J35" s="57"/>
      <c r="K35" s="57"/>
      <c r="L35" s="57"/>
      <c r="M35" s="57"/>
      <c r="N35" s="57"/>
    </row>
    <row r="36" spans="1:14" s="9" customFormat="1" ht="22.5" customHeight="1">
      <c r="B36" s="197" t="s">
        <v>92</v>
      </c>
      <c r="C36" s="197"/>
      <c r="D36" s="173" t="s">
        <v>115</v>
      </c>
      <c r="E36" s="174"/>
      <c r="F36" s="174"/>
      <c r="G36" s="198" t="s">
        <v>25</v>
      </c>
      <c r="H36" s="197"/>
      <c r="I36" s="199"/>
      <c r="J36" s="173" t="s">
        <v>167</v>
      </c>
      <c r="K36" s="174"/>
      <c r="L36" s="174"/>
      <c r="M36" s="174"/>
      <c r="N36" s="175"/>
    </row>
    <row r="37" spans="1:14" ht="7.5" customHeight="1">
      <c r="F37" s="88"/>
      <c r="G37" s="88"/>
      <c r="H37" s="88"/>
      <c r="I37" s="88"/>
      <c r="J37" s="88"/>
      <c r="K37" s="88"/>
      <c r="L37" s="88"/>
      <c r="M37" s="88"/>
      <c r="N37" s="88"/>
    </row>
    <row r="38" spans="1:14" ht="22.5" customHeight="1">
      <c r="B38" s="173" t="s">
        <v>226</v>
      </c>
      <c r="C38" s="174"/>
      <c r="D38" s="174"/>
      <c r="E38" s="174"/>
      <c r="F38" s="174"/>
      <c r="G38" s="174"/>
      <c r="H38" s="174"/>
      <c r="I38" s="174"/>
      <c r="J38" s="174"/>
      <c r="K38" s="174"/>
      <c r="L38" s="174"/>
      <c r="M38" s="174"/>
      <c r="N38" s="175"/>
    </row>
    <row r="39" spans="1:14" ht="7.5" customHeight="1">
      <c r="B39" s="57"/>
      <c r="C39" s="57"/>
      <c r="D39" s="57"/>
      <c r="E39" s="57"/>
      <c r="F39" s="57"/>
      <c r="G39" s="57"/>
      <c r="H39" s="57"/>
      <c r="I39" s="57"/>
      <c r="J39" s="57"/>
      <c r="K39" s="57"/>
      <c r="L39" s="57"/>
      <c r="M39" s="57"/>
      <c r="N39" s="57"/>
    </row>
    <row r="40" spans="1:14" s="9" customFormat="1" ht="22.5" customHeight="1">
      <c r="B40" s="197" t="s">
        <v>92</v>
      </c>
      <c r="C40" s="197"/>
      <c r="D40" s="173" t="s">
        <v>115</v>
      </c>
      <c r="E40" s="174"/>
      <c r="F40" s="174"/>
      <c r="G40" s="198" t="s">
        <v>25</v>
      </c>
      <c r="H40" s="197"/>
      <c r="I40" s="199"/>
      <c r="J40" s="173" t="s">
        <v>227</v>
      </c>
      <c r="K40" s="174"/>
      <c r="L40" s="174"/>
      <c r="M40" s="174"/>
      <c r="N40" s="175"/>
    </row>
    <row r="41" spans="1:14" ht="7.5" customHeight="1">
      <c r="F41" s="88"/>
      <c r="G41" s="88"/>
      <c r="H41" s="88"/>
      <c r="I41" s="88"/>
      <c r="J41" s="88"/>
      <c r="K41" s="88"/>
      <c r="L41" s="88"/>
      <c r="M41" s="88"/>
      <c r="N41" s="88"/>
    </row>
    <row r="42" spans="1:14" ht="22.5" customHeight="1">
      <c r="A42" s="8" t="s">
        <v>267</v>
      </c>
      <c r="B42" s="8" t="s">
        <v>105</v>
      </c>
      <c r="M42" s="15"/>
      <c r="N42" s="15"/>
    </row>
    <row r="43" spans="1:14" ht="22.5" customHeight="1">
      <c r="B43" s="173" t="s">
        <v>162</v>
      </c>
      <c r="C43" s="174"/>
      <c r="D43" s="174"/>
      <c r="E43" s="174"/>
      <c r="F43" s="174"/>
      <c r="G43" s="174"/>
      <c r="H43" s="174"/>
      <c r="I43" s="174"/>
      <c r="J43" s="174"/>
      <c r="K43" s="174"/>
      <c r="L43" s="174"/>
      <c r="M43" s="174"/>
      <c r="N43" s="175"/>
    </row>
    <row r="44" spans="1:14" ht="7.5" customHeight="1">
      <c r="F44" s="88"/>
      <c r="G44" s="88"/>
      <c r="H44" s="88"/>
      <c r="I44" s="88"/>
      <c r="J44" s="88"/>
      <c r="K44" s="88"/>
      <c r="L44" s="88"/>
      <c r="M44" s="88"/>
      <c r="N44" s="88"/>
    </row>
    <row r="45" spans="1:14" s="9" customFormat="1" ht="22.5" customHeight="1">
      <c r="B45" s="197" t="s">
        <v>92</v>
      </c>
      <c r="C45" s="197"/>
      <c r="D45" s="173" t="s">
        <v>163</v>
      </c>
      <c r="E45" s="174"/>
      <c r="F45" s="174"/>
      <c r="G45" s="198" t="s">
        <v>25</v>
      </c>
      <c r="H45" s="197"/>
      <c r="I45" s="199"/>
      <c r="J45" s="173" t="s">
        <v>168</v>
      </c>
      <c r="K45" s="174"/>
      <c r="L45" s="174"/>
      <c r="M45" s="174"/>
      <c r="N45" s="175"/>
    </row>
    <row r="46" spans="1:14" ht="7.5" customHeight="1">
      <c r="F46" s="88"/>
      <c r="G46" s="88"/>
      <c r="H46" s="88"/>
      <c r="I46" s="88"/>
      <c r="J46" s="88"/>
      <c r="K46" s="88"/>
      <c r="L46" s="88"/>
      <c r="M46" s="88"/>
      <c r="N46" s="88"/>
    </row>
    <row r="47" spans="1:14" ht="22.5" customHeight="1">
      <c r="B47" s="173" t="s">
        <v>228</v>
      </c>
      <c r="C47" s="174"/>
      <c r="D47" s="174"/>
      <c r="E47" s="174"/>
      <c r="F47" s="174"/>
      <c r="G47" s="174"/>
      <c r="H47" s="174"/>
      <c r="I47" s="174"/>
      <c r="J47" s="174"/>
      <c r="K47" s="174"/>
      <c r="L47" s="174"/>
      <c r="M47" s="174"/>
      <c r="N47" s="175"/>
    </row>
    <row r="48" spans="1:14" ht="7.5" customHeight="1">
      <c r="F48" s="88"/>
      <c r="G48" s="88"/>
      <c r="H48" s="88"/>
      <c r="I48" s="88"/>
      <c r="J48" s="88"/>
      <c r="K48" s="88"/>
      <c r="L48" s="88"/>
      <c r="M48" s="88"/>
      <c r="N48" s="88"/>
    </row>
    <row r="49" spans="1:14" s="9" customFormat="1" ht="22.5" customHeight="1">
      <c r="B49" s="197" t="s">
        <v>92</v>
      </c>
      <c r="C49" s="197"/>
      <c r="D49" s="173" t="s">
        <v>229</v>
      </c>
      <c r="E49" s="174"/>
      <c r="F49" s="174"/>
      <c r="G49" s="198" t="s">
        <v>25</v>
      </c>
      <c r="H49" s="197"/>
      <c r="I49" s="199"/>
      <c r="J49" s="173" t="s">
        <v>230</v>
      </c>
      <c r="K49" s="174"/>
      <c r="L49" s="174"/>
      <c r="M49" s="174"/>
      <c r="N49" s="175"/>
    </row>
    <row r="50" spans="1:14" ht="7.5" customHeight="1">
      <c r="F50" s="88"/>
      <c r="G50" s="88"/>
      <c r="H50" s="88"/>
      <c r="I50" s="88"/>
      <c r="J50" s="88"/>
      <c r="K50" s="88"/>
      <c r="L50" s="88"/>
      <c r="M50" s="88"/>
      <c r="N50" s="88"/>
    </row>
    <row r="51" spans="1:14" ht="22.5" customHeight="1">
      <c r="A51" s="8" t="s">
        <v>268</v>
      </c>
      <c r="B51" s="25" t="s">
        <v>73</v>
      </c>
      <c r="E51" s="22"/>
      <c r="F51" s="173" t="s">
        <v>119</v>
      </c>
      <c r="G51" s="174"/>
      <c r="H51" s="174"/>
      <c r="I51" s="174"/>
      <c r="J51" s="174"/>
      <c r="K51" s="174"/>
      <c r="L51" s="174"/>
      <c r="M51" s="174"/>
      <c r="N51" s="175"/>
    </row>
    <row r="52" spans="1:14" ht="7.5" customHeight="1">
      <c r="F52" s="88"/>
      <c r="G52" s="88"/>
      <c r="H52" s="88"/>
      <c r="I52" s="88"/>
      <c r="J52" s="88"/>
      <c r="K52" s="88"/>
      <c r="L52" s="88"/>
      <c r="M52" s="88"/>
      <c r="N52" s="88"/>
    </row>
    <row r="53" spans="1:14" ht="22.5" customHeight="1">
      <c r="A53" s="8" t="s">
        <v>3</v>
      </c>
    </row>
    <row r="54" spans="1:14" ht="22.5" customHeight="1">
      <c r="B54" s="18" t="s">
        <v>1</v>
      </c>
      <c r="C54" s="200" t="s">
        <v>114</v>
      </c>
      <c r="D54" s="201"/>
      <c r="E54" s="201"/>
      <c r="F54" s="201"/>
      <c r="G54" s="201"/>
      <c r="H54" s="201"/>
      <c r="I54" s="19" t="s">
        <v>2</v>
      </c>
      <c r="J54" s="20"/>
      <c r="K54" s="173" t="s">
        <v>113</v>
      </c>
      <c r="L54" s="174"/>
      <c r="M54" s="174"/>
      <c r="N54" s="175"/>
    </row>
    <row r="55" spans="1:14" ht="22.5" customHeight="1">
      <c r="B55" s="18" t="s">
        <v>5</v>
      </c>
      <c r="C55" s="202" t="s">
        <v>269</v>
      </c>
      <c r="D55" s="203"/>
      <c r="E55" s="203"/>
      <c r="F55" s="203"/>
      <c r="G55" s="203"/>
      <c r="H55" s="204"/>
      <c r="I55" s="19" t="s">
        <v>4</v>
      </c>
      <c r="J55" s="20"/>
      <c r="K55" s="205" t="s">
        <v>270</v>
      </c>
      <c r="L55" s="206"/>
      <c r="M55" s="206"/>
      <c r="N55" s="207"/>
    </row>
  </sheetData>
  <mergeCells count="55">
    <mergeCell ref="C54:H54"/>
    <mergeCell ref="K54:N54"/>
    <mergeCell ref="C55:H55"/>
    <mergeCell ref="K55:N55"/>
    <mergeCell ref="B47:N47"/>
    <mergeCell ref="B49:C49"/>
    <mergeCell ref="D49:F49"/>
    <mergeCell ref="G49:I49"/>
    <mergeCell ref="J49:N49"/>
    <mergeCell ref="F51:N51"/>
    <mergeCell ref="B45:C45"/>
    <mergeCell ref="D45:F45"/>
    <mergeCell ref="G45:I45"/>
    <mergeCell ref="J45:N45"/>
    <mergeCell ref="B38:N38"/>
    <mergeCell ref="B40:C40"/>
    <mergeCell ref="D40:F40"/>
    <mergeCell ref="G40:I40"/>
    <mergeCell ref="J40:N40"/>
    <mergeCell ref="B43:N43"/>
    <mergeCell ref="B36:C36"/>
    <mergeCell ref="D36:F36"/>
    <mergeCell ref="G36:I36"/>
    <mergeCell ref="J36:N36"/>
    <mergeCell ref="C26:D26"/>
    <mergeCell ref="G26:H26"/>
    <mergeCell ref="I26:J26"/>
    <mergeCell ref="C28:D28"/>
    <mergeCell ref="G28:H28"/>
    <mergeCell ref="I28:J28"/>
    <mergeCell ref="B31:C31"/>
    <mergeCell ref="D31:F31"/>
    <mergeCell ref="G31:I31"/>
    <mergeCell ref="J31:N31"/>
    <mergeCell ref="B34:N34"/>
    <mergeCell ref="K18:M18"/>
    <mergeCell ref="E20:F20"/>
    <mergeCell ref="K20:N20"/>
    <mergeCell ref="J22:L22"/>
    <mergeCell ref="C24:D24"/>
    <mergeCell ref="G24:H24"/>
    <mergeCell ref="I24:J24"/>
    <mergeCell ref="C10:N10"/>
    <mergeCell ref="G12:N12"/>
    <mergeCell ref="F14:H14"/>
    <mergeCell ref="C16:D16"/>
    <mergeCell ref="E16:F16"/>
    <mergeCell ref="I16:J16"/>
    <mergeCell ref="K16:M16"/>
    <mergeCell ref="M1:N1"/>
    <mergeCell ref="A2:N2"/>
    <mergeCell ref="C4:N4"/>
    <mergeCell ref="D6:N6"/>
    <mergeCell ref="C8:E8"/>
    <mergeCell ref="G8:N8"/>
  </mergeCells>
  <phoneticPr fontId="3"/>
  <dataValidations count="2">
    <dataValidation type="list" allowBlank="1" showInputMessage="1" showErrorMessage="1" sqref="F51">
      <formula1>"認定教育プログラム,認定教育プログラムと認定教育プログラム+（プラス）"</formula1>
    </dataValidation>
    <dataValidation type="list" allowBlank="1" showInputMessage="1" showErrorMessage="1" sqref="C8">
      <formula1>"国立大学, 公立大学, 私立大学, 短期大学, 高等専門学校, その他"</formula1>
    </dataValidation>
  </dataValidations>
  <hyperlinks>
    <hyperlink ref="C55" r:id="rId1"/>
  </hyperlinks>
  <printOptions horizontalCentered="1"/>
  <pageMargins left="0.78740157480314965" right="0.78740157480314965" top="0.78740157480314965" bottom="0.39370078740157483" header="0.31496062992125984" footer="0.31496062992125984"/>
  <pageSetup paperSize="9" scale="94"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145" zoomScaleNormal="145" workbookViewId="0"/>
  </sheetViews>
  <sheetFormatPr defaultColWidth="9" defaultRowHeight="18.75" customHeight="1"/>
  <cols>
    <col min="1" max="1" width="2.875" style="8" customWidth="1"/>
    <col min="2" max="2" width="2.5" style="8" customWidth="1"/>
    <col min="3" max="3" width="20" style="8" customWidth="1"/>
    <col min="4" max="4" width="8.625" style="8" customWidth="1"/>
    <col min="5" max="5" width="7.5" style="8" customWidth="1"/>
    <col min="6" max="6" width="2.5" style="8" customWidth="1"/>
    <col min="7" max="7" width="15" style="8" customWidth="1"/>
    <col min="8" max="8" width="12.5" style="8" customWidth="1"/>
    <col min="9" max="9" width="11.125" style="8" customWidth="1"/>
    <col min="10" max="10" width="9" style="95"/>
    <col min="11" max="16384" width="9" style="8"/>
  </cols>
  <sheetData>
    <row r="1" spans="1:9" ht="18.75" customHeight="1">
      <c r="I1" s="89" t="s">
        <v>157</v>
      </c>
    </row>
    <row r="2" spans="1:9" ht="18.75" customHeight="1">
      <c r="G2" s="16" t="s">
        <v>29</v>
      </c>
      <c r="H2" s="211" t="s">
        <v>111</v>
      </c>
      <c r="I2" s="211"/>
    </row>
    <row r="3" spans="1:9" ht="7.5" customHeight="1"/>
    <row r="4" spans="1:9" ht="18.75" customHeight="1">
      <c r="A4" s="172" t="s">
        <v>271</v>
      </c>
      <c r="B4" s="172"/>
      <c r="C4" s="172"/>
      <c r="D4" s="172"/>
      <c r="E4" s="172"/>
      <c r="F4" s="172"/>
      <c r="G4" s="172"/>
      <c r="H4" s="172"/>
      <c r="I4" s="172"/>
    </row>
    <row r="5" spans="1:9" ht="7.5" customHeight="1">
      <c r="C5" s="90"/>
      <c r="D5" s="90"/>
      <c r="E5" s="90"/>
      <c r="F5" s="90"/>
      <c r="G5" s="90"/>
      <c r="H5" s="90"/>
      <c r="I5" s="90"/>
    </row>
    <row r="6" spans="1:9" ht="18.75" customHeight="1">
      <c r="A6" s="8" t="s">
        <v>7</v>
      </c>
      <c r="B6" s="8" t="s">
        <v>82</v>
      </c>
      <c r="C6" s="90"/>
      <c r="D6" s="90"/>
      <c r="E6" s="212" t="s">
        <v>120</v>
      </c>
      <c r="F6" s="213"/>
      <c r="G6" s="213"/>
      <c r="H6" s="213"/>
      <c r="I6" s="214"/>
    </row>
    <row r="7" spans="1:9" ht="7.5" customHeight="1">
      <c r="C7" s="90"/>
      <c r="D7" s="90"/>
      <c r="F7" s="85"/>
      <c r="G7" s="85"/>
      <c r="H7" s="85"/>
      <c r="I7" s="85"/>
    </row>
    <row r="8" spans="1:9" ht="18.75" customHeight="1">
      <c r="A8" s="8" t="s">
        <v>12</v>
      </c>
      <c r="B8" s="8" t="s">
        <v>83</v>
      </c>
      <c r="C8" s="90"/>
      <c r="D8" s="90"/>
      <c r="E8" s="90"/>
      <c r="F8" s="90"/>
      <c r="G8" s="90"/>
      <c r="H8" s="90"/>
      <c r="I8" s="90"/>
    </row>
    <row r="9" spans="1:9" ht="35.25" customHeight="1">
      <c r="B9" s="215" t="s">
        <v>303</v>
      </c>
      <c r="C9" s="216"/>
      <c r="D9" s="216"/>
      <c r="E9" s="216"/>
      <c r="F9" s="216"/>
      <c r="G9" s="216"/>
      <c r="H9" s="216"/>
      <c r="I9" s="217"/>
    </row>
    <row r="10" spans="1:9" ht="35.25" customHeight="1">
      <c r="B10" s="218"/>
      <c r="C10" s="219"/>
      <c r="D10" s="219"/>
      <c r="E10" s="219"/>
      <c r="F10" s="219"/>
      <c r="G10" s="219"/>
      <c r="H10" s="219"/>
      <c r="I10" s="220"/>
    </row>
    <row r="11" spans="1:9" ht="35.25" customHeight="1">
      <c r="B11" s="218"/>
      <c r="C11" s="219"/>
      <c r="D11" s="219"/>
      <c r="E11" s="219"/>
      <c r="F11" s="219"/>
      <c r="G11" s="219"/>
      <c r="H11" s="219"/>
      <c r="I11" s="220"/>
    </row>
    <row r="12" spans="1:9" ht="21.75" customHeight="1">
      <c r="B12" s="218"/>
      <c r="C12" s="219"/>
      <c r="D12" s="219"/>
      <c r="E12" s="219"/>
      <c r="F12" s="219"/>
      <c r="G12" s="219"/>
      <c r="H12" s="219"/>
      <c r="I12" s="220"/>
    </row>
    <row r="13" spans="1:9" ht="21.75" customHeight="1">
      <c r="B13" s="218"/>
      <c r="C13" s="219"/>
      <c r="D13" s="219"/>
      <c r="E13" s="219"/>
      <c r="F13" s="219"/>
      <c r="G13" s="219"/>
      <c r="H13" s="219"/>
      <c r="I13" s="220"/>
    </row>
    <row r="14" spans="1:9" ht="18" customHeight="1">
      <c r="B14" s="218"/>
      <c r="C14" s="219"/>
      <c r="D14" s="219"/>
      <c r="E14" s="219"/>
      <c r="F14" s="219"/>
      <c r="G14" s="219"/>
      <c r="H14" s="219"/>
      <c r="I14" s="220"/>
    </row>
    <row r="15" spans="1:9" ht="18" customHeight="1">
      <c r="B15" s="218"/>
      <c r="C15" s="219"/>
      <c r="D15" s="219"/>
      <c r="E15" s="219"/>
      <c r="F15" s="219"/>
      <c r="G15" s="219"/>
      <c r="H15" s="219"/>
      <c r="I15" s="220"/>
    </row>
    <row r="16" spans="1:9" ht="18" customHeight="1">
      <c r="B16" s="221"/>
      <c r="C16" s="222"/>
      <c r="D16" s="222"/>
      <c r="E16" s="222"/>
      <c r="F16" s="222"/>
      <c r="G16" s="222"/>
      <c r="H16" s="222"/>
      <c r="I16" s="223"/>
    </row>
    <row r="17" spans="1:9" ht="7.5" customHeight="1">
      <c r="C17" s="90"/>
      <c r="D17" s="90"/>
      <c r="E17" s="90"/>
      <c r="F17" s="90"/>
      <c r="G17" s="90"/>
      <c r="H17" s="90"/>
      <c r="I17" s="90"/>
    </row>
    <row r="18" spans="1:9" ht="18.75" customHeight="1">
      <c r="A18" s="90" t="s">
        <v>13</v>
      </c>
      <c r="B18" s="10" t="s">
        <v>84</v>
      </c>
      <c r="C18" s="10"/>
      <c r="D18" s="10"/>
      <c r="E18" s="10"/>
      <c r="F18" s="90"/>
      <c r="G18" s="90"/>
      <c r="H18" s="90"/>
      <c r="I18" s="90"/>
    </row>
    <row r="19" spans="1:9" ht="18.75" customHeight="1">
      <c r="A19" s="224" t="s">
        <v>84</v>
      </c>
      <c r="B19" s="224"/>
      <c r="C19" s="224"/>
      <c r="D19" s="224"/>
      <c r="E19" s="224"/>
      <c r="F19" s="225" t="s">
        <v>84</v>
      </c>
      <c r="G19" s="225"/>
      <c r="H19" s="225"/>
      <c r="I19" s="225"/>
    </row>
    <row r="20" spans="1:9" ht="18.75" customHeight="1">
      <c r="A20" s="58">
        <v>1</v>
      </c>
      <c r="B20" s="181" t="s">
        <v>110</v>
      </c>
      <c r="C20" s="182"/>
      <c r="D20" s="182"/>
      <c r="E20" s="183"/>
      <c r="F20" s="92">
        <v>26</v>
      </c>
      <c r="G20" s="81"/>
      <c r="H20" s="82"/>
      <c r="I20" s="83"/>
    </row>
    <row r="21" spans="1:9" ht="18.75" customHeight="1">
      <c r="A21" s="58">
        <v>2</v>
      </c>
      <c r="B21" s="226" t="s">
        <v>108</v>
      </c>
      <c r="C21" s="209"/>
      <c r="D21" s="209"/>
      <c r="E21" s="210"/>
      <c r="F21" s="92">
        <v>27</v>
      </c>
      <c r="G21" s="81"/>
      <c r="H21" s="82"/>
      <c r="I21" s="83"/>
    </row>
    <row r="22" spans="1:9" ht="18.75" customHeight="1">
      <c r="A22" s="58">
        <v>3</v>
      </c>
      <c r="B22" s="226" t="s">
        <v>143</v>
      </c>
      <c r="C22" s="209"/>
      <c r="D22" s="209"/>
      <c r="E22" s="210"/>
      <c r="F22" s="92">
        <v>28</v>
      </c>
      <c r="G22" s="200"/>
      <c r="H22" s="201"/>
      <c r="I22" s="227"/>
    </row>
    <row r="23" spans="1:9" ht="18.75" customHeight="1">
      <c r="A23" s="58">
        <v>4</v>
      </c>
      <c r="B23" s="208" t="s">
        <v>272</v>
      </c>
      <c r="C23" s="209"/>
      <c r="D23" s="209"/>
      <c r="E23" s="210"/>
      <c r="F23" s="92">
        <v>29</v>
      </c>
      <c r="G23" s="86"/>
      <c r="H23" s="87"/>
      <c r="I23" s="91"/>
    </row>
    <row r="24" spans="1:9" ht="18.75" customHeight="1">
      <c r="A24" s="58">
        <v>5</v>
      </c>
      <c r="B24" s="208" t="s">
        <v>273</v>
      </c>
      <c r="C24" s="209"/>
      <c r="D24" s="209"/>
      <c r="E24" s="210"/>
      <c r="F24" s="92">
        <v>30</v>
      </c>
      <c r="G24" s="86"/>
      <c r="H24" s="87"/>
      <c r="I24" s="91"/>
    </row>
    <row r="25" spans="1:9" ht="18.75" customHeight="1">
      <c r="A25" s="58">
        <v>6</v>
      </c>
      <c r="B25" s="226" t="s">
        <v>156</v>
      </c>
      <c r="C25" s="209"/>
      <c r="D25" s="209"/>
      <c r="E25" s="210"/>
      <c r="F25" s="92">
        <v>31</v>
      </c>
      <c r="G25" s="86"/>
      <c r="H25" s="87"/>
      <c r="I25" s="91"/>
    </row>
    <row r="26" spans="1:9" ht="18.75" customHeight="1">
      <c r="A26" s="58">
        <v>7</v>
      </c>
      <c r="B26" s="226" t="s">
        <v>274</v>
      </c>
      <c r="C26" s="209"/>
      <c r="D26" s="209"/>
      <c r="E26" s="210"/>
      <c r="F26" s="92">
        <v>32</v>
      </c>
      <c r="G26" s="86"/>
      <c r="H26" s="87"/>
      <c r="I26" s="91"/>
    </row>
    <row r="27" spans="1:9" ht="18.75" customHeight="1">
      <c r="A27" s="58">
        <v>8</v>
      </c>
      <c r="B27" s="226" t="s">
        <v>142</v>
      </c>
      <c r="C27" s="209"/>
      <c r="D27" s="209"/>
      <c r="E27" s="210"/>
      <c r="F27" s="92">
        <v>33</v>
      </c>
      <c r="G27" s="86"/>
      <c r="H27" s="87"/>
      <c r="I27" s="91"/>
    </row>
    <row r="28" spans="1:9" ht="18.75" customHeight="1">
      <c r="A28" s="58">
        <v>9</v>
      </c>
      <c r="B28" s="226" t="s">
        <v>141</v>
      </c>
      <c r="C28" s="209"/>
      <c r="D28" s="209"/>
      <c r="E28" s="210"/>
      <c r="F28" s="92">
        <v>34</v>
      </c>
      <c r="G28" s="86"/>
      <c r="H28" s="87"/>
      <c r="I28" s="91"/>
    </row>
    <row r="29" spans="1:9" ht="18.75" customHeight="1">
      <c r="A29" s="58">
        <v>10</v>
      </c>
      <c r="B29" s="228" t="s">
        <v>188</v>
      </c>
      <c r="C29" s="229"/>
      <c r="D29" s="229"/>
      <c r="E29" s="230"/>
      <c r="F29" s="92">
        <v>35</v>
      </c>
      <c r="G29" s="86"/>
      <c r="H29" s="87"/>
      <c r="I29" s="91"/>
    </row>
    <row r="30" spans="1:9" ht="18.75" customHeight="1">
      <c r="A30" s="58">
        <v>11</v>
      </c>
      <c r="B30" s="228" t="s">
        <v>275</v>
      </c>
      <c r="C30" s="229"/>
      <c r="D30" s="229"/>
      <c r="E30" s="230"/>
      <c r="F30" s="92">
        <v>36</v>
      </c>
      <c r="G30" s="86"/>
      <c r="H30" s="87"/>
      <c r="I30" s="91"/>
    </row>
    <row r="31" spans="1:9" ht="18.75" customHeight="1">
      <c r="A31" s="58">
        <v>12</v>
      </c>
      <c r="B31" s="228" t="s">
        <v>276</v>
      </c>
      <c r="C31" s="229"/>
      <c r="D31" s="229"/>
      <c r="E31" s="230"/>
      <c r="F31" s="92">
        <v>37</v>
      </c>
      <c r="G31" s="86"/>
      <c r="H31" s="87"/>
      <c r="I31" s="91"/>
    </row>
    <row r="32" spans="1:9" ht="18.75" customHeight="1">
      <c r="A32" s="58">
        <v>13</v>
      </c>
      <c r="B32" s="228" t="s">
        <v>277</v>
      </c>
      <c r="C32" s="229"/>
      <c r="D32" s="229"/>
      <c r="E32" s="230"/>
      <c r="F32" s="92">
        <v>38</v>
      </c>
      <c r="G32" s="200"/>
      <c r="H32" s="201"/>
      <c r="I32" s="227"/>
    </row>
    <row r="33" spans="1:10" ht="18.75" customHeight="1">
      <c r="A33" s="58">
        <v>14</v>
      </c>
      <c r="B33" s="228" t="s">
        <v>278</v>
      </c>
      <c r="C33" s="229"/>
      <c r="D33" s="229"/>
      <c r="E33" s="230"/>
      <c r="F33" s="92">
        <v>39</v>
      </c>
      <c r="G33" s="200"/>
      <c r="H33" s="201"/>
      <c r="I33" s="227"/>
    </row>
    <row r="34" spans="1:10" ht="18.75" customHeight="1">
      <c r="A34" s="58">
        <v>15</v>
      </c>
      <c r="B34" s="228" t="s">
        <v>279</v>
      </c>
      <c r="C34" s="229"/>
      <c r="D34" s="229"/>
      <c r="E34" s="230"/>
      <c r="F34" s="92">
        <v>40</v>
      </c>
      <c r="G34" s="200"/>
      <c r="H34" s="201"/>
      <c r="I34" s="227"/>
    </row>
    <row r="35" spans="1:10" ht="18.75" customHeight="1">
      <c r="A35" s="58">
        <v>16</v>
      </c>
      <c r="B35" s="228" t="s">
        <v>280</v>
      </c>
      <c r="C35" s="229"/>
      <c r="D35" s="229"/>
      <c r="E35" s="230"/>
      <c r="F35" s="92">
        <v>41</v>
      </c>
      <c r="G35" s="200"/>
      <c r="H35" s="201"/>
      <c r="I35" s="227"/>
    </row>
    <row r="36" spans="1:10" ht="18.75" customHeight="1">
      <c r="A36" s="58">
        <v>17</v>
      </c>
      <c r="B36" s="228" t="s">
        <v>281</v>
      </c>
      <c r="C36" s="229"/>
      <c r="D36" s="229"/>
      <c r="E36" s="230"/>
      <c r="F36" s="92">
        <v>42</v>
      </c>
      <c r="G36" s="200"/>
      <c r="H36" s="201"/>
      <c r="I36" s="227"/>
    </row>
    <row r="37" spans="1:10" ht="18.75" customHeight="1">
      <c r="A37" s="58">
        <v>18</v>
      </c>
      <c r="B37" s="228" t="s">
        <v>282</v>
      </c>
      <c r="C37" s="229"/>
      <c r="D37" s="229"/>
      <c r="E37" s="230"/>
      <c r="F37" s="92">
        <v>43</v>
      </c>
      <c r="G37" s="200"/>
      <c r="H37" s="201"/>
      <c r="I37" s="227"/>
    </row>
    <row r="38" spans="1:10" ht="18.75" customHeight="1">
      <c r="A38" s="58">
        <v>19</v>
      </c>
      <c r="B38" s="228" t="s">
        <v>283</v>
      </c>
      <c r="C38" s="229"/>
      <c r="D38" s="229"/>
      <c r="E38" s="230"/>
      <c r="F38" s="92">
        <v>44</v>
      </c>
      <c r="G38" s="200"/>
      <c r="H38" s="201"/>
      <c r="I38" s="227"/>
    </row>
    <row r="39" spans="1:10" ht="18.75" customHeight="1">
      <c r="A39" s="58">
        <v>20</v>
      </c>
      <c r="B39" s="228" t="s">
        <v>284</v>
      </c>
      <c r="C39" s="229"/>
      <c r="D39" s="229"/>
      <c r="E39" s="230"/>
      <c r="F39" s="92">
        <v>45</v>
      </c>
      <c r="G39" s="200"/>
      <c r="H39" s="201"/>
      <c r="I39" s="227"/>
    </row>
    <row r="40" spans="1:10" ht="18.75" customHeight="1">
      <c r="A40" s="58">
        <v>21</v>
      </c>
      <c r="B40" s="228" t="s">
        <v>241</v>
      </c>
      <c r="C40" s="229"/>
      <c r="D40" s="229"/>
      <c r="E40" s="230"/>
      <c r="F40" s="92">
        <v>46</v>
      </c>
      <c r="G40" s="200"/>
      <c r="H40" s="201"/>
      <c r="I40" s="227"/>
    </row>
    <row r="41" spans="1:10" ht="18.75" customHeight="1">
      <c r="A41" s="58">
        <v>22</v>
      </c>
      <c r="B41" s="228" t="s">
        <v>285</v>
      </c>
      <c r="C41" s="229"/>
      <c r="D41" s="229"/>
      <c r="E41" s="230"/>
      <c r="F41" s="92">
        <v>47</v>
      </c>
      <c r="G41" s="200"/>
      <c r="H41" s="201"/>
      <c r="I41" s="227"/>
    </row>
    <row r="42" spans="1:10" ht="18.75" customHeight="1">
      <c r="A42" s="58">
        <v>23</v>
      </c>
      <c r="B42" s="228" t="s">
        <v>109</v>
      </c>
      <c r="C42" s="229"/>
      <c r="D42" s="229"/>
      <c r="E42" s="230"/>
      <c r="F42" s="92">
        <v>48</v>
      </c>
      <c r="G42" s="200"/>
      <c r="H42" s="201"/>
      <c r="I42" s="227"/>
      <c r="J42" s="95" t="s">
        <v>286</v>
      </c>
    </row>
    <row r="43" spans="1:10" ht="18.75" customHeight="1">
      <c r="A43" s="58">
        <v>24</v>
      </c>
      <c r="B43" s="231"/>
      <c r="C43" s="232"/>
      <c r="D43" s="232"/>
      <c r="E43" s="233"/>
      <c r="F43" s="92">
        <v>49</v>
      </c>
      <c r="G43" s="234"/>
      <c r="H43" s="201"/>
      <c r="I43" s="227"/>
    </row>
    <row r="44" spans="1:10" ht="18.75" customHeight="1">
      <c r="A44" s="58">
        <v>25</v>
      </c>
      <c r="B44" s="231"/>
      <c r="C44" s="232"/>
      <c r="D44" s="232"/>
      <c r="E44" s="233"/>
      <c r="F44" s="92">
        <v>50</v>
      </c>
      <c r="G44" s="200"/>
      <c r="H44" s="201"/>
      <c r="I44" s="227"/>
    </row>
  </sheetData>
  <mergeCells count="45">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4:E34"/>
    <mergeCell ref="G34:I34"/>
    <mergeCell ref="B25:E25"/>
    <mergeCell ref="B26:E26"/>
    <mergeCell ref="B27:E27"/>
    <mergeCell ref="B28:E28"/>
    <mergeCell ref="B29:E29"/>
    <mergeCell ref="B30:E30"/>
    <mergeCell ref="B31:E31"/>
    <mergeCell ref="B32:E32"/>
    <mergeCell ref="G32:I32"/>
    <mergeCell ref="B33:E33"/>
    <mergeCell ref="G33:I33"/>
    <mergeCell ref="B24:E24"/>
    <mergeCell ref="H2:I2"/>
    <mergeCell ref="A4:I4"/>
    <mergeCell ref="E6:I6"/>
    <mergeCell ref="B9:I16"/>
    <mergeCell ref="A19:E19"/>
    <mergeCell ref="F19:I19"/>
    <mergeCell ref="B20:E20"/>
    <mergeCell ref="B21:E21"/>
    <mergeCell ref="B22:E22"/>
    <mergeCell ref="G22:I22"/>
    <mergeCell ref="B23:E23"/>
  </mergeCells>
  <phoneticPr fontId="3"/>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145" zoomScaleNormal="145" workbookViewId="0"/>
  </sheetViews>
  <sheetFormatPr defaultColWidth="9" defaultRowHeight="18.75" customHeight="1"/>
  <cols>
    <col min="1" max="1" width="3.625" style="8" customWidth="1"/>
    <col min="2" max="2" width="2.5" style="8" customWidth="1"/>
    <col min="3" max="3" width="20" style="8" customWidth="1"/>
    <col min="4" max="4" width="8.625" style="8" customWidth="1"/>
    <col min="5" max="5" width="7.5" style="8" customWidth="1"/>
    <col min="6" max="6" width="2.5" style="8" customWidth="1"/>
    <col min="7" max="7" width="15" style="8" customWidth="1"/>
    <col min="8" max="8" width="12.5" style="8" customWidth="1"/>
    <col min="9" max="9" width="11.125" style="8" customWidth="1"/>
    <col min="10" max="16384" width="9" style="8"/>
  </cols>
  <sheetData>
    <row r="1" spans="1:9" ht="18.75" customHeight="1">
      <c r="I1" s="89" t="s">
        <v>158</v>
      </c>
    </row>
    <row r="2" spans="1:9" ht="18.75" customHeight="1">
      <c r="G2" s="16" t="s">
        <v>29</v>
      </c>
      <c r="H2" s="211" t="s">
        <v>111</v>
      </c>
      <c r="I2" s="211"/>
    </row>
    <row r="3" spans="1:9" ht="7.5" customHeight="1"/>
    <row r="4" spans="1:9" ht="18.75" customHeight="1">
      <c r="A4" s="172" t="s">
        <v>287</v>
      </c>
      <c r="B4" s="172"/>
      <c r="C4" s="172"/>
      <c r="D4" s="172"/>
      <c r="E4" s="172"/>
      <c r="F4" s="172"/>
      <c r="G4" s="172"/>
      <c r="H4" s="172"/>
      <c r="I4" s="172"/>
    </row>
    <row r="5" spans="1:9" ht="7.5" customHeight="1">
      <c r="C5" s="90"/>
      <c r="D5" s="90"/>
      <c r="E5" s="90"/>
      <c r="F5" s="90"/>
      <c r="G5" s="90"/>
      <c r="H5" s="90"/>
      <c r="I5" s="90"/>
    </row>
    <row r="6" spans="1:9" ht="18.75" customHeight="1">
      <c r="A6" s="8" t="s">
        <v>7</v>
      </c>
      <c r="B6" s="8" t="s">
        <v>82</v>
      </c>
      <c r="C6" s="90"/>
      <c r="D6" s="90"/>
      <c r="E6" s="212" t="s">
        <v>120</v>
      </c>
      <c r="F6" s="213"/>
      <c r="G6" s="213"/>
      <c r="H6" s="213"/>
      <c r="I6" s="214"/>
    </row>
    <row r="7" spans="1:9" ht="7.5" customHeight="1">
      <c r="C7" s="90"/>
      <c r="D7" s="90"/>
      <c r="F7" s="85"/>
      <c r="G7" s="85"/>
      <c r="H7" s="85"/>
      <c r="I7" s="85"/>
    </row>
    <row r="8" spans="1:9" ht="18.75" customHeight="1">
      <c r="A8" s="8" t="s">
        <v>288</v>
      </c>
      <c r="B8" s="8" t="s">
        <v>83</v>
      </c>
      <c r="C8" s="90"/>
      <c r="D8" s="90"/>
      <c r="E8" s="90"/>
      <c r="F8" s="90"/>
      <c r="G8" s="90"/>
      <c r="H8" s="90"/>
      <c r="I8" s="90"/>
    </row>
    <row r="9" spans="1:9" ht="35.25" customHeight="1">
      <c r="B9" s="215" t="s">
        <v>306</v>
      </c>
      <c r="C9" s="216"/>
      <c r="D9" s="216"/>
      <c r="E9" s="216"/>
      <c r="F9" s="216"/>
      <c r="G9" s="216"/>
      <c r="H9" s="216"/>
      <c r="I9" s="217"/>
    </row>
    <row r="10" spans="1:9" ht="35.25" customHeight="1">
      <c r="B10" s="218"/>
      <c r="C10" s="219"/>
      <c r="D10" s="219"/>
      <c r="E10" s="219"/>
      <c r="F10" s="219"/>
      <c r="G10" s="219"/>
      <c r="H10" s="219"/>
      <c r="I10" s="220"/>
    </row>
    <row r="11" spans="1:9" ht="35.25" customHeight="1">
      <c r="B11" s="218"/>
      <c r="C11" s="219"/>
      <c r="D11" s="219"/>
      <c r="E11" s="219"/>
      <c r="F11" s="219"/>
      <c r="G11" s="219"/>
      <c r="H11" s="219"/>
      <c r="I11" s="220"/>
    </row>
    <row r="12" spans="1:9" ht="8.25" customHeight="1">
      <c r="B12" s="218"/>
      <c r="C12" s="219"/>
      <c r="D12" s="219"/>
      <c r="E12" s="219"/>
      <c r="F12" s="219"/>
      <c r="G12" s="219"/>
      <c r="H12" s="219"/>
      <c r="I12" s="220"/>
    </row>
    <row r="13" spans="1:9" ht="8.25" customHeight="1">
      <c r="B13" s="218"/>
      <c r="C13" s="219"/>
      <c r="D13" s="219"/>
      <c r="E13" s="219"/>
      <c r="F13" s="219"/>
      <c r="G13" s="219"/>
      <c r="H13" s="219"/>
      <c r="I13" s="220"/>
    </row>
    <row r="14" spans="1:9" ht="8.25" customHeight="1">
      <c r="B14" s="218"/>
      <c r="C14" s="219"/>
      <c r="D14" s="219"/>
      <c r="E14" s="219"/>
      <c r="F14" s="219"/>
      <c r="G14" s="219"/>
      <c r="H14" s="219"/>
      <c r="I14" s="220"/>
    </row>
    <row r="15" spans="1:9" ht="19.5" customHeight="1">
      <c r="B15" s="218"/>
      <c r="C15" s="219"/>
      <c r="D15" s="219"/>
      <c r="E15" s="219"/>
      <c r="F15" s="219"/>
      <c r="G15" s="219"/>
      <c r="H15" s="219"/>
      <c r="I15" s="220"/>
    </row>
    <row r="16" spans="1:9" ht="19.5" customHeight="1">
      <c r="B16" s="221"/>
      <c r="C16" s="222"/>
      <c r="D16" s="222"/>
      <c r="E16" s="222"/>
      <c r="F16" s="222"/>
      <c r="G16" s="222"/>
      <c r="H16" s="222"/>
      <c r="I16" s="223"/>
    </row>
    <row r="17" spans="1:10" ht="7.5" customHeight="1">
      <c r="C17" s="90"/>
      <c r="D17" s="90"/>
      <c r="E17" s="90"/>
      <c r="F17" s="90"/>
      <c r="G17" s="90"/>
      <c r="H17" s="90"/>
      <c r="I17" s="90"/>
    </row>
    <row r="18" spans="1:10" ht="18.75" customHeight="1">
      <c r="A18" s="90" t="s">
        <v>289</v>
      </c>
      <c r="B18" s="10" t="s">
        <v>84</v>
      </c>
      <c r="C18" s="10"/>
      <c r="D18" s="10"/>
      <c r="E18" s="10"/>
      <c r="F18" s="90"/>
      <c r="G18" s="90"/>
      <c r="H18" s="90"/>
      <c r="I18" s="90"/>
    </row>
    <row r="19" spans="1:10" ht="18.75" customHeight="1">
      <c r="A19" s="224" t="s">
        <v>84</v>
      </c>
      <c r="B19" s="224"/>
      <c r="C19" s="224"/>
      <c r="D19" s="224"/>
      <c r="E19" s="224"/>
      <c r="F19" s="225" t="s">
        <v>84</v>
      </c>
      <c r="G19" s="225"/>
      <c r="H19" s="225"/>
      <c r="I19" s="225"/>
    </row>
    <row r="20" spans="1:10" ht="18.75" customHeight="1">
      <c r="A20" s="58">
        <v>1</v>
      </c>
      <c r="B20" s="235" t="s">
        <v>108</v>
      </c>
      <c r="C20" s="236"/>
      <c r="D20" s="236"/>
      <c r="E20" s="237"/>
      <c r="F20" s="92">
        <v>26</v>
      </c>
      <c r="G20" s="81"/>
      <c r="H20" s="82"/>
      <c r="I20" s="83"/>
      <c r="J20" s="96"/>
    </row>
    <row r="21" spans="1:10" ht="18.75" customHeight="1">
      <c r="A21" s="58">
        <v>2</v>
      </c>
      <c r="B21" s="238" t="s">
        <v>135</v>
      </c>
      <c r="C21" s="239"/>
      <c r="D21" s="239"/>
      <c r="E21" s="240"/>
      <c r="F21" s="92">
        <v>27</v>
      </c>
      <c r="G21" s="81"/>
      <c r="H21" s="82"/>
      <c r="I21" s="83"/>
      <c r="J21" s="96"/>
    </row>
    <row r="22" spans="1:10" ht="18.75" customHeight="1">
      <c r="A22" s="58">
        <v>3</v>
      </c>
      <c r="B22" s="241" t="s">
        <v>290</v>
      </c>
      <c r="C22" s="242"/>
      <c r="D22" s="242"/>
      <c r="E22" s="243"/>
      <c r="F22" s="92">
        <v>28</v>
      </c>
      <c r="G22" s="86"/>
      <c r="H22" s="87"/>
      <c r="I22" s="91"/>
      <c r="J22" s="96"/>
    </row>
    <row r="23" spans="1:10" ht="18.75" customHeight="1">
      <c r="A23" s="58">
        <v>4</v>
      </c>
      <c r="B23" s="228" t="s">
        <v>233</v>
      </c>
      <c r="C23" s="229"/>
      <c r="D23" s="229"/>
      <c r="E23" s="230"/>
      <c r="F23" s="92">
        <v>29</v>
      </c>
      <c r="G23" s="86"/>
      <c r="H23" s="87"/>
      <c r="I23" s="91"/>
      <c r="J23" s="96"/>
    </row>
    <row r="24" spans="1:10" ht="18.75" customHeight="1">
      <c r="A24" s="58">
        <v>5</v>
      </c>
      <c r="B24" s="228" t="s">
        <v>291</v>
      </c>
      <c r="C24" s="229"/>
      <c r="D24" s="229"/>
      <c r="E24" s="230"/>
      <c r="F24" s="92">
        <v>30</v>
      </c>
      <c r="G24" s="86"/>
      <c r="H24" s="87"/>
      <c r="I24" s="91"/>
      <c r="J24" s="96"/>
    </row>
    <row r="25" spans="1:10" ht="18.75" customHeight="1">
      <c r="A25" s="58">
        <v>6</v>
      </c>
      <c r="B25" s="228" t="s">
        <v>247</v>
      </c>
      <c r="C25" s="229"/>
      <c r="D25" s="229"/>
      <c r="E25" s="230"/>
      <c r="F25" s="92">
        <v>31</v>
      </c>
      <c r="G25" s="86"/>
      <c r="H25" s="87"/>
      <c r="I25" s="91"/>
      <c r="J25" s="96"/>
    </row>
    <row r="26" spans="1:10" ht="18.75" customHeight="1">
      <c r="A26" s="58">
        <v>7</v>
      </c>
      <c r="B26" s="228" t="s">
        <v>248</v>
      </c>
      <c r="C26" s="229"/>
      <c r="D26" s="229"/>
      <c r="E26" s="230"/>
      <c r="F26" s="92">
        <v>32</v>
      </c>
      <c r="G26" s="86"/>
      <c r="H26" s="87"/>
      <c r="I26" s="91"/>
      <c r="J26" s="96"/>
    </row>
    <row r="27" spans="1:10" ht="18.75" customHeight="1">
      <c r="A27" s="58">
        <v>8</v>
      </c>
      <c r="B27" s="228" t="s">
        <v>145</v>
      </c>
      <c r="C27" s="229"/>
      <c r="D27" s="229"/>
      <c r="E27" s="230"/>
      <c r="F27" s="92">
        <v>33</v>
      </c>
      <c r="G27" s="86"/>
      <c r="H27" s="87"/>
      <c r="I27" s="91"/>
      <c r="J27" s="96" t="s">
        <v>286</v>
      </c>
    </row>
    <row r="28" spans="1:10" ht="18.75" customHeight="1">
      <c r="A28" s="58">
        <v>9</v>
      </c>
      <c r="B28" s="228" t="s">
        <v>134</v>
      </c>
      <c r="C28" s="229"/>
      <c r="D28" s="229"/>
      <c r="E28" s="230"/>
      <c r="F28" s="92">
        <v>34</v>
      </c>
      <c r="G28" s="86"/>
      <c r="H28" s="87"/>
      <c r="I28" s="91"/>
      <c r="J28" s="96" t="s">
        <v>286</v>
      </c>
    </row>
    <row r="29" spans="1:10" ht="18.75" customHeight="1">
      <c r="A29" s="58">
        <v>10</v>
      </c>
      <c r="B29" s="228"/>
      <c r="C29" s="229"/>
      <c r="D29" s="229"/>
      <c r="E29" s="230"/>
      <c r="F29" s="92">
        <v>35</v>
      </c>
      <c r="G29" s="86"/>
      <c r="H29" s="87"/>
      <c r="I29" s="91"/>
    </row>
    <row r="30" spans="1:10" ht="18.75" customHeight="1">
      <c r="A30" s="58">
        <v>11</v>
      </c>
      <c r="B30" s="238"/>
      <c r="C30" s="239"/>
      <c r="D30" s="239"/>
      <c r="E30" s="240"/>
      <c r="F30" s="92">
        <v>36</v>
      </c>
      <c r="G30" s="86"/>
      <c r="H30" s="87"/>
      <c r="I30" s="91"/>
    </row>
    <row r="31" spans="1:10" ht="18.75" customHeight="1">
      <c r="A31" s="58">
        <v>12</v>
      </c>
      <c r="B31" s="238"/>
      <c r="C31" s="239"/>
      <c r="D31" s="239"/>
      <c r="E31" s="240"/>
      <c r="F31" s="92">
        <v>37</v>
      </c>
      <c r="G31" s="200"/>
      <c r="H31" s="201"/>
      <c r="I31" s="227"/>
    </row>
    <row r="32" spans="1:10" ht="18.75" customHeight="1">
      <c r="A32" s="58">
        <v>13</v>
      </c>
      <c r="B32" s="231"/>
      <c r="C32" s="232"/>
      <c r="D32" s="232"/>
      <c r="E32" s="233"/>
      <c r="F32" s="92">
        <v>38</v>
      </c>
      <c r="G32" s="86"/>
      <c r="H32" s="87"/>
      <c r="I32" s="91"/>
      <c r="J32" s="95"/>
    </row>
    <row r="33" spans="1:9" ht="18.75" customHeight="1">
      <c r="A33" s="58">
        <v>14</v>
      </c>
      <c r="B33" s="231"/>
      <c r="C33" s="232"/>
      <c r="D33" s="232"/>
      <c r="E33" s="233"/>
      <c r="F33" s="92">
        <v>39</v>
      </c>
      <c r="G33" s="86"/>
      <c r="H33" s="87"/>
      <c r="I33" s="91"/>
    </row>
    <row r="34" spans="1:9" ht="18.75" customHeight="1">
      <c r="A34" s="58">
        <v>15</v>
      </c>
      <c r="B34" s="231"/>
      <c r="C34" s="232"/>
      <c r="D34" s="232"/>
      <c r="E34" s="233"/>
      <c r="F34" s="92">
        <v>40</v>
      </c>
      <c r="G34" s="200"/>
      <c r="H34" s="201"/>
      <c r="I34" s="227"/>
    </row>
    <row r="35" spans="1:9" ht="18.75" customHeight="1">
      <c r="A35" s="58">
        <v>16</v>
      </c>
      <c r="B35" s="231"/>
      <c r="C35" s="232"/>
      <c r="D35" s="232"/>
      <c r="E35" s="233"/>
      <c r="F35" s="92">
        <v>41</v>
      </c>
      <c r="G35" s="200"/>
      <c r="H35" s="201"/>
      <c r="I35" s="227"/>
    </row>
    <row r="36" spans="1:9" ht="18.75" customHeight="1">
      <c r="A36" s="58">
        <v>17</v>
      </c>
      <c r="B36" s="231"/>
      <c r="C36" s="232"/>
      <c r="D36" s="232"/>
      <c r="E36" s="233"/>
      <c r="F36" s="92">
        <v>42</v>
      </c>
      <c r="G36" s="200"/>
      <c r="H36" s="201"/>
      <c r="I36" s="227"/>
    </row>
    <row r="37" spans="1:9" ht="18.75" customHeight="1">
      <c r="A37" s="58">
        <v>18</v>
      </c>
      <c r="B37" s="244"/>
      <c r="C37" s="245"/>
      <c r="D37" s="245"/>
      <c r="E37" s="246"/>
      <c r="F37" s="92">
        <v>43</v>
      </c>
      <c r="G37" s="200"/>
      <c r="H37" s="201"/>
      <c r="I37" s="227"/>
    </row>
    <row r="38" spans="1:9" ht="18.75" customHeight="1">
      <c r="A38" s="58">
        <v>19</v>
      </c>
      <c r="B38" s="247"/>
      <c r="C38" s="248"/>
      <c r="D38" s="248"/>
      <c r="E38" s="249"/>
      <c r="F38" s="92">
        <v>44</v>
      </c>
      <c r="G38" s="200"/>
      <c r="H38" s="201"/>
      <c r="I38" s="227"/>
    </row>
    <row r="39" spans="1:9" ht="18.75" customHeight="1">
      <c r="A39" s="58">
        <v>20</v>
      </c>
      <c r="B39" s="247"/>
      <c r="C39" s="248"/>
      <c r="D39" s="248"/>
      <c r="E39" s="249"/>
      <c r="F39" s="92">
        <v>45</v>
      </c>
      <c r="G39" s="200"/>
      <c r="H39" s="201"/>
      <c r="I39" s="227"/>
    </row>
    <row r="40" spans="1:9" ht="18.75" customHeight="1">
      <c r="A40" s="58">
        <v>21</v>
      </c>
      <c r="B40" s="247"/>
      <c r="C40" s="248"/>
      <c r="D40" s="248"/>
      <c r="E40" s="249"/>
      <c r="F40" s="92">
        <v>46</v>
      </c>
      <c r="G40" s="200"/>
      <c r="H40" s="201"/>
      <c r="I40" s="227"/>
    </row>
    <row r="41" spans="1:9" ht="18.75" customHeight="1">
      <c r="A41" s="58">
        <v>22</v>
      </c>
      <c r="B41" s="250"/>
      <c r="C41" s="251"/>
      <c r="D41" s="251"/>
      <c r="E41" s="252"/>
      <c r="F41" s="92">
        <v>47</v>
      </c>
      <c r="G41" s="200"/>
      <c r="H41" s="201"/>
      <c r="I41" s="227"/>
    </row>
    <row r="42" spans="1:9" ht="18.75" customHeight="1">
      <c r="A42" s="58">
        <v>23</v>
      </c>
      <c r="B42" s="253"/>
      <c r="C42" s="254"/>
      <c r="D42" s="254"/>
      <c r="E42" s="255"/>
      <c r="F42" s="92">
        <v>48</v>
      </c>
      <c r="G42" s="200"/>
      <c r="H42" s="201"/>
      <c r="I42" s="227"/>
    </row>
    <row r="43" spans="1:9" ht="18.75" customHeight="1">
      <c r="A43" s="58">
        <v>24</v>
      </c>
      <c r="B43" s="253"/>
      <c r="C43" s="254"/>
      <c r="D43" s="254"/>
      <c r="E43" s="255"/>
      <c r="F43" s="92">
        <v>49</v>
      </c>
      <c r="G43" s="200"/>
      <c r="H43" s="201"/>
      <c r="I43" s="227"/>
    </row>
    <row r="44" spans="1:9" ht="18.75" customHeight="1">
      <c r="A44" s="58">
        <v>25</v>
      </c>
      <c r="B44" s="253"/>
      <c r="C44" s="254"/>
      <c r="D44" s="254"/>
      <c r="E44" s="255"/>
      <c r="F44" s="92">
        <v>50</v>
      </c>
      <c r="G44" s="200"/>
      <c r="H44" s="201"/>
      <c r="I44" s="227"/>
    </row>
  </sheetData>
  <mergeCells count="43">
    <mergeCell ref="B42:E42"/>
    <mergeCell ref="G42:I42"/>
    <mergeCell ref="B43:E43"/>
    <mergeCell ref="G43:I43"/>
    <mergeCell ref="B44:E44"/>
    <mergeCell ref="G44:I44"/>
    <mergeCell ref="B39:E39"/>
    <mergeCell ref="G39:I39"/>
    <mergeCell ref="B40:E40"/>
    <mergeCell ref="G40:I40"/>
    <mergeCell ref="B41:E41"/>
    <mergeCell ref="G41:I41"/>
    <mergeCell ref="B36:E36"/>
    <mergeCell ref="G36:I36"/>
    <mergeCell ref="B37:E37"/>
    <mergeCell ref="G37:I37"/>
    <mergeCell ref="B38:E38"/>
    <mergeCell ref="G38:I38"/>
    <mergeCell ref="B35:E35"/>
    <mergeCell ref="G35:I35"/>
    <mergeCell ref="B26:E26"/>
    <mergeCell ref="B27:E27"/>
    <mergeCell ref="B28:E28"/>
    <mergeCell ref="B29:E29"/>
    <mergeCell ref="B30:E30"/>
    <mergeCell ref="B31:E31"/>
    <mergeCell ref="G31:I31"/>
    <mergeCell ref="B32:E32"/>
    <mergeCell ref="B33:E33"/>
    <mergeCell ref="B34:E34"/>
    <mergeCell ref="G34:I34"/>
    <mergeCell ref="B25:E25"/>
    <mergeCell ref="H2:I2"/>
    <mergeCell ref="A4:I4"/>
    <mergeCell ref="E6:I6"/>
    <mergeCell ref="B9:I16"/>
    <mergeCell ref="A19:E19"/>
    <mergeCell ref="F19:I19"/>
    <mergeCell ref="B20:E20"/>
    <mergeCell ref="B21:E21"/>
    <mergeCell ref="B22:E22"/>
    <mergeCell ref="B23:E23"/>
    <mergeCell ref="B24:E24"/>
  </mergeCells>
  <phoneticPr fontId="3"/>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heetViews>
  <sheetFormatPr defaultColWidth="9" defaultRowHeight="18.75" customHeight="1"/>
  <cols>
    <col min="1" max="1" width="2.5" style="73" customWidth="1"/>
    <col min="2" max="2" width="12.5" style="73" customWidth="1"/>
    <col min="3" max="3" width="21" style="73" customWidth="1"/>
    <col min="4" max="18" width="6.125" style="73" customWidth="1"/>
    <col min="19" max="16384" width="9" style="73"/>
  </cols>
  <sheetData>
    <row r="1" spans="1:20" ht="18.75" customHeight="1">
      <c r="F1" s="258" t="s">
        <v>59</v>
      </c>
      <c r="G1" s="258"/>
      <c r="H1" s="258"/>
      <c r="I1" s="258"/>
      <c r="J1" s="258"/>
      <c r="K1" s="258"/>
      <c r="L1" s="258"/>
      <c r="M1" s="258"/>
      <c r="N1" s="258"/>
      <c r="O1" s="258"/>
      <c r="P1" s="258"/>
      <c r="Q1" s="258"/>
      <c r="R1" s="258"/>
    </row>
    <row r="2" spans="1:20" ht="18.75" customHeight="1">
      <c r="D2" s="27"/>
      <c r="E2" s="27"/>
      <c r="F2" s="27"/>
      <c r="G2" s="27"/>
      <c r="H2" s="27"/>
      <c r="I2" s="27"/>
      <c r="J2" s="27"/>
      <c r="K2" s="258" t="s">
        <v>55</v>
      </c>
      <c r="L2" s="258"/>
      <c r="M2" s="259" t="s">
        <v>111</v>
      </c>
      <c r="N2" s="259"/>
      <c r="O2" s="259"/>
      <c r="P2" s="27"/>
      <c r="Q2" s="27"/>
      <c r="R2" s="27"/>
    </row>
    <row r="3" spans="1:20" ht="7.5" customHeight="1"/>
    <row r="4" spans="1:20" ht="18.75" customHeight="1">
      <c r="A4" s="260" t="s">
        <v>292</v>
      </c>
      <c r="B4" s="260"/>
      <c r="C4" s="260"/>
      <c r="D4" s="260"/>
      <c r="E4" s="260"/>
      <c r="F4" s="260"/>
      <c r="G4" s="260"/>
      <c r="H4" s="260"/>
      <c r="I4" s="260"/>
      <c r="J4" s="260"/>
      <c r="K4" s="260"/>
      <c r="L4" s="260"/>
      <c r="M4" s="260"/>
      <c r="N4" s="260"/>
      <c r="O4" s="260"/>
      <c r="P4" s="260"/>
      <c r="Q4" s="260"/>
      <c r="R4" s="260"/>
      <c r="S4" s="2"/>
    </row>
    <row r="5" spans="1:20" ht="7.5" customHeight="1">
      <c r="A5" s="93"/>
      <c r="B5" s="93"/>
      <c r="C5" s="93"/>
      <c r="D5" s="93"/>
      <c r="E5" s="93"/>
      <c r="F5" s="93"/>
      <c r="G5" s="93"/>
      <c r="H5" s="93"/>
      <c r="I5" s="93"/>
      <c r="J5" s="93"/>
      <c r="K5" s="93"/>
      <c r="L5" s="93"/>
      <c r="M5" s="93"/>
      <c r="N5" s="93"/>
      <c r="O5" s="93"/>
      <c r="P5" s="93"/>
      <c r="Q5" s="93"/>
      <c r="R5" s="93"/>
    </row>
    <row r="6" spans="1:20" ht="18.75" customHeight="1">
      <c r="B6" s="261" t="s">
        <v>102</v>
      </c>
      <c r="C6" s="262"/>
      <c r="D6" s="265" t="s">
        <v>72</v>
      </c>
      <c r="E6" s="267" t="s">
        <v>93</v>
      </c>
      <c r="F6" s="267"/>
      <c r="G6" s="267" t="s">
        <v>94</v>
      </c>
      <c r="H6" s="267"/>
      <c r="I6" s="268" t="s">
        <v>95</v>
      </c>
      <c r="J6" s="269"/>
      <c r="K6" s="268" t="s">
        <v>96</v>
      </c>
      <c r="L6" s="269"/>
      <c r="M6" s="268" t="s">
        <v>97</v>
      </c>
      <c r="N6" s="269"/>
      <c r="O6" s="268" t="s">
        <v>98</v>
      </c>
      <c r="P6" s="269"/>
      <c r="Q6" s="270" t="s">
        <v>58</v>
      </c>
      <c r="R6" s="272" t="s">
        <v>56</v>
      </c>
      <c r="T6" s="28"/>
    </row>
    <row r="7" spans="1:20" ht="18.75" customHeight="1">
      <c r="B7" s="263"/>
      <c r="C7" s="264"/>
      <c r="D7" s="266"/>
      <c r="E7" s="67" t="s">
        <v>49</v>
      </c>
      <c r="F7" s="68" t="s">
        <v>48</v>
      </c>
      <c r="G7" s="69" t="s">
        <v>49</v>
      </c>
      <c r="H7" s="70" t="s">
        <v>48</v>
      </c>
      <c r="I7" s="67" t="s">
        <v>49</v>
      </c>
      <c r="J7" s="68" t="s">
        <v>48</v>
      </c>
      <c r="K7" s="69" t="s">
        <v>49</v>
      </c>
      <c r="L7" s="70" t="s">
        <v>48</v>
      </c>
      <c r="M7" s="67" t="s">
        <v>49</v>
      </c>
      <c r="N7" s="68" t="s">
        <v>48</v>
      </c>
      <c r="O7" s="69" t="s">
        <v>49</v>
      </c>
      <c r="P7" s="70" t="s">
        <v>48</v>
      </c>
      <c r="Q7" s="271"/>
      <c r="R7" s="273"/>
      <c r="T7" s="28"/>
    </row>
    <row r="8" spans="1:20" ht="18.75" customHeight="1">
      <c r="A8" s="29"/>
      <c r="B8" s="274" t="s">
        <v>121</v>
      </c>
      <c r="C8" s="275"/>
      <c r="D8" s="127">
        <v>678</v>
      </c>
      <c r="E8" s="128">
        <v>8</v>
      </c>
      <c r="F8" s="129">
        <v>8</v>
      </c>
      <c r="G8" s="130">
        <v>41</v>
      </c>
      <c r="H8" s="131">
        <v>37</v>
      </c>
      <c r="I8" s="119"/>
      <c r="J8" s="120"/>
      <c r="K8" s="121"/>
      <c r="L8" s="122"/>
      <c r="M8" s="119"/>
      <c r="N8" s="120"/>
      <c r="O8" s="121"/>
      <c r="P8" s="122"/>
      <c r="Q8" s="132">
        <f>E8+G8+I8+K8+M8+O8</f>
        <v>49</v>
      </c>
      <c r="R8" s="133">
        <f>Q8/D8</f>
        <v>7.2271386430678472E-2</v>
      </c>
    </row>
    <row r="9" spans="1:20" ht="18.75" customHeight="1">
      <c r="A9" s="29"/>
      <c r="B9" s="256" t="s">
        <v>122</v>
      </c>
      <c r="C9" s="257"/>
      <c r="D9" s="134">
        <v>260</v>
      </c>
      <c r="E9" s="135">
        <v>4</v>
      </c>
      <c r="F9" s="136">
        <v>4</v>
      </c>
      <c r="G9" s="123"/>
      <c r="H9" s="124"/>
      <c r="I9" s="125"/>
      <c r="J9" s="126"/>
      <c r="K9" s="123"/>
      <c r="L9" s="124"/>
      <c r="M9" s="125"/>
      <c r="N9" s="126"/>
      <c r="O9" s="123"/>
      <c r="P9" s="124"/>
      <c r="Q9" s="137">
        <f t="shared" ref="Q9:Q27" si="0">E9+G9+I9+K9+M9+O9</f>
        <v>4</v>
      </c>
      <c r="R9" s="133">
        <f t="shared" ref="R9:R27" si="1">Q9/D9</f>
        <v>1.5384615384615385E-2</v>
      </c>
    </row>
    <row r="10" spans="1:20" ht="18.75" customHeight="1">
      <c r="A10" s="29"/>
      <c r="B10" s="256"/>
      <c r="C10" s="257"/>
      <c r="D10" s="94"/>
      <c r="E10" s="36"/>
      <c r="F10" s="37"/>
      <c r="G10" s="38"/>
      <c r="H10" s="39"/>
      <c r="I10" s="36"/>
      <c r="J10" s="37"/>
      <c r="K10" s="38"/>
      <c r="L10" s="39"/>
      <c r="M10" s="36"/>
      <c r="N10" s="37"/>
      <c r="O10" s="38"/>
      <c r="P10" s="39"/>
      <c r="Q10" s="40">
        <f t="shared" si="0"/>
        <v>0</v>
      </c>
      <c r="R10" s="35" t="e">
        <f t="shared" si="1"/>
        <v>#DIV/0!</v>
      </c>
    </row>
    <row r="11" spans="1:20" ht="18.75" customHeight="1">
      <c r="A11" s="29"/>
      <c r="B11" s="256"/>
      <c r="C11" s="257"/>
      <c r="D11" s="94"/>
      <c r="E11" s="36"/>
      <c r="F11" s="37"/>
      <c r="G11" s="38"/>
      <c r="H11" s="39"/>
      <c r="I11" s="36"/>
      <c r="J11" s="37"/>
      <c r="K11" s="38"/>
      <c r="L11" s="39"/>
      <c r="M11" s="36"/>
      <c r="N11" s="37"/>
      <c r="O11" s="38"/>
      <c r="P11" s="39"/>
      <c r="Q11" s="40">
        <f t="shared" si="0"/>
        <v>0</v>
      </c>
      <c r="R11" s="35" t="e">
        <f t="shared" si="1"/>
        <v>#DIV/0!</v>
      </c>
    </row>
    <row r="12" spans="1:20" ht="18.75" customHeight="1">
      <c r="A12" s="29"/>
      <c r="B12" s="256"/>
      <c r="C12" s="257"/>
      <c r="D12" s="94"/>
      <c r="E12" s="36"/>
      <c r="F12" s="37"/>
      <c r="G12" s="38"/>
      <c r="H12" s="39"/>
      <c r="I12" s="36"/>
      <c r="J12" s="37"/>
      <c r="K12" s="38"/>
      <c r="L12" s="39"/>
      <c r="M12" s="36"/>
      <c r="N12" s="37"/>
      <c r="O12" s="38"/>
      <c r="P12" s="39"/>
      <c r="Q12" s="40">
        <f t="shared" si="0"/>
        <v>0</v>
      </c>
      <c r="R12" s="35" t="e">
        <f t="shared" si="1"/>
        <v>#DIV/0!</v>
      </c>
    </row>
    <row r="13" spans="1:20" ht="18.75" customHeight="1">
      <c r="A13" s="29"/>
      <c r="B13" s="256"/>
      <c r="C13" s="257"/>
      <c r="D13" s="94"/>
      <c r="E13" s="36"/>
      <c r="F13" s="37"/>
      <c r="G13" s="38"/>
      <c r="H13" s="39"/>
      <c r="I13" s="36"/>
      <c r="J13" s="37"/>
      <c r="K13" s="38"/>
      <c r="L13" s="39"/>
      <c r="M13" s="36"/>
      <c r="N13" s="37"/>
      <c r="O13" s="38"/>
      <c r="P13" s="39"/>
      <c r="Q13" s="40">
        <f t="shared" si="0"/>
        <v>0</v>
      </c>
      <c r="R13" s="35" t="e">
        <f t="shared" si="1"/>
        <v>#DIV/0!</v>
      </c>
    </row>
    <row r="14" spans="1:20" ht="18.75" customHeight="1">
      <c r="A14" s="29"/>
      <c r="B14" s="256"/>
      <c r="C14" s="257"/>
      <c r="D14" s="94"/>
      <c r="E14" s="36"/>
      <c r="F14" s="37"/>
      <c r="G14" s="38"/>
      <c r="H14" s="39"/>
      <c r="I14" s="36"/>
      <c r="J14" s="37"/>
      <c r="K14" s="38"/>
      <c r="L14" s="39"/>
      <c r="M14" s="36"/>
      <c r="N14" s="37"/>
      <c r="O14" s="38"/>
      <c r="P14" s="39"/>
      <c r="Q14" s="40">
        <f t="shared" si="0"/>
        <v>0</v>
      </c>
      <c r="R14" s="35" t="e">
        <f t="shared" si="1"/>
        <v>#DIV/0!</v>
      </c>
    </row>
    <row r="15" spans="1:20" ht="18.75" customHeight="1">
      <c r="A15" s="29"/>
      <c r="B15" s="256"/>
      <c r="C15" s="257"/>
      <c r="D15" s="94"/>
      <c r="E15" s="36"/>
      <c r="F15" s="37"/>
      <c r="G15" s="38"/>
      <c r="H15" s="39"/>
      <c r="I15" s="36"/>
      <c r="J15" s="37"/>
      <c r="K15" s="38"/>
      <c r="L15" s="39"/>
      <c r="M15" s="36"/>
      <c r="N15" s="37"/>
      <c r="O15" s="38"/>
      <c r="P15" s="39"/>
      <c r="Q15" s="40">
        <f t="shared" si="0"/>
        <v>0</v>
      </c>
      <c r="R15" s="35" t="e">
        <f t="shared" si="1"/>
        <v>#DIV/0!</v>
      </c>
    </row>
    <row r="16" spans="1:20" ht="18.75" customHeight="1">
      <c r="A16" s="29"/>
      <c r="B16" s="256"/>
      <c r="C16" s="257"/>
      <c r="D16" s="94"/>
      <c r="E16" s="36"/>
      <c r="F16" s="37"/>
      <c r="G16" s="38"/>
      <c r="H16" s="39"/>
      <c r="I16" s="36"/>
      <c r="J16" s="37"/>
      <c r="K16" s="38"/>
      <c r="L16" s="39"/>
      <c r="M16" s="36"/>
      <c r="N16" s="37"/>
      <c r="O16" s="38"/>
      <c r="P16" s="39"/>
      <c r="Q16" s="40">
        <f>E16+G16+I16+K16+M16+O16</f>
        <v>0</v>
      </c>
      <c r="R16" s="35" t="e">
        <f t="shared" si="1"/>
        <v>#DIV/0!</v>
      </c>
    </row>
    <row r="17" spans="1:18" ht="18.75" customHeight="1">
      <c r="A17" s="29"/>
      <c r="B17" s="256"/>
      <c r="C17" s="257"/>
      <c r="D17" s="94"/>
      <c r="E17" s="36"/>
      <c r="F17" s="37"/>
      <c r="G17" s="38"/>
      <c r="H17" s="39"/>
      <c r="I17" s="36"/>
      <c r="J17" s="37"/>
      <c r="K17" s="38"/>
      <c r="L17" s="39"/>
      <c r="M17" s="36"/>
      <c r="N17" s="37"/>
      <c r="O17" s="38"/>
      <c r="P17" s="39"/>
      <c r="Q17" s="40">
        <f t="shared" si="0"/>
        <v>0</v>
      </c>
      <c r="R17" s="35" t="e">
        <f t="shared" si="1"/>
        <v>#DIV/0!</v>
      </c>
    </row>
    <row r="18" spans="1:18" ht="18.75" customHeight="1">
      <c r="A18" s="29"/>
      <c r="B18" s="256"/>
      <c r="C18" s="257"/>
      <c r="D18" s="94"/>
      <c r="E18" s="36"/>
      <c r="F18" s="37"/>
      <c r="G18" s="38"/>
      <c r="H18" s="39"/>
      <c r="I18" s="36"/>
      <c r="J18" s="37"/>
      <c r="K18" s="38"/>
      <c r="L18" s="39"/>
      <c r="M18" s="36"/>
      <c r="N18" s="37"/>
      <c r="O18" s="38"/>
      <c r="P18" s="39"/>
      <c r="Q18" s="40">
        <f t="shared" si="0"/>
        <v>0</v>
      </c>
      <c r="R18" s="35" t="e">
        <f t="shared" si="1"/>
        <v>#DIV/0!</v>
      </c>
    </row>
    <row r="19" spans="1:18" ht="18.75" customHeight="1">
      <c r="A19" s="29"/>
      <c r="B19" s="256"/>
      <c r="C19" s="257"/>
      <c r="D19" s="94"/>
      <c r="E19" s="36"/>
      <c r="F19" s="37"/>
      <c r="G19" s="38"/>
      <c r="H19" s="39"/>
      <c r="I19" s="36"/>
      <c r="J19" s="37"/>
      <c r="K19" s="38"/>
      <c r="L19" s="39"/>
      <c r="M19" s="36"/>
      <c r="N19" s="37"/>
      <c r="O19" s="38"/>
      <c r="P19" s="39"/>
      <c r="Q19" s="40">
        <f t="shared" si="0"/>
        <v>0</v>
      </c>
      <c r="R19" s="35" t="e">
        <f t="shared" si="1"/>
        <v>#DIV/0!</v>
      </c>
    </row>
    <row r="20" spans="1:18" ht="18.75" customHeight="1">
      <c r="A20" s="29"/>
      <c r="B20" s="256"/>
      <c r="C20" s="257"/>
      <c r="D20" s="94"/>
      <c r="E20" s="36"/>
      <c r="F20" s="37"/>
      <c r="G20" s="38"/>
      <c r="H20" s="39"/>
      <c r="I20" s="36"/>
      <c r="J20" s="37"/>
      <c r="K20" s="38"/>
      <c r="L20" s="39"/>
      <c r="M20" s="36"/>
      <c r="N20" s="37"/>
      <c r="O20" s="38"/>
      <c r="P20" s="39"/>
      <c r="Q20" s="40">
        <f t="shared" si="0"/>
        <v>0</v>
      </c>
      <c r="R20" s="35" t="e">
        <f t="shared" si="1"/>
        <v>#DIV/0!</v>
      </c>
    </row>
    <row r="21" spans="1:18" ht="18.75" customHeight="1">
      <c r="A21" s="29"/>
      <c r="B21" s="256"/>
      <c r="C21" s="257"/>
      <c r="D21" s="94"/>
      <c r="E21" s="36"/>
      <c r="F21" s="37"/>
      <c r="G21" s="38"/>
      <c r="H21" s="39"/>
      <c r="I21" s="36"/>
      <c r="J21" s="37"/>
      <c r="K21" s="38"/>
      <c r="L21" s="39"/>
      <c r="M21" s="36"/>
      <c r="N21" s="37"/>
      <c r="O21" s="38"/>
      <c r="P21" s="39"/>
      <c r="Q21" s="40">
        <f t="shared" si="0"/>
        <v>0</v>
      </c>
      <c r="R21" s="35" t="e">
        <f t="shared" si="1"/>
        <v>#DIV/0!</v>
      </c>
    </row>
    <row r="22" spans="1:18" ht="18.75" customHeight="1">
      <c r="A22" s="29"/>
      <c r="B22" s="256"/>
      <c r="C22" s="257"/>
      <c r="D22" s="94"/>
      <c r="E22" s="36"/>
      <c r="F22" s="37"/>
      <c r="G22" s="38"/>
      <c r="H22" s="39"/>
      <c r="I22" s="36"/>
      <c r="J22" s="37"/>
      <c r="K22" s="38"/>
      <c r="L22" s="39"/>
      <c r="M22" s="36"/>
      <c r="N22" s="37"/>
      <c r="O22" s="38"/>
      <c r="P22" s="39"/>
      <c r="Q22" s="40">
        <f t="shared" si="0"/>
        <v>0</v>
      </c>
      <c r="R22" s="35" t="e">
        <f t="shared" si="1"/>
        <v>#DIV/0!</v>
      </c>
    </row>
    <row r="23" spans="1:18" ht="18.75" customHeight="1">
      <c r="A23" s="29"/>
      <c r="B23" s="256"/>
      <c r="C23" s="257"/>
      <c r="D23" s="94"/>
      <c r="E23" s="36"/>
      <c r="F23" s="37"/>
      <c r="G23" s="38"/>
      <c r="H23" s="39"/>
      <c r="I23" s="36"/>
      <c r="J23" s="37"/>
      <c r="K23" s="38"/>
      <c r="L23" s="39"/>
      <c r="M23" s="36"/>
      <c r="N23" s="37"/>
      <c r="O23" s="38"/>
      <c r="P23" s="39"/>
      <c r="Q23" s="40">
        <f t="shared" si="0"/>
        <v>0</v>
      </c>
      <c r="R23" s="35" t="e">
        <f t="shared" si="1"/>
        <v>#DIV/0!</v>
      </c>
    </row>
    <row r="24" spans="1:18" ht="18.75" customHeight="1">
      <c r="A24" s="29"/>
      <c r="B24" s="256"/>
      <c r="C24" s="257"/>
      <c r="D24" s="94"/>
      <c r="E24" s="36"/>
      <c r="F24" s="37"/>
      <c r="G24" s="38"/>
      <c r="H24" s="39"/>
      <c r="I24" s="36"/>
      <c r="J24" s="37"/>
      <c r="K24" s="38"/>
      <c r="L24" s="39"/>
      <c r="M24" s="36"/>
      <c r="N24" s="37"/>
      <c r="O24" s="38"/>
      <c r="P24" s="39"/>
      <c r="Q24" s="40">
        <f t="shared" si="0"/>
        <v>0</v>
      </c>
      <c r="R24" s="35" t="e">
        <f t="shared" si="1"/>
        <v>#DIV/0!</v>
      </c>
    </row>
    <row r="25" spans="1:18" ht="18.75" customHeight="1">
      <c r="A25" s="29"/>
      <c r="B25" s="256"/>
      <c r="C25" s="257"/>
      <c r="D25" s="94"/>
      <c r="E25" s="36"/>
      <c r="F25" s="37"/>
      <c r="G25" s="38"/>
      <c r="H25" s="39"/>
      <c r="I25" s="36"/>
      <c r="J25" s="37"/>
      <c r="K25" s="38"/>
      <c r="L25" s="39"/>
      <c r="M25" s="36"/>
      <c r="N25" s="37"/>
      <c r="O25" s="38"/>
      <c r="P25" s="39"/>
      <c r="Q25" s="40">
        <f t="shared" si="0"/>
        <v>0</v>
      </c>
      <c r="R25" s="35" t="e">
        <f t="shared" si="1"/>
        <v>#DIV/0!</v>
      </c>
    </row>
    <row r="26" spans="1:18" ht="18.75" customHeight="1">
      <c r="A26" s="29"/>
      <c r="B26" s="256"/>
      <c r="C26" s="257"/>
      <c r="D26" s="94"/>
      <c r="E26" s="36"/>
      <c r="F26" s="37"/>
      <c r="G26" s="38"/>
      <c r="H26" s="39"/>
      <c r="I26" s="36"/>
      <c r="J26" s="37"/>
      <c r="K26" s="38"/>
      <c r="L26" s="39"/>
      <c r="M26" s="36"/>
      <c r="N26" s="37"/>
      <c r="O26" s="38"/>
      <c r="P26" s="39"/>
      <c r="Q26" s="40">
        <f t="shared" si="0"/>
        <v>0</v>
      </c>
      <c r="R26" s="35" t="e">
        <f t="shared" si="1"/>
        <v>#DIV/0!</v>
      </c>
    </row>
    <row r="27" spans="1:18" ht="18.75" customHeight="1" thickBot="1">
      <c r="A27" s="29"/>
      <c r="B27" s="278"/>
      <c r="C27" s="279"/>
      <c r="D27" s="30"/>
      <c r="E27" s="31"/>
      <c r="F27" s="32"/>
      <c r="G27" s="33"/>
      <c r="H27" s="34"/>
      <c r="I27" s="31"/>
      <c r="J27" s="32"/>
      <c r="K27" s="33"/>
      <c r="L27" s="34"/>
      <c r="M27" s="31"/>
      <c r="N27" s="32"/>
      <c r="O27" s="33"/>
      <c r="P27" s="34"/>
      <c r="Q27" s="41">
        <f t="shared" si="0"/>
        <v>0</v>
      </c>
      <c r="R27" s="35" t="e">
        <f t="shared" si="1"/>
        <v>#DIV/0!</v>
      </c>
    </row>
    <row r="28" spans="1:18" ht="18.75" customHeight="1" thickTop="1">
      <c r="A28" s="29"/>
      <c r="B28" s="276" t="s">
        <v>293</v>
      </c>
      <c r="C28" s="277"/>
      <c r="D28" s="42">
        <f t="shared" ref="D28:Q28" si="2">SUM(D8:D27)</f>
        <v>938</v>
      </c>
      <c r="E28" s="43">
        <f t="shared" si="2"/>
        <v>12</v>
      </c>
      <c r="F28" s="44">
        <f t="shared" si="2"/>
        <v>12</v>
      </c>
      <c r="G28" s="45">
        <f t="shared" si="2"/>
        <v>41</v>
      </c>
      <c r="H28" s="46">
        <f t="shared" si="2"/>
        <v>37</v>
      </c>
      <c r="I28" s="43">
        <f t="shared" si="2"/>
        <v>0</v>
      </c>
      <c r="J28" s="44">
        <f t="shared" si="2"/>
        <v>0</v>
      </c>
      <c r="K28" s="45">
        <f t="shared" si="2"/>
        <v>0</v>
      </c>
      <c r="L28" s="46">
        <f t="shared" si="2"/>
        <v>0</v>
      </c>
      <c r="M28" s="43">
        <f t="shared" si="2"/>
        <v>0</v>
      </c>
      <c r="N28" s="44">
        <f t="shared" si="2"/>
        <v>0</v>
      </c>
      <c r="O28" s="45">
        <f t="shared" si="2"/>
        <v>0</v>
      </c>
      <c r="P28" s="46">
        <f t="shared" si="2"/>
        <v>0</v>
      </c>
      <c r="Q28" s="47">
        <f t="shared" si="2"/>
        <v>53</v>
      </c>
      <c r="R28" s="48">
        <f>Q28/D28</f>
        <v>5.6503198294243072E-2</v>
      </c>
    </row>
    <row r="29" spans="1:18" ht="6.75" customHeight="1">
      <c r="A29" s="29"/>
      <c r="B29" s="29"/>
      <c r="C29" s="29"/>
      <c r="D29" s="49"/>
      <c r="E29" s="49"/>
      <c r="F29" s="49"/>
      <c r="G29" s="49"/>
      <c r="H29" s="49"/>
      <c r="I29" s="49"/>
      <c r="J29" s="49"/>
      <c r="K29" s="49"/>
      <c r="L29" s="49"/>
      <c r="M29" s="49"/>
      <c r="N29" s="49"/>
      <c r="O29" s="49"/>
      <c r="P29" s="49"/>
      <c r="Q29" s="49"/>
      <c r="R29" s="49"/>
    </row>
  </sheetData>
  <mergeCells count="35">
    <mergeCell ref="B28:C28"/>
    <mergeCell ref="B22:C22"/>
    <mergeCell ref="B23:C23"/>
    <mergeCell ref="B24:C24"/>
    <mergeCell ref="B25:C25"/>
    <mergeCell ref="B26:C26"/>
    <mergeCell ref="B27:C27"/>
    <mergeCell ref="B21:C21"/>
    <mergeCell ref="B10:C10"/>
    <mergeCell ref="B11:C11"/>
    <mergeCell ref="B12:C12"/>
    <mergeCell ref="B13:C13"/>
    <mergeCell ref="B14:C14"/>
    <mergeCell ref="B15:C15"/>
    <mergeCell ref="B16:C16"/>
    <mergeCell ref="B17:C17"/>
    <mergeCell ref="B18:C18"/>
    <mergeCell ref="B19:C19"/>
    <mergeCell ref="B20:C20"/>
    <mergeCell ref="B9:C9"/>
    <mergeCell ref="F1:R1"/>
    <mergeCell ref="K2:L2"/>
    <mergeCell ref="M2:O2"/>
    <mergeCell ref="A4:R4"/>
    <mergeCell ref="B6:C7"/>
    <mergeCell ref="D6:D7"/>
    <mergeCell ref="E6:F6"/>
    <mergeCell ref="G6:H6"/>
    <mergeCell ref="I6:J6"/>
    <mergeCell ref="K6:L6"/>
    <mergeCell ref="M6:N6"/>
    <mergeCell ref="O6:P6"/>
    <mergeCell ref="Q6:Q7"/>
    <mergeCell ref="R6:R7"/>
    <mergeCell ref="B8:C8"/>
  </mergeCells>
  <phoneticPr fontId="3"/>
  <printOptions horizontalCentered="1"/>
  <pageMargins left="0.78740157480314965" right="0.78740157480314965" top="0.78740157480314965" bottom="0.59055118110236227"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1"/>
  <sheetViews>
    <sheetView zoomScale="85" zoomScaleNormal="85" workbookViewId="0"/>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B1" s="62"/>
      <c r="G1" s="52" t="s">
        <v>159</v>
      </c>
    </row>
    <row r="2" spans="1:7" ht="18.75" customHeight="1">
      <c r="F2" s="52" t="s">
        <v>29</v>
      </c>
      <c r="G2" s="1" t="s">
        <v>111</v>
      </c>
    </row>
    <row r="3" spans="1:7" ht="18.75" customHeight="1">
      <c r="A3" s="284" t="s">
        <v>78</v>
      </c>
      <c r="B3" s="284"/>
      <c r="C3" s="284"/>
      <c r="D3" s="284"/>
      <c r="E3" s="284"/>
      <c r="F3" s="284"/>
      <c r="G3" s="284"/>
    </row>
    <row r="4" spans="1:7" ht="18.75" customHeight="1">
      <c r="A4" s="1" t="s">
        <v>125</v>
      </c>
      <c r="B4" s="1" t="s">
        <v>77</v>
      </c>
    </row>
    <row r="5" spans="1:7" s="53" customFormat="1" ht="18.75" customHeight="1">
      <c r="B5" s="54" t="s">
        <v>60</v>
      </c>
      <c r="C5" s="285" t="s">
        <v>87</v>
      </c>
      <c r="D5" s="286"/>
      <c r="E5" s="286"/>
      <c r="F5" s="286"/>
      <c r="G5" s="287"/>
    </row>
    <row r="6" spans="1:7" s="53" customFormat="1" ht="80.099999999999994" customHeight="1">
      <c r="B6" s="288" t="s">
        <v>126</v>
      </c>
      <c r="C6" s="291" t="s">
        <v>301</v>
      </c>
      <c r="D6" s="292"/>
      <c r="E6" s="292"/>
      <c r="F6" s="292"/>
      <c r="G6" s="293"/>
    </row>
    <row r="7" spans="1:7" s="53" customFormat="1" ht="80.099999999999994" customHeight="1">
      <c r="B7" s="289"/>
      <c r="C7" s="294"/>
      <c r="D7" s="295"/>
      <c r="E7" s="295"/>
      <c r="F7" s="295"/>
      <c r="G7" s="296"/>
    </row>
    <row r="8" spans="1:7" s="53" customFormat="1" ht="80.099999999999994" customHeight="1">
      <c r="B8" s="289"/>
      <c r="C8" s="294"/>
      <c r="D8" s="295"/>
      <c r="E8" s="295"/>
      <c r="F8" s="295"/>
      <c r="G8" s="296"/>
    </row>
    <row r="9" spans="1:7" s="53" customFormat="1" ht="80.099999999999994" customHeight="1">
      <c r="B9" s="289"/>
      <c r="C9" s="297"/>
      <c r="D9" s="298"/>
      <c r="E9" s="298"/>
      <c r="F9" s="298"/>
      <c r="G9" s="299"/>
    </row>
    <row r="10" spans="1:7" s="53" customFormat="1" ht="18.75" customHeight="1">
      <c r="B10" s="289"/>
      <c r="C10" s="23" t="s">
        <v>88</v>
      </c>
      <c r="D10" s="300" t="s">
        <v>89</v>
      </c>
      <c r="E10" s="301"/>
      <c r="F10" s="301"/>
      <c r="G10" s="302"/>
    </row>
    <row r="11" spans="1:7" s="53" customFormat="1" ht="18.75" customHeight="1">
      <c r="B11" s="289"/>
      <c r="C11" s="162" t="s">
        <v>110</v>
      </c>
      <c r="D11" s="226" t="s">
        <v>150</v>
      </c>
      <c r="E11" s="209"/>
      <c r="F11" s="209"/>
      <c r="G11" s="210"/>
    </row>
    <row r="12" spans="1:7" s="53" customFormat="1" ht="18.75" customHeight="1">
      <c r="B12" s="289"/>
      <c r="C12" s="56" t="s">
        <v>145</v>
      </c>
      <c r="D12" s="226" t="s">
        <v>202</v>
      </c>
      <c r="E12" s="209"/>
      <c r="F12" s="209"/>
      <c r="G12" s="210"/>
    </row>
    <row r="13" spans="1:7" s="53" customFormat="1" ht="18.75" customHeight="1">
      <c r="B13" s="289"/>
      <c r="C13" s="162" t="s">
        <v>155</v>
      </c>
      <c r="D13" s="226" t="s">
        <v>181</v>
      </c>
      <c r="E13" s="209"/>
      <c r="F13" s="209"/>
      <c r="G13" s="210"/>
    </row>
    <row r="14" spans="1:7" s="79" customFormat="1" ht="18.75" customHeight="1">
      <c r="B14" s="289"/>
      <c r="C14" s="162" t="s">
        <v>109</v>
      </c>
      <c r="D14" s="226" t="s">
        <v>147</v>
      </c>
      <c r="E14" s="209"/>
      <c r="F14" s="209"/>
      <c r="G14" s="210"/>
    </row>
    <row r="15" spans="1:7" s="53" customFormat="1" ht="18.75" customHeight="1">
      <c r="B15" s="289"/>
      <c r="C15" s="64" t="s">
        <v>169</v>
      </c>
      <c r="D15" s="226" t="s">
        <v>203</v>
      </c>
      <c r="E15" s="209"/>
      <c r="F15" s="209"/>
      <c r="G15" s="210"/>
    </row>
    <row r="16" spans="1:7" s="53" customFormat="1" ht="18.75" customHeight="1">
      <c r="B16" s="289"/>
      <c r="C16" s="64" t="s">
        <v>170</v>
      </c>
      <c r="D16" s="303" t="s">
        <v>204</v>
      </c>
      <c r="E16" s="304"/>
      <c r="F16" s="304"/>
      <c r="G16" s="305"/>
    </row>
    <row r="17" spans="2:7" s="53" customFormat="1" ht="18.75" customHeight="1">
      <c r="B17" s="290"/>
      <c r="C17" s="56" t="s">
        <v>180</v>
      </c>
      <c r="D17" s="226" t="s">
        <v>294</v>
      </c>
      <c r="E17" s="209"/>
      <c r="F17" s="209"/>
      <c r="G17" s="210"/>
    </row>
    <row r="18" spans="2:7" ht="18.75" customHeight="1">
      <c r="B18" s="288" t="s">
        <v>127</v>
      </c>
      <c r="C18" s="285" t="s">
        <v>87</v>
      </c>
      <c r="D18" s="286"/>
      <c r="E18" s="286"/>
      <c r="F18" s="286"/>
      <c r="G18" s="287"/>
    </row>
    <row r="19" spans="2:7" ht="69.95" customHeight="1">
      <c r="B19" s="289"/>
      <c r="C19" s="306" t="s">
        <v>251</v>
      </c>
      <c r="D19" s="307"/>
      <c r="E19" s="307"/>
      <c r="F19" s="307"/>
      <c r="G19" s="308"/>
    </row>
    <row r="20" spans="2:7" ht="69.95" customHeight="1">
      <c r="B20" s="289"/>
      <c r="C20" s="309"/>
      <c r="D20" s="310"/>
      <c r="E20" s="310"/>
      <c r="F20" s="310"/>
      <c r="G20" s="311"/>
    </row>
    <row r="21" spans="2:7" ht="69.95" customHeight="1">
      <c r="B21" s="289"/>
      <c r="C21" s="309"/>
      <c r="D21" s="310"/>
      <c r="E21" s="310"/>
      <c r="F21" s="310"/>
      <c r="G21" s="311"/>
    </row>
    <row r="22" spans="2:7" ht="69.95" customHeight="1">
      <c r="B22" s="289"/>
      <c r="C22" s="309"/>
      <c r="D22" s="310"/>
      <c r="E22" s="310"/>
      <c r="F22" s="310"/>
      <c r="G22" s="311"/>
    </row>
    <row r="23" spans="2:7" ht="69.95" customHeight="1">
      <c r="B23" s="289"/>
      <c r="C23" s="312"/>
      <c r="D23" s="313"/>
      <c r="E23" s="313"/>
      <c r="F23" s="313"/>
      <c r="G23" s="314"/>
    </row>
    <row r="24" spans="2:7" ht="18.75" customHeight="1">
      <c r="B24" s="289"/>
      <c r="C24" s="111" t="s">
        <v>88</v>
      </c>
      <c r="D24" s="315" t="s">
        <v>89</v>
      </c>
      <c r="E24" s="316"/>
      <c r="F24" s="316"/>
      <c r="G24" s="317"/>
    </row>
    <row r="25" spans="2:7" ht="18.75" customHeight="1">
      <c r="B25" s="289"/>
      <c r="C25" s="164" t="s">
        <v>166</v>
      </c>
      <c r="D25" s="226" t="s">
        <v>177</v>
      </c>
      <c r="E25" s="209"/>
      <c r="F25" s="209"/>
      <c r="G25" s="210"/>
    </row>
    <row r="26" spans="2:7" ht="18.75" customHeight="1">
      <c r="B26" s="289"/>
      <c r="C26" s="164" t="s">
        <v>160</v>
      </c>
      <c r="D26" s="226" t="s">
        <v>206</v>
      </c>
      <c r="E26" s="209"/>
      <c r="F26" s="209"/>
      <c r="G26" s="210"/>
    </row>
    <row r="27" spans="2:7" ht="18.75" customHeight="1">
      <c r="B27" s="289"/>
      <c r="C27" s="164" t="s">
        <v>241</v>
      </c>
      <c r="D27" s="226" t="s">
        <v>242</v>
      </c>
      <c r="E27" s="209"/>
      <c r="F27" s="209"/>
      <c r="G27" s="210"/>
    </row>
    <row r="28" spans="2:7" ht="18.75" customHeight="1">
      <c r="B28" s="289"/>
      <c r="C28" s="166" t="s">
        <v>110</v>
      </c>
      <c r="D28" s="226" t="s">
        <v>151</v>
      </c>
      <c r="E28" s="209"/>
      <c r="F28" s="209"/>
      <c r="G28" s="210"/>
    </row>
    <row r="29" spans="2:7" ht="18.75" customHeight="1">
      <c r="B29" s="289"/>
      <c r="C29" s="164" t="s">
        <v>109</v>
      </c>
      <c r="D29" s="226" t="s">
        <v>205</v>
      </c>
      <c r="E29" s="209"/>
      <c r="F29" s="209"/>
      <c r="G29" s="210"/>
    </row>
    <row r="30" spans="2:7" ht="18.75" customHeight="1">
      <c r="B30" s="289"/>
      <c r="C30" s="164" t="s">
        <v>178</v>
      </c>
      <c r="D30" s="226" t="s">
        <v>198</v>
      </c>
      <c r="E30" s="209"/>
      <c r="F30" s="209"/>
      <c r="G30" s="210"/>
    </row>
    <row r="31" spans="2:7" ht="18.75" customHeight="1">
      <c r="B31" s="289"/>
      <c r="C31" s="164"/>
      <c r="D31" s="226"/>
      <c r="E31" s="209"/>
      <c r="F31" s="209"/>
      <c r="G31" s="210"/>
    </row>
    <row r="32" spans="2:7" ht="18.75" customHeight="1">
      <c r="B32" s="289"/>
      <c r="C32" s="63"/>
      <c r="D32" s="280"/>
      <c r="E32" s="209"/>
      <c r="F32" s="209"/>
      <c r="G32" s="210"/>
    </row>
    <row r="33" spans="2:7" ht="18.75" customHeight="1">
      <c r="B33" s="289"/>
      <c r="C33" s="165"/>
      <c r="D33" s="226"/>
      <c r="E33" s="209"/>
      <c r="F33" s="209"/>
      <c r="G33" s="210"/>
    </row>
    <row r="34" spans="2:7" ht="18.75" customHeight="1">
      <c r="B34" s="290"/>
      <c r="C34" s="55"/>
      <c r="D34" s="349"/>
      <c r="E34" s="350"/>
      <c r="F34" s="350"/>
      <c r="G34" s="351"/>
    </row>
    <row r="35" spans="2:7" ht="18.75" customHeight="1">
      <c r="B35" s="288" t="s">
        <v>90</v>
      </c>
      <c r="C35" s="285" t="s">
        <v>87</v>
      </c>
      <c r="D35" s="286"/>
      <c r="E35" s="286"/>
      <c r="F35" s="286"/>
      <c r="G35" s="287"/>
    </row>
    <row r="36" spans="2:7" ht="105" customHeight="1">
      <c r="B36" s="289"/>
      <c r="C36" s="306" t="s">
        <v>302</v>
      </c>
      <c r="D36" s="307"/>
      <c r="E36" s="307"/>
      <c r="F36" s="307"/>
      <c r="G36" s="308"/>
    </row>
    <row r="37" spans="2:7" ht="105" customHeight="1">
      <c r="B37" s="289"/>
      <c r="C37" s="309"/>
      <c r="D37" s="310"/>
      <c r="E37" s="310"/>
      <c r="F37" s="310"/>
      <c r="G37" s="311"/>
    </row>
    <row r="38" spans="2:7" ht="105" customHeight="1">
      <c r="B38" s="289"/>
      <c r="C38" s="309"/>
      <c r="D38" s="310"/>
      <c r="E38" s="310"/>
      <c r="F38" s="310"/>
      <c r="G38" s="311"/>
    </row>
    <row r="39" spans="2:7" ht="105" customHeight="1">
      <c r="B39" s="289"/>
      <c r="C39" s="309"/>
      <c r="D39" s="310"/>
      <c r="E39" s="310"/>
      <c r="F39" s="310"/>
      <c r="G39" s="311"/>
    </row>
    <row r="40" spans="2:7" ht="132.75" customHeight="1">
      <c r="B40" s="289"/>
      <c r="C40" s="312"/>
      <c r="D40" s="313"/>
      <c r="E40" s="313"/>
      <c r="F40" s="313"/>
      <c r="G40" s="314"/>
    </row>
    <row r="41" spans="2:7" ht="18.75" customHeight="1">
      <c r="B41" s="289"/>
      <c r="C41" s="168" t="s">
        <v>88</v>
      </c>
      <c r="D41" s="318" t="s">
        <v>89</v>
      </c>
      <c r="E41" s="319"/>
      <c r="F41" s="319"/>
      <c r="G41" s="320"/>
    </row>
    <row r="42" spans="2:7" ht="18.75" customHeight="1">
      <c r="B42" s="289"/>
      <c r="C42" s="164" t="s">
        <v>210</v>
      </c>
      <c r="D42" s="226" t="s">
        <v>209</v>
      </c>
      <c r="E42" s="209"/>
      <c r="F42" s="209"/>
      <c r="G42" s="210"/>
    </row>
    <row r="43" spans="2:7" ht="18.75" customHeight="1">
      <c r="B43" s="289"/>
      <c r="C43" s="166" t="s">
        <v>152</v>
      </c>
      <c r="D43" s="226" t="s">
        <v>153</v>
      </c>
      <c r="E43" s="209"/>
      <c r="F43" s="209"/>
      <c r="G43" s="210"/>
    </row>
    <row r="44" spans="2:7" ht="18.75" customHeight="1">
      <c r="B44" s="289"/>
      <c r="C44" s="164" t="s">
        <v>149</v>
      </c>
      <c r="D44" s="208" t="s">
        <v>208</v>
      </c>
      <c r="E44" s="209"/>
      <c r="F44" s="209"/>
      <c r="G44" s="210"/>
    </row>
    <row r="45" spans="2:7" ht="18.75" customHeight="1">
      <c r="B45" s="289"/>
      <c r="C45" s="167" t="s">
        <v>171</v>
      </c>
      <c r="D45" s="226" t="s">
        <v>172</v>
      </c>
      <c r="E45" s="209"/>
      <c r="F45" s="209"/>
      <c r="G45" s="210"/>
    </row>
    <row r="46" spans="2:7" s="73" customFormat="1" ht="37.5" customHeight="1">
      <c r="B46" s="289"/>
      <c r="C46" s="167" t="s">
        <v>166</v>
      </c>
      <c r="D46" s="281" t="s">
        <v>199</v>
      </c>
      <c r="E46" s="282"/>
      <c r="F46" s="282"/>
      <c r="G46" s="283"/>
    </row>
    <row r="47" spans="2:7" s="73" customFormat="1" ht="30.75" customHeight="1">
      <c r="B47" s="289"/>
      <c r="C47" s="167" t="s">
        <v>178</v>
      </c>
      <c r="D47" s="281" t="s">
        <v>298</v>
      </c>
      <c r="E47" s="282"/>
      <c r="F47" s="282"/>
      <c r="G47" s="283"/>
    </row>
    <row r="48" spans="2:7" ht="18.75" customHeight="1">
      <c r="B48" s="289"/>
      <c r="C48" s="166" t="s">
        <v>243</v>
      </c>
      <c r="D48" s="226" t="s">
        <v>244</v>
      </c>
      <c r="E48" s="209"/>
      <c r="F48" s="209"/>
      <c r="G48" s="210"/>
    </row>
    <row r="49" spans="2:7" ht="44.25" customHeight="1">
      <c r="B49" s="289"/>
      <c r="C49" s="167" t="s">
        <v>176</v>
      </c>
      <c r="D49" s="321" t="s">
        <v>207</v>
      </c>
      <c r="E49" s="322"/>
      <c r="F49" s="322"/>
      <c r="G49" s="323"/>
    </row>
    <row r="50" spans="2:7" ht="18.75" customHeight="1">
      <c r="B50" s="289"/>
      <c r="C50" s="164" t="s">
        <v>155</v>
      </c>
      <c r="D50" s="208" t="s">
        <v>182</v>
      </c>
      <c r="E50" s="324"/>
      <c r="F50" s="324"/>
      <c r="G50" s="325"/>
    </row>
    <row r="51" spans="2:7" ht="18.75" customHeight="1">
      <c r="B51" s="289"/>
      <c r="C51" s="164" t="s">
        <v>142</v>
      </c>
      <c r="D51" s="226" t="s">
        <v>211</v>
      </c>
      <c r="E51" s="209"/>
      <c r="F51" s="209"/>
      <c r="G51" s="210"/>
    </row>
    <row r="52" spans="2:7" ht="18.75" customHeight="1">
      <c r="B52" s="289"/>
      <c r="C52" s="164" t="s">
        <v>184</v>
      </c>
      <c r="D52" s="226" t="s">
        <v>185</v>
      </c>
      <c r="E52" s="209"/>
      <c r="F52" s="209"/>
      <c r="G52" s="210"/>
    </row>
    <row r="53" spans="2:7" ht="18.75" customHeight="1">
      <c r="B53" s="289"/>
      <c r="C53" s="164" t="s">
        <v>186</v>
      </c>
      <c r="D53" s="226" t="s">
        <v>187</v>
      </c>
      <c r="E53" s="209"/>
      <c r="F53" s="209"/>
      <c r="G53" s="210"/>
    </row>
    <row r="54" spans="2:7" ht="18.75" customHeight="1">
      <c r="B54" s="289"/>
      <c r="C54" s="164" t="s">
        <v>188</v>
      </c>
      <c r="D54" s="226" t="s">
        <v>189</v>
      </c>
      <c r="E54" s="209"/>
      <c r="F54" s="209"/>
      <c r="G54" s="210"/>
    </row>
    <row r="55" spans="2:7" ht="18.75" customHeight="1">
      <c r="B55" s="289"/>
      <c r="C55" s="164" t="s">
        <v>190</v>
      </c>
      <c r="D55" s="226" t="s">
        <v>191</v>
      </c>
      <c r="E55" s="209"/>
      <c r="F55" s="209"/>
      <c r="G55" s="210"/>
    </row>
    <row r="56" spans="2:7" ht="18.75" customHeight="1">
      <c r="B56" s="289"/>
      <c r="C56" s="164" t="s">
        <v>192</v>
      </c>
      <c r="D56" s="226" t="s">
        <v>193</v>
      </c>
      <c r="E56" s="209"/>
      <c r="F56" s="209"/>
      <c r="G56" s="210"/>
    </row>
    <row r="57" spans="2:7" ht="18.75" customHeight="1">
      <c r="B57" s="289"/>
      <c r="C57" s="164" t="s">
        <v>194</v>
      </c>
      <c r="D57" s="226" t="s">
        <v>195</v>
      </c>
      <c r="E57" s="209"/>
      <c r="F57" s="209"/>
      <c r="G57" s="210"/>
    </row>
    <row r="58" spans="2:7" ht="18.75" customHeight="1">
      <c r="B58" s="289"/>
      <c r="C58" s="164" t="s">
        <v>196</v>
      </c>
      <c r="D58" s="226" t="s">
        <v>197</v>
      </c>
      <c r="E58" s="209"/>
      <c r="F58" s="209"/>
      <c r="G58" s="210"/>
    </row>
    <row r="59" spans="2:7" ht="18.75" customHeight="1">
      <c r="B59" s="289"/>
      <c r="C59" s="164" t="s">
        <v>231</v>
      </c>
      <c r="D59" s="226" t="s">
        <v>183</v>
      </c>
      <c r="E59" s="209"/>
      <c r="F59" s="209"/>
      <c r="G59" s="210"/>
    </row>
    <row r="60" spans="2:7" ht="18.75" customHeight="1">
      <c r="B60" s="289"/>
      <c r="C60" s="63"/>
      <c r="D60" s="280"/>
      <c r="E60" s="209"/>
      <c r="F60" s="209"/>
      <c r="G60" s="210"/>
    </row>
    <row r="61" spans="2:7" ht="18.75" customHeight="1">
      <c r="B61" s="289"/>
      <c r="C61" s="63"/>
      <c r="D61" s="280"/>
      <c r="E61" s="209"/>
      <c r="F61" s="209"/>
      <c r="G61" s="210"/>
    </row>
    <row r="62" spans="2:7" ht="18.75" customHeight="1">
      <c r="B62" s="289"/>
      <c r="C62" s="63"/>
      <c r="D62" s="280"/>
      <c r="E62" s="209"/>
      <c r="F62" s="209"/>
      <c r="G62" s="210"/>
    </row>
    <row r="63" spans="2:7" ht="18.75" customHeight="1">
      <c r="B63" s="289"/>
      <c r="C63" s="165"/>
      <c r="D63" s="226"/>
      <c r="E63" s="209"/>
      <c r="F63" s="209"/>
      <c r="G63" s="210"/>
    </row>
    <row r="64" spans="2:7" ht="18.75" customHeight="1">
      <c r="B64" s="289"/>
      <c r="C64" s="63"/>
      <c r="D64" s="280"/>
      <c r="E64" s="209"/>
      <c r="F64" s="209"/>
      <c r="G64" s="210"/>
    </row>
    <row r="65" spans="2:7" ht="18.75" customHeight="1">
      <c r="B65" s="289"/>
      <c r="C65" s="63"/>
      <c r="D65" s="280"/>
      <c r="E65" s="209"/>
      <c r="F65" s="209"/>
      <c r="G65" s="210"/>
    </row>
    <row r="66" spans="2:7" ht="18.75" customHeight="1">
      <c r="B66" s="289"/>
      <c r="C66" s="63"/>
      <c r="D66" s="280"/>
      <c r="E66" s="209"/>
      <c r="F66" s="209"/>
      <c r="G66" s="210"/>
    </row>
    <row r="67" spans="2:7" ht="18.75" customHeight="1">
      <c r="B67" s="290"/>
      <c r="C67" s="164"/>
      <c r="D67" s="226"/>
      <c r="E67" s="209"/>
      <c r="F67" s="209"/>
      <c r="G67" s="210"/>
    </row>
    <row r="68" spans="2:7" ht="18.75" customHeight="1">
      <c r="B68" s="288" t="s">
        <v>128</v>
      </c>
      <c r="C68" s="326" t="s">
        <v>87</v>
      </c>
      <c r="D68" s="327"/>
      <c r="E68" s="327"/>
      <c r="F68" s="327"/>
      <c r="G68" s="328"/>
    </row>
    <row r="69" spans="2:7" ht="45" customHeight="1">
      <c r="B69" s="289"/>
      <c r="C69" s="329" t="s">
        <v>250</v>
      </c>
      <c r="D69" s="330"/>
      <c r="E69" s="330"/>
      <c r="F69" s="330"/>
      <c r="G69" s="331"/>
    </row>
    <row r="70" spans="2:7" ht="45" customHeight="1">
      <c r="B70" s="289"/>
      <c r="C70" s="332"/>
      <c r="D70" s="333"/>
      <c r="E70" s="333"/>
      <c r="F70" s="333"/>
      <c r="G70" s="334"/>
    </row>
    <row r="71" spans="2:7" ht="45" customHeight="1">
      <c r="B71" s="289"/>
      <c r="C71" s="332"/>
      <c r="D71" s="333"/>
      <c r="E71" s="333"/>
      <c r="F71" s="333"/>
      <c r="G71" s="334"/>
    </row>
    <row r="72" spans="2:7" ht="45" customHeight="1">
      <c r="B72" s="289"/>
      <c r="C72" s="332"/>
      <c r="D72" s="333"/>
      <c r="E72" s="333"/>
      <c r="F72" s="333"/>
      <c r="G72" s="334"/>
    </row>
    <row r="73" spans="2:7" ht="45" customHeight="1">
      <c r="B73" s="289"/>
      <c r="C73" s="335"/>
      <c r="D73" s="336"/>
      <c r="E73" s="336"/>
      <c r="F73" s="336"/>
      <c r="G73" s="337"/>
    </row>
    <row r="74" spans="2:7" ht="18.75" customHeight="1">
      <c r="B74" s="289"/>
      <c r="C74" s="112" t="s">
        <v>88</v>
      </c>
      <c r="D74" s="326" t="s">
        <v>89</v>
      </c>
      <c r="E74" s="327"/>
      <c r="F74" s="327"/>
      <c r="G74" s="328"/>
    </row>
    <row r="75" spans="2:7" ht="18.75" customHeight="1">
      <c r="B75" s="289"/>
      <c r="C75" s="167" t="s">
        <v>174</v>
      </c>
      <c r="D75" s="338" t="s">
        <v>154</v>
      </c>
      <c r="E75" s="322"/>
      <c r="F75" s="322"/>
      <c r="G75" s="323"/>
    </row>
    <row r="76" spans="2:7" ht="49.5" customHeight="1">
      <c r="B76" s="289"/>
      <c r="C76" s="167" t="s">
        <v>144</v>
      </c>
      <c r="D76" s="208" t="s">
        <v>212</v>
      </c>
      <c r="E76" s="209"/>
      <c r="F76" s="209"/>
      <c r="G76" s="210"/>
    </row>
    <row r="77" spans="2:7" ht="18.75" customHeight="1">
      <c r="B77" s="289"/>
      <c r="C77" s="167" t="s">
        <v>213</v>
      </c>
      <c r="D77" s="338" t="s">
        <v>214</v>
      </c>
      <c r="E77" s="322"/>
      <c r="F77" s="322"/>
      <c r="G77" s="323"/>
    </row>
    <row r="78" spans="2:7" ht="18.75" customHeight="1">
      <c r="B78" s="289"/>
      <c r="C78" s="113"/>
      <c r="D78" s="300"/>
      <c r="E78" s="301"/>
      <c r="F78" s="301"/>
      <c r="G78" s="302"/>
    </row>
    <row r="79" spans="2:7" ht="18.75" customHeight="1">
      <c r="B79" s="289"/>
      <c r="C79" s="113"/>
      <c r="D79" s="300"/>
      <c r="E79" s="301"/>
      <c r="F79" s="301"/>
      <c r="G79" s="302"/>
    </row>
    <row r="80" spans="2:7" ht="18.75" customHeight="1">
      <c r="B80" s="289"/>
      <c r="C80" s="65"/>
      <c r="D80" s="349"/>
      <c r="E80" s="350"/>
      <c r="F80" s="350"/>
      <c r="G80" s="351"/>
    </row>
    <row r="81" spans="2:7" ht="18.75" customHeight="1">
      <c r="B81" s="289"/>
      <c r="C81" s="65"/>
      <c r="D81" s="349"/>
      <c r="E81" s="350"/>
      <c r="F81" s="350"/>
      <c r="G81" s="351"/>
    </row>
    <row r="82" spans="2:7" ht="18.75" customHeight="1">
      <c r="B82" s="289"/>
      <c r="C82" s="65"/>
      <c r="D82" s="349"/>
      <c r="E82" s="350"/>
      <c r="F82" s="350"/>
      <c r="G82" s="351"/>
    </row>
    <row r="83" spans="2:7" ht="18.75" customHeight="1">
      <c r="B83" s="289"/>
      <c r="C83" s="65"/>
      <c r="D83" s="349"/>
      <c r="E83" s="350"/>
      <c r="F83" s="350"/>
      <c r="G83" s="351"/>
    </row>
    <row r="84" spans="2:7" ht="18.75" customHeight="1">
      <c r="B84" s="289"/>
      <c r="C84" s="65"/>
      <c r="D84" s="349"/>
      <c r="E84" s="350"/>
      <c r="F84" s="350"/>
      <c r="G84" s="351"/>
    </row>
    <row r="85" spans="2:7" ht="18.75" customHeight="1">
      <c r="B85" s="289"/>
      <c r="C85" s="65"/>
      <c r="D85" s="349"/>
      <c r="E85" s="350"/>
      <c r="F85" s="350"/>
      <c r="G85" s="351"/>
    </row>
    <row r="86" spans="2:7" ht="18.75" customHeight="1">
      <c r="B86" s="289"/>
      <c r="C86" s="65"/>
      <c r="D86" s="349"/>
      <c r="E86" s="350"/>
      <c r="F86" s="350"/>
      <c r="G86" s="351"/>
    </row>
    <row r="87" spans="2:7" ht="18.75" customHeight="1">
      <c r="B87" s="289"/>
      <c r="C87" s="65"/>
      <c r="D87" s="349"/>
      <c r="E87" s="350"/>
      <c r="F87" s="350"/>
      <c r="G87" s="351"/>
    </row>
    <row r="88" spans="2:7" ht="18.75" customHeight="1">
      <c r="B88" s="289"/>
      <c r="C88" s="65"/>
      <c r="D88" s="349"/>
      <c r="E88" s="350"/>
      <c r="F88" s="350"/>
      <c r="G88" s="351"/>
    </row>
    <row r="89" spans="2:7" ht="18.75" customHeight="1">
      <c r="B89" s="290"/>
      <c r="C89" s="55"/>
      <c r="D89" s="349"/>
      <c r="E89" s="350"/>
      <c r="F89" s="350"/>
      <c r="G89" s="351"/>
    </row>
    <row r="90" spans="2:7" ht="18.75" customHeight="1">
      <c r="B90" s="288" t="s">
        <v>129</v>
      </c>
      <c r="C90" s="352" t="s">
        <v>87</v>
      </c>
      <c r="D90" s="286"/>
      <c r="E90" s="286"/>
      <c r="F90" s="286"/>
      <c r="G90" s="287"/>
    </row>
    <row r="91" spans="2:7" ht="67.5" customHeight="1">
      <c r="B91" s="289"/>
      <c r="C91" s="306" t="s">
        <v>295</v>
      </c>
      <c r="D91" s="307"/>
      <c r="E91" s="307"/>
      <c r="F91" s="307"/>
      <c r="G91" s="308"/>
    </row>
    <row r="92" spans="2:7" ht="67.5" customHeight="1">
      <c r="B92" s="289"/>
      <c r="C92" s="309"/>
      <c r="D92" s="310"/>
      <c r="E92" s="310"/>
      <c r="F92" s="310"/>
      <c r="G92" s="311"/>
    </row>
    <row r="93" spans="2:7" ht="67.5" customHeight="1">
      <c r="B93" s="289"/>
      <c r="C93" s="309"/>
      <c r="D93" s="310"/>
      <c r="E93" s="310"/>
      <c r="F93" s="310"/>
      <c r="G93" s="311"/>
    </row>
    <row r="94" spans="2:7" ht="67.5" customHeight="1">
      <c r="B94" s="289"/>
      <c r="C94" s="309"/>
      <c r="D94" s="310"/>
      <c r="E94" s="310"/>
      <c r="F94" s="310"/>
      <c r="G94" s="311"/>
    </row>
    <row r="95" spans="2:7" ht="67.5" customHeight="1">
      <c r="B95" s="289"/>
      <c r="C95" s="312"/>
      <c r="D95" s="313"/>
      <c r="E95" s="313"/>
      <c r="F95" s="313"/>
      <c r="G95" s="314"/>
    </row>
    <row r="96" spans="2:7" ht="18.75" customHeight="1">
      <c r="B96" s="289"/>
      <c r="C96" s="114"/>
      <c r="D96" s="315" t="s">
        <v>89</v>
      </c>
      <c r="E96" s="316"/>
      <c r="F96" s="316"/>
      <c r="G96" s="317"/>
    </row>
    <row r="97" spans="1:7" ht="18.75" customHeight="1">
      <c r="B97" s="289"/>
      <c r="C97" s="108" t="s">
        <v>161</v>
      </c>
      <c r="D97" s="226" t="s">
        <v>219</v>
      </c>
      <c r="E97" s="209"/>
      <c r="F97" s="209"/>
      <c r="G97" s="210"/>
    </row>
    <row r="98" spans="1:7" ht="18.75" customHeight="1">
      <c r="B98" s="289"/>
      <c r="C98" s="108" t="s">
        <v>245</v>
      </c>
      <c r="D98" s="226" t="s">
        <v>246</v>
      </c>
      <c r="E98" s="209"/>
      <c r="F98" s="209"/>
      <c r="G98" s="210"/>
    </row>
    <row r="99" spans="1:7" ht="18.75" customHeight="1">
      <c r="B99" s="289"/>
      <c r="C99" s="108" t="s">
        <v>166</v>
      </c>
      <c r="D99" s="226" t="s">
        <v>179</v>
      </c>
      <c r="E99" s="209"/>
      <c r="F99" s="209"/>
      <c r="G99" s="210"/>
    </row>
    <row r="100" spans="1:7" ht="18.75" customHeight="1">
      <c r="B100" s="289"/>
      <c r="C100" s="108" t="s">
        <v>220</v>
      </c>
      <c r="D100" s="226" t="s">
        <v>218</v>
      </c>
      <c r="E100" s="209"/>
      <c r="F100" s="209"/>
      <c r="G100" s="210"/>
    </row>
    <row r="101" spans="1:7" ht="18.75" customHeight="1">
      <c r="B101" s="289"/>
      <c r="C101" s="108"/>
      <c r="D101" s="226"/>
      <c r="E101" s="209"/>
      <c r="F101" s="209"/>
      <c r="G101" s="210"/>
    </row>
    <row r="102" spans="1:7" ht="18.75" customHeight="1">
      <c r="B102" s="289"/>
      <c r="C102" s="108"/>
      <c r="D102" s="176"/>
      <c r="E102" s="177"/>
      <c r="F102" s="177"/>
      <c r="G102" s="178"/>
    </row>
    <row r="103" spans="1:7" ht="18.75" customHeight="1">
      <c r="B103" s="289"/>
      <c r="C103" s="84"/>
      <c r="D103" s="226"/>
      <c r="E103" s="209"/>
      <c r="F103" s="209"/>
      <c r="G103" s="210"/>
    </row>
    <row r="104" spans="1:7" ht="18.75" customHeight="1">
      <c r="B104" s="289"/>
      <c r="C104" s="74"/>
      <c r="D104" s="226"/>
      <c r="E104" s="209"/>
      <c r="F104" s="209"/>
      <c r="G104" s="210"/>
    </row>
    <row r="105" spans="1:7" ht="18.75" customHeight="1">
      <c r="B105" s="289"/>
      <c r="C105" s="71"/>
      <c r="D105" s="173"/>
      <c r="E105" s="174"/>
      <c r="F105" s="174"/>
      <c r="G105" s="175"/>
    </row>
    <row r="106" spans="1:7" ht="18.75" customHeight="1">
      <c r="B106" s="290"/>
      <c r="C106" s="54"/>
      <c r="D106" s="349"/>
      <c r="E106" s="350"/>
      <c r="F106" s="350"/>
      <c r="G106" s="351"/>
    </row>
    <row r="107" spans="1:7" ht="18.75" customHeight="1">
      <c r="A107" s="1" t="s">
        <v>130</v>
      </c>
      <c r="B107" s="1" t="s">
        <v>85</v>
      </c>
    </row>
    <row r="108" spans="1:7" ht="22.5" customHeight="1">
      <c r="B108" s="54" t="s">
        <v>60</v>
      </c>
      <c r="C108" s="285" t="s">
        <v>84</v>
      </c>
      <c r="D108" s="286"/>
      <c r="E108" s="286"/>
      <c r="F108" s="286"/>
      <c r="G108" s="287"/>
    </row>
    <row r="109" spans="1:7" ht="39.75" customHeight="1">
      <c r="B109" s="24" t="s">
        <v>61</v>
      </c>
      <c r="C109" s="181" t="s">
        <v>165</v>
      </c>
      <c r="D109" s="182"/>
      <c r="E109" s="182"/>
      <c r="F109" s="182"/>
      <c r="G109" s="183"/>
    </row>
    <row r="110" spans="1:7" ht="39.75" customHeight="1">
      <c r="B110" s="24" t="s">
        <v>62</v>
      </c>
      <c r="C110" s="181" t="s">
        <v>215</v>
      </c>
      <c r="D110" s="182"/>
      <c r="E110" s="182"/>
      <c r="F110" s="182"/>
      <c r="G110" s="183"/>
    </row>
    <row r="111" spans="1:7" ht="39.75" customHeight="1">
      <c r="B111" s="24" t="s">
        <v>63</v>
      </c>
      <c r="C111" s="181" t="s">
        <v>215</v>
      </c>
      <c r="D111" s="182"/>
      <c r="E111" s="182"/>
      <c r="F111" s="182"/>
      <c r="G111" s="183"/>
    </row>
    <row r="112" spans="1:7" ht="39.75" customHeight="1">
      <c r="B112" s="24" t="s">
        <v>64</v>
      </c>
      <c r="C112" s="181" t="s">
        <v>110</v>
      </c>
      <c r="D112" s="182"/>
      <c r="E112" s="182"/>
      <c r="F112" s="182"/>
      <c r="G112" s="183"/>
    </row>
    <row r="113" spans="1:9" ht="39.75" customHeight="1">
      <c r="B113" s="24" t="s">
        <v>65</v>
      </c>
      <c r="C113" s="181" t="s">
        <v>146</v>
      </c>
      <c r="D113" s="182"/>
      <c r="E113" s="182"/>
      <c r="F113" s="182"/>
      <c r="G113" s="183"/>
    </row>
    <row r="114" spans="1:9" ht="39.75" customHeight="1">
      <c r="B114" s="24" t="s">
        <v>66</v>
      </c>
      <c r="C114" s="181" t="s">
        <v>216</v>
      </c>
      <c r="D114" s="182"/>
      <c r="E114" s="182"/>
      <c r="F114" s="182"/>
      <c r="G114" s="183"/>
    </row>
    <row r="115" spans="1:9" ht="39.75" customHeight="1">
      <c r="B115" s="24" t="s">
        <v>131</v>
      </c>
      <c r="C115" s="181" t="s">
        <v>217</v>
      </c>
      <c r="D115" s="182"/>
      <c r="E115" s="182"/>
      <c r="F115" s="182"/>
      <c r="G115" s="183"/>
    </row>
    <row r="116" spans="1:9" ht="39.75" customHeight="1">
      <c r="B116" s="24" t="s">
        <v>67</v>
      </c>
      <c r="C116" s="181" t="s">
        <v>110</v>
      </c>
      <c r="D116" s="182"/>
      <c r="E116" s="182"/>
      <c r="F116" s="182"/>
      <c r="G116" s="183"/>
    </row>
    <row r="117" spans="1:9" ht="39.75" customHeight="1">
      <c r="B117" s="24" t="s">
        <v>68</v>
      </c>
      <c r="C117" s="181"/>
      <c r="D117" s="182"/>
      <c r="E117" s="182"/>
      <c r="F117" s="182"/>
      <c r="G117" s="183"/>
    </row>
    <row r="118" spans="1:9" ht="7.5" customHeight="1"/>
    <row r="119" spans="1:9" ht="25.5" customHeight="1">
      <c r="A119" s="1" t="s">
        <v>132</v>
      </c>
      <c r="B119" s="138" t="s">
        <v>80</v>
      </c>
      <c r="C119" s="138"/>
      <c r="D119" s="138"/>
      <c r="E119" s="339" t="s">
        <v>311</v>
      </c>
      <c r="F119" s="177"/>
      <c r="G119" s="178"/>
      <c r="H119" s="138"/>
      <c r="I119" s="138"/>
    </row>
    <row r="120" spans="1:9" ht="7.5" customHeight="1"/>
    <row r="121" spans="1:9" ht="18.75" customHeight="1">
      <c r="A121" s="1" t="s">
        <v>133</v>
      </c>
      <c r="B121" s="1" t="s">
        <v>81</v>
      </c>
    </row>
    <row r="122" spans="1:9" ht="18.75" customHeight="1">
      <c r="B122" s="340" t="s">
        <v>252</v>
      </c>
      <c r="C122" s="341"/>
      <c r="D122" s="341"/>
      <c r="E122" s="341"/>
      <c r="F122" s="341"/>
      <c r="G122" s="342"/>
    </row>
    <row r="123" spans="1:9" ht="18.75" customHeight="1">
      <c r="B123" s="343"/>
      <c r="C123" s="344"/>
      <c r="D123" s="344"/>
      <c r="E123" s="344"/>
      <c r="F123" s="344"/>
      <c r="G123" s="345"/>
    </row>
    <row r="124" spans="1:9" ht="18.75" customHeight="1">
      <c r="B124" s="343"/>
      <c r="C124" s="344"/>
      <c r="D124" s="344"/>
      <c r="E124" s="344"/>
      <c r="F124" s="344"/>
      <c r="G124" s="345"/>
    </row>
    <row r="125" spans="1:9" ht="18.75" customHeight="1">
      <c r="B125" s="346"/>
      <c r="C125" s="347"/>
      <c r="D125" s="347"/>
      <c r="E125" s="347"/>
      <c r="F125" s="347"/>
      <c r="G125" s="348"/>
    </row>
    <row r="126" spans="1:9" ht="18.75" customHeight="1"/>
    <row r="127" spans="1:9" ht="18.75" customHeight="1"/>
    <row r="128" spans="1:9" ht="18.75" customHeight="1"/>
    <row r="129" ht="18.75" customHeight="1"/>
    <row r="130" ht="18.75" customHeight="1"/>
    <row r="131" ht="18.75" customHeight="1"/>
  </sheetData>
  <mergeCells count="101">
    <mergeCell ref="D31:G31"/>
    <mergeCell ref="D66:G66"/>
    <mergeCell ref="D65:G65"/>
    <mergeCell ref="D60:G60"/>
    <mergeCell ref="D61:G61"/>
    <mergeCell ref="D62:G62"/>
    <mergeCell ref="D63:G63"/>
    <mergeCell ref="D89:G89"/>
    <mergeCell ref="D74:G74"/>
    <mergeCell ref="D77:G77"/>
    <mergeCell ref="D76:G76"/>
    <mergeCell ref="D80:G80"/>
    <mergeCell ref="D79:G79"/>
    <mergeCell ref="D82:G82"/>
    <mergeCell ref="D83:G83"/>
    <mergeCell ref="D78:G78"/>
    <mergeCell ref="D81:G81"/>
    <mergeCell ref="D84:G84"/>
    <mergeCell ref="D85:G85"/>
    <mergeCell ref="D86:G86"/>
    <mergeCell ref="D87:G87"/>
    <mergeCell ref="D88:G88"/>
    <mergeCell ref="D53:G53"/>
    <mergeCell ref="D34:G34"/>
    <mergeCell ref="D105:G105"/>
    <mergeCell ref="B90:B106"/>
    <mergeCell ref="C90:G90"/>
    <mergeCell ref="C91:G95"/>
    <mergeCell ref="D96:G96"/>
    <mergeCell ref="D97:G97"/>
    <mergeCell ref="D101:G101"/>
    <mergeCell ref="D102:G102"/>
    <mergeCell ref="D103:G103"/>
    <mergeCell ref="D29:G29"/>
    <mergeCell ref="D45:G45"/>
    <mergeCell ref="E119:G119"/>
    <mergeCell ref="B122:G125"/>
    <mergeCell ref="C110:G110"/>
    <mergeCell ref="C111:G111"/>
    <mergeCell ref="C112:G112"/>
    <mergeCell ref="C113:G113"/>
    <mergeCell ref="C114:G114"/>
    <mergeCell ref="C115:G115"/>
    <mergeCell ref="C116:G116"/>
    <mergeCell ref="D54:G54"/>
    <mergeCell ref="D55:G55"/>
    <mergeCell ref="D56:G56"/>
    <mergeCell ref="D57:G57"/>
    <mergeCell ref="D58:G58"/>
    <mergeCell ref="D64:G64"/>
    <mergeCell ref="D67:G67"/>
    <mergeCell ref="C117:G117"/>
    <mergeCell ref="C109:G109"/>
    <mergeCell ref="D100:G100"/>
    <mergeCell ref="D98:G98"/>
    <mergeCell ref="D106:G106"/>
    <mergeCell ref="C108:G108"/>
    <mergeCell ref="B68:B89"/>
    <mergeCell ref="D104:G104"/>
    <mergeCell ref="B35:B67"/>
    <mergeCell ref="C35:G35"/>
    <mergeCell ref="C36:G40"/>
    <mergeCell ref="D41:G41"/>
    <mergeCell ref="D49:G49"/>
    <mergeCell ref="D44:G44"/>
    <mergeCell ref="D42:G42"/>
    <mergeCell ref="D43:G43"/>
    <mergeCell ref="D59:G59"/>
    <mergeCell ref="D50:G50"/>
    <mergeCell ref="D52:G52"/>
    <mergeCell ref="D48:G48"/>
    <mergeCell ref="D51:G51"/>
    <mergeCell ref="D99:G99"/>
    <mergeCell ref="C68:G68"/>
    <mergeCell ref="C69:G73"/>
    <mergeCell ref="D75:G75"/>
    <mergeCell ref="D47:G47"/>
    <mergeCell ref="D28:G28"/>
    <mergeCell ref="D33:G33"/>
    <mergeCell ref="D27:G27"/>
    <mergeCell ref="D32:G32"/>
    <mergeCell ref="D26:G26"/>
    <mergeCell ref="D46:G46"/>
    <mergeCell ref="D17:G17"/>
    <mergeCell ref="A3:G3"/>
    <mergeCell ref="C5:G5"/>
    <mergeCell ref="B6:B17"/>
    <mergeCell ref="C6:G9"/>
    <mergeCell ref="D10:G10"/>
    <mergeCell ref="D11:G11"/>
    <mergeCell ref="D13:G13"/>
    <mergeCell ref="D15:G15"/>
    <mergeCell ref="D16:G16"/>
    <mergeCell ref="D12:G12"/>
    <mergeCell ref="D14:G14"/>
    <mergeCell ref="B18:B34"/>
    <mergeCell ref="C18:G18"/>
    <mergeCell ref="D30:G30"/>
    <mergeCell ref="C19:G23"/>
    <mergeCell ref="D24:G24"/>
    <mergeCell ref="D25:G25"/>
  </mergeCells>
  <phoneticPr fontId="3"/>
  <hyperlinks>
    <hyperlink ref="E119"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8"/>
  <sheetViews>
    <sheetView workbookViewId="0"/>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B1" s="62"/>
      <c r="G1" s="66" t="s">
        <v>173</v>
      </c>
    </row>
    <row r="2" spans="1:7" ht="18.75" customHeight="1">
      <c r="F2" s="59" t="s">
        <v>29</v>
      </c>
      <c r="G2" s="1" t="s">
        <v>111</v>
      </c>
    </row>
    <row r="3" spans="1:7" ht="18.75" customHeight="1">
      <c r="A3" s="284" t="s">
        <v>78</v>
      </c>
      <c r="B3" s="284"/>
      <c r="C3" s="284"/>
      <c r="D3" s="284"/>
      <c r="E3" s="284"/>
      <c r="F3" s="284"/>
      <c r="G3" s="284"/>
    </row>
    <row r="4" spans="1:7" ht="18.75" customHeight="1">
      <c r="A4" s="1" t="s">
        <v>7</v>
      </c>
      <c r="B4" s="1" t="s">
        <v>77</v>
      </c>
    </row>
    <row r="5" spans="1:7" s="60" customFormat="1" ht="18.75" customHeight="1">
      <c r="B5" s="55" t="s">
        <v>60</v>
      </c>
      <c r="C5" s="285" t="s">
        <v>87</v>
      </c>
      <c r="D5" s="286"/>
      <c r="E5" s="286"/>
      <c r="F5" s="286"/>
      <c r="G5" s="287"/>
    </row>
    <row r="6" spans="1:7" s="60" customFormat="1" ht="50.25" customHeight="1">
      <c r="B6" s="288" t="s">
        <v>126</v>
      </c>
      <c r="C6" s="291" t="s">
        <v>249</v>
      </c>
      <c r="D6" s="292"/>
      <c r="E6" s="292"/>
      <c r="F6" s="292"/>
      <c r="G6" s="293"/>
    </row>
    <row r="7" spans="1:7" s="60" customFormat="1" ht="50.25" customHeight="1">
      <c r="B7" s="289"/>
      <c r="C7" s="294"/>
      <c r="D7" s="295"/>
      <c r="E7" s="295"/>
      <c r="F7" s="295"/>
      <c r="G7" s="296"/>
    </row>
    <row r="8" spans="1:7" s="60" customFormat="1" ht="50.25" customHeight="1">
      <c r="B8" s="289"/>
      <c r="C8" s="294"/>
      <c r="D8" s="295"/>
      <c r="E8" s="295"/>
      <c r="F8" s="295"/>
      <c r="G8" s="296"/>
    </row>
    <row r="9" spans="1:7" s="60" customFormat="1" ht="60.75" customHeight="1">
      <c r="B9" s="289"/>
      <c r="C9" s="297"/>
      <c r="D9" s="298"/>
      <c r="E9" s="298"/>
      <c r="F9" s="298"/>
      <c r="G9" s="299"/>
    </row>
    <row r="10" spans="1:7" s="60" customFormat="1" ht="18.75" customHeight="1">
      <c r="B10" s="289"/>
      <c r="C10" s="114" t="s">
        <v>88</v>
      </c>
      <c r="D10" s="300" t="s">
        <v>89</v>
      </c>
      <c r="E10" s="301"/>
      <c r="F10" s="301"/>
      <c r="G10" s="302"/>
    </row>
    <row r="11" spans="1:7" s="60" customFormat="1" ht="18.75" customHeight="1">
      <c r="B11" s="289"/>
      <c r="C11" s="163" t="s">
        <v>148</v>
      </c>
      <c r="D11" s="226" t="s">
        <v>175</v>
      </c>
      <c r="E11" s="209"/>
      <c r="F11" s="209"/>
      <c r="G11" s="210"/>
    </row>
    <row r="12" spans="1:7" s="60" customFormat="1" ht="18.75" customHeight="1">
      <c r="B12" s="289"/>
      <c r="C12" s="163" t="s">
        <v>145</v>
      </c>
      <c r="D12" s="226" t="s">
        <v>202</v>
      </c>
      <c r="E12" s="209"/>
      <c r="F12" s="209"/>
      <c r="G12" s="210"/>
    </row>
    <row r="13" spans="1:7" s="60" customFormat="1" ht="18.75" customHeight="1">
      <c r="B13" s="289"/>
      <c r="C13" s="163" t="s">
        <v>109</v>
      </c>
      <c r="D13" s="226" t="s">
        <v>147</v>
      </c>
      <c r="E13" s="209"/>
      <c r="F13" s="209"/>
      <c r="G13" s="210"/>
    </row>
    <row r="14" spans="1:7" s="60" customFormat="1" ht="18.75" customHeight="1">
      <c r="B14" s="289"/>
      <c r="C14" s="61"/>
      <c r="D14" s="359"/>
      <c r="E14" s="360"/>
      <c r="F14" s="360"/>
      <c r="G14" s="361"/>
    </row>
    <row r="15" spans="1:7" s="60" customFormat="1" ht="18.75" customHeight="1">
      <c r="B15" s="289"/>
      <c r="C15" s="80"/>
      <c r="D15" s="285"/>
      <c r="E15" s="286"/>
      <c r="F15" s="286"/>
      <c r="G15" s="287"/>
    </row>
    <row r="16" spans="1:7" s="60" customFormat="1" ht="18.75" customHeight="1">
      <c r="B16" s="289"/>
      <c r="C16" s="55"/>
      <c r="D16" s="285"/>
      <c r="E16" s="286"/>
      <c r="F16" s="286"/>
      <c r="G16" s="287"/>
    </row>
    <row r="17" spans="2:7" s="60" customFormat="1" ht="18.75" customHeight="1">
      <c r="B17" s="289"/>
      <c r="C17" s="162"/>
      <c r="D17" s="226"/>
      <c r="E17" s="209"/>
      <c r="F17" s="209"/>
      <c r="G17" s="210"/>
    </row>
    <row r="18" spans="2:7" s="60" customFormat="1" ht="18.75" customHeight="1">
      <c r="B18" s="289"/>
      <c r="C18" s="55"/>
      <c r="D18" s="285"/>
      <c r="E18" s="286"/>
      <c r="F18" s="286"/>
      <c r="G18" s="287"/>
    </row>
    <row r="19" spans="2:7" s="60" customFormat="1" ht="18.75" customHeight="1">
      <c r="B19" s="289"/>
      <c r="C19" s="55"/>
      <c r="D19" s="285"/>
      <c r="E19" s="286"/>
      <c r="F19" s="286"/>
      <c r="G19" s="287"/>
    </row>
    <row r="20" spans="2:7" s="60" customFormat="1" ht="18.75" customHeight="1">
      <c r="B20" s="289"/>
      <c r="C20" s="55"/>
      <c r="D20" s="285"/>
      <c r="E20" s="286"/>
      <c r="F20" s="286"/>
      <c r="G20" s="287"/>
    </row>
    <row r="21" spans="2:7" s="60" customFormat="1" ht="18.75" customHeight="1">
      <c r="B21" s="289"/>
      <c r="C21" s="55"/>
      <c r="D21" s="285"/>
      <c r="E21" s="286"/>
      <c r="F21" s="286"/>
      <c r="G21" s="287"/>
    </row>
    <row r="22" spans="2:7" s="60" customFormat="1" ht="18.75" customHeight="1">
      <c r="B22" s="289"/>
      <c r="C22" s="55"/>
      <c r="D22" s="285"/>
      <c r="E22" s="286"/>
      <c r="F22" s="286"/>
      <c r="G22" s="287"/>
    </row>
    <row r="23" spans="2:7" s="60" customFormat="1" ht="18.75" customHeight="1">
      <c r="B23" s="290"/>
      <c r="C23" s="55"/>
      <c r="D23" s="285"/>
      <c r="E23" s="286"/>
      <c r="F23" s="286"/>
      <c r="G23" s="287"/>
    </row>
    <row r="24" spans="2:7" ht="18.75" customHeight="1">
      <c r="B24" s="288" t="s">
        <v>127</v>
      </c>
      <c r="C24" s="285" t="s">
        <v>87</v>
      </c>
      <c r="D24" s="286"/>
      <c r="E24" s="286"/>
      <c r="F24" s="286"/>
      <c r="G24" s="287"/>
    </row>
    <row r="25" spans="2:7" ht="88.5" customHeight="1">
      <c r="B25" s="289"/>
      <c r="C25" s="291" t="s">
        <v>299</v>
      </c>
      <c r="D25" s="292"/>
      <c r="E25" s="292"/>
      <c r="F25" s="292"/>
      <c r="G25" s="293"/>
    </row>
    <row r="26" spans="2:7" ht="88.5" customHeight="1">
      <c r="B26" s="289"/>
      <c r="C26" s="294"/>
      <c r="D26" s="295"/>
      <c r="E26" s="295"/>
      <c r="F26" s="295"/>
      <c r="G26" s="296"/>
    </row>
    <row r="27" spans="2:7" ht="88.5" customHeight="1">
      <c r="B27" s="289"/>
      <c r="C27" s="294"/>
      <c r="D27" s="295"/>
      <c r="E27" s="295"/>
      <c r="F27" s="295"/>
      <c r="G27" s="296"/>
    </row>
    <row r="28" spans="2:7" ht="88.5" customHeight="1">
      <c r="B28" s="289"/>
      <c r="C28" s="294"/>
      <c r="D28" s="295"/>
      <c r="E28" s="295"/>
      <c r="F28" s="295"/>
      <c r="G28" s="296"/>
    </row>
    <row r="29" spans="2:7" ht="88.5" customHeight="1">
      <c r="B29" s="289"/>
      <c r="C29" s="297"/>
      <c r="D29" s="298"/>
      <c r="E29" s="298"/>
      <c r="F29" s="298"/>
      <c r="G29" s="299"/>
    </row>
    <row r="30" spans="2:7" ht="18.75" customHeight="1">
      <c r="B30" s="289"/>
      <c r="C30" s="23" t="s">
        <v>88</v>
      </c>
      <c r="D30" s="285" t="s">
        <v>89</v>
      </c>
      <c r="E30" s="286"/>
      <c r="F30" s="286"/>
      <c r="G30" s="287"/>
    </row>
    <row r="31" spans="2:7" ht="18.75" customHeight="1">
      <c r="B31" s="289"/>
      <c r="C31" s="165" t="s">
        <v>222</v>
      </c>
      <c r="D31" s="226" t="s">
        <v>221</v>
      </c>
      <c r="E31" s="209"/>
      <c r="F31" s="209"/>
      <c r="G31" s="210"/>
    </row>
    <row r="32" spans="2:7" ht="18.75" customHeight="1">
      <c r="B32" s="289"/>
      <c r="C32" s="164" t="s">
        <v>109</v>
      </c>
      <c r="D32" s="226" t="s">
        <v>205</v>
      </c>
      <c r="E32" s="209"/>
      <c r="F32" s="209"/>
      <c r="G32" s="210"/>
    </row>
    <row r="33" spans="2:7" ht="18.75" customHeight="1">
      <c r="B33" s="289"/>
      <c r="C33" s="166" t="s">
        <v>232</v>
      </c>
      <c r="D33" s="226" t="s">
        <v>237</v>
      </c>
      <c r="E33" s="209"/>
      <c r="F33" s="209"/>
      <c r="G33" s="210"/>
    </row>
    <row r="34" spans="2:7" ht="18.75" customHeight="1">
      <c r="B34" s="289"/>
      <c r="C34" s="166"/>
      <c r="D34" s="226"/>
      <c r="E34" s="209"/>
      <c r="F34" s="209"/>
      <c r="G34" s="210"/>
    </row>
    <row r="35" spans="2:7" ht="18.75" customHeight="1">
      <c r="B35" s="290"/>
      <c r="C35" s="166"/>
      <c r="D35" s="226"/>
      <c r="E35" s="209"/>
      <c r="F35" s="209"/>
      <c r="G35" s="210"/>
    </row>
    <row r="36" spans="2:7" ht="18.75" customHeight="1">
      <c r="B36" s="288" t="s">
        <v>90</v>
      </c>
      <c r="C36" s="285" t="s">
        <v>87</v>
      </c>
      <c r="D36" s="286"/>
      <c r="E36" s="286"/>
      <c r="F36" s="286"/>
      <c r="G36" s="287"/>
    </row>
    <row r="37" spans="2:7" ht="39.950000000000003" customHeight="1">
      <c r="B37" s="289"/>
      <c r="C37" s="291" t="s">
        <v>300</v>
      </c>
      <c r="D37" s="292"/>
      <c r="E37" s="292"/>
      <c r="F37" s="292"/>
      <c r="G37" s="293"/>
    </row>
    <row r="38" spans="2:7" ht="39.950000000000003" customHeight="1">
      <c r="B38" s="289"/>
      <c r="C38" s="294"/>
      <c r="D38" s="295"/>
      <c r="E38" s="295"/>
      <c r="F38" s="295"/>
      <c r="G38" s="296"/>
    </row>
    <row r="39" spans="2:7" ht="39.950000000000003" customHeight="1">
      <c r="B39" s="289"/>
      <c r="C39" s="294"/>
      <c r="D39" s="295"/>
      <c r="E39" s="295"/>
      <c r="F39" s="295"/>
      <c r="G39" s="296"/>
    </row>
    <row r="40" spans="2:7" ht="39.950000000000003" customHeight="1">
      <c r="B40" s="289"/>
      <c r="C40" s="294"/>
      <c r="D40" s="295"/>
      <c r="E40" s="295"/>
      <c r="F40" s="295"/>
      <c r="G40" s="296"/>
    </row>
    <row r="41" spans="2:7" ht="39.950000000000003" customHeight="1">
      <c r="B41" s="289"/>
      <c r="C41" s="297"/>
      <c r="D41" s="298"/>
      <c r="E41" s="298"/>
      <c r="F41" s="298"/>
      <c r="G41" s="299"/>
    </row>
    <row r="42" spans="2:7" ht="18.75" customHeight="1">
      <c r="B42" s="289"/>
      <c r="C42" s="114" t="s">
        <v>88</v>
      </c>
      <c r="D42" s="315" t="s">
        <v>89</v>
      </c>
      <c r="E42" s="316"/>
      <c r="F42" s="316"/>
      <c r="G42" s="317"/>
    </row>
    <row r="43" spans="2:7" ht="31.5" customHeight="1">
      <c r="B43" s="289"/>
      <c r="C43" s="164" t="s">
        <v>145</v>
      </c>
      <c r="D43" s="208" t="s">
        <v>208</v>
      </c>
      <c r="E43" s="209"/>
      <c r="F43" s="209"/>
      <c r="G43" s="210"/>
    </row>
    <row r="44" spans="2:7" ht="40.5" customHeight="1">
      <c r="B44" s="289"/>
      <c r="C44" s="115" t="s">
        <v>134</v>
      </c>
      <c r="D44" s="356" t="s">
        <v>207</v>
      </c>
      <c r="E44" s="357"/>
      <c r="F44" s="357"/>
      <c r="G44" s="358"/>
    </row>
    <row r="45" spans="2:7" ht="27.75" customHeight="1">
      <c r="B45" s="289"/>
      <c r="C45" s="166" t="s">
        <v>233</v>
      </c>
      <c r="D45" s="226" t="s">
        <v>236</v>
      </c>
      <c r="E45" s="209"/>
      <c r="F45" s="209"/>
      <c r="G45" s="210"/>
    </row>
    <row r="46" spans="2:7" ht="18.75" customHeight="1">
      <c r="B46" s="289"/>
      <c r="C46" s="166"/>
      <c r="D46" s="226"/>
      <c r="E46" s="209"/>
      <c r="F46" s="209"/>
      <c r="G46" s="210"/>
    </row>
    <row r="47" spans="2:7" ht="18.75" customHeight="1">
      <c r="B47" s="289"/>
      <c r="C47" s="164"/>
      <c r="D47" s="226"/>
      <c r="E47" s="209"/>
      <c r="F47" s="209"/>
      <c r="G47" s="210"/>
    </row>
    <row r="48" spans="2:7" ht="18.75" customHeight="1">
      <c r="B48" s="289"/>
      <c r="C48" s="166"/>
      <c r="D48" s="226"/>
      <c r="E48" s="209"/>
      <c r="F48" s="209"/>
      <c r="G48" s="210"/>
    </row>
    <row r="49" spans="2:7" ht="18.75" customHeight="1">
      <c r="B49" s="289"/>
      <c r="C49" s="165"/>
      <c r="D49" s="226"/>
      <c r="E49" s="209"/>
      <c r="F49" s="209"/>
      <c r="G49" s="210"/>
    </row>
    <row r="50" spans="2:7" ht="18.75" customHeight="1">
      <c r="B50" s="289"/>
      <c r="C50" s="166"/>
      <c r="D50" s="226"/>
      <c r="E50" s="209"/>
      <c r="F50" s="209"/>
      <c r="G50" s="210"/>
    </row>
    <row r="51" spans="2:7" ht="18.75" customHeight="1">
      <c r="B51" s="289"/>
      <c r="C51" s="165"/>
      <c r="D51" s="226"/>
      <c r="E51" s="209"/>
      <c r="F51" s="209"/>
      <c r="G51" s="210"/>
    </row>
    <row r="52" spans="2:7" ht="18.75" customHeight="1">
      <c r="B52" s="289"/>
      <c r="C52" s="166"/>
      <c r="D52" s="226"/>
      <c r="E52" s="209"/>
      <c r="F52" s="209"/>
      <c r="G52" s="210"/>
    </row>
    <row r="53" spans="2:7" ht="18.75" customHeight="1">
      <c r="B53" s="289"/>
      <c r="C53" s="165"/>
      <c r="D53" s="226"/>
      <c r="E53" s="209"/>
      <c r="F53" s="209"/>
      <c r="G53" s="210"/>
    </row>
    <row r="54" spans="2:7" ht="18.75" customHeight="1">
      <c r="B54" s="289"/>
      <c r="C54" s="166"/>
      <c r="D54" s="226"/>
      <c r="E54" s="209"/>
      <c r="F54" s="209"/>
      <c r="G54" s="210"/>
    </row>
    <row r="55" spans="2:7" ht="18.75" customHeight="1">
      <c r="B55" s="289"/>
      <c r="C55" s="165"/>
      <c r="D55" s="226"/>
      <c r="E55" s="209"/>
      <c r="F55" s="209"/>
      <c r="G55" s="210"/>
    </row>
    <row r="56" spans="2:7" ht="18.75" customHeight="1">
      <c r="B56" s="289"/>
      <c r="C56" s="166"/>
      <c r="D56" s="226"/>
      <c r="E56" s="209"/>
      <c r="F56" s="209"/>
      <c r="G56" s="210"/>
    </row>
    <row r="57" spans="2:7" ht="18.75" customHeight="1">
      <c r="B57" s="290"/>
      <c r="C57" s="165"/>
      <c r="D57" s="226"/>
      <c r="E57" s="209"/>
      <c r="F57" s="209"/>
      <c r="G57" s="210"/>
    </row>
    <row r="58" spans="2:7" ht="18.75" customHeight="1">
      <c r="B58" s="353" t="s">
        <v>128</v>
      </c>
      <c r="C58" s="285" t="s">
        <v>87</v>
      </c>
      <c r="D58" s="286"/>
      <c r="E58" s="286"/>
      <c r="F58" s="286"/>
      <c r="G58" s="287"/>
    </row>
    <row r="59" spans="2:7" ht="39.950000000000003" customHeight="1">
      <c r="B59" s="354"/>
      <c r="C59" s="366" t="s">
        <v>309</v>
      </c>
      <c r="D59" s="367"/>
      <c r="E59" s="367"/>
      <c r="F59" s="367"/>
      <c r="G59" s="368"/>
    </row>
    <row r="60" spans="2:7" ht="39.950000000000003" customHeight="1">
      <c r="B60" s="354"/>
      <c r="C60" s="369"/>
      <c r="D60" s="370"/>
      <c r="E60" s="370"/>
      <c r="F60" s="370"/>
      <c r="G60" s="371"/>
    </row>
    <row r="61" spans="2:7" ht="39.950000000000003" customHeight="1">
      <c r="B61" s="354"/>
      <c r="C61" s="369"/>
      <c r="D61" s="370"/>
      <c r="E61" s="370"/>
      <c r="F61" s="370"/>
      <c r="G61" s="371"/>
    </row>
    <row r="62" spans="2:7" ht="39.950000000000003" customHeight="1">
      <c r="B62" s="354"/>
      <c r="C62" s="369"/>
      <c r="D62" s="370"/>
      <c r="E62" s="370"/>
      <c r="F62" s="370"/>
      <c r="G62" s="371"/>
    </row>
    <row r="63" spans="2:7" ht="39.950000000000003" customHeight="1">
      <c r="B63" s="354"/>
      <c r="C63" s="372"/>
      <c r="D63" s="373"/>
      <c r="E63" s="373"/>
      <c r="F63" s="373"/>
      <c r="G63" s="374"/>
    </row>
    <row r="64" spans="2:7" ht="18.75" customHeight="1">
      <c r="B64" s="354"/>
      <c r="C64" s="114" t="s">
        <v>88</v>
      </c>
      <c r="D64" s="315" t="s">
        <v>89</v>
      </c>
      <c r="E64" s="316"/>
      <c r="F64" s="316"/>
      <c r="G64" s="317"/>
    </row>
    <row r="65" spans="2:7" ht="18.75" customHeight="1">
      <c r="B65" s="354"/>
      <c r="C65" s="108" t="s">
        <v>148</v>
      </c>
      <c r="D65" s="226" t="s">
        <v>223</v>
      </c>
      <c r="E65" s="209"/>
      <c r="F65" s="209"/>
      <c r="G65" s="210"/>
    </row>
    <row r="66" spans="2:7" s="73" customFormat="1" ht="18.75" customHeight="1">
      <c r="B66" s="354"/>
      <c r="C66" s="108" t="s">
        <v>238</v>
      </c>
      <c r="D66" s="226" t="s">
        <v>239</v>
      </c>
      <c r="E66" s="209"/>
      <c r="F66" s="209"/>
      <c r="G66" s="210"/>
    </row>
    <row r="67" spans="2:7" s="73" customFormat="1" ht="18.75" customHeight="1">
      <c r="B67" s="355"/>
      <c r="C67" s="108" t="s">
        <v>297</v>
      </c>
      <c r="D67" s="226" t="s">
        <v>304</v>
      </c>
      <c r="E67" s="209"/>
      <c r="F67" s="209"/>
      <c r="G67" s="210"/>
    </row>
    <row r="68" spans="2:7" ht="18.75" customHeight="1">
      <c r="B68" s="288" t="s">
        <v>129</v>
      </c>
      <c r="C68" s="285" t="s">
        <v>87</v>
      </c>
      <c r="D68" s="286"/>
      <c r="E68" s="286"/>
      <c r="F68" s="286"/>
      <c r="G68" s="287"/>
    </row>
    <row r="69" spans="2:7" ht="63.75" customHeight="1">
      <c r="B69" s="289"/>
      <c r="C69" s="291" t="s">
        <v>314</v>
      </c>
      <c r="D69" s="292"/>
      <c r="E69" s="292"/>
      <c r="F69" s="292"/>
      <c r="G69" s="293"/>
    </row>
    <row r="70" spans="2:7" ht="63.75" customHeight="1">
      <c r="B70" s="289"/>
      <c r="C70" s="294"/>
      <c r="D70" s="295"/>
      <c r="E70" s="295"/>
      <c r="F70" s="295"/>
      <c r="G70" s="296"/>
    </row>
    <row r="71" spans="2:7" ht="63.75" customHeight="1">
      <c r="B71" s="289"/>
      <c r="C71" s="294"/>
      <c r="D71" s="295"/>
      <c r="E71" s="295"/>
      <c r="F71" s="295"/>
      <c r="G71" s="296"/>
    </row>
    <row r="72" spans="2:7" ht="63.75" customHeight="1">
      <c r="B72" s="289"/>
      <c r="C72" s="294"/>
      <c r="D72" s="295"/>
      <c r="E72" s="295"/>
      <c r="F72" s="295"/>
      <c r="G72" s="296"/>
    </row>
    <row r="73" spans="2:7" ht="18.75" customHeight="1">
      <c r="B73" s="289"/>
      <c r="C73" s="75" t="s">
        <v>88</v>
      </c>
      <c r="D73" s="212" t="s">
        <v>89</v>
      </c>
      <c r="E73" s="213"/>
      <c r="F73" s="213"/>
      <c r="G73" s="214"/>
    </row>
    <row r="74" spans="2:7" ht="18.75" customHeight="1">
      <c r="B74" s="289"/>
      <c r="C74" s="72" t="s">
        <v>135</v>
      </c>
      <c r="D74" s="226" t="s">
        <v>225</v>
      </c>
      <c r="E74" s="209"/>
      <c r="F74" s="209"/>
      <c r="G74" s="210"/>
    </row>
    <row r="75" spans="2:7" ht="18.75" customHeight="1">
      <c r="B75" s="289"/>
      <c r="C75" s="109" t="s">
        <v>291</v>
      </c>
      <c r="D75" s="226" t="s">
        <v>235</v>
      </c>
      <c r="E75" s="209"/>
      <c r="F75" s="209"/>
      <c r="G75" s="210"/>
    </row>
    <row r="76" spans="2:7" ht="18.75" customHeight="1">
      <c r="B76" s="289"/>
      <c r="C76" s="72" t="s">
        <v>222</v>
      </c>
      <c r="D76" s="226" t="s">
        <v>224</v>
      </c>
      <c r="E76" s="209"/>
      <c r="F76" s="209"/>
      <c r="G76" s="210"/>
    </row>
    <row r="77" spans="2:7" ht="18.75" customHeight="1">
      <c r="B77" s="289"/>
      <c r="C77" s="78"/>
      <c r="D77" s="226"/>
      <c r="E77" s="209"/>
      <c r="F77" s="209"/>
      <c r="G77" s="210"/>
    </row>
    <row r="78" spans="2:7" ht="18.75" customHeight="1">
      <c r="B78" s="289"/>
      <c r="C78" s="72"/>
      <c r="D78" s="226"/>
      <c r="E78" s="209"/>
      <c r="F78" s="209"/>
      <c r="G78" s="210"/>
    </row>
    <row r="79" spans="2:7" ht="18.75" customHeight="1">
      <c r="B79" s="289"/>
      <c r="C79" s="76"/>
      <c r="D79" s="375"/>
      <c r="E79" s="376"/>
      <c r="F79" s="376"/>
      <c r="G79" s="377"/>
    </row>
    <row r="80" spans="2:7" ht="18.75" customHeight="1">
      <c r="B80" s="289"/>
      <c r="C80" s="77"/>
      <c r="D80" s="226"/>
      <c r="E80" s="209"/>
      <c r="F80" s="209"/>
      <c r="G80" s="210"/>
    </row>
    <row r="81" spans="1:9" ht="18.75" customHeight="1">
      <c r="B81" s="289"/>
      <c r="C81" s="76"/>
      <c r="D81" s="116"/>
      <c r="E81" s="117"/>
      <c r="F81" s="117"/>
      <c r="G81" s="118"/>
    </row>
    <row r="82" spans="1:9" ht="18.75" customHeight="1">
      <c r="B82" s="289"/>
      <c r="C82" s="76"/>
      <c r="D82" s="116"/>
      <c r="E82" s="117"/>
      <c r="F82" s="117"/>
      <c r="G82" s="118"/>
    </row>
    <row r="83" spans="1:9" ht="18.75" customHeight="1">
      <c r="B83" s="290"/>
      <c r="C83" s="72"/>
      <c r="D83" s="226"/>
      <c r="E83" s="209"/>
      <c r="F83" s="209"/>
      <c r="G83" s="210"/>
    </row>
    <row r="84" spans="1:9" ht="18.75" customHeight="1">
      <c r="A84" s="1" t="s">
        <v>12</v>
      </c>
      <c r="B84" s="1" t="s">
        <v>85</v>
      </c>
    </row>
    <row r="85" spans="1:9" ht="22.5" customHeight="1">
      <c r="B85" s="55" t="s">
        <v>60</v>
      </c>
      <c r="C85" s="285" t="s">
        <v>84</v>
      </c>
      <c r="D85" s="286"/>
      <c r="E85" s="286"/>
      <c r="F85" s="286"/>
      <c r="G85" s="287"/>
    </row>
    <row r="86" spans="1:9" ht="45" customHeight="1">
      <c r="B86" s="24" t="s">
        <v>61</v>
      </c>
      <c r="C86" s="362" t="s">
        <v>296</v>
      </c>
      <c r="D86" s="182"/>
      <c r="E86" s="182"/>
      <c r="F86" s="182"/>
      <c r="G86" s="183"/>
    </row>
    <row r="87" spans="1:9" ht="45" customHeight="1">
      <c r="B87" s="24" t="s">
        <v>62</v>
      </c>
      <c r="C87" s="181" t="s">
        <v>222</v>
      </c>
      <c r="D87" s="182"/>
      <c r="E87" s="182"/>
      <c r="F87" s="182"/>
      <c r="G87" s="183"/>
    </row>
    <row r="88" spans="1:9" ht="45" customHeight="1">
      <c r="B88" s="24" t="s">
        <v>63</v>
      </c>
      <c r="C88" s="181" t="s">
        <v>316</v>
      </c>
      <c r="D88" s="182"/>
      <c r="E88" s="182"/>
      <c r="F88" s="182"/>
      <c r="G88" s="183"/>
    </row>
    <row r="89" spans="1:9" ht="45" customHeight="1">
      <c r="B89" s="24" t="s">
        <v>64</v>
      </c>
      <c r="C89" s="363" t="s">
        <v>315</v>
      </c>
      <c r="D89" s="364"/>
      <c r="E89" s="364"/>
      <c r="F89" s="364"/>
      <c r="G89" s="365"/>
    </row>
    <row r="90" spans="1:9" ht="45" customHeight="1">
      <c r="B90" s="24" t="s">
        <v>65</v>
      </c>
      <c r="C90" s="181" t="s">
        <v>234</v>
      </c>
      <c r="D90" s="182"/>
      <c r="E90" s="182"/>
      <c r="F90" s="182"/>
      <c r="G90" s="183"/>
    </row>
    <row r="91" spans="1:9" ht="45" customHeight="1">
      <c r="B91" s="24" t="s">
        <v>66</v>
      </c>
      <c r="C91" s="181" t="s">
        <v>240</v>
      </c>
      <c r="D91" s="182"/>
      <c r="E91" s="182"/>
      <c r="F91" s="182"/>
      <c r="G91" s="183"/>
    </row>
    <row r="92" spans="1:9" ht="45" customHeight="1">
      <c r="B92" s="24" t="s">
        <v>131</v>
      </c>
      <c r="C92" s="181" t="s">
        <v>305</v>
      </c>
      <c r="D92" s="182"/>
      <c r="E92" s="182"/>
      <c r="F92" s="182"/>
      <c r="G92" s="183"/>
    </row>
    <row r="93" spans="1:9" ht="45" customHeight="1">
      <c r="B93" s="24" t="s">
        <v>67</v>
      </c>
      <c r="C93" s="181"/>
      <c r="D93" s="182"/>
      <c r="E93" s="182"/>
      <c r="F93" s="182"/>
      <c r="G93" s="183"/>
    </row>
    <row r="94" spans="1:9" ht="45" customHeight="1">
      <c r="B94" s="24" t="s">
        <v>68</v>
      </c>
      <c r="C94" s="181"/>
      <c r="D94" s="182"/>
      <c r="E94" s="182"/>
      <c r="F94" s="182"/>
      <c r="G94" s="183"/>
    </row>
    <row r="95" spans="1:9" ht="7.5" customHeight="1"/>
    <row r="96" spans="1:9" ht="31.5" customHeight="1">
      <c r="A96" s="1" t="s">
        <v>132</v>
      </c>
      <c r="B96" s="1" t="s">
        <v>80</v>
      </c>
      <c r="C96" s="138"/>
      <c r="D96" s="138"/>
      <c r="E96" s="339" t="s">
        <v>311</v>
      </c>
      <c r="F96" s="177"/>
      <c r="G96" s="178"/>
      <c r="H96" s="138"/>
      <c r="I96" s="138"/>
    </row>
    <row r="97" spans="1:7" ht="7.5" customHeight="1"/>
    <row r="98" spans="1:7" ht="18.75" customHeight="1">
      <c r="A98" s="1" t="s">
        <v>16</v>
      </c>
      <c r="B98" s="1" t="s">
        <v>81</v>
      </c>
    </row>
    <row r="99" spans="1:7" ht="18.75" customHeight="1">
      <c r="B99" s="340" t="s">
        <v>253</v>
      </c>
      <c r="C99" s="341"/>
      <c r="D99" s="341"/>
      <c r="E99" s="341"/>
      <c r="F99" s="341"/>
      <c r="G99" s="342"/>
    </row>
    <row r="100" spans="1:7" ht="18.75" customHeight="1">
      <c r="B100" s="343"/>
      <c r="C100" s="344"/>
      <c r="D100" s="344"/>
      <c r="E100" s="344"/>
      <c r="F100" s="344"/>
      <c r="G100" s="345"/>
    </row>
    <row r="101" spans="1:7" ht="18.75" customHeight="1">
      <c r="B101" s="343"/>
      <c r="C101" s="344"/>
      <c r="D101" s="344"/>
      <c r="E101" s="344"/>
      <c r="F101" s="344"/>
      <c r="G101" s="345"/>
    </row>
    <row r="102" spans="1:7" ht="18.75" customHeight="1">
      <c r="B102" s="346"/>
      <c r="C102" s="347"/>
      <c r="D102" s="347"/>
      <c r="E102" s="347"/>
      <c r="F102" s="347"/>
      <c r="G102" s="348"/>
    </row>
    <row r="103" spans="1:7" ht="18.75" customHeight="1"/>
    <row r="104" spans="1:7" ht="18.75" customHeight="1"/>
    <row r="105" spans="1:7" ht="18.75" customHeight="1"/>
    <row r="106" spans="1:7" ht="18.75" customHeight="1"/>
    <row r="107" spans="1:7" ht="18.75" customHeight="1"/>
    <row r="108" spans="1:7" ht="18.75" customHeight="1"/>
  </sheetData>
  <mergeCells count="77">
    <mergeCell ref="D20:G20"/>
    <mergeCell ref="D35:G35"/>
    <mergeCell ref="D21:G21"/>
    <mergeCell ref="C24:G24"/>
    <mergeCell ref="C25:G29"/>
    <mergeCell ref="D30:G30"/>
    <mergeCell ref="D34:G34"/>
    <mergeCell ref="D80:G80"/>
    <mergeCell ref="D75:G75"/>
    <mergeCell ref="D67:G67"/>
    <mergeCell ref="C58:G58"/>
    <mergeCell ref="C59:G63"/>
    <mergeCell ref="D64:G64"/>
    <mergeCell ref="D65:G65"/>
    <mergeCell ref="D66:G66"/>
    <mergeCell ref="D73:G73"/>
    <mergeCell ref="D74:G74"/>
    <mergeCell ref="D76:G76"/>
    <mergeCell ref="D79:G79"/>
    <mergeCell ref="D78:G78"/>
    <mergeCell ref="B99:G102"/>
    <mergeCell ref="C85:G85"/>
    <mergeCell ref="C86:G86"/>
    <mergeCell ref="C87:G87"/>
    <mergeCell ref="C88:G88"/>
    <mergeCell ref="C89:G89"/>
    <mergeCell ref="C90:G90"/>
    <mergeCell ref="C91:G91"/>
    <mergeCell ref="C92:G92"/>
    <mergeCell ref="C93:G93"/>
    <mergeCell ref="C94:G94"/>
    <mergeCell ref="E96:G96"/>
    <mergeCell ref="D83:G83"/>
    <mergeCell ref="B68:B83"/>
    <mergeCell ref="C68:G68"/>
    <mergeCell ref="A3:G3"/>
    <mergeCell ref="C5:G5"/>
    <mergeCell ref="B6:B23"/>
    <mergeCell ref="C6:G9"/>
    <mergeCell ref="D10:G10"/>
    <mergeCell ref="D11:G11"/>
    <mergeCell ref="D17:G17"/>
    <mergeCell ref="D13:G13"/>
    <mergeCell ref="D14:G14"/>
    <mergeCell ref="D12:G12"/>
    <mergeCell ref="D22:G22"/>
    <mergeCell ref="D23:G23"/>
    <mergeCell ref="D16:G16"/>
    <mergeCell ref="D18:G18"/>
    <mergeCell ref="D19:G19"/>
    <mergeCell ref="D15:G15"/>
    <mergeCell ref="B58:B67"/>
    <mergeCell ref="D77:G77"/>
    <mergeCell ref="D55:G55"/>
    <mergeCell ref="B36:B57"/>
    <mergeCell ref="C36:G36"/>
    <mergeCell ref="C37:G41"/>
    <mergeCell ref="D42:G42"/>
    <mergeCell ref="D43:G43"/>
    <mergeCell ref="D44:G44"/>
    <mergeCell ref="D57:G57"/>
    <mergeCell ref="D49:G49"/>
    <mergeCell ref="C69:G72"/>
    <mergeCell ref="D56:G56"/>
    <mergeCell ref="D52:G52"/>
    <mergeCell ref="D53:G53"/>
    <mergeCell ref="D54:G54"/>
    <mergeCell ref="B24:B35"/>
    <mergeCell ref="D31:G31"/>
    <mergeCell ref="D32:G32"/>
    <mergeCell ref="D33:G33"/>
    <mergeCell ref="D51:G51"/>
    <mergeCell ref="D45:G45"/>
    <mergeCell ref="D50:G50"/>
    <mergeCell ref="D46:G46"/>
    <mergeCell ref="D47:G47"/>
    <mergeCell ref="D48:G48"/>
  </mergeCells>
  <phoneticPr fontId="3"/>
  <hyperlinks>
    <hyperlink ref="E96"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1"/>
  <sheetViews>
    <sheetView showZeros="0" zoomScaleNormal="100" workbookViewId="0"/>
  </sheetViews>
  <sheetFormatPr defaultColWidth="11.375" defaultRowHeight="18.75" customHeight="1"/>
  <cols>
    <col min="1" max="1" width="2.625" style="139" customWidth="1"/>
    <col min="2" max="2" width="54.125" style="25" customWidth="1"/>
    <col min="3" max="3" width="1.125" style="25" customWidth="1"/>
    <col min="4" max="4" width="22.5" style="25" customWidth="1"/>
    <col min="5" max="5" width="6.125" style="25" customWidth="1"/>
    <col min="6" max="16384" width="11.375" style="1"/>
  </cols>
  <sheetData>
    <row r="1" spans="1:5" ht="18.75" customHeight="1">
      <c r="E1" s="140" t="s">
        <v>86</v>
      </c>
    </row>
    <row r="2" spans="1:5" ht="18.75" customHeight="1">
      <c r="B2" s="140" t="s">
        <v>71</v>
      </c>
      <c r="C2" s="140" t="s">
        <v>136</v>
      </c>
      <c r="D2" s="387" t="s">
        <v>111</v>
      </c>
      <c r="E2" s="387"/>
    </row>
    <row r="3" spans="1:5" ht="7.5" customHeight="1">
      <c r="B3" s="140"/>
      <c r="C3" s="140"/>
      <c r="D3" s="141"/>
      <c r="E3" s="141"/>
    </row>
    <row r="4" spans="1:5" ht="18.75" customHeight="1">
      <c r="B4" s="388" t="s">
        <v>69</v>
      </c>
      <c r="C4" s="388"/>
      <c r="D4" s="388"/>
      <c r="E4" s="388"/>
    </row>
    <row r="5" spans="1:5" ht="7.5" customHeight="1">
      <c r="B5" s="104"/>
      <c r="C5" s="104"/>
      <c r="D5" s="104"/>
      <c r="E5" s="104"/>
    </row>
    <row r="6" spans="1:5" ht="18.75" customHeight="1">
      <c r="A6" s="142" t="s">
        <v>7</v>
      </c>
      <c r="B6" s="143" t="s">
        <v>137</v>
      </c>
      <c r="C6" s="104"/>
      <c r="D6" s="104"/>
      <c r="E6" s="104"/>
    </row>
    <row r="7" spans="1:5" ht="63.95" customHeight="1">
      <c r="A7" s="142"/>
      <c r="B7" s="389" t="s">
        <v>307</v>
      </c>
      <c r="C7" s="182"/>
      <c r="D7" s="182"/>
      <c r="E7" s="183"/>
    </row>
    <row r="8" spans="1:5" ht="7.5" customHeight="1">
      <c r="B8" s="104"/>
      <c r="C8" s="104"/>
      <c r="D8" s="104"/>
      <c r="E8" s="104"/>
    </row>
    <row r="9" spans="1:5" s="2" customFormat="1" ht="18.75" customHeight="1">
      <c r="A9" s="142" t="s">
        <v>138</v>
      </c>
      <c r="B9" s="142" t="s">
        <v>43</v>
      </c>
      <c r="C9" s="142"/>
      <c r="D9" s="142"/>
      <c r="E9" s="142"/>
    </row>
    <row r="10" spans="1:5" s="3" customFormat="1" ht="24.75" customHeight="1">
      <c r="A10" s="110"/>
      <c r="B10" s="390" t="s">
        <v>323</v>
      </c>
      <c r="C10" s="379"/>
      <c r="D10" s="379"/>
      <c r="E10" s="380"/>
    </row>
    <row r="11" spans="1:5" s="3" customFormat="1" ht="24.75" customHeight="1">
      <c r="A11" s="110"/>
      <c r="B11" s="381"/>
      <c r="C11" s="382"/>
      <c r="D11" s="382"/>
      <c r="E11" s="383"/>
    </row>
    <row r="12" spans="1:5" s="3" customFormat="1" ht="24.75" customHeight="1">
      <c r="A12" s="110"/>
      <c r="B12" s="381"/>
      <c r="C12" s="382"/>
      <c r="D12" s="382"/>
      <c r="E12" s="383"/>
    </row>
    <row r="13" spans="1:5" s="3" customFormat="1" ht="24.75" customHeight="1">
      <c r="A13" s="110"/>
      <c r="B13" s="381"/>
      <c r="C13" s="382"/>
      <c r="D13" s="382"/>
      <c r="E13" s="383"/>
    </row>
    <row r="14" spans="1:5" s="3" customFormat="1" ht="84" customHeight="1">
      <c r="A14" s="110"/>
      <c r="B14" s="384"/>
      <c r="C14" s="385"/>
      <c r="D14" s="385"/>
      <c r="E14" s="386"/>
    </row>
    <row r="15" spans="1:5" s="3" customFormat="1" ht="7.5" customHeight="1">
      <c r="A15" s="110"/>
      <c r="B15" s="110"/>
      <c r="C15" s="110"/>
      <c r="D15" s="110"/>
      <c r="E15" s="110"/>
    </row>
    <row r="16" spans="1:5" s="2" customFormat="1" ht="18.75" customHeight="1">
      <c r="A16" s="144" t="s">
        <v>13</v>
      </c>
      <c r="B16" s="144" t="s">
        <v>18</v>
      </c>
      <c r="C16" s="144"/>
      <c r="D16" s="144"/>
      <c r="E16" s="144"/>
    </row>
    <row r="17" spans="1:5" s="3" customFormat="1" ht="18" customHeight="1">
      <c r="A17" s="110"/>
      <c r="B17" s="378" t="s">
        <v>318</v>
      </c>
      <c r="C17" s="379"/>
      <c r="D17" s="379"/>
      <c r="E17" s="380"/>
    </row>
    <row r="18" spans="1:5" s="3" customFormat="1" ht="18" customHeight="1">
      <c r="A18" s="110"/>
      <c r="B18" s="381"/>
      <c r="C18" s="382"/>
      <c r="D18" s="382"/>
      <c r="E18" s="383"/>
    </row>
    <row r="19" spans="1:5" s="3" customFormat="1" ht="18" customHeight="1">
      <c r="A19" s="110"/>
      <c r="B19" s="381"/>
      <c r="C19" s="382"/>
      <c r="D19" s="382"/>
      <c r="E19" s="383"/>
    </row>
    <row r="20" spans="1:5" s="3" customFormat="1" ht="18" customHeight="1">
      <c r="A20" s="110"/>
      <c r="B20" s="381"/>
      <c r="C20" s="382"/>
      <c r="D20" s="382"/>
      <c r="E20" s="383"/>
    </row>
    <row r="21" spans="1:5" s="3" customFormat="1" ht="18" customHeight="1">
      <c r="A21" s="110"/>
      <c r="B21" s="381"/>
      <c r="C21" s="382"/>
      <c r="D21" s="382"/>
      <c r="E21" s="383"/>
    </row>
    <row r="22" spans="1:5" s="3" customFormat="1" ht="18" customHeight="1">
      <c r="A22" s="110"/>
      <c r="B22" s="381"/>
      <c r="C22" s="382"/>
      <c r="D22" s="382"/>
      <c r="E22" s="383"/>
    </row>
    <row r="23" spans="1:5" s="3" customFormat="1" ht="18" customHeight="1">
      <c r="A23" s="110"/>
      <c r="B23" s="381"/>
      <c r="C23" s="382"/>
      <c r="D23" s="382"/>
      <c r="E23" s="383"/>
    </row>
    <row r="24" spans="1:5" s="3" customFormat="1" ht="18" customHeight="1">
      <c r="A24" s="110"/>
      <c r="B24" s="381"/>
      <c r="C24" s="382"/>
      <c r="D24" s="382"/>
      <c r="E24" s="383"/>
    </row>
    <row r="25" spans="1:5" s="3" customFormat="1" ht="18" customHeight="1">
      <c r="A25" s="110"/>
      <c r="B25" s="381"/>
      <c r="C25" s="382"/>
      <c r="D25" s="382"/>
      <c r="E25" s="383"/>
    </row>
    <row r="26" spans="1:5" s="3" customFormat="1" ht="18" customHeight="1">
      <c r="A26" s="110"/>
      <c r="B26" s="381"/>
      <c r="C26" s="382"/>
      <c r="D26" s="382"/>
      <c r="E26" s="383"/>
    </row>
    <row r="27" spans="1:5" s="3" customFormat="1" ht="18" customHeight="1">
      <c r="A27" s="110"/>
      <c r="B27" s="381"/>
      <c r="C27" s="382"/>
      <c r="D27" s="382"/>
      <c r="E27" s="383"/>
    </row>
    <row r="28" spans="1:5" s="3" customFormat="1" ht="208.5" customHeight="1">
      <c r="A28" s="110"/>
      <c r="B28" s="384"/>
      <c r="C28" s="385"/>
      <c r="D28" s="385"/>
      <c r="E28" s="386"/>
    </row>
    <row r="29" spans="1:5" ht="7.5" customHeight="1">
      <c r="A29" s="145"/>
      <c r="B29" s="145"/>
      <c r="C29" s="145"/>
      <c r="D29" s="145"/>
      <c r="E29" s="145"/>
    </row>
    <row r="30" spans="1:5" s="2" customFormat="1" ht="18.75" customHeight="1">
      <c r="A30" s="142" t="s">
        <v>16</v>
      </c>
      <c r="B30" s="142" t="s">
        <v>27</v>
      </c>
      <c r="C30" s="142"/>
      <c r="D30" s="142"/>
      <c r="E30" s="142"/>
    </row>
    <row r="31" spans="1:5" s="2" customFormat="1" ht="16.5" customHeight="1">
      <c r="A31" s="142"/>
      <c r="B31" s="378" t="s">
        <v>324</v>
      </c>
      <c r="C31" s="379"/>
      <c r="D31" s="379"/>
      <c r="E31" s="380"/>
    </row>
    <row r="32" spans="1:5" s="2" customFormat="1" ht="16.5" customHeight="1">
      <c r="A32" s="142"/>
      <c r="B32" s="381"/>
      <c r="C32" s="382"/>
      <c r="D32" s="382"/>
      <c r="E32" s="383"/>
    </row>
    <row r="33" spans="1:5" s="2" customFormat="1" ht="16.5" customHeight="1">
      <c r="A33" s="142"/>
      <c r="B33" s="381"/>
      <c r="C33" s="382"/>
      <c r="D33" s="382"/>
      <c r="E33" s="383"/>
    </row>
    <row r="34" spans="1:5" s="2" customFormat="1" ht="16.5" customHeight="1">
      <c r="A34" s="142"/>
      <c r="B34" s="381"/>
      <c r="C34" s="382"/>
      <c r="D34" s="382"/>
      <c r="E34" s="383"/>
    </row>
    <row r="35" spans="1:5" s="2" customFormat="1" ht="16.5" customHeight="1">
      <c r="A35" s="142"/>
      <c r="B35" s="381"/>
      <c r="C35" s="382"/>
      <c r="D35" s="382"/>
      <c r="E35" s="383"/>
    </row>
    <row r="36" spans="1:5" s="2" customFormat="1" ht="16.5" customHeight="1">
      <c r="A36" s="142"/>
      <c r="B36" s="381"/>
      <c r="C36" s="382"/>
      <c r="D36" s="382"/>
      <c r="E36" s="383"/>
    </row>
    <row r="37" spans="1:5" s="2" customFormat="1" ht="16.5" customHeight="1">
      <c r="A37" s="142"/>
      <c r="B37" s="381"/>
      <c r="C37" s="382"/>
      <c r="D37" s="382"/>
      <c r="E37" s="383"/>
    </row>
    <row r="38" spans="1:5" s="2" customFormat="1" ht="16.5" customHeight="1">
      <c r="A38" s="142"/>
      <c r="B38" s="381"/>
      <c r="C38" s="382"/>
      <c r="D38" s="382"/>
      <c r="E38" s="383"/>
    </row>
    <row r="39" spans="1:5" s="2" customFormat="1" ht="16.5" customHeight="1">
      <c r="A39" s="142"/>
      <c r="B39" s="381"/>
      <c r="C39" s="382"/>
      <c r="D39" s="382"/>
      <c r="E39" s="383"/>
    </row>
    <row r="40" spans="1:5" s="2" customFormat="1" ht="16.5" customHeight="1">
      <c r="A40" s="142"/>
      <c r="B40" s="381"/>
      <c r="C40" s="382"/>
      <c r="D40" s="382"/>
      <c r="E40" s="383"/>
    </row>
    <row r="41" spans="1:5" s="2" customFormat="1" ht="16.5" customHeight="1">
      <c r="A41" s="142"/>
      <c r="B41" s="381"/>
      <c r="C41" s="382"/>
      <c r="D41" s="382"/>
      <c r="E41" s="383"/>
    </row>
    <row r="42" spans="1:5" s="2" customFormat="1" ht="16.5" customHeight="1">
      <c r="A42" s="142"/>
      <c r="B42" s="381"/>
      <c r="C42" s="382"/>
      <c r="D42" s="382"/>
      <c r="E42" s="383"/>
    </row>
    <row r="43" spans="1:5" s="2" customFormat="1" ht="16.5" customHeight="1">
      <c r="A43" s="142"/>
      <c r="B43" s="381"/>
      <c r="C43" s="382"/>
      <c r="D43" s="382"/>
      <c r="E43" s="383"/>
    </row>
    <row r="44" spans="1:5" s="2" customFormat="1" ht="16.5" customHeight="1">
      <c r="A44" s="142"/>
      <c r="B44" s="381"/>
      <c r="C44" s="382"/>
      <c r="D44" s="382"/>
      <c r="E44" s="383"/>
    </row>
    <row r="45" spans="1:5" ht="16.5" customHeight="1">
      <c r="A45" s="145"/>
      <c r="B45" s="381"/>
      <c r="C45" s="382"/>
      <c r="D45" s="382"/>
      <c r="E45" s="383"/>
    </row>
    <row r="46" spans="1:5" ht="225" customHeight="1">
      <c r="A46" s="145"/>
      <c r="B46" s="384"/>
      <c r="C46" s="385"/>
      <c r="D46" s="385"/>
      <c r="E46" s="386"/>
    </row>
    <row r="47" spans="1:5" ht="7.5" customHeight="1">
      <c r="A47" s="145"/>
      <c r="B47" s="145"/>
      <c r="C47" s="145"/>
      <c r="D47" s="145"/>
      <c r="E47" s="145"/>
    </row>
    <row r="48" spans="1:5" s="2" customFormat="1" ht="18.75" customHeight="1">
      <c r="A48" s="146" t="s">
        <v>139</v>
      </c>
      <c r="B48" s="142" t="s">
        <v>200</v>
      </c>
      <c r="C48" s="146"/>
      <c r="D48" s="146"/>
      <c r="E48" s="146"/>
    </row>
    <row r="49" spans="1:5" ht="15" customHeight="1">
      <c r="A49" s="145"/>
      <c r="B49" s="390" t="s">
        <v>319</v>
      </c>
      <c r="C49" s="391"/>
      <c r="D49" s="391"/>
      <c r="E49" s="392"/>
    </row>
    <row r="50" spans="1:5" ht="15" customHeight="1">
      <c r="A50" s="145"/>
      <c r="B50" s="393"/>
      <c r="C50" s="394"/>
      <c r="D50" s="394"/>
      <c r="E50" s="395"/>
    </row>
    <row r="51" spans="1:5" ht="15" customHeight="1">
      <c r="A51" s="145"/>
      <c r="B51" s="393"/>
      <c r="C51" s="394"/>
      <c r="D51" s="394"/>
      <c r="E51" s="395"/>
    </row>
    <row r="52" spans="1:5" ht="15" customHeight="1">
      <c r="A52" s="145"/>
      <c r="B52" s="393"/>
      <c r="C52" s="394"/>
      <c r="D52" s="394"/>
      <c r="E52" s="395"/>
    </row>
    <row r="53" spans="1:5" ht="15" customHeight="1">
      <c r="A53" s="145"/>
      <c r="B53" s="393"/>
      <c r="C53" s="394"/>
      <c r="D53" s="394"/>
      <c r="E53" s="395"/>
    </row>
    <row r="54" spans="1:5" ht="15" customHeight="1">
      <c r="A54" s="145"/>
      <c r="B54" s="393"/>
      <c r="C54" s="394"/>
      <c r="D54" s="394"/>
      <c r="E54" s="395"/>
    </row>
    <row r="55" spans="1:5" ht="15" customHeight="1">
      <c r="A55" s="145"/>
      <c r="B55" s="393"/>
      <c r="C55" s="394"/>
      <c r="D55" s="394"/>
      <c r="E55" s="395"/>
    </row>
    <row r="56" spans="1:5" ht="15" customHeight="1">
      <c r="A56" s="145"/>
      <c r="B56" s="393"/>
      <c r="C56" s="394"/>
      <c r="D56" s="394"/>
      <c r="E56" s="395"/>
    </row>
    <row r="57" spans="1:5" ht="15" customHeight="1">
      <c r="A57" s="145"/>
      <c r="B57" s="393"/>
      <c r="C57" s="394"/>
      <c r="D57" s="394"/>
      <c r="E57" s="395"/>
    </row>
    <row r="58" spans="1:5" ht="15" customHeight="1">
      <c r="A58" s="145"/>
      <c r="B58" s="393"/>
      <c r="C58" s="394"/>
      <c r="D58" s="394"/>
      <c r="E58" s="395"/>
    </row>
    <row r="59" spans="1:5" ht="15" customHeight="1">
      <c r="A59" s="145"/>
      <c r="B59" s="393"/>
      <c r="C59" s="394"/>
      <c r="D59" s="394"/>
      <c r="E59" s="395"/>
    </row>
    <row r="60" spans="1:5" ht="15" customHeight="1">
      <c r="A60" s="145"/>
      <c r="B60" s="393"/>
      <c r="C60" s="394"/>
      <c r="D60" s="394"/>
      <c r="E60" s="395"/>
    </row>
    <row r="61" spans="1:5" ht="15" customHeight="1">
      <c r="A61" s="145"/>
      <c r="B61" s="393"/>
      <c r="C61" s="394"/>
      <c r="D61" s="394"/>
      <c r="E61" s="395"/>
    </row>
    <row r="62" spans="1:5" ht="15" customHeight="1">
      <c r="A62" s="145"/>
      <c r="B62" s="393"/>
      <c r="C62" s="394"/>
      <c r="D62" s="394"/>
      <c r="E62" s="395"/>
    </row>
    <row r="63" spans="1:5" ht="7.5" customHeight="1">
      <c r="A63" s="145"/>
      <c r="B63" s="393"/>
      <c r="C63" s="394"/>
      <c r="D63" s="394"/>
      <c r="E63" s="395"/>
    </row>
    <row r="64" spans="1:5" ht="7.5" customHeight="1">
      <c r="A64" s="145"/>
      <c r="B64" s="393"/>
      <c r="C64" s="394"/>
      <c r="D64" s="394"/>
      <c r="E64" s="395"/>
    </row>
    <row r="65" spans="1:5" ht="7.5" customHeight="1">
      <c r="A65" s="145"/>
      <c r="B65" s="393"/>
      <c r="C65" s="394"/>
      <c r="D65" s="394"/>
      <c r="E65" s="395"/>
    </row>
    <row r="66" spans="1:5" ht="7.5" customHeight="1">
      <c r="A66" s="145"/>
      <c r="B66" s="393"/>
      <c r="C66" s="394"/>
      <c r="D66" s="394"/>
      <c r="E66" s="395"/>
    </row>
    <row r="67" spans="1:5" ht="7.5" customHeight="1">
      <c r="A67" s="145"/>
      <c r="B67" s="393"/>
      <c r="C67" s="394"/>
      <c r="D67" s="394"/>
      <c r="E67" s="395"/>
    </row>
    <row r="68" spans="1:5" ht="7.5" customHeight="1">
      <c r="A68" s="145"/>
      <c r="B68" s="393"/>
      <c r="C68" s="394"/>
      <c r="D68" s="394"/>
      <c r="E68" s="395"/>
    </row>
    <row r="69" spans="1:5" ht="15" customHeight="1">
      <c r="A69" s="145"/>
      <c r="B69" s="396"/>
      <c r="C69" s="397"/>
      <c r="D69" s="397"/>
      <c r="E69" s="398"/>
    </row>
    <row r="70" spans="1:5" ht="7.5" customHeight="1">
      <c r="A70" s="145"/>
      <c r="B70" s="145"/>
      <c r="C70" s="145"/>
      <c r="D70" s="145"/>
      <c r="E70" s="145"/>
    </row>
    <row r="71" spans="1:5" s="2" customFormat="1" ht="18.75" customHeight="1">
      <c r="A71" s="142" t="s">
        <v>17</v>
      </c>
      <c r="B71" s="142" t="s">
        <v>79</v>
      </c>
      <c r="C71" s="142"/>
      <c r="D71" s="142"/>
      <c r="E71" s="142"/>
    </row>
    <row r="72" spans="1:5" s="2" customFormat="1" ht="15" customHeight="1">
      <c r="A72" s="142"/>
      <c r="B72" s="390" t="s">
        <v>317</v>
      </c>
      <c r="C72" s="379"/>
      <c r="D72" s="379"/>
      <c r="E72" s="380"/>
    </row>
    <row r="73" spans="1:5" s="2" customFormat="1" ht="15" customHeight="1">
      <c r="A73" s="142"/>
      <c r="B73" s="381"/>
      <c r="C73" s="382"/>
      <c r="D73" s="382"/>
      <c r="E73" s="383"/>
    </row>
    <row r="74" spans="1:5" s="2" customFormat="1" ht="15" customHeight="1">
      <c r="A74" s="142"/>
      <c r="B74" s="381"/>
      <c r="C74" s="382"/>
      <c r="D74" s="382"/>
      <c r="E74" s="383"/>
    </row>
    <row r="75" spans="1:5" s="2" customFormat="1" ht="15" customHeight="1">
      <c r="A75" s="142"/>
      <c r="B75" s="381"/>
      <c r="C75" s="382"/>
      <c r="D75" s="382"/>
      <c r="E75" s="383"/>
    </row>
    <row r="76" spans="1:5" s="2" customFormat="1" ht="15" customHeight="1">
      <c r="A76" s="142"/>
      <c r="B76" s="381"/>
      <c r="C76" s="382"/>
      <c r="D76" s="382"/>
      <c r="E76" s="383"/>
    </row>
    <row r="77" spans="1:5" s="2" customFormat="1" ht="15" customHeight="1">
      <c r="A77" s="142"/>
      <c r="B77" s="381"/>
      <c r="C77" s="382"/>
      <c r="D77" s="382"/>
      <c r="E77" s="383"/>
    </row>
    <row r="78" spans="1:5" s="2" customFormat="1" ht="15" customHeight="1">
      <c r="A78" s="142"/>
      <c r="B78" s="381"/>
      <c r="C78" s="382"/>
      <c r="D78" s="382"/>
      <c r="E78" s="383"/>
    </row>
    <row r="79" spans="1:5" s="2" customFormat="1" ht="15" customHeight="1">
      <c r="A79" s="142"/>
      <c r="B79" s="381"/>
      <c r="C79" s="382"/>
      <c r="D79" s="382"/>
      <c r="E79" s="383"/>
    </row>
    <row r="80" spans="1:5" s="2" customFormat="1" ht="15" customHeight="1">
      <c r="A80" s="142"/>
      <c r="B80" s="381"/>
      <c r="C80" s="382"/>
      <c r="D80" s="382"/>
      <c r="E80" s="383"/>
    </row>
    <row r="81" spans="1:5" s="2" customFormat="1" ht="15" customHeight="1">
      <c r="A81" s="142"/>
      <c r="B81" s="381"/>
      <c r="C81" s="382"/>
      <c r="D81" s="382"/>
      <c r="E81" s="383"/>
    </row>
    <row r="82" spans="1:5" s="2" customFormat="1" ht="15" customHeight="1">
      <c r="A82" s="142"/>
      <c r="B82" s="381"/>
      <c r="C82" s="382"/>
      <c r="D82" s="382"/>
      <c r="E82" s="383"/>
    </row>
    <row r="83" spans="1:5" s="2" customFormat="1" ht="15" customHeight="1">
      <c r="A83" s="142"/>
      <c r="B83" s="381"/>
      <c r="C83" s="382"/>
      <c r="D83" s="382"/>
      <c r="E83" s="383"/>
    </row>
    <row r="84" spans="1:5" s="2" customFormat="1" ht="15" customHeight="1">
      <c r="A84" s="142"/>
      <c r="B84" s="381"/>
      <c r="C84" s="382"/>
      <c r="D84" s="382"/>
      <c r="E84" s="383"/>
    </row>
    <row r="85" spans="1:5" s="2" customFormat="1" ht="15" customHeight="1">
      <c r="A85" s="142"/>
      <c r="B85" s="381"/>
      <c r="C85" s="382"/>
      <c r="D85" s="382"/>
      <c r="E85" s="383"/>
    </row>
    <row r="86" spans="1:5" s="2" customFormat="1" ht="8.25" customHeight="1">
      <c r="A86" s="142"/>
      <c r="B86" s="381"/>
      <c r="C86" s="382"/>
      <c r="D86" s="382"/>
      <c r="E86" s="383"/>
    </row>
    <row r="87" spans="1:5" s="2" customFormat="1" ht="8.25" customHeight="1">
      <c r="A87" s="142"/>
      <c r="B87" s="381"/>
      <c r="C87" s="382"/>
      <c r="D87" s="382"/>
      <c r="E87" s="383"/>
    </row>
    <row r="88" spans="1:5" s="2" customFormat="1" ht="8.25" customHeight="1">
      <c r="A88" s="142"/>
      <c r="B88" s="381"/>
      <c r="C88" s="382"/>
      <c r="D88" s="382"/>
      <c r="E88" s="383"/>
    </row>
    <row r="89" spans="1:5" ht="8.25" customHeight="1">
      <c r="A89" s="145"/>
      <c r="B89" s="381"/>
      <c r="C89" s="382"/>
      <c r="D89" s="382"/>
      <c r="E89" s="383"/>
    </row>
    <row r="90" spans="1:5" ht="15" customHeight="1">
      <c r="A90" s="145"/>
      <c r="B90" s="384"/>
      <c r="C90" s="385"/>
      <c r="D90" s="385"/>
      <c r="E90" s="386"/>
    </row>
    <row r="91" spans="1:5" ht="7.5" customHeight="1">
      <c r="A91" s="145"/>
      <c r="B91" s="145"/>
      <c r="C91" s="145"/>
      <c r="D91" s="145"/>
      <c r="E91" s="145"/>
    </row>
    <row r="92" spans="1:5" s="2" customFormat="1" ht="18.75" customHeight="1">
      <c r="A92" s="142" t="s">
        <v>14</v>
      </c>
      <c r="B92" s="142" t="s">
        <v>31</v>
      </c>
      <c r="C92" s="142"/>
      <c r="D92" s="142"/>
      <c r="E92" s="142"/>
    </row>
    <row r="93" spans="1:5" s="2" customFormat="1" ht="15" customHeight="1">
      <c r="A93" s="142"/>
      <c r="B93" s="378" t="s">
        <v>325</v>
      </c>
      <c r="C93" s="379"/>
      <c r="D93" s="379"/>
      <c r="E93" s="380"/>
    </row>
    <row r="94" spans="1:5" s="2" customFormat="1" ht="15" customHeight="1">
      <c r="A94" s="142"/>
      <c r="B94" s="381"/>
      <c r="C94" s="382"/>
      <c r="D94" s="382"/>
      <c r="E94" s="383"/>
    </row>
    <row r="95" spans="1:5" s="2" customFormat="1" ht="15" customHeight="1">
      <c r="A95" s="142"/>
      <c r="B95" s="381"/>
      <c r="C95" s="382"/>
      <c r="D95" s="382"/>
      <c r="E95" s="383"/>
    </row>
    <row r="96" spans="1:5" s="2" customFormat="1" ht="15" customHeight="1">
      <c r="A96" s="142"/>
      <c r="B96" s="381"/>
      <c r="C96" s="382"/>
      <c r="D96" s="382"/>
      <c r="E96" s="383"/>
    </row>
    <row r="97" spans="1:5" s="2" customFormat="1" ht="15" customHeight="1">
      <c r="A97" s="142"/>
      <c r="B97" s="381"/>
      <c r="C97" s="382"/>
      <c r="D97" s="382"/>
      <c r="E97" s="383"/>
    </row>
    <row r="98" spans="1:5" s="2" customFormat="1" ht="15" customHeight="1">
      <c r="A98" s="142"/>
      <c r="B98" s="381"/>
      <c r="C98" s="382"/>
      <c r="D98" s="382"/>
      <c r="E98" s="383"/>
    </row>
    <row r="99" spans="1:5" s="2" customFormat="1" ht="15" customHeight="1">
      <c r="A99" s="142"/>
      <c r="B99" s="381"/>
      <c r="C99" s="382"/>
      <c r="D99" s="382"/>
      <c r="E99" s="383"/>
    </row>
    <row r="100" spans="1:5" s="2" customFormat="1" ht="15" customHeight="1">
      <c r="A100" s="142"/>
      <c r="B100" s="381"/>
      <c r="C100" s="382"/>
      <c r="D100" s="382"/>
      <c r="E100" s="383"/>
    </row>
    <row r="101" spans="1:5" s="2" customFormat="1" ht="10.5" customHeight="1">
      <c r="A101" s="142"/>
      <c r="B101" s="381"/>
      <c r="C101" s="382"/>
      <c r="D101" s="382"/>
      <c r="E101" s="383"/>
    </row>
    <row r="102" spans="1:5" s="2" customFormat="1" ht="10.5" customHeight="1">
      <c r="A102" s="142"/>
      <c r="B102" s="381"/>
      <c r="C102" s="382"/>
      <c r="D102" s="382"/>
      <c r="E102" s="383"/>
    </row>
    <row r="103" spans="1:5" s="2" customFormat="1" ht="15" customHeight="1">
      <c r="A103" s="142"/>
      <c r="B103" s="381"/>
      <c r="C103" s="382"/>
      <c r="D103" s="382"/>
      <c r="E103" s="383"/>
    </row>
    <row r="104" spans="1:5" s="2" customFormat="1" ht="15" customHeight="1">
      <c r="A104" s="142"/>
      <c r="B104" s="381"/>
      <c r="C104" s="382"/>
      <c r="D104" s="382"/>
      <c r="E104" s="383"/>
    </row>
    <row r="105" spans="1:5" s="2" customFormat="1" ht="15" customHeight="1">
      <c r="A105" s="142"/>
      <c r="B105" s="381"/>
      <c r="C105" s="382"/>
      <c r="D105" s="382"/>
      <c r="E105" s="383"/>
    </row>
    <row r="106" spans="1:5" s="2" customFormat="1" ht="15" customHeight="1">
      <c r="A106" s="142"/>
      <c r="B106" s="381"/>
      <c r="C106" s="382"/>
      <c r="D106" s="382"/>
      <c r="E106" s="383"/>
    </row>
    <row r="107" spans="1:5" s="2" customFormat="1" ht="15" customHeight="1">
      <c r="A107" s="142"/>
      <c r="B107" s="381"/>
      <c r="C107" s="382"/>
      <c r="D107" s="382"/>
      <c r="E107" s="383"/>
    </row>
    <row r="108" spans="1:5" ht="15" customHeight="1">
      <c r="A108" s="145"/>
      <c r="B108" s="381"/>
      <c r="C108" s="382"/>
      <c r="D108" s="382"/>
      <c r="E108" s="383"/>
    </row>
    <row r="109" spans="1:5" ht="15" customHeight="1">
      <c r="A109" s="145"/>
      <c r="B109" s="384"/>
      <c r="C109" s="385"/>
      <c r="D109" s="385"/>
      <c r="E109" s="386"/>
    </row>
    <row r="110" spans="1:5" ht="7.5" customHeight="1">
      <c r="A110" s="145"/>
      <c r="B110" s="145"/>
      <c r="C110" s="145"/>
      <c r="D110" s="145"/>
      <c r="E110" s="145"/>
    </row>
    <row r="111" spans="1:5" s="2" customFormat="1" ht="18.75" customHeight="1">
      <c r="A111" s="142" t="s">
        <v>140</v>
      </c>
      <c r="B111" s="399" t="s">
        <v>106</v>
      </c>
      <c r="C111" s="399"/>
      <c r="D111" s="399"/>
      <c r="E111" s="399"/>
    </row>
    <row r="112" spans="1:5" ht="14.25" customHeight="1">
      <c r="A112" s="145"/>
      <c r="B112" s="378" t="s">
        <v>326</v>
      </c>
      <c r="C112" s="379"/>
      <c r="D112" s="379"/>
      <c r="E112" s="380"/>
    </row>
    <row r="113" spans="1:5" ht="14.25" customHeight="1">
      <c r="A113" s="145"/>
      <c r="B113" s="381"/>
      <c r="C113" s="382"/>
      <c r="D113" s="382"/>
      <c r="E113" s="383"/>
    </row>
    <row r="114" spans="1:5" ht="14.25" customHeight="1">
      <c r="A114" s="145"/>
      <c r="B114" s="381"/>
      <c r="C114" s="382"/>
      <c r="D114" s="382"/>
      <c r="E114" s="383"/>
    </row>
    <row r="115" spans="1:5" ht="14.25" customHeight="1">
      <c r="A115" s="145"/>
      <c r="B115" s="381"/>
      <c r="C115" s="382"/>
      <c r="D115" s="382"/>
      <c r="E115" s="383"/>
    </row>
    <row r="116" spans="1:5" ht="14.25" customHeight="1">
      <c r="A116" s="145"/>
      <c r="B116" s="381"/>
      <c r="C116" s="382"/>
      <c r="D116" s="382"/>
      <c r="E116" s="383"/>
    </row>
    <row r="117" spans="1:5" ht="14.25" customHeight="1">
      <c r="A117" s="145"/>
      <c r="B117" s="381"/>
      <c r="C117" s="382"/>
      <c r="D117" s="382"/>
      <c r="E117" s="383"/>
    </row>
    <row r="118" spans="1:5" ht="14.25" customHeight="1">
      <c r="A118" s="145"/>
      <c r="B118" s="381"/>
      <c r="C118" s="382"/>
      <c r="D118" s="382"/>
      <c r="E118" s="383"/>
    </row>
    <row r="119" spans="1:5" ht="14.25" customHeight="1">
      <c r="A119" s="145"/>
      <c r="B119" s="381"/>
      <c r="C119" s="382"/>
      <c r="D119" s="382"/>
      <c r="E119" s="383"/>
    </row>
    <row r="120" spans="1:5" ht="14.25" customHeight="1">
      <c r="A120" s="145"/>
      <c r="B120" s="381"/>
      <c r="C120" s="382"/>
      <c r="D120" s="382"/>
      <c r="E120" s="383"/>
    </row>
    <row r="121" spans="1:5" ht="14.25" customHeight="1">
      <c r="A121" s="145"/>
      <c r="B121" s="381"/>
      <c r="C121" s="382"/>
      <c r="D121" s="382"/>
      <c r="E121" s="383"/>
    </row>
    <row r="122" spans="1:5" ht="14.25" customHeight="1">
      <c r="A122" s="145"/>
      <c r="B122" s="381"/>
      <c r="C122" s="382"/>
      <c r="D122" s="382"/>
      <c r="E122" s="383"/>
    </row>
    <row r="123" spans="1:5" ht="14.25" customHeight="1">
      <c r="A123" s="145"/>
      <c r="B123" s="381"/>
      <c r="C123" s="382"/>
      <c r="D123" s="382"/>
      <c r="E123" s="383"/>
    </row>
    <row r="124" spans="1:5" ht="14.25" customHeight="1">
      <c r="A124" s="145"/>
      <c r="B124" s="381"/>
      <c r="C124" s="382"/>
      <c r="D124" s="382"/>
      <c r="E124" s="383"/>
    </row>
    <row r="125" spans="1:5" ht="14.25" customHeight="1">
      <c r="A125" s="145"/>
      <c r="B125" s="381"/>
      <c r="C125" s="382"/>
      <c r="D125" s="382"/>
      <c r="E125" s="383"/>
    </row>
    <row r="126" spans="1:5" ht="14.25" customHeight="1">
      <c r="A126" s="145"/>
      <c r="B126" s="384"/>
      <c r="C126" s="385"/>
      <c r="D126" s="385"/>
      <c r="E126" s="386"/>
    </row>
    <row r="127" spans="1:5" ht="7.5" customHeight="1">
      <c r="A127" s="145"/>
      <c r="B127" s="147"/>
      <c r="C127" s="147"/>
      <c r="D127" s="147"/>
      <c r="E127" s="147"/>
    </row>
    <row r="128" spans="1:5" ht="18.75" customHeight="1">
      <c r="A128" s="145"/>
      <c r="B128" s="145"/>
      <c r="C128" s="145"/>
      <c r="D128" s="145"/>
      <c r="E128" s="145"/>
    </row>
    <row r="129" spans="1:5" ht="18.75" customHeight="1">
      <c r="A129" s="145"/>
      <c r="B129" s="145"/>
      <c r="C129" s="145"/>
      <c r="D129" s="145"/>
      <c r="E129" s="145"/>
    </row>
    <row r="130" spans="1:5" ht="18.75" customHeight="1">
      <c r="A130" s="145"/>
      <c r="B130" s="145"/>
      <c r="C130" s="145"/>
      <c r="D130" s="145"/>
      <c r="E130" s="145"/>
    </row>
    <row r="131" spans="1:5" ht="18.75" customHeight="1">
      <c r="A131" s="145"/>
      <c r="B131" s="145"/>
      <c r="C131" s="145"/>
      <c r="D131" s="145"/>
      <c r="E131" s="145"/>
    </row>
    <row r="132" spans="1:5" ht="18.75" customHeight="1">
      <c r="A132" s="145"/>
      <c r="B132" s="145"/>
      <c r="C132" s="145"/>
      <c r="D132" s="145"/>
      <c r="E132" s="145"/>
    </row>
    <row r="133" spans="1:5" ht="18.75" customHeight="1">
      <c r="A133" s="145"/>
      <c r="B133" s="145"/>
      <c r="C133" s="145"/>
      <c r="D133" s="145"/>
      <c r="E133" s="145"/>
    </row>
    <row r="134" spans="1:5" ht="18.75" customHeight="1">
      <c r="A134" s="145"/>
      <c r="B134" s="145"/>
      <c r="C134" s="145"/>
      <c r="D134" s="145"/>
      <c r="E134" s="145"/>
    </row>
    <row r="135" spans="1:5" ht="18.75" customHeight="1">
      <c r="A135" s="145"/>
      <c r="B135" s="145"/>
      <c r="C135" s="145"/>
      <c r="D135" s="145"/>
      <c r="E135" s="145"/>
    </row>
    <row r="136" spans="1:5" ht="18.75" customHeight="1">
      <c r="A136" s="145"/>
      <c r="B136" s="145"/>
      <c r="C136" s="145"/>
      <c r="D136" s="145"/>
      <c r="E136" s="145"/>
    </row>
    <row r="137" spans="1:5" ht="18.75" customHeight="1">
      <c r="A137" s="145"/>
      <c r="B137" s="145"/>
      <c r="C137" s="145"/>
      <c r="D137" s="145"/>
      <c r="E137" s="145"/>
    </row>
    <row r="138" spans="1:5" ht="18.75" customHeight="1">
      <c r="A138" s="145"/>
      <c r="B138" s="145"/>
      <c r="C138" s="145"/>
      <c r="D138" s="145"/>
      <c r="E138" s="145"/>
    </row>
    <row r="139" spans="1:5" ht="18.75" customHeight="1">
      <c r="A139" s="145"/>
      <c r="B139" s="145"/>
      <c r="C139" s="145"/>
      <c r="D139" s="145"/>
      <c r="E139" s="145"/>
    </row>
    <row r="140" spans="1:5" ht="14.25">
      <c r="A140" s="145"/>
      <c r="B140" s="145"/>
      <c r="C140" s="145"/>
      <c r="D140" s="145"/>
      <c r="E140" s="145"/>
    </row>
    <row r="141" spans="1:5" ht="7.5" customHeight="1">
      <c r="A141" s="148"/>
      <c r="B141" s="148"/>
      <c r="C141" s="148"/>
      <c r="D141" s="148"/>
      <c r="E141" s="148"/>
    </row>
  </sheetData>
  <mergeCells count="11">
    <mergeCell ref="B49:E69"/>
    <mergeCell ref="B72:E90"/>
    <mergeCell ref="B93:E109"/>
    <mergeCell ref="B111:E111"/>
    <mergeCell ref="B112:E126"/>
    <mergeCell ref="B31:E46"/>
    <mergeCell ref="D2:E2"/>
    <mergeCell ref="B4:E4"/>
    <mergeCell ref="B7:E7"/>
    <mergeCell ref="B10:E14"/>
    <mergeCell ref="B17:E28"/>
  </mergeCells>
  <phoneticPr fontId="3"/>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Normal="100" workbookViewId="0"/>
  </sheetViews>
  <sheetFormatPr defaultColWidth="11.375" defaultRowHeight="22.5" customHeight="1"/>
  <cols>
    <col min="1" max="1" width="2.5" style="1" customWidth="1"/>
    <col min="2" max="3" width="2.5" style="25" customWidth="1"/>
    <col min="4" max="4" width="22.5" style="25" customWidth="1"/>
    <col min="5" max="5" width="21.125" style="25" customWidth="1"/>
    <col min="6" max="7" width="7.5" style="25" customWidth="1"/>
    <col min="8" max="8" width="32.5" style="25" customWidth="1"/>
    <col min="9" max="9" width="24.875" style="25" customWidth="1"/>
    <col min="10" max="10" width="6.125" style="25" customWidth="1"/>
    <col min="11" max="11" width="4.125" style="1" customWidth="1"/>
    <col min="12" max="16384" width="11.375" style="1"/>
  </cols>
  <sheetData>
    <row r="1" spans="1:10" ht="18.75" customHeight="1">
      <c r="J1" s="140" t="s">
        <v>9</v>
      </c>
    </row>
    <row r="2" spans="1:10" ht="18.75" customHeight="1">
      <c r="D2" s="140"/>
      <c r="H2" s="140" t="s">
        <v>28</v>
      </c>
      <c r="I2" s="405" t="s">
        <v>124</v>
      </c>
      <c r="J2" s="405"/>
    </row>
    <row r="3" spans="1:10" ht="18.75" customHeight="1">
      <c r="A3" s="260" t="s">
        <v>47</v>
      </c>
      <c r="B3" s="260"/>
      <c r="C3" s="260"/>
      <c r="D3" s="260"/>
      <c r="E3" s="260"/>
      <c r="F3" s="260"/>
      <c r="G3" s="260"/>
      <c r="H3" s="260"/>
      <c r="I3" s="260"/>
      <c r="J3" s="260"/>
    </row>
    <row r="4" spans="1:10" ht="7.5" customHeight="1">
      <c r="B4" s="149"/>
      <c r="C4" s="149"/>
      <c r="D4" s="406"/>
      <c r="E4" s="406"/>
      <c r="F4" s="406"/>
      <c r="G4" s="406"/>
      <c r="H4" s="406"/>
      <c r="I4" s="406"/>
      <c r="J4" s="406"/>
    </row>
    <row r="5" spans="1:10" ht="18.75" customHeight="1">
      <c r="A5" s="1" t="s">
        <v>7</v>
      </c>
      <c r="B5" s="143" t="s">
        <v>45</v>
      </c>
      <c r="C5" s="149"/>
      <c r="D5" s="149"/>
      <c r="E5" s="149"/>
      <c r="F5" s="149"/>
      <c r="G5" s="149"/>
      <c r="H5" s="149"/>
      <c r="I5" s="149"/>
      <c r="J5" s="149"/>
    </row>
    <row r="6" spans="1:10" ht="18.75" customHeight="1">
      <c r="B6" s="189" t="s">
        <v>42</v>
      </c>
      <c r="C6" s="190"/>
      <c r="D6" s="191"/>
      <c r="E6" s="190" t="s">
        <v>44</v>
      </c>
      <c r="F6" s="190"/>
      <c r="G6" s="190"/>
      <c r="H6" s="190"/>
      <c r="I6" s="190"/>
      <c r="J6" s="191"/>
    </row>
    <row r="7" spans="1:10" ht="18.75" customHeight="1">
      <c r="B7" s="97" t="s">
        <v>32</v>
      </c>
      <c r="C7" s="150"/>
      <c r="D7" s="151"/>
      <c r="E7" s="99"/>
      <c r="F7" s="99"/>
      <c r="G7" s="99"/>
      <c r="H7" s="99"/>
      <c r="I7" s="150"/>
      <c r="J7" s="151"/>
    </row>
    <row r="8" spans="1:10" ht="202.5" customHeight="1">
      <c r="B8" s="152"/>
      <c r="C8" s="400" t="s">
        <v>33</v>
      </c>
      <c r="D8" s="401"/>
      <c r="E8" s="402" t="s">
        <v>327</v>
      </c>
      <c r="F8" s="403"/>
      <c r="G8" s="403"/>
      <c r="H8" s="403"/>
      <c r="I8" s="403"/>
      <c r="J8" s="404"/>
    </row>
    <row r="9" spans="1:10" ht="202.5" customHeight="1">
      <c r="B9" s="152"/>
      <c r="C9" s="407" t="s">
        <v>34</v>
      </c>
      <c r="D9" s="408"/>
      <c r="E9" s="402" t="s">
        <v>308</v>
      </c>
      <c r="F9" s="403"/>
      <c r="G9" s="403"/>
      <c r="H9" s="403"/>
      <c r="I9" s="403"/>
      <c r="J9" s="404"/>
    </row>
    <row r="10" spans="1:10" ht="172.5" customHeight="1">
      <c r="B10" s="152"/>
      <c r="C10" s="400" t="s">
        <v>35</v>
      </c>
      <c r="D10" s="401"/>
      <c r="E10" s="402" t="s">
        <v>320</v>
      </c>
      <c r="F10" s="403"/>
      <c r="G10" s="403"/>
      <c r="H10" s="403"/>
      <c r="I10" s="403"/>
      <c r="J10" s="404"/>
    </row>
    <row r="11" spans="1:10" ht="172.5" customHeight="1">
      <c r="B11" s="152"/>
      <c r="C11" s="400" t="s">
        <v>36</v>
      </c>
      <c r="D11" s="401"/>
      <c r="E11" s="402" t="s">
        <v>321</v>
      </c>
      <c r="F11" s="403"/>
      <c r="G11" s="403"/>
      <c r="H11" s="403"/>
      <c r="I11" s="403"/>
      <c r="J11" s="404"/>
    </row>
    <row r="12" spans="1:10" ht="172.5" customHeight="1">
      <c r="B12" s="169"/>
      <c r="C12" s="400" t="s">
        <v>37</v>
      </c>
      <c r="D12" s="401"/>
      <c r="E12" s="402" t="s">
        <v>328</v>
      </c>
      <c r="F12" s="403"/>
      <c r="G12" s="403"/>
      <c r="H12" s="403"/>
      <c r="I12" s="403"/>
      <c r="J12" s="404"/>
    </row>
    <row r="13" spans="1:10" ht="18.75" customHeight="1">
      <c r="B13" s="153" t="s">
        <v>38</v>
      </c>
      <c r="C13" s="154"/>
      <c r="D13" s="155"/>
      <c r="E13" s="156"/>
      <c r="F13" s="156"/>
      <c r="G13" s="156"/>
      <c r="H13" s="156"/>
      <c r="I13" s="156"/>
      <c r="J13" s="157"/>
    </row>
    <row r="14" spans="1:10" ht="255" customHeight="1">
      <c r="B14" s="152"/>
      <c r="C14" s="400" t="s">
        <v>39</v>
      </c>
      <c r="D14" s="401"/>
      <c r="E14" s="403" t="s">
        <v>329</v>
      </c>
      <c r="F14" s="403"/>
      <c r="G14" s="403"/>
      <c r="H14" s="403"/>
      <c r="I14" s="403"/>
      <c r="J14" s="404"/>
    </row>
    <row r="15" spans="1:10" ht="255" customHeight="1">
      <c r="B15" s="152"/>
      <c r="C15" s="400" t="s">
        <v>40</v>
      </c>
      <c r="D15" s="401"/>
      <c r="E15" s="403" t="s">
        <v>322</v>
      </c>
      <c r="F15" s="403"/>
      <c r="G15" s="403"/>
      <c r="H15" s="403"/>
      <c r="I15" s="403"/>
      <c r="J15" s="404"/>
    </row>
    <row r="16" spans="1:10" ht="232.5" customHeight="1">
      <c r="B16" s="409" t="s">
        <v>41</v>
      </c>
      <c r="C16" s="410"/>
      <c r="D16" s="401"/>
      <c r="E16" s="403" t="s">
        <v>330</v>
      </c>
      <c r="F16" s="403"/>
      <c r="G16" s="403"/>
      <c r="H16" s="403"/>
      <c r="I16" s="403"/>
      <c r="J16" s="404"/>
    </row>
    <row r="17" spans="1:10" ht="232.5" customHeight="1">
      <c r="A17" s="26"/>
      <c r="B17" s="411" t="s">
        <v>70</v>
      </c>
      <c r="C17" s="412"/>
      <c r="D17" s="413"/>
      <c r="E17" s="397" t="s">
        <v>331</v>
      </c>
      <c r="F17" s="397"/>
      <c r="G17" s="397"/>
      <c r="H17" s="397"/>
      <c r="I17" s="397"/>
      <c r="J17" s="398"/>
    </row>
    <row r="18" spans="1:10" ht="7.5" customHeight="1">
      <c r="B18" s="149"/>
      <c r="C18" s="149"/>
      <c r="D18" s="149"/>
      <c r="E18" s="149"/>
      <c r="F18" s="149"/>
      <c r="G18" s="149"/>
      <c r="H18" s="149"/>
      <c r="I18" s="149"/>
      <c r="J18" s="149"/>
    </row>
    <row r="19" spans="1:10" ht="18.75" customHeight="1">
      <c r="B19" s="143"/>
      <c r="C19" s="149"/>
      <c r="D19" s="149"/>
      <c r="E19" s="149"/>
      <c r="F19" s="158"/>
      <c r="G19" s="158"/>
      <c r="H19" s="159" t="s">
        <v>91</v>
      </c>
      <c r="I19" s="160"/>
      <c r="J19" s="161"/>
    </row>
    <row r="20" spans="1:10" ht="38.25" customHeight="1">
      <c r="A20" s="107" t="s">
        <v>310</v>
      </c>
      <c r="B20" s="105" t="s">
        <v>46</v>
      </c>
      <c r="C20" s="150"/>
      <c r="D20" s="150"/>
      <c r="E20" s="150"/>
      <c r="F20" s="170" t="s">
        <v>164</v>
      </c>
      <c r="G20" s="158"/>
      <c r="H20" s="414" t="s">
        <v>312</v>
      </c>
      <c r="I20" s="415"/>
      <c r="J20" s="416"/>
    </row>
    <row r="21" spans="1:10" ht="22.5" customHeight="1">
      <c r="B21" s="149"/>
      <c r="C21" s="149"/>
      <c r="D21" s="149"/>
      <c r="E21" s="149"/>
      <c r="F21" s="149"/>
      <c r="G21" s="149"/>
      <c r="H21" s="149"/>
      <c r="I21" s="149"/>
      <c r="J21" s="149"/>
    </row>
    <row r="22" spans="1:10" ht="22.5" customHeight="1">
      <c r="B22" s="149"/>
      <c r="C22" s="149"/>
      <c r="D22" s="149"/>
      <c r="E22" s="149"/>
      <c r="F22" s="149"/>
      <c r="G22" s="149"/>
      <c r="H22" s="149"/>
      <c r="I22" s="149"/>
      <c r="J22" s="149"/>
    </row>
    <row r="23" spans="1:10" ht="22.5" customHeight="1">
      <c r="B23" s="149"/>
      <c r="C23" s="149"/>
      <c r="D23" s="149"/>
      <c r="E23" s="149"/>
      <c r="F23" s="149"/>
      <c r="G23" s="149"/>
      <c r="H23" s="149"/>
      <c r="I23" s="149"/>
      <c r="J23" s="149"/>
    </row>
    <row r="24" spans="1:10" ht="22.5" customHeight="1">
      <c r="B24" s="149"/>
      <c r="C24" s="149"/>
      <c r="D24" s="149"/>
      <c r="E24" s="149"/>
      <c r="F24" s="149"/>
      <c r="G24" s="149"/>
      <c r="H24" s="149"/>
      <c r="I24" s="149"/>
      <c r="J24" s="149"/>
    </row>
    <row r="25" spans="1:10" ht="22.5" customHeight="1">
      <c r="B25" s="149"/>
      <c r="C25" s="149"/>
      <c r="D25" s="149"/>
      <c r="E25" s="149"/>
      <c r="F25" s="149"/>
      <c r="G25" s="149"/>
      <c r="H25" s="149"/>
      <c r="I25" s="149"/>
      <c r="J25" s="149"/>
    </row>
    <row r="26" spans="1:10" ht="22.5" customHeight="1">
      <c r="B26" s="110"/>
      <c r="C26" s="110"/>
      <c r="D26" s="110"/>
      <c r="E26" s="110"/>
      <c r="F26" s="110"/>
      <c r="G26" s="110"/>
      <c r="H26" s="110"/>
      <c r="I26" s="110"/>
      <c r="J26" s="110"/>
    </row>
    <row r="27" spans="1:10" ht="22.5" customHeight="1">
      <c r="B27" s="110"/>
      <c r="C27" s="110"/>
      <c r="D27" s="110"/>
      <c r="E27" s="110"/>
      <c r="F27" s="110"/>
      <c r="G27" s="110"/>
      <c r="H27" s="110"/>
      <c r="I27" s="110"/>
      <c r="J27" s="110"/>
    </row>
    <row r="28" spans="1:10" ht="22.5" customHeight="1">
      <c r="B28" s="110"/>
      <c r="C28" s="110"/>
      <c r="D28" s="110"/>
      <c r="E28" s="110"/>
      <c r="F28" s="110"/>
      <c r="G28" s="110"/>
      <c r="H28" s="110"/>
      <c r="I28" s="110"/>
      <c r="J28" s="110"/>
    </row>
  </sheetData>
  <mergeCells count="24">
    <mergeCell ref="B16:D16"/>
    <mergeCell ref="E16:J16"/>
    <mergeCell ref="B17:D17"/>
    <mergeCell ref="E17:J17"/>
    <mergeCell ref="H20:J20"/>
    <mergeCell ref="C12:D12"/>
    <mergeCell ref="E12:J12"/>
    <mergeCell ref="C14:D14"/>
    <mergeCell ref="E14:J14"/>
    <mergeCell ref="C15:D15"/>
    <mergeCell ref="E15:J15"/>
    <mergeCell ref="C9:D9"/>
    <mergeCell ref="E9:J9"/>
    <mergeCell ref="C10:D10"/>
    <mergeCell ref="E10:J10"/>
    <mergeCell ref="C11:D11"/>
    <mergeCell ref="E11:J11"/>
    <mergeCell ref="C8:D8"/>
    <mergeCell ref="E8:J8"/>
    <mergeCell ref="I2:J2"/>
    <mergeCell ref="A3:J3"/>
    <mergeCell ref="D4:J4"/>
    <mergeCell ref="B6:D6"/>
    <mergeCell ref="E6:J6"/>
  </mergeCells>
  <phoneticPr fontId="3"/>
  <dataValidations count="2">
    <dataValidation type="list" allowBlank="1" showInputMessage="1" showErrorMessage="1" sqref="F20">
      <formula1>"有,無,予定"</formula1>
    </dataValidation>
    <dataValidation type="list" allowBlank="1" showInputMessage="1" showErrorMessage="1" sqref="F19:G19">
      <formula1>#REF!</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workbookViewId="0">
      <selection activeCell="O32" sqref="O32"/>
    </sheetView>
  </sheetViews>
  <sheetFormatPr defaultColWidth="11.375" defaultRowHeight="18.75" customHeight="1"/>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6" ht="18.75" customHeight="1">
      <c r="E1" s="426" t="s">
        <v>15</v>
      </c>
      <c r="F1" s="426"/>
    </row>
    <row r="2" spans="1:6" ht="18.75" customHeight="1">
      <c r="C2" s="6" t="s">
        <v>71</v>
      </c>
      <c r="D2" s="6" t="s">
        <v>8</v>
      </c>
      <c r="E2" s="284" t="s">
        <v>123</v>
      </c>
      <c r="F2" s="284"/>
    </row>
    <row r="3" spans="1:6" ht="7.5" customHeight="1">
      <c r="C3" s="6"/>
      <c r="D3" s="6"/>
      <c r="E3" s="5"/>
      <c r="F3" s="5"/>
    </row>
    <row r="4" spans="1:6" ht="18.75" customHeight="1">
      <c r="A4" s="260" t="s">
        <v>99</v>
      </c>
      <c r="B4" s="260"/>
      <c r="C4" s="260"/>
      <c r="D4" s="260"/>
      <c r="E4" s="260"/>
      <c r="F4" s="260"/>
    </row>
    <row r="5" spans="1:6" ht="7.5" customHeight="1">
      <c r="A5" s="7"/>
      <c r="B5" s="7"/>
      <c r="C5" s="7"/>
      <c r="D5" s="7"/>
      <c r="E5" s="7"/>
      <c r="F5" s="7"/>
    </row>
    <row r="6" spans="1:6" ht="18.75" customHeight="1">
      <c r="A6" s="7" t="s">
        <v>7</v>
      </c>
      <c r="B6" s="2" t="s">
        <v>30</v>
      </c>
      <c r="C6" s="7"/>
      <c r="D6" s="7"/>
      <c r="E6" s="7"/>
      <c r="F6" s="7"/>
    </row>
    <row r="7" spans="1:6" ht="18.75" customHeight="1">
      <c r="A7" s="7"/>
      <c r="B7" s="417"/>
      <c r="C7" s="418"/>
      <c r="D7" s="418"/>
      <c r="E7" s="418"/>
      <c r="F7" s="419"/>
    </row>
    <row r="8" spans="1:6" ht="18.75" customHeight="1">
      <c r="A8" s="21"/>
      <c r="B8" s="420"/>
      <c r="C8" s="421"/>
      <c r="D8" s="421"/>
      <c r="E8" s="421"/>
      <c r="F8" s="422"/>
    </row>
    <row r="9" spans="1:6" ht="18.75" customHeight="1">
      <c r="A9" s="21"/>
      <c r="B9" s="420"/>
      <c r="C9" s="421"/>
      <c r="D9" s="421"/>
      <c r="E9" s="421"/>
      <c r="F9" s="422"/>
    </row>
    <row r="10" spans="1:6" ht="18.75" customHeight="1">
      <c r="A10" s="21"/>
      <c r="B10" s="420"/>
      <c r="C10" s="421"/>
      <c r="D10" s="421"/>
      <c r="E10" s="421"/>
      <c r="F10" s="422"/>
    </row>
    <row r="11" spans="1:6" ht="18.75" customHeight="1">
      <c r="A11" s="21"/>
      <c r="B11" s="420"/>
      <c r="C11" s="421"/>
      <c r="D11" s="421"/>
      <c r="E11" s="421"/>
      <c r="F11" s="422"/>
    </row>
    <row r="12" spans="1:6" ht="18.75" customHeight="1">
      <c r="A12" s="21"/>
      <c r="B12" s="420"/>
      <c r="C12" s="421"/>
      <c r="D12" s="421"/>
      <c r="E12" s="421"/>
      <c r="F12" s="422"/>
    </row>
    <row r="13" spans="1:6" ht="18.75" customHeight="1">
      <c r="A13" s="21"/>
      <c r="B13" s="420"/>
      <c r="C13" s="421"/>
      <c r="D13" s="421"/>
      <c r="E13" s="421"/>
      <c r="F13" s="422"/>
    </row>
    <row r="14" spans="1:6" ht="18.75" customHeight="1">
      <c r="A14" s="21"/>
      <c r="B14" s="420"/>
      <c r="C14" s="421"/>
      <c r="D14" s="421"/>
      <c r="E14" s="421"/>
      <c r="F14" s="422"/>
    </row>
    <row r="15" spans="1:6" ht="18.75" customHeight="1">
      <c r="A15" s="21"/>
      <c r="B15" s="420"/>
      <c r="C15" s="421"/>
      <c r="D15" s="421"/>
      <c r="E15" s="421"/>
      <c r="F15" s="422"/>
    </row>
    <row r="16" spans="1:6" ht="18.75" customHeight="1">
      <c r="A16" s="21"/>
      <c r="B16" s="420"/>
      <c r="C16" s="421"/>
      <c r="D16" s="421"/>
      <c r="E16" s="421"/>
      <c r="F16" s="422"/>
    </row>
    <row r="17" spans="1:6" ht="18.75" customHeight="1">
      <c r="A17" s="21"/>
      <c r="B17" s="420"/>
      <c r="C17" s="421"/>
      <c r="D17" s="421"/>
      <c r="E17" s="421"/>
      <c r="F17" s="422"/>
    </row>
    <row r="18" spans="1:6" ht="18.75" customHeight="1">
      <c r="A18" s="21"/>
      <c r="B18" s="420"/>
      <c r="C18" s="421"/>
      <c r="D18" s="421"/>
      <c r="E18" s="421"/>
      <c r="F18" s="422"/>
    </row>
    <row r="19" spans="1:6" ht="18.75" customHeight="1">
      <c r="A19" s="21"/>
      <c r="B19" s="420"/>
      <c r="C19" s="421"/>
      <c r="D19" s="421"/>
      <c r="E19" s="421"/>
      <c r="F19" s="422"/>
    </row>
    <row r="20" spans="1:6" ht="18.75" customHeight="1">
      <c r="A20" s="21"/>
      <c r="B20" s="420"/>
      <c r="C20" s="421"/>
      <c r="D20" s="421"/>
      <c r="E20" s="421"/>
      <c r="F20" s="422"/>
    </row>
    <row r="21" spans="1:6" ht="18.75" customHeight="1">
      <c r="A21" s="21"/>
      <c r="B21" s="420"/>
      <c r="C21" s="421"/>
      <c r="D21" s="421"/>
      <c r="E21" s="421"/>
      <c r="F21" s="422"/>
    </row>
    <row r="22" spans="1:6" ht="18.75" customHeight="1">
      <c r="A22" s="21"/>
      <c r="B22" s="420"/>
      <c r="C22" s="421"/>
      <c r="D22" s="421"/>
      <c r="E22" s="421"/>
      <c r="F22" s="422"/>
    </row>
    <row r="23" spans="1:6" ht="18.75" customHeight="1">
      <c r="A23" s="21"/>
      <c r="B23" s="420"/>
      <c r="C23" s="421"/>
      <c r="D23" s="421"/>
      <c r="E23" s="421"/>
      <c r="F23" s="422"/>
    </row>
    <row r="24" spans="1:6" ht="18.75" customHeight="1">
      <c r="A24" s="21"/>
      <c r="B24" s="420"/>
      <c r="C24" s="421"/>
      <c r="D24" s="421"/>
      <c r="E24" s="421"/>
      <c r="F24" s="422"/>
    </row>
    <row r="25" spans="1:6" ht="18.75" customHeight="1">
      <c r="A25" s="21"/>
      <c r="B25" s="420"/>
      <c r="C25" s="421"/>
      <c r="D25" s="421"/>
      <c r="E25" s="421"/>
      <c r="F25" s="422"/>
    </row>
    <row r="26" spans="1:6" ht="18.75" customHeight="1">
      <c r="A26" s="21"/>
      <c r="B26" s="420"/>
      <c r="C26" s="421"/>
      <c r="D26" s="421"/>
      <c r="E26" s="421"/>
      <c r="F26" s="422"/>
    </row>
    <row r="27" spans="1:6" ht="18.75" customHeight="1">
      <c r="A27" s="21"/>
      <c r="B27" s="420"/>
      <c r="C27" s="421"/>
      <c r="D27" s="421"/>
      <c r="E27" s="421"/>
      <c r="F27" s="422"/>
    </row>
    <row r="28" spans="1:6" ht="18.75" customHeight="1">
      <c r="A28" s="7"/>
      <c r="B28" s="420"/>
      <c r="C28" s="421"/>
      <c r="D28" s="421"/>
      <c r="E28" s="421"/>
      <c r="F28" s="422"/>
    </row>
    <row r="29" spans="1:6" ht="18.75" customHeight="1">
      <c r="A29" s="7"/>
      <c r="B29" s="420"/>
      <c r="C29" s="421"/>
      <c r="D29" s="421"/>
      <c r="E29" s="421"/>
      <c r="F29" s="422"/>
    </row>
    <row r="30" spans="1:6" ht="18.75" customHeight="1">
      <c r="A30" s="7"/>
      <c r="B30" s="420"/>
      <c r="C30" s="421"/>
      <c r="D30" s="421"/>
      <c r="E30" s="421"/>
      <c r="F30" s="422"/>
    </row>
    <row r="31" spans="1:6" ht="18.75" customHeight="1">
      <c r="A31" s="7"/>
      <c r="B31" s="420"/>
      <c r="C31" s="421"/>
      <c r="D31" s="421"/>
      <c r="E31" s="421"/>
      <c r="F31" s="422"/>
    </row>
    <row r="32" spans="1:6" ht="18.75" customHeight="1">
      <c r="A32" s="7"/>
      <c r="B32" s="420"/>
      <c r="C32" s="421"/>
      <c r="D32" s="421"/>
      <c r="E32" s="421"/>
      <c r="F32" s="422"/>
    </row>
    <row r="33" spans="1:6" ht="18.75" customHeight="1">
      <c r="A33" s="7"/>
      <c r="B33" s="420"/>
      <c r="C33" s="421"/>
      <c r="D33" s="421"/>
      <c r="E33" s="421"/>
      <c r="F33" s="422"/>
    </row>
    <row r="34" spans="1:6" ht="18.75" customHeight="1">
      <c r="A34" s="7"/>
      <c r="B34" s="420"/>
      <c r="C34" s="421"/>
      <c r="D34" s="421"/>
      <c r="E34" s="421"/>
      <c r="F34" s="422"/>
    </row>
    <row r="35" spans="1:6" ht="18.75" customHeight="1">
      <c r="A35" s="7"/>
      <c r="B35" s="420"/>
      <c r="C35" s="421"/>
      <c r="D35" s="421"/>
      <c r="E35" s="421"/>
      <c r="F35" s="422"/>
    </row>
    <row r="36" spans="1:6" ht="18.75" customHeight="1">
      <c r="A36" s="7"/>
      <c r="B36" s="420"/>
      <c r="C36" s="421"/>
      <c r="D36" s="421"/>
      <c r="E36" s="421"/>
      <c r="F36" s="422"/>
    </row>
    <row r="37" spans="1:6" ht="18.75" customHeight="1">
      <c r="A37" s="7"/>
      <c r="B37" s="420"/>
      <c r="C37" s="421"/>
      <c r="D37" s="421"/>
      <c r="E37" s="421"/>
      <c r="F37" s="422"/>
    </row>
    <row r="38" spans="1:6" ht="18.75" customHeight="1">
      <c r="A38" s="7"/>
      <c r="B38" s="420"/>
      <c r="C38" s="421"/>
      <c r="D38" s="421"/>
      <c r="E38" s="421"/>
      <c r="F38" s="422"/>
    </row>
    <row r="39" spans="1:6" ht="18.75" customHeight="1">
      <c r="A39" s="7"/>
      <c r="B39" s="420"/>
      <c r="C39" s="421"/>
      <c r="D39" s="421"/>
      <c r="E39" s="421"/>
      <c r="F39" s="422"/>
    </row>
    <row r="40" spans="1:6" ht="18.75" customHeight="1">
      <c r="A40" s="7"/>
      <c r="B40" s="420"/>
      <c r="C40" s="421"/>
      <c r="D40" s="421"/>
      <c r="E40" s="421"/>
      <c r="F40" s="422"/>
    </row>
    <row r="41" spans="1:6" ht="18.75" customHeight="1">
      <c r="A41" s="7"/>
      <c r="B41" s="420"/>
      <c r="C41" s="421"/>
      <c r="D41" s="421"/>
      <c r="E41" s="421"/>
      <c r="F41" s="422"/>
    </row>
    <row r="42" spans="1:6" ht="18.75" customHeight="1">
      <c r="A42" s="7"/>
      <c r="B42" s="420"/>
      <c r="C42" s="421"/>
      <c r="D42" s="421"/>
      <c r="E42" s="421"/>
      <c r="F42" s="422"/>
    </row>
    <row r="43" spans="1:6" ht="18.75" customHeight="1">
      <c r="A43" s="7"/>
      <c r="B43" s="420"/>
      <c r="C43" s="421"/>
      <c r="D43" s="421"/>
      <c r="E43" s="421"/>
      <c r="F43" s="422"/>
    </row>
    <row r="44" spans="1:6" ht="18.75" customHeight="1">
      <c r="A44" s="7"/>
      <c r="B44" s="423"/>
      <c r="C44" s="424"/>
      <c r="D44" s="424"/>
      <c r="E44" s="424"/>
      <c r="F44" s="425"/>
    </row>
    <row r="45" spans="1:6" ht="18.75" customHeight="1">
      <c r="A45" s="7" t="s">
        <v>12</v>
      </c>
      <c r="B45" s="2" t="s">
        <v>75</v>
      </c>
      <c r="C45" s="7"/>
      <c r="D45" s="7"/>
      <c r="E45" s="7"/>
      <c r="F45" s="7"/>
    </row>
    <row r="46" spans="1:6" ht="18.75" customHeight="1">
      <c r="A46" s="7"/>
      <c r="B46" s="417"/>
      <c r="C46" s="418"/>
      <c r="D46" s="418"/>
      <c r="E46" s="418"/>
      <c r="F46" s="419"/>
    </row>
    <row r="47" spans="1:6" ht="18.75" customHeight="1">
      <c r="A47" s="21"/>
      <c r="B47" s="420"/>
      <c r="C47" s="421"/>
      <c r="D47" s="421"/>
      <c r="E47" s="421"/>
      <c r="F47" s="422"/>
    </row>
    <row r="48" spans="1:6" ht="18.75" customHeight="1">
      <c r="A48" s="21"/>
      <c r="B48" s="420"/>
      <c r="C48" s="421"/>
      <c r="D48" s="421"/>
      <c r="E48" s="421"/>
      <c r="F48" s="422"/>
    </row>
    <row r="49" spans="1:6" ht="18.75" customHeight="1">
      <c r="A49" s="21"/>
      <c r="B49" s="420"/>
      <c r="C49" s="421"/>
      <c r="D49" s="421"/>
      <c r="E49" s="421"/>
      <c r="F49" s="422"/>
    </row>
    <row r="50" spans="1:6" ht="18.75" customHeight="1">
      <c r="A50" s="21"/>
      <c r="B50" s="420"/>
      <c r="C50" s="421"/>
      <c r="D50" s="421"/>
      <c r="E50" s="421"/>
      <c r="F50" s="422"/>
    </row>
    <row r="51" spans="1:6" ht="18.75" customHeight="1">
      <c r="A51" s="21"/>
      <c r="B51" s="420"/>
      <c r="C51" s="421"/>
      <c r="D51" s="421"/>
      <c r="E51" s="421"/>
      <c r="F51" s="422"/>
    </row>
    <row r="52" spans="1:6" ht="18.75" customHeight="1">
      <c r="A52" s="21"/>
      <c r="B52" s="420"/>
      <c r="C52" s="421"/>
      <c r="D52" s="421"/>
      <c r="E52" s="421"/>
      <c r="F52" s="422"/>
    </row>
    <row r="53" spans="1:6" ht="18.75" customHeight="1">
      <c r="A53" s="21"/>
      <c r="B53" s="420"/>
      <c r="C53" s="421"/>
      <c r="D53" s="421"/>
      <c r="E53" s="421"/>
      <c r="F53" s="422"/>
    </row>
    <row r="54" spans="1:6" ht="18.75" customHeight="1">
      <c r="A54" s="21"/>
      <c r="B54" s="420"/>
      <c r="C54" s="421"/>
      <c r="D54" s="421"/>
      <c r="E54" s="421"/>
      <c r="F54" s="422"/>
    </row>
    <row r="55" spans="1:6" ht="18.75" customHeight="1">
      <c r="A55" s="21"/>
      <c r="B55" s="420"/>
      <c r="C55" s="421"/>
      <c r="D55" s="421"/>
      <c r="E55" s="421"/>
      <c r="F55" s="422"/>
    </row>
    <row r="56" spans="1:6" ht="18.75" customHeight="1">
      <c r="A56" s="21"/>
      <c r="B56" s="420"/>
      <c r="C56" s="421"/>
      <c r="D56" s="421"/>
      <c r="E56" s="421"/>
      <c r="F56" s="422"/>
    </row>
    <row r="57" spans="1:6" ht="18.75" customHeight="1">
      <c r="A57" s="21"/>
      <c r="B57" s="420"/>
      <c r="C57" s="421"/>
      <c r="D57" s="421"/>
      <c r="E57" s="421"/>
      <c r="F57" s="422"/>
    </row>
    <row r="58" spans="1:6" ht="18.75" customHeight="1">
      <c r="A58" s="21"/>
      <c r="B58" s="420"/>
      <c r="C58" s="421"/>
      <c r="D58" s="421"/>
      <c r="E58" s="421"/>
      <c r="F58" s="422"/>
    </row>
    <row r="59" spans="1:6" ht="18.75" customHeight="1">
      <c r="A59" s="21"/>
      <c r="B59" s="420"/>
      <c r="C59" s="421"/>
      <c r="D59" s="421"/>
      <c r="E59" s="421"/>
      <c r="F59" s="422"/>
    </row>
    <row r="60" spans="1:6" ht="18.75" customHeight="1">
      <c r="A60" s="21"/>
      <c r="B60" s="420"/>
      <c r="C60" s="421"/>
      <c r="D60" s="421"/>
      <c r="E60" s="421"/>
      <c r="F60" s="422"/>
    </row>
    <row r="61" spans="1:6" ht="18.75" customHeight="1">
      <c r="A61" s="21"/>
      <c r="B61" s="420"/>
      <c r="C61" s="421"/>
      <c r="D61" s="421"/>
      <c r="E61" s="421"/>
      <c r="F61" s="422"/>
    </row>
    <row r="62" spans="1:6" ht="18.75" customHeight="1">
      <c r="A62" s="21"/>
      <c r="B62" s="420"/>
      <c r="C62" s="421"/>
      <c r="D62" s="421"/>
      <c r="E62" s="421"/>
      <c r="F62" s="422"/>
    </row>
    <row r="63" spans="1:6" ht="18.75" customHeight="1">
      <c r="A63" s="21"/>
      <c r="B63" s="420"/>
      <c r="C63" s="421"/>
      <c r="D63" s="421"/>
      <c r="E63" s="421"/>
      <c r="F63" s="422"/>
    </row>
    <row r="64" spans="1:6" ht="18.75" customHeight="1">
      <c r="A64" s="21"/>
      <c r="B64" s="420"/>
      <c r="C64" s="421"/>
      <c r="D64" s="421"/>
      <c r="E64" s="421"/>
      <c r="F64" s="422"/>
    </row>
    <row r="65" spans="1:6" ht="18.75" customHeight="1">
      <c r="A65" s="21"/>
      <c r="B65" s="420"/>
      <c r="C65" s="421"/>
      <c r="D65" s="421"/>
      <c r="E65" s="421"/>
      <c r="F65" s="422"/>
    </row>
    <row r="66" spans="1:6" ht="18.75" customHeight="1">
      <c r="A66" s="21"/>
      <c r="B66" s="420"/>
      <c r="C66" s="421"/>
      <c r="D66" s="421"/>
      <c r="E66" s="421"/>
      <c r="F66" s="422"/>
    </row>
    <row r="67" spans="1:6" ht="18.75" customHeight="1">
      <c r="A67" s="21"/>
      <c r="B67" s="420"/>
      <c r="C67" s="421"/>
      <c r="D67" s="421"/>
      <c r="E67" s="421"/>
      <c r="F67" s="422"/>
    </row>
    <row r="68" spans="1:6" ht="18.75" customHeight="1">
      <c r="A68" s="21"/>
      <c r="B68" s="420"/>
      <c r="C68" s="421"/>
      <c r="D68" s="421"/>
      <c r="E68" s="421"/>
      <c r="F68" s="422"/>
    </row>
    <row r="69" spans="1:6" ht="18.75" customHeight="1">
      <c r="A69" s="21"/>
      <c r="B69" s="420"/>
      <c r="C69" s="421"/>
      <c r="D69" s="421"/>
      <c r="E69" s="421"/>
      <c r="F69" s="422"/>
    </row>
    <row r="70" spans="1:6" ht="18.75" customHeight="1">
      <c r="A70" s="7"/>
      <c r="B70" s="420"/>
      <c r="C70" s="421"/>
      <c r="D70" s="421"/>
      <c r="E70" s="421"/>
      <c r="F70" s="422"/>
    </row>
    <row r="71" spans="1:6" ht="18.75" customHeight="1">
      <c r="A71" s="7"/>
      <c r="B71" s="420"/>
      <c r="C71" s="421"/>
      <c r="D71" s="421"/>
      <c r="E71" s="421"/>
      <c r="F71" s="422"/>
    </row>
    <row r="72" spans="1:6" ht="18.75" customHeight="1">
      <c r="A72" s="7"/>
      <c r="B72" s="420"/>
      <c r="C72" s="421"/>
      <c r="D72" s="421"/>
      <c r="E72" s="421"/>
      <c r="F72" s="422"/>
    </row>
    <row r="73" spans="1:6" ht="18.75" customHeight="1">
      <c r="A73" s="7"/>
      <c r="B73" s="420"/>
      <c r="C73" s="421"/>
      <c r="D73" s="421"/>
      <c r="E73" s="421"/>
      <c r="F73" s="422"/>
    </row>
    <row r="74" spans="1:6" ht="18.75" customHeight="1">
      <c r="A74" s="7"/>
      <c r="B74" s="420"/>
      <c r="C74" s="421"/>
      <c r="D74" s="421"/>
      <c r="E74" s="421"/>
      <c r="F74" s="422"/>
    </row>
    <row r="75" spans="1:6" ht="18.75" customHeight="1">
      <c r="A75" s="7"/>
      <c r="B75" s="420"/>
      <c r="C75" s="421"/>
      <c r="D75" s="421"/>
      <c r="E75" s="421"/>
      <c r="F75" s="422"/>
    </row>
    <row r="76" spans="1:6" ht="18.75" customHeight="1">
      <c r="A76" s="7"/>
      <c r="B76" s="420"/>
      <c r="C76" s="421"/>
      <c r="D76" s="421"/>
      <c r="E76" s="421"/>
      <c r="F76" s="422"/>
    </row>
    <row r="77" spans="1:6" ht="18.75" customHeight="1">
      <c r="A77" s="7"/>
      <c r="B77" s="420"/>
      <c r="C77" s="421"/>
      <c r="D77" s="421"/>
      <c r="E77" s="421"/>
      <c r="F77" s="422"/>
    </row>
    <row r="78" spans="1:6" ht="18.75" customHeight="1">
      <c r="A78" s="7"/>
      <c r="B78" s="420"/>
      <c r="C78" s="421"/>
      <c r="D78" s="421"/>
      <c r="E78" s="421"/>
      <c r="F78" s="422"/>
    </row>
    <row r="79" spans="1:6" ht="18.75" customHeight="1">
      <c r="A79" s="7"/>
      <c r="B79" s="420"/>
      <c r="C79" s="421"/>
      <c r="D79" s="421"/>
      <c r="E79" s="421"/>
      <c r="F79" s="422"/>
    </row>
    <row r="80" spans="1:6" ht="18.75" customHeight="1">
      <c r="A80" s="7"/>
      <c r="B80" s="420"/>
      <c r="C80" s="421"/>
      <c r="D80" s="421"/>
      <c r="E80" s="421"/>
      <c r="F80" s="422"/>
    </row>
    <row r="81" spans="1:6" ht="18.75" customHeight="1">
      <c r="A81" s="7"/>
      <c r="B81" s="420"/>
      <c r="C81" s="421"/>
      <c r="D81" s="421"/>
      <c r="E81" s="421"/>
      <c r="F81" s="422"/>
    </row>
    <row r="82" spans="1:6" ht="18.75" customHeight="1">
      <c r="A82" s="7"/>
      <c r="B82" s="420"/>
      <c r="C82" s="421"/>
      <c r="D82" s="421"/>
      <c r="E82" s="421"/>
      <c r="F82" s="422"/>
    </row>
    <row r="83" spans="1:6" ht="18.75" customHeight="1">
      <c r="A83" s="21"/>
      <c r="B83" s="420"/>
      <c r="C83" s="421"/>
      <c r="D83" s="421"/>
      <c r="E83" s="421"/>
      <c r="F83" s="422"/>
    </row>
    <row r="84" spans="1:6" ht="18.75" customHeight="1">
      <c r="A84" s="7"/>
      <c r="B84" s="420"/>
      <c r="C84" s="421"/>
      <c r="D84" s="421"/>
      <c r="E84" s="421"/>
      <c r="F84" s="422"/>
    </row>
    <row r="85" spans="1:6" ht="18.75" customHeight="1">
      <c r="A85" s="7"/>
      <c r="B85" s="420"/>
      <c r="C85" s="421"/>
      <c r="D85" s="421"/>
      <c r="E85" s="421"/>
      <c r="F85" s="422"/>
    </row>
    <row r="86" spans="1:6" ht="18.75" customHeight="1">
      <c r="A86" s="7"/>
      <c r="B86" s="420"/>
      <c r="C86" s="421"/>
      <c r="D86" s="421"/>
      <c r="E86" s="421"/>
      <c r="F86" s="422"/>
    </row>
    <row r="87" spans="1:6" ht="18.75" customHeight="1">
      <c r="A87" s="7"/>
      <c r="B87" s="423"/>
      <c r="C87" s="424"/>
      <c r="D87" s="424"/>
      <c r="E87" s="424"/>
      <c r="F87" s="425"/>
    </row>
    <row r="88" spans="1:6" s="4" customFormat="1" ht="18.75" customHeight="1">
      <c r="A88" s="2" t="s">
        <v>13</v>
      </c>
      <c r="B88" s="2" t="s">
        <v>76</v>
      </c>
      <c r="C88" s="2"/>
      <c r="D88" s="2"/>
      <c r="E88" s="2"/>
      <c r="F88" s="2"/>
    </row>
    <row r="89" spans="1:6" ht="18.75" customHeight="1">
      <c r="A89" s="7"/>
      <c r="B89" s="417"/>
      <c r="C89" s="418"/>
      <c r="D89" s="418"/>
      <c r="E89" s="418"/>
      <c r="F89" s="419"/>
    </row>
    <row r="90" spans="1:6" ht="18.75" customHeight="1">
      <c r="A90" s="7"/>
      <c r="B90" s="420"/>
      <c r="C90" s="421"/>
      <c r="D90" s="421"/>
      <c r="E90" s="421"/>
      <c r="F90" s="422"/>
    </row>
    <row r="91" spans="1:6" ht="18.75" customHeight="1">
      <c r="A91" s="21"/>
      <c r="B91" s="420"/>
      <c r="C91" s="421"/>
      <c r="D91" s="421"/>
      <c r="E91" s="421"/>
      <c r="F91" s="422"/>
    </row>
    <row r="92" spans="1:6" ht="18.75" customHeight="1">
      <c r="A92" s="21"/>
      <c r="B92" s="420"/>
      <c r="C92" s="421"/>
      <c r="D92" s="421"/>
      <c r="E92" s="421"/>
      <c r="F92" s="422"/>
    </row>
    <row r="93" spans="1:6" ht="18.75" customHeight="1">
      <c r="A93" s="21"/>
      <c r="B93" s="420"/>
      <c r="C93" s="421"/>
      <c r="D93" s="421"/>
      <c r="E93" s="421"/>
      <c r="F93" s="422"/>
    </row>
    <row r="94" spans="1:6" ht="18.75" customHeight="1">
      <c r="A94" s="21"/>
      <c r="B94" s="420"/>
      <c r="C94" s="421"/>
      <c r="D94" s="421"/>
      <c r="E94" s="421"/>
      <c r="F94" s="422"/>
    </row>
    <row r="95" spans="1:6" ht="18.75" customHeight="1">
      <c r="A95" s="21"/>
      <c r="B95" s="420"/>
      <c r="C95" s="421"/>
      <c r="D95" s="421"/>
      <c r="E95" s="421"/>
      <c r="F95" s="422"/>
    </row>
    <row r="96" spans="1:6" ht="18.75" customHeight="1">
      <c r="A96" s="21"/>
      <c r="B96" s="420"/>
      <c r="C96" s="421"/>
      <c r="D96" s="421"/>
      <c r="E96" s="421"/>
      <c r="F96" s="422"/>
    </row>
    <row r="97" spans="1:6" ht="18.75" customHeight="1">
      <c r="A97" s="21"/>
      <c r="B97" s="420"/>
      <c r="C97" s="421"/>
      <c r="D97" s="421"/>
      <c r="E97" s="421"/>
      <c r="F97" s="422"/>
    </row>
    <row r="98" spans="1:6" ht="18.75" customHeight="1">
      <c r="A98" s="21"/>
      <c r="B98" s="420"/>
      <c r="C98" s="421"/>
      <c r="D98" s="421"/>
      <c r="E98" s="421"/>
      <c r="F98" s="422"/>
    </row>
    <row r="99" spans="1:6" ht="18.75" customHeight="1">
      <c r="A99" s="21"/>
      <c r="B99" s="420"/>
      <c r="C99" s="421"/>
      <c r="D99" s="421"/>
      <c r="E99" s="421"/>
      <c r="F99" s="422"/>
    </row>
    <row r="100" spans="1:6" ht="18.75" customHeight="1">
      <c r="A100" s="21"/>
      <c r="B100" s="420"/>
      <c r="C100" s="421"/>
      <c r="D100" s="421"/>
      <c r="E100" s="421"/>
      <c r="F100" s="422"/>
    </row>
    <row r="101" spans="1:6" ht="18.75" customHeight="1">
      <c r="A101" s="21"/>
      <c r="B101" s="420"/>
      <c r="C101" s="421"/>
      <c r="D101" s="421"/>
      <c r="E101" s="421"/>
      <c r="F101" s="422"/>
    </row>
    <row r="102" spans="1:6" ht="18.75" customHeight="1">
      <c r="A102" s="21"/>
      <c r="B102" s="420"/>
      <c r="C102" s="421"/>
      <c r="D102" s="421"/>
      <c r="E102" s="421"/>
      <c r="F102" s="422"/>
    </row>
    <row r="103" spans="1:6" ht="18.75" customHeight="1">
      <c r="A103" s="21"/>
      <c r="B103" s="420"/>
      <c r="C103" s="421"/>
      <c r="D103" s="421"/>
      <c r="E103" s="421"/>
      <c r="F103" s="422"/>
    </row>
    <row r="104" spans="1:6" ht="18.75" customHeight="1">
      <c r="A104" s="21"/>
      <c r="B104" s="420"/>
      <c r="C104" s="421"/>
      <c r="D104" s="421"/>
      <c r="E104" s="421"/>
      <c r="F104" s="422"/>
    </row>
    <row r="105" spans="1:6" ht="18.75" customHeight="1">
      <c r="A105" s="21"/>
      <c r="B105" s="420"/>
      <c r="C105" s="421"/>
      <c r="D105" s="421"/>
      <c r="E105" s="421"/>
      <c r="F105" s="422"/>
    </row>
    <row r="106" spans="1:6" ht="18.75" customHeight="1">
      <c r="A106" s="21"/>
      <c r="B106" s="420"/>
      <c r="C106" s="421"/>
      <c r="D106" s="421"/>
      <c r="E106" s="421"/>
      <c r="F106" s="422"/>
    </row>
    <row r="107" spans="1:6" ht="18.75" customHeight="1">
      <c r="A107" s="21"/>
      <c r="B107" s="420"/>
      <c r="C107" s="421"/>
      <c r="D107" s="421"/>
      <c r="E107" s="421"/>
      <c r="F107" s="422"/>
    </row>
    <row r="108" spans="1:6" ht="18.75" customHeight="1">
      <c r="A108" s="21"/>
      <c r="B108" s="420"/>
      <c r="C108" s="421"/>
      <c r="D108" s="421"/>
      <c r="E108" s="421"/>
      <c r="F108" s="422"/>
    </row>
    <row r="109" spans="1:6" ht="18.75" customHeight="1">
      <c r="A109" s="21"/>
      <c r="B109" s="420"/>
      <c r="C109" s="421"/>
      <c r="D109" s="421"/>
      <c r="E109" s="421"/>
      <c r="F109" s="422"/>
    </row>
    <row r="110" spans="1:6" ht="18.75" customHeight="1">
      <c r="A110" s="21"/>
      <c r="B110" s="420"/>
      <c r="C110" s="421"/>
      <c r="D110" s="421"/>
      <c r="E110" s="421"/>
      <c r="F110" s="422"/>
    </row>
    <row r="111" spans="1:6" ht="18.75" customHeight="1">
      <c r="A111" s="21"/>
      <c r="B111" s="420"/>
      <c r="C111" s="421"/>
      <c r="D111" s="421"/>
      <c r="E111" s="421"/>
      <c r="F111" s="422"/>
    </row>
    <row r="112" spans="1:6" ht="18.75" customHeight="1">
      <c r="A112" s="21"/>
      <c r="B112" s="420"/>
      <c r="C112" s="421"/>
      <c r="D112" s="421"/>
      <c r="E112" s="421"/>
      <c r="F112" s="422"/>
    </row>
    <row r="113" spans="1:6" ht="18.75" customHeight="1">
      <c r="A113" s="21"/>
      <c r="B113" s="420"/>
      <c r="C113" s="421"/>
      <c r="D113" s="421"/>
      <c r="E113" s="421"/>
      <c r="F113" s="422"/>
    </row>
    <row r="114" spans="1:6" ht="18.75" customHeight="1">
      <c r="A114" s="21"/>
      <c r="B114" s="420"/>
      <c r="C114" s="421"/>
      <c r="D114" s="421"/>
      <c r="E114" s="421"/>
      <c r="F114" s="422"/>
    </row>
    <row r="115" spans="1:6" ht="18.75" customHeight="1">
      <c r="A115" s="7"/>
      <c r="B115" s="420"/>
      <c r="C115" s="421"/>
      <c r="D115" s="421"/>
      <c r="E115" s="421"/>
      <c r="F115" s="422"/>
    </row>
    <row r="116" spans="1:6" ht="18.75" customHeight="1">
      <c r="A116" s="7"/>
      <c r="B116" s="420"/>
      <c r="C116" s="421"/>
      <c r="D116" s="421"/>
      <c r="E116" s="421"/>
      <c r="F116" s="422"/>
    </row>
    <row r="117" spans="1:6" ht="18.75" customHeight="1">
      <c r="A117" s="7"/>
      <c r="B117" s="420"/>
      <c r="C117" s="421"/>
      <c r="D117" s="421"/>
      <c r="E117" s="421"/>
      <c r="F117" s="422"/>
    </row>
    <row r="118" spans="1:6" ht="18.75" customHeight="1">
      <c r="A118" s="7"/>
      <c r="B118" s="420"/>
      <c r="C118" s="421"/>
      <c r="D118" s="421"/>
      <c r="E118" s="421"/>
      <c r="F118" s="422"/>
    </row>
    <row r="119" spans="1:6" ht="18.75" customHeight="1">
      <c r="A119" s="7"/>
      <c r="B119" s="420"/>
      <c r="C119" s="421"/>
      <c r="D119" s="421"/>
      <c r="E119" s="421"/>
      <c r="F119" s="422"/>
    </row>
    <row r="120" spans="1:6" ht="18.75" customHeight="1">
      <c r="A120" s="7"/>
      <c r="B120" s="420"/>
      <c r="C120" s="421"/>
      <c r="D120" s="421"/>
      <c r="E120" s="421"/>
      <c r="F120" s="422"/>
    </row>
    <row r="121" spans="1:6" ht="18.75" customHeight="1">
      <c r="A121" s="7"/>
      <c r="B121" s="420"/>
      <c r="C121" s="421"/>
      <c r="D121" s="421"/>
      <c r="E121" s="421"/>
      <c r="F121" s="422"/>
    </row>
    <row r="122" spans="1:6" ht="18.75" customHeight="1">
      <c r="A122" s="7"/>
      <c r="B122" s="420"/>
      <c r="C122" s="421"/>
      <c r="D122" s="421"/>
      <c r="E122" s="421"/>
      <c r="F122" s="422"/>
    </row>
    <row r="123" spans="1:6" ht="18.75" customHeight="1">
      <c r="A123" s="7"/>
      <c r="B123" s="420"/>
      <c r="C123" s="421"/>
      <c r="D123" s="421"/>
      <c r="E123" s="421"/>
      <c r="F123" s="422"/>
    </row>
    <row r="124" spans="1:6" ht="18.75" customHeight="1">
      <c r="A124" s="7"/>
      <c r="B124" s="420"/>
      <c r="C124" s="421"/>
      <c r="D124" s="421"/>
      <c r="E124" s="421"/>
      <c r="F124" s="422"/>
    </row>
    <row r="125" spans="1:6" ht="18.75" customHeight="1">
      <c r="A125" s="7"/>
      <c r="B125" s="420"/>
      <c r="C125" s="421"/>
      <c r="D125" s="421"/>
      <c r="E125" s="421"/>
      <c r="F125" s="422"/>
    </row>
    <row r="126" spans="1:6" ht="18.75" customHeight="1">
      <c r="A126" s="7"/>
      <c r="B126" s="420"/>
      <c r="C126" s="421"/>
      <c r="D126" s="421"/>
      <c r="E126" s="421"/>
      <c r="F126" s="422"/>
    </row>
    <row r="127" spans="1:6" ht="18.75" customHeight="1">
      <c r="A127" s="7"/>
      <c r="B127" s="420"/>
      <c r="C127" s="421"/>
      <c r="D127" s="421"/>
      <c r="E127" s="421"/>
      <c r="F127" s="422"/>
    </row>
    <row r="128" spans="1:6" ht="18.75" customHeight="1">
      <c r="A128" s="7"/>
      <c r="B128" s="420"/>
      <c r="C128" s="421"/>
      <c r="D128" s="421"/>
      <c r="E128" s="421"/>
      <c r="F128" s="422"/>
    </row>
    <row r="129" spans="1:6" ht="18.75" customHeight="1">
      <c r="A129" s="7"/>
      <c r="B129" s="420"/>
      <c r="C129" s="421"/>
      <c r="D129" s="421"/>
      <c r="E129" s="421"/>
      <c r="F129" s="422"/>
    </row>
    <row r="130" spans="1:6" ht="18.75" customHeight="1">
      <c r="A130" s="7"/>
      <c r="B130" s="423"/>
      <c r="C130" s="424"/>
      <c r="D130" s="424"/>
      <c r="E130" s="424"/>
      <c r="F130" s="425"/>
    </row>
  </sheetData>
  <mergeCells count="6">
    <mergeCell ref="B89:F130"/>
    <mergeCell ref="E1:F1"/>
    <mergeCell ref="E2:F2"/>
    <mergeCell ref="A4:F4"/>
    <mergeCell ref="B7:F44"/>
    <mergeCell ref="B46:F87"/>
  </mergeCells>
  <phoneticPr fontId="3"/>
  <printOptions horizontalCentered="1"/>
  <pageMargins left="0.78740157480314965" right="0.78740157480314965" top="0.78740157480314965" bottom="0.78740157480314965"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様式1　大学等概要</vt:lpstr>
      <vt:lpstr>様式２－１　プログラムを構成する授業科目 </vt:lpstr>
      <vt:lpstr>様式２－２　プログラムを構成する授業科目 </vt:lpstr>
      <vt:lpstr>様式３　履修者等数の実績</vt:lpstr>
      <vt:lpstr>様式4－１　プログラムの授業内容・概要</vt:lpstr>
      <vt:lpstr>様式4－２　プログラムの授業内容・概要</vt:lpstr>
      <vt:lpstr>様式５　教育の質・履修者数向上の体制・計画 </vt:lpstr>
      <vt:lpstr>様式６　自己点検・評価 </vt:lpstr>
      <vt:lpstr>〔記載なし〕様式７　特色ある取組</vt:lpstr>
      <vt:lpstr>'〔記載なし〕様式７　特色ある取組'!Print_Area</vt:lpstr>
      <vt:lpstr>'様式1　大学等概要'!Print_Area</vt:lpstr>
      <vt:lpstr>'様式２－１　プログラムを構成する授業科目 '!Print_Area</vt:lpstr>
      <vt:lpstr>'様式２－２　プログラムを構成する授業科目 '!Print_Area</vt:lpstr>
      <vt:lpstr>'様式３　履修者等数の実績'!Print_Area</vt:lpstr>
      <vt:lpstr>'様式５　教育の質・履修者数向上の体制・計画 '!Print_Area</vt:lpstr>
      <vt:lpstr>'様式６　自己点検・評価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hqgkikak1</cp:lastModifiedBy>
  <cp:lastPrinted>2021-07-14T02:27:34Z</cp:lastPrinted>
  <dcterms:created xsi:type="dcterms:W3CDTF">2011-06-14T05:32:50Z</dcterms:created>
  <dcterms:modified xsi:type="dcterms:W3CDTF">2021-07-14T02:40:49Z</dcterms:modified>
</cp:coreProperties>
</file>