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fsrv01\031540教育開発センター\00_数理・データサイエンス・AI\01_リテラシーレベル\04_申請資料\01【工学院大学】申請書類_確認事項（回答）\"/>
    </mc:Choice>
  </mc:AlternateContent>
  <xr:revisionPtr revIDLastSave="0" documentId="8_{7D32137D-61E3-466B-BFE3-8946A9586FFD}" xr6:coauthVersionLast="36" xr6:coauthVersionMax="36" xr10:uidLastSave="{00000000-0000-0000-0000-000000000000}"/>
  <bookViews>
    <workbookView xWindow="0" yWindow="0" windowWidth="20430" windowHeight="7395" tabRatio="885" firstSheet="3"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9"/>
</workbook>
</file>

<file path=xl/calcChain.xml><?xml version="1.0" encoding="utf-8"?>
<calcChain xmlns="http://schemas.openxmlformats.org/spreadsheetml/2006/main">
  <c r="Q8" i="31" l="1"/>
  <c r="R8" i="31" s="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<sst xmlns="http://schemas.openxmlformats.org/spreadsheetml/2006/main" count="354" uniqueCount="275">
  <si>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</si>
  <si>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</si>
  <si>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</si>
  <si>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</si>
  <si>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</si>
  <si>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</si>
  <si>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</si>
  <si>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</si>
  <si>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</si>
  <si>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</si>
  <si>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</si>
  <si>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</si>
  <si>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</si>
  <si>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</si>
  <si>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</si>
  <si>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</si>
  <si>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</si>
  <si>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</si>
  <si>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</si>
  <si>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</si>
  <si>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</si>
  <si>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</si>
  <si>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</si>
  <si>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</si>
  <si>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</si>
  <si>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</si>
  <si>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</si>
  <si>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</si>
  <si>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</si>
  <si>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</si>
  <si>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</si>
  <si>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</si>
  <si>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</si>
  <si>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</si>
  <si>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</si>
  <si>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</si>
  <si>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</si>
  <si>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</si>
  <si>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</si>
  <si>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</si>
  <si>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</si>
  <si>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</si>
  <si>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</si>
  <si>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</si>
  <si>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</si>
  <si>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</si>
  <si>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</si>
  <si>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</si>
  <si>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</si>
  <si>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</si>
  <si>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</si>
  <si>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</si>
  <si>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</si>
  <si>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</si>
  <si>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</si>
  <si>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</si>
  <si>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</si>
  <si>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</si>
  <si>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</si>
  <si>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</si>
  <si>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</si>
  <si>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</si>
  <si>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</si>
  <si>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</si>
  <si>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</si>
  <si>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</si>
  <si>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</si>
  <si>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</si>
  <si>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</si>
  <si>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</si>
  <si>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</si>
  <si>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</si>
  <si>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</si>
  <si>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</si>
  <si>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</si>
  <si>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</si>
  <si>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</si>
  <si>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</si>
  <si>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</si>
  <si>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</si>
  <si>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</si>
  <si>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</si>
  <si>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</si>
  <si>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</si>
  <si>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</si>
  <si>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</si>
  <si>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</si>
  <si>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</si>
  <si>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</si>
  <si>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</si>
  <si>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</si>
  <si>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</si>
  <si>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</si>
  <si>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</si>
  <si>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</si>
  <si>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</si>
  <si>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</si>
  <si>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</si>
  <si>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</si>
  <si>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</si>
  <si>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</si>
  <si>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</si>
  <si>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</si>
  <si>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様式４－○</t>
    <rPh sb="0" eb="2">
      <t>ヨウシキ</t>
    </rPh>
    <phoneticPr fontId="1"/>
  </si>
  <si>
    <t>様式２－○</t>
    <rPh sb="0" eb="2">
      <t>ヨウシキ</t>
    </rPh>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</si>
  <si>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</si>
  <si>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</si>
  <si>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</si>
  <si>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</si>
  <si>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</si>
  <si>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</si>
  <si>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</si>
  <si>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</si>
  <si>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</si>
  <si>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</si>
  <si>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</si>
  <si>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</si>
  <si>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</si>
  <si>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</si>
  <si>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</si>
  <si>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</si>
  <si>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</si>
  <si>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</si>
  <si>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</si>
  <si>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</si>
  <si>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</si>
  <si>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</si>
  <si>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</si>
  <si>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</si>
  <si>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</si>
  <si>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</si>
  <si>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</si>
  <si>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</si>
  <si>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</si>
  <si>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</si>
  <si>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</si>
  <si>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</si>
  <si>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</si>
  <si>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工学院大学</t>
    <rPh sb="0" eb="3">
      <t>コウガクイン</t>
    </rPh>
    <rPh sb="3" eb="5">
      <t>ダイガク</t>
    </rPh>
    <phoneticPr fontId="1"/>
  </si>
  <si>
    <t>私立大学</t>
  </si>
  <si>
    <t>東京都新宿区西新宿1丁目24番2号</t>
    <rPh sb="0" eb="3">
      <t>トウキョウト</t>
    </rPh>
    <rPh sb="3" eb="6">
      <t>シンジュクク</t>
    </rPh>
    <rPh sb="6" eb="9">
      <t>ニシシンジュク</t>
    </rPh>
    <rPh sb="10" eb="12">
      <t>チョウメ</t>
    </rPh>
    <rPh sb="14" eb="15">
      <t>バン</t>
    </rPh>
    <rPh sb="16" eb="17">
      <t>ゴウ</t>
    </rPh>
    <phoneticPr fontId="1"/>
  </si>
  <si>
    <t>令和2年度</t>
    <rPh sb="0" eb="2">
      <t>レイワ</t>
    </rPh>
    <rPh sb="3" eb="5">
      <t>ネンド</t>
    </rPh>
    <phoneticPr fontId="1"/>
  </si>
  <si>
    <t>学長</t>
    <rPh sb="0" eb="2">
      <t>ガクチョウ</t>
    </rPh>
    <phoneticPr fontId="1"/>
  </si>
  <si>
    <t>伊藤　慎一郎</t>
    <rPh sb="0" eb="2">
      <t>イトウ</t>
    </rPh>
    <rPh sb="3" eb="6">
      <t>シンイチロウ</t>
    </rPh>
    <phoneticPr fontId="1"/>
  </si>
  <si>
    <t>副学長</t>
    <rPh sb="0" eb="3">
      <t>フクガクチョウ</t>
    </rPh>
    <phoneticPr fontId="1"/>
  </si>
  <si>
    <t>蒲池　みゆき</t>
    <rPh sb="0" eb="2">
      <t>カマチ</t>
    </rPh>
    <phoneticPr fontId="1"/>
  </si>
  <si>
    <t>杉原　明</t>
    <rPh sb="0" eb="2">
      <t>スギハラ</t>
    </rPh>
    <rPh sb="3" eb="4">
      <t>アキラ</t>
    </rPh>
    <phoneticPr fontId="1"/>
  </si>
  <si>
    <t>03-3340-0794</t>
    <phoneticPr fontId="1"/>
  </si>
  <si>
    <t>先進工学部　（工学）</t>
    <rPh sb="0" eb="2">
      <t>センシン</t>
    </rPh>
    <rPh sb="2" eb="5">
      <t>コウガクブ</t>
    </rPh>
    <rPh sb="7" eb="9">
      <t>コウガク</t>
    </rPh>
    <phoneticPr fontId="1"/>
  </si>
  <si>
    <t>工学部　　　　（工学）</t>
    <rPh sb="0" eb="3">
      <t>コウガクブ</t>
    </rPh>
    <rPh sb="8" eb="10">
      <t>コウガク</t>
    </rPh>
    <phoneticPr fontId="1"/>
  </si>
  <si>
    <t>情報学部　　（工学）</t>
    <rPh sb="0" eb="2">
      <t>ジョウホウ</t>
    </rPh>
    <rPh sb="2" eb="4">
      <t>ガクブ</t>
    </rPh>
    <rPh sb="7" eb="9">
      <t>コウガク</t>
    </rPh>
    <phoneticPr fontId="1"/>
  </si>
  <si>
    <t>建築学部　　（工学）</t>
    <rPh sb="0" eb="4">
      <t>ケンチクガクブ</t>
    </rPh>
    <rPh sb="7" eb="9">
      <t>コウガク</t>
    </rPh>
    <phoneticPr fontId="1"/>
  </si>
  <si>
    <t>工学院大学教育開発センター規程</t>
    <rPh sb="0" eb="3">
      <t>コウガクイン</t>
    </rPh>
    <rPh sb="3" eb="5">
      <t>ダイガク</t>
    </rPh>
    <rPh sb="5" eb="7">
      <t>キョウイク</t>
    </rPh>
    <rPh sb="7" eb="9">
      <t>カイハツ</t>
    </rPh>
    <rPh sb="13" eb="15">
      <t>キテイ</t>
    </rPh>
    <phoneticPr fontId="1"/>
  </si>
  <si>
    <t>工学者のための数理・データサイエンス・AI教育プログラム</t>
    <rPh sb="0" eb="2">
      <t>コウガク</t>
    </rPh>
    <rPh sb="2" eb="3">
      <t>シャ</t>
    </rPh>
    <rPh sb="7" eb="9">
      <t>スウリ</t>
    </rPh>
    <rPh sb="21" eb="23">
      <t>キョウイク</t>
    </rPh>
    <phoneticPr fontId="1"/>
  </si>
  <si>
    <t>工学院大学</t>
    <rPh sb="0" eb="3">
      <t>コウガクイン</t>
    </rPh>
    <rPh sb="3" eb="5">
      <t>ダイガク</t>
    </rPh>
    <phoneticPr fontId="1"/>
  </si>
  <si>
    <t>学部・学科によって、修了要件は相違しない</t>
  </si>
  <si>
    <t>工学院大スタディーズ</t>
    <rPh sb="0" eb="4">
      <t>コウガクインダイ</t>
    </rPh>
    <phoneticPr fontId="1"/>
  </si>
  <si>
    <t>自然科学の歩き方</t>
    <rPh sb="0" eb="2">
      <t>シゼン</t>
    </rPh>
    <rPh sb="2" eb="4">
      <t>カガク</t>
    </rPh>
    <rPh sb="5" eb="6">
      <t>アル</t>
    </rPh>
    <rPh sb="7" eb="8">
      <t>カタ</t>
    </rPh>
    <phoneticPr fontId="1"/>
  </si>
  <si>
    <t>数値計算法及び演習</t>
  </si>
  <si>
    <t>数値計算法及び演習</t>
    <rPh sb="0" eb="2">
      <t>スウチ</t>
    </rPh>
    <rPh sb="2" eb="4">
      <t>ケイサン</t>
    </rPh>
    <rPh sb="4" eb="5">
      <t>ホウ</t>
    </rPh>
    <rPh sb="5" eb="6">
      <t>オヨ</t>
    </rPh>
    <rPh sb="7" eb="9">
      <t>エンシュウ</t>
    </rPh>
    <phoneticPr fontId="1"/>
  </si>
  <si>
    <t>数値計算法</t>
    <rPh sb="0" eb="2">
      <t>スウチ</t>
    </rPh>
    <rPh sb="2" eb="4">
      <t>ケイサン</t>
    </rPh>
    <rPh sb="4" eb="5">
      <t>ホウ</t>
    </rPh>
    <phoneticPr fontId="1"/>
  </si>
  <si>
    <t>統計学</t>
    <rPh sb="0" eb="3">
      <t>トウケイガク</t>
    </rPh>
    <phoneticPr fontId="1"/>
  </si>
  <si>
    <t>システム工学</t>
    <rPh sb="4" eb="6">
      <t>コウガク</t>
    </rPh>
    <phoneticPr fontId="1"/>
  </si>
  <si>
    <t>システム工学A</t>
    <rPh sb="4" eb="6">
      <t>コウガク</t>
    </rPh>
    <phoneticPr fontId="1"/>
  </si>
  <si>
    <t>電気電子工学序論</t>
    <rPh sb="0" eb="2">
      <t>デンキ</t>
    </rPh>
    <rPh sb="2" eb="4">
      <t>デンシ</t>
    </rPh>
    <rPh sb="4" eb="6">
      <t>コウガク</t>
    </rPh>
    <rPh sb="6" eb="8">
      <t>ジョロン</t>
    </rPh>
    <phoneticPr fontId="1"/>
  </si>
  <si>
    <t>都市計画</t>
    <rPh sb="0" eb="2">
      <t>トシ</t>
    </rPh>
    <rPh sb="2" eb="4">
      <t>ケイカク</t>
    </rPh>
    <phoneticPr fontId="1"/>
  </si>
  <si>
    <t>情報学基礎論Ⅰ</t>
    <rPh sb="0" eb="2">
      <t>ジョウホウ</t>
    </rPh>
    <rPh sb="2" eb="3">
      <t>ガク</t>
    </rPh>
    <rPh sb="3" eb="5">
      <t>キソ</t>
    </rPh>
    <rPh sb="5" eb="6">
      <t>ロン</t>
    </rPh>
    <phoneticPr fontId="1"/>
  </si>
  <si>
    <t>建築情報処理基礎</t>
    <rPh sb="0" eb="2">
      <t>ケンチク</t>
    </rPh>
    <rPh sb="2" eb="4">
      <t>ジョウホウ</t>
    </rPh>
    <rPh sb="4" eb="6">
      <t>ショリ</t>
    </rPh>
    <rPh sb="6" eb="8">
      <t>キソ</t>
    </rPh>
    <phoneticPr fontId="1"/>
  </si>
  <si>
    <t>情報学基礎論Ⅱ</t>
    <rPh sb="0" eb="2">
      <t>ジョウホウ</t>
    </rPh>
    <rPh sb="2" eb="3">
      <t>ガク</t>
    </rPh>
    <rPh sb="3" eb="5">
      <t>キソ</t>
    </rPh>
    <rPh sb="5" eb="6">
      <t>ロン</t>
    </rPh>
    <phoneticPr fontId="1"/>
  </si>
  <si>
    <t>情報処理演習</t>
    <rPh sb="0" eb="2">
      <t>ジョウホウ</t>
    </rPh>
    <rPh sb="2" eb="4">
      <t>ショリ</t>
    </rPh>
    <rPh sb="4" eb="6">
      <t>エンシュウ</t>
    </rPh>
    <phoneticPr fontId="1"/>
  </si>
  <si>
    <t>関数およびモデル概念の把握（1～4）</t>
    <phoneticPr fontId="1"/>
  </si>
  <si>
    <t>数値計算法</t>
    <phoneticPr fontId="1"/>
  </si>
  <si>
    <t>測量実習</t>
    <rPh sb="0" eb="2">
      <t>ソクリョウ</t>
    </rPh>
    <rPh sb="2" eb="4">
      <t>ジッシュウ</t>
    </rPh>
    <phoneticPr fontId="1"/>
  </si>
  <si>
    <t>モデルの基礎概念（5～7）</t>
    <phoneticPr fontId="1"/>
  </si>
  <si>
    <t>現代社会における「情報」の役割とディジタルデータの基本単位（3）</t>
    <phoneticPr fontId="1"/>
  </si>
  <si>
    <t>事例都市のデータ把握（1～2）</t>
    <phoneticPr fontId="1"/>
  </si>
  <si>
    <t>情報のディジタル化（2）、ディジタルデータとマルチメディア（3）</t>
    <phoneticPr fontId="1"/>
  </si>
  <si>
    <t>モデルの基礎概念（5～7）</t>
    <phoneticPr fontId="1"/>
  </si>
  <si>
    <t>データのモデル化を踏まえた科学レポートの書き方（5～6）</t>
    <phoneticPr fontId="1"/>
  </si>
  <si>
    <t>モデル概念の生産管理などへの応用例（5～7）</t>
    <phoneticPr fontId="1"/>
  </si>
  <si>
    <t>都市と防災、ハザードマップ（11）</t>
    <phoneticPr fontId="1"/>
  </si>
  <si>
    <t>GISによる地理情報の加工と分析（8～13）</t>
    <rPh sb="6" eb="8">
      <t>チリ</t>
    </rPh>
    <rPh sb="8" eb="10">
      <t>ジョウホウ</t>
    </rPh>
    <rPh sb="11" eb="13">
      <t>カコウ</t>
    </rPh>
    <rPh sb="14" eb="16">
      <t>ブンセキ</t>
    </rPh>
    <phoneticPr fontId="1"/>
  </si>
  <si>
    <t>データのモデル化を通したシミュレーション（1～14）</t>
    <rPh sb="9" eb="10">
      <t>トオ</t>
    </rPh>
    <phoneticPr fontId="1"/>
  </si>
  <si>
    <t>目的に応じたデータ整理・処理、現象のモデル化（1～14）</t>
    <phoneticPr fontId="1"/>
  </si>
  <si>
    <t>工学院大スタディーズ</t>
    <phoneticPr fontId="1"/>
  </si>
  <si>
    <t>情報学基礎論Ⅰ</t>
    <phoneticPr fontId="1"/>
  </si>
  <si>
    <t>情報処理演習</t>
    <rPh sb="0" eb="2">
      <t>ジョウホウ</t>
    </rPh>
    <rPh sb="2" eb="4">
      <t>ショリ</t>
    </rPh>
    <rPh sb="4" eb="6">
      <t>エンシュウ</t>
    </rPh>
    <phoneticPr fontId="1"/>
  </si>
  <si>
    <t>建築情報処理基礎</t>
    <rPh sb="0" eb="2">
      <t>ケンチク</t>
    </rPh>
    <rPh sb="2" eb="4">
      <t>ジョウホウ</t>
    </rPh>
    <rPh sb="4" eb="6">
      <t>ショリ</t>
    </rPh>
    <rPh sb="6" eb="8">
      <t>キソ</t>
    </rPh>
    <phoneticPr fontId="1"/>
  </si>
  <si>
    <t>情報学基礎論Ⅱ</t>
    <rPh sb="0" eb="2">
      <t>ジョウホウ</t>
    </rPh>
    <rPh sb="2" eb="3">
      <t>ガク</t>
    </rPh>
    <rPh sb="3" eb="5">
      <t>キソ</t>
    </rPh>
    <rPh sb="5" eb="6">
      <t>ロン</t>
    </rPh>
    <phoneticPr fontId="1"/>
  </si>
  <si>
    <t>表計算ソフトウェアによるプログラム処理（1～13）</t>
    <rPh sb="0" eb="3">
      <t>ヒョウケイサン</t>
    </rPh>
    <rPh sb="17" eb="19">
      <t>ショリ</t>
    </rPh>
    <phoneticPr fontId="1"/>
  </si>
  <si>
    <t>Excel VBAによるデータ処理（6～13）</t>
    <rPh sb="15" eb="17">
      <t>ショリ</t>
    </rPh>
    <phoneticPr fontId="1"/>
  </si>
  <si>
    <t>要求獲得と基本設計と使い勝手のよいシステム（2～11）</t>
    <phoneticPr fontId="1"/>
  </si>
  <si>
    <t>統計解析学</t>
    <rPh sb="0" eb="2">
      <t>トウケイ</t>
    </rPh>
    <rPh sb="2" eb="5">
      <t>カイセキガク</t>
    </rPh>
    <phoneticPr fontId="1"/>
  </si>
  <si>
    <t>学生は大きく変わりつつある社会の中で求められる工学者としての役割・責任とを自覚し、数理・データサイエンス・AIの広範な適用領域を意識しながらデータを適切に読み解き、活用する方法を身につけることができる。</t>
    <rPh sb="0" eb="2">
      <t>ガクセイ</t>
    </rPh>
    <rPh sb="3" eb="4">
      <t>オオ</t>
    </rPh>
    <rPh sb="6" eb="7">
      <t>カ</t>
    </rPh>
    <rPh sb="16" eb="17">
      <t>ナカ</t>
    </rPh>
    <rPh sb="18" eb="19">
      <t>モト</t>
    </rPh>
    <rPh sb="23" eb="25">
      <t>コウガク</t>
    </rPh>
    <rPh sb="25" eb="26">
      <t>シャ</t>
    </rPh>
    <rPh sb="30" eb="32">
      <t>ヤクワリ</t>
    </rPh>
    <rPh sb="33" eb="35">
      <t>セキニン</t>
    </rPh>
    <rPh sb="37" eb="39">
      <t>ジカク</t>
    </rPh>
    <rPh sb="41" eb="43">
      <t>スウリ</t>
    </rPh>
    <rPh sb="56" eb="58">
      <t>コウハン</t>
    </rPh>
    <rPh sb="59" eb="61">
      <t>テキヨウ</t>
    </rPh>
    <rPh sb="61" eb="63">
      <t>リョウイキ</t>
    </rPh>
    <rPh sb="64" eb="66">
      <t>イシキ</t>
    </rPh>
    <rPh sb="74" eb="76">
      <t>テキセツ</t>
    </rPh>
    <rPh sb="77" eb="78">
      <t>ヨ</t>
    </rPh>
    <rPh sb="79" eb="80">
      <t>ト</t>
    </rPh>
    <rPh sb="82" eb="84">
      <t>カツヨウ</t>
    </rPh>
    <rPh sb="86" eb="88">
      <t>ホウホウ</t>
    </rPh>
    <rPh sb="89" eb="90">
      <t>ミ</t>
    </rPh>
    <phoneticPr fontId="1"/>
  </si>
  <si>
    <t>田中　久弥</t>
    <rPh sb="0" eb="2">
      <t>タナカ</t>
    </rPh>
    <rPh sb="3" eb="5">
      <t>ヒサヤ</t>
    </rPh>
    <phoneticPr fontId="1"/>
  </si>
  <si>
    <t>教育開発センター　数理・データサイエンス・AI教育推進室</t>
    <rPh sb="0" eb="2">
      <t>キョウイク</t>
    </rPh>
    <rPh sb="2" eb="4">
      <t>カイハツ</t>
    </rPh>
    <rPh sb="9" eb="11">
      <t>スウリ</t>
    </rPh>
    <rPh sb="23" eb="25">
      <t>キョウイク</t>
    </rPh>
    <rPh sb="25" eb="27">
      <t>スイシン</t>
    </rPh>
    <rPh sb="27" eb="28">
      <t>シツ</t>
    </rPh>
    <phoneticPr fontId="1"/>
  </si>
  <si>
    <t>推進室長</t>
    <rPh sb="0" eb="2">
      <t>スイシン</t>
    </rPh>
    <rPh sb="2" eb="4">
      <t>シツチョウ</t>
    </rPh>
    <phoneticPr fontId="1"/>
  </si>
  <si>
    <t>教育評価改善委員会・副専攻長幹事連絡会合同会議</t>
    <rPh sb="0" eb="2">
      <t>キョウイク</t>
    </rPh>
    <rPh sb="2" eb="4">
      <t>ヒョウカ</t>
    </rPh>
    <rPh sb="4" eb="6">
      <t>カイゼン</t>
    </rPh>
    <rPh sb="6" eb="9">
      <t>イインカイ</t>
    </rPh>
    <rPh sb="10" eb="13">
      <t>フクセンコウ</t>
    </rPh>
    <rPh sb="13" eb="14">
      <t>チョウ</t>
    </rPh>
    <rPh sb="14" eb="16">
      <t>カンジ</t>
    </rPh>
    <rPh sb="16" eb="19">
      <t>レンラクカイ</t>
    </rPh>
    <rPh sb="19" eb="21">
      <t>ゴウドウ</t>
    </rPh>
    <rPh sb="21" eb="23">
      <t>カイギ</t>
    </rPh>
    <phoneticPr fontId="1"/>
  </si>
  <si>
    <t>工学院大学</t>
    <rPh sb="0" eb="3">
      <t>コウガクイン</t>
    </rPh>
    <rPh sb="3" eb="5">
      <t>ダイガク</t>
    </rPh>
    <phoneticPr fontId="1"/>
  </si>
  <si>
    <t>初年次科目「工学院大スタディーズ」の中で、本学建学以来の、社会・産業と最先端の学問をつなぐ「工」の精神を体現する形で、数理・データサイエンス・AIを学ぶことの重要性を、学長自らが語りかける。具体的には以下のことを扱う。　　　　　　　　　　　　　　　　
・モノづくりのみならず情報操作ができるエンジニアへの社会的要求
・社会課題、経済課題とSociety 5.0について
・Society 4.0との関係
・サイバー空間（仮想空間）とフィジカル空間（現実空間）の融合による未来社会
・Society 5.0に関連する身に付けるべきこと
・Society 5.0による人間中心の社会
・Society 5.0最新動向、先⾏的な実現の場、スマートシティ</t>
    <rPh sb="84" eb="86">
      <t>ガクチョウ</t>
    </rPh>
    <rPh sb="86" eb="87">
      <t>ミズカ</t>
    </rPh>
    <phoneticPr fontId="1"/>
  </si>
  <si>
    <t>　工学はそれ自体が日常生活や社会の課題を解決するためのものであるが、データの活用は欠かせないことを説明する。申請プログラムにおいて選択科目群Aを構成する以下の10科目はいずれも工学の基礎となるデータのディジタル化と処理方法、データの活用領域を広げるためのモデル化を学ぶ。具体的には以下のことを扱う。
・データのデジタル化と処理方法
　自然科学事象・社会事象のディジタル化とICTを組み合わせることで活用領域が拡大することを説明する。科学データのディジタル処理・可視化・分析を通して都市防災、都市計画、物流、人流、医療、エネルギーなどの社会課題分析の気づきを与える。
・データの活用領域を広げるためのモデル化
　フィジカルセンサー、Web等から収集されるあらゆるディジタルデータが社会で広範囲に活用されていることを説明する。またデータを分析し活用するために必要な特徴量の把握方法、現象のモデル化手法を説明する。さらに、その先にある日常生活の課題、社会の課題解決にモデル化手法が有用なツールになり得るという気づきを与える。</t>
    <phoneticPr fontId="1"/>
  </si>
  <si>
    <t>　工学的な手法は様々な適用領域で応用されているが、申請プログラムにおいて選択科目群Aを構成する以下の10科目は、レポート作成や演習を通してデータの利活用方法を身につけると共に、広範な適用領域を知り、多様な知見と組み合わせることで新たな価値の創出につながることを意識させる。具体的には以下のことを扱う。
・活用事例
　医療、防災、産業、科学等の現場におけるビッグデータ活用事例を説明する。モデル化とAIがもたらす膨大なシミュレーション結果が新しい価値を創出することを説明する。膨大な量の生体情報から治療に役立つ知見の発見、ディジタル地理情報に基づく災害シミュレーションとハザードマップ、工場のセンサーデータに基づく生産管理の改善等の事例を説明する。
・モデル化の実践
　科学データのモデル化を踏まえたレポートを作成する。小規模データから大規模データの分析まで扱い、モデル化手法が妥当であればデータのスケールが大きくなっても、現場で一部データが欠損してもデータを活用できる気づきを与える。また妥当なモデルと良質なデータが特化型AIやシミュレーションの性能を向上させる気づきを与える。</t>
    <phoneticPr fontId="1"/>
  </si>
  <si>
    <t>　工学を学ぶ者にとって、研究倫理の遵守と情報セキュリティに関する知識は不可欠である。本学では入学間もない時期から研究倫理教育と情報セキュリティ教育を行う。情報セキュリティ教育の中ではデータサイエンスに関する以下のことを教える。
・ディジタルデータを守る姿勢
　ディジタル化されたデータを守る情報セキュリティ技術と情報倫理について説明する。情報セキュリティー技術は攻撃側技術であるワーム、アタック、フィッシング、ソーシャルハッキングについて事例を交え説明する。防御側技術についてはアンチウィルスソフトウェア、ファイアウォール、通信の暗号化、偽造サイトの見極め方等を説明する。情報倫理については、ディジタルデータのコピー、改竄、不用意な共有・持ち出し等の危険性について説明する。
・ディジタルデータの内容を検証する姿勢
　ディジタル化されたデータは正確に伝わるが、その内容が正確とは限らないことを説明する。IoTセンサーで収集されたデータがノイズであったり、Webで収集したテキストマインニングにバイアスが働いている場合があるので常に内容を検証する姿勢を説明する。また特化型ＡＩで解析された結果は限定的なものであり、データの質によっては誤りが導かれることを説明する。</t>
    <rPh sb="74" eb="75">
      <t>オコナ</t>
    </rPh>
    <phoneticPr fontId="1"/>
  </si>
  <si>
    <t>　実データ・実課題を用いる演習を行う。コンピュータで数理データを扱う演習科目を通して、基本的なデータの活用方法を修得し、社会での実例に目を向けさせる。具体的には以下のことを扱う。
・科学データによる実習・演習
　コンピュータを用いて実践的にデータを読み、データを説明し、データを扱う演習をする。気象データの可視化、損益分岐点のシミュレーション、モンテカルロシミュレーション、経路探索などのデータプログラミングを演習する。
・SDGｓの課題解決の想定したグループワーク
　SDGsの課題解決を目的とした要求獲得と基本設計と使い勝手のよいシステムをグループワークで調査・ディスカッション・プレゼンテーションする。</t>
    <phoneticPr fontId="1"/>
  </si>
  <si>
    <t>統計解析学、多変量解析、予測モデリング、デジタル符号と確率・統計</t>
    <phoneticPr fontId="1"/>
  </si>
  <si>
    <t>Webマイニング、音声認識と理解</t>
    <phoneticPr fontId="1"/>
  </si>
  <si>
    <t>機械学習、パターン認識演習、Webマイニング演習、信号処理演習</t>
    <phoneticPr fontId="1"/>
  </si>
  <si>
    <t>情報とイノベーション、日本経済分析入門、事業運営の基礎知識</t>
    <rPh sb="11" eb="13">
      <t>ニホン</t>
    </rPh>
    <rPh sb="13" eb="15">
      <t>ケイザイ</t>
    </rPh>
    <rPh sb="15" eb="17">
      <t>ブンセキ</t>
    </rPh>
    <rPh sb="17" eb="19">
      <t>ニュウモン</t>
    </rPh>
    <rPh sb="20" eb="22">
      <t>ジギョウ</t>
    </rPh>
    <rPh sb="22" eb="24">
      <t>ウンエイ</t>
    </rPh>
    <rPh sb="25" eb="27">
      <t>キソ</t>
    </rPh>
    <rPh sb="27" eb="29">
      <t>チシキ</t>
    </rPh>
    <phoneticPr fontId="1"/>
  </si>
  <si>
    <t>　教育開発センターは、本学の修士・博士後期課程教育および学士課程教育の改革と質の向上を実現するため、全学的な教育方針と教育施策の企画・開発及び教育改善に係る情報収集・研究を継続的に行うことを目的としている。2020年度からは数理・データサイエンス・AI教育のプログラム検討と成果検証のためにセンター内の一部門として推進室を設置、プログラムの浸透とさらなる活性化をはかることとした。</t>
    <rPh sb="1" eb="3">
      <t>キョウイク</t>
    </rPh>
    <rPh sb="3" eb="5">
      <t>カイハツ</t>
    </rPh>
    <rPh sb="107" eb="108">
      <t>ネン</t>
    </rPh>
    <rPh sb="108" eb="109">
      <t>ド</t>
    </rPh>
    <rPh sb="112" eb="114">
      <t>スウリ</t>
    </rPh>
    <rPh sb="126" eb="128">
      <t>キョウイク</t>
    </rPh>
    <rPh sb="134" eb="136">
      <t>ケントウ</t>
    </rPh>
    <rPh sb="137" eb="139">
      <t>セイカ</t>
    </rPh>
    <rPh sb="139" eb="141">
      <t>ケンショウ</t>
    </rPh>
    <rPh sb="149" eb="150">
      <t>ナイ</t>
    </rPh>
    <rPh sb="151" eb="152">
      <t>イチ</t>
    </rPh>
    <rPh sb="152" eb="154">
      <t>ブモン</t>
    </rPh>
    <rPh sb="157" eb="159">
      <t>スイシン</t>
    </rPh>
    <rPh sb="159" eb="160">
      <t>シツ</t>
    </rPh>
    <rPh sb="161" eb="163">
      <t>セッチ</t>
    </rPh>
    <rPh sb="170" eb="172">
      <t>シントウ</t>
    </rPh>
    <rPh sb="177" eb="180">
      <t>カッセイカ</t>
    </rPh>
    <phoneticPr fontId="1"/>
  </si>
  <si>
    <t>以下のI) II) III)を満たす合計3科目以上の修得をもって修了要件とする。
I) 表③の1「工学院大スタディーズ」を修得する
II)選択科目群A（表③の2「自然科学の歩き方」から11「情報学基礎論Ⅰ」までの10科目）から１科目以上修得する
III)選択科目群B（表③の12「情報処理演習」から14「情報学基礎論Ⅱ」までの3科目）から1科目以上修得する</t>
    <rPh sb="44" eb="45">
      <t>ヒョウ</t>
    </rPh>
    <phoneticPr fontId="1"/>
  </si>
  <si>
    <t>多変量解析</t>
    <phoneticPr fontId="1"/>
  </si>
  <si>
    <t>予測モデリング</t>
    <phoneticPr fontId="1"/>
  </si>
  <si>
    <t>デジタル符号と確率・統計</t>
    <rPh sb="4" eb="6">
      <t>フゴウ</t>
    </rPh>
    <rPh sb="7" eb="9">
      <t>カクリツ</t>
    </rPh>
    <rPh sb="10" eb="12">
      <t>トウケイ</t>
    </rPh>
    <phoneticPr fontId="1"/>
  </si>
  <si>
    <t>データ構造とアルゴリズム</t>
    <phoneticPr fontId="1"/>
  </si>
  <si>
    <t>音情報処理</t>
    <rPh sb="0" eb="1">
      <t>オト</t>
    </rPh>
    <rPh sb="1" eb="3">
      <t>ジョウホウ</t>
    </rPh>
    <rPh sb="3" eb="5">
      <t>ショリ</t>
    </rPh>
    <phoneticPr fontId="1"/>
  </si>
  <si>
    <t>応用音響処理</t>
    <rPh sb="0" eb="2">
      <t>オウヨウ</t>
    </rPh>
    <rPh sb="2" eb="4">
      <t>オンキョウ</t>
    </rPh>
    <rPh sb="4" eb="6">
      <t>ショリ</t>
    </rPh>
    <phoneticPr fontId="1"/>
  </si>
  <si>
    <t>信号処理概論</t>
    <phoneticPr fontId="1"/>
  </si>
  <si>
    <t>デジタル信号処理</t>
    <phoneticPr fontId="1"/>
  </si>
  <si>
    <t>機械学習</t>
    <phoneticPr fontId="1"/>
  </si>
  <si>
    <t>パターン認識演習</t>
    <phoneticPr fontId="1"/>
  </si>
  <si>
    <t>Webマイニング演習</t>
    <phoneticPr fontId="1"/>
  </si>
  <si>
    <t>信号処理演習</t>
    <phoneticPr fontId="1"/>
  </si>
  <si>
    <t>情報とイノベーション</t>
    <phoneticPr fontId="1"/>
  </si>
  <si>
    <t>日本経済分析入門</t>
    <rPh sb="0" eb="2">
      <t>ニホン</t>
    </rPh>
    <rPh sb="2" eb="4">
      <t>ケイザイ</t>
    </rPh>
    <rPh sb="4" eb="6">
      <t>ブンセキ</t>
    </rPh>
    <rPh sb="6" eb="8">
      <t>ニュウモン</t>
    </rPh>
    <phoneticPr fontId="1"/>
  </si>
  <si>
    <t>事業運営の基礎知識</t>
    <rPh sb="0" eb="2">
      <t>ジギョウ</t>
    </rPh>
    <rPh sb="2" eb="4">
      <t>ウンエイ</t>
    </rPh>
    <rPh sb="5" eb="7">
      <t>キソ</t>
    </rPh>
    <rPh sb="7" eb="9">
      <t>チシキ</t>
    </rPh>
    <phoneticPr fontId="1"/>
  </si>
  <si>
    <t>https://www.kogakuin.ac.jp/about/action/mdash_program.html</t>
    <phoneticPr fontId="1"/>
  </si>
  <si>
    <t>データ構造とアルゴリズム</t>
    <rPh sb="3" eb="5">
      <t>コウゾウ</t>
    </rPh>
    <phoneticPr fontId="1"/>
  </si>
  <si>
    <t>音情報処理、応用音響処理、生体計測工学</t>
    <phoneticPr fontId="1"/>
  </si>
  <si>
    <t>画像工学、画像情報処理、画像工学基礎、応用画像処理、パターン認識、コンピュータビジョン</t>
    <phoneticPr fontId="1"/>
  </si>
  <si>
    <t>データ解析、データ処理演習、信号処理概論、デジタル信号処理</t>
    <phoneticPr fontId="1"/>
  </si>
  <si>
    <t>生体計測工学</t>
  </si>
  <si>
    <t>Webマイニング</t>
  </si>
  <si>
    <t>音声認識と理解</t>
    <phoneticPr fontId="1"/>
  </si>
  <si>
    <t>画像工学</t>
    <phoneticPr fontId="1"/>
  </si>
  <si>
    <t>画像情報処理</t>
  </si>
  <si>
    <t>画像工学基礎</t>
  </si>
  <si>
    <t>応用画像処理</t>
  </si>
  <si>
    <t>パターン認識</t>
  </si>
  <si>
    <t>コンピュータビジョン</t>
  </si>
  <si>
    <t>データ解析</t>
  </si>
  <si>
    <t>データ処理演習</t>
  </si>
  <si>
    <t>本学では学科幹事が履修上の相談にのる体制が整っており、担当教員はオフィスアワーを設け、学生からの質問に答えるようにしている。情報科学研究教育センターの演習室には、新宿校舎に236台、八王子校舎に516台のディスクトップ型コンピュータが用意されており、授業以外の時間は学生が自由に利用できる。さらに、令和3年度入学生から自身のパソコンをキャンパスに持参し授業で活用するBYOD（Bring your own device)化を進めており、そのサポート体制も整備されているので、実際にパソコンを使って実データを扱うこともある本プログラムを受講するにあたって、特に支障はないと考えている。</t>
    <rPh sb="0" eb="2">
      <t>ホンガク</t>
    </rPh>
    <rPh sb="4" eb="6">
      <t>ガッカ</t>
    </rPh>
    <rPh sb="6" eb="8">
      <t>カンジ</t>
    </rPh>
    <rPh sb="9" eb="11">
      <t>リシュウ</t>
    </rPh>
    <rPh sb="11" eb="12">
      <t>ウエ</t>
    </rPh>
    <rPh sb="13" eb="15">
      <t>ソウダン</t>
    </rPh>
    <rPh sb="18" eb="20">
      <t>タイセイ</t>
    </rPh>
    <rPh sb="21" eb="22">
      <t>トトノ</t>
    </rPh>
    <rPh sb="27" eb="29">
      <t>タントウ</t>
    </rPh>
    <rPh sb="29" eb="31">
      <t>キョウイン</t>
    </rPh>
    <rPh sb="40" eb="41">
      <t>モウ</t>
    </rPh>
    <rPh sb="43" eb="45">
      <t>ガクセイ</t>
    </rPh>
    <rPh sb="48" eb="50">
      <t>シツモン</t>
    </rPh>
    <rPh sb="51" eb="52">
      <t>コタ</t>
    </rPh>
    <rPh sb="83" eb="85">
      <t>コウシャ</t>
    </rPh>
    <rPh sb="94" eb="96">
      <t>コウシャ</t>
    </rPh>
    <rPh sb="109" eb="110">
      <t>ガタ</t>
    </rPh>
    <rPh sb="117" eb="119">
      <t>ヨウイ</t>
    </rPh>
    <rPh sb="125" eb="127">
      <t>ジュギョウ</t>
    </rPh>
    <rPh sb="127" eb="129">
      <t>イガイ</t>
    </rPh>
    <rPh sb="130" eb="132">
      <t>ジカン</t>
    </rPh>
    <rPh sb="133" eb="135">
      <t>ガクセイ</t>
    </rPh>
    <rPh sb="136" eb="138">
      <t>ジユウ</t>
    </rPh>
    <rPh sb="139" eb="141">
      <t>リヨウ</t>
    </rPh>
    <rPh sb="149" eb="150">
      <t>レイ</t>
    </rPh>
    <rPh sb="150" eb="151">
      <t>ワ</t>
    </rPh>
    <rPh sb="152" eb="153">
      <t>ネン</t>
    </rPh>
    <rPh sb="153" eb="154">
      <t>ド</t>
    </rPh>
    <rPh sb="154" eb="157">
      <t>ニュウガクセイ</t>
    </rPh>
    <rPh sb="173" eb="175">
      <t>ジサン</t>
    </rPh>
    <rPh sb="176" eb="178">
      <t>ジュギョウ</t>
    </rPh>
    <rPh sb="179" eb="181">
      <t>カツヨウ</t>
    </rPh>
    <rPh sb="210" eb="211">
      <t>カ</t>
    </rPh>
    <rPh sb="212" eb="213">
      <t>スス</t>
    </rPh>
    <rPh sb="224" eb="226">
      <t>タイセイ</t>
    </rPh>
    <rPh sb="227" eb="229">
      <t>セイビ</t>
    </rPh>
    <rPh sb="237" eb="239">
      <t>ジッサイ</t>
    </rPh>
    <rPh sb="245" eb="246">
      <t>ツカ</t>
    </rPh>
    <rPh sb="248" eb="249">
      <t>ジツ</t>
    </rPh>
    <rPh sb="253" eb="254">
      <t>アツカ</t>
    </rPh>
    <rPh sb="260" eb="261">
      <t>ホン</t>
    </rPh>
    <rPh sb="267" eb="269">
      <t>ジュコウ</t>
    </rPh>
    <rPh sb="277" eb="278">
      <t>トク</t>
    </rPh>
    <rPh sb="279" eb="281">
      <t>シショウ</t>
    </rPh>
    <rPh sb="285" eb="286">
      <t>カンガ</t>
    </rPh>
    <phoneticPr fontId="1"/>
  </si>
  <si>
    <t xml:space="preserve">授業に関しては担当教員が設けたオフィスアワーに自由に質問ができる。高校までに習得する基礎的な数理の理解が不十分な場合は、学習支援センターの基礎講座に出席したり、センター教員の個別指導を受けることもできる（予約可）。情報学部にはSA(Student Assistant)制度があり、授業時間外に上級生が下級生に専門科目の質問に答える体制をとっている。こうした経験を通して、情報学部の学生は数理・データサイエンス・AIの基礎的な質問に十分答えることができるので、全学部・全学科の学生をサポートできる仕組みへと発展させることも検討している。
</t>
    <rPh sb="0" eb="2">
      <t>ジュギョウ</t>
    </rPh>
    <rPh sb="3" eb="4">
      <t>カン</t>
    </rPh>
    <rPh sb="7" eb="9">
      <t>タントウ</t>
    </rPh>
    <rPh sb="9" eb="11">
      <t>キョウイン</t>
    </rPh>
    <rPh sb="12" eb="13">
      <t>モウ</t>
    </rPh>
    <rPh sb="23" eb="25">
      <t>ジユウ</t>
    </rPh>
    <rPh sb="26" eb="28">
      <t>シツモン</t>
    </rPh>
    <rPh sb="33" eb="35">
      <t>コウコウ</t>
    </rPh>
    <rPh sb="38" eb="40">
      <t>シュウトク</t>
    </rPh>
    <rPh sb="42" eb="45">
      <t>キソテキ</t>
    </rPh>
    <rPh sb="46" eb="48">
      <t>スウリ</t>
    </rPh>
    <rPh sb="49" eb="51">
      <t>リカイ</t>
    </rPh>
    <rPh sb="52" eb="55">
      <t>フジュウブン</t>
    </rPh>
    <rPh sb="56" eb="58">
      <t>バアイ</t>
    </rPh>
    <rPh sb="60" eb="62">
      <t>ガクシュウ</t>
    </rPh>
    <rPh sb="62" eb="64">
      <t>シエン</t>
    </rPh>
    <rPh sb="69" eb="71">
      <t>キソ</t>
    </rPh>
    <rPh sb="71" eb="73">
      <t>コウザ</t>
    </rPh>
    <rPh sb="74" eb="76">
      <t>シュッセキ</t>
    </rPh>
    <rPh sb="84" eb="86">
      <t>キョウイン</t>
    </rPh>
    <rPh sb="87" eb="89">
      <t>コベツ</t>
    </rPh>
    <rPh sb="89" eb="91">
      <t>シドウ</t>
    </rPh>
    <rPh sb="92" eb="93">
      <t>ウ</t>
    </rPh>
    <rPh sb="102" eb="104">
      <t>ヨヤク</t>
    </rPh>
    <rPh sb="104" eb="105">
      <t>カ</t>
    </rPh>
    <rPh sb="107" eb="109">
      <t>ジョウホウ</t>
    </rPh>
    <rPh sb="109" eb="111">
      <t>ガクブ</t>
    </rPh>
    <rPh sb="165" eb="167">
      <t>タイセイ</t>
    </rPh>
    <rPh sb="178" eb="180">
      <t>ケイケン</t>
    </rPh>
    <rPh sb="181" eb="182">
      <t>トオ</t>
    </rPh>
    <rPh sb="208" eb="211">
      <t>キソテキ</t>
    </rPh>
    <rPh sb="215" eb="217">
      <t>ジュウブン</t>
    </rPh>
    <rPh sb="247" eb="249">
      <t>シク</t>
    </rPh>
    <rPh sb="252" eb="254">
      <t>ハッテン</t>
    </rPh>
    <rPh sb="260" eb="262">
      <t>ケントウ</t>
    </rPh>
    <phoneticPr fontId="1"/>
  </si>
  <si>
    <t>　本学ではすべての授業科目についてナンバリングによって分野とレベルを明示化、さらに具体的な到達目標を設定し、成績評価基準を明確化するためにルーブリックを作成している。成績分布とルーブリックとを照合し、適切な目標設定のもとに授業設計がなされているか、点検できる仕組みを整えている。学生のデータはIR室に統括されており、学修状況を分析することができる。さらに、学修成果の可視化を進めるため、学修ポートフォリオの作成準備を進めている。</t>
    <rPh sb="1" eb="3">
      <t>ホンガク</t>
    </rPh>
    <rPh sb="9" eb="11">
      <t>ジュギョウ</t>
    </rPh>
    <rPh sb="11" eb="13">
      <t>カモク</t>
    </rPh>
    <rPh sb="27" eb="29">
      <t>ブンヤ</t>
    </rPh>
    <rPh sb="34" eb="37">
      <t>メイジカ</t>
    </rPh>
    <rPh sb="41" eb="44">
      <t>グタイテキ</t>
    </rPh>
    <rPh sb="45" eb="47">
      <t>トウタツ</t>
    </rPh>
    <rPh sb="47" eb="49">
      <t>モクヒョウ</t>
    </rPh>
    <rPh sb="50" eb="52">
      <t>セッテイ</t>
    </rPh>
    <rPh sb="54" eb="56">
      <t>セイセキ</t>
    </rPh>
    <rPh sb="56" eb="58">
      <t>ヒョウカ</t>
    </rPh>
    <rPh sb="58" eb="60">
      <t>キジュン</t>
    </rPh>
    <rPh sb="61" eb="63">
      <t>メイカク</t>
    </rPh>
    <rPh sb="63" eb="64">
      <t>カ</t>
    </rPh>
    <rPh sb="76" eb="78">
      <t>サクセイ</t>
    </rPh>
    <rPh sb="83" eb="85">
      <t>セイセキ</t>
    </rPh>
    <rPh sb="85" eb="87">
      <t>ブンプ</t>
    </rPh>
    <rPh sb="96" eb="98">
      <t>ショウゴウ</t>
    </rPh>
    <rPh sb="100" eb="102">
      <t>テキセツ</t>
    </rPh>
    <rPh sb="103" eb="105">
      <t>モクヒョウ</t>
    </rPh>
    <rPh sb="105" eb="107">
      <t>セッテイ</t>
    </rPh>
    <rPh sb="111" eb="113">
      <t>ジュギョウ</t>
    </rPh>
    <rPh sb="113" eb="115">
      <t>セッケイ</t>
    </rPh>
    <rPh sb="124" eb="126">
      <t>テンケン</t>
    </rPh>
    <rPh sb="129" eb="131">
      <t>シク</t>
    </rPh>
    <rPh sb="133" eb="134">
      <t>トトノ</t>
    </rPh>
    <rPh sb="139" eb="141">
      <t>ガクセイ</t>
    </rPh>
    <rPh sb="148" eb="149">
      <t>シツ</t>
    </rPh>
    <rPh sb="150" eb="152">
      <t>トウカツ</t>
    </rPh>
    <rPh sb="158" eb="160">
      <t>ガクシュウ</t>
    </rPh>
    <rPh sb="160" eb="162">
      <t>ジョウキョウ</t>
    </rPh>
    <rPh sb="163" eb="165">
      <t>ブンセキ</t>
    </rPh>
    <rPh sb="178" eb="180">
      <t>ガクシュウ</t>
    </rPh>
    <rPh sb="180" eb="182">
      <t>セイカ</t>
    </rPh>
    <rPh sb="183" eb="186">
      <t>カシカ</t>
    </rPh>
    <rPh sb="187" eb="188">
      <t>スス</t>
    </rPh>
    <rPh sb="193" eb="195">
      <t>ガクシュウ</t>
    </rPh>
    <rPh sb="203" eb="205">
      <t>サクセイ</t>
    </rPh>
    <rPh sb="205" eb="207">
      <t>ジュンビ</t>
    </rPh>
    <rPh sb="208" eb="209">
      <t>スス</t>
    </rPh>
    <phoneticPr fontId="1"/>
  </si>
  <si>
    <t>　本学ではすべての授業科目について授業アンケートを実施、①目標設定、②内容理解、③準備・熱意、④工夫・安全、⑤能動性喚起、⑥汎用性という6つの観点から学生が授業評価を行い、成績との相関を通して学生の理解度を分析できる仕組みを整えている。さらにIR室ガ統括している学生データを利用し、高校までの学習歴や入試データなどとの相関によって、理解度不足の原因を探ることも可能となっている。</t>
    <rPh sb="1" eb="3">
      <t>ホンガク</t>
    </rPh>
    <rPh sb="9" eb="11">
      <t>ジュギョウ</t>
    </rPh>
    <rPh sb="11" eb="13">
      <t>カモク</t>
    </rPh>
    <rPh sb="17" eb="19">
      <t>ジュギョウ</t>
    </rPh>
    <rPh sb="25" eb="27">
      <t>ジッシ</t>
    </rPh>
    <rPh sb="29" eb="31">
      <t>モクヒョウ</t>
    </rPh>
    <rPh sb="31" eb="33">
      <t>セッテイ</t>
    </rPh>
    <rPh sb="35" eb="37">
      <t>ナイヨウ</t>
    </rPh>
    <rPh sb="37" eb="39">
      <t>リカイ</t>
    </rPh>
    <rPh sb="41" eb="43">
      <t>ジュンビ</t>
    </rPh>
    <rPh sb="44" eb="46">
      <t>ネツイ</t>
    </rPh>
    <rPh sb="48" eb="50">
      <t>クフウ</t>
    </rPh>
    <rPh sb="51" eb="53">
      <t>アンゼン</t>
    </rPh>
    <rPh sb="55" eb="58">
      <t>ノウドウセイ</t>
    </rPh>
    <rPh sb="58" eb="60">
      <t>カンキ</t>
    </rPh>
    <rPh sb="62" eb="64">
      <t>ハンヨウ</t>
    </rPh>
    <rPh sb="64" eb="65">
      <t>セイ</t>
    </rPh>
    <rPh sb="71" eb="73">
      <t>カンテン</t>
    </rPh>
    <rPh sb="75" eb="77">
      <t>ガクセイ</t>
    </rPh>
    <rPh sb="78" eb="80">
      <t>ジュギョウ</t>
    </rPh>
    <rPh sb="80" eb="82">
      <t>ヒョウカ</t>
    </rPh>
    <rPh sb="83" eb="84">
      <t>オコナ</t>
    </rPh>
    <rPh sb="86" eb="88">
      <t>セイセキ</t>
    </rPh>
    <rPh sb="90" eb="92">
      <t>ソウカン</t>
    </rPh>
    <rPh sb="93" eb="94">
      <t>トオ</t>
    </rPh>
    <rPh sb="96" eb="98">
      <t>ガクセイ</t>
    </rPh>
    <rPh sb="99" eb="102">
      <t>リカイド</t>
    </rPh>
    <rPh sb="103" eb="105">
      <t>ブンセキ</t>
    </rPh>
    <rPh sb="108" eb="110">
      <t>シク</t>
    </rPh>
    <rPh sb="112" eb="113">
      <t>トトノ</t>
    </rPh>
    <rPh sb="123" eb="124">
      <t>シツ</t>
    </rPh>
    <rPh sb="125" eb="127">
      <t>トウカツ</t>
    </rPh>
    <rPh sb="131" eb="133">
      <t>ガクセイ</t>
    </rPh>
    <rPh sb="137" eb="139">
      <t>リヨウ</t>
    </rPh>
    <rPh sb="141" eb="143">
      <t>コウコウ</t>
    </rPh>
    <rPh sb="146" eb="148">
      <t>ガクシュウ</t>
    </rPh>
    <rPh sb="148" eb="149">
      <t>レキ</t>
    </rPh>
    <rPh sb="150" eb="152">
      <t>ニュウシ</t>
    </rPh>
    <rPh sb="159" eb="161">
      <t>ソウカン</t>
    </rPh>
    <rPh sb="166" eb="169">
      <t>リカイド</t>
    </rPh>
    <rPh sb="169" eb="171">
      <t>フソク</t>
    </rPh>
    <rPh sb="172" eb="174">
      <t>ゲンイン</t>
    </rPh>
    <rPh sb="175" eb="176">
      <t>サグ</t>
    </rPh>
    <rPh sb="180" eb="182">
      <t>カノウ</t>
    </rPh>
    <phoneticPr fontId="1"/>
  </si>
  <si>
    <t>本学では卒業生調査を毎年卒業直後に実施しており、学習成果の確認を行っている。本プログラム実施前の回答ゆえ直接的な言及はないが、教員が学生の自主性を尊重しつつもきめ細かい指導を行い、熱意をもって教育している点が高く評価されている。成長実感度も全学部9割を超えており、そうした学生たちが本プログラムを通して学んだことを後輩に伝え、受講を推奨していくことが大いに期待できる。</t>
    <rPh sb="0" eb="2">
      <t>ホンガク</t>
    </rPh>
    <rPh sb="4" eb="6">
      <t>ソツギョウ</t>
    </rPh>
    <rPh sb="6" eb="7">
      <t>セイ</t>
    </rPh>
    <rPh sb="7" eb="9">
      <t>チョウサ</t>
    </rPh>
    <rPh sb="10" eb="12">
      <t>マイトシ</t>
    </rPh>
    <rPh sb="12" eb="14">
      <t>ソツギョウ</t>
    </rPh>
    <rPh sb="14" eb="16">
      <t>チョクゴ</t>
    </rPh>
    <rPh sb="17" eb="19">
      <t>ジッシ</t>
    </rPh>
    <rPh sb="24" eb="26">
      <t>ガクシュウ</t>
    </rPh>
    <rPh sb="26" eb="28">
      <t>セイカ</t>
    </rPh>
    <rPh sb="29" eb="31">
      <t>カクニン</t>
    </rPh>
    <rPh sb="32" eb="33">
      <t>オコナ</t>
    </rPh>
    <rPh sb="38" eb="39">
      <t>ホン</t>
    </rPh>
    <rPh sb="44" eb="46">
      <t>ジッシ</t>
    </rPh>
    <rPh sb="46" eb="47">
      <t>マエ</t>
    </rPh>
    <rPh sb="48" eb="50">
      <t>カイトウ</t>
    </rPh>
    <rPh sb="52" eb="54">
      <t>チョクセツ</t>
    </rPh>
    <rPh sb="54" eb="55">
      <t>テキ</t>
    </rPh>
    <rPh sb="56" eb="58">
      <t>ゲンキュウ</t>
    </rPh>
    <rPh sb="63" eb="65">
      <t>キョウイン</t>
    </rPh>
    <rPh sb="66" eb="68">
      <t>ガクセイ</t>
    </rPh>
    <rPh sb="69" eb="72">
      <t>ジシュセイ</t>
    </rPh>
    <rPh sb="73" eb="75">
      <t>ソンチョウ</t>
    </rPh>
    <rPh sb="81" eb="82">
      <t>コマ</t>
    </rPh>
    <rPh sb="84" eb="86">
      <t>シドウ</t>
    </rPh>
    <rPh sb="87" eb="88">
      <t>オコナ</t>
    </rPh>
    <rPh sb="90" eb="92">
      <t>ネツイ</t>
    </rPh>
    <rPh sb="96" eb="98">
      <t>キョウイク</t>
    </rPh>
    <rPh sb="102" eb="103">
      <t>テン</t>
    </rPh>
    <rPh sb="104" eb="105">
      <t>タカ</t>
    </rPh>
    <rPh sb="106" eb="108">
      <t>ヒョウカ</t>
    </rPh>
    <rPh sb="114" eb="116">
      <t>セイチョウ</t>
    </rPh>
    <rPh sb="116" eb="118">
      <t>ジッカン</t>
    </rPh>
    <rPh sb="118" eb="119">
      <t>ド</t>
    </rPh>
    <rPh sb="120" eb="123">
      <t>ゼンガクブ</t>
    </rPh>
    <rPh sb="124" eb="125">
      <t>ワリ</t>
    </rPh>
    <rPh sb="126" eb="127">
      <t>コ</t>
    </rPh>
    <rPh sb="136" eb="138">
      <t>ガクセイ</t>
    </rPh>
    <rPh sb="141" eb="142">
      <t>ホン</t>
    </rPh>
    <rPh sb="148" eb="149">
      <t>トオ</t>
    </rPh>
    <rPh sb="151" eb="152">
      <t>マナ</t>
    </rPh>
    <rPh sb="157" eb="159">
      <t>コウハイ</t>
    </rPh>
    <rPh sb="160" eb="161">
      <t>ツタ</t>
    </rPh>
    <rPh sb="163" eb="165">
      <t>ジュコウ</t>
    </rPh>
    <rPh sb="166" eb="168">
      <t>スイショウ</t>
    </rPh>
    <rPh sb="175" eb="176">
      <t>オオ</t>
    </rPh>
    <rPh sb="178" eb="180">
      <t>キタイ</t>
    </rPh>
    <phoneticPr fontId="1"/>
  </si>
  <si>
    <t>本学ではICT活用を踏まえた全学的なカリキュラムの見直しを令和3年度に実施することになっており、より学生が受講しやすいよう履修期や授業内容の改善がはかられる。教育開発センター数理・データサイエンス・AI教育推進室ではすでに次年度に向けての教育内容の改善を議論しており、全学的な後押しもあって履修者数・履修率向上は計画通りに進められる見込みが立っている。</t>
    <rPh sb="0" eb="2">
      <t>ホンガク</t>
    </rPh>
    <rPh sb="7" eb="9">
      <t>カツヨウ</t>
    </rPh>
    <rPh sb="10" eb="11">
      <t>フ</t>
    </rPh>
    <rPh sb="14" eb="16">
      <t>ゼンガク</t>
    </rPh>
    <rPh sb="16" eb="17">
      <t>テキ</t>
    </rPh>
    <rPh sb="25" eb="27">
      <t>ミナオ</t>
    </rPh>
    <rPh sb="29" eb="30">
      <t>レイ</t>
    </rPh>
    <rPh sb="30" eb="31">
      <t>ワ</t>
    </rPh>
    <rPh sb="32" eb="33">
      <t>ネン</t>
    </rPh>
    <rPh sb="33" eb="34">
      <t>ド</t>
    </rPh>
    <rPh sb="35" eb="37">
      <t>ジッシ</t>
    </rPh>
    <rPh sb="50" eb="52">
      <t>ガクセイ</t>
    </rPh>
    <rPh sb="53" eb="55">
      <t>ジュコウ</t>
    </rPh>
    <rPh sb="61" eb="63">
      <t>リシュウ</t>
    </rPh>
    <rPh sb="63" eb="64">
      <t>キ</t>
    </rPh>
    <rPh sb="65" eb="67">
      <t>ジュギョウ</t>
    </rPh>
    <rPh sb="67" eb="69">
      <t>ナイヨウ</t>
    </rPh>
    <rPh sb="70" eb="72">
      <t>カイゼン</t>
    </rPh>
    <rPh sb="79" eb="81">
      <t>キョウイク</t>
    </rPh>
    <rPh sb="81" eb="83">
      <t>カイハツ</t>
    </rPh>
    <rPh sb="87" eb="89">
      <t>スウリ</t>
    </rPh>
    <rPh sb="101" eb="103">
      <t>キョウイク</t>
    </rPh>
    <rPh sb="103" eb="105">
      <t>スイシン</t>
    </rPh>
    <rPh sb="105" eb="106">
      <t>シツ</t>
    </rPh>
    <rPh sb="111" eb="114">
      <t>ジネンド</t>
    </rPh>
    <rPh sb="115" eb="116">
      <t>ム</t>
    </rPh>
    <rPh sb="119" eb="121">
      <t>キョウイク</t>
    </rPh>
    <rPh sb="121" eb="123">
      <t>ナイヨウ</t>
    </rPh>
    <rPh sb="124" eb="126">
      <t>カイゼン</t>
    </rPh>
    <rPh sb="127" eb="129">
      <t>ギロン</t>
    </rPh>
    <rPh sb="134" eb="137">
      <t>ゼンガクテキ</t>
    </rPh>
    <rPh sb="138" eb="140">
      <t>アトオ</t>
    </rPh>
    <rPh sb="145" eb="147">
      <t>リシュウ</t>
    </rPh>
    <rPh sb="147" eb="148">
      <t>シャ</t>
    </rPh>
    <rPh sb="148" eb="149">
      <t>スウ</t>
    </rPh>
    <rPh sb="150" eb="152">
      <t>リシュウ</t>
    </rPh>
    <rPh sb="152" eb="153">
      <t>リツ</t>
    </rPh>
    <rPh sb="153" eb="155">
      <t>コウジョウ</t>
    </rPh>
    <rPh sb="156" eb="158">
      <t>ケイカク</t>
    </rPh>
    <rPh sb="158" eb="159">
      <t>トオ</t>
    </rPh>
    <rPh sb="161" eb="162">
      <t>スス</t>
    </rPh>
    <rPh sb="166" eb="168">
      <t>ミコ</t>
    </rPh>
    <rPh sb="170" eb="171">
      <t>タ</t>
    </rPh>
    <phoneticPr fontId="1"/>
  </si>
  <si>
    <t>本プログラムの開始が令和2年度なのでまだ修了した卒業生はいないが、本学の卒業生は企業から高く評価され、就職率も95％前後を維持している。IT系企業へ就職する者も多いが、データサイエンス系人材要件を明確にし、卒業生の活躍状況を「キャリアデザイン」という授業内で伝えるなどして、学生の能力と意欲とを高めようとしていることに対し、企業側から期待する声が届いている。</t>
    <rPh sb="0" eb="1">
      <t>ホン</t>
    </rPh>
    <rPh sb="7" eb="9">
      <t>カイシ</t>
    </rPh>
    <rPh sb="10" eb="11">
      <t>レイ</t>
    </rPh>
    <rPh sb="11" eb="12">
      <t>ワ</t>
    </rPh>
    <rPh sb="13" eb="14">
      <t>ネン</t>
    </rPh>
    <rPh sb="14" eb="15">
      <t>ド</t>
    </rPh>
    <rPh sb="20" eb="22">
      <t>シュウリョウ</t>
    </rPh>
    <rPh sb="24" eb="27">
      <t>ソツギョウセイ</t>
    </rPh>
    <rPh sb="33" eb="35">
      <t>ホンガク</t>
    </rPh>
    <rPh sb="36" eb="39">
      <t>ソツギョウセイ</t>
    </rPh>
    <rPh sb="40" eb="42">
      <t>キギョウ</t>
    </rPh>
    <rPh sb="44" eb="45">
      <t>タカ</t>
    </rPh>
    <rPh sb="46" eb="48">
      <t>ヒョウカ</t>
    </rPh>
    <rPh sb="51" eb="53">
      <t>シュウショク</t>
    </rPh>
    <rPh sb="53" eb="54">
      <t>リツ</t>
    </rPh>
    <rPh sb="58" eb="60">
      <t>ゼンゴ</t>
    </rPh>
    <rPh sb="61" eb="63">
      <t>イジ</t>
    </rPh>
    <rPh sb="70" eb="71">
      <t>ケイ</t>
    </rPh>
    <rPh sb="71" eb="73">
      <t>キギョウ</t>
    </rPh>
    <rPh sb="74" eb="76">
      <t>シュウショク</t>
    </rPh>
    <rPh sb="78" eb="79">
      <t>モノ</t>
    </rPh>
    <rPh sb="80" eb="81">
      <t>オオ</t>
    </rPh>
    <rPh sb="92" eb="93">
      <t>ケイ</t>
    </rPh>
    <rPh sb="93" eb="95">
      <t>ジンザイ</t>
    </rPh>
    <rPh sb="95" eb="97">
      <t>ヨウケン</t>
    </rPh>
    <rPh sb="98" eb="100">
      <t>メイカク</t>
    </rPh>
    <rPh sb="103" eb="106">
      <t>ソツギョウセイ</t>
    </rPh>
    <rPh sb="107" eb="109">
      <t>カツヤク</t>
    </rPh>
    <rPh sb="109" eb="111">
      <t>ジョウキョウ</t>
    </rPh>
    <rPh sb="125" eb="127">
      <t>ジュギョウ</t>
    </rPh>
    <rPh sb="127" eb="128">
      <t>ナイ</t>
    </rPh>
    <rPh sb="129" eb="130">
      <t>ツタ</t>
    </rPh>
    <rPh sb="137" eb="139">
      <t>ガクセイ</t>
    </rPh>
    <rPh sb="140" eb="142">
      <t>ノウリョク</t>
    </rPh>
    <rPh sb="143" eb="145">
      <t>イヨク</t>
    </rPh>
    <rPh sb="147" eb="148">
      <t>タカ</t>
    </rPh>
    <rPh sb="159" eb="160">
      <t>タイ</t>
    </rPh>
    <rPh sb="162" eb="164">
      <t>キギョウ</t>
    </rPh>
    <rPh sb="164" eb="165">
      <t>ガワ</t>
    </rPh>
    <rPh sb="167" eb="169">
      <t>キタイ</t>
    </rPh>
    <rPh sb="171" eb="172">
      <t>コエ</t>
    </rPh>
    <rPh sb="173" eb="174">
      <t>トド</t>
    </rPh>
    <phoneticPr fontId="1"/>
  </si>
  <si>
    <t xml:space="preserve">内部質保証委員会は、継続的な自己点検・評価を行い、その結果をもとに改革・改善に努めることを通じて、大学の教育研究の水準を保証し向上させ、大学に対する社会の信頼を一層確実なものとすることを目的としているが、外部評価委員も加え産業界からの視点も含めた教育プログラム改善が図れるようになっている。就職支援の面でも外部アドバイザーの助言を得て、企業側の本学卒業生への評価や求める人材像を明確にし、キャリアデザインセンターで教育プログラムへの反映を検討している。
</t>
    <rPh sb="102" eb="104">
      <t>ガイブ</t>
    </rPh>
    <rPh sb="104" eb="106">
      <t>ヒョウカ</t>
    </rPh>
    <rPh sb="106" eb="108">
      <t>イイン</t>
    </rPh>
    <rPh sb="109" eb="110">
      <t>クワ</t>
    </rPh>
    <rPh sb="111" eb="114">
      <t>サンギョウカイ</t>
    </rPh>
    <rPh sb="117" eb="119">
      <t>シテン</t>
    </rPh>
    <rPh sb="120" eb="121">
      <t>フク</t>
    </rPh>
    <rPh sb="123" eb="125">
      <t>キョウイク</t>
    </rPh>
    <rPh sb="130" eb="132">
      <t>カイゼン</t>
    </rPh>
    <rPh sb="133" eb="134">
      <t>ハカ</t>
    </rPh>
    <rPh sb="145" eb="147">
      <t>シュウショク</t>
    </rPh>
    <rPh sb="147" eb="149">
      <t>シエン</t>
    </rPh>
    <rPh sb="150" eb="151">
      <t>メン</t>
    </rPh>
    <rPh sb="153" eb="155">
      <t>ガイブ</t>
    </rPh>
    <rPh sb="162" eb="164">
      <t>ジョゲン</t>
    </rPh>
    <rPh sb="165" eb="166">
      <t>エ</t>
    </rPh>
    <rPh sb="170" eb="171">
      <t>ガワ</t>
    </rPh>
    <rPh sb="189" eb="191">
      <t>メイカク</t>
    </rPh>
    <rPh sb="207" eb="209">
      <t>キョウイク</t>
    </rPh>
    <rPh sb="216" eb="218">
      <t>ハンエイ</t>
    </rPh>
    <rPh sb="219" eb="221">
      <t>ケントウ</t>
    </rPh>
    <phoneticPr fontId="1"/>
  </si>
  <si>
    <t>初年次科目「工学院大スタディーズ」で数理・データサイエンス・AIを学ぶことの意義と合わせ、大学で学ぶことの楽しさを伝えている。本プログラムを構成する科目群でも、学生の関心が高い専門分野の事例等を交え、また座学に留まらないアクティブな手法を取り入れるなどして、学びの楽しさを実感できるようそれぞれに工夫している。その成果については、授業アンケートや卒業生調査で検証している。</t>
    <rPh sb="0" eb="1">
      <t>ショ</t>
    </rPh>
    <rPh sb="1" eb="3">
      <t>ネンジ</t>
    </rPh>
    <rPh sb="3" eb="5">
      <t>カモク</t>
    </rPh>
    <rPh sb="6" eb="10">
      <t>コウガクインダイ</t>
    </rPh>
    <rPh sb="18" eb="20">
      <t>スウリ</t>
    </rPh>
    <rPh sb="33" eb="34">
      <t>マナ</t>
    </rPh>
    <rPh sb="38" eb="40">
      <t>イギ</t>
    </rPh>
    <rPh sb="41" eb="42">
      <t>ア</t>
    </rPh>
    <rPh sb="45" eb="47">
      <t>ダイガク</t>
    </rPh>
    <rPh sb="48" eb="49">
      <t>マナ</t>
    </rPh>
    <rPh sb="53" eb="54">
      <t>タノ</t>
    </rPh>
    <rPh sb="57" eb="58">
      <t>ツタ</t>
    </rPh>
    <rPh sb="63" eb="64">
      <t>ホン</t>
    </rPh>
    <rPh sb="70" eb="72">
      <t>コウセイ</t>
    </rPh>
    <rPh sb="74" eb="76">
      <t>カモク</t>
    </rPh>
    <rPh sb="76" eb="77">
      <t>グン</t>
    </rPh>
    <rPh sb="80" eb="82">
      <t>ガクセイ</t>
    </rPh>
    <rPh sb="83" eb="85">
      <t>カンシン</t>
    </rPh>
    <rPh sb="86" eb="87">
      <t>タカ</t>
    </rPh>
    <rPh sb="88" eb="90">
      <t>センモン</t>
    </rPh>
    <rPh sb="90" eb="92">
      <t>ブンヤ</t>
    </rPh>
    <rPh sb="93" eb="95">
      <t>ジレイ</t>
    </rPh>
    <rPh sb="95" eb="96">
      <t>トウ</t>
    </rPh>
    <rPh sb="97" eb="98">
      <t>マジ</t>
    </rPh>
    <rPh sb="102" eb="104">
      <t>ザガク</t>
    </rPh>
    <rPh sb="105" eb="106">
      <t>トド</t>
    </rPh>
    <rPh sb="116" eb="118">
      <t>シュホウ</t>
    </rPh>
    <rPh sb="119" eb="120">
      <t>ト</t>
    </rPh>
    <rPh sb="121" eb="122">
      <t>イ</t>
    </rPh>
    <rPh sb="129" eb="130">
      <t>マナ</t>
    </rPh>
    <rPh sb="132" eb="133">
      <t>タノ</t>
    </rPh>
    <rPh sb="136" eb="138">
      <t>ジッカン</t>
    </rPh>
    <rPh sb="148" eb="150">
      <t>クフウ</t>
    </rPh>
    <rPh sb="157" eb="159">
      <t>セイカ</t>
    </rPh>
    <rPh sb="165" eb="167">
      <t>ジュギョウ</t>
    </rPh>
    <rPh sb="173" eb="176">
      <t>ソツギョウセイ</t>
    </rPh>
    <rPh sb="176" eb="178">
      <t>チョウサ</t>
    </rPh>
    <rPh sb="179" eb="181">
      <t>ケンショウ</t>
    </rPh>
    <phoneticPr fontId="1"/>
  </si>
  <si>
    <t>数理・データサイエンス・AI教育推進室では、授業アンケートや卒業生調査の結果などを参考に、「分かりやすい」授業の方法についても検討している。教育開発センターでは教育開発センターでは年に数回FD研修会を実施、授業アンケートをもとに毎年ベストティーチャーを選考しており、その授業方法を語ってもらったりしている。さらに授業の実践方法を紹介した『FDハンドブック』を刊行、全教員に向けて本学授業の質向上に努めていただくようお願いしている。</t>
    <rPh sb="0" eb="2">
      <t>スウリ</t>
    </rPh>
    <rPh sb="14" eb="16">
      <t>キョウイク</t>
    </rPh>
    <rPh sb="16" eb="18">
      <t>スイシン</t>
    </rPh>
    <rPh sb="18" eb="19">
      <t>シツ</t>
    </rPh>
    <rPh sb="22" eb="24">
      <t>ジュギョウ</t>
    </rPh>
    <rPh sb="30" eb="33">
      <t>ソツギョウセイ</t>
    </rPh>
    <rPh sb="33" eb="35">
      <t>チョウサ</t>
    </rPh>
    <rPh sb="36" eb="38">
      <t>ケッカ</t>
    </rPh>
    <rPh sb="41" eb="43">
      <t>サンコウ</t>
    </rPh>
    <rPh sb="46" eb="47">
      <t>ワ</t>
    </rPh>
    <rPh sb="53" eb="55">
      <t>ジュギョウ</t>
    </rPh>
    <rPh sb="56" eb="58">
      <t>ホウホウ</t>
    </rPh>
    <rPh sb="63" eb="65">
      <t>ケントウ</t>
    </rPh>
    <rPh sb="70" eb="72">
      <t>キョウイク</t>
    </rPh>
    <rPh sb="72" eb="74">
      <t>カイハツ</t>
    </rPh>
    <rPh sb="80" eb="82">
      <t>キョウイク</t>
    </rPh>
    <rPh sb="82" eb="84">
      <t>カイハツ</t>
    </rPh>
    <rPh sb="90" eb="91">
      <t>ネン</t>
    </rPh>
    <rPh sb="92" eb="94">
      <t>スウカイ</t>
    </rPh>
    <rPh sb="96" eb="99">
      <t>ケンシュウカイ</t>
    </rPh>
    <rPh sb="100" eb="102">
      <t>ジッシ</t>
    </rPh>
    <rPh sb="103" eb="105">
      <t>ジュギョウ</t>
    </rPh>
    <rPh sb="114" eb="116">
      <t>マイトシ</t>
    </rPh>
    <rPh sb="126" eb="128">
      <t>センコウ</t>
    </rPh>
    <rPh sb="135" eb="137">
      <t>ジュギョウ</t>
    </rPh>
    <rPh sb="137" eb="139">
      <t>ホウホウ</t>
    </rPh>
    <rPh sb="140" eb="141">
      <t>カタ</t>
    </rPh>
    <rPh sb="182" eb="183">
      <t>ゼン</t>
    </rPh>
    <rPh sb="183" eb="185">
      <t>キョウイン</t>
    </rPh>
    <rPh sb="186" eb="187">
      <t>ム</t>
    </rPh>
    <rPh sb="208" eb="209">
      <t>ネガ</t>
    </rPh>
    <phoneticPr fontId="1"/>
  </si>
  <si>
    <t>学校法人　工学院大学</t>
    <rPh sb="0" eb="2">
      <t>ガッコウ</t>
    </rPh>
    <rPh sb="2" eb="4">
      <t>ホウジン</t>
    </rPh>
    <rPh sb="5" eb="8">
      <t>コウガクイン</t>
    </rPh>
    <rPh sb="8" eb="10">
      <t>ダイガク</t>
    </rPh>
    <phoneticPr fontId="1"/>
  </si>
  <si>
    <t>総合企画部</t>
    <rPh sb="0" eb="2">
      <t>ソウゴウ</t>
    </rPh>
    <rPh sb="2" eb="5">
      <t>キカクブ</t>
    </rPh>
    <phoneticPr fontId="1"/>
  </si>
  <si>
    <t xml:space="preserve">教育開発センター所長　吉田司雄　（教育推進機構教授）　　　　　　　　　　　　　　　　　　　　　　　　
数理・データサイエンス・AI教育推進室長　田中久弥　（情報学部教授）　　　　　　　　　　　　　　
推進室員　金野祥久　（工学部教授）　　　　　　　　　　　　　　　　　　　　　　　　　　　　　　　　　
同　村上正浩　（建築学部教授）　　　　　　　　　　　　　　　　　　　　　　　　　　　　　　　　　　　　
同　宮川雅矢　（先進工学部助教）
同　杉原明　（総合企画部　部長）
同　本間拓郎　（学事部　部長）
同　中島秀樹　（学事部　次長）　　　　　　　　　　　　　　　　　　　　　　　　　　　　　　　　　　　
副学長（教学担当）　蒲池みゆき　（情報学部教授）
</t>
    <rPh sb="0" eb="2">
      <t>キョウイク</t>
    </rPh>
    <rPh sb="2" eb="4">
      <t>カイハツ</t>
    </rPh>
    <rPh sb="8" eb="10">
      <t>ショチョウ</t>
    </rPh>
    <rPh sb="11" eb="13">
      <t>ヨシダ</t>
    </rPh>
    <rPh sb="13" eb="14">
      <t>ツカサ</t>
    </rPh>
    <rPh sb="14" eb="15">
      <t>ユウ</t>
    </rPh>
    <rPh sb="17" eb="19">
      <t>キョウイク</t>
    </rPh>
    <rPh sb="19" eb="21">
      <t>スイシン</t>
    </rPh>
    <rPh sb="21" eb="23">
      <t>キコウ</t>
    </rPh>
    <rPh sb="23" eb="25">
      <t>キョウジュ</t>
    </rPh>
    <rPh sb="51" eb="53">
      <t>スウリ</t>
    </rPh>
    <rPh sb="65" eb="67">
      <t>キョウイク</t>
    </rPh>
    <rPh sb="67" eb="69">
      <t>スイシン</t>
    </rPh>
    <rPh sb="69" eb="71">
      <t>シツチョウ</t>
    </rPh>
    <rPh sb="72" eb="74">
      <t>タナカ</t>
    </rPh>
    <rPh sb="74" eb="76">
      <t>ヒサヤ</t>
    </rPh>
    <rPh sb="78" eb="80">
      <t>ジョウホウ</t>
    </rPh>
    <rPh sb="80" eb="82">
      <t>ガクブ</t>
    </rPh>
    <rPh sb="82" eb="84">
      <t>キョウジュ</t>
    </rPh>
    <rPh sb="100" eb="102">
      <t>スイシン</t>
    </rPh>
    <rPh sb="102" eb="104">
      <t>シツイン</t>
    </rPh>
    <rPh sb="111" eb="114">
      <t>コウガクブ</t>
    </rPh>
    <rPh sb="114" eb="116">
      <t>キョウジュ</t>
    </rPh>
    <rPh sb="151" eb="152">
      <t>ドウ</t>
    </rPh>
    <rPh sb="153" eb="155">
      <t>ムラカミ</t>
    </rPh>
    <rPh sb="155" eb="157">
      <t>マサヒロ</t>
    </rPh>
    <rPh sb="159" eb="161">
      <t>ケンチク</t>
    </rPh>
    <rPh sb="161" eb="163">
      <t>ガクブ</t>
    </rPh>
    <rPh sb="163" eb="165">
      <t>キョウジュ</t>
    </rPh>
    <rPh sb="203" eb="204">
      <t>ドウ</t>
    </rPh>
    <rPh sb="205" eb="207">
      <t>ミヤガワ</t>
    </rPh>
    <rPh sb="220" eb="221">
      <t>ドウ</t>
    </rPh>
    <rPh sb="222" eb="224">
      <t>スギハラ</t>
    </rPh>
    <rPh sb="224" eb="225">
      <t>アキラ</t>
    </rPh>
    <rPh sb="227" eb="229">
      <t>ソウゴウ</t>
    </rPh>
    <rPh sb="229" eb="232">
      <t>キカクブ</t>
    </rPh>
    <rPh sb="233" eb="235">
      <t>ブチョウ</t>
    </rPh>
    <rPh sb="237" eb="238">
      <t>ドウ</t>
    </rPh>
    <rPh sb="239" eb="241">
      <t>ホンマ</t>
    </rPh>
    <rPh sb="241" eb="243">
      <t>タクロウ</t>
    </rPh>
    <rPh sb="245" eb="248">
      <t>ガクジブ</t>
    </rPh>
    <rPh sb="249" eb="251">
      <t>ブチョウ</t>
    </rPh>
    <rPh sb="253" eb="254">
      <t>ドウ</t>
    </rPh>
    <rPh sb="255" eb="257">
      <t>ナカジマ</t>
    </rPh>
    <rPh sb="257" eb="259">
      <t>ヒデキ</t>
    </rPh>
    <rPh sb="261" eb="264">
      <t>ガクジブ</t>
    </rPh>
    <rPh sb="265" eb="267">
      <t>ジチョウ</t>
    </rPh>
    <rPh sb="304" eb="307">
      <t>フクガクチョウ</t>
    </rPh>
    <rPh sb="308" eb="310">
      <t>キョウガク</t>
    </rPh>
    <rPh sb="310" eb="312">
      <t>タントウ</t>
    </rPh>
    <rPh sb="314" eb="316">
      <t>カマチ</t>
    </rPh>
    <rPh sb="321" eb="323">
      <t>ジョウホウ</t>
    </rPh>
    <rPh sb="323" eb="325">
      <t>ガクブ</t>
    </rPh>
    <rPh sb="325" eb="327">
      <t>キョウジュ</t>
    </rPh>
    <phoneticPr fontId="1"/>
  </si>
  <si>
    <t>各年度の履修者数の目標を以下の通りとする。（（）内は履修率）
令和3年度　2,032名　（36%）
令和4年度　3,100名　（55%)
令和5年度　4,202名　（75%）
令和6年度　4,340名　（77%）
令和7年度　4,340名　（77%)　
令和2年度は、先進工学部、工学部、情報学部の学生が中心に履修をしているが、令和3年度より建築学部学生に対しても、必須科目である「工学院大スタディーズ」の受講を開始する予定であり、受講者数は経年で80%に近い数字となる計画である。
さらに目標を実現するために、学科ガイダンス等の機会を利用してプログラムの浸透をはかるだけでなく、教育開発センターの数理・データサイエンス・AI教育推進室で、「工学院大スタディーズ」の内容を建築学部のカリキュラムの中にも取り入れるなど、全学的なカリキュラムの見直しを通して、より全学部の学生が履修しやすくなるよう検討している。</t>
    <rPh sb="0" eb="3">
      <t>カクネンド</t>
    </rPh>
    <rPh sb="4" eb="8">
      <t>リシュウシャスウ</t>
    </rPh>
    <rPh sb="9" eb="11">
      <t>モクヒョウ</t>
    </rPh>
    <rPh sb="12" eb="14">
      <t>イカ</t>
    </rPh>
    <rPh sb="15" eb="16">
      <t>トオ</t>
    </rPh>
    <rPh sb="24" eb="25">
      <t>ナイ</t>
    </rPh>
    <rPh sb="26" eb="29">
      <t>リシュウリツ</t>
    </rPh>
    <rPh sb="31" eb="33">
      <t>レイワ</t>
    </rPh>
    <rPh sb="34" eb="36">
      <t>ネンド</t>
    </rPh>
    <rPh sb="42" eb="43">
      <t>メイ</t>
    </rPh>
    <rPh sb="50" eb="52">
      <t>レイワ</t>
    </rPh>
    <rPh sb="53" eb="55">
      <t>ネンド</t>
    </rPh>
    <rPh sb="61" eb="62">
      <t>メイ</t>
    </rPh>
    <rPh sb="69" eb="71">
      <t>レイワ</t>
    </rPh>
    <rPh sb="72" eb="74">
      <t>ネンド</t>
    </rPh>
    <rPh sb="80" eb="81">
      <t>メイ</t>
    </rPh>
    <rPh sb="88" eb="90">
      <t>レイワ</t>
    </rPh>
    <rPh sb="91" eb="93">
      <t>ネンド</t>
    </rPh>
    <rPh sb="99" eb="100">
      <t>メイ</t>
    </rPh>
    <rPh sb="107" eb="109">
      <t>レイワ</t>
    </rPh>
    <rPh sb="110" eb="112">
      <t>ネンド</t>
    </rPh>
    <rPh sb="118" eb="119">
      <t>メイ</t>
    </rPh>
    <rPh sb="128" eb="130">
      <t>レイワ</t>
    </rPh>
    <rPh sb="131" eb="133">
      <t>ネンド</t>
    </rPh>
    <rPh sb="135" eb="137">
      <t>センシン</t>
    </rPh>
    <rPh sb="137" eb="140">
      <t>コウガクブ</t>
    </rPh>
    <rPh sb="141" eb="144">
      <t>コウガクブ</t>
    </rPh>
    <rPh sb="145" eb="149">
      <t>ジョウホウガクブ</t>
    </rPh>
    <rPh sb="150" eb="152">
      <t>ガクセイ</t>
    </rPh>
    <rPh sb="153" eb="155">
      <t>チュウシン</t>
    </rPh>
    <rPh sb="156" eb="158">
      <t>リシュウ</t>
    </rPh>
    <rPh sb="165" eb="167">
      <t>レイワ</t>
    </rPh>
    <rPh sb="168" eb="170">
      <t>ネンド</t>
    </rPh>
    <rPh sb="172" eb="176">
      <t>ケンチクガクブ</t>
    </rPh>
    <rPh sb="176" eb="178">
      <t>ガクセイ</t>
    </rPh>
    <rPh sb="179" eb="180">
      <t>タイ</t>
    </rPh>
    <rPh sb="184" eb="186">
      <t>ヒッス</t>
    </rPh>
    <rPh sb="186" eb="188">
      <t>カモク</t>
    </rPh>
    <rPh sb="192" eb="195">
      <t>コウガクイン</t>
    </rPh>
    <rPh sb="195" eb="196">
      <t>ダイ</t>
    </rPh>
    <rPh sb="204" eb="206">
      <t>ジュコウ</t>
    </rPh>
    <rPh sb="207" eb="209">
      <t>カイシ</t>
    </rPh>
    <rPh sb="211" eb="213">
      <t>ヨテイ</t>
    </rPh>
    <rPh sb="217" eb="220">
      <t>ジュコウシャ</t>
    </rPh>
    <rPh sb="220" eb="221">
      <t>スウ</t>
    </rPh>
    <rPh sb="222" eb="224">
      <t>ケイネン</t>
    </rPh>
    <rPh sb="229" eb="230">
      <t>チカ</t>
    </rPh>
    <rPh sb="231" eb="233">
      <t>スウジ</t>
    </rPh>
    <rPh sb="236" eb="238">
      <t>ケイカク</t>
    </rPh>
    <rPh sb="246" eb="248">
      <t>モクヒョウ</t>
    </rPh>
    <rPh sb="249" eb="251">
      <t>ジツゲン</t>
    </rPh>
    <rPh sb="257" eb="259">
      <t>ガッカ</t>
    </rPh>
    <rPh sb="264" eb="265">
      <t>トウ</t>
    </rPh>
    <rPh sb="266" eb="268">
      <t>キカイ</t>
    </rPh>
    <rPh sb="269" eb="271">
      <t>リヨウ</t>
    </rPh>
    <rPh sb="279" eb="281">
      <t>シントウ</t>
    </rPh>
    <rPh sb="291" eb="293">
      <t>キョウイク</t>
    </rPh>
    <rPh sb="293" eb="295">
      <t>カイハツ</t>
    </rPh>
    <rPh sb="300" eb="302">
      <t>スウリ</t>
    </rPh>
    <rPh sb="314" eb="316">
      <t>キョウイク</t>
    </rPh>
    <rPh sb="316" eb="318">
      <t>スイシン</t>
    </rPh>
    <rPh sb="318" eb="319">
      <t>シツ</t>
    </rPh>
    <rPh sb="322" eb="326">
      <t>コウガクインダイ</t>
    </rPh>
    <rPh sb="334" eb="336">
      <t>ナイヨウ</t>
    </rPh>
    <rPh sb="337" eb="339">
      <t>ケンチク</t>
    </rPh>
    <rPh sb="339" eb="341">
      <t>ガクブ</t>
    </rPh>
    <rPh sb="349" eb="350">
      <t>ナカ</t>
    </rPh>
    <rPh sb="352" eb="353">
      <t>ト</t>
    </rPh>
    <rPh sb="354" eb="355">
      <t>イ</t>
    </rPh>
    <rPh sb="360" eb="363">
      <t>ゼンガクテキ</t>
    </rPh>
    <rPh sb="371" eb="373">
      <t>ミナオ</t>
    </rPh>
    <rPh sb="375" eb="376">
      <t>トオ</t>
    </rPh>
    <rPh sb="381" eb="384">
      <t>ゼンガクブ</t>
    </rPh>
    <rPh sb="385" eb="387">
      <t>ガクセイ</t>
    </rPh>
    <rPh sb="388" eb="390">
      <t>リシュウ</t>
    </rPh>
    <rPh sb="398" eb="400">
      <t>ケントウ</t>
    </rPh>
    <phoneticPr fontId="1"/>
  </si>
  <si>
    <t xml:space="preserve">本学では他学科の科目や他大学の科目など、所属学科のカリキュラムにない科目も、合計単位数に加算されることになっている。現時点で「工学院大スタディーズ」は先進工学部・工学部・情報学部の選択必修科目で建築学部のカリキュラムにはないが、受講可能な体制を整えプログラムの浸透をはかることとなっている。選択科目群Aは学部学科のカリキュラムにあるもので構成されており、選択科目群Bを構成する「情報処理演習」は工学部の必修科目、先進工学部の選択必修科目、「建築情報処理基礎」は建築学部の選択必修科目、「情報学基礎論Ⅱ」は情報学部の必修科目で、すでに希望する学生全員が受講可能なものとなっている。
</t>
    <rPh sb="0" eb="2">
      <t>ホンガク</t>
    </rPh>
    <rPh sb="58" eb="61">
      <t>ゲンジテン</t>
    </rPh>
    <rPh sb="63" eb="67">
      <t>コウガクインダイ</t>
    </rPh>
    <rPh sb="75" eb="77">
      <t>センシン</t>
    </rPh>
    <rPh sb="77" eb="80">
      <t>コウガクブ</t>
    </rPh>
    <rPh sb="81" eb="84">
      <t>コウガクブ</t>
    </rPh>
    <rPh sb="85" eb="87">
      <t>ジョウホウ</t>
    </rPh>
    <rPh sb="87" eb="89">
      <t>ガクブ</t>
    </rPh>
    <rPh sb="90" eb="92">
      <t>センタク</t>
    </rPh>
    <rPh sb="92" eb="94">
      <t>ヒッシュウ</t>
    </rPh>
    <rPh sb="94" eb="96">
      <t>カモク</t>
    </rPh>
    <rPh sb="97" eb="99">
      <t>ケンチク</t>
    </rPh>
    <rPh sb="99" eb="101">
      <t>ガクブ</t>
    </rPh>
    <rPh sb="114" eb="116">
      <t>ジュコウ</t>
    </rPh>
    <rPh sb="116" eb="118">
      <t>カノウ</t>
    </rPh>
    <rPh sb="119" eb="121">
      <t>タイセイ</t>
    </rPh>
    <rPh sb="122" eb="123">
      <t>トトノ</t>
    </rPh>
    <rPh sb="130" eb="132">
      <t>シントウ</t>
    </rPh>
    <rPh sb="145" eb="147">
      <t>センタク</t>
    </rPh>
    <rPh sb="147" eb="149">
      <t>カモク</t>
    </rPh>
    <rPh sb="149" eb="150">
      <t>グン</t>
    </rPh>
    <rPh sb="152" eb="154">
      <t>ガクブ</t>
    </rPh>
    <rPh sb="154" eb="156">
      <t>ガッカ</t>
    </rPh>
    <rPh sb="169" eb="171">
      <t>コウセイ</t>
    </rPh>
    <rPh sb="177" eb="179">
      <t>センタク</t>
    </rPh>
    <rPh sb="179" eb="181">
      <t>カモク</t>
    </rPh>
    <rPh sb="181" eb="182">
      <t>グン</t>
    </rPh>
    <rPh sb="184" eb="186">
      <t>コウセイ</t>
    </rPh>
    <rPh sb="189" eb="191">
      <t>ジョウホウ</t>
    </rPh>
    <rPh sb="191" eb="193">
      <t>ショリ</t>
    </rPh>
    <rPh sb="193" eb="195">
      <t>エンシュウ</t>
    </rPh>
    <rPh sb="197" eb="200">
      <t>コウガクブ</t>
    </rPh>
    <rPh sb="201" eb="203">
      <t>ヒッシュウ</t>
    </rPh>
    <rPh sb="203" eb="205">
      <t>カモク</t>
    </rPh>
    <rPh sb="206" eb="208">
      <t>センシン</t>
    </rPh>
    <rPh sb="208" eb="211">
      <t>コウガクブ</t>
    </rPh>
    <rPh sb="212" eb="214">
      <t>センタク</t>
    </rPh>
    <rPh sb="214" eb="216">
      <t>ヒッシュウ</t>
    </rPh>
    <rPh sb="216" eb="218">
      <t>カモク</t>
    </rPh>
    <rPh sb="220" eb="222">
      <t>ケンチク</t>
    </rPh>
    <rPh sb="222" eb="224">
      <t>ジョウホウ</t>
    </rPh>
    <rPh sb="224" eb="226">
      <t>ショリ</t>
    </rPh>
    <rPh sb="226" eb="228">
      <t>キソ</t>
    </rPh>
    <rPh sb="230" eb="232">
      <t>ケンチク</t>
    </rPh>
    <rPh sb="232" eb="234">
      <t>ガクブ</t>
    </rPh>
    <rPh sb="235" eb="237">
      <t>センタク</t>
    </rPh>
    <rPh sb="237" eb="239">
      <t>ヒッシュウ</t>
    </rPh>
    <rPh sb="239" eb="241">
      <t>カモク</t>
    </rPh>
    <rPh sb="243" eb="245">
      <t>ジョウホウ</t>
    </rPh>
    <rPh sb="245" eb="246">
      <t>ガク</t>
    </rPh>
    <rPh sb="246" eb="248">
      <t>キソ</t>
    </rPh>
    <rPh sb="248" eb="249">
      <t>ロン</t>
    </rPh>
    <rPh sb="252" eb="254">
      <t>ジョウホウ</t>
    </rPh>
    <rPh sb="254" eb="256">
      <t>ガクブ</t>
    </rPh>
    <rPh sb="257" eb="259">
      <t>ヒッシュウ</t>
    </rPh>
    <rPh sb="259" eb="261">
      <t>カモク</t>
    </rPh>
    <rPh sb="266" eb="268">
      <t>キボウ</t>
    </rPh>
    <rPh sb="270" eb="272">
      <t>ガクセイ</t>
    </rPh>
    <rPh sb="272" eb="274">
      <t>ゼンイン</t>
    </rPh>
    <rPh sb="275" eb="277">
      <t>ジュコウ</t>
    </rPh>
    <rPh sb="277" eb="279">
      <t>カノウ</t>
    </rPh>
    <phoneticPr fontId="1"/>
  </si>
  <si>
    <t>　教育開発センターでは授業アンケート結果などのデータをもとに、履修状況の分析点検を行っている。全学的にはカリキュラム変更を審議決定する教育評価改善委員会で、その成果検証までのPDCAを回す形となっている。2020年度からは年間授業スケジュールなどより学生生活に密着する部分を検討する専攻長幹事連絡会との合同委員会体制となり、学生の実情に即した改善が可能になったと考えている。
　さらに内部質委員会でプログラムの運用状況に関する点検評価がなされる。内部質保証委員会は、継続的な自己点検・評価を行い、その結果をもとに改革・改善に努めることを通じて、大学の教育研究の水準を保証し向上させ、大学に対する社会の信頼を一層確実なものとすることを目的としている。</t>
    <rPh sb="1" eb="3">
      <t>キョウイク</t>
    </rPh>
    <rPh sb="3" eb="5">
      <t>カイハツ</t>
    </rPh>
    <rPh sb="11" eb="13">
      <t>ジュギョウ</t>
    </rPh>
    <rPh sb="18" eb="20">
      <t>ケッカ</t>
    </rPh>
    <rPh sb="31" eb="33">
      <t>リシュウ</t>
    </rPh>
    <rPh sb="33" eb="35">
      <t>ジョウキョウ</t>
    </rPh>
    <rPh sb="36" eb="38">
      <t>ブンセキ</t>
    </rPh>
    <rPh sb="38" eb="40">
      <t>テンケン</t>
    </rPh>
    <rPh sb="41" eb="42">
      <t>オコナ</t>
    </rPh>
    <rPh sb="47" eb="50">
      <t>ゼンガクテキ</t>
    </rPh>
    <rPh sb="58" eb="60">
      <t>ヘンコウ</t>
    </rPh>
    <rPh sb="61" eb="63">
      <t>シンギ</t>
    </rPh>
    <rPh sb="63" eb="65">
      <t>ケッテイ</t>
    </rPh>
    <rPh sb="67" eb="69">
      <t>キョウイク</t>
    </rPh>
    <rPh sb="69" eb="71">
      <t>ヒョウカ</t>
    </rPh>
    <rPh sb="71" eb="73">
      <t>カイゼン</t>
    </rPh>
    <rPh sb="73" eb="76">
      <t>イインカイ</t>
    </rPh>
    <rPh sb="80" eb="82">
      <t>セイカ</t>
    </rPh>
    <rPh sb="82" eb="84">
      <t>ケンショウ</t>
    </rPh>
    <rPh sb="92" eb="93">
      <t>マワ</t>
    </rPh>
    <rPh sb="94" eb="95">
      <t>カタチ</t>
    </rPh>
    <rPh sb="106" eb="107">
      <t>ネン</t>
    </rPh>
    <rPh sb="107" eb="108">
      <t>ド</t>
    </rPh>
    <rPh sb="111" eb="113">
      <t>ネンカン</t>
    </rPh>
    <rPh sb="113" eb="115">
      <t>ジュギョウ</t>
    </rPh>
    <rPh sb="125" eb="127">
      <t>ガクセイ</t>
    </rPh>
    <rPh sb="127" eb="129">
      <t>セイカツ</t>
    </rPh>
    <rPh sb="130" eb="132">
      <t>ミッチャク</t>
    </rPh>
    <rPh sb="134" eb="136">
      <t>ブブン</t>
    </rPh>
    <rPh sb="137" eb="139">
      <t>ケントウ</t>
    </rPh>
    <rPh sb="141" eb="143">
      <t>センコウ</t>
    </rPh>
    <rPh sb="143" eb="144">
      <t>チョウ</t>
    </rPh>
    <rPh sb="144" eb="146">
      <t>カンジ</t>
    </rPh>
    <rPh sb="146" eb="149">
      <t>レンラクカイ</t>
    </rPh>
    <rPh sb="151" eb="153">
      <t>ゴウドウ</t>
    </rPh>
    <rPh sb="153" eb="156">
      <t>イインカイ</t>
    </rPh>
    <rPh sb="156" eb="158">
      <t>タイセイ</t>
    </rPh>
    <rPh sb="162" eb="164">
      <t>ガクセイ</t>
    </rPh>
    <rPh sb="165" eb="167">
      <t>ジツジョウ</t>
    </rPh>
    <rPh sb="168" eb="169">
      <t>ソク</t>
    </rPh>
    <rPh sb="171" eb="173">
      <t>カイゼン</t>
    </rPh>
    <rPh sb="174" eb="176">
      <t>カノウ</t>
    </rPh>
    <rPh sb="181" eb="182">
      <t>カンガ</t>
    </rPh>
    <rPh sb="192" eb="194">
      <t>ナイブ</t>
    </rPh>
    <rPh sb="194" eb="195">
      <t>シツ</t>
    </rPh>
    <rPh sb="195" eb="197">
      <t>イイン</t>
    </rPh>
    <rPh sb="197" eb="198">
      <t>カイ</t>
    </rPh>
    <rPh sb="205" eb="207">
      <t>ウンヨウ</t>
    </rPh>
    <rPh sb="207" eb="209">
      <t>ジョウキョウ</t>
    </rPh>
    <rPh sb="210" eb="211">
      <t>カン</t>
    </rPh>
    <rPh sb="213" eb="215">
      <t>テンケン</t>
    </rPh>
    <rPh sb="215" eb="217">
      <t>ヒョウカ</t>
    </rPh>
    <rPh sb="223" eb="225">
      <t>ナイブ</t>
    </rPh>
    <rPh sb="225" eb="226">
      <t>シツ</t>
    </rPh>
    <rPh sb="226" eb="228">
      <t>ホショウ</t>
    </rPh>
    <rPh sb="228" eb="231">
      <t>イインカイ</t>
    </rPh>
    <phoneticPr fontId="1"/>
  </si>
  <si>
    <r>
      <t>　</t>
    </r>
    <r>
      <rPr>
        <u/>
        <sz val="12"/>
        <rFont val="ＭＳ Ｐゴシック"/>
        <family val="3"/>
        <charset val="128"/>
        <scheme val="minor"/>
      </rPr>
      <t>新宿の都市型キャンパスと八王子の郊外型キャンパスを有する</t>
    </r>
    <r>
      <rPr>
        <sz val="12"/>
        <rFont val="ＭＳ Ｐゴシック"/>
        <family val="3"/>
        <charset val="128"/>
        <scheme val="minor"/>
      </rPr>
      <t>本学では、それぞれの地域における連携も積極的に取り組んでいる。特に防災面で新宿駅周辺での地域防災力強化にあたって情報共有支援システムを構築するなどの貢献をしてきたが、そうした体験を教育に取り込んでいる。</t>
    </r>
    <r>
      <rPr>
        <u/>
        <sz val="12"/>
        <rFont val="ＭＳ Ｐゴシック"/>
        <family val="3"/>
        <charset val="128"/>
        <scheme val="minor"/>
      </rPr>
      <t>プログラムの履修生が自主的に活動できる「まち開発プロジェクト -Smart Tech-」</t>
    </r>
    <r>
      <rPr>
        <sz val="12"/>
        <rFont val="ＭＳ Ｐゴシック"/>
        <family val="3"/>
        <charset val="128"/>
        <scheme val="minor"/>
      </rPr>
      <t>もある。西新宿を舞台に「人と人とがつながる活気あるまち」を作るべく活動しているが、1つの目的に対して手段は無限にあるため、建築学部のまちづくり学科のみが対象でなく、全学部の学生が参加、小田急電鉄や商店街の方々をはじめ企業とリアルで関わりを持つため、学生のうちから社会の一員という意識で活動している。</t>
    </r>
    <r>
      <rPr>
        <u/>
        <sz val="12"/>
        <rFont val="ＭＳ Ｐゴシック"/>
        <family val="3"/>
        <charset val="128"/>
        <scheme val="minor"/>
      </rPr>
      <t>本プログラムを修了した学生たちが学んだものを生かして、地域の人々と関わりながら活動する道筋を用意</t>
    </r>
    <r>
      <rPr>
        <sz val="12"/>
        <rFont val="ＭＳ Ｐゴシック"/>
        <family val="3"/>
        <charset val="128"/>
        <scheme val="minor"/>
      </rPr>
      <t>しているのが、単に知識を得るのでなく現場で生かすことを重視する本学のもう一つの特色である。
　2010年9月に東京医科大・東京薬科大との協定が締結され、医学・薬学・工学の連携による教育研究推進も行われ医療の実データ・実モデルを扱うことが出来る。2009年度より東北福祉大学・神戸学院大学とのTKK3大学が連携した社会貢献教育の取り組みも行っており、東日本大震災後は、3大学学生が連携した被災地支援活動、まちづくりの課題やデータを共有している。工学は必ずしも他から独立したものではなく、むしろ他の分野と手を携えることでこそ、その力をより発揮しうる。</t>
    </r>
    <r>
      <rPr>
        <u/>
        <sz val="12"/>
        <rFont val="ＭＳ Ｐゴシック"/>
        <family val="3"/>
        <charset val="128"/>
        <scheme val="minor"/>
      </rPr>
      <t>工学者として活躍するためには、他との共同が重要</t>
    </r>
    <r>
      <rPr>
        <sz val="12"/>
        <rFont val="ＭＳ Ｐゴシック"/>
        <family val="3"/>
        <charset val="128"/>
        <scheme val="minor"/>
      </rPr>
      <t>である。</t>
    </r>
    <r>
      <rPr>
        <u/>
        <sz val="12"/>
        <rFont val="ＭＳ Ｐゴシック"/>
        <family val="3"/>
        <charset val="128"/>
        <scheme val="minor"/>
      </rPr>
      <t>数理・データサイエンス・AIは、他との架け橋となる大事な工学者の素養</t>
    </r>
    <r>
      <rPr>
        <sz val="12"/>
        <rFont val="ＭＳ Ｐゴシック"/>
        <family val="3"/>
        <charset val="128"/>
        <scheme val="minor"/>
      </rPr>
      <t xml:space="preserve">であり、「社会・産業と最先端の学問を幅広くつなぐ『工』の精神」を深化・発展させ、「無限の可能性が開花する学園」をめざす本学にとって、本プログラムは極めて大きな意味を持っている。
</t>
    </r>
    <rPh sb="1" eb="3">
      <t>シンジュク</t>
    </rPh>
    <rPh sb="4" eb="7">
      <t>トシガタ</t>
    </rPh>
    <rPh sb="13" eb="16">
      <t>ハチオウジ</t>
    </rPh>
    <rPh sb="17" eb="20">
      <t>コウガイガタ</t>
    </rPh>
    <rPh sb="26" eb="27">
      <t>ユウ</t>
    </rPh>
    <rPh sb="29" eb="31">
      <t>ホンガク</t>
    </rPh>
    <rPh sb="39" eb="41">
      <t>チイキ</t>
    </rPh>
    <rPh sb="45" eb="47">
      <t>レンケイ</t>
    </rPh>
    <rPh sb="48" eb="51">
      <t>セッキョクテキ</t>
    </rPh>
    <rPh sb="52" eb="53">
      <t>ト</t>
    </rPh>
    <rPh sb="54" eb="55">
      <t>ク</t>
    </rPh>
    <rPh sb="60" eb="61">
      <t>トク</t>
    </rPh>
    <rPh sb="62" eb="64">
      <t>ボウサイ</t>
    </rPh>
    <rPh sb="64" eb="65">
      <t>メン</t>
    </rPh>
    <rPh sb="66" eb="69">
      <t>シンジュクエキ</t>
    </rPh>
    <rPh sb="69" eb="71">
      <t>シュウヘン</t>
    </rPh>
    <rPh sb="73" eb="75">
      <t>チイキ</t>
    </rPh>
    <rPh sb="75" eb="77">
      <t>ボウサイ</t>
    </rPh>
    <rPh sb="77" eb="78">
      <t>リョク</t>
    </rPh>
    <rPh sb="78" eb="80">
      <t>キョウカ</t>
    </rPh>
    <rPh sb="103" eb="105">
      <t>コウケン</t>
    </rPh>
    <rPh sb="116" eb="118">
      <t>タイケン</t>
    </rPh>
    <rPh sb="119" eb="121">
      <t>キョウイク</t>
    </rPh>
    <rPh sb="122" eb="123">
      <t>ト</t>
    </rPh>
    <rPh sb="124" eb="125">
      <t>コ</t>
    </rPh>
    <rPh sb="263" eb="265">
      <t>サンカ</t>
    </rPh>
    <rPh sb="323" eb="324">
      <t>ホン</t>
    </rPh>
    <rPh sb="330" eb="332">
      <t>シュウリョウ</t>
    </rPh>
    <rPh sb="334" eb="336">
      <t>ガクセイ</t>
    </rPh>
    <rPh sb="339" eb="340">
      <t>マナ</t>
    </rPh>
    <rPh sb="345" eb="346">
      <t>イ</t>
    </rPh>
    <rPh sb="350" eb="352">
      <t>チイキ</t>
    </rPh>
    <rPh sb="353" eb="355">
      <t>ヒトビト</t>
    </rPh>
    <rPh sb="356" eb="357">
      <t>カカ</t>
    </rPh>
    <rPh sb="362" eb="364">
      <t>カツドウ</t>
    </rPh>
    <rPh sb="366" eb="368">
      <t>ミチスジ</t>
    </rPh>
    <rPh sb="369" eb="371">
      <t>ヨウイ</t>
    </rPh>
    <rPh sb="378" eb="379">
      <t>タン</t>
    </rPh>
    <rPh sb="380" eb="382">
      <t>チシキ</t>
    </rPh>
    <rPh sb="383" eb="384">
      <t>エ</t>
    </rPh>
    <rPh sb="389" eb="391">
      <t>ゲンバ</t>
    </rPh>
    <rPh sb="392" eb="393">
      <t>イ</t>
    </rPh>
    <rPh sb="398" eb="400">
      <t>ジュウシ</t>
    </rPh>
    <rPh sb="402" eb="404">
      <t>ホンガク</t>
    </rPh>
    <rPh sb="407" eb="408">
      <t>ヒト</t>
    </rPh>
    <rPh sb="410" eb="412">
      <t>トクショク</t>
    </rPh>
    <rPh sb="426" eb="428">
      <t>トウキョウ</t>
    </rPh>
    <rPh sb="428" eb="430">
      <t>イカ</t>
    </rPh>
    <rPh sb="430" eb="431">
      <t>ダイ</t>
    </rPh>
    <rPh sb="432" eb="434">
      <t>トウキョウ</t>
    </rPh>
    <rPh sb="434" eb="436">
      <t>ヤッカ</t>
    </rPh>
    <rPh sb="436" eb="437">
      <t>ダイ</t>
    </rPh>
    <rPh sb="543" eb="544">
      <t>ネン</t>
    </rPh>
    <rPh sb="544" eb="545">
      <t>ド</t>
    </rPh>
    <rPh sb="595" eb="596">
      <t>オコナ</t>
    </rPh>
    <rPh sb="638" eb="640">
      <t>コウガク</t>
    </rPh>
    <rPh sb="641" eb="642">
      <t>カナラ</t>
    </rPh>
    <rPh sb="645" eb="646">
      <t>タ</t>
    </rPh>
    <rPh sb="648" eb="650">
      <t>ドクリツ</t>
    </rPh>
    <rPh sb="662" eb="663">
      <t>タ</t>
    </rPh>
    <rPh sb="664" eb="666">
      <t>ブンヤ</t>
    </rPh>
    <rPh sb="667" eb="668">
      <t>テ</t>
    </rPh>
    <rPh sb="669" eb="670">
      <t>タズサ</t>
    </rPh>
    <rPh sb="680" eb="681">
      <t>チカラ</t>
    </rPh>
    <rPh sb="684" eb="686">
      <t>ハッキ</t>
    </rPh>
    <rPh sb="690" eb="692">
      <t>コウガク</t>
    </rPh>
    <rPh sb="692" eb="693">
      <t>シャ</t>
    </rPh>
    <rPh sb="696" eb="698">
      <t>カツヤク</t>
    </rPh>
    <rPh sb="705" eb="706">
      <t>タ</t>
    </rPh>
    <rPh sb="708" eb="710">
      <t>キョウドウ</t>
    </rPh>
    <rPh sb="711" eb="713">
      <t>ジュウヨウ</t>
    </rPh>
    <rPh sb="717" eb="719">
      <t>スウリ</t>
    </rPh>
    <rPh sb="733" eb="734">
      <t>タ</t>
    </rPh>
    <rPh sb="736" eb="737">
      <t>カ</t>
    </rPh>
    <rPh sb="738" eb="739">
      <t>ハシ</t>
    </rPh>
    <rPh sb="742" eb="744">
      <t>ダイジ</t>
    </rPh>
    <rPh sb="745" eb="747">
      <t>コウガク</t>
    </rPh>
    <rPh sb="747" eb="748">
      <t>シャ</t>
    </rPh>
    <rPh sb="749" eb="751">
      <t>ソヨウホンガクホンキワオオイミモ</t>
    </rPh>
    <phoneticPr fontId="1"/>
  </si>
  <si>
    <r>
      <t>　本学申請プログラムの大きな特色は、「工学者のための」とプログラム名にあるように、将来工学者として社会で活躍する学生たちのために、</t>
    </r>
    <r>
      <rPr>
        <u/>
        <sz val="12"/>
        <rFont val="ＭＳ Ｐゴシック"/>
        <family val="3"/>
        <charset val="128"/>
        <scheme val="minor"/>
      </rPr>
      <t>本学の理念・目標と密接に関わる形で教育内容を構想</t>
    </r>
    <r>
      <rPr>
        <sz val="12"/>
        <rFont val="ＭＳ Ｐゴシック"/>
        <family val="3"/>
        <charset val="128"/>
        <scheme val="minor"/>
      </rPr>
      <t>している点である。本学の各教育組織のカリキュラムポリシーとして、日常生活、社会に存在するデータやそれらを解析・利用するための数理モデルの重要性はいずれの学部も</t>
    </r>
    <r>
      <rPr>
        <u/>
        <sz val="12"/>
        <rFont val="ＭＳ Ｐゴシック"/>
        <family val="3"/>
        <charset val="128"/>
        <scheme val="minor"/>
      </rPr>
      <t>入学初年次の段階から、無理なく自然に身につく</t>
    </r>
    <r>
      <rPr>
        <sz val="12"/>
        <rFont val="ＭＳ Ｐゴシック"/>
        <family val="3"/>
        <charset val="128"/>
        <scheme val="minor"/>
      </rPr>
      <t>ようカリキュラム設計を行っており、さらなる上位概念は専門科目、卒業論文研究などを通じてそれらのデータ・モデルを扱いながら多くの学生に身につくよう、学位授与方針（DP）策定段階で強く意識している。本認定制度を利用することで、学生自身がそのことをさらに強く意識できるような仕組みが完成するという位置づけで本申請を行うこととした。
　本学は前身である工手学校（明治20年創立）以来の理念として社会・産業と最先端の学問をつなぐ「工」の精神を掲げており、大きく変化していくこれからの社会において「工」の精神を生かしていくためには、数理・データサイエンス・AIを学ばなければならないことを、</t>
    </r>
    <r>
      <rPr>
        <u/>
        <sz val="12"/>
        <rFont val="ＭＳ Ｐゴシック"/>
        <family val="3"/>
        <charset val="128"/>
        <scheme val="minor"/>
      </rPr>
      <t>学長自らが新入生たちに語りかけるところからプログラムをスタート</t>
    </r>
    <r>
      <rPr>
        <sz val="12"/>
        <rFont val="ＭＳ Ｐゴシック"/>
        <family val="3"/>
        <charset val="128"/>
        <scheme val="minor"/>
      </rPr>
      <t>させている。また、工学者向けのデータ倫理や情報セキュリティの講義も含まれ、入学当初から情報化社会の抱える課題を意識させるものとなっている。
　次のステップは選択科目の修得である。</t>
    </r>
    <r>
      <rPr>
        <u/>
        <sz val="12"/>
        <rFont val="ＭＳ Ｐゴシック"/>
        <family val="3"/>
        <charset val="128"/>
        <scheme val="minor"/>
      </rPr>
      <t>工学はそれ自体が日常生活や社会の課題を解決するための基盤技術学問</t>
    </r>
    <r>
      <rPr>
        <sz val="12"/>
        <rFont val="ＭＳ Ｐゴシック"/>
        <family val="3"/>
        <charset val="128"/>
        <scheme val="minor"/>
      </rPr>
      <t>であるから、実データや実モデルを扱う授業は数多い。その中から</t>
    </r>
    <r>
      <rPr>
        <u/>
        <sz val="12"/>
        <rFont val="ＭＳ Ｐゴシック"/>
        <family val="3"/>
        <charset val="128"/>
        <scheme val="minor"/>
      </rPr>
      <t>各専門分野の基礎となる科目をセレクト</t>
    </r>
    <r>
      <rPr>
        <sz val="12"/>
        <rFont val="ＭＳ Ｐゴシック"/>
        <family val="3"/>
        <charset val="128"/>
        <scheme val="minor"/>
      </rPr>
      <t>して選択科目群Aを構成している。こうした専門科目を学ぶ中で、現代社会においてデータがいかに活用されているかという事例を知るのみならず、モデル化などデータサイエンスの基礎的な考え方と合わせ、実際に最先端の工学の現場でデータがどう生かさせているかを修得できるようにプログラム設計がなされている。
　加えて選択科目群Bの科目を履修することで、</t>
    </r>
    <r>
      <rPr>
        <u/>
        <sz val="12"/>
        <rFont val="ＭＳ Ｐゴシック"/>
        <family val="3"/>
        <charset val="128"/>
        <scheme val="minor"/>
      </rPr>
      <t>演習形式で実データに触れ、その活用方法を考える</t>
    </r>
    <r>
      <rPr>
        <sz val="12"/>
        <rFont val="ＭＳ Ｐゴシック"/>
        <family val="3"/>
        <charset val="128"/>
        <scheme val="minor"/>
      </rPr>
      <t>機会を得ることができる。本学では全学部で1年生前期に「情報処理入門」という科目を設け、コンピューターの基本知識やExcelによる表計算などソフトの活用法を、共通教科書の工学院大学情報基礎教育運営委員会編『理工系コンピュータリテラシーの活用 -MS-Office2016対応-』（共立出版）を用いて学んでいるが、各学部に置かれた演習科目はこの延長線上にあり、より高度なデータ処理をコンピュータで行うことが可能となっている。
　さらに本学には情報学部があり、</t>
    </r>
    <r>
      <rPr>
        <u/>
        <sz val="12"/>
        <rFont val="ＭＳ Ｐゴシック"/>
        <family val="3"/>
        <charset val="128"/>
        <scheme val="minor"/>
      </rPr>
      <t>数理・データサイエンス・AIの学びをさらに深めたい学生たちのために多様な専門科目が用意</t>
    </r>
    <r>
      <rPr>
        <sz val="12"/>
        <rFont val="ＭＳ Ｐゴシック"/>
        <family val="3"/>
        <charset val="128"/>
        <scheme val="minor"/>
      </rPr>
      <t>されている。本プログラムではこうした科目をモデルカリキュラムの「選択」にあたるものと位置づけ、積極的な受講を促していく。情報学部以外の学生であっても、本学では他学科の科目や他大学の科目など所属学科のカリキュラムにない科目も合計単位数に加算されることになっており、</t>
    </r>
    <r>
      <rPr>
        <u/>
        <sz val="12"/>
        <rFont val="ＭＳ Ｐゴシック"/>
        <family val="3"/>
        <charset val="128"/>
        <scheme val="minor"/>
      </rPr>
      <t>学生の関心に応じて広く深く学びを進めていくことができる</t>
    </r>
    <r>
      <rPr>
        <sz val="12"/>
        <rFont val="ＭＳ Ｐゴシック"/>
        <family val="3"/>
        <charset val="128"/>
        <scheme val="minor"/>
      </rPr>
      <t xml:space="preserve">のである。
</t>
    </r>
    <rPh sb="84" eb="86">
      <t>ナイヨウ</t>
    </rPh>
    <rPh sb="121" eb="123">
      <t>ニチジョウ</t>
    </rPh>
    <rPh sb="123" eb="125">
      <t>セイカツ</t>
    </rPh>
    <rPh sb="126" eb="128">
      <t>シャカイ</t>
    </rPh>
    <rPh sb="129" eb="131">
      <t>ソンザイ</t>
    </rPh>
    <rPh sb="141" eb="143">
      <t>カイセキ</t>
    </rPh>
    <rPh sb="144" eb="146">
      <t>リヨウ</t>
    </rPh>
    <rPh sb="151" eb="153">
      <t>スウリ</t>
    </rPh>
    <rPh sb="165" eb="167">
      <t>ガクブ</t>
    </rPh>
    <rPh sb="168" eb="170">
      <t>ニュウガク</t>
    </rPh>
    <rPh sb="170" eb="173">
      <t>ショネンジ</t>
    </rPh>
    <rPh sb="179" eb="181">
      <t>ムリ</t>
    </rPh>
    <rPh sb="201" eb="202">
      <t>オコナ</t>
    </rPh>
    <rPh sb="287" eb="288">
      <t>ホン</t>
    </rPh>
    <rPh sb="288" eb="290">
      <t>ニンテイ</t>
    </rPh>
    <rPh sb="290" eb="292">
      <t>セイド</t>
    </rPh>
    <rPh sb="293" eb="295">
      <t>リヨウ</t>
    </rPh>
    <rPh sb="301" eb="303">
      <t>ガクセイ</t>
    </rPh>
    <rPh sb="303" eb="305">
      <t>ジシン</t>
    </rPh>
    <rPh sb="314" eb="315">
      <t>ツヨ</t>
    </rPh>
    <rPh sb="316" eb="318">
      <t>イシキ</t>
    </rPh>
    <rPh sb="324" eb="326">
      <t>シク</t>
    </rPh>
    <rPh sb="328" eb="330">
      <t>カンセイ</t>
    </rPh>
    <rPh sb="335" eb="337">
      <t>イチ</t>
    </rPh>
    <rPh sb="340" eb="341">
      <t>ホン</t>
    </rPh>
    <rPh sb="341" eb="343">
      <t>シンセイ</t>
    </rPh>
    <rPh sb="344" eb="345">
      <t>オコナ</t>
    </rPh>
    <rPh sb="519" eb="521">
      <t>コウガク</t>
    </rPh>
    <rPh sb="521" eb="522">
      <t>シャ</t>
    </rPh>
    <rPh sb="522" eb="523">
      <t>ム</t>
    </rPh>
    <rPh sb="528" eb="530">
      <t>リンリ</t>
    </rPh>
    <rPh sb="531" eb="533">
      <t>ジョウホウ</t>
    </rPh>
    <rPh sb="540" eb="542">
      <t>コウギ</t>
    </rPh>
    <rPh sb="543" eb="544">
      <t>フク</t>
    </rPh>
    <rPh sb="547" eb="549">
      <t>ニュウガク</t>
    </rPh>
    <rPh sb="549" eb="551">
      <t>トウショ</t>
    </rPh>
    <rPh sb="553" eb="556">
      <t>ジョウホウカ</t>
    </rPh>
    <rPh sb="556" eb="558">
      <t>シャカイ</t>
    </rPh>
    <rPh sb="559" eb="560">
      <t>カカ</t>
    </rPh>
    <rPh sb="562" eb="564">
      <t>カダイ</t>
    </rPh>
    <rPh sb="565" eb="567">
      <t>イシキ</t>
    </rPh>
    <rPh sb="637" eb="638">
      <t>ジツ</t>
    </rPh>
    <rPh sb="642" eb="643">
      <t>ジツ</t>
    </rPh>
    <rPh sb="647" eb="648">
      <t>アツカ</t>
    </rPh>
    <rPh sb="649" eb="651">
      <t>ジュギョウ</t>
    </rPh>
    <rPh sb="652" eb="654">
      <t>カズオオ</t>
    </rPh>
    <rPh sb="658" eb="659">
      <t>ナカ</t>
    </rPh>
    <rPh sb="661" eb="662">
      <t>カク</t>
    </rPh>
    <rPh sb="662" eb="664">
      <t>センモン</t>
    </rPh>
    <rPh sb="664" eb="666">
      <t>ブンヤ</t>
    </rPh>
    <rPh sb="667" eb="669">
      <t>キソ</t>
    </rPh>
    <rPh sb="672" eb="674">
      <t>カモク</t>
    </rPh>
    <rPh sb="681" eb="683">
      <t>センタク</t>
    </rPh>
    <rPh sb="683" eb="685">
      <t>カモク</t>
    </rPh>
    <rPh sb="685" eb="686">
      <t>グン</t>
    </rPh>
    <rPh sb="688" eb="690">
      <t>コウセイ</t>
    </rPh>
    <rPh sb="699" eb="701">
      <t>センモン</t>
    </rPh>
    <rPh sb="701" eb="703">
      <t>カモク</t>
    </rPh>
    <rPh sb="704" eb="705">
      <t>マナ</t>
    </rPh>
    <rPh sb="706" eb="707">
      <t>ナカ</t>
    </rPh>
    <rPh sb="801" eb="803">
      <t>シュウトク</t>
    </rPh>
    <rPh sb="826" eb="827">
      <t>クワ</t>
    </rPh>
    <rPh sb="829" eb="831">
      <t>センタク</t>
    </rPh>
    <rPh sb="831" eb="833">
      <t>カモク</t>
    </rPh>
    <rPh sb="833" eb="834">
      <t>グン</t>
    </rPh>
    <rPh sb="836" eb="838">
      <t>カモク</t>
    </rPh>
    <rPh sb="839" eb="841">
      <t>リシュウ</t>
    </rPh>
    <rPh sb="873" eb="874">
      <t>エ</t>
    </rPh>
    <rPh sb="1085" eb="1087">
      <t>ホンガク</t>
    </rPh>
    <rPh sb="1089" eb="1091">
      <t>ジョウホウ</t>
    </rPh>
    <rPh sb="1091" eb="1093">
      <t>ガクブ</t>
    </rPh>
    <rPh sb="1097" eb="1099">
      <t>スウリ</t>
    </rPh>
    <rPh sb="1112" eb="1113">
      <t>マナ</t>
    </rPh>
    <rPh sb="1118" eb="1119">
      <t>フカ</t>
    </rPh>
    <rPh sb="1122" eb="1124">
      <t>ガクセイ</t>
    </rPh>
    <rPh sb="1130" eb="1132">
      <t>タヨウ</t>
    </rPh>
    <rPh sb="1133" eb="1135">
      <t>センモン</t>
    </rPh>
    <rPh sb="1135" eb="1137">
      <t>カモク</t>
    </rPh>
    <rPh sb="1138" eb="1140">
      <t>ヨウイ</t>
    </rPh>
    <rPh sb="1146" eb="1147">
      <t>ホン</t>
    </rPh>
    <rPh sb="1158" eb="1160">
      <t>カモク</t>
    </rPh>
    <rPh sb="1172" eb="1174">
      <t>センタク</t>
    </rPh>
    <rPh sb="1182" eb="1184">
      <t>イチ</t>
    </rPh>
    <rPh sb="1187" eb="1190">
      <t>セッキョクテキ</t>
    </rPh>
    <rPh sb="1191" eb="1193">
      <t>ジュコウ</t>
    </rPh>
    <rPh sb="1194" eb="1195">
      <t>ウナガ</t>
    </rPh>
    <rPh sb="1200" eb="1202">
      <t>ジョウホウ</t>
    </rPh>
    <rPh sb="1202" eb="1204">
      <t>ガクブ</t>
    </rPh>
    <rPh sb="1204" eb="1206">
      <t>イガイ</t>
    </rPh>
    <rPh sb="1207" eb="1209">
      <t>ガクセイ</t>
    </rPh>
    <rPh sb="1215" eb="1217">
      <t>ホンガク</t>
    </rPh>
    <rPh sb="1257" eb="1259">
      <t>カサン</t>
    </rPh>
    <rPh sb="1271" eb="1273">
      <t>ガクセイ</t>
    </rPh>
    <rPh sb="1274" eb="1276">
      <t>カンシン</t>
    </rPh>
    <rPh sb="1277" eb="1278">
      <t>オウ</t>
    </rPh>
    <rPh sb="1280" eb="1281">
      <t>ヒロ</t>
    </rPh>
    <rPh sb="1282" eb="1283">
      <t>フカ</t>
    </rPh>
    <rPh sb="1284" eb="1285">
      <t>マナ</t>
    </rPh>
    <rPh sb="1287" eb="1288">
      <t>スス</t>
    </rPh>
    <phoneticPr fontId="1"/>
  </si>
  <si>
    <r>
      <t>　高度で専門的なデータ処理にはコンピュータリテラシーが必要であるが、</t>
    </r>
    <r>
      <rPr>
        <u/>
        <sz val="12"/>
        <rFont val="ＭＳ Ｐゴシック"/>
        <family val="3"/>
        <charset val="128"/>
        <scheme val="minor"/>
      </rPr>
      <t>コンピュータが不得意な学生は本学独自の「情報処理入門」という科目を受講</t>
    </r>
    <r>
      <rPr>
        <sz val="12"/>
        <rFont val="ＭＳ Ｐゴシック"/>
        <family val="3"/>
        <charset val="128"/>
        <scheme val="minor"/>
      </rPr>
      <t>することで、コンピューターの基本知識やExcelによる表計算ソフトの活用法を、共通教科書『理工系コンピュータリテラシーの活用 -MS-Office2016対応-』（共立出版）を用いながら学ぶことができる。学生はコンピュータの使い方や教科書の疑問点について、担当教員のオフィスアワーに質問することができる。
　しかし、成績評価を行う教員には分らないことを質問しづらいという学生が少なからずいることも事実である。それゆえ本学では、</t>
    </r>
    <r>
      <rPr>
        <u/>
        <sz val="12"/>
        <rFont val="ＭＳ Ｐゴシック"/>
        <family val="3"/>
        <charset val="128"/>
        <scheme val="minor"/>
      </rPr>
      <t>高校までの学習内容が十分身についていない学生のために、学習支援センター</t>
    </r>
    <r>
      <rPr>
        <sz val="12"/>
        <rFont val="ＭＳ Ｐゴシック"/>
        <family val="3"/>
        <charset val="128"/>
        <scheme val="minor"/>
      </rPr>
      <t>という場所を用意、数学・物理・化学・英語の専門の教育スタッフが指導を行っている。ここでは数学や理科だけでなく情報についても個別指導で質問することができる。情報学部では</t>
    </r>
    <r>
      <rPr>
        <u/>
        <sz val="12"/>
        <rFont val="ＭＳ Ｐゴシック"/>
        <family val="3"/>
        <charset val="128"/>
        <scheme val="minor"/>
      </rPr>
      <t>SA（Student Assistant）と呼ばれる上級生が授業時間外に下級生からの専門科目の質問に答える</t>
    </r>
    <r>
      <rPr>
        <sz val="12"/>
        <rFont val="ＭＳ Ｐゴシック"/>
        <family val="3"/>
        <charset val="128"/>
        <scheme val="minor"/>
      </rPr>
      <t>教育補助制度もある。
　一方、</t>
    </r>
    <r>
      <rPr>
        <u/>
        <sz val="12"/>
        <rFont val="ＭＳ Ｐゴシック"/>
        <family val="3"/>
        <charset val="128"/>
        <scheme val="minor"/>
      </rPr>
      <t>より高度の学びを求める学生</t>
    </r>
    <r>
      <rPr>
        <sz val="12"/>
        <rFont val="ＭＳ Ｐゴシック"/>
        <family val="3"/>
        <charset val="128"/>
        <scheme val="minor"/>
      </rPr>
      <t>のためには、情報科学研究教育センターの演習室にあるパソコンに以下にような</t>
    </r>
    <r>
      <rPr>
        <u/>
        <sz val="12"/>
        <rFont val="ＭＳ Ｐゴシック"/>
        <family val="3"/>
        <charset val="128"/>
        <scheme val="minor"/>
      </rPr>
      <t>データ・AI実習ソフトウェア</t>
    </r>
    <r>
      <rPr>
        <sz val="12"/>
        <rFont val="ＭＳ Ｐゴシック"/>
        <family val="3"/>
        <charset val="128"/>
        <scheme val="minor"/>
      </rPr>
      <t>がインストールされており、</t>
    </r>
    <r>
      <rPr>
        <u/>
        <sz val="12"/>
        <rFont val="ＭＳ Ｐゴシック"/>
        <family val="3"/>
        <charset val="128"/>
        <scheme val="minor"/>
      </rPr>
      <t>演習室を利用して授業外の時間に自由に学習を進める</t>
    </r>
    <r>
      <rPr>
        <sz val="12"/>
        <rFont val="ＭＳ Ｐゴシック"/>
        <family val="3"/>
        <charset val="128"/>
        <scheme val="minor"/>
      </rPr>
      <t>ことができる。
　　・Adobe ETLA ライセンス Photoshop / Illustrator / Premiere Pro他
　　・Autodesk 教育機関向けプログラム AutoCAD / Design Review / Maya / Inventor / Fusion 360 
　　・GoogleWorrkspace Education
　　・LabVIEW キャンパスライセンス LabVIEW / DQAmx 
　　・MathWorks TAH ライセンス Matlab
　　・Mathematica サイトライセンス
　　・Microsoft 包括ライセンス Microsoft Visual Studio Professional / Microsoft Office 
　　・R / R Studio 
　　・SiS / ArcGIS / カシミール 3D 
　　・Python / Anaconda
　利用できる演習室のパソコン・シンクライアント数は新宿校舎に236台、八王子校舎に516台、バーチャル演習環境100接続、貸出用PC42台と</t>
    </r>
    <r>
      <rPr>
        <u/>
        <sz val="12"/>
        <rFont val="ＭＳ Ｐゴシック"/>
        <family val="3"/>
        <charset val="128"/>
        <scheme val="minor"/>
      </rPr>
      <t>十分な実習演習環境が用意</t>
    </r>
    <r>
      <rPr>
        <sz val="12"/>
        <rFont val="ＭＳ Ｐゴシック"/>
        <family val="3"/>
        <charset val="128"/>
        <scheme val="minor"/>
      </rPr>
      <t>されている。さらに本学では令和3年度入学生から自身のパソコンをキャンパスに持参する</t>
    </r>
    <r>
      <rPr>
        <u/>
        <sz val="12"/>
        <rFont val="ＭＳ Ｐゴシック"/>
        <family val="3"/>
        <charset val="128"/>
        <scheme val="minor"/>
      </rPr>
      <t>BYOD（Bring your own device）を推進</t>
    </r>
    <r>
      <rPr>
        <sz val="12"/>
        <rFont val="ＭＳ Ｐゴシック"/>
        <family val="3"/>
        <charset val="128"/>
        <scheme val="minor"/>
      </rPr>
      <t>しているが、卒業までの条件付で上記ソフトウェアをインストールすることができる。
　さらにキャンパス内には以下のような</t>
    </r>
    <r>
      <rPr>
        <u/>
        <sz val="12"/>
        <rFont val="ＭＳ Ｐゴシック"/>
        <family val="3"/>
        <charset val="128"/>
        <scheme val="minor"/>
      </rPr>
      <t>工学者のための研究施設・設備で実データを収集</t>
    </r>
    <r>
      <rPr>
        <sz val="12"/>
        <rFont val="ＭＳ Ｐゴシック"/>
        <family val="3"/>
        <charset val="128"/>
        <scheme val="minor"/>
      </rPr>
      <t xml:space="preserve">することができる。
　　・都市減災研究センター UDM
　　　　振動計測システム、環境計測設備
　　・機能表面研究センター FMS
　　　　非接触型3次元形状測定器、電子顕微鏡
　　・生体分子システムセンター BMSC
　　　　FT-NMR、バイオイメージング装置
　　・共生工学研究センター GTeRC
　　　　人体モーションキャプチャ装置、音響計測装置
</t>
    </r>
    <rPh sb="50" eb="52">
      <t>ドクジ</t>
    </rPh>
    <rPh sb="54" eb="56">
      <t>ジョウホウ</t>
    </rPh>
    <rPh sb="56" eb="58">
      <t>ショリ</t>
    </rPh>
    <rPh sb="58" eb="60">
      <t>ニュウモン</t>
    </rPh>
    <rPh sb="67" eb="69">
      <t>ジュコウ</t>
    </rPh>
    <rPh sb="162" eb="163">
      <t>マナ</t>
    </rPh>
    <rPh sb="171" eb="173">
      <t>ガクセイ</t>
    </rPh>
    <rPh sb="181" eb="182">
      <t>ツカ</t>
    </rPh>
    <rPh sb="183" eb="184">
      <t>カタ</t>
    </rPh>
    <rPh sb="185" eb="188">
      <t>キョウカショ</t>
    </rPh>
    <rPh sb="189" eb="192">
      <t>ギモンテン</t>
    </rPh>
    <rPh sb="197" eb="199">
      <t>タントウ</t>
    </rPh>
    <rPh sb="199" eb="201">
      <t>キョウイン</t>
    </rPh>
    <rPh sb="210" eb="212">
      <t>シツモン</t>
    </rPh>
    <rPh sb="227" eb="229">
      <t>セイセキ</t>
    </rPh>
    <rPh sb="229" eb="231">
      <t>ヒョウカ</t>
    </rPh>
    <rPh sb="232" eb="233">
      <t>オコナ</t>
    </rPh>
    <rPh sb="234" eb="236">
      <t>キョウイン</t>
    </rPh>
    <rPh sb="238" eb="239">
      <t>ワカ</t>
    </rPh>
    <rPh sb="245" eb="247">
      <t>シツモン</t>
    </rPh>
    <rPh sb="254" eb="256">
      <t>ガクセイ</t>
    </rPh>
    <rPh sb="257" eb="258">
      <t>スク</t>
    </rPh>
    <rPh sb="267" eb="269">
      <t>ジジツ</t>
    </rPh>
    <rPh sb="277" eb="279">
      <t>ホンガク</t>
    </rPh>
    <rPh sb="309" eb="311">
      <t>ガクシュウ</t>
    </rPh>
    <rPh sb="311" eb="313">
      <t>シエン</t>
    </rPh>
    <rPh sb="320" eb="322">
      <t>バショ</t>
    </rPh>
    <rPh sb="323" eb="325">
      <t>ヨウイ</t>
    </rPh>
    <rPh sb="326" eb="328">
      <t>スウガク</t>
    </rPh>
    <rPh sb="329" eb="331">
      <t>ブツリ</t>
    </rPh>
    <rPh sb="332" eb="334">
      <t>カガク</t>
    </rPh>
    <rPh sb="335" eb="337">
      <t>エイゴ</t>
    </rPh>
    <rPh sb="348" eb="350">
      <t>シドウ</t>
    </rPh>
    <rPh sb="351" eb="352">
      <t>オコナ</t>
    </rPh>
    <rPh sb="394" eb="396">
      <t>ジョウホウ</t>
    </rPh>
    <rPh sb="396" eb="398">
      <t>ガクブ</t>
    </rPh>
    <rPh sb="422" eb="423">
      <t>ヨ</t>
    </rPh>
    <rPh sb="426" eb="429">
      <t>ジョウキュウセイ</t>
    </rPh>
    <rPh sb="457" eb="459">
      <t>セイド</t>
    </rPh>
    <rPh sb="465" eb="467">
      <t>イッポウ</t>
    </rPh>
    <rPh sb="470" eb="472">
      <t>コウド</t>
    </rPh>
    <rPh sb="473" eb="474">
      <t>マナ</t>
    </rPh>
    <rPh sb="476" eb="477">
      <t>モト</t>
    </rPh>
    <rPh sb="479" eb="481">
      <t>ガクセイ</t>
    </rPh>
    <rPh sb="487" eb="489">
      <t>ジョウホウ</t>
    </rPh>
    <rPh sb="489" eb="491">
      <t>カガク</t>
    </rPh>
    <rPh sb="491" eb="493">
      <t>ケンキュウ</t>
    </rPh>
    <rPh sb="493" eb="495">
      <t>キョウイク</t>
    </rPh>
    <rPh sb="500" eb="502">
      <t>エンシュウ</t>
    </rPh>
    <rPh sb="502" eb="503">
      <t>シツ</t>
    </rPh>
    <rPh sb="511" eb="513">
      <t>イカ</t>
    </rPh>
    <rPh sb="544" eb="546">
      <t>エンシュウ</t>
    </rPh>
    <rPh sb="546" eb="547">
      <t>シツ</t>
    </rPh>
    <rPh sb="548" eb="550">
      <t>リヨウ</t>
    </rPh>
    <rPh sb="552" eb="554">
      <t>ジュギョウ</t>
    </rPh>
    <rPh sb="554" eb="555">
      <t>ガイ</t>
    </rPh>
    <rPh sb="556" eb="558">
      <t>ジカン</t>
    </rPh>
    <rPh sb="559" eb="561">
      <t>ジユウ</t>
    </rPh>
    <rPh sb="562" eb="564">
      <t>ガクシュウ</t>
    </rPh>
    <rPh sb="565" eb="566">
      <t>スス</t>
    </rPh>
    <rPh sb="1074" eb="1076">
      <t>ホンガク</t>
    </rPh>
    <rPh sb="1078" eb="1079">
      <t>レイ</t>
    </rPh>
    <rPh sb="1079" eb="1080">
      <t>ワ</t>
    </rPh>
    <rPh sb="1081" eb="1082">
      <t>ネン</t>
    </rPh>
    <rPh sb="1082" eb="1083">
      <t>ド</t>
    </rPh>
    <rPh sb="1083" eb="1086">
      <t>ニュウガクセイ</t>
    </rPh>
    <rPh sb="1102" eb="1104">
      <t>ジサン</t>
    </rPh>
    <rPh sb="1134" eb="1136">
      <t>スイシン</t>
    </rPh>
    <rPh sb="1142" eb="1144">
      <t>ソツギョウ</t>
    </rPh>
    <rPh sb="1147" eb="1149">
      <t>ジョウケン</t>
    </rPh>
    <rPh sb="1149" eb="1150">
      <t>ツキ</t>
    </rPh>
    <rPh sb="1185" eb="1186">
      <t>ナイ</t>
    </rPh>
    <rPh sb="1188" eb="1190">
      <t>イカ</t>
    </rPh>
    <phoneticPr fontId="1"/>
  </si>
  <si>
    <t>本プログラムでは入学直後の第1クォーターで開講される初年次科目「工学院大スタディーズ」の受講を必須としている。この科目は明治20年創設の工手学校に始まる本学の歴史や社会における卒業生の活躍などに触れる自校教育科目であるが、建学以来の「工」の精神を受け継ぎつつ、Society5.0（超スマート社会）に向けての新たなチャレンジのために、数理・データサイエンス・AIを学ぶことがいかに重要かつ必須であるかを、学長自らが新入生に語り掛け、本プログラムの受講を促している。入学オリエンテーション期間の学科ガイダンスや共通科目ガイダンスでも本プログラムを紹介し、受講を推奨している。
また、本プログラムの開始および本申請の主旨や認定方法について、公開HPほか学内のポータルサイトにて学生への周知をはかり、必修科目・選択必修科目・選択科目として各科目を履修することで、社会情勢、要請を鑑みた「数理データサイエンス・AI」のレベル修得が可能であること（いずれの学部であっても自然なカリキュラムフローで修得可能であること）を周知する。さらに、教職員についても学内のFD研修、会議等を通じて全学的にプログラムの周知を行い、学生への科目内での位置づけの説明などを意識的に行うよう促すこと、などの取り組みを行っている。</t>
    <rPh sb="0" eb="1">
      <t>ホン</t>
    </rPh>
    <rPh sb="8" eb="10">
      <t>ニュウガク</t>
    </rPh>
    <rPh sb="10" eb="12">
      <t>チョクゴ</t>
    </rPh>
    <rPh sb="13" eb="14">
      <t>ダイ</t>
    </rPh>
    <rPh sb="21" eb="23">
      <t>カイコウ</t>
    </rPh>
    <rPh sb="26" eb="27">
      <t>ショ</t>
    </rPh>
    <rPh sb="27" eb="29">
      <t>ネンジ</t>
    </rPh>
    <rPh sb="29" eb="31">
      <t>カモク</t>
    </rPh>
    <rPh sb="32" eb="36">
      <t>コウガクインダイ</t>
    </rPh>
    <rPh sb="44" eb="46">
      <t>ジュコウ</t>
    </rPh>
    <rPh sb="47" eb="49">
      <t>ヒッス</t>
    </rPh>
    <rPh sb="57" eb="59">
      <t>カモク</t>
    </rPh>
    <rPh sb="60" eb="62">
      <t>メイジ</t>
    </rPh>
    <rPh sb="64" eb="65">
      <t>ネン</t>
    </rPh>
    <rPh sb="65" eb="67">
      <t>ソウセツ</t>
    </rPh>
    <rPh sb="68" eb="70">
      <t>コウシュ</t>
    </rPh>
    <rPh sb="70" eb="72">
      <t>ガッコウ</t>
    </rPh>
    <rPh sb="73" eb="74">
      <t>ハジ</t>
    </rPh>
    <rPh sb="76" eb="78">
      <t>ホンガク</t>
    </rPh>
    <rPh sb="79" eb="81">
      <t>レキシ</t>
    </rPh>
    <rPh sb="82" eb="84">
      <t>シャカイ</t>
    </rPh>
    <rPh sb="88" eb="90">
      <t>ソツギョウ</t>
    </rPh>
    <rPh sb="90" eb="91">
      <t>セイ</t>
    </rPh>
    <rPh sb="92" eb="94">
      <t>カツヤク</t>
    </rPh>
    <rPh sb="97" eb="98">
      <t>フ</t>
    </rPh>
    <rPh sb="100" eb="102">
      <t>ジコウ</t>
    </rPh>
    <rPh sb="102" eb="104">
      <t>キョウイク</t>
    </rPh>
    <rPh sb="104" eb="106">
      <t>カモク</t>
    </rPh>
    <rPh sb="111" eb="113">
      <t>ケンガク</t>
    </rPh>
    <rPh sb="113" eb="115">
      <t>イライ</t>
    </rPh>
    <rPh sb="117" eb="118">
      <t>コウ</t>
    </rPh>
    <rPh sb="120" eb="122">
      <t>セイシン</t>
    </rPh>
    <rPh sb="123" eb="124">
      <t>ウ</t>
    </rPh>
    <rPh sb="125" eb="126">
      <t>ツ</t>
    </rPh>
    <rPh sb="150" eb="151">
      <t>ム</t>
    </rPh>
    <rPh sb="154" eb="155">
      <t>アラ</t>
    </rPh>
    <rPh sb="167" eb="169">
      <t>スウリ</t>
    </rPh>
    <rPh sb="182" eb="183">
      <t>マナ</t>
    </rPh>
    <rPh sb="190" eb="192">
      <t>ジュウヨウ</t>
    </rPh>
    <rPh sb="194" eb="196">
      <t>ヒッス</t>
    </rPh>
    <rPh sb="202" eb="204">
      <t>ガクチョウ</t>
    </rPh>
    <rPh sb="204" eb="205">
      <t>ミズカ</t>
    </rPh>
    <rPh sb="207" eb="210">
      <t>シンニュウセイ</t>
    </rPh>
    <rPh sb="211" eb="212">
      <t>カタ</t>
    </rPh>
    <rPh sb="213" eb="214">
      <t>カ</t>
    </rPh>
    <rPh sb="216" eb="217">
      <t>ホン</t>
    </rPh>
    <rPh sb="223" eb="225">
      <t>ジュコウ</t>
    </rPh>
    <rPh sb="226" eb="227">
      <t>ウナガ</t>
    </rPh>
    <rPh sb="232" eb="234">
      <t>ニュウガク</t>
    </rPh>
    <rPh sb="243" eb="245">
      <t>キカン</t>
    </rPh>
    <rPh sb="246" eb="248">
      <t>ガッカ</t>
    </rPh>
    <rPh sb="254" eb="256">
      <t>キョウツウ</t>
    </rPh>
    <rPh sb="256" eb="258">
      <t>カモク</t>
    </rPh>
    <rPh sb="265" eb="266">
      <t>ホン</t>
    </rPh>
    <rPh sb="272" eb="274">
      <t>ショウカイ</t>
    </rPh>
    <rPh sb="276" eb="278">
      <t>ジュコウ</t>
    </rPh>
    <rPh sb="279" eb="281">
      <t>スイショウ</t>
    </rPh>
    <rPh sb="290" eb="291">
      <t>ホン</t>
    </rPh>
    <rPh sb="297" eb="299">
      <t>カイシ</t>
    </rPh>
    <rPh sb="302" eb="303">
      <t>ホン</t>
    </rPh>
    <rPh sb="303" eb="305">
      <t>シンセイ</t>
    </rPh>
    <rPh sb="306" eb="308">
      <t>シュシ</t>
    </rPh>
    <rPh sb="309" eb="311">
      <t>ニンテイ</t>
    </rPh>
    <rPh sb="311" eb="313">
      <t>ホウホウ</t>
    </rPh>
    <rPh sb="318" eb="320">
      <t>コウカイ</t>
    </rPh>
    <rPh sb="324" eb="326">
      <t>ガクナイ</t>
    </rPh>
    <rPh sb="336" eb="338">
      <t>ガクセイ</t>
    </rPh>
    <rPh sb="340" eb="342">
      <t>シュウチ</t>
    </rPh>
    <rPh sb="347" eb="349">
      <t>ヒッシュウ</t>
    </rPh>
    <rPh sb="349" eb="351">
      <t>カモク</t>
    </rPh>
    <rPh sb="352" eb="354">
      <t>センタク</t>
    </rPh>
    <rPh sb="354" eb="356">
      <t>ヒッシュウ</t>
    </rPh>
    <rPh sb="356" eb="358">
      <t>カモク</t>
    </rPh>
    <rPh sb="359" eb="361">
      <t>センタク</t>
    </rPh>
    <rPh sb="361" eb="363">
      <t>カモク</t>
    </rPh>
    <rPh sb="366" eb="367">
      <t>カク</t>
    </rPh>
    <rPh sb="367" eb="369">
      <t>カモク</t>
    </rPh>
    <rPh sb="370" eb="372">
      <t>リシュウ</t>
    </rPh>
    <rPh sb="378" eb="382">
      <t>シャカイジョウセイ</t>
    </rPh>
    <rPh sb="383" eb="385">
      <t>ヨウセイ</t>
    </rPh>
    <rPh sb="386" eb="387">
      <t>カンガ</t>
    </rPh>
    <rPh sb="390" eb="392">
      <t>スウリ</t>
    </rPh>
    <rPh sb="408" eb="410">
      <t>シュウトク</t>
    </rPh>
    <rPh sb="411" eb="413">
      <t>カノウ</t>
    </rPh>
    <rPh sb="423" eb="425">
      <t>ガクブ</t>
    </rPh>
    <rPh sb="430" eb="432">
      <t>シゼン</t>
    </rPh>
    <rPh sb="443" eb="445">
      <t>シュウトク</t>
    </rPh>
    <rPh sb="445" eb="447">
      <t>カノウ</t>
    </rPh>
    <rPh sb="454" eb="456">
      <t>シュウチ</t>
    </rPh>
    <rPh sb="463" eb="466">
      <t>キョウショクイン</t>
    </rPh>
    <rPh sb="471" eb="473">
      <t>ガクナイ</t>
    </rPh>
    <rPh sb="476" eb="478">
      <t>ケンシュウ</t>
    </rPh>
    <rPh sb="479" eb="481">
      <t>カイギ</t>
    </rPh>
    <rPh sb="481" eb="482">
      <t>ナド</t>
    </rPh>
    <rPh sb="483" eb="484">
      <t>ツウ</t>
    </rPh>
    <rPh sb="486" eb="489">
      <t>ゼンガクテキ</t>
    </rPh>
    <rPh sb="496" eb="498">
      <t>シュウチ</t>
    </rPh>
    <rPh sb="499" eb="500">
      <t>オコナ</t>
    </rPh>
    <rPh sb="502" eb="504">
      <t>ガクセイ</t>
    </rPh>
    <rPh sb="506" eb="509">
      <t>カモクナイ</t>
    </rPh>
    <rPh sb="511" eb="513">
      <t>イチ</t>
    </rPh>
    <rPh sb="516" eb="518">
      <t>セツメイ</t>
    </rPh>
    <rPh sb="521" eb="524">
      <t>イシキテキ</t>
    </rPh>
    <rPh sb="525" eb="526">
      <t>オコナ</t>
    </rPh>
    <rPh sb="529" eb="530">
      <t>ウナガ</t>
    </rPh>
    <rPh sb="537" eb="538">
      <t>ト</t>
    </rPh>
    <rPh sb="539" eb="540">
      <t>ク</t>
    </rPh>
    <rPh sb="542" eb="543">
      <t>オコナ</t>
    </rPh>
    <phoneticPr fontId="1"/>
  </si>
  <si>
    <t>education@sc.kogakuin.ac.jp</t>
    <phoneticPr fontId="1"/>
  </si>
  <si>
    <t>認定教育プログラムと認定教育プログラム+（プラス）</t>
  </si>
  <si>
    <t>情報セキュリティ（13）</t>
    <phoneticPr fontId="1"/>
  </si>
  <si>
    <t>データ管理とデータ利用(9),アルゴリズムとプログラミング（12)</t>
    <phoneticPr fontId="1"/>
  </si>
  <si>
    <t>学長講話「大学での学び・超スマート社会に生きる皆さんへ」（5）</t>
    <rPh sb="0" eb="1">
      <t>コウガク</t>
    </rPh>
    <rPh sb="1" eb="2">
      <t>ダイガク</t>
    </rPh>
    <rPh sb="5" eb="7">
      <t>ダイガク</t>
    </rPh>
    <rPh sb="20" eb="21">
      <t>イ</t>
    </rPh>
    <phoneticPr fontId="1"/>
  </si>
  <si>
    <t>測量と取得データによる地形図作成（2～7）</t>
    <rPh sb="0" eb="2">
      <t>ソクリョウ</t>
    </rPh>
    <rPh sb="3" eb="5">
      <t>シュトク</t>
    </rPh>
    <rPh sb="11" eb="14">
      <t>チケイズ</t>
    </rPh>
    <rPh sb="14" eb="16">
      <t>サクセイ</t>
    </rPh>
    <phoneticPr fontId="1"/>
  </si>
  <si>
    <t>各種公式利用によるデータ整理・処理（1～11）</t>
    <rPh sb="0" eb="2">
      <t>カクシュ</t>
    </rPh>
    <rPh sb="2" eb="4">
      <t>コウシキ</t>
    </rPh>
    <rPh sb="4" eb="6">
      <t>リヨウ</t>
    </rPh>
    <rPh sb="12" eb="14">
      <t>セイリ</t>
    </rPh>
    <rPh sb="15" eb="17">
      <t>ショリ</t>
    </rPh>
    <phoneticPr fontId="1"/>
  </si>
  <si>
    <t>処理されたデータの活用（1～11）</t>
    <rPh sb="0" eb="2">
      <t>ショリ</t>
    </rPh>
    <rPh sb="9" eb="11">
      <t>カツヨウ</t>
    </rPh>
    <phoneticPr fontId="1"/>
  </si>
  <si>
    <t>処理されたデータの活用（1～13）</t>
    <rPh sb="0" eb="2">
      <t>ショリ</t>
    </rPh>
    <rPh sb="9" eb="11">
      <t>カツヨウ</t>
    </rPh>
    <phoneticPr fontId="1"/>
  </si>
  <si>
    <t>データ分布の理解と実際のデータの処理（1～13）</t>
    <rPh sb="3" eb="5">
      <t>ブンプ</t>
    </rPh>
    <rPh sb="6" eb="8">
      <t>リカイ</t>
    </rPh>
    <rPh sb="9" eb="11">
      <t>ジッサイ</t>
    </rPh>
    <rPh sb="16" eb="18">
      <t>ショリ</t>
    </rPh>
    <phoneticPr fontId="1"/>
  </si>
  <si>
    <t>医療分野への応用（6）</t>
    <phoneticPr fontId="1"/>
  </si>
  <si>
    <t>研究倫理（2）、情報セキュリティ（4）</t>
    <phoneticPr fontId="1"/>
  </si>
  <si>
    <t>https://www.kogakuin.ac.jp/about/action/mdash_program.html</t>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</si>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</sst>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u/>
      <sz val="11"/>
      <name val="ＭＳ Ｐゴシック"/>
      <family val="3"/>
      <charset val="128"/>
      <scheme val="minor"/>
    </font>
    <font>
      <sz val="9"/>
      <name val="ＭＳ Ｐゴシック"/>
      <family val="3"/>
      <charset val="128"/>
      <scheme val="minor"/>
    </font>
    <font>
      <sz val="11"/>
      <name val="ＭＳ Ｐゴシック"/>
      <family val="3"/>
      <charset val="128"/>
      <scheme val="minor"/>
    </font>
    <font>
      <u/>
      <sz val="12"/>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24">
    <xf numFmtId="0" fontId="0" fillId="0" borderId="0" xfId="0">
      <alignment vertical="center"/>
    </xf>
    <xf numFmtId="0" fontId="9" fillId="0" borderId="0" xfId="0" applyFont="1" applyFill="1">
      <alignment vertical="center"/>
    </xf>
    <xf numFmtId="0" fontId="8" fillId="0" borderId="0" xfId="0" applyFont="1" applyFill="1">
      <alignment vertical="center"/>
    </xf>
    <xf numFmtId="0" fontId="8" fillId="0" borderId="0" xfId="0" applyFont="1" applyFill="1" applyAlignment="1">
      <alignment vertical="center"/>
    </xf>
    <xf numFmtId="0" fontId="8" fillId="0" borderId="0" xfId="0" applyFont="1" applyFill="1" applyAlignment="1">
      <alignment horizontal="left" vertical="center"/>
    </xf>
    <xf numFmtId="0" fontId="8" fillId="0" borderId="0" xfId="0" applyFont="1" applyFill="1" applyBorder="1" applyAlignment="1">
      <alignment vertical="center" shrinkToFit="1"/>
    </xf>
    <xf numFmtId="0" fontId="8" fillId="0" borderId="0" xfId="0" applyFont="1" applyFill="1" applyBorder="1" applyAlignment="1">
      <alignment vertical="center"/>
    </xf>
    <xf numFmtId="0" fontId="8" fillId="0" borderId="10" xfId="0" applyFont="1" applyFill="1" applyBorder="1" applyAlignment="1">
      <alignment vertical="center"/>
    </xf>
    <xf numFmtId="0" fontId="8" fillId="0" borderId="10" xfId="0" applyFont="1" applyFill="1" applyBorder="1" applyAlignment="1">
      <alignment vertical="center" shrinkToFit="1"/>
    </xf>
    <xf numFmtId="0" fontId="8" fillId="0" borderId="5" xfId="0" applyFont="1" applyFill="1" applyBorder="1">
      <alignment vertical="center"/>
    </xf>
    <xf numFmtId="176" fontId="8" fillId="0" borderId="0" xfId="0" applyNumberFormat="1" applyFont="1" applyFill="1" applyBorder="1" applyAlignment="1">
      <alignment vertical="center" wrapText="1"/>
    </xf>
    <xf numFmtId="0" fontId="8" fillId="0" borderId="0" xfId="0" applyFont="1" applyFill="1" applyBorder="1">
      <alignment vertical="center"/>
    </xf>
    <xf numFmtId="176" fontId="8" fillId="0" borderId="5" xfId="0" applyNumberFormat="1" applyFont="1" applyFill="1" applyBorder="1" applyAlignment="1">
      <alignment vertical="center"/>
    </xf>
    <xf numFmtId="176" fontId="8" fillId="0" borderId="0" xfId="0" applyNumberFormat="1" applyFont="1" applyFill="1" applyBorder="1">
      <alignment vertical="center"/>
    </xf>
    <xf numFmtId="0" fontId="8" fillId="0" borderId="0" xfId="0" applyFont="1" applyFill="1" applyBorder="1" applyAlignment="1">
      <alignment horizontal="center" vertical="center"/>
    </xf>
    <xf numFmtId="176" fontId="8" fillId="0" borderId="0" xfId="0" applyNumberFormat="1" applyFont="1" applyFill="1" applyAlignment="1">
      <alignment vertical="center" wrapText="1"/>
    </xf>
    <xf numFmtId="0" fontId="8" fillId="0" borderId="0" xfId="0" applyFont="1" applyFill="1" applyAlignment="1">
      <alignment horizontal="center" vertical="center"/>
    </xf>
    <xf numFmtId="176" fontId="8" fillId="0" borderId="3" xfId="0" applyNumberFormat="1" applyFont="1" applyFill="1" applyBorder="1" applyAlignment="1">
      <alignment vertical="center" shrinkToFit="1"/>
    </xf>
    <xf numFmtId="176" fontId="8" fillId="0" borderId="0" xfId="0" applyNumberFormat="1" applyFont="1" applyFill="1" applyAlignment="1">
      <alignment horizontal="left" vertical="center" wrapText="1"/>
    </xf>
    <xf numFmtId="0" fontId="8" fillId="0" borderId="6" xfId="0" applyFont="1" applyFill="1" applyBorder="1" applyAlignment="1">
      <alignment vertical="center" shrinkToFit="1"/>
    </xf>
    <xf numFmtId="0" fontId="8" fillId="0" borderId="0" xfId="0" applyFont="1" applyFill="1" applyBorder="1" applyAlignment="1">
      <alignment horizontal="center" vertical="center" shrinkToFit="1"/>
    </xf>
    <xf numFmtId="0" fontId="8" fillId="0" borderId="1" xfId="0" applyFont="1" applyFill="1" applyBorder="1">
      <alignment vertical="center"/>
    </xf>
    <xf numFmtId="0" fontId="8" fillId="0" borderId="2" xfId="0" applyFont="1" applyFill="1" applyBorder="1">
      <alignment vertical="center"/>
    </xf>
    <xf numFmtId="0" fontId="8" fillId="0" borderId="4" xfId="0" applyFont="1" applyFill="1" applyBorder="1">
      <alignment vertical="center"/>
    </xf>
    <xf numFmtId="0" fontId="9" fillId="0" borderId="0" xfId="0" applyFont="1" applyFill="1" applyAlignment="1">
      <alignment horizontal="right" vertical="center"/>
    </xf>
    <xf numFmtId="0" fontId="8" fillId="0" borderId="0" xfId="0" applyFont="1" applyFill="1" applyAlignment="1">
      <alignment horizontal="right" vertical="center"/>
    </xf>
    <xf numFmtId="0" fontId="8" fillId="0" borderId="1" xfId="0" applyFont="1" applyFill="1" applyBorder="1" applyAlignment="1">
      <alignment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0" fontId="2" fillId="0" borderId="0" xfId="0" applyFont="1" applyFill="1">
      <alignment vertical="center"/>
    </xf>
    <xf numFmtId="0" fontId="3" fillId="0" borderId="0" xfId="0" applyFont="1" applyFill="1" applyAlignment="1">
      <alignment vertical="center" shrinkToFit="1"/>
    </xf>
    <xf numFmtId="0" fontId="3" fillId="0" borderId="0" xfId="0" applyFont="1" applyFill="1" applyAlignment="1">
      <alignment horizontal="left" vertical="center"/>
    </xf>
    <xf numFmtId="0" fontId="3" fillId="0" borderId="0" xfId="0" applyFont="1" applyFill="1" applyAlignment="1">
      <alignment vertical="center"/>
    </xf>
    <xf numFmtId="0" fontId="3" fillId="0" borderId="0" xfId="0" applyFont="1" applyFill="1" applyAlignment="1">
      <alignment horizontal="center" vertical="center"/>
    </xf>
    <xf numFmtId="0" fontId="11" fillId="0" borderId="0" xfId="0" applyFont="1" applyFill="1">
      <alignment vertical="center"/>
    </xf>
    <xf numFmtId="0" fontId="10" fillId="0" borderId="11" xfId="0" applyFont="1" applyFill="1" applyBorder="1" applyAlignment="1">
      <alignment horizontal="center" vertical="center"/>
    </xf>
    <xf numFmtId="0" fontId="10" fillId="0" borderId="31" xfId="0" applyFont="1" applyFill="1" applyBorder="1" applyAlignment="1">
      <alignment horizontal="center" vertical="center" wrapText="1"/>
    </xf>
    <xf numFmtId="0" fontId="10" fillId="0" borderId="32" xfId="0" applyFont="1" applyFill="1" applyBorder="1" applyAlignment="1">
      <alignment horizontal="center" vertical="center"/>
    </xf>
    <xf numFmtId="0" fontId="10" fillId="0" borderId="12" xfId="0" applyFont="1" applyFill="1" applyBorder="1" applyAlignment="1">
      <alignment horizontal="center" vertical="center" wrapText="1"/>
    </xf>
    <xf numFmtId="0" fontId="3" fillId="0" borderId="0" xfId="0" applyFont="1" applyFill="1" applyBorder="1" applyAlignment="1">
      <alignment vertical="center" shrinkToFit="1"/>
    </xf>
    <xf numFmtId="0" fontId="3" fillId="0" borderId="5" xfId="0" applyFont="1" applyFill="1" applyBorder="1" applyAlignment="1">
      <alignment vertical="center" shrinkToFit="1"/>
    </xf>
    <xf numFmtId="176" fontId="3" fillId="0" borderId="5" xfId="0" applyNumberFormat="1" applyFont="1" applyFill="1" applyBorder="1" applyAlignment="1">
      <alignment vertical="center" shrinkToFit="1"/>
    </xf>
    <xf numFmtId="176" fontId="3" fillId="0" borderId="33"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176" fontId="3" fillId="0" borderId="10" xfId="0" applyNumberFormat="1" applyFont="1" applyFill="1" applyBorder="1" applyAlignment="1">
      <alignment vertical="center" shrinkToFit="1"/>
    </xf>
    <xf numFmtId="176" fontId="3" fillId="0" borderId="14" xfId="0" applyNumberFormat="1" applyFont="1" applyFill="1" applyBorder="1" applyAlignment="1">
      <alignment vertical="center" shrinkToFit="1"/>
    </xf>
    <xf numFmtId="9" fontId="3" fillId="0" borderId="10" xfId="0" applyNumberFormat="1" applyFont="1" applyFill="1" applyBorder="1" applyAlignment="1">
      <alignment vertical="center" shrinkToFit="1"/>
    </xf>
    <xf numFmtId="0" fontId="3" fillId="0" borderId="20" xfId="0" applyFont="1" applyFill="1" applyBorder="1" applyAlignment="1">
      <alignment vertical="center" shrinkToFit="1"/>
    </xf>
    <xf numFmtId="176" fontId="3" fillId="0" borderId="20" xfId="0" applyNumberFormat="1" applyFont="1" applyFill="1" applyBorder="1" applyAlignment="1">
      <alignment vertical="center" shrinkToFit="1"/>
    </xf>
    <xf numFmtId="176" fontId="3" fillId="0" borderId="35" xfId="0" applyNumberFormat="1" applyFont="1" applyFill="1" applyBorder="1" applyAlignment="1">
      <alignment vertical="center" shrinkToFit="1"/>
    </xf>
    <xf numFmtId="176" fontId="3" fillId="0" borderId="36" xfId="0" applyNumberFormat="1" applyFont="1" applyFill="1" applyBorder="1" applyAlignment="1">
      <alignment vertical="center" shrinkToFit="1"/>
    </xf>
    <xf numFmtId="176" fontId="3" fillId="0" borderId="19" xfId="0" applyNumberFormat="1" applyFont="1" applyFill="1" applyBorder="1" applyAlignment="1">
      <alignment vertical="center" shrinkToFit="1"/>
    </xf>
    <xf numFmtId="176" fontId="3" fillId="0" borderId="25" xfId="0" applyNumberFormat="1" applyFont="1" applyFill="1" applyBorder="1" applyAlignment="1">
      <alignment vertical="center" shrinkToFit="1"/>
    </xf>
    <xf numFmtId="176" fontId="3" fillId="0" borderId="26" xfId="0" applyNumberFormat="1" applyFont="1" applyFill="1" applyBorder="1" applyAlignment="1">
      <alignment vertical="center" shrinkToFit="1"/>
    </xf>
    <xf numFmtId="0" fontId="3" fillId="0" borderId="27" xfId="0" applyFont="1" applyFill="1" applyBorder="1" applyAlignment="1">
      <alignment vertical="center" shrinkToFit="1"/>
    </xf>
    <xf numFmtId="176" fontId="3" fillId="0" borderId="27" xfId="0" applyNumberFormat="1" applyFont="1" applyFill="1" applyBorder="1" applyAlignment="1">
      <alignment vertical="center" shrinkToFit="1"/>
    </xf>
    <xf numFmtId="176" fontId="3" fillId="0" borderId="37" xfId="0" applyNumberFormat="1" applyFont="1" applyFill="1" applyBorder="1" applyAlignment="1">
      <alignment vertical="center" shrinkToFit="1"/>
    </xf>
    <xf numFmtId="176" fontId="3" fillId="0" borderId="38" xfId="0" applyNumberFormat="1" applyFont="1" applyFill="1" applyBorder="1" applyAlignment="1">
      <alignment vertical="center" shrinkToFit="1"/>
    </xf>
    <xf numFmtId="176" fontId="3" fillId="0" borderId="29" xfId="0" applyNumberFormat="1" applyFont="1" applyFill="1" applyBorder="1" applyAlignment="1">
      <alignment vertical="center" shrinkToFit="1"/>
    </xf>
    <xf numFmtId="176" fontId="3" fillId="0" borderId="30" xfId="0" applyNumberFormat="1" applyFont="1" applyFill="1" applyBorder="1" applyAlignment="1">
      <alignment vertical="center" shrinkToFit="1"/>
    </xf>
    <xf numFmtId="9" fontId="3" fillId="0" borderId="29" xfId="0" applyNumberFormat="1" applyFont="1" applyFill="1" applyBorder="1" applyAlignment="1">
      <alignment vertical="center" shrinkToFit="1"/>
    </xf>
    <xf numFmtId="176" fontId="4" fillId="0" borderId="0" xfId="0" applyNumberFormat="1" applyFont="1" applyFill="1" applyBorder="1" applyAlignment="1">
      <alignment vertical="center" shrinkToFit="1"/>
    </xf>
    <xf numFmtId="0" fontId="13" fillId="0" borderId="0" xfId="0" applyFont="1" applyFill="1">
      <alignment vertical="center"/>
    </xf>
    <xf numFmtId="0" fontId="8" fillId="0" borderId="0" xfId="0" applyFont="1" applyFill="1" applyBorder="1" applyAlignment="1">
      <alignment vertical="center" wrapText="1"/>
    </xf>
    <xf numFmtId="0" fontId="13" fillId="0" borderId="0" xfId="0" applyFont="1" applyFill="1" applyBorder="1" applyAlignment="1">
      <alignment vertical="top" wrapText="1"/>
    </xf>
    <xf numFmtId="0" fontId="13" fillId="0" borderId="0" xfId="0" applyFont="1" applyFill="1" applyBorder="1" applyAlignment="1">
      <alignment vertical="top" shrinkToFit="1"/>
    </xf>
    <xf numFmtId="0" fontId="13" fillId="0" borderId="0" xfId="0" applyFont="1" applyFill="1" applyBorder="1" applyAlignment="1">
      <alignment vertical="center" wrapText="1"/>
    </xf>
    <xf numFmtId="0" fontId="13" fillId="0" borderId="10" xfId="0" applyFont="1" applyFill="1" applyBorder="1" applyAlignment="1">
      <alignment vertical="top" wrapText="1"/>
    </xf>
    <xf numFmtId="0" fontId="13" fillId="0" borderId="5" xfId="0" applyFont="1" applyFill="1" applyBorder="1" applyAlignment="1">
      <alignment vertical="top" wrapText="1"/>
    </xf>
    <xf numFmtId="0" fontId="8" fillId="0" borderId="17" xfId="0" applyFont="1" applyFill="1" applyBorder="1">
      <alignment vertical="center"/>
    </xf>
    <xf numFmtId="0" fontId="13" fillId="0" borderId="21" xfId="0" applyFont="1" applyFill="1" applyBorder="1" applyAlignment="1">
      <alignment vertical="top" wrapText="1"/>
    </xf>
    <xf numFmtId="0" fontId="13" fillId="0" borderId="19" xfId="0" applyFont="1" applyFill="1" applyBorder="1" applyAlignment="1">
      <alignment vertical="top" wrapText="1"/>
    </xf>
    <xf numFmtId="0" fontId="13" fillId="0" borderId="21" xfId="0" applyFont="1" applyFill="1" applyBorder="1" applyAlignment="1">
      <alignment vertical="top" shrinkToFit="1"/>
    </xf>
    <xf numFmtId="0" fontId="13" fillId="0" borderId="19" xfId="0" applyFont="1" applyFill="1" applyBorder="1" applyAlignment="1">
      <alignment vertical="top" shrinkToFit="1"/>
    </xf>
    <xf numFmtId="0" fontId="8" fillId="0" borderId="0" xfId="0" applyFont="1" applyFill="1" applyAlignment="1">
      <alignment vertical="center" wrapText="1"/>
    </xf>
    <xf numFmtId="0" fontId="14" fillId="0" borderId="0" xfId="2" applyNumberFormat="1" applyFont="1" applyFill="1" applyBorder="1" applyAlignment="1">
      <alignment vertical="center" shrinkToFit="1"/>
    </xf>
    <xf numFmtId="0" fontId="13" fillId="0" borderId="0" xfId="0" applyFont="1" applyFill="1" applyBorder="1" applyAlignment="1">
      <alignment vertical="center" shrinkToFit="1"/>
    </xf>
    <xf numFmtId="0" fontId="13" fillId="0" borderId="10" xfId="0" applyFont="1" applyFill="1" applyBorder="1" applyAlignment="1">
      <alignment vertical="center" shrinkToFit="1"/>
    </xf>
    <xf numFmtId="0" fontId="8" fillId="0" borderId="1" xfId="0" applyFont="1" applyFill="1" applyBorder="1" applyAlignment="1">
      <alignment vertical="center" wrapText="1"/>
    </xf>
    <xf numFmtId="0" fontId="8" fillId="0" borderId="2" xfId="0" applyFont="1" applyFill="1" applyBorder="1" applyAlignment="1">
      <alignment horizontal="center" vertical="center" shrinkToFit="1"/>
    </xf>
    <xf numFmtId="0" fontId="8" fillId="0" borderId="2" xfId="0" applyFont="1" applyFill="1" applyBorder="1" applyAlignment="1">
      <alignment vertical="center" shrinkToFit="1"/>
    </xf>
    <xf numFmtId="0" fontId="8" fillId="0" borderId="0" xfId="0" applyFont="1" applyFill="1" applyAlignment="1">
      <alignment horizontal="right" vertical="center"/>
    </xf>
    <xf numFmtId="0" fontId="8" fillId="0" borderId="0" xfId="0" applyFont="1" applyFill="1" applyAlignment="1">
      <alignment horizontal="center" vertical="center"/>
    </xf>
    <xf numFmtId="0" fontId="8" fillId="0" borderId="0" xfId="0" applyFont="1" applyFill="1" applyBorder="1" applyAlignment="1">
      <alignment vertical="top" wrapText="1"/>
    </xf>
    <xf numFmtId="0" fontId="13" fillId="0" borderId="0" xfId="0" applyFont="1" applyFill="1" applyAlignment="1">
      <alignment vertical="top" wrapText="1"/>
    </xf>
    <xf numFmtId="0" fontId="8" fillId="0" borderId="0" xfId="0" applyFont="1">
      <alignment vertical="center"/>
    </xf>
    <xf numFmtId="0" fontId="8" fillId="0" borderId="0" xfId="0" applyFont="1" applyAlignment="1">
      <alignment horizontal="center" vertical="center"/>
    </xf>
    <xf numFmtId="0" fontId="8" fillId="0" borderId="0" xfId="0" applyFont="1" applyAlignment="1">
      <alignment vertical="center"/>
    </xf>
    <xf numFmtId="0" fontId="8" fillId="0" borderId="11" xfId="0" applyFont="1" applyFill="1" applyBorder="1" applyAlignment="1">
      <alignment horizontal="center" vertical="center"/>
    </xf>
    <xf numFmtId="0" fontId="8" fillId="0" borderId="0" xfId="0" applyFont="1" applyFill="1" applyBorder="1" applyAlignment="1">
      <alignment vertical="center" shrinkToFit="1"/>
    </xf>
    <xf numFmtId="176" fontId="8" fillId="0" borderId="2" xfId="0" applyNumberFormat="1" applyFont="1" applyFill="1" applyBorder="1" applyAlignment="1">
      <alignment horizontal="center" vertical="center" shrinkToFit="1"/>
    </xf>
    <xf numFmtId="176" fontId="8" fillId="0" borderId="4" xfId="0" applyNumberFormat="1" applyFont="1" applyFill="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0" xfId="0" applyFont="1" applyFill="1" applyBorder="1" applyAlignment="1">
      <alignment horizontal="center" vertical="center"/>
    </xf>
    <xf numFmtId="38" fontId="8" fillId="0" borderId="2" xfId="1" applyFont="1" applyFill="1" applyBorder="1" applyAlignment="1">
      <alignment horizontal="center" vertical="center"/>
    </xf>
    <xf numFmtId="38" fontId="8" fillId="0" borderId="3" xfId="1" applyFont="1" applyFill="1" applyBorder="1" applyAlignment="1">
      <alignment horizontal="center" vertical="center"/>
    </xf>
    <xf numFmtId="38" fontId="8" fillId="0" borderId="4" xfId="1" applyFont="1" applyFill="1" applyBorder="1" applyAlignment="1">
      <alignment horizontal="center" vertical="center"/>
    </xf>
    <xf numFmtId="0" fontId="8" fillId="0" borderId="0" xfId="0" applyFont="1" applyFill="1" applyBorder="1" applyAlignment="1">
      <alignment horizontal="right" vertical="center" shrinkToFit="1"/>
    </xf>
    <xf numFmtId="0" fontId="8" fillId="0" borderId="5" xfId="0" applyFont="1" applyFill="1" applyBorder="1" applyAlignment="1">
      <alignment horizontal="right" vertical="center" shrinkToFit="1"/>
    </xf>
    <xf numFmtId="0" fontId="8" fillId="0" borderId="10" xfId="0" applyFont="1" applyFill="1" applyBorder="1" applyAlignment="1">
      <alignment horizontal="righ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0" xfId="0" applyFont="1" applyFill="1" applyAlignment="1">
      <alignment horizontal="right" vertical="center"/>
    </xf>
    <xf numFmtId="0" fontId="8" fillId="0" borderId="0" xfId="0" applyFont="1" applyFill="1" applyBorder="1" applyAlignment="1">
      <alignment horizontal="right" vertical="center"/>
    </xf>
    <xf numFmtId="0" fontId="8" fillId="0" borderId="10" xfId="0" applyFont="1" applyFill="1" applyBorder="1" applyAlignment="1">
      <alignment horizontal="right" vertical="center"/>
    </xf>
    <xf numFmtId="176" fontId="8" fillId="0" borderId="3" xfId="0" applyNumberFormat="1" applyFont="1" applyFill="1" applyBorder="1" applyAlignment="1">
      <alignment horizontal="center" vertical="center" shrinkToFit="1"/>
    </xf>
    <xf numFmtId="0" fontId="8" fillId="0" borderId="0" xfId="0" applyFont="1" applyFill="1" applyBorder="1" applyAlignment="1">
      <alignment horizontal="center" vertical="center" shrinkToFit="1"/>
    </xf>
    <xf numFmtId="0" fontId="8" fillId="0" borderId="0" xfId="0" applyFont="1" applyFill="1" applyAlignment="1">
      <alignment horizontal="center" vertical="center"/>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4" xfId="0" applyFont="1" applyFill="1" applyBorder="1" applyAlignment="1">
      <alignment vertical="center" shrinkToFit="1"/>
    </xf>
    <xf numFmtId="49" fontId="6" fillId="0" borderId="2" xfId="2" applyNumberFormat="1" applyFill="1" applyBorder="1" applyAlignment="1">
      <alignment vertical="center" shrinkToFit="1"/>
    </xf>
    <xf numFmtId="49" fontId="8" fillId="0" borderId="3" xfId="0" applyNumberFormat="1" applyFont="1" applyFill="1" applyBorder="1" applyAlignment="1">
      <alignment vertical="center" shrinkToFit="1"/>
    </xf>
    <xf numFmtId="49" fontId="8" fillId="0" borderId="4" xfId="0" applyNumberFormat="1" applyFont="1" applyFill="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7" xfId="0" applyFont="1" applyFill="1" applyBorder="1" applyAlignment="1">
      <alignment vertical="top" wrapText="1"/>
    </xf>
    <xf numFmtId="0" fontId="8" fillId="0" borderId="8" xfId="0" applyFont="1" applyFill="1" applyBorder="1" applyAlignment="1">
      <alignment vertical="top" wrapText="1"/>
    </xf>
    <xf numFmtId="0" fontId="8" fillId="0" borderId="9" xfId="0" applyFont="1" applyFill="1" applyBorder="1" applyAlignment="1">
      <alignment vertical="top" wrapText="1"/>
    </xf>
    <xf numFmtId="0" fontId="8" fillId="0" borderId="5" xfId="0" applyFont="1" applyFill="1" applyBorder="1" applyAlignment="1">
      <alignment vertical="top" wrapText="1"/>
    </xf>
    <xf numFmtId="0" fontId="8" fillId="0" borderId="0" xfId="0" applyFont="1" applyFill="1" applyBorder="1" applyAlignment="1">
      <alignment vertical="top" wrapText="1"/>
    </xf>
    <xf numFmtId="0" fontId="8" fillId="0" borderId="10" xfId="0" applyFont="1" applyFill="1" applyBorder="1" applyAlignment="1">
      <alignment vertical="top" wrapText="1"/>
    </xf>
    <xf numFmtId="0" fontId="8" fillId="0" borderId="11" xfId="0" applyFont="1" applyFill="1" applyBorder="1" applyAlignment="1">
      <alignment vertical="top" wrapText="1"/>
    </xf>
    <xf numFmtId="0" fontId="8" fillId="0" borderId="6" xfId="0" applyFont="1" applyFill="1" applyBorder="1" applyAlignment="1">
      <alignment vertical="top" wrapText="1"/>
    </xf>
    <xf numFmtId="0" fontId="8" fillId="0" borderId="12" xfId="0" applyFont="1" applyFill="1" applyBorder="1" applyAlignment="1">
      <alignment vertical="top" wrapText="1"/>
    </xf>
    <xf numFmtId="0" fontId="8" fillId="0" borderId="0" xfId="0" applyFont="1" applyFill="1" applyAlignment="1">
      <alignment vertical="center" shrinkToFi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shrinkToFit="1"/>
    </xf>
    <xf numFmtId="0" fontId="3" fillId="0" borderId="20" xfId="0" applyFont="1" applyFill="1" applyBorder="1" applyAlignment="1">
      <alignment vertical="center" shrinkToFit="1"/>
    </xf>
    <xf numFmtId="0" fontId="3" fillId="0" borderId="19" xfId="0" applyFont="1" applyFill="1" applyBorder="1" applyAlignment="1">
      <alignment vertical="center" shrinkToFit="1"/>
    </xf>
    <xf numFmtId="0" fontId="3" fillId="0" borderId="15" xfId="0" applyFont="1" applyFill="1" applyBorder="1" applyAlignment="1">
      <alignment vertical="center" shrinkToFit="1"/>
    </xf>
    <xf numFmtId="0" fontId="3" fillId="0" borderId="39" xfId="0" applyFont="1" applyFill="1" applyBorder="1" applyAlignment="1">
      <alignment vertical="center" shrinkToFit="1"/>
    </xf>
    <xf numFmtId="0" fontId="3" fillId="0" borderId="27" xfId="0" applyFont="1" applyFill="1" applyBorder="1" applyAlignment="1">
      <alignment horizontal="center" vertical="center" shrinkToFit="1"/>
    </xf>
    <xf numFmtId="0" fontId="3" fillId="0" borderId="28" xfId="0" applyFont="1" applyFill="1" applyBorder="1" applyAlignment="1">
      <alignment horizontal="center" vertical="center" shrinkToFi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40" xfId="0" applyFont="1" applyFill="1" applyBorder="1" applyAlignment="1">
      <alignment vertical="center" shrinkToFit="1"/>
    </xf>
    <xf numFmtId="0" fontId="3" fillId="0" borderId="41" xfId="0" applyFont="1" applyFill="1" applyBorder="1" applyAlignment="1">
      <alignment vertical="center" shrinkToFit="1"/>
    </xf>
    <xf numFmtId="0" fontId="2" fillId="0" borderId="0" xfId="0" applyFont="1" applyFill="1" applyAlignment="1">
      <alignment horizontal="right" vertical="center"/>
    </xf>
    <xf numFmtId="0" fontId="7" fillId="0" borderId="7" xfId="0" applyFont="1" applyFill="1" applyBorder="1" applyAlignment="1">
      <alignment horizontal="center" vertical="center" wrapText="1"/>
    </xf>
    <xf numFmtId="0" fontId="7" fillId="0" borderId="11"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39" xfId="0" applyFont="1" applyFill="1" applyBorder="1" applyAlignment="1">
      <alignment horizontal="center" vertical="center"/>
    </xf>
    <xf numFmtId="0" fontId="10" fillId="0" borderId="16" xfId="0" applyFont="1" applyFill="1" applyBorder="1" applyAlignment="1">
      <alignment horizontal="center" vertical="center" wrapText="1"/>
    </xf>
    <xf numFmtId="0" fontId="10" fillId="0" borderId="13"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2" xfId="0" applyFont="1" applyFill="1" applyBorder="1" applyAlignment="1">
      <alignment horizontal="center" vertical="center"/>
    </xf>
    <xf numFmtId="0" fontId="3" fillId="0" borderId="0" xfId="0" applyFont="1" applyFill="1" applyAlignment="1">
      <alignment horizontal="center" vertical="center"/>
    </xf>
    <xf numFmtId="0" fontId="8" fillId="0" borderId="16" xfId="0" applyFont="1" applyFill="1" applyBorder="1" applyAlignment="1">
      <alignment vertical="center" wrapText="1"/>
    </xf>
    <xf numFmtId="0" fontId="8" fillId="0" borderId="42" xfId="0" applyFont="1" applyFill="1" applyBorder="1" applyAlignment="1">
      <alignment vertical="center" wrapText="1"/>
    </xf>
    <xf numFmtId="0" fontId="8" fillId="0" borderId="7" xfId="0" applyFont="1" applyFill="1" applyBorder="1" applyAlignment="1">
      <alignment horizontal="left" vertical="top" wrapText="1" shrinkToFit="1"/>
    </xf>
    <xf numFmtId="0" fontId="8" fillId="0" borderId="8" xfId="0" applyFont="1" applyFill="1" applyBorder="1" applyAlignment="1">
      <alignment horizontal="left" vertical="top" shrinkToFit="1"/>
    </xf>
    <xf numFmtId="0" fontId="8" fillId="0" borderId="9" xfId="0" applyFont="1" applyFill="1" applyBorder="1" applyAlignment="1">
      <alignment horizontal="left" vertical="top" shrinkToFit="1"/>
    </xf>
    <xf numFmtId="0" fontId="8" fillId="0" borderId="5" xfId="0" applyFont="1" applyFill="1" applyBorder="1" applyAlignment="1">
      <alignment horizontal="left" vertical="top" shrinkToFit="1"/>
    </xf>
    <xf numFmtId="0" fontId="8" fillId="0" borderId="0" xfId="0" applyFont="1" applyFill="1" applyBorder="1" applyAlignment="1">
      <alignment horizontal="left" vertical="top" shrinkToFit="1"/>
    </xf>
    <xf numFmtId="0" fontId="8" fillId="0" borderId="10" xfId="0" applyFont="1" applyFill="1" applyBorder="1" applyAlignment="1">
      <alignment horizontal="left" vertical="top" shrinkToFit="1"/>
    </xf>
    <xf numFmtId="0" fontId="8" fillId="0" borderId="11" xfId="0" applyFont="1" applyFill="1" applyBorder="1" applyAlignment="1">
      <alignment horizontal="left" vertical="top" shrinkToFit="1"/>
    </xf>
    <xf numFmtId="0" fontId="8" fillId="0" borderId="6" xfId="0" applyFont="1" applyFill="1" applyBorder="1" applyAlignment="1">
      <alignment horizontal="left" vertical="top" shrinkToFit="1"/>
    </xf>
    <xf numFmtId="0" fontId="8" fillId="0" borderId="12" xfId="0" applyFont="1" applyFill="1" applyBorder="1" applyAlignment="1">
      <alignment horizontal="left" vertical="top" shrinkToFit="1"/>
    </xf>
    <xf numFmtId="0" fontId="8" fillId="0" borderId="13" xfId="0" applyFont="1" applyFill="1" applyBorder="1" applyAlignment="1">
      <alignment vertical="center" wrapText="1"/>
    </xf>
    <xf numFmtId="0" fontId="8" fillId="0" borderId="7" xfId="0" applyFont="1" applyFill="1" applyBorder="1" applyAlignment="1">
      <alignment horizontal="left" vertical="top" wrapText="1"/>
    </xf>
    <xf numFmtId="0" fontId="8" fillId="0" borderId="8"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12" xfId="0" applyFont="1" applyFill="1" applyBorder="1" applyAlignment="1">
      <alignment horizontal="left" vertical="top" wrapText="1"/>
    </xf>
    <xf numFmtId="0" fontId="8" fillId="0" borderId="7" xfId="0" applyFont="1" applyFill="1" applyBorder="1" applyAlignment="1">
      <alignment vertical="top" wrapText="1" shrinkToFit="1"/>
    </xf>
    <xf numFmtId="0" fontId="8" fillId="0" borderId="8" xfId="0" applyFont="1" applyFill="1" applyBorder="1" applyAlignment="1">
      <alignment vertical="top" wrapText="1" shrinkToFit="1"/>
    </xf>
    <xf numFmtId="0" fontId="8" fillId="0" borderId="9" xfId="0" applyFont="1" applyFill="1" applyBorder="1" applyAlignment="1">
      <alignment vertical="top" wrapText="1" shrinkToFit="1"/>
    </xf>
    <xf numFmtId="0" fontId="8" fillId="0" borderId="5" xfId="0" applyFont="1" applyFill="1" applyBorder="1" applyAlignment="1">
      <alignment vertical="top" wrapText="1" shrinkToFit="1"/>
    </xf>
    <xf numFmtId="0" fontId="8" fillId="0" borderId="0" xfId="0" applyFont="1" applyFill="1" applyBorder="1" applyAlignment="1">
      <alignment vertical="top" wrapText="1" shrinkToFit="1"/>
    </xf>
    <xf numFmtId="0" fontId="8" fillId="0" borderId="10" xfId="0" applyFont="1" applyFill="1" applyBorder="1" applyAlignment="1">
      <alignment vertical="top" wrapText="1" shrinkToFit="1"/>
    </xf>
    <xf numFmtId="0" fontId="8" fillId="0" borderId="11" xfId="0" applyFont="1" applyFill="1" applyBorder="1" applyAlignment="1">
      <alignment vertical="top" wrapText="1" shrinkToFit="1"/>
    </xf>
    <xf numFmtId="0" fontId="8" fillId="0" borderId="6" xfId="0" applyFont="1" applyFill="1" applyBorder="1" applyAlignment="1">
      <alignment vertical="top" wrapText="1" shrinkToFit="1"/>
    </xf>
    <xf numFmtId="0" fontId="8" fillId="0" borderId="12" xfId="0" applyFont="1" applyFill="1" applyBorder="1" applyAlignment="1">
      <alignment vertical="top" wrapText="1" shrinkToFit="1"/>
    </xf>
    <xf numFmtId="0" fontId="12" fillId="0" borderId="2" xfId="2" applyFont="1" applyFill="1" applyBorder="1" applyAlignment="1">
      <alignment vertical="center" shrinkToFit="1"/>
    </xf>
    <xf numFmtId="0" fontId="8" fillId="0" borderId="8" xfId="0" applyFont="1" applyFill="1" applyBorder="1" applyAlignment="1">
      <alignment vertical="top" shrinkToFit="1"/>
    </xf>
    <xf numFmtId="0" fontId="8" fillId="0" borderId="9" xfId="0" applyFont="1" applyFill="1" applyBorder="1" applyAlignment="1">
      <alignment vertical="top" shrinkToFit="1"/>
    </xf>
    <xf numFmtId="0" fontId="8" fillId="0" borderId="5" xfId="0" applyFont="1" applyFill="1" applyBorder="1" applyAlignment="1">
      <alignment vertical="top" shrinkToFit="1"/>
    </xf>
    <xf numFmtId="0" fontId="8" fillId="0" borderId="0" xfId="0" applyFont="1" applyFill="1" applyBorder="1" applyAlignment="1">
      <alignment vertical="top" shrinkToFit="1"/>
    </xf>
    <xf numFmtId="0" fontId="8" fillId="0" borderId="10" xfId="0" applyFont="1" applyFill="1" applyBorder="1" applyAlignment="1">
      <alignment vertical="top" shrinkToFit="1"/>
    </xf>
    <xf numFmtId="0" fontId="8" fillId="0" borderId="11" xfId="0" applyFont="1" applyFill="1" applyBorder="1" applyAlignment="1">
      <alignment vertical="top" shrinkToFit="1"/>
    </xf>
    <xf numFmtId="0" fontId="8" fillId="0" borderId="6" xfId="0" applyFont="1" applyFill="1" applyBorder="1" applyAlignment="1">
      <alignment vertical="top" shrinkToFit="1"/>
    </xf>
    <xf numFmtId="0" fontId="8" fillId="0" borderId="12" xfId="0" applyFont="1" applyFill="1" applyBorder="1" applyAlignment="1">
      <alignment vertical="top" shrinkToFit="1"/>
    </xf>
    <xf numFmtId="0" fontId="8" fillId="0" borderId="6" xfId="0" applyFont="1" applyFill="1" applyBorder="1" applyAlignment="1">
      <alignment vertical="center"/>
    </xf>
    <xf numFmtId="0" fontId="8" fillId="0" borderId="11" xfId="0" applyFont="1" applyFill="1" applyBorder="1" applyAlignment="1">
      <alignment vertical="center" wrapText="1"/>
    </xf>
    <xf numFmtId="0" fontId="8" fillId="0" borderId="6" xfId="0" applyFont="1" applyFill="1" applyBorder="1" applyAlignment="1">
      <alignment vertical="center" wrapText="1"/>
    </xf>
    <xf numFmtId="0" fontId="8" fillId="0" borderId="12" xfId="0" applyFont="1" applyFill="1" applyBorder="1" applyAlignment="1">
      <alignment vertical="center" wrapText="1"/>
    </xf>
    <xf numFmtId="0" fontId="8" fillId="0" borderId="18" xfId="0" applyFont="1" applyFill="1" applyBorder="1" applyAlignment="1">
      <alignment vertical="center"/>
    </xf>
    <xf numFmtId="0" fontId="14" fillId="0" borderId="19" xfId="0" applyFont="1" applyFill="1" applyBorder="1" applyAlignment="1">
      <alignment vertical="center"/>
    </xf>
    <xf numFmtId="0" fontId="8" fillId="0" borderId="18" xfId="0" applyFont="1" applyFill="1" applyBorder="1" applyAlignment="1">
      <alignment vertical="center" wrapText="1"/>
    </xf>
    <xf numFmtId="0" fontId="8" fillId="0" borderId="19" xfId="0" applyFont="1" applyFill="1" applyBorder="1" applyAlignment="1">
      <alignment vertical="center" wrapText="1"/>
    </xf>
    <xf numFmtId="0" fontId="8" fillId="0" borderId="21" xfId="0" applyFont="1" applyFill="1" applyBorder="1" applyAlignment="1">
      <alignment vertical="top" wrapText="1" shrinkToFit="1"/>
    </xf>
    <xf numFmtId="0" fontId="8" fillId="0" borderId="19" xfId="0" applyFont="1" applyFill="1" applyBorder="1" applyAlignment="1">
      <alignment vertical="top" wrapText="1" shrinkToFit="1"/>
    </xf>
    <xf numFmtId="0" fontId="8" fillId="0" borderId="22" xfId="0" applyFont="1" applyFill="1" applyBorder="1" applyAlignment="1">
      <alignment vertical="center" wrapText="1"/>
    </xf>
    <xf numFmtId="0" fontId="8" fillId="0" borderId="23" xfId="0" applyFont="1" applyFill="1" applyBorder="1" applyAlignment="1">
      <alignment vertical="center" wrapText="1"/>
    </xf>
    <xf numFmtId="0" fontId="8" fillId="0" borderId="24" xfId="0" applyFont="1" applyFill="1" applyBorder="1" applyAlignment="1">
      <alignment vertical="top" wrapText="1" shrinkToFit="1"/>
    </xf>
    <xf numFmtId="0" fontId="8" fillId="0" borderId="23" xfId="0" applyFont="1" applyFill="1" applyBorder="1" applyAlignment="1">
      <alignment vertical="top" wrapText="1" shrinkToFit="1"/>
    </xf>
    <xf numFmtId="0" fontId="8" fillId="0" borderId="20" xfId="0" applyFont="1" applyFill="1" applyBorder="1" applyAlignment="1">
      <alignment vertical="center" wrapText="1"/>
    </xf>
    <xf numFmtId="0" fontId="8" fillId="0" borderId="21" xfId="0" applyFont="1" applyFill="1" applyBorder="1" applyAlignment="1">
      <alignment vertical="center" wrapText="1"/>
    </xf>
    <xf numFmtId="0" fontId="6" fillId="0" borderId="2" xfId="2" applyFill="1" applyBorder="1" applyAlignment="1">
      <alignment horizontal="left" vertical="center" shrinkToFit="1"/>
    </xf>
    <xf numFmtId="0" fontId="13" fillId="0" borderId="3" xfId="0" applyFont="1" applyFill="1" applyBorder="1" applyAlignment="1">
      <alignment horizontal="left" vertical="center" shrinkToFit="1"/>
    </xf>
    <xf numFmtId="0" fontId="13" fillId="0" borderId="4" xfId="0" applyFont="1" applyFill="1" applyBorder="1" applyAlignment="1">
      <alignment horizontal="left" vertical="center" shrinkToFit="1"/>
    </xf>
    <xf numFmtId="0" fontId="8" fillId="0" borderId="20" xfId="0" applyFont="1" applyFill="1" applyBorder="1" applyAlignment="1">
      <alignment vertical="top" wrapText="1" shrinkToFit="1"/>
    </xf>
    <xf numFmtId="0" fontId="13" fillId="0" borderId="0" xfId="0" applyFont="1" applyFill="1" applyAlignment="1">
      <alignment vertical="top" wrapText="1"/>
    </xf>
    <xf numFmtId="0" fontId="8" fillId="0" borderId="8" xfId="0" applyFont="1" applyFill="1" applyBorder="1" applyAlignment="1">
      <alignment horizontal="left" vertical="top" wrapText="1" shrinkToFit="1"/>
    </xf>
    <xf numFmtId="0" fontId="8" fillId="0" borderId="9" xfId="0" applyFont="1" applyFill="1" applyBorder="1" applyAlignment="1">
      <alignment horizontal="left" vertical="top" wrapText="1" shrinkToFit="1"/>
    </xf>
    <xf numFmtId="0" fontId="8" fillId="0" borderId="5" xfId="0" applyFont="1" applyFill="1" applyBorder="1" applyAlignment="1">
      <alignment horizontal="left" vertical="top" wrapText="1" shrinkToFit="1"/>
    </xf>
    <xf numFmtId="0" fontId="8" fillId="0" borderId="0" xfId="0" applyFont="1" applyFill="1" applyBorder="1" applyAlignment="1">
      <alignment horizontal="left" vertical="top" wrapText="1" shrinkToFit="1"/>
    </xf>
    <xf numFmtId="0" fontId="8" fillId="0" borderId="10" xfId="0" applyFont="1" applyFill="1" applyBorder="1" applyAlignment="1">
      <alignment horizontal="left" vertical="top" wrapText="1" shrinkToFit="1"/>
    </xf>
    <xf numFmtId="0" fontId="8" fillId="0" borderId="11" xfId="0" applyFont="1" applyFill="1" applyBorder="1" applyAlignment="1">
      <alignment horizontal="left" vertical="top" wrapText="1" shrinkToFit="1"/>
    </xf>
    <xf numFmtId="0" fontId="8" fillId="0" borderId="6" xfId="0" applyFont="1" applyFill="1" applyBorder="1" applyAlignment="1">
      <alignment horizontal="left" vertical="top" wrapText="1" shrinkToFit="1"/>
    </xf>
    <xf numFmtId="0" fontId="8" fillId="0" borderId="12" xfId="0" applyFont="1" applyFill="1" applyBorder="1" applyAlignment="1">
      <alignment horizontal="left" vertical="top"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ducation@sc.kogakuin.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ogakuin.ac.jp/about/action/mdash_program.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ogakuin.ac.jp/about/action/mdash_program.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opLeftCell="A31" zoomScaleNormal="100" workbookViewId="0">
      <selection activeCell="P45" sqref="P45"/>
    </sheetView>
  </sheetViews>
  <sheetFormatPr defaultColWidth="9" defaultRowHeight="18.75" customHeight="1" x14ac:dyDescent="0.15"/>
  <cols>
    <col min="1" max="1" width="2.5" style="2" customWidth="1"/>
    <col min="2" max="2" width="12.5" style="2" customWidth="1"/>
    <col min="3" max="8" width="6.25" style="2" customWidth="1"/>
    <col min="9" max="9" width="2.5" style="2" customWidth="1"/>
    <col min="10" max="10" width="10" style="2" customWidth="1"/>
    <col min="11" max="11" width="2.5" style="2" customWidth="1"/>
    <col min="12" max="12" width="7.5" style="2" customWidth="1"/>
    <col min="13" max="13" width="2.5" style="2" customWidth="1"/>
    <col min="14" max="14" width="7.5" style="2" customWidth="1"/>
    <col min="15" max="16384" width="9" style="2"/>
  </cols>
  <sheetData>
    <row r="1" spans="1:14" ht="22.5" customHeight="1" x14ac:dyDescent="0.15">
      <c r="M1" s="106" t="s">
        <v>29</v>
      </c>
      <c r="N1" s="106"/>
    </row>
    <row r="2" spans="1:14" ht="22.5" customHeight="1" x14ac:dyDescent="0.15">
      <c r="A2" s="111" t="s">
        <v>137</v>
      </c>
      <c r="B2" s="111"/>
      <c r="C2" s="111"/>
      <c r="D2" s="111"/>
      <c r="E2" s="111"/>
      <c r="F2" s="111"/>
      <c r="G2" s="111"/>
      <c r="H2" s="111"/>
      <c r="I2" s="111"/>
      <c r="J2" s="111"/>
      <c r="K2" s="111"/>
      <c r="L2" s="111"/>
      <c r="M2" s="111"/>
      <c r="N2" s="111"/>
    </row>
    <row r="3" spans="1:14" ht="22.5" customHeight="1" x14ac:dyDescent="0.15"/>
    <row r="4" spans="1:14" ht="22.5" customHeight="1" x14ac:dyDescent="0.15">
      <c r="A4" s="2" t="s">
        <v>7</v>
      </c>
      <c r="B4" s="3" t="s">
        <v>20</v>
      </c>
      <c r="C4" s="93" t="s">
        <v>138</v>
      </c>
      <c r="D4" s="94"/>
      <c r="E4" s="94"/>
      <c r="F4" s="94"/>
      <c r="G4" s="94"/>
      <c r="H4" s="94"/>
      <c r="I4" s="94"/>
      <c r="J4" s="94"/>
      <c r="K4" s="94"/>
      <c r="L4" s="94"/>
      <c r="M4" s="94"/>
      <c r="N4" s="95"/>
    </row>
    <row r="5" spans="1:14" ht="7.5" customHeight="1" x14ac:dyDescent="0.15">
      <c r="B5" s="3"/>
      <c r="C5" s="3"/>
      <c r="D5" s="3"/>
      <c r="E5" s="4"/>
      <c r="F5" s="5"/>
      <c r="G5" s="5"/>
      <c r="H5" s="5"/>
      <c r="I5" s="5"/>
      <c r="J5" s="5"/>
      <c r="K5" s="5"/>
      <c r="L5" s="5"/>
      <c r="M5" s="5"/>
      <c r="N5" s="5"/>
    </row>
    <row r="6" spans="1:14" ht="22.5" customHeight="1" x14ac:dyDescent="0.15">
      <c r="A6" s="2" t="s">
        <v>56</v>
      </c>
      <c r="B6" s="3" t="s">
        <v>57</v>
      </c>
      <c r="C6" s="3"/>
      <c r="D6" s="93" t="s">
        <v>251</v>
      </c>
      <c r="E6" s="94"/>
      <c r="F6" s="94"/>
      <c r="G6" s="94"/>
      <c r="H6" s="94"/>
      <c r="I6" s="94"/>
      <c r="J6" s="94"/>
      <c r="K6" s="94"/>
      <c r="L6" s="94"/>
      <c r="M6" s="94"/>
      <c r="N6" s="95"/>
    </row>
    <row r="7" spans="1:14" ht="7.5" customHeight="1" x14ac:dyDescent="0.15">
      <c r="B7" s="3"/>
      <c r="C7" s="3"/>
      <c r="D7" s="3"/>
      <c r="E7" s="4"/>
      <c r="F7" s="5"/>
      <c r="G7" s="5"/>
      <c r="H7" s="5"/>
      <c r="I7" s="5"/>
      <c r="J7" s="5"/>
      <c r="K7" s="5"/>
      <c r="L7" s="5"/>
      <c r="M7" s="5"/>
      <c r="N7" s="5"/>
    </row>
    <row r="8" spans="1:14" ht="22.5" customHeight="1" x14ac:dyDescent="0.15">
      <c r="A8" s="6" t="s">
        <v>13</v>
      </c>
      <c r="B8" s="7" t="s">
        <v>58</v>
      </c>
      <c r="C8" s="93" t="s">
        <v>139</v>
      </c>
      <c r="D8" s="94"/>
      <c r="E8" s="95"/>
      <c r="F8" s="5"/>
      <c r="G8" s="110"/>
      <c r="H8" s="110"/>
      <c r="I8" s="110"/>
      <c r="J8" s="5"/>
      <c r="K8" s="5"/>
      <c r="L8" s="5"/>
      <c r="M8" s="5"/>
      <c r="N8" s="5"/>
    </row>
    <row r="9" spans="1:14" ht="7.5" customHeight="1" x14ac:dyDescent="0.15">
      <c r="B9" s="3"/>
      <c r="C9" s="3"/>
      <c r="D9" s="3"/>
      <c r="E9" s="4"/>
      <c r="F9" s="5"/>
      <c r="G9" s="5"/>
      <c r="H9" s="5"/>
      <c r="I9" s="5"/>
      <c r="J9" s="5"/>
      <c r="K9" s="5"/>
      <c r="L9" s="5"/>
      <c r="M9" s="5"/>
      <c r="N9" s="5"/>
    </row>
    <row r="10" spans="1:14" ht="22.5" customHeight="1" x14ac:dyDescent="0.15">
      <c r="A10" s="2" t="s">
        <v>17</v>
      </c>
      <c r="B10" s="3" t="s">
        <v>53</v>
      </c>
      <c r="C10" s="93" t="s">
        <v>140</v>
      </c>
      <c r="D10" s="94"/>
      <c r="E10" s="94"/>
      <c r="F10" s="94"/>
      <c r="G10" s="94"/>
      <c r="H10" s="94"/>
      <c r="I10" s="94"/>
      <c r="J10" s="94"/>
      <c r="K10" s="94"/>
      <c r="L10" s="94"/>
      <c r="M10" s="94"/>
      <c r="N10" s="95"/>
    </row>
    <row r="11" spans="1:14" ht="7.5" customHeight="1" x14ac:dyDescent="0.15">
      <c r="B11" s="3"/>
      <c r="C11" s="3"/>
      <c r="D11" s="3"/>
      <c r="E11" s="4"/>
      <c r="F11" s="5"/>
      <c r="G11" s="5"/>
      <c r="H11" s="5"/>
      <c r="I11" s="5"/>
      <c r="J11" s="5"/>
      <c r="K11" s="5"/>
      <c r="L11" s="5"/>
      <c r="M11" s="5"/>
      <c r="N11" s="5"/>
    </row>
    <row r="12" spans="1:14" ht="22.5" customHeight="1" x14ac:dyDescent="0.15">
      <c r="A12" s="2" t="s">
        <v>14</v>
      </c>
      <c r="B12" s="3" t="s">
        <v>133</v>
      </c>
      <c r="C12" s="3"/>
      <c r="D12" s="3"/>
      <c r="E12" s="5"/>
      <c r="F12" s="8"/>
      <c r="G12" s="112" t="s">
        <v>153</v>
      </c>
      <c r="H12" s="113"/>
      <c r="I12" s="113"/>
      <c r="J12" s="113"/>
      <c r="K12" s="113"/>
      <c r="L12" s="113"/>
      <c r="M12" s="113"/>
      <c r="N12" s="114"/>
    </row>
    <row r="13" spans="1:14" ht="7.5" customHeight="1" x14ac:dyDescent="0.15">
      <c r="B13" s="4"/>
      <c r="C13" s="4"/>
      <c r="D13" s="4"/>
      <c r="E13" s="4"/>
      <c r="F13" s="5"/>
      <c r="G13" s="5"/>
      <c r="H13" s="5"/>
      <c r="I13" s="5"/>
      <c r="J13" s="5"/>
      <c r="K13" s="5"/>
      <c r="L13" s="5"/>
      <c r="M13" s="5"/>
      <c r="N13" s="5"/>
    </row>
    <row r="14" spans="1:14" ht="22.5" customHeight="1" x14ac:dyDescent="0.15">
      <c r="A14" s="2" t="s">
        <v>68</v>
      </c>
      <c r="B14" s="4" t="s">
        <v>69</v>
      </c>
      <c r="C14" s="4"/>
      <c r="D14" s="4"/>
      <c r="E14" s="4"/>
      <c r="F14" s="93" t="s">
        <v>141</v>
      </c>
      <c r="G14" s="94"/>
      <c r="H14" s="95"/>
      <c r="I14" s="5"/>
      <c r="J14" s="5"/>
      <c r="K14" s="5"/>
      <c r="L14" s="5"/>
      <c r="M14" s="5"/>
      <c r="N14" s="5"/>
    </row>
    <row r="15" spans="1:14" ht="7.5" customHeight="1" x14ac:dyDescent="0.15">
      <c r="B15" s="4"/>
      <c r="C15" s="4"/>
      <c r="D15" s="4"/>
      <c r="E15" s="4"/>
      <c r="F15" s="5"/>
      <c r="G15" s="5"/>
      <c r="H15" s="5"/>
      <c r="I15" s="5"/>
      <c r="J15" s="5"/>
      <c r="K15" s="5"/>
      <c r="L15" s="5"/>
      <c r="M15" s="5"/>
      <c r="N15" s="5"/>
    </row>
    <row r="16" spans="1:14" ht="22.5" customHeight="1" x14ac:dyDescent="0.15">
      <c r="A16" s="2" t="s">
        <v>15</v>
      </c>
      <c r="B16" s="2" t="s">
        <v>0</v>
      </c>
      <c r="C16" s="107" t="s">
        <v>6</v>
      </c>
      <c r="D16" s="108"/>
      <c r="E16" s="91">
        <v>231</v>
      </c>
      <c r="F16" s="92"/>
      <c r="G16" s="9" t="s">
        <v>10</v>
      </c>
      <c r="I16" s="107" t="s">
        <v>11</v>
      </c>
      <c r="J16" s="108"/>
      <c r="K16" s="91">
        <v>376</v>
      </c>
      <c r="L16" s="109"/>
      <c r="M16" s="92"/>
      <c r="N16" s="10" t="s">
        <v>10</v>
      </c>
    </row>
    <row r="17" spans="1:14" ht="7.5" customHeight="1" x14ac:dyDescent="0.15">
      <c r="F17" s="11"/>
      <c r="G17" s="11"/>
      <c r="H17" s="11"/>
      <c r="I17" s="11"/>
      <c r="J17" s="11"/>
      <c r="K17" s="11"/>
      <c r="L17" s="11"/>
      <c r="M17" s="10"/>
      <c r="N17" s="10"/>
    </row>
    <row r="18" spans="1:14" ht="22.5" customHeight="1" x14ac:dyDescent="0.15">
      <c r="A18" s="2" t="s">
        <v>62</v>
      </c>
      <c r="B18" s="2" t="s">
        <v>92</v>
      </c>
      <c r="F18" s="11"/>
      <c r="G18" s="11"/>
      <c r="H18" s="11"/>
      <c r="I18" s="11"/>
      <c r="J18" s="11"/>
      <c r="K18" s="103">
        <v>52</v>
      </c>
      <c r="L18" s="104"/>
      <c r="M18" s="105"/>
      <c r="N18" s="10" t="s">
        <v>60</v>
      </c>
    </row>
    <row r="19" spans="1:14" ht="7.5" customHeight="1" x14ac:dyDescent="0.15">
      <c r="F19" s="11"/>
      <c r="G19" s="11"/>
      <c r="H19" s="11"/>
      <c r="I19" s="11"/>
      <c r="J19" s="11"/>
      <c r="K19" s="11"/>
      <c r="L19" s="11"/>
      <c r="M19" s="10"/>
      <c r="N19" s="10"/>
    </row>
    <row r="20" spans="1:14" ht="22.5" customHeight="1" x14ac:dyDescent="0.15">
      <c r="A20" s="2" t="s">
        <v>70</v>
      </c>
      <c r="B20" s="2" t="s">
        <v>130</v>
      </c>
      <c r="E20" s="91">
        <v>1399</v>
      </c>
      <c r="F20" s="92"/>
      <c r="G20" s="12" t="s">
        <v>25</v>
      </c>
      <c r="H20" s="11"/>
      <c r="K20" s="90"/>
      <c r="L20" s="90"/>
      <c r="M20" s="90"/>
      <c r="N20" s="90"/>
    </row>
    <row r="21" spans="1:14" ht="7.5" customHeight="1" x14ac:dyDescent="0.15">
      <c r="E21" s="13"/>
      <c r="F21" s="11"/>
      <c r="G21" s="11"/>
      <c r="L21" s="14"/>
      <c r="M21" s="14"/>
      <c r="N21" s="15"/>
    </row>
    <row r="22" spans="1:14" ht="22.5" customHeight="1" x14ac:dyDescent="0.15">
      <c r="A22" s="2" t="s">
        <v>28</v>
      </c>
      <c r="B22" s="2" t="s">
        <v>131</v>
      </c>
      <c r="E22" s="13"/>
      <c r="F22" s="11"/>
      <c r="G22" s="11"/>
      <c r="H22" s="2" t="s">
        <v>61</v>
      </c>
      <c r="J22" s="97">
        <v>5652</v>
      </c>
      <c r="K22" s="98"/>
      <c r="L22" s="99"/>
      <c r="M22" s="14" t="s">
        <v>60</v>
      </c>
      <c r="N22" s="15"/>
    </row>
    <row r="23" spans="1:14" ht="7.5" customHeight="1" x14ac:dyDescent="0.15">
      <c r="E23" s="13"/>
      <c r="F23" s="11"/>
      <c r="G23" s="11"/>
      <c r="L23" s="14"/>
      <c r="M23" s="14"/>
      <c r="N23" s="15"/>
    </row>
    <row r="24" spans="1:14" ht="22.5" customHeight="1" x14ac:dyDescent="0.15">
      <c r="B24" s="16" t="s">
        <v>21</v>
      </c>
      <c r="C24" s="91">
        <v>1429</v>
      </c>
      <c r="D24" s="92"/>
      <c r="E24" s="13" t="s">
        <v>26</v>
      </c>
      <c r="F24" s="11"/>
      <c r="G24" s="96" t="s">
        <v>22</v>
      </c>
      <c r="H24" s="96"/>
      <c r="I24" s="91">
        <v>1558</v>
      </c>
      <c r="J24" s="92"/>
      <c r="K24" s="6" t="s">
        <v>26</v>
      </c>
      <c r="M24" s="14"/>
      <c r="N24" s="15"/>
    </row>
    <row r="25" spans="1:14" ht="7.5" customHeight="1" x14ac:dyDescent="0.15">
      <c r="B25" s="16"/>
      <c r="C25" s="17"/>
      <c r="D25" s="17"/>
      <c r="E25" s="13"/>
      <c r="F25" s="11"/>
      <c r="G25" s="14"/>
      <c r="H25" s="14"/>
      <c r="I25" s="17"/>
      <c r="J25" s="17"/>
      <c r="K25" s="6"/>
      <c r="M25" s="14"/>
      <c r="N25" s="15"/>
    </row>
    <row r="26" spans="1:14" ht="22.5" customHeight="1" x14ac:dyDescent="0.15">
      <c r="B26" s="16" t="s">
        <v>23</v>
      </c>
      <c r="C26" s="91">
        <v>1333</v>
      </c>
      <c r="D26" s="92"/>
      <c r="E26" s="13" t="s">
        <v>26</v>
      </c>
      <c r="F26" s="11"/>
      <c r="G26" s="96" t="s">
        <v>24</v>
      </c>
      <c r="H26" s="96"/>
      <c r="I26" s="91">
        <v>1332</v>
      </c>
      <c r="J26" s="92"/>
      <c r="K26" s="6" t="s">
        <v>26</v>
      </c>
      <c r="M26" s="14"/>
      <c r="N26" s="15"/>
    </row>
    <row r="27" spans="1:14" ht="7.5" customHeight="1" x14ac:dyDescent="0.15">
      <c r="B27" s="16"/>
      <c r="C27" s="17"/>
      <c r="D27" s="17"/>
      <c r="E27" s="13"/>
      <c r="F27" s="11"/>
      <c r="G27" s="14"/>
      <c r="H27" s="14"/>
      <c r="I27" s="17"/>
      <c r="J27" s="17"/>
      <c r="K27" s="6"/>
      <c r="M27" s="14"/>
      <c r="N27" s="15"/>
    </row>
    <row r="28" spans="1:14" ht="22.5" customHeight="1" x14ac:dyDescent="0.15">
      <c r="B28" s="16" t="s">
        <v>54</v>
      </c>
      <c r="C28" s="91"/>
      <c r="D28" s="92"/>
      <c r="E28" s="13" t="s">
        <v>10</v>
      </c>
      <c r="F28" s="11"/>
      <c r="G28" s="96" t="s">
        <v>55</v>
      </c>
      <c r="H28" s="96"/>
      <c r="I28" s="91"/>
      <c r="J28" s="92"/>
      <c r="K28" s="6" t="s">
        <v>10</v>
      </c>
      <c r="M28" s="14"/>
      <c r="N28" s="15"/>
    </row>
    <row r="29" spans="1:14" ht="7.5" customHeight="1" x14ac:dyDescent="0.15">
      <c r="F29" s="11"/>
      <c r="G29" s="11"/>
      <c r="M29" s="18"/>
      <c r="N29" s="18"/>
    </row>
    <row r="30" spans="1:14" ht="22.5" customHeight="1" x14ac:dyDescent="0.15">
      <c r="A30" s="2" t="s">
        <v>129</v>
      </c>
      <c r="B30" s="3" t="s">
        <v>120</v>
      </c>
      <c r="C30" s="3"/>
      <c r="D30" s="3"/>
      <c r="E30" s="3"/>
      <c r="F30" s="6"/>
      <c r="G30" s="5"/>
      <c r="H30" s="5"/>
      <c r="I30" s="5"/>
      <c r="J30" s="19"/>
      <c r="K30" s="19"/>
      <c r="L30" s="19"/>
      <c r="M30" s="19"/>
      <c r="N30" s="19"/>
    </row>
    <row r="31" spans="1:14" ht="22.5" customHeight="1" x14ac:dyDescent="0.15">
      <c r="B31" s="100" t="s">
        <v>119</v>
      </c>
      <c r="C31" s="100"/>
      <c r="D31" s="93" t="s">
        <v>143</v>
      </c>
      <c r="E31" s="94"/>
      <c r="F31" s="94"/>
      <c r="G31" s="101" t="s">
        <v>27</v>
      </c>
      <c r="H31" s="100"/>
      <c r="I31" s="102"/>
      <c r="J31" s="93" t="s">
        <v>142</v>
      </c>
      <c r="K31" s="94"/>
      <c r="L31" s="94"/>
      <c r="M31" s="94"/>
      <c r="N31" s="95"/>
    </row>
    <row r="32" spans="1:14" ht="7.5" customHeight="1" x14ac:dyDescent="0.15">
      <c r="F32" s="11"/>
      <c r="G32" s="11"/>
      <c r="M32" s="18"/>
      <c r="N32" s="18"/>
    </row>
    <row r="33" spans="1:14" ht="22.5" customHeight="1" x14ac:dyDescent="0.15">
      <c r="A33" s="2" t="s">
        <v>59</v>
      </c>
      <c r="B33" s="3" t="s">
        <v>134</v>
      </c>
      <c r="C33" s="3"/>
      <c r="D33" s="3"/>
      <c r="E33" s="3"/>
      <c r="F33" s="6"/>
      <c r="G33" s="19"/>
      <c r="H33" s="19"/>
      <c r="I33" s="19"/>
      <c r="J33" s="19"/>
      <c r="K33" s="19"/>
      <c r="L33" s="19"/>
      <c r="M33" s="19"/>
      <c r="N33" s="19"/>
    </row>
    <row r="34" spans="1:14" ht="22.5" customHeight="1" x14ac:dyDescent="0.15">
      <c r="B34" s="93" t="s">
        <v>195</v>
      </c>
      <c r="C34" s="94"/>
      <c r="D34" s="94"/>
      <c r="E34" s="94"/>
      <c r="F34" s="94"/>
      <c r="G34" s="94"/>
      <c r="H34" s="94"/>
      <c r="I34" s="94"/>
      <c r="J34" s="94"/>
      <c r="K34" s="94"/>
      <c r="L34" s="94"/>
      <c r="M34" s="94"/>
      <c r="N34" s="95"/>
    </row>
    <row r="35" spans="1:14" ht="7.5" customHeight="1" x14ac:dyDescent="0.15">
      <c r="B35" s="20"/>
      <c r="C35" s="20"/>
      <c r="D35" s="20"/>
      <c r="E35" s="20"/>
      <c r="F35" s="20"/>
      <c r="G35" s="20"/>
      <c r="H35" s="20"/>
      <c r="I35" s="20"/>
      <c r="J35" s="20"/>
      <c r="K35" s="20"/>
      <c r="L35" s="20"/>
      <c r="M35" s="20"/>
      <c r="N35" s="20"/>
    </row>
    <row r="36" spans="1:14" ht="22.5" customHeight="1" x14ac:dyDescent="0.15">
      <c r="B36" s="100" t="s">
        <v>119</v>
      </c>
      <c r="C36" s="100"/>
      <c r="D36" s="93" t="s">
        <v>194</v>
      </c>
      <c r="E36" s="94"/>
      <c r="F36" s="94"/>
      <c r="G36" s="101" t="s">
        <v>64</v>
      </c>
      <c r="H36" s="100"/>
      <c r="I36" s="102"/>
      <c r="J36" s="93" t="s">
        <v>196</v>
      </c>
      <c r="K36" s="94"/>
      <c r="L36" s="94"/>
      <c r="M36" s="94"/>
      <c r="N36" s="95"/>
    </row>
    <row r="37" spans="1:14" ht="7.5" customHeight="1" x14ac:dyDescent="0.15">
      <c r="F37" s="5"/>
      <c r="G37" s="5"/>
      <c r="H37" s="5"/>
      <c r="I37" s="5"/>
      <c r="J37" s="5"/>
      <c r="K37" s="5"/>
      <c r="L37" s="5"/>
      <c r="M37" s="5"/>
      <c r="N37" s="5"/>
    </row>
    <row r="38" spans="1:14" ht="22.5" customHeight="1" x14ac:dyDescent="0.15">
      <c r="A38" s="2" t="s">
        <v>63</v>
      </c>
      <c r="B38" s="2" t="s">
        <v>135</v>
      </c>
      <c r="M38" s="18"/>
      <c r="N38" s="18"/>
    </row>
    <row r="39" spans="1:14" ht="22.5" customHeight="1" x14ac:dyDescent="0.15">
      <c r="B39" s="93" t="s">
        <v>197</v>
      </c>
      <c r="C39" s="94"/>
      <c r="D39" s="94"/>
      <c r="E39" s="94"/>
      <c r="F39" s="94"/>
      <c r="G39" s="94"/>
      <c r="H39" s="94"/>
      <c r="I39" s="94"/>
      <c r="J39" s="94"/>
      <c r="K39" s="94"/>
      <c r="L39" s="94"/>
      <c r="M39" s="94"/>
      <c r="N39" s="95"/>
    </row>
    <row r="40" spans="1:14" ht="7.5" customHeight="1" x14ac:dyDescent="0.15">
      <c r="F40" s="5"/>
      <c r="G40" s="5"/>
      <c r="H40" s="5"/>
      <c r="I40" s="5"/>
      <c r="J40" s="5"/>
      <c r="K40" s="5"/>
      <c r="L40" s="5"/>
      <c r="M40" s="5"/>
      <c r="N40" s="5"/>
    </row>
    <row r="41" spans="1:14" ht="22.5" customHeight="1" x14ac:dyDescent="0.15">
      <c r="B41" s="100" t="s">
        <v>119</v>
      </c>
      <c r="C41" s="100"/>
      <c r="D41" s="93" t="s">
        <v>145</v>
      </c>
      <c r="E41" s="94"/>
      <c r="F41" s="94"/>
      <c r="G41" s="101" t="s">
        <v>64</v>
      </c>
      <c r="H41" s="100"/>
      <c r="I41" s="102"/>
      <c r="J41" s="93" t="s">
        <v>144</v>
      </c>
      <c r="K41" s="94"/>
      <c r="L41" s="94"/>
      <c r="M41" s="94"/>
      <c r="N41" s="95"/>
    </row>
    <row r="42" spans="1:14" ht="7.5" customHeight="1" x14ac:dyDescent="0.15">
      <c r="F42" s="5"/>
      <c r="G42" s="5"/>
      <c r="H42" s="5"/>
      <c r="I42" s="5"/>
      <c r="J42" s="5"/>
      <c r="K42" s="5"/>
      <c r="L42" s="5"/>
      <c r="M42" s="5"/>
      <c r="N42" s="5"/>
    </row>
    <row r="43" spans="1:14" ht="22.5" customHeight="1" x14ac:dyDescent="0.15">
      <c r="A43" s="2" t="s">
        <v>71</v>
      </c>
      <c r="B43" s="2" t="s">
        <v>91</v>
      </c>
      <c r="E43" s="8"/>
      <c r="F43" s="93" t="s">
        <v>262</v>
      </c>
      <c r="G43" s="94"/>
      <c r="H43" s="94"/>
      <c r="I43" s="94"/>
      <c r="J43" s="94"/>
      <c r="K43" s="94"/>
      <c r="L43" s="94"/>
      <c r="M43" s="94"/>
      <c r="N43" s="95"/>
    </row>
    <row r="44" spans="1:14" ht="7.5" customHeight="1" x14ac:dyDescent="0.15">
      <c r="F44" s="5"/>
      <c r="G44" s="5"/>
      <c r="H44" s="5"/>
      <c r="I44" s="5"/>
      <c r="J44" s="5"/>
      <c r="K44" s="5"/>
      <c r="L44" s="5"/>
      <c r="M44" s="5"/>
      <c r="N44" s="5"/>
    </row>
    <row r="45" spans="1:14" ht="22.5" customHeight="1" x14ac:dyDescent="0.15">
      <c r="A45" s="2" t="s">
        <v>3</v>
      </c>
    </row>
    <row r="46" spans="1:14" ht="22.5" customHeight="1" x14ac:dyDescent="0.15">
      <c r="B46" s="21" t="s">
        <v>1</v>
      </c>
      <c r="C46" s="112" t="s">
        <v>252</v>
      </c>
      <c r="D46" s="113"/>
      <c r="E46" s="113"/>
      <c r="F46" s="113"/>
      <c r="G46" s="113"/>
      <c r="H46" s="113"/>
      <c r="I46" s="22" t="s">
        <v>2</v>
      </c>
      <c r="J46" s="23"/>
      <c r="K46" s="93" t="s">
        <v>146</v>
      </c>
      <c r="L46" s="94"/>
      <c r="M46" s="94"/>
      <c r="N46" s="95"/>
    </row>
    <row r="47" spans="1:14" ht="22.5" customHeight="1" x14ac:dyDescent="0.15">
      <c r="B47" s="21" t="s">
        <v>5</v>
      </c>
      <c r="C47" s="115" t="s">
        <v>261</v>
      </c>
      <c r="D47" s="116"/>
      <c r="E47" s="116"/>
      <c r="F47" s="116"/>
      <c r="G47" s="116"/>
      <c r="H47" s="117"/>
      <c r="I47" s="22" t="s">
        <v>4</v>
      </c>
      <c r="J47" s="23"/>
      <c r="K47" s="118" t="s">
        <v>147</v>
      </c>
      <c r="L47" s="119"/>
      <c r="M47" s="119"/>
      <c r="N47" s="12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topLeftCell="A4" zoomScaleNormal="100" workbookViewId="0">
      <selection activeCell="B29" sqref="B29:E29"/>
    </sheetView>
  </sheetViews>
  <sheetFormatPr defaultColWidth="9" defaultRowHeight="18.75" customHeight="1" x14ac:dyDescent="0.15"/>
  <cols>
    <col min="1" max="2" width="2.5" style="1" customWidth="1"/>
    <col min="3" max="3" width="20" style="1" customWidth="1"/>
    <col min="4" max="4" width="8.75" style="1" customWidth="1"/>
    <col min="5" max="5" width="7.5" style="1" customWidth="1"/>
    <col min="6" max="6" width="2.5" style="1" customWidth="1"/>
    <col min="7" max="7" width="15" style="1" customWidth="1"/>
    <col min="8" max="8" width="12.5" style="1" customWidth="1"/>
    <col min="9" max="9" width="11.25" style="1" customWidth="1"/>
    <col min="10" max="16384" width="9" style="1"/>
  </cols>
  <sheetData>
    <row r="1" spans="1:9" ht="18.75" customHeight="1" x14ac:dyDescent="0.15">
      <c r="I1" s="24" t="s">
        <v>104</v>
      </c>
    </row>
    <row r="2" spans="1:9" ht="18.75" customHeight="1" x14ac:dyDescent="0.15">
      <c r="G2" s="25" t="s">
        <v>32</v>
      </c>
      <c r="H2" s="130" t="s">
        <v>154</v>
      </c>
      <c r="I2" s="130"/>
    </row>
    <row r="3" spans="1:9" ht="7.5" customHeight="1" x14ac:dyDescent="0.15"/>
    <row r="4" spans="1:9" ht="18.75" customHeight="1" x14ac:dyDescent="0.15">
      <c r="A4" s="111" t="s">
        <v>89</v>
      </c>
      <c r="B4" s="111"/>
      <c r="C4" s="111"/>
      <c r="D4" s="111"/>
      <c r="E4" s="111"/>
      <c r="F4" s="111"/>
      <c r="G4" s="111"/>
      <c r="H4" s="111"/>
      <c r="I4" s="111"/>
    </row>
    <row r="5" spans="1:9" ht="7.5" customHeight="1" x14ac:dyDescent="0.15">
      <c r="C5" s="16"/>
      <c r="D5" s="16"/>
      <c r="E5" s="16"/>
      <c r="F5" s="16"/>
      <c r="G5" s="16"/>
      <c r="H5" s="16"/>
      <c r="I5" s="16"/>
    </row>
    <row r="6" spans="1:9" ht="18.75" customHeight="1" x14ac:dyDescent="0.15">
      <c r="A6" s="1" t="s">
        <v>7</v>
      </c>
      <c r="B6" s="1" t="s">
        <v>105</v>
      </c>
      <c r="C6" s="16"/>
      <c r="D6" s="16"/>
      <c r="E6" s="103" t="s">
        <v>155</v>
      </c>
      <c r="F6" s="104"/>
      <c r="G6" s="104"/>
      <c r="H6" s="104"/>
      <c r="I6" s="105"/>
    </row>
    <row r="7" spans="1:9" ht="7.5" customHeight="1" x14ac:dyDescent="0.15">
      <c r="C7" s="16"/>
      <c r="D7" s="16"/>
      <c r="F7" s="14"/>
      <c r="G7" s="14"/>
      <c r="H7" s="14"/>
      <c r="I7" s="14"/>
    </row>
    <row r="8" spans="1:9" ht="18.75" customHeight="1" x14ac:dyDescent="0.15">
      <c r="A8" s="1" t="s">
        <v>12</v>
      </c>
      <c r="B8" s="1" t="s">
        <v>106</v>
      </c>
      <c r="C8" s="16"/>
      <c r="D8" s="16"/>
      <c r="E8" s="16"/>
      <c r="F8" s="16"/>
      <c r="G8" s="16"/>
      <c r="H8" s="16"/>
      <c r="I8" s="16"/>
    </row>
    <row r="9" spans="1:9" ht="18.75" customHeight="1" x14ac:dyDescent="0.15">
      <c r="B9" s="121" t="s">
        <v>209</v>
      </c>
      <c r="C9" s="122"/>
      <c r="D9" s="122"/>
      <c r="E9" s="122"/>
      <c r="F9" s="122"/>
      <c r="G9" s="122"/>
      <c r="H9" s="122"/>
      <c r="I9" s="123"/>
    </row>
    <row r="10" spans="1:9" ht="18.75" customHeight="1" x14ac:dyDescent="0.15">
      <c r="B10" s="124"/>
      <c r="C10" s="125"/>
      <c r="D10" s="125"/>
      <c r="E10" s="125"/>
      <c r="F10" s="125"/>
      <c r="G10" s="125"/>
      <c r="H10" s="125"/>
      <c r="I10" s="126"/>
    </row>
    <row r="11" spans="1:9" ht="18.75" customHeight="1" x14ac:dyDescent="0.15">
      <c r="B11" s="124"/>
      <c r="C11" s="125"/>
      <c r="D11" s="125"/>
      <c r="E11" s="125"/>
      <c r="F11" s="125"/>
      <c r="G11" s="125"/>
      <c r="H11" s="125"/>
      <c r="I11" s="126"/>
    </row>
    <row r="12" spans="1:9" ht="18.75" customHeight="1" x14ac:dyDescent="0.15">
      <c r="B12" s="124"/>
      <c r="C12" s="125"/>
      <c r="D12" s="125"/>
      <c r="E12" s="125"/>
      <c r="F12" s="125"/>
      <c r="G12" s="125"/>
      <c r="H12" s="125"/>
      <c r="I12" s="126"/>
    </row>
    <row r="13" spans="1:9" ht="18.75" customHeight="1" x14ac:dyDescent="0.15">
      <c r="B13" s="124"/>
      <c r="C13" s="125"/>
      <c r="D13" s="125"/>
      <c r="E13" s="125"/>
      <c r="F13" s="125"/>
      <c r="G13" s="125"/>
      <c r="H13" s="125"/>
      <c r="I13" s="126"/>
    </row>
    <row r="14" spans="1:9" ht="18.75" customHeight="1" x14ac:dyDescent="0.15">
      <c r="B14" s="124"/>
      <c r="C14" s="125"/>
      <c r="D14" s="125"/>
      <c r="E14" s="125"/>
      <c r="F14" s="125"/>
      <c r="G14" s="125"/>
      <c r="H14" s="125"/>
      <c r="I14" s="126"/>
    </row>
    <row r="15" spans="1:9" ht="18.75" customHeight="1" x14ac:dyDescent="0.15">
      <c r="B15" s="124"/>
      <c r="C15" s="125"/>
      <c r="D15" s="125"/>
      <c r="E15" s="125"/>
      <c r="F15" s="125"/>
      <c r="G15" s="125"/>
      <c r="H15" s="125"/>
      <c r="I15" s="126"/>
    </row>
    <row r="16" spans="1:9" ht="18.75" customHeight="1" x14ac:dyDescent="0.15">
      <c r="B16" s="127"/>
      <c r="C16" s="128"/>
      <c r="D16" s="128"/>
      <c r="E16" s="128"/>
      <c r="F16" s="128"/>
      <c r="G16" s="128"/>
      <c r="H16" s="128"/>
      <c r="I16" s="129"/>
    </row>
    <row r="17" spans="1:10" ht="7.5" customHeight="1" x14ac:dyDescent="0.15">
      <c r="C17" s="16"/>
      <c r="D17" s="16"/>
      <c r="E17" s="16"/>
      <c r="F17" s="16"/>
      <c r="G17" s="16"/>
      <c r="H17" s="16"/>
      <c r="I17" s="16"/>
    </row>
    <row r="18" spans="1:10" ht="18.75" customHeight="1" x14ac:dyDescent="0.15">
      <c r="A18" s="16" t="s">
        <v>13</v>
      </c>
      <c r="B18" s="3" t="s">
        <v>107</v>
      </c>
      <c r="C18" s="3"/>
      <c r="D18" s="3"/>
      <c r="E18" s="3"/>
      <c r="F18" s="16"/>
      <c r="G18" s="16"/>
      <c r="H18" s="16"/>
      <c r="I18" s="16"/>
      <c r="J18" s="16"/>
    </row>
    <row r="19" spans="1:10" ht="18.75" customHeight="1" x14ac:dyDescent="0.15">
      <c r="A19" s="131" t="s">
        <v>107</v>
      </c>
      <c r="B19" s="131"/>
      <c r="C19" s="131"/>
      <c r="D19" s="131"/>
      <c r="E19" s="131"/>
      <c r="F19" s="132" t="s">
        <v>107</v>
      </c>
      <c r="G19" s="132"/>
      <c r="H19" s="132"/>
      <c r="I19" s="132"/>
    </row>
    <row r="20" spans="1:10" ht="18.75" customHeight="1" x14ac:dyDescent="0.15">
      <c r="A20" s="26">
        <v>1</v>
      </c>
      <c r="B20" s="112" t="s">
        <v>156</v>
      </c>
      <c r="C20" s="113"/>
      <c r="D20" s="113"/>
      <c r="E20" s="114"/>
      <c r="F20" s="26">
        <v>26</v>
      </c>
      <c r="G20" s="112" t="s">
        <v>234</v>
      </c>
      <c r="H20" s="113"/>
      <c r="I20" s="114"/>
    </row>
    <row r="21" spans="1:10" ht="18.75" customHeight="1" x14ac:dyDescent="0.15">
      <c r="A21" s="26">
        <v>2</v>
      </c>
      <c r="B21" s="112" t="s">
        <v>157</v>
      </c>
      <c r="C21" s="113"/>
      <c r="D21" s="113"/>
      <c r="E21" s="114"/>
      <c r="F21" s="26">
        <v>27</v>
      </c>
      <c r="G21" s="112" t="s">
        <v>235</v>
      </c>
      <c r="H21" s="113"/>
      <c r="I21" s="114"/>
    </row>
    <row r="22" spans="1:10" ht="18.75" customHeight="1" x14ac:dyDescent="0.15">
      <c r="A22" s="26">
        <v>3</v>
      </c>
      <c r="B22" s="112" t="s">
        <v>159</v>
      </c>
      <c r="C22" s="113"/>
      <c r="D22" s="113"/>
      <c r="E22" s="114"/>
      <c r="F22" s="26">
        <v>28</v>
      </c>
      <c r="G22" s="112" t="s">
        <v>236</v>
      </c>
      <c r="H22" s="113"/>
      <c r="I22" s="114"/>
    </row>
    <row r="23" spans="1:10" ht="18.75" customHeight="1" x14ac:dyDescent="0.15">
      <c r="A23" s="26">
        <v>4</v>
      </c>
      <c r="B23" s="112" t="s">
        <v>160</v>
      </c>
      <c r="C23" s="113"/>
      <c r="D23" s="113"/>
      <c r="E23" s="114"/>
      <c r="F23" s="26">
        <v>29</v>
      </c>
      <c r="G23" s="112" t="s">
        <v>237</v>
      </c>
      <c r="H23" s="113"/>
      <c r="I23" s="114"/>
    </row>
    <row r="24" spans="1:10" ht="18.75" customHeight="1" x14ac:dyDescent="0.15">
      <c r="A24" s="26">
        <v>5</v>
      </c>
      <c r="B24" s="112" t="s">
        <v>161</v>
      </c>
      <c r="C24" s="113"/>
      <c r="D24" s="113"/>
      <c r="E24" s="114"/>
      <c r="F24" s="26">
        <v>30</v>
      </c>
      <c r="G24" s="112" t="s">
        <v>238</v>
      </c>
      <c r="H24" s="113"/>
      <c r="I24" s="114"/>
    </row>
    <row r="25" spans="1:10" ht="18.75" customHeight="1" x14ac:dyDescent="0.15">
      <c r="A25" s="26">
        <v>6</v>
      </c>
      <c r="B25" s="112" t="s">
        <v>162</v>
      </c>
      <c r="C25" s="113"/>
      <c r="D25" s="113"/>
      <c r="E25" s="114"/>
      <c r="F25" s="26">
        <v>31</v>
      </c>
      <c r="G25" s="112" t="s">
        <v>239</v>
      </c>
      <c r="H25" s="113"/>
      <c r="I25" s="114"/>
    </row>
    <row r="26" spans="1:10" ht="18.75" customHeight="1" x14ac:dyDescent="0.15">
      <c r="A26" s="26">
        <v>7</v>
      </c>
      <c r="B26" s="112" t="s">
        <v>163</v>
      </c>
      <c r="C26" s="113"/>
      <c r="D26" s="113"/>
      <c r="E26" s="114"/>
      <c r="F26" s="26">
        <v>32</v>
      </c>
      <c r="G26" s="112" t="s">
        <v>240</v>
      </c>
      <c r="H26" s="113"/>
      <c r="I26" s="114"/>
    </row>
    <row r="27" spans="1:10" ht="18.75" customHeight="1" x14ac:dyDescent="0.15">
      <c r="A27" s="26">
        <v>8</v>
      </c>
      <c r="B27" s="112" t="s">
        <v>164</v>
      </c>
      <c r="C27" s="113"/>
      <c r="D27" s="113"/>
      <c r="E27" s="114"/>
      <c r="F27" s="26">
        <v>33</v>
      </c>
      <c r="G27" s="27" t="s">
        <v>216</v>
      </c>
      <c r="H27" s="28"/>
      <c r="I27" s="29"/>
    </row>
    <row r="28" spans="1:10" ht="18.75" customHeight="1" x14ac:dyDescent="0.15">
      <c r="A28" s="26">
        <v>9</v>
      </c>
      <c r="B28" s="112" t="s">
        <v>165</v>
      </c>
      <c r="C28" s="113"/>
      <c r="D28" s="113"/>
      <c r="E28" s="114"/>
      <c r="F28" s="26">
        <v>34</v>
      </c>
      <c r="G28" s="27" t="s">
        <v>217</v>
      </c>
      <c r="H28" s="28"/>
      <c r="I28" s="29"/>
    </row>
    <row r="29" spans="1:10" ht="18.75" customHeight="1" x14ac:dyDescent="0.15">
      <c r="A29" s="26">
        <v>10</v>
      </c>
      <c r="B29" s="112" t="s">
        <v>172</v>
      </c>
      <c r="C29" s="113"/>
      <c r="D29" s="113"/>
      <c r="E29" s="114"/>
      <c r="F29" s="26">
        <v>35</v>
      </c>
      <c r="G29" s="27" t="s">
        <v>218</v>
      </c>
      <c r="H29" s="28"/>
      <c r="I29" s="29"/>
    </row>
    <row r="30" spans="1:10" ht="18.75" customHeight="1" x14ac:dyDescent="0.15">
      <c r="A30" s="26">
        <v>11</v>
      </c>
      <c r="B30" s="112" t="s">
        <v>166</v>
      </c>
      <c r="C30" s="113"/>
      <c r="D30" s="113"/>
      <c r="E30" s="114"/>
      <c r="F30" s="26">
        <v>36</v>
      </c>
      <c r="G30" s="27" t="s">
        <v>219</v>
      </c>
      <c r="H30" s="28"/>
      <c r="I30" s="29"/>
    </row>
    <row r="31" spans="1:10" ht="18.75" customHeight="1" x14ac:dyDescent="0.15">
      <c r="A31" s="26">
        <v>12</v>
      </c>
      <c r="B31" s="112" t="s">
        <v>169</v>
      </c>
      <c r="C31" s="113"/>
      <c r="D31" s="113"/>
      <c r="E31" s="114"/>
      <c r="F31" s="26">
        <v>37</v>
      </c>
      <c r="G31" s="27" t="s">
        <v>220</v>
      </c>
      <c r="H31" s="28"/>
      <c r="I31" s="29"/>
    </row>
    <row r="32" spans="1:10" ht="18.75" customHeight="1" x14ac:dyDescent="0.15">
      <c r="A32" s="26">
        <v>13</v>
      </c>
      <c r="B32" s="112" t="s">
        <v>167</v>
      </c>
      <c r="C32" s="113"/>
      <c r="D32" s="113"/>
      <c r="E32" s="114"/>
      <c r="F32" s="26">
        <v>38</v>
      </c>
      <c r="G32" s="112" t="s">
        <v>221</v>
      </c>
      <c r="H32" s="113"/>
      <c r="I32" s="114"/>
    </row>
    <row r="33" spans="1:9" ht="18.75" customHeight="1" x14ac:dyDescent="0.15">
      <c r="A33" s="26">
        <v>14</v>
      </c>
      <c r="B33" s="112" t="s">
        <v>168</v>
      </c>
      <c r="C33" s="113"/>
      <c r="D33" s="113"/>
      <c r="E33" s="114"/>
      <c r="F33" s="26">
        <v>39</v>
      </c>
      <c r="G33" s="112" t="s">
        <v>222</v>
      </c>
      <c r="H33" s="113"/>
      <c r="I33" s="114"/>
    </row>
    <row r="34" spans="1:9" ht="18.75" customHeight="1" x14ac:dyDescent="0.15">
      <c r="A34" s="26">
        <v>15</v>
      </c>
      <c r="B34" s="112" t="s">
        <v>192</v>
      </c>
      <c r="C34" s="113"/>
      <c r="D34" s="113"/>
      <c r="E34" s="114"/>
      <c r="F34" s="26">
        <v>40</v>
      </c>
      <c r="G34" s="112" t="s">
        <v>223</v>
      </c>
      <c r="H34" s="113"/>
      <c r="I34" s="114"/>
    </row>
    <row r="35" spans="1:9" ht="18.75" customHeight="1" x14ac:dyDescent="0.15">
      <c r="A35" s="26">
        <v>16</v>
      </c>
      <c r="B35" s="112" t="s">
        <v>210</v>
      </c>
      <c r="C35" s="113"/>
      <c r="D35" s="113"/>
      <c r="E35" s="114"/>
      <c r="F35" s="26">
        <v>41</v>
      </c>
      <c r="G35" s="112" t="s">
        <v>224</v>
      </c>
      <c r="H35" s="113"/>
      <c r="I35" s="114"/>
    </row>
    <row r="36" spans="1:9" ht="18.75" customHeight="1" x14ac:dyDescent="0.15">
      <c r="A36" s="26">
        <v>17</v>
      </c>
      <c r="B36" s="112" t="s">
        <v>211</v>
      </c>
      <c r="C36" s="113"/>
      <c r="D36" s="113"/>
      <c r="E36" s="114"/>
      <c r="F36" s="26">
        <v>42</v>
      </c>
      <c r="G36" s="112"/>
      <c r="H36" s="113"/>
      <c r="I36" s="114"/>
    </row>
    <row r="37" spans="1:9" ht="18.75" customHeight="1" x14ac:dyDescent="0.15">
      <c r="A37" s="26">
        <v>18</v>
      </c>
      <c r="B37" s="112" t="s">
        <v>212</v>
      </c>
      <c r="C37" s="113"/>
      <c r="D37" s="113"/>
      <c r="E37" s="114"/>
      <c r="F37" s="26">
        <v>43</v>
      </c>
      <c r="G37" s="112"/>
      <c r="H37" s="113"/>
      <c r="I37" s="114"/>
    </row>
    <row r="38" spans="1:9" ht="18.75" customHeight="1" x14ac:dyDescent="0.15">
      <c r="A38" s="26">
        <v>19</v>
      </c>
      <c r="B38" s="112" t="s">
        <v>213</v>
      </c>
      <c r="C38" s="113"/>
      <c r="D38" s="113"/>
      <c r="E38" s="114"/>
      <c r="F38" s="26">
        <v>44</v>
      </c>
      <c r="G38" s="112"/>
      <c r="H38" s="113"/>
      <c r="I38" s="114"/>
    </row>
    <row r="39" spans="1:9" ht="18.75" customHeight="1" x14ac:dyDescent="0.15">
      <c r="A39" s="26">
        <v>20</v>
      </c>
      <c r="B39" s="112" t="s">
        <v>214</v>
      </c>
      <c r="C39" s="113"/>
      <c r="D39" s="113"/>
      <c r="E39" s="114"/>
      <c r="F39" s="26">
        <v>45</v>
      </c>
      <c r="G39" s="112"/>
      <c r="H39" s="113"/>
      <c r="I39" s="114"/>
    </row>
    <row r="40" spans="1:9" ht="18.75" customHeight="1" x14ac:dyDescent="0.15">
      <c r="A40" s="26">
        <v>21</v>
      </c>
      <c r="B40" s="112" t="s">
        <v>215</v>
      </c>
      <c r="C40" s="113"/>
      <c r="D40" s="113"/>
      <c r="E40" s="114"/>
      <c r="F40" s="26">
        <v>46</v>
      </c>
      <c r="G40" s="112"/>
      <c r="H40" s="113"/>
      <c r="I40" s="114"/>
    </row>
    <row r="41" spans="1:9" ht="18.75" customHeight="1" x14ac:dyDescent="0.15">
      <c r="A41" s="26">
        <v>22</v>
      </c>
      <c r="B41" s="112" t="s">
        <v>230</v>
      </c>
      <c r="C41" s="113"/>
      <c r="D41" s="113"/>
      <c r="E41" s="114"/>
      <c r="F41" s="26">
        <v>47</v>
      </c>
      <c r="G41" s="112"/>
      <c r="H41" s="113"/>
      <c r="I41" s="114"/>
    </row>
    <row r="42" spans="1:9" ht="18.75" customHeight="1" x14ac:dyDescent="0.15">
      <c r="A42" s="26">
        <v>23</v>
      </c>
      <c r="B42" s="112" t="s">
        <v>231</v>
      </c>
      <c r="C42" s="113"/>
      <c r="D42" s="113"/>
      <c r="E42" s="114"/>
      <c r="F42" s="26">
        <v>48</v>
      </c>
      <c r="G42" s="112"/>
      <c r="H42" s="113"/>
      <c r="I42" s="114"/>
    </row>
    <row r="43" spans="1:9" ht="18.75" customHeight="1" x14ac:dyDescent="0.15">
      <c r="A43" s="26">
        <v>24</v>
      </c>
      <c r="B43" s="112" t="s">
        <v>232</v>
      </c>
      <c r="C43" s="113"/>
      <c r="D43" s="113"/>
      <c r="E43" s="114"/>
      <c r="F43" s="26">
        <v>49</v>
      </c>
      <c r="G43" s="112"/>
      <c r="H43" s="113"/>
      <c r="I43" s="114"/>
    </row>
    <row r="44" spans="1:9" ht="18.75" customHeight="1" x14ac:dyDescent="0.15">
      <c r="A44" s="26">
        <v>25</v>
      </c>
      <c r="B44" s="112" t="s">
        <v>233</v>
      </c>
      <c r="C44" s="113"/>
      <c r="D44" s="113"/>
      <c r="E44" s="114"/>
      <c r="F44" s="26">
        <v>50</v>
      </c>
      <c r="G44" s="112"/>
      <c r="H44" s="113"/>
      <c r="I44" s="114"/>
    </row>
  </sheetData>
  <mergeCells count="51">
    <mergeCell ref="G37:I37"/>
    <mergeCell ref="G38:I38"/>
    <mergeCell ref="G44:I44"/>
    <mergeCell ref="G39:I39"/>
    <mergeCell ref="G40:I40"/>
    <mergeCell ref="G41:I41"/>
    <mergeCell ref="G42:I42"/>
    <mergeCell ref="G43:I43"/>
    <mergeCell ref="B44:E44"/>
    <mergeCell ref="G21:I21"/>
    <mergeCell ref="G22:I22"/>
    <mergeCell ref="G23:I23"/>
    <mergeCell ref="G24:I24"/>
    <mergeCell ref="G32:I32"/>
    <mergeCell ref="G33:I33"/>
    <mergeCell ref="B39:E39"/>
    <mergeCell ref="B40:E40"/>
    <mergeCell ref="B41:E41"/>
    <mergeCell ref="B42:E42"/>
    <mergeCell ref="B43:E43"/>
    <mergeCell ref="B34:E34"/>
    <mergeCell ref="G34:I34"/>
    <mergeCell ref="G35:I35"/>
    <mergeCell ref="G36:I36"/>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E10" sqref="E10"/>
    </sheetView>
  </sheetViews>
  <sheetFormatPr defaultColWidth="9" defaultRowHeight="18.75" customHeight="1" x14ac:dyDescent="0.15"/>
  <cols>
    <col min="1" max="1" width="2.5" style="30" customWidth="1"/>
    <col min="2" max="2" width="12.5" style="30" customWidth="1"/>
    <col min="3" max="3" width="21" style="30" customWidth="1"/>
    <col min="4" max="18" width="6.25" style="30" customWidth="1"/>
    <col min="19" max="16384" width="9" style="30"/>
  </cols>
  <sheetData>
    <row r="1" spans="1:20" ht="18.75" customHeight="1" x14ac:dyDescent="0.15">
      <c r="F1" s="145" t="s">
        <v>73</v>
      </c>
      <c r="G1" s="145"/>
      <c r="H1" s="145"/>
      <c r="I1" s="145"/>
      <c r="J1" s="145"/>
      <c r="K1" s="145"/>
      <c r="L1" s="145"/>
      <c r="M1" s="145"/>
      <c r="N1" s="145"/>
      <c r="O1" s="145"/>
      <c r="P1" s="145"/>
      <c r="Q1" s="145"/>
      <c r="R1" s="145"/>
    </row>
    <row r="2" spans="1:20" ht="18.75" customHeight="1" x14ac:dyDescent="0.15">
      <c r="D2" s="31"/>
      <c r="E2" s="31"/>
      <c r="F2" s="31"/>
      <c r="G2" s="31"/>
      <c r="H2" s="31"/>
      <c r="I2" s="31"/>
      <c r="J2" s="31"/>
      <c r="K2" s="145" t="s">
        <v>65</v>
      </c>
      <c r="L2" s="145"/>
      <c r="M2" s="32" t="s">
        <v>138</v>
      </c>
      <c r="N2" s="31"/>
      <c r="O2" s="31"/>
      <c r="P2" s="31"/>
      <c r="Q2" s="31"/>
      <c r="R2" s="31"/>
    </row>
    <row r="3" spans="1:20" ht="7.5" customHeight="1" x14ac:dyDescent="0.15"/>
    <row r="4" spans="1:20" ht="18.75" customHeight="1" x14ac:dyDescent="0.15">
      <c r="A4" s="155" t="s">
        <v>127</v>
      </c>
      <c r="B4" s="155"/>
      <c r="C4" s="155"/>
      <c r="D4" s="155"/>
      <c r="E4" s="155"/>
      <c r="F4" s="155"/>
      <c r="G4" s="155"/>
      <c r="H4" s="155"/>
      <c r="I4" s="155"/>
      <c r="J4" s="155"/>
      <c r="K4" s="155"/>
      <c r="L4" s="155"/>
      <c r="M4" s="155"/>
      <c r="N4" s="155"/>
      <c r="O4" s="155"/>
      <c r="P4" s="155"/>
      <c r="Q4" s="155"/>
      <c r="R4" s="155"/>
      <c r="S4" s="33"/>
    </row>
    <row r="5" spans="1:20" ht="7.5" customHeight="1" x14ac:dyDescent="0.15">
      <c r="A5" s="34"/>
      <c r="B5" s="34"/>
      <c r="C5" s="34"/>
      <c r="D5" s="34"/>
      <c r="E5" s="34"/>
      <c r="F5" s="34"/>
      <c r="G5" s="34"/>
      <c r="H5" s="34"/>
      <c r="I5" s="34"/>
      <c r="J5" s="34"/>
      <c r="K5" s="34"/>
      <c r="L5" s="34"/>
      <c r="M5" s="34"/>
      <c r="N5" s="34"/>
      <c r="O5" s="34"/>
      <c r="P5" s="34"/>
      <c r="Q5" s="34"/>
      <c r="R5" s="34"/>
    </row>
    <row r="6" spans="1:20" ht="18.75" customHeight="1" x14ac:dyDescent="0.15">
      <c r="B6" s="139" t="s">
        <v>132</v>
      </c>
      <c r="C6" s="140"/>
      <c r="D6" s="146" t="s">
        <v>90</v>
      </c>
      <c r="E6" s="148" t="s">
        <v>121</v>
      </c>
      <c r="F6" s="148"/>
      <c r="G6" s="148" t="s">
        <v>122</v>
      </c>
      <c r="H6" s="148"/>
      <c r="I6" s="149" t="s">
        <v>123</v>
      </c>
      <c r="J6" s="150"/>
      <c r="K6" s="149" t="s">
        <v>124</v>
      </c>
      <c r="L6" s="150"/>
      <c r="M6" s="149" t="s">
        <v>125</v>
      </c>
      <c r="N6" s="150"/>
      <c r="O6" s="149" t="s">
        <v>126</v>
      </c>
      <c r="P6" s="150"/>
      <c r="Q6" s="151" t="s">
        <v>72</v>
      </c>
      <c r="R6" s="153" t="s">
        <v>66</v>
      </c>
      <c r="T6" s="35"/>
    </row>
    <row r="7" spans="1:20" ht="18.75" customHeight="1" x14ac:dyDescent="0.15">
      <c r="B7" s="141"/>
      <c r="C7" s="142"/>
      <c r="D7" s="147"/>
      <c r="E7" s="36" t="s">
        <v>52</v>
      </c>
      <c r="F7" s="37" t="s">
        <v>51</v>
      </c>
      <c r="G7" s="38" t="s">
        <v>52</v>
      </c>
      <c r="H7" s="39" t="s">
        <v>51</v>
      </c>
      <c r="I7" s="36" t="s">
        <v>52</v>
      </c>
      <c r="J7" s="37" t="s">
        <v>51</v>
      </c>
      <c r="K7" s="38" t="s">
        <v>52</v>
      </c>
      <c r="L7" s="39" t="s">
        <v>51</v>
      </c>
      <c r="M7" s="36" t="s">
        <v>52</v>
      </c>
      <c r="N7" s="37" t="s">
        <v>51</v>
      </c>
      <c r="O7" s="38" t="s">
        <v>52</v>
      </c>
      <c r="P7" s="39" t="s">
        <v>51</v>
      </c>
      <c r="Q7" s="152"/>
      <c r="R7" s="154"/>
      <c r="T7" s="35"/>
    </row>
    <row r="8" spans="1:20" ht="18.75" customHeight="1" x14ac:dyDescent="0.15">
      <c r="A8" s="40"/>
      <c r="B8" s="135" t="s">
        <v>148</v>
      </c>
      <c r="C8" s="136"/>
      <c r="D8" s="41">
        <v>1460</v>
      </c>
      <c r="E8" s="42">
        <v>349</v>
      </c>
      <c r="F8" s="43">
        <v>73</v>
      </c>
      <c r="G8" s="44">
        <v>0</v>
      </c>
      <c r="H8" s="45">
        <v>0</v>
      </c>
      <c r="I8" s="42">
        <v>0</v>
      </c>
      <c r="J8" s="43">
        <v>0</v>
      </c>
      <c r="K8" s="44">
        <v>0</v>
      </c>
      <c r="L8" s="45">
        <v>0</v>
      </c>
      <c r="M8" s="42">
        <v>0</v>
      </c>
      <c r="N8" s="43">
        <v>0</v>
      </c>
      <c r="O8" s="44">
        <v>0</v>
      </c>
      <c r="P8" s="45">
        <v>0</v>
      </c>
      <c r="Q8" s="46">
        <f>E8+G8+I8+K8+M8+O8</f>
        <v>349</v>
      </c>
      <c r="R8" s="47">
        <f>Q8/D8</f>
        <v>0.23904109589041095</v>
      </c>
    </row>
    <row r="9" spans="1:20" ht="18.75" customHeight="1" x14ac:dyDescent="0.15">
      <c r="A9" s="40"/>
      <c r="B9" s="133" t="s">
        <v>149</v>
      </c>
      <c r="C9" s="134"/>
      <c r="D9" s="48">
        <v>1516</v>
      </c>
      <c r="E9" s="49">
        <v>321</v>
      </c>
      <c r="F9" s="50">
        <v>81</v>
      </c>
      <c r="G9" s="51">
        <v>0</v>
      </c>
      <c r="H9" s="52">
        <v>0</v>
      </c>
      <c r="I9" s="49">
        <v>0</v>
      </c>
      <c r="J9" s="50">
        <v>0</v>
      </c>
      <c r="K9" s="51">
        <v>0</v>
      </c>
      <c r="L9" s="52">
        <v>0</v>
      </c>
      <c r="M9" s="49">
        <v>0</v>
      </c>
      <c r="N9" s="50">
        <v>0</v>
      </c>
      <c r="O9" s="51">
        <v>0</v>
      </c>
      <c r="P9" s="52">
        <v>0</v>
      </c>
      <c r="Q9" s="53">
        <f t="shared" ref="Q9:Q27" si="0">E9+G9+I9+K9+M9+O9</f>
        <v>321</v>
      </c>
      <c r="R9" s="47">
        <f t="shared" ref="R9:R27" si="1">Q9/D9</f>
        <v>0.21174142480211081</v>
      </c>
    </row>
    <row r="10" spans="1:20" ht="18.75" customHeight="1" x14ac:dyDescent="0.15">
      <c r="A10" s="40"/>
      <c r="B10" s="133" t="s">
        <v>151</v>
      </c>
      <c r="C10" s="134"/>
      <c r="D10" s="48">
        <v>1380</v>
      </c>
      <c r="E10" s="49">
        <v>0</v>
      </c>
      <c r="F10" s="50">
        <v>0</v>
      </c>
      <c r="G10" s="51">
        <v>0</v>
      </c>
      <c r="H10" s="52">
        <v>0</v>
      </c>
      <c r="I10" s="49">
        <v>0</v>
      </c>
      <c r="J10" s="50">
        <v>0</v>
      </c>
      <c r="K10" s="51">
        <v>0</v>
      </c>
      <c r="L10" s="52">
        <v>0</v>
      </c>
      <c r="M10" s="49">
        <v>0</v>
      </c>
      <c r="N10" s="50">
        <v>0</v>
      </c>
      <c r="O10" s="51">
        <v>0</v>
      </c>
      <c r="P10" s="52">
        <v>0</v>
      </c>
      <c r="Q10" s="53">
        <f t="shared" si="0"/>
        <v>0</v>
      </c>
      <c r="R10" s="47">
        <f t="shared" si="1"/>
        <v>0</v>
      </c>
    </row>
    <row r="11" spans="1:20" ht="18.75" customHeight="1" x14ac:dyDescent="0.15">
      <c r="A11" s="40"/>
      <c r="B11" s="133" t="s">
        <v>150</v>
      </c>
      <c r="C11" s="134"/>
      <c r="D11" s="48">
        <v>1240</v>
      </c>
      <c r="E11" s="49">
        <v>294</v>
      </c>
      <c r="F11" s="50">
        <v>254</v>
      </c>
      <c r="G11" s="51">
        <v>0</v>
      </c>
      <c r="H11" s="52">
        <v>0</v>
      </c>
      <c r="I11" s="49">
        <v>0</v>
      </c>
      <c r="J11" s="50">
        <v>0</v>
      </c>
      <c r="K11" s="51">
        <v>0</v>
      </c>
      <c r="L11" s="52">
        <v>0</v>
      </c>
      <c r="M11" s="49">
        <v>0</v>
      </c>
      <c r="N11" s="50">
        <v>0</v>
      </c>
      <c r="O11" s="51">
        <v>0</v>
      </c>
      <c r="P11" s="52">
        <v>0</v>
      </c>
      <c r="Q11" s="53">
        <f t="shared" si="0"/>
        <v>294</v>
      </c>
      <c r="R11" s="47">
        <f t="shared" si="1"/>
        <v>0.23709677419354838</v>
      </c>
    </row>
    <row r="12" spans="1:20" ht="18.75" customHeight="1" x14ac:dyDescent="0.15">
      <c r="A12" s="40"/>
      <c r="B12" s="133"/>
      <c r="C12" s="134"/>
      <c r="D12" s="48"/>
      <c r="E12" s="49"/>
      <c r="F12" s="50"/>
      <c r="G12" s="51"/>
      <c r="H12" s="52"/>
      <c r="I12" s="49"/>
      <c r="J12" s="50"/>
      <c r="K12" s="51"/>
      <c r="L12" s="52"/>
      <c r="M12" s="49"/>
      <c r="N12" s="50"/>
      <c r="O12" s="51"/>
      <c r="P12" s="52"/>
      <c r="Q12" s="53">
        <f t="shared" si="0"/>
        <v>0</v>
      </c>
      <c r="R12" s="47" t="e">
        <f t="shared" si="1"/>
        <v>#DIV/0!</v>
      </c>
    </row>
    <row r="13" spans="1:20" ht="18.75" customHeight="1" x14ac:dyDescent="0.15">
      <c r="A13" s="40"/>
      <c r="B13" s="133"/>
      <c r="C13" s="134"/>
      <c r="D13" s="48"/>
      <c r="E13" s="49"/>
      <c r="F13" s="50"/>
      <c r="G13" s="51"/>
      <c r="H13" s="52"/>
      <c r="I13" s="49"/>
      <c r="J13" s="50"/>
      <c r="K13" s="51"/>
      <c r="L13" s="52"/>
      <c r="M13" s="49"/>
      <c r="N13" s="50"/>
      <c r="O13" s="51"/>
      <c r="P13" s="52"/>
      <c r="Q13" s="53">
        <f t="shared" si="0"/>
        <v>0</v>
      </c>
      <c r="R13" s="47" t="e">
        <f t="shared" si="1"/>
        <v>#DIV/0!</v>
      </c>
    </row>
    <row r="14" spans="1:20" ht="18.75" customHeight="1" x14ac:dyDescent="0.15">
      <c r="A14" s="40"/>
      <c r="B14" s="133"/>
      <c r="C14" s="134"/>
      <c r="D14" s="48"/>
      <c r="E14" s="49"/>
      <c r="F14" s="50"/>
      <c r="G14" s="51"/>
      <c r="H14" s="52"/>
      <c r="I14" s="49"/>
      <c r="J14" s="50"/>
      <c r="K14" s="51"/>
      <c r="L14" s="52"/>
      <c r="M14" s="49"/>
      <c r="N14" s="50"/>
      <c r="O14" s="51"/>
      <c r="P14" s="52"/>
      <c r="Q14" s="53">
        <f t="shared" si="0"/>
        <v>0</v>
      </c>
      <c r="R14" s="47" t="e">
        <f t="shared" si="1"/>
        <v>#DIV/0!</v>
      </c>
    </row>
    <row r="15" spans="1:20" ht="18.75" customHeight="1" x14ac:dyDescent="0.15">
      <c r="A15" s="40"/>
      <c r="B15" s="133"/>
      <c r="C15" s="134"/>
      <c r="D15" s="48"/>
      <c r="E15" s="49"/>
      <c r="F15" s="50"/>
      <c r="G15" s="51"/>
      <c r="H15" s="52"/>
      <c r="I15" s="49"/>
      <c r="J15" s="50"/>
      <c r="K15" s="51"/>
      <c r="L15" s="52"/>
      <c r="M15" s="49"/>
      <c r="N15" s="50"/>
      <c r="O15" s="51"/>
      <c r="P15" s="52"/>
      <c r="Q15" s="53">
        <f t="shared" si="0"/>
        <v>0</v>
      </c>
      <c r="R15" s="47" t="e">
        <f t="shared" si="1"/>
        <v>#DIV/0!</v>
      </c>
    </row>
    <row r="16" spans="1:20" ht="18.75" customHeight="1" x14ac:dyDescent="0.15">
      <c r="A16" s="40"/>
      <c r="B16" s="133"/>
      <c r="C16" s="134"/>
      <c r="D16" s="48"/>
      <c r="E16" s="49"/>
      <c r="F16" s="50"/>
      <c r="G16" s="51"/>
      <c r="H16" s="52"/>
      <c r="I16" s="49"/>
      <c r="J16" s="50"/>
      <c r="K16" s="51"/>
      <c r="L16" s="52"/>
      <c r="M16" s="49"/>
      <c r="N16" s="50"/>
      <c r="O16" s="51"/>
      <c r="P16" s="52"/>
      <c r="Q16" s="53">
        <f>E16+G16+I16+K16+M16+O16</f>
        <v>0</v>
      </c>
      <c r="R16" s="47" t="e">
        <f t="shared" si="1"/>
        <v>#DIV/0!</v>
      </c>
    </row>
    <row r="17" spans="1:18" ht="18.75" customHeight="1" x14ac:dyDescent="0.15">
      <c r="A17" s="40"/>
      <c r="B17" s="133"/>
      <c r="C17" s="134"/>
      <c r="D17" s="48"/>
      <c r="E17" s="49"/>
      <c r="F17" s="50"/>
      <c r="G17" s="51"/>
      <c r="H17" s="52"/>
      <c r="I17" s="49"/>
      <c r="J17" s="50"/>
      <c r="K17" s="51"/>
      <c r="L17" s="52"/>
      <c r="M17" s="49"/>
      <c r="N17" s="50"/>
      <c r="O17" s="51"/>
      <c r="P17" s="52"/>
      <c r="Q17" s="53">
        <f t="shared" si="0"/>
        <v>0</v>
      </c>
      <c r="R17" s="47" t="e">
        <f t="shared" si="1"/>
        <v>#DIV/0!</v>
      </c>
    </row>
    <row r="18" spans="1:18" ht="18.75" customHeight="1" x14ac:dyDescent="0.15">
      <c r="A18" s="40"/>
      <c r="B18" s="133"/>
      <c r="C18" s="134"/>
      <c r="D18" s="48"/>
      <c r="E18" s="49"/>
      <c r="F18" s="50"/>
      <c r="G18" s="51"/>
      <c r="H18" s="52"/>
      <c r="I18" s="49"/>
      <c r="J18" s="50"/>
      <c r="K18" s="51"/>
      <c r="L18" s="52"/>
      <c r="M18" s="49"/>
      <c r="N18" s="50"/>
      <c r="O18" s="51"/>
      <c r="P18" s="52"/>
      <c r="Q18" s="53">
        <f t="shared" si="0"/>
        <v>0</v>
      </c>
      <c r="R18" s="47" t="e">
        <f t="shared" si="1"/>
        <v>#DIV/0!</v>
      </c>
    </row>
    <row r="19" spans="1:18" ht="18.75" customHeight="1" x14ac:dyDescent="0.15">
      <c r="A19" s="40"/>
      <c r="B19" s="133"/>
      <c r="C19" s="134"/>
      <c r="D19" s="48"/>
      <c r="E19" s="49"/>
      <c r="F19" s="50"/>
      <c r="G19" s="51"/>
      <c r="H19" s="52"/>
      <c r="I19" s="49"/>
      <c r="J19" s="50"/>
      <c r="K19" s="51"/>
      <c r="L19" s="52"/>
      <c r="M19" s="49"/>
      <c r="N19" s="50"/>
      <c r="O19" s="51"/>
      <c r="P19" s="52"/>
      <c r="Q19" s="53">
        <f t="shared" si="0"/>
        <v>0</v>
      </c>
      <c r="R19" s="47" t="e">
        <f t="shared" si="1"/>
        <v>#DIV/0!</v>
      </c>
    </row>
    <row r="20" spans="1:18" ht="18.75" customHeight="1" x14ac:dyDescent="0.15">
      <c r="A20" s="40"/>
      <c r="B20" s="133"/>
      <c r="C20" s="134"/>
      <c r="D20" s="48"/>
      <c r="E20" s="49"/>
      <c r="F20" s="50"/>
      <c r="G20" s="51"/>
      <c r="H20" s="52"/>
      <c r="I20" s="49"/>
      <c r="J20" s="50"/>
      <c r="K20" s="51"/>
      <c r="L20" s="52"/>
      <c r="M20" s="49"/>
      <c r="N20" s="50"/>
      <c r="O20" s="51"/>
      <c r="P20" s="52"/>
      <c r="Q20" s="53">
        <f t="shared" si="0"/>
        <v>0</v>
      </c>
      <c r="R20" s="47" t="e">
        <f t="shared" si="1"/>
        <v>#DIV/0!</v>
      </c>
    </row>
    <row r="21" spans="1:18" ht="18.75" customHeight="1" x14ac:dyDescent="0.15">
      <c r="A21" s="40"/>
      <c r="B21" s="133"/>
      <c r="C21" s="134"/>
      <c r="D21" s="48"/>
      <c r="E21" s="49"/>
      <c r="F21" s="50"/>
      <c r="G21" s="51"/>
      <c r="H21" s="52"/>
      <c r="I21" s="49"/>
      <c r="J21" s="50"/>
      <c r="K21" s="51"/>
      <c r="L21" s="52"/>
      <c r="M21" s="49"/>
      <c r="N21" s="50"/>
      <c r="O21" s="51"/>
      <c r="P21" s="52"/>
      <c r="Q21" s="53">
        <f t="shared" si="0"/>
        <v>0</v>
      </c>
      <c r="R21" s="47" t="e">
        <f t="shared" si="1"/>
        <v>#DIV/0!</v>
      </c>
    </row>
    <row r="22" spans="1:18" ht="18.75" customHeight="1" x14ac:dyDescent="0.15">
      <c r="A22" s="40"/>
      <c r="B22" s="133"/>
      <c r="C22" s="134"/>
      <c r="D22" s="48"/>
      <c r="E22" s="49"/>
      <c r="F22" s="50"/>
      <c r="G22" s="51"/>
      <c r="H22" s="52"/>
      <c r="I22" s="49"/>
      <c r="J22" s="50"/>
      <c r="K22" s="51"/>
      <c r="L22" s="52"/>
      <c r="M22" s="49"/>
      <c r="N22" s="50"/>
      <c r="O22" s="51"/>
      <c r="P22" s="52"/>
      <c r="Q22" s="53">
        <f t="shared" si="0"/>
        <v>0</v>
      </c>
      <c r="R22" s="47" t="e">
        <f t="shared" si="1"/>
        <v>#DIV/0!</v>
      </c>
    </row>
    <row r="23" spans="1:18" ht="18.75" customHeight="1" x14ac:dyDescent="0.15">
      <c r="A23" s="40"/>
      <c r="B23" s="133"/>
      <c r="C23" s="134"/>
      <c r="D23" s="48"/>
      <c r="E23" s="49"/>
      <c r="F23" s="50"/>
      <c r="G23" s="51"/>
      <c r="H23" s="52"/>
      <c r="I23" s="49"/>
      <c r="J23" s="50"/>
      <c r="K23" s="51"/>
      <c r="L23" s="52"/>
      <c r="M23" s="49"/>
      <c r="N23" s="50"/>
      <c r="O23" s="51"/>
      <c r="P23" s="52"/>
      <c r="Q23" s="53">
        <f t="shared" si="0"/>
        <v>0</v>
      </c>
      <c r="R23" s="47" t="e">
        <f t="shared" si="1"/>
        <v>#DIV/0!</v>
      </c>
    </row>
    <row r="24" spans="1:18" ht="18.75" customHeight="1" x14ac:dyDescent="0.15">
      <c r="A24" s="40"/>
      <c r="B24" s="133"/>
      <c r="C24" s="134"/>
      <c r="D24" s="48"/>
      <c r="E24" s="49"/>
      <c r="F24" s="50"/>
      <c r="G24" s="51"/>
      <c r="H24" s="52"/>
      <c r="I24" s="49"/>
      <c r="J24" s="50"/>
      <c r="K24" s="51"/>
      <c r="L24" s="52"/>
      <c r="M24" s="49"/>
      <c r="N24" s="50"/>
      <c r="O24" s="51"/>
      <c r="P24" s="52"/>
      <c r="Q24" s="53">
        <f t="shared" si="0"/>
        <v>0</v>
      </c>
      <c r="R24" s="47" t="e">
        <f t="shared" si="1"/>
        <v>#DIV/0!</v>
      </c>
    </row>
    <row r="25" spans="1:18" ht="18.75" customHeight="1" x14ac:dyDescent="0.15">
      <c r="A25" s="40"/>
      <c r="B25" s="133"/>
      <c r="C25" s="134"/>
      <c r="D25" s="48"/>
      <c r="E25" s="49"/>
      <c r="F25" s="50"/>
      <c r="G25" s="51"/>
      <c r="H25" s="52"/>
      <c r="I25" s="49"/>
      <c r="J25" s="50"/>
      <c r="K25" s="51"/>
      <c r="L25" s="52"/>
      <c r="M25" s="49"/>
      <c r="N25" s="50"/>
      <c r="O25" s="51"/>
      <c r="P25" s="52"/>
      <c r="Q25" s="53">
        <f t="shared" si="0"/>
        <v>0</v>
      </c>
      <c r="R25" s="47" t="e">
        <f t="shared" si="1"/>
        <v>#DIV/0!</v>
      </c>
    </row>
    <row r="26" spans="1:18" ht="18.75" customHeight="1" x14ac:dyDescent="0.15">
      <c r="A26" s="40"/>
      <c r="B26" s="133"/>
      <c r="C26" s="134"/>
      <c r="D26" s="48"/>
      <c r="E26" s="49"/>
      <c r="F26" s="50"/>
      <c r="G26" s="51"/>
      <c r="H26" s="52"/>
      <c r="I26" s="49"/>
      <c r="J26" s="50"/>
      <c r="K26" s="51"/>
      <c r="L26" s="52"/>
      <c r="M26" s="49"/>
      <c r="N26" s="50"/>
      <c r="O26" s="51"/>
      <c r="P26" s="52"/>
      <c r="Q26" s="53">
        <f t="shared" si="0"/>
        <v>0</v>
      </c>
      <c r="R26" s="47" t="e">
        <f t="shared" si="1"/>
        <v>#DIV/0!</v>
      </c>
    </row>
    <row r="27" spans="1:18" ht="18.75" customHeight="1" thickBot="1" x14ac:dyDescent="0.2">
      <c r="A27" s="40"/>
      <c r="B27" s="143"/>
      <c r="C27" s="144"/>
      <c r="D27" s="41"/>
      <c r="E27" s="42"/>
      <c r="F27" s="43"/>
      <c r="G27" s="44"/>
      <c r="H27" s="45"/>
      <c r="I27" s="42"/>
      <c r="J27" s="43"/>
      <c r="K27" s="44"/>
      <c r="L27" s="45"/>
      <c r="M27" s="42"/>
      <c r="N27" s="43"/>
      <c r="O27" s="44"/>
      <c r="P27" s="45"/>
      <c r="Q27" s="54">
        <f t="shared" si="0"/>
        <v>0</v>
      </c>
      <c r="R27" s="47" t="e">
        <f t="shared" si="1"/>
        <v>#DIV/0!</v>
      </c>
    </row>
    <row r="28" spans="1:18" ht="18.75" customHeight="1" thickTop="1" x14ac:dyDescent="0.15">
      <c r="A28" s="40"/>
      <c r="B28" s="137" t="s">
        <v>67</v>
      </c>
      <c r="C28" s="138"/>
      <c r="D28" s="55">
        <f t="shared" ref="D28:Q28" si="2">SUM(D8:D27)</f>
        <v>5596</v>
      </c>
      <c r="E28" s="56">
        <f t="shared" si="2"/>
        <v>964</v>
      </c>
      <c r="F28" s="57">
        <f t="shared" si="2"/>
        <v>408</v>
      </c>
      <c r="G28" s="58">
        <f t="shared" si="2"/>
        <v>0</v>
      </c>
      <c r="H28" s="59">
        <f t="shared" si="2"/>
        <v>0</v>
      </c>
      <c r="I28" s="56">
        <f t="shared" si="2"/>
        <v>0</v>
      </c>
      <c r="J28" s="57">
        <f t="shared" si="2"/>
        <v>0</v>
      </c>
      <c r="K28" s="58">
        <f t="shared" si="2"/>
        <v>0</v>
      </c>
      <c r="L28" s="59">
        <f t="shared" si="2"/>
        <v>0</v>
      </c>
      <c r="M28" s="56">
        <f t="shared" si="2"/>
        <v>0</v>
      </c>
      <c r="N28" s="57">
        <f t="shared" si="2"/>
        <v>0</v>
      </c>
      <c r="O28" s="58">
        <f t="shared" si="2"/>
        <v>0</v>
      </c>
      <c r="P28" s="59">
        <f t="shared" si="2"/>
        <v>0</v>
      </c>
      <c r="Q28" s="60">
        <f t="shared" si="2"/>
        <v>964</v>
      </c>
      <c r="R28" s="61">
        <f>Q28/D28</f>
        <v>0.17226590421729807</v>
      </c>
    </row>
    <row r="29" spans="1:18" ht="6.75" customHeight="1" x14ac:dyDescent="0.15">
      <c r="A29" s="40"/>
      <c r="B29" s="40"/>
      <c r="C29" s="40"/>
      <c r="D29" s="62"/>
      <c r="E29" s="62"/>
      <c r="F29" s="62"/>
      <c r="G29" s="62"/>
      <c r="H29" s="62"/>
      <c r="I29" s="62"/>
      <c r="J29" s="62"/>
      <c r="K29" s="62"/>
      <c r="L29" s="62"/>
      <c r="M29" s="62"/>
      <c r="N29" s="62"/>
      <c r="O29" s="62"/>
      <c r="P29" s="62"/>
      <c r="Q29" s="62"/>
      <c r="R29" s="62"/>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50"/>
  <sheetViews>
    <sheetView topLeftCell="A4" workbookViewId="0">
      <selection activeCell="C77" sqref="C77:G81"/>
    </sheetView>
  </sheetViews>
  <sheetFormatPr defaultColWidth="9" defaultRowHeight="14.25" x14ac:dyDescent="0.15"/>
  <cols>
    <col min="1" max="1" width="2.5" style="2" customWidth="1"/>
    <col min="2" max="2" width="19" style="2" customWidth="1"/>
    <col min="3" max="3" width="25" style="83" customWidth="1"/>
    <col min="4" max="4" width="10" style="2" customWidth="1"/>
    <col min="5" max="7" width="25" style="2" customWidth="1"/>
    <col min="8" max="16384" width="9" style="2"/>
  </cols>
  <sheetData>
    <row r="1" spans="1:7" ht="18.75" customHeight="1" x14ac:dyDescent="0.15">
      <c r="G1" s="82" t="s">
        <v>103</v>
      </c>
    </row>
    <row r="2" spans="1:7" ht="18.75" customHeight="1" x14ac:dyDescent="0.15">
      <c r="F2" s="82" t="s">
        <v>75</v>
      </c>
      <c r="G2" s="2" t="s">
        <v>154</v>
      </c>
    </row>
    <row r="3" spans="1:7" ht="18.75" customHeight="1" x14ac:dyDescent="0.15">
      <c r="A3" s="111" t="s">
        <v>96</v>
      </c>
      <c r="B3" s="111"/>
      <c r="C3" s="111"/>
      <c r="D3" s="111"/>
      <c r="E3" s="111"/>
      <c r="F3" s="111"/>
      <c r="G3" s="111"/>
    </row>
    <row r="4" spans="1:7" ht="18.75" customHeight="1" x14ac:dyDescent="0.15">
      <c r="A4" s="2" t="s">
        <v>7</v>
      </c>
      <c r="B4" s="2" t="s">
        <v>95</v>
      </c>
    </row>
    <row r="5" spans="1:7" s="83" customFormat="1" ht="18.75" customHeight="1" x14ac:dyDescent="0.15">
      <c r="B5" s="81" t="s">
        <v>74</v>
      </c>
      <c r="C5" s="103" t="s">
        <v>110</v>
      </c>
      <c r="D5" s="104"/>
      <c r="E5" s="104"/>
      <c r="F5" s="104"/>
      <c r="G5" s="105"/>
    </row>
    <row r="6" spans="1:7" s="83" customFormat="1" ht="45" customHeight="1" x14ac:dyDescent="0.15">
      <c r="B6" s="156" t="s">
        <v>113</v>
      </c>
      <c r="C6" s="168" t="s">
        <v>199</v>
      </c>
      <c r="D6" s="169"/>
      <c r="E6" s="169"/>
      <c r="F6" s="169"/>
      <c r="G6" s="170"/>
    </row>
    <row r="7" spans="1:7" s="83" customFormat="1" ht="45" customHeight="1" x14ac:dyDescent="0.15">
      <c r="B7" s="157"/>
      <c r="C7" s="171"/>
      <c r="D7" s="172"/>
      <c r="E7" s="172"/>
      <c r="F7" s="172"/>
      <c r="G7" s="173"/>
    </row>
    <row r="8" spans="1:7" s="83" customFormat="1" ht="45" customHeight="1" x14ac:dyDescent="0.15">
      <c r="B8" s="157"/>
      <c r="C8" s="171"/>
      <c r="D8" s="172"/>
      <c r="E8" s="172"/>
      <c r="F8" s="172"/>
      <c r="G8" s="173"/>
    </row>
    <row r="9" spans="1:7" s="83" customFormat="1" ht="45" customHeight="1" x14ac:dyDescent="0.15">
      <c r="B9" s="157"/>
      <c r="C9" s="174"/>
      <c r="D9" s="175"/>
      <c r="E9" s="175"/>
      <c r="F9" s="175"/>
      <c r="G9" s="176"/>
    </row>
    <row r="10" spans="1:7" s="83" customFormat="1" ht="18.75" customHeight="1" x14ac:dyDescent="0.15">
      <c r="B10" s="157"/>
      <c r="C10" s="89" t="s">
        <v>111</v>
      </c>
      <c r="D10" s="93" t="s">
        <v>112</v>
      </c>
      <c r="E10" s="94"/>
      <c r="F10" s="94"/>
      <c r="G10" s="95"/>
    </row>
    <row r="11" spans="1:7" s="83" customFormat="1" ht="18.75" customHeight="1" x14ac:dyDescent="0.15">
      <c r="B11" s="157"/>
      <c r="C11" s="80" t="s">
        <v>156</v>
      </c>
      <c r="D11" s="93" t="s">
        <v>265</v>
      </c>
      <c r="E11" s="94"/>
      <c r="F11" s="94"/>
      <c r="G11" s="95"/>
    </row>
    <row r="12" spans="1:7" s="83" customFormat="1" ht="18.75" customHeight="1" x14ac:dyDescent="0.15">
      <c r="B12" s="157"/>
      <c r="C12" s="80"/>
      <c r="D12" s="93"/>
      <c r="E12" s="94"/>
      <c r="F12" s="94"/>
      <c r="G12" s="95"/>
    </row>
    <row r="13" spans="1:7" s="83" customFormat="1" ht="18.75" customHeight="1" x14ac:dyDescent="0.15">
      <c r="B13" s="157"/>
      <c r="C13" s="80"/>
      <c r="D13" s="93"/>
      <c r="E13" s="94"/>
      <c r="F13" s="94"/>
      <c r="G13" s="95"/>
    </row>
    <row r="14" spans="1:7" s="83" customFormat="1" ht="18.75" customHeight="1" x14ac:dyDescent="0.15">
      <c r="B14" s="157"/>
      <c r="C14" s="80"/>
      <c r="D14" s="93"/>
      <c r="E14" s="94"/>
      <c r="F14" s="94"/>
      <c r="G14" s="95"/>
    </row>
    <row r="15" spans="1:7" s="83" customFormat="1" ht="18.75" customHeight="1" x14ac:dyDescent="0.15">
      <c r="B15" s="157"/>
      <c r="C15" s="80"/>
      <c r="D15" s="103"/>
      <c r="E15" s="104"/>
      <c r="F15" s="104"/>
      <c r="G15" s="105"/>
    </row>
    <row r="16" spans="1:7" s="83" customFormat="1" ht="18.75" customHeight="1" x14ac:dyDescent="0.15">
      <c r="B16" s="157"/>
      <c r="C16" s="80"/>
      <c r="D16" s="103"/>
      <c r="E16" s="104"/>
      <c r="F16" s="104"/>
      <c r="G16" s="105"/>
    </row>
    <row r="17" spans="2:7" s="83" customFormat="1" ht="18.75" customHeight="1" x14ac:dyDescent="0.15">
      <c r="B17" s="157"/>
      <c r="C17" s="80"/>
      <c r="D17" s="103"/>
      <c r="E17" s="104"/>
      <c r="F17" s="104"/>
      <c r="G17" s="105"/>
    </row>
    <row r="18" spans="2:7" s="83" customFormat="1" ht="18.75" customHeight="1" x14ac:dyDescent="0.15">
      <c r="B18" s="157"/>
      <c r="C18" s="80"/>
      <c r="D18" s="103"/>
      <c r="E18" s="104"/>
      <c r="F18" s="104"/>
      <c r="G18" s="105"/>
    </row>
    <row r="19" spans="2:7" s="83" customFormat="1" ht="18.75" customHeight="1" x14ac:dyDescent="0.15">
      <c r="B19" s="157"/>
      <c r="C19" s="80"/>
      <c r="D19" s="103"/>
      <c r="E19" s="104"/>
      <c r="F19" s="104"/>
      <c r="G19" s="105"/>
    </row>
    <row r="20" spans="2:7" s="83" customFormat="1" ht="18.75" customHeight="1" x14ac:dyDescent="0.15">
      <c r="B20" s="157"/>
      <c r="C20" s="80"/>
      <c r="D20" s="103"/>
      <c r="E20" s="104"/>
      <c r="F20" s="104"/>
      <c r="G20" s="105"/>
    </row>
    <row r="21" spans="2:7" s="83" customFormat="1" ht="18.75" customHeight="1" x14ac:dyDescent="0.15">
      <c r="B21" s="157"/>
      <c r="C21" s="80"/>
      <c r="D21" s="103"/>
      <c r="E21" s="104"/>
      <c r="F21" s="104"/>
      <c r="G21" s="105"/>
    </row>
    <row r="22" spans="2:7" s="83" customFormat="1" ht="18.75" customHeight="1" x14ac:dyDescent="0.15">
      <c r="B22" s="157"/>
      <c r="C22" s="80"/>
      <c r="D22" s="103"/>
      <c r="E22" s="104"/>
      <c r="F22" s="104"/>
      <c r="G22" s="105"/>
    </row>
    <row r="23" spans="2:7" s="83" customFormat="1" ht="18.75" customHeight="1" x14ac:dyDescent="0.15">
      <c r="B23" s="157"/>
      <c r="C23" s="80"/>
      <c r="D23" s="103"/>
      <c r="E23" s="104"/>
      <c r="F23" s="104"/>
      <c r="G23" s="105"/>
    </row>
    <row r="24" spans="2:7" s="83" customFormat="1" ht="18.75" customHeight="1" x14ac:dyDescent="0.15">
      <c r="B24" s="157"/>
      <c r="C24" s="80"/>
      <c r="D24" s="103"/>
      <c r="E24" s="104"/>
      <c r="F24" s="104"/>
      <c r="G24" s="105"/>
    </row>
    <row r="25" spans="2:7" s="83" customFormat="1" ht="18.75" customHeight="1" x14ac:dyDescent="0.15">
      <c r="B25" s="157"/>
      <c r="C25" s="80"/>
      <c r="D25" s="103"/>
      <c r="E25" s="104"/>
      <c r="F25" s="104"/>
      <c r="G25" s="105"/>
    </row>
    <row r="26" spans="2:7" ht="18.75" customHeight="1" x14ac:dyDescent="0.15">
      <c r="B26" s="156" t="s">
        <v>114</v>
      </c>
      <c r="C26" s="103" t="s">
        <v>110</v>
      </c>
      <c r="D26" s="104"/>
      <c r="E26" s="104"/>
      <c r="F26" s="104"/>
      <c r="G26" s="105"/>
    </row>
    <row r="27" spans="2:7" ht="37.5" customHeight="1" x14ac:dyDescent="0.15">
      <c r="B27" s="157"/>
      <c r="C27" s="158" t="s">
        <v>200</v>
      </c>
      <c r="D27" s="159"/>
      <c r="E27" s="159"/>
      <c r="F27" s="159"/>
      <c r="G27" s="160"/>
    </row>
    <row r="28" spans="2:7" ht="37.5" customHeight="1" x14ac:dyDescent="0.15">
      <c r="B28" s="157"/>
      <c r="C28" s="161"/>
      <c r="D28" s="162"/>
      <c r="E28" s="162"/>
      <c r="F28" s="162"/>
      <c r="G28" s="163"/>
    </row>
    <row r="29" spans="2:7" ht="37.5" customHeight="1" x14ac:dyDescent="0.15">
      <c r="B29" s="157"/>
      <c r="C29" s="161"/>
      <c r="D29" s="162"/>
      <c r="E29" s="162"/>
      <c r="F29" s="162"/>
      <c r="G29" s="163"/>
    </row>
    <row r="30" spans="2:7" ht="37.5" customHeight="1" x14ac:dyDescent="0.15">
      <c r="B30" s="157"/>
      <c r="C30" s="161"/>
      <c r="D30" s="162"/>
      <c r="E30" s="162"/>
      <c r="F30" s="162"/>
      <c r="G30" s="163"/>
    </row>
    <row r="31" spans="2:7" ht="37.5" customHeight="1" x14ac:dyDescent="0.15">
      <c r="B31" s="157"/>
      <c r="C31" s="164"/>
      <c r="D31" s="165"/>
      <c r="E31" s="165"/>
      <c r="F31" s="165"/>
      <c r="G31" s="166"/>
    </row>
    <row r="32" spans="2:7" ht="18.75" customHeight="1" x14ac:dyDescent="0.15">
      <c r="B32" s="157"/>
      <c r="C32" s="89" t="s">
        <v>111</v>
      </c>
      <c r="D32" s="103" t="s">
        <v>112</v>
      </c>
      <c r="E32" s="104"/>
      <c r="F32" s="104"/>
      <c r="G32" s="105"/>
    </row>
    <row r="33" spans="2:7" ht="18.75" customHeight="1" x14ac:dyDescent="0.15">
      <c r="B33" s="157"/>
      <c r="C33" s="80" t="s">
        <v>157</v>
      </c>
      <c r="D33" s="93" t="s">
        <v>170</v>
      </c>
      <c r="E33" s="94"/>
      <c r="F33" s="94"/>
      <c r="G33" s="95"/>
    </row>
    <row r="34" spans="2:7" ht="18.75" customHeight="1" x14ac:dyDescent="0.15">
      <c r="B34" s="157"/>
      <c r="C34" s="80" t="s">
        <v>158</v>
      </c>
      <c r="D34" s="93" t="s">
        <v>183</v>
      </c>
      <c r="E34" s="94"/>
      <c r="F34" s="94"/>
      <c r="G34" s="95"/>
    </row>
    <row r="35" spans="2:7" ht="18.75" customHeight="1" x14ac:dyDescent="0.15">
      <c r="B35" s="157"/>
      <c r="C35" s="80" t="s">
        <v>171</v>
      </c>
      <c r="D35" s="93" t="s">
        <v>267</v>
      </c>
      <c r="E35" s="94"/>
      <c r="F35" s="94"/>
      <c r="G35" s="95"/>
    </row>
    <row r="36" spans="2:7" ht="18.75" customHeight="1" x14ac:dyDescent="0.15">
      <c r="B36" s="157"/>
      <c r="C36" s="80" t="s">
        <v>161</v>
      </c>
      <c r="D36" s="93" t="s">
        <v>270</v>
      </c>
      <c r="E36" s="94"/>
      <c r="F36" s="94"/>
      <c r="G36" s="95"/>
    </row>
    <row r="37" spans="2:7" ht="18.75" customHeight="1" x14ac:dyDescent="0.15">
      <c r="B37" s="157"/>
      <c r="C37" s="80" t="s">
        <v>162</v>
      </c>
      <c r="D37" s="93" t="s">
        <v>173</v>
      </c>
      <c r="E37" s="94"/>
      <c r="F37" s="94"/>
      <c r="G37" s="95"/>
    </row>
    <row r="38" spans="2:7" ht="18.75" customHeight="1" x14ac:dyDescent="0.15">
      <c r="B38" s="157"/>
      <c r="C38" s="80" t="s">
        <v>163</v>
      </c>
      <c r="D38" s="93" t="s">
        <v>177</v>
      </c>
      <c r="E38" s="94"/>
      <c r="F38" s="94"/>
      <c r="G38" s="95"/>
    </row>
    <row r="39" spans="2:7" ht="18.75" customHeight="1" x14ac:dyDescent="0.15">
      <c r="B39" s="157"/>
      <c r="C39" s="80" t="s">
        <v>164</v>
      </c>
      <c r="D39" s="93" t="s">
        <v>174</v>
      </c>
      <c r="E39" s="94"/>
      <c r="F39" s="94"/>
      <c r="G39" s="95"/>
    </row>
    <row r="40" spans="2:7" ht="18.75" customHeight="1" x14ac:dyDescent="0.15">
      <c r="B40" s="157"/>
      <c r="C40" s="80" t="s">
        <v>165</v>
      </c>
      <c r="D40" s="93" t="s">
        <v>175</v>
      </c>
      <c r="E40" s="94"/>
      <c r="F40" s="94"/>
      <c r="G40" s="95"/>
    </row>
    <row r="41" spans="2:7" ht="18.75" customHeight="1" x14ac:dyDescent="0.15">
      <c r="B41" s="157"/>
      <c r="C41" s="80" t="s">
        <v>172</v>
      </c>
      <c r="D41" s="93" t="s">
        <v>266</v>
      </c>
      <c r="E41" s="94"/>
      <c r="F41" s="94"/>
      <c r="G41" s="95"/>
    </row>
    <row r="42" spans="2:7" ht="18.75" customHeight="1" x14ac:dyDescent="0.15">
      <c r="B42" s="157"/>
      <c r="C42" s="80" t="s">
        <v>166</v>
      </c>
      <c r="D42" s="93" t="s">
        <v>176</v>
      </c>
      <c r="E42" s="94"/>
      <c r="F42" s="94"/>
      <c r="G42" s="95"/>
    </row>
    <row r="43" spans="2:7" ht="18.75" customHeight="1" x14ac:dyDescent="0.15">
      <c r="B43" s="157"/>
      <c r="C43" s="80"/>
      <c r="D43" s="93"/>
      <c r="E43" s="94"/>
      <c r="F43" s="94"/>
      <c r="G43" s="95"/>
    </row>
    <row r="44" spans="2:7" ht="18.75" customHeight="1" x14ac:dyDescent="0.15">
      <c r="B44" s="157"/>
      <c r="C44" s="80"/>
      <c r="D44" s="93"/>
      <c r="E44" s="94"/>
      <c r="F44" s="94"/>
      <c r="G44" s="95"/>
    </row>
    <row r="45" spans="2:7" ht="18.75" customHeight="1" x14ac:dyDescent="0.15">
      <c r="B45" s="157"/>
      <c r="C45" s="80"/>
      <c r="D45" s="93"/>
      <c r="E45" s="94"/>
      <c r="F45" s="94"/>
      <c r="G45" s="95"/>
    </row>
    <row r="46" spans="2:7" ht="18.75" customHeight="1" x14ac:dyDescent="0.15">
      <c r="B46" s="157"/>
      <c r="C46" s="80"/>
      <c r="D46" s="93"/>
      <c r="E46" s="94"/>
      <c r="F46" s="94"/>
      <c r="G46" s="95"/>
    </row>
    <row r="47" spans="2:7" ht="18.75" customHeight="1" x14ac:dyDescent="0.15">
      <c r="B47" s="157"/>
      <c r="C47" s="80"/>
      <c r="D47" s="93"/>
      <c r="E47" s="94"/>
      <c r="F47" s="94"/>
      <c r="G47" s="95"/>
    </row>
    <row r="48" spans="2:7" ht="18.75" customHeight="1" x14ac:dyDescent="0.15">
      <c r="B48" s="157"/>
      <c r="C48" s="80"/>
      <c r="D48" s="93"/>
      <c r="E48" s="94"/>
      <c r="F48" s="94"/>
      <c r="G48" s="95"/>
    </row>
    <row r="49" spans="2:7" ht="18.75" customHeight="1" x14ac:dyDescent="0.15">
      <c r="B49" s="157"/>
      <c r="C49" s="80"/>
      <c r="D49" s="93"/>
      <c r="E49" s="94"/>
      <c r="F49" s="94"/>
      <c r="G49" s="95"/>
    </row>
    <row r="50" spans="2:7" ht="18.75" customHeight="1" x14ac:dyDescent="0.15">
      <c r="B50" s="167"/>
      <c r="C50" s="80"/>
      <c r="D50" s="93"/>
      <c r="E50" s="94"/>
      <c r="F50" s="94"/>
      <c r="G50" s="95"/>
    </row>
    <row r="51" spans="2:7" ht="18.75" customHeight="1" x14ac:dyDescent="0.15">
      <c r="B51" s="156" t="s">
        <v>116</v>
      </c>
      <c r="C51" s="103" t="s">
        <v>110</v>
      </c>
      <c r="D51" s="104"/>
      <c r="E51" s="104"/>
      <c r="F51" s="104"/>
      <c r="G51" s="105"/>
    </row>
    <row r="52" spans="2:7" ht="37.5" customHeight="1" x14ac:dyDescent="0.15">
      <c r="B52" s="157"/>
      <c r="C52" s="158" t="s">
        <v>201</v>
      </c>
      <c r="D52" s="159"/>
      <c r="E52" s="159"/>
      <c r="F52" s="159"/>
      <c r="G52" s="160"/>
    </row>
    <row r="53" spans="2:7" ht="37.5" customHeight="1" x14ac:dyDescent="0.15">
      <c r="B53" s="157"/>
      <c r="C53" s="161"/>
      <c r="D53" s="162"/>
      <c r="E53" s="162"/>
      <c r="F53" s="162"/>
      <c r="G53" s="163"/>
    </row>
    <row r="54" spans="2:7" ht="37.5" customHeight="1" x14ac:dyDescent="0.15">
      <c r="B54" s="157"/>
      <c r="C54" s="161"/>
      <c r="D54" s="162"/>
      <c r="E54" s="162"/>
      <c r="F54" s="162"/>
      <c r="G54" s="163"/>
    </row>
    <row r="55" spans="2:7" ht="37.5" customHeight="1" x14ac:dyDescent="0.15">
      <c r="B55" s="157"/>
      <c r="C55" s="161"/>
      <c r="D55" s="162"/>
      <c r="E55" s="162"/>
      <c r="F55" s="162"/>
      <c r="G55" s="163"/>
    </row>
    <row r="56" spans="2:7" ht="37.5" customHeight="1" x14ac:dyDescent="0.15">
      <c r="B56" s="157"/>
      <c r="C56" s="164"/>
      <c r="D56" s="165"/>
      <c r="E56" s="165"/>
      <c r="F56" s="165"/>
      <c r="G56" s="166"/>
    </row>
    <row r="57" spans="2:7" ht="18.75" customHeight="1" x14ac:dyDescent="0.15">
      <c r="B57" s="157"/>
      <c r="C57" s="89" t="s">
        <v>111</v>
      </c>
      <c r="D57" s="103" t="s">
        <v>112</v>
      </c>
      <c r="E57" s="104"/>
      <c r="F57" s="104"/>
      <c r="G57" s="105"/>
    </row>
    <row r="58" spans="2:7" ht="18.75" customHeight="1" x14ac:dyDescent="0.15">
      <c r="B58" s="157"/>
      <c r="C58" s="80" t="s">
        <v>157</v>
      </c>
      <c r="D58" s="93" t="s">
        <v>178</v>
      </c>
      <c r="E58" s="94"/>
      <c r="F58" s="94"/>
      <c r="G58" s="95"/>
    </row>
    <row r="59" spans="2:7" ht="18.75" customHeight="1" x14ac:dyDescent="0.15">
      <c r="B59" s="157"/>
      <c r="C59" s="80" t="s">
        <v>158</v>
      </c>
      <c r="D59" s="93" t="s">
        <v>182</v>
      </c>
      <c r="E59" s="94"/>
      <c r="F59" s="94"/>
      <c r="G59" s="95"/>
    </row>
    <row r="60" spans="2:7" ht="18.75" customHeight="1" x14ac:dyDescent="0.15">
      <c r="B60" s="157"/>
      <c r="C60" s="80" t="s">
        <v>171</v>
      </c>
      <c r="D60" s="93" t="s">
        <v>268</v>
      </c>
      <c r="E60" s="94"/>
      <c r="F60" s="94"/>
      <c r="G60" s="95"/>
    </row>
    <row r="61" spans="2:7" ht="18.75" customHeight="1" x14ac:dyDescent="0.15">
      <c r="B61" s="157"/>
      <c r="C61" s="80" t="s">
        <v>161</v>
      </c>
      <c r="D61" s="93" t="s">
        <v>269</v>
      </c>
      <c r="E61" s="94"/>
      <c r="F61" s="94"/>
      <c r="G61" s="95"/>
    </row>
    <row r="62" spans="2:7" ht="18.75" customHeight="1" x14ac:dyDescent="0.15">
      <c r="B62" s="157"/>
      <c r="C62" s="80" t="s">
        <v>162</v>
      </c>
      <c r="D62" s="93" t="s">
        <v>179</v>
      </c>
      <c r="E62" s="94"/>
      <c r="F62" s="94"/>
      <c r="G62" s="95"/>
    </row>
    <row r="63" spans="2:7" ht="18.75" customHeight="1" x14ac:dyDescent="0.15">
      <c r="B63" s="157"/>
      <c r="C63" s="80" t="s">
        <v>163</v>
      </c>
      <c r="D63" s="93" t="s">
        <v>179</v>
      </c>
      <c r="E63" s="94"/>
      <c r="F63" s="94"/>
      <c r="G63" s="95"/>
    </row>
    <row r="64" spans="2:7" ht="18.75" customHeight="1" x14ac:dyDescent="0.15">
      <c r="B64" s="157"/>
      <c r="C64" s="80" t="s">
        <v>164</v>
      </c>
      <c r="D64" s="93" t="s">
        <v>271</v>
      </c>
      <c r="E64" s="94"/>
      <c r="F64" s="94"/>
      <c r="G64" s="95"/>
    </row>
    <row r="65" spans="2:7" ht="18.75" customHeight="1" x14ac:dyDescent="0.15">
      <c r="B65" s="157"/>
      <c r="C65" s="80" t="s">
        <v>165</v>
      </c>
      <c r="D65" s="93" t="s">
        <v>180</v>
      </c>
      <c r="E65" s="94"/>
      <c r="F65" s="94"/>
      <c r="G65" s="95"/>
    </row>
    <row r="66" spans="2:7" ht="18.75" customHeight="1" x14ac:dyDescent="0.15">
      <c r="B66" s="157"/>
      <c r="C66" s="80" t="s">
        <v>172</v>
      </c>
      <c r="D66" s="93" t="s">
        <v>181</v>
      </c>
      <c r="E66" s="94"/>
      <c r="F66" s="94"/>
      <c r="G66" s="95"/>
    </row>
    <row r="67" spans="2:7" ht="18.75" customHeight="1" x14ac:dyDescent="0.15">
      <c r="B67" s="157"/>
      <c r="C67" s="80" t="s">
        <v>166</v>
      </c>
      <c r="D67" s="93" t="s">
        <v>264</v>
      </c>
      <c r="E67" s="94"/>
      <c r="F67" s="94"/>
      <c r="G67" s="95"/>
    </row>
    <row r="68" spans="2:7" ht="18.75" customHeight="1" x14ac:dyDescent="0.15">
      <c r="B68" s="157"/>
      <c r="C68" s="80"/>
      <c r="D68" s="93"/>
      <c r="E68" s="94"/>
      <c r="F68" s="94"/>
      <c r="G68" s="95"/>
    </row>
    <row r="69" spans="2:7" ht="18.75" customHeight="1" x14ac:dyDescent="0.15">
      <c r="B69" s="157"/>
      <c r="C69" s="80"/>
      <c r="D69" s="93"/>
      <c r="E69" s="94"/>
      <c r="F69" s="94"/>
      <c r="G69" s="95"/>
    </row>
    <row r="70" spans="2:7" ht="18.75" customHeight="1" x14ac:dyDescent="0.15">
      <c r="B70" s="157"/>
      <c r="C70" s="80"/>
      <c r="D70" s="93"/>
      <c r="E70" s="94"/>
      <c r="F70" s="94"/>
      <c r="G70" s="95"/>
    </row>
    <row r="71" spans="2:7" ht="18.75" customHeight="1" x14ac:dyDescent="0.15">
      <c r="B71" s="157"/>
      <c r="C71" s="80"/>
      <c r="D71" s="93"/>
      <c r="E71" s="94"/>
      <c r="F71" s="94"/>
      <c r="G71" s="95"/>
    </row>
    <row r="72" spans="2:7" ht="18.75" customHeight="1" x14ac:dyDescent="0.15">
      <c r="B72" s="157"/>
      <c r="C72" s="80"/>
      <c r="D72" s="93"/>
      <c r="E72" s="94"/>
      <c r="F72" s="94"/>
      <c r="G72" s="95"/>
    </row>
    <row r="73" spans="2:7" ht="18.75" customHeight="1" x14ac:dyDescent="0.15">
      <c r="B73" s="157"/>
      <c r="C73" s="80"/>
      <c r="D73" s="93"/>
      <c r="E73" s="94"/>
      <c r="F73" s="94"/>
      <c r="G73" s="95"/>
    </row>
    <row r="74" spans="2:7" ht="18.75" customHeight="1" x14ac:dyDescent="0.15">
      <c r="B74" s="157"/>
      <c r="C74" s="80"/>
      <c r="D74" s="93"/>
      <c r="E74" s="94"/>
      <c r="F74" s="94"/>
      <c r="G74" s="95"/>
    </row>
    <row r="75" spans="2:7" ht="18.75" customHeight="1" x14ac:dyDescent="0.15">
      <c r="B75" s="157"/>
      <c r="C75" s="80"/>
      <c r="D75" s="93"/>
      <c r="E75" s="94"/>
      <c r="F75" s="94"/>
      <c r="G75" s="95"/>
    </row>
    <row r="76" spans="2:7" ht="18.75" customHeight="1" x14ac:dyDescent="0.15">
      <c r="B76" s="156" t="s">
        <v>115</v>
      </c>
      <c r="C76" s="103" t="s">
        <v>110</v>
      </c>
      <c r="D76" s="104"/>
      <c r="E76" s="104"/>
      <c r="F76" s="104"/>
      <c r="G76" s="105"/>
    </row>
    <row r="77" spans="2:7" ht="37.5" customHeight="1" x14ac:dyDescent="0.15">
      <c r="B77" s="157"/>
      <c r="C77" s="158" t="s">
        <v>202</v>
      </c>
      <c r="D77" s="159"/>
      <c r="E77" s="159"/>
      <c r="F77" s="159"/>
      <c r="G77" s="160"/>
    </row>
    <row r="78" spans="2:7" ht="37.5" customHeight="1" x14ac:dyDescent="0.15">
      <c r="B78" s="157"/>
      <c r="C78" s="161"/>
      <c r="D78" s="162"/>
      <c r="E78" s="162"/>
      <c r="F78" s="162"/>
      <c r="G78" s="163"/>
    </row>
    <row r="79" spans="2:7" ht="37.5" customHeight="1" x14ac:dyDescent="0.15">
      <c r="B79" s="157"/>
      <c r="C79" s="161"/>
      <c r="D79" s="162"/>
      <c r="E79" s="162"/>
      <c r="F79" s="162"/>
      <c r="G79" s="163"/>
    </row>
    <row r="80" spans="2:7" ht="37.5" customHeight="1" x14ac:dyDescent="0.15">
      <c r="B80" s="157"/>
      <c r="C80" s="161"/>
      <c r="D80" s="162"/>
      <c r="E80" s="162"/>
      <c r="F80" s="162"/>
      <c r="G80" s="163"/>
    </row>
    <row r="81" spans="2:7" ht="37.5" customHeight="1" x14ac:dyDescent="0.15">
      <c r="B81" s="157"/>
      <c r="C81" s="164"/>
      <c r="D81" s="165"/>
      <c r="E81" s="165"/>
      <c r="F81" s="165"/>
      <c r="G81" s="166"/>
    </row>
    <row r="82" spans="2:7" ht="18.75" customHeight="1" x14ac:dyDescent="0.15">
      <c r="B82" s="157"/>
      <c r="C82" s="89" t="s">
        <v>111</v>
      </c>
      <c r="D82" s="103" t="s">
        <v>112</v>
      </c>
      <c r="E82" s="104"/>
      <c r="F82" s="104"/>
      <c r="G82" s="105"/>
    </row>
    <row r="83" spans="2:7" ht="18.75" customHeight="1" x14ac:dyDescent="0.15">
      <c r="B83" s="157"/>
      <c r="C83" s="80" t="s">
        <v>184</v>
      </c>
      <c r="D83" s="93" t="s">
        <v>272</v>
      </c>
      <c r="E83" s="94"/>
      <c r="F83" s="94"/>
      <c r="G83" s="95"/>
    </row>
    <row r="84" spans="2:7" ht="18.75" customHeight="1" x14ac:dyDescent="0.15">
      <c r="B84" s="157"/>
      <c r="C84" s="80" t="s">
        <v>185</v>
      </c>
      <c r="D84" s="93" t="s">
        <v>263</v>
      </c>
      <c r="E84" s="94"/>
      <c r="F84" s="94"/>
      <c r="G84" s="95"/>
    </row>
    <row r="85" spans="2:7" ht="18.75" customHeight="1" x14ac:dyDescent="0.15">
      <c r="B85" s="157"/>
      <c r="C85" s="80"/>
      <c r="D85" s="93"/>
      <c r="E85" s="94"/>
      <c r="F85" s="94"/>
      <c r="G85" s="95"/>
    </row>
    <row r="86" spans="2:7" ht="18.75" customHeight="1" x14ac:dyDescent="0.15">
      <c r="B86" s="157"/>
      <c r="C86" s="80"/>
      <c r="D86" s="93"/>
      <c r="E86" s="94"/>
      <c r="F86" s="94"/>
      <c r="G86" s="95"/>
    </row>
    <row r="87" spans="2:7" ht="18.75" customHeight="1" x14ac:dyDescent="0.15">
      <c r="B87" s="157"/>
      <c r="C87" s="80"/>
      <c r="D87" s="93"/>
      <c r="E87" s="94"/>
      <c r="F87" s="94"/>
      <c r="G87" s="95"/>
    </row>
    <row r="88" spans="2:7" ht="18.75" customHeight="1" x14ac:dyDescent="0.15">
      <c r="B88" s="157"/>
      <c r="C88" s="80"/>
      <c r="D88" s="93"/>
      <c r="E88" s="94"/>
      <c r="F88" s="94"/>
      <c r="G88" s="95"/>
    </row>
    <row r="89" spans="2:7" ht="18.75" customHeight="1" x14ac:dyDescent="0.15">
      <c r="B89" s="157"/>
      <c r="C89" s="80"/>
      <c r="D89" s="93"/>
      <c r="E89" s="94"/>
      <c r="F89" s="94"/>
      <c r="G89" s="95"/>
    </row>
    <row r="90" spans="2:7" ht="18.75" customHeight="1" x14ac:dyDescent="0.15">
      <c r="B90" s="157"/>
      <c r="C90" s="80"/>
      <c r="D90" s="93"/>
      <c r="E90" s="94"/>
      <c r="F90" s="94"/>
      <c r="G90" s="95"/>
    </row>
    <row r="91" spans="2:7" ht="18.75" customHeight="1" x14ac:dyDescent="0.15">
      <c r="B91" s="157"/>
      <c r="C91" s="80"/>
      <c r="D91" s="93"/>
      <c r="E91" s="94"/>
      <c r="F91" s="94"/>
      <c r="G91" s="95"/>
    </row>
    <row r="92" spans="2:7" ht="18.75" customHeight="1" x14ac:dyDescent="0.15">
      <c r="B92" s="157"/>
      <c r="C92" s="80"/>
      <c r="D92" s="93"/>
      <c r="E92" s="94"/>
      <c r="F92" s="94"/>
      <c r="G92" s="95"/>
    </row>
    <row r="93" spans="2:7" ht="18.75" customHeight="1" x14ac:dyDescent="0.15">
      <c r="B93" s="157"/>
      <c r="C93" s="80"/>
      <c r="D93" s="93"/>
      <c r="E93" s="94"/>
      <c r="F93" s="94"/>
      <c r="G93" s="95"/>
    </row>
    <row r="94" spans="2:7" ht="18.75" customHeight="1" x14ac:dyDescent="0.15">
      <c r="B94" s="157"/>
      <c r="C94" s="80"/>
      <c r="D94" s="93"/>
      <c r="E94" s="94"/>
      <c r="F94" s="94"/>
      <c r="G94" s="95"/>
    </row>
    <row r="95" spans="2:7" ht="18.75" customHeight="1" x14ac:dyDescent="0.15">
      <c r="B95" s="157"/>
      <c r="C95" s="80"/>
      <c r="D95" s="93"/>
      <c r="E95" s="94"/>
      <c r="F95" s="94"/>
      <c r="G95" s="95"/>
    </row>
    <row r="96" spans="2:7" ht="18.75" customHeight="1" x14ac:dyDescent="0.15">
      <c r="B96" s="157"/>
      <c r="C96" s="80"/>
      <c r="D96" s="93"/>
      <c r="E96" s="94"/>
      <c r="F96" s="94"/>
      <c r="G96" s="95"/>
    </row>
    <row r="97" spans="2:7" ht="18.75" customHeight="1" x14ac:dyDescent="0.15">
      <c r="B97" s="157"/>
      <c r="C97" s="80"/>
      <c r="D97" s="93"/>
      <c r="E97" s="94"/>
      <c r="F97" s="94"/>
      <c r="G97" s="95"/>
    </row>
    <row r="98" spans="2:7" ht="18.75" customHeight="1" x14ac:dyDescent="0.15">
      <c r="B98" s="157"/>
      <c r="C98" s="80"/>
      <c r="D98" s="93"/>
      <c r="E98" s="94"/>
      <c r="F98" s="94"/>
      <c r="G98" s="95"/>
    </row>
    <row r="99" spans="2:7" ht="18.75" customHeight="1" x14ac:dyDescent="0.15">
      <c r="B99" s="157"/>
      <c r="C99" s="80"/>
      <c r="D99" s="93"/>
      <c r="E99" s="94"/>
      <c r="F99" s="94"/>
      <c r="G99" s="95"/>
    </row>
    <row r="100" spans="2:7" ht="18.75" customHeight="1" x14ac:dyDescent="0.15">
      <c r="B100" s="157"/>
      <c r="C100" s="80"/>
      <c r="D100" s="93"/>
      <c r="E100" s="94"/>
      <c r="F100" s="94"/>
      <c r="G100" s="95"/>
    </row>
    <row r="101" spans="2:7" ht="18.75" customHeight="1" x14ac:dyDescent="0.15">
      <c r="B101" s="156" t="s">
        <v>117</v>
      </c>
      <c r="C101" s="103" t="s">
        <v>110</v>
      </c>
      <c r="D101" s="104"/>
      <c r="E101" s="104"/>
      <c r="F101" s="104"/>
      <c r="G101" s="105"/>
    </row>
    <row r="102" spans="2:7" ht="37.5" customHeight="1" x14ac:dyDescent="0.15">
      <c r="B102" s="157"/>
      <c r="C102" s="158" t="s">
        <v>203</v>
      </c>
      <c r="D102" s="159"/>
      <c r="E102" s="159"/>
      <c r="F102" s="159"/>
      <c r="G102" s="160"/>
    </row>
    <row r="103" spans="2:7" ht="37.5" customHeight="1" x14ac:dyDescent="0.15">
      <c r="B103" s="157"/>
      <c r="C103" s="161"/>
      <c r="D103" s="162"/>
      <c r="E103" s="162"/>
      <c r="F103" s="162"/>
      <c r="G103" s="163"/>
    </row>
    <row r="104" spans="2:7" ht="37.5" customHeight="1" x14ac:dyDescent="0.15">
      <c r="B104" s="157"/>
      <c r="C104" s="161"/>
      <c r="D104" s="162"/>
      <c r="E104" s="162"/>
      <c r="F104" s="162"/>
      <c r="G104" s="163"/>
    </row>
    <row r="105" spans="2:7" ht="37.5" customHeight="1" x14ac:dyDescent="0.15">
      <c r="B105" s="157"/>
      <c r="C105" s="161"/>
      <c r="D105" s="162"/>
      <c r="E105" s="162"/>
      <c r="F105" s="162"/>
      <c r="G105" s="163"/>
    </row>
    <row r="106" spans="2:7" ht="37.5" customHeight="1" x14ac:dyDescent="0.15">
      <c r="B106" s="157"/>
      <c r="C106" s="164"/>
      <c r="D106" s="165"/>
      <c r="E106" s="165"/>
      <c r="F106" s="165"/>
      <c r="G106" s="166"/>
    </row>
    <row r="107" spans="2:7" ht="18.75" customHeight="1" x14ac:dyDescent="0.15">
      <c r="B107" s="157"/>
      <c r="C107" s="89" t="s">
        <v>111</v>
      </c>
      <c r="D107" s="103" t="s">
        <v>112</v>
      </c>
      <c r="E107" s="104"/>
      <c r="F107" s="104"/>
      <c r="G107" s="105"/>
    </row>
    <row r="108" spans="2:7" ht="18.75" customHeight="1" x14ac:dyDescent="0.15">
      <c r="B108" s="157"/>
      <c r="C108" s="80" t="s">
        <v>186</v>
      </c>
      <c r="D108" s="93" t="s">
        <v>189</v>
      </c>
      <c r="E108" s="94"/>
      <c r="F108" s="94"/>
      <c r="G108" s="95"/>
    </row>
    <row r="109" spans="2:7" ht="18.75" customHeight="1" x14ac:dyDescent="0.15">
      <c r="B109" s="157"/>
      <c r="C109" s="80" t="s">
        <v>187</v>
      </c>
      <c r="D109" s="93" t="s">
        <v>190</v>
      </c>
      <c r="E109" s="94"/>
      <c r="F109" s="94"/>
      <c r="G109" s="95"/>
    </row>
    <row r="110" spans="2:7" ht="18.75" customHeight="1" x14ac:dyDescent="0.15">
      <c r="B110" s="157"/>
      <c r="C110" s="80" t="s">
        <v>188</v>
      </c>
      <c r="D110" s="93" t="s">
        <v>191</v>
      </c>
      <c r="E110" s="94"/>
      <c r="F110" s="94"/>
      <c r="G110" s="95"/>
    </row>
    <row r="111" spans="2:7" ht="18.75" customHeight="1" x14ac:dyDescent="0.15">
      <c r="B111" s="157"/>
      <c r="C111" s="80"/>
      <c r="D111" s="93"/>
      <c r="E111" s="94"/>
      <c r="F111" s="94"/>
      <c r="G111" s="95"/>
    </row>
    <row r="112" spans="2:7" ht="18.75" customHeight="1" x14ac:dyDescent="0.15">
      <c r="B112" s="157"/>
      <c r="C112" s="80"/>
      <c r="D112" s="93"/>
      <c r="E112" s="94"/>
      <c r="F112" s="94"/>
      <c r="G112" s="95"/>
    </row>
    <row r="113" spans="1:7" ht="18.75" customHeight="1" x14ac:dyDescent="0.15">
      <c r="B113" s="157"/>
      <c r="C113" s="80"/>
      <c r="D113" s="93"/>
      <c r="E113" s="94"/>
      <c r="F113" s="94"/>
      <c r="G113" s="95"/>
    </row>
    <row r="114" spans="1:7" ht="18.75" customHeight="1" x14ac:dyDescent="0.15">
      <c r="B114" s="157"/>
      <c r="C114" s="80"/>
      <c r="D114" s="93"/>
      <c r="E114" s="94"/>
      <c r="F114" s="94"/>
      <c r="G114" s="95"/>
    </row>
    <row r="115" spans="1:7" ht="18.75" customHeight="1" x14ac:dyDescent="0.15">
      <c r="B115" s="157"/>
      <c r="C115" s="80"/>
      <c r="D115" s="93"/>
      <c r="E115" s="94"/>
      <c r="F115" s="94"/>
      <c r="G115" s="95"/>
    </row>
    <row r="116" spans="1:7" ht="18.75" customHeight="1" x14ac:dyDescent="0.15">
      <c r="B116" s="157"/>
      <c r="C116" s="80"/>
      <c r="D116" s="93"/>
      <c r="E116" s="94"/>
      <c r="F116" s="94"/>
      <c r="G116" s="95"/>
    </row>
    <row r="117" spans="1:7" ht="18.75" customHeight="1" x14ac:dyDescent="0.15">
      <c r="B117" s="157"/>
      <c r="C117" s="80"/>
      <c r="D117" s="93"/>
      <c r="E117" s="94"/>
      <c r="F117" s="94"/>
      <c r="G117" s="95"/>
    </row>
    <row r="118" spans="1:7" ht="18.75" customHeight="1" x14ac:dyDescent="0.15">
      <c r="B118" s="157"/>
      <c r="C118" s="80"/>
      <c r="D118" s="93"/>
      <c r="E118" s="94"/>
      <c r="F118" s="94"/>
      <c r="G118" s="95"/>
    </row>
    <row r="119" spans="1:7" ht="18.75" customHeight="1" x14ac:dyDescent="0.15">
      <c r="B119" s="157"/>
      <c r="C119" s="80"/>
      <c r="D119" s="93"/>
      <c r="E119" s="94"/>
      <c r="F119" s="94"/>
      <c r="G119" s="95"/>
    </row>
    <row r="120" spans="1:7" ht="18.75" customHeight="1" x14ac:dyDescent="0.15">
      <c r="B120" s="157"/>
      <c r="C120" s="80"/>
      <c r="D120" s="93"/>
      <c r="E120" s="94"/>
      <c r="F120" s="94"/>
      <c r="G120" s="95"/>
    </row>
    <row r="121" spans="1:7" ht="18.75" customHeight="1" x14ac:dyDescent="0.15">
      <c r="B121" s="157"/>
      <c r="C121" s="80"/>
      <c r="D121" s="93"/>
      <c r="E121" s="94"/>
      <c r="F121" s="94"/>
      <c r="G121" s="95"/>
    </row>
    <row r="122" spans="1:7" ht="18.75" customHeight="1" x14ac:dyDescent="0.15">
      <c r="B122" s="157"/>
      <c r="C122" s="80"/>
      <c r="D122" s="93"/>
      <c r="E122" s="94"/>
      <c r="F122" s="94"/>
      <c r="G122" s="95"/>
    </row>
    <row r="123" spans="1:7" ht="18.75" customHeight="1" x14ac:dyDescent="0.15">
      <c r="B123" s="157"/>
      <c r="C123" s="80"/>
      <c r="D123" s="93"/>
      <c r="E123" s="94"/>
      <c r="F123" s="94"/>
      <c r="G123" s="95"/>
    </row>
    <row r="124" spans="1:7" ht="18.75" customHeight="1" x14ac:dyDescent="0.15">
      <c r="B124" s="157"/>
      <c r="C124" s="80"/>
      <c r="D124" s="93"/>
      <c r="E124" s="94"/>
      <c r="F124" s="94"/>
      <c r="G124" s="95"/>
    </row>
    <row r="125" spans="1:7" ht="18.75" customHeight="1" x14ac:dyDescent="0.15">
      <c r="B125" s="157"/>
      <c r="C125" s="80"/>
      <c r="D125" s="93"/>
      <c r="E125" s="94"/>
      <c r="F125" s="94"/>
      <c r="G125" s="95"/>
    </row>
    <row r="126" spans="1:7" ht="18.75" customHeight="1" x14ac:dyDescent="0.15">
      <c r="A126" s="2" t="s">
        <v>12</v>
      </c>
      <c r="B126" s="2" t="s">
        <v>108</v>
      </c>
    </row>
    <row r="127" spans="1:7" ht="22.5" customHeight="1" x14ac:dyDescent="0.15">
      <c r="B127" s="81" t="s">
        <v>74</v>
      </c>
      <c r="C127" s="103" t="s">
        <v>107</v>
      </c>
      <c r="D127" s="104"/>
      <c r="E127" s="104"/>
      <c r="F127" s="104"/>
      <c r="G127" s="105"/>
    </row>
    <row r="128" spans="1:7" ht="45" customHeight="1" x14ac:dyDescent="0.15">
      <c r="B128" s="79" t="s">
        <v>76</v>
      </c>
      <c r="C128" s="112" t="s">
        <v>204</v>
      </c>
      <c r="D128" s="113"/>
      <c r="E128" s="113"/>
      <c r="F128" s="113"/>
      <c r="G128" s="114"/>
    </row>
    <row r="129" spans="1:7" ht="45" customHeight="1" x14ac:dyDescent="0.15">
      <c r="B129" s="79" t="s">
        <v>77</v>
      </c>
      <c r="C129" s="112" t="s">
        <v>226</v>
      </c>
      <c r="D129" s="113"/>
      <c r="E129" s="113"/>
      <c r="F129" s="113"/>
      <c r="G129" s="114"/>
    </row>
    <row r="130" spans="1:7" ht="45" customHeight="1" x14ac:dyDescent="0.15">
      <c r="B130" s="79" t="s">
        <v>78</v>
      </c>
      <c r="C130" s="112" t="s">
        <v>213</v>
      </c>
      <c r="D130" s="113"/>
      <c r="E130" s="113"/>
      <c r="F130" s="113"/>
      <c r="G130" s="114"/>
    </row>
    <row r="131" spans="1:7" ht="45" customHeight="1" x14ac:dyDescent="0.15">
      <c r="B131" s="79" t="s">
        <v>79</v>
      </c>
      <c r="C131" s="112" t="s">
        <v>227</v>
      </c>
      <c r="D131" s="113"/>
      <c r="E131" s="113"/>
      <c r="F131" s="113"/>
      <c r="G131" s="114"/>
    </row>
    <row r="132" spans="1:7" ht="45" customHeight="1" x14ac:dyDescent="0.15">
      <c r="B132" s="79" t="s">
        <v>80</v>
      </c>
      <c r="C132" s="112" t="s">
        <v>205</v>
      </c>
      <c r="D132" s="113"/>
      <c r="E132" s="113"/>
      <c r="F132" s="113"/>
      <c r="G132" s="114"/>
    </row>
    <row r="133" spans="1:7" ht="45" customHeight="1" x14ac:dyDescent="0.15">
      <c r="B133" s="79" t="s">
        <v>81</v>
      </c>
      <c r="C133" s="112" t="s">
        <v>228</v>
      </c>
      <c r="D133" s="113"/>
      <c r="E133" s="113"/>
      <c r="F133" s="113"/>
      <c r="G133" s="114"/>
    </row>
    <row r="134" spans="1:7" ht="45" customHeight="1" x14ac:dyDescent="0.15">
      <c r="B134" s="79" t="s">
        <v>82</v>
      </c>
      <c r="C134" s="112" t="s">
        <v>229</v>
      </c>
      <c r="D134" s="113"/>
      <c r="E134" s="113"/>
      <c r="F134" s="113"/>
      <c r="G134" s="114"/>
    </row>
    <row r="135" spans="1:7" ht="45" customHeight="1" x14ac:dyDescent="0.15">
      <c r="B135" s="79" t="s">
        <v>83</v>
      </c>
      <c r="C135" s="112" t="s">
        <v>206</v>
      </c>
      <c r="D135" s="113"/>
      <c r="E135" s="113"/>
      <c r="F135" s="113"/>
      <c r="G135" s="114"/>
    </row>
    <row r="136" spans="1:7" ht="45" customHeight="1" x14ac:dyDescent="0.15">
      <c r="B136" s="79" t="s">
        <v>84</v>
      </c>
      <c r="C136" s="112" t="s">
        <v>207</v>
      </c>
      <c r="D136" s="113"/>
      <c r="E136" s="113"/>
      <c r="F136" s="113"/>
      <c r="G136" s="114"/>
    </row>
    <row r="137" spans="1:7" ht="7.5" customHeight="1" x14ac:dyDescent="0.15"/>
    <row r="138" spans="1:7" ht="18.75" customHeight="1" x14ac:dyDescent="0.15">
      <c r="A138" s="2" t="s">
        <v>99</v>
      </c>
      <c r="B138" s="2" t="s">
        <v>100</v>
      </c>
      <c r="E138" s="186" t="s">
        <v>225</v>
      </c>
      <c r="F138" s="113"/>
      <c r="G138" s="114"/>
    </row>
    <row r="139" spans="1:7" ht="7.5" customHeight="1" x14ac:dyDescent="0.15"/>
    <row r="140" spans="1:7" ht="18.75" customHeight="1" x14ac:dyDescent="0.15">
      <c r="A140" s="2" t="s">
        <v>101</v>
      </c>
      <c r="B140" s="2" t="s">
        <v>102</v>
      </c>
    </row>
    <row r="141" spans="1:7" ht="18.75" customHeight="1" x14ac:dyDescent="0.15">
      <c r="B141" s="177" t="s">
        <v>193</v>
      </c>
      <c r="C141" s="178"/>
      <c r="D141" s="178"/>
      <c r="E141" s="178"/>
      <c r="F141" s="178"/>
      <c r="G141" s="179"/>
    </row>
    <row r="142" spans="1:7" ht="18.75" customHeight="1" x14ac:dyDescent="0.15">
      <c r="B142" s="180"/>
      <c r="C142" s="181"/>
      <c r="D142" s="181"/>
      <c r="E142" s="181"/>
      <c r="F142" s="181"/>
      <c r="G142" s="182"/>
    </row>
    <row r="143" spans="1:7" ht="18.75" customHeight="1" x14ac:dyDescent="0.15">
      <c r="B143" s="180"/>
      <c r="C143" s="181"/>
      <c r="D143" s="181"/>
      <c r="E143" s="181"/>
      <c r="F143" s="181"/>
      <c r="G143" s="182"/>
    </row>
    <row r="144" spans="1:7" ht="18.75" customHeight="1" x14ac:dyDescent="0.15">
      <c r="B144" s="183"/>
      <c r="C144" s="184"/>
      <c r="D144" s="184"/>
      <c r="E144" s="184"/>
      <c r="F144" s="184"/>
      <c r="G144" s="185"/>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8" r:id="rId1" xr:uid="{00000000-0004-0000-03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48"/>
  <sheetViews>
    <sheetView showZeros="0" topLeftCell="A10" zoomScaleNormal="100" workbookViewId="0">
      <selection activeCell="G20" sqref="G20"/>
    </sheetView>
  </sheetViews>
  <sheetFormatPr defaultColWidth="11.375" defaultRowHeight="18.75" customHeight="1" x14ac:dyDescent="0.15"/>
  <cols>
    <col min="1" max="1" width="2.75" style="63" customWidth="1"/>
    <col min="2" max="2" width="54.25" style="2" customWidth="1"/>
    <col min="3" max="3" width="1.25" style="2" customWidth="1"/>
    <col min="4" max="4" width="22.5" style="2" customWidth="1"/>
    <col min="5" max="5" width="6.25" style="2" customWidth="1"/>
    <col min="6" max="16384" width="11.375" style="2"/>
  </cols>
  <sheetData>
    <row r="1" spans="1:5" ht="18.75" customHeight="1" x14ac:dyDescent="0.15">
      <c r="E1" s="82" t="s">
        <v>109</v>
      </c>
    </row>
    <row r="2" spans="1:5" ht="18.75" customHeight="1" x14ac:dyDescent="0.15">
      <c r="B2" s="82" t="s">
        <v>88</v>
      </c>
      <c r="C2" s="82" t="s">
        <v>8</v>
      </c>
      <c r="D2" s="130" t="s">
        <v>138</v>
      </c>
      <c r="E2" s="130"/>
    </row>
    <row r="3" spans="1:5" ht="7.5" customHeight="1" x14ac:dyDescent="0.15">
      <c r="B3" s="82"/>
      <c r="C3" s="82"/>
      <c r="D3" s="83"/>
      <c r="E3" s="83"/>
    </row>
    <row r="4" spans="1:5" ht="18.75" customHeight="1" x14ac:dyDescent="0.15">
      <c r="B4" s="111" t="s">
        <v>85</v>
      </c>
      <c r="C4" s="111"/>
      <c r="D4" s="111"/>
      <c r="E4" s="111"/>
    </row>
    <row r="5" spans="1:5" ht="7.5" customHeight="1" x14ac:dyDescent="0.15">
      <c r="B5" s="83"/>
      <c r="C5" s="83"/>
      <c r="D5" s="83"/>
      <c r="E5" s="83"/>
    </row>
    <row r="6" spans="1:5" ht="18.75" customHeight="1" x14ac:dyDescent="0.15">
      <c r="A6" s="6" t="s">
        <v>7</v>
      </c>
      <c r="B6" s="3" t="s">
        <v>98</v>
      </c>
      <c r="C6" s="83"/>
      <c r="D6" s="83"/>
      <c r="E6" s="83"/>
    </row>
    <row r="7" spans="1:5" ht="18.75" customHeight="1" x14ac:dyDescent="0.15">
      <c r="A7" s="6"/>
      <c r="B7" s="112" t="s">
        <v>152</v>
      </c>
      <c r="C7" s="113"/>
      <c r="D7" s="113"/>
      <c r="E7" s="114"/>
    </row>
    <row r="8" spans="1:5" ht="7.5" customHeight="1" x14ac:dyDescent="0.15">
      <c r="B8" s="83"/>
      <c r="C8" s="83"/>
      <c r="D8" s="83"/>
      <c r="E8" s="83"/>
    </row>
    <row r="9" spans="1:5" s="3" customFormat="1" ht="18.75" customHeight="1" x14ac:dyDescent="0.15">
      <c r="A9" s="6" t="s">
        <v>12</v>
      </c>
      <c r="B9" s="6" t="s">
        <v>46</v>
      </c>
      <c r="C9" s="6"/>
      <c r="D9" s="6"/>
      <c r="E9" s="6"/>
    </row>
    <row r="10" spans="1:5" ht="18.75" customHeight="1" x14ac:dyDescent="0.15">
      <c r="A10" s="84"/>
      <c r="B10" s="177" t="s">
        <v>208</v>
      </c>
      <c r="C10" s="187"/>
      <c r="D10" s="187"/>
      <c r="E10" s="188"/>
    </row>
    <row r="11" spans="1:5" ht="18.75" customHeight="1" x14ac:dyDescent="0.15">
      <c r="A11" s="84"/>
      <c r="B11" s="189"/>
      <c r="C11" s="190"/>
      <c r="D11" s="190"/>
      <c r="E11" s="191"/>
    </row>
    <row r="12" spans="1:5" ht="18.75" customHeight="1" x14ac:dyDescent="0.15">
      <c r="A12" s="84"/>
      <c r="B12" s="189"/>
      <c r="C12" s="190"/>
      <c r="D12" s="190"/>
      <c r="E12" s="191"/>
    </row>
    <row r="13" spans="1:5" ht="18.75" customHeight="1" x14ac:dyDescent="0.15">
      <c r="A13" s="84"/>
      <c r="B13" s="189"/>
      <c r="C13" s="190"/>
      <c r="D13" s="190"/>
      <c r="E13" s="191"/>
    </row>
    <row r="14" spans="1:5" ht="18.75" customHeight="1" x14ac:dyDescent="0.15">
      <c r="A14" s="84"/>
      <c r="B14" s="192"/>
      <c r="C14" s="193"/>
      <c r="D14" s="193"/>
      <c r="E14" s="194"/>
    </row>
    <row r="15" spans="1:5" ht="7.5" customHeight="1" x14ac:dyDescent="0.15">
      <c r="A15" s="84"/>
      <c r="B15" s="84"/>
      <c r="C15" s="84"/>
      <c r="D15" s="84"/>
      <c r="E15" s="84"/>
    </row>
    <row r="16" spans="1:5" s="3" customFormat="1" ht="18.75" customHeight="1" x14ac:dyDescent="0.15">
      <c r="A16" s="64" t="s">
        <v>13</v>
      </c>
      <c r="B16" s="64" t="s">
        <v>19</v>
      </c>
      <c r="C16" s="64"/>
      <c r="D16" s="64"/>
      <c r="E16" s="64"/>
    </row>
    <row r="17" spans="1:5" ht="18.75" customHeight="1" x14ac:dyDescent="0.15">
      <c r="A17" s="84"/>
      <c r="B17" s="177" t="s">
        <v>253</v>
      </c>
      <c r="C17" s="187"/>
      <c r="D17" s="187"/>
      <c r="E17" s="188"/>
    </row>
    <row r="18" spans="1:5" ht="18.75" customHeight="1" x14ac:dyDescent="0.15">
      <c r="A18" s="84"/>
      <c r="B18" s="189"/>
      <c r="C18" s="190"/>
      <c r="D18" s="190"/>
      <c r="E18" s="191"/>
    </row>
    <row r="19" spans="1:5" ht="18.75" customHeight="1" x14ac:dyDescent="0.15">
      <c r="A19" s="84"/>
      <c r="B19" s="189"/>
      <c r="C19" s="190"/>
      <c r="D19" s="190"/>
      <c r="E19" s="191"/>
    </row>
    <row r="20" spans="1:5" ht="18.75" customHeight="1" x14ac:dyDescent="0.15">
      <c r="A20" s="84"/>
      <c r="B20" s="189"/>
      <c r="C20" s="190"/>
      <c r="D20" s="190"/>
      <c r="E20" s="191"/>
    </row>
    <row r="21" spans="1:5" ht="18.75" customHeight="1" x14ac:dyDescent="0.15">
      <c r="A21" s="84"/>
      <c r="B21" s="189"/>
      <c r="C21" s="190"/>
      <c r="D21" s="190"/>
      <c r="E21" s="191"/>
    </row>
    <row r="22" spans="1:5" ht="18.75" customHeight="1" x14ac:dyDescent="0.15">
      <c r="A22" s="84"/>
      <c r="B22" s="189"/>
      <c r="C22" s="190"/>
      <c r="D22" s="190"/>
      <c r="E22" s="191"/>
    </row>
    <row r="23" spans="1:5" ht="18.75" customHeight="1" x14ac:dyDescent="0.15">
      <c r="A23" s="84"/>
      <c r="B23" s="189"/>
      <c r="C23" s="190"/>
      <c r="D23" s="190"/>
      <c r="E23" s="191"/>
    </row>
    <row r="24" spans="1:5" ht="18.75" customHeight="1" x14ac:dyDescent="0.15">
      <c r="A24" s="84"/>
      <c r="B24" s="189"/>
      <c r="C24" s="190"/>
      <c r="D24" s="190"/>
      <c r="E24" s="191"/>
    </row>
    <row r="25" spans="1:5" ht="18.75" customHeight="1" x14ac:dyDescent="0.15">
      <c r="A25" s="84"/>
      <c r="B25" s="189"/>
      <c r="C25" s="190"/>
      <c r="D25" s="190"/>
      <c r="E25" s="191"/>
    </row>
    <row r="26" spans="1:5" ht="18.75" customHeight="1" x14ac:dyDescent="0.15">
      <c r="A26" s="84"/>
      <c r="B26" s="189"/>
      <c r="C26" s="190"/>
      <c r="D26" s="190"/>
      <c r="E26" s="191"/>
    </row>
    <row r="27" spans="1:5" ht="18.75" customHeight="1" x14ac:dyDescent="0.15">
      <c r="A27" s="84"/>
      <c r="B27" s="189"/>
      <c r="C27" s="190"/>
      <c r="D27" s="190"/>
      <c r="E27" s="191"/>
    </row>
    <row r="28" spans="1:5" ht="18.75" customHeight="1" x14ac:dyDescent="0.15">
      <c r="A28" s="84"/>
      <c r="B28" s="192"/>
      <c r="C28" s="193"/>
      <c r="D28" s="193"/>
      <c r="E28" s="194"/>
    </row>
    <row r="29" spans="1:5" ht="7.5" customHeight="1" x14ac:dyDescent="0.15">
      <c r="A29" s="65"/>
      <c r="B29" s="65"/>
      <c r="C29" s="65"/>
      <c r="D29" s="65"/>
      <c r="E29" s="65"/>
    </row>
    <row r="30" spans="1:5" s="3" customFormat="1" ht="18.75" customHeight="1" x14ac:dyDescent="0.15">
      <c r="A30" s="6" t="s">
        <v>17</v>
      </c>
      <c r="B30" s="6" t="s">
        <v>30</v>
      </c>
      <c r="C30" s="6"/>
      <c r="D30" s="6"/>
      <c r="E30" s="6"/>
    </row>
    <row r="31" spans="1:5" s="3" customFormat="1" ht="18.75" customHeight="1" x14ac:dyDescent="0.15">
      <c r="A31" s="6"/>
      <c r="B31" s="177" t="s">
        <v>254</v>
      </c>
      <c r="C31" s="187"/>
      <c r="D31" s="187"/>
      <c r="E31" s="188"/>
    </row>
    <row r="32" spans="1:5" s="3" customFormat="1" ht="18.75" customHeight="1" x14ac:dyDescent="0.15">
      <c r="A32" s="6"/>
      <c r="B32" s="189"/>
      <c r="C32" s="190"/>
      <c r="D32" s="190"/>
      <c r="E32" s="191"/>
    </row>
    <row r="33" spans="1:5" s="3" customFormat="1" ht="18.75" customHeight="1" x14ac:dyDescent="0.15">
      <c r="A33" s="6"/>
      <c r="B33" s="189"/>
      <c r="C33" s="190"/>
      <c r="D33" s="190"/>
      <c r="E33" s="191"/>
    </row>
    <row r="34" spans="1:5" s="3" customFormat="1" ht="18.75" customHeight="1" x14ac:dyDescent="0.15">
      <c r="A34" s="6"/>
      <c r="B34" s="189"/>
      <c r="C34" s="190"/>
      <c r="D34" s="190"/>
      <c r="E34" s="191"/>
    </row>
    <row r="35" spans="1:5" s="3" customFormat="1" ht="18.75" customHeight="1" x14ac:dyDescent="0.15">
      <c r="A35" s="6"/>
      <c r="B35" s="189"/>
      <c r="C35" s="190"/>
      <c r="D35" s="190"/>
      <c r="E35" s="191"/>
    </row>
    <row r="36" spans="1:5" s="3" customFormat="1" ht="18.75" customHeight="1" x14ac:dyDescent="0.15">
      <c r="A36" s="6"/>
      <c r="B36" s="189"/>
      <c r="C36" s="190"/>
      <c r="D36" s="190"/>
      <c r="E36" s="191"/>
    </row>
    <row r="37" spans="1:5" s="3" customFormat="1" ht="18.75" customHeight="1" x14ac:dyDescent="0.15">
      <c r="A37" s="6"/>
      <c r="B37" s="189"/>
      <c r="C37" s="190"/>
      <c r="D37" s="190"/>
      <c r="E37" s="191"/>
    </row>
    <row r="38" spans="1:5" s="3" customFormat="1" ht="18.75" customHeight="1" x14ac:dyDescent="0.15">
      <c r="A38" s="6"/>
      <c r="B38" s="189"/>
      <c r="C38" s="190"/>
      <c r="D38" s="190"/>
      <c r="E38" s="191"/>
    </row>
    <row r="39" spans="1:5" s="3" customFormat="1" ht="18.75" customHeight="1" x14ac:dyDescent="0.15">
      <c r="A39" s="6"/>
      <c r="B39" s="189"/>
      <c r="C39" s="190"/>
      <c r="D39" s="190"/>
      <c r="E39" s="191"/>
    </row>
    <row r="40" spans="1:5" s="3" customFormat="1" ht="18.75" customHeight="1" x14ac:dyDescent="0.15">
      <c r="A40" s="6"/>
      <c r="B40" s="189"/>
      <c r="C40" s="190"/>
      <c r="D40" s="190"/>
      <c r="E40" s="191"/>
    </row>
    <row r="41" spans="1:5" s="3" customFormat="1" ht="18.75" customHeight="1" x14ac:dyDescent="0.15">
      <c r="A41" s="6"/>
      <c r="B41" s="189"/>
      <c r="C41" s="190"/>
      <c r="D41" s="190"/>
      <c r="E41" s="191"/>
    </row>
    <row r="42" spans="1:5" s="3" customFormat="1" ht="18.75" customHeight="1" x14ac:dyDescent="0.15">
      <c r="A42" s="6"/>
      <c r="B42" s="189"/>
      <c r="C42" s="190"/>
      <c r="D42" s="190"/>
      <c r="E42" s="191"/>
    </row>
    <row r="43" spans="1:5" s="3" customFormat="1" ht="18.75" customHeight="1" x14ac:dyDescent="0.15">
      <c r="A43" s="6"/>
      <c r="B43" s="189"/>
      <c r="C43" s="190"/>
      <c r="D43" s="190"/>
      <c r="E43" s="191"/>
    </row>
    <row r="44" spans="1:5" s="3" customFormat="1" ht="18.75" customHeight="1" x14ac:dyDescent="0.15">
      <c r="A44" s="6"/>
      <c r="B44" s="189"/>
      <c r="C44" s="190"/>
      <c r="D44" s="190"/>
      <c r="E44" s="191"/>
    </row>
    <row r="45" spans="1:5" ht="18.75" customHeight="1" x14ac:dyDescent="0.15">
      <c r="A45" s="65"/>
      <c r="B45" s="189"/>
      <c r="C45" s="190"/>
      <c r="D45" s="190"/>
      <c r="E45" s="191"/>
    </row>
    <row r="46" spans="1:5" ht="18.75" customHeight="1" x14ac:dyDescent="0.15">
      <c r="A46" s="65"/>
      <c r="B46" s="192"/>
      <c r="C46" s="193"/>
      <c r="D46" s="193"/>
      <c r="E46" s="194"/>
    </row>
    <row r="47" spans="1:5" s="3" customFormat="1" ht="18.75" customHeight="1" x14ac:dyDescent="0.15">
      <c r="A47" s="64" t="s">
        <v>14</v>
      </c>
      <c r="B47" s="6" t="s">
        <v>86</v>
      </c>
      <c r="C47" s="64"/>
      <c r="D47" s="64"/>
      <c r="E47" s="64"/>
    </row>
    <row r="48" spans="1:5" ht="18.75" customHeight="1" x14ac:dyDescent="0.15">
      <c r="A48" s="65"/>
      <c r="B48" s="177" t="s">
        <v>255</v>
      </c>
      <c r="C48" s="178"/>
      <c r="D48" s="178"/>
      <c r="E48" s="179"/>
    </row>
    <row r="49" spans="1:5" ht="18.75" customHeight="1" x14ac:dyDescent="0.15">
      <c r="A49" s="65"/>
      <c r="B49" s="180"/>
      <c r="C49" s="181"/>
      <c r="D49" s="181"/>
      <c r="E49" s="182"/>
    </row>
    <row r="50" spans="1:5" ht="18.75" customHeight="1" x14ac:dyDescent="0.15">
      <c r="A50" s="65"/>
      <c r="B50" s="180"/>
      <c r="C50" s="181"/>
      <c r="D50" s="181"/>
      <c r="E50" s="182"/>
    </row>
    <row r="51" spans="1:5" ht="18.75" customHeight="1" x14ac:dyDescent="0.15">
      <c r="A51" s="65"/>
      <c r="B51" s="180"/>
      <c r="C51" s="181"/>
      <c r="D51" s="181"/>
      <c r="E51" s="182"/>
    </row>
    <row r="52" spans="1:5" ht="18.75" customHeight="1" x14ac:dyDescent="0.15">
      <c r="A52" s="65"/>
      <c r="B52" s="180"/>
      <c r="C52" s="181"/>
      <c r="D52" s="181"/>
      <c r="E52" s="182"/>
    </row>
    <row r="53" spans="1:5" ht="18.75" customHeight="1" x14ac:dyDescent="0.15">
      <c r="A53" s="65"/>
      <c r="B53" s="180"/>
      <c r="C53" s="181"/>
      <c r="D53" s="181"/>
      <c r="E53" s="182"/>
    </row>
    <row r="54" spans="1:5" ht="18.75" customHeight="1" x14ac:dyDescent="0.15">
      <c r="A54" s="65"/>
      <c r="B54" s="180"/>
      <c r="C54" s="181"/>
      <c r="D54" s="181"/>
      <c r="E54" s="182"/>
    </row>
    <row r="55" spans="1:5" ht="18.75" customHeight="1" x14ac:dyDescent="0.15">
      <c r="A55" s="65"/>
      <c r="B55" s="180"/>
      <c r="C55" s="181"/>
      <c r="D55" s="181"/>
      <c r="E55" s="182"/>
    </row>
    <row r="56" spans="1:5" ht="18.75" customHeight="1" x14ac:dyDescent="0.15">
      <c r="A56" s="65"/>
      <c r="B56" s="180"/>
      <c r="C56" s="181"/>
      <c r="D56" s="181"/>
      <c r="E56" s="182"/>
    </row>
    <row r="57" spans="1:5" ht="18.75" customHeight="1" x14ac:dyDescent="0.15">
      <c r="A57" s="65"/>
      <c r="B57" s="180"/>
      <c r="C57" s="181"/>
      <c r="D57" s="181"/>
      <c r="E57" s="182"/>
    </row>
    <row r="58" spans="1:5" ht="18.75" customHeight="1" x14ac:dyDescent="0.15">
      <c r="A58" s="65"/>
      <c r="B58" s="180"/>
      <c r="C58" s="181"/>
      <c r="D58" s="181"/>
      <c r="E58" s="182"/>
    </row>
    <row r="59" spans="1:5" ht="18.75" customHeight="1" x14ac:dyDescent="0.15">
      <c r="A59" s="65"/>
      <c r="B59" s="180"/>
      <c r="C59" s="181"/>
      <c r="D59" s="181"/>
      <c r="E59" s="182"/>
    </row>
    <row r="60" spans="1:5" ht="18.75" customHeight="1" x14ac:dyDescent="0.15">
      <c r="A60" s="65"/>
      <c r="B60" s="180"/>
      <c r="C60" s="181"/>
      <c r="D60" s="181"/>
      <c r="E60" s="182"/>
    </row>
    <row r="61" spans="1:5" ht="18.75" customHeight="1" x14ac:dyDescent="0.15">
      <c r="A61" s="65"/>
      <c r="B61" s="180"/>
      <c r="C61" s="181"/>
      <c r="D61" s="181"/>
      <c r="E61" s="182"/>
    </row>
    <row r="62" spans="1:5" ht="18.75" customHeight="1" x14ac:dyDescent="0.15">
      <c r="A62" s="65"/>
      <c r="B62" s="180"/>
      <c r="C62" s="181"/>
      <c r="D62" s="181"/>
      <c r="E62" s="182"/>
    </row>
    <row r="63" spans="1:5" ht="18.75" customHeight="1" x14ac:dyDescent="0.15">
      <c r="A63" s="65"/>
      <c r="B63" s="180"/>
      <c r="C63" s="181"/>
      <c r="D63" s="181"/>
      <c r="E63" s="182"/>
    </row>
    <row r="64" spans="1:5" ht="18.75" customHeight="1" x14ac:dyDescent="0.15">
      <c r="A64" s="65"/>
      <c r="B64" s="180"/>
      <c r="C64" s="181"/>
      <c r="D64" s="181"/>
      <c r="E64" s="182"/>
    </row>
    <row r="65" spans="1:5" ht="18.75" customHeight="1" x14ac:dyDescent="0.15">
      <c r="A65" s="65"/>
      <c r="B65" s="180"/>
      <c r="C65" s="181"/>
      <c r="D65" s="181"/>
      <c r="E65" s="182"/>
    </row>
    <row r="66" spans="1:5" ht="18.75" customHeight="1" x14ac:dyDescent="0.15">
      <c r="A66" s="65"/>
      <c r="B66" s="180"/>
      <c r="C66" s="181"/>
      <c r="D66" s="181"/>
      <c r="E66" s="182"/>
    </row>
    <row r="67" spans="1:5" ht="18.75" customHeight="1" x14ac:dyDescent="0.15">
      <c r="A67" s="65"/>
      <c r="B67" s="180"/>
      <c r="C67" s="181"/>
      <c r="D67" s="181"/>
      <c r="E67" s="182"/>
    </row>
    <row r="68" spans="1:5" ht="18.75" customHeight="1" x14ac:dyDescent="0.15">
      <c r="A68" s="65"/>
      <c r="B68" s="183"/>
      <c r="C68" s="184"/>
      <c r="D68" s="184"/>
      <c r="E68" s="185"/>
    </row>
    <row r="69" spans="1:5" ht="7.5" customHeight="1" x14ac:dyDescent="0.15">
      <c r="A69" s="65"/>
      <c r="B69" s="65"/>
      <c r="C69" s="65"/>
      <c r="D69" s="65"/>
      <c r="E69" s="65"/>
    </row>
    <row r="70" spans="1:5" s="3" customFormat="1" ht="18.75" customHeight="1" x14ac:dyDescent="0.15">
      <c r="A70" s="6" t="s">
        <v>18</v>
      </c>
      <c r="B70" s="6" t="s">
        <v>97</v>
      </c>
      <c r="C70" s="6"/>
      <c r="D70" s="6"/>
      <c r="E70" s="6"/>
    </row>
    <row r="71" spans="1:5" s="3" customFormat="1" ht="18.75" customHeight="1" x14ac:dyDescent="0.15">
      <c r="A71" s="6"/>
      <c r="B71" s="177" t="s">
        <v>260</v>
      </c>
      <c r="C71" s="187"/>
      <c r="D71" s="187"/>
      <c r="E71" s="188"/>
    </row>
    <row r="72" spans="1:5" s="3" customFormat="1" ht="18.75" customHeight="1" x14ac:dyDescent="0.15">
      <c r="A72" s="6"/>
      <c r="B72" s="189"/>
      <c r="C72" s="190"/>
      <c r="D72" s="190"/>
      <c r="E72" s="191"/>
    </row>
    <row r="73" spans="1:5" s="3" customFormat="1" ht="18.75" customHeight="1" x14ac:dyDescent="0.15">
      <c r="A73" s="6"/>
      <c r="B73" s="189"/>
      <c r="C73" s="190"/>
      <c r="D73" s="190"/>
      <c r="E73" s="191"/>
    </row>
    <row r="74" spans="1:5" s="3" customFormat="1" ht="18.75" customHeight="1" x14ac:dyDescent="0.15">
      <c r="A74" s="6"/>
      <c r="B74" s="189"/>
      <c r="C74" s="190"/>
      <c r="D74" s="190"/>
      <c r="E74" s="191"/>
    </row>
    <row r="75" spans="1:5" s="3" customFormat="1" ht="18.75" customHeight="1" x14ac:dyDescent="0.15">
      <c r="A75" s="6"/>
      <c r="B75" s="189"/>
      <c r="C75" s="190"/>
      <c r="D75" s="190"/>
      <c r="E75" s="191"/>
    </row>
    <row r="76" spans="1:5" s="3" customFormat="1" ht="18.75" customHeight="1" x14ac:dyDescent="0.15">
      <c r="A76" s="6"/>
      <c r="B76" s="189"/>
      <c r="C76" s="190"/>
      <c r="D76" s="190"/>
      <c r="E76" s="191"/>
    </row>
    <row r="77" spans="1:5" s="3" customFormat="1" ht="18.75" customHeight="1" x14ac:dyDescent="0.15">
      <c r="A77" s="6"/>
      <c r="B77" s="189"/>
      <c r="C77" s="190"/>
      <c r="D77" s="190"/>
      <c r="E77" s="191"/>
    </row>
    <row r="78" spans="1:5" s="3" customFormat="1" ht="18.75" customHeight="1" x14ac:dyDescent="0.15">
      <c r="A78" s="6"/>
      <c r="B78" s="189"/>
      <c r="C78" s="190"/>
      <c r="D78" s="190"/>
      <c r="E78" s="191"/>
    </row>
    <row r="79" spans="1:5" s="3" customFormat="1" ht="18.75" customHeight="1" x14ac:dyDescent="0.15">
      <c r="A79" s="6"/>
      <c r="B79" s="189"/>
      <c r="C79" s="190"/>
      <c r="D79" s="190"/>
      <c r="E79" s="191"/>
    </row>
    <row r="80" spans="1:5" s="3" customFormat="1" ht="18.75" customHeight="1" x14ac:dyDescent="0.15">
      <c r="A80" s="6"/>
      <c r="B80" s="189"/>
      <c r="C80" s="190"/>
      <c r="D80" s="190"/>
      <c r="E80" s="191"/>
    </row>
    <row r="81" spans="1:5" s="3" customFormat="1" ht="18.75" customHeight="1" x14ac:dyDescent="0.15">
      <c r="A81" s="6"/>
      <c r="B81" s="189"/>
      <c r="C81" s="190"/>
      <c r="D81" s="190"/>
      <c r="E81" s="191"/>
    </row>
    <row r="82" spans="1:5" s="3" customFormat="1" ht="18.75" customHeight="1" x14ac:dyDescent="0.15">
      <c r="A82" s="6"/>
      <c r="B82" s="189"/>
      <c r="C82" s="190"/>
      <c r="D82" s="190"/>
      <c r="E82" s="191"/>
    </row>
    <row r="83" spans="1:5" s="3" customFormat="1" ht="18.75" customHeight="1" x14ac:dyDescent="0.15">
      <c r="A83" s="6"/>
      <c r="B83" s="189"/>
      <c r="C83" s="190"/>
      <c r="D83" s="190"/>
      <c r="E83" s="191"/>
    </row>
    <row r="84" spans="1:5" s="3" customFormat="1" ht="18.75" customHeight="1" x14ac:dyDescent="0.15">
      <c r="A84" s="6"/>
      <c r="B84" s="189"/>
      <c r="C84" s="190"/>
      <c r="D84" s="190"/>
      <c r="E84" s="191"/>
    </row>
    <row r="85" spans="1:5" s="3" customFormat="1" ht="18.75" customHeight="1" x14ac:dyDescent="0.15">
      <c r="A85" s="6"/>
      <c r="B85" s="189"/>
      <c r="C85" s="190"/>
      <c r="D85" s="190"/>
      <c r="E85" s="191"/>
    </row>
    <row r="86" spans="1:5" s="3" customFormat="1" ht="18.75" customHeight="1" x14ac:dyDescent="0.15">
      <c r="A86" s="6"/>
      <c r="B86" s="189"/>
      <c r="C86" s="190"/>
      <c r="D86" s="190"/>
      <c r="E86" s="191"/>
    </row>
    <row r="87" spans="1:5" s="3" customFormat="1" ht="18.75" customHeight="1" x14ac:dyDescent="0.15">
      <c r="A87" s="6"/>
      <c r="B87" s="189"/>
      <c r="C87" s="190"/>
      <c r="D87" s="190"/>
      <c r="E87" s="191"/>
    </row>
    <row r="88" spans="1:5" ht="18.75" customHeight="1" x14ac:dyDescent="0.15">
      <c r="A88" s="65"/>
      <c r="B88" s="189"/>
      <c r="C88" s="190"/>
      <c r="D88" s="190"/>
      <c r="E88" s="191"/>
    </row>
    <row r="89" spans="1:5" ht="18.75" customHeight="1" x14ac:dyDescent="0.15">
      <c r="A89" s="65"/>
      <c r="B89" s="192"/>
      <c r="C89" s="193"/>
      <c r="D89" s="193"/>
      <c r="E89" s="194"/>
    </row>
    <row r="90" spans="1:5" ht="7.5" customHeight="1" x14ac:dyDescent="0.15">
      <c r="A90" s="65"/>
      <c r="B90" s="65"/>
      <c r="C90" s="65"/>
      <c r="D90" s="65"/>
      <c r="E90" s="65"/>
    </row>
    <row r="91" spans="1:5" s="3" customFormat="1" ht="18.75" customHeight="1" x14ac:dyDescent="0.15">
      <c r="A91" s="6" t="s">
        <v>15</v>
      </c>
      <c r="B91" s="6" t="s">
        <v>34</v>
      </c>
      <c r="C91" s="6"/>
      <c r="D91" s="6"/>
      <c r="E91" s="6"/>
    </row>
    <row r="92" spans="1:5" s="3" customFormat="1" ht="18.75" customHeight="1" x14ac:dyDescent="0.15">
      <c r="A92" s="6"/>
      <c r="B92" s="177" t="s">
        <v>241</v>
      </c>
      <c r="C92" s="187"/>
      <c r="D92" s="187"/>
      <c r="E92" s="188"/>
    </row>
    <row r="93" spans="1:5" s="3" customFormat="1" ht="18.75" customHeight="1" x14ac:dyDescent="0.15">
      <c r="A93" s="6"/>
      <c r="B93" s="189"/>
      <c r="C93" s="190"/>
      <c r="D93" s="190"/>
      <c r="E93" s="191"/>
    </row>
    <row r="94" spans="1:5" s="3" customFormat="1" ht="18.75" customHeight="1" x14ac:dyDescent="0.15">
      <c r="A94" s="6"/>
      <c r="B94" s="189"/>
      <c r="C94" s="190"/>
      <c r="D94" s="190"/>
      <c r="E94" s="191"/>
    </row>
    <row r="95" spans="1:5" s="3" customFormat="1" ht="18.75" customHeight="1" x14ac:dyDescent="0.15">
      <c r="A95" s="6"/>
      <c r="B95" s="189"/>
      <c r="C95" s="190"/>
      <c r="D95" s="190"/>
      <c r="E95" s="191"/>
    </row>
    <row r="96" spans="1:5" s="3" customFormat="1" ht="18.75" customHeight="1" x14ac:dyDescent="0.15">
      <c r="A96" s="6"/>
      <c r="B96" s="189"/>
      <c r="C96" s="190"/>
      <c r="D96" s="190"/>
      <c r="E96" s="191"/>
    </row>
    <row r="97" spans="1:5" s="3" customFormat="1" ht="18.75" customHeight="1" x14ac:dyDescent="0.15">
      <c r="A97" s="6"/>
      <c r="B97" s="189"/>
      <c r="C97" s="190"/>
      <c r="D97" s="190"/>
      <c r="E97" s="191"/>
    </row>
    <row r="98" spans="1:5" s="3" customFormat="1" ht="18.75" customHeight="1" x14ac:dyDescent="0.15">
      <c r="A98" s="6"/>
      <c r="B98" s="189"/>
      <c r="C98" s="190"/>
      <c r="D98" s="190"/>
      <c r="E98" s="191"/>
    </row>
    <row r="99" spans="1:5" s="3" customFormat="1" ht="18.75" customHeight="1" x14ac:dyDescent="0.15">
      <c r="A99" s="6"/>
      <c r="B99" s="189"/>
      <c r="C99" s="190"/>
      <c r="D99" s="190"/>
      <c r="E99" s="191"/>
    </row>
    <row r="100" spans="1:5" s="3" customFormat="1" ht="18.75" customHeight="1" x14ac:dyDescent="0.15">
      <c r="A100" s="6"/>
      <c r="B100" s="189"/>
      <c r="C100" s="190"/>
      <c r="D100" s="190"/>
      <c r="E100" s="191"/>
    </row>
    <row r="101" spans="1:5" s="3" customFormat="1" ht="18.75" customHeight="1" x14ac:dyDescent="0.15">
      <c r="A101" s="6"/>
      <c r="B101" s="189"/>
      <c r="C101" s="190"/>
      <c r="D101" s="190"/>
      <c r="E101" s="191"/>
    </row>
    <row r="102" spans="1:5" s="3" customFormat="1" ht="18.75" customHeight="1" x14ac:dyDescent="0.15">
      <c r="A102" s="6"/>
      <c r="B102" s="189"/>
      <c r="C102" s="190"/>
      <c r="D102" s="190"/>
      <c r="E102" s="191"/>
    </row>
    <row r="103" spans="1:5" s="3" customFormat="1" ht="18.75" customHeight="1" x14ac:dyDescent="0.15">
      <c r="A103" s="6"/>
      <c r="B103" s="189"/>
      <c r="C103" s="190"/>
      <c r="D103" s="190"/>
      <c r="E103" s="191"/>
    </row>
    <row r="104" spans="1:5" s="3" customFormat="1" ht="18.75" customHeight="1" x14ac:dyDescent="0.15">
      <c r="A104" s="6"/>
      <c r="B104" s="189"/>
      <c r="C104" s="190"/>
      <c r="D104" s="190"/>
      <c r="E104" s="191"/>
    </row>
    <row r="105" spans="1:5" s="3" customFormat="1" ht="18.75" customHeight="1" x14ac:dyDescent="0.15">
      <c r="A105" s="6"/>
      <c r="B105" s="189"/>
      <c r="C105" s="190"/>
      <c r="D105" s="190"/>
      <c r="E105" s="191"/>
    </row>
    <row r="106" spans="1:5" s="3" customFormat="1" ht="18.75" customHeight="1" x14ac:dyDescent="0.15">
      <c r="A106" s="6"/>
      <c r="B106" s="189"/>
      <c r="C106" s="190"/>
      <c r="D106" s="190"/>
      <c r="E106" s="191"/>
    </row>
    <row r="107" spans="1:5" s="3" customFormat="1" ht="18.75" customHeight="1" x14ac:dyDescent="0.15">
      <c r="A107" s="6"/>
      <c r="B107" s="189"/>
      <c r="C107" s="190"/>
      <c r="D107" s="190"/>
      <c r="E107" s="191"/>
    </row>
    <row r="108" spans="1:5" s="3" customFormat="1" ht="18.75" customHeight="1" x14ac:dyDescent="0.15">
      <c r="A108" s="6"/>
      <c r="B108" s="189"/>
      <c r="C108" s="190"/>
      <c r="D108" s="190"/>
      <c r="E108" s="191"/>
    </row>
    <row r="109" spans="1:5" s="3" customFormat="1" ht="18.75" customHeight="1" x14ac:dyDescent="0.15">
      <c r="A109" s="6"/>
      <c r="B109" s="189"/>
      <c r="C109" s="190"/>
      <c r="D109" s="190"/>
      <c r="E109" s="191"/>
    </row>
    <row r="110" spans="1:5" ht="18.75" customHeight="1" x14ac:dyDescent="0.15">
      <c r="A110" s="65"/>
      <c r="B110" s="189"/>
      <c r="C110" s="190"/>
      <c r="D110" s="190"/>
      <c r="E110" s="191"/>
    </row>
    <row r="111" spans="1:5" ht="18.75" customHeight="1" x14ac:dyDescent="0.15">
      <c r="A111" s="65"/>
      <c r="B111" s="192"/>
      <c r="C111" s="193"/>
      <c r="D111" s="193"/>
      <c r="E111" s="194"/>
    </row>
    <row r="112" spans="1:5" ht="7.5" customHeight="1" x14ac:dyDescent="0.15">
      <c r="A112" s="65"/>
      <c r="B112" s="65"/>
      <c r="C112" s="65"/>
      <c r="D112" s="65"/>
      <c r="E112" s="65"/>
    </row>
    <row r="113" spans="1:5" s="3" customFormat="1" ht="18.75" customHeight="1" x14ac:dyDescent="0.15">
      <c r="A113" s="6" t="s">
        <v>62</v>
      </c>
      <c r="B113" s="195" t="s">
        <v>136</v>
      </c>
      <c r="C113" s="195"/>
      <c r="D113" s="195"/>
      <c r="E113" s="195"/>
    </row>
    <row r="114" spans="1:5" ht="18.75" customHeight="1" x14ac:dyDescent="0.15">
      <c r="A114" s="65"/>
      <c r="B114" s="177" t="s">
        <v>242</v>
      </c>
      <c r="C114" s="187"/>
      <c r="D114" s="187"/>
      <c r="E114" s="188"/>
    </row>
    <row r="115" spans="1:5" ht="18.75" customHeight="1" x14ac:dyDescent="0.15">
      <c r="A115" s="65"/>
      <c r="B115" s="189"/>
      <c r="C115" s="190"/>
      <c r="D115" s="190"/>
      <c r="E115" s="191"/>
    </row>
    <row r="116" spans="1:5" ht="18.75" customHeight="1" x14ac:dyDescent="0.15">
      <c r="A116" s="65"/>
      <c r="B116" s="189"/>
      <c r="C116" s="190"/>
      <c r="D116" s="190"/>
      <c r="E116" s="191"/>
    </row>
    <row r="117" spans="1:5" ht="18.75" customHeight="1" x14ac:dyDescent="0.15">
      <c r="A117" s="65"/>
      <c r="B117" s="189"/>
      <c r="C117" s="190"/>
      <c r="D117" s="190"/>
      <c r="E117" s="191"/>
    </row>
    <row r="118" spans="1:5" ht="18.75" customHeight="1" x14ac:dyDescent="0.15">
      <c r="A118" s="65"/>
      <c r="B118" s="189"/>
      <c r="C118" s="190"/>
      <c r="D118" s="190"/>
      <c r="E118" s="191"/>
    </row>
    <row r="119" spans="1:5" ht="18.75" customHeight="1" x14ac:dyDescent="0.15">
      <c r="A119" s="65"/>
      <c r="B119" s="189"/>
      <c r="C119" s="190"/>
      <c r="D119" s="190"/>
      <c r="E119" s="191"/>
    </row>
    <row r="120" spans="1:5" ht="18.75" customHeight="1" x14ac:dyDescent="0.15">
      <c r="A120" s="65"/>
      <c r="B120" s="189"/>
      <c r="C120" s="190"/>
      <c r="D120" s="190"/>
      <c r="E120" s="191"/>
    </row>
    <row r="121" spans="1:5" ht="18.75" customHeight="1" x14ac:dyDescent="0.15">
      <c r="A121" s="65"/>
      <c r="B121" s="189"/>
      <c r="C121" s="190"/>
      <c r="D121" s="190"/>
      <c r="E121" s="191"/>
    </row>
    <row r="122" spans="1:5" ht="18.75" customHeight="1" x14ac:dyDescent="0.15">
      <c r="A122" s="65"/>
      <c r="B122" s="189"/>
      <c r="C122" s="190"/>
      <c r="D122" s="190"/>
      <c r="E122" s="191"/>
    </row>
    <row r="123" spans="1:5" ht="18.75" customHeight="1" x14ac:dyDescent="0.15">
      <c r="A123" s="65"/>
      <c r="B123" s="189"/>
      <c r="C123" s="190"/>
      <c r="D123" s="190"/>
      <c r="E123" s="191"/>
    </row>
    <row r="124" spans="1:5" ht="18.75" customHeight="1" x14ac:dyDescent="0.15">
      <c r="A124" s="65"/>
      <c r="B124" s="189"/>
      <c r="C124" s="190"/>
      <c r="D124" s="190"/>
      <c r="E124" s="191"/>
    </row>
    <row r="125" spans="1:5" ht="18.75" customHeight="1" x14ac:dyDescent="0.15">
      <c r="A125" s="65"/>
      <c r="B125" s="189"/>
      <c r="C125" s="190"/>
      <c r="D125" s="190"/>
      <c r="E125" s="191"/>
    </row>
    <row r="126" spans="1:5" ht="18.75" customHeight="1" x14ac:dyDescent="0.15">
      <c r="A126" s="65"/>
      <c r="B126" s="189"/>
      <c r="C126" s="190"/>
      <c r="D126" s="190"/>
      <c r="E126" s="191"/>
    </row>
    <row r="127" spans="1:5" ht="18.75" customHeight="1" x14ac:dyDescent="0.15">
      <c r="A127" s="65"/>
      <c r="B127" s="189"/>
      <c r="C127" s="190"/>
      <c r="D127" s="190"/>
      <c r="E127" s="191"/>
    </row>
    <row r="128" spans="1:5" ht="18.75" customHeight="1" x14ac:dyDescent="0.15">
      <c r="A128" s="65"/>
      <c r="B128" s="189"/>
      <c r="C128" s="190"/>
      <c r="D128" s="190"/>
      <c r="E128" s="191"/>
    </row>
    <row r="129" spans="1:5" ht="18.75" customHeight="1" x14ac:dyDescent="0.15">
      <c r="A129" s="65"/>
      <c r="B129" s="189"/>
      <c r="C129" s="190"/>
      <c r="D129" s="190"/>
      <c r="E129" s="191"/>
    </row>
    <row r="130" spans="1:5" ht="18.75" customHeight="1" x14ac:dyDescent="0.15">
      <c r="A130" s="65"/>
      <c r="B130" s="189"/>
      <c r="C130" s="190"/>
      <c r="D130" s="190"/>
      <c r="E130" s="191"/>
    </row>
    <row r="131" spans="1:5" ht="18.75" customHeight="1" x14ac:dyDescent="0.15">
      <c r="A131" s="65"/>
      <c r="B131" s="189"/>
      <c r="C131" s="190"/>
      <c r="D131" s="190"/>
      <c r="E131" s="191"/>
    </row>
    <row r="132" spans="1:5" ht="18.75" customHeight="1" x14ac:dyDescent="0.15">
      <c r="A132" s="65"/>
      <c r="B132" s="189"/>
      <c r="C132" s="190"/>
      <c r="D132" s="190"/>
      <c r="E132" s="191"/>
    </row>
    <row r="133" spans="1:5" ht="18.75" customHeight="1" x14ac:dyDescent="0.15">
      <c r="A133" s="65"/>
      <c r="B133" s="192"/>
      <c r="C133" s="193"/>
      <c r="D133" s="193"/>
      <c r="E133" s="194"/>
    </row>
    <row r="134" spans="1:5" ht="7.5" customHeight="1" x14ac:dyDescent="0.15">
      <c r="A134" s="65"/>
      <c r="B134" s="66"/>
      <c r="C134" s="66"/>
      <c r="D134" s="66"/>
      <c r="E134" s="66"/>
    </row>
    <row r="135" spans="1:5" ht="18.75" customHeight="1" x14ac:dyDescent="0.15">
      <c r="A135" s="65"/>
      <c r="B135" s="65"/>
      <c r="C135" s="65"/>
      <c r="D135" s="65"/>
      <c r="E135" s="65"/>
    </row>
    <row r="136" spans="1:5" ht="18.75" customHeight="1" x14ac:dyDescent="0.15">
      <c r="A136" s="65"/>
      <c r="B136" s="65"/>
      <c r="C136" s="65"/>
      <c r="D136" s="65"/>
      <c r="E136" s="65"/>
    </row>
    <row r="137" spans="1:5" ht="18.75" customHeight="1" x14ac:dyDescent="0.15">
      <c r="A137" s="65"/>
      <c r="B137" s="65"/>
      <c r="C137" s="65"/>
      <c r="D137" s="65"/>
      <c r="E137" s="65"/>
    </row>
    <row r="138" spans="1:5" ht="18.75" customHeight="1" x14ac:dyDescent="0.15">
      <c r="A138" s="65"/>
      <c r="B138" s="65"/>
      <c r="C138" s="65"/>
      <c r="D138" s="65"/>
      <c r="E138" s="65"/>
    </row>
    <row r="139" spans="1:5" ht="18.75" customHeight="1" x14ac:dyDescent="0.15">
      <c r="A139" s="65"/>
      <c r="B139" s="65"/>
      <c r="C139" s="65"/>
      <c r="D139" s="65"/>
      <c r="E139" s="65"/>
    </row>
    <row r="140" spans="1:5" ht="18.75" customHeight="1" x14ac:dyDescent="0.15">
      <c r="A140" s="65"/>
      <c r="B140" s="65"/>
      <c r="C140" s="65"/>
      <c r="D140" s="65"/>
      <c r="E140" s="65"/>
    </row>
    <row r="141" spans="1:5" ht="18.75" customHeight="1" x14ac:dyDescent="0.15">
      <c r="A141" s="65"/>
      <c r="B141" s="65"/>
      <c r="C141" s="65"/>
      <c r="D141" s="65"/>
      <c r="E141" s="65"/>
    </row>
    <row r="142" spans="1:5" ht="18.75" customHeight="1" x14ac:dyDescent="0.15">
      <c r="A142" s="65"/>
      <c r="B142" s="65"/>
      <c r="C142" s="65"/>
      <c r="D142" s="65"/>
      <c r="E142" s="65"/>
    </row>
    <row r="143" spans="1:5" ht="18.75" customHeight="1" x14ac:dyDescent="0.15">
      <c r="A143" s="65"/>
      <c r="B143" s="65"/>
      <c r="C143" s="65"/>
      <c r="D143" s="65"/>
      <c r="E143" s="65"/>
    </row>
    <row r="144" spans="1:5" ht="18.75" customHeight="1" x14ac:dyDescent="0.15">
      <c r="A144" s="65"/>
      <c r="B144" s="65"/>
      <c r="C144" s="65"/>
      <c r="D144" s="65"/>
      <c r="E144" s="65"/>
    </row>
    <row r="145" spans="1:5" ht="18.75" customHeight="1" x14ac:dyDescent="0.15">
      <c r="A145" s="65"/>
      <c r="B145" s="65"/>
      <c r="C145" s="65"/>
      <c r="D145" s="65"/>
      <c r="E145" s="65"/>
    </row>
    <row r="146" spans="1:5" ht="18.75" customHeight="1" x14ac:dyDescent="0.15">
      <c r="A146" s="65"/>
      <c r="B146" s="65"/>
      <c r="C146" s="65"/>
      <c r="D146" s="65"/>
      <c r="E146" s="65"/>
    </row>
    <row r="147" spans="1:5" ht="14.25" x14ac:dyDescent="0.15">
      <c r="A147" s="65"/>
      <c r="B147" s="65"/>
      <c r="C147" s="65"/>
      <c r="D147" s="65"/>
      <c r="E147" s="65"/>
    </row>
    <row r="148" spans="1:5" ht="7.5" customHeight="1" x14ac:dyDescent="0.15">
      <c r="A148" s="67"/>
      <c r="B148" s="67"/>
      <c r="C148" s="67"/>
      <c r="D148" s="67"/>
      <c r="E148" s="67"/>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tabSelected="1" topLeftCell="B16" zoomScaleNormal="100" workbookViewId="0">
      <selection activeCell="H21" sqref="H21"/>
    </sheetView>
  </sheetViews>
  <sheetFormatPr defaultColWidth="11.375" defaultRowHeight="22.5" customHeight="1" x14ac:dyDescent="0.15"/>
  <cols>
    <col min="1" max="3" width="2.5" style="2" customWidth="1"/>
    <col min="4" max="4" width="22.5" style="2" customWidth="1"/>
    <col min="5" max="5" width="21.25" style="2" customWidth="1"/>
    <col min="6" max="7" width="7.5" style="2" customWidth="1"/>
    <col min="8" max="8" width="32.5" style="2" customWidth="1"/>
    <col min="9" max="9" width="24.875" style="2" customWidth="1"/>
    <col min="10" max="10" width="6.25" style="2" customWidth="1"/>
    <col min="11" max="11" width="4.125" style="2" customWidth="1"/>
    <col min="12" max="16384" width="11.375" style="2"/>
  </cols>
  <sheetData>
    <row r="1" spans="1:10" ht="18.75" customHeight="1" x14ac:dyDescent="0.15">
      <c r="J1" s="82" t="s">
        <v>9</v>
      </c>
    </row>
    <row r="2" spans="1:10" ht="18.75" customHeight="1" x14ac:dyDescent="0.15">
      <c r="D2" s="82"/>
      <c r="H2" s="82" t="s">
        <v>31</v>
      </c>
      <c r="I2" s="130" t="s">
        <v>154</v>
      </c>
      <c r="J2" s="130"/>
    </row>
    <row r="3" spans="1:10" ht="18.75" customHeight="1" x14ac:dyDescent="0.15">
      <c r="A3" s="111" t="s">
        <v>50</v>
      </c>
      <c r="B3" s="111"/>
      <c r="C3" s="111"/>
      <c r="D3" s="111"/>
      <c r="E3" s="111"/>
      <c r="F3" s="111"/>
      <c r="G3" s="111"/>
      <c r="H3" s="111"/>
      <c r="I3" s="111"/>
      <c r="J3" s="111"/>
    </row>
    <row r="4" spans="1:10" ht="7.5" customHeight="1" x14ac:dyDescent="0.15">
      <c r="B4" s="85"/>
      <c r="C4" s="85"/>
      <c r="D4" s="215"/>
      <c r="E4" s="215"/>
      <c r="F4" s="215"/>
      <c r="G4" s="215"/>
      <c r="H4" s="215"/>
      <c r="I4" s="215"/>
      <c r="J4" s="215"/>
    </row>
    <row r="5" spans="1:10" ht="18.75" customHeight="1" x14ac:dyDescent="0.15">
      <c r="A5" s="2" t="s">
        <v>7</v>
      </c>
      <c r="B5" s="3" t="s">
        <v>48</v>
      </c>
      <c r="C5" s="85"/>
      <c r="D5" s="85"/>
      <c r="E5" s="85"/>
      <c r="F5" s="85"/>
      <c r="G5" s="85"/>
      <c r="H5" s="85"/>
      <c r="I5" s="85"/>
      <c r="J5" s="85"/>
    </row>
    <row r="6" spans="1:10" ht="18.75" customHeight="1" x14ac:dyDescent="0.15">
      <c r="B6" s="103" t="s">
        <v>45</v>
      </c>
      <c r="C6" s="104"/>
      <c r="D6" s="105"/>
      <c r="E6" s="104" t="s">
        <v>47</v>
      </c>
      <c r="F6" s="104"/>
      <c r="G6" s="104"/>
      <c r="H6" s="104"/>
      <c r="I6" s="104"/>
      <c r="J6" s="105"/>
    </row>
    <row r="7" spans="1:10" ht="18.75" customHeight="1" x14ac:dyDescent="0.15">
      <c r="B7" s="9" t="s">
        <v>35</v>
      </c>
      <c r="C7" s="65"/>
      <c r="D7" s="68"/>
      <c r="E7" s="11"/>
      <c r="F7" s="11"/>
      <c r="G7" s="11"/>
      <c r="H7" s="11"/>
      <c r="I7" s="65"/>
      <c r="J7" s="68"/>
    </row>
    <row r="8" spans="1:10" ht="202.5" customHeight="1" x14ac:dyDescent="0.15">
      <c r="B8" s="69"/>
      <c r="C8" s="201" t="s">
        <v>36</v>
      </c>
      <c r="D8" s="202"/>
      <c r="E8" s="214" t="s">
        <v>256</v>
      </c>
      <c r="F8" s="203"/>
      <c r="G8" s="203"/>
      <c r="H8" s="203"/>
      <c r="I8" s="203"/>
      <c r="J8" s="204"/>
    </row>
    <row r="9" spans="1:10" ht="202.5" customHeight="1" x14ac:dyDescent="0.15">
      <c r="B9" s="69"/>
      <c r="C9" s="199" t="s">
        <v>37</v>
      </c>
      <c r="D9" s="200"/>
      <c r="E9" s="214" t="s">
        <v>243</v>
      </c>
      <c r="F9" s="203"/>
      <c r="G9" s="203"/>
      <c r="H9" s="203"/>
      <c r="I9" s="203"/>
      <c r="J9" s="204"/>
    </row>
    <row r="10" spans="1:10" ht="172.5" customHeight="1" x14ac:dyDescent="0.15">
      <c r="B10" s="69"/>
      <c r="C10" s="201" t="s">
        <v>38</v>
      </c>
      <c r="D10" s="202"/>
      <c r="E10" s="214" t="s">
        <v>244</v>
      </c>
      <c r="F10" s="203"/>
      <c r="G10" s="203"/>
      <c r="H10" s="203"/>
      <c r="I10" s="203"/>
      <c r="J10" s="204"/>
    </row>
    <row r="11" spans="1:10" ht="172.5" customHeight="1" x14ac:dyDescent="0.15">
      <c r="B11" s="69"/>
      <c r="C11" s="201" t="s">
        <v>39</v>
      </c>
      <c r="D11" s="202"/>
      <c r="E11" s="214" t="s">
        <v>245</v>
      </c>
      <c r="F11" s="203"/>
      <c r="G11" s="203"/>
      <c r="H11" s="203"/>
      <c r="I11" s="203"/>
      <c r="J11" s="204"/>
    </row>
    <row r="12" spans="1:10" ht="172.5" customHeight="1" x14ac:dyDescent="0.15">
      <c r="B12" s="69"/>
      <c r="C12" s="201" t="s">
        <v>40</v>
      </c>
      <c r="D12" s="202"/>
      <c r="E12" s="214" t="s">
        <v>246</v>
      </c>
      <c r="F12" s="203"/>
      <c r="G12" s="203"/>
      <c r="H12" s="203"/>
      <c r="I12" s="203"/>
      <c r="J12" s="204"/>
    </row>
    <row r="13" spans="1:10" ht="18.75" customHeight="1" x14ac:dyDescent="0.15">
      <c r="B13" s="70" t="s">
        <v>41</v>
      </c>
      <c r="C13" s="71"/>
      <c r="D13" s="72"/>
      <c r="E13" s="73"/>
      <c r="F13" s="73"/>
      <c r="G13" s="73"/>
      <c r="H13" s="73"/>
      <c r="I13" s="73"/>
      <c r="J13" s="74"/>
    </row>
    <row r="14" spans="1:10" ht="255" customHeight="1" x14ac:dyDescent="0.15">
      <c r="B14" s="69"/>
      <c r="C14" s="201" t="s">
        <v>42</v>
      </c>
      <c r="D14" s="202"/>
      <c r="E14" s="203" t="s">
        <v>247</v>
      </c>
      <c r="F14" s="203"/>
      <c r="G14" s="203"/>
      <c r="H14" s="203"/>
      <c r="I14" s="203"/>
      <c r="J14" s="204"/>
    </row>
    <row r="15" spans="1:10" ht="255" customHeight="1" x14ac:dyDescent="0.15">
      <c r="B15" s="69"/>
      <c r="C15" s="205" t="s">
        <v>43</v>
      </c>
      <c r="D15" s="206"/>
      <c r="E15" s="207" t="s">
        <v>248</v>
      </c>
      <c r="F15" s="207"/>
      <c r="G15" s="207"/>
      <c r="H15" s="207"/>
      <c r="I15" s="207"/>
      <c r="J15" s="208"/>
    </row>
    <row r="16" spans="1:10" ht="232.5" customHeight="1" x14ac:dyDescent="0.15">
      <c r="B16" s="209" t="s">
        <v>44</v>
      </c>
      <c r="C16" s="210"/>
      <c r="D16" s="202"/>
      <c r="E16" s="203" t="s">
        <v>249</v>
      </c>
      <c r="F16" s="203"/>
      <c r="G16" s="203"/>
      <c r="H16" s="203"/>
      <c r="I16" s="203"/>
      <c r="J16" s="204"/>
    </row>
    <row r="17" spans="1:10" ht="232.5" customHeight="1" x14ac:dyDescent="0.15">
      <c r="B17" s="196" t="s">
        <v>87</v>
      </c>
      <c r="C17" s="197"/>
      <c r="D17" s="198"/>
      <c r="E17" s="184" t="s">
        <v>250</v>
      </c>
      <c r="F17" s="184"/>
      <c r="G17" s="184"/>
      <c r="H17" s="184"/>
      <c r="I17" s="184"/>
      <c r="J17" s="185"/>
    </row>
    <row r="18" spans="1:10" ht="7.5" customHeight="1" x14ac:dyDescent="0.15">
      <c r="B18" s="85"/>
      <c r="C18" s="85"/>
      <c r="D18" s="85"/>
      <c r="E18" s="85"/>
      <c r="F18" s="85"/>
      <c r="G18" s="85"/>
      <c r="H18" s="85"/>
      <c r="I18" s="85"/>
      <c r="J18" s="85"/>
    </row>
    <row r="19" spans="1:10" ht="18.75" customHeight="1" x14ac:dyDescent="0.15">
      <c r="B19" s="3"/>
      <c r="C19" s="85"/>
      <c r="D19" s="85"/>
      <c r="E19" s="85"/>
      <c r="F19" s="75"/>
      <c r="G19" s="75"/>
      <c r="H19" s="76" t="s">
        <v>118</v>
      </c>
      <c r="I19" s="77"/>
      <c r="J19" s="78"/>
    </row>
    <row r="20" spans="1:10" ht="18.75" customHeight="1" x14ac:dyDescent="0.15">
      <c r="A20" s="11" t="s">
        <v>12</v>
      </c>
      <c r="B20" s="6" t="s">
        <v>49</v>
      </c>
      <c r="C20" s="65"/>
      <c r="D20" s="65"/>
      <c r="E20" s="65"/>
      <c r="F20" s="79" t="s">
        <v>274</v>
      </c>
      <c r="G20" s="75"/>
      <c r="H20" s="211" t="s">
        <v>273</v>
      </c>
      <c r="I20" s="212"/>
      <c r="J20" s="213"/>
    </row>
    <row r="21" spans="1:10" ht="22.5" customHeight="1" x14ac:dyDescent="0.15">
      <c r="B21" s="85"/>
      <c r="C21" s="85"/>
      <c r="D21" s="85"/>
      <c r="E21" s="85"/>
      <c r="F21" s="85"/>
      <c r="G21" s="85"/>
      <c r="H21" s="85"/>
      <c r="I21" s="85"/>
      <c r="J21" s="85"/>
    </row>
    <row r="22" spans="1:10" ht="22.5" customHeight="1" x14ac:dyDescent="0.15">
      <c r="B22" s="85"/>
      <c r="C22" s="85"/>
      <c r="D22" s="85"/>
      <c r="E22" s="85"/>
      <c r="F22" s="85"/>
      <c r="G22" s="85"/>
      <c r="H22" s="85"/>
      <c r="I22" s="85"/>
      <c r="J22" s="85"/>
    </row>
    <row r="23" spans="1:10" ht="22.5" customHeight="1" x14ac:dyDescent="0.15">
      <c r="B23" s="85"/>
      <c r="C23" s="85"/>
      <c r="D23" s="85"/>
      <c r="E23" s="85"/>
      <c r="F23" s="85"/>
      <c r="G23" s="85"/>
      <c r="H23" s="85"/>
      <c r="I23" s="85"/>
      <c r="J23" s="85"/>
    </row>
    <row r="24" spans="1:10" ht="22.5" customHeight="1" x14ac:dyDescent="0.15">
      <c r="B24" s="85"/>
      <c r="C24" s="85"/>
      <c r="D24" s="85"/>
      <c r="E24" s="85"/>
      <c r="F24" s="85"/>
      <c r="G24" s="85"/>
      <c r="H24" s="85"/>
      <c r="I24" s="85"/>
      <c r="J24" s="85"/>
    </row>
    <row r="25" spans="1:10" ht="22.5" customHeight="1" x14ac:dyDescent="0.15">
      <c r="B25" s="85"/>
      <c r="C25" s="85"/>
      <c r="D25" s="85"/>
      <c r="E25" s="85"/>
      <c r="F25" s="85"/>
      <c r="G25" s="85"/>
      <c r="H25" s="85"/>
      <c r="I25" s="85"/>
      <c r="J25" s="85"/>
    </row>
    <row r="26" spans="1:10" ht="22.5" customHeight="1" x14ac:dyDescent="0.15">
      <c r="B26" s="84"/>
      <c r="C26" s="84"/>
      <c r="D26" s="84"/>
      <c r="E26" s="84"/>
      <c r="F26" s="84"/>
      <c r="G26" s="84"/>
      <c r="H26" s="84"/>
      <c r="I26" s="84"/>
      <c r="J26" s="84"/>
    </row>
    <row r="27" spans="1:10" ht="22.5" customHeight="1" x14ac:dyDescent="0.15">
      <c r="B27" s="84"/>
      <c r="C27" s="84"/>
      <c r="D27" s="84"/>
      <c r="E27" s="84"/>
      <c r="F27" s="84"/>
      <c r="G27" s="84"/>
      <c r="H27" s="84"/>
      <c r="I27" s="84"/>
      <c r="J27" s="84"/>
    </row>
    <row r="28" spans="1:10" ht="22.5" customHeight="1" x14ac:dyDescent="0.15">
      <c r="B28" s="84"/>
      <c r="C28" s="84"/>
      <c r="D28" s="84"/>
      <c r="E28" s="84"/>
      <c r="F28" s="84"/>
      <c r="G28" s="84"/>
      <c r="H28" s="84"/>
      <c r="I28" s="84"/>
      <c r="J28" s="8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A9553273-8B82-4F64-8A78-463D74EDAB0C}"/>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30"/>
  <sheetViews>
    <sheetView showZeros="0" topLeftCell="A34" zoomScale="115" zoomScaleNormal="115" workbookViewId="0">
      <selection activeCell="B7" sqref="B7:F44"/>
    </sheetView>
  </sheetViews>
  <sheetFormatPr defaultColWidth="11.375" defaultRowHeight="18.75" customHeight="1" x14ac:dyDescent="0.15"/>
  <cols>
    <col min="1" max="1" width="2.5" style="2" customWidth="1"/>
    <col min="2" max="2" width="15" style="2" customWidth="1"/>
    <col min="3" max="3" width="37.5" style="2" customWidth="1"/>
    <col min="4" max="4" width="1.25" style="2" customWidth="1"/>
    <col min="5" max="5" width="21.125" style="2" customWidth="1"/>
    <col min="6" max="6" width="8.75" style="2" customWidth="1"/>
    <col min="7" max="7" width="2.25" style="2" customWidth="1"/>
    <col min="8" max="8" width="2.125" style="2" customWidth="1"/>
    <col min="9" max="9" width="2.5" style="86" customWidth="1"/>
    <col min="10" max="16384" width="11.375" style="2"/>
  </cols>
  <sheetData>
    <row r="1" spans="1:9" ht="18.75" customHeight="1" x14ac:dyDescent="0.15">
      <c r="E1" s="106" t="s">
        <v>16</v>
      </c>
      <c r="F1" s="106"/>
    </row>
    <row r="2" spans="1:9" ht="18.75" customHeight="1" x14ac:dyDescent="0.15">
      <c r="C2" s="82" t="s">
        <v>88</v>
      </c>
      <c r="D2" s="82" t="s">
        <v>8</v>
      </c>
      <c r="E2" s="111" t="s">
        <v>198</v>
      </c>
      <c r="F2" s="111"/>
    </row>
    <row r="3" spans="1:9" ht="7.5" customHeight="1" x14ac:dyDescent="0.15">
      <c r="C3" s="82"/>
      <c r="D3" s="82"/>
      <c r="E3" s="83"/>
      <c r="F3" s="83"/>
    </row>
    <row r="4" spans="1:9" ht="18.75" customHeight="1" x14ac:dyDescent="0.15">
      <c r="A4" s="111" t="s">
        <v>128</v>
      </c>
      <c r="B4" s="111"/>
      <c r="C4" s="111"/>
      <c r="D4" s="111"/>
      <c r="E4" s="111"/>
      <c r="F4" s="111"/>
      <c r="I4" s="87"/>
    </row>
    <row r="5" spans="1:9" ht="7.5" customHeight="1" x14ac:dyDescent="0.15">
      <c r="A5" s="83"/>
      <c r="B5" s="83"/>
      <c r="C5" s="83"/>
      <c r="D5" s="83"/>
      <c r="E5" s="83"/>
      <c r="F5" s="83"/>
      <c r="I5" s="87"/>
    </row>
    <row r="6" spans="1:9" ht="18.75" customHeight="1" x14ac:dyDescent="0.15">
      <c r="A6" s="83" t="s">
        <v>7</v>
      </c>
      <c r="B6" s="3" t="s">
        <v>33</v>
      </c>
      <c r="C6" s="83"/>
      <c r="D6" s="83"/>
      <c r="E6" s="83"/>
      <c r="F6" s="83"/>
      <c r="I6" s="87"/>
    </row>
    <row r="7" spans="1:9" ht="18.75" customHeight="1" x14ac:dyDescent="0.15">
      <c r="A7" s="83"/>
      <c r="B7" s="177" t="s">
        <v>258</v>
      </c>
      <c r="C7" s="178"/>
      <c r="D7" s="178"/>
      <c r="E7" s="178"/>
      <c r="F7" s="179"/>
      <c r="I7" s="87"/>
    </row>
    <row r="8" spans="1:9" ht="18.75" customHeight="1" x14ac:dyDescent="0.15">
      <c r="A8" s="83"/>
      <c r="B8" s="180"/>
      <c r="C8" s="181"/>
      <c r="D8" s="181"/>
      <c r="E8" s="181"/>
      <c r="F8" s="182"/>
      <c r="I8" s="87"/>
    </row>
    <row r="9" spans="1:9" ht="18.75" customHeight="1" x14ac:dyDescent="0.15">
      <c r="A9" s="83"/>
      <c r="B9" s="180"/>
      <c r="C9" s="181"/>
      <c r="D9" s="181"/>
      <c r="E9" s="181"/>
      <c r="F9" s="182"/>
      <c r="I9" s="87"/>
    </row>
    <row r="10" spans="1:9" ht="18.75" customHeight="1" x14ac:dyDescent="0.15">
      <c r="A10" s="83"/>
      <c r="B10" s="180"/>
      <c r="C10" s="181"/>
      <c r="D10" s="181"/>
      <c r="E10" s="181"/>
      <c r="F10" s="182"/>
      <c r="I10" s="87"/>
    </row>
    <row r="11" spans="1:9" ht="18.75" customHeight="1" x14ac:dyDescent="0.15">
      <c r="A11" s="83"/>
      <c r="B11" s="180"/>
      <c r="C11" s="181"/>
      <c r="D11" s="181"/>
      <c r="E11" s="181"/>
      <c r="F11" s="182"/>
      <c r="I11" s="87"/>
    </row>
    <row r="12" spans="1:9" ht="18.75" customHeight="1" x14ac:dyDescent="0.15">
      <c r="A12" s="83"/>
      <c r="B12" s="180"/>
      <c r="C12" s="181"/>
      <c r="D12" s="181"/>
      <c r="E12" s="181"/>
      <c r="F12" s="182"/>
      <c r="I12" s="87"/>
    </row>
    <row r="13" spans="1:9" ht="18.75" customHeight="1" x14ac:dyDescent="0.15">
      <c r="A13" s="83"/>
      <c r="B13" s="180"/>
      <c r="C13" s="181"/>
      <c r="D13" s="181"/>
      <c r="E13" s="181"/>
      <c r="F13" s="182"/>
      <c r="I13" s="87"/>
    </row>
    <row r="14" spans="1:9" ht="18.75" customHeight="1" x14ac:dyDescent="0.15">
      <c r="A14" s="83"/>
      <c r="B14" s="180"/>
      <c r="C14" s="181"/>
      <c r="D14" s="181"/>
      <c r="E14" s="181"/>
      <c r="F14" s="182"/>
      <c r="I14" s="87"/>
    </row>
    <row r="15" spans="1:9" ht="18.75" customHeight="1" x14ac:dyDescent="0.15">
      <c r="A15" s="83"/>
      <c r="B15" s="180"/>
      <c r="C15" s="181"/>
      <c r="D15" s="181"/>
      <c r="E15" s="181"/>
      <c r="F15" s="182"/>
      <c r="I15" s="87"/>
    </row>
    <row r="16" spans="1:9" ht="18.75" customHeight="1" x14ac:dyDescent="0.15">
      <c r="A16" s="83"/>
      <c r="B16" s="180"/>
      <c r="C16" s="181"/>
      <c r="D16" s="181"/>
      <c r="E16" s="181"/>
      <c r="F16" s="182"/>
      <c r="I16" s="87"/>
    </row>
    <row r="17" spans="1:9" ht="18.75" customHeight="1" x14ac:dyDescent="0.15">
      <c r="A17" s="83"/>
      <c r="B17" s="180"/>
      <c r="C17" s="181"/>
      <c r="D17" s="181"/>
      <c r="E17" s="181"/>
      <c r="F17" s="182"/>
      <c r="I17" s="87"/>
    </row>
    <row r="18" spans="1:9" ht="18.75" customHeight="1" x14ac:dyDescent="0.15">
      <c r="A18" s="83"/>
      <c r="B18" s="180"/>
      <c r="C18" s="181"/>
      <c r="D18" s="181"/>
      <c r="E18" s="181"/>
      <c r="F18" s="182"/>
      <c r="I18" s="87"/>
    </row>
    <row r="19" spans="1:9" ht="18.75" customHeight="1" x14ac:dyDescent="0.15">
      <c r="A19" s="83"/>
      <c r="B19" s="180"/>
      <c r="C19" s="181"/>
      <c r="D19" s="181"/>
      <c r="E19" s="181"/>
      <c r="F19" s="182"/>
      <c r="I19" s="87"/>
    </row>
    <row r="20" spans="1:9" ht="18.75" customHeight="1" x14ac:dyDescent="0.15">
      <c r="A20" s="83"/>
      <c r="B20" s="180"/>
      <c r="C20" s="181"/>
      <c r="D20" s="181"/>
      <c r="E20" s="181"/>
      <c r="F20" s="182"/>
      <c r="I20" s="87"/>
    </row>
    <row r="21" spans="1:9" ht="18.75" customHeight="1" x14ac:dyDescent="0.15">
      <c r="A21" s="83"/>
      <c r="B21" s="180"/>
      <c r="C21" s="181"/>
      <c r="D21" s="181"/>
      <c r="E21" s="181"/>
      <c r="F21" s="182"/>
      <c r="I21" s="87"/>
    </row>
    <row r="22" spans="1:9" ht="18.75" customHeight="1" x14ac:dyDescent="0.15">
      <c r="A22" s="83"/>
      <c r="B22" s="180"/>
      <c r="C22" s="181"/>
      <c r="D22" s="181"/>
      <c r="E22" s="181"/>
      <c r="F22" s="182"/>
      <c r="I22" s="87"/>
    </row>
    <row r="23" spans="1:9" ht="18.75" customHeight="1" x14ac:dyDescent="0.15">
      <c r="A23" s="83"/>
      <c r="B23" s="180"/>
      <c r="C23" s="181"/>
      <c r="D23" s="181"/>
      <c r="E23" s="181"/>
      <c r="F23" s="182"/>
      <c r="I23" s="87"/>
    </row>
    <row r="24" spans="1:9" ht="18.75" customHeight="1" x14ac:dyDescent="0.15">
      <c r="A24" s="83"/>
      <c r="B24" s="180"/>
      <c r="C24" s="181"/>
      <c r="D24" s="181"/>
      <c r="E24" s="181"/>
      <c r="F24" s="182"/>
      <c r="I24" s="87"/>
    </row>
    <row r="25" spans="1:9" ht="18.75" customHeight="1" x14ac:dyDescent="0.15">
      <c r="A25" s="83"/>
      <c r="B25" s="180"/>
      <c r="C25" s="181"/>
      <c r="D25" s="181"/>
      <c r="E25" s="181"/>
      <c r="F25" s="182"/>
      <c r="I25" s="87"/>
    </row>
    <row r="26" spans="1:9" ht="18.75" customHeight="1" x14ac:dyDescent="0.15">
      <c r="A26" s="83"/>
      <c r="B26" s="180"/>
      <c r="C26" s="181"/>
      <c r="D26" s="181"/>
      <c r="E26" s="181"/>
      <c r="F26" s="182"/>
      <c r="I26" s="87"/>
    </row>
    <row r="27" spans="1:9" ht="18.75" customHeight="1" x14ac:dyDescent="0.15">
      <c r="A27" s="83"/>
      <c r="B27" s="180"/>
      <c r="C27" s="181"/>
      <c r="D27" s="181"/>
      <c r="E27" s="181"/>
      <c r="F27" s="182"/>
      <c r="I27" s="87"/>
    </row>
    <row r="28" spans="1:9" ht="18.75" customHeight="1" x14ac:dyDescent="0.15">
      <c r="A28" s="83"/>
      <c r="B28" s="180"/>
      <c r="C28" s="181"/>
      <c r="D28" s="181"/>
      <c r="E28" s="181"/>
      <c r="F28" s="182"/>
      <c r="I28" s="87"/>
    </row>
    <row r="29" spans="1:9" ht="18.75" customHeight="1" x14ac:dyDescent="0.15">
      <c r="A29" s="83"/>
      <c r="B29" s="180"/>
      <c r="C29" s="181"/>
      <c r="D29" s="181"/>
      <c r="E29" s="181"/>
      <c r="F29" s="182"/>
      <c r="I29" s="87"/>
    </row>
    <row r="30" spans="1:9" ht="18.75" customHeight="1" x14ac:dyDescent="0.15">
      <c r="A30" s="83"/>
      <c r="B30" s="180"/>
      <c r="C30" s="181"/>
      <c r="D30" s="181"/>
      <c r="E30" s="181"/>
      <c r="F30" s="182"/>
      <c r="I30" s="87"/>
    </row>
    <row r="31" spans="1:9" ht="18.75" customHeight="1" x14ac:dyDescent="0.15">
      <c r="A31" s="83"/>
      <c r="B31" s="180"/>
      <c r="C31" s="181"/>
      <c r="D31" s="181"/>
      <c r="E31" s="181"/>
      <c r="F31" s="182"/>
      <c r="I31" s="87"/>
    </row>
    <row r="32" spans="1:9" ht="18.75" customHeight="1" x14ac:dyDescent="0.15">
      <c r="A32" s="83"/>
      <c r="B32" s="180"/>
      <c r="C32" s="181"/>
      <c r="D32" s="181"/>
      <c r="E32" s="181"/>
      <c r="F32" s="182"/>
      <c r="I32" s="87"/>
    </row>
    <row r="33" spans="1:9" ht="18.75" customHeight="1" x14ac:dyDescent="0.15">
      <c r="A33" s="83"/>
      <c r="B33" s="180"/>
      <c r="C33" s="181"/>
      <c r="D33" s="181"/>
      <c r="E33" s="181"/>
      <c r="F33" s="182"/>
      <c r="I33" s="87"/>
    </row>
    <row r="34" spans="1:9" ht="18.75" customHeight="1" x14ac:dyDescent="0.15">
      <c r="A34" s="83"/>
      <c r="B34" s="180"/>
      <c r="C34" s="181"/>
      <c r="D34" s="181"/>
      <c r="E34" s="181"/>
      <c r="F34" s="182"/>
      <c r="I34" s="87"/>
    </row>
    <row r="35" spans="1:9" ht="18.75" customHeight="1" x14ac:dyDescent="0.15">
      <c r="A35" s="83"/>
      <c r="B35" s="180"/>
      <c r="C35" s="181"/>
      <c r="D35" s="181"/>
      <c r="E35" s="181"/>
      <c r="F35" s="182"/>
      <c r="I35" s="87"/>
    </row>
    <row r="36" spans="1:9" ht="18.75" customHeight="1" x14ac:dyDescent="0.15">
      <c r="A36" s="83"/>
      <c r="B36" s="180"/>
      <c r="C36" s="181"/>
      <c r="D36" s="181"/>
      <c r="E36" s="181"/>
      <c r="F36" s="182"/>
      <c r="I36" s="87"/>
    </row>
    <row r="37" spans="1:9" ht="18.75" customHeight="1" x14ac:dyDescent="0.15">
      <c r="A37" s="83"/>
      <c r="B37" s="180"/>
      <c r="C37" s="181"/>
      <c r="D37" s="181"/>
      <c r="E37" s="181"/>
      <c r="F37" s="182"/>
      <c r="I37" s="87"/>
    </row>
    <row r="38" spans="1:9" ht="18.75" customHeight="1" x14ac:dyDescent="0.15">
      <c r="A38" s="83"/>
      <c r="B38" s="180"/>
      <c r="C38" s="181"/>
      <c r="D38" s="181"/>
      <c r="E38" s="181"/>
      <c r="F38" s="182"/>
      <c r="I38" s="87"/>
    </row>
    <row r="39" spans="1:9" ht="18.75" customHeight="1" x14ac:dyDescent="0.15">
      <c r="A39" s="83"/>
      <c r="B39" s="180"/>
      <c r="C39" s="181"/>
      <c r="D39" s="181"/>
      <c r="E39" s="181"/>
      <c r="F39" s="182"/>
      <c r="I39" s="87"/>
    </row>
    <row r="40" spans="1:9" ht="18.75" customHeight="1" x14ac:dyDescent="0.15">
      <c r="A40" s="83"/>
      <c r="B40" s="180"/>
      <c r="C40" s="181"/>
      <c r="D40" s="181"/>
      <c r="E40" s="181"/>
      <c r="F40" s="182"/>
      <c r="I40" s="87"/>
    </row>
    <row r="41" spans="1:9" ht="18.75" customHeight="1" x14ac:dyDescent="0.15">
      <c r="A41" s="83"/>
      <c r="B41" s="180"/>
      <c r="C41" s="181"/>
      <c r="D41" s="181"/>
      <c r="E41" s="181"/>
      <c r="F41" s="182"/>
      <c r="I41" s="87"/>
    </row>
    <row r="42" spans="1:9" ht="18.75" customHeight="1" x14ac:dyDescent="0.15">
      <c r="A42" s="83"/>
      <c r="B42" s="180"/>
      <c r="C42" s="181"/>
      <c r="D42" s="181"/>
      <c r="E42" s="181"/>
      <c r="F42" s="182"/>
      <c r="I42" s="87"/>
    </row>
    <row r="43" spans="1:9" ht="18.75" customHeight="1" x14ac:dyDescent="0.15">
      <c r="A43" s="83"/>
      <c r="B43" s="180"/>
      <c r="C43" s="181"/>
      <c r="D43" s="181"/>
      <c r="E43" s="181"/>
      <c r="F43" s="182"/>
      <c r="I43" s="87"/>
    </row>
    <row r="44" spans="1:9" ht="18.75" customHeight="1" x14ac:dyDescent="0.15">
      <c r="A44" s="83"/>
      <c r="B44" s="183"/>
      <c r="C44" s="184"/>
      <c r="D44" s="184"/>
      <c r="E44" s="184"/>
      <c r="F44" s="185"/>
      <c r="I44" s="87"/>
    </row>
    <row r="45" spans="1:9" ht="18.75" customHeight="1" x14ac:dyDescent="0.15">
      <c r="A45" s="83" t="s">
        <v>12</v>
      </c>
      <c r="B45" s="3" t="s">
        <v>93</v>
      </c>
      <c r="C45" s="83"/>
      <c r="D45" s="83"/>
      <c r="E45" s="83"/>
      <c r="F45" s="83"/>
      <c r="I45" s="87"/>
    </row>
    <row r="46" spans="1:9" ht="18.75" customHeight="1" x14ac:dyDescent="0.15">
      <c r="A46" s="83"/>
      <c r="B46" s="158" t="s">
        <v>259</v>
      </c>
      <c r="C46" s="216"/>
      <c r="D46" s="216"/>
      <c r="E46" s="216"/>
      <c r="F46" s="217"/>
      <c r="I46" s="87"/>
    </row>
    <row r="47" spans="1:9" ht="18.75" customHeight="1" x14ac:dyDescent="0.15">
      <c r="A47" s="83"/>
      <c r="B47" s="218"/>
      <c r="C47" s="219"/>
      <c r="D47" s="219"/>
      <c r="E47" s="219"/>
      <c r="F47" s="220"/>
      <c r="I47" s="87"/>
    </row>
    <row r="48" spans="1:9" ht="18.75" customHeight="1" x14ac:dyDescent="0.15">
      <c r="A48" s="83"/>
      <c r="B48" s="218"/>
      <c r="C48" s="219"/>
      <c r="D48" s="219"/>
      <c r="E48" s="219"/>
      <c r="F48" s="220"/>
      <c r="I48" s="87"/>
    </row>
    <row r="49" spans="1:9" ht="18.75" customHeight="1" x14ac:dyDescent="0.15">
      <c r="A49" s="83"/>
      <c r="B49" s="218"/>
      <c r="C49" s="219"/>
      <c r="D49" s="219"/>
      <c r="E49" s="219"/>
      <c r="F49" s="220"/>
      <c r="I49" s="87"/>
    </row>
    <row r="50" spans="1:9" ht="18.75" customHeight="1" x14ac:dyDescent="0.15">
      <c r="A50" s="83"/>
      <c r="B50" s="218"/>
      <c r="C50" s="219"/>
      <c r="D50" s="219"/>
      <c r="E50" s="219"/>
      <c r="F50" s="220"/>
      <c r="I50" s="87"/>
    </row>
    <row r="51" spans="1:9" ht="18.75" customHeight="1" x14ac:dyDescent="0.15">
      <c r="A51" s="83"/>
      <c r="B51" s="218"/>
      <c r="C51" s="219"/>
      <c r="D51" s="219"/>
      <c r="E51" s="219"/>
      <c r="F51" s="220"/>
      <c r="I51" s="87"/>
    </row>
    <row r="52" spans="1:9" ht="18.75" customHeight="1" x14ac:dyDescent="0.15">
      <c r="A52" s="83"/>
      <c r="B52" s="218"/>
      <c r="C52" s="219"/>
      <c r="D52" s="219"/>
      <c r="E52" s="219"/>
      <c r="F52" s="220"/>
      <c r="I52" s="87"/>
    </row>
    <row r="53" spans="1:9" ht="18.75" customHeight="1" x14ac:dyDescent="0.15">
      <c r="A53" s="83"/>
      <c r="B53" s="218"/>
      <c r="C53" s="219"/>
      <c r="D53" s="219"/>
      <c r="E53" s="219"/>
      <c r="F53" s="220"/>
      <c r="I53" s="87"/>
    </row>
    <row r="54" spans="1:9" ht="18.75" customHeight="1" x14ac:dyDescent="0.15">
      <c r="A54" s="83"/>
      <c r="B54" s="218"/>
      <c r="C54" s="219"/>
      <c r="D54" s="219"/>
      <c r="E54" s="219"/>
      <c r="F54" s="220"/>
      <c r="I54" s="87"/>
    </row>
    <row r="55" spans="1:9" ht="18.75" customHeight="1" x14ac:dyDescent="0.15">
      <c r="A55" s="83"/>
      <c r="B55" s="218"/>
      <c r="C55" s="219"/>
      <c r="D55" s="219"/>
      <c r="E55" s="219"/>
      <c r="F55" s="220"/>
      <c r="I55" s="87"/>
    </row>
    <row r="56" spans="1:9" ht="18.75" customHeight="1" x14ac:dyDescent="0.15">
      <c r="A56" s="83"/>
      <c r="B56" s="218"/>
      <c r="C56" s="219"/>
      <c r="D56" s="219"/>
      <c r="E56" s="219"/>
      <c r="F56" s="220"/>
      <c r="I56" s="87"/>
    </row>
    <row r="57" spans="1:9" ht="18.75" customHeight="1" x14ac:dyDescent="0.15">
      <c r="A57" s="83"/>
      <c r="B57" s="218"/>
      <c r="C57" s="219"/>
      <c r="D57" s="219"/>
      <c r="E57" s="219"/>
      <c r="F57" s="220"/>
      <c r="I57" s="87"/>
    </row>
    <row r="58" spans="1:9" ht="18.75" customHeight="1" x14ac:dyDescent="0.15">
      <c r="A58" s="83"/>
      <c r="B58" s="218"/>
      <c r="C58" s="219"/>
      <c r="D58" s="219"/>
      <c r="E58" s="219"/>
      <c r="F58" s="220"/>
      <c r="I58" s="87"/>
    </row>
    <row r="59" spans="1:9" ht="18.75" customHeight="1" x14ac:dyDescent="0.15">
      <c r="A59" s="83"/>
      <c r="B59" s="218"/>
      <c r="C59" s="219"/>
      <c r="D59" s="219"/>
      <c r="E59" s="219"/>
      <c r="F59" s="220"/>
      <c r="I59" s="87"/>
    </row>
    <row r="60" spans="1:9" ht="18.75" customHeight="1" x14ac:dyDescent="0.15">
      <c r="A60" s="83"/>
      <c r="B60" s="218"/>
      <c r="C60" s="219"/>
      <c r="D60" s="219"/>
      <c r="E60" s="219"/>
      <c r="F60" s="220"/>
      <c r="I60" s="87"/>
    </row>
    <row r="61" spans="1:9" ht="18.75" customHeight="1" x14ac:dyDescent="0.15">
      <c r="A61" s="83"/>
      <c r="B61" s="218"/>
      <c r="C61" s="219"/>
      <c r="D61" s="219"/>
      <c r="E61" s="219"/>
      <c r="F61" s="220"/>
      <c r="I61" s="87"/>
    </row>
    <row r="62" spans="1:9" ht="18.75" customHeight="1" x14ac:dyDescent="0.15">
      <c r="A62" s="83"/>
      <c r="B62" s="218"/>
      <c r="C62" s="219"/>
      <c r="D62" s="219"/>
      <c r="E62" s="219"/>
      <c r="F62" s="220"/>
      <c r="I62" s="87"/>
    </row>
    <row r="63" spans="1:9" ht="18.75" customHeight="1" x14ac:dyDescent="0.15">
      <c r="A63" s="83"/>
      <c r="B63" s="218"/>
      <c r="C63" s="219"/>
      <c r="D63" s="219"/>
      <c r="E63" s="219"/>
      <c r="F63" s="220"/>
      <c r="I63" s="87"/>
    </row>
    <row r="64" spans="1:9" ht="18.75" customHeight="1" x14ac:dyDescent="0.15">
      <c r="A64" s="83"/>
      <c r="B64" s="218"/>
      <c r="C64" s="219"/>
      <c r="D64" s="219"/>
      <c r="E64" s="219"/>
      <c r="F64" s="220"/>
      <c r="I64" s="87"/>
    </row>
    <row r="65" spans="1:9" ht="18.75" customHeight="1" x14ac:dyDescent="0.15">
      <c r="A65" s="83"/>
      <c r="B65" s="218"/>
      <c r="C65" s="219"/>
      <c r="D65" s="219"/>
      <c r="E65" s="219"/>
      <c r="F65" s="220"/>
      <c r="I65" s="87"/>
    </row>
    <row r="66" spans="1:9" ht="18.75" customHeight="1" x14ac:dyDescent="0.15">
      <c r="A66" s="83"/>
      <c r="B66" s="218"/>
      <c r="C66" s="219"/>
      <c r="D66" s="219"/>
      <c r="E66" s="219"/>
      <c r="F66" s="220"/>
      <c r="I66" s="87"/>
    </row>
    <row r="67" spans="1:9" ht="18.75" customHeight="1" x14ac:dyDescent="0.15">
      <c r="A67" s="83"/>
      <c r="B67" s="218"/>
      <c r="C67" s="219"/>
      <c r="D67" s="219"/>
      <c r="E67" s="219"/>
      <c r="F67" s="220"/>
      <c r="I67" s="87"/>
    </row>
    <row r="68" spans="1:9" ht="18.75" customHeight="1" x14ac:dyDescent="0.15">
      <c r="A68" s="83"/>
      <c r="B68" s="218"/>
      <c r="C68" s="219"/>
      <c r="D68" s="219"/>
      <c r="E68" s="219"/>
      <c r="F68" s="220"/>
      <c r="I68" s="87"/>
    </row>
    <row r="69" spans="1:9" ht="18.75" customHeight="1" x14ac:dyDescent="0.15">
      <c r="A69" s="83"/>
      <c r="B69" s="218"/>
      <c r="C69" s="219"/>
      <c r="D69" s="219"/>
      <c r="E69" s="219"/>
      <c r="F69" s="220"/>
      <c r="I69" s="87"/>
    </row>
    <row r="70" spans="1:9" ht="18.75" customHeight="1" x14ac:dyDescent="0.15">
      <c r="A70" s="83"/>
      <c r="B70" s="218"/>
      <c r="C70" s="219"/>
      <c r="D70" s="219"/>
      <c r="E70" s="219"/>
      <c r="F70" s="220"/>
      <c r="I70" s="87"/>
    </row>
    <row r="71" spans="1:9" ht="18.75" customHeight="1" x14ac:dyDescent="0.15">
      <c r="A71" s="83"/>
      <c r="B71" s="218"/>
      <c r="C71" s="219"/>
      <c r="D71" s="219"/>
      <c r="E71" s="219"/>
      <c r="F71" s="220"/>
      <c r="I71" s="87"/>
    </row>
    <row r="72" spans="1:9" ht="18.75" customHeight="1" x14ac:dyDescent="0.15">
      <c r="A72" s="83"/>
      <c r="B72" s="218"/>
      <c r="C72" s="219"/>
      <c r="D72" s="219"/>
      <c r="E72" s="219"/>
      <c r="F72" s="220"/>
      <c r="I72" s="87"/>
    </row>
    <row r="73" spans="1:9" ht="18.75" customHeight="1" x14ac:dyDescent="0.15">
      <c r="A73" s="83"/>
      <c r="B73" s="218"/>
      <c r="C73" s="219"/>
      <c r="D73" s="219"/>
      <c r="E73" s="219"/>
      <c r="F73" s="220"/>
      <c r="I73" s="87"/>
    </row>
    <row r="74" spans="1:9" ht="18.75" customHeight="1" x14ac:dyDescent="0.15">
      <c r="A74" s="83"/>
      <c r="B74" s="218"/>
      <c r="C74" s="219"/>
      <c r="D74" s="219"/>
      <c r="E74" s="219"/>
      <c r="F74" s="220"/>
      <c r="I74" s="87"/>
    </row>
    <row r="75" spans="1:9" ht="18.75" customHeight="1" x14ac:dyDescent="0.15">
      <c r="A75" s="83"/>
      <c r="B75" s="218"/>
      <c r="C75" s="219"/>
      <c r="D75" s="219"/>
      <c r="E75" s="219"/>
      <c r="F75" s="220"/>
      <c r="I75" s="87"/>
    </row>
    <row r="76" spans="1:9" ht="18.75" customHeight="1" x14ac:dyDescent="0.15">
      <c r="A76" s="83"/>
      <c r="B76" s="218"/>
      <c r="C76" s="219"/>
      <c r="D76" s="219"/>
      <c r="E76" s="219"/>
      <c r="F76" s="220"/>
      <c r="I76" s="87"/>
    </row>
    <row r="77" spans="1:9" ht="18.75" customHeight="1" x14ac:dyDescent="0.15">
      <c r="A77" s="83"/>
      <c r="B77" s="218"/>
      <c r="C77" s="219"/>
      <c r="D77" s="219"/>
      <c r="E77" s="219"/>
      <c r="F77" s="220"/>
      <c r="I77" s="87"/>
    </row>
    <row r="78" spans="1:9" ht="18.75" customHeight="1" x14ac:dyDescent="0.15">
      <c r="A78" s="83"/>
      <c r="B78" s="218"/>
      <c r="C78" s="219"/>
      <c r="D78" s="219"/>
      <c r="E78" s="219"/>
      <c r="F78" s="220"/>
      <c r="I78" s="87"/>
    </row>
    <row r="79" spans="1:9" ht="18.75" customHeight="1" x14ac:dyDescent="0.15">
      <c r="A79" s="83"/>
      <c r="B79" s="218"/>
      <c r="C79" s="219"/>
      <c r="D79" s="219"/>
      <c r="E79" s="219"/>
      <c r="F79" s="220"/>
      <c r="I79" s="87"/>
    </row>
    <row r="80" spans="1:9" ht="18.75" customHeight="1" x14ac:dyDescent="0.15">
      <c r="A80" s="83"/>
      <c r="B80" s="218"/>
      <c r="C80" s="219"/>
      <c r="D80" s="219"/>
      <c r="E80" s="219"/>
      <c r="F80" s="220"/>
      <c r="I80" s="87"/>
    </row>
    <row r="81" spans="1:9" ht="18.75" customHeight="1" x14ac:dyDescent="0.15">
      <c r="A81" s="83"/>
      <c r="B81" s="218"/>
      <c r="C81" s="219"/>
      <c r="D81" s="219"/>
      <c r="E81" s="219"/>
      <c r="F81" s="220"/>
      <c r="I81" s="87"/>
    </row>
    <row r="82" spans="1:9" ht="18.75" customHeight="1" x14ac:dyDescent="0.15">
      <c r="A82" s="83"/>
      <c r="B82" s="218"/>
      <c r="C82" s="219"/>
      <c r="D82" s="219"/>
      <c r="E82" s="219"/>
      <c r="F82" s="220"/>
      <c r="I82" s="87"/>
    </row>
    <row r="83" spans="1:9" ht="18.75" customHeight="1" x14ac:dyDescent="0.15">
      <c r="A83" s="83"/>
      <c r="B83" s="218"/>
      <c r="C83" s="219"/>
      <c r="D83" s="219"/>
      <c r="E83" s="219"/>
      <c r="F83" s="220"/>
      <c r="I83" s="87"/>
    </row>
    <row r="84" spans="1:9" ht="18.75" customHeight="1" x14ac:dyDescent="0.15">
      <c r="A84" s="83"/>
      <c r="B84" s="218"/>
      <c r="C84" s="219"/>
      <c r="D84" s="219"/>
      <c r="E84" s="219"/>
      <c r="F84" s="220"/>
      <c r="I84" s="87"/>
    </row>
    <row r="85" spans="1:9" ht="18.75" customHeight="1" x14ac:dyDescent="0.15">
      <c r="A85" s="83"/>
      <c r="B85" s="218"/>
      <c r="C85" s="219"/>
      <c r="D85" s="219"/>
      <c r="E85" s="219"/>
      <c r="F85" s="220"/>
      <c r="I85" s="87"/>
    </row>
    <row r="86" spans="1:9" ht="18.75" customHeight="1" x14ac:dyDescent="0.15">
      <c r="A86" s="83"/>
      <c r="B86" s="218"/>
      <c r="C86" s="219"/>
      <c r="D86" s="219"/>
      <c r="E86" s="219"/>
      <c r="F86" s="220"/>
      <c r="I86" s="87"/>
    </row>
    <row r="87" spans="1:9" ht="18.75" customHeight="1" x14ac:dyDescent="0.15">
      <c r="A87" s="83"/>
      <c r="B87" s="221"/>
      <c r="C87" s="222"/>
      <c r="D87" s="222"/>
      <c r="E87" s="222"/>
      <c r="F87" s="223"/>
      <c r="I87" s="87"/>
    </row>
    <row r="88" spans="1:9" s="3" customFormat="1" ht="18.75" customHeight="1" x14ac:dyDescent="0.15">
      <c r="A88" s="3" t="s">
        <v>13</v>
      </c>
      <c r="B88" s="3" t="s">
        <v>94</v>
      </c>
      <c r="I88" s="88"/>
    </row>
    <row r="89" spans="1:9" ht="18.75" customHeight="1" x14ac:dyDescent="0.15">
      <c r="A89" s="83"/>
      <c r="B89" s="177" t="s">
        <v>257</v>
      </c>
      <c r="C89" s="187"/>
      <c r="D89" s="187"/>
      <c r="E89" s="187"/>
      <c r="F89" s="188"/>
      <c r="I89" s="87"/>
    </row>
    <row r="90" spans="1:9" ht="18.75" customHeight="1" x14ac:dyDescent="0.15">
      <c r="A90" s="83"/>
      <c r="B90" s="189"/>
      <c r="C90" s="190"/>
      <c r="D90" s="190"/>
      <c r="E90" s="190"/>
      <c r="F90" s="191"/>
      <c r="I90" s="87"/>
    </row>
    <row r="91" spans="1:9" ht="18.75" customHeight="1" x14ac:dyDescent="0.15">
      <c r="A91" s="83"/>
      <c r="B91" s="189"/>
      <c r="C91" s="190"/>
      <c r="D91" s="190"/>
      <c r="E91" s="190"/>
      <c r="F91" s="191"/>
      <c r="I91" s="87"/>
    </row>
    <row r="92" spans="1:9" ht="18.75" customHeight="1" x14ac:dyDescent="0.15">
      <c r="A92" s="83"/>
      <c r="B92" s="189"/>
      <c r="C92" s="190"/>
      <c r="D92" s="190"/>
      <c r="E92" s="190"/>
      <c r="F92" s="191"/>
      <c r="I92" s="87"/>
    </row>
    <row r="93" spans="1:9" ht="18.75" customHeight="1" x14ac:dyDescent="0.15">
      <c r="A93" s="83"/>
      <c r="B93" s="189"/>
      <c r="C93" s="190"/>
      <c r="D93" s="190"/>
      <c r="E93" s="190"/>
      <c r="F93" s="191"/>
      <c r="I93" s="87"/>
    </row>
    <row r="94" spans="1:9" ht="18.75" customHeight="1" x14ac:dyDescent="0.15">
      <c r="A94" s="83"/>
      <c r="B94" s="189"/>
      <c r="C94" s="190"/>
      <c r="D94" s="190"/>
      <c r="E94" s="190"/>
      <c r="F94" s="191"/>
      <c r="I94" s="87"/>
    </row>
    <row r="95" spans="1:9" ht="18.75" customHeight="1" x14ac:dyDescent="0.15">
      <c r="A95" s="83"/>
      <c r="B95" s="189"/>
      <c r="C95" s="190"/>
      <c r="D95" s="190"/>
      <c r="E95" s="190"/>
      <c r="F95" s="191"/>
      <c r="I95" s="87"/>
    </row>
    <row r="96" spans="1:9" ht="18.75" customHeight="1" x14ac:dyDescent="0.15">
      <c r="A96" s="83"/>
      <c r="B96" s="189"/>
      <c r="C96" s="190"/>
      <c r="D96" s="190"/>
      <c r="E96" s="190"/>
      <c r="F96" s="191"/>
      <c r="I96" s="87"/>
    </row>
    <row r="97" spans="1:9" ht="18.75" customHeight="1" x14ac:dyDescent="0.15">
      <c r="A97" s="83"/>
      <c r="B97" s="189"/>
      <c r="C97" s="190"/>
      <c r="D97" s="190"/>
      <c r="E97" s="190"/>
      <c r="F97" s="191"/>
      <c r="I97" s="87"/>
    </row>
    <row r="98" spans="1:9" ht="18.75" customHeight="1" x14ac:dyDescent="0.15">
      <c r="A98" s="83"/>
      <c r="B98" s="189"/>
      <c r="C98" s="190"/>
      <c r="D98" s="190"/>
      <c r="E98" s="190"/>
      <c r="F98" s="191"/>
      <c r="I98" s="87"/>
    </row>
    <row r="99" spans="1:9" ht="18.75" customHeight="1" x14ac:dyDescent="0.15">
      <c r="A99" s="83"/>
      <c r="B99" s="189"/>
      <c r="C99" s="190"/>
      <c r="D99" s="190"/>
      <c r="E99" s="190"/>
      <c r="F99" s="191"/>
      <c r="I99" s="87"/>
    </row>
    <row r="100" spans="1:9" ht="18.75" customHeight="1" x14ac:dyDescent="0.15">
      <c r="A100" s="83"/>
      <c r="B100" s="189"/>
      <c r="C100" s="190"/>
      <c r="D100" s="190"/>
      <c r="E100" s="190"/>
      <c r="F100" s="191"/>
      <c r="I100" s="87"/>
    </row>
    <row r="101" spans="1:9" ht="18.75" customHeight="1" x14ac:dyDescent="0.15">
      <c r="A101" s="83"/>
      <c r="B101" s="189"/>
      <c r="C101" s="190"/>
      <c r="D101" s="190"/>
      <c r="E101" s="190"/>
      <c r="F101" s="191"/>
      <c r="I101" s="87"/>
    </row>
    <row r="102" spans="1:9" ht="18.75" customHeight="1" x14ac:dyDescent="0.15">
      <c r="A102" s="83"/>
      <c r="B102" s="189"/>
      <c r="C102" s="190"/>
      <c r="D102" s="190"/>
      <c r="E102" s="190"/>
      <c r="F102" s="191"/>
      <c r="I102" s="87"/>
    </row>
    <row r="103" spans="1:9" ht="18.75" customHeight="1" x14ac:dyDescent="0.15">
      <c r="A103" s="83"/>
      <c r="B103" s="189"/>
      <c r="C103" s="190"/>
      <c r="D103" s="190"/>
      <c r="E103" s="190"/>
      <c r="F103" s="191"/>
      <c r="I103" s="87"/>
    </row>
    <row r="104" spans="1:9" ht="18.75" customHeight="1" x14ac:dyDescent="0.15">
      <c r="A104" s="83"/>
      <c r="B104" s="189"/>
      <c r="C104" s="190"/>
      <c r="D104" s="190"/>
      <c r="E104" s="190"/>
      <c r="F104" s="191"/>
      <c r="I104" s="87"/>
    </row>
    <row r="105" spans="1:9" ht="18.75" customHeight="1" x14ac:dyDescent="0.15">
      <c r="A105" s="83"/>
      <c r="B105" s="189"/>
      <c r="C105" s="190"/>
      <c r="D105" s="190"/>
      <c r="E105" s="190"/>
      <c r="F105" s="191"/>
      <c r="I105" s="87"/>
    </row>
    <row r="106" spans="1:9" ht="18.75" customHeight="1" x14ac:dyDescent="0.15">
      <c r="A106" s="83"/>
      <c r="B106" s="189"/>
      <c r="C106" s="190"/>
      <c r="D106" s="190"/>
      <c r="E106" s="190"/>
      <c r="F106" s="191"/>
      <c r="I106" s="87"/>
    </row>
    <row r="107" spans="1:9" ht="18.75" customHeight="1" x14ac:dyDescent="0.15">
      <c r="A107" s="83"/>
      <c r="B107" s="189"/>
      <c r="C107" s="190"/>
      <c r="D107" s="190"/>
      <c r="E107" s="190"/>
      <c r="F107" s="191"/>
      <c r="I107" s="87"/>
    </row>
    <row r="108" spans="1:9" ht="18.75" customHeight="1" x14ac:dyDescent="0.15">
      <c r="A108" s="83"/>
      <c r="B108" s="189"/>
      <c r="C108" s="190"/>
      <c r="D108" s="190"/>
      <c r="E108" s="190"/>
      <c r="F108" s="191"/>
      <c r="I108" s="87"/>
    </row>
    <row r="109" spans="1:9" ht="18.75" customHeight="1" x14ac:dyDescent="0.15">
      <c r="A109" s="83"/>
      <c r="B109" s="189"/>
      <c r="C109" s="190"/>
      <c r="D109" s="190"/>
      <c r="E109" s="190"/>
      <c r="F109" s="191"/>
      <c r="I109" s="87"/>
    </row>
    <row r="110" spans="1:9" ht="18.75" customHeight="1" x14ac:dyDescent="0.15">
      <c r="A110" s="83"/>
      <c r="B110" s="189"/>
      <c r="C110" s="190"/>
      <c r="D110" s="190"/>
      <c r="E110" s="190"/>
      <c r="F110" s="191"/>
      <c r="I110" s="87"/>
    </row>
    <row r="111" spans="1:9" ht="18.75" customHeight="1" x14ac:dyDescent="0.15">
      <c r="A111" s="83"/>
      <c r="B111" s="189"/>
      <c r="C111" s="190"/>
      <c r="D111" s="190"/>
      <c r="E111" s="190"/>
      <c r="F111" s="191"/>
      <c r="I111" s="87"/>
    </row>
    <row r="112" spans="1:9" ht="18.75" customHeight="1" x14ac:dyDescent="0.15">
      <c r="A112" s="83"/>
      <c r="B112" s="189"/>
      <c r="C112" s="190"/>
      <c r="D112" s="190"/>
      <c r="E112" s="190"/>
      <c r="F112" s="191"/>
      <c r="I112" s="87"/>
    </row>
    <row r="113" spans="1:9" ht="18.75" customHeight="1" x14ac:dyDescent="0.15">
      <c r="A113" s="83"/>
      <c r="B113" s="189"/>
      <c r="C113" s="190"/>
      <c r="D113" s="190"/>
      <c r="E113" s="190"/>
      <c r="F113" s="191"/>
      <c r="I113" s="87"/>
    </row>
    <row r="114" spans="1:9" ht="18.75" customHeight="1" x14ac:dyDescent="0.15">
      <c r="A114" s="83"/>
      <c r="B114" s="189"/>
      <c r="C114" s="190"/>
      <c r="D114" s="190"/>
      <c r="E114" s="190"/>
      <c r="F114" s="191"/>
      <c r="I114" s="87"/>
    </row>
    <row r="115" spans="1:9" ht="18.75" customHeight="1" x14ac:dyDescent="0.15">
      <c r="A115" s="83"/>
      <c r="B115" s="189"/>
      <c r="C115" s="190"/>
      <c r="D115" s="190"/>
      <c r="E115" s="190"/>
      <c r="F115" s="191"/>
      <c r="I115" s="87"/>
    </row>
    <row r="116" spans="1:9" ht="18.75" customHeight="1" x14ac:dyDescent="0.15">
      <c r="A116" s="83"/>
      <c r="B116" s="189"/>
      <c r="C116" s="190"/>
      <c r="D116" s="190"/>
      <c r="E116" s="190"/>
      <c r="F116" s="191"/>
      <c r="I116" s="87"/>
    </row>
    <row r="117" spans="1:9" ht="18.75" customHeight="1" x14ac:dyDescent="0.15">
      <c r="A117" s="83"/>
      <c r="B117" s="189"/>
      <c r="C117" s="190"/>
      <c r="D117" s="190"/>
      <c r="E117" s="190"/>
      <c r="F117" s="191"/>
      <c r="I117" s="87"/>
    </row>
    <row r="118" spans="1:9" ht="18.75" customHeight="1" x14ac:dyDescent="0.15">
      <c r="A118" s="83"/>
      <c r="B118" s="189"/>
      <c r="C118" s="190"/>
      <c r="D118" s="190"/>
      <c r="E118" s="190"/>
      <c r="F118" s="191"/>
      <c r="I118" s="87"/>
    </row>
    <row r="119" spans="1:9" ht="18.75" customHeight="1" x14ac:dyDescent="0.15">
      <c r="A119" s="83"/>
      <c r="B119" s="189"/>
      <c r="C119" s="190"/>
      <c r="D119" s="190"/>
      <c r="E119" s="190"/>
      <c r="F119" s="191"/>
      <c r="I119" s="87"/>
    </row>
    <row r="120" spans="1:9" ht="18.75" customHeight="1" x14ac:dyDescent="0.15">
      <c r="A120" s="83"/>
      <c r="B120" s="189"/>
      <c r="C120" s="190"/>
      <c r="D120" s="190"/>
      <c r="E120" s="190"/>
      <c r="F120" s="191"/>
      <c r="I120" s="87"/>
    </row>
    <row r="121" spans="1:9" ht="18.75" customHeight="1" x14ac:dyDescent="0.15">
      <c r="A121" s="83"/>
      <c r="B121" s="189"/>
      <c r="C121" s="190"/>
      <c r="D121" s="190"/>
      <c r="E121" s="190"/>
      <c r="F121" s="191"/>
      <c r="I121" s="87"/>
    </row>
    <row r="122" spans="1:9" ht="18.75" customHeight="1" x14ac:dyDescent="0.15">
      <c r="A122" s="83"/>
      <c r="B122" s="189"/>
      <c r="C122" s="190"/>
      <c r="D122" s="190"/>
      <c r="E122" s="190"/>
      <c r="F122" s="191"/>
      <c r="I122" s="87"/>
    </row>
    <row r="123" spans="1:9" ht="18.75" customHeight="1" x14ac:dyDescent="0.15">
      <c r="A123" s="83"/>
      <c r="B123" s="189"/>
      <c r="C123" s="190"/>
      <c r="D123" s="190"/>
      <c r="E123" s="190"/>
      <c r="F123" s="191"/>
      <c r="I123" s="87"/>
    </row>
    <row r="124" spans="1:9" ht="18.75" customHeight="1" x14ac:dyDescent="0.15">
      <c r="A124" s="83"/>
      <c r="B124" s="189"/>
      <c r="C124" s="190"/>
      <c r="D124" s="190"/>
      <c r="E124" s="190"/>
      <c r="F124" s="191"/>
      <c r="I124" s="87"/>
    </row>
    <row r="125" spans="1:9" ht="18.75" customHeight="1" x14ac:dyDescent="0.15">
      <c r="A125" s="83"/>
      <c r="B125" s="189"/>
      <c r="C125" s="190"/>
      <c r="D125" s="190"/>
      <c r="E125" s="190"/>
      <c r="F125" s="191"/>
      <c r="I125" s="87"/>
    </row>
    <row r="126" spans="1:9" ht="18.75" customHeight="1" x14ac:dyDescent="0.15">
      <c r="A126" s="83"/>
      <c r="B126" s="189"/>
      <c r="C126" s="190"/>
      <c r="D126" s="190"/>
      <c r="E126" s="190"/>
      <c r="F126" s="191"/>
      <c r="I126" s="87"/>
    </row>
    <row r="127" spans="1:9" ht="18.75" customHeight="1" x14ac:dyDescent="0.15">
      <c r="A127" s="83"/>
      <c r="B127" s="189"/>
      <c r="C127" s="190"/>
      <c r="D127" s="190"/>
      <c r="E127" s="190"/>
      <c r="F127" s="191"/>
      <c r="I127" s="87"/>
    </row>
    <row r="128" spans="1:9" ht="18.75" customHeight="1" x14ac:dyDescent="0.15">
      <c r="A128" s="83"/>
      <c r="B128" s="189"/>
      <c r="C128" s="190"/>
      <c r="D128" s="190"/>
      <c r="E128" s="190"/>
      <c r="F128" s="191"/>
      <c r="I128" s="87"/>
    </row>
    <row r="129" spans="1:9" ht="18.75" customHeight="1" x14ac:dyDescent="0.15">
      <c r="A129" s="83"/>
      <c r="B129" s="189"/>
      <c r="C129" s="190"/>
      <c r="D129" s="190"/>
      <c r="E129" s="190"/>
      <c r="F129" s="191"/>
      <c r="I129" s="87"/>
    </row>
    <row r="130" spans="1:9" ht="18.75" customHeight="1" x14ac:dyDescent="0.15">
      <c r="A130" s="83"/>
      <c r="B130" s="192"/>
      <c r="C130" s="193"/>
      <c r="D130" s="193"/>
      <c r="E130" s="193"/>
      <c r="F130" s="194"/>
      <c r="I130" s="87"/>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6</vt:i4>
      </vt:variant>
    </vt:vector>
  </HeadingPairs>
  <TitlesOfParts>
    <vt:vector size="13"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Kogakuin Univ.</cp:lastModifiedBy>
  <cp:lastPrinted>2021-06-30T00:59:47Z</cp:lastPrinted>
  <dcterms:created xsi:type="dcterms:W3CDTF">2011-06-14T05:32:50Z</dcterms:created>
  <dcterms:modified xsi:type="dcterms:W3CDTF">2021-07-13T05:51:56Z</dcterms:modified>
</cp:coreProperties>
</file>