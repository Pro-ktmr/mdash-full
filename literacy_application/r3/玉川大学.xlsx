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gkkyoumu\Desktop\"/>
    </mc:Choice>
  </mc:AlternateContent>
  <bookViews>
    <workbookView xWindow="-110" yWindow="-110" windowWidth="19430" windowHeight="10430" tabRatio="885"/>
  </bookViews>
  <sheets>
    <sheet name="様式１　大学等概要" sheetId="8" r:id="rId1"/>
    <sheet name="様式２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 sheetId="37" r:id="rId6"/>
  </sheets>
  <definedNames>
    <definedName name="_xlnm._FilterDatabase" localSheetId="1" hidden="1">様式２プログラムを構成する授業科目!#REF!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様式２プログラムを構成する授業科目!$A$1:$I$44</definedName>
    <definedName name="_xlnm.Print_Area" localSheetId="2">'様式３　履修者等数の実績'!$A$1:$R$29</definedName>
    <definedName name="_xlnm.Print_Area" localSheetId="4">'様式５　教育の質・履修者数を向上させるための体制・計画'!$A$1:$E$132</definedName>
    <definedName name="_xlnm.Print_Area" localSheetId="5">'様式６　自己点検・評価 '!$A$1:$J$20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<sst xmlns="http://schemas.openxmlformats.org/spreadsheetml/2006/main" count="283" uniqueCount="209">
  <si>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</si>
  <si>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</si>
  <si>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</si>
  <si>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</si>
  <si>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</si>
  <si>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</si>
  <si>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</si>
  <si>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</si>
  <si>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</si>
  <si>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</si>
  <si>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</si>
  <si>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</si>
  <si>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</si>
  <si>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</si>
  <si>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</si>
  <si>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</si>
  <si>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</si>
  <si>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</si>
  <si>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</si>
  <si>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</si>
  <si>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</si>
  <si>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</si>
  <si>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</si>
  <si>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</si>
  <si>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</si>
  <si>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</si>
  <si>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</si>
  <si>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</si>
  <si>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</si>
  <si>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</si>
  <si>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</si>
  <si>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</si>
  <si>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</si>
  <si>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</si>
  <si>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</si>
  <si>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</si>
  <si>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</si>
  <si>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</si>
  <si>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</si>
  <si>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</si>
  <si>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</si>
  <si>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</si>
  <si>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</si>
  <si>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</si>
  <si>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</si>
  <si>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</si>
  <si>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</si>
  <si>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</si>
  <si>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</si>
  <si>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</si>
  <si>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</si>
  <si>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</si>
  <si>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</si>
  <si>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</si>
  <si>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</si>
  <si>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</si>
  <si>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</si>
  <si>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</si>
  <si>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</si>
  <si>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</si>
  <si>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</si>
  <si>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</si>
  <si>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</si>
  <si>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</si>
  <si>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</si>
  <si>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</si>
  <si>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</si>
  <si>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</si>
  <si>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</si>
  <si>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</si>
  <si>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</si>
  <si>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</si>
  <si>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</si>
  <si>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</si>
  <si>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</si>
  <si>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</si>
  <si>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</si>
  <si>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</si>
  <si>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</si>
  <si>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</si>
  <si>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</si>
  <si>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</si>
  <si>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</si>
  <si>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</si>
  <si>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</si>
  <si>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</si>
  <si>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</si>
  <si>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</si>
  <si>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</si>
  <si>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</si>
  <si>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</si>
  <si>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</si>
  <si>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</si>
  <si>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</si>
  <si>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</si>
  <si>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</si>
  <si>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</si>
  <si>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</si>
  <si>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</si>
  <si>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</si>
  <si>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</si>
  <si>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</si>
  <si>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</si>
  <si>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</si>
  <si>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</si>
  <si>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</si>
  <si>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</si>
  <si>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</si>
  <si>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</si>
  <si>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</si>
  <si>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</si>
  <si>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</si>
  <si>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</si>
  <si>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</si>
  <si>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</si>
  <si>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</si>
  <si>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</si>
  <si>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</si>
  <si>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</si>
  <si>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</si>
  <si>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</si>
  <si>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</si>
  <si>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</si>
  <si>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</si>
  <si>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</si>
  <si>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</si>
  <si>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</si>
  <si>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</si>
  <si>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</si>
  <si>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</si>
  <si>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玉川大学</t>
    <rPh sb="0" eb="4">
      <t>タマガワダイガク</t>
    </rPh>
    <phoneticPr fontId="1"/>
  </si>
  <si>
    <t>私立大学</t>
    <rPh sb="0" eb="2">
      <t>シリツ</t>
    </rPh>
    <rPh sb="2" eb="4">
      <t>ダイガク</t>
    </rPh>
    <phoneticPr fontId="1"/>
  </si>
  <si>
    <t>学部・学科によって、修了要件は相違しない</t>
  </si>
  <si>
    <t>授業科目名称</t>
    <phoneticPr fontId="1"/>
  </si>
  <si>
    <t>学部・学科に関係なく希望する学生全員が受講可能となるような必要な体制・取組等</t>
    <phoneticPr fontId="1"/>
  </si>
  <si>
    <t>人工知能の現状を理解し、人間にとっての人工知能の意味を考えることができる。人工知能が人間に与えるかもしれない将来の影響について、自分自身で説明でき、他人とディスカッションできる。人工知能も含め、人間にとって技術がどんな意味をもつか、歴史的観点から説明できるようになることで、社会において、人間と人工知能はどのような関係をとり結ぶべきか、理解できるようになる。
社会に溢れる大量のデータを適切に処理し、様々な活用分野に活かす手段を身に付ける。</t>
    <rPh sb="5" eb="7">
      <t>ゲンジョウ</t>
    </rPh>
    <rPh sb="19" eb="23">
      <t>ジンコウチノウ</t>
    </rPh>
    <rPh sb="180" eb="182">
      <t>シャカイ</t>
    </rPh>
    <rPh sb="183" eb="184">
      <t>アフ</t>
    </rPh>
    <rPh sb="186" eb="188">
      <t>タイリョウ</t>
    </rPh>
    <rPh sb="193" eb="195">
      <t>テキセツ</t>
    </rPh>
    <rPh sb="196" eb="198">
      <t>ショリ</t>
    </rPh>
    <rPh sb="200" eb="202">
      <t>サマザマ</t>
    </rPh>
    <rPh sb="203" eb="207">
      <t>カツヨウブンヤ</t>
    </rPh>
    <rPh sb="208" eb="209">
      <t>イ</t>
    </rPh>
    <rPh sb="211" eb="213">
      <t>シュダン</t>
    </rPh>
    <rPh sb="214" eb="215">
      <t>ミ</t>
    </rPh>
    <rPh sb="216" eb="217">
      <t>ツ</t>
    </rPh>
    <phoneticPr fontId="1"/>
  </si>
  <si>
    <t>データ処理（全学US）</t>
    <rPh sb="3" eb="5">
      <t>ショリ</t>
    </rPh>
    <rPh sb="6" eb="8">
      <t>ゼンガク</t>
    </rPh>
    <phoneticPr fontId="1"/>
  </si>
  <si>
    <t>統計学入門（全学US）</t>
    <rPh sb="0" eb="3">
      <t>トウケイガク</t>
    </rPh>
    <rPh sb="3" eb="5">
      <t>ニュウモン</t>
    </rPh>
    <rPh sb="6" eb="8">
      <t>ゼンガク</t>
    </rPh>
    <phoneticPr fontId="1"/>
  </si>
  <si>
    <t>　</t>
    <phoneticPr fontId="1"/>
  </si>
  <si>
    <t>人工知能と社会</t>
    <rPh sb="0" eb="4">
      <t>ジンコウチノウ</t>
    </rPh>
    <rPh sb="5" eb="7">
      <t>シャカイ</t>
    </rPh>
    <phoneticPr fontId="1"/>
  </si>
  <si>
    <t>データ処理</t>
    <rPh sb="3" eb="5">
      <t>ショリ</t>
    </rPh>
    <phoneticPr fontId="1"/>
  </si>
  <si>
    <t>統計学入門</t>
    <rPh sb="0" eb="5">
      <t>トウケイガクニュウモン</t>
    </rPh>
    <phoneticPr fontId="1"/>
  </si>
  <si>
    <t>複合領域研究 210 [工農芸融合価値創出ﾌﾟﾛｼﾞｪｸﾄ]</t>
    <phoneticPr fontId="1"/>
  </si>
  <si>
    <t>玉川学園教育研究活動等点検調査委員会大学分科会教務部会</t>
    <rPh sb="0" eb="2">
      <t>タマガワ</t>
    </rPh>
    <rPh sb="2" eb="4">
      <t>ガクエン</t>
    </rPh>
    <rPh sb="4" eb="6">
      <t>キョウイク</t>
    </rPh>
    <rPh sb="6" eb="8">
      <t>ケンキュウ</t>
    </rPh>
    <rPh sb="8" eb="10">
      <t>カツドウ</t>
    </rPh>
    <rPh sb="10" eb="11">
      <t>トウ</t>
    </rPh>
    <rPh sb="11" eb="13">
      <t>テンケン</t>
    </rPh>
    <rPh sb="13" eb="15">
      <t>チョウサ</t>
    </rPh>
    <rPh sb="15" eb="18">
      <t>イインカイ</t>
    </rPh>
    <rPh sb="18" eb="20">
      <t>ダイガク</t>
    </rPh>
    <rPh sb="20" eb="23">
      <t>ブンカカイ</t>
    </rPh>
    <rPh sb="23" eb="25">
      <t>キョウム</t>
    </rPh>
    <rPh sb="25" eb="26">
      <t>ブ</t>
    </rPh>
    <rPh sb="26" eb="27">
      <t>カイ</t>
    </rPh>
    <phoneticPr fontId="1"/>
  </si>
  <si>
    <t>中村好雄</t>
    <rPh sb="0" eb="2">
      <t>ナカムラ</t>
    </rPh>
    <rPh sb="2" eb="3">
      <t>コノ</t>
    </rPh>
    <rPh sb="3" eb="4">
      <t>オス</t>
    </rPh>
    <phoneticPr fontId="1"/>
  </si>
  <si>
    <t>教学部長（教務部会座長）</t>
    <rPh sb="0" eb="2">
      <t>キョウガク</t>
    </rPh>
    <rPh sb="2" eb="4">
      <t>ブチョウ</t>
    </rPh>
    <rPh sb="5" eb="7">
      <t>キョウム</t>
    </rPh>
    <rPh sb="7" eb="8">
      <t>ブ</t>
    </rPh>
    <rPh sb="8" eb="9">
      <t>カイ</t>
    </rPh>
    <rPh sb="9" eb="11">
      <t>ザチョウ</t>
    </rPh>
    <phoneticPr fontId="1"/>
  </si>
  <si>
    <t>認定教育プログラム</t>
  </si>
  <si>
    <t>様式２</t>
    <rPh sb="0" eb="2">
      <t>ヨウシキ</t>
    </rPh>
    <phoneticPr fontId="1"/>
  </si>
  <si>
    <t>玉川大学</t>
    <rPh sb="0" eb="2">
      <t>タマガワ</t>
    </rPh>
    <rPh sb="2" eb="4">
      <t>ダイガク</t>
    </rPh>
    <phoneticPr fontId="1"/>
  </si>
  <si>
    <t>一年次セミナー101</t>
    <rPh sb="0" eb="3">
      <t>イチネンジ</t>
    </rPh>
    <phoneticPr fontId="1"/>
  </si>
  <si>
    <t>一年次セミナー102</t>
    <rPh sb="0" eb="3">
      <t>イチネンジ</t>
    </rPh>
    <phoneticPr fontId="1"/>
  </si>
  <si>
    <t>様式４</t>
    <rPh sb="0" eb="2">
      <t>ヨウシキ</t>
    </rPh>
    <phoneticPr fontId="1"/>
  </si>
  <si>
    <t>働かなくてもよい未来：生産と所得と人工知能（4）、人工知能によるビジネスの変革（6）、AIに関わる倫理や法律を考える（7）、人工知能時代における学校教育（8）、人工知能と人間の知：知能を作ることをもう一度考える（15）</t>
    <phoneticPr fontId="1"/>
  </si>
  <si>
    <t>工学分野その1：講義（6）</t>
    <phoneticPr fontId="1"/>
  </si>
  <si>
    <t>データマイニングと人工知能（3）、人工知能と脳科学の対比（10）、社会の中の人工知能（11）、家庭の中の人工知能（12）</t>
    <phoneticPr fontId="1"/>
  </si>
  <si>
    <t>人工知能入門：人工知能って何？（1）、赤ちゃんと人工知能（2）、家庭に入る人工知能：保育と教育（5）、企業活動とAI（9）、人工知能が騙される（13）、人工知能と芸術：人工知能は芸術を理解し作品を創れるのか？（14）</t>
    <phoneticPr fontId="1"/>
  </si>
  <si>
    <t xml:space="preserve">	セルフ・マネジメントの技術Ⅱ―大学生の精神（こころ）とからだ　（15）</t>
    <phoneticPr fontId="1"/>
  </si>
  <si>
    <t xml:space="preserve">	コンピュータとインターネットの活用法Ⅲ－情報の活用と倫理（4）、個人情報の保護と関わり方　（5）、社会生活とメディアⅡ－メディア・リテラシー　（13）</t>
    <phoneticPr fontId="1"/>
  </si>
  <si>
    <t>データ解析ソフトウェアの基礎（2～5）、データの可視化（6～8）、実データを用いた演習（9～10）</t>
    <rPh sb="3" eb="5">
      <t>カイセキ</t>
    </rPh>
    <rPh sb="12" eb="14">
      <t>キソ</t>
    </rPh>
    <phoneticPr fontId="1"/>
  </si>
  <si>
    <t>統計学の基礎概念、データの整理のための統計量（1～5）、確率・確率分布の基礎、母集団と標本、標本分布（6～9）、推定・検定の基礎（統計的推測）、回帰分析の基礎（10～14）、実データを用いた演習（15）</t>
    <rPh sb="0" eb="3">
      <t>トウケイガク</t>
    </rPh>
    <rPh sb="4" eb="6">
      <t>キソ</t>
    </rPh>
    <rPh sb="6" eb="8">
      <t>ガイネン</t>
    </rPh>
    <rPh sb="13" eb="15">
      <t>セイリ</t>
    </rPh>
    <rPh sb="19" eb="22">
      <t>トウケイリョウ</t>
    </rPh>
    <phoneticPr fontId="1"/>
  </si>
  <si>
    <t>数理・データサイエンス・AI教育プログラム</t>
    <phoneticPr fontId="1"/>
  </si>
  <si>
    <t>教務委員会</t>
    <rPh sb="0" eb="2">
      <t>キョウム</t>
    </rPh>
    <rPh sb="2" eb="5">
      <t>イインカイ</t>
    </rPh>
    <phoneticPr fontId="1"/>
  </si>
  <si>
    <t>中村好雄</t>
    <rPh sb="0" eb="2">
      <t>ナカムラ</t>
    </rPh>
    <rPh sb="2" eb="4">
      <t>ヨシオ</t>
    </rPh>
    <phoneticPr fontId="1"/>
  </si>
  <si>
    <t>教学部長（教務委員会委員長）</t>
    <rPh sb="0" eb="2">
      <t>キョウガク</t>
    </rPh>
    <rPh sb="2" eb="4">
      <t>ブチョウ</t>
    </rPh>
    <rPh sb="5" eb="7">
      <t>キョウム</t>
    </rPh>
    <rPh sb="7" eb="10">
      <t>イインカイ</t>
    </rPh>
    <rPh sb="10" eb="13">
      <t>イインチョウ</t>
    </rPh>
    <phoneticPr fontId="1"/>
  </si>
  <si>
    <t>玉川大学教授会等運営規程　（第6条　教務委員会）</t>
    <rPh sb="0" eb="2">
      <t>タマガワ</t>
    </rPh>
    <rPh sb="2" eb="4">
      <t>ダイガク</t>
    </rPh>
    <rPh sb="4" eb="6">
      <t>キョウジュ</t>
    </rPh>
    <rPh sb="6" eb="7">
      <t>カイ</t>
    </rPh>
    <rPh sb="7" eb="8">
      <t>トウ</t>
    </rPh>
    <rPh sb="8" eb="10">
      <t>ウンエイ</t>
    </rPh>
    <rPh sb="10" eb="12">
      <t>キテイ</t>
    </rPh>
    <rPh sb="14" eb="15">
      <t>ダイ</t>
    </rPh>
    <rPh sb="16" eb="17">
      <t>ジョウ</t>
    </rPh>
    <rPh sb="18" eb="20">
      <t>キョウム</t>
    </rPh>
    <rPh sb="20" eb="23">
      <t>イインカイ</t>
    </rPh>
    <phoneticPr fontId="1"/>
  </si>
  <si>
    <t>中村好雄</t>
    <phoneticPr fontId="1"/>
  </si>
  <si>
    <t>教学部長</t>
    <rPh sb="0" eb="2">
      <t>キョウガク</t>
    </rPh>
    <rPh sb="2" eb="4">
      <t>ブチョウ</t>
    </rPh>
    <phoneticPr fontId="1"/>
  </si>
  <si>
    <t>東京都町田市玉川学園 6－1－1</t>
    <rPh sb="0" eb="6">
      <t>トウキョウトマチダシ</t>
    </rPh>
    <rPh sb="6" eb="10">
      <t>タマガワガクエン</t>
    </rPh>
    <phoneticPr fontId="1"/>
  </si>
  <si>
    <t>教学部教務課</t>
    <rPh sb="0" eb="1">
      <t>キョウ</t>
    </rPh>
    <rPh sb="1" eb="3">
      <t>ガクブ</t>
    </rPh>
    <rPh sb="3" eb="6">
      <t>キョウムカ</t>
    </rPh>
    <phoneticPr fontId="1"/>
  </si>
  <si>
    <t>光森多佳子</t>
    <rPh sb="0" eb="2">
      <t>ミツモリ</t>
    </rPh>
    <rPh sb="2" eb="5">
      <t>タカコ</t>
    </rPh>
    <phoneticPr fontId="1"/>
  </si>
  <si>
    <t>kyoumu@adm.tamagawa.ac.jp</t>
    <phoneticPr fontId="1"/>
  </si>
  <si>
    <t>042-739-8801</t>
    <phoneticPr fontId="1"/>
  </si>
  <si>
    <t>https://aibot.jp/ai-literacy/</t>
    <phoneticPr fontId="1"/>
  </si>
  <si>
    <t>「一年次セミナー101（2単位）」及び「一年次セミナー102（2単位）」を必修として4単位を取得すること。また、「データ処理（2単位）」及び「統計学入門（2単位）」のいずれかを選択履修し、2単位取得すること。加えて、「人工知能と社会（2単位）」及び「複合領域研究 210 [工農芸融合価値創出ﾌﾟﾛｼﾞｪｸﾄ]（2単位）」のいずれかを選択履修して2単位取得し、合計8単位以上を取得すること。</t>
    <rPh sb="1" eb="2">
      <t>イチ</t>
    </rPh>
    <rPh sb="2" eb="4">
      <t>ネンジ</t>
    </rPh>
    <rPh sb="13" eb="15">
      <t>タンイ</t>
    </rPh>
    <rPh sb="17" eb="18">
      <t>オヨ</t>
    </rPh>
    <rPh sb="20" eb="21">
      <t>イチ</t>
    </rPh>
    <rPh sb="21" eb="23">
      <t>ネンジ</t>
    </rPh>
    <rPh sb="32" eb="34">
      <t>タンイ</t>
    </rPh>
    <rPh sb="37" eb="39">
      <t>ヒッシュウ</t>
    </rPh>
    <rPh sb="43" eb="45">
      <t>タンイ</t>
    </rPh>
    <rPh sb="46" eb="48">
      <t>シュトク</t>
    </rPh>
    <rPh sb="60" eb="62">
      <t>ショリ</t>
    </rPh>
    <rPh sb="64" eb="66">
      <t>タンイ</t>
    </rPh>
    <rPh sb="68" eb="69">
      <t>オヨ</t>
    </rPh>
    <rPh sb="71" eb="74">
      <t>トウケイガク</t>
    </rPh>
    <rPh sb="74" eb="76">
      <t>ニュウモン</t>
    </rPh>
    <rPh sb="78" eb="80">
      <t>タンイ</t>
    </rPh>
    <rPh sb="88" eb="90">
      <t>センタク</t>
    </rPh>
    <rPh sb="90" eb="92">
      <t>リシュウ</t>
    </rPh>
    <rPh sb="95" eb="97">
      <t>タンイ</t>
    </rPh>
    <rPh sb="97" eb="99">
      <t>シュトク</t>
    </rPh>
    <rPh sb="104" eb="105">
      <t>クワ</t>
    </rPh>
    <rPh sb="118" eb="120">
      <t>タンイ</t>
    </rPh>
    <rPh sb="122" eb="123">
      <t>オヨ</t>
    </rPh>
    <rPh sb="157" eb="159">
      <t>タンイ</t>
    </rPh>
    <rPh sb="167" eb="169">
      <t>センタク</t>
    </rPh>
    <rPh sb="169" eb="171">
      <t>リシュウ</t>
    </rPh>
    <rPh sb="174" eb="176">
      <t>タンイ</t>
    </rPh>
    <rPh sb="176" eb="178">
      <t>シュトク</t>
    </rPh>
    <rPh sb="180" eb="182">
      <t>ゴウケイ</t>
    </rPh>
    <rPh sb="183" eb="185">
      <t>タンイ</t>
    </rPh>
    <rPh sb="185" eb="187">
      <t>イジョウ</t>
    </rPh>
    <rPh sb="188" eb="190">
      <t>シュトク</t>
    </rPh>
    <phoneticPr fontId="1"/>
  </si>
  <si>
    <t>文学部　（人文科学）</t>
    <rPh sb="0" eb="1">
      <t>ブン</t>
    </rPh>
    <rPh sb="1" eb="3">
      <t>ガクブ</t>
    </rPh>
    <rPh sb="5" eb="7">
      <t>ジンブン</t>
    </rPh>
    <rPh sb="7" eb="9">
      <t>カガク</t>
    </rPh>
    <phoneticPr fontId="1"/>
  </si>
  <si>
    <t>農学部　（農学）</t>
    <rPh sb="0" eb="1">
      <t>ノウ</t>
    </rPh>
    <rPh sb="1" eb="3">
      <t>ガクブ</t>
    </rPh>
    <rPh sb="5" eb="7">
      <t>ノウガク</t>
    </rPh>
    <phoneticPr fontId="1"/>
  </si>
  <si>
    <t>工学部　（工学）</t>
    <rPh sb="0" eb="1">
      <t>コウ</t>
    </rPh>
    <rPh sb="1" eb="3">
      <t>ガクブ</t>
    </rPh>
    <rPh sb="5" eb="7">
      <t>コウガク</t>
    </rPh>
    <phoneticPr fontId="1"/>
  </si>
  <si>
    <t>経営学部　（社会科学）</t>
    <rPh sb="0" eb="2">
      <t>ケイエイ</t>
    </rPh>
    <rPh sb="2" eb="4">
      <t>ガクブ</t>
    </rPh>
    <rPh sb="6" eb="8">
      <t>シャカイ</t>
    </rPh>
    <rPh sb="8" eb="10">
      <t>カガク</t>
    </rPh>
    <phoneticPr fontId="1"/>
  </si>
  <si>
    <t>教育学部　（教育）</t>
    <rPh sb="0" eb="2">
      <t>キョウイク</t>
    </rPh>
    <rPh sb="2" eb="4">
      <t>ガクブ</t>
    </rPh>
    <rPh sb="6" eb="8">
      <t>キョウイク</t>
    </rPh>
    <phoneticPr fontId="1"/>
  </si>
  <si>
    <t>芸術学部　（芸術）</t>
    <rPh sb="0" eb="2">
      <t>ゲイジュツ</t>
    </rPh>
    <rPh sb="2" eb="4">
      <t>ガクブ</t>
    </rPh>
    <rPh sb="6" eb="8">
      <t>ゲイジュツ</t>
    </rPh>
    <phoneticPr fontId="1"/>
  </si>
  <si>
    <t>リベラルアーツ学部　（その他）</t>
    <rPh sb="7" eb="9">
      <t>ガクブ</t>
    </rPh>
    <rPh sb="13" eb="14">
      <t>タ</t>
    </rPh>
    <phoneticPr fontId="1"/>
  </si>
  <si>
    <t>観光学部　（社会科学）</t>
    <rPh sb="0" eb="2">
      <t>カンコウ</t>
    </rPh>
    <rPh sb="2" eb="4">
      <t>ガクブ</t>
    </rPh>
    <rPh sb="6" eb="8">
      <t>シャカイ</t>
    </rPh>
    <rPh sb="8" eb="10">
      <t>カガク</t>
    </rPh>
    <phoneticPr fontId="1"/>
  </si>
  <si>
    <r>
      <t>本プログラムでは、全科目を</t>
    </r>
    <r>
      <rPr>
        <sz val="12"/>
        <rFont val="ＭＳ Ｐゴシック"/>
        <family val="3"/>
        <charset val="128"/>
        <scheme val="minor"/>
      </rPr>
      <t>US科目（ユニバーシティ・スタンダード科目：本学の全学生が履修可能な科目群）とすることで希望する学生全員が受講可能となっている。
また、入学当初に学ぶ初年次教育において、ELSI、個人情報、データ倫理、AI社会原則等の倫理面での知識を学び、本プログラムへの理解、興味を促進することでプログラム受講への動機づけを強めている。
プログラムの中心となる科目「数理・データサイエンス・AIリテラシー」（令和4年度新設）については全学開講科目とし、文理を問わず全学生が受講できるような教科書を執筆中である。
また、科目担当者用の教材（授業スライドや演習環境）を学術研究所先端知能・ロボット研究センターにおいて開発し、共有することで全学的な履修を支援・促進する。</t>
    </r>
    <phoneticPr fontId="1"/>
  </si>
  <si>
    <r>
      <t>入学直後の各学部、学科ガイダンスでの周知をはじめ、本プログラム独自のガイダンスの実施に加え、オープンキャンパス等での入学前の説明会等を複数回に渡り実施する。</t>
    </r>
    <r>
      <rPr>
        <sz val="12"/>
        <rFont val="ＭＳ Ｐゴシック"/>
        <family val="3"/>
        <charset val="128"/>
        <scheme val="minor"/>
      </rPr>
      <t xml:space="preserve">
本プログラム専用のWEBサイトやポスターの学内掲示により常に最新の情報を提供し学生への情報提供に努める。
全学必修の初年次教育科目「一年次セミナー101」および「一年次セミナー102」で本プログラムの一部（ELSI、個人情報、データ倫理、AI社会原則等）を実施することで、入学直後において広く全学生への周知を徹底する。</t>
    </r>
    <phoneticPr fontId="1"/>
  </si>
  <si>
    <t xml:space="preserve">プログラムは、専攻領域と並行して学ぶことで、自らの専門領域の学問的、社会的役割の理解を促す目的として全学部の学生が履修可能なユニバーシティ・スタンダード科目で構成されているため、本学の全学生が幅広くプログラムを履修することが可能である。
さらに、大学で学ぶ学問の重要性をはじめ、授業に臨む姿勢や授業の受け方などを入学当初に学ぶ初年次教育において、ELSI、個人情報、データ倫理、AI社会原則等の倫理面での教育を実施する。全学部の新入生を対象にした必修科目においてAIの倫理を学ぶことで、文系・理系を問わず社会におけるAIの重要性を認識するとともに、さらに深く学ぼうという意欲を高め、履修者の増加を目指す。
</t>
    <phoneticPr fontId="1"/>
  </si>
  <si>
    <t>玉川学園教育研究活動等点検調査委員会大学分科会教務部会において、プログラムの履修・修得状況について確認・分析する体制となっている。
令和2年度の履修者数は27名（履修率0.4％）であり、令和3年度以降の履修者数目標値達成に向け、学生への周知や本プログラムに関わるカリキュラムについて検討する。
なお、自己点検の結果は、令和3年6月末までに本学ホームページにて公開する予定。
また、プログラムの履修状況については、本点検委員会等において、各学期1回程度の点検調査を行い、さらなる改善に努める。</t>
    <rPh sb="56" eb="58">
      <t>タイセイ</t>
    </rPh>
    <rPh sb="72" eb="74">
      <t>リシュウ</t>
    </rPh>
    <rPh sb="74" eb="75">
      <t>シャ</t>
    </rPh>
    <rPh sb="75" eb="76">
      <t>スウ</t>
    </rPh>
    <rPh sb="93" eb="95">
      <t>レイワ</t>
    </rPh>
    <rPh sb="96" eb="98">
      <t>ネンド</t>
    </rPh>
    <rPh sb="98" eb="100">
      <t>イコウ</t>
    </rPh>
    <rPh sb="101" eb="103">
      <t>リシュウ</t>
    </rPh>
    <rPh sb="103" eb="104">
      <t>シャ</t>
    </rPh>
    <rPh sb="104" eb="105">
      <t>スウ</t>
    </rPh>
    <rPh sb="105" eb="108">
      <t>モクヒョウチ</t>
    </rPh>
    <rPh sb="108" eb="110">
      <t>タッセイ</t>
    </rPh>
    <rPh sb="111" eb="112">
      <t>ム</t>
    </rPh>
    <rPh sb="114" eb="116">
      <t>ガクセイ</t>
    </rPh>
    <rPh sb="118" eb="120">
      <t>シュウチ</t>
    </rPh>
    <rPh sb="121" eb="122">
      <t>ホン</t>
    </rPh>
    <rPh sb="128" eb="129">
      <t>カカ</t>
    </rPh>
    <rPh sb="141" eb="143">
      <t>ケントウ</t>
    </rPh>
    <rPh sb="196" eb="198">
      <t>リシュウ</t>
    </rPh>
    <rPh sb="198" eb="200">
      <t>ジョウキョウ</t>
    </rPh>
    <rPh sb="206" eb="207">
      <t>ホン</t>
    </rPh>
    <rPh sb="207" eb="209">
      <t>テンケン</t>
    </rPh>
    <rPh sb="209" eb="212">
      <t>イインカイ</t>
    </rPh>
    <rPh sb="212" eb="213">
      <t>トウ</t>
    </rPh>
    <rPh sb="218" eb="221">
      <t>カクガッキ</t>
    </rPh>
    <rPh sb="222" eb="223">
      <t>カイ</t>
    </rPh>
    <rPh sb="223" eb="225">
      <t>テイド</t>
    </rPh>
    <rPh sb="226" eb="228">
      <t>テンケン</t>
    </rPh>
    <rPh sb="228" eb="230">
      <t>チョウサ</t>
    </rPh>
    <rPh sb="231" eb="232">
      <t>オコナ</t>
    </rPh>
    <rPh sb="238" eb="240">
      <t>カイゼン</t>
    </rPh>
    <rPh sb="241" eb="242">
      <t>ツト</t>
    </rPh>
    <phoneticPr fontId="1"/>
  </si>
  <si>
    <t>各学期（春学期・秋学期）に実施している授業評価アンケートの結果に基づき、玉川学園教育研究活動等点検調査委員会大学分科会教務部会において学生の理解度を点検・分析する体制となっている。なお、本プログラムを構成する6科目については、令和2年度における授業評価アンケートの「学生の内容の理解度（平均値）」が3.7～4.3であった。（5段階評価：5とてもそう思う―1：全くそう思わない）
本プログラム以外の科目を含めた全科目の平均値（春学期3.9、秋学期4.1）と比較し、一部理解度の低い科目があるため、より学生の理解度が高まるよう授業改善に努める。</t>
    <rPh sb="0" eb="3">
      <t>カクガッキ</t>
    </rPh>
    <rPh sb="4" eb="5">
      <t>ハル</t>
    </rPh>
    <rPh sb="5" eb="7">
      <t>ガッキ</t>
    </rPh>
    <rPh sb="8" eb="11">
      <t>アキガッキ</t>
    </rPh>
    <rPh sb="13" eb="15">
      <t>ジッシ</t>
    </rPh>
    <rPh sb="19" eb="21">
      <t>ジュギョウ</t>
    </rPh>
    <rPh sb="21" eb="23">
      <t>ヒョウカ</t>
    </rPh>
    <rPh sb="29" eb="31">
      <t>ケッカ</t>
    </rPh>
    <rPh sb="32" eb="33">
      <t>モト</t>
    </rPh>
    <rPh sb="67" eb="69">
      <t>ガクセイ</t>
    </rPh>
    <rPh sb="70" eb="73">
      <t>リカイド</t>
    </rPh>
    <rPh sb="74" eb="76">
      <t>テンケン</t>
    </rPh>
    <rPh sb="77" eb="79">
      <t>ブンセキ</t>
    </rPh>
    <rPh sb="81" eb="83">
      <t>タイセイ</t>
    </rPh>
    <rPh sb="93" eb="94">
      <t>ホン</t>
    </rPh>
    <rPh sb="100" eb="102">
      <t>コウセイ</t>
    </rPh>
    <rPh sb="105" eb="107">
      <t>カモク</t>
    </rPh>
    <rPh sb="113" eb="115">
      <t>レイワ</t>
    </rPh>
    <rPh sb="116" eb="118">
      <t>ネンド</t>
    </rPh>
    <rPh sb="122" eb="124">
      <t>ジュギョウ</t>
    </rPh>
    <rPh sb="124" eb="126">
      <t>ヒョウカ</t>
    </rPh>
    <rPh sb="133" eb="135">
      <t>ガクセイ</t>
    </rPh>
    <rPh sb="136" eb="138">
      <t>ナイヨウ</t>
    </rPh>
    <rPh sb="139" eb="142">
      <t>リカイド</t>
    </rPh>
    <rPh sb="143" eb="146">
      <t>ヘイキンチ</t>
    </rPh>
    <rPh sb="174" eb="175">
      <t>オモ</t>
    </rPh>
    <rPh sb="179" eb="180">
      <t>マッタ</t>
    </rPh>
    <rPh sb="183" eb="184">
      <t>オモ</t>
    </rPh>
    <rPh sb="231" eb="233">
      <t>イチブ</t>
    </rPh>
    <rPh sb="261" eb="263">
      <t>ジュギョウ</t>
    </rPh>
    <rPh sb="263" eb="265">
      <t>カイゼン</t>
    </rPh>
    <rPh sb="266" eb="267">
      <t>ツト</t>
    </rPh>
    <phoneticPr fontId="1"/>
  </si>
  <si>
    <t>現在、本プログラムを構成する6科目に加え、令和4年度からはプログラムの中心となる科目「数理・データサイエンス・AIリテラシー」の開設を検討している。この科目は、文理を問わず全学生が受講できる科目として計画しており、より全学的な履修者数、履修率の向上につながると考えている。また、引き続き、新入生ガイダンスや全学必修科目である一年次セミナーにおいて、本プログラムを周知し、あわせてホームページでの情報公開を行い、履修率向上に努めることを玉川学園教育研究活動等点検調査委員会大学分科会教務部会において確認し、進めていく。</t>
    <rPh sb="0" eb="2">
      <t>ゲンザイ</t>
    </rPh>
    <rPh sb="3" eb="4">
      <t>ホン</t>
    </rPh>
    <rPh sb="10" eb="12">
      <t>コウセイ</t>
    </rPh>
    <rPh sb="15" eb="17">
      <t>カモク</t>
    </rPh>
    <rPh sb="18" eb="19">
      <t>クワ</t>
    </rPh>
    <rPh sb="21" eb="23">
      <t>レイワ</t>
    </rPh>
    <rPh sb="24" eb="26">
      <t>ネンド</t>
    </rPh>
    <rPh sb="64" eb="66">
      <t>カイセツ</t>
    </rPh>
    <rPh sb="67" eb="69">
      <t>ケントウ</t>
    </rPh>
    <rPh sb="76" eb="78">
      <t>カモク</t>
    </rPh>
    <rPh sb="95" eb="97">
      <t>カモク</t>
    </rPh>
    <rPh sb="100" eb="102">
      <t>ケイカク</t>
    </rPh>
    <rPh sb="109" eb="112">
      <t>ゼンガクテキ</t>
    </rPh>
    <rPh sb="113" eb="115">
      <t>リシュウ</t>
    </rPh>
    <rPh sb="115" eb="116">
      <t>シャ</t>
    </rPh>
    <rPh sb="116" eb="117">
      <t>スウ</t>
    </rPh>
    <rPh sb="118" eb="120">
      <t>リシュウ</t>
    </rPh>
    <rPh sb="120" eb="121">
      <t>リツ</t>
    </rPh>
    <rPh sb="122" eb="124">
      <t>コウジョウ</t>
    </rPh>
    <rPh sb="130" eb="131">
      <t>カンガ</t>
    </rPh>
    <rPh sb="139" eb="140">
      <t>ヒ</t>
    </rPh>
    <rPh sb="141" eb="142">
      <t>ツヅ</t>
    </rPh>
    <rPh sb="144" eb="147">
      <t>シンニュウセイ</t>
    </rPh>
    <rPh sb="153" eb="155">
      <t>ゼンガク</t>
    </rPh>
    <rPh sb="155" eb="157">
      <t>ヒッシュウ</t>
    </rPh>
    <rPh sb="157" eb="159">
      <t>カモク</t>
    </rPh>
    <rPh sb="162" eb="163">
      <t>イチ</t>
    </rPh>
    <rPh sb="163" eb="165">
      <t>ネンジ</t>
    </rPh>
    <rPh sb="174" eb="175">
      <t>ホン</t>
    </rPh>
    <rPh sb="181" eb="183">
      <t>シュウチ</t>
    </rPh>
    <rPh sb="197" eb="199">
      <t>ジョウホウ</t>
    </rPh>
    <rPh sb="199" eb="201">
      <t>コウカイ</t>
    </rPh>
    <rPh sb="202" eb="203">
      <t>オコナ</t>
    </rPh>
    <rPh sb="205" eb="207">
      <t>リシュウ</t>
    </rPh>
    <rPh sb="207" eb="208">
      <t>リツ</t>
    </rPh>
    <rPh sb="208" eb="210">
      <t>コウジョウ</t>
    </rPh>
    <rPh sb="211" eb="212">
      <t>ツト</t>
    </rPh>
    <rPh sb="248" eb="250">
      <t>カクニン</t>
    </rPh>
    <rPh sb="252" eb="253">
      <t>スス</t>
    </rPh>
    <phoneticPr fontId="1"/>
  </si>
  <si>
    <t>工学分野その2：講義（7）</t>
    <phoneticPr fontId="1"/>
  </si>
  <si>
    <t>該当科目なし</t>
    <rPh sb="0" eb="2">
      <t>ガイトウ</t>
    </rPh>
    <rPh sb="2" eb="4">
      <t>カモク</t>
    </rPh>
    <phoneticPr fontId="1"/>
  </si>
  <si>
    <t>本学での成績評価では、知識・理解だけでなく、各科目に設定されている「授業を通して修得できる力」の評価も含めたものとしている。したがって、各科目の成績評価が学修成果として認識できると考えている。さらに、学生ポートフォリオの自己評価も併せて、学修成果としている。
なお、本プログラム履修者については、履修者毎にプログラムの授業科目のGPA評価と他科目のGPA評価との比較から、プログラムの学修成果を確認することも検討している。</t>
    <phoneticPr fontId="1"/>
  </si>
  <si>
    <t>インターンシップや産学共同研究の機会を利用し、企業等に対してアンケートを実施している。特にインターンシップでは教員が学生がインターンシップ中に企業を訪問し、現場での意見を聞くとともに、学内で共有することで数理・データサイエンス・AIプログラムの改善に活用している。
本プログラム履修者についてはまだ卒業生を出していないが、今後は本プログラム修了者の就職先等へのアンケート等の実施も計画している。</t>
    <phoneticPr fontId="1"/>
  </si>
  <si>
    <t>身近な社会におけるAIの利活用を重点テーマとすることで、文理を問わず、数理・データサイエンス・AI教育を実体験に即した経験として考えることができ、学ぶ楽しさや学ぶことの意義を理解するように促している。また、学期末に実施する授業評価アンケートの自由記述の中から「学ぶ楽しさ」「学ぶことの意義」についての記載を取り上げ、各科目での理解を確認している。さらに、学生ポートフォリオの記載からも確認できる。その内容も含め、教務委員会にて本プログラムの内容・手法等を検討していく。</t>
    <phoneticPr fontId="1"/>
  </si>
  <si>
    <t>附置機関である学術研究所先端知能・ロボット研究センターが中心になり、AIの先端知識の調査やそれに基づく教材の開発、科目担当者への教育を行い、常に授業の内容・水準を維持、向上することに努めている。
参観授業として授業を公開することで自らの授業を客観的に捉える機会を提供し、より分かりやすい授業への改善を促す仕組みを有している。また、授業評価アンケートの項目として学生の理解度を確認し、「分かりやすい」授業であったかの確認ができている。さらに、学生ポートフォリオの記載からも確認できる。その内容も含め、教務委員会にて本プログラムの内容・手法等を検討していく。</t>
    <phoneticPr fontId="1"/>
  </si>
  <si>
    <t>第三次人工知能ブームと言われる現在、我々を取り巻く社会で起きている変化を知り、過去から現代を経て、将来の社会がどのように変化していくかを考える。
また、様々な分野で大量のデータがどのように処理され、そこから得られた知見がどのように活用されているかの最新の動向を学ぶ。
一例として学校教育の場を取り上げる。学校教育は学力を与える場と考えられているが、実際は人間力の養成もまた重要な仕事である。しかし現在、人間力を養成する方法については科学的な知見は無く、教育者が個人の経験のもとに試行錯誤を繰り返している。授業では、保育や教育を科学するための手法としての人工知能の応用について述べ、その社会展開に求められる機能とサービスについて検討する。　</t>
    <rPh sb="0" eb="3">
      <t>ダイサンジ</t>
    </rPh>
    <rPh sb="3" eb="7">
      <t>ジンコウチノウ</t>
    </rPh>
    <rPh sb="11" eb="12">
      <t>イ</t>
    </rPh>
    <rPh sb="15" eb="17">
      <t>ゲンザイ</t>
    </rPh>
    <rPh sb="18" eb="20">
      <t>ワレワレ</t>
    </rPh>
    <rPh sb="21" eb="22">
      <t>ト</t>
    </rPh>
    <rPh sb="23" eb="24">
      <t>マ</t>
    </rPh>
    <rPh sb="25" eb="27">
      <t>シャカイ</t>
    </rPh>
    <rPh sb="36" eb="37">
      <t>シ</t>
    </rPh>
    <rPh sb="39" eb="41">
      <t>カコ</t>
    </rPh>
    <rPh sb="43" eb="45">
      <t>ゲンダイ</t>
    </rPh>
    <rPh sb="46" eb="47">
      <t>ヘ</t>
    </rPh>
    <rPh sb="49" eb="51">
      <t>ショウライ</t>
    </rPh>
    <rPh sb="52" eb="54">
      <t>シャカイ</t>
    </rPh>
    <rPh sb="60" eb="62">
      <t>ヘンカ</t>
    </rPh>
    <rPh sb="68" eb="69">
      <t>カンガ</t>
    </rPh>
    <rPh sb="76" eb="78">
      <t>サマザマ</t>
    </rPh>
    <rPh sb="79" eb="81">
      <t>ブンヤ</t>
    </rPh>
    <rPh sb="82" eb="84">
      <t>タイリョウ</t>
    </rPh>
    <rPh sb="94" eb="96">
      <t>ショリ</t>
    </rPh>
    <rPh sb="103" eb="104">
      <t>エ</t>
    </rPh>
    <rPh sb="107" eb="109">
      <t>チケン</t>
    </rPh>
    <rPh sb="115" eb="117">
      <t>カツヨウ</t>
    </rPh>
    <rPh sb="124" eb="126">
      <t>サイシン</t>
    </rPh>
    <rPh sb="127" eb="129">
      <t>ドウコウ</t>
    </rPh>
    <rPh sb="130" eb="131">
      <t>マナ</t>
    </rPh>
    <rPh sb="134" eb="136">
      <t>イチレイ</t>
    </rPh>
    <rPh sb="139" eb="143">
      <t>ガッコウキョウイク</t>
    </rPh>
    <rPh sb="144" eb="145">
      <t>バ</t>
    </rPh>
    <rPh sb="146" eb="147">
      <t>ト</t>
    </rPh>
    <rPh sb="148" eb="149">
      <t>ア</t>
    </rPh>
    <rPh sb="181" eb="183">
      <t>ヨウセイ</t>
    </rPh>
    <phoneticPr fontId="1"/>
  </si>
  <si>
    <t>日本のおかれている社会・経済的課題の現状について大まかに振り返り、我が国がおかれている状況において生産性向上が今後の課題であることを理解する。他方、Society5.0などで述べられているように、世界的に、社会・経済構造が大変革をしていこうとする中で、全産業がAIへの取り組みを図ることが不可避となっており、一般社団法人日本経済団体連合会のAI活用戦略を取りまとめる状況となっていることを理解する。従来の日本特有の理系や文系といった区分が今後の社会において意味があるか、むしろ、理系や文系の枠を超えた創造的な人材とは何かについて考える。全産業で求められているイノベーションについて考え、イノベーションをおこしていく人材、環境について考える。
データ・AIの活用領域に関して人工知能はすでに防犯システムなど様々な分野で利用が進んでいる。社会の中で人工知能がどのように利用されているのか実際の例を紹介する。また今後どのような分野で人工知能の利用が進んでいくのかを考える。</t>
    <rPh sb="245" eb="246">
      <t>ワク</t>
    </rPh>
    <rPh sb="333" eb="334">
      <t>カン</t>
    </rPh>
    <phoneticPr fontId="1"/>
  </si>
  <si>
    <r>
      <t>人工知能は特定の分野においては人の知能を遥かに超える性能を発揮することができる。しかし本当に人工知能を信じ切ってもよいのだろうか。人工知能が原因で起きた事故や人工知能を騙す(誤認識させる)研究を例に、人工知能を扱ううえでどのようなことを考慮するべきか議論する。　
2020年度からの学習指導要領では、「主体的・対話的で深い学び」の実現が求められている。それにあたり、日本の教育現場では、教育のあり方、授業の方法がこれまでと違うことが行われるような改革が求められている。その教育改革のなかで、どのような教育活動がなされるのか、教育を受けてきた子供たちはどのような大人になることを求められているのかについて考える。　学校教育は学力を与える場と考えられているが、実際は人間力の養成もまた重要な仕事である。しかし現在、人間力を養成する方法については科学的な知見は無く、教育者が個人の経験のもとに試行錯誤を繰り返している。この授業では、保育や教育を科学するための手法としての人工知能の応用について述べ、その社会展開に求められる機能とサービスについて検討する。</t>
    </r>
    <r>
      <rPr>
        <sz val="12"/>
        <rFont val="ＭＳ Ｐゴシック"/>
        <family val="3"/>
        <charset val="128"/>
        <scheme val="minor"/>
      </rPr>
      <t xml:space="preserve">
</t>
    </r>
    <rPh sb="137" eb="138">
      <t>ド</t>
    </rPh>
    <rPh sb="335" eb="337">
      <t>ヨウセイ</t>
    </rPh>
    <phoneticPr fontId="1"/>
  </si>
  <si>
    <t>初年次教育において、一人ひとりが将来の人生設計を考える科目の中で、社会における人工知能の普及とそれに伴う社会の変化について学ぶ。働くことの意義を考え、将来の目標を立てるための知識と方法を学ぶなかで、社会人として必要な物事の考え方、コンピュータの利用法、自己責任などについて、社会と人工知能の関わりを通して学ぶ。
人工知能技術は我々に正負のインパクトをもたらすことを知り、その両面に関し、社会には様々な声があることを理解する。</t>
    <phoneticPr fontId="1"/>
  </si>
  <si>
    <t>データ解析ソフトウェアの使用方法の基礎を身に付け、基本的なデータの処理・整理方法及びその応用に関する方法論を学ぶ。データ解析ソフトウェアを使うことで、大量のデータが容易に扱えることを知り、3次元以上の高次のデータ間の関係を可視化する手法を学ぶ。
統計が様々な分野で使われ、それは、理系分野のみ為らず、人文科学、社会科学分野においても重要であることを学ぶ。様々なデータから特徴を抽出する手法である統計学の基礎を学ぶことを目的とし、平均、中央値、標準偏差等の基本的な統計量の計算から、偏差値の計算、検定の方法等ができるようになる。
現実に得られたデータを使い、データから様々な知識が抽出できることを知るとともに、データマニングの基礎的な演習を体験する。</t>
    <rPh sb="40" eb="41">
      <t>オヨ</t>
    </rPh>
    <phoneticPr fontId="1"/>
  </si>
  <si>
    <t>教授会等運営規程第6条に定める「教務委員会」において、本プログラムの改善・進化を図る。教務委員会は、本学学則に基づき設置された委員会であり、時間割編成や教育課程の改正等、全学に共通する教務事項について検討し、審議機関である大学部長会に上申する。
教務委員会では、文理を問わず、全学部の学生がAI・数理・データサイエンスの素養を身につけ、社会において幅広い分野で活躍できる人材の育成を目的とした、本プログラムの内容や全学的な普及状況を確認し、必要に応じて全学部に関わるカリキュラムの改訂を検討する。また、IR委員会や点検調査委員会と連携し、本プログラムに関わるデータに基づいて授業改善等を促し、全学的な数理・データサイエンス・ＡＩ教育を支援する。</t>
    <rPh sb="0" eb="2">
      <t>キョウジュ</t>
    </rPh>
    <rPh sb="2" eb="3">
      <t>カイ</t>
    </rPh>
    <rPh sb="3" eb="4">
      <t>トウ</t>
    </rPh>
    <rPh sb="4" eb="6">
      <t>ウンエイ</t>
    </rPh>
    <rPh sb="6" eb="8">
      <t>キテイ</t>
    </rPh>
    <rPh sb="8" eb="9">
      <t>ダイ</t>
    </rPh>
    <rPh sb="10" eb="11">
      <t>ジョウ</t>
    </rPh>
    <rPh sb="12" eb="13">
      <t>サダ</t>
    </rPh>
    <rPh sb="16" eb="18">
      <t>キョウム</t>
    </rPh>
    <rPh sb="18" eb="21">
      <t>イインカイ</t>
    </rPh>
    <rPh sb="27" eb="28">
      <t>ホン</t>
    </rPh>
    <rPh sb="34" eb="36">
      <t>カイゼン</t>
    </rPh>
    <rPh sb="37" eb="39">
      <t>シンカ</t>
    </rPh>
    <rPh sb="40" eb="41">
      <t>ハカ</t>
    </rPh>
    <rPh sb="43" eb="45">
      <t>キョウム</t>
    </rPh>
    <rPh sb="45" eb="48">
      <t>イインカイ</t>
    </rPh>
    <rPh sb="50" eb="52">
      <t>ホンガク</t>
    </rPh>
    <rPh sb="52" eb="54">
      <t>ガクソク</t>
    </rPh>
    <rPh sb="55" eb="56">
      <t>モト</t>
    </rPh>
    <rPh sb="58" eb="60">
      <t>セッチ</t>
    </rPh>
    <rPh sb="63" eb="66">
      <t>イインカイ</t>
    </rPh>
    <rPh sb="70" eb="73">
      <t>ジカンワリ</t>
    </rPh>
    <rPh sb="73" eb="75">
      <t>ヘンセイ</t>
    </rPh>
    <rPh sb="76" eb="78">
      <t>キョウイク</t>
    </rPh>
    <rPh sb="78" eb="80">
      <t>カテイ</t>
    </rPh>
    <rPh sb="81" eb="83">
      <t>カイセイ</t>
    </rPh>
    <rPh sb="83" eb="84">
      <t>トウ</t>
    </rPh>
    <rPh sb="85" eb="87">
      <t>ゼンガク</t>
    </rPh>
    <rPh sb="88" eb="90">
      <t>キョウツウ</t>
    </rPh>
    <rPh sb="92" eb="94">
      <t>キョウム</t>
    </rPh>
    <rPh sb="94" eb="96">
      <t>ジコウ</t>
    </rPh>
    <rPh sb="100" eb="102">
      <t>ケントウ</t>
    </rPh>
    <rPh sb="104" eb="106">
      <t>シンギ</t>
    </rPh>
    <rPh sb="106" eb="108">
      <t>キカン</t>
    </rPh>
    <rPh sb="111" eb="113">
      <t>ダイガク</t>
    </rPh>
    <rPh sb="113" eb="115">
      <t>ブチョウ</t>
    </rPh>
    <rPh sb="115" eb="116">
      <t>カイ</t>
    </rPh>
    <rPh sb="117" eb="119">
      <t>ジョウシン</t>
    </rPh>
    <rPh sb="123" eb="125">
      <t>キョウム</t>
    </rPh>
    <rPh sb="125" eb="128">
      <t>イインカイ</t>
    </rPh>
    <rPh sb="138" eb="141">
      <t>ゼンガクブ</t>
    </rPh>
    <rPh sb="142" eb="144">
      <t>ガクセイ</t>
    </rPh>
    <rPh sb="185" eb="187">
      <t>ジンザイ</t>
    </rPh>
    <rPh sb="188" eb="190">
      <t>イクセイ</t>
    </rPh>
    <rPh sb="191" eb="193">
      <t>モクテキ</t>
    </rPh>
    <rPh sb="197" eb="198">
      <t>ホン</t>
    </rPh>
    <rPh sb="204" eb="206">
      <t>ナイヨウ</t>
    </rPh>
    <rPh sb="207" eb="210">
      <t>ゼンガクテキ</t>
    </rPh>
    <rPh sb="211" eb="213">
      <t>フキュウ</t>
    </rPh>
    <rPh sb="213" eb="215">
      <t>ジョウキョウ</t>
    </rPh>
    <rPh sb="216" eb="218">
      <t>カクニン</t>
    </rPh>
    <rPh sb="220" eb="222">
      <t>ヒツヨウ</t>
    </rPh>
    <rPh sb="223" eb="224">
      <t>オウ</t>
    </rPh>
    <rPh sb="226" eb="228">
      <t>ゼンガク</t>
    </rPh>
    <rPh sb="228" eb="229">
      <t>ブ</t>
    </rPh>
    <rPh sb="230" eb="231">
      <t>カカ</t>
    </rPh>
    <rPh sb="240" eb="242">
      <t>カイテイ</t>
    </rPh>
    <rPh sb="243" eb="245">
      <t>ケントウ</t>
    </rPh>
    <rPh sb="253" eb="256">
      <t>イインカイ</t>
    </rPh>
    <rPh sb="257" eb="259">
      <t>テンケン</t>
    </rPh>
    <rPh sb="259" eb="261">
      <t>チョウサ</t>
    </rPh>
    <rPh sb="261" eb="264">
      <t>イインカイ</t>
    </rPh>
    <rPh sb="265" eb="267">
      <t>レンケイ</t>
    </rPh>
    <rPh sb="269" eb="270">
      <t>ホン</t>
    </rPh>
    <rPh sb="276" eb="277">
      <t>カカ</t>
    </rPh>
    <rPh sb="283" eb="284">
      <t>モト</t>
    </rPh>
    <rPh sb="287" eb="289">
      <t>ジュギョウ</t>
    </rPh>
    <rPh sb="289" eb="291">
      <t>カイゼン</t>
    </rPh>
    <rPh sb="291" eb="292">
      <t>トウ</t>
    </rPh>
    <rPh sb="293" eb="294">
      <t>ウナガ</t>
    </rPh>
    <rPh sb="296" eb="299">
      <t>ゼンガクテキ</t>
    </rPh>
    <rPh sb="300" eb="302">
      <t>スウリ</t>
    </rPh>
    <rPh sb="314" eb="316">
      <t>キョウイク</t>
    </rPh>
    <rPh sb="317" eb="319">
      <t>シエン</t>
    </rPh>
    <phoneticPr fontId="1"/>
  </si>
  <si>
    <t>各年度の履修者数の目標を以下のとおりとする。（（　）内は履修率。）
令和3年度　  330名（5％）
令和4年度　  660名（10％）
令和5年度　  990名（15％）
令和6年度　1,320名（20％）
令和7年度　1,650名（25％）
目標を実現するために、令和3年度より、科目担当教員のオフィスアワー（週に2時間以上設定）を利用し、授業時間外での学修指導、質問を受付ける仕組みや、eラーニングシステム（Blackboard@tamagawa）による24時間の学びの確保、ラーニング・コモンズにおいて専門学修スタッフが常駐することによる自修環境の提供を実施している。
また、本学学術研究所先端知能・ロボット研究センター主催の講習会を実施し、学生のプログラム履修をサポートしている。
プログラムの一部を全学履修の必修科目「一年次セミナー101、102」である初年次教育で実施することで、プログラムの履修率の大幅な向上を図る。</t>
    <rPh sb="0" eb="3">
      <t>カクネンド</t>
    </rPh>
    <rPh sb="4" eb="8">
      <t>リシュウシャスウ</t>
    </rPh>
    <rPh sb="9" eb="11">
      <t>モクヒョウ</t>
    </rPh>
    <rPh sb="12" eb="14">
      <t>イカ</t>
    </rPh>
    <rPh sb="26" eb="27">
      <t>ナイ</t>
    </rPh>
    <rPh sb="28" eb="31">
      <t>リシュウリツ</t>
    </rPh>
    <rPh sb="34" eb="36">
      <t>レイワ</t>
    </rPh>
    <rPh sb="37" eb="39">
      <t>ネンド</t>
    </rPh>
    <rPh sb="45" eb="46">
      <t>メイ</t>
    </rPh>
    <rPh sb="124" eb="126">
      <t>モクヒョウ</t>
    </rPh>
    <rPh sb="127" eb="129">
      <t>ジツゲン</t>
    </rPh>
    <rPh sb="135" eb="137">
      <t>レイワ</t>
    </rPh>
    <rPh sb="138" eb="140">
      <t>ネンド</t>
    </rPh>
    <rPh sb="143" eb="145">
      <t>カモク</t>
    </rPh>
    <rPh sb="145" eb="149">
      <t>タントウキョウイン</t>
    </rPh>
    <rPh sb="158" eb="159">
      <t>シュウ</t>
    </rPh>
    <rPh sb="161" eb="165">
      <t>ジカンイジョウ</t>
    </rPh>
    <rPh sb="165" eb="167">
      <t>セッテイ</t>
    </rPh>
    <rPh sb="169" eb="171">
      <t>リヨウ</t>
    </rPh>
    <rPh sb="173" eb="178">
      <t>ジュギョウジカンガイ</t>
    </rPh>
    <rPh sb="185" eb="187">
      <t>シツモン</t>
    </rPh>
    <rPh sb="188" eb="190">
      <t>ウケツ</t>
    </rPh>
    <rPh sb="192" eb="194">
      <t>シク</t>
    </rPh>
    <rPh sb="233" eb="235">
      <t>ジカン</t>
    </rPh>
    <rPh sb="236" eb="237">
      <t>マナ</t>
    </rPh>
    <rPh sb="239" eb="241">
      <t>カクホ</t>
    </rPh>
    <rPh sb="256" eb="260">
      <t>センモンガクシュウ</t>
    </rPh>
    <rPh sb="265" eb="267">
      <t>ジョウチュウ</t>
    </rPh>
    <rPh sb="274" eb="276">
      <t>ジシュウ</t>
    </rPh>
    <rPh sb="276" eb="278">
      <t>カンキョウ</t>
    </rPh>
    <rPh sb="279" eb="281">
      <t>テイキョウ</t>
    </rPh>
    <rPh sb="282" eb="284">
      <t>ジッシ</t>
    </rPh>
    <rPh sb="293" eb="295">
      <t>ホンガク</t>
    </rPh>
    <rPh sb="295" eb="297">
      <t>ガクジュツ</t>
    </rPh>
    <rPh sb="297" eb="299">
      <t>ケンキュウ</t>
    </rPh>
    <rPh sb="299" eb="300">
      <t>ジョ</t>
    </rPh>
    <rPh sb="300" eb="304">
      <t>センタンチノウ</t>
    </rPh>
    <rPh sb="309" eb="311">
      <t>ケンキュウ</t>
    </rPh>
    <rPh sb="315" eb="317">
      <t>シュサイ</t>
    </rPh>
    <rPh sb="318" eb="321">
      <t>コウシュウカイ</t>
    </rPh>
    <rPh sb="322" eb="324">
      <t>ジッシ</t>
    </rPh>
    <rPh sb="326" eb="328">
      <t>ガクセイ</t>
    </rPh>
    <rPh sb="334" eb="336">
      <t>リシュウ</t>
    </rPh>
    <rPh sb="353" eb="355">
      <t>イチブ</t>
    </rPh>
    <rPh sb="356" eb="360">
      <t>ゼンガクリシュウ</t>
    </rPh>
    <rPh sb="361" eb="363">
      <t>ヒッシュウ</t>
    </rPh>
    <rPh sb="363" eb="365">
      <t>カモク</t>
    </rPh>
    <rPh sb="366" eb="369">
      <t>イチネンジ</t>
    </rPh>
    <rPh sb="384" eb="389">
      <t>ショネンジキョウイク</t>
    </rPh>
    <rPh sb="390" eb="392">
      <t>ジッシ</t>
    </rPh>
    <rPh sb="404" eb="407">
      <t>リシュウリツ</t>
    </rPh>
    <rPh sb="408" eb="410">
      <t>オオハバ</t>
    </rPh>
    <rPh sb="411" eb="413">
      <t>コウジョウ</t>
    </rPh>
    <rPh sb="414" eb="415">
      <t>ハカ</t>
    </rPh>
    <phoneticPr fontId="1"/>
  </si>
  <si>
    <t xml:space="preserve">現在、他者への推奨度に関するアンケート等は実施していないため、令和3年度より本プログラム受講者に対するアンケートを実施し、他の学生への推奨度を確認する。今後のアンケート実施については、玉川学園教育研究活動等点検調査委員会大学分科会教務部会において検討し、準備を進める。
</t>
    <rPh sb="0" eb="2">
      <t>ゲンザイ</t>
    </rPh>
    <rPh sb="3" eb="5">
      <t>タシャ</t>
    </rPh>
    <rPh sb="7" eb="9">
      <t>スイショウ</t>
    </rPh>
    <rPh sb="9" eb="10">
      <t>ド</t>
    </rPh>
    <rPh sb="11" eb="12">
      <t>カン</t>
    </rPh>
    <rPh sb="19" eb="20">
      <t>トウ</t>
    </rPh>
    <rPh sb="21" eb="23">
      <t>ジッシ</t>
    </rPh>
    <rPh sb="31" eb="33">
      <t>レイワ</t>
    </rPh>
    <rPh sb="34" eb="36">
      <t>ネンド</t>
    </rPh>
    <rPh sb="38" eb="39">
      <t>ホン</t>
    </rPh>
    <rPh sb="44" eb="47">
      <t>ジュコウシャ</t>
    </rPh>
    <rPh sb="48" eb="49">
      <t>タイ</t>
    </rPh>
    <rPh sb="57" eb="59">
      <t>ジッシ</t>
    </rPh>
    <rPh sb="61" eb="62">
      <t>タ</t>
    </rPh>
    <rPh sb="63" eb="65">
      <t>ガクセイ</t>
    </rPh>
    <rPh sb="67" eb="69">
      <t>スイショウ</t>
    </rPh>
    <rPh sb="69" eb="70">
      <t>ド</t>
    </rPh>
    <rPh sb="71" eb="73">
      <t>カクニン</t>
    </rPh>
    <rPh sb="76" eb="78">
      <t>コンゴ</t>
    </rPh>
    <rPh sb="84" eb="86">
      <t>ジッシ</t>
    </rPh>
    <rPh sb="92" eb="94">
      <t>タマガワ</t>
    </rPh>
    <rPh sb="123" eb="125">
      <t>ケントウ</t>
    </rPh>
    <rPh sb="127" eb="129">
      <t>ジュンビ</t>
    </rPh>
    <rPh sb="130" eb="131">
      <t>スス</t>
    </rPh>
    <phoneticPr fontId="1"/>
  </si>
  <si>
    <t>中村　好雄　　 教学部長（委員長）
中嶋　真美　　 文学部教務主任（委員）
南　佳典　　　  農学部教務主任（委員）
山﨑　浩一　   工学部教務主任（委員）
永井　一志　   経営学部教務主任（委員）
杉山　倫也　   教育学部教務主任（委員）
藤枝　由美子  芸術学部教務主任（委員）
小山　雄一郎  リベラルアーツ学部教務主任（委員）
家長　千恵子  観光学部教務主任（委員）
伊従　記章　   教学部事務部長（委員）
山崎　千鶴　   教学部事務次長（事務担当）
光森　多佳子  教学部教務課長（事務担当）
島田　健二　   教学部授業運営課長（事務担当）
髙野　修司　   教師教育リサーチセンター教職課程支援室課長（事務担当）
五十嵐　麻子  ELFセンター課長（事務担当）</t>
    <rPh sb="13" eb="16">
      <t>イインチョウ</t>
    </rPh>
    <rPh sb="34" eb="36">
      <t>イイン</t>
    </rPh>
    <rPh sb="171" eb="173">
      <t>イエナガ</t>
    </rPh>
    <rPh sb="174" eb="177">
      <t>チエコ</t>
    </rPh>
    <rPh sb="230" eb="232">
      <t>ジム</t>
    </rPh>
    <rPh sb="232" eb="234">
      <t>タントウ</t>
    </rPh>
    <phoneticPr fontId="1"/>
  </si>
  <si>
    <t>卒業生の就職状況はキャリアセンターの専任職員によって追跡的に調査を行っている。また、卒業時のゼミ指導教員を通じて適宜、状況の調査を行っており、本教育プログラムを修了した卒業生の進路先や活躍状況の把握が可能である。
また、本学の教育プログラムであるインターンシップの機会を活かし、企業の実務者からの意見を聞くとともに、本教育プログラムを修了した卒業生の採用状況や企業での評価を把握する仕組みを有している。</t>
    <rPh sb="80" eb="82">
      <t>シュウリョウ</t>
    </rPh>
    <phoneticPr fontId="1"/>
  </si>
  <si>
    <t>工学分野その3：講義（8）、工学分野のリフレクション＆グループワーク（9）</t>
    <rPh sb="8" eb="10">
      <t>コウギ</t>
    </rPh>
    <rPh sb="14" eb="16">
      <t>コウガク</t>
    </rPh>
    <rPh sb="16" eb="18">
      <t>ブンヤ</t>
    </rPh>
    <phoneticPr fontId="1"/>
  </si>
  <si>
    <t>eラーニングシステムにより、授業資料の掲示から課題の管理、履修者間でのコミュニケーションや担当教員との質疑など、対面授業の補完機能だけでなく、インターネットを通じて配信される教材や資料で、キャンパスから、あるいは自宅から、24時間いつでも学ぶ環境が整っている。
各教員に義務化されているオフィスアワーやラーニング・コモンズを利用した学修支援システムが用意されている。ラーニング・コモンズは全学生が利用できる学修空間であり、授業の課題や各自の主体的な取組など、仲間と話し合いながら学修することができる、学び合いの場である。専門の学修支援スタッフが常駐しており疑問点などはその場で解決できる。</t>
    <rPh sb="263" eb="265">
      <t>ガクシュウ</t>
    </rPh>
    <phoneticPr fontId="1"/>
  </si>
  <si>
    <t>https://aibot.jp/ai-literacy/</t>
    <phoneticPr fontId="1"/>
  </si>
  <si>
    <t>有</t>
  </si>
  <si>
    <t>学校法人　玉川学園</t>
    <rPh sb="0" eb="2">
      <t>ガッコウ</t>
    </rPh>
    <rPh sb="2" eb="4">
      <t>ホウジン</t>
    </rPh>
    <rPh sb="5" eb="7">
      <t>タマガワ</t>
    </rPh>
    <rPh sb="7" eb="9">
      <t>ガクエン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</si>
</sst>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8"/>
      <color rgb="FFFF0000"/>
      <name val="ＭＳ Ｐゴシック"/>
      <family val="3"/>
      <charset val="128"/>
      <scheme val="minor"/>
    </font>
    <font>
      <b/>
      <sz val="12"/>
      <color rgb="FF0000FF"/>
      <name val="ＭＳ Ｐゴシック"/>
      <family val="3"/>
      <charset val="128"/>
      <scheme val="minor"/>
    </font>
    <font>
      <sz val="12"/>
      <color rgb="FF0000FF"/>
      <name val="ＭＳ Ｐゴシック"/>
      <family val="2"/>
      <charset val="128"/>
      <scheme val="minor"/>
    </font>
    <font>
      <sz val="7"/>
      <color rgb="FFFF0000"/>
      <name val="ＭＳ Ｐゴシック"/>
      <family val="3"/>
      <charset val="128"/>
      <scheme val="minor"/>
    </font>
    <font>
      <sz val="9"/>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11"/>
      <name val="ＭＳ Ｐゴシック"/>
      <family val="3"/>
      <charset val="128"/>
      <scheme val="minor"/>
    </font>
    <font>
      <sz val="9"/>
      <name val="ＭＳ Ｐゴシック"/>
      <family val="2"/>
      <charset val="128"/>
      <scheme val="minor"/>
    </font>
    <font>
      <u/>
      <sz val="11"/>
      <name val="ＭＳ Ｐゴシック"/>
      <family val="2"/>
      <charset val="128"/>
      <scheme val="minor"/>
    </font>
  </fonts>
  <fills count="3">
    <fill>
      <patternFill patternType="none"/>
    </fill>
    <fill>
      <patternFill patternType="gray125"/>
    </fill>
    <fill>
      <patternFill patternType="solid">
        <fgColor theme="0"/>
        <bgColor indexed="64"/>
      </patternFill>
    </fill>
  </fills>
  <borders count="4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0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4" fillId="0" borderId="0" xfId="0" applyFont="1" applyBorder="1" applyAlignment="1">
      <alignment vertical="top" shrinkToFit="1"/>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9" fillId="0" borderId="0" xfId="0" applyFont="1">
      <alignment vertical="center"/>
    </xf>
    <xf numFmtId="0" fontId="8" fillId="0" borderId="0" xfId="0" applyFont="1" applyBorder="1" applyAlignment="1">
      <alignment vertical="center" shrinkToFit="1"/>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0" xfId="0" applyFont="1" applyBorder="1">
      <alignment vertical="center"/>
    </xf>
    <xf numFmtId="176" fontId="8" fillId="0" borderId="0" xfId="0" applyNumberFormat="1" applyFont="1" applyAlignment="1">
      <alignment horizontal="left" vertical="center" wrapText="1"/>
    </xf>
    <xf numFmtId="0" fontId="8" fillId="0" borderId="0" xfId="0" applyFont="1" applyAlignment="1">
      <alignment horizontal="right" vertical="center"/>
    </xf>
    <xf numFmtId="0" fontId="8" fillId="0" borderId="6" xfId="0" applyFont="1" applyBorder="1" applyAlignment="1">
      <alignment vertical="center" shrinkToFit="1"/>
    </xf>
    <xf numFmtId="0" fontId="8" fillId="0" borderId="0" xfId="0" applyFont="1" applyBorder="1" applyAlignment="1">
      <alignment vertical="center" shrinkToFit="1"/>
    </xf>
    <xf numFmtId="0" fontId="4" fillId="0" borderId="21" xfId="0" applyFont="1" applyBorder="1" applyAlignment="1">
      <alignment vertical="top" wrapText="1"/>
    </xf>
    <xf numFmtId="0" fontId="3" fillId="0" borderId="0" xfId="0" applyFont="1" applyAlignment="1">
      <alignment vertical="center" wrapText="1"/>
    </xf>
    <xf numFmtId="0" fontId="8" fillId="0" borderId="1" xfId="0" applyFont="1" applyBorder="1" applyAlignment="1">
      <alignment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2" fillId="0" borderId="0" xfId="0" applyFont="1" applyAlignment="1">
      <alignment horizontal="center" vertical="center"/>
    </xf>
    <xf numFmtId="0" fontId="10" fillId="0" borderId="0" xfId="0" applyFont="1">
      <alignment vertical="center"/>
    </xf>
    <xf numFmtId="0" fontId="12" fillId="0" borderId="21" xfId="0" applyFont="1" applyBorder="1" applyAlignment="1">
      <alignment vertical="top" shrinkToFit="1"/>
    </xf>
    <xf numFmtId="0" fontId="12" fillId="0" borderId="19" xfId="0" applyFont="1" applyBorder="1" applyAlignment="1">
      <alignment vertical="top" shrinkToFit="1"/>
    </xf>
    <xf numFmtId="0" fontId="12" fillId="0" borderId="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3" fillId="0" borderId="0" xfId="2" applyNumberFormat="1" applyFont="1" applyBorder="1" applyAlignment="1">
      <alignment vertical="center" shrinkToFit="1"/>
    </xf>
    <xf numFmtId="0" fontId="11" fillId="0" borderId="2" xfId="0" applyFont="1" applyBorder="1" applyAlignment="1">
      <alignment vertical="center" shrinkToFit="1"/>
    </xf>
    <xf numFmtId="0" fontId="2" fillId="0" borderId="2" xfId="0" applyFont="1" applyBorder="1" applyAlignment="1">
      <alignment vertical="center" shrinkToFit="1"/>
    </xf>
    <xf numFmtId="0" fontId="10" fillId="0" borderId="2" xfId="0" applyFont="1" applyBorder="1" applyAlignment="1">
      <alignment vertical="center" shrinkToFit="1"/>
    </xf>
    <xf numFmtId="0" fontId="15" fillId="0" borderId="0" xfId="0" applyFont="1" applyBorder="1" applyAlignment="1">
      <alignment horizontal="left" vertical="center" shrinkToFit="1"/>
    </xf>
    <xf numFmtId="0" fontId="2" fillId="0" borderId="0" xfId="0" applyFont="1" applyAlignment="1">
      <alignment horizontal="right" vertical="center"/>
    </xf>
    <xf numFmtId="0" fontId="4" fillId="0" borderId="0" xfId="0" applyFont="1" applyAlignment="1">
      <alignment vertical="top" wrapText="1"/>
    </xf>
    <xf numFmtId="0" fontId="5" fillId="0" borderId="0" xfId="0" applyFont="1" applyAlignment="1">
      <alignment vertical="top" wrapText="1"/>
    </xf>
    <xf numFmtId="0" fontId="16" fillId="2" borderId="0" xfId="0" applyFont="1" applyFill="1">
      <alignment vertical="center"/>
    </xf>
    <xf numFmtId="0" fontId="2" fillId="2" borderId="0" xfId="0" applyFont="1" applyFill="1">
      <alignment vertical="center"/>
    </xf>
    <xf numFmtId="0" fontId="8" fillId="0" borderId="0" xfId="0" applyFont="1" applyBorder="1" applyAlignment="1">
      <alignment horizontal="center" vertical="center"/>
    </xf>
    <xf numFmtId="0" fontId="9" fillId="0" borderId="0" xfId="0" applyFont="1" applyAlignment="1">
      <alignment horizontal="right" vertical="center"/>
    </xf>
    <xf numFmtId="0" fontId="8" fillId="0" borderId="0" xfId="0" applyFont="1" applyAlignment="1">
      <alignment horizontal="center" vertical="center"/>
    </xf>
    <xf numFmtId="0" fontId="8" fillId="0" borderId="0" xfId="0" applyFont="1" applyBorder="1" applyAlignment="1">
      <alignment vertical="center" shrinkToFit="1"/>
    </xf>
    <xf numFmtId="0" fontId="8" fillId="0" borderId="2" xfId="0" applyFont="1" applyBorder="1" applyAlignment="1">
      <alignment vertical="center" shrinkToFit="1"/>
    </xf>
    <xf numFmtId="0" fontId="8" fillId="0" borderId="10" xfId="0" applyFont="1" applyBorder="1" applyAlignment="1">
      <alignment vertical="center" shrinkToFit="1"/>
    </xf>
    <xf numFmtId="0" fontId="9" fillId="2" borderId="0" xfId="0" applyFont="1" applyFill="1">
      <alignment vertical="center"/>
    </xf>
    <xf numFmtId="0" fontId="8" fillId="2" borderId="5" xfId="0" applyFont="1" applyFill="1" applyBorder="1">
      <alignment vertical="center"/>
    </xf>
    <xf numFmtId="176" fontId="8" fillId="2" borderId="0" xfId="0" applyNumberFormat="1" applyFont="1" applyFill="1" applyBorder="1" applyAlignment="1">
      <alignment vertical="center" wrapText="1"/>
    </xf>
    <xf numFmtId="0" fontId="8" fillId="2" borderId="0" xfId="0" applyFont="1" applyFill="1" applyBorder="1">
      <alignment vertical="center"/>
    </xf>
    <xf numFmtId="0" fontId="18" fillId="2" borderId="0" xfId="0" applyFont="1" applyFill="1" applyBorder="1" applyAlignment="1">
      <alignment vertical="center" wrapText="1"/>
    </xf>
    <xf numFmtId="176" fontId="8" fillId="2" borderId="5" xfId="0" applyNumberFormat="1" applyFont="1" applyFill="1" applyBorder="1" applyAlignment="1">
      <alignment vertical="center"/>
    </xf>
    <xf numFmtId="176" fontId="8" fillId="2" borderId="0" xfId="0" applyNumberFormat="1" applyFont="1" applyFill="1" applyBorder="1">
      <alignment vertical="center"/>
    </xf>
    <xf numFmtId="0" fontId="8" fillId="2" borderId="0" xfId="0" applyFont="1" applyFill="1" applyBorder="1" applyAlignment="1">
      <alignment horizontal="center" vertical="center"/>
    </xf>
    <xf numFmtId="176" fontId="8" fillId="2" borderId="0" xfId="0" applyNumberFormat="1" applyFont="1" applyFill="1" applyAlignment="1">
      <alignment vertical="center" wrapText="1"/>
    </xf>
    <xf numFmtId="0" fontId="8" fillId="2" borderId="0" xfId="0" applyFont="1" applyFill="1" applyAlignment="1">
      <alignment horizontal="center" vertical="center"/>
    </xf>
    <xf numFmtId="0" fontId="8" fillId="2" borderId="0" xfId="0" applyFont="1" applyFill="1" applyBorder="1" applyAlignment="1">
      <alignment vertical="center"/>
    </xf>
    <xf numFmtId="0" fontId="8" fillId="2" borderId="0" xfId="0" applyFont="1" applyFill="1">
      <alignment vertical="center"/>
    </xf>
    <xf numFmtId="176" fontId="8" fillId="2" borderId="3" xfId="0" applyNumberFormat="1" applyFont="1" applyFill="1" applyBorder="1" applyAlignment="1">
      <alignment vertical="center" shrinkToFit="1"/>
    </xf>
    <xf numFmtId="176" fontId="8" fillId="2" borderId="0" xfId="0" applyNumberFormat="1" applyFont="1" applyFill="1" applyAlignment="1">
      <alignment horizontal="left" vertical="center" wrapText="1"/>
    </xf>
    <xf numFmtId="0" fontId="8" fillId="2" borderId="0" xfId="0" applyFont="1" applyFill="1" applyAlignment="1">
      <alignment vertical="center"/>
    </xf>
    <xf numFmtId="0" fontId="8" fillId="2" borderId="0" xfId="0" applyFont="1" applyFill="1" applyBorder="1" applyAlignment="1">
      <alignment vertical="center" shrinkToFit="1"/>
    </xf>
    <xf numFmtId="0" fontId="8" fillId="2" borderId="6" xfId="0" applyFont="1" applyFill="1" applyBorder="1" applyAlignment="1">
      <alignment vertical="center" shrinkToFit="1"/>
    </xf>
    <xf numFmtId="0" fontId="8" fillId="2" borderId="0" xfId="0" applyFont="1" applyFill="1" applyBorder="1" applyAlignment="1">
      <alignment horizontal="center" vertical="center" shrinkToFit="1"/>
    </xf>
    <xf numFmtId="0" fontId="8" fillId="2" borderId="10" xfId="0" applyFont="1" applyFill="1" applyBorder="1" applyAlignment="1">
      <alignment vertical="center" shrinkToFit="1"/>
    </xf>
    <xf numFmtId="0" fontId="8" fillId="2" borderId="1" xfId="0" applyFont="1" applyFill="1" applyBorder="1">
      <alignment vertical="center"/>
    </xf>
    <xf numFmtId="0" fontId="8" fillId="2" borderId="2" xfId="0" applyFont="1" applyFill="1" applyBorder="1">
      <alignment vertical="center"/>
    </xf>
    <xf numFmtId="0" fontId="8" fillId="2" borderId="4" xfId="0" applyFont="1" applyFill="1" applyBorder="1">
      <alignment vertical="center"/>
    </xf>
    <xf numFmtId="0" fontId="8" fillId="2" borderId="0" xfId="0" applyFont="1" applyFill="1" applyAlignment="1">
      <alignment vertical="center" shrinkToFit="1"/>
    </xf>
    <xf numFmtId="0" fontId="22" fillId="2" borderId="0" xfId="0" applyFont="1" applyFill="1">
      <alignment vertical="center"/>
    </xf>
    <xf numFmtId="0" fontId="21" fillId="2" borderId="11" xfId="0" applyFont="1" applyFill="1" applyBorder="1" applyAlignment="1">
      <alignment horizontal="center" vertical="center"/>
    </xf>
    <xf numFmtId="0" fontId="21" fillId="2" borderId="28" xfId="0" applyFont="1" applyFill="1" applyBorder="1" applyAlignment="1">
      <alignment horizontal="center" vertical="center" wrapText="1"/>
    </xf>
    <xf numFmtId="0" fontId="21" fillId="2" borderId="29" xfId="0" applyFont="1" applyFill="1" applyBorder="1" applyAlignment="1">
      <alignment horizontal="center" vertical="center"/>
    </xf>
    <xf numFmtId="0" fontId="21" fillId="2" borderId="12" xfId="0" applyFont="1" applyFill="1" applyBorder="1" applyAlignment="1">
      <alignment horizontal="center" vertical="center" wrapText="1"/>
    </xf>
    <xf numFmtId="176" fontId="8" fillId="2" borderId="5" xfId="0" applyNumberFormat="1" applyFont="1" applyFill="1" applyBorder="1" applyAlignment="1">
      <alignment vertical="center" shrinkToFit="1"/>
    </xf>
    <xf numFmtId="176" fontId="8" fillId="2" borderId="30" xfId="0" applyNumberFormat="1" applyFont="1" applyFill="1" applyBorder="1" applyAlignment="1">
      <alignment vertical="center" shrinkToFit="1"/>
    </xf>
    <xf numFmtId="176" fontId="8" fillId="2" borderId="31" xfId="0" applyNumberFormat="1" applyFont="1" applyFill="1" applyBorder="1" applyAlignment="1">
      <alignment vertical="center" shrinkToFit="1"/>
    </xf>
    <xf numFmtId="176" fontId="8" fillId="2" borderId="10" xfId="0" applyNumberFormat="1" applyFont="1" applyFill="1" applyBorder="1" applyAlignment="1">
      <alignment vertical="center" shrinkToFit="1"/>
    </xf>
    <xf numFmtId="176" fontId="8" fillId="2" borderId="14" xfId="0" applyNumberFormat="1" applyFont="1" applyFill="1" applyBorder="1" applyAlignment="1">
      <alignment vertical="center" shrinkToFit="1"/>
    </xf>
    <xf numFmtId="9" fontId="8" fillId="2" borderId="10" xfId="0" applyNumberFormat="1" applyFont="1" applyFill="1" applyBorder="1" applyAlignment="1">
      <alignment vertical="center" shrinkToFit="1"/>
    </xf>
    <xf numFmtId="176" fontId="8" fillId="2" borderId="20" xfId="0" applyNumberFormat="1" applyFont="1" applyFill="1" applyBorder="1" applyAlignment="1">
      <alignment vertical="center" shrinkToFit="1"/>
    </xf>
    <xf numFmtId="176" fontId="8" fillId="2" borderId="32" xfId="0" applyNumberFormat="1" applyFont="1" applyFill="1" applyBorder="1" applyAlignment="1">
      <alignment vertical="center" shrinkToFit="1"/>
    </xf>
    <xf numFmtId="176" fontId="8" fillId="2" borderId="33" xfId="0" applyNumberFormat="1" applyFont="1" applyFill="1" applyBorder="1" applyAlignment="1">
      <alignment vertical="center" shrinkToFit="1"/>
    </xf>
    <xf numFmtId="176" fontId="8" fillId="2" borderId="19" xfId="0" applyNumberFormat="1" applyFont="1" applyFill="1" applyBorder="1" applyAlignment="1">
      <alignment vertical="center" shrinkToFit="1"/>
    </xf>
    <xf numFmtId="176" fontId="8" fillId="2" borderId="22" xfId="0" applyNumberFormat="1" applyFont="1" applyFill="1" applyBorder="1" applyAlignment="1">
      <alignment vertical="center" shrinkToFit="1"/>
    </xf>
    <xf numFmtId="176" fontId="8" fillId="2" borderId="23" xfId="0" applyNumberFormat="1" applyFont="1" applyFill="1" applyBorder="1" applyAlignment="1">
      <alignment vertical="center" shrinkToFit="1"/>
    </xf>
    <xf numFmtId="176" fontId="8" fillId="2" borderId="24" xfId="0" applyNumberFormat="1" applyFont="1" applyFill="1" applyBorder="1" applyAlignment="1">
      <alignment vertical="center" shrinkToFit="1"/>
    </xf>
    <xf numFmtId="176" fontId="8" fillId="2" borderId="34" xfId="0" applyNumberFormat="1" applyFont="1" applyFill="1" applyBorder="1" applyAlignment="1">
      <alignment vertical="center" shrinkToFit="1"/>
    </xf>
    <xf numFmtId="176" fontId="8" fillId="2" borderId="35" xfId="0" applyNumberFormat="1" applyFont="1" applyFill="1" applyBorder="1" applyAlignment="1">
      <alignment vertical="center" shrinkToFit="1"/>
    </xf>
    <xf numFmtId="176" fontId="8" fillId="2" borderId="26" xfId="0" applyNumberFormat="1" applyFont="1" applyFill="1" applyBorder="1" applyAlignment="1">
      <alignment vertical="center" shrinkToFit="1"/>
    </xf>
    <xf numFmtId="176" fontId="8" fillId="2" borderId="27" xfId="0" applyNumberFormat="1" applyFont="1" applyFill="1" applyBorder="1" applyAlignment="1">
      <alignment vertical="center" shrinkToFit="1"/>
    </xf>
    <xf numFmtId="9" fontId="8" fillId="2" borderId="26" xfId="0" applyNumberFormat="1" applyFont="1" applyFill="1" applyBorder="1" applyAlignment="1">
      <alignment vertical="center" shrinkToFit="1"/>
    </xf>
    <xf numFmtId="176" fontId="18" fillId="2" borderId="0" xfId="0" applyNumberFormat="1" applyFont="1" applyFill="1" applyBorder="1" applyAlignment="1">
      <alignment vertical="center" shrinkToFit="1"/>
    </xf>
    <xf numFmtId="0" fontId="8" fillId="0" borderId="11" xfId="0" applyFont="1" applyBorder="1" applyAlignment="1">
      <alignment horizontal="center" vertical="center"/>
    </xf>
    <xf numFmtId="0" fontId="18" fillId="2" borderId="0" xfId="0" applyFont="1" applyFill="1" applyAlignment="1">
      <alignment horizontal="center" vertical="center"/>
    </xf>
    <xf numFmtId="0" fontId="23" fillId="2" borderId="0" xfId="0" applyFont="1" applyFill="1">
      <alignment vertical="center"/>
    </xf>
    <xf numFmtId="0" fontId="9" fillId="2" borderId="0" xfId="0" applyFont="1" applyFill="1" applyAlignment="1">
      <alignment horizontal="right" vertical="center"/>
    </xf>
    <xf numFmtId="0" fontId="8" fillId="2" borderId="0" xfId="0" applyFont="1" applyFill="1" applyBorder="1" applyAlignment="1">
      <alignment vertical="top" wrapText="1"/>
    </xf>
    <xf numFmtId="0" fontId="8" fillId="2" borderId="0" xfId="0" applyFont="1" applyFill="1" applyBorder="1" applyAlignment="1">
      <alignment vertical="center" wrapText="1"/>
    </xf>
    <xf numFmtId="0" fontId="18" fillId="2" borderId="0" xfId="0" applyFont="1" applyFill="1" applyBorder="1" applyAlignment="1">
      <alignment vertical="top" wrapText="1"/>
    </xf>
    <xf numFmtId="0" fontId="3" fillId="2" borderId="0" xfId="0" applyFont="1" applyFill="1" applyAlignment="1">
      <alignment vertical="center" wrapText="1"/>
    </xf>
    <xf numFmtId="0" fontId="9" fillId="2" borderId="1" xfId="0" applyFont="1" applyFill="1" applyBorder="1" applyAlignment="1">
      <alignment vertical="center" wrapText="1"/>
    </xf>
    <xf numFmtId="0" fontId="12" fillId="0" borderId="6" xfId="0" applyFont="1" applyBorder="1" applyAlignment="1">
      <alignment vertical="center" shrinkToFit="1"/>
    </xf>
    <xf numFmtId="0" fontId="4" fillId="0" borderId="40" xfId="0" applyFont="1" applyBorder="1" applyAlignment="1">
      <alignment vertical="top" wrapText="1"/>
    </xf>
    <xf numFmtId="0" fontId="8" fillId="0" borderId="2" xfId="0" applyFont="1" applyBorder="1" applyAlignment="1">
      <alignment horizontal="center" vertical="center" shrinkToFit="1"/>
    </xf>
    <xf numFmtId="0" fontId="8" fillId="0" borderId="2" xfId="0" applyFont="1" applyBorder="1" applyAlignment="1">
      <alignment vertical="center" shrinkToFit="1"/>
    </xf>
    <xf numFmtId="0" fontId="10" fillId="0" borderId="2" xfId="0" applyFont="1" applyBorder="1" applyAlignment="1">
      <alignment horizontal="center" vertical="center" shrinkToFit="1"/>
    </xf>
    <xf numFmtId="0" fontId="8" fillId="0" borderId="0" xfId="0" applyFont="1" applyBorder="1" applyAlignment="1">
      <alignment vertical="center" wrapText="1" shrinkToFit="1"/>
    </xf>
    <xf numFmtId="0" fontId="14" fillId="0" borderId="0" xfId="0" applyFont="1" applyBorder="1" applyAlignment="1">
      <alignment vertical="center" shrinkToFit="1"/>
    </xf>
    <xf numFmtId="0" fontId="17" fillId="0" borderId="0" xfId="0" applyFont="1" applyBorder="1" applyAlignment="1">
      <alignment vertical="center" shrinkToFit="1"/>
    </xf>
    <xf numFmtId="0" fontId="14" fillId="0" borderId="0" xfId="0" applyFont="1" applyBorder="1">
      <alignment vertical="center"/>
    </xf>
    <xf numFmtId="49" fontId="19" fillId="2" borderId="2" xfId="2" applyNumberFormat="1" applyFont="1" applyFill="1" applyBorder="1" applyAlignment="1">
      <alignment vertical="center" shrinkToFit="1"/>
    </xf>
    <xf numFmtId="49" fontId="8" fillId="2" borderId="3" xfId="0" applyNumberFormat="1" applyFont="1" applyFill="1" applyBorder="1" applyAlignment="1">
      <alignment vertical="center" shrinkToFit="1"/>
    </xf>
    <xf numFmtId="49" fontId="8" fillId="2" borderId="4" xfId="0" applyNumberFormat="1" applyFont="1" applyFill="1" applyBorder="1" applyAlignment="1">
      <alignment vertical="center" shrinkToFit="1"/>
    </xf>
    <xf numFmtId="49" fontId="8" fillId="2" borderId="2" xfId="1" applyNumberFormat="1" applyFont="1" applyFill="1" applyBorder="1" applyAlignment="1">
      <alignment horizontal="center" vertical="center" shrinkToFit="1"/>
    </xf>
    <xf numFmtId="49" fontId="8" fillId="2" borderId="3" xfId="1" applyNumberFormat="1" applyFont="1" applyFill="1" applyBorder="1" applyAlignment="1">
      <alignment horizontal="center" vertical="center" shrinkToFit="1"/>
    </xf>
    <xf numFmtId="49" fontId="8" fillId="2" borderId="4" xfId="1" applyNumberFormat="1" applyFont="1" applyFill="1" applyBorder="1" applyAlignment="1">
      <alignment horizontal="center" vertical="center" shrinkToFit="1"/>
    </xf>
    <xf numFmtId="0" fontId="8" fillId="2" borderId="0" xfId="0" applyFont="1" applyFill="1" applyBorder="1" applyAlignment="1">
      <alignment horizontal="center" vertical="center"/>
    </xf>
    <xf numFmtId="0" fontId="9" fillId="2" borderId="2" xfId="0" applyFont="1" applyFill="1" applyBorder="1" applyAlignment="1">
      <alignment horizontal="center" vertical="center" shrinkToFit="1"/>
    </xf>
    <xf numFmtId="0" fontId="8" fillId="2" borderId="3" xfId="0" applyFont="1" applyFill="1" applyBorder="1" applyAlignment="1">
      <alignment horizontal="center" vertical="center" shrinkToFit="1"/>
    </xf>
    <xf numFmtId="0" fontId="8" fillId="2" borderId="4" xfId="0" applyFont="1" applyFill="1" applyBorder="1" applyAlignment="1">
      <alignment horizontal="center" vertical="center" shrinkToFit="1"/>
    </xf>
    <xf numFmtId="176" fontId="8" fillId="2" borderId="2" xfId="0" applyNumberFormat="1" applyFont="1" applyFill="1" applyBorder="1" applyAlignment="1">
      <alignment horizontal="center" vertical="center" shrinkToFit="1"/>
    </xf>
    <xf numFmtId="176" fontId="8" fillId="2" borderId="4" xfId="0" applyNumberFormat="1" applyFont="1" applyFill="1" applyBorder="1" applyAlignment="1">
      <alignment horizontal="center" vertical="center" shrinkToFit="1"/>
    </xf>
    <xf numFmtId="0" fontId="8" fillId="2" borderId="2" xfId="0" applyFont="1" applyFill="1" applyBorder="1" applyAlignment="1">
      <alignment vertical="center" shrinkToFit="1"/>
    </xf>
    <xf numFmtId="0" fontId="8" fillId="2" borderId="3" xfId="0" applyFont="1" applyFill="1" applyBorder="1" applyAlignment="1">
      <alignment vertical="center" shrinkToFit="1"/>
    </xf>
    <xf numFmtId="0" fontId="8" fillId="2" borderId="0" xfId="0" applyFont="1" applyFill="1" applyBorder="1" applyAlignment="1">
      <alignment horizontal="right" vertical="center" shrinkToFit="1"/>
    </xf>
    <xf numFmtId="0" fontId="8" fillId="2" borderId="5" xfId="0" applyFont="1" applyFill="1" applyBorder="1" applyAlignment="1">
      <alignment horizontal="right" vertical="center" shrinkToFit="1"/>
    </xf>
    <xf numFmtId="0" fontId="8" fillId="2" borderId="10" xfId="0" applyFont="1" applyFill="1" applyBorder="1" applyAlignment="1">
      <alignment horizontal="right" vertical="center" shrinkToFit="1"/>
    </xf>
    <xf numFmtId="0" fontId="8" fillId="2" borderId="2" xfId="0" applyFont="1" applyFill="1" applyBorder="1" applyAlignment="1">
      <alignment horizontal="center" vertical="center" shrinkToFi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9" fillId="0" borderId="0" xfId="0" applyFont="1" applyAlignment="1">
      <alignment horizontal="right" vertical="center"/>
    </xf>
    <xf numFmtId="0" fontId="8" fillId="2" borderId="0" xfId="0" applyFont="1" applyFill="1" applyBorder="1" applyAlignment="1">
      <alignment horizontal="right" vertical="center"/>
    </xf>
    <xf numFmtId="0" fontId="8" fillId="2" borderId="10" xfId="0" applyFont="1" applyFill="1" applyBorder="1" applyAlignment="1">
      <alignment horizontal="right"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2" borderId="3" xfId="0" applyNumberFormat="1" applyFont="1" applyFill="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2" borderId="4" xfId="0" applyFont="1" applyFill="1" applyBorder="1" applyAlignment="1">
      <alignment vertical="center" shrinkToFit="1"/>
    </xf>
    <xf numFmtId="0" fontId="8" fillId="2" borderId="0" xfId="0" applyFont="1" applyFill="1" applyBorder="1" applyAlignment="1">
      <alignment vertical="center" shrinkToFit="1"/>
    </xf>
    <xf numFmtId="3" fontId="8" fillId="2" borderId="2" xfId="0" applyNumberFormat="1" applyFont="1" applyFill="1" applyBorder="1" applyAlignment="1">
      <alignment horizontal="center" vertical="center"/>
    </xf>
    <xf numFmtId="0" fontId="8" fillId="2" borderId="2" xfId="0" applyFont="1" applyFill="1" applyBorder="1" applyAlignment="1">
      <alignment horizontal="center" vertical="center" wrapText="1"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9" fillId="2" borderId="0" xfId="0" applyFont="1" applyFill="1" applyAlignment="1">
      <alignment horizontal="right" vertical="center"/>
    </xf>
    <xf numFmtId="0" fontId="20" fillId="2" borderId="7" xfId="0" applyFont="1" applyFill="1" applyBorder="1" applyAlignment="1">
      <alignment horizontal="center" vertical="center" wrapText="1"/>
    </xf>
    <xf numFmtId="0" fontId="20" fillId="2" borderId="11"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5" xfId="0" applyFont="1" applyFill="1" applyBorder="1" applyAlignment="1">
      <alignment horizontal="center" vertical="center"/>
    </xf>
    <xf numFmtId="0" fontId="8" fillId="2" borderId="36" xfId="0" applyFont="1" applyFill="1" applyBorder="1" applyAlignment="1">
      <alignment horizontal="center" vertical="center"/>
    </xf>
    <xf numFmtId="0" fontId="21" fillId="2" borderId="16" xfId="0" applyFont="1" applyFill="1" applyBorder="1" applyAlignment="1">
      <alignment horizontal="center" vertical="center" wrapText="1"/>
    </xf>
    <xf numFmtId="0" fontId="21" fillId="2" borderId="13" xfId="0" applyFont="1" applyFill="1" applyBorder="1" applyAlignment="1">
      <alignment horizontal="center" vertical="center"/>
    </xf>
    <xf numFmtId="0" fontId="20" fillId="2" borderId="9" xfId="0" applyFont="1" applyFill="1" applyBorder="1" applyAlignment="1">
      <alignment horizontal="center" vertical="center"/>
    </xf>
    <xf numFmtId="0" fontId="20" fillId="2" borderId="12" xfId="0" applyFont="1" applyFill="1" applyBorder="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horizontal="left" vertical="center" shrinkToFit="1"/>
    </xf>
    <xf numFmtId="0" fontId="8" fillId="2" borderId="24" xfId="0" applyFont="1" applyFill="1" applyBorder="1" applyAlignment="1">
      <alignment horizontal="center" vertical="center" shrinkToFit="1"/>
    </xf>
    <xf numFmtId="0" fontId="8" fillId="2" borderId="25" xfId="0" applyFont="1" applyFill="1" applyBorder="1" applyAlignment="1">
      <alignment horizontal="center" vertical="center" shrinkToFit="1"/>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20" xfId="0" applyFont="1" applyFill="1" applyBorder="1" applyAlignment="1">
      <alignment vertical="center" shrinkToFit="1"/>
    </xf>
    <xf numFmtId="0" fontId="8" fillId="2" borderId="19" xfId="0" applyFont="1" applyFill="1" applyBorder="1" applyAlignment="1">
      <alignment vertical="center" shrinkToFit="1"/>
    </xf>
    <xf numFmtId="0" fontId="8" fillId="2" borderId="37" xfId="0" applyFont="1" applyFill="1" applyBorder="1" applyAlignment="1">
      <alignment vertical="center" shrinkToFit="1"/>
    </xf>
    <xf numFmtId="0" fontId="8" fillId="2" borderId="38" xfId="0" applyFont="1" applyFill="1" applyBorder="1" applyAlignment="1">
      <alignment vertical="center" shrinkToFit="1"/>
    </xf>
    <xf numFmtId="0" fontId="8" fillId="2" borderId="15" xfId="0" applyFont="1" applyFill="1" applyBorder="1" applyAlignment="1">
      <alignment vertical="center" shrinkToFit="1"/>
    </xf>
    <xf numFmtId="0" fontId="8" fillId="2" borderId="36" xfId="0" applyFont="1" applyFill="1" applyBorder="1" applyAlignment="1">
      <alignmen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8" fillId="0" borderId="2" xfId="0" applyFont="1" applyBorder="1" applyAlignment="1">
      <alignment horizontal="left" vertical="center" wrapText="1" shrinkToFit="1"/>
    </xf>
    <xf numFmtId="0" fontId="8" fillId="0" borderId="3" xfId="0" applyFont="1" applyBorder="1" applyAlignment="1">
      <alignment horizontal="left" vertical="center" wrapText="1" shrinkToFit="1"/>
    </xf>
    <xf numFmtId="0" fontId="8" fillId="0" borderId="4" xfId="0" applyFont="1" applyBorder="1" applyAlignment="1">
      <alignment horizontal="left" vertical="center" wrapText="1" shrinkToFit="1"/>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0" fontId="10" fillId="0" borderId="2"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4" xfId="0" applyFont="1" applyBorder="1" applyAlignment="1">
      <alignment horizontal="left" vertical="center" shrinkToFi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9"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7" fillId="2" borderId="2" xfId="2" applyFill="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2" xfId="0" applyFont="1" applyBorder="1" applyAlignment="1">
      <alignment vertical="center" shrinkToFit="1"/>
    </xf>
    <xf numFmtId="0" fontId="3" fillId="0" borderId="16" xfId="0" applyFont="1" applyBorder="1" applyAlignment="1">
      <alignment vertical="center" wrapText="1"/>
    </xf>
    <xf numFmtId="0" fontId="3" fillId="0" borderId="39" xfId="0" applyFont="1" applyBorder="1" applyAlignment="1">
      <alignment vertical="center" wrapText="1"/>
    </xf>
    <xf numFmtId="0" fontId="3" fillId="0" borderId="13" xfId="0" applyFont="1" applyBorder="1" applyAlignment="1">
      <alignment vertical="center" wrapText="1"/>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9" fillId="0" borderId="7" xfId="0" applyFont="1" applyBorder="1" applyAlignment="1">
      <alignment horizontal="left" vertical="top" wrapText="1"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2" xfId="0" applyFont="1" applyBorder="1" applyAlignment="1">
      <alignment vertical="center" wrapText="1" shrinkToFit="1"/>
    </xf>
    <xf numFmtId="0" fontId="8" fillId="0" borderId="3" xfId="0" applyFont="1" applyBorder="1" applyAlignment="1">
      <alignment vertical="center" wrapText="1" shrinkToFit="1"/>
    </xf>
    <xf numFmtId="0" fontId="8" fillId="0" borderId="4" xfId="0" applyFont="1" applyBorder="1" applyAlignment="1">
      <alignment vertical="center" wrapText="1" shrinkToFi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10" fillId="0" borderId="2" xfId="0" applyFont="1" applyBorder="1" applyAlignment="1">
      <alignment horizontal="center" vertical="center"/>
    </xf>
    <xf numFmtId="0" fontId="8" fillId="0" borderId="7" xfId="0" applyFont="1" applyBorder="1" applyAlignment="1">
      <alignment vertical="top" wrapText="1" shrinkToFit="1"/>
    </xf>
    <xf numFmtId="0" fontId="2" fillId="0" borderId="6" xfId="0" applyFont="1" applyBorder="1" applyAlignment="1">
      <alignment vertical="center"/>
    </xf>
    <xf numFmtId="0" fontId="8" fillId="2" borderId="0" xfId="0" applyFont="1" applyFill="1" applyAlignment="1">
      <alignment vertical="center" shrinkToFit="1"/>
    </xf>
    <xf numFmtId="0" fontId="8" fillId="2" borderId="7" xfId="0" applyFont="1" applyFill="1" applyBorder="1" applyAlignment="1">
      <alignment vertical="top" wrapText="1" shrinkToFit="1"/>
    </xf>
    <xf numFmtId="0" fontId="8" fillId="2" borderId="8" xfId="0" applyFont="1" applyFill="1" applyBorder="1" applyAlignment="1">
      <alignment vertical="top" shrinkToFit="1"/>
    </xf>
    <xf numFmtId="0" fontId="8" fillId="2" borderId="9" xfId="0" applyFont="1" applyFill="1" applyBorder="1" applyAlignment="1">
      <alignment vertical="top" shrinkToFit="1"/>
    </xf>
    <xf numFmtId="0" fontId="8" fillId="2" borderId="5" xfId="0" applyFont="1" applyFill="1" applyBorder="1" applyAlignment="1">
      <alignment vertical="top" shrinkToFit="1"/>
    </xf>
    <xf numFmtId="0" fontId="8" fillId="2" borderId="0" xfId="0" applyFont="1" applyFill="1" applyBorder="1" applyAlignment="1">
      <alignment vertical="top" shrinkToFit="1"/>
    </xf>
    <xf numFmtId="0" fontId="8" fillId="2" borderId="10" xfId="0" applyFont="1" applyFill="1" applyBorder="1" applyAlignment="1">
      <alignment vertical="top" shrinkToFit="1"/>
    </xf>
    <xf numFmtId="0" fontId="8" fillId="2" borderId="11" xfId="0" applyFont="1" applyFill="1" applyBorder="1" applyAlignment="1">
      <alignment vertical="top" shrinkToFit="1"/>
    </xf>
    <xf numFmtId="0" fontId="8" fillId="2" borderId="6" xfId="0" applyFont="1" applyFill="1" applyBorder="1" applyAlignment="1">
      <alignment vertical="top" shrinkToFit="1"/>
    </xf>
    <xf numFmtId="0" fontId="8" fillId="2" borderId="12" xfId="0" applyFont="1" applyFill="1" applyBorder="1" applyAlignment="1">
      <alignment vertical="top" shrinkToFit="1"/>
    </xf>
    <xf numFmtId="0" fontId="9" fillId="2" borderId="7" xfId="0" applyFont="1" applyFill="1" applyBorder="1" applyAlignment="1">
      <alignment vertical="top" wrapText="1" shrinkToFit="1"/>
    </xf>
    <xf numFmtId="0" fontId="8" fillId="2" borderId="8" xfId="0" applyFont="1" applyFill="1" applyBorder="1" applyAlignment="1">
      <alignment vertical="top" wrapText="1" shrinkToFit="1"/>
    </xf>
    <xf numFmtId="0" fontId="8" fillId="2" borderId="9" xfId="0" applyFont="1" applyFill="1" applyBorder="1" applyAlignment="1">
      <alignment vertical="top" wrapText="1" shrinkToFit="1"/>
    </xf>
    <xf numFmtId="0" fontId="8" fillId="2" borderId="5" xfId="0" applyFont="1" applyFill="1" applyBorder="1" applyAlignment="1">
      <alignment vertical="top" wrapText="1" shrinkToFit="1"/>
    </xf>
    <xf numFmtId="0" fontId="8" fillId="2" borderId="0" xfId="0" applyFont="1" applyFill="1" applyBorder="1" applyAlignment="1">
      <alignment vertical="top" wrapText="1" shrinkToFit="1"/>
    </xf>
    <xf numFmtId="0" fontId="8" fillId="2" borderId="10" xfId="0" applyFont="1" applyFill="1" applyBorder="1" applyAlignment="1">
      <alignment vertical="top" wrapText="1" shrinkToFit="1"/>
    </xf>
    <xf numFmtId="0" fontId="8" fillId="2" borderId="11" xfId="0" applyFont="1" applyFill="1" applyBorder="1" applyAlignment="1">
      <alignment vertical="top" wrapText="1" shrinkToFit="1"/>
    </xf>
    <xf numFmtId="0" fontId="8" fillId="2" borderId="6" xfId="0" applyFont="1" applyFill="1" applyBorder="1" applyAlignment="1">
      <alignment vertical="top" wrapText="1" shrinkToFit="1"/>
    </xf>
    <xf numFmtId="0" fontId="8" fillId="2" borderId="12" xfId="0" applyFont="1" applyFill="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19" xfId="0" applyFont="1" applyBorder="1" applyAlignment="1">
      <alignment vertical="center" wrapText="1"/>
    </xf>
    <xf numFmtId="0" fontId="8" fillId="2" borderId="21" xfId="0" applyFont="1" applyFill="1" applyBorder="1" applyAlignment="1">
      <alignment vertical="top" wrapText="1" shrinkToFit="1"/>
    </xf>
    <xf numFmtId="0" fontId="8" fillId="2" borderId="19" xfId="0" applyFont="1" applyFill="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4" fillId="2" borderId="2" xfId="2" applyFont="1" applyFill="1" applyBorder="1" applyAlignment="1">
      <alignment horizontal="left" vertical="center" shrinkToFit="1"/>
    </xf>
    <xf numFmtId="0" fontId="18" fillId="2" borderId="3" xfId="0" applyFont="1" applyFill="1" applyBorder="1" applyAlignment="1">
      <alignment horizontal="left" vertical="center" shrinkToFit="1"/>
    </xf>
    <xf numFmtId="0" fontId="18" fillId="2" borderId="4" xfId="0" applyFont="1" applyFill="1" applyBorder="1" applyAlignment="1">
      <alignment horizontal="left" vertical="center" shrinkToFit="1"/>
    </xf>
    <xf numFmtId="0" fontId="2" fillId="0" borderId="18" xfId="0" applyFont="1" applyBorder="1" applyAlignment="1">
      <alignment vertical="center" wrapText="1"/>
    </xf>
    <xf numFmtId="0" fontId="8" fillId="2" borderId="20" xfId="0" applyFont="1" applyFill="1" applyBorder="1" applyAlignment="1">
      <alignment vertical="top" wrapText="1" shrinkToFit="1"/>
    </xf>
    <xf numFmtId="0" fontId="2" fillId="0" borderId="18" xfId="0" applyFont="1" applyBorder="1" applyAlignment="1">
      <alignment vertical="center"/>
    </xf>
    <xf numFmtId="0" fontId="0" fillId="0" borderId="19" xfId="0" applyBorder="1" applyAlignment="1">
      <alignment vertical="center"/>
    </xf>
    <xf numFmtId="0" fontId="9"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3" fillId="0" borderId="3" xfId="0" applyFont="1" applyBorder="1" applyAlignment="1">
      <alignment horizontal="center" vertical="center"/>
    </xf>
    <xf numFmtId="0" fontId="3" fillId="0" borderId="4" xfId="0" applyFont="1" applyBorder="1" applyAlignment="1">
      <alignment horizontal="center"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adm.tamagawa.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aibot.jp/ai-literacy/"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aibot.jp/ai-litera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47"/>
  <sheetViews>
    <sheetView tabSelected="1" zoomScaleNormal="100" workbookViewId="0"/>
  </sheetViews>
  <sheetFormatPr defaultColWidth="9" defaultRowHeight="18.75" customHeight="1" x14ac:dyDescent="0.2"/>
  <cols>
    <col min="1" max="1" width="2.453125" style="18" customWidth="1"/>
    <col min="2" max="2" width="12.453125" style="18" customWidth="1"/>
    <col min="3" max="8" width="6.26953125" style="18" customWidth="1"/>
    <col min="9" max="9" width="2.453125" style="18" customWidth="1"/>
    <col min="10" max="10" width="10" style="18" customWidth="1"/>
    <col min="11" max="11" width="2.453125" style="18" customWidth="1"/>
    <col min="12" max="12" width="7.453125" style="18" customWidth="1"/>
    <col min="13" max="13" width="2.453125" style="18" customWidth="1"/>
    <col min="14" max="14" width="7.453125" style="18" customWidth="1"/>
    <col min="15" max="16384" width="9" style="18"/>
  </cols>
  <sheetData>
    <row r="1" spans="1:14" ht="22.5" customHeight="1" x14ac:dyDescent="0.2">
      <c r="M1" s="146" t="s">
        <v>28</v>
      </c>
      <c r="N1" s="146"/>
    </row>
    <row r="2" spans="1:14" ht="22.5" customHeight="1" x14ac:dyDescent="0.2">
      <c r="A2" s="154" t="s">
        <v>129</v>
      </c>
      <c r="B2" s="154"/>
      <c r="C2" s="154"/>
      <c r="D2" s="154"/>
      <c r="E2" s="154"/>
      <c r="F2" s="154"/>
      <c r="G2" s="154"/>
      <c r="H2" s="154"/>
      <c r="I2" s="154"/>
      <c r="J2" s="154"/>
      <c r="K2" s="154"/>
      <c r="L2" s="154"/>
      <c r="M2" s="154"/>
      <c r="N2" s="154"/>
    </row>
    <row r="3" spans="1:14" ht="22.5" customHeight="1" x14ac:dyDescent="0.2"/>
    <row r="4" spans="1:14" ht="22.5" customHeight="1" x14ac:dyDescent="0.2">
      <c r="A4" s="18" t="s">
        <v>7</v>
      </c>
      <c r="B4" s="21" t="s">
        <v>19</v>
      </c>
      <c r="C4" s="149" t="s">
        <v>130</v>
      </c>
      <c r="D4" s="150"/>
      <c r="E4" s="150"/>
      <c r="F4" s="150"/>
      <c r="G4" s="150"/>
      <c r="H4" s="150"/>
      <c r="I4" s="150"/>
      <c r="J4" s="150"/>
      <c r="K4" s="150"/>
      <c r="L4" s="150"/>
      <c r="M4" s="150"/>
      <c r="N4" s="151"/>
    </row>
    <row r="5" spans="1:14" ht="7.5" customHeight="1" x14ac:dyDescent="0.2">
      <c r="B5" s="21"/>
      <c r="C5" s="21"/>
      <c r="D5" s="21"/>
      <c r="E5" s="22"/>
      <c r="F5" s="57"/>
      <c r="G5" s="57"/>
      <c r="H5" s="57"/>
      <c r="I5" s="57"/>
      <c r="J5" s="57"/>
      <c r="K5" s="57"/>
      <c r="L5" s="57"/>
      <c r="M5" s="57"/>
      <c r="N5" s="57"/>
    </row>
    <row r="6" spans="1:14" ht="22.5" customHeight="1" x14ac:dyDescent="0.2">
      <c r="A6" s="18" t="s">
        <v>54</v>
      </c>
      <c r="B6" s="21" t="s">
        <v>55</v>
      </c>
      <c r="C6" s="21"/>
      <c r="D6" s="149" t="s">
        <v>208</v>
      </c>
      <c r="E6" s="150"/>
      <c r="F6" s="150"/>
      <c r="G6" s="150"/>
      <c r="H6" s="150"/>
      <c r="I6" s="150"/>
      <c r="J6" s="150"/>
      <c r="K6" s="150"/>
      <c r="L6" s="150"/>
      <c r="M6" s="150"/>
      <c r="N6" s="151"/>
    </row>
    <row r="7" spans="1:14" ht="7.5" customHeight="1" x14ac:dyDescent="0.2">
      <c r="B7" s="21"/>
      <c r="C7" s="21"/>
      <c r="D7" s="21"/>
      <c r="E7" s="22"/>
      <c r="F7" s="19"/>
      <c r="G7" s="19"/>
      <c r="H7" s="19"/>
      <c r="I7" s="19"/>
      <c r="J7" s="19"/>
      <c r="K7" s="19"/>
      <c r="L7" s="19"/>
      <c r="M7" s="19"/>
      <c r="N7" s="19"/>
    </row>
    <row r="8" spans="1:14" ht="22.5" customHeight="1" x14ac:dyDescent="0.2">
      <c r="A8" s="23" t="s">
        <v>13</v>
      </c>
      <c r="B8" s="24" t="s">
        <v>56</v>
      </c>
      <c r="C8" s="149" t="s">
        <v>131</v>
      </c>
      <c r="D8" s="150"/>
      <c r="E8" s="151"/>
      <c r="F8" s="57"/>
      <c r="G8" s="153"/>
      <c r="H8" s="153"/>
      <c r="I8" s="153"/>
      <c r="J8" s="57"/>
      <c r="K8" s="57"/>
      <c r="L8" s="57"/>
      <c r="M8" s="57"/>
      <c r="N8" s="57"/>
    </row>
    <row r="9" spans="1:14" ht="7.5" customHeight="1" x14ac:dyDescent="0.2">
      <c r="B9" s="21"/>
      <c r="C9" s="21"/>
      <c r="D9" s="21"/>
      <c r="E9" s="22"/>
      <c r="F9" s="57"/>
      <c r="G9" s="57"/>
      <c r="H9" s="57"/>
      <c r="I9" s="57"/>
      <c r="J9" s="57"/>
      <c r="K9" s="57"/>
      <c r="L9" s="57"/>
      <c r="M9" s="57"/>
      <c r="N9" s="57"/>
    </row>
    <row r="10" spans="1:14" ht="22.5" customHeight="1" x14ac:dyDescent="0.2">
      <c r="A10" s="18" t="s">
        <v>16</v>
      </c>
      <c r="B10" s="21" t="s">
        <v>51</v>
      </c>
      <c r="C10" s="149" t="s">
        <v>167</v>
      </c>
      <c r="D10" s="150"/>
      <c r="E10" s="150"/>
      <c r="F10" s="150"/>
      <c r="G10" s="150"/>
      <c r="H10" s="150"/>
      <c r="I10" s="150"/>
      <c r="J10" s="150"/>
      <c r="K10" s="150"/>
      <c r="L10" s="150"/>
      <c r="M10" s="150"/>
      <c r="N10" s="151"/>
    </row>
    <row r="11" spans="1:14" ht="7.5" customHeight="1" x14ac:dyDescent="0.2">
      <c r="B11" s="21"/>
      <c r="C11" s="21"/>
      <c r="D11" s="21"/>
      <c r="E11" s="22"/>
      <c r="F11" s="57"/>
      <c r="G11" s="57"/>
      <c r="H11" s="57"/>
      <c r="I11" s="57"/>
      <c r="J11" s="57"/>
      <c r="K11" s="57"/>
      <c r="L11" s="57"/>
      <c r="M11" s="57"/>
      <c r="N11" s="57"/>
    </row>
    <row r="12" spans="1:14" ht="22.5" customHeight="1" x14ac:dyDescent="0.2">
      <c r="A12" s="18" t="s">
        <v>14</v>
      </c>
      <c r="B12" s="21" t="s">
        <v>125</v>
      </c>
      <c r="C12" s="21"/>
      <c r="D12" s="21"/>
      <c r="E12" s="57"/>
      <c r="F12" s="59"/>
      <c r="G12" s="137" t="s">
        <v>160</v>
      </c>
      <c r="H12" s="138"/>
      <c r="I12" s="138"/>
      <c r="J12" s="138"/>
      <c r="K12" s="138"/>
      <c r="L12" s="138"/>
      <c r="M12" s="138"/>
      <c r="N12" s="155"/>
    </row>
    <row r="13" spans="1:14" ht="7.5" customHeight="1" x14ac:dyDescent="0.2">
      <c r="B13" s="22"/>
      <c r="C13" s="22"/>
      <c r="D13" s="22"/>
      <c r="E13" s="22"/>
      <c r="F13" s="19"/>
      <c r="G13" s="19"/>
      <c r="H13" s="19"/>
      <c r="I13" s="19"/>
      <c r="J13" s="19"/>
      <c r="K13" s="19"/>
      <c r="L13" s="19"/>
      <c r="M13" s="19"/>
      <c r="N13" s="19"/>
    </row>
    <row r="14" spans="1:14" ht="22.5" customHeight="1" x14ac:dyDescent="0.2">
      <c r="A14" s="18" t="s">
        <v>66</v>
      </c>
      <c r="B14" s="22" t="s">
        <v>67</v>
      </c>
      <c r="C14" s="22"/>
      <c r="D14" s="22"/>
      <c r="E14" s="22"/>
      <c r="F14" s="142" t="s">
        <v>114</v>
      </c>
      <c r="G14" s="133"/>
      <c r="H14" s="134"/>
      <c r="I14" s="29"/>
      <c r="J14" s="48"/>
      <c r="K14" s="29"/>
      <c r="L14" s="29"/>
      <c r="M14" s="29"/>
      <c r="N14" s="29"/>
    </row>
    <row r="15" spans="1:14" ht="7.5" customHeight="1" x14ac:dyDescent="0.2">
      <c r="B15" s="22"/>
      <c r="C15" s="22"/>
      <c r="D15" s="22"/>
      <c r="E15" s="22"/>
      <c r="F15" s="29"/>
      <c r="G15" s="29"/>
      <c r="H15" s="29"/>
      <c r="I15" s="29"/>
      <c r="J15" s="29"/>
      <c r="K15" s="29"/>
      <c r="L15" s="29"/>
      <c r="M15" s="29"/>
      <c r="N15" s="29"/>
    </row>
    <row r="16" spans="1:14" s="60" customFormat="1" ht="22.5" customHeight="1" x14ac:dyDescent="0.2">
      <c r="A16" s="60" t="s">
        <v>15</v>
      </c>
      <c r="B16" s="60" t="s">
        <v>0</v>
      </c>
      <c r="C16" s="147" t="s">
        <v>6</v>
      </c>
      <c r="D16" s="148"/>
      <c r="E16" s="135">
        <v>307</v>
      </c>
      <c r="F16" s="136"/>
      <c r="G16" s="61" t="s">
        <v>10</v>
      </c>
      <c r="I16" s="147" t="s">
        <v>11</v>
      </c>
      <c r="J16" s="148"/>
      <c r="K16" s="135">
        <v>580</v>
      </c>
      <c r="L16" s="152"/>
      <c r="M16" s="136"/>
      <c r="N16" s="62" t="s">
        <v>10</v>
      </c>
    </row>
    <row r="17" spans="1:15" s="60" customFormat="1" ht="7.5" customHeight="1" x14ac:dyDescent="0.2">
      <c r="F17" s="63"/>
      <c r="G17" s="63"/>
      <c r="H17" s="63"/>
      <c r="I17" s="63"/>
      <c r="J17" s="63"/>
      <c r="K17" s="63"/>
      <c r="L17" s="63"/>
      <c r="M17" s="62"/>
      <c r="N17" s="62"/>
    </row>
    <row r="18" spans="1:15" s="60" customFormat="1" ht="22.5" customHeight="1" x14ac:dyDescent="0.2">
      <c r="A18" s="60" t="s">
        <v>60</v>
      </c>
      <c r="B18" s="60" t="s">
        <v>89</v>
      </c>
      <c r="F18" s="63"/>
      <c r="G18" s="63"/>
      <c r="H18" s="63"/>
      <c r="I18" s="63"/>
      <c r="J18" s="64"/>
      <c r="K18" s="143">
        <v>79</v>
      </c>
      <c r="L18" s="144"/>
      <c r="M18" s="145"/>
      <c r="N18" s="62" t="s">
        <v>58</v>
      </c>
    </row>
    <row r="19" spans="1:15" s="60" customFormat="1" ht="7.5" customHeight="1" x14ac:dyDescent="0.2">
      <c r="F19" s="63"/>
      <c r="G19" s="63"/>
      <c r="H19" s="63"/>
      <c r="I19" s="63"/>
      <c r="J19" s="63"/>
      <c r="K19" s="63"/>
      <c r="L19" s="63"/>
      <c r="M19" s="62"/>
      <c r="N19" s="62"/>
    </row>
    <row r="20" spans="1:15" s="60" customFormat="1" ht="22.5" customHeight="1" x14ac:dyDescent="0.2">
      <c r="A20" s="60" t="s">
        <v>68</v>
      </c>
      <c r="B20" s="60" t="s">
        <v>122</v>
      </c>
      <c r="E20" s="135">
        <v>1650</v>
      </c>
      <c r="F20" s="136"/>
      <c r="G20" s="65" t="s">
        <v>24</v>
      </c>
      <c r="H20" s="63"/>
      <c r="K20" s="156"/>
      <c r="L20" s="156"/>
      <c r="M20" s="156"/>
      <c r="N20" s="156"/>
    </row>
    <row r="21" spans="1:15" s="60" customFormat="1" ht="7.5" customHeight="1" x14ac:dyDescent="0.2">
      <c r="E21" s="66"/>
      <c r="F21" s="63"/>
      <c r="G21" s="63"/>
      <c r="L21" s="67"/>
      <c r="M21" s="67"/>
      <c r="N21" s="68"/>
    </row>
    <row r="22" spans="1:15" s="60" customFormat="1" ht="22.5" customHeight="1" x14ac:dyDescent="0.2">
      <c r="A22" s="60" t="s">
        <v>27</v>
      </c>
      <c r="B22" s="60" t="s">
        <v>123</v>
      </c>
      <c r="E22" s="66"/>
      <c r="F22" s="63"/>
      <c r="G22" s="63"/>
      <c r="H22" s="60" t="s">
        <v>59</v>
      </c>
      <c r="J22" s="157">
        <v>6984</v>
      </c>
      <c r="K22" s="144"/>
      <c r="L22" s="145"/>
      <c r="M22" s="67" t="s">
        <v>58</v>
      </c>
      <c r="N22" s="68"/>
    </row>
    <row r="23" spans="1:15" s="60" customFormat="1" ht="7.5" customHeight="1" x14ac:dyDescent="0.2">
      <c r="E23" s="66"/>
      <c r="F23" s="63"/>
      <c r="G23" s="63"/>
      <c r="L23" s="67"/>
      <c r="M23" s="67"/>
      <c r="N23" s="68"/>
    </row>
    <row r="24" spans="1:15" s="60" customFormat="1" ht="22.5" customHeight="1" x14ac:dyDescent="0.2">
      <c r="B24" s="69" t="s">
        <v>20</v>
      </c>
      <c r="C24" s="135">
        <v>1678</v>
      </c>
      <c r="D24" s="136"/>
      <c r="E24" s="66" t="s">
        <v>25</v>
      </c>
      <c r="F24" s="63"/>
      <c r="G24" s="131" t="s">
        <v>21</v>
      </c>
      <c r="H24" s="131"/>
      <c r="I24" s="135">
        <v>1816</v>
      </c>
      <c r="J24" s="136"/>
      <c r="K24" s="70" t="s">
        <v>25</v>
      </c>
      <c r="M24" s="67"/>
      <c r="N24" s="68"/>
      <c r="O24" s="71"/>
    </row>
    <row r="25" spans="1:15" s="60" customFormat="1" ht="7.5" customHeight="1" x14ac:dyDescent="0.2">
      <c r="B25" s="69"/>
      <c r="C25" s="72"/>
      <c r="D25" s="72"/>
      <c r="E25" s="66"/>
      <c r="F25" s="63"/>
      <c r="G25" s="67"/>
      <c r="H25" s="67"/>
      <c r="I25" s="72"/>
      <c r="J25" s="72"/>
      <c r="K25" s="70"/>
      <c r="M25" s="67"/>
      <c r="N25" s="68"/>
      <c r="O25" s="71"/>
    </row>
    <row r="26" spans="1:15" s="60" customFormat="1" ht="22.5" customHeight="1" x14ac:dyDescent="0.2">
      <c r="B26" s="69" t="s">
        <v>22</v>
      </c>
      <c r="C26" s="135">
        <v>1709</v>
      </c>
      <c r="D26" s="136"/>
      <c r="E26" s="66" t="s">
        <v>25</v>
      </c>
      <c r="F26" s="63"/>
      <c r="G26" s="131" t="s">
        <v>23</v>
      </c>
      <c r="H26" s="131"/>
      <c r="I26" s="135">
        <v>1781</v>
      </c>
      <c r="J26" s="136"/>
      <c r="K26" s="70" t="s">
        <v>25</v>
      </c>
      <c r="M26" s="67"/>
      <c r="N26" s="68"/>
    </row>
    <row r="27" spans="1:15" s="60" customFormat="1" ht="7.5" customHeight="1" x14ac:dyDescent="0.2">
      <c r="B27" s="69"/>
      <c r="C27" s="72"/>
      <c r="D27" s="72"/>
      <c r="E27" s="66"/>
      <c r="F27" s="63"/>
      <c r="G27" s="67"/>
      <c r="H27" s="67"/>
      <c r="I27" s="72"/>
      <c r="J27" s="72"/>
      <c r="K27" s="70"/>
      <c r="M27" s="67"/>
      <c r="N27" s="68"/>
    </row>
    <row r="28" spans="1:15" s="60" customFormat="1" ht="22.5" customHeight="1" x14ac:dyDescent="0.2">
      <c r="B28" s="69" t="s">
        <v>52</v>
      </c>
      <c r="C28" s="135">
        <v>0</v>
      </c>
      <c r="D28" s="136"/>
      <c r="E28" s="66" t="s">
        <v>10</v>
      </c>
      <c r="F28" s="63"/>
      <c r="G28" s="131" t="s">
        <v>53</v>
      </c>
      <c r="H28" s="131"/>
      <c r="I28" s="135">
        <v>0</v>
      </c>
      <c r="J28" s="136"/>
      <c r="K28" s="70" t="s">
        <v>10</v>
      </c>
      <c r="M28" s="67"/>
      <c r="N28" s="68"/>
    </row>
    <row r="29" spans="1:15" s="60" customFormat="1" ht="7.5" customHeight="1" x14ac:dyDescent="0.2">
      <c r="F29" s="63"/>
      <c r="G29" s="63"/>
      <c r="M29" s="73"/>
      <c r="N29" s="73"/>
    </row>
    <row r="30" spans="1:15" s="60" customFormat="1" ht="22.5" customHeight="1" x14ac:dyDescent="0.2">
      <c r="A30" s="60" t="s">
        <v>121</v>
      </c>
      <c r="B30" s="74" t="s">
        <v>113</v>
      </c>
      <c r="C30" s="74"/>
      <c r="D30" s="74"/>
      <c r="E30" s="74"/>
      <c r="F30" s="70"/>
      <c r="G30" s="75"/>
      <c r="H30" s="75"/>
      <c r="I30" s="75"/>
      <c r="J30" s="76"/>
      <c r="K30" s="76"/>
      <c r="L30" s="76"/>
      <c r="M30" s="76"/>
      <c r="N30" s="76"/>
    </row>
    <row r="31" spans="1:15" s="71" customFormat="1" ht="22.5" customHeight="1" x14ac:dyDescent="0.2">
      <c r="B31" s="139" t="s">
        <v>112</v>
      </c>
      <c r="C31" s="139"/>
      <c r="D31" s="158" t="s">
        <v>165</v>
      </c>
      <c r="E31" s="133"/>
      <c r="F31" s="133"/>
      <c r="G31" s="140" t="s">
        <v>26</v>
      </c>
      <c r="H31" s="139"/>
      <c r="I31" s="141"/>
      <c r="J31" s="142" t="s">
        <v>166</v>
      </c>
      <c r="K31" s="133"/>
      <c r="L31" s="133"/>
      <c r="M31" s="133"/>
      <c r="N31" s="134"/>
    </row>
    <row r="32" spans="1:15" ht="7.5" customHeight="1" x14ac:dyDescent="0.2">
      <c r="F32" s="25"/>
      <c r="G32" s="25"/>
      <c r="M32" s="26"/>
      <c r="N32" s="26"/>
    </row>
    <row r="33" spans="1:14" ht="22.5" customHeight="1" x14ac:dyDescent="0.2">
      <c r="A33" s="18" t="s">
        <v>57</v>
      </c>
      <c r="B33" s="21" t="s">
        <v>126</v>
      </c>
      <c r="C33" s="21"/>
      <c r="D33" s="21"/>
      <c r="E33" s="21"/>
      <c r="F33" s="23"/>
      <c r="G33" s="28"/>
      <c r="H33" s="28"/>
      <c r="I33" s="28"/>
      <c r="J33" s="28"/>
      <c r="K33" s="28"/>
      <c r="L33" s="28"/>
      <c r="M33" s="28"/>
      <c r="N33" s="28"/>
    </row>
    <row r="34" spans="1:14" s="60" customFormat="1" ht="22.5" customHeight="1" x14ac:dyDescent="0.2">
      <c r="B34" s="132" t="s">
        <v>161</v>
      </c>
      <c r="C34" s="133"/>
      <c r="D34" s="133"/>
      <c r="E34" s="133"/>
      <c r="F34" s="133"/>
      <c r="G34" s="133"/>
      <c r="H34" s="133"/>
      <c r="I34" s="133"/>
      <c r="J34" s="133"/>
      <c r="K34" s="133"/>
      <c r="L34" s="133"/>
      <c r="M34" s="133"/>
      <c r="N34" s="134"/>
    </row>
    <row r="35" spans="1:14" s="60" customFormat="1" ht="7.5" customHeight="1" x14ac:dyDescent="0.2">
      <c r="B35" s="77"/>
      <c r="C35" s="77"/>
      <c r="D35" s="77"/>
      <c r="E35" s="77"/>
      <c r="F35" s="77"/>
      <c r="G35" s="77"/>
      <c r="H35" s="77"/>
      <c r="I35" s="77"/>
      <c r="J35" s="77"/>
      <c r="K35" s="77"/>
      <c r="L35" s="77"/>
      <c r="M35" s="77"/>
      <c r="N35" s="77"/>
    </row>
    <row r="36" spans="1:14" s="71" customFormat="1" ht="22.5" customHeight="1" x14ac:dyDescent="0.2">
      <c r="B36" s="139" t="s">
        <v>112</v>
      </c>
      <c r="C36" s="139"/>
      <c r="D36" s="132" t="s">
        <v>162</v>
      </c>
      <c r="E36" s="133"/>
      <c r="F36" s="133"/>
      <c r="G36" s="140" t="s">
        <v>62</v>
      </c>
      <c r="H36" s="139"/>
      <c r="I36" s="141"/>
      <c r="J36" s="132" t="s">
        <v>163</v>
      </c>
      <c r="K36" s="133"/>
      <c r="L36" s="133"/>
      <c r="M36" s="133"/>
      <c r="N36" s="134"/>
    </row>
    <row r="37" spans="1:14" s="60" customFormat="1" ht="7.5" customHeight="1" x14ac:dyDescent="0.2">
      <c r="F37" s="75"/>
      <c r="G37" s="75"/>
      <c r="H37" s="75"/>
      <c r="I37" s="75"/>
      <c r="J37" s="75"/>
      <c r="K37" s="75"/>
      <c r="L37" s="75"/>
      <c r="M37" s="75"/>
      <c r="N37" s="75"/>
    </row>
    <row r="38" spans="1:14" s="60" customFormat="1" ht="22.5" customHeight="1" x14ac:dyDescent="0.2">
      <c r="A38" s="60" t="s">
        <v>61</v>
      </c>
      <c r="B38" s="60" t="s">
        <v>127</v>
      </c>
      <c r="M38" s="73"/>
      <c r="N38" s="73"/>
    </row>
    <row r="39" spans="1:14" s="60" customFormat="1" ht="22.5" customHeight="1" x14ac:dyDescent="0.2">
      <c r="B39" s="142" t="s">
        <v>143</v>
      </c>
      <c r="C39" s="133"/>
      <c r="D39" s="133"/>
      <c r="E39" s="133"/>
      <c r="F39" s="133"/>
      <c r="G39" s="133"/>
      <c r="H39" s="133"/>
      <c r="I39" s="133"/>
      <c r="J39" s="133"/>
      <c r="K39" s="133"/>
      <c r="L39" s="133"/>
      <c r="M39" s="133"/>
      <c r="N39" s="134"/>
    </row>
    <row r="40" spans="1:14" s="60" customFormat="1" ht="7.5" customHeight="1" x14ac:dyDescent="0.2">
      <c r="F40" s="75"/>
      <c r="G40" s="75"/>
      <c r="H40" s="75"/>
      <c r="I40" s="75"/>
      <c r="J40" s="75"/>
      <c r="K40" s="75"/>
      <c r="L40" s="75"/>
      <c r="M40" s="75"/>
      <c r="N40" s="75"/>
    </row>
    <row r="41" spans="1:14" s="71" customFormat="1" ht="22.5" customHeight="1" x14ac:dyDescent="0.2">
      <c r="B41" s="139" t="s">
        <v>112</v>
      </c>
      <c r="C41" s="139"/>
      <c r="D41" s="142" t="s">
        <v>144</v>
      </c>
      <c r="E41" s="133"/>
      <c r="F41" s="133"/>
      <c r="G41" s="140" t="s">
        <v>62</v>
      </c>
      <c r="H41" s="139"/>
      <c r="I41" s="141"/>
      <c r="J41" s="142" t="s">
        <v>145</v>
      </c>
      <c r="K41" s="133"/>
      <c r="L41" s="133"/>
      <c r="M41" s="133"/>
      <c r="N41" s="134"/>
    </row>
    <row r="42" spans="1:14" s="60" customFormat="1" ht="7.5" customHeight="1" x14ac:dyDescent="0.2">
      <c r="F42" s="75"/>
      <c r="G42" s="75"/>
      <c r="H42" s="75"/>
      <c r="I42" s="75"/>
      <c r="J42" s="75"/>
      <c r="K42" s="75"/>
      <c r="L42" s="75"/>
      <c r="M42" s="75"/>
      <c r="N42" s="75"/>
    </row>
    <row r="43" spans="1:14" s="60" customFormat="1" ht="22.5" customHeight="1" x14ac:dyDescent="0.2">
      <c r="A43" s="60" t="s">
        <v>69</v>
      </c>
      <c r="B43" s="71" t="s">
        <v>88</v>
      </c>
      <c r="E43" s="78"/>
      <c r="F43" s="142" t="s">
        <v>146</v>
      </c>
      <c r="G43" s="133"/>
      <c r="H43" s="133"/>
      <c r="I43" s="133"/>
      <c r="J43" s="133"/>
      <c r="K43" s="133"/>
      <c r="L43" s="133"/>
      <c r="M43" s="133"/>
      <c r="N43" s="134"/>
    </row>
    <row r="44" spans="1:14" s="60" customFormat="1" ht="7.5" customHeight="1" x14ac:dyDescent="0.2">
      <c r="F44" s="75"/>
      <c r="G44" s="75"/>
      <c r="H44" s="75"/>
      <c r="I44" s="75"/>
      <c r="J44" s="75"/>
      <c r="K44" s="75"/>
      <c r="L44" s="75"/>
      <c r="M44" s="75"/>
      <c r="N44" s="75"/>
    </row>
    <row r="45" spans="1:14" s="60" customFormat="1" ht="22.5" customHeight="1" x14ac:dyDescent="0.2">
      <c r="A45" s="60" t="s">
        <v>3</v>
      </c>
    </row>
    <row r="46" spans="1:14" s="60" customFormat="1" ht="22.5" customHeight="1" x14ac:dyDescent="0.2">
      <c r="B46" s="79" t="s">
        <v>1</v>
      </c>
      <c r="C46" s="137" t="s">
        <v>168</v>
      </c>
      <c r="D46" s="138"/>
      <c r="E46" s="138"/>
      <c r="F46" s="138"/>
      <c r="G46" s="138"/>
      <c r="H46" s="138"/>
      <c r="I46" s="80" t="s">
        <v>2</v>
      </c>
      <c r="J46" s="81"/>
      <c r="K46" s="132" t="s">
        <v>169</v>
      </c>
      <c r="L46" s="133"/>
      <c r="M46" s="133"/>
      <c r="N46" s="134"/>
    </row>
    <row r="47" spans="1:14" s="60" customFormat="1" ht="22.5" customHeight="1" x14ac:dyDescent="0.2">
      <c r="B47" s="79" t="s">
        <v>5</v>
      </c>
      <c r="C47" s="125" t="s">
        <v>170</v>
      </c>
      <c r="D47" s="126"/>
      <c r="E47" s="126"/>
      <c r="F47" s="126"/>
      <c r="G47" s="126"/>
      <c r="H47" s="127"/>
      <c r="I47" s="80" t="s">
        <v>4</v>
      </c>
      <c r="J47" s="81"/>
      <c r="K47" s="128" t="s">
        <v>171</v>
      </c>
      <c r="L47" s="129"/>
      <c r="M47" s="129"/>
      <c r="N47" s="130"/>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zoomScaleNormal="100" workbookViewId="0"/>
  </sheetViews>
  <sheetFormatPr defaultColWidth="9" defaultRowHeight="18.75" customHeight="1" x14ac:dyDescent="0.2"/>
  <cols>
    <col min="1" max="2" width="2.453125" style="18" customWidth="1"/>
    <col min="3" max="3" width="20" style="18" customWidth="1"/>
    <col min="4" max="4" width="8.7265625" style="18" customWidth="1"/>
    <col min="5" max="5" width="7.453125" style="18" customWidth="1"/>
    <col min="6" max="6" width="2.453125" style="18" customWidth="1"/>
    <col min="7" max="7" width="15" style="18" customWidth="1"/>
    <col min="8" max="8" width="12.453125" style="18" customWidth="1"/>
    <col min="9" max="9" width="11.26953125" style="18" customWidth="1"/>
    <col min="10" max="16384" width="9" style="18"/>
  </cols>
  <sheetData>
    <row r="1" spans="1:9" ht="18.75" customHeight="1" x14ac:dyDescent="0.2">
      <c r="I1" s="55" t="s">
        <v>147</v>
      </c>
    </row>
    <row r="2" spans="1:9" ht="18.75" customHeight="1" x14ac:dyDescent="0.2">
      <c r="G2" s="27" t="s">
        <v>31</v>
      </c>
      <c r="H2" s="165" t="s">
        <v>148</v>
      </c>
      <c r="I2" s="165"/>
    </row>
    <row r="3" spans="1:9" ht="7.5" customHeight="1" x14ac:dyDescent="0.2"/>
    <row r="4" spans="1:9" ht="18.75" customHeight="1" x14ac:dyDescent="0.2">
      <c r="A4" s="154" t="s">
        <v>86</v>
      </c>
      <c r="B4" s="154"/>
      <c r="C4" s="154"/>
      <c r="D4" s="154"/>
      <c r="E4" s="154"/>
      <c r="F4" s="154"/>
      <c r="G4" s="154"/>
      <c r="H4" s="154"/>
      <c r="I4" s="154"/>
    </row>
    <row r="5" spans="1:9" ht="7.5" customHeight="1" x14ac:dyDescent="0.2">
      <c r="C5" s="56"/>
      <c r="D5" s="56"/>
      <c r="E5" s="56"/>
      <c r="F5" s="56"/>
      <c r="G5" s="56"/>
      <c r="H5" s="56"/>
      <c r="I5" s="56"/>
    </row>
    <row r="6" spans="1:9" ht="18.75" customHeight="1" x14ac:dyDescent="0.2">
      <c r="A6" s="18" t="s">
        <v>7</v>
      </c>
      <c r="B6" s="18" t="s">
        <v>98</v>
      </c>
      <c r="C6" s="56"/>
      <c r="D6" s="56"/>
      <c r="E6" s="162" t="s">
        <v>132</v>
      </c>
      <c r="F6" s="163"/>
      <c r="G6" s="163"/>
      <c r="H6" s="163"/>
      <c r="I6" s="164"/>
    </row>
    <row r="7" spans="1:9" ht="7.5" customHeight="1" x14ac:dyDescent="0.2">
      <c r="C7" s="56"/>
      <c r="D7" s="56"/>
      <c r="F7" s="54"/>
      <c r="G7" s="54"/>
      <c r="H7" s="54"/>
      <c r="I7" s="54"/>
    </row>
    <row r="8" spans="1:9" ht="18.75" customHeight="1" x14ac:dyDescent="0.2">
      <c r="A8" s="18" t="s">
        <v>12</v>
      </c>
      <c r="B8" s="18" t="s">
        <v>99</v>
      </c>
      <c r="C8" s="56"/>
      <c r="D8" s="56"/>
      <c r="E8" s="56"/>
      <c r="F8" s="56"/>
      <c r="G8" s="56"/>
      <c r="H8" s="56"/>
      <c r="I8" s="56"/>
    </row>
    <row r="9" spans="1:9" ht="18.75" customHeight="1" x14ac:dyDescent="0.2">
      <c r="B9" s="168" t="s">
        <v>173</v>
      </c>
      <c r="C9" s="169"/>
      <c r="D9" s="169"/>
      <c r="E9" s="169"/>
      <c r="F9" s="169"/>
      <c r="G9" s="169"/>
      <c r="H9" s="169"/>
      <c r="I9" s="170"/>
    </row>
    <row r="10" spans="1:9" ht="18.75" customHeight="1" x14ac:dyDescent="0.2">
      <c r="B10" s="171"/>
      <c r="C10" s="172"/>
      <c r="D10" s="172"/>
      <c r="E10" s="172"/>
      <c r="F10" s="172"/>
      <c r="G10" s="172"/>
      <c r="H10" s="172"/>
      <c r="I10" s="173"/>
    </row>
    <row r="11" spans="1:9" ht="18.75" customHeight="1" x14ac:dyDescent="0.2">
      <c r="B11" s="171"/>
      <c r="C11" s="172"/>
      <c r="D11" s="172"/>
      <c r="E11" s="172"/>
      <c r="F11" s="172"/>
      <c r="G11" s="172"/>
      <c r="H11" s="172"/>
      <c r="I11" s="173"/>
    </row>
    <row r="12" spans="1:9" ht="18.75" customHeight="1" x14ac:dyDescent="0.2">
      <c r="B12" s="171"/>
      <c r="C12" s="172"/>
      <c r="D12" s="172"/>
      <c r="E12" s="172"/>
      <c r="F12" s="172"/>
      <c r="G12" s="172"/>
      <c r="H12" s="172"/>
      <c r="I12" s="173"/>
    </row>
    <row r="13" spans="1:9" ht="18.75" customHeight="1" x14ac:dyDescent="0.2">
      <c r="B13" s="171"/>
      <c r="C13" s="172"/>
      <c r="D13" s="172"/>
      <c r="E13" s="172"/>
      <c r="F13" s="172"/>
      <c r="G13" s="172"/>
      <c r="H13" s="172"/>
      <c r="I13" s="173"/>
    </row>
    <row r="14" spans="1:9" ht="18.75" customHeight="1" x14ac:dyDescent="0.2">
      <c r="B14" s="171"/>
      <c r="C14" s="172"/>
      <c r="D14" s="172"/>
      <c r="E14" s="172"/>
      <c r="F14" s="172"/>
      <c r="G14" s="172"/>
      <c r="H14" s="172"/>
      <c r="I14" s="173"/>
    </row>
    <row r="15" spans="1:9" ht="18.75" customHeight="1" x14ac:dyDescent="0.2">
      <c r="B15" s="171"/>
      <c r="C15" s="172"/>
      <c r="D15" s="172"/>
      <c r="E15" s="172"/>
      <c r="F15" s="172"/>
      <c r="G15" s="172"/>
      <c r="H15" s="172"/>
      <c r="I15" s="173"/>
    </row>
    <row r="16" spans="1:9" ht="18.75" customHeight="1" x14ac:dyDescent="0.2">
      <c r="B16" s="174"/>
      <c r="C16" s="175"/>
      <c r="D16" s="175"/>
      <c r="E16" s="175"/>
      <c r="F16" s="175"/>
      <c r="G16" s="175"/>
      <c r="H16" s="175"/>
      <c r="I16" s="176"/>
    </row>
    <row r="17" spans="1:10" ht="7.5" customHeight="1" x14ac:dyDescent="0.2">
      <c r="C17" s="56"/>
      <c r="D17" s="56"/>
      <c r="E17" s="56"/>
      <c r="F17" s="56"/>
      <c r="G17" s="56"/>
      <c r="H17" s="56"/>
      <c r="I17" s="56"/>
    </row>
    <row r="18" spans="1:10" ht="18.75" customHeight="1" x14ac:dyDescent="0.2">
      <c r="A18" s="56" t="s">
        <v>13</v>
      </c>
      <c r="B18" s="21" t="s">
        <v>133</v>
      </c>
      <c r="C18" s="21"/>
      <c r="D18" s="21"/>
      <c r="E18" s="21"/>
      <c r="F18" s="56"/>
      <c r="G18" s="56"/>
      <c r="H18" s="56"/>
      <c r="I18" s="56"/>
      <c r="J18" s="56"/>
    </row>
    <row r="19" spans="1:10" ht="18.75" customHeight="1" x14ac:dyDescent="0.2">
      <c r="A19" s="166" t="s">
        <v>100</v>
      </c>
      <c r="B19" s="166"/>
      <c r="C19" s="166"/>
      <c r="D19" s="166"/>
      <c r="E19" s="166"/>
      <c r="F19" s="167" t="s">
        <v>100</v>
      </c>
      <c r="G19" s="167"/>
      <c r="H19" s="167"/>
      <c r="I19" s="167"/>
    </row>
    <row r="20" spans="1:10" ht="18.75" customHeight="1" x14ac:dyDescent="0.2">
      <c r="A20" s="32">
        <v>1</v>
      </c>
      <c r="B20" s="159" t="s">
        <v>149</v>
      </c>
      <c r="C20" s="160"/>
      <c r="D20" s="160"/>
      <c r="E20" s="161"/>
      <c r="F20" s="32">
        <v>26</v>
      </c>
      <c r="G20" s="159"/>
      <c r="H20" s="160"/>
      <c r="I20" s="161"/>
    </row>
    <row r="21" spans="1:10" ht="18.75" customHeight="1" x14ac:dyDescent="0.2">
      <c r="A21" s="32">
        <v>2</v>
      </c>
      <c r="B21" s="159" t="s">
        <v>150</v>
      </c>
      <c r="C21" s="160"/>
      <c r="D21" s="160"/>
      <c r="E21" s="161"/>
      <c r="F21" s="32">
        <v>27</v>
      </c>
      <c r="G21" s="159"/>
      <c r="H21" s="160"/>
      <c r="I21" s="161"/>
    </row>
    <row r="22" spans="1:10" ht="18.75" customHeight="1" x14ac:dyDescent="0.2">
      <c r="A22" s="32">
        <v>3</v>
      </c>
      <c r="B22" s="159" t="s">
        <v>140</v>
      </c>
      <c r="C22" s="160"/>
      <c r="D22" s="160"/>
      <c r="E22" s="161"/>
      <c r="F22" s="32">
        <v>28</v>
      </c>
      <c r="G22" s="159"/>
      <c r="H22" s="160"/>
      <c r="I22" s="161"/>
    </row>
    <row r="23" spans="1:10" ht="18.75" customHeight="1" x14ac:dyDescent="0.2">
      <c r="A23" s="32">
        <v>4</v>
      </c>
      <c r="B23" s="159" t="s">
        <v>141</v>
      </c>
      <c r="C23" s="160"/>
      <c r="D23" s="160"/>
      <c r="E23" s="161"/>
      <c r="F23" s="32">
        <v>29</v>
      </c>
      <c r="G23" s="159"/>
      <c r="H23" s="160"/>
      <c r="I23" s="161"/>
    </row>
    <row r="24" spans="1:10" ht="18.75" customHeight="1" x14ac:dyDescent="0.2">
      <c r="A24" s="32">
        <v>5</v>
      </c>
      <c r="B24" s="159" t="s">
        <v>139</v>
      </c>
      <c r="C24" s="160"/>
      <c r="D24" s="160"/>
      <c r="E24" s="161"/>
      <c r="F24" s="32">
        <v>30</v>
      </c>
      <c r="G24" s="159"/>
      <c r="H24" s="160"/>
      <c r="I24" s="161"/>
    </row>
    <row r="25" spans="1:10" ht="18.75" customHeight="1" x14ac:dyDescent="0.2">
      <c r="A25" s="32">
        <v>6</v>
      </c>
      <c r="B25" s="159" t="s">
        <v>142</v>
      </c>
      <c r="C25" s="160"/>
      <c r="D25" s="160"/>
      <c r="E25" s="161"/>
      <c r="F25" s="32">
        <v>31</v>
      </c>
      <c r="G25" s="159"/>
      <c r="H25" s="160"/>
      <c r="I25" s="161"/>
    </row>
    <row r="26" spans="1:10" ht="18.75" customHeight="1" x14ac:dyDescent="0.2">
      <c r="A26" s="32">
        <v>7</v>
      </c>
      <c r="B26" s="159"/>
      <c r="C26" s="160"/>
      <c r="D26" s="160"/>
      <c r="E26" s="161"/>
      <c r="F26" s="32">
        <v>32</v>
      </c>
      <c r="G26" s="159"/>
      <c r="H26" s="160"/>
      <c r="I26" s="161"/>
    </row>
    <row r="27" spans="1:10" ht="18.75" customHeight="1" x14ac:dyDescent="0.2">
      <c r="A27" s="32">
        <v>8</v>
      </c>
      <c r="B27" s="159"/>
      <c r="C27" s="160"/>
      <c r="D27" s="160"/>
      <c r="E27" s="161"/>
      <c r="F27" s="32">
        <v>33</v>
      </c>
      <c r="G27" s="159"/>
      <c r="H27" s="160"/>
      <c r="I27" s="161"/>
    </row>
    <row r="28" spans="1:10" ht="18.75" customHeight="1" x14ac:dyDescent="0.2">
      <c r="A28" s="32">
        <v>9</v>
      </c>
      <c r="B28" s="159"/>
      <c r="C28" s="160"/>
      <c r="D28" s="160"/>
      <c r="E28" s="161"/>
      <c r="F28" s="32">
        <v>34</v>
      </c>
      <c r="G28" s="159"/>
      <c r="H28" s="160"/>
      <c r="I28" s="161"/>
    </row>
    <row r="29" spans="1:10" ht="18.75" customHeight="1" x14ac:dyDescent="0.2">
      <c r="A29" s="32">
        <v>10</v>
      </c>
      <c r="B29" s="159"/>
      <c r="C29" s="160"/>
      <c r="D29" s="160"/>
      <c r="E29" s="161"/>
      <c r="F29" s="32">
        <v>35</v>
      </c>
      <c r="G29" s="159"/>
      <c r="H29" s="160"/>
      <c r="I29" s="161"/>
    </row>
    <row r="30" spans="1:10" ht="18.75" customHeight="1" x14ac:dyDescent="0.2">
      <c r="A30" s="32">
        <v>11</v>
      </c>
      <c r="B30" s="159"/>
      <c r="C30" s="160"/>
      <c r="D30" s="160"/>
      <c r="E30" s="161"/>
      <c r="F30" s="32">
        <v>36</v>
      </c>
      <c r="G30" s="159"/>
      <c r="H30" s="160"/>
      <c r="I30" s="161"/>
    </row>
    <row r="31" spans="1:10" ht="18.75" customHeight="1" x14ac:dyDescent="0.2">
      <c r="A31" s="32">
        <v>12</v>
      </c>
      <c r="B31" s="159"/>
      <c r="C31" s="160"/>
      <c r="D31" s="160"/>
      <c r="E31" s="161"/>
      <c r="F31" s="32">
        <v>37</v>
      </c>
      <c r="G31" s="159"/>
      <c r="H31" s="160"/>
      <c r="I31" s="161"/>
    </row>
    <row r="32" spans="1:10" ht="18.75" customHeight="1" x14ac:dyDescent="0.2">
      <c r="A32" s="32">
        <v>13</v>
      </c>
      <c r="B32" s="159"/>
      <c r="C32" s="160"/>
      <c r="D32" s="160"/>
      <c r="E32" s="161"/>
      <c r="F32" s="32">
        <v>38</v>
      </c>
      <c r="G32" s="159"/>
      <c r="H32" s="160"/>
      <c r="I32" s="161"/>
    </row>
    <row r="33" spans="1:9" ht="18.75" customHeight="1" x14ac:dyDescent="0.2">
      <c r="A33" s="32">
        <v>14</v>
      </c>
      <c r="B33" s="159"/>
      <c r="C33" s="160"/>
      <c r="D33" s="160"/>
      <c r="E33" s="161"/>
      <c r="F33" s="32">
        <v>39</v>
      </c>
      <c r="G33" s="159"/>
      <c r="H33" s="160"/>
      <c r="I33" s="161"/>
    </row>
    <row r="34" spans="1:9" ht="18.75" customHeight="1" x14ac:dyDescent="0.2">
      <c r="A34" s="32">
        <v>15</v>
      </c>
      <c r="B34" s="159"/>
      <c r="C34" s="160"/>
      <c r="D34" s="160"/>
      <c r="E34" s="161"/>
      <c r="F34" s="32">
        <v>40</v>
      </c>
      <c r="G34" s="159"/>
      <c r="H34" s="160"/>
      <c r="I34" s="161"/>
    </row>
    <row r="35" spans="1:9" ht="18.75" customHeight="1" x14ac:dyDescent="0.2">
      <c r="A35" s="32">
        <v>16</v>
      </c>
      <c r="B35" s="159"/>
      <c r="C35" s="160"/>
      <c r="D35" s="160"/>
      <c r="E35" s="161"/>
      <c r="F35" s="32">
        <v>41</v>
      </c>
      <c r="G35" s="159"/>
      <c r="H35" s="160"/>
      <c r="I35" s="161"/>
    </row>
    <row r="36" spans="1:9" ht="18.75" customHeight="1" x14ac:dyDescent="0.2">
      <c r="A36" s="32">
        <v>17</v>
      </c>
      <c r="B36" s="159"/>
      <c r="C36" s="160"/>
      <c r="D36" s="160"/>
      <c r="E36" s="161"/>
      <c r="F36" s="32">
        <v>42</v>
      </c>
      <c r="G36" s="159"/>
      <c r="H36" s="160"/>
      <c r="I36" s="161"/>
    </row>
    <row r="37" spans="1:9" ht="18.75" customHeight="1" x14ac:dyDescent="0.2">
      <c r="A37" s="32">
        <v>18</v>
      </c>
      <c r="B37" s="159"/>
      <c r="C37" s="160"/>
      <c r="D37" s="160"/>
      <c r="E37" s="161"/>
      <c r="F37" s="32">
        <v>43</v>
      </c>
      <c r="G37" s="159"/>
      <c r="H37" s="160"/>
      <c r="I37" s="161"/>
    </row>
    <row r="38" spans="1:9" ht="18.75" customHeight="1" x14ac:dyDescent="0.2">
      <c r="A38" s="32">
        <v>19</v>
      </c>
      <c r="B38" s="159"/>
      <c r="C38" s="160"/>
      <c r="D38" s="160"/>
      <c r="E38" s="161"/>
      <c r="F38" s="32">
        <v>44</v>
      </c>
      <c r="G38" s="159"/>
      <c r="H38" s="160"/>
      <c r="I38" s="161"/>
    </row>
    <row r="39" spans="1:9" ht="18.75" customHeight="1" x14ac:dyDescent="0.2">
      <c r="A39" s="32">
        <v>20</v>
      </c>
      <c r="B39" s="159"/>
      <c r="C39" s="160"/>
      <c r="D39" s="160"/>
      <c r="E39" s="161"/>
      <c r="F39" s="32">
        <v>45</v>
      </c>
      <c r="G39" s="159"/>
      <c r="H39" s="160"/>
      <c r="I39" s="161"/>
    </row>
    <row r="40" spans="1:9" ht="18.75" customHeight="1" x14ac:dyDescent="0.2">
      <c r="A40" s="32">
        <v>21</v>
      </c>
      <c r="B40" s="159"/>
      <c r="C40" s="160"/>
      <c r="D40" s="160"/>
      <c r="E40" s="161"/>
      <c r="F40" s="32">
        <v>46</v>
      </c>
      <c r="G40" s="159"/>
      <c r="H40" s="160"/>
      <c r="I40" s="161"/>
    </row>
    <row r="41" spans="1:9" ht="18.75" customHeight="1" x14ac:dyDescent="0.2">
      <c r="A41" s="32">
        <v>22</v>
      </c>
      <c r="B41" s="159"/>
      <c r="C41" s="160"/>
      <c r="D41" s="160"/>
      <c r="E41" s="161"/>
      <c r="F41" s="32">
        <v>47</v>
      </c>
      <c r="G41" s="159"/>
      <c r="H41" s="160"/>
      <c r="I41" s="161"/>
    </row>
    <row r="42" spans="1:9" ht="18.75" customHeight="1" x14ac:dyDescent="0.2">
      <c r="A42" s="32">
        <v>23</v>
      </c>
      <c r="B42" s="159"/>
      <c r="C42" s="160"/>
      <c r="D42" s="160"/>
      <c r="E42" s="161"/>
      <c r="F42" s="32">
        <v>48</v>
      </c>
      <c r="G42" s="159"/>
      <c r="H42" s="160"/>
      <c r="I42" s="161"/>
    </row>
    <row r="43" spans="1:9" ht="18.75" customHeight="1" x14ac:dyDescent="0.2">
      <c r="A43" s="32">
        <v>24</v>
      </c>
      <c r="B43" s="159"/>
      <c r="C43" s="160"/>
      <c r="D43" s="160"/>
      <c r="E43" s="161"/>
      <c r="F43" s="32">
        <v>49</v>
      </c>
      <c r="G43" s="159"/>
      <c r="H43" s="160"/>
      <c r="I43" s="161"/>
    </row>
    <row r="44" spans="1:9" ht="18.75" customHeight="1" x14ac:dyDescent="0.2">
      <c r="A44" s="32">
        <v>25</v>
      </c>
      <c r="B44" s="159"/>
      <c r="C44" s="160"/>
      <c r="D44" s="160"/>
      <c r="E44" s="161"/>
      <c r="F44" s="32">
        <v>50</v>
      </c>
      <c r="G44" s="159"/>
      <c r="H44" s="160"/>
      <c r="I44" s="161"/>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heetViews>
  <sheetFormatPr defaultColWidth="9" defaultRowHeight="18.75" customHeight="1" x14ac:dyDescent="0.2"/>
  <cols>
    <col min="1" max="1" width="2.453125" style="60" customWidth="1"/>
    <col min="2" max="2" width="12.453125" style="60" customWidth="1"/>
    <col min="3" max="3" width="21" style="60" customWidth="1"/>
    <col min="4" max="18" width="6.26953125" style="60" customWidth="1"/>
    <col min="19" max="16384" width="9" style="60"/>
  </cols>
  <sheetData>
    <row r="1" spans="1:20" ht="18.75" customHeight="1" x14ac:dyDescent="0.2">
      <c r="F1" s="177" t="s">
        <v>71</v>
      </c>
      <c r="G1" s="177"/>
      <c r="H1" s="177"/>
      <c r="I1" s="177"/>
      <c r="J1" s="177"/>
      <c r="K1" s="177"/>
      <c r="L1" s="177"/>
      <c r="M1" s="177"/>
      <c r="N1" s="177"/>
      <c r="O1" s="177"/>
      <c r="P1" s="177"/>
      <c r="Q1" s="177"/>
      <c r="R1" s="177"/>
    </row>
    <row r="2" spans="1:20" ht="18.75" customHeight="1" x14ac:dyDescent="0.2">
      <c r="D2" s="82"/>
      <c r="E2" s="82"/>
      <c r="F2" s="82"/>
      <c r="G2" s="82"/>
      <c r="H2" s="82"/>
      <c r="I2" s="82"/>
      <c r="J2" s="82"/>
      <c r="K2" s="177" t="s">
        <v>63</v>
      </c>
      <c r="L2" s="177"/>
      <c r="M2" s="188" t="s">
        <v>148</v>
      </c>
      <c r="N2" s="188"/>
      <c r="O2" s="82"/>
      <c r="P2" s="82"/>
      <c r="Q2" s="82"/>
      <c r="R2" s="82"/>
    </row>
    <row r="3" spans="1:20" ht="7.5" customHeight="1" x14ac:dyDescent="0.2"/>
    <row r="4" spans="1:20" ht="18.75" customHeight="1" x14ac:dyDescent="0.2">
      <c r="A4" s="187" t="s">
        <v>120</v>
      </c>
      <c r="B4" s="187"/>
      <c r="C4" s="187"/>
      <c r="D4" s="187"/>
      <c r="E4" s="187"/>
      <c r="F4" s="187"/>
      <c r="G4" s="187"/>
      <c r="H4" s="187"/>
      <c r="I4" s="187"/>
      <c r="J4" s="187"/>
      <c r="K4" s="187"/>
      <c r="L4" s="187"/>
      <c r="M4" s="187"/>
      <c r="N4" s="187"/>
      <c r="O4" s="187"/>
      <c r="P4" s="187"/>
      <c r="Q4" s="187"/>
      <c r="R4" s="187"/>
      <c r="S4" s="74"/>
    </row>
    <row r="5" spans="1:20" ht="7.5" customHeight="1" x14ac:dyDescent="0.2">
      <c r="A5" s="69"/>
      <c r="B5" s="69"/>
      <c r="C5" s="69"/>
      <c r="D5" s="69"/>
      <c r="E5" s="69"/>
      <c r="F5" s="69"/>
      <c r="G5" s="69"/>
      <c r="H5" s="69"/>
      <c r="I5" s="69"/>
      <c r="J5" s="69"/>
      <c r="K5" s="69"/>
      <c r="L5" s="69"/>
      <c r="M5" s="69"/>
      <c r="N5" s="69"/>
      <c r="O5" s="69"/>
      <c r="P5" s="69"/>
      <c r="Q5" s="69"/>
      <c r="R5" s="69"/>
    </row>
    <row r="6" spans="1:20" ht="18.75" customHeight="1" x14ac:dyDescent="0.2">
      <c r="B6" s="191" t="s">
        <v>124</v>
      </c>
      <c r="C6" s="192"/>
      <c r="D6" s="178" t="s">
        <v>87</v>
      </c>
      <c r="E6" s="180" t="s">
        <v>114</v>
      </c>
      <c r="F6" s="180"/>
      <c r="G6" s="180" t="s">
        <v>115</v>
      </c>
      <c r="H6" s="180"/>
      <c r="I6" s="181" t="s">
        <v>116</v>
      </c>
      <c r="J6" s="182"/>
      <c r="K6" s="181" t="s">
        <v>117</v>
      </c>
      <c r="L6" s="182"/>
      <c r="M6" s="181" t="s">
        <v>118</v>
      </c>
      <c r="N6" s="182"/>
      <c r="O6" s="181" t="s">
        <v>119</v>
      </c>
      <c r="P6" s="182"/>
      <c r="Q6" s="183" t="s">
        <v>70</v>
      </c>
      <c r="R6" s="185" t="s">
        <v>64</v>
      </c>
      <c r="T6" s="83"/>
    </row>
    <row r="7" spans="1:20" ht="18.75" customHeight="1" x14ac:dyDescent="0.2">
      <c r="B7" s="193"/>
      <c r="C7" s="194"/>
      <c r="D7" s="179"/>
      <c r="E7" s="84" t="s">
        <v>50</v>
      </c>
      <c r="F7" s="85" t="s">
        <v>49</v>
      </c>
      <c r="G7" s="86" t="s">
        <v>50</v>
      </c>
      <c r="H7" s="87" t="s">
        <v>49</v>
      </c>
      <c r="I7" s="84" t="s">
        <v>50</v>
      </c>
      <c r="J7" s="85" t="s">
        <v>49</v>
      </c>
      <c r="K7" s="86" t="s">
        <v>50</v>
      </c>
      <c r="L7" s="87" t="s">
        <v>49</v>
      </c>
      <c r="M7" s="84" t="s">
        <v>50</v>
      </c>
      <c r="N7" s="85" t="s">
        <v>49</v>
      </c>
      <c r="O7" s="86" t="s">
        <v>50</v>
      </c>
      <c r="P7" s="87" t="s">
        <v>49</v>
      </c>
      <c r="Q7" s="184"/>
      <c r="R7" s="186"/>
      <c r="T7" s="83"/>
    </row>
    <row r="8" spans="1:20" ht="18.75" customHeight="1" x14ac:dyDescent="0.2">
      <c r="A8" s="75"/>
      <c r="B8" s="199" t="s">
        <v>174</v>
      </c>
      <c r="C8" s="200"/>
      <c r="D8" s="88">
        <v>560</v>
      </c>
      <c r="E8" s="88">
        <v>0</v>
      </c>
      <c r="F8" s="89">
        <v>0</v>
      </c>
      <c r="G8" s="90">
        <v>0</v>
      </c>
      <c r="H8" s="91">
        <v>0</v>
      </c>
      <c r="I8" s="88">
        <v>0</v>
      </c>
      <c r="J8" s="89">
        <v>0</v>
      </c>
      <c r="K8" s="90">
        <v>0</v>
      </c>
      <c r="L8" s="91">
        <v>0</v>
      </c>
      <c r="M8" s="88">
        <v>0</v>
      </c>
      <c r="N8" s="89">
        <v>0</v>
      </c>
      <c r="O8" s="90">
        <v>0</v>
      </c>
      <c r="P8" s="91">
        <v>0</v>
      </c>
      <c r="Q8" s="92">
        <f>E8+G8+I8+K8+M8+O8</f>
        <v>0</v>
      </c>
      <c r="R8" s="93">
        <f>Q8/D8</f>
        <v>0</v>
      </c>
    </row>
    <row r="9" spans="1:20" ht="18.75" customHeight="1" x14ac:dyDescent="0.2">
      <c r="A9" s="75"/>
      <c r="B9" s="195" t="s">
        <v>175</v>
      </c>
      <c r="C9" s="196"/>
      <c r="D9" s="94">
        <v>1220</v>
      </c>
      <c r="E9" s="94">
        <v>0</v>
      </c>
      <c r="F9" s="95">
        <v>0</v>
      </c>
      <c r="G9" s="96">
        <v>0</v>
      </c>
      <c r="H9" s="97">
        <v>0</v>
      </c>
      <c r="I9" s="94">
        <v>0</v>
      </c>
      <c r="J9" s="95">
        <v>0</v>
      </c>
      <c r="K9" s="96">
        <v>0</v>
      </c>
      <c r="L9" s="97">
        <v>0</v>
      </c>
      <c r="M9" s="94">
        <v>0</v>
      </c>
      <c r="N9" s="95">
        <v>0</v>
      </c>
      <c r="O9" s="96">
        <v>0</v>
      </c>
      <c r="P9" s="97">
        <v>0</v>
      </c>
      <c r="Q9" s="98">
        <f t="shared" ref="Q9:Q27" si="0">E9+G9+I9+K9+M9+O9</f>
        <v>0</v>
      </c>
      <c r="R9" s="93">
        <f t="shared" ref="R9:R27" si="1">Q9/D9</f>
        <v>0</v>
      </c>
    </row>
    <row r="10" spans="1:20" ht="18.75" customHeight="1" x14ac:dyDescent="0.2">
      <c r="A10" s="75"/>
      <c r="B10" s="195" t="s">
        <v>176</v>
      </c>
      <c r="C10" s="196"/>
      <c r="D10" s="94">
        <v>960</v>
      </c>
      <c r="E10" s="94">
        <v>9</v>
      </c>
      <c r="F10" s="95">
        <v>9</v>
      </c>
      <c r="G10" s="96">
        <v>0</v>
      </c>
      <c r="H10" s="97">
        <v>0</v>
      </c>
      <c r="I10" s="94">
        <v>0</v>
      </c>
      <c r="J10" s="95">
        <v>0</v>
      </c>
      <c r="K10" s="96">
        <v>0</v>
      </c>
      <c r="L10" s="97">
        <v>0</v>
      </c>
      <c r="M10" s="94">
        <v>0</v>
      </c>
      <c r="N10" s="95">
        <v>0</v>
      </c>
      <c r="O10" s="96">
        <v>0</v>
      </c>
      <c r="P10" s="97">
        <v>0</v>
      </c>
      <c r="Q10" s="98">
        <f t="shared" si="0"/>
        <v>9</v>
      </c>
      <c r="R10" s="93">
        <f t="shared" si="1"/>
        <v>9.3749999999999997E-3</v>
      </c>
    </row>
    <row r="11" spans="1:20" ht="18.75" customHeight="1" x14ac:dyDescent="0.2">
      <c r="A11" s="75"/>
      <c r="B11" s="195" t="s">
        <v>177</v>
      </c>
      <c r="C11" s="196"/>
      <c r="D11" s="94">
        <v>520</v>
      </c>
      <c r="E11" s="94">
        <v>1</v>
      </c>
      <c r="F11" s="95">
        <v>1</v>
      </c>
      <c r="G11" s="96">
        <v>0</v>
      </c>
      <c r="H11" s="97">
        <v>0</v>
      </c>
      <c r="I11" s="94">
        <v>0</v>
      </c>
      <c r="J11" s="95">
        <v>0</v>
      </c>
      <c r="K11" s="96">
        <v>0</v>
      </c>
      <c r="L11" s="97">
        <v>0</v>
      </c>
      <c r="M11" s="94">
        <v>0</v>
      </c>
      <c r="N11" s="95">
        <v>0</v>
      </c>
      <c r="O11" s="96">
        <v>0</v>
      </c>
      <c r="P11" s="97">
        <v>0</v>
      </c>
      <c r="Q11" s="98">
        <f t="shared" si="0"/>
        <v>1</v>
      </c>
      <c r="R11" s="93">
        <f t="shared" si="1"/>
        <v>1.9230769230769232E-3</v>
      </c>
    </row>
    <row r="12" spans="1:20" ht="18.75" customHeight="1" x14ac:dyDescent="0.2">
      <c r="A12" s="75"/>
      <c r="B12" s="195" t="s">
        <v>178</v>
      </c>
      <c r="C12" s="196"/>
      <c r="D12" s="94">
        <v>1260</v>
      </c>
      <c r="E12" s="94">
        <v>0</v>
      </c>
      <c r="F12" s="95">
        <v>0</v>
      </c>
      <c r="G12" s="96">
        <v>0</v>
      </c>
      <c r="H12" s="97">
        <v>0</v>
      </c>
      <c r="I12" s="94">
        <v>0</v>
      </c>
      <c r="J12" s="95">
        <v>0</v>
      </c>
      <c r="K12" s="96">
        <v>0</v>
      </c>
      <c r="L12" s="97">
        <v>0</v>
      </c>
      <c r="M12" s="94">
        <v>0</v>
      </c>
      <c r="N12" s="95">
        <v>0</v>
      </c>
      <c r="O12" s="96">
        <v>0</v>
      </c>
      <c r="P12" s="97">
        <v>0</v>
      </c>
      <c r="Q12" s="98">
        <f t="shared" si="0"/>
        <v>0</v>
      </c>
      <c r="R12" s="93">
        <f t="shared" si="1"/>
        <v>0</v>
      </c>
    </row>
    <row r="13" spans="1:20" ht="18.75" customHeight="1" x14ac:dyDescent="0.2">
      <c r="A13" s="75"/>
      <c r="B13" s="195" t="s">
        <v>179</v>
      </c>
      <c r="C13" s="196"/>
      <c r="D13" s="94">
        <v>1080</v>
      </c>
      <c r="E13" s="94">
        <v>2</v>
      </c>
      <c r="F13" s="95">
        <v>2</v>
      </c>
      <c r="G13" s="96">
        <v>0</v>
      </c>
      <c r="H13" s="97">
        <v>0</v>
      </c>
      <c r="I13" s="94">
        <v>0</v>
      </c>
      <c r="J13" s="95">
        <v>0</v>
      </c>
      <c r="K13" s="96">
        <v>0</v>
      </c>
      <c r="L13" s="97">
        <v>0</v>
      </c>
      <c r="M13" s="94">
        <v>0</v>
      </c>
      <c r="N13" s="95">
        <v>0</v>
      </c>
      <c r="O13" s="96">
        <v>0</v>
      </c>
      <c r="P13" s="97">
        <v>0</v>
      </c>
      <c r="Q13" s="98">
        <f t="shared" si="0"/>
        <v>2</v>
      </c>
      <c r="R13" s="93">
        <f t="shared" si="1"/>
        <v>1.8518518518518519E-3</v>
      </c>
    </row>
    <row r="14" spans="1:20" ht="18.75" customHeight="1" x14ac:dyDescent="0.2">
      <c r="A14" s="75"/>
      <c r="B14" s="195" t="s">
        <v>180</v>
      </c>
      <c r="C14" s="196"/>
      <c r="D14" s="94">
        <v>640</v>
      </c>
      <c r="E14" s="94">
        <v>15</v>
      </c>
      <c r="F14" s="95">
        <v>12</v>
      </c>
      <c r="G14" s="96">
        <v>0</v>
      </c>
      <c r="H14" s="97">
        <v>0</v>
      </c>
      <c r="I14" s="94">
        <v>0</v>
      </c>
      <c r="J14" s="95">
        <v>0</v>
      </c>
      <c r="K14" s="96">
        <v>0</v>
      </c>
      <c r="L14" s="97">
        <v>0</v>
      </c>
      <c r="M14" s="94">
        <v>0</v>
      </c>
      <c r="N14" s="95">
        <v>0</v>
      </c>
      <c r="O14" s="96">
        <v>0</v>
      </c>
      <c r="P14" s="97">
        <v>0</v>
      </c>
      <c r="Q14" s="98">
        <f t="shared" si="0"/>
        <v>15</v>
      </c>
      <c r="R14" s="93">
        <f t="shared" si="1"/>
        <v>2.34375E-2</v>
      </c>
    </row>
    <row r="15" spans="1:20" ht="18.75" customHeight="1" x14ac:dyDescent="0.2">
      <c r="A15" s="75"/>
      <c r="B15" s="195" t="s">
        <v>181</v>
      </c>
      <c r="C15" s="196"/>
      <c r="D15" s="94">
        <v>360</v>
      </c>
      <c r="E15" s="94">
        <v>0</v>
      </c>
      <c r="F15" s="95">
        <v>0</v>
      </c>
      <c r="G15" s="96">
        <v>0</v>
      </c>
      <c r="H15" s="97">
        <v>0</v>
      </c>
      <c r="I15" s="94">
        <v>0</v>
      </c>
      <c r="J15" s="95">
        <v>0</v>
      </c>
      <c r="K15" s="96">
        <v>0</v>
      </c>
      <c r="L15" s="97">
        <v>0</v>
      </c>
      <c r="M15" s="94">
        <v>0</v>
      </c>
      <c r="N15" s="95">
        <v>0</v>
      </c>
      <c r="O15" s="96">
        <v>0</v>
      </c>
      <c r="P15" s="97">
        <v>0</v>
      </c>
      <c r="Q15" s="98">
        <f t="shared" si="0"/>
        <v>0</v>
      </c>
      <c r="R15" s="93">
        <f t="shared" si="1"/>
        <v>0</v>
      </c>
    </row>
    <row r="16" spans="1:20" ht="18.75" customHeight="1" x14ac:dyDescent="0.2">
      <c r="A16" s="75"/>
      <c r="B16" s="195"/>
      <c r="C16" s="196"/>
      <c r="D16" s="94"/>
      <c r="E16" s="94"/>
      <c r="F16" s="95"/>
      <c r="G16" s="96"/>
      <c r="H16" s="97"/>
      <c r="I16" s="94"/>
      <c r="J16" s="95"/>
      <c r="K16" s="96"/>
      <c r="L16" s="97"/>
      <c r="M16" s="94"/>
      <c r="N16" s="95"/>
      <c r="O16" s="96"/>
      <c r="P16" s="97"/>
      <c r="Q16" s="98">
        <f>E16+G16+I16+K16+M16+O16</f>
        <v>0</v>
      </c>
      <c r="R16" s="93" t="e">
        <f t="shared" si="1"/>
        <v>#DIV/0!</v>
      </c>
    </row>
    <row r="17" spans="1:18" ht="18.75" customHeight="1" x14ac:dyDescent="0.2">
      <c r="A17" s="75"/>
      <c r="B17" s="195"/>
      <c r="C17" s="196"/>
      <c r="D17" s="94"/>
      <c r="E17" s="94"/>
      <c r="F17" s="95"/>
      <c r="G17" s="96"/>
      <c r="H17" s="97"/>
      <c r="I17" s="94"/>
      <c r="J17" s="95"/>
      <c r="K17" s="96"/>
      <c r="L17" s="97"/>
      <c r="M17" s="94"/>
      <c r="N17" s="95"/>
      <c r="O17" s="96"/>
      <c r="P17" s="97"/>
      <c r="Q17" s="98">
        <f t="shared" si="0"/>
        <v>0</v>
      </c>
      <c r="R17" s="93" t="e">
        <f t="shared" si="1"/>
        <v>#DIV/0!</v>
      </c>
    </row>
    <row r="18" spans="1:18" ht="18.75" customHeight="1" x14ac:dyDescent="0.2">
      <c r="A18" s="75"/>
      <c r="B18" s="195"/>
      <c r="C18" s="196"/>
      <c r="D18" s="94"/>
      <c r="E18" s="94"/>
      <c r="F18" s="95"/>
      <c r="G18" s="96"/>
      <c r="H18" s="97"/>
      <c r="I18" s="94"/>
      <c r="J18" s="95"/>
      <c r="K18" s="96"/>
      <c r="L18" s="97"/>
      <c r="M18" s="94"/>
      <c r="N18" s="95"/>
      <c r="O18" s="96"/>
      <c r="P18" s="97"/>
      <c r="Q18" s="98">
        <f t="shared" si="0"/>
        <v>0</v>
      </c>
      <c r="R18" s="93" t="e">
        <f t="shared" si="1"/>
        <v>#DIV/0!</v>
      </c>
    </row>
    <row r="19" spans="1:18" ht="18.75" customHeight="1" x14ac:dyDescent="0.2">
      <c r="A19" s="75"/>
      <c r="B19" s="195"/>
      <c r="C19" s="196"/>
      <c r="D19" s="94"/>
      <c r="E19" s="94"/>
      <c r="F19" s="95"/>
      <c r="G19" s="96"/>
      <c r="H19" s="97"/>
      <c r="I19" s="94"/>
      <c r="J19" s="95"/>
      <c r="K19" s="96"/>
      <c r="L19" s="97"/>
      <c r="M19" s="94"/>
      <c r="N19" s="95"/>
      <c r="O19" s="96"/>
      <c r="P19" s="97"/>
      <c r="Q19" s="98">
        <f t="shared" si="0"/>
        <v>0</v>
      </c>
      <c r="R19" s="93" t="e">
        <f t="shared" si="1"/>
        <v>#DIV/0!</v>
      </c>
    </row>
    <row r="20" spans="1:18" ht="18.75" customHeight="1" x14ac:dyDescent="0.2">
      <c r="A20" s="75"/>
      <c r="B20" s="195"/>
      <c r="C20" s="196"/>
      <c r="D20" s="94"/>
      <c r="E20" s="94"/>
      <c r="F20" s="95"/>
      <c r="G20" s="96"/>
      <c r="H20" s="97"/>
      <c r="I20" s="94"/>
      <c r="J20" s="95"/>
      <c r="K20" s="96"/>
      <c r="L20" s="97"/>
      <c r="M20" s="94"/>
      <c r="N20" s="95"/>
      <c r="O20" s="96"/>
      <c r="P20" s="97"/>
      <c r="Q20" s="98">
        <f t="shared" si="0"/>
        <v>0</v>
      </c>
      <c r="R20" s="93" t="e">
        <f t="shared" si="1"/>
        <v>#DIV/0!</v>
      </c>
    </row>
    <row r="21" spans="1:18" ht="18.75" customHeight="1" x14ac:dyDescent="0.2">
      <c r="A21" s="75"/>
      <c r="B21" s="195"/>
      <c r="C21" s="196"/>
      <c r="D21" s="94"/>
      <c r="E21" s="94"/>
      <c r="F21" s="95"/>
      <c r="G21" s="96"/>
      <c r="H21" s="97"/>
      <c r="I21" s="94"/>
      <c r="J21" s="95"/>
      <c r="K21" s="96"/>
      <c r="L21" s="97"/>
      <c r="M21" s="94"/>
      <c r="N21" s="95"/>
      <c r="O21" s="96"/>
      <c r="P21" s="97"/>
      <c r="Q21" s="98">
        <f t="shared" si="0"/>
        <v>0</v>
      </c>
      <c r="R21" s="93" t="e">
        <f t="shared" si="1"/>
        <v>#DIV/0!</v>
      </c>
    </row>
    <row r="22" spans="1:18" ht="18.75" customHeight="1" x14ac:dyDescent="0.2">
      <c r="A22" s="75"/>
      <c r="B22" s="195"/>
      <c r="C22" s="196"/>
      <c r="D22" s="94"/>
      <c r="E22" s="94"/>
      <c r="F22" s="95"/>
      <c r="G22" s="96"/>
      <c r="H22" s="97"/>
      <c r="I22" s="94"/>
      <c r="J22" s="95"/>
      <c r="K22" s="96"/>
      <c r="L22" s="97"/>
      <c r="M22" s="94"/>
      <c r="N22" s="95"/>
      <c r="O22" s="96"/>
      <c r="P22" s="97"/>
      <c r="Q22" s="98">
        <f t="shared" si="0"/>
        <v>0</v>
      </c>
      <c r="R22" s="93" t="e">
        <f t="shared" si="1"/>
        <v>#DIV/0!</v>
      </c>
    </row>
    <row r="23" spans="1:18" ht="18.75" customHeight="1" x14ac:dyDescent="0.2">
      <c r="A23" s="75"/>
      <c r="B23" s="195"/>
      <c r="C23" s="196"/>
      <c r="D23" s="94"/>
      <c r="E23" s="94"/>
      <c r="F23" s="95"/>
      <c r="G23" s="96"/>
      <c r="H23" s="97"/>
      <c r="I23" s="94"/>
      <c r="J23" s="95"/>
      <c r="K23" s="96"/>
      <c r="L23" s="97"/>
      <c r="M23" s="94"/>
      <c r="N23" s="95"/>
      <c r="O23" s="96"/>
      <c r="P23" s="97"/>
      <c r="Q23" s="98">
        <f t="shared" si="0"/>
        <v>0</v>
      </c>
      <c r="R23" s="93" t="e">
        <f t="shared" si="1"/>
        <v>#DIV/0!</v>
      </c>
    </row>
    <row r="24" spans="1:18" ht="18.75" customHeight="1" x14ac:dyDescent="0.2">
      <c r="A24" s="75"/>
      <c r="B24" s="195"/>
      <c r="C24" s="196"/>
      <c r="D24" s="94"/>
      <c r="E24" s="94"/>
      <c r="F24" s="95"/>
      <c r="G24" s="96"/>
      <c r="H24" s="97"/>
      <c r="I24" s="94"/>
      <c r="J24" s="95"/>
      <c r="K24" s="96"/>
      <c r="L24" s="97"/>
      <c r="M24" s="94"/>
      <c r="N24" s="95"/>
      <c r="O24" s="96"/>
      <c r="P24" s="97"/>
      <c r="Q24" s="98">
        <f t="shared" si="0"/>
        <v>0</v>
      </c>
      <c r="R24" s="93" t="e">
        <f t="shared" si="1"/>
        <v>#DIV/0!</v>
      </c>
    </row>
    <row r="25" spans="1:18" ht="18.75" customHeight="1" x14ac:dyDescent="0.2">
      <c r="A25" s="75"/>
      <c r="B25" s="195"/>
      <c r="C25" s="196"/>
      <c r="D25" s="94"/>
      <c r="E25" s="94"/>
      <c r="F25" s="95"/>
      <c r="G25" s="96"/>
      <c r="H25" s="97"/>
      <c r="I25" s="94"/>
      <c r="J25" s="95"/>
      <c r="K25" s="96"/>
      <c r="L25" s="97"/>
      <c r="M25" s="94"/>
      <c r="N25" s="95"/>
      <c r="O25" s="96"/>
      <c r="P25" s="97"/>
      <c r="Q25" s="98">
        <f t="shared" si="0"/>
        <v>0</v>
      </c>
      <c r="R25" s="93" t="e">
        <f t="shared" si="1"/>
        <v>#DIV/0!</v>
      </c>
    </row>
    <row r="26" spans="1:18" ht="18.75" customHeight="1" x14ac:dyDescent="0.2">
      <c r="A26" s="75"/>
      <c r="B26" s="195"/>
      <c r="C26" s="196"/>
      <c r="D26" s="94"/>
      <c r="E26" s="94"/>
      <c r="F26" s="95"/>
      <c r="G26" s="96"/>
      <c r="H26" s="97"/>
      <c r="I26" s="94"/>
      <c r="J26" s="95"/>
      <c r="K26" s="96"/>
      <c r="L26" s="97"/>
      <c r="M26" s="94"/>
      <c r="N26" s="95"/>
      <c r="O26" s="96"/>
      <c r="P26" s="97"/>
      <c r="Q26" s="98">
        <f t="shared" si="0"/>
        <v>0</v>
      </c>
      <c r="R26" s="93" t="e">
        <f t="shared" si="1"/>
        <v>#DIV/0!</v>
      </c>
    </row>
    <row r="27" spans="1:18" ht="18.75" customHeight="1" thickBot="1" x14ac:dyDescent="0.25">
      <c r="A27" s="75"/>
      <c r="B27" s="197"/>
      <c r="C27" s="198"/>
      <c r="D27" s="88"/>
      <c r="E27" s="88"/>
      <c r="F27" s="89"/>
      <c r="G27" s="90"/>
      <c r="H27" s="91"/>
      <c r="I27" s="88"/>
      <c r="J27" s="89"/>
      <c r="K27" s="90"/>
      <c r="L27" s="91"/>
      <c r="M27" s="88"/>
      <c r="N27" s="89"/>
      <c r="O27" s="90"/>
      <c r="P27" s="91"/>
      <c r="Q27" s="99">
        <f t="shared" si="0"/>
        <v>0</v>
      </c>
      <c r="R27" s="93" t="e">
        <f t="shared" si="1"/>
        <v>#DIV/0!</v>
      </c>
    </row>
    <row r="28" spans="1:18" ht="18.75" customHeight="1" thickTop="1" x14ac:dyDescent="0.2">
      <c r="A28" s="75"/>
      <c r="B28" s="189" t="s">
        <v>65</v>
      </c>
      <c r="C28" s="190"/>
      <c r="D28" s="100">
        <f t="shared" ref="D28:Q28" si="2">SUM(D8:D27)</f>
        <v>6600</v>
      </c>
      <c r="E28" s="100">
        <f t="shared" si="2"/>
        <v>27</v>
      </c>
      <c r="F28" s="101">
        <f t="shared" si="2"/>
        <v>24</v>
      </c>
      <c r="G28" s="102">
        <f t="shared" si="2"/>
        <v>0</v>
      </c>
      <c r="H28" s="103">
        <f t="shared" si="2"/>
        <v>0</v>
      </c>
      <c r="I28" s="100">
        <f t="shared" si="2"/>
        <v>0</v>
      </c>
      <c r="J28" s="101">
        <f t="shared" si="2"/>
        <v>0</v>
      </c>
      <c r="K28" s="102">
        <f t="shared" si="2"/>
        <v>0</v>
      </c>
      <c r="L28" s="103">
        <f t="shared" si="2"/>
        <v>0</v>
      </c>
      <c r="M28" s="100">
        <f t="shared" si="2"/>
        <v>0</v>
      </c>
      <c r="N28" s="101">
        <f t="shared" si="2"/>
        <v>0</v>
      </c>
      <c r="O28" s="102">
        <f t="shared" si="2"/>
        <v>0</v>
      </c>
      <c r="P28" s="103">
        <f t="shared" si="2"/>
        <v>0</v>
      </c>
      <c r="Q28" s="104">
        <f t="shared" si="2"/>
        <v>27</v>
      </c>
      <c r="R28" s="105">
        <f>Q28/D28</f>
        <v>4.0909090909090912E-3</v>
      </c>
    </row>
    <row r="29" spans="1:18" ht="6.75" customHeight="1" x14ac:dyDescent="0.2">
      <c r="A29" s="75"/>
      <c r="B29" s="75"/>
      <c r="C29" s="75"/>
      <c r="D29" s="106"/>
      <c r="E29" s="106"/>
      <c r="F29" s="106"/>
      <c r="G29" s="106"/>
      <c r="H29" s="106"/>
      <c r="I29" s="106"/>
      <c r="J29" s="106"/>
      <c r="K29" s="106"/>
      <c r="L29" s="106"/>
      <c r="M29" s="106"/>
      <c r="N29" s="106"/>
      <c r="O29" s="106"/>
      <c r="P29" s="106"/>
      <c r="Q29" s="106"/>
      <c r="R29" s="106"/>
    </row>
  </sheetData>
  <mergeCells count="35">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 ref="M2:N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4"/>
  <sheetViews>
    <sheetView workbookViewId="0"/>
  </sheetViews>
  <sheetFormatPr defaultColWidth="9" defaultRowHeight="14" x14ac:dyDescent="0.2"/>
  <cols>
    <col min="1" max="1" width="2.453125" style="1" customWidth="1"/>
    <col min="2" max="2" width="19" style="1" customWidth="1"/>
    <col min="3" max="3" width="25" style="1" customWidth="1"/>
    <col min="4" max="4" width="10" style="1" customWidth="1"/>
    <col min="5" max="7" width="25" style="1" customWidth="1"/>
    <col min="8" max="16384" width="9" style="1"/>
  </cols>
  <sheetData>
    <row r="1" spans="1:7" s="18" customFormat="1" ht="18.75" customHeight="1" x14ac:dyDescent="0.2">
      <c r="G1" s="55" t="s">
        <v>151</v>
      </c>
    </row>
    <row r="2" spans="1:7" s="18" customFormat="1" ht="18.75" customHeight="1" x14ac:dyDescent="0.2">
      <c r="F2" s="27" t="s">
        <v>73</v>
      </c>
      <c r="G2" s="20" t="s">
        <v>148</v>
      </c>
    </row>
    <row r="3" spans="1:7" s="18" customFormat="1" ht="18.75" customHeight="1" x14ac:dyDescent="0.2">
      <c r="A3" s="154" t="s">
        <v>91</v>
      </c>
      <c r="B3" s="154"/>
      <c r="C3" s="154"/>
      <c r="D3" s="154"/>
      <c r="E3" s="154"/>
      <c r="F3" s="154"/>
      <c r="G3" s="154"/>
    </row>
    <row r="4" spans="1:7" s="18" customFormat="1" ht="18.75" customHeight="1" x14ac:dyDescent="0.2">
      <c r="A4" s="18" t="s">
        <v>7</v>
      </c>
      <c r="B4" s="18" t="s">
        <v>90</v>
      </c>
    </row>
    <row r="5" spans="1:7" s="56" customFormat="1" ht="18.75" customHeight="1" x14ac:dyDescent="0.2">
      <c r="B5" s="58" t="s">
        <v>72</v>
      </c>
      <c r="C5" s="162" t="s">
        <v>103</v>
      </c>
      <c r="D5" s="163"/>
      <c r="E5" s="163"/>
      <c r="F5" s="163"/>
      <c r="G5" s="164"/>
    </row>
    <row r="6" spans="1:7" s="56" customFormat="1" ht="45" customHeight="1" x14ac:dyDescent="0.2">
      <c r="B6" s="240" t="s">
        <v>106</v>
      </c>
      <c r="C6" s="217" t="s">
        <v>194</v>
      </c>
      <c r="D6" s="218"/>
      <c r="E6" s="218"/>
      <c r="F6" s="218"/>
      <c r="G6" s="219"/>
    </row>
    <row r="7" spans="1:7" s="56" customFormat="1" ht="45" customHeight="1" x14ac:dyDescent="0.2">
      <c r="B7" s="241"/>
      <c r="C7" s="220"/>
      <c r="D7" s="221"/>
      <c r="E7" s="221"/>
      <c r="F7" s="221"/>
      <c r="G7" s="222"/>
    </row>
    <row r="8" spans="1:7" s="56" customFormat="1" ht="45" customHeight="1" x14ac:dyDescent="0.2">
      <c r="B8" s="241"/>
      <c r="C8" s="220"/>
      <c r="D8" s="221"/>
      <c r="E8" s="221"/>
      <c r="F8" s="221"/>
      <c r="G8" s="222"/>
    </row>
    <row r="9" spans="1:7" s="56" customFormat="1" ht="45" customHeight="1" x14ac:dyDescent="0.2">
      <c r="B9" s="241"/>
      <c r="C9" s="223"/>
      <c r="D9" s="224"/>
      <c r="E9" s="224"/>
      <c r="F9" s="224"/>
      <c r="G9" s="225"/>
    </row>
    <row r="10" spans="1:7" s="56" customFormat="1" ht="18.75" customHeight="1" x14ac:dyDescent="0.2">
      <c r="B10" s="241"/>
      <c r="C10" s="107" t="s">
        <v>104</v>
      </c>
      <c r="D10" s="261" t="s">
        <v>105</v>
      </c>
      <c r="E10" s="262"/>
      <c r="F10" s="262"/>
      <c r="G10" s="263"/>
    </row>
    <row r="11" spans="1:7" s="56" customFormat="1" ht="48" customHeight="1" x14ac:dyDescent="0.2">
      <c r="B11" s="241"/>
      <c r="C11" s="118" t="s">
        <v>139</v>
      </c>
      <c r="D11" s="204" t="s">
        <v>152</v>
      </c>
      <c r="E11" s="215"/>
      <c r="F11" s="215"/>
      <c r="G11" s="216"/>
    </row>
    <row r="12" spans="1:7" s="33" customFormat="1" ht="35.25" customHeight="1" x14ac:dyDescent="0.2">
      <c r="B12" s="241"/>
      <c r="C12" s="121" t="s">
        <v>142</v>
      </c>
      <c r="D12" s="243" t="s">
        <v>153</v>
      </c>
      <c r="E12" s="244"/>
      <c r="F12" s="244"/>
      <c r="G12" s="245"/>
    </row>
    <row r="13" spans="1:7" s="33" customFormat="1" ht="16" customHeight="1" x14ac:dyDescent="0.2">
      <c r="B13" s="241"/>
      <c r="C13" s="120"/>
      <c r="D13" s="207"/>
      <c r="E13" s="208"/>
      <c r="F13" s="208"/>
      <c r="G13" s="209"/>
    </row>
    <row r="14" spans="1:7" s="33" customFormat="1" ht="16" customHeight="1" x14ac:dyDescent="0.2">
      <c r="B14" s="241"/>
      <c r="C14" s="120"/>
      <c r="D14" s="207"/>
      <c r="E14" s="208"/>
      <c r="F14" s="208"/>
      <c r="G14" s="209"/>
    </row>
    <row r="15" spans="1:7" s="36" customFormat="1" ht="16" customHeight="1" x14ac:dyDescent="0.2">
      <c r="B15" s="241"/>
      <c r="C15" s="120"/>
      <c r="D15" s="264"/>
      <c r="E15" s="212"/>
      <c r="F15" s="212"/>
      <c r="G15" s="213"/>
    </row>
    <row r="16" spans="1:7" s="36" customFormat="1" ht="16" customHeight="1" x14ac:dyDescent="0.2">
      <c r="B16" s="241"/>
      <c r="C16" s="123"/>
      <c r="D16" s="211"/>
      <c r="E16" s="212"/>
      <c r="F16" s="212"/>
      <c r="G16" s="213"/>
    </row>
    <row r="17" spans="2:7" s="36" customFormat="1" ht="16" customHeight="1" x14ac:dyDescent="0.2">
      <c r="B17" s="241"/>
      <c r="C17" s="46"/>
      <c r="D17" s="236"/>
      <c r="E17" s="237"/>
      <c r="F17" s="237"/>
      <c r="G17" s="238"/>
    </row>
    <row r="18" spans="2:7" s="36" customFormat="1" ht="16" customHeight="1" x14ac:dyDescent="0.2">
      <c r="B18" s="241"/>
      <c r="C18" s="46"/>
      <c r="D18" s="236"/>
      <c r="E18" s="237"/>
      <c r="F18" s="237"/>
      <c r="G18" s="238"/>
    </row>
    <row r="19" spans="2:7" s="36" customFormat="1" ht="16" customHeight="1" x14ac:dyDescent="0.2">
      <c r="B19" s="241"/>
      <c r="C19" s="46"/>
      <c r="D19" s="236"/>
      <c r="E19" s="237"/>
      <c r="F19" s="237"/>
      <c r="G19" s="238"/>
    </row>
    <row r="20" spans="2:7" s="36" customFormat="1" ht="16" customHeight="1" x14ac:dyDescent="0.2">
      <c r="B20" s="241"/>
      <c r="C20" s="46"/>
      <c r="D20" s="236"/>
      <c r="E20" s="237"/>
      <c r="F20" s="237"/>
      <c r="G20" s="238"/>
    </row>
    <row r="21" spans="2:7" s="36" customFormat="1" ht="16" customHeight="1" x14ac:dyDescent="0.2">
      <c r="B21" s="241"/>
      <c r="C21" s="46"/>
      <c r="D21" s="236"/>
      <c r="E21" s="237"/>
      <c r="F21" s="237"/>
      <c r="G21" s="238"/>
    </row>
    <row r="22" spans="2:7" s="36" customFormat="1" ht="16" customHeight="1" x14ac:dyDescent="0.2">
      <c r="B22" s="241"/>
      <c r="C22" s="46"/>
      <c r="D22" s="236"/>
      <c r="E22" s="237"/>
      <c r="F22" s="237"/>
      <c r="G22" s="238"/>
    </row>
    <row r="23" spans="2:7" s="33" customFormat="1" ht="16" customHeight="1" x14ac:dyDescent="0.2">
      <c r="B23" s="242"/>
      <c r="C23" s="46"/>
      <c r="D23" s="236"/>
      <c r="E23" s="237"/>
      <c r="F23" s="237"/>
      <c r="G23" s="238"/>
    </row>
    <row r="24" spans="2:7" ht="18.75" customHeight="1" x14ac:dyDescent="0.2">
      <c r="B24" s="240" t="s">
        <v>107</v>
      </c>
      <c r="C24" s="236" t="s">
        <v>103</v>
      </c>
      <c r="D24" s="237"/>
      <c r="E24" s="237"/>
      <c r="F24" s="237"/>
      <c r="G24" s="238"/>
    </row>
    <row r="25" spans="2:7" ht="37.5" customHeight="1" x14ac:dyDescent="0.2">
      <c r="B25" s="241"/>
      <c r="C25" s="246" t="s">
        <v>195</v>
      </c>
      <c r="D25" s="247"/>
      <c r="E25" s="247"/>
      <c r="F25" s="247"/>
      <c r="G25" s="248"/>
    </row>
    <row r="26" spans="2:7" ht="37.5" customHeight="1" x14ac:dyDescent="0.2">
      <c r="B26" s="241"/>
      <c r="C26" s="249"/>
      <c r="D26" s="250"/>
      <c r="E26" s="250"/>
      <c r="F26" s="250"/>
      <c r="G26" s="251"/>
    </row>
    <row r="27" spans="2:7" ht="37.5" customHeight="1" x14ac:dyDescent="0.2">
      <c r="B27" s="241"/>
      <c r="C27" s="249"/>
      <c r="D27" s="250"/>
      <c r="E27" s="250"/>
      <c r="F27" s="250"/>
      <c r="G27" s="251"/>
    </row>
    <row r="28" spans="2:7" ht="37.5" customHeight="1" x14ac:dyDescent="0.2">
      <c r="B28" s="241"/>
      <c r="C28" s="249"/>
      <c r="D28" s="250"/>
      <c r="E28" s="250"/>
      <c r="F28" s="250"/>
      <c r="G28" s="251"/>
    </row>
    <row r="29" spans="2:7" ht="37.5" customHeight="1" x14ac:dyDescent="0.2">
      <c r="B29" s="241"/>
      <c r="C29" s="252"/>
      <c r="D29" s="253"/>
      <c r="E29" s="253"/>
      <c r="F29" s="253"/>
      <c r="G29" s="254"/>
    </row>
    <row r="30" spans="2:7" ht="18.75" customHeight="1" x14ac:dyDescent="0.2">
      <c r="B30" s="241"/>
      <c r="C30" s="107" t="s">
        <v>104</v>
      </c>
      <c r="D30" s="162" t="s">
        <v>105</v>
      </c>
      <c r="E30" s="163"/>
      <c r="F30" s="163"/>
      <c r="G30" s="164"/>
    </row>
    <row r="31" spans="2:7" ht="37.5" customHeight="1" x14ac:dyDescent="0.2">
      <c r="B31" s="241"/>
      <c r="C31" s="119" t="s">
        <v>139</v>
      </c>
      <c r="D31" s="204" t="s">
        <v>154</v>
      </c>
      <c r="E31" s="205"/>
      <c r="F31" s="205"/>
      <c r="G31" s="206"/>
    </row>
    <row r="32" spans="2:7" ht="37.5" customHeight="1" x14ac:dyDescent="0.2">
      <c r="B32" s="241"/>
      <c r="C32" s="121" t="s">
        <v>142</v>
      </c>
      <c r="D32" s="243" t="s">
        <v>188</v>
      </c>
      <c r="E32" s="244"/>
      <c r="F32" s="244"/>
      <c r="G32" s="245"/>
    </row>
    <row r="33" spans="2:7" ht="16" customHeight="1" x14ac:dyDescent="0.2">
      <c r="B33" s="241"/>
      <c r="C33" s="47"/>
      <c r="D33" s="207"/>
      <c r="E33" s="208"/>
      <c r="F33" s="208"/>
      <c r="G33" s="209"/>
    </row>
    <row r="34" spans="2:7" ht="16" customHeight="1" x14ac:dyDescent="0.2">
      <c r="B34" s="241"/>
      <c r="C34" s="47"/>
      <c r="D34" s="207"/>
      <c r="E34" s="208"/>
      <c r="F34" s="208"/>
      <c r="G34" s="209"/>
    </row>
    <row r="35" spans="2:7" ht="16" customHeight="1" x14ac:dyDescent="0.2">
      <c r="B35" s="241"/>
      <c r="C35" s="122"/>
      <c r="D35" s="211"/>
      <c r="E35" s="212"/>
      <c r="F35" s="212"/>
      <c r="G35" s="213"/>
    </row>
    <row r="36" spans="2:7" ht="16" customHeight="1" x14ac:dyDescent="0.2">
      <c r="B36" s="241"/>
      <c r="C36" s="46"/>
      <c r="D36" s="201"/>
      <c r="E36" s="202"/>
      <c r="F36" s="202"/>
      <c r="G36" s="203"/>
    </row>
    <row r="37" spans="2:7" ht="16" customHeight="1" x14ac:dyDescent="0.2">
      <c r="B37" s="241"/>
      <c r="C37" s="46"/>
      <c r="D37" s="201"/>
      <c r="E37" s="202"/>
      <c r="F37" s="202"/>
      <c r="G37" s="203"/>
    </row>
    <row r="38" spans="2:7" ht="16" customHeight="1" x14ac:dyDescent="0.2">
      <c r="B38" s="241"/>
      <c r="C38" s="46"/>
      <c r="D38" s="201"/>
      <c r="E38" s="202"/>
      <c r="F38" s="202"/>
      <c r="G38" s="203"/>
    </row>
    <row r="39" spans="2:7" ht="16" customHeight="1" x14ac:dyDescent="0.2">
      <c r="B39" s="241"/>
      <c r="C39" s="46"/>
      <c r="D39" s="201"/>
      <c r="E39" s="202"/>
      <c r="F39" s="202"/>
      <c r="G39" s="203"/>
    </row>
    <row r="40" spans="2:7" ht="16" customHeight="1" x14ac:dyDescent="0.2">
      <c r="B40" s="241"/>
      <c r="C40" s="46"/>
      <c r="D40" s="201"/>
      <c r="E40" s="202"/>
      <c r="F40" s="202"/>
      <c r="G40" s="203"/>
    </row>
    <row r="41" spans="2:7" ht="16" customHeight="1" x14ac:dyDescent="0.2">
      <c r="B41" s="241"/>
      <c r="C41" s="46"/>
      <c r="D41" s="201"/>
      <c r="E41" s="202"/>
      <c r="F41" s="202"/>
      <c r="G41" s="203"/>
    </row>
    <row r="42" spans="2:7" ht="16" customHeight="1" x14ac:dyDescent="0.2">
      <c r="B42" s="241"/>
      <c r="C42" s="46"/>
      <c r="D42" s="201"/>
      <c r="E42" s="202"/>
      <c r="F42" s="202"/>
      <c r="G42" s="203"/>
    </row>
    <row r="43" spans="2:7" ht="16" customHeight="1" x14ac:dyDescent="0.2">
      <c r="B43" s="241"/>
      <c r="C43" s="46"/>
      <c r="D43" s="201"/>
      <c r="E43" s="202"/>
      <c r="F43" s="202"/>
      <c r="G43" s="203"/>
    </row>
    <row r="44" spans="2:7" ht="16" customHeight="1" x14ac:dyDescent="0.2">
      <c r="B44" s="241"/>
      <c r="C44" s="46"/>
      <c r="D44" s="201"/>
      <c r="E44" s="202"/>
      <c r="F44" s="202"/>
      <c r="G44" s="203"/>
    </row>
    <row r="45" spans="2:7" ht="16" customHeight="1" x14ac:dyDescent="0.2">
      <c r="B45" s="241"/>
      <c r="C45" s="46"/>
      <c r="D45" s="201"/>
      <c r="E45" s="202"/>
      <c r="F45" s="202"/>
      <c r="G45" s="203"/>
    </row>
    <row r="46" spans="2:7" ht="16" customHeight="1" x14ac:dyDescent="0.2">
      <c r="B46" s="241"/>
      <c r="C46" s="46"/>
      <c r="D46" s="201"/>
      <c r="E46" s="202"/>
      <c r="F46" s="202"/>
      <c r="G46" s="203"/>
    </row>
    <row r="47" spans="2:7" ht="16" customHeight="1" x14ac:dyDescent="0.2">
      <c r="B47" s="241"/>
      <c r="C47" s="46"/>
      <c r="D47" s="201"/>
      <c r="E47" s="202"/>
      <c r="F47" s="202"/>
      <c r="G47" s="203"/>
    </row>
    <row r="48" spans="2:7" ht="16" customHeight="1" x14ac:dyDescent="0.2">
      <c r="B48" s="242"/>
      <c r="C48" s="46"/>
      <c r="D48" s="201"/>
      <c r="E48" s="202"/>
      <c r="F48" s="202"/>
      <c r="G48" s="203"/>
    </row>
    <row r="49" spans="2:7" ht="18.75" customHeight="1" x14ac:dyDescent="0.2">
      <c r="B49" s="240" t="s">
        <v>109</v>
      </c>
      <c r="C49" s="236" t="s">
        <v>103</v>
      </c>
      <c r="D49" s="237"/>
      <c r="E49" s="237"/>
      <c r="F49" s="237"/>
      <c r="G49" s="238"/>
    </row>
    <row r="50" spans="2:7" ht="37.5" customHeight="1" x14ac:dyDescent="0.2">
      <c r="B50" s="241"/>
      <c r="C50" s="246" t="s">
        <v>196</v>
      </c>
      <c r="D50" s="247"/>
      <c r="E50" s="247"/>
      <c r="F50" s="247"/>
      <c r="G50" s="248"/>
    </row>
    <row r="51" spans="2:7" ht="37.5" customHeight="1" x14ac:dyDescent="0.2">
      <c r="B51" s="241"/>
      <c r="C51" s="249"/>
      <c r="D51" s="250"/>
      <c r="E51" s="250"/>
      <c r="F51" s="250"/>
      <c r="G51" s="251"/>
    </row>
    <row r="52" spans="2:7" ht="37.5" customHeight="1" x14ac:dyDescent="0.2">
      <c r="B52" s="241"/>
      <c r="C52" s="249"/>
      <c r="D52" s="250"/>
      <c r="E52" s="250"/>
      <c r="F52" s="250"/>
      <c r="G52" s="251"/>
    </row>
    <row r="53" spans="2:7" ht="37.5" customHeight="1" x14ac:dyDescent="0.2">
      <c r="B53" s="241"/>
      <c r="C53" s="249"/>
      <c r="D53" s="250"/>
      <c r="E53" s="250"/>
      <c r="F53" s="250"/>
      <c r="G53" s="251"/>
    </row>
    <row r="54" spans="2:7" ht="37.5" customHeight="1" x14ac:dyDescent="0.2">
      <c r="B54" s="241"/>
      <c r="C54" s="252"/>
      <c r="D54" s="253"/>
      <c r="E54" s="253"/>
      <c r="F54" s="253"/>
      <c r="G54" s="254"/>
    </row>
    <row r="55" spans="2:7" ht="18.75" customHeight="1" x14ac:dyDescent="0.2">
      <c r="B55" s="241"/>
      <c r="C55" s="107" t="s">
        <v>104</v>
      </c>
      <c r="D55" s="162" t="s">
        <v>105</v>
      </c>
      <c r="E55" s="163"/>
      <c r="F55" s="163"/>
      <c r="G55" s="164"/>
    </row>
    <row r="56" spans="2:7" ht="52.5" customHeight="1" x14ac:dyDescent="0.2">
      <c r="B56" s="241"/>
      <c r="C56" s="119" t="s">
        <v>139</v>
      </c>
      <c r="D56" s="255" t="s">
        <v>155</v>
      </c>
      <c r="E56" s="256"/>
      <c r="F56" s="256"/>
      <c r="G56" s="257"/>
    </row>
    <row r="57" spans="2:7" ht="39" customHeight="1" x14ac:dyDescent="0.2">
      <c r="B57" s="241"/>
      <c r="C57" s="121" t="s">
        <v>142</v>
      </c>
      <c r="D57" s="258" t="s">
        <v>204</v>
      </c>
      <c r="E57" s="259"/>
      <c r="F57" s="259"/>
      <c r="G57" s="260"/>
    </row>
    <row r="58" spans="2:7" ht="16.5" customHeight="1" x14ac:dyDescent="0.2">
      <c r="B58" s="241"/>
      <c r="C58" s="47"/>
      <c r="D58" s="210"/>
      <c r="E58" s="208"/>
      <c r="F58" s="208"/>
      <c r="G58" s="209"/>
    </row>
    <row r="59" spans="2:7" ht="16.5" customHeight="1" x14ac:dyDescent="0.2">
      <c r="B59" s="241"/>
      <c r="C59" s="47"/>
      <c r="D59" s="210"/>
      <c r="E59" s="208"/>
      <c r="F59" s="208"/>
      <c r="G59" s="209"/>
    </row>
    <row r="60" spans="2:7" ht="16.5" customHeight="1" x14ac:dyDescent="0.2">
      <c r="B60" s="241"/>
      <c r="C60" s="47"/>
      <c r="D60" s="210"/>
      <c r="E60" s="208"/>
      <c r="F60" s="208"/>
      <c r="G60" s="209"/>
    </row>
    <row r="61" spans="2:7" ht="16.5" customHeight="1" x14ac:dyDescent="0.2">
      <c r="B61" s="241"/>
      <c r="C61" s="47"/>
      <c r="D61" s="210"/>
      <c r="E61" s="208"/>
      <c r="F61" s="208"/>
      <c r="G61" s="209"/>
    </row>
    <row r="62" spans="2:7" ht="16.5" customHeight="1" x14ac:dyDescent="0.2">
      <c r="B62" s="241"/>
      <c r="C62" s="47"/>
      <c r="D62" s="201"/>
      <c r="E62" s="202"/>
      <c r="F62" s="202"/>
      <c r="G62" s="203"/>
    </row>
    <row r="63" spans="2:7" ht="16.5" customHeight="1" x14ac:dyDescent="0.2">
      <c r="B63" s="241"/>
      <c r="C63" s="124"/>
      <c r="D63" s="211"/>
      <c r="E63" s="212"/>
      <c r="F63" s="212"/>
      <c r="G63" s="213"/>
    </row>
    <row r="64" spans="2:7" ht="16.5" customHeight="1" x14ac:dyDescent="0.2">
      <c r="B64" s="241"/>
      <c r="C64" s="46"/>
      <c r="D64" s="201"/>
      <c r="E64" s="202"/>
      <c r="F64" s="202"/>
      <c r="G64" s="203"/>
    </row>
    <row r="65" spans="2:7" ht="16.5" customHeight="1" x14ac:dyDescent="0.2">
      <c r="B65" s="241"/>
      <c r="C65" s="46"/>
      <c r="D65" s="201"/>
      <c r="E65" s="202"/>
      <c r="F65" s="202"/>
      <c r="G65" s="203"/>
    </row>
    <row r="66" spans="2:7" ht="16.5" customHeight="1" x14ac:dyDescent="0.2">
      <c r="B66" s="241"/>
      <c r="C66" s="46"/>
      <c r="D66" s="201"/>
      <c r="E66" s="202"/>
      <c r="F66" s="202"/>
      <c r="G66" s="203"/>
    </row>
    <row r="67" spans="2:7" ht="16.5" customHeight="1" x14ac:dyDescent="0.2">
      <c r="B67" s="241"/>
      <c r="C67" s="46"/>
      <c r="D67" s="201"/>
      <c r="E67" s="202"/>
      <c r="F67" s="202"/>
      <c r="G67" s="203"/>
    </row>
    <row r="68" spans="2:7" ht="16.5" customHeight="1" x14ac:dyDescent="0.2">
      <c r="B68" s="241"/>
      <c r="C68" s="46"/>
      <c r="D68" s="201"/>
      <c r="E68" s="202"/>
      <c r="F68" s="202"/>
      <c r="G68" s="203"/>
    </row>
    <row r="69" spans="2:7" ht="16.5" customHeight="1" x14ac:dyDescent="0.2">
      <c r="B69" s="241"/>
      <c r="C69" s="46"/>
      <c r="D69" s="201"/>
      <c r="E69" s="202"/>
      <c r="F69" s="202"/>
      <c r="G69" s="203"/>
    </row>
    <row r="70" spans="2:7" ht="16.5" customHeight="1" x14ac:dyDescent="0.2">
      <c r="B70" s="241"/>
      <c r="C70" s="46"/>
      <c r="D70" s="201"/>
      <c r="E70" s="202"/>
      <c r="F70" s="202"/>
      <c r="G70" s="203"/>
    </row>
    <row r="71" spans="2:7" ht="16.5" customHeight="1" x14ac:dyDescent="0.2">
      <c r="B71" s="242"/>
      <c r="C71" s="46"/>
      <c r="D71" s="201"/>
      <c r="E71" s="202"/>
      <c r="F71" s="202"/>
      <c r="G71" s="203"/>
    </row>
    <row r="72" spans="2:7" ht="18.75" customHeight="1" x14ac:dyDescent="0.2">
      <c r="B72" s="240" t="s">
        <v>108</v>
      </c>
      <c r="C72" s="236" t="s">
        <v>103</v>
      </c>
      <c r="D72" s="237"/>
      <c r="E72" s="237"/>
      <c r="F72" s="237"/>
      <c r="G72" s="238"/>
    </row>
    <row r="73" spans="2:7" ht="37.5" customHeight="1" x14ac:dyDescent="0.2">
      <c r="B73" s="241"/>
      <c r="C73" s="246" t="s">
        <v>197</v>
      </c>
      <c r="D73" s="247"/>
      <c r="E73" s="247"/>
      <c r="F73" s="247"/>
      <c r="G73" s="248"/>
    </row>
    <row r="74" spans="2:7" ht="37.5" customHeight="1" x14ac:dyDescent="0.2">
      <c r="B74" s="241"/>
      <c r="C74" s="249"/>
      <c r="D74" s="250"/>
      <c r="E74" s="250"/>
      <c r="F74" s="250"/>
      <c r="G74" s="251"/>
    </row>
    <row r="75" spans="2:7" ht="37.5" customHeight="1" x14ac:dyDescent="0.2">
      <c r="B75" s="241"/>
      <c r="C75" s="249"/>
      <c r="D75" s="250"/>
      <c r="E75" s="250"/>
      <c r="F75" s="250"/>
      <c r="G75" s="251"/>
    </row>
    <row r="76" spans="2:7" ht="37.5" customHeight="1" x14ac:dyDescent="0.2">
      <c r="B76" s="241"/>
      <c r="C76" s="249"/>
      <c r="D76" s="250"/>
      <c r="E76" s="250"/>
      <c r="F76" s="250"/>
      <c r="G76" s="251"/>
    </row>
    <row r="77" spans="2:7" ht="37.5" customHeight="1" x14ac:dyDescent="0.2">
      <c r="B77" s="241"/>
      <c r="C77" s="252"/>
      <c r="D77" s="253"/>
      <c r="E77" s="253"/>
      <c r="F77" s="253"/>
      <c r="G77" s="254"/>
    </row>
    <row r="78" spans="2:7" ht="18.75" customHeight="1" x14ac:dyDescent="0.2">
      <c r="B78" s="241"/>
      <c r="C78" s="107" t="s">
        <v>104</v>
      </c>
      <c r="D78" s="162" t="s">
        <v>105</v>
      </c>
      <c r="E78" s="163"/>
      <c r="F78" s="163"/>
      <c r="G78" s="164"/>
    </row>
    <row r="79" spans="2:7" ht="18.75" customHeight="1" x14ac:dyDescent="0.2">
      <c r="B79" s="241"/>
      <c r="C79" s="119" t="s">
        <v>149</v>
      </c>
      <c r="D79" s="214" t="s">
        <v>156</v>
      </c>
      <c r="E79" s="215"/>
      <c r="F79" s="215"/>
      <c r="G79" s="216"/>
    </row>
    <row r="80" spans="2:7" ht="37.5" customHeight="1" x14ac:dyDescent="0.2">
      <c r="B80" s="241"/>
      <c r="C80" s="119" t="s">
        <v>150</v>
      </c>
      <c r="D80" s="204" t="s">
        <v>157</v>
      </c>
      <c r="E80" s="205"/>
      <c r="F80" s="205"/>
      <c r="G80" s="206"/>
    </row>
    <row r="81" spans="2:7" ht="16.5" customHeight="1" x14ac:dyDescent="0.2">
      <c r="B81" s="241"/>
      <c r="C81" s="45"/>
      <c r="D81" s="207"/>
      <c r="E81" s="208"/>
      <c r="F81" s="208"/>
      <c r="G81" s="209"/>
    </row>
    <row r="82" spans="2:7" ht="16.5" customHeight="1" x14ac:dyDescent="0.2">
      <c r="B82" s="241"/>
      <c r="C82" s="45"/>
      <c r="D82" s="207"/>
      <c r="E82" s="208"/>
      <c r="F82" s="208"/>
      <c r="G82" s="209"/>
    </row>
    <row r="83" spans="2:7" ht="16.5" customHeight="1" x14ac:dyDescent="0.2">
      <c r="B83" s="241"/>
      <c r="C83" s="46"/>
      <c r="D83" s="201"/>
      <c r="E83" s="202"/>
      <c r="F83" s="202"/>
      <c r="G83" s="203"/>
    </row>
    <row r="84" spans="2:7" ht="16.5" customHeight="1" x14ac:dyDescent="0.2">
      <c r="B84" s="241"/>
      <c r="C84" s="46"/>
      <c r="D84" s="201"/>
      <c r="E84" s="202"/>
      <c r="F84" s="202"/>
      <c r="G84" s="203"/>
    </row>
    <row r="85" spans="2:7" ht="16.5" customHeight="1" x14ac:dyDescent="0.2">
      <c r="B85" s="241"/>
      <c r="C85" s="46"/>
      <c r="D85" s="201"/>
      <c r="E85" s="202"/>
      <c r="F85" s="202"/>
      <c r="G85" s="203"/>
    </row>
    <row r="86" spans="2:7" ht="16.5" customHeight="1" x14ac:dyDescent="0.2">
      <c r="B86" s="241"/>
      <c r="C86" s="46"/>
      <c r="D86" s="201"/>
      <c r="E86" s="202"/>
      <c r="F86" s="202"/>
      <c r="G86" s="203"/>
    </row>
    <row r="87" spans="2:7" ht="16.5" customHeight="1" x14ac:dyDescent="0.2">
      <c r="B87" s="241"/>
      <c r="C87" s="46"/>
      <c r="D87" s="201"/>
      <c r="E87" s="202"/>
      <c r="F87" s="202"/>
      <c r="G87" s="203"/>
    </row>
    <row r="88" spans="2:7" ht="16.5" customHeight="1" x14ac:dyDescent="0.2">
      <c r="B88" s="241"/>
      <c r="C88" s="46"/>
      <c r="D88" s="201"/>
      <c r="E88" s="202"/>
      <c r="F88" s="202"/>
      <c r="G88" s="203"/>
    </row>
    <row r="89" spans="2:7" ht="16.5" customHeight="1" x14ac:dyDescent="0.2">
      <c r="B89" s="241"/>
      <c r="C89" s="46"/>
      <c r="D89" s="201"/>
      <c r="E89" s="202"/>
      <c r="F89" s="202"/>
      <c r="G89" s="203"/>
    </row>
    <row r="90" spans="2:7" ht="16.5" customHeight="1" x14ac:dyDescent="0.2">
      <c r="B90" s="241"/>
      <c r="C90" s="46"/>
      <c r="D90" s="201"/>
      <c r="E90" s="202"/>
      <c r="F90" s="202"/>
      <c r="G90" s="203"/>
    </row>
    <row r="91" spans="2:7" ht="16.5" customHeight="1" x14ac:dyDescent="0.2">
      <c r="B91" s="241"/>
      <c r="C91" s="46"/>
      <c r="D91" s="201"/>
      <c r="E91" s="202"/>
      <c r="F91" s="202"/>
      <c r="G91" s="203"/>
    </row>
    <row r="92" spans="2:7" ht="16.5" customHeight="1" x14ac:dyDescent="0.2">
      <c r="B92" s="241"/>
      <c r="C92" s="46"/>
      <c r="D92" s="201"/>
      <c r="E92" s="202"/>
      <c r="F92" s="202"/>
      <c r="G92" s="203"/>
    </row>
    <row r="93" spans="2:7" ht="16.5" customHeight="1" x14ac:dyDescent="0.2">
      <c r="B93" s="241"/>
      <c r="C93" s="46"/>
      <c r="D93" s="201"/>
      <c r="E93" s="202"/>
      <c r="F93" s="202"/>
      <c r="G93" s="203"/>
    </row>
    <row r="94" spans="2:7" ht="16.5" customHeight="1" x14ac:dyDescent="0.2">
      <c r="B94" s="241"/>
      <c r="C94" s="46"/>
      <c r="D94" s="201"/>
      <c r="E94" s="202"/>
      <c r="F94" s="202"/>
      <c r="G94" s="203"/>
    </row>
    <row r="95" spans="2:7" ht="16.5" customHeight="1" x14ac:dyDescent="0.2">
      <c r="B95" s="241"/>
      <c r="C95" s="46"/>
      <c r="D95" s="201"/>
      <c r="E95" s="202"/>
      <c r="F95" s="202"/>
      <c r="G95" s="203"/>
    </row>
    <row r="96" spans="2:7" ht="16.5" customHeight="1" x14ac:dyDescent="0.2">
      <c r="B96" s="242"/>
      <c r="C96" s="46"/>
      <c r="D96" s="201"/>
      <c r="E96" s="202"/>
      <c r="F96" s="202"/>
      <c r="G96" s="203"/>
    </row>
    <row r="97" spans="2:7" ht="18.75" customHeight="1" x14ac:dyDescent="0.2">
      <c r="B97" s="240" t="s">
        <v>110</v>
      </c>
      <c r="C97" s="236" t="s">
        <v>103</v>
      </c>
      <c r="D97" s="237"/>
      <c r="E97" s="237"/>
      <c r="F97" s="237"/>
      <c r="G97" s="238"/>
    </row>
    <row r="98" spans="2:7" ht="37.5" customHeight="1" x14ac:dyDescent="0.2">
      <c r="B98" s="241"/>
      <c r="C98" s="246" t="s">
        <v>198</v>
      </c>
      <c r="D98" s="247"/>
      <c r="E98" s="247"/>
      <c r="F98" s="247"/>
      <c r="G98" s="248"/>
    </row>
    <row r="99" spans="2:7" ht="37.5" customHeight="1" x14ac:dyDescent="0.2">
      <c r="B99" s="241"/>
      <c r="C99" s="249"/>
      <c r="D99" s="250"/>
      <c r="E99" s="250"/>
      <c r="F99" s="250"/>
      <c r="G99" s="251"/>
    </row>
    <row r="100" spans="2:7" ht="37.5" customHeight="1" x14ac:dyDescent="0.2">
      <c r="B100" s="241"/>
      <c r="C100" s="249"/>
      <c r="D100" s="250"/>
      <c r="E100" s="250"/>
      <c r="F100" s="250"/>
      <c r="G100" s="251"/>
    </row>
    <row r="101" spans="2:7" ht="37.5" customHeight="1" x14ac:dyDescent="0.2">
      <c r="B101" s="241"/>
      <c r="C101" s="249"/>
      <c r="D101" s="250"/>
      <c r="E101" s="250"/>
      <c r="F101" s="250"/>
      <c r="G101" s="251"/>
    </row>
    <row r="102" spans="2:7" ht="37.5" customHeight="1" x14ac:dyDescent="0.2">
      <c r="B102" s="241"/>
      <c r="C102" s="252"/>
      <c r="D102" s="253"/>
      <c r="E102" s="253"/>
      <c r="F102" s="253"/>
      <c r="G102" s="254"/>
    </row>
    <row r="103" spans="2:7" ht="18.75" customHeight="1" x14ac:dyDescent="0.2">
      <c r="B103" s="241"/>
      <c r="C103" s="107" t="s">
        <v>104</v>
      </c>
      <c r="D103" s="162" t="s">
        <v>105</v>
      </c>
      <c r="E103" s="163"/>
      <c r="F103" s="163"/>
      <c r="G103" s="164"/>
    </row>
    <row r="104" spans="2:7" ht="37.5" customHeight="1" x14ac:dyDescent="0.2">
      <c r="B104" s="241"/>
      <c r="C104" s="119" t="s">
        <v>136</v>
      </c>
      <c r="D104" s="204" t="s">
        <v>158</v>
      </c>
      <c r="E104" s="205"/>
      <c r="F104" s="205"/>
      <c r="G104" s="206"/>
    </row>
    <row r="105" spans="2:7" ht="52.5" customHeight="1" x14ac:dyDescent="0.2">
      <c r="B105" s="241"/>
      <c r="C105" s="119" t="s">
        <v>137</v>
      </c>
      <c r="D105" s="204" t="s">
        <v>159</v>
      </c>
      <c r="E105" s="205"/>
      <c r="F105" s="205"/>
      <c r="G105" s="206"/>
    </row>
    <row r="106" spans="2:7" ht="16.5" customHeight="1" x14ac:dyDescent="0.2">
      <c r="B106" s="241"/>
      <c r="C106" s="45"/>
      <c r="D106" s="207"/>
      <c r="E106" s="208"/>
      <c r="F106" s="208"/>
      <c r="G106" s="209"/>
    </row>
    <row r="107" spans="2:7" ht="16.5" customHeight="1" x14ac:dyDescent="0.2">
      <c r="B107" s="241"/>
      <c r="C107" s="45"/>
      <c r="D107" s="207"/>
      <c r="E107" s="208"/>
      <c r="F107" s="208"/>
      <c r="G107" s="209"/>
    </row>
    <row r="108" spans="2:7" ht="16.5" customHeight="1" x14ac:dyDescent="0.2">
      <c r="B108" s="241"/>
      <c r="C108" s="45"/>
      <c r="D108" s="207"/>
      <c r="E108" s="208"/>
      <c r="F108" s="208"/>
      <c r="G108" s="209"/>
    </row>
    <row r="109" spans="2:7" ht="16.5" customHeight="1" x14ac:dyDescent="0.2">
      <c r="B109" s="241"/>
      <c r="C109" s="45"/>
      <c r="D109" s="207"/>
      <c r="E109" s="208"/>
      <c r="F109" s="208"/>
      <c r="G109" s="209"/>
    </row>
    <row r="110" spans="2:7" ht="16.5" customHeight="1" x14ac:dyDescent="0.2">
      <c r="B110" s="241"/>
      <c r="C110" s="45"/>
      <c r="D110" s="207"/>
      <c r="E110" s="208"/>
      <c r="F110" s="208"/>
      <c r="G110" s="209"/>
    </row>
    <row r="111" spans="2:7" ht="16.5" customHeight="1" x14ac:dyDescent="0.2">
      <c r="B111" s="241"/>
      <c r="C111" s="46" t="s">
        <v>138</v>
      </c>
      <c r="D111" s="201" t="s">
        <v>138</v>
      </c>
      <c r="E111" s="202"/>
      <c r="F111" s="202"/>
      <c r="G111" s="203"/>
    </row>
    <row r="112" spans="2:7" ht="16.5" customHeight="1" x14ac:dyDescent="0.2">
      <c r="B112" s="241"/>
      <c r="C112" s="46" t="s">
        <v>138</v>
      </c>
      <c r="D112" s="201" t="s">
        <v>138</v>
      </c>
      <c r="E112" s="202"/>
      <c r="F112" s="202"/>
      <c r="G112" s="203"/>
    </row>
    <row r="113" spans="1:7" ht="16.5" customHeight="1" x14ac:dyDescent="0.2">
      <c r="B113" s="241"/>
      <c r="C113" s="46" t="s">
        <v>138</v>
      </c>
      <c r="D113" s="201" t="s">
        <v>138</v>
      </c>
      <c r="E113" s="202"/>
      <c r="F113" s="202"/>
      <c r="G113" s="203"/>
    </row>
    <row r="114" spans="1:7" ht="16.5" customHeight="1" x14ac:dyDescent="0.2">
      <c r="B114" s="241"/>
      <c r="C114" s="46"/>
      <c r="D114" s="201"/>
      <c r="E114" s="202"/>
      <c r="F114" s="202"/>
      <c r="G114" s="203"/>
    </row>
    <row r="115" spans="1:7" ht="16.5" customHeight="1" x14ac:dyDescent="0.2">
      <c r="B115" s="241"/>
      <c r="C115" s="46"/>
      <c r="D115" s="201"/>
      <c r="E115" s="202"/>
      <c r="F115" s="202"/>
      <c r="G115" s="203"/>
    </row>
    <row r="116" spans="1:7" ht="16.5" customHeight="1" x14ac:dyDescent="0.2">
      <c r="B116" s="241"/>
      <c r="C116" s="46"/>
      <c r="D116" s="201"/>
      <c r="E116" s="202"/>
      <c r="F116" s="202"/>
      <c r="G116" s="203"/>
    </row>
    <row r="117" spans="1:7" ht="16.5" customHeight="1" x14ac:dyDescent="0.2">
      <c r="B117" s="241"/>
      <c r="C117" s="46"/>
      <c r="D117" s="201"/>
      <c r="E117" s="202"/>
      <c r="F117" s="202"/>
      <c r="G117" s="203"/>
    </row>
    <row r="118" spans="1:7" ht="16.5" customHeight="1" x14ac:dyDescent="0.2">
      <c r="B118" s="241"/>
      <c r="C118" s="46"/>
      <c r="D118" s="201"/>
      <c r="E118" s="202"/>
      <c r="F118" s="202"/>
      <c r="G118" s="203"/>
    </row>
    <row r="119" spans="1:7" ht="16.5" customHeight="1" x14ac:dyDescent="0.2">
      <c r="B119" s="242"/>
      <c r="C119" s="46"/>
      <c r="D119" s="201"/>
      <c r="E119" s="202"/>
      <c r="F119" s="202"/>
      <c r="G119" s="203"/>
    </row>
    <row r="120" spans="1:7" ht="18.75" customHeight="1" x14ac:dyDescent="0.2">
      <c r="A120" s="1" t="s">
        <v>12</v>
      </c>
      <c r="B120" s="1" t="s">
        <v>101</v>
      </c>
    </row>
    <row r="121" spans="1:7" ht="22.5" customHeight="1" x14ac:dyDescent="0.2">
      <c r="B121" s="34" t="s">
        <v>72</v>
      </c>
      <c r="C121" s="236" t="s">
        <v>100</v>
      </c>
      <c r="D121" s="237"/>
      <c r="E121" s="237"/>
      <c r="F121" s="237"/>
      <c r="G121" s="238"/>
    </row>
    <row r="122" spans="1:7" ht="42.65" customHeight="1" x14ac:dyDescent="0.2">
      <c r="B122" s="35" t="s">
        <v>74</v>
      </c>
      <c r="C122" s="239" t="s">
        <v>189</v>
      </c>
      <c r="D122" s="160"/>
      <c r="E122" s="160"/>
      <c r="F122" s="160"/>
      <c r="G122" s="161"/>
    </row>
    <row r="123" spans="1:7" ht="42.65" customHeight="1" x14ac:dyDescent="0.2">
      <c r="B123" s="35" t="s">
        <v>75</v>
      </c>
      <c r="C123" s="239" t="s">
        <v>189</v>
      </c>
      <c r="D123" s="160"/>
      <c r="E123" s="160"/>
      <c r="F123" s="160"/>
      <c r="G123" s="161"/>
    </row>
    <row r="124" spans="1:7" ht="42.65" customHeight="1" x14ac:dyDescent="0.2">
      <c r="B124" s="35" t="s">
        <v>76</v>
      </c>
      <c r="C124" s="239" t="s">
        <v>189</v>
      </c>
      <c r="D124" s="160"/>
      <c r="E124" s="160"/>
      <c r="F124" s="160"/>
      <c r="G124" s="161"/>
    </row>
    <row r="125" spans="1:7" ht="42.65" customHeight="1" x14ac:dyDescent="0.2">
      <c r="B125" s="35" t="s">
        <v>77</v>
      </c>
      <c r="C125" s="239" t="s">
        <v>189</v>
      </c>
      <c r="D125" s="160"/>
      <c r="E125" s="160"/>
      <c r="F125" s="160"/>
      <c r="G125" s="161"/>
    </row>
    <row r="126" spans="1:7" ht="42.65" customHeight="1" x14ac:dyDescent="0.2">
      <c r="B126" s="35" t="s">
        <v>78</v>
      </c>
      <c r="C126" s="239" t="s">
        <v>189</v>
      </c>
      <c r="D126" s="160"/>
      <c r="E126" s="160"/>
      <c r="F126" s="160"/>
      <c r="G126" s="161"/>
    </row>
    <row r="127" spans="1:7" ht="42.65" customHeight="1" x14ac:dyDescent="0.2">
      <c r="B127" s="35" t="s">
        <v>79</v>
      </c>
      <c r="C127" s="239" t="s">
        <v>189</v>
      </c>
      <c r="D127" s="160"/>
      <c r="E127" s="160"/>
      <c r="F127" s="160"/>
      <c r="G127" s="161"/>
    </row>
    <row r="128" spans="1:7" ht="42.65" customHeight="1" x14ac:dyDescent="0.2">
      <c r="B128" s="35" t="s">
        <v>80</v>
      </c>
      <c r="C128" s="239" t="s">
        <v>189</v>
      </c>
      <c r="D128" s="160"/>
      <c r="E128" s="160"/>
      <c r="F128" s="160"/>
      <c r="G128" s="161"/>
    </row>
    <row r="129" spans="1:7" ht="42.65" customHeight="1" x14ac:dyDescent="0.2">
      <c r="B129" s="35" t="s">
        <v>81</v>
      </c>
      <c r="C129" s="239" t="s">
        <v>189</v>
      </c>
      <c r="D129" s="160"/>
      <c r="E129" s="160"/>
      <c r="F129" s="160"/>
      <c r="G129" s="161"/>
    </row>
    <row r="130" spans="1:7" ht="42.65" customHeight="1" x14ac:dyDescent="0.2">
      <c r="B130" s="35" t="s">
        <v>82</v>
      </c>
      <c r="C130" s="239" t="s">
        <v>189</v>
      </c>
      <c r="D130" s="160"/>
      <c r="E130" s="160"/>
      <c r="F130" s="160"/>
      <c r="G130" s="161"/>
    </row>
    <row r="131" spans="1:7" ht="7.5" customHeight="1" x14ac:dyDescent="0.2"/>
    <row r="132" spans="1:7" ht="18.75" customHeight="1" x14ac:dyDescent="0.2">
      <c r="A132" s="1" t="s">
        <v>94</v>
      </c>
      <c r="B132" s="1" t="s">
        <v>95</v>
      </c>
      <c r="E132" s="235" t="s">
        <v>172</v>
      </c>
      <c r="F132" s="138"/>
      <c r="G132" s="155"/>
    </row>
    <row r="133" spans="1:7" ht="7.5" customHeight="1" x14ac:dyDescent="0.2"/>
    <row r="134" spans="1:7" ht="18.75" customHeight="1" x14ac:dyDescent="0.2">
      <c r="A134" s="1" t="s">
        <v>96</v>
      </c>
      <c r="B134" s="1" t="s">
        <v>97</v>
      </c>
      <c r="E134" s="52"/>
      <c r="F134" s="53"/>
      <c r="G134" s="53"/>
    </row>
    <row r="135" spans="1:7" ht="18.75" customHeight="1" x14ac:dyDescent="0.2">
      <c r="B135" s="226" t="s">
        <v>135</v>
      </c>
      <c r="C135" s="227"/>
      <c r="D135" s="227"/>
      <c r="E135" s="227"/>
      <c r="F135" s="227"/>
      <c r="G135" s="228"/>
    </row>
    <row r="136" spans="1:7" ht="18.75" customHeight="1" x14ac:dyDescent="0.2">
      <c r="B136" s="229"/>
      <c r="C136" s="230"/>
      <c r="D136" s="230"/>
      <c r="E136" s="230"/>
      <c r="F136" s="230"/>
      <c r="G136" s="231"/>
    </row>
    <row r="137" spans="1:7" ht="18.75" customHeight="1" x14ac:dyDescent="0.2">
      <c r="B137" s="229"/>
      <c r="C137" s="230"/>
      <c r="D137" s="230"/>
      <c r="E137" s="230"/>
      <c r="F137" s="230"/>
      <c r="G137" s="231"/>
    </row>
    <row r="138" spans="1:7" ht="18.75" customHeight="1" x14ac:dyDescent="0.2">
      <c r="B138" s="232"/>
      <c r="C138" s="233"/>
      <c r="D138" s="233"/>
      <c r="E138" s="233"/>
      <c r="F138" s="233"/>
      <c r="G138" s="234"/>
    </row>
    <row r="139" spans="1:7" ht="18.75" customHeight="1" x14ac:dyDescent="0.2"/>
    <row r="140" spans="1:7" ht="18.75" customHeight="1" x14ac:dyDescent="0.2"/>
    <row r="141" spans="1:7" ht="18.75" customHeight="1" x14ac:dyDescent="0.2"/>
    <row r="142" spans="1:7" ht="18.75" customHeight="1" x14ac:dyDescent="0.2"/>
    <row r="143" spans="1:7" ht="18.75" customHeight="1" x14ac:dyDescent="0.2"/>
    <row r="144" spans="1:7" ht="18.75" customHeight="1" x14ac:dyDescent="0.2"/>
  </sheetData>
  <mergeCells count="114">
    <mergeCell ref="D10:G10"/>
    <mergeCell ref="D11:G11"/>
    <mergeCell ref="D12:G12"/>
    <mergeCell ref="D13:G13"/>
    <mergeCell ref="D14:G14"/>
    <mergeCell ref="D23:G23"/>
    <mergeCell ref="D22:G22"/>
    <mergeCell ref="D17:G17"/>
    <mergeCell ref="D15:G15"/>
    <mergeCell ref="D16:G16"/>
    <mergeCell ref="D20:G20"/>
    <mergeCell ref="D21:G21"/>
    <mergeCell ref="D18:G18"/>
    <mergeCell ref="D19:G19"/>
    <mergeCell ref="B49:B71"/>
    <mergeCell ref="C49:G49"/>
    <mergeCell ref="C50:G54"/>
    <mergeCell ref="B72:B96"/>
    <mergeCell ref="C72:G72"/>
    <mergeCell ref="C73:G77"/>
    <mergeCell ref="D78:G78"/>
    <mergeCell ref="D96:G96"/>
    <mergeCell ref="B97:B119"/>
    <mergeCell ref="C97:G97"/>
    <mergeCell ref="C98:G102"/>
    <mergeCell ref="D103:G103"/>
    <mergeCell ref="D119:G119"/>
    <mergeCell ref="D55:G55"/>
    <mergeCell ref="D70:G70"/>
    <mergeCell ref="D71:G71"/>
    <mergeCell ref="D66:G66"/>
    <mergeCell ref="D67:G67"/>
    <mergeCell ref="D64:G64"/>
    <mergeCell ref="D65:G65"/>
    <mergeCell ref="D56:G56"/>
    <mergeCell ref="D57:G57"/>
    <mergeCell ref="D58:G58"/>
    <mergeCell ref="D59:G59"/>
    <mergeCell ref="B24:B48"/>
    <mergeCell ref="C24:G24"/>
    <mergeCell ref="C25:G29"/>
    <mergeCell ref="D30:G30"/>
    <mergeCell ref="D31:G31"/>
    <mergeCell ref="D40:G40"/>
    <mergeCell ref="D41:G41"/>
    <mergeCell ref="D42:G42"/>
    <mergeCell ref="D43:G43"/>
    <mergeCell ref="D44:G44"/>
    <mergeCell ref="D45:G45"/>
    <mergeCell ref="D46:G46"/>
    <mergeCell ref="D47:G47"/>
    <mergeCell ref="D48:G48"/>
    <mergeCell ref="A3:G3"/>
    <mergeCell ref="C5:G5"/>
    <mergeCell ref="C6:G9"/>
    <mergeCell ref="B135:G138"/>
    <mergeCell ref="E132:G132"/>
    <mergeCell ref="C121:G121"/>
    <mergeCell ref="C127:G127"/>
    <mergeCell ref="C128:G128"/>
    <mergeCell ref="C129:G129"/>
    <mergeCell ref="C130:G130"/>
    <mergeCell ref="C122:G122"/>
    <mergeCell ref="B6:B23"/>
    <mergeCell ref="C123:G123"/>
    <mergeCell ref="C124:G124"/>
    <mergeCell ref="C125:G125"/>
    <mergeCell ref="C126:G126"/>
    <mergeCell ref="D32:G32"/>
    <mergeCell ref="D33:G33"/>
    <mergeCell ref="D34:G34"/>
    <mergeCell ref="D35:G35"/>
    <mergeCell ref="D36:G36"/>
    <mergeCell ref="D37:G37"/>
    <mergeCell ref="D38:G38"/>
    <mergeCell ref="D39:G39"/>
    <mergeCell ref="D60:G60"/>
    <mergeCell ref="D61:G61"/>
    <mergeCell ref="D62:G62"/>
    <mergeCell ref="D63:G63"/>
    <mergeCell ref="D69:G69"/>
    <mergeCell ref="D68:G68"/>
    <mergeCell ref="D95:G95"/>
    <mergeCell ref="D91:G91"/>
    <mergeCell ref="D92:G92"/>
    <mergeCell ref="D87:G87"/>
    <mergeCell ref="D88:G88"/>
    <mergeCell ref="D89:G89"/>
    <mergeCell ref="D90:G90"/>
    <mergeCell ref="D79:G79"/>
    <mergeCell ref="D80:G80"/>
    <mergeCell ref="D81:G81"/>
    <mergeCell ref="D82:G82"/>
    <mergeCell ref="D83:G83"/>
    <mergeCell ref="D84:G84"/>
    <mergeCell ref="D85:G85"/>
    <mergeCell ref="D86:G86"/>
    <mergeCell ref="D94:G94"/>
    <mergeCell ref="D93:G93"/>
    <mergeCell ref="D118:G118"/>
    <mergeCell ref="D117:G117"/>
    <mergeCell ref="D112:G112"/>
    <mergeCell ref="D113:G113"/>
    <mergeCell ref="D114:G114"/>
    <mergeCell ref="D104:G104"/>
    <mergeCell ref="D105:G105"/>
    <mergeCell ref="D106:G106"/>
    <mergeCell ref="D107:G107"/>
    <mergeCell ref="D108:G108"/>
    <mergeCell ref="D109:G109"/>
    <mergeCell ref="D110:G110"/>
    <mergeCell ref="D111:G111"/>
    <mergeCell ref="D115:G115"/>
    <mergeCell ref="D116:G116"/>
  </mergeCells>
  <phoneticPr fontId="1"/>
  <hyperlinks>
    <hyperlink ref="E132" r:id="rId1"/>
  </hyperlinks>
  <printOptions horizontalCentered="1"/>
  <pageMargins left="0.78740157480314965" right="0.78740157480314965" top="0.59055118110236227" bottom="0.39370078740157483" header="0.31496062992125984" footer="0.31496062992125984"/>
  <pageSetup paperSize="9" orientation="landscape" r:id="rId2"/>
  <rowBreaks count="5" manualBreakCount="5">
    <brk id="23" max="16383" man="1"/>
    <brk id="48" max="16383" man="1"/>
    <brk id="71" max="16383" man="1"/>
    <brk id="96" max="16383" man="1"/>
    <brk id="119"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6"/>
  <sheetViews>
    <sheetView showZeros="0" zoomScaleNormal="100" workbookViewId="0"/>
  </sheetViews>
  <sheetFormatPr defaultColWidth="11.36328125" defaultRowHeight="18.75" customHeight="1" x14ac:dyDescent="0.2"/>
  <cols>
    <col min="1" max="1" width="2.7265625" style="2" customWidth="1"/>
    <col min="2" max="2" width="54.26953125" style="1" customWidth="1"/>
    <col min="3" max="3" width="1.26953125" style="1" customWidth="1"/>
    <col min="4" max="4" width="22.453125" style="1" customWidth="1"/>
    <col min="5" max="5" width="6.26953125" style="1" customWidth="1"/>
    <col min="6" max="16384" width="11.36328125" style="1"/>
  </cols>
  <sheetData>
    <row r="1" spans="1:5" s="60" customFormat="1" ht="18.75" customHeight="1" x14ac:dyDescent="0.2">
      <c r="A1" s="109"/>
      <c r="E1" s="110" t="s">
        <v>102</v>
      </c>
    </row>
    <row r="2" spans="1:5" s="60" customFormat="1" ht="18.75" customHeight="1" x14ac:dyDescent="0.2">
      <c r="A2" s="109"/>
      <c r="B2" s="110" t="s">
        <v>85</v>
      </c>
      <c r="C2" s="110" t="s">
        <v>8</v>
      </c>
      <c r="D2" s="267" t="s">
        <v>148</v>
      </c>
      <c r="E2" s="267"/>
    </row>
    <row r="3" spans="1:5" s="60" customFormat="1" ht="7.5" customHeight="1" x14ac:dyDescent="0.2">
      <c r="A3" s="109"/>
      <c r="B3" s="110"/>
      <c r="C3" s="110"/>
      <c r="D3" s="69"/>
      <c r="E3" s="69"/>
    </row>
    <row r="4" spans="1:5" s="60" customFormat="1" ht="18.75" customHeight="1" x14ac:dyDescent="0.2">
      <c r="A4" s="109"/>
      <c r="B4" s="187" t="s">
        <v>83</v>
      </c>
      <c r="C4" s="187"/>
      <c r="D4" s="187"/>
      <c r="E4" s="187"/>
    </row>
    <row r="5" spans="1:5" s="60" customFormat="1" ht="7.5" customHeight="1" x14ac:dyDescent="0.2">
      <c r="A5" s="109"/>
      <c r="B5" s="69"/>
      <c r="C5" s="69"/>
      <c r="D5" s="69"/>
      <c r="E5" s="69"/>
    </row>
    <row r="6" spans="1:5" s="60" customFormat="1" ht="18.75" customHeight="1" x14ac:dyDescent="0.2">
      <c r="A6" s="70" t="s">
        <v>7</v>
      </c>
      <c r="B6" s="74" t="s">
        <v>93</v>
      </c>
      <c r="C6" s="69"/>
      <c r="D6" s="108"/>
      <c r="E6" s="69"/>
    </row>
    <row r="7" spans="1:5" s="60" customFormat="1" ht="18.75" customHeight="1" x14ac:dyDescent="0.2">
      <c r="A7" s="70"/>
      <c r="B7" s="137" t="s">
        <v>164</v>
      </c>
      <c r="C7" s="138"/>
      <c r="D7" s="138"/>
      <c r="E7" s="155"/>
    </row>
    <row r="8" spans="1:5" s="60" customFormat="1" ht="7.5" customHeight="1" x14ac:dyDescent="0.2">
      <c r="A8" s="109"/>
      <c r="B8" s="69"/>
      <c r="C8" s="69"/>
      <c r="D8" s="69"/>
      <c r="E8" s="69"/>
    </row>
    <row r="9" spans="1:5" s="74" customFormat="1" ht="18.75" customHeight="1" x14ac:dyDescent="0.2">
      <c r="A9" s="70" t="s">
        <v>12</v>
      </c>
      <c r="B9" s="70" t="s">
        <v>44</v>
      </c>
      <c r="C9" s="70"/>
      <c r="D9" s="70"/>
      <c r="E9" s="70"/>
    </row>
    <row r="10" spans="1:5" s="71" customFormat="1" ht="18.75" customHeight="1" x14ac:dyDescent="0.2">
      <c r="A10" s="111"/>
      <c r="B10" s="268" t="s">
        <v>199</v>
      </c>
      <c r="C10" s="269"/>
      <c r="D10" s="269"/>
      <c r="E10" s="270"/>
    </row>
    <row r="11" spans="1:5" s="71" customFormat="1" ht="18.75" customHeight="1" x14ac:dyDescent="0.2">
      <c r="A11" s="111"/>
      <c r="B11" s="271"/>
      <c r="C11" s="272"/>
      <c r="D11" s="272"/>
      <c r="E11" s="273"/>
    </row>
    <row r="12" spans="1:5" s="71" customFormat="1" ht="18.75" customHeight="1" x14ac:dyDescent="0.2">
      <c r="A12" s="111"/>
      <c r="B12" s="271"/>
      <c r="C12" s="272"/>
      <c r="D12" s="272"/>
      <c r="E12" s="273"/>
    </row>
    <row r="13" spans="1:5" s="71" customFormat="1" ht="18.75" customHeight="1" x14ac:dyDescent="0.2">
      <c r="A13" s="111"/>
      <c r="B13" s="271"/>
      <c r="C13" s="272"/>
      <c r="D13" s="272"/>
      <c r="E13" s="273"/>
    </row>
    <row r="14" spans="1:5" s="71" customFormat="1" ht="65" customHeight="1" x14ac:dyDescent="0.2">
      <c r="A14" s="111"/>
      <c r="B14" s="274"/>
      <c r="C14" s="275"/>
      <c r="D14" s="275"/>
      <c r="E14" s="276"/>
    </row>
    <row r="15" spans="1:5" s="71" customFormat="1" ht="7.5" customHeight="1" x14ac:dyDescent="0.2">
      <c r="A15" s="111"/>
      <c r="B15" s="111"/>
      <c r="C15" s="111"/>
      <c r="D15" s="111"/>
      <c r="E15" s="111"/>
    </row>
    <row r="16" spans="1:5" s="74" customFormat="1" ht="18.75" customHeight="1" x14ac:dyDescent="0.2">
      <c r="A16" s="112" t="s">
        <v>13</v>
      </c>
      <c r="B16" s="112" t="s">
        <v>18</v>
      </c>
      <c r="C16" s="112"/>
      <c r="D16" s="112"/>
      <c r="E16" s="112"/>
    </row>
    <row r="17" spans="1:5" s="71" customFormat="1" ht="18.75" customHeight="1" x14ac:dyDescent="0.2">
      <c r="A17" s="111"/>
      <c r="B17" s="268" t="s">
        <v>202</v>
      </c>
      <c r="C17" s="269"/>
      <c r="D17" s="269"/>
      <c r="E17" s="270"/>
    </row>
    <row r="18" spans="1:5" s="71" customFormat="1" ht="18.75" customHeight="1" x14ac:dyDescent="0.2">
      <c r="A18" s="111"/>
      <c r="B18" s="271"/>
      <c r="C18" s="272"/>
      <c r="D18" s="272"/>
      <c r="E18" s="273"/>
    </row>
    <row r="19" spans="1:5" s="71" customFormat="1" ht="18.75" customHeight="1" x14ac:dyDescent="0.2">
      <c r="A19" s="111"/>
      <c r="B19" s="271"/>
      <c r="C19" s="272"/>
      <c r="D19" s="272"/>
      <c r="E19" s="273"/>
    </row>
    <row r="20" spans="1:5" s="71" customFormat="1" ht="18.75" customHeight="1" x14ac:dyDescent="0.2">
      <c r="A20" s="111"/>
      <c r="B20" s="271"/>
      <c r="C20" s="272"/>
      <c r="D20" s="272"/>
      <c r="E20" s="273"/>
    </row>
    <row r="21" spans="1:5" s="71" customFormat="1" ht="18.75" customHeight="1" x14ac:dyDescent="0.2">
      <c r="A21" s="111"/>
      <c r="B21" s="271"/>
      <c r="C21" s="272"/>
      <c r="D21" s="272"/>
      <c r="E21" s="273"/>
    </row>
    <row r="22" spans="1:5" s="71" customFormat="1" ht="18.75" customHeight="1" x14ac:dyDescent="0.2">
      <c r="A22" s="111"/>
      <c r="B22" s="271"/>
      <c r="C22" s="272"/>
      <c r="D22" s="272"/>
      <c r="E22" s="273"/>
    </row>
    <row r="23" spans="1:5" s="71" customFormat="1" ht="18.75" customHeight="1" x14ac:dyDescent="0.2">
      <c r="A23" s="111"/>
      <c r="B23" s="271"/>
      <c r="C23" s="272"/>
      <c r="D23" s="272"/>
      <c r="E23" s="273"/>
    </row>
    <row r="24" spans="1:5" s="71" customFormat="1" ht="18.75" customHeight="1" x14ac:dyDescent="0.2">
      <c r="A24" s="111"/>
      <c r="B24" s="271"/>
      <c r="C24" s="272"/>
      <c r="D24" s="272"/>
      <c r="E24" s="273"/>
    </row>
    <row r="25" spans="1:5" s="71" customFormat="1" ht="18.75" customHeight="1" x14ac:dyDescent="0.2">
      <c r="A25" s="111"/>
      <c r="B25" s="271"/>
      <c r="C25" s="272"/>
      <c r="D25" s="272"/>
      <c r="E25" s="273"/>
    </row>
    <row r="26" spans="1:5" s="71" customFormat="1" ht="18.75" customHeight="1" x14ac:dyDescent="0.2">
      <c r="A26" s="111"/>
      <c r="B26" s="271"/>
      <c r="C26" s="272"/>
      <c r="D26" s="272"/>
      <c r="E26" s="273"/>
    </row>
    <row r="27" spans="1:5" s="71" customFormat="1" ht="18.75" customHeight="1" x14ac:dyDescent="0.2">
      <c r="A27" s="111"/>
      <c r="B27" s="271"/>
      <c r="C27" s="272"/>
      <c r="D27" s="272"/>
      <c r="E27" s="273"/>
    </row>
    <row r="28" spans="1:5" s="71" customFormat="1" ht="16" customHeight="1" x14ac:dyDescent="0.2">
      <c r="A28" s="111"/>
      <c r="B28" s="274"/>
      <c r="C28" s="275"/>
      <c r="D28" s="275"/>
      <c r="E28" s="276"/>
    </row>
    <row r="29" spans="1:5" s="60" customFormat="1" ht="7.5" customHeight="1" x14ac:dyDescent="0.2">
      <c r="A29" s="113"/>
      <c r="B29" s="113"/>
      <c r="C29" s="113"/>
      <c r="D29" s="113"/>
      <c r="E29" s="113"/>
    </row>
    <row r="30" spans="1:5" s="74" customFormat="1" ht="18.75" customHeight="1" x14ac:dyDescent="0.2">
      <c r="A30" s="70" t="s">
        <v>16</v>
      </c>
      <c r="B30" s="70" t="s">
        <v>29</v>
      </c>
      <c r="C30" s="70"/>
      <c r="D30" s="70"/>
      <c r="E30" s="70"/>
    </row>
    <row r="31" spans="1:5" s="74" customFormat="1" ht="15.5" customHeight="1" x14ac:dyDescent="0.2">
      <c r="A31" s="70"/>
      <c r="B31" s="268" t="s">
        <v>200</v>
      </c>
      <c r="C31" s="269"/>
      <c r="D31" s="269"/>
      <c r="E31" s="270"/>
    </row>
    <row r="32" spans="1:5" s="74" customFormat="1" ht="15.5" customHeight="1" x14ac:dyDescent="0.2">
      <c r="A32" s="70"/>
      <c r="B32" s="271"/>
      <c r="C32" s="272"/>
      <c r="D32" s="272"/>
      <c r="E32" s="273"/>
    </row>
    <row r="33" spans="1:5" s="74" customFormat="1" ht="15.5" customHeight="1" x14ac:dyDescent="0.2">
      <c r="A33" s="70"/>
      <c r="B33" s="271"/>
      <c r="C33" s="272"/>
      <c r="D33" s="272"/>
      <c r="E33" s="273"/>
    </row>
    <row r="34" spans="1:5" s="74" customFormat="1" ht="15.5" customHeight="1" x14ac:dyDescent="0.2">
      <c r="A34" s="70"/>
      <c r="B34" s="271"/>
      <c r="C34" s="272"/>
      <c r="D34" s="272"/>
      <c r="E34" s="273"/>
    </row>
    <row r="35" spans="1:5" s="74" customFormat="1" ht="15.5" customHeight="1" x14ac:dyDescent="0.2">
      <c r="A35" s="70"/>
      <c r="B35" s="271"/>
      <c r="C35" s="272"/>
      <c r="D35" s="272"/>
      <c r="E35" s="273"/>
    </row>
    <row r="36" spans="1:5" s="74" customFormat="1" ht="15.5" customHeight="1" x14ac:dyDescent="0.2">
      <c r="A36" s="70"/>
      <c r="B36" s="271"/>
      <c r="C36" s="272"/>
      <c r="D36" s="272"/>
      <c r="E36" s="273"/>
    </row>
    <row r="37" spans="1:5" s="74" customFormat="1" ht="15.5" customHeight="1" x14ac:dyDescent="0.2">
      <c r="A37" s="70"/>
      <c r="B37" s="271"/>
      <c r="C37" s="272"/>
      <c r="D37" s="272"/>
      <c r="E37" s="273"/>
    </row>
    <row r="38" spans="1:5" s="74" customFormat="1" ht="15.5" customHeight="1" x14ac:dyDescent="0.2">
      <c r="A38" s="70"/>
      <c r="B38" s="271"/>
      <c r="C38" s="272"/>
      <c r="D38" s="272"/>
      <c r="E38" s="273"/>
    </row>
    <row r="39" spans="1:5" s="74" customFormat="1" ht="15.5" customHeight="1" x14ac:dyDescent="0.2">
      <c r="A39" s="70"/>
      <c r="B39" s="271"/>
      <c r="C39" s="272"/>
      <c r="D39" s="272"/>
      <c r="E39" s="273"/>
    </row>
    <row r="40" spans="1:5" s="74" customFormat="1" ht="15.5" customHeight="1" x14ac:dyDescent="0.2">
      <c r="A40" s="70"/>
      <c r="B40" s="271"/>
      <c r="C40" s="272"/>
      <c r="D40" s="272"/>
      <c r="E40" s="273"/>
    </row>
    <row r="41" spans="1:5" s="74" customFormat="1" ht="15.5" customHeight="1" x14ac:dyDescent="0.2">
      <c r="A41" s="70"/>
      <c r="B41" s="271"/>
      <c r="C41" s="272"/>
      <c r="D41" s="272"/>
      <c r="E41" s="273"/>
    </row>
    <row r="42" spans="1:5" s="74" customFormat="1" ht="15.5" customHeight="1" x14ac:dyDescent="0.2">
      <c r="A42" s="70"/>
      <c r="B42" s="271"/>
      <c r="C42" s="272"/>
      <c r="D42" s="272"/>
      <c r="E42" s="273"/>
    </row>
    <row r="43" spans="1:5" s="74" customFormat="1" ht="15.5" customHeight="1" x14ac:dyDescent="0.2">
      <c r="A43" s="70"/>
      <c r="B43" s="271"/>
      <c r="C43" s="272"/>
      <c r="D43" s="272"/>
      <c r="E43" s="273"/>
    </row>
    <row r="44" spans="1:5" s="60" customFormat="1" ht="20.5" customHeight="1" x14ac:dyDescent="0.2">
      <c r="A44" s="113"/>
      <c r="B44" s="274"/>
      <c r="C44" s="275"/>
      <c r="D44" s="275"/>
      <c r="E44" s="276"/>
    </row>
    <row r="45" spans="1:5" s="5" customFormat="1" ht="17.5" customHeight="1" x14ac:dyDescent="0.2">
      <c r="A45" s="7" t="s">
        <v>14</v>
      </c>
      <c r="B45" s="11" t="s">
        <v>134</v>
      </c>
      <c r="C45" s="7"/>
      <c r="D45" s="7"/>
      <c r="E45" s="7"/>
    </row>
    <row r="46" spans="1:5" ht="17.5" customHeight="1" x14ac:dyDescent="0.2">
      <c r="A46" s="8"/>
      <c r="B46" s="277" t="s">
        <v>182</v>
      </c>
      <c r="C46" s="278"/>
      <c r="D46" s="278"/>
      <c r="E46" s="279"/>
    </row>
    <row r="47" spans="1:5" ht="17.5" customHeight="1" x14ac:dyDescent="0.2">
      <c r="A47" s="8"/>
      <c r="B47" s="280"/>
      <c r="C47" s="281"/>
      <c r="D47" s="281"/>
      <c r="E47" s="282"/>
    </row>
    <row r="48" spans="1:5" ht="17.5" customHeight="1" x14ac:dyDescent="0.2">
      <c r="A48" s="8"/>
      <c r="B48" s="280"/>
      <c r="C48" s="281"/>
      <c r="D48" s="281"/>
      <c r="E48" s="282"/>
    </row>
    <row r="49" spans="1:5" ht="17.5" customHeight="1" x14ac:dyDescent="0.2">
      <c r="A49" s="8"/>
      <c r="B49" s="280"/>
      <c r="C49" s="281"/>
      <c r="D49" s="281"/>
      <c r="E49" s="282"/>
    </row>
    <row r="50" spans="1:5" ht="17.5" customHeight="1" x14ac:dyDescent="0.2">
      <c r="A50" s="8"/>
      <c r="B50" s="280"/>
      <c r="C50" s="281"/>
      <c r="D50" s="281"/>
      <c r="E50" s="282"/>
    </row>
    <row r="51" spans="1:5" ht="17.5" customHeight="1" x14ac:dyDescent="0.2">
      <c r="A51" s="8"/>
      <c r="B51" s="280"/>
      <c r="C51" s="281"/>
      <c r="D51" s="281"/>
      <c r="E51" s="282"/>
    </row>
    <row r="52" spans="1:5" ht="17.5" customHeight="1" x14ac:dyDescent="0.2">
      <c r="A52" s="8"/>
      <c r="B52" s="280"/>
      <c r="C52" s="281"/>
      <c r="D52" s="281"/>
      <c r="E52" s="282"/>
    </row>
    <row r="53" spans="1:5" ht="17.5" customHeight="1" x14ac:dyDescent="0.2">
      <c r="A53" s="8"/>
      <c r="B53" s="280"/>
      <c r="C53" s="281"/>
      <c r="D53" s="281"/>
      <c r="E53" s="282"/>
    </row>
    <row r="54" spans="1:5" ht="17.5" customHeight="1" x14ac:dyDescent="0.2">
      <c r="A54" s="8"/>
      <c r="B54" s="280"/>
      <c r="C54" s="281"/>
      <c r="D54" s="281"/>
      <c r="E54" s="282"/>
    </row>
    <row r="55" spans="1:5" ht="17.5" customHeight="1" x14ac:dyDescent="0.2">
      <c r="A55" s="8"/>
      <c r="B55" s="280"/>
      <c r="C55" s="281"/>
      <c r="D55" s="281"/>
      <c r="E55" s="282"/>
    </row>
    <row r="56" spans="1:5" ht="17.5" customHeight="1" x14ac:dyDescent="0.2">
      <c r="A56" s="8"/>
      <c r="B56" s="280"/>
      <c r="C56" s="281"/>
      <c r="D56" s="281"/>
      <c r="E56" s="282"/>
    </row>
    <row r="57" spans="1:5" ht="17.5" customHeight="1" x14ac:dyDescent="0.2">
      <c r="A57" s="8"/>
      <c r="B57" s="280"/>
      <c r="C57" s="281"/>
      <c r="D57" s="281"/>
      <c r="E57" s="282"/>
    </row>
    <row r="58" spans="1:5" ht="17.5" customHeight="1" x14ac:dyDescent="0.2">
      <c r="A58" s="8"/>
      <c r="B58" s="280"/>
      <c r="C58" s="281"/>
      <c r="D58" s="281"/>
      <c r="E58" s="282"/>
    </row>
    <row r="59" spans="1:5" ht="17.5" customHeight="1" x14ac:dyDescent="0.2">
      <c r="A59" s="8"/>
      <c r="B59" s="280"/>
      <c r="C59" s="281"/>
      <c r="D59" s="281"/>
      <c r="E59" s="282"/>
    </row>
    <row r="60" spans="1:5" ht="17.5" customHeight="1" x14ac:dyDescent="0.2">
      <c r="A60" s="8"/>
      <c r="B60" s="280"/>
      <c r="C60" s="281"/>
      <c r="D60" s="281"/>
      <c r="E60" s="282"/>
    </row>
    <row r="61" spans="1:5" ht="17.5" customHeight="1" x14ac:dyDescent="0.2">
      <c r="A61" s="8"/>
      <c r="B61" s="280"/>
      <c r="C61" s="281"/>
      <c r="D61" s="281"/>
      <c r="E61" s="282"/>
    </row>
    <row r="62" spans="1:5" ht="17.5" customHeight="1" x14ac:dyDescent="0.2">
      <c r="A62" s="8"/>
      <c r="B62" s="280"/>
      <c r="C62" s="281"/>
      <c r="D62" s="281"/>
      <c r="E62" s="282"/>
    </row>
    <row r="63" spans="1:5" ht="17.5" customHeight="1" x14ac:dyDescent="0.2">
      <c r="A63" s="8"/>
      <c r="B63" s="280"/>
      <c r="C63" s="281"/>
      <c r="D63" s="281"/>
      <c r="E63" s="282"/>
    </row>
    <row r="64" spans="1:5" ht="17.5" customHeight="1" x14ac:dyDescent="0.2">
      <c r="A64" s="8"/>
      <c r="B64" s="280"/>
      <c r="C64" s="281"/>
      <c r="D64" s="281"/>
      <c r="E64" s="282"/>
    </row>
    <row r="65" spans="1:5" ht="17.5" customHeight="1" x14ac:dyDescent="0.2">
      <c r="A65" s="8"/>
      <c r="B65" s="280"/>
      <c r="C65" s="281"/>
      <c r="D65" s="281"/>
      <c r="E65" s="282"/>
    </row>
    <row r="66" spans="1:5" ht="17.5" customHeight="1" x14ac:dyDescent="0.2">
      <c r="A66" s="8"/>
      <c r="B66" s="283"/>
      <c r="C66" s="284"/>
      <c r="D66" s="284"/>
      <c r="E66" s="285"/>
    </row>
    <row r="67" spans="1:5" ht="7.5" customHeight="1" x14ac:dyDescent="0.2">
      <c r="A67" s="8"/>
      <c r="B67" s="8"/>
      <c r="C67" s="8"/>
      <c r="D67" s="8"/>
      <c r="E67" s="8"/>
    </row>
    <row r="68" spans="1:5" s="5" customFormat="1" ht="17.5" customHeight="1" x14ac:dyDescent="0.2">
      <c r="A68" s="11" t="s">
        <v>17</v>
      </c>
      <c r="B68" s="11" t="s">
        <v>92</v>
      </c>
      <c r="C68" s="11"/>
      <c r="D68" s="11"/>
      <c r="E68" s="11"/>
    </row>
    <row r="69" spans="1:5" s="5" customFormat="1" ht="17.5" customHeight="1" x14ac:dyDescent="0.2">
      <c r="A69" s="11"/>
      <c r="B69" s="226" t="s">
        <v>183</v>
      </c>
      <c r="C69" s="227"/>
      <c r="D69" s="227"/>
      <c r="E69" s="228"/>
    </row>
    <row r="70" spans="1:5" s="5" customFormat="1" ht="17.5" customHeight="1" x14ac:dyDescent="0.2">
      <c r="A70" s="11"/>
      <c r="B70" s="229"/>
      <c r="C70" s="230"/>
      <c r="D70" s="230"/>
      <c r="E70" s="231"/>
    </row>
    <row r="71" spans="1:5" s="5" customFormat="1" ht="17.5" customHeight="1" x14ac:dyDescent="0.2">
      <c r="A71" s="11"/>
      <c r="B71" s="229"/>
      <c r="C71" s="230"/>
      <c r="D71" s="230"/>
      <c r="E71" s="231"/>
    </row>
    <row r="72" spans="1:5" s="5" customFormat="1" ht="17.5" customHeight="1" x14ac:dyDescent="0.2">
      <c r="A72" s="11"/>
      <c r="B72" s="229"/>
      <c r="C72" s="230"/>
      <c r="D72" s="230"/>
      <c r="E72" s="231"/>
    </row>
    <row r="73" spans="1:5" s="5" customFormat="1" ht="17.5" customHeight="1" x14ac:dyDescent="0.2">
      <c r="A73" s="11"/>
      <c r="B73" s="229"/>
      <c r="C73" s="230"/>
      <c r="D73" s="230"/>
      <c r="E73" s="231"/>
    </row>
    <row r="74" spans="1:5" s="5" customFormat="1" ht="17.5" customHeight="1" x14ac:dyDescent="0.2">
      <c r="A74" s="11"/>
      <c r="B74" s="229"/>
      <c r="C74" s="230"/>
      <c r="D74" s="230"/>
      <c r="E74" s="231"/>
    </row>
    <row r="75" spans="1:5" s="5" customFormat="1" ht="17.5" customHeight="1" x14ac:dyDescent="0.2">
      <c r="A75" s="11"/>
      <c r="B75" s="229"/>
      <c r="C75" s="230"/>
      <c r="D75" s="230"/>
      <c r="E75" s="231"/>
    </row>
    <row r="76" spans="1:5" s="5" customFormat="1" ht="17.5" customHeight="1" x14ac:dyDescent="0.2">
      <c r="A76" s="11"/>
      <c r="B76" s="229"/>
      <c r="C76" s="230"/>
      <c r="D76" s="230"/>
      <c r="E76" s="231"/>
    </row>
    <row r="77" spans="1:5" s="5" customFormat="1" ht="17.5" customHeight="1" x14ac:dyDescent="0.2">
      <c r="A77" s="11"/>
      <c r="B77" s="229"/>
      <c r="C77" s="230"/>
      <c r="D77" s="230"/>
      <c r="E77" s="231"/>
    </row>
    <row r="78" spans="1:5" s="5" customFormat="1" ht="17.5" customHeight="1" x14ac:dyDescent="0.2">
      <c r="A78" s="11"/>
      <c r="B78" s="229"/>
      <c r="C78" s="230"/>
      <c r="D78" s="230"/>
      <c r="E78" s="231"/>
    </row>
    <row r="79" spans="1:5" s="5" customFormat="1" ht="17.5" customHeight="1" x14ac:dyDescent="0.2">
      <c r="A79" s="11"/>
      <c r="B79" s="229"/>
      <c r="C79" s="230"/>
      <c r="D79" s="230"/>
      <c r="E79" s="231"/>
    </row>
    <row r="80" spans="1:5" s="5" customFormat="1" ht="17.5" customHeight="1" x14ac:dyDescent="0.2">
      <c r="A80" s="11"/>
      <c r="B80" s="229"/>
      <c r="C80" s="230"/>
      <c r="D80" s="230"/>
      <c r="E80" s="231"/>
    </row>
    <row r="81" spans="1:5" s="5" customFormat="1" ht="17.5" customHeight="1" x14ac:dyDescent="0.2">
      <c r="A81" s="11"/>
      <c r="B81" s="229"/>
      <c r="C81" s="230"/>
      <c r="D81" s="230"/>
      <c r="E81" s="231"/>
    </row>
    <row r="82" spans="1:5" s="5" customFormat="1" ht="17.5" customHeight="1" x14ac:dyDescent="0.2">
      <c r="A82" s="11"/>
      <c r="B82" s="229"/>
      <c r="C82" s="230"/>
      <c r="D82" s="230"/>
      <c r="E82" s="231"/>
    </row>
    <row r="83" spans="1:5" s="5" customFormat="1" ht="17.5" customHeight="1" x14ac:dyDescent="0.2">
      <c r="A83" s="11"/>
      <c r="B83" s="229"/>
      <c r="C83" s="230"/>
      <c r="D83" s="230"/>
      <c r="E83" s="231"/>
    </row>
    <row r="84" spans="1:5" s="5" customFormat="1" ht="17.5" customHeight="1" x14ac:dyDescent="0.2">
      <c r="A84" s="11"/>
      <c r="B84" s="229"/>
      <c r="C84" s="230"/>
      <c r="D84" s="230"/>
      <c r="E84" s="231"/>
    </row>
    <row r="85" spans="1:5" s="5" customFormat="1" ht="17.5" customHeight="1" x14ac:dyDescent="0.2">
      <c r="A85" s="11"/>
      <c r="B85" s="229"/>
      <c r="C85" s="230"/>
      <c r="D85" s="230"/>
      <c r="E85" s="231"/>
    </row>
    <row r="86" spans="1:5" ht="17.5" customHeight="1" x14ac:dyDescent="0.2">
      <c r="A86" s="8"/>
      <c r="B86" s="229"/>
      <c r="C86" s="230"/>
      <c r="D86" s="230"/>
      <c r="E86" s="231"/>
    </row>
    <row r="87" spans="1:5" ht="17.5" customHeight="1" x14ac:dyDescent="0.2">
      <c r="A87" s="8"/>
      <c r="B87" s="232"/>
      <c r="C87" s="233"/>
      <c r="D87" s="233"/>
      <c r="E87" s="234"/>
    </row>
    <row r="88" spans="1:5" ht="7.5" customHeight="1" x14ac:dyDescent="0.2">
      <c r="A88" s="8"/>
      <c r="B88" s="8"/>
      <c r="C88" s="8"/>
      <c r="D88" s="8"/>
      <c r="E88" s="8"/>
    </row>
    <row r="89" spans="1:5" s="5" customFormat="1" ht="17.5" customHeight="1" x14ac:dyDescent="0.2">
      <c r="A89" s="11" t="s">
        <v>15</v>
      </c>
      <c r="B89" s="11" t="s">
        <v>32</v>
      </c>
      <c r="C89" s="11"/>
      <c r="D89" s="11"/>
      <c r="E89" s="11"/>
    </row>
    <row r="90" spans="1:5" s="5" customFormat="1" ht="17.5" customHeight="1" x14ac:dyDescent="0.2">
      <c r="A90" s="11"/>
      <c r="B90" s="265" t="s">
        <v>184</v>
      </c>
      <c r="C90" s="227"/>
      <c r="D90" s="227"/>
      <c r="E90" s="228"/>
    </row>
    <row r="91" spans="1:5" s="5" customFormat="1" ht="17.5" customHeight="1" x14ac:dyDescent="0.2">
      <c r="A91" s="11"/>
      <c r="B91" s="229"/>
      <c r="C91" s="230"/>
      <c r="D91" s="230"/>
      <c r="E91" s="231"/>
    </row>
    <row r="92" spans="1:5" s="5" customFormat="1" ht="17.5" customHeight="1" x14ac:dyDescent="0.2">
      <c r="A92" s="11"/>
      <c r="B92" s="229"/>
      <c r="C92" s="230"/>
      <c r="D92" s="230"/>
      <c r="E92" s="231"/>
    </row>
    <row r="93" spans="1:5" s="5" customFormat="1" ht="17.5" customHeight="1" x14ac:dyDescent="0.2">
      <c r="A93" s="11"/>
      <c r="B93" s="229"/>
      <c r="C93" s="230"/>
      <c r="D93" s="230"/>
      <c r="E93" s="231"/>
    </row>
    <row r="94" spans="1:5" s="5" customFormat="1" ht="17.5" customHeight="1" x14ac:dyDescent="0.2">
      <c r="A94" s="11"/>
      <c r="B94" s="229"/>
      <c r="C94" s="230"/>
      <c r="D94" s="230"/>
      <c r="E94" s="231"/>
    </row>
    <row r="95" spans="1:5" s="5" customFormat="1" ht="17.5" customHeight="1" x14ac:dyDescent="0.2">
      <c r="A95" s="11"/>
      <c r="B95" s="229"/>
      <c r="C95" s="230"/>
      <c r="D95" s="230"/>
      <c r="E95" s="231"/>
    </row>
    <row r="96" spans="1:5" s="5" customFormat="1" ht="17.5" customHeight="1" x14ac:dyDescent="0.2">
      <c r="A96" s="11"/>
      <c r="B96" s="229"/>
      <c r="C96" s="230"/>
      <c r="D96" s="230"/>
      <c r="E96" s="231"/>
    </row>
    <row r="97" spans="1:5" s="5" customFormat="1" ht="17.5" customHeight="1" x14ac:dyDescent="0.2">
      <c r="A97" s="11"/>
      <c r="B97" s="229"/>
      <c r="C97" s="230"/>
      <c r="D97" s="230"/>
      <c r="E97" s="231"/>
    </row>
    <row r="98" spans="1:5" s="5" customFormat="1" ht="17.5" customHeight="1" x14ac:dyDescent="0.2">
      <c r="A98" s="11"/>
      <c r="B98" s="229"/>
      <c r="C98" s="230"/>
      <c r="D98" s="230"/>
      <c r="E98" s="231"/>
    </row>
    <row r="99" spans="1:5" s="5" customFormat="1" ht="17.5" customHeight="1" x14ac:dyDescent="0.2">
      <c r="A99" s="11"/>
      <c r="B99" s="229"/>
      <c r="C99" s="230"/>
      <c r="D99" s="230"/>
      <c r="E99" s="231"/>
    </row>
    <row r="100" spans="1:5" s="5" customFormat="1" ht="17.5" customHeight="1" x14ac:dyDescent="0.2">
      <c r="A100" s="11"/>
      <c r="B100" s="229"/>
      <c r="C100" s="230"/>
      <c r="D100" s="230"/>
      <c r="E100" s="231"/>
    </row>
    <row r="101" spans="1:5" s="5" customFormat="1" ht="17.5" customHeight="1" x14ac:dyDescent="0.2">
      <c r="A101" s="11"/>
      <c r="B101" s="229"/>
      <c r="C101" s="230"/>
      <c r="D101" s="230"/>
      <c r="E101" s="231"/>
    </row>
    <row r="102" spans="1:5" s="5" customFormat="1" ht="17.5" customHeight="1" x14ac:dyDescent="0.2">
      <c r="A102" s="11"/>
      <c r="B102" s="229"/>
      <c r="C102" s="230"/>
      <c r="D102" s="230"/>
      <c r="E102" s="231"/>
    </row>
    <row r="103" spans="1:5" s="5" customFormat="1" ht="17.5" customHeight="1" x14ac:dyDescent="0.2">
      <c r="A103" s="11"/>
      <c r="B103" s="229"/>
      <c r="C103" s="230"/>
      <c r="D103" s="230"/>
      <c r="E103" s="231"/>
    </row>
    <row r="104" spans="1:5" s="5" customFormat="1" ht="17.5" customHeight="1" x14ac:dyDescent="0.2">
      <c r="A104" s="11"/>
      <c r="B104" s="229"/>
      <c r="C104" s="230"/>
      <c r="D104" s="230"/>
      <c r="E104" s="231"/>
    </row>
    <row r="105" spans="1:5" s="5" customFormat="1" ht="17.5" customHeight="1" x14ac:dyDescent="0.2">
      <c r="A105" s="11"/>
      <c r="B105" s="229"/>
      <c r="C105" s="230"/>
      <c r="D105" s="230"/>
      <c r="E105" s="231"/>
    </row>
    <row r="106" spans="1:5" s="5" customFormat="1" ht="17.5" customHeight="1" x14ac:dyDescent="0.2">
      <c r="A106" s="11"/>
      <c r="B106" s="229"/>
      <c r="C106" s="230"/>
      <c r="D106" s="230"/>
      <c r="E106" s="231"/>
    </row>
    <row r="107" spans="1:5" s="5" customFormat="1" ht="17.5" customHeight="1" x14ac:dyDescent="0.2">
      <c r="A107" s="11"/>
      <c r="B107" s="229"/>
      <c r="C107" s="230"/>
      <c r="D107" s="230"/>
      <c r="E107" s="231"/>
    </row>
    <row r="108" spans="1:5" ht="17.5" customHeight="1" x14ac:dyDescent="0.2">
      <c r="A108" s="8"/>
      <c r="B108" s="229"/>
      <c r="C108" s="230"/>
      <c r="D108" s="230"/>
      <c r="E108" s="231"/>
    </row>
    <row r="109" spans="1:5" ht="17.5" customHeight="1" x14ac:dyDescent="0.2">
      <c r="A109" s="8"/>
      <c r="B109" s="232"/>
      <c r="C109" s="233"/>
      <c r="D109" s="233"/>
      <c r="E109" s="234"/>
    </row>
    <row r="110" spans="1:5" ht="7.5" customHeight="1" x14ac:dyDescent="0.2">
      <c r="A110" s="8"/>
      <c r="B110" s="8"/>
      <c r="C110" s="8"/>
      <c r="D110" s="8"/>
      <c r="E110" s="8"/>
    </row>
    <row r="111" spans="1:5" s="5" customFormat="1" ht="17.5" customHeight="1" x14ac:dyDescent="0.2">
      <c r="A111" s="11" t="s">
        <v>60</v>
      </c>
      <c r="B111" s="266" t="s">
        <v>128</v>
      </c>
      <c r="C111" s="266"/>
      <c r="D111" s="266"/>
      <c r="E111" s="266"/>
    </row>
    <row r="112" spans="1:5" ht="17.5" customHeight="1" x14ac:dyDescent="0.2">
      <c r="A112" s="8"/>
      <c r="B112" s="265" t="s">
        <v>205</v>
      </c>
      <c r="C112" s="227"/>
      <c r="D112" s="227"/>
      <c r="E112" s="228"/>
    </row>
    <row r="113" spans="1:5" ht="17.5" customHeight="1" x14ac:dyDescent="0.2">
      <c r="A113" s="8"/>
      <c r="B113" s="229"/>
      <c r="C113" s="230"/>
      <c r="D113" s="230"/>
      <c r="E113" s="231"/>
    </row>
    <row r="114" spans="1:5" ht="17.5" customHeight="1" x14ac:dyDescent="0.2">
      <c r="A114" s="8"/>
      <c r="B114" s="229"/>
      <c r="C114" s="230"/>
      <c r="D114" s="230"/>
      <c r="E114" s="231"/>
    </row>
    <row r="115" spans="1:5" ht="17.5" customHeight="1" x14ac:dyDescent="0.2">
      <c r="A115" s="8"/>
      <c r="B115" s="229"/>
      <c r="C115" s="230"/>
      <c r="D115" s="230"/>
      <c r="E115" s="231"/>
    </row>
    <row r="116" spans="1:5" ht="17.5" customHeight="1" x14ac:dyDescent="0.2">
      <c r="A116" s="8"/>
      <c r="B116" s="229"/>
      <c r="C116" s="230"/>
      <c r="D116" s="230"/>
      <c r="E116" s="231"/>
    </row>
    <row r="117" spans="1:5" ht="17.5" customHeight="1" x14ac:dyDescent="0.2">
      <c r="A117" s="8"/>
      <c r="B117" s="229"/>
      <c r="C117" s="230"/>
      <c r="D117" s="230"/>
      <c r="E117" s="231"/>
    </row>
    <row r="118" spans="1:5" ht="17.5" customHeight="1" x14ac:dyDescent="0.2">
      <c r="A118" s="8"/>
      <c r="B118" s="229"/>
      <c r="C118" s="230"/>
      <c r="D118" s="230"/>
      <c r="E118" s="231"/>
    </row>
    <row r="119" spans="1:5" ht="17.5" customHeight="1" x14ac:dyDescent="0.2">
      <c r="A119" s="8"/>
      <c r="B119" s="229"/>
      <c r="C119" s="230"/>
      <c r="D119" s="230"/>
      <c r="E119" s="231"/>
    </row>
    <row r="120" spans="1:5" ht="17.5" customHeight="1" x14ac:dyDescent="0.2">
      <c r="A120" s="8"/>
      <c r="B120" s="229"/>
      <c r="C120" s="230"/>
      <c r="D120" s="230"/>
      <c r="E120" s="231"/>
    </row>
    <row r="121" spans="1:5" ht="17.5" customHeight="1" x14ac:dyDescent="0.2">
      <c r="A121" s="8"/>
      <c r="B121" s="229"/>
      <c r="C121" s="230"/>
      <c r="D121" s="230"/>
      <c r="E121" s="231"/>
    </row>
    <row r="122" spans="1:5" ht="17.5" customHeight="1" x14ac:dyDescent="0.2">
      <c r="A122" s="8"/>
      <c r="B122" s="229"/>
      <c r="C122" s="230"/>
      <c r="D122" s="230"/>
      <c r="E122" s="231"/>
    </row>
    <row r="123" spans="1:5" ht="17.5" customHeight="1" x14ac:dyDescent="0.2">
      <c r="A123" s="8"/>
      <c r="B123" s="229"/>
      <c r="C123" s="230"/>
      <c r="D123" s="230"/>
      <c r="E123" s="231"/>
    </row>
    <row r="124" spans="1:5" ht="17.5" customHeight="1" x14ac:dyDescent="0.2">
      <c r="A124" s="8"/>
      <c r="B124" s="229"/>
      <c r="C124" s="230"/>
      <c r="D124" s="230"/>
      <c r="E124" s="231"/>
    </row>
    <row r="125" spans="1:5" ht="17.5" customHeight="1" x14ac:dyDescent="0.2">
      <c r="A125" s="8"/>
      <c r="B125" s="229"/>
      <c r="C125" s="230"/>
      <c r="D125" s="230"/>
      <c r="E125" s="231"/>
    </row>
    <row r="126" spans="1:5" ht="17.5" customHeight="1" x14ac:dyDescent="0.2">
      <c r="A126" s="8"/>
      <c r="B126" s="229"/>
      <c r="C126" s="230"/>
      <c r="D126" s="230"/>
      <c r="E126" s="231"/>
    </row>
    <row r="127" spans="1:5" ht="17.5" customHeight="1" x14ac:dyDescent="0.2">
      <c r="A127" s="8"/>
      <c r="B127" s="229"/>
      <c r="C127" s="230"/>
      <c r="D127" s="230"/>
      <c r="E127" s="231"/>
    </row>
    <row r="128" spans="1:5" ht="17.5" customHeight="1" x14ac:dyDescent="0.2">
      <c r="A128" s="8"/>
      <c r="B128" s="229"/>
      <c r="C128" s="230"/>
      <c r="D128" s="230"/>
      <c r="E128" s="231"/>
    </row>
    <row r="129" spans="1:5" ht="17.5" customHeight="1" x14ac:dyDescent="0.2">
      <c r="A129" s="8"/>
      <c r="B129" s="229"/>
      <c r="C129" s="230"/>
      <c r="D129" s="230"/>
      <c r="E129" s="231"/>
    </row>
    <row r="130" spans="1:5" ht="17.5" customHeight="1" x14ac:dyDescent="0.2">
      <c r="A130" s="8"/>
      <c r="B130" s="229"/>
      <c r="C130" s="230"/>
      <c r="D130" s="230"/>
      <c r="E130" s="231"/>
    </row>
    <row r="131" spans="1:5" ht="17.5" customHeight="1" x14ac:dyDescent="0.2">
      <c r="A131" s="8"/>
      <c r="B131" s="232"/>
      <c r="C131" s="233"/>
      <c r="D131" s="233"/>
      <c r="E131" s="234"/>
    </row>
    <row r="132" spans="1:5" ht="7.5" customHeight="1" x14ac:dyDescent="0.2">
      <c r="A132" s="8"/>
      <c r="B132" s="9"/>
      <c r="C132" s="9"/>
      <c r="D132" s="9"/>
      <c r="E132" s="9"/>
    </row>
    <row r="133" spans="1:5" ht="18.75" customHeight="1" x14ac:dyDescent="0.2">
      <c r="A133" s="8"/>
      <c r="B133" s="8"/>
      <c r="C133" s="8"/>
      <c r="D133" s="8"/>
      <c r="E133" s="8"/>
    </row>
    <row r="134" spans="1:5" ht="18.75" customHeight="1" x14ac:dyDescent="0.2">
      <c r="A134" s="8"/>
      <c r="B134" s="8"/>
      <c r="C134" s="8"/>
      <c r="D134" s="8"/>
      <c r="E134" s="8"/>
    </row>
    <row r="135" spans="1:5" ht="18.75" customHeight="1" x14ac:dyDescent="0.2">
      <c r="A135" s="8"/>
      <c r="B135" s="8"/>
      <c r="C135" s="8"/>
      <c r="D135" s="8"/>
      <c r="E135" s="8"/>
    </row>
    <row r="136" spans="1:5" ht="18.75" customHeight="1" x14ac:dyDescent="0.2">
      <c r="A136" s="8"/>
      <c r="B136" s="8"/>
      <c r="C136" s="8"/>
      <c r="D136" s="8"/>
      <c r="E136" s="8"/>
    </row>
    <row r="137" spans="1:5" ht="18.75" customHeight="1" x14ac:dyDescent="0.2">
      <c r="A137" s="8"/>
      <c r="B137" s="8"/>
      <c r="C137" s="8"/>
      <c r="D137" s="8"/>
      <c r="E137" s="8"/>
    </row>
    <row r="138" spans="1:5" ht="18.75" customHeight="1" x14ac:dyDescent="0.2">
      <c r="A138" s="8"/>
      <c r="B138" s="8"/>
      <c r="C138" s="8"/>
      <c r="D138" s="8"/>
      <c r="E138" s="8"/>
    </row>
    <row r="139" spans="1:5" ht="18.75" customHeight="1" x14ac:dyDescent="0.2">
      <c r="A139" s="8"/>
      <c r="B139" s="8"/>
      <c r="C139" s="8"/>
      <c r="D139" s="8"/>
      <c r="E139" s="8"/>
    </row>
    <row r="140" spans="1:5" ht="18.75" customHeight="1" x14ac:dyDescent="0.2">
      <c r="A140" s="8"/>
      <c r="B140" s="8"/>
      <c r="C140" s="8"/>
      <c r="D140" s="8"/>
      <c r="E140" s="8"/>
    </row>
    <row r="141" spans="1:5" ht="18.75" customHeight="1" x14ac:dyDescent="0.2">
      <c r="A141" s="8"/>
      <c r="B141" s="8"/>
      <c r="C141" s="8"/>
      <c r="D141" s="8"/>
      <c r="E141" s="8"/>
    </row>
    <row r="142" spans="1:5" ht="18.75" customHeight="1" x14ac:dyDescent="0.2">
      <c r="A142" s="8"/>
      <c r="B142" s="8"/>
      <c r="C142" s="8"/>
      <c r="D142" s="8"/>
      <c r="E142" s="8"/>
    </row>
    <row r="143" spans="1:5" ht="18.75" customHeight="1" x14ac:dyDescent="0.2">
      <c r="A143" s="8"/>
      <c r="B143" s="8"/>
      <c r="C143" s="8"/>
      <c r="D143" s="8"/>
      <c r="E143" s="8"/>
    </row>
    <row r="144" spans="1:5" ht="18.75" customHeight="1" x14ac:dyDescent="0.2">
      <c r="A144" s="8"/>
      <c r="B144" s="8"/>
      <c r="C144" s="8"/>
      <c r="D144" s="8"/>
      <c r="E144" s="8"/>
    </row>
    <row r="145" spans="1:5" ht="14" x14ac:dyDescent="0.2">
      <c r="A145" s="8"/>
      <c r="B145" s="8"/>
      <c r="C145" s="8"/>
      <c r="D145" s="8"/>
      <c r="E145" s="8"/>
    </row>
    <row r="146" spans="1:5" ht="7.5" customHeight="1" x14ac:dyDescent="0.2">
      <c r="A146" s="4"/>
      <c r="B146" s="4"/>
      <c r="C146" s="4"/>
      <c r="D146" s="4"/>
      <c r="E146" s="4"/>
    </row>
  </sheetData>
  <mergeCells count="11">
    <mergeCell ref="B69:E87"/>
    <mergeCell ref="B90:E109"/>
    <mergeCell ref="B111:E111"/>
    <mergeCell ref="B112:E131"/>
    <mergeCell ref="D2:E2"/>
    <mergeCell ref="B4:E4"/>
    <mergeCell ref="B10:E14"/>
    <mergeCell ref="B17:E28"/>
    <mergeCell ref="B31:E44"/>
    <mergeCell ref="B46:E66"/>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16383" man="1"/>
    <brk id="88"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zoomScaleNormal="100" workbookViewId="0"/>
  </sheetViews>
  <sheetFormatPr defaultColWidth="11.36328125" defaultRowHeight="22.5" customHeight="1" x14ac:dyDescent="0.2"/>
  <cols>
    <col min="1" max="3" width="2.453125" style="1" customWidth="1"/>
    <col min="4" max="4" width="22.453125" style="1" customWidth="1"/>
    <col min="5" max="5" width="21.26953125" style="1" customWidth="1"/>
    <col min="6" max="7" width="7.453125" style="1" customWidth="1"/>
    <col min="8" max="8" width="32.453125" style="1" customWidth="1"/>
    <col min="9" max="9" width="24.90625" style="1" customWidth="1"/>
    <col min="10" max="10" width="6.26953125" style="1" customWidth="1"/>
    <col min="11" max="11" width="4.08984375" style="1" customWidth="1"/>
    <col min="12" max="16384" width="11.36328125" style="1"/>
  </cols>
  <sheetData>
    <row r="1" spans="1:10" ht="18.75" customHeight="1" x14ac:dyDescent="0.2">
      <c r="J1" s="49" t="s">
        <v>9</v>
      </c>
    </row>
    <row r="2" spans="1:10" ht="18.75" customHeight="1" x14ac:dyDescent="0.2">
      <c r="D2" s="49"/>
      <c r="H2" s="49" t="s">
        <v>30</v>
      </c>
      <c r="I2" s="301" t="s">
        <v>148</v>
      </c>
      <c r="J2" s="165"/>
    </row>
    <row r="3" spans="1:10" ht="18.75" customHeight="1" x14ac:dyDescent="0.2">
      <c r="A3" s="302" t="s">
        <v>48</v>
      </c>
      <c r="B3" s="302"/>
      <c r="C3" s="302"/>
      <c r="D3" s="302"/>
      <c r="E3" s="302"/>
      <c r="F3" s="302"/>
      <c r="G3" s="302"/>
      <c r="H3" s="302"/>
      <c r="I3" s="302"/>
      <c r="J3" s="302"/>
    </row>
    <row r="4" spans="1:10" ht="7.5" customHeight="1" x14ac:dyDescent="0.2">
      <c r="B4" s="50"/>
      <c r="C4" s="50"/>
      <c r="D4" s="303"/>
      <c r="E4" s="304"/>
      <c r="F4" s="304"/>
      <c r="G4" s="304"/>
      <c r="H4" s="304"/>
      <c r="I4" s="304"/>
      <c r="J4" s="304"/>
    </row>
    <row r="5" spans="1:10" ht="18.75" customHeight="1" x14ac:dyDescent="0.2">
      <c r="A5" s="1" t="s">
        <v>7</v>
      </c>
      <c r="B5" s="5" t="s">
        <v>46</v>
      </c>
      <c r="C5" s="50"/>
      <c r="D5" s="50"/>
      <c r="E5" s="51"/>
      <c r="F5" s="51"/>
      <c r="G5" s="51"/>
      <c r="H5" s="51"/>
      <c r="I5" s="51"/>
      <c r="J5" s="51"/>
    </row>
    <row r="6" spans="1:10" ht="18.75" customHeight="1" x14ac:dyDescent="0.2">
      <c r="B6" s="236" t="s">
        <v>43</v>
      </c>
      <c r="C6" s="237"/>
      <c r="D6" s="238"/>
      <c r="E6" s="305" t="s">
        <v>45</v>
      </c>
      <c r="F6" s="305"/>
      <c r="G6" s="305"/>
      <c r="H6" s="305"/>
      <c r="I6" s="305"/>
      <c r="J6" s="306"/>
    </row>
    <row r="7" spans="1:10" ht="18.75" customHeight="1" x14ac:dyDescent="0.2">
      <c r="B7" s="6" t="s">
        <v>33</v>
      </c>
      <c r="C7" s="8"/>
      <c r="D7" s="15"/>
      <c r="E7" s="3"/>
      <c r="F7" s="3"/>
      <c r="G7" s="3"/>
      <c r="H7" s="3"/>
      <c r="I7" s="12"/>
      <c r="J7" s="13"/>
    </row>
    <row r="8" spans="1:10" ht="186" customHeight="1" x14ac:dyDescent="0.2">
      <c r="B8" s="14"/>
      <c r="C8" s="297" t="s">
        <v>34</v>
      </c>
      <c r="D8" s="288"/>
      <c r="E8" s="298" t="s">
        <v>185</v>
      </c>
      <c r="F8" s="289"/>
      <c r="G8" s="289"/>
      <c r="H8" s="289"/>
      <c r="I8" s="289"/>
      <c r="J8" s="290"/>
    </row>
    <row r="9" spans="1:10" ht="202.5" customHeight="1" x14ac:dyDescent="0.2">
      <c r="B9" s="14"/>
      <c r="C9" s="299" t="s">
        <v>35</v>
      </c>
      <c r="D9" s="300"/>
      <c r="E9" s="298" t="s">
        <v>190</v>
      </c>
      <c r="F9" s="289"/>
      <c r="G9" s="289"/>
      <c r="H9" s="289"/>
      <c r="I9" s="289"/>
      <c r="J9" s="290"/>
    </row>
    <row r="10" spans="1:10" ht="171" customHeight="1" x14ac:dyDescent="0.2">
      <c r="B10" s="14"/>
      <c r="C10" s="297" t="s">
        <v>36</v>
      </c>
      <c r="D10" s="288"/>
      <c r="E10" s="298" t="s">
        <v>186</v>
      </c>
      <c r="F10" s="289"/>
      <c r="G10" s="289"/>
      <c r="H10" s="289"/>
      <c r="I10" s="289"/>
      <c r="J10" s="290"/>
    </row>
    <row r="11" spans="1:10" ht="169" customHeight="1" x14ac:dyDescent="0.2">
      <c r="B11" s="14"/>
      <c r="C11" s="297" t="s">
        <v>37</v>
      </c>
      <c r="D11" s="288"/>
      <c r="E11" s="298" t="s">
        <v>201</v>
      </c>
      <c r="F11" s="289"/>
      <c r="G11" s="289"/>
      <c r="H11" s="289"/>
      <c r="I11" s="289"/>
      <c r="J11" s="290"/>
    </row>
    <row r="12" spans="1:10" ht="171" customHeight="1" x14ac:dyDescent="0.2">
      <c r="B12" s="14"/>
      <c r="C12" s="297" t="s">
        <v>38</v>
      </c>
      <c r="D12" s="288"/>
      <c r="E12" s="298" t="s">
        <v>187</v>
      </c>
      <c r="F12" s="289"/>
      <c r="G12" s="289"/>
      <c r="H12" s="289"/>
      <c r="I12" s="289"/>
      <c r="J12" s="290"/>
    </row>
    <row r="13" spans="1:10" ht="18.75" customHeight="1" x14ac:dyDescent="0.2">
      <c r="B13" s="17" t="s">
        <v>39</v>
      </c>
      <c r="C13" s="30"/>
      <c r="D13" s="16"/>
      <c r="E13" s="38"/>
      <c r="F13" s="38"/>
      <c r="G13" s="38"/>
      <c r="H13" s="38"/>
      <c r="I13" s="38"/>
      <c r="J13" s="39"/>
    </row>
    <row r="14" spans="1:10" ht="243.65" customHeight="1" x14ac:dyDescent="0.2">
      <c r="B14" s="14"/>
      <c r="C14" s="297" t="s">
        <v>40</v>
      </c>
      <c r="D14" s="288"/>
      <c r="E14" s="289" t="s">
        <v>203</v>
      </c>
      <c r="F14" s="289"/>
      <c r="G14" s="289"/>
      <c r="H14" s="289"/>
      <c r="I14" s="289"/>
      <c r="J14" s="290"/>
    </row>
    <row r="15" spans="1:10" ht="243.65" customHeight="1" x14ac:dyDescent="0.2">
      <c r="B15" s="117"/>
      <c r="C15" s="297" t="s">
        <v>41</v>
      </c>
      <c r="D15" s="288"/>
      <c r="E15" s="289" t="s">
        <v>191</v>
      </c>
      <c r="F15" s="289"/>
      <c r="G15" s="289"/>
      <c r="H15" s="289"/>
      <c r="I15" s="289"/>
      <c r="J15" s="290"/>
    </row>
    <row r="16" spans="1:10" ht="228.65" customHeight="1" x14ac:dyDescent="0.2">
      <c r="B16" s="286" t="s">
        <v>42</v>
      </c>
      <c r="C16" s="287"/>
      <c r="D16" s="288"/>
      <c r="E16" s="289" t="s">
        <v>192</v>
      </c>
      <c r="F16" s="289"/>
      <c r="G16" s="289"/>
      <c r="H16" s="289"/>
      <c r="I16" s="289"/>
      <c r="J16" s="290"/>
    </row>
    <row r="17" spans="1:10" ht="228.65" customHeight="1" x14ac:dyDescent="0.2">
      <c r="A17" s="37"/>
      <c r="B17" s="291" t="s">
        <v>84</v>
      </c>
      <c r="C17" s="292"/>
      <c r="D17" s="293"/>
      <c r="E17" s="284" t="s">
        <v>193</v>
      </c>
      <c r="F17" s="284"/>
      <c r="G17" s="284"/>
      <c r="H17" s="284"/>
      <c r="I17" s="284"/>
      <c r="J17" s="285"/>
    </row>
    <row r="18" spans="1:10" ht="7.5" customHeight="1" x14ac:dyDescent="0.2">
      <c r="B18" s="50"/>
      <c r="C18" s="50"/>
      <c r="D18" s="50"/>
      <c r="E18" s="51"/>
      <c r="F18" s="51"/>
      <c r="G18" s="51"/>
      <c r="H18" s="51"/>
      <c r="I18" s="51"/>
      <c r="J18" s="51"/>
    </row>
    <row r="19" spans="1:10" ht="18.75" customHeight="1" x14ac:dyDescent="0.2">
      <c r="B19" s="5"/>
      <c r="C19" s="50"/>
      <c r="D19" s="50"/>
      <c r="E19" s="51"/>
      <c r="F19" s="31"/>
      <c r="G19" s="31"/>
      <c r="H19" s="44" t="s">
        <v>111</v>
      </c>
      <c r="I19" s="40"/>
      <c r="J19" s="116"/>
    </row>
    <row r="20" spans="1:10" ht="18.75" customHeight="1" x14ac:dyDescent="0.2">
      <c r="A20" s="3" t="s">
        <v>12</v>
      </c>
      <c r="B20" s="41" t="s">
        <v>47</v>
      </c>
      <c r="C20" s="42"/>
      <c r="D20" s="42"/>
      <c r="E20" s="43"/>
      <c r="F20" s="115" t="s">
        <v>207</v>
      </c>
      <c r="G20" s="114"/>
      <c r="H20" s="294" t="s">
        <v>206</v>
      </c>
      <c r="I20" s="295"/>
      <c r="J20" s="296"/>
    </row>
    <row r="21" spans="1:10" ht="22.5" customHeight="1" x14ac:dyDescent="0.2">
      <c r="B21" s="50"/>
      <c r="C21" s="50"/>
      <c r="D21" s="50"/>
      <c r="E21" s="51"/>
      <c r="F21" s="51"/>
      <c r="G21" s="51"/>
      <c r="H21" s="51"/>
      <c r="I21" s="51"/>
      <c r="J21" s="51"/>
    </row>
    <row r="22" spans="1:10" ht="22.5" customHeight="1" x14ac:dyDescent="0.2">
      <c r="B22" s="50"/>
      <c r="C22" s="50"/>
      <c r="D22" s="50"/>
      <c r="E22" s="51"/>
      <c r="F22" s="51"/>
      <c r="G22" s="51"/>
      <c r="H22" s="51"/>
      <c r="I22" s="51"/>
      <c r="J22" s="51"/>
    </row>
    <row r="23" spans="1:10" ht="22.5" customHeight="1" x14ac:dyDescent="0.2">
      <c r="B23" s="50"/>
      <c r="C23" s="50"/>
      <c r="D23" s="50"/>
      <c r="E23" s="51"/>
      <c r="F23" s="51"/>
      <c r="G23" s="51"/>
      <c r="H23" s="51"/>
      <c r="I23" s="51"/>
      <c r="J23" s="51"/>
    </row>
    <row r="24" spans="1:10" ht="22.5" customHeight="1" x14ac:dyDescent="0.2">
      <c r="B24" s="50"/>
      <c r="C24" s="50"/>
      <c r="D24" s="50"/>
      <c r="E24" s="51"/>
      <c r="F24" s="51"/>
      <c r="G24" s="51"/>
      <c r="H24" s="51"/>
      <c r="I24" s="51"/>
      <c r="J24" s="51"/>
    </row>
    <row r="25" spans="1:10" ht="22.5" customHeight="1" x14ac:dyDescent="0.2">
      <c r="B25" s="50"/>
      <c r="C25" s="50"/>
      <c r="D25" s="50"/>
      <c r="E25" s="51"/>
      <c r="F25" s="51"/>
      <c r="G25" s="51"/>
      <c r="H25" s="51"/>
      <c r="I25" s="51"/>
      <c r="J25" s="51"/>
    </row>
    <row r="26" spans="1:10" ht="22.5" customHeight="1" x14ac:dyDescent="0.2">
      <c r="B26" s="10"/>
      <c r="C26" s="10"/>
      <c r="D26" s="10"/>
      <c r="E26" s="10"/>
      <c r="F26" s="10"/>
      <c r="G26" s="10"/>
      <c r="H26" s="10"/>
      <c r="I26" s="10"/>
      <c r="J26" s="10"/>
    </row>
    <row r="27" spans="1:10" ht="22.5" customHeight="1" x14ac:dyDescent="0.2">
      <c r="B27" s="10"/>
      <c r="C27" s="10"/>
      <c r="D27" s="10"/>
      <c r="E27" s="10"/>
      <c r="F27" s="10"/>
      <c r="G27" s="10"/>
      <c r="H27" s="10"/>
      <c r="I27" s="10"/>
      <c r="J27" s="10"/>
    </row>
    <row r="28" spans="1:10" ht="22.5" customHeight="1" x14ac:dyDescent="0.2">
      <c r="B28" s="10"/>
      <c r="C28" s="10"/>
      <c r="D28" s="10"/>
      <c r="E28" s="10"/>
      <c r="F28" s="10"/>
      <c r="G28" s="10"/>
      <c r="H28" s="10"/>
      <c r="I28" s="10"/>
      <c r="J28" s="10"/>
    </row>
  </sheetData>
  <mergeCells count="24">
    <mergeCell ref="C8:D8"/>
    <mergeCell ref="E8:J8"/>
    <mergeCell ref="I2:J2"/>
    <mergeCell ref="A3:J3"/>
    <mergeCell ref="D4:J4"/>
    <mergeCell ref="B6:D6"/>
    <mergeCell ref="E6:J6"/>
    <mergeCell ref="C9:D9"/>
    <mergeCell ref="E9:J9"/>
    <mergeCell ref="C10:D10"/>
    <mergeCell ref="E10:J10"/>
    <mergeCell ref="C11:D11"/>
    <mergeCell ref="E11:J11"/>
    <mergeCell ref="C12:D12"/>
    <mergeCell ref="E12:J12"/>
    <mergeCell ref="C14:D14"/>
    <mergeCell ref="E14:J14"/>
    <mergeCell ref="C15:D15"/>
    <mergeCell ref="E15:J15"/>
    <mergeCell ref="B16:D16"/>
    <mergeCell ref="E16:J16"/>
    <mergeCell ref="B17:D17"/>
    <mergeCell ref="E17:J17"/>
    <mergeCell ref="H20:J20"/>
  </mergeCells>
  <phoneticPr fontId="1"/>
  <dataValidations count="2">
    <dataValidation type="list" allowBlank="1" showInputMessage="1" showErrorMessage="1" sqref="F20">
      <formula1>"有,無,予定"</formula1>
    </dataValidation>
    <dataValidation type="list" allowBlank="1" showInputMessage="1" showErrorMessage="1" sqref="F19:G19">
      <formula1>#REF!</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rowBreaks count="1" manualBreakCount="1">
    <brk id="1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様式２プログラムを構成する授業科目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 </vt:lpstr>
      <vt:lpstr>'様式１　大学等概要'!Print_Area</vt:lpstr>
      <vt:lpstr>様式２プログラムを構成する授業科目!Print_Area</vt:lpstr>
      <vt:lpstr>'様式３　履修者等数の実績'!Print_Area</vt:lpstr>
      <vt:lpstr>'様式５　教育の質・履修者数を向上させるための体制・計画'!Print_Area</vt:lpstr>
      <vt:lpstr>'様式６　自己点検・評価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教務課　共通</cp:lastModifiedBy>
  <cp:lastPrinted>2021-07-14T00:31:34Z</cp:lastPrinted>
  <dcterms:created xsi:type="dcterms:W3CDTF">2011-06-14T05:32:50Z</dcterms:created>
  <dcterms:modified xsi:type="dcterms:W3CDTF">2021-07-14T00:31:38Z</dcterms:modified>
</cp:coreProperties>
</file>