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D:\教務・学籍\数理・データサイエンス・AI教育プログラム認定制度\リテラシーレベル\20210624 申請書類【再提出】\"/>
    </mc:Choice>
  </mc:AlternateContent>
  <xr:revisionPtr revIDLastSave="0" documentId="13_ncr:1_{DC63A664-4D2B-47CC-B5C3-125322EC0C17}" xr6:coauthVersionLast="47" xr6:coauthVersionMax="47" xr10:uidLastSave="{00000000-0000-0000-0000-000000000000}"/>
  <bookViews>
    <workbookView xWindow="0" yWindow="0" windowWidth="20490" windowHeight="7455" tabRatio="885" firstSheet="5" activeTab="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<sst xmlns="http://schemas.openxmlformats.org/spreadsheetml/2006/main" count="270" uniqueCount="203">
  <si>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</si>
  <si>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</si>
  <si>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</si>
  <si>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</si>
  <si>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広島大学</t>
    <rPh sb="0" eb="2">
      <t>ヒロシマ</t>
    </rPh>
    <rPh sb="2" eb="4">
      <t>ダイガク</t>
    </rPh>
    <phoneticPr fontId="2"/>
  </si>
  <si>
    <t>②</t>
    <phoneticPr fontId="1"/>
  </si>
  <si>
    <t>大学等の設置者</t>
  </si>
  <si>
    <t>国立大学法人広島大学</t>
    <rPh sb="0" eb="2">
      <t>コクリツ</t>
    </rPh>
    <rPh sb="2" eb="4">
      <t>ダイガク</t>
    </rPh>
    <rPh sb="4" eb="6">
      <t>ホウジン</t>
    </rPh>
    <rPh sb="6" eb="8">
      <t>ヒロシマ</t>
    </rPh>
    <rPh sb="8" eb="10">
      <t>ダイガク</t>
    </rPh>
    <phoneticPr fontId="2"/>
  </si>
  <si>
    <t>③</t>
    <phoneticPr fontId="1"/>
  </si>
  <si>
    <t>設置形態</t>
  </si>
  <si>
    <t>国立大学</t>
  </si>
  <si>
    <t>④</t>
    <phoneticPr fontId="1"/>
  </si>
  <si>
    <t>所在地</t>
    <phoneticPr fontId="1"/>
  </si>
  <si>
    <t>広島県東広島市鏡山一丁目3番2号</t>
  </si>
  <si>
    <t>⑤</t>
    <phoneticPr fontId="1"/>
  </si>
  <si>
    <t>申請するプログラム又は授業科目名称</t>
    <rPh sb="0" eb="2">
      <t>シンセイ</t>
    </rPh>
    <rPh sb="9" eb="10">
      <t>マタ</t>
    </rPh>
    <rPh sb="11" eb="13">
      <t>ジュギョウ</t>
    </rPh>
    <rPh sb="13" eb="15">
      <t>カモク</t>
    </rPh>
    <rPh sb="15" eb="17">
      <t>メイショウ</t>
    </rPh>
    <phoneticPr fontId="1"/>
  </si>
  <si>
    <t>情報・データサイエンス・AIパッケージ</t>
    <rPh sb="0" eb="2">
      <t>ジョウホウ</t>
    </rPh>
    <phoneticPr fontId="2"/>
  </si>
  <si>
    <t>⑥</t>
    <phoneticPr fontId="1"/>
  </si>
  <si>
    <t>プログラムの開設年度</t>
    <rPh sb="6" eb="8">
      <t>カイセツ</t>
    </rPh>
    <rPh sb="8" eb="10">
      <t>ネンド</t>
    </rPh>
    <phoneticPr fontId="1"/>
  </si>
  <si>
    <t>令和2年度</t>
    <rPh sb="0" eb="2">
      <t>レイワ</t>
    </rPh>
    <rPh sb="3" eb="5">
      <t>ネンド</t>
    </rPh>
    <phoneticPr fontId="2"/>
  </si>
  <si>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</si>
  <si>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</si>
  <si>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</si>
  <si>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</si>
  <si>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</si>
  <si>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</si>
  <si>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</si>
  <si>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</si>
  <si>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</si>
  <si>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</si>
  <si>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</si>
  <si>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</si>
  <si>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</si>
  <si>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</si>
  <si>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</si>
  <si>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</si>
  <si>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</si>
  <si>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</si>
  <si>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</si>
  <si>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</si>
  <si>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</si>
  <si>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</si>
  <si>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宮谷　真人</t>
    <rPh sb="0" eb="2">
      <t>ミヤタニ</t>
    </rPh>
    <rPh sb="3" eb="5">
      <t>マコト</t>
    </rPh>
    <phoneticPr fontId="2"/>
  </si>
  <si>
    <t>（役職名）</t>
    <rPh sb="1" eb="4">
      <t>ヤクショクメイ</t>
    </rPh>
    <phoneticPr fontId="1"/>
  </si>
  <si>
    <t>理事・副学長（教育担当）</t>
    <rPh sb="0" eb="2">
      <t>リジ</t>
    </rPh>
    <rPh sb="3" eb="6">
      <t>フクガクチョウ</t>
    </rPh>
    <rPh sb="7" eb="9">
      <t>キョウイク</t>
    </rPh>
    <rPh sb="9" eb="11">
      <t>タントウ</t>
    </rPh>
    <phoneticPr fontId="2"/>
  </si>
  <si>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</si>
  <si>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</si>
  <si>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教育本部全学教育統括部統括会議</t>
    <rPh sb="0" eb="2">
      <t>キョウイク</t>
    </rPh>
    <rPh sb="2" eb="4">
      <t>ホンブ</t>
    </rPh>
    <rPh sb="4" eb="6">
      <t>ゼンガク</t>
    </rPh>
    <rPh sb="6" eb="8">
      <t>キョウイク</t>
    </rPh>
    <rPh sb="8" eb="10">
      <t>トウカツ</t>
    </rPh>
    <rPh sb="10" eb="11">
      <t>ブ</t>
    </rPh>
    <rPh sb="11" eb="13">
      <t>トウカツ</t>
    </rPh>
    <rPh sb="13" eb="15">
      <t>カイギ</t>
    </rPh>
    <phoneticPr fontId="2"/>
  </si>
  <si>
    <t>小澤　孝一郎</t>
    <rPh sb="0" eb="2">
      <t>オザワ</t>
    </rPh>
    <rPh sb="3" eb="6">
      <t>コウイチロウ</t>
    </rPh>
    <phoneticPr fontId="2"/>
  </si>
  <si>
    <t>副学長（全学共通教育担当）</t>
    <rPh sb="0" eb="3">
      <t>フクガクチョウ</t>
    </rPh>
    <rPh sb="4" eb="6">
      <t>ゼンガク</t>
    </rPh>
    <rPh sb="6" eb="8">
      <t>キョウツウ</t>
    </rPh>
    <rPh sb="8" eb="10">
      <t>キョウイク</t>
    </rPh>
    <rPh sb="10" eb="12">
      <t>タントウ</t>
    </rPh>
    <phoneticPr fontId="2"/>
  </si>
  <si>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</si>
  <si>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</si>
  <si>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教育本部全学教育統括部　情報教育・データリテラシー部門</t>
    <rPh sb="0" eb="2">
      <t>キョウイク</t>
    </rPh>
    <rPh sb="2" eb="4">
      <t>ホンブ</t>
    </rPh>
    <rPh sb="4" eb="6">
      <t>ゼンガク</t>
    </rPh>
    <rPh sb="6" eb="8">
      <t>キョウイク</t>
    </rPh>
    <rPh sb="8" eb="10">
      <t>トウカツ</t>
    </rPh>
    <rPh sb="10" eb="11">
      <t>ブ</t>
    </rPh>
    <rPh sb="12" eb="14">
      <t>ジョウホウ</t>
    </rPh>
    <rPh sb="14" eb="16">
      <t>キョウイク</t>
    </rPh>
    <rPh sb="25" eb="27">
      <t>ブモン</t>
    </rPh>
    <phoneticPr fontId="2"/>
  </si>
  <si>
    <t>稲垣　知宏</t>
    <rPh sb="0" eb="2">
      <t>イナガキ</t>
    </rPh>
    <rPh sb="3" eb="5">
      <t>トモヒロ</t>
    </rPh>
    <phoneticPr fontId="2"/>
  </si>
  <si>
    <t>情報メディア教育研究センター　教授</t>
    <rPh sb="0" eb="2">
      <t>ジョウホウ</t>
    </rPh>
    <rPh sb="6" eb="8">
      <t>キョウイク</t>
    </rPh>
    <rPh sb="8" eb="10">
      <t>ケンキュウ</t>
    </rPh>
    <rPh sb="15" eb="17">
      <t>キョウジュ</t>
    </rPh>
    <phoneticPr fontId="2"/>
  </si>
  <si>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</si>
  <si>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</si>
  <si>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</si>
  <si>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</si>
  <si>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</si>
  <si>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教育室教育部教育推進グループ</t>
    <rPh sb="0" eb="2">
      <t>キョウイク</t>
    </rPh>
    <rPh sb="2" eb="3">
      <t>シツ</t>
    </rPh>
    <rPh sb="3" eb="5">
      <t>キョウイク</t>
    </rPh>
    <rPh sb="5" eb="6">
      <t>ブ</t>
    </rPh>
    <rPh sb="6" eb="8">
      <t>キョウイク</t>
    </rPh>
    <rPh sb="8" eb="10">
      <t>スイシン</t>
    </rPh>
    <phoneticPr fontId="2"/>
  </si>
  <si>
    <t>担当者名</t>
    <rPh sb="0" eb="2">
      <t>タントウ</t>
    </rPh>
    <rPh sb="2" eb="3">
      <t>シャ</t>
    </rPh>
    <rPh sb="3" eb="4">
      <t>メイ</t>
    </rPh>
    <phoneticPr fontId="1"/>
  </si>
  <si>
    <t>景山　淳史</t>
    <rPh sb="0" eb="2">
      <t>カゲヤマ</t>
    </rPh>
    <rPh sb="3" eb="5">
      <t>アツシ</t>
    </rPh>
    <phoneticPr fontId="2"/>
  </si>
  <si>
    <t>E-mail</t>
  </si>
  <si>
    <t>gsyugakukm-group@office.hiroshima-u.ac.jp</t>
  </si>
  <si>
    <t>電話番号</t>
  </si>
  <si>
    <t>082-424-6156</t>
  </si>
  <si>
    <t>様式２</t>
    <rPh sb="0" eb="2">
      <t>ヨウシキ</t>
    </rPh>
    <phoneticPr fontId="1"/>
  </si>
  <si>
    <t>学校名：</t>
    <rPh sb="0" eb="2">
      <t>ガッコウ</t>
    </rPh>
    <rPh sb="2" eb="3">
      <t>メイ</t>
    </rPh>
    <phoneticPr fontId="1"/>
  </si>
  <si>
    <t>広島大学</t>
    <rPh sb="0" eb="2">
      <t>ヒロシマ</t>
    </rPh>
    <rPh sb="2" eb="4">
      <t>ダイガク</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</si>
  <si>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</si>
  <si>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</si>
  <si>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</si>
  <si>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</si>
  <si>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教養教育科目において，「情報活用基礎（下記1：情報・データサイエンス科目）」および「大学教育入門（下記2：大学教育基礎科目）」の2科目4単位を修得し，情報・データサイエンス・AIの基礎をパッケージで学修する。
なお，リテラシーレベルの学修をより深めるため，「データサイエンス基礎（下記3：領域科目）」，「ゼロからはじめるプログラミング（下記4：領域科目）」，「コンピュータ・プログラミング（下記5：領域科目）」，「知能とコンピュータ（下記6：領域科目）」，「統計データ解析（下記7：基盤科目）」の中から選択し，併せて履修することが望ましい。</t>
    <phoneticPr fontId="1"/>
  </si>
  <si>
    <t>授業科目名称</t>
    <rPh sb="0" eb="2">
      <t>ジュギョウ</t>
    </rPh>
    <rPh sb="2" eb="4">
      <t>カモク</t>
    </rPh>
    <rPh sb="4" eb="6">
      <t>メイショウ</t>
    </rPh>
    <phoneticPr fontId="1"/>
  </si>
  <si>
    <t>情報活用基礎</t>
    <rPh sb="0" eb="2">
      <t>ジョウホウ</t>
    </rPh>
    <rPh sb="2" eb="4">
      <t>カツヨウ</t>
    </rPh>
    <rPh sb="4" eb="6">
      <t>キソ</t>
    </rPh>
    <phoneticPr fontId="2"/>
  </si>
  <si>
    <t>大学教育入門</t>
    <rPh sb="0" eb="2">
      <t>ダイガク</t>
    </rPh>
    <rPh sb="2" eb="4">
      <t>キョウイク</t>
    </rPh>
    <rPh sb="4" eb="6">
      <t>ニュウモン</t>
    </rPh>
    <phoneticPr fontId="2"/>
  </si>
  <si>
    <t>データサイエンス基礎</t>
    <rPh sb="8" eb="10">
      <t>キソ</t>
    </rPh>
    <phoneticPr fontId="2"/>
  </si>
  <si>
    <t>ゼロからはじめるプログラミング</t>
  </si>
  <si>
    <t>コンピュータ・プログラミング</t>
  </si>
  <si>
    <t>知能とコンピュータ</t>
    <rPh sb="0" eb="2">
      <t>チノウ</t>
    </rPh>
    <phoneticPr fontId="2"/>
  </si>
  <si>
    <t>統計データ解析</t>
    <rPh sb="0" eb="2">
      <t>トウケイ</t>
    </rPh>
    <rPh sb="5" eb="7">
      <t>カイセキ</t>
    </rPh>
    <phoneticPr fontId="2"/>
  </si>
  <si>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</si>
  <si>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</si>
  <si>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</si>
  <si>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</si>
  <si>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</si>
  <si>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</si>
  <si>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</si>
  <si>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</si>
  <si>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</si>
  <si>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</si>
  <si>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</si>
  <si>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</si>
  <si>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</si>
  <si>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</si>
  <si>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</si>
  <si>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総合科学部（その他）</t>
    <rPh sb="0" eb="2">
      <t>ソウゴウ</t>
    </rPh>
    <rPh sb="2" eb="5">
      <t>カガクブ</t>
    </rPh>
    <rPh sb="8" eb="9">
      <t>タ</t>
    </rPh>
    <phoneticPr fontId="2"/>
  </si>
  <si>
    <t>文学部（人文科学）</t>
    <rPh sb="0" eb="3">
      <t>ブンガクブ</t>
    </rPh>
    <rPh sb="4" eb="6">
      <t>ジンブン</t>
    </rPh>
    <rPh sb="6" eb="8">
      <t>カガク</t>
    </rPh>
    <phoneticPr fontId="2"/>
  </si>
  <si>
    <t>教育学部（教育）</t>
    <rPh sb="0" eb="2">
      <t>キョウイク</t>
    </rPh>
    <rPh sb="2" eb="4">
      <t>ガクブ</t>
    </rPh>
    <rPh sb="5" eb="7">
      <t>キョウイク</t>
    </rPh>
    <phoneticPr fontId="2"/>
  </si>
  <si>
    <t>法学部（社会科学）</t>
    <rPh sb="0" eb="3">
      <t>ホウガクブ</t>
    </rPh>
    <rPh sb="4" eb="6">
      <t>シャカイ</t>
    </rPh>
    <rPh sb="6" eb="8">
      <t>カガク</t>
    </rPh>
    <phoneticPr fontId="2"/>
  </si>
  <si>
    <t>経済学部（社会科学）</t>
    <rPh sb="0" eb="2">
      <t>ケイザイ</t>
    </rPh>
    <rPh sb="2" eb="4">
      <t>ガクブ</t>
    </rPh>
    <rPh sb="5" eb="7">
      <t>シャカイ</t>
    </rPh>
    <rPh sb="7" eb="9">
      <t>カガク</t>
    </rPh>
    <phoneticPr fontId="2"/>
  </si>
  <si>
    <t>理学部（理学）</t>
    <rPh sb="0" eb="3">
      <t>リガクブ</t>
    </rPh>
    <rPh sb="4" eb="6">
      <t>リガク</t>
    </rPh>
    <phoneticPr fontId="2"/>
  </si>
  <si>
    <t>医学部（保健）</t>
    <rPh sb="0" eb="2">
      <t>イガク</t>
    </rPh>
    <rPh sb="2" eb="3">
      <t>ブ</t>
    </rPh>
    <rPh sb="4" eb="6">
      <t>ホケン</t>
    </rPh>
    <phoneticPr fontId="2"/>
  </si>
  <si>
    <t>歯学部（保健）</t>
    <rPh sb="0" eb="3">
      <t>シガクブ</t>
    </rPh>
    <rPh sb="4" eb="6">
      <t>ホケン</t>
    </rPh>
    <phoneticPr fontId="2"/>
  </si>
  <si>
    <t>薬学部（保健）</t>
    <rPh sb="0" eb="3">
      <t>ヤクガクブ</t>
    </rPh>
    <rPh sb="4" eb="6">
      <t>ホケン</t>
    </rPh>
    <phoneticPr fontId="2"/>
  </si>
  <si>
    <t>工学部（工学）</t>
    <rPh sb="0" eb="3">
      <t>コウガクブ</t>
    </rPh>
    <rPh sb="4" eb="6">
      <t>コウガク</t>
    </rPh>
    <phoneticPr fontId="2"/>
  </si>
  <si>
    <t>生物生産学部（農学）</t>
    <rPh sb="0" eb="2">
      <t>セイブツ</t>
    </rPh>
    <rPh sb="2" eb="4">
      <t>セイサン</t>
    </rPh>
    <rPh sb="4" eb="6">
      <t>ガクブ</t>
    </rPh>
    <rPh sb="7" eb="9">
      <t>ノウガク</t>
    </rPh>
    <phoneticPr fontId="2"/>
  </si>
  <si>
    <t>情報科学部（その他）</t>
    <rPh sb="0" eb="2">
      <t>ジョウホウ</t>
    </rPh>
    <rPh sb="2" eb="4">
      <t>カガク</t>
    </rPh>
    <rPh sb="4" eb="5">
      <t>ブ</t>
    </rPh>
    <rPh sb="8" eb="9">
      <t>タ</t>
    </rPh>
    <phoneticPr fontId="2"/>
  </si>
  <si>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</si>
  <si>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</si>
  <si>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</si>
  <si>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</si>
  <si>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</si>
  <si>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</si>
  <si>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</si>
  <si>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情報端末とネットワークの普及した情報化社会の中で，さまざまな領域，分野でデータの蓄積が進んできたこと，情報環境の高度化とコンピュータの高速化，大容量化によって，膨大なデータを処理するための新たな技術が利用できるようになってきたこと，仮想空間と現実空間の融合が進んでいく中で，社会及び日常生活が変化してきていることについて講義し，情報・データ科学，人工知能について学ぶことの意義を理解させる。また，身の回りのデータ・情報の活用事例を調べさせ，それが，どのような社会変化に繋がってきたのか，新たなリスク等は生じていないのかについて検討させる。2019年度までの授業ではグループ学習として検討，発表させていたが，2020年度は，オンデマンド型の授業実施としたため，これまでの学生の意見から，「出所不明なデータを加えてでも，データは多いほうがよい」といった特徴的な意見を提示し，個々で検討させることとした。</t>
    <rPh sb="0" eb="4">
      <t>ジョウホウ</t>
    </rPh>
    <rPh sb="12" eb="14">
      <t>フキュウ</t>
    </rPh>
    <rPh sb="16" eb="21">
      <t>ジョウホウ</t>
    </rPh>
    <rPh sb="22" eb="23">
      <t>ナカ</t>
    </rPh>
    <rPh sb="30" eb="32">
      <t>リョウイキ</t>
    </rPh>
    <rPh sb="33" eb="35">
      <t>ブンヤ</t>
    </rPh>
    <rPh sb="40" eb="42">
      <t>チクセキ</t>
    </rPh>
    <rPh sb="43" eb="44">
      <t>ススミ</t>
    </rPh>
    <rPh sb="86" eb="88">
      <t>ショリ</t>
    </rPh>
    <rPh sb="93" eb="98">
      <t>ギジュテゥ</t>
    </rPh>
    <rPh sb="100" eb="102">
      <t>リヨウ</t>
    </rPh>
    <rPh sb="116" eb="118">
      <t>カソウ</t>
    </rPh>
    <rPh sb="119" eb="123">
      <t>ゲンジテゥ</t>
    </rPh>
    <rPh sb="124" eb="126">
      <t>ユウゴウ</t>
    </rPh>
    <rPh sb="127" eb="128">
      <t>ススンデ</t>
    </rPh>
    <rPh sb="137" eb="138">
      <t>オヨビ</t>
    </rPh>
    <rPh sb="139" eb="143">
      <t>ニティ</t>
    </rPh>
    <rPh sb="144" eb="145">
      <t>ヘンカ</t>
    </rPh>
    <rPh sb="160" eb="162">
      <t>コウギ</t>
    </rPh>
    <rPh sb="164" eb="166">
      <t>ジョウホウ</t>
    </rPh>
    <rPh sb="170" eb="172">
      <t>カガク</t>
    </rPh>
    <rPh sb="173" eb="177">
      <t>ジンコウ</t>
    </rPh>
    <rPh sb="181" eb="182">
      <t>マナブ</t>
    </rPh>
    <rPh sb="186" eb="188">
      <t>イギ</t>
    </rPh>
    <rPh sb="189" eb="191">
      <t>リカイ</t>
    </rPh>
    <rPh sb="198" eb="199">
      <t>ミノマワリ</t>
    </rPh>
    <rPh sb="207" eb="209">
      <t>ジョウホウ</t>
    </rPh>
    <rPh sb="210" eb="212">
      <t>リカツヨウ</t>
    </rPh>
    <rPh sb="212" eb="214">
      <t>ジレイ</t>
    </rPh>
    <rPh sb="215" eb="216">
      <t>シラベ</t>
    </rPh>
    <rPh sb="229" eb="233">
      <t>シャカイ</t>
    </rPh>
    <rPh sb="234" eb="235">
      <t xml:space="preserve">ツナガッテイル </t>
    </rPh>
    <rPh sb="243" eb="244">
      <t>アラタ</t>
    </rPh>
    <rPh sb="249" eb="250">
      <t xml:space="preserve">トウ </t>
    </rPh>
    <rPh sb="251" eb="252">
      <t>ショウジテ</t>
    </rPh>
    <rPh sb="263" eb="265">
      <t>ケントウ</t>
    </rPh>
    <rPh sb="278" eb="280">
      <t>ジュギョウ</t>
    </rPh>
    <rPh sb="291" eb="293">
      <t>ケントウ</t>
    </rPh>
    <rPh sb="294" eb="296">
      <t>ハッピョウ</t>
    </rPh>
    <rPh sb="307" eb="309">
      <t>ネn</t>
    </rPh>
    <rPh sb="317" eb="318">
      <t xml:space="preserve">ガタノ </t>
    </rPh>
    <rPh sb="319" eb="321">
      <t>ジュギョウ</t>
    </rPh>
    <rPh sb="321" eb="323">
      <t>ジッセィ</t>
    </rPh>
    <rPh sb="334" eb="336">
      <t>ガクセイ</t>
    </rPh>
    <rPh sb="337" eb="339">
      <t>イケn</t>
    </rPh>
    <rPh sb="343" eb="345">
      <t>シュッセィオ</t>
    </rPh>
    <rPh sb="345" eb="347">
      <t>フメイ</t>
    </rPh>
    <rPh sb="352" eb="353">
      <t>クワエ</t>
    </rPh>
    <rPh sb="378" eb="380">
      <t>イケn</t>
    </rPh>
    <phoneticPr fontId="2"/>
  </si>
  <si>
    <t>授業科目名称</t>
    <rPh sb="0" eb="2">
      <t>ジュギョウ</t>
    </rPh>
    <rPh sb="2" eb="6">
      <t>カモクメイショウ</t>
    </rPh>
    <phoneticPr fontId="1"/>
  </si>
  <si>
    <t>講義テーマ</t>
    <rPh sb="0" eb="2">
      <t>コウギ</t>
    </rPh>
    <phoneticPr fontId="1"/>
  </si>
  <si>
    <t>情報活用基礎</t>
    <rPh sb="0" eb="6">
      <t>ジョウホウ</t>
    </rPh>
    <phoneticPr fontId="2"/>
  </si>
  <si>
    <t>情報と社会（1）</t>
    <rPh sb="0" eb="1">
      <t>ジョウホウ</t>
    </rPh>
    <rPh sb="3" eb="5">
      <t>シャカイ</t>
    </rPh>
    <phoneticPr fontId="2"/>
  </si>
  <si>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</si>
  <si>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社会で活用されているデータが，どのようにして集められ，活用されているかを講義する。データ収集手段として，観測データと調査データを取り上げ，現実のデータに触れることで，日常生活や社会の課題解決に活用されていることを理解させる。観測データとしては広島県防災Webで公開されている土砂災害ハザードマップと雨量情報を取り上げ，公開されているデータとその目的，利用方法について示す。調査データとしては国勢調査や内閣支持率の世論調査を取り上げ，その目的や実施方法について示す。また，アンケート調査で得られたデータを利用する際や解釈をする際に留意しておくべき点についても扱い，実際に報道された内容が信頼できるのかどうかについて，統計学の基礎に基づき，サンプリングの妥当性，測定の妥当性について講義し，検討させる。測定の妥当性に配慮して調査票とアンケート調査サイトの作成を実習課題としている。</t>
    <phoneticPr fontId="1"/>
  </si>
  <si>
    <t>調査と情報，防災情報（8, 9, 10, 11）</t>
    <rPh sb="0" eb="2">
      <t>チョウ</t>
    </rPh>
    <rPh sb="3" eb="5">
      <t>ジョウホウ</t>
    </rPh>
    <rPh sb="6" eb="10">
      <t>ボウサイ</t>
    </rPh>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</si>
  <si>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</si>
  <si>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データ利活用のための技術として，特に人工知能を取り上げ，第1次，第2次人工知能ブームから現在の第3次人工知能ブームまで，時代毎に人工知能と関連して開発されてきた技術について簡単に説明し，これまでの人工知能的なものとその実現方法，最近のニューラルネットワークを用いた機械学習，深層学習の進展とその可能性について講義する。また，現在，利用されている人工知能は適用領域が限定されたものであり，将来に向けて幅広い知識と何らかの自意識を持つ汎用型人工知能の研究が進められていることを講義する。現在の人工知能ができることとして画像処理，言語処理，時系列分析等を取り上げ，流通，サービス，インフラ，ヘルスケア等，さまざまな領域からいくつかの事例を紹介し，さまざまなデータを人工知能で処理することによって，現実の世界でどのような価値が生みだされているか，また，生み出されうるかについて検討させる。</t>
    <phoneticPr fontId="1"/>
  </si>
  <si>
    <t>人工知能（14）</t>
    <rPh sb="0" eb="4">
      <t>ジンコウ</t>
    </rPh>
    <phoneticPr fontId="2"/>
  </si>
  <si>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</si>
  <si>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情報活用基礎：データと情報に関わるセキュリティと倫理について広く講義している。データを扱う上での留意事項として，個人情報保護，データの捏造，改竄，盗用とプライバシー保護，データを守る上での留意事項として，情報セキュリティと匿名加工情報，各種の暗号化，パスワード，悪意ある情報搾取について示す。さらに，国立研究開発法人情報通信研究機構のNICTERが観測しているダークネットを流れる情報を確認させ，情報セキュリティに関するリスクについて現実の問題として考えさせるようにしている。関連して，多様性社会とアクセシビリティの関係についても講義している。
大学教育入門：データのねつ造，改ざん，盗用とプライバシー保護の問題について講義し，実際に大学で発生した情報漏洩等によるセキュリティ事故の事例を示すことで，情報セキュリティを自分自身に降りかかる可能性がある問題として理解させている。</t>
    <phoneticPr fontId="1"/>
  </si>
  <si>
    <t>ネットワーク，情報倫理，情報アクセシビリティ（2, 5, 6, 7）</t>
    <rPh sb="7" eb="11">
      <t>ジョウホウ</t>
    </rPh>
    <rPh sb="12" eb="14">
      <t>ジョウホウ</t>
    </rPh>
    <phoneticPr fontId="2"/>
  </si>
  <si>
    <t>大学教育入門</t>
    <rPh sb="0" eb="6">
      <t>ダイガク</t>
    </rPh>
    <phoneticPr fontId="2"/>
  </si>
  <si>
    <t>情報セキュリティ（6）</t>
    <rPh sb="0" eb="2">
      <t>ジョウホウ</t>
    </rPh>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</si>
  <si>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</si>
  <si>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情報活用基礎：広島県防災Webの雨量情報を用いて，データを抽出・可視化する演習を行う。具体的には，2014年8月20日広島土砂災害における県内410の観測所での10分雨量値のデータを表計算アプリに読み込み，半減期1.5時間実行雨量，半減期72時間実行雨量等を計算する。また，土砂災害発生に繋がりやすい条件を実行雨量の関係として与え，その条件を満たすセルに色付けをする様，書式設定を行うことにより，土砂災害発生に危険のある地域と時間帯を読み取れることを確認させる。最後に，実際に土砂災害が集中発生し始めた時間帯と比較し，データを集計することの有用性を理解させる。
大学教育入門：アカデミックプレゼンテーションで利用されるデータ表現，データの図表表現について講義し，適切なグラフ表現と不適切なグラフ表現の比較等を通して，不適切に作成されたグラフ/数字に騙されない力を身に付けさせる。</t>
    <phoneticPr fontId="1"/>
  </si>
  <si>
    <t>防災情報（10, 11）</t>
    <rPh sb="0" eb="4">
      <t>ボウサイ</t>
    </rPh>
    <phoneticPr fontId="2"/>
  </si>
  <si>
    <t>アカデミックプレゼンテーション（9）</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</si>
  <si>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</si>
  <si>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</si>
  <si>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データサイエンス基礎，統計データ解析</t>
    <rPh sb="8" eb="10">
      <t>キソ</t>
    </rPh>
    <phoneticPr fontId="2"/>
  </si>
  <si>
    <t>アルゴリズム基礎</t>
    <rPh sb="6" eb="8">
      <t>キソ</t>
    </rPh>
    <phoneticPr fontId="1"/>
  </si>
  <si>
    <t>データ構造とプログラミング基礎</t>
    <rPh sb="3" eb="5">
      <t>コウゾウ</t>
    </rPh>
    <rPh sb="13" eb="15">
      <t>キソ</t>
    </rPh>
    <phoneticPr fontId="1"/>
  </si>
  <si>
    <t>ゼロからはじめるプログラミング，コンピュータ・プログラミング</t>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</si>
  <si>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</si>
  <si>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</si>
  <si>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</si>
  <si>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</si>
  <si>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</si>
  <si>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</si>
  <si>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知能とコンピュータ</t>
    <rPh sb="0" eb="2">
      <t>チノウ</t>
    </rPh>
    <phoneticPr fontId="1"/>
  </si>
  <si>
    <t>プログラムの授業内容等を公表しているアドレス</t>
    <rPh sb="6" eb="8">
      <t>ジュギョウ</t>
    </rPh>
    <rPh sb="8" eb="10">
      <t>ナイヨウ</t>
    </rPh>
    <rPh sb="10" eb="11">
      <t>トウ</t>
    </rPh>
    <rPh sb="12" eb="14">
      <t>コウヒョウ</t>
    </rPh>
    <phoneticPr fontId="1"/>
  </si>
  <si>
    <t>https://www.hiroshima-u.ac.jp/nyugaku/manabu/kyouyou</t>
    <phoneticPr fontId="1"/>
  </si>
  <si>
    <t>プログラムの学修成果（学生等が身に付けられる能力等）</t>
  </si>
  <si>
    <t>高度情報化社会の中でデータおよびコンピュータを活用していくのに必要となる基礎的な知識や技能を得る。さらに，有用性と問題点，情報倫理上の課題を検討した上でデータサイエンスと情報科学の知見を活用する能力を身につけ，将来，新しく現れる技術にも対応していく態度を育てる。</t>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</si>
  <si>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</si>
  <si>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</si>
  <si>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</si>
  <si>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</si>
  <si>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</si>
  <si>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広島大学教育本部運営内規</t>
    <rPh sb="0" eb="2">
      <t>ヒロシマ</t>
    </rPh>
    <rPh sb="2" eb="4">
      <t>ダイガク</t>
    </rPh>
    <rPh sb="4" eb="6">
      <t>キョウイク</t>
    </rPh>
    <rPh sb="6" eb="8">
      <t>ホンブ</t>
    </rPh>
    <rPh sb="8" eb="10">
      <t>ウンエイ</t>
    </rPh>
    <rPh sb="10" eb="12">
      <t>ナイキ</t>
    </rPh>
    <phoneticPr fontId="2"/>
  </si>
  <si>
    <t>体制の目的</t>
    <rPh sb="0" eb="2">
      <t>タイセイ</t>
    </rPh>
    <rPh sb="3" eb="5">
      <t>モクテキ</t>
    </rPh>
    <phoneticPr fontId="1"/>
  </si>
  <si>
    <t>教育本部全学教育統括部統括会議は，(1)全学共通教育に係る基本方針及び将来構想に関すること，(2)全学共通教育の質の向上に関すること，(3)全学共通教育に係る授業科目の開設及び履修に関すること，(4)全学共通教育に係る授業科目の担当及び実施に関すること，(5)全学共通教育に係る客員教授，客員准教授及び客員講師の任用に関すること，(6)全学共通教育の企画，評価及び改善に関すること，(7)その他全学共通教育に関すること　等の事項について審議を行うことを目的として，教育本部の下に設置されている。
また，全学共通教育科目を企画・実施するため，統括会議の下に設置する教育本部全学教育統括部企画運営会議に20の部門を置き，授業科目の企画等を行っている。情報・データサイエンス科目については「情報教育・データリテラシー部門」の部門長に，情報メディア教育研究センターの情報教育研究部門の教授を置いている。</t>
    <phoneticPr fontId="1"/>
  </si>
  <si>
    <t>具体的な構成員</t>
    <rPh sb="0" eb="3">
      <t>グタイテキ</t>
    </rPh>
    <rPh sb="4" eb="7">
      <t>コウセイイン</t>
    </rPh>
    <phoneticPr fontId="1"/>
  </si>
  <si>
    <t>議長　小澤　孝一郎　（副学長（全学共通教育担当），教育本部全学教育統括部長）
　　　　フンク　カロリン　（副学長（グローバル教育担当））
　　　　林　光緒　（副理事（教育企画担当））
　　　　中山　富廣　（人間社会科学研究科　教授）
　　　　小山　正孝　（人間社会科学研究科　教授）
　　　　乾　雅祝　（先進理工系科学研究科　教授）
　　　　池上　浩司　（医系科学研究科　教授）
　　　　吉田　香奈　（教育本部　准教授）</t>
    <phoneticPr fontId="1"/>
  </si>
  <si>
    <t>履修者数・履修率の向上に向けた計画</t>
    <rPh sb="5" eb="7">
      <t>リシュウ</t>
    </rPh>
    <rPh sb="7" eb="8">
      <t>リツ</t>
    </rPh>
    <phoneticPr fontId="1"/>
  </si>
  <si>
    <t>履修者数・履修率の目標
令和3年度　3,670名　（37％）
令和4年度　5,850名　（59％）
令和5年度　8,030名　（81％）
令和6年度　9,020名　（91％）
令和7年度　9,922名　（100％）
令和2年度から教養教育科目における科目区分「情報科目」を「情報・データサイエンス科目」へ変更し，令和3年度からは全学必修化する。また，現在の「情報活用基礎」の内容・構成を発展的に見直し，令和3年度から当該科目区分のコアになる科目として「情報・データ科学入門」に名称変更する。ほぼすべての学部・学科等で当該科目を必修に指定していることから，履修者数は年々増加し，令和4年度には全学生の50％を超えることが想定される。
また，学年進行中の学部・学科等については，学年進行終了後に「情報・データ科学入門」を必修化し，それと同時期を目途に，現在，別科目を必修に指定している夜間主コースについても指定科目の変更を依頼する。当該科目の全学必修化が完成することにより，既に全学必修科目となっている「大学教育入門」と合わせ，本パッケージの最終的な履修率は令和7年度に100％となる見込みであ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</si>
  <si>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</si>
  <si>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教養教育科目は教育本部全学教育統括部が主導し全学体制で実施しており，情報・データサイエンス科目の受講にあたって学部・学科等の区別はなく，希望する学生全員が受講可能な体制が整っている。教育本部全学教育統括部企画運営会議の「情報教育・データリテラシー部門」からの提供科目は，情報メディア教育研究センターの教授と関係教員が連携し，科目の学修目標を踏まえて教材を開発・整備している。令和2年度はコロナ禍の中での授業となったが，オンライン（オンデマンド型）で動画や教材を配信したため，学生が不利益を被ることなく，様々な学部から構成される大人数の受講者にも対応した。
また，「大学教育入門」は平成30年度から新規に開設された科目で，大学教育へのオリエンテーションとして位置付けられており，必修科目のため全学部の学生が受講することとなっている。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</si>
  <si>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</si>
  <si>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直後の学生に各学部で実施する「教養教育ガイダンス」，全学必修科目「大学教育入門」第1章については，教育本部全学教育統括部が主導して，学生に対する各種説明資料を作成した上で各学部の担当教員に説明会を開催しており，全ての新入生に対して，提供する情報に齟齬がないようにしている。
「教養教育ガイダンス」では，情報・データサイエンス科目を含めた全学共通科目の学修目標や必要単位数等について説明し，「大学教育入門」第1章では，第6章で情報セキュリティと情報倫理を学ぶことについても周知している。
また，新任教員スタートアップ研修においても，情報・データサイエンス科目を含めた全学共通科目について説明し，チューターから学生への履修指導にも寄与する取り組みを行っている。また，本学ウェブサイト「広島大学　学生情報の森　もみじ」においても情報・データサイエンス科目を含めた全学共通科目について説明している。</t>
    <phoneticPr fontId="1"/>
  </si>
  <si>
    <t>できる限り多くの学生が履修・修得できるようなサポート体制</t>
    <rPh sb="26" eb="28">
      <t>タイセイ</t>
    </rPh>
    <phoneticPr fontId="1"/>
  </si>
  <si>
    <t>「大学教育入門」・「情報活用基礎（情報・データ科学入門）」とも，講義部分については主にオンラインを活用して実施される科目であり，大人数の受講にも対応している。また，授業の動画・資料は学内のLMSによりオンデマンドで配信されるため，配信期間中であれば受講者は何度も見返すことができ，数理・データサイエンス・AIに関する初心者でも深い理解を得られるものとなっている。
また，受講する学生に身に付けるべき能力を修得させるために，授業内容について疑問点が生じた場合は，授業担当教員がメールやLMSの掲示板機能で随時質問を受け付け，対応しているほか，以下⑧に記載する情報メディア教育研究センターにおける学習支援の活用も可能となっており，学生に対する授業実施・学習支援のサポート体制を整備している。</t>
    <phoneticPr fontId="1"/>
  </si>
  <si>
    <t>授業時間内外で学習指導、質問を受け付ける具体的な仕組み</t>
    <rPh sb="20" eb="23">
      <t>グタイテキ</t>
    </rPh>
    <phoneticPr fontId="1"/>
  </si>
  <si>
    <t>「大学教育入門」・「情報活用基礎（情報・データ科学入門）」とも，受講状況は学内のLMSで管理されており，授業担当教員が随時確認できるため，出席が少ない学生への働きかけや，授業内容について個別に指導する仕組みを整えている。また，演習にかかる部分は，ネットワーク管理・システム管理・セキュリティ管理の実務経験をもっている教員が実施し，学生からの質問もメールやLMSの掲示板機能で随時受け付け，対応する体制を構築している。また，授業時間外にも，情報メディア教育研究センターで教務補佐員が情報系科目に関する学習支援を実施しており，授業で生じた疑問，授業時には分からなかった内容等について解決に向けたサポートを行うほか，「学生スタッフによるオンライン授業の受講サポート」の一環として情報系科目に関する講義内容の学習アドバイスを行っている。</t>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</si>
  <si>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</si>
  <si>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</si>
  <si>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</si>
  <si>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</si>
  <si>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</si>
  <si>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</si>
  <si>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</si>
  <si>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</si>
  <si>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情報教育・データリテラシー部門において，部門長を中心に，「情報活用基礎」等の情報・データサイエンス科目の履修者数・単位修得状況・成績分布について担当教員間で情報を共有した上で，教育本部全学教育統括部統括会議へ報告を行い，統括会議では開講状況の確認および意見交換を行う。授業動画・資料の配信や課題提出等は学内のLMSで一括して管理しており，受講状況や課題の提出状況についても担当教員が確認することが可能であるため，それらを部門で総合的に分析し，次年度に向けた授業方法・内容の改善に活用している。</t>
    <rPh sb="0" eb="2">
      <t>ジョウホウ</t>
    </rPh>
    <rPh sb="2" eb="4">
      <t>キョウイク</t>
    </rPh>
    <rPh sb="13" eb="15">
      <t>ブモン</t>
    </rPh>
    <rPh sb="20" eb="22">
      <t>ブモン</t>
    </rPh>
    <rPh sb="22" eb="23">
      <t>チョウ</t>
    </rPh>
    <rPh sb="24" eb="26">
      <t>チュウシン</t>
    </rPh>
    <rPh sb="29" eb="31">
      <t>ジョウホウ</t>
    </rPh>
    <rPh sb="31" eb="33">
      <t>カツヨウ</t>
    </rPh>
    <rPh sb="33" eb="35">
      <t>キソ</t>
    </rPh>
    <rPh sb="36" eb="37">
      <t>トウ</t>
    </rPh>
    <rPh sb="38" eb="40">
      <t>ジョウホウ</t>
    </rPh>
    <rPh sb="49" eb="51">
      <t>カモク</t>
    </rPh>
    <rPh sb="52" eb="54">
      <t>リシュウ</t>
    </rPh>
    <rPh sb="54" eb="55">
      <t>シャ</t>
    </rPh>
    <rPh sb="55" eb="56">
      <t>スウ</t>
    </rPh>
    <rPh sb="57" eb="59">
      <t>タンイ</t>
    </rPh>
    <rPh sb="59" eb="61">
      <t>シュウトク</t>
    </rPh>
    <rPh sb="61" eb="63">
      <t>ジョウキョウ</t>
    </rPh>
    <rPh sb="64" eb="66">
      <t>セイセキ</t>
    </rPh>
    <rPh sb="66" eb="68">
      <t>ブンプ</t>
    </rPh>
    <rPh sb="72" eb="74">
      <t>タントウ</t>
    </rPh>
    <rPh sb="74" eb="76">
      <t>キョウイン</t>
    </rPh>
    <rPh sb="76" eb="77">
      <t>カン</t>
    </rPh>
    <rPh sb="78" eb="80">
      <t>ジョウホウ</t>
    </rPh>
    <rPh sb="81" eb="83">
      <t>キョウユウ</t>
    </rPh>
    <rPh sb="85" eb="86">
      <t>ウエ</t>
    </rPh>
    <rPh sb="88" eb="90">
      <t>キョウイク</t>
    </rPh>
    <rPh sb="90" eb="92">
      <t>ホンブ</t>
    </rPh>
    <rPh sb="92" eb="94">
      <t>ゼンガク</t>
    </rPh>
    <rPh sb="94" eb="96">
      <t>キョウイク</t>
    </rPh>
    <rPh sb="96" eb="98">
      <t>トウカツ</t>
    </rPh>
    <rPh sb="98" eb="99">
      <t>ブ</t>
    </rPh>
    <rPh sb="99" eb="101">
      <t>トウカツ</t>
    </rPh>
    <rPh sb="101" eb="103">
      <t>カイギ</t>
    </rPh>
    <rPh sb="104" eb="106">
      <t>ホウコク</t>
    </rPh>
    <rPh sb="107" eb="108">
      <t>オコナ</t>
    </rPh>
    <rPh sb="110" eb="112">
      <t>トウカツ</t>
    </rPh>
    <rPh sb="112" eb="114">
      <t>カイギ</t>
    </rPh>
    <rPh sb="116" eb="118">
      <t>カイコウ</t>
    </rPh>
    <rPh sb="118" eb="120">
      <t>ジョウキョウ</t>
    </rPh>
    <rPh sb="121" eb="123">
      <t>カクニン</t>
    </rPh>
    <rPh sb="126" eb="128">
      <t>イケン</t>
    </rPh>
    <rPh sb="128" eb="130">
      <t>コウカン</t>
    </rPh>
    <rPh sb="131" eb="132">
      <t>オコナ</t>
    </rPh>
    <rPh sb="134" eb="136">
      <t>ジュギョウ</t>
    </rPh>
    <rPh sb="136" eb="138">
      <t>ドウガ</t>
    </rPh>
    <rPh sb="139" eb="141">
      <t>シリョウ</t>
    </rPh>
    <rPh sb="142" eb="144">
      <t>ハイシン</t>
    </rPh>
    <rPh sb="145" eb="147">
      <t>カダイ</t>
    </rPh>
    <rPh sb="147" eb="149">
      <t>テイシュツ</t>
    </rPh>
    <rPh sb="149" eb="150">
      <t>トウ</t>
    </rPh>
    <rPh sb="151" eb="153">
      <t>ガクナイ</t>
    </rPh>
    <rPh sb="158" eb="160">
      <t>イッカツ</t>
    </rPh>
    <rPh sb="162" eb="164">
      <t>カンリ</t>
    </rPh>
    <rPh sb="169" eb="171">
      <t>ジュコウ</t>
    </rPh>
    <rPh sb="171" eb="173">
      <t>ジョウキョウ</t>
    </rPh>
    <rPh sb="174" eb="176">
      <t>カダイ</t>
    </rPh>
    <rPh sb="177" eb="179">
      <t>テイシュツ</t>
    </rPh>
    <rPh sb="179" eb="181">
      <t>ジョウキョウ</t>
    </rPh>
    <rPh sb="186" eb="188">
      <t>タントウ</t>
    </rPh>
    <rPh sb="188" eb="190">
      <t>キョウイン</t>
    </rPh>
    <rPh sb="191" eb="193">
      <t>カクニン</t>
    </rPh>
    <rPh sb="198" eb="200">
      <t>カノウ</t>
    </rPh>
    <rPh sb="210" eb="212">
      <t>ブモン</t>
    </rPh>
    <rPh sb="213" eb="216">
      <t>ソウゴウテキ</t>
    </rPh>
    <rPh sb="217" eb="219">
      <t>ブンセキ</t>
    </rPh>
    <rPh sb="221" eb="224">
      <t>ジネンド</t>
    </rPh>
    <rPh sb="225" eb="226">
      <t>ム</t>
    </rPh>
    <rPh sb="228" eb="230">
      <t>ジュギョウ</t>
    </rPh>
    <rPh sb="230" eb="232">
      <t>ホウホウ</t>
    </rPh>
    <rPh sb="233" eb="235">
      <t>ナイヨウ</t>
    </rPh>
    <rPh sb="236" eb="238">
      <t>カイゼン</t>
    </rPh>
    <rPh sb="239" eb="241">
      <t>カツヨウ</t>
    </rPh>
    <phoneticPr fontId="2"/>
  </si>
  <si>
    <t>学修成果</t>
    <rPh sb="0" eb="2">
      <t>ガクシュウ</t>
    </rPh>
    <rPh sb="2" eb="4">
      <t>セイカ</t>
    </rPh>
    <phoneticPr fontId="1"/>
  </si>
  <si>
    <t>情報教育・データリテラシー部門において，「情報活用基礎」および「大学教育入門（情報メディア教育研究センター担当の回）」における学修の成果物として受講者に提出させている課題の評価を通じて，受講者の理解度を把握している。また，受講状況と課題の提出状況・成績との相関を分析し，学部等による傾向を把握することで，文系学部と理系学部で理解度に差が出ないように注意し，できる限り多くの学生にとって今後のさらなる「学び」につながるよう，授業改善を図っている。</t>
    <rPh sb="0" eb="2">
      <t>ジョウホウ</t>
    </rPh>
    <rPh sb="2" eb="4">
      <t>キョウイク</t>
    </rPh>
    <rPh sb="13" eb="15">
      <t>ブモン</t>
    </rPh>
    <rPh sb="21" eb="23">
      <t>ジョウホウ</t>
    </rPh>
    <rPh sb="23" eb="25">
      <t>カツヨウ</t>
    </rPh>
    <rPh sb="25" eb="27">
      <t>キソ</t>
    </rPh>
    <rPh sb="32" eb="34">
      <t>ダイガク</t>
    </rPh>
    <rPh sb="34" eb="36">
      <t>キョウイク</t>
    </rPh>
    <rPh sb="36" eb="38">
      <t>ニュウモン</t>
    </rPh>
    <rPh sb="39" eb="41">
      <t>ジョウホウ</t>
    </rPh>
    <rPh sb="45" eb="47">
      <t>キョウイク</t>
    </rPh>
    <rPh sb="47" eb="49">
      <t>ケンキュウ</t>
    </rPh>
    <rPh sb="53" eb="55">
      <t>タントウ</t>
    </rPh>
    <rPh sb="56" eb="57">
      <t>カイ</t>
    </rPh>
    <rPh sb="63" eb="65">
      <t>ガクシュウ</t>
    </rPh>
    <rPh sb="66" eb="69">
      <t>セイカブツ</t>
    </rPh>
    <rPh sb="72" eb="75">
      <t>ジュコウシャ</t>
    </rPh>
    <rPh sb="76" eb="78">
      <t>テイシュツ</t>
    </rPh>
    <rPh sb="83" eb="85">
      <t>カダイ</t>
    </rPh>
    <rPh sb="86" eb="88">
      <t>ヒョウカ</t>
    </rPh>
    <rPh sb="89" eb="90">
      <t>ツウ</t>
    </rPh>
    <rPh sb="93" eb="96">
      <t>ジュコウシャ</t>
    </rPh>
    <rPh sb="97" eb="100">
      <t>リカイド</t>
    </rPh>
    <rPh sb="101" eb="103">
      <t>ハアク</t>
    </rPh>
    <rPh sb="111" eb="113">
      <t>ジュコウ</t>
    </rPh>
    <rPh sb="113" eb="115">
      <t>ジョウキョウ</t>
    </rPh>
    <rPh sb="116" eb="118">
      <t>カダイ</t>
    </rPh>
    <rPh sb="119" eb="121">
      <t>テイシュツ</t>
    </rPh>
    <rPh sb="121" eb="123">
      <t>ジョウキョウ</t>
    </rPh>
    <rPh sb="124" eb="126">
      <t>セイセキ</t>
    </rPh>
    <rPh sb="128" eb="130">
      <t>ソウカン</t>
    </rPh>
    <rPh sb="131" eb="133">
      <t>ブンセキ</t>
    </rPh>
    <rPh sb="135" eb="137">
      <t>ガクブ</t>
    </rPh>
    <rPh sb="137" eb="138">
      <t>トウ</t>
    </rPh>
    <rPh sb="141" eb="143">
      <t>ケイコウ</t>
    </rPh>
    <rPh sb="144" eb="146">
      <t>ハアク</t>
    </rPh>
    <rPh sb="152" eb="153">
      <t>ブン</t>
    </rPh>
    <rPh sb="153" eb="154">
      <t>ケイ</t>
    </rPh>
    <rPh sb="154" eb="156">
      <t>ガクブ</t>
    </rPh>
    <rPh sb="157" eb="159">
      <t>リケイ</t>
    </rPh>
    <rPh sb="159" eb="161">
      <t>ガクブ</t>
    </rPh>
    <rPh sb="162" eb="165">
      <t>リカイド</t>
    </rPh>
    <rPh sb="166" eb="167">
      <t>サ</t>
    </rPh>
    <rPh sb="168" eb="169">
      <t>デ</t>
    </rPh>
    <rPh sb="174" eb="176">
      <t>チュウイ</t>
    </rPh>
    <rPh sb="181" eb="182">
      <t>カギ</t>
    </rPh>
    <rPh sb="183" eb="184">
      <t>オオ</t>
    </rPh>
    <rPh sb="186" eb="188">
      <t>ガクセイ</t>
    </rPh>
    <rPh sb="192" eb="194">
      <t>コンゴ</t>
    </rPh>
    <rPh sb="200" eb="201">
      <t>マナ</t>
    </rPh>
    <rPh sb="211" eb="213">
      <t>ジュギョウ</t>
    </rPh>
    <rPh sb="213" eb="215">
      <t>カイゼン</t>
    </rPh>
    <rPh sb="216" eb="217">
      <t>ハカ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</si>
  <si>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</si>
  <si>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学で実施する「学生による授業改善アンケート」において，「学生による教員の説明は分かり易く，理解を深めることに役立ちましたか。」「補助教材やレジュメなどの資料（PowerPoint等）は，授業内容の理解に役立ちましたか。」「この授業から知識，技能などを身に付けることができましたか。」の質問項目の評価点から学生の理解度を確認することができる。情報教育・データリテラシー部門において，これらのデータを次年度に向けて情報系科目の授業内容を改善するための参考とするとともに，教育本部全学教育統括部統括会議においても改善策を検討する。</t>
    <rPh sb="0" eb="2">
      <t>ゼンガク</t>
    </rPh>
    <rPh sb="3" eb="5">
      <t>ジッシ</t>
    </rPh>
    <rPh sb="8" eb="10">
      <t>ガクセイ</t>
    </rPh>
    <rPh sb="13" eb="15">
      <t>ジュギョウ</t>
    </rPh>
    <rPh sb="15" eb="17">
      <t>カイゼン</t>
    </rPh>
    <rPh sb="29" eb="31">
      <t>ガクセイ</t>
    </rPh>
    <rPh sb="143" eb="145">
      <t>シツモン</t>
    </rPh>
    <rPh sb="145" eb="147">
      <t>コウモク</t>
    </rPh>
    <rPh sb="148" eb="150">
      <t>ヒョウカ</t>
    </rPh>
    <rPh sb="150" eb="151">
      <t>テン</t>
    </rPh>
    <rPh sb="171" eb="173">
      <t>ジョウホウ</t>
    </rPh>
    <rPh sb="173" eb="175">
      <t>キョウイク</t>
    </rPh>
    <rPh sb="184" eb="186">
      <t>ブモン</t>
    </rPh>
    <rPh sb="206" eb="208">
      <t>ジョウホウ</t>
    </rPh>
    <rPh sb="208" eb="209">
      <t>ケイ</t>
    </rPh>
    <rPh sb="209" eb="211">
      <t>カモク</t>
    </rPh>
    <rPh sb="234" eb="236">
      <t>キョウイク</t>
    </rPh>
    <rPh sb="236" eb="238">
      <t>ホンブ</t>
    </rPh>
    <rPh sb="238" eb="240">
      <t>ゼンガク</t>
    </rPh>
    <rPh sb="240" eb="242">
      <t>キョウイク</t>
    </rPh>
    <rPh sb="242" eb="244">
      <t>トウカツ</t>
    </rPh>
    <rPh sb="244" eb="245">
      <t>ブ</t>
    </rPh>
    <rPh sb="245" eb="247">
      <t>トウカツ</t>
    </rPh>
    <rPh sb="247" eb="249">
      <t>カイギ</t>
    </rPh>
    <rPh sb="254" eb="257">
      <t>カイゼンサク</t>
    </rPh>
    <rPh sb="258" eb="260">
      <t>ケントウ</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</si>
  <si>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</si>
  <si>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で実施する「学生による授業改善アンケート」の結果（評価点の平均）は学内へ公開されるため，満足度に関係する「授業から知的な刺激を受けて，その分野や関連分野のことをもっと知りたいと思いましたか。」「総合的に判断して，この授業に満足しましたか。」の質問項目の評価点が向上するような内容とするため，情報教育・データリテラシー部門において改善を図っている。その際，「大学教育入門」において，各回の授業後にLMSで実施しているアンケート（授業の方法や取り組みで，良いと思ったこと／改善すべきと思ったこと）の自由記述も参考としている。</t>
    <rPh sb="55" eb="57">
      <t>ジュギョウ</t>
    </rPh>
    <rPh sb="123" eb="125">
      <t>シツモン</t>
    </rPh>
    <rPh sb="125" eb="127">
      <t>コウモク</t>
    </rPh>
    <rPh sb="128" eb="130">
      <t>ヒョウカ</t>
    </rPh>
    <rPh sb="130" eb="131">
      <t>テン</t>
    </rPh>
    <rPh sb="132" eb="134">
      <t>コウジョウ</t>
    </rPh>
    <rPh sb="139" eb="141">
      <t>ナイヨウ</t>
    </rPh>
    <rPh sb="147" eb="149">
      <t>ジョウホウ</t>
    </rPh>
    <rPh sb="149" eb="151">
      <t>キョウイク</t>
    </rPh>
    <rPh sb="160" eb="162">
      <t>ブモン</t>
    </rPh>
    <rPh sb="166" eb="168">
      <t>カイゼン</t>
    </rPh>
    <rPh sb="169" eb="170">
      <t>ハカ</t>
    </rPh>
    <rPh sb="177" eb="178">
      <t>サイ</t>
    </rPh>
    <rPh sb="203" eb="205">
      <t>ジッシ</t>
    </rPh>
    <rPh sb="254" eb="256">
      <t>サンコウ</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</si>
  <si>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</si>
  <si>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r>
      <t>情報・データサイエンス科目は令和3年度から全学必修化することが決定しているため，履修者数は年々増加することが想定される。また，学年進行中の学部・学科等についても学年進行終了後に「情報・データ科学入門」を必修とし，それと同時期を目途に，現在，別科目を必修に指定している夜間主コースにも指定科目の変更を依頼することで，本パッケージの最終的な履修率は</t>
    </r>
    <r>
      <rPr>
        <sz val="12"/>
        <color rgb="FFFF0000"/>
        <rFont val="ＭＳ Ｐゴシック"/>
        <family val="3"/>
        <charset val="128"/>
      </rPr>
      <t>令和7年度に</t>
    </r>
    <r>
      <rPr>
        <sz val="12"/>
        <color rgb="FFFF0000"/>
        <rFont val="ＭＳ Ｐゴシック"/>
        <family val="3"/>
        <charset val="128"/>
        <scheme val="minor"/>
      </rPr>
      <t>100％となる見込みである。これらの計画の進捗状況については，履修者数の推移の検証と併せ，教育本部全学教育統括部統括会議が情報教育・データリテラシー部門と協力して対応する体制とする。</t>
    </r>
    <rPh sb="0" eb="2">
      <t>ジョウホウ</t>
    </rPh>
    <rPh sb="11" eb="13">
      <t>カモク</t>
    </rPh>
    <rPh sb="31" eb="33">
      <t>ケッテイ</t>
    </rPh>
    <rPh sb="40" eb="42">
      <t>リシュウ</t>
    </rPh>
    <rPh sb="42" eb="43">
      <t>シャ</t>
    </rPh>
    <rPh sb="43" eb="44">
      <t>スウ</t>
    </rPh>
    <rPh sb="45" eb="47">
      <t>ネンネン</t>
    </rPh>
    <rPh sb="47" eb="49">
      <t>ゾウカ</t>
    </rPh>
    <rPh sb="54" eb="56">
      <t>ソウテイ</t>
    </rPh>
    <rPh sb="89" eb="91">
      <t>ジョウホウ</t>
    </rPh>
    <rPh sb="95" eb="97">
      <t>カガク</t>
    </rPh>
    <rPh sb="97" eb="99">
      <t>ニュウモン</t>
    </rPh>
    <rPh sb="157" eb="158">
      <t>ホン</t>
    </rPh>
    <rPh sb="164" eb="167">
      <t>サイシュウテキ</t>
    </rPh>
    <rPh sb="168" eb="170">
      <t>リシュウ</t>
    </rPh>
    <rPh sb="170" eb="171">
      <t>リツ</t>
    </rPh>
    <rPh sb="179" eb="181">
      <t>ミコ</t>
    </rPh>
    <rPh sb="190" eb="192">
      <t>ケイカク</t>
    </rPh>
    <rPh sb="193" eb="195">
      <t>シンチョク</t>
    </rPh>
    <rPh sb="195" eb="197">
      <t>ジョウキョウ</t>
    </rPh>
    <rPh sb="203" eb="205">
      <t>リシュウ</t>
    </rPh>
    <rPh sb="205" eb="206">
      <t>シャ</t>
    </rPh>
    <rPh sb="206" eb="207">
      <t>スウ</t>
    </rPh>
    <rPh sb="208" eb="210">
      <t>スイイ</t>
    </rPh>
    <rPh sb="211" eb="213">
      <t>ケンショウ</t>
    </rPh>
    <rPh sb="214" eb="215">
      <t>アワ</t>
    </rPh>
    <rPh sb="217" eb="219">
      <t>キョウイク</t>
    </rPh>
    <rPh sb="219" eb="221">
      <t>ホンブ</t>
    </rPh>
    <rPh sb="221" eb="223">
      <t>ゼンガク</t>
    </rPh>
    <rPh sb="223" eb="225">
      <t>キョウイク</t>
    </rPh>
    <rPh sb="225" eb="227">
      <t>トウカツ</t>
    </rPh>
    <rPh sb="227" eb="228">
      <t>ブ</t>
    </rPh>
    <rPh sb="228" eb="230">
      <t>トウカツ</t>
    </rPh>
    <rPh sb="230" eb="232">
      <t>カイギ</t>
    </rPh>
    <rPh sb="233" eb="235">
      <t>ジョウホウ</t>
    </rPh>
    <rPh sb="235" eb="237">
      <t>キョウイク</t>
    </rPh>
    <rPh sb="246" eb="248">
      <t>ブモン</t>
    </rPh>
    <rPh sb="249" eb="251">
      <t>キョウリョク</t>
    </rPh>
    <rPh sb="253" eb="255">
      <t>タイオウ</t>
    </rPh>
    <rPh sb="257" eb="259">
      <t>タイセイ</t>
    </rPh>
    <phoneticPr fontId="2"/>
  </si>
  <si>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</si>
  <si>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</si>
  <si>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r>
      <t>情報教育・データリテラシー部門において，卒業時に実施する「学士課程教育卒業時アンケート」の中の「教養教育について，下の項目は将来（就職後），役に立つと思いますか？」の質問項目と，卒業後5年を経過した学部卒業生を対象に実施する「学部卒業生フォローアップ調査」の中の「教養教育の下の項目は，現在どの程度役に立っていますか？」の質問項目の各回答を比較し，学生の進路状況と併せて分析することを通じて，修了者が社会に出て情報・データサイエンス・AIに関するスキルを活用しているかを把握し，次年度の授業改善に活用する。</t>
    </r>
    <r>
      <rPr>
        <sz val="12"/>
        <color rgb="FFFF0000"/>
        <rFont val="ＭＳ Ｐゴシック"/>
        <family val="3"/>
        <charset val="128"/>
      </rPr>
      <t>今後，適宜企業等の学外者からの意見を聴取して改善に活かす体制の整備を図る。</t>
    </r>
    <rPh sb="0" eb="2">
      <t>ジョウホウ</t>
    </rPh>
    <rPh sb="2" eb="4">
      <t>キョウイク</t>
    </rPh>
    <rPh sb="13" eb="15">
      <t>ブモン</t>
    </rPh>
    <rPh sb="20" eb="22">
      <t>ソツギョウ</t>
    </rPh>
    <rPh sb="22" eb="23">
      <t>ジ</t>
    </rPh>
    <rPh sb="24" eb="26">
      <t>ジッシ</t>
    </rPh>
    <rPh sb="29" eb="31">
      <t>ガクシ</t>
    </rPh>
    <rPh sb="31" eb="33">
      <t>カテイ</t>
    </rPh>
    <rPh sb="33" eb="35">
      <t>キョウイク</t>
    </rPh>
    <rPh sb="35" eb="37">
      <t>ソツギョウ</t>
    </rPh>
    <rPh sb="37" eb="38">
      <t>ジ</t>
    </rPh>
    <rPh sb="45" eb="46">
      <t>ナカ</t>
    </rPh>
    <rPh sb="83" eb="85">
      <t>シツモン</t>
    </rPh>
    <rPh sb="85" eb="87">
      <t>コウモク</t>
    </rPh>
    <rPh sb="89" eb="92">
      <t>ソツギョウゴ</t>
    </rPh>
    <rPh sb="93" eb="94">
      <t>ネン</t>
    </rPh>
    <rPh sb="95" eb="97">
      <t>ケイカ</t>
    </rPh>
    <rPh sb="99" eb="101">
      <t>ガクブ</t>
    </rPh>
    <rPh sb="101" eb="104">
      <t>ソツギョウセイ</t>
    </rPh>
    <rPh sb="105" eb="107">
      <t>タイショウ</t>
    </rPh>
    <rPh sb="108" eb="110">
      <t>ジッシ</t>
    </rPh>
    <rPh sb="113" eb="115">
      <t>ガクブ</t>
    </rPh>
    <rPh sb="115" eb="118">
      <t>ソツギョウセイ</t>
    </rPh>
    <rPh sb="125" eb="127">
      <t>チョウサ</t>
    </rPh>
    <rPh sb="129" eb="130">
      <t>ナカ</t>
    </rPh>
    <rPh sb="132" eb="134">
      <t>キョウヨウ</t>
    </rPh>
    <rPh sb="134" eb="136">
      <t>キョウイク</t>
    </rPh>
    <rPh sb="137" eb="138">
      <t>シタ</t>
    </rPh>
    <rPh sb="139" eb="141">
      <t>コウモク</t>
    </rPh>
    <rPh sb="143" eb="145">
      <t>ゲンザイ</t>
    </rPh>
    <rPh sb="147" eb="149">
      <t>テイド</t>
    </rPh>
    <rPh sb="149" eb="150">
      <t>ヤク</t>
    </rPh>
    <rPh sb="151" eb="152">
      <t>タ</t>
    </rPh>
    <rPh sb="161" eb="163">
      <t>シツモン</t>
    </rPh>
    <rPh sb="163" eb="165">
      <t>コウモク</t>
    </rPh>
    <rPh sb="166" eb="169">
      <t>カクカイトウ</t>
    </rPh>
    <rPh sb="170" eb="172">
      <t>ヒカク</t>
    </rPh>
    <rPh sb="174" eb="176">
      <t>ガクセイ</t>
    </rPh>
    <rPh sb="177" eb="179">
      <t>シンロ</t>
    </rPh>
    <rPh sb="179" eb="181">
      <t>ジョウキョウ</t>
    </rPh>
    <rPh sb="182" eb="183">
      <t>アワ</t>
    </rPh>
    <rPh sb="185" eb="187">
      <t>ブンセキ</t>
    </rPh>
    <rPh sb="192" eb="193">
      <t>トオ</t>
    </rPh>
    <rPh sb="196" eb="199">
      <t>シュウリョウシャ</t>
    </rPh>
    <rPh sb="200" eb="202">
      <t>シャカイ</t>
    </rPh>
    <rPh sb="203" eb="204">
      <t>デ</t>
    </rPh>
    <rPh sb="205" eb="207">
      <t>ジョウホウ</t>
    </rPh>
    <rPh sb="220" eb="221">
      <t>カン</t>
    </rPh>
    <rPh sb="227" eb="229">
      <t>カツヨウ</t>
    </rPh>
    <rPh sb="235" eb="237">
      <t>ハアク</t>
    </rPh>
    <rPh sb="239" eb="242">
      <t>ジネンド</t>
    </rPh>
    <rPh sb="243" eb="245">
      <t>ジュギョウ</t>
    </rPh>
    <rPh sb="245" eb="247">
      <t>カイゼン</t>
    </rPh>
    <rPh sb="248" eb="250">
      <t>カツヨウ</t>
    </rPh>
    <rPh sb="253" eb="255">
      <t>コンゴ</t>
    </rPh>
    <rPh sb="256" eb="258">
      <t>テキ</t>
    </rPh>
    <rPh sb="258" eb="261">
      <t>キギョウ</t>
    </rPh>
    <rPh sb="262" eb="265">
      <t>ガクガイシャヲ</t>
    </rPh>
    <rPh sb="268" eb="270">
      <t>イケンヲ</t>
    </rPh>
    <rPh sb="271" eb="273">
      <t>チョウセィウ</t>
    </rPh>
    <rPh sb="275" eb="277">
      <t>カイゼンニ</t>
    </rPh>
    <rPh sb="278" eb="279">
      <t>イカス</t>
    </rPh>
    <rPh sb="281" eb="283">
      <t>タイセイ</t>
    </rPh>
    <rPh sb="284" eb="286">
      <t>セイビ</t>
    </rPh>
    <rPh sb="287" eb="288">
      <t>ハカル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</si>
  <si>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</si>
  <si>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r>
      <t>「情報活用基礎」の授業の中で，数理・データサイエンス・AIの基本的な活用法については，土砂災害など実生活に即した最近の事例におけるデータを活用して演習を実施するほか，データを活用する上で必要な情報倫理と社会的課題について触れる際には，産業界で求められる情報リテラシーについて最新の知見を収集し授業内容に組み込むよう，情報教育・データリテラシー部門において常に改善を図</t>
    </r>
    <r>
      <rPr>
        <sz val="12"/>
        <color rgb="FFFF0000"/>
        <rFont val="ＭＳ Ｐゴシック"/>
        <family val="3"/>
        <charset val="128"/>
      </rPr>
      <t>ってい</t>
    </r>
    <r>
      <rPr>
        <sz val="12"/>
        <color rgb="FFFF0000"/>
        <rFont val="ＭＳ Ｐゴシック"/>
        <family val="3"/>
        <charset val="128"/>
        <scheme val="minor"/>
      </rPr>
      <t>る。</t>
    </r>
    <r>
      <rPr>
        <sz val="12"/>
        <color rgb="FFFF0000"/>
        <rFont val="ＭＳ Ｐゴシック"/>
        <family val="3"/>
        <charset val="128"/>
      </rPr>
      <t>今後，適宜企業等の学外者からの意見を聴取して改善に活かす体制の整備を図る。</t>
    </r>
    <rPh sb="1" eb="3">
      <t>ジョウホウ</t>
    </rPh>
    <rPh sb="3" eb="5">
      <t>カツヨウ</t>
    </rPh>
    <rPh sb="5" eb="7">
      <t>キソ</t>
    </rPh>
    <rPh sb="9" eb="11">
      <t>ジュギョウ</t>
    </rPh>
    <rPh sb="12" eb="13">
      <t>ナカ</t>
    </rPh>
    <rPh sb="15" eb="17">
      <t>スウリ</t>
    </rPh>
    <rPh sb="30" eb="33">
      <t>キホンテキ</t>
    </rPh>
    <rPh sb="34" eb="37">
      <t>カツヨウホウ</t>
    </rPh>
    <rPh sb="43" eb="45">
      <t>ドシャ</t>
    </rPh>
    <rPh sb="45" eb="47">
      <t>サイガイ</t>
    </rPh>
    <rPh sb="49" eb="52">
      <t>ジッセイカツ</t>
    </rPh>
    <rPh sb="53" eb="54">
      <t>ソク</t>
    </rPh>
    <rPh sb="56" eb="58">
      <t>サイキン</t>
    </rPh>
    <rPh sb="59" eb="61">
      <t>ジレイ</t>
    </rPh>
    <rPh sb="69" eb="71">
      <t>カツヨウ</t>
    </rPh>
    <rPh sb="73" eb="75">
      <t>エンシュウ</t>
    </rPh>
    <rPh sb="76" eb="78">
      <t>ジッシ</t>
    </rPh>
    <rPh sb="87" eb="89">
      <t>カツヨウ</t>
    </rPh>
    <rPh sb="91" eb="92">
      <t>ウエ</t>
    </rPh>
    <rPh sb="93" eb="95">
      <t>ヒツヨウ</t>
    </rPh>
    <rPh sb="96" eb="98">
      <t>ジョウホウ</t>
    </rPh>
    <rPh sb="98" eb="100">
      <t>リンリ</t>
    </rPh>
    <rPh sb="101" eb="104">
      <t>シャカイテキ</t>
    </rPh>
    <rPh sb="104" eb="106">
      <t>カダイ</t>
    </rPh>
    <rPh sb="110" eb="111">
      <t>フ</t>
    </rPh>
    <rPh sb="113" eb="114">
      <t>サイ</t>
    </rPh>
    <rPh sb="117" eb="120">
      <t>サンギョウカイ</t>
    </rPh>
    <rPh sb="121" eb="122">
      <t>モト</t>
    </rPh>
    <rPh sb="126" eb="128">
      <t>ジョウホウ</t>
    </rPh>
    <rPh sb="137" eb="139">
      <t>サイシン</t>
    </rPh>
    <rPh sb="140" eb="142">
      <t>チケン</t>
    </rPh>
    <rPh sb="143" eb="145">
      <t>シュウシュウ</t>
    </rPh>
    <rPh sb="146" eb="148">
      <t>ジュギョウ</t>
    </rPh>
    <rPh sb="148" eb="150">
      <t>ナイヨウ</t>
    </rPh>
    <rPh sb="151" eb="152">
      <t>ク</t>
    </rPh>
    <rPh sb="153" eb="154">
      <t>コ</t>
    </rPh>
    <rPh sb="158" eb="160">
      <t>ジョウホウ</t>
    </rPh>
    <rPh sb="160" eb="162">
      <t>キョウイク</t>
    </rPh>
    <rPh sb="171" eb="173">
      <t>ブモン</t>
    </rPh>
    <rPh sb="177" eb="178">
      <t>ツネ</t>
    </rPh>
    <rPh sb="179" eb="181">
      <t>カイゼン</t>
    </rPh>
    <rPh sb="182" eb="183">
      <t>ハカ</t>
    </rPh>
    <rPh sb="188" eb="190">
      <t>コンゴ</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</si>
  <si>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</si>
  <si>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r>
      <t>社会の中で情報・データがどのように活用されており，どのように活用されることが望ましいのかを「情報の表現とコンピュータ」「コンピュータネットワーク」「調査と情報」「メディアと情報」等の様々なトピックに分けて実践的に展開している。数理・データサイエンス・AIを「学ぶ楽しさ」が実感できたか，「学生による授業改善アンケート」の満足度に関係する「授業から知的な刺激を受けて，その分野や関連分野のことをもっと知りたいと思いましたか。」「総合的に判断して，この授業に満足しましたか。」の質問項目の評価点で把握し，授業改善を図っている。</t>
    </r>
    <r>
      <rPr>
        <sz val="12"/>
        <color rgb="FFFF0000"/>
        <rFont val="ＭＳ Ｐゴシック"/>
        <family val="3"/>
        <charset val="128"/>
      </rPr>
      <t>今後，適宜企業等の学外者からの意見を聴取して改善に活かす体制の整備を図る。</t>
    </r>
    <rPh sb="0" eb="2">
      <t>シャカイ</t>
    </rPh>
    <rPh sb="3" eb="4">
      <t>ナカ</t>
    </rPh>
    <rPh sb="5" eb="7">
      <t>ジョウホウ</t>
    </rPh>
    <rPh sb="17" eb="19">
      <t>カツヨウ</t>
    </rPh>
    <rPh sb="30" eb="32">
      <t>カツヨウ</t>
    </rPh>
    <rPh sb="38" eb="39">
      <t>ノゾ</t>
    </rPh>
    <rPh sb="46" eb="48">
      <t>ジョウホウ</t>
    </rPh>
    <rPh sb="49" eb="51">
      <t>ヒョウゲン</t>
    </rPh>
    <rPh sb="74" eb="76">
      <t>チョウサ</t>
    </rPh>
    <rPh sb="77" eb="79">
      <t>ジョウホウ</t>
    </rPh>
    <rPh sb="86" eb="88">
      <t>ジョウホウ</t>
    </rPh>
    <rPh sb="89" eb="90">
      <t>トウ</t>
    </rPh>
    <rPh sb="91" eb="93">
      <t>サマザマ</t>
    </rPh>
    <rPh sb="99" eb="100">
      <t>ワ</t>
    </rPh>
    <rPh sb="102" eb="105">
      <t>ジッセンテキ</t>
    </rPh>
    <rPh sb="106" eb="108">
      <t>テンカイ</t>
    </rPh>
    <rPh sb="113" eb="115">
      <t>スウリ</t>
    </rPh>
    <rPh sb="129" eb="130">
      <t>マナ</t>
    </rPh>
    <rPh sb="131" eb="132">
      <t>タノ</t>
    </rPh>
    <rPh sb="136" eb="138">
      <t>ジッカン</t>
    </rPh>
    <rPh sb="144" eb="146">
      <t>ガクセイ</t>
    </rPh>
    <rPh sb="149" eb="151">
      <t>ジュギョウ</t>
    </rPh>
    <rPh sb="151" eb="153">
      <t>カイゼン</t>
    </rPh>
    <rPh sb="242" eb="244">
      <t>ヒョウカ</t>
    </rPh>
    <rPh sb="244" eb="245">
      <t>テン</t>
    </rPh>
    <rPh sb="246" eb="248">
      <t>ハアク</t>
    </rPh>
    <rPh sb="250" eb="252">
      <t>ジュギョウ</t>
    </rPh>
    <rPh sb="252" eb="254">
      <t>カイゼン</t>
    </rPh>
    <rPh sb="255" eb="256">
      <t>ハカ</t>
    </rPh>
    <rPh sb="261" eb="263">
      <t>コンゴ</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</si>
  <si>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</si>
  <si>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r>
      <t>情報教育・データリテラシー部門において，「学生による授業改善アンケート」の上記項目や「大学教育入門」において各回の授業後に実施するアンケート（授業の方法や取り組みで，良いと思ったこと／改善すべきと思ったこと）の回答を分析する。また，「学部卒業生フォローアップ調査」の記述から，社会で必要とされる情報リテラシーも把握した上で，すべての学部の学生に「役に立つ」「分かりやすい」授業となるよう，授業方法・内容の見直しを行う。これらの情報は教育本部全学教育統括部統括会議でも共有し，教養教育の充実の観点から，改善に向けての助言を行う。</t>
    </r>
    <r>
      <rPr>
        <sz val="12"/>
        <color rgb="FFFF0000"/>
        <rFont val="ＭＳ Ｐゴシック"/>
        <family val="3"/>
        <charset val="128"/>
      </rPr>
      <t>今後，適宜企業等の学外者からの意見を聴取して改善に活かす体制の整備を図る。</t>
    </r>
    <rPh sb="0" eb="2">
      <t>ジョウホウ</t>
    </rPh>
    <rPh sb="2" eb="4">
      <t>キョウイク</t>
    </rPh>
    <rPh sb="13" eb="15">
      <t>ブモン</t>
    </rPh>
    <rPh sb="21" eb="23">
      <t>ガクセイ</t>
    </rPh>
    <rPh sb="26" eb="28">
      <t>ジュギョウ</t>
    </rPh>
    <rPh sb="28" eb="30">
      <t>カイゼン</t>
    </rPh>
    <rPh sb="37" eb="39">
      <t>ジョウキ</t>
    </rPh>
    <rPh sb="39" eb="41">
      <t>コウモク</t>
    </rPh>
    <rPh sb="43" eb="45">
      <t>ダイガク</t>
    </rPh>
    <rPh sb="45" eb="47">
      <t>キョウイク</t>
    </rPh>
    <rPh sb="47" eb="49">
      <t>ニュウモン</t>
    </rPh>
    <rPh sb="54" eb="56">
      <t>カクカイ</t>
    </rPh>
    <rPh sb="57" eb="59">
      <t>ジュギョウ</t>
    </rPh>
    <rPh sb="59" eb="60">
      <t>ゴ</t>
    </rPh>
    <rPh sb="61" eb="63">
      <t>ジッシ</t>
    </rPh>
    <rPh sb="105" eb="107">
      <t>カイトウ</t>
    </rPh>
    <rPh sb="108" eb="110">
      <t>ブンセキ</t>
    </rPh>
    <rPh sb="117" eb="119">
      <t>ガクブ</t>
    </rPh>
    <rPh sb="119" eb="122">
      <t>ソツギョウセイ</t>
    </rPh>
    <rPh sb="129" eb="131">
      <t>チョウサ</t>
    </rPh>
    <rPh sb="133" eb="135">
      <t>キジュツ</t>
    </rPh>
    <rPh sb="138" eb="140">
      <t>シャカイ</t>
    </rPh>
    <rPh sb="141" eb="143">
      <t>ヒツヨウ</t>
    </rPh>
    <rPh sb="147" eb="149">
      <t>ジョウホウ</t>
    </rPh>
    <rPh sb="155" eb="157">
      <t>ハアク</t>
    </rPh>
    <rPh sb="159" eb="160">
      <t>ウエ</t>
    </rPh>
    <rPh sb="166" eb="168">
      <t>ガクブ</t>
    </rPh>
    <rPh sb="169" eb="171">
      <t>ガクセイ</t>
    </rPh>
    <rPh sb="173" eb="174">
      <t>ヤク</t>
    </rPh>
    <rPh sb="175" eb="176">
      <t>タ</t>
    </rPh>
    <rPh sb="179" eb="180">
      <t>ワ</t>
    </rPh>
    <rPh sb="186" eb="188">
      <t>ジュギョウ</t>
    </rPh>
    <rPh sb="194" eb="196">
      <t>ジュギョウ</t>
    </rPh>
    <rPh sb="196" eb="198">
      <t>ホウホウ</t>
    </rPh>
    <rPh sb="199" eb="201">
      <t>ナイヨウ</t>
    </rPh>
    <rPh sb="202" eb="204">
      <t>ミナオ</t>
    </rPh>
    <rPh sb="206" eb="207">
      <t>オコナ</t>
    </rPh>
    <rPh sb="213" eb="215">
      <t>ジョウホウ</t>
    </rPh>
    <rPh sb="216" eb="218">
      <t>キョウイク</t>
    </rPh>
    <rPh sb="218" eb="220">
      <t>ホンブ</t>
    </rPh>
    <rPh sb="220" eb="222">
      <t>ゼンガク</t>
    </rPh>
    <rPh sb="222" eb="224">
      <t>キョウイク</t>
    </rPh>
    <rPh sb="224" eb="226">
      <t>トウカツ</t>
    </rPh>
    <rPh sb="226" eb="227">
      <t>ブ</t>
    </rPh>
    <rPh sb="227" eb="229">
      <t>トウカツ</t>
    </rPh>
    <rPh sb="229" eb="231">
      <t>カイギ</t>
    </rPh>
    <rPh sb="233" eb="235">
      <t>キョウユウ</t>
    </rPh>
    <rPh sb="237" eb="239">
      <t>キョウヨウ</t>
    </rPh>
    <rPh sb="239" eb="241">
      <t>キョウイク</t>
    </rPh>
    <rPh sb="242" eb="244">
      <t>ジュウジツ</t>
    </rPh>
    <rPh sb="245" eb="247">
      <t>カンテン</t>
    </rPh>
    <rPh sb="250" eb="252">
      <t>カイゼン</t>
    </rPh>
    <rPh sb="253" eb="254">
      <t>ム</t>
    </rPh>
    <rPh sb="257" eb="259">
      <t>ジョゲン</t>
    </rPh>
    <rPh sb="260" eb="261">
      <t>オコナ</t>
    </rPh>
    <phoneticPr fontId="2"/>
  </si>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</sst>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1"/>
      <color rgb="FFFF0000"/>
      <name val="ＭＳ Ｐゴシック"/>
      <family val="3"/>
      <charset val="128"/>
      <scheme val="minor"/>
    </font>
    <font>
      <sz val="12"/>
      <color rgb="FFFF0000"/>
      <name val="ＭＳ Ｐゴシック"/>
      <family val="3"/>
      <charset val="128"/>
    </font>
    <font>
      <sz val="12"/>
      <color theme="1"/>
      <name val="ＭＳ Ｐゴシック"/>
      <family val="3"/>
      <charset val="128"/>
    </font>
    <font>
      <sz val="11"/>
      <color rgb="FFFF0000"/>
      <name val="ＭＳ Ｐゴシック"/>
      <family val="3"/>
      <charset val="128"/>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4" fillId="0" borderId="21" xfId="0" applyFont="1" applyBorder="1" applyAlignment="1">
      <alignment vertical="top" wrapText="1"/>
    </xf>
    <xf numFmtId="0" fontId="10" fillId="0" borderId="10" xfId="0" applyFont="1" applyBorder="1" applyAlignment="1">
      <alignment vertical="center" shrinkToFit="1"/>
    </xf>
    <xf numFmtId="0" fontId="3" fillId="0" borderId="0" xfId="0" applyFont="1" applyAlignment="1">
      <alignment vertical="center" wrapText="1"/>
    </xf>
    <xf numFmtId="0" fontId="9" fillId="0" borderId="1" xfId="0" applyFont="1" applyBorder="1" applyAlignment="1">
      <alignment vertical="center" shrinkToFit="1"/>
    </xf>
    <xf numFmtId="0" fontId="10" fillId="0" borderId="0" xfId="0" applyFont="1" applyFill="1">
      <alignment vertical="center"/>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12" fillId="0" borderId="1" xfId="0" applyFont="1" applyFill="1" applyBorder="1" applyAlignment="1">
      <alignment vertical="center" wrapText="1"/>
    </xf>
    <xf numFmtId="0" fontId="3" fillId="0" borderId="0" xfId="0" applyFont="1" applyFill="1" applyAlignment="1">
      <alignment vertical="center" wrapText="1"/>
    </xf>
    <xf numFmtId="0" fontId="19" fillId="0" borderId="0" xfId="0" applyFont="1">
      <alignment vertical="center"/>
    </xf>
    <xf numFmtId="0" fontId="19" fillId="0" borderId="0" xfId="0" applyFont="1" applyAlignment="1">
      <alignment horizontal="right" vertical="center"/>
    </xf>
    <xf numFmtId="0" fontId="19" fillId="0" borderId="0" xfId="0" applyFont="1" applyAlignment="1">
      <alignment horizontal="center" vertical="center"/>
    </xf>
    <xf numFmtId="0" fontId="19" fillId="0" borderId="11" xfId="0" applyFont="1" applyBorder="1" applyAlignment="1">
      <alignment horizontal="center" vertical="center"/>
    </xf>
    <xf numFmtId="0" fontId="19" fillId="0" borderId="1" xfId="0" applyFont="1" applyBorder="1" applyAlignment="1">
      <alignment vertical="center" wrapText="1"/>
    </xf>
    <xf numFmtId="0" fontId="14" fillId="0" borderId="6" xfId="0" applyFont="1" applyBorder="1" applyAlignment="1">
      <alignment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18" fillId="0" borderId="2" xfId="0" applyFont="1" applyBorder="1" applyAlignment="1">
      <alignment horizontal="center" vertical="center" shrinkToFit="1"/>
    </xf>
    <xf numFmtId="0" fontId="19" fillId="0" borderId="0" xfId="0" applyFont="1" applyAlignment="1">
      <alignment horizontal="center" vertical="center"/>
    </xf>
    <xf numFmtId="0" fontId="19"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49" fontId="17" fillId="0" borderId="2" xfId="2" applyNumberFormat="1" applyFon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4" xfId="0" applyFont="1" applyBorder="1" applyAlignment="1">
      <alignment vertical="center" shrinkToFit="1"/>
    </xf>
    <xf numFmtId="0" fontId="9" fillId="0" borderId="0" xfId="0" applyFont="1" applyBorder="1" applyAlignment="1">
      <alignmen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19" fillId="0" borderId="2" xfId="0" applyFont="1" applyBorder="1" applyAlignment="1">
      <alignment horizontal="center" vertical="center" shrinkToFit="1"/>
    </xf>
    <xf numFmtId="0" fontId="19" fillId="0" borderId="3" xfId="0" applyFont="1" applyBorder="1" applyAlignment="1">
      <alignment horizontal="center" vertical="center" shrinkToFit="1"/>
    </xf>
    <xf numFmtId="0" fontId="19" fillId="0" borderId="4" xfId="0" applyFont="1" applyBorder="1" applyAlignment="1">
      <alignment horizontal="center" vertical="center" shrinkToFit="1"/>
    </xf>
    <xf numFmtId="0" fontId="18" fillId="0" borderId="2" xfId="0" applyFont="1" applyBorder="1" applyAlignment="1">
      <alignment horizontal="center" vertical="center" shrinkToFit="1"/>
    </xf>
    <xf numFmtId="0" fontId="18" fillId="0" borderId="3" xfId="0" applyFont="1" applyBorder="1" applyAlignment="1">
      <alignment horizontal="center" vertical="center" shrinkToFit="1"/>
    </xf>
    <xf numFmtId="0" fontId="18" fillId="0" borderId="4" xfId="0" applyFont="1" applyBorder="1" applyAlignment="1">
      <alignment horizontal="center" vertical="center" shrinkToFit="1"/>
    </xf>
    <xf numFmtId="0" fontId="19" fillId="0" borderId="0" xfId="0" applyFont="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8" fillId="0" borderId="7"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8"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9" xfId="0" applyFont="1" applyBorder="1" applyAlignment="1">
      <alignment vertical="top" wrapText="1" shrinkToFit="1"/>
    </xf>
    <xf numFmtId="0" fontId="18" fillId="0" borderId="5" xfId="0" applyFont="1" applyBorder="1" applyAlignment="1">
      <alignment vertical="top" wrapText="1" shrinkToFit="1"/>
    </xf>
    <xf numFmtId="0" fontId="18" fillId="0" borderId="0" xfId="0" applyFont="1" applyBorder="1" applyAlignment="1">
      <alignment vertical="top" wrapText="1" shrinkToFit="1"/>
    </xf>
    <xf numFmtId="0" fontId="18" fillId="0" borderId="10" xfId="0" applyFont="1" applyBorder="1" applyAlignment="1">
      <alignment vertical="top" wrapText="1" shrinkToFit="1"/>
    </xf>
    <xf numFmtId="0" fontId="18" fillId="0" borderId="11" xfId="0" applyFont="1" applyBorder="1" applyAlignment="1">
      <alignment vertical="top" wrapText="1" shrinkToFit="1"/>
    </xf>
    <xf numFmtId="0" fontId="18" fillId="0" borderId="6" xfId="0" applyFont="1" applyBorder="1" applyAlignment="1">
      <alignment vertical="top" wrapText="1" shrinkToFit="1"/>
    </xf>
    <xf numFmtId="0" fontId="18" fillId="0" borderId="12" xfId="0" applyFont="1" applyBorder="1" applyAlignment="1">
      <alignment vertical="top" wrapText="1" shrinkToFit="1"/>
    </xf>
    <xf numFmtId="0" fontId="19" fillId="0" borderId="2" xfId="0" applyFont="1" applyBorder="1" applyAlignment="1">
      <alignment vertical="center" shrinkToFit="1"/>
    </xf>
    <xf numFmtId="0" fontId="19" fillId="0" borderId="3" xfId="0" applyFont="1" applyBorder="1" applyAlignment="1">
      <alignment vertical="center" shrinkToFit="1"/>
    </xf>
    <xf numFmtId="0" fontId="19" fillId="0" borderId="4" xfId="0" applyFont="1" applyBorder="1" applyAlignment="1">
      <alignment vertical="center" shrinkToFit="1"/>
    </xf>
    <xf numFmtId="0" fontId="18" fillId="0" borderId="2" xfId="0" applyFont="1" applyBorder="1" applyAlignment="1">
      <alignment vertical="center" shrinkToFit="1"/>
    </xf>
    <xf numFmtId="0" fontId="18" fillId="0" borderId="3" xfId="0" applyFont="1" applyBorder="1" applyAlignment="1">
      <alignment vertical="center" shrinkToFit="1"/>
    </xf>
    <xf numFmtId="0" fontId="18" fillId="0" borderId="4" xfId="0" applyFont="1" applyBorder="1" applyAlignment="1">
      <alignment vertical="center" shrinkToFit="1"/>
    </xf>
    <xf numFmtId="0" fontId="19" fillId="0" borderId="16" xfId="0" applyFont="1" applyBorder="1" applyAlignment="1">
      <alignment vertical="center" wrapText="1"/>
    </xf>
    <xf numFmtId="0" fontId="19" fillId="0" borderId="42" xfId="0" applyFont="1" applyBorder="1" applyAlignment="1">
      <alignment vertical="center" wrapText="1"/>
    </xf>
    <xf numFmtId="0" fontId="19" fillId="0" borderId="13" xfId="0" applyFont="1" applyBorder="1" applyAlignment="1">
      <alignment vertical="center" wrapText="1"/>
    </xf>
    <xf numFmtId="0" fontId="18" fillId="0" borderId="7" xfId="0" applyFont="1" applyBorder="1" applyAlignment="1">
      <alignment vertical="top" wrapText="1"/>
    </xf>
    <xf numFmtId="0" fontId="18" fillId="0" borderId="8" xfId="0" applyFont="1" applyBorder="1" applyAlignment="1">
      <alignment vertical="top" wrapText="1"/>
    </xf>
    <xf numFmtId="0" fontId="18" fillId="0" borderId="9" xfId="0" applyFont="1" applyBorder="1" applyAlignment="1">
      <alignment vertical="top" wrapText="1"/>
    </xf>
    <xf numFmtId="0" fontId="18" fillId="0" borderId="5" xfId="0" applyFont="1" applyBorder="1" applyAlignment="1">
      <alignment vertical="top" wrapText="1"/>
    </xf>
    <xf numFmtId="0" fontId="18" fillId="0" borderId="0" xfId="0" applyFont="1" applyBorder="1" applyAlignment="1">
      <alignment vertical="top" wrapText="1"/>
    </xf>
    <xf numFmtId="0" fontId="18" fillId="0" borderId="10" xfId="0" applyFont="1" applyBorder="1" applyAlignment="1">
      <alignment vertical="top" wrapText="1"/>
    </xf>
    <xf numFmtId="0" fontId="18" fillId="0" borderId="11" xfId="0" applyFont="1" applyBorder="1" applyAlignment="1">
      <alignment vertical="top" wrapText="1"/>
    </xf>
    <xf numFmtId="0" fontId="18" fillId="0" borderId="6" xfId="0" applyFont="1" applyBorder="1" applyAlignment="1">
      <alignment vertical="top" wrapText="1"/>
    </xf>
    <xf numFmtId="0" fontId="18" fillId="0" borderId="12" xfId="0" applyFont="1" applyBorder="1" applyAlignment="1">
      <alignment vertical="top" wrapTex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Border="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19" fillId="0" borderId="2" xfId="0" applyFont="1" applyFill="1" applyBorder="1" applyAlignment="1">
      <alignment horizontal="center" vertical="center" shrinkToFit="1"/>
    </xf>
    <xf numFmtId="0" fontId="19" fillId="0" borderId="3" xfId="0" applyFont="1" applyFill="1" applyBorder="1" applyAlignment="1">
      <alignment horizontal="center" vertical="center" shrinkToFit="1"/>
    </xf>
    <xf numFmtId="0" fontId="19" fillId="0" borderId="4" xfId="0" applyFont="1" applyFill="1" applyBorder="1" applyAlignment="1">
      <alignment horizontal="center" vertical="center" shrinkToFi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7" fillId="0" borderId="2" xfId="2" applyFont="1" applyFill="1" applyBorder="1" applyAlignment="1">
      <alignment horizontal="left" vertical="center" shrinkToFit="1"/>
    </xf>
    <xf numFmtId="0" fontId="14" fillId="0" borderId="3" xfId="0" applyFont="1" applyFill="1" applyBorder="1" applyAlignment="1">
      <alignment horizontal="left" vertical="center" shrinkToFit="1"/>
    </xf>
    <xf numFmtId="0" fontId="14" fillId="0" borderId="4" xfId="0" applyFont="1" applyFill="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20" fillId="0" borderId="2" xfId="0" applyFont="1" applyFill="1" applyBorder="1" applyAlignment="1">
      <alignment vertical="center"/>
    </xf>
    <xf numFmtId="0" fontId="20" fillId="0" borderId="3" xfId="0" applyFont="1" applyFill="1" applyBorder="1" applyAlignment="1">
      <alignment vertical="center"/>
    </xf>
    <xf numFmtId="0" fontId="20" fillId="0" borderId="4" xfId="0" applyFont="1" applyFill="1"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zoomScaleNormal="100" workbookViewId="0">
      <selection activeCell="K19" sqref="K19"/>
    </sheetView>
  </sheetViews>
  <sheetFormatPr defaultColWidth="9" defaultRowHeight="18.75" customHeight="1"/>
  <cols>
    <col min="1" max="1" width="2.5" style="23" customWidth="1"/>
    <col min="2" max="2" width="12.5" style="23" customWidth="1"/>
    <col min="3" max="8" width="6.125" style="23" customWidth="1"/>
    <col min="9" max="9" width="2.5" style="23" customWidth="1"/>
    <col min="10" max="10" width="10" style="23" customWidth="1"/>
    <col min="11" max="11" width="2.5" style="23" customWidth="1"/>
    <col min="12" max="12" width="7.5" style="23" customWidth="1"/>
    <col min="13" max="13" width="2.5" style="23" customWidth="1"/>
    <col min="14" max="14" width="7.5" style="23" customWidth="1"/>
    <col min="15" max="16384" width="9" style="23"/>
  </cols>
  <sheetData>
    <row r="1" spans="1:14" ht="22.5" customHeight="1">
      <c r="M1" s="125" t="s">
        <v>0</v>
      </c>
      <c r="N1" s="125"/>
    </row>
    <row r="2" spans="1:14" ht="22.5" customHeight="1">
      <c r="A2" s="130" t="s">
        <v>1</v>
      </c>
      <c r="B2" s="130"/>
      <c r="C2" s="130"/>
      <c r="D2" s="130"/>
      <c r="E2" s="130"/>
      <c r="F2" s="130"/>
      <c r="G2" s="130"/>
      <c r="H2" s="130"/>
      <c r="I2" s="130"/>
      <c r="J2" s="130"/>
      <c r="K2" s="130"/>
      <c r="L2" s="130"/>
      <c r="M2" s="130"/>
      <c r="N2" s="130"/>
    </row>
    <row r="3" spans="1:14" ht="22.5" customHeight="1"/>
    <row r="4" spans="1:14" ht="22.5" customHeight="1">
      <c r="A4" s="23" t="s">
        <v>2</v>
      </c>
      <c r="B4" s="25" t="s">
        <v>3</v>
      </c>
      <c r="C4" s="112" t="s">
        <v>4</v>
      </c>
      <c r="D4" s="113"/>
      <c r="E4" s="113"/>
      <c r="F4" s="113"/>
      <c r="G4" s="113"/>
      <c r="H4" s="113"/>
      <c r="I4" s="113"/>
      <c r="J4" s="113"/>
      <c r="K4" s="113"/>
      <c r="L4" s="113"/>
      <c r="M4" s="113"/>
      <c r="N4" s="114"/>
    </row>
    <row r="5" spans="1:14" ht="7.5" customHeight="1">
      <c r="B5" s="25"/>
      <c r="C5" s="25"/>
      <c r="D5" s="25"/>
      <c r="E5" s="26"/>
      <c r="F5" s="92"/>
      <c r="G5" s="92"/>
      <c r="H5" s="92"/>
      <c r="I5" s="92"/>
      <c r="J5" s="92"/>
      <c r="K5" s="92"/>
      <c r="L5" s="92"/>
      <c r="M5" s="92"/>
      <c r="N5" s="92"/>
    </row>
    <row r="6" spans="1:14" ht="22.5" customHeight="1">
      <c r="A6" s="23" t="s">
        <v>5</v>
      </c>
      <c r="B6" s="25" t="s">
        <v>6</v>
      </c>
      <c r="C6" s="25"/>
      <c r="D6" s="112" t="s">
        <v>7</v>
      </c>
      <c r="E6" s="113"/>
      <c r="F6" s="113"/>
      <c r="G6" s="113"/>
      <c r="H6" s="113"/>
      <c r="I6" s="113"/>
      <c r="J6" s="113"/>
      <c r="K6" s="113"/>
      <c r="L6" s="113"/>
      <c r="M6" s="113"/>
      <c r="N6" s="114"/>
    </row>
    <row r="7" spans="1:14" ht="7.5" customHeight="1">
      <c r="B7" s="25"/>
      <c r="C7" s="25"/>
      <c r="D7" s="25"/>
      <c r="E7" s="26"/>
      <c r="F7" s="92"/>
      <c r="G7" s="92"/>
      <c r="H7" s="92"/>
      <c r="I7" s="92"/>
      <c r="J7" s="92"/>
      <c r="K7" s="92"/>
      <c r="L7" s="92"/>
      <c r="M7" s="92"/>
      <c r="N7" s="92"/>
    </row>
    <row r="8" spans="1:14" ht="22.5" customHeight="1">
      <c r="A8" s="27" t="s">
        <v>8</v>
      </c>
      <c r="B8" s="28" t="s">
        <v>9</v>
      </c>
      <c r="C8" s="112" t="s">
        <v>10</v>
      </c>
      <c r="D8" s="113"/>
      <c r="E8" s="114"/>
      <c r="F8" s="92"/>
      <c r="G8" s="129"/>
      <c r="H8" s="129"/>
      <c r="I8" s="129"/>
      <c r="J8" s="92"/>
      <c r="K8" s="92"/>
      <c r="L8" s="92"/>
      <c r="M8" s="92"/>
      <c r="N8" s="92"/>
    </row>
    <row r="9" spans="1:14" ht="7.5" customHeight="1">
      <c r="B9" s="25"/>
      <c r="C9" s="25"/>
      <c r="D9" s="25"/>
      <c r="E9" s="26"/>
      <c r="F9" s="92"/>
      <c r="G9" s="92"/>
      <c r="H9" s="92"/>
      <c r="I9" s="92"/>
      <c r="J9" s="92"/>
      <c r="K9" s="92"/>
      <c r="L9" s="92"/>
      <c r="M9" s="92"/>
      <c r="N9" s="92"/>
    </row>
    <row r="10" spans="1:14" ht="22.5" customHeight="1">
      <c r="A10" s="23" t="s">
        <v>11</v>
      </c>
      <c r="B10" s="25" t="s">
        <v>12</v>
      </c>
      <c r="C10" s="112" t="s">
        <v>13</v>
      </c>
      <c r="D10" s="113"/>
      <c r="E10" s="113"/>
      <c r="F10" s="113"/>
      <c r="G10" s="113"/>
      <c r="H10" s="113"/>
      <c r="I10" s="113"/>
      <c r="J10" s="113"/>
      <c r="K10" s="113"/>
      <c r="L10" s="113"/>
      <c r="M10" s="113"/>
      <c r="N10" s="114"/>
    </row>
    <row r="11" spans="1:14" ht="7.5" customHeight="1">
      <c r="B11" s="25"/>
      <c r="C11" s="25"/>
      <c r="D11" s="25"/>
      <c r="E11" s="26"/>
      <c r="F11" s="92"/>
      <c r="G11" s="92"/>
      <c r="H11" s="92"/>
      <c r="I11" s="92"/>
      <c r="J11" s="92"/>
      <c r="K11" s="92"/>
      <c r="L11" s="92"/>
      <c r="M11" s="92"/>
      <c r="N11" s="92"/>
    </row>
    <row r="12" spans="1:14" ht="22.5" customHeight="1">
      <c r="A12" s="23" t="s">
        <v>14</v>
      </c>
      <c r="B12" s="25" t="s">
        <v>15</v>
      </c>
      <c r="C12" s="25"/>
      <c r="D12" s="25"/>
      <c r="E12" s="82"/>
      <c r="F12" s="83"/>
      <c r="G12" s="117" t="s">
        <v>16</v>
      </c>
      <c r="H12" s="118"/>
      <c r="I12" s="118"/>
      <c r="J12" s="118"/>
      <c r="K12" s="118"/>
      <c r="L12" s="118"/>
      <c r="M12" s="118"/>
      <c r="N12" s="131"/>
    </row>
    <row r="13" spans="1:14" ht="7.5" customHeight="1">
      <c r="B13" s="26"/>
      <c r="C13" s="26"/>
      <c r="D13" s="26"/>
      <c r="E13" s="26"/>
      <c r="F13" s="92"/>
      <c r="G13" s="92"/>
      <c r="H13" s="92"/>
      <c r="I13" s="92"/>
      <c r="J13" s="92"/>
      <c r="K13" s="92"/>
      <c r="L13" s="92"/>
      <c r="M13" s="92"/>
      <c r="N13" s="92"/>
    </row>
    <row r="14" spans="1:14" ht="22.5" customHeight="1">
      <c r="A14" s="23" t="s">
        <v>17</v>
      </c>
      <c r="B14" s="26" t="s">
        <v>18</v>
      </c>
      <c r="C14" s="26"/>
      <c r="D14" s="26"/>
      <c r="E14" s="26"/>
      <c r="F14" s="112" t="s">
        <v>19</v>
      </c>
      <c r="G14" s="113"/>
      <c r="H14" s="114"/>
      <c r="I14" s="92"/>
      <c r="J14" s="92"/>
      <c r="K14" s="92"/>
      <c r="L14" s="92"/>
      <c r="M14" s="92"/>
      <c r="N14" s="92"/>
    </row>
    <row r="15" spans="1:14" ht="7.5" customHeight="1">
      <c r="B15" s="26"/>
      <c r="C15" s="26"/>
      <c r="D15" s="26"/>
      <c r="E15" s="26"/>
      <c r="F15" s="92"/>
      <c r="G15" s="92"/>
      <c r="H15" s="92"/>
      <c r="I15" s="92"/>
      <c r="J15" s="92"/>
      <c r="K15" s="92"/>
      <c r="L15" s="92"/>
      <c r="M15" s="92"/>
      <c r="N15" s="92"/>
    </row>
    <row r="16" spans="1:14" ht="22.5" customHeight="1">
      <c r="A16" s="23" t="s">
        <v>20</v>
      </c>
      <c r="B16" s="23" t="s">
        <v>21</v>
      </c>
      <c r="C16" s="126" t="s">
        <v>22</v>
      </c>
      <c r="D16" s="127"/>
      <c r="E16" s="115">
        <v>1621</v>
      </c>
      <c r="F16" s="116"/>
      <c r="G16" s="29" t="s">
        <v>23</v>
      </c>
      <c r="I16" s="126" t="s">
        <v>24</v>
      </c>
      <c r="J16" s="127"/>
      <c r="K16" s="115">
        <v>1058</v>
      </c>
      <c r="L16" s="128"/>
      <c r="M16" s="116"/>
      <c r="N16" s="30" t="s">
        <v>23</v>
      </c>
    </row>
    <row r="17" spans="1:15" ht="7.5" customHeight="1">
      <c r="F17" s="31"/>
      <c r="G17" s="31"/>
      <c r="H17" s="31"/>
      <c r="I17" s="31"/>
      <c r="J17" s="31"/>
      <c r="K17" s="31"/>
      <c r="L17" s="31"/>
      <c r="M17" s="30"/>
      <c r="N17" s="30"/>
    </row>
    <row r="18" spans="1:15" ht="22.5" customHeight="1">
      <c r="A18" s="23" t="s">
        <v>25</v>
      </c>
      <c r="B18" s="23" t="s">
        <v>26</v>
      </c>
      <c r="F18" s="31"/>
      <c r="G18" s="31"/>
      <c r="H18" s="31"/>
      <c r="I18" s="31"/>
      <c r="J18" s="31"/>
      <c r="K18" s="122">
        <v>21</v>
      </c>
      <c r="L18" s="123"/>
      <c r="M18" s="124"/>
      <c r="N18" s="30" t="s">
        <v>23</v>
      </c>
    </row>
    <row r="19" spans="1:15" ht="7.5" customHeight="1">
      <c r="F19" s="31"/>
      <c r="G19" s="31"/>
      <c r="H19" s="31"/>
      <c r="I19" s="31"/>
      <c r="J19" s="31"/>
      <c r="K19" s="31"/>
      <c r="L19" s="31"/>
      <c r="M19" s="30"/>
      <c r="N19" s="30"/>
    </row>
    <row r="20" spans="1:15" ht="22.5" customHeight="1">
      <c r="A20" s="23" t="s">
        <v>27</v>
      </c>
      <c r="B20" s="23" t="s">
        <v>28</v>
      </c>
      <c r="E20" s="115">
        <v>2336</v>
      </c>
      <c r="F20" s="116"/>
      <c r="G20" s="32" t="s">
        <v>29</v>
      </c>
      <c r="H20" s="31"/>
      <c r="K20" s="132"/>
      <c r="L20" s="132"/>
      <c r="M20" s="132"/>
      <c r="N20" s="132"/>
    </row>
    <row r="21" spans="1:15" ht="7.5" customHeight="1">
      <c r="E21" s="21"/>
      <c r="F21" s="31"/>
      <c r="G21" s="31"/>
      <c r="L21" s="93"/>
      <c r="M21" s="93"/>
      <c r="N21" s="33"/>
    </row>
    <row r="22" spans="1:15" ht="22.5" customHeight="1">
      <c r="A22" s="23" t="s">
        <v>30</v>
      </c>
      <c r="B22" s="23" t="s">
        <v>31</v>
      </c>
      <c r="E22" s="21"/>
      <c r="F22" s="31"/>
      <c r="G22" s="31"/>
      <c r="H22" s="23" t="s">
        <v>32</v>
      </c>
      <c r="J22" s="133">
        <v>10678</v>
      </c>
      <c r="K22" s="134"/>
      <c r="L22" s="135"/>
      <c r="M22" s="93" t="s">
        <v>23</v>
      </c>
      <c r="N22" s="33"/>
    </row>
    <row r="23" spans="1:15" ht="7.5" customHeight="1">
      <c r="E23" s="21"/>
      <c r="F23" s="31"/>
      <c r="G23" s="31"/>
      <c r="L23" s="93"/>
      <c r="M23" s="93"/>
      <c r="N23" s="33"/>
    </row>
    <row r="24" spans="1:15" ht="22.5" customHeight="1">
      <c r="B24" s="96" t="s">
        <v>33</v>
      </c>
      <c r="C24" s="115">
        <v>2418</v>
      </c>
      <c r="D24" s="116"/>
      <c r="E24" s="21" t="s">
        <v>23</v>
      </c>
      <c r="F24" s="31"/>
      <c r="G24" s="111" t="s">
        <v>34</v>
      </c>
      <c r="H24" s="111"/>
      <c r="I24" s="115">
        <v>2452</v>
      </c>
      <c r="J24" s="116"/>
      <c r="K24" s="27" t="s">
        <v>23</v>
      </c>
      <c r="M24" s="93"/>
      <c r="N24" s="33"/>
      <c r="O24" s="24"/>
    </row>
    <row r="25" spans="1:15" ht="7.5" customHeight="1">
      <c r="B25" s="96"/>
      <c r="C25" s="22"/>
      <c r="D25" s="22"/>
      <c r="E25" s="21"/>
      <c r="F25" s="31"/>
      <c r="G25" s="93"/>
      <c r="H25" s="93"/>
      <c r="I25" s="22"/>
      <c r="J25" s="22"/>
      <c r="K25" s="27"/>
      <c r="M25" s="93"/>
      <c r="N25" s="33"/>
      <c r="O25" s="24"/>
    </row>
    <row r="26" spans="1:15" ht="22.5" customHeight="1">
      <c r="B26" s="96" t="s">
        <v>35</v>
      </c>
      <c r="C26" s="115">
        <v>2473</v>
      </c>
      <c r="D26" s="116"/>
      <c r="E26" s="21" t="s">
        <v>23</v>
      </c>
      <c r="F26" s="31"/>
      <c r="G26" s="111" t="s">
        <v>36</v>
      </c>
      <c r="H26" s="111"/>
      <c r="I26" s="115">
        <v>2918</v>
      </c>
      <c r="J26" s="116"/>
      <c r="K26" s="27" t="s">
        <v>23</v>
      </c>
      <c r="M26" s="93"/>
      <c r="N26" s="33"/>
    </row>
    <row r="27" spans="1:15" ht="7.5" customHeight="1">
      <c r="B27" s="96"/>
      <c r="C27" s="22"/>
      <c r="D27" s="22"/>
      <c r="E27" s="21"/>
      <c r="F27" s="31"/>
      <c r="G27" s="93"/>
      <c r="H27" s="93"/>
      <c r="I27" s="22"/>
      <c r="J27" s="22"/>
      <c r="K27" s="27"/>
      <c r="M27" s="93"/>
      <c r="N27" s="33"/>
    </row>
    <row r="28" spans="1:15" ht="22.5" customHeight="1">
      <c r="B28" s="96" t="s">
        <v>37</v>
      </c>
      <c r="C28" s="115">
        <v>209</v>
      </c>
      <c r="D28" s="116"/>
      <c r="E28" s="21" t="s">
        <v>23</v>
      </c>
      <c r="F28" s="31"/>
      <c r="G28" s="111" t="s">
        <v>38</v>
      </c>
      <c r="H28" s="111"/>
      <c r="I28" s="115">
        <v>208</v>
      </c>
      <c r="J28" s="116"/>
      <c r="K28" s="27" t="s">
        <v>23</v>
      </c>
      <c r="M28" s="93"/>
      <c r="N28" s="33"/>
    </row>
    <row r="29" spans="1:15" ht="7.5" customHeight="1">
      <c r="F29" s="31"/>
      <c r="G29" s="31"/>
      <c r="M29" s="34"/>
      <c r="N29" s="34"/>
    </row>
    <row r="30" spans="1:15" ht="22.5" customHeight="1">
      <c r="A30" s="23" t="s">
        <v>39</v>
      </c>
      <c r="B30" s="25" t="s">
        <v>40</v>
      </c>
      <c r="C30" s="25"/>
      <c r="D30" s="25"/>
      <c r="E30" s="25"/>
      <c r="F30" s="27"/>
      <c r="G30" s="92"/>
      <c r="H30" s="92"/>
      <c r="I30" s="92"/>
      <c r="J30" s="36"/>
      <c r="K30" s="36"/>
      <c r="L30" s="36"/>
      <c r="M30" s="36"/>
      <c r="N30" s="36"/>
    </row>
    <row r="31" spans="1:15" s="24" customFormat="1" ht="22.5" customHeight="1">
      <c r="B31" s="119" t="s">
        <v>41</v>
      </c>
      <c r="C31" s="119"/>
      <c r="D31" s="112" t="s">
        <v>42</v>
      </c>
      <c r="E31" s="113"/>
      <c r="F31" s="113"/>
      <c r="G31" s="120" t="s">
        <v>43</v>
      </c>
      <c r="H31" s="119"/>
      <c r="I31" s="121"/>
      <c r="J31" s="112" t="s">
        <v>44</v>
      </c>
      <c r="K31" s="113"/>
      <c r="L31" s="113"/>
      <c r="M31" s="113"/>
      <c r="N31" s="114"/>
    </row>
    <row r="32" spans="1:15" ht="7.5" customHeight="1">
      <c r="F32" s="31"/>
      <c r="G32" s="31"/>
      <c r="M32" s="34"/>
      <c r="N32" s="34"/>
    </row>
    <row r="33" spans="1:14" ht="22.5" customHeight="1">
      <c r="A33" s="23" t="s">
        <v>45</v>
      </c>
      <c r="B33" s="25" t="s">
        <v>46</v>
      </c>
      <c r="C33" s="25"/>
      <c r="D33" s="25"/>
      <c r="E33" s="25"/>
      <c r="F33" s="27"/>
      <c r="G33" s="36"/>
      <c r="H33" s="36"/>
      <c r="I33" s="36"/>
      <c r="J33" s="36"/>
      <c r="K33" s="36"/>
      <c r="L33" s="36"/>
      <c r="M33" s="36"/>
      <c r="N33" s="36"/>
    </row>
    <row r="34" spans="1:14" ht="22.5" customHeight="1">
      <c r="B34" s="112" t="s">
        <v>47</v>
      </c>
      <c r="C34" s="113"/>
      <c r="D34" s="113"/>
      <c r="E34" s="113"/>
      <c r="F34" s="113"/>
      <c r="G34" s="113"/>
      <c r="H34" s="113"/>
      <c r="I34" s="113"/>
      <c r="J34" s="113"/>
      <c r="K34" s="113"/>
      <c r="L34" s="113"/>
      <c r="M34" s="113"/>
      <c r="N34" s="114"/>
    </row>
    <row r="35" spans="1:14" ht="7.5" customHeight="1">
      <c r="B35" s="95"/>
      <c r="C35" s="95"/>
      <c r="D35" s="95"/>
      <c r="E35" s="95"/>
      <c r="F35" s="95"/>
      <c r="G35" s="95"/>
      <c r="H35" s="95"/>
      <c r="I35" s="95"/>
      <c r="J35" s="95"/>
      <c r="K35" s="95"/>
      <c r="L35" s="95"/>
      <c r="M35" s="95"/>
      <c r="N35" s="95"/>
    </row>
    <row r="36" spans="1:14" s="24" customFormat="1" ht="22.5" customHeight="1">
      <c r="B36" s="119" t="s">
        <v>41</v>
      </c>
      <c r="C36" s="119"/>
      <c r="D36" s="112" t="s">
        <v>48</v>
      </c>
      <c r="E36" s="113"/>
      <c r="F36" s="113"/>
      <c r="G36" s="120" t="s">
        <v>43</v>
      </c>
      <c r="H36" s="119"/>
      <c r="I36" s="121"/>
      <c r="J36" s="112" t="s">
        <v>49</v>
      </c>
      <c r="K36" s="113"/>
      <c r="L36" s="113"/>
      <c r="M36" s="113"/>
      <c r="N36" s="114"/>
    </row>
    <row r="37" spans="1:14" ht="7.5" customHeight="1">
      <c r="F37" s="92"/>
      <c r="G37" s="92"/>
      <c r="H37" s="92"/>
      <c r="I37" s="92"/>
      <c r="J37" s="92"/>
      <c r="K37" s="92"/>
      <c r="L37" s="92"/>
      <c r="M37" s="92"/>
      <c r="N37" s="92"/>
    </row>
    <row r="38" spans="1:14" ht="22.5" customHeight="1">
      <c r="A38" s="23" t="s">
        <v>50</v>
      </c>
      <c r="B38" s="23" t="s">
        <v>51</v>
      </c>
      <c r="M38" s="34"/>
      <c r="N38" s="34"/>
    </row>
    <row r="39" spans="1:14" ht="22.5" customHeight="1">
      <c r="B39" s="112" t="s">
        <v>52</v>
      </c>
      <c r="C39" s="113"/>
      <c r="D39" s="113"/>
      <c r="E39" s="113"/>
      <c r="F39" s="113"/>
      <c r="G39" s="113"/>
      <c r="H39" s="113"/>
      <c r="I39" s="113"/>
      <c r="J39" s="113"/>
      <c r="K39" s="113"/>
      <c r="L39" s="113"/>
      <c r="M39" s="113"/>
      <c r="N39" s="114"/>
    </row>
    <row r="40" spans="1:14" ht="7.5" customHeight="1">
      <c r="F40" s="92"/>
      <c r="G40" s="92"/>
      <c r="H40" s="92"/>
      <c r="I40" s="92"/>
      <c r="J40" s="92"/>
      <c r="K40" s="92"/>
      <c r="L40" s="92"/>
      <c r="M40" s="92"/>
      <c r="N40" s="92"/>
    </row>
    <row r="41" spans="1:14" s="24" customFormat="1" ht="22.5" customHeight="1">
      <c r="B41" s="119" t="s">
        <v>41</v>
      </c>
      <c r="C41" s="119"/>
      <c r="D41" s="112" t="s">
        <v>53</v>
      </c>
      <c r="E41" s="113"/>
      <c r="F41" s="113"/>
      <c r="G41" s="120" t="s">
        <v>43</v>
      </c>
      <c r="H41" s="119"/>
      <c r="I41" s="121"/>
      <c r="J41" s="112" t="s">
        <v>54</v>
      </c>
      <c r="K41" s="113"/>
      <c r="L41" s="113"/>
      <c r="M41" s="113"/>
      <c r="N41" s="114"/>
    </row>
    <row r="42" spans="1:14" ht="7.5" customHeight="1">
      <c r="F42" s="92"/>
      <c r="G42" s="92"/>
      <c r="H42" s="92"/>
      <c r="I42" s="92"/>
      <c r="J42" s="92"/>
      <c r="K42" s="92"/>
      <c r="L42" s="92"/>
      <c r="M42" s="92"/>
      <c r="N42" s="92"/>
    </row>
    <row r="43" spans="1:14" ht="22.5" customHeight="1">
      <c r="A43" s="23" t="s">
        <v>55</v>
      </c>
      <c r="B43" s="49" t="s">
        <v>56</v>
      </c>
      <c r="E43" s="46"/>
      <c r="F43" s="112" t="s">
        <v>57</v>
      </c>
      <c r="G43" s="113"/>
      <c r="H43" s="113"/>
      <c r="I43" s="113"/>
      <c r="J43" s="113"/>
      <c r="K43" s="113"/>
      <c r="L43" s="113"/>
      <c r="M43" s="113"/>
      <c r="N43" s="114"/>
    </row>
    <row r="44" spans="1:14" ht="7.5" customHeight="1">
      <c r="F44" s="92"/>
      <c r="G44" s="92"/>
      <c r="H44" s="92"/>
      <c r="I44" s="92"/>
      <c r="J44" s="92"/>
      <c r="K44" s="92"/>
      <c r="L44" s="92"/>
      <c r="M44" s="92"/>
      <c r="N44" s="92"/>
    </row>
    <row r="45" spans="1:14" ht="22.5" customHeight="1">
      <c r="A45" s="23" t="s">
        <v>58</v>
      </c>
    </row>
    <row r="46" spans="1:14" ht="22.5" customHeight="1">
      <c r="B46" s="37" t="s">
        <v>59</v>
      </c>
      <c r="C46" s="117" t="s">
        <v>60</v>
      </c>
      <c r="D46" s="118"/>
      <c r="E46" s="118"/>
      <c r="F46" s="118"/>
      <c r="G46" s="118"/>
      <c r="H46" s="118"/>
      <c r="I46" s="38" t="s">
        <v>61</v>
      </c>
      <c r="J46" s="39"/>
      <c r="K46" s="112" t="s">
        <v>62</v>
      </c>
      <c r="L46" s="113"/>
      <c r="M46" s="113"/>
      <c r="N46" s="114"/>
    </row>
    <row r="47" spans="1:14" ht="22.5" customHeight="1">
      <c r="B47" s="37" t="s">
        <v>63</v>
      </c>
      <c r="C47" s="105" t="s">
        <v>64</v>
      </c>
      <c r="D47" s="106"/>
      <c r="E47" s="106"/>
      <c r="F47" s="106"/>
      <c r="G47" s="106"/>
      <c r="H47" s="107"/>
      <c r="I47" s="38" t="s">
        <v>65</v>
      </c>
      <c r="J47" s="39"/>
      <c r="K47" s="108" t="s">
        <v>66</v>
      </c>
      <c r="L47" s="109"/>
      <c r="M47" s="109"/>
      <c r="N47" s="110"/>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G23" sqref="G23:I23"/>
    </sheetView>
  </sheetViews>
  <sheetFormatPr defaultColWidth="9" defaultRowHeight="18.75" customHeight="1"/>
  <cols>
    <col min="1" max="2" width="2.5" style="23" customWidth="1"/>
    <col min="3" max="3" width="20" style="23" customWidth="1"/>
    <col min="4" max="4" width="8.625" style="23" customWidth="1"/>
    <col min="5" max="5" width="7.5" style="23" customWidth="1"/>
    <col min="6" max="6" width="2.5" style="23" customWidth="1"/>
    <col min="7" max="7" width="15" style="23" customWidth="1"/>
    <col min="8" max="8" width="12.5" style="23" customWidth="1"/>
    <col min="9" max="9" width="11.125" style="23" customWidth="1"/>
    <col min="10" max="16384" width="9" style="23"/>
  </cols>
  <sheetData>
    <row r="1" spans="1:9" ht="18.75" customHeight="1">
      <c r="I1" s="94" t="s">
        <v>67</v>
      </c>
    </row>
    <row r="2" spans="1:9" ht="18.75" customHeight="1">
      <c r="G2" s="35" t="s">
        <v>68</v>
      </c>
      <c r="H2" s="139" t="s">
        <v>69</v>
      </c>
      <c r="I2" s="139"/>
    </row>
    <row r="3" spans="1:9" ht="7.5" customHeight="1"/>
    <row r="4" spans="1:9" ht="18.75" customHeight="1">
      <c r="A4" s="130" t="s">
        <v>70</v>
      </c>
      <c r="B4" s="130"/>
      <c r="C4" s="130"/>
      <c r="D4" s="130"/>
      <c r="E4" s="130"/>
      <c r="F4" s="130"/>
      <c r="G4" s="130"/>
      <c r="H4" s="130"/>
      <c r="I4" s="130"/>
    </row>
    <row r="5" spans="1:9" ht="7.5" customHeight="1">
      <c r="C5" s="96"/>
      <c r="D5" s="96"/>
      <c r="E5" s="96"/>
      <c r="F5" s="96"/>
      <c r="G5" s="96"/>
      <c r="H5" s="96"/>
      <c r="I5" s="96"/>
    </row>
    <row r="6" spans="1:9" ht="18.75" customHeight="1">
      <c r="A6" s="23" t="s">
        <v>2</v>
      </c>
      <c r="B6" s="23" t="s">
        <v>71</v>
      </c>
      <c r="C6" s="96"/>
      <c r="D6" s="96"/>
      <c r="E6" s="133" t="s">
        <v>72</v>
      </c>
      <c r="F6" s="134"/>
      <c r="G6" s="134"/>
      <c r="H6" s="134"/>
      <c r="I6" s="135"/>
    </row>
    <row r="7" spans="1:9" ht="7.5" customHeight="1">
      <c r="C7" s="96"/>
      <c r="D7" s="96"/>
      <c r="F7" s="93"/>
      <c r="G7" s="93"/>
      <c r="H7" s="93"/>
      <c r="I7" s="93"/>
    </row>
    <row r="8" spans="1:9" ht="18.75" customHeight="1">
      <c r="A8" s="23" t="s">
        <v>5</v>
      </c>
      <c r="B8" s="23" t="s">
        <v>73</v>
      </c>
      <c r="C8" s="96"/>
      <c r="D8" s="96"/>
      <c r="E8" s="96"/>
      <c r="F8" s="96"/>
      <c r="G8" s="96"/>
      <c r="H8" s="96"/>
      <c r="I8" s="96"/>
    </row>
    <row r="9" spans="1:9" ht="18.75" customHeight="1">
      <c r="B9" s="142" t="s">
        <v>74</v>
      </c>
      <c r="C9" s="143"/>
      <c r="D9" s="143"/>
      <c r="E9" s="143"/>
      <c r="F9" s="143"/>
      <c r="G9" s="143"/>
      <c r="H9" s="143"/>
      <c r="I9" s="144"/>
    </row>
    <row r="10" spans="1:9" ht="18.75" customHeight="1">
      <c r="B10" s="145"/>
      <c r="C10" s="146"/>
      <c r="D10" s="146"/>
      <c r="E10" s="146"/>
      <c r="F10" s="146"/>
      <c r="G10" s="146"/>
      <c r="H10" s="146"/>
      <c r="I10" s="147"/>
    </row>
    <row r="11" spans="1:9" ht="18.75" customHeight="1">
      <c r="B11" s="145"/>
      <c r="C11" s="146"/>
      <c r="D11" s="146"/>
      <c r="E11" s="146"/>
      <c r="F11" s="146"/>
      <c r="G11" s="146"/>
      <c r="H11" s="146"/>
      <c r="I11" s="147"/>
    </row>
    <row r="12" spans="1:9" ht="18.75" customHeight="1">
      <c r="B12" s="145"/>
      <c r="C12" s="146"/>
      <c r="D12" s="146"/>
      <c r="E12" s="146"/>
      <c r="F12" s="146"/>
      <c r="G12" s="146"/>
      <c r="H12" s="146"/>
      <c r="I12" s="147"/>
    </row>
    <row r="13" spans="1:9" ht="18.75" customHeight="1">
      <c r="B13" s="145"/>
      <c r="C13" s="146"/>
      <c r="D13" s="146"/>
      <c r="E13" s="146"/>
      <c r="F13" s="146"/>
      <c r="G13" s="146"/>
      <c r="H13" s="146"/>
      <c r="I13" s="147"/>
    </row>
    <row r="14" spans="1:9" ht="18.75" customHeight="1">
      <c r="B14" s="145"/>
      <c r="C14" s="146"/>
      <c r="D14" s="146"/>
      <c r="E14" s="146"/>
      <c r="F14" s="146"/>
      <c r="G14" s="146"/>
      <c r="H14" s="146"/>
      <c r="I14" s="147"/>
    </row>
    <row r="15" spans="1:9" ht="18.75" customHeight="1">
      <c r="B15" s="145"/>
      <c r="C15" s="146"/>
      <c r="D15" s="146"/>
      <c r="E15" s="146"/>
      <c r="F15" s="146"/>
      <c r="G15" s="146"/>
      <c r="H15" s="146"/>
      <c r="I15" s="147"/>
    </row>
    <row r="16" spans="1:9" ht="18.75" customHeight="1">
      <c r="B16" s="148"/>
      <c r="C16" s="149"/>
      <c r="D16" s="149"/>
      <c r="E16" s="149"/>
      <c r="F16" s="149"/>
      <c r="G16" s="149"/>
      <c r="H16" s="149"/>
      <c r="I16" s="150"/>
    </row>
    <row r="17" spans="1:10" ht="7.5" customHeight="1">
      <c r="C17" s="96"/>
      <c r="D17" s="96"/>
      <c r="E17" s="96"/>
      <c r="F17" s="96"/>
      <c r="G17" s="96"/>
      <c r="H17" s="96"/>
      <c r="I17" s="96"/>
    </row>
    <row r="18" spans="1:10" ht="18.75" customHeight="1">
      <c r="A18" s="96" t="s">
        <v>8</v>
      </c>
      <c r="B18" s="25" t="s">
        <v>75</v>
      </c>
      <c r="C18" s="25"/>
      <c r="D18" s="25"/>
      <c r="E18" s="25"/>
      <c r="F18" s="96"/>
      <c r="G18" s="96"/>
      <c r="H18" s="96"/>
      <c r="I18" s="96"/>
      <c r="J18" s="96"/>
    </row>
    <row r="19" spans="1:10" ht="18.75" customHeight="1">
      <c r="A19" s="140" t="s">
        <v>75</v>
      </c>
      <c r="B19" s="140"/>
      <c r="C19" s="140"/>
      <c r="D19" s="140"/>
      <c r="E19" s="140"/>
      <c r="F19" s="141" t="s">
        <v>75</v>
      </c>
      <c r="G19" s="141"/>
      <c r="H19" s="141"/>
      <c r="I19" s="141"/>
    </row>
    <row r="20" spans="1:10" ht="18.75" customHeight="1">
      <c r="A20" s="48">
        <v>1</v>
      </c>
      <c r="B20" s="117" t="s">
        <v>76</v>
      </c>
      <c r="C20" s="118"/>
      <c r="D20" s="118"/>
      <c r="E20" s="131"/>
      <c r="F20" s="48">
        <v>26</v>
      </c>
      <c r="G20" s="136"/>
      <c r="H20" s="137"/>
      <c r="I20" s="138"/>
    </row>
    <row r="21" spans="1:10" ht="18.75" customHeight="1">
      <c r="A21" s="48">
        <v>2</v>
      </c>
      <c r="B21" s="117" t="s">
        <v>77</v>
      </c>
      <c r="C21" s="118"/>
      <c r="D21" s="118"/>
      <c r="E21" s="131"/>
      <c r="F21" s="48">
        <v>27</v>
      </c>
      <c r="G21" s="136"/>
      <c r="H21" s="137"/>
      <c r="I21" s="138"/>
    </row>
    <row r="22" spans="1:10" ht="18.75" customHeight="1">
      <c r="A22" s="48">
        <v>3</v>
      </c>
      <c r="B22" s="117" t="s">
        <v>78</v>
      </c>
      <c r="C22" s="118"/>
      <c r="D22" s="118"/>
      <c r="E22" s="131"/>
      <c r="F22" s="48">
        <v>28</v>
      </c>
      <c r="G22" s="136"/>
      <c r="H22" s="137"/>
      <c r="I22" s="138"/>
    </row>
    <row r="23" spans="1:10" ht="18.75" customHeight="1">
      <c r="A23" s="48">
        <v>4</v>
      </c>
      <c r="B23" s="117" t="s">
        <v>79</v>
      </c>
      <c r="C23" s="118"/>
      <c r="D23" s="118"/>
      <c r="E23" s="131"/>
      <c r="F23" s="48">
        <v>29</v>
      </c>
      <c r="G23" s="136"/>
      <c r="H23" s="137"/>
      <c r="I23" s="138"/>
    </row>
    <row r="24" spans="1:10" ht="18.75" customHeight="1">
      <c r="A24" s="48">
        <v>5</v>
      </c>
      <c r="B24" s="117" t="s">
        <v>80</v>
      </c>
      <c r="C24" s="118"/>
      <c r="D24" s="118"/>
      <c r="E24" s="131"/>
      <c r="F24" s="48">
        <v>30</v>
      </c>
      <c r="G24" s="136"/>
      <c r="H24" s="137"/>
      <c r="I24" s="138"/>
    </row>
    <row r="25" spans="1:10" ht="18.75" customHeight="1">
      <c r="A25" s="48">
        <v>6</v>
      </c>
      <c r="B25" s="117" t="s">
        <v>81</v>
      </c>
      <c r="C25" s="118"/>
      <c r="D25" s="118"/>
      <c r="E25" s="131"/>
      <c r="F25" s="48">
        <v>31</v>
      </c>
      <c r="G25" s="136"/>
      <c r="H25" s="137"/>
      <c r="I25" s="138"/>
    </row>
    <row r="26" spans="1:10" ht="18.75" customHeight="1">
      <c r="A26" s="48">
        <v>7</v>
      </c>
      <c r="B26" s="117" t="s">
        <v>82</v>
      </c>
      <c r="C26" s="118"/>
      <c r="D26" s="118"/>
      <c r="E26" s="131"/>
      <c r="F26" s="48">
        <v>32</v>
      </c>
      <c r="G26" s="136"/>
      <c r="H26" s="137"/>
      <c r="I26" s="138"/>
    </row>
    <row r="27" spans="1:10" ht="18.75" customHeight="1">
      <c r="A27" s="48">
        <v>8</v>
      </c>
      <c r="B27" s="117"/>
      <c r="C27" s="118"/>
      <c r="D27" s="118"/>
      <c r="E27" s="131"/>
      <c r="F27" s="48">
        <v>33</v>
      </c>
      <c r="G27" s="136"/>
      <c r="H27" s="137"/>
      <c r="I27" s="138"/>
    </row>
    <row r="28" spans="1:10" ht="18.75" customHeight="1">
      <c r="A28" s="48">
        <v>9</v>
      </c>
      <c r="B28" s="117"/>
      <c r="C28" s="118"/>
      <c r="D28" s="118"/>
      <c r="E28" s="131"/>
      <c r="F28" s="48">
        <v>34</v>
      </c>
      <c r="G28" s="136"/>
      <c r="H28" s="137"/>
      <c r="I28" s="138"/>
    </row>
    <row r="29" spans="1:10" ht="18.75" customHeight="1">
      <c r="A29" s="48">
        <v>10</v>
      </c>
      <c r="B29" s="117"/>
      <c r="C29" s="118"/>
      <c r="D29" s="118"/>
      <c r="E29" s="131"/>
      <c r="F29" s="48">
        <v>35</v>
      </c>
      <c r="G29" s="136"/>
      <c r="H29" s="137"/>
      <c r="I29" s="138"/>
    </row>
    <row r="30" spans="1:10" ht="18.75" customHeight="1">
      <c r="A30" s="48">
        <v>11</v>
      </c>
      <c r="B30" s="136"/>
      <c r="C30" s="137"/>
      <c r="D30" s="137"/>
      <c r="E30" s="138"/>
      <c r="F30" s="48">
        <v>36</v>
      </c>
      <c r="G30" s="136"/>
      <c r="H30" s="137"/>
      <c r="I30" s="138"/>
    </row>
    <row r="31" spans="1:10" ht="18.75" customHeight="1">
      <c r="A31" s="48">
        <v>12</v>
      </c>
      <c r="B31" s="136"/>
      <c r="C31" s="137"/>
      <c r="D31" s="137"/>
      <c r="E31" s="138"/>
      <c r="F31" s="48">
        <v>37</v>
      </c>
      <c r="G31" s="136"/>
      <c r="H31" s="137"/>
      <c r="I31" s="138"/>
    </row>
    <row r="32" spans="1:10" ht="18.75" customHeight="1">
      <c r="A32" s="48">
        <v>13</v>
      </c>
      <c r="B32" s="136"/>
      <c r="C32" s="137"/>
      <c r="D32" s="137"/>
      <c r="E32" s="138"/>
      <c r="F32" s="48">
        <v>38</v>
      </c>
      <c r="G32" s="136"/>
      <c r="H32" s="137"/>
      <c r="I32" s="138"/>
    </row>
    <row r="33" spans="1:9" ht="18.75" customHeight="1">
      <c r="A33" s="48">
        <v>14</v>
      </c>
      <c r="B33" s="136"/>
      <c r="C33" s="137"/>
      <c r="D33" s="137"/>
      <c r="E33" s="138"/>
      <c r="F33" s="48">
        <v>39</v>
      </c>
      <c r="G33" s="136"/>
      <c r="H33" s="137"/>
      <c r="I33" s="138"/>
    </row>
    <row r="34" spans="1:9" ht="18.75" customHeight="1">
      <c r="A34" s="48">
        <v>15</v>
      </c>
      <c r="B34" s="136"/>
      <c r="C34" s="137"/>
      <c r="D34" s="137"/>
      <c r="E34" s="138"/>
      <c r="F34" s="48">
        <v>40</v>
      </c>
      <c r="G34" s="136"/>
      <c r="H34" s="137"/>
      <c r="I34" s="138"/>
    </row>
    <row r="35" spans="1:9" ht="18.75" customHeight="1">
      <c r="A35" s="48">
        <v>16</v>
      </c>
      <c r="B35" s="136"/>
      <c r="C35" s="137"/>
      <c r="D35" s="137"/>
      <c r="E35" s="138"/>
      <c r="F35" s="48">
        <v>41</v>
      </c>
      <c r="G35" s="136"/>
      <c r="H35" s="137"/>
      <c r="I35" s="138"/>
    </row>
    <row r="36" spans="1:9" ht="18.75" customHeight="1">
      <c r="A36" s="48">
        <v>17</v>
      </c>
      <c r="B36" s="136"/>
      <c r="C36" s="137"/>
      <c r="D36" s="137"/>
      <c r="E36" s="138"/>
      <c r="F36" s="48">
        <v>42</v>
      </c>
      <c r="G36" s="136"/>
      <c r="H36" s="137"/>
      <c r="I36" s="138"/>
    </row>
    <row r="37" spans="1:9" ht="18.75" customHeight="1">
      <c r="A37" s="48">
        <v>18</v>
      </c>
      <c r="B37" s="136"/>
      <c r="C37" s="137"/>
      <c r="D37" s="137"/>
      <c r="E37" s="138"/>
      <c r="F37" s="48">
        <v>43</v>
      </c>
      <c r="G37" s="136"/>
      <c r="H37" s="137"/>
      <c r="I37" s="138"/>
    </row>
    <row r="38" spans="1:9" ht="18.75" customHeight="1">
      <c r="A38" s="48">
        <v>19</v>
      </c>
      <c r="B38" s="136"/>
      <c r="C38" s="137"/>
      <c r="D38" s="137"/>
      <c r="E38" s="138"/>
      <c r="F38" s="48">
        <v>44</v>
      </c>
      <c r="G38" s="136"/>
      <c r="H38" s="137"/>
      <c r="I38" s="138"/>
    </row>
    <row r="39" spans="1:9" ht="18.75" customHeight="1">
      <c r="A39" s="48">
        <v>20</v>
      </c>
      <c r="B39" s="136"/>
      <c r="C39" s="137"/>
      <c r="D39" s="137"/>
      <c r="E39" s="138"/>
      <c r="F39" s="48">
        <v>45</v>
      </c>
      <c r="G39" s="136"/>
      <c r="H39" s="137"/>
      <c r="I39" s="138"/>
    </row>
    <row r="40" spans="1:9" ht="18.75" customHeight="1">
      <c r="A40" s="48">
        <v>21</v>
      </c>
      <c r="B40" s="136"/>
      <c r="C40" s="137"/>
      <c r="D40" s="137"/>
      <c r="E40" s="138"/>
      <c r="F40" s="48">
        <v>46</v>
      </c>
      <c r="G40" s="136"/>
      <c r="H40" s="137"/>
      <c r="I40" s="138"/>
    </row>
    <row r="41" spans="1:9" ht="18.75" customHeight="1">
      <c r="A41" s="48">
        <v>22</v>
      </c>
      <c r="B41" s="136"/>
      <c r="C41" s="137"/>
      <c r="D41" s="137"/>
      <c r="E41" s="138"/>
      <c r="F41" s="48">
        <v>47</v>
      </c>
      <c r="G41" s="136"/>
      <c r="H41" s="137"/>
      <c r="I41" s="138"/>
    </row>
    <row r="42" spans="1:9" ht="18.75" customHeight="1">
      <c r="A42" s="48">
        <v>23</v>
      </c>
      <c r="B42" s="136"/>
      <c r="C42" s="137"/>
      <c r="D42" s="137"/>
      <c r="E42" s="138"/>
      <c r="F42" s="48">
        <v>48</v>
      </c>
      <c r="G42" s="136"/>
      <c r="H42" s="137"/>
      <c r="I42" s="138"/>
    </row>
    <row r="43" spans="1:9" ht="18.75" customHeight="1">
      <c r="A43" s="48">
        <v>24</v>
      </c>
      <c r="B43" s="136"/>
      <c r="C43" s="137"/>
      <c r="D43" s="137"/>
      <c r="E43" s="138"/>
      <c r="F43" s="48">
        <v>49</v>
      </c>
      <c r="G43" s="136"/>
      <c r="H43" s="137"/>
      <c r="I43" s="138"/>
    </row>
    <row r="44" spans="1:9" ht="18.75" customHeight="1">
      <c r="A44" s="48">
        <v>25</v>
      </c>
      <c r="B44" s="136"/>
      <c r="C44" s="137"/>
      <c r="D44" s="137"/>
      <c r="E44" s="138"/>
      <c r="F44" s="48">
        <v>50</v>
      </c>
      <c r="G44" s="136"/>
      <c r="H44" s="137"/>
      <c r="I44" s="138"/>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I16" sqref="I16"/>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F1" s="151" t="s">
        <v>83</v>
      </c>
      <c r="G1" s="151"/>
      <c r="H1" s="151"/>
      <c r="I1" s="151"/>
      <c r="J1" s="151"/>
      <c r="K1" s="151"/>
      <c r="L1" s="151"/>
      <c r="M1" s="151"/>
      <c r="N1" s="151"/>
      <c r="O1" s="151"/>
      <c r="P1" s="151"/>
      <c r="Q1" s="151"/>
      <c r="R1" s="151"/>
    </row>
    <row r="2" spans="1:20" ht="18.75" customHeight="1">
      <c r="D2" s="58"/>
      <c r="E2" s="58"/>
      <c r="F2" s="58"/>
      <c r="G2" s="58"/>
      <c r="H2" s="58"/>
      <c r="I2" s="58"/>
      <c r="J2" s="58"/>
      <c r="K2" s="151" t="s">
        <v>84</v>
      </c>
      <c r="L2" s="151"/>
      <c r="M2" s="5" t="s">
        <v>69</v>
      </c>
      <c r="N2" s="58"/>
      <c r="O2" s="58"/>
      <c r="P2" s="58"/>
      <c r="Q2" s="58"/>
      <c r="R2" s="58"/>
    </row>
    <row r="3" spans="1:20" ht="7.5" customHeight="1"/>
    <row r="4" spans="1:20" ht="18.75" customHeight="1">
      <c r="A4" s="161" t="s">
        <v>85</v>
      </c>
      <c r="B4" s="161"/>
      <c r="C4" s="161"/>
      <c r="D4" s="161"/>
      <c r="E4" s="161"/>
      <c r="F4" s="161"/>
      <c r="G4" s="161"/>
      <c r="H4" s="161"/>
      <c r="I4" s="161"/>
      <c r="J4" s="161"/>
      <c r="K4" s="161"/>
      <c r="L4" s="161"/>
      <c r="M4" s="161"/>
      <c r="N4" s="161"/>
      <c r="O4" s="161"/>
      <c r="P4" s="161"/>
      <c r="Q4" s="161"/>
      <c r="R4" s="161"/>
      <c r="S4" s="5"/>
    </row>
    <row r="5" spans="1:20" ht="7.5" customHeight="1">
      <c r="A5" s="99"/>
      <c r="B5" s="99"/>
      <c r="C5" s="99"/>
      <c r="D5" s="99"/>
      <c r="E5" s="99"/>
      <c r="F5" s="99"/>
      <c r="G5" s="99"/>
      <c r="H5" s="99"/>
      <c r="I5" s="99"/>
      <c r="J5" s="99"/>
      <c r="K5" s="99"/>
      <c r="L5" s="99"/>
      <c r="M5" s="99"/>
      <c r="N5" s="99"/>
      <c r="O5" s="99"/>
      <c r="P5" s="99"/>
      <c r="Q5" s="99"/>
      <c r="R5" s="99"/>
    </row>
    <row r="6" spans="1:20" ht="18.75" customHeight="1">
      <c r="B6" s="164" t="s">
        <v>86</v>
      </c>
      <c r="C6" s="165"/>
      <c r="D6" s="152" t="s">
        <v>87</v>
      </c>
      <c r="E6" s="154" t="s">
        <v>88</v>
      </c>
      <c r="F6" s="154"/>
      <c r="G6" s="154" t="s">
        <v>89</v>
      </c>
      <c r="H6" s="154"/>
      <c r="I6" s="155" t="s">
        <v>90</v>
      </c>
      <c r="J6" s="156"/>
      <c r="K6" s="155" t="s">
        <v>91</v>
      </c>
      <c r="L6" s="156"/>
      <c r="M6" s="155" t="s">
        <v>92</v>
      </c>
      <c r="N6" s="156"/>
      <c r="O6" s="155" t="s">
        <v>93</v>
      </c>
      <c r="P6" s="156"/>
      <c r="Q6" s="157" t="s">
        <v>94</v>
      </c>
      <c r="R6" s="159" t="s">
        <v>95</v>
      </c>
      <c r="T6" s="59"/>
    </row>
    <row r="7" spans="1:20" ht="18.75" customHeight="1">
      <c r="B7" s="166"/>
      <c r="C7" s="167"/>
      <c r="D7" s="153"/>
      <c r="E7" s="40" t="s">
        <v>96</v>
      </c>
      <c r="F7" s="42" t="s">
        <v>97</v>
      </c>
      <c r="G7" s="43" t="s">
        <v>96</v>
      </c>
      <c r="H7" s="41" t="s">
        <v>97</v>
      </c>
      <c r="I7" s="40" t="s">
        <v>96</v>
      </c>
      <c r="J7" s="42" t="s">
        <v>97</v>
      </c>
      <c r="K7" s="43" t="s">
        <v>96</v>
      </c>
      <c r="L7" s="41" t="s">
        <v>97</v>
      </c>
      <c r="M7" s="40" t="s">
        <v>96</v>
      </c>
      <c r="N7" s="42" t="s">
        <v>97</v>
      </c>
      <c r="O7" s="43" t="s">
        <v>96</v>
      </c>
      <c r="P7" s="41" t="s">
        <v>97</v>
      </c>
      <c r="Q7" s="158"/>
      <c r="R7" s="160"/>
      <c r="T7" s="59"/>
    </row>
    <row r="8" spans="1:20" ht="18.75" customHeight="1">
      <c r="A8" s="60"/>
      <c r="B8" s="172" t="s">
        <v>98</v>
      </c>
      <c r="C8" s="173"/>
      <c r="D8" s="61">
        <v>610</v>
      </c>
      <c r="E8" s="62">
        <v>71</v>
      </c>
      <c r="F8" s="63">
        <v>69</v>
      </c>
      <c r="G8" s="64">
        <v>0</v>
      </c>
      <c r="H8" s="65">
        <v>0</v>
      </c>
      <c r="I8" s="62">
        <v>0</v>
      </c>
      <c r="J8" s="63">
        <v>0</v>
      </c>
      <c r="K8" s="64">
        <v>0</v>
      </c>
      <c r="L8" s="65">
        <v>0</v>
      </c>
      <c r="M8" s="62">
        <v>0</v>
      </c>
      <c r="N8" s="63">
        <v>0</v>
      </c>
      <c r="O8" s="64">
        <v>0</v>
      </c>
      <c r="P8" s="65">
        <v>0</v>
      </c>
      <c r="Q8" s="66">
        <f>E8+G8+I8+K8+M8+O8</f>
        <v>71</v>
      </c>
      <c r="R8" s="67">
        <f>Q8/D8</f>
        <v>0.11639344262295082</v>
      </c>
    </row>
    <row r="9" spans="1:20" ht="18.75" customHeight="1">
      <c r="A9" s="60"/>
      <c r="B9" s="168" t="s">
        <v>99</v>
      </c>
      <c r="C9" s="169"/>
      <c r="D9" s="97">
        <v>550</v>
      </c>
      <c r="E9" s="68">
        <v>99</v>
      </c>
      <c r="F9" s="69">
        <v>91</v>
      </c>
      <c r="G9" s="70">
        <v>0</v>
      </c>
      <c r="H9" s="71">
        <v>0</v>
      </c>
      <c r="I9" s="68">
        <v>0</v>
      </c>
      <c r="J9" s="69">
        <v>0</v>
      </c>
      <c r="K9" s="70">
        <v>0</v>
      </c>
      <c r="L9" s="71">
        <v>0</v>
      </c>
      <c r="M9" s="68">
        <v>0</v>
      </c>
      <c r="N9" s="69">
        <v>0</v>
      </c>
      <c r="O9" s="70">
        <v>0</v>
      </c>
      <c r="P9" s="71">
        <v>0</v>
      </c>
      <c r="Q9" s="72">
        <f t="shared" ref="Q9:Q27" si="0">E9+G9+I9+K9+M9+O9</f>
        <v>99</v>
      </c>
      <c r="R9" s="67">
        <f t="shared" ref="R9:R27" si="1">Q9/D9</f>
        <v>0.18</v>
      </c>
    </row>
    <row r="10" spans="1:20" ht="18.75" customHeight="1">
      <c r="A10" s="60"/>
      <c r="B10" s="168" t="s">
        <v>100</v>
      </c>
      <c r="C10" s="169"/>
      <c r="D10" s="97">
        <v>1810</v>
      </c>
      <c r="E10" s="68">
        <v>442</v>
      </c>
      <c r="F10" s="69">
        <v>413</v>
      </c>
      <c r="G10" s="70">
        <v>0</v>
      </c>
      <c r="H10" s="71">
        <v>0</v>
      </c>
      <c r="I10" s="68">
        <v>0</v>
      </c>
      <c r="J10" s="69">
        <v>0</v>
      </c>
      <c r="K10" s="70">
        <v>0</v>
      </c>
      <c r="L10" s="71">
        <v>0</v>
      </c>
      <c r="M10" s="68">
        <v>0</v>
      </c>
      <c r="N10" s="69">
        <v>0</v>
      </c>
      <c r="O10" s="70">
        <v>0</v>
      </c>
      <c r="P10" s="71">
        <v>0</v>
      </c>
      <c r="Q10" s="72">
        <f t="shared" si="0"/>
        <v>442</v>
      </c>
      <c r="R10" s="67">
        <f t="shared" si="1"/>
        <v>0.24419889502762432</v>
      </c>
    </row>
    <row r="11" spans="1:20" ht="18.75" customHeight="1">
      <c r="A11" s="60"/>
      <c r="B11" s="168" t="s">
        <v>101</v>
      </c>
      <c r="C11" s="169"/>
      <c r="D11" s="97">
        <v>730</v>
      </c>
      <c r="E11" s="68">
        <v>51</v>
      </c>
      <c r="F11" s="69">
        <v>45</v>
      </c>
      <c r="G11" s="70">
        <v>0</v>
      </c>
      <c r="H11" s="71">
        <v>0</v>
      </c>
      <c r="I11" s="68">
        <v>0</v>
      </c>
      <c r="J11" s="69">
        <v>0</v>
      </c>
      <c r="K11" s="70">
        <v>0</v>
      </c>
      <c r="L11" s="71">
        <v>0</v>
      </c>
      <c r="M11" s="68">
        <v>0</v>
      </c>
      <c r="N11" s="69">
        <v>0</v>
      </c>
      <c r="O11" s="70">
        <v>0</v>
      </c>
      <c r="P11" s="71">
        <v>0</v>
      </c>
      <c r="Q11" s="72">
        <f t="shared" si="0"/>
        <v>51</v>
      </c>
      <c r="R11" s="67">
        <f t="shared" si="1"/>
        <v>6.9863013698630141E-2</v>
      </c>
    </row>
    <row r="12" spans="1:20" ht="18.75" customHeight="1">
      <c r="A12" s="60"/>
      <c r="B12" s="168" t="s">
        <v>102</v>
      </c>
      <c r="C12" s="169"/>
      <c r="D12" s="97">
        <v>815</v>
      </c>
      <c r="E12" s="68">
        <v>0</v>
      </c>
      <c r="F12" s="69">
        <v>0</v>
      </c>
      <c r="G12" s="70">
        <v>0</v>
      </c>
      <c r="H12" s="71">
        <v>0</v>
      </c>
      <c r="I12" s="68">
        <v>0</v>
      </c>
      <c r="J12" s="69">
        <v>0</v>
      </c>
      <c r="K12" s="70">
        <v>0</v>
      </c>
      <c r="L12" s="71">
        <v>0</v>
      </c>
      <c r="M12" s="68">
        <v>0</v>
      </c>
      <c r="N12" s="69">
        <v>0</v>
      </c>
      <c r="O12" s="70">
        <v>0</v>
      </c>
      <c r="P12" s="71">
        <v>0</v>
      </c>
      <c r="Q12" s="72">
        <f t="shared" si="0"/>
        <v>0</v>
      </c>
      <c r="R12" s="67">
        <f t="shared" si="1"/>
        <v>0</v>
      </c>
    </row>
    <row r="13" spans="1:20" ht="18.75" customHeight="1">
      <c r="A13" s="60"/>
      <c r="B13" s="168" t="s">
        <v>103</v>
      </c>
      <c r="C13" s="169"/>
      <c r="D13" s="97">
        <v>940</v>
      </c>
      <c r="E13" s="68">
        <v>0</v>
      </c>
      <c r="F13" s="69">
        <v>0</v>
      </c>
      <c r="G13" s="70">
        <v>0</v>
      </c>
      <c r="H13" s="71">
        <v>0</v>
      </c>
      <c r="I13" s="68">
        <v>0</v>
      </c>
      <c r="J13" s="69">
        <v>0</v>
      </c>
      <c r="K13" s="70">
        <v>0</v>
      </c>
      <c r="L13" s="71">
        <v>0</v>
      </c>
      <c r="M13" s="68">
        <v>0</v>
      </c>
      <c r="N13" s="69">
        <v>0</v>
      </c>
      <c r="O13" s="70">
        <v>0</v>
      </c>
      <c r="P13" s="71">
        <v>0</v>
      </c>
      <c r="Q13" s="72">
        <f t="shared" si="0"/>
        <v>0</v>
      </c>
      <c r="R13" s="67">
        <f t="shared" si="1"/>
        <v>0</v>
      </c>
    </row>
    <row r="14" spans="1:20" ht="18.75" customHeight="1">
      <c r="A14" s="60"/>
      <c r="B14" s="168" t="s">
        <v>104</v>
      </c>
      <c r="C14" s="169"/>
      <c r="D14" s="97">
        <v>1198</v>
      </c>
      <c r="E14" s="68">
        <v>234</v>
      </c>
      <c r="F14" s="69">
        <v>226</v>
      </c>
      <c r="G14" s="70">
        <v>0</v>
      </c>
      <c r="H14" s="71">
        <v>0</v>
      </c>
      <c r="I14" s="68">
        <v>0</v>
      </c>
      <c r="J14" s="69">
        <v>0</v>
      </c>
      <c r="K14" s="70">
        <v>0</v>
      </c>
      <c r="L14" s="71">
        <v>0</v>
      </c>
      <c r="M14" s="68">
        <v>0</v>
      </c>
      <c r="N14" s="69">
        <v>0</v>
      </c>
      <c r="O14" s="70">
        <v>0</v>
      </c>
      <c r="P14" s="71">
        <v>0</v>
      </c>
      <c r="Q14" s="72">
        <f t="shared" si="0"/>
        <v>234</v>
      </c>
      <c r="R14" s="67">
        <f t="shared" si="1"/>
        <v>0.19532554257095158</v>
      </c>
    </row>
    <row r="15" spans="1:20" ht="18.75" customHeight="1">
      <c r="A15" s="60"/>
      <c r="B15" s="168" t="s">
        <v>105</v>
      </c>
      <c r="C15" s="169"/>
      <c r="D15" s="97">
        <v>478</v>
      </c>
      <c r="E15" s="68">
        <v>92</v>
      </c>
      <c r="F15" s="69">
        <v>89</v>
      </c>
      <c r="G15" s="70">
        <v>0</v>
      </c>
      <c r="H15" s="71">
        <v>0</v>
      </c>
      <c r="I15" s="68">
        <v>0</v>
      </c>
      <c r="J15" s="69">
        <v>0</v>
      </c>
      <c r="K15" s="70">
        <v>0</v>
      </c>
      <c r="L15" s="71">
        <v>0</v>
      </c>
      <c r="M15" s="68">
        <v>0</v>
      </c>
      <c r="N15" s="69">
        <v>0</v>
      </c>
      <c r="O15" s="70">
        <v>0</v>
      </c>
      <c r="P15" s="71">
        <v>0</v>
      </c>
      <c r="Q15" s="72">
        <f t="shared" si="0"/>
        <v>92</v>
      </c>
      <c r="R15" s="67">
        <f t="shared" si="1"/>
        <v>0.19246861924686193</v>
      </c>
    </row>
    <row r="16" spans="1:20" ht="18.75" customHeight="1">
      <c r="A16" s="60"/>
      <c r="B16" s="168" t="s">
        <v>106</v>
      </c>
      <c r="C16" s="169"/>
      <c r="D16" s="97">
        <v>316</v>
      </c>
      <c r="E16" s="68">
        <v>64</v>
      </c>
      <c r="F16" s="69">
        <v>61</v>
      </c>
      <c r="G16" s="70">
        <v>0</v>
      </c>
      <c r="H16" s="71">
        <v>0</v>
      </c>
      <c r="I16" s="68">
        <v>0</v>
      </c>
      <c r="J16" s="69">
        <v>0</v>
      </c>
      <c r="K16" s="70">
        <v>0</v>
      </c>
      <c r="L16" s="71">
        <v>0</v>
      </c>
      <c r="M16" s="68">
        <v>0</v>
      </c>
      <c r="N16" s="69">
        <v>0</v>
      </c>
      <c r="O16" s="70">
        <v>0</v>
      </c>
      <c r="P16" s="71">
        <v>0</v>
      </c>
      <c r="Q16" s="72">
        <f>E16+G16+I16+K16+M16+O16</f>
        <v>64</v>
      </c>
      <c r="R16" s="67">
        <f t="shared" si="1"/>
        <v>0.20253164556962025</v>
      </c>
    </row>
    <row r="17" spans="1:18" ht="18.75" customHeight="1">
      <c r="A17" s="60"/>
      <c r="B17" s="168" t="s">
        <v>107</v>
      </c>
      <c r="C17" s="169"/>
      <c r="D17" s="97">
        <v>1850</v>
      </c>
      <c r="E17" s="68">
        <v>321</v>
      </c>
      <c r="F17" s="69">
        <v>306</v>
      </c>
      <c r="G17" s="70">
        <v>0</v>
      </c>
      <c r="H17" s="71">
        <v>0</v>
      </c>
      <c r="I17" s="68">
        <v>0</v>
      </c>
      <c r="J17" s="69">
        <v>0</v>
      </c>
      <c r="K17" s="70">
        <v>0</v>
      </c>
      <c r="L17" s="71">
        <v>0</v>
      </c>
      <c r="M17" s="68">
        <v>0</v>
      </c>
      <c r="N17" s="69">
        <v>0</v>
      </c>
      <c r="O17" s="70">
        <v>0</v>
      </c>
      <c r="P17" s="71">
        <v>0</v>
      </c>
      <c r="Q17" s="72">
        <f t="shared" si="0"/>
        <v>321</v>
      </c>
      <c r="R17" s="67">
        <f t="shared" si="1"/>
        <v>0.17351351351351352</v>
      </c>
    </row>
    <row r="18" spans="1:18" ht="18.75" customHeight="1">
      <c r="A18" s="60"/>
      <c r="B18" s="168" t="s">
        <v>108</v>
      </c>
      <c r="C18" s="169"/>
      <c r="D18" s="97">
        <v>380</v>
      </c>
      <c r="E18" s="68">
        <v>91</v>
      </c>
      <c r="F18" s="69">
        <v>86</v>
      </c>
      <c r="G18" s="70">
        <v>0</v>
      </c>
      <c r="H18" s="71">
        <v>0</v>
      </c>
      <c r="I18" s="68">
        <v>0</v>
      </c>
      <c r="J18" s="69">
        <v>0</v>
      </c>
      <c r="K18" s="70">
        <v>0</v>
      </c>
      <c r="L18" s="71">
        <v>0</v>
      </c>
      <c r="M18" s="68">
        <v>0</v>
      </c>
      <c r="N18" s="69">
        <v>0</v>
      </c>
      <c r="O18" s="70">
        <v>0</v>
      </c>
      <c r="P18" s="71">
        <v>0</v>
      </c>
      <c r="Q18" s="72">
        <f t="shared" si="0"/>
        <v>91</v>
      </c>
      <c r="R18" s="67">
        <f t="shared" si="1"/>
        <v>0.23947368421052631</v>
      </c>
    </row>
    <row r="19" spans="1:18" ht="18.75" customHeight="1">
      <c r="A19" s="60"/>
      <c r="B19" s="168" t="s">
        <v>109</v>
      </c>
      <c r="C19" s="169"/>
      <c r="D19" s="97">
        <v>245</v>
      </c>
      <c r="E19" s="68">
        <v>0</v>
      </c>
      <c r="F19" s="69">
        <v>0</v>
      </c>
      <c r="G19" s="70">
        <v>0</v>
      </c>
      <c r="H19" s="71">
        <v>0</v>
      </c>
      <c r="I19" s="68">
        <v>0</v>
      </c>
      <c r="J19" s="69">
        <v>0</v>
      </c>
      <c r="K19" s="70">
        <v>0</v>
      </c>
      <c r="L19" s="71">
        <v>0</v>
      </c>
      <c r="M19" s="68">
        <v>0</v>
      </c>
      <c r="N19" s="69">
        <v>0</v>
      </c>
      <c r="O19" s="70">
        <v>0</v>
      </c>
      <c r="P19" s="71">
        <v>0</v>
      </c>
      <c r="Q19" s="72">
        <f t="shared" si="0"/>
        <v>0</v>
      </c>
      <c r="R19" s="67">
        <f t="shared" si="1"/>
        <v>0</v>
      </c>
    </row>
    <row r="20" spans="1:18" ht="18.75" customHeight="1">
      <c r="A20" s="60"/>
      <c r="B20" s="168"/>
      <c r="C20" s="169"/>
      <c r="D20" s="97"/>
      <c r="E20" s="68"/>
      <c r="F20" s="69"/>
      <c r="G20" s="70"/>
      <c r="H20" s="71"/>
      <c r="I20" s="68"/>
      <c r="J20" s="69"/>
      <c r="K20" s="70"/>
      <c r="L20" s="71"/>
      <c r="M20" s="68"/>
      <c r="N20" s="69"/>
      <c r="O20" s="70"/>
      <c r="P20" s="71"/>
      <c r="Q20" s="72">
        <f t="shared" si="0"/>
        <v>0</v>
      </c>
      <c r="R20" s="67" t="e">
        <f t="shared" si="1"/>
        <v>#DIV/0!</v>
      </c>
    </row>
    <row r="21" spans="1:18" ht="18.75" customHeight="1">
      <c r="A21" s="60"/>
      <c r="B21" s="168"/>
      <c r="C21" s="169"/>
      <c r="D21" s="97"/>
      <c r="E21" s="68"/>
      <c r="F21" s="69"/>
      <c r="G21" s="70"/>
      <c r="H21" s="71"/>
      <c r="I21" s="68"/>
      <c r="J21" s="69"/>
      <c r="K21" s="70"/>
      <c r="L21" s="71"/>
      <c r="M21" s="68"/>
      <c r="N21" s="69"/>
      <c r="O21" s="70"/>
      <c r="P21" s="71"/>
      <c r="Q21" s="72">
        <f t="shared" si="0"/>
        <v>0</v>
      </c>
      <c r="R21" s="67" t="e">
        <f t="shared" si="1"/>
        <v>#DIV/0!</v>
      </c>
    </row>
    <row r="22" spans="1:18" ht="18.75" customHeight="1">
      <c r="A22" s="60"/>
      <c r="B22" s="168"/>
      <c r="C22" s="169"/>
      <c r="D22" s="97"/>
      <c r="E22" s="68"/>
      <c r="F22" s="69"/>
      <c r="G22" s="70"/>
      <c r="H22" s="71"/>
      <c r="I22" s="68"/>
      <c r="J22" s="69"/>
      <c r="K22" s="70"/>
      <c r="L22" s="71"/>
      <c r="M22" s="68"/>
      <c r="N22" s="69"/>
      <c r="O22" s="70"/>
      <c r="P22" s="71"/>
      <c r="Q22" s="72">
        <f t="shared" si="0"/>
        <v>0</v>
      </c>
      <c r="R22" s="67" t="e">
        <f t="shared" si="1"/>
        <v>#DIV/0!</v>
      </c>
    </row>
    <row r="23" spans="1:18" ht="18.75" customHeight="1">
      <c r="A23" s="60"/>
      <c r="B23" s="168"/>
      <c r="C23" s="169"/>
      <c r="D23" s="97"/>
      <c r="E23" s="68"/>
      <c r="F23" s="69"/>
      <c r="G23" s="70"/>
      <c r="H23" s="71"/>
      <c r="I23" s="68"/>
      <c r="J23" s="69"/>
      <c r="K23" s="70"/>
      <c r="L23" s="71"/>
      <c r="M23" s="68"/>
      <c r="N23" s="69"/>
      <c r="O23" s="70"/>
      <c r="P23" s="71"/>
      <c r="Q23" s="72">
        <f t="shared" si="0"/>
        <v>0</v>
      </c>
      <c r="R23" s="67" t="e">
        <f t="shared" si="1"/>
        <v>#DIV/0!</v>
      </c>
    </row>
    <row r="24" spans="1:18" ht="18.75" customHeight="1">
      <c r="A24" s="60"/>
      <c r="B24" s="168"/>
      <c r="C24" s="169"/>
      <c r="D24" s="97"/>
      <c r="E24" s="68"/>
      <c r="F24" s="69"/>
      <c r="G24" s="70"/>
      <c r="H24" s="71"/>
      <c r="I24" s="68"/>
      <c r="J24" s="69"/>
      <c r="K24" s="70"/>
      <c r="L24" s="71"/>
      <c r="M24" s="68"/>
      <c r="N24" s="69"/>
      <c r="O24" s="70"/>
      <c r="P24" s="71"/>
      <c r="Q24" s="72">
        <f t="shared" si="0"/>
        <v>0</v>
      </c>
      <c r="R24" s="67" t="e">
        <f t="shared" si="1"/>
        <v>#DIV/0!</v>
      </c>
    </row>
    <row r="25" spans="1:18" ht="18.75" customHeight="1">
      <c r="A25" s="60"/>
      <c r="B25" s="168"/>
      <c r="C25" s="169"/>
      <c r="D25" s="97"/>
      <c r="E25" s="68"/>
      <c r="F25" s="69"/>
      <c r="G25" s="70"/>
      <c r="H25" s="71"/>
      <c r="I25" s="68"/>
      <c r="J25" s="69"/>
      <c r="K25" s="70"/>
      <c r="L25" s="71"/>
      <c r="M25" s="68"/>
      <c r="N25" s="69"/>
      <c r="O25" s="70"/>
      <c r="P25" s="71"/>
      <c r="Q25" s="72">
        <f t="shared" si="0"/>
        <v>0</v>
      </c>
      <c r="R25" s="67" t="e">
        <f t="shared" si="1"/>
        <v>#DIV/0!</v>
      </c>
    </row>
    <row r="26" spans="1:18" ht="18.75" customHeight="1">
      <c r="A26" s="60"/>
      <c r="B26" s="168"/>
      <c r="C26" s="169"/>
      <c r="D26" s="97"/>
      <c r="E26" s="68"/>
      <c r="F26" s="69"/>
      <c r="G26" s="70"/>
      <c r="H26" s="71"/>
      <c r="I26" s="68"/>
      <c r="J26" s="69"/>
      <c r="K26" s="70"/>
      <c r="L26" s="71"/>
      <c r="M26" s="68"/>
      <c r="N26" s="69"/>
      <c r="O26" s="70"/>
      <c r="P26" s="71"/>
      <c r="Q26" s="72">
        <f t="shared" si="0"/>
        <v>0</v>
      </c>
      <c r="R26" s="67" t="e">
        <f t="shared" si="1"/>
        <v>#DIV/0!</v>
      </c>
    </row>
    <row r="27" spans="1:18" ht="18.75" customHeight="1" thickBot="1">
      <c r="A27" s="60"/>
      <c r="B27" s="170"/>
      <c r="C27" s="171"/>
      <c r="D27" s="61"/>
      <c r="E27" s="62"/>
      <c r="F27" s="63"/>
      <c r="G27" s="64"/>
      <c r="H27" s="65"/>
      <c r="I27" s="62"/>
      <c r="J27" s="63"/>
      <c r="K27" s="64"/>
      <c r="L27" s="65"/>
      <c r="M27" s="62"/>
      <c r="N27" s="63"/>
      <c r="O27" s="64"/>
      <c r="P27" s="65"/>
      <c r="Q27" s="73">
        <f t="shared" si="0"/>
        <v>0</v>
      </c>
      <c r="R27" s="67" t="e">
        <f t="shared" si="1"/>
        <v>#DIV/0!</v>
      </c>
    </row>
    <row r="28" spans="1:18" ht="18.75" customHeight="1" thickTop="1">
      <c r="A28" s="60"/>
      <c r="B28" s="162" t="s">
        <v>110</v>
      </c>
      <c r="C28" s="163"/>
      <c r="D28" s="74">
        <f t="shared" ref="D28:Q28" si="2">SUM(D8:D27)</f>
        <v>9922</v>
      </c>
      <c r="E28" s="75">
        <f t="shared" si="2"/>
        <v>1465</v>
      </c>
      <c r="F28" s="76">
        <f t="shared" si="2"/>
        <v>1386</v>
      </c>
      <c r="G28" s="77">
        <f t="shared" si="2"/>
        <v>0</v>
      </c>
      <c r="H28" s="78">
        <f t="shared" si="2"/>
        <v>0</v>
      </c>
      <c r="I28" s="75">
        <f t="shared" si="2"/>
        <v>0</v>
      </c>
      <c r="J28" s="76">
        <f t="shared" si="2"/>
        <v>0</v>
      </c>
      <c r="K28" s="77">
        <f t="shared" si="2"/>
        <v>0</v>
      </c>
      <c r="L28" s="78">
        <f t="shared" si="2"/>
        <v>0</v>
      </c>
      <c r="M28" s="75">
        <f t="shared" si="2"/>
        <v>0</v>
      </c>
      <c r="N28" s="76">
        <f t="shared" si="2"/>
        <v>0</v>
      </c>
      <c r="O28" s="77">
        <f t="shared" si="2"/>
        <v>0</v>
      </c>
      <c r="P28" s="78">
        <f t="shared" si="2"/>
        <v>0</v>
      </c>
      <c r="Q28" s="79">
        <f t="shared" si="2"/>
        <v>1465</v>
      </c>
      <c r="R28" s="80">
        <f>Q28/D28</f>
        <v>0.14765168312840155</v>
      </c>
    </row>
    <row r="29" spans="1:18" ht="6.75" customHeight="1">
      <c r="A29" s="60"/>
      <c r="B29" s="60"/>
      <c r="C29" s="60"/>
      <c r="D29" s="81"/>
      <c r="E29" s="81"/>
      <c r="F29" s="81"/>
      <c r="G29" s="81"/>
      <c r="H29" s="81"/>
      <c r="I29" s="81"/>
      <c r="J29" s="81"/>
      <c r="K29" s="81"/>
      <c r="L29" s="81"/>
      <c r="M29" s="81"/>
      <c r="N29" s="81"/>
      <c r="O29" s="81"/>
      <c r="P29" s="81"/>
      <c r="Q29" s="81"/>
      <c r="R29" s="81"/>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opLeftCell="A133" workbookViewId="0">
      <selection activeCell="E138" sqref="E138:G138"/>
    </sheetView>
  </sheetViews>
  <sheetFormatPr defaultColWidth="9" defaultRowHeight="14.25"/>
  <cols>
    <col min="1" max="1" width="2.5" style="86" customWidth="1"/>
    <col min="2" max="2" width="19" style="86" customWidth="1"/>
    <col min="3" max="3" width="25" style="86" customWidth="1"/>
    <col min="4" max="4" width="10" style="86" customWidth="1"/>
    <col min="5" max="7" width="25" style="86" customWidth="1"/>
    <col min="8" max="16384" width="9" style="86"/>
  </cols>
  <sheetData>
    <row r="1" spans="1:7" ht="18.75" customHeight="1">
      <c r="G1" s="87" t="s">
        <v>111</v>
      </c>
    </row>
    <row r="2" spans="1:7" ht="18.75" customHeight="1">
      <c r="F2" s="87" t="s">
        <v>68</v>
      </c>
      <c r="G2" s="86" t="s">
        <v>69</v>
      </c>
    </row>
    <row r="3" spans="1:7" ht="18.75" customHeight="1">
      <c r="A3" s="180" t="s">
        <v>112</v>
      </c>
      <c r="B3" s="180"/>
      <c r="C3" s="180"/>
      <c r="D3" s="180"/>
      <c r="E3" s="180"/>
      <c r="F3" s="180"/>
      <c r="G3" s="180"/>
    </row>
    <row r="4" spans="1:7" ht="18.75" customHeight="1">
      <c r="A4" s="86" t="s">
        <v>2</v>
      </c>
      <c r="B4" s="86" t="s">
        <v>113</v>
      </c>
    </row>
    <row r="5" spans="1:7" s="88" customFormat="1" ht="18.75" customHeight="1">
      <c r="A5" s="101"/>
      <c r="B5" s="102" t="s">
        <v>114</v>
      </c>
      <c r="C5" s="181" t="s">
        <v>115</v>
      </c>
      <c r="D5" s="182"/>
      <c r="E5" s="182"/>
      <c r="F5" s="182"/>
      <c r="G5" s="183"/>
    </row>
    <row r="6" spans="1:7" s="88" customFormat="1" ht="45" customHeight="1">
      <c r="A6" s="101"/>
      <c r="B6" s="208" t="s">
        <v>116</v>
      </c>
      <c r="C6" s="184" t="s">
        <v>117</v>
      </c>
      <c r="D6" s="185"/>
      <c r="E6" s="185"/>
      <c r="F6" s="185"/>
      <c r="G6" s="186"/>
    </row>
    <row r="7" spans="1:7" s="88" customFormat="1" ht="45" customHeight="1">
      <c r="A7" s="101"/>
      <c r="B7" s="209"/>
      <c r="C7" s="187"/>
      <c r="D7" s="188"/>
      <c r="E7" s="188"/>
      <c r="F7" s="188"/>
      <c r="G7" s="189"/>
    </row>
    <row r="8" spans="1:7" s="88" customFormat="1" ht="45" customHeight="1">
      <c r="A8" s="101"/>
      <c r="B8" s="209"/>
      <c r="C8" s="187"/>
      <c r="D8" s="188"/>
      <c r="E8" s="188"/>
      <c r="F8" s="188"/>
      <c r="G8" s="189"/>
    </row>
    <row r="9" spans="1:7" s="88" customFormat="1" ht="45" customHeight="1">
      <c r="A9" s="101"/>
      <c r="B9" s="209"/>
      <c r="C9" s="190"/>
      <c r="D9" s="191"/>
      <c r="E9" s="191"/>
      <c r="F9" s="191"/>
      <c r="G9" s="192"/>
    </row>
    <row r="10" spans="1:7" s="88" customFormat="1" ht="18.75" customHeight="1">
      <c r="A10" s="101"/>
      <c r="B10" s="209"/>
      <c r="C10" s="89" t="s">
        <v>118</v>
      </c>
      <c r="D10" s="228" t="s">
        <v>119</v>
      </c>
      <c r="E10" s="229"/>
      <c r="F10" s="229"/>
      <c r="G10" s="230"/>
    </row>
    <row r="11" spans="1:7" s="88" customFormat="1" ht="18.75" customHeight="1">
      <c r="A11" s="101"/>
      <c r="B11" s="209"/>
      <c r="C11" s="100" t="s">
        <v>120</v>
      </c>
      <c r="D11" s="177" t="s">
        <v>121</v>
      </c>
      <c r="E11" s="178"/>
      <c r="F11" s="178"/>
      <c r="G11" s="179"/>
    </row>
    <row r="12" spans="1:7" s="88" customFormat="1" ht="18.75" customHeight="1">
      <c r="A12" s="101"/>
      <c r="B12" s="209"/>
      <c r="C12" s="100"/>
      <c r="D12" s="177"/>
      <c r="E12" s="178"/>
      <c r="F12" s="178"/>
      <c r="G12" s="179"/>
    </row>
    <row r="13" spans="1:7" s="88" customFormat="1" ht="18.75" customHeight="1">
      <c r="A13" s="101"/>
      <c r="B13" s="209"/>
      <c r="C13" s="100"/>
      <c r="D13" s="177"/>
      <c r="E13" s="178"/>
      <c r="F13" s="178"/>
      <c r="G13" s="179"/>
    </row>
    <row r="14" spans="1:7" s="88" customFormat="1" ht="18.75" customHeight="1">
      <c r="A14" s="101"/>
      <c r="B14" s="209"/>
      <c r="C14" s="100"/>
      <c r="D14" s="177"/>
      <c r="E14" s="178"/>
      <c r="F14" s="178"/>
      <c r="G14" s="179"/>
    </row>
    <row r="15" spans="1:7" s="88" customFormat="1" ht="18.75" customHeight="1">
      <c r="A15" s="101"/>
      <c r="B15" s="209"/>
      <c r="C15" s="102"/>
      <c r="D15" s="181"/>
      <c r="E15" s="182"/>
      <c r="F15" s="182"/>
      <c r="G15" s="183"/>
    </row>
    <row r="16" spans="1:7" s="88" customFormat="1" ht="18.75" customHeight="1">
      <c r="A16" s="101"/>
      <c r="B16" s="209"/>
      <c r="C16" s="102"/>
      <c r="D16" s="181"/>
      <c r="E16" s="182"/>
      <c r="F16" s="182"/>
      <c r="G16" s="183"/>
    </row>
    <row r="17" spans="2:7" s="88" customFormat="1" ht="18.75" customHeight="1">
      <c r="B17" s="209"/>
      <c r="C17" s="102"/>
      <c r="D17" s="181"/>
      <c r="E17" s="182"/>
      <c r="F17" s="182"/>
      <c r="G17" s="183"/>
    </row>
    <row r="18" spans="2:7" s="88" customFormat="1" ht="18.75" customHeight="1">
      <c r="B18" s="209"/>
      <c r="C18" s="102"/>
      <c r="D18" s="181"/>
      <c r="E18" s="182"/>
      <c r="F18" s="182"/>
      <c r="G18" s="183"/>
    </row>
    <row r="19" spans="2:7" s="88" customFormat="1" ht="18.75" customHeight="1">
      <c r="B19" s="209"/>
      <c r="C19" s="102"/>
      <c r="D19" s="181"/>
      <c r="E19" s="182"/>
      <c r="F19" s="182"/>
      <c r="G19" s="183"/>
    </row>
    <row r="20" spans="2:7" s="88" customFormat="1" ht="18.75" customHeight="1">
      <c r="B20" s="209"/>
      <c r="C20" s="102"/>
      <c r="D20" s="181"/>
      <c r="E20" s="182"/>
      <c r="F20" s="182"/>
      <c r="G20" s="183"/>
    </row>
    <row r="21" spans="2:7" s="88" customFormat="1" ht="18.75" customHeight="1">
      <c r="B21" s="209"/>
      <c r="C21" s="102"/>
      <c r="D21" s="181"/>
      <c r="E21" s="182"/>
      <c r="F21" s="182"/>
      <c r="G21" s="183"/>
    </row>
    <row r="22" spans="2:7" s="88" customFormat="1" ht="18.75" customHeight="1">
      <c r="B22" s="209"/>
      <c r="C22" s="102"/>
      <c r="D22" s="181"/>
      <c r="E22" s="182"/>
      <c r="F22" s="182"/>
      <c r="G22" s="183"/>
    </row>
    <row r="23" spans="2:7" s="88" customFormat="1" ht="18.75" customHeight="1">
      <c r="B23" s="209"/>
      <c r="C23" s="102"/>
      <c r="D23" s="181"/>
      <c r="E23" s="182"/>
      <c r="F23" s="182"/>
      <c r="G23" s="183"/>
    </row>
    <row r="24" spans="2:7" s="88" customFormat="1" ht="18.75" customHeight="1">
      <c r="B24" s="209"/>
      <c r="C24" s="102"/>
      <c r="D24" s="181"/>
      <c r="E24" s="182"/>
      <c r="F24" s="182"/>
      <c r="G24" s="183"/>
    </row>
    <row r="25" spans="2:7" s="88" customFormat="1" ht="18.75" customHeight="1">
      <c r="B25" s="209"/>
      <c r="C25" s="102"/>
      <c r="D25" s="181"/>
      <c r="E25" s="182"/>
      <c r="F25" s="182"/>
      <c r="G25" s="183"/>
    </row>
    <row r="26" spans="2:7" ht="18.75" customHeight="1">
      <c r="B26" s="208" t="s">
        <v>122</v>
      </c>
      <c r="C26" s="181" t="s">
        <v>115</v>
      </c>
      <c r="D26" s="182"/>
      <c r="E26" s="182"/>
      <c r="F26" s="182"/>
      <c r="G26" s="183"/>
    </row>
    <row r="27" spans="2:7" ht="37.5" customHeight="1">
      <c r="B27" s="209"/>
      <c r="C27" s="211" t="s">
        <v>123</v>
      </c>
      <c r="D27" s="212"/>
      <c r="E27" s="212"/>
      <c r="F27" s="212"/>
      <c r="G27" s="213"/>
    </row>
    <row r="28" spans="2:7" ht="37.5" customHeight="1">
      <c r="B28" s="209"/>
      <c r="C28" s="214"/>
      <c r="D28" s="215"/>
      <c r="E28" s="215"/>
      <c r="F28" s="215"/>
      <c r="G28" s="216"/>
    </row>
    <row r="29" spans="2:7" ht="37.5" customHeight="1">
      <c r="B29" s="209"/>
      <c r="C29" s="214"/>
      <c r="D29" s="215"/>
      <c r="E29" s="215"/>
      <c r="F29" s="215"/>
      <c r="G29" s="216"/>
    </row>
    <row r="30" spans="2:7" ht="37.5" customHeight="1">
      <c r="B30" s="209"/>
      <c r="C30" s="214"/>
      <c r="D30" s="215"/>
      <c r="E30" s="215"/>
      <c r="F30" s="215"/>
      <c r="G30" s="216"/>
    </row>
    <row r="31" spans="2:7" ht="37.5" customHeight="1">
      <c r="B31" s="209"/>
      <c r="C31" s="217"/>
      <c r="D31" s="218"/>
      <c r="E31" s="218"/>
      <c r="F31" s="218"/>
      <c r="G31" s="219"/>
    </row>
    <row r="32" spans="2:7" ht="18.75" customHeight="1">
      <c r="B32" s="209"/>
      <c r="C32" s="89" t="s">
        <v>118</v>
      </c>
      <c r="D32" s="181" t="s">
        <v>119</v>
      </c>
      <c r="E32" s="182"/>
      <c r="F32" s="182"/>
      <c r="G32" s="183"/>
    </row>
    <row r="33" spans="2:7" ht="18.75" customHeight="1">
      <c r="B33" s="209"/>
      <c r="C33" s="100" t="s">
        <v>120</v>
      </c>
      <c r="D33" s="177" t="s">
        <v>124</v>
      </c>
      <c r="E33" s="178"/>
      <c r="F33" s="178"/>
      <c r="G33" s="179"/>
    </row>
    <row r="34" spans="2:7" ht="18.75" customHeight="1">
      <c r="B34" s="209"/>
      <c r="C34" s="102"/>
      <c r="D34" s="174"/>
      <c r="E34" s="175"/>
      <c r="F34" s="175"/>
      <c r="G34" s="176"/>
    </row>
    <row r="35" spans="2:7" ht="18.75" customHeight="1">
      <c r="B35" s="209"/>
      <c r="C35" s="102"/>
      <c r="D35" s="174"/>
      <c r="E35" s="175"/>
      <c r="F35" s="175"/>
      <c r="G35" s="176"/>
    </row>
    <row r="36" spans="2:7" ht="18.75" customHeight="1">
      <c r="B36" s="209"/>
      <c r="C36" s="102"/>
      <c r="D36" s="174"/>
      <c r="E36" s="175"/>
      <c r="F36" s="175"/>
      <c r="G36" s="176"/>
    </row>
    <row r="37" spans="2:7" ht="18.75" customHeight="1">
      <c r="B37" s="209"/>
      <c r="C37" s="102"/>
      <c r="D37" s="174"/>
      <c r="E37" s="175"/>
      <c r="F37" s="175"/>
      <c r="G37" s="176"/>
    </row>
    <row r="38" spans="2:7" ht="18.75" customHeight="1">
      <c r="B38" s="209"/>
      <c r="C38" s="102"/>
      <c r="D38" s="174"/>
      <c r="E38" s="175"/>
      <c r="F38" s="175"/>
      <c r="G38" s="176"/>
    </row>
    <row r="39" spans="2:7" ht="18.75" customHeight="1">
      <c r="B39" s="209"/>
      <c r="C39" s="102"/>
      <c r="D39" s="174"/>
      <c r="E39" s="175"/>
      <c r="F39" s="175"/>
      <c r="G39" s="176"/>
    </row>
    <row r="40" spans="2:7" ht="18.75" customHeight="1">
      <c r="B40" s="209"/>
      <c r="C40" s="102"/>
      <c r="D40" s="174"/>
      <c r="E40" s="175"/>
      <c r="F40" s="175"/>
      <c r="G40" s="176"/>
    </row>
    <row r="41" spans="2:7" ht="18.75" customHeight="1">
      <c r="B41" s="209"/>
      <c r="C41" s="102"/>
      <c r="D41" s="174"/>
      <c r="E41" s="175"/>
      <c r="F41" s="175"/>
      <c r="G41" s="176"/>
    </row>
    <row r="42" spans="2:7" ht="18.75" customHeight="1">
      <c r="B42" s="209"/>
      <c r="C42" s="102"/>
      <c r="D42" s="174"/>
      <c r="E42" s="175"/>
      <c r="F42" s="175"/>
      <c r="G42" s="176"/>
    </row>
    <row r="43" spans="2:7" ht="18.75" customHeight="1">
      <c r="B43" s="209"/>
      <c r="C43" s="102"/>
      <c r="D43" s="174"/>
      <c r="E43" s="175"/>
      <c r="F43" s="175"/>
      <c r="G43" s="176"/>
    </row>
    <row r="44" spans="2:7" ht="18.75" customHeight="1">
      <c r="B44" s="209"/>
      <c r="C44" s="102"/>
      <c r="D44" s="174"/>
      <c r="E44" s="175"/>
      <c r="F44" s="175"/>
      <c r="G44" s="176"/>
    </row>
    <row r="45" spans="2:7" ht="18.75" customHeight="1">
      <c r="B45" s="209"/>
      <c r="C45" s="102"/>
      <c r="D45" s="174"/>
      <c r="E45" s="175"/>
      <c r="F45" s="175"/>
      <c r="G45" s="176"/>
    </row>
    <row r="46" spans="2:7" ht="18.75" customHeight="1">
      <c r="B46" s="209"/>
      <c r="C46" s="102"/>
      <c r="D46" s="174"/>
      <c r="E46" s="175"/>
      <c r="F46" s="175"/>
      <c r="G46" s="176"/>
    </row>
    <row r="47" spans="2:7" ht="18.75" customHeight="1">
      <c r="B47" s="209"/>
      <c r="C47" s="102"/>
      <c r="D47" s="174"/>
      <c r="E47" s="175"/>
      <c r="F47" s="175"/>
      <c r="G47" s="176"/>
    </row>
    <row r="48" spans="2:7" ht="18.75" customHeight="1">
      <c r="B48" s="209"/>
      <c r="C48" s="102"/>
      <c r="D48" s="174"/>
      <c r="E48" s="175"/>
      <c r="F48" s="175"/>
      <c r="G48" s="176"/>
    </row>
    <row r="49" spans="2:7" ht="18.75" customHeight="1">
      <c r="B49" s="209"/>
      <c r="C49" s="102"/>
      <c r="D49" s="174"/>
      <c r="E49" s="175"/>
      <c r="F49" s="175"/>
      <c r="G49" s="176"/>
    </row>
    <row r="50" spans="2:7" ht="18.75" customHeight="1">
      <c r="B50" s="210"/>
      <c r="C50" s="102"/>
      <c r="D50" s="174"/>
      <c r="E50" s="175"/>
      <c r="F50" s="175"/>
      <c r="G50" s="176"/>
    </row>
    <row r="51" spans="2:7" ht="18.75" customHeight="1">
      <c r="B51" s="208" t="s">
        <v>125</v>
      </c>
      <c r="C51" s="181" t="s">
        <v>115</v>
      </c>
      <c r="D51" s="182"/>
      <c r="E51" s="182"/>
      <c r="F51" s="182"/>
      <c r="G51" s="183"/>
    </row>
    <row r="52" spans="2:7" ht="37.5" customHeight="1">
      <c r="B52" s="209"/>
      <c r="C52" s="211" t="s">
        <v>126</v>
      </c>
      <c r="D52" s="212"/>
      <c r="E52" s="212"/>
      <c r="F52" s="212"/>
      <c r="G52" s="213"/>
    </row>
    <row r="53" spans="2:7" ht="37.5" customHeight="1">
      <c r="B53" s="209"/>
      <c r="C53" s="214"/>
      <c r="D53" s="215"/>
      <c r="E53" s="215"/>
      <c r="F53" s="215"/>
      <c r="G53" s="216"/>
    </row>
    <row r="54" spans="2:7" ht="37.5" customHeight="1">
      <c r="B54" s="209"/>
      <c r="C54" s="214"/>
      <c r="D54" s="215"/>
      <c r="E54" s="215"/>
      <c r="F54" s="215"/>
      <c r="G54" s="216"/>
    </row>
    <row r="55" spans="2:7" ht="37.5" customHeight="1">
      <c r="B55" s="209"/>
      <c r="C55" s="214"/>
      <c r="D55" s="215"/>
      <c r="E55" s="215"/>
      <c r="F55" s="215"/>
      <c r="G55" s="216"/>
    </row>
    <row r="56" spans="2:7" ht="37.5" customHeight="1">
      <c r="B56" s="209"/>
      <c r="C56" s="217"/>
      <c r="D56" s="218"/>
      <c r="E56" s="218"/>
      <c r="F56" s="218"/>
      <c r="G56" s="219"/>
    </row>
    <row r="57" spans="2:7" ht="18.75" customHeight="1">
      <c r="B57" s="209"/>
      <c r="C57" s="89" t="s">
        <v>118</v>
      </c>
      <c r="D57" s="181" t="s">
        <v>119</v>
      </c>
      <c r="E57" s="182"/>
      <c r="F57" s="182"/>
      <c r="G57" s="183"/>
    </row>
    <row r="58" spans="2:7" ht="18.75" customHeight="1">
      <c r="B58" s="209"/>
      <c r="C58" s="100" t="s">
        <v>120</v>
      </c>
      <c r="D58" s="177" t="s">
        <v>127</v>
      </c>
      <c r="E58" s="178"/>
      <c r="F58" s="178"/>
      <c r="G58" s="179"/>
    </row>
    <row r="59" spans="2:7" ht="18.75" customHeight="1">
      <c r="B59" s="209"/>
      <c r="C59" s="102"/>
      <c r="D59" s="174"/>
      <c r="E59" s="175"/>
      <c r="F59" s="175"/>
      <c r="G59" s="176"/>
    </row>
    <row r="60" spans="2:7" ht="18.75" customHeight="1">
      <c r="B60" s="209"/>
      <c r="C60" s="102"/>
      <c r="D60" s="174"/>
      <c r="E60" s="175"/>
      <c r="F60" s="175"/>
      <c r="G60" s="176"/>
    </row>
    <row r="61" spans="2:7" ht="18.75" customHeight="1">
      <c r="B61" s="209"/>
      <c r="C61" s="102"/>
      <c r="D61" s="174"/>
      <c r="E61" s="175"/>
      <c r="F61" s="175"/>
      <c r="G61" s="176"/>
    </row>
    <row r="62" spans="2:7" ht="18.75" customHeight="1">
      <c r="B62" s="209"/>
      <c r="C62" s="102"/>
      <c r="D62" s="174"/>
      <c r="E62" s="175"/>
      <c r="F62" s="175"/>
      <c r="G62" s="176"/>
    </row>
    <row r="63" spans="2:7" ht="18.75" customHeight="1">
      <c r="B63" s="209"/>
      <c r="C63" s="102"/>
      <c r="D63" s="174"/>
      <c r="E63" s="175"/>
      <c r="F63" s="175"/>
      <c r="G63" s="176"/>
    </row>
    <row r="64" spans="2:7" ht="18.75" customHeight="1">
      <c r="B64" s="209"/>
      <c r="C64" s="102"/>
      <c r="D64" s="174"/>
      <c r="E64" s="175"/>
      <c r="F64" s="175"/>
      <c r="G64" s="176"/>
    </row>
    <row r="65" spans="2:7" ht="18.75" customHeight="1">
      <c r="B65" s="209"/>
      <c r="C65" s="102"/>
      <c r="D65" s="174"/>
      <c r="E65" s="175"/>
      <c r="F65" s="175"/>
      <c r="G65" s="176"/>
    </row>
    <row r="66" spans="2:7" ht="18.75" customHeight="1">
      <c r="B66" s="209"/>
      <c r="C66" s="102"/>
      <c r="D66" s="174"/>
      <c r="E66" s="175"/>
      <c r="F66" s="175"/>
      <c r="G66" s="176"/>
    </row>
    <row r="67" spans="2:7" ht="18.75" customHeight="1">
      <c r="B67" s="209"/>
      <c r="C67" s="102"/>
      <c r="D67" s="174"/>
      <c r="E67" s="175"/>
      <c r="F67" s="175"/>
      <c r="G67" s="176"/>
    </row>
    <row r="68" spans="2:7" ht="18.75" customHeight="1">
      <c r="B68" s="209"/>
      <c r="C68" s="102"/>
      <c r="D68" s="174"/>
      <c r="E68" s="175"/>
      <c r="F68" s="175"/>
      <c r="G68" s="176"/>
    </row>
    <row r="69" spans="2:7" ht="18.75" customHeight="1">
      <c r="B69" s="209"/>
      <c r="C69" s="102"/>
      <c r="D69" s="174"/>
      <c r="E69" s="175"/>
      <c r="F69" s="175"/>
      <c r="G69" s="176"/>
    </row>
    <row r="70" spans="2:7" ht="18.75" customHeight="1">
      <c r="B70" s="209"/>
      <c r="C70" s="102"/>
      <c r="D70" s="174"/>
      <c r="E70" s="175"/>
      <c r="F70" s="175"/>
      <c r="G70" s="176"/>
    </row>
    <row r="71" spans="2:7" ht="18.75" customHeight="1">
      <c r="B71" s="209"/>
      <c r="C71" s="102"/>
      <c r="D71" s="174"/>
      <c r="E71" s="175"/>
      <c r="F71" s="175"/>
      <c r="G71" s="176"/>
    </row>
    <row r="72" spans="2:7" ht="18.75" customHeight="1">
      <c r="B72" s="209"/>
      <c r="C72" s="102"/>
      <c r="D72" s="174"/>
      <c r="E72" s="175"/>
      <c r="F72" s="175"/>
      <c r="G72" s="176"/>
    </row>
    <row r="73" spans="2:7" ht="18.75" customHeight="1">
      <c r="B73" s="209"/>
      <c r="C73" s="102"/>
      <c r="D73" s="174"/>
      <c r="E73" s="175"/>
      <c r="F73" s="175"/>
      <c r="G73" s="176"/>
    </row>
    <row r="74" spans="2:7" ht="18.75" customHeight="1">
      <c r="B74" s="209"/>
      <c r="C74" s="102"/>
      <c r="D74" s="174"/>
      <c r="E74" s="175"/>
      <c r="F74" s="175"/>
      <c r="G74" s="176"/>
    </row>
    <row r="75" spans="2:7" ht="18.75" customHeight="1">
      <c r="B75" s="209"/>
      <c r="C75" s="102"/>
      <c r="D75" s="174"/>
      <c r="E75" s="175"/>
      <c r="F75" s="175"/>
      <c r="G75" s="176"/>
    </row>
    <row r="76" spans="2:7" ht="18.75" customHeight="1">
      <c r="B76" s="208" t="s">
        <v>128</v>
      </c>
      <c r="C76" s="181" t="s">
        <v>115</v>
      </c>
      <c r="D76" s="182"/>
      <c r="E76" s="182"/>
      <c r="F76" s="182"/>
      <c r="G76" s="183"/>
    </row>
    <row r="77" spans="2:7" ht="37.5" customHeight="1">
      <c r="B77" s="209"/>
      <c r="C77" s="193" t="s">
        <v>129</v>
      </c>
      <c r="D77" s="220"/>
      <c r="E77" s="220"/>
      <c r="F77" s="220"/>
      <c r="G77" s="221"/>
    </row>
    <row r="78" spans="2:7" ht="37.5" customHeight="1">
      <c r="B78" s="209"/>
      <c r="C78" s="222"/>
      <c r="D78" s="223"/>
      <c r="E78" s="223"/>
      <c r="F78" s="223"/>
      <c r="G78" s="224"/>
    </row>
    <row r="79" spans="2:7" ht="37.5" customHeight="1">
      <c r="B79" s="209"/>
      <c r="C79" s="222"/>
      <c r="D79" s="223"/>
      <c r="E79" s="223"/>
      <c r="F79" s="223"/>
      <c r="G79" s="224"/>
    </row>
    <row r="80" spans="2:7" ht="37.5" customHeight="1">
      <c r="B80" s="209"/>
      <c r="C80" s="222"/>
      <c r="D80" s="223"/>
      <c r="E80" s="223"/>
      <c r="F80" s="223"/>
      <c r="G80" s="224"/>
    </row>
    <row r="81" spans="2:7" ht="37.5" customHeight="1">
      <c r="B81" s="209"/>
      <c r="C81" s="225"/>
      <c r="D81" s="226"/>
      <c r="E81" s="226"/>
      <c r="F81" s="226"/>
      <c r="G81" s="227"/>
    </row>
    <row r="82" spans="2:7" ht="18.75" customHeight="1">
      <c r="B82" s="209"/>
      <c r="C82" s="89" t="s">
        <v>118</v>
      </c>
      <c r="D82" s="181" t="s">
        <v>119</v>
      </c>
      <c r="E82" s="182"/>
      <c r="F82" s="182"/>
      <c r="G82" s="183"/>
    </row>
    <row r="83" spans="2:7" ht="18.75" customHeight="1">
      <c r="B83" s="209"/>
      <c r="C83" s="100" t="s">
        <v>120</v>
      </c>
      <c r="D83" s="177" t="s">
        <v>130</v>
      </c>
      <c r="E83" s="178"/>
      <c r="F83" s="178"/>
      <c r="G83" s="179"/>
    </row>
    <row r="84" spans="2:7" ht="18.75" customHeight="1">
      <c r="B84" s="209"/>
      <c r="C84" s="100" t="s">
        <v>131</v>
      </c>
      <c r="D84" s="177" t="s">
        <v>132</v>
      </c>
      <c r="E84" s="178"/>
      <c r="F84" s="178"/>
      <c r="G84" s="179"/>
    </row>
    <row r="85" spans="2:7" ht="18.75" customHeight="1">
      <c r="B85" s="209"/>
      <c r="C85" s="102"/>
      <c r="D85" s="174"/>
      <c r="E85" s="175"/>
      <c r="F85" s="175"/>
      <c r="G85" s="176"/>
    </row>
    <row r="86" spans="2:7" ht="18.75" customHeight="1">
      <c r="B86" s="209"/>
      <c r="C86" s="102"/>
      <c r="D86" s="174"/>
      <c r="E86" s="175"/>
      <c r="F86" s="175"/>
      <c r="G86" s="176"/>
    </row>
    <row r="87" spans="2:7" ht="18.75" customHeight="1">
      <c r="B87" s="209"/>
      <c r="C87" s="102"/>
      <c r="D87" s="174"/>
      <c r="E87" s="175"/>
      <c r="F87" s="175"/>
      <c r="G87" s="176"/>
    </row>
    <row r="88" spans="2:7" ht="18.75" customHeight="1">
      <c r="B88" s="209"/>
      <c r="C88" s="102"/>
      <c r="D88" s="174"/>
      <c r="E88" s="175"/>
      <c r="F88" s="175"/>
      <c r="G88" s="176"/>
    </row>
    <row r="89" spans="2:7" ht="18.75" customHeight="1">
      <c r="B89" s="209"/>
      <c r="C89" s="102"/>
      <c r="D89" s="174"/>
      <c r="E89" s="175"/>
      <c r="F89" s="175"/>
      <c r="G89" s="176"/>
    </row>
    <row r="90" spans="2:7" ht="18.75" customHeight="1">
      <c r="B90" s="209"/>
      <c r="C90" s="102"/>
      <c r="D90" s="174"/>
      <c r="E90" s="175"/>
      <c r="F90" s="175"/>
      <c r="G90" s="176"/>
    </row>
    <row r="91" spans="2:7" ht="18.75" customHeight="1">
      <c r="B91" s="209"/>
      <c r="C91" s="102"/>
      <c r="D91" s="174"/>
      <c r="E91" s="175"/>
      <c r="F91" s="175"/>
      <c r="G91" s="176"/>
    </row>
    <row r="92" spans="2:7" ht="18.75" customHeight="1">
      <c r="B92" s="209"/>
      <c r="C92" s="102"/>
      <c r="D92" s="174"/>
      <c r="E92" s="175"/>
      <c r="F92" s="175"/>
      <c r="G92" s="176"/>
    </row>
    <row r="93" spans="2:7" ht="18.75" customHeight="1">
      <c r="B93" s="209"/>
      <c r="C93" s="102"/>
      <c r="D93" s="174"/>
      <c r="E93" s="175"/>
      <c r="F93" s="175"/>
      <c r="G93" s="176"/>
    </row>
    <row r="94" spans="2:7" ht="18.75" customHeight="1">
      <c r="B94" s="209"/>
      <c r="C94" s="102"/>
      <c r="D94" s="174"/>
      <c r="E94" s="175"/>
      <c r="F94" s="175"/>
      <c r="G94" s="176"/>
    </row>
    <row r="95" spans="2:7" ht="18.75" customHeight="1">
      <c r="B95" s="209"/>
      <c r="C95" s="102"/>
      <c r="D95" s="174"/>
      <c r="E95" s="175"/>
      <c r="F95" s="175"/>
      <c r="G95" s="176"/>
    </row>
    <row r="96" spans="2:7" ht="18.75" customHeight="1">
      <c r="B96" s="209"/>
      <c r="C96" s="102"/>
      <c r="D96" s="174"/>
      <c r="E96" s="175"/>
      <c r="F96" s="175"/>
      <c r="G96" s="176"/>
    </row>
    <row r="97" spans="2:7" ht="18.75" customHeight="1">
      <c r="B97" s="209"/>
      <c r="C97" s="102"/>
      <c r="D97" s="174"/>
      <c r="E97" s="175"/>
      <c r="F97" s="175"/>
      <c r="G97" s="176"/>
    </row>
    <row r="98" spans="2:7" ht="18.75" customHeight="1">
      <c r="B98" s="209"/>
      <c r="C98" s="102"/>
      <c r="D98" s="174"/>
      <c r="E98" s="175"/>
      <c r="F98" s="175"/>
      <c r="G98" s="176"/>
    </row>
    <row r="99" spans="2:7" ht="18.75" customHeight="1">
      <c r="B99" s="209"/>
      <c r="C99" s="102"/>
      <c r="D99" s="174"/>
      <c r="E99" s="175"/>
      <c r="F99" s="175"/>
      <c r="G99" s="176"/>
    </row>
    <row r="100" spans="2:7" ht="18.75" customHeight="1">
      <c r="B100" s="209"/>
      <c r="C100" s="102"/>
      <c r="D100" s="174"/>
      <c r="E100" s="175"/>
      <c r="F100" s="175"/>
      <c r="G100" s="176"/>
    </row>
    <row r="101" spans="2:7" ht="18.75" customHeight="1">
      <c r="B101" s="208" t="s">
        <v>133</v>
      </c>
      <c r="C101" s="181" t="s">
        <v>115</v>
      </c>
      <c r="D101" s="182"/>
      <c r="E101" s="182"/>
      <c r="F101" s="182"/>
      <c r="G101" s="183"/>
    </row>
    <row r="102" spans="2:7" ht="37.5" customHeight="1">
      <c r="B102" s="209"/>
      <c r="C102" s="193" t="s">
        <v>134</v>
      </c>
      <c r="D102" s="220"/>
      <c r="E102" s="220"/>
      <c r="F102" s="220"/>
      <c r="G102" s="221"/>
    </row>
    <row r="103" spans="2:7" ht="37.5" customHeight="1">
      <c r="B103" s="209"/>
      <c r="C103" s="222"/>
      <c r="D103" s="223"/>
      <c r="E103" s="223"/>
      <c r="F103" s="223"/>
      <c r="G103" s="224"/>
    </row>
    <row r="104" spans="2:7" ht="37.5" customHeight="1">
      <c r="B104" s="209"/>
      <c r="C104" s="222"/>
      <c r="D104" s="223"/>
      <c r="E104" s="223"/>
      <c r="F104" s="223"/>
      <c r="G104" s="224"/>
    </row>
    <row r="105" spans="2:7" ht="37.5" customHeight="1">
      <c r="B105" s="209"/>
      <c r="C105" s="222"/>
      <c r="D105" s="223"/>
      <c r="E105" s="223"/>
      <c r="F105" s="223"/>
      <c r="G105" s="224"/>
    </row>
    <row r="106" spans="2:7" ht="37.5" customHeight="1">
      <c r="B106" s="209"/>
      <c r="C106" s="225"/>
      <c r="D106" s="226"/>
      <c r="E106" s="226"/>
      <c r="F106" s="226"/>
      <c r="G106" s="227"/>
    </row>
    <row r="107" spans="2:7" ht="18.75" customHeight="1">
      <c r="B107" s="209"/>
      <c r="C107" s="89" t="s">
        <v>118</v>
      </c>
      <c r="D107" s="181" t="s">
        <v>119</v>
      </c>
      <c r="E107" s="182"/>
      <c r="F107" s="182"/>
      <c r="G107" s="183"/>
    </row>
    <row r="108" spans="2:7" ht="18.75" customHeight="1">
      <c r="B108" s="209"/>
      <c r="C108" s="100" t="s">
        <v>120</v>
      </c>
      <c r="D108" s="177" t="s">
        <v>135</v>
      </c>
      <c r="E108" s="178"/>
      <c r="F108" s="178"/>
      <c r="G108" s="179"/>
    </row>
    <row r="109" spans="2:7" ht="18.75" customHeight="1">
      <c r="B109" s="209"/>
      <c r="C109" s="100" t="s">
        <v>131</v>
      </c>
      <c r="D109" s="177" t="s">
        <v>136</v>
      </c>
      <c r="E109" s="178"/>
      <c r="F109" s="178"/>
      <c r="G109" s="179"/>
    </row>
    <row r="110" spans="2:7" ht="18.75" customHeight="1">
      <c r="B110" s="209"/>
      <c r="C110" s="102"/>
      <c r="D110" s="174"/>
      <c r="E110" s="175"/>
      <c r="F110" s="175"/>
      <c r="G110" s="176"/>
    </row>
    <row r="111" spans="2:7" ht="18.75" customHeight="1">
      <c r="B111" s="209"/>
      <c r="C111" s="102"/>
      <c r="D111" s="174"/>
      <c r="E111" s="175"/>
      <c r="F111" s="175"/>
      <c r="G111" s="176"/>
    </row>
    <row r="112" spans="2:7" ht="18.75" customHeight="1">
      <c r="B112" s="209"/>
      <c r="C112" s="102"/>
      <c r="D112" s="174"/>
      <c r="E112" s="175"/>
      <c r="F112" s="175"/>
      <c r="G112" s="176"/>
    </row>
    <row r="113" spans="1:7" ht="18.75" customHeight="1">
      <c r="B113" s="209"/>
      <c r="C113" s="102"/>
      <c r="D113" s="174"/>
      <c r="E113" s="175"/>
      <c r="F113" s="175"/>
      <c r="G113" s="176"/>
    </row>
    <row r="114" spans="1:7" ht="18.75" customHeight="1">
      <c r="B114" s="209"/>
      <c r="C114" s="102"/>
      <c r="D114" s="174"/>
      <c r="E114" s="175"/>
      <c r="F114" s="175"/>
      <c r="G114" s="176"/>
    </row>
    <row r="115" spans="1:7" ht="18.75" customHeight="1">
      <c r="B115" s="209"/>
      <c r="C115" s="102"/>
      <c r="D115" s="174"/>
      <c r="E115" s="175"/>
      <c r="F115" s="175"/>
      <c r="G115" s="176"/>
    </row>
    <row r="116" spans="1:7" ht="18.75" customHeight="1">
      <c r="B116" s="209"/>
      <c r="C116" s="102"/>
      <c r="D116" s="174"/>
      <c r="E116" s="175"/>
      <c r="F116" s="175"/>
      <c r="G116" s="176"/>
    </row>
    <row r="117" spans="1:7" ht="18.75" customHeight="1">
      <c r="B117" s="209"/>
      <c r="C117" s="102"/>
      <c r="D117" s="174"/>
      <c r="E117" s="175"/>
      <c r="F117" s="175"/>
      <c r="G117" s="176"/>
    </row>
    <row r="118" spans="1:7" ht="18.75" customHeight="1">
      <c r="B118" s="209"/>
      <c r="C118" s="102"/>
      <c r="D118" s="174"/>
      <c r="E118" s="175"/>
      <c r="F118" s="175"/>
      <c r="G118" s="176"/>
    </row>
    <row r="119" spans="1:7" ht="18.75" customHeight="1">
      <c r="B119" s="209"/>
      <c r="C119" s="102"/>
      <c r="D119" s="174"/>
      <c r="E119" s="175"/>
      <c r="F119" s="175"/>
      <c r="G119" s="176"/>
    </row>
    <row r="120" spans="1:7" ht="18.75" customHeight="1">
      <c r="B120" s="209"/>
      <c r="C120" s="102"/>
      <c r="D120" s="174"/>
      <c r="E120" s="175"/>
      <c r="F120" s="175"/>
      <c r="G120" s="176"/>
    </row>
    <row r="121" spans="1:7" ht="18.75" customHeight="1">
      <c r="B121" s="209"/>
      <c r="C121" s="102"/>
      <c r="D121" s="174"/>
      <c r="E121" s="175"/>
      <c r="F121" s="175"/>
      <c r="G121" s="176"/>
    </row>
    <row r="122" spans="1:7" ht="18.75" customHeight="1">
      <c r="B122" s="209"/>
      <c r="C122" s="102"/>
      <c r="D122" s="174"/>
      <c r="E122" s="175"/>
      <c r="F122" s="175"/>
      <c r="G122" s="176"/>
    </row>
    <row r="123" spans="1:7" ht="18.75" customHeight="1">
      <c r="B123" s="209"/>
      <c r="C123" s="102"/>
      <c r="D123" s="174"/>
      <c r="E123" s="175"/>
      <c r="F123" s="175"/>
      <c r="G123" s="176"/>
    </row>
    <row r="124" spans="1:7" ht="18.75" customHeight="1">
      <c r="B124" s="209"/>
      <c r="C124" s="102"/>
      <c r="D124" s="174"/>
      <c r="E124" s="175"/>
      <c r="F124" s="175"/>
      <c r="G124" s="176"/>
    </row>
    <row r="125" spans="1:7" ht="18.75" customHeight="1">
      <c r="B125" s="210"/>
      <c r="C125" s="102"/>
      <c r="D125" s="174"/>
      <c r="E125" s="175"/>
      <c r="F125" s="175"/>
      <c r="G125" s="176"/>
    </row>
    <row r="126" spans="1:7" ht="18.75" customHeight="1">
      <c r="A126" s="86" t="s">
        <v>5</v>
      </c>
      <c r="B126" s="86" t="s">
        <v>137</v>
      </c>
    </row>
    <row r="127" spans="1:7" ht="22.5" customHeight="1">
      <c r="B127" s="102" t="s">
        <v>114</v>
      </c>
      <c r="C127" s="181" t="s">
        <v>75</v>
      </c>
      <c r="D127" s="182"/>
      <c r="E127" s="182"/>
      <c r="F127" s="182"/>
      <c r="G127" s="183"/>
    </row>
    <row r="128" spans="1:7" ht="45" customHeight="1">
      <c r="B128" s="90" t="s">
        <v>138</v>
      </c>
      <c r="C128" s="205" t="s">
        <v>139</v>
      </c>
      <c r="D128" s="206"/>
      <c r="E128" s="206"/>
      <c r="F128" s="206"/>
      <c r="G128" s="207"/>
    </row>
    <row r="129" spans="1:7" ht="45" customHeight="1">
      <c r="B129" s="90" t="s">
        <v>140</v>
      </c>
      <c r="C129" s="205"/>
      <c r="D129" s="206"/>
      <c r="E129" s="206"/>
      <c r="F129" s="206"/>
      <c r="G129" s="207"/>
    </row>
    <row r="130" spans="1:7" ht="45" customHeight="1">
      <c r="B130" s="90" t="s">
        <v>141</v>
      </c>
      <c r="C130" s="205" t="s">
        <v>142</v>
      </c>
      <c r="D130" s="206"/>
      <c r="E130" s="206"/>
      <c r="F130" s="206"/>
      <c r="G130" s="207"/>
    </row>
    <row r="131" spans="1:7" ht="45" customHeight="1">
      <c r="B131" s="90" t="s">
        <v>143</v>
      </c>
      <c r="C131" s="202"/>
      <c r="D131" s="203"/>
      <c r="E131" s="203"/>
      <c r="F131" s="203"/>
      <c r="G131" s="204"/>
    </row>
    <row r="132" spans="1:7" ht="45" customHeight="1">
      <c r="B132" s="90" t="s">
        <v>144</v>
      </c>
      <c r="C132" s="202"/>
      <c r="D132" s="203"/>
      <c r="E132" s="203"/>
      <c r="F132" s="203"/>
      <c r="G132" s="204"/>
    </row>
    <row r="133" spans="1:7" ht="45" customHeight="1">
      <c r="B133" s="90" t="s">
        <v>145</v>
      </c>
      <c r="C133" s="202"/>
      <c r="D133" s="203"/>
      <c r="E133" s="203"/>
      <c r="F133" s="203"/>
      <c r="G133" s="204"/>
    </row>
    <row r="134" spans="1:7" ht="45" customHeight="1">
      <c r="B134" s="90" t="s">
        <v>146</v>
      </c>
      <c r="C134" s="202"/>
      <c r="D134" s="203"/>
      <c r="E134" s="203"/>
      <c r="F134" s="203"/>
      <c r="G134" s="204"/>
    </row>
    <row r="135" spans="1:7" ht="45" customHeight="1">
      <c r="B135" s="90" t="s">
        <v>147</v>
      </c>
      <c r="C135" s="202"/>
      <c r="D135" s="203"/>
      <c r="E135" s="203"/>
      <c r="F135" s="203"/>
      <c r="G135" s="204"/>
    </row>
    <row r="136" spans="1:7" ht="45" customHeight="1">
      <c r="B136" s="90" t="s">
        <v>148</v>
      </c>
      <c r="C136" s="205" t="s">
        <v>149</v>
      </c>
      <c r="D136" s="206"/>
      <c r="E136" s="206"/>
      <c r="F136" s="206"/>
      <c r="G136" s="207"/>
    </row>
    <row r="137" spans="1:7" ht="7.5" customHeight="1"/>
    <row r="138" spans="1:7" ht="18.75" customHeight="1">
      <c r="A138" s="86" t="s">
        <v>8</v>
      </c>
      <c r="B138" s="86" t="s">
        <v>150</v>
      </c>
      <c r="E138" s="285" t="s">
        <v>151</v>
      </c>
      <c r="F138" s="286"/>
      <c r="G138" s="287"/>
    </row>
    <row r="139" spans="1:7" ht="7.5" customHeight="1"/>
    <row r="140" spans="1:7" ht="18.75" customHeight="1">
      <c r="A140" s="86" t="s">
        <v>11</v>
      </c>
      <c r="B140" s="86" t="s">
        <v>152</v>
      </c>
    </row>
    <row r="141" spans="1:7" ht="18.75" customHeight="1">
      <c r="B141" s="193" t="s">
        <v>153</v>
      </c>
      <c r="C141" s="194"/>
      <c r="D141" s="194"/>
      <c r="E141" s="194"/>
      <c r="F141" s="194"/>
      <c r="G141" s="195"/>
    </row>
    <row r="142" spans="1:7" ht="18.75" customHeight="1">
      <c r="B142" s="196"/>
      <c r="C142" s="197"/>
      <c r="D142" s="197"/>
      <c r="E142" s="197"/>
      <c r="F142" s="197"/>
      <c r="G142" s="198"/>
    </row>
    <row r="143" spans="1:7" ht="18.75" customHeight="1">
      <c r="B143" s="196"/>
      <c r="C143" s="197"/>
      <c r="D143" s="197"/>
      <c r="E143" s="197"/>
      <c r="F143" s="197"/>
      <c r="G143" s="198"/>
    </row>
    <row r="144" spans="1:7" ht="18.75" customHeight="1">
      <c r="B144" s="199"/>
      <c r="C144" s="200"/>
      <c r="D144" s="200"/>
      <c r="E144" s="200"/>
      <c r="F144" s="200"/>
      <c r="G144" s="201"/>
    </row>
    <row r="145" ht="18.75" customHeight="1"/>
    <row r="146" ht="18.75" customHeight="1"/>
    <row r="147" ht="18.75" customHeight="1"/>
    <row r="148" ht="18.75" customHeight="1"/>
    <row r="149" ht="18.75" customHeight="1"/>
    <row r="150" ht="18.75" customHeight="1"/>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topLeftCell="A106" zoomScaleNormal="100" workbookViewId="0">
      <selection activeCell="G80" sqref="G80"/>
    </sheetView>
  </sheetViews>
  <sheetFormatPr defaultColWidth="11.375" defaultRowHeight="18.75" customHeight="1"/>
  <cols>
    <col min="1" max="1" width="2.62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c r="E1" s="98" t="s">
        <v>154</v>
      </c>
    </row>
    <row r="2" spans="1:5" ht="18.75" customHeight="1">
      <c r="B2" s="98" t="s">
        <v>155</v>
      </c>
      <c r="C2" s="98" t="s">
        <v>156</v>
      </c>
      <c r="D2" s="241" t="s">
        <v>69</v>
      </c>
      <c r="E2" s="241"/>
    </row>
    <row r="3" spans="1:5" ht="7.5" customHeight="1">
      <c r="B3" s="98"/>
      <c r="C3" s="98"/>
      <c r="D3" s="44"/>
      <c r="E3" s="44"/>
    </row>
    <row r="4" spans="1:5" ht="18.75" customHeight="1">
      <c r="B4" s="161" t="s">
        <v>157</v>
      </c>
      <c r="C4" s="161"/>
      <c r="D4" s="161"/>
      <c r="E4" s="161"/>
    </row>
    <row r="5" spans="1:5" ht="7.5" customHeight="1">
      <c r="B5" s="99"/>
      <c r="C5" s="99"/>
      <c r="D5" s="99"/>
      <c r="E5" s="99"/>
    </row>
    <row r="6" spans="1:5" ht="18.75" customHeight="1">
      <c r="A6" s="14" t="s">
        <v>2</v>
      </c>
      <c r="B6" s="5" t="s">
        <v>158</v>
      </c>
      <c r="C6" s="99"/>
      <c r="D6" s="99"/>
      <c r="E6" s="99"/>
    </row>
    <row r="7" spans="1:5" ht="18.75" customHeight="1">
      <c r="A7" s="14"/>
      <c r="B7" s="117" t="s">
        <v>159</v>
      </c>
      <c r="C7" s="118"/>
      <c r="D7" s="118"/>
      <c r="E7" s="131"/>
    </row>
    <row r="8" spans="1:5" ht="7.5" customHeight="1">
      <c r="B8" s="99"/>
      <c r="C8" s="99"/>
      <c r="D8" s="99"/>
      <c r="E8" s="99"/>
    </row>
    <row r="9" spans="1:5" s="5" customFormat="1" ht="18.75" customHeight="1">
      <c r="A9" s="14" t="s">
        <v>5</v>
      </c>
      <c r="B9" s="14" t="s">
        <v>160</v>
      </c>
      <c r="C9" s="14"/>
      <c r="D9" s="14"/>
      <c r="E9" s="14"/>
    </row>
    <row r="10" spans="1:5" s="10" customFormat="1" ht="30" customHeight="1">
      <c r="A10" s="9"/>
      <c r="B10" s="242" t="s">
        <v>161</v>
      </c>
      <c r="C10" s="232"/>
      <c r="D10" s="232"/>
      <c r="E10" s="233"/>
    </row>
    <row r="11" spans="1:5" s="10" customFormat="1" ht="30" customHeight="1">
      <c r="A11" s="9"/>
      <c r="B11" s="234"/>
      <c r="C11" s="235"/>
      <c r="D11" s="235"/>
      <c r="E11" s="236"/>
    </row>
    <row r="12" spans="1:5" s="10" customFormat="1" ht="30" customHeight="1">
      <c r="A12" s="9"/>
      <c r="B12" s="234"/>
      <c r="C12" s="235"/>
      <c r="D12" s="235"/>
      <c r="E12" s="236"/>
    </row>
    <row r="13" spans="1:5" s="10" customFormat="1" ht="30" customHeight="1">
      <c r="A13" s="9"/>
      <c r="B13" s="234"/>
      <c r="C13" s="235"/>
      <c r="D13" s="235"/>
      <c r="E13" s="236"/>
    </row>
    <row r="14" spans="1:5" s="10" customFormat="1" ht="30" customHeight="1">
      <c r="A14" s="9"/>
      <c r="B14" s="237"/>
      <c r="C14" s="238"/>
      <c r="D14" s="238"/>
      <c r="E14" s="239"/>
    </row>
    <row r="15" spans="1:5" s="10" customFormat="1" ht="7.5" customHeight="1">
      <c r="A15" s="9"/>
      <c r="B15" s="9"/>
      <c r="C15" s="9"/>
      <c r="D15" s="9"/>
      <c r="E15" s="9"/>
    </row>
    <row r="16" spans="1:5" s="5" customFormat="1" ht="18.75" customHeight="1">
      <c r="A16" s="11" t="s">
        <v>8</v>
      </c>
      <c r="B16" s="11" t="s">
        <v>162</v>
      </c>
      <c r="C16" s="11"/>
      <c r="D16" s="11"/>
      <c r="E16" s="11"/>
    </row>
    <row r="17" spans="1:5" s="10" customFormat="1" ht="12.95" customHeight="1">
      <c r="A17" s="9"/>
      <c r="B17" s="242" t="s">
        <v>163</v>
      </c>
      <c r="C17" s="243"/>
      <c r="D17" s="243"/>
      <c r="E17" s="244"/>
    </row>
    <row r="18" spans="1:5" s="10" customFormat="1" ht="12.95" customHeight="1">
      <c r="A18" s="9"/>
      <c r="B18" s="245"/>
      <c r="C18" s="246"/>
      <c r="D18" s="246"/>
      <c r="E18" s="247"/>
    </row>
    <row r="19" spans="1:5" s="10" customFormat="1" ht="12.95" customHeight="1">
      <c r="A19" s="9"/>
      <c r="B19" s="245"/>
      <c r="C19" s="246"/>
      <c r="D19" s="246"/>
      <c r="E19" s="247"/>
    </row>
    <row r="20" spans="1:5" s="10" customFormat="1" ht="12.95" customHeight="1">
      <c r="A20" s="9"/>
      <c r="B20" s="245"/>
      <c r="C20" s="246"/>
      <c r="D20" s="246"/>
      <c r="E20" s="247"/>
    </row>
    <row r="21" spans="1:5" s="10" customFormat="1" ht="12.95" customHeight="1">
      <c r="A21" s="9"/>
      <c r="B21" s="245"/>
      <c r="C21" s="246"/>
      <c r="D21" s="246"/>
      <c r="E21" s="247"/>
    </row>
    <row r="22" spans="1:5" s="10" customFormat="1" ht="12.95" customHeight="1">
      <c r="A22" s="9"/>
      <c r="B22" s="245"/>
      <c r="C22" s="246"/>
      <c r="D22" s="246"/>
      <c r="E22" s="247"/>
    </row>
    <row r="23" spans="1:5" s="10" customFormat="1" ht="12.95" customHeight="1">
      <c r="A23" s="9"/>
      <c r="B23" s="245"/>
      <c r="C23" s="246"/>
      <c r="D23" s="246"/>
      <c r="E23" s="247"/>
    </row>
    <row r="24" spans="1:5" s="10" customFormat="1" ht="12.95" customHeight="1">
      <c r="A24" s="9"/>
      <c r="B24" s="245"/>
      <c r="C24" s="246"/>
      <c r="D24" s="246"/>
      <c r="E24" s="247"/>
    </row>
    <row r="25" spans="1:5" s="10" customFormat="1" ht="12.95" customHeight="1">
      <c r="A25" s="9"/>
      <c r="B25" s="245"/>
      <c r="C25" s="246"/>
      <c r="D25" s="246"/>
      <c r="E25" s="247"/>
    </row>
    <row r="26" spans="1:5" s="10" customFormat="1" ht="12.95" customHeight="1">
      <c r="A26" s="9"/>
      <c r="B26" s="245"/>
      <c r="C26" s="246"/>
      <c r="D26" s="246"/>
      <c r="E26" s="247"/>
    </row>
    <row r="27" spans="1:5" s="10" customFormat="1" ht="12.95" customHeight="1">
      <c r="A27" s="9"/>
      <c r="B27" s="245"/>
      <c r="C27" s="246"/>
      <c r="D27" s="246"/>
      <c r="E27" s="247"/>
    </row>
    <row r="28" spans="1:5" s="10" customFormat="1" ht="12.95" customHeight="1">
      <c r="A28" s="9"/>
      <c r="B28" s="248"/>
      <c r="C28" s="249"/>
      <c r="D28" s="249"/>
      <c r="E28" s="250"/>
    </row>
    <row r="29" spans="1:5" ht="7.5" customHeight="1">
      <c r="A29" s="8"/>
      <c r="B29" s="8"/>
      <c r="C29" s="8"/>
      <c r="D29" s="8"/>
      <c r="E29" s="8"/>
    </row>
    <row r="30" spans="1:5" s="5" customFormat="1" ht="18.75" customHeight="1">
      <c r="A30" s="14" t="s">
        <v>11</v>
      </c>
      <c r="B30" s="14" t="s">
        <v>164</v>
      </c>
      <c r="C30" s="14"/>
      <c r="D30" s="14"/>
      <c r="E30" s="14"/>
    </row>
    <row r="31" spans="1:5" s="5" customFormat="1" ht="18.75" customHeight="1">
      <c r="A31" s="14"/>
      <c r="B31" s="231" t="s">
        <v>165</v>
      </c>
      <c r="C31" s="232"/>
      <c r="D31" s="232"/>
      <c r="E31" s="233"/>
    </row>
    <row r="32" spans="1:5" s="5" customFormat="1" ht="18.75" customHeight="1">
      <c r="A32" s="14"/>
      <c r="B32" s="234"/>
      <c r="C32" s="235"/>
      <c r="D32" s="235"/>
      <c r="E32" s="236"/>
    </row>
    <row r="33" spans="1:5" s="5" customFormat="1" ht="18.75" customHeight="1">
      <c r="A33" s="14"/>
      <c r="B33" s="234"/>
      <c r="C33" s="235"/>
      <c r="D33" s="235"/>
      <c r="E33" s="236"/>
    </row>
    <row r="34" spans="1:5" s="5" customFormat="1" ht="18.75" customHeight="1">
      <c r="A34" s="14"/>
      <c r="B34" s="234"/>
      <c r="C34" s="235"/>
      <c r="D34" s="235"/>
      <c r="E34" s="236"/>
    </row>
    <row r="35" spans="1:5" s="5" customFormat="1" ht="18.75" customHeight="1">
      <c r="A35" s="14"/>
      <c r="B35" s="234"/>
      <c r="C35" s="235"/>
      <c r="D35" s="235"/>
      <c r="E35" s="236"/>
    </row>
    <row r="36" spans="1:5" s="5" customFormat="1" ht="18.75" customHeight="1">
      <c r="A36" s="14"/>
      <c r="B36" s="234"/>
      <c r="C36" s="235"/>
      <c r="D36" s="235"/>
      <c r="E36" s="236"/>
    </row>
    <row r="37" spans="1:5" s="5" customFormat="1" ht="18.75" customHeight="1">
      <c r="A37" s="14"/>
      <c r="B37" s="234"/>
      <c r="C37" s="235"/>
      <c r="D37" s="235"/>
      <c r="E37" s="236"/>
    </row>
    <row r="38" spans="1:5" s="5" customFormat="1" ht="18.75" customHeight="1">
      <c r="A38" s="14"/>
      <c r="B38" s="234"/>
      <c r="C38" s="235"/>
      <c r="D38" s="235"/>
      <c r="E38" s="236"/>
    </row>
    <row r="39" spans="1:5" s="5" customFormat="1" ht="18.75" customHeight="1">
      <c r="A39" s="14"/>
      <c r="B39" s="234"/>
      <c r="C39" s="235"/>
      <c r="D39" s="235"/>
      <c r="E39" s="236"/>
    </row>
    <row r="40" spans="1:5" s="5" customFormat="1" ht="18.75" customHeight="1">
      <c r="A40" s="14"/>
      <c r="B40" s="234"/>
      <c r="C40" s="235"/>
      <c r="D40" s="235"/>
      <c r="E40" s="236"/>
    </row>
    <row r="41" spans="1:5" s="5" customFormat="1" ht="18.75" customHeight="1">
      <c r="A41" s="14"/>
      <c r="B41" s="234"/>
      <c r="C41" s="235"/>
      <c r="D41" s="235"/>
      <c r="E41" s="236"/>
    </row>
    <row r="42" spans="1:5" s="5" customFormat="1" ht="18.75" customHeight="1">
      <c r="A42" s="14"/>
      <c r="B42" s="234"/>
      <c r="C42" s="235"/>
      <c r="D42" s="235"/>
      <c r="E42" s="236"/>
    </row>
    <row r="43" spans="1:5" s="5" customFormat="1" ht="18.75" customHeight="1">
      <c r="A43" s="14"/>
      <c r="B43" s="234"/>
      <c r="C43" s="235"/>
      <c r="D43" s="235"/>
      <c r="E43" s="236"/>
    </row>
    <row r="44" spans="1:5" s="5" customFormat="1" ht="18.75" customHeight="1">
      <c r="A44" s="14"/>
      <c r="B44" s="234"/>
      <c r="C44" s="235"/>
      <c r="D44" s="235"/>
      <c r="E44" s="236"/>
    </row>
    <row r="45" spans="1:5" ht="18.75" customHeight="1">
      <c r="A45" s="8"/>
      <c r="B45" s="234"/>
      <c r="C45" s="235"/>
      <c r="D45" s="235"/>
      <c r="E45" s="236"/>
    </row>
    <row r="46" spans="1:5" ht="18.75" customHeight="1">
      <c r="A46" s="8"/>
      <c r="B46" s="237"/>
      <c r="C46" s="238"/>
      <c r="D46" s="238"/>
      <c r="E46" s="239"/>
    </row>
    <row r="47" spans="1:5" s="5" customFormat="1" ht="18.75" customHeight="1">
      <c r="A47" s="7" t="s">
        <v>14</v>
      </c>
      <c r="B47" s="14" t="s">
        <v>166</v>
      </c>
      <c r="C47" s="7"/>
      <c r="D47" s="7"/>
      <c r="E47" s="7"/>
    </row>
    <row r="48" spans="1:5" ht="18.75" customHeight="1">
      <c r="A48" s="8"/>
      <c r="B48" s="231" t="s">
        <v>167</v>
      </c>
      <c r="C48" s="251"/>
      <c r="D48" s="251"/>
      <c r="E48" s="252"/>
    </row>
    <row r="49" spans="1:5" ht="18.75" customHeight="1">
      <c r="A49" s="8"/>
      <c r="B49" s="253"/>
      <c r="C49" s="254"/>
      <c r="D49" s="254"/>
      <c r="E49" s="255"/>
    </row>
    <row r="50" spans="1:5" ht="18.75" customHeight="1">
      <c r="A50" s="8"/>
      <c r="B50" s="253"/>
      <c r="C50" s="254"/>
      <c r="D50" s="254"/>
      <c r="E50" s="255"/>
    </row>
    <row r="51" spans="1:5" ht="18.75" customHeight="1">
      <c r="A51" s="8"/>
      <c r="B51" s="253"/>
      <c r="C51" s="254"/>
      <c r="D51" s="254"/>
      <c r="E51" s="255"/>
    </row>
    <row r="52" spans="1:5" ht="18.75" customHeight="1">
      <c r="A52" s="8"/>
      <c r="B52" s="253"/>
      <c r="C52" s="254"/>
      <c r="D52" s="254"/>
      <c r="E52" s="255"/>
    </row>
    <row r="53" spans="1:5" ht="18.75" customHeight="1">
      <c r="A53" s="8"/>
      <c r="B53" s="253"/>
      <c r="C53" s="254"/>
      <c r="D53" s="254"/>
      <c r="E53" s="255"/>
    </row>
    <row r="54" spans="1:5" ht="18.75" customHeight="1">
      <c r="A54" s="8"/>
      <c r="B54" s="253"/>
      <c r="C54" s="254"/>
      <c r="D54" s="254"/>
      <c r="E54" s="255"/>
    </row>
    <row r="55" spans="1:5" ht="18.75" customHeight="1">
      <c r="A55" s="8"/>
      <c r="B55" s="253"/>
      <c r="C55" s="254"/>
      <c r="D55" s="254"/>
      <c r="E55" s="255"/>
    </row>
    <row r="56" spans="1:5" ht="18.75" customHeight="1">
      <c r="A56" s="8"/>
      <c r="B56" s="253"/>
      <c r="C56" s="254"/>
      <c r="D56" s="254"/>
      <c r="E56" s="255"/>
    </row>
    <row r="57" spans="1:5" ht="18.75" customHeight="1">
      <c r="A57" s="8"/>
      <c r="B57" s="253"/>
      <c r="C57" s="254"/>
      <c r="D57" s="254"/>
      <c r="E57" s="255"/>
    </row>
    <row r="58" spans="1:5" ht="18.75" customHeight="1">
      <c r="A58" s="8"/>
      <c r="B58" s="253"/>
      <c r="C58" s="254"/>
      <c r="D58" s="254"/>
      <c r="E58" s="255"/>
    </row>
    <row r="59" spans="1:5" ht="18.75" customHeight="1">
      <c r="A59" s="8"/>
      <c r="B59" s="253"/>
      <c r="C59" s="254"/>
      <c r="D59" s="254"/>
      <c r="E59" s="255"/>
    </row>
    <row r="60" spans="1:5" ht="18.75" customHeight="1">
      <c r="A60" s="8"/>
      <c r="B60" s="253"/>
      <c r="C60" s="254"/>
      <c r="D60" s="254"/>
      <c r="E60" s="255"/>
    </row>
    <row r="61" spans="1:5" ht="18.75" customHeight="1">
      <c r="A61" s="8"/>
      <c r="B61" s="253"/>
      <c r="C61" s="254"/>
      <c r="D61" s="254"/>
      <c r="E61" s="255"/>
    </row>
    <row r="62" spans="1:5" ht="18.75" customHeight="1">
      <c r="A62" s="8"/>
      <c r="B62" s="253"/>
      <c r="C62" s="254"/>
      <c r="D62" s="254"/>
      <c r="E62" s="255"/>
    </row>
    <row r="63" spans="1:5" ht="18.75" customHeight="1">
      <c r="A63" s="8"/>
      <c r="B63" s="253"/>
      <c r="C63" s="254"/>
      <c r="D63" s="254"/>
      <c r="E63" s="255"/>
    </row>
    <row r="64" spans="1:5" ht="18.75" customHeight="1">
      <c r="A64" s="8"/>
      <c r="B64" s="253"/>
      <c r="C64" s="254"/>
      <c r="D64" s="254"/>
      <c r="E64" s="255"/>
    </row>
    <row r="65" spans="1:5" ht="18.75" customHeight="1">
      <c r="A65" s="8"/>
      <c r="B65" s="253"/>
      <c r="C65" s="254"/>
      <c r="D65" s="254"/>
      <c r="E65" s="255"/>
    </row>
    <row r="66" spans="1:5" ht="18.75" customHeight="1">
      <c r="A66" s="8"/>
      <c r="B66" s="253"/>
      <c r="C66" s="254"/>
      <c r="D66" s="254"/>
      <c r="E66" s="255"/>
    </row>
    <row r="67" spans="1:5" ht="18.75" customHeight="1">
      <c r="A67" s="8"/>
      <c r="B67" s="253"/>
      <c r="C67" s="254"/>
      <c r="D67" s="254"/>
      <c r="E67" s="255"/>
    </row>
    <row r="68" spans="1:5" ht="18.75" customHeight="1">
      <c r="A68" s="8"/>
      <c r="B68" s="256"/>
      <c r="C68" s="257"/>
      <c r="D68" s="257"/>
      <c r="E68" s="258"/>
    </row>
    <row r="69" spans="1:5" ht="7.5" customHeight="1">
      <c r="A69" s="8"/>
      <c r="B69" s="8"/>
      <c r="C69" s="8"/>
      <c r="D69" s="8"/>
      <c r="E69" s="8"/>
    </row>
    <row r="70" spans="1:5" s="5" customFormat="1" ht="18.75" customHeight="1">
      <c r="A70" s="14" t="s">
        <v>17</v>
      </c>
      <c r="B70" s="14" t="s">
        <v>168</v>
      </c>
      <c r="C70" s="14"/>
      <c r="D70" s="14"/>
      <c r="E70" s="14"/>
    </row>
    <row r="71" spans="1:5" s="5" customFormat="1" ht="18.75" customHeight="1">
      <c r="A71" s="14"/>
      <c r="B71" s="231" t="s">
        <v>169</v>
      </c>
      <c r="C71" s="232"/>
      <c r="D71" s="232"/>
      <c r="E71" s="233"/>
    </row>
    <row r="72" spans="1:5" s="5" customFormat="1" ht="18.75" customHeight="1">
      <c r="A72" s="14"/>
      <c r="B72" s="234"/>
      <c r="C72" s="235"/>
      <c r="D72" s="235"/>
      <c r="E72" s="236"/>
    </row>
    <row r="73" spans="1:5" s="5" customFormat="1" ht="18.75" customHeight="1">
      <c r="A73" s="14"/>
      <c r="B73" s="234"/>
      <c r="C73" s="235"/>
      <c r="D73" s="235"/>
      <c r="E73" s="236"/>
    </row>
    <row r="74" spans="1:5" s="5" customFormat="1" ht="18.75" customHeight="1">
      <c r="A74" s="14"/>
      <c r="B74" s="234"/>
      <c r="C74" s="235"/>
      <c r="D74" s="235"/>
      <c r="E74" s="236"/>
    </row>
    <row r="75" spans="1:5" s="5" customFormat="1" ht="18.75" customHeight="1">
      <c r="A75" s="14"/>
      <c r="B75" s="234"/>
      <c r="C75" s="235"/>
      <c r="D75" s="235"/>
      <c r="E75" s="236"/>
    </row>
    <row r="76" spans="1:5" s="5" customFormat="1" ht="18.75" customHeight="1">
      <c r="A76" s="14"/>
      <c r="B76" s="234"/>
      <c r="C76" s="235"/>
      <c r="D76" s="235"/>
      <c r="E76" s="236"/>
    </row>
    <row r="77" spans="1:5" s="5" customFormat="1" ht="18.75" customHeight="1">
      <c r="A77" s="14"/>
      <c r="B77" s="234"/>
      <c r="C77" s="235"/>
      <c r="D77" s="235"/>
      <c r="E77" s="236"/>
    </row>
    <row r="78" spans="1:5" s="5" customFormat="1" ht="18.75" customHeight="1">
      <c r="A78" s="14"/>
      <c r="B78" s="234"/>
      <c r="C78" s="235"/>
      <c r="D78" s="235"/>
      <c r="E78" s="236"/>
    </row>
    <row r="79" spans="1:5" s="5" customFormat="1" ht="18.75" customHeight="1">
      <c r="A79" s="14"/>
      <c r="B79" s="234"/>
      <c r="C79" s="235"/>
      <c r="D79" s="235"/>
      <c r="E79" s="236"/>
    </row>
    <row r="80" spans="1:5" s="5" customFormat="1" ht="18.75" customHeight="1">
      <c r="A80" s="14"/>
      <c r="B80" s="234"/>
      <c r="C80" s="235"/>
      <c r="D80" s="235"/>
      <c r="E80" s="236"/>
    </row>
    <row r="81" spans="1:5" s="5" customFormat="1" ht="18.75" customHeight="1">
      <c r="A81" s="14"/>
      <c r="B81" s="234"/>
      <c r="C81" s="235"/>
      <c r="D81" s="235"/>
      <c r="E81" s="236"/>
    </row>
    <row r="82" spans="1:5" s="5" customFormat="1" ht="18.75" customHeight="1">
      <c r="A82" s="14"/>
      <c r="B82" s="234"/>
      <c r="C82" s="235"/>
      <c r="D82" s="235"/>
      <c r="E82" s="236"/>
    </row>
    <row r="83" spans="1:5" s="5" customFormat="1" ht="18.75" customHeight="1">
      <c r="A83" s="14"/>
      <c r="B83" s="234"/>
      <c r="C83" s="235"/>
      <c r="D83" s="235"/>
      <c r="E83" s="236"/>
    </row>
    <row r="84" spans="1:5" s="5" customFormat="1" ht="18.75" customHeight="1">
      <c r="A84" s="14"/>
      <c r="B84" s="234"/>
      <c r="C84" s="235"/>
      <c r="D84" s="235"/>
      <c r="E84" s="236"/>
    </row>
    <row r="85" spans="1:5" s="5" customFormat="1" ht="18.75" customHeight="1">
      <c r="A85" s="14"/>
      <c r="B85" s="234"/>
      <c r="C85" s="235"/>
      <c r="D85" s="235"/>
      <c r="E85" s="236"/>
    </row>
    <row r="86" spans="1:5" s="5" customFormat="1" ht="18.75" customHeight="1">
      <c r="A86" s="14"/>
      <c r="B86" s="234"/>
      <c r="C86" s="235"/>
      <c r="D86" s="235"/>
      <c r="E86" s="236"/>
    </row>
    <row r="87" spans="1:5" s="5" customFormat="1" ht="18.75" customHeight="1">
      <c r="A87" s="14"/>
      <c r="B87" s="234"/>
      <c r="C87" s="235"/>
      <c r="D87" s="235"/>
      <c r="E87" s="236"/>
    </row>
    <row r="88" spans="1:5" ht="18.75" customHeight="1">
      <c r="A88" s="8"/>
      <c r="B88" s="234"/>
      <c r="C88" s="235"/>
      <c r="D88" s="235"/>
      <c r="E88" s="236"/>
    </row>
    <row r="89" spans="1:5" ht="18.75" customHeight="1">
      <c r="A89" s="8"/>
      <c r="B89" s="237"/>
      <c r="C89" s="238"/>
      <c r="D89" s="238"/>
      <c r="E89" s="239"/>
    </row>
    <row r="90" spans="1:5" ht="7.5" customHeight="1">
      <c r="A90" s="8"/>
      <c r="B90" s="8"/>
      <c r="C90" s="8"/>
      <c r="D90" s="8"/>
      <c r="E90" s="8"/>
    </row>
    <row r="91" spans="1:5" s="5" customFormat="1" ht="18.75" customHeight="1">
      <c r="A91" s="14" t="s">
        <v>20</v>
      </c>
      <c r="B91" s="14" t="s">
        <v>170</v>
      </c>
      <c r="C91" s="14"/>
      <c r="D91" s="14"/>
      <c r="E91" s="14"/>
    </row>
    <row r="92" spans="1:5" s="5" customFormat="1" ht="18.75" customHeight="1">
      <c r="A92" s="14"/>
      <c r="B92" s="231" t="s">
        <v>171</v>
      </c>
      <c r="C92" s="232"/>
      <c r="D92" s="232"/>
      <c r="E92" s="233"/>
    </row>
    <row r="93" spans="1:5" s="5" customFormat="1" ht="18.75" customHeight="1">
      <c r="A93" s="14"/>
      <c r="B93" s="234"/>
      <c r="C93" s="235"/>
      <c r="D93" s="235"/>
      <c r="E93" s="236"/>
    </row>
    <row r="94" spans="1:5" s="5" customFormat="1" ht="18.75" customHeight="1">
      <c r="A94" s="14"/>
      <c r="B94" s="234"/>
      <c r="C94" s="235"/>
      <c r="D94" s="235"/>
      <c r="E94" s="236"/>
    </row>
    <row r="95" spans="1:5" s="5" customFormat="1" ht="18.75" customHeight="1">
      <c r="A95" s="14"/>
      <c r="B95" s="234"/>
      <c r="C95" s="235"/>
      <c r="D95" s="235"/>
      <c r="E95" s="236"/>
    </row>
    <row r="96" spans="1:5" s="5" customFormat="1" ht="18.75" customHeight="1">
      <c r="A96" s="14"/>
      <c r="B96" s="234"/>
      <c r="C96" s="235"/>
      <c r="D96" s="235"/>
      <c r="E96" s="236"/>
    </row>
    <row r="97" spans="1:5" s="5" customFormat="1" ht="18.75" customHeight="1">
      <c r="A97" s="14"/>
      <c r="B97" s="234"/>
      <c r="C97" s="235"/>
      <c r="D97" s="235"/>
      <c r="E97" s="236"/>
    </row>
    <row r="98" spans="1:5" s="5" customFormat="1" ht="18.75" customHeight="1">
      <c r="A98" s="14"/>
      <c r="B98" s="234"/>
      <c r="C98" s="235"/>
      <c r="D98" s="235"/>
      <c r="E98" s="236"/>
    </row>
    <row r="99" spans="1:5" s="5" customFormat="1" ht="18.75" customHeight="1">
      <c r="A99" s="14"/>
      <c r="B99" s="234"/>
      <c r="C99" s="235"/>
      <c r="D99" s="235"/>
      <c r="E99" s="236"/>
    </row>
    <row r="100" spans="1:5" s="5" customFormat="1" ht="18.75" customHeight="1">
      <c r="A100" s="14"/>
      <c r="B100" s="234"/>
      <c r="C100" s="235"/>
      <c r="D100" s="235"/>
      <c r="E100" s="236"/>
    </row>
    <row r="101" spans="1:5" s="5" customFormat="1" ht="18.75" customHeight="1">
      <c r="A101" s="14"/>
      <c r="B101" s="234"/>
      <c r="C101" s="235"/>
      <c r="D101" s="235"/>
      <c r="E101" s="236"/>
    </row>
    <row r="102" spans="1:5" s="5" customFormat="1" ht="18.75" customHeight="1">
      <c r="A102" s="14"/>
      <c r="B102" s="234"/>
      <c r="C102" s="235"/>
      <c r="D102" s="235"/>
      <c r="E102" s="236"/>
    </row>
    <row r="103" spans="1:5" s="5" customFormat="1" ht="18.75" customHeight="1">
      <c r="A103" s="14"/>
      <c r="B103" s="234"/>
      <c r="C103" s="235"/>
      <c r="D103" s="235"/>
      <c r="E103" s="236"/>
    </row>
    <row r="104" spans="1:5" s="5" customFormat="1" ht="18.75" customHeight="1">
      <c r="A104" s="14"/>
      <c r="B104" s="234"/>
      <c r="C104" s="235"/>
      <c r="D104" s="235"/>
      <c r="E104" s="236"/>
    </row>
    <row r="105" spans="1:5" s="5" customFormat="1" ht="18.75" customHeight="1">
      <c r="A105" s="14"/>
      <c r="B105" s="234"/>
      <c r="C105" s="235"/>
      <c r="D105" s="235"/>
      <c r="E105" s="236"/>
    </row>
    <row r="106" spans="1:5" s="5" customFormat="1" ht="18.75" customHeight="1">
      <c r="A106" s="14"/>
      <c r="B106" s="234"/>
      <c r="C106" s="235"/>
      <c r="D106" s="235"/>
      <c r="E106" s="236"/>
    </row>
    <row r="107" spans="1:5" s="5" customFormat="1" ht="18.75" customHeight="1">
      <c r="A107" s="14"/>
      <c r="B107" s="234"/>
      <c r="C107" s="235"/>
      <c r="D107" s="235"/>
      <c r="E107" s="236"/>
    </row>
    <row r="108" spans="1:5" s="5" customFormat="1" ht="18.75" customHeight="1">
      <c r="A108" s="14"/>
      <c r="B108" s="234"/>
      <c r="C108" s="235"/>
      <c r="D108" s="235"/>
      <c r="E108" s="236"/>
    </row>
    <row r="109" spans="1:5" s="5" customFormat="1" ht="18.75" customHeight="1">
      <c r="A109" s="14"/>
      <c r="B109" s="234"/>
      <c r="C109" s="235"/>
      <c r="D109" s="235"/>
      <c r="E109" s="236"/>
    </row>
    <row r="110" spans="1:5" ht="18.75" customHeight="1">
      <c r="A110" s="8"/>
      <c r="B110" s="234"/>
      <c r="C110" s="235"/>
      <c r="D110" s="235"/>
      <c r="E110" s="236"/>
    </row>
    <row r="111" spans="1:5" ht="18.75" customHeight="1">
      <c r="A111" s="8"/>
      <c r="B111" s="237"/>
      <c r="C111" s="238"/>
      <c r="D111" s="238"/>
      <c r="E111" s="239"/>
    </row>
    <row r="112" spans="1:5" ht="7.5" customHeight="1">
      <c r="A112" s="8"/>
      <c r="B112" s="8"/>
      <c r="C112" s="8"/>
      <c r="D112" s="8"/>
      <c r="E112" s="8"/>
    </row>
    <row r="113" spans="1:5" s="5" customFormat="1" ht="18.75" customHeight="1">
      <c r="A113" s="14" t="s">
        <v>25</v>
      </c>
      <c r="B113" s="240" t="s">
        <v>172</v>
      </c>
      <c r="C113" s="240"/>
      <c r="D113" s="240"/>
      <c r="E113" s="240"/>
    </row>
    <row r="114" spans="1:5" ht="18.75" customHeight="1">
      <c r="A114" s="8"/>
      <c r="B114" s="231" t="s">
        <v>173</v>
      </c>
      <c r="C114" s="232"/>
      <c r="D114" s="232"/>
      <c r="E114" s="233"/>
    </row>
    <row r="115" spans="1:5" ht="18.75" customHeight="1">
      <c r="A115" s="8"/>
      <c r="B115" s="234"/>
      <c r="C115" s="235"/>
      <c r="D115" s="235"/>
      <c r="E115" s="236"/>
    </row>
    <row r="116" spans="1:5" ht="18.75" customHeight="1">
      <c r="A116" s="8"/>
      <c r="B116" s="234"/>
      <c r="C116" s="235"/>
      <c r="D116" s="235"/>
      <c r="E116" s="236"/>
    </row>
    <row r="117" spans="1:5" ht="18.75" customHeight="1">
      <c r="A117" s="8"/>
      <c r="B117" s="234"/>
      <c r="C117" s="235"/>
      <c r="D117" s="235"/>
      <c r="E117" s="236"/>
    </row>
    <row r="118" spans="1:5" ht="18.75" customHeight="1">
      <c r="A118" s="8"/>
      <c r="B118" s="234"/>
      <c r="C118" s="235"/>
      <c r="D118" s="235"/>
      <c r="E118" s="236"/>
    </row>
    <row r="119" spans="1:5" ht="18.75" customHeight="1">
      <c r="A119" s="8"/>
      <c r="B119" s="234"/>
      <c r="C119" s="235"/>
      <c r="D119" s="235"/>
      <c r="E119" s="236"/>
    </row>
    <row r="120" spans="1:5" ht="18.75" customHeight="1">
      <c r="A120" s="8"/>
      <c r="B120" s="234"/>
      <c r="C120" s="235"/>
      <c r="D120" s="235"/>
      <c r="E120" s="236"/>
    </row>
    <row r="121" spans="1:5" ht="18.75" customHeight="1">
      <c r="A121" s="8"/>
      <c r="B121" s="234"/>
      <c r="C121" s="235"/>
      <c r="D121" s="235"/>
      <c r="E121" s="236"/>
    </row>
    <row r="122" spans="1:5" ht="18.75" customHeight="1">
      <c r="A122" s="8"/>
      <c r="B122" s="234"/>
      <c r="C122" s="235"/>
      <c r="D122" s="235"/>
      <c r="E122" s="236"/>
    </row>
    <row r="123" spans="1:5" ht="18.75" customHeight="1">
      <c r="A123" s="8"/>
      <c r="B123" s="234"/>
      <c r="C123" s="235"/>
      <c r="D123" s="235"/>
      <c r="E123" s="236"/>
    </row>
    <row r="124" spans="1:5" ht="18.75" customHeight="1">
      <c r="A124" s="8"/>
      <c r="B124" s="234"/>
      <c r="C124" s="235"/>
      <c r="D124" s="235"/>
      <c r="E124" s="236"/>
    </row>
    <row r="125" spans="1:5" ht="18.75" customHeight="1">
      <c r="A125" s="8"/>
      <c r="B125" s="234"/>
      <c r="C125" s="235"/>
      <c r="D125" s="235"/>
      <c r="E125" s="236"/>
    </row>
    <row r="126" spans="1:5" ht="18.75" customHeight="1">
      <c r="A126" s="8"/>
      <c r="B126" s="234"/>
      <c r="C126" s="235"/>
      <c r="D126" s="235"/>
      <c r="E126" s="236"/>
    </row>
    <row r="127" spans="1:5" ht="18.75" customHeight="1">
      <c r="A127" s="8"/>
      <c r="B127" s="234"/>
      <c r="C127" s="235"/>
      <c r="D127" s="235"/>
      <c r="E127" s="236"/>
    </row>
    <row r="128" spans="1:5" ht="18.75" customHeight="1">
      <c r="A128" s="8"/>
      <c r="B128" s="234"/>
      <c r="C128" s="235"/>
      <c r="D128" s="235"/>
      <c r="E128" s="236"/>
    </row>
    <row r="129" spans="1:5" ht="18.75" customHeight="1">
      <c r="A129" s="8"/>
      <c r="B129" s="234"/>
      <c r="C129" s="235"/>
      <c r="D129" s="235"/>
      <c r="E129" s="236"/>
    </row>
    <row r="130" spans="1:5" ht="18.75" customHeight="1">
      <c r="A130" s="8"/>
      <c r="B130" s="234"/>
      <c r="C130" s="235"/>
      <c r="D130" s="235"/>
      <c r="E130" s="236"/>
    </row>
    <row r="131" spans="1:5" ht="18.75" customHeight="1">
      <c r="A131" s="8"/>
      <c r="B131" s="234"/>
      <c r="C131" s="235"/>
      <c r="D131" s="235"/>
      <c r="E131" s="236"/>
    </row>
    <row r="132" spans="1:5" ht="18.75" customHeight="1">
      <c r="A132" s="8"/>
      <c r="B132" s="234"/>
      <c r="C132" s="235"/>
      <c r="D132" s="235"/>
      <c r="E132" s="236"/>
    </row>
    <row r="133" spans="1:5" ht="18.75" customHeight="1">
      <c r="A133" s="8"/>
      <c r="B133" s="237"/>
      <c r="C133" s="238"/>
      <c r="D133" s="238"/>
      <c r="E133" s="239"/>
    </row>
    <row r="134" spans="1:5" ht="7.5" customHeight="1">
      <c r="A134" s="8"/>
      <c r="B134" s="12"/>
      <c r="C134" s="12"/>
      <c r="D134" s="12"/>
      <c r="E134" s="12"/>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zoomScaleNormal="100" workbookViewId="0">
      <selection activeCell="I27" sqref="I27"/>
    </sheetView>
  </sheetViews>
  <sheetFormatPr defaultColWidth="11.375" defaultRowHeight="22.5" customHeight="1"/>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0" ht="18.75" customHeight="1">
      <c r="J1" s="98" t="s">
        <v>174</v>
      </c>
    </row>
    <row r="2" spans="1:10" ht="18.75" customHeight="1">
      <c r="D2" s="98"/>
      <c r="H2" s="98" t="s">
        <v>175</v>
      </c>
      <c r="I2" s="241" t="s">
        <v>69</v>
      </c>
      <c r="J2" s="241"/>
    </row>
    <row r="3" spans="1:10" ht="18.75" customHeight="1">
      <c r="A3" s="161" t="s">
        <v>176</v>
      </c>
      <c r="B3" s="161"/>
      <c r="C3" s="161"/>
      <c r="D3" s="161"/>
      <c r="E3" s="161"/>
      <c r="F3" s="161"/>
      <c r="G3" s="161"/>
      <c r="H3" s="161"/>
      <c r="I3" s="161"/>
      <c r="J3" s="161"/>
    </row>
    <row r="4" spans="1:10" ht="7.5" customHeight="1">
      <c r="B4" s="103"/>
      <c r="C4" s="103"/>
      <c r="D4" s="267"/>
      <c r="E4" s="268"/>
      <c r="F4" s="268"/>
      <c r="G4" s="268"/>
      <c r="H4" s="268"/>
      <c r="I4" s="268"/>
      <c r="J4" s="268"/>
    </row>
    <row r="5" spans="1:10" ht="18.75" customHeight="1">
      <c r="A5" s="1" t="s">
        <v>2</v>
      </c>
      <c r="B5" s="5" t="s">
        <v>177</v>
      </c>
      <c r="C5" s="103"/>
      <c r="D5" s="103"/>
      <c r="E5" s="104"/>
      <c r="F5" s="104"/>
      <c r="G5" s="104"/>
      <c r="H5" s="104"/>
      <c r="I5" s="104"/>
      <c r="J5" s="104"/>
    </row>
    <row r="6" spans="1:10" ht="18.75" customHeight="1">
      <c r="B6" s="269" t="s">
        <v>178</v>
      </c>
      <c r="C6" s="270"/>
      <c r="D6" s="271"/>
      <c r="E6" s="272" t="s">
        <v>179</v>
      </c>
      <c r="F6" s="272"/>
      <c r="G6" s="272"/>
      <c r="H6" s="272"/>
      <c r="I6" s="272"/>
      <c r="J6" s="273"/>
    </row>
    <row r="7" spans="1:10" ht="18.75" customHeight="1">
      <c r="B7" s="6" t="s">
        <v>180</v>
      </c>
      <c r="C7" s="8"/>
      <c r="D7" s="18"/>
      <c r="E7" s="3"/>
      <c r="F7" s="3"/>
      <c r="G7" s="3"/>
      <c r="H7" s="3"/>
      <c r="I7" s="15"/>
      <c r="J7" s="16"/>
    </row>
    <row r="8" spans="1:10" ht="202.5" customHeight="1">
      <c r="B8" s="17"/>
      <c r="C8" s="262" t="s">
        <v>181</v>
      </c>
      <c r="D8" s="263"/>
      <c r="E8" s="264" t="s">
        <v>182</v>
      </c>
      <c r="F8" s="265"/>
      <c r="G8" s="265"/>
      <c r="H8" s="265"/>
      <c r="I8" s="265"/>
      <c r="J8" s="266"/>
    </row>
    <row r="9" spans="1:10" ht="202.5" customHeight="1">
      <c r="B9" s="17"/>
      <c r="C9" s="277" t="s">
        <v>183</v>
      </c>
      <c r="D9" s="278"/>
      <c r="E9" s="264" t="s">
        <v>184</v>
      </c>
      <c r="F9" s="265"/>
      <c r="G9" s="265"/>
      <c r="H9" s="265"/>
      <c r="I9" s="265"/>
      <c r="J9" s="266"/>
    </row>
    <row r="10" spans="1:10" ht="172.5" customHeight="1">
      <c r="B10" s="17"/>
      <c r="C10" s="262" t="s">
        <v>185</v>
      </c>
      <c r="D10" s="263"/>
      <c r="E10" s="264" t="s">
        <v>186</v>
      </c>
      <c r="F10" s="265"/>
      <c r="G10" s="265"/>
      <c r="H10" s="265"/>
      <c r="I10" s="265"/>
      <c r="J10" s="266"/>
    </row>
    <row r="11" spans="1:10" ht="172.5" customHeight="1">
      <c r="B11" s="17"/>
      <c r="C11" s="262" t="s">
        <v>187</v>
      </c>
      <c r="D11" s="263"/>
      <c r="E11" s="264" t="s">
        <v>188</v>
      </c>
      <c r="F11" s="265"/>
      <c r="G11" s="265"/>
      <c r="H11" s="265"/>
      <c r="I11" s="265"/>
      <c r="J11" s="266"/>
    </row>
    <row r="12" spans="1:10" ht="172.5" customHeight="1">
      <c r="B12" s="17"/>
      <c r="C12" s="262" t="s">
        <v>189</v>
      </c>
      <c r="D12" s="263"/>
      <c r="E12" s="264" t="s">
        <v>190</v>
      </c>
      <c r="F12" s="265"/>
      <c r="G12" s="265"/>
      <c r="H12" s="265"/>
      <c r="I12" s="265"/>
      <c r="J12" s="266"/>
    </row>
    <row r="13" spans="1:10" ht="18.75" customHeight="1">
      <c r="B13" s="20" t="s">
        <v>191</v>
      </c>
      <c r="C13" s="45"/>
      <c r="D13" s="19"/>
      <c r="E13" s="51"/>
      <c r="F13" s="51"/>
      <c r="G13" s="51"/>
      <c r="H13" s="51"/>
      <c r="I13" s="51"/>
      <c r="J13" s="52"/>
    </row>
    <row r="14" spans="1:10" ht="255" customHeight="1">
      <c r="B14" s="17"/>
      <c r="C14" s="262" t="s">
        <v>192</v>
      </c>
      <c r="D14" s="263"/>
      <c r="E14" s="265" t="s">
        <v>193</v>
      </c>
      <c r="F14" s="265"/>
      <c r="G14" s="265"/>
      <c r="H14" s="265"/>
      <c r="I14" s="265"/>
      <c r="J14" s="266"/>
    </row>
    <row r="15" spans="1:10" ht="255" customHeight="1">
      <c r="B15" s="17"/>
      <c r="C15" s="279" t="s">
        <v>194</v>
      </c>
      <c r="D15" s="280"/>
      <c r="E15" s="281" t="s">
        <v>195</v>
      </c>
      <c r="F15" s="281"/>
      <c r="G15" s="281"/>
      <c r="H15" s="281"/>
      <c r="I15" s="281"/>
      <c r="J15" s="282"/>
    </row>
    <row r="16" spans="1:10" ht="232.5" customHeight="1">
      <c r="B16" s="283" t="s">
        <v>196</v>
      </c>
      <c r="C16" s="284"/>
      <c r="D16" s="263"/>
      <c r="E16" s="265" t="s">
        <v>197</v>
      </c>
      <c r="F16" s="265"/>
      <c r="G16" s="265"/>
      <c r="H16" s="265"/>
      <c r="I16" s="265"/>
      <c r="J16" s="266"/>
    </row>
    <row r="17" spans="1:10" ht="232.5" customHeight="1">
      <c r="A17" s="50"/>
      <c r="B17" s="274" t="s">
        <v>198</v>
      </c>
      <c r="C17" s="275"/>
      <c r="D17" s="276"/>
      <c r="E17" s="257" t="s">
        <v>199</v>
      </c>
      <c r="F17" s="257"/>
      <c r="G17" s="257"/>
      <c r="H17" s="257"/>
      <c r="I17" s="257"/>
      <c r="J17" s="258"/>
    </row>
    <row r="18" spans="1:10" ht="7.5" customHeight="1">
      <c r="B18" s="103"/>
      <c r="C18" s="103"/>
      <c r="D18" s="103"/>
      <c r="E18" s="104"/>
      <c r="F18" s="104"/>
      <c r="G18" s="104"/>
      <c r="H18" s="104"/>
      <c r="I18" s="104"/>
      <c r="J18" s="104"/>
    </row>
    <row r="19" spans="1:10" ht="18.75" customHeight="1">
      <c r="B19" s="5"/>
      <c r="C19" s="103"/>
      <c r="D19" s="103"/>
      <c r="E19" s="104"/>
      <c r="F19" s="47"/>
      <c r="G19" s="47"/>
      <c r="H19" s="57" t="s">
        <v>200</v>
      </c>
      <c r="I19" s="53"/>
      <c r="J19" s="91"/>
    </row>
    <row r="20" spans="1:10" ht="18.75" customHeight="1">
      <c r="A20" s="3" t="s">
        <v>5</v>
      </c>
      <c r="B20" s="54" t="s">
        <v>201</v>
      </c>
      <c r="C20" s="55"/>
      <c r="D20" s="55"/>
      <c r="E20" s="56"/>
      <c r="F20" s="84" t="s">
        <v>202</v>
      </c>
      <c r="G20" s="85"/>
      <c r="H20" s="259" t="s">
        <v>151</v>
      </c>
      <c r="I20" s="260"/>
      <c r="J20" s="261"/>
    </row>
    <row r="21" spans="1:10" ht="22.5" customHeight="1">
      <c r="B21" s="103"/>
      <c r="C21" s="103"/>
      <c r="D21" s="103"/>
      <c r="E21" s="104"/>
      <c r="F21" s="104"/>
      <c r="G21" s="104"/>
      <c r="H21" s="104"/>
      <c r="I21" s="104"/>
      <c r="J21" s="104"/>
    </row>
    <row r="22" spans="1:10" ht="22.5" customHeight="1">
      <c r="B22" s="103"/>
      <c r="C22" s="103"/>
      <c r="D22" s="103"/>
      <c r="E22" s="104"/>
      <c r="F22" s="104"/>
      <c r="G22" s="104"/>
      <c r="H22" s="104"/>
      <c r="I22" s="104"/>
      <c r="J22" s="104"/>
    </row>
    <row r="23" spans="1:10" ht="22.5" customHeight="1">
      <c r="B23" s="103"/>
      <c r="C23" s="103"/>
      <c r="D23" s="103"/>
      <c r="E23" s="104"/>
      <c r="F23" s="104"/>
      <c r="G23" s="104"/>
      <c r="H23" s="104"/>
      <c r="I23" s="104"/>
      <c r="J23" s="104"/>
    </row>
    <row r="24" spans="1:10" ht="22.5" customHeight="1">
      <c r="B24" s="103"/>
      <c r="C24" s="103"/>
      <c r="D24" s="103"/>
      <c r="E24" s="104"/>
      <c r="F24" s="104"/>
      <c r="G24" s="104"/>
      <c r="H24" s="104"/>
      <c r="I24" s="104"/>
      <c r="J24" s="104"/>
    </row>
    <row r="25" spans="1:10" ht="22.5" customHeight="1">
      <c r="B25" s="103"/>
      <c r="C25" s="103"/>
      <c r="D25" s="103"/>
      <c r="E25" s="104"/>
      <c r="F25" s="104"/>
      <c r="G25" s="104"/>
      <c r="H25" s="104"/>
      <c r="I25" s="104"/>
      <c r="J25" s="104"/>
    </row>
    <row r="26" spans="1:10" ht="22.5" customHeight="1">
      <c r="B26" s="13"/>
      <c r="C26" s="13"/>
      <c r="D26" s="13"/>
      <c r="E26" s="13"/>
      <c r="F26" s="13"/>
      <c r="G26" s="13"/>
      <c r="H26" s="13"/>
      <c r="I26" s="13"/>
      <c r="J26" s="13"/>
    </row>
    <row r="27" spans="1:10" ht="22.5" customHeight="1">
      <c r="B27" s="13"/>
      <c r="C27" s="13"/>
      <c r="D27" s="13"/>
      <c r="E27" s="13"/>
      <c r="F27" s="13"/>
      <c r="G27" s="13"/>
      <c r="H27" s="13"/>
      <c r="I27" s="13"/>
      <c r="J27" s="13"/>
    </row>
    <row r="28" spans="1:10" ht="22.5" customHeight="1">
      <c r="B28" s="13"/>
      <c r="C28" s="13"/>
      <c r="D28" s="13"/>
      <c r="E28" s="13"/>
      <c r="F28" s="13"/>
      <c r="G28" s="13"/>
      <c r="H28" s="13"/>
      <c r="I28" s="13"/>
      <c r="J28" s="13"/>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2022-02-22T09:41:31Z</dcterms:modified>
  <cp:category/>
  <cp:contentStatus/>
</cp:coreProperties>
</file>