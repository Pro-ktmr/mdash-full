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3"/>
  <workbookPr defaultThemeVersion="124226"/>
  <mc:AlternateContent xmlns:mc="http://schemas.openxmlformats.org/markup-compatibility/2006">
    <mc:Choice Requires="x15">
      <x15ac:absPath xmlns:x15ac="http://schemas.microsoft.com/office/spreadsheetml/2010/11/ac" url="\\JIMUFSV\32kyoumu\@@@教務ＦＳ整理\授業に関する文書(本科)\37.COMPASS5.0次世代基盤技術教育のカリキュラム化と特色の伸長・深化（機構本部）\21認定申請\05【文科省より修正依頼】申請書類\"/>
    </mc:Choice>
  </mc:AlternateContent>
  <xr:revisionPtr revIDLastSave="0" documentId="13_ncr:1_{6C5F2363-454B-42ED-A255-9318E86D2A85}" xr6:coauthVersionLast="36" xr6:coauthVersionMax="36" xr10:uidLastSave="{00000000-0000-0000-0000-000000000000}"/>
  <bookViews>
    <workbookView xWindow="-105" yWindow="495" windowWidth="33120" windowHeight="18120"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8"/>
</workbook>
</file>

<file path=xl/calcChain.xml><?xml version="1.0" encoding="utf-8"?>
<calcChain xmlns="http://schemas.openxmlformats.org/spreadsheetml/2006/main">
  <c r="W12" i="36" l="1"/>
  <c r="L12" i="36"/>
  <c r="L11" i="36"/>
  <c r="L10" i="36"/>
  <c r="M133" i="35"/>
  <c r="M111" i="35"/>
  <c r="M89" i="35"/>
  <c r="M68" i="35"/>
  <c r="M46" i="35"/>
  <c r="P46" i="35" l="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<sst xmlns="http://schemas.openxmlformats.org/spreadsheetml/2006/main" count="270" uniqueCount="200">
  <si>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</si>
  <si>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</si>
  <si>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</si>
  <si>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</si>
  <si>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</si>
  <si>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</si>
  <si>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高橋　薫</t>
  </si>
  <si>
    <t>③</t>
    <phoneticPr fontId="1"/>
  </si>
  <si>
    <t>設置形態</t>
  </si>
  <si>
    <t>高等専門学校</t>
  </si>
  <si>
    <t>④</t>
    <phoneticPr fontId="1"/>
  </si>
  <si>
    <t>所在地</t>
    <phoneticPr fontId="1"/>
  </si>
  <si>
    <t>北海道旭川市春光台２条２丁目１番６号</t>
  </si>
  <si>
    <t>⑤</t>
    <phoneticPr fontId="1"/>
  </si>
  <si>
    <t>申請するプログラム又は授業科目名称</t>
    <rPh sb="0" eb="2">
      <t>シンセイ</t>
    </rPh>
    <rPh sb="9" eb="10">
      <t>マタ</t>
    </rPh>
    <rPh sb="11" eb="13">
      <t>ジュギョウ</t>
    </rPh>
    <rPh sb="13" eb="15">
      <t>カモク</t>
    </rPh>
    <rPh sb="15" eb="17">
      <t>メイショウ</t>
    </rPh>
    <phoneticPr fontId="1"/>
  </si>
  <si>
    <t>⑥</t>
    <phoneticPr fontId="1"/>
  </si>
  <si>
    <t>プログラムの開設年度</t>
    <rPh sb="6" eb="8">
      <t>カイセツ</t>
    </rPh>
    <rPh sb="8" eb="10">
      <t>ネンド</t>
    </rPh>
    <phoneticPr fontId="1"/>
  </si>
  <si>
    <t>令和２年度</t>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</si>
  <si>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</si>
  <si>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</si>
  <si>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</si>
  <si>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</si>
  <si>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</si>
  <si>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</si>
  <si>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</si>
  <si>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</si>
  <si>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</si>
  <si>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</si>
  <si>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</si>
  <si>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</si>
  <si>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</si>
  <si>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</si>
  <si>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</si>
  <si>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</si>
  <si>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</si>
  <si>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</si>
  <si>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</si>
  <si>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</si>
  <si>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</si>
  <si>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</si>
  <si>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（役職名）</t>
    <rPh sb="1" eb="4">
      <t>ヤクショクメイ</t>
    </rPh>
    <phoneticPr fontId="1"/>
  </si>
  <si>
    <t>校長</t>
  </si>
  <si>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</si>
  <si>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</si>
  <si>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点検評価改善委員会</t>
  </si>
  <si>
    <t>横井　直倫</t>
  </si>
  <si>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</si>
  <si>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</si>
  <si>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</si>
  <si>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</si>
  <si>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</si>
  <si>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</si>
  <si>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</si>
  <si>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学生課教務係長</t>
  </si>
  <si>
    <t>担当者名</t>
    <rPh sb="0" eb="2">
      <t>タントウ</t>
    </rPh>
    <rPh sb="2" eb="3">
      <t>シャ</t>
    </rPh>
    <rPh sb="3" eb="4">
      <t>メイ</t>
    </rPh>
    <phoneticPr fontId="1"/>
  </si>
  <si>
    <t>西森　美帆</t>
  </si>
  <si>
    <t>E-mail</t>
  </si>
  <si>
    <t>g_kyomu@asahikawa-nct.ac.jp</t>
  </si>
  <si>
    <t>電話番号</t>
  </si>
  <si>
    <t>0166-55-8122</t>
  </si>
  <si>
    <t>様式２</t>
    <rPh sb="0" eb="2">
      <t>ヨウシキ</t>
    </rPh>
    <phoneticPr fontId="1"/>
  </si>
  <si>
    <t>学校名：</t>
    <rPh sb="0" eb="2">
      <t>ガッコウ</t>
    </rPh>
    <rPh sb="2" eb="3">
      <t>メイ</t>
    </rPh>
    <phoneticPr fontId="1"/>
  </si>
  <si>
    <t>旭川工業高等専門学校</t>
    <rPh sb="0" eb="10">
      <t>アサヒカワコウ</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</si>
  <si>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</si>
  <si>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</si>
  <si>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</si>
  <si>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</si>
  <si>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本教育プログラム対象である下記の科目5単位 全てを修得していること。
　「情報基礎」(１年生・必修科目)　１単位
　「数学IIIB」(３年生・必修科目)　１単位
　「北海道ベースドラーニングI」(４年生・一般選択科目・全学科に開講)　１単位
　「食農・医福基礎」(４年生・一般選択科目・全学科に開講)　１単位
　「食農・医福演習」(４年生・一般選択科目・全学科に開講)　１単位</t>
    <rPh sb="0" eb="1">
      <t>ホン</t>
    </rPh>
    <rPh sb="13" eb="15">
      <t>カキ</t>
    </rPh>
    <rPh sb="16" eb="18">
      <t>カモク</t>
    </rPh>
    <rPh sb="22" eb="23">
      <t>スベ</t>
    </rPh>
    <rPh sb="45" eb="47">
      <t>ネンセイ</t>
    </rPh>
    <rPh sb="48" eb="50">
      <t>ヒッシュウ</t>
    </rPh>
    <rPh sb="50" eb="52">
      <t>カモク</t>
    </rPh>
    <rPh sb="55" eb="57">
      <t>タンイ</t>
    </rPh>
    <rPh sb="79" eb="81">
      <t>タンイ</t>
    </rPh>
    <rPh sb="103" eb="105">
      <t>イッパン</t>
    </rPh>
    <rPh sb="105" eb="107">
      <t>セン</t>
    </rPh>
    <rPh sb="110" eb="113">
      <t>ゼンガッカ</t>
    </rPh>
    <rPh sb="114" eb="116">
      <t>カイコウ</t>
    </rPh>
    <rPh sb="119" eb="121">
      <t>タンイ</t>
    </rPh>
    <rPh sb="124" eb="126">
      <t>ショクノウ</t>
    </rPh>
    <rPh sb="127" eb="128">
      <t>イ</t>
    </rPh>
    <rPh sb="128" eb="129">
      <t>フク</t>
    </rPh>
    <rPh sb="129" eb="131">
      <t>キソ</t>
    </rPh>
    <rPh sb="163" eb="165">
      <t>エンシュウ</t>
    </rPh>
    <phoneticPr fontId="1"/>
  </si>
  <si>
    <t>授業科目名称</t>
    <rPh sb="0" eb="2">
      <t>ジュギョウ</t>
    </rPh>
    <rPh sb="2" eb="4">
      <t>カモク</t>
    </rPh>
    <rPh sb="4" eb="6">
      <t>メイショウ</t>
    </rPh>
    <phoneticPr fontId="1"/>
  </si>
  <si>
    <t>情報基礎</t>
  </si>
  <si>
    <t>数学IIIB</t>
  </si>
  <si>
    <t>北海道ベースドラーニングI</t>
  </si>
  <si>
    <t>食農・医福基礎</t>
    <phoneticPr fontId="1"/>
  </si>
  <si>
    <t>食農・医福演習</t>
    <rPh sb="5" eb="7">
      <t>エンシュウ</t>
    </rPh>
    <phoneticPr fontId="1"/>
  </si>
  <si>
    <t>様式３</t>
    <rPh sb="0" eb="2">
      <t>ヨウシキ</t>
    </rPh>
    <phoneticPr fontId="1"/>
  </si>
  <si>
    <t>学校名：</t>
    <rPh sb="0" eb="2">
      <t>ガッコウ</t>
    </rPh>
    <phoneticPr fontId="1"/>
  </si>
  <si>
    <t>　旭川工業高等専門学校</t>
  </si>
  <si>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</si>
  <si>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</si>
  <si>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</si>
  <si>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</si>
  <si>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</si>
  <si>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</si>
  <si>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</si>
  <si>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</si>
  <si>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機械システム工学科(工業)</t>
  </si>
  <si>
    <t>電気情報工学科(工業)</t>
  </si>
  <si>
    <t>システム制御情報工学科(工業)</t>
  </si>
  <si>
    <t>物質化学工学科(工業)</t>
  </si>
  <si>
    <t>合　計</t>
    <phoneticPr fontId="1"/>
  </si>
  <si>
    <t>様式４</t>
    <rPh sb="0" eb="2">
      <t>ヨウシキ</t>
    </rPh>
    <phoneticPr fontId="1"/>
  </si>
  <si>
    <t>旭川工業高等専門学校</t>
    <rPh sb="0" eb="10">
      <t>アサ</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</si>
  <si>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</si>
  <si>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</si>
  <si>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</si>
  <si>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</si>
  <si>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</si>
  <si>
    <t>　本科目は１年生必修科目である。初学者向けにコンピュータとネットワークの基本的な知識と操作法の修得，コミュニケーション能力や情報収集・発信能力を身につけることを目指し，授業を展開した。また，Society5.0という新しい情報社会を想定し，情報セキュリティを理解し，情報を取り扱う上での一般常識を習得することを目標とした。
　授業形態としては，集合形式の講義において単に知識を説明するだけの一方向の授業に留めることなく，各学生が１台ずつコンピュータを操作し，演習形式の時間を含めた教育を実践した。演習の中には，自ら調べ，それを素材としてグループで討論し，最後にプレゼンテーションを行うグループ演習も行い，情報機器の活用とともにコミュニケーション能力の涵養も行った。このような経験から，コンピュータやインターネットが自分たちの実生活においても利活用可能であることを体験的に学習した。</t>
    <rPh sb="1" eb="4">
      <t>ホンカモク</t>
    </rPh>
    <rPh sb="6" eb="8">
      <t>ネンセイ</t>
    </rPh>
    <rPh sb="8" eb="10">
      <t>ヒッシュウ</t>
    </rPh>
    <rPh sb="10" eb="12">
      <t>カモク</t>
    </rPh>
    <rPh sb="16" eb="19">
      <t>ショガクシャ</t>
    </rPh>
    <rPh sb="19" eb="20">
      <t>ム</t>
    </rPh>
    <rPh sb="47" eb="49">
      <t>シュウトク</t>
    </rPh>
    <rPh sb="80" eb="82">
      <t>メザ</t>
    </rPh>
    <rPh sb="84" eb="86">
      <t>ジュギョウ</t>
    </rPh>
    <rPh sb="87" eb="89">
      <t>テンカイ</t>
    </rPh>
    <rPh sb="108" eb="109">
      <t>アタラ</t>
    </rPh>
    <rPh sb="111" eb="115">
      <t>ジョウホウシャカイ</t>
    </rPh>
    <rPh sb="116" eb="118">
      <t>ソウテイ</t>
    </rPh>
    <rPh sb="163" eb="165">
      <t>ジュギョウ</t>
    </rPh>
    <rPh sb="165" eb="167">
      <t>ケイタイ</t>
    </rPh>
    <rPh sb="172" eb="174">
      <t>シュウゴウ</t>
    </rPh>
    <rPh sb="174" eb="176">
      <t>ケイシキ</t>
    </rPh>
    <rPh sb="177" eb="179">
      <t>コウギ</t>
    </rPh>
    <rPh sb="183" eb="184">
      <t>タン</t>
    </rPh>
    <rPh sb="196" eb="198">
      <t>ホウコウ</t>
    </rPh>
    <rPh sb="199" eb="201">
      <t>ジュギョウ</t>
    </rPh>
    <rPh sb="202" eb="203">
      <t>トド</t>
    </rPh>
    <rPh sb="225" eb="227">
      <t>ソウサ</t>
    </rPh>
    <rPh sb="234" eb="236">
      <t>ジカン</t>
    </rPh>
    <rPh sb="237" eb="238">
      <t>フク</t>
    </rPh>
    <rPh sb="240" eb="242">
      <t>キョウイク</t>
    </rPh>
    <rPh sb="243" eb="245">
      <t>ジッセン</t>
    </rPh>
    <rPh sb="248" eb="250">
      <t>エンシュウ</t>
    </rPh>
    <rPh sb="251" eb="252">
      <t>ナカ</t>
    </rPh>
    <rPh sb="255" eb="256">
      <t>ミズカ</t>
    </rPh>
    <rPh sb="257" eb="258">
      <t>シラ</t>
    </rPh>
    <rPh sb="263" eb="265">
      <t>ソザイ</t>
    </rPh>
    <rPh sb="273" eb="275">
      <t>トウロン</t>
    </rPh>
    <rPh sb="277" eb="279">
      <t>サイゴ</t>
    </rPh>
    <rPh sb="290" eb="291">
      <t>オコナ</t>
    </rPh>
    <rPh sb="296" eb="298">
      <t>エンシュウ</t>
    </rPh>
    <rPh sb="299" eb="300">
      <t>オコナ</t>
    </rPh>
    <rPh sb="302" eb="306">
      <t>ジョウホウキキ</t>
    </rPh>
    <rPh sb="307" eb="309">
      <t>カツヨウ</t>
    </rPh>
    <rPh sb="322" eb="324">
      <t>ノウリョク</t>
    </rPh>
    <rPh sb="325" eb="327">
      <t>カンヨウ</t>
    </rPh>
    <rPh sb="328" eb="329">
      <t>オコナ</t>
    </rPh>
    <rPh sb="337" eb="339">
      <t>ケイケン</t>
    </rPh>
    <rPh sb="357" eb="359">
      <t>ジブン</t>
    </rPh>
    <rPh sb="362" eb="365">
      <t>ジッセイカツ</t>
    </rPh>
    <rPh sb="370" eb="373">
      <t>リカツヨウ</t>
    </rPh>
    <rPh sb="373" eb="375">
      <t>カノウ</t>
    </rPh>
    <rPh sb="381" eb="383">
      <t>タイケン</t>
    </rPh>
    <rPh sb="383" eb="384">
      <t>テキ</t>
    </rPh>
    <rPh sb="385" eb="387">
      <t>ガクシュウ</t>
    </rPh>
    <phoneticPr fontId="1"/>
  </si>
  <si>
    <t>授業科目名称</t>
    <rPh sb="0" eb="2">
      <t>ジュギョウ</t>
    </rPh>
    <rPh sb="2" eb="6">
      <t>カモクメイショウ</t>
    </rPh>
    <phoneticPr fontId="1"/>
  </si>
  <si>
    <t>講義テーマ</t>
    <rPh sb="0" eb="2">
      <t>コウギ</t>
    </rPh>
    <phoneticPr fontId="1"/>
  </si>
  <si>
    <t>進展が速い情報社会と情報について（第２週）</t>
  </si>
  <si>
    <t>情報のディジタル化について（第３週、第４週）</t>
  </si>
  <si>
    <t>インターネットと電子メールの仕組みについて（第５週～第７週）</t>
  </si>
  <si>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</si>
  <si>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北海道ベースドラーニングI</t>
    <rPh sb="0" eb="3">
      <t>ホッカイドウ</t>
    </rPh>
    <phoneticPr fontId="1"/>
  </si>
  <si>
    <t>地域の経済データ等の分析と課題発見，SWOT分析（第１週～第８週）</t>
    <rPh sb="0" eb="2">
      <t>チイキ</t>
    </rPh>
    <rPh sb="3" eb="5">
      <t>ケイザイ</t>
    </rPh>
    <rPh sb="8" eb="9">
      <t>ナド</t>
    </rPh>
    <rPh sb="10" eb="12">
      <t>ブンセキ</t>
    </rPh>
    <rPh sb="13" eb="17">
      <t>カダイハッケン</t>
    </rPh>
    <rPh sb="22" eb="24">
      <t>ブン</t>
    </rPh>
    <rPh sb="25" eb="26">
      <t>ダイ</t>
    </rPh>
    <rPh sb="27" eb="28">
      <t>シュウ</t>
    </rPh>
    <rPh sb="29" eb="30">
      <t>ダイ</t>
    </rPh>
    <rPh sb="31" eb="32">
      <t>シュウ</t>
    </rPh>
    <phoneticPr fontId="1"/>
  </si>
  <si>
    <t>食農・医福基礎</t>
    <rPh sb="0" eb="1">
      <t>ショク</t>
    </rPh>
    <rPh sb="1" eb="2">
      <t>ノウ</t>
    </rPh>
    <rPh sb="3" eb="4">
      <t>イ</t>
    </rPh>
    <rPh sb="4" eb="5">
      <t>フク</t>
    </rPh>
    <rPh sb="5" eb="7">
      <t>キソ</t>
    </rPh>
    <phoneticPr fontId="1"/>
  </si>
  <si>
    <t>異分野（養殖）におけるデータサイエンスとIoTの活用（第１２週）</t>
    <rPh sb="0" eb="3">
      <t>イブンヤ</t>
    </rPh>
    <rPh sb="4" eb="6">
      <t>ヨウショク</t>
    </rPh>
    <rPh sb="24" eb="26">
      <t>カツヨウ</t>
    </rPh>
    <rPh sb="27" eb="28">
      <t>ダイ</t>
    </rPh>
    <rPh sb="30" eb="31">
      <t>シュウ</t>
    </rPh>
    <phoneticPr fontId="1"/>
  </si>
  <si>
    <t>食農・医福演習</t>
    <rPh sb="0" eb="1">
      <t>ショク</t>
    </rPh>
    <rPh sb="1" eb="2">
      <t>ノウ</t>
    </rPh>
    <rPh sb="3" eb="4">
      <t>イ</t>
    </rPh>
    <rPh sb="4" eb="5">
      <t>フク</t>
    </rPh>
    <rPh sb="5" eb="7">
      <t>エンシュウ</t>
    </rPh>
    <phoneticPr fontId="1"/>
  </si>
  <si>
    <t>地域経済分析システム「RESAS」の活用（第１週）</t>
    <rPh sb="0" eb="2">
      <t>チイキ</t>
    </rPh>
    <rPh sb="2" eb="4">
      <t>ケイザイ</t>
    </rPh>
    <rPh sb="4" eb="6">
      <t>ブンセキ</t>
    </rPh>
    <rPh sb="18" eb="20">
      <t>カツヨウ</t>
    </rPh>
    <rPh sb="21" eb="22">
      <t>ダイ</t>
    </rPh>
    <rPh sb="23" eb="24">
      <t>シュウ</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</si>
  <si>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</si>
  <si>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化学・食品分析実験とデータサイエンスの活用（第３週），北海道の人口や産業構造に関するデータの分析（第１０週）</t>
    <rPh sb="0" eb="2">
      <t>カガク</t>
    </rPh>
    <rPh sb="3" eb="5">
      <t>ショクヒン</t>
    </rPh>
    <rPh sb="5" eb="7">
      <t>ブンセキ</t>
    </rPh>
    <rPh sb="7" eb="9">
      <t>ジッケン</t>
    </rPh>
    <rPh sb="19" eb="21">
      <t>カツヨウ</t>
    </rPh>
    <rPh sb="22" eb="23">
      <t>ダイ</t>
    </rPh>
    <rPh sb="24" eb="25">
      <t>シュウ</t>
    </rPh>
    <rPh sb="27" eb="30">
      <t>ホッカイドウ</t>
    </rPh>
    <rPh sb="31" eb="33">
      <t>ジンコウ</t>
    </rPh>
    <rPh sb="34" eb="38">
      <t>サンギョウコウ</t>
    </rPh>
    <rPh sb="39" eb="40">
      <t>カン</t>
    </rPh>
    <rPh sb="46" eb="48">
      <t>ブンセキ</t>
    </rPh>
    <rPh sb="49" eb="50">
      <t>ダイ</t>
    </rPh>
    <rPh sb="52" eb="53">
      <t>シュウ</t>
    </rPh>
    <phoneticPr fontId="1"/>
  </si>
  <si>
    <t>農業・食品製造分野等に関するデータの分析（第１４週，第１５週）</t>
    <rPh sb="0" eb="2">
      <t>ノウギョウ</t>
    </rPh>
    <rPh sb="3" eb="5">
      <t>ショクヒン</t>
    </rPh>
    <rPh sb="5" eb="7">
      <t>セイゾウ</t>
    </rPh>
    <rPh sb="7" eb="9">
      <t>ブンヤ</t>
    </rPh>
    <rPh sb="9" eb="10">
      <t>ナド</t>
    </rPh>
    <rPh sb="11" eb="12">
      <t>カン</t>
    </rPh>
    <rPh sb="18" eb="20">
      <t>ブンセキ</t>
    </rPh>
    <rPh sb="21" eb="22">
      <t>ダイ</t>
    </rPh>
    <rPh sb="24" eb="25">
      <t>シュウ</t>
    </rPh>
    <rPh sb="26" eb="27">
      <t>ダイ</t>
    </rPh>
    <rPh sb="29" eb="30">
      <t>シュウ</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</si>
  <si>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</si>
  <si>
    <t>インターネットを中心としたメディアリテラシーについて（第８週）</t>
  </si>
  <si>
    <t>インターネット利用に際して起こりがちな諸問題について（第９週）</t>
  </si>
  <si>
    <t>情報セキュリティに関する諸問題について（第１０週、第１１週）</t>
  </si>
  <si>
    <t>著作権の保護を中心とした知的財産権に関する諸問題について（第１２週）</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</si>
  <si>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</si>
  <si>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データサイエンスの基礎（第１２週，第１３週）</t>
    <rPh sb="9" eb="11">
      <t>キソ</t>
    </rPh>
    <rPh sb="12" eb="13">
      <t>ダイ</t>
    </rPh>
    <rPh sb="15" eb="16">
      <t>シュウ</t>
    </rPh>
    <rPh sb="17" eb="18">
      <t>ダイ</t>
    </rPh>
    <rPh sb="20" eb="21">
      <t>シュウ</t>
    </rPh>
    <phoneticPr fontId="1"/>
  </si>
  <si>
    <t>北海道の人口や産業構造に関するデータの分析（第１１週，第１２週）</t>
    <rPh sb="0" eb="3">
      <t>ホッカイドウ</t>
    </rPh>
    <rPh sb="4" eb="6">
      <t>ジンコウ</t>
    </rPh>
    <rPh sb="7" eb="11">
      <t>サンギョウコウ</t>
    </rPh>
    <rPh sb="12" eb="13">
      <t>カン</t>
    </rPh>
    <rPh sb="19" eb="21">
      <t>ブンセキ</t>
    </rPh>
    <rPh sb="22" eb="23">
      <t>ダイ</t>
    </rPh>
    <rPh sb="25" eb="26">
      <t>シュウ</t>
    </rPh>
    <rPh sb="27" eb="28">
      <t>ダイ</t>
    </rPh>
    <rPh sb="30" eb="31">
      <t>シュウ</t>
    </rPh>
    <phoneticPr fontId="1"/>
  </si>
  <si>
    <t>地域経済分析システム「RESAS」の活用（第２週），食品分析と官能試験　（第７週）</t>
    <rPh sb="0" eb="4">
      <t>チイキケイザイ</t>
    </rPh>
    <rPh sb="4" eb="6">
      <t>ブンセキ</t>
    </rPh>
    <rPh sb="18" eb="20">
      <t>カツヨウ</t>
    </rPh>
    <rPh sb="21" eb="22">
      <t>ダイ</t>
    </rPh>
    <rPh sb="23" eb="24">
      <t>シュウ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</si>
  <si>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</si>
  <si>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</si>
  <si>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</si>
  <si>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</si>
  <si>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</si>
  <si>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</si>
  <si>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</si>
  <si>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食農・医福演習（「画像処理プログラミング」（第１２週，第１３週）</t>
    <rPh sb="0" eb="1">
      <t>ショク</t>
    </rPh>
    <rPh sb="1" eb="2">
      <t>ノウ</t>
    </rPh>
    <rPh sb="3" eb="4">
      <t>イ</t>
    </rPh>
    <rPh sb="4" eb="5">
      <t>フク</t>
    </rPh>
    <rPh sb="5" eb="7">
      <t>エンシュウ</t>
    </rPh>
    <rPh sb="9" eb="13">
      <t>ガゾウショリ</t>
    </rPh>
    <rPh sb="22" eb="23">
      <t>ダイ</t>
    </rPh>
    <rPh sb="25" eb="26">
      <t>シュウ</t>
    </rPh>
    <rPh sb="27" eb="28">
      <t>ダイ</t>
    </rPh>
    <rPh sb="30" eb="31">
      <t>シュウ</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</si>
  <si>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</si>
  <si>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</si>
  <si>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</si>
  <si>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</si>
  <si>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</si>
  <si>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地域データ等を様々なアルゴリズムとそのアルゴリズムを実装したソフトウェアを活用し，分析する能力
データを分析した結果から問題を発見し，その解決方法を検討し，試みる能力</t>
    <rPh sb="0" eb="2">
      <t>チイキ</t>
    </rPh>
    <rPh sb="5" eb="6">
      <t>ナド</t>
    </rPh>
    <rPh sb="7" eb="9">
      <t>サマザマ</t>
    </rPh>
    <rPh sb="26" eb="28">
      <t>ジッソウ</t>
    </rPh>
    <rPh sb="37" eb="39">
      <t>カツヨウ</t>
    </rPh>
    <rPh sb="41" eb="43">
      <t>ブンセキ</t>
    </rPh>
    <rPh sb="45" eb="47">
      <t>ノウリョク</t>
    </rPh>
    <rPh sb="52" eb="54">
      <t>ブンセキ</t>
    </rPh>
    <rPh sb="56" eb="58">
      <t>ケッカ</t>
    </rPh>
    <rPh sb="60" eb="62">
      <t>モンダイ</t>
    </rPh>
    <rPh sb="63" eb="65">
      <t>ハッケン</t>
    </rPh>
    <rPh sb="69" eb="71">
      <t>カイケツ</t>
    </rPh>
    <rPh sb="71" eb="73">
      <t>ホウホウ</t>
    </rPh>
    <rPh sb="74" eb="76">
      <t>ケントウ</t>
    </rPh>
    <rPh sb="78" eb="79">
      <t>ココロ</t>
    </rPh>
    <rPh sb="81" eb="83">
      <t>ノウリョク</t>
    </rPh>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</si>
  <si>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</si>
  <si>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</si>
  <si>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</si>
  <si>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</si>
  <si>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</si>
  <si>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</si>
  <si>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400字以内</t>
    <rPh sb="3" eb="4">
      <t>ジ</t>
    </rPh>
    <rPh sb="4" eb="6">
      <t>イナイ</t>
    </rPh>
    <phoneticPr fontId="1"/>
  </si>
  <si>
    <t>　文部科学省等により「AI戦略2019」が我が国の指針として提唱され，数理データサイエンス・AI分野における人材育成を行うため，本校では数理・データサイエンス・AI教育プログラム（以下，本プログラムという。）を設置。本プログラムは，Society5.0の実現を迎えるこれからの社会において必要とされる数理・データサイエンス・AIの基礎的素養を学生に対して修得させるとともに，意欲ある学生に対して自らの専門分野に応用できる力を修得させることを目的としている。
　本校の点検評価改善委員会は，本プログラムを点検・評価し，問題点がある場合はそれを集約し，それについて教務委員会等が検討する。さらに，当該授業の担当者が問題点を改善し，授業を実践する。本プログラムは，このPDCAサイクルを経ることで教育プログラムをさらに良いものへと改善する仕組みを構築している。</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</si>
  <si>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</si>
  <si>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</si>
  <si>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500字以内</t>
    <rPh sb="3" eb="4">
      <t>ジ</t>
    </rPh>
    <rPh sb="4" eb="6">
      <t>イナイ</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</si>
  <si>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</si>
  <si>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</si>
  <si>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</si>
  <si>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</si>
  <si>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</si>
  <si>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</si>
  <si>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</si>
  <si>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</si>
  <si>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</si>
  <si>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</si>
  <si>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</si>
  <si>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</si>
  <si>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</si>
  <si>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</si>
  <si>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</si>
  <si>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</si>
  <si>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</si>
  <si>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</si>
  <si>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</si>
  <si>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</si>
  <si>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</si>
  <si>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</si>
  <si>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</si>
  <si>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修正案</t>
    <phoneticPr fontId="1"/>
  </si>
  <si>
    <r>
      <t xml:space="preserve">
</t>
    </r>
    <r>
      <rPr>
        <sz val="12"/>
        <rFont val="ＭＳ Ｐゴシック"/>
        <family val="2"/>
        <scheme val="minor"/>
      </rPr>
      <t>　独立行政法人国立高等専門学校機構が中心となり令和２年度から開始された「COMPASS 5.0　AI・データサイエンス分野」のプロジェクトへ参画し，他高専と連携しながら，教材開発や教材共有を開始した。このプロジェクトでは，先行取組である「数理・データサイエンス教育強化拠点コンソーシアム」等の教材について網羅的に調査し，モデルカリキュラムとの対応や高専での教育での活用についても検討し，その結果を本校の教育プログラムへフィードバックしてきた。また，プロジェクトとしても外部講師を招き，教員向け講習会も実施した。これらの活動を通して，授業水準・内容の向上に組織的かつ継続的に取り組んでいる。</t>
    </r>
    <rPh sb="2" eb="4">
      <t>ドクリツ</t>
    </rPh>
    <rPh sb="4" eb="6">
      <t>ギョウセイ</t>
    </rPh>
    <rPh sb="6" eb="8">
      <t>ホウジン</t>
    </rPh>
    <rPh sb="8" eb="10">
      <t>コクリツ</t>
    </rPh>
    <rPh sb="10" eb="16">
      <t>コウトウセン</t>
    </rPh>
    <rPh sb="16" eb="18">
      <t>キコウ</t>
    </rPh>
    <rPh sb="19" eb="21">
      <t>チュウシン</t>
    </rPh>
    <rPh sb="31" eb="33">
      <t>カイシ</t>
    </rPh>
    <rPh sb="60" eb="62">
      <t>ブニャ</t>
    </rPh>
    <rPh sb="71" eb="73">
      <t>サンカク</t>
    </rPh>
    <rPh sb="75" eb="76">
      <t>タ</t>
    </rPh>
    <rPh sb="76" eb="78">
      <t>コウセン</t>
    </rPh>
    <rPh sb="79" eb="81">
      <t>レンケイ</t>
    </rPh>
    <rPh sb="86" eb="90">
      <t>キョウザイカイハツ</t>
    </rPh>
    <rPh sb="91" eb="93">
      <t>キョウ</t>
    </rPh>
    <rPh sb="93" eb="95">
      <t>キョウユウ</t>
    </rPh>
    <rPh sb="96" eb="98">
      <t>カイシ</t>
    </rPh>
    <rPh sb="112" eb="116">
      <t>センコウトリク</t>
    </rPh>
    <rPh sb="145" eb="146">
      <t>ナド</t>
    </rPh>
    <rPh sb="147" eb="149">
      <t>キョウザイ</t>
    </rPh>
    <rPh sb="153" eb="156">
      <t>モウラ</t>
    </rPh>
    <rPh sb="157" eb="159">
      <t>チョウサ</t>
    </rPh>
    <rPh sb="172" eb="174">
      <t>タイオウ</t>
    </rPh>
    <rPh sb="175" eb="177">
      <t>コウセン</t>
    </rPh>
    <rPh sb="179" eb="181">
      <t>キョウイク</t>
    </rPh>
    <rPh sb="183" eb="185">
      <t>カツヨウ</t>
    </rPh>
    <rPh sb="190" eb="192">
      <t>ケントウ</t>
    </rPh>
    <rPh sb="196" eb="198">
      <t>ケッカ</t>
    </rPh>
    <rPh sb="199" eb="201">
      <t>ホンコウ</t>
    </rPh>
    <rPh sb="202" eb="204">
      <t>キョウ</t>
    </rPh>
    <rPh sb="235" eb="237">
      <t>ガイブ</t>
    </rPh>
    <rPh sb="237" eb="239">
      <t>コウシ</t>
    </rPh>
    <rPh sb="240" eb="241">
      <t>マネキョウインムコウシュウジッシカツドウトオジュギョウスイジュンナイヨウコウジョウソシキテキケイゾクトク</t>
    </rPh>
    <phoneticPr fontId="1"/>
  </si>
  <si>
    <t xml:space="preserve">
令和3年度以降の各年度の履修者数の目標は下記の通りとなる見込みである。（ （ ）内は予想履修率 ）
　　令和３年度　400名　（50.0%）
　　令和４年度　500名　（62.5%）
　　令和５年度　600名　（75.0%）
　　令和６年度　700名　（87.5%）
　　令和７年度　800名　（100.0%）
　履修者数及び履修率を向上させ，目標を実現するために，①教職員向けFD講演会の実施，②組織的な取組としての当該分野の教材開発，③在籍学生及び入学希望者に向けた広報活動の充実　を主に考えている。①については，当該分野の専門教員や学外の技術者等を講師に迎え，講演会の実施を予定している。②については，既に外部企業の協力を得て，教材開発の検討を開始している。③については，本プログラムのホームページコンテンツの充実や学内周知用ポスターの作成を計画している。
　また，令和３年度から開始する新カリキュラムの年次進行に伴い，本プログラムの授業科目を全て必修科目で構成する。以上の取組を進めることで，令和７年度には全在籍学生が本プログラムを修了ことが可能である。</t>
    <phoneticPr fontId="1"/>
  </si>
  <si>
    <t xml:space="preserve">
　　本プログラムの対象科目は「情報基礎」（本科１年生・必修科目），「数学IIIB」（本科３年生・必修科目），「北海道ベースドラーニングI」，「食農・医福基礎」，「食農・医福演習」（本科4年生・選択科目）である。この３科目はともに全学科を対象として開講されている。このため，本プログラムは学科に関わらずに受講することは可能である。
　また，各教員には週1時間以上「オフィスアワー」の設定がされており，学生は学業等に関する質問や相談をすることが可能である。このほか，令和2年度からピアサポート制度を導入し，放課後に専攻科学生や本科学生が指導を希望する学生へ対応をする体制を整えている。さらに，マイクロソフト社365のアカウントを全教職員および学生に配布し，ICTを活用した学習コンテンツの展開や学生からの質問や提出物への対応も行っている。</t>
    <rPh sb="245" eb="247">
      <t>セイド</t>
    </rPh>
    <rPh sb="302" eb="303">
      <t>シャ</t>
    </rPh>
    <rPh sb="313" eb="314">
      <t>ゼン</t>
    </rPh>
    <rPh sb="314" eb="317">
      <t>キョウショクイン</t>
    </rPh>
    <rPh sb="320" eb="322">
      <t>ガクセイ</t>
    </rPh>
    <rPh sb="323" eb="325">
      <t>ハイフ</t>
    </rPh>
    <rPh sb="331" eb="333">
      <t>カツヨウ</t>
    </rPh>
    <rPh sb="354" eb="357">
      <t>テイシュツブツ</t>
    </rPh>
    <phoneticPr fontId="1"/>
  </si>
  <si>
    <t xml:space="preserve">
　履修者の状況は逐次，クラス担任や所属学科の教員において情報共有してきた。また，定期的に教務委員会にて履修・単位取得の状況を取りまとめ，状況を把握に努めており，履修上，支障がある学生への配慮も行ってきた。さらに，ICTを積極的に活用し，Google社Classroom等を活用し，学習状況の把握に遅延が生じないように工夫した。
　現状では，本プログラム履修率は約50%程度に留まっている。これを改善するため，新カリキュラムの展開開始にあわせ，令和3年度の新入学生を対象に本プログラムの対象科目も見直す。これにより，新カリキュラムの展開が進むにつれて，今後，履修率が向上する予定である。</t>
    <rPh sb="9" eb="11">
      <t>チクジ</t>
    </rPh>
    <rPh sb="29" eb="31">
      <t>ジョウホウ</t>
    </rPh>
    <rPh sb="41" eb="44">
      <t>テイキテキ</t>
    </rPh>
    <rPh sb="45" eb="47">
      <t>キョウム</t>
    </rPh>
    <rPh sb="47" eb="50">
      <t>イインカイ</t>
    </rPh>
    <rPh sb="52" eb="54">
      <t>リシュウ</t>
    </rPh>
    <rPh sb="55" eb="57">
      <t>タンイ</t>
    </rPh>
    <rPh sb="57" eb="59">
      <t>シュ</t>
    </rPh>
    <rPh sb="60" eb="62">
      <t>ジョウキョウ</t>
    </rPh>
    <rPh sb="63" eb="64">
      <t>ト</t>
    </rPh>
    <rPh sb="69" eb="71">
      <t>ジョウキョウ</t>
    </rPh>
    <rPh sb="72" eb="74">
      <t>ハアク</t>
    </rPh>
    <rPh sb="75" eb="76">
      <t>ツト</t>
    </rPh>
    <rPh sb="81" eb="84">
      <t>リシュウジョウ</t>
    </rPh>
    <rPh sb="85" eb="87">
      <t>シショウ</t>
    </rPh>
    <rPh sb="90" eb="92">
      <t>ガクセイ</t>
    </rPh>
    <rPh sb="94" eb="96">
      <t>ハイリョ</t>
    </rPh>
    <rPh sb="97" eb="98">
      <t>オコナ</t>
    </rPh>
    <rPh sb="111" eb="114">
      <t>セッキョクテキ</t>
    </rPh>
    <rPh sb="115" eb="117">
      <t>カツヨウ</t>
    </rPh>
    <rPh sb="137" eb="139">
      <t>カツヨウ</t>
    </rPh>
    <rPh sb="141" eb="143">
      <t>ガクシュウ</t>
    </rPh>
    <rPh sb="143" eb="145">
      <t>ジョウキョウ</t>
    </rPh>
    <rPh sb="146" eb="148">
      <t>ハアク</t>
    </rPh>
    <rPh sb="149" eb="151">
      <t>チエン</t>
    </rPh>
    <rPh sb="152" eb="153">
      <t>ショウ</t>
    </rPh>
    <rPh sb="159" eb="161">
      <t>クフウ</t>
    </rPh>
    <rPh sb="166" eb="168">
      <t>ゲンジョウ</t>
    </rPh>
    <rPh sb="177" eb="179">
      <t>リシュウ</t>
    </rPh>
    <rPh sb="179" eb="180">
      <t>リツ</t>
    </rPh>
    <rPh sb="181" eb="182">
      <t>ヤク</t>
    </rPh>
    <rPh sb="185" eb="187">
      <t>テイド</t>
    </rPh>
    <rPh sb="188" eb="189">
      <t>トド</t>
    </rPh>
    <rPh sb="198" eb="200">
      <t>カイゼン</t>
    </rPh>
    <rPh sb="205" eb="206">
      <t>シン</t>
    </rPh>
    <rPh sb="213" eb="215">
      <t>テンカイ</t>
    </rPh>
    <rPh sb="215" eb="217">
      <t>カイシ</t>
    </rPh>
    <rPh sb="222" eb="224">
      <t>レ</t>
    </rPh>
    <rPh sb="225" eb="227">
      <t>ネンド</t>
    </rPh>
    <rPh sb="228" eb="232">
      <t>シンニュウガクセイ</t>
    </rPh>
    <rPh sb="233" eb="235">
      <t>タイショウ</t>
    </rPh>
    <rPh sb="236" eb="237">
      <t>ホン</t>
    </rPh>
    <rPh sb="243" eb="245">
      <t>タイショウ</t>
    </rPh>
    <rPh sb="245" eb="247">
      <t>カモク</t>
    </rPh>
    <rPh sb="248" eb="250">
      <t>ミナオ</t>
    </rPh>
    <rPh sb="258" eb="265">
      <t>シ</t>
    </rPh>
    <rPh sb="266" eb="268">
      <t>テンカイ</t>
    </rPh>
    <rPh sb="269" eb="270">
      <t>スス</t>
    </rPh>
    <rPh sb="276" eb="278">
      <t>コンゴ</t>
    </rPh>
    <rPh sb="279" eb="281">
      <t>リシュウ</t>
    </rPh>
    <rPh sb="281" eb="282">
      <t>リツ</t>
    </rPh>
    <rPh sb="283" eb="285">
      <t>コウジョウ</t>
    </rPh>
    <rPh sb="287" eb="289">
      <t>ヨテイ</t>
    </rPh>
    <phoneticPr fontId="1"/>
  </si>
  <si>
    <t>委員長</t>
    <phoneticPr fontId="1"/>
  </si>
  <si>
    <t>　北海道ベースドラーニングIの科目では，地域の主力産業である農業に着目し，データ分析から問題を発見・解決を試みるPBL演習を展開した。特に，AI・データサイエンス分野についての広い視野で概観した。そして，農業分野と工学分野との融合事例を講義から学び，各自の専門分野に活用する動機づけを目指した。
　食農・医福基礎の科目では，食農・医福基礎の科目では、地域の主力産業である「農業」「食品」などの非工学分野においてもデータを取得し、解析することの重要性を学んだ。
　食農・医福演習の科目では，地域経済分析システムRESASについて学び，データサイエンスの活用事例を学んだ。</t>
    <rPh sb="1" eb="4">
      <t>ホッ</t>
    </rPh>
    <rPh sb="15" eb="17">
      <t>カモク</t>
    </rPh>
    <rPh sb="20" eb="22">
      <t>チイキ</t>
    </rPh>
    <rPh sb="23" eb="25">
      <t>シュリョク</t>
    </rPh>
    <rPh sb="25" eb="27">
      <t>サンギョウ</t>
    </rPh>
    <rPh sb="30" eb="32">
      <t>ノウギョウ</t>
    </rPh>
    <rPh sb="33" eb="36">
      <t>チャク</t>
    </rPh>
    <rPh sb="40" eb="42">
      <t>ブンセキ</t>
    </rPh>
    <rPh sb="44" eb="46">
      <t>モンダイ</t>
    </rPh>
    <rPh sb="47" eb="49">
      <t>ハッケン</t>
    </rPh>
    <rPh sb="50" eb="52">
      <t>カイケツ</t>
    </rPh>
    <rPh sb="53" eb="54">
      <t>ココロ</t>
    </rPh>
    <rPh sb="59" eb="61">
      <t>エンシュウ</t>
    </rPh>
    <rPh sb="62" eb="64">
      <t>テンカイ</t>
    </rPh>
    <rPh sb="67" eb="68">
      <t>トク</t>
    </rPh>
    <rPh sb="81" eb="83">
      <t>ブンヤ</t>
    </rPh>
    <rPh sb="88" eb="89">
      <t>ヒロ</t>
    </rPh>
    <rPh sb="90" eb="92">
      <t>シヤ</t>
    </rPh>
    <rPh sb="93" eb="95">
      <t>ガイカン</t>
    </rPh>
    <rPh sb="102" eb="104">
      <t>ノウギョウ</t>
    </rPh>
    <rPh sb="104" eb="106">
      <t>ブンヤ</t>
    </rPh>
    <rPh sb="125" eb="126">
      <t>カク</t>
    </rPh>
    <rPh sb="154" eb="156">
      <t>キソ</t>
    </rPh>
    <rPh sb="231" eb="232">
      <t>ショク</t>
    </rPh>
    <rPh sb="232" eb="233">
      <t>ノウ</t>
    </rPh>
    <rPh sb="234" eb="235">
      <t>イ</t>
    </rPh>
    <rPh sb="235" eb="236">
      <t>フク</t>
    </rPh>
    <rPh sb="236" eb="238">
      <t>エンシュウ</t>
    </rPh>
    <rPh sb="239" eb="241">
      <t>カモク</t>
    </rPh>
    <rPh sb="246" eb="248">
      <t>ケイザイ</t>
    </rPh>
    <phoneticPr fontId="1"/>
  </si>
  <si>
    <t>　北海道ベースドラーニングIの科目では，地域の主力産業である農業に着目し，データ分析から問題を発見・解決を試みるPBL演習を展開した。特に，各分野の専門家を外部講師として招き，農業等の分野についての知識の修得も目指した。
　食農・医福基礎の科目では，地域の主力産業である「農業」「食品」などの非工学分野におけるAI・データサイエンスを活用することで新たな知見が得られる実例を学んだ。また，北海道庁から講師を招き，北海道の人口や産業構造のデータを分析することで地域が抱える問題を分析した。さらに，データ分析がその課題を解決するためのツールとして活用されていることを学んだ。
　食農・医福演習の科目では，前述の北海道ベースドラーニングIの科目にて身につけた知識を基にし，統計用ソフトウェアを活用し，分析した。具体的には，地域社会における各種データに対して多変量解析等を適用し，その意味を読み取った。</t>
    <rPh sb="1" eb="4">
      <t>ホッ</t>
    </rPh>
    <rPh sb="15" eb="17">
      <t>カモク</t>
    </rPh>
    <rPh sb="20" eb="22">
      <t>チイキ</t>
    </rPh>
    <rPh sb="23" eb="25">
      <t>シュリョク</t>
    </rPh>
    <rPh sb="25" eb="27">
      <t>サンギョウ</t>
    </rPh>
    <rPh sb="30" eb="32">
      <t>ノウギョウ</t>
    </rPh>
    <rPh sb="33" eb="36">
      <t>チャク</t>
    </rPh>
    <rPh sb="40" eb="42">
      <t>ブンセキ</t>
    </rPh>
    <rPh sb="44" eb="46">
      <t>モンダイ</t>
    </rPh>
    <rPh sb="47" eb="49">
      <t>ハッケン</t>
    </rPh>
    <rPh sb="50" eb="52">
      <t>カイケツ</t>
    </rPh>
    <rPh sb="53" eb="54">
      <t>ココロ</t>
    </rPh>
    <rPh sb="59" eb="61">
      <t>エンシュウ</t>
    </rPh>
    <rPh sb="62" eb="64">
      <t>テンカイ</t>
    </rPh>
    <rPh sb="67" eb="68">
      <t>トク</t>
    </rPh>
    <rPh sb="70" eb="73">
      <t>カクブンヤ</t>
    </rPh>
    <rPh sb="74" eb="77">
      <t>センモン</t>
    </rPh>
    <rPh sb="78" eb="82">
      <t>ガイブコウ</t>
    </rPh>
    <rPh sb="85" eb="86">
      <t>マネ</t>
    </rPh>
    <rPh sb="88" eb="90">
      <t>ノウギョウ</t>
    </rPh>
    <rPh sb="90" eb="91">
      <t>ナド</t>
    </rPh>
    <rPh sb="92" eb="94">
      <t>ブンヤ</t>
    </rPh>
    <rPh sb="99" eb="101">
      <t>チシキ</t>
    </rPh>
    <rPh sb="102" eb="104">
      <t>シュウトク</t>
    </rPh>
    <rPh sb="105" eb="107">
      <t>メザ</t>
    </rPh>
    <rPh sb="250" eb="252">
      <t>ブンセキ</t>
    </rPh>
    <rPh sb="287" eb="288">
      <t>ショク</t>
    </rPh>
    <rPh sb="288" eb="289">
      <t>ノウ</t>
    </rPh>
    <rPh sb="290" eb="291">
      <t>イ</t>
    </rPh>
    <rPh sb="291" eb="292">
      <t>フク</t>
    </rPh>
    <rPh sb="292" eb="294">
      <t>エンシュウ</t>
    </rPh>
    <rPh sb="295" eb="297">
      <t>カモク</t>
    </rPh>
    <rPh sb="300" eb="302">
      <t>ゼンジュツ</t>
    </rPh>
    <rPh sb="303" eb="306">
      <t>ホッ</t>
    </rPh>
    <rPh sb="317" eb="319">
      <t>カモク</t>
    </rPh>
    <rPh sb="321" eb="322">
      <t>ミ</t>
    </rPh>
    <rPh sb="326" eb="328">
      <t>チシキ</t>
    </rPh>
    <rPh sb="329" eb="330">
      <t>モト</t>
    </rPh>
    <rPh sb="333" eb="335">
      <t>トウケイ</t>
    </rPh>
    <rPh sb="335" eb="336">
      <t>ヨウ</t>
    </rPh>
    <rPh sb="343" eb="345">
      <t>カツヨウ</t>
    </rPh>
    <rPh sb="347" eb="349">
      <t>ブンセキ</t>
    </rPh>
    <rPh sb="352" eb="355">
      <t>グタイテキ</t>
    </rPh>
    <rPh sb="358" eb="360">
      <t>チイキ</t>
    </rPh>
    <rPh sb="360" eb="362">
      <t>シャカイ</t>
    </rPh>
    <rPh sb="366" eb="368">
      <t>カクシュ</t>
    </rPh>
    <rPh sb="372" eb="373">
      <t>タイ</t>
    </rPh>
    <rPh sb="375" eb="380">
      <t>タヘンリョウカ</t>
    </rPh>
    <rPh sb="380" eb="381">
      <t>ナド</t>
    </rPh>
    <rPh sb="382" eb="384">
      <t>テキヨウ</t>
    </rPh>
    <rPh sb="388" eb="390">
      <t>イミ</t>
    </rPh>
    <rPh sb="391" eb="392">
      <t>ヨ</t>
    </rPh>
    <rPh sb="393" eb="394">
      <t>ト</t>
    </rPh>
    <phoneticPr fontId="1"/>
  </si>
  <si>
    <t>　遠隔授業の実践やスマートフォンの普及等により，学生がインターネットを利用する機会は急激に増加し，インターネットは欠くことのできないツールとなりつつある。例えば，SNSは便利である反面，個人情報の流出や特定個人への誹謗中傷あるいはネットいじめの温床となるなどの危険性も内包している。そのため，単に便利なツールとしての利用の方法だけではなく，情報モラルや情報セキュリティ等を理解し，情報を取り扱う上での一般常識を習得することを目標とした。また，最新の知識を身につけるため，高専サイバーセキュリティ人材育成事業（K-SEC）にて開発された教材を活用した。さらには，講義形式の授業に留まらず，コンピュータを活用した演習等も展開した。</t>
    <phoneticPr fontId="1"/>
  </si>
  <si>
    <t>　数学IIIBの科目では，確率・統計分野の基礎事項の修得として，1次元および2次元のデータを整理する方法を学んだ。
　北海道ベースドラーニングIの科目では，実験データを統計解析ソフトを用いてデータ解析した。主成分分析などの解析方法を用い，その意味を読み取る演習を展開した。
　食農・医福基礎の科目では，北海道の人口や産業構造のデータを分析する演習を行った。これを通し，地域が抱える問題を発見し，その解決について検討した。特に，外部講師をお招きし，地域経済分析システム「RESAS」の利用方法について学び，実データにおいて活用した。
　食農・医福演習の科目では，①地域経済分析システム「RESAS」を用いて地元の経済データを分析し，新たなビジネスプランを発案することを目指した。②トマトジュースの味と栄養成分の関係をデータサイエンスを活用して解析するために，官能試験と化学分析実験を行った。</t>
    <rPh sb="1" eb="3">
      <t>スウガク</t>
    </rPh>
    <rPh sb="8" eb="10">
      <t>カモク</t>
    </rPh>
    <rPh sb="13" eb="15">
      <t>カクリツ</t>
    </rPh>
    <rPh sb="16" eb="18">
      <t>トウケイ</t>
    </rPh>
    <rPh sb="18" eb="20">
      <t>ブンヤ</t>
    </rPh>
    <rPh sb="21" eb="23">
      <t>キソ</t>
    </rPh>
    <rPh sb="23" eb="25">
      <t>ジコウ</t>
    </rPh>
    <rPh sb="26" eb="28">
      <t>シュウトク</t>
    </rPh>
    <rPh sb="50" eb="52">
      <t>ホウホウ</t>
    </rPh>
    <rPh sb="53" eb="54">
      <t>マナ</t>
    </rPh>
    <rPh sb="59" eb="62">
      <t>ホッカイドウ</t>
    </rPh>
    <rPh sb="73" eb="75">
      <t>カモク</t>
    </rPh>
    <rPh sb="116" eb="117">
      <t>モチ</t>
    </rPh>
    <rPh sb="272" eb="274">
      <t>エンシュウ</t>
    </rPh>
    <phoneticPr fontId="1"/>
  </si>
  <si>
    <t>データの整理(ヒストグラム・代表値・データのばらつき・散布図・相関係数・回帰直線)(第１２週〜第１５週)</t>
    <rPh sb="42" eb="43">
      <t>ダイ</t>
    </rPh>
    <rPh sb="45" eb="46">
      <t>シュウ</t>
    </rPh>
    <rPh sb="47" eb="48">
      <t>ダイ</t>
    </rPh>
    <rPh sb="50" eb="51">
      <t>シュウ</t>
    </rPh>
    <phoneticPr fontId="1"/>
  </si>
  <si>
    <t>数学IIIB（第１４週，第１５週），北海道ベースドラーニングI（第１４週，第１５週）</t>
    <rPh sb="32" eb="33">
      <t>ダイ</t>
    </rPh>
    <rPh sb="35" eb="36">
      <t>シュウ</t>
    </rPh>
    <rPh sb="37" eb="38">
      <t>ダイ</t>
    </rPh>
    <rPh sb="40" eb="41">
      <t>シュウ</t>
    </rPh>
    <phoneticPr fontId="1"/>
  </si>
  <si>
    <r>
      <t xml:space="preserve">
</t>
    </r>
    <r>
      <rPr>
        <sz val="12"/>
        <rFont val="ＭＳ Ｐゴシック"/>
        <family val="2"/>
        <scheme val="minor"/>
      </rPr>
      <t>　従前の学生への周知方法としては，①クラス担任からの説明，②一般選択科目に関する履修説明会，③教育プログラムホームページ が主なものであった。しかし，これらでは本プログラムに関する周知が十分ではなかった。そのため，①低学年に向けた丁寧な説明，②高専入学前の小中学生への説明，③地域自治体および企業・団体への広報　に注力する予定である。
　①については，低学年の学生には学生向けの本プログラムの説明会を積極的に行う予定である。②については，小中学生向けのイベント，例えば，数理・データサイエンス・AIに関わる公開講座等を企画し，科学的な好奇心の涵養を図る。さらに，③については，数理・データサイエンス・AIに関連するイベントを企画し，広報活動へ注力する。もし，可能であれば，本プログラムを履修した学生をも巻き込んだ共同研究への発展することも将来的には見込まれる。</t>
    </r>
    <rPh sb="5" eb="7">
      <t>ガクセイ</t>
    </rPh>
    <rPh sb="9" eb="11">
      <t>シュウチ</t>
    </rPh>
    <rPh sb="11" eb="13">
      <t>ホウホウ</t>
    </rPh>
    <rPh sb="22" eb="24">
      <t>タンニン</t>
    </rPh>
    <rPh sb="27" eb="29">
      <t>セツメイ</t>
    </rPh>
    <rPh sb="31" eb="35">
      <t>イッパン</t>
    </rPh>
    <rPh sb="35" eb="37">
      <t>カモク</t>
    </rPh>
    <rPh sb="38" eb="39">
      <t>カン</t>
    </rPh>
    <rPh sb="41" eb="43">
      <t>リシュウ</t>
    </rPh>
    <rPh sb="43" eb="46">
      <t>セツメイカイ</t>
    </rPh>
    <rPh sb="48" eb="50">
      <t>キョウイ</t>
    </rPh>
    <rPh sb="63" eb="64">
      <t>オモ</t>
    </rPh>
    <rPh sb="109" eb="112">
      <t>テイガクネン</t>
    </rPh>
    <rPh sb="113" eb="114">
      <t>ム</t>
    </rPh>
    <rPh sb="116" eb="118">
      <t>テイネイ</t>
    </rPh>
    <rPh sb="119" eb="121">
      <t>セツメイ</t>
    </rPh>
    <rPh sb="123" eb="125">
      <t>コウセン</t>
    </rPh>
    <rPh sb="125" eb="128">
      <t>ニュガクマエ</t>
    </rPh>
    <rPh sb="129" eb="133">
      <t>ショウチュウガクセイ</t>
    </rPh>
    <rPh sb="135" eb="137">
      <t>セツメイ</t>
    </rPh>
    <rPh sb="139" eb="141">
      <t>チイキ</t>
    </rPh>
    <rPh sb="141" eb="144">
      <t>ジチタイ</t>
    </rPh>
    <rPh sb="147" eb="149">
      <t>キギョウ</t>
    </rPh>
    <rPh sb="150" eb="152">
      <t>ダンタイ</t>
    </rPh>
    <rPh sb="154" eb="156">
      <t>コウホウ</t>
    </rPh>
    <rPh sb="158" eb="160">
      <t>チュウリョク</t>
    </rPh>
    <rPh sb="162" eb="164">
      <t>ヨテイ</t>
    </rPh>
    <rPh sb="190" eb="191">
      <t>ホン</t>
    </rPh>
    <rPh sb="201" eb="205">
      <t>セッキョ</t>
    </rPh>
    <rPh sb="220" eb="224">
      <t>ショウチュウガクセイ</t>
    </rPh>
    <rPh sb="224" eb="225">
      <t>ム</t>
    </rPh>
    <rPh sb="232" eb="233">
      <t>タト</t>
    </rPh>
    <rPh sb="236" eb="238">
      <t>スウリ</t>
    </rPh>
    <rPh sb="251" eb="252">
      <t>カカ</t>
    </rPh>
    <rPh sb="254" eb="258">
      <t>コウカイコウ</t>
    </rPh>
    <rPh sb="258" eb="259">
      <t>ナド</t>
    </rPh>
    <rPh sb="260" eb="262">
      <t>キカク</t>
    </rPh>
    <rPh sb="264" eb="267">
      <t>カガクテキ</t>
    </rPh>
    <rPh sb="268" eb="271">
      <t>コウキシン</t>
    </rPh>
    <rPh sb="272" eb="274">
      <t>カンヨウ</t>
    </rPh>
    <rPh sb="275" eb="276">
      <t>ハカ</t>
    </rPh>
    <rPh sb="304" eb="306">
      <t>カンレン</t>
    </rPh>
    <rPh sb="313" eb="315">
      <t>キカク</t>
    </rPh>
    <rPh sb="317" eb="319">
      <t>コウホウ</t>
    </rPh>
    <rPh sb="319" eb="321">
      <t>カツドウ</t>
    </rPh>
    <rPh sb="322" eb="324">
      <t>チュウリョク</t>
    </rPh>
    <rPh sb="330" eb="332">
      <t>カノウ</t>
    </rPh>
    <rPh sb="337" eb="338">
      <t>ホン</t>
    </rPh>
    <rPh sb="344" eb="346">
      <t>リシュウ</t>
    </rPh>
    <rPh sb="348" eb="350">
      <t>ガクセイ</t>
    </rPh>
    <rPh sb="352" eb="353">
      <t>マ</t>
    </rPh>
    <rPh sb="354" eb="355">
      <t>コ</t>
    </rPh>
    <rPh sb="357" eb="359">
      <t>キョウドウ</t>
    </rPh>
    <rPh sb="359" eb="361">
      <t>ケンキュウ</t>
    </rPh>
    <rPh sb="363" eb="365">
      <t>ハッテン</t>
    </rPh>
    <rPh sb="370" eb="372">
      <t>ショウライ</t>
    </rPh>
    <rPh sb="372" eb="373">
      <t>テキ</t>
    </rPh>
    <rPh sb="375" eb="377">
      <t>ミコ</t>
    </rPh>
    <phoneticPr fontId="1"/>
  </si>
  <si>
    <r>
      <t xml:space="preserve">
　図書館において，当該関連分野について学生向け書籍を整備</t>
    </r>
    <r>
      <rPr>
        <sz val="12"/>
        <rFont val="ＭＳ Ｐゴシック"/>
        <family val="2"/>
        <scheme val="minor"/>
      </rPr>
      <t>している</t>
    </r>
    <r>
      <rPr>
        <sz val="12"/>
        <color rgb="FF000000"/>
        <rFont val="ＭＳ Ｐゴシック"/>
        <family val="2"/>
        <charset val="128"/>
        <scheme val="minor"/>
      </rPr>
      <t>。また，ピアサポート制度の利用やICTの活用により，授業時間以外にも学生への手厚いサポート体制を整えている。これにより，場所や時間を選ばずに学生は勉学に専念することができる。
　また，教室や講義室には学生が利用できる無線LAN設備を提供している。そして，将来的な構想として，学生へのBYOD（Bring Your Own Device）を推奨し，学生が自分だけの学習デバイスを用意する計画である。これにより，学生の学習環境は飛躍的に改善される。
　さらに，</t>
    </r>
    <r>
      <rPr>
        <sz val="12"/>
        <rFont val="ＭＳ Ｐゴシック"/>
        <family val="2"/>
        <scheme val="minor"/>
      </rPr>
      <t>本</t>
    </r>
    <r>
      <rPr>
        <sz val="12"/>
        <color rgb="FF000000"/>
        <rFont val="ＭＳ Ｐゴシック"/>
        <family val="2"/>
        <charset val="128"/>
        <scheme val="minor"/>
      </rPr>
      <t>プログラムの仕組みとして，令和3年度の新入学生からは</t>
    </r>
    <r>
      <rPr>
        <sz val="12"/>
        <rFont val="ＭＳ Ｐゴシック"/>
        <family val="2"/>
        <scheme val="minor"/>
      </rPr>
      <t>新カリキュラムの適用に伴い，</t>
    </r>
    <r>
      <rPr>
        <sz val="12"/>
        <color rgb="FF000000"/>
        <rFont val="ＭＳ Ｐゴシック"/>
        <family val="2"/>
        <charset val="128"/>
        <scheme val="minor"/>
      </rPr>
      <t>全学生が</t>
    </r>
    <r>
      <rPr>
        <sz val="12"/>
        <rFont val="ＭＳ Ｐゴシック"/>
        <family val="2"/>
        <scheme val="minor"/>
      </rPr>
      <t>本プログラムを</t>
    </r>
    <r>
      <rPr>
        <sz val="12"/>
        <color rgb="FF000000"/>
        <rFont val="ＭＳ Ｐゴシック"/>
        <family val="2"/>
        <charset val="128"/>
        <scheme val="minor"/>
      </rPr>
      <t>必修科目として</t>
    </r>
    <r>
      <rPr>
        <sz val="12"/>
        <rFont val="ＭＳ Ｐゴシック"/>
        <family val="2"/>
        <scheme val="minor"/>
      </rPr>
      <t>受講することとなる。これにより，令和７年度には本科在籍学生は全員，本プログラムを修了することが可能となる見込みである。</t>
    </r>
    <rPh sb="2" eb="5">
      <t>トショ</t>
    </rPh>
    <rPh sb="10" eb="12">
      <t>トウガイ</t>
    </rPh>
    <rPh sb="12" eb="16">
      <t>カンレンブンヤ</t>
    </rPh>
    <rPh sb="20" eb="23">
      <t>ガクセイム</t>
    </rPh>
    <rPh sb="24" eb="26">
      <t>ショセキ</t>
    </rPh>
    <rPh sb="27" eb="29">
      <t>セイビ</t>
    </rPh>
    <rPh sb="43" eb="45">
      <t>セイド</t>
    </rPh>
    <rPh sb="46" eb="48">
      <t>リヨウ</t>
    </rPh>
    <rPh sb="67" eb="69">
      <t>ガクセイ</t>
    </rPh>
    <rPh sb="71" eb="74">
      <t>テアツ</t>
    </rPh>
    <rPh sb="78" eb="80">
      <t>タイセイ</t>
    </rPh>
    <rPh sb="81" eb="82">
      <t>トトノ</t>
    </rPh>
    <rPh sb="93" eb="95">
      <t>バショ</t>
    </rPh>
    <rPh sb="96" eb="98">
      <t>ジカン</t>
    </rPh>
    <rPh sb="99" eb="100">
      <t>エラ</t>
    </rPh>
    <rPh sb="103" eb="105">
      <t>ガクセイ</t>
    </rPh>
    <rPh sb="106" eb="108">
      <t>ベンガク</t>
    </rPh>
    <rPh sb="109" eb="111">
      <t>センネン</t>
    </rPh>
    <rPh sb="125" eb="127">
      <t>キョウシツ</t>
    </rPh>
    <rPh sb="128" eb="130">
      <t>コウギ</t>
    </rPh>
    <rPh sb="130" eb="131">
      <t>シツ</t>
    </rPh>
    <rPh sb="133" eb="135">
      <t>ガクセイ</t>
    </rPh>
    <rPh sb="136" eb="138">
      <t>リヨウ</t>
    </rPh>
    <rPh sb="141" eb="143">
      <t>ムセン</t>
    </rPh>
    <rPh sb="146" eb="148">
      <t>セツビ</t>
    </rPh>
    <rPh sb="149" eb="151">
      <t>テイキョウ</t>
    </rPh>
    <rPh sb="160" eb="163">
      <t>ショウライテキ</t>
    </rPh>
    <rPh sb="164" eb="166">
      <t>コウソウ</t>
    </rPh>
    <rPh sb="170" eb="172">
      <t>ガクセイ</t>
    </rPh>
    <rPh sb="202" eb="204">
      <t>スイショウ</t>
    </rPh>
    <rPh sb="206" eb="208">
      <t>ガクセイ</t>
    </rPh>
    <rPh sb="209" eb="211">
      <t>ジブン</t>
    </rPh>
    <rPh sb="214" eb="216">
      <t>ガクシュウ</t>
    </rPh>
    <rPh sb="221" eb="223">
      <t>ヨウイ</t>
    </rPh>
    <rPh sb="225" eb="227">
      <t>ケイカク</t>
    </rPh>
    <rPh sb="237" eb="239">
      <t>ガクセイ</t>
    </rPh>
    <rPh sb="240" eb="242">
      <t>ガクシュウ</t>
    </rPh>
    <rPh sb="242" eb="244">
      <t>カンキョウ</t>
    </rPh>
    <rPh sb="245" eb="248">
      <t>ヒヤクテキ</t>
    </rPh>
    <rPh sb="249" eb="251">
      <t>カイゼン</t>
    </rPh>
    <rPh sb="268" eb="270">
      <t>シク</t>
    </rPh>
    <rPh sb="275" eb="277">
      <t>レイワ</t>
    </rPh>
    <rPh sb="278" eb="279">
      <t>ネン</t>
    </rPh>
    <rPh sb="279" eb="280">
      <t>ド</t>
    </rPh>
    <rPh sb="281" eb="285">
      <t>シンニュウガクセイ</t>
    </rPh>
    <rPh sb="288" eb="289">
      <t>シン</t>
    </rPh>
    <rPh sb="296" eb="298">
      <t>テキヨウ</t>
    </rPh>
    <rPh sb="299" eb="300">
      <t>トモナ</t>
    </rPh>
    <rPh sb="302" eb="303">
      <t>ゼン</t>
    </rPh>
    <rPh sb="303" eb="305">
      <t>ガクセイ</t>
    </rPh>
    <rPh sb="306" eb="307">
      <t>ホン</t>
    </rPh>
    <rPh sb="313" eb="315">
      <t>ヒッシュウ</t>
    </rPh>
    <rPh sb="315" eb="317">
      <t>カモク</t>
    </rPh>
    <rPh sb="320" eb="322">
      <t>ジュコウ</t>
    </rPh>
    <rPh sb="336" eb="338">
      <t>レイワ</t>
    </rPh>
    <rPh sb="339" eb="341">
      <t>ネンド</t>
    </rPh>
    <rPh sb="347" eb="349">
      <t>ガクセイ</t>
    </rPh>
    <rPh sb="350" eb="352">
      <t>ゼンイン</t>
    </rPh>
    <rPh sb="353" eb="354">
      <t>ホン</t>
    </rPh>
    <rPh sb="360" eb="362">
      <t>シュウリョウ</t>
    </rPh>
    <rPh sb="367" eb="369">
      <t>カノウ</t>
    </rPh>
    <rPh sb="372" eb="374">
      <t>ミコ</t>
    </rPh>
    <phoneticPr fontId="1"/>
  </si>
  <si>
    <r>
      <t xml:space="preserve">
　</t>
    </r>
    <r>
      <rPr>
        <sz val="12"/>
        <rFont val="ＭＳ Ｐゴシック"/>
        <family val="2"/>
        <scheme val="minor"/>
      </rPr>
      <t>各教員には週1時間以上「オフィスアワー」の設定があり，学生が質問可能な時間帯が設定されている。また，本来，対面授業が実施されるところを，令和2年度はコロナウィルス感染拡大防止を鑑み，オンラインにて授業が行われた期間が長期に渡り続いた。その影響もあり，教職員のみならず，受講する学生にとっても，オンラインでの質問や課題指導の環境整備が飛躍的に推進され，心理的なハードルもこれまでよりも低くなった。これにより，授業以外でも多くの学生が指導を受けることが可能である。
　このほか，令和2年度からピアサポート制度を導入し，放課後に学内にて，専攻科生や高学年の本科生が低学年の本科生を指導する体制が整えられている。
　さらには，学生が教員から一方的に授業にて教授されるだけではなく，マイクロソフト社の365等のICTを活用し，オンラインで学生同士が教え合う新しい学びの機会も提供している。</t>
    </r>
    <rPh sb="52" eb="54">
      <t>ホンライ</t>
    </rPh>
    <rPh sb="55" eb="57">
      <t>タイメン</t>
    </rPh>
    <rPh sb="57" eb="59">
      <t>ジュギョウ</t>
    </rPh>
    <rPh sb="60" eb="62">
      <t>ジッシ</t>
    </rPh>
    <rPh sb="83" eb="85">
      <t>カンセン</t>
    </rPh>
    <rPh sb="85" eb="87">
      <t>カクダイ</t>
    </rPh>
    <rPh sb="87" eb="89">
      <t>ボウシ</t>
    </rPh>
    <rPh sb="90" eb="91">
      <t>カンガ</t>
    </rPh>
    <rPh sb="100" eb="102">
      <t>ジュギョウ</t>
    </rPh>
    <rPh sb="103" eb="104">
      <t>オコナ</t>
    </rPh>
    <rPh sb="107" eb="109">
      <t>キカン</t>
    </rPh>
    <rPh sb="110" eb="112">
      <t>チョウキ</t>
    </rPh>
    <rPh sb="113" eb="114">
      <t>ワタ</t>
    </rPh>
    <rPh sb="115" eb="116">
      <t>ツヅ</t>
    </rPh>
    <rPh sb="121" eb="123">
      <t>エイキョウ</t>
    </rPh>
    <rPh sb="127" eb="130">
      <t>キョウショクイン</t>
    </rPh>
    <rPh sb="136" eb="138">
      <t>ジュコウ</t>
    </rPh>
    <rPh sb="140" eb="142">
      <t>ガクセイ</t>
    </rPh>
    <rPh sb="155" eb="157">
      <t>シツモン</t>
    </rPh>
    <rPh sb="158" eb="160">
      <t>カダイ</t>
    </rPh>
    <rPh sb="160" eb="162">
      <t>シドウ</t>
    </rPh>
    <rPh sb="163" eb="167">
      <t>カンキョウセイビ</t>
    </rPh>
    <rPh sb="168" eb="171">
      <t>ヒヤクテキ</t>
    </rPh>
    <rPh sb="172" eb="174">
      <t>スイシ</t>
    </rPh>
    <rPh sb="177" eb="180">
      <t>シンリテキ</t>
    </rPh>
    <rPh sb="193" eb="194">
      <t>ヒク</t>
    </rPh>
    <rPh sb="205" eb="207">
      <t>ジュギョウ</t>
    </rPh>
    <rPh sb="207" eb="209">
      <t>イガイ</t>
    </rPh>
    <rPh sb="211" eb="212">
      <t>オオ</t>
    </rPh>
    <rPh sb="214" eb="216">
      <t>ガクセイ</t>
    </rPh>
    <rPh sb="217" eb="219">
      <t>シドウ</t>
    </rPh>
    <rPh sb="220" eb="221">
      <t>ウ</t>
    </rPh>
    <rPh sb="226" eb="228">
      <t>カノウ</t>
    </rPh>
    <rPh sb="255" eb="257">
      <t>ドウニュウ</t>
    </rPh>
    <rPh sb="268" eb="271">
      <t>センコウカ</t>
    </rPh>
    <rPh sb="271" eb="272">
      <t>セイ</t>
    </rPh>
    <rPh sb="277" eb="280">
      <t>ホンカセイ</t>
    </rPh>
    <rPh sb="285" eb="288">
      <t>ホンカセイ</t>
    </rPh>
    <rPh sb="350" eb="351">
      <t>ナド</t>
    </rPh>
    <rPh sb="356" eb="358">
      <t>カツヨウ</t>
    </rPh>
    <rPh sb="366" eb="368">
      <t>ガクセイ</t>
    </rPh>
    <rPh sb="368" eb="370">
      <t>ドウシ</t>
    </rPh>
    <rPh sb="371" eb="372">
      <t>オシ</t>
    </rPh>
    <rPh sb="373" eb="374">
      <t>ア</t>
    </rPh>
    <rPh sb="375" eb="376">
      <t>アタラ</t>
    </rPh>
    <rPh sb="378" eb="379">
      <t>マナ</t>
    </rPh>
    <rPh sb="381" eb="383">
      <t>キカイ</t>
    </rPh>
    <rPh sb="384" eb="386">
      <t>テイキョウ</t>
    </rPh>
    <phoneticPr fontId="1"/>
  </si>
  <si>
    <t xml:space="preserve">
  各授業担当者および学内教務委員会にて履修・単位取得の状況は把握されている。また，別添のその他補足資料に添付したような授業評価アンケートを実施している。本アンケートを確認する範囲では，受講した学生の理解度などは高く，学習成果があるように伺うことができる。さらに，履修者の総合成績評価は学内の学生総合情報システムにて管理され，クラス担任や所属学科の教員に情報共有している。
  その一方で，各学科とも成績不振学生が一定の割合でいることを把握している。そのため，ピアサポート制度を開始し，学生同士で教え合う仕組みの展開を令和2年度から開始したところである。このような取組から学生の学習成果の向上を図る。
</t>
    <rPh sb="48" eb="49">
      <t>タ</t>
    </rPh>
    <rPh sb="49" eb="51">
      <t>ホソク</t>
    </rPh>
    <rPh sb="149" eb="151">
      <t>ソウゴウ</t>
    </rPh>
    <rPh sb="192" eb="194">
      <t>イッポウ</t>
    </rPh>
    <rPh sb="196" eb="197">
      <t>カク</t>
    </rPh>
    <rPh sb="197" eb="199">
      <t>ガッカ</t>
    </rPh>
    <rPh sb="201" eb="205">
      <t>セイセキフシン</t>
    </rPh>
    <rPh sb="205" eb="207">
      <t>ガクセイ</t>
    </rPh>
    <rPh sb="283" eb="285">
      <t>トリクミ</t>
    </rPh>
    <rPh sb="287" eb="289">
      <t>ガクセイ</t>
    </rPh>
    <rPh sb="290" eb="294">
      <t>ガクシュウセイカ</t>
    </rPh>
    <rPh sb="295" eb="297">
      <t>コウジョウ</t>
    </rPh>
    <rPh sb="298" eb="299">
      <t>ハカ</t>
    </rPh>
    <phoneticPr fontId="1"/>
  </si>
  <si>
    <t xml:space="preserve">
　学生による授業評価アンケートは従前より実施し，年度ごとに取りまとめアンケート結果を公表している。現在は，これを活用している。これから本プログラムを履修する学生においても，この情報を利用することは可能であり，また本プログラム履修の参考になりうるものとなる。
　本プログラムは開始されたばかりで実際の学生からの推奨度等の調査は，今後，継続的に実施する予定である。今後は，学生向けの本プログラムについての説明会の機会を増やし，履修に関して参考となる情報をさらに整備していく計画である。
</t>
    <rPh sb="2" eb="4">
      <t>ガクセイ</t>
    </rPh>
    <rPh sb="7" eb="11">
      <t>ジュギョウヒョウカ</t>
    </rPh>
    <rPh sb="17" eb="19">
      <t>ジュウゼン</t>
    </rPh>
    <rPh sb="21" eb="23">
      <t>ジッシ</t>
    </rPh>
    <rPh sb="25" eb="27">
      <t>ネンド</t>
    </rPh>
    <rPh sb="30" eb="31">
      <t>ト</t>
    </rPh>
    <rPh sb="40" eb="42">
      <t>ケッカ</t>
    </rPh>
    <rPh sb="43" eb="45">
      <t>コウヒョウ</t>
    </rPh>
    <rPh sb="50" eb="52">
      <t>ゲンザイ</t>
    </rPh>
    <rPh sb="57" eb="59">
      <t>カツヨウ</t>
    </rPh>
    <rPh sb="68" eb="69">
      <t>ホン</t>
    </rPh>
    <rPh sb="75" eb="77">
      <t>リシュウ</t>
    </rPh>
    <rPh sb="79" eb="81">
      <t>ガクセイ</t>
    </rPh>
    <rPh sb="89" eb="91">
      <t>ジョウホウ</t>
    </rPh>
    <rPh sb="92" eb="94">
      <t>リヨウ</t>
    </rPh>
    <rPh sb="99" eb="101">
      <t>カノウ</t>
    </rPh>
    <rPh sb="107" eb="108">
      <t>ホン</t>
    </rPh>
    <rPh sb="113" eb="115">
      <t>リシュウ</t>
    </rPh>
    <rPh sb="116" eb="118">
      <t>サンコウ</t>
    </rPh>
    <rPh sb="138" eb="140">
      <t>カイシ</t>
    </rPh>
    <rPh sb="147" eb="149">
      <t>ジッサイ</t>
    </rPh>
    <rPh sb="150" eb="152">
      <t>ガクセイ</t>
    </rPh>
    <rPh sb="155" eb="158">
      <t>スイショウド</t>
    </rPh>
    <rPh sb="158" eb="159">
      <t>ナド</t>
    </rPh>
    <rPh sb="160" eb="162">
      <t>チョウサ</t>
    </rPh>
    <rPh sb="164" eb="166">
      <t>コンゴ</t>
    </rPh>
    <rPh sb="167" eb="169">
      <t>ケイゾク</t>
    </rPh>
    <rPh sb="169" eb="170">
      <t>テキ</t>
    </rPh>
    <rPh sb="171" eb="173">
      <t>ジッシ</t>
    </rPh>
    <rPh sb="175" eb="177">
      <t>ヨテイ</t>
    </rPh>
    <rPh sb="181" eb="183">
      <t>コンゴ</t>
    </rPh>
    <rPh sb="185" eb="187">
      <t>ガクセイ</t>
    </rPh>
    <rPh sb="187" eb="188">
      <t>ム</t>
    </rPh>
    <rPh sb="190" eb="191">
      <t>ホン</t>
    </rPh>
    <rPh sb="201" eb="203">
      <t>セツメイ</t>
    </rPh>
    <rPh sb="203" eb="204">
      <t>カイ</t>
    </rPh>
    <rPh sb="205" eb="207">
      <t>キカイ</t>
    </rPh>
    <rPh sb="208" eb="209">
      <t>フ</t>
    </rPh>
    <rPh sb="212" eb="214">
      <t>リシュウ</t>
    </rPh>
    <rPh sb="215" eb="216">
      <t>カン</t>
    </rPh>
    <rPh sb="218" eb="220">
      <t>サンコウ</t>
    </rPh>
    <rPh sb="223" eb="225">
      <t>ジョウホウ</t>
    </rPh>
    <rPh sb="229" eb="231">
      <t>セイビ</t>
    </rPh>
    <rPh sb="235" eb="237">
      <t>ケイカク</t>
    </rPh>
    <phoneticPr fontId="1"/>
  </si>
  <si>
    <t xml:space="preserve">
　本プログラムは開始されたばかりであり，修了者はまだ卒業を迎えてはいない。
　なお，本プログラムの修了者の進路は，今後，他の学生と同様，進路状況について本校ホームページ等を通じて公開していく予定である。さらに，数理・データサイエンス・AI分野において顕著な活躍がある学生については，今後，学校の広報誌等を通じて，その活躍を報告することを検討している。</t>
    <rPh sb="2" eb="3">
      <t>ホン</t>
    </rPh>
    <rPh sb="21" eb="23">
      <t>シュウリョウ</t>
    </rPh>
    <rPh sb="23" eb="24">
      <t>シャ</t>
    </rPh>
    <rPh sb="27" eb="29">
      <t>ソツギョウ</t>
    </rPh>
    <rPh sb="30" eb="31">
      <t>ムカ</t>
    </rPh>
    <rPh sb="43" eb="44">
      <t>ホン</t>
    </rPh>
    <rPh sb="50" eb="53">
      <t>シュウ</t>
    </rPh>
    <rPh sb="54" eb="56">
      <t>シンロ</t>
    </rPh>
    <rPh sb="61" eb="62">
      <t>タ</t>
    </rPh>
    <rPh sb="63" eb="65">
      <t>ガクセイ</t>
    </rPh>
    <rPh sb="66" eb="68">
      <t>ドウヨウ</t>
    </rPh>
    <rPh sb="69" eb="71">
      <t>シンロ</t>
    </rPh>
    <rPh sb="71" eb="73">
      <t>ジョウキョウ</t>
    </rPh>
    <rPh sb="77" eb="79">
      <t>ホンコウ</t>
    </rPh>
    <rPh sb="85" eb="86">
      <t>ナド</t>
    </rPh>
    <rPh sb="87" eb="88">
      <t>ツウ</t>
    </rPh>
    <rPh sb="90" eb="92">
      <t>コウカイ</t>
    </rPh>
    <rPh sb="96" eb="98">
      <t>ヨテイ</t>
    </rPh>
    <phoneticPr fontId="1"/>
  </si>
  <si>
    <t xml:space="preserve">
　本プログラムは開始されたばかりで本プログラムに対する産業界からの意見については今後，本校既設の運営懇話会等を通して，継続的に調査する予定である。しかし，別添のその他補足資料(令和２年度地域企業向けのアンケート結果)にある通り，地域企業等から当該分野への教育に対する期待はかなり高いことが伺われる。</t>
    <rPh sb="2" eb="3">
      <t>ホン</t>
    </rPh>
    <rPh sb="18" eb="19">
      <t>ホン</t>
    </rPh>
    <rPh sb="25" eb="26">
      <t>タイ</t>
    </rPh>
    <rPh sb="28" eb="31">
      <t>サンギョウカイ</t>
    </rPh>
    <rPh sb="34" eb="36">
      <t>イケン</t>
    </rPh>
    <rPh sb="44" eb="46">
      <t>ホンコウ</t>
    </rPh>
    <rPh sb="46" eb="48">
      <t>キセツ</t>
    </rPh>
    <rPh sb="49" eb="51">
      <t>ウンエイ</t>
    </rPh>
    <rPh sb="51" eb="54">
      <t>コンワカイ</t>
    </rPh>
    <rPh sb="54" eb="55">
      <t>ナド</t>
    </rPh>
    <rPh sb="56" eb="57">
      <t>トオ</t>
    </rPh>
    <rPh sb="78" eb="80">
      <t>ベッテン</t>
    </rPh>
    <rPh sb="83" eb="84">
      <t>タ</t>
    </rPh>
    <rPh sb="84" eb="86">
      <t>ホソク</t>
    </rPh>
    <rPh sb="89" eb="91">
      <t>レイワ</t>
    </rPh>
    <rPh sb="92" eb="94">
      <t>ネンド</t>
    </rPh>
    <rPh sb="94" eb="96">
      <t>チイキ</t>
    </rPh>
    <rPh sb="96" eb="98">
      <t>キギョウ</t>
    </rPh>
    <rPh sb="98" eb="99">
      <t>ム</t>
    </rPh>
    <rPh sb="106" eb="108">
      <t>ケッカ</t>
    </rPh>
    <rPh sb="115" eb="117">
      <t>チイキ</t>
    </rPh>
    <rPh sb="117" eb="119">
      <t>キギョウ</t>
    </rPh>
    <rPh sb="119" eb="120">
      <t>トウ</t>
    </rPh>
    <rPh sb="122" eb="124">
      <t>トウガイ</t>
    </rPh>
    <rPh sb="124" eb="126">
      <t>ブンヤ</t>
    </rPh>
    <rPh sb="128" eb="130">
      <t>キョウイク</t>
    </rPh>
    <rPh sb="131" eb="132">
      <t>タイ</t>
    </rPh>
    <rPh sb="134" eb="136">
      <t>キタイ</t>
    </rPh>
    <rPh sb="140" eb="141">
      <t>タカ</t>
    </rPh>
    <rPh sb="145" eb="146">
      <t>ウカガ</t>
    </rPh>
    <phoneticPr fontId="1"/>
  </si>
  <si>
    <t xml:space="preserve">
　本プログラムでは，一方的に知識を教える座学形式だけではなく，高専の特色の一つである実習形式の授業に多くの時間を費やしている。具体的には，モデルカリキュラムリテラシーレベルの基礎部分に準じた内容を展開し，学生の身近な問題である北海道，特に農業や地域の経済データの実データを教材として，数理データサイエンスやAIがどのような活用をされているかを中心に好奇心を促す授業内容としている。また，実際に各業務に従事されている外部講師を招き，各分野の最新動向についても講義していただいている。その効果は，学生への授業評価アンケートや授業後のリフレクションシート等において確認している。</t>
    <rPh sb="2" eb="3">
      <t>ホン</t>
    </rPh>
    <rPh sb="11" eb="14">
      <t>イッポウテキ</t>
    </rPh>
    <rPh sb="15" eb="17">
      <t>チシキ</t>
    </rPh>
    <rPh sb="18" eb="19">
      <t>オシ</t>
    </rPh>
    <rPh sb="32" eb="34">
      <t>コウセン</t>
    </rPh>
    <rPh sb="35" eb="37">
      <t>トクショク</t>
    </rPh>
    <rPh sb="38" eb="39">
      <t>ヒト</t>
    </rPh>
    <rPh sb="43" eb="45">
      <t>ジッシュウ</t>
    </rPh>
    <rPh sb="45" eb="47">
      <t>ケイシキ</t>
    </rPh>
    <rPh sb="48" eb="50">
      <t>ジュギョウ</t>
    </rPh>
    <rPh sb="51" eb="52">
      <t>オオ</t>
    </rPh>
    <rPh sb="54" eb="56">
      <t>ジカン</t>
    </rPh>
    <rPh sb="57" eb="58">
      <t>ツイ</t>
    </rPh>
    <rPh sb="64" eb="67">
      <t>グタイテキ</t>
    </rPh>
    <rPh sb="88" eb="90">
      <t>キソ</t>
    </rPh>
    <rPh sb="103" eb="105">
      <t>ガクセイ</t>
    </rPh>
    <rPh sb="106" eb="108">
      <t>ミジカ</t>
    </rPh>
    <rPh sb="109" eb="111">
      <t>モンダイ</t>
    </rPh>
    <rPh sb="114" eb="117">
      <t>ホッカイ</t>
    </rPh>
    <rPh sb="118" eb="119">
      <t>トク</t>
    </rPh>
    <rPh sb="120" eb="122">
      <t>ノウギョウ</t>
    </rPh>
    <rPh sb="123" eb="125">
      <t>チイキ</t>
    </rPh>
    <rPh sb="126" eb="128">
      <t>ケイザイ</t>
    </rPh>
    <rPh sb="132" eb="133">
      <t>ジツ</t>
    </rPh>
    <rPh sb="137" eb="139">
      <t>キョウザイ</t>
    </rPh>
    <rPh sb="143" eb="153">
      <t>スウリ</t>
    </rPh>
    <rPh sb="181" eb="183">
      <t>ジュギョウ</t>
    </rPh>
    <rPh sb="194" eb="196">
      <t>ジッサイ</t>
    </rPh>
    <rPh sb="197" eb="198">
      <t>カク</t>
    </rPh>
    <rPh sb="198" eb="200">
      <t>ギョウム</t>
    </rPh>
    <rPh sb="201" eb="203">
      <t>ジュウジ</t>
    </rPh>
    <rPh sb="208" eb="212">
      <t>ガイブ</t>
    </rPh>
    <rPh sb="213" eb="214">
      <t>マネ</t>
    </rPh>
    <rPh sb="216" eb="217">
      <t>カク</t>
    </rPh>
    <rPh sb="217" eb="219">
      <t>ブンヤ</t>
    </rPh>
    <rPh sb="220" eb="222">
      <t>サイシン</t>
    </rPh>
    <rPh sb="222" eb="224">
      <t>ドウコウ</t>
    </rPh>
    <rPh sb="229" eb="231">
      <t>コウギ</t>
    </rPh>
    <rPh sb="243" eb="245">
      <t>コウカ</t>
    </rPh>
    <rPh sb="261" eb="264">
      <t>ジュギョウゴ</t>
    </rPh>
    <rPh sb="275" eb="276">
      <t>ナド</t>
    </rPh>
    <rPh sb="280" eb="282">
      <t>カクニン</t>
    </rPh>
    <phoneticPr fontId="1"/>
  </si>
  <si>
    <t xml:space="preserve">
　本プログラム履修学生に対して，授業評価アンケートを実施し，学内の教務委員において結果の集約・分析を行っている。また，アンケート集約結果は授業担当教員とも共有し，学生からのアンケート結果に対する担当教員からのコメントを集約し，それらを取りまとめ，教職員および学生に対して公開している。　さらに，アンケートは継続的に実施する予定である。これらを通して，教職員のみならず，学生も自分たちで授業への理解度等を客観的に見渡すことができる仕組みを構築する。
　また，令和3年度からは「ITパスポート試験」等の外部団体が実施する試験を活用し，学生の理解度を客観的に測る取組を開始する予定である。</t>
    <rPh sb="2" eb="3">
      <t>ホン</t>
    </rPh>
    <rPh sb="8" eb="10">
      <t>リシュウ</t>
    </rPh>
    <rPh sb="10" eb="12">
      <t>ガクセイ</t>
    </rPh>
    <rPh sb="13" eb="14">
      <t>タイ</t>
    </rPh>
    <rPh sb="17" eb="21">
      <t>ジュギョウヒョウカ</t>
    </rPh>
    <rPh sb="27" eb="29">
      <t>ジッシ</t>
    </rPh>
    <rPh sb="31" eb="33">
      <t>ガクナイ</t>
    </rPh>
    <rPh sb="34" eb="36">
      <t>キョウム</t>
    </rPh>
    <rPh sb="36" eb="38">
      <t>イイン</t>
    </rPh>
    <rPh sb="44" eb="46">
      <t>ケッカ</t>
    </rPh>
    <rPh sb="47" eb="49">
      <t>シュウヤク</t>
    </rPh>
    <rPh sb="50" eb="51">
      <t>オコナ</t>
    </rPh>
    <rPh sb="63" eb="65">
      <t>シュウヤク</t>
    </rPh>
    <rPh sb="65" eb="67">
      <t>ケッカ</t>
    </rPh>
    <rPh sb="68" eb="70">
      <t>ジュ</t>
    </rPh>
    <rPh sb="70" eb="72">
      <t>タントウ</t>
    </rPh>
    <rPh sb="72" eb="74">
      <t>キョウイン</t>
    </rPh>
    <rPh sb="76" eb="78">
      <t>キョウユウ</t>
    </rPh>
    <rPh sb="80" eb="82">
      <t>ガクセイ</t>
    </rPh>
    <rPh sb="90" eb="92">
      <t>ケッカ</t>
    </rPh>
    <rPh sb="93" eb="94">
      <t>タイ</t>
    </rPh>
    <rPh sb="96" eb="98">
      <t>タントウ</t>
    </rPh>
    <rPh sb="98" eb="100">
      <t>キョウイン</t>
    </rPh>
    <rPh sb="115" eb="116">
      <t>ト</t>
    </rPh>
    <rPh sb="121" eb="124">
      <t>キョウ</t>
    </rPh>
    <rPh sb="127" eb="129">
      <t>ガクセイ</t>
    </rPh>
    <rPh sb="130" eb="131">
      <t>タイ</t>
    </rPh>
    <rPh sb="134" eb="136">
      <t>コウ</t>
    </rPh>
    <rPh sb="151" eb="155">
      <t>ケイゾク</t>
    </rPh>
    <rPh sb="155" eb="157">
      <t>ジッシ</t>
    </rPh>
    <rPh sb="159" eb="161">
      <t>ヨテイ</t>
    </rPh>
    <rPh sb="169" eb="170">
      <t>トオ</t>
    </rPh>
    <rPh sb="173" eb="176">
      <t>キョウショク</t>
    </rPh>
    <rPh sb="182" eb="184">
      <t>ガクセイ</t>
    </rPh>
    <rPh sb="185" eb="187">
      <t>ジブン</t>
    </rPh>
    <rPh sb="190" eb="192">
      <t>ジュギョウ</t>
    </rPh>
    <rPh sb="194" eb="197">
      <t>リカイド</t>
    </rPh>
    <rPh sb="197" eb="198">
      <t>ナド</t>
    </rPh>
    <rPh sb="199" eb="202">
      <t>キャッカンテキ</t>
    </rPh>
    <rPh sb="203" eb="205">
      <t>ミワタ</t>
    </rPh>
    <rPh sb="212" eb="214">
      <t>シク</t>
    </rPh>
    <rPh sb="216" eb="218">
      <t>コウチク</t>
    </rPh>
    <rPh sb="229" eb="231">
      <t>レイワ</t>
    </rPh>
    <rPh sb="232" eb="234">
      <t>ネンド</t>
    </rPh>
    <rPh sb="245" eb="247">
      <t>シケン</t>
    </rPh>
    <rPh sb="248" eb="249">
      <t>ナド</t>
    </rPh>
    <rPh sb="250" eb="252">
      <t>ガイブ</t>
    </rPh>
    <rPh sb="252" eb="254">
      <t>ダンタイ</t>
    </rPh>
    <rPh sb="255" eb="257">
      <t>ジッシ</t>
    </rPh>
    <rPh sb="259" eb="261">
      <t>シケン</t>
    </rPh>
    <rPh sb="262" eb="264">
      <t>カツヨウ</t>
    </rPh>
    <rPh sb="266" eb="268">
      <t>ガクセイ</t>
    </rPh>
    <rPh sb="269" eb="272">
      <t>リカイド</t>
    </rPh>
    <rPh sb="273" eb="277">
      <t>キャッカ</t>
    </rPh>
    <rPh sb="277" eb="278">
      <t>ハカ</t>
    </rPh>
    <rPh sb="279" eb="281">
      <t>トリクミ</t>
    </rPh>
    <rPh sb="282" eb="284">
      <t>カイシ</t>
    </rPh>
    <rPh sb="286" eb="288">
      <t>ヨテイ</t>
    </rPh>
    <phoneticPr fontId="1"/>
  </si>
  <si>
    <t xml:space="preserve">　
　令和３年度入学生から新カリキュラムの適用に伴い，全学生が本プログラムを必修科目として受講する予定である。令和２年度在籍の学生においては，本プログラムにおける履修対象科目の一部は一般選択科目となっている。これに対して，令和３年度以降に本校に入学する学生に対しては，本プログラムにおける履修対象科目を全て必修科目で構成している。そのため，在籍する全学科の学生が本プログラムを履修することとなる予定である。これに伴い，履修率が令和７年度には100％となる予定である。
</t>
    <rPh sb="49" eb="51">
      <t>ヨテイ</t>
    </rPh>
    <rPh sb="55" eb="57">
      <t>レイワ</t>
    </rPh>
    <rPh sb="58" eb="60">
      <t>ネンド</t>
    </rPh>
    <rPh sb="60" eb="62">
      <t>ザイセキ</t>
    </rPh>
    <rPh sb="63" eb="65">
      <t>ガクセイ</t>
    </rPh>
    <rPh sb="71" eb="72">
      <t>ホン</t>
    </rPh>
    <rPh sb="83" eb="85">
      <t>タイショウ</t>
    </rPh>
    <rPh sb="107" eb="108">
      <t>タイ</t>
    </rPh>
    <rPh sb="111" eb="113">
      <t>レイワ</t>
    </rPh>
    <rPh sb="114" eb="116">
      <t>ネンド</t>
    </rPh>
    <rPh sb="116" eb="118">
      <t>イコウ</t>
    </rPh>
    <rPh sb="119" eb="121">
      <t>ホンコウ</t>
    </rPh>
    <rPh sb="122" eb="124">
      <t>ニュウガク</t>
    </rPh>
    <rPh sb="126" eb="128">
      <t>ガクセイ</t>
    </rPh>
    <rPh sb="129" eb="130">
      <t>タイ</t>
    </rPh>
    <rPh sb="134" eb="135">
      <t>ホン</t>
    </rPh>
    <rPh sb="144" eb="146">
      <t>リシュウ</t>
    </rPh>
    <rPh sb="146" eb="148">
      <t>タイショウ</t>
    </rPh>
    <rPh sb="151" eb="152">
      <t>スベ</t>
    </rPh>
    <rPh sb="158" eb="160">
      <t>コウセイ</t>
    </rPh>
    <rPh sb="170" eb="172">
      <t>ザイセキ</t>
    </rPh>
    <rPh sb="174" eb="177">
      <t>ゼンガッカ</t>
    </rPh>
    <rPh sb="206" eb="207">
      <t>トモナ</t>
    </rPh>
    <rPh sb="209" eb="211">
      <t>リシュウ</t>
    </rPh>
    <rPh sb="211" eb="212">
      <t>リツ</t>
    </rPh>
    <rPh sb="213" eb="215">
      <t>レイワ</t>
    </rPh>
    <rPh sb="216" eb="218">
      <t>ネンド</t>
    </rPh>
    <rPh sb="227" eb="229">
      <t>ヨテイ</t>
    </rPh>
    <phoneticPr fontId="1"/>
  </si>
  <si>
    <t>有</t>
  </si>
  <si>
    <t>旭川工業高等専門学校点検評価改善委員会規則</t>
    <rPh sb="0" eb="10">
      <t>アサ</t>
    </rPh>
    <phoneticPr fontId="1"/>
  </si>
  <si>
    <t>https://www.asahikawa-nct.ac.jp/COMPASS/ref/resume2020.pdf</t>
    <phoneticPr fontId="1"/>
  </si>
  <si>
    <t>旭川工業高等専門学校</t>
    <phoneticPr fontId="1"/>
  </si>
  <si>
    <t>旭川工業高等専門学校数理・データサイエンス・AI教育プログラム</t>
    <rPh sb="2" eb="4">
      <t>コウギョウ</t>
    </rPh>
    <rPh sb="4" eb="6">
      <t>コウトウ</t>
    </rPh>
    <rPh sb="6" eb="10">
      <t>センモンガ</t>
    </rPh>
    <phoneticPr fontId="1"/>
  </si>
  <si>
    <t>本校の点検評価改善委員会の構成員は下記の通りであり，学校長が指名し決定している。
　（１）専攻科長
　（２）教務主事
　（３）各学科及び人文理数総合科の教員から各１人
　（４）総務課長及び学生課長
令和２年度の当該委員会の委員は下記の7名である。
　（１）　専攻科長・准教授　横井　直倫　（委員長）
　（２）　教務主事・教授　井口　傑
　（３）　機械システム工学科・教授　宇野　直嗣
　　　　 電気情報工学科・准教授　宜保　達哉
　　　　 システム制御情報工学科・教授　三井　聡
　　　　 物質化学工学科・助教　兵野　篤
　　　　 人文理数総合科・教授　鈴木　智己
　（４）　総務課長　八木澤　学
　　　　 学生課長　齋藤　嘉光</t>
    <phoneticPr fontId="1"/>
  </si>
  <si>
    <t>独立行政法人 国立高等専門学校機構</t>
    <rPh sb="0" eb="2">
      <t>ドクリツ</t>
    </rPh>
    <rPh sb="2" eb="4">
      <t>ギョウセイ</t>
    </rPh>
    <rPh sb="4" eb="6">
      <t>ホウジン</t>
    </rPh>
    <rPh sb="7" eb="9">
      <t>コクリツ</t>
    </rPh>
    <rPh sb="9" eb="11">
      <t>コウトウ</t>
    </rPh>
    <rPh sb="11" eb="13">
      <t>センモン</t>
    </rPh>
    <rPh sb="13" eb="15">
      <t>ガッコウ</t>
    </rPh>
    <rPh sb="15" eb="17">
      <t>キコウ</t>
    </rPh>
    <phoneticPr fontId="1"/>
  </si>
  <si>
    <t>https://www.asahikawa-nct.ac.jp/COMPASS/literacy_prg2020_2.html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</si>
</sst>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color rgb="FF000000"/>
      <name val="ＭＳ Ｐゴシック"/>
      <family val="2"/>
      <charset val="128"/>
      <scheme val="minor"/>
    </font>
    <font>
      <sz val="12"/>
      <color rgb="FF000000"/>
      <name val="ＭＳ Ｐゴシック"/>
      <family val="3"/>
      <charset val="128"/>
      <scheme val="minor"/>
    </font>
    <font>
      <b/>
      <sz val="12"/>
      <color rgb="FF000000"/>
      <name val="ＭＳ Ｐゴシック"/>
      <family val="2"/>
      <charset val="128"/>
      <scheme val="minor"/>
    </font>
    <font>
      <b/>
      <sz val="12"/>
      <color rgb="FF000000"/>
      <name val="ＭＳ Ｐゴシック"/>
      <family val="3"/>
      <charset val="128"/>
      <scheme val="minor"/>
    </font>
    <font>
      <sz val="12"/>
      <color rgb="FF000000"/>
      <name val="ＭＳ Ｐゴシック"/>
      <family val="3"/>
      <charset val="128"/>
    </font>
    <font>
      <sz val="12"/>
      <name val="ＭＳ Ｐゴシック"/>
      <family val="2"/>
      <scheme val="minor"/>
    </font>
    <font>
      <sz val="11"/>
      <color rgb="FF000000"/>
      <name val="ＭＳ Ｐゴシック"/>
      <family val="3"/>
      <charset val="128"/>
      <scheme val="minor"/>
    </font>
    <font>
      <sz val="8"/>
      <color theme="1"/>
      <name val="ＭＳ Ｐゴシック"/>
      <family val="3"/>
      <charset val="128"/>
      <scheme val="minor"/>
    </font>
    <font>
      <strike/>
      <sz val="12"/>
      <color theme="1"/>
      <name val="ＭＳ Ｐゴシック"/>
      <family val="2"/>
      <charset val="128"/>
      <scheme val="minor"/>
    </font>
    <font>
      <sz val="12"/>
      <color rgb="FFFF0000"/>
      <name val="ＭＳ Ｐゴシック"/>
      <family val="2"/>
      <scheme val="minor"/>
    </font>
    <font>
      <sz val="9"/>
      <name val="ＭＳ Ｐゴシック"/>
      <family val="3"/>
      <charset val="128"/>
      <scheme val="minor"/>
    </font>
    <font>
      <u/>
      <sz val="11"/>
      <name val="ＭＳ Ｐゴシック"/>
      <family val="3"/>
      <charset val="128"/>
      <scheme val="minor"/>
    </font>
    <font>
      <sz val="10.5"/>
      <color rgb="FF000000"/>
      <name val="ＭＳ Ｐゴシック"/>
      <family val="3"/>
      <charset val="128"/>
      <scheme val="minor"/>
    </font>
  </fonts>
  <fills count="2">
    <fill>
      <patternFill patternType="none"/>
    </fill>
    <fill>
      <patternFill patternType="gray125"/>
    </fill>
  </fills>
  <borders count="4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5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righ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4" fillId="0" borderId="21" xfId="0" applyFont="1" applyBorder="1" applyAlignment="1">
      <alignment vertical="top" wrapText="1"/>
    </xf>
    <xf numFmtId="0" fontId="3" fillId="0" borderId="0" xfId="0" applyFont="1" applyAlignment="1">
      <alignment vertical="center" wrapText="1"/>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vertical="center" wrapText="1"/>
    </xf>
    <xf numFmtId="0" fontId="2" fillId="0" borderId="0" xfId="0" applyFont="1" applyAlignment="1">
      <alignment horizontal="center" vertical="center"/>
    </xf>
    <xf numFmtId="0" fontId="12" fillId="0" borderId="0" xfId="0" applyFont="1">
      <alignment vertical="center"/>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17" fillId="0" borderId="0" xfId="0" applyFont="1">
      <alignment vertical="center"/>
    </xf>
    <xf numFmtId="0" fontId="18" fillId="0" borderId="0" xfId="0" applyFont="1" applyAlignment="1">
      <alignment vertical="center"/>
    </xf>
    <xf numFmtId="0" fontId="18" fillId="0" borderId="0" xfId="0" applyFont="1" applyAlignment="1">
      <alignment horizontal="left" vertical="center"/>
    </xf>
    <xf numFmtId="0" fontId="18" fillId="0" borderId="0" xfId="0" applyFont="1" applyBorder="1" applyAlignment="1">
      <alignment vertical="center"/>
    </xf>
    <xf numFmtId="0" fontId="18" fillId="0" borderId="10" xfId="0" applyFont="1" applyBorder="1" applyAlignment="1">
      <alignment vertical="center"/>
    </xf>
    <xf numFmtId="0" fontId="18" fillId="0" borderId="10" xfId="0" applyFont="1" applyBorder="1" applyAlignment="1">
      <alignment vertical="center" shrinkToFit="1"/>
    </xf>
    <xf numFmtId="0" fontId="18" fillId="0" borderId="5" xfId="0" applyFont="1" applyBorder="1">
      <alignment vertical="center"/>
    </xf>
    <xf numFmtId="176" fontId="18" fillId="0" borderId="0" xfId="0" applyNumberFormat="1" applyFont="1" applyBorder="1" applyAlignment="1">
      <alignment vertical="center" wrapText="1"/>
    </xf>
    <xf numFmtId="0" fontId="18" fillId="0" borderId="0" xfId="0" applyFont="1" applyBorder="1">
      <alignment vertical="center"/>
    </xf>
    <xf numFmtId="176" fontId="18" fillId="0" borderId="5" xfId="0" applyNumberFormat="1" applyFont="1" applyBorder="1" applyAlignment="1">
      <alignment vertical="center"/>
    </xf>
    <xf numFmtId="176" fontId="18" fillId="0" borderId="0" xfId="0" applyNumberFormat="1" applyFont="1" applyBorder="1">
      <alignment vertical="center"/>
    </xf>
    <xf numFmtId="176" fontId="18" fillId="0" borderId="0" xfId="0" applyNumberFormat="1" applyFont="1" applyAlignment="1">
      <alignment vertical="center" wrapText="1"/>
    </xf>
    <xf numFmtId="176" fontId="18" fillId="0" borderId="3" xfId="0" applyNumberFormat="1" applyFont="1" applyBorder="1" applyAlignment="1">
      <alignment vertical="center" shrinkToFit="1"/>
    </xf>
    <xf numFmtId="176" fontId="18" fillId="0" borderId="0" xfId="0" applyNumberFormat="1" applyFont="1" applyAlignment="1">
      <alignment horizontal="left" vertical="center" wrapText="1"/>
    </xf>
    <xf numFmtId="0" fontId="18" fillId="0" borderId="6" xfId="0" applyFont="1" applyBorder="1" applyAlignment="1">
      <alignment vertical="center" shrinkToFit="1"/>
    </xf>
    <xf numFmtId="0" fontId="18" fillId="0" borderId="0" xfId="0" applyFont="1">
      <alignment vertical="center"/>
    </xf>
    <xf numFmtId="0" fontId="17" fillId="0" borderId="0" xfId="0" applyFont="1" applyFill="1">
      <alignment vertical="center"/>
    </xf>
    <xf numFmtId="0" fontId="17" fillId="0" borderId="10" xfId="0" applyFont="1" applyBorder="1" applyAlignment="1">
      <alignment vertical="center" shrinkToFit="1"/>
    </xf>
    <xf numFmtId="0" fontId="18" fillId="0" borderId="1" xfId="0" applyFont="1" applyBorder="1">
      <alignment vertical="center"/>
    </xf>
    <xf numFmtId="0" fontId="18" fillId="0" borderId="2" xfId="0" applyFont="1" applyBorder="1">
      <alignment vertical="center"/>
    </xf>
    <xf numFmtId="0" fontId="18" fillId="0" borderId="4" xfId="0" applyFont="1" applyBorder="1">
      <alignment vertical="center"/>
    </xf>
    <xf numFmtId="0" fontId="25" fillId="0" borderId="0" xfId="0" applyFont="1">
      <alignment vertical="center"/>
    </xf>
    <xf numFmtId="0" fontId="18" fillId="0" borderId="0" xfId="0" applyFont="1" applyBorder="1" applyAlignment="1">
      <alignment horizontal="center" vertical="center"/>
    </xf>
    <xf numFmtId="0" fontId="18" fillId="0" borderId="0" xfId="0" applyFont="1" applyBorder="1" applyAlignment="1">
      <alignment horizontal="center" vertical="center" shrinkToFit="1"/>
    </xf>
    <xf numFmtId="0" fontId="18" fillId="0" borderId="0" xfId="0" applyFont="1" applyAlignment="1">
      <alignment horizontal="center" vertical="center"/>
    </xf>
    <xf numFmtId="0" fontId="18" fillId="0" borderId="0"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2" fillId="0" borderId="5" xfId="0" applyFont="1" applyBorder="1" applyAlignment="1">
      <alignment horizontal="center" vertical="center"/>
    </xf>
    <xf numFmtId="0" fontId="2" fillId="0" borderId="11" xfId="0" applyFont="1" applyBorder="1" applyAlignment="1">
      <alignment vertical="center" shrinkToFit="1"/>
    </xf>
    <xf numFmtId="0" fontId="2" fillId="0" borderId="45" xfId="0" applyFont="1" applyBorder="1" applyAlignment="1">
      <alignment vertical="center" shrinkToFit="1"/>
    </xf>
    <xf numFmtId="0" fontId="18" fillId="0" borderId="2" xfId="0" applyFont="1" applyBorder="1" applyAlignment="1">
      <alignment horizontal="left" vertical="center" shrinkToFit="1"/>
    </xf>
    <xf numFmtId="0" fontId="2" fillId="0" borderId="45" xfId="0" applyFont="1" applyBorder="1" applyAlignment="1">
      <alignment horizontal="center" vertical="center"/>
    </xf>
    <xf numFmtId="0" fontId="18" fillId="0" borderId="7" xfId="0" applyFont="1" applyBorder="1" applyAlignment="1">
      <alignment horizontal="left" vertical="center" shrinkToFit="1"/>
    </xf>
    <xf numFmtId="0" fontId="2" fillId="0" borderId="11" xfId="0" applyFont="1" applyBorder="1" applyAlignment="1">
      <alignment horizontal="center" vertical="center"/>
    </xf>
    <xf numFmtId="0" fontId="3" fillId="0" borderId="0" xfId="0" applyFont="1" applyAlignment="1">
      <alignment vertical="top" wrapText="1"/>
    </xf>
    <xf numFmtId="0" fontId="3" fillId="0" borderId="0" xfId="0" applyFont="1" applyAlignment="1">
      <alignment vertical="top"/>
    </xf>
    <xf numFmtId="0" fontId="24" fillId="0" borderId="0" xfId="0" applyFont="1" applyAlignment="1">
      <alignment vertical="center" wrapText="1"/>
    </xf>
    <xf numFmtId="0" fontId="2" fillId="0" borderId="0" xfId="0" applyFont="1" applyAlignment="1">
      <alignment vertical="top" wrapText="1"/>
    </xf>
    <xf numFmtId="0" fontId="2" fillId="0" borderId="0" xfId="0" applyFont="1" applyAlignment="1">
      <alignment vertical="top"/>
    </xf>
    <xf numFmtId="0" fontId="12" fillId="0" borderId="0" xfId="0" applyFont="1" applyAlignment="1">
      <alignment vertical="top" wrapText="1"/>
    </xf>
    <xf numFmtId="0" fontId="26" fillId="0" borderId="0" xfId="0" applyFont="1" applyAlignment="1">
      <alignment vertical="top"/>
    </xf>
    <xf numFmtId="0" fontId="27" fillId="0" borderId="21" xfId="0" applyFont="1" applyBorder="1" applyAlignment="1">
      <alignment vertical="top" shrinkToFit="1"/>
    </xf>
    <xf numFmtId="0" fontId="27" fillId="0" borderId="19" xfId="0" applyFont="1" applyBorder="1" applyAlignment="1">
      <alignment vertical="top" shrinkToFit="1"/>
    </xf>
    <xf numFmtId="0" fontId="10" fillId="0" borderId="1" xfId="0" applyFont="1" applyBorder="1" applyAlignment="1">
      <alignment vertical="center" wrapText="1"/>
    </xf>
    <xf numFmtId="0" fontId="18" fillId="0" borderId="0" xfId="0" applyFont="1" applyBorder="1" applyAlignment="1">
      <alignment vertical="center" shrinkToFit="1"/>
    </xf>
    <xf numFmtId="176" fontId="18" fillId="0" borderId="2" xfId="0" applyNumberFormat="1" applyFont="1" applyBorder="1" applyAlignment="1">
      <alignment horizontal="center" vertical="center" shrinkToFit="1"/>
    </xf>
    <xf numFmtId="176" fontId="18" fillId="0" borderId="4" xfId="0" applyNumberFormat="1" applyFont="1" applyBorder="1" applyAlignment="1">
      <alignment horizontal="center" vertical="center" shrinkToFit="1"/>
    </xf>
    <xf numFmtId="0" fontId="18" fillId="0" borderId="2" xfId="0" applyFont="1" applyBorder="1" applyAlignment="1">
      <alignment horizontal="center" vertical="center" shrinkToFit="1"/>
    </xf>
    <xf numFmtId="0" fontId="18" fillId="0" borderId="3" xfId="0" applyFont="1" applyBorder="1" applyAlignment="1">
      <alignment horizontal="center" vertical="center" shrinkToFit="1"/>
    </xf>
    <xf numFmtId="0" fontId="18" fillId="0" borderId="4" xfId="0" applyFont="1" applyBorder="1" applyAlignment="1">
      <alignment horizontal="center" vertical="center" shrinkToFit="1"/>
    </xf>
    <xf numFmtId="0" fontId="18" fillId="0" borderId="0"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0" xfId="0" applyFont="1" applyBorder="1" applyAlignment="1">
      <alignment horizontal="right" vertical="center" shrinkToFit="1"/>
    </xf>
    <xf numFmtId="0" fontId="18" fillId="0" borderId="5" xfId="0" applyFont="1" applyBorder="1" applyAlignment="1">
      <alignment horizontal="right" vertical="center" shrinkToFit="1"/>
    </xf>
    <xf numFmtId="0" fontId="18" fillId="0" borderId="10" xfId="0" applyFont="1" applyBorder="1" applyAlignment="1">
      <alignment horizontal="right" vertical="center" shrinkToFit="1"/>
    </xf>
    <xf numFmtId="0" fontId="17" fillId="0" borderId="0" xfId="0" applyFont="1" applyAlignment="1">
      <alignment horizontal="right" vertical="center"/>
    </xf>
    <xf numFmtId="0" fontId="18" fillId="0" borderId="0" xfId="0" applyFont="1" applyBorder="1" applyAlignment="1">
      <alignment horizontal="right" vertical="center"/>
    </xf>
    <xf numFmtId="0" fontId="18" fillId="0" borderId="10" xfId="0" applyFont="1" applyBorder="1" applyAlignment="1">
      <alignment horizontal="right" vertical="center"/>
    </xf>
    <xf numFmtId="176" fontId="18" fillId="0" borderId="3" xfId="0" applyNumberFormat="1" applyFont="1" applyBorder="1" applyAlignment="1">
      <alignment horizontal="center" vertical="center" shrinkToFit="1"/>
    </xf>
    <xf numFmtId="0" fontId="18" fillId="0" borderId="0" xfId="0" applyFont="1" applyBorder="1" applyAlignment="1">
      <alignment horizontal="center" vertical="center" shrinkToFit="1"/>
    </xf>
    <xf numFmtId="0" fontId="18" fillId="0" borderId="0" xfId="0" applyFont="1" applyAlignment="1">
      <alignment horizontal="center" vertical="center"/>
    </xf>
    <xf numFmtId="0" fontId="23" fillId="0" borderId="2" xfId="0" applyFont="1" applyBorder="1" applyAlignment="1">
      <alignment vertical="center" shrinkToFit="1"/>
    </xf>
    <xf numFmtId="0" fontId="23" fillId="0" borderId="3" xfId="0" applyFont="1" applyBorder="1" applyAlignment="1">
      <alignment vertical="center" shrinkToFit="1"/>
    </xf>
    <xf numFmtId="0" fontId="23" fillId="0" borderId="4" xfId="0" applyFont="1" applyBorder="1" applyAlignment="1">
      <alignment vertical="center" shrinkToFit="1"/>
    </xf>
    <xf numFmtId="0" fontId="0" fillId="0" borderId="2" xfId="0" applyFill="1" applyBorder="1">
      <alignment vertical="center"/>
    </xf>
    <xf numFmtId="0" fontId="0" fillId="0" borderId="3" xfId="0" applyFill="1" applyBorder="1">
      <alignment vertical="center"/>
    </xf>
    <xf numFmtId="0" fontId="0" fillId="0" borderId="4" xfId="0" applyFill="1" applyBorder="1">
      <alignment vertical="center"/>
    </xf>
    <xf numFmtId="49" fontId="18" fillId="0" borderId="2" xfId="1" applyNumberFormat="1" applyFont="1" applyBorder="1" applyAlignment="1">
      <alignment horizontal="center" vertical="center" shrinkToFit="1"/>
    </xf>
    <xf numFmtId="49" fontId="18" fillId="0" borderId="3" xfId="1" applyNumberFormat="1" applyFont="1" applyBorder="1" applyAlignment="1">
      <alignment horizontal="center" vertical="center" shrinkToFit="1"/>
    </xf>
    <xf numFmtId="49" fontId="18" fillId="0" borderId="4" xfId="1" applyNumberFormat="1" applyFont="1" applyBorder="1" applyAlignment="1">
      <alignment horizontal="center" vertical="center" shrinkToFit="1"/>
    </xf>
    <xf numFmtId="0" fontId="18" fillId="0" borderId="2" xfId="0" applyFont="1" applyBorder="1" applyAlignment="1">
      <alignment vertical="center" shrinkToFit="1"/>
    </xf>
    <xf numFmtId="0" fontId="18" fillId="0" borderId="3"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17" fillId="0" borderId="7" xfId="0" applyFont="1" applyBorder="1" applyAlignment="1">
      <alignment vertical="top" wrapText="1"/>
    </xf>
    <xf numFmtId="0" fontId="18" fillId="0" borderId="8" xfId="0" applyFont="1" applyBorder="1" applyAlignment="1">
      <alignment vertical="top" wrapText="1"/>
    </xf>
    <xf numFmtId="0" fontId="18" fillId="0" borderId="9" xfId="0" applyFont="1" applyBorder="1" applyAlignment="1">
      <alignment vertical="top" wrapText="1"/>
    </xf>
    <xf numFmtId="0" fontId="18" fillId="0" borderId="5" xfId="0" applyFont="1" applyBorder="1" applyAlignment="1">
      <alignment vertical="top" wrapText="1"/>
    </xf>
    <xf numFmtId="0" fontId="18" fillId="0" borderId="0" xfId="0" applyFont="1" applyBorder="1" applyAlignment="1">
      <alignment vertical="top" wrapText="1"/>
    </xf>
    <xf numFmtId="0" fontId="18" fillId="0" borderId="10" xfId="0" applyFont="1" applyBorder="1" applyAlignment="1">
      <alignment vertical="top" wrapText="1"/>
    </xf>
    <xf numFmtId="0" fontId="18" fillId="0" borderId="11" xfId="0" applyFont="1" applyBorder="1" applyAlignment="1">
      <alignment vertical="top" wrapText="1"/>
    </xf>
    <xf numFmtId="0" fontId="18" fillId="0" borderId="6" xfId="0" applyFont="1" applyBorder="1" applyAlignment="1">
      <alignment vertical="top" wrapText="1"/>
    </xf>
    <xf numFmtId="0" fontId="18" fillId="0" borderId="12" xfId="0" applyFont="1" applyBorder="1" applyAlignment="1">
      <alignment vertical="top" wrapText="1"/>
    </xf>
    <xf numFmtId="0" fontId="9" fillId="0" borderId="2" xfId="0" applyFont="1" applyBorder="1" applyAlignment="1">
      <alignment vertical="center" shrinkToFit="1"/>
    </xf>
    <xf numFmtId="0" fontId="22" fillId="0" borderId="3" xfId="0" applyFont="1" applyBorder="1" applyAlignment="1">
      <alignment vertical="center" shrinkToFit="1"/>
    </xf>
    <xf numFmtId="0" fontId="22" fillId="0" borderId="4"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vertical="center" shrinkToFit="1"/>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44" xfId="0" applyFont="1" applyBorder="1" applyAlignment="1">
      <alignment horizontal="center" vertical="center"/>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8" fillId="0" borderId="2" xfId="0" applyFont="1" applyBorder="1" applyAlignment="1">
      <alignment horizontal="left" vertical="center" shrinkToFit="1"/>
    </xf>
    <xf numFmtId="0" fontId="18" fillId="0" borderId="3" xfId="0" applyFont="1" applyBorder="1" applyAlignment="1">
      <alignment horizontal="left" vertical="center" shrinkToFit="1"/>
    </xf>
    <xf numFmtId="0" fontId="18" fillId="0" borderId="4" xfId="0" applyFont="1" applyBorder="1" applyAlignment="1">
      <alignment horizontal="left" vertical="center" shrinkToFit="1"/>
    </xf>
    <xf numFmtId="0" fontId="18" fillId="0" borderId="7" xfId="0" applyFont="1" applyBorder="1" applyAlignment="1">
      <alignment horizontal="left" vertical="center" shrinkToFit="1"/>
    </xf>
    <xf numFmtId="0" fontId="18" fillId="0" borderId="8" xfId="0" applyFont="1" applyBorder="1" applyAlignment="1">
      <alignment horizontal="left" vertical="center" shrinkToFit="1"/>
    </xf>
    <xf numFmtId="0" fontId="18" fillId="0" borderId="9" xfId="0" applyFont="1" applyBorder="1" applyAlignment="1">
      <alignment horizontal="lef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center" vertical="center"/>
    </xf>
    <xf numFmtId="0" fontId="2" fillId="0" borderId="6" xfId="0" applyFont="1" applyBorder="1" applyAlignment="1">
      <alignment horizontal="center" vertical="center"/>
    </xf>
    <xf numFmtId="0" fontId="2" fillId="0" borderId="12"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3" fillId="0" borderId="5"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1" fillId="0" borderId="2" xfId="0" applyFont="1" applyFill="1" applyBorder="1" applyAlignment="1">
      <alignment vertical="center" wrapText="1"/>
    </xf>
    <xf numFmtId="0" fontId="21" fillId="0" borderId="3" xfId="0" applyFont="1" applyFill="1" applyBorder="1" applyAlignment="1">
      <alignment vertical="center" wrapText="1"/>
    </xf>
    <xf numFmtId="0" fontId="21" fillId="0" borderId="43" xfId="0" applyFont="1" applyFill="1" applyBorder="1" applyAlignment="1">
      <alignmen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3" fillId="0" borderId="13" xfId="0" applyFont="1" applyBorder="1" applyAlignment="1">
      <alignment vertical="center" wrapText="1"/>
    </xf>
    <xf numFmtId="0" fontId="2" fillId="0" borderId="0" xfId="0" applyFont="1" applyAlignment="1">
      <alignment horizontal="center" vertical="center"/>
    </xf>
    <xf numFmtId="0" fontId="17" fillId="0" borderId="7"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0"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7" fillId="0" borderId="2" xfId="2" applyBorder="1" applyAlignment="1">
      <alignment vertical="center" shrinkToFit="1"/>
    </xf>
    <xf numFmtId="0" fontId="7" fillId="0" borderId="3" xfId="2" applyBorder="1" applyAlignment="1">
      <alignment vertical="center" shrinkToFit="1"/>
    </xf>
    <xf numFmtId="0" fontId="7" fillId="0" borderId="4" xfId="2"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2" xfId="0" applyFont="1" applyBorder="1" applyAlignment="1">
      <alignment vertical="center" wrapText="1" shrinkToFit="1"/>
    </xf>
    <xf numFmtId="0" fontId="2" fillId="0" borderId="2" xfId="0"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44" xfId="0" applyFont="1" applyBorder="1" applyAlignment="1">
      <alignment horizontal="left" vertical="center"/>
    </xf>
    <xf numFmtId="0" fontId="2" fillId="0" borderId="11" xfId="0" applyFont="1" applyBorder="1" applyAlignment="1">
      <alignment horizontal="left" vertical="center"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46" xfId="0" applyFont="1" applyBorder="1" applyAlignment="1">
      <alignment horizontal="left" vertical="center"/>
    </xf>
    <xf numFmtId="0" fontId="17" fillId="0" borderId="7" xfId="0" applyFont="1" applyBorder="1" applyAlignment="1">
      <alignment vertical="top" wrapText="1" shrinkToFit="1"/>
    </xf>
    <xf numFmtId="0" fontId="18" fillId="0" borderId="8" xfId="0" applyFont="1" applyBorder="1" applyAlignment="1">
      <alignment vertical="top"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Border="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2" fillId="0" borderId="6" xfId="0" applyFont="1" applyBorder="1" applyAlignment="1">
      <alignment vertical="center"/>
    </xf>
    <xf numFmtId="0" fontId="19" fillId="0" borderId="7" xfId="0" applyFont="1" applyBorder="1" applyAlignment="1">
      <alignment vertical="top" wrapText="1" shrinkToFit="1"/>
    </xf>
    <xf numFmtId="0" fontId="20" fillId="0" borderId="8" xfId="0" applyFont="1" applyBorder="1" applyAlignment="1">
      <alignment vertical="top" shrinkToFit="1"/>
    </xf>
    <xf numFmtId="0" fontId="20" fillId="0" borderId="9" xfId="0" applyFont="1" applyBorder="1" applyAlignment="1">
      <alignment vertical="top" shrinkToFit="1"/>
    </xf>
    <xf numFmtId="0" fontId="20" fillId="0" borderId="5" xfId="0" applyFont="1" applyBorder="1" applyAlignment="1">
      <alignment vertical="top" shrinkToFit="1"/>
    </xf>
    <xf numFmtId="0" fontId="20" fillId="0" borderId="0" xfId="0" applyFont="1" applyBorder="1" applyAlignment="1">
      <alignment vertical="top" shrinkToFit="1"/>
    </xf>
    <xf numFmtId="0" fontId="20" fillId="0" borderId="10" xfId="0" applyFont="1" applyBorder="1" applyAlignment="1">
      <alignment vertical="top" shrinkToFit="1"/>
    </xf>
    <xf numFmtId="0" fontId="20" fillId="0" borderId="11" xfId="0" applyFont="1" applyBorder="1" applyAlignment="1">
      <alignment vertical="top" shrinkToFit="1"/>
    </xf>
    <xf numFmtId="0" fontId="20" fillId="0" borderId="6" xfId="0" applyFont="1" applyBorder="1" applyAlignment="1">
      <alignment vertical="top" shrinkToFit="1"/>
    </xf>
    <xf numFmtId="0" fontId="20" fillId="0" borderId="12" xfId="0" applyFont="1" applyBorder="1" applyAlignment="1">
      <alignment vertical="top" shrinkToFit="1"/>
    </xf>
    <xf numFmtId="0" fontId="22"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0" xfId="0" applyFont="1" applyAlignment="1">
      <alignment vertical="center" shrinkToFit="1"/>
    </xf>
    <xf numFmtId="0" fontId="29" fillId="0" borderId="7" xfId="0" applyFont="1" applyBorder="1" applyAlignment="1">
      <alignment vertical="top" wrapText="1" shrinkToFit="1"/>
    </xf>
    <xf numFmtId="0" fontId="29" fillId="0" borderId="8" xfId="0" applyFont="1" applyBorder="1" applyAlignment="1">
      <alignment vertical="top" shrinkToFit="1"/>
    </xf>
    <xf numFmtId="0" fontId="29" fillId="0" borderId="9" xfId="0" applyFont="1" applyBorder="1" applyAlignment="1">
      <alignment vertical="top" shrinkToFit="1"/>
    </xf>
    <xf numFmtId="0" fontId="29" fillId="0" borderId="5" xfId="0" applyFont="1" applyBorder="1" applyAlignment="1">
      <alignment vertical="top" shrinkToFit="1"/>
    </xf>
    <xf numFmtId="0" fontId="29" fillId="0" borderId="0" xfId="0" applyFont="1" applyAlignment="1">
      <alignment vertical="top" shrinkToFit="1"/>
    </xf>
    <xf numFmtId="0" fontId="29" fillId="0" borderId="10" xfId="0" applyFont="1" applyBorder="1" applyAlignment="1">
      <alignment vertical="top" shrinkToFit="1"/>
    </xf>
    <xf numFmtId="0" fontId="29" fillId="0" borderId="11" xfId="0" applyFont="1" applyBorder="1" applyAlignment="1">
      <alignment vertical="top" shrinkToFit="1"/>
    </xf>
    <xf numFmtId="0" fontId="29" fillId="0" borderId="6" xfId="0" applyFont="1" applyBorder="1" applyAlignment="1">
      <alignment vertical="top" shrinkToFit="1"/>
    </xf>
    <xf numFmtId="0" fontId="29" fillId="0" borderId="12" xfId="0" applyFont="1" applyBorder="1" applyAlignment="1">
      <alignment vertical="top" shrinkToFit="1"/>
    </xf>
    <xf numFmtId="0" fontId="18" fillId="0" borderId="7" xfId="0" applyFont="1" applyBorder="1" applyAlignment="1">
      <alignment vertical="top" wrapText="1" shrinkToFit="1"/>
    </xf>
    <xf numFmtId="0" fontId="1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Border="1" applyAlignment="1">
      <alignment vertical="top" wrapText="1" shrinkToFit="1"/>
    </xf>
    <xf numFmtId="0" fontId="9"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28" fillId="0" borderId="2" xfId="2" applyFont="1" applyBorder="1" applyAlignment="1">
      <alignment horizontal="left" vertical="center" shrinkToFit="1"/>
    </xf>
    <xf numFmtId="0" fontId="27" fillId="0" borderId="3" xfId="0" applyFont="1" applyBorder="1" applyAlignment="1">
      <alignment horizontal="left" vertical="center" shrinkToFit="1"/>
    </xf>
    <xf numFmtId="0" fontId="27" fillId="0" borderId="4" xfId="0" applyFont="1" applyBorder="1" applyAlignment="1">
      <alignment horizontal="left" vertical="center" shrinkToFit="1"/>
    </xf>
    <xf numFmtId="0" fontId="9"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0" borderId="6" xfId="0" applyFont="1" applyBorder="1" applyAlignment="1">
      <alignment vertical="top" wrapText="1" shrinkToFit="1"/>
    </xf>
    <xf numFmtId="0" fontId="22" fillId="0" borderId="6" xfId="0" applyFont="1" applyBorder="1" applyAlignment="1">
      <alignment vertical="top" wrapText="1" shrinkToFit="1"/>
    </xf>
    <xf numFmtId="0" fontId="22" fillId="0" borderId="12" xfId="0" applyFont="1" applyBorder="1" applyAlignment="1">
      <alignment vertical="top" wrapText="1" shrinkToFit="1"/>
    </xf>
  </cellXfs>
  <cellStyles count="4">
    <cellStyle name="Hyperlink" xfId="3" xr:uid="{00000000-0005-0000-0000-000000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yomu02" id="{35543421-9608-49B5-AF66-7BFF7FCA1952}" userId="kyomu02" providerId="None"/>
  <person displayName="笹岡 久行" id="{3003054E-A527-49D2-8A93-31082E8DA340}" userId="sasa@asahikawa.kosen-ac.jp" providerId="PeoplePicker"/>
  <person displayName="笹岡 久行" id="{7AB8B241-5FDC-460B-9136-755752CB9559}" userId="S::sasa@asahikawa.kosen-ac.jp::484b8e96-39da-4ea5-bad4-400b0673d5a6" providerId="AD"/>
  <person displayName="松原 英一" id="{DEE20DA2-B687-4B40-A87E-C43CEDF5070A}" userId="S::e_matsu@asahikawa.kosen-ac.jp::fc960f45-a894-4629-beee-a865767842cb" providerId="AD"/>
  <person displayName="西森 美帆" id="{AFE6A801-7493-4DD6-BC10-89C016130AEF}" userId="S::nisimori@asahikawa.kosen-ac.jp::43c97bff-fbb8-4f06-8788-6cee3ff94b26"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8" dT="2021-04-21T06:12:12.75" personId="{7AB8B241-5FDC-460B-9136-755752CB9559}" id="{A8535C66-0C02-4858-80E1-563BAF993A57}">
    <text>校長に書類を見ていただいた際，可能なところは過去形でしるすように指示がったので，過去形にしております。個人的にはこだわりはありません。</text>
  </threadedComment>
  <threadedComment ref="C77" dT="2021-04-28T00:22:50.82" personId="{AFE6A801-7493-4DD6-BC10-89C016130AEF}" id="{7A2D151B-C75A-4160-9777-A468A0E4E2B8}">
    <text>@笹岡 久行 
他の項目と併せて過去形にしました。ご確認ください。</text>
    <mentions>
      <mention mentionpersonId="{3003054E-A527-49D2-8A93-31082E8DA340}" mentionId="{E8EB4DBC-9EAD-4596-8556-CBEB51C7084D}" startIndex="0" length="6"/>
    </mentions>
  </threadedComment>
  <threadedComment ref="D89" personId="{35543421-9608-49B5-AF66-7BFF7FCA1952}" id="{5E26D0B9-33CB-4EBD-A9F4-7C76D3EF63BA}">
    <text xml:space="preserve">記入例や他の項目と同様に講義テーマ（キーワードのようなわかりやすいもの）を記載し、後ろに（）をつけて何回目の講義で実施したかを記載してください。
</text>
  </threadedComment>
  <threadedComment ref="D89" dT="2021-04-26T03:34:03.29" personId="{DEE20DA2-B687-4B40-A87E-C43CEDF5070A}" id="{984E47CF-AEB3-4FAE-B569-0FD91CDA6048}" parentId="{5E26D0B9-33CB-4EBD-A9F4-7C76D3EF63BA}">
    <text>遅くなりましたが、修正いたしました。よろしくお願いいたします。</text>
  </threadedComment>
  <threadedComment ref="B133" dT="2021-04-21T06:14:24.46" personId="{7AB8B241-5FDC-460B-9136-755752CB9559}" id="{C85CE810-AB66-4B08-AF3B-B1AFCE4A8FE8}">
    <text>説明用資料を付ける予定でしたが2ページ収まらないので，ここの記述を削除します。</text>
  </threadedComment>
</ThreadedComments>
</file>

<file path=xl/threadedComments/threadedComment2.xml><?xml version="1.0" encoding="utf-8"?>
<ThreadedComments xmlns="http://schemas.microsoft.com/office/spreadsheetml/2018/threadedcomments" xmlns:x="http://schemas.openxmlformats.org/spreadsheetml/2006/main">
  <threadedComment ref="M71" dT="2021-04-21T06:21:35.81" personId="{7AB8B241-5FDC-460B-9136-755752CB9559}" id="{D1F9DA8A-C16F-4CF0-B1B7-F153F58EC364}">
    <text>ご指摘ありがとうございます。ただ，実現できないことを書くこともできないので，この通りかと存じます。</text>
  </threadedComment>
  <threadedComment ref="M95" dT="2021-04-21T06:21:22.72" personId="{7AB8B241-5FDC-460B-9136-755752CB9559}" id="{EA582E5B-8A1D-4DFF-8EDF-A9A3040B4ADB}">
    <text>ご指摘ありがとうございます。ただ，実現できないことを書くこともできないので，この通りかと存じます。</text>
  </threadedComment>
</ThreadedComments>
</file>

<file path=xl/threadedComments/threadedComment3.xml><?xml version="1.0" encoding="utf-8"?>
<ThreadedComments xmlns="http://schemas.microsoft.com/office/spreadsheetml/2018/threadedcomments" xmlns:x="http://schemas.openxmlformats.org/spreadsheetml/2006/main">
  <threadedComment ref="L9" dT="2021-04-21T06:19:12.31" personId="{7AB8B241-5FDC-460B-9136-755752CB9559}" id="{59F32373-DDD5-4A6D-819C-298C33FDD54F}">
    <text>ご指摘ありがとうございます。
履修率の向上計画については別の欄にて記入済みです。
今年度の点検評価改善委員会からのご指摘はないため，現状のままを記述します。</text>
  </threadedComment>
  <threadedComment ref="L15" dT="2021-04-21T06:19:43.90" personId="{7AB8B241-5FDC-460B-9136-755752CB9559}" id="{00BED2DC-9579-47B9-B734-B8E123F0E67C}">
    <text>別添の資料に地域企業からのアンケートはつけております。</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asahikawa-nct.ac.jp/COMPASS/literacy_prg2020_2.html" TargetMode="External"/><Relationship Id="rId1" Type="http://schemas.openxmlformats.org/officeDocument/2006/relationships/hyperlink" Target="https://syllabus.kosen-k.go.jp/Pages/PublicDepartments?school_id=04&amp;lang=ja" TargetMode="External"/><Relationship Id="rId5"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6"/>
  <sheetViews>
    <sheetView tabSelected="1" zoomScaleNormal="100" workbookViewId="0">
      <selection activeCell="P7" sqref="P7"/>
    </sheetView>
  </sheetViews>
  <sheetFormatPr defaultColWidth="9" defaultRowHeight="18.75" customHeight="1" x14ac:dyDescent="0.15"/>
  <cols>
    <col min="1" max="1" width="2.5" style="21" customWidth="1"/>
    <col min="2" max="2" width="12.5" style="21" customWidth="1"/>
    <col min="3" max="8" width="6.25" style="21" customWidth="1"/>
    <col min="9" max="9" width="2.5" style="21" customWidth="1"/>
    <col min="10" max="10" width="10" style="21" customWidth="1"/>
    <col min="11" max="11" width="2.5" style="21" customWidth="1"/>
    <col min="12" max="12" width="7.5" style="21" customWidth="1"/>
    <col min="13" max="13" width="2.5" style="21" customWidth="1"/>
    <col min="14" max="14" width="7.5" style="21" customWidth="1"/>
    <col min="15" max="16384" width="9" style="21"/>
  </cols>
  <sheetData>
    <row r="1" spans="1:14" ht="22.5" customHeight="1" x14ac:dyDescent="0.15">
      <c r="A1" s="70"/>
      <c r="B1" s="70"/>
      <c r="C1" s="70"/>
      <c r="D1" s="70"/>
      <c r="E1" s="70"/>
      <c r="F1" s="70"/>
      <c r="G1" s="70"/>
      <c r="H1" s="70"/>
      <c r="I1" s="70"/>
      <c r="J1" s="70"/>
      <c r="K1" s="70"/>
      <c r="L1" s="70"/>
      <c r="M1" s="134" t="s">
        <v>0</v>
      </c>
      <c r="N1" s="134"/>
    </row>
    <row r="2" spans="1:14" ht="22.5" customHeight="1" x14ac:dyDescent="0.15">
      <c r="A2" s="139" t="s">
        <v>1</v>
      </c>
      <c r="B2" s="139"/>
      <c r="C2" s="139"/>
      <c r="D2" s="139"/>
      <c r="E2" s="139"/>
      <c r="F2" s="139"/>
      <c r="G2" s="139"/>
      <c r="H2" s="139"/>
      <c r="I2" s="139"/>
      <c r="J2" s="139"/>
      <c r="K2" s="139"/>
      <c r="L2" s="139"/>
      <c r="M2" s="139"/>
      <c r="N2" s="139"/>
    </row>
    <row r="3" spans="1:14" ht="22.5" customHeight="1" x14ac:dyDescent="0.15">
      <c r="A3" s="70"/>
      <c r="B3" s="70"/>
      <c r="C3" s="70"/>
      <c r="D3" s="70"/>
      <c r="E3" s="70"/>
      <c r="F3" s="70"/>
      <c r="G3" s="70"/>
      <c r="H3" s="70"/>
      <c r="I3" s="70"/>
      <c r="J3" s="70"/>
      <c r="K3" s="70"/>
      <c r="L3" s="70"/>
      <c r="M3" s="70"/>
      <c r="N3" s="70"/>
    </row>
    <row r="4" spans="1:14" ht="22.5" customHeight="1" x14ac:dyDescent="0.15">
      <c r="A4" s="70" t="s">
        <v>2</v>
      </c>
      <c r="B4" s="71" t="s">
        <v>3</v>
      </c>
      <c r="C4" s="124" t="s">
        <v>195</v>
      </c>
      <c r="D4" s="125"/>
      <c r="E4" s="125"/>
      <c r="F4" s="125"/>
      <c r="G4" s="125"/>
      <c r="H4" s="125"/>
      <c r="I4" s="125"/>
      <c r="J4" s="125"/>
      <c r="K4" s="125"/>
      <c r="L4" s="125"/>
      <c r="M4" s="125"/>
      <c r="N4" s="126"/>
    </row>
    <row r="5" spans="1:14" ht="7.5" customHeight="1" x14ac:dyDescent="0.15">
      <c r="A5" s="70"/>
      <c r="B5" s="71"/>
      <c r="C5" s="71"/>
      <c r="D5" s="71"/>
      <c r="E5" s="72"/>
      <c r="F5" s="95"/>
      <c r="G5" s="95"/>
      <c r="H5" s="95"/>
      <c r="I5" s="95"/>
      <c r="J5" s="95"/>
      <c r="K5" s="95"/>
      <c r="L5" s="95"/>
      <c r="M5" s="95"/>
      <c r="N5" s="95"/>
    </row>
    <row r="6" spans="1:14" ht="22.5" customHeight="1" x14ac:dyDescent="0.15">
      <c r="A6" s="70" t="s">
        <v>4</v>
      </c>
      <c r="B6" s="71" t="s">
        <v>5</v>
      </c>
      <c r="C6" s="71"/>
      <c r="D6" s="124" t="s">
        <v>198</v>
      </c>
      <c r="E6" s="125"/>
      <c r="F6" s="125"/>
      <c r="G6" s="125"/>
      <c r="H6" s="125"/>
      <c r="I6" s="125"/>
      <c r="J6" s="125"/>
      <c r="K6" s="125"/>
      <c r="L6" s="125"/>
      <c r="M6" s="125"/>
      <c r="N6" s="126"/>
    </row>
    <row r="7" spans="1:14" ht="7.5" customHeight="1" x14ac:dyDescent="0.15">
      <c r="A7" s="70"/>
      <c r="B7" s="71"/>
      <c r="C7" s="71"/>
      <c r="D7" s="71"/>
      <c r="E7" s="72"/>
      <c r="F7" s="95"/>
      <c r="G7" s="95"/>
      <c r="H7" s="95"/>
      <c r="I7" s="95"/>
      <c r="J7" s="95"/>
      <c r="K7" s="95"/>
      <c r="L7" s="95"/>
      <c r="M7" s="95"/>
      <c r="N7" s="95"/>
    </row>
    <row r="8" spans="1:14" ht="22.5" customHeight="1" x14ac:dyDescent="0.15">
      <c r="A8" s="73" t="s">
        <v>7</v>
      </c>
      <c r="B8" s="74" t="s">
        <v>8</v>
      </c>
      <c r="C8" s="124" t="s">
        <v>9</v>
      </c>
      <c r="D8" s="125"/>
      <c r="E8" s="126"/>
      <c r="F8" s="95"/>
      <c r="G8" s="138"/>
      <c r="H8" s="138"/>
      <c r="I8" s="138"/>
      <c r="J8" s="95"/>
      <c r="K8" s="95"/>
      <c r="L8" s="95"/>
      <c r="M8" s="95"/>
      <c r="N8" s="95"/>
    </row>
    <row r="9" spans="1:14" ht="7.5" customHeight="1" x14ac:dyDescent="0.15">
      <c r="A9" s="70"/>
      <c r="B9" s="71"/>
      <c r="C9" s="71"/>
      <c r="D9" s="71"/>
      <c r="E9" s="72"/>
      <c r="F9" s="95"/>
      <c r="G9" s="95"/>
      <c r="H9" s="95"/>
      <c r="I9" s="95"/>
      <c r="J9" s="95"/>
      <c r="K9" s="95"/>
      <c r="L9" s="95"/>
      <c r="M9" s="95"/>
      <c r="N9" s="95"/>
    </row>
    <row r="10" spans="1:14" ht="22.5" customHeight="1" x14ac:dyDescent="0.15">
      <c r="A10" s="70" t="s">
        <v>10</v>
      </c>
      <c r="B10" s="71" t="s">
        <v>11</v>
      </c>
      <c r="C10" s="124" t="s">
        <v>12</v>
      </c>
      <c r="D10" s="125"/>
      <c r="E10" s="125"/>
      <c r="F10" s="125"/>
      <c r="G10" s="125"/>
      <c r="H10" s="125"/>
      <c r="I10" s="125"/>
      <c r="J10" s="125"/>
      <c r="K10" s="125"/>
      <c r="L10" s="125"/>
      <c r="M10" s="125"/>
      <c r="N10" s="126"/>
    </row>
    <row r="11" spans="1:14" ht="7.5" customHeight="1" x14ac:dyDescent="0.15">
      <c r="A11" s="70"/>
      <c r="B11" s="71"/>
      <c r="C11" s="71"/>
      <c r="D11" s="71"/>
      <c r="E11" s="72"/>
      <c r="F11" s="95"/>
      <c r="G11" s="95"/>
      <c r="H11" s="95"/>
      <c r="I11" s="95"/>
      <c r="J11" s="95"/>
      <c r="K11" s="95"/>
      <c r="L11" s="95"/>
      <c r="M11" s="95"/>
      <c r="N11" s="95"/>
    </row>
    <row r="12" spans="1:14" ht="22.5" customHeight="1" x14ac:dyDescent="0.15">
      <c r="A12" s="70" t="s">
        <v>13</v>
      </c>
      <c r="B12" s="71" t="s">
        <v>14</v>
      </c>
      <c r="C12" s="71"/>
      <c r="D12" s="71"/>
      <c r="E12" s="95"/>
      <c r="F12" s="75"/>
      <c r="G12" s="140" t="s">
        <v>196</v>
      </c>
      <c r="H12" s="141"/>
      <c r="I12" s="141"/>
      <c r="J12" s="141"/>
      <c r="K12" s="141"/>
      <c r="L12" s="141"/>
      <c r="M12" s="141"/>
      <c r="N12" s="142"/>
    </row>
    <row r="13" spans="1:14" ht="7.5" customHeight="1" x14ac:dyDescent="0.15">
      <c r="A13" s="70"/>
      <c r="B13" s="72"/>
      <c r="C13" s="72"/>
      <c r="D13" s="72"/>
      <c r="E13" s="72"/>
      <c r="F13" s="95"/>
      <c r="G13" s="95"/>
      <c r="H13" s="95"/>
      <c r="I13" s="95"/>
      <c r="J13" s="95"/>
      <c r="K13" s="95"/>
      <c r="L13" s="95"/>
      <c r="M13" s="95"/>
      <c r="N13" s="95"/>
    </row>
    <row r="14" spans="1:14" ht="22.5" customHeight="1" x14ac:dyDescent="0.15">
      <c r="A14" s="70" t="s">
        <v>15</v>
      </c>
      <c r="B14" s="72" t="s">
        <v>16</v>
      </c>
      <c r="C14" s="72"/>
      <c r="D14" s="72"/>
      <c r="E14" s="72"/>
      <c r="F14" s="124" t="s">
        <v>17</v>
      </c>
      <c r="G14" s="125"/>
      <c r="H14" s="126"/>
      <c r="I14" s="95"/>
      <c r="J14" s="95"/>
      <c r="K14" s="95"/>
      <c r="L14" s="95"/>
      <c r="M14" s="95"/>
      <c r="N14" s="95"/>
    </row>
    <row r="15" spans="1:14" ht="7.5" customHeight="1" x14ac:dyDescent="0.15">
      <c r="A15" s="70"/>
      <c r="B15" s="72"/>
      <c r="C15" s="72"/>
      <c r="D15" s="72"/>
      <c r="E15" s="72"/>
      <c r="F15" s="95"/>
      <c r="G15" s="95"/>
      <c r="H15" s="95"/>
      <c r="I15" s="95"/>
      <c r="J15" s="95"/>
      <c r="K15" s="95"/>
      <c r="L15" s="95"/>
      <c r="M15" s="95"/>
      <c r="N15" s="95"/>
    </row>
    <row r="16" spans="1:14" ht="22.5" customHeight="1" x14ac:dyDescent="0.15">
      <c r="A16" s="70" t="s">
        <v>18</v>
      </c>
      <c r="B16" s="70" t="s">
        <v>19</v>
      </c>
      <c r="C16" s="135" t="s">
        <v>20</v>
      </c>
      <c r="D16" s="136"/>
      <c r="E16" s="122">
        <v>64</v>
      </c>
      <c r="F16" s="123"/>
      <c r="G16" s="76" t="s">
        <v>21</v>
      </c>
      <c r="H16" s="70"/>
      <c r="I16" s="135" t="s">
        <v>22</v>
      </c>
      <c r="J16" s="136"/>
      <c r="K16" s="122">
        <v>15</v>
      </c>
      <c r="L16" s="137"/>
      <c r="M16" s="123"/>
      <c r="N16" s="77" t="s">
        <v>21</v>
      </c>
    </row>
    <row r="17" spans="1:15" ht="7.5" customHeight="1" x14ac:dyDescent="0.15">
      <c r="A17" s="70"/>
      <c r="B17" s="70"/>
      <c r="C17" s="70"/>
      <c r="D17" s="70"/>
      <c r="E17" s="70"/>
      <c r="F17" s="78"/>
      <c r="G17" s="78"/>
      <c r="H17" s="78"/>
      <c r="I17" s="78"/>
      <c r="J17" s="78"/>
      <c r="K17" s="78"/>
      <c r="L17" s="78"/>
      <c r="M17" s="77"/>
      <c r="N17" s="77"/>
    </row>
    <row r="18" spans="1:15" ht="22.5" customHeight="1" x14ac:dyDescent="0.15">
      <c r="A18" s="70" t="s">
        <v>23</v>
      </c>
      <c r="B18" s="70" t="s">
        <v>24</v>
      </c>
      <c r="C18" s="70"/>
      <c r="D18" s="70"/>
      <c r="E18" s="70"/>
      <c r="F18" s="78"/>
      <c r="G18" s="78"/>
      <c r="H18" s="78"/>
      <c r="I18" s="78"/>
      <c r="J18" s="78"/>
      <c r="K18" s="128">
        <v>14</v>
      </c>
      <c r="L18" s="129"/>
      <c r="M18" s="130"/>
      <c r="N18" s="77" t="s">
        <v>21</v>
      </c>
    </row>
    <row r="19" spans="1:15" ht="7.5" customHeight="1" x14ac:dyDescent="0.15">
      <c r="A19" s="70"/>
      <c r="B19" s="70"/>
      <c r="C19" s="70"/>
      <c r="D19" s="70"/>
      <c r="E19" s="70"/>
      <c r="F19" s="78"/>
      <c r="G19" s="78"/>
      <c r="H19" s="78"/>
      <c r="I19" s="78"/>
      <c r="J19" s="78"/>
      <c r="K19" s="78"/>
      <c r="L19" s="78"/>
      <c r="M19" s="77"/>
      <c r="N19" s="77"/>
    </row>
    <row r="20" spans="1:15" ht="22.5" customHeight="1" x14ac:dyDescent="0.15">
      <c r="A20" s="70" t="s">
        <v>25</v>
      </c>
      <c r="B20" s="70" t="s">
        <v>26</v>
      </c>
      <c r="C20" s="70"/>
      <c r="D20" s="70"/>
      <c r="E20" s="122">
        <v>160</v>
      </c>
      <c r="F20" s="123"/>
      <c r="G20" s="79" t="s">
        <v>27</v>
      </c>
      <c r="H20" s="78"/>
      <c r="I20" s="70"/>
      <c r="J20" s="70"/>
      <c r="K20" s="121"/>
      <c r="L20" s="121"/>
      <c r="M20" s="121"/>
      <c r="N20" s="121"/>
    </row>
    <row r="21" spans="1:15" ht="7.5" customHeight="1" x14ac:dyDescent="0.15">
      <c r="A21" s="70"/>
      <c r="B21" s="70"/>
      <c r="C21" s="70"/>
      <c r="D21" s="70"/>
      <c r="E21" s="80"/>
      <c r="F21" s="78"/>
      <c r="G21" s="78"/>
      <c r="H21" s="70"/>
      <c r="I21" s="70"/>
      <c r="J21" s="70"/>
      <c r="K21" s="70"/>
      <c r="L21" s="92"/>
      <c r="M21" s="92"/>
      <c r="N21" s="81"/>
    </row>
    <row r="22" spans="1:15" ht="22.5" customHeight="1" x14ac:dyDescent="0.15">
      <c r="A22" s="70" t="s">
        <v>28</v>
      </c>
      <c r="B22" s="70" t="s">
        <v>29</v>
      </c>
      <c r="C22" s="70"/>
      <c r="D22" s="70"/>
      <c r="E22" s="80"/>
      <c r="F22" s="78"/>
      <c r="G22" s="78"/>
      <c r="H22" s="70" t="s">
        <v>30</v>
      </c>
      <c r="I22" s="70"/>
      <c r="J22" s="128">
        <v>775</v>
      </c>
      <c r="K22" s="129"/>
      <c r="L22" s="130"/>
      <c r="M22" s="92" t="s">
        <v>21</v>
      </c>
      <c r="N22" s="81"/>
    </row>
    <row r="23" spans="1:15" ht="7.5" customHeight="1" x14ac:dyDescent="0.15">
      <c r="A23" s="70"/>
      <c r="B23" s="70"/>
      <c r="C23" s="70"/>
      <c r="D23" s="70"/>
      <c r="E23" s="80"/>
      <c r="F23" s="78"/>
      <c r="G23" s="78"/>
      <c r="H23" s="70"/>
      <c r="I23" s="70"/>
      <c r="J23" s="70"/>
      <c r="K23" s="70"/>
      <c r="L23" s="92"/>
      <c r="M23" s="92"/>
      <c r="N23" s="81"/>
    </row>
    <row r="24" spans="1:15" ht="22.5" customHeight="1" x14ac:dyDescent="0.15">
      <c r="A24" s="70"/>
      <c r="B24" s="94" t="s">
        <v>31</v>
      </c>
      <c r="C24" s="122">
        <v>166</v>
      </c>
      <c r="D24" s="123"/>
      <c r="E24" s="80" t="s">
        <v>21</v>
      </c>
      <c r="F24" s="78"/>
      <c r="G24" s="127" t="s">
        <v>32</v>
      </c>
      <c r="H24" s="127"/>
      <c r="I24" s="122">
        <v>159</v>
      </c>
      <c r="J24" s="123"/>
      <c r="K24" s="73" t="s">
        <v>21</v>
      </c>
      <c r="L24" s="70"/>
      <c r="M24" s="92"/>
      <c r="N24" s="81"/>
      <c r="O24" s="22"/>
    </row>
    <row r="25" spans="1:15" ht="7.5" customHeight="1" x14ac:dyDescent="0.15">
      <c r="A25" s="70"/>
      <c r="B25" s="94"/>
      <c r="C25" s="82"/>
      <c r="D25" s="82"/>
      <c r="E25" s="80"/>
      <c r="F25" s="78"/>
      <c r="G25" s="92"/>
      <c r="H25" s="92"/>
      <c r="I25" s="82"/>
      <c r="J25" s="82"/>
      <c r="K25" s="73"/>
      <c r="L25" s="70"/>
      <c r="M25" s="92"/>
      <c r="N25" s="81"/>
      <c r="O25" s="22"/>
    </row>
    <row r="26" spans="1:15" ht="22.5" customHeight="1" x14ac:dyDescent="0.15">
      <c r="A26" s="70"/>
      <c r="B26" s="94" t="s">
        <v>33</v>
      </c>
      <c r="C26" s="122">
        <v>166</v>
      </c>
      <c r="D26" s="123"/>
      <c r="E26" s="80" t="s">
        <v>21</v>
      </c>
      <c r="F26" s="78"/>
      <c r="G26" s="127" t="s">
        <v>34</v>
      </c>
      <c r="H26" s="127"/>
      <c r="I26" s="122">
        <v>143</v>
      </c>
      <c r="J26" s="123"/>
      <c r="K26" s="73" t="s">
        <v>21</v>
      </c>
      <c r="L26" s="70"/>
      <c r="M26" s="92"/>
      <c r="N26" s="81"/>
    </row>
    <row r="27" spans="1:15" ht="7.5" customHeight="1" x14ac:dyDescent="0.15">
      <c r="A27" s="70"/>
      <c r="B27" s="94"/>
      <c r="C27" s="82"/>
      <c r="D27" s="82"/>
      <c r="E27" s="80"/>
      <c r="F27" s="78"/>
      <c r="G27" s="92"/>
      <c r="H27" s="92"/>
      <c r="I27" s="82"/>
      <c r="J27" s="82"/>
      <c r="K27" s="73"/>
      <c r="L27" s="70"/>
      <c r="M27" s="92"/>
      <c r="N27" s="81"/>
    </row>
    <row r="28" spans="1:15" ht="22.5" customHeight="1" x14ac:dyDescent="0.15">
      <c r="A28" s="70"/>
      <c r="B28" s="94" t="s">
        <v>35</v>
      </c>
      <c r="C28" s="122">
        <v>141</v>
      </c>
      <c r="D28" s="123"/>
      <c r="E28" s="80" t="s">
        <v>21</v>
      </c>
      <c r="F28" s="78"/>
      <c r="G28" s="127" t="s">
        <v>36</v>
      </c>
      <c r="H28" s="127"/>
      <c r="I28" s="122"/>
      <c r="J28" s="123"/>
      <c r="K28" s="73" t="s">
        <v>21</v>
      </c>
      <c r="L28" s="70"/>
      <c r="M28" s="92"/>
      <c r="N28" s="81"/>
    </row>
    <row r="29" spans="1:15" ht="7.5" customHeight="1" x14ac:dyDescent="0.15">
      <c r="A29" s="70"/>
      <c r="B29" s="70"/>
      <c r="C29" s="70"/>
      <c r="D29" s="70"/>
      <c r="E29" s="70"/>
      <c r="F29" s="78"/>
      <c r="G29" s="78"/>
      <c r="H29" s="70"/>
      <c r="I29" s="70"/>
      <c r="J29" s="70"/>
      <c r="K29" s="70"/>
      <c r="L29" s="70"/>
      <c r="M29" s="83"/>
      <c r="N29" s="83"/>
    </row>
    <row r="30" spans="1:15" ht="22.5" customHeight="1" x14ac:dyDescent="0.15">
      <c r="A30" s="70" t="s">
        <v>37</v>
      </c>
      <c r="B30" s="71" t="s">
        <v>38</v>
      </c>
      <c r="C30" s="71"/>
      <c r="D30" s="71"/>
      <c r="E30" s="71"/>
      <c r="F30" s="73"/>
      <c r="G30" s="95"/>
      <c r="H30" s="95"/>
      <c r="I30" s="95"/>
      <c r="J30" s="84"/>
      <c r="K30" s="84"/>
      <c r="L30" s="84"/>
      <c r="M30" s="84"/>
      <c r="N30" s="84"/>
    </row>
    <row r="31" spans="1:15" s="22" customFormat="1" ht="22.5" customHeight="1" x14ac:dyDescent="0.15">
      <c r="A31" s="85"/>
      <c r="B31" s="131" t="s">
        <v>39</v>
      </c>
      <c r="C31" s="131"/>
      <c r="D31" s="124" t="s">
        <v>6</v>
      </c>
      <c r="E31" s="125"/>
      <c r="F31" s="125"/>
      <c r="G31" s="132" t="s">
        <v>40</v>
      </c>
      <c r="H31" s="131"/>
      <c r="I31" s="133"/>
      <c r="J31" s="124" t="s">
        <v>41</v>
      </c>
      <c r="K31" s="125"/>
      <c r="L31" s="125"/>
      <c r="M31" s="125"/>
      <c r="N31" s="126"/>
    </row>
    <row r="32" spans="1:15" ht="7.5" customHeight="1" x14ac:dyDescent="0.15">
      <c r="A32" s="70"/>
      <c r="B32" s="70"/>
      <c r="C32" s="70"/>
      <c r="D32" s="70"/>
      <c r="E32" s="70"/>
      <c r="F32" s="78"/>
      <c r="G32" s="78"/>
      <c r="H32" s="70"/>
      <c r="I32" s="70"/>
      <c r="J32" s="70"/>
      <c r="K32" s="70"/>
      <c r="L32" s="70"/>
      <c r="M32" s="83"/>
      <c r="N32" s="83"/>
    </row>
    <row r="33" spans="1:14" ht="22.5" customHeight="1" x14ac:dyDescent="0.15">
      <c r="A33" s="70" t="s">
        <v>42</v>
      </c>
      <c r="B33" s="71" t="s">
        <v>43</v>
      </c>
      <c r="C33" s="71"/>
      <c r="D33" s="71"/>
      <c r="E33" s="71"/>
      <c r="F33" s="73"/>
      <c r="G33" s="84"/>
      <c r="H33" s="84"/>
      <c r="I33" s="84"/>
      <c r="J33" s="84"/>
      <c r="K33" s="84"/>
      <c r="L33" s="84"/>
      <c r="M33" s="84"/>
      <c r="N33" s="84"/>
    </row>
    <row r="34" spans="1:14" ht="22.5" customHeight="1" x14ac:dyDescent="0.15">
      <c r="A34" s="70"/>
      <c r="B34" s="124" t="s">
        <v>44</v>
      </c>
      <c r="C34" s="125"/>
      <c r="D34" s="125"/>
      <c r="E34" s="125"/>
      <c r="F34" s="125"/>
      <c r="G34" s="125"/>
      <c r="H34" s="125"/>
      <c r="I34" s="125"/>
      <c r="J34" s="125"/>
      <c r="K34" s="125"/>
      <c r="L34" s="125"/>
      <c r="M34" s="125"/>
      <c r="N34" s="126"/>
    </row>
    <row r="35" spans="1:14" ht="7.5" customHeight="1" x14ac:dyDescent="0.15">
      <c r="A35" s="70"/>
      <c r="B35" s="93"/>
      <c r="C35" s="93"/>
      <c r="D35" s="93"/>
      <c r="E35" s="93"/>
      <c r="F35" s="93"/>
      <c r="G35" s="93"/>
      <c r="H35" s="93"/>
      <c r="I35" s="93"/>
      <c r="J35" s="93"/>
      <c r="K35" s="93"/>
      <c r="L35" s="93"/>
      <c r="M35" s="93"/>
      <c r="N35" s="93"/>
    </row>
    <row r="36" spans="1:14" s="22" customFormat="1" ht="22.5" customHeight="1" x14ac:dyDescent="0.15">
      <c r="A36" s="85"/>
      <c r="B36" s="131" t="s">
        <v>39</v>
      </c>
      <c r="C36" s="131"/>
      <c r="D36" s="124" t="s">
        <v>45</v>
      </c>
      <c r="E36" s="125"/>
      <c r="F36" s="125"/>
      <c r="G36" s="132" t="s">
        <v>40</v>
      </c>
      <c r="H36" s="131"/>
      <c r="I36" s="133"/>
      <c r="J36" s="124" t="s">
        <v>175</v>
      </c>
      <c r="K36" s="125"/>
      <c r="L36" s="125"/>
      <c r="M36" s="125"/>
      <c r="N36" s="126"/>
    </row>
    <row r="37" spans="1:14" ht="7.5" customHeight="1" x14ac:dyDescent="0.15">
      <c r="A37" s="70"/>
      <c r="B37" s="70"/>
      <c r="C37" s="70"/>
      <c r="D37" s="70"/>
      <c r="E37" s="70"/>
      <c r="F37" s="95"/>
      <c r="G37" s="95"/>
      <c r="H37" s="95"/>
      <c r="I37" s="95"/>
      <c r="J37" s="95"/>
      <c r="K37" s="95"/>
      <c r="L37" s="95"/>
      <c r="M37" s="95"/>
      <c r="N37" s="95"/>
    </row>
    <row r="38" spans="1:14" ht="22.5" customHeight="1" x14ac:dyDescent="0.15">
      <c r="A38" s="70" t="s">
        <v>46</v>
      </c>
      <c r="B38" s="70" t="s">
        <v>47</v>
      </c>
      <c r="C38" s="70"/>
      <c r="D38" s="70"/>
      <c r="E38" s="70"/>
      <c r="F38" s="70"/>
      <c r="G38" s="70"/>
      <c r="H38" s="70"/>
      <c r="I38" s="70"/>
      <c r="J38" s="70"/>
      <c r="K38" s="70"/>
      <c r="L38" s="70"/>
      <c r="M38" s="83"/>
      <c r="N38" s="83"/>
    </row>
    <row r="39" spans="1:14" ht="22.5" customHeight="1" x14ac:dyDescent="0.15">
      <c r="A39" s="70"/>
      <c r="B39" s="124" t="s">
        <v>44</v>
      </c>
      <c r="C39" s="125"/>
      <c r="D39" s="125"/>
      <c r="E39" s="125"/>
      <c r="F39" s="125"/>
      <c r="G39" s="125"/>
      <c r="H39" s="125"/>
      <c r="I39" s="125"/>
      <c r="J39" s="125"/>
      <c r="K39" s="125"/>
      <c r="L39" s="125"/>
      <c r="M39" s="125"/>
      <c r="N39" s="126"/>
    </row>
    <row r="40" spans="1:14" ht="7.5" customHeight="1" x14ac:dyDescent="0.15">
      <c r="A40" s="70"/>
      <c r="B40" s="70"/>
      <c r="C40" s="70"/>
      <c r="D40" s="70"/>
      <c r="E40" s="70"/>
      <c r="F40" s="95"/>
      <c r="G40" s="95"/>
      <c r="H40" s="95"/>
      <c r="I40" s="95"/>
      <c r="J40" s="95"/>
      <c r="K40" s="95"/>
      <c r="L40" s="95"/>
      <c r="M40" s="95"/>
      <c r="N40" s="95"/>
    </row>
    <row r="41" spans="1:14" s="22" customFormat="1" ht="22.5" customHeight="1" x14ac:dyDescent="0.15">
      <c r="A41" s="85"/>
      <c r="B41" s="131" t="s">
        <v>39</v>
      </c>
      <c r="C41" s="131"/>
      <c r="D41" s="124" t="s">
        <v>45</v>
      </c>
      <c r="E41" s="125"/>
      <c r="F41" s="125"/>
      <c r="G41" s="132" t="s">
        <v>40</v>
      </c>
      <c r="H41" s="131"/>
      <c r="I41" s="133"/>
      <c r="J41" s="124" t="s">
        <v>175</v>
      </c>
      <c r="K41" s="125"/>
      <c r="L41" s="125"/>
      <c r="M41" s="125"/>
      <c r="N41" s="126"/>
    </row>
    <row r="42" spans="1:14" ht="7.5" customHeight="1" x14ac:dyDescent="0.15">
      <c r="A42" s="70"/>
      <c r="B42" s="70"/>
      <c r="C42" s="70"/>
      <c r="D42" s="70"/>
      <c r="E42" s="70"/>
      <c r="F42" s="95"/>
      <c r="G42" s="95"/>
      <c r="H42" s="95"/>
      <c r="I42" s="95"/>
      <c r="J42" s="95"/>
      <c r="K42" s="95"/>
      <c r="L42" s="95"/>
      <c r="M42" s="95"/>
      <c r="N42" s="95"/>
    </row>
    <row r="43" spans="1:14" ht="22.5" customHeight="1" x14ac:dyDescent="0.15">
      <c r="A43" s="70" t="s">
        <v>48</v>
      </c>
      <c r="B43" s="86" t="s">
        <v>49</v>
      </c>
      <c r="C43" s="70"/>
      <c r="D43" s="70"/>
      <c r="E43" s="87"/>
      <c r="F43" s="124" t="s">
        <v>50</v>
      </c>
      <c r="G43" s="125"/>
      <c r="H43" s="125"/>
      <c r="I43" s="125"/>
      <c r="J43" s="125"/>
      <c r="K43" s="125"/>
      <c r="L43" s="125"/>
      <c r="M43" s="125"/>
      <c r="N43" s="126"/>
    </row>
    <row r="44" spans="1:14" ht="7.5" customHeight="1" x14ac:dyDescent="0.15">
      <c r="A44" s="70"/>
      <c r="B44" s="70"/>
      <c r="C44" s="70"/>
      <c r="D44" s="70"/>
      <c r="E44" s="70"/>
      <c r="F44" s="95"/>
      <c r="G44" s="95"/>
      <c r="H44" s="95"/>
      <c r="I44" s="95"/>
      <c r="J44" s="95"/>
      <c r="K44" s="95"/>
      <c r="L44" s="95"/>
      <c r="M44" s="95"/>
      <c r="N44" s="95"/>
    </row>
    <row r="45" spans="1:14" ht="22.5" customHeight="1" x14ac:dyDescent="0.15">
      <c r="A45" s="70" t="s">
        <v>51</v>
      </c>
      <c r="B45" s="70"/>
      <c r="C45" s="70"/>
      <c r="D45" s="70"/>
      <c r="E45" s="70"/>
      <c r="F45" s="70"/>
      <c r="G45" s="70"/>
      <c r="H45" s="70"/>
      <c r="I45" s="70"/>
      <c r="J45" s="70"/>
      <c r="K45" s="70"/>
      <c r="L45" s="70"/>
      <c r="M45" s="70"/>
      <c r="N45" s="70"/>
    </row>
    <row r="46" spans="1:14" ht="22.5" customHeight="1" x14ac:dyDescent="0.15">
      <c r="A46" s="70"/>
      <c r="B46" s="88" t="s">
        <v>52</v>
      </c>
      <c r="C46" s="149" t="s">
        <v>53</v>
      </c>
      <c r="D46" s="150"/>
      <c r="E46" s="150"/>
      <c r="F46" s="150"/>
      <c r="G46" s="150"/>
      <c r="H46" s="150"/>
      <c r="I46" s="89" t="s">
        <v>54</v>
      </c>
      <c r="J46" s="90"/>
      <c r="K46" s="124" t="s">
        <v>55</v>
      </c>
      <c r="L46" s="125"/>
      <c r="M46" s="125"/>
      <c r="N46" s="126"/>
    </row>
    <row r="47" spans="1:14" ht="22.5" customHeight="1" x14ac:dyDescent="0.15">
      <c r="A47" s="70"/>
      <c r="B47" s="88" t="s">
        <v>56</v>
      </c>
      <c r="C47" s="143" t="s">
        <v>57</v>
      </c>
      <c r="D47" s="144"/>
      <c r="E47" s="144"/>
      <c r="F47" s="144"/>
      <c r="G47" s="144"/>
      <c r="H47" s="145"/>
      <c r="I47" s="89" t="s">
        <v>58</v>
      </c>
      <c r="J47" s="90"/>
      <c r="K47" s="146" t="s">
        <v>59</v>
      </c>
      <c r="L47" s="147"/>
      <c r="M47" s="147"/>
      <c r="N47" s="148"/>
    </row>
    <row r="48" spans="1:14" ht="18.75" customHeight="1" x14ac:dyDescent="0.15">
      <c r="A48" s="70"/>
      <c r="B48" s="70"/>
      <c r="C48" s="70"/>
      <c r="D48" s="70"/>
      <c r="E48" s="70"/>
      <c r="F48" s="70"/>
      <c r="G48" s="70"/>
      <c r="H48" s="70"/>
      <c r="I48" s="70"/>
      <c r="J48" s="70"/>
      <c r="K48" s="70"/>
      <c r="L48" s="70"/>
      <c r="M48" s="70"/>
      <c r="N48" s="70"/>
    </row>
    <row r="49" spans="1:14" ht="18.75" customHeight="1" x14ac:dyDescent="0.15">
      <c r="A49" s="70"/>
      <c r="B49" s="70"/>
      <c r="C49" s="70"/>
      <c r="D49" s="70"/>
      <c r="E49" s="70"/>
      <c r="F49" s="70"/>
      <c r="G49" s="70"/>
      <c r="H49" s="70"/>
      <c r="I49" s="70"/>
      <c r="J49" s="70"/>
      <c r="K49" s="70"/>
      <c r="L49" s="70"/>
      <c r="M49" s="70"/>
      <c r="N49" s="70"/>
    </row>
    <row r="50" spans="1:14" ht="18.75" customHeight="1" x14ac:dyDescent="0.15">
      <c r="A50" s="70"/>
      <c r="B50" s="70"/>
      <c r="C50" s="70"/>
      <c r="D50" s="70"/>
      <c r="E50" s="70"/>
      <c r="F50" s="70"/>
      <c r="G50" s="70"/>
      <c r="H50" s="70"/>
      <c r="I50" s="70"/>
      <c r="J50" s="70"/>
      <c r="K50" s="70"/>
      <c r="L50" s="70"/>
      <c r="M50" s="70"/>
      <c r="N50" s="70"/>
    </row>
    <row r="51" spans="1:14" ht="18.75" customHeight="1" x14ac:dyDescent="0.15">
      <c r="A51" s="70"/>
      <c r="B51" s="70"/>
      <c r="C51" s="70"/>
      <c r="D51" s="70"/>
      <c r="E51" s="70"/>
      <c r="F51" s="70"/>
      <c r="G51" s="70"/>
      <c r="H51" s="70"/>
      <c r="I51" s="70"/>
      <c r="J51" s="70"/>
      <c r="K51" s="70"/>
      <c r="L51" s="70"/>
      <c r="M51" s="70"/>
      <c r="N51" s="70"/>
    </row>
    <row r="52" spans="1:14" ht="18.75" customHeight="1" x14ac:dyDescent="0.15">
      <c r="A52" s="70"/>
      <c r="B52" s="70"/>
      <c r="C52" s="70"/>
      <c r="D52" s="70"/>
      <c r="E52" s="70"/>
      <c r="F52" s="70"/>
      <c r="G52" s="70"/>
      <c r="H52" s="70"/>
      <c r="I52" s="70"/>
      <c r="J52" s="70"/>
      <c r="K52" s="70"/>
      <c r="L52" s="70"/>
      <c r="M52" s="70"/>
      <c r="N52" s="70"/>
    </row>
    <row r="53" spans="1:14" ht="18.75" customHeight="1" x14ac:dyDescent="0.15">
      <c r="A53" s="70"/>
      <c r="B53" s="70"/>
      <c r="C53" s="70"/>
      <c r="D53" s="70"/>
      <c r="E53" s="70"/>
      <c r="F53" s="70"/>
      <c r="G53" s="70"/>
      <c r="H53" s="70"/>
      <c r="I53" s="70"/>
      <c r="J53" s="70"/>
      <c r="K53" s="70"/>
      <c r="L53" s="70"/>
      <c r="M53" s="70"/>
      <c r="N53" s="70"/>
    </row>
    <row r="54" spans="1:14" ht="18.75" customHeight="1" x14ac:dyDescent="0.15">
      <c r="A54" s="70"/>
      <c r="B54" s="70"/>
      <c r="C54" s="70"/>
      <c r="D54" s="70"/>
      <c r="E54" s="70"/>
      <c r="F54" s="70"/>
      <c r="G54" s="70"/>
      <c r="H54" s="70"/>
      <c r="I54" s="70"/>
      <c r="J54" s="70"/>
      <c r="K54" s="70"/>
      <c r="L54" s="70"/>
      <c r="M54" s="70"/>
      <c r="N54" s="70"/>
    </row>
    <row r="55" spans="1:14" ht="18.75" customHeight="1" x14ac:dyDescent="0.15">
      <c r="A55" s="70"/>
      <c r="B55" s="70"/>
      <c r="C55" s="70"/>
      <c r="D55" s="70"/>
      <c r="E55" s="70"/>
      <c r="F55" s="70"/>
      <c r="G55" s="70"/>
      <c r="H55" s="70"/>
      <c r="I55" s="70"/>
      <c r="J55" s="70"/>
      <c r="K55" s="70"/>
      <c r="L55" s="70"/>
      <c r="M55" s="70"/>
      <c r="N55" s="70"/>
    </row>
    <row r="56" spans="1:14" ht="18.75" customHeight="1" x14ac:dyDescent="0.15">
      <c r="A56" s="70"/>
      <c r="B56" s="70"/>
      <c r="C56" s="70"/>
      <c r="D56" s="70"/>
      <c r="E56" s="70"/>
      <c r="F56" s="70"/>
      <c r="G56" s="70"/>
      <c r="H56" s="70"/>
      <c r="I56" s="70"/>
      <c r="J56" s="70"/>
      <c r="K56" s="70"/>
      <c r="L56" s="70"/>
      <c r="M56" s="70"/>
      <c r="N56" s="7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topLeftCell="A10" zoomScaleNormal="100" workbookViewId="0">
      <selection activeCell="O32" sqref="O32"/>
    </sheetView>
  </sheetViews>
  <sheetFormatPr defaultColWidth="9" defaultRowHeight="18.75" customHeight="1" x14ac:dyDescent="0.15"/>
  <cols>
    <col min="1" max="2" width="2.5" style="21" customWidth="1"/>
    <col min="3" max="3" width="20" style="21" customWidth="1"/>
    <col min="4" max="4" width="8.75" style="21" customWidth="1"/>
    <col min="5" max="5" width="7.5" style="21" customWidth="1"/>
    <col min="6" max="6" width="2.5" style="21" customWidth="1"/>
    <col min="7" max="7" width="15" style="21" customWidth="1"/>
    <col min="8" max="8" width="12.5" style="21" customWidth="1"/>
    <col min="9" max="9" width="11.25" style="21" customWidth="1"/>
    <col min="10" max="16384" width="9" style="21"/>
  </cols>
  <sheetData>
    <row r="1" spans="1:9" ht="18.75" customHeight="1" x14ac:dyDescent="0.15">
      <c r="I1" s="69" t="s">
        <v>60</v>
      </c>
    </row>
    <row r="2" spans="1:9" ht="18.75" customHeight="1" x14ac:dyDescent="0.15">
      <c r="G2" s="24" t="s">
        <v>61</v>
      </c>
      <c r="H2" s="171" t="s">
        <v>62</v>
      </c>
      <c r="I2" s="171"/>
    </row>
    <row r="3" spans="1:9" ht="7.5" customHeight="1" x14ac:dyDescent="0.15"/>
    <row r="4" spans="1:9" ht="18.75" customHeight="1" x14ac:dyDescent="0.15">
      <c r="A4" s="172" t="s">
        <v>63</v>
      </c>
      <c r="B4" s="172"/>
      <c r="C4" s="172"/>
      <c r="D4" s="172"/>
      <c r="E4" s="172"/>
      <c r="F4" s="172"/>
      <c r="G4" s="172"/>
      <c r="H4" s="172"/>
      <c r="I4" s="172"/>
    </row>
    <row r="5" spans="1:9" ht="7.5" customHeight="1" x14ac:dyDescent="0.15">
      <c r="C5" s="96"/>
      <c r="D5" s="96"/>
      <c r="E5" s="96"/>
      <c r="F5" s="96"/>
      <c r="G5" s="96"/>
      <c r="H5" s="96"/>
      <c r="I5" s="96"/>
    </row>
    <row r="6" spans="1:9" ht="18.75" customHeight="1" x14ac:dyDescent="0.15">
      <c r="A6" s="21" t="s">
        <v>2</v>
      </c>
      <c r="B6" s="21" t="s">
        <v>64</v>
      </c>
      <c r="C6" s="96"/>
      <c r="D6" s="96"/>
      <c r="E6" s="168" t="s">
        <v>65</v>
      </c>
      <c r="F6" s="169"/>
      <c r="G6" s="169"/>
      <c r="H6" s="169"/>
      <c r="I6" s="170"/>
    </row>
    <row r="7" spans="1:9" ht="7.5" customHeight="1" x14ac:dyDescent="0.15">
      <c r="C7" s="96"/>
      <c r="D7" s="96"/>
      <c r="F7" s="68"/>
      <c r="G7" s="68"/>
      <c r="H7" s="68"/>
      <c r="I7" s="68"/>
    </row>
    <row r="8" spans="1:9" ht="18.75" customHeight="1" x14ac:dyDescent="0.15">
      <c r="A8" s="21" t="s">
        <v>4</v>
      </c>
      <c r="B8" s="21" t="s">
        <v>66</v>
      </c>
      <c r="C8" s="96"/>
      <c r="D8" s="96"/>
      <c r="E8" s="96"/>
      <c r="F8" s="96"/>
      <c r="G8" s="96"/>
      <c r="H8" s="96"/>
      <c r="I8" s="96"/>
    </row>
    <row r="9" spans="1:9" ht="18.75" customHeight="1" x14ac:dyDescent="0.15">
      <c r="B9" s="154" t="s">
        <v>67</v>
      </c>
      <c r="C9" s="155"/>
      <c r="D9" s="155"/>
      <c r="E9" s="155"/>
      <c r="F9" s="155"/>
      <c r="G9" s="155"/>
      <c r="H9" s="155"/>
      <c r="I9" s="156"/>
    </row>
    <row r="10" spans="1:9" ht="18.75" customHeight="1" x14ac:dyDescent="0.15">
      <c r="B10" s="157"/>
      <c r="C10" s="158"/>
      <c r="D10" s="158"/>
      <c r="E10" s="158"/>
      <c r="F10" s="158"/>
      <c r="G10" s="158"/>
      <c r="H10" s="158"/>
      <c r="I10" s="159"/>
    </row>
    <row r="11" spans="1:9" ht="18.75" customHeight="1" x14ac:dyDescent="0.15">
      <c r="B11" s="157"/>
      <c r="C11" s="158"/>
      <c r="D11" s="158"/>
      <c r="E11" s="158"/>
      <c r="F11" s="158"/>
      <c r="G11" s="158"/>
      <c r="H11" s="158"/>
      <c r="I11" s="159"/>
    </row>
    <row r="12" spans="1:9" ht="18.75" customHeight="1" x14ac:dyDescent="0.15">
      <c r="B12" s="157"/>
      <c r="C12" s="158"/>
      <c r="D12" s="158"/>
      <c r="E12" s="158"/>
      <c r="F12" s="158"/>
      <c r="G12" s="158"/>
      <c r="H12" s="158"/>
      <c r="I12" s="159"/>
    </row>
    <row r="13" spans="1:9" ht="18.75" customHeight="1" x14ac:dyDescent="0.15">
      <c r="B13" s="157"/>
      <c r="C13" s="158"/>
      <c r="D13" s="158"/>
      <c r="E13" s="158"/>
      <c r="F13" s="158"/>
      <c r="G13" s="158"/>
      <c r="H13" s="158"/>
      <c r="I13" s="159"/>
    </row>
    <row r="14" spans="1:9" ht="18.75" customHeight="1" x14ac:dyDescent="0.15">
      <c r="B14" s="157"/>
      <c r="C14" s="158"/>
      <c r="D14" s="158"/>
      <c r="E14" s="158"/>
      <c r="F14" s="158"/>
      <c r="G14" s="158"/>
      <c r="H14" s="158"/>
      <c r="I14" s="159"/>
    </row>
    <row r="15" spans="1:9" ht="18.75" customHeight="1" x14ac:dyDescent="0.15">
      <c r="B15" s="157"/>
      <c r="C15" s="158"/>
      <c r="D15" s="158"/>
      <c r="E15" s="158"/>
      <c r="F15" s="158"/>
      <c r="G15" s="158"/>
      <c r="H15" s="158"/>
      <c r="I15" s="159"/>
    </row>
    <row r="16" spans="1:9" ht="18.75" customHeight="1" x14ac:dyDescent="0.15">
      <c r="B16" s="160"/>
      <c r="C16" s="161"/>
      <c r="D16" s="161"/>
      <c r="E16" s="161"/>
      <c r="F16" s="161"/>
      <c r="G16" s="161"/>
      <c r="H16" s="161"/>
      <c r="I16" s="162"/>
    </row>
    <row r="17" spans="1:10" ht="7.5" customHeight="1" x14ac:dyDescent="0.15">
      <c r="C17" s="96"/>
      <c r="D17" s="96"/>
      <c r="E17" s="96"/>
      <c r="F17" s="96"/>
      <c r="G17" s="96"/>
      <c r="H17" s="96"/>
      <c r="I17" s="96"/>
    </row>
    <row r="18" spans="1:10" ht="18.75" customHeight="1" x14ac:dyDescent="0.15">
      <c r="A18" s="96" t="s">
        <v>7</v>
      </c>
      <c r="B18" s="23" t="s">
        <v>68</v>
      </c>
      <c r="C18" s="23"/>
      <c r="D18" s="23"/>
      <c r="E18" s="23"/>
      <c r="F18" s="96"/>
      <c r="G18" s="96"/>
      <c r="H18" s="96"/>
      <c r="I18" s="96"/>
      <c r="J18" s="96"/>
    </row>
    <row r="19" spans="1:10" ht="18.75" customHeight="1" x14ac:dyDescent="0.15">
      <c r="A19" s="173" t="s">
        <v>68</v>
      </c>
      <c r="B19" s="173"/>
      <c r="C19" s="173"/>
      <c r="D19" s="173"/>
      <c r="E19" s="173"/>
      <c r="F19" s="174" t="s">
        <v>68</v>
      </c>
      <c r="G19" s="174"/>
      <c r="H19" s="174"/>
      <c r="I19" s="174"/>
    </row>
    <row r="20" spans="1:10" ht="18.75" customHeight="1" x14ac:dyDescent="0.15">
      <c r="A20" s="32">
        <v>1</v>
      </c>
      <c r="B20" s="163" t="s">
        <v>69</v>
      </c>
      <c r="C20" s="164"/>
      <c r="D20" s="164"/>
      <c r="E20" s="165"/>
      <c r="F20" s="32">
        <v>26</v>
      </c>
      <c r="G20" s="163"/>
      <c r="H20" s="166"/>
      <c r="I20" s="167"/>
    </row>
    <row r="21" spans="1:10" ht="18.75" customHeight="1" x14ac:dyDescent="0.15">
      <c r="A21" s="32">
        <v>2</v>
      </c>
      <c r="B21" s="163" t="s">
        <v>70</v>
      </c>
      <c r="C21" s="164"/>
      <c r="D21" s="164"/>
      <c r="E21" s="165"/>
      <c r="F21" s="32">
        <v>27</v>
      </c>
      <c r="G21" s="163"/>
      <c r="H21" s="166"/>
      <c r="I21" s="167"/>
    </row>
    <row r="22" spans="1:10" ht="18.75" customHeight="1" x14ac:dyDescent="0.15">
      <c r="A22" s="32">
        <v>3</v>
      </c>
      <c r="B22" s="163" t="s">
        <v>71</v>
      </c>
      <c r="C22" s="164"/>
      <c r="D22" s="164"/>
      <c r="E22" s="165"/>
      <c r="F22" s="32">
        <v>28</v>
      </c>
      <c r="G22" s="163"/>
      <c r="H22" s="166"/>
      <c r="I22" s="167"/>
    </row>
    <row r="23" spans="1:10" ht="18.75" customHeight="1" x14ac:dyDescent="0.15">
      <c r="A23" s="32">
        <v>4</v>
      </c>
      <c r="B23" s="163" t="s">
        <v>72</v>
      </c>
      <c r="C23" s="164"/>
      <c r="D23" s="164"/>
      <c r="E23" s="165"/>
      <c r="F23" s="32">
        <v>29</v>
      </c>
      <c r="G23" s="163"/>
      <c r="H23" s="166"/>
      <c r="I23" s="167"/>
    </row>
    <row r="24" spans="1:10" ht="18.75" customHeight="1" x14ac:dyDescent="0.15">
      <c r="A24" s="32">
        <v>5</v>
      </c>
      <c r="B24" s="163" t="s">
        <v>73</v>
      </c>
      <c r="C24" s="164"/>
      <c r="D24" s="164"/>
      <c r="E24" s="165"/>
      <c r="F24" s="32">
        <v>30</v>
      </c>
      <c r="G24" s="163"/>
      <c r="H24" s="166"/>
      <c r="I24" s="167"/>
    </row>
    <row r="25" spans="1:10" ht="18.75" customHeight="1" x14ac:dyDescent="0.15">
      <c r="A25" s="32">
        <v>6</v>
      </c>
      <c r="B25" s="151"/>
      <c r="C25" s="152"/>
      <c r="D25" s="152"/>
      <c r="E25" s="153"/>
      <c r="F25" s="32">
        <v>31</v>
      </c>
      <c r="G25" s="163"/>
      <c r="H25" s="166"/>
      <c r="I25" s="167"/>
    </row>
    <row r="26" spans="1:10" ht="18.75" customHeight="1" x14ac:dyDescent="0.15">
      <c r="A26" s="32">
        <v>7</v>
      </c>
      <c r="B26" s="151"/>
      <c r="C26" s="152"/>
      <c r="D26" s="152"/>
      <c r="E26" s="153"/>
      <c r="F26" s="32">
        <v>32</v>
      </c>
      <c r="G26" s="163"/>
      <c r="H26" s="166"/>
      <c r="I26" s="167"/>
    </row>
    <row r="27" spans="1:10" ht="18.75" customHeight="1" x14ac:dyDescent="0.15">
      <c r="A27" s="32">
        <v>8</v>
      </c>
      <c r="B27" s="151"/>
      <c r="C27" s="152"/>
      <c r="D27" s="152"/>
      <c r="E27" s="153"/>
      <c r="F27" s="32">
        <v>33</v>
      </c>
      <c r="G27" s="163"/>
      <c r="H27" s="166"/>
      <c r="I27" s="167"/>
    </row>
    <row r="28" spans="1:10" ht="18.75" customHeight="1" x14ac:dyDescent="0.15">
      <c r="A28" s="32">
        <v>9</v>
      </c>
      <c r="B28" s="151"/>
      <c r="C28" s="152"/>
      <c r="D28" s="152"/>
      <c r="E28" s="153"/>
      <c r="F28" s="32">
        <v>34</v>
      </c>
      <c r="G28" s="163"/>
      <c r="H28" s="166"/>
      <c r="I28" s="167"/>
    </row>
    <row r="29" spans="1:10" ht="18.75" customHeight="1" x14ac:dyDescent="0.15">
      <c r="A29" s="32">
        <v>10</v>
      </c>
      <c r="B29" s="151"/>
      <c r="C29" s="152"/>
      <c r="D29" s="152"/>
      <c r="E29" s="153"/>
      <c r="F29" s="32">
        <v>35</v>
      </c>
      <c r="G29" s="163"/>
      <c r="H29" s="166"/>
      <c r="I29" s="167"/>
    </row>
    <row r="30" spans="1:10" ht="18.75" customHeight="1" x14ac:dyDescent="0.15">
      <c r="A30" s="32">
        <v>11</v>
      </c>
      <c r="B30" s="163"/>
      <c r="C30" s="166"/>
      <c r="D30" s="166"/>
      <c r="E30" s="167"/>
      <c r="F30" s="32">
        <v>36</v>
      </c>
      <c r="G30" s="163"/>
      <c r="H30" s="166"/>
      <c r="I30" s="167"/>
    </row>
    <row r="31" spans="1:10" ht="18.75" customHeight="1" x14ac:dyDescent="0.15">
      <c r="A31" s="32">
        <v>12</v>
      </c>
      <c r="B31" s="163"/>
      <c r="C31" s="166"/>
      <c r="D31" s="166"/>
      <c r="E31" s="167"/>
      <c r="F31" s="32">
        <v>37</v>
      </c>
      <c r="G31" s="163"/>
      <c r="H31" s="166"/>
      <c r="I31" s="167"/>
    </row>
    <row r="32" spans="1:10" ht="18.75" customHeight="1" x14ac:dyDescent="0.15">
      <c r="A32" s="32">
        <v>13</v>
      </c>
      <c r="B32" s="163"/>
      <c r="C32" s="166"/>
      <c r="D32" s="166"/>
      <c r="E32" s="167"/>
      <c r="F32" s="32">
        <v>38</v>
      </c>
      <c r="G32" s="163"/>
      <c r="H32" s="166"/>
      <c r="I32" s="167"/>
    </row>
    <row r="33" spans="1:9" ht="18.75" customHeight="1" x14ac:dyDescent="0.15">
      <c r="A33" s="32">
        <v>14</v>
      </c>
      <c r="B33" s="163"/>
      <c r="C33" s="166"/>
      <c r="D33" s="166"/>
      <c r="E33" s="167"/>
      <c r="F33" s="32">
        <v>39</v>
      </c>
      <c r="G33" s="163"/>
      <c r="H33" s="166"/>
      <c r="I33" s="167"/>
    </row>
    <row r="34" spans="1:9" ht="18.75" customHeight="1" x14ac:dyDescent="0.15">
      <c r="A34" s="32">
        <v>15</v>
      </c>
      <c r="B34" s="163"/>
      <c r="C34" s="166"/>
      <c r="D34" s="166"/>
      <c r="E34" s="167"/>
      <c r="F34" s="32">
        <v>40</v>
      </c>
      <c r="G34" s="163"/>
      <c r="H34" s="166"/>
      <c r="I34" s="167"/>
    </row>
    <row r="35" spans="1:9" ht="18.75" customHeight="1" x14ac:dyDescent="0.15">
      <c r="A35" s="32">
        <v>16</v>
      </c>
      <c r="B35" s="163"/>
      <c r="C35" s="166"/>
      <c r="D35" s="166"/>
      <c r="E35" s="167"/>
      <c r="F35" s="32">
        <v>41</v>
      </c>
      <c r="G35" s="163"/>
      <c r="H35" s="166"/>
      <c r="I35" s="167"/>
    </row>
    <row r="36" spans="1:9" ht="18.75" customHeight="1" x14ac:dyDescent="0.15">
      <c r="A36" s="32">
        <v>17</v>
      </c>
      <c r="B36" s="163"/>
      <c r="C36" s="166"/>
      <c r="D36" s="166"/>
      <c r="E36" s="167"/>
      <c r="F36" s="32">
        <v>42</v>
      </c>
      <c r="G36" s="163"/>
      <c r="H36" s="166"/>
      <c r="I36" s="167"/>
    </row>
    <row r="37" spans="1:9" ht="18.75" customHeight="1" x14ac:dyDescent="0.15">
      <c r="A37" s="32">
        <v>18</v>
      </c>
      <c r="B37" s="163"/>
      <c r="C37" s="166"/>
      <c r="D37" s="166"/>
      <c r="E37" s="167"/>
      <c r="F37" s="32">
        <v>43</v>
      </c>
      <c r="G37" s="163"/>
      <c r="H37" s="166"/>
      <c r="I37" s="167"/>
    </row>
    <row r="38" spans="1:9" ht="18.75" customHeight="1" x14ac:dyDescent="0.15">
      <c r="A38" s="32">
        <v>19</v>
      </c>
      <c r="B38" s="163"/>
      <c r="C38" s="166"/>
      <c r="D38" s="166"/>
      <c r="E38" s="167"/>
      <c r="F38" s="32">
        <v>44</v>
      </c>
      <c r="G38" s="163"/>
      <c r="H38" s="166"/>
      <c r="I38" s="167"/>
    </row>
    <row r="39" spans="1:9" ht="18.75" customHeight="1" x14ac:dyDescent="0.15">
      <c r="A39" s="32">
        <v>20</v>
      </c>
      <c r="B39" s="163"/>
      <c r="C39" s="166"/>
      <c r="D39" s="166"/>
      <c r="E39" s="167"/>
      <c r="F39" s="32">
        <v>45</v>
      </c>
      <c r="G39" s="163"/>
      <c r="H39" s="166"/>
      <c r="I39" s="167"/>
    </row>
    <row r="40" spans="1:9" ht="18.75" customHeight="1" x14ac:dyDescent="0.15">
      <c r="A40" s="32">
        <v>21</v>
      </c>
      <c r="B40" s="163"/>
      <c r="C40" s="166"/>
      <c r="D40" s="166"/>
      <c r="E40" s="167"/>
      <c r="F40" s="32">
        <v>46</v>
      </c>
      <c r="G40" s="163"/>
      <c r="H40" s="166"/>
      <c r="I40" s="167"/>
    </row>
    <row r="41" spans="1:9" ht="18.75" customHeight="1" x14ac:dyDescent="0.15">
      <c r="A41" s="32">
        <v>22</v>
      </c>
      <c r="B41" s="163"/>
      <c r="C41" s="166"/>
      <c r="D41" s="166"/>
      <c r="E41" s="167"/>
      <c r="F41" s="32">
        <v>47</v>
      </c>
      <c r="G41" s="163"/>
      <c r="H41" s="166"/>
      <c r="I41" s="167"/>
    </row>
    <row r="42" spans="1:9" ht="18.75" customHeight="1" x14ac:dyDescent="0.15">
      <c r="A42" s="32">
        <v>23</v>
      </c>
      <c r="B42" s="163"/>
      <c r="C42" s="166"/>
      <c r="D42" s="166"/>
      <c r="E42" s="167"/>
      <c r="F42" s="32">
        <v>48</v>
      </c>
      <c r="G42" s="163"/>
      <c r="H42" s="166"/>
      <c r="I42" s="167"/>
    </row>
    <row r="43" spans="1:9" ht="18.75" customHeight="1" x14ac:dyDescent="0.15">
      <c r="A43" s="32">
        <v>24</v>
      </c>
      <c r="B43" s="163"/>
      <c r="C43" s="166"/>
      <c r="D43" s="166"/>
      <c r="E43" s="167"/>
      <c r="F43" s="32">
        <v>49</v>
      </c>
      <c r="G43" s="163"/>
      <c r="H43" s="166"/>
      <c r="I43" s="167"/>
    </row>
    <row r="44" spans="1:9" ht="18.75" customHeight="1" x14ac:dyDescent="0.15">
      <c r="A44" s="32">
        <v>25</v>
      </c>
      <c r="B44" s="163"/>
      <c r="C44" s="166"/>
      <c r="D44" s="166"/>
      <c r="E44" s="167"/>
      <c r="F44" s="32">
        <v>50</v>
      </c>
      <c r="G44" s="163"/>
      <c r="H44" s="166"/>
      <c r="I44" s="167"/>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E54" sqref="E54"/>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87" t="s">
        <v>74</v>
      </c>
      <c r="G1" s="187"/>
      <c r="H1" s="187"/>
      <c r="I1" s="187"/>
      <c r="J1" s="187"/>
      <c r="K1" s="187"/>
      <c r="L1" s="187"/>
      <c r="M1" s="187"/>
      <c r="N1" s="187"/>
      <c r="O1" s="187"/>
      <c r="P1" s="187"/>
      <c r="Q1" s="187"/>
      <c r="R1" s="187"/>
    </row>
    <row r="2" spans="1:20" ht="18.75" customHeight="1" x14ac:dyDescent="0.15">
      <c r="D2" s="44"/>
      <c r="E2" s="44"/>
      <c r="F2" s="44"/>
      <c r="G2" s="44"/>
      <c r="H2" s="44"/>
      <c r="I2" s="44"/>
      <c r="J2" s="44"/>
      <c r="K2" s="187" t="s">
        <v>75</v>
      </c>
      <c r="L2" s="187"/>
      <c r="M2" s="198" t="s">
        <v>76</v>
      </c>
      <c r="N2" s="198"/>
      <c r="O2" s="198"/>
      <c r="P2" s="198"/>
      <c r="Q2" s="198"/>
      <c r="R2" s="44"/>
    </row>
    <row r="3" spans="1:20" ht="7.5" customHeight="1" x14ac:dyDescent="0.15"/>
    <row r="4" spans="1:20" ht="18.75" customHeight="1" x14ac:dyDescent="0.15">
      <c r="A4" s="197" t="s">
        <v>77</v>
      </c>
      <c r="B4" s="197"/>
      <c r="C4" s="197"/>
      <c r="D4" s="197"/>
      <c r="E4" s="197"/>
      <c r="F4" s="197"/>
      <c r="G4" s="197"/>
      <c r="H4" s="197"/>
      <c r="I4" s="197"/>
      <c r="J4" s="197"/>
      <c r="K4" s="197"/>
      <c r="L4" s="197"/>
      <c r="M4" s="197"/>
      <c r="N4" s="197"/>
      <c r="O4" s="197"/>
      <c r="P4" s="197"/>
      <c r="Q4" s="197"/>
      <c r="R4" s="197"/>
      <c r="S4" s="5"/>
    </row>
    <row r="5" spans="1:20" ht="7.5" customHeight="1" x14ac:dyDescent="0.15">
      <c r="A5" s="98"/>
      <c r="B5" s="98"/>
      <c r="C5" s="98"/>
      <c r="D5" s="98"/>
      <c r="E5" s="98"/>
      <c r="F5" s="98"/>
      <c r="G5" s="98"/>
      <c r="H5" s="98"/>
      <c r="I5" s="98"/>
      <c r="J5" s="98"/>
      <c r="K5" s="98"/>
      <c r="L5" s="98"/>
      <c r="M5" s="98"/>
      <c r="N5" s="98"/>
      <c r="O5" s="98"/>
      <c r="P5" s="98"/>
      <c r="Q5" s="98"/>
      <c r="R5" s="98"/>
    </row>
    <row r="6" spans="1:20" ht="18.75" customHeight="1" x14ac:dyDescent="0.15">
      <c r="B6" s="181" t="s">
        <v>78</v>
      </c>
      <c r="C6" s="182"/>
      <c r="D6" s="188" t="s">
        <v>79</v>
      </c>
      <c r="E6" s="190" t="s">
        <v>80</v>
      </c>
      <c r="F6" s="190"/>
      <c r="G6" s="190"/>
      <c r="H6" s="190"/>
      <c r="I6" s="191"/>
      <c r="J6" s="192"/>
      <c r="K6" s="191"/>
      <c r="L6" s="192"/>
      <c r="M6" s="191"/>
      <c r="N6" s="192"/>
      <c r="O6" s="191"/>
      <c r="P6" s="192"/>
      <c r="Q6" s="193" t="s">
        <v>81</v>
      </c>
      <c r="R6" s="195" t="s">
        <v>82</v>
      </c>
      <c r="T6" s="45"/>
    </row>
    <row r="7" spans="1:20" ht="18.75" customHeight="1" x14ac:dyDescent="0.15">
      <c r="B7" s="183"/>
      <c r="C7" s="184"/>
      <c r="D7" s="189"/>
      <c r="E7" s="25" t="s">
        <v>83</v>
      </c>
      <c r="F7" s="27" t="s">
        <v>84</v>
      </c>
      <c r="G7" s="28"/>
      <c r="H7" s="26"/>
      <c r="I7" s="25"/>
      <c r="J7" s="27"/>
      <c r="K7" s="28"/>
      <c r="L7" s="26"/>
      <c r="M7" s="25"/>
      <c r="N7" s="27"/>
      <c r="O7" s="28"/>
      <c r="P7" s="26"/>
      <c r="Q7" s="194"/>
      <c r="R7" s="196"/>
      <c r="T7" s="45"/>
    </row>
    <row r="8" spans="1:20" ht="18.75" customHeight="1" x14ac:dyDescent="0.15">
      <c r="A8" s="46"/>
      <c r="B8" s="177" t="s">
        <v>85</v>
      </c>
      <c r="C8" s="178"/>
      <c r="D8" s="47">
        <v>200</v>
      </c>
      <c r="E8" s="48">
        <v>44</v>
      </c>
      <c r="F8" s="49">
        <v>0</v>
      </c>
      <c r="G8" s="50"/>
      <c r="H8" s="51"/>
      <c r="I8" s="48"/>
      <c r="J8" s="49"/>
      <c r="K8" s="50"/>
      <c r="L8" s="51"/>
      <c r="M8" s="48"/>
      <c r="N8" s="49"/>
      <c r="O8" s="50"/>
      <c r="P8" s="51"/>
      <c r="Q8" s="52">
        <f>E8+G8+I8+K8+M8+O8</f>
        <v>44</v>
      </c>
      <c r="R8" s="53">
        <f>Q8/D8</f>
        <v>0.22</v>
      </c>
    </row>
    <row r="9" spans="1:20" ht="18.75" customHeight="1" x14ac:dyDescent="0.15">
      <c r="A9" s="46"/>
      <c r="B9" s="175" t="s">
        <v>86</v>
      </c>
      <c r="C9" s="176"/>
      <c r="D9" s="99">
        <v>200</v>
      </c>
      <c r="E9" s="54">
        <v>41</v>
      </c>
      <c r="F9" s="55">
        <v>0</v>
      </c>
      <c r="G9" s="56"/>
      <c r="H9" s="57"/>
      <c r="I9" s="54"/>
      <c r="J9" s="55"/>
      <c r="K9" s="56"/>
      <c r="L9" s="57"/>
      <c r="M9" s="54"/>
      <c r="N9" s="55"/>
      <c r="O9" s="56"/>
      <c r="P9" s="57"/>
      <c r="Q9" s="58">
        <f t="shared" ref="Q9:Q27" si="0">E9+G9+I9+K9+M9+O9</f>
        <v>41</v>
      </c>
      <c r="R9" s="53">
        <f t="shared" ref="R9:R27" si="1">Q9/D9</f>
        <v>0.20499999999999999</v>
      </c>
    </row>
    <row r="10" spans="1:20" ht="18.75" customHeight="1" x14ac:dyDescent="0.15">
      <c r="A10" s="46"/>
      <c r="B10" s="175" t="s">
        <v>87</v>
      </c>
      <c r="C10" s="176"/>
      <c r="D10" s="99">
        <v>200</v>
      </c>
      <c r="E10" s="54">
        <v>40</v>
      </c>
      <c r="F10" s="55">
        <v>0</v>
      </c>
      <c r="G10" s="56"/>
      <c r="H10" s="57"/>
      <c r="I10" s="54"/>
      <c r="J10" s="55"/>
      <c r="K10" s="56"/>
      <c r="L10" s="57"/>
      <c r="M10" s="54"/>
      <c r="N10" s="55"/>
      <c r="O10" s="56"/>
      <c r="P10" s="57"/>
      <c r="Q10" s="58">
        <f t="shared" si="0"/>
        <v>40</v>
      </c>
      <c r="R10" s="53">
        <f t="shared" si="1"/>
        <v>0.2</v>
      </c>
    </row>
    <row r="11" spans="1:20" ht="18.75" customHeight="1" thickBot="1" x14ac:dyDescent="0.2">
      <c r="A11" s="46"/>
      <c r="B11" s="175" t="s">
        <v>88</v>
      </c>
      <c r="C11" s="176"/>
      <c r="D11" s="99">
        <v>200</v>
      </c>
      <c r="E11" s="54">
        <v>41</v>
      </c>
      <c r="F11" s="55">
        <v>0</v>
      </c>
      <c r="G11" s="56"/>
      <c r="H11" s="57"/>
      <c r="I11" s="54"/>
      <c r="J11" s="55"/>
      <c r="K11" s="56"/>
      <c r="L11" s="57"/>
      <c r="M11" s="54"/>
      <c r="N11" s="55"/>
      <c r="O11" s="56"/>
      <c r="P11" s="57"/>
      <c r="Q11" s="58">
        <f t="shared" si="0"/>
        <v>41</v>
      </c>
      <c r="R11" s="53">
        <f t="shared" si="1"/>
        <v>0.20499999999999999</v>
      </c>
    </row>
    <row r="12" spans="1:20" ht="18.75" hidden="1" customHeight="1" x14ac:dyDescent="0.15">
      <c r="A12" s="46"/>
      <c r="B12" s="175"/>
      <c r="C12" s="176"/>
      <c r="D12" s="99"/>
      <c r="E12" s="54"/>
      <c r="F12" s="55"/>
      <c r="G12" s="56"/>
      <c r="H12" s="57"/>
      <c r="I12" s="54"/>
      <c r="J12" s="55"/>
      <c r="K12" s="56"/>
      <c r="L12" s="57"/>
      <c r="M12" s="54"/>
      <c r="N12" s="55"/>
      <c r="O12" s="56"/>
      <c r="P12" s="57"/>
      <c r="Q12" s="58">
        <f t="shared" si="0"/>
        <v>0</v>
      </c>
      <c r="R12" s="53" t="e">
        <f t="shared" si="1"/>
        <v>#DIV/0!</v>
      </c>
    </row>
    <row r="13" spans="1:20" ht="18.75" hidden="1" customHeight="1" x14ac:dyDescent="0.15">
      <c r="A13" s="46"/>
      <c r="B13" s="175"/>
      <c r="C13" s="176"/>
      <c r="D13" s="99"/>
      <c r="E13" s="54"/>
      <c r="F13" s="55"/>
      <c r="G13" s="56"/>
      <c r="H13" s="57"/>
      <c r="I13" s="54"/>
      <c r="J13" s="55"/>
      <c r="K13" s="56"/>
      <c r="L13" s="57"/>
      <c r="M13" s="54"/>
      <c r="N13" s="55"/>
      <c r="O13" s="56"/>
      <c r="P13" s="57"/>
      <c r="Q13" s="58">
        <f t="shared" si="0"/>
        <v>0</v>
      </c>
      <c r="R13" s="53" t="e">
        <f t="shared" si="1"/>
        <v>#DIV/0!</v>
      </c>
    </row>
    <row r="14" spans="1:20" ht="18.75" hidden="1" customHeight="1" x14ac:dyDescent="0.15">
      <c r="A14" s="46"/>
      <c r="B14" s="175"/>
      <c r="C14" s="176"/>
      <c r="D14" s="99"/>
      <c r="E14" s="54"/>
      <c r="F14" s="55"/>
      <c r="G14" s="56"/>
      <c r="H14" s="57"/>
      <c r="I14" s="54"/>
      <c r="J14" s="55"/>
      <c r="K14" s="56"/>
      <c r="L14" s="57"/>
      <c r="M14" s="54"/>
      <c r="N14" s="55"/>
      <c r="O14" s="56"/>
      <c r="P14" s="57"/>
      <c r="Q14" s="58">
        <f t="shared" si="0"/>
        <v>0</v>
      </c>
      <c r="R14" s="53" t="e">
        <f t="shared" si="1"/>
        <v>#DIV/0!</v>
      </c>
    </row>
    <row r="15" spans="1:20" ht="18.75" hidden="1" customHeight="1" x14ac:dyDescent="0.15">
      <c r="A15" s="46"/>
      <c r="B15" s="175"/>
      <c r="C15" s="176"/>
      <c r="D15" s="99"/>
      <c r="E15" s="54"/>
      <c r="F15" s="55"/>
      <c r="G15" s="56"/>
      <c r="H15" s="57"/>
      <c r="I15" s="54"/>
      <c r="J15" s="55"/>
      <c r="K15" s="56"/>
      <c r="L15" s="57"/>
      <c r="M15" s="54"/>
      <c r="N15" s="55"/>
      <c r="O15" s="56"/>
      <c r="P15" s="57"/>
      <c r="Q15" s="58">
        <f t="shared" si="0"/>
        <v>0</v>
      </c>
      <c r="R15" s="53" t="e">
        <f t="shared" si="1"/>
        <v>#DIV/0!</v>
      </c>
    </row>
    <row r="16" spans="1:20" ht="18.75" hidden="1" customHeight="1" x14ac:dyDescent="0.15">
      <c r="A16" s="46"/>
      <c r="B16" s="175"/>
      <c r="C16" s="176"/>
      <c r="D16" s="99"/>
      <c r="E16" s="54"/>
      <c r="F16" s="55"/>
      <c r="G16" s="56"/>
      <c r="H16" s="57"/>
      <c r="I16" s="54"/>
      <c r="J16" s="55"/>
      <c r="K16" s="56"/>
      <c r="L16" s="57"/>
      <c r="M16" s="54"/>
      <c r="N16" s="55"/>
      <c r="O16" s="56"/>
      <c r="P16" s="57"/>
      <c r="Q16" s="58">
        <f>E16+G16+I16+K16+M16+O16</f>
        <v>0</v>
      </c>
      <c r="R16" s="53" t="e">
        <f t="shared" si="1"/>
        <v>#DIV/0!</v>
      </c>
    </row>
    <row r="17" spans="1:18" ht="18.75" hidden="1" customHeight="1" x14ac:dyDescent="0.15">
      <c r="A17" s="46"/>
      <c r="B17" s="175"/>
      <c r="C17" s="176"/>
      <c r="D17" s="99"/>
      <c r="E17" s="54"/>
      <c r="F17" s="55"/>
      <c r="G17" s="56"/>
      <c r="H17" s="57"/>
      <c r="I17" s="54"/>
      <c r="J17" s="55"/>
      <c r="K17" s="56"/>
      <c r="L17" s="57"/>
      <c r="M17" s="54"/>
      <c r="N17" s="55"/>
      <c r="O17" s="56"/>
      <c r="P17" s="57"/>
      <c r="Q17" s="58">
        <f t="shared" si="0"/>
        <v>0</v>
      </c>
      <c r="R17" s="53" t="e">
        <f t="shared" si="1"/>
        <v>#DIV/0!</v>
      </c>
    </row>
    <row r="18" spans="1:18" ht="18.75" hidden="1" customHeight="1" x14ac:dyDescent="0.15">
      <c r="A18" s="46"/>
      <c r="B18" s="175"/>
      <c r="C18" s="176"/>
      <c r="D18" s="99"/>
      <c r="E18" s="54"/>
      <c r="F18" s="55"/>
      <c r="G18" s="56"/>
      <c r="H18" s="57"/>
      <c r="I18" s="54"/>
      <c r="J18" s="55"/>
      <c r="K18" s="56"/>
      <c r="L18" s="57"/>
      <c r="M18" s="54"/>
      <c r="N18" s="55"/>
      <c r="O18" s="56"/>
      <c r="P18" s="57"/>
      <c r="Q18" s="58">
        <f t="shared" si="0"/>
        <v>0</v>
      </c>
      <c r="R18" s="53" t="e">
        <f t="shared" si="1"/>
        <v>#DIV/0!</v>
      </c>
    </row>
    <row r="19" spans="1:18" ht="18.75" hidden="1" customHeight="1" x14ac:dyDescent="0.15">
      <c r="A19" s="46"/>
      <c r="B19" s="175"/>
      <c r="C19" s="176"/>
      <c r="D19" s="99"/>
      <c r="E19" s="54"/>
      <c r="F19" s="55"/>
      <c r="G19" s="56"/>
      <c r="H19" s="57"/>
      <c r="I19" s="54"/>
      <c r="J19" s="55"/>
      <c r="K19" s="56"/>
      <c r="L19" s="57"/>
      <c r="M19" s="54"/>
      <c r="N19" s="55"/>
      <c r="O19" s="56"/>
      <c r="P19" s="57"/>
      <c r="Q19" s="58">
        <f t="shared" si="0"/>
        <v>0</v>
      </c>
      <c r="R19" s="53" t="e">
        <f t="shared" si="1"/>
        <v>#DIV/0!</v>
      </c>
    </row>
    <row r="20" spans="1:18" ht="18.75" hidden="1" customHeight="1" x14ac:dyDescent="0.15">
      <c r="A20" s="46"/>
      <c r="B20" s="175"/>
      <c r="C20" s="176"/>
      <c r="D20" s="99"/>
      <c r="E20" s="54"/>
      <c r="F20" s="55"/>
      <c r="G20" s="56"/>
      <c r="H20" s="57"/>
      <c r="I20" s="54"/>
      <c r="J20" s="55"/>
      <c r="K20" s="56"/>
      <c r="L20" s="57"/>
      <c r="M20" s="54"/>
      <c r="N20" s="55"/>
      <c r="O20" s="56"/>
      <c r="P20" s="57"/>
      <c r="Q20" s="58">
        <f t="shared" si="0"/>
        <v>0</v>
      </c>
      <c r="R20" s="53" t="e">
        <f t="shared" si="1"/>
        <v>#DIV/0!</v>
      </c>
    </row>
    <row r="21" spans="1:18" ht="18.75" hidden="1" customHeight="1" x14ac:dyDescent="0.15">
      <c r="A21" s="46"/>
      <c r="B21" s="175"/>
      <c r="C21" s="176"/>
      <c r="D21" s="99"/>
      <c r="E21" s="54"/>
      <c r="F21" s="55"/>
      <c r="G21" s="56"/>
      <c r="H21" s="57"/>
      <c r="I21" s="54"/>
      <c r="J21" s="55"/>
      <c r="K21" s="56"/>
      <c r="L21" s="57"/>
      <c r="M21" s="54"/>
      <c r="N21" s="55"/>
      <c r="O21" s="56"/>
      <c r="P21" s="57"/>
      <c r="Q21" s="58">
        <f t="shared" si="0"/>
        <v>0</v>
      </c>
      <c r="R21" s="53" t="e">
        <f t="shared" si="1"/>
        <v>#DIV/0!</v>
      </c>
    </row>
    <row r="22" spans="1:18" ht="18.75" hidden="1" customHeight="1" x14ac:dyDescent="0.15">
      <c r="A22" s="46"/>
      <c r="B22" s="175"/>
      <c r="C22" s="176"/>
      <c r="D22" s="99"/>
      <c r="E22" s="54"/>
      <c r="F22" s="55"/>
      <c r="G22" s="56"/>
      <c r="H22" s="57"/>
      <c r="I22" s="54"/>
      <c r="J22" s="55"/>
      <c r="K22" s="56"/>
      <c r="L22" s="57"/>
      <c r="M22" s="54"/>
      <c r="N22" s="55"/>
      <c r="O22" s="56"/>
      <c r="P22" s="57"/>
      <c r="Q22" s="58">
        <f t="shared" si="0"/>
        <v>0</v>
      </c>
      <c r="R22" s="53" t="e">
        <f t="shared" si="1"/>
        <v>#DIV/0!</v>
      </c>
    </row>
    <row r="23" spans="1:18" ht="18.75" hidden="1" customHeight="1" x14ac:dyDescent="0.15">
      <c r="A23" s="46"/>
      <c r="B23" s="175"/>
      <c r="C23" s="176"/>
      <c r="D23" s="99"/>
      <c r="E23" s="54"/>
      <c r="F23" s="55"/>
      <c r="G23" s="56"/>
      <c r="H23" s="57"/>
      <c r="I23" s="54"/>
      <c r="J23" s="55"/>
      <c r="K23" s="56"/>
      <c r="L23" s="57"/>
      <c r="M23" s="54"/>
      <c r="N23" s="55"/>
      <c r="O23" s="56"/>
      <c r="P23" s="57"/>
      <c r="Q23" s="58">
        <f t="shared" si="0"/>
        <v>0</v>
      </c>
      <c r="R23" s="53" t="e">
        <f t="shared" si="1"/>
        <v>#DIV/0!</v>
      </c>
    </row>
    <row r="24" spans="1:18" ht="18.75" hidden="1" customHeight="1" x14ac:dyDescent="0.15">
      <c r="A24" s="46"/>
      <c r="B24" s="175"/>
      <c r="C24" s="176"/>
      <c r="D24" s="99"/>
      <c r="E24" s="54"/>
      <c r="F24" s="55"/>
      <c r="G24" s="56"/>
      <c r="H24" s="57"/>
      <c r="I24" s="54"/>
      <c r="J24" s="55"/>
      <c r="K24" s="56"/>
      <c r="L24" s="57"/>
      <c r="M24" s="54"/>
      <c r="N24" s="55"/>
      <c r="O24" s="56"/>
      <c r="P24" s="57"/>
      <c r="Q24" s="58">
        <f t="shared" si="0"/>
        <v>0</v>
      </c>
      <c r="R24" s="53" t="e">
        <f t="shared" si="1"/>
        <v>#DIV/0!</v>
      </c>
    </row>
    <row r="25" spans="1:18" ht="18.75" hidden="1" customHeight="1" x14ac:dyDescent="0.15">
      <c r="A25" s="46"/>
      <c r="B25" s="175"/>
      <c r="C25" s="176"/>
      <c r="D25" s="99"/>
      <c r="E25" s="54"/>
      <c r="F25" s="55"/>
      <c r="G25" s="56"/>
      <c r="H25" s="57"/>
      <c r="I25" s="54"/>
      <c r="J25" s="55"/>
      <c r="K25" s="56"/>
      <c r="L25" s="57"/>
      <c r="M25" s="54"/>
      <c r="N25" s="55"/>
      <c r="O25" s="56"/>
      <c r="P25" s="57"/>
      <c r="Q25" s="58">
        <f t="shared" si="0"/>
        <v>0</v>
      </c>
      <c r="R25" s="53" t="e">
        <f t="shared" si="1"/>
        <v>#DIV/0!</v>
      </c>
    </row>
    <row r="26" spans="1:18" ht="18.75" hidden="1" customHeight="1" x14ac:dyDescent="0.15">
      <c r="A26" s="46"/>
      <c r="B26" s="175"/>
      <c r="C26" s="176"/>
      <c r="D26" s="99"/>
      <c r="E26" s="54"/>
      <c r="F26" s="55"/>
      <c r="G26" s="56"/>
      <c r="H26" s="57"/>
      <c r="I26" s="54"/>
      <c r="J26" s="55"/>
      <c r="K26" s="56"/>
      <c r="L26" s="57"/>
      <c r="M26" s="54"/>
      <c r="N26" s="55"/>
      <c r="O26" s="56"/>
      <c r="P26" s="57"/>
      <c r="Q26" s="58">
        <f t="shared" si="0"/>
        <v>0</v>
      </c>
      <c r="R26" s="53" t="e">
        <f t="shared" si="1"/>
        <v>#DIV/0!</v>
      </c>
    </row>
    <row r="27" spans="1:18" ht="18.75" hidden="1" customHeight="1" thickBot="1" x14ac:dyDescent="0.2">
      <c r="A27" s="46"/>
      <c r="B27" s="185"/>
      <c r="C27" s="186"/>
      <c r="D27" s="47"/>
      <c r="E27" s="48"/>
      <c r="F27" s="49"/>
      <c r="G27" s="50"/>
      <c r="H27" s="51"/>
      <c r="I27" s="48"/>
      <c r="J27" s="49"/>
      <c r="K27" s="50"/>
      <c r="L27" s="51"/>
      <c r="M27" s="48"/>
      <c r="N27" s="49"/>
      <c r="O27" s="50"/>
      <c r="P27" s="51"/>
      <c r="Q27" s="59">
        <f t="shared" si="0"/>
        <v>0</v>
      </c>
      <c r="R27" s="53" t="e">
        <f t="shared" si="1"/>
        <v>#DIV/0!</v>
      </c>
    </row>
    <row r="28" spans="1:18" ht="18.75" customHeight="1" thickTop="1" x14ac:dyDescent="0.15">
      <c r="A28" s="46"/>
      <c r="B28" s="179" t="s">
        <v>89</v>
      </c>
      <c r="C28" s="180"/>
      <c r="D28" s="60">
        <f t="shared" ref="D28:Q28" si="2">SUM(D8:D27)</f>
        <v>800</v>
      </c>
      <c r="E28" s="61">
        <f t="shared" si="2"/>
        <v>166</v>
      </c>
      <c r="F28" s="62">
        <f t="shared" si="2"/>
        <v>0</v>
      </c>
      <c r="G28" s="63">
        <f t="shared" si="2"/>
        <v>0</v>
      </c>
      <c r="H28" s="64">
        <f t="shared" si="2"/>
        <v>0</v>
      </c>
      <c r="I28" s="61">
        <f t="shared" si="2"/>
        <v>0</v>
      </c>
      <c r="J28" s="62">
        <f t="shared" si="2"/>
        <v>0</v>
      </c>
      <c r="K28" s="63">
        <f t="shared" si="2"/>
        <v>0</v>
      </c>
      <c r="L28" s="64">
        <f t="shared" si="2"/>
        <v>0</v>
      </c>
      <c r="M28" s="61">
        <f t="shared" si="2"/>
        <v>0</v>
      </c>
      <c r="N28" s="62">
        <f t="shared" si="2"/>
        <v>0</v>
      </c>
      <c r="O28" s="63">
        <f t="shared" si="2"/>
        <v>0</v>
      </c>
      <c r="P28" s="64">
        <f t="shared" si="2"/>
        <v>0</v>
      </c>
      <c r="Q28" s="65">
        <f t="shared" si="2"/>
        <v>166</v>
      </c>
      <c r="R28" s="66">
        <f>Q28/D28</f>
        <v>0.20749999999999999</v>
      </c>
    </row>
    <row r="29" spans="1:18" ht="6.75" customHeight="1" x14ac:dyDescent="0.15">
      <c r="A29" s="46"/>
      <c r="B29" s="46"/>
      <c r="C29" s="46"/>
      <c r="D29" s="67"/>
      <c r="E29" s="67"/>
      <c r="F29" s="67"/>
      <c r="G29" s="67"/>
      <c r="H29" s="67"/>
      <c r="I29" s="67"/>
      <c r="J29" s="67"/>
      <c r="K29" s="67"/>
      <c r="L29" s="67"/>
      <c r="M29" s="67"/>
      <c r="N29" s="67"/>
      <c r="O29" s="67"/>
      <c r="P29" s="67"/>
      <c r="Q29" s="67"/>
      <c r="R29" s="67"/>
    </row>
  </sheetData>
  <mergeCells count="35">
    <mergeCell ref="F1:R1"/>
    <mergeCell ref="K2:L2"/>
    <mergeCell ref="D6:D7"/>
    <mergeCell ref="E6:F6"/>
    <mergeCell ref="G6:H6"/>
    <mergeCell ref="I6:J6"/>
    <mergeCell ref="K6:L6"/>
    <mergeCell ref="M6:N6"/>
    <mergeCell ref="O6:P6"/>
    <mergeCell ref="Q6:Q7"/>
    <mergeCell ref="R6:R7"/>
    <mergeCell ref="A4:R4"/>
    <mergeCell ref="M2:Q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0"/>
  <sheetViews>
    <sheetView topLeftCell="A130" zoomScaleNormal="100" workbookViewId="0">
      <selection activeCell="B138" sqref="B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8" ht="18.75" customHeight="1" x14ac:dyDescent="0.15">
      <c r="G1" s="97" t="s">
        <v>90</v>
      </c>
    </row>
    <row r="2" spans="1:8" ht="18.75" customHeight="1" x14ac:dyDescent="0.15">
      <c r="F2" s="97" t="s">
        <v>61</v>
      </c>
      <c r="G2" s="1" t="s">
        <v>91</v>
      </c>
    </row>
    <row r="3" spans="1:8" ht="18.75" customHeight="1" x14ac:dyDescent="0.15">
      <c r="A3" s="252" t="s">
        <v>92</v>
      </c>
      <c r="B3" s="252"/>
      <c r="C3" s="252"/>
      <c r="D3" s="252"/>
      <c r="E3" s="252"/>
      <c r="F3" s="252"/>
      <c r="G3" s="252"/>
    </row>
    <row r="4" spans="1:8" ht="18.75" customHeight="1" x14ac:dyDescent="0.15">
      <c r="A4" s="1" t="s">
        <v>2</v>
      </c>
      <c r="B4" s="1" t="s">
        <v>93</v>
      </c>
    </row>
    <row r="5" spans="1:8" s="29" customFormat="1" ht="18.75" customHeight="1" x14ac:dyDescent="0.15">
      <c r="A5" s="100"/>
      <c r="B5" s="101" t="s">
        <v>94</v>
      </c>
      <c r="C5" s="215" t="s">
        <v>95</v>
      </c>
      <c r="D5" s="216"/>
      <c r="E5" s="216"/>
      <c r="F5" s="216"/>
      <c r="G5" s="217"/>
      <c r="H5" s="100"/>
    </row>
    <row r="6" spans="1:8" s="33" customFormat="1" ht="45" customHeight="1" x14ac:dyDescent="0.15">
      <c r="A6" s="100"/>
      <c r="B6" s="221" t="s">
        <v>96</v>
      </c>
      <c r="C6" s="253" t="s">
        <v>97</v>
      </c>
      <c r="D6" s="254"/>
      <c r="E6" s="254"/>
      <c r="F6" s="254"/>
      <c r="G6" s="255"/>
      <c r="H6" s="100"/>
    </row>
    <row r="7" spans="1:8" s="33" customFormat="1" ht="45" customHeight="1" x14ac:dyDescent="0.15">
      <c r="A7" s="100"/>
      <c r="B7" s="222"/>
      <c r="C7" s="256"/>
      <c r="D7" s="257"/>
      <c r="E7" s="257"/>
      <c r="F7" s="257"/>
      <c r="G7" s="258"/>
      <c r="H7" s="100"/>
    </row>
    <row r="8" spans="1:8" s="33" customFormat="1" ht="45" customHeight="1" x14ac:dyDescent="0.15">
      <c r="A8" s="100"/>
      <c r="B8" s="222"/>
      <c r="C8" s="256"/>
      <c r="D8" s="257"/>
      <c r="E8" s="257"/>
      <c r="F8" s="257"/>
      <c r="G8" s="258"/>
      <c r="H8" s="100"/>
    </row>
    <row r="9" spans="1:8" s="33" customFormat="1" ht="45" customHeight="1" x14ac:dyDescent="0.15">
      <c r="A9" s="100"/>
      <c r="B9" s="222"/>
      <c r="C9" s="259"/>
      <c r="D9" s="260"/>
      <c r="E9" s="260"/>
      <c r="F9" s="260"/>
      <c r="G9" s="261"/>
      <c r="H9" s="100"/>
    </row>
    <row r="10" spans="1:8" s="34" customFormat="1" ht="18.75" customHeight="1" x14ac:dyDescent="0.15">
      <c r="A10" s="100"/>
      <c r="B10" s="222"/>
      <c r="C10" s="110" t="s">
        <v>98</v>
      </c>
      <c r="D10" s="206" t="s">
        <v>99</v>
      </c>
      <c r="E10" s="207"/>
      <c r="F10" s="207"/>
      <c r="G10" s="208"/>
      <c r="H10" s="100"/>
    </row>
    <row r="11" spans="1:8" s="33" customFormat="1" ht="18.75" customHeight="1" x14ac:dyDescent="0.15">
      <c r="A11" s="100"/>
      <c r="B11" s="222"/>
      <c r="C11" s="107" t="s">
        <v>69</v>
      </c>
      <c r="D11" s="209" t="s">
        <v>100</v>
      </c>
      <c r="E11" s="210"/>
      <c r="F11" s="210"/>
      <c r="G11" s="211"/>
      <c r="H11" s="100"/>
    </row>
    <row r="12" spans="1:8" s="34" customFormat="1" ht="18.75" customHeight="1" x14ac:dyDescent="0.15">
      <c r="A12" s="100"/>
      <c r="B12" s="222"/>
      <c r="C12" s="107" t="s">
        <v>69</v>
      </c>
      <c r="D12" s="209" t="s">
        <v>101</v>
      </c>
      <c r="E12" s="210"/>
      <c r="F12" s="210"/>
      <c r="G12" s="211"/>
      <c r="H12" s="100"/>
    </row>
    <row r="13" spans="1:8" s="34" customFormat="1" ht="18.75" customHeight="1" x14ac:dyDescent="0.15">
      <c r="A13" s="100"/>
      <c r="B13" s="222"/>
      <c r="C13" s="109" t="s">
        <v>69</v>
      </c>
      <c r="D13" s="212" t="s">
        <v>102</v>
      </c>
      <c r="E13" s="213"/>
      <c r="F13" s="213"/>
      <c r="G13" s="214"/>
      <c r="H13" s="100"/>
    </row>
    <row r="14" spans="1:8" s="34" customFormat="1" ht="18.75" customHeight="1" x14ac:dyDescent="0.15">
      <c r="A14" s="100"/>
      <c r="B14" s="232"/>
      <c r="C14" s="108"/>
      <c r="D14" s="205"/>
      <c r="E14" s="205"/>
      <c r="F14" s="205"/>
      <c r="G14" s="205"/>
      <c r="H14" s="100"/>
    </row>
    <row r="15" spans="1:8" s="36" customFormat="1" ht="18.75" customHeight="1" x14ac:dyDescent="0.15">
      <c r="A15" s="100"/>
      <c r="B15" s="222"/>
      <c r="C15" s="105"/>
      <c r="D15" s="218"/>
      <c r="E15" s="219"/>
      <c r="F15" s="219"/>
      <c r="G15" s="220"/>
      <c r="H15" s="100"/>
    </row>
    <row r="16" spans="1:8" s="36" customFormat="1" ht="18.75" customHeight="1" x14ac:dyDescent="0.15">
      <c r="A16" s="100"/>
      <c r="B16" s="222"/>
      <c r="C16" s="101"/>
      <c r="D16" s="215"/>
      <c r="E16" s="216"/>
      <c r="F16" s="216"/>
      <c r="G16" s="217"/>
      <c r="H16" s="100"/>
    </row>
    <row r="17" spans="2:8" s="36" customFormat="1" ht="18.75" customHeight="1" x14ac:dyDescent="0.15">
      <c r="B17" s="222"/>
      <c r="C17" s="101"/>
      <c r="D17" s="215"/>
      <c r="E17" s="216"/>
      <c r="F17" s="216"/>
      <c r="G17" s="217"/>
      <c r="H17" s="100"/>
    </row>
    <row r="18" spans="2:8" s="36" customFormat="1" ht="18.75" customHeight="1" x14ac:dyDescent="0.15">
      <c r="B18" s="222"/>
      <c r="C18" s="101"/>
      <c r="D18" s="215"/>
      <c r="E18" s="216"/>
      <c r="F18" s="216"/>
      <c r="G18" s="217"/>
      <c r="H18" s="100"/>
    </row>
    <row r="19" spans="2:8" s="36" customFormat="1" ht="18.75" customHeight="1" x14ac:dyDescent="0.15">
      <c r="B19" s="222"/>
      <c r="C19" s="101"/>
      <c r="D19" s="215"/>
      <c r="E19" s="216"/>
      <c r="F19" s="216"/>
      <c r="G19" s="217"/>
      <c r="H19" s="100"/>
    </row>
    <row r="20" spans="2:8" s="36" customFormat="1" ht="18.75" customHeight="1" x14ac:dyDescent="0.15">
      <c r="B20" s="222"/>
      <c r="C20" s="101"/>
      <c r="D20" s="215"/>
      <c r="E20" s="216"/>
      <c r="F20" s="216"/>
      <c r="G20" s="217"/>
      <c r="H20" s="100"/>
    </row>
    <row r="21" spans="2:8" s="36" customFormat="1" ht="18.75" customHeight="1" x14ac:dyDescent="0.15">
      <c r="B21" s="222"/>
      <c r="C21" s="101"/>
      <c r="D21" s="215"/>
      <c r="E21" s="216"/>
      <c r="F21" s="216"/>
      <c r="G21" s="217"/>
      <c r="H21" s="100"/>
    </row>
    <row r="22" spans="2:8" s="36" customFormat="1" ht="18.75" customHeight="1" x14ac:dyDescent="0.15">
      <c r="B22" s="222"/>
      <c r="C22" s="101"/>
      <c r="D22" s="215"/>
      <c r="E22" s="216"/>
      <c r="F22" s="216"/>
      <c r="G22" s="217"/>
      <c r="H22" s="100"/>
    </row>
    <row r="23" spans="2:8" s="36" customFormat="1" ht="18.75" customHeight="1" x14ac:dyDescent="0.15">
      <c r="B23" s="222"/>
      <c r="C23" s="101"/>
      <c r="D23" s="215"/>
      <c r="E23" s="216"/>
      <c r="F23" s="216"/>
      <c r="G23" s="217"/>
      <c r="H23" s="100"/>
    </row>
    <row r="24" spans="2:8" s="36" customFormat="1" ht="18.75" customHeight="1" x14ac:dyDescent="0.15">
      <c r="B24" s="222"/>
      <c r="C24" s="101"/>
      <c r="D24" s="215"/>
      <c r="E24" s="216"/>
      <c r="F24" s="216"/>
      <c r="G24" s="217"/>
      <c r="H24" s="100"/>
    </row>
    <row r="25" spans="2:8" s="34" customFormat="1" ht="18.75" customHeight="1" x14ac:dyDescent="0.15">
      <c r="B25" s="222"/>
      <c r="C25" s="101"/>
      <c r="D25" s="215"/>
      <c r="E25" s="216"/>
      <c r="F25" s="216"/>
      <c r="G25" s="217"/>
      <c r="H25" s="100"/>
    </row>
    <row r="26" spans="2:8" ht="18.75" customHeight="1" x14ac:dyDescent="0.15">
      <c r="B26" s="221" t="s">
        <v>103</v>
      </c>
      <c r="C26" s="215" t="s">
        <v>95</v>
      </c>
      <c r="D26" s="216"/>
      <c r="E26" s="216"/>
      <c r="F26" s="216"/>
      <c r="G26" s="217"/>
    </row>
    <row r="27" spans="2:8" ht="37.5" customHeight="1" x14ac:dyDescent="0.15">
      <c r="B27" s="222"/>
      <c r="C27" s="223" t="s">
        <v>176</v>
      </c>
      <c r="D27" s="224"/>
      <c r="E27" s="224"/>
      <c r="F27" s="224"/>
      <c r="G27" s="225"/>
    </row>
    <row r="28" spans="2:8" ht="37.5" customHeight="1" x14ac:dyDescent="0.15">
      <c r="B28" s="222"/>
      <c r="C28" s="226"/>
      <c r="D28" s="227"/>
      <c r="E28" s="227"/>
      <c r="F28" s="227"/>
      <c r="G28" s="228"/>
    </row>
    <row r="29" spans="2:8" ht="37.5" customHeight="1" x14ac:dyDescent="0.15">
      <c r="B29" s="222"/>
      <c r="C29" s="226"/>
      <c r="D29" s="227"/>
      <c r="E29" s="227"/>
      <c r="F29" s="227"/>
      <c r="G29" s="228"/>
    </row>
    <row r="30" spans="2:8" ht="37.5" customHeight="1" x14ac:dyDescent="0.15">
      <c r="B30" s="222"/>
      <c r="C30" s="226"/>
      <c r="D30" s="227"/>
      <c r="E30" s="227"/>
      <c r="F30" s="227"/>
      <c r="G30" s="228"/>
    </row>
    <row r="31" spans="2:8" ht="37.5" customHeight="1" x14ac:dyDescent="0.15">
      <c r="B31" s="222"/>
      <c r="C31" s="229"/>
      <c r="D31" s="230"/>
      <c r="E31" s="230"/>
      <c r="F31" s="230"/>
      <c r="G31" s="231"/>
    </row>
    <row r="32" spans="2:8" ht="18.75" customHeight="1" x14ac:dyDescent="0.15">
      <c r="B32" s="222"/>
      <c r="C32" s="110" t="s">
        <v>98</v>
      </c>
      <c r="D32" s="215" t="s">
        <v>99</v>
      </c>
      <c r="E32" s="216"/>
      <c r="F32" s="216"/>
      <c r="G32" s="217"/>
    </row>
    <row r="33" spans="2:7" ht="18.75" customHeight="1" x14ac:dyDescent="0.15">
      <c r="B33" s="222"/>
      <c r="C33" s="101" t="s">
        <v>104</v>
      </c>
      <c r="D33" s="245" t="s">
        <v>105</v>
      </c>
      <c r="E33" s="246"/>
      <c r="F33" s="246"/>
      <c r="G33" s="247"/>
    </row>
    <row r="34" spans="2:7" ht="18.75" customHeight="1" x14ac:dyDescent="0.15">
      <c r="B34" s="222"/>
      <c r="C34" s="101" t="s">
        <v>106</v>
      </c>
      <c r="D34" s="199" t="s">
        <v>107</v>
      </c>
      <c r="E34" s="200"/>
      <c r="F34" s="200"/>
      <c r="G34" s="201"/>
    </row>
    <row r="35" spans="2:7" ht="18.75" customHeight="1" x14ac:dyDescent="0.15">
      <c r="B35" s="222"/>
      <c r="C35" s="101" t="s">
        <v>108</v>
      </c>
      <c r="D35" s="199" t="s">
        <v>109</v>
      </c>
      <c r="E35" s="200"/>
      <c r="F35" s="200"/>
      <c r="G35" s="201"/>
    </row>
    <row r="36" spans="2:7" ht="18.75" customHeight="1" x14ac:dyDescent="0.15">
      <c r="B36" s="222"/>
      <c r="C36" s="101"/>
      <c r="D36" s="202"/>
      <c r="E36" s="203"/>
      <c r="F36" s="203"/>
      <c r="G36" s="204"/>
    </row>
    <row r="37" spans="2:7" ht="18.75" customHeight="1" x14ac:dyDescent="0.15">
      <c r="B37" s="222"/>
      <c r="C37" s="101"/>
      <c r="D37" s="202"/>
      <c r="E37" s="203"/>
      <c r="F37" s="203"/>
      <c r="G37" s="204"/>
    </row>
    <row r="38" spans="2:7" ht="18.75" customHeight="1" x14ac:dyDescent="0.15">
      <c r="B38" s="222"/>
      <c r="C38" s="101"/>
      <c r="D38" s="202"/>
      <c r="E38" s="203"/>
      <c r="F38" s="203"/>
      <c r="G38" s="204"/>
    </row>
    <row r="39" spans="2:7" ht="18.75" customHeight="1" x14ac:dyDescent="0.15">
      <c r="B39" s="222"/>
      <c r="C39" s="101"/>
      <c r="D39" s="202"/>
      <c r="E39" s="203"/>
      <c r="F39" s="203"/>
      <c r="G39" s="204"/>
    </row>
    <row r="40" spans="2:7" ht="18.75" customHeight="1" x14ac:dyDescent="0.15">
      <c r="B40" s="222"/>
      <c r="C40" s="101"/>
      <c r="D40" s="202"/>
      <c r="E40" s="203"/>
      <c r="F40" s="203"/>
      <c r="G40" s="204"/>
    </row>
    <row r="41" spans="2:7" ht="18.75" customHeight="1" x14ac:dyDescent="0.15">
      <c r="B41" s="222"/>
      <c r="C41" s="101"/>
      <c r="D41" s="202"/>
      <c r="E41" s="203"/>
      <c r="F41" s="203"/>
      <c r="G41" s="204"/>
    </row>
    <row r="42" spans="2:7" ht="18.75" customHeight="1" x14ac:dyDescent="0.15">
      <c r="B42" s="222"/>
      <c r="C42" s="101"/>
      <c r="D42" s="202"/>
      <c r="E42" s="203"/>
      <c r="F42" s="203"/>
      <c r="G42" s="204"/>
    </row>
    <row r="43" spans="2:7" ht="18.75" customHeight="1" x14ac:dyDescent="0.15">
      <c r="B43" s="222"/>
      <c r="C43" s="101"/>
      <c r="D43" s="202"/>
      <c r="E43" s="203"/>
      <c r="F43" s="203"/>
      <c r="G43" s="204"/>
    </row>
    <row r="44" spans="2:7" ht="18.75" customHeight="1" x14ac:dyDescent="0.15">
      <c r="B44" s="222"/>
      <c r="C44" s="101"/>
      <c r="D44" s="202"/>
      <c r="E44" s="203"/>
      <c r="F44" s="203"/>
      <c r="G44" s="204"/>
    </row>
    <row r="45" spans="2:7" ht="18.75" customHeight="1" x14ac:dyDescent="0.15">
      <c r="B45" s="222"/>
      <c r="C45" s="101"/>
      <c r="D45" s="202"/>
      <c r="E45" s="203"/>
      <c r="F45" s="203"/>
      <c r="G45" s="204"/>
    </row>
    <row r="46" spans="2:7" ht="18.75" customHeight="1" x14ac:dyDescent="0.15">
      <c r="B46" s="222"/>
      <c r="C46" s="101"/>
      <c r="D46" s="202"/>
      <c r="E46" s="203"/>
      <c r="F46" s="203"/>
      <c r="G46" s="204"/>
    </row>
    <row r="47" spans="2:7" ht="18.75" customHeight="1" x14ac:dyDescent="0.15">
      <c r="B47" s="222"/>
      <c r="C47" s="101"/>
      <c r="D47" s="202"/>
      <c r="E47" s="203"/>
      <c r="F47" s="203"/>
      <c r="G47" s="204"/>
    </row>
    <row r="48" spans="2:7" ht="18.75" customHeight="1" x14ac:dyDescent="0.15">
      <c r="B48" s="222"/>
      <c r="C48" s="101"/>
      <c r="D48" s="202"/>
      <c r="E48" s="203"/>
      <c r="F48" s="203"/>
      <c r="G48" s="204"/>
    </row>
    <row r="49" spans="2:7" ht="18.75" customHeight="1" x14ac:dyDescent="0.15">
      <c r="B49" s="222"/>
      <c r="C49" s="101"/>
      <c r="D49" s="202"/>
      <c r="E49" s="203"/>
      <c r="F49" s="203"/>
      <c r="G49" s="204"/>
    </row>
    <row r="50" spans="2:7" ht="18.75" customHeight="1" x14ac:dyDescent="0.15">
      <c r="B50" s="251"/>
      <c r="C50" s="101"/>
      <c r="D50" s="202"/>
      <c r="E50" s="203"/>
      <c r="F50" s="203"/>
      <c r="G50" s="204"/>
    </row>
    <row r="51" spans="2:7" ht="18.75" customHeight="1" x14ac:dyDescent="0.15">
      <c r="B51" s="221" t="s">
        <v>110</v>
      </c>
      <c r="C51" s="215" t="s">
        <v>95</v>
      </c>
      <c r="D51" s="216"/>
      <c r="E51" s="216"/>
      <c r="F51" s="216"/>
      <c r="G51" s="217"/>
    </row>
    <row r="52" spans="2:7" ht="37.5" customHeight="1" x14ac:dyDescent="0.15">
      <c r="B52" s="222"/>
      <c r="C52" s="223" t="s">
        <v>177</v>
      </c>
      <c r="D52" s="224"/>
      <c r="E52" s="224"/>
      <c r="F52" s="224"/>
      <c r="G52" s="225"/>
    </row>
    <row r="53" spans="2:7" ht="37.5" customHeight="1" x14ac:dyDescent="0.15">
      <c r="B53" s="222"/>
      <c r="C53" s="226"/>
      <c r="D53" s="227"/>
      <c r="E53" s="227"/>
      <c r="F53" s="227"/>
      <c r="G53" s="228"/>
    </row>
    <row r="54" spans="2:7" ht="37.5" customHeight="1" x14ac:dyDescent="0.15">
      <c r="B54" s="222"/>
      <c r="C54" s="226"/>
      <c r="D54" s="227"/>
      <c r="E54" s="227"/>
      <c r="F54" s="227"/>
      <c r="G54" s="228"/>
    </row>
    <row r="55" spans="2:7" ht="37.5" customHeight="1" x14ac:dyDescent="0.15">
      <c r="B55" s="222"/>
      <c r="C55" s="226"/>
      <c r="D55" s="227"/>
      <c r="E55" s="227"/>
      <c r="F55" s="227"/>
      <c r="G55" s="228"/>
    </row>
    <row r="56" spans="2:7" ht="37.5" customHeight="1" x14ac:dyDescent="0.15">
      <c r="B56" s="222"/>
      <c r="C56" s="229"/>
      <c r="D56" s="230"/>
      <c r="E56" s="230"/>
      <c r="F56" s="230"/>
      <c r="G56" s="231"/>
    </row>
    <row r="57" spans="2:7" ht="18.75" customHeight="1" x14ac:dyDescent="0.15">
      <c r="B57" s="222"/>
      <c r="C57" s="110" t="s">
        <v>98</v>
      </c>
      <c r="D57" s="215" t="s">
        <v>99</v>
      </c>
      <c r="E57" s="216"/>
      <c r="F57" s="216"/>
      <c r="G57" s="217"/>
    </row>
    <row r="58" spans="2:7" ht="18.75" customHeight="1" x14ac:dyDescent="0.15">
      <c r="B58" s="222"/>
      <c r="C58" s="101" t="s">
        <v>104</v>
      </c>
      <c r="D58" s="245" t="s">
        <v>105</v>
      </c>
      <c r="E58" s="246"/>
      <c r="F58" s="246"/>
      <c r="G58" s="247"/>
    </row>
    <row r="59" spans="2:7" ht="36" customHeight="1" x14ac:dyDescent="0.15">
      <c r="B59" s="222"/>
      <c r="C59" s="101" t="s">
        <v>106</v>
      </c>
      <c r="D59" s="248" t="s">
        <v>111</v>
      </c>
      <c r="E59" s="249"/>
      <c r="F59" s="249"/>
      <c r="G59" s="250"/>
    </row>
    <row r="60" spans="2:7" ht="18.75" customHeight="1" x14ac:dyDescent="0.15">
      <c r="B60" s="222"/>
      <c r="C60" s="101" t="s">
        <v>108</v>
      </c>
      <c r="D60" s="199" t="s">
        <v>112</v>
      </c>
      <c r="E60" s="200"/>
      <c r="F60" s="200"/>
      <c r="G60" s="201"/>
    </row>
    <row r="61" spans="2:7" ht="18.75" customHeight="1" x14ac:dyDescent="0.15">
      <c r="B61" s="222"/>
      <c r="C61" s="101"/>
      <c r="D61" s="202"/>
      <c r="E61" s="203"/>
      <c r="F61" s="203"/>
      <c r="G61" s="204"/>
    </row>
    <row r="62" spans="2:7" ht="18.75" customHeight="1" x14ac:dyDescent="0.15">
      <c r="B62" s="222"/>
      <c r="C62" s="101"/>
      <c r="D62" s="202"/>
      <c r="E62" s="203"/>
      <c r="F62" s="203"/>
      <c r="G62" s="204"/>
    </row>
    <row r="63" spans="2:7" ht="18.75" customHeight="1" x14ac:dyDescent="0.15">
      <c r="B63" s="222"/>
      <c r="C63" s="101"/>
      <c r="D63" s="202"/>
      <c r="E63" s="203"/>
      <c r="F63" s="203"/>
      <c r="G63" s="204"/>
    </row>
    <row r="64" spans="2:7" ht="18.75" customHeight="1" x14ac:dyDescent="0.15">
      <c r="B64" s="222"/>
      <c r="C64" s="101"/>
      <c r="D64" s="202"/>
      <c r="E64" s="203"/>
      <c r="F64" s="203"/>
      <c r="G64" s="204"/>
    </row>
    <row r="65" spans="2:7" ht="18.75" customHeight="1" x14ac:dyDescent="0.15">
      <c r="B65" s="222"/>
      <c r="C65" s="101"/>
      <c r="D65" s="202"/>
      <c r="E65" s="203"/>
      <c r="F65" s="203"/>
      <c r="G65" s="204"/>
    </row>
    <row r="66" spans="2:7" ht="18.75" customHeight="1" x14ac:dyDescent="0.15">
      <c r="B66" s="222"/>
      <c r="C66" s="101"/>
      <c r="D66" s="202"/>
      <c r="E66" s="203"/>
      <c r="F66" s="203"/>
      <c r="G66" s="204"/>
    </row>
    <row r="67" spans="2:7" ht="18.75" customHeight="1" x14ac:dyDescent="0.15">
      <c r="B67" s="222"/>
      <c r="C67" s="101"/>
      <c r="D67" s="202"/>
      <c r="E67" s="203"/>
      <c r="F67" s="203"/>
      <c r="G67" s="204"/>
    </row>
    <row r="68" spans="2:7" ht="18.75" customHeight="1" x14ac:dyDescent="0.15">
      <c r="B68" s="222"/>
      <c r="C68" s="101"/>
      <c r="D68" s="202"/>
      <c r="E68" s="203"/>
      <c r="F68" s="203"/>
      <c r="G68" s="204"/>
    </row>
    <row r="69" spans="2:7" ht="18.75" customHeight="1" x14ac:dyDescent="0.15">
      <c r="B69" s="222"/>
      <c r="C69" s="101"/>
      <c r="D69" s="202"/>
      <c r="E69" s="203"/>
      <c r="F69" s="203"/>
      <c r="G69" s="204"/>
    </row>
    <row r="70" spans="2:7" ht="18.75" customHeight="1" x14ac:dyDescent="0.15">
      <c r="B70" s="222"/>
      <c r="C70" s="101"/>
      <c r="D70" s="202"/>
      <c r="E70" s="203"/>
      <c r="F70" s="203"/>
      <c r="G70" s="204"/>
    </row>
    <row r="71" spans="2:7" ht="18.75" customHeight="1" x14ac:dyDescent="0.15">
      <c r="B71" s="222"/>
      <c r="C71" s="101"/>
      <c r="D71" s="202"/>
      <c r="E71" s="203"/>
      <c r="F71" s="203"/>
      <c r="G71" s="204"/>
    </row>
    <row r="72" spans="2:7" ht="18.75" customHeight="1" x14ac:dyDescent="0.15">
      <c r="B72" s="222"/>
      <c r="C72" s="101"/>
      <c r="D72" s="202"/>
      <c r="E72" s="203"/>
      <c r="F72" s="203"/>
      <c r="G72" s="204"/>
    </row>
    <row r="73" spans="2:7" ht="18.75" customHeight="1" x14ac:dyDescent="0.15">
      <c r="B73" s="222"/>
      <c r="C73" s="101"/>
      <c r="D73" s="202"/>
      <c r="E73" s="203"/>
      <c r="F73" s="203"/>
      <c r="G73" s="204"/>
    </row>
    <row r="74" spans="2:7" ht="18.75" customHeight="1" x14ac:dyDescent="0.15">
      <c r="B74" s="222"/>
      <c r="C74" s="101"/>
      <c r="D74" s="202"/>
      <c r="E74" s="203"/>
      <c r="F74" s="203"/>
      <c r="G74" s="204"/>
    </row>
    <row r="75" spans="2:7" ht="18.75" customHeight="1" x14ac:dyDescent="0.15">
      <c r="B75" s="222"/>
      <c r="C75" s="101"/>
      <c r="D75" s="202"/>
      <c r="E75" s="203"/>
      <c r="F75" s="203"/>
      <c r="G75" s="204"/>
    </row>
    <row r="76" spans="2:7" ht="18.75" customHeight="1" x14ac:dyDescent="0.15">
      <c r="B76" s="221" t="s">
        <v>113</v>
      </c>
      <c r="C76" s="215" t="s">
        <v>95</v>
      </c>
      <c r="D76" s="216"/>
      <c r="E76" s="216"/>
      <c r="F76" s="216"/>
      <c r="G76" s="217"/>
    </row>
    <row r="77" spans="2:7" ht="37.5" customHeight="1" x14ac:dyDescent="0.15">
      <c r="B77" s="222"/>
      <c r="C77" s="233" t="s">
        <v>178</v>
      </c>
      <c r="D77" s="234"/>
      <c r="E77" s="234"/>
      <c r="F77" s="234"/>
      <c r="G77" s="235"/>
    </row>
    <row r="78" spans="2:7" ht="37.5" customHeight="1" x14ac:dyDescent="0.15">
      <c r="B78" s="222"/>
      <c r="C78" s="236"/>
      <c r="D78" s="237"/>
      <c r="E78" s="237"/>
      <c r="F78" s="237"/>
      <c r="G78" s="238"/>
    </row>
    <row r="79" spans="2:7" ht="37.5" customHeight="1" x14ac:dyDescent="0.15">
      <c r="B79" s="222"/>
      <c r="C79" s="236"/>
      <c r="D79" s="237"/>
      <c r="E79" s="237"/>
      <c r="F79" s="237"/>
      <c r="G79" s="238"/>
    </row>
    <row r="80" spans="2:7" ht="37.5" customHeight="1" x14ac:dyDescent="0.15">
      <c r="B80" s="222"/>
      <c r="C80" s="236"/>
      <c r="D80" s="237"/>
      <c r="E80" s="237"/>
      <c r="F80" s="237"/>
      <c r="G80" s="238"/>
    </row>
    <row r="81" spans="2:7" ht="37.5" customHeight="1" x14ac:dyDescent="0.15">
      <c r="B81" s="222"/>
      <c r="C81" s="239"/>
      <c r="D81" s="240"/>
      <c r="E81" s="240"/>
      <c r="F81" s="240"/>
      <c r="G81" s="241"/>
    </row>
    <row r="82" spans="2:7" ht="18.75" customHeight="1" x14ac:dyDescent="0.15">
      <c r="B82" s="222"/>
      <c r="C82" s="104" t="s">
        <v>98</v>
      </c>
      <c r="D82" s="242" t="s">
        <v>99</v>
      </c>
      <c r="E82" s="243"/>
      <c r="F82" s="243"/>
      <c r="G82" s="244"/>
    </row>
    <row r="83" spans="2:7" ht="18.75" customHeight="1" x14ac:dyDescent="0.15">
      <c r="B83" s="232"/>
      <c r="C83" s="106" t="s">
        <v>69</v>
      </c>
      <c r="D83" s="285" t="s">
        <v>114</v>
      </c>
      <c r="E83" s="285"/>
      <c r="F83" s="285"/>
      <c r="G83" s="285"/>
    </row>
    <row r="84" spans="2:7" ht="18.75" customHeight="1" x14ac:dyDescent="0.15">
      <c r="B84" s="222"/>
      <c r="C84" s="106" t="s">
        <v>69</v>
      </c>
      <c r="D84" s="281" t="s">
        <v>115</v>
      </c>
      <c r="E84" s="281"/>
      <c r="F84" s="281"/>
      <c r="G84" s="281"/>
    </row>
    <row r="85" spans="2:7" ht="18.75" customHeight="1" x14ac:dyDescent="0.15">
      <c r="B85" s="222"/>
      <c r="C85" s="106" t="s">
        <v>69</v>
      </c>
      <c r="D85" s="282" t="s">
        <v>116</v>
      </c>
      <c r="E85" s="283"/>
      <c r="F85" s="283"/>
      <c r="G85" s="284"/>
    </row>
    <row r="86" spans="2:7" ht="18.75" customHeight="1" x14ac:dyDescent="0.15">
      <c r="B86" s="222"/>
      <c r="C86" s="106" t="s">
        <v>69</v>
      </c>
      <c r="D86" s="282" t="s">
        <v>117</v>
      </c>
      <c r="E86" s="283"/>
      <c r="F86" s="283"/>
      <c r="G86" s="284"/>
    </row>
    <row r="87" spans="2:7" ht="18.75" customHeight="1" x14ac:dyDescent="0.15">
      <c r="B87" s="222"/>
      <c r="C87" s="101"/>
      <c r="D87" s="202"/>
      <c r="E87" s="203"/>
      <c r="F87" s="203"/>
      <c r="G87" s="204"/>
    </row>
    <row r="88" spans="2:7" ht="18.75" customHeight="1" x14ac:dyDescent="0.15">
      <c r="B88" s="222"/>
      <c r="C88" s="101"/>
      <c r="D88" s="202"/>
      <c r="E88" s="203"/>
      <c r="F88" s="203"/>
      <c r="G88" s="204"/>
    </row>
    <row r="89" spans="2:7" ht="18.75" customHeight="1" x14ac:dyDescent="0.15">
      <c r="B89" s="222"/>
      <c r="C89" s="101"/>
      <c r="D89" s="278"/>
      <c r="E89" s="279"/>
      <c r="F89" s="279"/>
      <c r="G89" s="280"/>
    </row>
    <row r="90" spans="2:7" ht="18.75" customHeight="1" x14ac:dyDescent="0.15">
      <c r="B90" s="222"/>
      <c r="C90" s="101"/>
      <c r="D90" s="202"/>
      <c r="E90" s="203"/>
      <c r="F90" s="203"/>
      <c r="G90" s="204"/>
    </row>
    <row r="91" spans="2:7" ht="18.75" customHeight="1" x14ac:dyDescent="0.15">
      <c r="B91" s="222"/>
      <c r="C91" s="101"/>
      <c r="D91" s="202"/>
      <c r="E91" s="203"/>
      <c r="F91" s="203"/>
      <c r="G91" s="204"/>
    </row>
    <row r="92" spans="2:7" ht="18.75" customHeight="1" x14ac:dyDescent="0.15">
      <c r="B92" s="222"/>
      <c r="C92" s="101"/>
      <c r="D92" s="202"/>
      <c r="E92" s="203"/>
      <c r="F92" s="203"/>
      <c r="G92" s="204"/>
    </row>
    <row r="93" spans="2:7" ht="18.75" customHeight="1" x14ac:dyDescent="0.15">
      <c r="B93" s="222"/>
      <c r="C93" s="101"/>
      <c r="D93" s="202"/>
      <c r="E93" s="203"/>
      <c r="F93" s="203"/>
      <c r="G93" s="204"/>
    </row>
    <row r="94" spans="2:7" ht="18.75" customHeight="1" x14ac:dyDescent="0.15">
      <c r="B94" s="222"/>
      <c r="C94" s="101"/>
      <c r="D94" s="202"/>
      <c r="E94" s="203"/>
      <c r="F94" s="203"/>
      <c r="G94" s="204"/>
    </row>
    <row r="95" spans="2:7" ht="18.75" customHeight="1" x14ac:dyDescent="0.15">
      <c r="B95" s="222"/>
      <c r="C95" s="101"/>
      <c r="D95" s="202"/>
      <c r="E95" s="203"/>
      <c r="F95" s="203"/>
      <c r="G95" s="204"/>
    </row>
    <row r="96" spans="2:7" ht="18.75" customHeight="1" x14ac:dyDescent="0.15">
      <c r="B96" s="222"/>
      <c r="C96" s="101"/>
      <c r="D96" s="202"/>
      <c r="E96" s="203"/>
      <c r="F96" s="203"/>
      <c r="G96" s="204"/>
    </row>
    <row r="97" spans="2:7" ht="18.75" customHeight="1" x14ac:dyDescent="0.15">
      <c r="B97" s="222"/>
      <c r="C97" s="101"/>
      <c r="D97" s="202"/>
      <c r="E97" s="203"/>
      <c r="F97" s="203"/>
      <c r="G97" s="204"/>
    </row>
    <row r="98" spans="2:7" ht="18.75" customHeight="1" x14ac:dyDescent="0.15">
      <c r="B98" s="222"/>
      <c r="C98" s="101"/>
      <c r="D98" s="202"/>
      <c r="E98" s="203"/>
      <c r="F98" s="203"/>
      <c r="G98" s="204"/>
    </row>
    <row r="99" spans="2:7" ht="18.75" customHeight="1" x14ac:dyDescent="0.15">
      <c r="B99" s="222"/>
      <c r="C99" s="101"/>
      <c r="D99" s="202"/>
      <c r="E99" s="203"/>
      <c r="F99" s="203"/>
      <c r="G99" s="204"/>
    </row>
    <row r="100" spans="2:7" ht="18.75" customHeight="1" x14ac:dyDescent="0.15">
      <c r="B100" s="222"/>
      <c r="C100" s="101"/>
      <c r="D100" s="202"/>
      <c r="E100" s="203"/>
      <c r="F100" s="203"/>
      <c r="G100" s="204"/>
    </row>
    <row r="101" spans="2:7" ht="18.75" customHeight="1" x14ac:dyDescent="0.15">
      <c r="B101" s="221" t="s">
        <v>118</v>
      </c>
      <c r="C101" s="215" t="s">
        <v>95</v>
      </c>
      <c r="D101" s="216"/>
      <c r="E101" s="216"/>
      <c r="F101" s="216"/>
      <c r="G101" s="217"/>
    </row>
    <row r="102" spans="2:7" ht="37.5" customHeight="1" x14ac:dyDescent="0.15">
      <c r="B102" s="222"/>
      <c r="C102" s="233" t="s">
        <v>179</v>
      </c>
      <c r="D102" s="234"/>
      <c r="E102" s="234"/>
      <c r="F102" s="234"/>
      <c r="G102" s="235"/>
    </row>
    <row r="103" spans="2:7" ht="37.5" customHeight="1" x14ac:dyDescent="0.15">
      <c r="B103" s="222"/>
      <c r="C103" s="236"/>
      <c r="D103" s="237"/>
      <c r="E103" s="237"/>
      <c r="F103" s="237"/>
      <c r="G103" s="238"/>
    </row>
    <row r="104" spans="2:7" ht="37.5" customHeight="1" x14ac:dyDescent="0.15">
      <c r="B104" s="222"/>
      <c r="C104" s="236"/>
      <c r="D104" s="237"/>
      <c r="E104" s="237"/>
      <c r="F104" s="237"/>
      <c r="G104" s="238"/>
    </row>
    <row r="105" spans="2:7" ht="37.5" customHeight="1" x14ac:dyDescent="0.15">
      <c r="B105" s="222"/>
      <c r="C105" s="236"/>
      <c r="D105" s="237"/>
      <c r="E105" s="237"/>
      <c r="F105" s="237"/>
      <c r="G105" s="238"/>
    </row>
    <row r="106" spans="2:7" ht="37.5" customHeight="1" x14ac:dyDescent="0.15">
      <c r="B106" s="222"/>
      <c r="C106" s="239"/>
      <c r="D106" s="240"/>
      <c r="E106" s="240"/>
      <c r="F106" s="240"/>
      <c r="G106" s="241"/>
    </row>
    <row r="107" spans="2:7" ht="18.75" customHeight="1" x14ac:dyDescent="0.15">
      <c r="B107" s="222"/>
      <c r="C107" s="110"/>
      <c r="D107" s="215" t="s">
        <v>99</v>
      </c>
      <c r="E107" s="216"/>
      <c r="F107" s="216"/>
      <c r="G107" s="217"/>
    </row>
    <row r="108" spans="2:7" ht="34.5" customHeight="1" x14ac:dyDescent="0.15">
      <c r="B108" s="222"/>
      <c r="C108" s="101" t="s">
        <v>70</v>
      </c>
      <c r="D108" s="245" t="s">
        <v>180</v>
      </c>
      <c r="E108" s="246"/>
      <c r="F108" s="246"/>
      <c r="G108" s="247"/>
    </row>
    <row r="109" spans="2:7" ht="18.75" customHeight="1" x14ac:dyDescent="0.15">
      <c r="B109" s="222"/>
      <c r="C109" s="101" t="s">
        <v>104</v>
      </c>
      <c r="D109" s="245" t="s">
        <v>119</v>
      </c>
      <c r="E109" s="246"/>
      <c r="F109" s="246"/>
      <c r="G109" s="247"/>
    </row>
    <row r="110" spans="2:7" ht="18.75" customHeight="1" x14ac:dyDescent="0.15">
      <c r="B110" s="222"/>
      <c r="C110" s="101" t="s">
        <v>106</v>
      </c>
      <c r="D110" s="199" t="s">
        <v>120</v>
      </c>
      <c r="E110" s="200"/>
      <c r="F110" s="200"/>
      <c r="G110" s="201"/>
    </row>
    <row r="111" spans="2:7" ht="18.75" customHeight="1" x14ac:dyDescent="0.15">
      <c r="B111" s="222"/>
      <c r="C111" s="101" t="s">
        <v>73</v>
      </c>
      <c r="D111" s="199" t="s">
        <v>121</v>
      </c>
      <c r="E111" s="200"/>
      <c r="F111" s="200"/>
      <c r="G111" s="201"/>
    </row>
    <row r="112" spans="2:7" ht="18.75" customHeight="1" x14ac:dyDescent="0.15">
      <c r="B112" s="222"/>
      <c r="C112" s="101"/>
      <c r="D112" s="202"/>
      <c r="E112" s="203"/>
      <c r="F112" s="203"/>
      <c r="G112" s="204"/>
    </row>
    <row r="113" spans="1:7" ht="18.75" customHeight="1" x14ac:dyDescent="0.15">
      <c r="B113" s="222"/>
      <c r="C113" s="101"/>
      <c r="D113" s="202"/>
      <c r="E113" s="203"/>
      <c r="F113" s="203"/>
      <c r="G113" s="204"/>
    </row>
    <row r="114" spans="1:7" ht="18.75" customHeight="1" x14ac:dyDescent="0.15">
      <c r="B114" s="222"/>
      <c r="C114" s="101"/>
      <c r="D114" s="202"/>
      <c r="E114" s="203"/>
      <c r="F114" s="203"/>
      <c r="G114" s="204"/>
    </row>
    <row r="115" spans="1:7" ht="18.75" customHeight="1" x14ac:dyDescent="0.15">
      <c r="B115" s="222"/>
      <c r="C115" s="101"/>
      <c r="D115" s="202"/>
      <c r="E115" s="203"/>
      <c r="F115" s="203"/>
      <c r="G115" s="204"/>
    </row>
    <row r="116" spans="1:7" ht="18.75" customHeight="1" x14ac:dyDescent="0.15">
      <c r="B116" s="222"/>
      <c r="C116" s="101"/>
      <c r="D116" s="202"/>
      <c r="E116" s="203"/>
      <c r="F116" s="203"/>
      <c r="G116" s="204"/>
    </row>
    <row r="117" spans="1:7" ht="18.75" customHeight="1" x14ac:dyDescent="0.15">
      <c r="B117" s="222"/>
      <c r="C117" s="101"/>
      <c r="D117" s="202"/>
      <c r="E117" s="203"/>
      <c r="F117" s="203"/>
      <c r="G117" s="204"/>
    </row>
    <row r="118" spans="1:7" ht="18.75" customHeight="1" x14ac:dyDescent="0.15">
      <c r="B118" s="222"/>
      <c r="C118" s="101"/>
      <c r="D118" s="202"/>
      <c r="E118" s="203"/>
      <c r="F118" s="203"/>
      <c r="G118" s="204"/>
    </row>
    <row r="119" spans="1:7" ht="18.75" customHeight="1" x14ac:dyDescent="0.15">
      <c r="B119" s="222"/>
      <c r="C119" s="101"/>
      <c r="D119" s="202"/>
      <c r="E119" s="203"/>
      <c r="F119" s="203"/>
      <c r="G119" s="204"/>
    </row>
    <row r="120" spans="1:7" ht="18.75" customHeight="1" x14ac:dyDescent="0.15">
      <c r="B120" s="222"/>
      <c r="C120" s="101"/>
      <c r="D120" s="202"/>
      <c r="E120" s="203"/>
      <c r="F120" s="203"/>
      <c r="G120" s="204"/>
    </row>
    <row r="121" spans="1:7" ht="18.75" customHeight="1" x14ac:dyDescent="0.15">
      <c r="B121" s="222"/>
      <c r="C121" s="101"/>
      <c r="D121" s="202"/>
      <c r="E121" s="203"/>
      <c r="F121" s="203"/>
      <c r="G121" s="204"/>
    </row>
    <row r="122" spans="1:7" ht="18.75" customHeight="1" x14ac:dyDescent="0.15">
      <c r="B122" s="222"/>
      <c r="C122" s="101"/>
      <c r="D122" s="202"/>
      <c r="E122" s="203"/>
      <c r="F122" s="203"/>
      <c r="G122" s="204"/>
    </row>
    <row r="123" spans="1:7" ht="18.75" customHeight="1" x14ac:dyDescent="0.15">
      <c r="B123" s="222"/>
      <c r="C123" s="101"/>
      <c r="D123" s="202"/>
      <c r="E123" s="203"/>
      <c r="F123" s="203"/>
      <c r="G123" s="204"/>
    </row>
    <row r="124" spans="1:7" ht="18.75" customHeight="1" x14ac:dyDescent="0.15">
      <c r="B124" s="222"/>
      <c r="C124" s="101"/>
      <c r="D124" s="202"/>
      <c r="E124" s="203"/>
      <c r="F124" s="203"/>
      <c r="G124" s="204"/>
    </row>
    <row r="125" spans="1:7" ht="18.75" customHeight="1" x14ac:dyDescent="0.15">
      <c r="B125" s="222"/>
      <c r="C125" s="101"/>
      <c r="D125" s="202"/>
      <c r="E125" s="203"/>
      <c r="F125" s="203"/>
      <c r="G125" s="204"/>
    </row>
    <row r="126" spans="1:7" ht="18.75" customHeight="1" x14ac:dyDescent="0.15">
      <c r="A126" s="1" t="s">
        <v>4</v>
      </c>
      <c r="B126" s="1" t="s">
        <v>122</v>
      </c>
    </row>
    <row r="127" spans="1:7" ht="22.5" customHeight="1" x14ac:dyDescent="0.15">
      <c r="B127" s="101" t="s">
        <v>94</v>
      </c>
      <c r="C127" s="215" t="s">
        <v>68</v>
      </c>
      <c r="D127" s="216"/>
      <c r="E127" s="216"/>
      <c r="F127" s="216"/>
      <c r="G127" s="217"/>
    </row>
    <row r="128" spans="1:7" ht="45" customHeight="1" x14ac:dyDescent="0.15">
      <c r="B128" s="35" t="s">
        <v>123</v>
      </c>
      <c r="C128" s="277" t="s">
        <v>181</v>
      </c>
      <c r="D128" s="275"/>
      <c r="E128" s="275"/>
      <c r="F128" s="275"/>
      <c r="G128" s="276"/>
    </row>
    <row r="129" spans="1:7" ht="45" customHeight="1" x14ac:dyDescent="0.15">
      <c r="B129" s="35" t="s">
        <v>124</v>
      </c>
      <c r="C129" s="274"/>
      <c r="D129" s="275"/>
      <c r="E129" s="275"/>
      <c r="F129" s="275"/>
      <c r="G129" s="276"/>
    </row>
    <row r="130" spans="1:7" ht="45" customHeight="1" x14ac:dyDescent="0.15">
      <c r="B130" s="35" t="s">
        <v>125</v>
      </c>
      <c r="C130" s="274"/>
      <c r="D130" s="275"/>
      <c r="E130" s="275"/>
      <c r="F130" s="275"/>
      <c r="G130" s="276"/>
    </row>
    <row r="131" spans="1:7" ht="45" customHeight="1" x14ac:dyDescent="0.15">
      <c r="B131" s="35" t="s">
        <v>126</v>
      </c>
      <c r="C131" s="274"/>
      <c r="D131" s="275"/>
      <c r="E131" s="275"/>
      <c r="F131" s="275"/>
      <c r="G131" s="276"/>
    </row>
    <row r="132" spans="1:7" ht="45" customHeight="1" x14ac:dyDescent="0.15">
      <c r="B132" s="35" t="s">
        <v>127</v>
      </c>
      <c r="C132" s="274"/>
      <c r="D132" s="275"/>
      <c r="E132" s="275"/>
      <c r="F132" s="275"/>
      <c r="G132" s="276"/>
    </row>
    <row r="133" spans="1:7" ht="45" customHeight="1" x14ac:dyDescent="0.15">
      <c r="B133" s="35" t="s">
        <v>128</v>
      </c>
      <c r="C133" s="274" t="s">
        <v>129</v>
      </c>
      <c r="D133" s="275"/>
      <c r="E133" s="275"/>
      <c r="F133" s="275"/>
      <c r="G133" s="276"/>
    </row>
    <row r="134" spans="1:7" ht="45" customHeight="1" x14ac:dyDescent="0.15">
      <c r="B134" s="35" t="s">
        <v>130</v>
      </c>
      <c r="C134" s="274"/>
      <c r="D134" s="275"/>
      <c r="E134" s="275"/>
      <c r="F134" s="275"/>
      <c r="G134" s="276"/>
    </row>
    <row r="135" spans="1:7" ht="45" customHeight="1" x14ac:dyDescent="0.15">
      <c r="B135" s="35" t="s">
        <v>131</v>
      </c>
      <c r="C135" s="274"/>
      <c r="D135" s="275"/>
      <c r="E135" s="275"/>
      <c r="F135" s="275"/>
      <c r="G135" s="276"/>
    </row>
    <row r="136" spans="1:7" ht="45" customHeight="1" x14ac:dyDescent="0.15">
      <c r="B136" s="35" t="s">
        <v>132</v>
      </c>
      <c r="C136" s="274"/>
      <c r="D136" s="275"/>
      <c r="E136" s="275"/>
      <c r="F136" s="275"/>
      <c r="G136" s="276"/>
    </row>
    <row r="137" spans="1:7" ht="7.5" customHeight="1" x14ac:dyDescent="0.15"/>
    <row r="138" spans="1:7" ht="18.75" customHeight="1" x14ac:dyDescent="0.15">
      <c r="A138" s="1" t="s">
        <v>7</v>
      </c>
      <c r="B138" s="1" t="s">
        <v>133</v>
      </c>
      <c r="E138" s="271" t="s">
        <v>199</v>
      </c>
      <c r="F138" s="272"/>
      <c r="G138" s="273"/>
    </row>
    <row r="139" spans="1:7" ht="7.5" customHeight="1" x14ac:dyDescent="0.15"/>
    <row r="140" spans="1:7" ht="18.75" customHeight="1" x14ac:dyDescent="0.15">
      <c r="A140" s="1" t="s">
        <v>10</v>
      </c>
      <c r="B140" s="1" t="s">
        <v>134</v>
      </c>
    </row>
    <row r="141" spans="1:7" ht="18.75" customHeight="1" x14ac:dyDescent="0.15">
      <c r="B141" s="262" t="s">
        <v>135</v>
      </c>
      <c r="C141" s="263"/>
      <c r="D141" s="263"/>
      <c r="E141" s="263"/>
      <c r="F141" s="263"/>
      <c r="G141" s="264"/>
    </row>
    <row r="142" spans="1:7" ht="18.75" customHeight="1" x14ac:dyDescent="0.15">
      <c r="B142" s="265"/>
      <c r="C142" s="266"/>
      <c r="D142" s="266"/>
      <c r="E142" s="266"/>
      <c r="F142" s="266"/>
      <c r="G142" s="267"/>
    </row>
    <row r="143" spans="1:7" ht="18.75" customHeight="1" x14ac:dyDescent="0.15">
      <c r="B143" s="265"/>
      <c r="C143" s="266"/>
      <c r="D143" s="266"/>
      <c r="E143" s="266"/>
      <c r="F143" s="266"/>
      <c r="G143" s="267"/>
    </row>
    <row r="144" spans="1:7" ht="18.75" customHeight="1" x14ac:dyDescent="0.15">
      <c r="B144" s="268"/>
      <c r="C144" s="269"/>
      <c r="D144" s="269"/>
      <c r="E144" s="269"/>
      <c r="F144" s="269"/>
      <c r="G144" s="270"/>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83:G83"/>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99:G99"/>
    <mergeCell ref="D95:G95"/>
    <mergeCell ref="D96:G96"/>
    <mergeCell ref="D91:G91"/>
    <mergeCell ref="D92:G92"/>
    <mergeCell ref="D93:G93"/>
    <mergeCell ref="D94:G94"/>
    <mergeCell ref="D89:G89"/>
    <mergeCell ref="D84:G84"/>
    <mergeCell ref="D85:G85"/>
    <mergeCell ref="D86:G86"/>
    <mergeCell ref="D87:G87"/>
    <mergeCell ref="D88:G88"/>
    <mergeCell ref="D90:G90"/>
    <mergeCell ref="D98:G98"/>
    <mergeCell ref="D97:G97"/>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60:G60"/>
    <mergeCell ref="D61:G61"/>
    <mergeCell ref="D62:G62"/>
    <mergeCell ref="D63:G63"/>
    <mergeCell ref="D64:G64"/>
    <mergeCell ref="D65:G65"/>
    <mergeCell ref="D73:G73"/>
    <mergeCell ref="D14:G14"/>
    <mergeCell ref="D10:G10"/>
    <mergeCell ref="D11:G11"/>
    <mergeCell ref="D12:G12"/>
    <mergeCell ref="D13:G13"/>
    <mergeCell ref="D25:G25"/>
    <mergeCell ref="D24:G24"/>
    <mergeCell ref="D17:G17"/>
    <mergeCell ref="D18:G18"/>
    <mergeCell ref="D15:G15"/>
    <mergeCell ref="D16:G16"/>
    <mergeCell ref="D22:G22"/>
    <mergeCell ref="D23:G23"/>
    <mergeCell ref="D19:G19"/>
    <mergeCell ref="D20:G20"/>
    <mergeCell ref="D21:G21"/>
    <mergeCell ref="D72:G72"/>
  </mergeCells>
  <phoneticPr fontId="1"/>
  <hyperlinks>
    <hyperlink ref="E138" r:id="rId1" display="https://syllabus.kosen-k.go.jp/Pages/PublicDepartments?school_id=04&amp;lang=ja" xr:uid="{00000000-0004-0000-0300-000000000000}"/>
    <hyperlink ref="E138:G138" r:id="rId2" display="https://www.asahikawa-nct.ac.jp/COMPASS/literacy_prg2020_2.html" xr:uid="{4A2E54B6-C725-469C-BA2E-64AADE1848AA}"/>
  </hyperlinks>
  <printOptions horizontalCentered="1"/>
  <pageMargins left="0.23622047244094491" right="0.23622047244094491" top="0.74803149606299213" bottom="0.74803149606299213" header="0.31496062992125984" footer="0.31496062992125984"/>
  <pageSetup paperSize="9" scale="92" fitToWidth="0" orientation="landscape" r:id="rId3"/>
  <rowBreaks count="4" manualBreakCount="4">
    <brk id="25" max="16383" man="1"/>
    <brk id="50" max="6" man="1"/>
    <brk id="75" max="16383" man="1"/>
    <brk id="10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8"/>
  <sheetViews>
    <sheetView showZeros="0" view="pageBreakPreview" zoomScale="60" zoomScaleNormal="100" workbookViewId="0">
      <selection activeCell="B4" sqref="B4:E4"/>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12" ht="18.75" customHeight="1" x14ac:dyDescent="0.15">
      <c r="E1" s="97" t="s">
        <v>136</v>
      </c>
    </row>
    <row r="2" spans="1:12" ht="18.75" customHeight="1" x14ac:dyDescent="0.15">
      <c r="B2" s="97" t="s">
        <v>137</v>
      </c>
      <c r="C2" s="97" t="s">
        <v>138</v>
      </c>
      <c r="D2" s="314" t="s">
        <v>91</v>
      </c>
      <c r="E2" s="314"/>
    </row>
    <row r="3" spans="1:12" ht="7.5" customHeight="1" x14ac:dyDescent="0.15">
      <c r="B3" s="97"/>
      <c r="C3" s="97"/>
      <c r="D3" s="100"/>
      <c r="E3" s="100"/>
    </row>
    <row r="4" spans="1:12" ht="18.75" customHeight="1" x14ac:dyDescent="0.15">
      <c r="B4" s="197" t="s">
        <v>139</v>
      </c>
      <c r="C4" s="197"/>
      <c r="D4" s="197"/>
      <c r="E4" s="197"/>
    </row>
    <row r="5" spans="1:12" ht="7.5" customHeight="1" x14ac:dyDescent="0.15">
      <c r="B5" s="98"/>
      <c r="C5" s="98"/>
      <c r="D5" s="98"/>
      <c r="E5" s="98"/>
    </row>
    <row r="6" spans="1:12" ht="18.75" customHeight="1" x14ac:dyDescent="0.15">
      <c r="A6" s="14" t="s">
        <v>2</v>
      </c>
      <c r="B6" s="5" t="s">
        <v>140</v>
      </c>
      <c r="C6" s="98"/>
      <c r="D6" s="98"/>
      <c r="E6" s="98"/>
    </row>
    <row r="7" spans="1:12" ht="18.75" customHeight="1" x14ac:dyDescent="0.15">
      <c r="A7" s="14"/>
      <c r="B7" s="149" t="s">
        <v>193</v>
      </c>
      <c r="C7" s="150"/>
      <c r="D7" s="150"/>
      <c r="E7" s="325"/>
    </row>
    <row r="8" spans="1:12" ht="7.5" customHeight="1" x14ac:dyDescent="0.15">
      <c r="B8" s="98"/>
      <c r="C8" s="98"/>
      <c r="D8" s="98"/>
      <c r="E8" s="98"/>
    </row>
    <row r="9" spans="1:12" s="5" customFormat="1" ht="18.75" customHeight="1" x14ac:dyDescent="0.15">
      <c r="A9" s="14" t="s">
        <v>4</v>
      </c>
      <c r="B9" s="14" t="s">
        <v>141</v>
      </c>
      <c r="C9" s="14"/>
      <c r="D9" s="14"/>
      <c r="E9" s="14"/>
      <c r="F9" s="10" t="s">
        <v>142</v>
      </c>
    </row>
    <row r="10" spans="1:12" s="10" customFormat="1" ht="21.75" customHeight="1" x14ac:dyDescent="0.15">
      <c r="A10" s="9"/>
      <c r="B10" s="315" t="s">
        <v>143</v>
      </c>
      <c r="C10" s="316"/>
      <c r="D10" s="316"/>
      <c r="E10" s="317"/>
      <c r="G10" s="113"/>
      <c r="H10" s="113"/>
      <c r="I10" s="113"/>
      <c r="J10" s="113"/>
      <c r="K10" s="113"/>
      <c r="L10" s="113"/>
    </row>
    <row r="11" spans="1:12" s="10" customFormat="1" ht="21.75" customHeight="1" x14ac:dyDescent="0.15">
      <c r="A11" s="9"/>
      <c r="B11" s="318"/>
      <c r="C11" s="319"/>
      <c r="D11" s="319"/>
      <c r="E11" s="320"/>
      <c r="G11" s="113"/>
      <c r="H11" s="113"/>
      <c r="I11" s="113"/>
      <c r="J11" s="113"/>
      <c r="K11" s="113"/>
      <c r="L11" s="113"/>
    </row>
    <row r="12" spans="1:12" s="10" customFormat="1" ht="21.75" customHeight="1" x14ac:dyDescent="0.15">
      <c r="A12" s="9"/>
      <c r="B12" s="318"/>
      <c r="C12" s="319"/>
      <c r="D12" s="319"/>
      <c r="E12" s="320"/>
      <c r="G12" s="113"/>
      <c r="H12" s="113"/>
      <c r="I12" s="113"/>
      <c r="J12" s="113"/>
      <c r="K12" s="113"/>
      <c r="L12" s="113"/>
    </row>
    <row r="13" spans="1:12" s="10" customFormat="1" ht="27" customHeight="1" x14ac:dyDescent="0.15">
      <c r="A13" s="9"/>
      <c r="B13" s="318"/>
      <c r="C13" s="319"/>
      <c r="D13" s="319"/>
      <c r="E13" s="320"/>
      <c r="G13" s="113"/>
      <c r="H13" s="113"/>
      <c r="I13" s="113"/>
      <c r="J13" s="113"/>
      <c r="K13" s="113"/>
      <c r="L13" s="113"/>
    </row>
    <row r="14" spans="1:12" s="10" customFormat="1" ht="21.75" customHeight="1" x14ac:dyDescent="0.15">
      <c r="A14" s="9"/>
      <c r="B14" s="321"/>
      <c r="C14" s="322"/>
      <c r="D14" s="322"/>
      <c r="E14" s="323"/>
      <c r="G14" s="113"/>
      <c r="H14" s="113"/>
      <c r="I14" s="113"/>
      <c r="J14" s="113"/>
      <c r="K14" s="113"/>
      <c r="L14" s="113"/>
    </row>
    <row r="15" spans="1:12" s="10" customFormat="1" ht="7.5" customHeight="1" x14ac:dyDescent="0.15">
      <c r="A15" s="9"/>
      <c r="B15" s="9"/>
      <c r="C15" s="9"/>
      <c r="D15" s="9"/>
      <c r="E15" s="9"/>
    </row>
    <row r="16" spans="1:12" s="5" customFormat="1" ht="18.75" customHeight="1" x14ac:dyDescent="0.15">
      <c r="A16" s="11" t="s">
        <v>7</v>
      </c>
      <c r="B16" s="11" t="s">
        <v>144</v>
      </c>
      <c r="C16" s="11"/>
      <c r="D16" s="11"/>
      <c r="E16" s="11"/>
    </row>
    <row r="17" spans="1:12" s="10" customFormat="1" ht="18.75" customHeight="1" x14ac:dyDescent="0.15">
      <c r="A17" s="9"/>
      <c r="B17" s="324" t="s">
        <v>197</v>
      </c>
      <c r="C17" s="287"/>
      <c r="D17" s="287"/>
      <c r="E17" s="288"/>
    </row>
    <row r="18" spans="1:12" s="10" customFormat="1" ht="18.75" customHeight="1" x14ac:dyDescent="0.15">
      <c r="A18" s="9"/>
      <c r="B18" s="289"/>
      <c r="C18" s="290"/>
      <c r="D18" s="290"/>
      <c r="E18" s="291"/>
    </row>
    <row r="19" spans="1:12" s="10" customFormat="1" ht="18.75" customHeight="1" x14ac:dyDescent="0.15">
      <c r="A19" s="9"/>
      <c r="B19" s="289"/>
      <c r="C19" s="290"/>
      <c r="D19" s="290"/>
      <c r="E19" s="291"/>
    </row>
    <row r="20" spans="1:12" s="10" customFormat="1" ht="18.75" customHeight="1" x14ac:dyDescent="0.15">
      <c r="A20" s="9"/>
      <c r="B20" s="289"/>
      <c r="C20" s="290"/>
      <c r="D20" s="290"/>
      <c r="E20" s="291"/>
    </row>
    <row r="21" spans="1:12" s="10" customFormat="1" ht="18.75" customHeight="1" x14ac:dyDescent="0.15">
      <c r="A21" s="9"/>
      <c r="B21" s="289"/>
      <c r="C21" s="290"/>
      <c r="D21" s="290"/>
      <c r="E21" s="291"/>
    </row>
    <row r="22" spans="1:12" s="10" customFormat="1" ht="18.75" customHeight="1" x14ac:dyDescent="0.15">
      <c r="A22" s="9"/>
      <c r="B22" s="289"/>
      <c r="C22" s="290"/>
      <c r="D22" s="290"/>
      <c r="E22" s="291"/>
    </row>
    <row r="23" spans="1:12" s="10" customFormat="1" ht="18.75" customHeight="1" x14ac:dyDescent="0.15">
      <c r="A23" s="9"/>
      <c r="B23" s="289"/>
      <c r="C23" s="290"/>
      <c r="D23" s="290"/>
      <c r="E23" s="291"/>
    </row>
    <row r="24" spans="1:12" s="10" customFormat="1" ht="18.75" customHeight="1" x14ac:dyDescent="0.15">
      <c r="A24" s="9"/>
      <c r="B24" s="289"/>
      <c r="C24" s="290"/>
      <c r="D24" s="290"/>
      <c r="E24" s="291"/>
    </row>
    <row r="25" spans="1:12" s="10" customFormat="1" ht="18.75" customHeight="1" x14ac:dyDescent="0.15">
      <c r="A25" s="9"/>
      <c r="B25" s="289"/>
      <c r="C25" s="290"/>
      <c r="D25" s="290"/>
      <c r="E25" s="291"/>
    </row>
    <row r="26" spans="1:12" s="10" customFormat="1" ht="18.75" customHeight="1" x14ac:dyDescent="0.15">
      <c r="A26" s="9"/>
      <c r="B26" s="289"/>
      <c r="C26" s="290"/>
      <c r="D26" s="290"/>
      <c r="E26" s="291"/>
    </row>
    <row r="27" spans="1:12" s="10" customFormat="1" ht="18.75" customHeight="1" x14ac:dyDescent="0.15">
      <c r="A27" s="9"/>
      <c r="B27" s="289"/>
      <c r="C27" s="290"/>
      <c r="D27" s="290"/>
      <c r="E27" s="291"/>
    </row>
    <row r="28" spans="1:12" s="10" customFormat="1" ht="18.75" customHeight="1" x14ac:dyDescent="0.15">
      <c r="A28" s="9"/>
      <c r="B28" s="292"/>
      <c r="C28" s="293"/>
      <c r="D28" s="293"/>
      <c r="E28" s="294"/>
    </row>
    <row r="29" spans="1:12" ht="7.5" customHeight="1" x14ac:dyDescent="0.15">
      <c r="A29" s="8"/>
      <c r="B29" s="8"/>
      <c r="C29" s="8"/>
      <c r="D29" s="8"/>
      <c r="E29" s="8"/>
    </row>
    <row r="30" spans="1:12" s="5" customFormat="1" ht="18.75" customHeight="1" x14ac:dyDescent="0.15">
      <c r="A30" s="14" t="s">
        <v>10</v>
      </c>
      <c r="B30" s="14" t="s">
        <v>145</v>
      </c>
      <c r="C30" s="14"/>
      <c r="D30" s="14"/>
      <c r="E30" s="14"/>
      <c r="F30" s="5" t="s">
        <v>146</v>
      </c>
    </row>
    <row r="31" spans="1:12" s="5" customFormat="1" ht="18.75" customHeight="1" x14ac:dyDescent="0.15">
      <c r="A31" s="14"/>
      <c r="B31" s="286" t="s">
        <v>172</v>
      </c>
      <c r="C31" s="287"/>
      <c r="D31" s="287"/>
      <c r="E31" s="288"/>
      <c r="G31" s="111"/>
      <c r="H31" s="112"/>
      <c r="I31" s="112"/>
      <c r="J31" s="112"/>
      <c r="K31" s="112"/>
      <c r="L31" s="112"/>
    </row>
    <row r="32" spans="1:12" s="5" customFormat="1" ht="18.75" customHeight="1" x14ac:dyDescent="0.15">
      <c r="A32" s="14"/>
      <c r="B32" s="289"/>
      <c r="C32" s="290"/>
      <c r="D32" s="290"/>
      <c r="E32" s="291"/>
      <c r="G32" s="112"/>
      <c r="H32" s="112"/>
      <c r="I32" s="112"/>
      <c r="J32" s="112"/>
      <c r="K32" s="112"/>
      <c r="L32" s="112"/>
    </row>
    <row r="33" spans="1:16" s="5" customFormat="1" ht="18.75" customHeight="1" x14ac:dyDescent="0.15">
      <c r="A33" s="14"/>
      <c r="B33" s="289"/>
      <c r="C33" s="290"/>
      <c r="D33" s="290"/>
      <c r="E33" s="291"/>
      <c r="G33" s="112"/>
      <c r="H33" s="112"/>
      <c r="I33" s="112"/>
      <c r="J33" s="112"/>
      <c r="K33" s="112"/>
      <c r="L33" s="112"/>
    </row>
    <row r="34" spans="1:16" s="5" customFormat="1" ht="18.75" customHeight="1" x14ac:dyDescent="0.15">
      <c r="A34" s="14"/>
      <c r="B34" s="289"/>
      <c r="C34" s="290"/>
      <c r="D34" s="290"/>
      <c r="E34" s="291"/>
      <c r="G34" s="112"/>
      <c r="H34" s="112"/>
      <c r="I34" s="112"/>
      <c r="J34" s="112"/>
      <c r="K34" s="112"/>
      <c r="L34" s="112"/>
    </row>
    <row r="35" spans="1:16" s="5" customFormat="1" ht="18.75" customHeight="1" x14ac:dyDescent="0.15">
      <c r="A35" s="14"/>
      <c r="B35" s="289"/>
      <c r="C35" s="290"/>
      <c r="D35" s="290"/>
      <c r="E35" s="291"/>
      <c r="G35" s="112"/>
      <c r="H35" s="112"/>
      <c r="I35" s="112"/>
      <c r="J35" s="112"/>
      <c r="K35" s="112"/>
      <c r="L35" s="112"/>
    </row>
    <row r="36" spans="1:16" s="5" customFormat="1" ht="18.75" customHeight="1" x14ac:dyDescent="0.15">
      <c r="A36" s="14"/>
      <c r="B36" s="289"/>
      <c r="C36" s="290"/>
      <c r="D36" s="290"/>
      <c r="E36" s="291"/>
      <c r="G36" s="112"/>
      <c r="H36" s="112"/>
      <c r="I36" s="112"/>
      <c r="J36" s="112"/>
      <c r="K36" s="112"/>
      <c r="L36" s="112"/>
    </row>
    <row r="37" spans="1:16" s="5" customFormat="1" ht="18.75" customHeight="1" x14ac:dyDescent="0.15">
      <c r="A37" s="14"/>
      <c r="B37" s="289"/>
      <c r="C37" s="290"/>
      <c r="D37" s="290"/>
      <c r="E37" s="291"/>
      <c r="G37" s="112"/>
      <c r="H37" s="112"/>
      <c r="I37" s="112"/>
      <c r="J37" s="112"/>
      <c r="K37" s="112"/>
      <c r="L37" s="112"/>
    </row>
    <row r="38" spans="1:16" s="5" customFormat="1" ht="18.75" customHeight="1" x14ac:dyDescent="0.15">
      <c r="A38" s="14"/>
      <c r="B38" s="289"/>
      <c r="C38" s="290"/>
      <c r="D38" s="290"/>
      <c r="E38" s="291"/>
      <c r="G38" s="112"/>
      <c r="H38" s="112"/>
      <c r="I38" s="112"/>
      <c r="J38" s="112"/>
      <c r="K38" s="112"/>
      <c r="L38" s="112"/>
      <c r="M38" s="31"/>
      <c r="N38" s="31"/>
    </row>
    <row r="39" spans="1:16" s="5" customFormat="1" ht="18.75" customHeight="1" x14ac:dyDescent="0.15">
      <c r="A39" s="14"/>
      <c r="B39" s="289"/>
      <c r="C39" s="290"/>
      <c r="D39" s="290"/>
      <c r="E39" s="291"/>
      <c r="G39" s="112"/>
      <c r="H39" s="112"/>
      <c r="I39" s="112"/>
      <c r="J39" s="112"/>
      <c r="K39" s="112"/>
      <c r="L39" s="112"/>
      <c r="M39" s="31"/>
      <c r="N39" s="31"/>
    </row>
    <row r="40" spans="1:16" s="5" customFormat="1" ht="18.75" customHeight="1" x14ac:dyDescent="0.15">
      <c r="A40" s="14"/>
      <c r="B40" s="289"/>
      <c r="C40" s="290"/>
      <c r="D40" s="290"/>
      <c r="E40" s="291"/>
      <c r="G40" s="112"/>
      <c r="H40" s="112"/>
      <c r="I40" s="112"/>
      <c r="J40" s="112"/>
      <c r="K40" s="112"/>
      <c r="L40" s="112"/>
      <c r="M40" s="31"/>
      <c r="N40" s="31"/>
    </row>
    <row r="41" spans="1:16" s="5" customFormat="1" ht="18.75" customHeight="1" x14ac:dyDescent="0.15">
      <c r="A41" s="14"/>
      <c r="B41" s="289"/>
      <c r="C41" s="290"/>
      <c r="D41" s="290"/>
      <c r="E41" s="291"/>
      <c r="G41" s="112"/>
      <c r="H41" s="112"/>
      <c r="I41" s="112"/>
      <c r="J41" s="112"/>
      <c r="K41" s="112"/>
      <c r="L41" s="112"/>
      <c r="M41" s="31"/>
      <c r="N41" s="31"/>
    </row>
    <row r="42" spans="1:16" s="5" customFormat="1" ht="18.75" customHeight="1" x14ac:dyDescent="0.15">
      <c r="A42" s="14"/>
      <c r="B42" s="289"/>
      <c r="C42" s="290"/>
      <c r="D42" s="290"/>
      <c r="E42" s="291"/>
      <c r="G42" s="112"/>
      <c r="H42" s="112"/>
      <c r="I42" s="112"/>
      <c r="J42" s="112"/>
      <c r="K42" s="112"/>
      <c r="L42" s="112"/>
      <c r="M42" s="31"/>
      <c r="N42" s="31"/>
    </row>
    <row r="43" spans="1:16" s="5" customFormat="1" ht="18.75" customHeight="1" x14ac:dyDescent="0.15">
      <c r="A43" s="14"/>
      <c r="B43" s="289"/>
      <c r="C43" s="290"/>
      <c r="D43" s="290"/>
      <c r="E43" s="291"/>
      <c r="G43" s="112"/>
      <c r="H43" s="112"/>
      <c r="I43" s="112"/>
      <c r="J43" s="112"/>
      <c r="K43" s="112"/>
      <c r="L43" s="112"/>
      <c r="M43" s="31"/>
      <c r="N43" s="31"/>
    </row>
    <row r="44" spans="1:16" s="5" customFormat="1" ht="18.75" customHeight="1" x14ac:dyDescent="0.15">
      <c r="A44" s="14"/>
      <c r="B44" s="289"/>
      <c r="C44" s="290"/>
      <c r="D44" s="290"/>
      <c r="E44" s="291"/>
      <c r="G44" s="112"/>
      <c r="H44" s="112"/>
      <c r="I44" s="112"/>
      <c r="J44" s="112"/>
      <c r="K44" s="112"/>
      <c r="L44" s="112"/>
      <c r="M44" s="31"/>
      <c r="N44" s="31"/>
    </row>
    <row r="45" spans="1:16" ht="18.75" customHeight="1" x14ac:dyDescent="0.15">
      <c r="A45" s="8"/>
      <c r="B45" s="289"/>
      <c r="C45" s="290"/>
      <c r="D45" s="290"/>
      <c r="E45" s="291"/>
      <c r="G45" s="112"/>
      <c r="H45" s="112"/>
      <c r="I45" s="112"/>
      <c r="J45" s="112"/>
      <c r="K45" s="112"/>
      <c r="L45" s="112"/>
      <c r="M45" s="31"/>
      <c r="N45" s="31"/>
    </row>
    <row r="46" spans="1:16" ht="18.75" customHeight="1" x14ac:dyDescent="0.15">
      <c r="A46" s="8"/>
      <c r="B46" s="292"/>
      <c r="C46" s="293"/>
      <c r="D46" s="293"/>
      <c r="E46" s="294"/>
      <c r="G46" s="112"/>
      <c r="H46" s="112"/>
      <c r="I46" s="112"/>
      <c r="J46" s="112"/>
      <c r="K46" s="112"/>
      <c r="L46" s="112"/>
      <c r="M46" s="31">
        <f>LEN(G31)</f>
        <v>0</v>
      </c>
      <c r="N46" s="31"/>
      <c r="P46" s="1">
        <f>LEN(G38)</f>
        <v>0</v>
      </c>
    </row>
    <row r="47" spans="1:16" s="5" customFormat="1" ht="18.75" customHeight="1" x14ac:dyDescent="0.15">
      <c r="A47" s="7" t="s">
        <v>13</v>
      </c>
      <c r="B47" s="14" t="s">
        <v>147</v>
      </c>
      <c r="C47" s="7"/>
      <c r="D47" s="7"/>
      <c r="E47" s="7"/>
      <c r="F47" s="5" t="s">
        <v>142</v>
      </c>
    </row>
    <row r="48" spans="1:16" ht="18.75" customHeight="1" x14ac:dyDescent="0.15">
      <c r="A48" s="8"/>
      <c r="B48" s="305" t="s">
        <v>173</v>
      </c>
      <c r="C48" s="306"/>
      <c r="D48" s="306"/>
      <c r="E48" s="307"/>
      <c r="G48" s="114"/>
      <c r="H48" s="115"/>
      <c r="I48" s="115"/>
      <c r="J48" s="115"/>
      <c r="K48" s="115"/>
      <c r="L48" s="115"/>
    </row>
    <row r="49" spans="1:12" ht="18.75" customHeight="1" x14ac:dyDescent="0.15">
      <c r="A49" s="8"/>
      <c r="B49" s="308"/>
      <c r="C49" s="309"/>
      <c r="D49" s="309"/>
      <c r="E49" s="310"/>
      <c r="G49" s="115"/>
      <c r="H49" s="115"/>
      <c r="I49" s="115"/>
      <c r="J49" s="115"/>
      <c r="K49" s="115"/>
      <c r="L49" s="115"/>
    </row>
    <row r="50" spans="1:12" ht="18.75" customHeight="1" x14ac:dyDescent="0.15">
      <c r="A50" s="8"/>
      <c r="B50" s="308"/>
      <c r="C50" s="309"/>
      <c r="D50" s="309"/>
      <c r="E50" s="310"/>
      <c r="G50" s="115"/>
      <c r="H50" s="115"/>
      <c r="I50" s="115"/>
      <c r="J50" s="115"/>
      <c r="K50" s="115"/>
      <c r="L50" s="115"/>
    </row>
    <row r="51" spans="1:12" ht="18.75" customHeight="1" x14ac:dyDescent="0.15">
      <c r="A51" s="8"/>
      <c r="B51" s="308"/>
      <c r="C51" s="309"/>
      <c r="D51" s="309"/>
      <c r="E51" s="310"/>
      <c r="G51" s="115"/>
      <c r="H51" s="115"/>
      <c r="I51" s="115"/>
      <c r="J51" s="115"/>
      <c r="K51" s="115"/>
      <c r="L51" s="115"/>
    </row>
    <row r="52" spans="1:12" ht="18.75" customHeight="1" x14ac:dyDescent="0.15">
      <c r="A52" s="8"/>
      <c r="B52" s="308"/>
      <c r="C52" s="309"/>
      <c r="D52" s="309"/>
      <c r="E52" s="310"/>
      <c r="G52" s="115"/>
      <c r="H52" s="115"/>
      <c r="I52" s="115"/>
      <c r="J52" s="115"/>
      <c r="K52" s="115"/>
      <c r="L52" s="115"/>
    </row>
    <row r="53" spans="1:12" ht="18.75" customHeight="1" x14ac:dyDescent="0.15">
      <c r="A53" s="8"/>
      <c r="B53" s="308"/>
      <c r="C53" s="309"/>
      <c r="D53" s="309"/>
      <c r="E53" s="310"/>
      <c r="G53" s="115"/>
      <c r="H53" s="115"/>
      <c r="I53" s="115"/>
      <c r="J53" s="115"/>
      <c r="K53" s="115"/>
      <c r="L53" s="115"/>
    </row>
    <row r="54" spans="1:12" ht="18.75" customHeight="1" x14ac:dyDescent="0.15">
      <c r="A54" s="8"/>
      <c r="B54" s="308"/>
      <c r="C54" s="309"/>
      <c r="D54" s="309"/>
      <c r="E54" s="310"/>
      <c r="G54" s="115"/>
      <c r="H54" s="115"/>
      <c r="I54" s="115"/>
      <c r="J54" s="115"/>
      <c r="K54" s="115"/>
      <c r="L54" s="115"/>
    </row>
    <row r="55" spans="1:12" ht="18.75" customHeight="1" x14ac:dyDescent="0.15">
      <c r="A55" s="8"/>
      <c r="B55" s="308"/>
      <c r="C55" s="309"/>
      <c r="D55" s="309"/>
      <c r="E55" s="310"/>
      <c r="G55" s="115"/>
      <c r="H55" s="115"/>
      <c r="I55" s="115"/>
      <c r="J55" s="115"/>
      <c r="K55" s="115"/>
      <c r="L55" s="115"/>
    </row>
    <row r="56" spans="1:12" ht="18.75" customHeight="1" x14ac:dyDescent="0.15">
      <c r="A56" s="8"/>
      <c r="B56" s="308"/>
      <c r="C56" s="309"/>
      <c r="D56" s="309"/>
      <c r="E56" s="310"/>
      <c r="G56" s="115"/>
      <c r="H56" s="115"/>
      <c r="I56" s="115"/>
      <c r="J56" s="115"/>
      <c r="K56" s="115"/>
      <c r="L56" s="115"/>
    </row>
    <row r="57" spans="1:12" ht="18.75" customHeight="1" x14ac:dyDescent="0.15">
      <c r="A57" s="8"/>
      <c r="B57" s="308"/>
      <c r="C57" s="309"/>
      <c r="D57" s="309"/>
      <c r="E57" s="310"/>
      <c r="G57" s="115"/>
      <c r="H57" s="115"/>
      <c r="I57" s="115"/>
      <c r="J57" s="115"/>
      <c r="K57" s="115"/>
      <c r="L57" s="115"/>
    </row>
    <row r="58" spans="1:12" ht="18.75" customHeight="1" x14ac:dyDescent="0.15">
      <c r="A58" s="8"/>
      <c r="B58" s="308"/>
      <c r="C58" s="309"/>
      <c r="D58" s="309"/>
      <c r="E58" s="310"/>
      <c r="G58" s="115"/>
      <c r="H58" s="115"/>
      <c r="I58" s="115"/>
      <c r="J58" s="115"/>
      <c r="K58" s="115"/>
      <c r="L58" s="115"/>
    </row>
    <row r="59" spans="1:12" ht="18.75" customHeight="1" x14ac:dyDescent="0.15">
      <c r="A59" s="8"/>
      <c r="B59" s="308"/>
      <c r="C59" s="309"/>
      <c r="D59" s="309"/>
      <c r="E59" s="310"/>
      <c r="G59" s="115"/>
      <c r="H59" s="115"/>
      <c r="I59" s="115"/>
      <c r="J59" s="115"/>
      <c r="K59" s="115"/>
      <c r="L59" s="115"/>
    </row>
    <row r="60" spans="1:12" ht="18.75" customHeight="1" x14ac:dyDescent="0.15">
      <c r="A60" s="8"/>
      <c r="B60" s="308"/>
      <c r="C60" s="309"/>
      <c r="D60" s="309"/>
      <c r="E60" s="310"/>
      <c r="G60" s="115"/>
      <c r="H60" s="115"/>
      <c r="I60" s="115"/>
      <c r="J60" s="115"/>
      <c r="K60" s="115"/>
      <c r="L60" s="115"/>
    </row>
    <row r="61" spans="1:12" ht="18.75" customHeight="1" x14ac:dyDescent="0.15">
      <c r="A61" s="8"/>
      <c r="B61" s="308"/>
      <c r="C61" s="309"/>
      <c r="D61" s="309"/>
      <c r="E61" s="310"/>
      <c r="G61" s="115"/>
      <c r="H61" s="115"/>
      <c r="I61" s="115"/>
      <c r="J61" s="115"/>
      <c r="K61" s="115"/>
      <c r="L61" s="115"/>
    </row>
    <row r="62" spans="1:12" ht="18.75" customHeight="1" x14ac:dyDescent="0.15">
      <c r="A62" s="8"/>
      <c r="B62" s="308"/>
      <c r="C62" s="309"/>
      <c r="D62" s="309"/>
      <c r="E62" s="310"/>
      <c r="G62" s="115"/>
      <c r="H62" s="115"/>
      <c r="I62" s="115"/>
      <c r="J62" s="115"/>
      <c r="K62" s="115"/>
      <c r="L62" s="115"/>
    </row>
    <row r="63" spans="1:12" ht="18.75" customHeight="1" x14ac:dyDescent="0.15">
      <c r="A63" s="8"/>
      <c r="B63" s="308"/>
      <c r="C63" s="309"/>
      <c r="D63" s="309"/>
      <c r="E63" s="310"/>
      <c r="G63" s="115"/>
      <c r="H63" s="115"/>
      <c r="I63" s="115"/>
      <c r="J63" s="115"/>
      <c r="K63" s="115"/>
      <c r="L63" s="115"/>
    </row>
    <row r="64" spans="1:12" ht="18.75" customHeight="1" x14ac:dyDescent="0.15">
      <c r="A64" s="8"/>
      <c r="B64" s="308"/>
      <c r="C64" s="309"/>
      <c r="D64" s="309"/>
      <c r="E64" s="310"/>
      <c r="G64" s="115"/>
      <c r="H64" s="115"/>
      <c r="I64" s="115"/>
      <c r="J64" s="115"/>
      <c r="K64" s="115"/>
      <c r="L64" s="115"/>
    </row>
    <row r="65" spans="1:13" ht="18.75" customHeight="1" x14ac:dyDescent="0.15">
      <c r="A65" s="8"/>
      <c r="B65" s="308"/>
      <c r="C65" s="309"/>
      <c r="D65" s="309"/>
      <c r="E65" s="310"/>
      <c r="G65" s="115"/>
      <c r="H65" s="115"/>
      <c r="I65" s="115"/>
      <c r="J65" s="115"/>
      <c r="K65" s="115"/>
      <c r="L65" s="115"/>
    </row>
    <row r="66" spans="1:13" ht="18.75" customHeight="1" x14ac:dyDescent="0.15">
      <c r="A66" s="8"/>
      <c r="B66" s="308"/>
      <c r="C66" s="309"/>
      <c r="D66" s="309"/>
      <c r="E66" s="310"/>
      <c r="G66" s="115"/>
      <c r="H66" s="115"/>
      <c r="I66" s="115"/>
      <c r="J66" s="115"/>
      <c r="K66" s="115"/>
      <c r="L66" s="115"/>
    </row>
    <row r="67" spans="1:13" ht="18.75" customHeight="1" x14ac:dyDescent="0.15">
      <c r="A67" s="8"/>
      <c r="B67" s="308"/>
      <c r="C67" s="309"/>
      <c r="D67" s="309"/>
      <c r="E67" s="310"/>
      <c r="G67" s="115"/>
      <c r="H67" s="115"/>
      <c r="I67" s="115"/>
      <c r="J67" s="115"/>
      <c r="K67" s="115"/>
      <c r="L67" s="115"/>
    </row>
    <row r="68" spans="1:13" ht="18.75" customHeight="1" x14ac:dyDescent="0.15">
      <c r="A68" s="8"/>
      <c r="B68" s="311"/>
      <c r="C68" s="312"/>
      <c r="D68" s="312"/>
      <c r="E68" s="313"/>
      <c r="G68" s="115"/>
      <c r="H68" s="115"/>
      <c r="I68" s="115"/>
      <c r="J68" s="115"/>
      <c r="K68" s="115"/>
      <c r="L68" s="115"/>
      <c r="M68" s="1">
        <f>LEN(G48)</f>
        <v>0</v>
      </c>
    </row>
    <row r="69" spans="1:13" ht="7.5" customHeight="1" x14ac:dyDescent="0.15">
      <c r="A69" s="8"/>
      <c r="B69" s="8"/>
      <c r="C69" s="8"/>
      <c r="D69" s="8"/>
      <c r="E69" s="8"/>
    </row>
    <row r="70" spans="1:13" s="5" customFormat="1" ht="18.75" customHeight="1" x14ac:dyDescent="0.15">
      <c r="A70" s="14" t="s">
        <v>15</v>
      </c>
      <c r="B70" s="14" t="s">
        <v>148</v>
      </c>
      <c r="C70" s="14"/>
      <c r="D70" s="14"/>
      <c r="E70" s="14"/>
      <c r="F70" s="5" t="s">
        <v>142</v>
      </c>
    </row>
    <row r="71" spans="1:13" s="5" customFormat="1" ht="18.75" customHeight="1" x14ac:dyDescent="0.15">
      <c r="A71" s="14"/>
      <c r="B71" s="286" t="s">
        <v>182</v>
      </c>
      <c r="C71" s="287"/>
      <c r="D71" s="287"/>
      <c r="E71" s="288"/>
      <c r="G71" s="111"/>
      <c r="H71" s="111"/>
      <c r="I71" s="111"/>
      <c r="J71" s="111"/>
      <c r="K71" s="111"/>
      <c r="L71" s="111"/>
    </row>
    <row r="72" spans="1:13" s="5" customFormat="1" ht="18.75" customHeight="1" x14ac:dyDescent="0.15">
      <c r="A72" s="14"/>
      <c r="B72" s="289"/>
      <c r="C72" s="290"/>
      <c r="D72" s="290"/>
      <c r="E72" s="291"/>
      <c r="G72" s="111"/>
      <c r="H72" s="111"/>
      <c r="I72" s="111"/>
      <c r="J72" s="111"/>
      <c r="K72" s="111"/>
      <c r="L72" s="111"/>
    </row>
    <row r="73" spans="1:13" s="5" customFormat="1" ht="18.75" customHeight="1" x14ac:dyDescent="0.15">
      <c r="A73" s="14"/>
      <c r="B73" s="289"/>
      <c r="C73" s="290"/>
      <c r="D73" s="290"/>
      <c r="E73" s="291"/>
      <c r="G73" s="111"/>
      <c r="H73" s="111"/>
      <c r="I73" s="111"/>
      <c r="J73" s="111"/>
      <c r="K73" s="111"/>
      <c r="L73" s="111"/>
    </row>
    <row r="74" spans="1:13" s="5" customFormat="1" ht="18.75" customHeight="1" x14ac:dyDescent="0.15">
      <c r="A74" s="14"/>
      <c r="B74" s="289"/>
      <c r="C74" s="290"/>
      <c r="D74" s="290"/>
      <c r="E74" s="291"/>
      <c r="G74" s="111"/>
      <c r="H74" s="111"/>
      <c r="I74" s="111"/>
      <c r="J74" s="111"/>
      <c r="K74" s="111"/>
      <c r="L74" s="111"/>
    </row>
    <row r="75" spans="1:13" s="5" customFormat="1" ht="18.75" customHeight="1" x14ac:dyDescent="0.15">
      <c r="A75" s="14"/>
      <c r="B75" s="289"/>
      <c r="C75" s="290"/>
      <c r="D75" s="290"/>
      <c r="E75" s="291"/>
      <c r="G75" s="111"/>
      <c r="H75" s="111"/>
      <c r="I75" s="111"/>
      <c r="J75" s="111"/>
      <c r="K75" s="111"/>
      <c r="L75" s="111"/>
    </row>
    <row r="76" spans="1:13" s="5" customFormat="1" ht="18.75" customHeight="1" x14ac:dyDescent="0.15">
      <c r="A76" s="14"/>
      <c r="B76" s="289"/>
      <c r="C76" s="290"/>
      <c r="D76" s="290"/>
      <c r="E76" s="291"/>
      <c r="G76" s="111"/>
      <c r="H76" s="111"/>
      <c r="I76" s="111"/>
      <c r="J76" s="111"/>
      <c r="K76" s="111"/>
      <c r="L76" s="111"/>
    </row>
    <row r="77" spans="1:13" s="5" customFormat="1" ht="18.75" customHeight="1" x14ac:dyDescent="0.15">
      <c r="A77" s="14"/>
      <c r="B77" s="289"/>
      <c r="C77" s="290"/>
      <c r="D77" s="290"/>
      <c r="E77" s="291"/>
      <c r="G77" s="111"/>
      <c r="H77" s="111"/>
      <c r="I77" s="111"/>
      <c r="J77" s="111"/>
      <c r="K77" s="111"/>
      <c r="L77" s="111"/>
    </row>
    <row r="78" spans="1:13" s="5" customFormat="1" ht="18.75" customHeight="1" x14ac:dyDescent="0.15">
      <c r="A78" s="14"/>
      <c r="B78" s="289"/>
      <c r="C78" s="290"/>
      <c r="D78" s="290"/>
      <c r="E78" s="291"/>
      <c r="G78" s="111"/>
      <c r="H78" s="111"/>
      <c r="I78" s="111"/>
      <c r="J78" s="111"/>
      <c r="K78" s="111"/>
      <c r="L78" s="111"/>
    </row>
    <row r="79" spans="1:13" s="5" customFormat="1" ht="18.75" customHeight="1" x14ac:dyDescent="0.15">
      <c r="A79" s="14"/>
      <c r="B79" s="289"/>
      <c r="C79" s="290"/>
      <c r="D79" s="290"/>
      <c r="E79" s="291"/>
      <c r="G79" s="111"/>
      <c r="H79" s="111"/>
      <c r="I79" s="111"/>
      <c r="J79" s="111"/>
      <c r="K79" s="111"/>
      <c r="L79" s="111"/>
    </row>
    <row r="80" spans="1:13" s="5" customFormat="1" ht="18.75" customHeight="1" x14ac:dyDescent="0.15">
      <c r="A80" s="14"/>
      <c r="B80" s="289"/>
      <c r="C80" s="290"/>
      <c r="D80" s="290"/>
      <c r="E80" s="291"/>
      <c r="G80" s="111"/>
      <c r="H80" s="111"/>
      <c r="I80" s="111"/>
      <c r="J80" s="111"/>
      <c r="K80" s="111"/>
      <c r="L80" s="111"/>
    </row>
    <row r="81" spans="1:13" s="5" customFormat="1" ht="18.75" customHeight="1" x14ac:dyDescent="0.15">
      <c r="A81" s="14"/>
      <c r="B81" s="289"/>
      <c r="C81" s="290"/>
      <c r="D81" s="290"/>
      <c r="E81" s="291"/>
      <c r="G81" s="111"/>
      <c r="H81" s="111"/>
      <c r="I81" s="111"/>
      <c r="J81" s="111"/>
      <c r="K81" s="111"/>
      <c r="L81" s="111"/>
    </row>
    <row r="82" spans="1:13" s="5" customFormat="1" ht="18.75" customHeight="1" x14ac:dyDescent="0.15">
      <c r="A82" s="14"/>
      <c r="B82" s="289"/>
      <c r="C82" s="290"/>
      <c r="D82" s="290"/>
      <c r="E82" s="291"/>
      <c r="G82" s="111"/>
      <c r="H82" s="111"/>
      <c r="I82" s="111"/>
      <c r="J82" s="111"/>
      <c r="K82" s="111"/>
      <c r="L82" s="111"/>
    </row>
    <row r="83" spans="1:13" s="5" customFormat="1" ht="18.75" customHeight="1" x14ac:dyDescent="0.15">
      <c r="A83" s="14"/>
      <c r="B83" s="289"/>
      <c r="C83" s="290"/>
      <c r="D83" s="290"/>
      <c r="E83" s="291"/>
      <c r="G83" s="111"/>
      <c r="H83" s="111"/>
      <c r="I83" s="111"/>
      <c r="J83" s="111"/>
      <c r="K83" s="111"/>
      <c r="L83" s="111"/>
    </row>
    <row r="84" spans="1:13" s="5" customFormat="1" ht="18.75" customHeight="1" x14ac:dyDescent="0.15">
      <c r="A84" s="14"/>
      <c r="B84" s="289"/>
      <c r="C84" s="290"/>
      <c r="D84" s="290"/>
      <c r="E84" s="291"/>
      <c r="G84" s="111"/>
      <c r="H84" s="111"/>
      <c r="I84" s="111"/>
      <c r="J84" s="111"/>
      <c r="K84" s="111"/>
      <c r="L84" s="111"/>
    </row>
    <row r="85" spans="1:13" s="5" customFormat="1" ht="18.75" customHeight="1" x14ac:dyDescent="0.15">
      <c r="A85" s="14"/>
      <c r="B85" s="289"/>
      <c r="C85" s="290"/>
      <c r="D85" s="290"/>
      <c r="E85" s="291"/>
      <c r="G85" s="111"/>
      <c r="H85" s="111"/>
      <c r="I85" s="111"/>
      <c r="J85" s="111"/>
      <c r="K85" s="111"/>
      <c r="L85" s="111"/>
    </row>
    <row r="86" spans="1:13" s="5" customFormat="1" ht="18.75" customHeight="1" x14ac:dyDescent="0.15">
      <c r="A86" s="14"/>
      <c r="B86" s="289"/>
      <c r="C86" s="290"/>
      <c r="D86" s="290"/>
      <c r="E86" s="291"/>
      <c r="G86" s="111"/>
      <c r="H86" s="111"/>
      <c r="I86" s="111"/>
      <c r="J86" s="111"/>
      <c r="K86" s="111"/>
      <c r="L86" s="111"/>
    </row>
    <row r="87" spans="1:13" s="5" customFormat="1" ht="18.75" customHeight="1" x14ac:dyDescent="0.15">
      <c r="A87" s="14"/>
      <c r="B87" s="289"/>
      <c r="C87" s="290"/>
      <c r="D87" s="290"/>
      <c r="E87" s="291"/>
      <c r="G87" s="111"/>
      <c r="H87" s="111"/>
      <c r="I87" s="111"/>
      <c r="J87" s="111"/>
      <c r="K87" s="111"/>
      <c r="L87" s="111"/>
    </row>
    <row r="88" spans="1:13" ht="18.75" customHeight="1" x14ac:dyDescent="0.15">
      <c r="A88" s="8"/>
      <c r="B88" s="289"/>
      <c r="C88" s="290"/>
      <c r="D88" s="290"/>
      <c r="E88" s="291"/>
      <c r="G88" s="111"/>
      <c r="H88" s="111"/>
      <c r="I88" s="111"/>
      <c r="J88" s="111"/>
      <c r="K88" s="111"/>
      <c r="L88" s="111"/>
    </row>
    <row r="89" spans="1:13" ht="18.75" customHeight="1" x14ac:dyDescent="0.15">
      <c r="A89" s="8"/>
      <c r="B89" s="292"/>
      <c r="C89" s="293"/>
      <c r="D89" s="293"/>
      <c r="E89" s="294"/>
      <c r="G89" s="111"/>
      <c r="H89" s="111"/>
      <c r="I89" s="111"/>
      <c r="J89" s="111"/>
      <c r="K89" s="111"/>
      <c r="L89" s="111"/>
      <c r="M89" s="1">
        <f>LEN(G71)</f>
        <v>0</v>
      </c>
    </row>
    <row r="90" spans="1:13" ht="7.5" customHeight="1" x14ac:dyDescent="0.15">
      <c r="A90" s="8"/>
      <c r="B90" s="8"/>
      <c r="C90" s="8"/>
      <c r="D90" s="8"/>
      <c r="E90" s="8"/>
    </row>
    <row r="91" spans="1:13" s="5" customFormat="1" ht="18.75" customHeight="1" x14ac:dyDescent="0.15">
      <c r="A91" s="14" t="s">
        <v>18</v>
      </c>
      <c r="B91" s="14" t="s">
        <v>149</v>
      </c>
      <c r="C91" s="14"/>
      <c r="D91" s="14"/>
      <c r="E91" s="14"/>
      <c r="F91" s="5" t="s">
        <v>142</v>
      </c>
    </row>
    <row r="92" spans="1:13" s="5" customFormat="1" ht="18.75" customHeight="1" x14ac:dyDescent="0.15">
      <c r="A92" s="14"/>
      <c r="B92" s="286" t="s">
        <v>183</v>
      </c>
      <c r="C92" s="287"/>
      <c r="D92" s="287"/>
      <c r="E92" s="288"/>
      <c r="G92" s="111"/>
      <c r="H92" s="112"/>
      <c r="I92" s="112"/>
      <c r="J92" s="112"/>
      <c r="K92" s="112"/>
      <c r="L92" s="112"/>
    </row>
    <row r="93" spans="1:13" s="5" customFormat="1" ht="18.75" customHeight="1" x14ac:dyDescent="0.15">
      <c r="A93" s="14"/>
      <c r="B93" s="289"/>
      <c r="C93" s="290"/>
      <c r="D93" s="290"/>
      <c r="E93" s="291"/>
      <c r="G93" s="112"/>
      <c r="H93" s="112"/>
      <c r="I93" s="112"/>
      <c r="J93" s="112"/>
      <c r="K93" s="112"/>
      <c r="L93" s="112"/>
    </row>
    <row r="94" spans="1:13" s="5" customFormat="1" ht="18.75" customHeight="1" x14ac:dyDescent="0.15">
      <c r="A94" s="14"/>
      <c r="B94" s="289"/>
      <c r="C94" s="290"/>
      <c r="D94" s="290"/>
      <c r="E94" s="291"/>
      <c r="G94" s="112"/>
      <c r="H94" s="112"/>
      <c r="I94" s="112"/>
      <c r="J94" s="112"/>
      <c r="K94" s="112"/>
      <c r="L94" s="112"/>
    </row>
    <row r="95" spans="1:13" s="5" customFormat="1" ht="18.75" customHeight="1" x14ac:dyDescent="0.15">
      <c r="A95" s="14"/>
      <c r="B95" s="289"/>
      <c r="C95" s="290"/>
      <c r="D95" s="290"/>
      <c r="E95" s="291"/>
      <c r="G95" s="112"/>
      <c r="H95" s="112"/>
      <c r="I95" s="112"/>
      <c r="J95" s="112"/>
      <c r="K95" s="112"/>
      <c r="L95" s="112"/>
    </row>
    <row r="96" spans="1:13" s="5" customFormat="1" ht="18.75" customHeight="1" x14ac:dyDescent="0.15">
      <c r="A96" s="14"/>
      <c r="B96" s="289"/>
      <c r="C96" s="290"/>
      <c r="D96" s="290"/>
      <c r="E96" s="291"/>
      <c r="G96" s="112"/>
      <c r="H96" s="112"/>
      <c r="I96" s="112"/>
      <c r="J96" s="112"/>
      <c r="K96" s="112"/>
      <c r="L96" s="112"/>
    </row>
    <row r="97" spans="1:13" s="5" customFormat="1" ht="18.75" customHeight="1" x14ac:dyDescent="0.15">
      <c r="A97" s="14"/>
      <c r="B97" s="289"/>
      <c r="C97" s="290"/>
      <c r="D97" s="290"/>
      <c r="E97" s="291"/>
      <c r="G97" s="112"/>
      <c r="H97" s="112"/>
      <c r="I97" s="112"/>
      <c r="J97" s="112"/>
      <c r="K97" s="112"/>
      <c r="L97" s="112"/>
    </row>
    <row r="98" spans="1:13" s="5" customFormat="1" ht="18.75" customHeight="1" x14ac:dyDescent="0.15">
      <c r="A98" s="14"/>
      <c r="B98" s="289"/>
      <c r="C98" s="290"/>
      <c r="D98" s="290"/>
      <c r="E98" s="291"/>
      <c r="G98" s="112"/>
      <c r="H98" s="112"/>
      <c r="I98" s="112"/>
      <c r="J98" s="112"/>
      <c r="K98" s="112"/>
      <c r="L98" s="112"/>
    </row>
    <row r="99" spans="1:13" s="5" customFormat="1" ht="18.75" customHeight="1" x14ac:dyDescent="0.15">
      <c r="A99" s="14"/>
      <c r="B99" s="289"/>
      <c r="C99" s="290"/>
      <c r="D99" s="290"/>
      <c r="E99" s="291"/>
      <c r="G99" s="112"/>
      <c r="H99" s="112"/>
      <c r="I99" s="112"/>
      <c r="J99" s="112"/>
      <c r="K99" s="112"/>
      <c r="L99" s="112"/>
    </row>
    <row r="100" spans="1:13" s="5" customFormat="1" ht="18.75" customHeight="1" x14ac:dyDescent="0.15">
      <c r="A100" s="14"/>
      <c r="B100" s="289"/>
      <c r="C100" s="290"/>
      <c r="D100" s="290"/>
      <c r="E100" s="291"/>
      <c r="G100" s="112"/>
      <c r="H100" s="112"/>
      <c r="I100" s="112"/>
      <c r="J100" s="112"/>
      <c r="K100" s="112"/>
      <c r="L100" s="112"/>
    </row>
    <row r="101" spans="1:13" s="5" customFormat="1" ht="18.75" customHeight="1" x14ac:dyDescent="0.15">
      <c r="A101" s="14"/>
      <c r="B101" s="289"/>
      <c r="C101" s="290"/>
      <c r="D101" s="290"/>
      <c r="E101" s="291"/>
      <c r="G101" s="112"/>
      <c r="H101" s="112"/>
      <c r="I101" s="112"/>
      <c r="J101" s="112"/>
      <c r="K101" s="112"/>
      <c r="L101" s="112"/>
    </row>
    <row r="102" spans="1:13" s="5" customFormat="1" ht="18.75" customHeight="1" x14ac:dyDescent="0.15">
      <c r="A102" s="14"/>
      <c r="B102" s="289"/>
      <c r="C102" s="290"/>
      <c r="D102" s="290"/>
      <c r="E102" s="291"/>
      <c r="G102" s="112"/>
      <c r="H102" s="112"/>
      <c r="I102" s="112"/>
      <c r="J102" s="112"/>
      <c r="K102" s="112"/>
      <c r="L102" s="112"/>
    </row>
    <row r="103" spans="1:13" s="5" customFormat="1" ht="18.75" customHeight="1" x14ac:dyDescent="0.15">
      <c r="A103" s="14"/>
      <c r="B103" s="289"/>
      <c r="C103" s="290"/>
      <c r="D103" s="290"/>
      <c r="E103" s="291"/>
      <c r="G103" s="112"/>
      <c r="H103" s="112"/>
      <c r="I103" s="112"/>
      <c r="J103" s="112"/>
      <c r="K103" s="112"/>
      <c r="L103" s="112"/>
    </row>
    <row r="104" spans="1:13" s="5" customFormat="1" ht="18.75" customHeight="1" x14ac:dyDescent="0.15">
      <c r="A104" s="14"/>
      <c r="B104" s="289"/>
      <c r="C104" s="290"/>
      <c r="D104" s="290"/>
      <c r="E104" s="291"/>
      <c r="G104" s="112"/>
      <c r="H104" s="112"/>
      <c r="I104" s="112"/>
      <c r="J104" s="112"/>
      <c r="K104" s="112"/>
      <c r="L104" s="112"/>
    </row>
    <row r="105" spans="1:13" s="5" customFormat="1" ht="18.75" customHeight="1" x14ac:dyDescent="0.15">
      <c r="A105" s="14"/>
      <c r="B105" s="289"/>
      <c r="C105" s="290"/>
      <c r="D105" s="290"/>
      <c r="E105" s="291"/>
      <c r="G105" s="112"/>
      <c r="H105" s="112"/>
      <c r="I105" s="112"/>
      <c r="J105" s="112"/>
      <c r="K105" s="112"/>
      <c r="L105" s="112"/>
    </row>
    <row r="106" spans="1:13" s="5" customFormat="1" ht="18.75" customHeight="1" x14ac:dyDescent="0.15">
      <c r="A106" s="14"/>
      <c r="B106" s="289"/>
      <c r="C106" s="290"/>
      <c r="D106" s="290"/>
      <c r="E106" s="291"/>
      <c r="G106" s="112"/>
      <c r="H106" s="112"/>
      <c r="I106" s="112"/>
      <c r="J106" s="112"/>
      <c r="K106" s="112"/>
      <c r="L106" s="112"/>
    </row>
    <row r="107" spans="1:13" s="5" customFormat="1" ht="18.75" customHeight="1" x14ac:dyDescent="0.15">
      <c r="A107" s="14"/>
      <c r="B107" s="289"/>
      <c r="C107" s="290"/>
      <c r="D107" s="290"/>
      <c r="E107" s="291"/>
      <c r="G107" s="112"/>
      <c r="H107" s="112"/>
      <c r="I107" s="112"/>
      <c r="J107" s="112"/>
      <c r="K107" s="112"/>
      <c r="L107" s="112"/>
    </row>
    <row r="108" spans="1:13" s="5" customFormat="1" ht="18.75" customHeight="1" x14ac:dyDescent="0.15">
      <c r="A108" s="14"/>
      <c r="B108" s="289"/>
      <c r="C108" s="290"/>
      <c r="D108" s="290"/>
      <c r="E108" s="291"/>
      <c r="G108" s="112"/>
      <c r="H108" s="112"/>
      <c r="I108" s="112"/>
      <c r="J108" s="112"/>
      <c r="K108" s="112"/>
      <c r="L108" s="112"/>
    </row>
    <row r="109" spans="1:13" s="5" customFormat="1" ht="18.75" customHeight="1" x14ac:dyDescent="0.15">
      <c r="A109" s="14"/>
      <c r="B109" s="289"/>
      <c r="C109" s="290"/>
      <c r="D109" s="290"/>
      <c r="E109" s="291"/>
      <c r="G109" s="112"/>
      <c r="H109" s="112"/>
      <c r="I109" s="112"/>
      <c r="J109" s="112"/>
      <c r="K109" s="112"/>
      <c r="L109" s="112"/>
    </row>
    <row r="110" spans="1:13" ht="18.75" customHeight="1" x14ac:dyDescent="0.15">
      <c r="A110" s="8"/>
      <c r="B110" s="289"/>
      <c r="C110" s="290"/>
      <c r="D110" s="290"/>
      <c r="E110" s="291"/>
      <c r="G110" s="112"/>
      <c r="H110" s="112"/>
      <c r="I110" s="112"/>
      <c r="J110" s="112"/>
      <c r="K110" s="112"/>
      <c r="L110" s="112"/>
    </row>
    <row r="111" spans="1:13" ht="18.75" customHeight="1" x14ac:dyDescent="0.15">
      <c r="A111" s="8"/>
      <c r="B111" s="292"/>
      <c r="C111" s="293"/>
      <c r="D111" s="293"/>
      <c r="E111" s="294"/>
      <c r="G111" s="112"/>
      <c r="H111" s="112"/>
      <c r="I111" s="112"/>
      <c r="J111" s="112"/>
      <c r="K111" s="112"/>
      <c r="L111" s="112"/>
      <c r="M111" s="1">
        <f>LEN(G92)</f>
        <v>0</v>
      </c>
    </row>
    <row r="112" spans="1:13" ht="7.5" customHeight="1" x14ac:dyDescent="0.15">
      <c r="A112" s="8"/>
      <c r="B112" s="8"/>
      <c r="C112" s="8"/>
      <c r="D112" s="8"/>
      <c r="E112" s="8"/>
    </row>
    <row r="113" spans="1:12" s="5" customFormat="1" ht="18.75" customHeight="1" x14ac:dyDescent="0.15">
      <c r="A113" s="14" t="s">
        <v>23</v>
      </c>
      <c r="B113" s="295" t="s">
        <v>150</v>
      </c>
      <c r="C113" s="295"/>
      <c r="D113" s="295"/>
      <c r="E113" s="295"/>
      <c r="F113" s="5" t="s">
        <v>142</v>
      </c>
    </row>
    <row r="114" spans="1:12" ht="18.75" customHeight="1" x14ac:dyDescent="0.15">
      <c r="A114" s="8"/>
      <c r="B114" s="296" t="s">
        <v>184</v>
      </c>
      <c r="C114" s="297"/>
      <c r="D114" s="297"/>
      <c r="E114" s="298"/>
      <c r="G114" s="114"/>
      <c r="H114" s="115"/>
      <c r="I114" s="115"/>
      <c r="J114" s="115"/>
      <c r="K114" s="115"/>
      <c r="L114" s="115"/>
    </row>
    <row r="115" spans="1:12" ht="18.75" customHeight="1" x14ac:dyDescent="0.15">
      <c r="A115" s="8"/>
      <c r="B115" s="299"/>
      <c r="C115" s="300"/>
      <c r="D115" s="300"/>
      <c r="E115" s="301"/>
      <c r="G115" s="115"/>
      <c r="H115" s="115"/>
      <c r="I115" s="115"/>
      <c r="J115" s="115"/>
      <c r="K115" s="115"/>
      <c r="L115" s="115"/>
    </row>
    <row r="116" spans="1:12" ht="18.75" customHeight="1" x14ac:dyDescent="0.15">
      <c r="A116" s="8"/>
      <c r="B116" s="299"/>
      <c r="C116" s="300"/>
      <c r="D116" s="300"/>
      <c r="E116" s="301"/>
      <c r="G116" s="115"/>
      <c r="H116" s="115"/>
      <c r="I116" s="115"/>
      <c r="J116" s="115"/>
      <c r="K116" s="115"/>
      <c r="L116" s="115"/>
    </row>
    <row r="117" spans="1:12" ht="18.75" customHeight="1" x14ac:dyDescent="0.15">
      <c r="A117" s="8"/>
      <c r="B117" s="299"/>
      <c r="C117" s="300"/>
      <c r="D117" s="300"/>
      <c r="E117" s="301"/>
      <c r="G117" s="115"/>
      <c r="H117" s="115"/>
      <c r="I117" s="115"/>
      <c r="J117" s="115"/>
      <c r="K117" s="115"/>
      <c r="L117" s="115"/>
    </row>
    <row r="118" spans="1:12" ht="18.75" customHeight="1" x14ac:dyDescent="0.15">
      <c r="A118" s="8"/>
      <c r="B118" s="299"/>
      <c r="C118" s="300"/>
      <c r="D118" s="300"/>
      <c r="E118" s="301"/>
      <c r="G118" s="115"/>
      <c r="H118" s="115"/>
      <c r="I118" s="115"/>
      <c r="J118" s="115"/>
      <c r="K118" s="115"/>
      <c r="L118" s="115"/>
    </row>
    <row r="119" spans="1:12" ht="18.75" customHeight="1" x14ac:dyDescent="0.15">
      <c r="A119" s="8"/>
      <c r="B119" s="299"/>
      <c r="C119" s="300"/>
      <c r="D119" s="300"/>
      <c r="E119" s="301"/>
      <c r="G119" s="115"/>
      <c r="H119" s="115"/>
      <c r="I119" s="115"/>
      <c r="J119" s="115"/>
      <c r="K119" s="115"/>
      <c r="L119" s="115"/>
    </row>
    <row r="120" spans="1:12" ht="18.75" customHeight="1" x14ac:dyDescent="0.15">
      <c r="A120" s="8"/>
      <c r="B120" s="299"/>
      <c r="C120" s="300"/>
      <c r="D120" s="300"/>
      <c r="E120" s="301"/>
      <c r="G120" s="115"/>
      <c r="H120" s="115"/>
      <c r="I120" s="115"/>
      <c r="J120" s="115"/>
      <c r="K120" s="115"/>
      <c r="L120" s="115"/>
    </row>
    <row r="121" spans="1:12" ht="18.75" customHeight="1" x14ac:dyDescent="0.15">
      <c r="A121" s="8"/>
      <c r="B121" s="299"/>
      <c r="C121" s="300"/>
      <c r="D121" s="300"/>
      <c r="E121" s="301"/>
      <c r="G121" s="115"/>
      <c r="H121" s="115"/>
      <c r="I121" s="115"/>
      <c r="J121" s="115"/>
      <c r="K121" s="115"/>
      <c r="L121" s="115"/>
    </row>
    <row r="122" spans="1:12" ht="18.75" customHeight="1" x14ac:dyDescent="0.15">
      <c r="A122" s="8"/>
      <c r="B122" s="299"/>
      <c r="C122" s="300"/>
      <c r="D122" s="300"/>
      <c r="E122" s="301"/>
      <c r="G122" s="115"/>
      <c r="H122" s="115"/>
      <c r="I122" s="115"/>
      <c r="J122" s="115"/>
      <c r="K122" s="115"/>
      <c r="L122" s="115"/>
    </row>
    <row r="123" spans="1:12" ht="18.75" customHeight="1" x14ac:dyDescent="0.15">
      <c r="A123" s="8"/>
      <c r="B123" s="299"/>
      <c r="C123" s="300"/>
      <c r="D123" s="300"/>
      <c r="E123" s="301"/>
      <c r="G123" s="115"/>
      <c r="H123" s="115"/>
      <c r="I123" s="115"/>
      <c r="J123" s="115"/>
      <c r="K123" s="115"/>
      <c r="L123" s="115"/>
    </row>
    <row r="124" spans="1:12" ht="18.75" customHeight="1" x14ac:dyDescent="0.15">
      <c r="A124" s="8"/>
      <c r="B124" s="299"/>
      <c r="C124" s="300"/>
      <c r="D124" s="300"/>
      <c r="E124" s="301"/>
      <c r="G124" s="115"/>
      <c r="H124" s="115"/>
      <c r="I124" s="115"/>
      <c r="J124" s="115"/>
      <c r="K124" s="115"/>
      <c r="L124" s="115"/>
    </row>
    <row r="125" spans="1:12" ht="18.75" customHeight="1" x14ac:dyDescent="0.15">
      <c r="A125" s="8"/>
      <c r="B125" s="299"/>
      <c r="C125" s="300"/>
      <c r="D125" s="300"/>
      <c r="E125" s="301"/>
      <c r="G125" s="115"/>
      <c r="H125" s="115"/>
      <c r="I125" s="115"/>
      <c r="J125" s="115"/>
      <c r="K125" s="115"/>
      <c r="L125" s="115"/>
    </row>
    <row r="126" spans="1:12" ht="18.75" customHeight="1" x14ac:dyDescent="0.15">
      <c r="A126" s="8"/>
      <c r="B126" s="299"/>
      <c r="C126" s="300"/>
      <c r="D126" s="300"/>
      <c r="E126" s="301"/>
      <c r="G126" s="115"/>
      <c r="H126" s="115"/>
      <c r="I126" s="115"/>
      <c r="J126" s="115"/>
      <c r="K126" s="115"/>
      <c r="L126" s="115"/>
    </row>
    <row r="127" spans="1:12" ht="18.75" customHeight="1" x14ac:dyDescent="0.15">
      <c r="A127" s="8"/>
      <c r="B127" s="299"/>
      <c r="C127" s="300"/>
      <c r="D127" s="300"/>
      <c r="E127" s="301"/>
      <c r="G127" s="115"/>
      <c r="H127" s="115"/>
      <c r="I127" s="115"/>
      <c r="J127" s="115"/>
      <c r="K127" s="115"/>
      <c r="L127" s="115"/>
    </row>
    <row r="128" spans="1:12" ht="18.75" customHeight="1" x14ac:dyDescent="0.15">
      <c r="A128" s="8"/>
      <c r="B128" s="299"/>
      <c r="C128" s="300"/>
      <c r="D128" s="300"/>
      <c r="E128" s="301"/>
      <c r="G128" s="115"/>
      <c r="H128" s="115"/>
      <c r="I128" s="115"/>
      <c r="J128" s="115"/>
      <c r="K128" s="115"/>
      <c r="L128" s="115"/>
    </row>
    <row r="129" spans="1:13" ht="18.75" customHeight="1" x14ac:dyDescent="0.15">
      <c r="A129" s="8"/>
      <c r="B129" s="299"/>
      <c r="C129" s="300"/>
      <c r="D129" s="300"/>
      <c r="E129" s="301"/>
      <c r="G129" s="115"/>
      <c r="H129" s="115"/>
      <c r="I129" s="115"/>
      <c r="J129" s="115"/>
      <c r="K129" s="115"/>
      <c r="L129" s="115"/>
    </row>
    <row r="130" spans="1:13" ht="18.75" customHeight="1" x14ac:dyDescent="0.15">
      <c r="A130" s="8"/>
      <c r="B130" s="299"/>
      <c r="C130" s="300"/>
      <c r="D130" s="300"/>
      <c r="E130" s="301"/>
      <c r="G130" s="115"/>
      <c r="H130" s="115"/>
      <c r="I130" s="115"/>
      <c r="J130" s="115"/>
      <c r="K130" s="115"/>
      <c r="L130" s="115"/>
    </row>
    <row r="131" spans="1:13" ht="18.75" customHeight="1" x14ac:dyDescent="0.15">
      <c r="A131" s="8"/>
      <c r="B131" s="299"/>
      <c r="C131" s="300"/>
      <c r="D131" s="300"/>
      <c r="E131" s="301"/>
      <c r="G131" s="115"/>
      <c r="H131" s="115"/>
      <c r="I131" s="115"/>
      <c r="J131" s="115"/>
      <c r="K131" s="115"/>
      <c r="L131" s="115"/>
    </row>
    <row r="132" spans="1:13" ht="18.75" customHeight="1" x14ac:dyDescent="0.15">
      <c r="A132" s="8"/>
      <c r="B132" s="299"/>
      <c r="C132" s="300"/>
      <c r="D132" s="300"/>
      <c r="E132" s="301"/>
      <c r="G132" s="115"/>
      <c r="H132" s="115"/>
      <c r="I132" s="115"/>
      <c r="J132" s="115"/>
      <c r="K132" s="115"/>
      <c r="L132" s="115"/>
    </row>
    <row r="133" spans="1:13" ht="18.75" customHeight="1" x14ac:dyDescent="0.15">
      <c r="A133" s="8"/>
      <c r="B133" s="302"/>
      <c r="C133" s="303"/>
      <c r="D133" s="303"/>
      <c r="E133" s="304"/>
      <c r="G133" s="115"/>
      <c r="H133" s="115"/>
      <c r="I133" s="115"/>
      <c r="J133" s="115"/>
      <c r="K133" s="115"/>
      <c r="L133" s="115"/>
      <c r="M133" s="1">
        <f>LEN(G114)</f>
        <v>0</v>
      </c>
    </row>
    <row r="134" spans="1:13" ht="7.5" customHeight="1" x14ac:dyDescent="0.15">
      <c r="A134" s="8"/>
      <c r="B134" s="12"/>
      <c r="C134" s="12"/>
      <c r="D134" s="12"/>
      <c r="E134" s="12"/>
    </row>
    <row r="135" spans="1:13" ht="18.75" customHeight="1" x14ac:dyDescent="0.15">
      <c r="A135" s="8"/>
      <c r="B135" s="8"/>
      <c r="C135" s="8"/>
      <c r="D135" s="8"/>
      <c r="E135" s="8"/>
    </row>
    <row r="136" spans="1:13" ht="18.75" customHeight="1" x14ac:dyDescent="0.15">
      <c r="A136" s="8"/>
      <c r="B136" s="8"/>
      <c r="C136" s="8"/>
      <c r="D136" s="8"/>
      <c r="E136" s="8"/>
    </row>
    <row r="137" spans="1:13" ht="18.75" customHeight="1" x14ac:dyDescent="0.15">
      <c r="A137" s="8"/>
      <c r="B137" s="8"/>
      <c r="C137" s="8"/>
      <c r="D137" s="8"/>
      <c r="E137" s="8"/>
    </row>
    <row r="138" spans="1:13" ht="18.75" customHeight="1" x14ac:dyDescent="0.15">
      <c r="A138" s="8"/>
      <c r="B138" s="8"/>
      <c r="C138" s="8"/>
      <c r="D138" s="8"/>
      <c r="E138" s="8"/>
    </row>
    <row r="139" spans="1:13" ht="18.75" customHeight="1" x14ac:dyDescent="0.15">
      <c r="A139" s="8"/>
      <c r="B139" s="8"/>
      <c r="C139" s="8"/>
      <c r="D139" s="8"/>
      <c r="E139" s="8"/>
    </row>
    <row r="140" spans="1:13" ht="18.75" customHeight="1" x14ac:dyDescent="0.15">
      <c r="A140" s="8"/>
      <c r="B140" s="8"/>
      <c r="C140" s="8"/>
      <c r="D140" s="8"/>
      <c r="E140" s="8"/>
    </row>
    <row r="141" spans="1:13" ht="18.75" customHeight="1" x14ac:dyDescent="0.15">
      <c r="A141" s="8"/>
      <c r="B141" s="8"/>
      <c r="C141" s="8"/>
      <c r="D141" s="8"/>
      <c r="E141" s="8"/>
    </row>
    <row r="142" spans="1:13" ht="18.75" customHeight="1" x14ac:dyDescent="0.15">
      <c r="A142" s="8"/>
      <c r="B142" s="8"/>
      <c r="C142" s="8"/>
      <c r="D142" s="8"/>
      <c r="E142" s="8"/>
    </row>
    <row r="143" spans="1:13" ht="18.75" customHeight="1" x14ac:dyDescent="0.15">
      <c r="A143" s="8"/>
      <c r="B143" s="8"/>
      <c r="C143" s="8"/>
      <c r="D143" s="8"/>
      <c r="E143" s="8"/>
    </row>
    <row r="144" spans="1:13"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D2:E2"/>
    <mergeCell ref="B4:E4"/>
    <mergeCell ref="B10:E14"/>
    <mergeCell ref="B17:E28"/>
    <mergeCell ref="B31:E46"/>
    <mergeCell ref="B7:E7"/>
    <mergeCell ref="B71:E89"/>
    <mergeCell ref="B92:E111"/>
    <mergeCell ref="B113:E113"/>
    <mergeCell ref="B114:E133"/>
    <mergeCell ref="B48:E68"/>
  </mergeCells>
  <phoneticPr fontId="1"/>
  <printOptions horizontalCentered="1"/>
  <pageMargins left="0.78740157480314965" right="0.78740157480314965" top="0.78740157480314965" bottom="0.78740157480314965" header="0.31496062992125984" footer="0.31496062992125984"/>
  <pageSetup paperSize="9" scale="95" orientation="portrait" r:id="rId1"/>
  <rowBreaks count="2" manualBreakCount="2">
    <brk id="46" max="4" man="1"/>
    <brk id="90"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8"/>
  <sheetViews>
    <sheetView showZeros="0" zoomScaleNormal="100" workbookViewId="0">
      <selection activeCell="M9" sqref="M9"/>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23" ht="18.75" customHeight="1" x14ac:dyDescent="0.15">
      <c r="J1" s="97" t="s">
        <v>151</v>
      </c>
    </row>
    <row r="2" spans="1:23" ht="18.75" customHeight="1" x14ac:dyDescent="0.15">
      <c r="D2" s="97"/>
      <c r="H2" s="97" t="s">
        <v>152</v>
      </c>
      <c r="I2" s="314" t="s">
        <v>91</v>
      </c>
      <c r="J2" s="314"/>
    </row>
    <row r="3" spans="1:23" ht="18.75" customHeight="1" x14ac:dyDescent="0.15">
      <c r="A3" s="197" t="s">
        <v>153</v>
      </c>
      <c r="B3" s="197"/>
      <c r="C3" s="197"/>
      <c r="D3" s="197"/>
      <c r="E3" s="197"/>
      <c r="F3" s="197"/>
      <c r="G3" s="197"/>
      <c r="H3" s="197"/>
      <c r="I3" s="197"/>
      <c r="J3" s="197"/>
    </row>
    <row r="4" spans="1:23" ht="7.5" customHeight="1" x14ac:dyDescent="0.15">
      <c r="B4" s="102"/>
      <c r="C4" s="102"/>
      <c r="D4" s="345"/>
      <c r="E4" s="346"/>
      <c r="F4" s="346"/>
      <c r="G4" s="346"/>
      <c r="H4" s="346"/>
      <c r="I4" s="346"/>
      <c r="J4" s="346"/>
    </row>
    <row r="5" spans="1:23" ht="18.75" customHeight="1" x14ac:dyDescent="0.15">
      <c r="A5" s="1" t="s">
        <v>2</v>
      </c>
      <c r="B5" s="5" t="s">
        <v>154</v>
      </c>
      <c r="C5" s="102"/>
      <c r="D5" s="102"/>
      <c r="E5" s="103"/>
      <c r="F5" s="103"/>
      <c r="G5" s="103"/>
      <c r="H5" s="103"/>
      <c r="I5" s="103"/>
      <c r="J5" s="103"/>
    </row>
    <row r="6" spans="1:23" ht="18.75" customHeight="1" x14ac:dyDescent="0.15">
      <c r="B6" s="215" t="s">
        <v>155</v>
      </c>
      <c r="C6" s="216"/>
      <c r="D6" s="217"/>
      <c r="E6" s="347" t="s">
        <v>156</v>
      </c>
      <c r="F6" s="347"/>
      <c r="G6" s="347"/>
      <c r="H6" s="347"/>
      <c r="I6" s="347"/>
      <c r="J6" s="348"/>
    </row>
    <row r="7" spans="1:23" ht="18.75" customHeight="1" x14ac:dyDescent="0.15">
      <c r="B7" s="6" t="s">
        <v>157</v>
      </c>
      <c r="C7" s="8"/>
      <c r="D7" s="18"/>
      <c r="E7" s="3"/>
      <c r="F7" s="3"/>
      <c r="G7" s="3"/>
      <c r="H7" s="3"/>
      <c r="I7" s="15"/>
      <c r="J7" s="16"/>
    </row>
    <row r="8" spans="1:23" ht="202.5" customHeight="1" x14ac:dyDescent="0.15">
      <c r="B8" s="17"/>
      <c r="C8" s="331" t="s">
        <v>158</v>
      </c>
      <c r="D8" s="332"/>
      <c r="E8" s="344" t="s">
        <v>174</v>
      </c>
      <c r="F8" s="333"/>
      <c r="G8" s="333"/>
      <c r="H8" s="333"/>
      <c r="I8" s="333"/>
      <c r="J8" s="334"/>
    </row>
    <row r="9" spans="1:23" ht="202.5" customHeight="1" x14ac:dyDescent="0.15">
      <c r="B9" s="17"/>
      <c r="C9" s="329" t="s">
        <v>159</v>
      </c>
      <c r="D9" s="330"/>
      <c r="E9" s="344" t="s">
        <v>185</v>
      </c>
      <c r="F9" s="333"/>
      <c r="G9" s="333"/>
      <c r="H9" s="333"/>
      <c r="I9" s="333"/>
      <c r="J9" s="334"/>
    </row>
    <row r="10" spans="1:23" ht="172.5" customHeight="1" x14ac:dyDescent="0.15">
      <c r="B10" s="17"/>
      <c r="C10" s="331" t="s">
        <v>160</v>
      </c>
      <c r="D10" s="332"/>
      <c r="E10" s="344" t="s">
        <v>190</v>
      </c>
      <c r="F10" s="333"/>
      <c r="G10" s="333"/>
      <c r="H10" s="333"/>
      <c r="I10" s="333"/>
      <c r="J10" s="334"/>
      <c r="L10" s="1">
        <f>LEN(E10)</f>
        <v>292</v>
      </c>
    </row>
    <row r="11" spans="1:23" ht="172.5" customHeight="1" x14ac:dyDescent="0.15">
      <c r="B11" s="17"/>
      <c r="C11" s="331" t="s">
        <v>161</v>
      </c>
      <c r="D11" s="332"/>
      <c r="E11" s="344" t="s">
        <v>186</v>
      </c>
      <c r="F11" s="333"/>
      <c r="G11" s="333"/>
      <c r="H11" s="333"/>
      <c r="I11" s="333"/>
      <c r="J11" s="334"/>
      <c r="L11" s="1">
        <f>LEN(E11)</f>
        <v>242</v>
      </c>
      <c r="M11" s="116"/>
      <c r="N11" s="117"/>
      <c r="O11" s="117"/>
    </row>
    <row r="12" spans="1:23" ht="172.5" customHeight="1" x14ac:dyDescent="0.15">
      <c r="B12" s="17"/>
      <c r="C12" s="331" t="s">
        <v>162</v>
      </c>
      <c r="D12" s="332"/>
      <c r="E12" s="344" t="s">
        <v>191</v>
      </c>
      <c r="F12" s="333"/>
      <c r="G12" s="333"/>
      <c r="H12" s="333"/>
      <c r="I12" s="333"/>
      <c r="J12" s="334"/>
      <c r="L12" s="1">
        <f>LEN(E12)</f>
        <v>234</v>
      </c>
      <c r="M12" s="1" t="s">
        <v>170</v>
      </c>
      <c r="N12" s="114"/>
      <c r="O12" s="114"/>
      <c r="P12" s="114"/>
      <c r="Q12" s="114"/>
      <c r="R12" s="114"/>
      <c r="S12" s="114"/>
      <c r="T12" s="114"/>
      <c r="U12" s="114"/>
      <c r="V12" s="114"/>
      <c r="W12" s="1">
        <f>LEN(N12)</f>
        <v>0</v>
      </c>
    </row>
    <row r="13" spans="1:23" ht="18.75" customHeight="1" x14ac:dyDescent="0.15">
      <c r="B13" s="20" t="s">
        <v>163</v>
      </c>
      <c r="C13" s="30"/>
      <c r="D13" s="19"/>
      <c r="E13" s="118"/>
      <c r="F13" s="118"/>
      <c r="G13" s="118"/>
      <c r="H13" s="118"/>
      <c r="I13" s="118"/>
      <c r="J13" s="119"/>
    </row>
    <row r="14" spans="1:23" ht="255" customHeight="1" x14ac:dyDescent="0.15">
      <c r="B14" s="17"/>
      <c r="C14" s="331" t="s">
        <v>164</v>
      </c>
      <c r="D14" s="332"/>
      <c r="E14" s="333" t="s">
        <v>187</v>
      </c>
      <c r="F14" s="333"/>
      <c r="G14" s="333"/>
      <c r="H14" s="333"/>
      <c r="I14" s="333"/>
      <c r="J14" s="334"/>
      <c r="M14" s="91"/>
    </row>
    <row r="15" spans="1:23" ht="255" customHeight="1" x14ac:dyDescent="0.15">
      <c r="B15" s="17"/>
      <c r="C15" s="335" t="s">
        <v>165</v>
      </c>
      <c r="D15" s="336"/>
      <c r="E15" s="337" t="s">
        <v>188</v>
      </c>
      <c r="F15" s="337"/>
      <c r="G15" s="337"/>
      <c r="H15" s="337"/>
      <c r="I15" s="337"/>
      <c r="J15" s="338"/>
    </row>
    <row r="16" spans="1:23" ht="232.5" customHeight="1" x14ac:dyDescent="0.15">
      <c r="B16" s="339" t="s">
        <v>166</v>
      </c>
      <c r="C16" s="340"/>
      <c r="D16" s="332"/>
      <c r="E16" s="333" t="s">
        <v>189</v>
      </c>
      <c r="F16" s="333"/>
      <c r="G16" s="333"/>
      <c r="H16" s="333"/>
      <c r="I16" s="333"/>
      <c r="J16" s="334"/>
    </row>
    <row r="17" spans="1:10" ht="232.5" customHeight="1" x14ac:dyDescent="0.15">
      <c r="A17" s="37"/>
      <c r="B17" s="326" t="s">
        <v>167</v>
      </c>
      <c r="C17" s="327"/>
      <c r="D17" s="328"/>
      <c r="E17" s="349" t="s">
        <v>171</v>
      </c>
      <c r="F17" s="350"/>
      <c r="G17" s="350"/>
      <c r="H17" s="350"/>
      <c r="I17" s="350"/>
      <c r="J17" s="351"/>
    </row>
    <row r="18" spans="1:10" ht="7.5" customHeight="1" x14ac:dyDescent="0.15">
      <c r="B18" s="102"/>
      <c r="C18" s="102"/>
      <c r="D18" s="102"/>
      <c r="E18" s="103"/>
      <c r="F18" s="103"/>
      <c r="G18" s="103"/>
      <c r="H18" s="103"/>
      <c r="I18" s="103"/>
      <c r="J18" s="103"/>
    </row>
    <row r="19" spans="1:10" ht="18.75" customHeight="1" x14ac:dyDescent="0.15">
      <c r="B19" s="5"/>
      <c r="C19" s="102"/>
      <c r="D19" s="102"/>
      <c r="E19" s="103"/>
      <c r="F19" s="31"/>
      <c r="G19" s="31"/>
      <c r="H19" s="43" t="s">
        <v>168</v>
      </c>
      <c r="I19" s="38"/>
      <c r="J19" s="39"/>
    </row>
    <row r="20" spans="1:10" ht="18.75" customHeight="1" x14ac:dyDescent="0.15">
      <c r="A20" s="3" t="s">
        <v>4</v>
      </c>
      <c r="B20" s="40" t="s">
        <v>169</v>
      </c>
      <c r="C20" s="41"/>
      <c r="D20" s="41"/>
      <c r="E20" s="42"/>
      <c r="F20" s="120" t="s">
        <v>192</v>
      </c>
      <c r="G20" s="31"/>
      <c r="H20" s="341" t="s">
        <v>194</v>
      </c>
      <c r="I20" s="342"/>
      <c r="J20" s="343"/>
    </row>
    <row r="21" spans="1:10" ht="22.5" customHeight="1" x14ac:dyDescent="0.15">
      <c r="B21" s="102"/>
      <c r="C21" s="102"/>
      <c r="D21" s="102"/>
      <c r="E21" s="103"/>
      <c r="F21" s="103"/>
      <c r="G21" s="103"/>
      <c r="H21" s="103"/>
      <c r="I21" s="103"/>
      <c r="J21" s="103"/>
    </row>
    <row r="22" spans="1:10" ht="22.5" customHeight="1" x14ac:dyDescent="0.15">
      <c r="B22" s="102"/>
      <c r="C22" s="102"/>
      <c r="D22" s="102"/>
      <c r="E22" s="103"/>
      <c r="F22" s="103"/>
      <c r="G22" s="103"/>
      <c r="H22" s="103"/>
      <c r="I22" s="103"/>
      <c r="J22" s="103"/>
    </row>
    <row r="23" spans="1:10" ht="22.5" customHeight="1" x14ac:dyDescent="0.15">
      <c r="B23" s="102"/>
      <c r="C23" s="102"/>
      <c r="D23" s="102"/>
      <c r="E23" s="103"/>
      <c r="F23" s="103"/>
      <c r="G23" s="103"/>
      <c r="H23" s="103"/>
      <c r="I23" s="103"/>
      <c r="J23" s="103"/>
    </row>
    <row r="24" spans="1:10" ht="22.5" customHeight="1" x14ac:dyDescent="0.15">
      <c r="B24" s="102"/>
      <c r="C24" s="102"/>
      <c r="D24" s="102"/>
      <c r="E24" s="103"/>
      <c r="F24" s="103"/>
      <c r="G24" s="103"/>
      <c r="H24" s="103"/>
      <c r="I24" s="103"/>
      <c r="J24" s="103"/>
    </row>
    <row r="25" spans="1:10" ht="22.5" customHeight="1" x14ac:dyDescent="0.15">
      <c r="B25" s="102"/>
      <c r="C25" s="102"/>
      <c r="D25" s="102"/>
      <c r="E25" s="103"/>
      <c r="F25" s="103"/>
      <c r="G25" s="103"/>
      <c r="H25" s="103"/>
      <c r="I25" s="103"/>
      <c r="J25" s="103"/>
    </row>
    <row r="26" spans="1:10" ht="22.5" customHeight="1" x14ac:dyDescent="0.15">
      <c r="B26" s="13"/>
      <c r="C26" s="13"/>
      <c r="D26" s="13"/>
      <c r="E26" s="13"/>
      <c r="F26" s="13"/>
      <c r="G26" s="13"/>
      <c r="H26" s="13"/>
      <c r="I26" s="13"/>
      <c r="J26" s="13"/>
    </row>
    <row r="27" spans="1:10" ht="22.5" customHeight="1" x14ac:dyDescent="0.15">
      <c r="B27" s="13"/>
      <c r="C27" s="13"/>
      <c r="D27" s="13"/>
      <c r="E27" s="13"/>
      <c r="F27" s="13"/>
      <c r="G27" s="13"/>
      <c r="H27" s="13"/>
      <c r="I27" s="13"/>
      <c r="J27" s="13"/>
    </row>
    <row r="28" spans="1:10" ht="22.5" customHeight="1" x14ac:dyDescent="0.15">
      <c r="B28" s="13"/>
      <c r="C28" s="13"/>
      <c r="D28" s="13"/>
      <c r="E28" s="13"/>
      <c r="F28" s="13"/>
      <c r="G28" s="13"/>
      <c r="H28" s="13"/>
      <c r="I28" s="13"/>
      <c r="J28" s="13"/>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4BF9C37381F5042B0F16FF834D55E1B" ma:contentTypeVersion="9" ma:contentTypeDescription="新しいドキュメントを作成します。" ma:contentTypeScope="" ma:versionID="9f39a41a71aec08e4b652ce610fcfe1d">
  <xsd:schema xmlns:xsd="http://www.w3.org/2001/XMLSchema" xmlns:xs="http://www.w3.org/2001/XMLSchema" xmlns:p="http://schemas.microsoft.com/office/2006/metadata/properties" xmlns:ns2="0f99ddff-0696-4ca2-b289-1e18b44b2ddb" xmlns:ns3="daf5378a-14c4-4f43-9c6d-2d5d5a9a7811" targetNamespace="http://schemas.microsoft.com/office/2006/metadata/properties" ma:root="true" ma:fieldsID="57239a9fb5471e1bf8c543e35d3f21fa" ns2:_="" ns3:_="">
    <xsd:import namespace="0f99ddff-0696-4ca2-b289-1e18b44b2ddb"/>
    <xsd:import namespace="daf5378a-14c4-4f43-9c6d-2d5d5a9a781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9ddff-0696-4ca2-b289-1e18b44b2d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f5378a-14c4-4f43-9c6d-2d5d5a9a7811"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53F5A8-1E2B-4788-911B-7A9FEAE76A4D}">
  <ds:schemaRefs>
    <ds:schemaRef ds:uri="http://schemas.microsoft.com/sharepoint/v3/contenttype/forms"/>
  </ds:schemaRefs>
</ds:datastoreItem>
</file>

<file path=customXml/itemProps2.xml><?xml version="1.0" encoding="utf-8"?>
<ds:datastoreItem xmlns:ds="http://schemas.openxmlformats.org/officeDocument/2006/customXml" ds:itemID="{2FB58BDA-9A10-4104-9054-7551A15E0400}">
  <ds:schemaRefs>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0f99ddff-0696-4ca2-b289-1e18b44b2ddb"/>
    <ds:schemaRef ds:uri="http://purl.org/dc/elements/1.1/"/>
    <ds:schemaRef ds:uri="daf5378a-14c4-4f43-9c6d-2d5d5a9a7811"/>
    <ds:schemaRef ds:uri="http://www.w3.org/XML/1998/namespace"/>
  </ds:schemaRefs>
</ds:datastoreItem>
</file>

<file path=customXml/itemProps3.xml><?xml version="1.0" encoding="utf-8"?>
<ds:datastoreItem xmlns:ds="http://schemas.openxmlformats.org/officeDocument/2006/customXml" ds:itemID="{A57BF389-8D0F-4C44-B95B-6EABA5E5E3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9ddff-0696-4ca2-b289-1e18b44b2ddb"/>
    <ds:schemaRef ds:uri="daf5378a-14c4-4f43-9c6d-2d5d5a9a78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kyomu02</cp:lastModifiedBy>
  <cp:revision/>
  <cp:lastPrinted>2021-07-14T03:09:42Z</cp:lastPrinted>
  <dcterms:created xsi:type="dcterms:W3CDTF">2011-06-14T05:32:50Z</dcterms:created>
  <dcterms:modified xsi:type="dcterms:W3CDTF">2021-07-14T03:11:00Z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0x01010044BF9C37381F5042B0F16FF834D55E1B</vt:lpwstr>
  </property>
</Properties>
</file>