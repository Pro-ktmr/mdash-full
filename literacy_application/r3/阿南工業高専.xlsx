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75"/>
  <workbookPr defaultThemeVersion="124226"/>
  <mc:AlternateContent xmlns:mc="http://schemas.openxmlformats.org/markup-compatibility/2006">
    <mc:Choice Requires="x15">
      <x15ac:absPath xmlns:x15ac="http://schemas.microsoft.com/office/spreadsheetml/2010/11/ac" url="C:\Users\遠隔授業担当\Desktop\提出書類\"/>
    </mc:Choice>
  </mc:AlternateContent>
  <xr:revisionPtr revIDLastSave="0" documentId="13_ncr:1_{AAF702F2-5697-42AA-9E36-E717E6A6DFDC}" xr6:coauthVersionLast="36" xr6:coauthVersionMax="36" xr10:uidLastSave="{00000000-0000-0000-0000-000000000000}"/>
  <bookViews>
    <workbookView xWindow="0" yWindow="0" windowWidth="25200" windowHeight="11685" tabRatio="885" xr2:uid="{00000000-000D-0000-FFFF-FFFF00000000}"/>
  </bookViews>
  <sheets>
    <sheet name="様式１　大学等概要" sheetId="8" r:id="rId1"/>
    <sheet name="様式２　プログラムを構成する授業科目" sheetId="9" r:id="rId2"/>
    <sheet name="様式３　履修者等数の実績" sheetId="31" r:id="rId3"/>
    <sheet name="様式4　プログラムの授業内容・概要" sheetId="34" r:id="rId4"/>
    <sheet name="様式５　教育の質・履修者数を向上させるための体制・計画" sheetId="35" r:id="rId5"/>
    <sheet name="様式６　自己点検・評価" sheetId="36" r:id="rId6"/>
    <sheet name="様式７　特色ある取組" sheetId="37" r:id="rId7"/>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大学等概要'!$A$1:$N$47</definedName>
    <definedName name="_xlnm.Print_Area" localSheetId="1">'様式２　プログラムを構成する授業科目'!$A$1:$I$44</definedName>
    <definedName name="_xlnm.Print_Area" localSheetId="2">'様式３　履修者等数の実績'!$A$1:$R$29</definedName>
    <definedName name="_xlnm.Print_Area" localSheetId="4">'様式５　教育の質・履修者数を向上させるための体制・計画'!$A$1:$E$134</definedName>
    <definedName name="_xlnm.Print_Area" localSheetId="5">'様式６　自己点検・評価'!$A$1:$J$20</definedName>
    <definedName name="_xlnm.Print_Area" localSheetId="6">'様式７　特色ある取組'!$A$1:$F$130</definedName>
  </definedNames>
  <calcPr calcId="191029"/>
</workbook>
</file>

<file path=xl/calcChain.xml><?xml version="1.0" encoding="utf-8"?>
<calcChain xmlns="http://schemas.openxmlformats.org/spreadsheetml/2006/main">
  <c r="D13" i="31" l="1"/>
  <c r="D12" i="31"/>
  <c r="D11" i="31"/>
  <c r="D10" i="31"/>
  <c r="D9" i="31"/>
  <c r="Q16" i="31" l="1"/>
  <c r="R16" i="31" s="1"/>
  <c r="P28" i="31" l="1"/>
  <c r="O28" i="31"/>
  <c r="N28" i="31"/>
  <c r="M28" i="31"/>
  <c r="L28" i="31"/>
  <c r="K28" i="31"/>
  <c r="J28" i="31"/>
  <c r="I28" i="31"/>
  <c r="H28" i="31"/>
  <c r="G28" i="31"/>
  <c r="F28" i="31"/>
  <c r="E28" i="31"/>
  <c r="D28" i="31"/>
  <c r="Q27" i="31"/>
  <c r="R27" i="31" s="1"/>
  <c r="Q26" i="31"/>
  <c r="R26" i="31" s="1"/>
  <c r="Q25" i="31"/>
  <c r="R25" i="31" s="1"/>
  <c r="Q24" i="31"/>
  <c r="R24" i="31" s="1"/>
  <c r="Q23" i="31"/>
  <c r="R23" i="31" s="1"/>
  <c r="Q22" i="31"/>
  <c r="R22" i="31" s="1"/>
  <c r="Q21" i="31"/>
  <c r="R21" i="31" s="1"/>
  <c r="Q20" i="31"/>
  <c r="R20" i="31" s="1"/>
  <c r="Q19" i="31"/>
  <c r="R19" i="31" s="1"/>
  <c r="Q18" i="31"/>
  <c r="R18" i="31" s="1"/>
  <c r="Q17" i="31"/>
  <c r="R17" i="31" s="1"/>
  <c r="Q15" i="31"/>
  <c r="R15" i="31" s="1"/>
  <c r="Q14" i="31"/>
  <c r="R14" i="31" s="1"/>
  <c r="Q13" i="31"/>
  <c r="R13" i="31" s="1"/>
  <c r="Q12" i="31"/>
  <c r="R12" i="31" s="1"/>
  <c r="Q11" i="31"/>
  <c r="R11" i="31" s="1"/>
  <c r="Q10" i="31"/>
  <c r="R10" i="31" s="1"/>
  <c r="Q9" i="31"/>
  <c r="R9" i="31" s="1"/>
  <c r="Q8" i="31"/>
  <c r="Q28" i="31" l="1"/>
  <c r="R28" i="31" s="1"/>
  <c r="R8" i="31"/>
</calcChain>
</file>

<file path=xl/sharedStrings.xml><?xml version="1.0" encoding="utf-8"?>
<sst xmlns="http://schemas.openxmlformats.org/spreadsheetml/2006/main" count="280" uniqueCount="221">
  <si>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</si>
  <si>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</si>
  <si>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</si>
  <si>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</si>
  <si>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</si>
  <si>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</si>
  <si>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</si>
  <si>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</si>
  <si>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</si>
  <si>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</si>
  <si>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</si>
  <si>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</si>
  <si>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</si>
  <si>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</si>
  <si>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</si>
  <si>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様式７</t>
    <rPh sb="0" eb="2">
      <t>ヨウシキ</t>
    </rPh>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</si>
  <si>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</si>
  <si>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</si>
  <si>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</si>
  <si>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</si>
  <si>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</si>
  <si>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</si>
  <si>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</si>
  <si>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</si>
  <si>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</si>
  <si>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</si>
  <si>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</si>
  <si>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</si>
  <si>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</si>
  <si>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</si>
  <si>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学校名：</t>
    <rPh sb="0" eb="3">
      <t>ガッコウメイ</t>
    </rPh>
    <phoneticPr fontId="1"/>
  </si>
  <si>
    <t>学校名：</t>
    <rPh sb="0" eb="2">
      <t>ガッコウ</t>
    </rPh>
    <rPh sb="2" eb="3">
      <t>メイ</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</si>
  <si>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</si>
  <si>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</si>
  <si>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</si>
  <si>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</si>
  <si>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</si>
  <si>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</si>
  <si>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</si>
  <si>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</si>
  <si>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</si>
  <si>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</si>
  <si>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</si>
  <si>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</si>
  <si>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</si>
  <si>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</si>
  <si>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</si>
  <si>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</si>
  <si>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自己点検・評価体制における意見等の公表の有無</t>
    <rPh sb="17" eb="19">
      <t>コウヒョウ</t>
    </rPh>
    <rPh sb="20" eb="22">
      <t>ウム</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</si>
  <si>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</si>
  <si>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</si>
  <si>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</si>
  <si>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</si>
  <si>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</si>
  <si>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</si>
  <si>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</si>
  <si>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</si>
  <si>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設置形態</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</si>
  <si>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</si>
  <si>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</si>
  <si>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</si>
  <si>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</si>
  <si>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</si>
  <si>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</si>
  <si>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学校名：</t>
    <rPh sb="0" eb="2">
      <t>ガッコウ</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</si>
  <si>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</si>
  <si>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</si>
  <si>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</si>
  <si>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</si>
  <si>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</si>
  <si>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</si>
  <si>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</si>
  <si>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</si>
  <si>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授業に含まれている内容・要素</t>
    <rPh sb="0" eb="2">
      <t>ジュギョウ</t>
    </rPh>
    <rPh sb="3" eb="4">
      <t>フク</t>
    </rPh>
    <rPh sb="9" eb="11">
      <t>ナイヨウ</t>
    </rPh>
    <rPh sb="12" eb="14">
      <t>ヨウソ</t>
    </rPh>
    <phoneticPr fontId="1"/>
  </si>
  <si>
    <t>学校名：</t>
    <rPh sb="0" eb="2">
      <t>ガッコウ</t>
    </rPh>
    <rPh sb="2" eb="3">
      <t>メイ</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</si>
  <si>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</si>
  <si>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</si>
  <si>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</si>
  <si>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</si>
  <si>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</si>
  <si>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</si>
  <si>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</si>
  <si>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</si>
  <si>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</si>
  <si>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</si>
  <si>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</si>
  <si>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</si>
  <si>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学校名</t>
    <rPh sb="0" eb="3">
      <t>ガッコウメイ</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</si>
  <si>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</si>
  <si>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</si>
  <si>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</si>
  <si>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</si>
  <si>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</si>
  <si>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</si>
  <si>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プログラムの授業内容・概要</t>
    <rPh sb="6" eb="8">
      <t>ジュギョウ</t>
    </rPh>
    <rPh sb="8" eb="10">
      <t>ナイヨウ</t>
    </rPh>
    <rPh sb="11" eb="13">
      <t>ガイヨウ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</si>
  <si>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</si>
  <si>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</si>
  <si>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③</t>
    <phoneticPr fontId="1"/>
  </si>
  <si>
    <t>プログラムの授業内容等を公表しているアドレス</t>
    <rPh sb="6" eb="8">
      <t>ジュギョウ</t>
    </rPh>
    <rPh sb="8" eb="10">
      <t>ナイヨウ</t>
    </rPh>
    <rPh sb="10" eb="11">
      <t>トウ</t>
    </rPh>
    <rPh sb="12" eb="14">
      <t>コウヒョウ</t>
    </rPh>
    <phoneticPr fontId="1"/>
  </si>
  <si>
    <t>④</t>
    <phoneticPr fontId="1"/>
  </si>
  <si>
    <t>プログラムの学修成果（学生等が身に付けられる能力等）</t>
  </si>
  <si>
    <t>教育プログラムの修了要件</t>
    <rPh sb="8" eb="10">
      <t>シュウリョウ</t>
    </rPh>
    <phoneticPr fontId="1"/>
  </si>
  <si>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</si>
  <si>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</si>
  <si>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</si>
  <si>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様式５</t>
    <rPh sb="0" eb="2">
      <t>ヨウシキ</t>
    </rPh>
    <phoneticPr fontId="1"/>
  </si>
  <si>
    <t>授業概要</t>
    <rPh sb="0" eb="2">
      <t>ジュギョウ</t>
    </rPh>
    <rPh sb="2" eb="4">
      <t>ガイヨウ</t>
    </rPh>
    <phoneticPr fontId="1"/>
  </si>
  <si>
    <t>授業科目名称</t>
    <rPh sb="0" eb="2">
      <t>ジュギョウ</t>
    </rPh>
    <rPh sb="2" eb="6">
      <t>カモクメイショウ</t>
    </rPh>
    <phoneticPr fontId="1"/>
  </si>
  <si>
    <t>講義テーマ</t>
    <rPh sb="0" eb="2">
      <t>コウギ</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</si>
  <si>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</si>
  <si>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</si>
  <si>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</si>
  <si>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</si>
  <si>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</si>
  <si>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※公表している場合のアドレス</t>
    <rPh sb="1" eb="3">
      <t>コウヒョウ</t>
    </rPh>
    <rPh sb="7" eb="9">
      <t>バアイ</t>
    </rPh>
    <phoneticPr fontId="1"/>
  </si>
  <si>
    <t>（責任者名）</t>
    <rPh sb="1" eb="4">
      <t>セキニンシャ</t>
    </rPh>
    <rPh sb="4" eb="5">
      <t>メイ</t>
    </rPh>
    <phoneticPr fontId="1"/>
  </si>
  <si>
    <t>プログラムの運営責任者</t>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</si>
  <si>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</si>
  <si>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</si>
  <si>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</si>
  <si>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</si>
  <si>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</si>
  <si>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</si>
  <si>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プログラムの履修者数等の実績について</t>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</si>
  <si>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</si>
  <si>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⑪</t>
    <phoneticPr fontId="1"/>
  </si>
  <si>
    <t>全学部・学科の入学定員</t>
    <rPh sb="0" eb="1">
      <t>ゼン</t>
    </rPh>
    <rPh sb="1" eb="3">
      <t>ガクブ</t>
    </rPh>
    <rPh sb="4" eb="6">
      <t>ガッカ</t>
    </rPh>
    <rPh sb="7" eb="9">
      <t>ニュウガク</t>
    </rPh>
    <rPh sb="9" eb="11">
      <t>テイイン</t>
    </rPh>
    <phoneticPr fontId="1"/>
  </si>
  <si>
    <t>全学部・学科の学生数（学年別）</t>
    <rPh sb="0" eb="1">
      <t>ゼン</t>
    </rPh>
    <rPh sb="1" eb="3">
      <t>ガクブ</t>
    </rPh>
    <rPh sb="4" eb="6">
      <t>ガッカ</t>
    </rPh>
    <rPh sb="7" eb="10">
      <t>ガクセイスウ</t>
    </rPh>
    <rPh sb="11" eb="13">
      <t>ガクネン</t>
    </rPh>
    <rPh sb="13" eb="14">
      <t>ベツ</t>
    </rPh>
    <phoneticPr fontId="1"/>
  </si>
  <si>
    <t>申請するプログラム又は授業科目名称</t>
    <rPh sb="0" eb="2">
      <t>シンセイ</t>
    </rPh>
    <rPh sb="9" eb="10">
      <t>マタ</t>
    </rPh>
    <rPh sb="11" eb="13">
      <t>ジュギョウ</t>
    </rPh>
    <rPh sb="13" eb="15">
      <t>カモク</t>
    </rPh>
    <rPh sb="15" eb="17">
      <t>メイショウ</t>
    </rPh>
    <phoneticPr fontId="1"/>
  </si>
  <si>
    <t>⑮連絡先</t>
    <rPh sb="1" eb="4">
      <t>レンラクサキ</t>
    </rPh>
    <phoneticPr fontId="1"/>
  </si>
  <si>
    <t>学部・学科等名称</t>
    <rPh sb="0" eb="2">
      <t>ガクブ</t>
    </rPh>
    <rPh sb="3" eb="5">
      <t>ガッカ</t>
    </rPh>
    <rPh sb="5" eb="6">
      <t>トウ</t>
    </rPh>
    <rPh sb="6" eb="8">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</si>
  <si>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</si>
  <si>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</si>
  <si>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</si>
  <si>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</si>
  <si>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情報リテラシー</t>
    <rPh sb="0" eb="2">
      <t>ジョウホウ</t>
    </rPh>
    <phoneticPr fontId="1"/>
  </si>
  <si>
    <t>学部・学科によって、修了要件は相違しない</t>
  </si>
  <si>
    <t>化学２（２年）</t>
    <rPh sb="0" eb="2">
      <t>カガク</t>
    </rPh>
    <rPh sb="5" eb="6">
      <t>ネン</t>
    </rPh>
    <phoneticPr fontId="1"/>
  </si>
  <si>
    <t>物理２（２年）</t>
    <rPh sb="0" eb="2">
      <t>ブツリ</t>
    </rPh>
    <rPh sb="5" eb="6">
      <t>ネン</t>
    </rPh>
    <phoneticPr fontId="1"/>
  </si>
  <si>
    <t>ものづくり工学（１年）</t>
    <rPh sb="5" eb="7">
      <t>コウガク</t>
    </rPh>
    <rPh sb="9" eb="10">
      <t>ネン</t>
    </rPh>
    <phoneticPr fontId="1"/>
  </si>
  <si>
    <t>情報リテラシー（１年）</t>
    <rPh sb="0" eb="2">
      <t>ジョウホウ</t>
    </rPh>
    <rPh sb="9" eb="10">
      <t>ネン</t>
    </rPh>
    <phoneticPr fontId="1"/>
  </si>
  <si>
    <t>共同教育（４年）</t>
    <rPh sb="0" eb="2">
      <t>キョウドウ</t>
    </rPh>
    <rPh sb="2" eb="4">
      <t>キョウイク</t>
    </rPh>
    <rPh sb="6" eb="7">
      <t>ネン</t>
    </rPh>
    <phoneticPr fontId="1"/>
  </si>
  <si>
    <t>情報検索とWeb（２０）</t>
    <phoneticPr fontId="1"/>
  </si>
  <si>
    <t>ものづくり工学</t>
    <rPh sb="5" eb="7">
      <t>コウガク</t>
    </rPh>
    <phoneticPr fontId="1"/>
  </si>
  <si>
    <t>共同教育</t>
    <rPh sb="0" eb="2">
      <t>キョウドウ</t>
    </rPh>
    <rPh sb="2" eb="4">
      <t>キョウイク</t>
    </rPh>
    <phoneticPr fontId="1"/>
  </si>
  <si>
    <t>パソコンの基本操作（３）・情報社会の特徴と問題点（２６）・セキュリティ対策（２７）</t>
    <phoneticPr fontId="1"/>
  </si>
  <si>
    <t>物理２</t>
    <rPh sb="0" eb="2">
      <t>ブツリ</t>
    </rPh>
    <phoneticPr fontId="1"/>
  </si>
  <si>
    <t>化学２</t>
    <rPh sb="0" eb="2">
      <t>カガク</t>
    </rPh>
    <phoneticPr fontId="1"/>
  </si>
  <si>
    <t>化学反応の速さ（２０）</t>
    <phoneticPr fontId="1"/>
  </si>
  <si>
    <t>課題選定・作業計画作成（１～３）・課題への取り組み（６～１４）・取り組み成果の発表（１６）</t>
    <rPh sb="32" eb="33">
      <t>ト</t>
    </rPh>
    <rPh sb="34" eb="35">
      <t>ク</t>
    </rPh>
    <rPh sb="36" eb="38">
      <t>セイカ</t>
    </rPh>
    <phoneticPr fontId="1"/>
  </si>
  <si>
    <t>阿南工業高等専門学校</t>
    <rPh sb="0" eb="6">
      <t>アナンコウギョウコウトウ</t>
    </rPh>
    <rPh sb="6" eb="8">
      <t>センモン</t>
    </rPh>
    <rPh sb="8" eb="10">
      <t>ガッコウ</t>
    </rPh>
    <phoneticPr fontId="1"/>
  </si>
  <si>
    <t>阿南工業高等専門学校</t>
    <rPh sb="0" eb="2">
      <t>アナン</t>
    </rPh>
    <rPh sb="2" eb="4">
      <t>コウギョウ</t>
    </rPh>
    <rPh sb="4" eb="6">
      <t>コウトウ</t>
    </rPh>
    <rPh sb="6" eb="10">
      <t>センモンガッコウ</t>
    </rPh>
    <phoneticPr fontId="1"/>
  </si>
  <si>
    <t>確率統計（４年）</t>
    <rPh sb="0" eb="2">
      <t>カクリツ</t>
    </rPh>
    <rPh sb="2" eb="4">
      <t>トウケイ</t>
    </rPh>
    <rPh sb="6" eb="7">
      <t>ネン</t>
    </rPh>
    <phoneticPr fontId="1"/>
  </si>
  <si>
    <t>確率統計</t>
    <rPh sb="0" eb="2">
      <t>カクリツ</t>
    </rPh>
    <rPh sb="2" eb="4">
      <t>トウケイ</t>
    </rPh>
    <phoneticPr fontId="1"/>
  </si>
  <si>
    <t>阿南工業高等専門学校</t>
    <rPh sb="0" eb="4">
      <t>アナンコウギョウ</t>
    </rPh>
    <rPh sb="4" eb="6">
      <t>コウトウ</t>
    </rPh>
    <rPh sb="6" eb="10">
      <t>センモンガッコウ</t>
    </rPh>
    <phoneticPr fontId="1"/>
  </si>
  <si>
    <t>阿南工業高等専門学校</t>
    <rPh sb="0" eb="10">
      <t>アナンコウギョウコウトウセンモンガッコウ</t>
    </rPh>
    <phoneticPr fontId="1"/>
  </si>
  <si>
    <t>情報社会の特徴と問題点　（２６）</t>
    <phoneticPr fontId="1"/>
  </si>
  <si>
    <t>　インターネットを利用した情報収集方法について体験する。日常生活や社会活動の中に様々な種類のデータがあることを学び、情報を適切に収集・処理・発信するための基礎的な知識を得る。また、データの活用が社会活動に重要であることや広範な分野の課題を解決するために有効であることを学ぶ。
　現代社会の問題を考え、その解決に活用する具体的な技術やデータの種類をグループワークにて調査、発表しディスカッションする。</t>
    <rPh sb="38" eb="39">
      <t>ナカ</t>
    </rPh>
    <rPh sb="126" eb="128">
      <t>ユウコウ</t>
    </rPh>
    <rPh sb="173" eb="174">
      <t>カンガ</t>
    </rPh>
    <phoneticPr fontId="1"/>
  </si>
  <si>
    <t xml:space="preserve">　授業初頭において、パソコンの基本的な扱いの中で情報セキュリティについての基本を学ぶ。情報社会の特徴と問題点（２６）およびセキュリティ対策（２７）の講義において、情報社会の問題点の学習を通じて、コンピュータ利用における様々な脅威を認識する。また、情報セキュリティについてより理解を深め、インターネット(SNSを含む)やコンピュータの利用における様々な脅威に対して実践すべき対策について理解する。これら講義により、データや情報の取り扱い、発信、保護等に必要な原則、法規および倫理について学ぶ。
</t>
    <rPh sb="1" eb="3">
      <t>ジュギョウ</t>
    </rPh>
    <rPh sb="3" eb="5">
      <t>ショトウ</t>
    </rPh>
    <rPh sb="15" eb="18">
      <t>キホンテキ</t>
    </rPh>
    <rPh sb="19" eb="20">
      <t>アツカ</t>
    </rPh>
    <rPh sb="22" eb="23">
      <t>ナカ</t>
    </rPh>
    <rPh sb="24" eb="26">
      <t>ジョウホウ</t>
    </rPh>
    <rPh sb="37" eb="39">
      <t>キホン</t>
    </rPh>
    <rPh sb="40" eb="41">
      <t>マナ</t>
    </rPh>
    <rPh sb="74" eb="76">
      <t>コウギ</t>
    </rPh>
    <rPh sb="90" eb="92">
      <t>ガクシュウ</t>
    </rPh>
    <rPh sb="93" eb="94">
      <t>ツウ</t>
    </rPh>
    <rPh sb="140" eb="141">
      <t>フカ</t>
    </rPh>
    <rPh sb="192" eb="194">
      <t>リカイ</t>
    </rPh>
    <rPh sb="200" eb="202">
      <t>コウギ</t>
    </rPh>
    <rPh sb="210" eb="212">
      <t>ジョウホウ</t>
    </rPh>
    <rPh sb="223" eb="224">
      <t>トウ</t>
    </rPh>
    <phoneticPr fontId="1"/>
  </si>
  <si>
    <t>単振り子（実験）（１１）、熱（実験）（１３）</t>
    <phoneticPr fontId="1"/>
  </si>
  <si>
    <t>コース巡回実習（３〜１３）、SDGsゲーム（１７）、ステークホルダー講演会（２４）、共同教育発表会聴講（２５）</t>
    <rPh sb="34" eb="37">
      <t xml:space="preserve">コウエンカイ </t>
    </rPh>
    <rPh sb="42" eb="46">
      <t xml:space="preserve">キョウドウキョウイク </t>
    </rPh>
    <rPh sb="46" eb="49">
      <t xml:space="preserve">ハッピョウカイ </t>
    </rPh>
    <rPh sb="49" eb="51">
      <t xml:space="preserve">チョウコウ </t>
    </rPh>
    <phoneticPr fontId="1"/>
  </si>
  <si>
    <t>情報リテラシー</t>
    <rPh sb="0" eb="1">
      <t>ジョウホウリ</t>
    </rPh>
    <phoneticPr fontId="1"/>
  </si>
  <si>
    <t>Excelとデータ処理（１０〜１２）</t>
    <rPh sb="9" eb="11">
      <t xml:space="preserve">ショリ </t>
    </rPh>
    <phoneticPr fontId="1"/>
  </si>
  <si>
    <r>
      <t>　ものづくり工学では、本校が設置している機械・電気・情報・建設・化学の各専門コースの学習内容、現代社会における各分野の役割、最新技術の動向などを知り、実習体験も行うことで、各分野におけるデータの利活用事例を学ぶ。</t>
    </r>
    <r>
      <rPr>
        <sz val="12"/>
        <rFont val="ＭＳ Ｐゴシック"/>
        <family val="3"/>
        <charset val="128"/>
      </rPr>
      <t>さらに、地域社会において様々な課題解決や開発目標の達成が求められていることを知り、その実現にICTやデータサイエンスが活用されていることを認識する。</t>
    </r>
    <r>
      <rPr>
        <sz val="12"/>
        <rFont val="ＭＳ Ｐゴシック"/>
        <family val="3"/>
        <charset val="128"/>
        <scheme val="minor"/>
      </rPr>
      <t xml:space="preserve">
　共同教育では、異なる専門コースの学生とチーム（4・5名）を結成する。現代社会の中で解決するべき課題をインターネットなどを活用して収集・整理し、課題の選定を行う。課題への取り組み過程においても、インターネットの活用による情報収集や、各専門コースの知識・技術の情報交換、Excel、CAD、プログラミングなどの活用による解析、データ整理、技術開発などを行う。各チームの成果を発表、議論することで、他チームの取り組み内容についても把握する。各専門分野の持つ数理・データサイエンス・AIの知識・技術を融合することで新たな技術や情報を創出することができ、困難な課題の解決や生活向上に貢献できることを学ぶ。</t>
    </r>
    <phoneticPr fontId="1"/>
  </si>
  <si>
    <t xml:space="preserve">　情報化社会の特徴とその問題点についてグループで調査・発表を行い、現代社会で起きている変化(デジタル社会、Society5.0等)を概観し、データ、AIおよび様々な専門分野の技術が関わっていることを学ぶ。また、これらのデータ、AIおよび専門技術が社会変化にどのように影響し、我々の日常生活や社会活動にどのように組み込まれているかを学び、データ、AIおよび専門技術が技術革新･サービス展開および日常生活や社会活動に与える影響を考える。
</t>
    <rPh sb="33" eb="35">
      <t>ゲンダイ</t>
    </rPh>
    <rPh sb="206" eb="207">
      <t>アタ</t>
    </rPh>
    <phoneticPr fontId="1"/>
  </si>
  <si>
    <t xml:space="preserve">学生への学習支援
</t>
    <rPh sb="0" eb="2">
      <t xml:space="preserve">ガクセイヘノ </t>
    </rPh>
    <rPh sb="4" eb="8">
      <t xml:space="preserve">ガクシュウシエン </t>
    </rPh>
    <rPh sb="8" eb="10">
      <t>ゼンガクヒッシュウ</t>
    </rPh>
    <phoneticPr fontId="1"/>
  </si>
  <si>
    <t>様式４</t>
    <rPh sb="0" eb="2">
      <t>ヨウシキ</t>
    </rPh>
    <phoneticPr fontId="1"/>
  </si>
  <si>
    <t>　教育連携専門委員会は、数理・データサイエンス・AIの利活用にための基礎的素養の獲得と専門分野への応用を含め、教育の高度化に向け、教育課程全体の企画および調整、専任教員間の機能的連携などについて審議する。</t>
    <rPh sb="1" eb="10">
      <t xml:space="preserve">キョウイクレンケイセンモンイインカイハ， </t>
    </rPh>
    <rPh sb="12" eb="14">
      <t>スウリ</t>
    </rPh>
    <rPh sb="27" eb="30">
      <t xml:space="preserve">リカツヨウニタメノ </t>
    </rPh>
    <rPh sb="34" eb="37">
      <t>キソテキ</t>
    </rPh>
    <rPh sb="37" eb="39">
      <t>ソヨウ</t>
    </rPh>
    <rPh sb="40" eb="42">
      <t xml:space="preserve">カクトクト </t>
    </rPh>
    <rPh sb="43" eb="47">
      <t>センモンブンヤ</t>
    </rPh>
    <rPh sb="49" eb="51">
      <t>オウヨウ</t>
    </rPh>
    <rPh sb="55" eb="57">
      <t xml:space="preserve">キョウイクノ </t>
    </rPh>
    <rPh sb="58" eb="61">
      <t xml:space="preserve">コウドウカ </t>
    </rPh>
    <rPh sb="65" eb="68">
      <t xml:space="preserve">キョウイクカテイ </t>
    </rPh>
    <rPh sb="68" eb="70">
      <t xml:space="preserve">ゼンタイノ </t>
    </rPh>
    <rPh sb="71" eb="73">
      <t xml:space="preserve">キカク </t>
    </rPh>
    <rPh sb="76" eb="78">
      <t xml:space="preserve">チョウセイニ </t>
    </rPh>
    <rPh sb="85" eb="90">
      <t xml:space="preserve">キノウテキレンケイ </t>
    </rPh>
    <rPh sb="92" eb="93">
      <t>モクテキオコナ</t>
    </rPh>
    <phoneticPr fontId="1"/>
  </si>
  <si>
    <t>　本プログラムに関わる授業は全コースにおいて必修科目として開講し、ディプロマポリシーにおいて必修科目の修得を求めている。
　このことから卒業する学生は、必ず本プログラムに関わる授業を履修し、単位を修得している。
　したがって、卒業時のリテラシーレベル修得率は１００％である。</t>
    <rPh sb="1" eb="2">
      <t>ホン</t>
    </rPh>
    <rPh sb="8" eb="9">
      <t>カカ</t>
    </rPh>
    <rPh sb="11" eb="13">
      <t xml:space="preserve">ジュギョウ </t>
    </rPh>
    <rPh sb="14" eb="15">
      <t xml:space="preserve">ゼンコースニオイテ </t>
    </rPh>
    <rPh sb="22" eb="26">
      <t>ヒッシュウカモク</t>
    </rPh>
    <rPh sb="29" eb="31">
      <t xml:space="preserve">カイコウ </t>
    </rPh>
    <rPh sb="46" eb="50">
      <t xml:space="preserve">ヒッシュウカモクハ </t>
    </rPh>
    <rPh sb="51" eb="53">
      <t xml:space="preserve">シュウトクヲモトメテイル。 </t>
    </rPh>
    <rPh sb="81" eb="82">
      <t>ジ</t>
    </rPh>
    <rPh sb="85" eb="87">
      <t>リシュウ</t>
    </rPh>
    <rPh sb="91" eb="93">
      <t xml:space="preserve">リシュウシ， </t>
    </rPh>
    <rPh sb="95" eb="97">
      <t xml:space="preserve">タンイヲシュウトクシテイル。 </t>
    </rPh>
    <rPh sb="105" eb="106">
      <t>シュウトク</t>
    </rPh>
    <rPh sb="107" eb="109">
      <t>シュウトク</t>
    </rPh>
    <rPh sb="109" eb="110">
      <t>リツ</t>
    </rPh>
    <rPh sb="127" eb="129">
      <t>セッチ</t>
    </rPh>
    <rPh sb="132" eb="135">
      <t>ゼンガクテキ</t>
    </rPh>
    <rPh sb="136" eb="137">
      <t>キョウイク</t>
    </rPh>
    <phoneticPr fontId="1"/>
  </si>
  <si>
    <t>　本プログラムに関わる授業は全コースにおいて必修科目として開講し、ディプロマポリシーにおいて必修科目の修得を求めている。
　このことから卒業する学生は、必ず本プログラムに関わる授業を履修し、単位を修得している。
　したがって、卒業時のリテラシーレベル修得率は１００％である。</t>
    <rPh sb="107" eb="109">
      <t>シュウチ</t>
    </rPh>
    <rPh sb="111" eb="113">
      <t>ホンガク</t>
    </rPh>
    <rPh sb="129" eb="131">
      <t>ガメンセンヨウケイサイガクセイジョウホウウトカンキョウセイビ</t>
    </rPh>
    <phoneticPr fontId="1"/>
  </si>
  <si>
    <t xml:space="preserve">【ラーニング･マネージメント･システム】
　学習支援システムとしてラーニング･マネージメント･システムを全学に導入している。各授業のページにおいて、学生からの質問を受け付け、教員は個別にもしくは全体に回答している。
【補完的な教育】
　1･2年生を対象に、ティーチング･アシスタント（TA）補習を定期的に実施している。TAには、高学年学生を配している。令和3年度、この補習を拡充し、1年生補習をカリキュラム化する。
　担任教員は1-3年生に年3-4回の学生支援ミーティングを実施し、学習上の課題を聴き取り適切に助言するとともに、組織的な改善に接続している。
　バーチャル空間におけるTAサポートを試行し、今後、運用していく。これにより、1･2年生以外および補習に参加しにくい学生への学習支援を行う。
</t>
    <rPh sb="62" eb="65">
      <t xml:space="preserve">カクジュギョウノ </t>
    </rPh>
    <rPh sb="74" eb="76">
      <t xml:space="preserve">ガクセイカラノシツモンヲウケツケ， </t>
    </rPh>
    <rPh sb="87" eb="89">
      <t xml:space="preserve">キョウインハ </t>
    </rPh>
    <rPh sb="90" eb="92">
      <t xml:space="preserve">コベツニモシクハ </t>
    </rPh>
    <rPh sb="97" eb="99">
      <t xml:space="preserve">ゼンタイニカイトウシテイル。 </t>
    </rPh>
    <rPh sb="134" eb="135">
      <t xml:space="preserve">ハイシ， </t>
    </rPh>
    <phoneticPr fontId="1"/>
  </si>
  <si>
    <t xml:space="preserve">　数理・データサイエンス・AI教育は重要であるという認識のもと、本校では全コースに対し、本プログラムに関わる科目を必修科目として展開している。
　それらの履修状況および単位の取得状況は、進級判定会議において確認している。また、必修科目として開講しているため、卒業判定会議において本プログラムに関わる科目は卒業生全員が履修・修得していることを確認している。
　したがって、卒業時点では卒業生全員の履修率およびリテラシーレベル対応科目修得率は１００％となっている。
　教務システムにより単位取得状況を、学生および教職員で共有している。学生は自身の学修成果（単位取得状況）を、教職員は全学生の学修成果（単位取得状況）を把握し、適切に履修･修得するよう働きかけている。
</t>
    <rPh sb="1" eb="3">
      <t>スウリ</t>
    </rPh>
    <rPh sb="15" eb="17">
      <t>キョウイク</t>
    </rPh>
    <rPh sb="18" eb="20">
      <t>ジュウヨウ</t>
    </rPh>
    <rPh sb="26" eb="28">
      <t>ニンシキ</t>
    </rPh>
    <rPh sb="32" eb="34">
      <t>ホンコウ</t>
    </rPh>
    <rPh sb="36" eb="37">
      <t>ゼン</t>
    </rPh>
    <rPh sb="41" eb="42">
      <t>タイ</t>
    </rPh>
    <rPh sb="44" eb="45">
      <t>ホン</t>
    </rPh>
    <rPh sb="51" eb="52">
      <t>カカ</t>
    </rPh>
    <rPh sb="54" eb="56">
      <t>カモク</t>
    </rPh>
    <rPh sb="57" eb="61">
      <t>ヒッシュウカモク</t>
    </rPh>
    <rPh sb="64" eb="66">
      <t>テンカイ</t>
    </rPh>
    <rPh sb="76" eb="78">
      <t>リシュウ</t>
    </rPh>
    <rPh sb="78" eb="80">
      <t>ジョウキョウ</t>
    </rPh>
    <rPh sb="83" eb="85">
      <t>タンイ</t>
    </rPh>
    <rPh sb="86" eb="88">
      <t>シュトク</t>
    </rPh>
    <rPh sb="88" eb="90">
      <t>ジョウキョウ</t>
    </rPh>
    <rPh sb="92" eb="96">
      <t>シンキュウハンテイ</t>
    </rPh>
    <rPh sb="96" eb="98">
      <t>カイギ</t>
    </rPh>
    <rPh sb="102" eb="104">
      <t>カクニン</t>
    </rPh>
    <rPh sb="112" eb="116">
      <t>ヒッシュウカモク</t>
    </rPh>
    <rPh sb="119" eb="121">
      <t>カイコウ</t>
    </rPh>
    <rPh sb="128" eb="134">
      <t>ソツギョウハンテイカイギ</t>
    </rPh>
    <rPh sb="138" eb="139">
      <t>ホン</t>
    </rPh>
    <rPh sb="145" eb="146">
      <t>カカ</t>
    </rPh>
    <rPh sb="148" eb="150">
      <t>カモク</t>
    </rPh>
    <rPh sb="151" eb="154">
      <t>ソツギョウセイ</t>
    </rPh>
    <rPh sb="154" eb="156">
      <t>ゼンイン</t>
    </rPh>
    <rPh sb="157" eb="159">
      <t>リシュウ</t>
    </rPh>
    <rPh sb="160" eb="162">
      <t>シュウトク</t>
    </rPh>
    <rPh sb="169" eb="171">
      <t>カクニン</t>
    </rPh>
    <rPh sb="183" eb="186">
      <t>ソツギョウジ</t>
    </rPh>
    <rPh sb="186" eb="187">
      <t>テン</t>
    </rPh>
    <rPh sb="195" eb="198">
      <t>リシュウリツ</t>
    </rPh>
    <rPh sb="209" eb="216">
      <t>シュウトクリツ</t>
    </rPh>
    <rPh sb="232" eb="234">
      <t xml:space="preserve">キョウムシステム </t>
    </rPh>
    <rPh sb="241" eb="243">
      <t xml:space="preserve">タンイ </t>
    </rPh>
    <rPh sb="243" eb="247">
      <t xml:space="preserve">タインシュトクジョウキョウヲ </t>
    </rPh>
    <rPh sb="249" eb="251">
      <t xml:space="preserve">ガクセイオヨビ </t>
    </rPh>
    <rPh sb="254" eb="257">
      <t xml:space="preserve">キョウショクイン </t>
    </rPh>
    <rPh sb="258" eb="260">
      <t xml:space="preserve">キョウユウシテイル。 </t>
    </rPh>
    <rPh sb="265" eb="267">
      <t xml:space="preserve">ガクセイジシンハ </t>
    </rPh>
    <rPh sb="268" eb="270">
      <t xml:space="preserve">ジシンノ </t>
    </rPh>
    <rPh sb="271" eb="275">
      <t xml:space="preserve">ガクシュウセイカ </t>
    </rPh>
    <rPh sb="276" eb="282">
      <t xml:space="preserve">タンイシュトクジョウキョウ </t>
    </rPh>
    <rPh sb="285" eb="288">
      <t xml:space="preserve">キョウショクインハ </t>
    </rPh>
    <rPh sb="289" eb="292">
      <t xml:space="preserve">ゼンガクセイノ </t>
    </rPh>
    <rPh sb="293" eb="296">
      <t xml:space="preserve">ガクセイジシンハ </t>
    </rPh>
    <rPh sb="294" eb="295">
      <t>ブ</t>
    </rPh>
    <rPh sb="295" eb="296">
      <t>ガクブ</t>
    </rPh>
    <rPh sb="306" eb="308">
      <t xml:space="preserve">ハアクシ， </t>
    </rPh>
    <rPh sb="310" eb="312">
      <t xml:space="preserve">テキセツニ </t>
    </rPh>
    <rPh sb="313" eb="315">
      <t xml:space="preserve">リシュウ </t>
    </rPh>
    <rPh sb="316" eb="318">
      <t xml:space="preserve">シュウトク </t>
    </rPh>
    <rPh sb="322" eb="323">
      <t>ハタラキカケテイル。 リシュウ</t>
    </rPh>
    <phoneticPr fontId="1"/>
  </si>
  <si>
    <t>　本教育プログラム受講者全員に対して「シラバス記載到達目標達成度自己評価」を実施しており、学生の理解度を分析している。
　この評価のうち、本プログラムに関わる科目について該当する到達目標「パソコンを使うときに守るべきルール・マナーについて説明できる」「パソコンの構成やネットワークの仕組みについて説明できる」「パソコンにおけるソフトウエアの役割について説明できる」「収集した情報源や引用元の信頼性・正確性への配慮が必要となることを理解したうえで、課題の解決につながる情報を取捨選択できる」におよそ９８％の学生が到達しており、十分理解できていることが確認できる。
　これらの評価結果は、当該科目担当教員が把握し、学内で共有し、継続的な改善に活用している。</t>
    <rPh sb="23" eb="25">
      <t>キサイ</t>
    </rPh>
    <rPh sb="25" eb="29">
      <t>トウタツモクヒョウ</t>
    </rPh>
    <rPh sb="29" eb="32">
      <t>タッセイド</t>
    </rPh>
    <rPh sb="32" eb="34">
      <t>ジコ</t>
    </rPh>
    <rPh sb="34" eb="36">
      <t>ヒョウカ</t>
    </rPh>
    <rPh sb="38" eb="40">
      <t>ジッシ</t>
    </rPh>
    <rPh sb="45" eb="47">
      <t>ガクセイ</t>
    </rPh>
    <rPh sb="48" eb="51">
      <t>リカイド</t>
    </rPh>
    <rPh sb="52" eb="54">
      <t>ブンセキ</t>
    </rPh>
    <rPh sb="63" eb="65">
      <t xml:space="preserve">ヒョウカ </t>
    </rPh>
    <rPh sb="68" eb="69">
      <t>ホン</t>
    </rPh>
    <rPh sb="75" eb="76">
      <t>カカ</t>
    </rPh>
    <rPh sb="78" eb="80">
      <t>カモク</t>
    </rPh>
    <rPh sb="85" eb="86">
      <t>ガイトウ</t>
    </rPh>
    <rPh sb="88" eb="90">
      <t>トウタツ</t>
    </rPh>
    <rPh sb="90" eb="92">
      <t>モクヒョウ</t>
    </rPh>
    <rPh sb="251" eb="253">
      <t>ガクセイ</t>
    </rPh>
    <rPh sb="254" eb="256">
      <t>トウタツ</t>
    </rPh>
    <rPh sb="261" eb="263">
      <t>ジュウブン</t>
    </rPh>
    <rPh sb="263" eb="265">
      <t>リカイカクニン</t>
    </rPh>
    <rPh sb="286" eb="290">
      <t xml:space="preserve">ヒョウカケッカハ </t>
    </rPh>
    <rPh sb="292" eb="296">
      <t xml:space="preserve">トウガイカモク </t>
    </rPh>
    <rPh sb="296" eb="300">
      <t xml:space="preserve">タントウキョウインガハアクシ </t>
    </rPh>
    <rPh sb="305" eb="307">
      <t xml:space="preserve">ガクナイデキョウユウシテイル。 </t>
    </rPh>
    <rPh sb="312" eb="315">
      <t xml:space="preserve">ケイゾクテキナカイゼンニ </t>
    </rPh>
    <rPh sb="319" eb="321">
      <t xml:space="preserve">カツヨウシテイル。 </t>
    </rPh>
    <phoneticPr fontId="1"/>
  </si>
  <si>
    <t>　初級レベルの数理・データサイエンス・AI教育は重要であるという認識のもと、本校では全コースに対し、本プログラムに関わる科目は必修科目として展開しているため、全員が履修している。このため、後輩等他の学生に推奨するという状況は生まれない。
　本プログラム関連科目を含む全授業の改善に向け、学生による授業評価の高度化のために、NPS（ネット･プロモーター･スコア）を応用した授業評価を試行している。そこから得られる推奨度評価と、授業満足度評価結果とを比較検証しており、意欲的な取り組みを喚起する取り組みを目指している。</t>
    <rPh sb="79" eb="81">
      <t xml:space="preserve">ゼンインガリシュウシテイル。 </t>
    </rPh>
    <rPh sb="94" eb="97">
      <t xml:space="preserve">コウハイトウ </t>
    </rPh>
    <rPh sb="97" eb="101">
      <t xml:space="preserve">タガクセイニ </t>
    </rPh>
    <rPh sb="102" eb="104">
      <t xml:space="preserve">スイショウスルトイウ </t>
    </rPh>
    <rPh sb="109" eb="111">
      <t xml:space="preserve">ジョウキョウハウマレナイ。 </t>
    </rPh>
    <rPh sb="131" eb="132">
      <t xml:space="preserve">フクム </t>
    </rPh>
    <rPh sb="133" eb="136">
      <t xml:space="preserve">ゼンジュギョウ </t>
    </rPh>
    <rPh sb="137" eb="139">
      <t xml:space="preserve">カイゼンノタメ， </t>
    </rPh>
    <rPh sb="140" eb="141">
      <t xml:space="preserve">ムケ </t>
    </rPh>
    <rPh sb="232" eb="235">
      <t xml:space="preserve">イヨクテキナトリクミニ </t>
    </rPh>
    <rPh sb="241" eb="243">
      <t xml:space="preserve">カンキスル </t>
    </rPh>
    <rPh sb="245" eb="246">
      <t xml:space="preserve">トリクミヲ </t>
    </rPh>
    <rPh sb="250" eb="252">
      <t xml:space="preserve">メザシテイル </t>
    </rPh>
    <phoneticPr fontId="1"/>
  </si>
  <si>
    <t>　数理・データサイエンス・AI教育は重要であるという認識のもと、本校では全コースに対し、本プログラムに関わる科目は必修科目として展開している。今後も、これらプログラムは必修科目として学生に提供していく。</t>
    <rPh sb="71" eb="73">
      <t xml:space="preserve">コンゴモ， </t>
    </rPh>
    <rPh sb="84" eb="88">
      <t xml:space="preserve">ヒッシュウカモクトシテ </t>
    </rPh>
    <rPh sb="91" eb="93">
      <t xml:space="preserve">ガクセイニテイキョウシテイク。 </t>
    </rPh>
    <phoneticPr fontId="1"/>
  </si>
  <si>
    <t>【教育プログラム修了者の進路、活躍状況】
　令和2年度の卒業生・修了生１64名のうち就職者が68％、進学者が32％となっている。また、就職者112名の就職先の内訳について、産業別に見ると、概ね製造業60％、情報通信業１5％、運輸業・郵便業５％、学術研究・専門技術サービス業５％等となっている。
　情報通信業への就職においては、起業する者、サテライトオフィスを持つ東京の企業に就職して県内サテライトオフィスで勤務する者もいる。IoTやAIなど最先端のテクノロジーに携わる学生もいる。
【企業等の評価】
　本校で毎年開催している企業研究セミナーの参加企業を対象に、学修成果アンケート調査を行っている。本校の目標と結びついているディプロマポリシーの中で、達成すべき学修成果の一つに「情報処理能力」があり、本教育プログラム修了者が「社会が要求している問題を見出し、数学・自然科学・情報技術を利用して問題解決に取り組める」という設問に、「とてもそう思う」「ややそう思う」と回答した企業は７６％であった。
　記述回答では、「基本的には真面目にコツコツと仕事に取り組む姿勢が感じられ、専門基礎知識を活かしてものづくりの課題解決に取り組むことができている。」「大学生と比べると、高専で学んだ専門知識を仕事に反映することに長けている。」など、極めて高い評価を得ている。個別の授業に関する設問を設けることが困難であることから、本プログラム授業単独での評価にはなっていないが、記述式回答等を注視しつつ今後必要な改善に接続する。</t>
    <rPh sb="3" eb="5">
      <t>レイワ</t>
    </rPh>
    <rPh sb="6" eb="8">
      <t>ガンネンド</t>
    </rPh>
    <rPh sb="9" eb="12">
      <t>ソツギョウセイ</t>
    </rPh>
    <rPh sb="13" eb="16">
      <t>シュウリョウセイ</t>
    </rPh>
    <rPh sb="19" eb="20">
      <t>メイ</t>
    </rPh>
    <rPh sb="23" eb="26">
      <t>シュウショクシャ</t>
    </rPh>
    <rPh sb="31" eb="34">
      <t>シンガクシャ</t>
    </rPh>
    <rPh sb="48" eb="51">
      <t>シュウショクシャ</t>
    </rPh>
    <rPh sb="54" eb="55">
      <t>メイ</t>
    </rPh>
    <rPh sb="56" eb="59">
      <t>シュウショクサキ</t>
    </rPh>
    <rPh sb="60" eb="62">
      <t>ウチワケ</t>
    </rPh>
    <rPh sb="67" eb="70">
      <t>サンギョウベツ</t>
    </rPh>
    <rPh sb="71" eb="72">
      <t>ミ</t>
    </rPh>
    <rPh sb="75" eb="76">
      <t xml:space="preserve">オオムネ </t>
    </rPh>
    <rPh sb="77" eb="80">
      <t>セイゾウギョウ</t>
    </rPh>
    <rPh sb="84" eb="89">
      <t>ジョウホウツウシンギョウ</t>
    </rPh>
    <rPh sb="93" eb="96">
      <t>ウンユギョウ</t>
    </rPh>
    <rPh sb="97" eb="100">
      <t>ユウビンギョウ</t>
    </rPh>
    <rPh sb="103" eb="107">
      <t>ガクジュツケンキュウ</t>
    </rPh>
    <rPh sb="108" eb="110">
      <t>センモン</t>
    </rPh>
    <rPh sb="110" eb="112">
      <t>ギジュツ</t>
    </rPh>
    <rPh sb="116" eb="117">
      <t>ギョウ</t>
    </rPh>
    <rPh sb="119" eb="120">
      <t>ナド</t>
    </rPh>
    <rPh sb="127" eb="130">
      <t>ジョウホウ</t>
    </rPh>
    <rPh sb="130" eb="131">
      <t>ケイ</t>
    </rPh>
    <rPh sb="131" eb="134">
      <t xml:space="preserve">ツウシンギョウ </t>
    </rPh>
    <rPh sb="136" eb="138">
      <t xml:space="preserve">シュウショクニオイテハ， </t>
    </rPh>
    <rPh sb="144" eb="145">
      <t>キギョウ</t>
    </rPh>
    <rPh sb="147" eb="148">
      <t>モノ</t>
    </rPh>
    <rPh sb="150" eb="151">
      <t xml:space="preserve">シュウショクニオイテハ， </t>
    </rPh>
    <rPh sb="160" eb="161">
      <t xml:space="preserve">モツ </t>
    </rPh>
    <rPh sb="164" eb="166">
      <t>キギョウ</t>
    </rPh>
    <rPh sb="172" eb="174">
      <t xml:space="preserve">ケンナイ </t>
    </rPh>
    <rPh sb="200" eb="203">
      <t>サイセンタン</t>
    </rPh>
    <rPh sb="211" eb="212">
      <t>フカ</t>
    </rPh>
    <rPh sb="212" eb="213">
      <t xml:space="preserve">タズサワル </t>
    </rPh>
    <rPh sb="215" eb="216">
      <t>ガクセイ</t>
    </rPh>
    <rPh sb="224" eb="226">
      <t>マイトシ</t>
    </rPh>
    <rPh sb="226" eb="228">
      <t>カイサイ</t>
    </rPh>
    <rPh sb="232" eb="234">
      <t>キギョウ</t>
    </rPh>
    <rPh sb="234" eb="236">
      <t>ケンキュウ</t>
    </rPh>
    <rPh sb="243" eb="246">
      <t xml:space="preserve">キギョウトウノヒョウカ </t>
    </rPh>
    <rPh sb="250" eb="252">
      <t>サンカ</t>
    </rPh>
    <rPh sb="252" eb="254">
      <t>キギョウ</t>
    </rPh>
    <rPh sb="255" eb="259">
      <t>ガクシュウセイカ</t>
    </rPh>
    <rPh sb="264" eb="266">
      <t>チョウサ</t>
    </rPh>
    <rPh sb="267" eb="268">
      <t>オコナ</t>
    </rPh>
    <rPh sb="273" eb="275">
      <t>ホンコウ</t>
    </rPh>
    <rPh sb="277" eb="279">
      <t xml:space="preserve">タイショウニ， </t>
    </rPh>
    <rPh sb="281" eb="282">
      <t>モクヒョウ</t>
    </rPh>
    <rPh sb="283" eb="284">
      <t>ムス</t>
    </rPh>
    <rPh sb="300" eb="301">
      <t>ナカ</t>
    </rPh>
    <rPh sb="303" eb="305">
      <t>タッセイ</t>
    </rPh>
    <rPh sb="308" eb="312">
      <t>ガクシュウセイカ</t>
    </rPh>
    <rPh sb="313" eb="314">
      <t>ヒト</t>
    </rPh>
    <rPh sb="317" eb="321">
      <t>ジョウホウショリ</t>
    </rPh>
    <rPh sb="321" eb="323">
      <t>ノウリョク</t>
    </rPh>
    <rPh sb="425" eb="427">
      <t>キジュツ</t>
    </rPh>
    <rPh sb="427" eb="429">
      <t>カイトウ</t>
    </rPh>
    <rPh sb="540" eb="541">
      <t>キワ</t>
    </rPh>
    <rPh sb="543" eb="544">
      <t>タカ</t>
    </rPh>
    <rPh sb="545" eb="547">
      <t>ヒョウカ</t>
    </rPh>
    <rPh sb="548" eb="549">
      <t>エ</t>
    </rPh>
    <rPh sb="556" eb="558">
      <t>キョウイク</t>
    </rPh>
    <rPh sb="559" eb="561">
      <t>トッカ</t>
    </rPh>
    <rPh sb="563" eb="565">
      <t>セツモン</t>
    </rPh>
    <rPh sb="566" eb="567">
      <t>モウ</t>
    </rPh>
    <rPh sb="573" eb="575">
      <t>カイゼン</t>
    </rPh>
    <rPh sb="635" eb="637">
      <t xml:space="preserve">キジュツシキカイトウトウヲチュウシシツツ </t>
    </rPh>
    <rPh sb="641" eb="642">
      <t xml:space="preserve">ネンヒツヨウナカイゼンニセツゾクスル。 </t>
    </rPh>
    <phoneticPr fontId="1"/>
  </si>
  <si>
    <t>　教育研究、管理及び運営、地域連携に関する重要事項について学外有識者から助言を求めるため、毎年参与会を開催している。
　その中で本校の改革、教育高度化、高専生の人材育成を核とした「ものづくり×IT」地域協働の場としての新たな地域連携について高い評価を得ている。
　産業構造がものすごく早いスピードで変わっていく中で、ACT（阿南高専教育研究助成会：阿南工業高等専門学校の教育・研究活動を支援する企業および個人の会）企業会員が急速に増加していることは、本校教育への期待が高まっている現れである。これからのSociety 5.0時代に活躍できる技術者の育成について、ACTも含めて地元の企業群も大いに期待しているとの意見があったことから、本教育プログラムへの期待が確認されている。</t>
    <rPh sb="18" eb="19">
      <t>カン</t>
    </rPh>
    <rPh sb="61" eb="62">
      <t>ナカ</t>
    </rPh>
    <rPh sb="63" eb="65">
      <t>ホンコウ</t>
    </rPh>
    <rPh sb="66" eb="68">
      <t>カイカク</t>
    </rPh>
    <rPh sb="69" eb="71">
      <t>キョウイク</t>
    </rPh>
    <rPh sb="71" eb="74">
      <t>コウドカ</t>
    </rPh>
    <rPh sb="75" eb="77">
      <t>コウセン</t>
    </rPh>
    <rPh sb="77" eb="78">
      <t>セイ</t>
    </rPh>
    <rPh sb="79" eb="81">
      <t>ジンザイ</t>
    </rPh>
    <rPh sb="81" eb="83">
      <t>イクセイ</t>
    </rPh>
    <rPh sb="84" eb="85">
      <t>カク</t>
    </rPh>
    <rPh sb="98" eb="100">
      <t>チイキ</t>
    </rPh>
    <rPh sb="100" eb="102">
      <t>キョウドウ</t>
    </rPh>
    <rPh sb="103" eb="104">
      <t>バ</t>
    </rPh>
    <rPh sb="108" eb="109">
      <t>アラ</t>
    </rPh>
    <rPh sb="111" eb="113">
      <t>チイキ</t>
    </rPh>
    <rPh sb="113" eb="115">
      <t>レンケイ</t>
    </rPh>
    <rPh sb="119" eb="120">
      <t>タカ</t>
    </rPh>
    <rPh sb="121" eb="123">
      <t>ヒョウカ</t>
    </rPh>
    <rPh sb="125" eb="126">
      <t xml:space="preserve">エテ </t>
    </rPh>
    <rPh sb="130" eb="131">
      <t>サンギョウ</t>
    </rPh>
    <rPh sb="132" eb="134">
      <t>コウゾウ</t>
    </rPh>
    <rPh sb="140" eb="141">
      <t>ハヤ</t>
    </rPh>
    <rPh sb="147" eb="148">
      <t>カ</t>
    </rPh>
    <rPh sb="153" eb="154">
      <t>ナカ</t>
    </rPh>
    <rPh sb="160" eb="164">
      <t>アナンコウセン</t>
    </rPh>
    <rPh sb="164" eb="166">
      <t>キョウイク</t>
    </rPh>
    <rPh sb="166" eb="168">
      <t>ケンキュウ</t>
    </rPh>
    <rPh sb="168" eb="170">
      <t>ジョセイ</t>
    </rPh>
    <rPh sb="170" eb="171">
      <t>カイ</t>
    </rPh>
    <rPh sb="193" eb="195">
      <t>キギョウ</t>
    </rPh>
    <rPh sb="195" eb="197">
      <t>カイイン</t>
    </rPh>
    <rPh sb="198" eb="200">
      <t>キュウソク</t>
    </rPh>
    <rPh sb="201" eb="203">
      <t>ゾウカ</t>
    </rPh>
    <rPh sb="206" eb="207">
      <t>アラワ</t>
    </rPh>
    <rPh sb="218" eb="219">
      <t>タカ</t>
    </rPh>
    <rPh sb="226" eb="227">
      <t>ナイカクフ</t>
    </rPh>
    <rPh sb="227" eb="229">
      <t xml:space="preserve">キョウイク </t>
    </rPh>
    <rPh sb="240" eb="242">
      <t>イクセイ</t>
    </rPh>
    <rPh sb="253" eb="254">
      <t>フク</t>
    </rPh>
    <rPh sb="256" eb="258">
      <t>ジモト</t>
    </rPh>
    <rPh sb="259" eb="261">
      <t>キギョウ</t>
    </rPh>
    <rPh sb="261" eb="262">
      <t>グン</t>
    </rPh>
    <rPh sb="263" eb="264">
      <t>オオ</t>
    </rPh>
    <rPh sb="266" eb="268">
      <t>キタイ</t>
    </rPh>
    <rPh sb="274" eb="276">
      <t>イケン</t>
    </rPh>
    <rPh sb="283" eb="284">
      <t>ホン</t>
    </rPh>
    <rPh sb="284" eb="286">
      <t>キョウイク</t>
    </rPh>
    <rPh sb="293" eb="295">
      <t>キタイ</t>
    </rPh>
    <rPh sb="296" eb="298">
      <t>カクニン</t>
    </rPh>
    <rPh sb="319" eb="320">
      <t>_x0000__x0016_</t>
    </rPh>
    <phoneticPr fontId="1"/>
  </si>
  <si>
    <t>　モデルコアカリキュラムリテラシーレベルの導入部分に準じた授業を展開し、時事やトレンドなど社会での実例を挙げながら情報やAI等がどのように活用されているかなどにふれ、学生の興味･関心を喚起する授業内容としている。
　「ものづくり工学」　（必修、1年、3単位）では、全専門コース教員を配することにより、多角的視点を学生に提供するとともに、実習･講義･講演、見学、チームワーク演習、オンライン教材を組み合わせ授業を構築している。
　「情報リテラシー」（必修、1年、2単位）では、高専共通のテキストや、K-SEC「情報モラル教材」を用いて反転授業を行っている。対面授業では、グループワークを通じてコミュニケーション能力を高めながら学べる独自の実習課題を提示している。予習した内容を「パワーポイントを使ってまとめる」「問題をつくる問題」など楽しみながら、コンピュータの基礎や操作方法を身につけることができている。
　「物理2」（必修、2年、2単位）、「化学2」（必修、2年、2単位）では、グループワークによる実験を通してデータの扱い方を学ばせ、学生相互の教えあい（インタラクティブ･ティーチング）を取り入れている。
　「共同教育」（必修、4年、1単位）では、異なる専門コースの学生とチームを結成させ、実社会の課題を発見し解決方法を提案することを到達目標として掲げ、チームや自身の取り組みを文章やプレゼンテーションによる他者と共有する機会を設けている。
　これらの授業を通して、一方向講義ではなくインタラクティブ･スタディイングにより数理・データサイエンス・ＡＩを「学ぶ楽しさ」を理解させるている。同じく、学ぶことの意義を理解については、「情報リテラシー」が中心となり担っている。</t>
    <rPh sb="29" eb="31">
      <t xml:space="preserve">ジュギョウ </t>
    </rPh>
    <rPh sb="52" eb="53">
      <t xml:space="preserve">アゲナガラ </t>
    </rPh>
    <rPh sb="57" eb="59">
      <t xml:space="preserve">ジョウホウヤ </t>
    </rPh>
    <rPh sb="83" eb="85">
      <t xml:space="preserve">ガクセイノキョウミカンシン </t>
    </rPh>
    <rPh sb="92" eb="94">
      <t xml:space="preserve">カンキスル </t>
    </rPh>
    <rPh sb="96" eb="98">
      <t xml:space="preserve">ジュギョウ </t>
    </rPh>
    <rPh sb="115" eb="117">
      <t>イチブ</t>
    </rPh>
    <rPh sb="118" eb="120">
      <t>コウセン</t>
    </rPh>
    <rPh sb="138" eb="140">
      <t>ジョウホウ</t>
    </rPh>
    <rPh sb="143" eb="145">
      <t>キョウザイ</t>
    </rPh>
    <rPh sb="161" eb="163">
      <t>タイメン</t>
    </rPh>
    <rPh sb="177" eb="178">
      <t>ツウ</t>
    </rPh>
    <rPh sb="189" eb="191">
      <t>ノウリョク</t>
    </rPh>
    <rPh sb="192" eb="193">
      <t>タカ</t>
    </rPh>
    <rPh sb="197" eb="198">
      <t>マナ</t>
    </rPh>
    <rPh sb="200" eb="202">
      <t>ドクジ</t>
    </rPh>
    <rPh sb="203" eb="207">
      <t>ジッシュウカダイ</t>
    </rPh>
    <rPh sb="211" eb="212">
      <t>テイジ</t>
    </rPh>
    <rPh sb="217" eb="219">
      <t>ヨシュウ</t>
    </rPh>
    <rPh sb="221" eb="223">
      <t>ナイヨウ</t>
    </rPh>
    <rPh sb="233" eb="234">
      <t>ツカ</t>
    </rPh>
    <rPh sb="242" eb="244">
      <t>モンダイ</t>
    </rPh>
    <rPh sb="248" eb="250">
      <t>モンダイ</t>
    </rPh>
    <rPh sb="253" eb="254">
      <t>タノ</t>
    </rPh>
    <rPh sb="267" eb="269">
      <t>キソ</t>
    </rPh>
    <rPh sb="270" eb="272">
      <t>ソウサ</t>
    </rPh>
    <rPh sb="272" eb="274">
      <t>ホウホウ</t>
    </rPh>
    <rPh sb="275" eb="276">
      <t>ミ</t>
    </rPh>
    <rPh sb="277" eb="278">
      <t>ツ</t>
    </rPh>
    <rPh sb="627" eb="629">
      <t xml:space="preserve">ジュギョウ </t>
    </rPh>
    <rPh sb="634" eb="639">
      <t xml:space="preserve">イチホウコウコウギデハナク </t>
    </rPh>
    <rPh sb="663" eb="664">
      <t xml:space="preserve">マナブダノシサヲ </t>
    </rPh>
    <rPh sb="665" eb="666">
      <t xml:space="preserve">タノシサヲ </t>
    </rPh>
    <rPh sb="670" eb="672">
      <t xml:space="preserve">リカイサセルトトモニ， </t>
    </rPh>
    <rPh sb="694" eb="695">
      <t xml:space="preserve">オナジク， </t>
    </rPh>
    <rPh sb="698" eb="699">
      <t xml:space="preserve">マナブコトノイギハ </t>
    </rPh>
    <rPh sb="706" eb="708">
      <t xml:space="preserve">リカイ </t>
    </rPh>
    <rPh sb="715" eb="717">
      <t xml:space="preserve">ジョウホウリテラシー </t>
    </rPh>
    <rPh sb="724" eb="726">
      <t xml:space="preserve">チュウシントナリニナッテイル。 </t>
    </rPh>
    <rPh sb="729" eb="730">
      <t xml:space="preserve">ニナッテ </t>
    </rPh>
    <phoneticPr fontId="1"/>
  </si>
  <si>
    <t>【ラーニング･マネージメント･システム】
　学習支援システムとしてラーニング･マネージメント･システムを全学に導入している。全学生･教職員が授業ほかの教育に活用している。ここでは、授業教材･授業ビデオ･学習プリントを共有し、課題の提出と評価を行っている。このラーニング･マネージメント･システム上で学生のチームを作成し、チャットルーム的に学生間の意見交換･討議なども行っている。学生は、授業ビデオ等を活用した予習･復習が可能である。
　学生個別に学習成果（レポートや小テストなど）を集積し、ラーニング･ポートフォリオとして学生に提供している。
　学生はこのシステムを自宅や学生寮からも利用でき、時間を問わず学習できる。
【学修(学習)達成度評価アンケート】
　「学修(学習)達成度評価アンケート」や「シラバス記載到達目標達成度自己評価」を実施し、「授業満足度や到達目標の達成度、レポート･課題･試験の適切さ、教員言動･行動」を分析し、必要な授業改善に接続している。これらの結果をもとに各教員は、「グループ課題の内容・分量、取り上げる教材、学習形態など」の見直しを毎年行い、その改善方針を全学で共有している。
　同プログラムに関わる授業においては、世の中の流れに応じて学習するプログラミング言語を変えたり、課題内容にトレンドを取り入れたり、分かり易くなるよう改善をしてきている。</t>
    <rPh sb="72" eb="74">
      <t>カダイ</t>
    </rPh>
    <rPh sb="75" eb="77">
      <t>ナイヨウ</t>
    </rPh>
    <rPh sb="78" eb="80">
      <t>ブンリョウ</t>
    </rPh>
    <rPh sb="81" eb="83">
      <t>ミナオ</t>
    </rPh>
    <rPh sb="85" eb="87">
      <t>マイトシ</t>
    </rPh>
    <rPh sb="87" eb="88">
      <t>オコナ</t>
    </rPh>
    <rPh sb="96" eb="97">
      <t>ヨ</t>
    </rPh>
    <rPh sb="98" eb="99">
      <t>ナカ</t>
    </rPh>
    <rPh sb="100" eb="101">
      <t>ナガ</t>
    </rPh>
    <rPh sb="103" eb="104">
      <t>オウ</t>
    </rPh>
    <rPh sb="106" eb="108">
      <t>ガクシュウ</t>
    </rPh>
    <rPh sb="117" eb="119">
      <t>ゲンゴ</t>
    </rPh>
    <rPh sb="120" eb="121">
      <t>カ</t>
    </rPh>
    <rPh sb="125" eb="129">
      <t>カダイナイヨウ</t>
    </rPh>
    <rPh sb="135" eb="136">
      <t>ト</t>
    </rPh>
    <rPh sb="137" eb="138">
      <t>イ</t>
    </rPh>
    <rPh sb="142" eb="143">
      <t>ワ</t>
    </rPh>
    <rPh sb="145" eb="146">
      <t>ヤス</t>
    </rPh>
    <rPh sb="151" eb="153">
      <t>カイゼン</t>
    </rPh>
    <rPh sb="162" eb="164">
      <t>スウリ</t>
    </rPh>
    <rPh sb="170" eb="172">
      <t xml:space="preserve">ガクセイハ， </t>
    </rPh>
    <rPh sb="174" eb="176">
      <t xml:space="preserve">ジュギョウビデオトウヲカツヨウシタ </t>
    </rPh>
    <rPh sb="185" eb="187">
      <t xml:space="preserve">ヨシュウ・フクシュウガカノウデアル。 </t>
    </rPh>
    <rPh sb="203" eb="207">
      <t>キョウイクケンキュウ</t>
    </rPh>
    <rPh sb="213" eb="215">
      <t>ガクセイ</t>
    </rPh>
    <rPh sb="220" eb="221">
      <t>オヨ</t>
    </rPh>
    <rPh sb="222" eb="224">
      <t>テイケイ</t>
    </rPh>
    <rPh sb="224" eb="226">
      <t>キギョウ</t>
    </rPh>
    <rPh sb="229" eb="231">
      <t>イケン</t>
    </rPh>
    <rPh sb="232" eb="234">
      <t>サンコウ</t>
    </rPh>
    <rPh sb="236" eb="238">
      <t>ガクセイ</t>
    </rPh>
    <rPh sb="240" eb="241">
      <t>ワ</t>
    </rPh>
    <rPh sb="248" eb="250">
      <t>カンテン</t>
    </rPh>
    <rPh sb="252" eb="254">
      <t>コウギ</t>
    </rPh>
    <rPh sb="255" eb="257">
      <t>ナイヨウ</t>
    </rPh>
    <rPh sb="258" eb="260">
      <t>ジッシ</t>
    </rPh>
    <rPh sb="260" eb="262">
      <t>ホウホウ</t>
    </rPh>
    <rPh sb="263" eb="265">
      <t>ミナオ</t>
    </rPh>
    <rPh sb="267" eb="269">
      <t>ケントウ</t>
    </rPh>
    <rPh sb="351" eb="353">
      <t xml:space="preserve">ガクセイニヨルジュギョウヒョウカ </t>
    </rPh>
    <rPh sb="367" eb="369">
      <t xml:space="preserve">ジッシシ， </t>
    </rPh>
    <rPh sb="395" eb="397">
      <t xml:space="preserve">カダイ・ </t>
    </rPh>
    <rPh sb="398" eb="400">
      <t xml:space="preserve">シケン </t>
    </rPh>
    <rPh sb="401" eb="403">
      <t xml:space="preserve">テキセツサ， </t>
    </rPh>
    <rPh sb="405" eb="407">
      <t xml:space="preserve">キョウイン </t>
    </rPh>
    <rPh sb="407" eb="409">
      <t xml:space="preserve">ゲンドウ </t>
    </rPh>
    <rPh sb="410" eb="412">
      <t xml:space="preserve">コウドウ </t>
    </rPh>
    <rPh sb="414" eb="416">
      <t xml:space="preserve">ブンセキシ， </t>
    </rPh>
    <rPh sb="418" eb="420">
      <t xml:space="preserve">ヒツヨウナジュギョウカイゼンニセツゾクシテイル。 </t>
    </rPh>
    <rPh sb="437" eb="439">
      <t xml:space="preserve">ケッカヲモトニ </t>
    </rPh>
    <rPh sb="462" eb="463">
      <t xml:space="preserve">トリアゲルキョウザイ </t>
    </rPh>
    <rPh sb="470" eb="474">
      <t xml:space="preserve">ガクシュウケイタイ </t>
    </rPh>
    <rPh sb="478" eb="480">
      <t xml:space="preserve">ミナオシヲ </t>
    </rPh>
    <rPh sb="489" eb="493">
      <t xml:space="preserve">カイゼンホウシンヲ </t>
    </rPh>
    <rPh sb="494" eb="496">
      <t xml:space="preserve">ゼンガクデキョウユウシテイル。 </t>
    </rPh>
    <rPh sb="506" eb="507">
      <t xml:space="preserve">ドウプログラムニカカワル </t>
    </rPh>
    <rPh sb="516" eb="518">
      <t xml:space="preserve">ジュギョウニオイテハ， </t>
    </rPh>
    <phoneticPr fontId="1"/>
  </si>
  <si>
    <t>【教育目標とディプロマポリシー】
　阿南高専は創造技術工学科の中に5コース(機械、 電気、 情報、 建設、化学)を設け、実践力と創造力を駆使し、急速に変化していく社会の要請に応え、専門性を重視しながらも他分野にも応用の利く幅広い視野を持ったエンジニアを育成している。
　教育目標「社会が要求している問題を見出し、数学・自然科学・情報技術を利用した問題解決に取り組める技術者」のもと、ディプロマポリシー（全コース共通）として「工学分野のものづくりに共通して必要な基礎的知識・技術」、「情報処理能力」、「様々な産業分野の幅広い課題について解決あるいは対応できる能力」を掲げ、数理・データサイエンス・ＡＩ教育に関わる知識･技能を有する学生を輩出してきている。
【授業内容】
　数理・データサイエンス・ＡＩ教育に密接に関わる授業に関し、学生にとっての分かりやすさ、学習意欲の喚起、学生の習熟度や専門性等への留意について、以下に掲げる。
1.「ものづくり工学」　（必修、1年、3単位）
　○全専門コース教員を配することにより、多角的視点を学生に提供する。
　○実習･講義･講演、見学、チームワーク演習、オンライン教材を組み合わせ授業を構築する。
　○トランスフォーマティブ･ラーニングの基礎を培い、「コミュニケーション力」「チームワーク力」「責任感」「自主性」等の分野横断的能力（社会人基礎力）の基盤を醸成する。
2.「情報リテラシー」（必修、1年、2単位）
　○情報技術について、初歩から段階的に提示する。
　○社会における実例を挙げる。
　○学習知識を活用して資料を作成する機会を設ける。
　○具体的技術とデータをグループワークにて調査･発表、ディスカッションする機会を設ける。
3.「物理2」（必修、2年、2単位）、「化学2」（必修、2年、2単位）
　○グループワークによる実験を通してデータの扱い方を学ばせる。
　○学生相互の教えあい（インタラクティブ･ティーチング）を取り入れる。
4.「共同教育」（必修、4年、1単位）
　○異なる専門コースの学生とチームを結成させる。
　○チームとして、実社会の課題を発見し解決方法を提案することを到達目標として掲げる。
　○トランスフォーマティブ･ラーニングの発展として、「コミュニケーション力」「チームワーク力」「責任感」「自主性」等の分野横断的能力（社会人基礎力）を駆使した学習活動の機会を設ける。
　○チームや自身の取り組みを文章やプレゼンテーションによる他者と共有する機会を設ける。
　■学習活動例
　　　a. 高知県観光客にインタビュー　→　地方再生プランづくり
　　　b. 本校出前授業先中学生にインタビュー　→　本校広報活動の高度化
　　　c. 学園祭（制作した竹細工作品の展示）来場者にアンケート
　　　　　　→　地域課題である「竹害」の解決に向け、「竹害」の認知と「竹活用」の提案
　　　d. 星空見学会参加者へのインタビュー　→　地域活性イベントの提案</t>
    <rPh sb="1" eb="5">
      <t xml:space="preserve">キョウイクモクヒョウト </t>
    </rPh>
    <rPh sb="610" eb="611">
      <t xml:space="preserve">カンシ </t>
    </rPh>
    <rPh sb="627" eb="631">
      <t xml:space="preserve">ガクシュウイヨクノカンキ， </t>
    </rPh>
    <rPh sb="635" eb="637">
      <t xml:space="preserve">ガクセイノシュウジクドヤ </t>
    </rPh>
    <rPh sb="642" eb="645">
      <t xml:space="preserve">センモンセイヘノ </t>
    </rPh>
    <rPh sb="645" eb="646">
      <t xml:space="preserve">トウ </t>
    </rPh>
    <rPh sb="648" eb="650">
      <t xml:space="preserve">リュウイ </t>
    </rPh>
    <rPh sb="707" eb="712">
      <t xml:space="preserve">タカクテキシテンカラノ </t>
    </rPh>
    <rPh sb="713" eb="715">
      <t xml:space="preserve">ガクセイニテイキョウスル。 </t>
    </rPh>
    <rPh sb="724" eb="726">
      <t xml:space="preserve">ジッシュウト </t>
    </rPh>
    <rPh sb="727" eb="729">
      <t xml:space="preserve">コウギ </t>
    </rPh>
    <rPh sb="730" eb="732">
      <t xml:space="preserve">コウエンヲ </t>
    </rPh>
    <rPh sb="733" eb="735">
      <t xml:space="preserve">ケンガク </t>
    </rPh>
    <rPh sb="753" eb="754">
      <t xml:space="preserve">クミアワセタ </t>
    </rPh>
    <rPh sb="788" eb="790">
      <t xml:space="preserve">キソヲ </t>
    </rPh>
    <rPh sb="791" eb="792">
      <t xml:space="preserve">ツチカイ </t>
    </rPh>
    <rPh sb="843" eb="845">
      <t xml:space="preserve">キバンヲ </t>
    </rPh>
    <rPh sb="846" eb="848">
      <t xml:space="preserve">ジョウセイスル。 </t>
    </rPh>
    <rPh sb="876" eb="880">
      <t xml:space="preserve">ジョウホウギジュツヲ </t>
    </rPh>
    <rPh sb="885" eb="887">
      <t xml:space="preserve">ショホダンカイカラ </t>
    </rPh>
    <rPh sb="889" eb="892">
      <t xml:space="preserve">ダンカイテキニ </t>
    </rPh>
    <rPh sb="893" eb="895">
      <t xml:space="preserve">テイジスル。 </t>
    </rPh>
    <rPh sb="901" eb="903">
      <t xml:space="preserve">シャカイニオケルジツレイヲアゲル。 </t>
    </rPh>
    <rPh sb="917" eb="919">
      <t xml:space="preserve">ガクシュウナイヨウヲ </t>
    </rPh>
    <rPh sb="919" eb="921">
      <t xml:space="preserve">チシキヲカツヨウシテ </t>
    </rPh>
    <rPh sb="926" eb="928">
      <t xml:space="preserve">シリョウヲ </t>
    </rPh>
    <rPh sb="929" eb="931">
      <t xml:space="preserve">サクセイス </t>
    </rPh>
    <rPh sb="933" eb="935">
      <t xml:space="preserve">キカイヲ </t>
    </rPh>
    <rPh sb="936" eb="937">
      <t xml:space="preserve">モウケル。 </t>
    </rPh>
    <rPh sb="978" eb="980">
      <t xml:space="preserve">キカイヲ </t>
    </rPh>
    <rPh sb="981" eb="982">
      <t xml:space="preserve">モウケル </t>
    </rPh>
    <rPh sb="1006" eb="1008">
      <t xml:space="preserve">カガク </t>
    </rPh>
    <rPh sb="1023" eb="1025">
      <t xml:space="preserve">ジッケンヲ </t>
    </rPh>
    <rPh sb="1026" eb="1027">
      <t xml:space="preserve">トオシテ </t>
    </rPh>
    <rPh sb="1033" eb="1034">
      <t xml:space="preserve">アツカイカタヲ </t>
    </rPh>
    <rPh sb="1037" eb="1038">
      <t xml:space="preserve">マナバセル。 </t>
    </rPh>
    <rPh sb="1056" eb="1060">
      <t xml:space="preserve">ガクセイソウゴノ </t>
    </rPh>
    <rPh sb="1061" eb="1062">
      <t xml:space="preserve">オシエアイ </t>
    </rPh>
    <rPh sb="1073" eb="1078">
      <t xml:space="preserve">ガクシュウカツドウレイ </t>
    </rPh>
    <rPh sb="1085" eb="1088">
      <t xml:space="preserve">コウチケン </t>
    </rPh>
    <rPh sb="1101" eb="1105">
      <t xml:space="preserve">チホウサイセイプラヅクリ </t>
    </rPh>
    <rPh sb="1118" eb="1124">
      <t xml:space="preserve">ホンコウデマエジュギョウ </t>
    </rPh>
    <rPh sb="1124" eb="1125">
      <t xml:space="preserve">サキ </t>
    </rPh>
    <rPh sb="1125" eb="1128">
      <t xml:space="preserve">チュウガクセイニ </t>
    </rPh>
    <rPh sb="1138" eb="1140">
      <t xml:space="preserve">ホンコウ </t>
    </rPh>
    <rPh sb="1140" eb="1144">
      <t xml:space="preserve">コウホウカツドウノ </t>
    </rPh>
    <rPh sb="1145" eb="1148">
      <t xml:space="preserve">コウドカ </t>
    </rPh>
    <rPh sb="1155" eb="1158">
      <t xml:space="preserve">ガクエンサイ </t>
    </rPh>
    <rPh sb="1159" eb="1161">
      <t xml:space="preserve">セイサクシタ </t>
    </rPh>
    <rPh sb="1163" eb="1166">
      <t xml:space="preserve">タケザイク </t>
    </rPh>
    <rPh sb="1166" eb="1168">
      <t xml:space="preserve">サクヒンノテンジ </t>
    </rPh>
    <rPh sb="1172" eb="1175">
      <t xml:space="preserve">ライジョウシャニアンケート </t>
    </rPh>
    <rPh sb="1190" eb="1194">
      <t xml:space="preserve">チイキカダイデアル </t>
    </rPh>
    <rPh sb="1198" eb="1199">
      <t xml:space="preserve">チクガイ </t>
    </rPh>
    <rPh sb="1199" eb="1200">
      <t xml:space="preserve">ガイ </t>
    </rPh>
    <rPh sb="1202" eb="1204">
      <t xml:space="preserve">カイケツニムケ， </t>
    </rPh>
    <rPh sb="1211" eb="1212">
      <t xml:space="preserve">チクガイ </t>
    </rPh>
    <rPh sb="1213" eb="1215">
      <t xml:space="preserve">ニンチト </t>
    </rPh>
    <rPh sb="1218" eb="1220">
      <t xml:space="preserve">カツヨウ </t>
    </rPh>
    <rPh sb="1222" eb="1224">
      <t xml:space="preserve">テイアン </t>
    </rPh>
    <rPh sb="1231" eb="1236">
      <t xml:space="preserve">ホシゾラケンガクカイ </t>
    </rPh>
    <rPh sb="1236" eb="1239">
      <t xml:space="preserve">サンカシャヘノ </t>
    </rPh>
    <rPh sb="1250" eb="1254">
      <t xml:space="preserve">チイキカッセイ </t>
    </rPh>
    <rPh sb="1259" eb="1261">
      <t xml:space="preserve">テイアン トリイレル。 キョウドウキョウイク ヒッシュウ ネン， タンイ コトナル センモンコースノ ガクセイト ケッセイサセル。 ジッシャカイノ カダイヲハッケンサセ カイケツ ホウホウヲテイアンスル トウタツモクヒョウトシテカカゲル。 ハッテントシテ クシシタ ガクシュウカツドウ キカイヲモウケル。 ジシンノトリクミヲ ブンショウヤ タシャトキョウユウスル キカイヲモウケル。 </t>
    </rPh>
    <phoneticPr fontId="1"/>
  </si>
  <si>
    <t>【地域連携】
1.フューチャーテックセンター
　H31年度採択の地方大学地域産業創生事業「次世代“光”創出・応用による産業振興・若者雇用創出計画 」にのっとり、本校内に「フューチャーテックセンター」を創設した。本校学生と地域企業との共創活動の場として運用する。
2.地域貢献基本方針
　本校における地域貢献活動の目的と指針を校長裁定により定め、公開講座等を行っている。
　令和元年度の公開講座数は5件、参加者数は80名である。
3.参与会
　教育研究、管理及び運営、地域連携に関する重要事項について学外有識者から助言を求めるため「徳島大学、阿南市長、徳島県、徳島新聞社、徳島県中学校校長会、阿南高専教育研究助成会」等の委員を構成員とする外部評価機関である参与会を形成し、外部評価を受けつつ学校経営を改善･高度化している。
　[意見例]
　　　○地域社会の課題の解決に向け、協同したい。
　　　○高専教育の魅力と地域社会と連携した高専教育の広報を行うべきである。
　　　○出前講座を始め、高専教育の高度化に協力したい。
【産業界との連携】
　令和元年度の技術支援は、7件である。
　令和元年度の共同研究は、11件である。
　令和元年度の受託事業･補助金採択は、8件である。
【海外の大学等との連携】
　教育研究交流に関する協定等を締結している海外大学・教育機関は、次の通りである。
　　　○オスナブリュック応用科学大学(ドイツ）
　　　○オストファリア応用科学大学(ドイツ）
　　　○ホーチミン市外国語情報技術大学(ベトナム)
　　　○ダナン大学(ベトナム)
　　　○ベトナム中央電気短期大学(ベトナム)
　　　○ホーチミン市電気短期大学(ベトナム)
　　　○スラバヤ電子工学ポリテクニク(インドネシア）
　　　○リパブリック・ポリテクニク（シンガポール）
　　　○テマセック・ポリテクニク（シンガポール）
　　　○国立聯合大学(台湾）
　　　○国立釜山機械工業高等学校（韓国)
　　　○慶南工業高等学校(韓国)
　　　○釜山産業科学高等学校(韓国)
　　　○ソノマ州立大学(アメリカ）
　これら大学等への留学生（令和元年度は26名）派遣、これら大学等からの留学生（令和元年度は21名）受け入れを行っている。
　独立行政法人国立高等専門学校機構のタイ高専プロジェクトに参加しその運用に協力するとともに、タイ王国チュラポーン王女科学学校からの学生受け入れプロジェクトにエントリーしている。
　マレーシアのADTEC(上級技術訓練センター)  Shah Alam、ADTEC Jerantutとスマートホーム開発、ロボティクス、レーザー溶接技術に関する教員、学生の教育研究交換プログラムを計画しており、2022年からの実施に向けて、高専機構、マレーシア人的資源省を通じてＭＯＵ締結に向けた準備を進めている。</t>
    <rPh sb="1" eb="5">
      <t xml:space="preserve">チイキレンケイ </t>
    </rPh>
    <rPh sb="18" eb="20">
      <t xml:space="preserve">トクシマ </t>
    </rPh>
    <rPh sb="24" eb="28">
      <t xml:space="preserve">アナンシチョウ， </t>
    </rPh>
    <rPh sb="29" eb="32">
      <t xml:space="preserve">トクシマケン， </t>
    </rPh>
    <rPh sb="33" eb="38">
      <t xml:space="preserve">トクシマシンブンシャ </t>
    </rPh>
    <rPh sb="39" eb="42">
      <t xml:space="preserve">トクシマケン </t>
    </rPh>
    <rPh sb="42" eb="48">
      <t xml:space="preserve">チュウガッコウコウチョウカイ </t>
    </rPh>
    <rPh sb="49" eb="53">
      <t xml:space="preserve">アナンコウセン </t>
    </rPh>
    <rPh sb="53" eb="60">
      <t xml:space="preserve">キョウイクケンキュウジョセイカイ </t>
    </rPh>
    <rPh sb="60" eb="61">
      <t xml:space="preserve">トウノ </t>
    </rPh>
    <rPh sb="62" eb="64">
      <t xml:space="preserve">イインヲコウセイイントスル </t>
    </rPh>
    <rPh sb="71" eb="74">
      <t xml:space="preserve">ガイブヒョウカキカンデアルサンヨカイヲケイセイシ， </t>
    </rPh>
    <rPh sb="80" eb="83">
      <t xml:space="preserve">ホンコウナイニ </t>
    </rPh>
    <rPh sb="88" eb="92">
      <t xml:space="preserve">ガイブヒョウカヲウケツツ </t>
    </rPh>
    <rPh sb="97" eb="131">
      <t xml:space="preserve">ガッコウケイエイヲカイゼン・コウドカシテイル。 </t>
    </rPh>
    <rPh sb="133" eb="137">
      <t xml:space="preserve">チイキコウケン </t>
    </rPh>
    <rPh sb="137" eb="141">
      <t xml:space="preserve">キホンホウシン </t>
    </rPh>
    <rPh sb="143" eb="145">
      <t xml:space="preserve">ホンコウニオケル </t>
    </rPh>
    <rPh sb="149" eb="155">
      <t xml:space="preserve">チイキコウケンカツドウ </t>
    </rPh>
    <rPh sb="156" eb="158">
      <t xml:space="preserve">モクテキト </t>
    </rPh>
    <rPh sb="159" eb="161">
      <t xml:space="preserve">シシンヲ </t>
    </rPh>
    <rPh sb="164" eb="166">
      <t xml:space="preserve">コウチョウサイテイニ </t>
    </rPh>
    <rPh sb="169" eb="170">
      <t xml:space="preserve">サダメ， </t>
    </rPh>
    <rPh sb="172" eb="176">
      <t xml:space="preserve">コウカイコウザワ </t>
    </rPh>
    <rPh sb="176" eb="177">
      <t xml:space="preserve">トウ </t>
    </rPh>
    <rPh sb="178" eb="179">
      <t xml:space="preserve">オコナッテイル。 </t>
    </rPh>
    <rPh sb="186" eb="188">
      <t xml:space="preserve">レイワ </t>
    </rPh>
    <rPh sb="188" eb="190">
      <t xml:space="preserve">ガンネン </t>
    </rPh>
    <rPh sb="190" eb="191">
      <t xml:space="preserve">ネンドノ </t>
    </rPh>
    <rPh sb="192" eb="197">
      <t xml:space="preserve">コウカイコウザスウハ </t>
    </rPh>
    <rPh sb="199" eb="200">
      <t xml:space="preserve">ケン </t>
    </rPh>
    <rPh sb="201" eb="205">
      <t xml:space="preserve">サンカシャスウハ </t>
    </rPh>
    <rPh sb="208" eb="209">
      <t xml:space="preserve">メイ </t>
    </rPh>
    <rPh sb="213" eb="215">
      <t xml:space="preserve">レイワ </t>
    </rPh>
    <rPh sb="216" eb="218">
      <t xml:space="preserve">ネンドノ </t>
    </rPh>
    <rPh sb="219" eb="223">
      <t xml:space="preserve">ギジュツシエンハ </t>
    </rPh>
    <rPh sb="225" eb="226">
      <t xml:space="preserve">ケンデアル。 </t>
    </rPh>
    <rPh sb="232" eb="234">
      <t xml:space="preserve">レイワ </t>
    </rPh>
    <rPh sb="235" eb="237">
      <t xml:space="preserve">ネンドノ </t>
    </rPh>
    <rPh sb="238" eb="242">
      <t xml:space="preserve">キョウドウキョウイクハ </t>
    </rPh>
    <rPh sb="244" eb="245">
      <t xml:space="preserve">ケンデアル。 </t>
    </rPh>
    <rPh sb="257" eb="259">
      <t xml:space="preserve">イケン </t>
    </rPh>
    <rPh sb="259" eb="260">
      <t xml:space="preserve">レイ </t>
    </rPh>
    <rPh sb="272" eb="274">
      <t xml:space="preserve">カダイノカイケツニムケ， </t>
    </rPh>
    <rPh sb="281" eb="283">
      <t xml:space="preserve">キョウドウシタイ。 </t>
    </rPh>
    <rPh sb="292" eb="294">
      <t xml:space="preserve">コウセンノミリョクト </t>
    </rPh>
    <rPh sb="300" eb="304">
      <t xml:space="preserve">チイキシャカイ </t>
    </rPh>
    <rPh sb="305" eb="308">
      <t xml:space="preserve">レンケイシタ </t>
    </rPh>
    <rPh sb="310" eb="314">
      <t xml:space="preserve">コウセンキョウイクノコウホウヲ </t>
    </rPh>
    <rPh sb="318" eb="319">
      <t xml:space="preserve">オコナウベキデアル。 </t>
    </rPh>
    <rPh sb="322" eb="324">
      <t xml:space="preserve">キカン </t>
    </rPh>
    <rPh sb="358" eb="360">
      <t xml:space="preserve">レンケイ </t>
    </rPh>
    <rPh sb="368" eb="370">
      <t xml:space="preserve">カイガイノダイガクトノレンケイ </t>
    </rPh>
    <rPh sb="373" eb="374">
      <t xml:space="preserve">トウ </t>
    </rPh>
    <rPh sb="454" eb="456">
      <t xml:space="preserve">ケンキュウハ </t>
    </rPh>
    <rPh sb="467" eb="469">
      <t xml:space="preserve">レイワ ネンドノ </t>
    </rPh>
    <rPh sb="471" eb="473">
      <t xml:space="preserve">レイワ </t>
    </rPh>
    <rPh sb="473" eb="474">
      <t xml:space="preserve">ガン </t>
    </rPh>
    <rPh sb="474" eb="477">
      <t xml:space="preserve">ジュタクジギョウ </t>
    </rPh>
    <rPh sb="478" eb="482">
      <t xml:space="preserve">ホジョキンサイタクハ </t>
    </rPh>
    <rPh sb="487" eb="488">
      <t xml:space="preserve">ケンデアル。 </t>
    </rPh>
    <rPh sb="493" eb="495">
      <t xml:space="preserve">ガンネン </t>
    </rPh>
    <rPh sb="514" eb="516">
      <t xml:space="preserve">ガンネン </t>
    </rPh>
    <rPh sb="537" eb="538">
      <t>_x0000__x0001__x0004_</t>
    </rPh>
    <rPh sb="807" eb="809">
      <t>_x0008__x0012__x0002__x000D__x0018__x0004__x0016__x001D__x0003__x001E_!_x0005_)'_x0003_0*_x0006_?1_x0004_G5_x0007_X&lt;_x0001_\&gt;_x0002_jG_x0003_P_x0003_X_x0004_a"±_x0004_¹_x0004_Á_x0002_Ê_x0006_Ö_x0002_Ü_x0002_á¤_x0002_ì©_x0001_ñ¬_x0004_ú°_x0001_ý²_x0001_Ćº_x0002_Ċ½_x0002_ďÀ_x0005_ĚÈ_x0004_ģÓ_x0002_ħÖ_x0002_ĬÙ_x0004_ĵß_x0001_ļæ_x0002_ŀé_x0002_Ņì_x0004_őò_x0001_ŘĀ_x0002_ŜĂ_x0001_şĉ_x0004_ŨĎ_x0002_ŵė_x0002_ſĢ_x0002_ƊĤ_x0002_ƐĪ_x0004_Ƙį_x0002_Ɵĳ_x0004_ƯĻ_x0001_ƺŃ_x001E_Ǆţ_x0002_ǉŭ_x0002_ǙŲ_x0001_ǜǃ_x0002_ǣǐ_x0002_ǧǓ_x0002_Ǭǖ_x0004_ǵǛ_x0005_Ȁǣ_x0001_ȇȕ_x0001_Ȋ̟_x0002_ȏ̟_x0002_Ȕ̡_x0001_Ș̡_x0001_Ȝ̤_x0002_ȣ̤_x0002_</t>
    </rPh>
    <rPh sb="863" eb="864">
      <t xml:space="preserve">ガンネン </t>
    </rPh>
    <rPh sb="889" eb="891">
      <t xml:space="preserve">ガンネン </t>
    </rPh>
    <phoneticPr fontId="1"/>
  </si>
  <si>
    <t>　情報リテラシーのExcelとデータ処理（１０〜１２）において、Excelでのデータの処理方法、関数の扱い方、グラフの作成法を演習し、可視化したデータから特徴を把握する方法を実習する。
　グループワークによる物理・化学実験を通して、データの取得、整理、可視化を行い、データ・現象の特徴を捉える方法を学ぶ。また、得られた成果について、グループ内外で議論することで、理解の定着を図る。実際の現象を見ながら、実データを測定・取得し、それを整理・説明する一連の流れを体験することで、数理・データサイエンスの基本的な活用方法について理解する。</t>
    <rPh sb="1" eb="3">
      <t>ジョウホウ</t>
    </rPh>
    <rPh sb="104" eb="106">
      <t>ブツリ</t>
    </rPh>
    <rPh sb="107" eb="109">
      <t>カガク</t>
    </rPh>
    <rPh sb="120" eb="122">
      <t>シュトク</t>
    </rPh>
    <rPh sb="123" eb="125">
      <t>セイリ</t>
    </rPh>
    <rPh sb="126" eb="129">
      <t>カシカ</t>
    </rPh>
    <rPh sb="130" eb="131">
      <t>オコナ</t>
    </rPh>
    <rPh sb="137" eb="139">
      <t>ゲンショウ</t>
    </rPh>
    <rPh sb="140" eb="142">
      <t>トクチョウ</t>
    </rPh>
    <rPh sb="143" eb="144">
      <t>トラ</t>
    </rPh>
    <rPh sb="146" eb="148">
      <t>ホウホウ</t>
    </rPh>
    <rPh sb="149" eb="150">
      <t>マナ</t>
    </rPh>
    <rPh sb="155" eb="156">
      <t>エ</t>
    </rPh>
    <rPh sb="159" eb="161">
      <t>セイカ</t>
    </rPh>
    <rPh sb="170" eb="172">
      <t>ナイガイ</t>
    </rPh>
    <rPh sb="173" eb="175">
      <t>ギロン</t>
    </rPh>
    <rPh sb="190" eb="192">
      <t>ジッサイ</t>
    </rPh>
    <rPh sb="193" eb="195">
      <t>ゲンショウ</t>
    </rPh>
    <rPh sb="196" eb="197">
      <t>ミ</t>
    </rPh>
    <rPh sb="201" eb="202">
      <t>ジツ</t>
    </rPh>
    <rPh sb="206" eb="208">
      <t>ソクテイ</t>
    </rPh>
    <rPh sb="209" eb="211">
      <t>シュトク</t>
    </rPh>
    <rPh sb="216" eb="218">
      <t>セイリ</t>
    </rPh>
    <rPh sb="219" eb="221">
      <t>セツメイ</t>
    </rPh>
    <rPh sb="223" eb="225">
      <t>イチレン</t>
    </rPh>
    <rPh sb="226" eb="227">
      <t>ナガ</t>
    </rPh>
    <rPh sb="229" eb="231">
      <t>タイケン</t>
    </rPh>
    <rPh sb="237" eb="239">
      <t>スウリ</t>
    </rPh>
    <rPh sb="249" eb="251">
      <t>キホン</t>
    </rPh>
    <rPh sb="251" eb="252">
      <t>テキ</t>
    </rPh>
    <rPh sb="253" eb="255">
      <t>カツヨウ</t>
    </rPh>
    <rPh sb="255" eb="257">
      <t>ホウホウ</t>
    </rPh>
    <rPh sb="261" eb="263">
      <t>リカイ</t>
    </rPh>
    <phoneticPr fontId="1"/>
  </si>
  <si>
    <t>物理２、化学２</t>
    <rPh sb="0" eb="2">
      <t>ブツリ</t>
    </rPh>
    <rPh sb="4" eb="6">
      <t>カガク</t>
    </rPh>
    <phoneticPr fontId="1"/>
  </si>
  <si>
    <t>様式２</t>
    <rPh sb="0" eb="2">
      <t>ヨウシキ</t>
    </rPh>
    <phoneticPr fontId="1"/>
  </si>
  <si>
    <t>阿南工業高等専門学校</t>
    <rPh sb="0" eb="10">
      <t>アナンコウギョウコウトウセンモンガッコウ</t>
    </rPh>
    <phoneticPr fontId="1"/>
  </si>
  <si>
    <t>高等専門学校</t>
  </si>
  <si>
    <t>徳島県阿南市見能林町青木265</t>
    <rPh sb="0" eb="3">
      <t>トクシマケン</t>
    </rPh>
    <rPh sb="3" eb="6">
      <t>アナンシ</t>
    </rPh>
    <rPh sb="6" eb="10">
      <t>ミノバヤシチョウ</t>
    </rPh>
    <rPh sb="10" eb="12">
      <t>アオキ</t>
    </rPh>
    <phoneticPr fontId="1"/>
  </si>
  <si>
    <t>平成29年度</t>
    <rPh sb="0" eb="2">
      <t>ヘイセイ</t>
    </rPh>
    <rPh sb="4" eb="6">
      <t>ネンド</t>
    </rPh>
    <rPh sb="5" eb="6">
      <t>ド</t>
    </rPh>
    <phoneticPr fontId="1"/>
  </si>
  <si>
    <t>校長</t>
    <rPh sb="0" eb="2">
      <t>コウチョウ</t>
    </rPh>
    <phoneticPr fontId="1"/>
  </si>
  <si>
    <t>認定教育プログラムと認定教育プログラム+（プラス）</t>
  </si>
  <si>
    <t>0884-23-7133</t>
    <phoneticPr fontId="1"/>
  </si>
  <si>
    <t>数理・データサイエンス・AI教育プログラム（リテラシーレベル）</t>
    <rPh sb="0" eb="2">
      <t>スウリ</t>
    </rPh>
    <rPh sb="14" eb="16">
      <t>キョウイク</t>
    </rPh>
    <phoneticPr fontId="1"/>
  </si>
  <si>
    <t>岩佐　隆志</t>
    <rPh sb="0" eb="2">
      <t>イワサ</t>
    </rPh>
    <rPh sb="3" eb="5">
      <t>タカシ</t>
    </rPh>
    <phoneticPr fontId="1"/>
  </si>
  <si>
    <t>kyomu@anan-nct.ac.jp</t>
    <phoneticPr fontId="1"/>
  </si>
  <si>
    <t>学生課教務係</t>
    <rPh sb="0" eb="3">
      <t>ガクセイカ</t>
    </rPh>
    <rPh sb="3" eb="6">
      <t>キョウムガカリ</t>
    </rPh>
    <phoneticPr fontId="1"/>
  </si>
  <si>
    <t>教育連携専門委員会</t>
    <rPh sb="0" eb="2">
      <t>キョウイク</t>
    </rPh>
    <rPh sb="2" eb="4">
      <t>レンケイ</t>
    </rPh>
    <rPh sb="4" eb="6">
      <t>センモン</t>
    </rPh>
    <rPh sb="6" eb="9">
      <t>イインカイ</t>
    </rPh>
    <phoneticPr fontId="1"/>
  </si>
  <si>
    <t>　小西　智也</t>
    <phoneticPr fontId="1"/>
  </si>
  <si>
    <t>安野　恵実子</t>
    <phoneticPr fontId="1"/>
  </si>
  <si>
    <t>点検・評価委員会</t>
    <rPh sb="0" eb="2">
      <t>テンケン</t>
    </rPh>
    <rPh sb="3" eb="8">
      <t>ヒョウカイインカイ</t>
    </rPh>
    <phoneticPr fontId="1"/>
  </si>
  <si>
    <t>平山　けい</t>
    <rPh sb="0" eb="2">
      <t>ヒラヤマ</t>
    </rPh>
    <phoneticPr fontId="1"/>
  </si>
  <si>
    <t>点検・評価委員長</t>
    <phoneticPr fontId="1"/>
  </si>
  <si>
    <t>教育連携専門委員長</t>
    <phoneticPr fontId="1"/>
  </si>
  <si>
    <r>
      <t>教育連携専門委員会</t>
    </r>
    <r>
      <rPr>
        <sz val="12"/>
        <rFont val="ＭＳ Ｐゴシック"/>
        <family val="3"/>
        <charset val="128"/>
      </rPr>
      <t>規則</t>
    </r>
    <rPh sb="0" eb="2">
      <t>キョウイク</t>
    </rPh>
    <rPh sb="2" eb="4">
      <t>レンケイ</t>
    </rPh>
    <rPh sb="4" eb="9">
      <t>センモンイインカイ</t>
    </rPh>
    <rPh sb="9" eb="11">
      <t xml:space="preserve">キソク </t>
    </rPh>
    <phoneticPr fontId="1"/>
  </si>
  <si>
    <r>
      <t xml:space="preserve">数理・データサイエンス・AI技術の基本的知識を身につけ、その技術を活用することで、新たな技術や情報を取得・創出することができる。
情報化社会の特徴とともにその問題点を理解し、データや情報の取り扱い、発信、保護等に必要な原則、法規および倫理に則った行動ができる。
</t>
    </r>
    <r>
      <rPr>
        <sz val="12"/>
        <rFont val="ＭＳ Ｐゴシック"/>
        <family val="3"/>
        <charset val="128"/>
      </rPr>
      <t>技術者としてSoceiety5.0の実現に貢献するために、データや情報を正しく取り扱い、それに基づいて適切に判断するための基本スキルを修得し、活用できる。</t>
    </r>
    <rPh sb="14" eb="16">
      <t>ギジュツ</t>
    </rPh>
    <rPh sb="18" eb="19">
      <t>ホン</t>
    </rPh>
    <rPh sb="20" eb="22">
      <t>チシキ</t>
    </rPh>
    <rPh sb="30" eb="32">
      <t>ギジュツ</t>
    </rPh>
    <rPh sb="50" eb="52">
      <t>シュトク</t>
    </rPh>
    <rPh sb="65" eb="68">
      <t>ジョウホウカ</t>
    </rPh>
    <rPh sb="68" eb="70">
      <t>シャカイ</t>
    </rPh>
    <rPh sb="71" eb="73">
      <t>トクチョウ</t>
    </rPh>
    <rPh sb="79" eb="82">
      <t>モンダイテン</t>
    </rPh>
    <rPh sb="83" eb="85">
      <t>リカイ</t>
    </rPh>
    <rPh sb="120" eb="121">
      <t>ノット</t>
    </rPh>
    <rPh sb="123" eb="125">
      <t>コウドウ</t>
    </rPh>
    <rPh sb="198" eb="199">
      <t>シュウ</t>
    </rPh>
    <phoneticPr fontId="1"/>
  </si>
  <si>
    <t>　本教育プログラム受講者全員に対して「シラバス記載到達目標達成度自己評価」を実施し、学生の理解度を分析しており、本プログラムに関わる科目について到達目標達成度は９６％～１００％であった。
併せて、「情報リテラシー」（必修、1年、2単位）では「学修(学習)達成度評価アンケート」も実施しており、「『到達目標』に関わる知識・技術を身に着けることができた」という設問に対して、「そう思う」「ややそう思う」と回答した学生は９９％、「予習時間が３０分以上である」が９２％、「この授業についてどの程度満足しているか」が９３％であった。
　これらのことから、必要な知識・技術を修得するとともに、予習する学習習慣が身につき、学生自身がこれら学習に満足していることが読み取れ、十分な成果が得られていることが確認できる。
　これらの評価結果は、当該科目担当教員にフィードバックしている。同教員は毎年度それらの結果をもとに授業をふり返り、授業改善策を策定し、継続的な改善に活用している。
 また、単位修得状況が芳しくない場合、教務責任者（管理職）が面談して授業改善について助言･支援するシステムを構築し、運用している。る。</t>
    <phoneticPr fontId="1"/>
  </si>
  <si>
    <t>所定の必修科目を全て修得していること。</t>
    <rPh sb="3" eb="5">
      <t>ヒッシュウ</t>
    </rPh>
    <rPh sb="10" eb="12">
      <t>シュウトク</t>
    </rPh>
    <phoneticPr fontId="1"/>
  </si>
  <si>
    <t>　本プログラムに関わる授業は全コースにおいて必修科目として開講しているため、履修対象者数６３３名に対し履修者数６３３名、履修率は１００％である。
　令和２年度　６３３名（１００％）　※実績値</t>
    <rPh sb="1" eb="2">
      <t xml:space="preserve">ホン </t>
    </rPh>
    <rPh sb="11" eb="13">
      <t xml:space="preserve">ジュギョウハ， </t>
    </rPh>
    <rPh sb="14" eb="15">
      <t>ゼン</t>
    </rPh>
    <rPh sb="22" eb="24">
      <t>ヒッシュウ</t>
    </rPh>
    <rPh sb="24" eb="26">
      <t>カモク</t>
    </rPh>
    <rPh sb="29" eb="31">
      <t>カイコウ</t>
    </rPh>
    <rPh sb="38" eb="40">
      <t>リシュウ</t>
    </rPh>
    <rPh sb="40" eb="42">
      <t>タイショウ</t>
    </rPh>
    <rPh sb="42" eb="43">
      <t>シャ</t>
    </rPh>
    <rPh sb="43" eb="44">
      <t>スウ</t>
    </rPh>
    <rPh sb="47" eb="48">
      <t>メイ</t>
    </rPh>
    <rPh sb="49" eb="50">
      <t>タイ</t>
    </rPh>
    <rPh sb="51" eb="54">
      <t>リシュウシャ</t>
    </rPh>
    <rPh sb="54" eb="55">
      <t>スウ</t>
    </rPh>
    <rPh sb="58" eb="59">
      <t>メイ</t>
    </rPh>
    <rPh sb="60" eb="63">
      <t>リシュウリツ</t>
    </rPh>
    <rPh sb="74" eb="76">
      <t>レイワ</t>
    </rPh>
    <rPh sb="77" eb="79">
      <t>ネンド</t>
    </rPh>
    <rPh sb="83" eb="84">
      <t>メイ</t>
    </rPh>
    <phoneticPr fontId="1"/>
  </si>
  <si>
    <t>阿南工業高等専門学校</t>
    <rPh sb="0" eb="2">
      <t xml:space="preserve">アナン </t>
    </rPh>
    <rPh sb="2" eb="4">
      <t>コウギョウ</t>
    </rPh>
    <rPh sb="4" eb="10">
      <t>トヤマコウトウセンモンガッコウ</t>
    </rPh>
    <phoneticPr fontId="1"/>
  </si>
  <si>
    <t>副教務主事の中から教務主事が指名する者　委員長　化学コース　教授　小西智也
一般教養教員の中から教務主事が指名する者　委員　一般教養　教授　櫛田雅弘
各コース教員の中から教務主事が指名する者　委員　機械コース　准教授　大北裕司
各コース教員の中から教務主事が指名する者　委員　電気コース　教授　中村雄一
各コース教員の中から教務主事が指名する者　委員　情報コース　准教授　安野恵実子
各コース教員の中から教務主事が指名する者　委員　建設コース　准教授　加藤研二
各コース教員の中から教務主事が指名する者　委員　化学コース　教授　小西智也
専攻科担当教員の中から教務主事が指名する者　委員　電気コース　教授　長谷川竜生</t>
    <rPh sb="0" eb="5">
      <t>フクキョウムシュジ</t>
    </rPh>
    <rPh sb="6" eb="7">
      <t>ナカ</t>
    </rPh>
    <rPh sb="9" eb="11">
      <t>キョウム</t>
    </rPh>
    <rPh sb="11" eb="13">
      <t>シュジ</t>
    </rPh>
    <rPh sb="14" eb="16">
      <t>シメイ</t>
    </rPh>
    <rPh sb="18" eb="19">
      <t>モノ</t>
    </rPh>
    <rPh sb="20" eb="23">
      <t>イインチョウ</t>
    </rPh>
    <rPh sb="24" eb="26">
      <t>カガク</t>
    </rPh>
    <rPh sb="30" eb="32">
      <t>キョウジュ</t>
    </rPh>
    <rPh sb="33" eb="35">
      <t>コニシ</t>
    </rPh>
    <rPh sb="35" eb="37">
      <t>トモヤ</t>
    </rPh>
    <rPh sb="38" eb="42">
      <t>イッパンキョウヨウ</t>
    </rPh>
    <rPh sb="42" eb="44">
      <t>キョウイン</t>
    </rPh>
    <rPh sb="45" eb="46">
      <t>ナカ</t>
    </rPh>
    <rPh sb="48" eb="50">
      <t>キョウム</t>
    </rPh>
    <rPh sb="50" eb="52">
      <t>シュジ</t>
    </rPh>
    <rPh sb="53" eb="55">
      <t>シメイ</t>
    </rPh>
    <rPh sb="57" eb="58">
      <t>モノ</t>
    </rPh>
    <rPh sb="59" eb="61">
      <t>イイン</t>
    </rPh>
    <rPh sb="62" eb="64">
      <t>イッパン</t>
    </rPh>
    <rPh sb="64" eb="66">
      <t>キョウヨウ</t>
    </rPh>
    <rPh sb="67" eb="69">
      <t>キョウジュ</t>
    </rPh>
    <rPh sb="70" eb="72">
      <t>クシダ</t>
    </rPh>
    <rPh sb="72" eb="74">
      <t>マサヒロ</t>
    </rPh>
    <rPh sb="75" eb="76">
      <t>カク</t>
    </rPh>
    <rPh sb="79" eb="81">
      <t>キョウイン</t>
    </rPh>
    <rPh sb="82" eb="83">
      <t>ナカ</t>
    </rPh>
    <rPh sb="85" eb="87">
      <t>キョウム</t>
    </rPh>
    <rPh sb="87" eb="89">
      <t>シュジ</t>
    </rPh>
    <rPh sb="90" eb="92">
      <t>シメイ</t>
    </rPh>
    <rPh sb="94" eb="95">
      <t>モノ</t>
    </rPh>
    <rPh sb="96" eb="98">
      <t>イイン</t>
    </rPh>
    <rPh sb="99" eb="101">
      <t>キカイ</t>
    </rPh>
    <rPh sb="105" eb="108">
      <t>ジュンキョウジュ</t>
    </rPh>
    <rPh sb="109" eb="111">
      <t>オオキタ</t>
    </rPh>
    <rPh sb="111" eb="113">
      <t>ユウジ</t>
    </rPh>
    <rPh sb="138" eb="140">
      <t>デンキ</t>
    </rPh>
    <rPh sb="147" eb="149">
      <t>ナカムラ</t>
    </rPh>
    <rPh sb="149" eb="151">
      <t>ユウイチ</t>
    </rPh>
    <rPh sb="176" eb="178">
      <t>ジョウホウ</t>
    </rPh>
    <rPh sb="186" eb="188">
      <t>ヤスノ</t>
    </rPh>
    <rPh sb="216" eb="218">
      <t>ケンセツ</t>
    </rPh>
    <rPh sb="226" eb="228">
      <t>カトウ</t>
    </rPh>
    <rPh sb="228" eb="230">
      <t>ケンジ</t>
    </rPh>
    <rPh sb="255" eb="257">
      <t>カガク</t>
    </rPh>
    <rPh sb="264" eb="266">
      <t>コニシ</t>
    </rPh>
    <rPh sb="266" eb="268">
      <t>トモヤ</t>
    </rPh>
    <rPh sb="269" eb="272">
      <t>センコウカ</t>
    </rPh>
    <rPh sb="272" eb="274">
      <t>タントウ</t>
    </rPh>
    <rPh sb="274" eb="276">
      <t>キョウイン</t>
    </rPh>
    <rPh sb="294" eb="296">
      <t>デンキ</t>
    </rPh>
    <rPh sb="303" eb="306">
      <t>ハセガワ</t>
    </rPh>
    <rPh sb="306" eb="308">
      <t>タツオ</t>
    </rPh>
    <phoneticPr fontId="1"/>
  </si>
  <si>
    <t>【アクティブ･ラーニング･スタジオ、ラーニング･コモンズ】
　プロジェクタ、可動式机･椅子、壁面ホワイトボード、Wi-Fi環境を配したアクティブ･ラーニング･スタジオを3室設け、授業に活用するとともに学生に供している。
　現在、開放的な学習空間としてのラーニング･コモンズを構築準備中である。
【無線wi-fi環境、パーソナルコンピュータ】
　学生寮を含む全学（各教室、図書館等）に無線wi-fi環境を整備し、授業･課外でデータを活用できる環境を整備している。学生は時間を問わず、利用可能である。
　パーソナルコンピュータを約50台配した演習室を、学生に開放している。
　学生貸し出し用のノートパソコンを約200台保有し、適宜学生に供用している。
　令和4年度以降、順次、BYODに移行する予定である。
【ラーニング･マネージメント･システム】
　学習支援システムとしてラーニング･マネージメント･システムを全学に導入している。全学生･教職員が授業ほかの教育に活用している。ここでは、授業教材･授業ビデオ･学習プリントを共有し、課題の提出と評価を行っている。このラーニング･マネージメント･システム上で学生のチームを作成し、チャットルーム的に学生間の意見交換･討議なども行っている。
　学生個別に学習成果（レポートや小テストなど）を集積し、ラーニング･ポートフォリオとして学生に提供している。学生は、授業ビデオ等を活用した予習･復習が可能である。
　学生はこのシステムを自宅や学生寮からも利用でき、時間を問わず学習できる。
【補完的な教育】
　1･2年生を対象に、ティーチング･アシスタント（TA）補習を定期的に実施している。TAには、高学年学生を配している。令和3年度、この補習を拡充し、1年生補習をカリキュラム化する。
　担任教員1-3年生に年3-4回の学生支援ミーティングを実施し、学習上の課題を聴き取り適切に助言するとともに、組織的な改善に接続している。
　バーチャル空間におけるTAサポートを試行し、今後、運用していく。これにより、1･2年生以外および補習に参加しにくい学生への学習支援を行う。
【インターンシップ、コーオプ教育】
　インターンシップを必修科目として4年次に配し、企業実務に携わる中で情報管理･倫理および情報セキュリティをふまえつつ、実データや実課題に向き合う機会を設け、データや情報が実社会に深く寄与し関わっていることを学ばせている。
　コーオプ教育として3年次から4年次にかけて合計約9週間にわたる企業就業プログラムを構築し、希望する学生に提供している。企業における就業と高専での学習を交互に繰り返し、社会人基礎力を含む就業能力の育成、知識･理論･技術の定着、問題解決能力の向上を目的とした就業体験学習（Work Based Learning）である。
【学修成果の可視化】
　「文部科学省大学改革推進事業　大学教育再生加速プログラム　学修成果の可視化」に採択され、学修成果の可視化を進めてきた。これにより、「学修過程の評価を実施する科目の割合」や「学生の学修時間」は着実に増進してきている。
　このほか、全授業科目について「学修（学習）到達目標達成度アンケート」を実施して学修成果を確認し、JABEE科目を中心に選択した科目（各教員1科目）について学生よる授業評価アンケートを実施し、それぞれ学修成果を可視化するとともに授業や学習環境の改善に接続している。
　本校学生が就業した企業にアンケートし、本校教育目標の達成度を確認し、授業や学習環境の改善に接続している。</t>
    <rPh sb="38" eb="41">
      <t xml:space="preserve">カドウシキ </t>
    </rPh>
    <rPh sb="41" eb="42">
      <t xml:space="preserve">ツクエ・ </t>
    </rPh>
    <rPh sb="43" eb="45">
      <t xml:space="preserve">イス </t>
    </rPh>
    <rPh sb="46" eb="48">
      <t xml:space="preserve">ヘキメン </t>
    </rPh>
    <rPh sb="61" eb="63">
      <t xml:space="preserve">カンキョウ </t>
    </rPh>
    <rPh sb="67" eb="69">
      <t xml:space="preserve">ムセンワイファイカンキョウ </t>
    </rPh>
    <rPh sb="85" eb="86">
      <t xml:space="preserve">シツモウケ， </t>
    </rPh>
    <rPh sb="86" eb="87">
      <t xml:space="preserve">モウケ </t>
    </rPh>
    <rPh sb="89" eb="91">
      <t xml:space="preserve">ジュギョウニ </t>
    </rPh>
    <rPh sb="92" eb="94">
      <t xml:space="preserve">カツヨウシテイル。 </t>
    </rPh>
    <rPh sb="100" eb="102">
      <t xml:space="preserve">ガクセイニ </t>
    </rPh>
    <rPh sb="103" eb="104">
      <t xml:space="preserve">キョウシテイル。 </t>
    </rPh>
    <rPh sb="111" eb="113">
      <t xml:space="preserve">ゲンザイ， </t>
    </rPh>
    <rPh sb="120" eb="122">
      <t xml:space="preserve">アナン </t>
    </rPh>
    <rPh sb="129" eb="136">
      <t xml:space="preserve">ソウゾウギジュツコウガッカ </t>
    </rPh>
    <rPh sb="137" eb="142">
      <t xml:space="preserve">コウチクジュンビチュウデアル。 </t>
    </rPh>
    <rPh sb="164" eb="166">
      <t xml:space="preserve">ガクセイハジカンヲトワズ， </t>
    </rPh>
    <rPh sb="174" eb="178">
      <t xml:space="preserve">リヨウカノウデアル。 </t>
    </rPh>
    <rPh sb="197" eb="198">
      <t xml:space="preserve">ヤク </t>
    </rPh>
    <rPh sb="200" eb="202">
      <t xml:space="preserve">ダイハイシタ </t>
    </rPh>
    <rPh sb="208" eb="209">
      <t xml:space="preserve">シツヲ， </t>
    </rPh>
    <rPh sb="211" eb="213">
      <t xml:space="preserve">ガクセイニカイホウシテイル。 </t>
    </rPh>
    <rPh sb="228" eb="229">
      <t xml:space="preserve">モウケ， </t>
    </rPh>
    <rPh sb="357" eb="359">
      <t xml:space="preserve">ガクセイハコノシステムヲ </t>
    </rPh>
    <rPh sb="450" eb="454">
      <t xml:space="preserve">ガクセイコベツノ </t>
    </rPh>
    <rPh sb="455" eb="457">
      <t xml:space="preserve">ガクシュウ </t>
    </rPh>
    <rPh sb="457" eb="459">
      <t xml:space="preserve">セイカ </t>
    </rPh>
    <rPh sb="473" eb="475">
      <t xml:space="preserve">シュウセキシ， </t>
    </rPh>
    <rPh sb="493" eb="495">
      <t xml:space="preserve">ガクセイニテイキョウシテイル。 </t>
    </rPh>
    <rPh sb="515" eb="517">
      <t xml:space="preserve">ジタクヤ </t>
    </rPh>
    <rPh sb="518" eb="520">
      <t xml:space="preserve">ガクセイリョウカラモ </t>
    </rPh>
    <rPh sb="523" eb="525">
      <t xml:space="preserve">リヨウデキ， </t>
    </rPh>
    <rPh sb="528" eb="530">
      <t xml:space="preserve">ジカンヲトワズ </t>
    </rPh>
    <rPh sb="534" eb="536">
      <t xml:space="preserve">ガクシュウデキル。 </t>
    </rPh>
    <rPh sb="544" eb="547">
      <t xml:space="preserve">ホカンテキナ </t>
    </rPh>
    <rPh sb="548" eb="550">
      <t xml:space="preserve">キョウイク </t>
    </rPh>
    <rPh sb="556" eb="558">
      <t xml:space="preserve">ネンセイヲ </t>
    </rPh>
    <rPh sb="559" eb="561">
      <t xml:space="preserve">タイショウニ， </t>
    </rPh>
    <rPh sb="580" eb="582">
      <t xml:space="preserve">ホシュウヲ </t>
    </rPh>
    <rPh sb="583" eb="586">
      <t xml:space="preserve">テイキテキニジッシシテイル。 </t>
    </rPh>
    <rPh sb="606" eb="607">
      <t xml:space="preserve">ハイシテイル。 </t>
    </rPh>
    <rPh sb="611" eb="613">
      <t xml:space="preserve">レイワ </t>
    </rPh>
    <rPh sb="614" eb="616">
      <t xml:space="preserve">ネンドセ </t>
    </rPh>
    <rPh sb="619" eb="621">
      <t xml:space="preserve">ホシュウハ， </t>
    </rPh>
    <rPh sb="622" eb="624">
      <t xml:space="preserve">カクジュウシ， </t>
    </rPh>
    <rPh sb="627" eb="629">
      <t xml:space="preserve">ネンセイ </t>
    </rPh>
    <rPh sb="629" eb="631">
      <t xml:space="preserve">ホシュウニツイテハ </t>
    </rPh>
    <rPh sb="638" eb="639">
      <t xml:space="preserve">カ </t>
    </rPh>
    <rPh sb="647" eb="649">
      <t xml:space="preserve">ネンセイニハ </t>
    </rPh>
    <rPh sb="654" eb="655">
      <t xml:space="preserve">カイノ </t>
    </rPh>
    <rPh sb="667" eb="669">
      <t xml:space="preserve">ジッシシ， </t>
    </rPh>
    <rPh sb="671" eb="674">
      <t xml:space="preserve">ガクシュウジョウノカダイ </t>
    </rPh>
    <rPh sb="678" eb="679">
      <t xml:space="preserve">キキトリ </t>
    </rPh>
    <rPh sb="682" eb="684">
      <t xml:space="preserve">テキセツニジョゲンスルトトモニ， </t>
    </rPh>
    <rPh sb="694" eb="697">
      <t xml:space="preserve">ソシキテキナ </t>
    </rPh>
    <rPh sb="698" eb="700">
      <t xml:space="preserve">カイゼンニセツゾクシテイル。 </t>
    </rPh>
    <rPh sb="728" eb="730">
      <t xml:space="preserve">シコウシ， </t>
    </rPh>
    <rPh sb="732" eb="734">
      <t xml:space="preserve">コンゴ， </t>
    </rPh>
    <rPh sb="735" eb="737">
      <t xml:space="preserve">ウンヨウシテイク。 </t>
    </rPh>
    <rPh sb="740" eb="744">
      <t xml:space="preserve">タンニンキョウイン </t>
    </rPh>
    <rPh sb="755" eb="759">
      <t xml:space="preserve">ネンセイイガイ， </t>
    </rPh>
    <rPh sb="762" eb="764">
      <t xml:space="preserve">ホシュウトウニサンカシニクイ </t>
    </rPh>
    <rPh sb="771" eb="773">
      <t xml:space="preserve">ガクセイヘノ </t>
    </rPh>
    <rPh sb="775" eb="779">
      <t xml:space="preserve">ガクシュウシエンヲ オコナウ。 </t>
    </rPh>
    <rPh sb="805" eb="807">
      <t xml:space="preserve">ネンジニ </t>
    </rPh>
    <rPh sb="808" eb="809">
      <t xml:space="preserve">ハイシ， </t>
    </rPh>
    <rPh sb="811" eb="815">
      <t xml:space="preserve">キギョウジツムニ </t>
    </rPh>
    <rPh sb="816" eb="817">
      <t xml:space="preserve">タズサワルナカデ </t>
    </rPh>
    <rPh sb="821" eb="822">
      <t xml:space="preserve">ジツデータ </t>
    </rPh>
    <rPh sb="826" eb="829">
      <t xml:space="preserve">ジツカダイニ </t>
    </rPh>
    <rPh sb="830" eb="831">
      <t xml:space="preserve">ムキアウ </t>
    </rPh>
    <rPh sb="834" eb="836">
      <t xml:space="preserve">キカイヲモウケ， </t>
    </rPh>
    <rPh sb="840" eb="844">
      <t xml:space="preserve">ジョウホウカンリ・ </t>
    </rPh>
    <rPh sb="845" eb="847">
      <t xml:space="preserve">リンリ </t>
    </rPh>
    <rPh sb="850" eb="852">
      <t xml:space="preserve">ジョウホウセキュリティ </t>
    </rPh>
    <rPh sb="868" eb="870">
      <t xml:space="preserve">ジョウホウガ </t>
    </rPh>
    <rPh sb="871" eb="874">
      <t xml:space="preserve">ジッシャカイ </t>
    </rPh>
    <rPh sb="875" eb="876">
      <t xml:space="preserve">フカクキヨシ </t>
    </rPh>
    <rPh sb="880" eb="881">
      <t xml:space="preserve">カカワッテイルコトヲ </t>
    </rPh>
    <rPh sb="889" eb="890">
      <t xml:space="preserve">マナビ </t>
    </rPh>
    <rPh sb="899" eb="903">
      <t xml:space="preserve">ガクシュウセイカノカシカ </t>
    </rPh>
    <rPh sb="911" eb="916">
      <t xml:space="preserve">モンブカガクショウ </t>
    </rPh>
    <rPh sb="921" eb="925">
      <t xml:space="preserve">スイシンジギョウ </t>
    </rPh>
    <rPh sb="926" eb="937">
      <t xml:space="preserve">ダイガク </t>
    </rPh>
    <rPh sb="937" eb="943">
      <t xml:space="preserve">キョウイクサイセイカソク </t>
    </rPh>
    <rPh sb="959" eb="961">
      <t xml:space="preserve">サイタクサレ， </t>
    </rPh>
    <rPh sb="964" eb="968">
      <t xml:space="preserve">ガクシュウセイカ </t>
    </rPh>
    <rPh sb="969" eb="972">
      <t xml:space="preserve">カシカヲ </t>
    </rPh>
    <rPh sb="973" eb="974">
      <t xml:space="preserve">ススメテキタ。 </t>
    </rPh>
    <rPh sb="989" eb="991">
      <t xml:space="preserve">ネンジ </t>
    </rPh>
    <rPh sb="994" eb="996">
      <t xml:space="preserve">ネンジニカケテ </t>
    </rPh>
    <rPh sb="1000" eb="1002">
      <t xml:space="preserve">ゴウケイ </t>
    </rPh>
    <rPh sb="1002" eb="1003">
      <t xml:space="preserve">ヤク </t>
    </rPh>
    <rPh sb="1004" eb="1006">
      <t xml:space="preserve">シュウカンニ </t>
    </rPh>
    <rPh sb="1010" eb="1014">
      <t xml:space="preserve">キギョウシュウギョウ </t>
    </rPh>
    <rPh sb="1020" eb="1022">
      <t xml:space="preserve">コウチクシ， </t>
    </rPh>
    <rPh sb="1024" eb="1026">
      <t xml:space="preserve">キボウスル </t>
    </rPh>
    <rPh sb="1028" eb="1030">
      <t xml:space="preserve">ガクセイニテイキョウシテイル。 </t>
    </rPh>
    <rPh sb="1038" eb="1039">
      <t xml:space="preserve">キギョウニオケルシュウギョウト </t>
    </rPh>
    <rPh sb="1047" eb="1048">
      <t xml:space="preserve">コウセンデノガクシュウヲ </t>
    </rPh>
    <rPh sb="1053" eb="1055">
      <t xml:space="preserve">コウゴニクリカエシ， </t>
    </rPh>
    <rPh sb="1061" eb="1067">
      <t xml:space="preserve">シャカイジンキソリョクヲフクム </t>
    </rPh>
    <rPh sb="1070" eb="1074">
      <t xml:space="preserve">シュウギョウノウリョクノコウジョウ， </t>
    </rPh>
    <rPh sb="1075" eb="1077">
      <t xml:space="preserve">イクセイ， </t>
    </rPh>
    <rPh sb="1078" eb="1080">
      <t xml:space="preserve">チシキ・ </t>
    </rPh>
    <rPh sb="1084" eb="1086">
      <t xml:space="preserve">ギジュツノテイチャク </t>
    </rPh>
    <rPh sb="1090" eb="1096">
      <t xml:space="preserve">モンダイカイケツノウリョクノ </t>
    </rPh>
    <rPh sb="1097" eb="1099">
      <t xml:space="preserve">コウジョウヲ </t>
    </rPh>
    <rPh sb="1100" eb="1102">
      <t xml:space="preserve">モクテキトシタ </t>
    </rPh>
    <rPh sb="1105" eb="1111">
      <t xml:space="preserve">シュウギョウタイケンガクシュウ </t>
    </rPh>
    <rPh sb="1142" eb="1146">
      <t xml:space="preserve">ガクシュウカテイ </t>
    </rPh>
    <rPh sb="1147" eb="1149">
      <t xml:space="preserve">ヒョウカヲジッシスル </t>
    </rPh>
    <rPh sb="1154" eb="1156">
      <t xml:space="preserve">カモクノワリアイ </t>
    </rPh>
    <rPh sb="1165" eb="1167">
      <t xml:space="preserve">ガクシュウ </t>
    </rPh>
    <rPh sb="1167" eb="1169">
      <t xml:space="preserve">ガクセイノガシュウジカン </t>
    </rPh>
    <rPh sb="1171" eb="1173">
      <t xml:space="preserve">チャクジツニゾウシンシテキテイル。 </t>
    </rPh>
    <rPh sb="1190" eb="1195">
      <t xml:space="preserve">ゼンジュギョウカモクノ </t>
    </rPh>
    <rPh sb="1199" eb="1205">
      <t xml:space="preserve">ガクシュウトウタツモクヒョウ </t>
    </rPh>
    <rPh sb="1205" eb="1208">
      <t xml:space="preserve">タッセイドアンケートヲ </t>
    </rPh>
    <rPh sb="1214" eb="1216">
      <t xml:space="preserve">ジッシシ， </t>
    </rPh>
    <rPh sb="1218" eb="1222">
      <t xml:space="preserve">ガクシュウセイカヲ </t>
    </rPh>
    <rPh sb="1223" eb="1225">
      <t xml:space="preserve">カクニンシ， </t>
    </rPh>
    <rPh sb="1232" eb="1234">
      <t xml:space="preserve">カモク </t>
    </rPh>
    <rPh sb="1235" eb="1237">
      <t xml:space="preserve">チュウシンニセンタクシタ </t>
    </rPh>
    <rPh sb="1242" eb="1244">
      <t xml:space="preserve">カモク </t>
    </rPh>
    <rPh sb="1245" eb="1248">
      <t xml:space="preserve">カクキョウイン </t>
    </rPh>
    <rPh sb="1249" eb="1251">
      <t xml:space="preserve">カモク </t>
    </rPh>
    <rPh sb="1256" eb="1258">
      <t xml:space="preserve">ガクセイニ </t>
    </rPh>
    <rPh sb="1260" eb="1264">
      <t xml:space="preserve">ジュギョウヒョウカアンケート </t>
    </rPh>
    <rPh sb="1270" eb="1272">
      <t xml:space="preserve">ジッシシ， </t>
    </rPh>
    <rPh sb="1278" eb="1280">
      <t xml:space="preserve">ガクシュウカイゼンヲ </t>
    </rPh>
    <rPh sb="1280" eb="1282">
      <t xml:space="preserve">セイカヲカシカスルトトモニ </t>
    </rPh>
    <rPh sb="1292" eb="1294">
      <t xml:space="preserve">ジュギョウヤ </t>
    </rPh>
    <rPh sb="1295" eb="1299">
      <t xml:space="preserve">ガクシュウカンキョウノカイゼンニセツゾクシテイル。 </t>
    </rPh>
    <rPh sb="1304" eb="1306">
      <t xml:space="preserve">ガクシュウ </t>
    </rPh>
    <rPh sb="1392" eb="1396">
      <t xml:space="preserve">ホンコウガクセイガ </t>
    </rPh>
    <rPh sb="1397" eb="1399">
      <t xml:space="preserve">シュウギョウシタ </t>
    </rPh>
    <rPh sb="1401" eb="1403">
      <t xml:space="preserve">キギョウニ </t>
    </rPh>
    <rPh sb="1418" eb="1421">
      <t xml:space="preserve">タッセイド </t>
    </rPh>
    <phoneticPr fontId="1"/>
  </si>
  <si>
    <t>【無線wi-fi環境、パーソナルコンピュータ】
　学生寮を含む全学（各教室、図書館等）に無線Wi-Fi環境を整備し、授業･課外でデータを活用できる環境を整備している。学生は時間を問わず、利用可能である。
　パーソナルコンピュータを約50台配した演習室を、学生に開放している。
　学生貸し出し用のノートパソコンを約200台保有し、適宜学生に供用している。
　令和4年度以降、順次、BYODに移行する予定である。
【ラーニング･マネージメント･システム】
　学習支援システムとしてラーニング･マネージメント･システムを全学に導入している。全学生･教職員が授業ほかの教育に活用している。ここでは、授業教材･授業ビデオ･学習プリントを共有し、課題の提出と評価を行っている。このラーニング･マネージメント･システム上で学生のチームを作成し、チャットルーム的に学生間の意見交換･討議なども行っている。
　学生個別に学習成果（レポートや小テストなど）を集積し、ラーニング･ポートフォリオとして学生に提供している。学生は、授業ビデオ等を活用した予習･復習が可能である。
　学生はこのシステムを自宅や学生寮からも利用でき、時間を問わず学習できる。
【補完的な教育】
　1･2年生を対象に、ティーチング･アシスタント（TA）補習を定期的に実施している。TAには、高学年学生を配している。令和3年度、この補習を拡充し、1年生補習をカリキュラム化する。
　担任教員は1-3年生に年3-4回の学生支援ミーティングを実施し、学習上の課題を聴き取り適切に助言するとともに、組織的な改善に接続している。
　バーチャル空間におけるTAサポートを試行し、今後、運用していく。これにより、1･2年生以外および補習に参加しにくい学生への学習支援を行う。</t>
    <rPh sb="0" eb="3">
      <t>ホウカゴ</t>
    </rPh>
    <rPh sb="4" eb="7">
      <t>エンシュウシツ</t>
    </rPh>
    <rPh sb="8" eb="10">
      <t>カイホウ</t>
    </rPh>
    <rPh sb="15" eb="16">
      <t>シュウ</t>
    </rPh>
    <rPh sb="18" eb="19">
      <t>カイ</t>
    </rPh>
    <rPh sb="39" eb="41">
      <t>テイシュツ</t>
    </rPh>
    <rPh sb="53" eb="55">
      <t>タントウ</t>
    </rPh>
    <rPh sb="55" eb="57">
      <t>キョウイン</t>
    </rPh>
    <rPh sb="58" eb="60">
      <t>タイメン</t>
    </rPh>
    <rPh sb="61" eb="63">
      <t>シドウ</t>
    </rPh>
    <rPh sb="66" eb="67">
      <t>タイセイ</t>
    </rPh>
    <rPh sb="69" eb="70">
      <t>トトノ</t>
    </rPh>
    <rPh sb="77" eb="79">
      <t>ガクセイ</t>
    </rPh>
    <rPh sb="84" eb="87">
      <t>ソウジュシン</t>
    </rPh>
    <rPh sb="88" eb="90">
      <t>シカタ</t>
    </rPh>
    <rPh sb="94" eb="95">
      <t>マナ</t>
    </rPh>
    <rPh sb="97" eb="98">
      <t>アト</t>
    </rPh>
    <rPh sb="99" eb="101">
      <t>シツモン</t>
    </rPh>
    <rPh sb="105" eb="107">
      <t>タントウ</t>
    </rPh>
    <rPh sb="107" eb="109">
      <t>キョウイン</t>
    </rPh>
    <rPh sb="117" eb="119">
      <t>チョクセツ</t>
    </rPh>
    <rPh sb="119" eb="121">
      <t>シツモン</t>
    </rPh>
    <rPh sb="131" eb="133">
      <t>タイオウ</t>
    </rPh>
    <rPh sb="136" eb="138">
      <t>タイセイ</t>
    </rPh>
    <rPh sb="139" eb="140">
      <t>トトノ</t>
    </rPh>
    <rPh sb="145" eb="146">
      <t>アワ</t>
    </rPh>
    <rPh sb="158" eb="159">
      <t>カ</t>
    </rPh>
    <rPh sb="160" eb="161">
      <t>コ</t>
    </rPh>
    <rPh sb="166" eb="168">
      <t>シツモン</t>
    </rPh>
    <rPh sb="169" eb="171">
      <t>タイオウ</t>
    </rPh>
    <rPh sb="195" eb="197">
      <t>ガクセイ</t>
    </rPh>
    <rPh sb="202" eb="204">
      <t>カシダシ</t>
    </rPh>
    <rPh sb="205" eb="206">
      <t>オコナ</t>
    </rPh>
    <rPh sb="211" eb="214">
      <t>ゼンガクセイ</t>
    </rPh>
    <rPh sb="215" eb="217">
      <t>ジタク</t>
    </rPh>
    <rPh sb="218" eb="219">
      <t>リョウ</t>
    </rPh>
    <rPh sb="219" eb="220">
      <t>ナイ</t>
    </rPh>
    <rPh sb="238" eb="240">
      <t>ガクシュウ</t>
    </rPh>
    <rPh sb="244" eb="246">
      <t>コウカ</t>
    </rPh>
    <rPh sb="247" eb="248">
      <t>タカ</t>
    </rPh>
    <rPh sb="249" eb="251">
      <t>ガクシュウ</t>
    </rPh>
    <rPh sb="251" eb="253">
      <t>カンキョウ</t>
    </rPh>
    <rPh sb="254" eb="255">
      <t>トトノ</t>
    </rPh>
    <rPh sb="323" eb="325">
      <t>ジュギョウ</t>
    </rPh>
    <rPh sb="331" eb="333">
      <t>ドウガ</t>
    </rPh>
    <rPh sb="340" eb="344">
      <t>ガクシュウナイヨウ</t>
    </rPh>
    <rPh sb="345" eb="346">
      <t>ツネ</t>
    </rPh>
    <rPh sb="347" eb="349">
      <t>フクシュウ</t>
    </rPh>
    <rPh sb="362" eb="363">
      <t>ホン</t>
    </rPh>
    <rPh sb="363" eb="365">
      <t>キョウイク</t>
    </rPh>
    <rPh sb="371" eb="373">
      <t>ジュギョウ</t>
    </rPh>
    <rPh sb="388" eb="390">
      <t>チクセキ</t>
    </rPh>
    <rPh sb="392" eb="393">
      <t>オオ</t>
    </rPh>
    <rPh sb="395" eb="397">
      <t>ガクセイ</t>
    </rPh>
    <rPh sb="402" eb="404">
      <t>コウギ</t>
    </rPh>
    <rPh sb="405" eb="407">
      <t>エツラン</t>
    </rPh>
    <rPh sb="408" eb="410">
      <t>カノウ</t>
    </rPh>
    <rPh sb="411" eb="413">
      <t>カンキョウ</t>
    </rPh>
    <rPh sb="414" eb="416">
      <t>コウチク</t>
    </rPh>
    <rPh sb="592" eb="596">
      <t xml:space="preserve">タンニンキョウイン </t>
    </rPh>
    <phoneticPr fontId="1"/>
  </si>
  <si>
    <t>https://www.anan-nct.ac.jp/education/suuri_datascience_ai/</t>
    <phoneticPr fontId="1"/>
  </si>
  <si>
    <t>有</t>
  </si>
  <si>
    <t>https://www.anan-nct.ac.jp/education/suuri_datascience_ai/check2020/</t>
    <phoneticPr fontId="1"/>
  </si>
  <si>
    <t>創造技術工学科機械コース（機械工学）</t>
    <rPh sb="7" eb="9">
      <t>キカイ</t>
    </rPh>
    <rPh sb="13" eb="17">
      <t>キカイコウガク</t>
    </rPh>
    <phoneticPr fontId="1"/>
  </si>
  <si>
    <t>創造技術工学科電気コース（電気工学）</t>
    <rPh sb="7" eb="9">
      <t>デンキ</t>
    </rPh>
    <rPh sb="13" eb="15">
      <t>デンキ</t>
    </rPh>
    <rPh sb="15" eb="17">
      <t>コウガク</t>
    </rPh>
    <phoneticPr fontId="1"/>
  </si>
  <si>
    <t>創造技術工学科情報コース（情報工学）</t>
    <rPh sb="7" eb="9">
      <t>ジョウホウ</t>
    </rPh>
    <rPh sb="13" eb="15">
      <t>ジョウホウ</t>
    </rPh>
    <rPh sb="15" eb="17">
      <t>コウガク</t>
    </rPh>
    <phoneticPr fontId="1"/>
  </si>
  <si>
    <t>創造技術工学科建設コース（建設工学）</t>
    <rPh sb="7" eb="9">
      <t>ケンセツ</t>
    </rPh>
    <rPh sb="13" eb="15">
      <t>ケンセツ</t>
    </rPh>
    <rPh sb="15" eb="17">
      <t>コウガク</t>
    </rPh>
    <phoneticPr fontId="1"/>
  </si>
  <si>
    <t>創造技術工学科化学コース（化学工学）</t>
    <rPh sb="7" eb="9">
      <t>カガク</t>
    </rPh>
    <rPh sb="13" eb="15">
      <t>カガク</t>
    </rPh>
    <rPh sb="15" eb="17">
      <t>コウガク</t>
    </rPh>
    <phoneticPr fontId="1"/>
  </si>
  <si>
    <t>創造技術工学科1年（工学）</t>
    <rPh sb="0" eb="7">
      <t>ソウゾウギジュツコウガッカ</t>
    </rPh>
    <rPh sb="8" eb="9">
      <t>ネン</t>
    </rPh>
    <rPh sb="10" eb="12">
      <t>コウガク</t>
    </rPh>
    <phoneticPr fontId="1"/>
  </si>
  <si>
    <t>独立行政法人国立高等専門学校機構</t>
    <rPh sb="0" eb="2">
      <t>ドクリツ</t>
    </rPh>
    <rPh sb="2" eb="4">
      <t>ギョウセイ</t>
    </rPh>
    <rPh sb="4" eb="6">
      <t>ホウジン</t>
    </rPh>
    <rPh sb="6" eb="8">
      <t>コクリツ</t>
    </rPh>
    <rPh sb="8" eb="10">
      <t>コウトウ</t>
    </rPh>
    <rPh sb="10" eb="12">
      <t>センモン</t>
    </rPh>
    <rPh sb="12" eb="14">
      <t>ガッコウ</t>
    </rPh>
    <rPh sb="14" eb="16">
      <t>キコウ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</si>
</sst>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3"/>
      <charset val="128"/>
      <scheme val="minor"/>
    </font>
    <font>
      <sz val="11"/>
      <name val="ＭＳ Ｐゴシック"/>
      <family val="3"/>
      <charset val="128"/>
      <scheme val="minor"/>
    </font>
    <font>
      <sz val="12"/>
      <name val="ＭＳ Ｐゴシック"/>
      <family val="3"/>
      <charset val="128"/>
    </font>
    <font>
      <u/>
      <sz val="11"/>
      <name val="ＭＳ Ｐゴシック"/>
      <family val="3"/>
      <charset val="128"/>
      <scheme val="minor"/>
    </font>
    <font>
      <sz val="9"/>
      <name val="ＭＳ Ｐゴシック"/>
      <family val="3"/>
      <charset val="128"/>
      <scheme val="minor"/>
    </font>
    <font>
      <sz val="10"/>
      <name val="ＭＳ Ｐゴシック"/>
      <family val="3"/>
      <charset val="128"/>
      <scheme val="minor"/>
    </font>
    <font>
      <sz val="7"/>
      <name val="ＭＳ Ｐゴシック"/>
      <family val="3"/>
      <charset val="128"/>
      <scheme val="minor"/>
    </font>
  </fonts>
  <fills count="2">
    <fill>
      <patternFill patternType="none"/>
    </fill>
    <fill>
      <patternFill patternType="gray125"/>
    </fill>
  </fills>
  <borders count="4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
      <left style="thin">
        <color auto="1"/>
      </left>
      <right style="hair">
        <color auto="1"/>
      </right>
      <top/>
      <bottom style="hair">
        <color auto="1"/>
      </bottom>
      <diagonal/>
    </border>
    <border>
      <left style="thin">
        <color auto="1"/>
      </left>
      <right/>
      <top/>
      <bottom style="hair">
        <color auto="1"/>
      </bottom>
      <diagonal/>
    </border>
  </borders>
  <cellStyleXfs count="3">
    <xf numFmtId="0" fontId="0" fillId="0" borderId="0">
      <alignment vertical="center"/>
    </xf>
    <xf numFmtId="38" fontId="2" fillId="0" borderId="0" applyFont="0" applyFill="0" applyBorder="0" applyAlignment="0" applyProtection="0">
      <alignment vertical="center"/>
    </xf>
    <xf numFmtId="0" fontId="3" fillId="0" borderId="0" applyNumberFormat="0" applyFill="0" applyBorder="0" applyAlignment="0" applyProtection="0">
      <alignment vertical="center"/>
    </xf>
  </cellStyleXfs>
  <cellXfs count="218">
    <xf numFmtId="0" fontId="0" fillId="0" borderId="0" xfId="0">
      <alignment vertical="center"/>
    </xf>
    <xf numFmtId="176" fontId="4" fillId="0" borderId="0" xfId="0" applyNumberFormat="1" applyFont="1" applyBorder="1">
      <alignment vertical="center"/>
    </xf>
    <xf numFmtId="176" fontId="4" fillId="0" borderId="3" xfId="0" applyNumberFormat="1" applyFont="1" applyBorder="1" applyAlignment="1">
      <alignment vertical="center" shrinkToFit="1"/>
    </xf>
    <xf numFmtId="0" fontId="5" fillId="0" borderId="0" xfId="0" applyFont="1">
      <alignment vertical="center"/>
    </xf>
    <xf numFmtId="0" fontId="4" fillId="0" borderId="0" xfId="0" applyFont="1">
      <alignment vertical="center"/>
    </xf>
    <xf numFmtId="0" fontId="4" fillId="0" borderId="0" xfId="0" applyFont="1" applyAlignment="1">
      <alignment vertical="center"/>
    </xf>
    <xf numFmtId="0" fontId="4" fillId="0" borderId="0" xfId="0" applyFont="1" applyAlignment="1">
      <alignment horizontal="left" vertical="center"/>
    </xf>
    <xf numFmtId="0" fontId="4" fillId="0" borderId="0" xfId="0" applyFont="1" applyBorder="1" applyAlignment="1">
      <alignment vertical="center"/>
    </xf>
    <xf numFmtId="0" fontId="4" fillId="0" borderId="10" xfId="0" applyFont="1" applyBorder="1" applyAlignment="1">
      <alignment vertical="center"/>
    </xf>
    <xf numFmtId="0" fontId="4" fillId="0" borderId="5" xfId="0" applyFont="1" applyBorder="1">
      <alignment vertical="center"/>
    </xf>
    <xf numFmtId="176" fontId="4" fillId="0" borderId="0" xfId="0" applyNumberFormat="1" applyFont="1" applyBorder="1" applyAlignment="1">
      <alignment vertical="center" wrapText="1"/>
    </xf>
    <xf numFmtId="0" fontId="4" fillId="0" borderId="0" xfId="0" applyFont="1" applyBorder="1">
      <alignment vertical="center"/>
    </xf>
    <xf numFmtId="176" fontId="4" fillId="0" borderId="5" xfId="0" applyNumberFormat="1" applyFont="1" applyBorder="1" applyAlignment="1">
      <alignment vertical="center"/>
    </xf>
    <xf numFmtId="176" fontId="4" fillId="0" borderId="0" xfId="0" applyNumberFormat="1" applyFont="1" applyAlignment="1">
      <alignment vertical="center" wrapText="1"/>
    </xf>
    <xf numFmtId="0" fontId="4" fillId="0" borderId="0" xfId="0" applyFont="1" applyAlignment="1">
      <alignment horizontal="center" vertical="center"/>
    </xf>
    <xf numFmtId="176" fontId="4" fillId="0" borderId="0" xfId="0" applyNumberFormat="1" applyFont="1" applyAlignment="1">
      <alignment horizontal="left" vertical="center" wrapText="1"/>
    </xf>
    <xf numFmtId="0" fontId="4" fillId="0" borderId="0" xfId="0" applyFont="1" applyAlignment="1">
      <alignment horizontal="right" vertical="center"/>
    </xf>
    <xf numFmtId="0" fontId="4" fillId="0" borderId="6" xfId="0" applyFont="1" applyBorder="1" applyAlignment="1">
      <alignment vertical="center" shrinkToFit="1"/>
    </xf>
    <xf numFmtId="0" fontId="4" fillId="0" borderId="1" xfId="0" applyFont="1" applyBorder="1">
      <alignment vertical="center"/>
    </xf>
    <xf numFmtId="0" fontId="4" fillId="0" borderId="2" xfId="0" applyFont="1" applyBorder="1">
      <alignment vertical="center"/>
    </xf>
    <xf numFmtId="0" fontId="4" fillId="0" borderId="4" xfId="0" applyFont="1" applyBorder="1">
      <alignment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Border="1" applyAlignment="1">
      <alignment horizontal="center" vertical="center"/>
    </xf>
    <xf numFmtId="0" fontId="4" fillId="0" borderId="0" xfId="0" applyFont="1" applyAlignment="1">
      <alignment horizontal="center" vertical="center"/>
    </xf>
    <xf numFmtId="0" fontId="5" fillId="0" borderId="0" xfId="0" applyFont="1" applyAlignment="1">
      <alignment horizontal="right" vertical="center"/>
    </xf>
    <xf numFmtId="0" fontId="4" fillId="0" borderId="1" xfId="0" applyFont="1" applyBorder="1" applyAlignment="1">
      <alignment vertical="center" shrinkToFit="1"/>
    </xf>
    <xf numFmtId="0" fontId="4" fillId="0" borderId="2" xfId="0" applyFont="1" applyBorder="1" applyAlignment="1">
      <alignment horizontal="center" vertical="center" shrinkToFit="1"/>
    </xf>
    <xf numFmtId="0" fontId="4" fillId="0" borderId="0" xfId="0" applyFont="1" applyBorder="1" applyAlignment="1">
      <alignment vertical="center" shrinkToFit="1"/>
    </xf>
    <xf numFmtId="0" fontId="4" fillId="0" borderId="0" xfId="0" applyFont="1" applyBorder="1" applyAlignment="1">
      <alignment horizontal="center" vertical="center"/>
    </xf>
    <xf numFmtId="0" fontId="4" fillId="0" borderId="0" xfId="0" applyFont="1" applyBorder="1" applyAlignment="1">
      <alignment horizontal="center" vertical="center" shrinkToFit="1"/>
    </xf>
    <xf numFmtId="0" fontId="4" fillId="0" borderId="0" xfId="0" applyFont="1" applyAlignment="1">
      <alignment horizontal="center" vertical="center"/>
    </xf>
    <xf numFmtId="0" fontId="4" fillId="0" borderId="2" xfId="0" applyFont="1" applyBorder="1" applyAlignment="1">
      <alignment vertical="center" shrinkToFit="1"/>
    </xf>
    <xf numFmtId="0" fontId="4" fillId="0" borderId="0" xfId="0" applyFont="1" applyBorder="1" applyAlignment="1">
      <alignment vertical="top" wrapText="1"/>
    </xf>
    <xf numFmtId="0" fontId="4" fillId="0" borderId="0" xfId="0" applyFont="1" applyAlignment="1">
      <alignment vertical="center" shrinkToFit="1"/>
    </xf>
    <xf numFmtId="0" fontId="4" fillId="0" borderId="5" xfId="0" applyFont="1" applyBorder="1" applyAlignment="1">
      <alignment vertical="center" shrinkToFit="1"/>
    </xf>
    <xf numFmtId="176" fontId="4" fillId="0" borderId="5" xfId="0" applyNumberFormat="1" applyFont="1" applyBorder="1" applyAlignment="1">
      <alignment vertical="center" shrinkToFit="1"/>
    </xf>
    <xf numFmtId="0" fontId="4" fillId="0" borderId="0" xfId="0" applyFont="1" applyFill="1">
      <alignment vertical="center"/>
    </xf>
    <xf numFmtId="0" fontId="4" fillId="0" borderId="10" xfId="0" applyFont="1" applyBorder="1" applyAlignment="1">
      <alignment vertical="center" shrinkToFit="1"/>
    </xf>
    <xf numFmtId="0" fontId="4" fillId="0" borderId="11" xfId="0" applyFont="1" applyBorder="1" applyAlignment="1">
      <alignment horizontal="center" vertical="center"/>
    </xf>
    <xf numFmtId="0" fontId="4" fillId="0" borderId="1" xfId="0" applyFont="1" applyBorder="1" applyAlignment="1">
      <alignment vertical="center" wrapText="1"/>
    </xf>
    <xf numFmtId="0" fontId="10" fillId="0" borderId="0" xfId="0" applyFont="1">
      <alignment vertical="center"/>
    </xf>
    <xf numFmtId="0" fontId="4" fillId="0" borderId="0" xfId="0" applyFont="1" applyBorder="1" applyAlignment="1">
      <alignment vertical="center" wrapText="1"/>
    </xf>
    <xf numFmtId="0" fontId="10" fillId="0" borderId="0" xfId="0" applyFont="1" applyBorder="1" applyAlignment="1">
      <alignment vertical="top" wrapText="1"/>
    </xf>
    <xf numFmtId="0" fontId="10" fillId="0" borderId="0" xfId="0" applyFont="1" applyBorder="1" applyAlignment="1">
      <alignment vertical="top" shrinkToFit="1"/>
    </xf>
    <xf numFmtId="0" fontId="10" fillId="0" borderId="0" xfId="0" applyFont="1" applyBorder="1" applyAlignment="1">
      <alignment vertical="center" wrapText="1"/>
    </xf>
    <xf numFmtId="0" fontId="10" fillId="0" borderId="0" xfId="0" applyFont="1" applyAlignment="1">
      <alignment vertical="top" wrapText="1"/>
    </xf>
    <xf numFmtId="0" fontId="10" fillId="0" borderId="10" xfId="0" applyFont="1" applyBorder="1" applyAlignment="1">
      <alignment vertical="top" wrapText="1"/>
    </xf>
    <xf numFmtId="0" fontId="10" fillId="0" borderId="5" xfId="0" applyFont="1" applyBorder="1" applyAlignment="1">
      <alignment vertical="top" wrapText="1"/>
    </xf>
    <xf numFmtId="0" fontId="4" fillId="0" borderId="17" xfId="0" applyFont="1" applyBorder="1">
      <alignment vertical="center"/>
    </xf>
    <xf numFmtId="0" fontId="10" fillId="0" borderId="21" xfId="0" applyFont="1" applyBorder="1" applyAlignment="1">
      <alignment vertical="top" wrapText="1"/>
    </xf>
    <xf numFmtId="0" fontId="10" fillId="0" borderId="19" xfId="0" applyFont="1" applyBorder="1" applyAlignment="1">
      <alignment vertical="top" wrapText="1"/>
    </xf>
    <xf numFmtId="0" fontId="10" fillId="0" borderId="21" xfId="0" applyFont="1" applyBorder="1" applyAlignment="1">
      <alignment vertical="top" shrinkToFit="1"/>
    </xf>
    <xf numFmtId="0" fontId="10" fillId="0" borderId="19" xfId="0" applyFont="1" applyBorder="1" applyAlignment="1">
      <alignment vertical="top" shrinkToFit="1"/>
    </xf>
    <xf numFmtId="0" fontId="4" fillId="0" borderId="0" xfId="0" applyFont="1" applyAlignment="1">
      <alignment vertical="center" wrapText="1"/>
    </xf>
    <xf numFmtId="0" fontId="7" fillId="0" borderId="0" xfId="2" applyNumberFormat="1" applyFont="1" applyBorder="1" applyAlignment="1">
      <alignment vertical="center" shrinkToFit="1"/>
    </xf>
    <xf numFmtId="0" fontId="10" fillId="0" borderId="0" xfId="0" applyFont="1" applyBorder="1" applyAlignment="1">
      <alignment vertical="center" shrinkToFit="1"/>
    </xf>
    <xf numFmtId="0" fontId="4" fillId="0" borderId="0" xfId="0" applyFont="1" applyFill="1" applyBorder="1" applyAlignment="1">
      <alignment vertical="center"/>
    </xf>
    <xf numFmtId="0" fontId="10" fillId="0" borderId="0" xfId="0" applyFont="1" applyFill="1" applyBorder="1" applyAlignment="1">
      <alignment vertical="top" wrapText="1"/>
    </xf>
    <xf numFmtId="176" fontId="4" fillId="0" borderId="30" xfId="0" applyNumberFormat="1" applyFont="1" applyBorder="1" applyAlignment="1">
      <alignment vertical="center" shrinkToFit="1"/>
    </xf>
    <xf numFmtId="176" fontId="4" fillId="0" borderId="22" xfId="0" applyNumberFormat="1" applyFont="1" applyBorder="1" applyAlignment="1">
      <alignment vertical="center" shrinkToFit="1"/>
    </xf>
    <xf numFmtId="9" fontId="4" fillId="0" borderId="10" xfId="0" applyNumberFormat="1" applyFont="1" applyBorder="1" applyAlignment="1">
      <alignment vertical="center" shrinkToFit="1"/>
    </xf>
    <xf numFmtId="0" fontId="7" fillId="0" borderId="0" xfId="0" applyFont="1">
      <alignment vertical="center"/>
    </xf>
    <xf numFmtId="0" fontId="12" fillId="0" borderId="11" xfId="0" applyFont="1" applyBorder="1" applyAlignment="1">
      <alignment horizontal="center" vertical="center"/>
    </xf>
    <xf numFmtId="0" fontId="12" fillId="0" borderId="28" xfId="0" applyFont="1" applyBorder="1" applyAlignment="1">
      <alignment horizontal="center" vertical="center" wrapText="1"/>
    </xf>
    <xf numFmtId="0" fontId="12" fillId="0" borderId="29" xfId="0" applyFont="1" applyBorder="1" applyAlignment="1">
      <alignment horizontal="center" vertical="center"/>
    </xf>
    <xf numFmtId="0" fontId="12" fillId="0" borderId="12" xfId="0" applyFont="1" applyBorder="1" applyAlignment="1">
      <alignment horizontal="center" vertical="center" wrapText="1"/>
    </xf>
    <xf numFmtId="176" fontId="4" fillId="0" borderId="31" xfId="0" applyNumberFormat="1" applyFont="1" applyBorder="1" applyAlignment="1">
      <alignment vertical="center" shrinkToFit="1"/>
    </xf>
    <xf numFmtId="176" fontId="4" fillId="0" borderId="10" xfId="0" applyNumberFormat="1" applyFont="1" applyBorder="1" applyAlignment="1">
      <alignment vertical="center" shrinkToFit="1"/>
    </xf>
    <xf numFmtId="176" fontId="4" fillId="0" borderId="14" xfId="0" applyNumberFormat="1" applyFont="1" applyBorder="1" applyAlignment="1">
      <alignment vertical="center" shrinkToFit="1"/>
    </xf>
    <xf numFmtId="0" fontId="4" fillId="0" borderId="20" xfId="0" applyFont="1" applyBorder="1" applyAlignment="1">
      <alignment vertical="center" shrinkToFit="1"/>
    </xf>
    <xf numFmtId="176" fontId="4" fillId="0" borderId="20" xfId="0" applyNumberFormat="1" applyFont="1" applyBorder="1" applyAlignment="1">
      <alignment vertical="center" shrinkToFit="1"/>
    </xf>
    <xf numFmtId="176" fontId="4" fillId="0" borderId="32" xfId="0" applyNumberFormat="1" applyFont="1" applyBorder="1" applyAlignment="1">
      <alignment vertical="center" shrinkToFit="1"/>
    </xf>
    <xf numFmtId="176" fontId="4" fillId="0" borderId="33" xfId="0" applyNumberFormat="1" applyFont="1" applyBorder="1" applyAlignment="1">
      <alignment vertical="center" shrinkToFit="1"/>
    </xf>
    <xf numFmtId="176" fontId="4" fillId="0" borderId="19" xfId="0" applyNumberFormat="1" applyFont="1" applyBorder="1" applyAlignment="1">
      <alignment vertical="center" shrinkToFit="1"/>
    </xf>
    <xf numFmtId="176" fontId="4" fillId="0" borderId="23" xfId="0" applyNumberFormat="1" applyFont="1" applyBorder="1" applyAlignment="1">
      <alignment vertical="center" shrinkToFit="1"/>
    </xf>
    <xf numFmtId="0" fontId="4" fillId="0" borderId="24" xfId="0" applyFont="1" applyBorder="1" applyAlignment="1">
      <alignment vertical="center" shrinkToFit="1"/>
    </xf>
    <xf numFmtId="176" fontId="4" fillId="0" borderId="24" xfId="0" applyNumberFormat="1" applyFont="1" applyBorder="1" applyAlignment="1">
      <alignment vertical="center" shrinkToFit="1"/>
    </xf>
    <xf numFmtId="176" fontId="4" fillId="0" borderId="34" xfId="0" applyNumberFormat="1" applyFont="1" applyBorder="1" applyAlignment="1">
      <alignment vertical="center" shrinkToFit="1"/>
    </xf>
    <xf numFmtId="176" fontId="4" fillId="0" borderId="35" xfId="0" applyNumberFormat="1" applyFont="1" applyBorder="1" applyAlignment="1">
      <alignment vertical="center" shrinkToFit="1"/>
    </xf>
    <xf numFmtId="176" fontId="4" fillId="0" borderId="26" xfId="0" applyNumberFormat="1" applyFont="1" applyBorder="1" applyAlignment="1">
      <alignment vertical="center" shrinkToFit="1"/>
    </xf>
    <xf numFmtId="176" fontId="4" fillId="0" borderId="27" xfId="0" applyNumberFormat="1" applyFont="1" applyBorder="1" applyAlignment="1">
      <alignment vertical="center" shrinkToFit="1"/>
    </xf>
    <xf numFmtId="9" fontId="4" fillId="0" borderId="26" xfId="0" applyNumberFormat="1" applyFont="1" applyBorder="1" applyAlignment="1">
      <alignment vertical="center" shrinkToFit="1"/>
    </xf>
    <xf numFmtId="176" fontId="10" fillId="0" borderId="0" xfId="0" applyNumberFormat="1" applyFont="1" applyBorder="1" applyAlignment="1">
      <alignment vertical="center" shrinkToFit="1"/>
    </xf>
    <xf numFmtId="0" fontId="10" fillId="0" borderId="6" xfId="0" applyFont="1" applyBorder="1" applyAlignment="1">
      <alignment vertical="center" shrinkToFit="1"/>
    </xf>
    <xf numFmtId="0" fontId="4" fillId="0" borderId="20" xfId="0" applyFont="1" applyBorder="1" applyAlignment="1">
      <alignment vertical="center" shrinkToFit="1"/>
    </xf>
    <xf numFmtId="0" fontId="10" fillId="0" borderId="40" xfId="0" applyFont="1" applyBorder="1" applyAlignment="1">
      <alignment vertical="top" wrapText="1"/>
    </xf>
    <xf numFmtId="0" fontId="10" fillId="0" borderId="41" xfId="0" applyFont="1" applyBorder="1" applyAlignment="1">
      <alignment vertical="top" wrapText="1"/>
    </xf>
    <xf numFmtId="0" fontId="4" fillId="0" borderId="0" xfId="0" applyFont="1" applyBorder="1" applyAlignment="1">
      <alignment vertical="center" shrinkToFi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176" fontId="4" fillId="0" borderId="2" xfId="0" applyNumberFormat="1" applyFont="1" applyBorder="1" applyAlignment="1">
      <alignment horizontal="center" vertical="center" shrinkToFit="1"/>
    </xf>
    <xf numFmtId="176" fontId="4" fillId="0" borderId="4" xfId="0" applyNumberFormat="1"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4" xfId="0" applyFont="1" applyBorder="1" applyAlignment="1">
      <alignment horizontal="center" vertical="center" shrinkToFit="1"/>
    </xf>
    <xf numFmtId="0" fontId="4" fillId="0" borderId="0" xfId="0" applyFont="1" applyBorder="1" applyAlignment="1">
      <alignment horizontal="center" vertical="center"/>
    </xf>
    <xf numFmtId="0" fontId="4" fillId="0" borderId="0" xfId="0" applyFont="1" applyBorder="1" applyAlignment="1">
      <alignment horizontal="right" vertical="center" shrinkToFit="1"/>
    </xf>
    <xf numFmtId="0" fontId="4" fillId="0" borderId="5" xfId="0" applyFont="1" applyBorder="1" applyAlignment="1">
      <alignment horizontal="right" vertical="center" shrinkToFit="1"/>
    </xf>
    <xf numFmtId="0" fontId="4" fillId="0" borderId="10" xfId="0" applyFont="1" applyBorder="1" applyAlignment="1">
      <alignment horizontal="right" vertical="center" shrinkToFit="1"/>
    </xf>
    <xf numFmtId="0" fontId="4" fillId="0" borderId="0" xfId="0" applyFont="1" applyAlignment="1">
      <alignment horizontal="right" vertical="center"/>
    </xf>
    <xf numFmtId="0" fontId="4" fillId="0" borderId="0" xfId="0" applyFont="1" applyBorder="1" applyAlignment="1">
      <alignment horizontal="right" vertical="center"/>
    </xf>
    <xf numFmtId="0" fontId="4" fillId="0" borderId="10" xfId="0" applyFont="1" applyBorder="1" applyAlignment="1">
      <alignment horizontal="right" vertical="center"/>
    </xf>
    <xf numFmtId="176" fontId="4" fillId="0" borderId="3" xfId="0" applyNumberFormat="1" applyFont="1" applyBorder="1" applyAlignment="1">
      <alignment horizontal="center" vertical="center" shrinkToFit="1"/>
    </xf>
    <xf numFmtId="0" fontId="4" fillId="0" borderId="0" xfId="0" applyFont="1" applyBorder="1" applyAlignment="1">
      <alignment horizontal="center" vertical="center" shrinkToFit="1"/>
    </xf>
    <xf numFmtId="0" fontId="4" fillId="0" borderId="0" xfId="0" applyFont="1" applyAlignment="1">
      <alignment horizontal="center" vertical="center"/>
    </xf>
    <xf numFmtId="49" fontId="9" fillId="0" borderId="2" xfId="2" applyNumberFormat="1" applyFont="1" applyBorder="1" applyAlignment="1">
      <alignment vertical="center" shrinkToFit="1"/>
    </xf>
    <xf numFmtId="49" fontId="4" fillId="0" borderId="3" xfId="0" applyNumberFormat="1" applyFont="1" applyBorder="1" applyAlignment="1">
      <alignment vertical="center" shrinkToFit="1"/>
    </xf>
    <xf numFmtId="49" fontId="4" fillId="0" borderId="4" xfId="0" applyNumberFormat="1" applyFont="1" applyBorder="1" applyAlignment="1">
      <alignment vertical="center" shrinkToFit="1"/>
    </xf>
    <xf numFmtId="49" fontId="4" fillId="0" borderId="2" xfId="1" applyNumberFormat="1" applyFont="1" applyBorder="1" applyAlignment="1">
      <alignment horizontal="center" vertical="center" shrinkToFit="1"/>
    </xf>
    <xf numFmtId="49" fontId="4" fillId="0" borderId="3" xfId="1" applyNumberFormat="1" applyFont="1" applyBorder="1" applyAlignment="1">
      <alignment horizontal="center" vertical="center" shrinkToFit="1"/>
    </xf>
    <xf numFmtId="49" fontId="4" fillId="0" borderId="4" xfId="1" applyNumberFormat="1" applyFont="1" applyBorder="1" applyAlignment="1">
      <alignment horizontal="center" vertical="center" shrinkToFit="1"/>
    </xf>
    <xf numFmtId="0" fontId="4" fillId="0" borderId="2" xfId="0" applyFont="1" applyBorder="1" applyAlignment="1">
      <alignment vertical="center" shrinkToFit="1"/>
    </xf>
    <xf numFmtId="0" fontId="4" fillId="0" borderId="3" xfId="0" applyFont="1" applyBorder="1" applyAlignment="1">
      <alignment vertical="center" shrinkToFit="1"/>
    </xf>
    <xf numFmtId="0" fontId="4" fillId="0" borderId="4" xfId="0" applyFont="1" applyBorder="1" applyAlignment="1">
      <alignment vertical="center" shrinkToFit="1"/>
    </xf>
    <xf numFmtId="0" fontId="6" fillId="0" borderId="2" xfId="0" applyFont="1" applyBorder="1" applyAlignment="1">
      <alignment vertical="center" shrinkToFit="1"/>
    </xf>
    <xf numFmtId="0" fontId="6" fillId="0" borderId="3" xfId="0" applyFont="1" applyBorder="1" applyAlignment="1">
      <alignment vertical="center" shrinkToFit="1"/>
    </xf>
    <xf numFmtId="0" fontId="6" fillId="0" borderId="4" xfId="0" applyFont="1" applyBorder="1" applyAlignment="1">
      <alignment vertical="center" shrinkToFit="1"/>
    </xf>
    <xf numFmtId="0" fontId="5" fillId="0" borderId="7" xfId="0" applyFont="1" applyBorder="1" applyAlignment="1">
      <alignment vertical="top" wrapText="1"/>
    </xf>
    <xf numFmtId="0" fontId="4" fillId="0" borderId="8" xfId="0" applyFont="1" applyBorder="1" applyAlignment="1">
      <alignment vertical="top" wrapText="1"/>
    </xf>
    <xf numFmtId="0" fontId="4" fillId="0" borderId="9" xfId="0" applyFont="1" applyBorder="1" applyAlignment="1">
      <alignment vertical="top" wrapText="1"/>
    </xf>
    <xf numFmtId="0" fontId="4" fillId="0" borderId="5" xfId="0" applyFont="1" applyBorder="1" applyAlignment="1">
      <alignment vertical="top" wrapText="1"/>
    </xf>
    <xf numFmtId="0" fontId="4" fillId="0" borderId="0" xfId="0" applyFont="1" applyBorder="1" applyAlignment="1">
      <alignment vertical="top" wrapText="1"/>
    </xf>
    <xf numFmtId="0" fontId="4" fillId="0" borderId="10" xfId="0" applyFont="1" applyBorder="1" applyAlignment="1">
      <alignment vertical="top" wrapText="1"/>
    </xf>
    <xf numFmtId="0" fontId="4" fillId="0" borderId="11" xfId="0" applyFont="1" applyBorder="1" applyAlignment="1">
      <alignment vertical="top" wrapText="1"/>
    </xf>
    <xf numFmtId="0" fontId="4" fillId="0" borderId="6" xfId="0" applyFont="1" applyBorder="1" applyAlignment="1">
      <alignment vertical="top" wrapText="1"/>
    </xf>
    <xf numFmtId="0" fontId="4" fillId="0" borderId="12" xfId="0" applyFont="1" applyBorder="1" applyAlignment="1">
      <alignment vertical="top" wrapText="1"/>
    </xf>
    <xf numFmtId="0" fontId="4" fillId="0" borderId="0" xfId="0" applyFont="1" applyAlignment="1">
      <alignment vertical="center" shrinkToFit="1"/>
    </xf>
    <xf numFmtId="0" fontId="4" fillId="0" borderId="1" xfId="0" applyFont="1" applyBorder="1" applyAlignment="1">
      <alignment horizontal="center" vertical="center"/>
    </xf>
    <xf numFmtId="0" fontId="4" fillId="0" borderId="1" xfId="0" applyFont="1" applyBorder="1" applyAlignment="1">
      <alignment horizontal="center" vertical="center" shrinkToFit="1"/>
    </xf>
    <xf numFmtId="0" fontId="4" fillId="0" borderId="20" xfId="0" applyFont="1" applyBorder="1" applyAlignment="1">
      <alignment vertical="center" shrinkToFit="1"/>
    </xf>
    <xf numFmtId="0" fontId="4" fillId="0" borderId="19" xfId="0" applyFont="1" applyBorder="1" applyAlignment="1">
      <alignment vertical="center" shrinkToFit="1"/>
    </xf>
    <xf numFmtId="0" fontId="4" fillId="0" borderId="15" xfId="0" applyFont="1" applyBorder="1" applyAlignment="1">
      <alignment vertical="center" shrinkToFit="1"/>
    </xf>
    <xf numFmtId="0" fontId="4" fillId="0" borderId="36" xfId="0" applyFont="1" applyBorder="1" applyAlignment="1">
      <alignment vertical="center" shrinkToFit="1"/>
    </xf>
    <xf numFmtId="0" fontId="4" fillId="0" borderId="24" xfId="0" applyFont="1" applyBorder="1" applyAlignment="1">
      <alignment horizontal="center" vertical="center" shrinkToFit="1"/>
    </xf>
    <xf numFmtId="0" fontId="4" fillId="0" borderId="25" xfId="0" applyFont="1" applyBorder="1" applyAlignment="1">
      <alignment horizontal="center" vertical="center" shrinkToFit="1"/>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11" xfId="0" applyFont="1" applyBorder="1" applyAlignment="1">
      <alignment horizontal="center" vertical="center"/>
    </xf>
    <xf numFmtId="0" fontId="4" fillId="0" borderId="6" xfId="0" applyFont="1" applyBorder="1" applyAlignment="1">
      <alignment horizontal="center" vertical="center"/>
    </xf>
    <xf numFmtId="0" fontId="4" fillId="0" borderId="37" xfId="0" applyFont="1" applyBorder="1" applyAlignment="1">
      <alignment vertical="center" shrinkToFit="1"/>
    </xf>
    <xf numFmtId="0" fontId="4" fillId="0" borderId="38" xfId="0" applyFont="1" applyBorder="1" applyAlignment="1">
      <alignment vertical="center" shrinkToFit="1"/>
    </xf>
    <xf numFmtId="0" fontId="11" fillId="0" borderId="7" xfId="0" applyFont="1" applyBorder="1" applyAlignment="1">
      <alignment horizontal="center" vertical="center" wrapText="1"/>
    </xf>
    <xf numFmtId="0" fontId="11" fillId="0" borderId="11" xfId="0" applyFont="1" applyBorder="1" applyAlignment="1">
      <alignment horizontal="center" vertical="center"/>
    </xf>
    <xf numFmtId="0" fontId="4" fillId="0" borderId="14" xfId="0" applyFont="1" applyBorder="1" applyAlignment="1">
      <alignment horizontal="center" vertical="center"/>
    </xf>
    <xf numFmtId="0" fontId="4" fillId="0" borderId="15" xfId="0" applyFont="1" applyBorder="1" applyAlignment="1">
      <alignment horizontal="center" vertical="center"/>
    </xf>
    <xf numFmtId="0" fontId="4" fillId="0" borderId="36" xfId="0" applyFont="1" applyBorder="1" applyAlignment="1">
      <alignment horizontal="center" vertical="center"/>
    </xf>
    <xf numFmtId="0" fontId="12" fillId="0" borderId="16" xfId="0" applyFont="1" applyBorder="1" applyAlignment="1">
      <alignment horizontal="center" vertical="center" wrapText="1"/>
    </xf>
    <xf numFmtId="0" fontId="12" fillId="0" borderId="13" xfId="0" applyFont="1" applyBorder="1" applyAlignment="1">
      <alignment horizontal="center" vertical="center"/>
    </xf>
    <xf numFmtId="0" fontId="11" fillId="0" borderId="9" xfId="0" applyFont="1" applyBorder="1" applyAlignment="1">
      <alignment horizontal="center" vertical="center"/>
    </xf>
    <xf numFmtId="0" fontId="11" fillId="0" borderId="12" xfId="0" applyFont="1" applyBorder="1" applyAlignment="1">
      <alignment horizontal="center" vertical="center"/>
    </xf>
    <xf numFmtId="0" fontId="4" fillId="0" borderId="2" xfId="0" applyFont="1" applyFill="1" applyBorder="1" applyAlignment="1">
      <alignment horizontal="center" vertical="center" shrinkToFit="1"/>
    </xf>
    <xf numFmtId="0" fontId="4" fillId="0" borderId="3" xfId="0" applyFont="1" applyFill="1" applyBorder="1" applyAlignment="1">
      <alignment horizontal="center" vertical="center" shrinkToFit="1"/>
    </xf>
    <xf numFmtId="0" fontId="4" fillId="0" borderId="4" xfId="0" applyFont="1" applyFill="1" applyBorder="1" applyAlignment="1">
      <alignment horizontal="center" vertical="center" shrinkToFit="1"/>
    </xf>
    <xf numFmtId="0" fontId="4" fillId="0" borderId="2"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4" xfId="0" applyFont="1" applyBorder="1" applyAlignment="1">
      <alignment horizontal="left" vertical="center" shrinkToFit="1"/>
    </xf>
    <xf numFmtId="0" fontId="4" fillId="0" borderId="16" xfId="0" applyFont="1" applyBorder="1" applyAlignment="1">
      <alignment vertical="center" wrapText="1"/>
    </xf>
    <xf numFmtId="0" fontId="4" fillId="0" borderId="39" xfId="0" applyFont="1" applyBorder="1" applyAlignment="1">
      <alignment vertical="center" wrapText="1"/>
    </xf>
    <xf numFmtId="0" fontId="4" fillId="0" borderId="13" xfId="0" applyFont="1" applyBorder="1" applyAlignment="1">
      <alignment vertical="center" wrapText="1"/>
    </xf>
    <xf numFmtId="0" fontId="4" fillId="0" borderId="7" xfId="0" applyFont="1" applyBorder="1" applyAlignment="1">
      <alignment horizontal="left" vertical="top" wrapText="1" shrinkToFit="1"/>
    </xf>
    <xf numFmtId="0" fontId="4" fillId="0" borderId="8" xfId="0" applyFont="1" applyBorder="1" applyAlignment="1">
      <alignment horizontal="left" vertical="top" shrinkToFit="1"/>
    </xf>
    <xf numFmtId="0" fontId="4" fillId="0" borderId="9" xfId="0" applyFont="1" applyBorder="1" applyAlignment="1">
      <alignment horizontal="left" vertical="top" shrinkToFit="1"/>
    </xf>
    <xf numFmtId="0" fontId="4" fillId="0" borderId="5" xfId="0" applyFont="1" applyBorder="1" applyAlignment="1">
      <alignment horizontal="left" vertical="top" shrinkToFit="1"/>
    </xf>
    <xf numFmtId="0" fontId="4" fillId="0" borderId="0" xfId="0" applyFont="1" applyBorder="1" applyAlignment="1">
      <alignment horizontal="left" vertical="top" shrinkToFit="1"/>
    </xf>
    <xf numFmtId="0" fontId="4" fillId="0" borderId="10" xfId="0" applyFont="1" applyBorder="1" applyAlignment="1">
      <alignment horizontal="left" vertical="top" shrinkToFit="1"/>
    </xf>
    <xf numFmtId="0" fontId="4" fillId="0" borderId="11" xfId="0" applyFont="1" applyBorder="1" applyAlignment="1">
      <alignment horizontal="left" vertical="top" shrinkToFit="1"/>
    </xf>
    <xf numFmtId="0" fontId="4" fillId="0" borderId="6" xfId="0" applyFont="1" applyBorder="1" applyAlignment="1">
      <alignment horizontal="left" vertical="top" shrinkToFit="1"/>
    </xf>
    <xf numFmtId="0" fontId="4" fillId="0" borderId="12" xfId="0" applyFont="1" applyBorder="1" applyAlignment="1">
      <alignment horizontal="left" vertical="top" shrinkToFit="1"/>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4" fillId="0" borderId="9" xfId="0" applyFont="1" applyBorder="1" applyAlignment="1">
      <alignment horizontal="left" vertical="top" wrapText="1"/>
    </xf>
    <xf numFmtId="0" fontId="4" fillId="0" borderId="5" xfId="0" applyFont="1" applyBorder="1" applyAlignment="1">
      <alignment horizontal="left" vertical="top" wrapText="1"/>
    </xf>
    <xf numFmtId="0" fontId="4" fillId="0" borderId="0" xfId="0" applyFont="1" applyBorder="1" applyAlignment="1">
      <alignment horizontal="left" vertical="top" wrapText="1"/>
    </xf>
    <xf numFmtId="0" fontId="4" fillId="0" borderId="10" xfId="0" applyFont="1" applyBorder="1" applyAlignment="1">
      <alignment horizontal="left" vertical="top" wrapText="1"/>
    </xf>
    <xf numFmtId="0" fontId="4" fillId="0" borderId="11" xfId="0" applyFont="1" applyBorder="1" applyAlignment="1">
      <alignment horizontal="left" vertical="top" wrapText="1"/>
    </xf>
    <xf numFmtId="0" fontId="4" fillId="0" borderId="6" xfId="0" applyFont="1" applyBorder="1" applyAlignment="1">
      <alignment horizontal="left" vertical="top" wrapText="1"/>
    </xf>
    <xf numFmtId="0" fontId="4" fillId="0" borderId="12" xfId="0" applyFont="1" applyBorder="1" applyAlignment="1">
      <alignment horizontal="left" vertical="top" wrapText="1"/>
    </xf>
    <xf numFmtId="0" fontId="4" fillId="0" borderId="7" xfId="0" applyFont="1" applyBorder="1" applyAlignment="1">
      <alignment vertical="top" wrapText="1" shrinkToFit="1"/>
    </xf>
    <xf numFmtId="0" fontId="4" fillId="0" borderId="8" xfId="0" applyFont="1" applyBorder="1" applyAlignment="1">
      <alignment vertical="top" shrinkToFit="1"/>
    </xf>
    <xf numFmtId="0" fontId="4" fillId="0" borderId="9" xfId="0" applyFont="1" applyBorder="1" applyAlignment="1">
      <alignment vertical="top" shrinkToFit="1"/>
    </xf>
    <xf numFmtId="0" fontId="4" fillId="0" borderId="5" xfId="0" applyFont="1" applyBorder="1" applyAlignment="1">
      <alignment vertical="top" shrinkToFit="1"/>
    </xf>
    <xf numFmtId="0" fontId="4" fillId="0" borderId="0" xfId="0" applyFont="1" applyBorder="1" applyAlignment="1">
      <alignment vertical="top" shrinkToFit="1"/>
    </xf>
    <xf numFmtId="0" fontId="4" fillId="0" borderId="10" xfId="0" applyFont="1" applyBorder="1" applyAlignment="1">
      <alignment vertical="top" shrinkToFit="1"/>
    </xf>
    <xf numFmtId="0" fontId="4" fillId="0" borderId="11" xfId="0" applyFont="1" applyBorder="1" applyAlignment="1">
      <alignment vertical="top" shrinkToFit="1"/>
    </xf>
    <xf numFmtId="0" fontId="4" fillId="0" borderId="6" xfId="0" applyFont="1" applyBorder="1" applyAlignment="1">
      <alignment vertical="top" shrinkToFit="1"/>
    </xf>
    <xf numFmtId="0" fontId="4" fillId="0" borderId="12" xfId="0" applyFont="1" applyBorder="1" applyAlignment="1">
      <alignment vertical="top" shrinkToFit="1"/>
    </xf>
    <xf numFmtId="0" fontId="3" fillId="0" borderId="2" xfId="2" applyBorder="1" applyAlignment="1">
      <alignment vertical="center" shrinkToFit="1"/>
    </xf>
    <xf numFmtId="0" fontId="7" fillId="0" borderId="3" xfId="0" applyFont="1" applyBorder="1" applyAlignment="1">
      <alignment horizontal="left" vertical="center" shrinkToFit="1"/>
    </xf>
    <xf numFmtId="0" fontId="7" fillId="0" borderId="4" xfId="0" applyFont="1" applyBorder="1" applyAlignment="1">
      <alignment horizontal="left" vertical="center" shrinkToFit="1"/>
    </xf>
    <xf numFmtId="0" fontId="4" fillId="0" borderId="6" xfId="0" applyFont="1" applyBorder="1" applyAlignment="1">
      <alignment vertical="center"/>
    </xf>
    <xf numFmtId="0" fontId="4" fillId="0" borderId="8" xfId="0" applyFont="1" applyBorder="1" applyAlignment="1">
      <alignment vertical="top" wrapText="1" shrinkToFit="1"/>
    </xf>
    <xf numFmtId="0" fontId="4" fillId="0" borderId="9" xfId="0" applyFont="1" applyBorder="1" applyAlignment="1">
      <alignment vertical="top" wrapText="1" shrinkToFit="1"/>
    </xf>
    <xf numFmtId="0" fontId="4" fillId="0" borderId="5" xfId="0" applyFont="1" applyBorder="1" applyAlignment="1">
      <alignment vertical="top" wrapText="1" shrinkToFit="1"/>
    </xf>
    <xf numFmtId="0" fontId="4" fillId="0" borderId="0" xfId="0" applyFont="1" applyBorder="1" applyAlignment="1">
      <alignment vertical="top" wrapText="1" shrinkToFit="1"/>
    </xf>
    <xf numFmtId="0" fontId="4" fillId="0" borderId="10" xfId="0" applyFont="1" applyBorder="1" applyAlignment="1">
      <alignment vertical="top" wrapText="1" shrinkToFit="1"/>
    </xf>
    <xf numFmtId="0" fontId="4" fillId="0" borderId="11" xfId="0" applyFont="1" applyBorder="1" applyAlignment="1">
      <alignment vertical="top" wrapText="1" shrinkToFit="1"/>
    </xf>
    <xf numFmtId="0" fontId="4" fillId="0" borderId="6" xfId="0" applyFont="1" applyBorder="1" applyAlignment="1">
      <alignment vertical="top" wrapText="1" shrinkToFit="1"/>
    </xf>
    <xf numFmtId="0" fontId="4" fillId="0" borderId="12" xfId="0" applyFont="1" applyBorder="1" applyAlignment="1">
      <alignment vertical="top" wrapText="1" shrinkToFit="1"/>
    </xf>
    <xf numFmtId="0" fontId="4" fillId="0" borderId="11" xfId="0" applyFont="1" applyBorder="1" applyAlignment="1">
      <alignment vertical="center" wrapText="1"/>
    </xf>
    <xf numFmtId="0" fontId="4" fillId="0" borderId="6" xfId="0" applyFont="1" applyBorder="1" applyAlignment="1">
      <alignment vertical="center" wrapText="1"/>
    </xf>
    <xf numFmtId="0" fontId="4" fillId="0" borderId="12" xfId="0" applyFont="1" applyBorder="1" applyAlignment="1">
      <alignment vertical="center" wrapText="1"/>
    </xf>
    <xf numFmtId="0" fontId="4" fillId="0" borderId="18" xfId="0" applyFont="1" applyBorder="1" applyAlignment="1">
      <alignment vertical="center"/>
    </xf>
    <xf numFmtId="0" fontId="7" fillId="0" borderId="19" xfId="0" applyFont="1" applyBorder="1" applyAlignment="1">
      <alignment vertical="center"/>
    </xf>
    <xf numFmtId="0" fontId="4" fillId="0" borderId="18" xfId="0" applyFont="1" applyBorder="1" applyAlignment="1">
      <alignment vertical="center" wrapText="1"/>
    </xf>
    <xf numFmtId="0" fontId="4" fillId="0" borderId="19" xfId="0" applyFont="1" applyBorder="1" applyAlignment="1">
      <alignment vertical="center" wrapText="1"/>
    </xf>
    <xf numFmtId="0" fontId="4" fillId="0" borderId="21" xfId="0" applyFont="1" applyBorder="1" applyAlignment="1">
      <alignment vertical="top" wrapText="1" shrinkToFit="1"/>
    </xf>
    <xf numFmtId="0" fontId="4" fillId="0" borderId="19" xfId="0" applyFont="1" applyBorder="1" applyAlignment="1">
      <alignment vertical="top" wrapText="1" shrinkToFit="1"/>
    </xf>
    <xf numFmtId="0" fontId="4" fillId="0" borderId="20" xfId="0" applyFont="1" applyBorder="1" applyAlignment="1">
      <alignment vertical="top" wrapText="1" shrinkToFit="1"/>
    </xf>
    <xf numFmtId="0" fontId="4" fillId="0" borderId="20" xfId="0" applyFont="1" applyBorder="1" applyAlignment="1">
      <alignment vertical="center" wrapText="1"/>
    </xf>
    <xf numFmtId="0" fontId="4" fillId="0" borderId="21" xfId="0" applyFont="1" applyBorder="1" applyAlignment="1">
      <alignment vertical="center" wrapText="1"/>
    </xf>
    <xf numFmtId="0" fontId="3" fillId="0" borderId="2" xfId="2" applyBorder="1" applyAlignment="1">
      <alignment horizontal="left" vertical="center" shrinkToFit="1"/>
    </xf>
    <xf numFmtId="0" fontId="10" fillId="0" borderId="3" xfId="0" applyFont="1" applyBorder="1" applyAlignment="1">
      <alignment horizontal="left" vertical="center" shrinkToFit="1"/>
    </xf>
    <xf numFmtId="0" fontId="10" fillId="0" borderId="4" xfId="0" applyFont="1" applyBorder="1" applyAlignment="1">
      <alignment horizontal="left" vertical="center" shrinkToFit="1"/>
    </xf>
    <xf numFmtId="0" fontId="10" fillId="0" borderId="0" xfId="0" applyFont="1" applyAlignment="1">
      <alignment vertical="top" wrapText="1"/>
    </xf>
    <xf numFmtId="0" fontId="4" fillId="0" borderId="7" xfId="0" applyFont="1" applyBorder="1" applyAlignment="1">
      <alignment vertical="top" wrapText="1"/>
    </xf>
    <xf numFmtId="0" fontId="4" fillId="0" borderId="6" xfId="0" applyFont="1" applyBorder="1" applyAlignment="1">
      <alignment horizontal="left" vertical="center"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mu@anan-nct.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anan-nct.ac.jp/education/suuri_datascience_ai/"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anan-nct.ac.jp/education/suuri_datascience_ai/check2020/"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47"/>
  <sheetViews>
    <sheetView tabSelected="1" zoomScaleNormal="100" workbookViewId="0"/>
  </sheetViews>
  <sheetFormatPr defaultColWidth="9" defaultRowHeight="18.75" customHeight="1" x14ac:dyDescent="0.15"/>
  <cols>
    <col min="1" max="1" width="2.5" style="4" customWidth="1"/>
    <col min="2" max="2" width="12.5" style="4" customWidth="1"/>
    <col min="3" max="8" width="6.125" style="4" customWidth="1"/>
    <col min="9" max="9" width="2.5" style="4" customWidth="1"/>
    <col min="10" max="10" width="10" style="4" customWidth="1"/>
    <col min="11" max="11" width="2.5" style="4" customWidth="1"/>
    <col min="12" max="12" width="7.5" style="4" customWidth="1"/>
    <col min="13" max="13" width="2.5" style="4" customWidth="1"/>
    <col min="14" max="14" width="7.5" style="4" customWidth="1"/>
    <col min="15" max="16384" width="9" style="4"/>
  </cols>
  <sheetData>
    <row r="1" spans="1:14" ht="22.5" customHeight="1" x14ac:dyDescent="0.15">
      <c r="M1" s="101" t="s">
        <v>28</v>
      </c>
      <c r="N1" s="101"/>
    </row>
    <row r="2" spans="1:14" ht="22.5" customHeight="1" x14ac:dyDescent="0.15">
      <c r="A2" s="106" t="s">
        <v>134</v>
      </c>
      <c r="B2" s="106"/>
      <c r="C2" s="106"/>
      <c r="D2" s="106"/>
      <c r="E2" s="106"/>
      <c r="F2" s="106"/>
      <c r="G2" s="106"/>
      <c r="H2" s="106"/>
      <c r="I2" s="106"/>
      <c r="J2" s="106"/>
      <c r="K2" s="106"/>
      <c r="L2" s="106"/>
      <c r="M2" s="106"/>
      <c r="N2" s="106"/>
    </row>
    <row r="3" spans="1:14" ht="22.5" customHeight="1" x14ac:dyDescent="0.15"/>
    <row r="4" spans="1:14" ht="22.5" customHeight="1" x14ac:dyDescent="0.15">
      <c r="A4" s="4" t="s">
        <v>6</v>
      </c>
      <c r="B4" s="5" t="s">
        <v>19</v>
      </c>
      <c r="C4" s="94" t="s">
        <v>155</v>
      </c>
      <c r="D4" s="95"/>
      <c r="E4" s="95"/>
      <c r="F4" s="95"/>
      <c r="G4" s="95"/>
      <c r="H4" s="95"/>
      <c r="I4" s="95"/>
      <c r="J4" s="95"/>
      <c r="K4" s="95"/>
      <c r="L4" s="95"/>
      <c r="M4" s="95"/>
      <c r="N4" s="96"/>
    </row>
    <row r="5" spans="1:14" ht="7.5" customHeight="1" x14ac:dyDescent="0.15">
      <c r="B5" s="5"/>
      <c r="C5" s="5"/>
      <c r="D5" s="5"/>
      <c r="E5" s="6"/>
      <c r="F5" s="28"/>
      <c r="G5" s="28"/>
      <c r="H5" s="28"/>
      <c r="I5" s="28"/>
      <c r="J5" s="28"/>
      <c r="K5" s="28"/>
      <c r="L5" s="28"/>
      <c r="M5" s="28"/>
      <c r="N5" s="28"/>
    </row>
    <row r="6" spans="1:14" ht="22.5" customHeight="1" x14ac:dyDescent="0.15">
      <c r="A6" s="4" t="s">
        <v>55</v>
      </c>
      <c r="B6" s="5" t="s">
        <v>56</v>
      </c>
      <c r="C6" s="5"/>
      <c r="D6" s="94" t="s">
        <v>220</v>
      </c>
      <c r="E6" s="95"/>
      <c r="F6" s="95"/>
      <c r="G6" s="95"/>
      <c r="H6" s="95"/>
      <c r="I6" s="95"/>
      <c r="J6" s="95"/>
      <c r="K6" s="95"/>
      <c r="L6" s="95"/>
      <c r="M6" s="95"/>
      <c r="N6" s="96"/>
    </row>
    <row r="7" spans="1:14" ht="7.5" customHeight="1" x14ac:dyDescent="0.15">
      <c r="B7" s="5"/>
      <c r="C7" s="5"/>
      <c r="D7" s="5"/>
      <c r="E7" s="6"/>
      <c r="F7" s="28"/>
      <c r="G7" s="28"/>
      <c r="H7" s="28"/>
      <c r="I7" s="28"/>
      <c r="J7" s="28"/>
      <c r="K7" s="28"/>
      <c r="L7" s="28"/>
      <c r="M7" s="28"/>
      <c r="N7" s="28"/>
    </row>
    <row r="8" spans="1:14" ht="22.5" customHeight="1" x14ac:dyDescent="0.15">
      <c r="A8" s="7" t="s">
        <v>12</v>
      </c>
      <c r="B8" s="8" t="s">
        <v>57</v>
      </c>
      <c r="C8" s="94" t="s">
        <v>185</v>
      </c>
      <c r="D8" s="95"/>
      <c r="E8" s="96"/>
      <c r="F8" s="28"/>
      <c r="G8" s="105"/>
      <c r="H8" s="105"/>
      <c r="I8" s="105"/>
      <c r="J8" s="28"/>
      <c r="K8" s="28"/>
      <c r="L8" s="28"/>
      <c r="M8" s="28"/>
      <c r="N8" s="28"/>
    </row>
    <row r="9" spans="1:14" ht="7.5" customHeight="1" x14ac:dyDescent="0.15">
      <c r="B9" s="5"/>
      <c r="C9" s="5"/>
      <c r="D9" s="5"/>
      <c r="E9" s="6"/>
      <c r="F9" s="28"/>
      <c r="G9" s="28"/>
      <c r="H9" s="28"/>
      <c r="I9" s="28"/>
      <c r="J9" s="28"/>
      <c r="K9" s="28"/>
      <c r="L9" s="28"/>
      <c r="M9" s="28"/>
      <c r="N9" s="28"/>
    </row>
    <row r="10" spans="1:14" ht="22.5" customHeight="1" x14ac:dyDescent="0.15">
      <c r="A10" s="4" t="s">
        <v>16</v>
      </c>
      <c r="B10" s="5" t="s">
        <v>52</v>
      </c>
      <c r="C10" s="94" t="s">
        <v>186</v>
      </c>
      <c r="D10" s="95"/>
      <c r="E10" s="95"/>
      <c r="F10" s="95"/>
      <c r="G10" s="95"/>
      <c r="H10" s="95"/>
      <c r="I10" s="95"/>
      <c r="J10" s="95"/>
      <c r="K10" s="95"/>
      <c r="L10" s="95"/>
      <c r="M10" s="95"/>
      <c r="N10" s="96"/>
    </row>
    <row r="11" spans="1:14" ht="7.5" customHeight="1" x14ac:dyDescent="0.15">
      <c r="B11" s="5"/>
      <c r="C11" s="5"/>
      <c r="D11" s="5"/>
      <c r="E11" s="6"/>
      <c r="F11" s="28"/>
      <c r="G11" s="28"/>
      <c r="H11" s="28"/>
      <c r="I11" s="28"/>
      <c r="J11" s="28"/>
      <c r="K11" s="28"/>
      <c r="L11" s="28"/>
      <c r="M11" s="28"/>
      <c r="N11" s="28"/>
    </row>
    <row r="12" spans="1:14" ht="22.5" customHeight="1" x14ac:dyDescent="0.15">
      <c r="A12" s="4" t="s">
        <v>13</v>
      </c>
      <c r="B12" s="5" t="s">
        <v>128</v>
      </c>
      <c r="C12" s="5"/>
      <c r="D12" s="5"/>
      <c r="E12" s="28"/>
      <c r="F12" s="28"/>
      <c r="G12" s="94" t="s">
        <v>191</v>
      </c>
      <c r="H12" s="95"/>
      <c r="I12" s="95"/>
      <c r="J12" s="95"/>
      <c r="K12" s="95"/>
      <c r="L12" s="95"/>
      <c r="M12" s="95"/>
      <c r="N12" s="96"/>
    </row>
    <row r="13" spans="1:14" ht="7.5" customHeight="1" x14ac:dyDescent="0.15">
      <c r="B13" s="6"/>
      <c r="C13" s="6"/>
      <c r="D13" s="6"/>
      <c r="E13" s="6"/>
      <c r="F13" s="28"/>
      <c r="G13" s="28"/>
      <c r="H13" s="28"/>
      <c r="I13" s="28"/>
      <c r="J13" s="28"/>
      <c r="K13" s="28"/>
      <c r="L13" s="28"/>
      <c r="M13" s="28"/>
      <c r="N13" s="28"/>
    </row>
    <row r="14" spans="1:14" ht="22.5" customHeight="1" x14ac:dyDescent="0.15">
      <c r="A14" s="4" t="s">
        <v>67</v>
      </c>
      <c r="B14" s="6" t="s">
        <v>68</v>
      </c>
      <c r="C14" s="6"/>
      <c r="D14" s="6"/>
      <c r="E14" s="6"/>
      <c r="F14" s="94" t="s">
        <v>187</v>
      </c>
      <c r="G14" s="95"/>
      <c r="H14" s="96"/>
      <c r="I14" s="28"/>
      <c r="J14" s="28"/>
      <c r="K14" s="28"/>
      <c r="L14" s="28"/>
      <c r="M14" s="28"/>
      <c r="N14" s="28"/>
    </row>
    <row r="15" spans="1:14" ht="7.5" customHeight="1" x14ac:dyDescent="0.15">
      <c r="B15" s="6"/>
      <c r="C15" s="6"/>
      <c r="D15" s="6"/>
      <c r="E15" s="6"/>
      <c r="F15" s="28"/>
      <c r="G15" s="28"/>
      <c r="H15" s="28"/>
      <c r="I15" s="28"/>
      <c r="J15" s="28"/>
      <c r="K15" s="28"/>
      <c r="L15" s="28"/>
      <c r="M15" s="28"/>
      <c r="N15" s="28"/>
    </row>
    <row r="16" spans="1:14" ht="22.5" customHeight="1" x14ac:dyDescent="0.15">
      <c r="A16" s="4" t="s">
        <v>14</v>
      </c>
      <c r="B16" s="4" t="s">
        <v>0</v>
      </c>
      <c r="C16" s="102" t="s">
        <v>5</v>
      </c>
      <c r="D16" s="103"/>
      <c r="E16" s="92">
        <v>66</v>
      </c>
      <c r="F16" s="93"/>
      <c r="G16" s="9" t="s">
        <v>9</v>
      </c>
      <c r="I16" s="102" t="s">
        <v>10</v>
      </c>
      <c r="J16" s="103"/>
      <c r="K16" s="92">
        <v>24</v>
      </c>
      <c r="L16" s="104"/>
      <c r="M16" s="93"/>
      <c r="N16" s="10" t="s">
        <v>9</v>
      </c>
    </row>
    <row r="17" spans="1:14" ht="7.5" customHeight="1" x14ac:dyDescent="0.15">
      <c r="F17" s="11"/>
      <c r="G17" s="11"/>
      <c r="H17" s="11"/>
      <c r="I17" s="11"/>
      <c r="J17" s="11"/>
      <c r="K17" s="11"/>
      <c r="L17" s="11"/>
      <c r="M17" s="10"/>
      <c r="N17" s="10"/>
    </row>
    <row r="18" spans="1:14" ht="22.5" customHeight="1" x14ac:dyDescent="0.15">
      <c r="A18" s="4" t="s">
        <v>61</v>
      </c>
      <c r="B18" s="4" t="s">
        <v>91</v>
      </c>
      <c r="F18" s="11"/>
      <c r="G18" s="11"/>
      <c r="H18" s="11"/>
      <c r="I18" s="11"/>
      <c r="J18" s="11"/>
      <c r="K18" s="89">
        <v>32</v>
      </c>
      <c r="L18" s="90"/>
      <c r="M18" s="91"/>
      <c r="N18" s="10" t="s">
        <v>59</v>
      </c>
    </row>
    <row r="19" spans="1:14" ht="7.5" customHeight="1" x14ac:dyDescent="0.15">
      <c r="F19" s="11"/>
      <c r="G19" s="11"/>
      <c r="H19" s="11"/>
      <c r="I19" s="11"/>
      <c r="J19" s="11"/>
      <c r="K19" s="11"/>
      <c r="L19" s="11"/>
      <c r="M19" s="10"/>
      <c r="N19" s="10"/>
    </row>
    <row r="20" spans="1:14" ht="22.5" customHeight="1" x14ac:dyDescent="0.15">
      <c r="A20" s="4" t="s">
        <v>69</v>
      </c>
      <c r="B20" s="4" t="s">
        <v>126</v>
      </c>
      <c r="E20" s="92">
        <v>160</v>
      </c>
      <c r="F20" s="93"/>
      <c r="G20" s="12" t="s">
        <v>24</v>
      </c>
      <c r="H20" s="11"/>
      <c r="K20" s="88"/>
      <c r="L20" s="88"/>
      <c r="M20" s="88"/>
      <c r="N20" s="88"/>
    </row>
    <row r="21" spans="1:14" ht="7.5" customHeight="1" x14ac:dyDescent="0.15">
      <c r="E21" s="1"/>
      <c r="F21" s="11"/>
      <c r="G21" s="11"/>
      <c r="L21" s="29"/>
      <c r="M21" s="29"/>
      <c r="N21" s="13"/>
    </row>
    <row r="22" spans="1:14" ht="22.5" customHeight="1" x14ac:dyDescent="0.15">
      <c r="A22" s="4" t="s">
        <v>27</v>
      </c>
      <c r="B22" s="4" t="s">
        <v>127</v>
      </c>
      <c r="E22" s="1"/>
      <c r="F22" s="11"/>
      <c r="G22" s="11"/>
      <c r="H22" s="4" t="s">
        <v>60</v>
      </c>
      <c r="J22" s="89">
        <v>797</v>
      </c>
      <c r="K22" s="90"/>
      <c r="L22" s="91"/>
      <c r="M22" s="29" t="s">
        <v>59</v>
      </c>
      <c r="N22" s="13"/>
    </row>
    <row r="23" spans="1:14" ht="7.5" customHeight="1" x14ac:dyDescent="0.15">
      <c r="E23" s="1"/>
      <c r="F23" s="11"/>
      <c r="G23" s="11"/>
      <c r="L23" s="29"/>
      <c r="M23" s="29"/>
      <c r="N23" s="13"/>
    </row>
    <row r="24" spans="1:14" ht="22.5" customHeight="1" x14ac:dyDescent="0.15">
      <c r="B24" s="31" t="s">
        <v>20</v>
      </c>
      <c r="C24" s="92">
        <v>161</v>
      </c>
      <c r="D24" s="93"/>
      <c r="E24" s="1" t="s">
        <v>25</v>
      </c>
      <c r="F24" s="11"/>
      <c r="G24" s="97" t="s">
        <v>21</v>
      </c>
      <c r="H24" s="97"/>
      <c r="I24" s="92">
        <v>160</v>
      </c>
      <c r="J24" s="93"/>
      <c r="K24" s="7" t="s">
        <v>25</v>
      </c>
      <c r="M24" s="29"/>
      <c r="N24" s="13"/>
    </row>
    <row r="25" spans="1:14" ht="7.5" customHeight="1" x14ac:dyDescent="0.15">
      <c r="B25" s="31"/>
      <c r="C25" s="2"/>
      <c r="D25" s="2"/>
      <c r="E25" s="1"/>
      <c r="F25" s="11"/>
      <c r="G25" s="29"/>
      <c r="H25" s="29"/>
      <c r="I25" s="2"/>
      <c r="J25" s="2"/>
      <c r="K25" s="7"/>
      <c r="M25" s="29"/>
      <c r="N25" s="13"/>
    </row>
    <row r="26" spans="1:14" ht="22.5" customHeight="1" x14ac:dyDescent="0.15">
      <c r="B26" s="31" t="s">
        <v>22</v>
      </c>
      <c r="C26" s="92">
        <v>162</v>
      </c>
      <c r="D26" s="93"/>
      <c r="E26" s="1" t="s">
        <v>25</v>
      </c>
      <c r="F26" s="11"/>
      <c r="G26" s="97" t="s">
        <v>23</v>
      </c>
      <c r="H26" s="97"/>
      <c r="I26" s="92">
        <v>163</v>
      </c>
      <c r="J26" s="93"/>
      <c r="K26" s="7" t="s">
        <v>25</v>
      </c>
      <c r="M26" s="29"/>
      <c r="N26" s="13"/>
    </row>
    <row r="27" spans="1:14" ht="7.5" customHeight="1" x14ac:dyDescent="0.15">
      <c r="B27" s="31"/>
      <c r="C27" s="2"/>
      <c r="D27" s="2"/>
      <c r="E27" s="1"/>
      <c r="F27" s="11"/>
      <c r="G27" s="29"/>
      <c r="H27" s="29"/>
      <c r="I27" s="2"/>
      <c r="J27" s="2"/>
      <c r="K27" s="7"/>
      <c r="M27" s="29"/>
      <c r="N27" s="13"/>
    </row>
    <row r="28" spans="1:14" ht="22.5" customHeight="1" x14ac:dyDescent="0.15">
      <c r="B28" s="31" t="s">
        <v>53</v>
      </c>
      <c r="C28" s="92">
        <v>151</v>
      </c>
      <c r="D28" s="93"/>
      <c r="E28" s="1" t="s">
        <v>9</v>
      </c>
      <c r="F28" s="11"/>
      <c r="G28" s="97" t="s">
        <v>54</v>
      </c>
      <c r="H28" s="97"/>
      <c r="I28" s="92">
        <v>0</v>
      </c>
      <c r="J28" s="93"/>
      <c r="K28" s="7" t="s">
        <v>9</v>
      </c>
      <c r="M28" s="29"/>
      <c r="N28" s="13"/>
    </row>
    <row r="29" spans="1:14" ht="7.5" customHeight="1" x14ac:dyDescent="0.15">
      <c r="F29" s="11"/>
      <c r="G29" s="11"/>
      <c r="M29" s="15"/>
      <c r="N29" s="15"/>
    </row>
    <row r="30" spans="1:14" ht="22.5" customHeight="1" x14ac:dyDescent="0.15">
      <c r="A30" s="4" t="s">
        <v>125</v>
      </c>
      <c r="B30" s="5" t="s">
        <v>116</v>
      </c>
      <c r="C30" s="5"/>
      <c r="D30" s="5"/>
      <c r="E30" s="5"/>
      <c r="F30" s="7"/>
      <c r="G30" s="28"/>
      <c r="H30" s="28"/>
      <c r="I30" s="28"/>
      <c r="J30" s="17"/>
      <c r="K30" s="17"/>
      <c r="L30" s="17"/>
      <c r="M30" s="17"/>
      <c r="N30" s="17"/>
    </row>
    <row r="31" spans="1:14" ht="22.5" customHeight="1" x14ac:dyDescent="0.15">
      <c r="B31" s="98" t="s">
        <v>115</v>
      </c>
      <c r="C31" s="98"/>
      <c r="D31" s="94" t="s">
        <v>199</v>
      </c>
      <c r="E31" s="95"/>
      <c r="F31" s="95"/>
      <c r="G31" s="99" t="s">
        <v>26</v>
      </c>
      <c r="H31" s="98"/>
      <c r="I31" s="100"/>
      <c r="J31" s="94" t="s">
        <v>188</v>
      </c>
      <c r="K31" s="95"/>
      <c r="L31" s="95"/>
      <c r="M31" s="95"/>
      <c r="N31" s="96"/>
    </row>
    <row r="32" spans="1:14" ht="7.5" customHeight="1" x14ac:dyDescent="0.15">
      <c r="F32" s="11"/>
      <c r="G32" s="11"/>
      <c r="M32" s="15"/>
      <c r="N32" s="15"/>
    </row>
    <row r="33" spans="1:14" ht="22.5" customHeight="1" x14ac:dyDescent="0.15">
      <c r="A33" s="4" t="s">
        <v>58</v>
      </c>
      <c r="B33" s="5" t="s">
        <v>131</v>
      </c>
      <c r="C33" s="5"/>
      <c r="D33" s="5"/>
      <c r="E33" s="5"/>
      <c r="F33" s="7"/>
      <c r="G33" s="17"/>
      <c r="H33" s="17"/>
      <c r="I33" s="17"/>
      <c r="J33" s="17"/>
      <c r="K33" s="17"/>
      <c r="L33" s="17"/>
      <c r="M33" s="17"/>
      <c r="N33" s="17"/>
    </row>
    <row r="34" spans="1:14" ht="22.5" customHeight="1" x14ac:dyDescent="0.15">
      <c r="B34" s="94" t="s">
        <v>195</v>
      </c>
      <c r="C34" s="95"/>
      <c r="D34" s="95"/>
      <c r="E34" s="95"/>
      <c r="F34" s="95"/>
      <c r="G34" s="95"/>
      <c r="H34" s="95"/>
      <c r="I34" s="95"/>
      <c r="J34" s="95"/>
      <c r="K34" s="95"/>
      <c r="L34" s="95"/>
      <c r="M34" s="95"/>
      <c r="N34" s="96"/>
    </row>
    <row r="35" spans="1:14" ht="7.5" customHeight="1" x14ac:dyDescent="0.15">
      <c r="B35" s="30"/>
      <c r="C35" s="30"/>
      <c r="D35" s="30"/>
      <c r="E35" s="30"/>
      <c r="F35" s="30"/>
      <c r="G35" s="30"/>
      <c r="H35" s="30"/>
      <c r="I35" s="30"/>
      <c r="J35" s="30"/>
      <c r="K35" s="30"/>
      <c r="L35" s="30"/>
      <c r="M35" s="30"/>
      <c r="N35" s="30"/>
    </row>
    <row r="36" spans="1:14" ht="22.5" customHeight="1" x14ac:dyDescent="0.15">
      <c r="B36" s="98" t="s">
        <v>115</v>
      </c>
      <c r="C36" s="98"/>
      <c r="D36" s="94" t="s">
        <v>196</v>
      </c>
      <c r="E36" s="95"/>
      <c r="F36" s="95"/>
      <c r="G36" s="99" t="s">
        <v>63</v>
      </c>
      <c r="H36" s="98"/>
      <c r="I36" s="100"/>
      <c r="J36" s="94" t="s">
        <v>201</v>
      </c>
      <c r="K36" s="95"/>
      <c r="L36" s="95"/>
      <c r="M36" s="95"/>
      <c r="N36" s="96"/>
    </row>
    <row r="37" spans="1:14" ht="7.5" customHeight="1" x14ac:dyDescent="0.15">
      <c r="F37" s="28"/>
      <c r="G37" s="28"/>
      <c r="H37" s="28"/>
      <c r="I37" s="28"/>
      <c r="J37" s="28"/>
      <c r="K37" s="28"/>
      <c r="L37" s="28"/>
      <c r="M37" s="28"/>
      <c r="N37" s="28"/>
    </row>
    <row r="38" spans="1:14" ht="22.5" customHeight="1" x14ac:dyDescent="0.15">
      <c r="A38" s="4" t="s">
        <v>62</v>
      </c>
      <c r="B38" s="4" t="s">
        <v>132</v>
      </c>
      <c r="M38" s="15"/>
      <c r="N38" s="15"/>
    </row>
    <row r="39" spans="1:14" ht="22.5" customHeight="1" x14ac:dyDescent="0.15">
      <c r="B39" s="94" t="s">
        <v>198</v>
      </c>
      <c r="C39" s="95"/>
      <c r="D39" s="95"/>
      <c r="E39" s="95"/>
      <c r="F39" s="95"/>
      <c r="G39" s="95"/>
      <c r="H39" s="95"/>
      <c r="I39" s="95"/>
      <c r="J39" s="95"/>
      <c r="K39" s="95"/>
      <c r="L39" s="95"/>
      <c r="M39" s="95"/>
      <c r="N39" s="96"/>
    </row>
    <row r="40" spans="1:14" ht="7.5" customHeight="1" x14ac:dyDescent="0.15">
      <c r="F40" s="28"/>
      <c r="G40" s="28"/>
      <c r="H40" s="28"/>
      <c r="I40" s="28"/>
      <c r="J40" s="28"/>
      <c r="K40" s="28"/>
      <c r="L40" s="28"/>
      <c r="M40" s="28"/>
      <c r="N40" s="28"/>
    </row>
    <row r="41" spans="1:14" ht="22.5" customHeight="1" x14ac:dyDescent="0.15">
      <c r="B41" s="98" t="s">
        <v>115</v>
      </c>
      <c r="C41" s="98"/>
      <c r="D41" s="94" t="s">
        <v>197</v>
      </c>
      <c r="E41" s="95"/>
      <c r="F41" s="95"/>
      <c r="G41" s="99" t="s">
        <v>63</v>
      </c>
      <c r="H41" s="98"/>
      <c r="I41" s="100"/>
      <c r="J41" s="94" t="s">
        <v>200</v>
      </c>
      <c r="K41" s="95"/>
      <c r="L41" s="95"/>
      <c r="M41" s="95"/>
      <c r="N41" s="96"/>
    </row>
    <row r="42" spans="1:14" ht="7.5" customHeight="1" x14ac:dyDescent="0.15">
      <c r="F42" s="28"/>
      <c r="G42" s="28"/>
      <c r="H42" s="28"/>
      <c r="I42" s="28"/>
      <c r="J42" s="28"/>
      <c r="K42" s="28"/>
      <c r="L42" s="28"/>
      <c r="M42" s="28"/>
      <c r="N42" s="28"/>
    </row>
    <row r="43" spans="1:14" ht="22.5" customHeight="1" x14ac:dyDescent="0.15">
      <c r="A43" s="4" t="s">
        <v>70</v>
      </c>
      <c r="B43" s="37" t="s">
        <v>90</v>
      </c>
      <c r="E43" s="38"/>
      <c r="F43" s="94" t="s">
        <v>189</v>
      </c>
      <c r="G43" s="95"/>
      <c r="H43" s="95"/>
      <c r="I43" s="95"/>
      <c r="J43" s="95"/>
      <c r="K43" s="95"/>
      <c r="L43" s="95"/>
      <c r="M43" s="95"/>
      <c r="N43" s="96"/>
    </row>
    <row r="44" spans="1:14" ht="7.5" customHeight="1" x14ac:dyDescent="0.15">
      <c r="F44" s="28"/>
      <c r="G44" s="28"/>
      <c r="H44" s="28"/>
      <c r="I44" s="28"/>
      <c r="J44" s="28"/>
      <c r="K44" s="28"/>
      <c r="L44" s="28"/>
      <c r="M44" s="28"/>
      <c r="N44" s="28"/>
    </row>
    <row r="45" spans="1:14" ht="22.5" customHeight="1" x14ac:dyDescent="0.15">
      <c r="A45" s="4" t="s">
        <v>129</v>
      </c>
    </row>
    <row r="46" spans="1:14" ht="22.5" customHeight="1" x14ac:dyDescent="0.15">
      <c r="B46" s="18" t="s">
        <v>1</v>
      </c>
      <c r="C46" s="113" t="s">
        <v>194</v>
      </c>
      <c r="D46" s="114"/>
      <c r="E46" s="114"/>
      <c r="F46" s="114"/>
      <c r="G46" s="114"/>
      <c r="H46" s="114"/>
      <c r="I46" s="19" t="s">
        <v>2</v>
      </c>
      <c r="J46" s="20"/>
      <c r="K46" s="94" t="s">
        <v>192</v>
      </c>
      <c r="L46" s="95"/>
      <c r="M46" s="95"/>
      <c r="N46" s="96"/>
    </row>
    <row r="47" spans="1:14" ht="22.5" customHeight="1" x14ac:dyDescent="0.15">
      <c r="B47" s="18" t="s">
        <v>4</v>
      </c>
      <c r="C47" s="107" t="s">
        <v>193</v>
      </c>
      <c r="D47" s="108"/>
      <c r="E47" s="108"/>
      <c r="F47" s="108"/>
      <c r="G47" s="108"/>
      <c r="H47" s="109"/>
      <c r="I47" s="19" t="s">
        <v>3</v>
      </c>
      <c r="J47" s="20"/>
      <c r="K47" s="110" t="s">
        <v>190</v>
      </c>
      <c r="L47" s="111"/>
      <c r="M47" s="111"/>
      <c r="N47" s="112"/>
    </row>
  </sheetData>
  <mergeCells count="45">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 ref="M1:N1"/>
    <mergeCell ref="C16:D16"/>
    <mergeCell ref="C8:E8"/>
    <mergeCell ref="C10:N10"/>
    <mergeCell ref="K16:M16"/>
    <mergeCell ref="G8:I8"/>
    <mergeCell ref="C4:N4"/>
    <mergeCell ref="D6:N6"/>
    <mergeCell ref="F14:H14"/>
    <mergeCell ref="A2:N2"/>
    <mergeCell ref="E16:F16"/>
    <mergeCell ref="I16:J16"/>
    <mergeCell ref="G12:N12"/>
    <mergeCell ref="K20:N20"/>
    <mergeCell ref="K18:M18"/>
    <mergeCell ref="I24:J24"/>
    <mergeCell ref="E20:F20"/>
    <mergeCell ref="J41:N41"/>
    <mergeCell ref="B34:N34"/>
    <mergeCell ref="B39:N39"/>
    <mergeCell ref="G28:H28"/>
    <mergeCell ref="I28:J28"/>
    <mergeCell ref="J22:L22"/>
    <mergeCell ref="G24:H24"/>
    <mergeCell ref="B31:C31"/>
    <mergeCell ref="D31:F31"/>
    <mergeCell ref="G31:I31"/>
    <mergeCell ref="C28:D28"/>
    <mergeCell ref="C24:D24"/>
  </mergeCells>
  <phoneticPr fontId="1"/>
  <dataValidations count="2">
    <dataValidation type="list" allowBlank="1" showInputMessage="1" showErrorMessage="1" sqref="C8" xr:uid="{00000000-0002-0000-0000-000000000000}">
      <formula1>"国立大学, 公立大学, 私立大学, 短期大学, 高等専門学校, その他"</formula1>
    </dataValidation>
    <dataValidation type="list" allowBlank="1" showInputMessage="1" showErrorMessage="1" sqref="F43" xr:uid="{00000000-0002-0000-0000-000001000000}">
      <formula1>"認定教育プログラム,認定教育プログラムと認定教育プログラム+（プラス）"</formula1>
    </dataValidation>
  </dataValidations>
  <hyperlinks>
    <hyperlink ref="C47" r:id="rId1" xr:uid="{00000000-0004-0000-0000-000000000000}"/>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4"/>
  <sheetViews>
    <sheetView showZeros="0" zoomScaleNormal="100" workbookViewId="0"/>
  </sheetViews>
  <sheetFormatPr defaultColWidth="9" defaultRowHeight="18.75" customHeight="1" x14ac:dyDescent="0.15"/>
  <cols>
    <col min="1" max="2" width="2.5" style="3" customWidth="1"/>
    <col min="3" max="3" width="20" style="3" customWidth="1"/>
    <col min="4" max="4" width="8.625" style="3" customWidth="1"/>
    <col min="5" max="5" width="7.5" style="3" customWidth="1"/>
    <col min="6" max="6" width="2.5" style="3" customWidth="1"/>
    <col min="7" max="7" width="15" style="3" customWidth="1"/>
    <col min="8" max="8" width="12.5" style="3" customWidth="1"/>
    <col min="9" max="9" width="11.125" style="3" customWidth="1"/>
    <col min="10" max="16384" width="9" style="3"/>
  </cols>
  <sheetData>
    <row r="1" spans="1:9" ht="18.75" customHeight="1" x14ac:dyDescent="0.15">
      <c r="I1" s="25" t="s">
        <v>183</v>
      </c>
    </row>
    <row r="2" spans="1:9" ht="18.75" customHeight="1" x14ac:dyDescent="0.15">
      <c r="G2" s="16" t="s">
        <v>31</v>
      </c>
      <c r="H2" s="128" t="s">
        <v>151</v>
      </c>
      <c r="I2" s="128"/>
    </row>
    <row r="3" spans="1:9" ht="7.5" customHeight="1" x14ac:dyDescent="0.15"/>
    <row r="4" spans="1:9" ht="18.75" customHeight="1" x14ac:dyDescent="0.15">
      <c r="A4" s="106" t="s">
        <v>88</v>
      </c>
      <c r="B4" s="106"/>
      <c r="C4" s="106"/>
      <c r="D4" s="106"/>
      <c r="E4" s="106"/>
      <c r="F4" s="106"/>
      <c r="G4" s="106"/>
      <c r="H4" s="106"/>
      <c r="I4" s="106"/>
    </row>
    <row r="5" spans="1:9" ht="7.5" customHeight="1" x14ac:dyDescent="0.15">
      <c r="C5" s="14"/>
      <c r="D5" s="21"/>
      <c r="E5" s="22"/>
      <c r="F5" s="14"/>
      <c r="G5" s="21"/>
      <c r="H5" s="14"/>
      <c r="I5" s="14"/>
    </row>
    <row r="6" spans="1:9" ht="18.75" customHeight="1" x14ac:dyDescent="0.15">
      <c r="A6" s="3" t="s">
        <v>6</v>
      </c>
      <c r="B6" s="3" t="s">
        <v>101</v>
      </c>
      <c r="C6" s="24"/>
      <c r="D6" s="24"/>
      <c r="E6" s="89" t="s">
        <v>136</v>
      </c>
      <c r="F6" s="90"/>
      <c r="G6" s="90"/>
      <c r="H6" s="90"/>
      <c r="I6" s="91"/>
    </row>
    <row r="7" spans="1:9" ht="7.5" customHeight="1" x14ac:dyDescent="0.15">
      <c r="C7" s="24"/>
      <c r="D7" s="24"/>
      <c r="E7" s="23"/>
      <c r="F7" s="23"/>
      <c r="G7" s="23"/>
      <c r="H7" s="23"/>
      <c r="I7" s="23"/>
    </row>
    <row r="8" spans="1:9" ht="18.75" customHeight="1" x14ac:dyDescent="0.15">
      <c r="A8" s="3" t="s">
        <v>11</v>
      </c>
      <c r="B8" s="3" t="s">
        <v>102</v>
      </c>
      <c r="C8" s="24"/>
      <c r="D8" s="24"/>
      <c r="E8" s="24"/>
      <c r="F8" s="24"/>
      <c r="G8" s="24"/>
      <c r="H8" s="24"/>
      <c r="I8" s="24"/>
    </row>
    <row r="9" spans="1:9" ht="18.75" customHeight="1" x14ac:dyDescent="0.15">
      <c r="B9" s="119" t="s">
        <v>205</v>
      </c>
      <c r="C9" s="120"/>
      <c r="D9" s="120"/>
      <c r="E9" s="120"/>
      <c r="F9" s="120"/>
      <c r="G9" s="120"/>
      <c r="H9" s="120"/>
      <c r="I9" s="121"/>
    </row>
    <row r="10" spans="1:9" ht="18.75" customHeight="1" x14ac:dyDescent="0.15">
      <c r="B10" s="122"/>
      <c r="C10" s="123"/>
      <c r="D10" s="123"/>
      <c r="E10" s="123"/>
      <c r="F10" s="123"/>
      <c r="G10" s="123"/>
      <c r="H10" s="123"/>
      <c r="I10" s="124"/>
    </row>
    <row r="11" spans="1:9" ht="18.75" customHeight="1" x14ac:dyDescent="0.15">
      <c r="B11" s="122"/>
      <c r="C11" s="123"/>
      <c r="D11" s="123"/>
      <c r="E11" s="123"/>
      <c r="F11" s="123"/>
      <c r="G11" s="123"/>
      <c r="H11" s="123"/>
      <c r="I11" s="124"/>
    </row>
    <row r="12" spans="1:9" ht="18.75" customHeight="1" x14ac:dyDescent="0.15">
      <c r="B12" s="122"/>
      <c r="C12" s="123"/>
      <c r="D12" s="123"/>
      <c r="E12" s="123"/>
      <c r="F12" s="123"/>
      <c r="G12" s="123"/>
      <c r="H12" s="123"/>
      <c r="I12" s="124"/>
    </row>
    <row r="13" spans="1:9" ht="18.75" customHeight="1" x14ac:dyDescent="0.15">
      <c r="B13" s="122"/>
      <c r="C13" s="123"/>
      <c r="D13" s="123"/>
      <c r="E13" s="123"/>
      <c r="F13" s="123"/>
      <c r="G13" s="123"/>
      <c r="H13" s="123"/>
      <c r="I13" s="124"/>
    </row>
    <row r="14" spans="1:9" ht="18.75" customHeight="1" x14ac:dyDescent="0.15">
      <c r="B14" s="122"/>
      <c r="C14" s="123"/>
      <c r="D14" s="123"/>
      <c r="E14" s="123"/>
      <c r="F14" s="123"/>
      <c r="G14" s="123"/>
      <c r="H14" s="123"/>
      <c r="I14" s="124"/>
    </row>
    <row r="15" spans="1:9" ht="18.75" customHeight="1" x14ac:dyDescent="0.15">
      <c r="B15" s="122"/>
      <c r="C15" s="123"/>
      <c r="D15" s="123"/>
      <c r="E15" s="123"/>
      <c r="F15" s="123"/>
      <c r="G15" s="123"/>
      <c r="H15" s="123"/>
      <c r="I15" s="124"/>
    </row>
    <row r="16" spans="1:9" ht="18.75" customHeight="1" x14ac:dyDescent="0.15">
      <c r="B16" s="125"/>
      <c r="C16" s="126"/>
      <c r="D16" s="126"/>
      <c r="E16" s="126"/>
      <c r="F16" s="126"/>
      <c r="G16" s="126"/>
      <c r="H16" s="126"/>
      <c r="I16" s="127"/>
    </row>
    <row r="17" spans="1:10" ht="7.5" customHeight="1" x14ac:dyDescent="0.15">
      <c r="C17" s="24"/>
      <c r="D17" s="24"/>
      <c r="E17" s="24"/>
      <c r="F17" s="24"/>
      <c r="G17" s="24"/>
      <c r="H17" s="24"/>
      <c r="I17" s="24"/>
    </row>
    <row r="18" spans="1:10" ht="18.75" customHeight="1" x14ac:dyDescent="0.15">
      <c r="A18" s="14" t="s">
        <v>12</v>
      </c>
      <c r="B18" s="5" t="s">
        <v>103</v>
      </c>
      <c r="C18" s="5"/>
      <c r="D18" s="5"/>
      <c r="E18" s="5"/>
      <c r="F18" s="14"/>
      <c r="G18" s="21"/>
      <c r="H18" s="14"/>
      <c r="I18" s="14"/>
      <c r="J18" s="14"/>
    </row>
    <row r="19" spans="1:10" ht="18.75" customHeight="1" x14ac:dyDescent="0.15">
      <c r="A19" s="129" t="s">
        <v>103</v>
      </c>
      <c r="B19" s="129"/>
      <c r="C19" s="129"/>
      <c r="D19" s="129"/>
      <c r="E19" s="129"/>
      <c r="F19" s="130" t="s">
        <v>103</v>
      </c>
      <c r="G19" s="130"/>
      <c r="H19" s="130"/>
      <c r="I19" s="130"/>
    </row>
    <row r="20" spans="1:10" ht="18.75" customHeight="1" x14ac:dyDescent="0.15">
      <c r="A20" s="26">
        <v>1</v>
      </c>
      <c r="B20" s="113" t="s">
        <v>140</v>
      </c>
      <c r="C20" s="114"/>
      <c r="D20" s="114"/>
      <c r="E20" s="115"/>
      <c r="F20" s="26">
        <v>26</v>
      </c>
      <c r="G20" s="113"/>
      <c r="H20" s="114"/>
      <c r="I20" s="115"/>
    </row>
    <row r="21" spans="1:10" ht="18.75" customHeight="1" x14ac:dyDescent="0.15">
      <c r="A21" s="26">
        <v>2</v>
      </c>
      <c r="B21" s="113" t="s">
        <v>139</v>
      </c>
      <c r="C21" s="114"/>
      <c r="D21" s="114"/>
      <c r="E21" s="115"/>
      <c r="F21" s="26">
        <v>27</v>
      </c>
      <c r="G21" s="113"/>
      <c r="H21" s="114"/>
      <c r="I21" s="115"/>
    </row>
    <row r="22" spans="1:10" ht="18.75" customHeight="1" x14ac:dyDescent="0.15">
      <c r="A22" s="26">
        <v>3</v>
      </c>
      <c r="B22" s="113" t="s">
        <v>138</v>
      </c>
      <c r="C22" s="114"/>
      <c r="D22" s="114"/>
      <c r="E22" s="115"/>
      <c r="F22" s="26">
        <v>28</v>
      </c>
      <c r="G22" s="113"/>
      <c r="H22" s="114"/>
      <c r="I22" s="115"/>
    </row>
    <row r="23" spans="1:10" ht="18.75" customHeight="1" x14ac:dyDescent="0.15">
      <c r="A23" s="26">
        <v>4</v>
      </c>
      <c r="B23" s="113" t="s">
        <v>137</v>
      </c>
      <c r="C23" s="114"/>
      <c r="D23" s="114"/>
      <c r="E23" s="115"/>
      <c r="F23" s="26">
        <v>29</v>
      </c>
      <c r="G23" s="113"/>
      <c r="H23" s="114"/>
      <c r="I23" s="115"/>
    </row>
    <row r="24" spans="1:10" ht="18.75" customHeight="1" x14ac:dyDescent="0.15">
      <c r="A24" s="26">
        <v>5</v>
      </c>
      <c r="B24" s="113" t="s">
        <v>141</v>
      </c>
      <c r="C24" s="114"/>
      <c r="D24" s="114"/>
      <c r="E24" s="115"/>
      <c r="F24" s="26">
        <v>30</v>
      </c>
      <c r="G24" s="113"/>
      <c r="H24" s="114"/>
      <c r="I24" s="115"/>
    </row>
    <row r="25" spans="1:10" ht="18.75" customHeight="1" x14ac:dyDescent="0.15">
      <c r="A25" s="26">
        <v>6</v>
      </c>
      <c r="B25" s="113" t="s">
        <v>152</v>
      </c>
      <c r="C25" s="114"/>
      <c r="D25" s="114"/>
      <c r="E25" s="115"/>
      <c r="F25" s="26">
        <v>31</v>
      </c>
      <c r="G25" s="113"/>
      <c r="H25" s="114"/>
      <c r="I25" s="115"/>
    </row>
    <row r="26" spans="1:10" ht="18.75" customHeight="1" x14ac:dyDescent="0.15">
      <c r="A26" s="26">
        <v>7</v>
      </c>
      <c r="B26" s="116"/>
      <c r="C26" s="117"/>
      <c r="D26" s="117"/>
      <c r="E26" s="118"/>
      <c r="F26" s="26">
        <v>32</v>
      </c>
      <c r="G26" s="113"/>
      <c r="H26" s="114"/>
      <c r="I26" s="115"/>
    </row>
    <row r="27" spans="1:10" ht="18.75" customHeight="1" x14ac:dyDescent="0.15">
      <c r="A27" s="26">
        <v>8</v>
      </c>
      <c r="B27" s="116"/>
      <c r="C27" s="117"/>
      <c r="D27" s="117"/>
      <c r="E27" s="118"/>
      <c r="F27" s="26">
        <v>33</v>
      </c>
      <c r="G27" s="113"/>
      <c r="H27" s="114"/>
      <c r="I27" s="115"/>
    </row>
    <row r="28" spans="1:10" ht="18.75" customHeight="1" x14ac:dyDescent="0.15">
      <c r="A28" s="26">
        <v>9</v>
      </c>
      <c r="B28" s="116"/>
      <c r="C28" s="117"/>
      <c r="D28" s="117"/>
      <c r="E28" s="118"/>
      <c r="F28" s="26">
        <v>34</v>
      </c>
      <c r="G28" s="113"/>
      <c r="H28" s="114"/>
      <c r="I28" s="115"/>
    </row>
    <row r="29" spans="1:10" ht="18.75" customHeight="1" x14ac:dyDescent="0.15">
      <c r="A29" s="26">
        <v>10</v>
      </c>
      <c r="B29" s="116"/>
      <c r="C29" s="117"/>
      <c r="D29" s="117"/>
      <c r="E29" s="118"/>
      <c r="F29" s="26">
        <v>35</v>
      </c>
      <c r="G29" s="113"/>
      <c r="H29" s="114"/>
      <c r="I29" s="115"/>
    </row>
    <row r="30" spans="1:10" ht="18.75" customHeight="1" x14ac:dyDescent="0.15">
      <c r="A30" s="26">
        <v>11</v>
      </c>
      <c r="B30" s="113"/>
      <c r="C30" s="114"/>
      <c r="D30" s="114"/>
      <c r="E30" s="115"/>
      <c r="F30" s="26">
        <v>36</v>
      </c>
      <c r="G30" s="113"/>
      <c r="H30" s="114"/>
      <c r="I30" s="115"/>
    </row>
    <row r="31" spans="1:10" ht="18.75" customHeight="1" x14ac:dyDescent="0.15">
      <c r="A31" s="26">
        <v>12</v>
      </c>
      <c r="B31" s="113"/>
      <c r="C31" s="114"/>
      <c r="D31" s="114"/>
      <c r="E31" s="115"/>
      <c r="F31" s="26">
        <v>37</v>
      </c>
      <c r="G31" s="113"/>
      <c r="H31" s="114"/>
      <c r="I31" s="115"/>
    </row>
    <row r="32" spans="1:10" ht="18.75" customHeight="1" x14ac:dyDescent="0.15">
      <c r="A32" s="26">
        <v>13</v>
      </c>
      <c r="B32" s="113"/>
      <c r="C32" s="114"/>
      <c r="D32" s="114"/>
      <c r="E32" s="115"/>
      <c r="F32" s="26">
        <v>38</v>
      </c>
      <c r="G32" s="113"/>
      <c r="H32" s="114"/>
      <c r="I32" s="115"/>
    </row>
    <row r="33" spans="1:9" ht="18.75" customHeight="1" x14ac:dyDescent="0.15">
      <c r="A33" s="26">
        <v>14</v>
      </c>
      <c r="B33" s="113"/>
      <c r="C33" s="114"/>
      <c r="D33" s="114"/>
      <c r="E33" s="115"/>
      <c r="F33" s="26">
        <v>39</v>
      </c>
      <c r="G33" s="113"/>
      <c r="H33" s="114"/>
      <c r="I33" s="115"/>
    </row>
    <row r="34" spans="1:9" ht="18.75" customHeight="1" x14ac:dyDescent="0.15">
      <c r="A34" s="26">
        <v>15</v>
      </c>
      <c r="B34" s="113"/>
      <c r="C34" s="114"/>
      <c r="D34" s="114"/>
      <c r="E34" s="115"/>
      <c r="F34" s="26">
        <v>40</v>
      </c>
      <c r="G34" s="113"/>
      <c r="H34" s="114"/>
      <c r="I34" s="115"/>
    </row>
    <row r="35" spans="1:9" ht="18.75" customHeight="1" x14ac:dyDescent="0.15">
      <c r="A35" s="26">
        <v>16</v>
      </c>
      <c r="B35" s="113"/>
      <c r="C35" s="114"/>
      <c r="D35" s="114"/>
      <c r="E35" s="115"/>
      <c r="F35" s="26">
        <v>41</v>
      </c>
      <c r="G35" s="113"/>
      <c r="H35" s="114"/>
      <c r="I35" s="115"/>
    </row>
    <row r="36" spans="1:9" ht="18.75" customHeight="1" x14ac:dyDescent="0.15">
      <c r="A36" s="26">
        <v>17</v>
      </c>
      <c r="B36" s="113"/>
      <c r="C36" s="114"/>
      <c r="D36" s="114"/>
      <c r="E36" s="115"/>
      <c r="F36" s="26">
        <v>42</v>
      </c>
      <c r="G36" s="113"/>
      <c r="H36" s="114"/>
      <c r="I36" s="115"/>
    </row>
    <row r="37" spans="1:9" ht="18.75" customHeight="1" x14ac:dyDescent="0.15">
      <c r="A37" s="26">
        <v>18</v>
      </c>
      <c r="B37" s="113"/>
      <c r="C37" s="114"/>
      <c r="D37" s="114"/>
      <c r="E37" s="115"/>
      <c r="F37" s="26">
        <v>43</v>
      </c>
      <c r="G37" s="113"/>
      <c r="H37" s="114"/>
      <c r="I37" s="115"/>
    </row>
    <row r="38" spans="1:9" ht="18.75" customHeight="1" x14ac:dyDescent="0.15">
      <c r="A38" s="26">
        <v>19</v>
      </c>
      <c r="B38" s="113"/>
      <c r="C38" s="114"/>
      <c r="D38" s="114"/>
      <c r="E38" s="115"/>
      <c r="F38" s="26">
        <v>44</v>
      </c>
      <c r="G38" s="113"/>
      <c r="H38" s="114"/>
      <c r="I38" s="115"/>
    </row>
    <row r="39" spans="1:9" ht="18.75" customHeight="1" x14ac:dyDescent="0.15">
      <c r="A39" s="26">
        <v>20</v>
      </c>
      <c r="B39" s="113"/>
      <c r="C39" s="114"/>
      <c r="D39" s="114"/>
      <c r="E39" s="115"/>
      <c r="F39" s="26">
        <v>45</v>
      </c>
      <c r="G39" s="113"/>
      <c r="H39" s="114"/>
      <c r="I39" s="115"/>
    </row>
    <row r="40" spans="1:9" ht="18.75" customHeight="1" x14ac:dyDescent="0.15">
      <c r="A40" s="26">
        <v>21</v>
      </c>
      <c r="B40" s="113"/>
      <c r="C40" s="114"/>
      <c r="D40" s="114"/>
      <c r="E40" s="115"/>
      <c r="F40" s="26">
        <v>46</v>
      </c>
      <c r="G40" s="113"/>
      <c r="H40" s="114"/>
      <c r="I40" s="115"/>
    </row>
    <row r="41" spans="1:9" ht="18.75" customHeight="1" x14ac:dyDescent="0.15">
      <c r="A41" s="26">
        <v>22</v>
      </c>
      <c r="B41" s="113"/>
      <c r="C41" s="114"/>
      <c r="D41" s="114"/>
      <c r="E41" s="115"/>
      <c r="F41" s="26">
        <v>47</v>
      </c>
      <c r="G41" s="113"/>
      <c r="H41" s="114"/>
      <c r="I41" s="115"/>
    </row>
    <row r="42" spans="1:9" ht="18.75" customHeight="1" x14ac:dyDescent="0.15">
      <c r="A42" s="26">
        <v>23</v>
      </c>
      <c r="B42" s="113"/>
      <c r="C42" s="114"/>
      <c r="D42" s="114"/>
      <c r="E42" s="115"/>
      <c r="F42" s="26">
        <v>48</v>
      </c>
      <c r="G42" s="113"/>
      <c r="H42" s="114"/>
      <c r="I42" s="115"/>
    </row>
    <row r="43" spans="1:9" ht="18.75" customHeight="1" x14ac:dyDescent="0.15">
      <c r="A43" s="26">
        <v>24</v>
      </c>
      <c r="B43" s="113"/>
      <c r="C43" s="114"/>
      <c r="D43" s="114"/>
      <c r="E43" s="115"/>
      <c r="F43" s="26">
        <v>49</v>
      </c>
      <c r="G43" s="113"/>
      <c r="H43" s="114"/>
      <c r="I43" s="115"/>
    </row>
    <row r="44" spans="1:9" ht="18.75" customHeight="1" x14ac:dyDescent="0.15">
      <c r="A44" s="26">
        <v>25</v>
      </c>
      <c r="B44" s="113"/>
      <c r="C44" s="114"/>
      <c r="D44" s="114"/>
      <c r="E44" s="115"/>
      <c r="F44" s="26">
        <v>50</v>
      </c>
      <c r="G44" s="113"/>
      <c r="H44" s="114"/>
      <c r="I44" s="115"/>
    </row>
  </sheetData>
  <mergeCells count="56">
    <mergeCell ref="G44:I44"/>
    <mergeCell ref="G39:I39"/>
    <mergeCell ref="G40:I40"/>
    <mergeCell ref="G41:I41"/>
    <mergeCell ref="G42:I42"/>
    <mergeCell ref="G43:I43"/>
    <mergeCell ref="G34:I34"/>
    <mergeCell ref="G35:I35"/>
    <mergeCell ref="G36:I36"/>
    <mergeCell ref="G37:I37"/>
    <mergeCell ref="G38:I38"/>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B35:E35"/>
    <mergeCell ref="B36:E36"/>
    <mergeCell ref="B37:E37"/>
    <mergeCell ref="B38:E38"/>
    <mergeCell ref="B29:E29"/>
    <mergeCell ref="B30:E30"/>
    <mergeCell ref="B31:E31"/>
    <mergeCell ref="B32:E32"/>
    <mergeCell ref="B33:E33"/>
    <mergeCell ref="E6:I6"/>
    <mergeCell ref="H2:I2"/>
    <mergeCell ref="A4:I4"/>
    <mergeCell ref="A19:E19"/>
    <mergeCell ref="F19:I19"/>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s>
  <phoneticPr fontId="1"/>
  <dataValidations count="2">
    <dataValidation type="list" allowBlank="1" showInputMessage="1" showErrorMessage="1" sqref="E7:I7" xr:uid="{00000000-0002-0000-0100-000000000000}">
      <formula1>"学部等によって、認定要件は相違する,学部等によって、認定要件は相違しない"</formula1>
    </dataValidation>
    <dataValidation type="list" allowBlank="1" showInputMessage="1" showErrorMessage="1" sqref="E6:I6" xr:uid="{00000000-0002-0000-01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9"/>
  <sheetViews>
    <sheetView workbookViewId="0"/>
  </sheetViews>
  <sheetFormatPr defaultColWidth="9" defaultRowHeight="18.75" customHeight="1" x14ac:dyDescent="0.15"/>
  <cols>
    <col min="1" max="1" width="2.5" style="4" customWidth="1"/>
    <col min="2" max="2" width="12.5" style="4" customWidth="1"/>
    <col min="3" max="3" width="21" style="4" customWidth="1"/>
    <col min="4" max="18" width="6.125" style="4" customWidth="1"/>
    <col min="19" max="16384" width="9" style="4"/>
  </cols>
  <sheetData>
    <row r="1" spans="1:20" ht="18.75" customHeight="1" x14ac:dyDescent="0.15">
      <c r="F1" s="101" t="s">
        <v>72</v>
      </c>
      <c r="G1" s="101"/>
      <c r="H1" s="101"/>
      <c r="I1" s="101"/>
      <c r="J1" s="101"/>
      <c r="K1" s="101"/>
      <c r="L1" s="101"/>
      <c r="M1" s="101"/>
      <c r="N1" s="101"/>
      <c r="O1" s="101"/>
      <c r="P1" s="101"/>
      <c r="Q1" s="101"/>
      <c r="R1" s="101"/>
    </row>
    <row r="2" spans="1:20" ht="18.75" customHeight="1" x14ac:dyDescent="0.15">
      <c r="D2" s="34"/>
      <c r="E2" s="34"/>
      <c r="F2" s="34"/>
      <c r="G2" s="34"/>
      <c r="H2" s="34"/>
      <c r="I2" s="34"/>
      <c r="J2" s="34"/>
      <c r="K2" s="101" t="s">
        <v>64</v>
      </c>
      <c r="L2" s="101"/>
      <c r="M2" s="5" t="s">
        <v>184</v>
      </c>
      <c r="N2" s="34"/>
      <c r="O2" s="34"/>
      <c r="P2" s="34"/>
      <c r="Q2" s="34"/>
      <c r="R2" s="34"/>
    </row>
    <row r="3" spans="1:20" ht="7.5" customHeight="1" x14ac:dyDescent="0.15"/>
    <row r="4" spans="1:20" ht="18.75" customHeight="1" x14ac:dyDescent="0.15">
      <c r="A4" s="106" t="s">
        <v>123</v>
      </c>
      <c r="B4" s="106"/>
      <c r="C4" s="106"/>
      <c r="D4" s="106"/>
      <c r="E4" s="106"/>
      <c r="F4" s="106"/>
      <c r="G4" s="106"/>
      <c r="H4" s="106"/>
      <c r="I4" s="106"/>
      <c r="J4" s="106"/>
      <c r="K4" s="106"/>
      <c r="L4" s="106"/>
      <c r="M4" s="106"/>
      <c r="N4" s="106"/>
      <c r="O4" s="106"/>
      <c r="P4" s="106"/>
      <c r="Q4" s="106"/>
      <c r="R4" s="106"/>
      <c r="S4" s="5"/>
    </row>
    <row r="5" spans="1:20" ht="7.5" customHeight="1" x14ac:dyDescent="0.15">
      <c r="A5" s="31"/>
      <c r="B5" s="31"/>
      <c r="C5" s="31"/>
      <c r="D5" s="31"/>
      <c r="E5" s="31"/>
      <c r="F5" s="31"/>
      <c r="G5" s="31"/>
      <c r="H5" s="31"/>
      <c r="I5" s="31"/>
      <c r="J5" s="31"/>
      <c r="K5" s="31"/>
      <c r="L5" s="31"/>
      <c r="M5" s="31"/>
      <c r="N5" s="31"/>
      <c r="O5" s="31"/>
      <c r="P5" s="31"/>
      <c r="Q5" s="31"/>
      <c r="R5" s="31"/>
    </row>
    <row r="6" spans="1:20" ht="18.75" customHeight="1" x14ac:dyDescent="0.15">
      <c r="B6" s="137" t="s">
        <v>130</v>
      </c>
      <c r="C6" s="138"/>
      <c r="D6" s="143" t="s">
        <v>89</v>
      </c>
      <c r="E6" s="145" t="s">
        <v>117</v>
      </c>
      <c r="F6" s="145"/>
      <c r="G6" s="145" t="s">
        <v>118</v>
      </c>
      <c r="H6" s="145"/>
      <c r="I6" s="146" t="s">
        <v>119</v>
      </c>
      <c r="J6" s="147"/>
      <c r="K6" s="146" t="s">
        <v>120</v>
      </c>
      <c r="L6" s="147"/>
      <c r="M6" s="146" t="s">
        <v>121</v>
      </c>
      <c r="N6" s="147"/>
      <c r="O6" s="146" t="s">
        <v>122</v>
      </c>
      <c r="P6" s="147"/>
      <c r="Q6" s="148" t="s">
        <v>71</v>
      </c>
      <c r="R6" s="150" t="s">
        <v>65</v>
      </c>
      <c r="T6" s="62"/>
    </row>
    <row r="7" spans="1:20" ht="18.75" customHeight="1" x14ac:dyDescent="0.15">
      <c r="B7" s="139"/>
      <c r="C7" s="140"/>
      <c r="D7" s="144"/>
      <c r="E7" s="63" t="s">
        <v>51</v>
      </c>
      <c r="F7" s="64" t="s">
        <v>50</v>
      </c>
      <c r="G7" s="65" t="s">
        <v>51</v>
      </c>
      <c r="H7" s="66" t="s">
        <v>50</v>
      </c>
      <c r="I7" s="63" t="s">
        <v>51</v>
      </c>
      <c r="J7" s="64" t="s">
        <v>50</v>
      </c>
      <c r="K7" s="65" t="s">
        <v>51</v>
      </c>
      <c r="L7" s="66" t="s">
        <v>50</v>
      </c>
      <c r="M7" s="63" t="s">
        <v>51</v>
      </c>
      <c r="N7" s="64" t="s">
        <v>50</v>
      </c>
      <c r="O7" s="65" t="s">
        <v>51</v>
      </c>
      <c r="P7" s="66" t="s">
        <v>50</v>
      </c>
      <c r="Q7" s="149"/>
      <c r="R7" s="151"/>
      <c r="T7" s="62"/>
    </row>
    <row r="8" spans="1:20" ht="18.75" customHeight="1" x14ac:dyDescent="0.15">
      <c r="A8" s="28"/>
      <c r="B8" s="133" t="s">
        <v>219</v>
      </c>
      <c r="C8" s="134"/>
      <c r="D8" s="35">
        <v>160</v>
      </c>
      <c r="E8" s="36">
        <v>161</v>
      </c>
      <c r="F8" s="59">
        <v>0</v>
      </c>
      <c r="G8" s="67">
        <v>0</v>
      </c>
      <c r="H8" s="68">
        <v>0</v>
      </c>
      <c r="I8" s="36">
        <v>0</v>
      </c>
      <c r="J8" s="59">
        <v>0</v>
      </c>
      <c r="K8" s="67">
        <v>0</v>
      </c>
      <c r="L8" s="68">
        <v>0</v>
      </c>
      <c r="M8" s="36">
        <v>0</v>
      </c>
      <c r="N8" s="59">
        <v>0</v>
      </c>
      <c r="O8" s="67">
        <v>0</v>
      </c>
      <c r="P8" s="68">
        <v>0</v>
      </c>
      <c r="Q8" s="69">
        <f>E8+G8+I8+K8+M8+O8</f>
        <v>161</v>
      </c>
      <c r="R8" s="61">
        <f>Q8/D8</f>
        <v>1.0062500000000001</v>
      </c>
    </row>
    <row r="9" spans="1:20" ht="18.75" customHeight="1" x14ac:dyDescent="0.15">
      <c r="A9" s="28"/>
      <c r="B9" s="131" t="s">
        <v>214</v>
      </c>
      <c r="C9" s="132"/>
      <c r="D9" s="70">
        <f>36*4</f>
        <v>144</v>
      </c>
      <c r="E9" s="71">
        <v>114</v>
      </c>
      <c r="F9" s="72">
        <v>34</v>
      </c>
      <c r="G9" s="73">
        <v>0</v>
      </c>
      <c r="H9" s="74">
        <v>0</v>
      </c>
      <c r="I9" s="71">
        <v>0</v>
      </c>
      <c r="J9" s="72">
        <v>0</v>
      </c>
      <c r="K9" s="73">
        <v>0</v>
      </c>
      <c r="L9" s="74">
        <v>0</v>
      </c>
      <c r="M9" s="71">
        <v>0</v>
      </c>
      <c r="N9" s="72">
        <v>0</v>
      </c>
      <c r="O9" s="73">
        <v>0</v>
      </c>
      <c r="P9" s="74">
        <v>0</v>
      </c>
      <c r="Q9" s="60">
        <f t="shared" ref="Q9:Q27" si="0">E9+G9+I9+K9+M9+O9</f>
        <v>114</v>
      </c>
      <c r="R9" s="61">
        <f t="shared" ref="R9:R27" si="1">Q9/D9</f>
        <v>0.79166666666666663</v>
      </c>
    </row>
    <row r="10" spans="1:20" ht="18.75" customHeight="1" x14ac:dyDescent="0.15">
      <c r="A10" s="28"/>
      <c r="B10" s="131" t="s">
        <v>215</v>
      </c>
      <c r="C10" s="132"/>
      <c r="D10" s="85">
        <f t="shared" ref="D10" si="2">36*4</f>
        <v>144</v>
      </c>
      <c r="E10" s="71">
        <v>108</v>
      </c>
      <c r="F10" s="72">
        <v>38</v>
      </c>
      <c r="G10" s="73">
        <v>0</v>
      </c>
      <c r="H10" s="74">
        <v>0</v>
      </c>
      <c r="I10" s="71">
        <v>0</v>
      </c>
      <c r="J10" s="72">
        <v>0</v>
      </c>
      <c r="K10" s="73">
        <v>0</v>
      </c>
      <c r="L10" s="74">
        <v>0</v>
      </c>
      <c r="M10" s="71">
        <v>0</v>
      </c>
      <c r="N10" s="72">
        <v>0</v>
      </c>
      <c r="O10" s="73">
        <v>0</v>
      </c>
      <c r="P10" s="74">
        <v>0</v>
      </c>
      <c r="Q10" s="60">
        <f t="shared" si="0"/>
        <v>108</v>
      </c>
      <c r="R10" s="61">
        <f t="shared" si="1"/>
        <v>0.75</v>
      </c>
    </row>
    <row r="11" spans="1:20" ht="18.75" customHeight="1" x14ac:dyDescent="0.15">
      <c r="A11" s="28"/>
      <c r="B11" s="131" t="s">
        <v>216</v>
      </c>
      <c r="C11" s="132"/>
      <c r="D11" s="85">
        <f>38*4</f>
        <v>152</v>
      </c>
      <c r="E11" s="71">
        <v>109</v>
      </c>
      <c r="F11" s="72">
        <v>32</v>
      </c>
      <c r="G11" s="73">
        <v>0</v>
      </c>
      <c r="H11" s="74">
        <v>0</v>
      </c>
      <c r="I11" s="71">
        <v>0</v>
      </c>
      <c r="J11" s="72">
        <v>0</v>
      </c>
      <c r="K11" s="73">
        <v>0</v>
      </c>
      <c r="L11" s="74">
        <v>0</v>
      </c>
      <c r="M11" s="71">
        <v>0</v>
      </c>
      <c r="N11" s="72">
        <v>0</v>
      </c>
      <c r="O11" s="73">
        <v>0</v>
      </c>
      <c r="P11" s="74">
        <v>0</v>
      </c>
      <c r="Q11" s="60">
        <f t="shared" si="0"/>
        <v>109</v>
      </c>
      <c r="R11" s="61">
        <f t="shared" si="1"/>
        <v>0.71710526315789469</v>
      </c>
    </row>
    <row r="12" spans="1:20" ht="18.75" customHeight="1" x14ac:dyDescent="0.15">
      <c r="A12" s="28"/>
      <c r="B12" s="131" t="s">
        <v>217</v>
      </c>
      <c r="C12" s="132"/>
      <c r="D12" s="85">
        <f>24*4</f>
        <v>96</v>
      </c>
      <c r="E12" s="71">
        <v>72</v>
      </c>
      <c r="F12" s="72">
        <v>21</v>
      </c>
      <c r="G12" s="73">
        <v>0</v>
      </c>
      <c r="H12" s="74">
        <v>0</v>
      </c>
      <c r="I12" s="71">
        <v>0</v>
      </c>
      <c r="J12" s="72">
        <v>0</v>
      </c>
      <c r="K12" s="73">
        <v>0</v>
      </c>
      <c r="L12" s="74">
        <v>0</v>
      </c>
      <c r="M12" s="71">
        <v>0</v>
      </c>
      <c r="N12" s="72">
        <v>0</v>
      </c>
      <c r="O12" s="73">
        <v>0</v>
      </c>
      <c r="P12" s="74">
        <v>0</v>
      </c>
      <c r="Q12" s="60">
        <f t="shared" si="0"/>
        <v>72</v>
      </c>
      <c r="R12" s="61">
        <f t="shared" si="1"/>
        <v>0.75</v>
      </c>
    </row>
    <row r="13" spans="1:20" ht="18.75" customHeight="1" x14ac:dyDescent="0.15">
      <c r="A13" s="28"/>
      <c r="B13" s="131" t="s">
        <v>218</v>
      </c>
      <c r="C13" s="132"/>
      <c r="D13" s="85">
        <f>26*4</f>
        <v>104</v>
      </c>
      <c r="E13" s="71">
        <v>69</v>
      </c>
      <c r="F13" s="72">
        <v>21</v>
      </c>
      <c r="G13" s="73">
        <v>0</v>
      </c>
      <c r="H13" s="74">
        <v>0</v>
      </c>
      <c r="I13" s="71">
        <v>0</v>
      </c>
      <c r="J13" s="72">
        <v>0</v>
      </c>
      <c r="K13" s="73">
        <v>0</v>
      </c>
      <c r="L13" s="74">
        <v>0</v>
      </c>
      <c r="M13" s="71">
        <v>0</v>
      </c>
      <c r="N13" s="72">
        <v>0</v>
      </c>
      <c r="O13" s="73">
        <v>0</v>
      </c>
      <c r="P13" s="74">
        <v>0</v>
      </c>
      <c r="Q13" s="60">
        <f t="shared" si="0"/>
        <v>69</v>
      </c>
      <c r="R13" s="61">
        <f t="shared" si="1"/>
        <v>0.66346153846153844</v>
      </c>
    </row>
    <row r="14" spans="1:20" ht="18.75" customHeight="1" x14ac:dyDescent="0.15">
      <c r="A14" s="28"/>
      <c r="B14" s="131"/>
      <c r="C14" s="132"/>
      <c r="D14" s="70"/>
      <c r="E14" s="71"/>
      <c r="F14" s="72"/>
      <c r="G14" s="73"/>
      <c r="H14" s="74"/>
      <c r="I14" s="71"/>
      <c r="J14" s="72"/>
      <c r="K14" s="73"/>
      <c r="L14" s="74"/>
      <c r="M14" s="71"/>
      <c r="N14" s="72"/>
      <c r="O14" s="73"/>
      <c r="P14" s="74"/>
      <c r="Q14" s="60">
        <f t="shared" si="0"/>
        <v>0</v>
      </c>
      <c r="R14" s="61" t="e">
        <f t="shared" si="1"/>
        <v>#DIV/0!</v>
      </c>
    </row>
    <row r="15" spans="1:20" ht="18.75" customHeight="1" x14ac:dyDescent="0.15">
      <c r="A15" s="28"/>
      <c r="B15" s="131"/>
      <c r="C15" s="132"/>
      <c r="D15" s="70"/>
      <c r="E15" s="71"/>
      <c r="F15" s="72"/>
      <c r="G15" s="73"/>
      <c r="H15" s="74"/>
      <c r="I15" s="71"/>
      <c r="J15" s="72"/>
      <c r="K15" s="73"/>
      <c r="L15" s="74"/>
      <c r="M15" s="71"/>
      <c r="N15" s="72"/>
      <c r="O15" s="73"/>
      <c r="P15" s="74"/>
      <c r="Q15" s="60">
        <f t="shared" si="0"/>
        <v>0</v>
      </c>
      <c r="R15" s="61" t="e">
        <f t="shared" si="1"/>
        <v>#DIV/0!</v>
      </c>
    </row>
    <row r="16" spans="1:20" ht="18.75" customHeight="1" x14ac:dyDescent="0.15">
      <c r="A16" s="28"/>
      <c r="B16" s="131"/>
      <c r="C16" s="132"/>
      <c r="D16" s="70"/>
      <c r="E16" s="71"/>
      <c r="F16" s="72"/>
      <c r="G16" s="73"/>
      <c r="H16" s="74"/>
      <c r="I16" s="71"/>
      <c r="J16" s="72"/>
      <c r="K16" s="73"/>
      <c r="L16" s="74"/>
      <c r="M16" s="71"/>
      <c r="N16" s="72"/>
      <c r="O16" s="73"/>
      <c r="P16" s="74"/>
      <c r="Q16" s="60">
        <f>E16+G16+I16+K16+M16+O16</f>
        <v>0</v>
      </c>
      <c r="R16" s="61" t="e">
        <f t="shared" si="1"/>
        <v>#DIV/0!</v>
      </c>
    </row>
    <row r="17" spans="1:18" ht="18.75" customHeight="1" x14ac:dyDescent="0.15">
      <c r="A17" s="28"/>
      <c r="B17" s="131"/>
      <c r="C17" s="132"/>
      <c r="D17" s="70"/>
      <c r="E17" s="71"/>
      <c r="F17" s="72"/>
      <c r="G17" s="73"/>
      <c r="H17" s="74"/>
      <c r="I17" s="71"/>
      <c r="J17" s="72"/>
      <c r="K17" s="73"/>
      <c r="L17" s="74"/>
      <c r="M17" s="71"/>
      <c r="N17" s="72"/>
      <c r="O17" s="73"/>
      <c r="P17" s="74"/>
      <c r="Q17" s="60">
        <f t="shared" si="0"/>
        <v>0</v>
      </c>
      <c r="R17" s="61" t="e">
        <f t="shared" si="1"/>
        <v>#DIV/0!</v>
      </c>
    </row>
    <row r="18" spans="1:18" ht="18.75" customHeight="1" x14ac:dyDescent="0.15">
      <c r="A18" s="28"/>
      <c r="B18" s="131"/>
      <c r="C18" s="132"/>
      <c r="D18" s="70"/>
      <c r="E18" s="71"/>
      <c r="F18" s="72"/>
      <c r="G18" s="73"/>
      <c r="H18" s="74"/>
      <c r="I18" s="71"/>
      <c r="J18" s="72"/>
      <c r="K18" s="73"/>
      <c r="L18" s="74"/>
      <c r="M18" s="71"/>
      <c r="N18" s="72"/>
      <c r="O18" s="73"/>
      <c r="P18" s="74"/>
      <c r="Q18" s="60">
        <f t="shared" si="0"/>
        <v>0</v>
      </c>
      <c r="R18" s="61" t="e">
        <f t="shared" si="1"/>
        <v>#DIV/0!</v>
      </c>
    </row>
    <row r="19" spans="1:18" ht="18.75" customHeight="1" x14ac:dyDescent="0.15">
      <c r="A19" s="28"/>
      <c r="B19" s="131"/>
      <c r="C19" s="132"/>
      <c r="D19" s="70"/>
      <c r="E19" s="71"/>
      <c r="F19" s="72"/>
      <c r="G19" s="73"/>
      <c r="H19" s="74"/>
      <c r="I19" s="71"/>
      <c r="J19" s="72"/>
      <c r="K19" s="73"/>
      <c r="L19" s="74"/>
      <c r="M19" s="71"/>
      <c r="N19" s="72"/>
      <c r="O19" s="73"/>
      <c r="P19" s="74"/>
      <c r="Q19" s="60">
        <f t="shared" si="0"/>
        <v>0</v>
      </c>
      <c r="R19" s="61" t="e">
        <f t="shared" si="1"/>
        <v>#DIV/0!</v>
      </c>
    </row>
    <row r="20" spans="1:18" ht="18.75" customHeight="1" x14ac:dyDescent="0.15">
      <c r="A20" s="28"/>
      <c r="B20" s="131"/>
      <c r="C20" s="132"/>
      <c r="D20" s="70"/>
      <c r="E20" s="71"/>
      <c r="F20" s="72"/>
      <c r="G20" s="73"/>
      <c r="H20" s="74"/>
      <c r="I20" s="71"/>
      <c r="J20" s="72"/>
      <c r="K20" s="73"/>
      <c r="L20" s="74"/>
      <c r="M20" s="71"/>
      <c r="N20" s="72"/>
      <c r="O20" s="73"/>
      <c r="P20" s="74"/>
      <c r="Q20" s="60">
        <f t="shared" si="0"/>
        <v>0</v>
      </c>
      <c r="R20" s="61" t="e">
        <f t="shared" si="1"/>
        <v>#DIV/0!</v>
      </c>
    </row>
    <row r="21" spans="1:18" ht="18.75" customHeight="1" x14ac:dyDescent="0.15">
      <c r="A21" s="28"/>
      <c r="B21" s="131"/>
      <c r="C21" s="132"/>
      <c r="D21" s="70"/>
      <c r="E21" s="71"/>
      <c r="F21" s="72"/>
      <c r="G21" s="73"/>
      <c r="H21" s="74"/>
      <c r="I21" s="71"/>
      <c r="J21" s="72"/>
      <c r="K21" s="73"/>
      <c r="L21" s="74"/>
      <c r="M21" s="71"/>
      <c r="N21" s="72"/>
      <c r="O21" s="73"/>
      <c r="P21" s="74"/>
      <c r="Q21" s="60">
        <f t="shared" si="0"/>
        <v>0</v>
      </c>
      <c r="R21" s="61" t="e">
        <f t="shared" si="1"/>
        <v>#DIV/0!</v>
      </c>
    </row>
    <row r="22" spans="1:18" ht="18.75" customHeight="1" x14ac:dyDescent="0.15">
      <c r="A22" s="28"/>
      <c r="B22" s="131"/>
      <c r="C22" s="132"/>
      <c r="D22" s="70"/>
      <c r="E22" s="71"/>
      <c r="F22" s="72"/>
      <c r="G22" s="73"/>
      <c r="H22" s="74"/>
      <c r="I22" s="71"/>
      <c r="J22" s="72"/>
      <c r="K22" s="73"/>
      <c r="L22" s="74"/>
      <c r="M22" s="71"/>
      <c r="N22" s="72"/>
      <c r="O22" s="73"/>
      <c r="P22" s="74"/>
      <c r="Q22" s="60">
        <f t="shared" si="0"/>
        <v>0</v>
      </c>
      <c r="R22" s="61" t="e">
        <f t="shared" si="1"/>
        <v>#DIV/0!</v>
      </c>
    </row>
    <row r="23" spans="1:18" ht="18.75" customHeight="1" x14ac:dyDescent="0.15">
      <c r="A23" s="28"/>
      <c r="B23" s="131"/>
      <c r="C23" s="132"/>
      <c r="D23" s="70"/>
      <c r="E23" s="71"/>
      <c r="F23" s="72"/>
      <c r="G23" s="73"/>
      <c r="H23" s="74"/>
      <c r="I23" s="71"/>
      <c r="J23" s="72"/>
      <c r="K23" s="73"/>
      <c r="L23" s="74"/>
      <c r="M23" s="71"/>
      <c r="N23" s="72"/>
      <c r="O23" s="73"/>
      <c r="P23" s="74"/>
      <c r="Q23" s="60">
        <f t="shared" si="0"/>
        <v>0</v>
      </c>
      <c r="R23" s="61" t="e">
        <f t="shared" si="1"/>
        <v>#DIV/0!</v>
      </c>
    </row>
    <row r="24" spans="1:18" ht="18.75" customHeight="1" x14ac:dyDescent="0.15">
      <c r="A24" s="28"/>
      <c r="B24" s="131"/>
      <c r="C24" s="132"/>
      <c r="D24" s="70"/>
      <c r="E24" s="71"/>
      <c r="F24" s="72"/>
      <c r="G24" s="73"/>
      <c r="H24" s="74"/>
      <c r="I24" s="71"/>
      <c r="J24" s="72"/>
      <c r="K24" s="73"/>
      <c r="L24" s="74"/>
      <c r="M24" s="71"/>
      <c r="N24" s="72"/>
      <c r="O24" s="73"/>
      <c r="P24" s="74"/>
      <c r="Q24" s="60">
        <f t="shared" si="0"/>
        <v>0</v>
      </c>
      <c r="R24" s="61" t="e">
        <f t="shared" si="1"/>
        <v>#DIV/0!</v>
      </c>
    </row>
    <row r="25" spans="1:18" ht="18.75" customHeight="1" x14ac:dyDescent="0.15">
      <c r="A25" s="28"/>
      <c r="B25" s="131"/>
      <c r="C25" s="132"/>
      <c r="D25" s="70"/>
      <c r="E25" s="71"/>
      <c r="F25" s="72"/>
      <c r="G25" s="73"/>
      <c r="H25" s="74"/>
      <c r="I25" s="71"/>
      <c r="J25" s="72"/>
      <c r="K25" s="73"/>
      <c r="L25" s="74"/>
      <c r="M25" s="71"/>
      <c r="N25" s="72"/>
      <c r="O25" s="73"/>
      <c r="P25" s="74"/>
      <c r="Q25" s="60">
        <f t="shared" si="0"/>
        <v>0</v>
      </c>
      <c r="R25" s="61" t="e">
        <f t="shared" si="1"/>
        <v>#DIV/0!</v>
      </c>
    </row>
    <row r="26" spans="1:18" ht="18.75" customHeight="1" x14ac:dyDescent="0.15">
      <c r="A26" s="28"/>
      <c r="B26" s="131"/>
      <c r="C26" s="132"/>
      <c r="D26" s="70"/>
      <c r="E26" s="71"/>
      <c r="F26" s="72"/>
      <c r="G26" s="73"/>
      <c r="H26" s="74"/>
      <c r="I26" s="71"/>
      <c r="J26" s="72"/>
      <c r="K26" s="73"/>
      <c r="L26" s="74"/>
      <c r="M26" s="71"/>
      <c r="N26" s="72"/>
      <c r="O26" s="73"/>
      <c r="P26" s="74"/>
      <c r="Q26" s="60">
        <f t="shared" si="0"/>
        <v>0</v>
      </c>
      <c r="R26" s="61" t="e">
        <f t="shared" si="1"/>
        <v>#DIV/0!</v>
      </c>
    </row>
    <row r="27" spans="1:18" ht="18.75" customHeight="1" thickBot="1" x14ac:dyDescent="0.2">
      <c r="A27" s="28"/>
      <c r="B27" s="141"/>
      <c r="C27" s="142"/>
      <c r="D27" s="35"/>
      <c r="E27" s="36"/>
      <c r="F27" s="59"/>
      <c r="G27" s="67"/>
      <c r="H27" s="68"/>
      <c r="I27" s="36"/>
      <c r="J27" s="59"/>
      <c r="K27" s="67"/>
      <c r="L27" s="68"/>
      <c r="M27" s="36"/>
      <c r="N27" s="59"/>
      <c r="O27" s="67"/>
      <c r="P27" s="68"/>
      <c r="Q27" s="75">
        <f t="shared" si="0"/>
        <v>0</v>
      </c>
      <c r="R27" s="61" t="e">
        <f t="shared" si="1"/>
        <v>#DIV/0!</v>
      </c>
    </row>
    <row r="28" spans="1:18" ht="18.75" customHeight="1" thickTop="1" x14ac:dyDescent="0.15">
      <c r="A28" s="28"/>
      <c r="B28" s="135" t="s">
        <v>66</v>
      </c>
      <c r="C28" s="136"/>
      <c r="D28" s="76">
        <f t="shared" ref="D28:Q28" si="3">SUM(D8:D27)</f>
        <v>800</v>
      </c>
      <c r="E28" s="77">
        <f t="shared" si="3"/>
        <v>633</v>
      </c>
      <c r="F28" s="78">
        <f t="shared" si="3"/>
        <v>146</v>
      </c>
      <c r="G28" s="79">
        <f t="shared" si="3"/>
        <v>0</v>
      </c>
      <c r="H28" s="80">
        <f t="shared" si="3"/>
        <v>0</v>
      </c>
      <c r="I28" s="77">
        <f t="shared" si="3"/>
        <v>0</v>
      </c>
      <c r="J28" s="78">
        <f t="shared" si="3"/>
        <v>0</v>
      </c>
      <c r="K28" s="79">
        <f t="shared" si="3"/>
        <v>0</v>
      </c>
      <c r="L28" s="80">
        <f t="shared" si="3"/>
        <v>0</v>
      </c>
      <c r="M28" s="77">
        <f t="shared" si="3"/>
        <v>0</v>
      </c>
      <c r="N28" s="78">
        <f t="shared" si="3"/>
        <v>0</v>
      </c>
      <c r="O28" s="79">
        <f t="shared" si="3"/>
        <v>0</v>
      </c>
      <c r="P28" s="80">
        <f t="shared" si="3"/>
        <v>0</v>
      </c>
      <c r="Q28" s="81">
        <f t="shared" si="3"/>
        <v>633</v>
      </c>
      <c r="R28" s="82">
        <f>Q28/D28</f>
        <v>0.79125000000000001</v>
      </c>
    </row>
    <row r="29" spans="1:18" ht="6.75" customHeight="1" x14ac:dyDescent="0.15">
      <c r="A29" s="28"/>
      <c r="B29" s="28"/>
      <c r="C29" s="28"/>
      <c r="D29" s="83"/>
      <c r="E29" s="83"/>
      <c r="F29" s="83"/>
      <c r="G29" s="83"/>
      <c r="H29" s="83"/>
      <c r="I29" s="83"/>
      <c r="J29" s="83"/>
      <c r="K29" s="83"/>
      <c r="L29" s="83"/>
      <c r="M29" s="83"/>
      <c r="N29" s="83"/>
      <c r="O29" s="83"/>
      <c r="P29" s="83"/>
      <c r="Q29" s="83"/>
      <c r="R29" s="83"/>
    </row>
  </sheetData>
  <mergeCells count="34">
    <mergeCell ref="F1:R1"/>
    <mergeCell ref="K2:L2"/>
    <mergeCell ref="D6:D7"/>
    <mergeCell ref="E6:F6"/>
    <mergeCell ref="G6:H6"/>
    <mergeCell ref="I6:J6"/>
    <mergeCell ref="K6:L6"/>
    <mergeCell ref="M6:N6"/>
    <mergeCell ref="O6:P6"/>
    <mergeCell ref="Q6:Q7"/>
    <mergeCell ref="R6:R7"/>
    <mergeCell ref="A4:R4"/>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B18:C18"/>
    <mergeCell ref="B8:C8"/>
    <mergeCell ref="B9:C9"/>
    <mergeCell ref="B10:C10"/>
    <mergeCell ref="B11:C11"/>
    <mergeCell ref="B12:C12"/>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50"/>
  <sheetViews>
    <sheetView view="pageBreakPreview" zoomScaleNormal="145" zoomScaleSheetLayoutView="100" workbookViewId="0"/>
  </sheetViews>
  <sheetFormatPr defaultColWidth="9" defaultRowHeight="14.25" x14ac:dyDescent="0.15"/>
  <cols>
    <col min="1" max="1" width="2.5" style="4" customWidth="1"/>
    <col min="2" max="2" width="19" style="4" customWidth="1"/>
    <col min="3" max="3" width="25" style="4" customWidth="1"/>
    <col min="4" max="4" width="10" style="4" customWidth="1"/>
    <col min="5" max="7" width="25" style="4" customWidth="1"/>
    <col min="8" max="16384" width="9" style="4"/>
  </cols>
  <sheetData>
    <row r="1" spans="1:7" ht="18.75" customHeight="1" x14ac:dyDescent="0.15">
      <c r="G1" s="16" t="s">
        <v>166</v>
      </c>
    </row>
    <row r="2" spans="1:7" ht="18.75" customHeight="1" x14ac:dyDescent="0.15">
      <c r="F2" s="16" t="s">
        <v>74</v>
      </c>
      <c r="G2" s="4" t="s">
        <v>150</v>
      </c>
    </row>
    <row r="3" spans="1:7" ht="18.75" customHeight="1" x14ac:dyDescent="0.15">
      <c r="A3" s="106" t="s">
        <v>94</v>
      </c>
      <c r="B3" s="106"/>
      <c r="C3" s="106"/>
      <c r="D3" s="106"/>
      <c r="E3" s="106"/>
      <c r="F3" s="106"/>
      <c r="G3" s="106"/>
    </row>
    <row r="4" spans="1:7" ht="18.75" customHeight="1" x14ac:dyDescent="0.15">
      <c r="A4" s="4" t="s">
        <v>6</v>
      </c>
      <c r="B4" s="4" t="s">
        <v>93</v>
      </c>
    </row>
    <row r="5" spans="1:7" s="31" customFormat="1" ht="18.75" customHeight="1" x14ac:dyDescent="0.15">
      <c r="B5" s="32" t="s">
        <v>73</v>
      </c>
      <c r="C5" s="89" t="s">
        <v>106</v>
      </c>
      <c r="D5" s="90"/>
      <c r="E5" s="90"/>
      <c r="F5" s="90"/>
      <c r="G5" s="91"/>
    </row>
    <row r="6" spans="1:7" s="31" customFormat="1" ht="45" customHeight="1" x14ac:dyDescent="0.15">
      <c r="B6" s="158" t="s">
        <v>109</v>
      </c>
      <c r="C6" s="170" t="s">
        <v>164</v>
      </c>
      <c r="D6" s="171"/>
      <c r="E6" s="171"/>
      <c r="F6" s="171"/>
      <c r="G6" s="172"/>
    </row>
    <row r="7" spans="1:7" s="31" customFormat="1" ht="45" customHeight="1" x14ac:dyDescent="0.15">
      <c r="B7" s="159"/>
      <c r="C7" s="173"/>
      <c r="D7" s="174"/>
      <c r="E7" s="174"/>
      <c r="F7" s="174"/>
      <c r="G7" s="175"/>
    </row>
    <row r="8" spans="1:7" s="31" customFormat="1" ht="45" customHeight="1" x14ac:dyDescent="0.15">
      <c r="B8" s="159"/>
      <c r="C8" s="173"/>
      <c r="D8" s="174"/>
      <c r="E8" s="174"/>
      <c r="F8" s="174"/>
      <c r="G8" s="175"/>
    </row>
    <row r="9" spans="1:7" s="31" customFormat="1" ht="45" customHeight="1" x14ac:dyDescent="0.15">
      <c r="B9" s="159"/>
      <c r="C9" s="176"/>
      <c r="D9" s="177"/>
      <c r="E9" s="177"/>
      <c r="F9" s="177"/>
      <c r="G9" s="178"/>
    </row>
    <row r="10" spans="1:7" s="31" customFormat="1" ht="18.75" customHeight="1" x14ac:dyDescent="0.15">
      <c r="B10" s="159"/>
      <c r="C10" s="39" t="s">
        <v>107</v>
      </c>
      <c r="D10" s="152" t="s">
        <v>108</v>
      </c>
      <c r="E10" s="153"/>
      <c r="F10" s="153"/>
      <c r="G10" s="154"/>
    </row>
    <row r="11" spans="1:7" s="31" customFormat="1" ht="18.75" customHeight="1" x14ac:dyDescent="0.15">
      <c r="B11" s="159"/>
      <c r="C11" s="27" t="s">
        <v>135</v>
      </c>
      <c r="D11" s="155" t="s">
        <v>156</v>
      </c>
      <c r="E11" s="156"/>
      <c r="F11" s="156"/>
      <c r="G11" s="157"/>
    </row>
    <row r="12" spans="1:7" s="31" customFormat="1" ht="18.75" customHeight="1" x14ac:dyDescent="0.15">
      <c r="B12" s="159"/>
      <c r="C12" s="27"/>
      <c r="D12" s="94"/>
      <c r="E12" s="95"/>
      <c r="F12" s="95"/>
      <c r="G12" s="96"/>
    </row>
    <row r="13" spans="1:7" s="31" customFormat="1" ht="18.75" customHeight="1" x14ac:dyDescent="0.15">
      <c r="B13" s="159"/>
      <c r="C13" s="27"/>
      <c r="D13" s="94"/>
      <c r="E13" s="95"/>
      <c r="F13" s="95"/>
      <c r="G13" s="96"/>
    </row>
    <row r="14" spans="1:7" s="31" customFormat="1" ht="18.75" customHeight="1" x14ac:dyDescent="0.15">
      <c r="B14" s="159"/>
      <c r="C14" s="27"/>
      <c r="D14" s="94"/>
      <c r="E14" s="95"/>
      <c r="F14" s="95"/>
      <c r="G14" s="96"/>
    </row>
    <row r="15" spans="1:7" s="31" customFormat="1" ht="18.75" customHeight="1" x14ac:dyDescent="0.15">
      <c r="B15" s="159"/>
      <c r="C15" s="32"/>
      <c r="D15" s="89"/>
      <c r="E15" s="90"/>
      <c r="F15" s="90"/>
      <c r="G15" s="91"/>
    </row>
    <row r="16" spans="1:7" s="31" customFormat="1" ht="18.75" customHeight="1" x14ac:dyDescent="0.15">
      <c r="B16" s="159"/>
      <c r="C16" s="32"/>
      <c r="D16" s="89"/>
      <c r="E16" s="90"/>
      <c r="F16" s="90"/>
      <c r="G16" s="91"/>
    </row>
    <row r="17" spans="2:7" s="31" customFormat="1" ht="18.75" customHeight="1" x14ac:dyDescent="0.15">
      <c r="B17" s="159"/>
      <c r="C17" s="32"/>
      <c r="D17" s="89"/>
      <c r="E17" s="90"/>
      <c r="F17" s="90"/>
      <c r="G17" s="91"/>
    </row>
    <row r="18" spans="2:7" s="31" customFormat="1" ht="18.75" customHeight="1" x14ac:dyDescent="0.15">
      <c r="B18" s="159"/>
      <c r="C18" s="32"/>
      <c r="D18" s="89"/>
      <c r="E18" s="90"/>
      <c r="F18" s="90"/>
      <c r="G18" s="91"/>
    </row>
    <row r="19" spans="2:7" s="31" customFormat="1" ht="18.75" customHeight="1" x14ac:dyDescent="0.15">
      <c r="B19" s="159"/>
      <c r="C19" s="32"/>
      <c r="D19" s="89"/>
      <c r="E19" s="90"/>
      <c r="F19" s="90"/>
      <c r="G19" s="91"/>
    </row>
    <row r="20" spans="2:7" s="31" customFormat="1" ht="18.75" customHeight="1" x14ac:dyDescent="0.15">
      <c r="B20" s="159"/>
      <c r="C20" s="32"/>
      <c r="D20" s="89"/>
      <c r="E20" s="90"/>
      <c r="F20" s="90"/>
      <c r="G20" s="91"/>
    </row>
    <row r="21" spans="2:7" s="31" customFormat="1" ht="18.75" customHeight="1" x14ac:dyDescent="0.15">
      <c r="B21" s="159"/>
      <c r="C21" s="32"/>
      <c r="D21" s="89"/>
      <c r="E21" s="90"/>
      <c r="F21" s="90"/>
      <c r="G21" s="91"/>
    </row>
    <row r="22" spans="2:7" s="31" customFormat="1" ht="18.75" customHeight="1" x14ac:dyDescent="0.15">
      <c r="B22" s="159"/>
      <c r="C22" s="32"/>
      <c r="D22" s="89"/>
      <c r="E22" s="90"/>
      <c r="F22" s="90"/>
      <c r="G22" s="91"/>
    </row>
    <row r="23" spans="2:7" s="31" customFormat="1" ht="18.75" customHeight="1" x14ac:dyDescent="0.15">
      <c r="B23" s="159"/>
      <c r="C23" s="32"/>
      <c r="D23" s="89"/>
      <c r="E23" s="90"/>
      <c r="F23" s="90"/>
      <c r="G23" s="91"/>
    </row>
    <row r="24" spans="2:7" s="31" customFormat="1" ht="18.75" customHeight="1" x14ac:dyDescent="0.15">
      <c r="B24" s="159"/>
      <c r="C24" s="32"/>
      <c r="D24" s="89"/>
      <c r="E24" s="90"/>
      <c r="F24" s="90"/>
      <c r="G24" s="91"/>
    </row>
    <row r="25" spans="2:7" s="31" customFormat="1" ht="18.75" customHeight="1" x14ac:dyDescent="0.15">
      <c r="B25" s="160"/>
      <c r="C25" s="32"/>
      <c r="D25" s="89"/>
      <c r="E25" s="90"/>
      <c r="F25" s="90"/>
      <c r="G25" s="91"/>
    </row>
    <row r="26" spans="2:7" ht="18.75" customHeight="1" x14ac:dyDescent="0.15">
      <c r="B26" s="158" t="s">
        <v>110</v>
      </c>
      <c r="C26" s="89" t="s">
        <v>106</v>
      </c>
      <c r="D26" s="90"/>
      <c r="E26" s="90"/>
      <c r="F26" s="90"/>
      <c r="G26" s="91"/>
    </row>
    <row r="27" spans="2:7" ht="37.5" customHeight="1" x14ac:dyDescent="0.15">
      <c r="B27" s="159"/>
      <c r="C27" s="161" t="s">
        <v>157</v>
      </c>
      <c r="D27" s="162"/>
      <c r="E27" s="162"/>
      <c r="F27" s="162"/>
      <c r="G27" s="163"/>
    </row>
    <row r="28" spans="2:7" ht="37.5" customHeight="1" x14ac:dyDescent="0.15">
      <c r="B28" s="159"/>
      <c r="C28" s="164"/>
      <c r="D28" s="165"/>
      <c r="E28" s="165"/>
      <c r="F28" s="165"/>
      <c r="G28" s="166"/>
    </row>
    <row r="29" spans="2:7" ht="37.5" customHeight="1" x14ac:dyDescent="0.15">
      <c r="B29" s="159"/>
      <c r="C29" s="164"/>
      <c r="D29" s="165"/>
      <c r="E29" s="165"/>
      <c r="F29" s="165"/>
      <c r="G29" s="166"/>
    </row>
    <row r="30" spans="2:7" ht="37.5" customHeight="1" x14ac:dyDescent="0.15">
      <c r="B30" s="159"/>
      <c r="C30" s="164"/>
      <c r="D30" s="165"/>
      <c r="E30" s="165"/>
      <c r="F30" s="165"/>
      <c r="G30" s="166"/>
    </row>
    <row r="31" spans="2:7" ht="37.5" customHeight="1" x14ac:dyDescent="0.15">
      <c r="B31" s="159"/>
      <c r="C31" s="167"/>
      <c r="D31" s="168"/>
      <c r="E31" s="168"/>
      <c r="F31" s="168"/>
      <c r="G31" s="169"/>
    </row>
    <row r="32" spans="2:7" ht="18.75" customHeight="1" x14ac:dyDescent="0.15">
      <c r="B32" s="159"/>
      <c r="C32" s="39" t="s">
        <v>107</v>
      </c>
      <c r="D32" s="89" t="s">
        <v>108</v>
      </c>
      <c r="E32" s="90"/>
      <c r="F32" s="90"/>
      <c r="G32" s="91"/>
    </row>
    <row r="33" spans="2:7" ht="18.75" customHeight="1" x14ac:dyDescent="0.15">
      <c r="B33" s="159"/>
      <c r="C33" s="32" t="s">
        <v>135</v>
      </c>
      <c r="D33" s="155" t="s">
        <v>142</v>
      </c>
      <c r="E33" s="156"/>
      <c r="F33" s="156"/>
      <c r="G33" s="157"/>
    </row>
    <row r="34" spans="2:7" ht="18.75" customHeight="1" x14ac:dyDescent="0.15">
      <c r="B34" s="159"/>
      <c r="C34" s="32"/>
      <c r="D34" s="94"/>
      <c r="E34" s="95"/>
      <c r="F34" s="95"/>
      <c r="G34" s="96"/>
    </row>
    <row r="35" spans="2:7" ht="18.75" customHeight="1" x14ac:dyDescent="0.15">
      <c r="B35" s="159"/>
      <c r="C35" s="32"/>
      <c r="D35" s="94"/>
      <c r="E35" s="95"/>
      <c r="F35" s="95"/>
      <c r="G35" s="96"/>
    </row>
    <row r="36" spans="2:7" ht="18.75" customHeight="1" x14ac:dyDescent="0.15">
      <c r="B36" s="159"/>
      <c r="C36" s="32"/>
      <c r="D36" s="94"/>
      <c r="E36" s="95"/>
      <c r="F36" s="95"/>
      <c r="G36" s="96"/>
    </row>
    <row r="37" spans="2:7" ht="18.75" customHeight="1" x14ac:dyDescent="0.15">
      <c r="B37" s="159"/>
      <c r="C37" s="32"/>
      <c r="D37" s="94"/>
      <c r="E37" s="95"/>
      <c r="F37" s="95"/>
      <c r="G37" s="96"/>
    </row>
    <row r="38" spans="2:7" ht="18.75" customHeight="1" x14ac:dyDescent="0.15">
      <c r="B38" s="159"/>
      <c r="C38" s="32"/>
      <c r="D38" s="94"/>
      <c r="E38" s="95"/>
      <c r="F38" s="95"/>
      <c r="G38" s="96"/>
    </row>
    <row r="39" spans="2:7" ht="18.75" customHeight="1" x14ac:dyDescent="0.15">
      <c r="B39" s="159"/>
      <c r="C39" s="32"/>
      <c r="D39" s="94"/>
      <c r="E39" s="95"/>
      <c r="F39" s="95"/>
      <c r="G39" s="96"/>
    </row>
    <row r="40" spans="2:7" ht="18.75" customHeight="1" x14ac:dyDescent="0.15">
      <c r="B40" s="159"/>
      <c r="C40" s="32"/>
      <c r="D40" s="94"/>
      <c r="E40" s="95"/>
      <c r="F40" s="95"/>
      <c r="G40" s="96"/>
    </row>
    <row r="41" spans="2:7" ht="18.75" customHeight="1" x14ac:dyDescent="0.15">
      <c r="B41" s="159"/>
      <c r="C41" s="32"/>
      <c r="D41" s="94"/>
      <c r="E41" s="95"/>
      <c r="F41" s="95"/>
      <c r="G41" s="96"/>
    </row>
    <row r="42" spans="2:7" ht="18.75" customHeight="1" x14ac:dyDescent="0.15">
      <c r="B42" s="159"/>
      <c r="C42" s="32"/>
      <c r="D42" s="94"/>
      <c r="E42" s="95"/>
      <c r="F42" s="95"/>
      <c r="G42" s="96"/>
    </row>
    <row r="43" spans="2:7" ht="18.75" customHeight="1" x14ac:dyDescent="0.15">
      <c r="B43" s="159"/>
      <c r="C43" s="32"/>
      <c r="D43" s="94"/>
      <c r="E43" s="95"/>
      <c r="F43" s="95"/>
      <c r="G43" s="96"/>
    </row>
    <row r="44" spans="2:7" ht="18.75" customHeight="1" x14ac:dyDescent="0.15">
      <c r="B44" s="159"/>
      <c r="C44" s="32"/>
      <c r="D44" s="94"/>
      <c r="E44" s="95"/>
      <c r="F44" s="95"/>
      <c r="G44" s="96"/>
    </row>
    <row r="45" spans="2:7" ht="18.75" customHeight="1" x14ac:dyDescent="0.15">
      <c r="B45" s="159"/>
      <c r="C45" s="32"/>
      <c r="D45" s="94"/>
      <c r="E45" s="95"/>
      <c r="F45" s="95"/>
      <c r="G45" s="96"/>
    </row>
    <row r="46" spans="2:7" ht="18.75" customHeight="1" x14ac:dyDescent="0.15">
      <c r="B46" s="159"/>
      <c r="C46" s="32"/>
      <c r="D46" s="94"/>
      <c r="E46" s="95"/>
      <c r="F46" s="95"/>
      <c r="G46" s="96"/>
    </row>
    <row r="47" spans="2:7" ht="18.75" customHeight="1" x14ac:dyDescent="0.15">
      <c r="B47" s="159"/>
      <c r="C47" s="32"/>
      <c r="D47" s="94"/>
      <c r="E47" s="95"/>
      <c r="F47" s="95"/>
      <c r="G47" s="96"/>
    </row>
    <row r="48" spans="2:7" ht="18.75" customHeight="1" x14ac:dyDescent="0.15">
      <c r="B48" s="159"/>
      <c r="C48" s="32"/>
      <c r="D48" s="94"/>
      <c r="E48" s="95"/>
      <c r="F48" s="95"/>
      <c r="G48" s="96"/>
    </row>
    <row r="49" spans="2:7" ht="18.75" customHeight="1" x14ac:dyDescent="0.15">
      <c r="B49" s="159"/>
      <c r="C49" s="32"/>
      <c r="D49" s="94"/>
      <c r="E49" s="95"/>
      <c r="F49" s="95"/>
      <c r="G49" s="96"/>
    </row>
    <row r="50" spans="2:7" ht="18.75" customHeight="1" x14ac:dyDescent="0.15">
      <c r="B50" s="160"/>
      <c r="C50" s="32"/>
      <c r="D50" s="94"/>
      <c r="E50" s="95"/>
      <c r="F50" s="95"/>
      <c r="G50" s="96"/>
    </row>
    <row r="51" spans="2:7" ht="18.75" customHeight="1" x14ac:dyDescent="0.15">
      <c r="B51" s="158" t="s">
        <v>112</v>
      </c>
      <c r="C51" s="89" t="s">
        <v>106</v>
      </c>
      <c r="D51" s="90"/>
      <c r="E51" s="90"/>
      <c r="F51" s="90"/>
      <c r="G51" s="91"/>
    </row>
    <row r="52" spans="2:7" ht="37.5" customHeight="1" x14ac:dyDescent="0.15">
      <c r="B52" s="159"/>
      <c r="C52" s="161" t="s">
        <v>163</v>
      </c>
      <c r="D52" s="162"/>
      <c r="E52" s="162"/>
      <c r="F52" s="162"/>
      <c r="G52" s="163"/>
    </row>
    <row r="53" spans="2:7" ht="37.5" customHeight="1" x14ac:dyDescent="0.15">
      <c r="B53" s="159"/>
      <c r="C53" s="164"/>
      <c r="D53" s="165"/>
      <c r="E53" s="165"/>
      <c r="F53" s="165"/>
      <c r="G53" s="166"/>
    </row>
    <row r="54" spans="2:7" ht="37.5" customHeight="1" x14ac:dyDescent="0.15">
      <c r="B54" s="159"/>
      <c r="C54" s="164"/>
      <c r="D54" s="165"/>
      <c r="E54" s="165"/>
      <c r="F54" s="165"/>
      <c r="G54" s="166"/>
    </row>
    <row r="55" spans="2:7" ht="37.5" customHeight="1" x14ac:dyDescent="0.15">
      <c r="B55" s="159"/>
      <c r="C55" s="164"/>
      <c r="D55" s="165"/>
      <c r="E55" s="165"/>
      <c r="F55" s="165"/>
      <c r="G55" s="166"/>
    </row>
    <row r="56" spans="2:7" ht="37.5" customHeight="1" x14ac:dyDescent="0.15">
      <c r="B56" s="159"/>
      <c r="C56" s="167"/>
      <c r="D56" s="168"/>
      <c r="E56" s="168"/>
      <c r="F56" s="168"/>
      <c r="G56" s="169"/>
    </row>
    <row r="57" spans="2:7" ht="18.75" customHeight="1" x14ac:dyDescent="0.15">
      <c r="B57" s="159"/>
      <c r="C57" s="39" t="s">
        <v>107</v>
      </c>
      <c r="D57" s="89" t="s">
        <v>108</v>
      </c>
      <c r="E57" s="90"/>
      <c r="F57" s="90"/>
      <c r="G57" s="91"/>
    </row>
    <row r="58" spans="2:7" ht="18.75" customHeight="1" x14ac:dyDescent="0.15">
      <c r="B58" s="159"/>
      <c r="C58" s="32" t="s">
        <v>143</v>
      </c>
      <c r="D58" s="155" t="s">
        <v>160</v>
      </c>
      <c r="E58" s="156"/>
      <c r="F58" s="156"/>
      <c r="G58" s="157"/>
    </row>
    <row r="59" spans="2:7" ht="18.75" customHeight="1" x14ac:dyDescent="0.15">
      <c r="B59" s="159"/>
      <c r="C59" s="32" t="s">
        <v>144</v>
      </c>
      <c r="D59" s="155" t="s">
        <v>149</v>
      </c>
      <c r="E59" s="156"/>
      <c r="F59" s="156"/>
      <c r="G59" s="157"/>
    </row>
    <row r="60" spans="2:7" ht="18.75" customHeight="1" x14ac:dyDescent="0.15">
      <c r="B60" s="159"/>
      <c r="C60" s="32"/>
      <c r="D60" s="94"/>
      <c r="E60" s="95"/>
      <c r="F60" s="95"/>
      <c r="G60" s="96"/>
    </row>
    <row r="61" spans="2:7" ht="18.75" customHeight="1" x14ac:dyDescent="0.15">
      <c r="B61" s="159"/>
      <c r="C61" s="32"/>
      <c r="D61" s="94"/>
      <c r="E61" s="95"/>
      <c r="F61" s="95"/>
      <c r="G61" s="96"/>
    </row>
    <row r="62" spans="2:7" ht="18.75" customHeight="1" x14ac:dyDescent="0.15">
      <c r="B62" s="159"/>
      <c r="C62" s="32"/>
      <c r="D62" s="94"/>
      <c r="E62" s="95"/>
      <c r="F62" s="95"/>
      <c r="G62" s="96"/>
    </row>
    <row r="63" spans="2:7" ht="18.75" customHeight="1" x14ac:dyDescent="0.15">
      <c r="B63" s="159"/>
      <c r="C63" s="32"/>
      <c r="D63" s="94"/>
      <c r="E63" s="95"/>
      <c r="F63" s="95"/>
      <c r="G63" s="96"/>
    </row>
    <row r="64" spans="2:7" ht="18.75" customHeight="1" x14ac:dyDescent="0.15">
      <c r="B64" s="159"/>
      <c r="C64" s="32"/>
      <c r="D64" s="94"/>
      <c r="E64" s="95"/>
      <c r="F64" s="95"/>
      <c r="G64" s="96"/>
    </row>
    <row r="65" spans="2:7" ht="18.75" customHeight="1" x14ac:dyDescent="0.15">
      <c r="B65" s="159"/>
      <c r="C65" s="32"/>
      <c r="D65" s="94"/>
      <c r="E65" s="95"/>
      <c r="F65" s="95"/>
      <c r="G65" s="96"/>
    </row>
    <row r="66" spans="2:7" ht="18.75" customHeight="1" x14ac:dyDescent="0.15">
      <c r="B66" s="159"/>
      <c r="C66" s="32"/>
      <c r="D66" s="94"/>
      <c r="E66" s="95"/>
      <c r="F66" s="95"/>
      <c r="G66" s="96"/>
    </row>
    <row r="67" spans="2:7" ht="18.75" customHeight="1" x14ac:dyDescent="0.15">
      <c r="B67" s="159"/>
      <c r="C67" s="32"/>
      <c r="D67" s="94"/>
      <c r="E67" s="95"/>
      <c r="F67" s="95"/>
      <c r="G67" s="96"/>
    </row>
    <row r="68" spans="2:7" ht="18.75" customHeight="1" x14ac:dyDescent="0.15">
      <c r="B68" s="159"/>
      <c r="C68" s="32"/>
      <c r="D68" s="94"/>
      <c r="E68" s="95"/>
      <c r="F68" s="95"/>
      <c r="G68" s="96"/>
    </row>
    <row r="69" spans="2:7" ht="18.75" customHeight="1" x14ac:dyDescent="0.15">
      <c r="B69" s="159"/>
      <c r="C69" s="32"/>
      <c r="D69" s="94"/>
      <c r="E69" s="95"/>
      <c r="F69" s="95"/>
      <c r="G69" s="96"/>
    </row>
    <row r="70" spans="2:7" ht="18.75" customHeight="1" x14ac:dyDescent="0.15">
      <c r="B70" s="159"/>
      <c r="C70" s="32"/>
      <c r="D70" s="94"/>
      <c r="E70" s="95"/>
      <c r="F70" s="95"/>
      <c r="G70" s="96"/>
    </row>
    <row r="71" spans="2:7" ht="18.75" customHeight="1" x14ac:dyDescent="0.15">
      <c r="B71" s="159"/>
      <c r="C71" s="32"/>
      <c r="D71" s="94"/>
      <c r="E71" s="95"/>
      <c r="F71" s="95"/>
      <c r="G71" s="96"/>
    </row>
    <row r="72" spans="2:7" ht="18.75" customHeight="1" x14ac:dyDescent="0.15">
      <c r="B72" s="159"/>
      <c r="C72" s="32"/>
      <c r="D72" s="94"/>
      <c r="E72" s="95"/>
      <c r="F72" s="95"/>
      <c r="G72" s="96"/>
    </row>
    <row r="73" spans="2:7" ht="18.75" customHeight="1" x14ac:dyDescent="0.15">
      <c r="B73" s="159"/>
      <c r="C73" s="32"/>
      <c r="D73" s="94"/>
      <c r="E73" s="95"/>
      <c r="F73" s="95"/>
      <c r="G73" s="96"/>
    </row>
    <row r="74" spans="2:7" ht="18.75" customHeight="1" x14ac:dyDescent="0.15">
      <c r="B74" s="159"/>
      <c r="C74" s="32"/>
      <c r="D74" s="94"/>
      <c r="E74" s="95"/>
      <c r="F74" s="95"/>
      <c r="G74" s="96"/>
    </row>
    <row r="75" spans="2:7" ht="18.75" customHeight="1" x14ac:dyDescent="0.15">
      <c r="B75" s="160"/>
      <c r="C75" s="32"/>
      <c r="D75" s="94"/>
      <c r="E75" s="95"/>
      <c r="F75" s="95"/>
      <c r="G75" s="96"/>
    </row>
    <row r="76" spans="2:7" ht="18.75" customHeight="1" x14ac:dyDescent="0.15">
      <c r="B76" s="158" t="s">
        <v>111</v>
      </c>
      <c r="C76" s="89" t="s">
        <v>106</v>
      </c>
      <c r="D76" s="90"/>
      <c r="E76" s="90"/>
      <c r="F76" s="90"/>
      <c r="G76" s="91"/>
    </row>
    <row r="77" spans="2:7" ht="37.5" customHeight="1" x14ac:dyDescent="0.15">
      <c r="B77" s="159"/>
      <c r="C77" s="161" t="s">
        <v>158</v>
      </c>
      <c r="D77" s="162"/>
      <c r="E77" s="162"/>
      <c r="F77" s="162"/>
      <c r="G77" s="163"/>
    </row>
    <row r="78" spans="2:7" ht="37.5" customHeight="1" x14ac:dyDescent="0.15">
      <c r="B78" s="159"/>
      <c r="C78" s="164"/>
      <c r="D78" s="165"/>
      <c r="E78" s="165"/>
      <c r="F78" s="165"/>
      <c r="G78" s="166"/>
    </row>
    <row r="79" spans="2:7" ht="37.5" customHeight="1" x14ac:dyDescent="0.15">
      <c r="B79" s="159"/>
      <c r="C79" s="164"/>
      <c r="D79" s="165"/>
      <c r="E79" s="165"/>
      <c r="F79" s="165"/>
      <c r="G79" s="166"/>
    </row>
    <row r="80" spans="2:7" ht="37.5" customHeight="1" x14ac:dyDescent="0.15">
      <c r="B80" s="159"/>
      <c r="C80" s="164"/>
      <c r="D80" s="165"/>
      <c r="E80" s="165"/>
      <c r="F80" s="165"/>
      <c r="G80" s="166"/>
    </row>
    <row r="81" spans="2:7" ht="37.5" customHeight="1" x14ac:dyDescent="0.15">
      <c r="B81" s="159"/>
      <c r="C81" s="167"/>
      <c r="D81" s="168"/>
      <c r="E81" s="168"/>
      <c r="F81" s="168"/>
      <c r="G81" s="169"/>
    </row>
    <row r="82" spans="2:7" ht="18.75" customHeight="1" x14ac:dyDescent="0.15">
      <c r="B82" s="159"/>
      <c r="C82" s="39" t="s">
        <v>107</v>
      </c>
      <c r="D82" s="89" t="s">
        <v>108</v>
      </c>
      <c r="E82" s="90"/>
      <c r="F82" s="90"/>
      <c r="G82" s="91"/>
    </row>
    <row r="83" spans="2:7" ht="18.75" customHeight="1" x14ac:dyDescent="0.15">
      <c r="B83" s="159"/>
      <c r="C83" s="32" t="s">
        <v>135</v>
      </c>
      <c r="D83" s="94" t="s">
        <v>145</v>
      </c>
      <c r="E83" s="95"/>
      <c r="F83" s="95"/>
      <c r="G83" s="96"/>
    </row>
    <row r="84" spans="2:7" ht="18.75" customHeight="1" x14ac:dyDescent="0.15">
      <c r="B84" s="159"/>
      <c r="C84" s="32"/>
      <c r="D84" s="94"/>
      <c r="E84" s="95"/>
      <c r="F84" s="95"/>
      <c r="G84" s="96"/>
    </row>
    <row r="85" spans="2:7" ht="18.75" customHeight="1" x14ac:dyDescent="0.15">
      <c r="B85" s="159"/>
      <c r="C85" s="32"/>
      <c r="D85" s="94"/>
      <c r="E85" s="95"/>
      <c r="F85" s="95"/>
      <c r="G85" s="96"/>
    </row>
    <row r="86" spans="2:7" ht="18.75" customHeight="1" x14ac:dyDescent="0.15">
      <c r="B86" s="159"/>
      <c r="C86" s="32"/>
      <c r="D86" s="94"/>
      <c r="E86" s="95"/>
      <c r="F86" s="95"/>
      <c r="G86" s="96"/>
    </row>
    <row r="87" spans="2:7" ht="18.75" customHeight="1" x14ac:dyDescent="0.15">
      <c r="B87" s="159"/>
      <c r="C87" s="32"/>
      <c r="D87" s="94"/>
      <c r="E87" s="95"/>
      <c r="F87" s="95"/>
      <c r="G87" s="96"/>
    </row>
    <row r="88" spans="2:7" ht="18.75" customHeight="1" x14ac:dyDescent="0.15">
      <c r="B88" s="159"/>
      <c r="C88" s="32"/>
      <c r="D88" s="94"/>
      <c r="E88" s="95"/>
      <c r="F88" s="95"/>
      <c r="G88" s="96"/>
    </row>
    <row r="89" spans="2:7" ht="18.75" customHeight="1" x14ac:dyDescent="0.15">
      <c r="B89" s="159"/>
      <c r="C89" s="32"/>
      <c r="D89" s="94"/>
      <c r="E89" s="95"/>
      <c r="F89" s="95"/>
      <c r="G89" s="96"/>
    </row>
    <row r="90" spans="2:7" ht="18.75" customHeight="1" x14ac:dyDescent="0.15">
      <c r="B90" s="159"/>
      <c r="C90" s="32"/>
      <c r="D90" s="94"/>
      <c r="E90" s="95"/>
      <c r="F90" s="95"/>
      <c r="G90" s="96"/>
    </row>
    <row r="91" spans="2:7" ht="18.75" customHeight="1" x14ac:dyDescent="0.15">
      <c r="B91" s="159"/>
      <c r="C91" s="32"/>
      <c r="D91" s="94"/>
      <c r="E91" s="95"/>
      <c r="F91" s="95"/>
      <c r="G91" s="96"/>
    </row>
    <row r="92" spans="2:7" ht="18.75" customHeight="1" x14ac:dyDescent="0.15">
      <c r="B92" s="159"/>
      <c r="C92" s="32"/>
      <c r="D92" s="94"/>
      <c r="E92" s="95"/>
      <c r="F92" s="95"/>
      <c r="G92" s="96"/>
    </row>
    <row r="93" spans="2:7" ht="18.75" customHeight="1" x14ac:dyDescent="0.15">
      <c r="B93" s="159"/>
      <c r="C93" s="32"/>
      <c r="D93" s="94"/>
      <c r="E93" s="95"/>
      <c r="F93" s="95"/>
      <c r="G93" s="96"/>
    </row>
    <row r="94" spans="2:7" ht="18.75" customHeight="1" x14ac:dyDescent="0.15">
      <c r="B94" s="159"/>
      <c r="C94" s="32"/>
      <c r="D94" s="94"/>
      <c r="E94" s="95"/>
      <c r="F94" s="95"/>
      <c r="G94" s="96"/>
    </row>
    <row r="95" spans="2:7" ht="18.75" customHeight="1" x14ac:dyDescent="0.15">
      <c r="B95" s="159"/>
      <c r="C95" s="32"/>
      <c r="D95" s="94"/>
      <c r="E95" s="95"/>
      <c r="F95" s="95"/>
      <c r="G95" s="96"/>
    </row>
    <row r="96" spans="2:7" ht="18.75" customHeight="1" x14ac:dyDescent="0.15">
      <c r="B96" s="159"/>
      <c r="C96" s="32"/>
      <c r="D96" s="94"/>
      <c r="E96" s="95"/>
      <c r="F96" s="95"/>
      <c r="G96" s="96"/>
    </row>
    <row r="97" spans="2:7" ht="18.75" customHeight="1" x14ac:dyDescent="0.15">
      <c r="B97" s="159"/>
      <c r="C97" s="32"/>
      <c r="D97" s="94"/>
      <c r="E97" s="95"/>
      <c r="F97" s="95"/>
      <c r="G97" s="96"/>
    </row>
    <row r="98" spans="2:7" ht="18.75" customHeight="1" x14ac:dyDescent="0.15">
      <c r="B98" s="159"/>
      <c r="C98" s="32"/>
      <c r="D98" s="94"/>
      <c r="E98" s="95"/>
      <c r="F98" s="95"/>
      <c r="G98" s="96"/>
    </row>
    <row r="99" spans="2:7" ht="18.75" customHeight="1" x14ac:dyDescent="0.15">
      <c r="B99" s="159"/>
      <c r="C99" s="32"/>
      <c r="D99" s="94"/>
      <c r="E99" s="95"/>
      <c r="F99" s="95"/>
      <c r="G99" s="96"/>
    </row>
    <row r="100" spans="2:7" ht="18.75" customHeight="1" x14ac:dyDescent="0.15">
      <c r="B100" s="160"/>
      <c r="C100" s="32"/>
      <c r="D100" s="94"/>
      <c r="E100" s="95"/>
      <c r="F100" s="95"/>
      <c r="G100" s="96"/>
    </row>
    <row r="101" spans="2:7" ht="18.75" customHeight="1" x14ac:dyDescent="0.15">
      <c r="B101" s="158" t="s">
        <v>113</v>
      </c>
      <c r="C101" s="89" t="s">
        <v>106</v>
      </c>
      <c r="D101" s="90"/>
      <c r="E101" s="90"/>
      <c r="F101" s="90"/>
      <c r="G101" s="91"/>
    </row>
    <row r="102" spans="2:7" ht="37.5" customHeight="1" x14ac:dyDescent="0.15">
      <c r="B102" s="159"/>
      <c r="C102" s="161" t="s">
        <v>181</v>
      </c>
      <c r="D102" s="162"/>
      <c r="E102" s="162"/>
      <c r="F102" s="162"/>
      <c r="G102" s="163"/>
    </row>
    <row r="103" spans="2:7" ht="37.5" customHeight="1" x14ac:dyDescent="0.15">
      <c r="B103" s="159"/>
      <c r="C103" s="164"/>
      <c r="D103" s="165"/>
      <c r="E103" s="165"/>
      <c r="F103" s="165"/>
      <c r="G103" s="166"/>
    </row>
    <row r="104" spans="2:7" ht="37.5" customHeight="1" x14ac:dyDescent="0.15">
      <c r="B104" s="159"/>
      <c r="C104" s="164"/>
      <c r="D104" s="165"/>
      <c r="E104" s="165"/>
      <c r="F104" s="165"/>
      <c r="G104" s="166"/>
    </row>
    <row r="105" spans="2:7" ht="37.5" customHeight="1" x14ac:dyDescent="0.15">
      <c r="B105" s="159"/>
      <c r="C105" s="164"/>
      <c r="D105" s="165"/>
      <c r="E105" s="165"/>
      <c r="F105" s="165"/>
      <c r="G105" s="166"/>
    </row>
    <row r="106" spans="2:7" ht="37.5" customHeight="1" x14ac:dyDescent="0.15">
      <c r="B106" s="159"/>
      <c r="C106" s="167"/>
      <c r="D106" s="168"/>
      <c r="E106" s="168"/>
      <c r="F106" s="168"/>
      <c r="G106" s="169"/>
    </row>
    <row r="107" spans="2:7" ht="18.75" customHeight="1" x14ac:dyDescent="0.15">
      <c r="B107" s="159"/>
      <c r="C107" s="39" t="s">
        <v>107</v>
      </c>
      <c r="D107" s="89" t="s">
        <v>108</v>
      </c>
      <c r="E107" s="90"/>
      <c r="F107" s="90"/>
      <c r="G107" s="91"/>
    </row>
    <row r="108" spans="2:7" ht="18.75" customHeight="1" x14ac:dyDescent="0.15">
      <c r="B108" s="159"/>
      <c r="C108" s="32" t="s">
        <v>161</v>
      </c>
      <c r="D108" s="155" t="s">
        <v>162</v>
      </c>
      <c r="E108" s="189"/>
      <c r="F108" s="189"/>
      <c r="G108" s="190"/>
    </row>
    <row r="109" spans="2:7" ht="18.75" customHeight="1" x14ac:dyDescent="0.15">
      <c r="B109" s="159"/>
      <c r="C109" s="32" t="s">
        <v>146</v>
      </c>
      <c r="D109" s="155" t="s">
        <v>159</v>
      </c>
      <c r="E109" s="156"/>
      <c r="F109" s="156"/>
      <c r="G109" s="157"/>
    </row>
    <row r="110" spans="2:7" ht="18.75" customHeight="1" x14ac:dyDescent="0.15">
      <c r="B110" s="159"/>
      <c r="C110" s="32" t="s">
        <v>147</v>
      </c>
      <c r="D110" s="155" t="s">
        <v>148</v>
      </c>
      <c r="E110" s="156"/>
      <c r="F110" s="156"/>
      <c r="G110" s="157"/>
    </row>
    <row r="111" spans="2:7" ht="18.75" customHeight="1" x14ac:dyDescent="0.15">
      <c r="B111" s="159"/>
      <c r="C111" s="32"/>
      <c r="D111" s="155"/>
      <c r="E111" s="156"/>
      <c r="F111" s="156"/>
      <c r="G111" s="157"/>
    </row>
    <row r="112" spans="2:7" ht="18.75" customHeight="1" x14ac:dyDescent="0.15">
      <c r="B112" s="159"/>
      <c r="C112" s="32"/>
      <c r="D112" s="155"/>
      <c r="E112" s="156"/>
      <c r="F112" s="156"/>
      <c r="G112" s="157"/>
    </row>
    <row r="113" spans="1:7" ht="18.75" customHeight="1" x14ac:dyDescent="0.15">
      <c r="B113" s="159"/>
      <c r="C113" s="32"/>
      <c r="D113" s="94"/>
      <c r="E113" s="95"/>
      <c r="F113" s="95"/>
      <c r="G113" s="96"/>
    </row>
    <row r="114" spans="1:7" ht="18.75" customHeight="1" x14ac:dyDescent="0.15">
      <c r="B114" s="159"/>
      <c r="C114" s="32"/>
      <c r="D114" s="94"/>
      <c r="E114" s="95"/>
      <c r="F114" s="95"/>
      <c r="G114" s="96"/>
    </row>
    <row r="115" spans="1:7" ht="18.75" customHeight="1" x14ac:dyDescent="0.15">
      <c r="B115" s="159"/>
      <c r="C115" s="32"/>
      <c r="D115" s="94"/>
      <c r="E115" s="95"/>
      <c r="F115" s="95"/>
      <c r="G115" s="96"/>
    </row>
    <row r="116" spans="1:7" ht="18.75" customHeight="1" x14ac:dyDescent="0.15">
      <c r="B116" s="159"/>
      <c r="C116" s="32"/>
      <c r="D116" s="94"/>
      <c r="E116" s="95"/>
      <c r="F116" s="95"/>
      <c r="G116" s="96"/>
    </row>
    <row r="117" spans="1:7" ht="18.75" customHeight="1" x14ac:dyDescent="0.15">
      <c r="B117" s="159"/>
      <c r="C117" s="32"/>
      <c r="D117" s="94"/>
      <c r="E117" s="95"/>
      <c r="F117" s="95"/>
      <c r="G117" s="96"/>
    </row>
    <row r="118" spans="1:7" ht="18.75" customHeight="1" x14ac:dyDescent="0.15">
      <c r="B118" s="159"/>
      <c r="C118" s="32"/>
      <c r="D118" s="94"/>
      <c r="E118" s="95"/>
      <c r="F118" s="95"/>
      <c r="G118" s="96"/>
    </row>
    <row r="119" spans="1:7" ht="18.75" customHeight="1" x14ac:dyDescent="0.15">
      <c r="B119" s="159"/>
      <c r="C119" s="32"/>
      <c r="D119" s="94"/>
      <c r="E119" s="95"/>
      <c r="F119" s="95"/>
      <c r="G119" s="96"/>
    </row>
    <row r="120" spans="1:7" ht="18.75" customHeight="1" x14ac:dyDescent="0.15">
      <c r="B120" s="159"/>
      <c r="C120" s="32"/>
      <c r="D120" s="94"/>
      <c r="E120" s="95"/>
      <c r="F120" s="95"/>
      <c r="G120" s="96"/>
    </row>
    <row r="121" spans="1:7" ht="18.75" customHeight="1" x14ac:dyDescent="0.15">
      <c r="B121" s="159"/>
      <c r="C121" s="32"/>
      <c r="D121" s="94"/>
      <c r="E121" s="95"/>
      <c r="F121" s="95"/>
      <c r="G121" s="96"/>
    </row>
    <row r="122" spans="1:7" ht="18.75" customHeight="1" x14ac:dyDescent="0.15">
      <c r="B122" s="159"/>
      <c r="C122" s="32"/>
      <c r="D122" s="94"/>
      <c r="E122" s="95"/>
      <c r="F122" s="95"/>
      <c r="G122" s="96"/>
    </row>
    <row r="123" spans="1:7" ht="18.75" customHeight="1" x14ac:dyDescent="0.15">
      <c r="B123" s="159"/>
      <c r="C123" s="32"/>
      <c r="D123" s="94"/>
      <c r="E123" s="95"/>
      <c r="F123" s="95"/>
      <c r="G123" s="96"/>
    </row>
    <row r="124" spans="1:7" ht="18.75" customHeight="1" x14ac:dyDescent="0.15">
      <c r="B124" s="159"/>
      <c r="C124" s="32"/>
      <c r="D124" s="94"/>
      <c r="E124" s="95"/>
      <c r="F124" s="95"/>
      <c r="G124" s="96"/>
    </row>
    <row r="125" spans="1:7" ht="18.75" customHeight="1" x14ac:dyDescent="0.15">
      <c r="B125" s="160"/>
      <c r="C125" s="32"/>
      <c r="D125" s="94"/>
      <c r="E125" s="95"/>
      <c r="F125" s="95"/>
      <c r="G125" s="96"/>
    </row>
    <row r="126" spans="1:7" ht="18.75" customHeight="1" x14ac:dyDescent="0.15">
      <c r="A126" s="4" t="s">
        <v>11</v>
      </c>
      <c r="B126" s="4" t="s">
        <v>104</v>
      </c>
    </row>
    <row r="127" spans="1:7" ht="22.5" customHeight="1" x14ac:dyDescent="0.15">
      <c r="B127" s="32" t="s">
        <v>73</v>
      </c>
      <c r="C127" s="89" t="s">
        <v>103</v>
      </c>
      <c r="D127" s="90"/>
      <c r="E127" s="90"/>
      <c r="F127" s="90"/>
      <c r="G127" s="91"/>
    </row>
    <row r="128" spans="1:7" ht="45" customHeight="1" x14ac:dyDescent="0.15">
      <c r="B128" s="40" t="s">
        <v>75</v>
      </c>
      <c r="C128" s="113" t="s">
        <v>153</v>
      </c>
      <c r="D128" s="114"/>
      <c r="E128" s="114"/>
      <c r="F128" s="114"/>
      <c r="G128" s="115"/>
    </row>
    <row r="129" spans="1:7" ht="45" customHeight="1" x14ac:dyDescent="0.15">
      <c r="B129" s="40" t="s">
        <v>76</v>
      </c>
      <c r="C129" s="113" t="s">
        <v>135</v>
      </c>
      <c r="D129" s="114"/>
      <c r="E129" s="114"/>
      <c r="F129" s="114"/>
      <c r="G129" s="115"/>
    </row>
    <row r="130" spans="1:7" ht="45" customHeight="1" x14ac:dyDescent="0.15">
      <c r="B130" s="40" t="s">
        <v>77</v>
      </c>
      <c r="C130" s="113" t="s">
        <v>135</v>
      </c>
      <c r="D130" s="114"/>
      <c r="E130" s="114"/>
      <c r="F130" s="114"/>
      <c r="G130" s="115"/>
    </row>
    <row r="131" spans="1:7" ht="45" customHeight="1" x14ac:dyDescent="0.15">
      <c r="B131" s="40" t="s">
        <v>78</v>
      </c>
      <c r="C131" s="113"/>
      <c r="D131" s="114"/>
      <c r="E131" s="114"/>
      <c r="F131" s="114"/>
      <c r="G131" s="115"/>
    </row>
    <row r="132" spans="1:7" ht="45" customHeight="1" x14ac:dyDescent="0.15">
      <c r="B132" s="40" t="s">
        <v>79</v>
      </c>
      <c r="C132" s="113"/>
      <c r="D132" s="114"/>
      <c r="E132" s="114"/>
      <c r="F132" s="114"/>
      <c r="G132" s="115"/>
    </row>
    <row r="133" spans="1:7" ht="45" customHeight="1" x14ac:dyDescent="0.15">
      <c r="B133" s="40" t="s">
        <v>80</v>
      </c>
      <c r="C133" s="113"/>
      <c r="D133" s="114"/>
      <c r="E133" s="114"/>
      <c r="F133" s="114"/>
      <c r="G133" s="115"/>
    </row>
    <row r="134" spans="1:7" ht="45" customHeight="1" x14ac:dyDescent="0.15">
      <c r="B134" s="40" t="s">
        <v>81</v>
      </c>
      <c r="C134" s="113" t="s">
        <v>182</v>
      </c>
      <c r="D134" s="114"/>
      <c r="E134" s="114"/>
      <c r="F134" s="114"/>
      <c r="G134" s="115"/>
    </row>
    <row r="135" spans="1:7" ht="45" customHeight="1" x14ac:dyDescent="0.15">
      <c r="B135" s="40" t="s">
        <v>82</v>
      </c>
      <c r="C135" s="113"/>
      <c r="D135" s="114"/>
      <c r="E135" s="114"/>
      <c r="F135" s="114"/>
      <c r="G135" s="115"/>
    </row>
    <row r="136" spans="1:7" ht="45" customHeight="1" x14ac:dyDescent="0.15">
      <c r="B136" s="40" t="s">
        <v>83</v>
      </c>
      <c r="C136" s="113"/>
      <c r="D136" s="114"/>
      <c r="E136" s="114"/>
      <c r="F136" s="114"/>
      <c r="G136" s="115"/>
    </row>
    <row r="137" spans="1:7" ht="7.5" customHeight="1" x14ac:dyDescent="0.15"/>
    <row r="138" spans="1:7" ht="18.75" customHeight="1" x14ac:dyDescent="0.15">
      <c r="A138" s="4" t="s">
        <v>97</v>
      </c>
      <c r="B138" s="4" t="s">
        <v>98</v>
      </c>
      <c r="E138" s="188" t="s">
        <v>211</v>
      </c>
      <c r="F138" s="114"/>
      <c r="G138" s="115"/>
    </row>
    <row r="139" spans="1:7" ht="7.5" customHeight="1" x14ac:dyDescent="0.15"/>
    <row r="140" spans="1:7" ht="18.75" customHeight="1" x14ac:dyDescent="0.15">
      <c r="A140" s="4" t="s">
        <v>99</v>
      </c>
      <c r="B140" s="4" t="s">
        <v>100</v>
      </c>
    </row>
    <row r="141" spans="1:7" ht="18.75" customHeight="1" x14ac:dyDescent="0.15">
      <c r="B141" s="179" t="s">
        <v>203</v>
      </c>
      <c r="C141" s="180"/>
      <c r="D141" s="180"/>
      <c r="E141" s="180"/>
      <c r="F141" s="180"/>
      <c r="G141" s="181"/>
    </row>
    <row r="142" spans="1:7" ht="18.75" customHeight="1" x14ac:dyDescent="0.15">
      <c r="B142" s="182"/>
      <c r="C142" s="183"/>
      <c r="D142" s="183"/>
      <c r="E142" s="183"/>
      <c r="F142" s="183"/>
      <c r="G142" s="184"/>
    </row>
    <row r="143" spans="1:7" ht="18.75" customHeight="1" x14ac:dyDescent="0.15">
      <c r="B143" s="182"/>
      <c r="C143" s="183"/>
      <c r="D143" s="183"/>
      <c r="E143" s="183"/>
      <c r="F143" s="183"/>
      <c r="G143" s="184"/>
    </row>
    <row r="144" spans="1:7" ht="18.75" customHeight="1" x14ac:dyDescent="0.15">
      <c r="B144" s="185"/>
      <c r="C144" s="186"/>
      <c r="D144" s="186"/>
      <c r="E144" s="186"/>
      <c r="F144" s="186"/>
      <c r="G144" s="187"/>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D97:G97"/>
    <mergeCell ref="D124:G124"/>
    <mergeCell ref="D120:G120"/>
    <mergeCell ref="D123:G123"/>
    <mergeCell ref="D116:G116"/>
    <mergeCell ref="D117:G117"/>
    <mergeCell ref="D118:G118"/>
    <mergeCell ref="D119:G119"/>
    <mergeCell ref="D108:G108"/>
    <mergeCell ref="D109:G109"/>
    <mergeCell ref="D110:G110"/>
    <mergeCell ref="D111:G111"/>
    <mergeCell ref="D112:G112"/>
    <mergeCell ref="D113:G113"/>
    <mergeCell ref="D114:G114"/>
    <mergeCell ref="D115:G115"/>
    <mergeCell ref="D121:G121"/>
    <mergeCell ref="D122:G122"/>
    <mergeCell ref="D60:G60"/>
    <mergeCell ref="D61:G61"/>
    <mergeCell ref="D62:G62"/>
    <mergeCell ref="D63:G63"/>
    <mergeCell ref="D64:G64"/>
    <mergeCell ref="D65:G65"/>
    <mergeCell ref="D73:G73"/>
    <mergeCell ref="D72:G72"/>
    <mergeCell ref="D99:G99"/>
    <mergeCell ref="D95:G95"/>
    <mergeCell ref="D96:G96"/>
    <mergeCell ref="D91:G91"/>
    <mergeCell ref="D92:G92"/>
    <mergeCell ref="D93:G93"/>
    <mergeCell ref="D94:G94"/>
    <mergeCell ref="D83:G83"/>
    <mergeCell ref="D84:G84"/>
    <mergeCell ref="D85:G85"/>
    <mergeCell ref="D86:G86"/>
    <mergeCell ref="D87:G87"/>
    <mergeCell ref="D88:G88"/>
    <mergeCell ref="D89:G89"/>
    <mergeCell ref="D90:G90"/>
    <mergeCell ref="D98:G98"/>
    <mergeCell ref="A3:G3"/>
    <mergeCell ref="C5:G5"/>
    <mergeCell ref="C6:G9"/>
    <mergeCell ref="B141:G144"/>
    <mergeCell ref="E138:G138"/>
    <mergeCell ref="C127:G127"/>
    <mergeCell ref="C133:G133"/>
    <mergeCell ref="C134:G134"/>
    <mergeCell ref="C135:G135"/>
    <mergeCell ref="C136:G136"/>
    <mergeCell ref="C128:G128"/>
    <mergeCell ref="B6:B25"/>
    <mergeCell ref="C129:G129"/>
    <mergeCell ref="C130:G130"/>
    <mergeCell ref="C131:G131"/>
    <mergeCell ref="C132:G132"/>
    <mergeCell ref="D34:G34"/>
    <mergeCell ref="D35:G35"/>
    <mergeCell ref="D36:G36"/>
    <mergeCell ref="D37:G37"/>
    <mergeCell ref="D38:G38"/>
    <mergeCell ref="D39:G39"/>
    <mergeCell ref="D40:G40"/>
    <mergeCell ref="D41:G41"/>
    <mergeCell ref="B26:B50"/>
    <mergeCell ref="C26:G26"/>
    <mergeCell ref="C27:G31"/>
    <mergeCell ref="D32:G32"/>
    <mergeCell ref="D33:G33"/>
    <mergeCell ref="D42:G42"/>
    <mergeCell ref="D43:G43"/>
    <mergeCell ref="D44:G44"/>
    <mergeCell ref="D45:G45"/>
    <mergeCell ref="D46:G46"/>
    <mergeCell ref="D47:G47"/>
    <mergeCell ref="D48:G48"/>
    <mergeCell ref="D49:G49"/>
    <mergeCell ref="D50:G50"/>
    <mergeCell ref="B51:B75"/>
    <mergeCell ref="C51:G51"/>
    <mergeCell ref="C52:G56"/>
    <mergeCell ref="B76:B100"/>
    <mergeCell ref="C76:G76"/>
    <mergeCell ref="C77:G81"/>
    <mergeCell ref="D82:G82"/>
    <mergeCell ref="D100:G100"/>
    <mergeCell ref="B101:B125"/>
    <mergeCell ref="C101:G101"/>
    <mergeCell ref="C102:G106"/>
    <mergeCell ref="D107:G107"/>
    <mergeCell ref="D125:G125"/>
    <mergeCell ref="D57:G57"/>
    <mergeCell ref="D74:G74"/>
    <mergeCell ref="D75:G75"/>
    <mergeCell ref="D70:G70"/>
    <mergeCell ref="D71:G71"/>
    <mergeCell ref="D66:G66"/>
    <mergeCell ref="D67:G67"/>
    <mergeCell ref="D68:G68"/>
    <mergeCell ref="D69:G69"/>
    <mergeCell ref="D58:G58"/>
    <mergeCell ref="D59:G59"/>
    <mergeCell ref="D10:G10"/>
    <mergeCell ref="D11:G11"/>
    <mergeCell ref="D12:G12"/>
    <mergeCell ref="D13:G13"/>
    <mergeCell ref="D14:G14"/>
    <mergeCell ref="D25:G25"/>
    <mergeCell ref="D24:G24"/>
    <mergeCell ref="D17:G17"/>
    <mergeCell ref="D18:G18"/>
    <mergeCell ref="D15:G15"/>
    <mergeCell ref="D16:G16"/>
    <mergeCell ref="D22:G22"/>
    <mergeCell ref="D23:G23"/>
    <mergeCell ref="D19:G19"/>
    <mergeCell ref="D20:G20"/>
    <mergeCell ref="D21:G21"/>
  </mergeCells>
  <phoneticPr fontId="1"/>
  <hyperlinks>
    <hyperlink ref="E138" r:id="rId1" xr:uid="{00000000-0004-0000-0300-000000000000}"/>
  </hyperlinks>
  <printOptions horizontalCentered="1"/>
  <pageMargins left="0.78740157480314965" right="0.78740157480314965" top="0.59055118110236227" bottom="0.39370078740157483" header="0.31496062992125984" footer="0.31496062992125984"/>
  <pageSetup paperSize="9" fitToHeight="0" orientation="landscape" r:id="rId2"/>
  <rowBreaks count="3" manualBreakCount="3">
    <brk id="25" max="6" man="1"/>
    <brk id="75" max="16383" man="1"/>
    <brk id="125"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48"/>
  <sheetViews>
    <sheetView showZeros="0" view="pageBreakPreview" zoomScaleNormal="150" zoomScaleSheetLayoutView="100" workbookViewId="0"/>
  </sheetViews>
  <sheetFormatPr defaultColWidth="11.375" defaultRowHeight="18.75" customHeight="1" x14ac:dyDescent="0.15"/>
  <cols>
    <col min="1" max="1" width="2.625" style="41" customWidth="1"/>
    <col min="2" max="2" width="54.125" style="4" customWidth="1"/>
    <col min="3" max="3" width="1.125" style="4" customWidth="1"/>
    <col min="4" max="4" width="22.5" style="4" customWidth="1"/>
    <col min="5" max="5" width="6.125" style="4" customWidth="1"/>
    <col min="6" max="16384" width="11.375" style="4"/>
  </cols>
  <sheetData>
    <row r="1" spans="1:5" ht="18.75" customHeight="1" x14ac:dyDescent="0.15">
      <c r="E1" s="16" t="s">
        <v>105</v>
      </c>
    </row>
    <row r="2" spans="1:5" ht="18.75" customHeight="1" x14ac:dyDescent="0.15">
      <c r="B2" s="16" t="s">
        <v>87</v>
      </c>
      <c r="C2" s="16" t="s">
        <v>7</v>
      </c>
      <c r="D2" s="128" t="s">
        <v>154</v>
      </c>
      <c r="E2" s="128"/>
    </row>
    <row r="3" spans="1:5" ht="7.5" customHeight="1" x14ac:dyDescent="0.15">
      <c r="B3" s="16"/>
      <c r="C3" s="16"/>
      <c r="D3" s="31"/>
      <c r="E3" s="31"/>
    </row>
    <row r="4" spans="1:5" ht="18.75" customHeight="1" x14ac:dyDescent="0.15">
      <c r="B4" s="106" t="s">
        <v>84</v>
      </c>
      <c r="C4" s="106"/>
      <c r="D4" s="106"/>
      <c r="E4" s="106"/>
    </row>
    <row r="5" spans="1:5" ht="7.5" customHeight="1" x14ac:dyDescent="0.15">
      <c r="B5" s="31"/>
      <c r="C5" s="31"/>
      <c r="D5" s="31"/>
      <c r="E5" s="31"/>
    </row>
    <row r="6" spans="1:5" ht="18.75" customHeight="1" x14ac:dyDescent="0.15">
      <c r="A6" s="7" t="s">
        <v>6</v>
      </c>
      <c r="B6" s="5" t="s">
        <v>96</v>
      </c>
      <c r="C6" s="31"/>
      <c r="D6" s="31"/>
      <c r="E6" s="31"/>
    </row>
    <row r="7" spans="1:5" ht="18.75" customHeight="1" x14ac:dyDescent="0.15">
      <c r="A7" s="7"/>
      <c r="B7" s="113" t="s">
        <v>202</v>
      </c>
      <c r="C7" s="114"/>
      <c r="D7" s="114"/>
      <c r="E7" s="115"/>
    </row>
    <row r="8" spans="1:5" ht="7.5" customHeight="1" x14ac:dyDescent="0.15">
      <c r="B8" s="31"/>
      <c r="C8" s="31"/>
      <c r="D8" s="31"/>
      <c r="E8" s="31"/>
    </row>
    <row r="9" spans="1:5" s="5" customFormat="1" ht="18.75" customHeight="1" x14ac:dyDescent="0.15">
      <c r="A9" s="7" t="s">
        <v>11</v>
      </c>
      <c r="B9" s="7" t="s">
        <v>45</v>
      </c>
      <c r="C9" s="7"/>
      <c r="D9" s="7"/>
      <c r="E9" s="7"/>
    </row>
    <row r="10" spans="1:5" ht="18.75" customHeight="1" x14ac:dyDescent="0.15">
      <c r="A10" s="33"/>
      <c r="B10" s="179" t="s">
        <v>167</v>
      </c>
      <c r="C10" s="180"/>
      <c r="D10" s="180"/>
      <c r="E10" s="181"/>
    </row>
    <row r="11" spans="1:5" ht="18.75" customHeight="1" x14ac:dyDescent="0.15">
      <c r="A11" s="33"/>
      <c r="B11" s="182"/>
      <c r="C11" s="183"/>
      <c r="D11" s="183"/>
      <c r="E11" s="184"/>
    </row>
    <row r="12" spans="1:5" ht="18.75" customHeight="1" x14ac:dyDescent="0.15">
      <c r="A12" s="33"/>
      <c r="B12" s="182"/>
      <c r="C12" s="183"/>
      <c r="D12" s="183"/>
      <c r="E12" s="184"/>
    </row>
    <row r="13" spans="1:5" ht="18.75" customHeight="1" x14ac:dyDescent="0.15">
      <c r="A13" s="33"/>
      <c r="B13" s="182"/>
      <c r="C13" s="183"/>
      <c r="D13" s="183"/>
      <c r="E13" s="184"/>
    </row>
    <row r="14" spans="1:5" ht="18.75" customHeight="1" x14ac:dyDescent="0.15">
      <c r="A14" s="33"/>
      <c r="B14" s="185"/>
      <c r="C14" s="186"/>
      <c r="D14" s="186"/>
      <c r="E14" s="187"/>
    </row>
    <row r="15" spans="1:5" ht="7.5" customHeight="1" x14ac:dyDescent="0.15">
      <c r="A15" s="33"/>
      <c r="B15" s="33"/>
      <c r="C15" s="33"/>
      <c r="D15" s="33"/>
      <c r="E15" s="33"/>
    </row>
    <row r="16" spans="1:5" s="5" customFormat="1" ht="18.75" customHeight="1" x14ac:dyDescent="0.15">
      <c r="A16" s="42" t="s">
        <v>12</v>
      </c>
      <c r="B16" s="42" t="s">
        <v>18</v>
      </c>
      <c r="C16" s="42"/>
      <c r="D16" s="42"/>
      <c r="E16" s="42"/>
    </row>
    <row r="17" spans="1:5" ht="18.75" customHeight="1" x14ac:dyDescent="0.15">
      <c r="A17" s="33"/>
      <c r="B17" s="179" t="s">
        <v>208</v>
      </c>
      <c r="C17" s="180"/>
      <c r="D17" s="180"/>
      <c r="E17" s="181"/>
    </row>
    <row r="18" spans="1:5" ht="18.75" customHeight="1" x14ac:dyDescent="0.15">
      <c r="A18" s="33"/>
      <c r="B18" s="182"/>
      <c r="C18" s="183"/>
      <c r="D18" s="183"/>
      <c r="E18" s="184"/>
    </row>
    <row r="19" spans="1:5" ht="18.75" customHeight="1" x14ac:dyDescent="0.15">
      <c r="A19" s="33"/>
      <c r="B19" s="182"/>
      <c r="C19" s="183"/>
      <c r="D19" s="183"/>
      <c r="E19" s="184"/>
    </row>
    <row r="20" spans="1:5" ht="18.75" customHeight="1" x14ac:dyDescent="0.15">
      <c r="A20" s="33"/>
      <c r="B20" s="182"/>
      <c r="C20" s="183"/>
      <c r="D20" s="183"/>
      <c r="E20" s="184"/>
    </row>
    <row r="21" spans="1:5" ht="18.75" customHeight="1" x14ac:dyDescent="0.15">
      <c r="A21" s="33"/>
      <c r="B21" s="182"/>
      <c r="C21" s="183"/>
      <c r="D21" s="183"/>
      <c r="E21" s="184"/>
    </row>
    <row r="22" spans="1:5" ht="18.75" customHeight="1" x14ac:dyDescent="0.15">
      <c r="A22" s="33"/>
      <c r="B22" s="182"/>
      <c r="C22" s="183"/>
      <c r="D22" s="183"/>
      <c r="E22" s="184"/>
    </row>
    <row r="23" spans="1:5" ht="18.75" customHeight="1" x14ac:dyDescent="0.15">
      <c r="A23" s="33"/>
      <c r="B23" s="182"/>
      <c r="C23" s="183"/>
      <c r="D23" s="183"/>
      <c r="E23" s="184"/>
    </row>
    <row r="24" spans="1:5" ht="18.75" customHeight="1" x14ac:dyDescent="0.15">
      <c r="A24" s="33"/>
      <c r="B24" s="182"/>
      <c r="C24" s="183"/>
      <c r="D24" s="183"/>
      <c r="E24" s="184"/>
    </row>
    <row r="25" spans="1:5" ht="18.75" customHeight="1" x14ac:dyDescent="0.15">
      <c r="A25" s="33"/>
      <c r="B25" s="182"/>
      <c r="C25" s="183"/>
      <c r="D25" s="183"/>
      <c r="E25" s="184"/>
    </row>
    <row r="26" spans="1:5" ht="18.75" customHeight="1" x14ac:dyDescent="0.15">
      <c r="A26" s="33"/>
      <c r="B26" s="182"/>
      <c r="C26" s="183"/>
      <c r="D26" s="183"/>
      <c r="E26" s="184"/>
    </row>
    <row r="27" spans="1:5" ht="18.75" customHeight="1" x14ac:dyDescent="0.15">
      <c r="A27" s="33"/>
      <c r="B27" s="182"/>
      <c r="C27" s="183"/>
      <c r="D27" s="183"/>
      <c r="E27" s="184"/>
    </row>
    <row r="28" spans="1:5" ht="18.75" customHeight="1" x14ac:dyDescent="0.15">
      <c r="A28" s="33"/>
      <c r="B28" s="185"/>
      <c r="C28" s="186"/>
      <c r="D28" s="186"/>
      <c r="E28" s="187"/>
    </row>
    <row r="29" spans="1:5" ht="7.5" customHeight="1" x14ac:dyDescent="0.15">
      <c r="A29" s="43"/>
      <c r="B29" s="43"/>
      <c r="C29" s="43"/>
      <c r="D29" s="43"/>
      <c r="E29" s="43"/>
    </row>
    <row r="30" spans="1:5" s="5" customFormat="1" ht="18.75" customHeight="1" x14ac:dyDescent="0.15">
      <c r="A30" s="7" t="s">
        <v>16</v>
      </c>
      <c r="B30" s="7" t="s">
        <v>29</v>
      </c>
      <c r="C30" s="7"/>
      <c r="D30" s="7"/>
      <c r="E30" s="7"/>
    </row>
    <row r="31" spans="1:5" s="5" customFormat="1" ht="18.75" customHeight="1" x14ac:dyDescent="0.15">
      <c r="A31" s="7"/>
      <c r="B31" s="179" t="s">
        <v>206</v>
      </c>
      <c r="C31" s="180"/>
      <c r="D31" s="180"/>
      <c r="E31" s="181"/>
    </row>
    <row r="32" spans="1:5" s="5" customFormat="1" ht="18.75" customHeight="1" x14ac:dyDescent="0.15">
      <c r="A32" s="7"/>
      <c r="B32" s="182"/>
      <c r="C32" s="183"/>
      <c r="D32" s="183"/>
      <c r="E32" s="184"/>
    </row>
    <row r="33" spans="1:5" s="5" customFormat="1" ht="18.75" customHeight="1" x14ac:dyDescent="0.15">
      <c r="A33" s="7"/>
      <c r="B33" s="182"/>
      <c r="C33" s="183"/>
      <c r="D33" s="183"/>
      <c r="E33" s="184"/>
    </row>
    <row r="34" spans="1:5" s="5" customFormat="1" ht="18.75" customHeight="1" x14ac:dyDescent="0.15">
      <c r="A34" s="7"/>
      <c r="B34" s="182"/>
      <c r="C34" s="183"/>
      <c r="D34" s="183"/>
      <c r="E34" s="184"/>
    </row>
    <row r="35" spans="1:5" s="5" customFormat="1" ht="18.75" customHeight="1" x14ac:dyDescent="0.15">
      <c r="A35" s="7"/>
      <c r="B35" s="182"/>
      <c r="C35" s="183"/>
      <c r="D35" s="183"/>
      <c r="E35" s="184"/>
    </row>
    <row r="36" spans="1:5" s="5" customFormat="1" ht="18.75" customHeight="1" x14ac:dyDescent="0.15">
      <c r="A36" s="7"/>
      <c r="B36" s="182"/>
      <c r="C36" s="183"/>
      <c r="D36" s="183"/>
      <c r="E36" s="184"/>
    </row>
    <row r="37" spans="1:5" s="5" customFormat="1" ht="18.75" customHeight="1" x14ac:dyDescent="0.15">
      <c r="A37" s="7"/>
      <c r="B37" s="182"/>
      <c r="C37" s="183"/>
      <c r="D37" s="183"/>
      <c r="E37" s="184"/>
    </row>
    <row r="38" spans="1:5" s="5" customFormat="1" ht="18.75" customHeight="1" x14ac:dyDescent="0.15">
      <c r="A38" s="7"/>
      <c r="B38" s="182"/>
      <c r="C38" s="183"/>
      <c r="D38" s="183"/>
      <c r="E38" s="184"/>
    </row>
    <row r="39" spans="1:5" s="5" customFormat="1" ht="18.75" customHeight="1" x14ac:dyDescent="0.15">
      <c r="A39" s="7"/>
      <c r="B39" s="182"/>
      <c r="C39" s="183"/>
      <c r="D39" s="183"/>
      <c r="E39" s="184"/>
    </row>
    <row r="40" spans="1:5" s="5" customFormat="1" ht="18.75" customHeight="1" x14ac:dyDescent="0.15">
      <c r="A40" s="7"/>
      <c r="B40" s="182"/>
      <c r="C40" s="183"/>
      <c r="D40" s="183"/>
      <c r="E40" s="184"/>
    </row>
    <row r="41" spans="1:5" s="5" customFormat="1" ht="18.75" customHeight="1" x14ac:dyDescent="0.15">
      <c r="A41" s="7"/>
      <c r="B41" s="182"/>
      <c r="C41" s="183"/>
      <c r="D41" s="183"/>
      <c r="E41" s="184"/>
    </row>
    <row r="42" spans="1:5" s="5" customFormat="1" ht="18.75" customHeight="1" x14ac:dyDescent="0.15">
      <c r="A42" s="7"/>
      <c r="B42" s="182"/>
      <c r="C42" s="183"/>
      <c r="D42" s="183"/>
      <c r="E42" s="184"/>
    </row>
    <row r="43" spans="1:5" s="5" customFormat="1" ht="18.75" customHeight="1" x14ac:dyDescent="0.15">
      <c r="A43" s="7"/>
      <c r="B43" s="182"/>
      <c r="C43" s="183"/>
      <c r="D43" s="183"/>
      <c r="E43" s="184"/>
    </row>
    <row r="44" spans="1:5" s="5" customFormat="1" ht="18.75" customHeight="1" x14ac:dyDescent="0.15">
      <c r="A44" s="7"/>
      <c r="B44" s="182"/>
      <c r="C44" s="183"/>
      <c r="D44" s="183"/>
      <c r="E44" s="184"/>
    </row>
    <row r="45" spans="1:5" ht="18.75" customHeight="1" x14ac:dyDescent="0.15">
      <c r="A45" s="43"/>
      <c r="B45" s="182"/>
      <c r="C45" s="183"/>
      <c r="D45" s="183"/>
      <c r="E45" s="184"/>
    </row>
    <row r="46" spans="1:5" ht="18.75" customHeight="1" x14ac:dyDescent="0.15">
      <c r="A46" s="43"/>
      <c r="B46" s="185"/>
      <c r="C46" s="186"/>
      <c r="D46" s="186"/>
      <c r="E46" s="187"/>
    </row>
    <row r="47" spans="1:5" s="5" customFormat="1" ht="18.75" customHeight="1" x14ac:dyDescent="0.15">
      <c r="A47" s="42" t="s">
        <v>13</v>
      </c>
      <c r="B47" s="7" t="s">
        <v>85</v>
      </c>
      <c r="C47" s="42"/>
      <c r="D47" s="42"/>
      <c r="E47" s="42"/>
    </row>
    <row r="48" spans="1:5" ht="18.75" customHeight="1" x14ac:dyDescent="0.15">
      <c r="A48" s="43"/>
      <c r="B48" s="179" t="s">
        <v>168</v>
      </c>
      <c r="C48" s="192"/>
      <c r="D48" s="192"/>
      <c r="E48" s="193"/>
    </row>
    <row r="49" spans="1:5" ht="18.75" customHeight="1" x14ac:dyDescent="0.15">
      <c r="A49" s="43"/>
      <c r="B49" s="194"/>
      <c r="C49" s="195"/>
      <c r="D49" s="195"/>
      <c r="E49" s="196"/>
    </row>
    <row r="50" spans="1:5" ht="18.75" customHeight="1" x14ac:dyDescent="0.15">
      <c r="A50" s="43"/>
      <c r="B50" s="194"/>
      <c r="C50" s="195"/>
      <c r="D50" s="195"/>
      <c r="E50" s="196"/>
    </row>
    <row r="51" spans="1:5" ht="18.75" customHeight="1" x14ac:dyDescent="0.15">
      <c r="A51" s="43"/>
      <c r="B51" s="194"/>
      <c r="C51" s="195"/>
      <c r="D51" s="195"/>
      <c r="E51" s="196"/>
    </row>
    <row r="52" spans="1:5" ht="18.75" customHeight="1" x14ac:dyDescent="0.15">
      <c r="A52" s="43"/>
      <c r="B52" s="194"/>
      <c r="C52" s="195"/>
      <c r="D52" s="195"/>
      <c r="E52" s="196"/>
    </row>
    <row r="53" spans="1:5" ht="18.75" customHeight="1" x14ac:dyDescent="0.15">
      <c r="A53" s="43"/>
      <c r="B53" s="194"/>
      <c r="C53" s="195"/>
      <c r="D53" s="195"/>
      <c r="E53" s="196"/>
    </row>
    <row r="54" spans="1:5" ht="18.75" customHeight="1" x14ac:dyDescent="0.15">
      <c r="A54" s="43"/>
      <c r="B54" s="194"/>
      <c r="C54" s="195"/>
      <c r="D54" s="195"/>
      <c r="E54" s="196"/>
    </row>
    <row r="55" spans="1:5" ht="18.75" customHeight="1" x14ac:dyDescent="0.15">
      <c r="A55" s="43"/>
      <c r="B55" s="194"/>
      <c r="C55" s="195"/>
      <c r="D55" s="195"/>
      <c r="E55" s="196"/>
    </row>
    <row r="56" spans="1:5" ht="18.75" customHeight="1" x14ac:dyDescent="0.15">
      <c r="A56" s="43"/>
      <c r="B56" s="194"/>
      <c r="C56" s="195"/>
      <c r="D56" s="195"/>
      <c r="E56" s="196"/>
    </row>
    <row r="57" spans="1:5" ht="18.75" customHeight="1" x14ac:dyDescent="0.15">
      <c r="A57" s="43"/>
      <c r="B57" s="194"/>
      <c r="C57" s="195"/>
      <c r="D57" s="195"/>
      <c r="E57" s="196"/>
    </row>
    <row r="58" spans="1:5" ht="18.75" customHeight="1" x14ac:dyDescent="0.15">
      <c r="A58" s="43"/>
      <c r="B58" s="194"/>
      <c r="C58" s="195"/>
      <c r="D58" s="195"/>
      <c r="E58" s="196"/>
    </row>
    <row r="59" spans="1:5" ht="18.75" customHeight="1" x14ac:dyDescent="0.15">
      <c r="A59" s="43"/>
      <c r="B59" s="194"/>
      <c r="C59" s="195"/>
      <c r="D59" s="195"/>
      <c r="E59" s="196"/>
    </row>
    <row r="60" spans="1:5" ht="18.75" customHeight="1" x14ac:dyDescent="0.15">
      <c r="A60" s="43"/>
      <c r="B60" s="194"/>
      <c r="C60" s="195"/>
      <c r="D60" s="195"/>
      <c r="E60" s="196"/>
    </row>
    <row r="61" spans="1:5" ht="18.75" customHeight="1" x14ac:dyDescent="0.15">
      <c r="A61" s="43"/>
      <c r="B61" s="194"/>
      <c r="C61" s="195"/>
      <c r="D61" s="195"/>
      <c r="E61" s="196"/>
    </row>
    <row r="62" spans="1:5" ht="18.75" customHeight="1" x14ac:dyDescent="0.15">
      <c r="A62" s="43"/>
      <c r="B62" s="194"/>
      <c r="C62" s="195"/>
      <c r="D62" s="195"/>
      <c r="E62" s="196"/>
    </row>
    <row r="63" spans="1:5" ht="18.75" customHeight="1" x14ac:dyDescent="0.15">
      <c r="A63" s="43"/>
      <c r="B63" s="194"/>
      <c r="C63" s="195"/>
      <c r="D63" s="195"/>
      <c r="E63" s="196"/>
    </row>
    <row r="64" spans="1:5" ht="18.75" customHeight="1" x14ac:dyDescent="0.15">
      <c r="A64" s="43"/>
      <c r="B64" s="194"/>
      <c r="C64" s="195"/>
      <c r="D64" s="195"/>
      <c r="E64" s="196"/>
    </row>
    <row r="65" spans="1:5" ht="18.75" customHeight="1" x14ac:dyDescent="0.15">
      <c r="A65" s="43"/>
      <c r="B65" s="194"/>
      <c r="C65" s="195"/>
      <c r="D65" s="195"/>
      <c r="E65" s="196"/>
    </row>
    <row r="66" spans="1:5" ht="18.75" customHeight="1" x14ac:dyDescent="0.15">
      <c r="A66" s="43"/>
      <c r="B66" s="194"/>
      <c r="C66" s="195"/>
      <c r="D66" s="195"/>
      <c r="E66" s="196"/>
    </row>
    <row r="67" spans="1:5" ht="18.75" customHeight="1" x14ac:dyDescent="0.15">
      <c r="A67" s="43"/>
      <c r="B67" s="194"/>
      <c r="C67" s="195"/>
      <c r="D67" s="195"/>
      <c r="E67" s="196"/>
    </row>
    <row r="68" spans="1:5" ht="18.75" customHeight="1" x14ac:dyDescent="0.15">
      <c r="A68" s="43"/>
      <c r="B68" s="197"/>
      <c r="C68" s="198"/>
      <c r="D68" s="198"/>
      <c r="E68" s="199"/>
    </row>
    <row r="69" spans="1:5" ht="7.5" customHeight="1" x14ac:dyDescent="0.15">
      <c r="A69" s="43"/>
      <c r="B69" s="43"/>
      <c r="C69" s="43"/>
      <c r="D69" s="43"/>
      <c r="E69" s="43"/>
    </row>
    <row r="70" spans="1:5" s="5" customFormat="1" ht="18.75" customHeight="1" x14ac:dyDescent="0.15">
      <c r="A70" s="7" t="s">
        <v>17</v>
      </c>
      <c r="B70" s="7" t="s">
        <v>95</v>
      </c>
      <c r="C70" s="7"/>
      <c r="D70" s="7"/>
      <c r="E70" s="7"/>
    </row>
    <row r="71" spans="1:5" s="5" customFormat="1" ht="18.75" customHeight="1" x14ac:dyDescent="0.15">
      <c r="A71" s="7"/>
      <c r="B71" s="179" t="s">
        <v>169</v>
      </c>
      <c r="C71" s="180"/>
      <c r="D71" s="180"/>
      <c r="E71" s="181"/>
    </row>
    <row r="72" spans="1:5" s="5" customFormat="1" ht="18.75" customHeight="1" x14ac:dyDescent="0.15">
      <c r="A72" s="7"/>
      <c r="B72" s="182"/>
      <c r="C72" s="183"/>
      <c r="D72" s="183"/>
      <c r="E72" s="184"/>
    </row>
    <row r="73" spans="1:5" s="5" customFormat="1" ht="18.75" customHeight="1" x14ac:dyDescent="0.15">
      <c r="A73" s="7"/>
      <c r="B73" s="182"/>
      <c r="C73" s="183"/>
      <c r="D73" s="183"/>
      <c r="E73" s="184"/>
    </row>
    <row r="74" spans="1:5" s="5" customFormat="1" ht="18.75" customHeight="1" x14ac:dyDescent="0.15">
      <c r="A74" s="7"/>
      <c r="B74" s="182"/>
      <c r="C74" s="183"/>
      <c r="D74" s="183"/>
      <c r="E74" s="184"/>
    </row>
    <row r="75" spans="1:5" s="5" customFormat="1" ht="18.75" customHeight="1" x14ac:dyDescent="0.15">
      <c r="A75" s="7"/>
      <c r="B75" s="182"/>
      <c r="C75" s="183"/>
      <c r="D75" s="183"/>
      <c r="E75" s="184"/>
    </row>
    <row r="76" spans="1:5" s="5" customFormat="1" ht="18.75" customHeight="1" x14ac:dyDescent="0.15">
      <c r="A76" s="7"/>
      <c r="B76" s="182"/>
      <c r="C76" s="183"/>
      <c r="D76" s="183"/>
      <c r="E76" s="184"/>
    </row>
    <row r="77" spans="1:5" s="5" customFormat="1" ht="18.75" customHeight="1" x14ac:dyDescent="0.15">
      <c r="A77" s="7"/>
      <c r="B77" s="182"/>
      <c r="C77" s="183"/>
      <c r="D77" s="183"/>
      <c r="E77" s="184"/>
    </row>
    <row r="78" spans="1:5" s="5" customFormat="1" ht="18.75" customHeight="1" x14ac:dyDescent="0.15">
      <c r="A78" s="7"/>
      <c r="B78" s="182"/>
      <c r="C78" s="183"/>
      <c r="D78" s="183"/>
      <c r="E78" s="184"/>
    </row>
    <row r="79" spans="1:5" s="5" customFormat="1" ht="18.75" customHeight="1" x14ac:dyDescent="0.15">
      <c r="A79" s="7"/>
      <c r="B79" s="182"/>
      <c r="C79" s="183"/>
      <c r="D79" s="183"/>
      <c r="E79" s="184"/>
    </row>
    <row r="80" spans="1:5" s="5" customFormat="1" ht="18.75" customHeight="1" x14ac:dyDescent="0.15">
      <c r="A80" s="7"/>
      <c r="B80" s="182"/>
      <c r="C80" s="183"/>
      <c r="D80" s="183"/>
      <c r="E80" s="184"/>
    </row>
    <row r="81" spans="1:5" s="5" customFormat="1" ht="18.75" customHeight="1" x14ac:dyDescent="0.15">
      <c r="A81" s="7"/>
      <c r="B81" s="182"/>
      <c r="C81" s="183"/>
      <c r="D81" s="183"/>
      <c r="E81" s="184"/>
    </row>
    <row r="82" spans="1:5" s="5" customFormat="1" ht="18.75" customHeight="1" x14ac:dyDescent="0.15">
      <c r="A82" s="7"/>
      <c r="B82" s="182"/>
      <c r="C82" s="183"/>
      <c r="D82" s="183"/>
      <c r="E82" s="184"/>
    </row>
    <row r="83" spans="1:5" s="5" customFormat="1" ht="18.75" customHeight="1" x14ac:dyDescent="0.15">
      <c r="A83" s="7"/>
      <c r="B83" s="182"/>
      <c r="C83" s="183"/>
      <c r="D83" s="183"/>
      <c r="E83" s="184"/>
    </row>
    <row r="84" spans="1:5" s="5" customFormat="1" ht="18.75" customHeight="1" x14ac:dyDescent="0.15">
      <c r="A84" s="7"/>
      <c r="B84" s="182"/>
      <c r="C84" s="183"/>
      <c r="D84" s="183"/>
      <c r="E84" s="184"/>
    </row>
    <row r="85" spans="1:5" s="5" customFormat="1" ht="18.75" customHeight="1" x14ac:dyDescent="0.15">
      <c r="A85" s="7"/>
      <c r="B85" s="182"/>
      <c r="C85" s="183"/>
      <c r="D85" s="183"/>
      <c r="E85" s="184"/>
    </row>
    <row r="86" spans="1:5" s="5" customFormat="1" ht="18.75" customHeight="1" x14ac:dyDescent="0.15">
      <c r="A86" s="7"/>
      <c r="B86" s="182"/>
      <c r="C86" s="183"/>
      <c r="D86" s="183"/>
      <c r="E86" s="184"/>
    </row>
    <row r="87" spans="1:5" s="5" customFormat="1" ht="18.75" customHeight="1" x14ac:dyDescent="0.15">
      <c r="A87" s="7"/>
      <c r="B87" s="182"/>
      <c r="C87" s="183"/>
      <c r="D87" s="183"/>
      <c r="E87" s="184"/>
    </row>
    <row r="88" spans="1:5" ht="18.75" customHeight="1" x14ac:dyDescent="0.15">
      <c r="A88" s="43"/>
      <c r="B88" s="182"/>
      <c r="C88" s="183"/>
      <c r="D88" s="183"/>
      <c r="E88" s="184"/>
    </row>
    <row r="89" spans="1:5" ht="18.75" customHeight="1" x14ac:dyDescent="0.15">
      <c r="A89" s="43"/>
      <c r="B89" s="185"/>
      <c r="C89" s="186"/>
      <c r="D89" s="186"/>
      <c r="E89" s="187"/>
    </row>
    <row r="90" spans="1:5" ht="7.5" customHeight="1" x14ac:dyDescent="0.15">
      <c r="A90" s="43"/>
      <c r="B90" s="43"/>
      <c r="C90" s="43"/>
      <c r="D90" s="43"/>
      <c r="E90" s="43"/>
    </row>
    <row r="91" spans="1:5" s="5" customFormat="1" ht="18.75" customHeight="1" x14ac:dyDescent="0.15">
      <c r="A91" s="7" t="s">
        <v>14</v>
      </c>
      <c r="B91" s="7" t="s">
        <v>33</v>
      </c>
      <c r="C91" s="7"/>
      <c r="D91" s="7"/>
      <c r="E91" s="7"/>
    </row>
    <row r="92" spans="1:5" s="5" customFormat="1" ht="18.75" customHeight="1" x14ac:dyDescent="0.15">
      <c r="A92" s="7"/>
      <c r="B92" s="179" t="s">
        <v>210</v>
      </c>
      <c r="C92" s="180"/>
      <c r="D92" s="180"/>
      <c r="E92" s="181"/>
    </row>
    <row r="93" spans="1:5" s="5" customFormat="1" ht="18.75" customHeight="1" x14ac:dyDescent="0.15">
      <c r="A93" s="7"/>
      <c r="B93" s="182"/>
      <c r="C93" s="183"/>
      <c r="D93" s="183"/>
      <c r="E93" s="184"/>
    </row>
    <row r="94" spans="1:5" s="5" customFormat="1" ht="18.75" customHeight="1" x14ac:dyDescent="0.15">
      <c r="A94" s="7"/>
      <c r="B94" s="182"/>
      <c r="C94" s="183"/>
      <c r="D94" s="183"/>
      <c r="E94" s="184"/>
    </row>
    <row r="95" spans="1:5" s="5" customFormat="1" ht="18.75" customHeight="1" x14ac:dyDescent="0.15">
      <c r="A95" s="7"/>
      <c r="B95" s="182"/>
      <c r="C95" s="183"/>
      <c r="D95" s="183"/>
      <c r="E95" s="184"/>
    </row>
    <row r="96" spans="1:5" s="5" customFormat="1" ht="18.75" customHeight="1" x14ac:dyDescent="0.15">
      <c r="A96" s="7"/>
      <c r="B96" s="182"/>
      <c r="C96" s="183"/>
      <c r="D96" s="183"/>
      <c r="E96" s="184"/>
    </row>
    <row r="97" spans="1:5" s="5" customFormat="1" ht="18.75" customHeight="1" x14ac:dyDescent="0.15">
      <c r="A97" s="7"/>
      <c r="B97" s="182"/>
      <c r="C97" s="183"/>
      <c r="D97" s="183"/>
      <c r="E97" s="184"/>
    </row>
    <row r="98" spans="1:5" s="5" customFormat="1" ht="18.75" customHeight="1" x14ac:dyDescent="0.15">
      <c r="A98" s="7"/>
      <c r="B98" s="182"/>
      <c r="C98" s="183"/>
      <c r="D98" s="183"/>
      <c r="E98" s="184"/>
    </row>
    <row r="99" spans="1:5" s="5" customFormat="1" ht="18.75" customHeight="1" x14ac:dyDescent="0.15">
      <c r="A99" s="7"/>
      <c r="B99" s="182"/>
      <c r="C99" s="183"/>
      <c r="D99" s="183"/>
      <c r="E99" s="184"/>
    </row>
    <row r="100" spans="1:5" s="5" customFormat="1" ht="18.75" customHeight="1" x14ac:dyDescent="0.15">
      <c r="A100" s="7"/>
      <c r="B100" s="182"/>
      <c r="C100" s="183"/>
      <c r="D100" s="183"/>
      <c r="E100" s="184"/>
    </row>
    <row r="101" spans="1:5" s="5" customFormat="1" ht="18.75" customHeight="1" x14ac:dyDescent="0.15">
      <c r="A101" s="7"/>
      <c r="B101" s="182"/>
      <c r="C101" s="183"/>
      <c r="D101" s="183"/>
      <c r="E101" s="184"/>
    </row>
    <row r="102" spans="1:5" s="5" customFormat="1" ht="18.75" customHeight="1" x14ac:dyDescent="0.15">
      <c r="A102" s="7"/>
      <c r="B102" s="182"/>
      <c r="C102" s="183"/>
      <c r="D102" s="183"/>
      <c r="E102" s="184"/>
    </row>
    <row r="103" spans="1:5" s="5" customFormat="1" ht="18.75" customHeight="1" x14ac:dyDescent="0.15">
      <c r="A103" s="7"/>
      <c r="B103" s="182"/>
      <c r="C103" s="183"/>
      <c r="D103" s="183"/>
      <c r="E103" s="184"/>
    </row>
    <row r="104" spans="1:5" s="5" customFormat="1" ht="18.75" customHeight="1" x14ac:dyDescent="0.15">
      <c r="A104" s="7"/>
      <c r="B104" s="182"/>
      <c r="C104" s="183"/>
      <c r="D104" s="183"/>
      <c r="E104" s="184"/>
    </row>
    <row r="105" spans="1:5" s="5" customFormat="1" ht="18.75" customHeight="1" x14ac:dyDescent="0.15">
      <c r="A105" s="7"/>
      <c r="B105" s="182"/>
      <c r="C105" s="183"/>
      <c r="D105" s="183"/>
      <c r="E105" s="184"/>
    </row>
    <row r="106" spans="1:5" s="5" customFormat="1" ht="18.75" customHeight="1" x14ac:dyDescent="0.15">
      <c r="A106" s="7"/>
      <c r="B106" s="182"/>
      <c r="C106" s="183"/>
      <c r="D106" s="183"/>
      <c r="E106" s="184"/>
    </row>
    <row r="107" spans="1:5" s="5" customFormat="1" ht="18.75" customHeight="1" x14ac:dyDescent="0.15">
      <c r="A107" s="7"/>
      <c r="B107" s="182"/>
      <c r="C107" s="183"/>
      <c r="D107" s="183"/>
      <c r="E107" s="184"/>
    </row>
    <row r="108" spans="1:5" s="5" customFormat="1" ht="18.75" customHeight="1" x14ac:dyDescent="0.15">
      <c r="A108" s="7"/>
      <c r="B108" s="182"/>
      <c r="C108" s="183"/>
      <c r="D108" s="183"/>
      <c r="E108" s="184"/>
    </row>
    <row r="109" spans="1:5" s="5" customFormat="1" ht="18.75" customHeight="1" x14ac:dyDescent="0.15">
      <c r="A109" s="7"/>
      <c r="B109" s="182"/>
      <c r="C109" s="183"/>
      <c r="D109" s="183"/>
      <c r="E109" s="184"/>
    </row>
    <row r="110" spans="1:5" ht="18.75" customHeight="1" x14ac:dyDescent="0.15">
      <c r="A110" s="43"/>
      <c r="B110" s="182"/>
      <c r="C110" s="183"/>
      <c r="D110" s="183"/>
      <c r="E110" s="184"/>
    </row>
    <row r="111" spans="1:5" ht="18.75" customHeight="1" x14ac:dyDescent="0.15">
      <c r="A111" s="43"/>
      <c r="B111" s="185"/>
      <c r="C111" s="186"/>
      <c r="D111" s="186"/>
      <c r="E111" s="187"/>
    </row>
    <row r="112" spans="1:5" ht="7.5" customHeight="1" x14ac:dyDescent="0.15">
      <c r="A112" s="43"/>
      <c r="B112" s="43"/>
      <c r="C112" s="43"/>
      <c r="D112" s="43"/>
      <c r="E112" s="43"/>
    </row>
    <row r="113" spans="1:5" s="5" customFormat="1" ht="18.75" customHeight="1" x14ac:dyDescent="0.15">
      <c r="A113" s="7" t="s">
        <v>61</v>
      </c>
      <c r="B113" s="191" t="s">
        <v>133</v>
      </c>
      <c r="C113" s="191"/>
      <c r="D113" s="191"/>
      <c r="E113" s="191"/>
    </row>
    <row r="114" spans="1:5" ht="18.75" customHeight="1" x14ac:dyDescent="0.15">
      <c r="A114" s="43"/>
      <c r="B114" s="179" t="s">
        <v>170</v>
      </c>
      <c r="C114" s="180"/>
      <c r="D114" s="180"/>
      <c r="E114" s="181"/>
    </row>
    <row r="115" spans="1:5" ht="18.75" customHeight="1" x14ac:dyDescent="0.15">
      <c r="A115" s="43"/>
      <c r="B115" s="182"/>
      <c r="C115" s="183"/>
      <c r="D115" s="183"/>
      <c r="E115" s="184"/>
    </row>
    <row r="116" spans="1:5" ht="18.75" customHeight="1" x14ac:dyDescent="0.15">
      <c r="A116" s="43"/>
      <c r="B116" s="182"/>
      <c r="C116" s="183"/>
      <c r="D116" s="183"/>
      <c r="E116" s="184"/>
    </row>
    <row r="117" spans="1:5" ht="18.75" customHeight="1" x14ac:dyDescent="0.15">
      <c r="A117" s="43"/>
      <c r="B117" s="182"/>
      <c r="C117" s="183"/>
      <c r="D117" s="183"/>
      <c r="E117" s="184"/>
    </row>
    <row r="118" spans="1:5" ht="18.75" customHeight="1" x14ac:dyDescent="0.15">
      <c r="A118" s="43"/>
      <c r="B118" s="182"/>
      <c r="C118" s="183"/>
      <c r="D118" s="183"/>
      <c r="E118" s="184"/>
    </row>
    <row r="119" spans="1:5" ht="18.75" customHeight="1" x14ac:dyDescent="0.15">
      <c r="A119" s="43"/>
      <c r="B119" s="182"/>
      <c r="C119" s="183"/>
      <c r="D119" s="183"/>
      <c r="E119" s="184"/>
    </row>
    <row r="120" spans="1:5" ht="18.75" customHeight="1" x14ac:dyDescent="0.15">
      <c r="A120" s="43"/>
      <c r="B120" s="182"/>
      <c r="C120" s="183"/>
      <c r="D120" s="183"/>
      <c r="E120" s="184"/>
    </row>
    <row r="121" spans="1:5" ht="18.75" customHeight="1" x14ac:dyDescent="0.15">
      <c r="A121" s="43"/>
      <c r="B121" s="182"/>
      <c r="C121" s="183"/>
      <c r="D121" s="183"/>
      <c r="E121" s="184"/>
    </row>
    <row r="122" spans="1:5" ht="18.75" customHeight="1" x14ac:dyDescent="0.15">
      <c r="A122" s="43"/>
      <c r="B122" s="182"/>
      <c r="C122" s="183"/>
      <c r="D122" s="183"/>
      <c r="E122" s="184"/>
    </row>
    <row r="123" spans="1:5" ht="18.75" customHeight="1" x14ac:dyDescent="0.15">
      <c r="A123" s="43"/>
      <c r="B123" s="182"/>
      <c r="C123" s="183"/>
      <c r="D123" s="183"/>
      <c r="E123" s="184"/>
    </row>
    <row r="124" spans="1:5" ht="18.75" customHeight="1" x14ac:dyDescent="0.15">
      <c r="A124" s="43"/>
      <c r="B124" s="182"/>
      <c r="C124" s="183"/>
      <c r="D124" s="183"/>
      <c r="E124" s="184"/>
    </row>
    <row r="125" spans="1:5" ht="18.75" customHeight="1" x14ac:dyDescent="0.15">
      <c r="A125" s="43"/>
      <c r="B125" s="182"/>
      <c r="C125" s="183"/>
      <c r="D125" s="183"/>
      <c r="E125" s="184"/>
    </row>
    <row r="126" spans="1:5" ht="18.75" customHeight="1" x14ac:dyDescent="0.15">
      <c r="A126" s="43"/>
      <c r="B126" s="182"/>
      <c r="C126" s="183"/>
      <c r="D126" s="183"/>
      <c r="E126" s="184"/>
    </row>
    <row r="127" spans="1:5" ht="18.75" customHeight="1" x14ac:dyDescent="0.15">
      <c r="A127" s="43"/>
      <c r="B127" s="182"/>
      <c r="C127" s="183"/>
      <c r="D127" s="183"/>
      <c r="E127" s="184"/>
    </row>
    <row r="128" spans="1:5" ht="18.75" customHeight="1" x14ac:dyDescent="0.15">
      <c r="A128" s="43"/>
      <c r="B128" s="182"/>
      <c r="C128" s="183"/>
      <c r="D128" s="183"/>
      <c r="E128" s="184"/>
    </row>
    <row r="129" spans="1:5" ht="18.75" customHeight="1" x14ac:dyDescent="0.15">
      <c r="A129" s="43"/>
      <c r="B129" s="182"/>
      <c r="C129" s="183"/>
      <c r="D129" s="183"/>
      <c r="E129" s="184"/>
    </row>
    <row r="130" spans="1:5" ht="18.75" customHeight="1" x14ac:dyDescent="0.15">
      <c r="A130" s="43"/>
      <c r="B130" s="182"/>
      <c r="C130" s="183"/>
      <c r="D130" s="183"/>
      <c r="E130" s="184"/>
    </row>
    <row r="131" spans="1:5" ht="18.75" customHeight="1" x14ac:dyDescent="0.15">
      <c r="A131" s="43"/>
      <c r="B131" s="182"/>
      <c r="C131" s="183"/>
      <c r="D131" s="183"/>
      <c r="E131" s="184"/>
    </row>
    <row r="132" spans="1:5" ht="18.75" customHeight="1" x14ac:dyDescent="0.15">
      <c r="A132" s="43"/>
      <c r="B132" s="182"/>
      <c r="C132" s="183"/>
      <c r="D132" s="183"/>
      <c r="E132" s="184"/>
    </row>
    <row r="133" spans="1:5" ht="18.75" customHeight="1" x14ac:dyDescent="0.15">
      <c r="A133" s="43"/>
      <c r="B133" s="185"/>
      <c r="C133" s="186"/>
      <c r="D133" s="186"/>
      <c r="E133" s="187"/>
    </row>
    <row r="134" spans="1:5" ht="7.5" customHeight="1" x14ac:dyDescent="0.15">
      <c r="A134" s="43"/>
      <c r="B134" s="44"/>
      <c r="C134" s="44"/>
      <c r="D134" s="44"/>
      <c r="E134" s="44"/>
    </row>
    <row r="135" spans="1:5" ht="18.75" customHeight="1" x14ac:dyDescent="0.15">
      <c r="A135" s="43"/>
      <c r="B135" s="43"/>
      <c r="C135" s="43"/>
      <c r="D135" s="43"/>
      <c r="E135" s="43"/>
    </row>
    <row r="136" spans="1:5" ht="18.75" customHeight="1" x14ac:dyDescent="0.15">
      <c r="A136" s="43"/>
      <c r="B136" s="43"/>
      <c r="C136" s="43"/>
      <c r="D136" s="43"/>
      <c r="E136" s="43"/>
    </row>
    <row r="137" spans="1:5" ht="18.75" customHeight="1" x14ac:dyDescent="0.15">
      <c r="A137" s="43"/>
      <c r="B137" s="43"/>
      <c r="C137" s="43"/>
      <c r="D137" s="43"/>
      <c r="E137" s="43"/>
    </row>
    <row r="138" spans="1:5" ht="18.75" customHeight="1" x14ac:dyDescent="0.15">
      <c r="A138" s="43"/>
      <c r="B138" s="43"/>
      <c r="C138" s="43"/>
      <c r="D138" s="43"/>
      <c r="E138" s="43"/>
    </row>
    <row r="139" spans="1:5" ht="18.75" customHeight="1" x14ac:dyDescent="0.15">
      <c r="A139" s="43"/>
      <c r="B139" s="43"/>
      <c r="C139" s="43"/>
      <c r="D139" s="43"/>
      <c r="E139" s="43"/>
    </row>
    <row r="140" spans="1:5" ht="18.75" customHeight="1" x14ac:dyDescent="0.15">
      <c r="A140" s="43"/>
      <c r="B140" s="43"/>
      <c r="C140" s="43"/>
      <c r="D140" s="43"/>
      <c r="E140" s="43"/>
    </row>
    <row r="141" spans="1:5" ht="18.75" customHeight="1" x14ac:dyDescent="0.15">
      <c r="A141" s="43"/>
      <c r="B141" s="43"/>
      <c r="C141" s="43"/>
      <c r="D141" s="43"/>
      <c r="E141" s="43"/>
    </row>
    <row r="142" spans="1:5" ht="18.75" customHeight="1" x14ac:dyDescent="0.15">
      <c r="A142" s="43"/>
      <c r="B142" s="43"/>
      <c r="C142" s="43"/>
      <c r="D142" s="43"/>
      <c r="E142" s="43"/>
    </row>
    <row r="143" spans="1:5" ht="18.75" customHeight="1" x14ac:dyDescent="0.15">
      <c r="A143" s="43"/>
      <c r="B143" s="43"/>
      <c r="C143" s="43"/>
      <c r="D143" s="43"/>
      <c r="E143" s="43"/>
    </row>
    <row r="144" spans="1:5" ht="18.75" customHeight="1" x14ac:dyDescent="0.15">
      <c r="A144" s="43"/>
      <c r="B144" s="43"/>
      <c r="C144" s="43"/>
      <c r="D144" s="43"/>
      <c r="E144" s="43"/>
    </row>
    <row r="145" spans="1:5" ht="18.75" customHeight="1" x14ac:dyDescent="0.15">
      <c r="A145" s="43"/>
      <c r="B145" s="43"/>
      <c r="C145" s="43"/>
      <c r="D145" s="43"/>
      <c r="E145" s="43"/>
    </row>
    <row r="146" spans="1:5" ht="18.75" customHeight="1" x14ac:dyDescent="0.15">
      <c r="A146" s="43"/>
      <c r="B146" s="43"/>
      <c r="C146" s="43"/>
      <c r="D146" s="43"/>
      <c r="E146" s="43"/>
    </row>
    <row r="147" spans="1:5" ht="14.25" x14ac:dyDescent="0.15">
      <c r="A147" s="43"/>
      <c r="B147" s="43"/>
      <c r="C147" s="43"/>
      <c r="D147" s="43"/>
      <c r="E147" s="43"/>
    </row>
    <row r="148" spans="1:5" ht="7.5" customHeight="1" x14ac:dyDescent="0.15">
      <c r="A148" s="45"/>
      <c r="B148" s="45"/>
      <c r="C148" s="45"/>
      <c r="D148" s="45"/>
      <c r="E148" s="45"/>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28"/>
  <sheetViews>
    <sheetView showZeros="0" view="pageBreakPreview" zoomScaleNormal="115" zoomScaleSheetLayoutView="100" workbookViewId="0"/>
  </sheetViews>
  <sheetFormatPr defaultColWidth="11.375" defaultRowHeight="22.5" customHeight="1" x14ac:dyDescent="0.15"/>
  <cols>
    <col min="1" max="3" width="2.5" style="4" customWidth="1"/>
    <col min="4" max="4" width="22.5" style="4" customWidth="1"/>
    <col min="5" max="5" width="21.125" style="4" customWidth="1"/>
    <col min="6" max="7" width="7.5" style="4" customWidth="1"/>
    <col min="8" max="8" width="32.5" style="4" customWidth="1"/>
    <col min="9" max="9" width="24.875" style="4" customWidth="1"/>
    <col min="10" max="10" width="6.125" style="4" customWidth="1"/>
    <col min="11" max="11" width="4.125" style="4" customWidth="1"/>
    <col min="12" max="16384" width="11.375" style="4"/>
  </cols>
  <sheetData>
    <row r="1" spans="1:10" ht="18.75" customHeight="1" x14ac:dyDescent="0.15">
      <c r="J1" s="16" t="s">
        <v>8</v>
      </c>
    </row>
    <row r="2" spans="1:10" ht="18.75" customHeight="1" x14ac:dyDescent="0.15">
      <c r="D2" s="16"/>
      <c r="H2" s="16" t="s">
        <v>30</v>
      </c>
      <c r="I2" s="128" t="s">
        <v>155</v>
      </c>
      <c r="J2" s="128"/>
    </row>
    <row r="3" spans="1:10" ht="18.75" customHeight="1" x14ac:dyDescent="0.15">
      <c r="A3" s="106" t="s">
        <v>49</v>
      </c>
      <c r="B3" s="106"/>
      <c r="C3" s="106"/>
      <c r="D3" s="106"/>
      <c r="E3" s="106"/>
      <c r="F3" s="106"/>
      <c r="G3" s="106"/>
      <c r="H3" s="106"/>
      <c r="I3" s="106"/>
      <c r="J3" s="106"/>
    </row>
    <row r="4" spans="1:10" ht="7.5" customHeight="1" x14ac:dyDescent="0.15">
      <c r="B4" s="46"/>
      <c r="C4" s="46"/>
      <c r="D4" s="215"/>
      <c r="E4" s="215"/>
      <c r="F4" s="215"/>
      <c r="G4" s="215"/>
      <c r="H4" s="215"/>
      <c r="I4" s="215"/>
      <c r="J4" s="215"/>
    </row>
    <row r="5" spans="1:10" ht="18.75" customHeight="1" x14ac:dyDescent="0.15">
      <c r="A5" s="4" t="s">
        <v>6</v>
      </c>
      <c r="B5" s="5" t="s">
        <v>47</v>
      </c>
      <c r="C5" s="46"/>
      <c r="D5" s="46"/>
      <c r="E5" s="46"/>
      <c r="F5" s="46"/>
      <c r="G5" s="46"/>
      <c r="H5" s="46"/>
      <c r="I5" s="46"/>
      <c r="J5" s="46"/>
    </row>
    <row r="6" spans="1:10" ht="18.75" customHeight="1" x14ac:dyDescent="0.15">
      <c r="B6" s="89" t="s">
        <v>44</v>
      </c>
      <c r="C6" s="90"/>
      <c r="D6" s="91"/>
      <c r="E6" s="90" t="s">
        <v>46</v>
      </c>
      <c r="F6" s="90"/>
      <c r="G6" s="90"/>
      <c r="H6" s="90"/>
      <c r="I6" s="90"/>
      <c r="J6" s="91"/>
    </row>
    <row r="7" spans="1:10" ht="18.75" customHeight="1" x14ac:dyDescent="0.15">
      <c r="B7" s="9" t="s">
        <v>34</v>
      </c>
      <c r="C7" s="43"/>
      <c r="D7" s="47"/>
      <c r="E7" s="11"/>
      <c r="F7" s="11"/>
      <c r="G7" s="11"/>
      <c r="H7" s="11"/>
      <c r="I7" s="43"/>
      <c r="J7" s="47"/>
    </row>
    <row r="8" spans="1:10" ht="202.5" customHeight="1" x14ac:dyDescent="0.15">
      <c r="B8" s="48"/>
      <c r="C8" s="205" t="s">
        <v>35</v>
      </c>
      <c r="D8" s="206"/>
      <c r="E8" s="209" t="s">
        <v>171</v>
      </c>
      <c r="F8" s="207"/>
      <c r="G8" s="207"/>
      <c r="H8" s="207"/>
      <c r="I8" s="207"/>
      <c r="J8" s="208"/>
    </row>
    <row r="9" spans="1:10" ht="202.5" customHeight="1" x14ac:dyDescent="0.15">
      <c r="B9" s="48"/>
      <c r="C9" s="203" t="s">
        <v>36</v>
      </c>
      <c r="D9" s="204"/>
      <c r="E9" s="209" t="s">
        <v>204</v>
      </c>
      <c r="F9" s="207"/>
      <c r="G9" s="207"/>
      <c r="H9" s="207"/>
      <c r="I9" s="207"/>
      <c r="J9" s="208"/>
    </row>
    <row r="10" spans="1:10" ht="172.5" customHeight="1" x14ac:dyDescent="0.15">
      <c r="B10" s="48"/>
      <c r="C10" s="205" t="s">
        <v>37</v>
      </c>
      <c r="D10" s="206"/>
      <c r="E10" s="209" t="s">
        <v>172</v>
      </c>
      <c r="F10" s="207"/>
      <c r="G10" s="207"/>
      <c r="H10" s="207"/>
      <c r="I10" s="207"/>
      <c r="J10" s="208"/>
    </row>
    <row r="11" spans="1:10" ht="172.5" customHeight="1" x14ac:dyDescent="0.15">
      <c r="B11" s="48"/>
      <c r="C11" s="205" t="s">
        <v>38</v>
      </c>
      <c r="D11" s="206"/>
      <c r="E11" s="209" t="s">
        <v>173</v>
      </c>
      <c r="F11" s="207"/>
      <c r="G11" s="207"/>
      <c r="H11" s="207"/>
      <c r="I11" s="207"/>
      <c r="J11" s="208"/>
    </row>
    <row r="12" spans="1:10" ht="172.5" customHeight="1" x14ac:dyDescent="0.15">
      <c r="B12" s="86"/>
      <c r="C12" s="205" t="s">
        <v>39</v>
      </c>
      <c r="D12" s="206"/>
      <c r="E12" s="209" t="s">
        <v>174</v>
      </c>
      <c r="F12" s="207"/>
      <c r="G12" s="207"/>
      <c r="H12" s="207"/>
      <c r="I12" s="207"/>
      <c r="J12" s="208"/>
    </row>
    <row r="13" spans="1:10" ht="18.75" customHeight="1" x14ac:dyDescent="0.15">
      <c r="B13" s="49" t="s">
        <v>40</v>
      </c>
      <c r="C13" s="50"/>
      <c r="D13" s="51"/>
      <c r="E13" s="52"/>
      <c r="F13" s="52"/>
      <c r="G13" s="52"/>
      <c r="H13" s="52"/>
      <c r="I13" s="52"/>
      <c r="J13" s="53"/>
    </row>
    <row r="14" spans="1:10" ht="255" customHeight="1" x14ac:dyDescent="0.15">
      <c r="B14" s="48"/>
      <c r="C14" s="205" t="s">
        <v>41</v>
      </c>
      <c r="D14" s="206"/>
      <c r="E14" s="207" t="s">
        <v>175</v>
      </c>
      <c r="F14" s="207"/>
      <c r="G14" s="207"/>
      <c r="H14" s="207"/>
      <c r="I14" s="207"/>
      <c r="J14" s="208"/>
    </row>
    <row r="15" spans="1:10" ht="255" customHeight="1" x14ac:dyDescent="0.15">
      <c r="B15" s="87"/>
      <c r="C15" s="205" t="s">
        <v>42</v>
      </c>
      <c r="D15" s="206"/>
      <c r="E15" s="209" t="s">
        <v>176</v>
      </c>
      <c r="F15" s="207"/>
      <c r="G15" s="207"/>
      <c r="H15" s="207"/>
      <c r="I15" s="207"/>
      <c r="J15" s="208"/>
    </row>
    <row r="16" spans="1:10" ht="261.75" customHeight="1" x14ac:dyDescent="0.15">
      <c r="B16" s="210" t="s">
        <v>43</v>
      </c>
      <c r="C16" s="211"/>
      <c r="D16" s="206"/>
      <c r="E16" s="207" t="s">
        <v>177</v>
      </c>
      <c r="F16" s="207"/>
      <c r="G16" s="207"/>
      <c r="H16" s="207"/>
      <c r="I16" s="207"/>
      <c r="J16" s="208"/>
    </row>
    <row r="17" spans="1:10" ht="232.5" customHeight="1" x14ac:dyDescent="0.15">
      <c r="B17" s="200" t="s">
        <v>86</v>
      </c>
      <c r="C17" s="201"/>
      <c r="D17" s="202"/>
      <c r="E17" s="198" t="s">
        <v>178</v>
      </c>
      <c r="F17" s="198"/>
      <c r="G17" s="198"/>
      <c r="H17" s="198"/>
      <c r="I17" s="198"/>
      <c r="J17" s="199"/>
    </row>
    <row r="18" spans="1:10" ht="3.75" hidden="1" customHeight="1" x14ac:dyDescent="0.15">
      <c r="B18" s="46"/>
      <c r="C18" s="46"/>
      <c r="D18" s="46"/>
      <c r="E18" s="46"/>
      <c r="F18" s="46"/>
      <c r="G18" s="46"/>
      <c r="H18" s="46"/>
      <c r="I18" s="46"/>
      <c r="J18" s="46"/>
    </row>
    <row r="19" spans="1:10" ht="15" customHeight="1" x14ac:dyDescent="0.15">
      <c r="B19" s="5"/>
      <c r="C19" s="46"/>
      <c r="D19" s="46"/>
      <c r="E19" s="46"/>
      <c r="F19" s="54"/>
      <c r="G19" s="54"/>
      <c r="H19" s="55" t="s">
        <v>114</v>
      </c>
      <c r="I19" s="56"/>
      <c r="J19" s="84"/>
    </row>
    <row r="20" spans="1:10" ht="18.75" customHeight="1" x14ac:dyDescent="0.15">
      <c r="A20" s="11" t="s">
        <v>11</v>
      </c>
      <c r="B20" s="57" t="s">
        <v>48</v>
      </c>
      <c r="C20" s="58"/>
      <c r="D20" s="58"/>
      <c r="E20" s="58"/>
      <c r="F20" s="40" t="s">
        <v>212</v>
      </c>
      <c r="G20" s="54"/>
      <c r="H20" s="212" t="s">
        <v>213</v>
      </c>
      <c r="I20" s="213"/>
      <c r="J20" s="214"/>
    </row>
    <row r="21" spans="1:10" ht="22.5" customHeight="1" x14ac:dyDescent="0.15">
      <c r="B21" s="46"/>
      <c r="C21" s="46"/>
      <c r="D21" s="46"/>
      <c r="E21" s="46"/>
      <c r="F21" s="46"/>
      <c r="G21" s="46"/>
      <c r="H21" s="46"/>
      <c r="I21" s="46"/>
      <c r="J21" s="46"/>
    </row>
    <row r="22" spans="1:10" ht="22.5" customHeight="1" x14ac:dyDescent="0.15">
      <c r="B22" s="46"/>
      <c r="C22" s="46"/>
      <c r="D22" s="46"/>
      <c r="E22" s="46"/>
      <c r="F22" s="46"/>
      <c r="G22" s="46"/>
      <c r="H22" s="46"/>
      <c r="I22" s="46"/>
      <c r="J22" s="46"/>
    </row>
    <row r="23" spans="1:10" ht="22.5" customHeight="1" x14ac:dyDescent="0.15">
      <c r="B23" s="46"/>
      <c r="C23" s="46"/>
      <c r="D23" s="46"/>
      <c r="E23" s="46"/>
      <c r="F23" s="46"/>
      <c r="G23" s="46"/>
      <c r="H23" s="46"/>
      <c r="I23" s="46"/>
      <c r="J23" s="46"/>
    </row>
    <row r="24" spans="1:10" ht="22.5" customHeight="1" x14ac:dyDescent="0.15">
      <c r="B24" s="46"/>
      <c r="C24" s="46"/>
      <c r="D24" s="46"/>
      <c r="E24" s="46"/>
      <c r="F24" s="46"/>
      <c r="G24" s="46"/>
      <c r="H24" s="46"/>
      <c r="I24" s="46"/>
      <c r="J24" s="46"/>
    </row>
    <row r="25" spans="1:10" ht="22.5" customHeight="1" x14ac:dyDescent="0.15">
      <c r="B25" s="46"/>
      <c r="C25" s="46"/>
      <c r="D25" s="46"/>
      <c r="E25" s="46"/>
      <c r="F25" s="46"/>
      <c r="G25" s="46"/>
      <c r="H25" s="46"/>
      <c r="I25" s="46"/>
      <c r="J25" s="46"/>
    </row>
    <row r="26" spans="1:10" ht="22.5" customHeight="1" x14ac:dyDescent="0.15">
      <c r="B26" s="33"/>
      <c r="C26" s="33"/>
      <c r="D26" s="33"/>
      <c r="E26" s="33"/>
      <c r="F26" s="33"/>
      <c r="G26" s="33"/>
      <c r="H26" s="33"/>
      <c r="I26" s="33"/>
      <c r="J26" s="33"/>
    </row>
    <row r="27" spans="1:10" ht="22.5" customHeight="1" x14ac:dyDescent="0.15">
      <c r="B27" s="33"/>
      <c r="C27" s="33"/>
      <c r="D27" s="33"/>
      <c r="E27" s="33"/>
      <c r="F27" s="33"/>
      <c r="G27" s="33"/>
      <c r="H27" s="33"/>
      <c r="I27" s="33"/>
      <c r="J27" s="33"/>
    </row>
    <row r="28" spans="1:10" ht="22.5" customHeight="1" x14ac:dyDescent="0.15">
      <c r="B28" s="33"/>
      <c r="C28" s="33"/>
      <c r="D28" s="33"/>
      <c r="E28" s="33"/>
      <c r="F28" s="33"/>
      <c r="G28" s="33"/>
      <c r="H28" s="33"/>
      <c r="I28" s="33"/>
      <c r="J28" s="33"/>
    </row>
  </sheetData>
  <mergeCells count="24">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 ref="B17:D17"/>
    <mergeCell ref="C9:D9"/>
    <mergeCell ref="C14:D14"/>
    <mergeCell ref="E14:J14"/>
    <mergeCell ref="C15:D15"/>
    <mergeCell ref="E15:J15"/>
    <mergeCell ref="B16:D16"/>
    <mergeCell ref="E16:J16"/>
  </mergeCells>
  <phoneticPr fontId="1"/>
  <dataValidations count="2">
    <dataValidation type="list" allowBlank="1" showInputMessage="1" showErrorMessage="1" sqref="F19:G19" xr:uid="{00000000-0002-0000-0500-000000000000}">
      <formula1>#REF!</formula1>
    </dataValidation>
    <dataValidation type="list" allowBlank="1" showInputMessage="1" showErrorMessage="1" sqref="F20" xr:uid="{00000000-0002-0000-0500-000001000000}">
      <formula1>"有,無,予定"</formula1>
    </dataValidation>
  </dataValidations>
  <hyperlinks>
    <hyperlink ref="H20" r:id="rId1" xr:uid="{CA14D47C-6858-43AE-A000-74FED2DD7F3F}"/>
  </hyperlinks>
  <printOptions horizontalCentered="1"/>
  <pageMargins left="0.78740157480314965" right="0.78740157480314965" top="0.78740157480314965" bottom="0.78740157480314965" header="0.31496062992125984" footer="0.31496062992125984"/>
  <pageSetup paperSize="9" fitToHeight="0" orientation="landscape" horizontalDpi="4294967293" r:id="rId2"/>
  <rowBreaks count="2" manualBreakCount="2">
    <brk id="12" max="9" man="1"/>
    <brk id="15" max="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0583D-EC9B-4E49-8165-779C17D59326}">
  <sheetPr>
    <pageSetUpPr fitToPage="1"/>
  </sheetPr>
  <dimension ref="A1:F130"/>
  <sheetViews>
    <sheetView showZeros="0" view="pageBreakPreview" zoomScale="150" zoomScaleNormal="150" zoomScaleSheetLayoutView="150" workbookViewId="0"/>
  </sheetViews>
  <sheetFormatPr defaultColWidth="11.375" defaultRowHeight="18.75" customHeight="1" x14ac:dyDescent="0.15"/>
  <cols>
    <col min="1" max="1" width="2.5" style="4" customWidth="1"/>
    <col min="2" max="2" width="15" style="4" customWidth="1"/>
    <col min="3" max="3" width="37.5" style="4" customWidth="1"/>
    <col min="4" max="4" width="1.125" style="4" customWidth="1"/>
    <col min="5" max="5" width="21.125" style="4" customWidth="1"/>
    <col min="6" max="6" width="8.625" style="4" customWidth="1"/>
    <col min="7" max="8" width="2.125" style="4" customWidth="1"/>
    <col min="9" max="16384" width="11.375" style="4"/>
  </cols>
  <sheetData>
    <row r="1" spans="1:6" ht="18.75" customHeight="1" x14ac:dyDescent="0.15">
      <c r="E1" s="101" t="s">
        <v>15</v>
      </c>
      <c r="F1" s="101"/>
    </row>
    <row r="2" spans="1:6" ht="18.75" customHeight="1" x14ac:dyDescent="0.15">
      <c r="C2" s="16" t="s">
        <v>87</v>
      </c>
      <c r="D2" s="16" t="s">
        <v>7</v>
      </c>
      <c r="E2" s="106" t="s">
        <v>207</v>
      </c>
      <c r="F2" s="106"/>
    </row>
    <row r="3" spans="1:6" ht="7.5" customHeight="1" x14ac:dyDescent="0.15">
      <c r="C3" s="16"/>
      <c r="D3" s="16"/>
      <c r="E3" s="31"/>
      <c r="F3" s="31"/>
    </row>
    <row r="4" spans="1:6" ht="18.75" customHeight="1" x14ac:dyDescent="0.15">
      <c r="A4" s="106" t="s">
        <v>124</v>
      </c>
      <c r="B4" s="106"/>
      <c r="C4" s="106"/>
      <c r="D4" s="106"/>
      <c r="E4" s="106"/>
      <c r="F4" s="106"/>
    </row>
    <row r="5" spans="1:6" ht="7.5" customHeight="1" x14ac:dyDescent="0.15">
      <c r="A5" s="31"/>
      <c r="B5" s="31"/>
      <c r="C5" s="31"/>
      <c r="D5" s="31"/>
      <c r="E5" s="31"/>
      <c r="F5" s="31"/>
    </row>
    <row r="6" spans="1:6" ht="18.75" customHeight="1" x14ac:dyDescent="0.15">
      <c r="A6" s="31" t="s">
        <v>6</v>
      </c>
      <c r="B6" s="5" t="s">
        <v>32</v>
      </c>
      <c r="C6" s="31"/>
      <c r="D6" s="31"/>
      <c r="E6" s="31"/>
      <c r="F6" s="31"/>
    </row>
    <row r="7" spans="1:6" ht="18.75" customHeight="1" x14ac:dyDescent="0.15">
      <c r="A7" s="31"/>
      <c r="B7" s="216" t="s">
        <v>179</v>
      </c>
      <c r="C7" s="120"/>
      <c r="D7" s="120"/>
      <c r="E7" s="120"/>
      <c r="F7" s="121"/>
    </row>
    <row r="8" spans="1:6" ht="18.75" customHeight="1" x14ac:dyDescent="0.15">
      <c r="A8" s="31"/>
      <c r="B8" s="122"/>
      <c r="C8" s="123"/>
      <c r="D8" s="123"/>
      <c r="E8" s="123"/>
      <c r="F8" s="124"/>
    </row>
    <row r="9" spans="1:6" ht="18.75" customHeight="1" x14ac:dyDescent="0.15">
      <c r="A9" s="31"/>
      <c r="B9" s="122"/>
      <c r="C9" s="123"/>
      <c r="D9" s="123"/>
      <c r="E9" s="123"/>
      <c r="F9" s="124"/>
    </row>
    <row r="10" spans="1:6" ht="18.75" customHeight="1" x14ac:dyDescent="0.15">
      <c r="A10" s="31"/>
      <c r="B10" s="122"/>
      <c r="C10" s="123"/>
      <c r="D10" s="123"/>
      <c r="E10" s="123"/>
      <c r="F10" s="124"/>
    </row>
    <row r="11" spans="1:6" ht="18.75" customHeight="1" x14ac:dyDescent="0.15">
      <c r="A11" s="31"/>
      <c r="B11" s="122"/>
      <c r="C11" s="123"/>
      <c r="D11" s="123"/>
      <c r="E11" s="123"/>
      <c r="F11" s="124"/>
    </row>
    <row r="12" spans="1:6" ht="18.75" customHeight="1" x14ac:dyDescent="0.15">
      <c r="A12" s="31"/>
      <c r="B12" s="122"/>
      <c r="C12" s="123"/>
      <c r="D12" s="123"/>
      <c r="E12" s="123"/>
      <c r="F12" s="124"/>
    </row>
    <row r="13" spans="1:6" ht="18.75" customHeight="1" x14ac:dyDescent="0.15">
      <c r="A13" s="31"/>
      <c r="B13" s="122"/>
      <c r="C13" s="123"/>
      <c r="D13" s="123"/>
      <c r="E13" s="123"/>
      <c r="F13" s="124"/>
    </row>
    <row r="14" spans="1:6" ht="18.75" customHeight="1" x14ac:dyDescent="0.15">
      <c r="A14" s="31"/>
      <c r="B14" s="122"/>
      <c r="C14" s="123"/>
      <c r="D14" s="123"/>
      <c r="E14" s="123"/>
      <c r="F14" s="124"/>
    </row>
    <row r="15" spans="1:6" ht="18.75" customHeight="1" x14ac:dyDescent="0.15">
      <c r="A15" s="31"/>
      <c r="B15" s="122"/>
      <c r="C15" s="123"/>
      <c r="D15" s="123"/>
      <c r="E15" s="123"/>
      <c r="F15" s="124"/>
    </row>
    <row r="16" spans="1:6" ht="18.75" customHeight="1" x14ac:dyDescent="0.15">
      <c r="A16" s="31"/>
      <c r="B16" s="122"/>
      <c r="C16" s="123"/>
      <c r="D16" s="123"/>
      <c r="E16" s="123"/>
      <c r="F16" s="124"/>
    </row>
    <row r="17" spans="1:6" ht="18.75" customHeight="1" x14ac:dyDescent="0.15">
      <c r="A17" s="31"/>
      <c r="B17" s="122"/>
      <c r="C17" s="123"/>
      <c r="D17" s="123"/>
      <c r="E17" s="123"/>
      <c r="F17" s="124"/>
    </row>
    <row r="18" spans="1:6" ht="18.75" customHeight="1" x14ac:dyDescent="0.15">
      <c r="A18" s="31"/>
      <c r="B18" s="122"/>
      <c r="C18" s="123"/>
      <c r="D18" s="123"/>
      <c r="E18" s="123"/>
      <c r="F18" s="124"/>
    </row>
    <row r="19" spans="1:6" ht="18.75" customHeight="1" x14ac:dyDescent="0.15">
      <c r="A19" s="31"/>
      <c r="B19" s="122"/>
      <c r="C19" s="123"/>
      <c r="D19" s="123"/>
      <c r="E19" s="123"/>
      <c r="F19" s="124"/>
    </row>
    <row r="20" spans="1:6" ht="18.75" customHeight="1" x14ac:dyDescent="0.15">
      <c r="A20" s="31"/>
      <c r="B20" s="122"/>
      <c r="C20" s="123"/>
      <c r="D20" s="123"/>
      <c r="E20" s="123"/>
      <c r="F20" s="124"/>
    </row>
    <row r="21" spans="1:6" ht="18.75" customHeight="1" x14ac:dyDescent="0.15">
      <c r="A21" s="31"/>
      <c r="B21" s="122"/>
      <c r="C21" s="123"/>
      <c r="D21" s="123"/>
      <c r="E21" s="123"/>
      <c r="F21" s="124"/>
    </row>
    <row r="22" spans="1:6" ht="18.75" customHeight="1" x14ac:dyDescent="0.15">
      <c r="A22" s="31"/>
      <c r="B22" s="122"/>
      <c r="C22" s="123"/>
      <c r="D22" s="123"/>
      <c r="E22" s="123"/>
      <c r="F22" s="124"/>
    </row>
    <row r="23" spans="1:6" ht="18.75" customHeight="1" x14ac:dyDescent="0.15">
      <c r="A23" s="31"/>
      <c r="B23" s="122"/>
      <c r="C23" s="123"/>
      <c r="D23" s="123"/>
      <c r="E23" s="123"/>
      <c r="F23" s="124"/>
    </row>
    <row r="24" spans="1:6" ht="18.75" customHeight="1" x14ac:dyDescent="0.15">
      <c r="A24" s="31"/>
      <c r="B24" s="122"/>
      <c r="C24" s="123"/>
      <c r="D24" s="123"/>
      <c r="E24" s="123"/>
      <c r="F24" s="124"/>
    </row>
    <row r="25" spans="1:6" ht="18.75" customHeight="1" x14ac:dyDescent="0.15">
      <c r="A25" s="31"/>
      <c r="B25" s="122"/>
      <c r="C25" s="123"/>
      <c r="D25" s="123"/>
      <c r="E25" s="123"/>
      <c r="F25" s="124"/>
    </row>
    <row r="26" spans="1:6" ht="18.75" customHeight="1" x14ac:dyDescent="0.15">
      <c r="A26" s="31"/>
      <c r="B26" s="122"/>
      <c r="C26" s="123"/>
      <c r="D26" s="123"/>
      <c r="E26" s="123"/>
      <c r="F26" s="124"/>
    </row>
    <row r="27" spans="1:6" ht="18.75" customHeight="1" x14ac:dyDescent="0.15">
      <c r="A27" s="31"/>
      <c r="B27" s="122"/>
      <c r="C27" s="123"/>
      <c r="D27" s="123"/>
      <c r="E27" s="123"/>
      <c r="F27" s="124"/>
    </row>
    <row r="28" spans="1:6" ht="18.75" customHeight="1" x14ac:dyDescent="0.15">
      <c r="A28" s="31"/>
      <c r="B28" s="122"/>
      <c r="C28" s="123"/>
      <c r="D28" s="123"/>
      <c r="E28" s="123"/>
      <c r="F28" s="124"/>
    </row>
    <row r="29" spans="1:6" ht="18.75" customHeight="1" x14ac:dyDescent="0.15">
      <c r="A29" s="31"/>
      <c r="B29" s="122"/>
      <c r="C29" s="123"/>
      <c r="D29" s="123"/>
      <c r="E29" s="123"/>
      <c r="F29" s="124"/>
    </row>
    <row r="30" spans="1:6" ht="18.75" customHeight="1" x14ac:dyDescent="0.15">
      <c r="A30" s="31"/>
      <c r="B30" s="122"/>
      <c r="C30" s="123"/>
      <c r="D30" s="123"/>
      <c r="E30" s="123"/>
      <c r="F30" s="124"/>
    </row>
    <row r="31" spans="1:6" ht="18.75" customHeight="1" x14ac:dyDescent="0.15">
      <c r="A31" s="31"/>
      <c r="B31" s="122"/>
      <c r="C31" s="123"/>
      <c r="D31" s="123"/>
      <c r="E31" s="123"/>
      <c r="F31" s="124"/>
    </row>
    <row r="32" spans="1:6" ht="18.75" customHeight="1" x14ac:dyDescent="0.15">
      <c r="A32" s="31"/>
      <c r="B32" s="122"/>
      <c r="C32" s="123"/>
      <c r="D32" s="123"/>
      <c r="E32" s="123"/>
      <c r="F32" s="124"/>
    </row>
    <row r="33" spans="1:6" ht="18.75" customHeight="1" x14ac:dyDescent="0.15">
      <c r="A33" s="31"/>
      <c r="B33" s="122"/>
      <c r="C33" s="123"/>
      <c r="D33" s="123"/>
      <c r="E33" s="123"/>
      <c r="F33" s="124"/>
    </row>
    <row r="34" spans="1:6" ht="18.75" customHeight="1" x14ac:dyDescent="0.15">
      <c r="A34" s="31"/>
      <c r="B34" s="122"/>
      <c r="C34" s="123"/>
      <c r="D34" s="123"/>
      <c r="E34" s="123"/>
      <c r="F34" s="124"/>
    </row>
    <row r="35" spans="1:6" ht="18.75" customHeight="1" x14ac:dyDescent="0.15">
      <c r="A35" s="31"/>
      <c r="B35" s="122"/>
      <c r="C35" s="123"/>
      <c r="D35" s="123"/>
      <c r="E35" s="123"/>
      <c r="F35" s="124"/>
    </row>
    <row r="36" spans="1:6" ht="18.75" customHeight="1" x14ac:dyDescent="0.15">
      <c r="A36" s="31"/>
      <c r="B36" s="122"/>
      <c r="C36" s="123"/>
      <c r="D36" s="123"/>
      <c r="E36" s="123"/>
      <c r="F36" s="124"/>
    </row>
    <row r="37" spans="1:6" ht="18.75" customHeight="1" x14ac:dyDescent="0.15">
      <c r="A37" s="31"/>
      <c r="B37" s="122"/>
      <c r="C37" s="123"/>
      <c r="D37" s="123"/>
      <c r="E37" s="123"/>
      <c r="F37" s="124"/>
    </row>
    <row r="38" spans="1:6" ht="18.75" customHeight="1" x14ac:dyDescent="0.15">
      <c r="A38" s="31"/>
      <c r="B38" s="122"/>
      <c r="C38" s="123"/>
      <c r="D38" s="123"/>
      <c r="E38" s="123"/>
      <c r="F38" s="124"/>
    </row>
    <row r="39" spans="1:6" ht="18.75" customHeight="1" x14ac:dyDescent="0.15">
      <c r="A39" s="31"/>
      <c r="B39" s="122"/>
      <c r="C39" s="123"/>
      <c r="D39" s="123"/>
      <c r="E39" s="123"/>
      <c r="F39" s="124"/>
    </row>
    <row r="40" spans="1:6" ht="18.75" customHeight="1" x14ac:dyDescent="0.15">
      <c r="A40" s="31"/>
      <c r="B40" s="122"/>
      <c r="C40" s="123"/>
      <c r="D40" s="123"/>
      <c r="E40" s="123"/>
      <c r="F40" s="124"/>
    </row>
    <row r="41" spans="1:6" ht="18.75" customHeight="1" x14ac:dyDescent="0.15">
      <c r="A41" s="31"/>
      <c r="B41" s="122"/>
      <c r="C41" s="123"/>
      <c r="D41" s="123"/>
      <c r="E41" s="123"/>
      <c r="F41" s="124"/>
    </row>
    <row r="42" spans="1:6" ht="18.75" customHeight="1" x14ac:dyDescent="0.15">
      <c r="A42" s="31"/>
      <c r="B42" s="122"/>
      <c r="C42" s="123"/>
      <c r="D42" s="123"/>
      <c r="E42" s="123"/>
      <c r="F42" s="124"/>
    </row>
    <row r="43" spans="1:6" ht="18.75" customHeight="1" x14ac:dyDescent="0.15">
      <c r="A43" s="31"/>
      <c r="B43" s="122"/>
      <c r="C43" s="123"/>
      <c r="D43" s="123"/>
      <c r="E43" s="123"/>
      <c r="F43" s="124"/>
    </row>
    <row r="44" spans="1:6" ht="18.75" customHeight="1" x14ac:dyDescent="0.15">
      <c r="A44" s="31"/>
      <c r="B44" s="125"/>
      <c r="C44" s="126"/>
      <c r="D44" s="126"/>
      <c r="E44" s="126"/>
      <c r="F44" s="127"/>
    </row>
    <row r="45" spans="1:6" ht="14.25" x14ac:dyDescent="0.15">
      <c r="A45" s="31" t="s">
        <v>11</v>
      </c>
      <c r="B45" s="217" t="s">
        <v>165</v>
      </c>
      <c r="C45" s="217"/>
      <c r="D45" s="217"/>
      <c r="E45" s="217"/>
      <c r="F45" s="217"/>
    </row>
    <row r="46" spans="1:6" ht="18.75" customHeight="1" x14ac:dyDescent="0.15">
      <c r="A46" s="31"/>
      <c r="B46" s="216" t="s">
        <v>209</v>
      </c>
      <c r="C46" s="120"/>
      <c r="D46" s="120"/>
      <c r="E46" s="120"/>
      <c r="F46" s="121"/>
    </row>
    <row r="47" spans="1:6" ht="18.75" customHeight="1" x14ac:dyDescent="0.15">
      <c r="A47" s="31"/>
      <c r="B47" s="122"/>
      <c r="C47" s="123"/>
      <c r="D47" s="123"/>
      <c r="E47" s="123"/>
      <c r="F47" s="124"/>
    </row>
    <row r="48" spans="1:6" ht="18.75" customHeight="1" x14ac:dyDescent="0.15">
      <c r="A48" s="31"/>
      <c r="B48" s="122"/>
      <c r="C48" s="123"/>
      <c r="D48" s="123"/>
      <c r="E48" s="123"/>
      <c r="F48" s="124"/>
    </row>
    <row r="49" spans="1:6" ht="18.75" customHeight="1" x14ac:dyDescent="0.15">
      <c r="A49" s="31"/>
      <c r="B49" s="122"/>
      <c r="C49" s="123"/>
      <c r="D49" s="123"/>
      <c r="E49" s="123"/>
      <c r="F49" s="124"/>
    </row>
    <row r="50" spans="1:6" ht="18.75" customHeight="1" x14ac:dyDescent="0.15">
      <c r="A50" s="31"/>
      <c r="B50" s="122"/>
      <c r="C50" s="123"/>
      <c r="D50" s="123"/>
      <c r="E50" s="123"/>
      <c r="F50" s="124"/>
    </row>
    <row r="51" spans="1:6" ht="18.75" customHeight="1" x14ac:dyDescent="0.15">
      <c r="A51" s="31"/>
      <c r="B51" s="122"/>
      <c r="C51" s="123"/>
      <c r="D51" s="123"/>
      <c r="E51" s="123"/>
      <c r="F51" s="124"/>
    </row>
    <row r="52" spans="1:6" ht="18.75" customHeight="1" x14ac:dyDescent="0.15">
      <c r="A52" s="31"/>
      <c r="B52" s="122"/>
      <c r="C52" s="123"/>
      <c r="D52" s="123"/>
      <c r="E52" s="123"/>
      <c r="F52" s="124"/>
    </row>
    <row r="53" spans="1:6" ht="18.75" customHeight="1" x14ac:dyDescent="0.15">
      <c r="A53" s="31"/>
      <c r="B53" s="122"/>
      <c r="C53" s="123"/>
      <c r="D53" s="123"/>
      <c r="E53" s="123"/>
      <c r="F53" s="124"/>
    </row>
    <row r="54" spans="1:6" ht="18.75" customHeight="1" x14ac:dyDescent="0.15">
      <c r="A54" s="31"/>
      <c r="B54" s="122"/>
      <c r="C54" s="123"/>
      <c r="D54" s="123"/>
      <c r="E54" s="123"/>
      <c r="F54" s="124"/>
    </row>
    <row r="55" spans="1:6" ht="18.75" customHeight="1" x14ac:dyDescent="0.15">
      <c r="A55" s="31"/>
      <c r="B55" s="122"/>
      <c r="C55" s="123"/>
      <c r="D55" s="123"/>
      <c r="E55" s="123"/>
      <c r="F55" s="124"/>
    </row>
    <row r="56" spans="1:6" ht="18.75" customHeight="1" x14ac:dyDescent="0.15">
      <c r="A56" s="31"/>
      <c r="B56" s="122"/>
      <c r="C56" s="123"/>
      <c r="D56" s="123"/>
      <c r="E56" s="123"/>
      <c r="F56" s="124"/>
    </row>
    <row r="57" spans="1:6" ht="18.75" customHeight="1" x14ac:dyDescent="0.15">
      <c r="A57" s="31"/>
      <c r="B57" s="122"/>
      <c r="C57" s="123"/>
      <c r="D57" s="123"/>
      <c r="E57" s="123"/>
      <c r="F57" s="124"/>
    </row>
    <row r="58" spans="1:6" ht="18.75" customHeight="1" x14ac:dyDescent="0.15">
      <c r="A58" s="31"/>
      <c r="B58" s="122"/>
      <c r="C58" s="123"/>
      <c r="D58" s="123"/>
      <c r="E58" s="123"/>
      <c r="F58" s="124"/>
    </row>
    <row r="59" spans="1:6" ht="18.75" customHeight="1" x14ac:dyDescent="0.15">
      <c r="A59" s="31"/>
      <c r="B59" s="122"/>
      <c r="C59" s="123"/>
      <c r="D59" s="123"/>
      <c r="E59" s="123"/>
      <c r="F59" s="124"/>
    </row>
    <row r="60" spans="1:6" ht="18.75" customHeight="1" x14ac:dyDescent="0.15">
      <c r="A60" s="31"/>
      <c r="B60" s="122"/>
      <c r="C60" s="123"/>
      <c r="D60" s="123"/>
      <c r="E60" s="123"/>
      <c r="F60" s="124"/>
    </row>
    <row r="61" spans="1:6" ht="18.75" customHeight="1" x14ac:dyDescent="0.15">
      <c r="A61" s="31"/>
      <c r="B61" s="122"/>
      <c r="C61" s="123"/>
      <c r="D61" s="123"/>
      <c r="E61" s="123"/>
      <c r="F61" s="124"/>
    </row>
    <row r="62" spans="1:6" ht="18.75" customHeight="1" x14ac:dyDescent="0.15">
      <c r="A62" s="31"/>
      <c r="B62" s="122"/>
      <c r="C62" s="123"/>
      <c r="D62" s="123"/>
      <c r="E62" s="123"/>
      <c r="F62" s="124"/>
    </row>
    <row r="63" spans="1:6" ht="18.75" customHeight="1" x14ac:dyDescent="0.15">
      <c r="A63" s="31"/>
      <c r="B63" s="122"/>
      <c r="C63" s="123"/>
      <c r="D63" s="123"/>
      <c r="E63" s="123"/>
      <c r="F63" s="124"/>
    </row>
    <row r="64" spans="1:6" ht="18.75" customHeight="1" x14ac:dyDescent="0.15">
      <c r="A64" s="31"/>
      <c r="B64" s="122"/>
      <c r="C64" s="123"/>
      <c r="D64" s="123"/>
      <c r="E64" s="123"/>
      <c r="F64" s="124"/>
    </row>
    <row r="65" spans="1:6" ht="18.75" customHeight="1" x14ac:dyDescent="0.15">
      <c r="A65" s="31"/>
      <c r="B65" s="122"/>
      <c r="C65" s="123"/>
      <c r="D65" s="123"/>
      <c r="E65" s="123"/>
      <c r="F65" s="124"/>
    </row>
    <row r="66" spans="1:6" ht="18.75" customHeight="1" x14ac:dyDescent="0.15">
      <c r="A66" s="31"/>
      <c r="B66" s="122"/>
      <c r="C66" s="123"/>
      <c r="D66" s="123"/>
      <c r="E66" s="123"/>
      <c r="F66" s="124"/>
    </row>
    <row r="67" spans="1:6" ht="18.75" customHeight="1" x14ac:dyDescent="0.15">
      <c r="A67" s="31"/>
      <c r="B67" s="122"/>
      <c r="C67" s="123"/>
      <c r="D67" s="123"/>
      <c r="E67" s="123"/>
      <c r="F67" s="124"/>
    </row>
    <row r="68" spans="1:6" ht="18.75" customHeight="1" x14ac:dyDescent="0.15">
      <c r="A68" s="31"/>
      <c r="B68" s="122"/>
      <c r="C68" s="123"/>
      <c r="D68" s="123"/>
      <c r="E68" s="123"/>
      <c r="F68" s="124"/>
    </row>
    <row r="69" spans="1:6" ht="18.75" customHeight="1" x14ac:dyDescent="0.15">
      <c r="A69" s="31"/>
      <c r="B69" s="122"/>
      <c r="C69" s="123"/>
      <c r="D69" s="123"/>
      <c r="E69" s="123"/>
      <c r="F69" s="124"/>
    </row>
    <row r="70" spans="1:6" ht="18.75" customHeight="1" x14ac:dyDescent="0.15">
      <c r="A70" s="31"/>
      <c r="B70" s="122"/>
      <c r="C70" s="123"/>
      <c r="D70" s="123"/>
      <c r="E70" s="123"/>
      <c r="F70" s="124"/>
    </row>
    <row r="71" spans="1:6" ht="18.75" customHeight="1" x14ac:dyDescent="0.15">
      <c r="A71" s="31"/>
      <c r="B71" s="122"/>
      <c r="C71" s="123"/>
      <c r="D71" s="123"/>
      <c r="E71" s="123"/>
      <c r="F71" s="124"/>
    </row>
    <row r="72" spans="1:6" ht="18.75" customHeight="1" x14ac:dyDescent="0.15">
      <c r="A72" s="31"/>
      <c r="B72" s="122"/>
      <c r="C72" s="123"/>
      <c r="D72" s="123"/>
      <c r="E72" s="123"/>
      <c r="F72" s="124"/>
    </row>
    <row r="73" spans="1:6" ht="18.75" customHeight="1" x14ac:dyDescent="0.15">
      <c r="A73" s="31"/>
      <c r="B73" s="122"/>
      <c r="C73" s="123"/>
      <c r="D73" s="123"/>
      <c r="E73" s="123"/>
      <c r="F73" s="124"/>
    </row>
    <row r="74" spans="1:6" ht="18.75" customHeight="1" x14ac:dyDescent="0.15">
      <c r="A74" s="31"/>
      <c r="B74" s="122"/>
      <c r="C74" s="123"/>
      <c r="D74" s="123"/>
      <c r="E74" s="123"/>
      <c r="F74" s="124"/>
    </row>
    <row r="75" spans="1:6" ht="18.75" customHeight="1" x14ac:dyDescent="0.15">
      <c r="A75" s="31"/>
      <c r="B75" s="122"/>
      <c r="C75" s="123"/>
      <c r="D75" s="123"/>
      <c r="E75" s="123"/>
      <c r="F75" s="124"/>
    </row>
    <row r="76" spans="1:6" ht="18.75" customHeight="1" x14ac:dyDescent="0.15">
      <c r="A76" s="31"/>
      <c r="B76" s="122"/>
      <c r="C76" s="123"/>
      <c r="D76" s="123"/>
      <c r="E76" s="123"/>
      <c r="F76" s="124"/>
    </row>
    <row r="77" spans="1:6" ht="18.75" customHeight="1" x14ac:dyDescent="0.15">
      <c r="A77" s="31"/>
      <c r="B77" s="122"/>
      <c r="C77" s="123"/>
      <c r="D77" s="123"/>
      <c r="E77" s="123"/>
      <c r="F77" s="124"/>
    </row>
    <row r="78" spans="1:6" ht="18.75" customHeight="1" x14ac:dyDescent="0.15">
      <c r="A78" s="31"/>
      <c r="B78" s="122"/>
      <c r="C78" s="123"/>
      <c r="D78" s="123"/>
      <c r="E78" s="123"/>
      <c r="F78" s="124"/>
    </row>
    <row r="79" spans="1:6" ht="18.75" customHeight="1" x14ac:dyDescent="0.15">
      <c r="A79" s="31"/>
      <c r="B79" s="122"/>
      <c r="C79" s="123"/>
      <c r="D79" s="123"/>
      <c r="E79" s="123"/>
      <c r="F79" s="124"/>
    </row>
    <row r="80" spans="1:6" ht="18.75" customHeight="1" x14ac:dyDescent="0.15">
      <c r="A80" s="31"/>
      <c r="B80" s="122"/>
      <c r="C80" s="123"/>
      <c r="D80" s="123"/>
      <c r="E80" s="123"/>
      <c r="F80" s="124"/>
    </row>
    <row r="81" spans="1:6" ht="18.75" customHeight="1" x14ac:dyDescent="0.15">
      <c r="A81" s="31"/>
      <c r="B81" s="122"/>
      <c r="C81" s="123"/>
      <c r="D81" s="123"/>
      <c r="E81" s="123"/>
      <c r="F81" s="124"/>
    </row>
    <row r="82" spans="1:6" ht="18.75" customHeight="1" x14ac:dyDescent="0.15">
      <c r="A82" s="31"/>
      <c r="B82" s="122"/>
      <c r="C82" s="123"/>
      <c r="D82" s="123"/>
      <c r="E82" s="123"/>
      <c r="F82" s="124"/>
    </row>
    <row r="83" spans="1:6" ht="18.75" customHeight="1" x14ac:dyDescent="0.15">
      <c r="A83" s="31"/>
      <c r="B83" s="122"/>
      <c r="C83" s="123"/>
      <c r="D83" s="123"/>
      <c r="E83" s="123"/>
      <c r="F83" s="124"/>
    </row>
    <row r="84" spans="1:6" ht="18.75" customHeight="1" x14ac:dyDescent="0.15">
      <c r="A84" s="31"/>
      <c r="B84" s="122"/>
      <c r="C84" s="123"/>
      <c r="D84" s="123"/>
      <c r="E84" s="123"/>
      <c r="F84" s="124"/>
    </row>
    <row r="85" spans="1:6" ht="18.75" customHeight="1" x14ac:dyDescent="0.15">
      <c r="A85" s="31"/>
      <c r="B85" s="122"/>
      <c r="C85" s="123"/>
      <c r="D85" s="123"/>
      <c r="E85" s="123"/>
      <c r="F85" s="124"/>
    </row>
    <row r="86" spans="1:6" ht="18.75" customHeight="1" x14ac:dyDescent="0.15">
      <c r="A86" s="31"/>
      <c r="B86" s="122"/>
      <c r="C86" s="123"/>
      <c r="D86" s="123"/>
      <c r="E86" s="123"/>
      <c r="F86" s="124"/>
    </row>
    <row r="87" spans="1:6" ht="15" customHeight="1" x14ac:dyDescent="0.15">
      <c r="A87" s="31"/>
      <c r="B87" s="125"/>
      <c r="C87" s="126"/>
      <c r="D87" s="126"/>
      <c r="E87" s="126"/>
      <c r="F87" s="127"/>
    </row>
    <row r="88" spans="1:6" s="5" customFormat="1" ht="18.75" customHeight="1" x14ac:dyDescent="0.15">
      <c r="A88" s="5" t="s">
        <v>12</v>
      </c>
      <c r="B88" s="5" t="s">
        <v>92</v>
      </c>
    </row>
    <row r="89" spans="1:6" ht="18.75" customHeight="1" x14ac:dyDescent="0.15">
      <c r="A89" s="31"/>
      <c r="B89" s="216" t="s">
        <v>180</v>
      </c>
      <c r="C89" s="120"/>
      <c r="D89" s="120"/>
      <c r="E89" s="120"/>
      <c r="F89" s="121"/>
    </row>
    <row r="90" spans="1:6" ht="18.75" customHeight="1" x14ac:dyDescent="0.15">
      <c r="A90" s="31"/>
      <c r="B90" s="122"/>
      <c r="C90" s="123"/>
      <c r="D90" s="123"/>
      <c r="E90" s="123"/>
      <c r="F90" s="124"/>
    </row>
    <row r="91" spans="1:6" ht="18.75" customHeight="1" x14ac:dyDescent="0.15">
      <c r="A91" s="31"/>
      <c r="B91" s="122"/>
      <c r="C91" s="123"/>
      <c r="D91" s="123"/>
      <c r="E91" s="123"/>
      <c r="F91" s="124"/>
    </row>
    <row r="92" spans="1:6" ht="18.75" customHeight="1" x14ac:dyDescent="0.15">
      <c r="A92" s="31"/>
      <c r="B92" s="122"/>
      <c r="C92" s="123"/>
      <c r="D92" s="123"/>
      <c r="E92" s="123"/>
      <c r="F92" s="124"/>
    </row>
    <row r="93" spans="1:6" ht="18.75" customHeight="1" x14ac:dyDescent="0.15">
      <c r="A93" s="31"/>
      <c r="B93" s="122"/>
      <c r="C93" s="123"/>
      <c r="D93" s="123"/>
      <c r="E93" s="123"/>
      <c r="F93" s="124"/>
    </row>
    <row r="94" spans="1:6" ht="18.75" customHeight="1" x14ac:dyDescent="0.15">
      <c r="A94" s="31"/>
      <c r="B94" s="122"/>
      <c r="C94" s="123"/>
      <c r="D94" s="123"/>
      <c r="E94" s="123"/>
      <c r="F94" s="124"/>
    </row>
    <row r="95" spans="1:6" ht="18.75" customHeight="1" x14ac:dyDescent="0.15">
      <c r="A95" s="31"/>
      <c r="B95" s="122"/>
      <c r="C95" s="123"/>
      <c r="D95" s="123"/>
      <c r="E95" s="123"/>
      <c r="F95" s="124"/>
    </row>
    <row r="96" spans="1:6" ht="18.75" customHeight="1" x14ac:dyDescent="0.15">
      <c r="A96" s="31"/>
      <c r="B96" s="122"/>
      <c r="C96" s="123"/>
      <c r="D96" s="123"/>
      <c r="E96" s="123"/>
      <c r="F96" s="124"/>
    </row>
    <row r="97" spans="1:6" ht="18.75" customHeight="1" x14ac:dyDescent="0.15">
      <c r="A97" s="31"/>
      <c r="B97" s="122"/>
      <c r="C97" s="123"/>
      <c r="D97" s="123"/>
      <c r="E97" s="123"/>
      <c r="F97" s="124"/>
    </row>
    <row r="98" spans="1:6" ht="18.75" customHeight="1" x14ac:dyDescent="0.15">
      <c r="A98" s="31"/>
      <c r="B98" s="122"/>
      <c r="C98" s="123"/>
      <c r="D98" s="123"/>
      <c r="E98" s="123"/>
      <c r="F98" s="124"/>
    </row>
    <row r="99" spans="1:6" ht="18.75" customHeight="1" x14ac:dyDescent="0.15">
      <c r="A99" s="31"/>
      <c r="B99" s="122"/>
      <c r="C99" s="123"/>
      <c r="D99" s="123"/>
      <c r="E99" s="123"/>
      <c r="F99" s="124"/>
    </row>
    <row r="100" spans="1:6" ht="18.75" customHeight="1" x14ac:dyDescent="0.15">
      <c r="A100" s="31"/>
      <c r="B100" s="122"/>
      <c r="C100" s="123"/>
      <c r="D100" s="123"/>
      <c r="E100" s="123"/>
      <c r="F100" s="124"/>
    </row>
    <row r="101" spans="1:6" ht="18.75" customHeight="1" x14ac:dyDescent="0.15">
      <c r="A101" s="31"/>
      <c r="B101" s="122"/>
      <c r="C101" s="123"/>
      <c r="D101" s="123"/>
      <c r="E101" s="123"/>
      <c r="F101" s="124"/>
    </row>
    <row r="102" spans="1:6" ht="18.75" customHeight="1" x14ac:dyDescent="0.15">
      <c r="A102" s="31"/>
      <c r="B102" s="122"/>
      <c r="C102" s="123"/>
      <c r="D102" s="123"/>
      <c r="E102" s="123"/>
      <c r="F102" s="124"/>
    </row>
    <row r="103" spans="1:6" ht="18.75" customHeight="1" x14ac:dyDescent="0.15">
      <c r="A103" s="31"/>
      <c r="B103" s="122"/>
      <c r="C103" s="123"/>
      <c r="D103" s="123"/>
      <c r="E103" s="123"/>
      <c r="F103" s="124"/>
    </row>
    <row r="104" spans="1:6" ht="18.75" customHeight="1" x14ac:dyDescent="0.15">
      <c r="A104" s="31"/>
      <c r="B104" s="122"/>
      <c r="C104" s="123"/>
      <c r="D104" s="123"/>
      <c r="E104" s="123"/>
      <c r="F104" s="124"/>
    </row>
    <row r="105" spans="1:6" ht="18.75" customHeight="1" x14ac:dyDescent="0.15">
      <c r="A105" s="31"/>
      <c r="B105" s="122"/>
      <c r="C105" s="123"/>
      <c r="D105" s="123"/>
      <c r="E105" s="123"/>
      <c r="F105" s="124"/>
    </row>
    <row r="106" spans="1:6" ht="18.75" customHeight="1" x14ac:dyDescent="0.15">
      <c r="A106" s="31"/>
      <c r="B106" s="122"/>
      <c r="C106" s="123"/>
      <c r="D106" s="123"/>
      <c r="E106" s="123"/>
      <c r="F106" s="124"/>
    </row>
    <row r="107" spans="1:6" ht="18.75" customHeight="1" x14ac:dyDescent="0.15">
      <c r="A107" s="31"/>
      <c r="B107" s="122"/>
      <c r="C107" s="123"/>
      <c r="D107" s="123"/>
      <c r="E107" s="123"/>
      <c r="F107" s="124"/>
    </row>
    <row r="108" spans="1:6" ht="18.75" customHeight="1" x14ac:dyDescent="0.15">
      <c r="A108" s="31"/>
      <c r="B108" s="122"/>
      <c r="C108" s="123"/>
      <c r="D108" s="123"/>
      <c r="E108" s="123"/>
      <c r="F108" s="124"/>
    </row>
    <row r="109" spans="1:6" ht="18.75" customHeight="1" x14ac:dyDescent="0.15">
      <c r="A109" s="31"/>
      <c r="B109" s="122"/>
      <c r="C109" s="123"/>
      <c r="D109" s="123"/>
      <c r="E109" s="123"/>
      <c r="F109" s="124"/>
    </row>
    <row r="110" spans="1:6" ht="18.75" customHeight="1" x14ac:dyDescent="0.15">
      <c r="A110" s="31"/>
      <c r="B110" s="122"/>
      <c r="C110" s="123"/>
      <c r="D110" s="123"/>
      <c r="E110" s="123"/>
      <c r="F110" s="124"/>
    </row>
    <row r="111" spans="1:6" ht="18.75" customHeight="1" x14ac:dyDescent="0.15">
      <c r="A111" s="31"/>
      <c r="B111" s="122"/>
      <c r="C111" s="123"/>
      <c r="D111" s="123"/>
      <c r="E111" s="123"/>
      <c r="F111" s="124"/>
    </row>
    <row r="112" spans="1:6" ht="18.75" customHeight="1" x14ac:dyDescent="0.15">
      <c r="A112" s="31"/>
      <c r="B112" s="122"/>
      <c r="C112" s="123"/>
      <c r="D112" s="123"/>
      <c r="E112" s="123"/>
      <c r="F112" s="124"/>
    </row>
    <row r="113" spans="1:6" ht="18.75" customHeight="1" x14ac:dyDescent="0.15">
      <c r="A113" s="31"/>
      <c r="B113" s="122"/>
      <c r="C113" s="123"/>
      <c r="D113" s="123"/>
      <c r="E113" s="123"/>
      <c r="F113" s="124"/>
    </row>
    <row r="114" spans="1:6" ht="18.75" customHeight="1" x14ac:dyDescent="0.15">
      <c r="A114" s="31"/>
      <c r="B114" s="122"/>
      <c r="C114" s="123"/>
      <c r="D114" s="123"/>
      <c r="E114" s="123"/>
      <c r="F114" s="124"/>
    </row>
    <row r="115" spans="1:6" ht="18.75" customHeight="1" x14ac:dyDescent="0.15">
      <c r="A115" s="31"/>
      <c r="B115" s="122"/>
      <c r="C115" s="123"/>
      <c r="D115" s="123"/>
      <c r="E115" s="123"/>
      <c r="F115" s="124"/>
    </row>
    <row r="116" spans="1:6" ht="18.75" customHeight="1" x14ac:dyDescent="0.15">
      <c r="A116" s="31"/>
      <c r="B116" s="122"/>
      <c r="C116" s="123"/>
      <c r="D116" s="123"/>
      <c r="E116" s="123"/>
      <c r="F116" s="124"/>
    </row>
    <row r="117" spans="1:6" ht="18.75" customHeight="1" x14ac:dyDescent="0.15">
      <c r="A117" s="31"/>
      <c r="B117" s="122"/>
      <c r="C117" s="123"/>
      <c r="D117" s="123"/>
      <c r="E117" s="123"/>
      <c r="F117" s="124"/>
    </row>
    <row r="118" spans="1:6" ht="18.75" customHeight="1" x14ac:dyDescent="0.15">
      <c r="A118" s="31"/>
      <c r="B118" s="122"/>
      <c r="C118" s="123"/>
      <c r="D118" s="123"/>
      <c r="E118" s="123"/>
      <c r="F118" s="124"/>
    </row>
    <row r="119" spans="1:6" ht="18.75" customHeight="1" x14ac:dyDescent="0.15">
      <c r="A119" s="31"/>
      <c r="B119" s="122"/>
      <c r="C119" s="123"/>
      <c r="D119" s="123"/>
      <c r="E119" s="123"/>
      <c r="F119" s="124"/>
    </row>
    <row r="120" spans="1:6" ht="18.75" customHeight="1" x14ac:dyDescent="0.15">
      <c r="A120" s="31"/>
      <c r="B120" s="122"/>
      <c r="C120" s="123"/>
      <c r="D120" s="123"/>
      <c r="E120" s="123"/>
      <c r="F120" s="124"/>
    </row>
    <row r="121" spans="1:6" ht="18.75" customHeight="1" x14ac:dyDescent="0.15">
      <c r="A121" s="31"/>
      <c r="B121" s="122"/>
      <c r="C121" s="123"/>
      <c r="D121" s="123"/>
      <c r="E121" s="123"/>
      <c r="F121" s="124"/>
    </row>
    <row r="122" spans="1:6" ht="18.75" customHeight="1" x14ac:dyDescent="0.15">
      <c r="A122" s="31"/>
      <c r="B122" s="122"/>
      <c r="C122" s="123"/>
      <c r="D122" s="123"/>
      <c r="E122" s="123"/>
      <c r="F122" s="124"/>
    </row>
    <row r="123" spans="1:6" ht="18.75" customHeight="1" x14ac:dyDescent="0.15">
      <c r="A123" s="31"/>
      <c r="B123" s="122"/>
      <c r="C123" s="123"/>
      <c r="D123" s="123"/>
      <c r="E123" s="123"/>
      <c r="F123" s="124"/>
    </row>
    <row r="124" spans="1:6" ht="18.75" customHeight="1" x14ac:dyDescent="0.15">
      <c r="A124" s="31"/>
      <c r="B124" s="122"/>
      <c r="C124" s="123"/>
      <c r="D124" s="123"/>
      <c r="E124" s="123"/>
      <c r="F124" s="124"/>
    </row>
    <row r="125" spans="1:6" ht="18.75" customHeight="1" x14ac:dyDescent="0.15">
      <c r="A125" s="31"/>
      <c r="B125" s="122"/>
      <c r="C125" s="123"/>
      <c r="D125" s="123"/>
      <c r="E125" s="123"/>
      <c r="F125" s="124"/>
    </row>
    <row r="126" spans="1:6" ht="18.75" customHeight="1" x14ac:dyDescent="0.15">
      <c r="A126" s="31"/>
      <c r="B126" s="122"/>
      <c r="C126" s="123"/>
      <c r="D126" s="123"/>
      <c r="E126" s="123"/>
      <c r="F126" s="124"/>
    </row>
    <row r="127" spans="1:6" ht="18.75" customHeight="1" x14ac:dyDescent="0.15">
      <c r="A127" s="31"/>
      <c r="B127" s="122"/>
      <c r="C127" s="123"/>
      <c r="D127" s="123"/>
      <c r="E127" s="123"/>
      <c r="F127" s="124"/>
    </row>
    <row r="128" spans="1:6" ht="18.75" customHeight="1" x14ac:dyDescent="0.15">
      <c r="A128" s="31"/>
      <c r="B128" s="122"/>
      <c r="C128" s="123"/>
      <c r="D128" s="123"/>
      <c r="E128" s="123"/>
      <c r="F128" s="124"/>
    </row>
    <row r="129" spans="1:6" ht="18.75" customHeight="1" x14ac:dyDescent="0.15">
      <c r="A129" s="31"/>
      <c r="B129" s="122"/>
      <c r="C129" s="123"/>
      <c r="D129" s="123"/>
      <c r="E129" s="123"/>
      <c r="F129" s="124"/>
    </row>
    <row r="130" spans="1:6" ht="18.75" customHeight="1" x14ac:dyDescent="0.15">
      <c r="A130" s="31"/>
      <c r="B130" s="125"/>
      <c r="C130" s="126"/>
      <c r="D130" s="126"/>
      <c r="E130" s="126"/>
      <c r="F130" s="127"/>
    </row>
  </sheetData>
  <mergeCells count="7">
    <mergeCell ref="B89:F130"/>
    <mergeCell ref="E1:F1"/>
    <mergeCell ref="E2:F2"/>
    <mergeCell ref="A4:F4"/>
    <mergeCell ref="B7:F44"/>
    <mergeCell ref="B45:F45"/>
    <mergeCell ref="B46:F87"/>
  </mergeCells>
  <phoneticPr fontId="1"/>
  <printOptions horizontalCentered="1"/>
  <pageMargins left="0.78740157480314965" right="0.78740157480314965" top="0.78740157480314965" bottom="0.78740157480314965" header="0.31496062992125984" footer="0.31496062992125984"/>
  <pageSetup paperSize="9" fitToHeight="0" orientation="portrait" r:id="rId1"/>
  <rowBreaks count="2" manualBreakCount="2">
    <brk id="44" max="5" man="1"/>
    <brk id="87"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6</vt:i4>
      </vt:variant>
    </vt:vector>
  </HeadingPairs>
  <TitlesOfParts>
    <vt:vector size="13" baseType="lpstr">
      <vt:lpstr>様式１　大学等概要</vt:lpstr>
      <vt:lpstr>様式２　プログラムを構成する授業科目</vt:lpstr>
      <vt:lpstr>様式３　履修者等数の実績</vt:lpstr>
      <vt:lpstr>様式4　プログラムの授業内容・概要</vt:lpstr>
      <vt:lpstr>様式５　教育の質・履修者数を向上させるための体制・計画</vt:lpstr>
      <vt:lpstr>様式６　自己点検・評価</vt:lpstr>
      <vt:lpstr>様式７　特色ある取組</vt:lpstr>
      <vt:lpstr>'様式１　大学等概要'!Print_Area</vt:lpstr>
      <vt:lpstr>'様式２　プログラムを構成する授業科目'!Print_Area</vt:lpstr>
      <vt:lpstr>'様式３　履修者等数の実績'!Print_Area</vt:lpstr>
      <vt:lpstr>'様式５　教育の質・履修者数を向上させるための体制・計画'!Print_Area</vt:lpstr>
      <vt:lpstr>'様式６　自己点検・評価'!Print_Area</vt:lpstr>
      <vt:lpstr>'様式７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遠隔授業担当</cp:lastModifiedBy>
  <cp:lastPrinted>2021-06-30T04:33:13Z</cp:lastPrinted>
  <dcterms:created xsi:type="dcterms:W3CDTF">2011-06-14T05:32:50Z</dcterms:created>
  <dcterms:modified xsi:type="dcterms:W3CDTF">2021-06-30T05:26:06Z</dcterms:modified>
</cp:coreProperties>
</file>