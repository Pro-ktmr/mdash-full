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filterPrivacy="1" defaultThemeVersion="124226"/>
  <xr:revisionPtr revIDLastSave="0" documentId="13_ncr:1_{BBDE3CED-BDAC-4A9D-A460-2E87656E8CCA}" xr6:coauthVersionLast="47" xr6:coauthVersionMax="47" xr10:uidLastSave="{00000000-0000-0000-0000-000000000000}"/>
  <bookViews>
    <workbookView xWindow="360" yWindow="1920" windowWidth="20910" windowHeight="11835" tabRatio="885" activeTab="4" xr2:uid="{00000000-000D-0000-FFFF-FFFF00000000}"/>
  </bookViews>
  <sheets>
    <sheet name="様式１　大学等概要" sheetId="8" r:id="rId1"/>
    <sheet name="様式２－１　プログラムを構成する授業科目" sheetId="9" r:id="rId2"/>
    <sheet name="様式３　履修者等数の実績" sheetId="31" r:id="rId3"/>
    <sheet name="様式4－１　プログラムの授業内容・概要" sheetId="34" r:id="rId4"/>
    <sheet name="様式５　教育の質・履修者数を向上させるための体制・計画" sheetId="35" r:id="rId5"/>
    <sheet name="様式６　自己点検・評価" sheetId="36" r:id="rId6"/>
  </sheets>
  <definedNames>
    <definedName name="_xlnm._FilterDatabase" localSheetId="1" hidden="1">'様式２－１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3" i="31" l="1"/>
  <c r="R13" i="31" s="1"/>
  <c r="Q14" i="31"/>
  <c r="R14" i="31" s="1"/>
  <c r="Q15" i="31"/>
  <c r="R15" i="31"/>
  <c r="Q16" i="31"/>
  <c r="R16" i="31" s="1"/>
  <c r="Q17" i="31"/>
  <c r="R17" i="31" s="1"/>
  <c r="Q18" i="31"/>
  <c r="R18" i="31" s="1"/>
  <c r="Q19" i="31"/>
  <c r="R19" i="31"/>
  <c r="Q20" i="31"/>
  <c r="R20" i="31" s="1"/>
  <c r="Q21" i="31"/>
  <c r="R21" i="31" s="1"/>
  <c r="Q22" i="31"/>
  <c r="R22" i="31" s="1"/>
  <c r="Q23" i="31"/>
  <c r="R23" i="31"/>
  <c r="Q24" i="31"/>
  <c r="R24" i="31" s="1"/>
  <c r="Q25" i="31"/>
  <c r="R25" i="31" s="1"/>
  <c r="Q26" i="31"/>
  <c r="R26" i="31" s="1"/>
  <c r="Q27" i="31"/>
  <c r="R27" i="31"/>
  <c r="E28" i="31" l="1"/>
  <c r="P28" i="31"/>
  <c r="O28" i="31"/>
  <c r="N28" i="31"/>
  <c r="M28" i="31"/>
  <c r="L28" i="31"/>
  <c r="K28" i="31"/>
  <c r="J28" i="31"/>
  <c r="I28" i="31"/>
  <c r="H28" i="31"/>
  <c r="G28" i="31"/>
  <c r="F28" i="31"/>
  <c r="D28" i="3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<sst xmlns="http://schemas.openxmlformats.org/spreadsheetml/2006/main" count="266" uniqueCount="187">
  <si>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</si>
  <si>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</si>
  <si>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</si>
  <si>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</si>
  <si>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崇城大学</t>
    <rPh sb="0" eb="4">
      <t>ソウジョウダイガク</t>
    </rPh>
    <phoneticPr fontId="1"/>
  </si>
  <si>
    <t>②</t>
    <phoneticPr fontId="1"/>
  </si>
  <si>
    <t>大学等の設置者</t>
  </si>
  <si>
    <t>学校法人君が淵学園</t>
    <rPh sb="0" eb="2">
      <t>ガッコウ</t>
    </rPh>
    <rPh sb="2" eb="4">
      <t>ホウジン</t>
    </rPh>
    <rPh sb="4" eb="5">
      <t>クン</t>
    </rPh>
    <rPh sb="6" eb="7">
      <t>フチ</t>
    </rPh>
    <rPh sb="7" eb="9">
      <t>ガクエン</t>
    </rPh>
    <phoneticPr fontId="1"/>
  </si>
  <si>
    <t>③</t>
    <phoneticPr fontId="1"/>
  </si>
  <si>
    <t>設置形態</t>
  </si>
  <si>
    <t>私立大学</t>
  </si>
  <si>
    <t>④</t>
    <phoneticPr fontId="1"/>
  </si>
  <si>
    <t>所在地</t>
    <phoneticPr fontId="1"/>
  </si>
  <si>
    <t>熊本県熊本市西区池田 4-22-1</t>
    <rPh sb="0" eb="3">
      <t>クマモトケン</t>
    </rPh>
    <rPh sb="3" eb="6">
      <t>クマモトシ</t>
    </rPh>
    <rPh sb="6" eb="8">
      <t>ニシク</t>
    </rPh>
    <rPh sb="8" eb="10">
      <t>イケダ</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</si>
  <si>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</si>
  <si>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</si>
  <si>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崇城データサイエンティスト育成プログラム</t>
    <rPh sb="0" eb="2">
      <t>ソウジョウ</t>
    </rPh>
    <rPh sb="13" eb="15">
      <t>イクセイ</t>
    </rPh>
    <phoneticPr fontId="1"/>
  </si>
  <si>
    <t>⑥</t>
    <phoneticPr fontId="1"/>
  </si>
  <si>
    <t>プログラムの開設年度</t>
    <rPh sb="6" eb="8">
      <t>カイセツ</t>
    </rPh>
    <rPh sb="8" eb="10">
      <t>ネンド</t>
    </rPh>
    <phoneticPr fontId="1"/>
  </si>
  <si>
    <t>令和２年度</t>
    <rPh sb="0" eb="2">
      <t>レイワ</t>
    </rPh>
    <rPh sb="3" eb="5">
      <t>ネンド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</si>
  <si>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</si>
  <si>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</si>
  <si>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</si>
  <si>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</si>
  <si>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</si>
  <si>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</si>
  <si>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</si>
  <si>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</si>
  <si>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</si>
  <si>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</si>
  <si>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</si>
  <si>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</si>
  <si>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</si>
  <si>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</si>
  <si>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</si>
  <si>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</si>
  <si>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</si>
  <si>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</si>
  <si>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</si>
  <si>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</si>
  <si>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</si>
  <si>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</si>
  <si>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堀部典子</t>
    <rPh sb="0" eb="2">
      <t>ホリベ</t>
    </rPh>
    <rPh sb="2" eb="4">
      <t>ノリコ</t>
    </rPh>
    <phoneticPr fontId="1"/>
  </si>
  <si>
    <t>（役職名）</t>
    <rPh sb="1" eb="4">
      <t>ヤクショクメイ</t>
    </rPh>
    <phoneticPr fontId="1"/>
  </si>
  <si>
    <t>情報学科教授</t>
    <rPh sb="0" eb="4">
      <t>ジョウホウガッカ</t>
    </rPh>
    <rPh sb="4" eb="6">
      <t>キョウジュ</t>
    </rPh>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</si>
  <si>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</si>
  <si>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</si>
  <si>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データサイエンス教育推進ワーキンググループ</t>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</si>
  <si>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</si>
  <si>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</si>
  <si>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自己点検評価委員会</t>
    <rPh sb="0" eb="4">
      <t>ジコテンケン</t>
    </rPh>
    <rPh sb="4" eb="6">
      <t>ヒョウカ</t>
    </rPh>
    <rPh sb="6" eb="9">
      <t>イインカイ</t>
    </rPh>
    <phoneticPr fontId="1"/>
  </si>
  <si>
    <t>小野長門</t>
    <rPh sb="0" eb="2">
      <t>オノ</t>
    </rPh>
    <rPh sb="2" eb="4">
      <t>ナガト</t>
    </rPh>
    <phoneticPr fontId="1"/>
  </si>
  <si>
    <t>研究担当副学長</t>
    <rPh sb="0" eb="2">
      <t>ケンキュウ</t>
    </rPh>
    <rPh sb="2" eb="4">
      <t>タントウ</t>
    </rPh>
    <rPh sb="4" eb="7">
      <t>フクガクチョウ</t>
    </rPh>
    <phoneticPr fontId="1"/>
  </si>
  <si>
    <t>⑭</t>
    <phoneticPr fontId="1"/>
  </si>
  <si>
    <t>申請する認定プログラム</t>
    <rPh sb="0" eb="2">
      <t>シンセイ</t>
    </rPh>
    <rPh sb="4" eb="6">
      <t>ニンテイ</t>
    </rPh>
    <phoneticPr fontId="1"/>
  </si>
  <si>
    <t>認定教育プログラム</t>
  </si>
  <si>
    <t>連絡先</t>
    <rPh sb="0" eb="3">
      <t>レンラクサキ</t>
    </rPh>
    <phoneticPr fontId="1"/>
  </si>
  <si>
    <t>所属部署名</t>
    <rPh sb="0" eb="2">
      <t>ショゾク</t>
    </rPh>
    <rPh sb="2" eb="4">
      <t>ブショ</t>
    </rPh>
    <rPh sb="4" eb="5">
      <t>メイ</t>
    </rPh>
    <phoneticPr fontId="1"/>
  </si>
  <si>
    <t>教務課</t>
    <rPh sb="0" eb="3">
      <t>キョウムカ</t>
    </rPh>
    <phoneticPr fontId="1"/>
  </si>
  <si>
    <t>担当者名</t>
    <rPh sb="0" eb="2">
      <t>タントウ</t>
    </rPh>
    <rPh sb="2" eb="3">
      <t>シャ</t>
    </rPh>
    <rPh sb="3" eb="4">
      <t>メイ</t>
    </rPh>
    <phoneticPr fontId="1"/>
  </si>
  <si>
    <t>田代貴子</t>
  </si>
  <si>
    <t>E-mail</t>
  </si>
  <si>
    <t>kyomu@ofc.sojo-u.ac.jp</t>
    <phoneticPr fontId="1"/>
  </si>
  <si>
    <t>電話番号</t>
  </si>
  <si>
    <t>096-326-3406</t>
    <phoneticPr fontId="1"/>
  </si>
  <si>
    <t>様式２－１</t>
    <rPh sb="0" eb="2">
      <t>ヨウシキ</t>
    </rPh>
    <phoneticPr fontId="1"/>
  </si>
  <si>
    <t>学校名：</t>
    <rPh sb="0" eb="2">
      <t>ガッコウ</t>
    </rPh>
    <rPh sb="2" eb="3">
      <t>メイ</t>
    </rPh>
    <phoneticPr fontId="1"/>
  </si>
  <si>
    <t>プログラムを構成する授業科目について</t>
    <phoneticPr fontId="1"/>
  </si>
  <si>
    <t>教育プログラムの修了要件</t>
    <rPh sb="8" eb="10">
      <t>シュウリョウ</t>
    </rPh>
    <phoneticPr fontId="1"/>
  </si>
  <si>
    <t>学部・学科によって、修了要件は相違しない</t>
  </si>
  <si>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</si>
  <si>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</si>
  <si>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様式３</t>
    <rPh sb="0" eb="2">
      <t>ヨウシキ</t>
    </rPh>
    <phoneticPr fontId="1"/>
  </si>
  <si>
    <t>学校名：</t>
    <rPh sb="0" eb="2">
      <t>ガッコウ</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</si>
  <si>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</si>
  <si>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</si>
  <si>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</si>
  <si>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</si>
  <si>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</si>
  <si>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</si>
  <si>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</si>
  <si>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</si>
  <si>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</si>
  <si>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</si>
  <si>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</si>
  <si>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</si>
  <si>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</si>
  <si>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工学部（工学）</t>
    <rPh sb="0" eb="3">
      <t>コウガクブ</t>
    </rPh>
    <rPh sb="4" eb="6">
      <t>コウガク</t>
    </rPh>
    <phoneticPr fontId="17"/>
  </si>
  <si>
    <t>情報学部（工学）</t>
    <rPh sb="0" eb="4">
      <t>ジョウホウガクブ</t>
    </rPh>
    <rPh sb="5" eb="7">
      <t>コウガク</t>
    </rPh>
    <phoneticPr fontId="17"/>
  </si>
  <si>
    <t>生物生命学部（工学）</t>
    <phoneticPr fontId="17"/>
  </si>
  <si>
    <t>芸術学部（芸術）</t>
    <rPh sb="0" eb="4">
      <t>ゲイジュツガクブ</t>
    </rPh>
    <rPh sb="5" eb="7">
      <t>ゲイジュツ</t>
    </rPh>
    <phoneticPr fontId="17"/>
  </si>
  <si>
    <t>薬学部（保健（医・歯学を除く））</t>
    <rPh sb="0" eb="3">
      <t>ヤクガクブ</t>
    </rPh>
    <phoneticPr fontId="17"/>
  </si>
  <si>
    <t>合　計</t>
    <phoneticPr fontId="1"/>
  </si>
  <si>
    <t>様式４－１</t>
    <rPh sb="0" eb="2">
      <t>ヨウシキ</t>
    </rPh>
    <phoneticPr fontId="1"/>
  </si>
  <si>
    <t>崇城大学</t>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</si>
  <si>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</si>
  <si>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</si>
  <si>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</si>
  <si>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</si>
  <si>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</si>
  <si>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近年，人工知能（AI）・ロボット・Internet of Things(IOT)・ビッグデータ等の技術の急激な進化により、あらゆるものの情報が電子化され，結びつき、相互に影響を及ぼし合う未来社会の到来が見込まれています．この未来社会（デジタル社会）では従来の「読み・書き・そろばん」に代わって「数理・データサイエンス・AI」の三拍子が必要とされており，データサイエンスは，情報分野だけでなく，工学，化学，薬学，芸術などの全ての分野に共通して必要となっています．本講義では，データサイエンスとは何かということを学び，データサイエンスがさまざまな分野でどのような可能性をもち，今後，どのような技術開発につながっていく可能性があるのかということを，データサイエンス教育や企業での研究開発の現場での話を聞くことによって学びます．また，講義の後半では，実際にデータ解析のためのソフトウェアを活用し，基本的な知識と技術を学びます．講義では，データサイエンスと社会との関わりを学びながら，ノートパソコンを使って実社会に存在する課題やデータを利用した演習を行います．
　この講義の1回で，データサイエンスとは何かということを学び，各分野における専門科目とデータサイエンスとの関係性を学びます．2回目と3回目の講義では，企業や大学の専門家による講演会を行い，教育・企業の現場でデータやAIがどのように進化し，どのように活用されているのか学びます．</t>
    <rPh sb="479" eb="481">
      <t>コウギ</t>
    </rPh>
    <rPh sb="483" eb="484">
      <t>カイ</t>
    </rPh>
    <rPh sb="496" eb="497">
      <t>ナニ</t>
    </rPh>
    <rPh sb="504" eb="505">
      <t>マナ</t>
    </rPh>
    <rPh sb="507" eb="508">
      <t>カク</t>
    </rPh>
    <rPh sb="508" eb="510">
      <t>ブンヤ</t>
    </rPh>
    <rPh sb="514" eb="516">
      <t>センモン</t>
    </rPh>
    <rPh sb="516" eb="518">
      <t>カモク</t>
    </rPh>
    <rPh sb="529" eb="531">
      <t>カンケイ</t>
    </rPh>
    <rPh sb="531" eb="532">
      <t>セイ</t>
    </rPh>
    <rPh sb="533" eb="534">
      <t>マナ</t>
    </rPh>
    <rPh sb="539" eb="540">
      <t>カイ</t>
    </rPh>
    <rPh sb="540" eb="541">
      <t>メ</t>
    </rPh>
    <rPh sb="543" eb="544">
      <t>カイ</t>
    </rPh>
    <rPh sb="544" eb="545">
      <t>メ</t>
    </rPh>
    <rPh sb="546" eb="548">
      <t>コウギ</t>
    </rPh>
    <rPh sb="551" eb="553">
      <t>キギョウ</t>
    </rPh>
    <rPh sb="554" eb="556">
      <t>ダイガク</t>
    </rPh>
    <rPh sb="557" eb="559">
      <t>センモン</t>
    </rPh>
    <rPh sb="559" eb="560">
      <t>カ</t>
    </rPh>
    <rPh sb="563" eb="566">
      <t>コウエンカイ</t>
    </rPh>
    <rPh sb="567" eb="568">
      <t>オコナ</t>
    </rPh>
    <rPh sb="570" eb="572">
      <t>キョウイク</t>
    </rPh>
    <rPh sb="573" eb="575">
      <t>キギョウ</t>
    </rPh>
    <rPh sb="576" eb="578">
      <t>ゲンバ</t>
    </rPh>
    <rPh sb="591" eb="593">
      <t>シンカ</t>
    </rPh>
    <rPh sb="600" eb="602">
      <t>カツヨウ</t>
    </rPh>
    <rPh sb="609" eb="610">
      <t>マナ</t>
    </rPh>
    <phoneticPr fontId="1"/>
  </si>
  <si>
    <t>授業科目名称</t>
    <rPh sb="0" eb="2">
      <t>ジュギョウ</t>
    </rPh>
    <rPh sb="2" eb="6">
      <t>カモクメイショウ</t>
    </rPh>
    <phoneticPr fontId="1"/>
  </si>
  <si>
    <t>講義テーマ</t>
    <rPh sb="0" eb="2">
      <t>コウギ</t>
    </rPh>
    <phoneticPr fontId="1"/>
  </si>
  <si>
    <t>特殊講座（データサイエンス入門）</t>
    <rPh sb="0" eb="4">
      <t>トクシュコウザ</t>
    </rPh>
    <rPh sb="13" eb="15">
      <t>ニュウモン</t>
    </rPh>
    <phoneticPr fontId="1"/>
  </si>
  <si>
    <t>データサイエンスとは(1)</t>
    <phoneticPr fontId="1"/>
  </si>
  <si>
    <t>教育の現場におけるデータサイエンスの現状(2)</t>
    <phoneticPr fontId="1"/>
  </si>
  <si>
    <t>データサイエンスとAI技術のつながりと今後の展望(3)</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</si>
  <si>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</si>
  <si>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近年，人工知能（AI）・ロボット・Internet of Things(IOT)・ビッグデータ等の技術の急激な進化により、あらゆるものの情報が電子化され，結びつき、相互に影響を及ぼし合う未来社会の到来が見込まれています．この未来社会（デジタル社会）では従来の「読み・書き・そろばん」に代わって「数理・データサイエンス・AI」の三拍子が必要とされており，データサイエンスは，情報分野だけでなく，工学，化学，薬学，芸術などの全ての分野に共通して必要となっています．本講義では，データサイエンスとは何かということを学び，データサイエンスがさまざまな分野でどのような可能性をもち，今後，どのような技術開発につながっていく可能性があるのかということを，データサイエンス教育や企業での研究開発の現場での話を聞くことによって学びます．また，講義の後半では，実際にデータ解析のためのソフトウェアを活用し，基本的な知識と技術を学びます．講義では，データサイエンスと社会との関わりを学びながら，ノートパソコンを使って実社会に存在する課題やデータを利用した演習を行います．
　3回目の講義で，社会で活用されている最先端のデータ活用技術について学び，9回目の講義でデータ解析の技術がさまざまな分野でどのような効果をもたらす可能性があるのか，具体的な企業による技術開発の成果について学習します．</t>
    <rPh sb="478" eb="479">
      <t>カイ</t>
    </rPh>
    <rPh sb="479" eb="480">
      <t>メ</t>
    </rPh>
    <rPh sb="481" eb="483">
      <t>コウギ</t>
    </rPh>
    <rPh sb="485" eb="487">
      <t>シャカイ</t>
    </rPh>
    <rPh sb="488" eb="490">
      <t>カツヨウ</t>
    </rPh>
    <rPh sb="495" eb="498">
      <t>サイセンタン</t>
    </rPh>
    <rPh sb="502" eb="504">
      <t>カツヨウ</t>
    </rPh>
    <rPh sb="504" eb="506">
      <t>ギジュツ</t>
    </rPh>
    <rPh sb="510" eb="511">
      <t>マナ</t>
    </rPh>
    <rPh sb="514" eb="515">
      <t>カイ</t>
    </rPh>
    <rPh sb="515" eb="516">
      <t>メ</t>
    </rPh>
    <rPh sb="517" eb="519">
      <t>コウギ</t>
    </rPh>
    <rPh sb="578" eb="580">
      <t>ガクシュウ</t>
    </rPh>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</si>
  <si>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</si>
  <si>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近年，人工知能（AI）・ロボット・Internet of Things(IOT)・ビッグデータ等の技術の急激な進化により、あらゆるものの情報が電子化され，結びつき、相互に影響を及ぼし合う未来社会の到来が見込まれています．この未来社会（デジタル社会）では従来の「読み・書き・そろばん」に代わって「数理・データサイエンス・AI」の三拍子が必要とされており，データサイエンスは，情報分野だけでなく，工学，化学，薬学，芸術などの全ての分野に共通して必要となっています．本講義では，データサイエンスとは何かということを学び，データサイエンスがさまざまな分野でどのような可能性をもち，今後，どのような技術開発につながっていく可能性があるのかということを，データサイエンス教育や企業での研究開発の現場での話を聞くことによって学びます．また，講義の後半では，実際にデータ解析のためのソフトウェアを活用し，基本的な知識と技術を学びます．講義では，データサイエンスと社会との関わりを学びながら，ノートパソコンを使って実社会に存在する課題やデータを利用した演習を行います．
　7回目の講義でデータ解析の実社会での活用事例を挙げて機械学習やシミュレーションシステムなどへ応用することによる効果について学習し，8回目の講義で実際のデータを用いて，データの集計，グラフ化，相関関係の抽出などの演習を通して新たな見解が得られることを学びます．</t>
    <rPh sb="478" eb="479">
      <t>カイ</t>
    </rPh>
    <rPh sb="479" eb="480">
      <t>メ</t>
    </rPh>
    <rPh sb="481" eb="483">
      <t>コウギ</t>
    </rPh>
    <rPh sb="538" eb="540">
      <t>ガクシュウ</t>
    </rPh>
    <rPh sb="543" eb="545">
      <t>カイメ</t>
    </rPh>
    <rPh sb="546" eb="548">
      <t>コウギ</t>
    </rPh>
    <rPh sb="582" eb="584">
      <t>エンシュウ</t>
    </rPh>
    <rPh sb="585" eb="586">
      <t>トオ</t>
    </rPh>
    <rPh sb="588" eb="589">
      <t>アラ</t>
    </rPh>
    <rPh sb="591" eb="593">
      <t>ケンカイ</t>
    </rPh>
    <rPh sb="594" eb="595">
      <t>エ</t>
    </rPh>
    <rPh sb="601" eb="602">
      <t>マナ</t>
    </rPh>
    <phoneticPr fontId="1"/>
  </si>
  <si>
    <t>データ解析の応用(7)</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</si>
  <si>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</si>
  <si>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近年，人工知能（AI）・ロボット・Internet of Things(IOT)・ビッグデータ等の技術の急激な進化により、あらゆるものの情報が電子化され，結びつき、相互に影響を及ぼし合う未来社会の到来が見込まれています．この未来社会（デジタル社会）では従来の「読み・書き・そろばん」に代わって「数理・データサイエンス・AI」の三拍子が必要とされており，データサイエンスは，情報分野だけでなく，工学，化学，薬学，芸術などの全ての分野に共通して必要となっています．本講義では，データサイエンスとは何かということを学び，データサイエンスがさまざまな分野でどのような可能性をもち，今後，どのような技術開発につながっていく可能性があるのかということを，データサイエンス教育や企業での研究開発の現場での話を聞くことによって学びます．また，講義の後半では，実際にデータ解析のためのソフトウェアを活用し，基本的な知識と技術を学びます．講義では，データサイエンスと社会との関わりを学びながら，ノートパソコンを使って実社会に存在する課題やデータを利用した演習を行います．
　4回目の講義でデータを扱う際に必要なデータリテラシーについて学び，5回目の講義でAIやデータの利用についての正しい倫理観をもつことの重要性について学びます．</t>
    <rPh sb="478" eb="480">
      <t>カイメ</t>
    </rPh>
    <rPh sb="481" eb="483">
      <t>コウギ</t>
    </rPh>
    <rPh sb="507" eb="508">
      <t>マナ</t>
    </rPh>
    <rPh sb="511" eb="513">
      <t>カイメ</t>
    </rPh>
    <rPh sb="514" eb="516">
      <t>コウギ</t>
    </rPh>
    <rPh sb="550" eb="551">
      <t>マナ</t>
    </rPh>
    <phoneticPr fontId="1"/>
  </si>
  <si>
    <t>データリテラシー(4)</t>
    <phoneticPr fontId="1"/>
  </si>
  <si>
    <t>データ解析の基礎(6)</t>
  </si>
  <si>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</si>
  <si>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近年，人工知能（AI）・ロボット・Internet of Things(IOT)・ビッグデータ等の技術の急激な進化により、あらゆるものの情報が電子化され，結びつき、相互に影響を及ぼし合う未来社会の到来が見込まれています．この未来社会（デジタル社会）では従来の「読み・書き・そろばん」に代わって「数理・データサイエンス・AI」の三拍子が必要とされており，データサイエンスは，情報分野だけでなく，工学，化学，薬学，芸術などの全ての分野に共通して必要となっています．本講義では，データサイエンスとは何かということを学び，データサイエンスがさまざまな分野でどのような可能性をもち，今後，どのような技術開発につながっていく可能性があるのかということを，データサイエンス教育や企業での研究開発の現場での話を聞くことによって学びます．また，講義の後半では，実際にデータ解析のためのソフトウェアを活用し，基本的な知識と技術を学びます．講義では，データサイエンスと社会との関わりを学びながら，ノートパソコンを使って実社会に存在する課題やデータを利用した演習を行います．
　10回から15回の講義では，ノートパソコンを使ってデータ解析演習を行います．事前に設定したいくつかのテーマ（2020年度は，マルチエージェントシミュレーションによるデータ解析，lobeによる画像データを使った深層学習，Jupyter Notebook(Python言語)を使ったクラスタリング)の中から選択し，グループを作って課題に取り組む．</t>
    <rPh sb="479" eb="480">
      <t>カイ</t>
    </rPh>
    <rPh sb="484" eb="485">
      <t>カイ</t>
    </rPh>
    <rPh sb="486" eb="488">
      <t>コウギ</t>
    </rPh>
    <rPh sb="510" eb="511">
      <t>オコナ</t>
    </rPh>
    <rPh sb="515" eb="517">
      <t>ジゼン</t>
    </rPh>
    <rPh sb="518" eb="520">
      <t>セッテイ</t>
    </rPh>
    <rPh sb="535" eb="537">
      <t>ネンド</t>
    </rPh>
    <rPh sb="562" eb="564">
      <t>カイセキ</t>
    </rPh>
    <rPh sb="572" eb="574">
      <t>ガゾウ</t>
    </rPh>
    <rPh sb="578" eb="579">
      <t>ツカ</t>
    </rPh>
    <rPh sb="581" eb="583">
      <t>シンソウ</t>
    </rPh>
    <rPh sb="583" eb="585">
      <t>ガクシュウ</t>
    </rPh>
    <rPh sb="609" eb="611">
      <t>ゲンゴ</t>
    </rPh>
    <rPh sb="613" eb="614">
      <t>ツカ</t>
    </rPh>
    <phoneticPr fontId="1"/>
  </si>
  <si>
    <t>データ解析演習(10～14)</t>
  </si>
  <si>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</si>
  <si>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</si>
  <si>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特殊講座（データサイエンス入門）</t>
    <rPh sb="0" eb="2">
      <t>トクシュ</t>
    </rPh>
    <rPh sb="2" eb="4">
      <t>コウザ</t>
    </rPh>
    <rPh sb="13" eb="15">
      <t>ニュウモン</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</si>
  <si>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</si>
  <si>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</si>
  <si>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</si>
  <si>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</si>
  <si>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</si>
  <si>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</si>
  <si>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</si>
  <si>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</si>
  <si>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</si>
  <si>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https://www.cis.sojo-u.ac.jp/~horibe/DataScience/</t>
    <phoneticPr fontId="1"/>
  </si>
  <si>
    <t>プログラムの学修成果（学生等が身に付けられる能力等）</t>
  </si>
  <si>
    <t>(1) データリテラシーを理解し，その必要性を説明できる．
(2) データ解析の基礎的な方法を活用できる．
(3) データ解析の基礎的な方法を活用し、結果をグラフなどの適切な形で表現して説明することができる．</t>
    <phoneticPr fontId="1"/>
  </si>
  <si>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</si>
  <si>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</si>
  <si>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</si>
  <si>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</si>
  <si>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</si>
  <si>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データサイエンス教育推進に関する内規</t>
    <phoneticPr fontId="1"/>
  </si>
  <si>
    <t>体制の目的</t>
    <rPh sb="0" eb="2">
      <t>タイセイ</t>
    </rPh>
    <rPh sb="3" eb="5">
      <t>モクテキ</t>
    </rPh>
    <phoneticPr fontId="1"/>
  </si>
  <si>
    <t>本学はデータサイエンス教育について、学長指示の元、令和元年度より検討を開始し、令和2年に「データサイエンス入門」を全学の1年生に向けて開講した。このデータサイエンス教育を体系立てて推進するために、検討組織を設置し、内規を設けることで体制を整備し推進・発展に努める。</t>
    <rPh sb="39" eb="41">
      <t>レイワ</t>
    </rPh>
    <rPh sb="42" eb="43">
      <t>ネン</t>
    </rPh>
    <rPh sb="53" eb="55">
      <t>ニュウモン</t>
    </rPh>
    <rPh sb="57" eb="59">
      <t>ゼンガク</t>
    </rPh>
    <rPh sb="61" eb="63">
      <t>ネンセイ</t>
    </rPh>
    <rPh sb="64" eb="65">
      <t>ム</t>
    </rPh>
    <rPh sb="67" eb="69">
      <t>カイコウ</t>
    </rPh>
    <rPh sb="85" eb="87">
      <t>タイケイ</t>
    </rPh>
    <rPh sb="87" eb="88">
      <t>ダ</t>
    </rPh>
    <rPh sb="110" eb="111">
      <t>モウ</t>
    </rPh>
    <rPh sb="116" eb="118">
      <t>タイセイ</t>
    </rPh>
    <phoneticPr fontId="1"/>
  </si>
  <si>
    <t>具体的な構成員</t>
    <rPh sb="0" eb="3">
      <t>グタイテキ</t>
    </rPh>
    <rPh sb="4" eb="7">
      <t>コウセイイン</t>
    </rPh>
    <phoneticPr fontId="1"/>
  </si>
  <si>
    <t>座長
堀部典子　教授　　情報学部情報学科
構成員
西島仁浩　准教授　情報学部情報学科
尾﨑昭剛　助教　　情報学部情報学科
古賀元也　准教授　工学部建築学科
西園祥子　教授　　生物生命学部応用微生物工学科
林修平　　助教　　生物生命学部応用生命科学科
津曲紀宏　准教授　総合教育センター数学グループ
中山泰宗　Dx推進本部長</t>
    <rPh sb="8" eb="10">
      <t>キョウジュ</t>
    </rPh>
    <rPh sb="31" eb="34">
      <t>ジュンキョウジュ</t>
    </rPh>
    <rPh sb="49" eb="51">
      <t>ジョキョウ</t>
    </rPh>
    <rPh sb="67" eb="70">
      <t>ジュンキョウジュ</t>
    </rPh>
    <rPh sb="84" eb="86">
      <t>キョウジュ</t>
    </rPh>
    <rPh sb="108" eb="110">
      <t>ジョキョウ</t>
    </rPh>
    <rPh sb="131" eb="134">
      <t>ジュンキョウジュ</t>
    </rPh>
    <phoneticPr fontId="1"/>
  </si>
  <si>
    <t>履修者数・履修率の向上に向けた計画</t>
    <rPh sb="5" eb="7">
      <t>リシュウ</t>
    </rPh>
    <rPh sb="7" eb="8">
      <t>リツ</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</si>
  <si>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</si>
  <si>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令和2年度は、対象科目を後期の授業期間外に開講することで、単位CAPや学科の時間割に関係なくプログラム科目を受講することができるようにした。またオンデマンド授業にすることで、帰省する学生等も受講することが可能なようにした。
令和3年度以降も、同様の取り組みで学生が受講しやすい環境を整える。
また、多種多様なデータサイエンスの学習課題の中から、学部・学科毎に、優先順位を設定して講義のコンテンツを利用できるような仕組みを構築することによって、学生が自分の専門により関係の深い課題に取り組めるような仕組み・体制を構築する。
令和5年を目処に、一部学科での必修化も検討しており、カリキュラムの整合性等は教務委員会で審議できるように体制を整える。</t>
    <rPh sb="7" eb="9">
      <t>タイショウ</t>
    </rPh>
    <rPh sb="9" eb="11">
      <t>カモク</t>
    </rPh>
    <rPh sb="17" eb="19">
      <t>キカン</t>
    </rPh>
    <rPh sb="21" eb="23">
      <t>カイコウ</t>
    </rPh>
    <rPh sb="29" eb="31">
      <t>タンイ</t>
    </rPh>
    <rPh sb="35" eb="37">
      <t>ガッカ</t>
    </rPh>
    <rPh sb="38" eb="41">
      <t>ジカンワリ</t>
    </rPh>
    <rPh sb="42" eb="44">
      <t>カンケイ</t>
    </rPh>
    <rPh sb="51" eb="53">
      <t>カモク</t>
    </rPh>
    <rPh sb="78" eb="80">
      <t>ジュギョウ</t>
    </rPh>
    <rPh sb="87" eb="89">
      <t>キセイ</t>
    </rPh>
    <rPh sb="91" eb="93">
      <t>ガクセイ</t>
    </rPh>
    <rPh sb="93" eb="94">
      <t>トウ</t>
    </rPh>
    <rPh sb="95" eb="97">
      <t>ジュコウ</t>
    </rPh>
    <rPh sb="102" eb="104">
      <t>カノウ</t>
    </rPh>
    <rPh sb="112" eb="114">
      <t>レイワ</t>
    </rPh>
    <rPh sb="115" eb="117">
      <t>ネンド</t>
    </rPh>
    <rPh sb="117" eb="119">
      <t>イコウ</t>
    </rPh>
    <rPh sb="121" eb="123">
      <t>ドウヨウ</t>
    </rPh>
    <rPh sb="124" eb="125">
      <t>ト</t>
    </rPh>
    <rPh sb="126" eb="127">
      <t>ク</t>
    </rPh>
    <rPh sb="129" eb="131">
      <t>ガクセイ</t>
    </rPh>
    <rPh sb="132" eb="134">
      <t>ジュコウ</t>
    </rPh>
    <rPh sb="138" eb="140">
      <t>カンキョウ</t>
    </rPh>
    <rPh sb="141" eb="142">
      <t>トトノ</t>
    </rPh>
    <rPh sb="261" eb="263">
      <t>レイワ</t>
    </rPh>
    <rPh sb="264" eb="265">
      <t>ネン</t>
    </rPh>
    <rPh sb="266" eb="268">
      <t>メド</t>
    </rPh>
    <rPh sb="270" eb="272">
      <t>イチブ</t>
    </rPh>
    <rPh sb="272" eb="274">
      <t>ガッカ</t>
    </rPh>
    <rPh sb="276" eb="279">
      <t>ヒッシュウカ</t>
    </rPh>
    <rPh sb="280" eb="282">
      <t>ケントウ</t>
    </rPh>
    <rPh sb="294" eb="297">
      <t>セイゴウセイ</t>
    </rPh>
    <rPh sb="297" eb="298">
      <t>トウ</t>
    </rPh>
    <rPh sb="299" eb="301">
      <t>キョウム</t>
    </rPh>
    <rPh sb="301" eb="304">
      <t>イインカイ</t>
    </rPh>
    <rPh sb="305" eb="307">
      <t>シンギ</t>
    </rPh>
    <rPh sb="313" eb="315">
      <t>タイセイ</t>
    </rPh>
    <rPh sb="316" eb="317">
      <t>トトノ</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</si>
  <si>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</si>
  <si>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本学は履修登録がPC等によるオンライン登録なので、履修科目一覧に科目が表示される、合わせてシラバスもオンラインで確認することができる。
令和2年度は、主に教員による学生周知を行った。幅広い学部の教員をワーキンググループに加えて、各教員から周知を行った。
令和3年度からは、より幅広く周知・広報活動を行っていく。HPを整備して、学生がプログラムについて知り、興味を持てるようにしていく。また前年度に講義を修得した学生に協力を要請し、下級生やまだ受講していない同級生へ受講の呼びかけを行う。加えて、学生ポータルでの周知や入学時オリエンテーションおよび学期始めオリエンテーションでの資料配布等を行う。
令和5年度を目処に一部学科での必修化を検討している。</t>
    <rPh sb="0" eb="2">
      <t>ホンガク</t>
    </rPh>
    <rPh sb="3" eb="5">
      <t>リシュウ</t>
    </rPh>
    <rPh sb="5" eb="7">
      <t>トウロク</t>
    </rPh>
    <rPh sb="10" eb="11">
      <t>トウ</t>
    </rPh>
    <rPh sb="19" eb="21">
      <t>トウロク</t>
    </rPh>
    <rPh sb="25" eb="29">
      <t>リシュウカモク</t>
    </rPh>
    <rPh sb="29" eb="31">
      <t>イチラン</t>
    </rPh>
    <rPh sb="32" eb="34">
      <t>カモク</t>
    </rPh>
    <rPh sb="35" eb="37">
      <t>ヒョウジ</t>
    </rPh>
    <rPh sb="41" eb="42">
      <t>ア</t>
    </rPh>
    <rPh sb="56" eb="58">
      <t>カクニン</t>
    </rPh>
    <rPh sb="243" eb="244">
      <t>クワ</t>
    </rPh>
    <rPh sb="307" eb="310">
      <t>ニュウガクジハジオコナレイワネンドメドイチブガッカヒッシュウカケントウ</t>
    </rPh>
    <phoneticPr fontId="1"/>
  </si>
  <si>
    <t>できる限り多くの学生が履修・修得できるようなサポート体制</t>
    <rPh sb="26" eb="28">
      <t>タイセイ</t>
    </rPh>
    <phoneticPr fontId="1"/>
  </si>
  <si>
    <t>令和2年度は、対象科目を後期の授業期間外に開講することで、単位CAPや学科の時間割に関係なくプログラム科目を受講することができるようにした。また、コロナ禍での感染リスクを無くし、学生が履修しやすいように配慮した。
実技については、複数の選択内容を用意しており、学生の興味関心・環境に合わせて柔軟に学修することができるようにした。
また、学内の教室を開放したり、PCを持たない学生のためにPC演習室を開放したりして、学生が受講しやすいよう配慮した。
今後は、前年度までにプログラムを修了した上級生や大学院生などを各学部学科から選出して、学習サポート体制を各学科に構築することを検討する。学科毎の基礎学力・専門科目等の違いによる理解度の差の緩和、上級生から受講についての情報やアドバイスを受けることによる受講者の増加、またサポート活動を通して上級生の興味や理解を増幅などに寄与すると考えられる。</t>
    <phoneticPr fontId="1"/>
  </si>
  <si>
    <t>授業時間内外で学習指導、質問を受け付ける具体的な仕組み</t>
    <rPh sb="20" eb="23">
      <t>グタイテキ</t>
    </rPh>
    <phoneticPr fontId="1"/>
  </si>
  <si>
    <t>令和2年度は、授業担当者のメールアドレスを示しており、学生がメールでの質問をできるようにした。またオンデマンド授業では、掲示板を設置して、学生が他学生や教員と質疑応答できる体制を構築した。またオフィスアワーを設けており、学生が直接質問に来ることもできるようにした。
今年度以降も同様の取り組みを続ける。
また令和3年度は、講義の担当教員以外にも質問やアドバイスができる体制を強化するため、前年度に講義を修得した上級生や大学院生によるサポートグループを構築する。</t>
    <rPh sb="7" eb="9">
      <t>ジュギョウ</t>
    </rPh>
    <rPh sb="9" eb="12">
      <t>タントウシャ</t>
    </rPh>
    <rPh sb="21" eb="22">
      <t>シメ</t>
    </rPh>
    <rPh sb="27" eb="29">
      <t>ガクセイ</t>
    </rPh>
    <rPh sb="35" eb="37">
      <t>シツモン</t>
    </rPh>
    <rPh sb="55" eb="57">
      <t>ジュギョウ</t>
    </rPh>
    <rPh sb="60" eb="63">
      <t>ケイジバン</t>
    </rPh>
    <rPh sb="64" eb="66">
      <t>セッチ</t>
    </rPh>
    <rPh sb="69" eb="71">
      <t>ガクセイ</t>
    </rPh>
    <rPh sb="72" eb="75">
      <t>タガクセイ</t>
    </rPh>
    <rPh sb="76" eb="78">
      <t>キョウイン</t>
    </rPh>
    <rPh sb="79" eb="81">
      <t>シツギ</t>
    </rPh>
    <rPh sb="81" eb="83">
      <t>オウトウ</t>
    </rPh>
    <rPh sb="86" eb="88">
      <t>タイセイ</t>
    </rPh>
    <rPh sb="89" eb="91">
      <t>コウチク</t>
    </rPh>
    <rPh sb="104" eb="105">
      <t>モウ</t>
    </rPh>
    <rPh sb="110" eb="112">
      <t>ガクセイ</t>
    </rPh>
    <rPh sb="113" eb="115">
      <t>チョクセツ</t>
    </rPh>
    <rPh sb="115" eb="117">
      <t>シツモン</t>
    </rPh>
    <rPh sb="118" eb="119">
      <t>ク</t>
    </rPh>
    <rPh sb="133" eb="136">
      <t>コンネンド</t>
    </rPh>
    <rPh sb="136" eb="138">
      <t>イコウ</t>
    </rPh>
    <rPh sb="139" eb="141">
      <t>ドウヨウ</t>
    </rPh>
    <rPh sb="142" eb="143">
      <t>ト</t>
    </rPh>
    <rPh sb="144" eb="145">
      <t>ク</t>
    </rPh>
    <rPh sb="147" eb="148">
      <t>ツヅ</t>
    </rPh>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</si>
  <si>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</si>
  <si>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</si>
  <si>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</si>
  <si>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</si>
  <si>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</si>
  <si>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</si>
  <si>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</si>
  <si>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</si>
  <si>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学務データを分析することで、全学の履修者・修了者及び、その成績・出席率等を分析することができる。
さらに、オンデマンド型授業なので、学生の学習状況を把握することができ、これらを活用することで、履修・修得状況を把握することがでる。
これらのデータを、データサイエンス教育推進ワーキンググループを中心としたプログラム向上のPDCAに組み込み改善に取り組んでいる。</t>
    <rPh sb="132" eb="134">
      <t>キョウイク</t>
    </rPh>
    <rPh sb="134" eb="136">
      <t>スイシン</t>
    </rPh>
    <rPh sb="146" eb="148">
      <t>チュウシン</t>
    </rPh>
    <phoneticPr fontId="1"/>
  </si>
  <si>
    <t>学修成果</t>
    <rPh sb="0" eb="2">
      <t>ガクシュウ</t>
    </rPh>
    <rPh sb="2" eb="4">
      <t>セイカ</t>
    </rPh>
    <phoneticPr fontId="1"/>
  </si>
  <si>
    <t>学務データを分析することで、全学の履修者・修了者及び、その成績・出席率等を分析することができる。
さらに、オンデマンド型授業なので、学生の学習状況を把握することができ、これらを活用することで、履修・修得状況を把握することがでる。
加えて、全学展開している本学独自のe-ポートフォリオの一つ「学習到達度レポート」により、学生の学習到達度を把握している。
これらのデータを、データサイエンス教育推進ワーキンググループを中心としたプログラム向上のPDCAに組み込み改善に取り組んでいる。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</si>
  <si>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</si>
  <si>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全学展開している各科目の最後に回答させている「授業アンケート」により、学生の授業に対する主観的な理解度等を把握している。
これらのデータを、データサイエンス教育推進ワーキンググループを中心としたプログラム向上のPDCAに組み込み改善に取り組んでいる。</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</si>
  <si>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</si>
  <si>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全学展開している各科目の最後に回答させている「授業アンケート」により、学生の授業に対する主観的な理解度や満足度等を把握している。これらを元に、学生からの推薦度を推定することができる。
これらのデータを、データサイエンス教育推進ワーキンググループを中心としたプログラム向上のPDCAに組み込み改善に取り組んでいる。
また、今後は、独自のアンケートで直接、推薦度を答えてもらう等の検討も行う。
加えて、修了者の一部に授業に対する感想をヒアリングしたり、また、現在検討している修了者をTAにする活動を通じて修了者が後輩に授業の感想を伝える等の活動等も検討している。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</si>
  <si>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</si>
  <si>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令和3年度は、HPの整備、学生ポータルでの周知、学期開始時のオリエンテーションでの資料配布を予定している。
現在、HPの整備が済んでおり、残りの予定事項も後期に向けて準備中である。
現在、令和5年度を目処に科目の必修化を検討している。</t>
    <rPh sb="54" eb="56">
      <t>ゲンザイ</t>
    </rPh>
    <rPh sb="60" eb="62">
      <t>セイビ</t>
    </rPh>
    <rPh sb="63" eb="64">
      <t>ス</t>
    </rPh>
    <rPh sb="69" eb="70">
      <t>ノコ</t>
    </rPh>
    <rPh sb="72" eb="74">
      <t>ヨテイ</t>
    </rPh>
    <rPh sb="74" eb="76">
      <t>ジコウ</t>
    </rPh>
    <rPh sb="77" eb="79">
      <t>コウキ</t>
    </rPh>
    <rPh sb="80" eb="81">
      <t>ム</t>
    </rPh>
    <rPh sb="83" eb="86">
      <t>ジュンビチュウ</t>
    </rPh>
    <rPh sb="91" eb="93">
      <t>ゲンザイ</t>
    </rPh>
    <rPh sb="94" eb="96">
      <t>レイワ</t>
    </rPh>
    <rPh sb="97" eb="99">
      <t>ネンド</t>
    </rPh>
    <rPh sb="100" eb="102">
      <t>メド</t>
    </rPh>
    <rPh sb="103" eb="105">
      <t>カモク</t>
    </rPh>
    <rPh sb="106" eb="109">
      <t>ヒッシュウカ</t>
    </rPh>
    <rPh sb="110" eb="112">
      <t>ケントウ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</si>
  <si>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</si>
  <si>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</si>
  <si>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修了者の追跡調査を行い、どのような企業に就職したか等の、統計データを収集する。また、就職先の企業に、卒業生の状況等をヒアリングすることも検討する。</t>
    <rPh sb="0" eb="2">
      <t>シュウリョウ</t>
    </rPh>
    <rPh sb="2" eb="3">
      <t>シャ</t>
    </rPh>
    <rPh sb="4" eb="8">
      <t>ツイセキチョウサ</t>
    </rPh>
    <rPh sb="9" eb="10">
      <t>オコナ</t>
    </rPh>
    <rPh sb="17" eb="19">
      <t>キギョウ</t>
    </rPh>
    <rPh sb="20" eb="22">
      <t>シュウショク</t>
    </rPh>
    <rPh sb="25" eb="26">
      <t>トウ</t>
    </rPh>
    <rPh sb="28" eb="30">
      <t>トウケイ</t>
    </rPh>
    <rPh sb="34" eb="36">
      <t>シュウシュウ</t>
    </rPh>
    <rPh sb="42" eb="45">
      <t>シュウショクサキ</t>
    </rPh>
    <rPh sb="46" eb="48">
      <t>キギョウ</t>
    </rPh>
    <rPh sb="50" eb="53">
      <t>ソツギョウセイ</t>
    </rPh>
    <rPh sb="54" eb="56">
      <t>ジョウキョウ</t>
    </rPh>
    <rPh sb="56" eb="57">
      <t>トウ</t>
    </rPh>
    <rPh sb="68" eb="70">
      <t>ケントウ</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</si>
  <si>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</si>
  <si>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現在、自治体や企業等と、データサイエンス教育に関する意見交換を行っている。今後も、ヒアリングを続け、また必要に応じて協定等を結びながら、本学のプログラムを知ってもらうと同時に、意見を収集する。</t>
    <rPh sb="0" eb="2">
      <t>ゲンザイ</t>
    </rPh>
    <rPh sb="3" eb="6">
      <t>ジチタイ</t>
    </rPh>
    <rPh sb="7" eb="9">
      <t>キギョウ</t>
    </rPh>
    <rPh sb="9" eb="10">
      <t>トウ</t>
    </rPh>
    <rPh sb="20" eb="22">
      <t>キョウイク</t>
    </rPh>
    <rPh sb="23" eb="24">
      <t>カン</t>
    </rPh>
    <rPh sb="26" eb="30">
      <t>イケンコウカン</t>
    </rPh>
    <rPh sb="31" eb="32">
      <t>オコナ</t>
    </rPh>
    <rPh sb="37" eb="39">
      <t>コンゴ</t>
    </rPh>
    <rPh sb="47" eb="48">
      <t>ツヅ</t>
    </rPh>
    <rPh sb="52" eb="54">
      <t>ヒツヨウ</t>
    </rPh>
    <rPh sb="55" eb="56">
      <t>オウ</t>
    </rPh>
    <rPh sb="58" eb="60">
      <t>キョウテイ</t>
    </rPh>
    <rPh sb="60" eb="61">
      <t>トウ</t>
    </rPh>
    <rPh sb="62" eb="63">
      <t>ムス</t>
    </rPh>
    <rPh sb="68" eb="70">
      <t>ホンガク</t>
    </rPh>
    <rPh sb="77" eb="78">
      <t>シ</t>
    </rPh>
    <rPh sb="84" eb="86">
      <t>ドウジ</t>
    </rPh>
    <rPh sb="88" eb="90">
      <t>イケン</t>
    </rPh>
    <rPh sb="91" eb="93">
      <t>シュウシュウ</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</si>
  <si>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</si>
  <si>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令和２年度は、「データサイエンス入門」において産業界から講師を招き、データサイエンス最前線と社会との関わりについて講演いただいた。また、Q&amp;Aを取り入れたり、実際に手を動かしながらの実践形式の講義を行ったりした。
結果として、授業アンケートの「この授業を受けてその内容についての興味や関心が高まりましたか。」という設問に対して、５点満点に対して平均4.32の評価を受講者から受けた。
今後は、実際の社会課題等と取り入れ、解決の実践、アウトプットを社会と接続することで「学ぶ楽しさ」「学ぶことの意義」を深めるような取組も検討する必要がある。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</si>
  <si>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</si>
  <si>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令和２年度は、Q&amp;Aを取り入れたり、実際に手を動かしながらの実践形式の講義を行ったりした。
結果として、「この授業内容を理解できましたか」の設問に対して5点満点で、平均点が4.03、であった。
今後は、授業の難易度を評価できるような仕組みを検討する必要がある。理解度について例えば授業回毎に確認するなど、学生からのレスポンスの解像度をより上げていく方法を検討する必要がある。</t>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</si>
  <si>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</si>
  <si>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</si>
  <si>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予定</t>
  </si>
  <si>
    <t>各年度の履修者数の目標を以下のとおりとする。（（）内は履修率。）
令和３年度　200名（10%）
令和４年度　250名（17%）
令和５年度　570名（35%）
令和６年度　570名（50%）
令和７年度　570名（60%）
令和2年度は主に教員による学生周知を行った。幅広い学部の教員をワーキンググループに加えて、各教員から周知を行った。
令和3年度からは、より幅広く周知・広報活動を行っていく。HPを整備して、学生がプログラムについて知り、興味を持てるようにしていく。また、学科と事務の両サイドから学生にプログラムや授業の周知をできるような体制を整えていく。例えば、学生ポータルでの周知や学期開始時のオリエンテーションでの資料配布等を検討する。
また、学生がプログラムに興味を持てるような仕組みも検討する。コンテンツのブラッシュアップだけでなく、学習することでどのような将来が開けるのか等についても広報できるようにする。またプログラム修了者に就職活動で使えるような、修了書等の配布等も検討していく。
令和5年を目処にリテラシーレベルの科目を一部学科で必修化することを検討する。そのために、必修化に向けたカリキュラムの検討を令和3年度より行う。
令和7年までに、コンテンツや地域や産業界との連携等を充実させることで、より多くの学生が興味を持つようなプログラムになるように検討する。</t>
    <rPh sb="0" eb="3">
      <t>カクネンド</t>
    </rPh>
    <rPh sb="4" eb="7">
      <t>リシュウシャ</t>
    </rPh>
    <rPh sb="7" eb="8">
      <t>スウ</t>
    </rPh>
    <rPh sb="9" eb="11">
      <t>モクヒョウ</t>
    </rPh>
    <rPh sb="12" eb="14">
      <t>イカ</t>
    </rPh>
    <rPh sb="25" eb="26">
      <t>ナイ</t>
    </rPh>
    <rPh sb="27" eb="29">
      <t>リシュウ</t>
    </rPh>
    <rPh sb="29" eb="30">
      <t>リツ</t>
    </rPh>
    <rPh sb="33" eb="35">
      <t>レイワ</t>
    </rPh>
    <rPh sb="36" eb="38">
      <t>ネンド</t>
    </rPh>
    <rPh sb="42" eb="43">
      <t>メイ</t>
    </rPh>
    <rPh sb="58" eb="59">
      <t>メイ</t>
    </rPh>
    <rPh sb="74" eb="75">
      <t>メイ</t>
    </rPh>
    <rPh sb="90" eb="91">
      <t>メイ</t>
    </rPh>
    <rPh sb="106" eb="107">
      <t>メイ</t>
    </rPh>
    <rPh sb="114" eb="116">
      <t>レイワ</t>
    </rPh>
    <rPh sb="117" eb="119">
      <t>ネンド</t>
    </rPh>
    <rPh sb="120" eb="121">
      <t>オモ</t>
    </rPh>
    <rPh sb="122" eb="124">
      <t>キョウイン</t>
    </rPh>
    <rPh sb="127" eb="129">
      <t>ガクセイ</t>
    </rPh>
    <rPh sb="129" eb="131">
      <t>シュウチ</t>
    </rPh>
    <rPh sb="132" eb="133">
      <t>オコナ</t>
    </rPh>
    <rPh sb="136" eb="138">
      <t>ハバヒロ</t>
    </rPh>
    <rPh sb="139" eb="141">
      <t>ガクブ</t>
    </rPh>
    <rPh sb="142" eb="144">
      <t>キョウイン</t>
    </rPh>
    <rPh sb="473" eb="475">
      <t>イチブ</t>
    </rPh>
    <rPh sb="475" eb="477">
      <t>ガッカ</t>
    </rPh>
    <rPh sb="497" eb="500">
      <t>ヒッシュウカ</t>
    </rPh>
    <rPh sb="501" eb="502">
      <t>ム</t>
    </rPh>
    <rPh sb="525" eb="527">
      <t>レイワ</t>
    </rPh>
    <rPh sb="528" eb="529">
      <t>ネン</t>
    </rPh>
    <rPh sb="539" eb="541">
      <t>チイキ</t>
    </rPh>
    <rPh sb="542" eb="545">
      <t>サンギョウカイ</t>
    </rPh>
    <rPh sb="547" eb="549">
      <t>レンケイ</t>
    </rPh>
    <rPh sb="549" eb="550">
      <t>トウ</t>
    </rPh>
    <rPh sb="551" eb="553">
      <t>ジュウジツ</t>
    </rPh>
    <rPh sb="562" eb="563">
      <t>オオ</t>
    </rPh>
    <rPh sb="565" eb="567">
      <t>ガクセイ</t>
    </rPh>
    <rPh sb="568" eb="570">
      <t>キョウミ</t>
    </rPh>
    <rPh sb="571" eb="572">
      <t>モ</t>
    </rPh>
    <rPh sb="587" eb="589">
      <t>ケントウ</t>
    </rPh>
    <phoneticPr fontId="1"/>
  </si>
  <si>
    <t>データ解析の活用（企業での技術開発）(８)</t>
    <phoneticPr fontId="1"/>
  </si>
  <si>
    <t>データ解析の活用(8)</t>
    <phoneticPr fontId="1"/>
  </si>
  <si>
    <t>プログラムの修了要件は、全学科で選択科目として開講されている「特殊講座（データサイエンス入門）」の単位を修得することです。上記科目は授業に2/3以上出席した上で最終成績が60点以上で単位を修得できます。</t>
    <rPh sb="6" eb="8">
      <t>シュウリョウ</t>
    </rPh>
    <rPh sb="8" eb="10">
      <t>ヨウケン</t>
    </rPh>
    <rPh sb="12" eb="15">
      <t>ゼンガッカ</t>
    </rPh>
    <rPh sb="16" eb="20">
      <t>センタクカモク</t>
    </rPh>
    <rPh sb="23" eb="25">
      <t>カイコウ</t>
    </rPh>
    <rPh sb="31" eb="33">
      <t>トクシュ</t>
    </rPh>
    <rPh sb="33" eb="35">
      <t>コウザ</t>
    </rPh>
    <rPh sb="44" eb="46">
      <t>ニュウモン</t>
    </rPh>
    <rPh sb="49" eb="51">
      <t>タンイ</t>
    </rPh>
    <rPh sb="52" eb="54">
      <t>シュウトク</t>
    </rPh>
    <rPh sb="61" eb="63">
      <t>ジョウキ</t>
    </rPh>
    <rPh sb="63" eb="65">
      <t>カモク</t>
    </rPh>
    <rPh sb="66" eb="68">
      <t>ジュギョウ</t>
    </rPh>
    <rPh sb="72" eb="74">
      <t>イジョウ</t>
    </rPh>
    <rPh sb="74" eb="76">
      <t>シュッセキ</t>
    </rPh>
    <rPh sb="78" eb="79">
      <t>ウエ</t>
    </rPh>
    <rPh sb="80" eb="82">
      <t>サイシュウ</t>
    </rPh>
    <rPh sb="82" eb="84">
      <t>セイセキ</t>
    </rPh>
    <rPh sb="87" eb="88">
      <t>テン</t>
    </rPh>
    <rPh sb="88" eb="90">
      <t>イジョウ</t>
    </rPh>
    <rPh sb="91" eb="93">
      <t>タンイ</t>
    </rPh>
    <rPh sb="94" eb="96">
      <t>シュウトク</t>
    </rPh>
    <phoneticPr fontId="1"/>
  </si>
  <si>
    <t>特殊講座（データサイエンス入門）（１全学科）</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</si>
</sst>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b/>
      <sz val="15"/>
      <color theme="3"/>
      <name val="ＭＳ Ｐゴシック"/>
      <family val="2"/>
      <charset val="128"/>
      <scheme val="minor"/>
    </font>
    <font>
      <sz val="12"/>
      <color rgb="FFFF0000"/>
      <name val="ＭＳ ゴシック"/>
      <family val="3"/>
      <charset val="128"/>
    </font>
    <font>
      <sz val="12"/>
      <color theme="1"/>
      <name val="MS UI Gothic"/>
      <family val="3"/>
      <charset val="128"/>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88">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4" fillId="0" borderId="21" xfId="0" applyFont="1" applyBorder="1" applyAlignment="1">
      <alignment vertical="top" wrapText="1"/>
    </xf>
    <xf numFmtId="0" fontId="10" fillId="0" borderId="10" xfId="0" applyFont="1" applyBorder="1" applyAlignment="1">
      <alignment vertical="center" shrinkToFit="1"/>
    </xf>
    <xf numFmtId="0" fontId="3" fillId="0" borderId="0" xfId="0" applyFont="1" applyAlignment="1">
      <alignment vertical="center" wrapText="1"/>
    </xf>
    <xf numFmtId="0" fontId="9" fillId="0" borderId="1" xfId="0" applyFont="1" applyBorder="1" applyAlignment="1">
      <alignment vertical="center" shrinkToFit="1"/>
    </xf>
    <xf numFmtId="0" fontId="2" fillId="0" borderId="11" xfId="0" applyFont="1" applyBorder="1" applyAlignment="1">
      <alignment horizontal="center" vertical="center"/>
    </xf>
    <xf numFmtId="0" fontId="2" fillId="0" borderId="1" xfId="0" applyFont="1" applyBorder="1" applyAlignment="1">
      <alignment vertical="center" wrapText="1"/>
    </xf>
    <xf numFmtId="0" fontId="10" fillId="0" borderId="0" xfId="0" applyFont="1" applyFill="1">
      <alignment vertical="center"/>
    </xf>
    <xf numFmtId="0" fontId="12" fillId="0" borderId="0" xfId="0" applyFont="1">
      <alignment vertical="center"/>
    </xf>
    <xf numFmtId="0" fontId="12" fillId="0" borderId="1" xfId="0" applyFont="1" applyBorder="1" applyAlignment="1">
      <alignment vertical="center" wrapTex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9" fillId="0" borderId="1" xfId="0" applyFont="1" applyFill="1" applyBorder="1">
      <alignment vertical="center"/>
    </xf>
    <xf numFmtId="0" fontId="9" fillId="0" borderId="2" xfId="0" applyFont="1" applyFill="1" applyBorder="1">
      <alignment vertical="center"/>
    </xf>
    <xf numFmtId="0" fontId="9" fillId="0" borderId="4" xfId="0" applyFont="1" applyFill="1" applyBorder="1">
      <alignment vertical="center"/>
    </xf>
    <xf numFmtId="0" fontId="2" fillId="0" borderId="0" xfId="0" applyFont="1" applyAlignment="1">
      <alignment horizontal="center" vertical="center"/>
    </xf>
    <xf numFmtId="0" fontId="13" fillId="0" borderId="5" xfId="0" applyFont="1" applyBorder="1" applyAlignment="1">
      <alignment vertical="center" shrinkToFit="1"/>
    </xf>
    <xf numFmtId="176" fontId="13" fillId="0" borderId="5" xfId="0" applyNumberFormat="1" applyFont="1" applyBorder="1" applyAlignment="1">
      <alignment vertical="center" shrinkToFit="1"/>
    </xf>
    <xf numFmtId="176" fontId="13" fillId="0" borderId="20" xfId="0" applyNumberFormat="1" applyFont="1" applyBorder="1" applyAlignment="1">
      <alignment vertical="center" shrinkToFit="1"/>
    </xf>
    <xf numFmtId="176" fontId="13" fillId="0" borderId="35" xfId="0" applyNumberFormat="1" applyFont="1" applyFill="1" applyBorder="1" applyAlignment="1">
      <alignment vertical="center" shrinkToFit="1"/>
    </xf>
    <xf numFmtId="176" fontId="13" fillId="0" borderId="33" xfId="0" applyNumberFormat="1" applyFont="1" applyBorder="1" applyAlignment="1">
      <alignment vertical="center" shrinkToFit="1"/>
    </xf>
    <xf numFmtId="176" fontId="13" fillId="0" borderId="35" xfId="0" applyNumberFormat="1" applyFont="1" applyBorder="1" applyAlignment="1">
      <alignment vertical="center" shrinkToFit="1"/>
    </xf>
    <xf numFmtId="176" fontId="13" fillId="0" borderId="34" xfId="0" applyNumberFormat="1" applyFont="1" applyBorder="1" applyAlignment="1">
      <alignment vertical="center" shrinkToFit="1"/>
    </xf>
    <xf numFmtId="176" fontId="13" fillId="0" borderId="10" xfId="0" applyNumberFormat="1" applyFont="1" applyBorder="1" applyAlignment="1">
      <alignment vertical="center" shrinkToFit="1"/>
    </xf>
    <xf numFmtId="176" fontId="13" fillId="0" borderId="36" xfId="0" applyNumberFormat="1" applyFont="1" applyBorder="1" applyAlignment="1">
      <alignment vertical="center" shrinkToFit="1"/>
    </xf>
    <xf numFmtId="176" fontId="13" fillId="0" borderId="19" xfId="0" applyNumberFormat="1" applyFont="1" applyBorder="1" applyAlignment="1">
      <alignment vertical="center" shrinkToFit="1"/>
    </xf>
    <xf numFmtId="0" fontId="13" fillId="0" borderId="27" xfId="0" applyFont="1" applyBorder="1" applyAlignment="1">
      <alignment vertical="center" shrinkToFit="1"/>
    </xf>
    <xf numFmtId="176" fontId="13" fillId="0" borderId="27" xfId="0" applyNumberFormat="1" applyFont="1" applyBorder="1" applyAlignment="1">
      <alignment vertical="center" shrinkToFit="1"/>
    </xf>
    <xf numFmtId="176" fontId="13" fillId="0" borderId="37" xfId="0" applyNumberFormat="1" applyFont="1" applyBorder="1" applyAlignment="1">
      <alignment vertical="center" shrinkToFit="1"/>
    </xf>
    <xf numFmtId="176" fontId="13" fillId="0" borderId="38" xfId="0" applyNumberFormat="1" applyFont="1" applyBorder="1" applyAlignment="1">
      <alignment vertical="center" shrinkToFit="1"/>
    </xf>
    <xf numFmtId="176" fontId="13" fillId="0" borderId="29" xfId="0" applyNumberFormat="1" applyFont="1" applyBorder="1" applyAlignment="1">
      <alignment vertical="center" shrinkToFit="1"/>
    </xf>
    <xf numFmtId="176" fontId="13" fillId="0" borderId="30" xfId="0" applyNumberFormat="1" applyFont="1" applyBorder="1" applyAlignment="1">
      <alignment vertical="center" shrinkToFit="1"/>
    </xf>
    <xf numFmtId="9" fontId="13" fillId="0" borderId="29" xfId="0" applyNumberFormat="1" applyFont="1" applyBorder="1" applyAlignment="1">
      <alignment vertical="center" shrinkToFit="1"/>
    </xf>
    <xf numFmtId="0" fontId="14" fillId="0" borderId="21" xfId="0" applyFont="1" applyFill="1" applyBorder="1" applyAlignment="1">
      <alignment vertical="top" shrinkToFit="1"/>
    </xf>
    <xf numFmtId="0" fontId="14" fillId="0" borderId="19" xfId="0" applyFont="1" applyFill="1" applyBorder="1" applyAlignment="1">
      <alignment vertical="top" shrinkToFit="1"/>
    </xf>
    <xf numFmtId="0" fontId="9" fillId="0" borderId="0" xfId="0" applyFont="1" applyBorder="1" applyAlignment="1">
      <alignment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13" fillId="0" borderId="2" xfId="0"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3" fillId="0" borderId="20" xfId="0" applyFont="1" applyBorder="1" applyAlignment="1">
      <alignment vertical="center" shrinkToFit="1"/>
    </xf>
    <xf numFmtId="0" fontId="13" fillId="0" borderId="20" xfId="0" applyFont="1" applyBorder="1" applyAlignment="1">
      <alignment vertical="center" shrinkToFit="1"/>
    </xf>
    <xf numFmtId="0" fontId="2" fillId="0" borderId="0" xfId="0" applyFont="1" applyAlignment="1">
      <alignment horizontal="right" vertical="center"/>
    </xf>
    <xf numFmtId="0" fontId="3" fillId="0" borderId="0" xfId="0" applyFont="1" applyAlignment="1">
      <alignment horizontal="center" vertical="center"/>
    </xf>
    <xf numFmtId="0" fontId="12" fillId="0" borderId="2" xfId="0" applyFont="1" applyBorder="1" applyAlignment="1">
      <alignment horizontal="center" vertical="center" shrinkToFit="1"/>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12" fillId="0" borderId="2" xfId="0" applyFont="1" applyBorder="1" applyAlignment="1">
      <alignment horizontal="center" vertical="center" shrinkToFit="1"/>
    </xf>
    <xf numFmtId="49" fontId="7" fillId="0" borderId="2" xfId="2" applyNumberFormat="1" applyFill="1" applyBorder="1" applyAlignment="1">
      <alignment vertical="center" shrinkToFit="1"/>
    </xf>
    <xf numFmtId="49" fontId="13" fillId="0" borderId="3" xfId="0" applyNumberFormat="1" applyFont="1" applyFill="1" applyBorder="1" applyAlignment="1">
      <alignment vertical="center" shrinkToFit="1"/>
    </xf>
    <xf numFmtId="49" fontId="13" fillId="0" borderId="4" xfId="0" applyNumberFormat="1" applyFont="1" applyFill="1" applyBorder="1" applyAlignment="1">
      <alignment vertical="center" shrinkToFit="1"/>
    </xf>
    <xf numFmtId="49" fontId="13" fillId="0" borderId="2" xfId="1" applyNumberFormat="1" applyFont="1" applyFill="1" applyBorder="1" applyAlignment="1">
      <alignment horizontal="center" vertical="center" shrinkToFit="1"/>
    </xf>
    <xf numFmtId="49" fontId="13" fillId="0" borderId="3" xfId="1" applyNumberFormat="1" applyFont="1" applyFill="1" applyBorder="1" applyAlignment="1">
      <alignment horizontal="center" vertical="center" shrinkToFit="1"/>
    </xf>
    <xf numFmtId="49" fontId="13" fillId="0" borderId="4" xfId="1" applyNumberFormat="1" applyFont="1" applyFill="1" applyBorder="1" applyAlignment="1">
      <alignment horizontal="center" vertical="center" shrinkToFit="1"/>
    </xf>
    <xf numFmtId="0" fontId="9" fillId="0" borderId="0" xfId="0" applyFont="1" applyBorder="1" applyAlignment="1">
      <alignment horizontal="center" vertical="center"/>
    </xf>
    <xf numFmtId="0" fontId="13" fillId="0" borderId="2" xfId="0" applyFont="1" applyFill="1" applyBorder="1" applyAlignment="1">
      <alignment horizontal="center" vertical="center" shrinkToFit="1"/>
    </xf>
    <xf numFmtId="0" fontId="13" fillId="0" borderId="3" xfId="0" applyFont="1" applyFill="1" applyBorder="1" applyAlignment="1">
      <alignment horizontal="center" vertical="center" shrinkToFit="1"/>
    </xf>
    <xf numFmtId="0" fontId="13" fillId="0" borderId="4" xfId="0" applyFont="1" applyFill="1" applyBorder="1" applyAlignment="1">
      <alignment horizontal="center" vertical="center" shrinkToFit="1"/>
    </xf>
    <xf numFmtId="176" fontId="13" fillId="0" borderId="2" xfId="0" applyNumberFormat="1" applyFont="1" applyFill="1" applyBorder="1" applyAlignment="1">
      <alignment horizontal="center" vertical="center" shrinkToFit="1"/>
    </xf>
    <xf numFmtId="176" fontId="13" fillId="0" borderId="4" xfId="0" applyNumberFormat="1" applyFont="1" applyFill="1" applyBorder="1" applyAlignment="1">
      <alignment horizontal="center" vertical="center" shrinkToFit="1"/>
    </xf>
    <xf numFmtId="0" fontId="13" fillId="0" borderId="2" xfId="0" applyFont="1" applyFill="1" applyBorder="1" applyAlignment="1">
      <alignment vertical="center" shrinkToFit="1"/>
    </xf>
    <xf numFmtId="0" fontId="13" fillId="0" borderId="3" xfId="0" applyFont="1" applyFill="1" applyBorder="1" applyAlignment="1">
      <alignment vertical="center" shrinkToFit="1"/>
    </xf>
    <xf numFmtId="0" fontId="9" fillId="0" borderId="0" xfId="0" applyFont="1" applyBorder="1" applyAlignment="1">
      <alignment horizontal="right"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3" fillId="0" borderId="3" xfId="0" applyNumberFormat="1" applyFont="1" applyFill="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0" xfId="0" applyFont="1" applyBorder="1" applyAlignment="1">
      <alignment vertical="center" shrinkToFit="1"/>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12"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13" fillId="0" borderId="20" xfId="0" applyFont="1" applyBorder="1" applyAlignment="1">
      <alignment vertical="center" shrinkToFit="1"/>
    </xf>
    <xf numFmtId="0" fontId="1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13" fillId="0" borderId="15" xfId="0" applyFont="1" applyBorder="1" applyAlignment="1">
      <alignment vertical="center" shrinkToFit="1"/>
    </xf>
    <xf numFmtId="0" fontId="13" fillId="0" borderId="39" xfId="0" applyFont="1" applyBorder="1" applyAlignment="1">
      <alignment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12" fillId="0" borderId="2" xfId="0" applyFont="1" applyBorder="1" applyAlignment="1">
      <alignment horizontal="center" vertical="center" shrinkToFit="1"/>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2"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12"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7" fillId="0" borderId="2" xfId="2" applyBorder="1" applyAlignment="1">
      <alignment vertical="center" shrinkToFit="1"/>
    </xf>
    <xf numFmtId="0" fontId="12" fillId="0" borderId="2" xfId="0" applyFont="1"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3" fillId="0" borderId="16" xfId="0" applyFont="1" applyBorder="1" applyAlignment="1">
      <alignment vertical="center" wrapText="1"/>
    </xf>
    <xf numFmtId="0" fontId="3" fillId="0" borderId="42" xfId="0" applyFont="1" applyBorder="1" applyAlignment="1">
      <alignment vertical="center" wrapText="1"/>
    </xf>
    <xf numFmtId="0" fontId="3" fillId="0" borderId="13" xfId="0" applyFont="1" applyBorder="1" applyAlignment="1">
      <alignment vertical="center" wrapText="1"/>
    </xf>
    <xf numFmtId="0" fontId="12" fillId="0" borderId="7" xfId="0" applyFont="1" applyBorder="1" applyAlignment="1">
      <alignment horizontal="left" vertical="center" wrapText="1" shrinkToFit="1"/>
    </xf>
    <xf numFmtId="0" fontId="13" fillId="0" borderId="8" xfId="0" applyFont="1" applyBorder="1" applyAlignment="1">
      <alignment horizontal="left" vertical="center" shrinkToFit="1"/>
    </xf>
    <xf numFmtId="0" fontId="13" fillId="0" borderId="9" xfId="0" applyFont="1" applyBorder="1" applyAlignment="1">
      <alignment horizontal="left" vertical="center" shrinkToFit="1"/>
    </xf>
    <xf numFmtId="0" fontId="13" fillId="0" borderId="5" xfId="0" applyFont="1" applyBorder="1" applyAlignment="1">
      <alignment horizontal="left" vertical="center" shrinkToFit="1"/>
    </xf>
    <xf numFmtId="0" fontId="13" fillId="0" borderId="0" xfId="0" applyFont="1" applyAlignment="1">
      <alignment horizontal="left" vertical="center" shrinkToFit="1"/>
    </xf>
    <xf numFmtId="0" fontId="13" fillId="0" borderId="10" xfId="0" applyFont="1" applyBorder="1" applyAlignment="1">
      <alignment horizontal="left" vertical="center" shrinkToFit="1"/>
    </xf>
    <xf numFmtId="0" fontId="13" fillId="0" borderId="11" xfId="0" applyFont="1" applyBorder="1" applyAlignment="1">
      <alignment horizontal="left" vertical="center" shrinkToFit="1"/>
    </xf>
    <xf numFmtId="0" fontId="13" fillId="0" borderId="6" xfId="0" applyFont="1" applyBorder="1" applyAlignment="1">
      <alignment horizontal="left" vertical="center" shrinkToFit="1"/>
    </xf>
    <xf numFmtId="0" fontId="13" fillId="0" borderId="12" xfId="0" applyFont="1" applyBorder="1" applyAlignment="1">
      <alignment horizontal="left" vertical="center" shrinkToFit="1"/>
    </xf>
    <xf numFmtId="0" fontId="12" fillId="0" borderId="7" xfId="0" applyFont="1" applyFill="1" applyBorder="1" applyAlignment="1">
      <alignment vertical="top" wrapText="1" shrinkToFit="1"/>
    </xf>
    <xf numFmtId="0" fontId="13" fillId="0" borderId="8" xfId="0" applyFont="1" applyFill="1" applyBorder="1" applyAlignment="1">
      <alignment vertical="top" shrinkToFit="1"/>
    </xf>
    <xf numFmtId="0" fontId="13" fillId="0" borderId="9" xfId="0" applyFont="1" applyFill="1" applyBorder="1" applyAlignment="1">
      <alignment vertical="top" shrinkToFit="1"/>
    </xf>
    <xf numFmtId="0" fontId="13" fillId="0" borderId="5" xfId="0" applyFont="1" applyFill="1" applyBorder="1" applyAlignment="1">
      <alignment vertical="top" shrinkToFit="1"/>
    </xf>
    <xf numFmtId="0" fontId="13" fillId="0" borderId="0" xfId="0" applyFont="1" applyFill="1" applyBorder="1" applyAlignment="1">
      <alignment vertical="top" shrinkToFit="1"/>
    </xf>
    <xf numFmtId="0" fontId="13" fillId="0" borderId="10" xfId="0" applyFont="1" applyFill="1" applyBorder="1" applyAlignment="1">
      <alignment vertical="top" shrinkToFit="1"/>
    </xf>
    <xf numFmtId="0" fontId="13" fillId="0" borderId="11" xfId="0" applyFont="1" applyFill="1" applyBorder="1" applyAlignment="1">
      <alignment vertical="top" shrinkToFit="1"/>
    </xf>
    <xf numFmtId="0" fontId="13" fillId="0" borderId="6" xfId="0" applyFont="1" applyFill="1" applyBorder="1" applyAlignment="1">
      <alignment vertical="top" shrinkToFit="1"/>
    </xf>
    <xf numFmtId="0" fontId="13" fillId="0" borderId="12" xfId="0" applyFont="1" applyFill="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13" fillId="0" borderId="7" xfId="0" applyFont="1" applyBorder="1" applyAlignment="1">
      <alignment vertical="top" wrapText="1" shrinkToFit="1"/>
    </xf>
    <xf numFmtId="0" fontId="13" fillId="0" borderId="0" xfId="0" applyFont="1" applyBorder="1" applyAlignment="1">
      <alignment vertical="top" shrinkToFit="1"/>
    </xf>
    <xf numFmtId="0" fontId="18" fillId="0" borderId="7" xfId="0" applyFont="1" applyFill="1" applyBorder="1" applyAlignment="1">
      <alignment vertical="top" wrapText="1" shrinkToFit="1"/>
    </xf>
    <xf numFmtId="0" fontId="19" fillId="0" borderId="8" xfId="0" applyFont="1" applyFill="1" applyBorder="1" applyAlignment="1">
      <alignment vertical="top" shrinkToFit="1"/>
    </xf>
    <xf numFmtId="0" fontId="19" fillId="0" borderId="9" xfId="0" applyFont="1" applyFill="1" applyBorder="1" applyAlignment="1">
      <alignment vertical="top" shrinkToFit="1"/>
    </xf>
    <xf numFmtId="0" fontId="19" fillId="0" borderId="5" xfId="0" applyFont="1" applyFill="1" applyBorder="1" applyAlignment="1">
      <alignment vertical="top" shrinkToFit="1"/>
    </xf>
    <xf numFmtId="0" fontId="19" fillId="0" borderId="0" xfId="0" applyFont="1" applyFill="1" applyBorder="1" applyAlignment="1">
      <alignment vertical="top" shrinkToFit="1"/>
    </xf>
    <xf numFmtId="0" fontId="19" fillId="0" borderId="10" xfId="0" applyFont="1" applyFill="1" applyBorder="1" applyAlignment="1">
      <alignment vertical="top" shrinkToFit="1"/>
    </xf>
    <xf numFmtId="0" fontId="19" fillId="0" borderId="11" xfId="0" applyFont="1" applyFill="1" applyBorder="1" applyAlignment="1">
      <alignment vertical="top" shrinkToFit="1"/>
    </xf>
    <xf numFmtId="0" fontId="19" fillId="0" borderId="6" xfId="0" applyFont="1" applyFill="1" applyBorder="1" applyAlignment="1">
      <alignment vertical="top" shrinkToFit="1"/>
    </xf>
    <xf numFmtId="0" fontId="19" fillId="0" borderId="12" xfId="0" applyFont="1" applyFill="1" applyBorder="1" applyAlignment="1">
      <alignment vertical="top" shrinkToFit="1"/>
    </xf>
    <xf numFmtId="0" fontId="13" fillId="0" borderId="8" xfId="0" applyFont="1" applyFill="1" applyBorder="1" applyAlignment="1">
      <alignment vertical="top" wrapText="1" shrinkToFit="1"/>
    </xf>
    <xf numFmtId="0" fontId="13" fillId="0" borderId="9" xfId="0" applyFont="1" applyFill="1" applyBorder="1" applyAlignment="1">
      <alignment vertical="top" wrapText="1" shrinkToFit="1"/>
    </xf>
    <xf numFmtId="0" fontId="13" fillId="0" borderId="5" xfId="0" applyFont="1" applyFill="1" applyBorder="1" applyAlignment="1">
      <alignment vertical="top" wrapText="1" shrinkToFit="1"/>
    </xf>
    <xf numFmtId="0" fontId="13" fillId="0" borderId="0" xfId="0" applyFont="1" applyFill="1" applyBorder="1" applyAlignment="1">
      <alignment vertical="top" wrapText="1" shrinkToFit="1"/>
    </xf>
    <xf numFmtId="0" fontId="13" fillId="0" borderId="10" xfId="0" applyFont="1" applyFill="1" applyBorder="1" applyAlignment="1">
      <alignment vertical="top" wrapText="1" shrinkToFit="1"/>
    </xf>
    <xf numFmtId="0" fontId="13" fillId="0" borderId="11" xfId="0" applyFont="1" applyFill="1" applyBorder="1" applyAlignment="1">
      <alignment vertical="top" wrapText="1" shrinkToFit="1"/>
    </xf>
    <xf numFmtId="0" fontId="13" fillId="0" borderId="6" xfId="0" applyFont="1" applyFill="1" applyBorder="1" applyAlignment="1">
      <alignment vertical="top" wrapText="1" shrinkToFit="1"/>
    </xf>
    <xf numFmtId="0" fontId="13" fillId="0" borderId="12" xfId="0" applyFont="1" applyFill="1" applyBorder="1" applyAlignment="1">
      <alignment vertical="top" wrapText="1" shrinkToFit="1"/>
    </xf>
    <xf numFmtId="0" fontId="7" fillId="0" borderId="2" xfId="2" applyBorder="1" applyAlignment="1">
      <alignment horizontal="left" vertical="center" shrinkToFit="1"/>
    </xf>
    <xf numFmtId="0" fontId="14" fillId="0" borderId="3" xfId="0" applyFont="1" applyBorder="1" applyAlignment="1">
      <alignment horizontal="left" vertical="center" shrinkToFit="1"/>
    </xf>
    <xf numFmtId="0" fontId="14" fillId="0" borderId="4" xfId="0" applyFont="1" applyBorder="1" applyAlignment="1">
      <alignment horizontal="lef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13" fillId="0" borderId="20" xfId="0" applyFont="1" applyFill="1" applyBorder="1" applyAlignment="1">
      <alignment vertical="top" wrapText="1" shrinkToFit="1"/>
    </xf>
    <xf numFmtId="0" fontId="13" fillId="0" borderId="21" xfId="0" applyFont="1" applyFill="1" applyBorder="1" applyAlignment="1">
      <alignment vertical="top" wrapText="1" shrinkToFit="1"/>
    </xf>
    <xf numFmtId="0" fontId="13" fillId="0" borderId="19" xfId="0" applyFont="1" applyFill="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13" fillId="0" borderId="24" xfId="0" applyFont="1" applyFill="1" applyBorder="1" applyAlignment="1">
      <alignment vertical="top" wrapText="1" shrinkToFit="1"/>
    </xf>
    <xf numFmtId="0" fontId="13" fillId="0" borderId="23" xfId="0" applyFont="1" applyFill="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ofc.sojo-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is.sojo-u.ac.jp/~horibe/DataScienc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is.sojo-u.ac.jp/~horibe/DataSc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topLeftCell="A13" zoomScaleNormal="100" workbookViewId="0">
      <selection activeCell="P26" sqref="P26:P28"/>
    </sheetView>
  </sheetViews>
  <sheetFormatPr defaultColWidth="9" defaultRowHeight="18.75" customHeight="1" x14ac:dyDescent="0.15"/>
  <cols>
    <col min="1" max="1" width="2.5" style="23" customWidth="1"/>
    <col min="2" max="2" width="12.5" style="23" customWidth="1"/>
    <col min="3" max="8" width="6.25" style="23" customWidth="1"/>
    <col min="9" max="9" width="2.5" style="23" customWidth="1"/>
    <col min="10" max="10" width="10" style="23" customWidth="1"/>
    <col min="11" max="11" width="2.5" style="23" customWidth="1"/>
    <col min="12" max="12" width="7.5" style="23" customWidth="1"/>
    <col min="13" max="13" width="2.5" style="23" customWidth="1"/>
    <col min="14" max="14" width="7.5" style="23" customWidth="1"/>
    <col min="15" max="16384" width="9" style="23"/>
  </cols>
  <sheetData>
    <row r="1" spans="1:14" ht="22.5" customHeight="1" x14ac:dyDescent="0.15">
      <c r="M1" s="137" t="s">
        <v>0</v>
      </c>
      <c r="N1" s="137"/>
    </row>
    <row r="2" spans="1:14" ht="22.5" customHeight="1" x14ac:dyDescent="0.15">
      <c r="A2" s="142" t="s">
        <v>1</v>
      </c>
      <c r="B2" s="142"/>
      <c r="C2" s="142"/>
      <c r="D2" s="142"/>
      <c r="E2" s="142"/>
      <c r="F2" s="142"/>
      <c r="G2" s="142"/>
      <c r="H2" s="142"/>
      <c r="I2" s="142"/>
      <c r="J2" s="142"/>
      <c r="K2" s="142"/>
      <c r="L2" s="142"/>
      <c r="M2" s="142"/>
      <c r="N2" s="142"/>
    </row>
    <row r="3" spans="1:14" ht="22.5" customHeight="1" x14ac:dyDescent="0.15"/>
    <row r="4" spans="1:14" ht="22.5" customHeight="1" x14ac:dyDescent="0.15">
      <c r="A4" s="23" t="s">
        <v>2</v>
      </c>
      <c r="B4" s="25" t="s">
        <v>3</v>
      </c>
      <c r="C4" s="129" t="s">
        <v>4</v>
      </c>
      <c r="D4" s="130"/>
      <c r="E4" s="130"/>
      <c r="F4" s="130"/>
      <c r="G4" s="130"/>
      <c r="H4" s="130"/>
      <c r="I4" s="130"/>
      <c r="J4" s="130"/>
      <c r="K4" s="130"/>
      <c r="L4" s="130"/>
      <c r="M4" s="130"/>
      <c r="N4" s="131"/>
    </row>
    <row r="5" spans="1:14" ht="7.5" customHeight="1" x14ac:dyDescent="0.15">
      <c r="B5" s="25"/>
      <c r="C5" s="25"/>
      <c r="D5" s="25"/>
      <c r="E5" s="26"/>
      <c r="F5" s="98"/>
      <c r="G5" s="98"/>
      <c r="H5" s="98"/>
      <c r="I5" s="98"/>
      <c r="J5" s="98"/>
      <c r="K5" s="98"/>
      <c r="L5" s="98"/>
      <c r="M5" s="98"/>
      <c r="N5" s="98"/>
    </row>
    <row r="6" spans="1:14" ht="22.5" customHeight="1" x14ac:dyDescent="0.15">
      <c r="A6" s="23" t="s">
        <v>5</v>
      </c>
      <c r="B6" s="25" t="s">
        <v>6</v>
      </c>
      <c r="C6" s="25"/>
      <c r="D6" s="129" t="s">
        <v>7</v>
      </c>
      <c r="E6" s="130"/>
      <c r="F6" s="130"/>
      <c r="G6" s="130"/>
      <c r="H6" s="130"/>
      <c r="I6" s="130"/>
      <c r="J6" s="130"/>
      <c r="K6" s="130"/>
      <c r="L6" s="130"/>
      <c r="M6" s="130"/>
      <c r="N6" s="131"/>
    </row>
    <row r="7" spans="1:14" ht="7.5" customHeight="1" x14ac:dyDescent="0.15">
      <c r="B7" s="25"/>
      <c r="C7" s="25"/>
      <c r="D7" s="25"/>
      <c r="E7" s="26"/>
      <c r="F7" s="98"/>
      <c r="G7" s="98"/>
      <c r="H7" s="98"/>
      <c r="I7" s="98"/>
      <c r="J7" s="98"/>
      <c r="K7" s="98"/>
      <c r="L7" s="98"/>
      <c r="M7" s="98"/>
      <c r="N7" s="98"/>
    </row>
    <row r="8" spans="1:14" ht="22.5" customHeight="1" x14ac:dyDescent="0.15">
      <c r="A8" s="27" t="s">
        <v>8</v>
      </c>
      <c r="B8" s="28" t="s">
        <v>9</v>
      </c>
      <c r="C8" s="129" t="s">
        <v>10</v>
      </c>
      <c r="D8" s="130"/>
      <c r="E8" s="131"/>
      <c r="F8" s="98"/>
      <c r="G8" s="141"/>
      <c r="H8" s="141"/>
      <c r="I8" s="141"/>
      <c r="J8" s="98"/>
      <c r="K8" s="98"/>
      <c r="L8" s="98"/>
      <c r="M8" s="98"/>
      <c r="N8" s="98"/>
    </row>
    <row r="9" spans="1:14" ht="7.5" customHeight="1" x14ac:dyDescent="0.15">
      <c r="B9" s="25"/>
      <c r="C9" s="25"/>
      <c r="D9" s="25"/>
      <c r="E9" s="26"/>
      <c r="F9" s="98"/>
      <c r="G9" s="98"/>
      <c r="H9" s="98"/>
      <c r="I9" s="98"/>
      <c r="J9" s="98"/>
      <c r="K9" s="98"/>
      <c r="L9" s="98"/>
      <c r="M9" s="98"/>
      <c r="N9" s="98"/>
    </row>
    <row r="10" spans="1:14" ht="22.5" customHeight="1" x14ac:dyDescent="0.15">
      <c r="A10" s="23" t="s">
        <v>11</v>
      </c>
      <c r="B10" s="25" t="s">
        <v>12</v>
      </c>
      <c r="C10" s="129" t="s">
        <v>13</v>
      </c>
      <c r="D10" s="130"/>
      <c r="E10" s="130"/>
      <c r="F10" s="130"/>
      <c r="G10" s="130"/>
      <c r="H10" s="130"/>
      <c r="I10" s="130"/>
      <c r="J10" s="130"/>
      <c r="K10" s="130"/>
      <c r="L10" s="130"/>
      <c r="M10" s="130"/>
      <c r="N10" s="131"/>
    </row>
    <row r="11" spans="1:14" ht="7.5" customHeight="1" x14ac:dyDescent="0.15">
      <c r="B11" s="25"/>
      <c r="C11" s="25"/>
      <c r="D11" s="25"/>
      <c r="E11" s="26"/>
      <c r="F11" s="98"/>
      <c r="G11" s="98"/>
      <c r="H11" s="98"/>
      <c r="I11" s="98"/>
      <c r="J11" s="98"/>
      <c r="K11" s="98"/>
      <c r="L11" s="98"/>
      <c r="M11" s="98"/>
      <c r="N11" s="98"/>
    </row>
    <row r="12" spans="1:14" ht="22.5" customHeight="1" x14ac:dyDescent="0.15">
      <c r="A12" s="23" t="s">
        <v>14</v>
      </c>
      <c r="B12" s="25" t="s">
        <v>15</v>
      </c>
      <c r="C12" s="25"/>
      <c r="D12" s="25"/>
      <c r="E12" s="73"/>
      <c r="F12" s="74"/>
      <c r="G12" s="121" t="s">
        <v>16</v>
      </c>
      <c r="H12" s="122"/>
      <c r="I12" s="122"/>
      <c r="J12" s="122"/>
      <c r="K12" s="122"/>
      <c r="L12" s="122"/>
      <c r="M12" s="122"/>
      <c r="N12" s="123"/>
    </row>
    <row r="13" spans="1:14" ht="7.5" customHeight="1" x14ac:dyDescent="0.15">
      <c r="B13" s="26"/>
      <c r="C13" s="26"/>
      <c r="D13" s="26"/>
      <c r="E13" s="26"/>
      <c r="F13" s="98"/>
      <c r="G13" s="98"/>
      <c r="H13" s="98"/>
      <c r="I13" s="98"/>
      <c r="J13" s="98"/>
      <c r="K13" s="98"/>
      <c r="L13" s="98"/>
      <c r="M13" s="98"/>
      <c r="N13" s="98"/>
    </row>
    <row r="14" spans="1:14" ht="22.5" customHeight="1" x14ac:dyDescent="0.15">
      <c r="A14" s="23" t="s">
        <v>17</v>
      </c>
      <c r="B14" s="26" t="s">
        <v>18</v>
      </c>
      <c r="C14" s="26"/>
      <c r="D14" s="26"/>
      <c r="E14" s="26"/>
      <c r="F14" s="129" t="s">
        <v>19</v>
      </c>
      <c r="G14" s="130"/>
      <c r="H14" s="131"/>
      <c r="I14" s="98"/>
      <c r="J14" s="98"/>
      <c r="K14" s="98"/>
      <c r="L14" s="98"/>
      <c r="M14" s="98"/>
      <c r="N14" s="98"/>
    </row>
    <row r="15" spans="1:14" ht="7.5" customHeight="1" x14ac:dyDescent="0.15">
      <c r="B15" s="26"/>
      <c r="C15" s="26"/>
      <c r="D15" s="26"/>
      <c r="E15" s="26"/>
      <c r="F15" s="98"/>
      <c r="G15" s="98"/>
      <c r="H15" s="98"/>
      <c r="I15" s="98"/>
      <c r="J15" s="98"/>
      <c r="K15" s="98"/>
      <c r="L15" s="98"/>
      <c r="M15" s="98"/>
      <c r="N15" s="98"/>
    </row>
    <row r="16" spans="1:14" ht="22.5" customHeight="1" x14ac:dyDescent="0.15">
      <c r="A16" s="23" t="s">
        <v>20</v>
      </c>
      <c r="B16" s="23" t="s">
        <v>21</v>
      </c>
      <c r="C16" s="138" t="s">
        <v>22</v>
      </c>
      <c r="D16" s="139"/>
      <c r="E16" s="124">
        <v>245</v>
      </c>
      <c r="F16" s="125"/>
      <c r="G16" s="29" t="s">
        <v>23</v>
      </c>
      <c r="I16" s="138" t="s">
        <v>24</v>
      </c>
      <c r="J16" s="139"/>
      <c r="K16" s="124">
        <v>99</v>
      </c>
      <c r="L16" s="140"/>
      <c r="M16" s="125"/>
      <c r="N16" s="30" t="s">
        <v>23</v>
      </c>
    </row>
    <row r="17" spans="1:15" ht="7.5" customHeight="1" x14ac:dyDescent="0.15">
      <c r="F17" s="31"/>
      <c r="G17" s="31"/>
      <c r="H17" s="31"/>
      <c r="I17" s="31"/>
      <c r="J17" s="31"/>
      <c r="K17" s="31"/>
      <c r="L17" s="31"/>
      <c r="M17" s="30"/>
      <c r="N17" s="30"/>
    </row>
    <row r="18" spans="1:15" ht="22.5" customHeight="1" x14ac:dyDescent="0.15">
      <c r="A18" s="23" t="s">
        <v>25</v>
      </c>
      <c r="B18" s="23" t="s">
        <v>26</v>
      </c>
      <c r="F18" s="31"/>
      <c r="G18" s="31"/>
      <c r="H18" s="31"/>
      <c r="I18" s="31"/>
      <c r="J18" s="31"/>
      <c r="K18" s="134">
        <v>3</v>
      </c>
      <c r="L18" s="135"/>
      <c r="M18" s="136"/>
      <c r="N18" s="30" t="s">
        <v>23</v>
      </c>
    </row>
    <row r="19" spans="1:15" ht="7.5" customHeight="1" x14ac:dyDescent="0.15">
      <c r="F19" s="31"/>
      <c r="G19" s="31"/>
      <c r="H19" s="31"/>
      <c r="I19" s="31"/>
      <c r="J19" s="31"/>
      <c r="K19" s="31"/>
      <c r="L19" s="31"/>
      <c r="M19" s="30"/>
      <c r="N19" s="30"/>
    </row>
    <row r="20" spans="1:15" ht="22.5" customHeight="1" x14ac:dyDescent="0.15">
      <c r="A20" s="23" t="s">
        <v>27</v>
      </c>
      <c r="B20" s="23" t="s">
        <v>28</v>
      </c>
      <c r="E20" s="144">
        <v>740</v>
      </c>
      <c r="F20" s="145"/>
      <c r="G20" s="32" t="s">
        <v>29</v>
      </c>
      <c r="H20" s="31"/>
      <c r="K20" s="143"/>
      <c r="L20" s="143"/>
      <c r="M20" s="143"/>
      <c r="N20" s="143"/>
    </row>
    <row r="21" spans="1:15" ht="7.5" customHeight="1" x14ac:dyDescent="0.15">
      <c r="E21" s="21"/>
      <c r="F21" s="31"/>
      <c r="G21" s="31"/>
      <c r="L21" s="99"/>
      <c r="M21" s="99"/>
      <c r="N21" s="33"/>
    </row>
    <row r="22" spans="1:15" ht="22.5" customHeight="1" x14ac:dyDescent="0.15">
      <c r="A22" s="23" t="s">
        <v>30</v>
      </c>
      <c r="B22" s="23" t="s">
        <v>31</v>
      </c>
      <c r="E22" s="21"/>
      <c r="F22" s="31"/>
      <c r="G22" s="31"/>
      <c r="H22" s="23" t="s">
        <v>32</v>
      </c>
      <c r="J22" s="146">
        <v>3641</v>
      </c>
      <c r="K22" s="147"/>
      <c r="L22" s="148"/>
      <c r="M22" s="99" t="s">
        <v>23</v>
      </c>
      <c r="N22" s="33"/>
    </row>
    <row r="23" spans="1:15" ht="7.5" customHeight="1" x14ac:dyDescent="0.15">
      <c r="E23" s="21"/>
      <c r="F23" s="31"/>
      <c r="G23" s="31"/>
      <c r="L23" s="99"/>
      <c r="M23" s="99"/>
      <c r="N23" s="33"/>
    </row>
    <row r="24" spans="1:15" ht="22.5" customHeight="1" x14ac:dyDescent="0.15">
      <c r="B24" s="103" t="s">
        <v>33</v>
      </c>
      <c r="C24" s="124">
        <v>836</v>
      </c>
      <c r="D24" s="125"/>
      <c r="E24" s="21" t="s">
        <v>23</v>
      </c>
      <c r="F24" s="31"/>
      <c r="G24" s="120" t="s">
        <v>34</v>
      </c>
      <c r="H24" s="120"/>
      <c r="I24" s="124">
        <v>939</v>
      </c>
      <c r="J24" s="125"/>
      <c r="K24" s="27" t="s">
        <v>23</v>
      </c>
      <c r="M24" s="99"/>
      <c r="N24" s="33"/>
      <c r="O24" s="24"/>
    </row>
    <row r="25" spans="1:15" ht="7.5" customHeight="1" x14ac:dyDescent="0.15">
      <c r="B25" s="103"/>
      <c r="C25" s="22"/>
      <c r="D25" s="22"/>
      <c r="E25" s="21"/>
      <c r="F25" s="31"/>
      <c r="G25" s="99"/>
      <c r="H25" s="99"/>
      <c r="I25" s="22"/>
      <c r="J25" s="22"/>
      <c r="K25" s="27"/>
      <c r="M25" s="99"/>
      <c r="N25" s="33"/>
      <c r="O25" s="24"/>
    </row>
    <row r="26" spans="1:15" ht="22.5" customHeight="1" x14ac:dyDescent="0.15">
      <c r="B26" s="103" t="s">
        <v>35</v>
      </c>
      <c r="C26" s="124">
        <v>792</v>
      </c>
      <c r="D26" s="125"/>
      <c r="E26" s="21" t="s">
        <v>23</v>
      </c>
      <c r="F26" s="31"/>
      <c r="G26" s="120" t="s">
        <v>36</v>
      </c>
      <c r="H26" s="120"/>
      <c r="I26" s="124">
        <v>809</v>
      </c>
      <c r="J26" s="125"/>
      <c r="K26" s="27" t="s">
        <v>23</v>
      </c>
      <c r="M26" s="99"/>
      <c r="N26" s="33"/>
    </row>
    <row r="27" spans="1:15" ht="7.5" customHeight="1" x14ac:dyDescent="0.15">
      <c r="B27" s="103"/>
      <c r="C27" s="22"/>
      <c r="D27" s="22"/>
      <c r="E27" s="21"/>
      <c r="F27" s="31"/>
      <c r="G27" s="99"/>
      <c r="H27" s="99"/>
      <c r="I27" s="22"/>
      <c r="J27" s="22"/>
      <c r="K27" s="27"/>
      <c r="M27" s="99"/>
      <c r="N27" s="33"/>
    </row>
    <row r="28" spans="1:15" ht="22.5" customHeight="1" x14ac:dyDescent="0.15">
      <c r="B28" s="103" t="s">
        <v>37</v>
      </c>
      <c r="C28" s="124">
        <v>127</v>
      </c>
      <c r="D28" s="125"/>
      <c r="E28" s="21" t="s">
        <v>23</v>
      </c>
      <c r="F28" s="31"/>
      <c r="G28" s="120" t="s">
        <v>38</v>
      </c>
      <c r="H28" s="120"/>
      <c r="I28" s="124">
        <v>138</v>
      </c>
      <c r="J28" s="125"/>
      <c r="K28" s="27" t="s">
        <v>23</v>
      </c>
      <c r="M28" s="99"/>
      <c r="N28" s="33"/>
    </row>
    <row r="29" spans="1:15" ht="7.5" customHeight="1" x14ac:dyDescent="0.15">
      <c r="F29" s="31"/>
      <c r="G29" s="31"/>
      <c r="M29" s="34"/>
      <c r="N29" s="34"/>
    </row>
    <row r="30" spans="1:15" ht="22.5" customHeight="1" x14ac:dyDescent="0.15">
      <c r="A30" s="23" t="s">
        <v>39</v>
      </c>
      <c r="B30" s="25" t="s">
        <v>40</v>
      </c>
      <c r="C30" s="25"/>
      <c r="D30" s="25"/>
      <c r="E30" s="25"/>
      <c r="F30" s="27"/>
      <c r="G30" s="98"/>
      <c r="H30" s="98"/>
      <c r="I30" s="98"/>
      <c r="J30" s="36"/>
      <c r="K30" s="36"/>
      <c r="L30" s="36"/>
      <c r="M30" s="36"/>
      <c r="N30" s="36"/>
    </row>
    <row r="31" spans="1:15" s="24" customFormat="1" ht="22.5" customHeight="1" x14ac:dyDescent="0.15">
      <c r="B31" s="128" t="s">
        <v>41</v>
      </c>
      <c r="C31" s="128"/>
      <c r="D31" s="121" t="s">
        <v>42</v>
      </c>
      <c r="E31" s="122"/>
      <c r="F31" s="122"/>
      <c r="G31" s="132" t="s">
        <v>43</v>
      </c>
      <c r="H31" s="128"/>
      <c r="I31" s="133"/>
      <c r="J31" s="121" t="s">
        <v>44</v>
      </c>
      <c r="K31" s="122"/>
      <c r="L31" s="122"/>
      <c r="M31" s="122"/>
      <c r="N31" s="123"/>
    </row>
    <row r="32" spans="1:15" ht="7.5" customHeight="1" x14ac:dyDescent="0.15">
      <c r="F32" s="31"/>
      <c r="G32" s="31"/>
      <c r="M32" s="34"/>
      <c r="N32" s="34"/>
    </row>
    <row r="33" spans="1:14" ht="22.5" customHeight="1" x14ac:dyDescent="0.15">
      <c r="A33" s="23" t="s">
        <v>45</v>
      </c>
      <c r="B33" s="25" t="s">
        <v>46</v>
      </c>
      <c r="C33" s="25"/>
      <c r="D33" s="25"/>
      <c r="E33" s="25"/>
      <c r="F33" s="27"/>
      <c r="G33" s="36"/>
      <c r="H33" s="36"/>
      <c r="I33" s="36"/>
      <c r="J33" s="36"/>
      <c r="K33" s="36"/>
      <c r="L33" s="36"/>
      <c r="M33" s="36"/>
      <c r="N33" s="36"/>
    </row>
    <row r="34" spans="1:14" ht="22.5" customHeight="1" x14ac:dyDescent="0.15">
      <c r="B34" s="121" t="s">
        <v>47</v>
      </c>
      <c r="C34" s="122"/>
      <c r="D34" s="122"/>
      <c r="E34" s="122"/>
      <c r="F34" s="122"/>
      <c r="G34" s="122"/>
      <c r="H34" s="122"/>
      <c r="I34" s="122"/>
      <c r="J34" s="122"/>
      <c r="K34" s="122"/>
      <c r="L34" s="122"/>
      <c r="M34" s="122"/>
      <c r="N34" s="123"/>
    </row>
    <row r="35" spans="1:14" ht="7.5" customHeight="1" x14ac:dyDescent="0.15">
      <c r="B35" s="102"/>
      <c r="C35" s="102"/>
      <c r="D35" s="102"/>
      <c r="E35" s="102"/>
      <c r="F35" s="102"/>
      <c r="G35" s="102"/>
      <c r="H35" s="102"/>
      <c r="I35" s="102"/>
      <c r="J35" s="102"/>
      <c r="K35" s="102"/>
      <c r="L35" s="102"/>
      <c r="M35" s="102"/>
      <c r="N35" s="102"/>
    </row>
    <row r="36" spans="1:14" s="24" customFormat="1" ht="22.5" customHeight="1" x14ac:dyDescent="0.15">
      <c r="B36" s="128" t="s">
        <v>41</v>
      </c>
      <c r="C36" s="128"/>
      <c r="D36" s="129" t="s">
        <v>42</v>
      </c>
      <c r="E36" s="130"/>
      <c r="F36" s="130"/>
      <c r="G36" s="132" t="s">
        <v>43</v>
      </c>
      <c r="H36" s="128"/>
      <c r="I36" s="133"/>
      <c r="J36" s="129" t="s">
        <v>44</v>
      </c>
      <c r="K36" s="130"/>
      <c r="L36" s="130"/>
      <c r="M36" s="130"/>
      <c r="N36" s="131"/>
    </row>
    <row r="37" spans="1:14" ht="7.5" customHeight="1" x14ac:dyDescent="0.15">
      <c r="F37" s="98"/>
      <c r="G37" s="98"/>
      <c r="H37" s="98"/>
      <c r="I37" s="98"/>
      <c r="J37" s="98"/>
      <c r="K37" s="98"/>
      <c r="L37" s="98"/>
      <c r="M37" s="98"/>
      <c r="N37" s="98"/>
    </row>
    <row r="38" spans="1:14" ht="22.5" customHeight="1" x14ac:dyDescent="0.15">
      <c r="A38" s="23" t="s">
        <v>48</v>
      </c>
      <c r="B38" s="23" t="s">
        <v>49</v>
      </c>
      <c r="M38" s="34"/>
      <c r="N38" s="34"/>
    </row>
    <row r="39" spans="1:14" ht="22.5" customHeight="1" x14ac:dyDescent="0.15">
      <c r="B39" s="121" t="s">
        <v>50</v>
      </c>
      <c r="C39" s="122"/>
      <c r="D39" s="122"/>
      <c r="E39" s="122"/>
      <c r="F39" s="122"/>
      <c r="G39" s="122"/>
      <c r="H39" s="122"/>
      <c r="I39" s="122"/>
      <c r="J39" s="122"/>
      <c r="K39" s="122"/>
      <c r="L39" s="122"/>
      <c r="M39" s="122"/>
      <c r="N39" s="123"/>
    </row>
    <row r="40" spans="1:14" ht="7.5" customHeight="1" x14ac:dyDescent="0.15">
      <c r="F40" s="98"/>
      <c r="G40" s="98"/>
      <c r="H40" s="98"/>
      <c r="I40" s="98"/>
      <c r="J40" s="98"/>
      <c r="K40" s="98"/>
      <c r="L40" s="98"/>
      <c r="M40" s="98"/>
      <c r="N40" s="98"/>
    </row>
    <row r="41" spans="1:14" s="24" customFormat="1" ht="22.5" customHeight="1" x14ac:dyDescent="0.15">
      <c r="B41" s="128" t="s">
        <v>41</v>
      </c>
      <c r="C41" s="128"/>
      <c r="D41" s="121" t="s">
        <v>51</v>
      </c>
      <c r="E41" s="122"/>
      <c r="F41" s="122"/>
      <c r="G41" s="132" t="s">
        <v>43</v>
      </c>
      <c r="H41" s="128"/>
      <c r="I41" s="133"/>
      <c r="J41" s="121" t="s">
        <v>52</v>
      </c>
      <c r="K41" s="122"/>
      <c r="L41" s="122"/>
      <c r="M41" s="122"/>
      <c r="N41" s="123"/>
    </row>
    <row r="42" spans="1:14" ht="7.5" customHeight="1" x14ac:dyDescent="0.15">
      <c r="F42" s="98"/>
      <c r="G42" s="98"/>
      <c r="H42" s="98"/>
      <c r="I42" s="98"/>
      <c r="J42" s="98"/>
      <c r="K42" s="98"/>
      <c r="L42" s="98"/>
      <c r="M42" s="98"/>
      <c r="N42" s="98"/>
    </row>
    <row r="43" spans="1:14" ht="22.5" customHeight="1" x14ac:dyDescent="0.15">
      <c r="A43" s="23" t="s">
        <v>53</v>
      </c>
      <c r="B43" s="47" t="s">
        <v>54</v>
      </c>
      <c r="E43" s="42"/>
      <c r="F43" s="129" t="s">
        <v>55</v>
      </c>
      <c r="G43" s="130"/>
      <c r="H43" s="130"/>
      <c r="I43" s="130"/>
      <c r="J43" s="130"/>
      <c r="K43" s="130"/>
      <c r="L43" s="130"/>
      <c r="M43" s="130"/>
      <c r="N43" s="131"/>
    </row>
    <row r="44" spans="1:14" ht="7.5" customHeight="1" x14ac:dyDescent="0.15">
      <c r="F44" s="98"/>
      <c r="G44" s="98"/>
      <c r="H44" s="98"/>
      <c r="I44" s="98"/>
      <c r="J44" s="98"/>
      <c r="K44" s="98"/>
      <c r="L44" s="98"/>
      <c r="M44" s="98"/>
      <c r="N44" s="98"/>
    </row>
    <row r="45" spans="1:14" ht="22.5" customHeight="1" x14ac:dyDescent="0.15">
      <c r="A45" s="23" t="s">
        <v>56</v>
      </c>
    </row>
    <row r="46" spans="1:14" ht="22.5" customHeight="1" x14ac:dyDescent="0.15">
      <c r="B46" s="75" t="s">
        <v>57</v>
      </c>
      <c r="C46" s="126" t="s">
        <v>58</v>
      </c>
      <c r="D46" s="127"/>
      <c r="E46" s="127"/>
      <c r="F46" s="127"/>
      <c r="G46" s="127"/>
      <c r="H46" s="127"/>
      <c r="I46" s="76" t="s">
        <v>59</v>
      </c>
      <c r="J46" s="77"/>
      <c r="K46" s="121" t="s">
        <v>60</v>
      </c>
      <c r="L46" s="122"/>
      <c r="M46" s="122"/>
      <c r="N46" s="123"/>
    </row>
    <row r="47" spans="1:14" ht="22.5" customHeight="1" x14ac:dyDescent="0.15">
      <c r="B47" s="75" t="s">
        <v>61</v>
      </c>
      <c r="C47" s="114" t="s">
        <v>62</v>
      </c>
      <c r="D47" s="115"/>
      <c r="E47" s="115"/>
      <c r="F47" s="115"/>
      <c r="G47" s="115"/>
      <c r="H47" s="116"/>
      <c r="I47" s="76" t="s">
        <v>63</v>
      </c>
      <c r="J47" s="77"/>
      <c r="K47" s="117" t="s">
        <v>64</v>
      </c>
      <c r="L47" s="118"/>
      <c r="M47" s="118"/>
      <c r="N47" s="119"/>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360E2E89-B4B9-4E75-B332-F6761DE8874C}"/>
  </hyperlinks>
  <printOptions horizontalCentered="1"/>
  <pageMargins left="0.78740157480314965" right="0.78740157480314965" top="0.78740157480314965" bottom="0.39370078740157483" header="0.31496062992125984" footer="0.31496062992125984"/>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P15" sqref="P15"/>
    </sheetView>
  </sheetViews>
  <sheetFormatPr defaultColWidth="9" defaultRowHeight="18.75" customHeight="1" x14ac:dyDescent="0.15"/>
  <cols>
    <col min="1" max="2" width="2.5" style="23" customWidth="1"/>
    <col min="3" max="3" width="20" style="23" customWidth="1"/>
    <col min="4" max="4" width="8.75" style="23" customWidth="1"/>
    <col min="5" max="5" width="7.5" style="23" customWidth="1"/>
    <col min="6" max="6" width="2.5" style="23" customWidth="1"/>
    <col min="7" max="7" width="15" style="23" customWidth="1"/>
    <col min="8" max="8" width="12.5" style="23" customWidth="1"/>
    <col min="9" max="9" width="11.25" style="23" customWidth="1"/>
    <col min="10" max="16384" width="9" style="23"/>
  </cols>
  <sheetData>
    <row r="1" spans="1:9" ht="18.75" customHeight="1" x14ac:dyDescent="0.15">
      <c r="I1" s="100" t="s">
        <v>65</v>
      </c>
    </row>
    <row r="2" spans="1:9" ht="18.75" customHeight="1" x14ac:dyDescent="0.15">
      <c r="G2" s="35" t="s">
        <v>66</v>
      </c>
      <c r="H2" s="155" t="s">
        <v>4</v>
      </c>
      <c r="I2" s="155"/>
    </row>
    <row r="3" spans="1:9" ht="7.5" customHeight="1" x14ac:dyDescent="0.15"/>
    <row r="4" spans="1:9" ht="18.75" customHeight="1" x14ac:dyDescent="0.15">
      <c r="A4" s="142" t="s">
        <v>67</v>
      </c>
      <c r="B4" s="142"/>
      <c r="C4" s="142"/>
      <c r="D4" s="142"/>
      <c r="E4" s="142"/>
      <c r="F4" s="142"/>
      <c r="G4" s="142"/>
      <c r="H4" s="142"/>
      <c r="I4" s="142"/>
    </row>
    <row r="5" spans="1:9" ht="7.5" customHeight="1" x14ac:dyDescent="0.15">
      <c r="C5" s="103"/>
      <c r="D5" s="103"/>
      <c r="E5" s="103"/>
      <c r="F5" s="103"/>
      <c r="G5" s="103"/>
      <c r="H5" s="103"/>
      <c r="I5" s="103"/>
    </row>
    <row r="6" spans="1:9" ht="18.75" customHeight="1" x14ac:dyDescent="0.15">
      <c r="A6" s="23" t="s">
        <v>2</v>
      </c>
      <c r="B6" s="23" t="s">
        <v>68</v>
      </c>
      <c r="C6" s="103"/>
      <c r="D6" s="103"/>
      <c r="E6" s="134" t="s">
        <v>69</v>
      </c>
      <c r="F6" s="135"/>
      <c r="G6" s="135"/>
      <c r="H6" s="135"/>
      <c r="I6" s="136"/>
    </row>
    <row r="7" spans="1:9" ht="7.5" customHeight="1" x14ac:dyDescent="0.15">
      <c r="C7" s="103"/>
      <c r="D7" s="103"/>
      <c r="F7" s="99"/>
      <c r="G7" s="99"/>
      <c r="H7" s="99"/>
      <c r="I7" s="99"/>
    </row>
    <row r="8" spans="1:9" ht="18.75" customHeight="1" x14ac:dyDescent="0.15">
      <c r="A8" s="23" t="s">
        <v>5</v>
      </c>
      <c r="B8" s="23" t="s">
        <v>70</v>
      </c>
      <c r="C8" s="103"/>
      <c r="D8" s="103"/>
      <c r="E8" s="103"/>
      <c r="F8" s="103"/>
      <c r="G8" s="103"/>
      <c r="H8" s="103"/>
      <c r="I8" s="103"/>
    </row>
    <row r="9" spans="1:9" ht="18.75" customHeight="1" x14ac:dyDescent="0.15">
      <c r="B9" s="158" t="s">
        <v>185</v>
      </c>
      <c r="C9" s="159"/>
      <c r="D9" s="159"/>
      <c r="E9" s="159"/>
      <c r="F9" s="159"/>
      <c r="G9" s="159"/>
      <c r="H9" s="159"/>
      <c r="I9" s="160"/>
    </row>
    <row r="10" spans="1:9" ht="18.75" customHeight="1" x14ac:dyDescent="0.15">
      <c r="B10" s="161"/>
      <c r="C10" s="162"/>
      <c r="D10" s="162"/>
      <c r="E10" s="162"/>
      <c r="F10" s="162"/>
      <c r="G10" s="162"/>
      <c r="H10" s="162"/>
      <c r="I10" s="163"/>
    </row>
    <row r="11" spans="1:9" ht="18.75" customHeight="1" x14ac:dyDescent="0.15">
      <c r="B11" s="161"/>
      <c r="C11" s="162"/>
      <c r="D11" s="162"/>
      <c r="E11" s="162"/>
      <c r="F11" s="162"/>
      <c r="G11" s="162"/>
      <c r="H11" s="162"/>
      <c r="I11" s="163"/>
    </row>
    <row r="12" spans="1:9" ht="18.75" customHeight="1" x14ac:dyDescent="0.15">
      <c r="B12" s="161"/>
      <c r="C12" s="162"/>
      <c r="D12" s="162"/>
      <c r="E12" s="162"/>
      <c r="F12" s="162"/>
      <c r="G12" s="162"/>
      <c r="H12" s="162"/>
      <c r="I12" s="163"/>
    </row>
    <row r="13" spans="1:9" ht="18.75" customHeight="1" x14ac:dyDescent="0.15">
      <c r="B13" s="161"/>
      <c r="C13" s="162"/>
      <c r="D13" s="162"/>
      <c r="E13" s="162"/>
      <c r="F13" s="162"/>
      <c r="G13" s="162"/>
      <c r="H13" s="162"/>
      <c r="I13" s="163"/>
    </row>
    <row r="14" spans="1:9" ht="18.75" customHeight="1" x14ac:dyDescent="0.15">
      <c r="B14" s="161"/>
      <c r="C14" s="162"/>
      <c r="D14" s="162"/>
      <c r="E14" s="162"/>
      <c r="F14" s="162"/>
      <c r="G14" s="162"/>
      <c r="H14" s="162"/>
      <c r="I14" s="163"/>
    </row>
    <row r="15" spans="1:9" ht="18.75" customHeight="1" x14ac:dyDescent="0.15">
      <c r="B15" s="161"/>
      <c r="C15" s="162"/>
      <c r="D15" s="162"/>
      <c r="E15" s="162"/>
      <c r="F15" s="162"/>
      <c r="G15" s="162"/>
      <c r="H15" s="162"/>
      <c r="I15" s="163"/>
    </row>
    <row r="16" spans="1:9" ht="18.75" customHeight="1" x14ac:dyDescent="0.15">
      <c r="B16" s="164"/>
      <c r="C16" s="165"/>
      <c r="D16" s="165"/>
      <c r="E16" s="165"/>
      <c r="F16" s="165"/>
      <c r="G16" s="165"/>
      <c r="H16" s="165"/>
      <c r="I16" s="166"/>
    </row>
    <row r="17" spans="1:10" ht="7.5" customHeight="1" x14ac:dyDescent="0.15">
      <c r="C17" s="103"/>
      <c r="D17" s="103"/>
      <c r="E17" s="103"/>
      <c r="F17" s="103"/>
      <c r="G17" s="103"/>
      <c r="H17" s="103"/>
      <c r="I17" s="103"/>
    </row>
    <row r="18" spans="1:10" ht="18.75" customHeight="1" x14ac:dyDescent="0.15">
      <c r="A18" s="103" t="s">
        <v>8</v>
      </c>
      <c r="B18" s="25" t="s">
        <v>71</v>
      </c>
      <c r="C18" s="25"/>
      <c r="D18" s="25"/>
      <c r="E18" s="25"/>
      <c r="F18" s="103"/>
      <c r="G18" s="103"/>
      <c r="H18" s="103"/>
      <c r="I18" s="103"/>
      <c r="J18" s="103"/>
    </row>
    <row r="19" spans="1:10" ht="18.75" customHeight="1" x14ac:dyDescent="0.15">
      <c r="A19" s="156" t="s">
        <v>71</v>
      </c>
      <c r="B19" s="156"/>
      <c r="C19" s="156"/>
      <c r="D19" s="156"/>
      <c r="E19" s="156"/>
      <c r="F19" s="157" t="s">
        <v>71</v>
      </c>
      <c r="G19" s="157"/>
      <c r="H19" s="157"/>
      <c r="I19" s="157"/>
    </row>
    <row r="20" spans="1:10" ht="18.75" customHeight="1" x14ac:dyDescent="0.15">
      <c r="A20" s="44">
        <v>1</v>
      </c>
      <c r="B20" s="152" t="s">
        <v>186</v>
      </c>
      <c r="C20" s="153"/>
      <c r="D20" s="153"/>
      <c r="E20" s="154"/>
      <c r="F20" s="44">
        <v>26</v>
      </c>
      <c r="G20" s="149"/>
      <c r="H20" s="150"/>
      <c r="I20" s="151"/>
    </row>
    <row r="21" spans="1:10" ht="18.75" customHeight="1" x14ac:dyDescent="0.15">
      <c r="A21" s="44">
        <v>2</v>
      </c>
      <c r="B21" s="152"/>
      <c r="C21" s="153"/>
      <c r="D21" s="153"/>
      <c r="E21" s="154"/>
      <c r="F21" s="44">
        <v>27</v>
      </c>
      <c r="G21" s="149"/>
      <c r="H21" s="150"/>
      <c r="I21" s="151"/>
    </row>
    <row r="22" spans="1:10" ht="18.75" customHeight="1" x14ac:dyDescent="0.15">
      <c r="A22" s="44">
        <v>3</v>
      </c>
      <c r="B22" s="152"/>
      <c r="C22" s="153"/>
      <c r="D22" s="153"/>
      <c r="E22" s="154"/>
      <c r="F22" s="44">
        <v>28</v>
      </c>
      <c r="G22" s="149"/>
      <c r="H22" s="150"/>
      <c r="I22" s="151"/>
    </row>
    <row r="23" spans="1:10" ht="18.75" customHeight="1" x14ac:dyDescent="0.15">
      <c r="A23" s="44">
        <v>4</v>
      </c>
      <c r="B23" s="152"/>
      <c r="C23" s="153"/>
      <c r="D23" s="153"/>
      <c r="E23" s="154"/>
      <c r="F23" s="44">
        <v>29</v>
      </c>
      <c r="G23" s="149"/>
      <c r="H23" s="150"/>
      <c r="I23" s="151"/>
    </row>
    <row r="24" spans="1:10" ht="18.75" customHeight="1" x14ac:dyDescent="0.15">
      <c r="A24" s="44">
        <v>5</v>
      </c>
      <c r="B24" s="152"/>
      <c r="C24" s="153"/>
      <c r="D24" s="153"/>
      <c r="E24" s="154"/>
      <c r="F24" s="44">
        <v>30</v>
      </c>
      <c r="G24" s="149"/>
      <c r="H24" s="150"/>
      <c r="I24" s="151"/>
    </row>
    <row r="25" spans="1:10" ht="18.75" customHeight="1" x14ac:dyDescent="0.15">
      <c r="A25" s="44">
        <v>6</v>
      </c>
      <c r="B25" s="152"/>
      <c r="C25" s="153"/>
      <c r="D25" s="153"/>
      <c r="E25" s="154"/>
      <c r="F25" s="44">
        <v>31</v>
      </c>
      <c r="G25" s="149"/>
      <c r="H25" s="150"/>
      <c r="I25" s="151"/>
    </row>
    <row r="26" spans="1:10" ht="18.75" customHeight="1" x14ac:dyDescent="0.15">
      <c r="A26" s="44">
        <v>7</v>
      </c>
      <c r="B26" s="152"/>
      <c r="C26" s="153"/>
      <c r="D26" s="153"/>
      <c r="E26" s="154"/>
      <c r="F26" s="44">
        <v>32</v>
      </c>
      <c r="G26" s="149"/>
      <c r="H26" s="150"/>
      <c r="I26" s="151"/>
    </row>
    <row r="27" spans="1:10" ht="18.75" customHeight="1" x14ac:dyDescent="0.15">
      <c r="A27" s="44">
        <v>8</v>
      </c>
      <c r="B27" s="152"/>
      <c r="C27" s="153"/>
      <c r="D27" s="153"/>
      <c r="E27" s="154"/>
      <c r="F27" s="44">
        <v>33</v>
      </c>
      <c r="G27" s="149"/>
      <c r="H27" s="150"/>
      <c r="I27" s="151"/>
    </row>
    <row r="28" spans="1:10" ht="18.75" customHeight="1" x14ac:dyDescent="0.15">
      <c r="A28" s="44">
        <v>9</v>
      </c>
      <c r="B28" s="152"/>
      <c r="C28" s="153"/>
      <c r="D28" s="153"/>
      <c r="E28" s="154"/>
      <c r="F28" s="44">
        <v>34</v>
      </c>
      <c r="G28" s="149"/>
      <c r="H28" s="150"/>
      <c r="I28" s="151"/>
    </row>
    <row r="29" spans="1:10" ht="18.75" customHeight="1" x14ac:dyDescent="0.15">
      <c r="A29" s="44">
        <v>10</v>
      </c>
      <c r="B29" s="152"/>
      <c r="C29" s="153"/>
      <c r="D29" s="153"/>
      <c r="E29" s="154"/>
      <c r="F29" s="44">
        <v>35</v>
      </c>
      <c r="G29" s="149"/>
      <c r="H29" s="150"/>
      <c r="I29" s="151"/>
    </row>
    <row r="30" spans="1:10" ht="18.75" customHeight="1" x14ac:dyDescent="0.15">
      <c r="A30" s="44">
        <v>11</v>
      </c>
      <c r="B30" s="149"/>
      <c r="C30" s="150"/>
      <c r="D30" s="150"/>
      <c r="E30" s="151"/>
      <c r="F30" s="44">
        <v>36</v>
      </c>
      <c r="G30" s="149"/>
      <c r="H30" s="150"/>
      <c r="I30" s="151"/>
    </row>
    <row r="31" spans="1:10" ht="18.75" customHeight="1" x14ac:dyDescent="0.15">
      <c r="A31" s="44">
        <v>12</v>
      </c>
      <c r="B31" s="149"/>
      <c r="C31" s="150"/>
      <c r="D31" s="150"/>
      <c r="E31" s="151"/>
      <c r="F31" s="44">
        <v>37</v>
      </c>
      <c r="G31" s="149"/>
      <c r="H31" s="150"/>
      <c r="I31" s="151"/>
    </row>
    <row r="32" spans="1:10" ht="18.75" customHeight="1" x14ac:dyDescent="0.15">
      <c r="A32" s="44">
        <v>13</v>
      </c>
      <c r="B32" s="149"/>
      <c r="C32" s="150"/>
      <c r="D32" s="150"/>
      <c r="E32" s="151"/>
      <c r="F32" s="44">
        <v>38</v>
      </c>
      <c r="G32" s="149"/>
      <c r="H32" s="150"/>
      <c r="I32" s="151"/>
    </row>
    <row r="33" spans="1:9" ht="18.75" customHeight="1" x14ac:dyDescent="0.15">
      <c r="A33" s="44">
        <v>14</v>
      </c>
      <c r="B33" s="149"/>
      <c r="C33" s="150"/>
      <c r="D33" s="150"/>
      <c r="E33" s="151"/>
      <c r="F33" s="44">
        <v>39</v>
      </c>
      <c r="G33" s="149"/>
      <c r="H33" s="150"/>
      <c r="I33" s="151"/>
    </row>
    <row r="34" spans="1:9" ht="18.75" customHeight="1" x14ac:dyDescent="0.15">
      <c r="A34" s="44">
        <v>15</v>
      </c>
      <c r="B34" s="149"/>
      <c r="C34" s="150"/>
      <c r="D34" s="150"/>
      <c r="E34" s="151"/>
      <c r="F34" s="44">
        <v>40</v>
      </c>
      <c r="G34" s="149"/>
      <c r="H34" s="150"/>
      <c r="I34" s="151"/>
    </row>
    <row r="35" spans="1:9" ht="18.75" customHeight="1" x14ac:dyDescent="0.15">
      <c r="A35" s="44">
        <v>16</v>
      </c>
      <c r="B35" s="149"/>
      <c r="C35" s="150"/>
      <c r="D35" s="150"/>
      <c r="E35" s="151"/>
      <c r="F35" s="44">
        <v>41</v>
      </c>
      <c r="G35" s="149"/>
      <c r="H35" s="150"/>
      <c r="I35" s="151"/>
    </row>
    <row r="36" spans="1:9" ht="18.75" customHeight="1" x14ac:dyDescent="0.15">
      <c r="A36" s="44">
        <v>17</v>
      </c>
      <c r="B36" s="149"/>
      <c r="C36" s="150"/>
      <c r="D36" s="150"/>
      <c r="E36" s="151"/>
      <c r="F36" s="44">
        <v>42</v>
      </c>
      <c r="G36" s="149"/>
      <c r="H36" s="150"/>
      <c r="I36" s="151"/>
    </row>
    <row r="37" spans="1:9" ht="18.75" customHeight="1" x14ac:dyDescent="0.15">
      <c r="A37" s="44">
        <v>18</v>
      </c>
      <c r="B37" s="149"/>
      <c r="C37" s="150"/>
      <c r="D37" s="150"/>
      <c r="E37" s="151"/>
      <c r="F37" s="44">
        <v>43</v>
      </c>
      <c r="G37" s="149"/>
      <c r="H37" s="150"/>
      <c r="I37" s="151"/>
    </row>
    <row r="38" spans="1:9" ht="18.75" customHeight="1" x14ac:dyDescent="0.15">
      <c r="A38" s="44">
        <v>19</v>
      </c>
      <c r="B38" s="149"/>
      <c r="C38" s="150"/>
      <c r="D38" s="150"/>
      <c r="E38" s="151"/>
      <c r="F38" s="44">
        <v>44</v>
      </c>
      <c r="G38" s="149"/>
      <c r="H38" s="150"/>
      <c r="I38" s="151"/>
    </row>
    <row r="39" spans="1:9" ht="18.75" customHeight="1" x14ac:dyDescent="0.15">
      <c r="A39" s="44">
        <v>20</v>
      </c>
      <c r="B39" s="149"/>
      <c r="C39" s="150"/>
      <c r="D39" s="150"/>
      <c r="E39" s="151"/>
      <c r="F39" s="44">
        <v>45</v>
      </c>
      <c r="G39" s="149"/>
      <c r="H39" s="150"/>
      <c r="I39" s="151"/>
    </row>
    <row r="40" spans="1:9" ht="18.75" customHeight="1" x14ac:dyDescent="0.15">
      <c r="A40" s="44">
        <v>21</v>
      </c>
      <c r="B40" s="149"/>
      <c r="C40" s="150"/>
      <c r="D40" s="150"/>
      <c r="E40" s="151"/>
      <c r="F40" s="44">
        <v>46</v>
      </c>
      <c r="G40" s="149"/>
      <c r="H40" s="150"/>
      <c r="I40" s="151"/>
    </row>
    <row r="41" spans="1:9" ht="18.75" customHeight="1" x14ac:dyDescent="0.15">
      <c r="A41" s="44">
        <v>22</v>
      </c>
      <c r="B41" s="149"/>
      <c r="C41" s="150"/>
      <c r="D41" s="150"/>
      <c r="E41" s="151"/>
      <c r="F41" s="44">
        <v>47</v>
      </c>
      <c r="G41" s="149"/>
      <c r="H41" s="150"/>
      <c r="I41" s="151"/>
    </row>
    <row r="42" spans="1:9" ht="18.75" customHeight="1" x14ac:dyDescent="0.15">
      <c r="A42" s="44">
        <v>23</v>
      </c>
      <c r="B42" s="149"/>
      <c r="C42" s="150"/>
      <c r="D42" s="150"/>
      <c r="E42" s="151"/>
      <c r="F42" s="44">
        <v>48</v>
      </c>
      <c r="G42" s="149"/>
      <c r="H42" s="150"/>
      <c r="I42" s="151"/>
    </row>
    <row r="43" spans="1:9" ht="18.75" customHeight="1" x14ac:dyDescent="0.15">
      <c r="A43" s="44">
        <v>24</v>
      </c>
      <c r="B43" s="149"/>
      <c r="C43" s="150"/>
      <c r="D43" s="150"/>
      <c r="E43" s="151"/>
      <c r="F43" s="44">
        <v>49</v>
      </c>
      <c r="G43" s="149"/>
      <c r="H43" s="150"/>
      <c r="I43" s="151"/>
    </row>
    <row r="44" spans="1:9" ht="18.75" customHeight="1" x14ac:dyDescent="0.15">
      <c r="A44" s="44">
        <v>25</v>
      </c>
      <c r="B44" s="149"/>
      <c r="C44" s="150"/>
      <c r="D44" s="150"/>
      <c r="E44" s="151"/>
      <c r="F44" s="44">
        <v>50</v>
      </c>
      <c r="G44" s="149"/>
      <c r="H44" s="150"/>
      <c r="I44" s="151"/>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workbookViewId="0">
      <selection activeCell="B12" sqref="B12:C12"/>
    </sheetView>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67" t="s">
        <v>72</v>
      </c>
      <c r="G1" s="167"/>
      <c r="H1" s="167"/>
      <c r="I1" s="167"/>
      <c r="J1" s="167"/>
      <c r="K1" s="167"/>
      <c r="L1" s="167"/>
      <c r="M1" s="167"/>
      <c r="N1" s="167"/>
      <c r="O1" s="167"/>
      <c r="P1" s="167"/>
      <c r="Q1" s="167"/>
      <c r="R1" s="167"/>
    </row>
    <row r="2" spans="1:20" ht="18.75" customHeight="1" x14ac:dyDescent="0.15">
      <c r="D2" s="56"/>
      <c r="E2" s="56"/>
      <c r="F2" s="56"/>
      <c r="G2" s="56"/>
      <c r="H2" s="56"/>
      <c r="I2" s="56"/>
      <c r="J2" s="56"/>
      <c r="K2" s="167" t="s">
        <v>73</v>
      </c>
      <c r="L2" s="167"/>
      <c r="M2" s="56" t="s">
        <v>4</v>
      </c>
      <c r="N2" s="56"/>
      <c r="O2" s="56"/>
      <c r="P2" s="56"/>
      <c r="Q2" s="56"/>
      <c r="R2" s="56"/>
    </row>
    <row r="3" spans="1:20" ht="7.5" customHeight="1" x14ac:dyDescent="0.15"/>
    <row r="4" spans="1:20" ht="18.75" customHeight="1" x14ac:dyDescent="0.15">
      <c r="A4" s="177" t="s">
        <v>74</v>
      </c>
      <c r="B4" s="177"/>
      <c r="C4" s="177"/>
      <c r="D4" s="177"/>
      <c r="E4" s="177"/>
      <c r="F4" s="177"/>
      <c r="G4" s="177"/>
      <c r="H4" s="177"/>
      <c r="I4" s="177"/>
      <c r="J4" s="177"/>
      <c r="K4" s="177"/>
      <c r="L4" s="177"/>
      <c r="M4" s="177"/>
      <c r="N4" s="177"/>
      <c r="O4" s="177"/>
      <c r="P4" s="177"/>
      <c r="Q4" s="177"/>
      <c r="R4" s="177"/>
      <c r="S4" s="5"/>
    </row>
    <row r="5" spans="1:20" ht="7.5" customHeight="1" x14ac:dyDescent="0.15">
      <c r="A5" s="107"/>
      <c r="B5" s="107"/>
      <c r="C5" s="107"/>
      <c r="D5" s="107"/>
      <c r="E5" s="107"/>
      <c r="F5" s="107"/>
      <c r="G5" s="107"/>
      <c r="H5" s="107"/>
      <c r="I5" s="107"/>
      <c r="J5" s="107"/>
      <c r="K5" s="107"/>
      <c r="L5" s="107"/>
      <c r="M5" s="107"/>
      <c r="N5" s="107"/>
      <c r="O5" s="107"/>
      <c r="P5" s="107"/>
      <c r="Q5" s="107"/>
      <c r="R5" s="107"/>
    </row>
    <row r="6" spans="1:20" ht="18.75" customHeight="1" x14ac:dyDescent="0.15">
      <c r="B6" s="180" t="s">
        <v>75</v>
      </c>
      <c r="C6" s="181"/>
      <c r="D6" s="168" t="s">
        <v>76</v>
      </c>
      <c r="E6" s="170" t="s">
        <v>77</v>
      </c>
      <c r="F6" s="170"/>
      <c r="G6" s="170" t="s">
        <v>78</v>
      </c>
      <c r="H6" s="170"/>
      <c r="I6" s="171" t="s">
        <v>79</v>
      </c>
      <c r="J6" s="172"/>
      <c r="K6" s="171" t="s">
        <v>80</v>
      </c>
      <c r="L6" s="172"/>
      <c r="M6" s="171" t="s">
        <v>81</v>
      </c>
      <c r="N6" s="172"/>
      <c r="O6" s="171" t="s">
        <v>82</v>
      </c>
      <c r="P6" s="172"/>
      <c r="Q6" s="173" t="s">
        <v>83</v>
      </c>
      <c r="R6" s="175" t="s">
        <v>84</v>
      </c>
      <c r="T6" s="57"/>
    </row>
    <row r="7" spans="1:20" ht="18.75" customHeight="1" x14ac:dyDescent="0.15">
      <c r="B7" s="182"/>
      <c r="C7" s="183"/>
      <c r="D7" s="169"/>
      <c r="E7" s="37" t="s">
        <v>85</v>
      </c>
      <c r="F7" s="39" t="s">
        <v>86</v>
      </c>
      <c r="G7" s="40" t="s">
        <v>85</v>
      </c>
      <c r="H7" s="38" t="s">
        <v>86</v>
      </c>
      <c r="I7" s="37" t="s">
        <v>85</v>
      </c>
      <c r="J7" s="39" t="s">
        <v>86</v>
      </c>
      <c r="K7" s="40" t="s">
        <v>85</v>
      </c>
      <c r="L7" s="38" t="s">
        <v>86</v>
      </c>
      <c r="M7" s="37" t="s">
        <v>85</v>
      </c>
      <c r="N7" s="39" t="s">
        <v>86</v>
      </c>
      <c r="O7" s="40" t="s">
        <v>85</v>
      </c>
      <c r="P7" s="38" t="s">
        <v>86</v>
      </c>
      <c r="Q7" s="174"/>
      <c r="R7" s="176"/>
      <c r="T7" s="57"/>
    </row>
    <row r="8" spans="1:20" ht="18.75" customHeight="1" x14ac:dyDescent="0.15">
      <c r="A8" s="58"/>
      <c r="B8" s="190" t="s">
        <v>87</v>
      </c>
      <c r="C8" s="191"/>
      <c r="D8" s="79">
        <v>1050</v>
      </c>
      <c r="E8" s="80">
        <v>42</v>
      </c>
      <c r="F8" s="83">
        <v>19</v>
      </c>
      <c r="G8" s="85">
        <v>0</v>
      </c>
      <c r="H8" s="86">
        <v>0</v>
      </c>
      <c r="I8" s="80">
        <v>0</v>
      </c>
      <c r="J8" s="83">
        <v>0</v>
      </c>
      <c r="K8" s="85">
        <v>0</v>
      </c>
      <c r="L8" s="86">
        <v>0</v>
      </c>
      <c r="M8" s="80">
        <v>0</v>
      </c>
      <c r="N8" s="83">
        <v>0</v>
      </c>
      <c r="O8" s="85">
        <v>0</v>
      </c>
      <c r="P8" s="86">
        <v>0</v>
      </c>
      <c r="Q8" s="64">
        <f>E8+G8+I8+K8+M8+O8</f>
        <v>42</v>
      </c>
      <c r="R8" s="65">
        <f>Q8/D8</f>
        <v>0.04</v>
      </c>
    </row>
    <row r="9" spans="1:20" ht="18.75" customHeight="1" x14ac:dyDescent="0.15">
      <c r="A9" s="58"/>
      <c r="B9" s="186" t="s">
        <v>88</v>
      </c>
      <c r="C9" s="187"/>
      <c r="D9" s="105">
        <v>520</v>
      </c>
      <c r="E9" s="81">
        <v>46</v>
      </c>
      <c r="F9" s="84">
        <v>28</v>
      </c>
      <c r="G9" s="87">
        <v>0</v>
      </c>
      <c r="H9" s="88">
        <v>0</v>
      </c>
      <c r="I9" s="81">
        <v>0</v>
      </c>
      <c r="J9" s="84">
        <v>0</v>
      </c>
      <c r="K9" s="87">
        <v>0</v>
      </c>
      <c r="L9" s="88">
        <v>0</v>
      </c>
      <c r="M9" s="81">
        <v>0</v>
      </c>
      <c r="N9" s="84">
        <v>0</v>
      </c>
      <c r="O9" s="87">
        <v>0</v>
      </c>
      <c r="P9" s="88">
        <v>0</v>
      </c>
      <c r="Q9" s="70">
        <f t="shared" ref="Q9:Q12" si="0">E9+G9+I9+K9+M9+O9</f>
        <v>46</v>
      </c>
      <c r="R9" s="65">
        <f t="shared" ref="R9:R12" si="1">Q9/D9</f>
        <v>8.8461538461538466E-2</v>
      </c>
    </row>
    <row r="10" spans="1:20" ht="18.75" customHeight="1" x14ac:dyDescent="0.15">
      <c r="A10" s="58"/>
      <c r="B10" s="186" t="s">
        <v>89</v>
      </c>
      <c r="C10" s="187"/>
      <c r="D10" s="105">
        <v>630</v>
      </c>
      <c r="E10" s="81">
        <v>9</v>
      </c>
      <c r="F10" s="84">
        <v>8</v>
      </c>
      <c r="G10" s="87">
        <v>0</v>
      </c>
      <c r="H10" s="88">
        <v>0</v>
      </c>
      <c r="I10" s="81">
        <v>0</v>
      </c>
      <c r="J10" s="84">
        <v>0</v>
      </c>
      <c r="K10" s="87">
        <v>0</v>
      </c>
      <c r="L10" s="88">
        <v>0</v>
      </c>
      <c r="M10" s="81">
        <v>0</v>
      </c>
      <c r="N10" s="84">
        <v>0</v>
      </c>
      <c r="O10" s="87">
        <v>0</v>
      </c>
      <c r="P10" s="88">
        <v>0</v>
      </c>
      <c r="Q10" s="70">
        <f t="shared" si="0"/>
        <v>9</v>
      </c>
      <c r="R10" s="65">
        <f t="shared" si="1"/>
        <v>1.4285714285714285E-2</v>
      </c>
    </row>
    <row r="11" spans="1:20" ht="18.75" customHeight="1" x14ac:dyDescent="0.15">
      <c r="A11" s="58"/>
      <c r="B11" s="186" t="s">
        <v>90</v>
      </c>
      <c r="C11" s="187"/>
      <c r="D11" s="105">
        <v>280</v>
      </c>
      <c r="E11" s="81">
        <v>7</v>
      </c>
      <c r="F11" s="84">
        <v>2</v>
      </c>
      <c r="G11" s="87">
        <v>0</v>
      </c>
      <c r="H11" s="88">
        <v>0</v>
      </c>
      <c r="I11" s="81">
        <v>0</v>
      </c>
      <c r="J11" s="84">
        <v>0</v>
      </c>
      <c r="K11" s="87">
        <v>0</v>
      </c>
      <c r="L11" s="88">
        <v>0</v>
      </c>
      <c r="M11" s="81">
        <v>0</v>
      </c>
      <c r="N11" s="84">
        <v>0</v>
      </c>
      <c r="O11" s="87">
        <v>0</v>
      </c>
      <c r="P11" s="88">
        <v>0</v>
      </c>
      <c r="Q11" s="70">
        <f t="shared" si="0"/>
        <v>7</v>
      </c>
      <c r="R11" s="65">
        <f t="shared" si="1"/>
        <v>2.5000000000000001E-2</v>
      </c>
    </row>
    <row r="12" spans="1:20" ht="18.75" customHeight="1" x14ac:dyDescent="0.15">
      <c r="A12" s="58"/>
      <c r="B12" s="186" t="s">
        <v>91</v>
      </c>
      <c r="C12" s="187"/>
      <c r="D12" s="105">
        <v>720</v>
      </c>
      <c r="E12" s="81">
        <v>1</v>
      </c>
      <c r="F12" s="84">
        <v>1</v>
      </c>
      <c r="G12" s="87">
        <v>0</v>
      </c>
      <c r="H12" s="88">
        <v>0</v>
      </c>
      <c r="I12" s="81">
        <v>0</v>
      </c>
      <c r="J12" s="84">
        <v>0</v>
      </c>
      <c r="K12" s="87">
        <v>0</v>
      </c>
      <c r="L12" s="88">
        <v>0</v>
      </c>
      <c r="M12" s="81">
        <v>0</v>
      </c>
      <c r="N12" s="84">
        <v>0</v>
      </c>
      <c r="O12" s="87">
        <v>0</v>
      </c>
      <c r="P12" s="88">
        <v>0</v>
      </c>
      <c r="Q12" s="70">
        <f t="shared" si="0"/>
        <v>1</v>
      </c>
      <c r="R12" s="65">
        <f t="shared" si="1"/>
        <v>1.3888888888888889E-3</v>
      </c>
    </row>
    <row r="13" spans="1:20" ht="18.75" customHeight="1" x14ac:dyDescent="0.15">
      <c r="A13" s="58"/>
      <c r="B13" s="186"/>
      <c r="C13" s="187"/>
      <c r="D13" s="105"/>
      <c r="E13" s="81"/>
      <c r="F13" s="82"/>
      <c r="G13" s="68"/>
      <c r="H13" s="69"/>
      <c r="I13" s="66"/>
      <c r="J13" s="67"/>
      <c r="K13" s="68"/>
      <c r="L13" s="69"/>
      <c r="M13" s="66"/>
      <c r="N13" s="67"/>
      <c r="O13" s="68"/>
      <c r="P13" s="69"/>
      <c r="Q13" s="70">
        <f t="shared" ref="Q13:Q27" si="2">E13+G13+I13+K13+M13+O13</f>
        <v>0</v>
      </c>
      <c r="R13" s="65" t="e">
        <f t="shared" ref="R13:R27" si="3">Q13/D13</f>
        <v>#DIV/0!</v>
      </c>
    </row>
    <row r="14" spans="1:20" ht="18.75" customHeight="1" x14ac:dyDescent="0.15">
      <c r="A14" s="58"/>
      <c r="B14" s="186"/>
      <c r="C14" s="187"/>
      <c r="D14" s="105"/>
      <c r="E14" s="81"/>
      <c r="F14" s="82"/>
      <c r="G14" s="68"/>
      <c r="H14" s="69"/>
      <c r="I14" s="66"/>
      <c r="J14" s="67"/>
      <c r="K14" s="68"/>
      <c r="L14" s="69"/>
      <c r="M14" s="66"/>
      <c r="N14" s="67"/>
      <c r="O14" s="68"/>
      <c r="P14" s="69"/>
      <c r="Q14" s="70">
        <f t="shared" si="2"/>
        <v>0</v>
      </c>
      <c r="R14" s="65" t="e">
        <f t="shared" si="3"/>
        <v>#DIV/0!</v>
      </c>
    </row>
    <row r="15" spans="1:20" ht="18.75" customHeight="1" x14ac:dyDescent="0.15">
      <c r="A15" s="58"/>
      <c r="B15" s="186"/>
      <c r="C15" s="187"/>
      <c r="D15" s="105"/>
      <c r="E15" s="81"/>
      <c r="F15" s="82"/>
      <c r="G15" s="68"/>
      <c r="H15" s="69"/>
      <c r="I15" s="66"/>
      <c r="J15" s="67"/>
      <c r="K15" s="68"/>
      <c r="L15" s="69"/>
      <c r="M15" s="66"/>
      <c r="N15" s="67"/>
      <c r="O15" s="68"/>
      <c r="P15" s="69"/>
      <c r="Q15" s="70">
        <f t="shared" si="2"/>
        <v>0</v>
      </c>
      <c r="R15" s="65" t="e">
        <f t="shared" si="3"/>
        <v>#DIV/0!</v>
      </c>
    </row>
    <row r="16" spans="1:20" ht="18.75" customHeight="1" x14ac:dyDescent="0.15">
      <c r="A16" s="58"/>
      <c r="B16" s="186"/>
      <c r="C16" s="187"/>
      <c r="D16" s="105"/>
      <c r="E16" s="81"/>
      <c r="F16" s="82"/>
      <c r="G16" s="68"/>
      <c r="H16" s="69"/>
      <c r="I16" s="66"/>
      <c r="J16" s="67"/>
      <c r="K16" s="68"/>
      <c r="L16" s="69"/>
      <c r="M16" s="66"/>
      <c r="N16" s="67"/>
      <c r="O16" s="68"/>
      <c r="P16" s="69"/>
      <c r="Q16" s="70">
        <f t="shared" si="2"/>
        <v>0</v>
      </c>
      <c r="R16" s="65" t="e">
        <f t="shared" si="3"/>
        <v>#DIV/0!</v>
      </c>
    </row>
    <row r="17" spans="1:18" ht="18.75" customHeight="1" x14ac:dyDescent="0.15">
      <c r="A17" s="58"/>
      <c r="B17" s="186"/>
      <c r="C17" s="187"/>
      <c r="D17" s="105"/>
      <c r="E17" s="81"/>
      <c r="F17" s="82"/>
      <c r="G17" s="68"/>
      <c r="H17" s="69"/>
      <c r="I17" s="66"/>
      <c r="J17" s="67"/>
      <c r="K17" s="68"/>
      <c r="L17" s="69"/>
      <c r="M17" s="66"/>
      <c r="N17" s="67"/>
      <c r="O17" s="68"/>
      <c r="P17" s="69"/>
      <c r="Q17" s="70">
        <f t="shared" si="2"/>
        <v>0</v>
      </c>
      <c r="R17" s="65" t="e">
        <f t="shared" si="3"/>
        <v>#DIV/0!</v>
      </c>
    </row>
    <row r="18" spans="1:18" ht="18.75" customHeight="1" x14ac:dyDescent="0.15">
      <c r="A18" s="58"/>
      <c r="B18" s="184"/>
      <c r="C18" s="185"/>
      <c r="D18" s="104"/>
      <c r="E18" s="66"/>
      <c r="F18" s="67"/>
      <c r="G18" s="68"/>
      <c r="H18" s="69"/>
      <c r="I18" s="66"/>
      <c r="J18" s="67"/>
      <c r="K18" s="68"/>
      <c r="L18" s="69"/>
      <c r="M18" s="66"/>
      <c r="N18" s="67"/>
      <c r="O18" s="68"/>
      <c r="P18" s="69"/>
      <c r="Q18" s="70">
        <f t="shared" si="2"/>
        <v>0</v>
      </c>
      <c r="R18" s="65" t="e">
        <f t="shared" si="3"/>
        <v>#DIV/0!</v>
      </c>
    </row>
    <row r="19" spans="1:18" ht="18.75" customHeight="1" x14ac:dyDescent="0.15">
      <c r="A19" s="58"/>
      <c r="B19" s="184"/>
      <c r="C19" s="185"/>
      <c r="D19" s="104"/>
      <c r="E19" s="66"/>
      <c r="F19" s="67"/>
      <c r="G19" s="68"/>
      <c r="H19" s="69"/>
      <c r="I19" s="66"/>
      <c r="J19" s="67"/>
      <c r="K19" s="68"/>
      <c r="L19" s="69"/>
      <c r="M19" s="66"/>
      <c r="N19" s="67"/>
      <c r="O19" s="68"/>
      <c r="P19" s="69"/>
      <c r="Q19" s="70">
        <f t="shared" si="2"/>
        <v>0</v>
      </c>
      <c r="R19" s="65" t="e">
        <f t="shared" si="3"/>
        <v>#DIV/0!</v>
      </c>
    </row>
    <row r="20" spans="1:18" ht="18.75" customHeight="1" x14ac:dyDescent="0.15">
      <c r="A20" s="58"/>
      <c r="B20" s="184"/>
      <c r="C20" s="185"/>
      <c r="D20" s="104"/>
      <c r="E20" s="66"/>
      <c r="F20" s="67"/>
      <c r="G20" s="68"/>
      <c r="H20" s="69"/>
      <c r="I20" s="66"/>
      <c r="J20" s="67"/>
      <c r="K20" s="68"/>
      <c r="L20" s="69"/>
      <c r="M20" s="66"/>
      <c r="N20" s="67"/>
      <c r="O20" s="68"/>
      <c r="P20" s="69"/>
      <c r="Q20" s="70">
        <f t="shared" si="2"/>
        <v>0</v>
      </c>
      <c r="R20" s="65" t="e">
        <f t="shared" si="3"/>
        <v>#DIV/0!</v>
      </c>
    </row>
    <row r="21" spans="1:18" ht="18.75" customHeight="1" x14ac:dyDescent="0.15">
      <c r="A21" s="58"/>
      <c r="B21" s="184"/>
      <c r="C21" s="185"/>
      <c r="D21" s="104"/>
      <c r="E21" s="66"/>
      <c r="F21" s="67"/>
      <c r="G21" s="68"/>
      <c r="H21" s="69"/>
      <c r="I21" s="66"/>
      <c r="J21" s="67"/>
      <c r="K21" s="68"/>
      <c r="L21" s="69"/>
      <c r="M21" s="66"/>
      <c r="N21" s="67"/>
      <c r="O21" s="68"/>
      <c r="P21" s="69"/>
      <c r="Q21" s="70">
        <f t="shared" si="2"/>
        <v>0</v>
      </c>
      <c r="R21" s="65" t="e">
        <f t="shared" si="3"/>
        <v>#DIV/0!</v>
      </c>
    </row>
    <row r="22" spans="1:18" ht="18.75" customHeight="1" x14ac:dyDescent="0.15">
      <c r="A22" s="58"/>
      <c r="B22" s="184"/>
      <c r="C22" s="185"/>
      <c r="D22" s="104"/>
      <c r="E22" s="66"/>
      <c r="F22" s="67"/>
      <c r="G22" s="68"/>
      <c r="H22" s="69"/>
      <c r="I22" s="66"/>
      <c r="J22" s="67"/>
      <c r="K22" s="68"/>
      <c r="L22" s="69"/>
      <c r="M22" s="66"/>
      <c r="N22" s="67"/>
      <c r="O22" s="68"/>
      <c r="P22" s="69"/>
      <c r="Q22" s="70">
        <f t="shared" si="2"/>
        <v>0</v>
      </c>
      <c r="R22" s="65" t="e">
        <f t="shared" si="3"/>
        <v>#DIV/0!</v>
      </c>
    </row>
    <row r="23" spans="1:18" ht="18.75" customHeight="1" x14ac:dyDescent="0.15">
      <c r="A23" s="58"/>
      <c r="B23" s="184"/>
      <c r="C23" s="185"/>
      <c r="D23" s="104"/>
      <c r="E23" s="66"/>
      <c r="F23" s="67"/>
      <c r="G23" s="68"/>
      <c r="H23" s="69"/>
      <c r="I23" s="66"/>
      <c r="J23" s="67"/>
      <c r="K23" s="68"/>
      <c r="L23" s="69"/>
      <c r="M23" s="66"/>
      <c r="N23" s="67"/>
      <c r="O23" s="68"/>
      <c r="P23" s="69"/>
      <c r="Q23" s="70">
        <f t="shared" si="2"/>
        <v>0</v>
      </c>
      <c r="R23" s="65" t="e">
        <f t="shared" si="3"/>
        <v>#DIV/0!</v>
      </c>
    </row>
    <row r="24" spans="1:18" ht="18.75" customHeight="1" x14ac:dyDescent="0.15">
      <c r="A24" s="58"/>
      <c r="B24" s="184"/>
      <c r="C24" s="185"/>
      <c r="D24" s="104"/>
      <c r="E24" s="66"/>
      <c r="F24" s="67"/>
      <c r="G24" s="68"/>
      <c r="H24" s="69"/>
      <c r="I24" s="66"/>
      <c r="J24" s="67"/>
      <c r="K24" s="68"/>
      <c r="L24" s="69"/>
      <c r="M24" s="66"/>
      <c r="N24" s="67"/>
      <c r="O24" s="68"/>
      <c r="P24" s="69"/>
      <c r="Q24" s="70">
        <f t="shared" si="2"/>
        <v>0</v>
      </c>
      <c r="R24" s="65" t="e">
        <f t="shared" si="3"/>
        <v>#DIV/0!</v>
      </c>
    </row>
    <row r="25" spans="1:18" ht="18.75" customHeight="1" x14ac:dyDescent="0.15">
      <c r="A25" s="58"/>
      <c r="B25" s="184"/>
      <c r="C25" s="185"/>
      <c r="D25" s="104"/>
      <c r="E25" s="66"/>
      <c r="F25" s="67"/>
      <c r="G25" s="68"/>
      <c r="H25" s="69"/>
      <c r="I25" s="66"/>
      <c r="J25" s="67"/>
      <c r="K25" s="68"/>
      <c r="L25" s="69"/>
      <c r="M25" s="66"/>
      <c r="N25" s="67"/>
      <c r="O25" s="68"/>
      <c r="P25" s="69"/>
      <c r="Q25" s="70">
        <f t="shared" si="2"/>
        <v>0</v>
      </c>
      <c r="R25" s="65" t="e">
        <f t="shared" si="3"/>
        <v>#DIV/0!</v>
      </c>
    </row>
    <row r="26" spans="1:18" ht="18.75" customHeight="1" x14ac:dyDescent="0.15">
      <c r="A26" s="58"/>
      <c r="B26" s="184"/>
      <c r="C26" s="185"/>
      <c r="D26" s="104"/>
      <c r="E26" s="66"/>
      <c r="F26" s="67"/>
      <c r="G26" s="68"/>
      <c r="H26" s="69"/>
      <c r="I26" s="66"/>
      <c r="J26" s="67"/>
      <c r="K26" s="68"/>
      <c r="L26" s="69"/>
      <c r="M26" s="66"/>
      <c r="N26" s="67"/>
      <c r="O26" s="68"/>
      <c r="P26" s="69"/>
      <c r="Q26" s="70">
        <f t="shared" si="2"/>
        <v>0</v>
      </c>
      <c r="R26" s="65" t="e">
        <f t="shared" si="3"/>
        <v>#DIV/0!</v>
      </c>
    </row>
    <row r="27" spans="1:18" ht="18.75" customHeight="1" thickBot="1" x14ac:dyDescent="0.2">
      <c r="A27" s="58"/>
      <c r="B27" s="188"/>
      <c r="C27" s="189"/>
      <c r="D27" s="59"/>
      <c r="E27" s="60"/>
      <c r="F27" s="61"/>
      <c r="G27" s="62"/>
      <c r="H27" s="63"/>
      <c r="I27" s="60"/>
      <c r="J27" s="61"/>
      <c r="K27" s="62"/>
      <c r="L27" s="63"/>
      <c r="M27" s="60"/>
      <c r="N27" s="61"/>
      <c r="O27" s="62"/>
      <c r="P27" s="63"/>
      <c r="Q27" s="71">
        <f t="shared" si="2"/>
        <v>0</v>
      </c>
      <c r="R27" s="65" t="e">
        <f t="shared" si="3"/>
        <v>#DIV/0!</v>
      </c>
    </row>
    <row r="28" spans="1:18" ht="18.75" customHeight="1" thickTop="1" x14ac:dyDescent="0.15">
      <c r="A28" s="58"/>
      <c r="B28" s="178" t="s">
        <v>92</v>
      </c>
      <c r="C28" s="179"/>
      <c r="D28" s="89">
        <f t="shared" ref="D28:Q28" si="4">SUM(D8:D27)</f>
        <v>3200</v>
      </c>
      <c r="E28" s="90">
        <f>SUM(E8:E27)</f>
        <v>105</v>
      </c>
      <c r="F28" s="91">
        <f t="shared" si="4"/>
        <v>58</v>
      </c>
      <c r="G28" s="92">
        <f t="shared" si="4"/>
        <v>0</v>
      </c>
      <c r="H28" s="93">
        <f t="shared" si="4"/>
        <v>0</v>
      </c>
      <c r="I28" s="90">
        <f t="shared" si="4"/>
        <v>0</v>
      </c>
      <c r="J28" s="91">
        <f t="shared" si="4"/>
        <v>0</v>
      </c>
      <c r="K28" s="92">
        <f t="shared" si="4"/>
        <v>0</v>
      </c>
      <c r="L28" s="93">
        <f t="shared" si="4"/>
        <v>0</v>
      </c>
      <c r="M28" s="90">
        <f t="shared" si="4"/>
        <v>0</v>
      </c>
      <c r="N28" s="91">
        <f t="shared" si="4"/>
        <v>0</v>
      </c>
      <c r="O28" s="92">
        <f t="shared" si="4"/>
        <v>0</v>
      </c>
      <c r="P28" s="93">
        <f t="shared" si="4"/>
        <v>0</v>
      </c>
      <c r="Q28" s="94">
        <f t="shared" si="4"/>
        <v>105</v>
      </c>
      <c r="R28" s="95">
        <f>Q28/D28</f>
        <v>3.2812500000000001E-2</v>
      </c>
    </row>
    <row r="29" spans="1:18" ht="6.75" customHeight="1" x14ac:dyDescent="0.15">
      <c r="A29" s="58"/>
      <c r="B29" s="58"/>
      <c r="C29" s="58"/>
      <c r="D29" s="72"/>
      <c r="E29" s="72"/>
      <c r="F29" s="72"/>
      <c r="G29" s="72"/>
      <c r="H29" s="72"/>
      <c r="I29" s="72"/>
      <c r="J29" s="72"/>
      <c r="K29" s="72"/>
      <c r="L29" s="72"/>
      <c r="M29" s="72"/>
      <c r="N29" s="72"/>
      <c r="O29" s="72"/>
      <c r="P29" s="72"/>
      <c r="Q29" s="72"/>
      <c r="R29" s="72"/>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0"/>
  <sheetViews>
    <sheetView workbookViewId="0">
      <selection activeCell="C13" sqref="C13"/>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106" t="s">
        <v>93</v>
      </c>
    </row>
    <row r="2" spans="1:7" ht="18.75" customHeight="1" x14ac:dyDescent="0.15">
      <c r="F2" s="106" t="s">
        <v>66</v>
      </c>
      <c r="G2" s="1" t="s">
        <v>94</v>
      </c>
    </row>
    <row r="3" spans="1:7" ht="18.75" customHeight="1" x14ac:dyDescent="0.15">
      <c r="A3" s="196" t="s">
        <v>95</v>
      </c>
      <c r="B3" s="196"/>
      <c r="C3" s="196"/>
      <c r="D3" s="196"/>
      <c r="E3" s="196"/>
      <c r="F3" s="196"/>
      <c r="G3" s="196"/>
    </row>
    <row r="4" spans="1:7" ht="18.75" customHeight="1" x14ac:dyDescent="0.15">
      <c r="A4" s="1" t="s">
        <v>2</v>
      </c>
      <c r="B4" s="1" t="s">
        <v>96</v>
      </c>
    </row>
    <row r="5" spans="1:7" s="78" customFormat="1" ht="18.75" customHeight="1" x14ac:dyDescent="0.15">
      <c r="A5" s="109"/>
      <c r="B5" s="110" t="s">
        <v>97</v>
      </c>
      <c r="C5" s="197" t="s">
        <v>98</v>
      </c>
      <c r="D5" s="198"/>
      <c r="E5" s="198"/>
      <c r="F5" s="198"/>
      <c r="G5" s="199"/>
    </row>
    <row r="6" spans="1:7" s="78" customFormat="1" ht="45" customHeight="1" x14ac:dyDescent="0.15">
      <c r="A6" s="109"/>
      <c r="B6" s="223" t="s">
        <v>99</v>
      </c>
      <c r="C6" s="200" t="s">
        <v>100</v>
      </c>
      <c r="D6" s="201"/>
      <c r="E6" s="201"/>
      <c r="F6" s="201"/>
      <c r="G6" s="202"/>
    </row>
    <row r="7" spans="1:7" s="78" customFormat="1" ht="45" customHeight="1" x14ac:dyDescent="0.15">
      <c r="A7" s="109"/>
      <c r="B7" s="224"/>
      <c r="C7" s="203"/>
      <c r="D7" s="204"/>
      <c r="E7" s="204"/>
      <c r="F7" s="204"/>
      <c r="G7" s="205"/>
    </row>
    <row r="8" spans="1:7" s="78" customFormat="1" ht="45" customHeight="1" x14ac:dyDescent="0.15">
      <c r="A8" s="109"/>
      <c r="B8" s="224"/>
      <c r="C8" s="203"/>
      <c r="D8" s="204"/>
      <c r="E8" s="204"/>
      <c r="F8" s="204"/>
      <c r="G8" s="205"/>
    </row>
    <row r="9" spans="1:7" s="78" customFormat="1" ht="45" customHeight="1" x14ac:dyDescent="0.15">
      <c r="A9" s="109"/>
      <c r="B9" s="224"/>
      <c r="C9" s="206"/>
      <c r="D9" s="207"/>
      <c r="E9" s="207"/>
      <c r="F9" s="207"/>
      <c r="G9" s="208"/>
    </row>
    <row r="10" spans="1:7" s="78" customFormat="1" ht="18.75" customHeight="1" x14ac:dyDescent="0.15">
      <c r="A10" s="109"/>
      <c r="B10" s="224"/>
      <c r="C10" s="45" t="s">
        <v>101</v>
      </c>
      <c r="D10" s="192" t="s">
        <v>102</v>
      </c>
      <c r="E10" s="193"/>
      <c r="F10" s="193"/>
      <c r="G10" s="194"/>
    </row>
    <row r="11" spans="1:7" s="78" customFormat="1" ht="18.75" customHeight="1" x14ac:dyDescent="0.15">
      <c r="A11" s="109"/>
      <c r="B11" s="224"/>
      <c r="C11" s="108" t="s">
        <v>103</v>
      </c>
      <c r="D11" s="129" t="s">
        <v>104</v>
      </c>
      <c r="E11" s="130"/>
      <c r="F11" s="130"/>
      <c r="G11" s="131"/>
    </row>
    <row r="12" spans="1:7" s="78" customFormat="1" ht="18.75" customHeight="1" x14ac:dyDescent="0.15">
      <c r="A12" s="109"/>
      <c r="B12" s="224"/>
      <c r="C12" s="108" t="s">
        <v>103</v>
      </c>
      <c r="D12" s="129" t="s">
        <v>105</v>
      </c>
      <c r="E12" s="130"/>
      <c r="F12" s="130"/>
      <c r="G12" s="131"/>
    </row>
    <row r="13" spans="1:7" s="78" customFormat="1" ht="18.75" customHeight="1" x14ac:dyDescent="0.15">
      <c r="A13" s="109"/>
      <c r="B13" s="224"/>
      <c r="C13" s="108" t="s">
        <v>103</v>
      </c>
      <c r="D13" s="129" t="s">
        <v>106</v>
      </c>
      <c r="E13" s="130"/>
      <c r="F13" s="130"/>
      <c r="G13" s="131"/>
    </row>
    <row r="14" spans="1:7" s="78" customFormat="1" ht="18.75" customHeight="1" x14ac:dyDescent="0.15">
      <c r="A14" s="109"/>
      <c r="B14" s="224"/>
      <c r="C14" s="101"/>
      <c r="D14" s="129"/>
      <c r="E14" s="130"/>
      <c r="F14" s="130"/>
      <c r="G14" s="131"/>
    </row>
    <row r="15" spans="1:7" s="78" customFormat="1" ht="18.75" customHeight="1" x14ac:dyDescent="0.15">
      <c r="A15" s="109"/>
      <c r="B15" s="224"/>
      <c r="C15" s="110"/>
      <c r="D15" s="197"/>
      <c r="E15" s="198"/>
      <c r="F15" s="198"/>
      <c r="G15" s="199"/>
    </row>
    <row r="16" spans="1:7" s="78" customFormat="1" ht="18.75" customHeight="1" x14ac:dyDescent="0.15">
      <c r="A16" s="109"/>
      <c r="B16" s="224"/>
      <c r="C16" s="110"/>
      <c r="D16" s="197"/>
      <c r="E16" s="198"/>
      <c r="F16" s="198"/>
      <c r="G16" s="199"/>
    </row>
    <row r="17" spans="2:7" s="78" customFormat="1" ht="18.75" customHeight="1" x14ac:dyDescent="0.15">
      <c r="B17" s="224"/>
      <c r="C17" s="110"/>
      <c r="D17" s="197"/>
      <c r="E17" s="198"/>
      <c r="F17" s="198"/>
      <c r="G17" s="199"/>
    </row>
    <row r="18" spans="2:7" s="78" customFormat="1" ht="18.75" customHeight="1" x14ac:dyDescent="0.15">
      <c r="B18" s="224"/>
      <c r="C18" s="110"/>
      <c r="D18" s="197"/>
      <c r="E18" s="198"/>
      <c r="F18" s="198"/>
      <c r="G18" s="199"/>
    </row>
    <row r="19" spans="2:7" s="78" customFormat="1" ht="18.75" customHeight="1" x14ac:dyDescent="0.15">
      <c r="B19" s="224"/>
      <c r="C19" s="110"/>
      <c r="D19" s="197"/>
      <c r="E19" s="198"/>
      <c r="F19" s="198"/>
      <c r="G19" s="199"/>
    </row>
    <row r="20" spans="2:7" s="78" customFormat="1" ht="18.75" customHeight="1" x14ac:dyDescent="0.15">
      <c r="B20" s="224"/>
      <c r="C20" s="110"/>
      <c r="D20" s="197"/>
      <c r="E20" s="198"/>
      <c r="F20" s="198"/>
      <c r="G20" s="199"/>
    </row>
    <row r="21" spans="2:7" s="78" customFormat="1" ht="18.75" customHeight="1" x14ac:dyDescent="0.15">
      <c r="B21" s="224"/>
      <c r="C21" s="110"/>
      <c r="D21" s="197"/>
      <c r="E21" s="198"/>
      <c r="F21" s="198"/>
      <c r="G21" s="199"/>
    </row>
    <row r="22" spans="2:7" s="78" customFormat="1" ht="18.75" customHeight="1" x14ac:dyDescent="0.15">
      <c r="B22" s="224"/>
      <c r="C22" s="110"/>
      <c r="D22" s="197"/>
      <c r="E22" s="198"/>
      <c r="F22" s="198"/>
      <c r="G22" s="199"/>
    </row>
    <row r="23" spans="2:7" s="78" customFormat="1" ht="18.75" customHeight="1" x14ac:dyDescent="0.15">
      <c r="B23" s="224"/>
      <c r="C23" s="110"/>
      <c r="D23" s="197"/>
      <c r="E23" s="198"/>
      <c r="F23" s="198"/>
      <c r="G23" s="199"/>
    </row>
    <row r="24" spans="2:7" s="78" customFormat="1" ht="18.75" customHeight="1" x14ac:dyDescent="0.15">
      <c r="B24" s="224"/>
      <c r="C24" s="110"/>
      <c r="D24" s="197"/>
      <c r="E24" s="198"/>
      <c r="F24" s="198"/>
      <c r="G24" s="199"/>
    </row>
    <row r="25" spans="2:7" s="78" customFormat="1" ht="18.75" customHeight="1" x14ac:dyDescent="0.15">
      <c r="B25" s="224"/>
      <c r="C25" s="110"/>
      <c r="D25" s="197"/>
      <c r="E25" s="198"/>
      <c r="F25" s="198"/>
      <c r="G25" s="199"/>
    </row>
    <row r="26" spans="2:7" ht="18.75" customHeight="1" x14ac:dyDescent="0.15">
      <c r="B26" s="223" t="s">
        <v>107</v>
      </c>
      <c r="C26" s="197" t="s">
        <v>98</v>
      </c>
      <c r="D26" s="198"/>
      <c r="E26" s="198"/>
      <c r="F26" s="198"/>
      <c r="G26" s="199"/>
    </row>
    <row r="27" spans="2:7" ht="37.5" customHeight="1" x14ac:dyDescent="0.15">
      <c r="B27" s="224"/>
      <c r="C27" s="226" t="s">
        <v>108</v>
      </c>
      <c r="D27" s="227"/>
      <c r="E27" s="227"/>
      <c r="F27" s="227"/>
      <c r="G27" s="228"/>
    </row>
    <row r="28" spans="2:7" ht="37.5" customHeight="1" x14ac:dyDescent="0.15">
      <c r="B28" s="224"/>
      <c r="C28" s="229"/>
      <c r="D28" s="230"/>
      <c r="E28" s="230"/>
      <c r="F28" s="230"/>
      <c r="G28" s="231"/>
    </row>
    <row r="29" spans="2:7" ht="37.5" customHeight="1" x14ac:dyDescent="0.15">
      <c r="B29" s="224"/>
      <c r="C29" s="229"/>
      <c r="D29" s="230"/>
      <c r="E29" s="230"/>
      <c r="F29" s="230"/>
      <c r="G29" s="231"/>
    </row>
    <row r="30" spans="2:7" ht="37.5" customHeight="1" x14ac:dyDescent="0.15">
      <c r="B30" s="224"/>
      <c r="C30" s="229"/>
      <c r="D30" s="230"/>
      <c r="E30" s="230"/>
      <c r="F30" s="230"/>
      <c r="G30" s="231"/>
    </row>
    <row r="31" spans="2:7" ht="37.5" customHeight="1" x14ac:dyDescent="0.15">
      <c r="B31" s="224"/>
      <c r="C31" s="232"/>
      <c r="D31" s="233"/>
      <c r="E31" s="233"/>
      <c r="F31" s="233"/>
      <c r="G31" s="234"/>
    </row>
    <row r="32" spans="2:7" ht="18.75" customHeight="1" x14ac:dyDescent="0.15">
      <c r="B32" s="224"/>
      <c r="C32" s="45" t="s">
        <v>101</v>
      </c>
      <c r="D32" s="197" t="s">
        <v>102</v>
      </c>
      <c r="E32" s="198"/>
      <c r="F32" s="198"/>
      <c r="G32" s="199"/>
    </row>
    <row r="33" spans="2:7" ht="18.75" customHeight="1" x14ac:dyDescent="0.15">
      <c r="B33" s="224"/>
      <c r="C33" s="108" t="s">
        <v>103</v>
      </c>
      <c r="D33" s="129" t="s">
        <v>106</v>
      </c>
      <c r="E33" s="130"/>
      <c r="F33" s="130"/>
      <c r="G33" s="131"/>
    </row>
    <row r="34" spans="2:7" ht="18.75" customHeight="1" x14ac:dyDescent="0.15">
      <c r="B34" s="224"/>
      <c r="C34" s="108" t="s">
        <v>103</v>
      </c>
      <c r="D34" s="195" t="s">
        <v>184</v>
      </c>
      <c r="E34" s="130"/>
      <c r="F34" s="130"/>
      <c r="G34" s="131"/>
    </row>
    <row r="35" spans="2:7" ht="18.75" customHeight="1" x14ac:dyDescent="0.15">
      <c r="B35" s="224"/>
      <c r="C35" s="110"/>
      <c r="D35" s="192"/>
      <c r="E35" s="193"/>
      <c r="F35" s="193"/>
      <c r="G35" s="194"/>
    </row>
    <row r="36" spans="2:7" ht="18.75" customHeight="1" x14ac:dyDescent="0.15">
      <c r="B36" s="224"/>
      <c r="C36" s="110"/>
      <c r="D36" s="192"/>
      <c r="E36" s="193"/>
      <c r="F36" s="193"/>
      <c r="G36" s="194"/>
    </row>
    <row r="37" spans="2:7" ht="18.75" customHeight="1" x14ac:dyDescent="0.15">
      <c r="B37" s="224"/>
      <c r="C37" s="110"/>
      <c r="D37" s="192"/>
      <c r="E37" s="193"/>
      <c r="F37" s="193"/>
      <c r="G37" s="194"/>
    </row>
    <row r="38" spans="2:7" ht="18.75" customHeight="1" x14ac:dyDescent="0.15">
      <c r="B38" s="224"/>
      <c r="C38" s="110"/>
      <c r="D38" s="192"/>
      <c r="E38" s="193"/>
      <c r="F38" s="193"/>
      <c r="G38" s="194"/>
    </row>
    <row r="39" spans="2:7" ht="18.75" customHeight="1" x14ac:dyDescent="0.15">
      <c r="B39" s="224"/>
      <c r="C39" s="110"/>
      <c r="D39" s="192"/>
      <c r="E39" s="193"/>
      <c r="F39" s="193"/>
      <c r="G39" s="194"/>
    </row>
    <row r="40" spans="2:7" ht="18.75" customHeight="1" x14ac:dyDescent="0.15">
      <c r="B40" s="224"/>
      <c r="C40" s="110"/>
      <c r="D40" s="192"/>
      <c r="E40" s="193"/>
      <c r="F40" s="193"/>
      <c r="G40" s="194"/>
    </row>
    <row r="41" spans="2:7" ht="18.75" customHeight="1" x14ac:dyDescent="0.15">
      <c r="B41" s="224"/>
      <c r="C41" s="110"/>
      <c r="D41" s="192"/>
      <c r="E41" s="193"/>
      <c r="F41" s="193"/>
      <c r="G41" s="194"/>
    </row>
    <row r="42" spans="2:7" ht="18.75" customHeight="1" x14ac:dyDescent="0.15">
      <c r="B42" s="224"/>
      <c r="C42" s="110"/>
      <c r="D42" s="192"/>
      <c r="E42" s="193"/>
      <c r="F42" s="193"/>
      <c r="G42" s="194"/>
    </row>
    <row r="43" spans="2:7" ht="18.75" customHeight="1" x14ac:dyDescent="0.15">
      <c r="B43" s="224"/>
      <c r="C43" s="110"/>
      <c r="D43" s="192"/>
      <c r="E43" s="193"/>
      <c r="F43" s="193"/>
      <c r="G43" s="194"/>
    </row>
    <row r="44" spans="2:7" ht="18.75" customHeight="1" x14ac:dyDescent="0.15">
      <c r="B44" s="224"/>
      <c r="C44" s="110"/>
      <c r="D44" s="192"/>
      <c r="E44" s="193"/>
      <c r="F44" s="193"/>
      <c r="G44" s="194"/>
    </row>
    <row r="45" spans="2:7" ht="18.75" customHeight="1" x14ac:dyDescent="0.15">
      <c r="B45" s="224"/>
      <c r="C45" s="110"/>
      <c r="D45" s="192"/>
      <c r="E45" s="193"/>
      <c r="F45" s="193"/>
      <c r="G45" s="194"/>
    </row>
    <row r="46" spans="2:7" ht="18.75" customHeight="1" x14ac:dyDescent="0.15">
      <c r="B46" s="224"/>
      <c r="C46" s="110"/>
      <c r="D46" s="192"/>
      <c r="E46" s="193"/>
      <c r="F46" s="193"/>
      <c r="G46" s="194"/>
    </row>
    <row r="47" spans="2:7" ht="18.75" customHeight="1" x14ac:dyDescent="0.15">
      <c r="B47" s="224"/>
      <c r="C47" s="110"/>
      <c r="D47" s="192"/>
      <c r="E47" s="193"/>
      <c r="F47" s="193"/>
      <c r="G47" s="194"/>
    </row>
    <row r="48" spans="2:7" ht="18.75" customHeight="1" x14ac:dyDescent="0.15">
      <c r="B48" s="224"/>
      <c r="C48" s="110"/>
      <c r="D48" s="192"/>
      <c r="E48" s="193"/>
      <c r="F48" s="193"/>
      <c r="G48" s="194"/>
    </row>
    <row r="49" spans="2:7" ht="18.75" customHeight="1" x14ac:dyDescent="0.15">
      <c r="B49" s="224"/>
      <c r="C49" s="110"/>
      <c r="D49" s="192"/>
      <c r="E49" s="193"/>
      <c r="F49" s="193"/>
      <c r="G49" s="194"/>
    </row>
    <row r="50" spans="2:7" ht="18.75" customHeight="1" x14ac:dyDescent="0.15">
      <c r="B50" s="225"/>
      <c r="C50" s="110"/>
      <c r="D50" s="192"/>
      <c r="E50" s="193"/>
      <c r="F50" s="193"/>
      <c r="G50" s="194"/>
    </row>
    <row r="51" spans="2:7" ht="18.75" customHeight="1" x14ac:dyDescent="0.15">
      <c r="B51" s="223" t="s">
        <v>109</v>
      </c>
      <c r="C51" s="197" t="s">
        <v>98</v>
      </c>
      <c r="D51" s="198"/>
      <c r="E51" s="198"/>
      <c r="F51" s="198"/>
      <c r="G51" s="199"/>
    </row>
    <row r="52" spans="2:7" ht="37.5" customHeight="1" x14ac:dyDescent="0.15">
      <c r="B52" s="224"/>
      <c r="C52" s="226" t="s">
        <v>110</v>
      </c>
      <c r="D52" s="227"/>
      <c r="E52" s="227"/>
      <c r="F52" s="227"/>
      <c r="G52" s="228"/>
    </row>
    <row r="53" spans="2:7" ht="37.5" customHeight="1" x14ac:dyDescent="0.15">
      <c r="B53" s="224"/>
      <c r="C53" s="229"/>
      <c r="D53" s="230"/>
      <c r="E53" s="230"/>
      <c r="F53" s="230"/>
      <c r="G53" s="231"/>
    </row>
    <row r="54" spans="2:7" ht="37.5" customHeight="1" x14ac:dyDescent="0.15">
      <c r="B54" s="224"/>
      <c r="C54" s="229"/>
      <c r="D54" s="230"/>
      <c r="E54" s="230"/>
      <c r="F54" s="230"/>
      <c r="G54" s="231"/>
    </row>
    <row r="55" spans="2:7" ht="37.5" customHeight="1" x14ac:dyDescent="0.15">
      <c r="B55" s="224"/>
      <c r="C55" s="229"/>
      <c r="D55" s="230"/>
      <c r="E55" s="230"/>
      <c r="F55" s="230"/>
      <c r="G55" s="231"/>
    </row>
    <row r="56" spans="2:7" ht="37.5" customHeight="1" x14ac:dyDescent="0.15">
      <c r="B56" s="224"/>
      <c r="C56" s="232"/>
      <c r="D56" s="233"/>
      <c r="E56" s="233"/>
      <c r="F56" s="233"/>
      <c r="G56" s="234"/>
    </row>
    <row r="57" spans="2:7" ht="18.75" customHeight="1" x14ac:dyDescent="0.15">
      <c r="B57" s="224"/>
      <c r="C57" s="45" t="s">
        <v>101</v>
      </c>
      <c r="D57" s="197" t="s">
        <v>102</v>
      </c>
      <c r="E57" s="198"/>
      <c r="F57" s="198"/>
      <c r="G57" s="199"/>
    </row>
    <row r="58" spans="2:7" ht="18.75" customHeight="1" x14ac:dyDescent="0.15">
      <c r="B58" s="224"/>
      <c r="C58" s="108" t="s">
        <v>103</v>
      </c>
      <c r="D58" s="195" t="s">
        <v>111</v>
      </c>
      <c r="E58" s="130"/>
      <c r="F58" s="130"/>
      <c r="G58" s="131"/>
    </row>
    <row r="59" spans="2:7" ht="18.75" customHeight="1" x14ac:dyDescent="0.15">
      <c r="B59" s="224"/>
      <c r="C59" s="108" t="s">
        <v>103</v>
      </c>
      <c r="D59" s="129" t="s">
        <v>183</v>
      </c>
      <c r="E59" s="130"/>
      <c r="F59" s="130"/>
      <c r="G59" s="131"/>
    </row>
    <row r="60" spans="2:7" ht="18.75" customHeight="1" x14ac:dyDescent="0.15">
      <c r="B60" s="224"/>
      <c r="C60" s="113"/>
      <c r="D60" s="195"/>
      <c r="E60" s="130"/>
      <c r="F60" s="130"/>
      <c r="G60" s="131"/>
    </row>
    <row r="61" spans="2:7" ht="18.75" customHeight="1" x14ac:dyDescent="0.15">
      <c r="B61" s="224"/>
      <c r="C61" s="110"/>
      <c r="D61" s="192"/>
      <c r="E61" s="193"/>
      <c r="F61" s="193"/>
      <c r="G61" s="194"/>
    </row>
    <row r="62" spans="2:7" ht="18.75" customHeight="1" x14ac:dyDescent="0.15">
      <c r="B62" s="224"/>
      <c r="C62" s="110"/>
      <c r="D62" s="192"/>
      <c r="E62" s="193"/>
      <c r="F62" s="193"/>
      <c r="G62" s="194"/>
    </row>
    <row r="63" spans="2:7" ht="18.75" customHeight="1" x14ac:dyDescent="0.15">
      <c r="B63" s="224"/>
      <c r="C63" s="110"/>
      <c r="D63" s="192"/>
      <c r="E63" s="193"/>
      <c r="F63" s="193"/>
      <c r="G63" s="194"/>
    </row>
    <row r="64" spans="2:7" ht="18.75" customHeight="1" x14ac:dyDescent="0.15">
      <c r="B64" s="224"/>
      <c r="C64" s="110"/>
      <c r="D64" s="192"/>
      <c r="E64" s="193"/>
      <c r="F64" s="193"/>
      <c r="G64" s="194"/>
    </row>
    <row r="65" spans="2:7" ht="18.75" customHeight="1" x14ac:dyDescent="0.15">
      <c r="B65" s="224"/>
      <c r="C65" s="110"/>
      <c r="D65" s="192"/>
      <c r="E65" s="193"/>
      <c r="F65" s="193"/>
      <c r="G65" s="194"/>
    </row>
    <row r="66" spans="2:7" ht="18.75" customHeight="1" x14ac:dyDescent="0.15">
      <c r="B66" s="224"/>
      <c r="C66" s="110"/>
      <c r="D66" s="192"/>
      <c r="E66" s="193"/>
      <c r="F66" s="193"/>
      <c r="G66" s="194"/>
    </row>
    <row r="67" spans="2:7" ht="18.75" customHeight="1" x14ac:dyDescent="0.15">
      <c r="B67" s="224"/>
      <c r="C67" s="110"/>
      <c r="D67" s="192"/>
      <c r="E67" s="193"/>
      <c r="F67" s="193"/>
      <c r="G67" s="194"/>
    </row>
    <row r="68" spans="2:7" ht="18.75" customHeight="1" x14ac:dyDescent="0.15">
      <c r="B68" s="224"/>
      <c r="C68" s="110"/>
      <c r="D68" s="192"/>
      <c r="E68" s="193"/>
      <c r="F68" s="193"/>
      <c r="G68" s="194"/>
    </row>
    <row r="69" spans="2:7" ht="18.75" customHeight="1" x14ac:dyDescent="0.15">
      <c r="B69" s="224"/>
      <c r="C69" s="110"/>
      <c r="D69" s="192"/>
      <c r="E69" s="193"/>
      <c r="F69" s="193"/>
      <c r="G69" s="194"/>
    </row>
    <row r="70" spans="2:7" ht="18.75" customHeight="1" x14ac:dyDescent="0.15">
      <c r="B70" s="224"/>
      <c r="C70" s="110"/>
      <c r="D70" s="192"/>
      <c r="E70" s="193"/>
      <c r="F70" s="193"/>
      <c r="G70" s="194"/>
    </row>
    <row r="71" spans="2:7" ht="18.75" customHeight="1" x14ac:dyDescent="0.15">
      <c r="B71" s="224"/>
      <c r="C71" s="110"/>
      <c r="D71" s="192"/>
      <c r="E71" s="193"/>
      <c r="F71" s="193"/>
      <c r="G71" s="194"/>
    </row>
    <row r="72" spans="2:7" ht="18.75" customHeight="1" x14ac:dyDescent="0.15">
      <c r="B72" s="224"/>
      <c r="C72" s="110"/>
      <c r="D72" s="192"/>
      <c r="E72" s="193"/>
      <c r="F72" s="193"/>
      <c r="G72" s="194"/>
    </row>
    <row r="73" spans="2:7" ht="18.75" customHeight="1" x14ac:dyDescent="0.15">
      <c r="B73" s="224"/>
      <c r="C73" s="110"/>
      <c r="D73" s="192"/>
      <c r="E73" s="193"/>
      <c r="F73" s="193"/>
      <c r="G73" s="194"/>
    </row>
    <row r="74" spans="2:7" ht="18.75" customHeight="1" x14ac:dyDescent="0.15">
      <c r="B74" s="224"/>
      <c r="C74" s="110"/>
      <c r="D74" s="192"/>
      <c r="E74" s="193"/>
      <c r="F74" s="193"/>
      <c r="G74" s="194"/>
    </row>
    <row r="75" spans="2:7" ht="18.75" customHeight="1" x14ac:dyDescent="0.15">
      <c r="B75" s="224"/>
      <c r="C75" s="110"/>
      <c r="D75" s="192"/>
      <c r="E75" s="193"/>
      <c r="F75" s="193"/>
      <c r="G75" s="194"/>
    </row>
    <row r="76" spans="2:7" ht="18.75" customHeight="1" x14ac:dyDescent="0.15">
      <c r="B76" s="223" t="s">
        <v>112</v>
      </c>
      <c r="C76" s="197" t="s">
        <v>98</v>
      </c>
      <c r="D76" s="198"/>
      <c r="E76" s="198"/>
      <c r="F76" s="198"/>
      <c r="G76" s="199"/>
    </row>
    <row r="77" spans="2:7" ht="37.5" customHeight="1" x14ac:dyDescent="0.15">
      <c r="B77" s="224"/>
      <c r="C77" s="226" t="s">
        <v>113</v>
      </c>
      <c r="D77" s="227"/>
      <c r="E77" s="227"/>
      <c r="F77" s="227"/>
      <c r="G77" s="228"/>
    </row>
    <row r="78" spans="2:7" ht="37.5" customHeight="1" x14ac:dyDescent="0.15">
      <c r="B78" s="224"/>
      <c r="C78" s="229"/>
      <c r="D78" s="230"/>
      <c r="E78" s="230"/>
      <c r="F78" s="230"/>
      <c r="G78" s="231"/>
    </row>
    <row r="79" spans="2:7" ht="37.5" customHeight="1" x14ac:dyDescent="0.15">
      <c r="B79" s="224"/>
      <c r="C79" s="229"/>
      <c r="D79" s="230"/>
      <c r="E79" s="230"/>
      <c r="F79" s="230"/>
      <c r="G79" s="231"/>
    </row>
    <row r="80" spans="2:7" ht="37.5" customHeight="1" x14ac:dyDescent="0.15">
      <c r="B80" s="224"/>
      <c r="C80" s="229"/>
      <c r="D80" s="230"/>
      <c r="E80" s="230"/>
      <c r="F80" s="230"/>
      <c r="G80" s="231"/>
    </row>
    <row r="81" spans="2:7" ht="37.5" customHeight="1" x14ac:dyDescent="0.15">
      <c r="B81" s="224"/>
      <c r="C81" s="232"/>
      <c r="D81" s="233"/>
      <c r="E81" s="233"/>
      <c r="F81" s="233"/>
      <c r="G81" s="234"/>
    </row>
    <row r="82" spans="2:7" ht="18.75" customHeight="1" x14ac:dyDescent="0.15">
      <c r="B82" s="224"/>
      <c r="C82" s="45" t="s">
        <v>101</v>
      </c>
      <c r="D82" s="197" t="s">
        <v>102</v>
      </c>
      <c r="E82" s="198"/>
      <c r="F82" s="198"/>
      <c r="G82" s="199"/>
    </row>
    <row r="83" spans="2:7" ht="18.75" customHeight="1" x14ac:dyDescent="0.15">
      <c r="B83" s="224"/>
      <c r="C83" s="108" t="s">
        <v>103</v>
      </c>
      <c r="D83" s="195" t="s">
        <v>114</v>
      </c>
      <c r="E83" s="130"/>
      <c r="F83" s="130"/>
      <c r="G83" s="131"/>
    </row>
    <row r="84" spans="2:7" ht="18.75" customHeight="1" x14ac:dyDescent="0.15">
      <c r="B84" s="224"/>
      <c r="C84" s="108" t="s">
        <v>103</v>
      </c>
      <c r="D84" s="129" t="s">
        <v>115</v>
      </c>
      <c r="E84" s="130"/>
      <c r="F84" s="130"/>
      <c r="G84" s="131"/>
    </row>
    <row r="85" spans="2:7" ht="18.75" customHeight="1" x14ac:dyDescent="0.15">
      <c r="B85" s="224"/>
      <c r="C85" s="110"/>
      <c r="D85" s="192"/>
      <c r="E85" s="193"/>
      <c r="F85" s="193"/>
      <c r="G85" s="194"/>
    </row>
    <row r="86" spans="2:7" ht="18.75" customHeight="1" x14ac:dyDescent="0.15">
      <c r="B86" s="224"/>
      <c r="C86" s="110"/>
      <c r="D86" s="192"/>
      <c r="E86" s="193"/>
      <c r="F86" s="193"/>
      <c r="G86" s="194"/>
    </row>
    <row r="87" spans="2:7" ht="18.75" customHeight="1" x14ac:dyDescent="0.15">
      <c r="B87" s="224"/>
      <c r="C87" s="110"/>
      <c r="D87" s="192"/>
      <c r="E87" s="193"/>
      <c r="F87" s="193"/>
      <c r="G87" s="194"/>
    </row>
    <row r="88" spans="2:7" ht="18.75" customHeight="1" x14ac:dyDescent="0.15">
      <c r="B88" s="224"/>
      <c r="C88" s="110"/>
      <c r="D88" s="192"/>
      <c r="E88" s="193"/>
      <c r="F88" s="193"/>
      <c r="G88" s="194"/>
    </row>
    <row r="89" spans="2:7" ht="18.75" customHeight="1" x14ac:dyDescent="0.15">
      <c r="B89" s="224"/>
      <c r="C89" s="110"/>
      <c r="D89" s="192"/>
      <c r="E89" s="193"/>
      <c r="F89" s="193"/>
      <c r="G89" s="194"/>
    </row>
    <row r="90" spans="2:7" ht="18.75" customHeight="1" x14ac:dyDescent="0.15">
      <c r="B90" s="224"/>
      <c r="C90" s="110"/>
      <c r="D90" s="192"/>
      <c r="E90" s="193"/>
      <c r="F90" s="193"/>
      <c r="G90" s="194"/>
    </row>
    <row r="91" spans="2:7" ht="18.75" customHeight="1" x14ac:dyDescent="0.15">
      <c r="B91" s="224"/>
      <c r="C91" s="110"/>
      <c r="D91" s="192"/>
      <c r="E91" s="193"/>
      <c r="F91" s="193"/>
      <c r="G91" s="194"/>
    </row>
    <row r="92" spans="2:7" ht="18.75" customHeight="1" x14ac:dyDescent="0.15">
      <c r="B92" s="224"/>
      <c r="C92" s="110"/>
      <c r="D92" s="192"/>
      <c r="E92" s="193"/>
      <c r="F92" s="193"/>
      <c r="G92" s="194"/>
    </row>
    <row r="93" spans="2:7" ht="18.75" customHeight="1" x14ac:dyDescent="0.15">
      <c r="B93" s="224"/>
      <c r="C93" s="110"/>
      <c r="D93" s="192"/>
      <c r="E93" s="193"/>
      <c r="F93" s="193"/>
      <c r="G93" s="194"/>
    </row>
    <row r="94" spans="2:7" ht="18.75" customHeight="1" x14ac:dyDescent="0.15">
      <c r="B94" s="224"/>
      <c r="C94" s="110"/>
      <c r="D94" s="192"/>
      <c r="E94" s="193"/>
      <c r="F94" s="193"/>
      <c r="G94" s="194"/>
    </row>
    <row r="95" spans="2:7" ht="18.75" customHeight="1" x14ac:dyDescent="0.15">
      <c r="B95" s="224"/>
      <c r="C95" s="110"/>
      <c r="D95" s="192"/>
      <c r="E95" s="193"/>
      <c r="F95" s="193"/>
      <c r="G95" s="194"/>
    </row>
    <row r="96" spans="2:7" ht="18.75" customHeight="1" x14ac:dyDescent="0.15">
      <c r="B96" s="224"/>
      <c r="C96" s="110"/>
      <c r="D96" s="192"/>
      <c r="E96" s="193"/>
      <c r="F96" s="193"/>
      <c r="G96" s="194"/>
    </row>
    <row r="97" spans="2:7" ht="18.75" customHeight="1" x14ac:dyDescent="0.15">
      <c r="B97" s="224"/>
      <c r="C97" s="110"/>
      <c r="D97" s="192"/>
      <c r="E97" s="193"/>
      <c r="F97" s="193"/>
      <c r="G97" s="194"/>
    </row>
    <row r="98" spans="2:7" ht="18.75" customHeight="1" x14ac:dyDescent="0.15">
      <c r="B98" s="224"/>
      <c r="C98" s="110"/>
      <c r="D98" s="192"/>
      <c r="E98" s="193"/>
      <c r="F98" s="193"/>
      <c r="G98" s="194"/>
    </row>
    <row r="99" spans="2:7" ht="18.75" customHeight="1" x14ac:dyDescent="0.15">
      <c r="B99" s="224"/>
      <c r="C99" s="110"/>
      <c r="D99" s="192"/>
      <c r="E99" s="193"/>
      <c r="F99" s="193"/>
      <c r="G99" s="194"/>
    </row>
    <row r="100" spans="2:7" ht="18.75" customHeight="1" x14ac:dyDescent="0.15">
      <c r="B100" s="224"/>
      <c r="C100" s="110"/>
      <c r="D100" s="192"/>
      <c r="E100" s="193"/>
      <c r="F100" s="193"/>
      <c r="G100" s="194"/>
    </row>
    <row r="101" spans="2:7" ht="18.75" customHeight="1" x14ac:dyDescent="0.15">
      <c r="B101" s="223" t="s">
        <v>116</v>
      </c>
      <c r="C101" s="197" t="s">
        <v>98</v>
      </c>
      <c r="D101" s="198"/>
      <c r="E101" s="198"/>
      <c r="F101" s="198"/>
      <c r="G101" s="199"/>
    </row>
    <row r="102" spans="2:7" ht="37.5" customHeight="1" x14ac:dyDescent="0.15">
      <c r="B102" s="224"/>
      <c r="C102" s="226" t="s">
        <v>117</v>
      </c>
      <c r="D102" s="227"/>
      <c r="E102" s="227"/>
      <c r="F102" s="227"/>
      <c r="G102" s="228"/>
    </row>
    <row r="103" spans="2:7" ht="37.5" customHeight="1" x14ac:dyDescent="0.15">
      <c r="B103" s="224"/>
      <c r="C103" s="229"/>
      <c r="D103" s="230"/>
      <c r="E103" s="230"/>
      <c r="F103" s="230"/>
      <c r="G103" s="231"/>
    </row>
    <row r="104" spans="2:7" ht="37.5" customHeight="1" x14ac:dyDescent="0.15">
      <c r="B104" s="224"/>
      <c r="C104" s="229"/>
      <c r="D104" s="230"/>
      <c r="E104" s="230"/>
      <c r="F104" s="230"/>
      <c r="G104" s="231"/>
    </row>
    <row r="105" spans="2:7" ht="37.5" customHeight="1" x14ac:dyDescent="0.15">
      <c r="B105" s="224"/>
      <c r="C105" s="229"/>
      <c r="D105" s="230"/>
      <c r="E105" s="230"/>
      <c r="F105" s="230"/>
      <c r="G105" s="231"/>
    </row>
    <row r="106" spans="2:7" ht="37.5" customHeight="1" x14ac:dyDescent="0.15">
      <c r="B106" s="224"/>
      <c r="C106" s="232"/>
      <c r="D106" s="233"/>
      <c r="E106" s="233"/>
      <c r="F106" s="233"/>
      <c r="G106" s="234"/>
    </row>
    <row r="107" spans="2:7" ht="18.75" customHeight="1" x14ac:dyDescent="0.15">
      <c r="B107" s="224"/>
      <c r="C107" s="45" t="s">
        <v>101</v>
      </c>
      <c r="D107" s="197" t="s">
        <v>102</v>
      </c>
      <c r="E107" s="198"/>
      <c r="F107" s="198"/>
      <c r="G107" s="199"/>
    </row>
    <row r="108" spans="2:7" ht="18.75" customHeight="1" x14ac:dyDescent="0.15">
      <c r="B108" s="224"/>
      <c r="C108" s="108" t="s">
        <v>103</v>
      </c>
      <c r="D108" s="195" t="s">
        <v>118</v>
      </c>
      <c r="E108" s="130"/>
      <c r="F108" s="130"/>
      <c r="G108" s="131"/>
    </row>
    <row r="109" spans="2:7" ht="18.75" customHeight="1" x14ac:dyDescent="0.15">
      <c r="B109" s="224"/>
      <c r="C109" s="110"/>
      <c r="D109" s="192"/>
      <c r="E109" s="193"/>
      <c r="F109" s="193"/>
      <c r="G109" s="194"/>
    </row>
    <row r="110" spans="2:7" ht="18.75" customHeight="1" x14ac:dyDescent="0.15">
      <c r="B110" s="224"/>
      <c r="C110" s="110"/>
      <c r="D110" s="192"/>
      <c r="E110" s="193"/>
      <c r="F110" s="193"/>
      <c r="G110" s="194"/>
    </row>
    <row r="111" spans="2:7" ht="18.75" customHeight="1" x14ac:dyDescent="0.15">
      <c r="B111" s="224"/>
      <c r="C111" s="110"/>
      <c r="D111" s="192"/>
      <c r="E111" s="193"/>
      <c r="F111" s="193"/>
      <c r="G111" s="194"/>
    </row>
    <row r="112" spans="2:7" ht="18.75" customHeight="1" x14ac:dyDescent="0.15">
      <c r="B112" s="224"/>
      <c r="C112" s="110"/>
      <c r="D112" s="192"/>
      <c r="E112" s="193"/>
      <c r="F112" s="193"/>
      <c r="G112" s="194"/>
    </row>
    <row r="113" spans="1:7" ht="18.75" customHeight="1" x14ac:dyDescent="0.15">
      <c r="B113" s="224"/>
      <c r="C113" s="110"/>
      <c r="D113" s="192"/>
      <c r="E113" s="193"/>
      <c r="F113" s="193"/>
      <c r="G113" s="194"/>
    </row>
    <row r="114" spans="1:7" ht="18.75" customHeight="1" x14ac:dyDescent="0.15">
      <c r="B114" s="224"/>
      <c r="C114" s="110"/>
      <c r="D114" s="192"/>
      <c r="E114" s="193"/>
      <c r="F114" s="193"/>
      <c r="G114" s="194"/>
    </row>
    <row r="115" spans="1:7" ht="18.75" customHeight="1" x14ac:dyDescent="0.15">
      <c r="B115" s="224"/>
      <c r="C115" s="110"/>
      <c r="D115" s="192"/>
      <c r="E115" s="193"/>
      <c r="F115" s="193"/>
      <c r="G115" s="194"/>
    </row>
    <row r="116" spans="1:7" ht="18.75" customHeight="1" x14ac:dyDescent="0.15">
      <c r="B116" s="224"/>
      <c r="C116" s="110"/>
      <c r="D116" s="192"/>
      <c r="E116" s="193"/>
      <c r="F116" s="193"/>
      <c r="G116" s="194"/>
    </row>
    <row r="117" spans="1:7" ht="18.75" customHeight="1" x14ac:dyDescent="0.15">
      <c r="B117" s="224"/>
      <c r="C117" s="110"/>
      <c r="D117" s="192"/>
      <c r="E117" s="193"/>
      <c r="F117" s="193"/>
      <c r="G117" s="194"/>
    </row>
    <row r="118" spans="1:7" ht="18.75" customHeight="1" x14ac:dyDescent="0.15">
      <c r="B118" s="224"/>
      <c r="C118" s="110"/>
      <c r="D118" s="192"/>
      <c r="E118" s="193"/>
      <c r="F118" s="193"/>
      <c r="G118" s="194"/>
    </row>
    <row r="119" spans="1:7" ht="18.75" customHeight="1" x14ac:dyDescent="0.15">
      <c r="B119" s="224"/>
      <c r="C119" s="110"/>
      <c r="D119" s="192"/>
      <c r="E119" s="193"/>
      <c r="F119" s="193"/>
      <c r="G119" s="194"/>
    </row>
    <row r="120" spans="1:7" ht="18.75" customHeight="1" x14ac:dyDescent="0.15">
      <c r="B120" s="224"/>
      <c r="C120" s="110"/>
      <c r="D120" s="192"/>
      <c r="E120" s="193"/>
      <c r="F120" s="193"/>
      <c r="G120" s="194"/>
    </row>
    <row r="121" spans="1:7" ht="18.75" customHeight="1" x14ac:dyDescent="0.15">
      <c r="B121" s="224"/>
      <c r="C121" s="110"/>
      <c r="D121" s="192"/>
      <c r="E121" s="193"/>
      <c r="F121" s="193"/>
      <c r="G121" s="194"/>
    </row>
    <row r="122" spans="1:7" ht="18.75" customHeight="1" x14ac:dyDescent="0.15">
      <c r="B122" s="224"/>
      <c r="C122" s="110"/>
      <c r="D122" s="192"/>
      <c r="E122" s="193"/>
      <c r="F122" s="193"/>
      <c r="G122" s="194"/>
    </row>
    <row r="123" spans="1:7" ht="18.75" customHeight="1" x14ac:dyDescent="0.15">
      <c r="B123" s="224"/>
      <c r="C123" s="110"/>
      <c r="D123" s="192"/>
      <c r="E123" s="193"/>
      <c r="F123" s="193"/>
      <c r="G123" s="194"/>
    </row>
    <row r="124" spans="1:7" ht="18.75" customHeight="1" x14ac:dyDescent="0.15">
      <c r="B124" s="224"/>
      <c r="C124" s="110"/>
      <c r="D124" s="192"/>
      <c r="E124" s="193"/>
      <c r="F124" s="193"/>
      <c r="G124" s="194"/>
    </row>
    <row r="125" spans="1:7" ht="18.75" customHeight="1" x14ac:dyDescent="0.15">
      <c r="B125" s="224"/>
      <c r="C125" s="110"/>
      <c r="D125" s="192"/>
      <c r="E125" s="193"/>
      <c r="F125" s="193"/>
      <c r="G125" s="194"/>
    </row>
    <row r="126" spans="1:7" ht="18.75" customHeight="1" x14ac:dyDescent="0.15">
      <c r="A126" s="1" t="s">
        <v>5</v>
      </c>
      <c r="B126" s="1" t="s">
        <v>119</v>
      </c>
    </row>
    <row r="127" spans="1:7" ht="22.5" customHeight="1" x14ac:dyDescent="0.15">
      <c r="B127" s="110" t="s">
        <v>97</v>
      </c>
      <c r="C127" s="197" t="s">
        <v>71</v>
      </c>
      <c r="D127" s="198"/>
      <c r="E127" s="198"/>
      <c r="F127" s="198"/>
      <c r="G127" s="199"/>
    </row>
    <row r="128" spans="1:7" ht="45" customHeight="1" x14ac:dyDescent="0.15">
      <c r="B128" s="46" t="s">
        <v>120</v>
      </c>
      <c r="C128" s="219" t="s">
        <v>121</v>
      </c>
      <c r="D128" s="153"/>
      <c r="E128" s="153"/>
      <c r="F128" s="153"/>
      <c r="G128" s="154"/>
    </row>
    <row r="129" spans="1:7" ht="45" customHeight="1" x14ac:dyDescent="0.15">
      <c r="B129" s="46" t="s">
        <v>122</v>
      </c>
      <c r="C129" s="219"/>
      <c r="D129" s="153"/>
      <c r="E129" s="153"/>
      <c r="F129" s="153"/>
      <c r="G129" s="154"/>
    </row>
    <row r="130" spans="1:7" ht="45" customHeight="1" x14ac:dyDescent="0.15">
      <c r="B130" s="46" t="s">
        <v>123</v>
      </c>
      <c r="C130" s="219" t="s">
        <v>121</v>
      </c>
      <c r="D130" s="153"/>
      <c r="E130" s="153"/>
      <c r="F130" s="153"/>
      <c r="G130" s="154"/>
    </row>
    <row r="131" spans="1:7" ht="45" customHeight="1" x14ac:dyDescent="0.15">
      <c r="B131" s="46" t="s">
        <v>124</v>
      </c>
      <c r="C131" s="219" t="s">
        <v>121</v>
      </c>
      <c r="D131" s="153"/>
      <c r="E131" s="153"/>
      <c r="F131" s="153"/>
      <c r="G131" s="154"/>
    </row>
    <row r="132" spans="1:7" ht="45" customHeight="1" x14ac:dyDescent="0.15">
      <c r="B132" s="46" t="s">
        <v>125</v>
      </c>
      <c r="C132" s="219"/>
      <c r="D132" s="153"/>
      <c r="E132" s="153"/>
      <c r="F132" s="153"/>
      <c r="G132" s="154"/>
    </row>
    <row r="133" spans="1:7" ht="45" customHeight="1" x14ac:dyDescent="0.15">
      <c r="B133" s="46" t="s">
        <v>126</v>
      </c>
      <c r="C133" s="219" t="s">
        <v>121</v>
      </c>
      <c r="D133" s="153"/>
      <c r="E133" s="153"/>
      <c r="F133" s="153"/>
      <c r="G133" s="154"/>
    </row>
    <row r="134" spans="1:7" ht="45" customHeight="1" x14ac:dyDescent="0.15">
      <c r="B134" s="46" t="s">
        <v>127</v>
      </c>
      <c r="C134" s="219" t="s">
        <v>103</v>
      </c>
      <c r="D134" s="153"/>
      <c r="E134" s="153"/>
      <c r="F134" s="153"/>
      <c r="G134" s="154"/>
    </row>
    <row r="135" spans="1:7" ht="45" customHeight="1" x14ac:dyDescent="0.15">
      <c r="B135" s="46" t="s">
        <v>128</v>
      </c>
      <c r="C135" s="219" t="s">
        <v>103</v>
      </c>
      <c r="D135" s="153"/>
      <c r="E135" s="153"/>
      <c r="F135" s="153"/>
      <c r="G135" s="154"/>
    </row>
    <row r="136" spans="1:7" ht="45" customHeight="1" x14ac:dyDescent="0.15">
      <c r="B136" s="46" t="s">
        <v>129</v>
      </c>
      <c r="C136" s="220"/>
      <c r="D136" s="221"/>
      <c r="E136" s="221"/>
      <c r="F136" s="221"/>
      <c r="G136" s="222"/>
    </row>
    <row r="137" spans="1:7" ht="7.5" customHeight="1" x14ac:dyDescent="0.15"/>
    <row r="138" spans="1:7" ht="18.75" customHeight="1" x14ac:dyDescent="0.15">
      <c r="A138" s="1" t="s">
        <v>8</v>
      </c>
      <c r="B138" s="1" t="s">
        <v>130</v>
      </c>
      <c r="E138" s="218" t="s">
        <v>131</v>
      </c>
      <c r="F138" s="153"/>
      <c r="G138" s="154"/>
    </row>
    <row r="139" spans="1:7" ht="7.5" customHeight="1" x14ac:dyDescent="0.15"/>
    <row r="140" spans="1:7" ht="18.75" customHeight="1" x14ac:dyDescent="0.15">
      <c r="A140" s="1" t="s">
        <v>11</v>
      </c>
      <c r="B140" s="1" t="s">
        <v>132</v>
      </c>
    </row>
    <row r="141" spans="1:7" ht="18.75" customHeight="1" x14ac:dyDescent="0.15">
      <c r="B141" s="209" t="s">
        <v>133</v>
      </c>
      <c r="C141" s="210"/>
      <c r="D141" s="210"/>
      <c r="E141" s="210"/>
      <c r="F141" s="210"/>
      <c r="G141" s="211"/>
    </row>
    <row r="142" spans="1:7" ht="18.75" customHeight="1" x14ac:dyDescent="0.15">
      <c r="B142" s="212"/>
      <c r="C142" s="213"/>
      <c r="D142" s="213"/>
      <c r="E142" s="213"/>
      <c r="F142" s="213"/>
      <c r="G142" s="214"/>
    </row>
    <row r="143" spans="1:7" ht="18.75" customHeight="1" x14ac:dyDescent="0.15">
      <c r="B143" s="212"/>
      <c r="C143" s="213"/>
      <c r="D143" s="213"/>
      <c r="E143" s="213"/>
      <c r="F143" s="213"/>
      <c r="G143" s="214"/>
    </row>
    <row r="144" spans="1:7" ht="18.75" customHeight="1" x14ac:dyDescent="0.15">
      <c r="B144" s="215"/>
      <c r="C144" s="216"/>
      <c r="D144" s="216"/>
      <c r="E144" s="216"/>
      <c r="F144" s="216"/>
      <c r="G144" s="217"/>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1"/>
  <hyperlinks>
    <hyperlink ref="E138" r:id="rId1" xr:uid="{E161FB15-491A-4FE1-8093-EDA2C234D908}"/>
  </hyperlinks>
  <printOptions horizontalCentered="1"/>
  <pageMargins left="0.78740157480314965" right="0.78740157480314965" top="0.59055118110236227" bottom="0.39370078740157483" header="0.31496062992125984" footer="0.31496062992125984"/>
  <pageSetup paperSize="9" orientation="landscape" horizontalDpi="300" verticalDpi="3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tabSelected="1" zoomScaleNormal="100" workbookViewId="0">
      <selection activeCell="B17" sqref="B17:E28"/>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E1" s="106" t="s">
        <v>134</v>
      </c>
    </row>
    <row r="2" spans="1:5" ht="18.75" customHeight="1" x14ac:dyDescent="0.15">
      <c r="B2" s="106" t="s">
        <v>135</v>
      </c>
      <c r="C2" s="106" t="s">
        <v>136</v>
      </c>
      <c r="D2" s="245" t="s">
        <v>4</v>
      </c>
      <c r="E2" s="245"/>
    </row>
    <row r="3" spans="1:5" ht="7.5" customHeight="1" x14ac:dyDescent="0.15">
      <c r="B3" s="106"/>
      <c r="C3" s="106"/>
      <c r="D3" s="109"/>
      <c r="E3" s="109"/>
    </row>
    <row r="4" spans="1:5" ht="18.75" customHeight="1" x14ac:dyDescent="0.15">
      <c r="B4" s="177" t="s">
        <v>137</v>
      </c>
      <c r="C4" s="177"/>
      <c r="D4" s="177"/>
      <c r="E4" s="177"/>
    </row>
    <row r="5" spans="1:5" ht="7.5" customHeight="1" x14ac:dyDescent="0.15">
      <c r="B5" s="107"/>
      <c r="C5" s="107"/>
      <c r="D5" s="107"/>
      <c r="E5" s="107"/>
    </row>
    <row r="6" spans="1:5" ht="18.75" customHeight="1" x14ac:dyDescent="0.15">
      <c r="A6" s="14" t="s">
        <v>2</v>
      </c>
      <c r="B6" s="5" t="s">
        <v>138</v>
      </c>
      <c r="C6" s="107"/>
      <c r="D6" s="107"/>
      <c r="E6" s="107"/>
    </row>
    <row r="7" spans="1:5" ht="18.75" customHeight="1" x14ac:dyDescent="0.15">
      <c r="A7" s="14"/>
      <c r="B7" s="152" t="s">
        <v>139</v>
      </c>
      <c r="C7" s="153"/>
      <c r="D7" s="153"/>
      <c r="E7" s="154"/>
    </row>
    <row r="8" spans="1:5" ht="7.5" customHeight="1" x14ac:dyDescent="0.15">
      <c r="B8" s="107"/>
      <c r="C8" s="107"/>
      <c r="D8" s="107"/>
      <c r="E8" s="107"/>
    </row>
    <row r="9" spans="1:5" s="5" customFormat="1" ht="18.75" customHeight="1" x14ac:dyDescent="0.15">
      <c r="A9" s="14" t="s">
        <v>5</v>
      </c>
      <c r="B9" s="14" t="s">
        <v>140</v>
      </c>
      <c r="C9" s="14"/>
      <c r="D9" s="14"/>
      <c r="E9" s="14"/>
    </row>
    <row r="10" spans="1:5" s="10" customFormat="1" ht="18.75" customHeight="1" x14ac:dyDescent="0.15">
      <c r="A10" s="9"/>
      <c r="B10" s="246" t="s">
        <v>141</v>
      </c>
      <c r="C10" s="210"/>
      <c r="D10" s="210"/>
      <c r="E10" s="211"/>
    </row>
    <row r="11" spans="1:5" s="10" customFormat="1" ht="18.75" customHeight="1" x14ac:dyDescent="0.15">
      <c r="A11" s="9"/>
      <c r="B11" s="212"/>
      <c r="C11" s="247"/>
      <c r="D11" s="247"/>
      <c r="E11" s="214"/>
    </row>
    <row r="12" spans="1:5" s="10" customFormat="1" ht="18.75" customHeight="1" x14ac:dyDescent="0.15">
      <c r="A12" s="9"/>
      <c r="B12" s="212"/>
      <c r="C12" s="247"/>
      <c r="D12" s="247"/>
      <c r="E12" s="214"/>
    </row>
    <row r="13" spans="1:5" s="10" customFormat="1" ht="18.75" customHeight="1" x14ac:dyDescent="0.15">
      <c r="A13" s="9"/>
      <c r="B13" s="212"/>
      <c r="C13" s="247"/>
      <c r="D13" s="247"/>
      <c r="E13" s="214"/>
    </row>
    <row r="14" spans="1:5" s="10" customFormat="1" ht="18.75" customHeight="1" x14ac:dyDescent="0.15">
      <c r="A14" s="9"/>
      <c r="B14" s="215"/>
      <c r="C14" s="216"/>
      <c r="D14" s="216"/>
      <c r="E14" s="217"/>
    </row>
    <row r="15" spans="1:5" s="10" customFormat="1" ht="7.5" customHeight="1" x14ac:dyDescent="0.15">
      <c r="A15" s="9"/>
      <c r="B15" s="9"/>
      <c r="C15" s="9"/>
      <c r="D15" s="9"/>
      <c r="E15" s="9"/>
    </row>
    <row r="16" spans="1:5" s="5" customFormat="1" ht="18.75" customHeight="1" x14ac:dyDescent="0.15">
      <c r="A16" s="11" t="s">
        <v>8</v>
      </c>
      <c r="B16" s="11" t="s">
        <v>142</v>
      </c>
      <c r="C16" s="11"/>
      <c r="D16" s="11"/>
      <c r="E16" s="11"/>
    </row>
    <row r="17" spans="1:5" s="10" customFormat="1" ht="18.75" customHeight="1" x14ac:dyDescent="0.15">
      <c r="A17" s="9"/>
      <c r="B17" s="248" t="s">
        <v>143</v>
      </c>
      <c r="C17" s="249"/>
      <c r="D17" s="249"/>
      <c r="E17" s="250"/>
    </row>
    <row r="18" spans="1:5" s="10" customFormat="1" ht="18.75" customHeight="1" x14ac:dyDescent="0.15">
      <c r="A18" s="9"/>
      <c r="B18" s="251"/>
      <c r="C18" s="252"/>
      <c r="D18" s="252"/>
      <c r="E18" s="253"/>
    </row>
    <row r="19" spans="1:5" s="10" customFormat="1" ht="18.75" customHeight="1" x14ac:dyDescent="0.15">
      <c r="A19" s="9"/>
      <c r="B19" s="251"/>
      <c r="C19" s="252"/>
      <c r="D19" s="252"/>
      <c r="E19" s="253"/>
    </row>
    <row r="20" spans="1:5" s="10" customFormat="1" ht="18.75" customHeight="1" x14ac:dyDescent="0.15">
      <c r="A20" s="9"/>
      <c r="B20" s="251"/>
      <c r="C20" s="252"/>
      <c r="D20" s="252"/>
      <c r="E20" s="253"/>
    </row>
    <row r="21" spans="1:5" s="10" customFormat="1" ht="18.75" customHeight="1" x14ac:dyDescent="0.15">
      <c r="A21" s="9"/>
      <c r="B21" s="251"/>
      <c r="C21" s="252"/>
      <c r="D21" s="252"/>
      <c r="E21" s="253"/>
    </row>
    <row r="22" spans="1:5" s="10" customFormat="1" ht="18.75" customHeight="1" x14ac:dyDescent="0.15">
      <c r="A22" s="9"/>
      <c r="B22" s="251"/>
      <c r="C22" s="252"/>
      <c r="D22" s="252"/>
      <c r="E22" s="253"/>
    </row>
    <row r="23" spans="1:5" s="10" customFormat="1" ht="18.75" customHeight="1" x14ac:dyDescent="0.15">
      <c r="A23" s="9"/>
      <c r="B23" s="251"/>
      <c r="C23" s="252"/>
      <c r="D23" s="252"/>
      <c r="E23" s="253"/>
    </row>
    <row r="24" spans="1:5" s="10" customFormat="1" ht="18.75" customHeight="1" x14ac:dyDescent="0.15">
      <c r="A24" s="9"/>
      <c r="B24" s="251"/>
      <c r="C24" s="252"/>
      <c r="D24" s="252"/>
      <c r="E24" s="253"/>
    </row>
    <row r="25" spans="1:5" s="10" customFormat="1" ht="18.75" customHeight="1" x14ac:dyDescent="0.15">
      <c r="A25" s="9"/>
      <c r="B25" s="251"/>
      <c r="C25" s="252"/>
      <c r="D25" s="252"/>
      <c r="E25" s="253"/>
    </row>
    <row r="26" spans="1:5" s="10" customFormat="1" ht="18.75" customHeight="1" x14ac:dyDescent="0.15">
      <c r="A26" s="9"/>
      <c r="B26" s="251"/>
      <c r="C26" s="252"/>
      <c r="D26" s="252"/>
      <c r="E26" s="253"/>
    </row>
    <row r="27" spans="1:5" s="10" customFormat="1" ht="18.75" customHeight="1" x14ac:dyDescent="0.15">
      <c r="A27" s="9"/>
      <c r="B27" s="251"/>
      <c r="C27" s="252"/>
      <c r="D27" s="252"/>
      <c r="E27" s="253"/>
    </row>
    <row r="28" spans="1:5" s="10" customFormat="1" ht="18.75" customHeight="1" x14ac:dyDescent="0.15">
      <c r="A28" s="9"/>
      <c r="B28" s="254"/>
      <c r="C28" s="255"/>
      <c r="D28" s="255"/>
      <c r="E28" s="256"/>
    </row>
    <row r="29" spans="1:5" ht="7.5" customHeight="1" x14ac:dyDescent="0.15">
      <c r="A29" s="8"/>
      <c r="B29" s="8"/>
      <c r="C29" s="8"/>
      <c r="D29" s="8"/>
      <c r="E29" s="8"/>
    </row>
    <row r="30" spans="1:5" s="5" customFormat="1" ht="18.75" customHeight="1" x14ac:dyDescent="0.15">
      <c r="A30" s="14" t="s">
        <v>11</v>
      </c>
      <c r="B30" s="14" t="s">
        <v>144</v>
      </c>
      <c r="C30" s="14"/>
      <c r="D30" s="14"/>
      <c r="E30" s="14"/>
    </row>
    <row r="31" spans="1:5" s="5" customFormat="1" ht="18.75" customHeight="1" x14ac:dyDescent="0.15">
      <c r="A31" s="14"/>
      <c r="B31" s="235" t="s">
        <v>182</v>
      </c>
      <c r="C31" s="236"/>
      <c r="D31" s="236"/>
      <c r="E31" s="237"/>
    </row>
    <row r="32" spans="1:5" s="5" customFormat="1" ht="18.75" customHeight="1" x14ac:dyDescent="0.15">
      <c r="A32" s="14"/>
      <c r="B32" s="238"/>
      <c r="C32" s="239"/>
      <c r="D32" s="239"/>
      <c r="E32" s="240"/>
    </row>
    <row r="33" spans="1:5" s="5" customFormat="1" ht="18.75" customHeight="1" x14ac:dyDescent="0.15">
      <c r="A33" s="14"/>
      <c r="B33" s="238"/>
      <c r="C33" s="239"/>
      <c r="D33" s="239"/>
      <c r="E33" s="240"/>
    </row>
    <row r="34" spans="1:5" s="5" customFormat="1" ht="18.75" customHeight="1" x14ac:dyDescent="0.15">
      <c r="A34" s="14"/>
      <c r="B34" s="238"/>
      <c r="C34" s="239"/>
      <c r="D34" s="239"/>
      <c r="E34" s="240"/>
    </row>
    <row r="35" spans="1:5" s="5" customFormat="1" ht="18.75" customHeight="1" x14ac:dyDescent="0.15">
      <c r="A35" s="14"/>
      <c r="B35" s="238"/>
      <c r="C35" s="239"/>
      <c r="D35" s="239"/>
      <c r="E35" s="240"/>
    </row>
    <row r="36" spans="1:5" s="5" customFormat="1" ht="18.75" customHeight="1" x14ac:dyDescent="0.15">
      <c r="A36" s="14"/>
      <c r="B36" s="238"/>
      <c r="C36" s="239"/>
      <c r="D36" s="239"/>
      <c r="E36" s="240"/>
    </row>
    <row r="37" spans="1:5" s="5" customFormat="1" ht="18.75" customHeight="1" x14ac:dyDescent="0.15">
      <c r="A37" s="14"/>
      <c r="B37" s="238"/>
      <c r="C37" s="239"/>
      <c r="D37" s="239"/>
      <c r="E37" s="240"/>
    </row>
    <row r="38" spans="1:5" s="5" customFormat="1" ht="18.75" customHeight="1" x14ac:dyDescent="0.15">
      <c r="A38" s="14"/>
      <c r="B38" s="238"/>
      <c r="C38" s="239"/>
      <c r="D38" s="239"/>
      <c r="E38" s="240"/>
    </row>
    <row r="39" spans="1:5" s="5" customFormat="1" ht="18.75" customHeight="1" x14ac:dyDescent="0.15">
      <c r="A39" s="14"/>
      <c r="B39" s="238"/>
      <c r="C39" s="239"/>
      <c r="D39" s="239"/>
      <c r="E39" s="240"/>
    </row>
    <row r="40" spans="1:5" s="5" customFormat="1" ht="18.75" customHeight="1" x14ac:dyDescent="0.15">
      <c r="A40" s="14"/>
      <c r="B40" s="238"/>
      <c r="C40" s="239"/>
      <c r="D40" s="239"/>
      <c r="E40" s="240"/>
    </row>
    <row r="41" spans="1:5" s="5" customFormat="1" ht="18.75" customHeight="1" x14ac:dyDescent="0.15">
      <c r="A41" s="14"/>
      <c r="B41" s="238"/>
      <c r="C41" s="239"/>
      <c r="D41" s="239"/>
      <c r="E41" s="240"/>
    </row>
    <row r="42" spans="1:5" s="5" customFormat="1" ht="18.75" customHeight="1" x14ac:dyDescent="0.15">
      <c r="A42" s="14"/>
      <c r="B42" s="238"/>
      <c r="C42" s="239"/>
      <c r="D42" s="239"/>
      <c r="E42" s="240"/>
    </row>
    <row r="43" spans="1:5" s="5" customFormat="1" ht="18.75" customHeight="1" x14ac:dyDescent="0.15">
      <c r="A43" s="14"/>
      <c r="B43" s="238"/>
      <c r="C43" s="239"/>
      <c r="D43" s="239"/>
      <c r="E43" s="240"/>
    </row>
    <row r="44" spans="1:5" s="5" customFormat="1" ht="18.75" customHeight="1" x14ac:dyDescent="0.15">
      <c r="A44" s="14"/>
      <c r="B44" s="238"/>
      <c r="C44" s="239"/>
      <c r="D44" s="239"/>
      <c r="E44" s="240"/>
    </row>
    <row r="45" spans="1:5" ht="18.75" customHeight="1" x14ac:dyDescent="0.15">
      <c r="A45" s="8"/>
      <c r="B45" s="238"/>
      <c r="C45" s="239"/>
      <c r="D45" s="239"/>
      <c r="E45" s="240"/>
    </row>
    <row r="46" spans="1:5" ht="18.75" customHeight="1" x14ac:dyDescent="0.15">
      <c r="A46" s="8"/>
      <c r="B46" s="241"/>
      <c r="C46" s="242"/>
      <c r="D46" s="242"/>
      <c r="E46" s="243"/>
    </row>
    <row r="47" spans="1:5" s="5" customFormat="1" ht="18.75" customHeight="1" x14ac:dyDescent="0.15">
      <c r="A47" s="7" t="s">
        <v>14</v>
      </c>
      <c r="B47" s="14" t="s">
        <v>145</v>
      </c>
      <c r="C47" s="7"/>
      <c r="D47" s="7"/>
      <c r="E47" s="7"/>
    </row>
    <row r="48" spans="1:5" ht="18.75" customHeight="1" x14ac:dyDescent="0.15">
      <c r="A48" s="8"/>
      <c r="B48" s="235" t="s">
        <v>146</v>
      </c>
      <c r="C48" s="257"/>
      <c r="D48" s="257"/>
      <c r="E48" s="258"/>
    </row>
    <row r="49" spans="1:5" ht="18.75" customHeight="1" x14ac:dyDescent="0.15">
      <c r="A49" s="8"/>
      <c r="B49" s="259"/>
      <c r="C49" s="260"/>
      <c r="D49" s="260"/>
      <c r="E49" s="261"/>
    </row>
    <row r="50" spans="1:5" ht="18.75" customHeight="1" x14ac:dyDescent="0.15">
      <c r="A50" s="8"/>
      <c r="B50" s="259"/>
      <c r="C50" s="260"/>
      <c r="D50" s="260"/>
      <c r="E50" s="261"/>
    </row>
    <row r="51" spans="1:5" ht="18.75" customHeight="1" x14ac:dyDescent="0.15">
      <c r="A51" s="8"/>
      <c r="B51" s="259"/>
      <c r="C51" s="260"/>
      <c r="D51" s="260"/>
      <c r="E51" s="261"/>
    </row>
    <row r="52" spans="1:5" ht="18.75" customHeight="1" x14ac:dyDescent="0.15">
      <c r="A52" s="8"/>
      <c r="B52" s="259"/>
      <c r="C52" s="260"/>
      <c r="D52" s="260"/>
      <c r="E52" s="261"/>
    </row>
    <row r="53" spans="1:5" ht="18.75" customHeight="1" x14ac:dyDescent="0.15">
      <c r="A53" s="8"/>
      <c r="B53" s="259"/>
      <c r="C53" s="260"/>
      <c r="D53" s="260"/>
      <c r="E53" s="261"/>
    </row>
    <row r="54" spans="1:5" ht="18.75" customHeight="1" x14ac:dyDescent="0.15">
      <c r="A54" s="8"/>
      <c r="B54" s="259"/>
      <c r="C54" s="260"/>
      <c r="D54" s="260"/>
      <c r="E54" s="261"/>
    </row>
    <row r="55" spans="1:5" ht="18.75" customHeight="1" x14ac:dyDescent="0.15">
      <c r="A55" s="8"/>
      <c r="B55" s="259"/>
      <c r="C55" s="260"/>
      <c r="D55" s="260"/>
      <c r="E55" s="261"/>
    </row>
    <row r="56" spans="1:5" ht="18.75" customHeight="1" x14ac:dyDescent="0.15">
      <c r="A56" s="8"/>
      <c r="B56" s="259"/>
      <c r="C56" s="260"/>
      <c r="D56" s="260"/>
      <c r="E56" s="261"/>
    </row>
    <row r="57" spans="1:5" ht="18.75" customHeight="1" x14ac:dyDescent="0.15">
      <c r="A57" s="8"/>
      <c r="B57" s="259"/>
      <c r="C57" s="260"/>
      <c r="D57" s="260"/>
      <c r="E57" s="261"/>
    </row>
    <row r="58" spans="1:5" ht="18.75" customHeight="1" x14ac:dyDescent="0.15">
      <c r="A58" s="8"/>
      <c r="B58" s="259"/>
      <c r="C58" s="260"/>
      <c r="D58" s="260"/>
      <c r="E58" s="261"/>
    </row>
    <row r="59" spans="1:5" ht="18.75" customHeight="1" x14ac:dyDescent="0.15">
      <c r="A59" s="8"/>
      <c r="B59" s="259"/>
      <c r="C59" s="260"/>
      <c r="D59" s="260"/>
      <c r="E59" s="261"/>
    </row>
    <row r="60" spans="1:5" ht="18.75" customHeight="1" x14ac:dyDescent="0.15">
      <c r="A60" s="8"/>
      <c r="B60" s="259"/>
      <c r="C60" s="260"/>
      <c r="D60" s="260"/>
      <c r="E60" s="261"/>
    </row>
    <row r="61" spans="1:5" ht="18.75" customHeight="1" x14ac:dyDescent="0.15">
      <c r="A61" s="8"/>
      <c r="B61" s="259"/>
      <c r="C61" s="260"/>
      <c r="D61" s="260"/>
      <c r="E61" s="261"/>
    </row>
    <row r="62" spans="1:5" ht="18.75" customHeight="1" x14ac:dyDescent="0.15">
      <c r="A62" s="8"/>
      <c r="B62" s="259"/>
      <c r="C62" s="260"/>
      <c r="D62" s="260"/>
      <c r="E62" s="261"/>
    </row>
    <row r="63" spans="1:5" ht="18.75" customHeight="1" x14ac:dyDescent="0.15">
      <c r="A63" s="8"/>
      <c r="B63" s="259"/>
      <c r="C63" s="260"/>
      <c r="D63" s="260"/>
      <c r="E63" s="261"/>
    </row>
    <row r="64" spans="1:5" ht="18.75" customHeight="1" x14ac:dyDescent="0.15">
      <c r="A64" s="8"/>
      <c r="B64" s="259"/>
      <c r="C64" s="260"/>
      <c r="D64" s="260"/>
      <c r="E64" s="261"/>
    </row>
    <row r="65" spans="1:5" ht="18.75" customHeight="1" x14ac:dyDescent="0.15">
      <c r="A65" s="8"/>
      <c r="B65" s="259"/>
      <c r="C65" s="260"/>
      <c r="D65" s="260"/>
      <c r="E65" s="261"/>
    </row>
    <row r="66" spans="1:5" ht="18.75" customHeight="1" x14ac:dyDescent="0.15">
      <c r="A66" s="8"/>
      <c r="B66" s="259"/>
      <c r="C66" s="260"/>
      <c r="D66" s="260"/>
      <c r="E66" s="261"/>
    </row>
    <row r="67" spans="1:5" ht="18.75" customHeight="1" x14ac:dyDescent="0.15">
      <c r="A67" s="8"/>
      <c r="B67" s="259"/>
      <c r="C67" s="260"/>
      <c r="D67" s="260"/>
      <c r="E67" s="261"/>
    </row>
    <row r="68" spans="1:5" ht="18.75" customHeight="1" x14ac:dyDescent="0.15">
      <c r="A68" s="8"/>
      <c r="B68" s="262"/>
      <c r="C68" s="263"/>
      <c r="D68" s="263"/>
      <c r="E68" s="264"/>
    </row>
    <row r="69" spans="1:5" ht="7.5" customHeight="1" x14ac:dyDescent="0.15">
      <c r="A69" s="8"/>
      <c r="B69" s="8"/>
      <c r="C69" s="8"/>
      <c r="D69" s="8"/>
      <c r="E69" s="8"/>
    </row>
    <row r="70" spans="1:5" s="5" customFormat="1" ht="18.75" customHeight="1" x14ac:dyDescent="0.15">
      <c r="A70" s="14" t="s">
        <v>17</v>
      </c>
      <c r="B70" s="14" t="s">
        <v>147</v>
      </c>
      <c r="C70" s="14"/>
      <c r="D70" s="14"/>
      <c r="E70" s="14"/>
    </row>
    <row r="71" spans="1:5" s="5" customFormat="1" ht="18.75" customHeight="1" x14ac:dyDescent="0.15">
      <c r="A71" s="14"/>
      <c r="B71" s="235" t="s">
        <v>148</v>
      </c>
      <c r="C71" s="236"/>
      <c r="D71" s="236"/>
      <c r="E71" s="237"/>
    </row>
    <row r="72" spans="1:5" s="5" customFormat="1" ht="18.75" customHeight="1" x14ac:dyDescent="0.15">
      <c r="A72" s="14"/>
      <c r="B72" s="238"/>
      <c r="C72" s="239"/>
      <c r="D72" s="239"/>
      <c r="E72" s="240"/>
    </row>
    <row r="73" spans="1:5" s="5" customFormat="1" ht="18.75" customHeight="1" x14ac:dyDescent="0.15">
      <c r="A73" s="14"/>
      <c r="B73" s="238"/>
      <c r="C73" s="239"/>
      <c r="D73" s="239"/>
      <c r="E73" s="240"/>
    </row>
    <row r="74" spans="1:5" s="5" customFormat="1" ht="18.75" customHeight="1" x14ac:dyDescent="0.15">
      <c r="A74" s="14"/>
      <c r="B74" s="238"/>
      <c r="C74" s="239"/>
      <c r="D74" s="239"/>
      <c r="E74" s="240"/>
    </row>
    <row r="75" spans="1:5" s="5" customFormat="1" ht="18.75" customHeight="1" x14ac:dyDescent="0.15">
      <c r="A75" s="14"/>
      <c r="B75" s="238"/>
      <c r="C75" s="239"/>
      <c r="D75" s="239"/>
      <c r="E75" s="240"/>
    </row>
    <row r="76" spans="1:5" s="5" customFormat="1" ht="18.75" customHeight="1" x14ac:dyDescent="0.15">
      <c r="A76" s="14"/>
      <c r="B76" s="238"/>
      <c r="C76" s="239"/>
      <c r="D76" s="239"/>
      <c r="E76" s="240"/>
    </row>
    <row r="77" spans="1:5" s="5" customFormat="1" ht="18.75" customHeight="1" x14ac:dyDescent="0.15">
      <c r="A77" s="14"/>
      <c r="B77" s="238"/>
      <c r="C77" s="239"/>
      <c r="D77" s="239"/>
      <c r="E77" s="240"/>
    </row>
    <row r="78" spans="1:5" s="5" customFormat="1" ht="18.75" customHeight="1" x14ac:dyDescent="0.15">
      <c r="A78" s="14"/>
      <c r="B78" s="238"/>
      <c r="C78" s="239"/>
      <c r="D78" s="239"/>
      <c r="E78" s="240"/>
    </row>
    <row r="79" spans="1:5" s="5" customFormat="1" ht="18.75" customHeight="1" x14ac:dyDescent="0.15">
      <c r="A79" s="14"/>
      <c r="B79" s="238"/>
      <c r="C79" s="239"/>
      <c r="D79" s="239"/>
      <c r="E79" s="240"/>
    </row>
    <row r="80" spans="1:5" s="5" customFormat="1" ht="18.75" customHeight="1" x14ac:dyDescent="0.15">
      <c r="A80" s="14"/>
      <c r="B80" s="238"/>
      <c r="C80" s="239"/>
      <c r="D80" s="239"/>
      <c r="E80" s="240"/>
    </row>
    <row r="81" spans="1:5" s="5" customFormat="1" ht="18.75" customHeight="1" x14ac:dyDescent="0.15">
      <c r="A81" s="14"/>
      <c r="B81" s="238"/>
      <c r="C81" s="239"/>
      <c r="D81" s="239"/>
      <c r="E81" s="240"/>
    </row>
    <row r="82" spans="1:5" s="5" customFormat="1" ht="18.75" customHeight="1" x14ac:dyDescent="0.15">
      <c r="A82" s="14"/>
      <c r="B82" s="238"/>
      <c r="C82" s="239"/>
      <c r="D82" s="239"/>
      <c r="E82" s="240"/>
    </row>
    <row r="83" spans="1:5" s="5" customFormat="1" ht="18.75" customHeight="1" x14ac:dyDescent="0.15">
      <c r="A83" s="14"/>
      <c r="B83" s="238"/>
      <c r="C83" s="239"/>
      <c r="D83" s="239"/>
      <c r="E83" s="240"/>
    </row>
    <row r="84" spans="1:5" s="5" customFormat="1" ht="18.75" customHeight="1" x14ac:dyDescent="0.15">
      <c r="A84" s="14"/>
      <c r="B84" s="238"/>
      <c r="C84" s="239"/>
      <c r="D84" s="239"/>
      <c r="E84" s="240"/>
    </row>
    <row r="85" spans="1:5" s="5" customFormat="1" ht="18.75" customHeight="1" x14ac:dyDescent="0.15">
      <c r="A85" s="14"/>
      <c r="B85" s="238"/>
      <c r="C85" s="239"/>
      <c r="D85" s="239"/>
      <c r="E85" s="240"/>
    </row>
    <row r="86" spans="1:5" s="5" customFormat="1" ht="18.75" customHeight="1" x14ac:dyDescent="0.15">
      <c r="A86" s="14"/>
      <c r="B86" s="238"/>
      <c r="C86" s="239"/>
      <c r="D86" s="239"/>
      <c r="E86" s="240"/>
    </row>
    <row r="87" spans="1:5" s="5" customFormat="1" ht="18.75" customHeight="1" x14ac:dyDescent="0.15">
      <c r="A87" s="14"/>
      <c r="B87" s="238"/>
      <c r="C87" s="239"/>
      <c r="D87" s="239"/>
      <c r="E87" s="240"/>
    </row>
    <row r="88" spans="1:5" ht="18.75" customHeight="1" x14ac:dyDescent="0.15">
      <c r="A88" s="8"/>
      <c r="B88" s="238"/>
      <c r="C88" s="239"/>
      <c r="D88" s="239"/>
      <c r="E88" s="240"/>
    </row>
    <row r="89" spans="1:5" ht="18.75" customHeight="1" x14ac:dyDescent="0.15">
      <c r="A89" s="8"/>
      <c r="B89" s="241"/>
      <c r="C89" s="242"/>
      <c r="D89" s="242"/>
      <c r="E89" s="243"/>
    </row>
    <row r="90" spans="1:5" ht="7.5" customHeight="1" x14ac:dyDescent="0.15">
      <c r="A90" s="8"/>
      <c r="B90" s="8"/>
      <c r="C90" s="8"/>
      <c r="D90" s="8"/>
      <c r="E90" s="8"/>
    </row>
    <row r="91" spans="1:5" s="5" customFormat="1" ht="18.75" customHeight="1" x14ac:dyDescent="0.15">
      <c r="A91" s="14" t="s">
        <v>20</v>
      </c>
      <c r="B91" s="14" t="s">
        <v>149</v>
      </c>
      <c r="C91" s="14"/>
      <c r="D91" s="14"/>
      <c r="E91" s="14"/>
    </row>
    <row r="92" spans="1:5" s="5" customFormat="1" ht="18.75" customHeight="1" x14ac:dyDescent="0.15">
      <c r="A92" s="14"/>
      <c r="B92" s="235" t="s">
        <v>150</v>
      </c>
      <c r="C92" s="236"/>
      <c r="D92" s="236"/>
      <c r="E92" s="237"/>
    </row>
    <row r="93" spans="1:5" s="5" customFormat="1" ht="18.75" customHeight="1" x14ac:dyDescent="0.15">
      <c r="A93" s="14"/>
      <c r="B93" s="238"/>
      <c r="C93" s="239"/>
      <c r="D93" s="239"/>
      <c r="E93" s="240"/>
    </row>
    <row r="94" spans="1:5" s="5" customFormat="1" ht="18.75" customHeight="1" x14ac:dyDescent="0.15">
      <c r="A94" s="14"/>
      <c r="B94" s="238"/>
      <c r="C94" s="239"/>
      <c r="D94" s="239"/>
      <c r="E94" s="240"/>
    </row>
    <row r="95" spans="1:5" s="5" customFormat="1" ht="18.75" customHeight="1" x14ac:dyDescent="0.15">
      <c r="A95" s="14"/>
      <c r="B95" s="238"/>
      <c r="C95" s="239"/>
      <c r="D95" s="239"/>
      <c r="E95" s="240"/>
    </row>
    <row r="96" spans="1:5" s="5" customFormat="1" ht="18.75" customHeight="1" x14ac:dyDescent="0.15">
      <c r="A96" s="14"/>
      <c r="B96" s="238"/>
      <c r="C96" s="239"/>
      <c r="D96" s="239"/>
      <c r="E96" s="240"/>
    </row>
    <row r="97" spans="1:5" s="5" customFormat="1" ht="18.75" customHeight="1" x14ac:dyDescent="0.15">
      <c r="A97" s="14"/>
      <c r="B97" s="238"/>
      <c r="C97" s="239"/>
      <c r="D97" s="239"/>
      <c r="E97" s="240"/>
    </row>
    <row r="98" spans="1:5" s="5" customFormat="1" ht="18.75" customHeight="1" x14ac:dyDescent="0.15">
      <c r="A98" s="14"/>
      <c r="B98" s="238"/>
      <c r="C98" s="239"/>
      <c r="D98" s="239"/>
      <c r="E98" s="240"/>
    </row>
    <row r="99" spans="1:5" s="5" customFormat="1" ht="18.75" customHeight="1" x14ac:dyDescent="0.15">
      <c r="A99" s="14"/>
      <c r="B99" s="238"/>
      <c r="C99" s="239"/>
      <c r="D99" s="239"/>
      <c r="E99" s="240"/>
    </row>
    <row r="100" spans="1:5" s="5" customFormat="1" ht="18.75" customHeight="1" x14ac:dyDescent="0.15">
      <c r="A100" s="14"/>
      <c r="B100" s="238"/>
      <c r="C100" s="239"/>
      <c r="D100" s="239"/>
      <c r="E100" s="240"/>
    </row>
    <row r="101" spans="1:5" s="5" customFormat="1" ht="18.75" customHeight="1" x14ac:dyDescent="0.15">
      <c r="A101" s="14"/>
      <c r="B101" s="238"/>
      <c r="C101" s="239"/>
      <c r="D101" s="239"/>
      <c r="E101" s="240"/>
    </row>
    <row r="102" spans="1:5" s="5" customFormat="1" ht="18.75" customHeight="1" x14ac:dyDescent="0.15">
      <c r="A102" s="14"/>
      <c r="B102" s="238"/>
      <c r="C102" s="239"/>
      <c r="D102" s="239"/>
      <c r="E102" s="240"/>
    </row>
    <row r="103" spans="1:5" s="5" customFormat="1" ht="18.75" customHeight="1" x14ac:dyDescent="0.15">
      <c r="A103" s="14"/>
      <c r="B103" s="238"/>
      <c r="C103" s="239"/>
      <c r="D103" s="239"/>
      <c r="E103" s="240"/>
    </row>
    <row r="104" spans="1:5" s="5" customFormat="1" ht="18.75" customHeight="1" x14ac:dyDescent="0.15">
      <c r="A104" s="14"/>
      <c r="B104" s="238"/>
      <c r="C104" s="239"/>
      <c r="D104" s="239"/>
      <c r="E104" s="240"/>
    </row>
    <row r="105" spans="1:5" s="5" customFormat="1" ht="18.75" customHeight="1" x14ac:dyDescent="0.15">
      <c r="A105" s="14"/>
      <c r="B105" s="238"/>
      <c r="C105" s="239"/>
      <c r="D105" s="239"/>
      <c r="E105" s="240"/>
    </row>
    <row r="106" spans="1:5" s="5" customFormat="1" ht="18.75" customHeight="1" x14ac:dyDescent="0.15">
      <c r="A106" s="14"/>
      <c r="B106" s="238"/>
      <c r="C106" s="239"/>
      <c r="D106" s="239"/>
      <c r="E106" s="240"/>
    </row>
    <row r="107" spans="1:5" s="5" customFormat="1" ht="18.75" customHeight="1" x14ac:dyDescent="0.15">
      <c r="A107" s="14"/>
      <c r="B107" s="238"/>
      <c r="C107" s="239"/>
      <c r="D107" s="239"/>
      <c r="E107" s="240"/>
    </row>
    <row r="108" spans="1:5" s="5" customFormat="1" ht="18.75" customHeight="1" x14ac:dyDescent="0.15">
      <c r="A108" s="14"/>
      <c r="B108" s="238"/>
      <c r="C108" s="239"/>
      <c r="D108" s="239"/>
      <c r="E108" s="240"/>
    </row>
    <row r="109" spans="1:5" s="5" customFormat="1" ht="18.75" customHeight="1" x14ac:dyDescent="0.15">
      <c r="A109" s="14"/>
      <c r="B109" s="238"/>
      <c r="C109" s="239"/>
      <c r="D109" s="239"/>
      <c r="E109" s="240"/>
    </row>
    <row r="110" spans="1:5" ht="18.75" customHeight="1" x14ac:dyDescent="0.15">
      <c r="A110" s="8"/>
      <c r="B110" s="238"/>
      <c r="C110" s="239"/>
      <c r="D110" s="239"/>
      <c r="E110" s="240"/>
    </row>
    <row r="111" spans="1:5" ht="18.75" customHeight="1" x14ac:dyDescent="0.15">
      <c r="A111" s="8"/>
      <c r="B111" s="241"/>
      <c r="C111" s="242"/>
      <c r="D111" s="242"/>
      <c r="E111" s="243"/>
    </row>
    <row r="112" spans="1:5" ht="7.5" customHeight="1" x14ac:dyDescent="0.15">
      <c r="A112" s="8"/>
      <c r="B112" s="8"/>
      <c r="C112" s="8"/>
      <c r="D112" s="8"/>
      <c r="E112" s="8"/>
    </row>
    <row r="113" spans="1:5" s="5" customFormat="1" ht="18.75" customHeight="1" x14ac:dyDescent="0.15">
      <c r="A113" s="14" t="s">
        <v>25</v>
      </c>
      <c r="B113" s="244" t="s">
        <v>151</v>
      </c>
      <c r="C113" s="244"/>
      <c r="D113" s="244"/>
      <c r="E113" s="244"/>
    </row>
    <row r="114" spans="1:5" ht="18.75" customHeight="1" x14ac:dyDescent="0.15">
      <c r="A114" s="8"/>
      <c r="B114" s="235" t="s">
        <v>152</v>
      </c>
      <c r="C114" s="236"/>
      <c r="D114" s="236"/>
      <c r="E114" s="237"/>
    </row>
    <row r="115" spans="1:5" ht="18.75" customHeight="1" x14ac:dyDescent="0.15">
      <c r="A115" s="8"/>
      <c r="B115" s="238"/>
      <c r="C115" s="239"/>
      <c r="D115" s="239"/>
      <c r="E115" s="240"/>
    </row>
    <row r="116" spans="1:5" ht="18.75" customHeight="1" x14ac:dyDescent="0.15">
      <c r="A116" s="8"/>
      <c r="B116" s="238"/>
      <c r="C116" s="239"/>
      <c r="D116" s="239"/>
      <c r="E116" s="240"/>
    </row>
    <row r="117" spans="1:5" ht="18.75" customHeight="1" x14ac:dyDescent="0.15">
      <c r="A117" s="8"/>
      <c r="B117" s="238"/>
      <c r="C117" s="239"/>
      <c r="D117" s="239"/>
      <c r="E117" s="240"/>
    </row>
    <row r="118" spans="1:5" ht="18.75" customHeight="1" x14ac:dyDescent="0.15">
      <c r="A118" s="8"/>
      <c r="B118" s="238"/>
      <c r="C118" s="239"/>
      <c r="D118" s="239"/>
      <c r="E118" s="240"/>
    </row>
    <row r="119" spans="1:5" ht="18.75" customHeight="1" x14ac:dyDescent="0.15">
      <c r="A119" s="8"/>
      <c r="B119" s="238"/>
      <c r="C119" s="239"/>
      <c r="D119" s="239"/>
      <c r="E119" s="240"/>
    </row>
    <row r="120" spans="1:5" ht="18.75" customHeight="1" x14ac:dyDescent="0.15">
      <c r="A120" s="8"/>
      <c r="B120" s="238"/>
      <c r="C120" s="239"/>
      <c r="D120" s="239"/>
      <c r="E120" s="240"/>
    </row>
    <row r="121" spans="1:5" ht="18.75" customHeight="1" x14ac:dyDescent="0.15">
      <c r="A121" s="8"/>
      <c r="B121" s="238"/>
      <c r="C121" s="239"/>
      <c r="D121" s="239"/>
      <c r="E121" s="240"/>
    </row>
    <row r="122" spans="1:5" ht="18.75" customHeight="1" x14ac:dyDescent="0.15">
      <c r="A122" s="8"/>
      <c r="B122" s="238"/>
      <c r="C122" s="239"/>
      <c r="D122" s="239"/>
      <c r="E122" s="240"/>
    </row>
    <row r="123" spans="1:5" ht="18.75" customHeight="1" x14ac:dyDescent="0.15">
      <c r="A123" s="8"/>
      <c r="B123" s="238"/>
      <c r="C123" s="239"/>
      <c r="D123" s="239"/>
      <c r="E123" s="240"/>
    </row>
    <row r="124" spans="1:5" ht="18.75" customHeight="1" x14ac:dyDescent="0.15">
      <c r="A124" s="8"/>
      <c r="B124" s="238"/>
      <c r="C124" s="239"/>
      <c r="D124" s="239"/>
      <c r="E124" s="240"/>
    </row>
    <row r="125" spans="1:5" ht="18.75" customHeight="1" x14ac:dyDescent="0.15">
      <c r="A125" s="8"/>
      <c r="B125" s="238"/>
      <c r="C125" s="239"/>
      <c r="D125" s="239"/>
      <c r="E125" s="240"/>
    </row>
    <row r="126" spans="1:5" ht="18.75" customHeight="1" x14ac:dyDescent="0.15">
      <c r="A126" s="8"/>
      <c r="B126" s="238"/>
      <c r="C126" s="239"/>
      <c r="D126" s="239"/>
      <c r="E126" s="240"/>
    </row>
    <row r="127" spans="1:5" ht="18.75" customHeight="1" x14ac:dyDescent="0.15">
      <c r="A127" s="8"/>
      <c r="B127" s="238"/>
      <c r="C127" s="239"/>
      <c r="D127" s="239"/>
      <c r="E127" s="240"/>
    </row>
    <row r="128" spans="1:5" ht="18.75" customHeight="1" x14ac:dyDescent="0.15">
      <c r="A128" s="8"/>
      <c r="B128" s="238"/>
      <c r="C128" s="239"/>
      <c r="D128" s="239"/>
      <c r="E128" s="240"/>
    </row>
    <row r="129" spans="1:5" ht="18.75" customHeight="1" x14ac:dyDescent="0.15">
      <c r="A129" s="8"/>
      <c r="B129" s="238"/>
      <c r="C129" s="239"/>
      <c r="D129" s="239"/>
      <c r="E129" s="240"/>
    </row>
    <row r="130" spans="1:5" ht="18.75" customHeight="1" x14ac:dyDescent="0.15">
      <c r="A130" s="8"/>
      <c r="B130" s="238"/>
      <c r="C130" s="239"/>
      <c r="D130" s="239"/>
      <c r="E130" s="240"/>
    </row>
    <row r="131" spans="1:5" ht="18.75" customHeight="1" x14ac:dyDescent="0.15">
      <c r="A131" s="8"/>
      <c r="B131" s="238"/>
      <c r="C131" s="239"/>
      <c r="D131" s="239"/>
      <c r="E131" s="240"/>
    </row>
    <row r="132" spans="1:5" ht="18.75" customHeight="1" x14ac:dyDescent="0.15">
      <c r="A132" s="8"/>
      <c r="B132" s="238"/>
      <c r="C132" s="239"/>
      <c r="D132" s="239"/>
      <c r="E132" s="240"/>
    </row>
    <row r="133" spans="1:5" ht="18.75" customHeight="1" x14ac:dyDescent="0.15">
      <c r="A133" s="8"/>
      <c r="B133" s="241"/>
      <c r="C133" s="242"/>
      <c r="D133" s="242"/>
      <c r="E133" s="243"/>
    </row>
    <row r="134" spans="1:5" ht="7.5" customHeight="1" x14ac:dyDescent="0.15">
      <c r="A134" s="8"/>
      <c r="B134" s="12"/>
      <c r="C134" s="12"/>
      <c r="D134" s="12"/>
      <c r="E134" s="12"/>
    </row>
    <row r="135" spans="1:5" ht="18.75" customHeight="1" x14ac:dyDescent="0.15">
      <c r="A135" s="8"/>
      <c r="B135" s="8"/>
      <c r="C135" s="8"/>
      <c r="D135" s="8"/>
      <c r="E135" s="8"/>
    </row>
    <row r="136" spans="1:5" ht="18.75" customHeight="1" x14ac:dyDescent="0.15">
      <c r="A136" s="8"/>
      <c r="B136" s="8"/>
      <c r="C136" s="8"/>
      <c r="D136" s="8"/>
      <c r="E136" s="8"/>
    </row>
    <row r="137" spans="1:5" ht="18.75" customHeight="1" x14ac:dyDescent="0.15">
      <c r="A137" s="8"/>
      <c r="B137" s="8"/>
      <c r="C137" s="8"/>
      <c r="D137" s="8"/>
      <c r="E137" s="8"/>
    </row>
    <row r="138" spans="1:5" ht="18.75" customHeight="1" x14ac:dyDescent="0.15">
      <c r="A138" s="8"/>
      <c r="B138" s="8"/>
      <c r="C138" s="8"/>
      <c r="D138" s="8"/>
      <c r="E138" s="8"/>
    </row>
    <row r="139" spans="1:5" ht="18.75" customHeight="1" x14ac:dyDescent="0.15">
      <c r="A139" s="8"/>
      <c r="B139" s="8"/>
      <c r="C139" s="8"/>
      <c r="D139" s="8"/>
      <c r="E139" s="8"/>
    </row>
    <row r="140" spans="1:5" ht="18.75" customHeight="1" x14ac:dyDescent="0.15">
      <c r="A140" s="8"/>
      <c r="B140" s="8"/>
      <c r="C140" s="8"/>
      <c r="D140" s="8"/>
      <c r="E140" s="8"/>
    </row>
    <row r="141" spans="1:5" ht="18.75" customHeight="1" x14ac:dyDescent="0.15">
      <c r="A141" s="8"/>
      <c r="B141" s="8"/>
      <c r="C141" s="8"/>
      <c r="D141" s="8"/>
      <c r="E141" s="8"/>
    </row>
    <row r="142" spans="1:5" ht="18.75" customHeight="1" x14ac:dyDescent="0.15">
      <c r="A142" s="8"/>
      <c r="B142" s="8"/>
      <c r="C142" s="8"/>
      <c r="D142" s="8"/>
      <c r="E142" s="8"/>
    </row>
    <row r="143" spans="1:5" ht="18.75" customHeight="1" x14ac:dyDescent="0.15">
      <c r="A143" s="8"/>
      <c r="B143" s="8"/>
      <c r="C143" s="8"/>
      <c r="D143" s="8"/>
      <c r="E143" s="8"/>
    </row>
    <row r="144" spans="1:5" ht="18.75" customHeight="1" x14ac:dyDescent="0.15">
      <c r="A144" s="8"/>
      <c r="B144" s="8"/>
      <c r="C144" s="8"/>
      <c r="D144" s="8"/>
      <c r="E144" s="8"/>
    </row>
    <row r="145" spans="1:5" ht="18.75" customHeight="1" x14ac:dyDescent="0.15">
      <c r="A145" s="8"/>
      <c r="B145" s="8"/>
      <c r="C145" s="8"/>
      <c r="D145" s="8"/>
      <c r="E145" s="8"/>
    </row>
    <row r="146" spans="1:5" ht="18.75" customHeight="1" x14ac:dyDescent="0.15">
      <c r="A146" s="8"/>
      <c r="B146" s="8"/>
      <c r="C146" s="8"/>
      <c r="D146" s="8"/>
      <c r="E146" s="8"/>
    </row>
    <row r="147" spans="1:5" ht="14.25" x14ac:dyDescent="0.15">
      <c r="A147" s="8"/>
      <c r="B147" s="8"/>
      <c r="C147" s="8"/>
      <c r="D147" s="8"/>
      <c r="E147" s="8"/>
    </row>
    <row r="148" spans="1:5" ht="7.5" customHeight="1" x14ac:dyDescent="0.15">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topLeftCell="A15" zoomScale="80" zoomScaleNormal="80" workbookViewId="0">
      <selection activeCell="P15" sqref="P15"/>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J1" s="106" t="s">
        <v>153</v>
      </c>
    </row>
    <row r="2" spans="1:10" ht="18.75" customHeight="1" x14ac:dyDescent="0.15">
      <c r="D2" s="106"/>
      <c r="H2" s="106" t="s">
        <v>154</v>
      </c>
      <c r="I2" s="245" t="s">
        <v>4</v>
      </c>
      <c r="J2" s="245"/>
    </row>
    <row r="3" spans="1:10" ht="18.75" customHeight="1" x14ac:dyDescent="0.15">
      <c r="A3" s="177" t="s">
        <v>155</v>
      </c>
      <c r="B3" s="177"/>
      <c r="C3" s="177"/>
      <c r="D3" s="177"/>
      <c r="E3" s="177"/>
      <c r="F3" s="177"/>
      <c r="G3" s="177"/>
      <c r="H3" s="177"/>
      <c r="I3" s="177"/>
      <c r="J3" s="177"/>
    </row>
    <row r="4" spans="1:10" ht="7.5" customHeight="1" x14ac:dyDescent="0.15">
      <c r="B4" s="111"/>
      <c r="C4" s="111"/>
      <c r="D4" s="273"/>
      <c r="E4" s="274"/>
      <c r="F4" s="274"/>
      <c r="G4" s="274"/>
      <c r="H4" s="274"/>
      <c r="I4" s="274"/>
      <c r="J4" s="274"/>
    </row>
    <row r="5" spans="1:10" ht="18.75" customHeight="1" x14ac:dyDescent="0.15">
      <c r="A5" s="1" t="s">
        <v>2</v>
      </c>
      <c r="B5" s="5" t="s">
        <v>156</v>
      </c>
      <c r="C5" s="111"/>
      <c r="D5" s="111"/>
      <c r="E5" s="112"/>
      <c r="F5" s="112"/>
      <c r="G5" s="112"/>
      <c r="H5" s="112"/>
      <c r="I5" s="112"/>
      <c r="J5" s="112"/>
    </row>
    <row r="6" spans="1:10" ht="18.75" customHeight="1" x14ac:dyDescent="0.15">
      <c r="B6" s="197" t="s">
        <v>157</v>
      </c>
      <c r="C6" s="198"/>
      <c r="D6" s="199"/>
      <c r="E6" s="275" t="s">
        <v>158</v>
      </c>
      <c r="F6" s="275"/>
      <c r="G6" s="275"/>
      <c r="H6" s="275"/>
      <c r="I6" s="275"/>
      <c r="J6" s="276"/>
    </row>
    <row r="7" spans="1:10" ht="18.75" customHeight="1" x14ac:dyDescent="0.15">
      <c r="B7" s="6" t="s">
        <v>159</v>
      </c>
      <c r="C7" s="8"/>
      <c r="D7" s="18"/>
      <c r="E7" s="3"/>
      <c r="F7" s="3"/>
      <c r="G7" s="3"/>
      <c r="H7" s="3"/>
      <c r="I7" s="15"/>
      <c r="J7" s="16"/>
    </row>
    <row r="8" spans="1:10" ht="202.5" customHeight="1" x14ac:dyDescent="0.15">
      <c r="B8" s="17"/>
      <c r="C8" s="268" t="s">
        <v>160</v>
      </c>
      <c r="D8" s="269"/>
      <c r="E8" s="270" t="s">
        <v>161</v>
      </c>
      <c r="F8" s="271"/>
      <c r="G8" s="271"/>
      <c r="H8" s="271"/>
      <c r="I8" s="271"/>
      <c r="J8" s="272"/>
    </row>
    <row r="9" spans="1:10" ht="202.5" customHeight="1" x14ac:dyDescent="0.15">
      <c r="B9" s="17"/>
      <c r="C9" s="280" t="s">
        <v>162</v>
      </c>
      <c r="D9" s="281"/>
      <c r="E9" s="270" t="s">
        <v>163</v>
      </c>
      <c r="F9" s="271"/>
      <c r="G9" s="271"/>
      <c r="H9" s="271"/>
      <c r="I9" s="271"/>
      <c r="J9" s="272"/>
    </row>
    <row r="10" spans="1:10" ht="172.5" customHeight="1" x14ac:dyDescent="0.15">
      <c r="B10" s="17"/>
      <c r="C10" s="268" t="s">
        <v>164</v>
      </c>
      <c r="D10" s="269"/>
      <c r="E10" s="270" t="s">
        <v>165</v>
      </c>
      <c r="F10" s="271"/>
      <c r="G10" s="271"/>
      <c r="H10" s="271"/>
      <c r="I10" s="271"/>
      <c r="J10" s="272"/>
    </row>
    <row r="11" spans="1:10" ht="172.5" customHeight="1" x14ac:dyDescent="0.15">
      <c r="B11" s="17"/>
      <c r="C11" s="268" t="s">
        <v>166</v>
      </c>
      <c r="D11" s="269"/>
      <c r="E11" s="270" t="s">
        <v>167</v>
      </c>
      <c r="F11" s="271"/>
      <c r="G11" s="271"/>
      <c r="H11" s="271"/>
      <c r="I11" s="271"/>
      <c r="J11" s="272"/>
    </row>
    <row r="12" spans="1:10" ht="172.5" customHeight="1" x14ac:dyDescent="0.15">
      <c r="B12" s="17"/>
      <c r="C12" s="268" t="s">
        <v>168</v>
      </c>
      <c r="D12" s="269"/>
      <c r="E12" s="270" t="s">
        <v>169</v>
      </c>
      <c r="F12" s="271"/>
      <c r="G12" s="271"/>
      <c r="H12" s="271"/>
      <c r="I12" s="271"/>
      <c r="J12" s="272"/>
    </row>
    <row r="13" spans="1:10" ht="18.75" customHeight="1" x14ac:dyDescent="0.15">
      <c r="B13" s="20" t="s">
        <v>170</v>
      </c>
      <c r="C13" s="41"/>
      <c r="D13" s="19"/>
      <c r="E13" s="96"/>
      <c r="F13" s="96"/>
      <c r="G13" s="96"/>
      <c r="H13" s="96"/>
      <c r="I13" s="96"/>
      <c r="J13" s="97"/>
    </row>
    <row r="14" spans="1:10" ht="255" customHeight="1" x14ac:dyDescent="0.15">
      <c r="B14" s="17"/>
      <c r="C14" s="268" t="s">
        <v>171</v>
      </c>
      <c r="D14" s="269"/>
      <c r="E14" s="271" t="s">
        <v>172</v>
      </c>
      <c r="F14" s="271"/>
      <c r="G14" s="271"/>
      <c r="H14" s="271"/>
      <c r="I14" s="271"/>
      <c r="J14" s="272"/>
    </row>
    <row r="15" spans="1:10" ht="255" customHeight="1" x14ac:dyDescent="0.15">
      <c r="B15" s="17"/>
      <c r="C15" s="282" t="s">
        <v>173</v>
      </c>
      <c r="D15" s="283"/>
      <c r="E15" s="284" t="s">
        <v>174</v>
      </c>
      <c r="F15" s="284"/>
      <c r="G15" s="284"/>
      <c r="H15" s="284"/>
      <c r="I15" s="284"/>
      <c r="J15" s="285"/>
    </row>
    <row r="16" spans="1:10" ht="232.5" customHeight="1" x14ac:dyDescent="0.15">
      <c r="B16" s="286" t="s">
        <v>175</v>
      </c>
      <c r="C16" s="287"/>
      <c r="D16" s="269"/>
      <c r="E16" s="271" t="s">
        <v>176</v>
      </c>
      <c r="F16" s="271"/>
      <c r="G16" s="271"/>
      <c r="H16" s="271"/>
      <c r="I16" s="271"/>
      <c r="J16" s="272"/>
    </row>
    <row r="17" spans="1:10" ht="232.5" customHeight="1" x14ac:dyDescent="0.15">
      <c r="A17" s="48"/>
      <c r="B17" s="277" t="s">
        <v>177</v>
      </c>
      <c r="C17" s="278"/>
      <c r="D17" s="279"/>
      <c r="E17" s="263" t="s">
        <v>178</v>
      </c>
      <c r="F17" s="263"/>
      <c r="G17" s="263"/>
      <c r="H17" s="263"/>
      <c r="I17" s="263"/>
      <c r="J17" s="264"/>
    </row>
    <row r="18" spans="1:10" ht="7.5" customHeight="1" x14ac:dyDescent="0.15">
      <c r="B18" s="111"/>
      <c r="C18" s="111"/>
      <c r="D18" s="111"/>
      <c r="E18" s="112"/>
      <c r="F18" s="112"/>
      <c r="G18" s="112"/>
      <c r="H18" s="112"/>
      <c r="I18" s="112"/>
      <c r="J18" s="112"/>
    </row>
    <row r="19" spans="1:10" ht="18.75" customHeight="1" x14ac:dyDescent="0.15">
      <c r="B19" s="5"/>
      <c r="C19" s="111"/>
      <c r="D19" s="111"/>
      <c r="E19" s="112"/>
      <c r="F19" s="43"/>
      <c r="G19" s="43"/>
      <c r="H19" s="55" t="s">
        <v>179</v>
      </c>
      <c r="I19" s="50"/>
      <c r="J19" s="51"/>
    </row>
    <row r="20" spans="1:10" ht="18.75" customHeight="1" x14ac:dyDescent="0.15">
      <c r="A20" s="3" t="s">
        <v>5</v>
      </c>
      <c r="B20" s="52" t="s">
        <v>180</v>
      </c>
      <c r="C20" s="53"/>
      <c r="D20" s="53"/>
      <c r="E20" s="54"/>
      <c r="F20" s="49" t="s">
        <v>181</v>
      </c>
      <c r="G20" s="43"/>
      <c r="H20" s="265" t="s">
        <v>131</v>
      </c>
      <c r="I20" s="266"/>
      <c r="J20" s="267"/>
    </row>
    <row r="21" spans="1:10" ht="22.5" customHeight="1" x14ac:dyDescent="0.15">
      <c r="B21" s="111"/>
      <c r="C21" s="111"/>
      <c r="D21" s="111"/>
      <c r="E21" s="112"/>
      <c r="F21" s="112"/>
      <c r="G21" s="112"/>
      <c r="H21" s="112"/>
      <c r="I21" s="112"/>
      <c r="J21" s="112"/>
    </row>
    <row r="22" spans="1:10" ht="22.5" customHeight="1" x14ac:dyDescent="0.15">
      <c r="B22" s="111"/>
      <c r="C22" s="111"/>
      <c r="D22" s="111"/>
      <c r="E22" s="112"/>
      <c r="F22" s="112"/>
      <c r="G22" s="112"/>
      <c r="H22" s="112"/>
      <c r="I22" s="112"/>
      <c r="J22" s="112"/>
    </row>
    <row r="23" spans="1:10" ht="22.5" customHeight="1" x14ac:dyDescent="0.15">
      <c r="B23" s="111"/>
      <c r="C23" s="111"/>
      <c r="D23" s="111"/>
      <c r="E23" s="112"/>
      <c r="F23" s="112"/>
      <c r="G23" s="112"/>
      <c r="H23" s="112"/>
      <c r="I23" s="112"/>
      <c r="J23" s="112"/>
    </row>
    <row r="24" spans="1:10" ht="22.5" customHeight="1" x14ac:dyDescent="0.15">
      <c r="B24" s="111"/>
      <c r="C24" s="111"/>
      <c r="D24" s="111"/>
      <c r="E24" s="112"/>
      <c r="F24" s="112"/>
      <c r="G24" s="112"/>
      <c r="H24" s="112"/>
      <c r="I24" s="112"/>
      <c r="J24" s="112"/>
    </row>
    <row r="25" spans="1:10" ht="22.5" customHeight="1" x14ac:dyDescent="0.15">
      <c r="B25" s="111"/>
      <c r="C25" s="111"/>
      <c r="D25" s="111"/>
      <c r="E25" s="112"/>
      <c r="F25" s="112"/>
      <c r="G25" s="112"/>
      <c r="H25" s="112"/>
      <c r="I25" s="112"/>
      <c r="J25" s="112"/>
    </row>
    <row r="26" spans="1:10" ht="22.5" customHeight="1" x14ac:dyDescent="0.15">
      <c r="B26" s="13"/>
      <c r="C26" s="13"/>
      <c r="D26" s="13"/>
      <c r="E26" s="13"/>
      <c r="F26" s="13"/>
      <c r="G26" s="13"/>
      <c r="H26" s="13"/>
      <c r="I26" s="13"/>
      <c r="J26" s="13"/>
    </row>
    <row r="27" spans="1:10" ht="22.5" customHeight="1" x14ac:dyDescent="0.15">
      <c r="B27" s="13"/>
      <c r="C27" s="13"/>
      <c r="D27" s="13"/>
      <c r="E27" s="13"/>
      <c r="F27" s="13"/>
      <c r="G27" s="13"/>
      <c r="H27" s="13"/>
      <c r="I27" s="13"/>
      <c r="J27" s="13"/>
    </row>
    <row r="28" spans="1:10" ht="22.5" customHeight="1" x14ac:dyDescent="0.15">
      <c r="B28" s="13"/>
      <c r="C28" s="13"/>
      <c r="D28" s="13"/>
      <c r="E28" s="13"/>
      <c r="F28" s="13"/>
      <c r="G28" s="13"/>
      <c r="H28" s="13"/>
      <c r="I28" s="13"/>
      <c r="J28" s="13"/>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C507C355-B77E-46F2-9B4E-5E24A737B28A}"/>
  </hyperlinks>
  <printOptions horizontalCentered="1"/>
  <pageMargins left="0.78740157480314965" right="0.78740157480314965" top="0.78740157480314965" bottom="0.78740157480314965" header="0.31496062992125984" footer="0.31496062992125984"/>
  <pageSetup paperSize="9" orientation="landscape"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様式１　大学等概要</vt:lpstr>
      <vt:lpstr>様式２－１　プログラムを構成する授業科目</vt:lpstr>
      <vt:lpstr>様式３　履修者等数の実績</vt:lpstr>
      <vt:lpstr>様式4－１　プログラムの授業内容・概要</vt:lpstr>
      <vt:lpstr>様式５　教育の質・履修者数を向上させるための体制・計画</vt:lpstr>
      <vt:lpstr>様式６　自己点検・評価</vt:lpstr>
      <vt:lpstr>'様式１　大学等概要'!Print_Area</vt:lpstr>
      <vt:lpstr>'様式２－１　プログラムを構成する授業科目'!Print_Area</vt:lpstr>
      <vt:lpstr>'様式３　履修者等数の実績'!Print_Area</vt:lpstr>
      <vt:lpstr>'様式５　教育の質・履修者数を向上させるための体制・計画'!Print_Area</vt:lpstr>
      <vt:lpstr>'様式６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2021-05-14T05:31:53Z</dcterms:created>
  <dcterms:modified xsi:type="dcterms:W3CDTF">2021-07-20T07:01:22Z</dcterms:modified>
  <cp:category/>
  <cp:contentStatus/>
</cp:coreProperties>
</file>