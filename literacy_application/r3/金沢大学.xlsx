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M:\学生部\学務課\教務情報係\06_担当会議\02_データサイエンス（定例・令和3年まで）\令和3年度取組フォルダ\20210514_プログラム申請\03_文科省からの指摘\20210716指摘\01_提出準備\"/>
    </mc:Choice>
  </mc:AlternateContent>
  <xr:revisionPtr revIDLastSave="0" documentId="11_4698E307BA10F8319678591E919B7D8A9B89E40E" xr6:coauthVersionLast="47" xr6:coauthVersionMax="47" xr10:uidLastSave="{00000000-0000-0000-0000-000000000000}"/>
  <bookViews>
    <workbookView xWindow="0" yWindow="0" windowWidth="16425" windowHeight="5295" tabRatio="885" xr2:uid="{00000000-000D-0000-FFFF-FFFF00000000}"/>
  </bookViews>
  <sheets>
    <sheet name="様式１　大学等概要" sheetId="8" r:id="rId1"/>
    <sheet name="様式２－１　プログラムを構成する授業科目" sheetId="9" r:id="rId2"/>
    <sheet name="様式２－２　プログラムを構成する授業科目" sheetId="37" r:id="rId3"/>
    <sheet name="様式３　履修者等数の実績" sheetId="31" r:id="rId4"/>
    <sheet name="様式4－１　プログラムの授業内容・概要" sheetId="38" r:id="rId5"/>
    <sheet name="様式4－２　プログラムの授業内容・概要" sheetId="34"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2" i="8" l="1"/>
  <c r="Q16" i="31" l="1"/>
  <c r="R16" i="31" s="1"/>
  <c r="P27" i="31" l="1"/>
  <c r="O27" i="31"/>
  <c r="N27" i="31"/>
  <c r="M27" i="31"/>
  <c r="L27" i="31"/>
  <c r="K27" i="31"/>
  <c r="J27" i="31"/>
  <c r="I27" i="31"/>
  <c r="H27" i="31"/>
  <c r="G27" i="31"/>
  <c r="F27" i="31"/>
  <c r="E27" i="31"/>
  <c r="D27" i="31"/>
  <c r="Q26" i="31"/>
  <c r="Q25" i="31"/>
  <c r="R25" i="31" s="1"/>
  <c r="Q24" i="31"/>
  <c r="R24" i="31" s="1"/>
  <c r="Q23" i="31"/>
  <c r="R23" i="31" s="1"/>
  <c r="Q22" i="3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7" i="31" l="1"/>
  <c r="R27" i="31" s="1"/>
  <c r="R8" i="31"/>
</calcChain>
</file>

<file path=xl/sharedStrings.xml><?xml version="1.0" encoding="utf-8"?>
<sst xmlns="http://schemas.openxmlformats.org/spreadsheetml/2006/main" count="559" uniqueCount="299">
  <si>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</si>
  <si>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</si>
  <si>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</si>
  <si>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</si>
  <si>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金沢大学</t>
    <rPh sb="0" eb="2">
      <t>カナザワ</t>
    </rPh>
    <rPh sb="2" eb="4">
      <t>ダイガク</t>
    </rPh>
    <phoneticPr fontId="1"/>
  </si>
  <si>
    <t>②</t>
    <phoneticPr fontId="1"/>
  </si>
  <si>
    <t>大学等の設置者</t>
  </si>
  <si>
    <t>国立大学法人金沢大学</t>
    <rPh sb="0" eb="2">
      <t>コクリツ</t>
    </rPh>
    <rPh sb="2" eb="4">
      <t>ダイガク</t>
    </rPh>
    <rPh sb="4" eb="6">
      <t>ホウジン</t>
    </rPh>
    <rPh sb="6" eb="8">
      <t>カナザワ</t>
    </rPh>
    <rPh sb="8" eb="10">
      <t>ダイガク</t>
    </rPh>
    <phoneticPr fontId="1"/>
  </si>
  <si>
    <t>③</t>
    <phoneticPr fontId="1"/>
  </si>
  <si>
    <t>設置形態</t>
  </si>
  <si>
    <t>国立大学</t>
  </si>
  <si>
    <t>④</t>
    <phoneticPr fontId="1"/>
  </si>
  <si>
    <t>所在地</t>
    <phoneticPr fontId="1"/>
  </si>
  <si>
    <t>石川県金沢市角間町</t>
    <rPh sb="0" eb="3">
      <t>イシカワケン</t>
    </rPh>
    <rPh sb="3" eb="6">
      <t>カナザワシ</t>
    </rPh>
    <rPh sb="6" eb="8">
      <t>カクマ</t>
    </rPh>
    <rPh sb="8" eb="9">
      <t>マチ</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</si>
  <si>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</si>
  <si>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</si>
  <si>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データサイエンス特別プログラム</t>
    <rPh sb="8" eb="10">
      <t>トクベツ</t>
    </rPh>
    <phoneticPr fontId="1"/>
  </si>
  <si>
    <t>⑥</t>
    <phoneticPr fontId="1"/>
  </si>
  <si>
    <t>プログラムの開設年度</t>
    <rPh sb="6" eb="8">
      <t>カイセツ</t>
    </rPh>
    <rPh sb="8" eb="10">
      <t>ネンド</t>
    </rPh>
    <phoneticPr fontId="1"/>
  </si>
  <si>
    <t>令和2年度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</si>
  <si>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</si>
  <si>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</si>
  <si>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</si>
  <si>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</si>
  <si>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</si>
  <si>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</si>
  <si>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</si>
  <si>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</si>
  <si>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</si>
  <si>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</si>
  <si>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</si>
  <si>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</si>
  <si>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</si>
  <si>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</si>
  <si>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</si>
  <si>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</si>
  <si>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</si>
  <si>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</si>
  <si>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</si>
  <si>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</si>
  <si>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</si>
  <si>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</si>
  <si>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山根　智</t>
    <phoneticPr fontId="1"/>
  </si>
  <si>
    <t>（役職名）</t>
    <rPh sb="1" eb="4">
      <t>ヤクショクメイ</t>
    </rPh>
    <phoneticPr fontId="1"/>
  </si>
  <si>
    <t>教授</t>
    <rPh sb="0" eb="2">
      <t>キョウジュ</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</si>
  <si>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</si>
  <si>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</si>
  <si>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金沢大学教務委員会</t>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</si>
  <si>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</si>
  <si>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</si>
  <si>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</si>
  <si>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</si>
  <si>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</si>
  <si>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</si>
  <si>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</si>
  <si>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学務部学務課教務情報係</t>
    <rPh sb="0" eb="2">
      <t>ガクム</t>
    </rPh>
    <rPh sb="2" eb="3">
      <t>ブ</t>
    </rPh>
    <rPh sb="3" eb="6">
      <t>ガクムカ</t>
    </rPh>
    <rPh sb="6" eb="8">
      <t>キョウム</t>
    </rPh>
    <rPh sb="8" eb="10">
      <t>ジョウホウ</t>
    </rPh>
    <rPh sb="10" eb="11">
      <t>カカリ</t>
    </rPh>
    <phoneticPr fontId="1"/>
  </si>
  <si>
    <t>担当者名</t>
    <rPh sb="0" eb="2">
      <t>タントウ</t>
    </rPh>
    <rPh sb="2" eb="3">
      <t>シャ</t>
    </rPh>
    <rPh sb="3" eb="4">
      <t>メイ</t>
    </rPh>
    <phoneticPr fontId="1"/>
  </si>
  <si>
    <t>辻谷友紀</t>
    <rPh sb="0" eb="2">
      <t>ツジヤ</t>
    </rPh>
    <rPh sb="2" eb="4">
      <t>ユキ</t>
    </rPh>
    <phoneticPr fontId="1"/>
  </si>
  <si>
    <t>E-mail</t>
  </si>
  <si>
    <t>kjyoho@adm.kanazawa-u.ac.jp</t>
    <phoneticPr fontId="1"/>
  </si>
  <si>
    <t>電話番号</t>
  </si>
  <si>
    <t>076-264-5159</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</si>
  <si>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</si>
  <si>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</si>
  <si>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</si>
  <si>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</si>
  <si>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</si>
  <si>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</si>
  <si>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t>入学年度によって修了要件は相違する。
【令和2年度以降入学者】
必修科目2単位（下記1及び2）と、選択科目（それ以外）を4単位以上、合計6単位以上を修得することで、ブロンズランクとして修了認定する。
上記に加え、専門科目（16以降）を4単位以上（合計10単位以上）修得することでシルバーランク、6単位以上（合計12単位以上）修得することでゴールドランク、8単位以上（合計14単位以上）修得することでプラチナランクとして修了認定する。</t>
    <rPh sb="0" eb="2">
      <t>ニュウガク</t>
    </rPh>
    <rPh sb="2" eb="4">
      <t>ネンド</t>
    </rPh>
    <rPh sb="8" eb="10">
      <t>シュウリョウ</t>
    </rPh>
    <rPh sb="10" eb="12">
      <t>ヨウケン</t>
    </rPh>
    <rPh sb="13" eb="15">
      <t>ソウイ</t>
    </rPh>
    <rPh sb="20" eb="22">
      <t>レイワ</t>
    </rPh>
    <rPh sb="23" eb="25">
      <t>ネンド</t>
    </rPh>
    <rPh sb="25" eb="27">
      <t>イコウ</t>
    </rPh>
    <rPh sb="27" eb="30">
      <t>ニュウガクシャ</t>
    </rPh>
    <rPh sb="32" eb="34">
      <t>ヒッシュウ</t>
    </rPh>
    <rPh sb="34" eb="36">
      <t>カモク</t>
    </rPh>
    <rPh sb="37" eb="39">
      <t>タンイ</t>
    </rPh>
    <rPh sb="40" eb="42">
      <t>カキ</t>
    </rPh>
    <rPh sb="43" eb="44">
      <t>オヨ</t>
    </rPh>
    <rPh sb="49" eb="51">
      <t>センタク</t>
    </rPh>
    <rPh sb="51" eb="53">
      <t>カモク</t>
    </rPh>
    <rPh sb="56" eb="58">
      <t>イガイ</t>
    </rPh>
    <rPh sb="61" eb="65">
      <t>タンイイジョウ</t>
    </rPh>
    <rPh sb="66" eb="68">
      <t>ゴウケイ</t>
    </rPh>
    <rPh sb="69" eb="73">
      <t>タンイイジョウ</t>
    </rPh>
    <rPh sb="74" eb="76">
      <t>シュウトク</t>
    </rPh>
    <rPh sb="92" eb="94">
      <t>シュウリョウ</t>
    </rPh>
    <rPh sb="94" eb="96">
      <t>ニンテイ</t>
    </rPh>
    <rPh sb="100" eb="102">
      <t>ジョウキ</t>
    </rPh>
    <rPh sb="103" eb="104">
      <t>クワ</t>
    </rPh>
    <rPh sb="106" eb="108">
      <t>センモン</t>
    </rPh>
    <rPh sb="108" eb="110">
      <t>カモク</t>
    </rPh>
    <rPh sb="113" eb="115">
      <t>イコウ</t>
    </rPh>
    <rPh sb="118" eb="122">
      <t>タンイイジョウ</t>
    </rPh>
    <rPh sb="123" eb="125">
      <t>ゴウケイ</t>
    </rPh>
    <rPh sb="127" eb="131">
      <t>タンイイジョウ</t>
    </rPh>
    <rPh sb="132" eb="134">
      <t>シュウトク</t>
    </rPh>
    <rPh sb="148" eb="152">
      <t>タンイイジョウ</t>
    </rPh>
    <rPh sb="153" eb="155">
      <t>ゴウケイ</t>
    </rPh>
    <rPh sb="157" eb="161">
      <t>タンイイジョウ</t>
    </rPh>
    <rPh sb="162" eb="164">
      <t>シュウトク</t>
    </rPh>
    <rPh sb="178" eb="182">
      <t>タンイイジョウ</t>
    </rPh>
    <rPh sb="183" eb="185">
      <t>ゴウケイ</t>
    </rPh>
    <rPh sb="187" eb="191">
      <t>タンイイジョウ</t>
    </rPh>
    <rPh sb="192" eb="194">
      <t>シュウトク</t>
    </rPh>
    <rPh sb="209" eb="211">
      <t>シュウリョウ</t>
    </rPh>
    <rPh sb="211" eb="213">
      <t>ニンテイ</t>
    </rPh>
    <phoneticPr fontId="1"/>
  </si>
  <si>
    <t>授業科目名称</t>
    <rPh sb="0" eb="2">
      <t>ジュギョウ</t>
    </rPh>
    <rPh sb="2" eb="4">
      <t>カモク</t>
    </rPh>
    <rPh sb="4" eb="6">
      <t>メイショウ</t>
    </rPh>
    <phoneticPr fontId="1"/>
  </si>
  <si>
    <t>データサイエンス基礎</t>
    <phoneticPr fontId="1"/>
  </si>
  <si>
    <t>バイオデータベース演習Ｂ</t>
  </si>
  <si>
    <t>情報の科学</t>
    <phoneticPr fontId="1"/>
  </si>
  <si>
    <t>ビジネス・データ分析</t>
  </si>
  <si>
    <t>統計数学A</t>
    <phoneticPr fontId="1"/>
  </si>
  <si>
    <t>統計データ分析の基本（多変量解析）</t>
  </si>
  <si>
    <t>統計数学B</t>
    <phoneticPr fontId="1"/>
  </si>
  <si>
    <t>データで考える日本の未来（データサイエンス）</t>
  </si>
  <si>
    <t>数学的発想法</t>
    <phoneticPr fontId="1"/>
  </si>
  <si>
    <t>統計ソフトRによるビッグデータ分析</t>
  </si>
  <si>
    <t>統計学から未来を見る</t>
    <phoneticPr fontId="1"/>
  </si>
  <si>
    <t>金融リテラシー</t>
  </si>
  <si>
    <t>クラウド時代の「ものグラミング」概論</t>
    <phoneticPr fontId="1"/>
  </si>
  <si>
    <t>白書の講読と議論</t>
  </si>
  <si>
    <t>シェルスクリプトを用いた「ものグラミング」演習</t>
    <phoneticPr fontId="1"/>
  </si>
  <si>
    <t>地域課題解決と政策立案のための統計データ分析</t>
  </si>
  <si>
    <t>シェルスクリプト言語論</t>
  </si>
  <si>
    <t>Pythonデータ分析入門</t>
  </si>
  <si>
    <t>動画配信サービスを用いた情報発信演習A</t>
  </si>
  <si>
    <t>動画配信サービスを用いた情報発信演習B</t>
  </si>
  <si>
    <t>Society5.0概論</t>
  </si>
  <si>
    <t>情報・計算科学基礎</t>
  </si>
  <si>
    <t>確率・統計解析Ａ</t>
  </si>
  <si>
    <t>確率・統計解析Ｂ</t>
  </si>
  <si>
    <t>信頼性工学Ａ</t>
  </si>
  <si>
    <t>信頼性工学Ｂ</t>
  </si>
  <si>
    <t>プログラミング演習</t>
  </si>
  <si>
    <t>確率・統計及び演習</t>
  </si>
  <si>
    <t>確率論基礎</t>
  </si>
  <si>
    <t>実験・調査分析法</t>
  </si>
  <si>
    <t>バイオ統計学演習Ａ</t>
  </si>
  <si>
    <t>バイオ統計学演習Ｂ</t>
    <phoneticPr fontId="1"/>
  </si>
  <si>
    <t>バイオデータベース演習Ａ</t>
    <phoneticPr fontId="1"/>
  </si>
  <si>
    <t>様式２－２</t>
    <rPh sb="0" eb="2">
      <t>ヨウシキ</t>
    </rPh>
    <phoneticPr fontId="1"/>
  </si>
  <si>
    <t>入学年度によって修了要件は相違する。
【令和元年度以前入学者】
必修科目3単位（下記1,2及び6）と、選択科目（それ以外）を3単位以上、合計6単位以上を修得することで、ブロンズランクとして修了認定する。
上記に加え、専門科目（16以降）を4単位以上（合計10単位以上）修得することでシルバーランク、6単位以上（合計12単位以上）修得することでゴールドランク、8単位以上（合計14単位以上）修得することでプラチナランクとして修了認定する。</t>
    <rPh sb="0" eb="2">
      <t>ニュウガク</t>
    </rPh>
    <rPh sb="2" eb="4">
      <t>ネンド</t>
    </rPh>
    <rPh sb="8" eb="10">
      <t>シュウリョウ</t>
    </rPh>
    <rPh sb="10" eb="12">
      <t>ヨウケン</t>
    </rPh>
    <rPh sb="13" eb="15">
      <t>ソウイ</t>
    </rPh>
    <rPh sb="20" eb="22">
      <t>レイワ</t>
    </rPh>
    <rPh sb="22" eb="23">
      <t>モト</t>
    </rPh>
    <rPh sb="23" eb="25">
      <t>ネンド</t>
    </rPh>
    <rPh sb="25" eb="27">
      <t>イゼン</t>
    </rPh>
    <rPh sb="27" eb="30">
      <t>ニュウガクシャ</t>
    </rPh>
    <rPh sb="32" eb="34">
      <t>ヒッシュウ</t>
    </rPh>
    <rPh sb="34" eb="36">
      <t>カモク</t>
    </rPh>
    <rPh sb="37" eb="39">
      <t>タンイ</t>
    </rPh>
    <rPh sb="40" eb="42">
      <t>カキ</t>
    </rPh>
    <rPh sb="45" eb="46">
      <t>オヨ</t>
    </rPh>
    <rPh sb="51" eb="53">
      <t>センタク</t>
    </rPh>
    <rPh sb="53" eb="55">
      <t>カモク</t>
    </rPh>
    <rPh sb="58" eb="60">
      <t>イガイ</t>
    </rPh>
    <rPh sb="63" eb="67">
      <t>タンイイジョウ</t>
    </rPh>
    <rPh sb="68" eb="70">
      <t>ゴウケイ</t>
    </rPh>
    <rPh sb="71" eb="75">
      <t>タンイイジョウ</t>
    </rPh>
    <rPh sb="76" eb="78">
      <t>シュウトク</t>
    </rPh>
    <rPh sb="94" eb="96">
      <t>シュウリョウ</t>
    </rPh>
    <rPh sb="96" eb="98">
      <t>ニンテイ</t>
    </rPh>
    <rPh sb="102" eb="104">
      <t>ジョウキ</t>
    </rPh>
    <rPh sb="105" eb="106">
      <t>クワ</t>
    </rPh>
    <rPh sb="108" eb="110">
      <t>センモン</t>
    </rPh>
    <rPh sb="110" eb="112">
      <t>カモク</t>
    </rPh>
    <rPh sb="115" eb="117">
      <t>イコウ</t>
    </rPh>
    <rPh sb="120" eb="124">
      <t>タンイイジョウ</t>
    </rPh>
    <rPh sb="125" eb="127">
      <t>ゴウケイ</t>
    </rPh>
    <rPh sb="129" eb="133">
      <t>タンイイジョウ</t>
    </rPh>
    <rPh sb="134" eb="136">
      <t>シュウトク</t>
    </rPh>
    <rPh sb="150" eb="154">
      <t>タンイイジョウ</t>
    </rPh>
    <rPh sb="155" eb="157">
      <t>ゴウケイ</t>
    </rPh>
    <rPh sb="159" eb="163">
      <t>タンイイジョウ</t>
    </rPh>
    <rPh sb="164" eb="166">
      <t>シュウトク</t>
    </rPh>
    <rPh sb="180" eb="184">
      <t>タンイイジョウ</t>
    </rPh>
    <rPh sb="185" eb="187">
      <t>ゴウケイ</t>
    </rPh>
    <rPh sb="189" eb="193">
      <t>タンイイジョウ</t>
    </rPh>
    <rPh sb="194" eb="196">
      <t>シュウトク</t>
    </rPh>
    <rPh sb="211" eb="213">
      <t>シュウリョウ</t>
    </rPh>
    <rPh sb="213" eb="215">
      <t>ニンテイ</t>
    </rPh>
    <phoneticPr fontId="1"/>
  </si>
  <si>
    <t>情報処理基礎</t>
    <rPh sb="0" eb="2">
      <t>ジョウホウ</t>
    </rPh>
    <rPh sb="2" eb="4">
      <t>ショリ</t>
    </rPh>
    <rPh sb="4" eb="6">
      <t>キソ</t>
    </rPh>
    <phoneticPr fontId="1"/>
  </si>
  <si>
    <t>様式３</t>
    <rPh sb="0" eb="2">
      <t>ヨウシキ</t>
    </rPh>
    <phoneticPr fontId="1"/>
  </si>
  <si>
    <t>令和2年度末現在</t>
    <rPh sb="0" eb="2">
      <t>レイワ</t>
    </rPh>
    <rPh sb="3" eb="6">
      <t>ネンドマツ</t>
    </rPh>
    <rPh sb="6" eb="8">
      <t>ゲンザイ</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</si>
  <si>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</si>
  <si>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</si>
  <si>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</si>
  <si>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</si>
  <si>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</si>
  <si>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</si>
  <si>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</si>
  <si>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</si>
  <si>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</si>
  <si>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</si>
  <si>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</si>
  <si>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</si>
  <si>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</si>
  <si>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人文学類（人文科学）</t>
    <rPh sb="0" eb="2">
      <t>ジンブン</t>
    </rPh>
    <rPh sb="2" eb="4">
      <t>ガクルイ</t>
    </rPh>
    <phoneticPr fontId="1"/>
  </si>
  <si>
    <t>法学類（社会科学）</t>
    <rPh sb="0" eb="1">
      <t>ホウ</t>
    </rPh>
    <rPh sb="1" eb="3">
      <t>ガクルイ</t>
    </rPh>
    <phoneticPr fontId="1"/>
  </si>
  <si>
    <t>経済学類（社会科学）</t>
    <rPh sb="0" eb="2">
      <t>ケイザイ</t>
    </rPh>
    <rPh sb="2" eb="4">
      <t>ガクルイ</t>
    </rPh>
    <phoneticPr fontId="1"/>
  </si>
  <si>
    <t>学校教育学類（教育）</t>
    <rPh sb="0" eb="2">
      <t>ガッコウ</t>
    </rPh>
    <rPh sb="2" eb="4">
      <t>キョウイク</t>
    </rPh>
    <rPh sb="4" eb="6">
      <t>ガクルイ</t>
    </rPh>
    <phoneticPr fontId="1"/>
  </si>
  <si>
    <t>地域創造学類（その他）</t>
    <rPh sb="0" eb="2">
      <t>チイキ</t>
    </rPh>
    <rPh sb="2" eb="4">
      <t>ソウゾウ</t>
    </rPh>
    <rPh sb="4" eb="6">
      <t>ガクルイ</t>
    </rPh>
    <phoneticPr fontId="1"/>
  </si>
  <si>
    <t>国際学類（その他）</t>
    <rPh sb="0" eb="2">
      <t>コクサイ</t>
    </rPh>
    <rPh sb="2" eb="4">
      <t>ガクルイ</t>
    </rPh>
    <phoneticPr fontId="1"/>
  </si>
  <si>
    <t>数物科学類（理学）</t>
    <rPh sb="0" eb="1">
      <t>スウ</t>
    </rPh>
    <rPh sb="1" eb="2">
      <t>ブツ</t>
    </rPh>
    <rPh sb="2" eb="4">
      <t>カガク</t>
    </rPh>
    <rPh sb="4" eb="5">
      <t>ルイ</t>
    </rPh>
    <rPh sb="6" eb="8">
      <t>リガク</t>
    </rPh>
    <phoneticPr fontId="1"/>
  </si>
  <si>
    <t>物質科学類（その他）</t>
    <rPh sb="0" eb="2">
      <t>ブッシツ</t>
    </rPh>
    <rPh sb="2" eb="4">
      <t>カガク</t>
    </rPh>
    <rPh sb="4" eb="5">
      <t>ルイ</t>
    </rPh>
    <rPh sb="8" eb="9">
      <t>タ</t>
    </rPh>
    <phoneticPr fontId="1"/>
  </si>
  <si>
    <t>機械工学類（工学）</t>
    <rPh sb="0" eb="3">
      <t>キカイコウ</t>
    </rPh>
    <rPh sb="3" eb="5">
      <t>ガクルイ</t>
    </rPh>
    <rPh sb="6" eb="8">
      <t>コウガク</t>
    </rPh>
    <phoneticPr fontId="1"/>
  </si>
  <si>
    <t>フロンティア工学類（工学）</t>
    <rPh sb="6" eb="7">
      <t>コウ</t>
    </rPh>
    <rPh sb="7" eb="9">
      <t>ガクルイ</t>
    </rPh>
    <rPh sb="10" eb="12">
      <t>コウガク</t>
    </rPh>
    <phoneticPr fontId="1"/>
  </si>
  <si>
    <t>電子情報通信学類（工学）</t>
    <rPh sb="0" eb="2">
      <t>デンシ</t>
    </rPh>
    <rPh sb="2" eb="4">
      <t>ジョウホウ</t>
    </rPh>
    <rPh sb="4" eb="6">
      <t>ツウシン</t>
    </rPh>
    <rPh sb="6" eb="8">
      <t>ガクルイ</t>
    </rPh>
    <rPh sb="9" eb="11">
      <t>コウガク</t>
    </rPh>
    <phoneticPr fontId="1"/>
  </si>
  <si>
    <t>地球社会基盤学類（工学）</t>
    <rPh sb="0" eb="2">
      <t>チキュウ</t>
    </rPh>
    <rPh sb="2" eb="4">
      <t>シャカイ</t>
    </rPh>
    <rPh sb="4" eb="6">
      <t>キバン</t>
    </rPh>
    <rPh sb="6" eb="8">
      <t>ガクルイ</t>
    </rPh>
    <rPh sb="9" eb="11">
      <t>コウガク</t>
    </rPh>
    <phoneticPr fontId="1"/>
  </si>
  <si>
    <t>生命理工学類（工学）</t>
    <rPh sb="0" eb="2">
      <t>セイメイ</t>
    </rPh>
    <rPh sb="2" eb="4">
      <t>リコウ</t>
    </rPh>
    <rPh sb="4" eb="6">
      <t>ガクルイ</t>
    </rPh>
    <rPh sb="7" eb="9">
      <t>コウガク</t>
    </rPh>
    <phoneticPr fontId="1"/>
  </si>
  <si>
    <t>医学類（保健）</t>
    <rPh sb="0" eb="2">
      <t>イガク</t>
    </rPh>
    <rPh sb="2" eb="3">
      <t>ルイ</t>
    </rPh>
    <rPh sb="4" eb="6">
      <t>ホケン</t>
    </rPh>
    <phoneticPr fontId="1"/>
  </si>
  <si>
    <t>薬学・創薬科学類　※1～3年次（保健）</t>
    <rPh sb="0" eb="2">
      <t>ヤクガク</t>
    </rPh>
    <rPh sb="3" eb="5">
      <t>ソウヤク</t>
    </rPh>
    <rPh sb="5" eb="7">
      <t>カガク</t>
    </rPh>
    <rPh sb="7" eb="8">
      <t>ルイ</t>
    </rPh>
    <rPh sb="13" eb="15">
      <t>ネンジ</t>
    </rPh>
    <rPh sb="16" eb="18">
      <t>ホケン</t>
    </rPh>
    <phoneticPr fontId="1"/>
  </si>
  <si>
    <t>-</t>
    <phoneticPr fontId="1"/>
  </si>
  <si>
    <t>薬学類（保健）</t>
    <rPh sb="0" eb="1">
      <t>ヤク</t>
    </rPh>
    <rPh sb="1" eb="3">
      <t>ガクルイ</t>
    </rPh>
    <rPh sb="4" eb="6">
      <t>ホケン</t>
    </rPh>
    <phoneticPr fontId="1"/>
  </si>
  <si>
    <t>創薬科学類（保健）</t>
    <rPh sb="0" eb="2">
      <t>ソウヤク</t>
    </rPh>
    <rPh sb="2" eb="4">
      <t>カガク</t>
    </rPh>
    <rPh sb="4" eb="5">
      <t>ルイ</t>
    </rPh>
    <rPh sb="6" eb="8">
      <t>ホケン</t>
    </rPh>
    <phoneticPr fontId="1"/>
  </si>
  <si>
    <t>保健学類（保健）</t>
    <rPh sb="0" eb="2">
      <t>ホケン</t>
    </rPh>
    <rPh sb="2" eb="4">
      <t>ガクルイ</t>
    </rPh>
    <rPh sb="5" eb="7">
      <t>ホケン</t>
    </rPh>
    <phoneticPr fontId="1"/>
  </si>
  <si>
    <t>総合教育部　※1年次のみ（その他）</t>
    <rPh sb="8" eb="9">
      <t>ネン</t>
    </rPh>
    <rPh sb="9" eb="10">
      <t>ジ</t>
    </rPh>
    <rPh sb="15" eb="16">
      <t>タ</t>
    </rPh>
    <phoneticPr fontId="1"/>
  </si>
  <si>
    <t>合　計</t>
    <phoneticPr fontId="1"/>
  </si>
  <si>
    <t>「修了者数」は「ブロンズランク」を修了した者の数／総合教育部は1年次終了時に全員を各学類に分属</t>
    <rPh sb="1" eb="4">
      <t>シュウリョウシャ</t>
    </rPh>
    <rPh sb="3" eb="4">
      <t>シャ</t>
    </rPh>
    <rPh sb="4" eb="5">
      <t>スウ</t>
    </rPh>
    <rPh sb="17" eb="19">
      <t>シュウリョウ</t>
    </rPh>
    <rPh sb="21" eb="22">
      <t>モノ</t>
    </rPh>
    <rPh sb="23" eb="24">
      <t>カズ</t>
    </rPh>
    <rPh sb="25" eb="27">
      <t>ソウゴウ</t>
    </rPh>
    <rPh sb="27" eb="29">
      <t>キョウイク</t>
    </rPh>
    <rPh sb="29" eb="30">
      <t>ブ</t>
    </rPh>
    <rPh sb="32" eb="34">
      <t>ネンジ</t>
    </rPh>
    <rPh sb="34" eb="37">
      <t>シュウリョウジ</t>
    </rPh>
    <rPh sb="38" eb="40">
      <t>ゼンイン</t>
    </rPh>
    <rPh sb="41" eb="42">
      <t>カク</t>
    </rPh>
    <rPh sb="42" eb="44">
      <t>ガクルイ</t>
    </rPh>
    <rPh sb="45" eb="47">
      <t>ブンゾク</t>
    </rPh>
    <phoneticPr fontId="1"/>
  </si>
  <si>
    <t>様式４－１</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</si>
  <si>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</si>
  <si>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</si>
  <si>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</si>
  <si>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</si>
  <si>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</si>
  <si>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必修科目である「データサイエンス基礎」において、社会で起きている変化及びデータ・AI利活用の最新動向についての概論を学び、その具体的な仕組みについて、同じく必修科目である「情報の科学」で掘り下げて学ぶ。選択科目では、RESASやPython、Youtube等の具体的なサービスや、クラウドと連動したセンサーなどを用いたプログラミング等を理解でき、ビッグデータに触れ、そのデータが形作るAI及び駆動する社会を実践をとおして学修することができる。</t>
    <rPh sb="0" eb="2">
      <t>ヒッシュウ</t>
    </rPh>
    <rPh sb="2" eb="4">
      <t>カモク</t>
    </rPh>
    <rPh sb="16" eb="18">
      <t>キソ</t>
    </rPh>
    <rPh sb="34" eb="35">
      <t>オヨ</t>
    </rPh>
    <rPh sb="55" eb="57">
      <t>ガイロン</t>
    </rPh>
    <rPh sb="58" eb="59">
      <t>マナ</t>
    </rPh>
    <rPh sb="63" eb="66">
      <t>グタイテキ</t>
    </rPh>
    <rPh sb="67" eb="69">
      <t>シク</t>
    </rPh>
    <rPh sb="75" eb="76">
      <t>オナ</t>
    </rPh>
    <rPh sb="78" eb="80">
      <t>ヒッシュウ</t>
    </rPh>
    <rPh sb="80" eb="82">
      <t>カモク</t>
    </rPh>
    <rPh sb="86" eb="88">
      <t>ジョウホウ</t>
    </rPh>
    <rPh sb="89" eb="91">
      <t>カガク</t>
    </rPh>
    <rPh sb="93" eb="94">
      <t>ホ</t>
    </rPh>
    <rPh sb="95" eb="96">
      <t>サ</t>
    </rPh>
    <rPh sb="98" eb="99">
      <t>マナ</t>
    </rPh>
    <rPh sb="101" eb="103">
      <t>センタク</t>
    </rPh>
    <rPh sb="103" eb="105">
      <t>カモク</t>
    </rPh>
    <rPh sb="128" eb="129">
      <t>ナド</t>
    </rPh>
    <rPh sb="130" eb="133">
      <t>グタイテキ</t>
    </rPh>
    <rPh sb="145" eb="147">
      <t>レンドウ</t>
    </rPh>
    <rPh sb="156" eb="157">
      <t>モチ</t>
    </rPh>
    <rPh sb="166" eb="167">
      <t>ナド</t>
    </rPh>
    <rPh sb="168" eb="170">
      <t>リカイ</t>
    </rPh>
    <rPh sb="180" eb="181">
      <t>フ</t>
    </rPh>
    <rPh sb="189" eb="191">
      <t>カタチヅク</t>
    </rPh>
    <rPh sb="194" eb="195">
      <t>オヨ</t>
    </rPh>
    <rPh sb="196" eb="198">
      <t>クドウ</t>
    </rPh>
    <rPh sb="200" eb="202">
      <t>シャカイ</t>
    </rPh>
    <rPh sb="203" eb="205">
      <t>ジッセン</t>
    </rPh>
    <rPh sb="210" eb="212">
      <t>ガクシュウ</t>
    </rPh>
    <phoneticPr fontId="1"/>
  </si>
  <si>
    <t>授業科目名称</t>
    <rPh sb="0" eb="2">
      <t>ジュギョウ</t>
    </rPh>
    <rPh sb="2" eb="6">
      <t>カモクメイショウ</t>
    </rPh>
    <phoneticPr fontId="1"/>
  </si>
  <si>
    <t>講義テーマ</t>
    <rPh sb="0" eb="2">
      <t>コウギ</t>
    </rPh>
    <phoneticPr fontId="1"/>
  </si>
  <si>
    <t>データサイエンス基礎</t>
  </si>
  <si>
    <t>データサイエンスとは何か　データサイエンスの役割，データの取得と管理,AI等を学ぶ（３）</t>
    <rPh sb="37" eb="38">
      <t>ナド</t>
    </rPh>
    <rPh sb="39" eb="40">
      <t>マナ</t>
    </rPh>
    <phoneticPr fontId="1"/>
  </si>
  <si>
    <t>コンピュータ（１）、人工知能(AI)-問題の数学モデル化・遺伝的アルゴリズム・機械学習、ネットワーク（３～７）</t>
    <phoneticPr fontId="1"/>
  </si>
  <si>
    <t>RESASからデータを収集し、分析の結果をもとに、どのような対応策を講じていくべきかを考える（１～７）</t>
    <phoneticPr fontId="1"/>
  </si>
  <si>
    <t>クラウド時代の「ものグラミング」概論</t>
  </si>
  <si>
    <t>「ものづくり」＋「プログラミング」＝「ものグラミング」によってクラウドと手元の小さな電子デバイス間で相互に影響を与える方法を身につける（１～１６）</t>
    <phoneticPr fontId="1"/>
  </si>
  <si>
    <t>Pythonデータ分析入門</t>
    <phoneticPr fontId="1"/>
  </si>
  <si>
    <t>ディープラーニングの説明とTensorFlowの実行・データ分析（６～７）</t>
    <rPh sb="30" eb="32">
      <t>ブンセキ</t>
    </rPh>
    <phoneticPr fontId="1"/>
  </si>
  <si>
    <t>動画配信サービスを用いた情報発信演習A</t>
    <phoneticPr fontId="1"/>
  </si>
  <si>
    <t>動画配信サービスの活用をとおして、数値目標を含めた企画立案を学び、有為な情報発信手段として利用できるようにする（１～８）</t>
    <rPh sb="9" eb="11">
      <t>カツヨウ</t>
    </rPh>
    <rPh sb="17" eb="19">
      <t>スウチ</t>
    </rPh>
    <rPh sb="19" eb="21">
      <t>モクヒョウ</t>
    </rPh>
    <rPh sb="22" eb="23">
      <t>フク</t>
    </rPh>
    <rPh sb="25" eb="27">
      <t>キカク</t>
    </rPh>
    <rPh sb="27" eb="29">
      <t>リツアン</t>
    </rPh>
    <rPh sb="30" eb="31">
      <t>マナ</t>
    </rPh>
    <phoneticPr fontId="1"/>
  </si>
  <si>
    <t>動画配信サービスを用いた情報発信演習B</t>
    <phoneticPr fontId="1"/>
  </si>
  <si>
    <t>Society5.0概論</t>
    <phoneticPr fontId="1"/>
  </si>
  <si>
    <t>Society5.0を実現するためのさまざまな研究や技術、そのために行われている施策や教育等を学ぶ（１～８）</t>
    <rPh sb="45" eb="46">
      <t>ナド</t>
    </rPh>
    <rPh sb="47" eb="48">
      <t>マナ</t>
    </rPh>
    <phoneticPr fontId="1"/>
  </si>
  <si>
    <t>統計ソフトRによるビッグデータ分析</t>
    <phoneticPr fontId="1"/>
  </si>
  <si>
    <t>日米の経済や金融に関する統計データの概説（３）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</si>
  <si>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</si>
  <si>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必修科目である「データサイエンス基礎」において、社会で活用されているデータ及びデータ・AIの活用領域についての概論を学び、AIの仕組みについて、同じく必修科目である「情報の科学」で掘り下げて学ぶ。選択科目では、RESASで人の行動ログデータのビッグデータを扱い、また、オープンデータを用いることで、医療や少子化をはじめとする日常生活や社会の課題に対して、仮説検証、知識発見、原因究明、計画策定等ができることを理解する。</t>
    <rPh sb="64" eb="66">
      <t>シク</t>
    </rPh>
    <rPh sb="95" eb="96">
      <t>マナ</t>
    </rPh>
    <rPh sb="128" eb="129">
      <t>アツカ</t>
    </rPh>
    <rPh sb="142" eb="143">
      <t>モチ</t>
    </rPh>
    <rPh sb="173" eb="174">
      <t>タイ</t>
    </rPh>
    <rPh sb="196" eb="197">
      <t>ナド</t>
    </rPh>
    <rPh sb="204" eb="206">
      <t>リカイ</t>
    </rPh>
    <phoneticPr fontId="1"/>
  </si>
  <si>
    <t>データサイエンスとは何か　データサイエンスの役割，データの取得と管理,AIなどについて（３）、データ収集や資料探索実習（４）</t>
    <phoneticPr fontId="1"/>
  </si>
  <si>
    <t>人工知能(AI)-問題の数学モデル化・遺伝的アルゴリズム・機械学習（３～５）</t>
    <phoneticPr fontId="1"/>
  </si>
  <si>
    <t>データ分析手法の説明、オープンデータの説明、サンプルを利用して、Pythonで初歩的なデータ分析・考察（２）</t>
    <phoneticPr fontId="1"/>
  </si>
  <si>
    <t>白書の講読と議論</t>
    <phoneticPr fontId="1"/>
  </si>
  <si>
    <t>地域の少子化問題について、統計データを収集して地域の現状を把握する（４～６）</t>
    <phoneticPr fontId="1"/>
  </si>
  <si>
    <t>地域課題解決と政策立案のための統計データ分析</t>
    <phoneticPr fontId="1"/>
  </si>
  <si>
    <t>根拠に基づく政策立案手法（３～６）</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</si>
  <si>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</si>
  <si>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必修科目である「データサイエンス基礎」において、主にWord,Excel,PowerPointを用いたデータ取扱のための技術及びデータ・AI利活用の現場の概論を学び、AIの仕組みについて、同じく必修科目である「情報の科学」で掘り下げて学ぶ。選択科目では、主にRESASとPythonを用いた実践的なデータ活用技術・事例に加え、Rによるビックデータ分析を理解する。</t>
    <rPh sb="24" eb="25">
      <t>オモ</t>
    </rPh>
    <rPh sb="48" eb="49">
      <t>モチ</t>
    </rPh>
    <rPh sb="54" eb="56">
      <t>トリアツカイ</t>
    </rPh>
    <rPh sb="60" eb="62">
      <t>ギジュツ</t>
    </rPh>
    <rPh sb="62" eb="63">
      <t>オヨ</t>
    </rPh>
    <rPh sb="77" eb="79">
      <t>ガイロン</t>
    </rPh>
    <rPh sb="120" eb="122">
      <t>センタク</t>
    </rPh>
    <rPh sb="122" eb="124">
      <t>カモク</t>
    </rPh>
    <rPh sb="127" eb="128">
      <t>オモ</t>
    </rPh>
    <rPh sb="142" eb="143">
      <t>モチ</t>
    </rPh>
    <rPh sb="145" eb="148">
      <t>ジッセンテキ</t>
    </rPh>
    <rPh sb="152" eb="154">
      <t>カツヨウ</t>
    </rPh>
    <rPh sb="154" eb="156">
      <t>ギジュツ</t>
    </rPh>
    <rPh sb="157" eb="159">
      <t>ジレイ</t>
    </rPh>
    <rPh sb="160" eb="161">
      <t>クワ</t>
    </rPh>
    <rPh sb="173" eb="175">
      <t>ブンセキ</t>
    </rPh>
    <rPh sb="176" eb="178">
      <t>リカイ</t>
    </rPh>
    <phoneticPr fontId="1"/>
  </si>
  <si>
    <t>Word,Excel,PowerPointによるデータ取扱、分析、提示方法（５～７）、AI等を学ぶ（３）</t>
    <rPh sb="27" eb="29">
      <t>トリアツカイ</t>
    </rPh>
    <rPh sb="30" eb="32">
      <t>ブンセキ</t>
    </rPh>
    <rPh sb="33" eb="35">
      <t>テイジ</t>
    </rPh>
    <rPh sb="35" eb="37">
      <t>ホウホウ</t>
    </rPh>
    <rPh sb="45" eb="46">
      <t>ナド</t>
    </rPh>
    <rPh sb="47" eb="48">
      <t>マナ</t>
    </rPh>
    <phoneticPr fontId="1"/>
  </si>
  <si>
    <t>RESASから自動データ取得・仮説を立て、データを可視化し、分析する（３～５）</t>
    <rPh sb="15" eb="17">
      <t>カセツ</t>
    </rPh>
    <rPh sb="18" eb="19">
      <t>タ</t>
    </rPh>
    <rPh sb="25" eb="28">
      <t>カシカ</t>
    </rPh>
    <rPh sb="30" eb="32">
      <t>ブンセキ</t>
    </rPh>
    <phoneticPr fontId="1"/>
  </si>
  <si>
    <t>ビジネス・データ分析</t>
    <phoneticPr fontId="1"/>
  </si>
  <si>
    <t>ビジネスと販売予測（２～３）、ビジネスと市場分析（４～５）、ビジネスと設備投資（６～７）</t>
    <phoneticPr fontId="1"/>
  </si>
  <si>
    <t>データで考える日本の未来（データサイエンス）</t>
    <phoneticPr fontId="1"/>
  </si>
  <si>
    <t>RESASを使った地域分析と政策アイデアの提案例の紹介（２～５）</t>
    <phoneticPr fontId="1"/>
  </si>
  <si>
    <t>民間部門に関する統計データ（５）、イノベーション及びテクノロジーに関する統計データ（６）、地域別人口に関する統計データ（７）</t>
    <phoneticPr fontId="1"/>
  </si>
  <si>
    <t>金融リテラシー</t>
    <phoneticPr fontId="1"/>
  </si>
  <si>
    <t>個人の金融行動を通じてライフプランニング能力やキャリア開発能力を身につける（１～８）</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</si>
  <si>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</si>
  <si>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必修科目である「データサイエンス基礎」において、主にデータ倫理、AI社会原則等のデータ・AIを扱う上での基礎的な留意事項を学び、同じく必修科目である「情報の科学」ではセキュリティ面のデータを守る上での留意事項を掘り下げる。選択科目では、暗号化や、個人情報保護、著作権等の理解を深めることができる。</t>
    <rPh sb="38" eb="39">
      <t>ナド</t>
    </rPh>
    <rPh sb="52" eb="55">
      <t>キソテキ</t>
    </rPh>
    <rPh sb="61" eb="62">
      <t>マナ</t>
    </rPh>
    <rPh sb="89" eb="90">
      <t>メン</t>
    </rPh>
    <rPh sb="105" eb="106">
      <t>ホ</t>
    </rPh>
    <rPh sb="107" eb="108">
      <t>サ</t>
    </rPh>
    <rPh sb="111" eb="113">
      <t>センタク</t>
    </rPh>
    <rPh sb="113" eb="115">
      <t>カモク</t>
    </rPh>
    <rPh sb="135" eb="137">
      <t>リカイ</t>
    </rPh>
    <rPh sb="138" eb="139">
      <t>フカ</t>
    </rPh>
    <phoneticPr fontId="1"/>
  </si>
  <si>
    <t>KAINSの接続実習, 基本ソフトの設定（１）、データの取得と管理（３）</t>
    <phoneticPr fontId="1"/>
  </si>
  <si>
    <t>データベースと情報セキュリティ（７）</t>
    <phoneticPr fontId="1"/>
  </si>
  <si>
    <t>公開鍵暗号、とくにRSA 暗号の仕組み（７）</t>
    <rPh sb="0" eb="2">
      <t>コウカイ</t>
    </rPh>
    <rPh sb="2" eb="3">
      <t>カギ</t>
    </rPh>
    <rPh sb="3" eb="5">
      <t>アンゴウ</t>
    </rPh>
    <rPh sb="13" eb="15">
      <t>アンゴウ</t>
    </rPh>
    <rPh sb="16" eb="18">
      <t>シク</t>
    </rPh>
    <phoneticPr fontId="1"/>
  </si>
  <si>
    <t>配信動画の企画立案をとおして、個人情報保護、著作権等の理解を深める（１～８）</t>
    <rPh sb="0" eb="2">
      <t>ハイシン</t>
    </rPh>
    <rPh sb="2" eb="4">
      <t>ドウガ</t>
    </rPh>
    <rPh sb="5" eb="7">
      <t>キカク</t>
    </rPh>
    <rPh sb="7" eb="9">
      <t>リツアン</t>
    </rPh>
    <rPh sb="15" eb="17">
      <t>コジン</t>
    </rPh>
    <rPh sb="17" eb="19">
      <t>ジョウホウ</t>
    </rPh>
    <rPh sb="19" eb="21">
      <t>ホゴ</t>
    </rPh>
    <rPh sb="22" eb="26">
      <t>チョサクケンナド</t>
    </rPh>
    <rPh sb="27" eb="29">
      <t>リカイ</t>
    </rPh>
    <rPh sb="30" eb="31">
      <t>フカ</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</si>
  <si>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</si>
  <si>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必修科目である「データサイエンス基礎」において、主にWord,Excel,PowerPointを用いた基礎的なデータの「読み方、説明方法、扱い方」を学ぶ。選択科目においては、統計手法を中心に、RESASや白書、医療データや自身の金融行動等を用いて、社会での実例を題材とした「データを読む、説明する、扱う」についての理解を深める。</t>
    <rPh sb="51" eb="54">
      <t>キソテキ</t>
    </rPh>
    <rPh sb="62" eb="63">
      <t>カタ</t>
    </rPh>
    <rPh sb="66" eb="68">
      <t>ホウホウ</t>
    </rPh>
    <rPh sb="69" eb="70">
      <t>アツカ</t>
    </rPh>
    <rPh sb="71" eb="72">
      <t>カタ</t>
    </rPh>
    <rPh sb="74" eb="75">
      <t>マナ</t>
    </rPh>
    <rPh sb="77" eb="79">
      <t>センタク</t>
    </rPh>
    <rPh sb="79" eb="81">
      <t>カモク</t>
    </rPh>
    <rPh sb="87" eb="89">
      <t>トウケイ</t>
    </rPh>
    <rPh sb="89" eb="91">
      <t>シュホウ</t>
    </rPh>
    <rPh sb="92" eb="94">
      <t>チュウシン</t>
    </rPh>
    <rPh sb="102" eb="104">
      <t>ハクショ</t>
    </rPh>
    <rPh sb="105" eb="107">
      <t>イリョウ</t>
    </rPh>
    <rPh sb="111" eb="113">
      <t>ジシン</t>
    </rPh>
    <rPh sb="114" eb="116">
      <t>キンユウ</t>
    </rPh>
    <rPh sb="116" eb="118">
      <t>コウドウ</t>
    </rPh>
    <rPh sb="118" eb="119">
      <t>ナド</t>
    </rPh>
    <rPh sb="120" eb="121">
      <t>モチ</t>
    </rPh>
    <rPh sb="157" eb="159">
      <t>リカイ</t>
    </rPh>
    <rPh sb="160" eb="161">
      <t>フカ</t>
    </rPh>
    <phoneticPr fontId="1"/>
  </si>
  <si>
    <t>Word,Excel,PowerPointによるデータ取扱、分析、提示方法（５～７）</t>
    <phoneticPr fontId="1"/>
  </si>
  <si>
    <t>確率分布、正規分布、標本分布と中心極限定理、検定と推定の基本的考え方、母平均・母分散の検定（２～７）</t>
    <phoneticPr fontId="1"/>
  </si>
  <si>
    <t>ビジネスと販売予測（２～３）、ビジネスと市場分析（４～５）</t>
    <phoneticPr fontId="1"/>
  </si>
  <si>
    <t>日米の経済や金融に関する統計データ：主要指標（４）</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</si>
  <si>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</si>
  <si>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</si>
  <si>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統計数学A、統計数学B、数学的発想法、確率・統計解析Ａ、確率・統計解析B、信頼性工学Ａ、信頼性工学B、確率・統計及び演習、確率論基礎、実験・調査分析法、バイオ統計学演習Ａ、バイオ統計学演習B</t>
    <phoneticPr fontId="1"/>
  </si>
  <si>
    <t>アルゴリズム基礎</t>
    <rPh sb="6" eb="8">
      <t>キソ</t>
    </rPh>
    <phoneticPr fontId="1"/>
  </si>
  <si>
    <t>情報の科学、情報・計算科学基礎</t>
    <rPh sb="0" eb="2">
      <t>ジョウホウ</t>
    </rPh>
    <rPh sb="3" eb="5">
      <t>カガク</t>
    </rPh>
    <phoneticPr fontId="1"/>
  </si>
  <si>
    <t>データ構造とプログラミング基礎</t>
    <rPh sb="3" eb="5">
      <t>コウゾウ</t>
    </rPh>
    <rPh sb="13" eb="15">
      <t>キソ</t>
    </rPh>
    <phoneticPr fontId="1"/>
  </si>
  <si>
    <t>情報の科学、クラウド時代の「ものグラミング」概論、シェルスクリプトを用いた「ものグラミング」演習、シェルスクリプト言語論、プログラミング演習</t>
    <rPh sb="0" eb="2">
      <t>ジョウホウ</t>
    </rPh>
    <rPh sb="3" eb="5">
      <t>カガク</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</si>
  <si>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</si>
  <si>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</si>
  <si>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</si>
  <si>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</si>
  <si>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Pythonデータ分析入門、情報・計算科学基礎、プログラミング演習、確率論基礎、バイオ統計学演習Ａ、バイオ統計学演習B、バイオデータベース演習Ａ、バイオデータベース演習B、ビジネス・データ分析、統計データ分析の基本（多変量解析）、統計ソフトRによるビッグデータ分析</t>
    <phoneticPr fontId="1"/>
  </si>
  <si>
    <t>データ活用実践（教師あり学習）</t>
    <rPh sb="3" eb="5">
      <t>カツヨウ</t>
    </rPh>
    <rPh sb="5" eb="7">
      <t>ジッセン</t>
    </rPh>
    <rPh sb="8" eb="10">
      <t>キョウシ</t>
    </rPh>
    <rPh sb="12" eb="14">
      <t>ガクシュウ</t>
    </rPh>
    <phoneticPr fontId="1"/>
  </si>
  <si>
    <t>実験・調査分析法、統計データ分析の基本（多変量解析）</t>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</si>
  <si>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</si>
  <si>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</si>
  <si>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https://note.w3.kanazawa-u.ac.jp/news/239</t>
    <phoneticPr fontId="1"/>
  </si>
  <si>
    <t>プログラムの学修成果（学生等が身に付けられる能力等）</t>
  </si>
  <si>
    <t>「数理・データサイエンス・AI」は、もはや特別な知識ではなく、⽇常の⽣活、仕事等の場においてそれらを「使いこなすこと」が当たり前の世界が既に到来している。本プログラムを修了することで、このことを理解し、実際に、数理・データサイエンス・AI の恩恵を享受するための、基礎能力を身に付けられる。</t>
    <rPh sb="84" eb="86">
      <t>シュウリョウ</t>
    </rPh>
    <rPh sb="134" eb="136">
      <t>ノウリョク</t>
    </rPh>
    <phoneticPr fontId="1"/>
  </si>
  <si>
    <t>様式４－２</t>
    <rPh sb="0" eb="2">
      <t>ヨウシキ</t>
    </rPh>
    <phoneticPr fontId="1"/>
  </si>
  <si>
    <t>必修科目である「情報の科学」において、社会で起きている変化及びデータ・AI利活用の最新動向についての仕組みを詳細に学び、同じく必修科目である「統計学から未来を見る」で実践をとおして学ぶ。選択科目では、Python、Youtube等の具体的なサービスや、クラウドと連動したセンサーなどを用いたプログラミング等を学ぶことができ、ビッグデータに触れ、そのデータが形作るAI及び駆動する社会を実践をとおして理解することができる。</t>
    <rPh sb="50" eb="52">
      <t>シク</t>
    </rPh>
    <rPh sb="54" eb="56">
      <t>ショウサイ</t>
    </rPh>
    <rPh sb="90" eb="91">
      <t>マナ</t>
    </rPh>
    <phoneticPr fontId="1"/>
  </si>
  <si>
    <t>情報の科学</t>
  </si>
  <si>
    <t>コンピュータ（１）、人工知能(AI)-問題の数学モデル化・遺伝的アルゴリズム・機械学習、ネットワーク（３～７）</t>
  </si>
  <si>
    <t>RESASからデータを収集し、分析の結果をもとに、どのような対応策を講じていくべきかを考える（１～７）</t>
  </si>
  <si>
    <t>「ものづくり」＋「プログラミング」＝「ものグラミング」によってクラウドと手元の小さな電子デバイス間で相互に影響を与える方法を身につける（１～１６）</t>
  </si>
  <si>
    <t>日米の経済や金融に関する統計データの概説（３）</t>
  </si>
  <si>
    <t>必修科目である「情報の科学」において、社会で活用されているデータ及びデータ・AIの活用領域についての仕組みを詳細に学び、同じく必修科目である「統計学から未来を見る」で、RESASを用いて人の行動ログデータのビッグデータを扱い実践的に学ぶ。選択科目では、Python等を活用し、オープンデータを用いることで、医療や少子化をはじめとする日常生活や社会の課題に対して、仮説検証、知識発見、原因究明、計画策定等ができることを理解する。</t>
    <rPh sb="50" eb="52">
      <t>シク</t>
    </rPh>
    <rPh sb="54" eb="56">
      <t>ショウサイ</t>
    </rPh>
    <rPh sb="90" eb="91">
      <t>モチ</t>
    </rPh>
    <rPh sb="112" eb="115">
      <t>ジッセンテキ</t>
    </rPh>
    <rPh sb="132" eb="133">
      <t>ナド</t>
    </rPh>
    <rPh sb="134" eb="136">
      <t>カツヨウ</t>
    </rPh>
    <phoneticPr fontId="1"/>
  </si>
  <si>
    <t>人工知能(AI)-問題の数学モデル化・遺伝的アルゴリズム・機械学習（３～５）</t>
  </si>
  <si>
    <t>統計学から未来を見る</t>
  </si>
  <si>
    <t>データ分析手法の説明、オープンデータの説明、サンプルを利用して、Pythonで初歩的なデータ分析・考察（２）</t>
  </si>
  <si>
    <t>地域の少子化問題について、統計データを収集して地域の現状を把握する（４～６）</t>
  </si>
  <si>
    <t>必修科目である「統計学から未来を見る」において、RESASを用いたデータ取扱のための技術を実践的に学び、AIの仕組みについて、同じく必修科目である「情報の科学」で掘り下げて学ぶ。選択科目では、主にRESASとPythonを用いた実践的なデータ活用技術・事例に加え、Rによるビックデータ分析を理解する。</t>
    <rPh sb="45" eb="48">
      <t>ジッセンテキ</t>
    </rPh>
    <rPh sb="96" eb="97">
      <t>オモ</t>
    </rPh>
    <phoneticPr fontId="1"/>
  </si>
  <si>
    <t>ビジネスと販売予測（２～３）、ビジネスと市場分析（４～５）、ビジネスと設備投資（６～７）</t>
  </si>
  <si>
    <t>RESASを使った地域分析と政策アイデアの提案例の紹介（２～５）</t>
  </si>
  <si>
    <t>民間部門に関する統計データ（５）、イノベーション及びテクノロジーに関する統計データ（６）、地域別人口に関する統計データ（７）</t>
  </si>
  <si>
    <t>個人の金融行動を通じてライフプランニング能力やキャリア開発能力を身につける（１～８）</t>
  </si>
  <si>
    <t>根拠に基づく政策立案手法（３～６）</t>
  </si>
  <si>
    <t>必修科目である「情報処理基礎」において、主にデータ倫理、AI社会原則等のデータ・AIを扱う上での基礎的な留意事項を学び、同じく必修科目である「情報の科学」ではセキュリティ面のデータを守る上での留意事項を掘り下げる。選択科目では、暗号化や、個人情報保護、著作権等の理解を深めることができる。</t>
    <rPh sb="8" eb="10">
      <t>ジョウホウ</t>
    </rPh>
    <rPh sb="10" eb="12">
      <t>ショリ</t>
    </rPh>
    <phoneticPr fontId="1"/>
  </si>
  <si>
    <t>ＩＴリテラシー判定（１）、アカンサスポータル，ＬＭＳの使い方（２）、メールの使い方－仕組みやマナー，設定（３）</t>
    <phoneticPr fontId="1"/>
  </si>
  <si>
    <t>必修科目である「統計学から未来を見る」において、RESASを用いた基礎的なデータを読み方、説明方法、扱い方を実践的に学ぶ。選択科目においては、統計手法を中心に、RESASや白書、医療データや自身の金融行動等を用いて、社会での実例を題材とした「データを読む、説明する、扱う」についての理解を深める。</t>
    <rPh sb="54" eb="57">
      <t>ジッセンテキ</t>
    </rPh>
    <phoneticPr fontId="1"/>
  </si>
  <si>
    <t>統計数学A</t>
  </si>
  <si>
    <t>確率分布、正規分布、標本分布と中心極限定理、検定と推定の基本的考え方、母平均・母分散の検定（２～７）</t>
  </si>
  <si>
    <t>ビジネスと販売予測（２～３）、ビジネスと市場分析（４～５）</t>
  </si>
  <si>
    <t>日米の経済や金融に関する統計データ：主要指標（４）</t>
  </si>
  <si>
    <t>「数理・データサイエンス・AI」は、もはや特別な知識ではなく、⽇常の⽣活、仕事等の場においてそれらを「使いこなすこと」が当たり前の世界が既に到来している。本プログラムを修了することで、このことを理解し、実際に、数理・データサイエンス・AI の恩恵を享受するための、基礎能力を身に付けられる。</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</si>
  <si>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</si>
  <si>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</si>
  <si>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</si>
  <si>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</si>
  <si>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</si>
  <si>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金沢大学教務委員会</t>
    <rPh sb="0" eb="2">
      <t>カナザワ</t>
    </rPh>
    <rPh sb="2" eb="4">
      <t>ダイガク</t>
    </rPh>
    <rPh sb="4" eb="6">
      <t>キョウム</t>
    </rPh>
    <rPh sb="6" eb="9">
      <t>イインカイ</t>
    </rPh>
    <phoneticPr fontId="1"/>
  </si>
  <si>
    <t>体制の目的</t>
    <rPh sb="0" eb="2">
      <t>タイセイ</t>
    </rPh>
    <rPh sb="3" eb="5">
      <t>モクテキ</t>
    </rPh>
    <phoneticPr fontId="1"/>
  </si>
  <si>
    <t>本学は令和2年度において「データサイエンス教育推進WG」を設置し、集中的に本プログラムの構築を主導した。WGは本プログラムが「全学的な教育プログラム」としての本運用が始まる今年度中に解散し、プログラムの改善・進化・自己点検・評価機能を教務委員会に引き継ぎ、全学的な体制でその運用に当たる予定である。この体制の構築によって担当教員や履修者の意見の収集がスムーズになり、今後の科目の改善、追加や新規事業の実施等の意思決定及び指示を速やかに行うことができる。</t>
    <rPh sb="0" eb="2">
      <t>ホンガク</t>
    </rPh>
    <rPh sb="3" eb="5">
      <t>レイワ</t>
    </rPh>
    <rPh sb="6" eb="8">
      <t>ネンド</t>
    </rPh>
    <rPh sb="29" eb="31">
      <t>セッチ</t>
    </rPh>
    <rPh sb="33" eb="36">
      <t>シュウチュウテキ</t>
    </rPh>
    <rPh sb="37" eb="38">
      <t>ホン</t>
    </rPh>
    <rPh sb="44" eb="46">
      <t>コウチク</t>
    </rPh>
    <rPh sb="47" eb="49">
      <t>シュドウ</t>
    </rPh>
    <rPh sb="55" eb="56">
      <t>ホン</t>
    </rPh>
    <rPh sb="63" eb="66">
      <t>ゼンガクテキ</t>
    </rPh>
    <rPh sb="67" eb="69">
      <t>キョウイク</t>
    </rPh>
    <rPh sb="80" eb="82">
      <t>ウンヨウ</t>
    </rPh>
    <rPh sb="83" eb="84">
      <t>ハジ</t>
    </rPh>
    <rPh sb="86" eb="89">
      <t>コンネンド</t>
    </rPh>
    <rPh sb="89" eb="90">
      <t>チュウ</t>
    </rPh>
    <rPh sb="91" eb="93">
      <t>カイサン</t>
    </rPh>
    <rPh sb="101" eb="103">
      <t>カイゼン</t>
    </rPh>
    <rPh sb="104" eb="106">
      <t>シンカ</t>
    </rPh>
    <rPh sb="107" eb="109">
      <t>ジコ</t>
    </rPh>
    <rPh sb="109" eb="111">
      <t>テンケン</t>
    </rPh>
    <rPh sb="112" eb="114">
      <t>ヒョウカ</t>
    </rPh>
    <rPh sb="114" eb="116">
      <t>キノウ</t>
    </rPh>
    <rPh sb="117" eb="119">
      <t>キョウム</t>
    </rPh>
    <rPh sb="119" eb="122">
      <t>イインカイ</t>
    </rPh>
    <rPh sb="123" eb="124">
      <t>ヒ</t>
    </rPh>
    <rPh sb="125" eb="126">
      <t>ツ</t>
    </rPh>
    <rPh sb="128" eb="131">
      <t>ゼンガクテキ</t>
    </rPh>
    <rPh sb="132" eb="134">
      <t>タイセイ</t>
    </rPh>
    <rPh sb="137" eb="139">
      <t>ウンヨウ</t>
    </rPh>
    <rPh sb="140" eb="141">
      <t>ア</t>
    </rPh>
    <rPh sb="143" eb="145">
      <t>ヨテイ</t>
    </rPh>
    <rPh sb="151" eb="153">
      <t>タイセイ</t>
    </rPh>
    <rPh sb="154" eb="156">
      <t>コウチク</t>
    </rPh>
    <rPh sb="160" eb="162">
      <t>タントウ</t>
    </rPh>
    <rPh sb="162" eb="164">
      <t>キョウイン</t>
    </rPh>
    <rPh sb="165" eb="167">
      <t>リシュウ</t>
    </rPh>
    <rPh sb="167" eb="168">
      <t>シャ</t>
    </rPh>
    <rPh sb="169" eb="171">
      <t>イケン</t>
    </rPh>
    <rPh sb="172" eb="174">
      <t>シュウシュウ</t>
    </rPh>
    <rPh sb="183" eb="185">
      <t>コンゴ</t>
    </rPh>
    <rPh sb="186" eb="188">
      <t>カモク</t>
    </rPh>
    <rPh sb="189" eb="191">
      <t>カイゼン</t>
    </rPh>
    <rPh sb="192" eb="194">
      <t>ツイカ</t>
    </rPh>
    <rPh sb="195" eb="197">
      <t>シンキ</t>
    </rPh>
    <rPh sb="197" eb="199">
      <t>ジギョウ</t>
    </rPh>
    <rPh sb="200" eb="202">
      <t>ジッシ</t>
    </rPh>
    <rPh sb="202" eb="203">
      <t>ナド</t>
    </rPh>
    <rPh sb="204" eb="206">
      <t>イシ</t>
    </rPh>
    <rPh sb="206" eb="208">
      <t>ケッテイ</t>
    </rPh>
    <rPh sb="208" eb="209">
      <t>オヨ</t>
    </rPh>
    <rPh sb="210" eb="212">
      <t>シジ</t>
    </rPh>
    <rPh sb="213" eb="214">
      <t>スミ</t>
    </rPh>
    <rPh sb="217" eb="218">
      <t>オコナ</t>
    </rPh>
    <phoneticPr fontId="1"/>
  </si>
  <si>
    <t>具体的な構成員</t>
    <rPh sb="0" eb="3">
      <t>グタイテキ</t>
    </rPh>
    <rPh sb="4" eb="7">
      <t>コウセイイン</t>
    </rPh>
    <phoneticPr fontId="1"/>
  </si>
  <si>
    <r>
      <t>委員長：理工学域 片岡　邦重 教授（学長補佐）
委員：融合学域　教授　中山　晶一朗（</t>
    </r>
    <r>
      <rPr>
        <u/>
        <sz val="12"/>
        <color rgb="FFFF0000"/>
        <rFont val="ＭＳ Ｐゴシック"/>
        <family val="3"/>
        <charset val="128"/>
        <scheme val="minor"/>
      </rPr>
      <t>データサイエンス教育推進WG副座長</t>
    </r>
    <r>
      <rPr>
        <sz val="12"/>
        <color rgb="FFFF0000"/>
        <rFont val="ＭＳ Ｐゴシック"/>
        <family val="3"/>
        <charset val="128"/>
        <scheme val="minor"/>
      </rPr>
      <t>）／人間社会学域　教授　堀田　優子／人間社会学域　教授　小林　信介／人間社会学域　准教授　土屋　明広／理工学域　教授　山根　智（</t>
    </r>
    <r>
      <rPr>
        <u/>
        <sz val="12"/>
        <color rgb="FFFF0000"/>
        <rFont val="ＭＳ Ｐゴシック"/>
        <family val="3"/>
        <charset val="128"/>
        <scheme val="minor"/>
      </rPr>
      <t>データサイエンス教育推進WG座長</t>
    </r>
    <r>
      <rPr>
        <sz val="12"/>
        <color rgb="FFFF0000"/>
        <rFont val="ＭＳ Ｐゴシック"/>
        <family val="3"/>
        <charset val="128"/>
        <scheme val="minor"/>
      </rPr>
      <t xml:space="preserve">）／理工学域　教授　古内　正美／理工学域　教授　仁宮　一章／医薬保健学域　教授　山本　靖彦／医薬保健学域　教授　中嶋　美紀／医薬保健学域　教授　武村　哲浩／人間社会環境研究科　教授　小島　治幸／法学研究科　教授　東川　浩二／自然科学研究科　教授　山根　智（兼任）／医薬保健学総合研究科　教授　鈴木　亮／先進予防医学研究科　教授　尾﨑　紀之／新学術創成研究科　教授　小島　治幸／教職実践研究科　特任教授　小浦　寛／国際基幹教育院　教授　澤田　茂保／事務局学務部　学務課長　田端　尚史
</t>
    </r>
    <rPh sb="0" eb="3">
      <t>イインチョウ</t>
    </rPh>
    <rPh sb="4" eb="6">
      <t>リコウ</t>
    </rPh>
    <rPh sb="6" eb="8">
      <t>ガクイキ</t>
    </rPh>
    <rPh sb="15" eb="17">
      <t>キョウジュ</t>
    </rPh>
    <rPh sb="24" eb="26">
      <t>イイン</t>
    </rPh>
    <rPh sb="50" eb="54">
      <t>キョウイクスイシン</t>
    </rPh>
    <rPh sb="56" eb="59">
      <t>フクザチョウ</t>
    </rPh>
    <phoneticPr fontId="1"/>
  </si>
  <si>
    <t>履修者数・履修率の向上に向けた計画</t>
    <rPh sb="5" eb="7">
      <t>リシュウ</t>
    </rPh>
    <rPh sb="7" eb="8">
      <t>リツ</t>
    </rPh>
    <phoneticPr fontId="1"/>
  </si>
  <si>
    <t xml:space="preserve">本プログラムは在籍者へのアナウンスを行っていない状態であり、様式３においては、令和2年末時点での「必修科目をすべて履修した者」を「履修者」として計上している。以降も、この定義で履修者数を計上することとし、各年度の履修者数の目標を以下のとおりとする。
令和３年度　1,845名　（２５％）
令和４年度　2,215名　（３０％）
令和５年度　2,584名　（３５％）
令和６年度　2,953名　（４０％）
令和７年度　3,322名　（４５％）
目標を実現するために、令和3年度より広く全学にプログラムの意義と、数理データサイエンス・AIの社会における必要性を広報する。また、令和3年度中に教務システムを拡張し、修得単位及び修得スキルの可視化を行い、履修者の学修計画作成の一助とする。また、今後はシラバス等を用いてプログラムの対象となった科目のどの部分にデータサイエンスの要素があるのかをより分かりやすくすることで、学生が意識的にデータサイエンスの学びを行うことのできる情報・環境を提供する予定である。
</t>
    <rPh sb="0" eb="1">
      <t>ホン</t>
    </rPh>
    <rPh sb="7" eb="10">
      <t>ザイセキシャ</t>
    </rPh>
    <rPh sb="18" eb="19">
      <t>オコナ</t>
    </rPh>
    <rPh sb="24" eb="26">
      <t>ジョウタイ</t>
    </rPh>
    <rPh sb="30" eb="32">
      <t>ヨウシキ</t>
    </rPh>
    <rPh sb="39" eb="41">
      <t>レイワ</t>
    </rPh>
    <rPh sb="49" eb="51">
      <t>ヒッシュウ</t>
    </rPh>
    <rPh sb="51" eb="53">
      <t>カモク</t>
    </rPh>
    <rPh sb="57" eb="59">
      <t>リシュウ</t>
    </rPh>
    <rPh sb="61" eb="62">
      <t>シャ</t>
    </rPh>
    <rPh sb="65" eb="67">
      <t>リシュウ</t>
    </rPh>
    <rPh sb="67" eb="68">
      <t>シャ</t>
    </rPh>
    <rPh sb="72" eb="74">
      <t>ケイジョウ</t>
    </rPh>
    <rPh sb="79" eb="81">
      <t>イコウ</t>
    </rPh>
    <rPh sb="85" eb="87">
      <t>テイギ</t>
    </rPh>
    <rPh sb="88" eb="90">
      <t>リシュウ</t>
    </rPh>
    <rPh sb="90" eb="91">
      <t>シャ</t>
    </rPh>
    <rPh sb="91" eb="92">
      <t>スウ</t>
    </rPh>
    <rPh sb="93" eb="95">
      <t>ケイジョウ</t>
    </rPh>
    <rPh sb="102" eb="105">
      <t>カクネンド</t>
    </rPh>
    <rPh sb="106" eb="108">
      <t>リシュウ</t>
    </rPh>
    <rPh sb="108" eb="109">
      <t>シャ</t>
    </rPh>
    <rPh sb="109" eb="110">
      <t>スウ</t>
    </rPh>
    <rPh sb="111" eb="113">
      <t>モクヒョウ</t>
    </rPh>
    <rPh sb="114" eb="116">
      <t>イカ</t>
    </rPh>
    <rPh sb="222" eb="224">
      <t>モクヒョウ</t>
    </rPh>
    <rPh sb="225" eb="227">
      <t>ジツゲン</t>
    </rPh>
    <rPh sb="233" eb="235">
      <t>レイワ</t>
    </rPh>
    <rPh sb="236" eb="238">
      <t>ネンド</t>
    </rPh>
    <rPh sb="240" eb="241">
      <t>ヒロ</t>
    </rPh>
    <rPh sb="242" eb="244">
      <t>ゼンガク</t>
    </rPh>
    <rPh sb="251" eb="253">
      <t>イギ</t>
    </rPh>
    <rPh sb="255" eb="257">
      <t>スウリ</t>
    </rPh>
    <rPh sb="269" eb="271">
      <t>シャカイ</t>
    </rPh>
    <rPh sb="275" eb="278">
      <t>ヒツヨウセイ</t>
    </rPh>
    <rPh sb="279" eb="281">
      <t>コウホウ</t>
    </rPh>
    <rPh sb="287" eb="289">
      <t>レイワ</t>
    </rPh>
    <rPh sb="290" eb="293">
      <t>ネンドチュウ</t>
    </rPh>
    <rPh sb="294" eb="296">
      <t>キョウム</t>
    </rPh>
    <rPh sb="301" eb="303">
      <t>カクチョウ</t>
    </rPh>
    <rPh sb="305" eb="307">
      <t>シュウトク</t>
    </rPh>
    <rPh sb="307" eb="309">
      <t>タンイ</t>
    </rPh>
    <rPh sb="309" eb="310">
      <t>オヨ</t>
    </rPh>
    <rPh sb="311" eb="313">
      <t>シュウトク</t>
    </rPh>
    <rPh sb="317" eb="320">
      <t>カシカ</t>
    </rPh>
    <rPh sb="321" eb="322">
      <t>オコナ</t>
    </rPh>
    <rPh sb="324" eb="326">
      <t>リシュウ</t>
    </rPh>
    <rPh sb="326" eb="327">
      <t>シャ</t>
    </rPh>
    <rPh sb="328" eb="330">
      <t>ガクシュウ</t>
    </rPh>
    <rPh sb="330" eb="332">
      <t>ケイカク</t>
    </rPh>
    <rPh sb="332" eb="334">
      <t>サクセイ</t>
    </rPh>
    <rPh sb="335" eb="337">
      <t>イチジョ</t>
    </rPh>
    <rPh sb="344" eb="346">
      <t>コンゴ</t>
    </rPh>
    <rPh sb="351" eb="352">
      <t>ナド</t>
    </rPh>
    <rPh sb="353" eb="354">
      <t>モチ</t>
    </rPh>
    <rPh sb="362" eb="364">
      <t>タイショウ</t>
    </rPh>
    <rPh sb="368" eb="370">
      <t>カモク</t>
    </rPh>
    <rPh sb="373" eb="375">
      <t>ブブン</t>
    </rPh>
    <rPh sb="385" eb="387">
      <t>ヨウソ</t>
    </rPh>
    <rPh sb="395" eb="396">
      <t>ワ</t>
    </rPh>
    <rPh sb="407" eb="409">
      <t>ガクセイ</t>
    </rPh>
    <rPh sb="410" eb="413">
      <t>イシキテキ</t>
    </rPh>
    <rPh sb="423" eb="424">
      <t>マナ</t>
    </rPh>
    <rPh sb="426" eb="427">
      <t>オコナ</t>
    </rPh>
    <rPh sb="434" eb="436">
      <t>ジョウホウ</t>
    </rPh>
    <rPh sb="437" eb="439">
      <t>カンキョウ</t>
    </rPh>
    <rPh sb="440" eb="442">
      <t>テイキョウ</t>
    </rPh>
    <rPh sb="444" eb="446">
      <t>ヨテイ</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</si>
  <si>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</si>
  <si>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プログラム対象科目は、共通教育科目及び学域共通科目を中心に構成してあり、学域学類（学部・学科）に関係なく希望する学生全員が受講可能な体制が現時点ですでに整っている。
今後は、専門科目を中心にデータサイエンス要素を有する科目の精査、追加を続け、融合・文・理・医薬保の分野それぞれに、自身の専門学修に資するより高度なデータサイエンス科目を増やしていく予定である。</t>
    <rPh sb="5" eb="7">
      <t>タイショウ</t>
    </rPh>
    <rPh sb="7" eb="9">
      <t>カモク</t>
    </rPh>
    <rPh sb="11" eb="13">
      <t>キョウツウ</t>
    </rPh>
    <rPh sb="13" eb="15">
      <t>キョウイク</t>
    </rPh>
    <rPh sb="15" eb="17">
      <t>カモク</t>
    </rPh>
    <rPh sb="17" eb="18">
      <t>オヨ</t>
    </rPh>
    <rPh sb="19" eb="21">
      <t>ガクイキ</t>
    </rPh>
    <rPh sb="21" eb="23">
      <t>キョウツウ</t>
    </rPh>
    <rPh sb="23" eb="25">
      <t>カモク</t>
    </rPh>
    <rPh sb="26" eb="28">
      <t>チュウシン</t>
    </rPh>
    <rPh sb="29" eb="31">
      <t>コウセイ</t>
    </rPh>
    <rPh sb="36" eb="38">
      <t>ガクイキ</t>
    </rPh>
    <rPh sb="38" eb="40">
      <t>ガクルイ</t>
    </rPh>
    <rPh sb="66" eb="68">
      <t>タイセイ</t>
    </rPh>
    <rPh sb="69" eb="72">
      <t>ゲンジテン</t>
    </rPh>
    <rPh sb="76" eb="77">
      <t>トトノ</t>
    </rPh>
    <rPh sb="83" eb="85">
      <t>コンゴ</t>
    </rPh>
    <rPh sb="87" eb="89">
      <t>センモン</t>
    </rPh>
    <rPh sb="89" eb="91">
      <t>カモク</t>
    </rPh>
    <rPh sb="92" eb="94">
      <t>チュウシン</t>
    </rPh>
    <rPh sb="103" eb="105">
      <t>ヨウソ</t>
    </rPh>
    <rPh sb="106" eb="107">
      <t>ユウ</t>
    </rPh>
    <rPh sb="109" eb="111">
      <t>カモク</t>
    </rPh>
    <rPh sb="112" eb="114">
      <t>セイサ</t>
    </rPh>
    <rPh sb="115" eb="117">
      <t>ツイカ</t>
    </rPh>
    <rPh sb="118" eb="119">
      <t>ツヅ</t>
    </rPh>
    <rPh sb="121" eb="123">
      <t>ユウゴウ</t>
    </rPh>
    <rPh sb="124" eb="125">
      <t>ブン</t>
    </rPh>
    <rPh sb="126" eb="127">
      <t>リ</t>
    </rPh>
    <rPh sb="128" eb="130">
      <t>イヤク</t>
    </rPh>
    <rPh sb="130" eb="131">
      <t>ホ</t>
    </rPh>
    <rPh sb="132" eb="134">
      <t>ブンヤ</t>
    </rPh>
    <rPh sb="140" eb="142">
      <t>ジシン</t>
    </rPh>
    <rPh sb="143" eb="145">
      <t>センモン</t>
    </rPh>
    <rPh sb="145" eb="147">
      <t>ガクシュウ</t>
    </rPh>
    <rPh sb="148" eb="149">
      <t>シ</t>
    </rPh>
    <rPh sb="153" eb="155">
      <t>コウド</t>
    </rPh>
    <rPh sb="164" eb="166">
      <t>カモク</t>
    </rPh>
    <rPh sb="167" eb="168">
      <t>フ</t>
    </rPh>
    <rPh sb="173" eb="175">
      <t>ヨテイ</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</si>
  <si>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</si>
  <si>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Webサイトや各種イベント、本学ポータルサイトでのアナウンスに加え、教務システムの改修を計画している。すべての学生に、自身の本プログラムの進捗度を表示する予定であるとともに、可視化機能実装時には全学生に対しシステムログイン時や成績確定時等に、定期的にプログラムの進捗状況を通知する予定である。</t>
    <rPh sb="7" eb="9">
      <t>カクシュ</t>
    </rPh>
    <rPh sb="14" eb="16">
      <t>ホンガク</t>
    </rPh>
    <rPh sb="31" eb="32">
      <t>クワ</t>
    </rPh>
    <rPh sb="41" eb="43">
      <t>カイシュウ</t>
    </rPh>
    <rPh sb="44" eb="46">
      <t>ケイカク</t>
    </rPh>
    <rPh sb="101" eb="102">
      <t>タイ</t>
    </rPh>
    <rPh sb="111" eb="112">
      <t>ジ</t>
    </rPh>
    <rPh sb="113" eb="115">
      <t>セイセキ</t>
    </rPh>
    <rPh sb="115" eb="117">
      <t>カクテイ</t>
    </rPh>
    <rPh sb="117" eb="118">
      <t>ジ</t>
    </rPh>
    <rPh sb="118" eb="119">
      <t>ナド</t>
    </rPh>
    <rPh sb="121" eb="124">
      <t>テイキテキ</t>
    </rPh>
    <phoneticPr fontId="1"/>
  </si>
  <si>
    <t>できる限り多くの学生が履修・修得できるようなサポート体制</t>
    <rPh sb="26" eb="28">
      <t>タイセイ</t>
    </rPh>
    <phoneticPr fontId="1"/>
  </si>
  <si>
    <t>現時点で、プログラムの必修科目である「データサイエンス基礎」「情報処理基礎」は卒業要件における必修科目であるため1年次に自動的に全学生を履修登録した状態としている。また、「情報の科学」及び「統計学から未来を見る」は共通教育科目であり各クォーターに複数コマ開講しており、希望者のほぼ全員が履修できる体制が整っている。今後は、登録科目のデジタルコンテンツ化を進める予定であり、そのコンテンツの英語化等を行い、さらに多様な履修者を受け入れる計画である。</t>
    <rPh sb="0" eb="3">
      <t>ゲンジテン</t>
    </rPh>
    <rPh sb="57" eb="59">
      <t>ネンジ</t>
    </rPh>
    <rPh sb="60" eb="63">
      <t>ジドウテキ</t>
    </rPh>
    <rPh sb="64" eb="66">
      <t>ゼンガク</t>
    </rPh>
    <rPh sb="66" eb="67">
      <t>セイ</t>
    </rPh>
    <rPh sb="68" eb="70">
      <t>リシュウ</t>
    </rPh>
    <rPh sb="70" eb="72">
      <t>トウロク</t>
    </rPh>
    <rPh sb="74" eb="76">
      <t>ジョウタイ</t>
    </rPh>
    <rPh sb="86" eb="88">
      <t>ジョウホウ</t>
    </rPh>
    <rPh sb="89" eb="91">
      <t>カガク</t>
    </rPh>
    <rPh sb="92" eb="93">
      <t>オヨ</t>
    </rPh>
    <rPh sb="95" eb="98">
      <t>トウケイガク</t>
    </rPh>
    <rPh sb="100" eb="102">
      <t>ミライ</t>
    </rPh>
    <rPh sb="103" eb="104">
      <t>ミ</t>
    </rPh>
    <rPh sb="107" eb="109">
      <t>キョウツウ</t>
    </rPh>
    <rPh sb="109" eb="111">
      <t>キョウイク</t>
    </rPh>
    <rPh sb="111" eb="113">
      <t>カモク</t>
    </rPh>
    <rPh sb="116" eb="117">
      <t>カク</t>
    </rPh>
    <rPh sb="123" eb="125">
      <t>フクスウ</t>
    </rPh>
    <rPh sb="127" eb="129">
      <t>カイコウ</t>
    </rPh>
    <rPh sb="134" eb="137">
      <t>キボウシャ</t>
    </rPh>
    <rPh sb="140" eb="142">
      <t>ゼンイン</t>
    </rPh>
    <rPh sb="143" eb="145">
      <t>リシュウ</t>
    </rPh>
    <rPh sb="148" eb="150">
      <t>タイセイ</t>
    </rPh>
    <rPh sb="151" eb="152">
      <t>トトノ</t>
    </rPh>
    <rPh sb="157" eb="159">
      <t>コンゴ</t>
    </rPh>
    <rPh sb="161" eb="163">
      <t>トウロク</t>
    </rPh>
    <rPh sb="163" eb="165">
      <t>カモク</t>
    </rPh>
    <rPh sb="175" eb="176">
      <t>カ</t>
    </rPh>
    <rPh sb="177" eb="178">
      <t>スス</t>
    </rPh>
    <rPh sb="180" eb="182">
      <t>ヨテイ</t>
    </rPh>
    <rPh sb="194" eb="197">
      <t>エイゴカ</t>
    </rPh>
    <rPh sb="197" eb="198">
      <t>ナド</t>
    </rPh>
    <rPh sb="199" eb="200">
      <t>オコナ</t>
    </rPh>
    <rPh sb="205" eb="207">
      <t>タヨウ</t>
    </rPh>
    <rPh sb="208" eb="210">
      <t>リシュウ</t>
    </rPh>
    <rPh sb="210" eb="211">
      <t>シャ</t>
    </rPh>
    <rPh sb="212" eb="213">
      <t>ウ</t>
    </rPh>
    <rPh sb="214" eb="215">
      <t>イ</t>
    </rPh>
    <rPh sb="217" eb="219">
      <t>ケイカク</t>
    </rPh>
    <phoneticPr fontId="1"/>
  </si>
  <si>
    <t>授業時間内外で学習指導、質問を受け付ける具体的な仕組み</t>
    <rPh sb="20" eb="23">
      <t>グタイテキ</t>
    </rPh>
    <phoneticPr fontId="1"/>
  </si>
  <si>
    <t>本学はデータサイエンス科目に限らず、全科目のシラバスにオフィスアワーを明記することで、授業時間内外で学習指導、質問を受け付ける具体的な仕組みを構築している。同様に、すべての授業にLMSが完備され、掲示板やチャットを用いた質問、履修者間での議論等を可能としている。</t>
    <rPh sb="0" eb="2">
      <t>ホンガク</t>
    </rPh>
    <rPh sb="11" eb="13">
      <t>カモク</t>
    </rPh>
    <rPh sb="14" eb="15">
      <t>カギ</t>
    </rPh>
    <rPh sb="18" eb="19">
      <t>ゼン</t>
    </rPh>
    <rPh sb="19" eb="21">
      <t>カモク</t>
    </rPh>
    <rPh sb="35" eb="37">
      <t>メイキ</t>
    </rPh>
    <rPh sb="71" eb="73">
      <t>コウチク</t>
    </rPh>
    <rPh sb="78" eb="80">
      <t>ドウヨウ</t>
    </rPh>
    <rPh sb="86" eb="88">
      <t>ジュギョウ</t>
    </rPh>
    <rPh sb="93" eb="95">
      <t>カンビ</t>
    </rPh>
    <rPh sb="98" eb="101">
      <t>ケイジバン</t>
    </rPh>
    <rPh sb="107" eb="108">
      <t>モチ</t>
    </rPh>
    <rPh sb="110" eb="112">
      <t>シツモン</t>
    </rPh>
    <rPh sb="113" eb="115">
      <t>リシュウ</t>
    </rPh>
    <rPh sb="115" eb="116">
      <t>シャ</t>
    </rPh>
    <rPh sb="116" eb="117">
      <t>カン</t>
    </rPh>
    <rPh sb="119" eb="121">
      <t>ギロン</t>
    </rPh>
    <rPh sb="121" eb="122">
      <t>ナド</t>
    </rPh>
    <rPh sb="123" eb="125">
      <t>カノウ</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</si>
  <si>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</si>
  <si>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</si>
  <si>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</si>
  <si>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</si>
  <si>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</si>
  <si>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</si>
  <si>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</si>
  <si>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</si>
  <si>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令和3年度中に開発・稼働予定の可視化システムにおいて、履修者・運営者双方は「常時」、本プログラムの履修・取得・修了等進捗状況を把握することを可能とする予定である。</t>
    <rPh sb="0" eb="2">
      <t>レイワ</t>
    </rPh>
    <rPh sb="3" eb="5">
      <t>ネンド</t>
    </rPh>
    <rPh sb="5" eb="6">
      <t>チュウ</t>
    </rPh>
    <rPh sb="7" eb="9">
      <t>カイハツ</t>
    </rPh>
    <rPh sb="10" eb="12">
      <t>カドウ</t>
    </rPh>
    <rPh sb="12" eb="14">
      <t>ヨテイ</t>
    </rPh>
    <rPh sb="15" eb="18">
      <t>カシカ</t>
    </rPh>
    <rPh sb="27" eb="29">
      <t>リシュウ</t>
    </rPh>
    <rPh sb="29" eb="30">
      <t>シャ</t>
    </rPh>
    <rPh sb="31" eb="33">
      <t>ウンエイ</t>
    </rPh>
    <rPh sb="33" eb="34">
      <t>シャ</t>
    </rPh>
    <rPh sb="34" eb="36">
      <t>ソウホウ</t>
    </rPh>
    <rPh sb="38" eb="40">
      <t>ジョウジ</t>
    </rPh>
    <rPh sb="42" eb="43">
      <t>ホン</t>
    </rPh>
    <rPh sb="55" eb="57">
      <t>シュウリョウ</t>
    </rPh>
    <rPh sb="57" eb="58">
      <t>ナド</t>
    </rPh>
    <rPh sb="58" eb="60">
      <t>シンチョク</t>
    </rPh>
    <rPh sb="63" eb="65">
      <t>ハアク</t>
    </rPh>
    <rPh sb="70" eb="72">
      <t>カノウ</t>
    </rPh>
    <rPh sb="75" eb="77">
      <t>ヨテイ</t>
    </rPh>
    <phoneticPr fontId="1"/>
  </si>
  <si>
    <t>学修成果</t>
    <rPh sb="0" eb="2">
      <t>ガクシュウ</t>
    </rPh>
    <rPh sb="2" eb="4">
      <t>セイカ</t>
    </rPh>
    <phoneticPr fontId="1"/>
  </si>
  <si>
    <t>全学士課程で各クォーターごとに授業評価アンケートを実施しており、本プログラムに該当する科目を抽出し分析しすることで学修成果を把握することが可能である。</t>
    <rPh sb="0" eb="1">
      <t>ゼン</t>
    </rPh>
    <rPh sb="1" eb="3">
      <t>ガクシ</t>
    </rPh>
    <rPh sb="3" eb="5">
      <t>カテイ</t>
    </rPh>
    <rPh sb="6" eb="7">
      <t>カク</t>
    </rPh>
    <rPh sb="15" eb="17">
      <t>ジュギョウ</t>
    </rPh>
    <rPh sb="17" eb="19">
      <t>ヒョウカ</t>
    </rPh>
    <rPh sb="25" eb="27">
      <t>ジッシ</t>
    </rPh>
    <rPh sb="32" eb="33">
      <t>ホン</t>
    </rPh>
    <rPh sb="39" eb="41">
      <t>ガイトウ</t>
    </rPh>
    <rPh sb="43" eb="45">
      <t>カモク</t>
    </rPh>
    <rPh sb="46" eb="48">
      <t>チュウシュツ</t>
    </rPh>
    <rPh sb="49" eb="51">
      <t>ブンセキ</t>
    </rPh>
    <rPh sb="57" eb="59">
      <t>ガクシュウ</t>
    </rPh>
    <rPh sb="59" eb="61">
      <t>セイカ</t>
    </rPh>
    <rPh sb="62" eb="64">
      <t>ハアク</t>
    </rPh>
    <rPh sb="69" eb="71">
      <t>カノウ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</si>
  <si>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</si>
  <si>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本教育プログラム受講者全員にアンケートを実施し、教務委員会で分析、その結果を各学域で共有することで学生の理解度を把握すし、プログラム内容の改善につなげる予定である。</t>
    <rPh sb="11" eb="13">
      <t>ゼンイン</t>
    </rPh>
    <rPh sb="20" eb="22">
      <t>ジッシ</t>
    </rPh>
    <rPh sb="24" eb="26">
      <t>キョウム</t>
    </rPh>
    <rPh sb="26" eb="29">
      <t>イインカイ</t>
    </rPh>
    <rPh sb="30" eb="32">
      <t>ブンセキ</t>
    </rPh>
    <rPh sb="35" eb="37">
      <t>ケッカ</t>
    </rPh>
    <rPh sb="38" eb="39">
      <t>カク</t>
    </rPh>
    <rPh sb="39" eb="41">
      <t>ガクイキ</t>
    </rPh>
    <rPh sb="42" eb="44">
      <t>キョウユウ</t>
    </rPh>
    <rPh sb="49" eb="51">
      <t>ガクセイ</t>
    </rPh>
    <rPh sb="52" eb="55">
      <t>リカイド</t>
    </rPh>
    <rPh sb="56" eb="58">
      <t>ハアク</t>
    </rPh>
    <rPh sb="66" eb="68">
      <t>ナイヨウ</t>
    </rPh>
    <rPh sb="69" eb="71">
      <t>カイゼン</t>
    </rPh>
    <rPh sb="76" eb="78">
      <t>ヨテイ</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</si>
  <si>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</si>
  <si>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は在籍者へのアナウンスを行っていない状態であり、推奨度データは存在しない。修了者には認定証を授与する予定であり、その際に簡易なアンケートを行って「修了者の声」としてまとめる予定である。</t>
    <rPh sb="30" eb="32">
      <t>スイショウ</t>
    </rPh>
    <rPh sb="32" eb="33">
      <t>ド</t>
    </rPh>
    <rPh sb="37" eb="39">
      <t>ソンザイ</t>
    </rPh>
    <rPh sb="43" eb="46">
      <t>シュウリョウシャ</t>
    </rPh>
    <rPh sb="48" eb="51">
      <t>ニンテイショウ</t>
    </rPh>
    <rPh sb="52" eb="54">
      <t>ジュヨ</t>
    </rPh>
    <rPh sb="56" eb="58">
      <t>ヨテイ</t>
    </rPh>
    <rPh sb="64" eb="65">
      <t>サイ</t>
    </rPh>
    <rPh sb="66" eb="68">
      <t>カンイ</t>
    </rPh>
    <rPh sb="75" eb="76">
      <t>オコナ</t>
    </rPh>
    <rPh sb="79" eb="82">
      <t>シュウリョウシャ</t>
    </rPh>
    <rPh sb="83" eb="84">
      <t>コエ</t>
    </rPh>
    <rPh sb="92" eb="94">
      <t>ヨテイ</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</si>
  <si>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</si>
  <si>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既に本プログラムの必修科目は全学の卒業要件においても必修としてある。さらに令和3年度入学者からは各所属のデータサイエンス科目の2単位以上修得を卒業要件において必修化しており、データサイエンス・AI教育における意識を高める仕掛けづくりを先手を打って行っている。</t>
    <rPh sb="0" eb="1">
      <t>スデ</t>
    </rPh>
    <rPh sb="2" eb="3">
      <t>ホン</t>
    </rPh>
    <rPh sb="9" eb="11">
      <t>ヒッシュウ</t>
    </rPh>
    <rPh sb="11" eb="13">
      <t>カモク</t>
    </rPh>
    <rPh sb="14" eb="16">
      <t>ゼンガク</t>
    </rPh>
    <rPh sb="17" eb="19">
      <t>ソツギョウ</t>
    </rPh>
    <rPh sb="19" eb="21">
      <t>ヨウケン</t>
    </rPh>
    <rPh sb="26" eb="28">
      <t>ヒッシュウ</t>
    </rPh>
    <rPh sb="37" eb="39">
      <t>レイワ</t>
    </rPh>
    <rPh sb="40" eb="42">
      <t>ネンド</t>
    </rPh>
    <rPh sb="42" eb="45">
      <t>ニュウガクシャ</t>
    </rPh>
    <rPh sb="48" eb="51">
      <t>カクショゾク</t>
    </rPh>
    <rPh sb="60" eb="62">
      <t>カモク</t>
    </rPh>
    <rPh sb="64" eb="66">
      <t>タンイ</t>
    </rPh>
    <rPh sb="66" eb="68">
      <t>イジョウ</t>
    </rPh>
    <rPh sb="68" eb="70">
      <t>シュウトク</t>
    </rPh>
    <rPh sb="71" eb="73">
      <t>ソツギョウ</t>
    </rPh>
    <rPh sb="73" eb="75">
      <t>ヨウケン</t>
    </rPh>
    <rPh sb="79" eb="81">
      <t>ヒッシュウ</t>
    </rPh>
    <rPh sb="81" eb="82">
      <t>カ</t>
    </rPh>
    <rPh sb="98" eb="100">
      <t>キョウイク</t>
    </rPh>
    <rPh sb="104" eb="106">
      <t>イシキ</t>
    </rPh>
    <rPh sb="107" eb="108">
      <t>タカ</t>
    </rPh>
    <rPh sb="110" eb="112">
      <t>シカ</t>
    </rPh>
    <rPh sb="117" eb="119">
      <t>センテ</t>
    </rPh>
    <rPh sb="120" eb="121">
      <t>ウ</t>
    </rPh>
    <rPh sb="123" eb="124">
      <t>オコナ</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</si>
  <si>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</si>
  <si>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</si>
  <si>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就職支援室と連携し、プログラム修了者の進路状況の把握が可能である。本プログラムは修了に「ランク」があり、ブロンズランクでの修了者と、より多くの単位を修得したプラチナランクの修了者の進路先の比較等の評価が可能となる予定である。</t>
    <rPh sb="0" eb="2">
      <t>シュウショク</t>
    </rPh>
    <rPh sb="2" eb="4">
      <t>シエン</t>
    </rPh>
    <rPh sb="4" eb="5">
      <t>シツ</t>
    </rPh>
    <rPh sb="6" eb="8">
      <t>レンケイ</t>
    </rPh>
    <rPh sb="15" eb="18">
      <t>シュウリョウシャ</t>
    </rPh>
    <rPh sb="19" eb="21">
      <t>シンロ</t>
    </rPh>
    <rPh sb="21" eb="23">
      <t>ジョウキョウ</t>
    </rPh>
    <rPh sb="24" eb="26">
      <t>ハアク</t>
    </rPh>
    <rPh sb="27" eb="29">
      <t>カノウ</t>
    </rPh>
    <rPh sb="33" eb="34">
      <t>ホン</t>
    </rPh>
    <rPh sb="40" eb="42">
      <t>シュウリョウ</t>
    </rPh>
    <rPh sb="61" eb="64">
      <t>シュウリョウシャ</t>
    </rPh>
    <rPh sb="68" eb="69">
      <t>オオ</t>
    </rPh>
    <rPh sb="71" eb="73">
      <t>タンイ</t>
    </rPh>
    <rPh sb="74" eb="76">
      <t>シュウトク</t>
    </rPh>
    <rPh sb="86" eb="89">
      <t>シュウリョウシャ</t>
    </rPh>
    <rPh sb="90" eb="92">
      <t>シンロ</t>
    </rPh>
    <rPh sb="92" eb="93">
      <t>サキ</t>
    </rPh>
    <rPh sb="94" eb="96">
      <t>ヒカク</t>
    </rPh>
    <rPh sb="96" eb="97">
      <t>ナド</t>
    </rPh>
    <rPh sb="98" eb="100">
      <t>ヒョウカ</t>
    </rPh>
    <rPh sb="101" eb="103">
      <t>カノウ</t>
    </rPh>
    <rPh sb="106" eb="108">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</si>
  <si>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</si>
  <si>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は令和2年度から大学コンソーシアム石川の構成機関を対象に数理データサイエンスAIに関するFDを開催している。そこに産業界からのゲストスピーカーを招き、産業界からの視点を含めた教育プログラム内容・手法等をテーマとするFDを開催する等、学外からの意見を取り入れる機会を構築する予定である。</t>
    <rPh sb="0" eb="2">
      <t>ホンガク</t>
    </rPh>
    <rPh sb="3" eb="5">
      <t>レイワ</t>
    </rPh>
    <rPh sb="6" eb="8">
      <t>ネンド</t>
    </rPh>
    <rPh sb="10" eb="12">
      <t>ダイガク</t>
    </rPh>
    <rPh sb="19" eb="21">
      <t>イシカワ</t>
    </rPh>
    <rPh sb="22" eb="24">
      <t>コウセイ</t>
    </rPh>
    <rPh sb="24" eb="26">
      <t>キカン</t>
    </rPh>
    <rPh sb="27" eb="29">
      <t>タイショウ</t>
    </rPh>
    <rPh sb="30" eb="32">
      <t>スウリ</t>
    </rPh>
    <rPh sb="43" eb="44">
      <t>カン</t>
    </rPh>
    <rPh sb="49" eb="51">
      <t>カイサイ</t>
    </rPh>
    <rPh sb="59" eb="62">
      <t>サンギョウカイ</t>
    </rPh>
    <rPh sb="74" eb="75">
      <t>マネ</t>
    </rPh>
    <rPh sb="112" eb="114">
      <t>カイサイ</t>
    </rPh>
    <rPh sb="116" eb="117">
      <t>ナド</t>
    </rPh>
    <rPh sb="118" eb="120">
      <t>ガクガイ</t>
    </rPh>
    <rPh sb="123" eb="125">
      <t>イケン</t>
    </rPh>
    <rPh sb="126" eb="127">
      <t>ト</t>
    </rPh>
    <rPh sb="128" eb="129">
      <t>イ</t>
    </rPh>
    <rPh sb="131" eb="133">
      <t>キカイ</t>
    </rPh>
    <rPh sb="134" eb="136">
      <t>コウチク</t>
    </rPh>
    <rPh sb="138" eb="140">
      <t>ヨテイ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</si>
  <si>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</si>
  <si>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社会がデータサイエンス人材を求めているという実感を持たせるとともに、システムにおいて、修得済み科目に含まれるモデルカリキュラムのスキルセットを表示し、自身の「データサイエンス能力」の可視化を行う予定である。また、プログラムはブロンズからプラチナまで、4ランクの修了要件を有することから、より高度な要件の修了を目指すことができるよう、将来的に修了者インタビューや、修了者の進路などの「実績コンテンツ」を充実させることを検討している。</t>
    <rPh sb="0" eb="2">
      <t>シャカイ</t>
    </rPh>
    <rPh sb="11" eb="13">
      <t>ジンザイ</t>
    </rPh>
    <rPh sb="14" eb="15">
      <t>モト</t>
    </rPh>
    <rPh sb="22" eb="24">
      <t>ジッカン</t>
    </rPh>
    <rPh sb="25" eb="26">
      <t>モ</t>
    </rPh>
    <rPh sb="43" eb="45">
      <t>シュウトク</t>
    </rPh>
    <rPh sb="45" eb="46">
      <t>ズ</t>
    </rPh>
    <rPh sb="47" eb="49">
      <t>カモク</t>
    </rPh>
    <rPh sb="50" eb="51">
      <t>フク</t>
    </rPh>
    <rPh sb="71" eb="73">
      <t>ヒョウジ</t>
    </rPh>
    <rPh sb="75" eb="77">
      <t>ジシン</t>
    </rPh>
    <rPh sb="87" eb="89">
      <t>ノウリョク</t>
    </rPh>
    <rPh sb="91" eb="94">
      <t>カシカ</t>
    </rPh>
    <rPh sb="95" eb="96">
      <t>オコナ</t>
    </rPh>
    <rPh sb="97" eb="99">
      <t>ヨテイ</t>
    </rPh>
    <rPh sb="130" eb="132">
      <t>シュウリョウ</t>
    </rPh>
    <rPh sb="132" eb="134">
      <t>ヨウケン</t>
    </rPh>
    <rPh sb="135" eb="136">
      <t>ユウ</t>
    </rPh>
    <rPh sb="145" eb="147">
      <t>コウド</t>
    </rPh>
    <rPh sb="148" eb="150">
      <t>ヨウケン</t>
    </rPh>
    <rPh sb="151" eb="153">
      <t>シュウリョウ</t>
    </rPh>
    <rPh sb="154" eb="156">
      <t>メザ</t>
    </rPh>
    <rPh sb="166" eb="169">
      <t>ショウライテキ</t>
    </rPh>
    <rPh sb="170" eb="173">
      <t>シュウリョウシャ</t>
    </rPh>
    <rPh sb="181" eb="184">
      <t>シュウリョウシャ</t>
    </rPh>
    <rPh sb="185" eb="187">
      <t>シンロ</t>
    </rPh>
    <rPh sb="191" eb="193">
      <t>ジッセキ</t>
    </rPh>
    <rPh sb="200" eb="202">
      <t>ジュウジツ</t>
    </rPh>
    <rPh sb="208" eb="210">
      <t>ケントウ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</si>
  <si>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</si>
  <si>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全学の授業評価アンケートに、データサイエンスに関する質問項目を追加することを検討している。それを分析することで、授業としての「分かりやすさ」、すなわち当該授業の学修目標を達成するためには「データサイエンス能力」が必要であることの必然性が実感できる授業へと改善する。</t>
    <rPh sb="0" eb="2">
      <t>ゼンガク</t>
    </rPh>
    <rPh sb="3" eb="5">
      <t>ジュギョウ</t>
    </rPh>
    <rPh sb="5" eb="7">
      <t>ヒョウカ</t>
    </rPh>
    <rPh sb="23" eb="24">
      <t>カン</t>
    </rPh>
    <rPh sb="26" eb="28">
      <t>シツモン</t>
    </rPh>
    <rPh sb="28" eb="30">
      <t>コウモク</t>
    </rPh>
    <rPh sb="31" eb="33">
      <t>ツイカ</t>
    </rPh>
    <rPh sb="38" eb="40">
      <t>ケントウ</t>
    </rPh>
    <rPh sb="48" eb="50">
      <t>ブンセキ</t>
    </rPh>
    <rPh sb="56" eb="58">
      <t>ジュギョウ</t>
    </rPh>
    <rPh sb="63" eb="64">
      <t>ワ</t>
    </rPh>
    <rPh sb="75" eb="77">
      <t>トウガイ</t>
    </rPh>
    <rPh sb="77" eb="79">
      <t>ジュギョウ</t>
    </rPh>
    <rPh sb="80" eb="82">
      <t>ガクシュウ</t>
    </rPh>
    <rPh sb="82" eb="84">
      <t>モクヒョウ</t>
    </rPh>
    <rPh sb="85" eb="87">
      <t>タッセイ</t>
    </rPh>
    <rPh sb="102" eb="104">
      <t>ノウリョク</t>
    </rPh>
    <rPh sb="106" eb="108">
      <t>ヒツヨウ</t>
    </rPh>
    <rPh sb="114" eb="117">
      <t>ヒツゼンセイ</t>
    </rPh>
    <rPh sb="118" eb="120">
      <t>ジッカン</t>
    </rPh>
    <rPh sb="123" eb="125">
      <t>ジュギョウ</t>
    </rPh>
    <rPh sb="127" eb="129">
      <t>カイゼン</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</si>
  <si>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</si>
  <si>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</si>
  <si>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</si>
  <si>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https://note.w3.kanazawa-u.ac.jp/contents/664</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</si>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</sst>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2"/>
      <color rgb="FFFF0000"/>
      <name val="ＭＳ Ｐゴシック"/>
      <family val="3"/>
      <charset val="128"/>
      <scheme val="minor"/>
    </font>
    <font>
      <sz val="8"/>
      <color theme="1"/>
      <name val="ＭＳ Ｐゴシック"/>
      <family val="2"/>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diagonalUp="1">
      <left/>
      <right style="thin">
        <color indexed="64"/>
      </right>
      <top style="hair">
        <color indexed="64"/>
      </top>
      <bottom style="hair">
        <color indexed="64"/>
      </bottom>
      <diagonal style="thin">
        <color indexed="64"/>
      </diagonal>
    </border>
    <border diagonalUp="1">
      <left/>
      <right style="thin">
        <color indexed="64"/>
      </right>
      <top style="hair">
        <color indexed="64"/>
      </top>
      <bottom style="double">
        <color indexed="64"/>
      </bottom>
      <diagonal style="thin">
        <color indexed="64"/>
      </diagonal>
    </border>
    <border>
      <left style="thin">
        <color auto="1"/>
      </left>
      <right style="thin">
        <color indexed="64"/>
      </right>
      <top style="hair">
        <color auto="1"/>
      </top>
      <bottom style="double">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xf>
    <xf numFmtId="0" fontId="2" fillId="0" borderId="0" xfId="0" applyFont="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vertical="center" wrapText="1"/>
    </xf>
    <xf numFmtId="0" fontId="10" fillId="0" borderId="0" xfId="0" applyFont="1" applyFill="1">
      <alignment vertical="center"/>
    </xf>
    <xf numFmtId="0" fontId="2" fillId="0" borderId="0" xfId="0" applyFont="1" applyAlignment="1">
      <alignment horizontal="center" vertical="center"/>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26" xfId="0"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0" xfId="0" applyFont="1" applyFill="1">
      <alignment vertical="center"/>
    </xf>
    <xf numFmtId="0" fontId="12" fillId="0" borderId="2" xfId="0" applyFont="1" applyBorder="1" applyAlignment="1">
      <alignment vertical="center" shrinkToFit="1"/>
    </xf>
    <xf numFmtId="176" fontId="2" fillId="0" borderId="0" xfId="0" applyNumberFormat="1" applyFont="1">
      <alignment vertical="center"/>
    </xf>
    <xf numFmtId="1" fontId="3" fillId="0" borderId="20" xfId="0" applyNumberFormat="1" applyFont="1" applyBorder="1" applyAlignment="1">
      <alignment vertical="center" shrinkToFit="1"/>
    </xf>
    <xf numFmtId="9" fontId="3" fillId="0" borderId="12" xfId="0" applyNumberFormat="1" applyFont="1" applyBorder="1" applyAlignment="1">
      <alignment vertical="center" shrinkToFit="1"/>
    </xf>
    <xf numFmtId="9" fontId="3" fillId="0" borderId="38" xfId="0" applyNumberFormat="1" applyFont="1" applyBorder="1" applyAlignment="1">
      <alignment vertical="center" shrinkToFit="1"/>
    </xf>
    <xf numFmtId="9" fontId="3" fillId="0" borderId="19" xfId="0" applyNumberFormat="1" applyFont="1" applyBorder="1" applyAlignment="1">
      <alignment vertical="center" shrinkToFit="1"/>
    </xf>
    <xf numFmtId="9" fontId="3" fillId="0" borderId="40" xfId="0" applyNumberFormat="1" applyFont="1" applyBorder="1" applyAlignment="1">
      <alignment vertical="center" shrinkToFit="1"/>
    </xf>
    <xf numFmtId="9" fontId="3" fillId="0" borderId="41" xfId="0" applyNumberFormat="1" applyFont="1" applyBorder="1" applyAlignment="1">
      <alignment vertical="center" shrinkToFit="1"/>
    </xf>
    <xf numFmtId="176" fontId="3" fillId="0" borderId="42" xfId="0" applyNumberFormat="1" applyFont="1" applyBorder="1" applyAlignment="1">
      <alignment vertical="center" shrinkToFit="1"/>
    </xf>
    <xf numFmtId="0" fontId="18" fillId="0" borderId="0" xfId="0" applyFont="1" applyAlignment="1"/>
    <xf numFmtId="0" fontId="9" fillId="0" borderId="0" xfId="0" applyFont="1" applyBorder="1" applyAlignment="1">
      <alignment horizontal="center" vertical="center"/>
    </xf>
    <xf numFmtId="0" fontId="13" fillId="0" borderId="2" xfId="0" applyFont="1" applyBorder="1" applyAlignment="1">
      <alignment vertical="center" shrinkToFit="1"/>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vertical="center" shrinkToFit="1"/>
    </xf>
    <xf numFmtId="0" fontId="3" fillId="0" borderId="20" xfId="0" applyFont="1" applyBorder="1" applyAlignment="1">
      <alignment vertical="center" shrinkToFit="1"/>
    </xf>
    <xf numFmtId="0" fontId="2"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176" fontId="13" fillId="0" borderId="2"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0" fillId="0" borderId="3" xfId="0" applyBorder="1" applyAlignment="1">
      <alignment vertical="center" shrinkToFit="1"/>
    </xf>
    <xf numFmtId="0" fontId="0" fillId="0" borderId="4" xfId="0"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15" xfId="0" applyFont="1" applyBorder="1" applyAlignment="1">
      <alignment vertical="center" shrinkToFit="1"/>
    </xf>
    <xf numFmtId="0" fontId="3" fillId="0" borderId="38" xfId="0" applyFont="1" applyBorder="1" applyAlignment="1">
      <alignmen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16" xfId="0" applyFont="1" applyBorder="1" applyAlignment="1">
      <alignment horizontal="center" vertical="center"/>
    </xf>
    <xf numFmtId="0" fontId="8" fillId="0" borderId="13"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shrinkToFit="1"/>
    </xf>
    <xf numFmtId="0" fontId="12" fillId="0" borderId="2"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7" fillId="0" borderId="2" xfId="2" applyBorder="1" applyAlignment="1">
      <alignment vertical="center" shrinkToFi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39" xfId="0" applyFont="1" applyBorder="1" applyAlignment="1">
      <alignment vertical="center" wrapText="1"/>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3" fillId="0" borderId="13" xfId="0" applyFont="1" applyBorder="1" applyAlignment="1">
      <alignment vertical="center" wrapText="1"/>
    </xf>
    <xf numFmtId="0" fontId="2" fillId="0" borderId="0" xfId="0" applyFont="1" applyAlignment="1">
      <alignment horizontal="center" vertical="center"/>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5" xfId="0" applyFont="1" applyBorder="1" applyAlignment="1">
      <alignment horizontal="left" vertical="top" wrapText="1"/>
    </xf>
    <xf numFmtId="0" fontId="12" fillId="0" borderId="0"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jyoho@adm.kanazawa-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note.w3.kanazawa-u.ac.jp/news/23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note.w3.kanazawa-u.ac.jp/news/239"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note.w3.kanazawa-u.ac.jp/contents/664"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zoomScaleSheetLayoutView="85" workbookViewId="0">
      <selection activeCell="F43" sqref="F43:N43"/>
    </sheetView>
  </sheetViews>
  <sheetFormatPr defaultColWidth="9" defaultRowHeight="18.75" customHeight="1"/>
  <cols>
    <col min="1" max="1" width="2.5" style="24" customWidth="1"/>
    <col min="2" max="2" width="12.5" style="24" customWidth="1"/>
    <col min="3" max="8" width="6.25" style="24" customWidth="1"/>
    <col min="9" max="9" width="2.5" style="24" customWidth="1"/>
    <col min="10" max="10" width="10" style="24" customWidth="1"/>
    <col min="11" max="11" width="2.5" style="24" customWidth="1"/>
    <col min="12" max="12" width="7.5" style="24" customWidth="1"/>
    <col min="13" max="13" width="2.5" style="24" customWidth="1"/>
    <col min="14" max="14" width="7.5" style="24" customWidth="1"/>
    <col min="15" max="16384" width="9" style="24"/>
  </cols>
  <sheetData>
    <row r="1" spans="1:14" ht="22.5" customHeight="1">
      <c r="M1" s="128" t="s">
        <v>0</v>
      </c>
      <c r="N1" s="128"/>
    </row>
    <row r="2" spans="1:14" ht="22.5" customHeight="1">
      <c r="A2" s="133" t="s">
        <v>1</v>
      </c>
      <c r="B2" s="133"/>
      <c r="C2" s="133"/>
      <c r="D2" s="133"/>
      <c r="E2" s="133"/>
      <c r="F2" s="133"/>
      <c r="G2" s="133"/>
      <c r="H2" s="133"/>
      <c r="I2" s="133"/>
      <c r="J2" s="133"/>
      <c r="K2" s="133"/>
      <c r="L2" s="133"/>
      <c r="M2" s="133"/>
      <c r="N2" s="133"/>
    </row>
    <row r="3" spans="1:14" ht="22.5" customHeight="1"/>
    <row r="4" spans="1:14" ht="22.5" customHeight="1">
      <c r="A4" s="24" t="s">
        <v>2</v>
      </c>
      <c r="B4" s="26" t="s">
        <v>3</v>
      </c>
      <c r="C4" s="117" t="s">
        <v>4</v>
      </c>
      <c r="D4" s="118"/>
      <c r="E4" s="118"/>
      <c r="F4" s="118"/>
      <c r="G4" s="118"/>
      <c r="H4" s="118"/>
      <c r="I4" s="118"/>
      <c r="J4" s="118"/>
      <c r="K4" s="118"/>
      <c r="L4" s="118"/>
      <c r="M4" s="118"/>
      <c r="N4" s="119"/>
    </row>
    <row r="5" spans="1:14" ht="7.5" customHeight="1">
      <c r="B5" s="26"/>
      <c r="C5" s="26"/>
      <c r="D5" s="26"/>
      <c r="E5" s="27"/>
      <c r="F5" s="106"/>
      <c r="G5" s="106"/>
      <c r="H5" s="106"/>
      <c r="I5" s="106"/>
      <c r="J5" s="106"/>
      <c r="K5" s="106"/>
      <c r="L5" s="106"/>
      <c r="M5" s="106"/>
      <c r="N5" s="106"/>
    </row>
    <row r="6" spans="1:14" ht="22.5" customHeight="1">
      <c r="A6" s="24" t="s">
        <v>5</v>
      </c>
      <c r="B6" s="26" t="s">
        <v>6</v>
      </c>
      <c r="C6" s="26"/>
      <c r="D6" s="117" t="s">
        <v>7</v>
      </c>
      <c r="E6" s="118"/>
      <c r="F6" s="118"/>
      <c r="G6" s="118"/>
      <c r="H6" s="118"/>
      <c r="I6" s="118"/>
      <c r="J6" s="118"/>
      <c r="K6" s="118"/>
      <c r="L6" s="118"/>
      <c r="M6" s="118"/>
      <c r="N6" s="119"/>
    </row>
    <row r="7" spans="1:14" ht="7.5" customHeight="1">
      <c r="B7" s="26"/>
      <c r="C7" s="26"/>
      <c r="D7" s="26"/>
      <c r="E7" s="27"/>
      <c r="F7" s="106"/>
      <c r="G7" s="106"/>
      <c r="H7" s="106"/>
      <c r="I7" s="106"/>
      <c r="J7" s="106"/>
      <c r="K7" s="106"/>
      <c r="L7" s="106"/>
      <c r="M7" s="106"/>
      <c r="N7" s="106"/>
    </row>
    <row r="8" spans="1:14" ht="22.5" customHeight="1">
      <c r="A8" s="28" t="s">
        <v>8</v>
      </c>
      <c r="B8" s="29" t="s">
        <v>9</v>
      </c>
      <c r="C8" s="117" t="s">
        <v>10</v>
      </c>
      <c r="D8" s="118"/>
      <c r="E8" s="119"/>
      <c r="F8" s="106"/>
      <c r="G8" s="132"/>
      <c r="H8" s="132"/>
      <c r="I8" s="132"/>
      <c r="J8" s="106"/>
      <c r="K8" s="106"/>
      <c r="L8" s="106"/>
      <c r="M8" s="106"/>
      <c r="N8" s="106"/>
    </row>
    <row r="9" spans="1:14" ht="7.5" customHeight="1">
      <c r="B9" s="26"/>
      <c r="C9" s="26"/>
      <c r="D9" s="26"/>
      <c r="E9" s="27"/>
      <c r="F9" s="106"/>
      <c r="G9" s="106"/>
      <c r="H9" s="106"/>
      <c r="I9" s="106"/>
      <c r="J9" s="106"/>
      <c r="K9" s="106"/>
      <c r="L9" s="106"/>
      <c r="M9" s="106"/>
      <c r="N9" s="106"/>
    </row>
    <row r="10" spans="1:14" ht="22.5" customHeight="1">
      <c r="A10" s="24" t="s">
        <v>11</v>
      </c>
      <c r="B10" s="26" t="s">
        <v>12</v>
      </c>
      <c r="C10" s="117" t="s">
        <v>13</v>
      </c>
      <c r="D10" s="118"/>
      <c r="E10" s="118"/>
      <c r="F10" s="118"/>
      <c r="G10" s="118"/>
      <c r="H10" s="118"/>
      <c r="I10" s="118"/>
      <c r="J10" s="118"/>
      <c r="K10" s="118"/>
      <c r="L10" s="118"/>
      <c r="M10" s="118"/>
      <c r="N10" s="119"/>
    </row>
    <row r="11" spans="1:14" ht="7.5" customHeight="1">
      <c r="B11" s="26"/>
      <c r="C11" s="26"/>
      <c r="D11" s="26"/>
      <c r="E11" s="27"/>
      <c r="F11" s="106"/>
      <c r="G11" s="106"/>
      <c r="H11" s="106"/>
      <c r="I11" s="106"/>
      <c r="J11" s="106"/>
      <c r="K11" s="106"/>
      <c r="L11" s="106"/>
      <c r="M11" s="106"/>
      <c r="N11" s="106"/>
    </row>
    <row r="12" spans="1:14" ht="22.5" customHeight="1">
      <c r="A12" s="24" t="s">
        <v>14</v>
      </c>
      <c r="B12" s="26" t="s">
        <v>15</v>
      </c>
      <c r="C12" s="26"/>
      <c r="D12" s="26"/>
      <c r="E12" s="86"/>
      <c r="F12" s="87"/>
      <c r="G12" s="134" t="s">
        <v>16</v>
      </c>
      <c r="H12" s="135"/>
      <c r="I12" s="135"/>
      <c r="J12" s="135"/>
      <c r="K12" s="135"/>
      <c r="L12" s="135"/>
      <c r="M12" s="135"/>
      <c r="N12" s="136"/>
    </row>
    <row r="13" spans="1:14" ht="7.5" customHeight="1">
      <c r="B13" s="27"/>
      <c r="C13" s="27"/>
      <c r="D13" s="27"/>
      <c r="E13" s="27"/>
      <c r="F13" s="106"/>
      <c r="G13" s="106"/>
      <c r="H13" s="106"/>
      <c r="I13" s="106"/>
      <c r="J13" s="106"/>
      <c r="K13" s="106"/>
      <c r="L13" s="106"/>
      <c r="M13" s="106"/>
      <c r="N13" s="106"/>
    </row>
    <row r="14" spans="1:14" ht="22.5" customHeight="1">
      <c r="A14" s="24" t="s">
        <v>17</v>
      </c>
      <c r="B14" s="27" t="s">
        <v>18</v>
      </c>
      <c r="C14" s="27"/>
      <c r="D14" s="27"/>
      <c r="E14" s="27"/>
      <c r="F14" s="117" t="s">
        <v>19</v>
      </c>
      <c r="G14" s="118"/>
      <c r="H14" s="119"/>
      <c r="I14" s="106"/>
      <c r="J14" s="106"/>
      <c r="K14" s="106"/>
      <c r="L14" s="106"/>
      <c r="M14" s="106"/>
      <c r="N14" s="106"/>
    </row>
    <row r="15" spans="1:14" ht="7.5" customHeight="1">
      <c r="B15" s="27"/>
      <c r="C15" s="27"/>
      <c r="D15" s="27"/>
      <c r="E15" s="27"/>
      <c r="F15" s="106"/>
      <c r="G15" s="106"/>
      <c r="H15" s="106"/>
      <c r="I15" s="106"/>
      <c r="J15" s="106"/>
      <c r="K15" s="106"/>
      <c r="L15" s="106"/>
      <c r="M15" s="106"/>
      <c r="N15" s="106"/>
    </row>
    <row r="16" spans="1:14" ht="22.5" customHeight="1">
      <c r="A16" s="24" t="s">
        <v>20</v>
      </c>
      <c r="B16" s="24" t="s">
        <v>21</v>
      </c>
      <c r="C16" s="129" t="s">
        <v>22</v>
      </c>
      <c r="D16" s="130"/>
      <c r="E16" s="115">
        <v>1022</v>
      </c>
      <c r="F16" s="116"/>
      <c r="G16" s="30" t="s">
        <v>23</v>
      </c>
      <c r="I16" s="129" t="s">
        <v>24</v>
      </c>
      <c r="J16" s="130"/>
      <c r="K16" s="115">
        <v>169</v>
      </c>
      <c r="L16" s="131"/>
      <c r="M16" s="116"/>
      <c r="N16" s="31" t="s">
        <v>23</v>
      </c>
    </row>
    <row r="17" spans="1:15" ht="7.5" customHeight="1">
      <c r="F17" s="32"/>
      <c r="G17" s="32"/>
      <c r="H17" s="32"/>
      <c r="I17" s="32"/>
      <c r="J17" s="32"/>
      <c r="K17" s="32"/>
      <c r="L17" s="32"/>
      <c r="M17" s="31"/>
      <c r="N17" s="31"/>
    </row>
    <row r="18" spans="1:15" ht="22.5" customHeight="1">
      <c r="A18" s="24" t="s">
        <v>25</v>
      </c>
      <c r="B18" s="24" t="s">
        <v>26</v>
      </c>
      <c r="F18" s="32"/>
      <c r="G18" s="32"/>
      <c r="H18" s="32"/>
      <c r="I18" s="32"/>
      <c r="J18" s="32"/>
      <c r="K18" s="127">
        <v>81</v>
      </c>
      <c r="L18" s="122"/>
      <c r="M18" s="123"/>
      <c r="N18" s="31" t="s">
        <v>23</v>
      </c>
    </row>
    <row r="19" spans="1:15" ht="7.5" customHeight="1">
      <c r="F19" s="32"/>
      <c r="G19" s="32"/>
      <c r="H19" s="32"/>
      <c r="I19" s="32"/>
      <c r="J19" s="32"/>
      <c r="K19" s="32"/>
      <c r="L19" s="32"/>
      <c r="M19" s="31"/>
      <c r="N19" s="31"/>
    </row>
    <row r="20" spans="1:15" ht="22.5" customHeight="1">
      <c r="A20" s="24" t="s">
        <v>27</v>
      </c>
      <c r="B20" s="24" t="s">
        <v>28</v>
      </c>
      <c r="E20" s="115">
        <v>1726</v>
      </c>
      <c r="F20" s="116"/>
      <c r="G20" s="33" t="s">
        <v>29</v>
      </c>
      <c r="H20" s="32"/>
      <c r="K20" s="114"/>
      <c r="L20" s="114"/>
      <c r="M20" s="114"/>
      <c r="N20" s="114"/>
    </row>
    <row r="21" spans="1:15" ht="7.5" customHeight="1">
      <c r="E21" s="22"/>
      <c r="F21" s="32"/>
      <c r="G21" s="32"/>
      <c r="L21" s="101"/>
      <c r="M21" s="101"/>
      <c r="N21" s="34"/>
    </row>
    <row r="22" spans="1:15" ht="22.5" customHeight="1">
      <c r="A22" s="24" t="s">
        <v>30</v>
      </c>
      <c r="B22" s="24" t="s">
        <v>31</v>
      </c>
      <c r="E22" s="22"/>
      <c r="F22" s="32"/>
      <c r="G22" s="32"/>
      <c r="H22" s="24" t="s">
        <v>32</v>
      </c>
      <c r="J22" s="121">
        <f>C24+C26+C28+I24+I26+I28</f>
        <v>7799</v>
      </c>
      <c r="K22" s="122"/>
      <c r="L22" s="123"/>
      <c r="M22" s="101" t="s">
        <v>23</v>
      </c>
      <c r="N22" s="34"/>
    </row>
    <row r="23" spans="1:15" ht="7.5" customHeight="1">
      <c r="E23" s="22"/>
      <c r="F23" s="32"/>
      <c r="G23" s="32"/>
      <c r="L23" s="101"/>
      <c r="M23" s="101"/>
      <c r="N23" s="34"/>
    </row>
    <row r="24" spans="1:15" ht="22.5" customHeight="1">
      <c r="B24" s="105" t="s">
        <v>33</v>
      </c>
      <c r="C24" s="115">
        <v>1781</v>
      </c>
      <c r="D24" s="116"/>
      <c r="E24" s="22" t="s">
        <v>23</v>
      </c>
      <c r="F24" s="32"/>
      <c r="G24" s="120" t="s">
        <v>34</v>
      </c>
      <c r="H24" s="120"/>
      <c r="I24" s="115">
        <v>1768</v>
      </c>
      <c r="J24" s="116"/>
      <c r="K24" s="28" t="s">
        <v>23</v>
      </c>
      <c r="M24" s="101"/>
      <c r="N24" s="34"/>
      <c r="O24" s="25"/>
    </row>
    <row r="25" spans="1:15" ht="7.5" customHeight="1">
      <c r="B25" s="105"/>
      <c r="C25" s="23"/>
      <c r="D25" s="23"/>
      <c r="E25" s="22"/>
      <c r="F25" s="32"/>
      <c r="G25" s="101"/>
      <c r="H25" s="101"/>
      <c r="I25" s="23"/>
      <c r="J25" s="23"/>
      <c r="K25" s="28"/>
      <c r="M25" s="101"/>
      <c r="N25" s="34"/>
      <c r="O25" s="25"/>
    </row>
    <row r="26" spans="1:15" ht="22.5" customHeight="1">
      <c r="B26" s="105" t="s">
        <v>35</v>
      </c>
      <c r="C26" s="115">
        <v>1830</v>
      </c>
      <c r="D26" s="116"/>
      <c r="E26" s="22" t="s">
        <v>23</v>
      </c>
      <c r="F26" s="32"/>
      <c r="G26" s="120" t="s">
        <v>36</v>
      </c>
      <c r="H26" s="120"/>
      <c r="I26" s="115">
        <v>2121</v>
      </c>
      <c r="J26" s="116"/>
      <c r="K26" s="28" t="s">
        <v>23</v>
      </c>
      <c r="M26" s="101"/>
      <c r="N26" s="34"/>
    </row>
    <row r="27" spans="1:15" ht="7.5" customHeight="1">
      <c r="B27" s="105"/>
      <c r="C27" s="23"/>
      <c r="D27" s="23"/>
      <c r="E27" s="22"/>
      <c r="F27" s="32"/>
      <c r="G27" s="101"/>
      <c r="H27" s="101"/>
      <c r="I27" s="23"/>
      <c r="J27" s="23"/>
      <c r="K27" s="28"/>
      <c r="M27" s="101"/>
      <c r="N27" s="34"/>
    </row>
    <row r="28" spans="1:15" ht="22.5" customHeight="1">
      <c r="B28" s="105" t="s">
        <v>37</v>
      </c>
      <c r="C28" s="115">
        <v>144</v>
      </c>
      <c r="D28" s="116"/>
      <c r="E28" s="22" t="s">
        <v>23</v>
      </c>
      <c r="F28" s="32"/>
      <c r="G28" s="120" t="s">
        <v>38</v>
      </c>
      <c r="H28" s="120"/>
      <c r="I28" s="115">
        <v>155</v>
      </c>
      <c r="J28" s="116"/>
      <c r="K28" s="28" t="s">
        <v>23</v>
      </c>
      <c r="M28" s="101"/>
      <c r="N28" s="34"/>
    </row>
    <row r="29" spans="1:15" ht="7.5" customHeight="1">
      <c r="F29" s="32"/>
      <c r="G29" s="32"/>
      <c r="M29" s="35"/>
      <c r="N29" s="35"/>
    </row>
    <row r="30" spans="1:15" ht="22.5" customHeight="1">
      <c r="A30" s="24" t="s">
        <v>39</v>
      </c>
      <c r="B30" s="26" t="s">
        <v>40</v>
      </c>
      <c r="C30" s="26"/>
      <c r="D30" s="26"/>
      <c r="E30" s="26"/>
      <c r="F30" s="28"/>
      <c r="G30" s="106"/>
      <c r="H30" s="106"/>
      <c r="I30" s="106"/>
      <c r="J30" s="37"/>
      <c r="K30" s="37"/>
      <c r="L30" s="37"/>
      <c r="M30" s="37"/>
      <c r="N30" s="37"/>
    </row>
    <row r="31" spans="1:15" s="25" customFormat="1" ht="22.5" customHeight="1">
      <c r="B31" s="124" t="s">
        <v>41</v>
      </c>
      <c r="C31" s="124"/>
      <c r="D31" s="117" t="s">
        <v>42</v>
      </c>
      <c r="E31" s="118"/>
      <c r="F31" s="118"/>
      <c r="G31" s="125" t="s">
        <v>43</v>
      </c>
      <c r="H31" s="124"/>
      <c r="I31" s="126"/>
      <c r="J31" s="117" t="s">
        <v>44</v>
      </c>
      <c r="K31" s="118"/>
      <c r="L31" s="118"/>
      <c r="M31" s="118"/>
      <c r="N31" s="119"/>
    </row>
    <row r="32" spans="1:15" ht="7.5" customHeight="1">
      <c r="F32" s="32"/>
      <c r="G32" s="32"/>
      <c r="M32" s="35"/>
      <c r="N32" s="35"/>
    </row>
    <row r="33" spans="1:14" ht="22.5" customHeight="1">
      <c r="A33" s="24" t="s">
        <v>45</v>
      </c>
      <c r="B33" s="26" t="s">
        <v>46</v>
      </c>
      <c r="C33" s="26"/>
      <c r="D33" s="26"/>
      <c r="E33" s="26"/>
      <c r="F33" s="28"/>
      <c r="G33" s="37"/>
      <c r="H33" s="37"/>
      <c r="I33" s="37"/>
      <c r="J33" s="37"/>
      <c r="K33" s="37"/>
      <c r="L33" s="37"/>
      <c r="M33" s="37"/>
      <c r="N33" s="37"/>
    </row>
    <row r="34" spans="1:14" ht="22.5" customHeight="1">
      <c r="B34" s="117" t="s">
        <v>47</v>
      </c>
      <c r="C34" s="118"/>
      <c r="D34" s="118"/>
      <c r="E34" s="118"/>
      <c r="F34" s="118"/>
      <c r="G34" s="118"/>
      <c r="H34" s="118"/>
      <c r="I34" s="118"/>
      <c r="J34" s="118"/>
      <c r="K34" s="118"/>
      <c r="L34" s="118"/>
      <c r="M34" s="118"/>
      <c r="N34" s="119"/>
    </row>
    <row r="35" spans="1:14" ht="7.5" customHeight="1">
      <c r="B35" s="104"/>
      <c r="C35" s="104"/>
      <c r="D35" s="104"/>
      <c r="E35" s="104"/>
      <c r="F35" s="104"/>
      <c r="G35" s="104"/>
      <c r="H35" s="104"/>
      <c r="I35" s="104"/>
      <c r="J35" s="104"/>
      <c r="K35" s="104"/>
      <c r="L35" s="104"/>
      <c r="M35" s="104"/>
      <c r="N35" s="104"/>
    </row>
    <row r="36" spans="1:14" s="25" customFormat="1" ht="22.5" customHeight="1">
      <c r="B36" s="124" t="s">
        <v>41</v>
      </c>
      <c r="C36" s="124"/>
      <c r="D36" s="117" t="s">
        <v>42</v>
      </c>
      <c r="E36" s="118"/>
      <c r="F36" s="118"/>
      <c r="G36" s="125" t="s">
        <v>43</v>
      </c>
      <c r="H36" s="124"/>
      <c r="I36" s="126"/>
      <c r="J36" s="117" t="s">
        <v>44</v>
      </c>
      <c r="K36" s="118"/>
      <c r="L36" s="118"/>
      <c r="M36" s="118"/>
      <c r="N36" s="119"/>
    </row>
    <row r="37" spans="1:14" ht="7.5" customHeight="1">
      <c r="F37" s="106"/>
      <c r="G37" s="106"/>
      <c r="H37" s="106"/>
      <c r="I37" s="106"/>
      <c r="J37" s="106"/>
      <c r="K37" s="106"/>
      <c r="L37" s="106"/>
      <c r="M37" s="106"/>
      <c r="N37" s="106"/>
    </row>
    <row r="38" spans="1:14" ht="22.5" customHeight="1">
      <c r="A38" s="24" t="s">
        <v>48</v>
      </c>
      <c r="B38" s="24" t="s">
        <v>49</v>
      </c>
      <c r="M38" s="35"/>
      <c r="N38" s="35"/>
    </row>
    <row r="39" spans="1:14" ht="22.5" customHeight="1">
      <c r="B39" s="117" t="s">
        <v>47</v>
      </c>
      <c r="C39" s="118"/>
      <c r="D39" s="118"/>
      <c r="E39" s="118"/>
      <c r="F39" s="118"/>
      <c r="G39" s="118"/>
      <c r="H39" s="118"/>
      <c r="I39" s="118"/>
      <c r="J39" s="118"/>
      <c r="K39" s="118"/>
      <c r="L39" s="118"/>
      <c r="M39" s="118"/>
      <c r="N39" s="119"/>
    </row>
    <row r="40" spans="1:14" ht="7.5" customHeight="1">
      <c r="F40" s="106"/>
      <c r="G40" s="106"/>
      <c r="H40" s="106"/>
      <c r="I40" s="106"/>
      <c r="J40" s="106"/>
      <c r="K40" s="106"/>
      <c r="L40" s="106"/>
      <c r="M40" s="106"/>
      <c r="N40" s="106"/>
    </row>
    <row r="41" spans="1:14" s="25" customFormat="1" ht="22.5" customHeight="1">
      <c r="B41" s="124" t="s">
        <v>41</v>
      </c>
      <c r="C41" s="124"/>
      <c r="D41" s="117" t="s">
        <v>42</v>
      </c>
      <c r="E41" s="118"/>
      <c r="F41" s="118"/>
      <c r="G41" s="125" t="s">
        <v>43</v>
      </c>
      <c r="H41" s="124"/>
      <c r="I41" s="126"/>
      <c r="J41" s="117" t="s">
        <v>44</v>
      </c>
      <c r="K41" s="118"/>
      <c r="L41" s="118"/>
      <c r="M41" s="118"/>
      <c r="N41" s="119"/>
    </row>
    <row r="42" spans="1:14" ht="7.5" customHeight="1">
      <c r="F42" s="106"/>
      <c r="G42" s="106"/>
      <c r="H42" s="106"/>
      <c r="I42" s="106"/>
      <c r="J42" s="106"/>
      <c r="K42" s="106"/>
      <c r="L42" s="106"/>
      <c r="M42" s="106"/>
      <c r="N42" s="106"/>
    </row>
    <row r="43" spans="1:14" ht="22.5" customHeight="1">
      <c r="A43" s="24" t="s">
        <v>50</v>
      </c>
      <c r="B43" s="54" t="s">
        <v>51</v>
      </c>
      <c r="E43" s="47"/>
      <c r="F43" s="117" t="s">
        <v>52</v>
      </c>
      <c r="G43" s="118"/>
      <c r="H43" s="118"/>
      <c r="I43" s="118"/>
      <c r="J43" s="118"/>
      <c r="K43" s="118"/>
      <c r="L43" s="118"/>
      <c r="M43" s="118"/>
      <c r="N43" s="119"/>
    </row>
    <row r="44" spans="1:14" ht="7.5" customHeight="1">
      <c r="F44" s="106"/>
      <c r="G44" s="106"/>
      <c r="H44" s="106"/>
      <c r="I44" s="106"/>
      <c r="J44" s="106"/>
      <c r="K44" s="106"/>
      <c r="L44" s="106"/>
      <c r="M44" s="106"/>
      <c r="N44" s="106"/>
    </row>
    <row r="45" spans="1:14" ht="22.5" customHeight="1">
      <c r="A45" s="24" t="s">
        <v>53</v>
      </c>
    </row>
    <row r="46" spans="1:14" ht="22.5" customHeight="1">
      <c r="B46" s="38" t="s">
        <v>54</v>
      </c>
      <c r="C46" s="134" t="s">
        <v>55</v>
      </c>
      <c r="D46" s="135"/>
      <c r="E46" s="135"/>
      <c r="F46" s="135"/>
      <c r="G46" s="135"/>
      <c r="H46" s="135"/>
      <c r="I46" s="39" t="s">
        <v>56</v>
      </c>
      <c r="J46" s="40"/>
      <c r="K46" s="117" t="s">
        <v>57</v>
      </c>
      <c r="L46" s="118"/>
      <c r="M46" s="118"/>
      <c r="N46" s="119"/>
    </row>
    <row r="47" spans="1:14" ht="22.5" customHeight="1">
      <c r="B47" s="38" t="s">
        <v>58</v>
      </c>
      <c r="C47" s="137" t="s">
        <v>59</v>
      </c>
      <c r="D47" s="138"/>
      <c r="E47" s="138"/>
      <c r="F47" s="138"/>
      <c r="G47" s="138"/>
      <c r="H47" s="139"/>
      <c r="I47" s="39" t="s">
        <v>60</v>
      </c>
      <c r="J47" s="40"/>
      <c r="K47" s="140" t="s">
        <v>61</v>
      </c>
      <c r="L47" s="141"/>
      <c r="M47" s="141"/>
      <c r="N47" s="14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cellComments="asDisplayed"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16" zoomScaleNormal="100" workbookViewId="0">
      <selection activeCell="M28" sqref="M28"/>
    </sheetView>
  </sheetViews>
  <sheetFormatPr defaultColWidth="9" defaultRowHeight="18.75" customHeight="1"/>
  <cols>
    <col min="1" max="2" width="2.5" style="24" customWidth="1"/>
    <col min="3" max="3" width="20" style="24" customWidth="1"/>
    <col min="4" max="4" width="8.75" style="24" customWidth="1"/>
    <col min="5" max="5" width="7.5" style="24" customWidth="1"/>
    <col min="6" max="6" width="2.5" style="24" customWidth="1"/>
    <col min="7" max="7" width="15" style="24" customWidth="1"/>
    <col min="8" max="8" width="12.5" style="24" customWidth="1"/>
    <col min="9" max="9" width="11.25" style="24" customWidth="1"/>
    <col min="10" max="16384" width="9" style="24"/>
  </cols>
  <sheetData>
    <row r="1" spans="1:9" ht="18.75" customHeight="1">
      <c r="I1" s="103" t="s">
        <v>62</v>
      </c>
    </row>
    <row r="2" spans="1:9" ht="18.75" customHeight="1">
      <c r="G2" s="36" t="s">
        <v>63</v>
      </c>
      <c r="H2" s="154" t="s">
        <v>4</v>
      </c>
      <c r="I2" s="154"/>
    </row>
    <row r="3" spans="1:9" ht="7.5" customHeight="1"/>
    <row r="4" spans="1:9" ht="18.75" customHeight="1">
      <c r="A4" s="133" t="s">
        <v>64</v>
      </c>
      <c r="B4" s="133"/>
      <c r="C4" s="133"/>
      <c r="D4" s="133"/>
      <c r="E4" s="133"/>
      <c r="F4" s="133"/>
      <c r="G4" s="133"/>
      <c r="H4" s="133"/>
      <c r="I4" s="133"/>
    </row>
    <row r="5" spans="1:9" ht="7.5" customHeight="1">
      <c r="C5" s="105"/>
      <c r="D5" s="105"/>
      <c r="E5" s="105"/>
      <c r="F5" s="105"/>
      <c r="G5" s="105"/>
      <c r="H5" s="105"/>
      <c r="I5" s="105"/>
    </row>
    <row r="6" spans="1:9" ht="18.75" customHeight="1">
      <c r="A6" s="24" t="s">
        <v>2</v>
      </c>
      <c r="B6" s="24" t="s">
        <v>65</v>
      </c>
      <c r="C6" s="105"/>
      <c r="D6" s="105"/>
      <c r="E6" s="127" t="s">
        <v>66</v>
      </c>
      <c r="F6" s="122"/>
      <c r="G6" s="122"/>
      <c r="H6" s="122"/>
      <c r="I6" s="123"/>
    </row>
    <row r="7" spans="1:9" ht="7.5" customHeight="1">
      <c r="C7" s="105"/>
      <c r="D7" s="105"/>
      <c r="F7" s="101"/>
      <c r="G7" s="101"/>
      <c r="H7" s="101"/>
      <c r="I7" s="101"/>
    </row>
    <row r="8" spans="1:9" ht="18.75" customHeight="1">
      <c r="A8" s="24" t="s">
        <v>5</v>
      </c>
      <c r="B8" s="24" t="s">
        <v>67</v>
      </c>
      <c r="C8" s="105"/>
      <c r="D8" s="105"/>
      <c r="E8" s="105"/>
      <c r="F8" s="105"/>
      <c r="G8" s="105"/>
      <c r="H8" s="105"/>
      <c r="I8" s="105"/>
    </row>
    <row r="9" spans="1:9" ht="18.75" customHeight="1">
      <c r="B9" s="143" t="s">
        <v>68</v>
      </c>
      <c r="C9" s="144"/>
      <c r="D9" s="144"/>
      <c r="E9" s="144"/>
      <c r="F9" s="144"/>
      <c r="G9" s="144"/>
      <c r="H9" s="144"/>
      <c r="I9" s="145"/>
    </row>
    <row r="10" spans="1:9" ht="18.75" customHeight="1">
      <c r="B10" s="146"/>
      <c r="C10" s="147"/>
      <c r="D10" s="147"/>
      <c r="E10" s="147"/>
      <c r="F10" s="147"/>
      <c r="G10" s="147"/>
      <c r="H10" s="147"/>
      <c r="I10" s="148"/>
    </row>
    <row r="11" spans="1:9" ht="18.75" customHeight="1">
      <c r="B11" s="146"/>
      <c r="C11" s="147"/>
      <c r="D11" s="147"/>
      <c r="E11" s="147"/>
      <c r="F11" s="147"/>
      <c r="G11" s="147"/>
      <c r="H11" s="147"/>
      <c r="I11" s="148"/>
    </row>
    <row r="12" spans="1:9" ht="18.75" customHeight="1">
      <c r="B12" s="146"/>
      <c r="C12" s="147"/>
      <c r="D12" s="147"/>
      <c r="E12" s="147"/>
      <c r="F12" s="147"/>
      <c r="G12" s="147"/>
      <c r="H12" s="147"/>
      <c r="I12" s="148"/>
    </row>
    <row r="13" spans="1:9" ht="18.75" customHeight="1">
      <c r="B13" s="146"/>
      <c r="C13" s="147"/>
      <c r="D13" s="147"/>
      <c r="E13" s="147"/>
      <c r="F13" s="147"/>
      <c r="G13" s="147"/>
      <c r="H13" s="147"/>
      <c r="I13" s="148"/>
    </row>
    <row r="14" spans="1:9" ht="18.75" customHeight="1">
      <c r="B14" s="146"/>
      <c r="C14" s="147"/>
      <c r="D14" s="147"/>
      <c r="E14" s="147"/>
      <c r="F14" s="147"/>
      <c r="G14" s="147"/>
      <c r="H14" s="147"/>
      <c r="I14" s="148"/>
    </row>
    <row r="15" spans="1:9" ht="18.75" customHeight="1">
      <c r="B15" s="146"/>
      <c r="C15" s="147"/>
      <c r="D15" s="147"/>
      <c r="E15" s="147"/>
      <c r="F15" s="147"/>
      <c r="G15" s="147"/>
      <c r="H15" s="147"/>
      <c r="I15" s="148"/>
    </row>
    <row r="16" spans="1:9" ht="18.75" customHeight="1">
      <c r="B16" s="149"/>
      <c r="C16" s="150"/>
      <c r="D16" s="150"/>
      <c r="E16" s="150"/>
      <c r="F16" s="150"/>
      <c r="G16" s="150"/>
      <c r="H16" s="150"/>
      <c r="I16" s="151"/>
    </row>
    <row r="17" spans="1:10" ht="7.5" customHeight="1">
      <c r="C17" s="105"/>
      <c r="D17" s="105"/>
      <c r="E17" s="105"/>
      <c r="F17" s="105"/>
      <c r="G17" s="105"/>
      <c r="H17" s="105"/>
      <c r="I17" s="105"/>
    </row>
    <row r="18" spans="1:10" ht="18.75" customHeight="1">
      <c r="A18" s="105" t="s">
        <v>8</v>
      </c>
      <c r="B18" s="26" t="s">
        <v>69</v>
      </c>
      <c r="C18" s="26"/>
      <c r="D18" s="26"/>
      <c r="E18" s="26"/>
      <c r="F18" s="105"/>
      <c r="G18" s="105"/>
      <c r="H18" s="105"/>
      <c r="I18" s="105"/>
      <c r="J18" s="105"/>
    </row>
    <row r="19" spans="1:10" ht="18.75" customHeight="1">
      <c r="A19" s="155" t="s">
        <v>69</v>
      </c>
      <c r="B19" s="155"/>
      <c r="C19" s="155"/>
      <c r="D19" s="155"/>
      <c r="E19" s="155"/>
      <c r="F19" s="156" t="s">
        <v>69</v>
      </c>
      <c r="G19" s="156"/>
      <c r="H19" s="156"/>
      <c r="I19" s="156"/>
    </row>
    <row r="20" spans="1:10" ht="18.75" customHeight="1">
      <c r="A20" s="49">
        <v>1</v>
      </c>
      <c r="B20" s="134" t="s">
        <v>70</v>
      </c>
      <c r="C20" s="135"/>
      <c r="D20" s="135"/>
      <c r="E20" s="136"/>
      <c r="F20" s="49">
        <v>26</v>
      </c>
      <c r="G20" s="134" t="s">
        <v>71</v>
      </c>
      <c r="H20" s="135"/>
      <c r="I20" s="136"/>
    </row>
    <row r="21" spans="1:10" ht="18.75" customHeight="1">
      <c r="A21" s="49">
        <v>2</v>
      </c>
      <c r="B21" s="134" t="s">
        <v>72</v>
      </c>
      <c r="C21" s="135"/>
      <c r="D21" s="135"/>
      <c r="E21" s="136"/>
      <c r="F21" s="49">
        <v>27</v>
      </c>
      <c r="G21" s="134" t="s">
        <v>73</v>
      </c>
      <c r="H21" s="135"/>
      <c r="I21" s="136"/>
    </row>
    <row r="22" spans="1:10" ht="18.75" customHeight="1">
      <c r="A22" s="49">
        <v>3</v>
      </c>
      <c r="B22" s="134" t="s">
        <v>74</v>
      </c>
      <c r="C22" s="135"/>
      <c r="D22" s="135"/>
      <c r="E22" s="136"/>
      <c r="F22" s="49">
        <v>28</v>
      </c>
      <c r="G22" s="134" t="s">
        <v>75</v>
      </c>
      <c r="H22" s="135"/>
      <c r="I22" s="136"/>
    </row>
    <row r="23" spans="1:10" ht="18.75" customHeight="1">
      <c r="A23" s="49">
        <v>4</v>
      </c>
      <c r="B23" s="134" t="s">
        <v>76</v>
      </c>
      <c r="C23" s="135"/>
      <c r="D23" s="135"/>
      <c r="E23" s="136"/>
      <c r="F23" s="49">
        <v>29</v>
      </c>
      <c r="G23" s="134" t="s">
        <v>77</v>
      </c>
      <c r="H23" s="152"/>
      <c r="I23" s="153"/>
    </row>
    <row r="24" spans="1:10" ht="18.75" customHeight="1">
      <c r="A24" s="49">
        <v>5</v>
      </c>
      <c r="B24" s="134" t="s">
        <v>78</v>
      </c>
      <c r="C24" s="135"/>
      <c r="D24" s="135"/>
      <c r="E24" s="136"/>
      <c r="F24" s="49">
        <v>30</v>
      </c>
      <c r="G24" s="134" t="s">
        <v>79</v>
      </c>
      <c r="H24" s="152"/>
      <c r="I24" s="153"/>
    </row>
    <row r="25" spans="1:10" ht="18.75" customHeight="1">
      <c r="A25" s="49">
        <v>6</v>
      </c>
      <c r="B25" s="134" t="s">
        <v>80</v>
      </c>
      <c r="C25" s="135"/>
      <c r="D25" s="135"/>
      <c r="E25" s="136"/>
      <c r="F25" s="49">
        <v>31</v>
      </c>
      <c r="G25" s="134" t="s">
        <v>81</v>
      </c>
      <c r="H25" s="152"/>
      <c r="I25" s="153"/>
    </row>
    <row r="26" spans="1:10" ht="18.75" customHeight="1">
      <c r="A26" s="49">
        <v>7</v>
      </c>
      <c r="B26" s="134" t="s">
        <v>82</v>
      </c>
      <c r="C26" s="135"/>
      <c r="D26" s="135"/>
      <c r="E26" s="136"/>
      <c r="F26" s="49">
        <v>32</v>
      </c>
      <c r="G26" s="134" t="s">
        <v>83</v>
      </c>
      <c r="H26" s="152"/>
      <c r="I26" s="153"/>
    </row>
    <row r="27" spans="1:10" ht="18.75" customHeight="1">
      <c r="A27" s="49">
        <v>8</v>
      </c>
      <c r="B27" s="134" t="s">
        <v>84</v>
      </c>
      <c r="C27" s="135"/>
      <c r="D27" s="135"/>
      <c r="E27" s="136"/>
      <c r="F27" s="49">
        <v>33</v>
      </c>
      <c r="G27" s="134" t="s">
        <v>85</v>
      </c>
      <c r="H27" s="135"/>
      <c r="I27" s="136"/>
    </row>
    <row r="28" spans="1:10" ht="18.75" customHeight="1">
      <c r="A28" s="49">
        <v>9</v>
      </c>
      <c r="B28" s="134" t="s">
        <v>86</v>
      </c>
      <c r="C28" s="135"/>
      <c r="D28" s="135"/>
      <c r="E28" s="136"/>
      <c r="F28" s="49">
        <v>34</v>
      </c>
      <c r="G28" s="134"/>
      <c r="H28" s="152"/>
      <c r="I28" s="153"/>
    </row>
    <row r="29" spans="1:10" ht="18.75" customHeight="1">
      <c r="A29" s="49">
        <v>10</v>
      </c>
      <c r="B29" s="134" t="s">
        <v>87</v>
      </c>
      <c r="C29" s="135"/>
      <c r="D29" s="135"/>
      <c r="E29" s="136"/>
      <c r="F29" s="49">
        <v>35</v>
      </c>
      <c r="G29" s="134"/>
      <c r="H29" s="152"/>
      <c r="I29" s="153"/>
    </row>
    <row r="30" spans="1:10" ht="18.75" customHeight="1">
      <c r="A30" s="49">
        <v>11</v>
      </c>
      <c r="B30" s="134" t="s">
        <v>88</v>
      </c>
      <c r="C30" s="135"/>
      <c r="D30" s="135"/>
      <c r="E30" s="136"/>
      <c r="F30" s="49">
        <v>36</v>
      </c>
      <c r="G30" s="134"/>
      <c r="H30" s="152"/>
      <c r="I30" s="153"/>
    </row>
    <row r="31" spans="1:10" ht="18.75" customHeight="1">
      <c r="A31" s="49">
        <v>12</v>
      </c>
      <c r="B31" s="134" t="s">
        <v>89</v>
      </c>
      <c r="C31" s="135"/>
      <c r="D31" s="135"/>
      <c r="E31" s="136"/>
      <c r="F31" s="49">
        <v>37</v>
      </c>
      <c r="G31" s="134"/>
      <c r="H31" s="135"/>
      <c r="I31" s="136"/>
    </row>
    <row r="32" spans="1:10" ht="18.75" customHeight="1">
      <c r="A32" s="49">
        <v>13</v>
      </c>
      <c r="B32" s="134" t="s">
        <v>90</v>
      </c>
      <c r="C32" s="135"/>
      <c r="D32" s="135"/>
      <c r="E32" s="136"/>
      <c r="F32" s="49">
        <v>38</v>
      </c>
      <c r="G32" s="134"/>
      <c r="H32" s="135"/>
      <c r="I32" s="136"/>
    </row>
    <row r="33" spans="1:9" ht="18.75" customHeight="1">
      <c r="A33" s="49">
        <v>14</v>
      </c>
      <c r="B33" s="134" t="s">
        <v>91</v>
      </c>
      <c r="C33" s="135"/>
      <c r="D33" s="135"/>
      <c r="E33" s="136"/>
      <c r="F33" s="49">
        <v>39</v>
      </c>
      <c r="G33" s="134"/>
      <c r="H33" s="135"/>
      <c r="I33" s="136"/>
    </row>
    <row r="34" spans="1:9" ht="18.75" customHeight="1">
      <c r="A34" s="49">
        <v>15</v>
      </c>
      <c r="B34" s="134" t="s">
        <v>92</v>
      </c>
      <c r="C34" s="135"/>
      <c r="D34" s="135"/>
      <c r="E34" s="136"/>
      <c r="F34" s="49">
        <v>40</v>
      </c>
      <c r="G34" s="134"/>
      <c r="H34" s="135"/>
      <c r="I34" s="136"/>
    </row>
    <row r="35" spans="1:9" ht="18.75" customHeight="1">
      <c r="A35" s="49">
        <v>16</v>
      </c>
      <c r="B35" s="134" t="s">
        <v>93</v>
      </c>
      <c r="C35" s="135"/>
      <c r="D35" s="135"/>
      <c r="E35" s="136"/>
      <c r="F35" s="49">
        <v>41</v>
      </c>
      <c r="G35" s="134"/>
      <c r="H35" s="135"/>
      <c r="I35" s="136"/>
    </row>
    <row r="36" spans="1:9" ht="18.75" customHeight="1">
      <c r="A36" s="49">
        <v>17</v>
      </c>
      <c r="B36" s="134" t="s">
        <v>94</v>
      </c>
      <c r="C36" s="135"/>
      <c r="D36" s="135"/>
      <c r="E36" s="136"/>
      <c r="F36" s="49">
        <v>42</v>
      </c>
      <c r="G36" s="134"/>
      <c r="H36" s="135"/>
      <c r="I36" s="136"/>
    </row>
    <row r="37" spans="1:9" ht="18.75" customHeight="1">
      <c r="A37" s="49">
        <v>18</v>
      </c>
      <c r="B37" s="134" t="s">
        <v>95</v>
      </c>
      <c r="C37" s="135"/>
      <c r="D37" s="135"/>
      <c r="E37" s="136"/>
      <c r="F37" s="49">
        <v>43</v>
      </c>
      <c r="G37" s="134"/>
      <c r="H37" s="135"/>
      <c r="I37" s="136"/>
    </row>
    <row r="38" spans="1:9" ht="18.75" customHeight="1">
      <c r="A38" s="49">
        <v>19</v>
      </c>
      <c r="B38" s="134" t="s">
        <v>96</v>
      </c>
      <c r="C38" s="135"/>
      <c r="D38" s="135"/>
      <c r="E38" s="136"/>
      <c r="F38" s="49">
        <v>44</v>
      </c>
      <c r="G38" s="134"/>
      <c r="H38" s="135"/>
      <c r="I38" s="136"/>
    </row>
    <row r="39" spans="1:9" ht="18.75" customHeight="1">
      <c r="A39" s="49">
        <v>20</v>
      </c>
      <c r="B39" s="134" t="s">
        <v>97</v>
      </c>
      <c r="C39" s="135"/>
      <c r="D39" s="135"/>
      <c r="E39" s="136"/>
      <c r="F39" s="49">
        <v>45</v>
      </c>
      <c r="G39" s="134"/>
      <c r="H39" s="135"/>
      <c r="I39" s="136"/>
    </row>
    <row r="40" spans="1:9" ht="18.75" customHeight="1">
      <c r="A40" s="49">
        <v>21</v>
      </c>
      <c r="B40" s="134" t="s">
        <v>98</v>
      </c>
      <c r="C40" s="135"/>
      <c r="D40" s="135"/>
      <c r="E40" s="136"/>
      <c r="F40" s="49">
        <v>46</v>
      </c>
      <c r="G40" s="134"/>
      <c r="H40" s="135"/>
      <c r="I40" s="136"/>
    </row>
    <row r="41" spans="1:9" ht="18.75" customHeight="1">
      <c r="A41" s="49">
        <v>22</v>
      </c>
      <c r="B41" s="134" t="s">
        <v>99</v>
      </c>
      <c r="C41" s="135"/>
      <c r="D41" s="135"/>
      <c r="E41" s="136"/>
      <c r="F41" s="49">
        <v>47</v>
      </c>
      <c r="G41" s="134"/>
      <c r="H41" s="135"/>
      <c r="I41" s="136"/>
    </row>
    <row r="42" spans="1:9" ht="18.75" customHeight="1">
      <c r="A42" s="49">
        <v>23</v>
      </c>
      <c r="B42" s="134" t="s">
        <v>100</v>
      </c>
      <c r="C42" s="135"/>
      <c r="D42" s="135"/>
      <c r="E42" s="136"/>
      <c r="F42" s="49">
        <v>48</v>
      </c>
      <c r="G42" s="134"/>
      <c r="H42" s="135"/>
      <c r="I42" s="136"/>
    </row>
    <row r="43" spans="1:9" ht="18.75" customHeight="1">
      <c r="A43" s="49">
        <v>24</v>
      </c>
      <c r="B43" s="134" t="s">
        <v>101</v>
      </c>
      <c r="C43" s="135"/>
      <c r="D43" s="135"/>
      <c r="E43" s="136"/>
      <c r="F43" s="49">
        <v>49</v>
      </c>
      <c r="G43" s="134"/>
      <c r="H43" s="135"/>
      <c r="I43" s="136"/>
    </row>
    <row r="44" spans="1:9" ht="18.75" customHeight="1">
      <c r="A44" s="49">
        <v>25</v>
      </c>
      <c r="B44" s="134" t="s">
        <v>102</v>
      </c>
      <c r="C44" s="135"/>
      <c r="D44" s="135"/>
      <c r="E44" s="136"/>
      <c r="F44" s="49">
        <v>50</v>
      </c>
      <c r="G44" s="134"/>
      <c r="H44" s="135"/>
      <c r="I44" s="136"/>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scale="85" orientation="portrait" cellComments="asDisplaye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K36" sqref="K36"/>
    </sheetView>
  </sheetViews>
  <sheetFormatPr defaultColWidth="9" defaultRowHeight="18.75" customHeight="1"/>
  <cols>
    <col min="1" max="2" width="2.5" style="24" customWidth="1"/>
    <col min="3" max="3" width="20" style="24" customWidth="1"/>
    <col min="4" max="4" width="8.75" style="24" customWidth="1"/>
    <col min="5" max="5" width="7.5" style="24" customWidth="1"/>
    <col min="6" max="6" width="2.5" style="24" customWidth="1"/>
    <col min="7" max="7" width="15" style="24" customWidth="1"/>
    <col min="8" max="8" width="12.5" style="24" customWidth="1"/>
    <col min="9" max="9" width="11.25" style="24" customWidth="1"/>
    <col min="10" max="16384" width="9" style="24"/>
  </cols>
  <sheetData>
    <row r="1" spans="1:9" ht="18.75" customHeight="1">
      <c r="I1" s="103" t="s">
        <v>103</v>
      </c>
    </row>
    <row r="2" spans="1:9" ht="18.75" customHeight="1">
      <c r="G2" s="36" t="s">
        <v>63</v>
      </c>
      <c r="H2" s="154" t="s">
        <v>4</v>
      </c>
      <c r="I2" s="154"/>
    </row>
    <row r="3" spans="1:9" ht="7.5" customHeight="1"/>
    <row r="4" spans="1:9" ht="18.75" customHeight="1">
      <c r="A4" s="133" t="s">
        <v>64</v>
      </c>
      <c r="B4" s="133"/>
      <c r="C4" s="133"/>
      <c r="D4" s="133"/>
      <c r="E4" s="133"/>
      <c r="F4" s="133"/>
      <c r="G4" s="133"/>
      <c r="H4" s="133"/>
      <c r="I4" s="133"/>
    </row>
    <row r="5" spans="1:9" ht="7.5" customHeight="1">
      <c r="C5" s="105"/>
      <c r="D5" s="105"/>
      <c r="E5" s="105"/>
      <c r="F5" s="105"/>
      <c r="G5" s="105"/>
      <c r="H5" s="105"/>
      <c r="I5" s="105"/>
    </row>
    <row r="6" spans="1:9" ht="18.75" customHeight="1">
      <c r="A6" s="24" t="s">
        <v>2</v>
      </c>
      <c r="B6" s="24" t="s">
        <v>65</v>
      </c>
      <c r="C6" s="105"/>
      <c r="D6" s="105"/>
      <c r="E6" s="127" t="s">
        <v>66</v>
      </c>
      <c r="F6" s="122"/>
      <c r="G6" s="122"/>
      <c r="H6" s="122"/>
      <c r="I6" s="123"/>
    </row>
    <row r="7" spans="1:9" ht="7.5" customHeight="1">
      <c r="C7" s="105"/>
      <c r="D7" s="105"/>
      <c r="F7" s="101"/>
      <c r="G7" s="101"/>
      <c r="H7" s="101"/>
      <c r="I7" s="101"/>
    </row>
    <row r="8" spans="1:9" ht="18.75" customHeight="1">
      <c r="A8" s="24" t="s">
        <v>5</v>
      </c>
      <c r="B8" s="24" t="s">
        <v>67</v>
      </c>
      <c r="C8" s="105"/>
      <c r="D8" s="105"/>
      <c r="E8" s="105"/>
      <c r="F8" s="105"/>
      <c r="G8" s="105"/>
      <c r="H8" s="105"/>
      <c r="I8" s="105"/>
    </row>
    <row r="9" spans="1:9" ht="18.75" customHeight="1">
      <c r="B9" s="143" t="s">
        <v>104</v>
      </c>
      <c r="C9" s="144"/>
      <c r="D9" s="144"/>
      <c r="E9" s="144"/>
      <c r="F9" s="144"/>
      <c r="G9" s="144"/>
      <c r="H9" s="144"/>
      <c r="I9" s="145"/>
    </row>
    <row r="10" spans="1:9" ht="18.75" customHeight="1">
      <c r="B10" s="146"/>
      <c r="C10" s="147"/>
      <c r="D10" s="147"/>
      <c r="E10" s="147"/>
      <c r="F10" s="147"/>
      <c r="G10" s="147"/>
      <c r="H10" s="147"/>
      <c r="I10" s="148"/>
    </row>
    <row r="11" spans="1:9" ht="18.75" customHeight="1">
      <c r="B11" s="146"/>
      <c r="C11" s="147"/>
      <c r="D11" s="147"/>
      <c r="E11" s="147"/>
      <c r="F11" s="147"/>
      <c r="G11" s="147"/>
      <c r="H11" s="147"/>
      <c r="I11" s="148"/>
    </row>
    <row r="12" spans="1:9" ht="18.75" customHeight="1">
      <c r="B12" s="146"/>
      <c r="C12" s="147"/>
      <c r="D12" s="147"/>
      <c r="E12" s="147"/>
      <c r="F12" s="147"/>
      <c r="G12" s="147"/>
      <c r="H12" s="147"/>
      <c r="I12" s="148"/>
    </row>
    <row r="13" spans="1:9" ht="18.75" customHeight="1">
      <c r="B13" s="146"/>
      <c r="C13" s="147"/>
      <c r="D13" s="147"/>
      <c r="E13" s="147"/>
      <c r="F13" s="147"/>
      <c r="G13" s="147"/>
      <c r="H13" s="147"/>
      <c r="I13" s="148"/>
    </row>
    <row r="14" spans="1:9" ht="18.75" customHeight="1">
      <c r="B14" s="146"/>
      <c r="C14" s="147"/>
      <c r="D14" s="147"/>
      <c r="E14" s="147"/>
      <c r="F14" s="147"/>
      <c r="G14" s="147"/>
      <c r="H14" s="147"/>
      <c r="I14" s="148"/>
    </row>
    <row r="15" spans="1:9" ht="18.75" customHeight="1">
      <c r="B15" s="146"/>
      <c r="C15" s="147"/>
      <c r="D15" s="147"/>
      <c r="E15" s="147"/>
      <c r="F15" s="147"/>
      <c r="G15" s="147"/>
      <c r="H15" s="147"/>
      <c r="I15" s="148"/>
    </row>
    <row r="16" spans="1:9" ht="18.75" customHeight="1">
      <c r="B16" s="149"/>
      <c r="C16" s="150"/>
      <c r="D16" s="150"/>
      <c r="E16" s="150"/>
      <c r="F16" s="150"/>
      <c r="G16" s="150"/>
      <c r="H16" s="150"/>
      <c r="I16" s="151"/>
    </row>
    <row r="17" spans="1:10" ht="7.5" customHeight="1">
      <c r="C17" s="105"/>
      <c r="D17" s="105"/>
      <c r="E17" s="105"/>
      <c r="F17" s="105"/>
      <c r="G17" s="105"/>
      <c r="H17" s="105"/>
      <c r="I17" s="105"/>
    </row>
    <row r="18" spans="1:10" ht="18.75" customHeight="1">
      <c r="A18" s="105" t="s">
        <v>8</v>
      </c>
      <c r="B18" s="26" t="s">
        <v>69</v>
      </c>
      <c r="C18" s="26"/>
      <c r="D18" s="26"/>
      <c r="E18" s="26"/>
      <c r="F18" s="105"/>
      <c r="G18" s="105"/>
      <c r="H18" s="105"/>
      <c r="I18" s="105"/>
      <c r="J18" s="105"/>
    </row>
    <row r="19" spans="1:10" ht="18.75" customHeight="1">
      <c r="A19" s="155" t="s">
        <v>69</v>
      </c>
      <c r="B19" s="155"/>
      <c r="C19" s="155"/>
      <c r="D19" s="155"/>
      <c r="E19" s="155"/>
      <c r="F19" s="156" t="s">
        <v>69</v>
      </c>
      <c r="G19" s="156"/>
      <c r="H19" s="156"/>
      <c r="I19" s="156"/>
    </row>
    <row r="20" spans="1:10" ht="18.75" customHeight="1">
      <c r="A20" s="49">
        <v>1</v>
      </c>
      <c r="B20" s="134" t="s">
        <v>105</v>
      </c>
      <c r="C20" s="135"/>
      <c r="D20" s="135"/>
      <c r="E20" s="136"/>
      <c r="F20" s="49">
        <v>26</v>
      </c>
      <c r="G20" s="134" t="s">
        <v>71</v>
      </c>
      <c r="H20" s="135"/>
      <c r="I20" s="136"/>
    </row>
    <row r="21" spans="1:10" ht="18.75" customHeight="1">
      <c r="A21" s="49">
        <v>2</v>
      </c>
      <c r="B21" s="134" t="s">
        <v>72</v>
      </c>
      <c r="C21" s="135"/>
      <c r="D21" s="135"/>
      <c r="E21" s="136"/>
      <c r="F21" s="49">
        <v>27</v>
      </c>
      <c r="G21" s="134" t="s">
        <v>73</v>
      </c>
      <c r="H21" s="135"/>
      <c r="I21" s="136"/>
    </row>
    <row r="22" spans="1:10" ht="18.75" customHeight="1">
      <c r="A22" s="49">
        <v>3</v>
      </c>
      <c r="B22" s="134" t="s">
        <v>74</v>
      </c>
      <c r="C22" s="135"/>
      <c r="D22" s="135"/>
      <c r="E22" s="136"/>
      <c r="F22" s="49">
        <v>28</v>
      </c>
      <c r="G22" s="134" t="s">
        <v>75</v>
      </c>
      <c r="H22" s="135"/>
      <c r="I22" s="136"/>
    </row>
    <row r="23" spans="1:10" ht="18.75" customHeight="1">
      <c r="A23" s="49">
        <v>4</v>
      </c>
      <c r="B23" s="134" t="s">
        <v>76</v>
      </c>
      <c r="C23" s="135"/>
      <c r="D23" s="135"/>
      <c r="E23" s="136"/>
      <c r="F23" s="49">
        <v>29</v>
      </c>
      <c r="G23" s="134" t="s">
        <v>77</v>
      </c>
      <c r="H23" s="152"/>
      <c r="I23" s="153"/>
    </row>
    <row r="24" spans="1:10" ht="18.75" customHeight="1">
      <c r="A24" s="49">
        <v>5</v>
      </c>
      <c r="B24" s="134" t="s">
        <v>78</v>
      </c>
      <c r="C24" s="135"/>
      <c r="D24" s="135"/>
      <c r="E24" s="136"/>
      <c r="F24" s="49">
        <v>30</v>
      </c>
      <c r="G24" s="134" t="s">
        <v>79</v>
      </c>
      <c r="H24" s="152"/>
      <c r="I24" s="153"/>
    </row>
    <row r="25" spans="1:10" ht="18.75" customHeight="1">
      <c r="A25" s="49">
        <v>6</v>
      </c>
      <c r="B25" s="134" t="s">
        <v>80</v>
      </c>
      <c r="C25" s="135"/>
      <c r="D25" s="135"/>
      <c r="E25" s="136"/>
      <c r="F25" s="49">
        <v>31</v>
      </c>
      <c r="G25" s="134" t="s">
        <v>81</v>
      </c>
      <c r="H25" s="152"/>
      <c r="I25" s="153"/>
    </row>
    <row r="26" spans="1:10" ht="18.75" customHeight="1">
      <c r="A26" s="49">
        <v>7</v>
      </c>
      <c r="B26" s="134" t="s">
        <v>82</v>
      </c>
      <c r="C26" s="135"/>
      <c r="D26" s="135"/>
      <c r="E26" s="136"/>
      <c r="F26" s="49">
        <v>32</v>
      </c>
      <c r="G26" s="134" t="s">
        <v>83</v>
      </c>
      <c r="H26" s="152"/>
      <c r="I26" s="153"/>
    </row>
    <row r="27" spans="1:10" ht="18.75" customHeight="1">
      <c r="A27" s="49">
        <v>8</v>
      </c>
      <c r="B27" s="134" t="s">
        <v>84</v>
      </c>
      <c r="C27" s="135"/>
      <c r="D27" s="135"/>
      <c r="E27" s="136"/>
      <c r="F27" s="49">
        <v>33</v>
      </c>
      <c r="G27" s="134" t="s">
        <v>85</v>
      </c>
      <c r="H27" s="135"/>
      <c r="I27" s="136"/>
    </row>
    <row r="28" spans="1:10" ht="18.75" customHeight="1">
      <c r="A28" s="49">
        <v>9</v>
      </c>
      <c r="B28" s="134" t="s">
        <v>86</v>
      </c>
      <c r="C28" s="135"/>
      <c r="D28" s="135"/>
      <c r="E28" s="136"/>
      <c r="F28" s="49">
        <v>34</v>
      </c>
      <c r="G28" s="134"/>
      <c r="H28" s="152"/>
      <c r="I28" s="153"/>
    </row>
    <row r="29" spans="1:10" ht="18.75" customHeight="1">
      <c r="A29" s="49">
        <v>10</v>
      </c>
      <c r="B29" s="134" t="s">
        <v>87</v>
      </c>
      <c r="C29" s="135"/>
      <c r="D29" s="135"/>
      <c r="E29" s="136"/>
      <c r="F29" s="49">
        <v>35</v>
      </c>
      <c r="G29" s="134"/>
      <c r="H29" s="152"/>
      <c r="I29" s="153"/>
    </row>
    <row r="30" spans="1:10" ht="18.75" customHeight="1">
      <c r="A30" s="49">
        <v>11</v>
      </c>
      <c r="B30" s="134" t="s">
        <v>88</v>
      </c>
      <c r="C30" s="135"/>
      <c r="D30" s="135"/>
      <c r="E30" s="136"/>
      <c r="F30" s="49">
        <v>36</v>
      </c>
      <c r="G30" s="134"/>
      <c r="H30" s="152"/>
      <c r="I30" s="153"/>
    </row>
    <row r="31" spans="1:10" ht="18.75" customHeight="1">
      <c r="A31" s="49">
        <v>12</v>
      </c>
      <c r="B31" s="134" t="s">
        <v>89</v>
      </c>
      <c r="C31" s="135"/>
      <c r="D31" s="135"/>
      <c r="E31" s="136"/>
      <c r="F31" s="49">
        <v>37</v>
      </c>
      <c r="G31" s="134"/>
      <c r="H31" s="135"/>
      <c r="I31" s="136"/>
    </row>
    <row r="32" spans="1:10" ht="18.75" customHeight="1">
      <c r="A32" s="49">
        <v>13</v>
      </c>
      <c r="B32" s="134" t="s">
        <v>90</v>
      </c>
      <c r="C32" s="135"/>
      <c r="D32" s="135"/>
      <c r="E32" s="136"/>
      <c r="F32" s="49">
        <v>38</v>
      </c>
      <c r="G32" s="134"/>
      <c r="H32" s="135"/>
      <c r="I32" s="136"/>
    </row>
    <row r="33" spans="1:9" ht="18.75" customHeight="1">
      <c r="A33" s="49">
        <v>14</v>
      </c>
      <c r="B33" s="134" t="s">
        <v>91</v>
      </c>
      <c r="C33" s="135"/>
      <c r="D33" s="135"/>
      <c r="E33" s="136"/>
      <c r="F33" s="49">
        <v>39</v>
      </c>
      <c r="G33" s="134"/>
      <c r="H33" s="135"/>
      <c r="I33" s="136"/>
    </row>
    <row r="34" spans="1:9" ht="18.75" customHeight="1">
      <c r="A34" s="49">
        <v>15</v>
      </c>
      <c r="B34" s="134" t="s">
        <v>92</v>
      </c>
      <c r="C34" s="135"/>
      <c r="D34" s="135"/>
      <c r="E34" s="136"/>
      <c r="F34" s="49">
        <v>40</v>
      </c>
      <c r="G34" s="134"/>
      <c r="H34" s="135"/>
      <c r="I34" s="136"/>
    </row>
    <row r="35" spans="1:9" ht="18.75" customHeight="1">
      <c r="A35" s="49">
        <v>16</v>
      </c>
      <c r="B35" s="134" t="s">
        <v>93</v>
      </c>
      <c r="C35" s="135"/>
      <c r="D35" s="135"/>
      <c r="E35" s="136"/>
      <c r="F35" s="49">
        <v>41</v>
      </c>
      <c r="G35" s="134"/>
      <c r="H35" s="135"/>
      <c r="I35" s="136"/>
    </row>
    <row r="36" spans="1:9" ht="18.75" customHeight="1">
      <c r="A36" s="49">
        <v>17</v>
      </c>
      <c r="B36" s="134" t="s">
        <v>94</v>
      </c>
      <c r="C36" s="135"/>
      <c r="D36" s="135"/>
      <c r="E36" s="136"/>
      <c r="F36" s="49">
        <v>42</v>
      </c>
      <c r="G36" s="134"/>
      <c r="H36" s="135"/>
      <c r="I36" s="136"/>
    </row>
    <row r="37" spans="1:9" ht="18.75" customHeight="1">
      <c r="A37" s="49">
        <v>18</v>
      </c>
      <c r="B37" s="134" t="s">
        <v>95</v>
      </c>
      <c r="C37" s="135"/>
      <c r="D37" s="135"/>
      <c r="E37" s="136"/>
      <c r="F37" s="49">
        <v>43</v>
      </c>
      <c r="G37" s="134"/>
      <c r="H37" s="135"/>
      <c r="I37" s="136"/>
    </row>
    <row r="38" spans="1:9" ht="18.75" customHeight="1">
      <c r="A38" s="49">
        <v>19</v>
      </c>
      <c r="B38" s="134" t="s">
        <v>96</v>
      </c>
      <c r="C38" s="135"/>
      <c r="D38" s="135"/>
      <c r="E38" s="136"/>
      <c r="F38" s="49">
        <v>44</v>
      </c>
      <c r="G38" s="134"/>
      <c r="H38" s="135"/>
      <c r="I38" s="136"/>
    </row>
    <row r="39" spans="1:9" ht="18.75" customHeight="1">
      <c r="A39" s="49">
        <v>20</v>
      </c>
      <c r="B39" s="134" t="s">
        <v>97</v>
      </c>
      <c r="C39" s="135"/>
      <c r="D39" s="135"/>
      <c r="E39" s="136"/>
      <c r="F39" s="49">
        <v>45</v>
      </c>
      <c r="G39" s="134"/>
      <c r="H39" s="135"/>
      <c r="I39" s="136"/>
    </row>
    <row r="40" spans="1:9" ht="18.75" customHeight="1">
      <c r="A40" s="49">
        <v>21</v>
      </c>
      <c r="B40" s="134" t="s">
        <v>98</v>
      </c>
      <c r="C40" s="135"/>
      <c r="D40" s="135"/>
      <c r="E40" s="136"/>
      <c r="F40" s="49">
        <v>46</v>
      </c>
      <c r="G40" s="134"/>
      <c r="H40" s="135"/>
      <c r="I40" s="136"/>
    </row>
    <row r="41" spans="1:9" ht="18.75" customHeight="1">
      <c r="A41" s="49">
        <v>22</v>
      </c>
      <c r="B41" s="134" t="s">
        <v>99</v>
      </c>
      <c r="C41" s="135"/>
      <c r="D41" s="135"/>
      <c r="E41" s="136"/>
      <c r="F41" s="49">
        <v>47</v>
      </c>
      <c r="G41" s="134"/>
      <c r="H41" s="135"/>
      <c r="I41" s="136"/>
    </row>
    <row r="42" spans="1:9" ht="18.75" customHeight="1">
      <c r="A42" s="49">
        <v>23</v>
      </c>
      <c r="B42" s="134" t="s">
        <v>100</v>
      </c>
      <c r="C42" s="135"/>
      <c r="D42" s="135"/>
      <c r="E42" s="136"/>
      <c r="F42" s="49">
        <v>48</v>
      </c>
      <c r="G42" s="134"/>
      <c r="H42" s="135"/>
      <c r="I42" s="136"/>
    </row>
    <row r="43" spans="1:9" ht="18.75" customHeight="1">
      <c r="A43" s="49">
        <v>24</v>
      </c>
      <c r="B43" s="134" t="s">
        <v>101</v>
      </c>
      <c r="C43" s="135"/>
      <c r="D43" s="135"/>
      <c r="E43" s="136"/>
      <c r="F43" s="49">
        <v>49</v>
      </c>
      <c r="G43" s="134"/>
      <c r="H43" s="135"/>
      <c r="I43" s="136"/>
    </row>
    <row r="44" spans="1:9" ht="18.75" customHeight="1">
      <c r="A44" s="49">
        <v>25</v>
      </c>
      <c r="B44" s="134" t="s">
        <v>102</v>
      </c>
      <c r="C44" s="135"/>
      <c r="D44" s="135"/>
      <c r="E44" s="136"/>
      <c r="F44" s="49">
        <v>50</v>
      </c>
      <c r="G44" s="134"/>
      <c r="H44" s="135"/>
      <c r="I44" s="136"/>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disablePrompts="1"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scale="85" orientation="portrait" cellComments="asDisplaye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1"/>
  <sheetViews>
    <sheetView zoomScale="110" zoomScaleNormal="110" zoomScaleSheetLayoutView="130" workbookViewId="0">
      <selection activeCell="V13" sqref="V13"/>
    </sheetView>
  </sheetViews>
  <sheetFormatPr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67" t="s">
        <v>106</v>
      </c>
      <c r="G1" s="167"/>
      <c r="H1" s="167"/>
      <c r="I1" s="167"/>
      <c r="J1" s="167"/>
      <c r="K1" s="167"/>
      <c r="L1" s="167"/>
      <c r="M1" s="167"/>
      <c r="N1" s="167"/>
      <c r="O1" s="167"/>
      <c r="P1" s="167"/>
      <c r="Q1" s="167"/>
      <c r="R1" s="167"/>
    </row>
    <row r="2" spans="1:20" ht="18.75" customHeight="1">
      <c r="B2" s="100" t="s">
        <v>107</v>
      </c>
      <c r="D2" s="109"/>
      <c r="E2" s="109"/>
      <c r="F2" s="109"/>
      <c r="G2" s="109"/>
      <c r="H2" s="109"/>
      <c r="I2" s="109"/>
      <c r="J2" s="109"/>
      <c r="K2" s="167" t="s">
        <v>108</v>
      </c>
      <c r="L2" s="167"/>
      <c r="M2" s="178" t="s">
        <v>4</v>
      </c>
      <c r="N2" s="178"/>
      <c r="O2" s="178"/>
      <c r="P2" s="109"/>
      <c r="Q2" s="109"/>
      <c r="R2" s="109"/>
    </row>
    <row r="3" spans="1:20" ht="7.5" customHeight="1"/>
    <row r="4" spans="1:20" ht="18.75" customHeight="1">
      <c r="A4" s="177" t="s">
        <v>109</v>
      </c>
      <c r="B4" s="177"/>
      <c r="C4" s="177"/>
      <c r="D4" s="177"/>
      <c r="E4" s="177"/>
      <c r="F4" s="177"/>
      <c r="G4" s="177"/>
      <c r="H4" s="177"/>
      <c r="I4" s="177"/>
      <c r="J4" s="177"/>
      <c r="K4" s="177"/>
      <c r="L4" s="177"/>
      <c r="M4" s="177"/>
      <c r="N4" s="177"/>
      <c r="O4" s="177"/>
      <c r="P4" s="177"/>
      <c r="Q4" s="177"/>
      <c r="R4" s="177"/>
      <c r="S4" s="5"/>
    </row>
    <row r="5" spans="1:20" ht="7.5" customHeight="1">
      <c r="A5" s="108"/>
      <c r="B5" s="108"/>
      <c r="C5" s="108"/>
      <c r="D5" s="108"/>
      <c r="E5" s="108"/>
      <c r="F5" s="108"/>
      <c r="G5" s="108"/>
      <c r="H5" s="108"/>
      <c r="I5" s="108"/>
      <c r="J5" s="108"/>
      <c r="K5" s="108"/>
      <c r="L5" s="108"/>
      <c r="M5" s="108"/>
      <c r="N5" s="108"/>
      <c r="O5" s="108"/>
      <c r="P5" s="108"/>
      <c r="Q5" s="108"/>
      <c r="R5" s="108"/>
    </row>
    <row r="6" spans="1:20" ht="18.75" customHeight="1">
      <c r="B6" s="163" t="s">
        <v>110</v>
      </c>
      <c r="C6" s="164"/>
      <c r="D6" s="168" t="s">
        <v>111</v>
      </c>
      <c r="E6" s="170" t="s">
        <v>19</v>
      </c>
      <c r="F6" s="170"/>
      <c r="G6" s="170" t="s">
        <v>112</v>
      </c>
      <c r="H6" s="170"/>
      <c r="I6" s="171" t="s">
        <v>113</v>
      </c>
      <c r="J6" s="172"/>
      <c r="K6" s="171" t="s">
        <v>114</v>
      </c>
      <c r="L6" s="172"/>
      <c r="M6" s="171" t="s">
        <v>115</v>
      </c>
      <c r="N6" s="172"/>
      <c r="O6" s="171" t="s">
        <v>116</v>
      </c>
      <c r="P6" s="172"/>
      <c r="Q6" s="173" t="s">
        <v>117</v>
      </c>
      <c r="R6" s="175" t="s">
        <v>118</v>
      </c>
      <c r="T6" s="66"/>
    </row>
    <row r="7" spans="1:20" ht="18.75" customHeight="1">
      <c r="B7" s="165"/>
      <c r="C7" s="166"/>
      <c r="D7" s="169"/>
      <c r="E7" s="41" t="s">
        <v>119</v>
      </c>
      <c r="F7" s="43" t="s">
        <v>120</v>
      </c>
      <c r="G7" s="44" t="s">
        <v>119</v>
      </c>
      <c r="H7" s="42" t="s">
        <v>120</v>
      </c>
      <c r="I7" s="41" t="s">
        <v>119</v>
      </c>
      <c r="J7" s="43" t="s">
        <v>120</v>
      </c>
      <c r="K7" s="44" t="s">
        <v>119</v>
      </c>
      <c r="L7" s="42" t="s">
        <v>120</v>
      </c>
      <c r="M7" s="41" t="s">
        <v>119</v>
      </c>
      <c r="N7" s="43" t="s">
        <v>120</v>
      </c>
      <c r="O7" s="44" t="s">
        <v>119</v>
      </c>
      <c r="P7" s="42" t="s">
        <v>120</v>
      </c>
      <c r="Q7" s="174"/>
      <c r="R7" s="176"/>
      <c r="T7" s="66"/>
    </row>
    <row r="8" spans="1:20" ht="18.75" customHeight="1">
      <c r="A8" s="67"/>
      <c r="B8" s="157" t="s">
        <v>121</v>
      </c>
      <c r="C8" s="158"/>
      <c r="D8" s="68">
        <v>567</v>
      </c>
      <c r="E8" s="69">
        <v>129</v>
      </c>
      <c r="F8" s="70">
        <v>0</v>
      </c>
      <c r="G8" s="71">
        <v>0</v>
      </c>
      <c r="H8" s="72">
        <v>0</v>
      </c>
      <c r="I8" s="69">
        <v>0</v>
      </c>
      <c r="J8" s="70">
        <v>0</v>
      </c>
      <c r="K8" s="71">
        <v>0</v>
      </c>
      <c r="L8" s="72">
        <v>0</v>
      </c>
      <c r="M8" s="69">
        <v>0</v>
      </c>
      <c r="N8" s="70">
        <v>0</v>
      </c>
      <c r="O8" s="71">
        <v>0</v>
      </c>
      <c r="P8" s="72">
        <v>0</v>
      </c>
      <c r="Q8" s="73">
        <f>E8+G8+I8+K8+M8+O8</f>
        <v>129</v>
      </c>
      <c r="R8" s="95">
        <f>Q8/D8</f>
        <v>0.2275132275132275</v>
      </c>
    </row>
    <row r="9" spans="1:20" ht="18.75" customHeight="1">
      <c r="A9" s="67"/>
      <c r="B9" s="159" t="s">
        <v>122</v>
      </c>
      <c r="C9" s="160"/>
      <c r="D9" s="110">
        <v>685</v>
      </c>
      <c r="E9" s="74">
        <v>106</v>
      </c>
      <c r="F9" s="75">
        <v>0</v>
      </c>
      <c r="G9" s="76">
        <v>0</v>
      </c>
      <c r="H9" s="77">
        <v>0</v>
      </c>
      <c r="I9" s="74">
        <v>0</v>
      </c>
      <c r="J9" s="75">
        <v>0</v>
      </c>
      <c r="K9" s="76">
        <v>0</v>
      </c>
      <c r="L9" s="77">
        <v>0</v>
      </c>
      <c r="M9" s="74">
        <v>0</v>
      </c>
      <c r="N9" s="75">
        <v>0</v>
      </c>
      <c r="O9" s="76">
        <v>0</v>
      </c>
      <c r="P9" s="77">
        <v>0</v>
      </c>
      <c r="Q9" s="78">
        <f t="shared" ref="Q9:Q26" si="0">E9+G9+I9+K9+M9+O9</f>
        <v>106</v>
      </c>
      <c r="R9" s="96">
        <f t="shared" ref="R9:R25" si="1">Q9/D9</f>
        <v>0.15474452554744525</v>
      </c>
    </row>
    <row r="10" spans="1:20" ht="18.75" customHeight="1">
      <c r="A10" s="67"/>
      <c r="B10" s="159" t="s">
        <v>123</v>
      </c>
      <c r="C10" s="160"/>
      <c r="D10" s="110">
        <v>525</v>
      </c>
      <c r="E10" s="74">
        <v>124</v>
      </c>
      <c r="F10" s="75">
        <v>4</v>
      </c>
      <c r="G10" s="76">
        <v>0</v>
      </c>
      <c r="H10" s="77">
        <v>0</v>
      </c>
      <c r="I10" s="74">
        <v>0</v>
      </c>
      <c r="J10" s="75">
        <v>0</v>
      </c>
      <c r="K10" s="76">
        <v>0</v>
      </c>
      <c r="L10" s="77">
        <v>0</v>
      </c>
      <c r="M10" s="74">
        <v>0</v>
      </c>
      <c r="N10" s="75">
        <v>0</v>
      </c>
      <c r="O10" s="76">
        <v>0</v>
      </c>
      <c r="P10" s="77">
        <v>0</v>
      </c>
      <c r="Q10" s="78">
        <f t="shared" si="0"/>
        <v>124</v>
      </c>
      <c r="R10" s="96">
        <f t="shared" si="1"/>
        <v>0.2361904761904762</v>
      </c>
      <c r="S10" s="92"/>
    </row>
    <row r="11" spans="1:20" ht="18.75" customHeight="1">
      <c r="A11" s="67"/>
      <c r="B11" s="159" t="s">
        <v>124</v>
      </c>
      <c r="C11" s="160"/>
      <c r="D11" s="110">
        <v>398</v>
      </c>
      <c r="E11" s="74">
        <v>153</v>
      </c>
      <c r="F11" s="75">
        <v>0</v>
      </c>
      <c r="G11" s="76">
        <v>0</v>
      </c>
      <c r="H11" s="77">
        <v>0</v>
      </c>
      <c r="I11" s="74">
        <v>0</v>
      </c>
      <c r="J11" s="75">
        <v>0</v>
      </c>
      <c r="K11" s="76">
        <v>0</v>
      </c>
      <c r="L11" s="77">
        <v>0</v>
      </c>
      <c r="M11" s="74">
        <v>0</v>
      </c>
      <c r="N11" s="75">
        <v>0</v>
      </c>
      <c r="O11" s="76">
        <v>0</v>
      </c>
      <c r="P11" s="77">
        <v>0</v>
      </c>
      <c r="Q11" s="78">
        <f t="shared" si="0"/>
        <v>153</v>
      </c>
      <c r="R11" s="96">
        <f t="shared" si="1"/>
        <v>0.38442211055276382</v>
      </c>
      <c r="S11" s="92"/>
    </row>
    <row r="12" spans="1:20" ht="18.75" customHeight="1">
      <c r="A12" s="67"/>
      <c r="B12" s="159" t="s">
        <v>125</v>
      </c>
      <c r="C12" s="160"/>
      <c r="D12" s="110">
        <v>350</v>
      </c>
      <c r="E12" s="74">
        <v>39</v>
      </c>
      <c r="F12" s="75">
        <v>3</v>
      </c>
      <c r="G12" s="76">
        <v>0</v>
      </c>
      <c r="H12" s="77">
        <v>0</v>
      </c>
      <c r="I12" s="74">
        <v>0</v>
      </c>
      <c r="J12" s="75">
        <v>0</v>
      </c>
      <c r="K12" s="76">
        <v>0</v>
      </c>
      <c r="L12" s="77">
        <v>0</v>
      </c>
      <c r="M12" s="74">
        <v>0</v>
      </c>
      <c r="N12" s="75">
        <v>0</v>
      </c>
      <c r="O12" s="76">
        <v>0</v>
      </c>
      <c r="P12" s="77">
        <v>0</v>
      </c>
      <c r="Q12" s="78">
        <f t="shared" si="0"/>
        <v>39</v>
      </c>
      <c r="R12" s="96">
        <f t="shared" si="1"/>
        <v>0.11142857142857143</v>
      </c>
      <c r="S12" s="92"/>
    </row>
    <row r="13" spans="1:20" ht="18.75" customHeight="1">
      <c r="A13" s="67"/>
      <c r="B13" s="159" t="s">
        <v>126</v>
      </c>
      <c r="C13" s="160"/>
      <c r="D13" s="110">
        <v>333</v>
      </c>
      <c r="E13" s="74">
        <v>48</v>
      </c>
      <c r="F13" s="75">
        <v>0</v>
      </c>
      <c r="G13" s="76">
        <v>0</v>
      </c>
      <c r="H13" s="77">
        <v>0</v>
      </c>
      <c r="I13" s="74">
        <v>0</v>
      </c>
      <c r="J13" s="75">
        <v>0</v>
      </c>
      <c r="K13" s="76">
        <v>0</v>
      </c>
      <c r="L13" s="77">
        <v>0</v>
      </c>
      <c r="M13" s="74">
        <v>0</v>
      </c>
      <c r="N13" s="75">
        <v>0</v>
      </c>
      <c r="O13" s="76">
        <v>0</v>
      </c>
      <c r="P13" s="77">
        <v>0</v>
      </c>
      <c r="Q13" s="78">
        <f t="shared" si="0"/>
        <v>48</v>
      </c>
      <c r="R13" s="96">
        <f t="shared" si="1"/>
        <v>0.14414414414414414</v>
      </c>
      <c r="S13" s="92"/>
    </row>
    <row r="14" spans="1:20" ht="18.75" customHeight="1">
      <c r="A14" s="67"/>
      <c r="B14" s="159" t="s">
        <v>127</v>
      </c>
      <c r="C14" s="160"/>
      <c r="D14" s="110">
        <v>338</v>
      </c>
      <c r="E14" s="74">
        <v>113</v>
      </c>
      <c r="F14" s="75">
        <v>6</v>
      </c>
      <c r="G14" s="76">
        <v>0</v>
      </c>
      <c r="H14" s="77">
        <v>0</v>
      </c>
      <c r="I14" s="74">
        <v>0</v>
      </c>
      <c r="J14" s="75">
        <v>0</v>
      </c>
      <c r="K14" s="76">
        <v>0</v>
      </c>
      <c r="L14" s="77">
        <v>0</v>
      </c>
      <c r="M14" s="74">
        <v>0</v>
      </c>
      <c r="N14" s="75">
        <v>0</v>
      </c>
      <c r="O14" s="76">
        <v>0</v>
      </c>
      <c r="P14" s="77">
        <v>0</v>
      </c>
      <c r="Q14" s="78">
        <f t="shared" si="0"/>
        <v>113</v>
      </c>
      <c r="R14" s="96">
        <f t="shared" si="1"/>
        <v>0.33431952662721892</v>
      </c>
      <c r="S14" s="92"/>
    </row>
    <row r="15" spans="1:20" ht="18.75" customHeight="1">
      <c r="A15" s="67"/>
      <c r="B15" s="159" t="s">
        <v>128</v>
      </c>
      <c r="C15" s="160"/>
      <c r="D15" s="110">
        <v>324</v>
      </c>
      <c r="E15" s="74">
        <v>72</v>
      </c>
      <c r="F15" s="75">
        <v>0</v>
      </c>
      <c r="G15" s="76">
        <v>0</v>
      </c>
      <c r="H15" s="77">
        <v>0</v>
      </c>
      <c r="I15" s="74">
        <v>0</v>
      </c>
      <c r="J15" s="75">
        <v>0</v>
      </c>
      <c r="K15" s="76">
        <v>0</v>
      </c>
      <c r="L15" s="77">
        <v>0</v>
      </c>
      <c r="M15" s="74">
        <v>0</v>
      </c>
      <c r="N15" s="75">
        <v>0</v>
      </c>
      <c r="O15" s="76">
        <v>0</v>
      </c>
      <c r="P15" s="77">
        <v>0</v>
      </c>
      <c r="Q15" s="78">
        <f t="shared" si="0"/>
        <v>72</v>
      </c>
      <c r="R15" s="96">
        <f t="shared" si="1"/>
        <v>0.22222222222222221</v>
      </c>
      <c r="S15" s="92"/>
    </row>
    <row r="16" spans="1:20" ht="18.75" customHeight="1">
      <c r="A16" s="67"/>
      <c r="B16" s="159" t="s">
        <v>129</v>
      </c>
      <c r="C16" s="160"/>
      <c r="D16" s="110">
        <v>410</v>
      </c>
      <c r="E16" s="74">
        <v>114</v>
      </c>
      <c r="F16" s="75">
        <v>16</v>
      </c>
      <c r="G16" s="76">
        <v>0</v>
      </c>
      <c r="H16" s="77">
        <v>0</v>
      </c>
      <c r="I16" s="74">
        <v>0</v>
      </c>
      <c r="J16" s="75">
        <v>0</v>
      </c>
      <c r="K16" s="76">
        <v>0</v>
      </c>
      <c r="L16" s="77">
        <v>0</v>
      </c>
      <c r="M16" s="74">
        <v>0</v>
      </c>
      <c r="N16" s="75">
        <v>0</v>
      </c>
      <c r="O16" s="76">
        <v>0</v>
      </c>
      <c r="P16" s="77">
        <v>0</v>
      </c>
      <c r="Q16" s="78">
        <f>E16+G16+I16+K16+M16+O16</f>
        <v>114</v>
      </c>
      <c r="R16" s="96">
        <f t="shared" si="1"/>
        <v>0.2780487804878049</v>
      </c>
      <c r="S16" s="92"/>
    </row>
    <row r="17" spans="1:19" ht="18.75" customHeight="1">
      <c r="A17" s="67"/>
      <c r="B17" s="159" t="s">
        <v>130</v>
      </c>
      <c r="C17" s="160"/>
      <c r="D17" s="110">
        <v>430</v>
      </c>
      <c r="E17" s="74">
        <v>115</v>
      </c>
      <c r="F17" s="75">
        <v>25</v>
      </c>
      <c r="G17" s="76">
        <v>0</v>
      </c>
      <c r="H17" s="77">
        <v>0</v>
      </c>
      <c r="I17" s="74">
        <v>0</v>
      </c>
      <c r="J17" s="75">
        <v>0</v>
      </c>
      <c r="K17" s="76">
        <v>0</v>
      </c>
      <c r="L17" s="77">
        <v>0</v>
      </c>
      <c r="M17" s="74">
        <v>0</v>
      </c>
      <c r="N17" s="75">
        <v>0</v>
      </c>
      <c r="O17" s="76">
        <v>0</v>
      </c>
      <c r="P17" s="77">
        <v>0</v>
      </c>
      <c r="Q17" s="78">
        <f t="shared" si="0"/>
        <v>115</v>
      </c>
      <c r="R17" s="96">
        <f t="shared" si="1"/>
        <v>0.26744186046511625</v>
      </c>
      <c r="S17" s="92"/>
    </row>
    <row r="18" spans="1:19" ht="18.75" customHeight="1">
      <c r="A18" s="67"/>
      <c r="B18" s="159" t="s">
        <v>131</v>
      </c>
      <c r="C18" s="160"/>
      <c r="D18" s="110">
        <v>326</v>
      </c>
      <c r="E18" s="74">
        <v>121</v>
      </c>
      <c r="F18" s="75">
        <v>13</v>
      </c>
      <c r="G18" s="76">
        <v>0</v>
      </c>
      <c r="H18" s="77">
        <v>0</v>
      </c>
      <c r="I18" s="74">
        <v>0</v>
      </c>
      <c r="J18" s="75">
        <v>0</v>
      </c>
      <c r="K18" s="76">
        <v>0</v>
      </c>
      <c r="L18" s="77">
        <v>0</v>
      </c>
      <c r="M18" s="74">
        <v>0</v>
      </c>
      <c r="N18" s="75">
        <v>0</v>
      </c>
      <c r="O18" s="76">
        <v>0</v>
      </c>
      <c r="P18" s="77">
        <v>0</v>
      </c>
      <c r="Q18" s="78">
        <f t="shared" si="0"/>
        <v>121</v>
      </c>
      <c r="R18" s="96">
        <f t="shared" si="1"/>
        <v>0.37116564417177916</v>
      </c>
      <c r="S18" s="92"/>
    </row>
    <row r="19" spans="1:19" ht="18.75" customHeight="1">
      <c r="A19" s="67"/>
      <c r="B19" s="159" t="s">
        <v>132</v>
      </c>
      <c r="C19" s="160"/>
      <c r="D19" s="110">
        <v>404</v>
      </c>
      <c r="E19" s="74">
        <v>104</v>
      </c>
      <c r="F19" s="75">
        <v>6</v>
      </c>
      <c r="G19" s="76">
        <v>0</v>
      </c>
      <c r="H19" s="77">
        <v>0</v>
      </c>
      <c r="I19" s="74">
        <v>0</v>
      </c>
      <c r="J19" s="75">
        <v>0</v>
      </c>
      <c r="K19" s="76">
        <v>0</v>
      </c>
      <c r="L19" s="77">
        <v>0</v>
      </c>
      <c r="M19" s="74">
        <v>0</v>
      </c>
      <c r="N19" s="75">
        <v>0</v>
      </c>
      <c r="O19" s="76">
        <v>0</v>
      </c>
      <c r="P19" s="77">
        <v>0</v>
      </c>
      <c r="Q19" s="78">
        <f t="shared" si="0"/>
        <v>104</v>
      </c>
      <c r="R19" s="96">
        <f t="shared" si="1"/>
        <v>0.25742574257425743</v>
      </c>
      <c r="S19" s="92"/>
    </row>
    <row r="20" spans="1:19" ht="18.75" customHeight="1">
      <c r="A20" s="67"/>
      <c r="B20" s="159" t="s">
        <v>133</v>
      </c>
      <c r="C20" s="160"/>
      <c r="D20" s="110">
        <v>231</v>
      </c>
      <c r="E20" s="74">
        <v>112</v>
      </c>
      <c r="F20" s="75">
        <v>20</v>
      </c>
      <c r="G20" s="76">
        <v>0</v>
      </c>
      <c r="H20" s="77">
        <v>0</v>
      </c>
      <c r="I20" s="74">
        <v>0</v>
      </c>
      <c r="J20" s="75">
        <v>0</v>
      </c>
      <c r="K20" s="76">
        <v>0</v>
      </c>
      <c r="L20" s="77">
        <v>0</v>
      </c>
      <c r="M20" s="74">
        <v>0</v>
      </c>
      <c r="N20" s="75">
        <v>0</v>
      </c>
      <c r="O20" s="76">
        <v>0</v>
      </c>
      <c r="P20" s="77">
        <v>0</v>
      </c>
      <c r="Q20" s="78">
        <f t="shared" si="0"/>
        <v>112</v>
      </c>
      <c r="R20" s="96">
        <f t="shared" si="1"/>
        <v>0.48484848484848486</v>
      </c>
      <c r="S20" s="92"/>
    </row>
    <row r="21" spans="1:19" ht="18.75" customHeight="1">
      <c r="A21" s="67"/>
      <c r="B21" s="159" t="s">
        <v>134</v>
      </c>
      <c r="C21" s="160"/>
      <c r="D21" s="110">
        <v>696</v>
      </c>
      <c r="E21" s="74">
        <v>81</v>
      </c>
      <c r="F21" s="75">
        <v>0</v>
      </c>
      <c r="G21" s="76">
        <v>0</v>
      </c>
      <c r="H21" s="77">
        <v>0</v>
      </c>
      <c r="I21" s="74">
        <v>0</v>
      </c>
      <c r="J21" s="75">
        <v>0</v>
      </c>
      <c r="K21" s="76">
        <v>0</v>
      </c>
      <c r="L21" s="77">
        <v>0</v>
      </c>
      <c r="M21" s="74">
        <v>0</v>
      </c>
      <c r="N21" s="75">
        <v>0</v>
      </c>
      <c r="O21" s="76">
        <v>0</v>
      </c>
      <c r="P21" s="77">
        <v>0</v>
      </c>
      <c r="Q21" s="78">
        <f t="shared" si="0"/>
        <v>81</v>
      </c>
      <c r="R21" s="96">
        <f t="shared" si="1"/>
        <v>0.11637931034482758</v>
      </c>
      <c r="S21" s="92"/>
    </row>
    <row r="22" spans="1:19" ht="18.75" customHeight="1">
      <c r="A22" s="67"/>
      <c r="B22" s="159" t="s">
        <v>135</v>
      </c>
      <c r="C22" s="160"/>
      <c r="D22" s="110" t="s">
        <v>136</v>
      </c>
      <c r="E22" s="74">
        <v>30</v>
      </c>
      <c r="F22" s="75">
        <v>0</v>
      </c>
      <c r="G22" s="76">
        <v>0</v>
      </c>
      <c r="H22" s="77">
        <v>0</v>
      </c>
      <c r="I22" s="74">
        <v>0</v>
      </c>
      <c r="J22" s="75">
        <v>0</v>
      </c>
      <c r="K22" s="76">
        <v>0</v>
      </c>
      <c r="L22" s="77">
        <v>0</v>
      </c>
      <c r="M22" s="74">
        <v>0</v>
      </c>
      <c r="N22" s="75">
        <v>0</v>
      </c>
      <c r="O22" s="76">
        <v>0</v>
      </c>
      <c r="P22" s="77">
        <v>0</v>
      </c>
      <c r="Q22" s="78">
        <f t="shared" si="0"/>
        <v>30</v>
      </c>
      <c r="R22" s="97"/>
      <c r="S22" s="92"/>
    </row>
    <row r="23" spans="1:19" ht="18.75" customHeight="1">
      <c r="A23" s="67"/>
      <c r="B23" s="159" t="s">
        <v>137</v>
      </c>
      <c r="C23" s="160"/>
      <c r="D23" s="110">
        <v>210</v>
      </c>
      <c r="E23" s="74">
        <v>21</v>
      </c>
      <c r="F23" s="75">
        <v>5</v>
      </c>
      <c r="G23" s="76">
        <v>0</v>
      </c>
      <c r="H23" s="77">
        <v>0</v>
      </c>
      <c r="I23" s="74">
        <v>0</v>
      </c>
      <c r="J23" s="75">
        <v>0</v>
      </c>
      <c r="K23" s="76">
        <v>0</v>
      </c>
      <c r="L23" s="77">
        <v>0</v>
      </c>
      <c r="M23" s="74">
        <v>0</v>
      </c>
      <c r="N23" s="75">
        <v>0</v>
      </c>
      <c r="O23" s="76">
        <v>0</v>
      </c>
      <c r="P23" s="77">
        <v>0</v>
      </c>
      <c r="Q23" s="78">
        <f t="shared" si="0"/>
        <v>21</v>
      </c>
      <c r="R23" s="96">
        <f t="shared" si="1"/>
        <v>0.1</v>
      </c>
      <c r="S23" s="92"/>
    </row>
    <row r="24" spans="1:19" ht="18.75" customHeight="1">
      <c r="A24" s="67"/>
      <c r="B24" s="159" t="s">
        <v>138</v>
      </c>
      <c r="C24" s="160"/>
      <c r="D24" s="110">
        <v>158</v>
      </c>
      <c r="E24" s="74">
        <v>12</v>
      </c>
      <c r="F24" s="75">
        <v>0</v>
      </c>
      <c r="G24" s="76">
        <v>0</v>
      </c>
      <c r="H24" s="77">
        <v>0</v>
      </c>
      <c r="I24" s="74">
        <v>0</v>
      </c>
      <c r="J24" s="75">
        <v>0</v>
      </c>
      <c r="K24" s="76">
        <v>0</v>
      </c>
      <c r="L24" s="77">
        <v>0</v>
      </c>
      <c r="M24" s="74">
        <v>0</v>
      </c>
      <c r="N24" s="75">
        <v>0</v>
      </c>
      <c r="O24" s="76">
        <v>0</v>
      </c>
      <c r="P24" s="77">
        <v>0</v>
      </c>
      <c r="Q24" s="78">
        <f t="shared" si="0"/>
        <v>12</v>
      </c>
      <c r="R24" s="96">
        <f t="shared" si="1"/>
        <v>7.5949367088607597E-2</v>
      </c>
      <c r="S24" s="92"/>
    </row>
    <row r="25" spans="1:19" ht="18.75" customHeight="1">
      <c r="A25" s="67"/>
      <c r="B25" s="159" t="s">
        <v>139</v>
      </c>
      <c r="C25" s="160"/>
      <c r="D25" s="110">
        <v>854</v>
      </c>
      <c r="E25" s="74">
        <v>125</v>
      </c>
      <c r="F25" s="75">
        <v>0</v>
      </c>
      <c r="G25" s="76">
        <v>0</v>
      </c>
      <c r="H25" s="77">
        <v>0</v>
      </c>
      <c r="I25" s="74">
        <v>0</v>
      </c>
      <c r="J25" s="75">
        <v>0</v>
      </c>
      <c r="K25" s="76">
        <v>0</v>
      </c>
      <c r="L25" s="77">
        <v>0</v>
      </c>
      <c r="M25" s="74">
        <v>0</v>
      </c>
      <c r="N25" s="75">
        <v>0</v>
      </c>
      <c r="O25" s="76">
        <v>0</v>
      </c>
      <c r="P25" s="77">
        <v>0</v>
      </c>
      <c r="Q25" s="78">
        <f t="shared" si="0"/>
        <v>125</v>
      </c>
      <c r="R25" s="96">
        <f t="shared" si="1"/>
        <v>0.14637002341920374</v>
      </c>
      <c r="S25" s="92"/>
    </row>
    <row r="26" spans="1:19" ht="18.75" customHeight="1" thickBot="1">
      <c r="A26" s="67"/>
      <c r="B26" s="159" t="s">
        <v>140</v>
      </c>
      <c r="C26" s="160"/>
      <c r="D26" s="93">
        <v>144</v>
      </c>
      <c r="E26" s="74">
        <v>0</v>
      </c>
      <c r="F26" s="75">
        <v>0</v>
      </c>
      <c r="G26" s="76">
        <v>0</v>
      </c>
      <c r="H26" s="77">
        <v>0</v>
      </c>
      <c r="I26" s="74">
        <v>0</v>
      </c>
      <c r="J26" s="75">
        <v>0</v>
      </c>
      <c r="K26" s="76">
        <v>0</v>
      </c>
      <c r="L26" s="77">
        <v>0</v>
      </c>
      <c r="M26" s="74">
        <v>0</v>
      </c>
      <c r="N26" s="75">
        <v>0</v>
      </c>
      <c r="O26" s="76">
        <v>0</v>
      </c>
      <c r="P26" s="77">
        <v>0</v>
      </c>
      <c r="Q26" s="99">
        <f t="shared" si="0"/>
        <v>0</v>
      </c>
      <c r="R26" s="98"/>
      <c r="S26" s="92"/>
    </row>
    <row r="27" spans="1:19" ht="18.75" customHeight="1" thickTop="1">
      <c r="A27" s="67"/>
      <c r="B27" s="161" t="s">
        <v>141</v>
      </c>
      <c r="C27" s="162"/>
      <c r="D27" s="79">
        <f t="shared" ref="D27:Q27" si="2">SUM(D8:D26)</f>
        <v>7383</v>
      </c>
      <c r="E27" s="80">
        <f t="shared" si="2"/>
        <v>1619</v>
      </c>
      <c r="F27" s="81">
        <f t="shared" si="2"/>
        <v>98</v>
      </c>
      <c r="G27" s="82">
        <f t="shared" si="2"/>
        <v>0</v>
      </c>
      <c r="H27" s="83">
        <f t="shared" si="2"/>
        <v>0</v>
      </c>
      <c r="I27" s="80">
        <f t="shared" si="2"/>
        <v>0</v>
      </c>
      <c r="J27" s="81">
        <f t="shared" si="2"/>
        <v>0</v>
      </c>
      <c r="K27" s="82">
        <f t="shared" si="2"/>
        <v>0</v>
      </c>
      <c r="L27" s="83">
        <f t="shared" si="2"/>
        <v>0</v>
      </c>
      <c r="M27" s="80">
        <f t="shared" si="2"/>
        <v>0</v>
      </c>
      <c r="N27" s="81">
        <f t="shared" si="2"/>
        <v>0</v>
      </c>
      <c r="O27" s="82">
        <f t="shared" si="2"/>
        <v>0</v>
      </c>
      <c r="P27" s="83">
        <f t="shared" si="2"/>
        <v>0</v>
      </c>
      <c r="Q27" s="84">
        <f t="shared" si="2"/>
        <v>1619</v>
      </c>
      <c r="R27" s="94">
        <f>Q27/D27</f>
        <v>0.21928755248543952</v>
      </c>
    </row>
    <row r="28" spans="1:19" ht="6.75" customHeight="1">
      <c r="A28" s="67"/>
      <c r="B28" s="67"/>
      <c r="C28" s="67"/>
      <c r="D28" s="85"/>
      <c r="E28" s="85"/>
      <c r="F28" s="85"/>
      <c r="G28" s="85"/>
      <c r="H28" s="85"/>
      <c r="I28" s="85"/>
      <c r="J28" s="85"/>
      <c r="K28" s="85"/>
      <c r="L28" s="85"/>
      <c r="M28" s="85"/>
      <c r="N28" s="85"/>
      <c r="O28" s="85"/>
      <c r="P28" s="85"/>
      <c r="Q28" s="85"/>
      <c r="R28" s="85"/>
    </row>
    <row r="29" spans="1:19" ht="18.75" customHeight="1">
      <c r="B29" s="1" t="s">
        <v>142</v>
      </c>
    </row>
    <row r="30" spans="1:19" ht="18.75" customHeight="1">
      <c r="D30" s="90"/>
      <c r="E30" s="90"/>
      <c r="F30" s="90"/>
      <c r="G30" s="90"/>
    </row>
    <row r="31" spans="1:19" ht="18.75" customHeight="1">
      <c r="D31" s="90"/>
      <c r="E31" s="90"/>
      <c r="F31" s="90"/>
      <c r="G31" s="90"/>
    </row>
  </sheetData>
  <mergeCells count="34">
    <mergeCell ref="F1:R1"/>
    <mergeCell ref="K2:L2"/>
    <mergeCell ref="D6:D7"/>
    <mergeCell ref="E6:F6"/>
    <mergeCell ref="G6:H6"/>
    <mergeCell ref="I6:J6"/>
    <mergeCell ref="K6:L6"/>
    <mergeCell ref="M6:N6"/>
    <mergeCell ref="O6:P6"/>
    <mergeCell ref="Q6:Q7"/>
    <mergeCell ref="R6:R7"/>
    <mergeCell ref="A4:R4"/>
    <mergeCell ref="M2:O2"/>
    <mergeCell ref="B27:C27"/>
    <mergeCell ref="B6:C7"/>
    <mergeCell ref="B23:C23"/>
    <mergeCell ref="B24:C24"/>
    <mergeCell ref="B25:C25"/>
    <mergeCell ref="B26:C26"/>
    <mergeCell ref="B16:C16"/>
    <mergeCell ref="B19:C19"/>
    <mergeCell ref="B20:C20"/>
    <mergeCell ref="B21:C21"/>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cellComments="asDisplaye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1"/>
  <sheetViews>
    <sheetView topLeftCell="A103" zoomScale="85" zoomScaleNormal="85" workbookViewId="0">
      <selection activeCell="I129" sqref="I129"/>
    </sheetView>
  </sheetViews>
  <sheetFormatPr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G1" s="107" t="s">
        <v>143</v>
      </c>
    </row>
    <row r="2" spans="1:7" ht="18.75" customHeight="1">
      <c r="F2" s="107" t="s">
        <v>63</v>
      </c>
      <c r="G2" s="1" t="s">
        <v>4</v>
      </c>
    </row>
    <row r="3" spans="1:7" ht="18.75" customHeight="1">
      <c r="A3" s="207" t="s">
        <v>144</v>
      </c>
      <c r="B3" s="207"/>
      <c r="C3" s="207"/>
      <c r="D3" s="207"/>
      <c r="E3" s="207"/>
      <c r="F3" s="207"/>
      <c r="G3" s="207"/>
    </row>
    <row r="4" spans="1:7" ht="18.75" customHeight="1">
      <c r="A4" s="1" t="s">
        <v>2</v>
      </c>
      <c r="B4" s="1" t="s">
        <v>145</v>
      </c>
    </row>
    <row r="5" spans="1:7" s="88" customFormat="1" ht="18.75" customHeight="1">
      <c r="A5" s="111"/>
      <c r="B5" s="89" t="s">
        <v>146</v>
      </c>
      <c r="C5" s="192" t="s">
        <v>147</v>
      </c>
      <c r="D5" s="193"/>
      <c r="E5" s="193"/>
      <c r="F5" s="193"/>
      <c r="G5" s="194"/>
    </row>
    <row r="6" spans="1:7" s="88" customFormat="1" ht="37.5" customHeight="1">
      <c r="A6" s="111"/>
      <c r="B6" s="195" t="s">
        <v>148</v>
      </c>
      <c r="C6" s="197" t="s">
        <v>149</v>
      </c>
      <c r="D6" s="208"/>
      <c r="E6" s="208"/>
      <c r="F6" s="208"/>
      <c r="G6" s="209"/>
    </row>
    <row r="7" spans="1:7" s="88" customFormat="1" ht="37.5" customHeight="1">
      <c r="A7" s="111"/>
      <c r="B7" s="196"/>
      <c r="C7" s="210"/>
      <c r="D7" s="211"/>
      <c r="E7" s="211"/>
      <c r="F7" s="211"/>
      <c r="G7" s="212"/>
    </row>
    <row r="8" spans="1:7" s="88" customFormat="1" ht="37.5" customHeight="1">
      <c r="A8" s="111"/>
      <c r="B8" s="196"/>
      <c r="C8" s="210"/>
      <c r="D8" s="211"/>
      <c r="E8" s="211"/>
      <c r="F8" s="211"/>
      <c r="G8" s="212"/>
    </row>
    <row r="9" spans="1:7" s="88" customFormat="1" ht="37.5" customHeight="1">
      <c r="A9" s="111"/>
      <c r="B9" s="196"/>
      <c r="C9" s="213"/>
      <c r="D9" s="214"/>
      <c r="E9" s="214"/>
      <c r="F9" s="214"/>
      <c r="G9" s="215"/>
    </row>
    <row r="10" spans="1:7" s="88" customFormat="1" ht="18.75" customHeight="1">
      <c r="A10" s="111"/>
      <c r="B10" s="196"/>
      <c r="C10" s="51" t="s">
        <v>150</v>
      </c>
      <c r="D10" s="216" t="s">
        <v>151</v>
      </c>
      <c r="E10" s="217"/>
      <c r="F10" s="217"/>
      <c r="G10" s="218"/>
    </row>
    <row r="11" spans="1:7" s="88" customFormat="1" ht="18.75" customHeight="1">
      <c r="A11" s="111"/>
      <c r="B11" s="196"/>
      <c r="C11" s="91" t="s">
        <v>152</v>
      </c>
      <c r="D11" s="134" t="s">
        <v>153</v>
      </c>
      <c r="E11" s="135"/>
      <c r="F11" s="135"/>
      <c r="G11" s="136"/>
    </row>
    <row r="12" spans="1:7" s="88" customFormat="1" ht="18.75" customHeight="1">
      <c r="A12" s="111"/>
      <c r="B12" s="196"/>
      <c r="C12" s="102" t="s">
        <v>72</v>
      </c>
      <c r="D12" s="134" t="s">
        <v>154</v>
      </c>
      <c r="E12" s="135"/>
      <c r="F12" s="135"/>
      <c r="G12" s="136"/>
    </row>
    <row r="13" spans="1:7" s="88" customFormat="1" ht="18.75" customHeight="1">
      <c r="A13" s="111"/>
      <c r="B13" s="196"/>
      <c r="C13" s="102" t="s">
        <v>80</v>
      </c>
      <c r="D13" s="134" t="s">
        <v>155</v>
      </c>
      <c r="E13" s="135"/>
      <c r="F13" s="135"/>
      <c r="G13" s="136"/>
    </row>
    <row r="14" spans="1:7" s="88" customFormat="1" ht="18.75" customHeight="1">
      <c r="A14" s="111"/>
      <c r="B14" s="196"/>
      <c r="C14" s="102" t="s">
        <v>156</v>
      </c>
      <c r="D14" s="134" t="s">
        <v>157</v>
      </c>
      <c r="E14" s="135"/>
      <c r="F14" s="135"/>
      <c r="G14" s="136"/>
    </row>
    <row r="15" spans="1:7" s="88" customFormat="1" ht="18.75" customHeight="1">
      <c r="A15" s="111"/>
      <c r="B15" s="196"/>
      <c r="C15" s="102" t="s">
        <v>158</v>
      </c>
      <c r="D15" s="134" t="s">
        <v>159</v>
      </c>
      <c r="E15" s="135"/>
      <c r="F15" s="135"/>
      <c r="G15" s="136"/>
    </row>
    <row r="16" spans="1:7" s="88" customFormat="1" ht="18.75" customHeight="1">
      <c r="A16" s="111"/>
      <c r="B16" s="196"/>
      <c r="C16" s="102" t="s">
        <v>160</v>
      </c>
      <c r="D16" s="134" t="s">
        <v>161</v>
      </c>
      <c r="E16" s="135"/>
      <c r="F16" s="135"/>
      <c r="G16" s="136"/>
    </row>
    <row r="17" spans="2:7" s="88" customFormat="1" ht="18.75" customHeight="1">
      <c r="B17" s="196"/>
      <c r="C17" s="102" t="s">
        <v>162</v>
      </c>
      <c r="D17" s="134" t="s">
        <v>161</v>
      </c>
      <c r="E17" s="135"/>
      <c r="F17" s="135"/>
      <c r="G17" s="136"/>
    </row>
    <row r="18" spans="2:7" s="88" customFormat="1" ht="18.75" customHeight="1">
      <c r="B18" s="196"/>
      <c r="C18" s="102" t="s">
        <v>163</v>
      </c>
      <c r="D18" s="134" t="s">
        <v>164</v>
      </c>
      <c r="E18" s="135"/>
      <c r="F18" s="135"/>
      <c r="G18" s="136"/>
    </row>
    <row r="19" spans="2:7" s="88" customFormat="1" ht="18.75" customHeight="1">
      <c r="B19" s="196"/>
      <c r="C19" s="102" t="s">
        <v>165</v>
      </c>
      <c r="D19" s="134" t="s">
        <v>166</v>
      </c>
      <c r="E19" s="135"/>
      <c r="F19" s="135"/>
      <c r="G19" s="136"/>
    </row>
    <row r="20" spans="2:7" s="88" customFormat="1" ht="18.75" customHeight="1">
      <c r="B20" s="196"/>
      <c r="C20" s="102"/>
      <c r="D20" s="134"/>
      <c r="E20" s="135"/>
      <c r="F20" s="135"/>
      <c r="G20" s="136"/>
    </row>
    <row r="21" spans="2:7" s="88" customFormat="1" ht="18.75" customHeight="1">
      <c r="B21" s="196"/>
      <c r="C21" s="102"/>
      <c r="D21" s="134"/>
      <c r="E21" s="135"/>
      <c r="F21" s="135"/>
      <c r="G21" s="136"/>
    </row>
    <row r="22" spans="2:7" s="88" customFormat="1" ht="18.75" customHeight="1">
      <c r="B22" s="196"/>
      <c r="C22" s="102"/>
      <c r="D22" s="134"/>
      <c r="E22" s="135"/>
      <c r="F22" s="135"/>
      <c r="G22" s="136"/>
    </row>
    <row r="23" spans="2:7" s="88" customFormat="1" ht="18.75" customHeight="1">
      <c r="B23" s="196"/>
      <c r="C23" s="102"/>
      <c r="D23" s="134"/>
      <c r="E23" s="135"/>
      <c r="F23" s="135"/>
      <c r="G23" s="136"/>
    </row>
    <row r="24" spans="2:7" s="88" customFormat="1" ht="18.75" customHeight="1">
      <c r="B24" s="196"/>
      <c r="C24" s="102"/>
      <c r="D24" s="134"/>
      <c r="E24" s="135"/>
      <c r="F24" s="135"/>
      <c r="G24" s="136"/>
    </row>
    <row r="25" spans="2:7" s="88" customFormat="1" ht="18.75" customHeight="1">
      <c r="B25" s="196"/>
      <c r="C25" s="102"/>
      <c r="D25" s="134"/>
      <c r="E25" s="135"/>
      <c r="F25" s="135"/>
      <c r="G25" s="136"/>
    </row>
    <row r="26" spans="2:7" s="88" customFormat="1" ht="18.75" customHeight="1">
      <c r="B26" s="196"/>
      <c r="C26" s="102"/>
      <c r="D26" s="134"/>
      <c r="E26" s="135"/>
      <c r="F26" s="135"/>
      <c r="G26" s="136"/>
    </row>
    <row r="27" spans="2:7" ht="18.75" customHeight="1">
      <c r="B27" s="195" t="s">
        <v>167</v>
      </c>
      <c r="C27" s="192" t="s">
        <v>147</v>
      </c>
      <c r="D27" s="193"/>
      <c r="E27" s="193"/>
      <c r="F27" s="193"/>
      <c r="G27" s="194"/>
    </row>
    <row r="28" spans="2:7" ht="37.5" customHeight="1">
      <c r="B28" s="196"/>
      <c r="C28" s="143" t="s">
        <v>168</v>
      </c>
      <c r="D28" s="144"/>
      <c r="E28" s="144"/>
      <c r="F28" s="144"/>
      <c r="G28" s="145"/>
    </row>
    <row r="29" spans="2:7" ht="37.5" customHeight="1">
      <c r="B29" s="196"/>
      <c r="C29" s="146"/>
      <c r="D29" s="147"/>
      <c r="E29" s="147"/>
      <c r="F29" s="147"/>
      <c r="G29" s="148"/>
    </row>
    <row r="30" spans="2:7" ht="37.5" customHeight="1">
      <c r="B30" s="196"/>
      <c r="C30" s="146"/>
      <c r="D30" s="147"/>
      <c r="E30" s="147"/>
      <c r="F30" s="147"/>
      <c r="G30" s="148"/>
    </row>
    <row r="31" spans="2:7" ht="37.5" customHeight="1">
      <c r="B31" s="196"/>
      <c r="C31" s="146"/>
      <c r="D31" s="147"/>
      <c r="E31" s="147"/>
      <c r="F31" s="147"/>
      <c r="G31" s="148"/>
    </row>
    <row r="32" spans="2:7" ht="37.5" customHeight="1">
      <c r="B32" s="196"/>
      <c r="C32" s="149"/>
      <c r="D32" s="150"/>
      <c r="E32" s="150"/>
      <c r="F32" s="150"/>
      <c r="G32" s="151"/>
    </row>
    <row r="33" spans="2:7" ht="18.75" customHeight="1">
      <c r="B33" s="196"/>
      <c r="C33" s="51" t="s">
        <v>150</v>
      </c>
      <c r="D33" s="192" t="s">
        <v>151</v>
      </c>
      <c r="E33" s="193"/>
      <c r="F33" s="193"/>
      <c r="G33" s="194"/>
    </row>
    <row r="34" spans="2:7" ht="18.75" customHeight="1">
      <c r="B34" s="196"/>
      <c r="C34" s="91" t="s">
        <v>152</v>
      </c>
      <c r="D34" s="134" t="s">
        <v>169</v>
      </c>
      <c r="E34" s="135"/>
      <c r="F34" s="135"/>
      <c r="G34" s="136"/>
    </row>
    <row r="35" spans="2:7" ht="18.75" customHeight="1">
      <c r="B35" s="196"/>
      <c r="C35" s="91" t="s">
        <v>72</v>
      </c>
      <c r="D35" s="134" t="s">
        <v>170</v>
      </c>
      <c r="E35" s="135"/>
      <c r="F35" s="135"/>
      <c r="G35" s="136"/>
    </row>
    <row r="36" spans="2:7" ht="18.75" customHeight="1">
      <c r="B36" s="196"/>
      <c r="C36" s="91" t="s">
        <v>80</v>
      </c>
      <c r="D36" s="134" t="s">
        <v>155</v>
      </c>
      <c r="E36" s="135"/>
      <c r="F36" s="135"/>
      <c r="G36" s="136"/>
    </row>
    <row r="37" spans="2:7" ht="18.75" customHeight="1">
      <c r="B37" s="196"/>
      <c r="C37" s="91" t="s">
        <v>158</v>
      </c>
      <c r="D37" s="134" t="s">
        <v>171</v>
      </c>
      <c r="E37" s="135"/>
      <c r="F37" s="135"/>
      <c r="G37" s="136"/>
    </row>
    <row r="38" spans="2:7" ht="18.75" customHeight="1">
      <c r="B38" s="196"/>
      <c r="C38" s="91" t="s">
        <v>165</v>
      </c>
      <c r="D38" s="134" t="s">
        <v>166</v>
      </c>
      <c r="E38" s="135"/>
      <c r="F38" s="135"/>
      <c r="G38" s="136"/>
    </row>
    <row r="39" spans="2:7" ht="18.75" customHeight="1">
      <c r="B39" s="196"/>
      <c r="C39" s="91" t="s">
        <v>172</v>
      </c>
      <c r="D39" s="134" t="s">
        <v>173</v>
      </c>
      <c r="E39" s="135"/>
      <c r="F39" s="135"/>
      <c r="G39" s="136"/>
    </row>
    <row r="40" spans="2:7" ht="18.75" customHeight="1">
      <c r="B40" s="196"/>
      <c r="C40" s="91" t="s">
        <v>174</v>
      </c>
      <c r="D40" s="134" t="s">
        <v>175</v>
      </c>
      <c r="E40" s="135"/>
      <c r="F40" s="135"/>
      <c r="G40" s="136"/>
    </row>
    <row r="41" spans="2:7" ht="18.75" customHeight="1">
      <c r="B41" s="196"/>
      <c r="C41" s="91"/>
      <c r="D41" s="134"/>
      <c r="E41" s="135"/>
      <c r="F41" s="135"/>
      <c r="G41" s="136"/>
    </row>
    <row r="42" spans="2:7" ht="18.75" customHeight="1">
      <c r="B42" s="196"/>
      <c r="C42" s="91"/>
      <c r="D42" s="134"/>
      <c r="E42" s="135"/>
      <c r="F42" s="135"/>
      <c r="G42" s="136"/>
    </row>
    <row r="43" spans="2:7" ht="18.75" customHeight="1">
      <c r="B43" s="196"/>
      <c r="C43" s="91"/>
      <c r="D43" s="134"/>
      <c r="E43" s="135"/>
      <c r="F43" s="135"/>
      <c r="G43" s="136"/>
    </row>
    <row r="44" spans="2:7" ht="18.75" customHeight="1">
      <c r="B44" s="196"/>
      <c r="C44" s="91"/>
      <c r="D44" s="134"/>
      <c r="E44" s="135"/>
      <c r="F44" s="135"/>
      <c r="G44" s="136"/>
    </row>
    <row r="45" spans="2:7" ht="18.75" customHeight="1">
      <c r="B45" s="196"/>
      <c r="C45" s="91"/>
      <c r="D45" s="134"/>
      <c r="E45" s="135"/>
      <c r="F45" s="135"/>
      <c r="G45" s="136"/>
    </row>
    <row r="46" spans="2:7" ht="18.75" customHeight="1">
      <c r="B46" s="196"/>
      <c r="C46" s="91"/>
      <c r="D46" s="134"/>
      <c r="E46" s="135"/>
      <c r="F46" s="135"/>
      <c r="G46" s="136"/>
    </row>
    <row r="47" spans="2:7" ht="18.75" customHeight="1">
      <c r="B47" s="196"/>
      <c r="C47" s="91"/>
      <c r="D47" s="134"/>
      <c r="E47" s="135"/>
      <c r="F47" s="135"/>
      <c r="G47" s="136"/>
    </row>
    <row r="48" spans="2:7" ht="18.75" customHeight="1">
      <c r="B48" s="196"/>
      <c r="C48" s="91"/>
      <c r="D48" s="134"/>
      <c r="E48" s="135"/>
      <c r="F48" s="135"/>
      <c r="G48" s="136"/>
    </row>
    <row r="49" spans="2:7" ht="18.75" customHeight="1">
      <c r="B49" s="196"/>
      <c r="C49" s="91"/>
      <c r="D49" s="134"/>
      <c r="E49" s="135"/>
      <c r="F49" s="135"/>
      <c r="G49" s="136"/>
    </row>
    <row r="50" spans="2:7" ht="18.75" customHeight="1">
      <c r="B50" s="196"/>
      <c r="C50" s="91"/>
      <c r="D50" s="134"/>
      <c r="E50" s="135"/>
      <c r="F50" s="135"/>
      <c r="G50" s="136"/>
    </row>
    <row r="51" spans="2:7" ht="18.75" customHeight="1">
      <c r="B51" s="206"/>
      <c r="C51" s="91"/>
      <c r="D51" s="134"/>
      <c r="E51" s="135"/>
      <c r="F51" s="135"/>
      <c r="G51" s="136"/>
    </row>
    <row r="52" spans="2:7" ht="18.75" customHeight="1">
      <c r="B52" s="195" t="s">
        <v>176</v>
      </c>
      <c r="C52" s="192" t="s">
        <v>147</v>
      </c>
      <c r="D52" s="193"/>
      <c r="E52" s="193"/>
      <c r="F52" s="193"/>
      <c r="G52" s="194"/>
    </row>
    <row r="53" spans="2:7" ht="37.5" customHeight="1">
      <c r="B53" s="196"/>
      <c r="C53" s="197" t="s">
        <v>177</v>
      </c>
      <c r="D53" s="198"/>
      <c r="E53" s="198"/>
      <c r="F53" s="198"/>
      <c r="G53" s="199"/>
    </row>
    <row r="54" spans="2:7" ht="37.5" customHeight="1">
      <c r="B54" s="196"/>
      <c r="C54" s="200"/>
      <c r="D54" s="201"/>
      <c r="E54" s="201"/>
      <c r="F54" s="201"/>
      <c r="G54" s="202"/>
    </row>
    <row r="55" spans="2:7" ht="37.5" customHeight="1">
      <c r="B55" s="196"/>
      <c r="C55" s="200"/>
      <c r="D55" s="201"/>
      <c r="E55" s="201"/>
      <c r="F55" s="201"/>
      <c r="G55" s="202"/>
    </row>
    <row r="56" spans="2:7" ht="37.5" customHeight="1">
      <c r="B56" s="196"/>
      <c r="C56" s="200"/>
      <c r="D56" s="201"/>
      <c r="E56" s="201"/>
      <c r="F56" s="201"/>
      <c r="G56" s="202"/>
    </row>
    <row r="57" spans="2:7" ht="37.5" customHeight="1">
      <c r="B57" s="196"/>
      <c r="C57" s="203"/>
      <c r="D57" s="204"/>
      <c r="E57" s="204"/>
      <c r="F57" s="204"/>
      <c r="G57" s="205"/>
    </row>
    <row r="58" spans="2:7" ht="18.75" customHeight="1">
      <c r="B58" s="196"/>
      <c r="C58" s="51" t="s">
        <v>150</v>
      </c>
      <c r="D58" s="192" t="s">
        <v>151</v>
      </c>
      <c r="E58" s="193"/>
      <c r="F58" s="193"/>
      <c r="G58" s="194"/>
    </row>
    <row r="59" spans="2:7" ht="18.75" customHeight="1">
      <c r="B59" s="196"/>
      <c r="C59" s="91" t="s">
        <v>70</v>
      </c>
      <c r="D59" s="134" t="s">
        <v>178</v>
      </c>
      <c r="E59" s="135"/>
      <c r="F59" s="135"/>
      <c r="G59" s="136"/>
    </row>
    <row r="60" spans="2:7" ht="18.75" customHeight="1">
      <c r="B60" s="196"/>
      <c r="C60" s="91" t="s">
        <v>72</v>
      </c>
      <c r="D60" s="134" t="s">
        <v>170</v>
      </c>
      <c r="E60" s="135"/>
      <c r="F60" s="135"/>
      <c r="G60" s="136"/>
    </row>
    <row r="61" spans="2:7" ht="18.75" customHeight="1">
      <c r="B61" s="196"/>
      <c r="C61" s="91" t="s">
        <v>80</v>
      </c>
      <c r="D61" s="134" t="s">
        <v>155</v>
      </c>
      <c r="E61" s="135"/>
      <c r="F61" s="135"/>
      <c r="G61" s="136"/>
    </row>
    <row r="62" spans="2:7" ht="18.75" customHeight="1">
      <c r="B62" s="196"/>
      <c r="C62" s="91" t="s">
        <v>158</v>
      </c>
      <c r="D62" s="134" t="s">
        <v>179</v>
      </c>
      <c r="E62" s="135"/>
      <c r="F62" s="135"/>
      <c r="G62" s="136"/>
    </row>
    <row r="63" spans="2:7" ht="18.75" customHeight="1">
      <c r="B63" s="196"/>
      <c r="C63" s="91" t="s">
        <v>180</v>
      </c>
      <c r="D63" s="134" t="s">
        <v>181</v>
      </c>
      <c r="E63" s="135"/>
      <c r="F63" s="135"/>
      <c r="G63" s="136"/>
    </row>
    <row r="64" spans="2:7" ht="18.75" customHeight="1">
      <c r="B64" s="196"/>
      <c r="C64" s="91" t="s">
        <v>182</v>
      </c>
      <c r="D64" s="134" t="s">
        <v>183</v>
      </c>
      <c r="E64" s="135"/>
      <c r="F64" s="135"/>
      <c r="G64" s="136"/>
    </row>
    <row r="65" spans="2:7" ht="18.75" customHeight="1">
      <c r="B65" s="196"/>
      <c r="C65" s="91" t="s">
        <v>165</v>
      </c>
      <c r="D65" s="134" t="s">
        <v>184</v>
      </c>
      <c r="E65" s="135"/>
      <c r="F65" s="135"/>
      <c r="G65" s="136"/>
    </row>
    <row r="66" spans="2:7" ht="18.75" customHeight="1">
      <c r="B66" s="196"/>
      <c r="C66" s="91" t="s">
        <v>185</v>
      </c>
      <c r="D66" s="134" t="s">
        <v>186</v>
      </c>
      <c r="E66" s="135"/>
      <c r="F66" s="135"/>
      <c r="G66" s="136"/>
    </row>
    <row r="67" spans="2:7" ht="18.75" customHeight="1">
      <c r="B67" s="196"/>
      <c r="C67" s="91" t="s">
        <v>172</v>
      </c>
      <c r="D67" s="134" t="s">
        <v>173</v>
      </c>
      <c r="E67" s="135"/>
      <c r="F67" s="135"/>
      <c r="G67" s="136"/>
    </row>
    <row r="68" spans="2:7" ht="18.75" customHeight="1">
      <c r="B68" s="196"/>
      <c r="C68" s="91" t="s">
        <v>174</v>
      </c>
      <c r="D68" s="134" t="s">
        <v>175</v>
      </c>
      <c r="E68" s="135"/>
      <c r="F68" s="135"/>
      <c r="G68" s="136"/>
    </row>
    <row r="69" spans="2:7" ht="18.75" customHeight="1">
      <c r="B69" s="196"/>
      <c r="C69" s="91"/>
      <c r="D69" s="134"/>
      <c r="E69" s="135"/>
      <c r="F69" s="135"/>
      <c r="G69" s="136"/>
    </row>
    <row r="70" spans="2:7" ht="18.75" customHeight="1">
      <c r="B70" s="196"/>
      <c r="C70" s="91"/>
      <c r="D70" s="134"/>
      <c r="E70" s="135"/>
      <c r="F70" s="135"/>
      <c r="G70" s="136"/>
    </row>
    <row r="71" spans="2:7" ht="18.75" customHeight="1">
      <c r="B71" s="196"/>
      <c r="C71" s="91"/>
      <c r="D71" s="134"/>
      <c r="E71" s="135"/>
      <c r="F71" s="135"/>
      <c r="G71" s="136"/>
    </row>
    <row r="72" spans="2:7" ht="18.75" customHeight="1">
      <c r="B72" s="196"/>
      <c r="C72" s="91"/>
      <c r="D72" s="134"/>
      <c r="E72" s="135"/>
      <c r="F72" s="135"/>
      <c r="G72" s="136"/>
    </row>
    <row r="73" spans="2:7" ht="18.75" customHeight="1">
      <c r="B73" s="196"/>
      <c r="C73" s="91"/>
      <c r="D73" s="134"/>
      <c r="E73" s="135"/>
      <c r="F73" s="135"/>
      <c r="G73" s="136"/>
    </row>
    <row r="74" spans="2:7" ht="18.75" customHeight="1">
      <c r="B74" s="196"/>
      <c r="C74" s="91"/>
      <c r="D74" s="134"/>
      <c r="E74" s="135"/>
      <c r="F74" s="135"/>
      <c r="G74" s="136"/>
    </row>
    <row r="75" spans="2:7" ht="18.75" customHeight="1">
      <c r="B75" s="196"/>
      <c r="C75" s="91"/>
      <c r="D75" s="134"/>
      <c r="E75" s="135"/>
      <c r="F75" s="135"/>
      <c r="G75" s="136"/>
    </row>
    <row r="76" spans="2:7" ht="18.75" customHeight="1">
      <c r="B76" s="196"/>
      <c r="C76" s="91"/>
      <c r="D76" s="134"/>
      <c r="E76" s="135"/>
      <c r="F76" s="135"/>
      <c r="G76" s="136"/>
    </row>
    <row r="77" spans="2:7" ht="18.75" customHeight="1">
      <c r="B77" s="195" t="s">
        <v>187</v>
      </c>
      <c r="C77" s="192" t="s">
        <v>147</v>
      </c>
      <c r="D77" s="193"/>
      <c r="E77" s="193"/>
      <c r="F77" s="193"/>
      <c r="G77" s="194"/>
    </row>
    <row r="78" spans="2:7" ht="37.5" customHeight="1">
      <c r="B78" s="196"/>
      <c r="C78" s="197" t="s">
        <v>188</v>
      </c>
      <c r="D78" s="198"/>
      <c r="E78" s="198"/>
      <c r="F78" s="198"/>
      <c r="G78" s="199"/>
    </row>
    <row r="79" spans="2:7" ht="37.5" customHeight="1">
      <c r="B79" s="196"/>
      <c r="C79" s="200"/>
      <c r="D79" s="201"/>
      <c r="E79" s="201"/>
      <c r="F79" s="201"/>
      <c r="G79" s="202"/>
    </row>
    <row r="80" spans="2:7" ht="37.5" customHeight="1">
      <c r="B80" s="196"/>
      <c r="C80" s="200"/>
      <c r="D80" s="201"/>
      <c r="E80" s="201"/>
      <c r="F80" s="201"/>
      <c r="G80" s="202"/>
    </row>
    <row r="81" spans="2:7" ht="37.5" customHeight="1">
      <c r="B81" s="196"/>
      <c r="C81" s="200"/>
      <c r="D81" s="201"/>
      <c r="E81" s="201"/>
      <c r="F81" s="201"/>
      <c r="G81" s="202"/>
    </row>
    <row r="82" spans="2:7" ht="37.5" customHeight="1">
      <c r="B82" s="196"/>
      <c r="C82" s="203"/>
      <c r="D82" s="204"/>
      <c r="E82" s="204"/>
      <c r="F82" s="204"/>
      <c r="G82" s="205"/>
    </row>
    <row r="83" spans="2:7" ht="18.75" customHeight="1">
      <c r="B83" s="196"/>
      <c r="C83" s="51" t="s">
        <v>150</v>
      </c>
      <c r="D83" s="192" t="s">
        <v>151</v>
      </c>
      <c r="E83" s="193"/>
      <c r="F83" s="193"/>
      <c r="G83" s="194"/>
    </row>
    <row r="84" spans="2:7" ht="18.75" customHeight="1">
      <c r="B84" s="196"/>
      <c r="C84" s="91" t="s">
        <v>70</v>
      </c>
      <c r="D84" s="134" t="s">
        <v>189</v>
      </c>
      <c r="E84" s="135"/>
      <c r="F84" s="135"/>
      <c r="G84" s="136"/>
    </row>
    <row r="85" spans="2:7" ht="18.75" customHeight="1">
      <c r="B85" s="196"/>
      <c r="C85" s="91" t="s">
        <v>72</v>
      </c>
      <c r="D85" s="134" t="s">
        <v>190</v>
      </c>
      <c r="E85" s="135"/>
      <c r="F85" s="135"/>
      <c r="G85" s="136"/>
    </row>
    <row r="86" spans="2:7" ht="18.75" customHeight="1">
      <c r="B86" s="196"/>
      <c r="C86" s="91" t="s">
        <v>78</v>
      </c>
      <c r="D86" s="134" t="s">
        <v>191</v>
      </c>
      <c r="E86" s="135"/>
      <c r="F86" s="135"/>
      <c r="G86" s="136"/>
    </row>
    <row r="87" spans="2:7" ht="18.75" customHeight="1">
      <c r="B87" s="196"/>
      <c r="C87" s="91" t="s">
        <v>88</v>
      </c>
      <c r="D87" s="134" t="s">
        <v>192</v>
      </c>
      <c r="E87" s="135"/>
      <c r="F87" s="135"/>
      <c r="G87" s="136"/>
    </row>
    <row r="88" spans="2:7" ht="18.75" customHeight="1">
      <c r="B88" s="196"/>
      <c r="C88" s="91" t="s">
        <v>162</v>
      </c>
      <c r="D88" s="134" t="s">
        <v>192</v>
      </c>
      <c r="E88" s="135"/>
      <c r="F88" s="135"/>
      <c r="G88" s="136"/>
    </row>
    <row r="89" spans="2:7" ht="18.75" customHeight="1">
      <c r="B89" s="196"/>
      <c r="C89" s="91"/>
      <c r="D89" s="134"/>
      <c r="E89" s="135"/>
      <c r="F89" s="135"/>
      <c r="G89" s="136"/>
    </row>
    <row r="90" spans="2:7" ht="18.75" customHeight="1">
      <c r="B90" s="196"/>
      <c r="C90" s="91"/>
      <c r="D90" s="134"/>
      <c r="E90" s="135"/>
      <c r="F90" s="135"/>
      <c r="G90" s="136"/>
    </row>
    <row r="91" spans="2:7" ht="18.75" customHeight="1">
      <c r="B91" s="196"/>
      <c r="C91" s="91"/>
      <c r="D91" s="134"/>
      <c r="E91" s="135"/>
      <c r="F91" s="135"/>
      <c r="G91" s="136"/>
    </row>
    <row r="92" spans="2:7" ht="18.75" customHeight="1">
      <c r="B92" s="196"/>
      <c r="C92" s="91"/>
      <c r="D92" s="134"/>
      <c r="E92" s="135"/>
      <c r="F92" s="135"/>
      <c r="G92" s="136"/>
    </row>
    <row r="93" spans="2:7" ht="18.75" customHeight="1">
      <c r="B93" s="196"/>
      <c r="C93" s="91"/>
      <c r="D93" s="134"/>
      <c r="E93" s="135"/>
      <c r="F93" s="135"/>
      <c r="G93" s="136"/>
    </row>
    <row r="94" spans="2:7" ht="18.75" customHeight="1">
      <c r="B94" s="196"/>
      <c r="C94" s="91"/>
      <c r="D94" s="134"/>
      <c r="E94" s="135"/>
      <c r="F94" s="135"/>
      <c r="G94" s="136"/>
    </row>
    <row r="95" spans="2:7" ht="18.75" customHeight="1">
      <c r="B95" s="196"/>
      <c r="C95" s="91"/>
      <c r="D95" s="134"/>
      <c r="E95" s="135"/>
      <c r="F95" s="135"/>
      <c r="G95" s="136"/>
    </row>
    <row r="96" spans="2:7" ht="18.75" customHeight="1">
      <c r="B96" s="196"/>
      <c r="C96" s="91"/>
      <c r="D96" s="134"/>
      <c r="E96" s="135"/>
      <c r="F96" s="135"/>
      <c r="G96" s="136"/>
    </row>
    <row r="97" spans="2:7" ht="18.75" customHeight="1">
      <c r="B97" s="196"/>
      <c r="C97" s="91"/>
      <c r="D97" s="134"/>
      <c r="E97" s="135"/>
      <c r="F97" s="135"/>
      <c r="G97" s="136"/>
    </row>
    <row r="98" spans="2:7" ht="18.75" customHeight="1">
      <c r="B98" s="196"/>
      <c r="C98" s="91"/>
      <c r="D98" s="134"/>
      <c r="E98" s="135"/>
      <c r="F98" s="135"/>
      <c r="G98" s="136"/>
    </row>
    <row r="99" spans="2:7" ht="18.75" customHeight="1">
      <c r="B99" s="196"/>
      <c r="C99" s="91"/>
      <c r="D99" s="134"/>
      <c r="E99" s="135"/>
      <c r="F99" s="135"/>
      <c r="G99" s="136"/>
    </row>
    <row r="100" spans="2:7" ht="18.75" customHeight="1">
      <c r="B100" s="196"/>
      <c r="C100" s="91"/>
      <c r="D100" s="134"/>
      <c r="E100" s="135"/>
      <c r="F100" s="135"/>
      <c r="G100" s="136"/>
    </row>
    <row r="101" spans="2:7" ht="18.75" customHeight="1">
      <c r="B101" s="196"/>
      <c r="C101" s="91"/>
      <c r="D101" s="134"/>
      <c r="E101" s="135"/>
      <c r="F101" s="135"/>
      <c r="G101" s="136"/>
    </row>
    <row r="102" spans="2:7" ht="18.75" customHeight="1">
      <c r="B102" s="195" t="s">
        <v>193</v>
      </c>
      <c r="C102" s="192" t="s">
        <v>147</v>
      </c>
      <c r="D102" s="193"/>
      <c r="E102" s="193"/>
      <c r="F102" s="193"/>
      <c r="G102" s="194"/>
    </row>
    <row r="103" spans="2:7" ht="37.5" customHeight="1">
      <c r="B103" s="196"/>
      <c r="C103" s="197" t="s">
        <v>194</v>
      </c>
      <c r="D103" s="198"/>
      <c r="E103" s="198"/>
      <c r="F103" s="198"/>
      <c r="G103" s="199"/>
    </row>
    <row r="104" spans="2:7" ht="37.5" customHeight="1">
      <c r="B104" s="196"/>
      <c r="C104" s="200"/>
      <c r="D104" s="201"/>
      <c r="E104" s="201"/>
      <c r="F104" s="201"/>
      <c r="G104" s="202"/>
    </row>
    <row r="105" spans="2:7" ht="37.5" customHeight="1">
      <c r="B105" s="196"/>
      <c r="C105" s="200"/>
      <c r="D105" s="201"/>
      <c r="E105" s="201"/>
      <c r="F105" s="201"/>
      <c r="G105" s="202"/>
    </row>
    <row r="106" spans="2:7" ht="37.5" customHeight="1">
      <c r="B106" s="196"/>
      <c r="C106" s="200"/>
      <c r="D106" s="201"/>
      <c r="E106" s="201"/>
      <c r="F106" s="201"/>
      <c r="G106" s="202"/>
    </row>
    <row r="107" spans="2:7" ht="37.5" customHeight="1">
      <c r="B107" s="196"/>
      <c r="C107" s="203"/>
      <c r="D107" s="204"/>
      <c r="E107" s="204"/>
      <c r="F107" s="204"/>
      <c r="G107" s="205"/>
    </row>
    <row r="108" spans="2:7" ht="18.75" customHeight="1">
      <c r="B108" s="196"/>
      <c r="C108" s="51" t="s">
        <v>150</v>
      </c>
      <c r="D108" s="192" t="s">
        <v>151</v>
      </c>
      <c r="E108" s="193"/>
      <c r="F108" s="193"/>
      <c r="G108" s="194"/>
    </row>
    <row r="109" spans="2:7" ht="18.75" customHeight="1">
      <c r="B109" s="196"/>
      <c r="C109" s="91" t="s">
        <v>70</v>
      </c>
      <c r="D109" s="134" t="s">
        <v>195</v>
      </c>
      <c r="E109" s="135"/>
      <c r="F109" s="135"/>
      <c r="G109" s="136"/>
    </row>
    <row r="110" spans="2:7" ht="18.75" customHeight="1">
      <c r="B110" s="196"/>
      <c r="C110" s="91" t="s">
        <v>74</v>
      </c>
      <c r="D110" s="134" t="s">
        <v>196</v>
      </c>
      <c r="E110" s="135"/>
      <c r="F110" s="135"/>
      <c r="G110" s="136"/>
    </row>
    <row r="111" spans="2:7" ht="18.75" customHeight="1">
      <c r="B111" s="196"/>
      <c r="C111" s="91" t="s">
        <v>80</v>
      </c>
      <c r="D111" s="134" t="s">
        <v>155</v>
      </c>
      <c r="E111" s="135"/>
      <c r="F111" s="135"/>
      <c r="G111" s="136"/>
    </row>
    <row r="112" spans="2:7" ht="18.75" customHeight="1">
      <c r="B112" s="196"/>
      <c r="C112" s="91" t="s">
        <v>180</v>
      </c>
      <c r="D112" s="134" t="s">
        <v>197</v>
      </c>
      <c r="E112" s="135"/>
      <c r="F112" s="135"/>
      <c r="G112" s="136"/>
    </row>
    <row r="113" spans="1:7" ht="18.75" customHeight="1">
      <c r="B113" s="196"/>
      <c r="C113" s="91" t="s">
        <v>182</v>
      </c>
      <c r="D113" s="134" t="s">
        <v>183</v>
      </c>
      <c r="E113" s="152"/>
      <c r="F113" s="152"/>
      <c r="G113" s="153"/>
    </row>
    <row r="114" spans="1:7" ht="18.75" customHeight="1">
      <c r="B114" s="196"/>
      <c r="C114" s="91" t="s">
        <v>165</v>
      </c>
      <c r="D114" s="134" t="s">
        <v>198</v>
      </c>
      <c r="E114" s="152"/>
      <c r="F114" s="152"/>
      <c r="G114" s="153"/>
    </row>
    <row r="115" spans="1:7" ht="18.75" customHeight="1">
      <c r="B115" s="196"/>
      <c r="C115" s="91" t="s">
        <v>185</v>
      </c>
      <c r="D115" s="134" t="s">
        <v>186</v>
      </c>
      <c r="E115" s="135"/>
      <c r="F115" s="135"/>
      <c r="G115" s="136"/>
    </row>
    <row r="116" spans="1:7" ht="18.75" customHeight="1">
      <c r="B116" s="196"/>
      <c r="C116" s="91" t="s">
        <v>172</v>
      </c>
      <c r="D116" s="134" t="s">
        <v>173</v>
      </c>
      <c r="E116" s="135"/>
      <c r="F116" s="135"/>
      <c r="G116" s="136"/>
    </row>
    <row r="117" spans="1:7" ht="18.75" customHeight="1">
      <c r="B117" s="196"/>
      <c r="C117" s="91" t="s">
        <v>174</v>
      </c>
      <c r="D117" s="134" t="s">
        <v>175</v>
      </c>
      <c r="E117" s="135"/>
      <c r="F117" s="135"/>
      <c r="G117" s="136"/>
    </row>
    <row r="118" spans="1:7" ht="18.75" customHeight="1">
      <c r="B118" s="196"/>
      <c r="C118" s="91"/>
      <c r="D118" s="134"/>
      <c r="E118" s="135"/>
      <c r="F118" s="135"/>
      <c r="G118" s="136"/>
    </row>
    <row r="119" spans="1:7" ht="18.75" customHeight="1">
      <c r="B119" s="196"/>
      <c r="C119" s="91"/>
      <c r="D119" s="134"/>
      <c r="E119" s="135"/>
      <c r="F119" s="135"/>
      <c r="G119" s="136"/>
    </row>
    <row r="120" spans="1:7" ht="18.75" customHeight="1">
      <c r="B120" s="196"/>
      <c r="C120" s="91"/>
      <c r="D120" s="134"/>
      <c r="E120" s="135"/>
      <c r="F120" s="135"/>
      <c r="G120" s="136"/>
    </row>
    <row r="121" spans="1:7" ht="18.75" customHeight="1">
      <c r="B121" s="196"/>
      <c r="C121" s="91"/>
      <c r="D121" s="134"/>
      <c r="E121" s="135"/>
      <c r="F121" s="135"/>
      <c r="G121" s="136"/>
    </row>
    <row r="122" spans="1:7" ht="18.75" customHeight="1">
      <c r="B122" s="196"/>
      <c r="C122" s="91"/>
      <c r="D122" s="134"/>
      <c r="E122" s="135"/>
      <c r="F122" s="135"/>
      <c r="G122" s="136"/>
    </row>
    <row r="123" spans="1:7" ht="18.75" customHeight="1">
      <c r="B123" s="196"/>
      <c r="C123" s="91"/>
      <c r="D123" s="134"/>
      <c r="E123" s="135"/>
      <c r="F123" s="135"/>
      <c r="G123" s="136"/>
    </row>
    <row r="124" spans="1:7" ht="18.75" customHeight="1">
      <c r="B124" s="196"/>
      <c r="C124" s="91"/>
      <c r="D124" s="134"/>
      <c r="E124" s="135"/>
      <c r="F124" s="135"/>
      <c r="G124" s="136"/>
    </row>
    <row r="125" spans="1:7" ht="18.75" customHeight="1">
      <c r="B125" s="196"/>
      <c r="C125" s="91"/>
      <c r="D125" s="134"/>
      <c r="E125" s="135"/>
      <c r="F125" s="135"/>
      <c r="G125" s="136"/>
    </row>
    <row r="126" spans="1:7" ht="18.75" customHeight="1">
      <c r="B126" s="196"/>
      <c r="C126" s="91"/>
      <c r="D126" s="134"/>
      <c r="E126" s="135"/>
      <c r="F126" s="135"/>
      <c r="G126" s="136"/>
    </row>
    <row r="127" spans="1:7" ht="18.75" customHeight="1">
      <c r="A127" s="1" t="s">
        <v>5</v>
      </c>
      <c r="B127" s="1" t="s">
        <v>199</v>
      </c>
    </row>
    <row r="128" spans="1:7" ht="22.5" customHeight="1">
      <c r="B128" s="89" t="s">
        <v>146</v>
      </c>
      <c r="C128" s="192" t="s">
        <v>69</v>
      </c>
      <c r="D128" s="193"/>
      <c r="E128" s="193"/>
      <c r="F128" s="193"/>
      <c r="G128" s="194"/>
    </row>
    <row r="129" spans="1:7" ht="45" customHeight="1">
      <c r="B129" s="53" t="s">
        <v>200</v>
      </c>
      <c r="C129" s="179" t="s">
        <v>201</v>
      </c>
      <c r="D129" s="180"/>
      <c r="E129" s="180"/>
      <c r="F129" s="180"/>
      <c r="G129" s="181"/>
    </row>
    <row r="130" spans="1:7" ht="45" customHeight="1">
      <c r="B130" s="53" t="s">
        <v>202</v>
      </c>
      <c r="C130" s="179" t="s">
        <v>203</v>
      </c>
      <c r="D130" s="180"/>
      <c r="E130" s="180"/>
      <c r="F130" s="180"/>
      <c r="G130" s="181"/>
    </row>
    <row r="131" spans="1:7" ht="45" customHeight="1">
      <c r="B131" s="53" t="s">
        <v>204</v>
      </c>
      <c r="C131" s="179" t="s">
        <v>205</v>
      </c>
      <c r="D131" s="180"/>
      <c r="E131" s="180"/>
      <c r="F131" s="180"/>
      <c r="G131" s="181"/>
    </row>
    <row r="132" spans="1:7" ht="45" customHeight="1">
      <c r="B132" s="53" t="s">
        <v>206</v>
      </c>
      <c r="C132" s="179"/>
      <c r="D132" s="180"/>
      <c r="E132" s="180"/>
      <c r="F132" s="180"/>
      <c r="G132" s="181"/>
    </row>
    <row r="133" spans="1:7" ht="35.25" customHeight="1">
      <c r="B133" s="53" t="s">
        <v>207</v>
      </c>
      <c r="C133" s="179"/>
      <c r="D133" s="180"/>
      <c r="E133" s="180"/>
      <c r="F133" s="180"/>
      <c r="G133" s="181"/>
    </row>
    <row r="134" spans="1:7" ht="38.25" customHeight="1">
      <c r="B134" s="53" t="s">
        <v>208</v>
      </c>
      <c r="C134" s="179"/>
      <c r="D134" s="180"/>
      <c r="E134" s="180"/>
      <c r="F134" s="180"/>
      <c r="G134" s="181"/>
    </row>
    <row r="135" spans="1:7" ht="63.75" customHeight="1">
      <c r="B135" s="53" t="s">
        <v>209</v>
      </c>
      <c r="C135" s="179" t="s">
        <v>210</v>
      </c>
      <c r="D135" s="180"/>
      <c r="E135" s="180"/>
      <c r="F135" s="180"/>
      <c r="G135" s="181"/>
    </row>
    <row r="136" spans="1:7" ht="45" customHeight="1">
      <c r="B136" s="53" t="s">
        <v>211</v>
      </c>
      <c r="C136" s="179" t="s">
        <v>212</v>
      </c>
      <c r="D136" s="180"/>
      <c r="E136" s="180"/>
      <c r="F136" s="180"/>
      <c r="G136" s="181"/>
    </row>
    <row r="137" spans="1:7" ht="45" customHeight="1">
      <c r="B137" s="53" t="s">
        <v>213</v>
      </c>
      <c r="C137" s="179"/>
      <c r="D137" s="180"/>
      <c r="E137" s="180"/>
      <c r="F137" s="180"/>
      <c r="G137" s="181"/>
    </row>
    <row r="138" spans="1:7" ht="7.5" customHeight="1"/>
    <row r="139" spans="1:7" ht="18.75" customHeight="1">
      <c r="A139" s="1" t="s">
        <v>8</v>
      </c>
      <c r="B139" s="1" t="s">
        <v>214</v>
      </c>
      <c r="E139" s="182" t="s">
        <v>215</v>
      </c>
      <c r="F139" s="135"/>
      <c r="G139" s="136"/>
    </row>
    <row r="140" spans="1:7" ht="7.5" customHeight="1"/>
    <row r="141" spans="1:7" ht="18.75" customHeight="1">
      <c r="A141" s="1" t="s">
        <v>11</v>
      </c>
      <c r="B141" s="1" t="s">
        <v>216</v>
      </c>
    </row>
    <row r="142" spans="1:7" ht="18.75" customHeight="1">
      <c r="B142" s="183" t="s">
        <v>217</v>
      </c>
      <c r="C142" s="184"/>
      <c r="D142" s="184"/>
      <c r="E142" s="184"/>
      <c r="F142" s="184"/>
      <c r="G142" s="185"/>
    </row>
    <row r="143" spans="1:7" ht="18.75" customHeight="1">
      <c r="B143" s="186"/>
      <c r="C143" s="187"/>
      <c r="D143" s="187"/>
      <c r="E143" s="187"/>
      <c r="F143" s="187"/>
      <c r="G143" s="188"/>
    </row>
    <row r="144" spans="1:7" ht="18.75" customHeight="1">
      <c r="B144" s="186"/>
      <c r="C144" s="187"/>
      <c r="D144" s="187"/>
      <c r="E144" s="187"/>
      <c r="F144" s="187"/>
      <c r="G144" s="188"/>
    </row>
    <row r="145" spans="2:7" ht="18.75" customHeight="1">
      <c r="B145" s="189"/>
      <c r="C145" s="190"/>
      <c r="D145" s="190"/>
      <c r="E145" s="190"/>
      <c r="F145" s="190"/>
      <c r="G145" s="191"/>
    </row>
    <row r="146" spans="2:7" ht="18.75" customHeight="1"/>
    <row r="147" spans="2:7" ht="18.75" customHeight="1"/>
    <row r="148" spans="2:7" ht="18.75" customHeight="1"/>
    <row r="149" spans="2:7" ht="18.75" customHeight="1"/>
    <row r="150" spans="2:7" ht="18.75" customHeight="1"/>
    <row r="151" spans="2:7" ht="18.75" customHeight="1"/>
  </sheetData>
  <mergeCells count="121">
    <mergeCell ref="D16:G16"/>
    <mergeCell ref="D17:G17"/>
    <mergeCell ref="D18:G18"/>
    <mergeCell ref="D19:G19"/>
    <mergeCell ref="D20:G20"/>
    <mergeCell ref="D21:G21"/>
    <mergeCell ref="A3:G3"/>
    <mergeCell ref="C5:G5"/>
    <mergeCell ref="B6:B26"/>
    <mergeCell ref="C6:G9"/>
    <mergeCell ref="D10:G10"/>
    <mergeCell ref="D11:G11"/>
    <mergeCell ref="D12:G12"/>
    <mergeCell ref="D13:G13"/>
    <mergeCell ref="D14:G14"/>
    <mergeCell ref="D15:G15"/>
    <mergeCell ref="D22:G22"/>
    <mergeCell ref="D23:G23"/>
    <mergeCell ref="D24:G24"/>
    <mergeCell ref="D25:G25"/>
    <mergeCell ref="D26:G26"/>
    <mergeCell ref="B27:B51"/>
    <mergeCell ref="C27:G27"/>
    <mergeCell ref="C28: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51:G51"/>
    <mergeCell ref="B52:B76"/>
    <mergeCell ref="C52:G52"/>
    <mergeCell ref="C53: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D76:G76"/>
    <mergeCell ref="C77:G77"/>
    <mergeCell ref="C78:G82"/>
    <mergeCell ref="D83:G83"/>
    <mergeCell ref="D84:G84"/>
    <mergeCell ref="B102:B126"/>
    <mergeCell ref="C102:G102"/>
    <mergeCell ref="C103:G107"/>
    <mergeCell ref="D108:G108"/>
    <mergeCell ref="D109:G109"/>
    <mergeCell ref="D91:G91"/>
    <mergeCell ref="D92:G92"/>
    <mergeCell ref="D93:G93"/>
    <mergeCell ref="D94:G94"/>
    <mergeCell ref="D95:G95"/>
    <mergeCell ref="D96:G96"/>
    <mergeCell ref="B77:B101"/>
    <mergeCell ref="D110:G110"/>
    <mergeCell ref="D111:G111"/>
    <mergeCell ref="D112:G112"/>
    <mergeCell ref="D113:G113"/>
    <mergeCell ref="D114:G114"/>
    <mergeCell ref="D115:G115"/>
    <mergeCell ref="D97:G97"/>
    <mergeCell ref="D98:G98"/>
    <mergeCell ref="D99:G99"/>
    <mergeCell ref="D100:G100"/>
    <mergeCell ref="D101:G101"/>
    <mergeCell ref="D122:G122"/>
    <mergeCell ref="D123:G123"/>
    <mergeCell ref="D124:G124"/>
    <mergeCell ref="D125:G125"/>
    <mergeCell ref="D126:G126"/>
    <mergeCell ref="C128:G128"/>
    <mergeCell ref="D116:G116"/>
    <mergeCell ref="D117:G117"/>
    <mergeCell ref="D118:G118"/>
    <mergeCell ref="D119:G119"/>
    <mergeCell ref="D120:G120"/>
    <mergeCell ref="D121:G121"/>
    <mergeCell ref="C135:G135"/>
    <mergeCell ref="C136:G136"/>
    <mergeCell ref="C137:G137"/>
    <mergeCell ref="E139:G139"/>
    <mergeCell ref="B142:G145"/>
    <mergeCell ref="C129:G129"/>
    <mergeCell ref="C130:G130"/>
    <mergeCell ref="C131:G131"/>
    <mergeCell ref="C132:G132"/>
    <mergeCell ref="C133:G133"/>
    <mergeCell ref="C134:G134"/>
  </mergeCells>
  <phoneticPr fontId="1"/>
  <hyperlinks>
    <hyperlink ref="E139" r:id="rId1" xr:uid="{00000000-0004-0000-04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1"/>
  <sheetViews>
    <sheetView topLeftCell="A116" zoomScale="85" zoomScaleNormal="85" workbookViewId="0">
      <selection activeCell="M132" sqref="M132"/>
    </sheetView>
  </sheetViews>
  <sheetFormatPr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G1" s="107" t="s">
        <v>218</v>
      </c>
    </row>
    <row r="2" spans="1:7" ht="18.75" customHeight="1">
      <c r="F2" s="107" t="s">
        <v>63</v>
      </c>
      <c r="G2" s="1" t="s">
        <v>4</v>
      </c>
    </row>
    <row r="3" spans="1:7" ht="18.75" customHeight="1">
      <c r="A3" s="207" t="s">
        <v>144</v>
      </c>
      <c r="B3" s="207"/>
      <c r="C3" s="207"/>
      <c r="D3" s="207"/>
      <c r="E3" s="207"/>
      <c r="F3" s="207"/>
      <c r="G3" s="207"/>
    </row>
    <row r="4" spans="1:7" ht="18.75" customHeight="1">
      <c r="A4" s="1" t="s">
        <v>2</v>
      </c>
      <c r="B4" s="1" t="s">
        <v>145</v>
      </c>
    </row>
    <row r="5" spans="1:7" s="45" customFormat="1" ht="18.75" customHeight="1">
      <c r="A5" s="111"/>
      <c r="B5" s="89" t="s">
        <v>146</v>
      </c>
      <c r="C5" s="192" t="s">
        <v>147</v>
      </c>
      <c r="D5" s="193"/>
      <c r="E5" s="193"/>
      <c r="F5" s="193"/>
      <c r="G5" s="194"/>
    </row>
    <row r="6" spans="1:7" s="50" customFormat="1" ht="37.5" customHeight="1">
      <c r="A6" s="111"/>
      <c r="B6" s="195" t="s">
        <v>148</v>
      </c>
      <c r="C6" s="197" t="s">
        <v>219</v>
      </c>
      <c r="D6" s="198"/>
      <c r="E6" s="198"/>
      <c r="F6" s="198"/>
      <c r="G6" s="199"/>
    </row>
    <row r="7" spans="1:7" s="50" customFormat="1" ht="37.5" customHeight="1">
      <c r="A7" s="111"/>
      <c r="B7" s="196"/>
      <c r="C7" s="200"/>
      <c r="D7" s="201"/>
      <c r="E7" s="201"/>
      <c r="F7" s="201"/>
      <c r="G7" s="202"/>
    </row>
    <row r="8" spans="1:7" s="50" customFormat="1" ht="37.5" customHeight="1">
      <c r="A8" s="111"/>
      <c r="B8" s="196"/>
      <c r="C8" s="200"/>
      <c r="D8" s="201"/>
      <c r="E8" s="201"/>
      <c r="F8" s="201"/>
      <c r="G8" s="202"/>
    </row>
    <row r="9" spans="1:7" s="50" customFormat="1" ht="37.5" customHeight="1">
      <c r="A9" s="111"/>
      <c r="B9" s="196"/>
      <c r="C9" s="203"/>
      <c r="D9" s="204"/>
      <c r="E9" s="204"/>
      <c r="F9" s="204"/>
      <c r="G9" s="205"/>
    </row>
    <row r="10" spans="1:7" s="52" customFormat="1" ht="18.75" customHeight="1">
      <c r="A10" s="111"/>
      <c r="B10" s="196"/>
      <c r="C10" s="51" t="s">
        <v>150</v>
      </c>
      <c r="D10" s="216" t="s">
        <v>151</v>
      </c>
      <c r="E10" s="217"/>
      <c r="F10" s="217"/>
      <c r="G10" s="218"/>
    </row>
    <row r="11" spans="1:7" s="50" customFormat="1" ht="18.75" customHeight="1">
      <c r="A11" s="111"/>
      <c r="B11" s="196"/>
      <c r="C11" s="91" t="s">
        <v>220</v>
      </c>
      <c r="D11" s="134" t="s">
        <v>221</v>
      </c>
      <c r="E11" s="135"/>
      <c r="F11" s="135"/>
      <c r="G11" s="136"/>
    </row>
    <row r="12" spans="1:7" s="52" customFormat="1" ht="18.75" customHeight="1">
      <c r="A12" s="111"/>
      <c r="B12" s="196"/>
      <c r="C12" s="102" t="s">
        <v>80</v>
      </c>
      <c r="D12" s="134" t="s">
        <v>222</v>
      </c>
      <c r="E12" s="135"/>
      <c r="F12" s="135"/>
      <c r="G12" s="136"/>
    </row>
    <row r="13" spans="1:7" s="52" customFormat="1" ht="18.75" customHeight="1">
      <c r="A13" s="111"/>
      <c r="B13" s="196"/>
      <c r="C13" s="102" t="s">
        <v>156</v>
      </c>
      <c r="D13" s="134" t="s">
        <v>223</v>
      </c>
      <c r="E13" s="135"/>
      <c r="F13" s="135"/>
      <c r="G13" s="136"/>
    </row>
    <row r="14" spans="1:7" s="52" customFormat="1" ht="18.75" customHeight="1">
      <c r="A14" s="111"/>
      <c r="B14" s="196"/>
      <c r="C14" s="102" t="s">
        <v>87</v>
      </c>
      <c r="D14" s="134" t="s">
        <v>159</v>
      </c>
      <c r="E14" s="135"/>
      <c r="F14" s="135"/>
      <c r="G14" s="136"/>
    </row>
    <row r="15" spans="1:7" s="55" customFormat="1" ht="18.75" customHeight="1">
      <c r="A15" s="111"/>
      <c r="B15" s="196"/>
      <c r="C15" s="102" t="s">
        <v>88</v>
      </c>
      <c r="D15" s="134" t="s">
        <v>161</v>
      </c>
      <c r="E15" s="135"/>
      <c r="F15" s="135"/>
      <c r="G15" s="136"/>
    </row>
    <row r="16" spans="1:7" s="55" customFormat="1" ht="18.75" customHeight="1">
      <c r="A16" s="111"/>
      <c r="B16" s="196"/>
      <c r="C16" s="102" t="s">
        <v>89</v>
      </c>
      <c r="D16" s="134" t="s">
        <v>161</v>
      </c>
      <c r="E16" s="135"/>
      <c r="F16" s="135"/>
      <c r="G16" s="136"/>
    </row>
    <row r="17" spans="2:7" s="55" customFormat="1" ht="18.75" customHeight="1">
      <c r="B17" s="196"/>
      <c r="C17" s="102" t="s">
        <v>163</v>
      </c>
      <c r="D17" s="134" t="s">
        <v>164</v>
      </c>
      <c r="E17" s="135"/>
      <c r="F17" s="135"/>
      <c r="G17" s="136"/>
    </row>
    <row r="18" spans="2:7" s="55" customFormat="1" ht="18.75" customHeight="1">
      <c r="B18" s="196"/>
      <c r="C18" s="102" t="s">
        <v>79</v>
      </c>
      <c r="D18" s="134" t="s">
        <v>224</v>
      </c>
      <c r="E18" s="135"/>
      <c r="F18" s="135"/>
      <c r="G18" s="136"/>
    </row>
    <row r="19" spans="2:7" s="55" customFormat="1" ht="18.75" customHeight="1">
      <c r="B19" s="196"/>
      <c r="C19" s="102"/>
      <c r="D19" s="134"/>
      <c r="E19" s="135"/>
      <c r="F19" s="135"/>
      <c r="G19" s="136"/>
    </row>
    <row r="20" spans="2:7" s="55" customFormat="1" ht="18.75" customHeight="1">
      <c r="B20" s="196"/>
      <c r="C20" s="102"/>
      <c r="D20" s="134"/>
      <c r="E20" s="135"/>
      <c r="F20" s="135"/>
      <c r="G20" s="136"/>
    </row>
    <row r="21" spans="2:7" s="55" customFormat="1" ht="18.75" customHeight="1">
      <c r="B21" s="196"/>
      <c r="C21" s="102"/>
      <c r="D21" s="134"/>
      <c r="E21" s="135"/>
      <c r="F21" s="135"/>
      <c r="G21" s="136"/>
    </row>
    <row r="22" spans="2:7" s="55" customFormat="1" ht="18.75" customHeight="1">
      <c r="B22" s="196"/>
      <c r="C22" s="102"/>
      <c r="D22" s="134"/>
      <c r="E22" s="135"/>
      <c r="F22" s="135"/>
      <c r="G22" s="136"/>
    </row>
    <row r="23" spans="2:7" s="55" customFormat="1" ht="18.75" customHeight="1">
      <c r="B23" s="196"/>
      <c r="C23" s="102"/>
      <c r="D23" s="134"/>
      <c r="E23" s="135"/>
      <c r="F23" s="135"/>
      <c r="G23" s="136"/>
    </row>
    <row r="24" spans="2:7" s="88" customFormat="1" ht="18.75" customHeight="1">
      <c r="B24" s="196"/>
      <c r="C24" s="102"/>
      <c r="D24" s="134"/>
      <c r="E24" s="135"/>
      <c r="F24" s="135"/>
      <c r="G24" s="136"/>
    </row>
    <row r="25" spans="2:7" s="55" customFormat="1" ht="18.75" customHeight="1">
      <c r="B25" s="196"/>
      <c r="C25" s="102"/>
      <c r="D25" s="134"/>
      <c r="E25" s="135"/>
      <c r="F25" s="135"/>
      <c r="G25" s="136"/>
    </row>
    <row r="26" spans="2:7" s="52" customFormat="1" ht="18.75" customHeight="1">
      <c r="B26" s="196"/>
      <c r="C26" s="102"/>
      <c r="D26" s="134"/>
      <c r="E26" s="135"/>
      <c r="F26" s="135"/>
      <c r="G26" s="136"/>
    </row>
    <row r="27" spans="2:7" ht="18.75" customHeight="1">
      <c r="B27" s="195" t="s">
        <v>167</v>
      </c>
      <c r="C27" s="192" t="s">
        <v>147</v>
      </c>
      <c r="D27" s="193"/>
      <c r="E27" s="193"/>
      <c r="F27" s="193"/>
      <c r="G27" s="194"/>
    </row>
    <row r="28" spans="2:7" ht="37.5" customHeight="1">
      <c r="B28" s="196"/>
      <c r="C28" s="197" t="s">
        <v>225</v>
      </c>
      <c r="D28" s="198"/>
      <c r="E28" s="198"/>
      <c r="F28" s="198"/>
      <c r="G28" s="199"/>
    </row>
    <row r="29" spans="2:7" ht="37.5" customHeight="1">
      <c r="B29" s="196"/>
      <c r="C29" s="200"/>
      <c r="D29" s="201"/>
      <c r="E29" s="201"/>
      <c r="F29" s="201"/>
      <c r="G29" s="202"/>
    </row>
    <row r="30" spans="2:7" ht="37.5" customHeight="1">
      <c r="B30" s="196"/>
      <c r="C30" s="200"/>
      <c r="D30" s="201"/>
      <c r="E30" s="201"/>
      <c r="F30" s="201"/>
      <c r="G30" s="202"/>
    </row>
    <row r="31" spans="2:7" ht="37.5" customHeight="1">
      <c r="B31" s="196"/>
      <c r="C31" s="200"/>
      <c r="D31" s="201"/>
      <c r="E31" s="201"/>
      <c r="F31" s="201"/>
      <c r="G31" s="202"/>
    </row>
    <row r="32" spans="2:7" ht="37.5" customHeight="1">
      <c r="B32" s="196"/>
      <c r="C32" s="203"/>
      <c r="D32" s="204"/>
      <c r="E32" s="204"/>
      <c r="F32" s="204"/>
      <c r="G32" s="205"/>
    </row>
    <row r="33" spans="2:7" ht="18.75" customHeight="1">
      <c r="B33" s="196"/>
      <c r="C33" s="51" t="s">
        <v>150</v>
      </c>
      <c r="D33" s="192" t="s">
        <v>151</v>
      </c>
      <c r="E33" s="193"/>
      <c r="F33" s="193"/>
      <c r="G33" s="194"/>
    </row>
    <row r="34" spans="2:7" ht="18.75" customHeight="1">
      <c r="B34" s="196"/>
      <c r="C34" s="91" t="s">
        <v>220</v>
      </c>
      <c r="D34" s="134" t="s">
        <v>226</v>
      </c>
      <c r="E34" s="135"/>
      <c r="F34" s="135"/>
      <c r="G34" s="136"/>
    </row>
    <row r="35" spans="2:7" ht="18.75" customHeight="1">
      <c r="B35" s="196"/>
      <c r="C35" s="91" t="s">
        <v>227</v>
      </c>
      <c r="D35" s="134" t="s">
        <v>222</v>
      </c>
      <c r="E35" s="135"/>
      <c r="F35" s="135"/>
      <c r="G35" s="136"/>
    </row>
    <row r="36" spans="2:7" ht="18.75" customHeight="1">
      <c r="B36" s="196"/>
      <c r="C36" s="91" t="s">
        <v>158</v>
      </c>
      <c r="D36" s="134" t="s">
        <v>228</v>
      </c>
      <c r="E36" s="135"/>
      <c r="F36" s="135"/>
      <c r="G36" s="136"/>
    </row>
    <row r="37" spans="2:7" ht="18.75" customHeight="1">
      <c r="B37" s="196"/>
      <c r="C37" s="91" t="s">
        <v>79</v>
      </c>
      <c r="D37" s="134" t="s">
        <v>224</v>
      </c>
      <c r="E37" s="135"/>
      <c r="F37" s="135"/>
      <c r="G37" s="136"/>
    </row>
    <row r="38" spans="2:7" ht="18.75" customHeight="1">
      <c r="B38" s="196"/>
      <c r="C38" s="91" t="s">
        <v>83</v>
      </c>
      <c r="D38" s="134" t="s">
        <v>229</v>
      </c>
      <c r="E38" s="135"/>
      <c r="F38" s="135"/>
      <c r="G38" s="136"/>
    </row>
    <row r="39" spans="2:7" ht="18.75" customHeight="1">
      <c r="B39" s="196"/>
      <c r="C39" s="91" t="s">
        <v>174</v>
      </c>
      <c r="D39" s="134" t="s">
        <v>175</v>
      </c>
      <c r="E39" s="135"/>
      <c r="F39" s="135"/>
      <c r="G39" s="136"/>
    </row>
    <row r="40" spans="2:7" ht="18.75" customHeight="1">
      <c r="B40" s="196"/>
      <c r="C40" s="91"/>
      <c r="D40" s="134"/>
      <c r="E40" s="135"/>
      <c r="F40" s="135"/>
      <c r="G40" s="136"/>
    </row>
    <row r="41" spans="2:7" ht="18.75" customHeight="1">
      <c r="B41" s="196"/>
      <c r="C41" s="91"/>
      <c r="D41" s="134"/>
      <c r="E41" s="135"/>
      <c r="F41" s="135"/>
      <c r="G41" s="136"/>
    </row>
    <row r="42" spans="2:7" ht="18.75" customHeight="1">
      <c r="B42" s="196"/>
      <c r="C42" s="91"/>
      <c r="D42" s="134"/>
      <c r="E42" s="135"/>
      <c r="F42" s="135"/>
      <c r="G42" s="136"/>
    </row>
    <row r="43" spans="2:7" ht="18.75" customHeight="1">
      <c r="B43" s="196"/>
      <c r="C43" s="91"/>
      <c r="D43" s="134"/>
      <c r="E43" s="135"/>
      <c r="F43" s="135"/>
      <c r="G43" s="136"/>
    </row>
    <row r="44" spans="2:7" ht="18.75" customHeight="1">
      <c r="B44" s="196"/>
      <c r="C44" s="91"/>
      <c r="D44" s="134"/>
      <c r="E44" s="135"/>
      <c r="F44" s="135"/>
      <c r="G44" s="136"/>
    </row>
    <row r="45" spans="2:7" ht="18.75" customHeight="1">
      <c r="B45" s="196"/>
      <c r="C45" s="91"/>
      <c r="D45" s="134"/>
      <c r="E45" s="135"/>
      <c r="F45" s="135"/>
      <c r="G45" s="136"/>
    </row>
    <row r="46" spans="2:7" ht="18.75" customHeight="1">
      <c r="B46" s="196"/>
      <c r="C46" s="91"/>
      <c r="D46" s="134"/>
      <c r="E46" s="135"/>
      <c r="F46" s="135"/>
      <c r="G46" s="136"/>
    </row>
    <row r="47" spans="2:7" ht="18.75" customHeight="1">
      <c r="B47" s="196"/>
      <c r="C47" s="91"/>
      <c r="D47" s="134"/>
      <c r="E47" s="135"/>
      <c r="F47" s="135"/>
      <c r="G47" s="136"/>
    </row>
    <row r="48" spans="2:7" ht="18.75" customHeight="1">
      <c r="B48" s="196"/>
      <c r="C48" s="91"/>
      <c r="D48" s="134"/>
      <c r="E48" s="135"/>
      <c r="F48" s="135"/>
      <c r="G48" s="136"/>
    </row>
    <row r="49" spans="2:7" ht="18.75" customHeight="1">
      <c r="B49" s="196"/>
      <c r="C49" s="91"/>
      <c r="D49" s="134"/>
      <c r="E49" s="135"/>
      <c r="F49" s="135"/>
      <c r="G49" s="136"/>
    </row>
    <row r="50" spans="2:7" ht="18.75" customHeight="1">
      <c r="B50" s="196"/>
      <c r="C50" s="91"/>
      <c r="D50" s="134"/>
      <c r="E50" s="135"/>
      <c r="F50" s="135"/>
      <c r="G50" s="136"/>
    </row>
    <row r="51" spans="2:7" ht="18.75" customHeight="1">
      <c r="B51" s="206"/>
      <c r="C51" s="91"/>
      <c r="D51" s="134"/>
      <c r="E51" s="135"/>
      <c r="F51" s="135"/>
      <c r="G51" s="136"/>
    </row>
    <row r="52" spans="2:7" ht="18.75" customHeight="1">
      <c r="B52" s="195" t="s">
        <v>176</v>
      </c>
      <c r="C52" s="192" t="s">
        <v>147</v>
      </c>
      <c r="D52" s="193"/>
      <c r="E52" s="193"/>
      <c r="F52" s="193"/>
      <c r="G52" s="194"/>
    </row>
    <row r="53" spans="2:7" ht="37.5" customHeight="1">
      <c r="B53" s="196"/>
      <c r="C53" s="197" t="s">
        <v>230</v>
      </c>
      <c r="D53" s="198"/>
      <c r="E53" s="198"/>
      <c r="F53" s="198"/>
      <c r="G53" s="199"/>
    </row>
    <row r="54" spans="2:7" ht="37.5" customHeight="1">
      <c r="B54" s="196"/>
      <c r="C54" s="200"/>
      <c r="D54" s="201"/>
      <c r="E54" s="201"/>
      <c r="F54" s="201"/>
      <c r="G54" s="202"/>
    </row>
    <row r="55" spans="2:7" ht="37.5" customHeight="1">
      <c r="B55" s="196"/>
      <c r="C55" s="200"/>
      <c r="D55" s="201"/>
      <c r="E55" s="201"/>
      <c r="F55" s="201"/>
      <c r="G55" s="202"/>
    </row>
    <row r="56" spans="2:7" ht="37.5" customHeight="1">
      <c r="B56" s="196"/>
      <c r="C56" s="200"/>
      <c r="D56" s="201"/>
      <c r="E56" s="201"/>
      <c r="F56" s="201"/>
      <c r="G56" s="202"/>
    </row>
    <row r="57" spans="2:7" ht="37.5" customHeight="1">
      <c r="B57" s="196"/>
      <c r="C57" s="203"/>
      <c r="D57" s="204"/>
      <c r="E57" s="204"/>
      <c r="F57" s="204"/>
      <c r="G57" s="205"/>
    </row>
    <row r="58" spans="2:7" ht="18.75" customHeight="1">
      <c r="B58" s="196"/>
      <c r="C58" s="51" t="s">
        <v>150</v>
      </c>
      <c r="D58" s="192" t="s">
        <v>151</v>
      </c>
      <c r="E58" s="193"/>
      <c r="F58" s="193"/>
      <c r="G58" s="194"/>
    </row>
    <row r="59" spans="2:7" ht="18.75" customHeight="1">
      <c r="B59" s="196"/>
      <c r="C59" s="91" t="s">
        <v>220</v>
      </c>
      <c r="D59" s="134" t="s">
        <v>226</v>
      </c>
      <c r="E59" s="135"/>
      <c r="F59" s="135"/>
      <c r="G59" s="136"/>
    </row>
    <row r="60" spans="2:7" ht="18.75" customHeight="1">
      <c r="B60" s="196"/>
      <c r="C60" s="91" t="s">
        <v>227</v>
      </c>
      <c r="D60" s="134" t="s">
        <v>222</v>
      </c>
      <c r="E60" s="135"/>
      <c r="F60" s="135"/>
      <c r="G60" s="136"/>
    </row>
    <row r="61" spans="2:7" ht="18.75" customHeight="1">
      <c r="B61" s="196"/>
      <c r="C61" s="91" t="s">
        <v>87</v>
      </c>
      <c r="D61" s="134" t="s">
        <v>179</v>
      </c>
      <c r="E61" s="135"/>
      <c r="F61" s="135"/>
      <c r="G61" s="136"/>
    </row>
    <row r="62" spans="2:7" ht="18.75" customHeight="1">
      <c r="B62" s="196"/>
      <c r="C62" s="91" t="s">
        <v>73</v>
      </c>
      <c r="D62" s="134" t="s">
        <v>231</v>
      </c>
      <c r="E62" s="135"/>
      <c r="F62" s="135"/>
      <c r="G62" s="136"/>
    </row>
    <row r="63" spans="2:7" ht="18.75" customHeight="1">
      <c r="B63" s="196"/>
      <c r="C63" s="91" t="s">
        <v>77</v>
      </c>
      <c r="D63" s="134" t="s">
        <v>232</v>
      </c>
      <c r="E63" s="135"/>
      <c r="F63" s="135"/>
      <c r="G63" s="136"/>
    </row>
    <row r="64" spans="2:7" ht="18.75" customHeight="1">
      <c r="B64" s="196"/>
      <c r="C64" s="91" t="s">
        <v>79</v>
      </c>
      <c r="D64" s="134" t="s">
        <v>233</v>
      </c>
      <c r="E64" s="135"/>
      <c r="F64" s="135"/>
      <c r="G64" s="136"/>
    </row>
    <row r="65" spans="2:7" ht="18.75" customHeight="1">
      <c r="B65" s="196"/>
      <c r="C65" s="91" t="s">
        <v>81</v>
      </c>
      <c r="D65" s="134" t="s">
        <v>234</v>
      </c>
      <c r="E65" s="135"/>
      <c r="F65" s="135"/>
      <c r="G65" s="136"/>
    </row>
    <row r="66" spans="2:7" ht="18.75" customHeight="1">
      <c r="B66" s="196"/>
      <c r="C66" s="91" t="s">
        <v>83</v>
      </c>
      <c r="D66" s="134" t="s">
        <v>229</v>
      </c>
      <c r="E66" s="135"/>
      <c r="F66" s="135"/>
      <c r="G66" s="136"/>
    </row>
    <row r="67" spans="2:7" ht="18.75" customHeight="1">
      <c r="B67" s="196"/>
      <c r="C67" s="91" t="s">
        <v>174</v>
      </c>
      <c r="D67" s="134" t="s">
        <v>235</v>
      </c>
      <c r="E67" s="135"/>
      <c r="F67" s="135"/>
      <c r="G67" s="136"/>
    </row>
    <row r="68" spans="2:7" ht="18.75" customHeight="1">
      <c r="B68" s="196"/>
      <c r="C68" s="91"/>
      <c r="D68" s="134"/>
      <c r="E68" s="135"/>
      <c r="F68" s="135"/>
      <c r="G68" s="136"/>
    </row>
    <row r="69" spans="2:7" ht="18.75" customHeight="1">
      <c r="B69" s="196"/>
      <c r="C69" s="91"/>
      <c r="D69" s="134"/>
      <c r="E69" s="135"/>
      <c r="F69" s="135"/>
      <c r="G69" s="136"/>
    </row>
    <row r="70" spans="2:7" ht="18.75" customHeight="1">
      <c r="B70" s="196"/>
      <c r="C70" s="91"/>
      <c r="D70" s="134"/>
      <c r="E70" s="135"/>
      <c r="F70" s="135"/>
      <c r="G70" s="136"/>
    </row>
    <row r="71" spans="2:7" ht="18.75" customHeight="1">
      <c r="B71" s="196"/>
      <c r="C71" s="91"/>
      <c r="D71" s="134"/>
      <c r="E71" s="135"/>
      <c r="F71" s="135"/>
      <c r="G71" s="136"/>
    </row>
    <row r="72" spans="2:7" ht="18.75" customHeight="1">
      <c r="B72" s="196"/>
      <c r="C72" s="91"/>
      <c r="D72" s="134"/>
      <c r="E72" s="135"/>
      <c r="F72" s="135"/>
      <c r="G72" s="136"/>
    </row>
    <row r="73" spans="2:7" ht="18.75" customHeight="1">
      <c r="B73" s="196"/>
      <c r="C73" s="91"/>
      <c r="D73" s="134"/>
      <c r="E73" s="135"/>
      <c r="F73" s="135"/>
      <c r="G73" s="136"/>
    </row>
    <row r="74" spans="2:7" ht="18.75" customHeight="1">
      <c r="B74" s="196"/>
      <c r="C74" s="91"/>
      <c r="D74" s="134"/>
      <c r="E74" s="135"/>
      <c r="F74" s="135"/>
      <c r="G74" s="136"/>
    </row>
    <row r="75" spans="2:7" ht="18.75" customHeight="1">
      <c r="B75" s="196"/>
      <c r="C75" s="91"/>
      <c r="D75" s="134"/>
      <c r="E75" s="135"/>
      <c r="F75" s="135"/>
      <c r="G75" s="136"/>
    </row>
    <row r="76" spans="2:7" ht="18.75" customHeight="1">
      <c r="B76" s="196"/>
      <c r="C76" s="91"/>
      <c r="D76" s="134"/>
      <c r="E76" s="135"/>
      <c r="F76" s="135"/>
      <c r="G76" s="136"/>
    </row>
    <row r="77" spans="2:7" ht="18.75" customHeight="1">
      <c r="B77" s="195" t="s">
        <v>187</v>
      </c>
      <c r="C77" s="192" t="s">
        <v>147</v>
      </c>
      <c r="D77" s="193"/>
      <c r="E77" s="193"/>
      <c r="F77" s="193"/>
      <c r="G77" s="194"/>
    </row>
    <row r="78" spans="2:7" ht="37.5" customHeight="1">
      <c r="B78" s="196"/>
      <c r="C78" s="197" t="s">
        <v>236</v>
      </c>
      <c r="D78" s="198"/>
      <c r="E78" s="198"/>
      <c r="F78" s="198"/>
      <c r="G78" s="199"/>
    </row>
    <row r="79" spans="2:7" ht="37.5" customHeight="1">
      <c r="B79" s="196"/>
      <c r="C79" s="200"/>
      <c r="D79" s="201"/>
      <c r="E79" s="201"/>
      <c r="F79" s="201"/>
      <c r="G79" s="202"/>
    </row>
    <row r="80" spans="2:7" ht="37.5" customHeight="1">
      <c r="B80" s="196"/>
      <c r="C80" s="200"/>
      <c r="D80" s="201"/>
      <c r="E80" s="201"/>
      <c r="F80" s="201"/>
      <c r="G80" s="202"/>
    </row>
    <row r="81" spans="2:7" ht="37.5" customHeight="1">
      <c r="B81" s="196"/>
      <c r="C81" s="200"/>
      <c r="D81" s="201"/>
      <c r="E81" s="201"/>
      <c r="F81" s="201"/>
      <c r="G81" s="202"/>
    </row>
    <row r="82" spans="2:7" ht="37.5" customHeight="1">
      <c r="B82" s="196"/>
      <c r="C82" s="203"/>
      <c r="D82" s="204"/>
      <c r="E82" s="204"/>
      <c r="F82" s="204"/>
      <c r="G82" s="205"/>
    </row>
    <row r="83" spans="2:7" ht="18.75" customHeight="1">
      <c r="B83" s="196"/>
      <c r="C83" s="51" t="s">
        <v>150</v>
      </c>
      <c r="D83" s="192" t="s">
        <v>151</v>
      </c>
      <c r="E83" s="193"/>
      <c r="F83" s="193"/>
      <c r="G83" s="194"/>
    </row>
    <row r="84" spans="2:7" ht="18.75" customHeight="1">
      <c r="B84" s="196"/>
      <c r="C84" s="91" t="s">
        <v>105</v>
      </c>
      <c r="D84" s="134" t="s">
        <v>237</v>
      </c>
      <c r="E84" s="135"/>
      <c r="F84" s="135"/>
      <c r="G84" s="136"/>
    </row>
    <row r="85" spans="2:7" ht="18.75" customHeight="1">
      <c r="B85" s="196"/>
      <c r="C85" s="91" t="s">
        <v>72</v>
      </c>
      <c r="D85" s="134" t="s">
        <v>190</v>
      </c>
      <c r="E85" s="135"/>
      <c r="F85" s="135"/>
      <c r="G85" s="136"/>
    </row>
    <row r="86" spans="2:7" ht="18.75" customHeight="1">
      <c r="B86" s="196"/>
      <c r="C86" s="91" t="s">
        <v>78</v>
      </c>
      <c r="D86" s="134" t="s">
        <v>191</v>
      </c>
      <c r="E86" s="135"/>
      <c r="F86" s="135"/>
      <c r="G86" s="136"/>
    </row>
    <row r="87" spans="2:7" ht="18.75" customHeight="1">
      <c r="B87" s="196"/>
      <c r="C87" s="91" t="s">
        <v>88</v>
      </c>
      <c r="D87" s="134" t="s">
        <v>192</v>
      </c>
      <c r="E87" s="135"/>
      <c r="F87" s="135"/>
      <c r="G87" s="136"/>
    </row>
    <row r="88" spans="2:7" ht="18.75" customHeight="1">
      <c r="B88" s="196"/>
      <c r="C88" s="91" t="s">
        <v>162</v>
      </c>
      <c r="D88" s="134" t="s">
        <v>192</v>
      </c>
      <c r="E88" s="135"/>
      <c r="F88" s="135"/>
      <c r="G88" s="136"/>
    </row>
    <row r="89" spans="2:7" ht="18.75" customHeight="1">
      <c r="B89" s="196"/>
      <c r="C89" s="91"/>
      <c r="D89" s="134"/>
      <c r="E89" s="135"/>
      <c r="F89" s="135"/>
      <c r="G89" s="136"/>
    </row>
    <row r="90" spans="2:7" ht="18.75" customHeight="1">
      <c r="B90" s="196"/>
      <c r="C90" s="91"/>
      <c r="D90" s="134"/>
      <c r="E90" s="135"/>
      <c r="F90" s="135"/>
      <c r="G90" s="136"/>
    </row>
    <row r="91" spans="2:7" ht="18.75" customHeight="1">
      <c r="B91" s="196"/>
      <c r="C91" s="91"/>
      <c r="D91" s="134"/>
      <c r="E91" s="135"/>
      <c r="F91" s="135"/>
      <c r="G91" s="136"/>
    </row>
    <row r="92" spans="2:7" ht="18.75" customHeight="1">
      <c r="B92" s="196"/>
      <c r="C92" s="91"/>
      <c r="D92" s="134"/>
      <c r="E92" s="135"/>
      <c r="F92" s="135"/>
      <c r="G92" s="136"/>
    </row>
    <row r="93" spans="2:7" ht="18.75" customHeight="1">
      <c r="B93" s="196"/>
      <c r="C93" s="91"/>
      <c r="D93" s="134"/>
      <c r="E93" s="135"/>
      <c r="F93" s="135"/>
      <c r="G93" s="136"/>
    </row>
    <row r="94" spans="2:7" ht="18.75" customHeight="1">
      <c r="B94" s="196"/>
      <c r="C94" s="91"/>
      <c r="D94" s="134"/>
      <c r="E94" s="135"/>
      <c r="F94" s="135"/>
      <c r="G94" s="136"/>
    </row>
    <row r="95" spans="2:7" ht="18.75" customHeight="1">
      <c r="B95" s="196"/>
      <c r="C95" s="91"/>
      <c r="D95" s="134"/>
      <c r="E95" s="135"/>
      <c r="F95" s="135"/>
      <c r="G95" s="136"/>
    </row>
    <row r="96" spans="2:7" ht="18.75" customHeight="1">
      <c r="B96" s="196"/>
      <c r="C96" s="91"/>
      <c r="D96" s="134"/>
      <c r="E96" s="135"/>
      <c r="F96" s="135"/>
      <c r="G96" s="136"/>
    </row>
    <row r="97" spans="2:7" ht="18.75" customHeight="1">
      <c r="B97" s="196"/>
      <c r="C97" s="91"/>
      <c r="D97" s="134"/>
      <c r="E97" s="135"/>
      <c r="F97" s="135"/>
      <c r="G97" s="136"/>
    </row>
    <row r="98" spans="2:7" ht="18.75" customHeight="1">
      <c r="B98" s="196"/>
      <c r="C98" s="91"/>
      <c r="D98" s="134"/>
      <c r="E98" s="135"/>
      <c r="F98" s="135"/>
      <c r="G98" s="136"/>
    </row>
    <row r="99" spans="2:7" ht="18.75" customHeight="1">
      <c r="B99" s="196"/>
      <c r="C99" s="91"/>
      <c r="D99" s="134"/>
      <c r="E99" s="135"/>
      <c r="F99" s="135"/>
      <c r="G99" s="136"/>
    </row>
    <row r="100" spans="2:7" ht="18.75" customHeight="1">
      <c r="B100" s="196"/>
      <c r="C100" s="91"/>
      <c r="D100" s="134"/>
      <c r="E100" s="135"/>
      <c r="F100" s="135"/>
      <c r="G100" s="136"/>
    </row>
    <row r="101" spans="2:7" ht="18.75" customHeight="1">
      <c r="B101" s="196"/>
      <c r="C101" s="91"/>
      <c r="D101" s="134"/>
      <c r="E101" s="135"/>
      <c r="F101" s="135"/>
      <c r="G101" s="136"/>
    </row>
    <row r="102" spans="2:7" ht="18.75" customHeight="1">
      <c r="B102" s="195" t="s">
        <v>193</v>
      </c>
      <c r="C102" s="192" t="s">
        <v>147</v>
      </c>
      <c r="D102" s="193"/>
      <c r="E102" s="193"/>
      <c r="F102" s="193"/>
      <c r="G102" s="194"/>
    </row>
    <row r="103" spans="2:7" ht="37.5" customHeight="1">
      <c r="B103" s="196"/>
      <c r="C103" s="197" t="s">
        <v>238</v>
      </c>
      <c r="D103" s="198"/>
      <c r="E103" s="198"/>
      <c r="F103" s="198"/>
      <c r="G103" s="199"/>
    </row>
    <row r="104" spans="2:7" ht="37.5" customHeight="1">
      <c r="B104" s="196"/>
      <c r="C104" s="200"/>
      <c r="D104" s="201"/>
      <c r="E104" s="201"/>
      <c r="F104" s="201"/>
      <c r="G104" s="202"/>
    </row>
    <row r="105" spans="2:7" ht="37.5" customHeight="1">
      <c r="B105" s="196"/>
      <c r="C105" s="200"/>
      <c r="D105" s="201"/>
      <c r="E105" s="201"/>
      <c r="F105" s="201"/>
      <c r="G105" s="202"/>
    </row>
    <row r="106" spans="2:7" ht="37.5" customHeight="1">
      <c r="B106" s="196"/>
      <c r="C106" s="200"/>
      <c r="D106" s="201"/>
      <c r="E106" s="201"/>
      <c r="F106" s="201"/>
      <c r="G106" s="202"/>
    </row>
    <row r="107" spans="2:7" ht="37.5" customHeight="1">
      <c r="B107" s="196"/>
      <c r="C107" s="203"/>
      <c r="D107" s="204"/>
      <c r="E107" s="204"/>
      <c r="F107" s="204"/>
      <c r="G107" s="205"/>
    </row>
    <row r="108" spans="2:7" ht="18.75" customHeight="1">
      <c r="B108" s="196"/>
      <c r="C108" s="51" t="s">
        <v>150</v>
      </c>
      <c r="D108" s="192" t="s">
        <v>151</v>
      </c>
      <c r="E108" s="193"/>
      <c r="F108" s="193"/>
      <c r="G108" s="194"/>
    </row>
    <row r="109" spans="2:7" ht="18.75" customHeight="1">
      <c r="B109" s="196"/>
      <c r="C109" s="91" t="s">
        <v>239</v>
      </c>
      <c r="D109" s="134" t="s">
        <v>240</v>
      </c>
      <c r="E109" s="135"/>
      <c r="F109" s="135"/>
      <c r="G109" s="136"/>
    </row>
    <row r="110" spans="2:7" ht="18.75" customHeight="1">
      <c r="B110" s="196"/>
      <c r="C110" s="91" t="s">
        <v>227</v>
      </c>
      <c r="D110" s="134" t="s">
        <v>222</v>
      </c>
      <c r="E110" s="135"/>
      <c r="F110" s="135"/>
      <c r="G110" s="136"/>
    </row>
    <row r="111" spans="2:7" ht="18.75" customHeight="1">
      <c r="B111" s="196"/>
      <c r="C111" s="91" t="s">
        <v>73</v>
      </c>
      <c r="D111" s="134" t="s">
        <v>241</v>
      </c>
      <c r="E111" s="135"/>
      <c r="F111" s="135"/>
      <c r="G111" s="136"/>
    </row>
    <row r="112" spans="2:7" ht="18.75" customHeight="1">
      <c r="B112" s="196"/>
      <c r="C112" s="91" t="s">
        <v>77</v>
      </c>
      <c r="D112" s="134" t="s">
        <v>232</v>
      </c>
      <c r="E112" s="152"/>
      <c r="F112" s="152"/>
      <c r="G112" s="153"/>
    </row>
    <row r="113" spans="1:7" ht="18.75" customHeight="1">
      <c r="B113" s="196"/>
      <c r="C113" s="91" t="s">
        <v>79</v>
      </c>
      <c r="D113" s="134" t="s">
        <v>242</v>
      </c>
      <c r="E113" s="152"/>
      <c r="F113" s="152"/>
      <c r="G113" s="153"/>
    </row>
    <row r="114" spans="1:7" ht="18.75" customHeight="1">
      <c r="B114" s="196"/>
      <c r="C114" s="91" t="s">
        <v>81</v>
      </c>
      <c r="D114" s="134" t="s">
        <v>234</v>
      </c>
      <c r="E114" s="135"/>
      <c r="F114" s="135"/>
      <c r="G114" s="136"/>
    </row>
    <row r="115" spans="1:7" ht="18.75" customHeight="1">
      <c r="B115" s="196"/>
      <c r="C115" s="91" t="s">
        <v>83</v>
      </c>
      <c r="D115" s="134" t="s">
        <v>229</v>
      </c>
      <c r="E115" s="135"/>
      <c r="F115" s="135"/>
      <c r="G115" s="136"/>
    </row>
    <row r="116" spans="1:7" ht="18.75" customHeight="1">
      <c r="B116" s="196"/>
      <c r="C116" s="91" t="s">
        <v>174</v>
      </c>
      <c r="D116" s="134" t="s">
        <v>173</v>
      </c>
      <c r="E116" s="135"/>
      <c r="F116" s="135"/>
      <c r="G116" s="136"/>
    </row>
    <row r="117" spans="1:7" ht="18.75" customHeight="1">
      <c r="B117" s="196"/>
      <c r="C117" s="91"/>
      <c r="D117" s="134"/>
      <c r="E117" s="135"/>
      <c r="F117" s="135"/>
      <c r="G117" s="136"/>
    </row>
    <row r="118" spans="1:7" ht="18.75" customHeight="1">
      <c r="B118" s="196"/>
      <c r="C118" s="91"/>
      <c r="D118" s="134"/>
      <c r="E118" s="135"/>
      <c r="F118" s="135"/>
      <c r="G118" s="136"/>
    </row>
    <row r="119" spans="1:7" ht="18.75" customHeight="1">
      <c r="B119" s="196"/>
      <c r="C119" s="91"/>
      <c r="D119" s="134"/>
      <c r="E119" s="135"/>
      <c r="F119" s="135"/>
      <c r="G119" s="136"/>
    </row>
    <row r="120" spans="1:7" ht="18.75" customHeight="1">
      <c r="B120" s="196"/>
      <c r="C120" s="91"/>
      <c r="D120" s="134"/>
      <c r="E120" s="135"/>
      <c r="F120" s="135"/>
      <c r="G120" s="136"/>
    </row>
    <row r="121" spans="1:7" ht="18.75" customHeight="1">
      <c r="B121" s="196"/>
      <c r="C121" s="91"/>
      <c r="D121" s="134"/>
      <c r="E121" s="135"/>
      <c r="F121" s="135"/>
      <c r="G121" s="136"/>
    </row>
    <row r="122" spans="1:7" ht="18.75" customHeight="1">
      <c r="B122" s="196"/>
      <c r="C122" s="91"/>
      <c r="D122" s="134"/>
      <c r="E122" s="135"/>
      <c r="F122" s="135"/>
      <c r="G122" s="136"/>
    </row>
    <row r="123" spans="1:7" ht="18.75" customHeight="1">
      <c r="B123" s="196"/>
      <c r="C123" s="91"/>
      <c r="D123" s="134"/>
      <c r="E123" s="135"/>
      <c r="F123" s="135"/>
      <c r="G123" s="136"/>
    </row>
    <row r="124" spans="1:7" ht="18.75" customHeight="1">
      <c r="B124" s="196"/>
      <c r="C124" s="91"/>
      <c r="D124" s="134"/>
      <c r="E124" s="135"/>
      <c r="F124" s="135"/>
      <c r="G124" s="136"/>
    </row>
    <row r="125" spans="1:7" ht="18.75" customHeight="1">
      <c r="B125" s="196"/>
      <c r="C125" s="91"/>
      <c r="D125" s="134"/>
      <c r="E125" s="135"/>
      <c r="F125" s="135"/>
      <c r="G125" s="136"/>
    </row>
    <row r="126" spans="1:7" ht="18.75" customHeight="1">
      <c r="B126" s="196"/>
      <c r="C126" s="91"/>
      <c r="D126" s="134"/>
      <c r="E126" s="135"/>
      <c r="F126" s="135"/>
      <c r="G126" s="136"/>
    </row>
    <row r="127" spans="1:7" ht="18.75" customHeight="1">
      <c r="A127" s="1" t="s">
        <v>5</v>
      </c>
      <c r="B127" s="1" t="s">
        <v>199</v>
      </c>
    </row>
    <row r="128" spans="1:7" ht="22.5" customHeight="1">
      <c r="B128" s="89" t="s">
        <v>146</v>
      </c>
      <c r="C128" s="192" t="s">
        <v>69</v>
      </c>
      <c r="D128" s="193"/>
      <c r="E128" s="193"/>
      <c r="F128" s="193"/>
      <c r="G128" s="194"/>
    </row>
    <row r="129" spans="1:7" ht="45" customHeight="1">
      <c r="B129" s="53" t="s">
        <v>200</v>
      </c>
      <c r="C129" s="179" t="s">
        <v>201</v>
      </c>
      <c r="D129" s="180"/>
      <c r="E129" s="180"/>
      <c r="F129" s="180"/>
      <c r="G129" s="181"/>
    </row>
    <row r="130" spans="1:7" ht="45" customHeight="1">
      <c r="B130" s="53" t="s">
        <v>202</v>
      </c>
      <c r="C130" s="179" t="s">
        <v>203</v>
      </c>
      <c r="D130" s="180"/>
      <c r="E130" s="180"/>
      <c r="F130" s="180"/>
      <c r="G130" s="181"/>
    </row>
    <row r="131" spans="1:7" ht="45" customHeight="1">
      <c r="B131" s="53" t="s">
        <v>204</v>
      </c>
      <c r="C131" s="179" t="s">
        <v>205</v>
      </c>
      <c r="D131" s="180"/>
      <c r="E131" s="180"/>
      <c r="F131" s="180"/>
      <c r="G131" s="181"/>
    </row>
    <row r="132" spans="1:7" ht="45" customHeight="1">
      <c r="B132" s="53" t="s">
        <v>206</v>
      </c>
      <c r="C132" s="179"/>
      <c r="D132" s="180"/>
      <c r="E132" s="180"/>
      <c r="F132" s="180"/>
      <c r="G132" s="181"/>
    </row>
    <row r="133" spans="1:7" ht="35.25" customHeight="1">
      <c r="B133" s="53" t="s">
        <v>207</v>
      </c>
      <c r="C133" s="179"/>
      <c r="D133" s="180"/>
      <c r="E133" s="180"/>
      <c r="F133" s="180"/>
      <c r="G133" s="181"/>
    </row>
    <row r="134" spans="1:7" ht="38.25" customHeight="1">
      <c r="B134" s="53" t="s">
        <v>208</v>
      </c>
      <c r="C134" s="179"/>
      <c r="D134" s="180"/>
      <c r="E134" s="180"/>
      <c r="F134" s="180"/>
      <c r="G134" s="181"/>
    </row>
    <row r="135" spans="1:7" ht="63.75" customHeight="1">
      <c r="B135" s="53" t="s">
        <v>209</v>
      </c>
      <c r="C135" s="179" t="s">
        <v>210</v>
      </c>
      <c r="D135" s="180"/>
      <c r="E135" s="180"/>
      <c r="F135" s="180"/>
      <c r="G135" s="181"/>
    </row>
    <row r="136" spans="1:7" ht="45" customHeight="1">
      <c r="B136" s="53" t="s">
        <v>211</v>
      </c>
      <c r="C136" s="179" t="s">
        <v>212</v>
      </c>
      <c r="D136" s="180"/>
      <c r="E136" s="180"/>
      <c r="F136" s="180"/>
      <c r="G136" s="181"/>
    </row>
    <row r="137" spans="1:7" ht="45" customHeight="1">
      <c r="B137" s="53" t="s">
        <v>213</v>
      </c>
      <c r="C137" s="179"/>
      <c r="D137" s="180"/>
      <c r="E137" s="180"/>
      <c r="F137" s="180"/>
      <c r="G137" s="181"/>
    </row>
    <row r="138" spans="1:7" ht="7.5" customHeight="1"/>
    <row r="139" spans="1:7" ht="18.75" customHeight="1">
      <c r="A139" s="1" t="s">
        <v>8</v>
      </c>
      <c r="B139" s="1" t="s">
        <v>214</v>
      </c>
      <c r="E139" s="182" t="s">
        <v>215</v>
      </c>
      <c r="F139" s="135"/>
      <c r="G139" s="136"/>
    </row>
    <row r="140" spans="1:7" ht="7.5" customHeight="1"/>
    <row r="141" spans="1:7" ht="18.75" customHeight="1">
      <c r="A141" s="1" t="s">
        <v>11</v>
      </c>
      <c r="B141" s="1" t="s">
        <v>216</v>
      </c>
    </row>
    <row r="142" spans="1:7" ht="18.75" customHeight="1">
      <c r="B142" s="143" t="s">
        <v>243</v>
      </c>
      <c r="C142" s="144"/>
      <c r="D142" s="144"/>
      <c r="E142" s="144"/>
      <c r="F142" s="144"/>
      <c r="G142" s="145"/>
    </row>
    <row r="143" spans="1:7" ht="18.75" customHeight="1">
      <c r="B143" s="146"/>
      <c r="C143" s="147"/>
      <c r="D143" s="147"/>
      <c r="E143" s="147"/>
      <c r="F143" s="147"/>
      <c r="G143" s="148"/>
    </row>
    <row r="144" spans="1:7" ht="18.75" customHeight="1">
      <c r="B144" s="146"/>
      <c r="C144" s="147"/>
      <c r="D144" s="147"/>
      <c r="E144" s="147"/>
      <c r="F144" s="147"/>
      <c r="G144" s="148"/>
    </row>
    <row r="145" spans="2:7" ht="18.75" customHeight="1">
      <c r="B145" s="149"/>
      <c r="C145" s="150"/>
      <c r="D145" s="150"/>
      <c r="E145" s="150"/>
      <c r="F145" s="150"/>
      <c r="G145" s="151"/>
    </row>
    <row r="146" spans="2:7" ht="18.75" customHeight="1"/>
    <row r="147" spans="2:7" ht="18.75" customHeight="1"/>
    <row r="148" spans="2:7" ht="18.75" customHeight="1"/>
    <row r="149" spans="2:7" ht="18.75" customHeight="1"/>
    <row r="150" spans="2:7" ht="18.75" customHeight="1"/>
    <row r="151" spans="2:7" ht="18.75" customHeight="1"/>
  </sheetData>
  <mergeCells count="121">
    <mergeCell ref="D98:G98"/>
    <mergeCell ref="D125:G125"/>
    <mergeCell ref="D121:G121"/>
    <mergeCell ref="D124:G124"/>
    <mergeCell ref="D117:G117"/>
    <mergeCell ref="D118:G118"/>
    <mergeCell ref="D119:G119"/>
    <mergeCell ref="D120:G120"/>
    <mergeCell ref="D109:G109"/>
    <mergeCell ref="D110:G110"/>
    <mergeCell ref="D111:G111"/>
    <mergeCell ref="D112:G112"/>
    <mergeCell ref="D113:G113"/>
    <mergeCell ref="D114:G114"/>
    <mergeCell ref="D115:G115"/>
    <mergeCell ref="D116:G116"/>
    <mergeCell ref="D122:G122"/>
    <mergeCell ref="D123:G123"/>
    <mergeCell ref="D61:G61"/>
    <mergeCell ref="D62:G62"/>
    <mergeCell ref="D63:G63"/>
    <mergeCell ref="D64:G64"/>
    <mergeCell ref="D65:G65"/>
    <mergeCell ref="D66:G66"/>
    <mergeCell ref="D74:G74"/>
    <mergeCell ref="D73:G73"/>
    <mergeCell ref="D100:G100"/>
    <mergeCell ref="D96:G96"/>
    <mergeCell ref="D97:G97"/>
    <mergeCell ref="D92:G92"/>
    <mergeCell ref="D93:G93"/>
    <mergeCell ref="D94:G94"/>
    <mergeCell ref="D95:G95"/>
    <mergeCell ref="D84:G84"/>
    <mergeCell ref="D85:G85"/>
    <mergeCell ref="D86:G86"/>
    <mergeCell ref="D87:G87"/>
    <mergeCell ref="D88:G88"/>
    <mergeCell ref="D89:G89"/>
    <mergeCell ref="D90:G90"/>
    <mergeCell ref="D91:G91"/>
    <mergeCell ref="D99:G99"/>
    <mergeCell ref="A3:G3"/>
    <mergeCell ref="C5:G5"/>
    <mergeCell ref="C6:G9"/>
    <mergeCell ref="B142:G145"/>
    <mergeCell ref="E139:G139"/>
    <mergeCell ref="C128:G128"/>
    <mergeCell ref="C134:G134"/>
    <mergeCell ref="C135:G135"/>
    <mergeCell ref="C136:G136"/>
    <mergeCell ref="C137:G137"/>
    <mergeCell ref="C129:G129"/>
    <mergeCell ref="B6:B26"/>
    <mergeCell ref="C130:G130"/>
    <mergeCell ref="C131:G131"/>
    <mergeCell ref="C132:G132"/>
    <mergeCell ref="C133:G133"/>
    <mergeCell ref="D35:G35"/>
    <mergeCell ref="D36:G36"/>
    <mergeCell ref="D37:G37"/>
    <mergeCell ref="D38:G38"/>
    <mergeCell ref="D39:G39"/>
    <mergeCell ref="D40:G40"/>
    <mergeCell ref="D41:G41"/>
    <mergeCell ref="D42:G42"/>
    <mergeCell ref="B27:B51"/>
    <mergeCell ref="C27:G27"/>
    <mergeCell ref="C28:G32"/>
    <mergeCell ref="D33:G33"/>
    <mergeCell ref="D34:G34"/>
    <mergeCell ref="D43:G43"/>
    <mergeCell ref="D44:G44"/>
    <mergeCell ref="D45:G45"/>
    <mergeCell ref="D46:G46"/>
    <mergeCell ref="D47:G47"/>
    <mergeCell ref="D48:G48"/>
    <mergeCell ref="D49:G49"/>
    <mergeCell ref="D50:G50"/>
    <mergeCell ref="D51:G51"/>
    <mergeCell ref="B52:B76"/>
    <mergeCell ref="C52:G52"/>
    <mergeCell ref="C53:G57"/>
    <mergeCell ref="B77:B101"/>
    <mergeCell ref="C77:G77"/>
    <mergeCell ref="C78:G82"/>
    <mergeCell ref="D83:G83"/>
    <mergeCell ref="D101:G101"/>
    <mergeCell ref="B102:B126"/>
    <mergeCell ref="C102:G102"/>
    <mergeCell ref="C103:G107"/>
    <mergeCell ref="D108:G108"/>
    <mergeCell ref="D126:G126"/>
    <mergeCell ref="D58:G58"/>
    <mergeCell ref="D75:G75"/>
    <mergeCell ref="D76:G76"/>
    <mergeCell ref="D71:G71"/>
    <mergeCell ref="D72:G72"/>
    <mergeCell ref="D67:G67"/>
    <mergeCell ref="D68:G68"/>
    <mergeCell ref="D69:G69"/>
    <mergeCell ref="D70:G70"/>
    <mergeCell ref="D59:G59"/>
    <mergeCell ref="D60:G60"/>
    <mergeCell ref="D10:G10"/>
    <mergeCell ref="D11:G11"/>
    <mergeCell ref="D12:G12"/>
    <mergeCell ref="D13:G13"/>
    <mergeCell ref="D14:G14"/>
    <mergeCell ref="D26:G26"/>
    <mergeCell ref="D25:G25"/>
    <mergeCell ref="D17:G17"/>
    <mergeCell ref="D18:G18"/>
    <mergeCell ref="D15:G15"/>
    <mergeCell ref="D16:G16"/>
    <mergeCell ref="D22:G22"/>
    <mergeCell ref="D23:G23"/>
    <mergeCell ref="D19:G19"/>
    <mergeCell ref="D20:G20"/>
    <mergeCell ref="D21:G21"/>
    <mergeCell ref="D24:G24"/>
  </mergeCells>
  <phoneticPr fontId="1"/>
  <hyperlinks>
    <hyperlink ref="E139" r:id="rId1" xr:uid="{00000000-0004-0000-05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8"/>
  <sheetViews>
    <sheetView showZeros="0" topLeftCell="A106" zoomScaleNormal="100" workbookViewId="0">
      <selection activeCell="J128" sqref="J128"/>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E1" s="107" t="s">
        <v>244</v>
      </c>
    </row>
    <row r="2" spans="1:5" ht="18.75" customHeight="1">
      <c r="B2" s="107" t="s">
        <v>245</v>
      </c>
      <c r="C2" s="107" t="s">
        <v>246</v>
      </c>
      <c r="D2" s="220" t="s">
        <v>4</v>
      </c>
      <c r="E2" s="220"/>
    </row>
    <row r="3" spans="1:5" ht="7.5" customHeight="1">
      <c r="B3" s="107"/>
      <c r="C3" s="107"/>
      <c r="D3" s="111"/>
      <c r="E3" s="111"/>
    </row>
    <row r="4" spans="1:5" ht="18.75" customHeight="1">
      <c r="B4" s="177" t="s">
        <v>247</v>
      </c>
      <c r="C4" s="177"/>
      <c r="D4" s="177"/>
      <c r="E4" s="177"/>
    </row>
    <row r="5" spans="1:5" ht="7.5" customHeight="1">
      <c r="B5" s="108"/>
      <c r="C5" s="108"/>
      <c r="D5" s="108"/>
      <c r="E5" s="108"/>
    </row>
    <row r="6" spans="1:5" ht="18.75" customHeight="1">
      <c r="A6" s="15" t="s">
        <v>2</v>
      </c>
      <c r="B6" s="5" t="s">
        <v>248</v>
      </c>
      <c r="C6" s="108"/>
      <c r="D6" s="108"/>
      <c r="E6" s="108"/>
    </row>
    <row r="7" spans="1:5" ht="18.75" customHeight="1">
      <c r="A7" s="15"/>
      <c r="B7" s="134" t="s">
        <v>249</v>
      </c>
      <c r="C7" s="135"/>
      <c r="D7" s="135"/>
      <c r="E7" s="136"/>
    </row>
    <row r="8" spans="1:5" ht="7.5" customHeight="1">
      <c r="B8" s="108"/>
      <c r="C8" s="108"/>
      <c r="D8" s="108"/>
      <c r="E8" s="108"/>
    </row>
    <row r="9" spans="1:5" s="5" customFormat="1" ht="18.75" customHeight="1">
      <c r="A9" s="15" t="s">
        <v>5</v>
      </c>
      <c r="B9" s="15" t="s">
        <v>250</v>
      </c>
      <c r="C9" s="15"/>
      <c r="D9" s="15"/>
      <c r="E9" s="15"/>
    </row>
    <row r="10" spans="1:5" s="10" customFormat="1" ht="18.75" customHeight="1">
      <c r="A10" s="9"/>
      <c r="B10" s="221" t="s">
        <v>251</v>
      </c>
      <c r="C10" s="184"/>
      <c r="D10" s="184"/>
      <c r="E10" s="185"/>
    </row>
    <row r="11" spans="1:5" s="10" customFormat="1" ht="18.75" customHeight="1">
      <c r="A11" s="9"/>
      <c r="B11" s="186"/>
      <c r="C11" s="187"/>
      <c r="D11" s="187"/>
      <c r="E11" s="188"/>
    </row>
    <row r="12" spans="1:5" s="10" customFormat="1" ht="18.75" customHeight="1">
      <c r="A12" s="9"/>
      <c r="B12" s="186"/>
      <c r="C12" s="187"/>
      <c r="D12" s="187"/>
      <c r="E12" s="188"/>
    </row>
    <row r="13" spans="1:5" s="10" customFormat="1" ht="18.75" customHeight="1">
      <c r="A13" s="9"/>
      <c r="B13" s="186"/>
      <c r="C13" s="187"/>
      <c r="D13" s="187"/>
      <c r="E13" s="188"/>
    </row>
    <row r="14" spans="1:5" s="10" customFormat="1" ht="18.75" customHeight="1">
      <c r="A14" s="9"/>
      <c r="B14" s="189"/>
      <c r="C14" s="190"/>
      <c r="D14" s="190"/>
      <c r="E14" s="191"/>
    </row>
    <row r="15" spans="1:5" s="10" customFormat="1" ht="7.5" customHeight="1">
      <c r="A15" s="9"/>
      <c r="B15" s="9"/>
      <c r="C15" s="9"/>
      <c r="D15" s="9"/>
      <c r="E15" s="9"/>
    </row>
    <row r="16" spans="1:5" s="5" customFormat="1" ht="18.75" customHeight="1">
      <c r="A16" s="11" t="s">
        <v>8</v>
      </c>
      <c r="B16" s="11" t="s">
        <v>252</v>
      </c>
      <c r="C16" s="11"/>
      <c r="D16" s="11"/>
      <c r="E16" s="11"/>
    </row>
    <row r="17" spans="1:5" s="10" customFormat="1" ht="18.75" customHeight="1">
      <c r="A17" s="9"/>
      <c r="B17" s="221" t="s">
        <v>253</v>
      </c>
      <c r="C17" s="222"/>
      <c r="D17" s="222"/>
      <c r="E17" s="223"/>
    </row>
    <row r="18" spans="1:5" s="10" customFormat="1" ht="18.75" customHeight="1">
      <c r="A18" s="9"/>
      <c r="B18" s="224"/>
      <c r="C18" s="225"/>
      <c r="D18" s="225"/>
      <c r="E18" s="226"/>
    </row>
    <row r="19" spans="1:5" s="10" customFormat="1" ht="18.75" customHeight="1">
      <c r="A19" s="9"/>
      <c r="B19" s="224"/>
      <c r="C19" s="225"/>
      <c r="D19" s="225"/>
      <c r="E19" s="226"/>
    </row>
    <row r="20" spans="1:5" s="10" customFormat="1" ht="18.75" customHeight="1">
      <c r="A20" s="9"/>
      <c r="B20" s="224"/>
      <c r="C20" s="225"/>
      <c r="D20" s="225"/>
      <c r="E20" s="226"/>
    </row>
    <row r="21" spans="1:5" s="10" customFormat="1" ht="18.75" customHeight="1">
      <c r="A21" s="9"/>
      <c r="B21" s="224"/>
      <c r="C21" s="225"/>
      <c r="D21" s="225"/>
      <c r="E21" s="226"/>
    </row>
    <row r="22" spans="1:5" s="10" customFormat="1" ht="18.75" customHeight="1">
      <c r="A22" s="9"/>
      <c r="B22" s="224"/>
      <c r="C22" s="225"/>
      <c r="D22" s="225"/>
      <c r="E22" s="226"/>
    </row>
    <row r="23" spans="1:5" s="10" customFormat="1" ht="18.75" customHeight="1">
      <c r="A23" s="9"/>
      <c r="B23" s="224"/>
      <c r="C23" s="225"/>
      <c r="D23" s="225"/>
      <c r="E23" s="226"/>
    </row>
    <row r="24" spans="1:5" s="10" customFormat="1" ht="18.75" customHeight="1">
      <c r="A24" s="9"/>
      <c r="B24" s="224"/>
      <c r="C24" s="225"/>
      <c r="D24" s="225"/>
      <c r="E24" s="226"/>
    </row>
    <row r="25" spans="1:5" s="10" customFormat="1" ht="18.75" customHeight="1">
      <c r="A25" s="9"/>
      <c r="B25" s="224"/>
      <c r="C25" s="225"/>
      <c r="D25" s="225"/>
      <c r="E25" s="226"/>
    </row>
    <row r="26" spans="1:5" s="10" customFormat="1" ht="18.75" customHeight="1">
      <c r="A26" s="9"/>
      <c r="B26" s="224"/>
      <c r="C26" s="225"/>
      <c r="D26" s="225"/>
      <c r="E26" s="226"/>
    </row>
    <row r="27" spans="1:5" s="10" customFormat="1" ht="18.75" customHeight="1">
      <c r="A27" s="9"/>
      <c r="B27" s="224"/>
      <c r="C27" s="225"/>
      <c r="D27" s="225"/>
      <c r="E27" s="226"/>
    </row>
    <row r="28" spans="1:5" s="10" customFormat="1" ht="18.75" customHeight="1">
      <c r="A28" s="9"/>
      <c r="B28" s="227"/>
      <c r="C28" s="228"/>
      <c r="D28" s="228"/>
      <c r="E28" s="229"/>
    </row>
    <row r="29" spans="1:5" ht="7.5" customHeight="1">
      <c r="A29" s="8"/>
      <c r="B29" s="8"/>
      <c r="C29" s="8"/>
      <c r="D29" s="8"/>
      <c r="E29" s="8"/>
    </row>
    <row r="30" spans="1:5" s="5" customFormat="1" ht="18.75" customHeight="1">
      <c r="A30" s="15" t="s">
        <v>11</v>
      </c>
      <c r="B30" s="15" t="s">
        <v>254</v>
      </c>
      <c r="C30" s="15"/>
      <c r="D30" s="15"/>
      <c r="E30" s="15"/>
    </row>
    <row r="31" spans="1:5" s="5" customFormat="1" ht="18.75" customHeight="1">
      <c r="A31" s="15"/>
      <c r="B31" s="183" t="s">
        <v>255</v>
      </c>
      <c r="C31" s="184"/>
      <c r="D31" s="184"/>
      <c r="E31" s="185"/>
    </row>
    <row r="32" spans="1:5" s="5" customFormat="1" ht="18.75" customHeight="1">
      <c r="A32" s="15"/>
      <c r="B32" s="186"/>
      <c r="C32" s="187"/>
      <c r="D32" s="187"/>
      <c r="E32" s="188"/>
    </row>
    <row r="33" spans="1:5" s="5" customFormat="1" ht="18.75" customHeight="1">
      <c r="A33" s="15"/>
      <c r="B33" s="186"/>
      <c r="C33" s="187"/>
      <c r="D33" s="187"/>
      <c r="E33" s="188"/>
    </row>
    <row r="34" spans="1:5" s="5" customFormat="1" ht="18.75" customHeight="1">
      <c r="A34" s="15"/>
      <c r="B34" s="186"/>
      <c r="C34" s="187"/>
      <c r="D34" s="187"/>
      <c r="E34" s="188"/>
    </row>
    <row r="35" spans="1:5" s="5" customFormat="1" ht="18.75" customHeight="1">
      <c r="A35" s="15"/>
      <c r="B35" s="186"/>
      <c r="C35" s="187"/>
      <c r="D35" s="187"/>
      <c r="E35" s="188"/>
    </row>
    <row r="36" spans="1:5" s="5" customFormat="1" ht="18.75" customHeight="1">
      <c r="A36" s="15"/>
      <c r="B36" s="186"/>
      <c r="C36" s="187"/>
      <c r="D36" s="187"/>
      <c r="E36" s="188"/>
    </row>
    <row r="37" spans="1:5" s="5" customFormat="1" ht="18.75" customHeight="1">
      <c r="A37" s="15"/>
      <c r="B37" s="186"/>
      <c r="C37" s="187"/>
      <c r="D37" s="187"/>
      <c r="E37" s="188"/>
    </row>
    <row r="38" spans="1:5" s="5" customFormat="1" ht="18.75" customHeight="1">
      <c r="A38" s="15"/>
      <c r="B38" s="186"/>
      <c r="C38" s="187"/>
      <c r="D38" s="187"/>
      <c r="E38" s="188"/>
    </row>
    <row r="39" spans="1:5" s="5" customFormat="1" ht="18.75" customHeight="1">
      <c r="A39" s="15"/>
      <c r="B39" s="186"/>
      <c r="C39" s="187"/>
      <c r="D39" s="187"/>
      <c r="E39" s="188"/>
    </row>
    <row r="40" spans="1:5" s="5" customFormat="1" ht="18.75" customHeight="1">
      <c r="A40" s="15"/>
      <c r="B40" s="186"/>
      <c r="C40" s="187"/>
      <c r="D40" s="187"/>
      <c r="E40" s="188"/>
    </row>
    <row r="41" spans="1:5" s="5" customFormat="1" ht="18.75" customHeight="1">
      <c r="A41" s="15"/>
      <c r="B41" s="186"/>
      <c r="C41" s="187"/>
      <c r="D41" s="187"/>
      <c r="E41" s="188"/>
    </row>
    <row r="42" spans="1:5" s="5" customFormat="1" ht="18.75" customHeight="1">
      <c r="A42" s="15"/>
      <c r="B42" s="186"/>
      <c r="C42" s="187"/>
      <c r="D42" s="187"/>
      <c r="E42" s="188"/>
    </row>
    <row r="43" spans="1:5" s="5" customFormat="1" ht="18.75" customHeight="1">
      <c r="A43" s="15"/>
      <c r="B43" s="186"/>
      <c r="C43" s="187"/>
      <c r="D43" s="187"/>
      <c r="E43" s="188"/>
    </row>
    <row r="44" spans="1:5" s="5" customFormat="1" ht="18.75" customHeight="1">
      <c r="A44" s="15"/>
      <c r="B44" s="186"/>
      <c r="C44" s="187"/>
      <c r="D44" s="187"/>
      <c r="E44" s="188"/>
    </row>
    <row r="45" spans="1:5" ht="18.75" customHeight="1">
      <c r="A45" s="8"/>
      <c r="B45" s="186"/>
      <c r="C45" s="187"/>
      <c r="D45" s="187"/>
      <c r="E45" s="188"/>
    </row>
    <row r="46" spans="1:5" ht="18.75" customHeight="1">
      <c r="A46" s="8"/>
      <c r="B46" s="189"/>
      <c r="C46" s="190"/>
      <c r="D46" s="190"/>
      <c r="E46" s="191"/>
    </row>
    <row r="47" spans="1:5" s="5" customFormat="1" ht="18.75" customHeight="1">
      <c r="A47" s="7" t="s">
        <v>14</v>
      </c>
      <c r="B47" s="15" t="s">
        <v>256</v>
      </c>
      <c r="C47" s="7"/>
      <c r="D47" s="7"/>
      <c r="E47" s="7"/>
    </row>
    <row r="48" spans="1:5" ht="18.75" customHeight="1">
      <c r="A48" s="8"/>
      <c r="B48" s="183" t="s">
        <v>257</v>
      </c>
      <c r="C48" s="230"/>
      <c r="D48" s="230"/>
      <c r="E48" s="231"/>
    </row>
    <row r="49" spans="1:5" ht="18.75" customHeight="1">
      <c r="A49" s="8"/>
      <c r="B49" s="232"/>
      <c r="C49" s="233"/>
      <c r="D49" s="233"/>
      <c r="E49" s="234"/>
    </row>
    <row r="50" spans="1:5" ht="18.75" customHeight="1">
      <c r="A50" s="8"/>
      <c r="B50" s="232"/>
      <c r="C50" s="233"/>
      <c r="D50" s="233"/>
      <c r="E50" s="234"/>
    </row>
    <row r="51" spans="1:5" ht="18.75" customHeight="1">
      <c r="A51" s="8"/>
      <c r="B51" s="232"/>
      <c r="C51" s="233"/>
      <c r="D51" s="233"/>
      <c r="E51" s="234"/>
    </row>
    <row r="52" spans="1:5" ht="18.75" customHeight="1">
      <c r="A52" s="8"/>
      <c r="B52" s="232"/>
      <c r="C52" s="233"/>
      <c r="D52" s="233"/>
      <c r="E52" s="234"/>
    </row>
    <row r="53" spans="1:5" ht="18.75" customHeight="1">
      <c r="A53" s="8"/>
      <c r="B53" s="232"/>
      <c r="C53" s="233"/>
      <c r="D53" s="233"/>
      <c r="E53" s="234"/>
    </row>
    <row r="54" spans="1:5" ht="18.75" customHeight="1">
      <c r="A54" s="8"/>
      <c r="B54" s="232"/>
      <c r="C54" s="233"/>
      <c r="D54" s="233"/>
      <c r="E54" s="234"/>
    </row>
    <row r="55" spans="1:5" ht="18.75" customHeight="1">
      <c r="A55" s="8"/>
      <c r="B55" s="232"/>
      <c r="C55" s="233"/>
      <c r="D55" s="233"/>
      <c r="E55" s="234"/>
    </row>
    <row r="56" spans="1:5" ht="18.75" customHeight="1">
      <c r="A56" s="8"/>
      <c r="B56" s="232"/>
      <c r="C56" s="233"/>
      <c r="D56" s="233"/>
      <c r="E56" s="234"/>
    </row>
    <row r="57" spans="1:5" ht="18.75" customHeight="1">
      <c r="A57" s="8"/>
      <c r="B57" s="232"/>
      <c r="C57" s="233"/>
      <c r="D57" s="233"/>
      <c r="E57" s="234"/>
    </row>
    <row r="58" spans="1:5" ht="18.75" customHeight="1">
      <c r="A58" s="8"/>
      <c r="B58" s="232"/>
      <c r="C58" s="233"/>
      <c r="D58" s="233"/>
      <c r="E58" s="234"/>
    </row>
    <row r="59" spans="1:5" ht="18.75" customHeight="1">
      <c r="A59" s="8"/>
      <c r="B59" s="232"/>
      <c r="C59" s="233"/>
      <c r="D59" s="233"/>
      <c r="E59" s="234"/>
    </row>
    <row r="60" spans="1:5" ht="18.75" customHeight="1">
      <c r="A60" s="8"/>
      <c r="B60" s="232"/>
      <c r="C60" s="233"/>
      <c r="D60" s="233"/>
      <c r="E60" s="234"/>
    </row>
    <row r="61" spans="1:5" ht="18.75" customHeight="1">
      <c r="A61" s="8"/>
      <c r="B61" s="232"/>
      <c r="C61" s="233"/>
      <c r="D61" s="233"/>
      <c r="E61" s="234"/>
    </row>
    <row r="62" spans="1:5" ht="18.75" customHeight="1">
      <c r="A62" s="8"/>
      <c r="B62" s="232"/>
      <c r="C62" s="233"/>
      <c r="D62" s="233"/>
      <c r="E62" s="234"/>
    </row>
    <row r="63" spans="1:5" ht="18.75" customHeight="1">
      <c r="A63" s="8"/>
      <c r="B63" s="232"/>
      <c r="C63" s="233"/>
      <c r="D63" s="233"/>
      <c r="E63" s="234"/>
    </row>
    <row r="64" spans="1:5" ht="18.75" customHeight="1">
      <c r="A64" s="8"/>
      <c r="B64" s="232"/>
      <c r="C64" s="233"/>
      <c r="D64" s="233"/>
      <c r="E64" s="234"/>
    </row>
    <row r="65" spans="1:5" ht="18.75" customHeight="1">
      <c r="A65" s="8"/>
      <c r="B65" s="232"/>
      <c r="C65" s="233"/>
      <c r="D65" s="233"/>
      <c r="E65" s="234"/>
    </row>
    <row r="66" spans="1:5" ht="18.75" customHeight="1">
      <c r="A66" s="8"/>
      <c r="B66" s="232"/>
      <c r="C66" s="233"/>
      <c r="D66" s="233"/>
      <c r="E66" s="234"/>
    </row>
    <row r="67" spans="1:5" ht="18.75" customHeight="1">
      <c r="A67" s="8"/>
      <c r="B67" s="232"/>
      <c r="C67" s="233"/>
      <c r="D67" s="233"/>
      <c r="E67" s="234"/>
    </row>
    <row r="68" spans="1:5" ht="18.75" customHeight="1">
      <c r="A68" s="8"/>
      <c r="B68" s="235"/>
      <c r="C68" s="236"/>
      <c r="D68" s="236"/>
      <c r="E68" s="237"/>
    </row>
    <row r="69" spans="1:5" ht="7.5" customHeight="1">
      <c r="A69" s="8"/>
      <c r="B69" s="8"/>
      <c r="C69" s="8"/>
      <c r="D69" s="8"/>
      <c r="E69" s="8"/>
    </row>
    <row r="70" spans="1:5" s="5" customFormat="1" ht="18.75" customHeight="1">
      <c r="A70" s="15" t="s">
        <v>17</v>
      </c>
      <c r="B70" s="15" t="s">
        <v>258</v>
      </c>
      <c r="C70" s="15"/>
      <c r="D70" s="15"/>
      <c r="E70" s="15"/>
    </row>
    <row r="71" spans="1:5" s="5" customFormat="1" ht="18.75" customHeight="1">
      <c r="A71" s="15"/>
      <c r="B71" s="183" t="s">
        <v>259</v>
      </c>
      <c r="C71" s="184"/>
      <c r="D71" s="184"/>
      <c r="E71" s="185"/>
    </row>
    <row r="72" spans="1:5" s="5" customFormat="1" ht="18.75" customHeight="1">
      <c r="A72" s="15"/>
      <c r="B72" s="186"/>
      <c r="C72" s="187"/>
      <c r="D72" s="187"/>
      <c r="E72" s="188"/>
    </row>
    <row r="73" spans="1:5" s="5" customFormat="1" ht="18.75" customHeight="1">
      <c r="A73" s="15"/>
      <c r="B73" s="186"/>
      <c r="C73" s="187"/>
      <c r="D73" s="187"/>
      <c r="E73" s="188"/>
    </row>
    <row r="74" spans="1:5" s="5" customFormat="1" ht="18.75" customHeight="1">
      <c r="A74" s="15"/>
      <c r="B74" s="186"/>
      <c r="C74" s="187"/>
      <c r="D74" s="187"/>
      <c r="E74" s="188"/>
    </row>
    <row r="75" spans="1:5" s="5" customFormat="1" ht="18.75" customHeight="1">
      <c r="A75" s="15"/>
      <c r="B75" s="186"/>
      <c r="C75" s="187"/>
      <c r="D75" s="187"/>
      <c r="E75" s="188"/>
    </row>
    <row r="76" spans="1:5" s="5" customFormat="1" ht="18.75" customHeight="1">
      <c r="A76" s="15"/>
      <c r="B76" s="186"/>
      <c r="C76" s="187"/>
      <c r="D76" s="187"/>
      <c r="E76" s="188"/>
    </row>
    <row r="77" spans="1:5" s="5" customFormat="1" ht="18.75" customHeight="1">
      <c r="A77" s="15"/>
      <c r="B77" s="186"/>
      <c r="C77" s="187"/>
      <c r="D77" s="187"/>
      <c r="E77" s="188"/>
    </row>
    <row r="78" spans="1:5" s="5" customFormat="1" ht="18.75" customHeight="1">
      <c r="A78" s="15"/>
      <c r="B78" s="186"/>
      <c r="C78" s="187"/>
      <c r="D78" s="187"/>
      <c r="E78" s="188"/>
    </row>
    <row r="79" spans="1:5" s="5" customFormat="1" ht="18.75" customHeight="1">
      <c r="A79" s="15"/>
      <c r="B79" s="186"/>
      <c r="C79" s="187"/>
      <c r="D79" s="187"/>
      <c r="E79" s="188"/>
    </row>
    <row r="80" spans="1:5" s="5" customFormat="1" ht="18.75" customHeight="1">
      <c r="A80" s="15"/>
      <c r="B80" s="186"/>
      <c r="C80" s="187"/>
      <c r="D80" s="187"/>
      <c r="E80" s="188"/>
    </row>
    <row r="81" spans="1:5" s="5" customFormat="1" ht="18.75" customHeight="1">
      <c r="A81" s="15"/>
      <c r="B81" s="186"/>
      <c r="C81" s="187"/>
      <c r="D81" s="187"/>
      <c r="E81" s="188"/>
    </row>
    <row r="82" spans="1:5" s="5" customFormat="1" ht="18.75" customHeight="1">
      <c r="A82" s="15"/>
      <c r="B82" s="186"/>
      <c r="C82" s="187"/>
      <c r="D82" s="187"/>
      <c r="E82" s="188"/>
    </row>
    <row r="83" spans="1:5" s="5" customFormat="1" ht="18.75" customHeight="1">
      <c r="A83" s="15"/>
      <c r="B83" s="186"/>
      <c r="C83" s="187"/>
      <c r="D83" s="187"/>
      <c r="E83" s="188"/>
    </row>
    <row r="84" spans="1:5" s="5" customFormat="1" ht="18.75" customHeight="1">
      <c r="A84" s="15"/>
      <c r="B84" s="186"/>
      <c r="C84" s="187"/>
      <c r="D84" s="187"/>
      <c r="E84" s="188"/>
    </row>
    <row r="85" spans="1:5" s="5" customFormat="1" ht="18.75" customHeight="1">
      <c r="A85" s="15"/>
      <c r="B85" s="186"/>
      <c r="C85" s="187"/>
      <c r="D85" s="187"/>
      <c r="E85" s="188"/>
    </row>
    <row r="86" spans="1:5" s="5" customFormat="1" ht="18.75" customHeight="1">
      <c r="A86" s="15"/>
      <c r="B86" s="186"/>
      <c r="C86" s="187"/>
      <c r="D86" s="187"/>
      <c r="E86" s="188"/>
    </row>
    <row r="87" spans="1:5" s="5" customFormat="1" ht="18.75" customHeight="1">
      <c r="A87" s="15"/>
      <c r="B87" s="186"/>
      <c r="C87" s="187"/>
      <c r="D87" s="187"/>
      <c r="E87" s="188"/>
    </row>
    <row r="88" spans="1:5" ht="18.75" customHeight="1">
      <c r="A88" s="8"/>
      <c r="B88" s="186"/>
      <c r="C88" s="187"/>
      <c r="D88" s="187"/>
      <c r="E88" s="188"/>
    </row>
    <row r="89" spans="1:5" ht="18.75" customHeight="1">
      <c r="A89" s="8"/>
      <c r="B89" s="189"/>
      <c r="C89" s="190"/>
      <c r="D89" s="190"/>
      <c r="E89" s="191"/>
    </row>
    <row r="90" spans="1:5" ht="7.5" customHeight="1">
      <c r="A90" s="8"/>
      <c r="B90" s="8"/>
      <c r="C90" s="8"/>
      <c r="D90" s="8"/>
      <c r="E90" s="8"/>
    </row>
    <row r="91" spans="1:5" s="5" customFormat="1" ht="18.75" customHeight="1">
      <c r="A91" s="15" t="s">
        <v>20</v>
      </c>
      <c r="B91" s="15" t="s">
        <v>260</v>
      </c>
      <c r="C91" s="15"/>
      <c r="D91" s="15"/>
      <c r="E91" s="15"/>
    </row>
    <row r="92" spans="1:5" s="5" customFormat="1" ht="18.75" customHeight="1">
      <c r="A92" s="15"/>
      <c r="B92" s="183" t="s">
        <v>261</v>
      </c>
      <c r="C92" s="184"/>
      <c r="D92" s="184"/>
      <c r="E92" s="185"/>
    </row>
    <row r="93" spans="1:5" s="5" customFormat="1" ht="18.75" customHeight="1">
      <c r="A93" s="15"/>
      <c r="B93" s="186"/>
      <c r="C93" s="187"/>
      <c r="D93" s="187"/>
      <c r="E93" s="188"/>
    </row>
    <row r="94" spans="1:5" s="5" customFormat="1" ht="18.75" customHeight="1">
      <c r="A94" s="15"/>
      <c r="B94" s="186"/>
      <c r="C94" s="187"/>
      <c r="D94" s="187"/>
      <c r="E94" s="188"/>
    </row>
    <row r="95" spans="1:5" s="5" customFormat="1" ht="18.75" customHeight="1">
      <c r="A95" s="15"/>
      <c r="B95" s="186"/>
      <c r="C95" s="187"/>
      <c r="D95" s="187"/>
      <c r="E95" s="188"/>
    </row>
    <row r="96" spans="1:5" s="5" customFormat="1" ht="18.75" customHeight="1">
      <c r="A96" s="15"/>
      <c r="B96" s="186"/>
      <c r="C96" s="187"/>
      <c r="D96" s="187"/>
      <c r="E96" s="188"/>
    </row>
    <row r="97" spans="1:5" s="5" customFormat="1" ht="18.75" customHeight="1">
      <c r="A97" s="15"/>
      <c r="B97" s="186"/>
      <c r="C97" s="187"/>
      <c r="D97" s="187"/>
      <c r="E97" s="188"/>
    </row>
    <row r="98" spans="1:5" s="5" customFormat="1" ht="18.75" customHeight="1">
      <c r="A98" s="15"/>
      <c r="B98" s="186"/>
      <c r="C98" s="187"/>
      <c r="D98" s="187"/>
      <c r="E98" s="188"/>
    </row>
    <row r="99" spans="1:5" s="5" customFormat="1" ht="18.75" customHeight="1">
      <c r="A99" s="15"/>
      <c r="B99" s="186"/>
      <c r="C99" s="187"/>
      <c r="D99" s="187"/>
      <c r="E99" s="188"/>
    </row>
    <row r="100" spans="1:5" s="5" customFormat="1" ht="18.75" customHeight="1">
      <c r="A100" s="15"/>
      <c r="B100" s="186"/>
      <c r="C100" s="187"/>
      <c r="D100" s="187"/>
      <c r="E100" s="188"/>
    </row>
    <row r="101" spans="1:5" s="5" customFormat="1" ht="18.75" customHeight="1">
      <c r="A101" s="15"/>
      <c r="B101" s="186"/>
      <c r="C101" s="187"/>
      <c r="D101" s="187"/>
      <c r="E101" s="188"/>
    </row>
    <row r="102" spans="1:5" s="5" customFormat="1" ht="18.75" customHeight="1">
      <c r="A102" s="15"/>
      <c r="B102" s="186"/>
      <c r="C102" s="187"/>
      <c r="D102" s="187"/>
      <c r="E102" s="188"/>
    </row>
    <row r="103" spans="1:5" s="5" customFormat="1" ht="18.75" customHeight="1">
      <c r="A103" s="15"/>
      <c r="B103" s="186"/>
      <c r="C103" s="187"/>
      <c r="D103" s="187"/>
      <c r="E103" s="188"/>
    </row>
    <row r="104" spans="1:5" s="5" customFormat="1" ht="18.75" customHeight="1">
      <c r="A104" s="15"/>
      <c r="B104" s="186"/>
      <c r="C104" s="187"/>
      <c r="D104" s="187"/>
      <c r="E104" s="188"/>
    </row>
    <row r="105" spans="1:5" s="5" customFormat="1" ht="18.75" customHeight="1">
      <c r="A105" s="15"/>
      <c r="B105" s="186"/>
      <c r="C105" s="187"/>
      <c r="D105" s="187"/>
      <c r="E105" s="188"/>
    </row>
    <row r="106" spans="1:5" s="5" customFormat="1" ht="18.75" customHeight="1">
      <c r="A106" s="15"/>
      <c r="B106" s="186"/>
      <c r="C106" s="187"/>
      <c r="D106" s="187"/>
      <c r="E106" s="188"/>
    </row>
    <row r="107" spans="1:5" s="5" customFormat="1" ht="18.75" customHeight="1">
      <c r="A107" s="15"/>
      <c r="B107" s="186"/>
      <c r="C107" s="187"/>
      <c r="D107" s="187"/>
      <c r="E107" s="188"/>
    </row>
    <row r="108" spans="1:5" s="5" customFormat="1" ht="18.75" customHeight="1">
      <c r="A108" s="15"/>
      <c r="B108" s="186"/>
      <c r="C108" s="187"/>
      <c r="D108" s="187"/>
      <c r="E108" s="188"/>
    </row>
    <row r="109" spans="1:5" s="5" customFormat="1" ht="18.75" customHeight="1">
      <c r="A109" s="15"/>
      <c r="B109" s="186"/>
      <c r="C109" s="187"/>
      <c r="D109" s="187"/>
      <c r="E109" s="188"/>
    </row>
    <row r="110" spans="1:5" ht="18.75" customHeight="1">
      <c r="A110" s="8"/>
      <c r="B110" s="186"/>
      <c r="C110" s="187"/>
      <c r="D110" s="187"/>
      <c r="E110" s="188"/>
    </row>
    <row r="111" spans="1:5" ht="18.75" customHeight="1">
      <c r="A111" s="8"/>
      <c r="B111" s="189"/>
      <c r="C111" s="190"/>
      <c r="D111" s="190"/>
      <c r="E111" s="191"/>
    </row>
    <row r="112" spans="1:5" ht="7.5" customHeight="1">
      <c r="A112" s="8"/>
      <c r="B112" s="8"/>
      <c r="C112" s="8"/>
      <c r="D112" s="8"/>
      <c r="E112" s="8"/>
    </row>
    <row r="113" spans="1:5" s="5" customFormat="1" ht="18.75" customHeight="1">
      <c r="A113" s="15" t="s">
        <v>25</v>
      </c>
      <c r="B113" s="219" t="s">
        <v>262</v>
      </c>
      <c r="C113" s="219"/>
      <c r="D113" s="219"/>
      <c r="E113" s="219"/>
    </row>
    <row r="114" spans="1:5" ht="18.75" customHeight="1">
      <c r="A114" s="8"/>
      <c r="B114" s="183" t="s">
        <v>263</v>
      </c>
      <c r="C114" s="184"/>
      <c r="D114" s="184"/>
      <c r="E114" s="185"/>
    </row>
    <row r="115" spans="1:5" ht="18.75" customHeight="1">
      <c r="A115" s="8"/>
      <c r="B115" s="186"/>
      <c r="C115" s="187"/>
      <c r="D115" s="187"/>
      <c r="E115" s="188"/>
    </row>
    <row r="116" spans="1:5" ht="18.75" customHeight="1">
      <c r="A116" s="8"/>
      <c r="B116" s="186"/>
      <c r="C116" s="187"/>
      <c r="D116" s="187"/>
      <c r="E116" s="188"/>
    </row>
    <row r="117" spans="1:5" ht="18.75" customHeight="1">
      <c r="A117" s="8"/>
      <c r="B117" s="186"/>
      <c r="C117" s="187"/>
      <c r="D117" s="187"/>
      <c r="E117" s="188"/>
    </row>
    <row r="118" spans="1:5" ht="18.75" customHeight="1">
      <c r="A118" s="8"/>
      <c r="B118" s="186"/>
      <c r="C118" s="187"/>
      <c r="D118" s="187"/>
      <c r="E118" s="188"/>
    </row>
    <row r="119" spans="1:5" ht="18.75" customHeight="1">
      <c r="A119" s="8"/>
      <c r="B119" s="186"/>
      <c r="C119" s="187"/>
      <c r="D119" s="187"/>
      <c r="E119" s="188"/>
    </row>
    <row r="120" spans="1:5" ht="18.75" customHeight="1">
      <c r="A120" s="8"/>
      <c r="B120" s="186"/>
      <c r="C120" s="187"/>
      <c r="D120" s="187"/>
      <c r="E120" s="188"/>
    </row>
    <row r="121" spans="1:5" ht="18.75" customHeight="1">
      <c r="A121" s="8"/>
      <c r="B121" s="186"/>
      <c r="C121" s="187"/>
      <c r="D121" s="187"/>
      <c r="E121" s="188"/>
    </row>
    <row r="122" spans="1:5" ht="18.75" customHeight="1">
      <c r="A122" s="8"/>
      <c r="B122" s="186"/>
      <c r="C122" s="187"/>
      <c r="D122" s="187"/>
      <c r="E122" s="188"/>
    </row>
    <row r="123" spans="1:5" ht="18.75" customHeight="1">
      <c r="A123" s="8"/>
      <c r="B123" s="186"/>
      <c r="C123" s="187"/>
      <c r="D123" s="187"/>
      <c r="E123" s="188"/>
    </row>
    <row r="124" spans="1:5" ht="18.75" customHeight="1">
      <c r="A124" s="8"/>
      <c r="B124" s="186"/>
      <c r="C124" s="187"/>
      <c r="D124" s="187"/>
      <c r="E124" s="188"/>
    </row>
    <row r="125" spans="1:5" ht="18.75" customHeight="1">
      <c r="A125" s="8"/>
      <c r="B125" s="186"/>
      <c r="C125" s="187"/>
      <c r="D125" s="187"/>
      <c r="E125" s="188"/>
    </row>
    <row r="126" spans="1:5" ht="18.75" customHeight="1">
      <c r="A126" s="8"/>
      <c r="B126" s="186"/>
      <c r="C126" s="187"/>
      <c r="D126" s="187"/>
      <c r="E126" s="188"/>
    </row>
    <row r="127" spans="1:5" ht="18.75" customHeight="1">
      <c r="A127" s="8"/>
      <c r="B127" s="186"/>
      <c r="C127" s="187"/>
      <c r="D127" s="187"/>
      <c r="E127" s="188"/>
    </row>
    <row r="128" spans="1:5" ht="18.75" customHeight="1">
      <c r="A128" s="8"/>
      <c r="B128" s="186"/>
      <c r="C128" s="187"/>
      <c r="D128" s="187"/>
      <c r="E128" s="188"/>
    </row>
    <row r="129" spans="1:5" ht="18.75" customHeight="1">
      <c r="A129" s="8"/>
      <c r="B129" s="186"/>
      <c r="C129" s="187"/>
      <c r="D129" s="187"/>
      <c r="E129" s="188"/>
    </row>
    <row r="130" spans="1:5" ht="18.75" customHeight="1">
      <c r="A130" s="8"/>
      <c r="B130" s="186"/>
      <c r="C130" s="187"/>
      <c r="D130" s="187"/>
      <c r="E130" s="188"/>
    </row>
    <row r="131" spans="1:5" ht="18.75" customHeight="1">
      <c r="A131" s="8"/>
      <c r="B131" s="186"/>
      <c r="C131" s="187"/>
      <c r="D131" s="187"/>
      <c r="E131" s="188"/>
    </row>
    <row r="132" spans="1:5" ht="18.75" customHeight="1">
      <c r="A132" s="8"/>
      <c r="B132" s="186"/>
      <c r="C132" s="187"/>
      <c r="D132" s="187"/>
      <c r="E132" s="188"/>
    </row>
    <row r="133" spans="1:5" ht="18.75" customHeight="1">
      <c r="A133" s="8"/>
      <c r="B133" s="189"/>
      <c r="C133" s="190"/>
      <c r="D133" s="190"/>
      <c r="E133" s="191"/>
    </row>
    <row r="134" spans="1:5" ht="7.5" customHeight="1">
      <c r="A134" s="8"/>
      <c r="B134" s="12"/>
      <c r="C134" s="12"/>
      <c r="D134" s="12"/>
      <c r="E134" s="12"/>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Zeros="0" zoomScale="85" zoomScaleNormal="85" workbookViewId="0">
      <selection activeCell="M17" sqref="M17"/>
    </sheetView>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J1" s="107" t="s">
        <v>264</v>
      </c>
    </row>
    <row r="2" spans="1:10" ht="18.75" customHeight="1">
      <c r="D2" s="107"/>
      <c r="H2" s="107" t="s">
        <v>265</v>
      </c>
      <c r="I2" s="220" t="s">
        <v>4</v>
      </c>
      <c r="J2" s="220"/>
    </row>
    <row r="3" spans="1:10" ht="18.75" customHeight="1">
      <c r="A3" s="177" t="s">
        <v>266</v>
      </c>
      <c r="B3" s="177"/>
      <c r="C3" s="177"/>
      <c r="D3" s="177"/>
      <c r="E3" s="177"/>
      <c r="F3" s="177"/>
      <c r="G3" s="177"/>
      <c r="H3" s="177"/>
      <c r="I3" s="177"/>
      <c r="J3" s="177"/>
    </row>
    <row r="4" spans="1:10" ht="7.5" customHeight="1">
      <c r="B4" s="112"/>
      <c r="C4" s="112"/>
      <c r="D4" s="257"/>
      <c r="E4" s="258"/>
      <c r="F4" s="258"/>
      <c r="G4" s="258"/>
      <c r="H4" s="258"/>
      <c r="I4" s="258"/>
      <c r="J4" s="258"/>
    </row>
    <row r="5" spans="1:10" ht="18.75" customHeight="1">
      <c r="A5" s="1" t="s">
        <v>2</v>
      </c>
      <c r="B5" s="5" t="s">
        <v>267</v>
      </c>
      <c r="C5" s="112"/>
      <c r="D5" s="112"/>
      <c r="E5" s="113"/>
      <c r="F5" s="113"/>
      <c r="G5" s="113"/>
      <c r="H5" s="113"/>
      <c r="I5" s="113"/>
      <c r="J5" s="113"/>
    </row>
    <row r="6" spans="1:10" ht="18.75" customHeight="1">
      <c r="B6" s="192" t="s">
        <v>268</v>
      </c>
      <c r="C6" s="193"/>
      <c r="D6" s="194"/>
      <c r="E6" s="259" t="s">
        <v>269</v>
      </c>
      <c r="F6" s="259"/>
      <c r="G6" s="259"/>
      <c r="H6" s="259"/>
      <c r="I6" s="259"/>
      <c r="J6" s="260"/>
    </row>
    <row r="7" spans="1:10" ht="18.75" customHeight="1">
      <c r="B7" s="6" t="s">
        <v>270</v>
      </c>
      <c r="C7" s="8"/>
      <c r="D7" s="19"/>
      <c r="E7" s="3"/>
      <c r="F7" s="3"/>
      <c r="G7" s="3"/>
      <c r="H7" s="3"/>
      <c r="I7" s="16"/>
      <c r="J7" s="17"/>
    </row>
    <row r="8" spans="1:10" ht="202.5" customHeight="1">
      <c r="B8" s="18"/>
      <c r="C8" s="243" t="s">
        <v>271</v>
      </c>
      <c r="D8" s="244"/>
      <c r="E8" s="256" t="s">
        <v>272</v>
      </c>
      <c r="F8" s="245"/>
      <c r="G8" s="245"/>
      <c r="H8" s="245"/>
      <c r="I8" s="245"/>
      <c r="J8" s="246"/>
    </row>
    <row r="9" spans="1:10" ht="202.5" customHeight="1">
      <c r="B9" s="18"/>
      <c r="C9" s="241" t="s">
        <v>273</v>
      </c>
      <c r="D9" s="242"/>
      <c r="E9" s="256" t="s">
        <v>274</v>
      </c>
      <c r="F9" s="245"/>
      <c r="G9" s="245"/>
      <c r="H9" s="245"/>
      <c r="I9" s="245"/>
      <c r="J9" s="246"/>
    </row>
    <row r="10" spans="1:10" ht="172.5" customHeight="1">
      <c r="B10" s="18"/>
      <c r="C10" s="243" t="s">
        <v>275</v>
      </c>
      <c r="D10" s="244"/>
      <c r="E10" s="256" t="s">
        <v>276</v>
      </c>
      <c r="F10" s="245"/>
      <c r="G10" s="245"/>
      <c r="H10" s="245"/>
      <c r="I10" s="245"/>
      <c r="J10" s="246"/>
    </row>
    <row r="11" spans="1:10" ht="172.5" customHeight="1">
      <c r="B11" s="18"/>
      <c r="C11" s="243" t="s">
        <v>277</v>
      </c>
      <c r="D11" s="244"/>
      <c r="E11" s="256" t="s">
        <v>278</v>
      </c>
      <c r="F11" s="245"/>
      <c r="G11" s="245"/>
      <c r="H11" s="245"/>
      <c r="I11" s="245"/>
      <c r="J11" s="246"/>
    </row>
    <row r="12" spans="1:10" ht="172.5" customHeight="1">
      <c r="B12" s="18"/>
      <c r="C12" s="243" t="s">
        <v>279</v>
      </c>
      <c r="D12" s="244"/>
      <c r="E12" s="256" t="s">
        <v>280</v>
      </c>
      <c r="F12" s="245"/>
      <c r="G12" s="245"/>
      <c r="H12" s="245"/>
      <c r="I12" s="245"/>
      <c r="J12" s="246"/>
    </row>
    <row r="13" spans="1:10" ht="18.75" customHeight="1">
      <c r="B13" s="21" t="s">
        <v>281</v>
      </c>
      <c r="C13" s="46"/>
      <c r="D13" s="20"/>
      <c r="E13" s="58"/>
      <c r="F13" s="58"/>
      <c r="G13" s="58"/>
      <c r="H13" s="58"/>
      <c r="I13" s="58"/>
      <c r="J13" s="59"/>
    </row>
    <row r="14" spans="1:10" ht="255" customHeight="1">
      <c r="B14" s="18"/>
      <c r="C14" s="243" t="s">
        <v>282</v>
      </c>
      <c r="D14" s="244"/>
      <c r="E14" s="245" t="s">
        <v>283</v>
      </c>
      <c r="F14" s="245"/>
      <c r="G14" s="245"/>
      <c r="H14" s="245"/>
      <c r="I14" s="245"/>
      <c r="J14" s="246"/>
    </row>
    <row r="15" spans="1:10" ht="255" customHeight="1">
      <c r="B15" s="18"/>
      <c r="C15" s="247" t="s">
        <v>284</v>
      </c>
      <c r="D15" s="248"/>
      <c r="E15" s="249" t="s">
        <v>285</v>
      </c>
      <c r="F15" s="249"/>
      <c r="G15" s="249"/>
      <c r="H15" s="249"/>
      <c r="I15" s="249"/>
      <c r="J15" s="250"/>
    </row>
    <row r="16" spans="1:10" ht="232.5" customHeight="1">
      <c r="B16" s="251" t="s">
        <v>286</v>
      </c>
      <c r="C16" s="252"/>
      <c r="D16" s="244"/>
      <c r="E16" s="245" t="s">
        <v>287</v>
      </c>
      <c r="F16" s="245"/>
      <c r="G16" s="245"/>
      <c r="H16" s="245"/>
      <c r="I16" s="245"/>
      <c r="J16" s="246"/>
    </row>
    <row r="17" spans="1:10" ht="232.5" customHeight="1">
      <c r="A17" s="56"/>
      <c r="B17" s="238" t="s">
        <v>288</v>
      </c>
      <c r="C17" s="239"/>
      <c r="D17" s="240"/>
      <c r="E17" s="236" t="s">
        <v>289</v>
      </c>
      <c r="F17" s="236"/>
      <c r="G17" s="236"/>
      <c r="H17" s="236"/>
      <c r="I17" s="236"/>
      <c r="J17" s="237"/>
    </row>
    <row r="18" spans="1:10" ht="7.5" customHeight="1">
      <c r="B18" s="112"/>
      <c r="C18" s="112"/>
      <c r="D18" s="112"/>
      <c r="E18" s="113"/>
      <c r="F18" s="113"/>
      <c r="G18" s="113"/>
      <c r="H18" s="113"/>
      <c r="I18" s="113"/>
      <c r="J18" s="113"/>
    </row>
    <row r="19" spans="1:10" ht="18.75" customHeight="1">
      <c r="B19" s="5"/>
      <c r="C19" s="112"/>
      <c r="D19" s="112"/>
      <c r="E19" s="113"/>
      <c r="F19" s="48"/>
      <c r="G19" s="48"/>
      <c r="H19" s="65" t="s">
        <v>290</v>
      </c>
      <c r="I19" s="60"/>
      <c r="J19" s="61"/>
    </row>
    <row r="20" spans="1:10" ht="18.75" customHeight="1">
      <c r="A20" s="3" t="s">
        <v>5</v>
      </c>
      <c r="B20" s="62" t="s">
        <v>291</v>
      </c>
      <c r="C20" s="63"/>
      <c r="D20" s="63"/>
      <c r="E20" s="64"/>
      <c r="F20" s="57" t="s">
        <v>292</v>
      </c>
      <c r="G20" s="48"/>
      <c r="H20" s="253" t="s">
        <v>293</v>
      </c>
      <c r="I20" s="254"/>
      <c r="J20" s="255"/>
    </row>
    <row r="21" spans="1:10" ht="22.5" customHeight="1">
      <c r="B21" s="112"/>
      <c r="C21" s="112"/>
      <c r="D21" s="112"/>
      <c r="E21" s="113"/>
      <c r="F21" s="113"/>
      <c r="G21" s="113"/>
      <c r="H21" s="113"/>
      <c r="I21" s="113"/>
      <c r="J21" s="113"/>
    </row>
    <row r="22" spans="1:10" ht="22.5" customHeight="1">
      <c r="B22" s="112"/>
      <c r="C22" s="112"/>
      <c r="D22" s="112"/>
      <c r="E22" s="113"/>
      <c r="F22" s="113"/>
      <c r="G22" s="113"/>
      <c r="H22" s="113"/>
      <c r="I22" s="113"/>
      <c r="J22" s="113"/>
    </row>
    <row r="23" spans="1:10" ht="22.5" customHeight="1">
      <c r="B23" s="112"/>
      <c r="C23" s="112"/>
      <c r="D23" s="112"/>
      <c r="E23" s="113"/>
      <c r="F23" s="113"/>
      <c r="G23" s="113"/>
      <c r="H23" s="113"/>
      <c r="I23" s="113"/>
      <c r="J23" s="113"/>
    </row>
    <row r="24" spans="1:10" ht="22.5" customHeight="1">
      <c r="B24" s="112"/>
      <c r="C24" s="112"/>
      <c r="D24" s="112"/>
      <c r="E24" s="113"/>
      <c r="F24" s="113"/>
      <c r="G24" s="113"/>
      <c r="H24" s="113"/>
      <c r="I24" s="113"/>
      <c r="J24" s="113"/>
    </row>
    <row r="25" spans="1:10" ht="22.5" customHeight="1">
      <c r="B25" s="112"/>
      <c r="C25" s="112"/>
      <c r="D25" s="112"/>
      <c r="E25" s="113"/>
      <c r="F25" s="113"/>
      <c r="G25" s="113"/>
      <c r="H25" s="113"/>
      <c r="I25" s="113"/>
      <c r="J25" s="113"/>
    </row>
    <row r="26" spans="1:10" ht="22.5" customHeight="1">
      <c r="B26" s="14"/>
      <c r="C26" s="14"/>
      <c r="D26" s="14"/>
      <c r="E26" s="14"/>
      <c r="F26" s="14"/>
      <c r="G26" s="14"/>
      <c r="H26" s="14"/>
      <c r="I26" s="14"/>
      <c r="J26" s="14"/>
    </row>
    <row r="27" spans="1:10" ht="22.5" customHeight="1">
      <c r="B27" s="14"/>
      <c r="C27" s="14"/>
      <c r="D27" s="14"/>
      <c r="E27" s="14"/>
      <c r="F27" s="14"/>
      <c r="G27" s="14"/>
      <c r="H27" s="14"/>
      <c r="I27" s="14"/>
      <c r="J27" s="14"/>
    </row>
    <row r="28" spans="1:10" ht="22.5" customHeight="1">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hyperlinks>
    <hyperlink ref="H20" r:id="rId1" xr:uid="{00000000-0004-0000-07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0"/>
  <sheetViews>
    <sheetView showZeros="0" workbookViewId="0">
      <selection activeCell="N16" sqref="N16"/>
    </sheetView>
  </sheetViews>
  <sheetFormatPr defaultColWidth="11.375" defaultRowHeight="18.75" customHeight="1"/>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c r="E1" s="167" t="s">
        <v>294</v>
      </c>
      <c r="F1" s="167"/>
    </row>
    <row r="2" spans="1:6" ht="18.75" customHeight="1">
      <c r="C2" s="107" t="s">
        <v>245</v>
      </c>
      <c r="D2" s="107" t="s">
        <v>246</v>
      </c>
      <c r="E2" s="207"/>
      <c r="F2" s="207"/>
    </row>
    <row r="3" spans="1:6" ht="7.5" customHeight="1">
      <c r="C3" s="107"/>
      <c r="D3" s="107"/>
      <c r="E3" s="111"/>
      <c r="F3" s="111"/>
    </row>
    <row r="4" spans="1:6" ht="18.75" customHeight="1">
      <c r="A4" s="177" t="s">
        <v>295</v>
      </c>
      <c r="B4" s="177"/>
      <c r="C4" s="177"/>
      <c r="D4" s="177"/>
      <c r="E4" s="177"/>
      <c r="F4" s="177"/>
    </row>
    <row r="5" spans="1:6" ht="7.5" customHeight="1">
      <c r="A5" s="108"/>
      <c r="B5" s="108"/>
      <c r="C5" s="108"/>
      <c r="D5" s="108"/>
      <c r="E5" s="108"/>
      <c r="F5" s="108"/>
    </row>
    <row r="6" spans="1:6" ht="18.75" customHeight="1">
      <c r="A6" s="108" t="s">
        <v>2</v>
      </c>
      <c r="B6" s="5" t="s">
        <v>296</v>
      </c>
      <c r="C6" s="108"/>
      <c r="D6" s="108"/>
      <c r="E6" s="108"/>
      <c r="F6" s="108"/>
    </row>
    <row r="7" spans="1:6" ht="18.75" customHeight="1">
      <c r="A7" s="108"/>
      <c r="B7" s="261"/>
      <c r="C7" s="222"/>
      <c r="D7" s="222"/>
      <c r="E7" s="222"/>
      <c r="F7" s="223"/>
    </row>
    <row r="8" spans="1:6" ht="18.75" customHeight="1">
      <c r="A8" s="108"/>
      <c r="B8" s="224"/>
      <c r="C8" s="225"/>
      <c r="D8" s="225"/>
      <c r="E8" s="225"/>
      <c r="F8" s="226"/>
    </row>
    <row r="9" spans="1:6" ht="18.75" customHeight="1">
      <c r="A9" s="108"/>
      <c r="B9" s="224"/>
      <c r="C9" s="225"/>
      <c r="D9" s="225"/>
      <c r="E9" s="225"/>
      <c r="F9" s="226"/>
    </row>
    <row r="10" spans="1:6" ht="18.75" customHeight="1">
      <c r="A10" s="108"/>
      <c r="B10" s="224"/>
      <c r="C10" s="225"/>
      <c r="D10" s="225"/>
      <c r="E10" s="225"/>
      <c r="F10" s="226"/>
    </row>
    <row r="11" spans="1:6" ht="18.75" customHeight="1">
      <c r="A11" s="108"/>
      <c r="B11" s="224"/>
      <c r="C11" s="225"/>
      <c r="D11" s="225"/>
      <c r="E11" s="225"/>
      <c r="F11" s="226"/>
    </row>
    <row r="12" spans="1:6" ht="18.75" customHeight="1">
      <c r="A12" s="108"/>
      <c r="B12" s="224"/>
      <c r="C12" s="225"/>
      <c r="D12" s="225"/>
      <c r="E12" s="225"/>
      <c r="F12" s="226"/>
    </row>
    <row r="13" spans="1:6" ht="18.75" customHeight="1">
      <c r="A13" s="108"/>
      <c r="B13" s="224"/>
      <c r="C13" s="225"/>
      <c r="D13" s="225"/>
      <c r="E13" s="225"/>
      <c r="F13" s="226"/>
    </row>
    <row r="14" spans="1:6" ht="18.75" customHeight="1">
      <c r="A14" s="108"/>
      <c r="B14" s="224"/>
      <c r="C14" s="225"/>
      <c r="D14" s="225"/>
      <c r="E14" s="225"/>
      <c r="F14" s="226"/>
    </row>
    <row r="15" spans="1:6" ht="18.75" customHeight="1">
      <c r="A15" s="108"/>
      <c r="B15" s="224"/>
      <c r="C15" s="225"/>
      <c r="D15" s="225"/>
      <c r="E15" s="225"/>
      <c r="F15" s="226"/>
    </row>
    <row r="16" spans="1:6" ht="18.75" customHeight="1">
      <c r="A16" s="108"/>
      <c r="B16" s="224"/>
      <c r="C16" s="225"/>
      <c r="D16" s="225"/>
      <c r="E16" s="225"/>
      <c r="F16" s="226"/>
    </row>
    <row r="17" spans="1:6" ht="18.75" customHeight="1">
      <c r="A17" s="108"/>
      <c r="B17" s="224"/>
      <c r="C17" s="225"/>
      <c r="D17" s="225"/>
      <c r="E17" s="225"/>
      <c r="F17" s="226"/>
    </row>
    <row r="18" spans="1:6" ht="18.75" customHeight="1">
      <c r="A18" s="108"/>
      <c r="B18" s="224"/>
      <c r="C18" s="225"/>
      <c r="D18" s="225"/>
      <c r="E18" s="225"/>
      <c r="F18" s="226"/>
    </row>
    <row r="19" spans="1:6" ht="18.75" customHeight="1">
      <c r="A19" s="108"/>
      <c r="B19" s="224"/>
      <c r="C19" s="225"/>
      <c r="D19" s="225"/>
      <c r="E19" s="225"/>
      <c r="F19" s="226"/>
    </row>
    <row r="20" spans="1:6" ht="18.75" customHeight="1">
      <c r="A20" s="108"/>
      <c r="B20" s="224"/>
      <c r="C20" s="225"/>
      <c r="D20" s="225"/>
      <c r="E20" s="225"/>
      <c r="F20" s="226"/>
    </row>
    <row r="21" spans="1:6" ht="18.75" customHeight="1">
      <c r="A21" s="108"/>
      <c r="B21" s="224"/>
      <c r="C21" s="225"/>
      <c r="D21" s="225"/>
      <c r="E21" s="225"/>
      <c r="F21" s="226"/>
    </row>
    <row r="22" spans="1:6" ht="18.75" customHeight="1">
      <c r="A22" s="108"/>
      <c r="B22" s="224"/>
      <c r="C22" s="225"/>
      <c r="D22" s="225"/>
      <c r="E22" s="225"/>
      <c r="F22" s="226"/>
    </row>
    <row r="23" spans="1:6" ht="18.75" customHeight="1">
      <c r="A23" s="108"/>
      <c r="B23" s="224"/>
      <c r="C23" s="225"/>
      <c r="D23" s="225"/>
      <c r="E23" s="225"/>
      <c r="F23" s="226"/>
    </row>
    <row r="24" spans="1:6" ht="18.75" customHeight="1">
      <c r="A24" s="108"/>
      <c r="B24" s="224"/>
      <c r="C24" s="225"/>
      <c r="D24" s="225"/>
      <c r="E24" s="225"/>
      <c r="F24" s="226"/>
    </row>
    <row r="25" spans="1:6" ht="18.75" customHeight="1">
      <c r="A25" s="108"/>
      <c r="B25" s="224"/>
      <c r="C25" s="225"/>
      <c r="D25" s="225"/>
      <c r="E25" s="225"/>
      <c r="F25" s="226"/>
    </row>
    <row r="26" spans="1:6" ht="18.75" customHeight="1">
      <c r="A26" s="108"/>
      <c r="B26" s="224"/>
      <c r="C26" s="225"/>
      <c r="D26" s="225"/>
      <c r="E26" s="225"/>
      <c r="F26" s="226"/>
    </row>
    <row r="27" spans="1:6" ht="18.75" customHeight="1">
      <c r="A27" s="108"/>
      <c r="B27" s="224"/>
      <c r="C27" s="225"/>
      <c r="D27" s="225"/>
      <c r="E27" s="225"/>
      <c r="F27" s="226"/>
    </row>
    <row r="28" spans="1:6" ht="18.75" customHeight="1">
      <c r="A28" s="108"/>
      <c r="B28" s="224"/>
      <c r="C28" s="225"/>
      <c r="D28" s="225"/>
      <c r="E28" s="225"/>
      <c r="F28" s="226"/>
    </row>
    <row r="29" spans="1:6" ht="18.75" customHeight="1">
      <c r="A29" s="108"/>
      <c r="B29" s="224"/>
      <c r="C29" s="225"/>
      <c r="D29" s="225"/>
      <c r="E29" s="225"/>
      <c r="F29" s="226"/>
    </row>
    <row r="30" spans="1:6" ht="18.75" customHeight="1">
      <c r="A30" s="108"/>
      <c r="B30" s="224"/>
      <c r="C30" s="225"/>
      <c r="D30" s="225"/>
      <c r="E30" s="225"/>
      <c r="F30" s="226"/>
    </row>
    <row r="31" spans="1:6" ht="18.75" customHeight="1">
      <c r="A31" s="108"/>
      <c r="B31" s="224"/>
      <c r="C31" s="225"/>
      <c r="D31" s="225"/>
      <c r="E31" s="225"/>
      <c r="F31" s="226"/>
    </row>
    <row r="32" spans="1:6" ht="18.75" customHeight="1">
      <c r="A32" s="108"/>
      <c r="B32" s="224"/>
      <c r="C32" s="225"/>
      <c r="D32" s="225"/>
      <c r="E32" s="225"/>
      <c r="F32" s="226"/>
    </row>
    <row r="33" spans="1:6" ht="18.75" customHeight="1">
      <c r="A33" s="108"/>
      <c r="B33" s="224"/>
      <c r="C33" s="225"/>
      <c r="D33" s="225"/>
      <c r="E33" s="225"/>
      <c r="F33" s="226"/>
    </row>
    <row r="34" spans="1:6" ht="18.75" customHeight="1">
      <c r="A34" s="108"/>
      <c r="B34" s="224"/>
      <c r="C34" s="225"/>
      <c r="D34" s="225"/>
      <c r="E34" s="225"/>
      <c r="F34" s="226"/>
    </row>
    <row r="35" spans="1:6" ht="18.75" customHeight="1">
      <c r="A35" s="108"/>
      <c r="B35" s="224"/>
      <c r="C35" s="225"/>
      <c r="D35" s="225"/>
      <c r="E35" s="225"/>
      <c r="F35" s="226"/>
    </row>
    <row r="36" spans="1:6" ht="18.75" customHeight="1">
      <c r="A36" s="108"/>
      <c r="B36" s="224"/>
      <c r="C36" s="225"/>
      <c r="D36" s="225"/>
      <c r="E36" s="225"/>
      <c r="F36" s="226"/>
    </row>
    <row r="37" spans="1:6" ht="18.75" customHeight="1">
      <c r="A37" s="108"/>
      <c r="B37" s="224"/>
      <c r="C37" s="225"/>
      <c r="D37" s="225"/>
      <c r="E37" s="225"/>
      <c r="F37" s="226"/>
    </row>
    <row r="38" spans="1:6" ht="18.75" customHeight="1">
      <c r="A38" s="108"/>
      <c r="B38" s="224"/>
      <c r="C38" s="225"/>
      <c r="D38" s="225"/>
      <c r="E38" s="225"/>
      <c r="F38" s="226"/>
    </row>
    <row r="39" spans="1:6" ht="18.75" customHeight="1">
      <c r="A39" s="108"/>
      <c r="B39" s="224"/>
      <c r="C39" s="225"/>
      <c r="D39" s="225"/>
      <c r="E39" s="225"/>
      <c r="F39" s="226"/>
    </row>
    <row r="40" spans="1:6" ht="18.75" customHeight="1">
      <c r="A40" s="108"/>
      <c r="B40" s="224"/>
      <c r="C40" s="225"/>
      <c r="D40" s="225"/>
      <c r="E40" s="225"/>
      <c r="F40" s="226"/>
    </row>
    <row r="41" spans="1:6" ht="18.75" customHeight="1">
      <c r="A41" s="108"/>
      <c r="B41" s="224"/>
      <c r="C41" s="225"/>
      <c r="D41" s="225"/>
      <c r="E41" s="225"/>
      <c r="F41" s="226"/>
    </row>
    <row r="42" spans="1:6" ht="18.75" customHeight="1">
      <c r="A42" s="108"/>
      <c r="B42" s="224"/>
      <c r="C42" s="225"/>
      <c r="D42" s="225"/>
      <c r="E42" s="225"/>
      <c r="F42" s="226"/>
    </row>
    <row r="43" spans="1:6" ht="18.75" customHeight="1">
      <c r="A43" s="108"/>
      <c r="B43" s="224"/>
      <c r="C43" s="225"/>
      <c r="D43" s="225"/>
      <c r="E43" s="225"/>
      <c r="F43" s="226"/>
    </row>
    <row r="44" spans="1:6" ht="18.75" customHeight="1">
      <c r="A44" s="108"/>
      <c r="B44" s="227"/>
      <c r="C44" s="228"/>
      <c r="D44" s="228"/>
      <c r="E44" s="228"/>
      <c r="F44" s="229"/>
    </row>
    <row r="45" spans="1:6" ht="18.75" customHeight="1">
      <c r="A45" s="108" t="s">
        <v>5</v>
      </c>
      <c r="B45" s="5" t="s">
        <v>297</v>
      </c>
      <c r="C45" s="108"/>
      <c r="D45" s="108"/>
      <c r="E45" s="108"/>
      <c r="F45" s="108"/>
    </row>
    <row r="46" spans="1:6" ht="18.75" customHeight="1">
      <c r="A46" s="108"/>
      <c r="B46" s="261"/>
      <c r="C46" s="222"/>
      <c r="D46" s="222"/>
      <c r="E46" s="222"/>
      <c r="F46" s="223"/>
    </row>
    <row r="47" spans="1:6" ht="18.75" customHeight="1">
      <c r="A47" s="108"/>
      <c r="B47" s="224"/>
      <c r="C47" s="225"/>
      <c r="D47" s="225"/>
      <c r="E47" s="225"/>
      <c r="F47" s="226"/>
    </row>
    <row r="48" spans="1:6" ht="18.75" customHeight="1">
      <c r="A48" s="108"/>
      <c r="B48" s="224"/>
      <c r="C48" s="225"/>
      <c r="D48" s="225"/>
      <c r="E48" s="225"/>
      <c r="F48" s="226"/>
    </row>
    <row r="49" spans="1:6" ht="18.75" customHeight="1">
      <c r="A49" s="108"/>
      <c r="B49" s="224"/>
      <c r="C49" s="225"/>
      <c r="D49" s="225"/>
      <c r="E49" s="225"/>
      <c r="F49" s="226"/>
    </row>
    <row r="50" spans="1:6" ht="18.75" customHeight="1">
      <c r="A50" s="108"/>
      <c r="B50" s="224"/>
      <c r="C50" s="225"/>
      <c r="D50" s="225"/>
      <c r="E50" s="225"/>
      <c r="F50" s="226"/>
    </row>
    <row r="51" spans="1:6" ht="18.75" customHeight="1">
      <c r="A51" s="108"/>
      <c r="B51" s="224"/>
      <c r="C51" s="225"/>
      <c r="D51" s="225"/>
      <c r="E51" s="225"/>
      <c r="F51" s="226"/>
    </row>
    <row r="52" spans="1:6" ht="18.75" customHeight="1">
      <c r="A52" s="108"/>
      <c r="B52" s="224"/>
      <c r="C52" s="225"/>
      <c r="D52" s="225"/>
      <c r="E52" s="225"/>
      <c r="F52" s="226"/>
    </row>
    <row r="53" spans="1:6" ht="18.75" customHeight="1">
      <c r="A53" s="108"/>
      <c r="B53" s="224"/>
      <c r="C53" s="225"/>
      <c r="D53" s="225"/>
      <c r="E53" s="225"/>
      <c r="F53" s="226"/>
    </row>
    <row r="54" spans="1:6" ht="18.75" customHeight="1">
      <c r="A54" s="108"/>
      <c r="B54" s="224"/>
      <c r="C54" s="225"/>
      <c r="D54" s="225"/>
      <c r="E54" s="225"/>
      <c r="F54" s="226"/>
    </row>
    <row r="55" spans="1:6" ht="18.75" customHeight="1">
      <c r="A55" s="108"/>
      <c r="B55" s="224"/>
      <c r="C55" s="225"/>
      <c r="D55" s="225"/>
      <c r="E55" s="225"/>
      <c r="F55" s="226"/>
    </row>
    <row r="56" spans="1:6" ht="18.75" customHeight="1">
      <c r="A56" s="108"/>
      <c r="B56" s="224"/>
      <c r="C56" s="225"/>
      <c r="D56" s="225"/>
      <c r="E56" s="225"/>
      <c r="F56" s="226"/>
    </row>
    <row r="57" spans="1:6" ht="18.75" customHeight="1">
      <c r="A57" s="108"/>
      <c r="B57" s="224"/>
      <c r="C57" s="225"/>
      <c r="D57" s="225"/>
      <c r="E57" s="225"/>
      <c r="F57" s="226"/>
    </row>
    <row r="58" spans="1:6" ht="18.75" customHeight="1">
      <c r="A58" s="108"/>
      <c r="B58" s="224"/>
      <c r="C58" s="225"/>
      <c r="D58" s="225"/>
      <c r="E58" s="225"/>
      <c r="F58" s="226"/>
    </row>
    <row r="59" spans="1:6" ht="18.75" customHeight="1">
      <c r="A59" s="108"/>
      <c r="B59" s="224"/>
      <c r="C59" s="225"/>
      <c r="D59" s="225"/>
      <c r="E59" s="225"/>
      <c r="F59" s="226"/>
    </row>
    <row r="60" spans="1:6" ht="18.75" customHeight="1">
      <c r="A60" s="108"/>
      <c r="B60" s="224"/>
      <c r="C60" s="225"/>
      <c r="D60" s="225"/>
      <c r="E60" s="225"/>
      <c r="F60" s="226"/>
    </row>
    <row r="61" spans="1:6" ht="18.75" customHeight="1">
      <c r="A61" s="108"/>
      <c r="B61" s="224"/>
      <c r="C61" s="225"/>
      <c r="D61" s="225"/>
      <c r="E61" s="225"/>
      <c r="F61" s="226"/>
    </row>
    <row r="62" spans="1:6" ht="18.75" customHeight="1">
      <c r="A62" s="108"/>
      <c r="B62" s="224"/>
      <c r="C62" s="225"/>
      <c r="D62" s="225"/>
      <c r="E62" s="225"/>
      <c r="F62" s="226"/>
    </row>
    <row r="63" spans="1:6" ht="18.75" customHeight="1">
      <c r="A63" s="108"/>
      <c r="B63" s="224"/>
      <c r="C63" s="225"/>
      <c r="D63" s="225"/>
      <c r="E63" s="225"/>
      <c r="F63" s="226"/>
    </row>
    <row r="64" spans="1:6" ht="18.75" customHeight="1">
      <c r="A64" s="108"/>
      <c r="B64" s="224"/>
      <c r="C64" s="225"/>
      <c r="D64" s="225"/>
      <c r="E64" s="225"/>
      <c r="F64" s="226"/>
    </row>
    <row r="65" spans="1:6" ht="18.75" customHeight="1">
      <c r="A65" s="108"/>
      <c r="B65" s="224"/>
      <c r="C65" s="225"/>
      <c r="D65" s="225"/>
      <c r="E65" s="225"/>
      <c r="F65" s="226"/>
    </row>
    <row r="66" spans="1:6" ht="18.75" customHeight="1">
      <c r="A66" s="108"/>
      <c r="B66" s="224"/>
      <c r="C66" s="225"/>
      <c r="D66" s="225"/>
      <c r="E66" s="225"/>
      <c r="F66" s="226"/>
    </row>
    <row r="67" spans="1:6" ht="18.75" customHeight="1">
      <c r="A67" s="108"/>
      <c r="B67" s="224"/>
      <c r="C67" s="225"/>
      <c r="D67" s="225"/>
      <c r="E67" s="225"/>
      <c r="F67" s="226"/>
    </row>
    <row r="68" spans="1:6" ht="18.75" customHeight="1">
      <c r="A68" s="108"/>
      <c r="B68" s="224"/>
      <c r="C68" s="225"/>
      <c r="D68" s="225"/>
      <c r="E68" s="225"/>
      <c r="F68" s="226"/>
    </row>
    <row r="69" spans="1:6" ht="18.75" customHeight="1">
      <c r="A69" s="108"/>
      <c r="B69" s="224"/>
      <c r="C69" s="225"/>
      <c r="D69" s="225"/>
      <c r="E69" s="225"/>
      <c r="F69" s="226"/>
    </row>
    <row r="70" spans="1:6" ht="18.75" customHeight="1">
      <c r="A70" s="108"/>
      <c r="B70" s="224"/>
      <c r="C70" s="225"/>
      <c r="D70" s="225"/>
      <c r="E70" s="225"/>
      <c r="F70" s="226"/>
    </row>
    <row r="71" spans="1:6" ht="18.75" customHeight="1">
      <c r="A71" s="108"/>
      <c r="B71" s="224"/>
      <c r="C71" s="225"/>
      <c r="D71" s="225"/>
      <c r="E71" s="225"/>
      <c r="F71" s="226"/>
    </row>
    <row r="72" spans="1:6" ht="18.75" customHeight="1">
      <c r="A72" s="108"/>
      <c r="B72" s="224"/>
      <c r="C72" s="225"/>
      <c r="D72" s="225"/>
      <c r="E72" s="225"/>
      <c r="F72" s="226"/>
    </row>
    <row r="73" spans="1:6" ht="18.75" customHeight="1">
      <c r="A73" s="108"/>
      <c r="B73" s="224"/>
      <c r="C73" s="225"/>
      <c r="D73" s="225"/>
      <c r="E73" s="225"/>
      <c r="F73" s="226"/>
    </row>
    <row r="74" spans="1:6" ht="18.75" customHeight="1">
      <c r="A74" s="108"/>
      <c r="B74" s="224"/>
      <c r="C74" s="225"/>
      <c r="D74" s="225"/>
      <c r="E74" s="225"/>
      <c r="F74" s="226"/>
    </row>
    <row r="75" spans="1:6" ht="18.75" customHeight="1">
      <c r="A75" s="108"/>
      <c r="B75" s="224"/>
      <c r="C75" s="225"/>
      <c r="D75" s="225"/>
      <c r="E75" s="225"/>
      <c r="F75" s="226"/>
    </row>
    <row r="76" spans="1:6" ht="18.75" customHeight="1">
      <c r="A76" s="108"/>
      <c r="B76" s="224"/>
      <c r="C76" s="225"/>
      <c r="D76" s="225"/>
      <c r="E76" s="225"/>
      <c r="F76" s="226"/>
    </row>
    <row r="77" spans="1:6" ht="18.75" customHeight="1">
      <c r="A77" s="108"/>
      <c r="B77" s="224"/>
      <c r="C77" s="225"/>
      <c r="D77" s="225"/>
      <c r="E77" s="225"/>
      <c r="F77" s="226"/>
    </row>
    <row r="78" spans="1:6" ht="18.75" customHeight="1">
      <c r="A78" s="108"/>
      <c r="B78" s="224"/>
      <c r="C78" s="225"/>
      <c r="D78" s="225"/>
      <c r="E78" s="225"/>
      <c r="F78" s="226"/>
    </row>
    <row r="79" spans="1:6" ht="18.75" customHeight="1">
      <c r="A79" s="108"/>
      <c r="B79" s="224"/>
      <c r="C79" s="225"/>
      <c r="D79" s="225"/>
      <c r="E79" s="225"/>
      <c r="F79" s="226"/>
    </row>
    <row r="80" spans="1:6" ht="18.75" customHeight="1">
      <c r="A80" s="108"/>
      <c r="B80" s="224"/>
      <c r="C80" s="225"/>
      <c r="D80" s="225"/>
      <c r="E80" s="225"/>
      <c r="F80" s="226"/>
    </row>
    <row r="81" spans="1:6" ht="18.75" customHeight="1">
      <c r="A81" s="108"/>
      <c r="B81" s="224"/>
      <c r="C81" s="225"/>
      <c r="D81" s="225"/>
      <c r="E81" s="225"/>
      <c r="F81" s="226"/>
    </row>
    <row r="82" spans="1:6" ht="18.75" customHeight="1">
      <c r="A82" s="108"/>
      <c r="B82" s="224"/>
      <c r="C82" s="225"/>
      <c r="D82" s="225"/>
      <c r="E82" s="225"/>
      <c r="F82" s="226"/>
    </row>
    <row r="83" spans="1:6" ht="18.75" customHeight="1">
      <c r="A83" s="108"/>
      <c r="B83" s="224"/>
      <c r="C83" s="225"/>
      <c r="D83" s="225"/>
      <c r="E83" s="225"/>
      <c r="F83" s="226"/>
    </row>
    <row r="84" spans="1:6" ht="18.75" customHeight="1">
      <c r="A84" s="108"/>
      <c r="B84" s="224"/>
      <c r="C84" s="225"/>
      <c r="D84" s="225"/>
      <c r="E84" s="225"/>
      <c r="F84" s="226"/>
    </row>
    <row r="85" spans="1:6" ht="18.75" customHeight="1">
      <c r="A85" s="108"/>
      <c r="B85" s="224"/>
      <c r="C85" s="225"/>
      <c r="D85" s="225"/>
      <c r="E85" s="225"/>
      <c r="F85" s="226"/>
    </row>
    <row r="86" spans="1:6" ht="18.75" customHeight="1">
      <c r="A86" s="108"/>
      <c r="B86" s="224"/>
      <c r="C86" s="225"/>
      <c r="D86" s="225"/>
      <c r="E86" s="225"/>
      <c r="F86" s="226"/>
    </row>
    <row r="87" spans="1:6" ht="18.75" customHeight="1">
      <c r="A87" s="108"/>
      <c r="B87" s="227"/>
      <c r="C87" s="228"/>
      <c r="D87" s="228"/>
      <c r="E87" s="228"/>
      <c r="F87" s="229"/>
    </row>
    <row r="88" spans="1:6" s="13" customFormat="1" ht="18.75" customHeight="1">
      <c r="A88" s="5" t="s">
        <v>8</v>
      </c>
      <c r="B88" s="5" t="s">
        <v>298</v>
      </c>
      <c r="C88" s="5"/>
      <c r="D88" s="5"/>
      <c r="E88" s="5"/>
      <c r="F88" s="5"/>
    </row>
    <row r="89" spans="1:6" ht="18.75" customHeight="1">
      <c r="A89" s="108"/>
      <c r="B89" s="261"/>
      <c r="C89" s="222"/>
      <c r="D89" s="222"/>
      <c r="E89" s="222"/>
      <c r="F89" s="223"/>
    </row>
    <row r="90" spans="1:6" ht="18.75" customHeight="1">
      <c r="A90" s="108"/>
      <c r="B90" s="224"/>
      <c r="C90" s="225"/>
      <c r="D90" s="225"/>
      <c r="E90" s="225"/>
      <c r="F90" s="226"/>
    </row>
    <row r="91" spans="1:6" ht="18.75" customHeight="1">
      <c r="A91" s="108"/>
      <c r="B91" s="224"/>
      <c r="C91" s="225"/>
      <c r="D91" s="225"/>
      <c r="E91" s="225"/>
      <c r="F91" s="226"/>
    </row>
    <row r="92" spans="1:6" ht="18.75" customHeight="1">
      <c r="A92" s="108"/>
      <c r="B92" s="224"/>
      <c r="C92" s="225"/>
      <c r="D92" s="225"/>
      <c r="E92" s="225"/>
      <c r="F92" s="226"/>
    </row>
    <row r="93" spans="1:6" ht="18.75" customHeight="1">
      <c r="A93" s="108"/>
      <c r="B93" s="224"/>
      <c r="C93" s="225"/>
      <c r="D93" s="225"/>
      <c r="E93" s="225"/>
      <c r="F93" s="226"/>
    </row>
    <row r="94" spans="1:6" ht="18.75" customHeight="1">
      <c r="A94" s="108"/>
      <c r="B94" s="224"/>
      <c r="C94" s="225"/>
      <c r="D94" s="225"/>
      <c r="E94" s="225"/>
      <c r="F94" s="226"/>
    </row>
    <row r="95" spans="1:6" ht="18.75" customHeight="1">
      <c r="A95" s="108"/>
      <c r="B95" s="224"/>
      <c r="C95" s="225"/>
      <c r="D95" s="225"/>
      <c r="E95" s="225"/>
      <c r="F95" s="226"/>
    </row>
    <row r="96" spans="1:6" ht="18.75" customHeight="1">
      <c r="A96" s="108"/>
      <c r="B96" s="224"/>
      <c r="C96" s="225"/>
      <c r="D96" s="225"/>
      <c r="E96" s="225"/>
      <c r="F96" s="226"/>
    </row>
    <row r="97" spans="1:6" ht="18.75" customHeight="1">
      <c r="A97" s="108"/>
      <c r="B97" s="224"/>
      <c r="C97" s="225"/>
      <c r="D97" s="225"/>
      <c r="E97" s="225"/>
      <c r="F97" s="226"/>
    </row>
    <row r="98" spans="1:6" ht="18.75" customHeight="1">
      <c r="A98" s="108"/>
      <c r="B98" s="224"/>
      <c r="C98" s="225"/>
      <c r="D98" s="225"/>
      <c r="E98" s="225"/>
      <c r="F98" s="226"/>
    </row>
    <row r="99" spans="1:6" ht="18.75" customHeight="1">
      <c r="A99" s="108"/>
      <c r="B99" s="224"/>
      <c r="C99" s="225"/>
      <c r="D99" s="225"/>
      <c r="E99" s="225"/>
      <c r="F99" s="226"/>
    </row>
    <row r="100" spans="1:6" ht="18.75" customHeight="1">
      <c r="A100" s="108"/>
      <c r="B100" s="224"/>
      <c r="C100" s="225"/>
      <c r="D100" s="225"/>
      <c r="E100" s="225"/>
      <c r="F100" s="226"/>
    </row>
    <row r="101" spans="1:6" ht="18.75" customHeight="1">
      <c r="A101" s="108"/>
      <c r="B101" s="224"/>
      <c r="C101" s="225"/>
      <c r="D101" s="225"/>
      <c r="E101" s="225"/>
      <c r="F101" s="226"/>
    </row>
    <row r="102" spans="1:6" ht="18.75" customHeight="1">
      <c r="A102" s="108"/>
      <c r="B102" s="224"/>
      <c r="C102" s="225"/>
      <c r="D102" s="225"/>
      <c r="E102" s="225"/>
      <c r="F102" s="226"/>
    </row>
    <row r="103" spans="1:6" ht="18.75" customHeight="1">
      <c r="A103" s="108"/>
      <c r="B103" s="224"/>
      <c r="C103" s="225"/>
      <c r="D103" s="225"/>
      <c r="E103" s="225"/>
      <c r="F103" s="226"/>
    </row>
    <row r="104" spans="1:6" ht="18.75" customHeight="1">
      <c r="A104" s="108"/>
      <c r="B104" s="224"/>
      <c r="C104" s="225"/>
      <c r="D104" s="225"/>
      <c r="E104" s="225"/>
      <c r="F104" s="226"/>
    </row>
    <row r="105" spans="1:6" ht="18.75" customHeight="1">
      <c r="A105" s="108"/>
      <c r="B105" s="224"/>
      <c r="C105" s="225"/>
      <c r="D105" s="225"/>
      <c r="E105" s="225"/>
      <c r="F105" s="226"/>
    </row>
    <row r="106" spans="1:6" ht="18.75" customHeight="1">
      <c r="A106" s="108"/>
      <c r="B106" s="224"/>
      <c r="C106" s="225"/>
      <c r="D106" s="225"/>
      <c r="E106" s="225"/>
      <c r="F106" s="226"/>
    </row>
    <row r="107" spans="1:6" ht="18.75" customHeight="1">
      <c r="A107" s="108"/>
      <c r="B107" s="224"/>
      <c r="C107" s="225"/>
      <c r="D107" s="225"/>
      <c r="E107" s="225"/>
      <c r="F107" s="226"/>
    </row>
    <row r="108" spans="1:6" ht="18.75" customHeight="1">
      <c r="A108" s="108"/>
      <c r="B108" s="224"/>
      <c r="C108" s="225"/>
      <c r="D108" s="225"/>
      <c r="E108" s="225"/>
      <c r="F108" s="226"/>
    </row>
    <row r="109" spans="1:6" ht="18.75" customHeight="1">
      <c r="A109" s="108"/>
      <c r="B109" s="224"/>
      <c r="C109" s="225"/>
      <c r="D109" s="225"/>
      <c r="E109" s="225"/>
      <c r="F109" s="226"/>
    </row>
    <row r="110" spans="1:6" ht="18.75" customHeight="1">
      <c r="A110" s="108"/>
      <c r="B110" s="224"/>
      <c r="C110" s="225"/>
      <c r="D110" s="225"/>
      <c r="E110" s="225"/>
      <c r="F110" s="226"/>
    </row>
    <row r="111" spans="1:6" ht="18.75" customHeight="1">
      <c r="A111" s="108"/>
      <c r="B111" s="224"/>
      <c r="C111" s="225"/>
      <c r="D111" s="225"/>
      <c r="E111" s="225"/>
      <c r="F111" s="226"/>
    </row>
    <row r="112" spans="1:6" ht="18.75" customHeight="1">
      <c r="A112" s="108"/>
      <c r="B112" s="224"/>
      <c r="C112" s="225"/>
      <c r="D112" s="225"/>
      <c r="E112" s="225"/>
      <c r="F112" s="226"/>
    </row>
    <row r="113" spans="1:6" ht="18.75" customHeight="1">
      <c r="A113" s="108"/>
      <c r="B113" s="224"/>
      <c r="C113" s="225"/>
      <c r="D113" s="225"/>
      <c r="E113" s="225"/>
      <c r="F113" s="226"/>
    </row>
    <row r="114" spans="1:6" ht="18.75" customHeight="1">
      <c r="A114" s="108"/>
      <c r="B114" s="224"/>
      <c r="C114" s="225"/>
      <c r="D114" s="225"/>
      <c r="E114" s="225"/>
      <c r="F114" s="226"/>
    </row>
    <row r="115" spans="1:6" ht="18.75" customHeight="1">
      <c r="A115" s="108"/>
      <c r="B115" s="224"/>
      <c r="C115" s="225"/>
      <c r="D115" s="225"/>
      <c r="E115" s="225"/>
      <c r="F115" s="226"/>
    </row>
    <row r="116" spans="1:6" ht="18.75" customHeight="1">
      <c r="A116" s="108"/>
      <c r="B116" s="224"/>
      <c r="C116" s="225"/>
      <c r="D116" s="225"/>
      <c r="E116" s="225"/>
      <c r="F116" s="226"/>
    </row>
    <row r="117" spans="1:6" ht="18.75" customHeight="1">
      <c r="A117" s="108"/>
      <c r="B117" s="224"/>
      <c r="C117" s="225"/>
      <c r="D117" s="225"/>
      <c r="E117" s="225"/>
      <c r="F117" s="226"/>
    </row>
    <row r="118" spans="1:6" ht="18.75" customHeight="1">
      <c r="A118" s="108"/>
      <c r="B118" s="224"/>
      <c r="C118" s="225"/>
      <c r="D118" s="225"/>
      <c r="E118" s="225"/>
      <c r="F118" s="226"/>
    </row>
    <row r="119" spans="1:6" ht="18.75" customHeight="1">
      <c r="A119" s="108"/>
      <c r="B119" s="224"/>
      <c r="C119" s="225"/>
      <c r="D119" s="225"/>
      <c r="E119" s="225"/>
      <c r="F119" s="226"/>
    </row>
    <row r="120" spans="1:6" ht="18.75" customHeight="1">
      <c r="A120" s="108"/>
      <c r="B120" s="224"/>
      <c r="C120" s="225"/>
      <c r="D120" s="225"/>
      <c r="E120" s="225"/>
      <c r="F120" s="226"/>
    </row>
    <row r="121" spans="1:6" ht="18.75" customHeight="1">
      <c r="A121" s="108"/>
      <c r="B121" s="224"/>
      <c r="C121" s="225"/>
      <c r="D121" s="225"/>
      <c r="E121" s="225"/>
      <c r="F121" s="226"/>
    </row>
    <row r="122" spans="1:6" ht="18.75" customHeight="1">
      <c r="A122" s="108"/>
      <c r="B122" s="224"/>
      <c r="C122" s="225"/>
      <c r="D122" s="225"/>
      <c r="E122" s="225"/>
      <c r="F122" s="226"/>
    </row>
    <row r="123" spans="1:6" ht="18.75" customHeight="1">
      <c r="A123" s="108"/>
      <c r="B123" s="224"/>
      <c r="C123" s="225"/>
      <c r="D123" s="225"/>
      <c r="E123" s="225"/>
      <c r="F123" s="226"/>
    </row>
    <row r="124" spans="1:6" ht="18.75" customHeight="1">
      <c r="A124" s="108"/>
      <c r="B124" s="224"/>
      <c r="C124" s="225"/>
      <c r="D124" s="225"/>
      <c r="E124" s="225"/>
      <c r="F124" s="226"/>
    </row>
    <row r="125" spans="1:6" ht="18.75" customHeight="1">
      <c r="A125" s="108"/>
      <c r="B125" s="224"/>
      <c r="C125" s="225"/>
      <c r="D125" s="225"/>
      <c r="E125" s="225"/>
      <c r="F125" s="226"/>
    </row>
    <row r="126" spans="1:6" ht="18.75" customHeight="1">
      <c r="A126" s="108"/>
      <c r="B126" s="224"/>
      <c r="C126" s="225"/>
      <c r="D126" s="225"/>
      <c r="E126" s="225"/>
      <c r="F126" s="226"/>
    </row>
    <row r="127" spans="1:6" ht="18.75" customHeight="1">
      <c r="A127" s="108"/>
      <c r="B127" s="224"/>
      <c r="C127" s="225"/>
      <c r="D127" s="225"/>
      <c r="E127" s="225"/>
      <c r="F127" s="226"/>
    </row>
    <row r="128" spans="1:6" ht="18.75" customHeight="1">
      <c r="A128" s="108"/>
      <c r="B128" s="224"/>
      <c r="C128" s="225"/>
      <c r="D128" s="225"/>
      <c r="E128" s="225"/>
      <c r="F128" s="226"/>
    </row>
    <row r="129" spans="1:6" ht="18.75" customHeight="1">
      <c r="A129" s="108"/>
      <c r="B129" s="224"/>
      <c r="C129" s="225"/>
      <c r="D129" s="225"/>
      <c r="E129" s="225"/>
      <c r="F129" s="226"/>
    </row>
    <row r="130" spans="1:6" ht="18.75" customHeight="1">
      <c r="A130" s="108"/>
      <c r="B130" s="227"/>
      <c r="C130" s="228"/>
      <c r="D130" s="228"/>
      <c r="E130" s="228"/>
      <c r="F130" s="229"/>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2022-02-22T09:56:03Z</dcterms:modified>
  <cp:category/>
  <cp:contentStatus/>
</cp:coreProperties>
</file>