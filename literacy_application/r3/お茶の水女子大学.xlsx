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3"/>
  <workbookPr defaultThemeVersion="124226"/>
  <mc:AlternateContent xmlns:mc="http://schemas.openxmlformats.org/markup-compatibility/2006">
    <mc:Choice Requires="x15">
      <x15ac:absPath xmlns:x15ac="http://schemas.microsoft.com/office/spreadsheetml/2010/11/ac" url="V:\1.JIMU(事務)\P.教務T\Z\⑳数理データサイエンス\2021\数理・データサイエンス・AI教育プログラム認定制度\7月再々提出\"/>
    </mc:Choice>
  </mc:AlternateContent>
  <xr:revisionPtr revIDLastSave="0" documentId="13_ncr:1_{DB90E6F9-D454-4D07-AF26-80609F90FE95}" xr6:coauthVersionLast="36" xr6:coauthVersionMax="46" xr10:uidLastSave="{00000000-0000-0000-0000-000000000000}"/>
  <bookViews>
    <workbookView xWindow="1710" yWindow="600" windowWidth="19710" windowHeight="9570" tabRatio="88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s>
  <calcPr calcId="191029"/>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padmin</author>
  </authors>
  <commentList>
    <comment ref="F8" authorId="0" shapeId="0" xr:uid="{12BB69D8-47E0-4981-A8D9-0D99D12ED1A0}">
      <text>
        <r>
          <rPr>
            <b/>
            <sz val="9"/>
            <color indexed="81"/>
            <rFont val="MS P ゴシック"/>
            <family val="3"/>
            <charset val="128"/>
          </rPr>
          <t>令和２年度に創設、標準修了年２年のカリキュラムなので、まだ修了者はおりません。（三学部共通）</t>
        </r>
      </text>
    </comment>
  </commentList>
</comments>
</file>

<file path=xl/sharedStrings.xml><?xml version="1.0" encoding="utf-8"?>
<sst xmlns="http://schemas.openxmlformats.org/spreadsheetml/2006/main" count="339" uniqueCount="267">
  <si>
    <t>教員数</t>
    <rPh sb="0" eb="2">
      <t>キョウイン</t>
    </rPh>
    <rPh sb="2" eb="3">
      <t>スウ</t>
    </rPh>
    <phoneticPr fontId="2"/>
  </si>
  <si>
    <t>所属部署名</t>
    <rPh sb="0" eb="2">
      <t>ショゾク</t>
    </rPh>
    <rPh sb="2" eb="4">
      <t>ブショ</t>
    </rPh>
    <rPh sb="4" eb="5">
      <t>メイ</t>
    </rPh>
    <phoneticPr fontId="2"/>
  </si>
  <si>
    <t>担当者名</t>
    <rPh sb="0" eb="2">
      <t>タントウ</t>
    </rPh>
    <rPh sb="2" eb="3">
      <t>シャ</t>
    </rPh>
    <rPh sb="3" eb="4">
      <t>メイ</t>
    </rPh>
    <phoneticPr fontId="2"/>
  </si>
  <si>
    <t>連絡先</t>
    <rPh sb="0" eb="3">
      <t>レンラクサキ</t>
    </rPh>
    <phoneticPr fontId="2"/>
  </si>
  <si>
    <t>電話番号</t>
  </si>
  <si>
    <t>E-mail</t>
  </si>
  <si>
    <t>（常勤）</t>
    <rPh sb="1" eb="3">
      <t>ジョウキン</t>
    </rPh>
    <phoneticPr fontId="2"/>
  </si>
  <si>
    <t>①</t>
    <phoneticPr fontId="2"/>
  </si>
  <si>
    <t>：</t>
    <phoneticPr fontId="2"/>
  </si>
  <si>
    <t>様式６</t>
    <rPh sb="0" eb="2">
      <t>ヨウシキ</t>
    </rPh>
    <phoneticPr fontId="2"/>
  </si>
  <si>
    <t>人</t>
    <rPh sb="0" eb="1">
      <t>ニン</t>
    </rPh>
    <phoneticPr fontId="2"/>
  </si>
  <si>
    <t>（非常勤）</t>
    <rPh sb="1" eb="4">
      <t>ヒジョウキン</t>
    </rPh>
    <phoneticPr fontId="2"/>
  </si>
  <si>
    <t>②</t>
    <phoneticPr fontId="2"/>
  </si>
  <si>
    <t>③</t>
    <phoneticPr fontId="2"/>
  </si>
  <si>
    <t>⑤</t>
    <phoneticPr fontId="2"/>
  </si>
  <si>
    <t>⑦</t>
    <phoneticPr fontId="2"/>
  </si>
  <si>
    <t>④</t>
    <phoneticPr fontId="2"/>
  </si>
  <si>
    <t>⑥</t>
    <phoneticPr fontId="2"/>
  </si>
  <si>
    <t>具体的な構成員</t>
    <rPh sb="0" eb="3">
      <t>グタイテキ</t>
    </rPh>
    <rPh sb="4" eb="7">
      <t>コウセイイン</t>
    </rPh>
    <phoneticPr fontId="2"/>
  </si>
  <si>
    <t>学校名</t>
    <rPh sb="0" eb="2">
      <t>ガッコウ</t>
    </rPh>
    <rPh sb="2" eb="3">
      <t>メイ</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</si>
  <si>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</si>
  <si>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</si>
  <si>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</si>
  <si>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</si>
  <si>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人</t>
  </si>
  <si>
    <t>（役職名）</t>
    <rPh sb="1" eb="4">
      <t>ヤクショクメイ</t>
    </rPh>
    <phoneticPr fontId="2"/>
  </si>
  <si>
    <t>⑩</t>
    <phoneticPr fontId="2"/>
  </si>
  <si>
    <t>様式１</t>
    <rPh sb="0" eb="2">
      <t>ヨウシキ</t>
    </rPh>
    <phoneticPr fontId="2"/>
  </si>
  <si>
    <t>履修者数・履修率の向上に向けた計画</t>
    <rPh sb="5" eb="7">
      <t>リシュウ</t>
    </rPh>
    <rPh sb="7" eb="8">
      <t>リツ</t>
    </rPh>
    <phoneticPr fontId="2"/>
  </si>
  <si>
    <t>学校名：</t>
    <rPh sb="0" eb="3">
      <t>ガッコウメイ</t>
    </rPh>
    <phoneticPr fontId="2"/>
  </si>
  <si>
    <t>学校名：</t>
    <rPh sb="0" eb="2">
      <t>ガッコウ</t>
    </rPh>
    <rPh sb="2" eb="3">
      <t>メイ</t>
    </rPh>
    <phoneticPr fontId="2"/>
  </si>
  <si>
    <t>できる限り多くの学生が履修・修得できるようなサポート体制</t>
    <rPh sb="26" eb="28">
      <t>タイセイ</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</si>
  <si>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</si>
  <si>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</si>
  <si>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</si>
  <si>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</si>
  <si>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</si>
  <si>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</si>
  <si>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</si>
  <si>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</si>
  <si>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</si>
  <si>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</si>
  <si>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自己点検・評価の視点</t>
    <rPh sb="0" eb="2">
      <t>ジコ</t>
    </rPh>
    <rPh sb="2" eb="4">
      <t>テンケン</t>
    </rPh>
    <rPh sb="5" eb="7">
      <t>ヒョウカ</t>
    </rPh>
    <rPh sb="8" eb="10">
      <t>シテン</t>
    </rPh>
    <phoneticPr fontId="2"/>
  </si>
  <si>
    <t>体制の目的</t>
    <rPh sb="0" eb="2">
      <t>タイセイ</t>
    </rPh>
    <rPh sb="3" eb="5">
      <t>モクテキ</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</si>
  <si>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</si>
  <si>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自己点検・評価体制における意見等</t>
    <rPh sb="15" eb="16">
      <t>トウ</t>
    </rPh>
    <phoneticPr fontId="2"/>
  </si>
  <si>
    <t>自己点検・評価体制における意見等の公表の有無</t>
    <rPh sb="17" eb="19">
      <t>コウヒョウ</t>
    </rPh>
    <rPh sb="20" eb="22">
      <t>ウム</t>
    </rPh>
    <phoneticPr fontId="2"/>
  </si>
  <si>
    <t>自己点検・評価について</t>
    <rPh sb="0" eb="2">
      <t>ジコ</t>
    </rPh>
    <rPh sb="2" eb="4">
      <t>テンケン</t>
    </rPh>
    <rPh sb="5" eb="7">
      <t>ヒョウカ</t>
    </rPh>
    <phoneticPr fontId="2"/>
  </si>
  <si>
    <t>修了者数</t>
    <rPh sb="0" eb="3">
      <t>シュウリョウシャ</t>
    </rPh>
    <rPh sb="3" eb="4">
      <t>スウ</t>
    </rPh>
    <phoneticPr fontId="2"/>
  </si>
  <si>
    <t>履修者数</t>
    <rPh sb="0" eb="2">
      <t>リシュウ</t>
    </rPh>
    <rPh sb="2" eb="3">
      <t>シャ</t>
    </rPh>
    <rPh sb="3" eb="4">
      <t>スウ</t>
    </rPh>
    <phoneticPr fontId="2"/>
  </si>
  <si>
    <t>所在地</t>
    <phoneticPr fontId="2"/>
  </si>
  <si>
    <t>５年次</t>
    <rPh sb="1" eb="2">
      <t>ネン</t>
    </rPh>
    <rPh sb="2" eb="3">
      <t>ツギ</t>
    </rPh>
    <phoneticPr fontId="2"/>
  </si>
  <si>
    <t>６年次</t>
    <rPh sb="1" eb="2">
      <t>ネン</t>
    </rPh>
    <rPh sb="2" eb="3">
      <t>ツギ</t>
    </rPh>
    <phoneticPr fontId="2"/>
  </si>
  <si>
    <t>大学等の設置者</t>
  </si>
  <si>
    <t>設置形態</t>
  </si>
  <si>
    <t>⑫</t>
    <phoneticPr fontId="2"/>
  </si>
  <si>
    <t>総数</t>
    <rPh sb="0" eb="2">
      <t>ソウスウ</t>
    </rPh>
    <phoneticPr fontId="2"/>
  </si>
  <si>
    <t>⑧</t>
    <phoneticPr fontId="2"/>
  </si>
  <si>
    <t>⑬</t>
    <phoneticPr fontId="2"/>
  </si>
  <si>
    <t>学校名：</t>
    <rPh sb="0" eb="2">
      <t>ガッコウ</t>
    </rPh>
    <phoneticPr fontId="2"/>
  </si>
  <si>
    <t>履修率</t>
    <rPh sb="0" eb="2">
      <t>リシュウ</t>
    </rPh>
    <rPh sb="2" eb="3">
      <t>リツ</t>
    </rPh>
    <phoneticPr fontId="2"/>
  </si>
  <si>
    <t>合　計</t>
    <phoneticPr fontId="2"/>
  </si>
  <si>
    <t>プログラムの開設年度</t>
    <rPh sb="6" eb="8">
      <t>カイセツ</t>
    </rPh>
    <rPh sb="8" eb="10">
      <t>ネンド</t>
    </rPh>
    <phoneticPr fontId="2"/>
  </si>
  <si>
    <t>⑨</t>
    <phoneticPr fontId="2"/>
  </si>
  <si>
    <t>⑭</t>
    <phoneticPr fontId="2"/>
  </si>
  <si>
    <t>履修者数
合計</t>
    <rPh sb="0" eb="2">
      <t>リシュウ</t>
    </rPh>
    <rPh sb="2" eb="3">
      <t>シャ</t>
    </rPh>
    <rPh sb="3" eb="4">
      <t>スウ</t>
    </rPh>
    <rPh sb="5" eb="7">
      <t>ゴウケイ</t>
    </rPh>
    <phoneticPr fontId="2"/>
  </si>
  <si>
    <t>様式３</t>
    <rPh sb="0" eb="2">
      <t>ヨウシキ</t>
    </rPh>
    <phoneticPr fontId="2"/>
  </si>
  <si>
    <t>授業に含まれている内容・要素</t>
    <rPh sb="0" eb="2">
      <t>ジュギョウ</t>
    </rPh>
    <rPh sb="3" eb="4">
      <t>フク</t>
    </rPh>
    <rPh sb="9" eb="11">
      <t>ナイヨウ</t>
    </rPh>
    <rPh sb="12" eb="14">
      <t>ヨウソ</t>
    </rPh>
    <phoneticPr fontId="2"/>
  </si>
  <si>
    <t>統計及び数理基礎</t>
    <rPh sb="0" eb="2">
      <t>トウケイ</t>
    </rPh>
    <rPh sb="2" eb="3">
      <t>オヨ</t>
    </rPh>
    <rPh sb="4" eb="6">
      <t>スウリ</t>
    </rPh>
    <rPh sb="6" eb="8">
      <t>キソ</t>
    </rPh>
    <phoneticPr fontId="2"/>
  </si>
  <si>
    <t>アルゴリズム基礎</t>
    <rPh sb="6" eb="8">
      <t>キソ</t>
    </rPh>
    <phoneticPr fontId="2"/>
  </si>
  <si>
    <t>データ構造とプログラミング基礎</t>
    <rPh sb="3" eb="5">
      <t>コウゾウ</t>
    </rPh>
    <rPh sb="13" eb="15">
      <t>キソ</t>
    </rPh>
    <phoneticPr fontId="2"/>
  </si>
  <si>
    <t>時系列データ解析</t>
    <rPh sb="0" eb="3">
      <t>ジケイレツ</t>
    </rPh>
    <rPh sb="6" eb="8">
      <t>カイセキ</t>
    </rPh>
    <phoneticPr fontId="2"/>
  </si>
  <si>
    <t>テキスト解析</t>
    <rPh sb="4" eb="6">
      <t>カイセキ</t>
    </rPh>
    <phoneticPr fontId="2"/>
  </si>
  <si>
    <t>画像解析</t>
    <rPh sb="0" eb="2">
      <t>ガゾウ</t>
    </rPh>
    <rPh sb="2" eb="4">
      <t>カイセキ</t>
    </rPh>
    <phoneticPr fontId="2"/>
  </si>
  <si>
    <t>データハンドリング</t>
    <phoneticPr fontId="2"/>
  </si>
  <si>
    <t>データ活用実践（教師あり学習）</t>
    <rPh sb="3" eb="5">
      <t>カツヨウ</t>
    </rPh>
    <rPh sb="5" eb="7">
      <t>ジッセン</t>
    </rPh>
    <rPh sb="8" eb="10">
      <t>キョウシ</t>
    </rPh>
    <rPh sb="12" eb="14">
      <t>ガクシュウ</t>
    </rPh>
    <phoneticPr fontId="2"/>
  </si>
  <si>
    <t>その他</t>
    <rPh sb="2" eb="3">
      <t>タ</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</si>
  <si>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</si>
  <si>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</si>
  <si>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</si>
  <si>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学校名</t>
    <rPh sb="0" eb="3">
      <t>ガッコウメイ</t>
    </rPh>
    <phoneticPr fontId="2"/>
  </si>
  <si>
    <t>プログラムを構成する授業科目について</t>
    <phoneticPr fontId="2"/>
  </si>
  <si>
    <t>収容
定員</t>
    <rPh sb="0" eb="2">
      <t>シュウヨウ</t>
    </rPh>
    <rPh sb="3" eb="5">
      <t>テイイン</t>
    </rPh>
    <phoneticPr fontId="2"/>
  </si>
  <si>
    <t>申請する認定プログラム</t>
    <rPh sb="0" eb="2">
      <t>シンセイ</t>
    </rPh>
    <rPh sb="4" eb="6">
      <t>ニンテイ</t>
    </rPh>
    <phoneticPr fontId="2"/>
  </si>
  <si>
    <t>プログラムの授業を教えている教員数</t>
    <rPh sb="6" eb="8">
      <t>ジュギョウ</t>
    </rPh>
    <rPh sb="9" eb="10">
      <t>オシ</t>
    </rPh>
    <rPh sb="14" eb="16">
      <t>キョウイン</t>
    </rPh>
    <rPh sb="16" eb="17">
      <t>スウ</t>
    </rPh>
    <phoneticPr fontId="2"/>
  </si>
  <si>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2"/>
  </si>
  <si>
    <t>プログラムの授業内容・概要</t>
    <rPh sb="6" eb="8">
      <t>ジュギョウ</t>
    </rPh>
    <rPh sb="8" eb="10">
      <t>ナイヨウ</t>
    </rPh>
    <rPh sb="11" eb="13">
      <t>ガイヨウ</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</si>
  <si>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</si>
  <si>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プログラムを改善・進化させるための体制を定める規則名称</t>
    <phoneticPr fontId="2"/>
  </si>
  <si>
    <t>プログラムの授業内容等を公表しているアドレス</t>
    <rPh sb="6" eb="8">
      <t>ジュギョウ</t>
    </rPh>
    <rPh sb="8" eb="10">
      <t>ナイヨウ</t>
    </rPh>
    <rPh sb="10" eb="11">
      <t>トウ</t>
    </rPh>
    <rPh sb="12" eb="14">
      <t>コウヒョウ</t>
    </rPh>
    <phoneticPr fontId="2"/>
  </si>
  <si>
    <t>プログラムの学修成果（学生等が身に付けられる能力等）</t>
  </si>
  <si>
    <t>教育プログラムの修了要件</t>
    <rPh sb="8" eb="10">
      <t>シュウリョウ</t>
    </rPh>
    <phoneticPr fontId="2"/>
  </si>
  <si>
    <t>具体的な修了要件</t>
    <rPh sb="0" eb="3">
      <t>グタイテキ</t>
    </rPh>
    <rPh sb="4" eb="6">
      <t>シュウリョウ</t>
    </rPh>
    <rPh sb="6" eb="8">
      <t>ヨウケン</t>
    </rPh>
    <phoneticPr fontId="2"/>
  </si>
  <si>
    <t>授業科目名称</t>
    <rPh sb="0" eb="2">
      <t>ジュギョウ</t>
    </rPh>
    <rPh sb="2" eb="4">
      <t>カモク</t>
    </rPh>
    <rPh sb="4" eb="6">
      <t>メイショウ</t>
    </rPh>
    <phoneticPr fontId="2"/>
  </si>
  <si>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2"/>
  </si>
  <si>
    <t>様式５</t>
    <rPh sb="0" eb="2">
      <t>ヨウシキ</t>
    </rPh>
    <phoneticPr fontId="2"/>
  </si>
  <si>
    <t>授業概要</t>
    <rPh sb="0" eb="2">
      <t>ジュギョウ</t>
    </rPh>
    <rPh sb="2" eb="4">
      <t>ガイヨウ</t>
    </rPh>
    <phoneticPr fontId="2"/>
  </si>
  <si>
    <t>授業科目名称</t>
    <rPh sb="0" eb="2">
      <t>ジュギョウ</t>
    </rPh>
    <rPh sb="2" eb="6">
      <t>カモクメイショウ</t>
    </rPh>
    <phoneticPr fontId="2"/>
  </si>
  <si>
    <t>講義テーマ</t>
    <rPh sb="0" eb="2">
      <t>コウギ</t>
    </rPh>
    <phoneticPr fontId="2"/>
  </si>
  <si>
    <t>（１）現在進行中の社会変化（第４次産業革命、Society 5.0、データ駆動型社会等）に深く寄与しているものであり、それが自らの生活と密接に結びついている
※モデルカリキュラム導入１－１、導入１－６が該当</t>
    <phoneticPr fontId="2"/>
  </si>
  <si>
    <t>（２）「社会で活用されているデータ」や「データの活用領域」は非常に広範囲であって、日常生活や社会の課題を解決する有用なツールになり得るもの
※モデルカリキュラム導入１－２、導入１－３が該当</t>
    <phoneticPr fontId="2"/>
  </si>
  <si>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2"/>
  </si>
  <si>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2"/>
  </si>
  <si>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2"/>
  </si>
  <si>
    <t>※公表している場合のアドレス</t>
    <rPh sb="1" eb="3">
      <t>コウヒョウ</t>
    </rPh>
    <rPh sb="7" eb="9">
      <t>バアイ</t>
    </rPh>
    <phoneticPr fontId="2"/>
  </si>
  <si>
    <t>（責任者名）</t>
    <rPh sb="1" eb="4">
      <t>セキニンシャ</t>
    </rPh>
    <rPh sb="4" eb="5">
      <t>メイ</t>
    </rPh>
    <phoneticPr fontId="2"/>
  </si>
  <si>
    <t>プログラムの運営責任者</t>
    <phoneticPr fontId="2"/>
  </si>
  <si>
    <t>令和2年度</t>
    <rPh sb="0" eb="2">
      <t>レイワ</t>
    </rPh>
    <rPh sb="3" eb="5">
      <t>ネンド</t>
    </rPh>
    <phoneticPr fontId="2"/>
  </si>
  <si>
    <t>令和元年度</t>
    <rPh sb="0" eb="2">
      <t>レイワ</t>
    </rPh>
    <rPh sb="2" eb="3">
      <t>ゲン</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</si>
  <si>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</si>
  <si>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</si>
  <si>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</si>
  <si>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平成27年度</t>
    <rPh sb="0" eb="2">
      <t>ヘイセイ</t>
    </rPh>
    <rPh sb="4" eb="6">
      <t>ネンド</t>
    </rPh>
    <phoneticPr fontId="2"/>
  </si>
  <si>
    <t>プログラムの履修者数等の実績について</t>
    <phoneticPr fontId="2"/>
  </si>
  <si>
    <t>⑪</t>
    <phoneticPr fontId="2"/>
  </si>
  <si>
    <t>全学部・学科の入学定員</t>
    <rPh sb="0" eb="1">
      <t>ゼン</t>
    </rPh>
    <rPh sb="4" eb="6">
      <t>ガッカ</t>
    </rPh>
    <rPh sb="7" eb="9">
      <t>ニュウガク</t>
    </rPh>
    <rPh sb="9" eb="11">
      <t>テイイン</t>
    </rPh>
    <phoneticPr fontId="2"/>
  </si>
  <si>
    <t>全学部・学科の学生数（学年別）</t>
    <rPh sb="0" eb="1">
      <t>ゼン</t>
    </rPh>
    <rPh sb="4" eb="6">
      <t>ガッカ</t>
    </rPh>
    <rPh sb="7" eb="10">
      <t>ガクセイスウ</t>
    </rPh>
    <rPh sb="11" eb="13">
      <t>ガクネン</t>
    </rPh>
    <rPh sb="13" eb="14">
      <t>ベツ</t>
    </rPh>
    <phoneticPr fontId="2"/>
  </si>
  <si>
    <t>学部・学科名称</t>
    <rPh sb="0" eb="2">
      <t>ガクブ</t>
    </rPh>
    <rPh sb="3" eb="5">
      <t>ガッカ</t>
    </rPh>
    <rPh sb="5" eb="7">
      <t>メイショウ</t>
    </rPh>
    <phoneticPr fontId="2"/>
  </si>
  <si>
    <t>申請するプログラム又は授業科目名称</t>
    <rPh sb="0" eb="2">
      <t>シンセイ</t>
    </rPh>
    <rPh sb="9" eb="10">
      <t>マタ</t>
    </rPh>
    <rPh sb="11" eb="13">
      <t>ジュギョウ</t>
    </rPh>
    <rPh sb="13" eb="15">
      <t>カモク</t>
    </rPh>
    <rPh sb="15" eb="17">
      <t>メイショウ</t>
    </rPh>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</si>
  <si>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</si>
  <si>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</si>
  <si>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授業時間内外で学習指導、質問を受け付ける具体的な仕組み</t>
    <rPh sb="20" eb="23">
      <t>グタイテキ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</si>
  <si>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</si>
  <si>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全学データサイエンス学際カリキュラム</t>
    <rPh sb="0" eb="2">
      <t>ゼンガク</t>
    </rPh>
    <rPh sb="10" eb="12">
      <t>ガクサイ</t>
    </rPh>
    <phoneticPr fontId="2"/>
  </si>
  <si>
    <t>認定教育プログラム</t>
    <rPh sb="0" eb="2">
      <t>ニンテイ</t>
    </rPh>
    <rPh sb="2" eb="4">
      <t>キョウイク</t>
    </rPh>
    <phoneticPr fontId="2"/>
  </si>
  <si>
    <t>学部・学科によって、修了要件は相違しない</t>
  </si>
  <si>
    <t>必修科目(2科目4単位)および基幹科目・連携科目から16単位以上、合計20単位以上を取得すること。</t>
    <rPh sb="0" eb="4">
      <t>ヒッシュウカモク</t>
    </rPh>
    <rPh sb="6" eb="8">
      <t>カモク</t>
    </rPh>
    <rPh sb="9" eb="11">
      <t>タンイ</t>
    </rPh>
    <rPh sb="15" eb="17">
      <t>キカン</t>
    </rPh>
    <rPh sb="17" eb="19">
      <t>カモク</t>
    </rPh>
    <rPh sb="20" eb="22">
      <t>レンケイ</t>
    </rPh>
    <rPh sb="22" eb="24">
      <t>カモク</t>
    </rPh>
    <rPh sb="28" eb="30">
      <t>タンイ</t>
    </rPh>
    <rPh sb="30" eb="32">
      <t>イジョウ</t>
    </rPh>
    <rPh sb="33" eb="35">
      <t>ゴウケイ</t>
    </rPh>
    <rPh sb="37" eb="39">
      <t>タンイ</t>
    </rPh>
    <rPh sb="39" eb="41">
      <t>イジョウ</t>
    </rPh>
    <rPh sb="42" eb="44">
      <t>シュトク</t>
    </rPh>
    <phoneticPr fontId="2"/>
  </si>
  <si>
    <t>文理融合データサイエンスI</t>
    <rPh sb="0" eb="4">
      <t>ブンリユウゴウ</t>
    </rPh>
    <phoneticPr fontId="2"/>
  </si>
  <si>
    <t>文理融合データサイエンスII</t>
    <rPh sb="0" eb="4">
      <t>ブンリユウゴウ</t>
    </rPh>
    <phoneticPr fontId="2"/>
  </si>
  <si>
    <t>デジタル概論</t>
    <rPh sb="4" eb="6">
      <t>ガイロン</t>
    </rPh>
    <phoneticPr fontId="2"/>
  </si>
  <si>
    <t>文理融合データサイエンスIII</t>
    <rPh sb="0" eb="4">
      <t>ブンリユウゴウ</t>
    </rPh>
    <phoneticPr fontId="2"/>
  </si>
  <si>
    <t>データサイエンスの倫理（データバイアスとアルゴリズムバイアス・データ活用による負の事例）</t>
    <rPh sb="8" eb="9">
      <t>ノ</t>
    </rPh>
    <rPh sb="9" eb="10">
      <t xml:space="preserve">リンリ </t>
    </rPh>
    <rPh sb="34" eb="36">
      <t xml:space="preserve">カツヨウ </t>
    </rPh>
    <rPh sb="39" eb="40">
      <t xml:space="preserve">フノジレイ </t>
    </rPh>
    <phoneticPr fontId="2"/>
  </si>
  <si>
    <t>データサイエンスの倫理（データを使用する上での留意事項・EU一般データ保護規則など）</t>
    <rPh sb="9" eb="11">
      <t xml:space="preserve">リンリ </t>
    </rPh>
    <rPh sb="16" eb="18">
      <t xml:space="preserve">シヨウ </t>
    </rPh>
    <rPh sb="23" eb="25">
      <t xml:space="preserve">リュウイテン </t>
    </rPh>
    <rPh sb="25" eb="27">
      <t xml:space="preserve">ジコウ </t>
    </rPh>
    <rPh sb="30" eb="32">
      <t xml:space="preserve">イッパンデータ </t>
    </rPh>
    <rPh sb="35" eb="39">
      <t xml:space="preserve">ホゴキソク </t>
    </rPh>
    <phoneticPr fontId="2"/>
  </si>
  <si>
    <t>考古学のデータに対する計量分析（推定と検定）・文学作品のテキストデータに対する多変量解析</t>
    <rPh sb="0" eb="3">
      <t xml:space="preserve">コウコガク </t>
    </rPh>
    <rPh sb="8" eb="9">
      <t xml:space="preserve">タイスル </t>
    </rPh>
    <rPh sb="11" eb="15">
      <t xml:space="preserve">ケイリョウブンセキ </t>
    </rPh>
    <rPh sb="16" eb="18">
      <t xml:space="preserve">スイテイ </t>
    </rPh>
    <rPh sb="19" eb="21">
      <t xml:space="preserve">ケンテイ </t>
    </rPh>
    <rPh sb="23" eb="27">
      <t xml:space="preserve">ブンガクサクヒン </t>
    </rPh>
    <rPh sb="36" eb="37">
      <t xml:space="preserve">タイスル </t>
    </rPh>
    <rPh sb="39" eb="44">
      <t xml:space="preserve">タヘンリョウカイセキ </t>
    </rPh>
    <phoneticPr fontId="2"/>
  </si>
  <si>
    <t>文学作品のテキストデータに対する分析（近現代の小説・古典文学作品）</t>
    <rPh sb="0" eb="4">
      <t xml:space="preserve">ブンガクサクヒン </t>
    </rPh>
    <rPh sb="13" eb="14">
      <t xml:space="preserve">タイスル </t>
    </rPh>
    <rPh sb="16" eb="18">
      <t xml:space="preserve">ブンセキ </t>
    </rPh>
    <rPh sb="19" eb="22">
      <t xml:space="preserve">キンゲンダイ </t>
    </rPh>
    <rPh sb="23" eb="25">
      <t xml:space="preserve">ショウセツ </t>
    </rPh>
    <rPh sb="26" eb="32">
      <t xml:space="preserve">コテンブンガクサクヒン </t>
    </rPh>
    <phoneticPr fontId="2"/>
  </si>
  <si>
    <t>AIとは何か（第3次AIブーム・ディープラーニングの影響）</t>
    <rPh sb="7" eb="8">
      <t xml:space="preserve">ダイ３ジアイブーム </t>
    </rPh>
    <rPh sb="26" eb="28">
      <t xml:space="preserve">エイキョウ </t>
    </rPh>
    <phoneticPr fontId="2"/>
  </si>
  <si>
    <t>資源としてのデータ・データ活用の目的（社会的な課題の解決・新たな価値の創造）</t>
    <rPh sb="0" eb="2">
      <t xml:space="preserve">シゲントシテ </t>
    </rPh>
    <rPh sb="16" eb="18">
      <t xml:space="preserve">モクテキ </t>
    </rPh>
    <rPh sb="19" eb="21">
      <t xml:space="preserve">シャカイノ </t>
    </rPh>
    <rPh sb="21" eb="22">
      <t xml:space="preserve">テキナ </t>
    </rPh>
    <rPh sb="23" eb="28">
      <t xml:space="preserve">カダイカイケツ </t>
    </rPh>
    <rPh sb="29" eb="30">
      <t xml:space="preserve">アラタナカチノソウゾウ </t>
    </rPh>
    <phoneticPr fontId="2"/>
  </si>
  <si>
    <t>データサイエンスの現在（データに基づく意思決定・データを活用したサービス）</t>
    <rPh sb="9" eb="11">
      <t xml:space="preserve">ゲンザイ </t>
    </rPh>
    <rPh sb="19" eb="23">
      <t xml:space="preserve">イシケッテイ </t>
    </rPh>
    <rPh sb="28" eb="30">
      <t xml:space="preserve">カツヨウシタ </t>
    </rPh>
    <phoneticPr fontId="2"/>
  </si>
  <si>
    <t>様々なオープンデータ・データ分析の目的（予測・分類）</t>
    <rPh sb="0" eb="1">
      <t xml:space="preserve">サマザマナ </t>
    </rPh>
    <rPh sb="14" eb="16">
      <t xml:space="preserve">ブンセキ </t>
    </rPh>
    <rPh sb="20" eb="22">
      <t xml:space="preserve">ヨソク </t>
    </rPh>
    <rPh sb="23" eb="25">
      <t xml:space="preserve">ブンルイ </t>
    </rPh>
    <phoneticPr fontId="2"/>
  </si>
  <si>
    <t>デジタルトランスフォーメーションがもたらす社会の変化</t>
    <rPh sb="21" eb="23">
      <t>シャカイ</t>
    </rPh>
    <rPh sb="24" eb="26">
      <t>ヘンカ</t>
    </rPh>
    <phoneticPr fontId="2"/>
  </si>
  <si>
    <t>多様な適用領域・多様な業界におけるデジタルトランスフォーメーションの実現事例</t>
    <rPh sb="0" eb="2">
      <t>タヨウ</t>
    </rPh>
    <rPh sb="3" eb="5">
      <t>テキヨウ</t>
    </rPh>
    <rPh sb="5" eb="7">
      <t>リョウイキ</t>
    </rPh>
    <rPh sb="8" eb="10">
      <t>タヨウ</t>
    </rPh>
    <rPh sb="11" eb="13">
      <t>ギョウカイ</t>
    </rPh>
    <rPh sb="34" eb="36">
      <t>ジツゲン</t>
    </rPh>
    <rPh sb="36" eb="38">
      <t>ジレイ</t>
    </rPh>
    <phoneticPr fontId="2"/>
  </si>
  <si>
    <t>政府統計(e-stat)を対象とした計量経済学</t>
    <rPh sb="0" eb="2">
      <t>セイフ</t>
    </rPh>
    <rPh sb="2" eb="4">
      <t>トウケイ</t>
    </rPh>
    <rPh sb="13" eb="15">
      <t>タイショウ</t>
    </rPh>
    <rPh sb="18" eb="23">
      <t>ケイリョウケイザイガク</t>
    </rPh>
    <phoneticPr fontId="2"/>
  </si>
  <si>
    <t>マルチメディア</t>
    <phoneticPr fontId="2"/>
  </si>
  <si>
    <t>構造化データ・非構造化データ・センサ等から記録されたデータ</t>
    <rPh sb="0" eb="3">
      <t>コウゾウカ</t>
    </rPh>
    <rPh sb="7" eb="11">
      <t>ヒコウゾウカ</t>
    </rPh>
    <rPh sb="18" eb="19">
      <t>トウ</t>
    </rPh>
    <rPh sb="21" eb="23">
      <t>キロク</t>
    </rPh>
    <phoneticPr fontId="2"/>
  </si>
  <si>
    <t>https://www.cf.ocha.ac.jp/datascience/j/menu/curriculum/index.html</t>
    <phoneticPr fontId="2"/>
  </si>
  <si>
    <t>学務課</t>
    <rPh sb="0" eb="3">
      <t>ガクムカ</t>
    </rPh>
    <phoneticPr fontId="2"/>
  </si>
  <si>
    <t>文理融合AI・データサイエンスセンター</t>
    <phoneticPr fontId="2"/>
  </si>
  <si>
    <t>コンピュータシステム序論</t>
    <rPh sb="10" eb="12">
      <t>ジョロン</t>
    </rPh>
    <phoneticPr fontId="2"/>
  </si>
  <si>
    <t>データ解析序論</t>
    <rPh sb="3" eb="5">
      <t>カイセキ</t>
    </rPh>
    <rPh sb="5" eb="7">
      <t>ジョロン</t>
    </rPh>
    <phoneticPr fontId="2"/>
  </si>
  <si>
    <t>データ解析の諸技術（主成分分析、クラスタリングなど）</t>
    <rPh sb="3" eb="5">
      <t>カイセキ</t>
    </rPh>
    <rPh sb="6" eb="9">
      <t>ショギジュツ</t>
    </rPh>
    <rPh sb="10" eb="15">
      <t>シュセイブンブンセキ</t>
    </rPh>
    <phoneticPr fontId="2"/>
  </si>
  <si>
    <t>データ可視化の基本的な知識、非構造化データ処理（言語、画像/動画、音声/音楽）</t>
    <rPh sb="3" eb="6">
      <t>カシカ</t>
    </rPh>
    <rPh sb="7" eb="10">
      <t>キホンテキ</t>
    </rPh>
    <rPh sb="11" eb="13">
      <t>チシキ</t>
    </rPh>
    <rPh sb="14" eb="18">
      <t>ヒコウゾウカ</t>
    </rPh>
    <rPh sb="21" eb="23">
      <t>ショリ</t>
    </rPh>
    <rPh sb="24" eb="26">
      <t>ゲンゴ</t>
    </rPh>
    <rPh sb="27" eb="29">
      <t>ガゾウ</t>
    </rPh>
    <rPh sb="30" eb="32">
      <t>ドウガ</t>
    </rPh>
    <rPh sb="33" eb="35">
      <t>オンセイ</t>
    </rPh>
    <rPh sb="36" eb="38">
      <t>オンガク</t>
    </rPh>
    <phoneticPr fontId="2"/>
  </si>
  <si>
    <t>情報倫理</t>
    <phoneticPr fontId="2"/>
  </si>
  <si>
    <t>個人情報保護、著作権保護、セキュリティ、プライバシー</t>
    <rPh sb="0" eb="6">
      <t>コジンジョウホウホゴ</t>
    </rPh>
    <phoneticPr fontId="2"/>
  </si>
  <si>
    <t>「文理融合データサイエンスI」では、データを使用する上での留意事項、EU一般データ保護規則について論じる。「文理融合データサイエンスII」では、データバイアス、アルゴリズムバイアス、データ活用による負の事例について論じる。「情報倫理」では個人情報保護、著作権保護、セキュリティ、プライバシーといったIT業界の一般的な倫理問題を論じており、その中でAIやデータサイエンスに絡んだ問題についても言及する。</t>
    <rPh sb="1" eb="13">
      <t>ブンリ</t>
    </rPh>
    <rPh sb="22" eb="24">
      <t>シヨウ</t>
    </rPh>
    <rPh sb="26" eb="27">
      <t>ウエ</t>
    </rPh>
    <rPh sb="29" eb="33">
      <t>リュウイジコウ</t>
    </rPh>
    <rPh sb="36" eb="38">
      <t>イッパン</t>
    </rPh>
    <rPh sb="41" eb="45">
      <t>ホゴキソク</t>
    </rPh>
    <rPh sb="49" eb="50">
      <t>ロン</t>
    </rPh>
    <rPh sb="54" eb="58">
      <t>ブンリユウゴウ</t>
    </rPh>
    <rPh sb="94" eb="96">
      <t>カツヨウ</t>
    </rPh>
    <rPh sb="99" eb="100">
      <t>フ</t>
    </rPh>
    <rPh sb="101" eb="103">
      <t>ジレイ</t>
    </rPh>
    <rPh sb="107" eb="108">
      <t>ロン</t>
    </rPh>
    <rPh sb="112" eb="116">
      <t>ジョウホウリンリ</t>
    </rPh>
    <rPh sb="151" eb="153">
      <t>ギョウカイ</t>
    </rPh>
    <rPh sb="154" eb="157">
      <t>イッパンテキ</t>
    </rPh>
    <rPh sb="158" eb="160">
      <t>リンリ</t>
    </rPh>
    <rPh sb="160" eb="162">
      <t>モンダイ</t>
    </rPh>
    <rPh sb="163" eb="164">
      <t>ロン</t>
    </rPh>
    <rPh sb="171" eb="172">
      <t>ナカ</t>
    </rPh>
    <rPh sb="185" eb="186">
      <t>カラ</t>
    </rPh>
    <rPh sb="188" eb="190">
      <t>モンダイ</t>
    </rPh>
    <rPh sb="195" eb="197">
      <t>ゲンキュウ</t>
    </rPh>
    <phoneticPr fontId="2"/>
  </si>
  <si>
    <t>文化現象を対象とした可視化・記述統計・推測統計・多変量解析</t>
    <rPh sb="0" eb="4">
      <t>ブンカゲンショウ</t>
    </rPh>
    <rPh sb="5" eb="7">
      <t xml:space="preserve">タイショウトシタ </t>
    </rPh>
    <rPh sb="10" eb="13">
      <t xml:space="preserve">カシカ </t>
    </rPh>
    <rPh sb="14" eb="18">
      <t xml:space="preserve">キジュツトウケイ </t>
    </rPh>
    <rPh sb="19" eb="23">
      <t xml:space="preserve">スイソクトウケイ </t>
    </rPh>
    <rPh sb="24" eb="29">
      <t xml:space="preserve">タヘンリョウカイセキ </t>
    </rPh>
    <phoneticPr fontId="2"/>
  </si>
  <si>
    <t>文化現象を対象とした機械学習の基礎</t>
    <rPh sb="0" eb="4">
      <t>ブンカゲンショウ</t>
    </rPh>
    <rPh sb="5" eb="7">
      <t>タイショウ</t>
    </rPh>
    <rPh sb="8" eb="10">
      <t xml:space="preserve">ジッセン </t>
    </rPh>
    <phoneticPr fontId="2"/>
  </si>
  <si>
    <t>人文地理学分析基礎演習</t>
    <phoneticPr fontId="2"/>
  </si>
  <si>
    <t>社会調査の設計と実施</t>
    <rPh sb="0" eb="4">
      <t>シャカイチョウサ</t>
    </rPh>
    <rPh sb="5" eb="7">
      <t>セッケイ</t>
    </rPh>
    <rPh sb="8" eb="10">
      <t>ジッシ</t>
    </rPh>
    <phoneticPr fontId="2"/>
  </si>
  <si>
    <t>データ解析の諸技術（主成分分析、クラスタリングなど）</t>
    <phoneticPr fontId="2"/>
  </si>
  <si>
    <t>生活社会調査実習</t>
    <rPh sb="0" eb="2">
      <t>セイカツ</t>
    </rPh>
    <rPh sb="2" eb="6">
      <t>シャカイチョウサ</t>
    </rPh>
    <rPh sb="6" eb="8">
      <t>ジッシュウ</t>
    </rPh>
    <phoneticPr fontId="2"/>
  </si>
  <si>
    <t>実験値解析法</t>
    <rPh sb="0" eb="3">
      <t>ジッケンチ</t>
    </rPh>
    <rPh sb="3" eb="6">
      <t>カイセキホウ</t>
    </rPh>
    <phoneticPr fontId="2"/>
  </si>
  <si>
    <t>生物統計学</t>
    <rPh sb="0" eb="5">
      <t>セイブツトウケイガク</t>
    </rPh>
    <phoneticPr fontId="2"/>
  </si>
  <si>
    <t>地域統計の探索、地域データの集計や分析</t>
    <rPh sb="0" eb="2">
      <t>チイキ</t>
    </rPh>
    <rPh sb="2" eb="4">
      <t>トウケイ</t>
    </rPh>
    <rPh sb="5" eb="7">
      <t>タンサク</t>
    </rPh>
    <rPh sb="8" eb="10">
      <t>チイキ</t>
    </rPh>
    <rPh sb="14" eb="16">
      <t>シュウケイ</t>
    </rPh>
    <rPh sb="17" eb="19">
      <t>ブンセキ</t>
    </rPh>
    <phoneticPr fontId="2"/>
  </si>
  <si>
    <t>社会調査の企画と実施、標本設計、集計と分析</t>
    <rPh sb="0" eb="4">
      <t>シャカイチョウサ</t>
    </rPh>
    <rPh sb="5" eb="7">
      <t>キカク</t>
    </rPh>
    <rPh sb="8" eb="10">
      <t>ジッシ</t>
    </rPh>
    <rPh sb="11" eb="13">
      <t>ヒョウホン</t>
    </rPh>
    <rPh sb="13" eb="15">
      <t>セッケイ</t>
    </rPh>
    <rPh sb="16" eb="18">
      <t>シュウケイ</t>
    </rPh>
    <rPh sb="19" eb="21">
      <t>ブンセキ</t>
    </rPh>
    <phoneticPr fontId="2"/>
  </si>
  <si>
    <t>統計各種手法、生活調査の分析と報告書作成</t>
    <rPh sb="0" eb="2">
      <t>トウケイ</t>
    </rPh>
    <rPh sb="2" eb="4">
      <t>カクシュ</t>
    </rPh>
    <rPh sb="4" eb="6">
      <t>シュホウ</t>
    </rPh>
    <rPh sb="7" eb="9">
      <t>セイカツ</t>
    </rPh>
    <rPh sb="9" eb="11">
      <t>チョウサ</t>
    </rPh>
    <rPh sb="12" eb="14">
      <t>ブンセキ</t>
    </rPh>
    <rPh sb="15" eb="20">
      <t>ホウコクショサクセイ</t>
    </rPh>
    <phoneticPr fontId="2"/>
  </si>
  <si>
    <t>統計各種手法、化学実験データの分析</t>
    <rPh sb="0" eb="2">
      <t>トウケイ</t>
    </rPh>
    <rPh sb="2" eb="4">
      <t>カクシュ</t>
    </rPh>
    <rPh sb="4" eb="6">
      <t>シュホウ</t>
    </rPh>
    <rPh sb="7" eb="9">
      <t>カガク</t>
    </rPh>
    <rPh sb="9" eb="11">
      <t>ジッケン</t>
    </rPh>
    <rPh sb="15" eb="17">
      <t>ブンセキ</t>
    </rPh>
    <phoneticPr fontId="2"/>
  </si>
  <si>
    <t>統計各種手法、生命科学データの解析</t>
    <rPh sb="0" eb="2">
      <t>トウケイ</t>
    </rPh>
    <rPh sb="2" eb="4">
      <t>カクシュ</t>
    </rPh>
    <rPh sb="4" eb="6">
      <t>シュホウ</t>
    </rPh>
    <rPh sb="7" eb="11">
      <t>セイメイカガク</t>
    </rPh>
    <rPh sb="15" eb="17">
      <t>カイセキ</t>
    </rPh>
    <phoneticPr fontId="2"/>
  </si>
  <si>
    <t>文理融合AI・データサイエンスセンターが中心となって、カリキュラム科目群の履修状況の分析を実施し、カリキュラム修了を目指す学生の履修状況を把握する。どのような科目を履修する学生が多いかを把握し、次年度以降に本カリキュラムに挑戦する学生へのアドバイス資料として活用する。またカリキュラム修了を目指す学生が思うように単位を取得できていない科目について、担当教員との情報共有によりどのように状況を改善できるかについて協議する。</t>
    <rPh sb="0" eb="4">
      <t>ブンリユウゴウ</t>
    </rPh>
    <rPh sb="20" eb="22">
      <t>チュウシン</t>
    </rPh>
    <rPh sb="33" eb="36">
      <t>カモクグン</t>
    </rPh>
    <rPh sb="37" eb="39">
      <t>リシュウ</t>
    </rPh>
    <rPh sb="39" eb="41">
      <t>ジョウキョウ</t>
    </rPh>
    <rPh sb="42" eb="44">
      <t>ブンセキ</t>
    </rPh>
    <rPh sb="45" eb="47">
      <t>ジッシ</t>
    </rPh>
    <rPh sb="55" eb="57">
      <t>シュウリョウ</t>
    </rPh>
    <rPh sb="58" eb="60">
      <t>メザ</t>
    </rPh>
    <rPh sb="61" eb="63">
      <t>ガクセイ</t>
    </rPh>
    <rPh sb="64" eb="66">
      <t>リシュウ</t>
    </rPh>
    <rPh sb="66" eb="68">
      <t>ジョウキョウ</t>
    </rPh>
    <rPh sb="69" eb="71">
      <t>ハアク</t>
    </rPh>
    <rPh sb="79" eb="81">
      <t>カモク</t>
    </rPh>
    <rPh sb="82" eb="84">
      <t>リシュウ</t>
    </rPh>
    <rPh sb="86" eb="88">
      <t>ガクセイ</t>
    </rPh>
    <rPh sb="89" eb="90">
      <t>オオ</t>
    </rPh>
    <rPh sb="93" eb="95">
      <t>ハアク</t>
    </rPh>
    <rPh sb="97" eb="100">
      <t>ジネンド</t>
    </rPh>
    <rPh sb="100" eb="102">
      <t>イコウ</t>
    </rPh>
    <rPh sb="103" eb="104">
      <t>ホン</t>
    </rPh>
    <rPh sb="111" eb="113">
      <t>チョウセン</t>
    </rPh>
    <rPh sb="115" eb="117">
      <t>ガクセイ</t>
    </rPh>
    <rPh sb="124" eb="126">
      <t>シリョウ</t>
    </rPh>
    <rPh sb="129" eb="131">
      <t>カツヨウ</t>
    </rPh>
    <rPh sb="142" eb="144">
      <t>シュウリョウ</t>
    </rPh>
    <rPh sb="145" eb="147">
      <t>メザ</t>
    </rPh>
    <rPh sb="148" eb="150">
      <t>ガクセイ</t>
    </rPh>
    <rPh sb="151" eb="152">
      <t>オモ</t>
    </rPh>
    <rPh sb="156" eb="158">
      <t>タンイ</t>
    </rPh>
    <rPh sb="159" eb="161">
      <t>シュトク</t>
    </rPh>
    <rPh sb="167" eb="169">
      <t>カモク</t>
    </rPh>
    <rPh sb="174" eb="178">
      <t>タントウキョウイン</t>
    </rPh>
    <rPh sb="180" eb="184">
      <t>ジョウホウキョウユウ</t>
    </rPh>
    <rPh sb="192" eb="194">
      <t>ジョウキョウ</t>
    </rPh>
    <rPh sb="195" eb="197">
      <t>カイゼン</t>
    </rPh>
    <rPh sb="205" eb="207">
      <t>キョウギブンリユウ</t>
    </rPh>
    <phoneticPr fontId="2"/>
  </si>
  <si>
    <t>文理融合AI・データサイエンスセンターが中心となって、本カリキュラム修了生の成績を分析することで、本カリキュラムによる学修成果を測ることができる。また本カリキュラム修了時には報告書の提出を義務付けているが、その内容からも学修成果を測ることができる。さらに、本カリキュラム修了生による資格試験合格などの履歴を追跡することからも学修成果を測ることが可能である。</t>
    <rPh sb="27" eb="28">
      <t>ホン</t>
    </rPh>
    <rPh sb="34" eb="36">
      <t>シュウリョウ</t>
    </rPh>
    <rPh sb="36" eb="37">
      <t>セイ</t>
    </rPh>
    <rPh sb="38" eb="40">
      <t>セイセキ</t>
    </rPh>
    <rPh sb="41" eb="43">
      <t>ブンセキ</t>
    </rPh>
    <rPh sb="49" eb="50">
      <t>ホン</t>
    </rPh>
    <rPh sb="59" eb="61">
      <t>ガクシュウ</t>
    </rPh>
    <rPh sb="61" eb="63">
      <t>セイカ</t>
    </rPh>
    <rPh sb="64" eb="65">
      <t>ハカ</t>
    </rPh>
    <rPh sb="75" eb="76">
      <t>ホン</t>
    </rPh>
    <rPh sb="82" eb="85">
      <t>シュウリョウジ</t>
    </rPh>
    <rPh sb="87" eb="90">
      <t>ホウコクショ</t>
    </rPh>
    <rPh sb="91" eb="93">
      <t>テイシュツ</t>
    </rPh>
    <rPh sb="94" eb="97">
      <t>ギムヅ</t>
    </rPh>
    <rPh sb="105" eb="107">
      <t>ナイヨウ</t>
    </rPh>
    <rPh sb="110" eb="112">
      <t>ガクシュウ</t>
    </rPh>
    <rPh sb="112" eb="114">
      <t>セイカ</t>
    </rPh>
    <rPh sb="115" eb="116">
      <t>ハカ</t>
    </rPh>
    <rPh sb="128" eb="129">
      <t>ホン</t>
    </rPh>
    <rPh sb="135" eb="137">
      <t>シュウリョウ</t>
    </rPh>
    <rPh sb="137" eb="138">
      <t>セイ</t>
    </rPh>
    <rPh sb="141" eb="143">
      <t>シカク</t>
    </rPh>
    <rPh sb="143" eb="145">
      <t>シケン</t>
    </rPh>
    <rPh sb="145" eb="147">
      <t>ゴウカク</t>
    </rPh>
    <rPh sb="150" eb="152">
      <t>リレキ</t>
    </rPh>
    <rPh sb="153" eb="155">
      <t>ツイセキ</t>
    </rPh>
    <rPh sb="162" eb="164">
      <t>ガクシュウ</t>
    </rPh>
    <rPh sb="164" eb="166">
      <t>セイカ</t>
    </rPh>
    <rPh sb="167" eb="168">
      <t>ハカ</t>
    </rPh>
    <rPh sb="172" eb="174">
      <t>カノウ</t>
    </rPh>
    <phoneticPr fontId="2"/>
  </si>
  <si>
    <t>本カリキュラムの修了生に対して事後アンケートを実施し、特に内容を理解できた科目、理解が難しかった科目などについて調査することで、今後のカリキュラムの運用の参考にする。
一方で本学では、本カリキュラムに限らず、全科目に対して授業評価アンケートを実施している。このアンケートから学生の内容の理解度を把握する。</t>
    <rPh sb="84" eb="86">
      <t>イッポウ</t>
    </rPh>
    <rPh sb="87" eb="89">
      <t>ホンガク</t>
    </rPh>
    <rPh sb="92" eb="93">
      <t>ホン</t>
    </rPh>
    <rPh sb="100" eb="101">
      <t>カギ</t>
    </rPh>
    <rPh sb="104" eb="107">
      <t>ゼンカモク</t>
    </rPh>
    <rPh sb="108" eb="109">
      <t>タイ</t>
    </rPh>
    <rPh sb="111" eb="115">
      <t>ジュギョウヒョウカ</t>
    </rPh>
    <rPh sb="121" eb="123">
      <t>ジッシ</t>
    </rPh>
    <rPh sb="137" eb="139">
      <t>ガクセイ</t>
    </rPh>
    <rPh sb="140" eb="142">
      <t>ナイヨウ</t>
    </rPh>
    <rPh sb="143" eb="146">
      <t>リカイド</t>
    </rPh>
    <rPh sb="147" eb="149">
      <t>ハアク</t>
    </rPh>
    <phoneticPr fontId="2"/>
  </si>
  <si>
    <t>本カリキュラムの修了生に対して実施する事後アンケートの一環で、後輩学生や他の学生への推薦内容にもついても質問を設け、その回答を本カリキュラムのウェブサイトに掲載するなどの形で、他の学生の履修と修了を促進する。</t>
    <rPh sb="0" eb="1">
      <t>ホン</t>
    </rPh>
    <rPh sb="8" eb="10">
      <t>シュウリョウ</t>
    </rPh>
    <rPh sb="10" eb="11">
      <t>セイ</t>
    </rPh>
    <rPh sb="12" eb="13">
      <t>タイ</t>
    </rPh>
    <rPh sb="15" eb="17">
      <t>ジッシ</t>
    </rPh>
    <rPh sb="19" eb="21">
      <t>ジゴ</t>
    </rPh>
    <rPh sb="27" eb="29">
      <t>イッカン</t>
    </rPh>
    <rPh sb="31" eb="33">
      <t>コウハイ</t>
    </rPh>
    <rPh sb="33" eb="35">
      <t>ガクセイ</t>
    </rPh>
    <rPh sb="36" eb="37">
      <t>ホカ</t>
    </rPh>
    <rPh sb="38" eb="40">
      <t>ガクセイ</t>
    </rPh>
    <rPh sb="42" eb="44">
      <t>スイセン</t>
    </rPh>
    <rPh sb="44" eb="46">
      <t>ナイヨウ</t>
    </rPh>
    <rPh sb="52" eb="54">
      <t>シツモン</t>
    </rPh>
    <rPh sb="55" eb="56">
      <t>モウ</t>
    </rPh>
    <rPh sb="60" eb="62">
      <t>カイトウ</t>
    </rPh>
    <rPh sb="63" eb="64">
      <t>ホン</t>
    </rPh>
    <rPh sb="78" eb="80">
      <t>ケイサイ</t>
    </rPh>
    <rPh sb="85" eb="86">
      <t>カタチ</t>
    </rPh>
    <rPh sb="88" eb="89">
      <t>ホカ</t>
    </rPh>
    <rPh sb="90" eb="92">
      <t>ガクセイ</t>
    </rPh>
    <rPh sb="93" eb="95">
      <t>リシュウ</t>
    </rPh>
    <rPh sb="96" eb="98">
      <t>シュウリョウ</t>
    </rPh>
    <rPh sb="99" eb="101">
      <t>ソクシン</t>
    </rPh>
    <phoneticPr fontId="2"/>
  </si>
  <si>
    <t>文理融合AI・データサイエンスセンターが中心となって、カリキュラム科目群の履修状況の分析を実施し、履修者数や履修率向上に向けた計画を立案し、進捗状況を管理する。また履修者数や履修率の向上に向けて、メーリングリスト・ポータル・グループチャットなどでの広報を継続的に推進する。</t>
    <rPh sb="0" eb="4">
      <t>ブンリユウゴウ</t>
    </rPh>
    <rPh sb="20" eb="22">
      <t>チュウシン</t>
    </rPh>
    <rPh sb="49" eb="51">
      <t>リシュウ</t>
    </rPh>
    <rPh sb="51" eb="52">
      <t>シャ</t>
    </rPh>
    <rPh sb="52" eb="53">
      <t>スウ</t>
    </rPh>
    <rPh sb="54" eb="56">
      <t>リシュウ</t>
    </rPh>
    <rPh sb="56" eb="57">
      <t>リツ</t>
    </rPh>
    <rPh sb="57" eb="59">
      <t>コウジョウ</t>
    </rPh>
    <rPh sb="60" eb="61">
      <t>ム</t>
    </rPh>
    <rPh sb="63" eb="65">
      <t>ケイカク</t>
    </rPh>
    <rPh sb="66" eb="68">
      <t>リツアン</t>
    </rPh>
    <rPh sb="70" eb="74">
      <t>シンチョクジョウキョウ</t>
    </rPh>
    <rPh sb="75" eb="77">
      <t>カンリ</t>
    </rPh>
    <rPh sb="82" eb="84">
      <t>リシュウ</t>
    </rPh>
    <rPh sb="84" eb="85">
      <t>シャ</t>
    </rPh>
    <rPh sb="85" eb="86">
      <t>スウ</t>
    </rPh>
    <rPh sb="87" eb="89">
      <t>リシュウ</t>
    </rPh>
    <rPh sb="89" eb="90">
      <t>リツ</t>
    </rPh>
    <rPh sb="91" eb="93">
      <t>コウジョウ</t>
    </rPh>
    <rPh sb="94" eb="95">
      <t>ム</t>
    </rPh>
    <rPh sb="124" eb="126">
      <t>コウホウ</t>
    </rPh>
    <rPh sb="127" eb="130">
      <t>ケイゾクテキ</t>
    </rPh>
    <rPh sb="131" eb="133">
      <t>スイシンカモクグンリシュウジョウキョウブンセキジッシシュウリョウメザガクセイリシュウジョウキョウハアクカモクリシュウガクセイオオハアクジネンドイコウホンチョウセンガクセイシリョウカツヨウシュウリョウメザガクセイオモタンイシュトクカモクタントウキョウインジョウホウキョウユウジョウキョウカイゼンキョウギブンリユウ</t>
    </rPh>
    <phoneticPr fontId="2"/>
  </si>
  <si>
    <t>文理融合AI・データサイエンスセンターが中心となって、カリキュラム修了者の卒業後の調査を実施し、その進路や活動状況を確認する。またカリキュラム修了者の就職先企業へのヒアリングを通して、カリキュラム修了者に対する企業評価を把握する仕組みを整備する予定である。</t>
    <rPh sb="33" eb="35">
      <t>シュウリョウ</t>
    </rPh>
    <rPh sb="35" eb="36">
      <t>シャ</t>
    </rPh>
    <rPh sb="37" eb="40">
      <t>ソツギョウゴ</t>
    </rPh>
    <rPh sb="41" eb="43">
      <t>チョウサ</t>
    </rPh>
    <rPh sb="44" eb="46">
      <t>ジッシ</t>
    </rPh>
    <rPh sb="50" eb="52">
      <t>シンロ</t>
    </rPh>
    <rPh sb="53" eb="57">
      <t>カツドウジョウキョウ</t>
    </rPh>
    <rPh sb="58" eb="60">
      <t>カクニン</t>
    </rPh>
    <rPh sb="71" eb="73">
      <t>シュウリョウ</t>
    </rPh>
    <rPh sb="73" eb="74">
      <t>シャ</t>
    </rPh>
    <rPh sb="75" eb="78">
      <t>シュウショクサキ</t>
    </rPh>
    <rPh sb="78" eb="80">
      <t>キギョウ</t>
    </rPh>
    <rPh sb="88" eb="89">
      <t>トオ</t>
    </rPh>
    <rPh sb="98" eb="100">
      <t>シュウリョウ</t>
    </rPh>
    <rPh sb="100" eb="101">
      <t>シャ</t>
    </rPh>
    <rPh sb="102" eb="103">
      <t>タイ</t>
    </rPh>
    <rPh sb="105" eb="109">
      <t>キギョウヒョウカ</t>
    </rPh>
    <rPh sb="110" eb="112">
      <t>ハアク</t>
    </rPh>
    <rPh sb="114" eb="116">
      <t>シク</t>
    </rPh>
    <rPh sb="118" eb="120">
      <t>セイビ</t>
    </rPh>
    <rPh sb="122" eb="124">
      <t>ヨテイ</t>
    </rPh>
    <phoneticPr fontId="2"/>
  </si>
  <si>
    <t>本学では「文理融合データサイエンスプログラム評価委員会」を設置しており、当委員会を中心にプログラムの履修・修得状況を調査する。当委員会では外部有識者、その他学長が必要と認めた者を委員に含むことが内規により定められている。産業界の有識者を委員に招聘することにより、産業界からの視点を含めた意見を本カリキュラムの運用に反映することができる。</t>
    <rPh sb="63" eb="67">
      <t>トウイインカイ</t>
    </rPh>
    <rPh sb="77" eb="78">
      <t>ホカ</t>
    </rPh>
    <rPh sb="78" eb="80">
      <t>ガクチョウ</t>
    </rPh>
    <rPh sb="81" eb="83">
      <t>ヒツヨウ</t>
    </rPh>
    <rPh sb="84" eb="85">
      <t>ミト</t>
    </rPh>
    <rPh sb="87" eb="88">
      <t>モノ</t>
    </rPh>
    <rPh sb="89" eb="91">
      <t>イイン</t>
    </rPh>
    <rPh sb="92" eb="93">
      <t>フク</t>
    </rPh>
    <rPh sb="97" eb="99">
      <t>ナイキ</t>
    </rPh>
    <rPh sb="102" eb="103">
      <t>サダ</t>
    </rPh>
    <rPh sb="110" eb="113">
      <t>サンギョウカイ</t>
    </rPh>
    <rPh sb="114" eb="117">
      <t>ユウシキシャ</t>
    </rPh>
    <rPh sb="118" eb="120">
      <t>イイン</t>
    </rPh>
    <rPh sb="121" eb="123">
      <t>ショウヘイ</t>
    </rPh>
    <rPh sb="131" eb="134">
      <t>サンギョウカイ</t>
    </rPh>
    <rPh sb="137" eb="139">
      <t>シテン</t>
    </rPh>
    <rPh sb="140" eb="141">
      <t>フク</t>
    </rPh>
    <rPh sb="143" eb="145">
      <t>イケン</t>
    </rPh>
    <rPh sb="146" eb="147">
      <t>ホン</t>
    </rPh>
    <rPh sb="154" eb="156">
      <t>ウンヨウ</t>
    </rPh>
    <rPh sb="157" eb="159">
      <t>ハンエイ</t>
    </rPh>
    <phoneticPr fontId="2"/>
  </si>
  <si>
    <t>本学では、本カリキュラムに限らず、全科目に対して授業評価アンケートを実施している。このアンケートから学生の内容の理解度を把握することにより、内容・水準を維持・向上しつつ、授業内容の理解度を高める工夫を創発できる。
また本学では、Faculty Development (FD) のための様々な取り組みを実施しており、その中で「わかりやすい授業」を実現するための研修を実施することも可能である。</t>
    <rPh sb="70" eb="72">
      <t>ナイヨウ</t>
    </rPh>
    <rPh sb="73" eb="75">
      <t>スイジュン</t>
    </rPh>
    <rPh sb="76" eb="78">
      <t>イジ</t>
    </rPh>
    <rPh sb="79" eb="81">
      <t>コウジョウ</t>
    </rPh>
    <rPh sb="85" eb="89">
      <t>ジュギョウナイヨウ</t>
    </rPh>
    <rPh sb="90" eb="93">
      <t>リカイド</t>
    </rPh>
    <rPh sb="94" eb="95">
      <t>タカ</t>
    </rPh>
    <rPh sb="97" eb="99">
      <t>クフウ</t>
    </rPh>
    <rPh sb="100" eb="102">
      <t>ソウハツ</t>
    </rPh>
    <rPh sb="109" eb="111">
      <t>ホンガク</t>
    </rPh>
    <rPh sb="143" eb="145">
      <t>サマザマ</t>
    </rPh>
    <rPh sb="146" eb="147">
      <t>ト</t>
    </rPh>
    <rPh sb="148" eb="149">
      <t>ク</t>
    </rPh>
    <rPh sb="151" eb="153">
      <t>ジッシ</t>
    </rPh>
    <rPh sb="160" eb="161">
      <t>ナカ</t>
    </rPh>
    <rPh sb="169" eb="171">
      <t>ジュギョウ</t>
    </rPh>
    <rPh sb="173" eb="175">
      <t>ジツゲン</t>
    </rPh>
    <rPh sb="180" eb="182">
      <t>ケンシュウ</t>
    </rPh>
    <rPh sb="183" eb="185">
      <t>ジッシ</t>
    </rPh>
    <rPh sb="190" eb="192">
      <t>カノウ</t>
    </rPh>
    <phoneticPr fontId="2"/>
  </si>
  <si>
    <t>コンピュータシステムがもたらす社会変化とデータ社会の関係</t>
    <rPh sb="15" eb="19">
      <t>シャカイヘンカ</t>
    </rPh>
    <rPh sb="23" eb="25">
      <t>シャカイ</t>
    </rPh>
    <rPh sb="26" eb="28">
      <t>カンケイ</t>
    </rPh>
    <phoneticPr fontId="2"/>
  </si>
  <si>
    <t>お茶の水女子大学</t>
    <rPh sb="1" eb="2">
      <t>チャ</t>
    </rPh>
    <rPh sb="3" eb="8">
      <t>ミズジョシダイガク</t>
    </rPh>
    <phoneticPr fontId="2"/>
  </si>
  <si>
    <t>国立大学法人 お茶の水女子大学</t>
    <rPh sb="0" eb="2">
      <t>コクリツ</t>
    </rPh>
    <rPh sb="2" eb="4">
      <t>ダイガク</t>
    </rPh>
    <rPh sb="4" eb="6">
      <t>ホウジン</t>
    </rPh>
    <rPh sb="8" eb="9">
      <t>チャ</t>
    </rPh>
    <rPh sb="10" eb="11">
      <t>ミズ</t>
    </rPh>
    <rPh sb="11" eb="15">
      <t>ジョシダイガク</t>
    </rPh>
    <phoneticPr fontId="2"/>
  </si>
  <si>
    <t>国立大学</t>
  </si>
  <si>
    <t>東京都文京区大塚２丁目１番１</t>
    <rPh sb="0" eb="3">
      <t>トウキョウト</t>
    </rPh>
    <rPh sb="3" eb="6">
      <t>ブンキョウク</t>
    </rPh>
    <rPh sb="6" eb="8">
      <t>オオツカ</t>
    </rPh>
    <rPh sb="9" eb="11">
      <t>チョウメ</t>
    </rPh>
    <rPh sb="12" eb="13">
      <t>バン</t>
    </rPh>
    <phoneticPr fontId="2"/>
  </si>
  <si>
    <t>脇　紀夫</t>
    <rPh sb="0" eb="1">
      <t>ワキ</t>
    </rPh>
    <rPh sb="2" eb="4">
      <t>ノリオ</t>
    </rPh>
    <phoneticPr fontId="2"/>
  </si>
  <si>
    <t>kyouiku.kikaku@cc.ocha.ac.jp</t>
    <phoneticPr fontId="2"/>
  </si>
  <si>
    <t>お茶の水女子大学</t>
    <rPh sb="1" eb="2">
      <t>チャ</t>
    </rPh>
    <rPh sb="3" eb="4">
      <t>ミズ</t>
    </rPh>
    <rPh sb="4" eb="6">
      <t>ジョシ</t>
    </rPh>
    <rPh sb="6" eb="8">
      <t>ダイガク</t>
    </rPh>
    <phoneticPr fontId="2"/>
  </si>
  <si>
    <t>様式４</t>
    <rPh sb="0" eb="2">
      <t>ヨウシキ</t>
    </rPh>
    <phoneticPr fontId="2"/>
  </si>
  <si>
    <t>お茶の水女子大学</t>
    <rPh sb="1" eb="2">
      <t>チャ</t>
    </rPh>
    <rPh sb="3" eb="4">
      <t>ミズ</t>
    </rPh>
    <rPh sb="4" eb="6">
      <t>ジョシ</t>
    </rPh>
    <rPh sb="6" eb="8">
      <t>ダイガク</t>
    </rPh>
    <phoneticPr fontId="2"/>
  </si>
  <si>
    <t>様式２</t>
    <rPh sb="0" eb="2">
      <t>ヨウシキ</t>
    </rPh>
    <phoneticPr fontId="2"/>
  </si>
  <si>
    <t>令和２年度</t>
    <rPh sb="0" eb="2">
      <t>レイワ</t>
    </rPh>
    <rPh sb="3" eb="5">
      <t>ネンド</t>
    </rPh>
    <phoneticPr fontId="2"/>
  </si>
  <si>
    <t>新井 由紀夫</t>
    <rPh sb="0" eb="2">
      <t>アライ</t>
    </rPh>
    <rPh sb="3" eb="6">
      <t>ユキオ</t>
    </rPh>
    <phoneticPr fontId="2"/>
  </si>
  <si>
    <t>理事・副学長（教育改革担当）</t>
    <rPh sb="0" eb="2">
      <t>リジ</t>
    </rPh>
    <rPh sb="3" eb="6">
      <t>フクガクチョウ</t>
    </rPh>
    <rPh sb="7" eb="9">
      <t>キョウイク</t>
    </rPh>
    <rPh sb="9" eb="11">
      <t>カイカク</t>
    </rPh>
    <rPh sb="11" eb="13">
      <t>タントウ</t>
    </rPh>
    <phoneticPr fontId="2"/>
  </si>
  <si>
    <t>伊藤  貴之</t>
    <rPh sb="0" eb="2">
      <t>イトウ</t>
    </rPh>
    <rPh sb="4" eb="6">
      <t>タカユキ</t>
    </rPh>
    <phoneticPr fontId="2"/>
  </si>
  <si>
    <t>センター長</t>
    <rPh sb="4" eb="5">
      <t>オサ</t>
    </rPh>
    <phoneticPr fontId="2"/>
  </si>
  <si>
    <t>文理融合データサイエンスプログラム評価委員会</t>
    <rPh sb="0" eb="2">
      <t>ブンリ</t>
    </rPh>
    <rPh sb="2" eb="4">
      <t>ユウゴウ</t>
    </rPh>
    <rPh sb="17" eb="19">
      <t>ヒョウカ</t>
    </rPh>
    <rPh sb="19" eb="22">
      <t>イインカイ</t>
    </rPh>
    <phoneticPr fontId="2"/>
  </si>
  <si>
    <t>新井  由紀夫</t>
    <rPh sb="0" eb="2">
      <t>アライ</t>
    </rPh>
    <rPh sb="4" eb="7">
      <t>ユキオ</t>
    </rPh>
    <phoneticPr fontId="2"/>
  </si>
  <si>
    <t>03(5978)2582</t>
    <phoneticPr fontId="2"/>
  </si>
  <si>
    <t>お茶の水女子大学</t>
    <rPh sb="1" eb="2">
      <t>チャ</t>
    </rPh>
    <rPh sb="3" eb="4">
      <t>ミズ</t>
    </rPh>
    <rPh sb="4" eb="7">
      <t>ジョシダイ</t>
    </rPh>
    <rPh sb="7" eb="8">
      <t>ガク</t>
    </rPh>
    <phoneticPr fontId="2"/>
  </si>
  <si>
    <t>文理融合ＡＩ・データサイエンスセンター規則／文理融合データサイエンスプログラム評価委員会内規</t>
    <rPh sb="0" eb="2">
      <t>ブンリ</t>
    </rPh>
    <rPh sb="2" eb="4">
      <t>ユウゴウ</t>
    </rPh>
    <rPh sb="19" eb="21">
      <t>キソク</t>
    </rPh>
    <rPh sb="44" eb="46">
      <t>ナイキ</t>
    </rPh>
    <phoneticPr fontId="2"/>
  </si>
  <si>
    <t>お茶の水女子大学</t>
    <rPh sb="1" eb="2">
      <t>チャ</t>
    </rPh>
    <rPh sb="3" eb="4">
      <t>ミズ</t>
    </rPh>
    <rPh sb="4" eb="6">
      <t>ジョシ</t>
    </rPh>
    <rPh sb="6" eb="8">
      <t>ダイガク</t>
    </rPh>
    <phoneticPr fontId="2"/>
  </si>
  <si>
    <t>本学では令和元年度に既存組織のシミュレーション科学・生命情報学教育研究センターを改組し、文理融合AI・データサイエンスセンターを設立した。本センターでは数理・データサイエンス・AIの全学的な研究教育の促進を目的としてこれから本格到来するSociety5.0、AI,IoT時代における数理・データサイエンスへの処理能力を備えた人材育成が可能な教育研究を推進するための組織として設立された。プログラムの改善は自己点検や文理融合データサイエンスプログラム評価委員会等の提案を受けセンターが主体となって行う。</t>
    <rPh sb="4" eb="6">
      <t>レイワ</t>
    </rPh>
    <rPh sb="6" eb="7">
      <t>ゲン</t>
    </rPh>
    <rPh sb="7" eb="8">
      <t>ネン</t>
    </rPh>
    <rPh sb="8" eb="9">
      <t>ド</t>
    </rPh>
    <rPh sb="10" eb="12">
      <t>キゾン</t>
    </rPh>
    <rPh sb="12" eb="14">
      <t>ソシキ</t>
    </rPh>
    <rPh sb="23" eb="25">
      <t>カガク</t>
    </rPh>
    <rPh sb="26" eb="28">
      <t>セイメイ</t>
    </rPh>
    <rPh sb="28" eb="31">
      <t>ジョウホウガク</t>
    </rPh>
    <rPh sb="31" eb="33">
      <t>キョウイク</t>
    </rPh>
    <rPh sb="33" eb="35">
      <t>ケンキュウ</t>
    </rPh>
    <rPh sb="40" eb="42">
      <t>カイソ</t>
    </rPh>
    <rPh sb="46" eb="47">
      <t>ネン</t>
    </rPh>
    <rPh sb="48" eb="52">
      <t>ブンリユウゴウ</t>
    </rPh>
    <rPh sb="73" eb="74">
      <t>ホン</t>
    </rPh>
    <rPh sb="112" eb="114">
      <t>ホンカク</t>
    </rPh>
    <rPh sb="114" eb="116">
      <t>トウライ</t>
    </rPh>
    <rPh sb="135" eb="137">
      <t>ジダイ</t>
    </rPh>
    <rPh sb="141" eb="143">
      <t>スウリ</t>
    </rPh>
    <rPh sb="154" eb="156">
      <t>ショリ</t>
    </rPh>
    <rPh sb="156" eb="158">
      <t>ノウリョク</t>
    </rPh>
    <rPh sb="159" eb="160">
      <t>ソナ</t>
    </rPh>
    <rPh sb="162" eb="164">
      <t>ジンザイ</t>
    </rPh>
    <rPh sb="164" eb="166">
      <t>イクセイ</t>
    </rPh>
    <rPh sb="167" eb="169">
      <t>カノウ</t>
    </rPh>
    <rPh sb="170" eb="172">
      <t>キョウイク</t>
    </rPh>
    <rPh sb="172" eb="174">
      <t>ケンキュウ</t>
    </rPh>
    <rPh sb="175" eb="177">
      <t>スイシン</t>
    </rPh>
    <rPh sb="182" eb="184">
      <t>ソシキ</t>
    </rPh>
    <rPh sb="187" eb="189">
      <t>セツリツ</t>
    </rPh>
    <rPh sb="199" eb="201">
      <t>カイゼン</t>
    </rPh>
    <rPh sb="202" eb="204">
      <t>ジコ</t>
    </rPh>
    <rPh sb="204" eb="206">
      <t>テンケン</t>
    </rPh>
    <rPh sb="207" eb="209">
      <t>ブンリ</t>
    </rPh>
    <rPh sb="209" eb="211">
      <t>ユウゴウ</t>
    </rPh>
    <rPh sb="224" eb="226">
      <t>ヒョウカ</t>
    </rPh>
    <rPh sb="226" eb="229">
      <t>イインカイ</t>
    </rPh>
    <rPh sb="229" eb="230">
      <t>ナド</t>
    </rPh>
    <rPh sb="231" eb="233">
      <t>テイアン</t>
    </rPh>
    <rPh sb="234" eb="235">
      <t>ウ</t>
    </rPh>
    <rPh sb="241" eb="243">
      <t>シュタイ</t>
    </rPh>
    <rPh sb="247" eb="248">
      <t>オコナ</t>
    </rPh>
    <phoneticPr fontId="2"/>
  </si>
  <si>
    <t>・伊藤貴之（センター長　専門：情報可視化・マルチメディア）
・太田裕治（副センター長　専門：生体医工学・人間工学）
・西村純子（副センター長　専門：家族社会学・ワークライフバランスの社会学）
・由良敬（副センター長　専門：生物物理学・計算物理学）
専門は異なるがデータサイエンスを主たる専門とする上記４人をセンター長・副センター長として配し、センターの運営にあたっている。
これ以外の構成員は以下のとおり
https://www.cf.ocha.ac.jp/ai-ds/j/menu/member/index.html</t>
    <rPh sb="1" eb="3">
      <t>イトウ</t>
    </rPh>
    <rPh sb="3" eb="5">
      <t>タカユキ</t>
    </rPh>
    <rPh sb="10" eb="11">
      <t>オサ</t>
    </rPh>
    <rPh sb="12" eb="14">
      <t>センモン</t>
    </rPh>
    <rPh sb="15" eb="17">
      <t>ジョウホウ</t>
    </rPh>
    <rPh sb="17" eb="19">
      <t>カシ</t>
    </rPh>
    <rPh sb="19" eb="20">
      <t>カ</t>
    </rPh>
    <rPh sb="31" eb="33">
      <t>オオタ</t>
    </rPh>
    <rPh sb="33" eb="35">
      <t>ユウジ</t>
    </rPh>
    <rPh sb="36" eb="37">
      <t>フク</t>
    </rPh>
    <rPh sb="41" eb="42">
      <t>オサ</t>
    </rPh>
    <rPh sb="43" eb="45">
      <t>センモン</t>
    </rPh>
    <rPh sb="46" eb="48">
      <t>セイタイ</t>
    </rPh>
    <rPh sb="48" eb="51">
      <t>イコウガク</t>
    </rPh>
    <rPh sb="52" eb="54">
      <t>ニンゲン</t>
    </rPh>
    <rPh sb="54" eb="56">
      <t>コウガク</t>
    </rPh>
    <rPh sb="59" eb="61">
      <t>ニシムラ</t>
    </rPh>
    <rPh sb="61" eb="63">
      <t>ジュンコ</t>
    </rPh>
    <rPh sb="64" eb="65">
      <t>フク</t>
    </rPh>
    <rPh sb="69" eb="70">
      <t>オサ</t>
    </rPh>
    <rPh sb="71" eb="73">
      <t>センモン</t>
    </rPh>
    <rPh sb="74" eb="76">
      <t>カゾク</t>
    </rPh>
    <rPh sb="76" eb="79">
      <t>シャカイガク</t>
    </rPh>
    <rPh sb="91" eb="94">
      <t>シャカイガク</t>
    </rPh>
    <rPh sb="97" eb="99">
      <t>ユラ</t>
    </rPh>
    <rPh sb="99" eb="100">
      <t>ウヤマ</t>
    </rPh>
    <rPh sb="101" eb="102">
      <t>フク</t>
    </rPh>
    <rPh sb="106" eb="107">
      <t>オサ</t>
    </rPh>
    <rPh sb="108" eb="110">
      <t>センモン</t>
    </rPh>
    <rPh sb="111" eb="113">
      <t>セイブツ</t>
    </rPh>
    <rPh sb="113" eb="116">
      <t>ブツリガク</t>
    </rPh>
    <rPh sb="117" eb="119">
      <t>ケイサン</t>
    </rPh>
    <rPh sb="119" eb="122">
      <t>ブツリガク</t>
    </rPh>
    <rPh sb="124" eb="126">
      <t>センモン</t>
    </rPh>
    <rPh sb="127" eb="128">
      <t>コト</t>
    </rPh>
    <rPh sb="140" eb="141">
      <t>シュ</t>
    </rPh>
    <rPh sb="143" eb="145">
      <t>センモン</t>
    </rPh>
    <rPh sb="148" eb="150">
      <t>ジョウキ</t>
    </rPh>
    <rPh sb="151" eb="152">
      <t>ニン</t>
    </rPh>
    <rPh sb="157" eb="158">
      <t>オサ</t>
    </rPh>
    <rPh sb="159" eb="160">
      <t>フク</t>
    </rPh>
    <rPh sb="164" eb="165">
      <t>オサ</t>
    </rPh>
    <rPh sb="168" eb="169">
      <t>ハイ</t>
    </rPh>
    <rPh sb="176" eb="178">
      <t>ウンエイ</t>
    </rPh>
    <rPh sb="190" eb="192">
      <t>イガイ</t>
    </rPh>
    <rPh sb="193" eb="196">
      <t>コウセイイン</t>
    </rPh>
    <rPh sb="197" eb="199">
      <t>イカ</t>
    </rPh>
    <phoneticPr fontId="2"/>
  </si>
  <si>
    <t>全ての学生が統計学や情報処理学の基礎的応用的な知識を習得し、文系・理系を問わず幅広い学問領域において客観性の高い知見を見出す方法論と、卒業後多様な職種において業務上の問題解決のための有用な方法論を身に付けることができる。</t>
    <rPh sb="0" eb="1">
      <t>スベ</t>
    </rPh>
    <rPh sb="3" eb="5">
      <t>ガクセイ</t>
    </rPh>
    <rPh sb="6" eb="9">
      <t>トウケイガク</t>
    </rPh>
    <rPh sb="10" eb="12">
      <t>ジョウホウ</t>
    </rPh>
    <rPh sb="12" eb="15">
      <t>ショリガク</t>
    </rPh>
    <rPh sb="16" eb="18">
      <t>キソ</t>
    </rPh>
    <rPh sb="18" eb="19">
      <t>テキ</t>
    </rPh>
    <rPh sb="19" eb="21">
      <t>オウヨウ</t>
    </rPh>
    <rPh sb="21" eb="22">
      <t>テキ</t>
    </rPh>
    <rPh sb="23" eb="25">
      <t>チシキ</t>
    </rPh>
    <rPh sb="26" eb="28">
      <t>シュウトク</t>
    </rPh>
    <rPh sb="30" eb="32">
      <t>ブンケイ</t>
    </rPh>
    <rPh sb="33" eb="35">
      <t>リケイ</t>
    </rPh>
    <rPh sb="36" eb="37">
      <t>ト</t>
    </rPh>
    <rPh sb="39" eb="41">
      <t>ハバヒロ</t>
    </rPh>
    <rPh sb="42" eb="44">
      <t>ガクモン</t>
    </rPh>
    <rPh sb="44" eb="46">
      <t>リョウイキ</t>
    </rPh>
    <rPh sb="50" eb="53">
      <t>キャッカンセイ</t>
    </rPh>
    <rPh sb="54" eb="55">
      <t>タカ</t>
    </rPh>
    <rPh sb="56" eb="58">
      <t>チケン</t>
    </rPh>
    <rPh sb="59" eb="61">
      <t>ミイダ</t>
    </rPh>
    <rPh sb="62" eb="65">
      <t>ホウホウロン</t>
    </rPh>
    <rPh sb="67" eb="70">
      <t>ソツギョウゴ</t>
    </rPh>
    <rPh sb="70" eb="72">
      <t>タヨウ</t>
    </rPh>
    <rPh sb="73" eb="75">
      <t>ショクシュ</t>
    </rPh>
    <rPh sb="79" eb="82">
      <t>ギョウムジョウ</t>
    </rPh>
    <rPh sb="83" eb="85">
      <t>モンダイ</t>
    </rPh>
    <rPh sb="85" eb="87">
      <t>カイケツ</t>
    </rPh>
    <rPh sb="91" eb="93">
      <t>ユウヨウ</t>
    </rPh>
    <rPh sb="94" eb="97">
      <t>ホウホウロン</t>
    </rPh>
    <rPh sb="98" eb="99">
      <t>ミ</t>
    </rPh>
    <rPh sb="100" eb="101">
      <t>ツ</t>
    </rPh>
    <phoneticPr fontId="2"/>
  </si>
  <si>
    <t xml:space="preserve">本カリキュラムを多くの学生に周知する手段として、履修ガイドに本カリキュラムを掲載して新入生に説明するだけでなく、文理融合AI・データサイエンスセンターのウェブサイトに情報を掲載することで、全学年の学生がいつでもカリキュラムについて調べられるようにする。さらに、学生用のポータルサイト・メーリングリスト・グループチャットなどに定期的に情報を発信し、学内の掲示板にポスターを掲示するなどして、本カリキュラムが学生の目にとまりやすいようにする。また文理融合AI・データサイエンスセンターは本学のほぼ全ての学科から教員が所属することから、センター教員が各学科において周知を進める。
本カリキュラムの必修科目である「文理融合データサイエンスI,II」の授業中にも本カリキュラムを告知することで、必修科目だけでなく基幹科目・連携科目の履修を促す。両科目を履修した学生が1人でも多く本カリキュラムの修了を目指すことができるように、カリキュラムの具体的な趣旨や修了条件を記載したパンフレットを履修者全員に配布するなどして、カリキュラムの周知に努める。
</t>
    <rPh sb="0" eb="1">
      <t>ホン</t>
    </rPh>
    <rPh sb="8" eb="9">
      <t>オオ</t>
    </rPh>
    <rPh sb="11" eb="13">
      <t>ガクセイ</t>
    </rPh>
    <rPh sb="14" eb="16">
      <t>シュウチ</t>
    </rPh>
    <rPh sb="18" eb="20">
      <t>シュダン</t>
    </rPh>
    <rPh sb="24" eb="26">
      <t>リシュウ</t>
    </rPh>
    <rPh sb="30" eb="31">
      <t>ホン</t>
    </rPh>
    <rPh sb="38" eb="40">
      <t>ケイサイ</t>
    </rPh>
    <rPh sb="42" eb="45">
      <t>シンニュウセイ</t>
    </rPh>
    <rPh sb="46" eb="48">
      <t>セツメイ</t>
    </rPh>
    <rPh sb="56" eb="60">
      <t>ブンリユウゴウ</t>
    </rPh>
    <rPh sb="83" eb="85">
      <t>ジョウホウ</t>
    </rPh>
    <rPh sb="86" eb="88">
      <t>ケイサイ</t>
    </rPh>
    <rPh sb="94" eb="97">
      <t>ゼンガクネン</t>
    </rPh>
    <rPh sb="98" eb="100">
      <t>ガクセイ</t>
    </rPh>
    <rPh sb="115" eb="116">
      <t>シラ</t>
    </rPh>
    <rPh sb="130" eb="132">
      <t>ガクセイ</t>
    </rPh>
    <rPh sb="132" eb="133">
      <t>ヨウ</t>
    </rPh>
    <rPh sb="162" eb="165">
      <t>テイキテキ</t>
    </rPh>
    <rPh sb="166" eb="168">
      <t>ジョウホウ</t>
    </rPh>
    <rPh sb="169" eb="171">
      <t>ハッシン</t>
    </rPh>
    <rPh sb="173" eb="175">
      <t>ガクナイ</t>
    </rPh>
    <rPh sb="176" eb="179">
      <t>ケイジバン</t>
    </rPh>
    <rPh sb="185" eb="187">
      <t>ケイジ</t>
    </rPh>
    <rPh sb="194" eb="195">
      <t>ホン</t>
    </rPh>
    <rPh sb="202" eb="204">
      <t>ガクセイ</t>
    </rPh>
    <rPh sb="205" eb="206">
      <t>メ</t>
    </rPh>
    <rPh sb="288" eb="289">
      <t>ホン</t>
    </rPh>
    <rPh sb="296" eb="300">
      <t>ヒッシュウカモク</t>
    </rPh>
    <rPh sb="304" eb="308">
      <t>ブンリユウゴウ</t>
    </rPh>
    <rPh sb="322" eb="325">
      <t>ジュギョウチュウ</t>
    </rPh>
    <rPh sb="327" eb="328">
      <t>ホン</t>
    </rPh>
    <rPh sb="335" eb="337">
      <t>コクチ</t>
    </rPh>
    <rPh sb="343" eb="347">
      <t>ヒッシュウカモク</t>
    </rPh>
    <rPh sb="352" eb="354">
      <t>キカン</t>
    </rPh>
    <rPh sb="354" eb="356">
      <t>カモク</t>
    </rPh>
    <rPh sb="357" eb="359">
      <t>レンケイ</t>
    </rPh>
    <rPh sb="359" eb="361">
      <t>カモク</t>
    </rPh>
    <rPh sb="362" eb="364">
      <t>リシュウ</t>
    </rPh>
    <rPh sb="365" eb="366">
      <t>ウナガ</t>
    </rPh>
    <rPh sb="368" eb="371">
      <t>リョウカモク</t>
    </rPh>
    <rPh sb="372" eb="374">
      <t>リシュウ</t>
    </rPh>
    <rPh sb="376" eb="378">
      <t>ガクセイ</t>
    </rPh>
    <rPh sb="380" eb="381">
      <t>ニン</t>
    </rPh>
    <rPh sb="383" eb="384">
      <t>オオ</t>
    </rPh>
    <rPh sb="385" eb="386">
      <t>ホン</t>
    </rPh>
    <rPh sb="393" eb="395">
      <t>シュウリョウ</t>
    </rPh>
    <rPh sb="396" eb="398">
      <t>メザ</t>
    </rPh>
    <rPh sb="416" eb="419">
      <t>グタイテキ</t>
    </rPh>
    <rPh sb="420" eb="422">
      <t>シュシ</t>
    </rPh>
    <rPh sb="423" eb="425">
      <t>シュウリョウ</t>
    </rPh>
    <rPh sb="425" eb="427">
      <t>ジョウケン</t>
    </rPh>
    <rPh sb="428" eb="430">
      <t>キサイ</t>
    </rPh>
    <rPh sb="439" eb="441">
      <t>リシュウ</t>
    </rPh>
    <rPh sb="441" eb="442">
      <t>シャ</t>
    </rPh>
    <rPh sb="442" eb="444">
      <t>ゼンイン</t>
    </rPh>
    <rPh sb="445" eb="447">
      <t>ハイフ</t>
    </rPh>
    <rPh sb="461" eb="463">
      <t>シュウチ</t>
    </rPh>
    <rPh sb="464" eb="465">
      <t>ツト</t>
    </rPh>
    <phoneticPr fontId="2"/>
  </si>
  <si>
    <t>本カリキュラムの必修科目である「文理融合データサイエンスI,II」ではティーチングアシスタント(TA)学生を確保しており、担当教員と連携して学生の理解度向上のためのサポートにあたっている。
令和元年度から開設しているデータサイエンス相談室では、本カリキュラムの履修に関する相談にも応じ、必要に応じて当センターを通して担当教員等に協力を求めるなどの形でサポート体制を強化する。当相談室でもTA学生を確保しており、担当教員と連携して学生の理解度向上に努めている。
令和２年度から続いているコロナ禍が学生の履修科目選択にも影響を及ぼしている。大学に登校して授業を受けたい学生もいれば、実家に滞在して遠隔で授業を受ける学生もいる。このような状況下において本学では、多くの科目において対面とオンライン配信の同時進行形式の授業を実施すると同時に、オンライン学修システム等を通して履修者への講義資料等の開示を推進している。以上の体制により、さまざまな状況下にいる学生がスムーズに履修できる体制を提供する。</t>
    <rPh sb="0" eb="1">
      <t>ホン</t>
    </rPh>
    <rPh sb="8" eb="12">
      <t>ヒッシュウカモク</t>
    </rPh>
    <rPh sb="16" eb="20">
      <t>ブンリユウゴウ</t>
    </rPh>
    <rPh sb="51" eb="53">
      <t>ガクセイ</t>
    </rPh>
    <rPh sb="54" eb="56">
      <t>カクホ</t>
    </rPh>
    <rPh sb="61" eb="65">
      <t>タントウキョウイン</t>
    </rPh>
    <rPh sb="66" eb="68">
      <t>レンケイ</t>
    </rPh>
    <rPh sb="70" eb="72">
      <t>ガクセイ</t>
    </rPh>
    <rPh sb="73" eb="76">
      <t>リカイド</t>
    </rPh>
    <rPh sb="76" eb="78">
      <t>コウジョウ</t>
    </rPh>
    <rPh sb="96" eb="98">
      <t>レイワ</t>
    </rPh>
    <rPh sb="98" eb="99">
      <t>ゲン</t>
    </rPh>
    <rPh sb="99" eb="101">
      <t>ネンド</t>
    </rPh>
    <rPh sb="103" eb="105">
      <t>カイセツ</t>
    </rPh>
    <rPh sb="117" eb="120">
      <t>ソウダンシツ</t>
    </rPh>
    <rPh sb="123" eb="124">
      <t>ホン</t>
    </rPh>
    <rPh sb="131" eb="133">
      <t>リシュウ</t>
    </rPh>
    <rPh sb="134" eb="135">
      <t>カン</t>
    </rPh>
    <rPh sb="137" eb="139">
      <t>ソウダン</t>
    </rPh>
    <rPh sb="141" eb="142">
      <t>オウ</t>
    </rPh>
    <rPh sb="144" eb="146">
      <t>ヒツヨウ</t>
    </rPh>
    <rPh sb="147" eb="148">
      <t>オウ</t>
    </rPh>
    <rPh sb="150" eb="151">
      <t>トウ</t>
    </rPh>
    <rPh sb="156" eb="157">
      <t>トオ</t>
    </rPh>
    <rPh sb="159" eb="163">
      <t>タントウキョウイン</t>
    </rPh>
    <rPh sb="163" eb="164">
      <t>トウ</t>
    </rPh>
    <rPh sb="165" eb="167">
      <t>キョウリョク</t>
    </rPh>
    <rPh sb="168" eb="169">
      <t>モト</t>
    </rPh>
    <rPh sb="174" eb="175">
      <t>カタチ</t>
    </rPh>
    <rPh sb="180" eb="182">
      <t>タイセイ</t>
    </rPh>
    <rPh sb="183" eb="185">
      <t>キョウカ</t>
    </rPh>
    <rPh sb="188" eb="192">
      <t>トウソウダンシツ</t>
    </rPh>
    <rPh sb="196" eb="198">
      <t>ガクセイ</t>
    </rPh>
    <rPh sb="199" eb="201">
      <t>カクホ</t>
    </rPh>
    <rPh sb="206" eb="210">
      <t>タントウキョウイン</t>
    </rPh>
    <rPh sb="211" eb="213">
      <t>レンケイ</t>
    </rPh>
    <rPh sb="215" eb="217">
      <t>ガクセイ</t>
    </rPh>
    <rPh sb="218" eb="221">
      <t>リカイド</t>
    </rPh>
    <rPh sb="221" eb="223">
      <t>コウジョウ</t>
    </rPh>
    <rPh sb="224" eb="225">
      <t>ツト</t>
    </rPh>
    <rPh sb="231" eb="233">
      <t>レイワ</t>
    </rPh>
    <rPh sb="234" eb="236">
      <t>ネンド</t>
    </rPh>
    <rPh sb="238" eb="239">
      <t>ツヅ</t>
    </rPh>
    <rPh sb="248" eb="250">
      <t>ガクセイ</t>
    </rPh>
    <rPh sb="251" eb="255">
      <t>リシュウカモク</t>
    </rPh>
    <rPh sb="255" eb="257">
      <t>センタク</t>
    </rPh>
    <rPh sb="259" eb="261">
      <t>エイキョウ</t>
    </rPh>
    <rPh sb="262" eb="263">
      <t>オヨ</t>
    </rPh>
    <rPh sb="269" eb="271">
      <t>ダイガク</t>
    </rPh>
    <rPh sb="272" eb="274">
      <t>トウコウ</t>
    </rPh>
    <rPh sb="276" eb="278">
      <t>ジュギョウ</t>
    </rPh>
    <rPh sb="279" eb="280">
      <t>ウ</t>
    </rPh>
    <rPh sb="283" eb="285">
      <t>ガクセイ</t>
    </rPh>
    <rPh sb="290" eb="292">
      <t>ジッカ</t>
    </rPh>
    <rPh sb="293" eb="295">
      <t>タイザイ</t>
    </rPh>
    <rPh sb="297" eb="299">
      <t>エンカク</t>
    </rPh>
    <rPh sb="300" eb="302">
      <t>ジュギョウ</t>
    </rPh>
    <rPh sb="303" eb="304">
      <t>ウ</t>
    </rPh>
    <rPh sb="306" eb="308">
      <t>ガクセイ</t>
    </rPh>
    <rPh sb="317" eb="320">
      <t>ジョウキョウカ</t>
    </rPh>
    <rPh sb="324" eb="326">
      <t>ホンガク</t>
    </rPh>
    <rPh sb="373" eb="375">
      <t>ガクシュウ</t>
    </rPh>
    <rPh sb="379" eb="380">
      <t>トウ</t>
    </rPh>
    <rPh sb="381" eb="382">
      <t>トオ</t>
    </rPh>
    <rPh sb="405" eb="407">
      <t>イジョウ</t>
    </rPh>
    <rPh sb="408" eb="410">
      <t>タイセイ</t>
    </rPh>
    <phoneticPr fontId="2"/>
  </si>
  <si>
    <t>本学では令和元年よりデータサイエンス相談室を設置し、データサイエンス全般に関する質問、ソフトウェアの利用方法やプログラミングの問題解決のための相談などを受け付けている。元年度には月曜・木曜の17～18時に学内窓口を設置し、主に対面で質問や相談に応じてきた。令和2年度にはコロナ禍での体制としてメールで質問や相談を常時受け付けてきた。令和3年度以降もこの体制を維持すると同時に、本カリキュラムの履修に関する相談にも応じたい。専門性の高い質問が生じた際には、文理融合AI・データサイエンスセンターを通して専門分野のセンター員が回答するなどの形で体制を充実させたい。
本学では多数の学生が参加するグループチャットを有志が運営している。このグループチャットでは授業のチャンネルも用意しており、教職員も学生も自由に発言することが可能である。下級生の質問に上級生がアドバイスを送ることもある。このような環境を利用して、授業以外の形でも学生の質問を受け付けることにより、履修者へのサポートを手厚くしたい。</t>
    <rPh sb="0" eb="2">
      <t>ホンガク</t>
    </rPh>
    <rPh sb="4" eb="6">
      <t>レイワ</t>
    </rPh>
    <rPh sb="6" eb="7">
      <t>ゲン</t>
    </rPh>
    <rPh sb="7" eb="8">
      <t>ネン</t>
    </rPh>
    <rPh sb="18" eb="20">
      <t>ソウダン</t>
    </rPh>
    <rPh sb="20" eb="21">
      <t>シツ</t>
    </rPh>
    <rPh sb="22" eb="24">
      <t>セッチ</t>
    </rPh>
    <rPh sb="34" eb="36">
      <t>ゼンパン</t>
    </rPh>
    <rPh sb="37" eb="38">
      <t>カン</t>
    </rPh>
    <rPh sb="40" eb="42">
      <t>シツモン</t>
    </rPh>
    <rPh sb="50" eb="54">
      <t>リヨウホウホウ</t>
    </rPh>
    <rPh sb="63" eb="67">
      <t>モンダイカイケツ</t>
    </rPh>
    <rPh sb="71" eb="73">
      <t>ソウダン</t>
    </rPh>
    <rPh sb="76" eb="77">
      <t>ウ</t>
    </rPh>
    <rPh sb="78" eb="79">
      <t>ツ</t>
    </rPh>
    <rPh sb="84" eb="85">
      <t>ゲン</t>
    </rPh>
    <rPh sb="85" eb="87">
      <t>ネンド</t>
    </rPh>
    <rPh sb="89" eb="91">
      <t>ゲツヨウ</t>
    </rPh>
    <rPh sb="92" eb="94">
      <t>モクヨウ</t>
    </rPh>
    <rPh sb="100" eb="101">
      <t>ジ</t>
    </rPh>
    <rPh sb="102" eb="104">
      <t>ガクナイ</t>
    </rPh>
    <rPh sb="104" eb="105">
      <t>マド</t>
    </rPh>
    <rPh sb="105" eb="106">
      <t>クチ</t>
    </rPh>
    <rPh sb="107" eb="109">
      <t>セッチ</t>
    </rPh>
    <rPh sb="111" eb="112">
      <t>オモ</t>
    </rPh>
    <rPh sb="113" eb="115">
      <t>タイメン</t>
    </rPh>
    <rPh sb="116" eb="118">
      <t>シツモン</t>
    </rPh>
    <rPh sb="119" eb="121">
      <t>ソウダン</t>
    </rPh>
    <rPh sb="122" eb="123">
      <t>オウ</t>
    </rPh>
    <rPh sb="128" eb="130">
      <t>レイワ</t>
    </rPh>
    <rPh sb="131" eb="133">
      <t>ネンド</t>
    </rPh>
    <rPh sb="138" eb="139">
      <t>カ</t>
    </rPh>
    <rPh sb="141" eb="143">
      <t>タイセイ</t>
    </rPh>
    <rPh sb="150" eb="152">
      <t>シツモン</t>
    </rPh>
    <rPh sb="153" eb="155">
      <t>ソウダン</t>
    </rPh>
    <rPh sb="156" eb="159">
      <t>ジョウジウ</t>
    </rPh>
    <rPh sb="160" eb="161">
      <t>ツ</t>
    </rPh>
    <rPh sb="166" eb="168">
      <t>レイワ</t>
    </rPh>
    <rPh sb="169" eb="171">
      <t>ネンド</t>
    </rPh>
    <rPh sb="171" eb="173">
      <t>イコウ</t>
    </rPh>
    <rPh sb="176" eb="178">
      <t>タイセイ</t>
    </rPh>
    <rPh sb="179" eb="181">
      <t>イジ</t>
    </rPh>
    <rPh sb="184" eb="186">
      <t>ドウジ</t>
    </rPh>
    <rPh sb="188" eb="189">
      <t>ホン</t>
    </rPh>
    <rPh sb="196" eb="198">
      <t>リシュウ</t>
    </rPh>
    <rPh sb="199" eb="200">
      <t>カン</t>
    </rPh>
    <rPh sb="202" eb="204">
      <t>ソウダン</t>
    </rPh>
    <rPh sb="206" eb="207">
      <t>オウ</t>
    </rPh>
    <rPh sb="211" eb="214">
      <t>センモンセイ</t>
    </rPh>
    <rPh sb="215" eb="216">
      <t>タカ</t>
    </rPh>
    <rPh sb="217" eb="219">
      <t>シツモン</t>
    </rPh>
    <rPh sb="220" eb="221">
      <t>ショウ</t>
    </rPh>
    <rPh sb="223" eb="224">
      <t>サイ</t>
    </rPh>
    <rPh sb="227" eb="231">
      <t>ブンリユウゴウ</t>
    </rPh>
    <rPh sb="247" eb="248">
      <t>トオ</t>
    </rPh>
    <rPh sb="250" eb="254">
      <t>センモンブンヤ</t>
    </rPh>
    <rPh sb="259" eb="260">
      <t>イン</t>
    </rPh>
    <rPh sb="261" eb="263">
      <t>カイトウ</t>
    </rPh>
    <rPh sb="268" eb="269">
      <t>カタチ</t>
    </rPh>
    <rPh sb="270" eb="272">
      <t>タイセイ</t>
    </rPh>
    <rPh sb="273" eb="275">
      <t>ジュウジツ</t>
    </rPh>
    <rPh sb="282" eb="284">
      <t>ホンガク</t>
    </rPh>
    <rPh sb="286" eb="288">
      <t>タスウ</t>
    </rPh>
    <rPh sb="289" eb="291">
      <t>ガクセイ</t>
    </rPh>
    <rPh sb="292" eb="294">
      <t>サンカ</t>
    </rPh>
    <rPh sb="305" eb="307">
      <t>ユウシ</t>
    </rPh>
    <rPh sb="308" eb="310">
      <t>ウンエイ</t>
    </rPh>
    <rPh sb="327" eb="329">
      <t>ジュギョウ</t>
    </rPh>
    <rPh sb="336" eb="338">
      <t>ヨウイ</t>
    </rPh>
    <rPh sb="343" eb="346">
      <t>キョウショクイン</t>
    </rPh>
    <rPh sb="347" eb="349">
      <t>ガクセイ</t>
    </rPh>
    <rPh sb="350" eb="352">
      <t>ジユウ</t>
    </rPh>
    <rPh sb="353" eb="355">
      <t>ハツゲン</t>
    </rPh>
    <rPh sb="360" eb="362">
      <t>カノウ</t>
    </rPh>
    <rPh sb="366" eb="369">
      <t>カキュウセイ</t>
    </rPh>
    <rPh sb="370" eb="372">
      <t>シツモン</t>
    </rPh>
    <rPh sb="373" eb="376">
      <t>ジョウキュウセイ</t>
    </rPh>
    <rPh sb="383" eb="384">
      <t>オク</t>
    </rPh>
    <rPh sb="396" eb="398">
      <t>カンキョウ</t>
    </rPh>
    <rPh sb="399" eb="401">
      <t>リヨウ</t>
    </rPh>
    <rPh sb="404" eb="406">
      <t>ジュギョウ</t>
    </rPh>
    <rPh sb="406" eb="408">
      <t>イガイ</t>
    </rPh>
    <rPh sb="409" eb="410">
      <t>カタチ</t>
    </rPh>
    <rPh sb="412" eb="414">
      <t>ガクセイ</t>
    </rPh>
    <rPh sb="415" eb="417">
      <t>シツモン</t>
    </rPh>
    <rPh sb="418" eb="419">
      <t>ウ</t>
    </rPh>
    <rPh sb="420" eb="421">
      <t>ツ</t>
    </rPh>
    <rPh sb="429" eb="431">
      <t>リシュウ</t>
    </rPh>
    <rPh sb="431" eb="432">
      <t>シャ</t>
    </rPh>
    <rPh sb="439" eb="441">
      <t>テアツ</t>
    </rPh>
    <phoneticPr fontId="2"/>
  </si>
  <si>
    <t>情報科学(1)(2)、コンピュータシステム序論、データ構造とアルゴリズム</t>
    <rPh sb="0" eb="4">
      <t>ジョウホウカガク</t>
    </rPh>
    <rPh sb="21" eb="23">
      <t>ジョロン</t>
    </rPh>
    <rPh sb="27" eb="29">
      <t>コウゾウ</t>
    </rPh>
    <phoneticPr fontId="2"/>
  </si>
  <si>
    <t>有</t>
  </si>
  <si>
    <t>https://www.cf.ocha.ac.jp/datascience/j/menu/curriculum/index.html</t>
    <rPh sb="0" eb="66">
      <t>コウヒョウ</t>
    </rPh>
    <phoneticPr fontId="2"/>
  </si>
  <si>
    <t>文教育学部（人文科学）</t>
    <rPh sb="0" eb="2">
      <t>ブンキョウ</t>
    </rPh>
    <rPh sb="2" eb="3">
      <t>ソダ</t>
    </rPh>
    <rPh sb="3" eb="5">
      <t>ガクブ</t>
    </rPh>
    <rPh sb="6" eb="8">
      <t>ジンブン</t>
    </rPh>
    <rPh sb="8" eb="10">
      <t>カガク</t>
    </rPh>
    <phoneticPr fontId="2"/>
  </si>
  <si>
    <t>理学部（理学）</t>
    <rPh sb="0" eb="3">
      <t>リガクブ</t>
    </rPh>
    <rPh sb="4" eb="6">
      <t>リガク</t>
    </rPh>
    <phoneticPr fontId="2"/>
  </si>
  <si>
    <t>生活科学部（家政）</t>
    <rPh sb="0" eb="2">
      <t>セイカツ</t>
    </rPh>
    <rPh sb="2" eb="5">
      <t>カガクブ</t>
    </rPh>
    <rPh sb="6" eb="8">
      <t>カセイ</t>
    </rPh>
    <phoneticPr fontId="2"/>
  </si>
  <si>
    <t>各年度の履修者数・修了者数の目標を以下の通りとする。
令和３年度　　９０人・４５人
令和４年度　１００人・５０人
令和５年度　１１０人・６０人
令和６年度　１３０人・７５人
令和７年度　１５０人・９０人
履修率の向上のために、まずカリキュラムの普及に努める。学生用のポータルやメーリングリストで定期的にカリキュラムを広報すると同時に、文理融合ＡＩ・データサイエンスセンターのセンター員が各々の所属学科にてカリキュラムを広報する。
カリキュラムの修了を目指す学生のサポート手段として、データサイエンス相談室を引き続き開設し、データサイエンスに関する質問への回答、ソフトウェアの利用方法やプログラミングの問題解決に関する相談に取り組むとともに、履修計画などの相談にも応じる。
またカリキュラムを構成する各科目の履修者層を集計し、カリキュラム修了者の多くが履修する科目、あるいは単位を取りそこねる科目などについて分析することで、修了者の増加につなげる。</t>
    <rPh sb="4" eb="7">
      <t>リシュウシャ</t>
    </rPh>
    <rPh sb="7" eb="8">
      <t>スウ</t>
    </rPh>
    <rPh sb="11" eb="12">
      <t>シャ</t>
    </rPh>
    <rPh sb="27" eb="29">
      <t>レイワ</t>
    </rPh>
    <rPh sb="36" eb="37">
      <t>ニン</t>
    </rPh>
    <rPh sb="40" eb="41">
      <t>ニン</t>
    </rPh>
    <rPh sb="42" eb="44">
      <t>レイワ</t>
    </rPh>
    <rPh sb="51" eb="52">
      <t>ニン</t>
    </rPh>
    <rPh sb="55" eb="56">
      <t>ニン</t>
    </rPh>
    <rPh sb="57" eb="59">
      <t>レイワ</t>
    </rPh>
    <rPh sb="66" eb="67">
      <t>ニン</t>
    </rPh>
    <rPh sb="70" eb="71">
      <t>ニン</t>
    </rPh>
    <rPh sb="72" eb="74">
      <t>レイワ</t>
    </rPh>
    <rPh sb="81" eb="82">
      <t>ニン</t>
    </rPh>
    <rPh sb="85" eb="86">
      <t>ニン</t>
    </rPh>
    <rPh sb="87" eb="89">
      <t>レイワ</t>
    </rPh>
    <rPh sb="96" eb="97">
      <t>ニン</t>
    </rPh>
    <rPh sb="100" eb="101">
      <t>ニン</t>
    </rPh>
    <rPh sb="103" eb="105">
      <t>リシュウ</t>
    </rPh>
    <rPh sb="105" eb="106">
      <t>リツ</t>
    </rPh>
    <rPh sb="107" eb="109">
      <t>コウジョウ</t>
    </rPh>
    <rPh sb="123" eb="125">
      <t>フキュウ</t>
    </rPh>
    <rPh sb="126" eb="127">
      <t>ツト</t>
    </rPh>
    <rPh sb="130" eb="132">
      <t>ガクセイ</t>
    </rPh>
    <rPh sb="132" eb="133">
      <t>ヨウ</t>
    </rPh>
    <rPh sb="148" eb="151">
      <t>テイキテキ</t>
    </rPh>
    <rPh sb="159" eb="161">
      <t>コウホウ</t>
    </rPh>
    <rPh sb="164" eb="166">
      <t>ドウジ</t>
    </rPh>
    <rPh sb="192" eb="193">
      <t>イン</t>
    </rPh>
    <rPh sb="210" eb="212">
      <t>コウホウ</t>
    </rPh>
    <rPh sb="223" eb="225">
      <t>シュウリョウ</t>
    </rPh>
    <rPh sb="226" eb="228">
      <t>メザ</t>
    </rPh>
    <rPh sb="229" eb="231">
      <t>ガクセイ</t>
    </rPh>
    <rPh sb="236" eb="238">
      <t>シュダン</t>
    </rPh>
    <rPh sb="250" eb="253">
      <t>ソウダンシツ</t>
    </rPh>
    <rPh sb="254" eb="255">
      <t>ヒ</t>
    </rPh>
    <rPh sb="256" eb="257">
      <t>ツヅ</t>
    </rPh>
    <rPh sb="258" eb="260">
      <t>カイセツ</t>
    </rPh>
    <rPh sb="271" eb="272">
      <t>カン</t>
    </rPh>
    <rPh sb="274" eb="276">
      <t>シツモン</t>
    </rPh>
    <rPh sb="278" eb="280">
      <t>カイトウ</t>
    </rPh>
    <rPh sb="288" eb="292">
      <t>リヨウホウホウ</t>
    </rPh>
    <rPh sb="301" eb="305">
      <t>モンダイカイケツ</t>
    </rPh>
    <rPh sb="306" eb="307">
      <t>カン</t>
    </rPh>
    <rPh sb="309" eb="311">
      <t>ソウダン</t>
    </rPh>
    <rPh sb="312" eb="313">
      <t>ト</t>
    </rPh>
    <rPh sb="314" eb="315">
      <t>ク</t>
    </rPh>
    <rPh sb="321" eb="323">
      <t>リシュウ</t>
    </rPh>
    <rPh sb="323" eb="325">
      <t>ケイカク</t>
    </rPh>
    <rPh sb="328" eb="330">
      <t>ソウダン</t>
    </rPh>
    <rPh sb="332" eb="333">
      <t>オウ</t>
    </rPh>
    <rPh sb="346" eb="348">
      <t>コウセイ</t>
    </rPh>
    <rPh sb="350" eb="353">
      <t>カクカモク</t>
    </rPh>
    <rPh sb="354" eb="356">
      <t>リシュウ</t>
    </rPh>
    <rPh sb="356" eb="357">
      <t>シャ</t>
    </rPh>
    <rPh sb="357" eb="358">
      <t>ソウ</t>
    </rPh>
    <rPh sb="359" eb="361">
      <t>シュウケイ</t>
    </rPh>
    <rPh sb="369" eb="371">
      <t>シュウリョウ</t>
    </rPh>
    <rPh sb="371" eb="372">
      <t>シャ</t>
    </rPh>
    <rPh sb="373" eb="374">
      <t>オオ</t>
    </rPh>
    <rPh sb="376" eb="378">
      <t>リシュウ</t>
    </rPh>
    <rPh sb="380" eb="382">
      <t>カモク</t>
    </rPh>
    <rPh sb="387" eb="389">
      <t>タンイ</t>
    </rPh>
    <rPh sb="390" eb="391">
      <t>ト</t>
    </rPh>
    <rPh sb="396" eb="398">
      <t>カモク</t>
    </rPh>
    <rPh sb="404" eb="406">
      <t>ブンセキ</t>
    </rPh>
    <rPh sb="412" eb="414">
      <t>シュウリョウ</t>
    </rPh>
    <rPh sb="414" eb="415">
      <t>シャ</t>
    </rPh>
    <rPh sb="416" eb="418">
      <t>ゾウカ</t>
    </rPh>
    <phoneticPr fontId="2"/>
  </si>
  <si>
    <t>文理融合データサイエンスI,II、データ解析序論</t>
    <rPh sb="0" eb="4">
      <t>ブンリユウゴウ</t>
    </rPh>
    <rPh sb="20" eb="22">
      <t>カイセキ</t>
    </rPh>
    <rPh sb="22" eb="24">
      <t>ジョロン</t>
    </rPh>
    <phoneticPr fontId="2"/>
  </si>
  <si>
    <t>文理融合データサイエンスI,II、マルチメディア</t>
    <phoneticPr fontId="2"/>
  </si>
  <si>
    <t>文理融合データサイエンスI,II</t>
    <rPh sb="0" eb="4">
      <t>ブンリユウゴウ</t>
    </rPh>
    <phoneticPr fontId="2"/>
  </si>
  <si>
    <t>基礎線形代数学（基幹科目）</t>
    <rPh sb="8" eb="10">
      <t>キカン</t>
    </rPh>
    <rPh sb="10" eb="12">
      <t>カモク</t>
    </rPh>
    <phoneticPr fontId="2"/>
  </si>
  <si>
    <t>文理融合データサイエンスI （必修科目）</t>
    <rPh sb="15" eb="17">
      <t>ヒッシュウ</t>
    </rPh>
    <rPh sb="17" eb="19">
      <t>カモク</t>
    </rPh>
    <phoneticPr fontId="2"/>
  </si>
  <si>
    <t>文理融合データサイエンスⅡ（必修科目）</t>
    <rPh sb="14" eb="16">
      <t>ヒッシュウ</t>
    </rPh>
    <rPh sb="16" eb="18">
      <t>カモク</t>
    </rPh>
    <phoneticPr fontId="2"/>
  </si>
  <si>
    <t>基礎微分積分学（基幹科目）</t>
    <phoneticPr fontId="2"/>
  </si>
  <si>
    <t>統計学（基幹科目）</t>
    <rPh sb="2" eb="3">
      <t>ガク</t>
    </rPh>
    <phoneticPr fontId="2"/>
  </si>
  <si>
    <t>情報科学(1)(2)（基幹科目）</t>
    <phoneticPr fontId="2"/>
  </si>
  <si>
    <t>メディアリテラシ(1)(2)  （基幹科目）</t>
    <phoneticPr fontId="2"/>
  </si>
  <si>
    <t>文理融合データサイエンスIII（基幹科目）</t>
    <phoneticPr fontId="2"/>
  </si>
  <si>
    <t>デジタル概論 （基幹科目）</t>
    <phoneticPr fontId="2"/>
  </si>
  <si>
    <t>生命情報学概論(1)(2) （基幹科目）</t>
    <phoneticPr fontId="2"/>
  </si>
  <si>
    <t>計算生物学(1)(2) （基幹科目）</t>
    <phoneticPr fontId="2"/>
  </si>
  <si>
    <t>人文地理学分析基礎演習  (連携科目）</t>
    <rPh sb="14" eb="16">
      <t>レンケイ</t>
    </rPh>
    <rPh sb="16" eb="18">
      <t>カモク</t>
    </rPh>
    <phoneticPr fontId="2"/>
  </si>
  <si>
    <t>地理情報システム演習I、Ⅱ  (連携科目）</t>
    <phoneticPr fontId="2"/>
  </si>
  <si>
    <t>現代社会論  (連携科目）</t>
    <phoneticPr fontId="2"/>
  </si>
  <si>
    <t>社会調査の設計と実施  (連携科目）</t>
    <phoneticPr fontId="2"/>
  </si>
  <si>
    <t>社会調査法  (連携科目）</t>
    <phoneticPr fontId="2"/>
  </si>
  <si>
    <t>応用生活統計学(1)(2)  (連携科目）</t>
    <phoneticPr fontId="2"/>
  </si>
  <si>
    <t>情報工学演習 (1)(2)  (連携科目）</t>
    <phoneticPr fontId="2"/>
  </si>
  <si>
    <t>社会統計学I  (連携科目）</t>
    <phoneticPr fontId="2"/>
  </si>
  <si>
    <t>デザイン工学演習(1)(2)   (連携科目）</t>
    <phoneticPr fontId="2"/>
  </si>
  <si>
    <t>応用統計学  (連携科目）</t>
    <phoneticPr fontId="2"/>
  </si>
  <si>
    <t>社会統計学II(1)(2)  (連携科目）</t>
    <phoneticPr fontId="2"/>
  </si>
  <si>
    <t>心理統計法（心理学統計法)  (連携科目）</t>
    <phoneticPr fontId="2"/>
  </si>
  <si>
    <t>電子工学  (連携科目）</t>
    <phoneticPr fontId="2"/>
  </si>
  <si>
    <t>生活調査法  (連携科目）</t>
    <phoneticPr fontId="2"/>
  </si>
  <si>
    <t>環境評価学  (連携科目）</t>
    <phoneticPr fontId="2"/>
  </si>
  <si>
    <t>生活社会調査実習  (連携科目）</t>
    <phoneticPr fontId="2"/>
  </si>
  <si>
    <t>栄養疫学・統計  (連携科目）</t>
    <phoneticPr fontId="2"/>
  </si>
  <si>
    <t>物理実験学(1)(2)  (連携科目）</t>
    <phoneticPr fontId="2"/>
  </si>
  <si>
    <t>計算物理学講義・演習(1)(2)  (連携科目）</t>
    <phoneticPr fontId="2"/>
  </si>
  <si>
    <t>実験値解析法  (連携科目）</t>
    <phoneticPr fontId="2"/>
  </si>
  <si>
    <t>生物統計学  (連携科目）</t>
    <phoneticPr fontId="2"/>
  </si>
  <si>
    <t>数理統計学  (連携科目）</t>
    <phoneticPr fontId="2"/>
  </si>
  <si>
    <t>確率序論  (連携科目）</t>
    <phoneticPr fontId="2"/>
  </si>
  <si>
    <t>データ構造とアルゴリズム  (連携科目）</t>
    <phoneticPr fontId="2"/>
  </si>
  <si>
    <t>コンピュータシステム序論  (連携科目）</t>
    <phoneticPr fontId="2"/>
  </si>
  <si>
    <t>データ解析序論  (連携科目）</t>
    <phoneticPr fontId="2"/>
  </si>
  <si>
    <t>マルチメディア  (連携科目）</t>
    <phoneticPr fontId="2"/>
  </si>
  <si>
    <t>情報理論  (連携科目）</t>
    <phoneticPr fontId="2"/>
  </si>
  <si>
    <t>情報倫理  (連携科目）</t>
    <phoneticPr fontId="2"/>
  </si>
  <si>
    <t>環境情報論  (連携科目）</t>
    <phoneticPr fontId="2"/>
  </si>
  <si>
    <t>プログラミング演習２  （基幹科目）</t>
    <phoneticPr fontId="2"/>
  </si>
  <si>
    <t>情報学演習1（基幹科目）</t>
    <phoneticPr fontId="2"/>
  </si>
  <si>
    <t>グラフ理論  (連携科目）</t>
    <phoneticPr fontId="2"/>
  </si>
  <si>
    <t>「文理融合データサイエンスI,II」ではAIとデータサイエンスの全体的な概念と社会的な位置づけについて解説する。データを起点としたものの見方、AIの応用技術や最新技術についても論じる。さらに、AIとデータサイエンスがどのようにビジネスやサービスとして活用されているかを概観する。
「コンピュータシステム序論」ではコンピュータシステムを含むIT技術を全般的に解説し、その社会変化や日常生活との関係を論じる。
「デジタル概論」はデジタルトランスフォーメーションに関する社会の実例を解説する科目である。その中でAIやデータサイエンスがその中でどのような役割を果たし、どのような新しいビジネスやサービスを産むかについて論じる。</t>
    <rPh sb="1" eb="5">
      <t>ブンリユウゴウ</t>
    </rPh>
    <rPh sb="32" eb="35">
      <t>ゼンタイテキ</t>
    </rPh>
    <rPh sb="36" eb="38">
      <t>ガイネン</t>
    </rPh>
    <rPh sb="39" eb="42">
      <t>シャカイテキ</t>
    </rPh>
    <rPh sb="43" eb="45">
      <t>イチ</t>
    </rPh>
    <rPh sb="51" eb="53">
      <t>カイセツ</t>
    </rPh>
    <rPh sb="60" eb="62">
      <t>キテン</t>
    </rPh>
    <rPh sb="68" eb="70">
      <t>ミカタ</t>
    </rPh>
    <rPh sb="74" eb="78">
      <t>オウヨウギジュツ</t>
    </rPh>
    <rPh sb="79" eb="83">
      <t>サイシンギジュツ</t>
    </rPh>
    <rPh sb="88" eb="89">
      <t>ロン</t>
    </rPh>
    <rPh sb="125" eb="127">
      <t>カツヨウ</t>
    </rPh>
    <rPh sb="134" eb="136">
      <t>ガイカン</t>
    </rPh>
    <rPh sb="151" eb="153">
      <t>ジョロン</t>
    </rPh>
    <rPh sb="189" eb="193">
      <t>ニチジョウセイカツ</t>
    </rPh>
    <rPh sb="195" eb="197">
      <t>カンケイ</t>
    </rPh>
    <rPh sb="206" eb="208">
      <t>ガイロン</t>
    </rPh>
    <rPh sb="229" eb="230">
      <t>カン</t>
    </rPh>
    <rPh sb="232" eb="234">
      <t>シャカイ</t>
    </rPh>
    <rPh sb="235" eb="237">
      <t>ジツレイ</t>
    </rPh>
    <rPh sb="238" eb="240">
      <t>カイセツ</t>
    </rPh>
    <rPh sb="242" eb="244">
      <t>カモク</t>
    </rPh>
    <rPh sb="250" eb="251">
      <t>ナカ</t>
    </rPh>
    <rPh sb="264" eb="265">
      <t>ナカ</t>
    </rPh>
    <rPh sb="271" eb="273">
      <t>ヤクワリ</t>
    </rPh>
    <rPh sb="274" eb="275">
      <t>ハ</t>
    </rPh>
    <rPh sb="283" eb="284">
      <t>アタラ</t>
    </rPh>
    <rPh sb="303" eb="304">
      <t>ロン</t>
    </rPh>
    <phoneticPr fontId="2"/>
  </si>
  <si>
    <t>「文理融合データサイエンスI,II」ではデータ活用・データ分析の目的について論じ、さらにオープンデータについて紹介する。
「マルチメディア」ではメディア技術およびメディアデータを網羅的に解説する科目であり、その中で広範囲なデータ全般を紹介する。具体的には、センサデータ（人の行動ログなど）や非構造化データ（文章、画像/動画、音声/音楽）について論じる。</t>
    <phoneticPr fontId="2"/>
  </si>
  <si>
    <t>本カリキュラムでは多様なデータ解析手法を網羅的に解説する。データ解析手法のうち「文理融合データサイエンスI,II」および「データ解析序論」では予測・グルーピング・パターン発見に関する諸手法（判別、回帰、クラスタリング、主成分分析など）を論じる。データ可視化については「文理融合データサイエンスI」および「マルチメディア」で論じる。非構造化データ処理（言語、画像/動画、音声/音楽）については「マルチメディア」で論じる。
また本カリキュラムでは多様なデータ利活用事例についても解説する。データ利活用の具体的な事例のうち、「文理融合データサイエンスI,II」では文学作品や考古学のデータ分析について、「文理融合データサイエンスIII」では政府統計のデータ分析について紹介する。「デジタル概論」では、流通、製造、金融、サービス、公共などの各業界におけるIT技術およびAIやデータサイエンスの活用事例を紹介する。</t>
    <rPh sb="0" eb="1">
      <t>ホン</t>
    </rPh>
    <rPh sb="9" eb="11">
      <t>タヨウ</t>
    </rPh>
    <rPh sb="15" eb="19">
      <t>カイセキシュホウ</t>
    </rPh>
    <rPh sb="20" eb="23">
      <t>モウラテキ</t>
    </rPh>
    <rPh sb="24" eb="26">
      <t>カイセツ</t>
    </rPh>
    <rPh sb="32" eb="34">
      <t>カイセキ</t>
    </rPh>
    <rPh sb="34" eb="36">
      <t>シュホウ</t>
    </rPh>
    <rPh sb="40" eb="44">
      <t>ブンリユウゴウ</t>
    </rPh>
    <rPh sb="64" eb="66">
      <t>カイセキ</t>
    </rPh>
    <rPh sb="66" eb="68">
      <t>ジョロン</t>
    </rPh>
    <rPh sb="71" eb="73">
      <t>ヨソク</t>
    </rPh>
    <rPh sb="85" eb="87">
      <t>ハッケン</t>
    </rPh>
    <rPh sb="88" eb="89">
      <t>カン</t>
    </rPh>
    <rPh sb="91" eb="94">
      <t>ショシュホウ</t>
    </rPh>
    <rPh sb="95" eb="97">
      <t>ハンベツ</t>
    </rPh>
    <rPh sb="98" eb="100">
      <t>カイキ</t>
    </rPh>
    <rPh sb="109" eb="114">
      <t>シュセイブンブンセキ</t>
    </rPh>
    <rPh sb="118" eb="119">
      <t>ロン</t>
    </rPh>
    <rPh sb="125" eb="128">
      <t>カシカ</t>
    </rPh>
    <rPh sb="134" eb="138">
      <t>ブンリユウゴウ</t>
    </rPh>
    <rPh sb="161" eb="162">
      <t>ロン</t>
    </rPh>
    <rPh sb="165" eb="169">
      <t>ヒコウゾウカ</t>
    </rPh>
    <rPh sb="172" eb="174">
      <t>ショリ</t>
    </rPh>
    <rPh sb="175" eb="177">
      <t>ゲンゴ</t>
    </rPh>
    <rPh sb="178" eb="180">
      <t>ガゾウ</t>
    </rPh>
    <rPh sb="181" eb="183">
      <t>ドウガ</t>
    </rPh>
    <rPh sb="184" eb="186">
      <t>オンセイ</t>
    </rPh>
    <rPh sb="187" eb="189">
      <t>オンガク</t>
    </rPh>
    <rPh sb="205" eb="206">
      <t>ロン</t>
    </rPh>
    <rPh sb="212" eb="213">
      <t>ホン</t>
    </rPh>
    <rPh sb="221" eb="223">
      <t>タヨウ</t>
    </rPh>
    <rPh sb="227" eb="232">
      <t>リカツヨウジレイ</t>
    </rPh>
    <rPh sb="237" eb="239">
      <t>カイセツ</t>
    </rPh>
    <rPh sb="245" eb="248">
      <t>リカツヨウ</t>
    </rPh>
    <rPh sb="249" eb="252">
      <t>グタイテキ</t>
    </rPh>
    <rPh sb="253" eb="255">
      <t>ジレイ</t>
    </rPh>
    <rPh sb="260" eb="264">
      <t>ブンリユウゴウ</t>
    </rPh>
    <rPh sb="279" eb="283">
      <t>ブンガクサクヒン</t>
    </rPh>
    <rPh sb="284" eb="287">
      <t>コウコガク</t>
    </rPh>
    <rPh sb="291" eb="293">
      <t>ブンセキ</t>
    </rPh>
    <rPh sb="299" eb="303">
      <t>ブンリユウゴウ</t>
    </rPh>
    <rPh sb="317" eb="319">
      <t>セイフ</t>
    </rPh>
    <rPh sb="319" eb="321">
      <t>トウケイ</t>
    </rPh>
    <rPh sb="325" eb="327">
      <t>ブンセキ</t>
    </rPh>
    <rPh sb="331" eb="333">
      <t>ショウカイ</t>
    </rPh>
    <rPh sb="341" eb="343">
      <t>ガイロン</t>
    </rPh>
    <rPh sb="347" eb="349">
      <t>リュウツウ</t>
    </rPh>
    <rPh sb="350" eb="352">
      <t>セイゾウ</t>
    </rPh>
    <rPh sb="353" eb="355">
      <t>キンユウ</t>
    </rPh>
    <rPh sb="361" eb="363">
      <t>コウキョウ</t>
    </rPh>
    <rPh sb="366" eb="369">
      <t>カクギョウカイ</t>
    </rPh>
    <rPh sb="375" eb="377">
      <t>ギジュツ</t>
    </rPh>
    <rPh sb="392" eb="396">
      <t>カツヨウジレイ</t>
    </rPh>
    <rPh sb="397" eb="399">
      <t>ショウカイ</t>
    </rPh>
    <phoneticPr fontId="2"/>
  </si>
  <si>
    <t>「データを読む、説明する、扱う」といった基本的な活用を実現するための各種手法（可視化・記述統計・推測統計・多変量解析・機械学習）については「文理融合データサイエンスI,II」「データ解析序論」にて概説する。
その上で本カリキュラムでは、これらの各種手法を用いて実データを分析し、実課題を解決するための各事例を幅広くとりあげている。「文理融合データサイエンスI,II」では文化現象を、「文理融合データサイエンスIII」では政府統計を、「人文地理学分析基礎演習」では地域統計を、「社会調査の設計と実施」では社会調査データを、「生活社会調査実習」では生活社会調査データを、「実験値解析法」では化学実験データを、「生物統計学」では生命科学データをそれぞれ実題材として、数理・データサイエンス・AIの活用事例を論じる。</t>
    <rPh sb="24" eb="26">
      <t>カツヨウ</t>
    </rPh>
    <rPh sb="27" eb="29">
      <t>ジツゲン</t>
    </rPh>
    <rPh sb="91" eb="93">
      <t>カイセキ</t>
    </rPh>
    <rPh sb="93" eb="95">
      <t>ジョロン</t>
    </rPh>
    <rPh sb="106" eb="107">
      <t>ウエ</t>
    </rPh>
    <rPh sb="108" eb="109">
      <t>ホン</t>
    </rPh>
    <rPh sb="122" eb="124">
      <t>カクシュ</t>
    </rPh>
    <rPh sb="124" eb="126">
      <t>シュホウ</t>
    </rPh>
    <rPh sb="127" eb="128">
      <t>モチ</t>
    </rPh>
    <rPh sb="130" eb="131">
      <t>ジツ</t>
    </rPh>
    <rPh sb="135" eb="137">
      <t>ブンセキ</t>
    </rPh>
    <rPh sb="143" eb="145">
      <t>カイケツ</t>
    </rPh>
    <rPh sb="150" eb="153">
      <t>カクジレイ</t>
    </rPh>
    <rPh sb="154" eb="156">
      <t>ハバヒロ</t>
    </rPh>
    <rPh sb="166" eb="170">
      <t>ブンリユウゴウ</t>
    </rPh>
    <rPh sb="185" eb="189">
      <t>ブンカゲンショウ</t>
    </rPh>
    <rPh sb="192" eb="196">
      <t>ブンリユウゴウ</t>
    </rPh>
    <rPh sb="210" eb="212">
      <t>セイフ</t>
    </rPh>
    <rPh sb="212" eb="214">
      <t>トウケイ</t>
    </rPh>
    <rPh sb="217" eb="222">
      <t>ジンブンチリガク</t>
    </rPh>
    <rPh sb="222" eb="224">
      <t>ブンセキ</t>
    </rPh>
    <rPh sb="224" eb="226">
      <t>キソ</t>
    </rPh>
    <rPh sb="226" eb="228">
      <t>エンシュウ</t>
    </rPh>
    <rPh sb="231" eb="233">
      <t>チイキ</t>
    </rPh>
    <rPh sb="233" eb="235">
      <t>トウケイ</t>
    </rPh>
    <rPh sb="251" eb="253">
      <t>シャカイ</t>
    </rPh>
    <rPh sb="253" eb="255">
      <t>チョウサ</t>
    </rPh>
    <rPh sb="272" eb="274">
      <t>セイカツ</t>
    </rPh>
    <rPh sb="274" eb="276">
      <t>シャカイ</t>
    </rPh>
    <rPh sb="276" eb="278">
      <t>チョウサ</t>
    </rPh>
    <rPh sb="293" eb="295">
      <t>カガク</t>
    </rPh>
    <rPh sb="295" eb="297">
      <t>ジッケン</t>
    </rPh>
    <rPh sb="311" eb="315">
      <t>セイメイカガク</t>
    </rPh>
    <rPh sb="323" eb="326">
      <t>ジツダイザイ</t>
    </rPh>
    <rPh sb="330" eb="332">
      <t>スウリ</t>
    </rPh>
    <rPh sb="345" eb="349">
      <t>カツヨウジレイ</t>
    </rPh>
    <rPh sb="350" eb="351">
      <t>ロン</t>
    </rPh>
    <phoneticPr fontId="2"/>
  </si>
  <si>
    <t>文理融合データサイエンスI,II,III、基礎線形代数学、基礎微分積分学、統計学、確率序論、数理統計学、グラフ理論、情報理論、データ解析序論、人文地理学分析基礎演習、応用生活統計学(1)(2)、情報工学演習 (1)(2)、社会統計学I、応用統計学、社会統計学II(1)(2)、心理統計法（心理学統計法)、生活社会調査実習、栄養疫学・統計、物理実験学(1)(2)、実験値解析法、生物統計学、環境情報論</t>
    <rPh sb="23" eb="28">
      <t>センケイダイスウガク</t>
    </rPh>
    <rPh sb="29" eb="31">
      <t>キソ</t>
    </rPh>
    <rPh sb="31" eb="36">
      <t>ビブンセキブンガク</t>
    </rPh>
    <rPh sb="37" eb="40">
      <t>トウケイガク</t>
    </rPh>
    <rPh sb="41" eb="43">
      <t>カクリツ</t>
    </rPh>
    <rPh sb="43" eb="45">
      <t>ジョロン</t>
    </rPh>
    <rPh sb="46" eb="51">
      <t>スウリトウケイガク</t>
    </rPh>
    <rPh sb="55" eb="57">
      <t>リロン</t>
    </rPh>
    <rPh sb="58" eb="62">
      <t>ジョウホウリロン</t>
    </rPh>
    <rPh sb="71" eb="73">
      <t>ジンブン</t>
    </rPh>
    <rPh sb="73" eb="76">
      <t>チリガク</t>
    </rPh>
    <rPh sb="76" eb="78">
      <t>ブンセキ</t>
    </rPh>
    <rPh sb="78" eb="80">
      <t>キソ</t>
    </rPh>
    <rPh sb="80" eb="82">
      <t>エンシュウ</t>
    </rPh>
    <rPh sb="111" eb="116">
      <t>シャカイトウケイガク</t>
    </rPh>
    <rPh sb="118" eb="123">
      <t>オウヨウトウケ</t>
    </rPh>
    <rPh sb="152" eb="154">
      <t>セイカツ</t>
    </rPh>
    <rPh sb="154" eb="158">
      <t>シャカイチョウサ</t>
    </rPh>
    <rPh sb="158" eb="160">
      <t>ジッシュウ</t>
    </rPh>
    <rPh sb="161" eb="163">
      <t>エイヨウ</t>
    </rPh>
    <rPh sb="163" eb="165">
      <t>エキガク</t>
    </rPh>
    <rPh sb="166" eb="168">
      <t>トウケイ</t>
    </rPh>
    <rPh sb="181" eb="184">
      <t>ジッケンチ</t>
    </rPh>
    <rPh sb="184" eb="187">
      <t>カイセキホウ</t>
    </rPh>
    <rPh sb="188" eb="193">
      <t>セイブツトウケイガク</t>
    </rPh>
    <phoneticPr fontId="2"/>
  </si>
  <si>
    <t>文理融合データサイエンスI,II,III、デジタル概論</t>
    <rPh sb="25" eb="27">
      <t>ガイロン</t>
    </rPh>
    <phoneticPr fontId="2"/>
  </si>
  <si>
    <t>メディアリテラシ(1)(2)、生命情報学概論(1)(2)、計算生物学(1)(2)、地理情報システム演習I,II、現代社会論、社会調査の設計と実施、社会調査法、デザイン工学演習(1)(2)、電子工学、生活調査法、環境評価学、情報倫理</t>
    <rPh sb="83" eb="85">
      <t>コウガク</t>
    </rPh>
    <rPh sb="85" eb="87">
      <t>エンシュウ</t>
    </rPh>
    <rPh sb="111" eb="115">
      <t>ジョウホウリンリ</t>
    </rPh>
    <phoneticPr fontId="2"/>
  </si>
  <si>
    <t>カリキュラムの修了に必要な科目群を必修科目・基幹科目・連携科目の3種類に分類することで、どの学部・学科の学生であっても柔軟に履修科目を選択できるように科目群を構成している。カリキュラム必修科目は「文理融合データサイエンスI,II」の2科目のみとなっており、時間割の関係で履修できない学生はいないようになっている。基幹科目は大半が大学1年生向けの基礎科目および一般教養科目で校正されており、どの学部・学科からも履修しやすい科目群で構成されている。連携科目については、各学科の専門科目から選出された科目群を人文・社会科学系、生活工学系、生命・物質科学系、数学・情報系の4つの系に分類して提示しており、各学科の専門性を養う過程の中で同時にデータサイエンスの素養も体系的に修得できるように工夫されている。必修科目と基幹科目は主に午前に開講され、連携科目は主に午後に開講されることから、両科目群を同時に履修することも容易である。
本学は約60%の学生が人文科学・社会科学を専攻することを考慮して、これらの分野の学生にとって馴染みやすい題材を採用した授業科目を充実させている。カリキュラムの必修科目「文理融合データサイエンスI,II」は文学作品に見られる文化現象を対象としてデータサイエンスの事例を紹介するなど、主に人文科学系の学生に馴染みやすい内容となっている。基幹科目「文理融合データサイエンスIII」は計量経済学にもとづいて政府統計データを分析するなど、主に社会科学系の学生に馴染みやすい内容となっている。それ以外にも、人文・社会科学系、生活工学系、生命・物質科学系、数学・情報系の各分野において、それぞれの分野を専攻する学生にとって馴染みやすい題材を用いたデータ分析の専門科目が充実している。</t>
    <rPh sb="92" eb="96">
      <t>ヒッシュウカモク</t>
    </rPh>
    <rPh sb="98" eb="110">
      <t>ブンリ</t>
    </rPh>
    <rPh sb="117" eb="119">
      <t>カモク</t>
    </rPh>
    <rPh sb="128" eb="131">
      <t>ジカンワリ</t>
    </rPh>
    <rPh sb="132" eb="134">
      <t>カンケイ</t>
    </rPh>
    <rPh sb="135" eb="137">
      <t>リシュウ</t>
    </rPh>
    <rPh sb="141" eb="143">
      <t>ガクセイ</t>
    </rPh>
    <rPh sb="156" eb="158">
      <t>キカン</t>
    </rPh>
    <rPh sb="158" eb="160">
      <t>カモク</t>
    </rPh>
    <rPh sb="161" eb="163">
      <t>タイハン</t>
    </rPh>
    <rPh sb="164" eb="166">
      <t>ダイガク</t>
    </rPh>
    <rPh sb="167" eb="169">
      <t>ネンセイ</t>
    </rPh>
    <rPh sb="169" eb="170">
      <t>ム</t>
    </rPh>
    <rPh sb="172" eb="176">
      <t>キソカモク</t>
    </rPh>
    <rPh sb="179" eb="185">
      <t>イッパンキョウヨウカモク</t>
    </rPh>
    <rPh sb="186" eb="188">
      <t>コウセイ</t>
    </rPh>
    <rPh sb="196" eb="198">
      <t>ガクブ</t>
    </rPh>
    <rPh sb="199" eb="201">
      <t>ガッカ</t>
    </rPh>
    <rPh sb="204" eb="206">
      <t>リシュウ</t>
    </rPh>
    <rPh sb="210" eb="213">
      <t>カモクグン</t>
    </rPh>
    <rPh sb="214" eb="216">
      <t>コウセイ</t>
    </rPh>
    <rPh sb="232" eb="235">
      <t>カクガッカ</t>
    </rPh>
    <rPh sb="236" eb="240">
      <t>センモンカモク</t>
    </rPh>
    <rPh sb="242" eb="244">
      <t>センシュツ</t>
    </rPh>
    <rPh sb="247" eb="250">
      <t>カモクグン</t>
    </rPh>
    <rPh sb="251" eb="253">
      <t>ジンブン</t>
    </rPh>
    <rPh sb="254" eb="259">
      <t>シャカイカガクケイ</t>
    </rPh>
    <rPh sb="260" eb="262">
      <t>セイカツ</t>
    </rPh>
    <rPh sb="262" eb="265">
      <t>コウガクケイ</t>
    </rPh>
    <rPh sb="266" eb="268">
      <t>セイメイ</t>
    </rPh>
    <rPh sb="269" eb="273">
      <t>ブッシツカガク</t>
    </rPh>
    <rPh sb="273" eb="274">
      <t>ケイ</t>
    </rPh>
    <rPh sb="275" eb="277">
      <t>スウガク</t>
    </rPh>
    <rPh sb="278" eb="280">
      <t>ジョウホウ</t>
    </rPh>
    <rPh sb="280" eb="281">
      <t>ケイ</t>
    </rPh>
    <rPh sb="285" eb="286">
      <t>ケイ</t>
    </rPh>
    <rPh sb="287" eb="289">
      <t>ブンルイ</t>
    </rPh>
    <rPh sb="291" eb="293">
      <t>テイジ</t>
    </rPh>
    <rPh sb="298" eb="301">
      <t>カクガッカ</t>
    </rPh>
    <rPh sb="302" eb="305">
      <t>センモンセイ</t>
    </rPh>
    <rPh sb="306" eb="307">
      <t>ヤシナ</t>
    </rPh>
    <rPh sb="308" eb="310">
      <t>カテイ</t>
    </rPh>
    <rPh sb="311" eb="312">
      <t>ナカ</t>
    </rPh>
    <rPh sb="313" eb="315">
      <t>ドウジ</t>
    </rPh>
    <rPh sb="325" eb="327">
      <t>ソヨウ</t>
    </rPh>
    <rPh sb="328" eb="331">
      <t>タイケイテキ</t>
    </rPh>
    <rPh sb="332" eb="334">
      <t>シュウトク</t>
    </rPh>
    <rPh sb="340" eb="342">
      <t>クフウ</t>
    </rPh>
    <rPh sb="348" eb="352">
      <t>ヒッシュウカモク</t>
    </rPh>
    <rPh sb="353" eb="355">
      <t>キカン</t>
    </rPh>
    <rPh sb="355" eb="357">
      <t>カモク</t>
    </rPh>
    <rPh sb="358" eb="359">
      <t>オモ</t>
    </rPh>
    <rPh sb="360" eb="362">
      <t>ゴゼン</t>
    </rPh>
    <rPh sb="363" eb="365">
      <t>カイコウ</t>
    </rPh>
    <rPh sb="368" eb="370">
      <t>レンケイ</t>
    </rPh>
    <rPh sb="370" eb="372">
      <t>カモク</t>
    </rPh>
    <rPh sb="373" eb="374">
      <t>オモ</t>
    </rPh>
    <rPh sb="375" eb="377">
      <t>ゴゴ</t>
    </rPh>
    <rPh sb="378" eb="380">
      <t>カイコウ</t>
    </rPh>
    <rPh sb="388" eb="392">
      <t>リョウカモクグン</t>
    </rPh>
    <rPh sb="393" eb="395">
      <t>ドウジ</t>
    </rPh>
    <rPh sb="396" eb="398">
      <t>リシュウ</t>
    </rPh>
    <rPh sb="403" eb="405">
      <t>ヨウイ</t>
    </rPh>
    <rPh sb="411" eb="413">
      <t>ホンガク</t>
    </rPh>
    <rPh sb="414" eb="415">
      <t>ヤク</t>
    </rPh>
    <rPh sb="419" eb="421">
      <t>ガクセイ</t>
    </rPh>
    <rPh sb="422" eb="426">
      <t>ジンブンカガク</t>
    </rPh>
    <rPh sb="427" eb="429">
      <t>シャカイ</t>
    </rPh>
    <rPh sb="429" eb="431">
      <t>カガク</t>
    </rPh>
    <rPh sb="432" eb="434">
      <t>センコウ</t>
    </rPh>
    <rPh sb="439" eb="441">
      <t>コウリョ</t>
    </rPh>
    <rPh sb="448" eb="450">
      <t>ブンヤ</t>
    </rPh>
    <rPh sb="451" eb="453">
      <t>ガクセイ</t>
    </rPh>
    <rPh sb="457" eb="459">
      <t>ナジ</t>
    </rPh>
    <rPh sb="463" eb="465">
      <t>ダイザイ</t>
    </rPh>
    <rPh sb="466" eb="468">
      <t>サイヨウ</t>
    </rPh>
    <rPh sb="470" eb="474">
      <t>ジュギョウカモク</t>
    </rPh>
    <rPh sb="475" eb="477">
      <t>ジュウジツ</t>
    </rPh>
    <rPh sb="490" eb="494">
      <t>ヒッシュウカモク</t>
    </rPh>
    <rPh sb="495" eb="499">
      <t>ブンリユウゴウ</t>
    </rPh>
    <rPh sb="513" eb="517">
      <t>ブンガクサクヒン</t>
    </rPh>
    <rPh sb="518" eb="519">
      <t>ミ</t>
    </rPh>
    <rPh sb="522" eb="526">
      <t>ブンカゲンショウ</t>
    </rPh>
    <rPh sb="527" eb="529">
      <t>タイショウ</t>
    </rPh>
    <rPh sb="541" eb="543">
      <t>ジレイ</t>
    </rPh>
    <rPh sb="544" eb="546">
      <t>ショウカイ</t>
    </rPh>
    <rPh sb="551" eb="552">
      <t>オモ</t>
    </rPh>
    <rPh sb="553" eb="558">
      <t>ジンブンカガクケイ</t>
    </rPh>
    <rPh sb="559" eb="561">
      <t>ガクセイ</t>
    </rPh>
    <rPh sb="562" eb="564">
      <t>ナジ</t>
    </rPh>
    <rPh sb="568" eb="570">
      <t>ナイヨウ</t>
    </rPh>
    <rPh sb="577" eb="579">
      <t>キカン</t>
    </rPh>
    <rPh sb="579" eb="581">
      <t>カモク</t>
    </rPh>
    <rPh sb="582" eb="586">
      <t>ブンリユウゴウ</t>
    </rPh>
    <rPh sb="599" eb="604">
      <t>ケイリョウケイザイガク</t>
    </rPh>
    <rPh sb="610" eb="612">
      <t>セイフ</t>
    </rPh>
    <rPh sb="612" eb="614">
      <t>トウケイ</t>
    </rPh>
    <rPh sb="618" eb="620">
      <t>ブンセキ</t>
    </rPh>
    <rPh sb="625" eb="626">
      <t>オモ</t>
    </rPh>
    <rPh sb="627" eb="632">
      <t>シャカイカガクケイ</t>
    </rPh>
    <rPh sb="633" eb="635">
      <t>ガクセイ</t>
    </rPh>
    <rPh sb="636" eb="638">
      <t>ナジ</t>
    </rPh>
    <rPh sb="642" eb="644">
      <t>ナイヨウ</t>
    </rPh>
    <rPh sb="653" eb="655">
      <t>イガイ</t>
    </rPh>
    <rPh sb="689" eb="692">
      <t>カクブンヤ</t>
    </rPh>
    <rPh sb="702" eb="704">
      <t>ブンヤ</t>
    </rPh>
    <rPh sb="705" eb="707">
      <t>センコウ</t>
    </rPh>
    <rPh sb="709" eb="711">
      <t>ガクセイ</t>
    </rPh>
    <rPh sb="715" eb="717">
      <t>ナジ</t>
    </rPh>
    <rPh sb="721" eb="723">
      <t>ダイザイ</t>
    </rPh>
    <rPh sb="724" eb="725">
      <t>モチ</t>
    </rPh>
    <rPh sb="730" eb="732">
      <t>ブンセキ</t>
    </rPh>
    <rPh sb="733" eb="737">
      <t>センモンカモク</t>
    </rPh>
    <rPh sb="738" eb="740">
      <t>ジュウジツ</t>
    </rPh>
    <phoneticPr fontId="2"/>
  </si>
  <si>
    <t>カリキュラム科目群のうち必修科目「文理融合データサイエンスI,II」では人文科学を題材とし、基幹科目「文理融合データサイエンスIII」では社会科学を題材とするなど、幅広い分野の学生にとって馴染みやすくデータサイエンスに導入するようにカリキュラムが編成されている。またカリキュラムの連携科目として全学部の専門科目が用意されており、データサイエンスの知識が各自の専門性においてどのように役に立つかを実感しやすいようにカリキュラムが編成されている。また基幹科目「デジタル概論」や連携科目「情報と職業」をはじめとして、就職後の業務のためにデータサイエンスを学ぶ意義がどこにあるかを実感させる科目も多数用意されている。</t>
    <rPh sb="6" eb="9">
      <t>カモクグン</t>
    </rPh>
    <rPh sb="12" eb="16">
      <t>ヒッシュウカモク</t>
    </rPh>
    <rPh sb="17" eb="21">
      <t>ブンリユウゴウ</t>
    </rPh>
    <rPh sb="36" eb="40">
      <t>ジンブンカガク</t>
    </rPh>
    <rPh sb="41" eb="43">
      <t>ダイザイ</t>
    </rPh>
    <rPh sb="46" eb="48">
      <t>キカン</t>
    </rPh>
    <rPh sb="48" eb="50">
      <t>カモク</t>
    </rPh>
    <rPh sb="51" eb="55">
      <t>ブンリユウゴウ</t>
    </rPh>
    <rPh sb="69" eb="73">
      <t>シャカイカガク</t>
    </rPh>
    <rPh sb="74" eb="76">
      <t>ダイザイ</t>
    </rPh>
    <rPh sb="82" eb="84">
      <t>ハバヒロ</t>
    </rPh>
    <rPh sb="85" eb="87">
      <t>ブンヤ</t>
    </rPh>
    <rPh sb="88" eb="90">
      <t>ガクセイ</t>
    </rPh>
    <rPh sb="94" eb="96">
      <t>ナジ</t>
    </rPh>
    <rPh sb="109" eb="111">
      <t>ドウニュウ</t>
    </rPh>
    <rPh sb="123" eb="125">
      <t>ヘンセイ</t>
    </rPh>
    <rPh sb="140" eb="142">
      <t>レンケイ</t>
    </rPh>
    <rPh sb="142" eb="144">
      <t>カモク</t>
    </rPh>
    <rPh sb="147" eb="150">
      <t>ゼンガクブ</t>
    </rPh>
    <rPh sb="151" eb="155">
      <t>センモンカモク</t>
    </rPh>
    <rPh sb="156" eb="158">
      <t>ヨウイ</t>
    </rPh>
    <rPh sb="173" eb="175">
      <t>チシキ</t>
    </rPh>
    <rPh sb="176" eb="178">
      <t>カクジ</t>
    </rPh>
    <rPh sb="179" eb="182">
      <t>センモンセイ</t>
    </rPh>
    <rPh sb="191" eb="192">
      <t>ヤク</t>
    </rPh>
    <rPh sb="193" eb="194">
      <t>タ</t>
    </rPh>
    <rPh sb="197" eb="199">
      <t>ジッカン</t>
    </rPh>
    <rPh sb="213" eb="215">
      <t>ヘンセイ</t>
    </rPh>
    <rPh sb="223" eb="225">
      <t>キカン</t>
    </rPh>
    <rPh sb="225" eb="227">
      <t>カモク</t>
    </rPh>
    <rPh sb="232" eb="234">
      <t>ガイロン</t>
    </rPh>
    <rPh sb="236" eb="238">
      <t>レンケイ</t>
    </rPh>
    <rPh sb="238" eb="240">
      <t>カモク</t>
    </rPh>
    <rPh sb="241" eb="243">
      <t>ジョウホウ</t>
    </rPh>
    <rPh sb="244" eb="246">
      <t>ショクギョウ</t>
    </rPh>
    <rPh sb="255" eb="258">
      <t>シュウショクゴ</t>
    </rPh>
    <rPh sb="259" eb="261">
      <t>ギョウム</t>
    </rPh>
    <rPh sb="274" eb="275">
      <t>マナ</t>
    </rPh>
    <rPh sb="276" eb="278">
      <t>イギ</t>
    </rPh>
    <rPh sb="286" eb="288">
      <t>ジッカン</t>
    </rPh>
    <rPh sb="291" eb="293">
      <t>カモク</t>
    </rPh>
    <rPh sb="294" eb="296">
      <t>タスウ</t>
    </rPh>
    <rPh sb="296" eb="298">
      <t>ヨウイ</t>
    </rPh>
    <phoneticPr fontId="2"/>
  </si>
  <si>
    <t>情報科学(1)(2)、プログラミング演習2、情報学演習1、データ構造とアルゴリズム、計算物理学講義・演習(1)(2)</t>
    <rPh sb="0" eb="4">
      <t>ジョウホウカガク</t>
    </rPh>
    <rPh sb="22" eb="24">
      <t>エンシュウ</t>
    </rPh>
    <rPh sb="29" eb="31">
      <t>エンシュウ</t>
    </rPh>
    <rPh sb="38" eb="40">
      <t>コウゾウ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</si>
</sst>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b/>
      <sz val="9"/>
      <color indexed="81"/>
      <name val="MS P ゴシック"/>
      <family val="3"/>
      <charset val="128"/>
    </font>
    <font>
      <u/>
      <sz val="11"/>
      <name val="ＭＳ Ｐゴシック"/>
      <family val="3"/>
      <charset val="128"/>
      <scheme val="minor"/>
    </font>
    <font>
      <sz val="11.5"/>
      <color theme="1"/>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314">
    <xf numFmtId="0" fontId="0" fillId="0" borderId="0" xfId="0">
      <alignment vertical="center"/>
    </xf>
    <xf numFmtId="0" fontId="3" fillId="0" borderId="0" xfId="0" applyFont="1">
      <alignment vertical="center"/>
    </xf>
    <xf numFmtId="0" fontId="5" fillId="0" borderId="0" xfId="0" applyFont="1">
      <alignment vertical="center"/>
    </xf>
    <xf numFmtId="0" fontId="3" fillId="0" borderId="0" xfId="0" applyFont="1" applyBorder="1">
      <alignment vertical="center"/>
    </xf>
    <xf numFmtId="0" fontId="5" fillId="0" borderId="0" xfId="0" applyFont="1" applyBorder="1" applyAlignment="1">
      <alignment vertical="center" wrapText="1"/>
    </xf>
    <xf numFmtId="0" fontId="4" fillId="0" borderId="0" xfId="0" applyFont="1" applyAlignment="1">
      <alignment vertical="center"/>
    </xf>
    <xf numFmtId="0" fontId="3" fillId="0" borderId="5" xfId="0" applyFont="1" applyBorder="1">
      <alignment vertical="center"/>
    </xf>
    <xf numFmtId="0" fontId="3" fillId="0" borderId="0" xfId="0" applyFont="1" applyBorder="1" applyAlignment="1">
      <alignment vertical="center" wrapText="1"/>
    </xf>
    <xf numFmtId="0" fontId="5" fillId="0" borderId="0" xfId="0" applyFont="1" applyBorder="1" applyAlignment="1">
      <alignment vertical="top" wrapText="1"/>
    </xf>
    <xf numFmtId="0" fontId="4" fillId="0" borderId="0" xfId="0" applyFont="1" applyBorder="1" applyAlignment="1">
      <alignment vertical="top" wrapText="1"/>
    </xf>
    <xf numFmtId="0" fontId="4" fillId="0" borderId="0" xfId="0" applyFont="1">
      <alignment vertical="center"/>
    </xf>
    <xf numFmtId="0" fontId="4" fillId="0" borderId="0" xfId="0" applyFont="1" applyBorder="1" applyAlignment="1">
      <alignment vertical="center" wrapText="1"/>
    </xf>
    <xf numFmtId="0" fontId="5" fillId="0" borderId="0" xfId="0" applyFont="1" applyBorder="1" applyAlignment="1">
      <alignment vertical="top" shrinkToFit="1"/>
    </xf>
    <xf numFmtId="0" fontId="3" fillId="0" borderId="0" xfId="0" applyFont="1" applyBorder="1" applyAlignment="1">
      <alignment vertical="top" wrapText="1"/>
    </xf>
    <xf numFmtId="0" fontId="3" fillId="0" borderId="0" xfId="0" applyFont="1" applyBorder="1" applyAlignment="1">
      <alignment vertical="center"/>
    </xf>
    <xf numFmtId="0" fontId="6" fillId="0" borderId="0" xfId="0" applyFont="1" applyBorder="1" applyAlignment="1">
      <alignment vertical="top" wrapText="1"/>
    </xf>
    <xf numFmtId="0" fontId="6" fillId="0" borderId="10" xfId="0" applyFont="1" applyBorder="1" applyAlignment="1">
      <alignment vertical="top" wrapText="1"/>
    </xf>
    <xf numFmtId="0" fontId="5" fillId="0" borderId="5" xfId="0" applyFont="1" applyBorder="1" applyAlignment="1">
      <alignment vertical="top" wrapText="1"/>
    </xf>
    <xf numFmtId="0" fontId="5" fillId="0" borderId="10" xfId="0" applyFont="1" applyBorder="1" applyAlignment="1">
      <alignment vertical="top" wrapText="1"/>
    </xf>
    <xf numFmtId="0" fontId="5" fillId="0" borderId="19" xfId="0" applyFont="1" applyBorder="1" applyAlignment="1">
      <alignment vertical="top" wrapText="1"/>
    </xf>
    <xf numFmtId="0" fontId="3" fillId="0" borderId="17" xfId="0" applyFont="1" applyBorder="1">
      <alignment vertical="center"/>
    </xf>
    <xf numFmtId="176" fontId="10" fillId="0" borderId="0" xfId="0" applyNumberFormat="1" applyFont="1" applyBorder="1">
      <alignment vertical="center"/>
    </xf>
    <xf numFmtId="176" fontId="10" fillId="0" borderId="3" xfId="0" applyNumberFormat="1" applyFont="1" applyBorder="1" applyAlignment="1">
      <alignment vertical="center" shrinkToFit="1"/>
    </xf>
    <xf numFmtId="0" fontId="10" fillId="0" borderId="0" xfId="0" applyFont="1">
      <alignment vertical="center"/>
    </xf>
    <xf numFmtId="0" fontId="10" fillId="0" borderId="0" xfId="0" applyFont="1" applyAlignment="1">
      <alignment vertical="center"/>
    </xf>
    <xf numFmtId="0" fontId="10" fillId="0" borderId="0" xfId="0" applyFont="1" applyAlignment="1">
      <alignment horizontal="left" vertical="center"/>
    </xf>
    <xf numFmtId="0" fontId="10" fillId="0" borderId="0" xfId="0" applyFont="1" applyBorder="1" applyAlignment="1">
      <alignment vertical="center"/>
    </xf>
    <xf numFmtId="0" fontId="10" fillId="0" borderId="10" xfId="0" applyFont="1" applyBorder="1" applyAlignment="1">
      <alignment vertical="center"/>
    </xf>
    <xf numFmtId="0" fontId="10" fillId="0" borderId="5" xfId="0" applyFont="1" applyBorder="1">
      <alignment vertical="center"/>
    </xf>
    <xf numFmtId="176" fontId="10" fillId="0" borderId="0" xfId="0" applyNumberFormat="1" applyFont="1" applyBorder="1" applyAlignment="1">
      <alignment vertical="center" wrapText="1"/>
    </xf>
    <xf numFmtId="0" fontId="10" fillId="0" borderId="0" xfId="0" applyFont="1" applyBorder="1">
      <alignment vertical="center"/>
    </xf>
    <xf numFmtId="176" fontId="10" fillId="0" borderId="5" xfId="0" applyNumberFormat="1" applyFont="1" applyBorder="1" applyAlignment="1">
      <alignment vertical="center"/>
    </xf>
    <xf numFmtId="176" fontId="10" fillId="0" borderId="0" xfId="0" applyNumberFormat="1" applyFont="1" applyAlignment="1">
      <alignment vertical="center" wrapText="1"/>
    </xf>
    <xf numFmtId="176" fontId="10" fillId="0" borderId="0" xfId="0" applyNumberFormat="1" applyFont="1" applyAlignment="1">
      <alignment horizontal="left" vertical="center" wrapText="1"/>
    </xf>
    <xf numFmtId="0" fontId="10" fillId="0" borderId="6" xfId="0" applyFont="1" applyBorder="1" applyAlignment="1">
      <alignment vertical="center" shrinkToFit="1"/>
    </xf>
    <xf numFmtId="0" fontId="10" fillId="0" borderId="1" xfId="0" applyFont="1" applyBorder="1">
      <alignment vertical="center"/>
    </xf>
    <xf numFmtId="0" fontId="10" fillId="0" borderId="2" xfId="0" applyFont="1" applyBorder="1">
      <alignment vertical="center"/>
    </xf>
    <xf numFmtId="0" fontId="10" fillId="0" borderId="4" xfId="0" applyFont="1" applyBorder="1">
      <alignment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xf>
    <xf numFmtId="0" fontId="3" fillId="0" borderId="0" xfId="0" applyFont="1" applyAlignment="1">
      <alignment horizontal="right"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vertical="top" wrapText="1"/>
    </xf>
    <xf numFmtId="0" fontId="6" fillId="0" borderId="0" xfId="0" applyFont="1" applyAlignment="1">
      <alignment vertical="top" wrapText="1"/>
    </xf>
    <xf numFmtId="0" fontId="5" fillId="0" borderId="21" xfId="0" applyFont="1" applyBorder="1" applyAlignment="1">
      <alignment vertical="top" wrapText="1"/>
    </xf>
    <xf numFmtId="0" fontId="6" fillId="0" borderId="0" xfId="0" applyFont="1" applyAlignment="1">
      <alignment vertical="top" wrapText="1"/>
    </xf>
    <xf numFmtId="0" fontId="4" fillId="0" borderId="0" xfId="0" applyFont="1" applyAlignment="1">
      <alignment horizontal="center" vertical="center"/>
    </xf>
    <xf numFmtId="0" fontId="6" fillId="0" borderId="0" xfId="0" applyFont="1" applyAlignment="1">
      <alignment vertical="top" wrapText="1"/>
    </xf>
    <xf numFmtId="0" fontId="4" fillId="0" borderId="0" xfId="0" applyFont="1" applyAlignment="1">
      <alignment vertical="center" wrapText="1"/>
    </xf>
    <xf numFmtId="0" fontId="5" fillId="0" borderId="0" xfId="0" applyFont="1" applyAlignment="1">
      <alignment vertical="top" wrapText="1"/>
    </xf>
    <xf numFmtId="0" fontId="6" fillId="0" borderId="0" xfId="0" applyFont="1" applyAlignment="1">
      <alignment vertical="top" wrapText="1"/>
    </xf>
    <xf numFmtId="0" fontId="13" fillId="0" borderId="0" xfId="0" applyFont="1">
      <alignment vertical="center"/>
    </xf>
    <xf numFmtId="0" fontId="15" fillId="0" borderId="0" xfId="0" applyFont="1" applyBorder="1" applyAlignment="1">
      <alignment vertical="center" shrinkToFit="1"/>
    </xf>
    <xf numFmtId="0" fontId="4" fillId="0" borderId="0" xfId="0" applyFont="1" applyFill="1" applyBorder="1" applyAlignment="1">
      <alignment vertical="center"/>
    </xf>
    <xf numFmtId="0" fontId="5" fillId="0" borderId="0" xfId="0" applyFont="1" applyFill="1" applyBorder="1" applyAlignment="1">
      <alignment vertical="top" wrapText="1"/>
    </xf>
    <xf numFmtId="0" fontId="6" fillId="0" borderId="0" xfId="0" applyFont="1" applyFill="1" applyBorder="1" applyAlignment="1">
      <alignment vertical="top" wrapText="1"/>
    </xf>
    <xf numFmtId="0" fontId="16" fillId="0" borderId="0" xfId="2" applyNumberFormat="1" applyFont="1" applyBorder="1" applyAlignment="1">
      <alignment vertical="center" shrinkToFit="1"/>
    </xf>
    <xf numFmtId="0" fontId="4" fillId="0" borderId="0" xfId="0" applyFont="1" applyAlignment="1">
      <alignment horizontal="center" vertical="center"/>
    </xf>
    <xf numFmtId="0" fontId="4" fillId="0" borderId="0" xfId="0" applyFont="1" applyAlignment="1">
      <alignment vertical="center" shrinkToFit="1"/>
    </xf>
    <xf numFmtId="0" fontId="17" fillId="0" borderId="0" xfId="0" applyFont="1">
      <alignment vertical="center"/>
    </xf>
    <xf numFmtId="0" fontId="4" fillId="0" borderId="0" xfId="0" applyFont="1" applyBorder="1" applyAlignment="1">
      <alignmen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20" xfId="0" applyFont="1" applyBorder="1" applyAlignment="1">
      <alignment vertical="center" shrinkToFit="1"/>
    </xf>
    <xf numFmtId="176" fontId="4" fillId="0" borderId="20"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25" xfId="0" applyNumberFormat="1" applyFont="1" applyBorder="1" applyAlignment="1">
      <alignment vertical="center" shrinkToFit="1"/>
    </xf>
    <xf numFmtId="176" fontId="4" fillId="0" borderId="26" xfId="0" applyNumberFormat="1" applyFont="1" applyBorder="1" applyAlignment="1">
      <alignment vertical="center" shrinkToFit="1"/>
    </xf>
    <xf numFmtId="0" fontId="4" fillId="0" borderId="27" xfId="0" applyFont="1" applyBorder="1" applyAlignment="1">
      <alignment vertical="center" shrinkToFit="1"/>
    </xf>
    <xf numFmtId="176" fontId="4" fillId="0" borderId="27" xfId="0" applyNumberFormat="1" applyFont="1" applyBorder="1" applyAlignment="1">
      <alignment vertical="center" shrinkToFit="1"/>
    </xf>
    <xf numFmtId="176" fontId="4" fillId="0" borderId="37" xfId="0" applyNumberFormat="1" applyFont="1" applyBorder="1" applyAlignment="1">
      <alignment vertical="center" shrinkToFit="1"/>
    </xf>
    <xf numFmtId="176" fontId="4" fillId="0" borderId="38" xfId="0" applyNumberFormat="1" applyFont="1" applyBorder="1" applyAlignment="1">
      <alignment vertical="center" shrinkToFit="1"/>
    </xf>
    <xf numFmtId="176" fontId="4" fillId="0" borderId="29" xfId="0" applyNumberFormat="1" applyFont="1" applyBorder="1" applyAlignment="1">
      <alignment vertical="center" shrinkToFit="1"/>
    </xf>
    <xf numFmtId="176" fontId="4" fillId="0" borderId="30" xfId="0" applyNumberFormat="1" applyFont="1" applyBorder="1" applyAlignment="1">
      <alignment vertical="center" shrinkToFit="1"/>
    </xf>
    <xf numFmtId="9" fontId="4" fillId="0" borderId="29" xfId="0" applyNumberFormat="1" applyFont="1" applyBorder="1" applyAlignment="1">
      <alignment vertical="center" shrinkToFit="1"/>
    </xf>
    <xf numFmtId="176" fontId="6" fillId="0" borderId="0" xfId="0" applyNumberFormat="1" applyFont="1" applyBorder="1" applyAlignment="1">
      <alignment vertical="center" shrinkToFit="1"/>
    </xf>
    <xf numFmtId="0" fontId="0" fillId="0" borderId="0" xfId="0" applyFill="1">
      <alignment vertical="center"/>
    </xf>
    <xf numFmtId="0" fontId="4" fillId="0" borderId="2" xfId="0" applyFont="1" applyBorder="1" applyAlignment="1">
      <alignment horizontal="center" vertical="center" shrinkToFit="1"/>
    </xf>
    <xf numFmtId="0" fontId="1" fillId="0" borderId="0" xfId="0" applyFont="1">
      <alignment vertical="center"/>
    </xf>
    <xf numFmtId="0" fontId="1" fillId="0" borderId="0" xfId="0" applyFont="1" applyAlignment="1">
      <alignment horizontal="left" vertical="center"/>
    </xf>
    <xf numFmtId="0" fontId="1" fillId="0" borderId="0" xfId="0" applyFont="1" applyAlignment="1">
      <alignment horizontal="right" vertical="center"/>
    </xf>
    <xf numFmtId="0" fontId="10" fillId="0" borderId="0" xfId="0" applyFont="1" applyBorder="1" applyAlignment="1">
      <alignment vertical="center" shrinkToFit="1"/>
    </xf>
    <xf numFmtId="0" fontId="10" fillId="0" borderId="0" xfId="0" applyFont="1" applyBorder="1" applyAlignment="1">
      <alignment horizontal="center" vertical="center"/>
    </xf>
    <xf numFmtId="0" fontId="10" fillId="0" borderId="0" xfId="0" applyFont="1" applyBorder="1" applyAlignment="1">
      <alignment horizontal="center" vertical="center" shrinkToFit="1"/>
    </xf>
    <xf numFmtId="0" fontId="10" fillId="0" borderId="0" xfId="0" applyFont="1" applyAlignment="1">
      <alignment horizontal="center" vertical="center"/>
    </xf>
    <xf numFmtId="0" fontId="4" fillId="0" borderId="0" xfId="0" applyFont="1" applyAlignment="1">
      <alignment horizontal="right" vertical="center"/>
    </xf>
    <xf numFmtId="0" fontId="4" fillId="0" borderId="0" xfId="0" applyFont="1" applyBorder="1" applyAlignment="1">
      <alignment horizontal="center" vertical="center"/>
    </xf>
    <xf numFmtId="0" fontId="4" fillId="0" borderId="1" xfId="0" applyFont="1" applyBorder="1" applyAlignment="1">
      <alignment vertical="center" shrinkToFit="1"/>
    </xf>
    <xf numFmtId="0" fontId="6" fillId="0" borderId="21" xfId="0" applyFont="1" applyBorder="1" applyAlignment="1">
      <alignment vertical="top" shrinkToFit="1"/>
    </xf>
    <xf numFmtId="0" fontId="6" fillId="0" borderId="19" xfId="0" applyFont="1" applyBorder="1" applyAlignment="1">
      <alignment vertical="top" shrinkToFit="1"/>
    </xf>
    <xf numFmtId="0" fontId="4" fillId="0" borderId="0" xfId="0" applyFont="1" applyBorder="1" applyAlignment="1">
      <alignment vertical="center"/>
    </xf>
    <xf numFmtId="0" fontId="10" fillId="0" borderId="10" xfId="0" applyFont="1" applyBorder="1" applyAlignment="1">
      <alignment vertical="center" shrinkToFit="1"/>
    </xf>
    <xf numFmtId="0" fontId="10" fillId="0" borderId="0" xfId="0" applyFont="1" applyFill="1">
      <alignment vertical="center"/>
    </xf>
    <xf numFmtId="0" fontId="4" fillId="0" borderId="0" xfId="0" applyFont="1" applyAlignment="1">
      <alignment horizontal="center" vertical="center"/>
    </xf>
    <xf numFmtId="0" fontId="1" fillId="0" borderId="11" xfId="0" applyFont="1" applyBorder="1" applyAlignment="1">
      <alignment horizontal="center" vertical="center"/>
    </xf>
    <xf numFmtId="0" fontId="1" fillId="0" borderId="1" xfId="0" applyFont="1" applyBorder="1" applyAlignment="1">
      <alignment vertical="center" wrapText="1"/>
    </xf>
    <xf numFmtId="0" fontId="10" fillId="0" borderId="2" xfId="0" applyFont="1" applyBorder="1" applyAlignment="1">
      <alignment horizontal="left" vertical="center" shrinkToFit="1"/>
    </xf>
    <xf numFmtId="0" fontId="4" fillId="0" borderId="2" xfId="0" applyFont="1" applyBorder="1" applyAlignment="1">
      <alignment horizontal="left" vertical="center" shrinkToFit="1"/>
    </xf>
    <xf numFmtId="0" fontId="1" fillId="0" borderId="2" xfId="0" applyFont="1" applyBorder="1" applyAlignment="1">
      <alignment horizontal="left" vertical="center" shrinkToFit="1"/>
    </xf>
    <xf numFmtId="0" fontId="1" fillId="0" borderId="0" xfId="0" applyFont="1" applyAlignment="1">
      <alignment horizontal="center" vertical="center"/>
    </xf>
    <xf numFmtId="0" fontId="1" fillId="0" borderId="2" xfId="0" applyFont="1" applyBorder="1" applyAlignment="1">
      <alignment vertical="center" shrinkToFit="1"/>
    </xf>
    <xf numFmtId="0" fontId="11" fillId="0" borderId="2" xfId="0" applyFont="1" applyBorder="1" applyAlignment="1">
      <alignment horizontal="left" vertical="center" shrinkToFit="1"/>
    </xf>
    <xf numFmtId="0" fontId="10" fillId="0" borderId="2" xfId="0" applyFont="1" applyBorder="1" applyAlignment="1">
      <alignment horizontal="left" vertical="center" shrinkToFit="1"/>
    </xf>
    <xf numFmtId="0" fontId="4" fillId="0" borderId="2" xfId="0" applyFont="1" applyBorder="1" applyAlignment="1">
      <alignment horizontal="left" vertical="center" shrinkToFit="1"/>
    </xf>
    <xf numFmtId="0" fontId="1" fillId="0" borderId="2" xfId="0" applyFont="1" applyBorder="1" applyAlignment="1">
      <alignment horizontal="left" vertical="center" shrinkToFit="1"/>
    </xf>
    <xf numFmtId="0" fontId="10" fillId="0" borderId="0" xfId="0" applyFont="1" applyBorder="1" applyAlignment="1">
      <alignment vertical="center" shrinkToFit="1"/>
    </xf>
    <xf numFmtId="176" fontId="10" fillId="0" borderId="2" xfId="0" applyNumberFormat="1" applyFont="1" applyBorder="1" applyAlignment="1">
      <alignment horizontal="center" vertical="center" shrinkToFit="1"/>
    </xf>
    <xf numFmtId="176" fontId="10" fillId="0" borderId="4" xfId="0" applyNumberFormat="1" applyFont="1" applyBorder="1" applyAlignment="1">
      <alignment horizontal="center" vertical="center" shrinkToFit="1"/>
    </xf>
    <xf numFmtId="0" fontId="10" fillId="0" borderId="2" xfId="0" applyFont="1" applyBorder="1" applyAlignment="1">
      <alignment horizontal="left" vertical="center" shrinkToFit="1"/>
    </xf>
    <xf numFmtId="0" fontId="10" fillId="0" borderId="3" xfId="0" applyFont="1" applyBorder="1" applyAlignment="1">
      <alignment horizontal="left" vertical="center" shrinkToFit="1"/>
    </xf>
    <xf numFmtId="0" fontId="10" fillId="0" borderId="4" xfId="0" applyFont="1" applyBorder="1" applyAlignment="1">
      <alignment horizontal="left" vertical="center" shrinkToFit="1"/>
    </xf>
    <xf numFmtId="0" fontId="10" fillId="0" borderId="0"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0" xfId="0" applyFont="1" applyBorder="1" applyAlignment="1">
      <alignment horizontal="right" vertical="center" shrinkToFit="1"/>
    </xf>
    <xf numFmtId="0" fontId="10" fillId="0" borderId="5" xfId="0" applyFont="1" applyBorder="1" applyAlignment="1">
      <alignment horizontal="right" vertical="center" shrinkToFit="1"/>
    </xf>
    <xf numFmtId="0" fontId="10" fillId="0" borderId="10" xfId="0" applyFont="1" applyBorder="1" applyAlignment="1">
      <alignment horizontal="right" vertical="center" shrinkToFit="1"/>
    </xf>
    <xf numFmtId="0" fontId="10" fillId="0" borderId="0" xfId="0" applyFont="1" applyAlignment="1">
      <alignment horizontal="right" vertical="center"/>
    </xf>
    <xf numFmtId="0" fontId="10" fillId="0" borderId="0" xfId="0" applyFont="1" applyBorder="1" applyAlignment="1">
      <alignment horizontal="right" vertical="center"/>
    </xf>
    <xf numFmtId="0" fontId="10" fillId="0" borderId="10" xfId="0" applyFont="1" applyBorder="1" applyAlignment="1">
      <alignment horizontal="right" vertical="center"/>
    </xf>
    <xf numFmtId="176" fontId="10" fillId="0" borderId="3" xfId="0" applyNumberFormat="1" applyFont="1" applyBorder="1" applyAlignment="1">
      <alignment horizontal="center" vertical="center" shrinkToFit="1"/>
    </xf>
    <xf numFmtId="0" fontId="10" fillId="0" borderId="0" xfId="0" applyFont="1" applyBorder="1" applyAlignment="1">
      <alignment horizontal="center" vertical="center" shrinkToFit="1"/>
    </xf>
    <xf numFmtId="0" fontId="10" fillId="0" borderId="0" xfId="0" applyFont="1" applyAlignment="1">
      <alignment horizontal="center" vertical="center"/>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49" fontId="19" fillId="0" borderId="2" xfId="2" applyNumberFormat="1" applyFont="1" applyBorder="1" applyAlignment="1">
      <alignment vertical="center" shrinkToFit="1"/>
    </xf>
    <xf numFmtId="49" fontId="10" fillId="0" borderId="3" xfId="0" applyNumberFormat="1" applyFont="1" applyBorder="1" applyAlignment="1">
      <alignment vertical="center" shrinkToFit="1"/>
    </xf>
    <xf numFmtId="49" fontId="10" fillId="0" borderId="4" xfId="0" applyNumberFormat="1" applyFont="1" applyBorder="1" applyAlignment="1">
      <alignment vertical="center" shrinkToFit="1"/>
    </xf>
    <xf numFmtId="49" fontId="10" fillId="0" borderId="2" xfId="1" applyNumberFormat="1" applyFont="1" applyBorder="1" applyAlignment="1">
      <alignment horizontal="left" vertical="center" shrinkToFit="1"/>
    </xf>
    <xf numFmtId="49" fontId="10" fillId="0" borderId="3" xfId="1" applyNumberFormat="1" applyFont="1" applyBorder="1" applyAlignment="1">
      <alignment horizontal="left" vertical="center" shrinkToFit="1"/>
    </xf>
    <xf numFmtId="49" fontId="10" fillId="0" borderId="4" xfId="1" applyNumberFormat="1" applyFont="1" applyBorder="1" applyAlignment="1">
      <alignment horizontal="left" vertical="center" shrinkToFit="1"/>
    </xf>
    <xf numFmtId="0" fontId="4" fillId="0" borderId="2"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4" fillId="0" borderId="2" xfId="0" applyFont="1" applyFill="1" applyBorder="1" applyAlignment="1">
      <alignment vertical="center" shrinkToFit="1"/>
    </xf>
    <xf numFmtId="0" fontId="4" fillId="0" borderId="3" xfId="0" applyFont="1" applyFill="1" applyBorder="1" applyAlignment="1">
      <alignment vertical="center" shrinkToFit="1"/>
    </xf>
    <xf numFmtId="0" fontId="4" fillId="0" borderId="4" xfId="0" applyFont="1" applyFill="1" applyBorder="1" applyAlignment="1">
      <alignment vertical="center" shrinkToFi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5" xfId="0" applyFont="1" applyBorder="1" applyAlignment="1">
      <alignment vertical="top" wrapText="1"/>
    </xf>
    <xf numFmtId="0" fontId="4" fillId="0" borderId="0"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4" fillId="0" borderId="12" xfId="0" applyFont="1" applyBorder="1" applyAlignment="1">
      <alignment vertical="top"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0" xfId="0" applyFont="1" applyAlignment="1">
      <alignment vertical="center" shrinkToFit="1"/>
    </xf>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4" fillId="0" borderId="20" xfId="0" applyFont="1" applyBorder="1" applyAlignment="1">
      <alignment vertical="center" shrinkToFit="1"/>
    </xf>
    <xf numFmtId="0" fontId="4" fillId="0" borderId="19" xfId="0" applyFont="1" applyBorder="1" applyAlignment="1">
      <alignment vertical="center" shrinkToFit="1"/>
    </xf>
    <xf numFmtId="0" fontId="4" fillId="0" borderId="15" xfId="0" applyFont="1" applyBorder="1" applyAlignment="1">
      <alignment vertical="center" shrinkToFit="1"/>
    </xf>
    <xf numFmtId="0" fontId="4" fillId="0" borderId="39" xfId="0" applyFont="1" applyBorder="1" applyAlignment="1">
      <alignment vertical="center" shrinkToFit="1"/>
    </xf>
    <xf numFmtId="0" fontId="4" fillId="0" borderId="27" xfId="0" applyFont="1" applyBorder="1" applyAlignment="1">
      <alignment horizontal="center" vertical="center" shrinkToFit="1"/>
    </xf>
    <xf numFmtId="0" fontId="4" fillId="0" borderId="28"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40" xfId="0" applyFont="1" applyBorder="1" applyAlignment="1">
      <alignment vertical="center" shrinkToFit="1"/>
    </xf>
    <xf numFmtId="0" fontId="4" fillId="0" borderId="41" xfId="0" applyFont="1" applyBorder="1" applyAlignment="1">
      <alignment vertical="center" shrinkToFit="1"/>
    </xf>
    <xf numFmtId="0" fontId="3" fillId="0" borderId="0" xfId="0" applyFont="1" applyAlignment="1">
      <alignment horizontal="right" vertical="center"/>
    </xf>
    <xf numFmtId="0" fontId="9" fillId="0" borderId="7" xfId="0" applyFont="1" applyBorder="1" applyAlignment="1">
      <alignment horizontal="center" vertical="center" wrapText="1"/>
    </xf>
    <xf numFmtId="0" fontId="9"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9" xfId="0" applyFont="1" applyBorder="1" applyAlignment="1">
      <alignment horizontal="center" vertical="center"/>
    </xf>
    <xf numFmtId="0" fontId="12" fillId="0" borderId="16" xfId="0" applyFont="1" applyBorder="1" applyAlignment="1">
      <alignment horizontal="center" vertical="center" wrapText="1"/>
    </xf>
    <xf numFmtId="0" fontId="12" fillId="0" borderId="13" xfId="0" applyFont="1" applyBorder="1" applyAlignment="1">
      <alignment horizontal="center" vertical="center"/>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4" fillId="0" borderId="0" xfId="0" applyFont="1" applyAlignment="1">
      <alignment horizontal="center" vertical="center" shrinkToFit="1"/>
    </xf>
    <xf numFmtId="0" fontId="1" fillId="0" borderId="2" xfId="0" applyFont="1" applyFill="1" applyBorder="1" applyAlignment="1">
      <alignment horizontal="center" vertical="center" shrinkToFit="1"/>
    </xf>
    <xf numFmtId="0" fontId="1" fillId="0" borderId="3" xfId="0" applyFont="1" applyFill="1" applyBorder="1" applyAlignment="1">
      <alignment horizontal="center" vertical="center" shrinkToFit="1"/>
    </xf>
    <xf numFmtId="0" fontId="1" fillId="0" borderId="4" xfId="0" applyFont="1" applyFill="1" applyBorder="1" applyAlignment="1">
      <alignment horizontal="center" vertical="center" shrinkToFit="1"/>
    </xf>
    <xf numFmtId="0" fontId="11"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 xfId="0" applyFont="1" applyBorder="1" applyAlignment="1">
      <alignment horizontal="left" vertical="center"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4" fillId="0" borderId="16" xfId="0" applyFont="1" applyBorder="1" applyAlignment="1">
      <alignment vertical="center" wrapText="1"/>
    </xf>
    <xf numFmtId="0" fontId="4" fillId="0" borderId="42" xfId="0" applyFont="1" applyBorder="1" applyAlignment="1">
      <alignment vertical="center" wrapText="1"/>
    </xf>
    <xf numFmtId="0" fontId="1" fillId="0" borderId="7" xfId="0" applyFont="1" applyBorder="1" applyAlignment="1">
      <alignment horizontal="left" vertical="top" wrapText="1" shrinkToFit="1"/>
    </xf>
    <xf numFmtId="0" fontId="1" fillId="0" borderId="8" xfId="0" applyFont="1" applyBorder="1" applyAlignment="1">
      <alignment horizontal="left" vertical="top" wrapText="1" shrinkToFit="1"/>
    </xf>
    <xf numFmtId="0" fontId="1" fillId="0" borderId="9" xfId="0" applyFont="1" applyBorder="1" applyAlignment="1">
      <alignment horizontal="left" vertical="top" wrapText="1" shrinkToFit="1"/>
    </xf>
    <xf numFmtId="0" fontId="1" fillId="0" borderId="5" xfId="0" applyFont="1" applyBorder="1" applyAlignment="1">
      <alignment horizontal="left" vertical="top" wrapText="1" shrinkToFit="1"/>
    </xf>
    <xf numFmtId="0" fontId="1" fillId="0" borderId="0" xfId="0" applyFont="1" applyBorder="1" applyAlignment="1">
      <alignment horizontal="left" vertical="top" wrapText="1" shrinkToFit="1"/>
    </xf>
    <xf numFmtId="0" fontId="1" fillId="0" borderId="10" xfId="0" applyFont="1" applyBorder="1" applyAlignment="1">
      <alignment horizontal="left" vertical="top" wrapText="1" shrinkToFit="1"/>
    </xf>
    <xf numFmtId="0" fontId="1" fillId="0" borderId="11" xfId="0" applyFont="1" applyBorder="1" applyAlignment="1">
      <alignment horizontal="left" vertical="top" wrapText="1" shrinkToFit="1"/>
    </xf>
    <xf numFmtId="0" fontId="1" fillId="0" borderId="6" xfId="0" applyFont="1" applyBorder="1" applyAlignment="1">
      <alignment horizontal="left" vertical="top" wrapText="1" shrinkToFit="1"/>
    </xf>
    <xf numFmtId="0" fontId="1" fillId="0" borderId="12" xfId="0" applyFont="1" applyBorder="1" applyAlignment="1">
      <alignment horizontal="left" vertical="top"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2" xfId="0" applyFont="1" applyBorder="1" applyAlignment="1">
      <alignment horizontal="left" vertical="center" shrinkToFi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4" fillId="0" borderId="13" xfId="0" applyFont="1" applyBorder="1" applyAlignment="1">
      <alignment vertical="center" wrapText="1"/>
    </xf>
    <xf numFmtId="0" fontId="1" fillId="0" borderId="0" xfId="0" applyFont="1" applyAlignment="1">
      <alignment horizontal="center" vertical="center"/>
    </xf>
    <xf numFmtId="0" fontId="10" fillId="0" borderId="7" xfId="0" applyFont="1" applyBorder="1" applyAlignment="1">
      <alignment horizontal="left" vertical="top" wrapText="1"/>
    </xf>
    <xf numFmtId="0" fontId="14" fillId="0" borderId="8" xfId="0" applyFont="1" applyBorder="1" applyAlignment="1">
      <alignment horizontal="left" vertical="top" wrapText="1"/>
    </xf>
    <xf numFmtId="0" fontId="14" fillId="0" borderId="9" xfId="0" applyFont="1" applyBorder="1" applyAlignment="1">
      <alignment horizontal="left" vertical="top" wrapText="1"/>
    </xf>
    <xf numFmtId="0" fontId="14" fillId="0" borderId="5" xfId="0" applyFont="1" applyBorder="1" applyAlignment="1">
      <alignment horizontal="left" vertical="top" wrapText="1"/>
    </xf>
    <xf numFmtId="0" fontId="14" fillId="0" borderId="0" xfId="0" applyFont="1" applyBorder="1" applyAlignment="1">
      <alignment horizontal="lef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14" fillId="0" borderId="6" xfId="0" applyFont="1" applyBorder="1" applyAlignment="1">
      <alignment horizontal="left" vertical="top" wrapText="1"/>
    </xf>
    <xf numFmtId="0" fontId="14" fillId="0" borderId="12" xfId="0" applyFont="1" applyBorder="1" applyAlignment="1">
      <alignment horizontal="left" vertical="top" wrapText="1"/>
    </xf>
    <xf numFmtId="0" fontId="4" fillId="0" borderId="7" xfId="0" applyFont="1" applyBorder="1" applyAlignment="1">
      <alignment horizontal="left" vertical="top" wrapText="1" shrinkToFit="1"/>
    </xf>
    <xf numFmtId="0" fontId="4" fillId="0" borderId="8" xfId="0" applyFont="1" applyBorder="1" applyAlignment="1">
      <alignment horizontal="left" vertical="top" wrapText="1" shrinkToFit="1"/>
    </xf>
    <xf numFmtId="0" fontId="4" fillId="0" borderId="9" xfId="0" applyFont="1" applyBorder="1" applyAlignment="1">
      <alignment horizontal="left" vertical="top" wrapText="1" shrinkToFit="1"/>
    </xf>
    <xf numFmtId="0" fontId="4" fillId="0" borderId="5" xfId="0" applyFont="1" applyBorder="1" applyAlignment="1">
      <alignment horizontal="left" vertical="top" wrapText="1" shrinkToFit="1"/>
    </xf>
    <xf numFmtId="0" fontId="4" fillId="0" borderId="0" xfId="0" applyFont="1" applyBorder="1" applyAlignment="1">
      <alignment horizontal="left" vertical="top" wrapText="1" shrinkToFit="1"/>
    </xf>
    <xf numFmtId="0" fontId="4" fillId="0" borderId="10" xfId="0" applyFont="1" applyBorder="1" applyAlignment="1">
      <alignment horizontal="left" vertical="top" wrapText="1" shrinkToFit="1"/>
    </xf>
    <xf numFmtId="0" fontId="4" fillId="0" borderId="11" xfId="0" applyFont="1" applyBorder="1" applyAlignment="1">
      <alignment horizontal="left" vertical="top" wrapText="1" shrinkToFit="1"/>
    </xf>
    <xf numFmtId="0" fontId="4" fillId="0" borderId="6" xfId="0" applyFont="1" applyBorder="1" applyAlignment="1">
      <alignment horizontal="left" vertical="top" wrapText="1" shrinkToFit="1"/>
    </xf>
    <xf numFmtId="0" fontId="4" fillId="0" borderId="12" xfId="0" applyFont="1" applyBorder="1" applyAlignment="1">
      <alignment horizontal="left" vertical="top" wrapText="1" shrinkToFit="1"/>
    </xf>
    <xf numFmtId="0" fontId="8" fillId="0" borderId="2" xfId="2" applyBorder="1" applyAlignment="1">
      <alignment vertical="center" shrinkToFit="1"/>
    </xf>
    <xf numFmtId="0" fontId="14" fillId="0" borderId="3" xfId="0" applyFont="1" applyBorder="1" applyAlignment="1">
      <alignment vertical="center" shrinkToFit="1"/>
    </xf>
    <xf numFmtId="0" fontId="14" fillId="0" borderId="4" xfId="0" applyFont="1" applyBorder="1" applyAlignment="1">
      <alignment vertical="center" shrinkToFit="1"/>
    </xf>
    <xf numFmtId="0" fontId="1" fillId="0" borderId="2" xfId="0" applyFont="1" applyBorder="1" applyAlignment="1">
      <alignment vertical="center" shrinkToFit="1"/>
    </xf>
    <xf numFmtId="0" fontId="1" fillId="0" borderId="3" xfId="0" applyFont="1" applyBorder="1" applyAlignment="1">
      <alignment vertical="center" shrinkToFit="1"/>
    </xf>
    <xf numFmtId="0" fontId="1" fillId="0" borderId="4" xfId="0" applyFont="1" applyBorder="1" applyAlignment="1">
      <alignment vertical="center" shrinkToFit="1"/>
    </xf>
    <xf numFmtId="0" fontId="1" fillId="0" borderId="2" xfId="0" applyFont="1" applyBorder="1" applyAlignment="1">
      <alignment vertical="center" wrapText="1" shrinkToFit="1"/>
    </xf>
    <xf numFmtId="0" fontId="1" fillId="0" borderId="3" xfId="0" applyFont="1" applyBorder="1" applyAlignment="1">
      <alignment vertical="center" wrapText="1" shrinkToFit="1"/>
    </xf>
    <xf numFmtId="0" fontId="1" fillId="0" borderId="4" xfId="0" applyFont="1" applyBorder="1" applyAlignment="1">
      <alignment vertical="center" wrapText="1" shrinkToFit="1"/>
    </xf>
    <xf numFmtId="0" fontId="20" fillId="0" borderId="2" xfId="0" applyFont="1" applyBorder="1" applyAlignment="1">
      <alignment horizontal="left" vertical="center" shrinkToFit="1"/>
    </xf>
    <xf numFmtId="0" fontId="20" fillId="0" borderId="3" xfId="0" applyFont="1" applyBorder="1" applyAlignment="1">
      <alignment horizontal="left" vertical="center" shrinkToFit="1"/>
    </xf>
    <xf numFmtId="0" fontId="20" fillId="0" borderId="4" xfId="0" applyFont="1" applyBorder="1" applyAlignment="1">
      <alignment horizontal="left" vertical="center" shrinkToFit="1"/>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Border="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6" xfId="0" applyFont="1" applyBorder="1" applyAlignment="1">
      <alignment vertical="center"/>
    </xf>
    <xf numFmtId="0" fontId="1" fillId="0" borderId="0" xfId="0" applyFont="1" applyAlignment="1">
      <alignment vertical="center" shrinkToFit="1"/>
    </xf>
    <xf numFmtId="0" fontId="3" fillId="0" borderId="0" xfId="0" applyFont="1" applyAlignment="1">
      <alignment vertical="center" shrinkToFit="1"/>
    </xf>
    <xf numFmtId="0" fontId="8" fillId="0" borderId="7" xfId="2" applyFill="1" applyBorder="1" applyAlignment="1">
      <alignment vertical="top" wrapText="1"/>
    </xf>
    <xf numFmtId="0" fontId="0" fillId="0" borderId="8" xfId="0" applyFill="1" applyBorder="1" applyAlignment="1">
      <alignment vertical="top"/>
    </xf>
    <xf numFmtId="0" fontId="0" fillId="0" borderId="9" xfId="0" applyFill="1" applyBorder="1" applyAlignment="1">
      <alignment vertical="top"/>
    </xf>
    <xf numFmtId="0" fontId="0" fillId="0" borderId="5" xfId="0" applyFill="1" applyBorder="1" applyAlignment="1">
      <alignment vertical="top"/>
    </xf>
    <xf numFmtId="0" fontId="0" fillId="0" borderId="0" xfId="0" applyFill="1" applyBorder="1" applyAlignment="1">
      <alignment vertical="top"/>
    </xf>
    <xf numFmtId="0" fontId="0" fillId="0" borderId="10" xfId="0" applyFill="1" applyBorder="1" applyAlignment="1">
      <alignment vertical="top"/>
    </xf>
    <xf numFmtId="0" fontId="0" fillId="0" borderId="11" xfId="0" applyFill="1" applyBorder="1" applyAlignment="1">
      <alignment vertical="top"/>
    </xf>
    <xf numFmtId="0" fontId="0" fillId="0" borderId="6" xfId="0" applyFill="1" applyBorder="1" applyAlignment="1">
      <alignment vertical="top"/>
    </xf>
    <xf numFmtId="0" fontId="0" fillId="0" borderId="12" xfId="0" applyFill="1" applyBorder="1" applyAlignment="1">
      <alignment vertical="top"/>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Border="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18" xfId="0" applyFont="1" applyBorder="1" applyAlignment="1">
      <alignment vertical="center"/>
    </xf>
    <xf numFmtId="0" fontId="0" fillId="0" borderId="19" xfId="0" applyBorder="1" applyAlignment="1">
      <alignment vertical="center"/>
    </xf>
    <xf numFmtId="0" fontId="3" fillId="0" borderId="18" xfId="0" applyFont="1" applyBorder="1" applyAlignment="1">
      <alignment vertical="center" wrapText="1"/>
    </xf>
    <xf numFmtId="0" fontId="3" fillId="0" borderId="19" xfId="0" applyFont="1" applyBorder="1" applyAlignment="1">
      <alignment vertical="center" wrapText="1"/>
    </xf>
    <xf numFmtId="0" fontId="4" fillId="0" borderId="21" xfId="0" applyFont="1" applyBorder="1" applyAlignment="1">
      <alignment vertical="top" wrapText="1" shrinkToFit="1"/>
    </xf>
    <xf numFmtId="0" fontId="4" fillId="0" borderId="19" xfId="0" applyFont="1" applyBorder="1" applyAlignment="1">
      <alignment vertical="top" wrapText="1" shrinkToFit="1"/>
    </xf>
    <xf numFmtId="0" fontId="3" fillId="0" borderId="22" xfId="0" applyFont="1" applyBorder="1" applyAlignment="1">
      <alignment vertical="center" wrapText="1"/>
    </xf>
    <xf numFmtId="0" fontId="3" fillId="0" borderId="23" xfId="0" applyFont="1" applyBorder="1" applyAlignment="1">
      <alignment vertical="center" wrapText="1"/>
    </xf>
    <xf numFmtId="0" fontId="4" fillId="0" borderId="24" xfId="0" applyFont="1" applyBorder="1" applyAlignment="1">
      <alignment vertical="top" wrapText="1" shrinkToFit="1"/>
    </xf>
    <xf numFmtId="0" fontId="4" fillId="0" borderId="23" xfId="0" applyFont="1" applyBorder="1" applyAlignment="1">
      <alignment vertical="top" wrapText="1" shrinkToFit="1"/>
    </xf>
    <xf numFmtId="0" fontId="3" fillId="0" borderId="20" xfId="0" applyFont="1" applyBorder="1" applyAlignment="1">
      <alignment vertical="center" wrapText="1"/>
    </xf>
    <xf numFmtId="0" fontId="3" fillId="0" borderId="21" xfId="0" applyFont="1" applyBorder="1" applyAlignment="1">
      <alignment vertical="center" wrapText="1"/>
    </xf>
    <xf numFmtId="0" fontId="8" fillId="0" borderId="2" xfId="2" applyBorder="1" applyAlignment="1">
      <alignment horizontal="left" vertical="top" wrapText="1"/>
    </xf>
    <xf numFmtId="0" fontId="15" fillId="0" borderId="3" xfId="0" applyFont="1" applyBorder="1" applyAlignment="1">
      <alignment horizontal="left" vertical="top" wrapText="1"/>
    </xf>
    <xf numFmtId="0" fontId="15" fillId="0" borderId="4" xfId="0" applyFont="1" applyBorder="1" applyAlignment="1">
      <alignment horizontal="left" vertical="top" wrapText="1"/>
    </xf>
    <xf numFmtId="0" fontId="4" fillId="0" borderId="20" xfId="0" applyFont="1" applyBorder="1" applyAlignment="1">
      <alignment vertical="top" wrapText="1" shrinkToFit="1"/>
    </xf>
    <xf numFmtId="0" fontId="5" fillId="0" borderId="0" xfId="0" applyFont="1" applyAlignment="1">
      <alignment vertical="top" wrapText="1"/>
    </xf>
    <xf numFmtId="0" fontId="6" fillId="0" borderId="0" xfId="0" applyFont="1" applyAlignment="1">
      <alignmen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Fill="1" applyBorder="1" applyAlignment="1">
      <alignment horizontal="left" vertical="center" shrinkToFit="1"/>
    </xf>
    <xf numFmtId="0" fontId="4" fillId="0" borderId="3" xfId="0" applyFont="1" applyFill="1" applyBorder="1" applyAlignment="1">
      <alignment horizontal="left" vertical="center" shrinkToFit="1"/>
    </xf>
    <xf numFmtId="0" fontId="4" fillId="0" borderId="4" xfId="0" applyFont="1" applyFill="1" applyBorder="1" applyAlignment="1">
      <alignment horizontal="left" vertical="center" shrinkToFit="1"/>
    </xf>
    <xf numFmtId="0" fontId="10" fillId="0" borderId="2" xfId="0" applyFont="1" applyFill="1" applyBorder="1" applyAlignment="1">
      <alignment horizontal="left" vertical="center" shrinkToFit="1"/>
    </xf>
    <xf numFmtId="0" fontId="10" fillId="0" borderId="3" xfId="0" applyFont="1" applyFill="1" applyBorder="1" applyAlignment="1">
      <alignment horizontal="left" vertical="center" shrinkToFit="1"/>
    </xf>
    <xf numFmtId="0" fontId="10" fillId="0" borderId="4" xfId="0" applyFont="1" applyFill="1" applyBorder="1" applyAlignment="1">
      <alignment horizontal="left" vertical="center" shrinkToFit="1"/>
    </xf>
    <xf numFmtId="0" fontId="4" fillId="0" borderId="1" xfId="0" applyFont="1" applyBorder="1" applyAlignment="1">
      <alignment horizontal="center"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iku.kikaku@cc.ocha.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f.ocha.ac.jp/datascience/j/menu/curriculum/index.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f.ocha.ac.jp/ai-ds/j/menu/member/index.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f.ocha.ac.jp/datascience/j/menu/curriculum/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7"/>
  <sheetViews>
    <sheetView tabSelected="1" zoomScaleNormal="100" workbookViewId="0">
      <selection activeCell="J41" sqref="J41:N41"/>
    </sheetView>
  </sheetViews>
  <sheetFormatPr defaultColWidth="9" defaultRowHeight="18.75" customHeight="1"/>
  <cols>
    <col min="1" max="1" width="2.5" style="23" customWidth="1"/>
    <col min="2" max="2" width="12.5" style="23" customWidth="1"/>
    <col min="3" max="8" width="6.125" style="23" customWidth="1"/>
    <col min="9" max="9" width="2.5" style="23" customWidth="1"/>
    <col min="10" max="10" width="10" style="23" customWidth="1"/>
    <col min="11" max="11" width="2.5" style="23" customWidth="1"/>
    <col min="12" max="12" width="7.5" style="23" customWidth="1"/>
    <col min="13" max="13" width="2.5" style="23" customWidth="1"/>
    <col min="14" max="14" width="7.5" style="23" customWidth="1"/>
    <col min="15" max="16384" width="9" style="23"/>
  </cols>
  <sheetData>
    <row r="1" spans="1:14" ht="22.5" customHeight="1">
      <c r="M1" s="128" t="s">
        <v>27</v>
      </c>
      <c r="N1" s="128"/>
    </row>
    <row r="2" spans="1:14" ht="22.5" customHeight="1">
      <c r="A2" s="133" t="s">
        <v>122</v>
      </c>
      <c r="B2" s="133"/>
      <c r="C2" s="133"/>
      <c r="D2" s="133"/>
      <c r="E2" s="133"/>
      <c r="F2" s="133"/>
      <c r="G2" s="133"/>
      <c r="H2" s="133"/>
      <c r="I2" s="133"/>
      <c r="J2" s="133"/>
      <c r="K2" s="133"/>
      <c r="L2" s="133"/>
      <c r="M2" s="133"/>
      <c r="N2" s="133"/>
    </row>
    <row r="3" spans="1:14" ht="22.5" customHeight="1"/>
    <row r="4" spans="1:14" ht="22.5" customHeight="1">
      <c r="A4" s="23" t="s">
        <v>7</v>
      </c>
      <c r="B4" s="24" t="s">
        <v>19</v>
      </c>
      <c r="C4" s="118" t="s">
        <v>176</v>
      </c>
      <c r="D4" s="119"/>
      <c r="E4" s="119"/>
      <c r="F4" s="119"/>
      <c r="G4" s="119"/>
      <c r="H4" s="119"/>
      <c r="I4" s="119"/>
      <c r="J4" s="119"/>
      <c r="K4" s="119"/>
      <c r="L4" s="119"/>
      <c r="M4" s="119"/>
      <c r="N4" s="120"/>
    </row>
    <row r="5" spans="1:14" ht="7.5" customHeight="1">
      <c r="B5" s="24"/>
      <c r="C5" s="24"/>
      <c r="D5" s="24"/>
      <c r="E5" s="25"/>
      <c r="F5" s="91"/>
      <c r="G5" s="91"/>
      <c r="H5" s="91"/>
      <c r="I5" s="91"/>
      <c r="J5" s="91"/>
      <c r="K5" s="91"/>
      <c r="L5" s="91"/>
      <c r="M5" s="91"/>
      <c r="N5" s="91"/>
    </row>
    <row r="6" spans="1:14" ht="22.5" customHeight="1">
      <c r="A6" s="23" t="s">
        <v>12</v>
      </c>
      <c r="B6" s="24" t="s">
        <v>53</v>
      </c>
      <c r="C6" s="24"/>
      <c r="D6" s="118" t="s">
        <v>177</v>
      </c>
      <c r="E6" s="119"/>
      <c r="F6" s="119"/>
      <c r="G6" s="119"/>
      <c r="H6" s="119"/>
      <c r="I6" s="119"/>
      <c r="J6" s="119"/>
      <c r="K6" s="119"/>
      <c r="L6" s="119"/>
      <c r="M6" s="119"/>
      <c r="N6" s="120"/>
    </row>
    <row r="7" spans="1:14" ht="7.5" customHeight="1">
      <c r="B7" s="24"/>
      <c r="C7" s="24"/>
      <c r="D7" s="24"/>
      <c r="E7" s="25"/>
      <c r="F7" s="91"/>
      <c r="G7" s="91"/>
      <c r="H7" s="91"/>
      <c r="I7" s="91"/>
      <c r="J7" s="91"/>
      <c r="K7" s="91"/>
      <c r="L7" s="91"/>
      <c r="M7" s="91"/>
      <c r="N7" s="91"/>
    </row>
    <row r="8" spans="1:14" ht="22.5" customHeight="1">
      <c r="A8" s="26" t="s">
        <v>13</v>
      </c>
      <c r="B8" s="27" t="s">
        <v>54</v>
      </c>
      <c r="C8" s="118" t="s">
        <v>178</v>
      </c>
      <c r="D8" s="119"/>
      <c r="E8" s="120"/>
      <c r="F8" s="91"/>
      <c r="G8" s="132"/>
      <c r="H8" s="132"/>
      <c r="I8" s="132"/>
      <c r="J8" s="91"/>
      <c r="K8" s="91"/>
      <c r="L8" s="91"/>
      <c r="M8" s="91"/>
      <c r="N8" s="91"/>
    </row>
    <row r="9" spans="1:14" ht="7.5" customHeight="1">
      <c r="B9" s="24"/>
      <c r="C9" s="24"/>
      <c r="D9" s="24"/>
      <c r="E9" s="25"/>
      <c r="F9" s="91"/>
      <c r="G9" s="91"/>
      <c r="H9" s="91"/>
      <c r="I9" s="91"/>
      <c r="J9" s="91"/>
      <c r="K9" s="91"/>
      <c r="L9" s="91"/>
      <c r="M9" s="91"/>
      <c r="N9" s="91"/>
    </row>
    <row r="10" spans="1:14" ht="22.5" customHeight="1">
      <c r="A10" s="23" t="s">
        <v>16</v>
      </c>
      <c r="B10" s="24" t="s">
        <v>50</v>
      </c>
      <c r="C10" s="118" t="s">
        <v>179</v>
      </c>
      <c r="D10" s="119"/>
      <c r="E10" s="119"/>
      <c r="F10" s="119"/>
      <c r="G10" s="119"/>
      <c r="H10" s="119"/>
      <c r="I10" s="119"/>
      <c r="J10" s="119"/>
      <c r="K10" s="119"/>
      <c r="L10" s="119"/>
      <c r="M10" s="119"/>
      <c r="N10" s="120"/>
    </row>
    <row r="11" spans="1:14" ht="7.5" customHeight="1">
      <c r="B11" s="24"/>
      <c r="C11" s="24"/>
      <c r="D11" s="24"/>
      <c r="E11" s="25"/>
      <c r="F11" s="91"/>
      <c r="G11" s="91"/>
      <c r="H11" s="91"/>
      <c r="I11" s="91"/>
      <c r="J11" s="91"/>
      <c r="K11" s="91"/>
      <c r="L11" s="91"/>
      <c r="M11" s="91"/>
      <c r="N11" s="91"/>
    </row>
    <row r="12" spans="1:14" ht="22.5" customHeight="1">
      <c r="A12" s="23" t="s">
        <v>14</v>
      </c>
      <c r="B12" s="24" t="s">
        <v>118</v>
      </c>
      <c r="C12" s="24"/>
      <c r="D12" s="24"/>
      <c r="E12" s="91"/>
      <c r="F12" s="101"/>
      <c r="G12" s="134" t="s">
        <v>123</v>
      </c>
      <c r="H12" s="135"/>
      <c r="I12" s="135"/>
      <c r="J12" s="135"/>
      <c r="K12" s="135"/>
      <c r="L12" s="135"/>
      <c r="M12" s="135"/>
      <c r="N12" s="136"/>
    </row>
    <row r="13" spans="1:14" ht="7.5" customHeight="1">
      <c r="B13" s="25"/>
      <c r="C13" s="25"/>
      <c r="D13" s="25"/>
      <c r="E13" s="25"/>
      <c r="F13" s="91"/>
      <c r="G13" s="91"/>
      <c r="H13" s="91"/>
      <c r="I13" s="91"/>
      <c r="J13" s="91"/>
      <c r="K13" s="91"/>
      <c r="L13" s="91"/>
      <c r="M13" s="91"/>
      <c r="N13" s="91"/>
    </row>
    <row r="14" spans="1:14" ht="22.5" customHeight="1">
      <c r="A14" s="23" t="s">
        <v>17</v>
      </c>
      <c r="B14" s="25" t="s">
        <v>62</v>
      </c>
      <c r="C14" s="25"/>
      <c r="D14" s="25"/>
      <c r="E14" s="25"/>
      <c r="F14" s="118" t="s">
        <v>186</v>
      </c>
      <c r="G14" s="119"/>
      <c r="H14" s="120"/>
      <c r="I14" s="91"/>
      <c r="J14" s="91"/>
      <c r="K14" s="91"/>
      <c r="L14" s="91"/>
      <c r="M14" s="91"/>
      <c r="N14" s="91"/>
    </row>
    <row r="15" spans="1:14" ht="7.5" customHeight="1">
      <c r="B15" s="25"/>
      <c r="C15" s="25"/>
      <c r="D15" s="25"/>
      <c r="E15" s="25"/>
      <c r="F15" s="91"/>
      <c r="G15" s="91"/>
      <c r="H15" s="91"/>
      <c r="I15" s="91"/>
      <c r="J15" s="91"/>
      <c r="K15" s="91"/>
      <c r="L15" s="91"/>
      <c r="M15" s="91"/>
      <c r="N15" s="91"/>
    </row>
    <row r="16" spans="1:14" ht="22.5" customHeight="1">
      <c r="A16" s="23" t="s">
        <v>15</v>
      </c>
      <c r="B16" s="23" t="s">
        <v>0</v>
      </c>
      <c r="C16" s="129" t="s">
        <v>6</v>
      </c>
      <c r="D16" s="130"/>
      <c r="E16" s="116">
        <v>200</v>
      </c>
      <c r="F16" s="117"/>
      <c r="G16" s="28" t="s">
        <v>10</v>
      </c>
      <c r="I16" s="129" t="s">
        <v>11</v>
      </c>
      <c r="J16" s="130"/>
      <c r="K16" s="116">
        <v>247</v>
      </c>
      <c r="L16" s="131"/>
      <c r="M16" s="117"/>
      <c r="N16" s="29" t="s">
        <v>10</v>
      </c>
    </row>
    <row r="17" spans="1:14" ht="7.5" customHeight="1">
      <c r="F17" s="30"/>
      <c r="G17" s="30"/>
      <c r="H17" s="30"/>
      <c r="I17" s="30"/>
      <c r="J17" s="30"/>
      <c r="K17" s="30"/>
      <c r="L17" s="30"/>
      <c r="M17" s="29"/>
      <c r="N17" s="29"/>
    </row>
    <row r="18" spans="1:14" ht="22.5" customHeight="1">
      <c r="A18" s="23" t="s">
        <v>57</v>
      </c>
      <c r="B18" s="23" t="s">
        <v>84</v>
      </c>
      <c r="F18" s="30"/>
      <c r="G18" s="30"/>
      <c r="H18" s="30"/>
      <c r="I18" s="30"/>
      <c r="J18" s="30"/>
      <c r="K18" s="122">
        <v>43</v>
      </c>
      <c r="L18" s="123"/>
      <c r="M18" s="124"/>
      <c r="N18" s="29" t="s">
        <v>10</v>
      </c>
    </row>
    <row r="19" spans="1:14" ht="7.5" customHeight="1">
      <c r="F19" s="30"/>
      <c r="G19" s="30"/>
      <c r="H19" s="30"/>
      <c r="I19" s="30"/>
      <c r="J19" s="30"/>
      <c r="K19" s="30"/>
      <c r="L19" s="30"/>
      <c r="M19" s="29"/>
      <c r="N19" s="29"/>
    </row>
    <row r="20" spans="1:14" ht="22.5" customHeight="1">
      <c r="A20" s="23" t="s">
        <v>63</v>
      </c>
      <c r="B20" s="23" t="s">
        <v>115</v>
      </c>
      <c r="E20" s="116">
        <v>452</v>
      </c>
      <c r="F20" s="117"/>
      <c r="G20" s="31" t="s">
        <v>24</v>
      </c>
      <c r="H20" s="30"/>
      <c r="K20" s="115"/>
      <c r="L20" s="115"/>
      <c r="M20" s="115"/>
      <c r="N20" s="115"/>
    </row>
    <row r="21" spans="1:14" ht="7.5" customHeight="1">
      <c r="E21" s="21"/>
      <c r="F21" s="30"/>
      <c r="G21" s="30"/>
      <c r="L21" s="92"/>
      <c r="M21" s="92"/>
      <c r="N21" s="32"/>
    </row>
    <row r="22" spans="1:14" ht="22.5" customHeight="1">
      <c r="A22" s="23" t="s">
        <v>26</v>
      </c>
      <c r="B22" s="23" t="s">
        <v>116</v>
      </c>
      <c r="E22" s="21"/>
      <c r="F22" s="30"/>
      <c r="G22" s="30"/>
      <c r="H22" s="23" t="s">
        <v>56</v>
      </c>
      <c r="J22" s="122">
        <v>2022</v>
      </c>
      <c r="K22" s="123"/>
      <c r="L22" s="124"/>
      <c r="M22" s="92" t="s">
        <v>10</v>
      </c>
      <c r="N22" s="32"/>
    </row>
    <row r="23" spans="1:14" ht="7.5" customHeight="1">
      <c r="E23" s="21"/>
      <c r="F23" s="30"/>
      <c r="G23" s="30"/>
      <c r="L23" s="92"/>
      <c r="M23" s="92"/>
      <c r="N23" s="32"/>
    </row>
    <row r="24" spans="1:14" ht="22.5" customHeight="1">
      <c r="B24" s="94" t="s">
        <v>20</v>
      </c>
      <c r="C24" s="116">
        <v>466</v>
      </c>
      <c r="D24" s="117"/>
      <c r="E24" s="21" t="s">
        <v>10</v>
      </c>
      <c r="F24" s="30"/>
      <c r="G24" s="121" t="s">
        <v>21</v>
      </c>
      <c r="H24" s="121"/>
      <c r="I24" s="116">
        <v>480</v>
      </c>
      <c r="J24" s="117"/>
      <c r="K24" s="26" t="s">
        <v>10</v>
      </c>
      <c r="M24" s="92"/>
      <c r="N24" s="32"/>
    </row>
    <row r="25" spans="1:14" ht="7.5" customHeight="1">
      <c r="B25" s="94"/>
      <c r="C25" s="22"/>
      <c r="D25" s="22"/>
      <c r="E25" s="21"/>
      <c r="F25" s="30"/>
      <c r="G25" s="92"/>
      <c r="H25" s="92"/>
      <c r="I25" s="22"/>
      <c r="J25" s="22"/>
      <c r="K25" s="26"/>
      <c r="M25" s="92"/>
      <c r="N25" s="32"/>
    </row>
    <row r="26" spans="1:14" ht="22.5" customHeight="1">
      <c r="B26" s="94" t="s">
        <v>22</v>
      </c>
      <c r="C26" s="116">
        <v>506</v>
      </c>
      <c r="D26" s="117"/>
      <c r="E26" s="21" t="s">
        <v>10</v>
      </c>
      <c r="F26" s="30"/>
      <c r="G26" s="121" t="s">
        <v>23</v>
      </c>
      <c r="H26" s="121"/>
      <c r="I26" s="116">
        <v>570</v>
      </c>
      <c r="J26" s="117"/>
      <c r="K26" s="26" t="s">
        <v>10</v>
      </c>
      <c r="M26" s="92"/>
      <c r="N26" s="32"/>
    </row>
    <row r="27" spans="1:14" ht="7.5" customHeight="1">
      <c r="B27" s="94"/>
      <c r="C27" s="22"/>
      <c r="D27" s="22"/>
      <c r="E27" s="21"/>
      <c r="F27" s="30"/>
      <c r="G27" s="92"/>
      <c r="H27" s="92"/>
      <c r="I27" s="22"/>
      <c r="J27" s="22"/>
      <c r="K27" s="26"/>
      <c r="M27" s="92"/>
      <c r="N27" s="32"/>
    </row>
    <row r="28" spans="1:14" ht="22.5" customHeight="1">
      <c r="B28" s="94" t="s">
        <v>51</v>
      </c>
      <c r="C28" s="116"/>
      <c r="D28" s="117"/>
      <c r="E28" s="21" t="s">
        <v>10</v>
      </c>
      <c r="F28" s="30"/>
      <c r="G28" s="121" t="s">
        <v>52</v>
      </c>
      <c r="H28" s="121"/>
      <c r="I28" s="116"/>
      <c r="J28" s="117"/>
      <c r="K28" s="26" t="s">
        <v>10</v>
      </c>
      <c r="M28" s="92"/>
      <c r="N28" s="32"/>
    </row>
    <row r="29" spans="1:14" ht="7.5" customHeight="1">
      <c r="F29" s="30"/>
      <c r="G29" s="30"/>
      <c r="M29" s="33"/>
      <c r="N29" s="33"/>
    </row>
    <row r="30" spans="1:14" ht="22.5" customHeight="1">
      <c r="A30" s="23" t="s">
        <v>114</v>
      </c>
      <c r="B30" s="24" t="s">
        <v>106</v>
      </c>
      <c r="C30" s="24"/>
      <c r="D30" s="24"/>
      <c r="E30" s="24"/>
      <c r="F30" s="26"/>
      <c r="G30" s="91"/>
      <c r="H30" s="91"/>
      <c r="I30" s="91"/>
      <c r="J30" s="34"/>
      <c r="K30" s="34"/>
      <c r="L30" s="34"/>
      <c r="M30" s="34"/>
      <c r="N30" s="34"/>
    </row>
    <row r="31" spans="1:14" ht="22.5" customHeight="1">
      <c r="B31" s="125" t="s">
        <v>105</v>
      </c>
      <c r="C31" s="125"/>
      <c r="D31" s="118" t="s">
        <v>187</v>
      </c>
      <c r="E31" s="119"/>
      <c r="F31" s="119"/>
      <c r="G31" s="126" t="s">
        <v>25</v>
      </c>
      <c r="H31" s="125"/>
      <c r="I31" s="127"/>
      <c r="J31" s="118" t="s">
        <v>188</v>
      </c>
      <c r="K31" s="119"/>
      <c r="L31" s="119"/>
      <c r="M31" s="119"/>
      <c r="N31" s="120"/>
    </row>
    <row r="32" spans="1:14" ht="7.5" customHeight="1">
      <c r="F32" s="30"/>
      <c r="G32" s="30"/>
      <c r="M32" s="33"/>
      <c r="N32" s="33"/>
    </row>
    <row r="33" spans="1:14" ht="22.5" customHeight="1">
      <c r="A33" s="23" t="s">
        <v>55</v>
      </c>
      <c r="B33" s="24" t="s">
        <v>119</v>
      </c>
      <c r="C33" s="24"/>
      <c r="D33" s="24"/>
      <c r="E33" s="24"/>
      <c r="F33" s="26"/>
      <c r="G33" s="34"/>
      <c r="H33" s="34"/>
      <c r="I33" s="34"/>
      <c r="J33" s="34"/>
      <c r="K33" s="34"/>
      <c r="L33" s="34"/>
      <c r="M33" s="34"/>
      <c r="N33" s="34"/>
    </row>
    <row r="34" spans="1:14" ht="22.5" customHeight="1">
      <c r="B34" s="118" t="s">
        <v>146</v>
      </c>
      <c r="C34" s="119"/>
      <c r="D34" s="119"/>
      <c r="E34" s="119"/>
      <c r="F34" s="119"/>
      <c r="G34" s="119"/>
      <c r="H34" s="119"/>
      <c r="I34" s="119"/>
      <c r="J34" s="119"/>
      <c r="K34" s="119"/>
      <c r="L34" s="119"/>
      <c r="M34" s="119"/>
      <c r="N34" s="120"/>
    </row>
    <row r="35" spans="1:14" ht="7.5" customHeight="1">
      <c r="B35" s="93"/>
      <c r="C35" s="93"/>
      <c r="D35" s="93"/>
      <c r="E35" s="93"/>
      <c r="F35" s="93"/>
      <c r="G35" s="93"/>
      <c r="H35" s="93"/>
      <c r="I35" s="93"/>
      <c r="J35" s="93"/>
      <c r="K35" s="93"/>
      <c r="L35" s="93"/>
      <c r="M35" s="93"/>
      <c r="N35" s="93"/>
    </row>
    <row r="36" spans="1:14" ht="22.5" customHeight="1">
      <c r="B36" s="125" t="s">
        <v>105</v>
      </c>
      <c r="C36" s="125"/>
      <c r="D36" s="118" t="s">
        <v>189</v>
      </c>
      <c r="E36" s="119"/>
      <c r="F36" s="119"/>
      <c r="G36" s="126" t="s">
        <v>25</v>
      </c>
      <c r="H36" s="125"/>
      <c r="I36" s="127"/>
      <c r="J36" s="118" t="s">
        <v>190</v>
      </c>
      <c r="K36" s="119"/>
      <c r="L36" s="119"/>
      <c r="M36" s="119"/>
      <c r="N36" s="120"/>
    </row>
    <row r="37" spans="1:14" ht="7.5" customHeight="1">
      <c r="F37" s="91"/>
      <c r="G37" s="91"/>
      <c r="H37" s="91"/>
      <c r="I37" s="91"/>
      <c r="J37" s="91"/>
      <c r="K37" s="91"/>
      <c r="L37" s="91"/>
      <c r="M37" s="91"/>
      <c r="N37" s="91"/>
    </row>
    <row r="38" spans="1:14" ht="22.5" customHeight="1">
      <c r="A38" s="23" t="s">
        <v>58</v>
      </c>
      <c r="B38" s="23" t="s">
        <v>120</v>
      </c>
      <c r="M38" s="33"/>
      <c r="N38" s="33"/>
    </row>
    <row r="39" spans="1:14" ht="22.5" customHeight="1">
      <c r="B39" s="118" t="s">
        <v>191</v>
      </c>
      <c r="C39" s="119"/>
      <c r="D39" s="119"/>
      <c r="E39" s="119"/>
      <c r="F39" s="119"/>
      <c r="G39" s="119"/>
      <c r="H39" s="119"/>
      <c r="I39" s="119"/>
      <c r="J39" s="119"/>
      <c r="K39" s="119"/>
      <c r="L39" s="119"/>
      <c r="M39" s="119"/>
      <c r="N39" s="120"/>
    </row>
    <row r="40" spans="1:14" ht="7.5" customHeight="1">
      <c r="F40" s="91"/>
      <c r="G40" s="91"/>
      <c r="H40" s="91"/>
      <c r="I40" s="91"/>
      <c r="J40" s="91"/>
      <c r="K40" s="91"/>
      <c r="L40" s="91"/>
      <c r="M40" s="91"/>
      <c r="N40" s="91"/>
    </row>
    <row r="41" spans="1:14" ht="22.5" customHeight="1">
      <c r="B41" s="125" t="s">
        <v>105</v>
      </c>
      <c r="C41" s="125"/>
      <c r="D41" s="118" t="s">
        <v>192</v>
      </c>
      <c r="E41" s="119"/>
      <c r="F41" s="119"/>
      <c r="G41" s="126" t="s">
        <v>25</v>
      </c>
      <c r="H41" s="125"/>
      <c r="I41" s="127"/>
      <c r="J41" s="118" t="s">
        <v>188</v>
      </c>
      <c r="K41" s="119"/>
      <c r="L41" s="119"/>
      <c r="M41" s="119"/>
      <c r="N41" s="120"/>
    </row>
    <row r="42" spans="1:14" ht="7.5" customHeight="1">
      <c r="F42" s="91"/>
      <c r="G42" s="91"/>
      <c r="H42" s="91"/>
      <c r="I42" s="91"/>
      <c r="J42" s="91"/>
      <c r="K42" s="91"/>
      <c r="L42" s="91"/>
      <c r="M42" s="91"/>
      <c r="N42" s="91"/>
    </row>
    <row r="43" spans="1:14" ht="22.5" customHeight="1">
      <c r="A43" s="23" t="s">
        <v>64</v>
      </c>
      <c r="B43" s="102" t="s">
        <v>83</v>
      </c>
      <c r="E43" s="101"/>
      <c r="F43" s="118" t="s">
        <v>124</v>
      </c>
      <c r="G43" s="119"/>
      <c r="H43" s="119"/>
      <c r="I43" s="119"/>
      <c r="J43" s="119"/>
      <c r="K43" s="119"/>
      <c r="L43" s="119"/>
      <c r="M43" s="119"/>
      <c r="N43" s="120"/>
    </row>
    <row r="44" spans="1:14" ht="7.5" customHeight="1">
      <c r="F44" s="91"/>
      <c r="G44" s="91"/>
      <c r="H44" s="91"/>
      <c r="I44" s="91"/>
      <c r="J44" s="91"/>
      <c r="K44" s="91"/>
      <c r="L44" s="91"/>
      <c r="M44" s="91"/>
      <c r="N44" s="91"/>
    </row>
    <row r="45" spans="1:14" ht="22.5" customHeight="1">
      <c r="A45" s="23" t="s">
        <v>3</v>
      </c>
    </row>
    <row r="46" spans="1:14" ht="22.5" customHeight="1">
      <c r="B46" s="35" t="s">
        <v>1</v>
      </c>
      <c r="C46" s="134" t="s">
        <v>145</v>
      </c>
      <c r="D46" s="135"/>
      <c r="E46" s="135"/>
      <c r="F46" s="135"/>
      <c r="G46" s="135"/>
      <c r="H46" s="135"/>
      <c r="I46" s="36" t="s">
        <v>2</v>
      </c>
      <c r="J46" s="37"/>
      <c r="K46" s="118" t="s">
        <v>180</v>
      </c>
      <c r="L46" s="119"/>
      <c r="M46" s="119"/>
      <c r="N46" s="120"/>
    </row>
    <row r="47" spans="1:14" ht="22.5" customHeight="1">
      <c r="B47" s="35" t="s">
        <v>5</v>
      </c>
      <c r="C47" s="137" t="s">
        <v>181</v>
      </c>
      <c r="D47" s="138"/>
      <c r="E47" s="138"/>
      <c r="F47" s="138"/>
      <c r="G47" s="138"/>
      <c r="H47" s="139"/>
      <c r="I47" s="36" t="s">
        <v>4</v>
      </c>
      <c r="J47" s="37"/>
      <c r="K47" s="140" t="s">
        <v>193</v>
      </c>
      <c r="L47" s="141"/>
      <c r="M47" s="141"/>
      <c r="N47" s="142"/>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2"/>
  <dataValidations count="2">
    <dataValidation type="list" allowBlank="1" showInputMessage="1" showErrorMessage="1" sqref="C8" xr:uid="{4CC6935F-8D22-48CD-94EA-744B5FFFD297}">
      <formula1>"国立大学, 公立大学, 私立大学, 短期大学, 高等専門学校, その他"</formula1>
    </dataValidation>
    <dataValidation type="list" allowBlank="1" showInputMessage="1" showErrorMessage="1" sqref="F43" xr:uid="{4C959A66-6CB1-41CE-86E0-E0A2D010075B}">
      <formula1>"認定教育プログラム,認定教育プログラムと認定教育プログラム+（プラス）"</formula1>
    </dataValidation>
  </dataValidations>
  <hyperlinks>
    <hyperlink ref="C47" r:id="rId1" xr:uid="{DCB6D90F-B781-4546-B22F-21316D00BC1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4"/>
  <sheetViews>
    <sheetView showZeros="0" zoomScaleNormal="100" workbookViewId="0">
      <selection activeCell="B20" sqref="B20:E20"/>
    </sheetView>
  </sheetViews>
  <sheetFormatPr defaultColWidth="9" defaultRowHeight="18.75" customHeight="1"/>
  <cols>
    <col min="1" max="2" width="2.5" style="10" customWidth="1"/>
    <col min="3" max="3" width="20" style="10" customWidth="1"/>
    <col min="4" max="4" width="8.75" style="10" customWidth="1"/>
    <col min="5" max="5" width="7.5" style="10" customWidth="1"/>
    <col min="6" max="6" width="2.5" style="10" customWidth="1"/>
    <col min="7" max="7" width="15" style="10" customWidth="1"/>
    <col min="8" max="8" width="12.5" style="10" customWidth="1"/>
    <col min="9" max="9" width="11.125" style="10" customWidth="1"/>
    <col min="10" max="16384" width="9" style="10"/>
  </cols>
  <sheetData>
    <row r="1" spans="1:9" ht="18.75" customHeight="1">
      <c r="I1" s="95" t="s">
        <v>185</v>
      </c>
    </row>
    <row r="2" spans="1:9" ht="17.25" customHeight="1">
      <c r="G2" s="95" t="s">
        <v>30</v>
      </c>
      <c r="H2" s="164" t="s">
        <v>182</v>
      </c>
      <c r="I2" s="164"/>
    </row>
    <row r="3" spans="1:9" ht="7.5" customHeight="1"/>
    <row r="4" spans="1:9" ht="18.75" customHeight="1">
      <c r="A4" s="165" t="s">
        <v>81</v>
      </c>
      <c r="B4" s="165"/>
      <c r="C4" s="165"/>
      <c r="D4" s="165"/>
      <c r="E4" s="165"/>
      <c r="F4" s="165"/>
      <c r="G4" s="165"/>
      <c r="H4" s="165"/>
      <c r="I4" s="165"/>
    </row>
    <row r="5" spans="1:9" ht="7.5" customHeight="1">
      <c r="C5" s="103"/>
      <c r="D5" s="103"/>
      <c r="E5" s="103"/>
      <c r="F5" s="103"/>
      <c r="G5" s="103"/>
      <c r="H5" s="103"/>
      <c r="I5" s="103"/>
    </row>
    <row r="6" spans="1:9" ht="18.75" customHeight="1">
      <c r="A6" s="10" t="s">
        <v>7</v>
      </c>
      <c r="B6" s="10" t="s">
        <v>91</v>
      </c>
      <c r="C6" s="103"/>
      <c r="D6" s="103"/>
      <c r="E6" s="161" t="s">
        <v>125</v>
      </c>
      <c r="F6" s="162"/>
      <c r="G6" s="162"/>
      <c r="H6" s="162"/>
      <c r="I6" s="163"/>
    </row>
    <row r="7" spans="1:9" ht="7.5" customHeight="1">
      <c r="C7" s="103"/>
      <c r="D7" s="103"/>
      <c r="F7" s="96"/>
      <c r="G7" s="96"/>
      <c r="H7" s="96"/>
      <c r="I7" s="96"/>
    </row>
    <row r="8" spans="1:9" ht="18.75" customHeight="1">
      <c r="A8" s="10" t="s">
        <v>12</v>
      </c>
      <c r="B8" s="10" t="s">
        <v>92</v>
      </c>
      <c r="C8" s="103"/>
      <c r="D8" s="103"/>
      <c r="E8" s="103"/>
      <c r="F8" s="103"/>
      <c r="G8" s="103"/>
      <c r="H8" s="103"/>
      <c r="I8" s="103"/>
    </row>
    <row r="9" spans="1:9" ht="6.75" customHeight="1">
      <c r="B9" s="152" t="s">
        <v>126</v>
      </c>
      <c r="C9" s="153"/>
      <c r="D9" s="153"/>
      <c r="E9" s="153"/>
      <c r="F9" s="153"/>
      <c r="G9" s="153"/>
      <c r="H9" s="153"/>
      <c r="I9" s="154"/>
    </row>
    <row r="10" spans="1:9" ht="6.75" customHeight="1">
      <c r="B10" s="155"/>
      <c r="C10" s="156"/>
      <c r="D10" s="156"/>
      <c r="E10" s="156"/>
      <c r="F10" s="156"/>
      <c r="G10" s="156"/>
      <c r="H10" s="156"/>
      <c r="I10" s="157"/>
    </row>
    <row r="11" spans="1:9" ht="6.75" customHeight="1">
      <c r="B11" s="155"/>
      <c r="C11" s="156"/>
      <c r="D11" s="156"/>
      <c r="E11" s="156"/>
      <c r="F11" s="156"/>
      <c r="G11" s="156"/>
      <c r="H11" s="156"/>
      <c r="I11" s="157"/>
    </row>
    <row r="12" spans="1:9" ht="6.75" customHeight="1">
      <c r="B12" s="155"/>
      <c r="C12" s="156"/>
      <c r="D12" s="156"/>
      <c r="E12" s="156"/>
      <c r="F12" s="156"/>
      <c r="G12" s="156"/>
      <c r="H12" s="156"/>
      <c r="I12" s="157"/>
    </row>
    <row r="13" spans="1:9" ht="6.75" customHeight="1">
      <c r="B13" s="155"/>
      <c r="C13" s="156"/>
      <c r="D13" s="156"/>
      <c r="E13" s="156"/>
      <c r="F13" s="156"/>
      <c r="G13" s="156"/>
      <c r="H13" s="156"/>
      <c r="I13" s="157"/>
    </row>
    <row r="14" spans="1:9" ht="6.75" customHeight="1">
      <c r="B14" s="155"/>
      <c r="C14" s="156"/>
      <c r="D14" s="156"/>
      <c r="E14" s="156"/>
      <c r="F14" s="156"/>
      <c r="G14" s="156"/>
      <c r="H14" s="156"/>
      <c r="I14" s="157"/>
    </row>
    <row r="15" spans="1:9" ht="6.75" customHeight="1">
      <c r="B15" s="155"/>
      <c r="C15" s="156"/>
      <c r="D15" s="156"/>
      <c r="E15" s="156"/>
      <c r="F15" s="156"/>
      <c r="G15" s="156"/>
      <c r="H15" s="156"/>
      <c r="I15" s="157"/>
    </row>
    <row r="16" spans="1:9" ht="6.75" customHeight="1">
      <c r="B16" s="158"/>
      <c r="C16" s="159"/>
      <c r="D16" s="159"/>
      <c r="E16" s="159"/>
      <c r="F16" s="159"/>
      <c r="G16" s="159"/>
      <c r="H16" s="159"/>
      <c r="I16" s="160"/>
    </row>
    <row r="17" spans="1:10" ht="7.5" customHeight="1">
      <c r="C17" s="103"/>
      <c r="D17" s="103"/>
      <c r="E17" s="103"/>
      <c r="F17" s="103"/>
      <c r="G17" s="103"/>
      <c r="H17" s="103"/>
      <c r="I17" s="103"/>
    </row>
    <row r="18" spans="1:10" ht="18.75" customHeight="1">
      <c r="A18" s="103" t="s">
        <v>13</v>
      </c>
      <c r="B18" s="5" t="s">
        <v>93</v>
      </c>
      <c r="C18" s="5"/>
      <c r="D18" s="5"/>
      <c r="E18" s="5"/>
      <c r="F18" s="103"/>
      <c r="G18" s="103"/>
      <c r="H18" s="103"/>
      <c r="I18" s="103"/>
      <c r="J18" s="103"/>
    </row>
    <row r="19" spans="1:10" ht="18.75" customHeight="1">
      <c r="A19" s="166" t="s">
        <v>93</v>
      </c>
      <c r="B19" s="166"/>
      <c r="C19" s="166"/>
      <c r="D19" s="166"/>
      <c r="E19" s="166"/>
      <c r="F19" s="167" t="s">
        <v>93</v>
      </c>
      <c r="G19" s="167"/>
      <c r="H19" s="167"/>
      <c r="I19" s="167"/>
    </row>
    <row r="20" spans="1:10" ht="18.75" customHeight="1">
      <c r="A20" s="97">
        <v>1</v>
      </c>
      <c r="B20" s="146" t="s">
        <v>214</v>
      </c>
      <c r="C20" s="147"/>
      <c r="D20" s="147"/>
      <c r="E20" s="148"/>
      <c r="F20" s="97">
        <v>36</v>
      </c>
      <c r="G20" s="307" t="s">
        <v>245</v>
      </c>
      <c r="H20" s="308"/>
      <c r="I20" s="309"/>
    </row>
    <row r="21" spans="1:10" ht="18.75" customHeight="1">
      <c r="A21" s="97">
        <v>2</v>
      </c>
      <c r="B21" s="146" t="s">
        <v>215</v>
      </c>
      <c r="C21" s="147"/>
      <c r="D21" s="147"/>
      <c r="E21" s="148"/>
      <c r="F21" s="97">
        <v>37</v>
      </c>
      <c r="G21" s="307" t="s">
        <v>246</v>
      </c>
      <c r="H21" s="308"/>
      <c r="I21" s="309"/>
    </row>
    <row r="22" spans="1:10" ht="18.75" customHeight="1">
      <c r="A22" s="97">
        <v>3</v>
      </c>
      <c r="B22" s="146" t="s">
        <v>213</v>
      </c>
      <c r="C22" s="147"/>
      <c r="D22" s="147"/>
      <c r="E22" s="148"/>
      <c r="F22" s="97">
        <v>38</v>
      </c>
      <c r="G22" s="307" t="s">
        <v>247</v>
      </c>
      <c r="H22" s="308"/>
      <c r="I22" s="309"/>
    </row>
    <row r="23" spans="1:10" ht="18.75" customHeight="1">
      <c r="A23" s="97">
        <v>4</v>
      </c>
      <c r="B23" s="146" t="s">
        <v>216</v>
      </c>
      <c r="C23" s="147"/>
      <c r="D23" s="147"/>
      <c r="E23" s="148"/>
      <c r="F23" s="97">
        <v>39</v>
      </c>
      <c r="G23" s="307" t="s">
        <v>248</v>
      </c>
      <c r="H23" s="308"/>
      <c r="I23" s="309"/>
    </row>
    <row r="24" spans="1:10" ht="18.75" customHeight="1">
      <c r="A24" s="97">
        <v>5</v>
      </c>
      <c r="B24" s="149" t="s">
        <v>217</v>
      </c>
      <c r="C24" s="150"/>
      <c r="D24" s="150"/>
      <c r="E24" s="151"/>
      <c r="F24" s="97">
        <v>40</v>
      </c>
      <c r="G24" s="307" t="s">
        <v>249</v>
      </c>
      <c r="H24" s="308"/>
      <c r="I24" s="309"/>
    </row>
    <row r="25" spans="1:10" ht="18.75" customHeight="1">
      <c r="A25" s="97">
        <v>6</v>
      </c>
      <c r="B25" s="149" t="s">
        <v>218</v>
      </c>
      <c r="C25" s="150"/>
      <c r="D25" s="150"/>
      <c r="E25" s="151"/>
      <c r="F25" s="97">
        <v>41</v>
      </c>
      <c r="G25" s="307" t="s">
        <v>250</v>
      </c>
      <c r="H25" s="308"/>
      <c r="I25" s="309"/>
    </row>
    <row r="26" spans="1:10" ht="18.75" customHeight="1">
      <c r="A26" s="97">
        <v>7</v>
      </c>
      <c r="B26" s="307" t="s">
        <v>219</v>
      </c>
      <c r="C26" s="308"/>
      <c r="D26" s="308"/>
      <c r="E26" s="309"/>
      <c r="F26" s="97">
        <v>42</v>
      </c>
      <c r="G26" s="307" t="s">
        <v>251</v>
      </c>
      <c r="H26" s="308"/>
      <c r="I26" s="309"/>
    </row>
    <row r="27" spans="1:10" ht="18.75" customHeight="1">
      <c r="A27" s="97">
        <v>8</v>
      </c>
      <c r="B27" s="310" t="s">
        <v>254</v>
      </c>
      <c r="C27" s="311"/>
      <c r="D27" s="311"/>
      <c r="E27" s="312"/>
      <c r="F27" s="97">
        <v>43</v>
      </c>
      <c r="G27" s="143" t="s">
        <v>252</v>
      </c>
      <c r="H27" s="144"/>
      <c r="I27" s="145"/>
    </row>
    <row r="28" spans="1:10" ht="18.75" customHeight="1">
      <c r="A28" s="97">
        <v>9</v>
      </c>
      <c r="B28" s="310" t="s">
        <v>255</v>
      </c>
      <c r="C28" s="311"/>
      <c r="D28" s="311"/>
      <c r="E28" s="312"/>
      <c r="F28" s="97">
        <v>44</v>
      </c>
      <c r="G28" s="143" t="s">
        <v>253</v>
      </c>
      <c r="H28" s="144"/>
      <c r="I28" s="145"/>
    </row>
    <row r="29" spans="1:10" ht="18.75" customHeight="1">
      <c r="A29" s="97">
        <v>10</v>
      </c>
      <c r="B29" s="149" t="s">
        <v>220</v>
      </c>
      <c r="C29" s="150"/>
      <c r="D29" s="150"/>
      <c r="E29" s="151"/>
      <c r="F29" s="97">
        <v>45</v>
      </c>
      <c r="G29" s="143"/>
      <c r="H29" s="144"/>
      <c r="I29" s="145"/>
    </row>
    <row r="30" spans="1:10" ht="18.75" customHeight="1">
      <c r="A30" s="97">
        <v>11</v>
      </c>
      <c r="B30" s="307" t="s">
        <v>221</v>
      </c>
      <c r="C30" s="308"/>
      <c r="D30" s="308"/>
      <c r="E30" s="309"/>
      <c r="F30" s="97">
        <v>46</v>
      </c>
      <c r="G30" s="307"/>
      <c r="H30" s="308"/>
      <c r="I30" s="309"/>
    </row>
    <row r="31" spans="1:10" ht="18.75" customHeight="1">
      <c r="A31" s="97">
        <v>12</v>
      </c>
      <c r="B31" s="307" t="s">
        <v>222</v>
      </c>
      <c r="C31" s="308"/>
      <c r="D31" s="308"/>
      <c r="E31" s="309"/>
      <c r="F31" s="97">
        <v>47</v>
      </c>
      <c r="G31" s="307"/>
      <c r="H31" s="308"/>
      <c r="I31" s="309"/>
    </row>
    <row r="32" spans="1:10" ht="18.75" customHeight="1">
      <c r="A32" s="97">
        <v>13</v>
      </c>
      <c r="B32" s="307" t="s">
        <v>223</v>
      </c>
      <c r="C32" s="308"/>
      <c r="D32" s="308"/>
      <c r="E32" s="309"/>
      <c r="F32" s="97">
        <v>48</v>
      </c>
      <c r="G32" s="307"/>
      <c r="H32" s="308"/>
      <c r="I32" s="309"/>
    </row>
    <row r="33" spans="1:9" ht="18.75" customHeight="1">
      <c r="A33" s="97">
        <v>14</v>
      </c>
      <c r="B33" s="307" t="s">
        <v>224</v>
      </c>
      <c r="C33" s="308"/>
      <c r="D33" s="308"/>
      <c r="E33" s="309"/>
      <c r="F33" s="97">
        <v>49</v>
      </c>
      <c r="G33" s="307"/>
      <c r="H33" s="308"/>
      <c r="I33" s="309"/>
    </row>
    <row r="34" spans="1:9" ht="18.75" customHeight="1">
      <c r="A34" s="97">
        <v>15</v>
      </c>
      <c r="B34" s="307" t="s">
        <v>225</v>
      </c>
      <c r="C34" s="308"/>
      <c r="D34" s="308"/>
      <c r="E34" s="309"/>
      <c r="F34" s="97">
        <v>50</v>
      </c>
      <c r="G34" s="143"/>
      <c r="H34" s="144"/>
      <c r="I34" s="145"/>
    </row>
    <row r="35" spans="1:9" ht="18.75" customHeight="1">
      <c r="A35" s="97">
        <v>16</v>
      </c>
      <c r="B35" s="307" t="s">
        <v>226</v>
      </c>
      <c r="C35" s="308"/>
      <c r="D35" s="308"/>
      <c r="E35" s="309"/>
      <c r="F35" s="97">
        <v>51</v>
      </c>
      <c r="G35" s="143"/>
      <c r="H35" s="144"/>
      <c r="I35" s="145"/>
    </row>
    <row r="36" spans="1:9" ht="18.75" customHeight="1">
      <c r="A36" s="97">
        <v>17</v>
      </c>
      <c r="B36" s="149" t="s">
        <v>227</v>
      </c>
      <c r="C36" s="150"/>
      <c r="D36" s="150"/>
      <c r="E36" s="151"/>
      <c r="F36" s="97">
        <v>52</v>
      </c>
      <c r="G36" s="146"/>
      <c r="H36" s="147"/>
      <c r="I36" s="148"/>
    </row>
    <row r="37" spans="1:9" ht="18.75" customHeight="1">
      <c r="A37" s="97">
        <v>18</v>
      </c>
      <c r="B37" s="149" t="s">
        <v>228</v>
      </c>
      <c r="C37" s="150"/>
      <c r="D37" s="150"/>
      <c r="E37" s="151"/>
      <c r="F37" s="97">
        <v>53</v>
      </c>
      <c r="G37" s="146"/>
      <c r="H37" s="147"/>
      <c r="I37" s="148"/>
    </row>
    <row r="38" spans="1:9" ht="18.75" customHeight="1">
      <c r="A38" s="97">
        <v>19</v>
      </c>
      <c r="B38" s="149" t="s">
        <v>229</v>
      </c>
      <c r="C38" s="150"/>
      <c r="D38" s="150"/>
      <c r="E38" s="151"/>
      <c r="F38" s="97">
        <v>54</v>
      </c>
      <c r="G38" s="146"/>
      <c r="H38" s="147"/>
      <c r="I38" s="148"/>
    </row>
    <row r="39" spans="1:9" ht="18.75" customHeight="1">
      <c r="A39" s="97">
        <v>20</v>
      </c>
      <c r="B39" s="149" t="s">
        <v>230</v>
      </c>
      <c r="C39" s="150"/>
      <c r="D39" s="150"/>
      <c r="E39" s="151"/>
      <c r="F39" s="97">
        <v>55</v>
      </c>
      <c r="G39" s="146"/>
      <c r="H39" s="147"/>
      <c r="I39" s="148"/>
    </row>
    <row r="40" spans="1:9" ht="18.75" customHeight="1">
      <c r="A40" s="97">
        <v>21</v>
      </c>
      <c r="B40" s="307" t="s">
        <v>231</v>
      </c>
      <c r="C40" s="308"/>
      <c r="D40" s="308"/>
      <c r="E40" s="309"/>
      <c r="F40" s="97">
        <v>56</v>
      </c>
      <c r="G40" s="146"/>
      <c r="H40" s="147"/>
      <c r="I40" s="148"/>
    </row>
    <row r="41" spans="1:9" ht="18.75" customHeight="1">
      <c r="A41" s="97">
        <v>22</v>
      </c>
      <c r="B41" s="143" t="s">
        <v>232</v>
      </c>
      <c r="C41" s="144"/>
      <c r="D41" s="144"/>
      <c r="E41" s="145"/>
      <c r="F41" s="97">
        <v>57</v>
      </c>
      <c r="G41" s="146"/>
      <c r="H41" s="147"/>
      <c r="I41" s="148"/>
    </row>
    <row r="42" spans="1:9" ht="18.75" customHeight="1">
      <c r="A42" s="97">
        <v>23</v>
      </c>
      <c r="B42" s="143" t="s">
        <v>233</v>
      </c>
      <c r="C42" s="144"/>
      <c r="D42" s="144"/>
      <c r="E42" s="145"/>
      <c r="F42" s="97">
        <v>58</v>
      </c>
      <c r="G42" s="146"/>
      <c r="H42" s="147"/>
      <c r="I42" s="148"/>
    </row>
    <row r="43" spans="1:9" ht="18.75" customHeight="1">
      <c r="A43" s="97">
        <v>24</v>
      </c>
      <c r="B43" s="143" t="s">
        <v>234</v>
      </c>
      <c r="C43" s="144"/>
      <c r="D43" s="144"/>
      <c r="E43" s="145"/>
      <c r="F43" s="97">
        <v>59</v>
      </c>
      <c r="G43" s="146"/>
      <c r="H43" s="147"/>
      <c r="I43" s="148"/>
    </row>
    <row r="44" spans="1:9" ht="18.75" customHeight="1">
      <c r="A44" s="97">
        <v>25</v>
      </c>
      <c r="B44" s="143" t="s">
        <v>235</v>
      </c>
      <c r="C44" s="144"/>
      <c r="D44" s="144"/>
      <c r="E44" s="145"/>
      <c r="F44" s="97">
        <v>60</v>
      </c>
      <c r="G44" s="146"/>
      <c r="H44" s="147"/>
      <c r="I44" s="148"/>
    </row>
    <row r="45" spans="1:9" ht="18.75" customHeight="1">
      <c r="A45" s="97">
        <v>26</v>
      </c>
      <c r="B45" s="143" t="s">
        <v>236</v>
      </c>
      <c r="C45" s="144"/>
      <c r="D45" s="144"/>
      <c r="E45" s="145"/>
      <c r="F45" s="97">
        <v>61</v>
      </c>
      <c r="G45" s="149"/>
      <c r="H45" s="150"/>
      <c r="I45" s="151"/>
    </row>
    <row r="46" spans="1:9" ht="18.75" customHeight="1">
      <c r="A46" s="97">
        <v>27</v>
      </c>
      <c r="B46" s="143" t="s">
        <v>237</v>
      </c>
      <c r="C46" s="144"/>
      <c r="D46" s="144"/>
      <c r="E46" s="145"/>
      <c r="F46" s="97">
        <v>62</v>
      </c>
      <c r="G46" s="146"/>
      <c r="H46" s="147"/>
      <c r="I46" s="148"/>
    </row>
    <row r="47" spans="1:9" ht="18.75" customHeight="1">
      <c r="A47" s="97">
        <v>28</v>
      </c>
      <c r="B47" s="143" t="s">
        <v>238</v>
      </c>
      <c r="C47" s="144"/>
      <c r="D47" s="144"/>
      <c r="E47" s="145"/>
      <c r="F47" s="97">
        <v>63</v>
      </c>
      <c r="G47" s="146"/>
      <c r="H47" s="147"/>
      <c r="I47" s="148"/>
    </row>
    <row r="48" spans="1:9" ht="18.75" customHeight="1">
      <c r="A48" s="97">
        <v>29</v>
      </c>
      <c r="B48" s="143" t="s">
        <v>239</v>
      </c>
      <c r="C48" s="144"/>
      <c r="D48" s="144"/>
      <c r="E48" s="145"/>
      <c r="F48" s="97">
        <v>64</v>
      </c>
      <c r="G48" s="146"/>
      <c r="H48" s="147"/>
      <c r="I48" s="148"/>
    </row>
    <row r="49" spans="1:9" ht="18.75" customHeight="1">
      <c r="A49" s="97">
        <v>30</v>
      </c>
      <c r="B49" s="143" t="s">
        <v>240</v>
      </c>
      <c r="C49" s="144"/>
      <c r="D49" s="144"/>
      <c r="E49" s="145"/>
      <c r="F49" s="97">
        <v>65</v>
      </c>
      <c r="G49" s="146"/>
      <c r="H49" s="147"/>
      <c r="I49" s="148"/>
    </row>
    <row r="50" spans="1:9" ht="18.75" customHeight="1">
      <c r="A50" s="97">
        <v>31</v>
      </c>
      <c r="B50" s="307" t="s">
        <v>241</v>
      </c>
      <c r="C50" s="308"/>
      <c r="D50" s="308"/>
      <c r="E50" s="309"/>
      <c r="F50" s="97">
        <v>66</v>
      </c>
      <c r="G50" s="146"/>
      <c r="H50" s="147"/>
      <c r="I50" s="148"/>
    </row>
    <row r="51" spans="1:9" ht="18.75" customHeight="1">
      <c r="A51" s="97">
        <v>32</v>
      </c>
      <c r="B51" s="307" t="s">
        <v>242</v>
      </c>
      <c r="C51" s="308"/>
      <c r="D51" s="308"/>
      <c r="E51" s="309"/>
      <c r="F51" s="97">
        <v>67</v>
      </c>
      <c r="G51" s="146"/>
      <c r="H51" s="147"/>
      <c r="I51" s="148"/>
    </row>
    <row r="52" spans="1:9" ht="18.75" customHeight="1">
      <c r="A52" s="97">
        <v>33</v>
      </c>
      <c r="B52" s="143" t="s">
        <v>243</v>
      </c>
      <c r="C52" s="144"/>
      <c r="D52" s="144"/>
      <c r="E52" s="145"/>
      <c r="F52" s="97">
        <v>68</v>
      </c>
      <c r="G52" s="146"/>
      <c r="H52" s="147"/>
      <c r="I52" s="148"/>
    </row>
    <row r="53" spans="1:9" ht="18.75" customHeight="1">
      <c r="A53" s="97">
        <v>34</v>
      </c>
      <c r="B53" s="143" t="s">
        <v>244</v>
      </c>
      <c r="C53" s="144"/>
      <c r="D53" s="144"/>
      <c r="E53" s="145"/>
      <c r="F53" s="97">
        <v>69</v>
      </c>
      <c r="G53" s="146"/>
      <c r="H53" s="147"/>
      <c r="I53" s="148"/>
    </row>
    <row r="54" spans="1:9" ht="18.75" customHeight="1">
      <c r="A54" s="97">
        <v>35</v>
      </c>
      <c r="B54" s="143" t="s">
        <v>256</v>
      </c>
      <c r="C54" s="144"/>
      <c r="D54" s="144"/>
      <c r="E54" s="145"/>
      <c r="F54" s="97">
        <v>70</v>
      </c>
      <c r="G54" s="146"/>
      <c r="H54" s="147"/>
      <c r="I54" s="148"/>
    </row>
  </sheetData>
  <mergeCells count="7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B51:E51"/>
    <mergeCell ref="B52:E52"/>
    <mergeCell ref="B53:E53"/>
    <mergeCell ref="B54:E54"/>
    <mergeCell ref="B49:E49"/>
    <mergeCell ref="G51:I51"/>
    <mergeCell ref="G52:I52"/>
    <mergeCell ref="G53:I53"/>
    <mergeCell ref="G54:I54"/>
    <mergeCell ref="G45:I45"/>
    <mergeCell ref="G46:I46"/>
    <mergeCell ref="G47:I47"/>
    <mergeCell ref="G48:I48"/>
    <mergeCell ref="G49:I49"/>
    <mergeCell ref="B45:E45"/>
    <mergeCell ref="B46:E46"/>
    <mergeCell ref="B47:E47"/>
    <mergeCell ref="B48:E48"/>
    <mergeCell ref="G50:I50"/>
    <mergeCell ref="B50:E50"/>
  </mergeCells>
  <phoneticPr fontId="2"/>
  <dataValidations count="2">
    <dataValidation type="list" allowBlank="1" showInputMessage="1" showErrorMessage="1" sqref="F7:I7" xr:uid="{8B399120-A357-4F02-9324-4B5FF737A321}">
      <formula1>"学部等によって、認定要件は相違する,学部等によって、認定要件は相違しない"</formula1>
    </dataValidation>
    <dataValidation type="list" allowBlank="1" showInputMessage="1" showErrorMessage="1" sqref="E6:I6" xr:uid="{94EF5B30-6E7E-413E-906A-259DFF9D6E5E}">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scale="95"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election activeCell="F8" sqref="F8"/>
    </sheetView>
  </sheetViews>
  <sheetFormatPr defaultColWidth="9" defaultRowHeight="18.75" customHeight="1"/>
  <cols>
    <col min="1" max="1" width="2.5" style="1" customWidth="1"/>
    <col min="2" max="2" width="12.5" style="1" customWidth="1"/>
    <col min="3" max="3" width="21" style="1" customWidth="1"/>
    <col min="4" max="18" width="6.125" style="1" customWidth="1"/>
    <col min="19" max="16384" width="9" style="1"/>
  </cols>
  <sheetData>
    <row r="1" spans="1:20" ht="18.75" customHeight="1">
      <c r="F1" s="180" t="s">
        <v>66</v>
      </c>
      <c r="G1" s="180"/>
      <c r="H1" s="180"/>
      <c r="I1" s="180"/>
      <c r="J1" s="180"/>
      <c r="K1" s="180"/>
      <c r="L1" s="180"/>
      <c r="M1" s="180"/>
      <c r="N1" s="180"/>
      <c r="O1" s="180"/>
      <c r="P1" s="180"/>
      <c r="Q1" s="180"/>
      <c r="R1" s="180"/>
    </row>
    <row r="2" spans="1:20" ht="18.75" customHeight="1">
      <c r="D2" s="61"/>
      <c r="E2" s="61"/>
      <c r="F2" s="61"/>
      <c r="G2" s="61"/>
      <c r="H2" s="61"/>
      <c r="I2" s="61"/>
      <c r="J2" s="61"/>
      <c r="K2" s="180" t="s">
        <v>59</v>
      </c>
      <c r="L2" s="180"/>
      <c r="M2" s="190" t="s">
        <v>194</v>
      </c>
      <c r="N2" s="190"/>
      <c r="O2" s="190"/>
      <c r="P2" s="190"/>
      <c r="Q2" s="190"/>
      <c r="R2" s="61"/>
    </row>
    <row r="3" spans="1:20" ht="7.5" customHeight="1"/>
    <row r="4" spans="1:20" ht="18.75" customHeight="1">
      <c r="A4" s="165" t="s">
        <v>113</v>
      </c>
      <c r="B4" s="165"/>
      <c r="C4" s="165"/>
      <c r="D4" s="165"/>
      <c r="E4" s="165"/>
      <c r="F4" s="165"/>
      <c r="G4" s="165"/>
      <c r="H4" s="165"/>
      <c r="I4" s="165"/>
      <c r="J4" s="165"/>
      <c r="K4" s="165"/>
      <c r="L4" s="165"/>
      <c r="M4" s="165"/>
      <c r="N4" s="165"/>
      <c r="O4" s="165"/>
      <c r="P4" s="165"/>
      <c r="Q4" s="165"/>
      <c r="R4" s="165"/>
      <c r="S4" s="5"/>
    </row>
    <row r="5" spans="1:20" ht="7.5" customHeight="1">
      <c r="A5" s="60"/>
      <c r="B5" s="60"/>
      <c r="C5" s="60"/>
      <c r="D5" s="60"/>
      <c r="E5" s="60"/>
      <c r="F5" s="60"/>
      <c r="G5" s="60"/>
      <c r="H5" s="60"/>
      <c r="I5" s="60"/>
      <c r="J5" s="60"/>
      <c r="K5" s="60"/>
      <c r="L5" s="60"/>
      <c r="M5" s="60"/>
      <c r="N5" s="60"/>
      <c r="O5" s="60"/>
      <c r="P5" s="60"/>
      <c r="Q5" s="60"/>
      <c r="R5" s="60"/>
    </row>
    <row r="6" spans="1:20" ht="18.75" customHeight="1">
      <c r="B6" s="174" t="s">
        <v>117</v>
      </c>
      <c r="C6" s="175"/>
      <c r="D6" s="181" t="s">
        <v>82</v>
      </c>
      <c r="E6" s="183" t="s">
        <v>107</v>
      </c>
      <c r="F6" s="183"/>
      <c r="G6" s="183" t="s">
        <v>108</v>
      </c>
      <c r="H6" s="183"/>
      <c r="I6" s="184" t="s">
        <v>109</v>
      </c>
      <c r="J6" s="185"/>
      <c r="K6" s="184" t="s">
        <v>110</v>
      </c>
      <c r="L6" s="185"/>
      <c r="M6" s="184" t="s">
        <v>111</v>
      </c>
      <c r="N6" s="185"/>
      <c r="O6" s="184" t="s">
        <v>112</v>
      </c>
      <c r="P6" s="185"/>
      <c r="Q6" s="186" t="s">
        <v>65</v>
      </c>
      <c r="R6" s="188" t="s">
        <v>60</v>
      </c>
      <c r="T6" s="62"/>
    </row>
    <row r="7" spans="1:20" ht="18.75" customHeight="1">
      <c r="B7" s="176"/>
      <c r="C7" s="177"/>
      <c r="D7" s="182"/>
      <c r="E7" s="38" t="s">
        <v>49</v>
      </c>
      <c r="F7" s="40" t="s">
        <v>48</v>
      </c>
      <c r="G7" s="41" t="s">
        <v>49</v>
      </c>
      <c r="H7" s="39" t="s">
        <v>48</v>
      </c>
      <c r="I7" s="38" t="s">
        <v>49</v>
      </c>
      <c r="J7" s="40" t="s">
        <v>48</v>
      </c>
      <c r="K7" s="41" t="s">
        <v>49</v>
      </c>
      <c r="L7" s="39" t="s">
        <v>48</v>
      </c>
      <c r="M7" s="38" t="s">
        <v>49</v>
      </c>
      <c r="N7" s="40" t="s">
        <v>48</v>
      </c>
      <c r="O7" s="41" t="s">
        <v>49</v>
      </c>
      <c r="P7" s="39" t="s">
        <v>48</v>
      </c>
      <c r="Q7" s="187"/>
      <c r="R7" s="189"/>
      <c r="T7" s="62"/>
    </row>
    <row r="8" spans="1:20" ht="18.75" customHeight="1">
      <c r="A8" s="63"/>
      <c r="B8" s="170" t="s">
        <v>206</v>
      </c>
      <c r="C8" s="171"/>
      <c r="D8" s="64">
        <v>828</v>
      </c>
      <c r="E8" s="65">
        <v>20</v>
      </c>
      <c r="F8" s="66"/>
      <c r="G8" s="67"/>
      <c r="H8" s="68"/>
      <c r="I8" s="65"/>
      <c r="J8" s="66"/>
      <c r="K8" s="67"/>
      <c r="L8" s="68"/>
      <c r="M8" s="65"/>
      <c r="N8" s="66"/>
      <c r="O8" s="67"/>
      <c r="P8" s="68"/>
      <c r="Q8" s="69">
        <f>E8+G8+I8+K8+M8+O8</f>
        <v>20</v>
      </c>
      <c r="R8" s="70">
        <f>Q8/D8</f>
        <v>2.4154589371980676E-2</v>
      </c>
    </row>
    <row r="9" spans="1:20" ht="18.75" customHeight="1">
      <c r="A9" s="63"/>
      <c r="B9" s="168" t="s">
        <v>207</v>
      </c>
      <c r="C9" s="169"/>
      <c r="D9" s="71">
        <v>520</v>
      </c>
      <c r="E9" s="72">
        <v>40</v>
      </c>
      <c r="F9" s="73"/>
      <c r="G9" s="74"/>
      <c r="H9" s="75"/>
      <c r="I9" s="72"/>
      <c r="J9" s="73"/>
      <c r="K9" s="74"/>
      <c r="L9" s="75"/>
      <c r="M9" s="72"/>
      <c r="N9" s="73"/>
      <c r="O9" s="74"/>
      <c r="P9" s="75"/>
      <c r="Q9" s="76">
        <f t="shared" ref="Q9:Q27" si="0">E9+G9+I9+K9+M9+O9</f>
        <v>40</v>
      </c>
      <c r="R9" s="70">
        <f t="shared" ref="R9:R27" si="1">Q9/D9</f>
        <v>7.6923076923076927E-2</v>
      </c>
    </row>
    <row r="10" spans="1:20" ht="18.75" customHeight="1">
      <c r="A10" s="63"/>
      <c r="B10" s="168" t="s">
        <v>208</v>
      </c>
      <c r="C10" s="169"/>
      <c r="D10" s="71">
        <v>520</v>
      </c>
      <c r="E10" s="72">
        <v>20</v>
      </c>
      <c r="F10" s="73"/>
      <c r="G10" s="74"/>
      <c r="H10" s="75"/>
      <c r="I10" s="72"/>
      <c r="J10" s="73"/>
      <c r="K10" s="74"/>
      <c r="L10" s="75"/>
      <c r="M10" s="72"/>
      <c r="N10" s="73"/>
      <c r="O10" s="74"/>
      <c r="P10" s="75"/>
      <c r="Q10" s="76">
        <f t="shared" si="0"/>
        <v>20</v>
      </c>
      <c r="R10" s="70">
        <f t="shared" si="1"/>
        <v>3.8461538461538464E-2</v>
      </c>
    </row>
    <row r="11" spans="1:20" ht="18.75" customHeight="1">
      <c r="A11" s="63"/>
      <c r="B11" s="168"/>
      <c r="C11" s="169"/>
      <c r="D11" s="71"/>
      <c r="E11" s="72"/>
      <c r="F11" s="73"/>
      <c r="G11" s="74"/>
      <c r="H11" s="75"/>
      <c r="I11" s="72"/>
      <c r="J11" s="73"/>
      <c r="K11" s="74"/>
      <c r="L11" s="75"/>
      <c r="M11" s="72"/>
      <c r="N11" s="73"/>
      <c r="O11" s="74"/>
      <c r="P11" s="75"/>
      <c r="Q11" s="76">
        <f t="shared" si="0"/>
        <v>0</v>
      </c>
      <c r="R11" s="70" t="e">
        <f t="shared" si="1"/>
        <v>#DIV/0!</v>
      </c>
    </row>
    <row r="12" spans="1:20" ht="18.75" customHeight="1">
      <c r="A12" s="63"/>
      <c r="B12" s="168"/>
      <c r="C12" s="169"/>
      <c r="D12" s="71"/>
      <c r="E12" s="72"/>
      <c r="F12" s="73"/>
      <c r="G12" s="74"/>
      <c r="H12" s="75"/>
      <c r="I12" s="72"/>
      <c r="J12" s="73"/>
      <c r="K12" s="74"/>
      <c r="L12" s="75"/>
      <c r="M12" s="72"/>
      <c r="N12" s="73"/>
      <c r="O12" s="74"/>
      <c r="P12" s="75"/>
      <c r="Q12" s="76">
        <f t="shared" si="0"/>
        <v>0</v>
      </c>
      <c r="R12" s="70" t="e">
        <f t="shared" si="1"/>
        <v>#DIV/0!</v>
      </c>
    </row>
    <row r="13" spans="1:20" ht="18.75" customHeight="1">
      <c r="A13" s="63"/>
      <c r="B13" s="168"/>
      <c r="C13" s="169"/>
      <c r="D13" s="71"/>
      <c r="E13" s="72"/>
      <c r="F13" s="73"/>
      <c r="G13" s="74"/>
      <c r="H13" s="75"/>
      <c r="I13" s="72"/>
      <c r="J13" s="73"/>
      <c r="K13" s="74"/>
      <c r="L13" s="75"/>
      <c r="M13" s="72"/>
      <c r="N13" s="73"/>
      <c r="O13" s="74"/>
      <c r="P13" s="75"/>
      <c r="Q13" s="76">
        <f t="shared" si="0"/>
        <v>0</v>
      </c>
      <c r="R13" s="70" t="e">
        <f t="shared" si="1"/>
        <v>#DIV/0!</v>
      </c>
    </row>
    <row r="14" spans="1:20" ht="18.75" customHeight="1">
      <c r="A14" s="63"/>
      <c r="B14" s="168"/>
      <c r="C14" s="169"/>
      <c r="D14" s="71"/>
      <c r="E14" s="72"/>
      <c r="F14" s="73"/>
      <c r="G14" s="74"/>
      <c r="H14" s="75"/>
      <c r="I14" s="72"/>
      <c r="J14" s="73"/>
      <c r="K14" s="74"/>
      <c r="L14" s="75"/>
      <c r="M14" s="72"/>
      <c r="N14" s="73"/>
      <c r="O14" s="74"/>
      <c r="P14" s="75"/>
      <c r="Q14" s="76">
        <f t="shared" si="0"/>
        <v>0</v>
      </c>
      <c r="R14" s="70" t="e">
        <f t="shared" si="1"/>
        <v>#DIV/0!</v>
      </c>
    </row>
    <row r="15" spans="1:20" ht="18.75" customHeight="1">
      <c r="A15" s="63"/>
      <c r="B15" s="168"/>
      <c r="C15" s="169"/>
      <c r="D15" s="71"/>
      <c r="E15" s="72"/>
      <c r="F15" s="73"/>
      <c r="G15" s="74"/>
      <c r="H15" s="75"/>
      <c r="I15" s="72"/>
      <c r="J15" s="73"/>
      <c r="K15" s="74"/>
      <c r="L15" s="75"/>
      <c r="M15" s="72"/>
      <c r="N15" s="73"/>
      <c r="O15" s="74"/>
      <c r="P15" s="75"/>
      <c r="Q15" s="76">
        <f t="shared" si="0"/>
        <v>0</v>
      </c>
      <c r="R15" s="70" t="e">
        <f t="shared" si="1"/>
        <v>#DIV/0!</v>
      </c>
    </row>
    <row r="16" spans="1:20" ht="18.75" customHeight="1">
      <c r="A16" s="63"/>
      <c r="B16" s="168"/>
      <c r="C16" s="169"/>
      <c r="D16" s="71"/>
      <c r="E16" s="72"/>
      <c r="F16" s="73"/>
      <c r="G16" s="74"/>
      <c r="H16" s="75"/>
      <c r="I16" s="72"/>
      <c r="J16" s="73"/>
      <c r="K16" s="74"/>
      <c r="L16" s="75"/>
      <c r="M16" s="72"/>
      <c r="N16" s="73"/>
      <c r="O16" s="74"/>
      <c r="P16" s="75"/>
      <c r="Q16" s="76">
        <f>E16+G16+I16+K16+M16+O16</f>
        <v>0</v>
      </c>
      <c r="R16" s="70" t="e">
        <f t="shared" si="1"/>
        <v>#DIV/0!</v>
      </c>
    </row>
    <row r="17" spans="1:18" ht="18.75" customHeight="1">
      <c r="A17" s="63"/>
      <c r="B17" s="168"/>
      <c r="C17" s="169"/>
      <c r="D17" s="71"/>
      <c r="E17" s="72"/>
      <c r="F17" s="73"/>
      <c r="G17" s="74"/>
      <c r="H17" s="75"/>
      <c r="I17" s="72"/>
      <c r="J17" s="73"/>
      <c r="K17" s="74"/>
      <c r="L17" s="75"/>
      <c r="M17" s="72"/>
      <c r="N17" s="73"/>
      <c r="O17" s="74"/>
      <c r="P17" s="75"/>
      <c r="Q17" s="76">
        <f t="shared" si="0"/>
        <v>0</v>
      </c>
      <c r="R17" s="70" t="e">
        <f t="shared" si="1"/>
        <v>#DIV/0!</v>
      </c>
    </row>
    <row r="18" spans="1:18" ht="18.75" customHeight="1">
      <c r="A18" s="63"/>
      <c r="B18" s="168"/>
      <c r="C18" s="169"/>
      <c r="D18" s="71"/>
      <c r="E18" s="72"/>
      <c r="F18" s="73"/>
      <c r="G18" s="74"/>
      <c r="H18" s="75"/>
      <c r="I18" s="72"/>
      <c r="J18" s="73"/>
      <c r="K18" s="74"/>
      <c r="L18" s="75"/>
      <c r="M18" s="72"/>
      <c r="N18" s="73"/>
      <c r="O18" s="74"/>
      <c r="P18" s="75"/>
      <c r="Q18" s="76">
        <f t="shared" si="0"/>
        <v>0</v>
      </c>
      <c r="R18" s="70" t="e">
        <f t="shared" si="1"/>
        <v>#DIV/0!</v>
      </c>
    </row>
    <row r="19" spans="1:18" ht="18.75" customHeight="1">
      <c r="A19" s="63"/>
      <c r="B19" s="168"/>
      <c r="C19" s="169"/>
      <c r="D19" s="71"/>
      <c r="E19" s="72"/>
      <c r="F19" s="73"/>
      <c r="G19" s="74"/>
      <c r="H19" s="75"/>
      <c r="I19" s="72"/>
      <c r="J19" s="73"/>
      <c r="K19" s="74"/>
      <c r="L19" s="75"/>
      <c r="M19" s="72"/>
      <c r="N19" s="73"/>
      <c r="O19" s="74"/>
      <c r="P19" s="75"/>
      <c r="Q19" s="76">
        <f t="shared" si="0"/>
        <v>0</v>
      </c>
      <c r="R19" s="70" t="e">
        <f t="shared" si="1"/>
        <v>#DIV/0!</v>
      </c>
    </row>
    <row r="20" spans="1:18" ht="18.75" customHeight="1">
      <c r="A20" s="63"/>
      <c r="B20" s="168"/>
      <c r="C20" s="169"/>
      <c r="D20" s="71"/>
      <c r="E20" s="72"/>
      <c r="F20" s="73"/>
      <c r="G20" s="74"/>
      <c r="H20" s="75"/>
      <c r="I20" s="72"/>
      <c r="J20" s="73"/>
      <c r="K20" s="74"/>
      <c r="L20" s="75"/>
      <c r="M20" s="72"/>
      <c r="N20" s="73"/>
      <c r="O20" s="74"/>
      <c r="P20" s="75"/>
      <c r="Q20" s="76">
        <f t="shared" si="0"/>
        <v>0</v>
      </c>
      <c r="R20" s="70" t="e">
        <f t="shared" si="1"/>
        <v>#DIV/0!</v>
      </c>
    </row>
    <row r="21" spans="1:18" ht="18.75" customHeight="1">
      <c r="A21" s="63"/>
      <c r="B21" s="168"/>
      <c r="C21" s="169"/>
      <c r="D21" s="71"/>
      <c r="E21" s="72"/>
      <c r="F21" s="73"/>
      <c r="G21" s="74"/>
      <c r="H21" s="75"/>
      <c r="I21" s="72"/>
      <c r="J21" s="73"/>
      <c r="K21" s="74"/>
      <c r="L21" s="75"/>
      <c r="M21" s="72"/>
      <c r="N21" s="73"/>
      <c r="O21" s="74"/>
      <c r="P21" s="75"/>
      <c r="Q21" s="76">
        <f t="shared" si="0"/>
        <v>0</v>
      </c>
      <c r="R21" s="70" t="e">
        <f t="shared" si="1"/>
        <v>#DIV/0!</v>
      </c>
    </row>
    <row r="22" spans="1:18" ht="18.75" customHeight="1">
      <c r="A22" s="63"/>
      <c r="B22" s="168"/>
      <c r="C22" s="169"/>
      <c r="D22" s="71"/>
      <c r="E22" s="72"/>
      <c r="F22" s="73"/>
      <c r="G22" s="74"/>
      <c r="H22" s="75"/>
      <c r="I22" s="72"/>
      <c r="J22" s="73"/>
      <c r="K22" s="74"/>
      <c r="L22" s="75"/>
      <c r="M22" s="72"/>
      <c r="N22" s="73"/>
      <c r="O22" s="74"/>
      <c r="P22" s="75"/>
      <c r="Q22" s="76">
        <f t="shared" si="0"/>
        <v>0</v>
      </c>
      <c r="R22" s="70" t="e">
        <f t="shared" si="1"/>
        <v>#DIV/0!</v>
      </c>
    </row>
    <row r="23" spans="1:18" ht="18.75" customHeight="1">
      <c r="A23" s="63"/>
      <c r="B23" s="168"/>
      <c r="C23" s="169"/>
      <c r="D23" s="71"/>
      <c r="E23" s="72"/>
      <c r="F23" s="73"/>
      <c r="G23" s="74"/>
      <c r="H23" s="75"/>
      <c r="I23" s="72"/>
      <c r="J23" s="73"/>
      <c r="K23" s="74"/>
      <c r="L23" s="75"/>
      <c r="M23" s="72"/>
      <c r="N23" s="73"/>
      <c r="O23" s="74"/>
      <c r="P23" s="75"/>
      <c r="Q23" s="76">
        <f t="shared" si="0"/>
        <v>0</v>
      </c>
      <c r="R23" s="70" t="e">
        <f t="shared" si="1"/>
        <v>#DIV/0!</v>
      </c>
    </row>
    <row r="24" spans="1:18" ht="18.75" customHeight="1">
      <c r="A24" s="63"/>
      <c r="B24" s="168"/>
      <c r="C24" s="169"/>
      <c r="D24" s="71"/>
      <c r="E24" s="72"/>
      <c r="F24" s="73"/>
      <c r="G24" s="74"/>
      <c r="H24" s="75"/>
      <c r="I24" s="72"/>
      <c r="J24" s="73"/>
      <c r="K24" s="74"/>
      <c r="L24" s="75"/>
      <c r="M24" s="72"/>
      <c r="N24" s="73"/>
      <c r="O24" s="74"/>
      <c r="P24" s="75"/>
      <c r="Q24" s="76">
        <f t="shared" si="0"/>
        <v>0</v>
      </c>
      <c r="R24" s="70" t="e">
        <f t="shared" si="1"/>
        <v>#DIV/0!</v>
      </c>
    </row>
    <row r="25" spans="1:18" ht="18.75" customHeight="1">
      <c r="A25" s="63"/>
      <c r="B25" s="168"/>
      <c r="C25" s="169"/>
      <c r="D25" s="71"/>
      <c r="E25" s="72"/>
      <c r="F25" s="73"/>
      <c r="G25" s="74"/>
      <c r="H25" s="75"/>
      <c r="I25" s="72"/>
      <c r="J25" s="73"/>
      <c r="K25" s="74"/>
      <c r="L25" s="75"/>
      <c r="M25" s="72"/>
      <c r="N25" s="73"/>
      <c r="O25" s="74"/>
      <c r="P25" s="75"/>
      <c r="Q25" s="76">
        <f t="shared" si="0"/>
        <v>0</v>
      </c>
      <c r="R25" s="70" t="e">
        <f t="shared" si="1"/>
        <v>#DIV/0!</v>
      </c>
    </row>
    <row r="26" spans="1:18" ht="18.75" customHeight="1">
      <c r="A26" s="63"/>
      <c r="B26" s="168"/>
      <c r="C26" s="169"/>
      <c r="D26" s="71"/>
      <c r="E26" s="72"/>
      <c r="F26" s="73"/>
      <c r="G26" s="74"/>
      <c r="H26" s="75"/>
      <c r="I26" s="72"/>
      <c r="J26" s="73"/>
      <c r="K26" s="74"/>
      <c r="L26" s="75"/>
      <c r="M26" s="72"/>
      <c r="N26" s="73"/>
      <c r="O26" s="74"/>
      <c r="P26" s="75"/>
      <c r="Q26" s="76">
        <f t="shared" si="0"/>
        <v>0</v>
      </c>
      <c r="R26" s="70" t="e">
        <f t="shared" si="1"/>
        <v>#DIV/0!</v>
      </c>
    </row>
    <row r="27" spans="1:18" ht="18.75" customHeight="1" thickBot="1">
      <c r="A27" s="63"/>
      <c r="B27" s="178"/>
      <c r="C27" s="179"/>
      <c r="D27" s="64"/>
      <c r="E27" s="65"/>
      <c r="F27" s="66"/>
      <c r="G27" s="67"/>
      <c r="H27" s="68"/>
      <c r="I27" s="65"/>
      <c r="J27" s="66"/>
      <c r="K27" s="67"/>
      <c r="L27" s="68"/>
      <c r="M27" s="65"/>
      <c r="N27" s="66"/>
      <c r="O27" s="67"/>
      <c r="P27" s="68"/>
      <c r="Q27" s="77">
        <f t="shared" si="0"/>
        <v>0</v>
      </c>
      <c r="R27" s="70" t="e">
        <f t="shared" si="1"/>
        <v>#DIV/0!</v>
      </c>
    </row>
    <row r="28" spans="1:18" ht="18.75" customHeight="1" thickTop="1">
      <c r="A28" s="63"/>
      <c r="B28" s="172" t="s">
        <v>61</v>
      </c>
      <c r="C28" s="173"/>
      <c r="D28" s="78">
        <f t="shared" ref="D28:Q28" si="2">SUM(D8:D27)</f>
        <v>1868</v>
      </c>
      <c r="E28" s="79">
        <f t="shared" si="2"/>
        <v>80</v>
      </c>
      <c r="F28" s="80">
        <f t="shared" si="2"/>
        <v>0</v>
      </c>
      <c r="G28" s="81">
        <f t="shared" si="2"/>
        <v>0</v>
      </c>
      <c r="H28" s="82">
        <f t="shared" si="2"/>
        <v>0</v>
      </c>
      <c r="I28" s="79">
        <f t="shared" si="2"/>
        <v>0</v>
      </c>
      <c r="J28" s="80">
        <f t="shared" si="2"/>
        <v>0</v>
      </c>
      <c r="K28" s="81">
        <f t="shared" si="2"/>
        <v>0</v>
      </c>
      <c r="L28" s="82">
        <f t="shared" si="2"/>
        <v>0</v>
      </c>
      <c r="M28" s="79">
        <f t="shared" si="2"/>
        <v>0</v>
      </c>
      <c r="N28" s="80">
        <f t="shared" si="2"/>
        <v>0</v>
      </c>
      <c r="O28" s="81">
        <f t="shared" si="2"/>
        <v>0</v>
      </c>
      <c r="P28" s="82">
        <f t="shared" si="2"/>
        <v>0</v>
      </c>
      <c r="Q28" s="83">
        <f t="shared" si="2"/>
        <v>80</v>
      </c>
      <c r="R28" s="84">
        <f>Q28/D28</f>
        <v>4.2826552462526764E-2</v>
      </c>
    </row>
    <row r="29" spans="1:18" ht="6.75" customHeight="1">
      <c r="A29" s="63"/>
      <c r="B29" s="63"/>
      <c r="C29" s="63"/>
      <c r="D29" s="85"/>
      <c r="E29" s="85"/>
      <c r="F29" s="85"/>
      <c r="G29" s="85"/>
      <c r="H29" s="85"/>
      <c r="I29" s="85"/>
      <c r="J29" s="85"/>
      <c r="K29" s="85"/>
      <c r="L29" s="85"/>
      <c r="M29" s="85"/>
      <c r="N29" s="85"/>
      <c r="O29" s="85"/>
      <c r="P29" s="85"/>
      <c r="Q29" s="85"/>
      <c r="R29" s="85"/>
    </row>
  </sheetData>
  <mergeCells count="35">
    <mergeCell ref="F1:R1"/>
    <mergeCell ref="K2:L2"/>
    <mergeCell ref="D6:D7"/>
    <mergeCell ref="E6:F6"/>
    <mergeCell ref="G6:H6"/>
    <mergeCell ref="I6:J6"/>
    <mergeCell ref="K6:L6"/>
    <mergeCell ref="M6:N6"/>
    <mergeCell ref="O6:P6"/>
    <mergeCell ref="Q6:Q7"/>
    <mergeCell ref="R6:R7"/>
    <mergeCell ref="A4:R4"/>
    <mergeCell ref="M2:Q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2"/>
  <printOptions horizontalCentered="1"/>
  <pageMargins left="0.78740157480314965" right="0.78740157480314965" top="0.78740157480314965" bottom="0.59055118110236227" header="0.31496062992125984" footer="0.31496062992125984"/>
  <pageSetup paperSize="9"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topLeftCell="A160" workbookViewId="0">
      <selection activeCell="C12" sqref="C12"/>
    </sheetView>
  </sheetViews>
  <sheetFormatPr defaultColWidth="9" defaultRowHeight="14.25"/>
  <cols>
    <col min="1" max="1" width="2.5" style="88" customWidth="1"/>
    <col min="2" max="2" width="19" style="88" customWidth="1"/>
    <col min="3" max="3" width="25" style="88" customWidth="1"/>
    <col min="4" max="4" width="10" style="88" customWidth="1"/>
    <col min="5" max="7" width="25" style="88" customWidth="1"/>
    <col min="8" max="16384" width="9" style="88"/>
  </cols>
  <sheetData>
    <row r="1" spans="1:7" ht="18.75" customHeight="1">
      <c r="G1" s="90" t="s">
        <v>183</v>
      </c>
    </row>
    <row r="2" spans="1:7" ht="18.75" customHeight="1">
      <c r="F2" s="90" t="s">
        <v>30</v>
      </c>
      <c r="G2" s="88" t="s">
        <v>182</v>
      </c>
    </row>
    <row r="3" spans="1:7" ht="18.75" customHeight="1">
      <c r="A3" s="221" t="s">
        <v>86</v>
      </c>
      <c r="B3" s="221"/>
      <c r="C3" s="221"/>
      <c r="D3" s="221"/>
      <c r="E3" s="221"/>
      <c r="F3" s="221"/>
      <c r="G3" s="221"/>
    </row>
    <row r="4" spans="1:7" ht="18.75" customHeight="1">
      <c r="A4" s="88" t="s">
        <v>7</v>
      </c>
      <c r="B4" s="88" t="s">
        <v>85</v>
      </c>
    </row>
    <row r="5" spans="1:7" s="109" customFormat="1" ht="18.75" customHeight="1">
      <c r="B5" s="110" t="s">
        <v>67</v>
      </c>
      <c r="C5" s="197" t="s">
        <v>96</v>
      </c>
      <c r="D5" s="198"/>
      <c r="E5" s="198"/>
      <c r="F5" s="198"/>
      <c r="G5" s="199"/>
    </row>
    <row r="6" spans="1:7" s="109" customFormat="1" ht="45" customHeight="1">
      <c r="B6" s="203" t="s">
        <v>99</v>
      </c>
      <c r="C6" s="222" t="s">
        <v>257</v>
      </c>
      <c r="D6" s="223"/>
      <c r="E6" s="223"/>
      <c r="F6" s="223"/>
      <c r="G6" s="224"/>
    </row>
    <row r="7" spans="1:7" s="109" customFormat="1" ht="45" customHeight="1">
      <c r="B7" s="204"/>
      <c r="C7" s="225"/>
      <c r="D7" s="226"/>
      <c r="E7" s="226"/>
      <c r="F7" s="226"/>
      <c r="G7" s="227"/>
    </row>
    <row r="8" spans="1:7" s="109" customFormat="1" ht="45" customHeight="1">
      <c r="B8" s="204"/>
      <c r="C8" s="225"/>
      <c r="D8" s="226"/>
      <c r="E8" s="226"/>
      <c r="F8" s="226"/>
      <c r="G8" s="227"/>
    </row>
    <row r="9" spans="1:7" s="109" customFormat="1" ht="45" customHeight="1">
      <c r="B9" s="204"/>
      <c r="C9" s="228"/>
      <c r="D9" s="229"/>
      <c r="E9" s="229"/>
      <c r="F9" s="229"/>
      <c r="G9" s="230"/>
    </row>
    <row r="10" spans="1:7" s="109" customFormat="1" ht="18.75" customHeight="1">
      <c r="B10" s="204"/>
      <c r="C10" s="104" t="s">
        <v>97</v>
      </c>
      <c r="D10" s="191" t="s">
        <v>98</v>
      </c>
      <c r="E10" s="192"/>
      <c r="F10" s="192"/>
      <c r="G10" s="193"/>
    </row>
    <row r="11" spans="1:7" s="109" customFormat="1" ht="18.75" customHeight="1">
      <c r="B11" s="204"/>
      <c r="C11" s="106" t="s">
        <v>127</v>
      </c>
      <c r="D11" s="118" t="s">
        <v>137</v>
      </c>
      <c r="E11" s="194"/>
      <c r="F11" s="194"/>
      <c r="G11" s="195"/>
    </row>
    <row r="12" spans="1:7" s="109" customFormat="1" ht="18.75" customHeight="1">
      <c r="B12" s="204"/>
      <c r="C12" s="106" t="s">
        <v>128</v>
      </c>
      <c r="D12" s="196" t="s">
        <v>135</v>
      </c>
      <c r="E12" s="194"/>
      <c r="F12" s="194"/>
      <c r="G12" s="195"/>
    </row>
    <row r="13" spans="1:7" s="109" customFormat="1" ht="18.75" customHeight="1">
      <c r="B13" s="204"/>
      <c r="C13" s="108" t="s">
        <v>147</v>
      </c>
      <c r="D13" s="200" t="s">
        <v>175</v>
      </c>
      <c r="E13" s="201"/>
      <c r="F13" s="201"/>
      <c r="G13" s="202"/>
    </row>
    <row r="14" spans="1:7" s="109" customFormat="1" ht="18.75" customHeight="1">
      <c r="B14" s="204"/>
      <c r="C14" s="112" t="s">
        <v>129</v>
      </c>
      <c r="D14" s="143" t="s">
        <v>139</v>
      </c>
      <c r="E14" s="144"/>
      <c r="F14" s="144"/>
      <c r="G14" s="145"/>
    </row>
    <row r="15" spans="1:7" s="109" customFormat="1" ht="18.75" customHeight="1">
      <c r="B15" s="204"/>
      <c r="C15" s="106"/>
      <c r="D15" s="143"/>
      <c r="E15" s="144"/>
      <c r="F15" s="144"/>
      <c r="G15" s="145"/>
    </row>
    <row r="16" spans="1:7" s="109" customFormat="1" ht="18.75" customHeight="1">
      <c r="B16" s="204"/>
      <c r="C16" s="110"/>
      <c r="D16" s="197"/>
      <c r="E16" s="198"/>
      <c r="F16" s="198"/>
      <c r="G16" s="199"/>
    </row>
    <row r="17" spans="2:7" s="109" customFormat="1" ht="18.75" customHeight="1">
      <c r="B17" s="204"/>
      <c r="C17" s="110"/>
      <c r="D17" s="197"/>
      <c r="E17" s="198"/>
      <c r="F17" s="198"/>
      <c r="G17" s="199"/>
    </row>
    <row r="18" spans="2:7" s="109" customFormat="1" ht="18.75" customHeight="1">
      <c r="B18" s="204"/>
      <c r="C18" s="110"/>
      <c r="D18" s="197"/>
      <c r="E18" s="198"/>
      <c r="F18" s="198"/>
      <c r="G18" s="199"/>
    </row>
    <row r="19" spans="2:7" s="109" customFormat="1" ht="18.75" customHeight="1">
      <c r="B19" s="204"/>
      <c r="C19" s="110"/>
      <c r="D19" s="197"/>
      <c r="E19" s="198"/>
      <c r="F19" s="198"/>
      <c r="G19" s="199"/>
    </row>
    <row r="20" spans="2:7" s="109" customFormat="1" ht="18.75" customHeight="1">
      <c r="B20" s="204"/>
      <c r="C20" s="110"/>
      <c r="D20" s="197"/>
      <c r="E20" s="198"/>
      <c r="F20" s="198"/>
      <c r="G20" s="199"/>
    </row>
    <row r="21" spans="2:7" s="109" customFormat="1" ht="18.75" customHeight="1">
      <c r="B21" s="204"/>
      <c r="C21" s="110"/>
      <c r="D21" s="197"/>
      <c r="E21" s="198"/>
      <c r="F21" s="198"/>
      <c r="G21" s="199"/>
    </row>
    <row r="22" spans="2:7" s="109" customFormat="1" ht="18.75" customHeight="1">
      <c r="B22" s="204"/>
      <c r="C22" s="110"/>
      <c r="D22" s="197"/>
      <c r="E22" s="198"/>
      <c r="F22" s="198"/>
      <c r="G22" s="199"/>
    </row>
    <row r="23" spans="2:7" s="109" customFormat="1" ht="18.75" customHeight="1">
      <c r="B23" s="204"/>
      <c r="C23" s="110"/>
      <c r="D23" s="197"/>
      <c r="E23" s="198"/>
      <c r="F23" s="198"/>
      <c r="G23" s="199"/>
    </row>
    <row r="24" spans="2:7" s="109" customFormat="1" ht="18.75" customHeight="1">
      <c r="B24" s="204"/>
      <c r="C24" s="110"/>
      <c r="D24" s="197"/>
      <c r="E24" s="198"/>
      <c r="F24" s="198"/>
      <c r="G24" s="199"/>
    </row>
    <row r="25" spans="2:7" s="109" customFormat="1" ht="18.75" customHeight="1">
      <c r="B25" s="204"/>
      <c r="C25" s="110"/>
      <c r="D25" s="197"/>
      <c r="E25" s="198"/>
      <c r="F25" s="198"/>
      <c r="G25" s="199"/>
    </row>
    <row r="26" spans="2:7" ht="18.75" customHeight="1">
      <c r="B26" s="203" t="s">
        <v>100</v>
      </c>
      <c r="C26" s="197" t="s">
        <v>96</v>
      </c>
      <c r="D26" s="198"/>
      <c r="E26" s="198"/>
      <c r="F26" s="198"/>
      <c r="G26" s="199"/>
    </row>
    <row r="27" spans="2:7" ht="37.5" customHeight="1">
      <c r="B27" s="204"/>
      <c r="C27" s="205" t="s">
        <v>258</v>
      </c>
      <c r="D27" s="206"/>
      <c r="E27" s="206"/>
      <c r="F27" s="206"/>
      <c r="G27" s="207"/>
    </row>
    <row r="28" spans="2:7" ht="37.5" customHeight="1">
      <c r="B28" s="204"/>
      <c r="C28" s="208"/>
      <c r="D28" s="209"/>
      <c r="E28" s="209"/>
      <c r="F28" s="209"/>
      <c r="G28" s="210"/>
    </row>
    <row r="29" spans="2:7" ht="37.5" customHeight="1">
      <c r="B29" s="204"/>
      <c r="C29" s="208"/>
      <c r="D29" s="209"/>
      <c r="E29" s="209"/>
      <c r="F29" s="209"/>
      <c r="G29" s="210"/>
    </row>
    <row r="30" spans="2:7" ht="37.5" customHeight="1">
      <c r="B30" s="204"/>
      <c r="C30" s="208"/>
      <c r="D30" s="209"/>
      <c r="E30" s="209"/>
      <c r="F30" s="209"/>
      <c r="G30" s="210"/>
    </row>
    <row r="31" spans="2:7" ht="37.5" customHeight="1">
      <c r="B31" s="204"/>
      <c r="C31" s="211"/>
      <c r="D31" s="212"/>
      <c r="E31" s="212"/>
      <c r="F31" s="212"/>
      <c r="G31" s="213"/>
    </row>
    <row r="32" spans="2:7" ht="18.75" customHeight="1">
      <c r="B32" s="204"/>
      <c r="C32" s="104" t="s">
        <v>97</v>
      </c>
      <c r="D32" s="197" t="s">
        <v>98</v>
      </c>
      <c r="E32" s="198"/>
      <c r="F32" s="198"/>
      <c r="G32" s="199"/>
    </row>
    <row r="33" spans="2:7" ht="18.75" customHeight="1">
      <c r="B33" s="204"/>
      <c r="C33" s="106" t="s">
        <v>127</v>
      </c>
      <c r="D33" s="217" t="s">
        <v>136</v>
      </c>
      <c r="E33" s="218"/>
      <c r="F33" s="218"/>
      <c r="G33" s="219"/>
    </row>
    <row r="34" spans="2:7" ht="18.75" customHeight="1">
      <c r="B34" s="204"/>
      <c r="C34" s="106" t="s">
        <v>128</v>
      </c>
      <c r="D34" s="217" t="s">
        <v>138</v>
      </c>
      <c r="E34" s="218"/>
      <c r="F34" s="218"/>
      <c r="G34" s="219"/>
    </row>
    <row r="35" spans="2:7" ht="18.75" customHeight="1">
      <c r="B35" s="204"/>
      <c r="C35" s="106" t="s">
        <v>142</v>
      </c>
      <c r="D35" s="217" t="s">
        <v>143</v>
      </c>
      <c r="E35" s="218"/>
      <c r="F35" s="218"/>
      <c r="G35" s="219"/>
    </row>
    <row r="36" spans="2:7" ht="18.75" customHeight="1">
      <c r="B36" s="204"/>
      <c r="C36" s="106"/>
      <c r="D36" s="217"/>
      <c r="E36" s="218"/>
      <c r="F36" s="218"/>
      <c r="G36" s="219"/>
    </row>
    <row r="37" spans="2:7" ht="18.75" customHeight="1">
      <c r="B37" s="204"/>
      <c r="C37" s="110"/>
      <c r="D37" s="214"/>
      <c r="E37" s="215"/>
      <c r="F37" s="215"/>
      <c r="G37" s="216"/>
    </row>
    <row r="38" spans="2:7" ht="18.75" customHeight="1">
      <c r="B38" s="204"/>
      <c r="C38" s="110"/>
      <c r="D38" s="214"/>
      <c r="E38" s="215"/>
      <c r="F38" s="215"/>
      <c r="G38" s="216"/>
    </row>
    <row r="39" spans="2:7" ht="18.75" customHeight="1">
      <c r="B39" s="204"/>
      <c r="C39" s="110"/>
      <c r="D39" s="214"/>
      <c r="E39" s="215"/>
      <c r="F39" s="215"/>
      <c r="G39" s="216"/>
    </row>
    <row r="40" spans="2:7" ht="18.75" customHeight="1">
      <c r="B40" s="204"/>
      <c r="C40" s="110"/>
      <c r="D40" s="214"/>
      <c r="E40" s="215"/>
      <c r="F40" s="215"/>
      <c r="G40" s="216"/>
    </row>
    <row r="41" spans="2:7" ht="18.75" customHeight="1">
      <c r="B41" s="204"/>
      <c r="C41" s="110"/>
      <c r="D41" s="214"/>
      <c r="E41" s="215"/>
      <c r="F41" s="215"/>
      <c r="G41" s="216"/>
    </row>
    <row r="42" spans="2:7" ht="18.75" customHeight="1">
      <c r="B42" s="204"/>
      <c r="C42" s="110"/>
      <c r="D42" s="214"/>
      <c r="E42" s="215"/>
      <c r="F42" s="215"/>
      <c r="G42" s="216"/>
    </row>
    <row r="43" spans="2:7" ht="18.75" customHeight="1">
      <c r="B43" s="204"/>
      <c r="C43" s="110"/>
      <c r="D43" s="214"/>
      <c r="E43" s="215"/>
      <c r="F43" s="215"/>
      <c r="G43" s="216"/>
    </row>
    <row r="44" spans="2:7" ht="18.75" customHeight="1">
      <c r="B44" s="204"/>
      <c r="C44" s="110"/>
      <c r="D44" s="214"/>
      <c r="E44" s="215"/>
      <c r="F44" s="215"/>
      <c r="G44" s="216"/>
    </row>
    <row r="45" spans="2:7" ht="18.75" customHeight="1">
      <c r="B45" s="204"/>
      <c r="C45" s="110"/>
      <c r="D45" s="214"/>
      <c r="E45" s="215"/>
      <c r="F45" s="215"/>
      <c r="G45" s="216"/>
    </row>
    <row r="46" spans="2:7" ht="18.75" customHeight="1">
      <c r="B46" s="204"/>
      <c r="C46" s="110"/>
      <c r="D46" s="214"/>
      <c r="E46" s="215"/>
      <c r="F46" s="215"/>
      <c r="G46" s="216"/>
    </row>
    <row r="47" spans="2:7" ht="18.75" customHeight="1">
      <c r="B47" s="204"/>
      <c r="C47" s="110"/>
      <c r="D47" s="214"/>
      <c r="E47" s="215"/>
      <c r="F47" s="215"/>
      <c r="G47" s="216"/>
    </row>
    <row r="48" spans="2:7" ht="18.75" customHeight="1">
      <c r="B48" s="204"/>
      <c r="C48" s="110"/>
      <c r="D48" s="214"/>
      <c r="E48" s="215"/>
      <c r="F48" s="215"/>
      <c r="G48" s="216"/>
    </row>
    <row r="49" spans="2:7" ht="18.75" customHeight="1">
      <c r="B49" s="204"/>
      <c r="C49" s="110"/>
      <c r="D49" s="214"/>
      <c r="E49" s="215"/>
      <c r="F49" s="215"/>
      <c r="G49" s="216"/>
    </row>
    <row r="50" spans="2:7" ht="18.75" customHeight="1">
      <c r="B50" s="220"/>
      <c r="C50" s="110"/>
      <c r="D50" s="214"/>
      <c r="E50" s="215"/>
      <c r="F50" s="215"/>
      <c r="G50" s="216"/>
    </row>
    <row r="51" spans="2:7" ht="18.75" customHeight="1">
      <c r="B51" s="203" t="s">
        <v>102</v>
      </c>
      <c r="C51" s="197" t="s">
        <v>96</v>
      </c>
      <c r="D51" s="198"/>
      <c r="E51" s="198"/>
      <c r="F51" s="198"/>
      <c r="G51" s="199"/>
    </row>
    <row r="52" spans="2:7" ht="37.5" customHeight="1">
      <c r="B52" s="204"/>
      <c r="C52" s="205" t="s">
        <v>259</v>
      </c>
      <c r="D52" s="206"/>
      <c r="E52" s="206"/>
      <c r="F52" s="206"/>
      <c r="G52" s="207"/>
    </row>
    <row r="53" spans="2:7" ht="37.5" customHeight="1">
      <c r="B53" s="204"/>
      <c r="C53" s="208"/>
      <c r="D53" s="209"/>
      <c r="E53" s="209"/>
      <c r="F53" s="209"/>
      <c r="G53" s="210"/>
    </row>
    <row r="54" spans="2:7" ht="37.5" customHeight="1">
      <c r="B54" s="204"/>
      <c r="C54" s="208"/>
      <c r="D54" s="209"/>
      <c r="E54" s="209"/>
      <c r="F54" s="209"/>
      <c r="G54" s="210"/>
    </row>
    <row r="55" spans="2:7" ht="37.5" customHeight="1">
      <c r="B55" s="204"/>
      <c r="C55" s="208"/>
      <c r="D55" s="209"/>
      <c r="E55" s="209"/>
      <c r="F55" s="209"/>
      <c r="G55" s="210"/>
    </row>
    <row r="56" spans="2:7" ht="37.5" customHeight="1">
      <c r="B56" s="204"/>
      <c r="C56" s="211"/>
      <c r="D56" s="212"/>
      <c r="E56" s="212"/>
      <c r="F56" s="212"/>
      <c r="G56" s="213"/>
    </row>
    <row r="57" spans="2:7" ht="18.75" customHeight="1">
      <c r="B57" s="204"/>
      <c r="C57" s="104"/>
      <c r="D57" s="197" t="s">
        <v>98</v>
      </c>
      <c r="E57" s="198"/>
      <c r="F57" s="198"/>
      <c r="G57" s="199"/>
    </row>
    <row r="58" spans="2:7" ht="18.75" customHeight="1">
      <c r="B58" s="204"/>
      <c r="C58" s="106" t="s">
        <v>127</v>
      </c>
      <c r="D58" s="217" t="s">
        <v>133</v>
      </c>
      <c r="E58" s="218"/>
      <c r="F58" s="218"/>
      <c r="G58" s="219"/>
    </row>
    <row r="59" spans="2:7" ht="18.75" customHeight="1">
      <c r="B59" s="204"/>
      <c r="C59" s="106" t="s">
        <v>128</v>
      </c>
      <c r="D59" s="217" t="s">
        <v>134</v>
      </c>
      <c r="E59" s="218"/>
      <c r="F59" s="218"/>
      <c r="G59" s="219"/>
    </row>
    <row r="60" spans="2:7" ht="18.75" customHeight="1">
      <c r="B60" s="204"/>
      <c r="C60" s="106" t="s">
        <v>130</v>
      </c>
      <c r="D60" s="217" t="s">
        <v>141</v>
      </c>
      <c r="E60" s="218"/>
      <c r="F60" s="218"/>
      <c r="G60" s="219"/>
    </row>
    <row r="61" spans="2:7" ht="18.75" customHeight="1">
      <c r="B61" s="204"/>
      <c r="C61" s="112" t="s">
        <v>129</v>
      </c>
      <c r="D61" s="217" t="s">
        <v>140</v>
      </c>
      <c r="E61" s="218"/>
      <c r="F61" s="218"/>
      <c r="G61" s="219"/>
    </row>
    <row r="62" spans="2:7" ht="18.75" customHeight="1">
      <c r="B62" s="204"/>
      <c r="C62" s="113" t="s">
        <v>148</v>
      </c>
      <c r="D62" s="217" t="s">
        <v>149</v>
      </c>
      <c r="E62" s="218"/>
      <c r="F62" s="218"/>
      <c r="G62" s="219"/>
    </row>
    <row r="63" spans="2:7" ht="18.75" customHeight="1">
      <c r="B63" s="204"/>
      <c r="C63" s="114" t="s">
        <v>142</v>
      </c>
      <c r="D63" s="217" t="s">
        <v>150</v>
      </c>
      <c r="E63" s="218"/>
      <c r="F63" s="218"/>
      <c r="G63" s="219"/>
    </row>
    <row r="64" spans="2:7" ht="18.75" customHeight="1">
      <c r="B64" s="204"/>
      <c r="C64" s="107"/>
      <c r="D64" s="217"/>
      <c r="E64" s="218"/>
      <c r="F64" s="218"/>
      <c r="G64" s="219"/>
    </row>
    <row r="65" spans="2:7" ht="18.75" customHeight="1">
      <c r="B65" s="204"/>
      <c r="C65" s="108"/>
      <c r="D65" s="217"/>
      <c r="E65" s="218"/>
      <c r="F65" s="218"/>
      <c r="G65" s="219"/>
    </row>
    <row r="66" spans="2:7" ht="18.75" customHeight="1">
      <c r="B66" s="204"/>
      <c r="C66" s="110"/>
      <c r="D66" s="214"/>
      <c r="E66" s="215"/>
      <c r="F66" s="215"/>
      <c r="G66" s="216"/>
    </row>
    <row r="67" spans="2:7" ht="18.75" customHeight="1">
      <c r="B67" s="204"/>
      <c r="C67" s="110"/>
      <c r="D67" s="214"/>
      <c r="E67" s="215"/>
      <c r="F67" s="215"/>
      <c r="G67" s="216"/>
    </row>
    <row r="68" spans="2:7" ht="18.75" customHeight="1">
      <c r="B68" s="204"/>
      <c r="C68" s="110"/>
      <c r="D68" s="214"/>
      <c r="E68" s="215"/>
      <c r="F68" s="215"/>
      <c r="G68" s="216"/>
    </row>
    <row r="69" spans="2:7" ht="18.75" customHeight="1">
      <c r="B69" s="204"/>
      <c r="C69" s="110"/>
      <c r="D69" s="214"/>
      <c r="E69" s="215"/>
      <c r="F69" s="215"/>
      <c r="G69" s="216"/>
    </row>
    <row r="70" spans="2:7" ht="18.75" customHeight="1">
      <c r="B70" s="204"/>
      <c r="C70" s="110"/>
      <c r="D70" s="214"/>
      <c r="E70" s="215"/>
      <c r="F70" s="215"/>
      <c r="G70" s="216"/>
    </row>
    <row r="71" spans="2:7" ht="18.75" customHeight="1">
      <c r="B71" s="204"/>
      <c r="C71" s="110"/>
      <c r="D71" s="214"/>
      <c r="E71" s="215"/>
      <c r="F71" s="215"/>
      <c r="G71" s="216"/>
    </row>
    <row r="72" spans="2:7" ht="18.75" customHeight="1">
      <c r="B72" s="204"/>
      <c r="C72" s="110"/>
      <c r="D72" s="214"/>
      <c r="E72" s="215"/>
      <c r="F72" s="215"/>
      <c r="G72" s="216"/>
    </row>
    <row r="73" spans="2:7" ht="18.75" customHeight="1">
      <c r="B73" s="204"/>
      <c r="C73" s="110"/>
      <c r="D73" s="214"/>
      <c r="E73" s="215"/>
      <c r="F73" s="215"/>
      <c r="G73" s="216"/>
    </row>
    <row r="74" spans="2:7" ht="18.75" customHeight="1">
      <c r="B74" s="204"/>
      <c r="C74" s="110"/>
      <c r="D74" s="214"/>
      <c r="E74" s="215"/>
      <c r="F74" s="215"/>
      <c r="G74" s="216"/>
    </row>
    <row r="75" spans="2:7" ht="18.75" customHeight="1">
      <c r="B75" s="204"/>
      <c r="C75" s="110"/>
      <c r="D75" s="214"/>
      <c r="E75" s="215"/>
      <c r="F75" s="215"/>
      <c r="G75" s="216"/>
    </row>
    <row r="76" spans="2:7" ht="18.75" customHeight="1">
      <c r="B76" s="203" t="s">
        <v>101</v>
      </c>
      <c r="C76" s="197" t="s">
        <v>96</v>
      </c>
      <c r="D76" s="198"/>
      <c r="E76" s="198"/>
      <c r="F76" s="198"/>
      <c r="G76" s="199"/>
    </row>
    <row r="77" spans="2:7" ht="37.5" customHeight="1">
      <c r="B77" s="204"/>
      <c r="C77" s="205" t="s">
        <v>153</v>
      </c>
      <c r="D77" s="206"/>
      <c r="E77" s="206"/>
      <c r="F77" s="206"/>
      <c r="G77" s="207"/>
    </row>
    <row r="78" spans="2:7" ht="37.5" customHeight="1">
      <c r="B78" s="204"/>
      <c r="C78" s="208"/>
      <c r="D78" s="209"/>
      <c r="E78" s="209"/>
      <c r="F78" s="209"/>
      <c r="G78" s="210"/>
    </row>
    <row r="79" spans="2:7" ht="37.5" customHeight="1">
      <c r="B79" s="204"/>
      <c r="C79" s="208"/>
      <c r="D79" s="209"/>
      <c r="E79" s="209"/>
      <c r="F79" s="209"/>
      <c r="G79" s="210"/>
    </row>
    <row r="80" spans="2:7" ht="37.5" customHeight="1">
      <c r="B80" s="204"/>
      <c r="C80" s="208"/>
      <c r="D80" s="209"/>
      <c r="E80" s="209"/>
      <c r="F80" s="209"/>
      <c r="G80" s="210"/>
    </row>
    <row r="81" spans="2:7" ht="37.5" customHeight="1">
      <c r="B81" s="204"/>
      <c r="C81" s="211"/>
      <c r="D81" s="212"/>
      <c r="E81" s="212"/>
      <c r="F81" s="212"/>
      <c r="G81" s="213"/>
    </row>
    <row r="82" spans="2:7" ht="18.75" customHeight="1">
      <c r="B82" s="204"/>
      <c r="C82" s="104" t="s">
        <v>97</v>
      </c>
      <c r="D82" s="197" t="s">
        <v>98</v>
      </c>
      <c r="E82" s="198"/>
      <c r="F82" s="198"/>
      <c r="G82" s="199"/>
    </row>
    <row r="83" spans="2:7" ht="18.75" customHeight="1">
      <c r="B83" s="204"/>
      <c r="C83" s="111" t="s">
        <v>127</v>
      </c>
      <c r="D83" s="249" t="s">
        <v>132</v>
      </c>
      <c r="E83" s="250"/>
      <c r="F83" s="250"/>
      <c r="G83" s="251"/>
    </row>
    <row r="84" spans="2:7" ht="18.75" customHeight="1">
      <c r="B84" s="204"/>
      <c r="C84" s="106" t="s">
        <v>128</v>
      </c>
      <c r="D84" s="249" t="s">
        <v>131</v>
      </c>
      <c r="E84" s="250"/>
      <c r="F84" s="250"/>
      <c r="G84" s="251"/>
    </row>
    <row r="85" spans="2:7" ht="18.75" customHeight="1">
      <c r="B85" s="204"/>
      <c r="C85" s="107" t="s">
        <v>151</v>
      </c>
      <c r="D85" s="249" t="s">
        <v>152</v>
      </c>
      <c r="E85" s="250"/>
      <c r="F85" s="250"/>
      <c r="G85" s="251"/>
    </row>
    <row r="86" spans="2:7" ht="18.75" customHeight="1">
      <c r="B86" s="204"/>
      <c r="C86" s="87"/>
      <c r="D86" s="214"/>
      <c r="E86" s="215"/>
      <c r="F86" s="215"/>
      <c r="G86" s="216"/>
    </row>
    <row r="87" spans="2:7" ht="18.75" customHeight="1">
      <c r="B87" s="204"/>
      <c r="C87" s="110"/>
      <c r="D87" s="214"/>
      <c r="E87" s="215"/>
      <c r="F87" s="215"/>
      <c r="G87" s="216"/>
    </row>
    <row r="88" spans="2:7" ht="18.75" customHeight="1">
      <c r="B88" s="204"/>
      <c r="C88" s="110"/>
      <c r="D88" s="214"/>
      <c r="E88" s="215"/>
      <c r="F88" s="215"/>
      <c r="G88" s="216"/>
    </row>
    <row r="89" spans="2:7" ht="18.75" customHeight="1">
      <c r="B89" s="204"/>
      <c r="C89" s="110"/>
      <c r="D89" s="214"/>
      <c r="E89" s="215"/>
      <c r="F89" s="215"/>
      <c r="G89" s="216"/>
    </row>
    <row r="90" spans="2:7" ht="18.75" customHeight="1">
      <c r="B90" s="204"/>
      <c r="C90" s="110"/>
      <c r="D90" s="214"/>
      <c r="E90" s="215"/>
      <c r="F90" s="215"/>
      <c r="G90" s="216"/>
    </row>
    <row r="91" spans="2:7" ht="18.75" customHeight="1">
      <c r="B91" s="204"/>
      <c r="C91" s="110"/>
      <c r="D91" s="214"/>
      <c r="E91" s="215"/>
      <c r="F91" s="215"/>
      <c r="G91" s="216"/>
    </row>
    <row r="92" spans="2:7" ht="18.75" customHeight="1">
      <c r="B92" s="204"/>
      <c r="C92" s="110"/>
      <c r="D92" s="214"/>
      <c r="E92" s="215"/>
      <c r="F92" s="215"/>
      <c r="G92" s="216"/>
    </row>
    <row r="93" spans="2:7" ht="18.75" customHeight="1">
      <c r="B93" s="204"/>
      <c r="C93" s="110"/>
      <c r="D93" s="214"/>
      <c r="E93" s="215"/>
      <c r="F93" s="215"/>
      <c r="G93" s="216"/>
    </row>
    <row r="94" spans="2:7" ht="18.75" customHeight="1">
      <c r="B94" s="204"/>
      <c r="C94" s="110"/>
      <c r="D94" s="214"/>
      <c r="E94" s="215"/>
      <c r="F94" s="215"/>
      <c r="G94" s="216"/>
    </row>
    <row r="95" spans="2:7" ht="18.75" customHeight="1">
      <c r="B95" s="204"/>
      <c r="C95" s="110"/>
      <c r="D95" s="214"/>
      <c r="E95" s="215"/>
      <c r="F95" s="215"/>
      <c r="G95" s="216"/>
    </row>
    <row r="96" spans="2:7" ht="18.75" customHeight="1">
      <c r="B96" s="204"/>
      <c r="C96" s="110"/>
      <c r="D96" s="214"/>
      <c r="E96" s="215"/>
      <c r="F96" s="215"/>
      <c r="G96" s="216"/>
    </row>
    <row r="97" spans="2:7" ht="18.75" customHeight="1">
      <c r="B97" s="204"/>
      <c r="C97" s="110"/>
      <c r="D97" s="214"/>
      <c r="E97" s="215"/>
      <c r="F97" s="215"/>
      <c r="G97" s="216"/>
    </row>
    <row r="98" spans="2:7" ht="18.75" customHeight="1">
      <c r="B98" s="204"/>
      <c r="C98" s="110"/>
      <c r="D98" s="214"/>
      <c r="E98" s="215"/>
      <c r="F98" s="215"/>
      <c r="G98" s="216"/>
    </row>
    <row r="99" spans="2:7" ht="18.75" customHeight="1">
      <c r="B99" s="204"/>
      <c r="C99" s="110"/>
      <c r="D99" s="214"/>
      <c r="E99" s="215"/>
      <c r="F99" s="215"/>
      <c r="G99" s="216"/>
    </row>
    <row r="100" spans="2:7" ht="18.75" customHeight="1">
      <c r="B100" s="204"/>
      <c r="C100" s="110"/>
      <c r="D100" s="214"/>
      <c r="E100" s="215"/>
      <c r="F100" s="215"/>
      <c r="G100" s="216"/>
    </row>
    <row r="101" spans="2:7" ht="18.75" customHeight="1">
      <c r="B101" s="203" t="s">
        <v>103</v>
      </c>
      <c r="C101" s="197" t="s">
        <v>96</v>
      </c>
      <c r="D101" s="198"/>
      <c r="E101" s="198"/>
      <c r="F101" s="198"/>
      <c r="G101" s="199"/>
    </row>
    <row r="102" spans="2:7" ht="41.25" customHeight="1">
      <c r="B102" s="204"/>
      <c r="C102" s="205" t="s">
        <v>260</v>
      </c>
      <c r="D102" s="206"/>
      <c r="E102" s="206"/>
      <c r="F102" s="206"/>
      <c r="G102" s="207"/>
    </row>
    <row r="103" spans="2:7" ht="41.25" customHeight="1">
      <c r="B103" s="204"/>
      <c r="C103" s="208"/>
      <c r="D103" s="209"/>
      <c r="E103" s="209"/>
      <c r="F103" s="209"/>
      <c r="G103" s="210"/>
    </row>
    <row r="104" spans="2:7" ht="41.25" customHeight="1">
      <c r="B104" s="204"/>
      <c r="C104" s="208"/>
      <c r="D104" s="209"/>
      <c r="E104" s="209"/>
      <c r="F104" s="209"/>
      <c r="G104" s="210"/>
    </row>
    <row r="105" spans="2:7" ht="41.25" customHeight="1">
      <c r="B105" s="204"/>
      <c r="C105" s="208"/>
      <c r="D105" s="209"/>
      <c r="E105" s="209"/>
      <c r="F105" s="209"/>
      <c r="G105" s="210"/>
    </row>
    <row r="106" spans="2:7" ht="41.25" customHeight="1">
      <c r="B106" s="204"/>
      <c r="C106" s="211"/>
      <c r="D106" s="212"/>
      <c r="E106" s="212"/>
      <c r="F106" s="212"/>
      <c r="G106" s="213"/>
    </row>
    <row r="107" spans="2:7" ht="18.75" customHeight="1">
      <c r="B107" s="204"/>
      <c r="C107" s="104" t="s">
        <v>97</v>
      </c>
      <c r="D107" s="197" t="s">
        <v>98</v>
      </c>
      <c r="E107" s="198"/>
      <c r="F107" s="198"/>
      <c r="G107" s="199"/>
    </row>
    <row r="108" spans="2:7" ht="18.75" customHeight="1">
      <c r="B108" s="204"/>
      <c r="C108" s="111" t="s">
        <v>127</v>
      </c>
      <c r="D108" s="217" t="s">
        <v>154</v>
      </c>
      <c r="E108" s="218"/>
      <c r="F108" s="218"/>
      <c r="G108" s="219"/>
    </row>
    <row r="109" spans="2:7" ht="18.75" customHeight="1">
      <c r="B109" s="204"/>
      <c r="C109" s="106" t="s">
        <v>128</v>
      </c>
      <c r="D109" s="217" t="s">
        <v>155</v>
      </c>
      <c r="E109" s="218"/>
      <c r="F109" s="218"/>
      <c r="G109" s="219"/>
    </row>
    <row r="110" spans="2:7" ht="18.75" customHeight="1">
      <c r="B110" s="204"/>
      <c r="C110" s="106" t="s">
        <v>130</v>
      </c>
      <c r="D110" s="217" t="s">
        <v>141</v>
      </c>
      <c r="E110" s="218"/>
      <c r="F110" s="218"/>
      <c r="G110" s="219"/>
    </row>
    <row r="111" spans="2:7" ht="18.75" customHeight="1">
      <c r="B111" s="204"/>
      <c r="C111" s="114" t="s">
        <v>156</v>
      </c>
      <c r="D111" s="217" t="s">
        <v>162</v>
      </c>
      <c r="E111" s="218"/>
      <c r="F111" s="218"/>
      <c r="G111" s="219"/>
    </row>
    <row r="112" spans="2:7" ht="18.75" customHeight="1">
      <c r="B112" s="204"/>
      <c r="C112" s="114" t="s">
        <v>157</v>
      </c>
      <c r="D112" s="217" t="s">
        <v>163</v>
      </c>
      <c r="E112" s="218"/>
      <c r="F112" s="218"/>
      <c r="G112" s="219"/>
    </row>
    <row r="113" spans="1:7" ht="18.75" customHeight="1">
      <c r="B113" s="204"/>
      <c r="C113" s="114" t="s">
        <v>159</v>
      </c>
      <c r="D113" s="217" t="s">
        <v>164</v>
      </c>
      <c r="E113" s="218"/>
      <c r="F113" s="218"/>
      <c r="G113" s="219"/>
    </row>
    <row r="114" spans="1:7" ht="18.75" customHeight="1">
      <c r="B114" s="204"/>
      <c r="C114" s="89" t="s">
        <v>160</v>
      </c>
      <c r="D114" s="217" t="s">
        <v>165</v>
      </c>
      <c r="E114" s="218"/>
      <c r="F114" s="218"/>
      <c r="G114" s="219"/>
    </row>
    <row r="115" spans="1:7" ht="18.75" customHeight="1">
      <c r="B115" s="204"/>
      <c r="C115" s="114" t="s">
        <v>161</v>
      </c>
      <c r="D115" s="217" t="s">
        <v>166</v>
      </c>
      <c r="E115" s="218"/>
      <c r="F115" s="218"/>
      <c r="G115" s="219"/>
    </row>
    <row r="116" spans="1:7" ht="18.75" customHeight="1">
      <c r="B116" s="204"/>
      <c r="C116" s="114" t="s">
        <v>148</v>
      </c>
      <c r="D116" s="217" t="s">
        <v>158</v>
      </c>
      <c r="E116" s="218"/>
      <c r="F116" s="218"/>
      <c r="G116" s="219"/>
    </row>
    <row r="117" spans="1:7" ht="18" customHeight="1">
      <c r="B117" s="204"/>
      <c r="C117" s="108"/>
      <c r="D117" s="217"/>
      <c r="E117" s="218"/>
      <c r="F117" s="218"/>
      <c r="G117" s="219"/>
    </row>
    <row r="118" spans="1:7" ht="18" customHeight="1">
      <c r="B118" s="204"/>
      <c r="C118" s="110"/>
      <c r="D118" s="214"/>
      <c r="E118" s="215"/>
      <c r="F118" s="215"/>
      <c r="G118" s="216"/>
    </row>
    <row r="119" spans="1:7" ht="18" customHeight="1">
      <c r="B119" s="204"/>
      <c r="C119" s="110"/>
      <c r="D119" s="214"/>
      <c r="E119" s="215"/>
      <c r="F119" s="215"/>
      <c r="G119" s="216"/>
    </row>
    <row r="120" spans="1:7" ht="18" customHeight="1">
      <c r="B120" s="204"/>
      <c r="C120" s="110"/>
      <c r="D120" s="214"/>
      <c r="E120" s="215"/>
      <c r="F120" s="215"/>
      <c r="G120" s="216"/>
    </row>
    <row r="121" spans="1:7" ht="18" customHeight="1">
      <c r="B121" s="204"/>
      <c r="C121" s="110"/>
      <c r="D121" s="214"/>
      <c r="E121" s="215"/>
      <c r="F121" s="215"/>
      <c r="G121" s="216"/>
    </row>
    <row r="122" spans="1:7" ht="18" customHeight="1">
      <c r="B122" s="204"/>
      <c r="C122" s="110"/>
      <c r="D122" s="214"/>
      <c r="E122" s="215"/>
      <c r="F122" s="215"/>
      <c r="G122" s="216"/>
    </row>
    <row r="123" spans="1:7" ht="18" customHeight="1">
      <c r="B123" s="204"/>
      <c r="C123" s="110"/>
      <c r="D123" s="214"/>
      <c r="E123" s="215"/>
      <c r="F123" s="215"/>
      <c r="G123" s="216"/>
    </row>
    <row r="124" spans="1:7" ht="18" customHeight="1">
      <c r="B124" s="204"/>
      <c r="C124" s="110"/>
      <c r="D124" s="214"/>
      <c r="E124" s="215"/>
      <c r="F124" s="215"/>
      <c r="G124" s="216"/>
    </row>
    <row r="125" spans="1:7" ht="18" customHeight="1">
      <c r="B125" s="204"/>
      <c r="C125" s="110"/>
      <c r="D125" s="214"/>
      <c r="E125" s="215"/>
      <c r="F125" s="215"/>
      <c r="G125" s="216"/>
    </row>
    <row r="126" spans="1:7" ht="18.75" customHeight="1">
      <c r="A126" s="88" t="s">
        <v>12</v>
      </c>
      <c r="B126" s="88" t="s">
        <v>94</v>
      </c>
    </row>
    <row r="127" spans="1:7" ht="22.5" customHeight="1">
      <c r="B127" s="110" t="s">
        <v>67</v>
      </c>
      <c r="C127" s="197" t="s">
        <v>93</v>
      </c>
      <c r="D127" s="198"/>
      <c r="E127" s="198"/>
      <c r="F127" s="198"/>
      <c r="G127" s="199"/>
    </row>
    <row r="128" spans="1:7" ht="64.150000000000006" customHeight="1">
      <c r="B128" s="105" t="s">
        <v>68</v>
      </c>
      <c r="C128" s="246" t="s">
        <v>261</v>
      </c>
      <c r="D128" s="247"/>
      <c r="E128" s="247"/>
      <c r="F128" s="247"/>
      <c r="G128" s="248"/>
    </row>
    <row r="129" spans="1:7" ht="42" customHeight="1">
      <c r="B129" s="105" t="s">
        <v>69</v>
      </c>
      <c r="C129" s="243" t="s">
        <v>203</v>
      </c>
      <c r="D129" s="244"/>
      <c r="E129" s="244"/>
      <c r="F129" s="244"/>
      <c r="G129" s="245"/>
    </row>
    <row r="130" spans="1:7" ht="42" customHeight="1">
      <c r="B130" s="105" t="s">
        <v>70</v>
      </c>
      <c r="C130" s="246" t="s">
        <v>266</v>
      </c>
      <c r="D130" s="247"/>
      <c r="E130" s="247"/>
      <c r="F130" s="247"/>
      <c r="G130" s="248"/>
    </row>
    <row r="131" spans="1:7" ht="42" customHeight="1">
      <c r="B131" s="105" t="s">
        <v>71</v>
      </c>
      <c r="C131" s="243" t="s">
        <v>210</v>
      </c>
      <c r="D131" s="244"/>
      <c r="E131" s="244"/>
      <c r="F131" s="244"/>
      <c r="G131" s="245"/>
    </row>
    <row r="132" spans="1:7" ht="42" customHeight="1">
      <c r="B132" s="105" t="s">
        <v>72</v>
      </c>
      <c r="C132" s="243" t="s">
        <v>211</v>
      </c>
      <c r="D132" s="244"/>
      <c r="E132" s="244"/>
      <c r="F132" s="244"/>
      <c r="G132" s="245"/>
    </row>
    <row r="133" spans="1:7" ht="42" customHeight="1">
      <c r="B133" s="105" t="s">
        <v>73</v>
      </c>
      <c r="C133" s="243" t="s">
        <v>142</v>
      </c>
      <c r="D133" s="244"/>
      <c r="E133" s="244"/>
      <c r="F133" s="244"/>
      <c r="G133" s="245"/>
    </row>
    <row r="134" spans="1:7" ht="42" customHeight="1">
      <c r="B134" s="105" t="s">
        <v>74</v>
      </c>
      <c r="C134" s="243" t="s">
        <v>212</v>
      </c>
      <c r="D134" s="244"/>
      <c r="E134" s="244"/>
      <c r="F134" s="244"/>
      <c r="G134" s="245"/>
    </row>
    <row r="135" spans="1:7" ht="42" customHeight="1">
      <c r="B135" s="105" t="s">
        <v>75</v>
      </c>
      <c r="C135" s="243" t="s">
        <v>262</v>
      </c>
      <c r="D135" s="244"/>
      <c r="E135" s="244"/>
      <c r="F135" s="244"/>
      <c r="G135" s="245"/>
    </row>
    <row r="136" spans="1:7" ht="54" customHeight="1">
      <c r="B136" s="105" t="s">
        <v>76</v>
      </c>
      <c r="C136" s="246" t="s">
        <v>263</v>
      </c>
      <c r="D136" s="247"/>
      <c r="E136" s="247"/>
      <c r="F136" s="247"/>
      <c r="G136" s="248"/>
    </row>
    <row r="137" spans="1:7" ht="7.5" customHeight="1"/>
    <row r="138" spans="1:7" ht="18.75" customHeight="1">
      <c r="A138" s="88" t="s">
        <v>13</v>
      </c>
      <c r="B138" s="88" t="s">
        <v>89</v>
      </c>
      <c r="E138" s="240" t="s">
        <v>144</v>
      </c>
      <c r="F138" s="241"/>
      <c r="G138" s="242"/>
    </row>
    <row r="139" spans="1:7" ht="7.5" customHeight="1"/>
    <row r="140" spans="1:7" ht="18.75" customHeight="1">
      <c r="A140" s="88" t="s">
        <v>16</v>
      </c>
      <c r="B140" s="88" t="s">
        <v>90</v>
      </c>
    </row>
    <row r="141" spans="1:7" ht="12.75" customHeight="1">
      <c r="B141" s="231" t="s">
        <v>199</v>
      </c>
      <c r="C141" s="232"/>
      <c r="D141" s="232"/>
      <c r="E141" s="232"/>
      <c r="F141" s="232"/>
      <c r="G141" s="233"/>
    </row>
    <row r="142" spans="1:7" ht="12.75" customHeight="1">
      <c r="B142" s="234"/>
      <c r="C142" s="235"/>
      <c r="D142" s="235"/>
      <c r="E142" s="235"/>
      <c r="F142" s="235"/>
      <c r="G142" s="236"/>
    </row>
    <row r="143" spans="1:7" ht="12.75" customHeight="1">
      <c r="B143" s="234"/>
      <c r="C143" s="235"/>
      <c r="D143" s="235"/>
      <c r="E143" s="235"/>
      <c r="F143" s="235"/>
      <c r="G143" s="236"/>
    </row>
    <row r="144" spans="1:7" ht="12.75" customHeight="1">
      <c r="B144" s="237"/>
      <c r="C144" s="238"/>
      <c r="D144" s="238"/>
      <c r="E144" s="238"/>
      <c r="F144" s="238"/>
      <c r="G144" s="239"/>
    </row>
    <row r="145" ht="9.75" customHeight="1"/>
    <row r="146" ht="18.75" customHeight="1"/>
    <row r="147" ht="18.75" customHeight="1"/>
    <row r="148" ht="18.75" customHeight="1"/>
    <row r="149" ht="18.75" customHeight="1"/>
    <row r="150" ht="18.75" customHeight="1"/>
  </sheetData>
  <mergeCells count="120">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8:G38"/>
    <mergeCell ref="D39:G39"/>
    <mergeCell ref="D40:G40"/>
    <mergeCell ref="D41:G41"/>
    <mergeCell ref="D60:G60"/>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D37:G37"/>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6:G16"/>
    <mergeCell ref="D17:G17"/>
    <mergeCell ref="D25:G25"/>
    <mergeCell ref="D24:G24"/>
    <mergeCell ref="D18:G18"/>
    <mergeCell ref="D13:G13"/>
    <mergeCell ref="D22:G22"/>
    <mergeCell ref="D23:G23"/>
    <mergeCell ref="D19:G19"/>
    <mergeCell ref="D20:G20"/>
    <mergeCell ref="D21:G21"/>
    <mergeCell ref="D14:G14"/>
    <mergeCell ref="D15:G15"/>
  </mergeCells>
  <phoneticPr fontId="2"/>
  <hyperlinks>
    <hyperlink ref="E138" r:id="rId1" xr:uid="{402A41FF-F66E-422B-8385-01C4B6AA0CA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8"/>
  <sheetViews>
    <sheetView showZeros="0" zoomScaleNormal="100" workbookViewId="0">
      <selection activeCell="F64" sqref="F64"/>
    </sheetView>
  </sheetViews>
  <sheetFormatPr defaultColWidth="11.375" defaultRowHeight="18.75" customHeight="1"/>
  <cols>
    <col min="1" max="1" width="2.75" style="2" customWidth="1"/>
    <col min="2" max="2" width="54.125" style="1" customWidth="1"/>
    <col min="3" max="3" width="1.125" style="1" customWidth="1"/>
    <col min="4" max="4" width="22.5" style="1" customWidth="1"/>
    <col min="5" max="5" width="6.125" style="1" customWidth="1"/>
    <col min="6" max="16384" width="11.375" style="1"/>
  </cols>
  <sheetData>
    <row r="1" spans="1:5" ht="18.75" customHeight="1">
      <c r="E1" s="42" t="s">
        <v>95</v>
      </c>
    </row>
    <row r="2" spans="1:5" ht="18.75" customHeight="1">
      <c r="B2" s="42" t="s">
        <v>80</v>
      </c>
      <c r="C2" s="42" t="s">
        <v>8</v>
      </c>
      <c r="D2" s="262" t="s">
        <v>196</v>
      </c>
      <c r="E2" s="263"/>
    </row>
    <row r="3" spans="1:5" ht="7.5" customHeight="1">
      <c r="B3" s="42"/>
      <c r="C3" s="42"/>
      <c r="D3" s="43"/>
      <c r="E3" s="43"/>
    </row>
    <row r="4" spans="1:5" ht="18.75" customHeight="1">
      <c r="B4" s="165" t="s">
        <v>77</v>
      </c>
      <c r="C4" s="165"/>
      <c r="D4" s="165"/>
      <c r="E4" s="165"/>
    </row>
    <row r="5" spans="1:5" ht="7.5" customHeight="1">
      <c r="B5" s="44"/>
      <c r="C5" s="44"/>
      <c r="D5" s="44"/>
      <c r="E5" s="44"/>
    </row>
    <row r="6" spans="1:5" ht="18.75" customHeight="1">
      <c r="A6" s="14" t="s">
        <v>7</v>
      </c>
      <c r="B6" s="5" t="s">
        <v>88</v>
      </c>
      <c r="C6" s="49"/>
      <c r="D6" s="49"/>
      <c r="E6" s="49"/>
    </row>
    <row r="7" spans="1:5" ht="18.75" customHeight="1">
      <c r="A7" s="14"/>
      <c r="B7" s="146" t="s">
        <v>195</v>
      </c>
      <c r="C7" s="147"/>
      <c r="D7" s="147"/>
      <c r="E7" s="148"/>
    </row>
    <row r="8" spans="1:5" ht="7.5" customHeight="1">
      <c r="B8" s="49"/>
      <c r="C8" s="49"/>
      <c r="D8" s="49"/>
      <c r="E8" s="49"/>
    </row>
    <row r="9" spans="1:5" s="5" customFormat="1" ht="18.75" customHeight="1">
      <c r="A9" s="14" t="s">
        <v>12</v>
      </c>
      <c r="B9" s="14" t="s">
        <v>43</v>
      </c>
      <c r="C9" s="14"/>
      <c r="D9" s="14"/>
      <c r="E9" s="14"/>
    </row>
    <row r="10" spans="1:5" s="10" customFormat="1" ht="18.75" customHeight="1">
      <c r="A10" s="9"/>
      <c r="B10" s="252" t="s">
        <v>197</v>
      </c>
      <c r="C10" s="253"/>
      <c r="D10" s="253"/>
      <c r="E10" s="254"/>
    </row>
    <row r="11" spans="1:5" s="10" customFormat="1" ht="18.75" customHeight="1">
      <c r="A11" s="9"/>
      <c r="B11" s="255"/>
      <c r="C11" s="256"/>
      <c r="D11" s="256"/>
      <c r="E11" s="257"/>
    </row>
    <row r="12" spans="1:5" s="10" customFormat="1" ht="18.75" customHeight="1">
      <c r="A12" s="9"/>
      <c r="B12" s="255"/>
      <c r="C12" s="256"/>
      <c r="D12" s="256"/>
      <c r="E12" s="257"/>
    </row>
    <row r="13" spans="1:5" s="10" customFormat="1" ht="18.75" customHeight="1">
      <c r="A13" s="9"/>
      <c r="B13" s="255"/>
      <c r="C13" s="256"/>
      <c r="D13" s="256"/>
      <c r="E13" s="257"/>
    </row>
    <row r="14" spans="1:5" s="10" customFormat="1" ht="18.75" customHeight="1">
      <c r="A14" s="9"/>
      <c r="B14" s="258"/>
      <c r="C14" s="259"/>
      <c r="D14" s="259"/>
      <c r="E14" s="260"/>
    </row>
    <row r="15" spans="1:5" s="10" customFormat="1" ht="7.5" customHeight="1">
      <c r="A15" s="9"/>
      <c r="B15" s="9"/>
      <c r="C15" s="9"/>
      <c r="D15" s="9"/>
      <c r="E15" s="9"/>
    </row>
    <row r="16" spans="1:5" s="5" customFormat="1" ht="18.75" customHeight="1">
      <c r="A16" s="11" t="s">
        <v>13</v>
      </c>
      <c r="B16" s="11" t="s">
        <v>18</v>
      </c>
      <c r="C16" s="11"/>
      <c r="D16" s="11"/>
      <c r="E16" s="11"/>
    </row>
    <row r="17" spans="1:6" s="10" customFormat="1" ht="18.75" customHeight="1">
      <c r="A17" s="9"/>
      <c r="B17" s="264" t="s">
        <v>198</v>
      </c>
      <c r="C17" s="265"/>
      <c r="D17" s="265"/>
      <c r="E17" s="266"/>
      <c r="F17" s="86"/>
    </row>
    <row r="18" spans="1:6" s="10" customFormat="1" ht="18.75" customHeight="1">
      <c r="A18" s="9"/>
      <c r="B18" s="267"/>
      <c r="C18" s="268"/>
      <c r="D18" s="268"/>
      <c r="E18" s="269"/>
    </row>
    <row r="19" spans="1:6" s="10" customFormat="1" ht="18.75" customHeight="1">
      <c r="A19" s="9"/>
      <c r="B19" s="267"/>
      <c r="C19" s="268"/>
      <c r="D19" s="268"/>
      <c r="E19" s="269"/>
    </row>
    <row r="20" spans="1:6" s="10" customFormat="1" ht="18.75" customHeight="1">
      <c r="A20" s="9"/>
      <c r="B20" s="267"/>
      <c r="C20" s="268"/>
      <c r="D20" s="268"/>
      <c r="E20" s="269"/>
    </row>
    <row r="21" spans="1:6" s="10" customFormat="1" ht="18.75" customHeight="1">
      <c r="A21" s="9"/>
      <c r="B21" s="267"/>
      <c r="C21" s="268"/>
      <c r="D21" s="268"/>
      <c r="E21" s="269"/>
    </row>
    <row r="22" spans="1:6" s="10" customFormat="1" ht="18.75" customHeight="1">
      <c r="A22" s="9"/>
      <c r="B22" s="267"/>
      <c r="C22" s="268"/>
      <c r="D22" s="268"/>
      <c r="E22" s="269"/>
    </row>
    <row r="23" spans="1:6" s="10" customFormat="1" ht="18.75" customHeight="1">
      <c r="A23" s="9"/>
      <c r="B23" s="267"/>
      <c r="C23" s="268"/>
      <c r="D23" s="268"/>
      <c r="E23" s="269"/>
    </row>
    <row r="24" spans="1:6" s="10" customFormat="1" ht="18.75" customHeight="1">
      <c r="A24" s="9"/>
      <c r="B24" s="267"/>
      <c r="C24" s="268"/>
      <c r="D24" s="268"/>
      <c r="E24" s="269"/>
    </row>
    <row r="25" spans="1:6" s="10" customFormat="1" ht="18.75" customHeight="1">
      <c r="A25" s="9"/>
      <c r="B25" s="267"/>
      <c r="C25" s="268"/>
      <c r="D25" s="268"/>
      <c r="E25" s="269"/>
    </row>
    <row r="26" spans="1:6" s="10" customFormat="1" ht="18.75" customHeight="1">
      <c r="A26" s="9"/>
      <c r="B26" s="267"/>
      <c r="C26" s="268"/>
      <c r="D26" s="268"/>
      <c r="E26" s="269"/>
    </row>
    <row r="27" spans="1:6" s="10" customFormat="1" ht="18.75" customHeight="1">
      <c r="A27" s="9"/>
      <c r="B27" s="267"/>
      <c r="C27" s="268"/>
      <c r="D27" s="268"/>
      <c r="E27" s="269"/>
    </row>
    <row r="28" spans="1:6" s="10" customFormat="1" ht="18.75" customHeight="1">
      <c r="A28" s="9"/>
      <c r="B28" s="270"/>
      <c r="C28" s="271"/>
      <c r="D28" s="271"/>
      <c r="E28" s="272"/>
    </row>
    <row r="29" spans="1:6" ht="7.5" customHeight="1">
      <c r="A29" s="8"/>
      <c r="B29" s="8"/>
      <c r="C29" s="8"/>
      <c r="D29" s="8"/>
      <c r="E29" s="8"/>
    </row>
    <row r="30" spans="1:6" s="5" customFormat="1" ht="18.75" customHeight="1">
      <c r="A30" s="14" t="s">
        <v>16</v>
      </c>
      <c r="B30" s="14" t="s">
        <v>28</v>
      </c>
      <c r="C30" s="14"/>
      <c r="D30" s="14"/>
      <c r="E30" s="14"/>
    </row>
    <row r="31" spans="1:6" s="5" customFormat="1" ht="18.75" customHeight="1">
      <c r="A31" s="14"/>
      <c r="B31" s="252" t="s">
        <v>209</v>
      </c>
      <c r="C31" s="253"/>
      <c r="D31" s="253"/>
      <c r="E31" s="254"/>
    </row>
    <row r="32" spans="1:6" s="5" customFormat="1" ht="18.75" customHeight="1">
      <c r="A32" s="14"/>
      <c r="B32" s="255"/>
      <c r="C32" s="256"/>
      <c r="D32" s="256"/>
      <c r="E32" s="257"/>
    </row>
    <row r="33" spans="1:5" s="5" customFormat="1" ht="18.75" customHeight="1">
      <c r="A33" s="14"/>
      <c r="B33" s="255"/>
      <c r="C33" s="256"/>
      <c r="D33" s="256"/>
      <c r="E33" s="257"/>
    </row>
    <row r="34" spans="1:5" s="5" customFormat="1" ht="18.75" customHeight="1">
      <c r="A34" s="14"/>
      <c r="B34" s="255"/>
      <c r="C34" s="256"/>
      <c r="D34" s="256"/>
      <c r="E34" s="257"/>
    </row>
    <row r="35" spans="1:5" s="5" customFormat="1" ht="18.75" customHeight="1">
      <c r="A35" s="14"/>
      <c r="B35" s="255"/>
      <c r="C35" s="256"/>
      <c r="D35" s="256"/>
      <c r="E35" s="257"/>
    </row>
    <row r="36" spans="1:5" s="5" customFormat="1" ht="18.75" customHeight="1">
      <c r="A36" s="14"/>
      <c r="B36" s="255"/>
      <c r="C36" s="256"/>
      <c r="D36" s="256"/>
      <c r="E36" s="257"/>
    </row>
    <row r="37" spans="1:5" s="5" customFormat="1" ht="18.75" customHeight="1">
      <c r="A37" s="14"/>
      <c r="B37" s="255"/>
      <c r="C37" s="256"/>
      <c r="D37" s="256"/>
      <c r="E37" s="257"/>
    </row>
    <row r="38" spans="1:5" s="5" customFormat="1" ht="18.75" customHeight="1">
      <c r="A38" s="14"/>
      <c r="B38" s="255"/>
      <c r="C38" s="256"/>
      <c r="D38" s="256"/>
      <c r="E38" s="257"/>
    </row>
    <row r="39" spans="1:5" s="5" customFormat="1" ht="18.75" customHeight="1">
      <c r="A39" s="14"/>
      <c r="B39" s="255"/>
      <c r="C39" s="256"/>
      <c r="D39" s="256"/>
      <c r="E39" s="257"/>
    </row>
    <row r="40" spans="1:5" s="5" customFormat="1" ht="18.75" customHeight="1">
      <c r="A40" s="14"/>
      <c r="B40" s="255"/>
      <c r="C40" s="256"/>
      <c r="D40" s="256"/>
      <c r="E40" s="257"/>
    </row>
    <row r="41" spans="1:5" s="5" customFormat="1" ht="18.75" customHeight="1">
      <c r="A41" s="14"/>
      <c r="B41" s="255"/>
      <c r="C41" s="256"/>
      <c r="D41" s="256"/>
      <c r="E41" s="257"/>
    </row>
    <row r="42" spans="1:5" s="5" customFormat="1" ht="18.75" customHeight="1">
      <c r="A42" s="14"/>
      <c r="B42" s="255"/>
      <c r="C42" s="256"/>
      <c r="D42" s="256"/>
      <c r="E42" s="257"/>
    </row>
    <row r="43" spans="1:5" s="5" customFormat="1" ht="18.75" customHeight="1">
      <c r="A43" s="14"/>
      <c r="B43" s="255"/>
      <c r="C43" s="256"/>
      <c r="D43" s="256"/>
      <c r="E43" s="257"/>
    </row>
    <row r="44" spans="1:5" s="5" customFormat="1" ht="18.75" customHeight="1">
      <c r="A44" s="14"/>
      <c r="B44" s="255"/>
      <c r="C44" s="256"/>
      <c r="D44" s="256"/>
      <c r="E44" s="257"/>
    </row>
    <row r="45" spans="1:5" ht="18.75" customHeight="1">
      <c r="A45" s="8"/>
      <c r="B45" s="255"/>
      <c r="C45" s="256"/>
      <c r="D45" s="256"/>
      <c r="E45" s="257"/>
    </row>
    <row r="46" spans="1:5" ht="18.75" customHeight="1">
      <c r="A46" s="8"/>
      <c r="B46" s="258"/>
      <c r="C46" s="259"/>
      <c r="D46" s="259"/>
      <c r="E46" s="260"/>
    </row>
    <row r="47" spans="1:5" s="5" customFormat="1" ht="18.75" customHeight="1">
      <c r="A47" s="7" t="s">
        <v>14</v>
      </c>
      <c r="B47" s="14" t="s">
        <v>78</v>
      </c>
      <c r="C47" s="7"/>
      <c r="D47" s="7"/>
      <c r="E47" s="7"/>
    </row>
    <row r="48" spans="1:5" ht="18.75" customHeight="1">
      <c r="A48" s="8"/>
      <c r="B48" s="252" t="s">
        <v>264</v>
      </c>
      <c r="C48" s="273"/>
      <c r="D48" s="273"/>
      <c r="E48" s="274"/>
    </row>
    <row r="49" spans="1:5" ht="18.75" customHeight="1">
      <c r="A49" s="8"/>
      <c r="B49" s="275"/>
      <c r="C49" s="276"/>
      <c r="D49" s="276"/>
      <c r="E49" s="277"/>
    </row>
    <row r="50" spans="1:5" ht="18.75" customHeight="1">
      <c r="A50" s="8"/>
      <c r="B50" s="275"/>
      <c r="C50" s="276"/>
      <c r="D50" s="276"/>
      <c r="E50" s="277"/>
    </row>
    <row r="51" spans="1:5" ht="18.75" customHeight="1">
      <c r="A51" s="8"/>
      <c r="B51" s="275"/>
      <c r="C51" s="276"/>
      <c r="D51" s="276"/>
      <c r="E51" s="277"/>
    </row>
    <row r="52" spans="1:5" ht="18.75" customHeight="1">
      <c r="A52" s="8"/>
      <c r="B52" s="275"/>
      <c r="C52" s="276"/>
      <c r="D52" s="276"/>
      <c r="E52" s="277"/>
    </row>
    <row r="53" spans="1:5" ht="18.75" customHeight="1">
      <c r="A53" s="8"/>
      <c r="B53" s="275"/>
      <c r="C53" s="276"/>
      <c r="D53" s="276"/>
      <c r="E53" s="277"/>
    </row>
    <row r="54" spans="1:5" ht="18.75" customHeight="1">
      <c r="A54" s="8"/>
      <c r="B54" s="275"/>
      <c r="C54" s="276"/>
      <c r="D54" s="276"/>
      <c r="E54" s="277"/>
    </row>
    <row r="55" spans="1:5" ht="18.75" customHeight="1">
      <c r="A55" s="8"/>
      <c r="B55" s="275"/>
      <c r="C55" s="276"/>
      <c r="D55" s="276"/>
      <c r="E55" s="277"/>
    </row>
    <row r="56" spans="1:5" ht="18.75" customHeight="1">
      <c r="A56" s="8"/>
      <c r="B56" s="275"/>
      <c r="C56" s="276"/>
      <c r="D56" s="276"/>
      <c r="E56" s="277"/>
    </row>
    <row r="57" spans="1:5" ht="18.75" customHeight="1">
      <c r="A57" s="8"/>
      <c r="B57" s="275"/>
      <c r="C57" s="276"/>
      <c r="D57" s="276"/>
      <c r="E57" s="277"/>
    </row>
    <row r="58" spans="1:5" ht="18.75" customHeight="1">
      <c r="A58" s="8"/>
      <c r="B58" s="275"/>
      <c r="C58" s="276"/>
      <c r="D58" s="276"/>
      <c r="E58" s="277"/>
    </row>
    <row r="59" spans="1:5" ht="18.75" customHeight="1">
      <c r="A59" s="8"/>
      <c r="B59" s="275"/>
      <c r="C59" s="276"/>
      <c r="D59" s="276"/>
      <c r="E59" s="277"/>
    </row>
    <row r="60" spans="1:5" ht="18.75" customHeight="1">
      <c r="A60" s="8"/>
      <c r="B60" s="275"/>
      <c r="C60" s="276"/>
      <c r="D60" s="276"/>
      <c r="E60" s="277"/>
    </row>
    <row r="61" spans="1:5" ht="18.75" customHeight="1">
      <c r="A61" s="8"/>
      <c r="B61" s="275"/>
      <c r="C61" s="276"/>
      <c r="D61" s="276"/>
      <c r="E61" s="277"/>
    </row>
    <row r="62" spans="1:5" ht="18.75" customHeight="1">
      <c r="A62" s="8"/>
      <c r="B62" s="275"/>
      <c r="C62" s="276"/>
      <c r="D62" s="276"/>
      <c r="E62" s="277"/>
    </row>
    <row r="63" spans="1:5" ht="18.75" customHeight="1">
      <c r="A63" s="8"/>
      <c r="B63" s="275"/>
      <c r="C63" s="276"/>
      <c r="D63" s="276"/>
      <c r="E63" s="277"/>
    </row>
    <row r="64" spans="1:5" ht="18.75" customHeight="1">
      <c r="A64" s="8"/>
      <c r="B64" s="275"/>
      <c r="C64" s="276"/>
      <c r="D64" s="276"/>
      <c r="E64" s="277"/>
    </row>
    <row r="65" spans="1:5" ht="18.75" customHeight="1">
      <c r="A65" s="8"/>
      <c r="B65" s="275"/>
      <c r="C65" s="276"/>
      <c r="D65" s="276"/>
      <c r="E65" s="277"/>
    </row>
    <row r="66" spans="1:5" ht="18.75" customHeight="1">
      <c r="A66" s="8"/>
      <c r="B66" s="275"/>
      <c r="C66" s="276"/>
      <c r="D66" s="276"/>
      <c r="E66" s="277"/>
    </row>
    <row r="67" spans="1:5" ht="18.75" customHeight="1">
      <c r="A67" s="8"/>
      <c r="B67" s="275"/>
      <c r="C67" s="276"/>
      <c r="D67" s="276"/>
      <c r="E67" s="277"/>
    </row>
    <row r="68" spans="1:5" ht="18.75" customHeight="1">
      <c r="A68" s="8"/>
      <c r="B68" s="278"/>
      <c r="C68" s="279"/>
      <c r="D68" s="279"/>
      <c r="E68" s="280"/>
    </row>
    <row r="69" spans="1:5" ht="7.5" customHeight="1">
      <c r="A69" s="8"/>
      <c r="B69" s="15"/>
      <c r="C69" s="15"/>
      <c r="D69" s="15"/>
      <c r="E69" s="15"/>
    </row>
    <row r="70" spans="1:5" s="5" customFormat="1" ht="18.75" customHeight="1">
      <c r="A70" s="14" t="s">
        <v>17</v>
      </c>
      <c r="B70" s="100" t="s">
        <v>87</v>
      </c>
      <c r="C70" s="100"/>
      <c r="D70" s="100"/>
      <c r="E70" s="100"/>
    </row>
    <row r="71" spans="1:5" s="5" customFormat="1" ht="18.75" customHeight="1">
      <c r="A71" s="14"/>
      <c r="B71" s="252" t="s">
        <v>200</v>
      </c>
      <c r="C71" s="253"/>
      <c r="D71" s="253"/>
      <c r="E71" s="254"/>
    </row>
    <row r="72" spans="1:5" s="5" customFormat="1" ht="18.75" customHeight="1">
      <c r="A72" s="14"/>
      <c r="B72" s="255"/>
      <c r="C72" s="256"/>
      <c r="D72" s="256"/>
      <c r="E72" s="257"/>
    </row>
    <row r="73" spans="1:5" s="5" customFormat="1" ht="18.75" customHeight="1">
      <c r="A73" s="14"/>
      <c r="B73" s="255"/>
      <c r="C73" s="256"/>
      <c r="D73" s="256"/>
      <c r="E73" s="257"/>
    </row>
    <row r="74" spans="1:5" s="5" customFormat="1" ht="18.75" customHeight="1">
      <c r="A74" s="14"/>
      <c r="B74" s="255"/>
      <c r="C74" s="256"/>
      <c r="D74" s="256"/>
      <c r="E74" s="257"/>
    </row>
    <row r="75" spans="1:5" s="5" customFormat="1" ht="18.75" customHeight="1">
      <c r="A75" s="14"/>
      <c r="B75" s="255"/>
      <c r="C75" s="256"/>
      <c r="D75" s="256"/>
      <c r="E75" s="257"/>
    </row>
    <row r="76" spans="1:5" s="5" customFormat="1" ht="18.75" customHeight="1">
      <c r="A76" s="14"/>
      <c r="B76" s="255"/>
      <c r="C76" s="256"/>
      <c r="D76" s="256"/>
      <c r="E76" s="257"/>
    </row>
    <row r="77" spans="1:5" s="5" customFormat="1" ht="18.75" customHeight="1">
      <c r="A77" s="14"/>
      <c r="B77" s="255"/>
      <c r="C77" s="256"/>
      <c r="D77" s="256"/>
      <c r="E77" s="257"/>
    </row>
    <row r="78" spans="1:5" s="5" customFormat="1" ht="18.75" customHeight="1">
      <c r="A78" s="14"/>
      <c r="B78" s="255"/>
      <c r="C78" s="256"/>
      <c r="D78" s="256"/>
      <c r="E78" s="257"/>
    </row>
    <row r="79" spans="1:5" s="5" customFormat="1" ht="18.75" customHeight="1">
      <c r="A79" s="14"/>
      <c r="B79" s="255"/>
      <c r="C79" s="256"/>
      <c r="D79" s="256"/>
      <c r="E79" s="257"/>
    </row>
    <row r="80" spans="1:5" s="5" customFormat="1" ht="18.75" customHeight="1">
      <c r="A80" s="14"/>
      <c r="B80" s="255"/>
      <c r="C80" s="256"/>
      <c r="D80" s="256"/>
      <c r="E80" s="257"/>
    </row>
    <row r="81" spans="1:5" s="5" customFormat="1" ht="18.75" customHeight="1">
      <c r="A81" s="14"/>
      <c r="B81" s="255"/>
      <c r="C81" s="256"/>
      <c r="D81" s="256"/>
      <c r="E81" s="257"/>
    </row>
    <row r="82" spans="1:5" s="5" customFormat="1" ht="18.75" customHeight="1">
      <c r="A82" s="14"/>
      <c r="B82" s="255"/>
      <c r="C82" s="256"/>
      <c r="D82" s="256"/>
      <c r="E82" s="257"/>
    </row>
    <row r="83" spans="1:5" s="5" customFormat="1" ht="18.75" customHeight="1">
      <c r="A83" s="14"/>
      <c r="B83" s="255"/>
      <c r="C83" s="256"/>
      <c r="D83" s="256"/>
      <c r="E83" s="257"/>
    </row>
    <row r="84" spans="1:5" s="5" customFormat="1" ht="18.75" customHeight="1">
      <c r="A84" s="14"/>
      <c r="B84" s="255"/>
      <c r="C84" s="256"/>
      <c r="D84" s="256"/>
      <c r="E84" s="257"/>
    </row>
    <row r="85" spans="1:5" s="5" customFormat="1" ht="18.75" customHeight="1">
      <c r="A85" s="14"/>
      <c r="B85" s="255"/>
      <c r="C85" s="256"/>
      <c r="D85" s="256"/>
      <c r="E85" s="257"/>
    </row>
    <row r="86" spans="1:5" s="5" customFormat="1" ht="18.75" customHeight="1">
      <c r="A86" s="14"/>
      <c r="B86" s="255"/>
      <c r="C86" s="256"/>
      <c r="D86" s="256"/>
      <c r="E86" s="257"/>
    </row>
    <row r="87" spans="1:5" s="5" customFormat="1" ht="18.75" customHeight="1">
      <c r="A87" s="14"/>
      <c r="B87" s="255"/>
      <c r="C87" s="256"/>
      <c r="D87" s="256"/>
      <c r="E87" s="257"/>
    </row>
    <row r="88" spans="1:5" ht="18.75" customHeight="1">
      <c r="A88" s="8"/>
      <c r="B88" s="255"/>
      <c r="C88" s="256"/>
      <c r="D88" s="256"/>
      <c r="E88" s="257"/>
    </row>
    <row r="89" spans="1:5" ht="18.75" customHeight="1">
      <c r="A89" s="8"/>
      <c r="B89" s="258"/>
      <c r="C89" s="259"/>
      <c r="D89" s="259"/>
      <c r="E89" s="260"/>
    </row>
    <row r="90" spans="1:5" ht="7.5" customHeight="1">
      <c r="A90" s="8"/>
      <c r="B90" s="15"/>
      <c r="C90" s="15"/>
      <c r="D90" s="15"/>
      <c r="E90" s="15"/>
    </row>
    <row r="91" spans="1:5" s="5" customFormat="1" ht="18.75" customHeight="1">
      <c r="A91" s="14" t="s">
        <v>15</v>
      </c>
      <c r="B91" s="100" t="s">
        <v>31</v>
      </c>
      <c r="C91" s="100"/>
      <c r="D91" s="100"/>
      <c r="E91" s="100"/>
    </row>
    <row r="92" spans="1:5" s="5" customFormat="1" ht="18.75" customHeight="1">
      <c r="A92" s="14"/>
      <c r="B92" s="252" t="s">
        <v>201</v>
      </c>
      <c r="C92" s="253"/>
      <c r="D92" s="253"/>
      <c r="E92" s="254"/>
    </row>
    <row r="93" spans="1:5" s="5" customFormat="1" ht="18.75" customHeight="1">
      <c r="A93" s="14"/>
      <c r="B93" s="255"/>
      <c r="C93" s="256"/>
      <c r="D93" s="256"/>
      <c r="E93" s="257"/>
    </row>
    <row r="94" spans="1:5" s="5" customFormat="1" ht="18.75" customHeight="1">
      <c r="A94" s="14"/>
      <c r="B94" s="255"/>
      <c r="C94" s="256"/>
      <c r="D94" s="256"/>
      <c r="E94" s="257"/>
    </row>
    <row r="95" spans="1:5" s="5" customFormat="1" ht="18.75" customHeight="1">
      <c r="A95" s="14"/>
      <c r="B95" s="255"/>
      <c r="C95" s="256"/>
      <c r="D95" s="256"/>
      <c r="E95" s="257"/>
    </row>
    <row r="96" spans="1:5" s="5" customFormat="1" ht="18.75" customHeight="1">
      <c r="A96" s="14"/>
      <c r="B96" s="255"/>
      <c r="C96" s="256"/>
      <c r="D96" s="256"/>
      <c r="E96" s="257"/>
    </row>
    <row r="97" spans="1:5" s="5" customFormat="1" ht="18.75" customHeight="1">
      <c r="A97" s="14"/>
      <c r="B97" s="255"/>
      <c r="C97" s="256"/>
      <c r="D97" s="256"/>
      <c r="E97" s="257"/>
    </row>
    <row r="98" spans="1:5" s="5" customFormat="1" ht="18.75" customHeight="1">
      <c r="A98" s="14"/>
      <c r="B98" s="255"/>
      <c r="C98" s="256"/>
      <c r="D98" s="256"/>
      <c r="E98" s="257"/>
    </row>
    <row r="99" spans="1:5" s="5" customFormat="1" ht="18.75" customHeight="1">
      <c r="A99" s="14"/>
      <c r="B99" s="255"/>
      <c r="C99" s="256"/>
      <c r="D99" s="256"/>
      <c r="E99" s="257"/>
    </row>
    <row r="100" spans="1:5" s="5" customFormat="1" ht="18.75" customHeight="1">
      <c r="A100" s="14"/>
      <c r="B100" s="255"/>
      <c r="C100" s="256"/>
      <c r="D100" s="256"/>
      <c r="E100" s="257"/>
    </row>
    <row r="101" spans="1:5" s="5" customFormat="1" ht="18.75" customHeight="1">
      <c r="A101" s="14"/>
      <c r="B101" s="255"/>
      <c r="C101" s="256"/>
      <c r="D101" s="256"/>
      <c r="E101" s="257"/>
    </row>
    <row r="102" spans="1:5" s="5" customFormat="1" ht="18.75" customHeight="1">
      <c r="A102" s="14"/>
      <c r="B102" s="255"/>
      <c r="C102" s="256"/>
      <c r="D102" s="256"/>
      <c r="E102" s="257"/>
    </row>
    <row r="103" spans="1:5" s="5" customFormat="1" ht="18.75" customHeight="1">
      <c r="A103" s="14"/>
      <c r="B103" s="255"/>
      <c r="C103" s="256"/>
      <c r="D103" s="256"/>
      <c r="E103" s="257"/>
    </row>
    <row r="104" spans="1:5" s="5" customFormat="1" ht="18.75" customHeight="1">
      <c r="A104" s="14"/>
      <c r="B104" s="255"/>
      <c r="C104" s="256"/>
      <c r="D104" s="256"/>
      <c r="E104" s="257"/>
    </row>
    <row r="105" spans="1:5" s="5" customFormat="1" ht="18.75" customHeight="1">
      <c r="A105" s="14"/>
      <c r="B105" s="255"/>
      <c r="C105" s="256"/>
      <c r="D105" s="256"/>
      <c r="E105" s="257"/>
    </row>
    <row r="106" spans="1:5" s="5" customFormat="1" ht="18.75" customHeight="1">
      <c r="A106" s="14"/>
      <c r="B106" s="255"/>
      <c r="C106" s="256"/>
      <c r="D106" s="256"/>
      <c r="E106" s="257"/>
    </row>
    <row r="107" spans="1:5" s="5" customFormat="1" ht="18.75" customHeight="1">
      <c r="A107" s="14"/>
      <c r="B107" s="255"/>
      <c r="C107" s="256"/>
      <c r="D107" s="256"/>
      <c r="E107" s="257"/>
    </row>
    <row r="108" spans="1:5" s="5" customFormat="1" ht="18.75" customHeight="1">
      <c r="A108" s="14"/>
      <c r="B108" s="255"/>
      <c r="C108" s="256"/>
      <c r="D108" s="256"/>
      <c r="E108" s="257"/>
    </row>
    <row r="109" spans="1:5" s="5" customFormat="1" ht="18.75" customHeight="1">
      <c r="A109" s="14"/>
      <c r="B109" s="255"/>
      <c r="C109" s="256"/>
      <c r="D109" s="256"/>
      <c r="E109" s="257"/>
    </row>
    <row r="110" spans="1:5" ht="18.75" customHeight="1">
      <c r="A110" s="8"/>
      <c r="B110" s="255"/>
      <c r="C110" s="256"/>
      <c r="D110" s="256"/>
      <c r="E110" s="257"/>
    </row>
    <row r="111" spans="1:5" ht="18.75" customHeight="1">
      <c r="A111" s="8"/>
      <c r="B111" s="258"/>
      <c r="C111" s="259"/>
      <c r="D111" s="259"/>
      <c r="E111" s="260"/>
    </row>
    <row r="112" spans="1:5" ht="7.5" customHeight="1">
      <c r="A112" s="8"/>
      <c r="B112" s="15"/>
      <c r="C112" s="15"/>
      <c r="D112" s="15"/>
      <c r="E112" s="15"/>
    </row>
    <row r="113" spans="1:5" s="5" customFormat="1" ht="18.75" customHeight="1">
      <c r="A113" s="14" t="s">
        <v>57</v>
      </c>
      <c r="B113" s="261" t="s">
        <v>121</v>
      </c>
      <c r="C113" s="261"/>
      <c r="D113" s="261"/>
      <c r="E113" s="261"/>
    </row>
    <row r="114" spans="1:5" ht="18.75" customHeight="1">
      <c r="A114" s="8"/>
      <c r="B114" s="252" t="s">
        <v>202</v>
      </c>
      <c r="C114" s="253"/>
      <c r="D114" s="253"/>
      <c r="E114" s="254"/>
    </row>
    <row r="115" spans="1:5" ht="18.75" customHeight="1">
      <c r="A115" s="8"/>
      <c r="B115" s="255"/>
      <c r="C115" s="256"/>
      <c r="D115" s="256"/>
      <c r="E115" s="257"/>
    </row>
    <row r="116" spans="1:5" ht="18.75" customHeight="1">
      <c r="A116" s="8"/>
      <c r="B116" s="255"/>
      <c r="C116" s="256"/>
      <c r="D116" s="256"/>
      <c r="E116" s="257"/>
    </row>
    <row r="117" spans="1:5" ht="18.75" customHeight="1">
      <c r="A117" s="8"/>
      <c r="B117" s="255"/>
      <c r="C117" s="256"/>
      <c r="D117" s="256"/>
      <c r="E117" s="257"/>
    </row>
    <row r="118" spans="1:5" ht="18.75" customHeight="1">
      <c r="A118" s="8"/>
      <c r="B118" s="255"/>
      <c r="C118" s="256"/>
      <c r="D118" s="256"/>
      <c r="E118" s="257"/>
    </row>
    <row r="119" spans="1:5" ht="18.75" customHeight="1">
      <c r="A119" s="8"/>
      <c r="B119" s="255"/>
      <c r="C119" s="256"/>
      <c r="D119" s="256"/>
      <c r="E119" s="257"/>
    </row>
    <row r="120" spans="1:5" ht="18.75" customHeight="1">
      <c r="A120" s="8"/>
      <c r="B120" s="255"/>
      <c r="C120" s="256"/>
      <c r="D120" s="256"/>
      <c r="E120" s="257"/>
    </row>
    <row r="121" spans="1:5" ht="18.75" customHeight="1">
      <c r="A121" s="8"/>
      <c r="B121" s="255"/>
      <c r="C121" s="256"/>
      <c r="D121" s="256"/>
      <c r="E121" s="257"/>
    </row>
    <row r="122" spans="1:5" ht="18.75" customHeight="1">
      <c r="A122" s="8"/>
      <c r="B122" s="255"/>
      <c r="C122" s="256"/>
      <c r="D122" s="256"/>
      <c r="E122" s="257"/>
    </row>
    <row r="123" spans="1:5" ht="18.75" customHeight="1">
      <c r="A123" s="8"/>
      <c r="B123" s="255"/>
      <c r="C123" s="256"/>
      <c r="D123" s="256"/>
      <c r="E123" s="257"/>
    </row>
    <row r="124" spans="1:5" ht="18.75" customHeight="1">
      <c r="A124" s="8"/>
      <c r="B124" s="255"/>
      <c r="C124" s="256"/>
      <c r="D124" s="256"/>
      <c r="E124" s="257"/>
    </row>
    <row r="125" spans="1:5" ht="18.75" customHeight="1">
      <c r="A125" s="8"/>
      <c r="B125" s="255"/>
      <c r="C125" s="256"/>
      <c r="D125" s="256"/>
      <c r="E125" s="257"/>
    </row>
    <row r="126" spans="1:5" ht="18.75" customHeight="1">
      <c r="A126" s="8"/>
      <c r="B126" s="255"/>
      <c r="C126" s="256"/>
      <c r="D126" s="256"/>
      <c r="E126" s="257"/>
    </row>
    <row r="127" spans="1:5" ht="18.75" customHeight="1">
      <c r="A127" s="8"/>
      <c r="B127" s="255"/>
      <c r="C127" s="256"/>
      <c r="D127" s="256"/>
      <c r="E127" s="257"/>
    </row>
    <row r="128" spans="1:5" ht="18.75" customHeight="1">
      <c r="A128" s="8"/>
      <c r="B128" s="255"/>
      <c r="C128" s="256"/>
      <c r="D128" s="256"/>
      <c r="E128" s="257"/>
    </row>
    <row r="129" spans="1:5" ht="18.75" customHeight="1">
      <c r="A129" s="8"/>
      <c r="B129" s="255"/>
      <c r="C129" s="256"/>
      <c r="D129" s="256"/>
      <c r="E129" s="257"/>
    </row>
    <row r="130" spans="1:5" ht="18.75" customHeight="1">
      <c r="A130" s="8"/>
      <c r="B130" s="255"/>
      <c r="C130" s="256"/>
      <c r="D130" s="256"/>
      <c r="E130" s="257"/>
    </row>
    <row r="131" spans="1:5" ht="18.75" customHeight="1">
      <c r="A131" s="8"/>
      <c r="B131" s="255"/>
      <c r="C131" s="256"/>
      <c r="D131" s="256"/>
      <c r="E131" s="257"/>
    </row>
    <row r="132" spans="1:5" ht="18.75" customHeight="1">
      <c r="A132" s="8"/>
      <c r="B132" s="255"/>
      <c r="C132" s="256"/>
      <c r="D132" s="256"/>
      <c r="E132" s="257"/>
    </row>
    <row r="133" spans="1:5" ht="18.75" customHeight="1">
      <c r="A133" s="8"/>
      <c r="B133" s="258"/>
      <c r="C133" s="259"/>
      <c r="D133" s="259"/>
      <c r="E133" s="260"/>
    </row>
    <row r="134" spans="1:5" ht="7.5" customHeight="1">
      <c r="A134" s="8"/>
      <c r="B134" s="12"/>
      <c r="C134" s="12"/>
      <c r="D134" s="12"/>
      <c r="E134" s="12"/>
    </row>
    <row r="135" spans="1:5" ht="18.75" customHeight="1">
      <c r="A135" s="8"/>
      <c r="B135" s="8"/>
      <c r="C135" s="8"/>
      <c r="D135" s="8"/>
      <c r="E135" s="8"/>
    </row>
    <row r="136" spans="1:5" ht="18.75" customHeight="1">
      <c r="A136" s="8"/>
      <c r="B136" s="8"/>
      <c r="C136" s="8"/>
      <c r="D136" s="8"/>
      <c r="E136" s="8"/>
    </row>
    <row r="137" spans="1:5" ht="18.75" customHeight="1">
      <c r="A137" s="8"/>
      <c r="B137" s="8"/>
      <c r="C137" s="8"/>
      <c r="D137" s="8"/>
      <c r="E137" s="8"/>
    </row>
    <row r="138" spans="1:5" ht="18.75" customHeight="1">
      <c r="A138" s="8"/>
      <c r="B138" s="8"/>
      <c r="C138" s="8"/>
      <c r="D138" s="8"/>
      <c r="E138" s="8"/>
    </row>
    <row r="139" spans="1:5" ht="18.75" customHeight="1">
      <c r="A139" s="8"/>
      <c r="B139" s="8"/>
      <c r="C139" s="8"/>
      <c r="D139" s="8"/>
      <c r="E139" s="8"/>
    </row>
    <row r="140" spans="1:5" ht="18.75" customHeight="1">
      <c r="A140" s="8"/>
      <c r="B140" s="8"/>
      <c r="C140" s="8"/>
      <c r="D140" s="8"/>
      <c r="E140" s="8"/>
    </row>
    <row r="141" spans="1:5" ht="18.75" customHeight="1">
      <c r="A141" s="8"/>
      <c r="B141" s="8"/>
      <c r="C141" s="8"/>
      <c r="D141" s="8"/>
      <c r="E141" s="8"/>
    </row>
    <row r="142" spans="1:5" ht="18.75" customHeight="1">
      <c r="A142" s="8"/>
      <c r="B142" s="8"/>
      <c r="C142" s="8"/>
      <c r="D142" s="8"/>
      <c r="E142" s="8"/>
    </row>
    <row r="143" spans="1:5" ht="18.75" customHeight="1">
      <c r="A143" s="8"/>
      <c r="B143" s="8"/>
      <c r="C143" s="8"/>
      <c r="D143" s="8"/>
      <c r="E143" s="8"/>
    </row>
    <row r="144" spans="1:5" ht="18.75" customHeight="1">
      <c r="A144" s="8"/>
      <c r="B144" s="8"/>
      <c r="C144" s="8"/>
      <c r="D144" s="8"/>
      <c r="E144" s="8"/>
    </row>
    <row r="145" spans="1:5" ht="18.75" customHeight="1">
      <c r="A145" s="8"/>
      <c r="B145" s="8"/>
      <c r="C145" s="8"/>
      <c r="D145" s="8"/>
      <c r="E145" s="8"/>
    </row>
    <row r="146" spans="1:5" ht="18.75" customHeight="1">
      <c r="A146" s="8"/>
      <c r="B146" s="8"/>
      <c r="C146" s="8"/>
      <c r="D146" s="8"/>
      <c r="E146" s="8"/>
    </row>
    <row r="147" spans="1:5" ht="14.25">
      <c r="A147" s="8"/>
      <c r="B147" s="8"/>
      <c r="C147" s="8"/>
      <c r="D147" s="8"/>
      <c r="E147" s="8"/>
    </row>
    <row r="148" spans="1:5" ht="7.5" customHeight="1">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2"/>
  <hyperlinks>
    <hyperlink ref="B17" r:id="rId1" display="https://www.cf.ocha.ac.jp/ai-ds/j/menu/member/index.html" xr:uid="{731ABDF5-D89C-4C00-8F74-F7EE928E099C}"/>
  </hyperlinks>
  <printOptions horizontalCentered="1"/>
  <pageMargins left="0.78740157480314965" right="0.78740157480314965" top="0.78740157480314965" bottom="0.78740157480314965" header="0.31496062992125984" footer="0.31496062992125984"/>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showZeros="0" topLeftCell="B1" zoomScaleNormal="100" workbookViewId="0">
      <selection activeCell="E17" sqref="E17:J17"/>
    </sheetView>
  </sheetViews>
  <sheetFormatPr defaultColWidth="11.375" defaultRowHeight="22.5" customHeight="1"/>
  <cols>
    <col min="1" max="3" width="2.5" style="1" customWidth="1"/>
    <col min="4" max="4" width="22.5" style="1" customWidth="1"/>
    <col min="5" max="5" width="21.125" style="1" customWidth="1"/>
    <col min="6" max="7" width="7.5" style="1" customWidth="1"/>
    <col min="8" max="8" width="32.5" style="1" customWidth="1"/>
    <col min="9" max="9" width="24.75" style="1" customWidth="1"/>
    <col min="10" max="10" width="6.125" style="1" customWidth="1"/>
    <col min="11" max="11" width="4.125" style="1" customWidth="1"/>
    <col min="12" max="16384" width="11.375" style="1"/>
  </cols>
  <sheetData>
    <row r="1" spans="1:10" ht="18.75" customHeight="1">
      <c r="J1" s="42" t="s">
        <v>9</v>
      </c>
    </row>
    <row r="2" spans="1:10" ht="18.75" customHeight="1">
      <c r="D2" s="42"/>
      <c r="H2" s="42" t="s">
        <v>29</v>
      </c>
      <c r="I2" s="262" t="s">
        <v>184</v>
      </c>
      <c r="J2" s="263"/>
    </row>
    <row r="3" spans="1:10" ht="18.75" customHeight="1">
      <c r="A3" s="165" t="s">
        <v>47</v>
      </c>
      <c r="B3" s="165"/>
      <c r="C3" s="165"/>
      <c r="D3" s="165"/>
      <c r="E3" s="165"/>
      <c r="F3" s="165"/>
      <c r="G3" s="165"/>
      <c r="H3" s="165"/>
      <c r="I3" s="165"/>
      <c r="J3" s="165"/>
    </row>
    <row r="4" spans="1:10" ht="7.5" customHeight="1">
      <c r="B4" s="45"/>
      <c r="C4" s="45"/>
      <c r="D4" s="300"/>
      <c r="E4" s="301"/>
      <c r="F4" s="301"/>
      <c r="G4" s="301"/>
      <c r="H4" s="301"/>
      <c r="I4" s="301"/>
      <c r="J4" s="301"/>
    </row>
    <row r="5" spans="1:10" ht="18.75" customHeight="1">
      <c r="A5" s="1" t="s">
        <v>7</v>
      </c>
      <c r="B5" s="5" t="s">
        <v>45</v>
      </c>
      <c r="C5" s="45"/>
      <c r="D5" s="45"/>
      <c r="E5" s="46"/>
      <c r="F5" s="48"/>
      <c r="G5" s="50"/>
      <c r="H5" s="48"/>
      <c r="I5" s="46"/>
      <c r="J5" s="46"/>
    </row>
    <row r="6" spans="1:10" ht="18.75" customHeight="1">
      <c r="B6" s="302" t="s">
        <v>42</v>
      </c>
      <c r="C6" s="303"/>
      <c r="D6" s="304"/>
      <c r="E6" s="305" t="s">
        <v>44</v>
      </c>
      <c r="F6" s="305"/>
      <c r="G6" s="305"/>
      <c r="H6" s="305"/>
      <c r="I6" s="305"/>
      <c r="J6" s="306"/>
    </row>
    <row r="7" spans="1:10" ht="18.75" customHeight="1">
      <c r="B7" s="6" t="s">
        <v>32</v>
      </c>
      <c r="C7" s="8"/>
      <c r="D7" s="18"/>
      <c r="E7" s="3"/>
      <c r="F7" s="3"/>
      <c r="G7" s="3"/>
      <c r="H7" s="3"/>
      <c r="I7" s="15"/>
      <c r="J7" s="16"/>
    </row>
    <row r="8" spans="1:10" ht="202.5" customHeight="1">
      <c r="B8" s="17"/>
      <c r="C8" s="286" t="s">
        <v>33</v>
      </c>
      <c r="D8" s="287"/>
      <c r="E8" s="299" t="s">
        <v>167</v>
      </c>
      <c r="F8" s="288"/>
      <c r="G8" s="288"/>
      <c r="H8" s="288"/>
      <c r="I8" s="288"/>
      <c r="J8" s="289"/>
    </row>
    <row r="9" spans="1:10" ht="202.5" customHeight="1">
      <c r="B9" s="17"/>
      <c r="C9" s="284" t="s">
        <v>34</v>
      </c>
      <c r="D9" s="285"/>
      <c r="E9" s="299" t="s">
        <v>168</v>
      </c>
      <c r="F9" s="288"/>
      <c r="G9" s="288"/>
      <c r="H9" s="288"/>
      <c r="I9" s="288"/>
      <c r="J9" s="289"/>
    </row>
    <row r="10" spans="1:10" ht="172.5" customHeight="1">
      <c r="B10" s="17"/>
      <c r="C10" s="286" t="s">
        <v>35</v>
      </c>
      <c r="D10" s="287"/>
      <c r="E10" s="299" t="s">
        <v>169</v>
      </c>
      <c r="F10" s="288"/>
      <c r="G10" s="288"/>
      <c r="H10" s="288"/>
      <c r="I10" s="288"/>
      <c r="J10" s="289"/>
    </row>
    <row r="11" spans="1:10" ht="172.5" customHeight="1">
      <c r="B11" s="17"/>
      <c r="C11" s="286" t="s">
        <v>36</v>
      </c>
      <c r="D11" s="287"/>
      <c r="E11" s="299" t="s">
        <v>170</v>
      </c>
      <c r="F11" s="288"/>
      <c r="G11" s="288"/>
      <c r="H11" s="288"/>
      <c r="I11" s="288"/>
      <c r="J11" s="289"/>
    </row>
    <row r="12" spans="1:10" ht="172.5" customHeight="1">
      <c r="B12" s="17"/>
      <c r="C12" s="286" t="s">
        <v>37</v>
      </c>
      <c r="D12" s="287"/>
      <c r="E12" s="299" t="s">
        <v>171</v>
      </c>
      <c r="F12" s="288"/>
      <c r="G12" s="288"/>
      <c r="H12" s="288"/>
      <c r="I12" s="288"/>
      <c r="J12" s="289"/>
    </row>
    <row r="13" spans="1:10" ht="18.75" customHeight="1">
      <c r="B13" s="20" t="s">
        <v>38</v>
      </c>
      <c r="C13" s="47"/>
      <c r="D13" s="19"/>
      <c r="E13" s="98"/>
      <c r="F13" s="98"/>
      <c r="G13" s="98"/>
      <c r="H13" s="98"/>
      <c r="I13" s="98"/>
      <c r="J13" s="99"/>
    </row>
    <row r="14" spans="1:10" ht="255" customHeight="1">
      <c r="B14" s="17"/>
      <c r="C14" s="286" t="s">
        <v>39</v>
      </c>
      <c r="D14" s="287"/>
      <c r="E14" s="288" t="s">
        <v>172</v>
      </c>
      <c r="F14" s="288"/>
      <c r="G14" s="288"/>
      <c r="H14" s="288"/>
      <c r="I14" s="288"/>
      <c r="J14" s="289"/>
    </row>
    <row r="15" spans="1:10" ht="255" customHeight="1">
      <c r="B15" s="17"/>
      <c r="C15" s="290" t="s">
        <v>40</v>
      </c>
      <c r="D15" s="291"/>
      <c r="E15" s="292" t="s">
        <v>173</v>
      </c>
      <c r="F15" s="292"/>
      <c r="G15" s="292"/>
      <c r="H15" s="292"/>
      <c r="I15" s="292"/>
      <c r="J15" s="293"/>
    </row>
    <row r="16" spans="1:10" ht="232.5" customHeight="1">
      <c r="B16" s="294" t="s">
        <v>41</v>
      </c>
      <c r="C16" s="295"/>
      <c r="D16" s="287"/>
      <c r="E16" s="288" t="s">
        <v>265</v>
      </c>
      <c r="F16" s="288"/>
      <c r="G16" s="288"/>
      <c r="H16" s="288"/>
      <c r="I16" s="288"/>
      <c r="J16" s="289"/>
    </row>
    <row r="17" spans="1:11" ht="232.5" customHeight="1">
      <c r="A17" s="54"/>
      <c r="B17" s="281" t="s">
        <v>79</v>
      </c>
      <c r="C17" s="282"/>
      <c r="D17" s="283"/>
      <c r="E17" s="279" t="s">
        <v>174</v>
      </c>
      <c r="F17" s="279"/>
      <c r="G17" s="279"/>
      <c r="H17" s="279"/>
      <c r="I17" s="279"/>
      <c r="J17" s="280"/>
    </row>
    <row r="18" spans="1:11" ht="7.5" customHeight="1">
      <c r="B18" s="45"/>
      <c r="C18" s="45"/>
      <c r="D18" s="45"/>
      <c r="E18" s="46"/>
      <c r="F18" s="48"/>
      <c r="G18" s="50"/>
      <c r="H18" s="48"/>
      <c r="I18" s="46"/>
      <c r="J18" s="46"/>
    </row>
    <row r="19" spans="1:11" ht="18.75" customHeight="1">
      <c r="B19" s="5"/>
      <c r="C19" s="52"/>
      <c r="D19" s="52"/>
      <c r="E19" s="53"/>
      <c r="F19" s="51"/>
      <c r="G19" s="51"/>
      <c r="H19" s="59" t="s">
        <v>104</v>
      </c>
      <c r="I19" s="55"/>
      <c r="J19" s="55"/>
      <c r="K19" s="3"/>
    </row>
    <row r="20" spans="1:11" ht="18.75" customHeight="1">
      <c r="A20" s="3" t="s">
        <v>12</v>
      </c>
      <c r="B20" s="56" t="s">
        <v>46</v>
      </c>
      <c r="C20" s="57"/>
      <c r="D20" s="57"/>
      <c r="E20" s="58"/>
      <c r="F20" s="313" t="s">
        <v>204</v>
      </c>
      <c r="G20" s="51"/>
      <c r="H20" s="296" t="s">
        <v>205</v>
      </c>
      <c r="I20" s="297"/>
      <c r="J20" s="298"/>
    </row>
    <row r="21" spans="1:11" ht="28.5" customHeight="1">
      <c r="B21" s="45"/>
      <c r="C21" s="45"/>
      <c r="D21" s="45"/>
      <c r="E21" s="46"/>
      <c r="F21" s="48"/>
      <c r="G21" s="50"/>
    </row>
    <row r="22" spans="1:11" ht="22.5" customHeight="1">
      <c r="B22" s="45"/>
      <c r="C22" s="45"/>
      <c r="D22" s="45"/>
      <c r="E22" s="46"/>
      <c r="F22" s="48"/>
      <c r="G22" s="50"/>
      <c r="H22" s="48"/>
      <c r="I22" s="46"/>
      <c r="J22" s="46"/>
    </row>
    <row r="23" spans="1:11" ht="22.5" customHeight="1">
      <c r="B23" s="45"/>
      <c r="C23" s="45"/>
      <c r="D23" s="45"/>
      <c r="E23" s="46"/>
      <c r="F23" s="48"/>
      <c r="G23" s="50"/>
      <c r="H23" s="48"/>
      <c r="I23" s="46"/>
      <c r="J23" s="46"/>
    </row>
    <row r="24" spans="1:11" ht="22.5" customHeight="1">
      <c r="B24" s="45"/>
      <c r="C24" s="45"/>
      <c r="D24" s="45"/>
      <c r="E24" s="46"/>
      <c r="F24" s="48"/>
      <c r="G24" s="50"/>
      <c r="H24" s="48"/>
      <c r="I24" s="46"/>
      <c r="J24" s="46"/>
    </row>
    <row r="25" spans="1:11" ht="22.5" customHeight="1">
      <c r="B25" s="45"/>
      <c r="C25" s="45"/>
      <c r="D25" s="45"/>
      <c r="E25" s="46"/>
      <c r="F25" s="48"/>
      <c r="G25" s="50"/>
      <c r="H25" s="48"/>
      <c r="I25" s="46"/>
      <c r="J25" s="46"/>
    </row>
    <row r="26" spans="1:11" ht="22.5" customHeight="1">
      <c r="B26" s="13"/>
      <c r="C26" s="13"/>
      <c r="D26" s="13"/>
      <c r="E26" s="13"/>
      <c r="F26" s="13"/>
      <c r="G26" s="13"/>
      <c r="H26" s="13"/>
      <c r="I26" s="13"/>
      <c r="J26" s="13"/>
    </row>
    <row r="27" spans="1:11" ht="22.5" customHeight="1">
      <c r="B27" s="13"/>
      <c r="C27" s="13"/>
      <c r="D27" s="13"/>
      <c r="E27" s="13"/>
      <c r="F27" s="13"/>
      <c r="G27" s="13"/>
      <c r="H27" s="13"/>
      <c r="I27" s="13"/>
      <c r="J27" s="13"/>
    </row>
    <row r="28" spans="1:11" ht="22.5" customHeight="1">
      <c r="B28" s="13"/>
      <c r="C28" s="13"/>
      <c r="D28" s="13"/>
      <c r="E28" s="13"/>
      <c r="F28" s="13"/>
      <c r="G28" s="13"/>
      <c r="H28" s="13"/>
      <c r="I28" s="13"/>
      <c r="J28" s="13"/>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2"/>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19CDC657-17FE-4F39-92E2-8560F8DF5F75}"/>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'様式１　大学等概要'!Print_Area</vt:lpstr>
      <vt:lpstr>'様式３　履修者等数の実績'!Print_Area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padmin</cp:lastModifiedBy>
  <cp:lastPrinted>2021-07-19T08:27:41Z</cp:lastPrinted>
  <dcterms:created xsi:type="dcterms:W3CDTF">2011-06-14T05:32:50Z</dcterms:created>
  <dcterms:modified xsi:type="dcterms:W3CDTF">2021-07-19T08:45:13Z</dcterms:modified>
</cp:coreProperties>
</file>