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75"/>
  <workbookPr codeName="ThisWorkbook" defaultThemeVersion="124226"/>
  <mc:AlternateContent xmlns:mc="http://schemas.openxmlformats.org/markup-compatibility/2006">
    <mc:Choice Requires="x15">
      <x15ac:absPath xmlns:x15ac="http://schemas.microsoft.com/office/spreadsheetml/2010/11/ac" url="C:\Users\n-hanayama\Documents\shobi\kyomu\IR\数理テータサイエンスAI教育\revised2\"/>
    </mc:Choice>
  </mc:AlternateContent>
  <xr:revisionPtr revIDLastSave="0" documentId="13_ncr:1_{FEE98809-F641-46B1-A7C2-02E79D04587B}" xr6:coauthVersionLast="36" xr6:coauthVersionMax="36" xr10:uidLastSave="{00000000-0000-0000-0000-000000000000}"/>
  <bookViews>
    <workbookView xWindow="0" yWindow="0" windowWidth="19200" windowHeight="8060" tabRatio="885" xr2:uid="{00000000-000D-0000-FFFF-FFFF00000000}"/>
  </bookViews>
  <sheets>
    <sheet name="様式１　大学等概要" sheetId="8" r:id="rId1"/>
    <sheet name="様式２－１　プログラムを構成する授業科目" sheetId="9" r:id="rId2"/>
    <sheet name="様式２－２　プログラムを構成する授業科目" sheetId="37" r:id="rId3"/>
    <sheet name="様式３　履修者等数の実績" sheetId="31" r:id="rId4"/>
    <sheet name="様式4－１　プログラムの授業内容・概要 " sheetId="38" r:id="rId5"/>
    <sheet name="様式4－２　プログラムの授業内容・概要" sheetId="34" r:id="rId6"/>
    <sheet name="様式５　教育の質・履修者数を向上させるための体制・計画" sheetId="35" r:id="rId7"/>
    <sheet name="様式６　自己点検・評価" sheetId="36" r:id="rId8"/>
    <sheet name="様式７　特色ある取組" sheetId="29" r:id="rId9"/>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大学等概要'!$A$1:$N$47</definedName>
    <definedName name="_xlnm.Print_Area" localSheetId="1">'様式２－１　プログラムを構成する授業科目'!$A$1:$I$44</definedName>
    <definedName name="_xlnm.Print_Area" localSheetId="2">'様式２－２　プログラムを構成する授業科目'!$A$1:$I$44</definedName>
    <definedName name="_xlnm.Print_Area" localSheetId="3">'様式３　履修者等数の実績'!$A$1:$R$28</definedName>
    <definedName name="_xlnm.Print_Area" localSheetId="4">'様式4－１　プログラムの授業内容・概要 '!$A$1:$G$144</definedName>
    <definedName name="_xlnm.Print_Area" localSheetId="5">'様式4－２　プログラムの授業内容・概要'!$A$1:$G$144</definedName>
    <definedName name="_xlnm.Print_Area" localSheetId="6">'様式５　教育の質・履修者数を向上させるための体制・計画'!$A$1:$E$133</definedName>
    <definedName name="_xlnm.Print_Area" localSheetId="7">'様式６　自己点検・評価'!$A$1:$J$20</definedName>
    <definedName name="_xlnm.Print_Area" localSheetId="8">'様式７　特色ある取組'!$A$1:$F$130</definedName>
  </definedNames>
  <calcPr calcId="191029"/>
</workbook>
</file>

<file path=xl/calcChain.xml><?xml version="1.0" encoding="utf-8"?>
<calcChain xmlns="http://schemas.openxmlformats.org/spreadsheetml/2006/main">
  <c r="E10" i="31" l="1"/>
  <c r="E9" i="31"/>
  <c r="E8" i="31"/>
  <c r="Q16" i="31" l="1"/>
  <c r="R16" i="31" s="1"/>
  <c r="P28" i="31" l="1"/>
  <c r="O28" i="31"/>
  <c r="N28" i="31"/>
  <c r="M28" i="31"/>
  <c r="L28" i="31"/>
  <c r="K28" i="31"/>
  <c r="J28" i="31"/>
  <c r="I28" i="31"/>
  <c r="H28" i="31"/>
  <c r="G28" i="31"/>
  <c r="F28" i="31"/>
  <c r="E28" i="31"/>
  <c r="D28" i="31"/>
  <c r="Q27" i="31"/>
  <c r="R27" i="31" s="1"/>
  <c r="Q26" i="31"/>
  <c r="R26" i="31" s="1"/>
  <c r="Q25" i="31"/>
  <c r="R25" i="31" s="1"/>
  <c r="Q24" i="31"/>
  <c r="R24" i="31" s="1"/>
  <c r="Q23" i="31"/>
  <c r="R23" i="31" s="1"/>
  <c r="Q22" i="31"/>
  <c r="R22" i="31" s="1"/>
  <c r="Q21" i="31"/>
  <c r="R21" i="31" s="1"/>
  <c r="Q20" i="31"/>
  <c r="R20" i="31" s="1"/>
  <c r="Q19" i="31"/>
  <c r="R19" i="31" s="1"/>
  <c r="Q18" i="31"/>
  <c r="R18" i="31" s="1"/>
  <c r="Q17" i="31"/>
  <c r="R17" i="31" s="1"/>
  <c r="Q15" i="31"/>
  <c r="R15" i="31" s="1"/>
  <c r="Q14" i="31"/>
  <c r="R14" i="31" s="1"/>
  <c r="Q13" i="31"/>
  <c r="R13" i="31" s="1"/>
  <c r="Q12" i="31"/>
  <c r="R12" i="31" s="1"/>
  <c r="Q11" i="31"/>
  <c r="R11" i="31" s="1"/>
  <c r="Q10" i="31"/>
  <c r="R10" i="31" s="1"/>
  <c r="Q9" i="31"/>
  <c r="R9" i="31" s="1"/>
  <c r="Q8" i="31"/>
  <c r="Q28" i="31" l="1"/>
  <c r="R28" i="31" s="1"/>
  <c r="R8" i="31"/>
</calcChain>
</file>

<file path=xl/sharedStrings.xml><?xml version="1.0" encoding="utf-8"?>
<sst xmlns="http://schemas.openxmlformats.org/spreadsheetml/2006/main" count="372" uniqueCount="211">
  <si>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</si>
  <si>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</si>
  <si>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</si>
  <si>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連絡先</t>
    <rPh sb="0" eb="3">
      <t>レンラクサキ</t>
    </rPh>
    <phoneticPr fontId="1"/>
  </si>
  <si>
    <t>電話番号</t>
  </si>
  <si>
    <t>E-mail</t>
  </si>
  <si>
    <t>（常勤）</t>
    <rPh sb="1" eb="3">
      <t>ジョウキン</t>
    </rPh>
    <phoneticPr fontId="1"/>
  </si>
  <si>
    <t>①</t>
    <phoneticPr fontId="1"/>
  </si>
  <si>
    <t>：</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</si>
  <si>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</si>
  <si>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</si>
  <si>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</si>
  <si>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</si>
  <si>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</si>
  <si>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</si>
  <si>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</si>
  <si>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様式７</t>
    <rPh sb="0" eb="2">
      <t>ヨウシキ</t>
    </rPh>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</si>
  <si>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</si>
  <si>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</si>
  <si>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</si>
  <si>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</si>
  <si>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</si>
  <si>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</si>
  <si>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</si>
  <si>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</si>
  <si>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</si>
  <si>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</si>
  <si>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</si>
  <si>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</si>
  <si>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</si>
  <si>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</si>
  <si>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学校名：</t>
    <rPh sb="0" eb="3">
      <t>ガッコウメイ</t>
    </rPh>
    <phoneticPr fontId="1"/>
  </si>
  <si>
    <t>学校名：</t>
    <rPh sb="0" eb="2">
      <t>ガッコウ</t>
    </rPh>
    <rPh sb="2" eb="3">
      <t>メイ</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</si>
  <si>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</si>
  <si>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</si>
  <si>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</si>
  <si>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</si>
  <si>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</si>
  <si>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</si>
  <si>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</si>
  <si>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</si>
  <si>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</si>
  <si>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</si>
  <si>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</si>
  <si>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</si>
  <si>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</si>
  <si>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</si>
  <si>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</si>
  <si>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</si>
  <si>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自己点検・評価体制における意見等の公表の有無</t>
    <rPh sb="17" eb="19">
      <t>コウヒョウ</t>
    </rPh>
    <rPh sb="20" eb="22">
      <t>ウム</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</si>
  <si>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</si>
  <si>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</si>
  <si>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</si>
  <si>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</si>
  <si>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</si>
  <si>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</si>
  <si>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</si>
  <si>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</si>
  <si>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設置形態</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</si>
  <si>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</si>
  <si>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</si>
  <si>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</si>
  <si>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</si>
  <si>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</si>
  <si>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</si>
  <si>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学校名：</t>
    <rPh sb="0" eb="2">
      <t>ガッコウ</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</si>
  <si>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</si>
  <si>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</si>
  <si>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</si>
  <si>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</si>
  <si>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</si>
  <si>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</si>
  <si>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</si>
  <si>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</si>
  <si>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授業に含まれている内容・要素</t>
    <rPh sb="0" eb="2">
      <t>ジュギョウ</t>
    </rPh>
    <rPh sb="3" eb="4">
      <t>フク</t>
    </rPh>
    <rPh sb="9" eb="11">
      <t>ナイヨウ</t>
    </rPh>
    <rPh sb="12" eb="14">
      <t>ヨウソ</t>
    </rPh>
    <phoneticPr fontId="1"/>
  </si>
  <si>
    <t>学校名：</t>
    <rPh sb="0" eb="2">
      <t>ガッコウ</t>
    </rPh>
    <rPh sb="2" eb="3">
      <t>メイ</t>
    </rPh>
    <phoneticPr fontId="1"/>
  </si>
  <si>
    <t>統計及び数理基礎</t>
    <rPh sb="0" eb="2">
      <t>トウケイ</t>
    </rPh>
    <rPh sb="2" eb="3">
      <t>オヨ</t>
    </rPh>
    <rPh sb="4" eb="6">
      <t>スウリ</t>
    </rPh>
    <rPh sb="6" eb="8">
      <t>キソ</t>
    </rPh>
    <phoneticPr fontId="1"/>
  </si>
  <si>
    <t>アルゴリズム基礎</t>
    <rPh sb="6" eb="8">
      <t>キソ</t>
    </rPh>
    <phoneticPr fontId="1"/>
  </si>
  <si>
    <t>データ構造とプログラミング基礎</t>
    <rPh sb="3" eb="5">
      <t>コウゾウ</t>
    </rPh>
    <rPh sb="13" eb="15">
      <t>キソ</t>
    </rPh>
    <phoneticPr fontId="1"/>
  </si>
  <si>
    <t>時系列データ解析</t>
    <rPh sb="0" eb="3">
      <t>ジケイレツ</t>
    </rPh>
    <rPh sb="6" eb="8">
      <t>カイセキ</t>
    </rPh>
    <phoneticPr fontId="1"/>
  </si>
  <si>
    <t>テキスト解析</t>
    <rPh sb="4" eb="6">
      <t>カイセキ</t>
    </rPh>
    <phoneticPr fontId="1"/>
  </si>
  <si>
    <t>画像解析</t>
    <rPh sb="0" eb="2">
      <t>ガゾウ</t>
    </rPh>
    <rPh sb="2" eb="4">
      <t>カイセキ</t>
    </rPh>
    <phoneticPr fontId="1"/>
  </si>
  <si>
    <t>データハンドリング</t>
    <phoneticPr fontId="1"/>
  </si>
  <si>
    <t>データ活用実践（教師あり学習）</t>
    <rPh sb="3" eb="5">
      <t>カツヨウ</t>
    </rPh>
    <rPh sb="5" eb="7">
      <t>ジッセン</t>
    </rPh>
    <rPh sb="8" eb="10">
      <t>キョウシ</t>
    </rPh>
    <rPh sb="12" eb="14">
      <t>ガクシュウ</t>
    </rPh>
    <phoneticPr fontId="1"/>
  </si>
  <si>
    <t>その他</t>
    <rPh sb="2" eb="3">
      <t>タ</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</si>
  <si>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</si>
  <si>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</si>
  <si>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学校名</t>
    <rPh sb="0" eb="3">
      <t>ガッコウメイ</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</si>
  <si>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</si>
  <si>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</si>
  <si>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</si>
  <si>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</si>
  <si>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</si>
  <si>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</si>
  <si>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プログラムを構成する授業の内容・概要（数理・データサイエンス・AI（リテラシーレベル）モデルカリキュラムの「導入」、「基礎」、「心得」に相当）</t>
    <rPh sb="6" eb="8">
      <t>コウセイ</t>
    </rPh>
    <rPh sb="10" eb="12">
      <t>ジュギョウ</t>
    </rPh>
    <rPh sb="13" eb="15">
      <t>ナイヨウ</t>
    </rPh>
    <rPh sb="16" eb="18">
      <t>ガイヨウ</t>
    </rPh>
    <rPh sb="54" eb="56">
      <t>ドウニュウ</t>
    </rPh>
    <rPh sb="59" eb="61">
      <t>キソ</t>
    </rPh>
    <rPh sb="64" eb="66">
      <t>ココロエ</t>
    </rPh>
    <phoneticPr fontId="1"/>
  </si>
  <si>
    <t>プログラムの授業内容・概要</t>
    <rPh sb="6" eb="8">
      <t>ジュギョウ</t>
    </rPh>
    <rPh sb="8" eb="10">
      <t>ナイヨウ</t>
    </rPh>
    <rPh sb="11" eb="13">
      <t>ガイヨウ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</si>
  <si>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</si>
  <si>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③</t>
    <phoneticPr fontId="1"/>
  </si>
  <si>
    <t>プログラムの授業内容等を公表しているアドレス</t>
    <rPh sb="6" eb="8">
      <t>ジュギョウ</t>
    </rPh>
    <rPh sb="8" eb="10">
      <t>ナイヨウ</t>
    </rPh>
    <rPh sb="10" eb="11">
      <t>トウ</t>
    </rPh>
    <rPh sb="12" eb="14">
      <t>コウヒョウ</t>
    </rPh>
    <phoneticPr fontId="1"/>
  </si>
  <si>
    <t>④</t>
    <phoneticPr fontId="1"/>
  </si>
  <si>
    <t>プログラムの学修成果（学生等が身に付けられる能力等）</t>
  </si>
  <si>
    <t>教育プログラムの修了要件</t>
    <rPh sb="8" eb="10">
      <t>シュウリョウ</t>
    </rPh>
    <phoneticPr fontId="1"/>
  </si>
  <si>
    <t>具体的な修了要件</t>
    <rPh sb="0" eb="3">
      <t>グタイテキ</t>
    </rPh>
    <rPh sb="4" eb="6">
      <t>シュウリョウ</t>
    </rPh>
    <rPh sb="6" eb="8">
      <t>ヨウケン</t>
    </rPh>
    <phoneticPr fontId="1"/>
  </si>
  <si>
    <t>授業科目名称</t>
    <rPh sb="0" eb="2">
      <t>ジュギョウ</t>
    </rPh>
    <rPh sb="2" eb="4">
      <t>カモク</t>
    </rPh>
    <rPh sb="4" eb="6">
      <t>メイショウ</t>
    </rPh>
    <phoneticPr fontId="1"/>
  </si>
  <si>
    <t>プログラムを構成する授業の内容・概要（数理・データサイエンス・AI（リテラシーレベル）モデルカリキュラムの「選択」に相当）</t>
    <rPh sb="6" eb="8">
      <t>コウセイ</t>
    </rPh>
    <rPh sb="10" eb="12">
      <t>ジュギョウ</t>
    </rPh>
    <rPh sb="13" eb="15">
      <t>ナイヨウ</t>
    </rPh>
    <rPh sb="16" eb="18">
      <t>ガイヨウ</t>
    </rPh>
    <rPh sb="19" eb="21">
      <t>スウリ</t>
    </rPh>
    <rPh sb="54" eb="56">
      <t>センタク</t>
    </rPh>
    <rPh sb="58" eb="60">
      <t>ソウトウ</t>
    </rPh>
    <phoneticPr fontId="1"/>
  </si>
  <si>
    <t>様式５</t>
    <rPh sb="0" eb="2">
      <t>ヨウシキ</t>
    </rPh>
    <phoneticPr fontId="1"/>
  </si>
  <si>
    <t>授業概要</t>
    <rPh sb="0" eb="2">
      <t>ジュギョウ</t>
    </rPh>
    <rPh sb="2" eb="4">
      <t>ガイヨウ</t>
    </rPh>
    <phoneticPr fontId="1"/>
  </si>
  <si>
    <t>授業科目名称</t>
    <rPh sb="0" eb="2">
      <t>ジュギョウ</t>
    </rPh>
    <rPh sb="2" eb="6">
      <t>カモクメイショウ</t>
    </rPh>
    <phoneticPr fontId="1"/>
  </si>
  <si>
    <t>講義テーマ</t>
    <rPh sb="0" eb="2">
      <t>コウギ</t>
    </rPh>
    <phoneticPr fontId="1"/>
  </si>
  <si>
    <t>（１）現在進行中の社会変化（第４次産業革命、Society 5.0、データ駆動型社会等）に深く寄与しているものであり、それが自らの生活と密接に結びついている
※モデルカリキュラム導入１－１、導入１－６が該当</t>
    <phoneticPr fontId="1"/>
  </si>
  <si>
    <t>（２）「社会で活用されているデータ」や「データの活用領域」は非常に広範囲であって、日常生活や社会の課題を解決する有用なツールになり得るもの
※モデルカリキュラム導入１－２、導入１－３が該当</t>
    <phoneticPr fontId="1"/>
  </si>
  <si>
    <t>（４）活用に当たっての様々な留意事項（ELSI、個人情報、データ倫理、ＡＩ社会原則等）を考慮し、情報セキュリティや情報漏洩等、データを守る上での留意事項への理解をする
※モデルカリキュラム心得３－１、心得３－２が該当</t>
    <phoneticPr fontId="1"/>
  </si>
  <si>
    <t>（３）様々なデータ利活用の現場におけるデータ利活用事例が示され、様々な適用領域（流通、製造、金融、サービス、インフラ、公共、ヘルスケア等）の知見と組み合わせることで価値を創出するもの
※モデルカリキュラム導入１－４、導入１－５が該当</t>
    <phoneticPr fontId="1"/>
  </si>
  <si>
    <t xml:space="preserve">（５）実データ・実課題（学術データ等を含む）を用いた演習など、社会での実例を題材として、「データを読む、説明する、扱う」といった数理・データサイエンス・ＡＩの基本的な活用法に関するもの
※モデルカリキュラム基礎２－１、基礎２－２、基礎２－３が該当
</t>
    <phoneticPr fontId="1"/>
  </si>
  <si>
    <t>※公表している場合のアドレス</t>
    <rPh sb="1" eb="3">
      <t>コウヒョウ</t>
    </rPh>
    <rPh sb="7" eb="9">
      <t>バアイ</t>
    </rPh>
    <phoneticPr fontId="1"/>
  </si>
  <si>
    <t>（責任者名）</t>
    <rPh sb="1" eb="4">
      <t>セキニンシャ</t>
    </rPh>
    <rPh sb="4" eb="5">
      <t>メイ</t>
    </rPh>
    <phoneticPr fontId="1"/>
  </si>
  <si>
    <t>プログラムの運営責任者</t>
    <phoneticPr fontId="1"/>
  </si>
  <si>
    <t>令和2年度</t>
    <rPh sb="0" eb="2">
      <t>レイワ</t>
    </rPh>
    <rPh sb="3" eb="5">
      <t>ネンド</t>
    </rPh>
    <phoneticPr fontId="1"/>
  </si>
  <si>
    <t>令和元年度</t>
    <rPh sb="0" eb="2">
      <t>レイワ</t>
    </rPh>
    <rPh sb="2" eb="3">
      <t>ゲン</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</si>
  <si>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</si>
  <si>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</si>
  <si>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</si>
  <si>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平成27年度</t>
    <rPh sb="0" eb="2">
      <t>ヘイセイ</t>
    </rPh>
    <rPh sb="4" eb="6">
      <t>ネンド</t>
    </rPh>
    <phoneticPr fontId="1"/>
  </si>
  <si>
    <t>プログラムの履修者数等の実績について</t>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</si>
  <si>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</si>
  <si>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</si>
  <si>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</si>
  <si>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</si>
  <si>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</si>
  <si>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申請するプログラム又は授業科目名称</t>
    <rPh sb="0" eb="2">
      <t>シンセイ</t>
    </rPh>
    <rPh sb="9" eb="10">
      <t>マタ</t>
    </rPh>
    <rPh sb="11" eb="13">
      <t>ジュギョウ</t>
    </rPh>
    <rPh sb="13" eb="15">
      <t>カモク</t>
    </rPh>
    <rPh sb="15" eb="1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</si>
  <si>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</si>
  <si>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</si>
  <si>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</si>
  <si>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1"/>
  </si>
  <si>
    <t>データサイエンス</t>
    <phoneticPr fontId="1"/>
  </si>
  <si>
    <t>プログラミング基礎A</t>
    <rPh sb="7" eb="9">
      <t>キソ</t>
    </rPh>
    <phoneticPr fontId="1"/>
  </si>
  <si>
    <t>プログラミング基礎B</t>
    <rPh sb="7" eb="9">
      <t>キソ</t>
    </rPh>
    <phoneticPr fontId="1"/>
  </si>
  <si>
    <t>メディアリテラシー</t>
    <phoneticPr fontId="1"/>
  </si>
  <si>
    <t>情報システム概論</t>
    <rPh sb="0" eb="2">
      <t>ジョウホウ</t>
    </rPh>
    <rPh sb="6" eb="8">
      <t>ガイロン</t>
    </rPh>
    <phoneticPr fontId="1"/>
  </si>
  <si>
    <t>学部・学科によって、修了要件は相違する</t>
  </si>
  <si>
    <t>尚美学園大学</t>
    <rPh sb="0" eb="2">
      <t>ナオミ</t>
    </rPh>
    <rPh sb="2" eb="4">
      <t>ガクエン</t>
    </rPh>
    <rPh sb="4" eb="6">
      <t>ダイガク</t>
    </rPh>
    <phoneticPr fontId="1"/>
  </si>
  <si>
    <t>様式２－２</t>
    <rPh sb="0" eb="2">
      <t>ヨウシキ</t>
    </rPh>
    <phoneticPr fontId="1"/>
  </si>
  <si>
    <t>様式２－１</t>
    <rPh sb="0" eb="2">
      <t>ヨウシキ</t>
    </rPh>
    <phoneticPr fontId="1"/>
  </si>
  <si>
    <t>IoT時代の到来、クラウドコンピューティング、AI、ビックデータ、５G（８）</t>
    <phoneticPr fontId="1"/>
  </si>
  <si>
    <t>百人一首の印象のデータ化と分析（２～４）</t>
    <rPh sb="0" eb="4">
      <t>ヒャクニンイッシュ</t>
    </rPh>
    <rPh sb="5" eb="7">
      <t>インショウ</t>
    </rPh>
    <rPh sb="11" eb="12">
      <t>カ</t>
    </rPh>
    <rPh sb="13" eb="15">
      <t>ブンセキ</t>
    </rPh>
    <phoneticPr fontId="1"/>
  </si>
  <si>
    <t>IoT時代の到来とSNSの普及が，本学の学生が学ぶ「芸術」「エンターテイメント」「スポーツ」「社会科学」の分野にどのような変化を与えた／与えているかを学び，また，実際にSNS上のデータから社会現象を読み解く演習を行う．この授業では，履修者がIoTやSNSの人間社会における重要性を理解し，また，ツイッターに投稿されるメッセージなどをデータとして分析することにより，社会動向を読み取ることができることを体験することを目標としている．さらに，「スポーツ」「社会科学」の分野におけるデータ分析の重要性と，一見データ分析とは関係の無いと思われる「芸術」「エンターテイメント」分野におけるデータ分析の有用性を理解することも目標としている．</t>
    <rPh sb="3" eb="5">
      <t>ジダイ</t>
    </rPh>
    <rPh sb="6" eb="8">
      <t>トウライ</t>
    </rPh>
    <rPh sb="13" eb="15">
      <t>フキュウ</t>
    </rPh>
    <rPh sb="17" eb="19">
      <t>ホンガク</t>
    </rPh>
    <rPh sb="20" eb="22">
      <t>ガクセイ</t>
    </rPh>
    <rPh sb="23" eb="24">
      <t>マナ</t>
    </rPh>
    <rPh sb="26" eb="28">
      <t>ゲイジュツ</t>
    </rPh>
    <rPh sb="47" eb="49">
      <t>シャカイ</t>
    </rPh>
    <rPh sb="49" eb="51">
      <t>カガク</t>
    </rPh>
    <rPh sb="53" eb="55">
      <t>ブンヤ</t>
    </rPh>
    <rPh sb="61" eb="63">
      <t>ヘンカ</t>
    </rPh>
    <rPh sb="64" eb="65">
      <t>アタ</t>
    </rPh>
    <rPh sb="68" eb="69">
      <t>アタ</t>
    </rPh>
    <rPh sb="75" eb="76">
      <t>マナ</t>
    </rPh>
    <rPh sb="81" eb="83">
      <t>ジッサイ</t>
    </rPh>
    <rPh sb="87" eb="88">
      <t>ジョウ</t>
    </rPh>
    <rPh sb="94" eb="96">
      <t>シャカイ</t>
    </rPh>
    <rPh sb="96" eb="98">
      <t>ゲンショウ</t>
    </rPh>
    <rPh sb="99" eb="100">
      <t>ヨ</t>
    </rPh>
    <rPh sb="101" eb="102">
      <t>ト</t>
    </rPh>
    <rPh sb="103" eb="105">
      <t>エンシュウ</t>
    </rPh>
    <rPh sb="106" eb="107">
      <t>オコナ</t>
    </rPh>
    <rPh sb="111" eb="113">
      <t>ジュギョウ</t>
    </rPh>
    <rPh sb="116" eb="118">
      <t>リシュウ</t>
    </rPh>
    <rPh sb="118" eb="119">
      <t>シャ</t>
    </rPh>
    <rPh sb="128" eb="130">
      <t>ニンゲン</t>
    </rPh>
    <rPh sb="130" eb="132">
      <t>シャカイ</t>
    </rPh>
    <rPh sb="136" eb="138">
      <t>ジュウヨウ</t>
    </rPh>
    <rPh sb="138" eb="139">
      <t>セイ</t>
    </rPh>
    <rPh sb="140" eb="142">
      <t>リカイ</t>
    </rPh>
    <rPh sb="153" eb="155">
      <t>トウコウ</t>
    </rPh>
    <rPh sb="172" eb="174">
      <t>ブンセキ</t>
    </rPh>
    <rPh sb="182" eb="184">
      <t>シャカイ</t>
    </rPh>
    <rPh sb="184" eb="186">
      <t>ドウコウ</t>
    </rPh>
    <rPh sb="187" eb="188">
      <t>ヨ</t>
    </rPh>
    <rPh sb="189" eb="190">
      <t>ト</t>
    </rPh>
    <rPh sb="200" eb="202">
      <t>タイケン</t>
    </rPh>
    <rPh sb="207" eb="209">
      <t>モクヒョウ</t>
    </rPh>
    <rPh sb="232" eb="234">
      <t>ブンヤ</t>
    </rPh>
    <rPh sb="241" eb="243">
      <t>ブンセキ</t>
    </rPh>
    <rPh sb="244" eb="247">
      <t>ジュウヨウセイ</t>
    </rPh>
    <rPh sb="254" eb="256">
      <t>ブンセキ</t>
    </rPh>
    <rPh sb="258" eb="260">
      <t>カンケイ</t>
    </rPh>
    <rPh sb="261" eb="262">
      <t>ナ</t>
    </rPh>
    <rPh sb="264" eb="265">
      <t>オモ</t>
    </rPh>
    <rPh sb="283" eb="285">
      <t>ブンヤ</t>
    </rPh>
    <rPh sb="292" eb="294">
      <t>ブンセキ</t>
    </rPh>
    <rPh sb="295" eb="298">
      <t>ユウヨウセイ</t>
    </rPh>
    <rPh sb="299" eb="301">
      <t>リカイ</t>
    </rPh>
    <rPh sb="306" eb="308">
      <t>モクヒョウ</t>
    </rPh>
    <phoneticPr fontId="1"/>
  </si>
  <si>
    <t>この授業では，一見，データや分析といったキーワードと関連の無い和歌や音楽の印象をデータすることができ，その分析結果から百人一首にBGMを付けることが出来ることは体験する．履修者はこの授業により，データやその分析が非常に広範囲な分野で有用であることを理解し，また，分野によってデータの収集に工夫が必要であることを学ぶ．さらに，和歌と音楽を結び付けるという，これまで人間の感覚によって行ってきた作業を，データ分析を利用して行うことができることを理解することができる．</t>
    <rPh sb="2" eb="4">
      <t>ジュギョウ</t>
    </rPh>
    <rPh sb="7" eb="9">
      <t>イッケン</t>
    </rPh>
    <rPh sb="14" eb="16">
      <t>ブンセキ</t>
    </rPh>
    <rPh sb="26" eb="28">
      <t>カンレン</t>
    </rPh>
    <rPh sb="29" eb="30">
      <t>ナ</t>
    </rPh>
    <rPh sb="31" eb="33">
      <t>ワカ</t>
    </rPh>
    <rPh sb="34" eb="36">
      <t>オンガク</t>
    </rPh>
    <rPh sb="37" eb="39">
      <t>インショウ</t>
    </rPh>
    <rPh sb="53" eb="55">
      <t>ブンセキ</t>
    </rPh>
    <rPh sb="55" eb="57">
      <t>ケッカ</t>
    </rPh>
    <rPh sb="59" eb="63">
      <t>ヒャクニンイッシュ</t>
    </rPh>
    <rPh sb="68" eb="69">
      <t>ツ</t>
    </rPh>
    <rPh sb="74" eb="76">
      <t>デキ</t>
    </rPh>
    <rPh sb="80" eb="82">
      <t>タイケン</t>
    </rPh>
    <rPh sb="91" eb="93">
      <t>ジュギョウ</t>
    </rPh>
    <rPh sb="103" eb="105">
      <t>ブンセキ</t>
    </rPh>
    <rPh sb="106" eb="108">
      <t>ヒジョウ</t>
    </rPh>
    <rPh sb="109" eb="112">
      <t>コウハンイ</t>
    </rPh>
    <rPh sb="113" eb="115">
      <t>ブンヤ</t>
    </rPh>
    <rPh sb="116" eb="118">
      <t>ユウヨウ</t>
    </rPh>
    <rPh sb="124" eb="126">
      <t>リカイ</t>
    </rPh>
    <rPh sb="131" eb="133">
      <t>ブンヤ</t>
    </rPh>
    <rPh sb="141" eb="143">
      <t>シュウシュウ</t>
    </rPh>
    <rPh sb="144" eb="146">
      <t>クフウ</t>
    </rPh>
    <rPh sb="147" eb="149">
      <t>ヒツヨウ</t>
    </rPh>
    <rPh sb="155" eb="156">
      <t>マナ</t>
    </rPh>
    <rPh sb="162" eb="164">
      <t>ワカ</t>
    </rPh>
    <rPh sb="165" eb="167">
      <t>オンガク</t>
    </rPh>
    <rPh sb="168" eb="169">
      <t>ムス</t>
    </rPh>
    <rPh sb="170" eb="171">
      <t>ツ</t>
    </rPh>
    <rPh sb="181" eb="183">
      <t>ニンゲン</t>
    </rPh>
    <rPh sb="184" eb="186">
      <t>カンカク</t>
    </rPh>
    <rPh sb="190" eb="191">
      <t>オコナ</t>
    </rPh>
    <rPh sb="195" eb="197">
      <t>サギョウ</t>
    </rPh>
    <rPh sb="202" eb="204">
      <t>ブンセキ</t>
    </rPh>
    <rPh sb="205" eb="207">
      <t>リヨウ</t>
    </rPh>
    <rPh sb="209" eb="210">
      <t>オコナ</t>
    </rPh>
    <rPh sb="220" eb="222">
      <t>リカイ</t>
    </rPh>
    <phoneticPr fontId="1"/>
  </si>
  <si>
    <t>文字コード，画像・動画・音声データ形式（２～５）</t>
    <rPh sb="0" eb="2">
      <t>モジ</t>
    </rPh>
    <rPh sb="6" eb="8">
      <t>ガゾウ</t>
    </rPh>
    <rPh sb="9" eb="11">
      <t>ドウガ</t>
    </rPh>
    <rPh sb="12" eb="14">
      <t>オンセイ</t>
    </rPh>
    <rPh sb="17" eb="19">
      <t>ケイシキ</t>
    </rPh>
    <phoneticPr fontId="1"/>
  </si>
  <si>
    <t>株式売買，実験，人口，気象，スポーツデータなど，様々な分野のデータの分析事例（１５）</t>
    <rPh sb="0" eb="2">
      <t>カブシキ</t>
    </rPh>
    <rPh sb="2" eb="4">
      <t>バイバイ</t>
    </rPh>
    <rPh sb="5" eb="7">
      <t>ジッケン</t>
    </rPh>
    <rPh sb="8" eb="10">
      <t>ジンコウ</t>
    </rPh>
    <rPh sb="11" eb="13">
      <t>キショウ</t>
    </rPh>
    <rPh sb="24" eb="26">
      <t>サマザマ</t>
    </rPh>
    <rPh sb="27" eb="29">
      <t>ブンヤ</t>
    </rPh>
    <rPh sb="34" eb="36">
      <t>ブンセキ</t>
    </rPh>
    <rPh sb="36" eb="38">
      <t>ジレイ</t>
    </rPh>
    <phoneticPr fontId="1"/>
  </si>
  <si>
    <t>暗号化、ファイアウォール、マルウェア、コンピュータウイルス、迷惑メール（１２，１３）</t>
    <phoneticPr fontId="1"/>
  </si>
  <si>
    <t>この授業では，コンピュータ上のデータ活用の技術として，文字コードや画像・動画・音声データの型式と，それらのデータの特性と，様々なデータの利用方法について学ぶ，また，株式売買や，実験，人口，気象，スポーツの分野でデータ分析の事例を紹介する．履修者ga，数値の集まりであるデータにより，数値とは関係の無いように見える様々の物事を表現できることを理解する．また，株式売買，実験，人口，気象，スポーツなど様々な分野でデータ分析が有用であることを事例を通じて理解することを目標としている．</t>
    <rPh sb="2" eb="4">
      <t>ジュギョウ</t>
    </rPh>
    <rPh sb="13" eb="14">
      <t>ジョウ</t>
    </rPh>
    <rPh sb="18" eb="20">
      <t>カツヨウ</t>
    </rPh>
    <rPh sb="21" eb="23">
      <t>ギジュツ</t>
    </rPh>
    <rPh sb="27" eb="29">
      <t>モジ</t>
    </rPh>
    <rPh sb="33" eb="35">
      <t>ガゾウ</t>
    </rPh>
    <rPh sb="36" eb="38">
      <t>ドウガ</t>
    </rPh>
    <rPh sb="39" eb="41">
      <t>オンセイ</t>
    </rPh>
    <rPh sb="45" eb="47">
      <t>ケイシキ</t>
    </rPh>
    <rPh sb="57" eb="59">
      <t>トクセイ</t>
    </rPh>
    <rPh sb="61" eb="63">
      <t>サマザマ</t>
    </rPh>
    <rPh sb="68" eb="70">
      <t>リヨウ</t>
    </rPh>
    <rPh sb="70" eb="72">
      <t>ホウホウ</t>
    </rPh>
    <rPh sb="76" eb="77">
      <t>マナ</t>
    </rPh>
    <rPh sb="82" eb="84">
      <t>カブシキ</t>
    </rPh>
    <rPh sb="84" eb="86">
      <t>バイバイ</t>
    </rPh>
    <rPh sb="88" eb="90">
      <t>ジッケン</t>
    </rPh>
    <rPh sb="91" eb="93">
      <t>ジンコウ</t>
    </rPh>
    <rPh sb="94" eb="96">
      <t>キショウ</t>
    </rPh>
    <rPh sb="102" eb="104">
      <t>ブンヤ</t>
    </rPh>
    <rPh sb="108" eb="110">
      <t>ブンセキ</t>
    </rPh>
    <rPh sb="111" eb="113">
      <t>ジレイ</t>
    </rPh>
    <rPh sb="114" eb="116">
      <t>ショウカイ</t>
    </rPh>
    <rPh sb="119" eb="121">
      <t>リシュウ</t>
    </rPh>
    <rPh sb="121" eb="122">
      <t>シャ</t>
    </rPh>
    <rPh sb="125" eb="127">
      <t>スウチ</t>
    </rPh>
    <rPh sb="128" eb="129">
      <t>アツ</t>
    </rPh>
    <rPh sb="141" eb="143">
      <t>スウチ</t>
    </rPh>
    <rPh sb="145" eb="147">
      <t>カンケイ</t>
    </rPh>
    <rPh sb="148" eb="149">
      <t>ナ</t>
    </rPh>
    <rPh sb="153" eb="154">
      <t>ミ</t>
    </rPh>
    <rPh sb="156" eb="158">
      <t>サマザマ</t>
    </rPh>
    <rPh sb="159" eb="161">
      <t>モノゴト</t>
    </rPh>
    <rPh sb="162" eb="164">
      <t>ヒョウゲン</t>
    </rPh>
    <rPh sb="170" eb="172">
      <t>リカイ</t>
    </rPh>
    <rPh sb="198" eb="200">
      <t>サマザマ</t>
    </rPh>
    <rPh sb="201" eb="203">
      <t>ブンヤ</t>
    </rPh>
    <rPh sb="207" eb="209">
      <t>ブンセキ</t>
    </rPh>
    <rPh sb="210" eb="212">
      <t>ユウヨウ</t>
    </rPh>
    <rPh sb="218" eb="220">
      <t>ジレイ</t>
    </rPh>
    <rPh sb="221" eb="222">
      <t>ツウ</t>
    </rPh>
    <rPh sb="224" eb="226">
      <t>リカイ</t>
    </rPh>
    <rPh sb="231" eb="233">
      <t>モクヒョウ</t>
    </rPh>
    <phoneticPr fontId="1"/>
  </si>
  <si>
    <t>この授業では，ネットワーク上で個人情報を保護する方法，コンピュータ端末を外部から守る方法，ネットワーク上の倫理など，ネットワーク社会で活動するための留意事項について学ぶ．履修者が，単にコンピュータ端末を操作するだけではなく，ネットワーク上の倫理を理解し，また，犯罪から身を守る必要があることを理解すること目標としている．特に迷惑メールのブロックや，マルウェア，コンピュータウイルスの駆除など，自分のコンピュータを守ることが他人に迷惑をかけることを防ぐことに繋がることを強調する．</t>
    <rPh sb="2" eb="4">
      <t>ジュギョウ</t>
    </rPh>
    <rPh sb="13" eb="14">
      <t>ジョウ</t>
    </rPh>
    <rPh sb="15" eb="17">
      <t>コジン</t>
    </rPh>
    <rPh sb="17" eb="19">
      <t>ジョウホウ</t>
    </rPh>
    <rPh sb="20" eb="22">
      <t>ホゴ</t>
    </rPh>
    <rPh sb="24" eb="26">
      <t>ホウホウ</t>
    </rPh>
    <rPh sb="33" eb="35">
      <t>タンマツ</t>
    </rPh>
    <rPh sb="36" eb="38">
      <t>ガイブ</t>
    </rPh>
    <rPh sb="40" eb="41">
      <t>マモ</t>
    </rPh>
    <rPh sb="42" eb="44">
      <t>ホウホウ</t>
    </rPh>
    <rPh sb="51" eb="52">
      <t>ジョウ</t>
    </rPh>
    <rPh sb="53" eb="55">
      <t>リンリ</t>
    </rPh>
    <rPh sb="64" eb="66">
      <t>シャカイ</t>
    </rPh>
    <rPh sb="67" eb="69">
      <t>カツドウ</t>
    </rPh>
    <rPh sb="74" eb="76">
      <t>リュウイ</t>
    </rPh>
    <rPh sb="76" eb="78">
      <t>ジコウ</t>
    </rPh>
    <rPh sb="82" eb="83">
      <t>マナ</t>
    </rPh>
    <rPh sb="85" eb="87">
      <t>リシュウ</t>
    </rPh>
    <rPh sb="87" eb="88">
      <t>シャ</t>
    </rPh>
    <rPh sb="90" eb="91">
      <t>タン</t>
    </rPh>
    <rPh sb="98" eb="100">
      <t>タンマツ</t>
    </rPh>
    <rPh sb="101" eb="103">
      <t>ソウサ</t>
    </rPh>
    <rPh sb="118" eb="119">
      <t>ジョウ</t>
    </rPh>
    <rPh sb="120" eb="122">
      <t>リンリ</t>
    </rPh>
    <rPh sb="123" eb="125">
      <t>リカイ</t>
    </rPh>
    <rPh sb="130" eb="132">
      <t>ハンザイ</t>
    </rPh>
    <rPh sb="134" eb="135">
      <t>ミ</t>
    </rPh>
    <rPh sb="136" eb="137">
      <t>マモ</t>
    </rPh>
    <rPh sb="138" eb="140">
      <t>ヒツヨウ</t>
    </rPh>
    <rPh sb="146" eb="148">
      <t>リカイ</t>
    </rPh>
    <rPh sb="152" eb="154">
      <t>モクヒョウ</t>
    </rPh>
    <rPh sb="160" eb="161">
      <t>トク</t>
    </rPh>
    <rPh sb="162" eb="164">
      <t>メイワク</t>
    </rPh>
    <rPh sb="191" eb="193">
      <t>クジョ</t>
    </rPh>
    <rPh sb="196" eb="198">
      <t>ジブン</t>
    </rPh>
    <rPh sb="206" eb="207">
      <t>マモ</t>
    </rPh>
    <rPh sb="211" eb="213">
      <t>タニン</t>
    </rPh>
    <rPh sb="214" eb="216">
      <t>メイワク</t>
    </rPh>
    <rPh sb="223" eb="224">
      <t>フセ</t>
    </rPh>
    <rPh sb="228" eb="229">
      <t>ツナ</t>
    </rPh>
    <rPh sb="234" eb="236">
      <t>キョウチョウ</t>
    </rPh>
    <phoneticPr fontId="1"/>
  </si>
  <si>
    <t>本学の学生達は，芸術，スポーツ，社会学を学んでいるが，本プログラムはこれら全ての分野で共通して必要となるスキルの修得を目的としている．特に芸術の分野のように，数理・データサイエンス・AIに関わらないと思われている分野にも有用なスキルであることを履修者が理解することを重視している．またスポーツの分野でも，単にデータ解析の専門家のアドバイスを参考にするのではなく，プレーヤーやコーチ，マネージャーが共通してデータの有用性を理解することの必要性を理解してもらいたい．さらに，実社会の全ての分野でこれらのスキルが共通していることを履修者に認識されることが最も重要な成果と考えている．</t>
    <rPh sb="0" eb="2">
      <t>ホンガク</t>
    </rPh>
    <rPh sb="3" eb="5">
      <t>ガクセイ</t>
    </rPh>
    <rPh sb="5" eb="6">
      <t>タチ</t>
    </rPh>
    <rPh sb="8" eb="10">
      <t>ゲイジュツ</t>
    </rPh>
    <rPh sb="16" eb="19">
      <t>シャカイガク</t>
    </rPh>
    <rPh sb="20" eb="21">
      <t>マナ</t>
    </rPh>
    <rPh sb="27" eb="28">
      <t>ホン</t>
    </rPh>
    <rPh sb="37" eb="38">
      <t>スベ</t>
    </rPh>
    <rPh sb="40" eb="42">
      <t>ブンヤ</t>
    </rPh>
    <rPh sb="43" eb="45">
      <t>キョウツウ</t>
    </rPh>
    <rPh sb="47" eb="49">
      <t>ヒツヨウ</t>
    </rPh>
    <rPh sb="56" eb="58">
      <t>シュウトク</t>
    </rPh>
    <rPh sb="59" eb="61">
      <t>モクテキ</t>
    </rPh>
    <rPh sb="67" eb="68">
      <t>トク</t>
    </rPh>
    <rPh sb="69" eb="71">
      <t>ゲイジュツ</t>
    </rPh>
    <rPh sb="72" eb="74">
      <t>ブンヤ</t>
    </rPh>
    <rPh sb="79" eb="81">
      <t>スウリ</t>
    </rPh>
    <rPh sb="94" eb="95">
      <t>カカ</t>
    </rPh>
    <rPh sb="100" eb="101">
      <t>オモ</t>
    </rPh>
    <rPh sb="106" eb="108">
      <t>ブンヤ</t>
    </rPh>
    <rPh sb="110" eb="112">
      <t>ユウヨウ</t>
    </rPh>
    <rPh sb="122" eb="124">
      <t>リシュウ</t>
    </rPh>
    <rPh sb="124" eb="125">
      <t>シャ</t>
    </rPh>
    <rPh sb="126" eb="128">
      <t>リカイ</t>
    </rPh>
    <rPh sb="133" eb="135">
      <t>ジュウシ</t>
    </rPh>
    <rPh sb="147" eb="149">
      <t>ブンヤ</t>
    </rPh>
    <rPh sb="152" eb="153">
      <t>タン</t>
    </rPh>
    <rPh sb="157" eb="159">
      <t>カイセキ</t>
    </rPh>
    <rPh sb="160" eb="162">
      <t>センモン</t>
    </rPh>
    <rPh sb="162" eb="163">
      <t>カ</t>
    </rPh>
    <rPh sb="170" eb="172">
      <t>サンコウ</t>
    </rPh>
    <rPh sb="198" eb="200">
      <t>キョウツウ</t>
    </rPh>
    <rPh sb="206" eb="209">
      <t>ユウヨウセイ</t>
    </rPh>
    <rPh sb="210" eb="212">
      <t>リカイ</t>
    </rPh>
    <rPh sb="217" eb="220">
      <t>ヒツヨウセイ</t>
    </rPh>
    <rPh sb="221" eb="223">
      <t>リカイ</t>
    </rPh>
    <rPh sb="235" eb="238">
      <t>ジッシャカイ</t>
    </rPh>
    <rPh sb="239" eb="240">
      <t>スベ</t>
    </rPh>
    <rPh sb="242" eb="244">
      <t>ブンヤ</t>
    </rPh>
    <rPh sb="253" eb="255">
      <t>キョウツウ</t>
    </rPh>
    <rPh sb="262" eb="264">
      <t>リシュウ</t>
    </rPh>
    <rPh sb="264" eb="265">
      <t>シャ</t>
    </rPh>
    <rPh sb="266" eb="268">
      <t>ニンシキ</t>
    </rPh>
    <rPh sb="274" eb="275">
      <t>モット</t>
    </rPh>
    <rPh sb="276" eb="278">
      <t>ジュウヨウ</t>
    </rPh>
    <rPh sb="279" eb="281">
      <t>セイカ</t>
    </rPh>
    <rPh sb="282" eb="283">
      <t>カンガ</t>
    </rPh>
    <phoneticPr fontId="1"/>
  </si>
  <si>
    <t>人工知能などの歴史を概観し、近年の機械学習・深層学習の基本を把握する（１３）</t>
    <phoneticPr fontId="1"/>
  </si>
  <si>
    <t>データの分析手順，分析結果の解釈，データ分析結果のプレゼンテーション（５，１１，１４）</t>
    <rPh sb="4" eb="6">
      <t>ブンセキ</t>
    </rPh>
    <rPh sb="6" eb="8">
      <t>テジュン</t>
    </rPh>
    <rPh sb="9" eb="11">
      <t>ブンセキ</t>
    </rPh>
    <rPh sb="11" eb="13">
      <t>ケッカ</t>
    </rPh>
    <rPh sb="14" eb="16">
      <t>カイシャク</t>
    </rPh>
    <rPh sb="20" eb="22">
      <t>ブンセキ</t>
    </rPh>
    <rPh sb="22" eb="24">
      <t>ケッカ</t>
    </rPh>
    <phoneticPr fontId="1"/>
  </si>
  <si>
    <t>コンピュータセキュリティ技術（１４）</t>
    <phoneticPr fontId="1"/>
  </si>
  <si>
    <t>実際に得られたデータをコンピュータ上で整理し，データの分析結果を読み取る必要がある．また，分析結果から読み取った知見をグラフなどを用いて適切に用いて表現する必要がある．そこでこの授業では，データの入力，数式や並べ替えによる整理，そして表やグラフをプレゼンテーションツールによってどのうに表現するべきかを学ぶ．この授業を受けた履修者が，実社会から得られたデータを有効に利用し，有意義な結論を導き出しまたそれを表現するスキルを身に着けることを目標としている．</t>
    <rPh sb="0" eb="2">
      <t>ジッサイ</t>
    </rPh>
    <rPh sb="3" eb="4">
      <t>エ</t>
    </rPh>
    <rPh sb="17" eb="18">
      <t>ジョウ</t>
    </rPh>
    <rPh sb="19" eb="21">
      <t>セイリ</t>
    </rPh>
    <rPh sb="27" eb="29">
      <t>ブンセキ</t>
    </rPh>
    <rPh sb="29" eb="31">
      <t>ケッカ</t>
    </rPh>
    <rPh sb="36" eb="38">
      <t>ヒツヨウ</t>
    </rPh>
    <rPh sb="45" eb="47">
      <t>ブンセキ</t>
    </rPh>
    <rPh sb="47" eb="49">
      <t>ケッカ</t>
    </rPh>
    <rPh sb="51" eb="52">
      <t>ヨ</t>
    </rPh>
    <rPh sb="53" eb="54">
      <t>ト</t>
    </rPh>
    <rPh sb="56" eb="58">
      <t>チケン</t>
    </rPh>
    <rPh sb="65" eb="66">
      <t>モチ</t>
    </rPh>
    <rPh sb="68" eb="70">
      <t>テキセツ</t>
    </rPh>
    <rPh sb="71" eb="72">
      <t>モチ</t>
    </rPh>
    <rPh sb="74" eb="76">
      <t>ヒョウゲン</t>
    </rPh>
    <rPh sb="78" eb="80">
      <t>ヒツヨウ</t>
    </rPh>
    <rPh sb="89" eb="91">
      <t>ジュギョウ</t>
    </rPh>
    <rPh sb="98" eb="100">
      <t>ニュウリョク</t>
    </rPh>
    <rPh sb="101" eb="103">
      <t>スウシキ</t>
    </rPh>
    <rPh sb="104" eb="105">
      <t>ナラ</t>
    </rPh>
    <rPh sb="106" eb="107">
      <t>カ</t>
    </rPh>
    <rPh sb="111" eb="113">
      <t>セイリ</t>
    </rPh>
    <rPh sb="117" eb="118">
      <t>ヒョウ</t>
    </rPh>
    <rPh sb="143" eb="145">
      <t>ヒョウゲン</t>
    </rPh>
    <rPh sb="151" eb="152">
      <t>マナ</t>
    </rPh>
    <rPh sb="156" eb="158">
      <t>ジュギョウ</t>
    </rPh>
    <rPh sb="159" eb="160">
      <t>ウ</t>
    </rPh>
    <rPh sb="162" eb="164">
      <t>リシュウ</t>
    </rPh>
    <rPh sb="164" eb="165">
      <t>シャ</t>
    </rPh>
    <rPh sb="211" eb="212">
      <t>ミ</t>
    </rPh>
    <rPh sb="213" eb="214">
      <t>ツ</t>
    </rPh>
    <rPh sb="219" eb="221">
      <t>モクヒョウ</t>
    </rPh>
    <phoneticPr fontId="1"/>
  </si>
  <si>
    <t>和歌（百人一首）の印象，キーワード検索数，ツイッターのデータ収集と分析（２～１３）</t>
    <rPh sb="0" eb="2">
      <t>ワカ</t>
    </rPh>
    <rPh sb="3" eb="7">
      <t>ヒャクニンイッシュ</t>
    </rPh>
    <rPh sb="9" eb="11">
      <t>インショウ</t>
    </rPh>
    <rPh sb="17" eb="19">
      <t>ケンサク</t>
    </rPh>
    <rPh sb="19" eb="20">
      <t>スウ</t>
    </rPh>
    <rPh sb="30" eb="32">
      <t>シュウシュウ</t>
    </rPh>
    <rPh sb="33" eb="35">
      <t>ブンセキ</t>
    </rPh>
    <phoneticPr fontId="1"/>
  </si>
  <si>
    <t>金融分野におけるＩＴ応用技術，電子マネーや暗号通貨のしくみ（１２）</t>
    <phoneticPr fontId="1"/>
  </si>
  <si>
    <t>本プログラムは2020年度に改訂された新カリキュラムに含まれる科目により構成されるものであり，このプログラムを修了した学生は在学中のため，進路についての確認は出来ない状況である．しかし，本プログラムに含まれるいくつかの科目は2019年度以前から開講されているもので，それらの授業の履修者については，システムエンジニアやSEO対策を専門とする会社へ就職した卒業生がいる．また，海外（フィリピン）の大学でシステム開発の共同研究を行っている卒業生もいる．</t>
    <rPh sb="0" eb="1">
      <t>ホン</t>
    </rPh>
    <rPh sb="11" eb="13">
      <t>ネンド</t>
    </rPh>
    <rPh sb="14" eb="16">
      <t>カイテイ</t>
    </rPh>
    <rPh sb="19" eb="20">
      <t>シン</t>
    </rPh>
    <rPh sb="27" eb="28">
      <t>フク</t>
    </rPh>
    <rPh sb="31" eb="33">
      <t>カモク</t>
    </rPh>
    <rPh sb="36" eb="38">
      <t>コウセイ</t>
    </rPh>
    <rPh sb="55" eb="57">
      <t>シュウリョウ</t>
    </rPh>
    <rPh sb="59" eb="61">
      <t>ガクセイ</t>
    </rPh>
    <rPh sb="62" eb="65">
      <t>ザイガクチュウ</t>
    </rPh>
    <rPh sb="69" eb="71">
      <t>シンロ</t>
    </rPh>
    <rPh sb="76" eb="78">
      <t>カクニン</t>
    </rPh>
    <rPh sb="79" eb="81">
      <t>デキ</t>
    </rPh>
    <rPh sb="83" eb="85">
      <t>ジョウキョウ</t>
    </rPh>
    <rPh sb="93" eb="94">
      <t>ホン</t>
    </rPh>
    <rPh sb="100" eb="101">
      <t>フク</t>
    </rPh>
    <rPh sb="109" eb="111">
      <t>カモク</t>
    </rPh>
    <rPh sb="116" eb="118">
      <t>ネンド</t>
    </rPh>
    <rPh sb="118" eb="120">
      <t>イゼン</t>
    </rPh>
    <rPh sb="122" eb="124">
      <t>カイコウ</t>
    </rPh>
    <rPh sb="137" eb="139">
      <t>ジュギョウ</t>
    </rPh>
    <rPh sb="140" eb="142">
      <t>リシュウ</t>
    </rPh>
    <rPh sb="142" eb="143">
      <t>シャ</t>
    </rPh>
    <rPh sb="162" eb="164">
      <t>タイサク</t>
    </rPh>
    <rPh sb="165" eb="167">
      <t>センモン</t>
    </rPh>
    <rPh sb="170" eb="172">
      <t>カイシャ</t>
    </rPh>
    <rPh sb="173" eb="175">
      <t>シュウショク</t>
    </rPh>
    <rPh sb="177" eb="180">
      <t>ソツギョウセイ</t>
    </rPh>
    <rPh sb="187" eb="189">
      <t>カイガイ</t>
    </rPh>
    <rPh sb="197" eb="199">
      <t>ダイガク</t>
    </rPh>
    <rPh sb="204" eb="206">
      <t>カイハツ</t>
    </rPh>
    <rPh sb="207" eb="209">
      <t>キョウドウ</t>
    </rPh>
    <rPh sb="209" eb="211">
      <t>ケンキュウ</t>
    </rPh>
    <rPh sb="212" eb="213">
      <t>オコナ</t>
    </rPh>
    <rPh sb="217" eb="220">
      <t>ソツギョウセイ</t>
    </rPh>
    <phoneticPr fontId="1"/>
  </si>
  <si>
    <t>尚美学園大学</t>
    <rPh sb="0" eb="6">
      <t>ナオミガクエンダイガク</t>
    </rPh>
    <phoneticPr fontId="1"/>
  </si>
  <si>
    <t>本学の教養科目は，音楽，映像制作，音響制作，舞台制作，デジタルコンテンツ，SNS配信，スポーツといった芸術・エンターテイメント分野を専攻する学生と，法律・政治，経済・経営，社会・コミュニケーションといった社会科学を学生達が共通して必要となる教養を身に着けられるように設計されている．具体的には，「現代社会の教養」，「スポーツ」，「教養芸術」，「キャリア」，「情報技術力」といった科目群に分類される科目から構成されている．これは，単に異なる分野に共通する教養ということではなく，「Society 5.0」と呼ばれる社会で活躍するための共通して必要となる教養に関する授業を集めたものである．つまり，Society 5.0で活躍する人材にはこれらの教養が必要不可欠であるという考えに基づいている．この教養科目の中で，
　本プログラムは「情報技術力科目」に含まれる６つの科目で構成されており，Society 5.0を見据えた社会での活躍という意味では，本学の教養教育の中核をなすものである．このため，本プログラムを構成する科目つまり「情報技術力」科目は（１）情報技術の初学者でも十分に理解できる授業内容であること，（２）全ての学部学科生が興味を持てるテーマを採用すること，（３）授業時間外での履修者のフォローすることを条件として授業内容を計画している．
　具体的は，データサイエンスにおいて，「和歌にBGMを付ける」，「TVアニメの人気ランキング」，「キーワード検索数の推移」など，学生達が興味を持てるテーマを採用している．一方，プログラミング基礎A・BではWebページの構築やExelVBAを用いたプログラミング等，ビジネスに有用なスキルの修得を目標としている．さらに，情報システム学概論では，情報リテラシーの高い学生を対象に，より専門的な情報技術に関する事項を紹介している．</t>
    <rPh sb="40" eb="42">
      <t>ハイシン</t>
    </rPh>
    <rPh sb="63" eb="65">
      <t>ブンヤ</t>
    </rPh>
    <rPh sb="102" eb="104">
      <t>シャカイ</t>
    </rPh>
    <rPh sb="104" eb="106">
      <t>カガク</t>
    </rPh>
    <rPh sb="107" eb="109">
      <t>ガクセイ</t>
    </rPh>
    <rPh sb="109" eb="110">
      <t>タチ</t>
    </rPh>
    <rPh sb="111" eb="113">
      <t>キョウツウ</t>
    </rPh>
    <rPh sb="115" eb="117">
      <t>ヒツヨウ</t>
    </rPh>
    <rPh sb="120" eb="122">
      <t>キョウヨウ</t>
    </rPh>
    <rPh sb="123" eb="124">
      <t>ミ</t>
    </rPh>
    <rPh sb="125" eb="126">
      <t>ツ</t>
    </rPh>
    <rPh sb="133" eb="135">
      <t>セッケイ</t>
    </rPh>
    <rPh sb="141" eb="144">
      <t>グタイテキ</t>
    </rPh>
    <rPh sb="189" eb="191">
      <t>カモク</t>
    </rPh>
    <rPh sb="191" eb="192">
      <t>グン</t>
    </rPh>
    <rPh sb="193" eb="195">
      <t>ブンルイ</t>
    </rPh>
    <rPh sb="198" eb="200">
      <t>カモク</t>
    </rPh>
    <rPh sb="202" eb="204">
      <t>コウセイ</t>
    </rPh>
    <rPh sb="214" eb="215">
      <t>タン</t>
    </rPh>
    <rPh sb="216" eb="217">
      <t>コト</t>
    </rPh>
    <rPh sb="219" eb="221">
      <t>ブンヤ</t>
    </rPh>
    <rPh sb="222" eb="224">
      <t>キョウツウ</t>
    </rPh>
    <rPh sb="226" eb="228">
      <t>キョウヨウ</t>
    </rPh>
    <rPh sb="252" eb="253">
      <t>ヨ</t>
    </rPh>
    <rPh sb="256" eb="258">
      <t>シャカイ</t>
    </rPh>
    <rPh sb="259" eb="261">
      <t>カツヤク</t>
    </rPh>
    <rPh sb="266" eb="268">
      <t>キョウツウ</t>
    </rPh>
    <rPh sb="270" eb="272">
      <t>ヒツヨウ</t>
    </rPh>
    <rPh sb="275" eb="277">
      <t>キョウヨウ</t>
    </rPh>
    <rPh sb="278" eb="279">
      <t>カン</t>
    </rPh>
    <rPh sb="281" eb="283">
      <t>ジュギョウ</t>
    </rPh>
    <rPh sb="284" eb="285">
      <t>アツ</t>
    </rPh>
    <rPh sb="309" eb="311">
      <t>カツヤク</t>
    </rPh>
    <rPh sb="313" eb="315">
      <t>ジンザイ</t>
    </rPh>
    <rPh sb="321" eb="323">
      <t>キョウヨウ</t>
    </rPh>
    <rPh sb="324" eb="326">
      <t>ヒツヨウ</t>
    </rPh>
    <rPh sb="326" eb="329">
      <t>フカケツ</t>
    </rPh>
    <rPh sb="335" eb="336">
      <t>カンガ</t>
    </rPh>
    <rPh sb="338" eb="339">
      <t>モト</t>
    </rPh>
    <rPh sb="347" eb="349">
      <t>キョウヨウ</t>
    </rPh>
    <rPh sb="349" eb="351">
      <t>カモク</t>
    </rPh>
    <rPh sb="352" eb="353">
      <t>ナカ</t>
    </rPh>
    <rPh sb="357" eb="358">
      <t>ホン</t>
    </rPh>
    <rPh sb="365" eb="367">
      <t>ジョウホウ</t>
    </rPh>
    <rPh sb="367" eb="369">
      <t>ギジュツ</t>
    </rPh>
    <rPh sb="369" eb="370">
      <t>リョク</t>
    </rPh>
    <rPh sb="370" eb="372">
      <t>カモク</t>
    </rPh>
    <rPh sb="374" eb="375">
      <t>フク</t>
    </rPh>
    <rPh sb="381" eb="383">
      <t>カモク</t>
    </rPh>
    <rPh sb="384" eb="386">
      <t>コウセイ</t>
    </rPh>
    <rPh sb="404" eb="406">
      <t>ミス</t>
    </rPh>
    <rPh sb="408" eb="410">
      <t>シャカイ</t>
    </rPh>
    <rPh sb="412" eb="414">
      <t>カツヤク</t>
    </rPh>
    <rPh sb="417" eb="419">
      <t>イミ</t>
    </rPh>
    <rPh sb="422" eb="424">
      <t>ホンガク</t>
    </rPh>
    <rPh sb="425" eb="427">
      <t>キョウヨウ</t>
    </rPh>
    <rPh sb="427" eb="429">
      <t>キョウイク</t>
    </rPh>
    <rPh sb="430" eb="432">
      <t>チュウカク</t>
    </rPh>
    <rPh sb="446" eb="447">
      <t>ホン</t>
    </rPh>
    <rPh sb="453" eb="455">
      <t>コウセイ</t>
    </rPh>
    <rPh sb="457" eb="459">
      <t>カモク</t>
    </rPh>
    <rPh sb="463" eb="465">
      <t>ジョウホウ</t>
    </rPh>
    <rPh sb="465" eb="467">
      <t>ギジュツ</t>
    </rPh>
    <rPh sb="467" eb="468">
      <t>リョク</t>
    </rPh>
    <rPh sb="469" eb="471">
      <t>カモク</t>
    </rPh>
    <rPh sb="475" eb="477">
      <t>ジョウホウ</t>
    </rPh>
    <rPh sb="477" eb="479">
      <t>ギジュツ</t>
    </rPh>
    <rPh sb="480" eb="481">
      <t>ショ</t>
    </rPh>
    <rPh sb="481" eb="483">
      <t>ガクシャ</t>
    </rPh>
    <rPh sb="485" eb="487">
      <t>ジュウブン</t>
    </rPh>
    <rPh sb="488" eb="490">
      <t>リカイ</t>
    </rPh>
    <rPh sb="493" eb="495">
      <t>ジュギョウ</t>
    </rPh>
    <rPh sb="495" eb="497">
      <t>ナイヨウ</t>
    </rPh>
    <rPh sb="506" eb="507">
      <t>スベ</t>
    </rPh>
    <rPh sb="509" eb="511">
      <t>ガクブ</t>
    </rPh>
    <rPh sb="511" eb="513">
      <t>ガッカ</t>
    </rPh>
    <rPh sb="513" eb="514">
      <t>セイ</t>
    </rPh>
    <rPh sb="515" eb="517">
      <t>キョウミ</t>
    </rPh>
    <rPh sb="518" eb="519">
      <t>モ</t>
    </rPh>
    <rPh sb="525" eb="527">
      <t>サイヨウ</t>
    </rPh>
    <rPh sb="535" eb="537">
      <t>ジュギョウ</t>
    </rPh>
    <rPh sb="537" eb="539">
      <t>ジカン</t>
    </rPh>
    <rPh sb="539" eb="540">
      <t>ガイ</t>
    </rPh>
    <rPh sb="542" eb="544">
      <t>リシュウ</t>
    </rPh>
    <rPh sb="544" eb="545">
      <t>シャ</t>
    </rPh>
    <rPh sb="555" eb="557">
      <t>ジョウケン</t>
    </rPh>
    <rPh sb="560" eb="562">
      <t>ジュギョウ</t>
    </rPh>
    <rPh sb="562" eb="564">
      <t>ナイヨウ</t>
    </rPh>
    <rPh sb="565" eb="567">
      <t>ケイカク</t>
    </rPh>
    <rPh sb="574" eb="576">
      <t>グタイ</t>
    </rPh>
    <rPh sb="576" eb="577">
      <t>テキ</t>
    </rPh>
    <rPh sb="593" eb="595">
      <t>ワカ</t>
    </rPh>
    <rPh sb="600" eb="601">
      <t>ツ</t>
    </rPh>
    <rPh sb="612" eb="614">
      <t>ニンキ</t>
    </rPh>
    <rPh sb="629" eb="630">
      <t>スウ</t>
    </rPh>
    <rPh sb="631" eb="633">
      <t>スイイ</t>
    </rPh>
    <rPh sb="637" eb="640">
      <t>ガクセイタチ</t>
    </rPh>
    <rPh sb="641" eb="643">
      <t>キョウミ</t>
    </rPh>
    <rPh sb="644" eb="645">
      <t>モ</t>
    </rPh>
    <rPh sb="651" eb="653">
      <t>サイヨウ</t>
    </rPh>
    <rPh sb="658" eb="660">
      <t>イッポウ</t>
    </rPh>
    <rPh sb="668" eb="670">
      <t>キソ</t>
    </rPh>
    <rPh sb="682" eb="684">
      <t>コウチク</t>
    </rPh>
    <rPh sb="693" eb="694">
      <t>モチ</t>
    </rPh>
    <rPh sb="703" eb="704">
      <t>ナド</t>
    </rPh>
    <rPh sb="710" eb="712">
      <t>ユウヨウ</t>
    </rPh>
    <rPh sb="717" eb="719">
      <t>シュウトク</t>
    </rPh>
    <rPh sb="720" eb="722">
      <t>モクヒョウ</t>
    </rPh>
    <rPh sb="732" eb="734">
      <t>ジョウホウ</t>
    </rPh>
    <rPh sb="738" eb="739">
      <t>ガク</t>
    </rPh>
    <rPh sb="739" eb="741">
      <t>ガイロン</t>
    </rPh>
    <rPh sb="744" eb="746">
      <t>ジョウホウ</t>
    </rPh>
    <rPh sb="752" eb="753">
      <t>タカ</t>
    </rPh>
    <rPh sb="754" eb="756">
      <t>ガクセイ</t>
    </rPh>
    <rPh sb="757" eb="759">
      <t>タイショウ</t>
    </rPh>
    <rPh sb="763" eb="766">
      <t>センモンテキ</t>
    </rPh>
    <rPh sb="767" eb="769">
      <t>ジョウホウ</t>
    </rPh>
    <rPh sb="769" eb="771">
      <t>ギジュツ</t>
    </rPh>
    <rPh sb="772" eb="773">
      <t>カン</t>
    </rPh>
    <rPh sb="775" eb="777">
      <t>ジコウ</t>
    </rPh>
    <rPh sb="778" eb="780">
      <t>ショウカイ</t>
    </rPh>
    <phoneticPr fontId="1"/>
  </si>
  <si>
    <t>本プログラムを構成する「情報技術力」科目の学習については，全学生が利用可能な「コンピュータプラザ」においてサポートを行っている．コンピュータプラザには，複数のスタッフが常駐しており，デスクトップパソコン，オンライン授業用ブース，プリンター等が設置されている他，学生のメールアカウントや所有するノートパソコンのサポートも行っている．
　インターンシップについては，本プログラムを構成する科目には含まれていないが，同じ教養科目の「キャリア」科目の中に「インターンシップ」が設置されている．この授業の運営とサポートは専任教員と「キャリア支援センター」の職員が行っている．
　本プログラムを構成する「プログラミング基礎A・B」では，履修者に対して個別の指導が必要となるためSA（Student Assistant）による授業サポートを行っている．SAは「情報技術力」科目の単位を優秀な成績で修めた学生から希望者を募って採用している．
　全学的な取り組みではないが，情報教育の中核をなす情報表現学科では，毎年卒業制作展を東京芸術劇場にて開催しており，デジタルコンテンツ，CG，ゲームなど，情報技術を駆使した作品の展示を行っている．この展覧会における優秀な作品に対しては，専任教員の投票による優秀賞，大賞の他，一般の来場客の投票による一般賞を与えている．</t>
    <rPh sb="0" eb="1">
      <t>ホン</t>
    </rPh>
    <rPh sb="7" eb="9">
      <t>コウセイ</t>
    </rPh>
    <rPh sb="12" eb="14">
      <t>ジョウホウ</t>
    </rPh>
    <rPh sb="14" eb="16">
      <t>ギジュツ</t>
    </rPh>
    <rPh sb="16" eb="17">
      <t>リョク</t>
    </rPh>
    <rPh sb="18" eb="20">
      <t>カモク</t>
    </rPh>
    <rPh sb="21" eb="23">
      <t>ガクシュウ</t>
    </rPh>
    <rPh sb="128" eb="129">
      <t>ホカ</t>
    </rPh>
    <rPh sb="414" eb="417">
      <t>ゼンガクテキ</t>
    </rPh>
    <rPh sb="418" eb="419">
      <t>ト</t>
    </rPh>
    <rPh sb="420" eb="421">
      <t>ク</t>
    </rPh>
    <rPh sb="428" eb="430">
      <t>ジョウホウ</t>
    </rPh>
    <rPh sb="430" eb="432">
      <t>キョウイク</t>
    </rPh>
    <rPh sb="433" eb="435">
      <t>チュウカク</t>
    </rPh>
    <rPh sb="438" eb="440">
      <t>ジョウホウ</t>
    </rPh>
    <rPh sb="440" eb="442">
      <t>ヒョウゲン</t>
    </rPh>
    <rPh sb="442" eb="444">
      <t>ガッカ</t>
    </rPh>
    <rPh sb="447" eb="449">
      <t>マイトシ</t>
    </rPh>
    <rPh sb="449" eb="451">
      <t>ソツギョウ</t>
    </rPh>
    <rPh sb="451" eb="453">
      <t>セイサク</t>
    </rPh>
    <rPh sb="453" eb="454">
      <t>テン</t>
    </rPh>
    <rPh sb="455" eb="457">
      <t>トウキョウ</t>
    </rPh>
    <rPh sb="457" eb="459">
      <t>ゲイジュツ</t>
    </rPh>
    <rPh sb="459" eb="461">
      <t>ゲキジョウ</t>
    </rPh>
    <rPh sb="463" eb="465">
      <t>カイサイ</t>
    </rPh>
    <rPh sb="489" eb="491">
      <t>ジョウホウ</t>
    </rPh>
    <rPh sb="491" eb="493">
      <t>ギジュツ</t>
    </rPh>
    <rPh sb="494" eb="496">
      <t>クシ</t>
    </rPh>
    <rPh sb="498" eb="500">
      <t>サクヒン</t>
    </rPh>
    <rPh sb="501" eb="503">
      <t>テンジ</t>
    </rPh>
    <rPh sb="504" eb="505">
      <t>オコナ</t>
    </rPh>
    <rPh sb="512" eb="515">
      <t>テンランカイ</t>
    </rPh>
    <rPh sb="519" eb="521">
      <t>ユウシュウ</t>
    </rPh>
    <rPh sb="522" eb="524">
      <t>サクヒン</t>
    </rPh>
    <rPh sb="525" eb="526">
      <t>タイ</t>
    </rPh>
    <rPh sb="530" eb="532">
      <t>センニン</t>
    </rPh>
    <rPh sb="532" eb="534">
      <t>キョウイン</t>
    </rPh>
    <rPh sb="535" eb="537">
      <t>トウヒョウ</t>
    </rPh>
    <rPh sb="540" eb="543">
      <t>ユウシュウショウ</t>
    </rPh>
    <rPh sb="544" eb="546">
      <t>タイショウ</t>
    </rPh>
    <rPh sb="547" eb="548">
      <t>ホカ</t>
    </rPh>
    <rPh sb="549" eb="551">
      <t>イッパン</t>
    </rPh>
    <rPh sb="552" eb="554">
      <t>ライジョウ</t>
    </rPh>
    <rPh sb="554" eb="555">
      <t>キャク</t>
    </rPh>
    <rPh sb="556" eb="558">
      <t>トウヒョウ</t>
    </rPh>
    <rPh sb="561" eb="563">
      <t>イッパン</t>
    </rPh>
    <rPh sb="563" eb="564">
      <t>ショウ</t>
    </rPh>
    <rPh sb="565" eb="566">
      <t>アタ</t>
    </rPh>
    <phoneticPr fontId="1"/>
  </si>
  <si>
    <t>本プログラムまたは「情報技術力」科目から所定の単位を取得した学生，および授業担当教員は，様々な形で学外との交流で身に着けたスキルを生かしている．
　まず，尚美学園大学の所在値である川越では，地元の神社に，学生と教員が共同で開発したコンピュータとアートを融合したインタレーション作品を設置している．一見，神様を祀る神社と情報技術は関係無いと思われるが，AIを用いた「おみくじ」というユニークなインスタレーション作品が人気を得ている．
　また産業界との連携については，40年以上に亘り民間放送局と民間企業が運営している人々の生活や嗜好に関する世論調査のデータベースについて，その有用性を周知するための共同研究を行っている．共同開発したデータ解析ツールは，データサイエンスの授業の中で履修者に紹介している．
　海外の大学等との連携については，韓国・高麗大学のHwang MyungJing教授との女子労働力人口推移の日韓比較に関する共同研究の結果をデータサイエンスの授業内で紹介している．また，フィリピン・Don Mariano Marcos Memorial 州立大学の Dr. Alvin R. Malicdem
と情報学を学ぶ学生同士の交流について検討を行っている．さらに，アニメーション制作の分野では，カンボジアで山田隆量氏が運営しているYamad School of Artの生徒と本学の学生による背景画とキャラクターの共同制作を行い，オンラインによる交流を行っている．学生達が身に着けたデジタル機器によるアニメーション制作手法が，この交流を実現している．</t>
    <rPh sb="0" eb="1">
      <t>ホン</t>
    </rPh>
    <rPh sb="10" eb="12">
      <t>ジョウホウ</t>
    </rPh>
    <rPh sb="12" eb="14">
      <t>ギジュツ</t>
    </rPh>
    <rPh sb="14" eb="15">
      <t>リョク</t>
    </rPh>
    <rPh sb="16" eb="18">
      <t>カモク</t>
    </rPh>
    <rPh sb="20" eb="22">
      <t>ショテイ</t>
    </rPh>
    <rPh sb="23" eb="25">
      <t>タンイ</t>
    </rPh>
    <rPh sb="26" eb="28">
      <t>シュトク</t>
    </rPh>
    <rPh sb="30" eb="32">
      <t>ガクセイ</t>
    </rPh>
    <rPh sb="36" eb="38">
      <t>ジュギョウ</t>
    </rPh>
    <rPh sb="38" eb="40">
      <t>タントウ</t>
    </rPh>
    <rPh sb="40" eb="42">
      <t>キョウイン</t>
    </rPh>
    <rPh sb="44" eb="46">
      <t>サマザマ</t>
    </rPh>
    <rPh sb="47" eb="48">
      <t>カタチ</t>
    </rPh>
    <rPh sb="49" eb="51">
      <t>ガクガイ</t>
    </rPh>
    <rPh sb="53" eb="55">
      <t>コウリュウ</t>
    </rPh>
    <rPh sb="56" eb="57">
      <t>ミ</t>
    </rPh>
    <rPh sb="58" eb="59">
      <t>ツ</t>
    </rPh>
    <rPh sb="65" eb="66">
      <t>イ</t>
    </rPh>
    <rPh sb="77" eb="79">
      <t>ナオミ</t>
    </rPh>
    <rPh sb="79" eb="81">
      <t>ガクエン</t>
    </rPh>
    <rPh sb="81" eb="83">
      <t>ダイガク</t>
    </rPh>
    <rPh sb="84" eb="86">
      <t>ショザイ</t>
    </rPh>
    <rPh sb="86" eb="87">
      <t>チ</t>
    </rPh>
    <rPh sb="90" eb="92">
      <t>カワゴエ</t>
    </rPh>
    <rPh sb="95" eb="97">
      <t>ジモト</t>
    </rPh>
    <rPh sb="98" eb="100">
      <t>ジンジャ</t>
    </rPh>
    <rPh sb="126" eb="128">
      <t>ユウゴウ</t>
    </rPh>
    <rPh sb="138" eb="140">
      <t>サクヒン</t>
    </rPh>
    <rPh sb="141" eb="143">
      <t>セッチ</t>
    </rPh>
    <rPh sb="148" eb="150">
      <t>イッケン</t>
    </rPh>
    <rPh sb="151" eb="152">
      <t>カミ</t>
    </rPh>
    <rPh sb="152" eb="153">
      <t>サマ</t>
    </rPh>
    <rPh sb="154" eb="155">
      <t>マツ</t>
    </rPh>
    <rPh sb="156" eb="158">
      <t>ジンジャ</t>
    </rPh>
    <rPh sb="159" eb="161">
      <t>ジョウホウ</t>
    </rPh>
    <rPh sb="161" eb="163">
      <t>ギジュツ</t>
    </rPh>
    <rPh sb="164" eb="166">
      <t>カンケイ</t>
    </rPh>
    <rPh sb="166" eb="167">
      <t>ナ</t>
    </rPh>
    <rPh sb="169" eb="170">
      <t>オモ</t>
    </rPh>
    <rPh sb="178" eb="179">
      <t>モチ</t>
    </rPh>
    <rPh sb="204" eb="206">
      <t>サクヒン</t>
    </rPh>
    <rPh sb="207" eb="209">
      <t>ニンキ</t>
    </rPh>
    <rPh sb="210" eb="211">
      <t>エ</t>
    </rPh>
    <rPh sb="219" eb="221">
      <t>サンギョウ</t>
    </rPh>
    <rPh sb="221" eb="222">
      <t>カイ</t>
    </rPh>
    <rPh sb="224" eb="226">
      <t>レンケイ</t>
    </rPh>
    <rPh sb="234" eb="237">
      <t>ネンイジョウ</t>
    </rPh>
    <rPh sb="238" eb="239">
      <t>ワタ</t>
    </rPh>
    <rPh sb="257" eb="259">
      <t>ヒトビト</t>
    </rPh>
    <rPh sb="260" eb="262">
      <t>セイカツ</t>
    </rPh>
    <rPh sb="263" eb="265">
      <t>シコウ</t>
    </rPh>
    <rPh sb="266" eb="267">
      <t>カン</t>
    </rPh>
    <rPh sb="269" eb="271">
      <t>ヨロン</t>
    </rPh>
    <rPh sb="271" eb="273">
      <t>チョウサ</t>
    </rPh>
    <rPh sb="287" eb="290">
      <t>ユウヨウセイ</t>
    </rPh>
    <rPh sb="291" eb="293">
      <t>シュウチ</t>
    </rPh>
    <rPh sb="298" eb="300">
      <t>キョウドウ</t>
    </rPh>
    <rPh sb="300" eb="302">
      <t>ケンキュウ</t>
    </rPh>
    <rPh sb="303" eb="304">
      <t>オコナ</t>
    </rPh>
    <rPh sb="309" eb="311">
      <t>キョウドウ</t>
    </rPh>
    <rPh sb="311" eb="313">
      <t>カイハツ</t>
    </rPh>
    <rPh sb="318" eb="320">
      <t>カイセキ</t>
    </rPh>
    <rPh sb="334" eb="336">
      <t>ジュギョウ</t>
    </rPh>
    <rPh sb="337" eb="338">
      <t>ナカ</t>
    </rPh>
    <rPh sb="339" eb="341">
      <t>リシュウ</t>
    </rPh>
    <rPh sb="341" eb="342">
      <t>シャ</t>
    </rPh>
    <rPh sb="343" eb="345">
      <t>ショウカイ</t>
    </rPh>
    <rPh sb="352" eb="354">
      <t>カイガイ</t>
    </rPh>
    <rPh sb="355" eb="357">
      <t>ダイガク</t>
    </rPh>
    <rPh sb="357" eb="358">
      <t>トウ</t>
    </rPh>
    <rPh sb="360" eb="362">
      <t>レンケイ</t>
    </rPh>
    <rPh sb="368" eb="370">
      <t>カンコク</t>
    </rPh>
    <rPh sb="371" eb="373">
      <t>コウライ</t>
    </rPh>
    <rPh sb="373" eb="375">
      <t>ダイガク</t>
    </rPh>
    <rPh sb="391" eb="393">
      <t>キョウジュ</t>
    </rPh>
    <rPh sb="395" eb="397">
      <t>ジョシ</t>
    </rPh>
    <rPh sb="397" eb="400">
      <t>ロウドウリョク</t>
    </rPh>
    <rPh sb="400" eb="402">
      <t>ジンコウ</t>
    </rPh>
    <rPh sb="402" eb="404">
      <t>スイイ</t>
    </rPh>
    <rPh sb="405" eb="407">
      <t>ニッカン</t>
    </rPh>
    <rPh sb="407" eb="409">
      <t>ヒカク</t>
    </rPh>
    <rPh sb="410" eb="411">
      <t>カン</t>
    </rPh>
    <rPh sb="413" eb="415">
      <t>キョウドウ</t>
    </rPh>
    <rPh sb="415" eb="417">
      <t>ケンキュウ</t>
    </rPh>
    <rPh sb="418" eb="420">
      <t>ケッカ</t>
    </rPh>
    <rPh sb="430" eb="432">
      <t>ジュギョウ</t>
    </rPh>
    <rPh sb="432" eb="433">
      <t>ナイ</t>
    </rPh>
    <rPh sb="434" eb="436">
      <t>ショウカイ</t>
    </rPh>
    <rPh sb="478" eb="480">
      <t>シュウリツ</t>
    </rPh>
    <rPh sb="480" eb="482">
      <t>ダイガク</t>
    </rPh>
    <rPh sb="507" eb="509">
      <t>ジョウホウ</t>
    </rPh>
    <rPh sb="509" eb="510">
      <t>ガク</t>
    </rPh>
    <rPh sb="511" eb="512">
      <t>マナ</t>
    </rPh>
    <rPh sb="513" eb="515">
      <t>ガクセイ</t>
    </rPh>
    <rPh sb="515" eb="517">
      <t>ドウシ</t>
    </rPh>
    <rPh sb="518" eb="520">
      <t>コウリュウ</t>
    </rPh>
    <rPh sb="524" eb="526">
      <t>ケントウ</t>
    </rPh>
    <rPh sb="527" eb="528">
      <t>オコナ</t>
    </rPh>
    <rPh sb="544" eb="546">
      <t>セイサク</t>
    </rPh>
    <rPh sb="547" eb="549">
      <t>ブンヤ</t>
    </rPh>
    <rPh sb="562" eb="563">
      <t>シ</t>
    </rPh>
    <rPh sb="564" eb="566">
      <t>ウンエイ</t>
    </rPh>
    <rPh sb="590" eb="592">
      <t>セイト</t>
    </rPh>
    <rPh sb="593" eb="595">
      <t>ホンガク</t>
    </rPh>
    <rPh sb="596" eb="598">
      <t>ガクセイ</t>
    </rPh>
    <rPh sb="601" eb="603">
      <t>ハイケイ</t>
    </rPh>
    <rPh sb="603" eb="604">
      <t>ガ</t>
    </rPh>
    <rPh sb="612" eb="614">
      <t>キョウドウ</t>
    </rPh>
    <rPh sb="614" eb="616">
      <t>セイサク</t>
    </rPh>
    <rPh sb="617" eb="618">
      <t>オコナ</t>
    </rPh>
    <rPh sb="628" eb="630">
      <t>コウリュウ</t>
    </rPh>
    <rPh sb="631" eb="632">
      <t>オコナ</t>
    </rPh>
    <rPh sb="637" eb="640">
      <t>ガクセイタチ</t>
    </rPh>
    <rPh sb="641" eb="642">
      <t>ミ</t>
    </rPh>
    <rPh sb="643" eb="644">
      <t>ツ</t>
    </rPh>
    <rPh sb="650" eb="652">
      <t>キキ</t>
    </rPh>
    <rPh sb="662" eb="664">
      <t>セイサク</t>
    </rPh>
    <rPh sb="664" eb="666">
      <t>シュホウ</t>
    </rPh>
    <rPh sb="670" eb="672">
      <t>コウリュウ</t>
    </rPh>
    <rPh sb="673" eb="675">
      <t>ジツゲン</t>
    </rPh>
    <phoneticPr fontId="1"/>
  </si>
  <si>
    <t>尚美学園大学</t>
    <rPh sb="0" eb="6">
      <t>ナオミガクエンダイガク</t>
    </rPh>
    <phoneticPr fontId="1"/>
  </si>
  <si>
    <t>学校法人尚美学園</t>
    <phoneticPr fontId="1"/>
  </si>
  <si>
    <t xml:space="preserve">	埼玉県川越市豊田町1-1-1</t>
    <phoneticPr fontId="1"/>
  </si>
  <si>
    <t>私立大学</t>
  </si>
  <si>
    <t>令和2年度</t>
    <rPh sb="0" eb="2">
      <t>レイワ</t>
    </rPh>
    <rPh sb="3" eb="4">
      <t>ネン</t>
    </rPh>
    <rPh sb="4" eb="5">
      <t>ド</t>
    </rPh>
    <phoneticPr fontId="1"/>
  </si>
  <si>
    <t>データ・情報・メディア総合教育プログラム</t>
    <rPh sb="11" eb="15">
      <t>ソウゴウキョウイク</t>
    </rPh>
    <phoneticPr fontId="1"/>
  </si>
  <si>
    <t>加藤順一</t>
    <phoneticPr fontId="1"/>
  </si>
  <si>
    <t>自己点検・評価委員会</t>
    <phoneticPr fontId="1"/>
  </si>
  <si>
    <t>教務課</t>
    <rPh sb="0" eb="3">
      <t>キョウムカ</t>
    </rPh>
    <phoneticPr fontId="1"/>
  </si>
  <si>
    <t>渡邊昌弘</t>
    <phoneticPr fontId="1"/>
  </si>
  <si>
    <t>m-watanabe@s.shobi-u.ac.jp</t>
    <phoneticPr fontId="1"/>
  </si>
  <si>
    <t>049-246-2700</t>
    <phoneticPr fontId="1"/>
  </si>
  <si>
    <t>尚美学園大学</t>
    <rPh sb="0" eb="6">
      <t>ナオミガクエンダイガク</t>
    </rPh>
    <phoneticPr fontId="1"/>
  </si>
  <si>
    <t>様式４－１</t>
    <rPh sb="0" eb="2">
      <t>ヨウシキ</t>
    </rPh>
    <phoneticPr fontId="1"/>
  </si>
  <si>
    <t>様式４－２</t>
    <rPh sb="0" eb="2">
      <t>ヨウシキ</t>
    </rPh>
    <phoneticPr fontId="1"/>
  </si>
  <si>
    <t>尚美学園大学</t>
    <rPh sb="0" eb="2">
      <t>ナオミ</t>
    </rPh>
    <rPh sb="2" eb="4">
      <t>ガクエン</t>
    </rPh>
    <rPh sb="4" eb="6">
      <t>ダイガク</t>
    </rPh>
    <phoneticPr fontId="1"/>
  </si>
  <si>
    <t>本プログラムを構成する授業科目では，例えばデータサイエンスにおいて「アニメに関する検索ランキングデータ」や「コロナ，ワクチンに関するツイート数の時系列データ」を取り上げるなど，本学の学生が興味を持ちやすい内容を取り入れたため，数理・データサイエンス・AIの有用性に対する履修者の理解度は大変高かった．実際，プレゼンテーション用のスライドを最終課題としたが，科目担当者の予想以上のレベルであった．このため，成績評価の平均値は相当に高いものとなった．また，学生アンケートからは，各授業内容の理解度，難易度，達成度が高かったことを確認した．</t>
    <rPh sb="0" eb="1">
      <t>ホン</t>
    </rPh>
    <rPh sb="7" eb="9">
      <t>コウセイ</t>
    </rPh>
    <rPh sb="11" eb="13">
      <t>ジュギョウ</t>
    </rPh>
    <rPh sb="13" eb="15">
      <t>カモク</t>
    </rPh>
    <rPh sb="18" eb="19">
      <t>タト</t>
    </rPh>
    <rPh sb="38" eb="39">
      <t>カン</t>
    </rPh>
    <rPh sb="41" eb="43">
      <t>ケンサク</t>
    </rPh>
    <rPh sb="63" eb="64">
      <t>カン</t>
    </rPh>
    <rPh sb="70" eb="71">
      <t>スウ</t>
    </rPh>
    <rPh sb="72" eb="75">
      <t>ジケイレツ</t>
    </rPh>
    <rPh sb="80" eb="81">
      <t>ト</t>
    </rPh>
    <rPh sb="82" eb="83">
      <t>ア</t>
    </rPh>
    <rPh sb="88" eb="90">
      <t>ホンガク</t>
    </rPh>
    <rPh sb="91" eb="93">
      <t>ガクセイ</t>
    </rPh>
    <rPh sb="94" eb="96">
      <t>キョウミ</t>
    </rPh>
    <rPh sb="97" eb="98">
      <t>モ</t>
    </rPh>
    <rPh sb="102" eb="104">
      <t>ナイヨウ</t>
    </rPh>
    <rPh sb="105" eb="106">
      <t>ト</t>
    </rPh>
    <rPh sb="107" eb="108">
      <t>イ</t>
    </rPh>
    <rPh sb="113" eb="115">
      <t>スウリ</t>
    </rPh>
    <rPh sb="128" eb="131">
      <t>ユウヨウセイ</t>
    </rPh>
    <rPh sb="132" eb="133">
      <t>タイ</t>
    </rPh>
    <rPh sb="135" eb="137">
      <t>リシュウ</t>
    </rPh>
    <rPh sb="137" eb="138">
      <t>シャ</t>
    </rPh>
    <rPh sb="139" eb="141">
      <t>リカイ</t>
    </rPh>
    <rPh sb="141" eb="142">
      <t>ド</t>
    </rPh>
    <rPh sb="143" eb="145">
      <t>タイヘン</t>
    </rPh>
    <rPh sb="145" eb="146">
      <t>タカ</t>
    </rPh>
    <rPh sb="150" eb="152">
      <t>ジッサイ</t>
    </rPh>
    <rPh sb="162" eb="163">
      <t>ヨウ</t>
    </rPh>
    <rPh sb="169" eb="171">
      <t>サイシュウ</t>
    </rPh>
    <rPh sb="171" eb="173">
      <t>カダイ</t>
    </rPh>
    <rPh sb="178" eb="180">
      <t>カモク</t>
    </rPh>
    <rPh sb="180" eb="183">
      <t>タントウシャ</t>
    </rPh>
    <rPh sb="184" eb="186">
      <t>ヨソウ</t>
    </rPh>
    <rPh sb="186" eb="188">
      <t>イジョウ</t>
    </rPh>
    <rPh sb="202" eb="204">
      <t>セイセキ</t>
    </rPh>
    <rPh sb="204" eb="206">
      <t>ヒョウカ</t>
    </rPh>
    <rPh sb="207" eb="210">
      <t>ヘイキンチ</t>
    </rPh>
    <rPh sb="211" eb="213">
      <t>ソウトウ</t>
    </rPh>
    <rPh sb="214" eb="215">
      <t>タカ</t>
    </rPh>
    <rPh sb="255" eb="256">
      <t>タカ</t>
    </rPh>
    <rPh sb="262" eb="264">
      <t>カクニン</t>
    </rPh>
    <phoneticPr fontId="1"/>
  </si>
  <si>
    <t>後輩等への推奨について，データサイエンスについては，試験による一度だけの評価ではなく，テーマ毎に与えられた課題が評価され，履修者が自分自身の理解度を課題を通じて確認できるため，努力がそのまま単位取得に繋がる科目であると認識が，継承されていると思われる．また，メディアリテラシーと情報システム概論については，情報技術力関連の知識を有していない履修者でも十分に理解できるように，授業が設計されている．このため，コンピュータやデータといった言葉にアレルギーを持つ学生でも，躊躇なく履修できると感じている．ただし，シラバスをよく読まず授業名だけで判断するような学生に対する指導を工夫する必要がある．</t>
    <rPh sb="0" eb="2">
      <t>コウハイ</t>
    </rPh>
    <rPh sb="2" eb="3">
      <t>トウ</t>
    </rPh>
    <rPh sb="5" eb="7">
      <t>スイショウ</t>
    </rPh>
    <rPh sb="46" eb="47">
      <t>ゴト</t>
    </rPh>
    <rPh sb="48" eb="49">
      <t>アタ</t>
    </rPh>
    <rPh sb="53" eb="55">
      <t>カダイ</t>
    </rPh>
    <rPh sb="56" eb="58">
      <t>ヒョウカ</t>
    </rPh>
    <rPh sb="61" eb="63">
      <t>リシュウ</t>
    </rPh>
    <rPh sb="63" eb="64">
      <t>シャ</t>
    </rPh>
    <rPh sb="65" eb="67">
      <t>ジブン</t>
    </rPh>
    <rPh sb="67" eb="69">
      <t>ジシン</t>
    </rPh>
    <rPh sb="70" eb="73">
      <t>リカイド</t>
    </rPh>
    <rPh sb="74" eb="76">
      <t>カダイ</t>
    </rPh>
    <rPh sb="77" eb="78">
      <t>ツウ</t>
    </rPh>
    <rPh sb="80" eb="82">
      <t>カクニン</t>
    </rPh>
    <rPh sb="88" eb="90">
      <t>ドリョク</t>
    </rPh>
    <rPh sb="95" eb="97">
      <t>タンイ</t>
    </rPh>
    <rPh sb="97" eb="99">
      <t>シュトク</t>
    </rPh>
    <rPh sb="100" eb="101">
      <t>ツナ</t>
    </rPh>
    <rPh sb="103" eb="105">
      <t>カモク</t>
    </rPh>
    <rPh sb="109" eb="111">
      <t>ニンシキ</t>
    </rPh>
    <rPh sb="113" eb="115">
      <t>ケイショウ</t>
    </rPh>
    <rPh sb="121" eb="122">
      <t>オモ</t>
    </rPh>
    <rPh sb="139" eb="141">
      <t>ジョウホウ</t>
    </rPh>
    <rPh sb="145" eb="147">
      <t>ガイロン</t>
    </rPh>
    <rPh sb="153" eb="158">
      <t>ジョウホウギジュツリョク</t>
    </rPh>
    <rPh sb="158" eb="160">
      <t>カンレン</t>
    </rPh>
    <rPh sb="161" eb="163">
      <t>チシキ</t>
    </rPh>
    <rPh sb="164" eb="165">
      <t>ユウ</t>
    </rPh>
    <rPh sb="170" eb="172">
      <t>リシュウ</t>
    </rPh>
    <rPh sb="172" eb="173">
      <t>シャ</t>
    </rPh>
    <rPh sb="175" eb="177">
      <t>ジュウブン</t>
    </rPh>
    <rPh sb="178" eb="180">
      <t>リカイ</t>
    </rPh>
    <rPh sb="187" eb="189">
      <t>ジュギョウ</t>
    </rPh>
    <rPh sb="190" eb="192">
      <t>セッケイ</t>
    </rPh>
    <rPh sb="217" eb="219">
      <t>コトバ</t>
    </rPh>
    <rPh sb="226" eb="227">
      <t>モ</t>
    </rPh>
    <rPh sb="228" eb="230">
      <t>ガクセイ</t>
    </rPh>
    <rPh sb="233" eb="235">
      <t>チュウチョ</t>
    </rPh>
    <rPh sb="237" eb="239">
      <t>リシュウ</t>
    </rPh>
    <rPh sb="243" eb="244">
      <t>カン</t>
    </rPh>
    <rPh sb="260" eb="261">
      <t>ヨ</t>
    </rPh>
    <rPh sb="263" eb="265">
      <t>ジュギョウ</t>
    </rPh>
    <rPh sb="265" eb="266">
      <t>メイ</t>
    </rPh>
    <rPh sb="269" eb="271">
      <t>ハンダン</t>
    </rPh>
    <rPh sb="276" eb="278">
      <t>ガクセイ</t>
    </rPh>
    <rPh sb="279" eb="280">
      <t>タイ</t>
    </rPh>
    <rPh sb="282" eb="284">
      <t>シドウ</t>
    </rPh>
    <rPh sb="285" eb="287">
      <t>クフウ</t>
    </rPh>
    <rPh sb="289" eb="291">
      <t>ヒツヨウ</t>
    </rPh>
    <phoneticPr fontId="1"/>
  </si>
  <si>
    <t>2020年度はメディアリテラシーとデータサイエンスを中心に多数の履修者を得ることができた．これは，オリエンテーションにおいてメディアリテラシーを全学生向きの授業であることを周知したことと，本プログラムを構成する科目は，オンデマンド授業に適合性があったことが要因であると思われる．特に，データサイエンスでは，2020年度からテレビアニメや時事への人々の関心をデータ解析により明らかにするというテーマで演習を行ったため，このことが2021年度の新入生が在校生に伝わり，多くの学生が履修に興味を持つことを期待している．</t>
    <rPh sb="4" eb="6">
      <t>ネンド</t>
    </rPh>
    <rPh sb="26" eb="28">
      <t>チュウシン</t>
    </rPh>
    <rPh sb="29" eb="31">
      <t>タスウ</t>
    </rPh>
    <rPh sb="32" eb="34">
      <t>リシュウ</t>
    </rPh>
    <rPh sb="34" eb="35">
      <t>シャ</t>
    </rPh>
    <rPh sb="36" eb="37">
      <t>エ</t>
    </rPh>
    <rPh sb="75" eb="76">
      <t>ム</t>
    </rPh>
    <rPh sb="78" eb="80">
      <t>ジュギョウ</t>
    </rPh>
    <rPh sb="86" eb="88">
      <t>シュウチ</t>
    </rPh>
    <rPh sb="94" eb="95">
      <t>ホン</t>
    </rPh>
    <rPh sb="101" eb="103">
      <t>コウセイ</t>
    </rPh>
    <rPh sb="105" eb="107">
      <t>カモク</t>
    </rPh>
    <rPh sb="115" eb="117">
      <t>ジュギョウ</t>
    </rPh>
    <rPh sb="118" eb="121">
      <t>テキゴウセイ</t>
    </rPh>
    <rPh sb="128" eb="130">
      <t>ヨウイン</t>
    </rPh>
    <rPh sb="134" eb="135">
      <t>オモ</t>
    </rPh>
    <rPh sb="139" eb="140">
      <t>トク</t>
    </rPh>
    <rPh sb="157" eb="159">
      <t>ネンド</t>
    </rPh>
    <rPh sb="168" eb="170">
      <t>ジジ</t>
    </rPh>
    <rPh sb="172" eb="174">
      <t>ヒトビト</t>
    </rPh>
    <rPh sb="175" eb="177">
      <t>カンシン</t>
    </rPh>
    <rPh sb="181" eb="183">
      <t>カイセキ</t>
    </rPh>
    <rPh sb="186" eb="187">
      <t>アキ</t>
    </rPh>
    <rPh sb="199" eb="201">
      <t>エンシュウ</t>
    </rPh>
    <rPh sb="202" eb="203">
      <t>オコナ</t>
    </rPh>
    <rPh sb="217" eb="219">
      <t>ネンド</t>
    </rPh>
    <rPh sb="220" eb="223">
      <t>シンニュウセイ</t>
    </rPh>
    <rPh sb="224" eb="227">
      <t>ザイコウセイ</t>
    </rPh>
    <rPh sb="228" eb="229">
      <t>ツタ</t>
    </rPh>
    <rPh sb="232" eb="233">
      <t>オオ</t>
    </rPh>
    <rPh sb="235" eb="237">
      <t>ガクセイ</t>
    </rPh>
    <rPh sb="238" eb="240">
      <t>リシュウ</t>
    </rPh>
    <rPh sb="241" eb="243">
      <t>キョウミ</t>
    </rPh>
    <rPh sb="244" eb="245">
      <t>モ</t>
    </rPh>
    <rPh sb="249" eb="251">
      <t>キタイ</t>
    </rPh>
    <phoneticPr fontId="1"/>
  </si>
  <si>
    <t>本プログラムを構成する科目を担当する教員は，データ解析コンサルティングを営む複数の会社との共同研究において，短期的な社会トレンドより，長期的な社会トレンドの変化の分析から将来の市場予測できる学生を輩出して欲しいという要望を受けている．また，モニター調査から得られたデータベースの運営を行っている民間企業からは，全学的教育にデータベースの利用することを提案されている．さらに，プロスポーツチームを運営するスタッフとの共同研究では，スポーツ科学の分野にデータサイエンスを応用できる人材の育成を要望されている．</t>
    <rPh sb="0" eb="1">
      <t>ホン</t>
    </rPh>
    <rPh sb="7" eb="9">
      <t>コウセイ</t>
    </rPh>
    <rPh sb="11" eb="13">
      <t>カモク</t>
    </rPh>
    <rPh sb="14" eb="16">
      <t>タントウ</t>
    </rPh>
    <rPh sb="18" eb="20">
      <t>キョウイン</t>
    </rPh>
    <rPh sb="25" eb="27">
      <t>カイセキ</t>
    </rPh>
    <rPh sb="45" eb="47">
      <t>キョウドウ</t>
    </rPh>
    <rPh sb="47" eb="49">
      <t>ケンキュウ</t>
    </rPh>
    <rPh sb="54" eb="57">
      <t>タンキテキ</t>
    </rPh>
    <rPh sb="58" eb="60">
      <t>シャカイ</t>
    </rPh>
    <rPh sb="67" eb="70">
      <t>チョウキテキ</t>
    </rPh>
    <rPh sb="71" eb="73">
      <t>シャカイ</t>
    </rPh>
    <rPh sb="78" eb="80">
      <t>ヘンカ</t>
    </rPh>
    <rPh sb="81" eb="83">
      <t>ブンセキ</t>
    </rPh>
    <rPh sb="85" eb="87">
      <t>ショウライ</t>
    </rPh>
    <rPh sb="88" eb="90">
      <t>シジョウ</t>
    </rPh>
    <rPh sb="90" eb="92">
      <t>ヨソク</t>
    </rPh>
    <rPh sb="95" eb="97">
      <t>ガクセイ</t>
    </rPh>
    <rPh sb="98" eb="100">
      <t>ハイシュツ</t>
    </rPh>
    <rPh sb="102" eb="103">
      <t>ホ</t>
    </rPh>
    <rPh sb="108" eb="110">
      <t>ヨウボウ</t>
    </rPh>
    <rPh sb="111" eb="112">
      <t>ウ</t>
    </rPh>
    <rPh sb="124" eb="126">
      <t>チョウサ</t>
    </rPh>
    <rPh sb="128" eb="129">
      <t>エ</t>
    </rPh>
    <rPh sb="139" eb="141">
      <t>ウンエイ</t>
    </rPh>
    <rPh sb="142" eb="143">
      <t>オコナ</t>
    </rPh>
    <rPh sb="147" eb="149">
      <t>ミンカン</t>
    </rPh>
    <rPh sb="149" eb="151">
      <t>キギョウ</t>
    </rPh>
    <rPh sb="155" eb="158">
      <t>ゼンガクテキ</t>
    </rPh>
    <rPh sb="158" eb="160">
      <t>キョウイク</t>
    </rPh>
    <rPh sb="168" eb="170">
      <t>リヨウ</t>
    </rPh>
    <rPh sb="175" eb="177">
      <t>テイアン</t>
    </rPh>
    <rPh sb="197" eb="199">
      <t>ウンエイ</t>
    </rPh>
    <rPh sb="207" eb="209">
      <t>キョウドウ</t>
    </rPh>
    <rPh sb="209" eb="211">
      <t>ケンキュウ</t>
    </rPh>
    <rPh sb="218" eb="220">
      <t>カガク</t>
    </rPh>
    <rPh sb="221" eb="223">
      <t>ブンヤ</t>
    </rPh>
    <rPh sb="233" eb="235">
      <t>オウヨウ</t>
    </rPh>
    <rPh sb="238" eb="240">
      <t>ジンザイ</t>
    </rPh>
    <rPh sb="241" eb="243">
      <t>イクセイ</t>
    </rPh>
    <rPh sb="244" eb="246">
      <t>ヨウボウ</t>
    </rPh>
    <phoneticPr fontId="1"/>
  </si>
  <si>
    <t>先ず，各学期の始めに行うオリエンテーションにおいて本プログラムの紹介を行う．また，修了証の発行など，本プログラムを終了したことを目に見える形で実感できるようにする．さらに，データ解析コンペティションのようなイベントを企画し，本プログラムで得たスキルを生かせる場を用意することを計画している．これに加えて，プログラムに関わる教員とその他の分野を専攻する教員の共同研究を積極的に推奨し，その結果を学生達にアピールすることで，本プログラムの有用性を周知する．これらに加え，学生ポータル・システムの「お知らせ機能」を利用して本プログラムを周知する他，受験生に対しても，本プログラムの取り組み趣旨を周知するために，大学公式Twitter等からの配信にも力を入れる方針である．さらに，本学の発行する「教育課程年報」や「紀要」に，本プログラムの教育成果を報告する論文を掲載し，広く成果をアピールに勤める．</t>
    <rPh sb="0" eb="1">
      <t>マ</t>
    </rPh>
    <rPh sb="148" eb="149">
      <t>クワ</t>
    </rPh>
    <rPh sb="158" eb="159">
      <t>カカ</t>
    </rPh>
    <rPh sb="161" eb="163">
      <t>キョウイン</t>
    </rPh>
    <rPh sb="166" eb="167">
      <t>タ</t>
    </rPh>
    <rPh sb="168" eb="170">
      <t>ブンヤ</t>
    </rPh>
    <rPh sb="171" eb="173">
      <t>センコウ</t>
    </rPh>
    <rPh sb="175" eb="177">
      <t>キョウイン</t>
    </rPh>
    <rPh sb="178" eb="180">
      <t>キョウドウ</t>
    </rPh>
    <rPh sb="180" eb="182">
      <t>ケンキュウ</t>
    </rPh>
    <rPh sb="183" eb="186">
      <t>セッキョクテキ</t>
    </rPh>
    <rPh sb="187" eb="189">
      <t>スイショウ</t>
    </rPh>
    <rPh sb="193" eb="195">
      <t>ケッカ</t>
    </rPh>
    <rPh sb="196" eb="199">
      <t>ガクセイタチ</t>
    </rPh>
    <rPh sb="210" eb="211">
      <t>ホン</t>
    </rPh>
    <rPh sb="217" eb="220">
      <t>ユウヨウセイ</t>
    </rPh>
    <rPh sb="221" eb="223">
      <t>シュウチ</t>
    </rPh>
    <rPh sb="230" eb="231">
      <t>クワ</t>
    </rPh>
    <rPh sb="233" eb="235">
      <t>ガクセイ</t>
    </rPh>
    <rPh sb="247" eb="248">
      <t>シ</t>
    </rPh>
    <rPh sb="250" eb="252">
      <t>キノウ</t>
    </rPh>
    <rPh sb="254" eb="256">
      <t>リヨウ</t>
    </rPh>
    <rPh sb="258" eb="259">
      <t>ホン</t>
    </rPh>
    <rPh sb="265" eb="267">
      <t>シュウチ</t>
    </rPh>
    <rPh sb="269" eb="270">
      <t>ホカ</t>
    </rPh>
    <rPh sb="271" eb="274">
      <t>ジュケンセイ</t>
    </rPh>
    <rPh sb="275" eb="276">
      <t>タイ</t>
    </rPh>
    <rPh sb="280" eb="281">
      <t>ホン</t>
    </rPh>
    <rPh sb="287" eb="288">
      <t>ト</t>
    </rPh>
    <rPh sb="289" eb="290">
      <t>ク</t>
    </rPh>
    <rPh sb="291" eb="293">
      <t>シュシ</t>
    </rPh>
    <rPh sb="294" eb="296">
      <t>シュウチ</t>
    </rPh>
    <rPh sb="302" eb="304">
      <t>ダイガク</t>
    </rPh>
    <rPh sb="304" eb="306">
      <t>コウシキ</t>
    </rPh>
    <rPh sb="313" eb="314">
      <t>ナド</t>
    </rPh>
    <rPh sb="317" eb="319">
      <t>ハイシン</t>
    </rPh>
    <rPh sb="321" eb="322">
      <t>チカラ</t>
    </rPh>
    <rPh sb="323" eb="324">
      <t>イ</t>
    </rPh>
    <rPh sb="326" eb="328">
      <t>ホウシン</t>
    </rPh>
    <rPh sb="336" eb="338">
      <t>ホンガク</t>
    </rPh>
    <rPh sb="339" eb="341">
      <t>ハッコウ</t>
    </rPh>
    <rPh sb="344" eb="348">
      <t>キョウイクカテイ</t>
    </rPh>
    <rPh sb="348" eb="350">
      <t>ネンポウ</t>
    </rPh>
    <rPh sb="353" eb="355">
      <t>キヨウ</t>
    </rPh>
    <rPh sb="358" eb="359">
      <t>ホン</t>
    </rPh>
    <rPh sb="365" eb="367">
      <t>キョウイク</t>
    </rPh>
    <rPh sb="367" eb="369">
      <t>セイカ</t>
    </rPh>
    <rPh sb="370" eb="372">
      <t>ホウコク</t>
    </rPh>
    <rPh sb="374" eb="376">
      <t>ロンブン</t>
    </rPh>
    <rPh sb="377" eb="379">
      <t>ケイサイ</t>
    </rPh>
    <rPh sb="381" eb="382">
      <t>ヒロ</t>
    </rPh>
    <rPh sb="383" eb="385">
      <t>セイカ</t>
    </rPh>
    <rPh sb="391" eb="392">
      <t>ツト</t>
    </rPh>
    <phoneticPr fontId="1"/>
  </si>
  <si>
    <t>多くの学生が本プログラムに参加できるように，履修登録システムの改定を検討している．本プログラムは「データサイエンス」「メディアリテラシー」「情報システム概論」から構成されるが，オンライン履修登録システムを，本プログラムへの参加を登録すれば，自動的に本プログラム構成授業の履修登録が完了するように改定することを検討している．また，各学部・学科のオリエンテーションのおいて，本プログラムの優秀修了者を紹介するなど，オリエンテーションでのアピールも検討している．さらに，本プログラムの詳細を知りたいという学生のための説明会をオリエンテーションと別途に開催する予定である．いずれの説明においても，本プログラムの目標（ゴール）を明示し，単なる理論の理解ではなく，データサイエンス・リテラシーとも呼ぶべきデータ収集・分析の実務に関するスキルを学べることを強調することが重要であると考えている．</t>
    <rPh sb="0" eb="1">
      <t>オオ</t>
    </rPh>
    <rPh sb="3" eb="5">
      <t>ガクセイ</t>
    </rPh>
    <rPh sb="6" eb="7">
      <t>ホン</t>
    </rPh>
    <rPh sb="13" eb="15">
      <t>サンカ</t>
    </rPh>
    <rPh sb="22" eb="26">
      <t>リシュウトウロク</t>
    </rPh>
    <rPh sb="31" eb="33">
      <t>カイテイ</t>
    </rPh>
    <rPh sb="34" eb="36">
      <t>ケントウ</t>
    </rPh>
    <rPh sb="41" eb="42">
      <t>ホン</t>
    </rPh>
    <rPh sb="70" eb="72">
      <t>ジョウホウ</t>
    </rPh>
    <rPh sb="76" eb="78">
      <t>ガイロン</t>
    </rPh>
    <rPh sb="81" eb="83">
      <t>コウセイ</t>
    </rPh>
    <rPh sb="93" eb="95">
      <t>リシュウ</t>
    </rPh>
    <rPh sb="95" eb="97">
      <t>トウロク</t>
    </rPh>
    <rPh sb="103" eb="104">
      <t>ホン</t>
    </rPh>
    <rPh sb="111" eb="113">
      <t>サンカ</t>
    </rPh>
    <rPh sb="114" eb="116">
      <t>トウロク</t>
    </rPh>
    <rPh sb="120" eb="122">
      <t>ジドウ</t>
    </rPh>
    <rPh sb="122" eb="123">
      <t>テキ</t>
    </rPh>
    <rPh sb="124" eb="125">
      <t>ホン</t>
    </rPh>
    <rPh sb="130" eb="134">
      <t>コウセイジュギョウ</t>
    </rPh>
    <rPh sb="135" eb="139">
      <t>リシュウトウロク</t>
    </rPh>
    <rPh sb="140" eb="142">
      <t>カンリョウ</t>
    </rPh>
    <rPh sb="147" eb="149">
      <t>カイテイ</t>
    </rPh>
    <rPh sb="154" eb="156">
      <t>ケントウ</t>
    </rPh>
    <rPh sb="164" eb="165">
      <t>カク</t>
    </rPh>
    <rPh sb="165" eb="167">
      <t>ガクブ</t>
    </rPh>
    <rPh sb="168" eb="170">
      <t>ガッカ</t>
    </rPh>
    <rPh sb="185" eb="186">
      <t>ホン</t>
    </rPh>
    <rPh sb="192" eb="194">
      <t>ユウシュウ</t>
    </rPh>
    <rPh sb="194" eb="197">
      <t>シュウリョウシャ</t>
    </rPh>
    <rPh sb="198" eb="200">
      <t>ショウカイ</t>
    </rPh>
    <rPh sb="221" eb="223">
      <t>ケントウ</t>
    </rPh>
    <rPh sb="232" eb="233">
      <t>ホン</t>
    </rPh>
    <rPh sb="239" eb="241">
      <t>ショウサイ</t>
    </rPh>
    <rPh sb="242" eb="243">
      <t>シ</t>
    </rPh>
    <rPh sb="249" eb="251">
      <t>ガクセイ</t>
    </rPh>
    <rPh sb="255" eb="258">
      <t>セツメイカイ</t>
    </rPh>
    <rPh sb="269" eb="271">
      <t>ベット</t>
    </rPh>
    <rPh sb="272" eb="274">
      <t>カイサイ</t>
    </rPh>
    <rPh sb="276" eb="278">
      <t>ヨテイ</t>
    </rPh>
    <rPh sb="286" eb="288">
      <t>セツメイ</t>
    </rPh>
    <rPh sb="294" eb="295">
      <t>ホン</t>
    </rPh>
    <rPh sb="301" eb="303">
      <t>モクヒョウ</t>
    </rPh>
    <rPh sb="309" eb="311">
      <t>メイジ</t>
    </rPh>
    <rPh sb="313" eb="314">
      <t>タン</t>
    </rPh>
    <rPh sb="316" eb="318">
      <t>リロン</t>
    </rPh>
    <rPh sb="319" eb="321">
      <t>リカイ</t>
    </rPh>
    <rPh sb="342" eb="343">
      <t>ヨ</t>
    </rPh>
    <rPh sb="349" eb="351">
      <t>シュウシュウ</t>
    </rPh>
    <rPh sb="352" eb="354">
      <t>ブンセキ</t>
    </rPh>
    <rPh sb="355" eb="357">
      <t>ジツム</t>
    </rPh>
    <rPh sb="358" eb="359">
      <t>カン</t>
    </rPh>
    <rPh sb="365" eb="366">
      <t>マナ</t>
    </rPh>
    <rPh sb="371" eb="373">
      <t>キョウチョウ</t>
    </rPh>
    <rPh sb="378" eb="380">
      <t>ジュウヨウ</t>
    </rPh>
    <rPh sb="384" eb="385">
      <t>カンガ</t>
    </rPh>
    <phoneticPr fontId="1"/>
  </si>
  <si>
    <t>教務部長</t>
    <rPh sb="0" eb="4">
      <t>キョウムブチョウ</t>
    </rPh>
    <phoneticPr fontId="1"/>
  </si>
  <si>
    <t>華山宣胤</t>
    <rPh sb="0" eb="2">
      <t>ハナヤマ</t>
    </rPh>
    <rPh sb="2" eb="3">
      <t>セン</t>
    </rPh>
    <rPh sb="3" eb="4">
      <t>タネ</t>
    </rPh>
    <phoneticPr fontId="1"/>
  </si>
  <si>
    <t>芸術情報学部・教授</t>
    <rPh sb="0" eb="6">
      <t>ゲイジュツジョウホウガクブ</t>
    </rPh>
    <rPh sb="7" eb="9">
      <t>キョウジュ</t>
    </rPh>
    <phoneticPr fontId="1"/>
  </si>
  <si>
    <t>全学・全科目について実施している学生アンケート調査のうち本プログラムに含まれる「データサイエンス」「情報システム概論」「メディアリテラシー」に関する履修者回答データを分析することによって，授業内容の学生の理解度を把握している．分析結果は自己点検・評価委員会および全学教務委員会で報告され，本プログラムの評価・改善に活用している．本プログラムの修得は，全学部・学科の卒業要件と合致する，つまり，プログラム修得のために履修した授業単位は卒業単位として認められるため，プログラム修得を目指した履修指導は卒業を目指した履修指導を兼ねると考えられる．</t>
    <rPh sb="0" eb="2">
      <t>ゼンガク</t>
    </rPh>
    <rPh sb="3" eb="6">
      <t>ゼンカモク</t>
    </rPh>
    <rPh sb="23" eb="25">
      <t>チョウサ</t>
    </rPh>
    <rPh sb="28" eb="29">
      <t>ホン</t>
    </rPh>
    <rPh sb="35" eb="36">
      <t>フク</t>
    </rPh>
    <rPh sb="50" eb="52">
      <t>ジョウホウ</t>
    </rPh>
    <rPh sb="56" eb="58">
      <t>ガイロン</t>
    </rPh>
    <rPh sb="71" eb="72">
      <t>カン</t>
    </rPh>
    <rPh sb="74" eb="77">
      <t>リシュウシャ</t>
    </rPh>
    <rPh sb="77" eb="79">
      <t>カイトウ</t>
    </rPh>
    <rPh sb="113" eb="115">
      <t>ブンセキ</t>
    </rPh>
    <rPh sb="115" eb="117">
      <t>ケッカ</t>
    </rPh>
    <rPh sb="131" eb="133">
      <t>ゼンガク</t>
    </rPh>
    <phoneticPr fontId="1"/>
  </si>
  <si>
    <t>プログラムを改善・進化させるための体制を定める規則名称</t>
    <phoneticPr fontId="1"/>
  </si>
  <si>
    <t>学部・学科に関係なく希望する学生全員が受講可能となるような必要な体制・取組等</t>
    <phoneticPr fontId="1"/>
  </si>
  <si>
    <t>全学教務委員会（情報・データサイエンスプログラム担当）</t>
    <rPh sb="0" eb="2">
      <t>ゼンガク</t>
    </rPh>
    <rPh sb="2" eb="4">
      <t>キョウム</t>
    </rPh>
    <rPh sb="4" eb="7">
      <t>イインカイ</t>
    </rPh>
    <rPh sb="8" eb="10">
      <t>ジョウホウ</t>
    </rPh>
    <rPh sb="24" eb="26">
      <t>タントウ</t>
    </rPh>
    <phoneticPr fontId="1"/>
  </si>
  <si>
    <t>芸術，スポーツ，社会科学の分野に関わる様々な課題を発見、解決できる人材を育成することを目的に、数理・データサイエンス・AI教育の全学的な普及、関連科目の整備を行う．教務部長（教務委員長）の下に、各学部教務委員長を主とする本プログラム担当の教務委員がプログラムを構成する各科目について，スキルや目的の異なる履修者への対応が適切であるか，履修者の興味を引き出す魅力的な事例が紹介されているか，について確認を行い，各授業の改善を図ることを目的とする．また，教育課程および履修方式の効果的な運営を図るために新規科目の導入や各学部の専門科目との連携を高める方策について検討を行う．</t>
    <rPh sb="0" eb="2">
      <t>ゲイジュツ</t>
    </rPh>
    <rPh sb="13" eb="15">
      <t>ブンヤ</t>
    </rPh>
    <rPh sb="16" eb="17">
      <t>カカ</t>
    </rPh>
    <rPh sb="19" eb="21">
      <t>サマザマ</t>
    </rPh>
    <rPh sb="130" eb="132">
      <t>コウセイ</t>
    </rPh>
    <rPh sb="134" eb="137">
      <t>カクカモク</t>
    </rPh>
    <rPh sb="146" eb="148">
      <t>モクテキ</t>
    </rPh>
    <rPh sb="149" eb="150">
      <t>コト</t>
    </rPh>
    <rPh sb="152" eb="154">
      <t>リシュウ</t>
    </rPh>
    <rPh sb="154" eb="155">
      <t>シャ</t>
    </rPh>
    <rPh sb="157" eb="159">
      <t>タイオウ</t>
    </rPh>
    <rPh sb="160" eb="162">
      <t>テキセツ</t>
    </rPh>
    <rPh sb="167" eb="169">
      <t>リシュウ</t>
    </rPh>
    <rPh sb="169" eb="170">
      <t>シャ</t>
    </rPh>
    <rPh sb="171" eb="173">
      <t>キョウミ</t>
    </rPh>
    <rPh sb="174" eb="175">
      <t>ヒ</t>
    </rPh>
    <rPh sb="176" eb="177">
      <t>ダ</t>
    </rPh>
    <rPh sb="178" eb="181">
      <t>ミリョクテキ</t>
    </rPh>
    <rPh sb="182" eb="184">
      <t>ジレイ</t>
    </rPh>
    <rPh sb="185" eb="187">
      <t>ショウカイ</t>
    </rPh>
    <rPh sb="198" eb="200">
      <t>カクニン</t>
    </rPh>
    <rPh sb="201" eb="202">
      <t>オコナ</t>
    </rPh>
    <rPh sb="204" eb="207">
      <t>カクジュギョウ</t>
    </rPh>
    <rPh sb="208" eb="210">
      <t>カイゼン</t>
    </rPh>
    <rPh sb="211" eb="212">
      <t>ハカ</t>
    </rPh>
    <rPh sb="216" eb="218">
      <t>モクテキ</t>
    </rPh>
    <rPh sb="249" eb="251">
      <t>シンキ</t>
    </rPh>
    <rPh sb="251" eb="253">
      <t>カモク</t>
    </rPh>
    <rPh sb="254" eb="256">
      <t>ドウニュウ</t>
    </rPh>
    <rPh sb="257" eb="260">
      <t>カクガクブ</t>
    </rPh>
    <rPh sb="261" eb="263">
      <t>センモン</t>
    </rPh>
    <rPh sb="263" eb="265">
      <t>カモク</t>
    </rPh>
    <rPh sb="267" eb="269">
      <t>レンケイ</t>
    </rPh>
    <rPh sb="270" eb="271">
      <t>タカ</t>
    </rPh>
    <rPh sb="273" eb="275">
      <t>ホウサク</t>
    </rPh>
    <rPh sb="279" eb="281">
      <t>ケントウ</t>
    </rPh>
    <rPh sb="282" eb="283">
      <t>オコナ</t>
    </rPh>
    <phoneticPr fontId="1"/>
  </si>
  <si>
    <t>本プログラム担当の教務委員と各科目担当教員が協力して全学の学生の興味と関心を引き出せる授業内容（シラバス）の検討と改訂を行う．具体的には，演習等で使用／例示するデータを，各学部・学科の専門科目と関連したものを使用するために，教員間の連絡を蜜に行う．特に，本学では「芸術，スポーツ，社会学」を学ぶ学生混在しているため，各履修者が自分自身の専門を超えて興味を持てる授業の実現を目指す．また，科目「メディアリテラシー」については全学性が履修可能な時間割を整備する．さらに，科目「データサイエンス」については，オンデマンド教材し作成し，対面授業による指導の補完に用いる．これらに加え，時間割と開講クラス数についても検討する必要があると考えている．全学の学生が履修できるような時間割案，開講クラス増による収容人数の増加を検討する．場合によっては，対面授業とオンデマンド授業の並行開講を行うことも検討する．</t>
    <rPh sb="63" eb="66">
      <t>グタイテキ</t>
    </rPh>
    <rPh sb="69" eb="71">
      <t>エンシュウ</t>
    </rPh>
    <rPh sb="71" eb="72">
      <t>トウ</t>
    </rPh>
    <rPh sb="73" eb="75">
      <t>シヨウ</t>
    </rPh>
    <rPh sb="76" eb="78">
      <t>レイジ</t>
    </rPh>
    <rPh sb="85" eb="88">
      <t>カクガクブ</t>
    </rPh>
    <rPh sb="89" eb="91">
      <t>ガッカ</t>
    </rPh>
    <rPh sb="92" eb="96">
      <t>センモンカモク</t>
    </rPh>
    <rPh sb="97" eb="99">
      <t>カンレン</t>
    </rPh>
    <rPh sb="104" eb="106">
      <t>シヨウ</t>
    </rPh>
    <rPh sb="112" eb="115">
      <t>キョウインカン</t>
    </rPh>
    <rPh sb="116" eb="118">
      <t>レンラク</t>
    </rPh>
    <rPh sb="119" eb="120">
      <t>ミツ</t>
    </rPh>
    <rPh sb="121" eb="122">
      <t>オコナ</t>
    </rPh>
    <rPh sb="145" eb="146">
      <t>マナ</t>
    </rPh>
    <rPh sb="285" eb="286">
      <t>クワ</t>
    </rPh>
    <rPh sb="288" eb="291">
      <t>ジカンワリ</t>
    </rPh>
    <rPh sb="292" eb="294">
      <t>カイコウ</t>
    </rPh>
    <rPh sb="297" eb="298">
      <t>スウ</t>
    </rPh>
    <rPh sb="303" eb="305">
      <t>ケントウ</t>
    </rPh>
    <rPh sb="307" eb="309">
      <t>ヒツヨウ</t>
    </rPh>
    <rPh sb="313" eb="314">
      <t>カンガ</t>
    </rPh>
    <rPh sb="319" eb="321">
      <t>ゼンガク</t>
    </rPh>
    <rPh sb="322" eb="324">
      <t>ガクセイ</t>
    </rPh>
    <rPh sb="325" eb="327">
      <t>リシュウ</t>
    </rPh>
    <rPh sb="333" eb="337">
      <t>ジカンワリアン</t>
    </rPh>
    <rPh sb="338" eb="340">
      <t>カイコウ</t>
    </rPh>
    <rPh sb="343" eb="344">
      <t>ゾウ</t>
    </rPh>
    <rPh sb="347" eb="351">
      <t>シュウヨウニンズウ</t>
    </rPh>
    <rPh sb="352" eb="354">
      <t>ゾウカ</t>
    </rPh>
    <rPh sb="355" eb="357">
      <t>ケントウ</t>
    </rPh>
    <rPh sb="360" eb="362">
      <t>バアイ</t>
    </rPh>
    <rPh sb="368" eb="372">
      <t>タイメンジュギョウ</t>
    </rPh>
    <rPh sb="379" eb="381">
      <t>ジュギョウ</t>
    </rPh>
    <rPh sb="382" eb="384">
      <t>ヘイコウ</t>
    </rPh>
    <rPh sb="384" eb="386">
      <t>カイコウ</t>
    </rPh>
    <rPh sb="387" eb="388">
      <t>オコナ</t>
    </rPh>
    <rPh sb="392" eb="394">
      <t>ケントウ</t>
    </rPh>
    <phoneticPr fontId="1"/>
  </si>
  <si>
    <t>各年度の履修者数の目標を以下のとおりとする．（（　）内は履修率．）
令和３年度　500名　（76％）
令和４年度　500名　（76％）
令和５年度　550名　（84％）
令和６年度　550名　（84％）
令和７年度　600名　（90％）
目標を実現するために，令和３年度より，本プログラムが設置されていることを全学生へ周知するとともに，プログラムへの参加意義を明示する．各学部・学科でのオリエンテーションにおいて，履修指導の一貫として本プログラムを推奨できるように，全学教務委員会において，各教務委員での情報共有を徹底する．また，各学部・学科を横断して本プログラムを説明するオリエンテーション・タイムテーブルの検討を行う．さらに，令和７年度はプログラムを構成する科目のうち，２～３科目を選択必修とすることを検討する．さらに，各学部・学科の専門科目に共通する知識と技術を教授できるように，授業内容を見直す予定である．</t>
    <rPh sb="139" eb="140">
      <t>ホン</t>
    </rPh>
    <rPh sb="146" eb="148">
      <t>セッチ</t>
    </rPh>
    <rPh sb="156" eb="158">
      <t>ゼンガク</t>
    </rPh>
    <rPh sb="158" eb="159">
      <t>セイ</t>
    </rPh>
    <rPh sb="160" eb="162">
      <t>シュウチ</t>
    </rPh>
    <rPh sb="176" eb="178">
      <t>サンカ</t>
    </rPh>
    <rPh sb="178" eb="180">
      <t>イギ</t>
    </rPh>
    <rPh sb="181" eb="183">
      <t>メイジ</t>
    </rPh>
    <rPh sb="186" eb="187">
      <t>カク</t>
    </rPh>
    <rPh sb="187" eb="189">
      <t>ガクブ</t>
    </rPh>
    <rPh sb="190" eb="192">
      <t>ガッカ</t>
    </rPh>
    <rPh sb="208" eb="212">
      <t>リシュウシドウ</t>
    </rPh>
    <rPh sb="213" eb="215">
      <t>イッカン</t>
    </rPh>
    <rPh sb="218" eb="219">
      <t>ホン</t>
    </rPh>
    <rPh sb="225" eb="227">
      <t>スイショウ</t>
    </rPh>
    <rPh sb="253" eb="257">
      <t>ジョウホウキョウユウ</t>
    </rPh>
    <rPh sb="258" eb="260">
      <t>テッテイ</t>
    </rPh>
    <rPh sb="266" eb="269">
      <t>カクガクブ</t>
    </rPh>
    <rPh sb="270" eb="272">
      <t>ガッカ</t>
    </rPh>
    <rPh sb="273" eb="275">
      <t>オウダン</t>
    </rPh>
    <rPh sb="277" eb="278">
      <t>ホン</t>
    </rPh>
    <rPh sb="284" eb="286">
      <t>セツメイ</t>
    </rPh>
    <rPh sb="306" eb="308">
      <t>ケントウ</t>
    </rPh>
    <rPh sb="309" eb="310">
      <t>オコナ</t>
    </rPh>
    <rPh sb="341" eb="343">
      <t>カモク</t>
    </rPh>
    <rPh sb="344" eb="348">
      <t>センタクヒッシュウ</t>
    </rPh>
    <rPh sb="354" eb="356">
      <t>ケントウ</t>
    </rPh>
    <phoneticPr fontId="1"/>
  </si>
  <si>
    <t>令和４年以降に，本プロブラムをオンデマンド形式で受講できるように整備することを検討している．令和２年および３年の世界状況により，本プログラムを構成する３科目は全てオンデマンド形態で受講することができるようになった．これは，やがて対面授業を再開することを前提とした処置であるが，本プログラムに全学生を参加させることを目的として，オンデマンド形態の授業を再検討する予定である．最終的には，オンデマンドとそれを補う数回の対面授業，または対面による演習授業という形式を検討している．特に本学の特長である，芸術系と社会科学系，そしてスポーツに関する授業という，多方面に渡る分野を網羅する授業を行うためには，学習する時間帯を履修者自身が選択できるオンデマンド形式の授業が理想的であると考えている．ただし，対面授業をどのように並行するかについて，より詳細な検討が必要であると考えている．</t>
    <rPh sb="0" eb="2">
      <t>レイワ</t>
    </rPh>
    <rPh sb="3" eb="6">
      <t>ネンイコウ</t>
    </rPh>
    <rPh sb="8" eb="9">
      <t>ホン</t>
    </rPh>
    <rPh sb="21" eb="23">
      <t>ケイシキ</t>
    </rPh>
    <rPh sb="24" eb="26">
      <t>ジュコウ</t>
    </rPh>
    <rPh sb="32" eb="34">
      <t>セイビ</t>
    </rPh>
    <rPh sb="39" eb="41">
      <t>ケントウ</t>
    </rPh>
    <rPh sb="46" eb="48">
      <t>レイワ</t>
    </rPh>
    <rPh sb="49" eb="50">
      <t>ネン</t>
    </rPh>
    <rPh sb="54" eb="55">
      <t>ネン</t>
    </rPh>
    <rPh sb="56" eb="60">
      <t>セカイジョウキョウ</t>
    </rPh>
    <rPh sb="64" eb="65">
      <t>ホン</t>
    </rPh>
    <rPh sb="71" eb="73">
      <t>コウセイ</t>
    </rPh>
    <rPh sb="76" eb="78">
      <t>カモク</t>
    </rPh>
    <rPh sb="79" eb="80">
      <t>スベ</t>
    </rPh>
    <rPh sb="87" eb="89">
      <t>ケイタイ</t>
    </rPh>
    <rPh sb="90" eb="92">
      <t>ジュコウ</t>
    </rPh>
    <rPh sb="114" eb="118">
      <t>タイメンジュギョウ</t>
    </rPh>
    <rPh sb="119" eb="121">
      <t>サイカイ</t>
    </rPh>
    <rPh sb="126" eb="128">
      <t>ゼンテイ</t>
    </rPh>
    <rPh sb="131" eb="133">
      <t>ショチ</t>
    </rPh>
    <rPh sb="138" eb="139">
      <t>ホン</t>
    </rPh>
    <rPh sb="145" eb="147">
      <t>ゼンガク</t>
    </rPh>
    <rPh sb="147" eb="148">
      <t>セイ</t>
    </rPh>
    <rPh sb="149" eb="151">
      <t>サンカ</t>
    </rPh>
    <rPh sb="157" eb="159">
      <t>モクテキ</t>
    </rPh>
    <rPh sb="169" eb="171">
      <t>ケイタイ</t>
    </rPh>
    <rPh sb="172" eb="174">
      <t>ジュギョウ</t>
    </rPh>
    <rPh sb="175" eb="178">
      <t>サイケントウ</t>
    </rPh>
    <rPh sb="180" eb="182">
      <t>ヨテイ</t>
    </rPh>
    <rPh sb="186" eb="189">
      <t>サイシュウテキ</t>
    </rPh>
    <rPh sb="202" eb="203">
      <t>オギナ</t>
    </rPh>
    <rPh sb="204" eb="206">
      <t>スウカイ</t>
    </rPh>
    <rPh sb="207" eb="211">
      <t>タイメンジュギョウ</t>
    </rPh>
    <rPh sb="215" eb="217">
      <t>タイメン</t>
    </rPh>
    <rPh sb="220" eb="224">
      <t>エンシュウジュギョウ</t>
    </rPh>
    <rPh sb="227" eb="229">
      <t>ケイシキ</t>
    </rPh>
    <rPh sb="230" eb="232">
      <t>ケントウ</t>
    </rPh>
    <rPh sb="237" eb="238">
      <t>トク</t>
    </rPh>
    <rPh sb="239" eb="241">
      <t>ホンガク</t>
    </rPh>
    <rPh sb="242" eb="244">
      <t>トクチョウ</t>
    </rPh>
    <rPh sb="248" eb="251">
      <t>ゲイジュツケイ</t>
    </rPh>
    <rPh sb="266" eb="267">
      <t>カン</t>
    </rPh>
    <rPh sb="269" eb="271">
      <t>ジュギョウ</t>
    </rPh>
    <rPh sb="275" eb="278">
      <t>タホウメン</t>
    </rPh>
    <rPh sb="279" eb="280">
      <t>ワタ</t>
    </rPh>
    <rPh sb="281" eb="283">
      <t>ブンヤ</t>
    </rPh>
    <rPh sb="284" eb="286">
      <t>モウラ</t>
    </rPh>
    <rPh sb="288" eb="290">
      <t>ジュギョウ</t>
    </rPh>
    <rPh sb="291" eb="292">
      <t>オコナ</t>
    </rPh>
    <rPh sb="298" eb="300">
      <t>ガクシュウ</t>
    </rPh>
    <rPh sb="302" eb="305">
      <t>ジカンタイ</t>
    </rPh>
    <rPh sb="306" eb="309">
      <t>リシュウシャ</t>
    </rPh>
    <rPh sb="309" eb="311">
      <t>ジシン</t>
    </rPh>
    <rPh sb="312" eb="314">
      <t>センタク</t>
    </rPh>
    <rPh sb="323" eb="325">
      <t>ケイシキ</t>
    </rPh>
    <rPh sb="326" eb="328">
      <t>ジュギョウ</t>
    </rPh>
    <rPh sb="329" eb="332">
      <t>リソウテキ</t>
    </rPh>
    <rPh sb="336" eb="337">
      <t>カンガ</t>
    </rPh>
    <rPh sb="346" eb="350">
      <t>タイメンジュギョウ</t>
    </rPh>
    <rPh sb="356" eb="358">
      <t>ヘイコウ</t>
    </rPh>
    <rPh sb="368" eb="370">
      <t>ショウサイ</t>
    </rPh>
    <rPh sb="371" eb="373">
      <t>ケントウ</t>
    </rPh>
    <rPh sb="374" eb="376">
      <t>ヒツヨウ</t>
    </rPh>
    <rPh sb="380" eb="381">
      <t>カンガ</t>
    </rPh>
    <phoneticPr fontId="1"/>
  </si>
  <si>
    <t>芸術情報学部（芸術）</t>
  </si>
  <si>
    <t>総合政策学部（社会科学）</t>
  </si>
  <si>
    <t>スポーツマネジメント学部（保健）</t>
  </si>
  <si>
    <t>教務部長・教務委員長；加藤順一（総合政策学部教授）
芸術情報学部教務委員長；華山宣胤（芸術情報学部教授）
芸術情報学部教務委員；漢那拓也（芸術情報学部専任講師）
総合政策学部教務委員長；小林正英（総合政策学部准教授）
スポーツマネジメント学部教務委員長；梶孝之（スポーツマネジメント学部准教授）
事務局教務委員；渡邊昌弘（教務課長）</t>
    <phoneticPr fontId="1"/>
  </si>
  <si>
    <t>有</t>
  </si>
  <si>
    <t>本学において「数理・データサイエンス・AIを学ぶ楽しさ」を理解するには，学生等が専攻したいと考えている芸術分野やスポーツ，社会科学の分野での応用事例を示すことで実現できると考えている．実際，データサイエンスでは釈人一首と音楽を結び付けるツールとなり得ることを示し，また，スポーツゲームにおける勝敗要因分析や，検索エンジンでの検索キーワードランキング分析について演習を行うなど，工夫を施している．また，観光などの地域振興を事例として取り上げるなど，社会学の分野での応用事例も紹介している．また，学ぶことの意義を理解させるには，就職活動や就職後に有用であることを示すことが重要であると考えている．</t>
    <rPh sb="0" eb="2">
      <t>ホンガク</t>
    </rPh>
    <rPh sb="7" eb="9">
      <t>スウリ</t>
    </rPh>
    <rPh sb="22" eb="23">
      <t>マナ</t>
    </rPh>
    <rPh sb="24" eb="25">
      <t>タノ</t>
    </rPh>
    <rPh sb="29" eb="31">
      <t>リカイ</t>
    </rPh>
    <rPh sb="63" eb="65">
      <t>カガク</t>
    </rPh>
    <rPh sb="146" eb="148">
      <t>ショウハイ</t>
    </rPh>
    <rPh sb="148" eb="150">
      <t>ヨウイン</t>
    </rPh>
    <rPh sb="150" eb="152">
      <t>ブンセキ</t>
    </rPh>
    <rPh sb="200" eb="202">
      <t>カンコウ</t>
    </rPh>
    <rPh sb="205" eb="209">
      <t>チイキシンコウ</t>
    </rPh>
    <rPh sb="210" eb="212">
      <t>ジレイ</t>
    </rPh>
    <rPh sb="215" eb="216">
      <t>ト</t>
    </rPh>
    <rPh sb="217" eb="218">
      <t>ア</t>
    </rPh>
    <rPh sb="223" eb="226">
      <t>シャカイガク</t>
    </rPh>
    <rPh sb="227" eb="229">
      <t>ブンヤ</t>
    </rPh>
    <rPh sb="231" eb="235">
      <t>オウヨウジレイ</t>
    </rPh>
    <rPh sb="236" eb="238">
      <t>ショウカイ</t>
    </rPh>
    <phoneticPr fontId="1"/>
  </si>
  <si>
    <t>本プログラムでは，水準を維持しながら分かり易い授業を行うために、本学の学生の特性に合った授業コンテンツの作成に力を入れている。具体的には，芸術情報学部の学生には音楽，映画。ゲーム，アニメを題材とした事例を，総合政策学部の学生には行政や地域活動において役立つアンケート調査データ分析の事例を、そしてスポーツマネジメント学部の学生には，運動選手のトレーニングや試合におけるプレーの分析を事例として授業を行い、興味を持ってもらうことで水準を維持しつつ分かり易い授業を展開できるよう努力している。</t>
    <rPh sb="0" eb="1">
      <t>ホン</t>
    </rPh>
    <rPh sb="9" eb="11">
      <t>スイジュン</t>
    </rPh>
    <rPh sb="12" eb="14">
      <t>イジ</t>
    </rPh>
    <rPh sb="18" eb="19">
      <t>ワ</t>
    </rPh>
    <rPh sb="21" eb="22">
      <t>ヤス</t>
    </rPh>
    <rPh sb="23" eb="25">
      <t>ジュギョウ</t>
    </rPh>
    <rPh sb="26" eb="27">
      <t>オコナ</t>
    </rPh>
    <rPh sb="32" eb="34">
      <t>ホンガク</t>
    </rPh>
    <rPh sb="35" eb="37">
      <t>ガクセイ</t>
    </rPh>
    <rPh sb="38" eb="40">
      <t>トクセイ</t>
    </rPh>
    <rPh sb="41" eb="42">
      <t>ア</t>
    </rPh>
    <rPh sb="44" eb="46">
      <t>ジュギョウ</t>
    </rPh>
    <rPh sb="52" eb="54">
      <t>サクセイ</t>
    </rPh>
    <rPh sb="55" eb="56">
      <t>チカラ</t>
    </rPh>
    <rPh sb="57" eb="58">
      <t>イ</t>
    </rPh>
    <rPh sb="63" eb="66">
      <t>グタイテキ</t>
    </rPh>
    <rPh sb="69" eb="71">
      <t>ゲイジュツ</t>
    </rPh>
    <rPh sb="71" eb="73">
      <t>ジョウホウ</t>
    </rPh>
    <rPh sb="73" eb="75">
      <t>ガクブ</t>
    </rPh>
    <rPh sb="76" eb="78">
      <t>ガクセイ</t>
    </rPh>
    <rPh sb="80" eb="82">
      <t>オンガク</t>
    </rPh>
    <rPh sb="83" eb="85">
      <t>エイガ</t>
    </rPh>
    <rPh sb="94" eb="96">
      <t>ダイザイ</t>
    </rPh>
    <rPh sb="99" eb="101">
      <t>ジレイ</t>
    </rPh>
    <rPh sb="103" eb="105">
      <t>ソウゴウ</t>
    </rPh>
    <rPh sb="105" eb="107">
      <t>セイサク</t>
    </rPh>
    <rPh sb="107" eb="109">
      <t>ガクブ</t>
    </rPh>
    <rPh sb="110" eb="112">
      <t>ガクセイ</t>
    </rPh>
    <rPh sb="114" eb="116">
      <t>ギョウセイ</t>
    </rPh>
    <rPh sb="117" eb="119">
      <t>チイキ</t>
    </rPh>
    <rPh sb="119" eb="121">
      <t>カツドウ</t>
    </rPh>
    <rPh sb="125" eb="127">
      <t>ヤクダ</t>
    </rPh>
    <rPh sb="133" eb="135">
      <t>チョウサ</t>
    </rPh>
    <rPh sb="138" eb="140">
      <t>ブンセキ</t>
    </rPh>
    <rPh sb="141" eb="143">
      <t>ジレイ</t>
    </rPh>
    <rPh sb="158" eb="160">
      <t>ガクブ</t>
    </rPh>
    <rPh sb="161" eb="163">
      <t>ガクセイ</t>
    </rPh>
    <rPh sb="166" eb="168">
      <t>ウンドウ</t>
    </rPh>
    <rPh sb="168" eb="170">
      <t>センシュ</t>
    </rPh>
    <rPh sb="178" eb="180">
      <t>シアイ</t>
    </rPh>
    <rPh sb="188" eb="190">
      <t>ブンセキ</t>
    </rPh>
    <rPh sb="191" eb="193">
      <t>ジレイ</t>
    </rPh>
    <rPh sb="196" eb="198">
      <t>ジュギョウ</t>
    </rPh>
    <rPh sb="199" eb="200">
      <t>オコナ</t>
    </rPh>
    <rPh sb="202" eb="204">
      <t>キョウミ</t>
    </rPh>
    <rPh sb="205" eb="206">
      <t>モ</t>
    </rPh>
    <rPh sb="214" eb="216">
      <t>スイジュン</t>
    </rPh>
    <rPh sb="217" eb="219">
      <t>イジ</t>
    </rPh>
    <rPh sb="222" eb="223">
      <t>ワ</t>
    </rPh>
    <rPh sb="225" eb="226">
      <t>ヤス</t>
    </rPh>
    <rPh sb="227" eb="229">
      <t>ジュギョウ</t>
    </rPh>
    <rPh sb="230" eb="232">
      <t>テンカイ</t>
    </rPh>
    <rPh sb="237" eb="239">
      <t>ドリョク</t>
    </rPh>
    <phoneticPr fontId="1"/>
  </si>
  <si>
    <t>https://www.shobi-u.ac.jp/about/disclosure/</t>
    <phoneticPr fontId="1"/>
  </si>
  <si>
    <t>認定教育プログラムと認定教育プログラム+（プラス）</t>
  </si>
  <si>
    <t>音楽表現学科，音楽応用学科，舞台表現学科，総合政策学部，スポーツマネジメント学部では，プログラムを構成する下記の科目の中から「データサイエンス」と「メディアリテラシー」を修得すること．</t>
    <rPh sb="7" eb="11">
      <t>オンガクオウヨウ</t>
    </rPh>
    <rPh sb="11" eb="13">
      <t>ガッカ</t>
    </rPh>
    <rPh sb="53" eb="55">
      <t>カキ</t>
    </rPh>
    <rPh sb="56" eb="58">
      <t>カモク</t>
    </rPh>
    <rPh sb="59" eb="60">
      <t>ナカ</t>
    </rPh>
    <rPh sb="85" eb="87">
      <t>シュウトク</t>
    </rPh>
    <phoneticPr fontId="1"/>
  </si>
  <si>
    <t>情報表現学科ではプログラムを構成する下記の科目の中から「データサイエンス」と「メディアリテラシー」，「情報システム概論」を修得すること．</t>
    <rPh sb="51" eb="53">
      <t>ジョウホウ</t>
    </rPh>
    <rPh sb="57" eb="59">
      <t>ガイロン</t>
    </rPh>
    <phoneticPr fontId="1"/>
  </si>
  <si>
    <t>プログラミング基礎A</t>
    <phoneticPr fontId="1"/>
  </si>
  <si>
    <t>プログラミング基礎B</t>
    <phoneticPr fontId="1"/>
  </si>
  <si>
    <t>本学の自己点検・評価委員会において，学生のオンライン履修登録および教員の成績入学機能を備えた「ポータルサイト」から得られる履修・修得状況および課題の提出状況をチェックし，学生達のプログラムへの参加状況，プログラム内容の修得状況を把握・分析していている．履修率を見ると，芸術情報学部が32％，総合政策学部の履修率が10％と低い値を示しているが，これは本プログラムが令和二年度に設置された新カリキュラムの一貫であり，令和二年度の履修者が一年次生に限っていたことに因る．したがって，年次が進むとともに，スポーツマネジメント学部の履修率と同様の98％近くの履修率を達成できるものと予想している．</t>
    <rPh sb="0" eb="2">
      <t>ホンガク</t>
    </rPh>
    <rPh sb="18" eb="20">
      <t>ガクセイ</t>
    </rPh>
    <rPh sb="26" eb="30">
      <t>リシュウトウロク</t>
    </rPh>
    <rPh sb="33" eb="35">
      <t>キョウイン</t>
    </rPh>
    <rPh sb="36" eb="38">
      <t>セイセキ</t>
    </rPh>
    <rPh sb="40" eb="42">
      <t>キノウ</t>
    </rPh>
    <rPh sb="43" eb="44">
      <t>ソナ</t>
    </rPh>
    <rPh sb="57" eb="58">
      <t>エ</t>
    </rPh>
    <rPh sb="61" eb="63">
      <t>リシュウ</t>
    </rPh>
    <rPh sb="64" eb="68">
      <t>シュウトクジョウキョウ</t>
    </rPh>
    <rPh sb="71" eb="73">
      <t>カダイ</t>
    </rPh>
    <rPh sb="74" eb="76">
      <t>テイシュツ</t>
    </rPh>
    <rPh sb="76" eb="78">
      <t>ジョウキョウ</t>
    </rPh>
    <rPh sb="85" eb="88">
      <t>ガクセイタチ</t>
    </rPh>
    <rPh sb="96" eb="100">
      <t>サンカジョウキョウ</t>
    </rPh>
    <rPh sb="106" eb="108">
      <t>ナイヨウ</t>
    </rPh>
    <rPh sb="109" eb="113">
      <t>シュウトクジョウキョウ</t>
    </rPh>
    <rPh sb="114" eb="116">
      <t>ハアク</t>
    </rPh>
    <rPh sb="117" eb="119">
      <t>ブンセキ</t>
    </rPh>
    <rPh sb="126" eb="129">
      <t>リシュウリツ</t>
    </rPh>
    <rPh sb="130" eb="131">
      <t>ミ</t>
    </rPh>
    <rPh sb="145" eb="151">
      <t>ソウゴウセイサクガクブ</t>
    </rPh>
    <rPh sb="152" eb="155">
      <t>リシュウリツ</t>
    </rPh>
    <rPh sb="160" eb="161">
      <t>ヒク</t>
    </rPh>
    <rPh sb="162" eb="163">
      <t>アタイ</t>
    </rPh>
    <rPh sb="164" eb="165">
      <t>シメ</t>
    </rPh>
    <rPh sb="206" eb="208">
      <t>レイワ</t>
    </rPh>
    <rPh sb="208" eb="211">
      <t>2ネンド</t>
    </rPh>
    <rPh sb="212" eb="215">
      <t>リシュウシャ</t>
    </rPh>
    <rPh sb="216" eb="220">
      <t>イチネンジセイ</t>
    </rPh>
    <rPh sb="221" eb="222">
      <t>カギ</t>
    </rPh>
    <rPh sb="229" eb="230">
      <t>ヨ</t>
    </rPh>
    <rPh sb="238" eb="240">
      <t>ネンジ</t>
    </rPh>
    <rPh sb="241" eb="242">
      <t>スス</t>
    </rPh>
    <rPh sb="258" eb="260">
      <t>ガクブ</t>
    </rPh>
    <rPh sb="261" eb="263">
      <t>リシュウ</t>
    </rPh>
    <rPh sb="263" eb="264">
      <t>リツ</t>
    </rPh>
    <rPh sb="265" eb="267">
      <t>ドウヨウ</t>
    </rPh>
    <rPh sb="271" eb="272">
      <t>チカ</t>
    </rPh>
    <rPh sb="274" eb="277">
      <t>リシュウリツ</t>
    </rPh>
    <rPh sb="278" eb="280">
      <t>タッセイ</t>
    </rPh>
    <rPh sb="286" eb="288">
      <t>ヨソウ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</si>
</sst>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9"/>
      <color theme="1"/>
      <name val="ＭＳ Ｐゴシック"/>
      <family val="2"/>
      <charset val="128"/>
      <scheme val="minor"/>
    </font>
    <font>
      <sz val="9"/>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0"/>
      <color theme="1"/>
      <name val="ＭＳ Ｐゴシック"/>
      <family val="3"/>
      <charset val="128"/>
      <scheme val="minor"/>
    </font>
    <font>
      <sz val="12"/>
      <name val="ＭＳ Ｐゴシック"/>
      <family val="3"/>
      <charset val="128"/>
      <scheme val="minor"/>
    </font>
    <font>
      <sz val="12"/>
      <name val="ＭＳ Ｐゴシック"/>
      <family val="2"/>
      <charset val="128"/>
      <scheme val="minor"/>
    </font>
    <font>
      <sz val="7"/>
      <color theme="1"/>
      <name val="ＭＳ Ｐゴシック"/>
      <family val="3"/>
      <charset val="128"/>
      <scheme val="minor"/>
    </font>
    <font>
      <sz val="12"/>
      <color rgb="FFFF0000"/>
      <name val="ＭＳ Ｐゴシック"/>
      <family val="2"/>
      <charset val="128"/>
      <scheme val="minor"/>
    </font>
    <font>
      <sz val="12"/>
      <color rgb="FFFF0000"/>
      <name val="ＭＳ Ｐゴシック"/>
      <family val="3"/>
      <charset val="128"/>
      <scheme val="minor"/>
    </font>
    <font>
      <sz val="9"/>
      <color rgb="FFFF0000"/>
      <name val="ＭＳ Ｐゴシック"/>
      <family val="3"/>
      <charset val="128"/>
      <scheme val="minor"/>
    </font>
    <font>
      <sz val="11"/>
      <name val="ＭＳ Ｐゴシック"/>
      <family val="2"/>
      <charset val="128"/>
      <scheme val="minor"/>
    </font>
    <font>
      <sz val="11"/>
      <color theme="1"/>
      <name val="ＭＳ Ｐゴシック"/>
      <family val="3"/>
      <charset val="128"/>
      <scheme val="minor"/>
    </font>
  </fonts>
  <fills count="2">
    <fill>
      <patternFill patternType="none"/>
    </fill>
    <fill>
      <patternFill patternType="gray125"/>
    </fill>
  </fills>
  <borders count="4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hair">
        <color auto="1"/>
      </left>
      <right/>
      <top style="hair">
        <color auto="1"/>
      </top>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right style="thin">
        <color auto="1"/>
      </right>
      <top style="thin">
        <color auto="1"/>
      </top>
      <bottom style="hair">
        <color auto="1"/>
      </bottom>
      <diagonal/>
    </border>
    <border>
      <left style="thin">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style="thin">
        <color auto="1"/>
      </right>
      <top/>
      <bottom/>
      <diagonal/>
    </border>
  </borders>
  <cellStyleXfs count="3">
    <xf numFmtId="0" fontId="0" fillId="0" borderId="0">
      <alignment vertical="center"/>
    </xf>
    <xf numFmtId="38" fontId="6" fillId="0" borderId="0" applyFont="0" applyFill="0" applyBorder="0" applyAlignment="0" applyProtection="0">
      <alignment vertical="center"/>
    </xf>
    <xf numFmtId="0" fontId="7" fillId="0" borderId="0" applyNumberFormat="0" applyFill="0" applyBorder="0" applyAlignment="0" applyProtection="0">
      <alignment vertical="center"/>
    </xf>
  </cellStyleXfs>
  <cellXfs count="311">
    <xf numFmtId="0" fontId="0" fillId="0" borderId="0" xfId="0">
      <alignment vertical="center"/>
    </xf>
    <xf numFmtId="0" fontId="2" fillId="0" borderId="0" xfId="0" applyFont="1">
      <alignment vertical="center"/>
    </xf>
    <xf numFmtId="0" fontId="4" fillId="0" borderId="0" xfId="0" applyFont="1">
      <alignment vertical="center"/>
    </xf>
    <xf numFmtId="0" fontId="2" fillId="0" borderId="0" xfId="0" applyFont="1" applyBorder="1">
      <alignment vertical="center"/>
    </xf>
    <xf numFmtId="0" fontId="4" fillId="0" borderId="0" xfId="0" applyFont="1" applyBorder="1" applyAlignment="1">
      <alignment vertical="center" wrapText="1"/>
    </xf>
    <xf numFmtId="0" fontId="3" fillId="0" borderId="0" xfId="0" applyFont="1" applyAlignment="1">
      <alignment vertical="center"/>
    </xf>
    <xf numFmtId="0" fontId="2" fillId="0" borderId="5" xfId="0" applyFont="1" applyBorder="1">
      <alignment vertical="center"/>
    </xf>
    <xf numFmtId="0" fontId="2" fillId="0" borderId="0" xfId="0" applyFont="1" applyBorder="1" applyAlignment="1">
      <alignment vertical="center" wrapText="1"/>
    </xf>
    <xf numFmtId="0" fontId="4" fillId="0" borderId="0" xfId="0" applyFont="1" applyBorder="1" applyAlignment="1">
      <alignment vertical="top" wrapText="1"/>
    </xf>
    <xf numFmtId="0" fontId="3" fillId="0" borderId="0" xfId="0" applyFont="1" applyBorder="1" applyAlignment="1">
      <alignment vertical="top" wrapText="1"/>
    </xf>
    <xf numFmtId="0" fontId="3" fillId="0" borderId="0" xfId="0" applyFont="1">
      <alignment vertical="center"/>
    </xf>
    <xf numFmtId="0" fontId="3" fillId="0" borderId="0" xfId="0" applyFont="1" applyBorder="1" applyAlignment="1">
      <alignment vertical="center" wrapText="1"/>
    </xf>
    <xf numFmtId="0" fontId="4" fillId="0" borderId="0" xfId="0" applyFont="1" applyBorder="1" applyAlignment="1">
      <alignment vertical="top" shrinkToFit="1"/>
    </xf>
    <xf numFmtId="0" fontId="2" fillId="0" borderId="0" xfId="0" applyFont="1" applyAlignment="1">
      <alignment vertical="center"/>
    </xf>
    <xf numFmtId="0" fontId="2" fillId="0" borderId="0" xfId="0" applyFont="1" applyBorder="1" applyAlignment="1">
      <alignment vertical="top" wrapText="1"/>
    </xf>
    <xf numFmtId="0" fontId="2" fillId="0" borderId="0" xfId="0" applyFont="1" applyBorder="1" applyAlignment="1">
      <alignment vertical="center"/>
    </xf>
    <xf numFmtId="0" fontId="5" fillId="0" borderId="0" xfId="0" applyFont="1" applyBorder="1" applyAlignment="1">
      <alignment vertical="top" wrapText="1"/>
    </xf>
    <xf numFmtId="0" fontId="5" fillId="0" borderId="10" xfId="0" applyFont="1" applyBorder="1" applyAlignment="1">
      <alignment vertical="top" wrapText="1"/>
    </xf>
    <xf numFmtId="0" fontId="4" fillId="0" borderId="5" xfId="0" applyFont="1" applyBorder="1" applyAlignment="1">
      <alignment vertical="top" wrapText="1"/>
    </xf>
    <xf numFmtId="0" fontId="4" fillId="0" borderId="10" xfId="0" applyFont="1" applyBorder="1" applyAlignment="1">
      <alignment vertical="top" wrapText="1"/>
    </xf>
    <xf numFmtId="0" fontId="4" fillId="0" borderId="19" xfId="0" applyFont="1" applyBorder="1" applyAlignment="1">
      <alignment vertical="top" wrapText="1"/>
    </xf>
    <xf numFmtId="0" fontId="2" fillId="0" borderId="17" xfId="0" applyFont="1" applyBorder="1">
      <alignment vertical="center"/>
    </xf>
    <xf numFmtId="0" fontId="2" fillId="0" borderId="0" xfId="0" applyFont="1" applyAlignment="1">
      <alignment horizontal="center" vertical="center"/>
    </xf>
    <xf numFmtId="0" fontId="2" fillId="0" borderId="0" xfId="0" applyFont="1" applyAlignment="1">
      <alignment horizontal="right" vertical="center"/>
    </xf>
    <xf numFmtId="0" fontId="3" fillId="0" borderId="0" xfId="0" applyFont="1" applyAlignment="1">
      <alignment horizontal="center" vertical="center"/>
    </xf>
    <xf numFmtId="176" fontId="9" fillId="0" borderId="0" xfId="0" applyNumberFormat="1" applyFont="1" applyBorder="1">
      <alignment vertical="center"/>
    </xf>
    <xf numFmtId="176" fontId="9" fillId="0" borderId="3" xfId="0" applyNumberFormat="1" applyFont="1" applyBorder="1" applyAlignment="1">
      <alignment vertical="center" shrinkToFit="1"/>
    </xf>
    <xf numFmtId="0" fontId="9" fillId="0" borderId="0" xfId="0" applyFont="1" applyBorder="1" applyAlignment="1">
      <alignment horizontal="center" vertical="center" shrinkToFit="1"/>
    </xf>
    <xf numFmtId="0" fontId="10" fillId="0" borderId="0" xfId="0" applyFont="1">
      <alignment vertical="center"/>
    </xf>
    <xf numFmtId="0" fontId="9" fillId="0" borderId="0" xfId="0" applyFont="1" applyBorder="1" applyAlignment="1">
      <alignment vertical="center" shrinkToFit="1"/>
    </xf>
    <xf numFmtId="0" fontId="9" fillId="0" borderId="0" xfId="0" applyFont="1">
      <alignment vertical="center"/>
    </xf>
    <xf numFmtId="0" fontId="9" fillId="0" borderId="0" xfId="0" applyFont="1" applyAlignment="1">
      <alignment vertical="center"/>
    </xf>
    <xf numFmtId="0" fontId="9" fillId="0" borderId="0" xfId="0" applyFont="1" applyAlignment="1">
      <alignment horizontal="left" vertical="center"/>
    </xf>
    <xf numFmtId="0" fontId="9" fillId="0" borderId="0" xfId="0" applyFont="1" applyBorder="1" applyAlignment="1">
      <alignment vertical="center"/>
    </xf>
    <xf numFmtId="0" fontId="9" fillId="0" borderId="10" xfId="0" applyFont="1" applyBorder="1" applyAlignment="1">
      <alignment vertical="center"/>
    </xf>
    <xf numFmtId="0" fontId="9" fillId="0" borderId="5" xfId="0" applyFont="1" applyBorder="1">
      <alignment vertical="center"/>
    </xf>
    <xf numFmtId="176" fontId="9" fillId="0" borderId="0" xfId="0" applyNumberFormat="1" applyFont="1" applyBorder="1" applyAlignment="1">
      <alignment vertical="center" wrapText="1"/>
    </xf>
    <xf numFmtId="0" fontId="9" fillId="0" borderId="0" xfId="0" applyFont="1" applyBorder="1">
      <alignment vertical="center"/>
    </xf>
    <xf numFmtId="176" fontId="9" fillId="0" borderId="5" xfId="0" applyNumberFormat="1" applyFont="1" applyBorder="1" applyAlignment="1">
      <alignment vertical="center"/>
    </xf>
    <xf numFmtId="0" fontId="9" fillId="0" borderId="0" xfId="0" applyFont="1" applyBorder="1" applyAlignment="1">
      <alignment horizontal="center" vertical="center"/>
    </xf>
    <xf numFmtId="176" fontId="9" fillId="0" borderId="0" xfId="0" applyNumberFormat="1" applyFont="1" applyAlignment="1">
      <alignment vertical="center" wrapText="1"/>
    </xf>
    <xf numFmtId="0" fontId="9" fillId="0" borderId="0" xfId="0" applyFont="1" applyAlignment="1">
      <alignment horizontal="center" vertical="center"/>
    </xf>
    <xf numFmtId="176" fontId="9" fillId="0" borderId="0" xfId="0" applyNumberFormat="1" applyFont="1" applyAlignment="1">
      <alignment horizontal="left" vertical="center" wrapText="1"/>
    </xf>
    <xf numFmtId="0" fontId="9" fillId="0" borderId="0" xfId="0" applyFont="1" applyAlignment="1">
      <alignment horizontal="right" vertical="center"/>
    </xf>
    <xf numFmtId="0" fontId="9" fillId="0" borderId="6" xfId="0" applyFont="1" applyBorder="1" applyAlignment="1">
      <alignment vertical="center" shrinkToFit="1"/>
    </xf>
    <xf numFmtId="0" fontId="9" fillId="0" borderId="1" xfId="0" applyFont="1" applyBorder="1">
      <alignment vertical="center"/>
    </xf>
    <xf numFmtId="0" fontId="9" fillId="0" borderId="2" xfId="0" applyFont="1" applyBorder="1">
      <alignment vertical="center"/>
    </xf>
    <xf numFmtId="0" fontId="9" fillId="0" borderId="4" xfId="0" applyFont="1" applyBorder="1">
      <alignment vertical="center"/>
    </xf>
    <xf numFmtId="0" fontId="9" fillId="0" borderId="0" xfId="0" applyFont="1" applyBorder="1" applyAlignment="1">
      <alignment vertical="center" shrinkToFit="1"/>
    </xf>
    <xf numFmtId="0" fontId="9" fillId="0" borderId="0" xfId="0" applyFont="1" applyAlignment="1">
      <alignment horizontal="center" vertical="center"/>
    </xf>
    <xf numFmtId="0" fontId="11" fillId="0" borderId="11" xfId="0" applyFont="1" applyBorder="1" applyAlignment="1">
      <alignment horizontal="center" vertical="center"/>
    </xf>
    <xf numFmtId="0" fontId="11" fillId="0" borderId="12" xfId="0" applyFont="1" applyBorder="1" applyAlignment="1">
      <alignment horizontal="center" vertical="center" wrapText="1"/>
    </xf>
    <xf numFmtId="0" fontId="11" fillId="0" borderId="31" xfId="0" applyFont="1" applyBorder="1" applyAlignment="1">
      <alignment horizontal="center" vertical="center" wrapText="1"/>
    </xf>
    <xf numFmtId="0" fontId="11" fillId="0" borderId="3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right" vertical="center"/>
    </xf>
    <xf numFmtId="0" fontId="2" fillId="0" borderId="0" xfId="0" applyFont="1" applyAlignment="1">
      <alignment horizontal="right" vertical="center"/>
    </xf>
    <xf numFmtId="0" fontId="2" fillId="0" borderId="0" xfId="0" applyFont="1" applyAlignment="1">
      <alignment horizontal="center" vertical="center"/>
    </xf>
    <xf numFmtId="0" fontId="3" fillId="0" borderId="0" xfId="0" applyFont="1" applyAlignment="1">
      <alignment horizontal="center" vertical="center"/>
    </xf>
    <xf numFmtId="0" fontId="4" fillId="0" borderId="0" xfId="0" applyFont="1" applyAlignment="1">
      <alignment vertical="top" wrapText="1"/>
    </xf>
    <xf numFmtId="0" fontId="5" fillId="0" borderId="0" xfId="0" applyFont="1" applyAlignment="1">
      <alignment vertical="top" wrapText="1"/>
    </xf>
    <xf numFmtId="0" fontId="4" fillId="0" borderId="21" xfId="0" applyFont="1" applyBorder="1" applyAlignment="1">
      <alignment vertical="top" wrapText="1"/>
    </xf>
    <xf numFmtId="0" fontId="9" fillId="0" borderId="0" xfId="0" applyFont="1" applyAlignment="1">
      <alignment horizontal="center" vertical="center"/>
    </xf>
    <xf numFmtId="0" fontId="9" fillId="0" borderId="0" xfId="0" applyFont="1" applyBorder="1" applyAlignment="1">
      <alignment vertical="center" shrinkToFit="1"/>
    </xf>
    <xf numFmtId="0" fontId="5" fillId="0" borderId="0" xfId="0" applyFont="1" applyAlignment="1">
      <alignment vertical="top" wrapText="1"/>
    </xf>
    <xf numFmtId="0" fontId="10" fillId="0" borderId="10" xfId="0" applyFont="1" applyBorder="1" applyAlignment="1">
      <alignment vertical="center" shrinkToFit="1"/>
    </xf>
    <xf numFmtId="0" fontId="3" fillId="0" borderId="0" xfId="0" applyFont="1" applyAlignment="1">
      <alignment horizontal="center" vertical="center"/>
    </xf>
    <xf numFmtId="0" fontId="5" fillId="0" borderId="0" xfId="0" applyFont="1" applyAlignment="1">
      <alignment vertical="top" wrapText="1"/>
    </xf>
    <xf numFmtId="0" fontId="3" fillId="0" borderId="0" xfId="0" applyFont="1" applyAlignment="1">
      <alignment vertical="center" wrapText="1"/>
    </xf>
    <xf numFmtId="0" fontId="9" fillId="0" borderId="0" xfId="0"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horizontal="right" vertical="center"/>
    </xf>
    <xf numFmtId="0" fontId="9" fillId="0" borderId="1" xfId="0" applyFont="1" applyBorder="1" applyAlignment="1">
      <alignment vertical="center" shrinkToFit="1"/>
    </xf>
    <xf numFmtId="0" fontId="2" fillId="0" borderId="0" xfId="0" applyFont="1" applyAlignment="1">
      <alignment horizontal="center" vertical="center"/>
    </xf>
    <xf numFmtId="0" fontId="2" fillId="0" borderId="11" xfId="0" applyFont="1" applyBorder="1" applyAlignment="1">
      <alignment horizontal="center"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1" xfId="0" applyFont="1" applyBorder="1" applyAlignment="1">
      <alignment vertical="center" wrapText="1"/>
    </xf>
    <xf numFmtId="0" fontId="13" fillId="0" borderId="2" xfId="0" applyFont="1" applyBorder="1" applyAlignment="1">
      <alignment horizontal="center" vertical="center" shrinkToFit="1"/>
    </xf>
    <xf numFmtId="0" fontId="10" fillId="0" borderId="0" xfId="0" applyFont="1" applyFill="1">
      <alignmen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4" fillId="0" borderId="0" xfId="0" applyFont="1" applyAlignment="1">
      <alignment vertical="top" wrapText="1"/>
    </xf>
    <xf numFmtId="0" fontId="5" fillId="0" borderId="0" xfId="0" applyFont="1" applyAlignment="1">
      <alignment vertical="top" wrapText="1"/>
    </xf>
    <xf numFmtId="0" fontId="12" fillId="0" borderId="0" xfId="0" applyFont="1">
      <alignment vertical="center"/>
    </xf>
    <xf numFmtId="0" fontId="14" fillId="0" borderId="21" xfId="0" applyFont="1" applyBorder="1" applyAlignment="1">
      <alignment vertical="top" shrinkToFit="1"/>
    </xf>
    <xf numFmtId="0" fontId="14" fillId="0" borderId="19" xfId="0" applyFont="1" applyBorder="1" applyAlignment="1">
      <alignment vertical="top" shrinkToFit="1"/>
    </xf>
    <xf numFmtId="0" fontId="2" fillId="0" borderId="2" xfId="0" applyFont="1" applyBorder="1" applyAlignment="1">
      <alignment vertical="center" shrinkToFit="1"/>
    </xf>
    <xf numFmtId="0" fontId="14" fillId="0" borderId="0" xfId="0" applyFont="1" applyBorder="1" applyAlignment="1">
      <alignment vertical="center" shrinkToFit="1"/>
    </xf>
    <xf numFmtId="0" fontId="14" fillId="0" borderId="10" xfId="0" applyFont="1" applyBorder="1" applyAlignment="1">
      <alignment vertical="center" shrinkToFit="1"/>
    </xf>
    <xf numFmtId="0" fontId="3" fillId="0" borderId="0" xfId="0" applyFont="1" applyFill="1" applyBorder="1" applyAlignment="1">
      <alignment vertical="center"/>
    </xf>
    <xf numFmtId="0" fontId="4" fillId="0" borderId="0" xfId="0" applyFont="1" applyFill="1" applyBorder="1" applyAlignment="1">
      <alignment vertical="top" wrapText="1"/>
    </xf>
    <xf numFmtId="0" fontId="5" fillId="0" borderId="0" xfId="0" applyFont="1" applyFill="1" applyBorder="1" applyAlignment="1">
      <alignment vertical="top" wrapText="1"/>
    </xf>
    <xf numFmtId="0" fontId="15" fillId="0" borderId="0" xfId="2" applyNumberFormat="1" applyFont="1" applyBorder="1" applyAlignment="1">
      <alignment vertical="center" shrinkToFit="1"/>
    </xf>
    <xf numFmtId="0" fontId="9" fillId="0" borderId="0" xfId="0" applyFont="1" applyBorder="1" applyAlignment="1">
      <alignment vertical="center" shrinkToFit="1"/>
    </xf>
    <xf numFmtId="0" fontId="3" fillId="0" borderId="0" xfId="0" applyFont="1" applyAlignment="1">
      <alignment horizontal="center" vertical="center"/>
    </xf>
    <xf numFmtId="0" fontId="3" fillId="0" borderId="0" xfId="0" applyFont="1" applyAlignment="1">
      <alignment vertical="center" shrinkToFit="1"/>
    </xf>
    <xf numFmtId="0" fontId="16" fillId="0" borderId="0" xfId="0" applyFont="1">
      <alignment vertical="center"/>
    </xf>
    <xf numFmtId="0" fontId="3" fillId="0" borderId="0" xfId="0" applyFont="1" applyBorder="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20" xfId="0" applyFont="1" applyBorder="1" applyAlignment="1">
      <alignment vertical="center" shrinkToFit="1"/>
    </xf>
    <xf numFmtId="176" fontId="3" fillId="0" borderId="20"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19" xfId="0" applyNumberFormat="1" applyFont="1" applyBorder="1" applyAlignment="1">
      <alignment vertical="center" shrinkToFit="1"/>
    </xf>
    <xf numFmtId="176" fontId="3" fillId="0" borderId="25" xfId="0" applyNumberFormat="1" applyFont="1" applyBorder="1" applyAlignment="1">
      <alignment vertical="center" shrinkToFit="1"/>
    </xf>
    <xf numFmtId="176" fontId="3" fillId="0" borderId="26" xfId="0" applyNumberFormat="1" applyFont="1" applyBorder="1" applyAlignment="1">
      <alignment vertical="center" shrinkToFit="1"/>
    </xf>
    <xf numFmtId="0" fontId="3" fillId="0" borderId="27" xfId="0" applyFont="1" applyBorder="1" applyAlignment="1">
      <alignment vertical="center" shrinkToFit="1"/>
    </xf>
    <xf numFmtId="176" fontId="3" fillId="0" borderId="27" xfId="0" applyNumberFormat="1" applyFont="1" applyBorder="1" applyAlignment="1">
      <alignment vertical="center" shrinkToFit="1"/>
    </xf>
    <xf numFmtId="176" fontId="3" fillId="0" borderId="37" xfId="0" applyNumberFormat="1" applyFont="1" applyBorder="1" applyAlignment="1">
      <alignment vertical="center" shrinkToFit="1"/>
    </xf>
    <xf numFmtId="176" fontId="3" fillId="0" borderId="38" xfId="0" applyNumberFormat="1" applyFont="1" applyBorder="1" applyAlignment="1">
      <alignment vertical="center" shrinkToFit="1"/>
    </xf>
    <xf numFmtId="176" fontId="3" fillId="0" borderId="29" xfId="0" applyNumberFormat="1" applyFont="1" applyBorder="1" applyAlignment="1">
      <alignment vertical="center" shrinkToFit="1"/>
    </xf>
    <xf numFmtId="176" fontId="3" fillId="0" borderId="30" xfId="0" applyNumberFormat="1" applyFont="1" applyBorder="1" applyAlignment="1">
      <alignment vertical="center" shrinkToFit="1"/>
    </xf>
    <xf numFmtId="9" fontId="3" fillId="0" borderId="29" xfId="0" applyNumberFormat="1" applyFont="1" applyBorder="1" applyAlignment="1">
      <alignment vertical="center" shrinkToFit="1"/>
    </xf>
    <xf numFmtId="176" fontId="5" fillId="0" borderId="0" xfId="0" applyNumberFormat="1" applyFont="1" applyBorder="1" applyAlignment="1">
      <alignment vertical="center" shrinkToFit="1"/>
    </xf>
    <xf numFmtId="0" fontId="13" fillId="0" borderId="0" xfId="0" applyFont="1" applyBorder="1" applyAlignment="1">
      <alignment vertical="center" shrinkToFit="1"/>
    </xf>
    <xf numFmtId="0" fontId="13" fillId="0" borderId="10" xfId="0" applyFont="1" applyBorder="1" applyAlignment="1">
      <alignment vertical="center" shrinkToFit="1"/>
    </xf>
    <xf numFmtId="0" fontId="9" fillId="0" borderId="0" xfId="0" applyFont="1" applyBorder="1" applyAlignment="1">
      <alignment horizontal="center" vertical="center"/>
    </xf>
    <xf numFmtId="0" fontId="10" fillId="0" borderId="0" xfId="0" applyFont="1" applyAlignment="1">
      <alignment horizontal="right" vertical="center"/>
    </xf>
    <xf numFmtId="0" fontId="9" fillId="0" borderId="0" xfId="0" applyFont="1" applyAlignment="1">
      <alignment horizontal="center" vertical="center"/>
    </xf>
    <xf numFmtId="0" fontId="13" fillId="0" borderId="2" xfId="0" applyFont="1" applyBorder="1" applyAlignment="1">
      <alignment horizontal="center" vertical="center" shrinkToFit="1"/>
    </xf>
    <xf numFmtId="0" fontId="2" fillId="0" borderId="0" xfId="0" applyFont="1" applyAlignment="1">
      <alignment horizontal="right" vertical="center"/>
    </xf>
    <xf numFmtId="0" fontId="2" fillId="0" borderId="0" xfId="0" applyFont="1" applyAlignment="1">
      <alignment horizontal="center" vertical="center"/>
    </xf>
    <xf numFmtId="0" fontId="2" fillId="0" borderId="2" xfId="0" applyFont="1" applyBorder="1" applyAlignment="1">
      <alignment vertical="center" shrinkToFit="1"/>
    </xf>
    <xf numFmtId="0" fontId="2" fillId="0" borderId="2" xfId="0" applyFont="1" applyBorder="1" applyAlignment="1">
      <alignment horizontal="center" vertical="center" shrinkToFit="1"/>
    </xf>
    <xf numFmtId="0" fontId="3" fillId="0" borderId="2" xfId="0" applyFont="1" applyBorder="1" applyAlignment="1">
      <alignment horizontal="center" vertical="center" shrinkToFit="1"/>
    </xf>
    <xf numFmtId="176" fontId="3" fillId="0" borderId="0" xfId="0" applyNumberFormat="1" applyFont="1" applyAlignment="1">
      <alignment vertical="center" shrinkToFit="1"/>
    </xf>
    <xf numFmtId="0" fontId="2" fillId="0" borderId="1" xfId="0" applyFont="1" applyFill="1" applyBorder="1" applyAlignment="1">
      <alignment vertical="center" wrapText="1"/>
    </xf>
    <xf numFmtId="49" fontId="7" fillId="0" borderId="2" xfId="2" applyNumberFormat="1" applyBorder="1" applyAlignment="1">
      <alignment vertical="center" shrinkToFit="1"/>
    </xf>
    <xf numFmtId="49" fontId="13" fillId="0" borderId="3" xfId="0" applyNumberFormat="1" applyFont="1" applyBorder="1" applyAlignment="1">
      <alignment vertical="center" shrinkToFit="1"/>
    </xf>
    <xf numFmtId="49" fontId="13" fillId="0" borderId="4" xfId="0" applyNumberFormat="1" applyFont="1" applyBorder="1" applyAlignment="1">
      <alignment vertical="center" shrinkToFit="1"/>
    </xf>
    <xf numFmtId="49" fontId="3" fillId="0" borderId="2" xfId="1" applyNumberFormat="1" applyFont="1" applyBorder="1" applyAlignment="1">
      <alignment horizontal="center" vertical="center" shrinkToFit="1"/>
    </xf>
    <xf numFmtId="49" fontId="3" fillId="0" borderId="3" xfId="1" applyNumberFormat="1" applyFont="1" applyBorder="1" applyAlignment="1">
      <alignment horizontal="center" vertical="center" shrinkToFit="1"/>
    </xf>
    <xf numFmtId="49" fontId="3" fillId="0" borderId="4" xfId="1" applyNumberFormat="1" applyFont="1" applyBorder="1" applyAlignment="1">
      <alignment horizontal="center" vertical="center" shrinkToFit="1"/>
    </xf>
    <xf numFmtId="0" fontId="9" fillId="0" borderId="0" xfId="0" applyFont="1" applyBorder="1" applyAlignment="1">
      <alignment horizontal="center" vertical="center"/>
    </xf>
    <xf numFmtId="0" fontId="3" fillId="0" borderId="2" xfId="0" applyFont="1" applyBorder="1" applyAlignment="1">
      <alignment horizontal="center" vertical="center" shrinkToFit="1"/>
    </xf>
    <xf numFmtId="0" fontId="3" fillId="0" borderId="3" xfId="0" applyFont="1" applyBorder="1" applyAlignment="1">
      <alignment horizontal="center" vertical="center" shrinkToFit="1"/>
    </xf>
    <xf numFmtId="0" fontId="3" fillId="0" borderId="4" xfId="0" applyFont="1" applyBorder="1" applyAlignment="1">
      <alignment horizontal="center" vertical="center" shrinkToFit="1"/>
    </xf>
    <xf numFmtId="176" fontId="3" fillId="0" borderId="2" xfId="0" applyNumberFormat="1" applyFont="1" applyBorder="1" applyAlignment="1">
      <alignment horizontal="center" vertical="center" shrinkToFit="1"/>
    </xf>
    <xf numFmtId="176" fontId="3" fillId="0" borderId="4" xfId="0" applyNumberFormat="1" applyFont="1" applyBorder="1" applyAlignment="1">
      <alignment horizontal="center" vertical="center" shrinkToFit="1"/>
    </xf>
    <xf numFmtId="0" fontId="3" fillId="0" borderId="2" xfId="0" applyFont="1" applyBorder="1" applyAlignment="1">
      <alignment vertical="center" shrinkToFit="1"/>
    </xf>
    <xf numFmtId="0" fontId="3" fillId="0" borderId="3" xfId="0" applyFont="1" applyBorder="1" applyAlignment="1">
      <alignment vertical="center" shrinkToFit="1"/>
    </xf>
    <xf numFmtId="0" fontId="9" fillId="0" borderId="0" xfId="0" applyFont="1" applyBorder="1" applyAlignment="1">
      <alignment horizontal="right" vertical="center" shrinkToFit="1"/>
    </xf>
    <xf numFmtId="0" fontId="9" fillId="0" borderId="5" xfId="0" applyFont="1" applyBorder="1" applyAlignment="1">
      <alignment horizontal="right" vertical="center" shrinkToFit="1"/>
    </xf>
    <xf numFmtId="0" fontId="9" fillId="0" borderId="10" xfId="0" applyFont="1" applyBorder="1" applyAlignment="1">
      <alignment horizontal="right" vertical="center" shrinkToFit="1"/>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10" fillId="0" borderId="0" xfId="0" applyFont="1" applyAlignment="1">
      <alignment horizontal="right" vertical="center"/>
    </xf>
    <xf numFmtId="0" fontId="9" fillId="0" borderId="0" xfId="0" applyFont="1" applyBorder="1" applyAlignment="1">
      <alignment horizontal="right" vertical="center"/>
    </xf>
    <xf numFmtId="0" fontId="9" fillId="0" borderId="10" xfId="0" applyFont="1" applyBorder="1" applyAlignment="1">
      <alignment horizontal="right" vertical="center"/>
    </xf>
    <xf numFmtId="176" fontId="3" fillId="0" borderId="3" xfId="0" applyNumberFormat="1" applyFont="1" applyBorder="1" applyAlignment="1">
      <alignment horizontal="center" vertical="center" shrinkToFit="1"/>
    </xf>
    <xf numFmtId="0" fontId="9" fillId="0" borderId="0" xfId="0" applyFont="1" applyBorder="1" applyAlignment="1">
      <alignment horizontal="center" vertical="center" shrinkToFit="1"/>
    </xf>
    <xf numFmtId="0" fontId="9" fillId="0" borderId="0" xfId="0" applyFont="1" applyAlignment="1">
      <alignment horizontal="center" vertical="center"/>
    </xf>
    <xf numFmtId="0" fontId="9" fillId="0" borderId="0" xfId="0" applyFont="1" applyBorder="1" applyAlignment="1">
      <alignment vertical="center" shrinkToFit="1"/>
    </xf>
    <xf numFmtId="176" fontId="13" fillId="0" borderId="2" xfId="0" applyNumberFormat="1" applyFont="1" applyBorder="1" applyAlignment="1">
      <alignment horizontal="center" vertical="center" shrinkToFit="1"/>
    </xf>
    <xf numFmtId="176" fontId="13" fillId="0" borderId="4" xfId="0" applyNumberFormat="1" applyFont="1" applyBorder="1" applyAlignment="1">
      <alignment horizontal="center" vertical="center" shrinkToFit="1"/>
    </xf>
    <xf numFmtId="176" fontId="3" fillId="0" borderId="2" xfId="0" applyNumberFormat="1" applyFont="1" applyBorder="1" applyAlignment="1">
      <alignment horizontal="center" vertical="center"/>
    </xf>
    <xf numFmtId="0" fontId="9" fillId="0" borderId="2" xfId="0" applyFont="1" applyBorder="1" applyAlignment="1">
      <alignment vertical="center" shrinkToFit="1"/>
    </xf>
    <xf numFmtId="0" fontId="9" fillId="0" borderId="3" xfId="0" applyFont="1" applyBorder="1" applyAlignment="1">
      <alignment vertical="center" shrinkToFit="1"/>
    </xf>
    <xf numFmtId="0" fontId="9" fillId="0" borderId="4" xfId="0" applyFont="1" applyBorder="1" applyAlignment="1">
      <alignment vertical="center" shrinkToFit="1"/>
    </xf>
    <xf numFmtId="0" fontId="13" fillId="0" borderId="2" xfId="0" applyFont="1" applyBorder="1" applyAlignment="1">
      <alignment vertical="center" shrinkToFit="1"/>
    </xf>
    <xf numFmtId="0" fontId="13" fillId="0" borderId="3" xfId="0" applyFont="1" applyBorder="1" applyAlignment="1">
      <alignment vertical="center" shrinkToFit="1"/>
    </xf>
    <xf numFmtId="0" fontId="13" fillId="0" borderId="4" xfId="0" applyFont="1" applyBorder="1" applyAlignment="1">
      <alignment vertical="center" shrinkToFit="1"/>
    </xf>
    <xf numFmtId="0" fontId="9" fillId="0" borderId="0" xfId="0" applyFont="1" applyAlignment="1">
      <alignment vertical="center" shrinkToFit="1"/>
    </xf>
    <xf numFmtId="0" fontId="9" fillId="0" borderId="1" xfId="0" applyFont="1" applyBorder="1" applyAlignment="1">
      <alignment horizontal="center" vertical="center"/>
    </xf>
    <xf numFmtId="0" fontId="9" fillId="0" borderId="1" xfId="0" applyFont="1" applyBorder="1" applyAlignment="1">
      <alignment horizontal="center" vertical="center" shrinkToFit="1"/>
    </xf>
    <xf numFmtId="0" fontId="3" fillId="0" borderId="7" xfId="0" applyFont="1" applyBorder="1" applyAlignment="1">
      <alignment vertical="top" wrapText="1"/>
    </xf>
    <xf numFmtId="0" fontId="3" fillId="0" borderId="8" xfId="0" applyFont="1" applyBorder="1" applyAlignment="1">
      <alignment vertical="top" wrapText="1"/>
    </xf>
    <xf numFmtId="0" fontId="3" fillId="0" borderId="9" xfId="0" applyFont="1" applyBorder="1" applyAlignment="1">
      <alignment vertical="top" wrapText="1"/>
    </xf>
    <xf numFmtId="0" fontId="3" fillId="0" borderId="5" xfId="0" applyFont="1" applyBorder="1" applyAlignment="1">
      <alignment vertical="top" wrapText="1"/>
    </xf>
    <xf numFmtId="0" fontId="3" fillId="0" borderId="0" xfId="0" applyFont="1" applyBorder="1" applyAlignment="1">
      <alignment vertical="top" wrapText="1"/>
    </xf>
    <xf numFmtId="0" fontId="3" fillId="0" borderId="10" xfId="0" applyFont="1" applyBorder="1" applyAlignment="1">
      <alignment vertical="top" wrapText="1"/>
    </xf>
    <xf numFmtId="0" fontId="3" fillId="0" borderId="11" xfId="0" applyFont="1" applyBorder="1" applyAlignment="1">
      <alignment vertical="top" wrapText="1"/>
    </xf>
    <xf numFmtId="0" fontId="3" fillId="0" borderId="6" xfId="0" applyFont="1" applyBorder="1" applyAlignment="1">
      <alignment vertical="top" wrapText="1"/>
    </xf>
    <xf numFmtId="0" fontId="3" fillId="0" borderId="12" xfId="0" applyFont="1" applyBorder="1" applyAlignment="1">
      <alignment vertical="top" wrapText="1"/>
    </xf>
    <xf numFmtId="0" fontId="3" fillId="0" borderId="4" xfId="0" applyFont="1" applyBorder="1" applyAlignment="1">
      <alignment vertical="center" shrinkToFit="1"/>
    </xf>
    <xf numFmtId="0" fontId="2" fillId="0" borderId="0" xfId="0" applyFont="1" applyAlignment="1">
      <alignment horizontal="right" vertical="center"/>
    </xf>
    <xf numFmtId="0" fontId="8" fillId="0" borderId="7" xfId="0" applyFont="1" applyBorder="1" applyAlignment="1">
      <alignment horizontal="center" vertical="center" wrapText="1"/>
    </xf>
    <xf numFmtId="0" fontId="8" fillId="0" borderId="11"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39" xfId="0" applyFont="1" applyBorder="1" applyAlignment="1">
      <alignment horizontal="center" vertical="center"/>
    </xf>
    <xf numFmtId="0" fontId="11" fillId="0" borderId="16" xfId="0" applyFont="1" applyBorder="1" applyAlignment="1">
      <alignment horizontal="center" vertical="center" wrapText="1"/>
    </xf>
    <xf numFmtId="0" fontId="11" fillId="0" borderId="13" xfId="0" applyFont="1" applyBorder="1" applyAlignment="1">
      <alignment horizontal="center" vertical="center"/>
    </xf>
    <xf numFmtId="0" fontId="8" fillId="0" borderId="9" xfId="0" applyFont="1" applyBorder="1" applyAlignment="1">
      <alignment horizontal="center" vertical="center"/>
    </xf>
    <xf numFmtId="0" fontId="8" fillId="0" borderId="12" xfId="0" applyFont="1" applyBorder="1" applyAlignment="1">
      <alignment horizontal="center" vertical="center"/>
    </xf>
    <xf numFmtId="0" fontId="3" fillId="0" borderId="0" xfId="0" applyFont="1" applyAlignment="1">
      <alignment horizontal="center" vertical="center"/>
    </xf>
    <xf numFmtId="0" fontId="3" fillId="0" borderId="27" xfId="0" applyFont="1" applyBorder="1" applyAlignment="1">
      <alignment horizontal="center" vertical="center" shrinkToFit="1"/>
    </xf>
    <xf numFmtId="0" fontId="3" fillId="0" borderId="28" xfId="0" applyFont="1" applyBorder="1" applyAlignment="1">
      <alignment horizontal="center" vertical="center" shrinkToFit="1"/>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11" xfId="0" applyFont="1" applyBorder="1" applyAlignment="1">
      <alignment horizontal="center" vertical="center"/>
    </xf>
    <xf numFmtId="0" fontId="3" fillId="0" borderId="6" xfId="0" applyFont="1" applyBorder="1" applyAlignment="1">
      <alignment horizontal="center" vertical="center"/>
    </xf>
    <xf numFmtId="0" fontId="3" fillId="0" borderId="20" xfId="0" applyFont="1" applyBorder="1" applyAlignment="1">
      <alignment vertical="center" shrinkToFit="1"/>
    </xf>
    <xf numFmtId="0" fontId="3" fillId="0" borderId="19" xfId="0" applyFont="1" applyBorder="1" applyAlignment="1">
      <alignment vertical="center" shrinkToFit="1"/>
    </xf>
    <xf numFmtId="0" fontId="3" fillId="0" borderId="40" xfId="0" applyFont="1" applyBorder="1" applyAlignment="1">
      <alignment vertical="center" shrinkToFit="1"/>
    </xf>
    <xf numFmtId="0" fontId="3" fillId="0" borderId="41" xfId="0" applyFont="1" applyBorder="1" applyAlignment="1">
      <alignment vertical="center" shrinkToFit="1"/>
    </xf>
    <xf numFmtId="0" fontId="3" fillId="0" borderId="15" xfId="0" applyFont="1" applyBorder="1" applyAlignment="1">
      <alignment vertical="center" shrinkToFit="1"/>
    </xf>
    <xf numFmtId="0" fontId="3" fillId="0" borderId="39"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xf>
    <xf numFmtId="0" fontId="3" fillId="0" borderId="16" xfId="0" applyFont="1" applyBorder="1" applyAlignment="1">
      <alignment vertical="center" wrapText="1"/>
    </xf>
    <xf numFmtId="0" fontId="3" fillId="0" borderId="42" xfId="0" applyFont="1" applyBorder="1" applyAlignment="1">
      <alignment vertical="center" wrapText="1"/>
    </xf>
    <xf numFmtId="0" fontId="3" fillId="0" borderId="7" xfId="0" applyFont="1" applyBorder="1" applyAlignment="1">
      <alignment horizontal="left" vertical="top" wrapText="1"/>
    </xf>
    <xf numFmtId="0" fontId="3" fillId="0" borderId="8" xfId="0" applyFont="1" applyBorder="1" applyAlignment="1">
      <alignment horizontal="left" vertical="top" wrapText="1"/>
    </xf>
    <xf numFmtId="0" fontId="3" fillId="0" borderId="9" xfId="0" applyFont="1" applyBorder="1" applyAlignment="1">
      <alignment horizontal="left" vertical="top" wrapText="1"/>
    </xf>
    <xf numFmtId="0" fontId="3" fillId="0" borderId="5" xfId="0" applyFont="1" applyBorder="1" applyAlignment="1">
      <alignment horizontal="left" vertical="top" wrapText="1"/>
    </xf>
    <xf numFmtId="0" fontId="3" fillId="0" borderId="0" xfId="0" applyFont="1" applyBorder="1" applyAlignment="1">
      <alignment horizontal="left" vertical="top" wrapText="1"/>
    </xf>
    <xf numFmtId="0" fontId="3" fillId="0" borderId="10" xfId="0" applyFont="1" applyBorder="1" applyAlignment="1">
      <alignment horizontal="left" vertical="top" wrapText="1"/>
    </xf>
    <xf numFmtId="0" fontId="3" fillId="0" borderId="11" xfId="0" applyFont="1" applyBorder="1" applyAlignment="1">
      <alignment horizontal="left" vertical="top" wrapText="1"/>
    </xf>
    <xf numFmtId="0" fontId="3" fillId="0" borderId="6" xfId="0" applyFont="1" applyBorder="1" applyAlignment="1">
      <alignment horizontal="left" vertical="top" wrapText="1"/>
    </xf>
    <xf numFmtId="0" fontId="3" fillId="0" borderId="12" xfId="0" applyFont="1" applyBorder="1" applyAlignment="1">
      <alignment horizontal="left" vertical="top" wrapText="1"/>
    </xf>
    <xf numFmtId="0" fontId="2" fillId="0" borderId="2" xfId="0" applyFont="1" applyFill="1" applyBorder="1" applyAlignment="1">
      <alignment horizontal="center" vertical="center" shrinkToFit="1"/>
    </xf>
    <xf numFmtId="0" fontId="2" fillId="0" borderId="3" xfId="0" applyFont="1" applyFill="1" applyBorder="1" applyAlignment="1">
      <alignment horizontal="center" vertical="center" shrinkToFit="1"/>
    </xf>
    <xf numFmtId="0" fontId="2" fillId="0" borderId="4" xfId="0" applyFont="1" applyFill="1" applyBorder="1" applyAlignment="1">
      <alignment horizontal="center" vertical="center" shrinkToFit="1"/>
    </xf>
    <xf numFmtId="0" fontId="3" fillId="0" borderId="2" xfId="0" applyFont="1" applyBorder="1" applyAlignment="1">
      <alignment horizontal="left" vertical="center" shrinkToFit="1"/>
    </xf>
    <xf numFmtId="0" fontId="3" fillId="0" borderId="3" xfId="0" applyFont="1" applyBorder="1" applyAlignment="1">
      <alignment horizontal="left" vertical="center" shrinkToFit="1"/>
    </xf>
    <xf numFmtId="0" fontId="3" fillId="0" borderId="4" xfId="0" applyFont="1" applyBorder="1" applyAlignment="1">
      <alignment horizontal="left" vertical="center" shrinkToFit="1"/>
    </xf>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3" fillId="0" borderId="13" xfId="0" applyFont="1" applyBorder="1" applyAlignment="1">
      <alignment vertical="center" wrapText="1"/>
    </xf>
    <xf numFmtId="0" fontId="2" fillId="0" borderId="7" xfId="0" applyFont="1" applyBorder="1" applyAlignment="1">
      <alignment horizontal="left" vertical="top" wrapText="1" shrinkToFit="1"/>
    </xf>
    <xf numFmtId="0" fontId="2" fillId="0" borderId="8" xfId="0" applyFont="1" applyBorder="1" applyAlignment="1">
      <alignment horizontal="left" vertical="top" shrinkToFit="1"/>
    </xf>
    <xf numFmtId="0" fontId="2" fillId="0" borderId="9" xfId="0" applyFont="1" applyBorder="1" applyAlignment="1">
      <alignment horizontal="left" vertical="top" shrinkToFit="1"/>
    </xf>
    <xf numFmtId="0" fontId="2" fillId="0" borderId="5" xfId="0" applyFont="1" applyBorder="1" applyAlignment="1">
      <alignment horizontal="left" vertical="top" shrinkToFit="1"/>
    </xf>
    <xf numFmtId="0" fontId="2" fillId="0" borderId="0" xfId="0" applyFont="1" applyBorder="1" applyAlignment="1">
      <alignment horizontal="left" vertical="top" shrinkToFit="1"/>
    </xf>
    <xf numFmtId="0" fontId="2" fillId="0" borderId="10" xfId="0" applyFont="1" applyBorder="1" applyAlignment="1">
      <alignment horizontal="left" vertical="top" shrinkToFit="1"/>
    </xf>
    <xf numFmtId="0" fontId="2" fillId="0" borderId="11" xfId="0" applyFont="1" applyBorder="1" applyAlignment="1">
      <alignment horizontal="left" vertical="top" shrinkToFit="1"/>
    </xf>
    <xf numFmtId="0" fontId="2" fillId="0" borderId="6" xfId="0" applyFont="1" applyBorder="1" applyAlignment="1">
      <alignment horizontal="left" vertical="top" shrinkToFit="1"/>
    </xf>
    <xf numFmtId="0" fontId="2" fillId="0" borderId="12" xfId="0" applyFont="1" applyBorder="1" applyAlignment="1">
      <alignment horizontal="left" vertical="top" shrinkToFit="1"/>
    </xf>
    <xf numFmtId="0" fontId="2" fillId="0" borderId="2" xfId="0" applyFont="1" applyBorder="1" applyAlignment="1">
      <alignment horizontal="left" vertical="center" shrinkToFit="1"/>
    </xf>
    <xf numFmtId="0" fontId="2" fillId="0" borderId="3" xfId="0" applyFont="1" applyBorder="1" applyAlignment="1">
      <alignment horizontal="left" vertical="center" shrinkToFit="1"/>
    </xf>
    <xf numFmtId="0" fontId="2" fillId="0" borderId="4" xfId="0" applyFont="1" applyBorder="1" applyAlignment="1">
      <alignment horizontal="left" vertical="center" shrinkToFit="1"/>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Border="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2" xfId="0" applyFont="1" applyBorder="1" applyAlignment="1">
      <alignment horizontal="left" vertical="center"/>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7" fillId="0" borderId="2" xfId="2" applyFill="1" applyBorder="1" applyAlignment="1">
      <alignment vertical="center" shrinkToFit="1"/>
    </xf>
    <xf numFmtId="0" fontId="3" fillId="0" borderId="3" xfId="0" applyFont="1" applyFill="1" applyBorder="1" applyAlignment="1">
      <alignment vertical="center" shrinkToFit="1"/>
    </xf>
    <xf numFmtId="0" fontId="3" fillId="0" borderId="4" xfId="0" applyFont="1" applyFill="1" applyBorder="1" applyAlignment="1">
      <alignment vertical="center" shrinkToFit="1"/>
    </xf>
    <xf numFmtId="0" fontId="3" fillId="0" borderId="7" xfId="0" applyFont="1" applyBorder="1" applyAlignment="1">
      <alignment vertical="top" wrapText="1"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Border="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xf numFmtId="0" fontId="2" fillId="0" borderId="6" xfId="0" applyFont="1" applyBorder="1" applyAlignment="1">
      <alignment vertical="center"/>
    </xf>
    <xf numFmtId="0" fontId="2" fillId="0" borderId="0" xfId="0" applyFont="1" applyAlignment="1">
      <alignment vertical="center" shrinkToFit="1"/>
    </xf>
    <xf numFmtId="0" fontId="3" fillId="0" borderId="8" xfId="0" applyFont="1" applyBorder="1" applyAlignment="1">
      <alignment vertical="top" wrapText="1" shrinkToFit="1"/>
    </xf>
    <xf numFmtId="0" fontId="3" fillId="0" borderId="9" xfId="0" applyFont="1" applyBorder="1" applyAlignment="1">
      <alignment vertical="top" wrapText="1" shrinkToFit="1"/>
    </xf>
    <xf numFmtId="0" fontId="3" fillId="0" borderId="5" xfId="0" applyFont="1" applyBorder="1" applyAlignment="1">
      <alignment vertical="top" wrapText="1" shrinkToFit="1"/>
    </xf>
    <xf numFmtId="0" fontId="3" fillId="0" borderId="0" xfId="0" applyFont="1" applyBorder="1" applyAlignment="1">
      <alignment vertical="top" wrapText="1" shrinkToFit="1"/>
    </xf>
    <xf numFmtId="0" fontId="3" fillId="0" borderId="10" xfId="0" applyFont="1" applyBorder="1" applyAlignment="1">
      <alignment vertical="top" wrapText="1" shrinkToFit="1"/>
    </xf>
    <xf numFmtId="0" fontId="3" fillId="0" borderId="11" xfId="0" applyFont="1" applyBorder="1" applyAlignment="1">
      <alignment vertical="top" wrapText="1" shrinkToFit="1"/>
    </xf>
    <xf numFmtId="0" fontId="3" fillId="0" borderId="6" xfId="0" applyFont="1" applyBorder="1" applyAlignment="1">
      <alignment vertical="top" wrapText="1" shrinkToFit="1"/>
    </xf>
    <xf numFmtId="0" fontId="3" fillId="0" borderId="12" xfId="0" applyFont="1" applyBorder="1" applyAlignment="1">
      <alignment vertical="top" wrapText="1" shrinkToFit="1"/>
    </xf>
    <xf numFmtId="0" fontId="7" fillId="0" borderId="2" xfId="2" applyFill="1" applyBorder="1" applyAlignment="1">
      <alignment horizontal="left" vertical="center" shrinkToFit="1"/>
    </xf>
    <xf numFmtId="0" fontId="14" fillId="0" borderId="3" xfId="0" applyFont="1" applyFill="1" applyBorder="1" applyAlignment="1">
      <alignment horizontal="left" vertical="center" shrinkToFit="1"/>
    </xf>
    <xf numFmtId="0" fontId="14" fillId="0" borderId="4" xfId="0" applyFont="1" applyFill="1" applyBorder="1" applyAlignment="1">
      <alignment horizontal="left" vertical="center" shrinkToFit="1"/>
    </xf>
    <xf numFmtId="0" fontId="2" fillId="0" borderId="18" xfId="0" applyFont="1" applyBorder="1" applyAlignment="1">
      <alignment vertical="center" wrapText="1"/>
    </xf>
    <xf numFmtId="0" fontId="2" fillId="0" borderId="19" xfId="0" applyFont="1" applyBorder="1" applyAlignment="1">
      <alignment vertical="center" wrapText="1"/>
    </xf>
    <xf numFmtId="0" fontId="3" fillId="0" borderId="20" xfId="0" applyFont="1" applyBorder="1" applyAlignment="1">
      <alignment vertical="top" wrapText="1" shrinkToFit="1"/>
    </xf>
    <xf numFmtId="0" fontId="3" fillId="0" borderId="21" xfId="0" applyFont="1" applyBorder="1" applyAlignment="1">
      <alignment vertical="top" wrapText="1" shrinkToFit="1"/>
    </xf>
    <xf numFmtId="0" fontId="3" fillId="0" borderId="19" xfId="0" applyFont="1" applyBorder="1" applyAlignment="1">
      <alignment vertical="top" wrapText="1" shrinkToFit="1"/>
    </xf>
    <xf numFmtId="0" fontId="4" fillId="0" borderId="0" xfId="0" applyFont="1" applyAlignment="1">
      <alignment vertical="top" wrapText="1"/>
    </xf>
    <xf numFmtId="0" fontId="5" fillId="0" borderId="0" xfId="0" applyFont="1" applyAlignment="1">
      <alignment vertical="top" wrapTex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18" xfId="0" applyFont="1" applyBorder="1" applyAlignment="1">
      <alignment vertical="center"/>
    </xf>
    <xf numFmtId="0" fontId="0" fillId="0" borderId="19" xfId="0" applyBorder="1" applyAlignment="1">
      <alignment vertical="center"/>
    </xf>
    <xf numFmtId="0" fontId="2" fillId="0" borderId="22" xfId="0" applyFont="1" applyBorder="1" applyAlignment="1">
      <alignment vertical="center" wrapText="1"/>
    </xf>
    <xf numFmtId="0" fontId="2" fillId="0" borderId="23" xfId="0" applyFont="1" applyBorder="1" applyAlignment="1">
      <alignment vertical="center" wrapText="1"/>
    </xf>
    <xf numFmtId="0" fontId="3" fillId="0" borderId="24" xfId="0" applyFont="1" applyBorder="1" applyAlignment="1">
      <alignment vertical="top" wrapText="1" shrinkToFit="1"/>
    </xf>
    <xf numFmtId="0" fontId="3" fillId="0" borderId="23" xfId="0" applyFont="1" applyBorder="1" applyAlignment="1">
      <alignment vertical="top" wrapText="1" shrinkToFi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0" xfId="0" applyFont="1" applyAlignment="1">
      <alignment horizontal="left" vertical="center"/>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m-watanabe@s.shobi-u.ac.jp"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shobi-u.ac.jp/about/disclosure/"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www.shobi-u.ac.jp/about/disclosure/" TargetMode="Externa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shobi-u.ac.jp/about/disclosur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47"/>
  <sheetViews>
    <sheetView tabSelected="1" view="pageBreakPreview" zoomScale="98" zoomScaleNormal="100" zoomScaleSheetLayoutView="98" workbookViewId="0">
      <selection activeCell="K18" sqref="K18:M18"/>
    </sheetView>
  </sheetViews>
  <sheetFormatPr defaultColWidth="9" defaultRowHeight="18.75" customHeight="1" x14ac:dyDescent="0.2"/>
  <cols>
    <col min="1" max="1" width="2.453125" style="28" customWidth="1"/>
    <col min="2" max="2" width="12.453125" style="28" customWidth="1"/>
    <col min="3" max="8" width="6.26953125" style="28" customWidth="1"/>
    <col min="9" max="9" width="2.453125" style="28" customWidth="1"/>
    <col min="10" max="10" width="10" style="28" customWidth="1"/>
    <col min="11" max="11" width="2.453125" style="28" customWidth="1"/>
    <col min="12" max="12" width="7.453125" style="28" customWidth="1"/>
    <col min="13" max="13" width="2.453125" style="28" customWidth="1"/>
    <col min="14" max="14" width="7.453125" style="28" customWidth="1"/>
    <col min="15" max="16384" width="9" style="28"/>
  </cols>
  <sheetData>
    <row r="1" spans="1:14" ht="22.5" customHeight="1" x14ac:dyDescent="0.2">
      <c r="M1" s="154" t="s">
        <v>29</v>
      </c>
      <c r="N1" s="154"/>
    </row>
    <row r="2" spans="1:14" ht="22.5" customHeight="1" x14ac:dyDescent="0.2">
      <c r="A2" s="159" t="s">
        <v>133</v>
      </c>
      <c r="B2" s="159"/>
      <c r="C2" s="159"/>
      <c r="D2" s="159"/>
      <c r="E2" s="159"/>
      <c r="F2" s="159"/>
      <c r="G2" s="159"/>
      <c r="H2" s="159"/>
      <c r="I2" s="159"/>
      <c r="J2" s="159"/>
      <c r="K2" s="159"/>
      <c r="L2" s="159"/>
      <c r="M2" s="159"/>
      <c r="N2" s="159"/>
    </row>
    <row r="3" spans="1:14" ht="22.5" customHeight="1" x14ac:dyDescent="0.2"/>
    <row r="4" spans="1:14" ht="22.5" customHeight="1" x14ac:dyDescent="0.2">
      <c r="A4" s="28" t="s">
        <v>7</v>
      </c>
      <c r="B4" s="31" t="s">
        <v>20</v>
      </c>
      <c r="C4" s="141" t="s">
        <v>164</v>
      </c>
      <c r="D4" s="142"/>
      <c r="E4" s="142"/>
      <c r="F4" s="142"/>
      <c r="G4" s="142"/>
      <c r="H4" s="142"/>
      <c r="I4" s="142"/>
      <c r="J4" s="142"/>
      <c r="K4" s="142"/>
      <c r="L4" s="142"/>
      <c r="M4" s="142"/>
      <c r="N4" s="143"/>
    </row>
    <row r="5" spans="1:14" ht="7.5" customHeight="1" x14ac:dyDescent="0.2">
      <c r="B5" s="31"/>
      <c r="C5" s="31"/>
      <c r="D5" s="31"/>
      <c r="E5" s="32"/>
      <c r="F5" s="29"/>
      <c r="G5" s="29"/>
      <c r="H5" s="29"/>
      <c r="I5" s="29"/>
      <c r="J5" s="29"/>
      <c r="K5" s="29"/>
      <c r="L5" s="29"/>
      <c r="M5" s="29"/>
      <c r="N5" s="29"/>
    </row>
    <row r="6" spans="1:14" ht="22.5" customHeight="1" x14ac:dyDescent="0.2">
      <c r="A6" s="28" t="s">
        <v>56</v>
      </c>
      <c r="B6" s="31" t="s">
        <v>57</v>
      </c>
      <c r="C6" s="31"/>
      <c r="D6" s="141" t="s">
        <v>165</v>
      </c>
      <c r="E6" s="142"/>
      <c r="F6" s="142"/>
      <c r="G6" s="142"/>
      <c r="H6" s="142"/>
      <c r="I6" s="142"/>
      <c r="J6" s="142"/>
      <c r="K6" s="142"/>
      <c r="L6" s="142"/>
      <c r="M6" s="142"/>
      <c r="N6" s="143"/>
    </row>
    <row r="7" spans="1:14" ht="7.5" customHeight="1" x14ac:dyDescent="0.2">
      <c r="B7" s="31"/>
      <c r="C7" s="31"/>
      <c r="D7" s="31"/>
      <c r="E7" s="32"/>
      <c r="F7" s="29"/>
      <c r="G7" s="29"/>
      <c r="H7" s="29"/>
      <c r="I7" s="29"/>
      <c r="J7" s="29"/>
      <c r="K7" s="29"/>
      <c r="L7" s="29"/>
      <c r="M7" s="29"/>
      <c r="N7" s="29"/>
    </row>
    <row r="8" spans="1:14" ht="22.5" customHeight="1" x14ac:dyDescent="0.2">
      <c r="A8" s="33" t="s">
        <v>13</v>
      </c>
      <c r="B8" s="34" t="s">
        <v>58</v>
      </c>
      <c r="C8" s="141" t="s">
        <v>167</v>
      </c>
      <c r="D8" s="142"/>
      <c r="E8" s="143"/>
      <c r="F8" s="29"/>
      <c r="G8" s="158"/>
      <c r="H8" s="158"/>
      <c r="I8" s="158"/>
      <c r="J8" s="29"/>
      <c r="K8" s="29"/>
      <c r="L8" s="29"/>
      <c r="M8" s="29"/>
      <c r="N8" s="29"/>
    </row>
    <row r="9" spans="1:14" ht="7.5" customHeight="1" x14ac:dyDescent="0.2">
      <c r="B9" s="31"/>
      <c r="C9" s="31"/>
      <c r="D9" s="31"/>
      <c r="E9" s="32"/>
      <c r="F9" s="29"/>
      <c r="G9" s="29"/>
      <c r="H9" s="29"/>
      <c r="I9" s="29"/>
      <c r="J9" s="29"/>
      <c r="K9" s="29"/>
      <c r="L9" s="29"/>
      <c r="M9" s="29"/>
      <c r="N9" s="29"/>
    </row>
    <row r="10" spans="1:14" ht="22.5" customHeight="1" x14ac:dyDescent="0.2">
      <c r="A10" s="28" t="s">
        <v>17</v>
      </c>
      <c r="B10" s="31" t="s">
        <v>53</v>
      </c>
      <c r="C10" s="141" t="s">
        <v>166</v>
      </c>
      <c r="D10" s="142"/>
      <c r="E10" s="142"/>
      <c r="F10" s="142"/>
      <c r="G10" s="142"/>
      <c r="H10" s="142"/>
      <c r="I10" s="142"/>
      <c r="J10" s="142"/>
      <c r="K10" s="142"/>
      <c r="L10" s="142"/>
      <c r="M10" s="142"/>
      <c r="N10" s="143"/>
    </row>
    <row r="11" spans="1:14" ht="7.5" customHeight="1" x14ac:dyDescent="0.2">
      <c r="B11" s="31"/>
      <c r="C11" s="31"/>
      <c r="D11" s="31"/>
      <c r="E11" s="32"/>
      <c r="F11" s="29"/>
      <c r="G11" s="29"/>
      <c r="H11" s="29"/>
      <c r="I11" s="29"/>
      <c r="J11" s="29"/>
      <c r="K11" s="29"/>
      <c r="L11" s="29"/>
      <c r="M11" s="29"/>
      <c r="N11" s="29"/>
    </row>
    <row r="12" spans="1:14" ht="22.5" customHeight="1" x14ac:dyDescent="0.2">
      <c r="A12" s="28" t="s">
        <v>14</v>
      </c>
      <c r="B12" s="31" t="s">
        <v>129</v>
      </c>
      <c r="C12" s="31"/>
      <c r="D12" s="31"/>
      <c r="E12" s="121"/>
      <c r="F12" s="122"/>
      <c r="G12" s="141" t="s">
        <v>169</v>
      </c>
      <c r="H12" s="142"/>
      <c r="I12" s="142"/>
      <c r="J12" s="142"/>
      <c r="K12" s="142"/>
      <c r="L12" s="142"/>
      <c r="M12" s="142"/>
      <c r="N12" s="143"/>
    </row>
    <row r="13" spans="1:14" ht="7.5" customHeight="1" x14ac:dyDescent="0.2">
      <c r="B13" s="32"/>
      <c r="C13" s="32"/>
      <c r="D13" s="32"/>
      <c r="E13" s="32"/>
      <c r="F13" s="29"/>
      <c r="G13" s="29"/>
      <c r="H13" s="29"/>
      <c r="I13" s="29"/>
      <c r="J13" s="29"/>
      <c r="K13" s="29"/>
      <c r="L13" s="29"/>
      <c r="M13" s="29"/>
      <c r="N13" s="29"/>
    </row>
    <row r="14" spans="1:14" ht="22.5" customHeight="1" x14ac:dyDescent="0.2">
      <c r="A14" s="28" t="s">
        <v>68</v>
      </c>
      <c r="B14" s="32" t="s">
        <v>69</v>
      </c>
      <c r="C14" s="32"/>
      <c r="D14" s="32"/>
      <c r="E14" s="32"/>
      <c r="F14" s="141" t="s">
        <v>168</v>
      </c>
      <c r="G14" s="142"/>
      <c r="H14" s="143"/>
      <c r="I14" s="48"/>
      <c r="J14" s="48"/>
      <c r="K14" s="48"/>
      <c r="L14" s="48"/>
      <c r="M14" s="48"/>
      <c r="N14" s="48"/>
    </row>
    <row r="15" spans="1:14" ht="7.5" customHeight="1" x14ac:dyDescent="0.2">
      <c r="B15" s="32"/>
      <c r="C15" s="32"/>
      <c r="D15" s="32"/>
      <c r="E15" s="32"/>
      <c r="F15" s="48"/>
      <c r="G15" s="48"/>
      <c r="H15" s="48"/>
      <c r="I15" s="48"/>
      <c r="J15" s="48"/>
      <c r="K15" s="48"/>
      <c r="L15" s="48"/>
      <c r="M15" s="48"/>
      <c r="N15" s="48"/>
    </row>
    <row r="16" spans="1:14" ht="22.5" customHeight="1" x14ac:dyDescent="0.2">
      <c r="A16" s="28" t="s">
        <v>15</v>
      </c>
      <c r="B16" s="28" t="s">
        <v>0</v>
      </c>
      <c r="C16" s="155" t="s">
        <v>6</v>
      </c>
      <c r="D16" s="156"/>
      <c r="E16" s="144">
        <v>83</v>
      </c>
      <c r="F16" s="145"/>
      <c r="G16" s="35" t="s">
        <v>10</v>
      </c>
      <c r="I16" s="155" t="s">
        <v>11</v>
      </c>
      <c r="J16" s="156"/>
      <c r="K16" s="144">
        <v>269</v>
      </c>
      <c r="L16" s="157"/>
      <c r="M16" s="145"/>
      <c r="N16" s="36" t="s">
        <v>10</v>
      </c>
    </row>
    <row r="17" spans="1:15" ht="7.5" customHeight="1" x14ac:dyDescent="0.2">
      <c r="F17" s="37"/>
      <c r="G17" s="37"/>
      <c r="H17" s="37"/>
      <c r="I17" s="37"/>
      <c r="J17" s="37"/>
      <c r="K17" s="37"/>
      <c r="L17" s="37"/>
      <c r="M17" s="36"/>
      <c r="N17" s="36"/>
    </row>
    <row r="18" spans="1:15" ht="22.5" customHeight="1" x14ac:dyDescent="0.2">
      <c r="A18" s="28" t="s">
        <v>62</v>
      </c>
      <c r="B18" s="28" t="s">
        <v>91</v>
      </c>
      <c r="F18" s="37"/>
      <c r="G18" s="37"/>
      <c r="H18" s="37"/>
      <c r="I18" s="37"/>
      <c r="J18" s="37"/>
      <c r="K18" s="151">
        <v>7</v>
      </c>
      <c r="L18" s="152"/>
      <c r="M18" s="153"/>
      <c r="N18" s="36" t="s">
        <v>60</v>
      </c>
    </row>
    <row r="19" spans="1:15" ht="7.5" customHeight="1" x14ac:dyDescent="0.2">
      <c r="F19" s="37"/>
      <c r="G19" s="37"/>
      <c r="H19" s="37"/>
      <c r="I19" s="37"/>
      <c r="J19" s="37"/>
      <c r="K19" s="37"/>
      <c r="L19" s="37"/>
      <c r="M19" s="36"/>
      <c r="N19" s="36"/>
    </row>
    <row r="20" spans="1:15" ht="22.5" customHeight="1" x14ac:dyDescent="0.2">
      <c r="A20" s="28" t="s">
        <v>70</v>
      </c>
      <c r="B20" s="28" t="s">
        <v>126</v>
      </c>
      <c r="E20" s="144">
        <v>660</v>
      </c>
      <c r="F20" s="145"/>
      <c r="G20" s="38" t="s">
        <v>25</v>
      </c>
      <c r="H20" s="37"/>
      <c r="K20" s="160"/>
      <c r="L20" s="160"/>
      <c r="M20" s="160"/>
      <c r="N20" s="160"/>
    </row>
    <row r="21" spans="1:15" ht="7.5" customHeight="1" x14ac:dyDescent="0.2">
      <c r="E21" s="25"/>
      <c r="F21" s="37"/>
      <c r="G21" s="37"/>
      <c r="L21" s="39"/>
      <c r="M21" s="39"/>
      <c r="N21" s="40"/>
    </row>
    <row r="22" spans="1:15" ht="22.5" customHeight="1" x14ac:dyDescent="0.2">
      <c r="A22" s="28" t="s">
        <v>28</v>
      </c>
      <c r="B22" s="28" t="s">
        <v>127</v>
      </c>
      <c r="E22" s="25"/>
      <c r="F22" s="37"/>
      <c r="G22" s="37"/>
      <c r="H22" s="28" t="s">
        <v>61</v>
      </c>
      <c r="J22" s="163">
        <v>2900</v>
      </c>
      <c r="K22" s="152"/>
      <c r="L22" s="153"/>
      <c r="M22" s="39" t="s">
        <v>60</v>
      </c>
      <c r="N22" s="40"/>
    </row>
    <row r="23" spans="1:15" ht="7.5" customHeight="1" x14ac:dyDescent="0.2">
      <c r="E23" s="25"/>
      <c r="F23" s="37"/>
      <c r="G23" s="37"/>
      <c r="L23" s="39"/>
      <c r="M23" s="39"/>
      <c r="N23" s="40"/>
    </row>
    <row r="24" spans="1:15" ht="22.5" customHeight="1" x14ac:dyDescent="0.2">
      <c r="B24" s="41" t="s">
        <v>21</v>
      </c>
      <c r="C24" s="144">
        <v>863</v>
      </c>
      <c r="D24" s="145"/>
      <c r="E24" s="25" t="s">
        <v>26</v>
      </c>
      <c r="F24" s="37"/>
      <c r="G24" s="140" t="s">
        <v>22</v>
      </c>
      <c r="H24" s="140"/>
      <c r="I24" s="144">
        <v>858</v>
      </c>
      <c r="J24" s="145"/>
      <c r="K24" s="33" t="s">
        <v>26</v>
      </c>
      <c r="M24" s="39"/>
      <c r="N24" s="40"/>
      <c r="O24" s="30"/>
    </row>
    <row r="25" spans="1:15" ht="7.5" customHeight="1" x14ac:dyDescent="0.2">
      <c r="B25" s="41"/>
      <c r="C25" s="26"/>
      <c r="D25" s="26"/>
      <c r="E25" s="25"/>
      <c r="F25" s="37"/>
      <c r="G25" s="39"/>
      <c r="H25" s="39"/>
      <c r="I25" s="26"/>
      <c r="J25" s="26"/>
      <c r="K25" s="33"/>
      <c r="M25" s="39"/>
      <c r="N25" s="40"/>
      <c r="O25" s="30"/>
    </row>
    <row r="26" spans="1:15" ht="22.5" customHeight="1" x14ac:dyDescent="0.2">
      <c r="B26" s="41" t="s">
        <v>23</v>
      </c>
      <c r="C26" s="144">
        <v>617</v>
      </c>
      <c r="D26" s="145"/>
      <c r="E26" s="25" t="s">
        <v>26</v>
      </c>
      <c r="F26" s="37"/>
      <c r="G26" s="140" t="s">
        <v>24</v>
      </c>
      <c r="H26" s="140"/>
      <c r="I26" s="144">
        <v>562</v>
      </c>
      <c r="J26" s="145"/>
      <c r="K26" s="33" t="s">
        <v>26</v>
      </c>
      <c r="M26" s="39"/>
      <c r="N26" s="40"/>
    </row>
    <row r="27" spans="1:15" ht="7.5" customHeight="1" x14ac:dyDescent="0.2">
      <c r="B27" s="41"/>
      <c r="C27" s="26"/>
      <c r="D27" s="26"/>
      <c r="E27" s="25"/>
      <c r="F27" s="37"/>
      <c r="G27" s="39"/>
      <c r="H27" s="39"/>
      <c r="I27" s="26"/>
      <c r="J27" s="26"/>
      <c r="K27" s="33"/>
      <c r="M27" s="39"/>
      <c r="N27" s="40"/>
    </row>
    <row r="28" spans="1:15" ht="22.5" customHeight="1" x14ac:dyDescent="0.2">
      <c r="B28" s="41" t="s">
        <v>54</v>
      </c>
      <c r="C28" s="161"/>
      <c r="D28" s="162"/>
      <c r="E28" s="25" t="s">
        <v>10</v>
      </c>
      <c r="F28" s="37"/>
      <c r="G28" s="140" t="s">
        <v>55</v>
      </c>
      <c r="H28" s="140"/>
      <c r="I28" s="161"/>
      <c r="J28" s="162"/>
      <c r="K28" s="33" t="s">
        <v>10</v>
      </c>
      <c r="M28" s="39"/>
      <c r="N28" s="40"/>
    </row>
    <row r="29" spans="1:15" ht="7.5" customHeight="1" x14ac:dyDescent="0.2">
      <c r="F29" s="37"/>
      <c r="G29" s="37"/>
      <c r="M29" s="42"/>
      <c r="N29" s="42"/>
    </row>
    <row r="30" spans="1:15" ht="22.5" customHeight="1" x14ac:dyDescent="0.2">
      <c r="A30" s="28" t="s">
        <v>125</v>
      </c>
      <c r="B30" s="31" t="s">
        <v>116</v>
      </c>
      <c r="C30" s="31"/>
      <c r="D30" s="31"/>
      <c r="E30" s="31"/>
      <c r="F30" s="33"/>
      <c r="G30" s="94"/>
      <c r="H30" s="94"/>
      <c r="I30" s="94"/>
      <c r="J30" s="44"/>
      <c r="K30" s="44"/>
      <c r="L30" s="44"/>
      <c r="M30" s="44"/>
      <c r="N30" s="44"/>
    </row>
    <row r="31" spans="1:15" s="30" customFormat="1" ht="22.5" customHeight="1" x14ac:dyDescent="0.2">
      <c r="B31" s="148" t="s">
        <v>115</v>
      </c>
      <c r="C31" s="148"/>
      <c r="D31" s="141" t="s">
        <v>187</v>
      </c>
      <c r="E31" s="142"/>
      <c r="F31" s="142"/>
      <c r="G31" s="149" t="s">
        <v>27</v>
      </c>
      <c r="H31" s="148"/>
      <c r="I31" s="150"/>
      <c r="J31" s="141" t="s">
        <v>188</v>
      </c>
      <c r="K31" s="142"/>
      <c r="L31" s="142"/>
      <c r="M31" s="142"/>
      <c r="N31" s="143"/>
    </row>
    <row r="32" spans="1:15" ht="7.5" customHeight="1" x14ac:dyDescent="0.2">
      <c r="F32" s="37"/>
      <c r="G32" s="37"/>
      <c r="M32" s="42"/>
      <c r="N32" s="42"/>
    </row>
    <row r="33" spans="1:14" ht="22.5" customHeight="1" x14ac:dyDescent="0.2">
      <c r="A33" s="28" t="s">
        <v>59</v>
      </c>
      <c r="B33" s="31" t="s">
        <v>130</v>
      </c>
      <c r="C33" s="31"/>
      <c r="D33" s="31"/>
      <c r="E33" s="31"/>
      <c r="F33" s="33"/>
      <c r="G33" s="44"/>
      <c r="H33" s="44"/>
      <c r="I33" s="44"/>
      <c r="J33" s="44"/>
      <c r="K33" s="44"/>
      <c r="L33" s="44"/>
      <c r="M33" s="44"/>
      <c r="N33" s="44"/>
    </row>
    <row r="34" spans="1:14" ht="22.5" customHeight="1" x14ac:dyDescent="0.2">
      <c r="B34" s="141" t="s">
        <v>192</v>
      </c>
      <c r="C34" s="142"/>
      <c r="D34" s="142"/>
      <c r="E34" s="142"/>
      <c r="F34" s="142"/>
      <c r="G34" s="142"/>
      <c r="H34" s="142"/>
      <c r="I34" s="142"/>
      <c r="J34" s="142"/>
      <c r="K34" s="142"/>
      <c r="L34" s="142"/>
      <c r="M34" s="142"/>
      <c r="N34" s="143"/>
    </row>
    <row r="35" spans="1:14" ht="7.5" customHeight="1" x14ac:dyDescent="0.2">
      <c r="B35" s="27"/>
      <c r="C35" s="27"/>
      <c r="D35" s="27"/>
      <c r="E35" s="27"/>
      <c r="F35" s="27"/>
      <c r="G35" s="27"/>
      <c r="H35" s="27"/>
      <c r="I35" s="27"/>
      <c r="J35" s="27"/>
      <c r="K35" s="27"/>
      <c r="L35" s="27"/>
      <c r="M35" s="27"/>
      <c r="N35" s="27"/>
    </row>
    <row r="36" spans="1:14" s="30" customFormat="1" ht="22.5" customHeight="1" x14ac:dyDescent="0.2">
      <c r="B36" s="148" t="s">
        <v>115</v>
      </c>
      <c r="C36" s="148"/>
      <c r="D36" s="141" t="s">
        <v>170</v>
      </c>
      <c r="E36" s="142"/>
      <c r="F36" s="142"/>
      <c r="G36" s="149" t="s">
        <v>64</v>
      </c>
      <c r="H36" s="148"/>
      <c r="I36" s="150"/>
      <c r="J36" s="141" t="s">
        <v>186</v>
      </c>
      <c r="K36" s="142"/>
      <c r="L36" s="142"/>
      <c r="M36" s="142"/>
      <c r="N36" s="143"/>
    </row>
    <row r="37" spans="1:14" ht="7.5" customHeight="1" x14ac:dyDescent="0.2">
      <c r="F37" s="29"/>
      <c r="G37" s="29"/>
      <c r="H37" s="29"/>
      <c r="I37" s="29"/>
      <c r="J37" s="29"/>
      <c r="K37" s="29"/>
      <c r="L37" s="29"/>
      <c r="M37" s="29"/>
      <c r="N37" s="29"/>
    </row>
    <row r="38" spans="1:14" ht="22.5" customHeight="1" x14ac:dyDescent="0.2">
      <c r="A38" s="28" t="s">
        <v>63</v>
      </c>
      <c r="B38" s="28" t="s">
        <v>131</v>
      </c>
      <c r="M38" s="42"/>
      <c r="N38" s="42"/>
    </row>
    <row r="39" spans="1:14" ht="22.5" customHeight="1" x14ac:dyDescent="0.2">
      <c r="B39" s="141" t="s">
        <v>171</v>
      </c>
      <c r="C39" s="142"/>
      <c r="D39" s="142"/>
      <c r="E39" s="142"/>
      <c r="F39" s="142"/>
      <c r="G39" s="142"/>
      <c r="H39" s="142"/>
      <c r="I39" s="142"/>
      <c r="J39" s="142"/>
      <c r="K39" s="142"/>
      <c r="L39" s="142"/>
      <c r="M39" s="142"/>
      <c r="N39" s="143"/>
    </row>
    <row r="40" spans="1:14" ht="7.5" customHeight="1" x14ac:dyDescent="0.2">
      <c r="F40" s="29"/>
      <c r="G40" s="29"/>
      <c r="H40" s="29"/>
      <c r="I40" s="29"/>
      <c r="J40" s="29"/>
      <c r="K40" s="29"/>
      <c r="L40" s="29"/>
      <c r="M40" s="29"/>
      <c r="N40" s="29"/>
    </row>
    <row r="41" spans="1:14" s="30" customFormat="1" ht="22.5" customHeight="1" x14ac:dyDescent="0.2">
      <c r="B41" s="148" t="s">
        <v>115</v>
      </c>
      <c r="C41" s="148"/>
      <c r="D41" s="141" t="s">
        <v>170</v>
      </c>
      <c r="E41" s="142"/>
      <c r="F41" s="142"/>
      <c r="G41" s="149" t="s">
        <v>64</v>
      </c>
      <c r="H41" s="148"/>
      <c r="I41" s="150"/>
      <c r="J41" s="141" t="s">
        <v>186</v>
      </c>
      <c r="K41" s="142"/>
      <c r="L41" s="142"/>
      <c r="M41" s="142"/>
      <c r="N41" s="143"/>
    </row>
    <row r="42" spans="1:14" ht="7.5" customHeight="1" x14ac:dyDescent="0.2">
      <c r="F42" s="29"/>
      <c r="G42" s="29"/>
      <c r="H42" s="29"/>
      <c r="I42" s="29"/>
      <c r="J42" s="29"/>
      <c r="K42" s="29"/>
      <c r="L42" s="29"/>
      <c r="M42" s="29"/>
      <c r="N42" s="29"/>
    </row>
    <row r="43" spans="1:14" ht="22.5" customHeight="1" x14ac:dyDescent="0.2">
      <c r="A43" s="28" t="s">
        <v>71</v>
      </c>
      <c r="B43" s="79" t="s">
        <v>90</v>
      </c>
      <c r="E43" s="65"/>
      <c r="F43" s="141" t="s">
        <v>205</v>
      </c>
      <c r="G43" s="142"/>
      <c r="H43" s="142"/>
      <c r="I43" s="142"/>
      <c r="J43" s="142"/>
      <c r="K43" s="142"/>
      <c r="L43" s="142"/>
      <c r="M43" s="142"/>
      <c r="N43" s="143"/>
    </row>
    <row r="44" spans="1:14" ht="7.5" customHeight="1" x14ac:dyDescent="0.2">
      <c r="F44" s="63"/>
      <c r="G44" s="63"/>
      <c r="H44" s="63"/>
      <c r="I44" s="63"/>
      <c r="J44" s="63"/>
      <c r="K44" s="63"/>
      <c r="L44" s="63"/>
      <c r="M44" s="63"/>
      <c r="N44" s="63"/>
    </row>
    <row r="45" spans="1:14" ht="22.5" customHeight="1" x14ac:dyDescent="0.2">
      <c r="A45" s="28" t="s">
        <v>3</v>
      </c>
    </row>
    <row r="46" spans="1:14" ht="22.5" customHeight="1" x14ac:dyDescent="0.2">
      <c r="B46" s="45" t="s">
        <v>1</v>
      </c>
      <c r="C46" s="146" t="s">
        <v>172</v>
      </c>
      <c r="D46" s="147"/>
      <c r="E46" s="147"/>
      <c r="F46" s="147"/>
      <c r="G46" s="147"/>
      <c r="H46" s="147"/>
      <c r="I46" s="46" t="s">
        <v>2</v>
      </c>
      <c r="J46" s="47"/>
      <c r="K46" s="141" t="s">
        <v>173</v>
      </c>
      <c r="L46" s="142"/>
      <c r="M46" s="142"/>
      <c r="N46" s="143"/>
    </row>
    <row r="47" spans="1:14" ht="22.5" customHeight="1" x14ac:dyDescent="0.2">
      <c r="B47" s="45" t="s">
        <v>5</v>
      </c>
      <c r="C47" s="134" t="s">
        <v>174</v>
      </c>
      <c r="D47" s="135"/>
      <c r="E47" s="135"/>
      <c r="F47" s="135"/>
      <c r="G47" s="135"/>
      <c r="H47" s="136"/>
      <c r="I47" s="46" t="s">
        <v>4</v>
      </c>
      <c r="J47" s="47"/>
      <c r="K47" s="137" t="s">
        <v>175</v>
      </c>
      <c r="L47" s="138"/>
      <c r="M47" s="138"/>
      <c r="N47" s="139"/>
    </row>
  </sheetData>
  <mergeCells count="45">
    <mergeCell ref="K20:N20"/>
    <mergeCell ref="E20:F20"/>
    <mergeCell ref="J41:N41"/>
    <mergeCell ref="B34:N34"/>
    <mergeCell ref="B39:N39"/>
    <mergeCell ref="G28:H28"/>
    <mergeCell ref="I28:J28"/>
    <mergeCell ref="J22:L22"/>
    <mergeCell ref="G24:H24"/>
    <mergeCell ref="B31:C31"/>
    <mergeCell ref="D31:F31"/>
    <mergeCell ref="G31:I31"/>
    <mergeCell ref="C28:D28"/>
    <mergeCell ref="K18:M18"/>
    <mergeCell ref="I24:J24"/>
    <mergeCell ref="M1:N1"/>
    <mergeCell ref="C16:D16"/>
    <mergeCell ref="C8:E8"/>
    <mergeCell ref="C10:N10"/>
    <mergeCell ref="K16:M16"/>
    <mergeCell ref="G8:I8"/>
    <mergeCell ref="C4:N4"/>
    <mergeCell ref="D6:N6"/>
    <mergeCell ref="F14:H14"/>
    <mergeCell ref="A2:N2"/>
    <mergeCell ref="E16:F16"/>
    <mergeCell ref="I16:J16"/>
    <mergeCell ref="C24:D24"/>
    <mergeCell ref="G12:N12"/>
    <mergeCell ref="C47:H47"/>
    <mergeCell ref="K47:N47"/>
    <mergeCell ref="G26:H26"/>
    <mergeCell ref="K46:N46"/>
    <mergeCell ref="I26:J26"/>
    <mergeCell ref="C46:H46"/>
    <mergeCell ref="B36:C36"/>
    <mergeCell ref="J36:N36"/>
    <mergeCell ref="D36:F36"/>
    <mergeCell ref="G36:I36"/>
    <mergeCell ref="B41:C41"/>
    <mergeCell ref="D41:F41"/>
    <mergeCell ref="C26:D26"/>
    <mergeCell ref="G41:I41"/>
    <mergeCell ref="F43:N43"/>
    <mergeCell ref="J31:N31"/>
  </mergeCells>
  <phoneticPr fontId="1"/>
  <dataValidations count="2">
    <dataValidation type="list" allowBlank="1" showInputMessage="1" showErrorMessage="1" sqref="C8" xr:uid="{00000000-0002-0000-0000-000000000000}">
      <formula1>"国立大学, 公立大学, 私立大学, 短期大学, 高等専門学校, その他"</formula1>
    </dataValidation>
    <dataValidation type="list" allowBlank="1" showInputMessage="1" showErrorMessage="1" sqref="F43" xr:uid="{00000000-0002-0000-0000-000001000000}">
      <formula1>"認定教育プログラム,認定教育プログラムと認定教育プログラム+（プラス）"</formula1>
    </dataValidation>
  </dataValidations>
  <hyperlinks>
    <hyperlink ref="C47" r:id="rId1" xr:uid="{00000000-0004-0000-0000-000000000000}"/>
  </hyperlinks>
  <printOptions horizontalCentered="1"/>
  <pageMargins left="0.25" right="0.25"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44"/>
  <sheetViews>
    <sheetView showZeros="0" view="pageBreakPreview" zoomScaleNormal="100" zoomScaleSheetLayoutView="100" workbookViewId="0">
      <selection activeCell="B25" sqref="B25:E25"/>
    </sheetView>
  </sheetViews>
  <sheetFormatPr defaultColWidth="9" defaultRowHeight="18.75" customHeight="1" x14ac:dyDescent="0.2"/>
  <cols>
    <col min="1" max="2" width="2.453125" style="28" customWidth="1"/>
    <col min="3" max="3" width="20" style="28" customWidth="1"/>
    <col min="4" max="4" width="8.7265625" style="28" customWidth="1"/>
    <col min="5" max="5" width="7.453125" style="28" customWidth="1"/>
    <col min="6" max="6" width="2.453125" style="28" customWidth="1"/>
    <col min="7" max="7" width="15" style="28" customWidth="1"/>
    <col min="8" max="8" width="12.453125" style="28" customWidth="1"/>
    <col min="9" max="9" width="11.26953125" style="28" customWidth="1"/>
    <col min="10" max="16384" width="9" style="28"/>
  </cols>
  <sheetData>
    <row r="1" spans="1:9" ht="18.75" customHeight="1" x14ac:dyDescent="0.2">
      <c r="I1" s="71" t="s">
        <v>142</v>
      </c>
    </row>
    <row r="2" spans="1:9" ht="18.75" customHeight="1" x14ac:dyDescent="0.2">
      <c r="G2" s="43" t="s">
        <v>32</v>
      </c>
      <c r="H2" s="170" t="s">
        <v>140</v>
      </c>
      <c r="I2" s="170"/>
    </row>
    <row r="3" spans="1:9" ht="7.5" customHeight="1" x14ac:dyDescent="0.2"/>
    <row r="4" spans="1:9" ht="18.75" customHeight="1" x14ac:dyDescent="0.2">
      <c r="A4" s="159" t="s">
        <v>88</v>
      </c>
      <c r="B4" s="159"/>
      <c r="C4" s="159"/>
      <c r="D4" s="159"/>
      <c r="E4" s="159"/>
      <c r="F4" s="159"/>
      <c r="G4" s="159"/>
      <c r="H4" s="159"/>
      <c r="I4" s="159"/>
    </row>
    <row r="5" spans="1:9" ht="7.5" customHeight="1" x14ac:dyDescent="0.2">
      <c r="C5" s="41"/>
      <c r="D5" s="49"/>
      <c r="E5" s="62"/>
      <c r="F5" s="41"/>
      <c r="G5" s="49"/>
      <c r="H5" s="41"/>
      <c r="I5" s="41"/>
    </row>
    <row r="6" spans="1:9" ht="18.75" customHeight="1" x14ac:dyDescent="0.2">
      <c r="A6" s="28" t="s">
        <v>7</v>
      </c>
      <c r="B6" s="28" t="s">
        <v>101</v>
      </c>
      <c r="C6" s="70"/>
      <c r="D6" s="70"/>
      <c r="E6" s="151" t="s">
        <v>139</v>
      </c>
      <c r="F6" s="152"/>
      <c r="G6" s="152"/>
      <c r="H6" s="152"/>
      <c r="I6" s="153"/>
    </row>
    <row r="7" spans="1:9" ht="7.5" customHeight="1" x14ac:dyDescent="0.2">
      <c r="C7" s="70"/>
      <c r="D7" s="70"/>
      <c r="F7" s="69"/>
      <c r="G7" s="69"/>
      <c r="H7" s="69"/>
      <c r="I7" s="69"/>
    </row>
    <row r="8" spans="1:9" ht="18.75" customHeight="1" x14ac:dyDescent="0.2">
      <c r="A8" s="28" t="s">
        <v>12</v>
      </c>
      <c r="B8" s="28" t="s">
        <v>102</v>
      </c>
      <c r="C8" s="70"/>
      <c r="D8" s="70"/>
      <c r="E8" s="70"/>
      <c r="F8" s="70"/>
      <c r="G8" s="70"/>
      <c r="H8" s="70"/>
      <c r="I8" s="70"/>
    </row>
    <row r="9" spans="1:9" ht="18.75" customHeight="1" x14ac:dyDescent="0.2">
      <c r="B9" s="173" t="s">
        <v>207</v>
      </c>
      <c r="C9" s="174"/>
      <c r="D9" s="174"/>
      <c r="E9" s="174"/>
      <c r="F9" s="174"/>
      <c r="G9" s="174"/>
      <c r="H9" s="174"/>
      <c r="I9" s="175"/>
    </row>
    <row r="10" spans="1:9" ht="18.75" customHeight="1" x14ac:dyDescent="0.2">
      <c r="B10" s="176"/>
      <c r="C10" s="177"/>
      <c r="D10" s="177"/>
      <c r="E10" s="177"/>
      <c r="F10" s="177"/>
      <c r="G10" s="177"/>
      <c r="H10" s="177"/>
      <c r="I10" s="178"/>
    </row>
    <row r="11" spans="1:9" ht="17" customHeight="1" x14ac:dyDescent="0.2">
      <c r="B11" s="176"/>
      <c r="C11" s="177"/>
      <c r="D11" s="177"/>
      <c r="E11" s="177"/>
      <c r="F11" s="177"/>
      <c r="G11" s="177"/>
      <c r="H11" s="177"/>
      <c r="I11" s="178"/>
    </row>
    <row r="12" spans="1:9" ht="17" customHeight="1" x14ac:dyDescent="0.2">
      <c r="B12" s="176"/>
      <c r="C12" s="177"/>
      <c r="D12" s="177"/>
      <c r="E12" s="177"/>
      <c r="F12" s="177"/>
      <c r="G12" s="177"/>
      <c r="H12" s="177"/>
      <c r="I12" s="178"/>
    </row>
    <row r="13" spans="1:9" ht="17" customHeight="1" x14ac:dyDescent="0.2">
      <c r="B13" s="176"/>
      <c r="C13" s="177"/>
      <c r="D13" s="177"/>
      <c r="E13" s="177"/>
      <c r="F13" s="177"/>
      <c r="G13" s="177"/>
      <c r="H13" s="177"/>
      <c r="I13" s="178"/>
    </row>
    <row r="14" spans="1:9" ht="17" customHeight="1" x14ac:dyDescent="0.2">
      <c r="B14" s="176"/>
      <c r="C14" s="177"/>
      <c r="D14" s="177"/>
      <c r="E14" s="177"/>
      <c r="F14" s="177"/>
      <c r="G14" s="177"/>
      <c r="H14" s="177"/>
      <c r="I14" s="178"/>
    </row>
    <row r="15" spans="1:9" ht="17" customHeight="1" x14ac:dyDescent="0.2">
      <c r="B15" s="176"/>
      <c r="C15" s="177"/>
      <c r="D15" s="177"/>
      <c r="E15" s="177"/>
      <c r="F15" s="177"/>
      <c r="G15" s="177"/>
      <c r="H15" s="177"/>
      <c r="I15" s="178"/>
    </row>
    <row r="16" spans="1:9" ht="17" customHeight="1" x14ac:dyDescent="0.2">
      <c r="B16" s="179"/>
      <c r="C16" s="180"/>
      <c r="D16" s="180"/>
      <c r="E16" s="180"/>
      <c r="F16" s="180"/>
      <c r="G16" s="180"/>
      <c r="H16" s="180"/>
      <c r="I16" s="181"/>
    </row>
    <row r="17" spans="1:10" ht="7.5" customHeight="1" x14ac:dyDescent="0.2">
      <c r="C17" s="70"/>
      <c r="D17" s="70"/>
      <c r="E17" s="70"/>
      <c r="F17" s="70"/>
      <c r="G17" s="70"/>
      <c r="H17" s="70"/>
      <c r="I17" s="70"/>
    </row>
    <row r="18" spans="1:10" ht="18.75" customHeight="1" x14ac:dyDescent="0.2">
      <c r="A18" s="41" t="s">
        <v>13</v>
      </c>
      <c r="B18" s="31" t="s">
        <v>103</v>
      </c>
      <c r="C18" s="31"/>
      <c r="D18" s="31"/>
      <c r="E18" s="31"/>
      <c r="F18" s="41"/>
      <c r="G18" s="49"/>
      <c r="H18" s="41"/>
      <c r="I18" s="41"/>
      <c r="J18" s="41"/>
    </row>
    <row r="19" spans="1:10" ht="18.75" customHeight="1" x14ac:dyDescent="0.2">
      <c r="A19" s="171" t="s">
        <v>103</v>
      </c>
      <c r="B19" s="171"/>
      <c r="C19" s="171"/>
      <c r="D19" s="171"/>
      <c r="E19" s="171"/>
      <c r="F19" s="172" t="s">
        <v>103</v>
      </c>
      <c r="G19" s="172"/>
      <c r="H19" s="172"/>
      <c r="I19" s="172"/>
    </row>
    <row r="20" spans="1:10" ht="18.75" customHeight="1" x14ac:dyDescent="0.2">
      <c r="A20" s="72">
        <v>1</v>
      </c>
      <c r="B20" s="146" t="s">
        <v>134</v>
      </c>
      <c r="C20" s="147"/>
      <c r="D20" s="147"/>
      <c r="E20" s="182"/>
      <c r="F20" s="72">
        <v>26</v>
      </c>
      <c r="G20" s="164"/>
      <c r="H20" s="165"/>
      <c r="I20" s="166"/>
    </row>
    <row r="21" spans="1:10" ht="18.75" customHeight="1" x14ac:dyDescent="0.2">
      <c r="A21" s="72">
        <v>2</v>
      </c>
      <c r="B21" s="146" t="s">
        <v>137</v>
      </c>
      <c r="C21" s="147"/>
      <c r="D21" s="147"/>
      <c r="E21" s="182"/>
      <c r="F21" s="72">
        <v>27</v>
      </c>
      <c r="G21" s="164"/>
      <c r="H21" s="165"/>
      <c r="I21" s="166"/>
    </row>
    <row r="22" spans="1:10" ht="18.75" customHeight="1" x14ac:dyDescent="0.2">
      <c r="A22" s="72">
        <v>3</v>
      </c>
      <c r="B22" s="146" t="s">
        <v>138</v>
      </c>
      <c r="C22" s="147"/>
      <c r="D22" s="147"/>
      <c r="E22" s="182"/>
      <c r="F22" s="72">
        <v>28</v>
      </c>
      <c r="G22" s="164"/>
      <c r="H22" s="165"/>
      <c r="I22" s="166"/>
    </row>
    <row r="23" spans="1:10" ht="18.75" customHeight="1" x14ac:dyDescent="0.2">
      <c r="A23" s="72">
        <v>4</v>
      </c>
      <c r="B23" s="164" t="s">
        <v>208</v>
      </c>
      <c r="C23" s="165"/>
      <c r="D23" s="165"/>
      <c r="E23" s="166"/>
      <c r="F23" s="72">
        <v>29</v>
      </c>
      <c r="G23" s="164"/>
      <c r="H23" s="165"/>
      <c r="I23" s="166"/>
    </row>
    <row r="24" spans="1:10" ht="18.75" customHeight="1" x14ac:dyDescent="0.2">
      <c r="A24" s="72">
        <v>5</v>
      </c>
      <c r="B24" s="164" t="s">
        <v>209</v>
      </c>
      <c r="C24" s="165"/>
      <c r="D24" s="165"/>
      <c r="E24" s="166"/>
      <c r="F24" s="72">
        <v>30</v>
      </c>
      <c r="G24" s="164"/>
      <c r="H24" s="165"/>
      <c r="I24" s="166"/>
    </row>
    <row r="25" spans="1:10" ht="18.75" customHeight="1" x14ac:dyDescent="0.2">
      <c r="A25" s="72">
        <v>6</v>
      </c>
      <c r="B25" s="167"/>
      <c r="C25" s="168"/>
      <c r="D25" s="168"/>
      <c r="E25" s="169"/>
      <c r="F25" s="72">
        <v>31</v>
      </c>
      <c r="G25" s="164"/>
      <c r="H25" s="165"/>
      <c r="I25" s="166"/>
    </row>
    <row r="26" spans="1:10" ht="18.75" customHeight="1" x14ac:dyDescent="0.2">
      <c r="A26" s="72">
        <v>7</v>
      </c>
      <c r="B26" s="167"/>
      <c r="C26" s="168"/>
      <c r="D26" s="168"/>
      <c r="E26" s="169"/>
      <c r="F26" s="72">
        <v>32</v>
      </c>
      <c r="G26" s="164"/>
      <c r="H26" s="165"/>
      <c r="I26" s="166"/>
    </row>
    <row r="27" spans="1:10" ht="18.75" customHeight="1" x14ac:dyDescent="0.2">
      <c r="A27" s="72">
        <v>8</v>
      </c>
      <c r="B27" s="167"/>
      <c r="C27" s="168"/>
      <c r="D27" s="168"/>
      <c r="E27" s="169"/>
      <c r="F27" s="72">
        <v>33</v>
      </c>
      <c r="G27" s="164"/>
      <c r="H27" s="165"/>
      <c r="I27" s="166"/>
    </row>
    <row r="28" spans="1:10" ht="18.75" customHeight="1" x14ac:dyDescent="0.2">
      <c r="A28" s="72">
        <v>9</v>
      </c>
      <c r="B28" s="167"/>
      <c r="C28" s="168"/>
      <c r="D28" s="168"/>
      <c r="E28" s="169"/>
      <c r="F28" s="72">
        <v>34</v>
      </c>
      <c r="G28" s="164"/>
      <c r="H28" s="165"/>
      <c r="I28" s="166"/>
    </row>
    <row r="29" spans="1:10" ht="18.75" customHeight="1" x14ac:dyDescent="0.2">
      <c r="A29" s="72">
        <v>10</v>
      </c>
      <c r="B29" s="167"/>
      <c r="C29" s="168"/>
      <c r="D29" s="168"/>
      <c r="E29" s="169"/>
      <c r="F29" s="72">
        <v>35</v>
      </c>
      <c r="G29" s="164"/>
      <c r="H29" s="165"/>
      <c r="I29" s="166"/>
    </row>
    <row r="30" spans="1:10" ht="18.75" customHeight="1" x14ac:dyDescent="0.2">
      <c r="A30" s="72">
        <v>11</v>
      </c>
      <c r="B30" s="164"/>
      <c r="C30" s="165"/>
      <c r="D30" s="165"/>
      <c r="E30" s="166"/>
      <c r="F30" s="72">
        <v>36</v>
      </c>
      <c r="G30" s="164"/>
      <c r="H30" s="165"/>
      <c r="I30" s="166"/>
    </row>
    <row r="31" spans="1:10" ht="18.75" customHeight="1" x14ac:dyDescent="0.2">
      <c r="A31" s="72">
        <v>12</v>
      </c>
      <c r="B31" s="164"/>
      <c r="C31" s="165"/>
      <c r="D31" s="165"/>
      <c r="E31" s="166"/>
      <c r="F31" s="72">
        <v>37</v>
      </c>
      <c r="G31" s="164"/>
      <c r="H31" s="165"/>
      <c r="I31" s="166"/>
    </row>
    <row r="32" spans="1:10" ht="18.75" customHeight="1" x14ac:dyDescent="0.2">
      <c r="A32" s="72">
        <v>13</v>
      </c>
      <c r="B32" s="164"/>
      <c r="C32" s="165"/>
      <c r="D32" s="165"/>
      <c r="E32" s="166"/>
      <c r="F32" s="72">
        <v>38</v>
      </c>
      <c r="G32" s="164"/>
      <c r="H32" s="165"/>
      <c r="I32" s="166"/>
    </row>
    <row r="33" spans="1:9" ht="18.75" customHeight="1" x14ac:dyDescent="0.2">
      <c r="A33" s="72">
        <v>14</v>
      </c>
      <c r="B33" s="164"/>
      <c r="C33" s="165"/>
      <c r="D33" s="165"/>
      <c r="E33" s="166"/>
      <c r="F33" s="72">
        <v>39</v>
      </c>
      <c r="G33" s="164"/>
      <c r="H33" s="165"/>
      <c r="I33" s="166"/>
    </row>
    <row r="34" spans="1:9" ht="18.75" customHeight="1" x14ac:dyDescent="0.2">
      <c r="A34" s="72">
        <v>15</v>
      </c>
      <c r="B34" s="164"/>
      <c r="C34" s="165"/>
      <c r="D34" s="165"/>
      <c r="E34" s="166"/>
      <c r="F34" s="72">
        <v>40</v>
      </c>
      <c r="G34" s="164"/>
      <c r="H34" s="165"/>
      <c r="I34" s="166"/>
    </row>
    <row r="35" spans="1:9" ht="18.75" customHeight="1" x14ac:dyDescent="0.2">
      <c r="A35" s="72">
        <v>16</v>
      </c>
      <c r="B35" s="164"/>
      <c r="C35" s="165"/>
      <c r="D35" s="165"/>
      <c r="E35" s="166"/>
      <c r="F35" s="72">
        <v>41</v>
      </c>
      <c r="G35" s="164"/>
      <c r="H35" s="165"/>
      <c r="I35" s="166"/>
    </row>
    <row r="36" spans="1:9" ht="18.75" customHeight="1" x14ac:dyDescent="0.2">
      <c r="A36" s="72">
        <v>17</v>
      </c>
      <c r="B36" s="164"/>
      <c r="C36" s="165"/>
      <c r="D36" s="165"/>
      <c r="E36" s="166"/>
      <c r="F36" s="72">
        <v>42</v>
      </c>
      <c r="G36" s="164"/>
      <c r="H36" s="165"/>
      <c r="I36" s="166"/>
    </row>
    <row r="37" spans="1:9" ht="18.75" customHeight="1" x14ac:dyDescent="0.2">
      <c r="A37" s="72">
        <v>18</v>
      </c>
      <c r="B37" s="164"/>
      <c r="C37" s="165"/>
      <c r="D37" s="165"/>
      <c r="E37" s="166"/>
      <c r="F37" s="72">
        <v>43</v>
      </c>
      <c r="G37" s="164"/>
      <c r="H37" s="165"/>
      <c r="I37" s="166"/>
    </row>
    <row r="38" spans="1:9" ht="18.75" customHeight="1" x14ac:dyDescent="0.2">
      <c r="A38" s="72">
        <v>19</v>
      </c>
      <c r="B38" s="164"/>
      <c r="C38" s="165"/>
      <c r="D38" s="165"/>
      <c r="E38" s="166"/>
      <c r="F38" s="72">
        <v>44</v>
      </c>
      <c r="G38" s="164"/>
      <c r="H38" s="165"/>
      <c r="I38" s="166"/>
    </row>
    <row r="39" spans="1:9" ht="18.75" customHeight="1" x14ac:dyDescent="0.2">
      <c r="A39" s="72">
        <v>20</v>
      </c>
      <c r="B39" s="164"/>
      <c r="C39" s="165"/>
      <c r="D39" s="165"/>
      <c r="E39" s="166"/>
      <c r="F39" s="72">
        <v>45</v>
      </c>
      <c r="G39" s="164"/>
      <c r="H39" s="165"/>
      <c r="I39" s="166"/>
    </row>
    <row r="40" spans="1:9" ht="18.75" customHeight="1" x14ac:dyDescent="0.2">
      <c r="A40" s="72">
        <v>21</v>
      </c>
      <c r="B40" s="164"/>
      <c r="C40" s="165"/>
      <c r="D40" s="165"/>
      <c r="E40" s="166"/>
      <c r="F40" s="72">
        <v>46</v>
      </c>
      <c r="G40" s="164"/>
      <c r="H40" s="165"/>
      <c r="I40" s="166"/>
    </row>
    <row r="41" spans="1:9" ht="18.75" customHeight="1" x14ac:dyDescent="0.2">
      <c r="A41" s="72">
        <v>22</v>
      </c>
      <c r="B41" s="164"/>
      <c r="C41" s="165"/>
      <c r="D41" s="165"/>
      <c r="E41" s="166"/>
      <c r="F41" s="72">
        <v>47</v>
      </c>
      <c r="G41" s="164"/>
      <c r="H41" s="165"/>
      <c r="I41" s="166"/>
    </row>
    <row r="42" spans="1:9" ht="18.75" customHeight="1" x14ac:dyDescent="0.2">
      <c r="A42" s="72">
        <v>23</v>
      </c>
      <c r="B42" s="164"/>
      <c r="C42" s="165"/>
      <c r="D42" s="165"/>
      <c r="E42" s="166"/>
      <c r="F42" s="72">
        <v>48</v>
      </c>
      <c r="G42" s="164"/>
      <c r="H42" s="165"/>
      <c r="I42" s="166"/>
    </row>
    <row r="43" spans="1:9" ht="18.75" customHeight="1" x14ac:dyDescent="0.2">
      <c r="A43" s="72">
        <v>24</v>
      </c>
      <c r="B43" s="164"/>
      <c r="C43" s="165"/>
      <c r="D43" s="165"/>
      <c r="E43" s="166"/>
      <c r="F43" s="72">
        <v>49</v>
      </c>
      <c r="G43" s="164"/>
      <c r="H43" s="165"/>
      <c r="I43" s="166"/>
    </row>
    <row r="44" spans="1:9" ht="18.75" customHeight="1" x14ac:dyDescent="0.2">
      <c r="A44" s="72">
        <v>25</v>
      </c>
      <c r="B44" s="164"/>
      <c r="C44" s="165"/>
      <c r="D44" s="165"/>
      <c r="E44" s="166"/>
      <c r="F44" s="72">
        <v>50</v>
      </c>
      <c r="G44" s="164"/>
      <c r="H44" s="165"/>
      <c r="I44" s="166"/>
    </row>
  </sheetData>
  <mergeCells count="56">
    <mergeCell ref="B25:E25"/>
    <mergeCell ref="B26:E26"/>
    <mergeCell ref="B27:E27"/>
    <mergeCell ref="B28:E28"/>
    <mergeCell ref="B9:I16"/>
    <mergeCell ref="B20:E20"/>
    <mergeCell ref="B21:E21"/>
    <mergeCell ref="B22:E22"/>
    <mergeCell ref="B23:E23"/>
    <mergeCell ref="B24:E24"/>
    <mergeCell ref="G20:I20"/>
    <mergeCell ref="G25:I25"/>
    <mergeCell ref="G26:I26"/>
    <mergeCell ref="G27:I27"/>
    <mergeCell ref="G28:I28"/>
    <mergeCell ref="E6:I6"/>
    <mergeCell ref="H2:I2"/>
    <mergeCell ref="A4:I4"/>
    <mergeCell ref="A19:E19"/>
    <mergeCell ref="F19:I19"/>
    <mergeCell ref="B35:E35"/>
    <mergeCell ref="B36:E36"/>
    <mergeCell ref="B37:E37"/>
    <mergeCell ref="B38:E38"/>
    <mergeCell ref="B29:E29"/>
    <mergeCell ref="B30:E30"/>
    <mergeCell ref="B31:E31"/>
    <mergeCell ref="B32:E32"/>
    <mergeCell ref="B33:E33"/>
    <mergeCell ref="B44:E44"/>
    <mergeCell ref="G21:I21"/>
    <mergeCell ref="G22:I22"/>
    <mergeCell ref="G23:I23"/>
    <mergeCell ref="G24:I24"/>
    <mergeCell ref="G29:I29"/>
    <mergeCell ref="G30:I30"/>
    <mergeCell ref="G31:I31"/>
    <mergeCell ref="G32:I32"/>
    <mergeCell ref="G33:I33"/>
    <mergeCell ref="B39:E39"/>
    <mergeCell ref="B40:E40"/>
    <mergeCell ref="B41:E41"/>
    <mergeCell ref="B42:E42"/>
    <mergeCell ref="B43:E43"/>
    <mergeCell ref="B34:E34"/>
    <mergeCell ref="G34:I34"/>
    <mergeCell ref="G35:I35"/>
    <mergeCell ref="G36:I36"/>
    <mergeCell ref="G37:I37"/>
    <mergeCell ref="G38:I38"/>
    <mergeCell ref="G44:I44"/>
    <mergeCell ref="G39:I39"/>
    <mergeCell ref="G40:I40"/>
    <mergeCell ref="G41:I41"/>
    <mergeCell ref="G42:I42"/>
    <mergeCell ref="G43:I43"/>
  </mergeCells>
  <phoneticPr fontId="1"/>
  <dataValidations disablePrompts="1" count="2">
    <dataValidation type="list" allowBlank="1" showInputMessage="1" showErrorMessage="1" sqref="F7:I7" xr:uid="{00000000-0002-0000-0100-000000000000}">
      <formula1>"学部等によって、認定要件は相違する,学部等によって、認定要件は相違しない"</formula1>
    </dataValidation>
    <dataValidation type="list" allowBlank="1" showInputMessage="1" showErrorMessage="1" sqref="E6:I6" xr:uid="{00000000-0002-0000-0100-000001000000}">
      <formula1>"学部・学科によって、修了要件は相違する,学部・学科によって、修了要件は相違しない"</formula1>
    </dataValidation>
  </dataValidations>
  <printOptions horizontalCentered="1"/>
  <pageMargins left="0.25" right="0.25"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44"/>
  <sheetViews>
    <sheetView showZeros="0" view="pageBreakPreview" zoomScaleNormal="100" zoomScaleSheetLayoutView="100" workbookViewId="0">
      <selection activeCell="G30" sqref="G30:I30"/>
    </sheetView>
  </sheetViews>
  <sheetFormatPr defaultColWidth="9" defaultRowHeight="18.75" customHeight="1" x14ac:dyDescent="0.2"/>
  <cols>
    <col min="1" max="2" width="2.453125" style="28" customWidth="1"/>
    <col min="3" max="3" width="20" style="28" customWidth="1"/>
    <col min="4" max="4" width="8.7265625" style="28" customWidth="1"/>
    <col min="5" max="5" width="7.453125" style="28" customWidth="1"/>
    <col min="6" max="6" width="2.453125" style="28" customWidth="1"/>
    <col min="7" max="7" width="15" style="28" customWidth="1"/>
    <col min="8" max="8" width="12.453125" style="28" customWidth="1"/>
    <col min="9" max="9" width="11.26953125" style="28" customWidth="1"/>
    <col min="10" max="16384" width="9" style="28"/>
  </cols>
  <sheetData>
    <row r="1" spans="1:9" ht="18.75" customHeight="1" x14ac:dyDescent="0.2">
      <c r="I1" s="124" t="s">
        <v>141</v>
      </c>
    </row>
    <row r="2" spans="1:9" ht="18.75" customHeight="1" x14ac:dyDescent="0.2">
      <c r="G2" s="43" t="s">
        <v>32</v>
      </c>
      <c r="H2" s="170" t="s">
        <v>176</v>
      </c>
      <c r="I2" s="170"/>
    </row>
    <row r="3" spans="1:9" ht="7.5" customHeight="1" x14ac:dyDescent="0.2"/>
    <row r="4" spans="1:9" ht="18.75" customHeight="1" x14ac:dyDescent="0.2">
      <c r="A4" s="159" t="s">
        <v>88</v>
      </c>
      <c r="B4" s="159"/>
      <c r="C4" s="159"/>
      <c r="D4" s="159"/>
      <c r="E4" s="159"/>
      <c r="F4" s="159"/>
      <c r="G4" s="159"/>
      <c r="H4" s="159"/>
      <c r="I4" s="159"/>
    </row>
    <row r="5" spans="1:9" ht="7.5" customHeight="1" x14ac:dyDescent="0.2">
      <c r="C5" s="125"/>
      <c r="D5" s="125"/>
      <c r="E5" s="125"/>
      <c r="F5" s="125"/>
      <c r="G5" s="125"/>
      <c r="H5" s="125"/>
      <c r="I5" s="125"/>
    </row>
    <row r="6" spans="1:9" ht="18.75" customHeight="1" x14ac:dyDescent="0.2">
      <c r="A6" s="28" t="s">
        <v>7</v>
      </c>
      <c r="B6" s="28" t="s">
        <v>101</v>
      </c>
      <c r="C6" s="125"/>
      <c r="D6" s="125"/>
      <c r="E6" s="151" t="s">
        <v>139</v>
      </c>
      <c r="F6" s="152"/>
      <c r="G6" s="152"/>
      <c r="H6" s="152"/>
      <c r="I6" s="153"/>
    </row>
    <row r="7" spans="1:9" ht="7.5" customHeight="1" x14ac:dyDescent="0.2">
      <c r="C7" s="125"/>
      <c r="D7" s="125"/>
      <c r="F7" s="123"/>
      <c r="G7" s="123"/>
      <c r="H7" s="123"/>
      <c r="I7" s="123"/>
    </row>
    <row r="8" spans="1:9" ht="18.75" customHeight="1" x14ac:dyDescent="0.2">
      <c r="A8" s="28" t="s">
        <v>12</v>
      </c>
      <c r="B8" s="28" t="s">
        <v>102</v>
      </c>
      <c r="C8" s="125"/>
      <c r="D8" s="125"/>
      <c r="E8" s="125"/>
      <c r="F8" s="125"/>
      <c r="G8" s="125"/>
      <c r="H8" s="125"/>
      <c r="I8" s="125"/>
    </row>
    <row r="9" spans="1:9" ht="18.75" customHeight="1" x14ac:dyDescent="0.2">
      <c r="B9" s="173" t="s">
        <v>206</v>
      </c>
      <c r="C9" s="174"/>
      <c r="D9" s="174"/>
      <c r="E9" s="174"/>
      <c r="F9" s="174"/>
      <c r="G9" s="174"/>
      <c r="H9" s="174"/>
      <c r="I9" s="175"/>
    </row>
    <row r="10" spans="1:9" ht="18.75" customHeight="1" x14ac:dyDescent="0.2">
      <c r="B10" s="176"/>
      <c r="C10" s="177"/>
      <c r="D10" s="177"/>
      <c r="E10" s="177"/>
      <c r="F10" s="177"/>
      <c r="G10" s="177"/>
      <c r="H10" s="177"/>
      <c r="I10" s="178"/>
    </row>
    <row r="11" spans="1:9" ht="18.75" customHeight="1" x14ac:dyDescent="0.2">
      <c r="B11" s="176"/>
      <c r="C11" s="177"/>
      <c r="D11" s="177"/>
      <c r="E11" s="177"/>
      <c r="F11" s="177"/>
      <c r="G11" s="177"/>
      <c r="H11" s="177"/>
      <c r="I11" s="178"/>
    </row>
    <row r="12" spans="1:9" ht="14.5" customHeight="1" x14ac:dyDescent="0.2">
      <c r="B12" s="176"/>
      <c r="C12" s="177"/>
      <c r="D12" s="177"/>
      <c r="E12" s="177"/>
      <c r="F12" s="177"/>
      <c r="G12" s="177"/>
      <c r="H12" s="177"/>
      <c r="I12" s="178"/>
    </row>
    <row r="13" spans="1:9" ht="14.5" customHeight="1" x14ac:dyDescent="0.2">
      <c r="B13" s="176"/>
      <c r="C13" s="177"/>
      <c r="D13" s="177"/>
      <c r="E13" s="177"/>
      <c r="F13" s="177"/>
      <c r="G13" s="177"/>
      <c r="H13" s="177"/>
      <c r="I13" s="178"/>
    </row>
    <row r="14" spans="1:9" ht="14.5" customHeight="1" x14ac:dyDescent="0.2">
      <c r="B14" s="176"/>
      <c r="C14" s="177"/>
      <c r="D14" s="177"/>
      <c r="E14" s="177"/>
      <c r="F14" s="177"/>
      <c r="G14" s="177"/>
      <c r="H14" s="177"/>
      <c r="I14" s="178"/>
    </row>
    <row r="15" spans="1:9" ht="14.5" customHeight="1" x14ac:dyDescent="0.2">
      <c r="B15" s="176"/>
      <c r="C15" s="177"/>
      <c r="D15" s="177"/>
      <c r="E15" s="177"/>
      <c r="F15" s="177"/>
      <c r="G15" s="177"/>
      <c r="H15" s="177"/>
      <c r="I15" s="178"/>
    </row>
    <row r="16" spans="1:9" ht="14.5" customHeight="1" x14ac:dyDescent="0.2">
      <c r="B16" s="179"/>
      <c r="C16" s="180"/>
      <c r="D16" s="180"/>
      <c r="E16" s="180"/>
      <c r="F16" s="180"/>
      <c r="G16" s="180"/>
      <c r="H16" s="180"/>
      <c r="I16" s="181"/>
    </row>
    <row r="17" spans="1:10" ht="7.5" customHeight="1" x14ac:dyDescent="0.2">
      <c r="C17" s="125"/>
      <c r="D17" s="125"/>
      <c r="E17" s="125"/>
      <c r="F17" s="125"/>
      <c r="G17" s="125"/>
      <c r="H17" s="125"/>
      <c r="I17" s="125"/>
    </row>
    <row r="18" spans="1:10" ht="18.75" customHeight="1" x14ac:dyDescent="0.2">
      <c r="A18" s="125" t="s">
        <v>13</v>
      </c>
      <c r="B18" s="31" t="s">
        <v>103</v>
      </c>
      <c r="C18" s="31"/>
      <c r="D18" s="31"/>
      <c r="E18" s="31"/>
      <c r="F18" s="125"/>
      <c r="G18" s="125"/>
      <c r="H18" s="125"/>
      <c r="I18" s="125"/>
      <c r="J18" s="125"/>
    </row>
    <row r="19" spans="1:10" ht="18.75" customHeight="1" x14ac:dyDescent="0.2">
      <c r="A19" s="171" t="s">
        <v>103</v>
      </c>
      <c r="B19" s="171"/>
      <c r="C19" s="171"/>
      <c r="D19" s="171"/>
      <c r="E19" s="171"/>
      <c r="F19" s="172" t="s">
        <v>103</v>
      </c>
      <c r="G19" s="172"/>
      <c r="H19" s="172"/>
      <c r="I19" s="172"/>
    </row>
    <row r="20" spans="1:10" ht="18.75" customHeight="1" x14ac:dyDescent="0.2">
      <c r="A20" s="72">
        <v>1</v>
      </c>
      <c r="B20" s="146" t="s">
        <v>134</v>
      </c>
      <c r="C20" s="147"/>
      <c r="D20" s="147"/>
      <c r="E20" s="182"/>
      <c r="F20" s="72">
        <v>26</v>
      </c>
      <c r="G20" s="164"/>
      <c r="H20" s="165"/>
      <c r="I20" s="166"/>
    </row>
    <row r="21" spans="1:10" ht="18.75" customHeight="1" x14ac:dyDescent="0.2">
      <c r="A21" s="72">
        <v>2</v>
      </c>
      <c r="B21" s="146" t="s">
        <v>137</v>
      </c>
      <c r="C21" s="147"/>
      <c r="D21" s="147"/>
      <c r="E21" s="182"/>
      <c r="F21" s="72">
        <v>27</v>
      </c>
      <c r="G21" s="164"/>
      <c r="H21" s="165"/>
      <c r="I21" s="166"/>
    </row>
    <row r="22" spans="1:10" ht="18.75" customHeight="1" x14ac:dyDescent="0.2">
      <c r="A22" s="72">
        <v>3</v>
      </c>
      <c r="B22" s="146" t="s">
        <v>138</v>
      </c>
      <c r="C22" s="147"/>
      <c r="D22" s="147"/>
      <c r="E22" s="182"/>
      <c r="F22" s="72">
        <v>28</v>
      </c>
      <c r="G22" s="164"/>
      <c r="H22" s="165"/>
      <c r="I22" s="166"/>
    </row>
    <row r="23" spans="1:10" ht="18.75" customHeight="1" x14ac:dyDescent="0.2">
      <c r="A23" s="72">
        <v>4</v>
      </c>
      <c r="B23" s="164" t="s">
        <v>208</v>
      </c>
      <c r="C23" s="165"/>
      <c r="D23" s="165"/>
      <c r="E23" s="166"/>
      <c r="F23" s="72">
        <v>29</v>
      </c>
      <c r="G23" s="164"/>
      <c r="H23" s="165"/>
      <c r="I23" s="166"/>
    </row>
    <row r="24" spans="1:10" ht="18.75" customHeight="1" x14ac:dyDescent="0.2">
      <c r="A24" s="72">
        <v>5</v>
      </c>
      <c r="B24" s="164" t="s">
        <v>209</v>
      </c>
      <c r="C24" s="165"/>
      <c r="D24" s="165"/>
      <c r="E24" s="166"/>
      <c r="F24" s="72">
        <v>30</v>
      </c>
      <c r="G24" s="164"/>
      <c r="H24" s="165"/>
      <c r="I24" s="166"/>
    </row>
    <row r="25" spans="1:10" ht="18.75" customHeight="1" x14ac:dyDescent="0.2">
      <c r="A25" s="72">
        <v>6</v>
      </c>
      <c r="B25" s="167"/>
      <c r="C25" s="168"/>
      <c r="D25" s="168"/>
      <c r="E25" s="169"/>
      <c r="F25" s="72">
        <v>31</v>
      </c>
      <c r="G25" s="164"/>
      <c r="H25" s="165"/>
      <c r="I25" s="166"/>
    </row>
    <row r="26" spans="1:10" ht="18.75" customHeight="1" x14ac:dyDescent="0.2">
      <c r="A26" s="72">
        <v>7</v>
      </c>
      <c r="B26" s="167"/>
      <c r="C26" s="168"/>
      <c r="D26" s="168"/>
      <c r="E26" s="169"/>
      <c r="F26" s="72">
        <v>32</v>
      </c>
      <c r="G26" s="164"/>
      <c r="H26" s="165"/>
      <c r="I26" s="166"/>
    </row>
    <row r="27" spans="1:10" ht="18.75" customHeight="1" x14ac:dyDescent="0.2">
      <c r="A27" s="72">
        <v>8</v>
      </c>
      <c r="B27" s="167"/>
      <c r="C27" s="168"/>
      <c r="D27" s="168"/>
      <c r="E27" s="169"/>
      <c r="F27" s="72">
        <v>33</v>
      </c>
      <c r="G27" s="164"/>
      <c r="H27" s="165"/>
      <c r="I27" s="166"/>
    </row>
    <row r="28" spans="1:10" ht="18.75" customHeight="1" x14ac:dyDescent="0.2">
      <c r="A28" s="72">
        <v>9</v>
      </c>
      <c r="B28" s="167"/>
      <c r="C28" s="168"/>
      <c r="D28" s="168"/>
      <c r="E28" s="169"/>
      <c r="F28" s="72">
        <v>34</v>
      </c>
      <c r="G28" s="164"/>
      <c r="H28" s="165"/>
      <c r="I28" s="166"/>
    </row>
    <row r="29" spans="1:10" ht="18.75" customHeight="1" x14ac:dyDescent="0.2">
      <c r="A29" s="72">
        <v>10</v>
      </c>
      <c r="B29" s="167"/>
      <c r="C29" s="168"/>
      <c r="D29" s="168"/>
      <c r="E29" s="169"/>
      <c r="F29" s="72">
        <v>35</v>
      </c>
      <c r="G29" s="164"/>
      <c r="H29" s="165"/>
      <c r="I29" s="166"/>
    </row>
    <row r="30" spans="1:10" ht="18.75" customHeight="1" x14ac:dyDescent="0.2">
      <c r="A30" s="72">
        <v>11</v>
      </c>
      <c r="B30" s="164"/>
      <c r="C30" s="165"/>
      <c r="D30" s="165"/>
      <c r="E30" s="166"/>
      <c r="F30" s="72">
        <v>36</v>
      </c>
      <c r="G30" s="164"/>
      <c r="H30" s="165"/>
      <c r="I30" s="166"/>
    </row>
    <row r="31" spans="1:10" ht="18.75" customHeight="1" x14ac:dyDescent="0.2">
      <c r="A31" s="72">
        <v>12</v>
      </c>
      <c r="B31" s="164"/>
      <c r="C31" s="165"/>
      <c r="D31" s="165"/>
      <c r="E31" s="166"/>
      <c r="F31" s="72">
        <v>37</v>
      </c>
      <c r="G31" s="164"/>
      <c r="H31" s="165"/>
      <c r="I31" s="166"/>
    </row>
    <row r="32" spans="1:10" ht="18.75" customHeight="1" x14ac:dyDescent="0.2">
      <c r="A32" s="72">
        <v>13</v>
      </c>
      <c r="B32" s="164"/>
      <c r="C32" s="165"/>
      <c r="D32" s="165"/>
      <c r="E32" s="166"/>
      <c r="F32" s="72">
        <v>38</v>
      </c>
      <c r="G32" s="164"/>
      <c r="H32" s="165"/>
      <c r="I32" s="166"/>
    </row>
    <row r="33" spans="1:9" ht="18.75" customHeight="1" x14ac:dyDescent="0.2">
      <c r="A33" s="72">
        <v>14</v>
      </c>
      <c r="B33" s="164"/>
      <c r="C33" s="165"/>
      <c r="D33" s="165"/>
      <c r="E33" s="166"/>
      <c r="F33" s="72">
        <v>39</v>
      </c>
      <c r="G33" s="164"/>
      <c r="H33" s="165"/>
      <c r="I33" s="166"/>
    </row>
    <row r="34" spans="1:9" ht="18.75" customHeight="1" x14ac:dyDescent="0.2">
      <c r="A34" s="72">
        <v>15</v>
      </c>
      <c r="B34" s="164"/>
      <c r="C34" s="165"/>
      <c r="D34" s="165"/>
      <c r="E34" s="166"/>
      <c r="F34" s="72">
        <v>40</v>
      </c>
      <c r="G34" s="164"/>
      <c r="H34" s="165"/>
      <c r="I34" s="166"/>
    </row>
    <row r="35" spans="1:9" ht="18.75" customHeight="1" x14ac:dyDescent="0.2">
      <c r="A35" s="72">
        <v>16</v>
      </c>
      <c r="B35" s="164"/>
      <c r="C35" s="165"/>
      <c r="D35" s="165"/>
      <c r="E35" s="166"/>
      <c r="F35" s="72">
        <v>41</v>
      </c>
      <c r="G35" s="164"/>
      <c r="H35" s="165"/>
      <c r="I35" s="166"/>
    </row>
    <row r="36" spans="1:9" ht="18.75" customHeight="1" x14ac:dyDescent="0.2">
      <c r="A36" s="72">
        <v>17</v>
      </c>
      <c r="B36" s="164"/>
      <c r="C36" s="165"/>
      <c r="D36" s="165"/>
      <c r="E36" s="166"/>
      <c r="F36" s="72">
        <v>42</v>
      </c>
      <c r="G36" s="164"/>
      <c r="H36" s="165"/>
      <c r="I36" s="166"/>
    </row>
    <row r="37" spans="1:9" ht="18.75" customHeight="1" x14ac:dyDescent="0.2">
      <c r="A37" s="72">
        <v>18</v>
      </c>
      <c r="B37" s="164"/>
      <c r="C37" s="165"/>
      <c r="D37" s="165"/>
      <c r="E37" s="166"/>
      <c r="F37" s="72">
        <v>43</v>
      </c>
      <c r="G37" s="164"/>
      <c r="H37" s="165"/>
      <c r="I37" s="166"/>
    </row>
    <row r="38" spans="1:9" ht="18.75" customHeight="1" x14ac:dyDescent="0.2">
      <c r="A38" s="72">
        <v>19</v>
      </c>
      <c r="B38" s="164"/>
      <c r="C38" s="165"/>
      <c r="D38" s="165"/>
      <c r="E38" s="166"/>
      <c r="F38" s="72">
        <v>44</v>
      </c>
      <c r="G38" s="164"/>
      <c r="H38" s="165"/>
      <c r="I38" s="166"/>
    </row>
    <row r="39" spans="1:9" ht="18.75" customHeight="1" x14ac:dyDescent="0.2">
      <c r="A39" s="72">
        <v>20</v>
      </c>
      <c r="B39" s="164"/>
      <c r="C39" s="165"/>
      <c r="D39" s="165"/>
      <c r="E39" s="166"/>
      <c r="F39" s="72">
        <v>45</v>
      </c>
      <c r="G39" s="164"/>
      <c r="H39" s="165"/>
      <c r="I39" s="166"/>
    </row>
    <row r="40" spans="1:9" ht="18.75" customHeight="1" x14ac:dyDescent="0.2">
      <c r="A40" s="72">
        <v>21</v>
      </c>
      <c r="B40" s="164"/>
      <c r="C40" s="165"/>
      <c r="D40" s="165"/>
      <c r="E40" s="166"/>
      <c r="F40" s="72">
        <v>46</v>
      </c>
      <c r="G40" s="164"/>
      <c r="H40" s="165"/>
      <c r="I40" s="166"/>
    </row>
    <row r="41" spans="1:9" ht="18.75" customHeight="1" x14ac:dyDescent="0.2">
      <c r="A41" s="72">
        <v>22</v>
      </c>
      <c r="B41" s="164"/>
      <c r="C41" s="165"/>
      <c r="D41" s="165"/>
      <c r="E41" s="166"/>
      <c r="F41" s="72">
        <v>47</v>
      </c>
      <c r="G41" s="164"/>
      <c r="H41" s="165"/>
      <c r="I41" s="166"/>
    </row>
    <row r="42" spans="1:9" ht="18.75" customHeight="1" x14ac:dyDescent="0.2">
      <c r="A42" s="72">
        <v>23</v>
      </c>
      <c r="B42" s="164"/>
      <c r="C42" s="165"/>
      <c r="D42" s="165"/>
      <c r="E42" s="166"/>
      <c r="F42" s="72">
        <v>48</v>
      </c>
      <c r="G42" s="164"/>
      <c r="H42" s="165"/>
      <c r="I42" s="166"/>
    </row>
    <row r="43" spans="1:9" ht="18.75" customHeight="1" x14ac:dyDescent="0.2">
      <c r="A43" s="72">
        <v>24</v>
      </c>
      <c r="B43" s="164"/>
      <c r="C43" s="165"/>
      <c r="D43" s="165"/>
      <c r="E43" s="166"/>
      <c r="F43" s="72">
        <v>49</v>
      </c>
      <c r="G43" s="164"/>
      <c r="H43" s="165"/>
      <c r="I43" s="166"/>
    </row>
    <row r="44" spans="1:9" ht="18.75" customHeight="1" x14ac:dyDescent="0.2">
      <c r="A44" s="72">
        <v>25</v>
      </c>
      <c r="B44" s="164"/>
      <c r="C44" s="165"/>
      <c r="D44" s="165"/>
      <c r="E44" s="166"/>
      <c r="F44" s="72">
        <v>50</v>
      </c>
      <c r="G44" s="164"/>
      <c r="H44" s="165"/>
      <c r="I44" s="166"/>
    </row>
  </sheetData>
  <mergeCells count="56">
    <mergeCell ref="B44:E44"/>
    <mergeCell ref="G44:I44"/>
    <mergeCell ref="B41:E41"/>
    <mergeCell ref="G41:I41"/>
    <mergeCell ref="B42:E42"/>
    <mergeCell ref="G42:I42"/>
    <mergeCell ref="B43:E43"/>
    <mergeCell ref="G43:I43"/>
    <mergeCell ref="B38:E38"/>
    <mergeCell ref="G38:I38"/>
    <mergeCell ref="B39:E39"/>
    <mergeCell ref="G39:I39"/>
    <mergeCell ref="B40:E40"/>
    <mergeCell ref="G40:I40"/>
    <mergeCell ref="B35:E35"/>
    <mergeCell ref="G35:I35"/>
    <mergeCell ref="B36:E36"/>
    <mergeCell ref="G36:I36"/>
    <mergeCell ref="B37:E37"/>
    <mergeCell ref="G37:I37"/>
    <mergeCell ref="B32:E32"/>
    <mergeCell ref="G32:I32"/>
    <mergeCell ref="B33:E33"/>
    <mergeCell ref="G33:I33"/>
    <mergeCell ref="B34:E34"/>
    <mergeCell ref="G34:I34"/>
    <mergeCell ref="B29:E29"/>
    <mergeCell ref="G29:I29"/>
    <mergeCell ref="B30:E30"/>
    <mergeCell ref="G30:I30"/>
    <mergeCell ref="B31:E31"/>
    <mergeCell ref="G31:I31"/>
    <mergeCell ref="B26:E26"/>
    <mergeCell ref="G26:I26"/>
    <mergeCell ref="B27:E27"/>
    <mergeCell ref="G27:I27"/>
    <mergeCell ref="B28:E28"/>
    <mergeCell ref="G28:I28"/>
    <mergeCell ref="B23:E23"/>
    <mergeCell ref="G23:I23"/>
    <mergeCell ref="B24:E24"/>
    <mergeCell ref="G24:I24"/>
    <mergeCell ref="B25:E25"/>
    <mergeCell ref="G25:I25"/>
    <mergeCell ref="B20:E20"/>
    <mergeCell ref="G20:I20"/>
    <mergeCell ref="B21:E21"/>
    <mergeCell ref="G21:I21"/>
    <mergeCell ref="B22:E22"/>
    <mergeCell ref="G22:I22"/>
    <mergeCell ref="H2:I2"/>
    <mergeCell ref="A4:I4"/>
    <mergeCell ref="E6:I6"/>
    <mergeCell ref="B9:I16"/>
    <mergeCell ref="A19:E19"/>
    <mergeCell ref="F19:I19"/>
  </mergeCells>
  <phoneticPr fontId="1"/>
  <dataValidations count="2">
    <dataValidation type="list" allowBlank="1" showInputMessage="1" showErrorMessage="1" sqref="E6:I6" xr:uid="{00000000-0002-0000-0200-000000000000}">
      <formula1>"学部・学科によって、修了要件は相違する,学部・学科によって、修了要件は相違しない"</formula1>
    </dataValidation>
    <dataValidation type="list" allowBlank="1" showInputMessage="1" showErrorMessage="1" sqref="F7:I7" xr:uid="{00000000-0002-0000-0200-000001000000}">
      <formula1>"学部等によって、認定要件は相違する,学部等によって、認定要件は相違しない"</formula1>
    </dataValidation>
  </dataValidations>
  <printOptions horizontalCentered="1"/>
  <pageMargins left="0.25" right="0.25"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T29"/>
  <sheetViews>
    <sheetView view="pageBreakPreview" zoomScale="99" zoomScaleNormal="100" zoomScaleSheetLayoutView="99" workbookViewId="0">
      <selection activeCell="E11" sqref="E11"/>
    </sheetView>
  </sheetViews>
  <sheetFormatPr defaultColWidth="9" defaultRowHeight="18.75" customHeight="1" x14ac:dyDescent="0.2"/>
  <cols>
    <col min="1" max="1" width="2.453125" style="1" customWidth="1"/>
    <col min="2" max="2" width="12.453125" style="1" customWidth="1"/>
    <col min="3" max="3" width="21" style="1" customWidth="1"/>
    <col min="4" max="18" width="6.26953125" style="1" customWidth="1"/>
    <col min="19" max="16384" width="9" style="1"/>
  </cols>
  <sheetData>
    <row r="1" spans="1:20" ht="18.75" customHeight="1" x14ac:dyDescent="0.2">
      <c r="F1" s="183" t="s">
        <v>73</v>
      </c>
      <c r="G1" s="183"/>
      <c r="H1" s="183"/>
      <c r="I1" s="183"/>
      <c r="J1" s="183"/>
      <c r="K1" s="183"/>
      <c r="L1" s="183"/>
      <c r="M1" s="183"/>
      <c r="N1" s="183"/>
      <c r="O1" s="183"/>
      <c r="P1" s="183"/>
      <c r="Q1" s="183"/>
      <c r="R1" s="183"/>
    </row>
    <row r="2" spans="1:20" ht="18.75" customHeight="1" x14ac:dyDescent="0.2">
      <c r="D2" s="96"/>
      <c r="E2" s="96"/>
      <c r="F2" s="96"/>
      <c r="G2" s="96"/>
      <c r="H2" s="96"/>
      <c r="I2" s="132"/>
      <c r="J2" s="96"/>
      <c r="K2" s="183" t="s">
        <v>65</v>
      </c>
      <c r="L2" s="183"/>
      <c r="M2" s="5" t="s">
        <v>176</v>
      </c>
      <c r="N2" s="96"/>
      <c r="O2" s="96"/>
      <c r="P2" s="96"/>
      <c r="Q2" s="96"/>
      <c r="R2" s="96"/>
    </row>
    <row r="3" spans="1:20" ht="7.5" customHeight="1" x14ac:dyDescent="0.2"/>
    <row r="4" spans="1:20" ht="18.75" customHeight="1" x14ac:dyDescent="0.2">
      <c r="A4" s="193" t="s">
        <v>123</v>
      </c>
      <c r="B4" s="193"/>
      <c r="C4" s="193"/>
      <c r="D4" s="193"/>
      <c r="E4" s="193"/>
      <c r="F4" s="193"/>
      <c r="G4" s="193"/>
      <c r="H4" s="193"/>
      <c r="I4" s="193"/>
      <c r="J4" s="193"/>
      <c r="K4" s="193"/>
      <c r="L4" s="193"/>
      <c r="M4" s="193"/>
      <c r="N4" s="193"/>
      <c r="O4" s="193"/>
      <c r="P4" s="193"/>
      <c r="Q4" s="193"/>
      <c r="R4" s="193"/>
      <c r="S4" s="5"/>
    </row>
    <row r="5" spans="1:20" ht="7.5" customHeight="1" x14ac:dyDescent="0.2">
      <c r="A5" s="95"/>
      <c r="B5" s="95"/>
      <c r="C5" s="95"/>
      <c r="D5" s="95"/>
      <c r="E5" s="95"/>
      <c r="F5" s="95"/>
      <c r="G5" s="95"/>
      <c r="H5" s="95"/>
      <c r="I5" s="95"/>
      <c r="J5" s="95"/>
      <c r="K5" s="95"/>
      <c r="L5" s="95"/>
      <c r="M5" s="95"/>
      <c r="N5" s="95"/>
      <c r="O5" s="95"/>
      <c r="P5" s="95"/>
      <c r="Q5" s="95"/>
      <c r="R5" s="95"/>
    </row>
    <row r="6" spans="1:20" ht="18.75" customHeight="1" x14ac:dyDescent="0.2">
      <c r="B6" s="196" t="s">
        <v>128</v>
      </c>
      <c r="C6" s="197"/>
      <c r="D6" s="184" t="s">
        <v>89</v>
      </c>
      <c r="E6" s="186" t="s">
        <v>117</v>
      </c>
      <c r="F6" s="186"/>
      <c r="G6" s="186" t="s">
        <v>118</v>
      </c>
      <c r="H6" s="186"/>
      <c r="I6" s="187" t="s">
        <v>119</v>
      </c>
      <c r="J6" s="188"/>
      <c r="K6" s="187" t="s">
        <v>120</v>
      </c>
      <c r="L6" s="188"/>
      <c r="M6" s="187" t="s">
        <v>121</v>
      </c>
      <c r="N6" s="188"/>
      <c r="O6" s="187" t="s">
        <v>122</v>
      </c>
      <c r="P6" s="188"/>
      <c r="Q6" s="189" t="s">
        <v>72</v>
      </c>
      <c r="R6" s="191" t="s">
        <v>66</v>
      </c>
      <c r="T6" s="97"/>
    </row>
    <row r="7" spans="1:20" ht="18.75" customHeight="1" x14ac:dyDescent="0.2">
      <c r="B7" s="198"/>
      <c r="C7" s="199"/>
      <c r="D7" s="185"/>
      <c r="E7" s="50" t="s">
        <v>52</v>
      </c>
      <c r="F7" s="52" t="s">
        <v>51</v>
      </c>
      <c r="G7" s="53" t="s">
        <v>52</v>
      </c>
      <c r="H7" s="51" t="s">
        <v>51</v>
      </c>
      <c r="I7" s="50" t="s">
        <v>52</v>
      </c>
      <c r="J7" s="52" t="s">
        <v>51</v>
      </c>
      <c r="K7" s="53" t="s">
        <v>52</v>
      </c>
      <c r="L7" s="51" t="s">
        <v>51</v>
      </c>
      <c r="M7" s="50" t="s">
        <v>52</v>
      </c>
      <c r="N7" s="52" t="s">
        <v>51</v>
      </c>
      <c r="O7" s="53" t="s">
        <v>52</v>
      </c>
      <c r="P7" s="51" t="s">
        <v>51</v>
      </c>
      <c r="Q7" s="190"/>
      <c r="R7" s="192"/>
      <c r="T7" s="97"/>
    </row>
    <row r="8" spans="1:20" ht="18.75" customHeight="1" x14ac:dyDescent="0.2">
      <c r="A8" s="98"/>
      <c r="B8" s="204" t="s">
        <v>197</v>
      </c>
      <c r="C8" s="205"/>
      <c r="D8" s="99">
        <v>1700</v>
      </c>
      <c r="E8" s="100">
        <f>318+228</f>
        <v>546</v>
      </c>
      <c r="F8" s="101">
        <v>7</v>
      </c>
      <c r="G8" s="102"/>
      <c r="H8" s="103"/>
      <c r="I8" s="100"/>
      <c r="J8" s="101"/>
      <c r="K8" s="102"/>
      <c r="L8" s="103"/>
      <c r="M8" s="100"/>
      <c r="N8" s="101"/>
      <c r="O8" s="102"/>
      <c r="P8" s="103"/>
      <c r="Q8" s="104">
        <f>E8+G8+I8+K8+M8+O8</f>
        <v>546</v>
      </c>
      <c r="R8" s="105">
        <f>Q8/D8</f>
        <v>0.32117647058823529</v>
      </c>
      <c r="T8"/>
    </row>
    <row r="9" spans="1:20" ht="18.75" customHeight="1" x14ac:dyDescent="0.2">
      <c r="A9" s="98"/>
      <c r="B9" s="200" t="s">
        <v>198</v>
      </c>
      <c r="C9" s="201"/>
      <c r="D9" s="106">
        <v>880</v>
      </c>
      <c r="E9" s="107">
        <f>46+38</f>
        <v>84</v>
      </c>
      <c r="F9" s="108">
        <v>2</v>
      </c>
      <c r="G9" s="109"/>
      <c r="H9" s="110"/>
      <c r="I9" s="107"/>
      <c r="J9" s="108"/>
      <c r="K9" s="109"/>
      <c r="L9" s="110"/>
      <c r="M9" s="107"/>
      <c r="N9" s="108"/>
      <c r="O9" s="109"/>
      <c r="P9" s="110"/>
      <c r="Q9" s="111">
        <f t="shared" ref="Q9:Q27" si="0">E9+G9+I9+K9+M9+O9</f>
        <v>84</v>
      </c>
      <c r="R9" s="105">
        <f t="shared" ref="R9:R27" si="1">Q9/D9</f>
        <v>9.5454545454545459E-2</v>
      </c>
      <c r="T9"/>
    </row>
    <row r="10" spans="1:20" ht="18.75" customHeight="1" x14ac:dyDescent="0.2">
      <c r="A10" s="98"/>
      <c r="B10" s="200" t="s">
        <v>199</v>
      </c>
      <c r="C10" s="201"/>
      <c r="D10" s="106">
        <v>160</v>
      </c>
      <c r="E10" s="107">
        <f>121+36</f>
        <v>157</v>
      </c>
      <c r="F10" s="108">
        <v>1</v>
      </c>
      <c r="G10" s="109"/>
      <c r="H10" s="110"/>
      <c r="I10" s="107"/>
      <c r="J10" s="108"/>
      <c r="K10" s="109"/>
      <c r="L10" s="110"/>
      <c r="M10" s="107"/>
      <c r="N10" s="108"/>
      <c r="O10" s="109"/>
      <c r="P10" s="110"/>
      <c r="Q10" s="111">
        <f t="shared" si="0"/>
        <v>157</v>
      </c>
      <c r="R10" s="105">
        <f t="shared" si="1"/>
        <v>0.98124999999999996</v>
      </c>
      <c r="T10"/>
    </row>
    <row r="11" spans="1:20" ht="18.75" customHeight="1" x14ac:dyDescent="0.2">
      <c r="A11" s="98"/>
      <c r="B11" s="200"/>
      <c r="C11" s="201"/>
      <c r="D11" s="106"/>
      <c r="E11" s="107"/>
      <c r="F11" s="108"/>
      <c r="G11" s="109"/>
      <c r="H11" s="110"/>
      <c r="I11" s="107"/>
      <c r="J11" s="108"/>
      <c r="K11" s="109"/>
      <c r="L11" s="110"/>
      <c r="M11" s="107"/>
      <c r="N11" s="108"/>
      <c r="O11" s="109"/>
      <c r="P11" s="110"/>
      <c r="Q11" s="111">
        <f t="shared" si="0"/>
        <v>0</v>
      </c>
      <c r="R11" s="105" t="e">
        <f t="shared" si="1"/>
        <v>#DIV/0!</v>
      </c>
      <c r="T11"/>
    </row>
    <row r="12" spans="1:20" ht="18.75" customHeight="1" x14ac:dyDescent="0.2">
      <c r="A12" s="98"/>
      <c r="B12" s="200"/>
      <c r="C12" s="201"/>
      <c r="D12" s="106"/>
      <c r="E12" s="107"/>
      <c r="F12" s="108"/>
      <c r="G12" s="109"/>
      <c r="H12" s="110"/>
      <c r="I12" s="107"/>
      <c r="J12" s="108"/>
      <c r="K12" s="109"/>
      <c r="L12" s="110"/>
      <c r="M12" s="107"/>
      <c r="N12" s="108"/>
      <c r="O12" s="109"/>
      <c r="P12" s="110"/>
      <c r="Q12" s="111">
        <f t="shared" si="0"/>
        <v>0</v>
      </c>
      <c r="R12" s="105" t="e">
        <f t="shared" si="1"/>
        <v>#DIV/0!</v>
      </c>
    </row>
    <row r="13" spans="1:20" ht="18.75" customHeight="1" x14ac:dyDescent="0.2">
      <c r="A13" s="98"/>
      <c r="B13" s="200"/>
      <c r="C13" s="201"/>
      <c r="D13" s="106"/>
      <c r="E13" s="107"/>
      <c r="F13" s="108"/>
      <c r="G13" s="109"/>
      <c r="H13" s="110"/>
      <c r="I13" s="107"/>
      <c r="J13" s="108"/>
      <c r="K13" s="109"/>
      <c r="L13" s="110"/>
      <c r="M13" s="107"/>
      <c r="N13" s="108"/>
      <c r="O13" s="109"/>
      <c r="P13" s="110"/>
      <c r="Q13" s="111">
        <f t="shared" si="0"/>
        <v>0</v>
      </c>
      <c r="R13" s="105" t="e">
        <f t="shared" si="1"/>
        <v>#DIV/0!</v>
      </c>
    </row>
    <row r="14" spans="1:20" ht="18.75" customHeight="1" x14ac:dyDescent="0.2">
      <c r="A14" s="98"/>
      <c r="B14" s="200"/>
      <c r="C14" s="201"/>
      <c r="D14" s="106"/>
      <c r="E14" s="107"/>
      <c r="F14" s="108"/>
      <c r="G14" s="109"/>
      <c r="H14" s="110"/>
      <c r="I14" s="107"/>
      <c r="J14" s="108"/>
      <c r="K14" s="109"/>
      <c r="L14" s="110"/>
      <c r="M14" s="107"/>
      <c r="N14" s="108"/>
      <c r="O14" s="109"/>
      <c r="P14" s="110"/>
      <c r="Q14" s="111">
        <f t="shared" si="0"/>
        <v>0</v>
      </c>
      <c r="R14" s="105" t="e">
        <f t="shared" si="1"/>
        <v>#DIV/0!</v>
      </c>
    </row>
    <row r="15" spans="1:20" ht="18.75" customHeight="1" x14ac:dyDescent="0.2">
      <c r="A15" s="98"/>
      <c r="B15" s="200"/>
      <c r="C15" s="201"/>
      <c r="D15" s="106"/>
      <c r="E15" s="107"/>
      <c r="F15" s="108"/>
      <c r="G15" s="109"/>
      <c r="H15" s="110"/>
      <c r="I15" s="107"/>
      <c r="J15" s="108"/>
      <c r="K15" s="109"/>
      <c r="L15" s="110"/>
      <c r="M15" s="107"/>
      <c r="N15" s="108"/>
      <c r="O15" s="109"/>
      <c r="P15" s="110"/>
      <c r="Q15" s="111">
        <f t="shared" si="0"/>
        <v>0</v>
      </c>
      <c r="R15" s="105" t="e">
        <f t="shared" si="1"/>
        <v>#DIV/0!</v>
      </c>
    </row>
    <row r="16" spans="1:20" ht="18.75" customHeight="1" x14ac:dyDescent="0.2">
      <c r="A16" s="98"/>
      <c r="B16" s="200"/>
      <c r="C16" s="201"/>
      <c r="D16" s="106"/>
      <c r="E16" s="107"/>
      <c r="F16" s="108"/>
      <c r="G16" s="109"/>
      <c r="H16" s="110"/>
      <c r="I16" s="107"/>
      <c r="J16" s="108"/>
      <c r="K16" s="109"/>
      <c r="L16" s="110"/>
      <c r="M16" s="107"/>
      <c r="N16" s="108"/>
      <c r="O16" s="109"/>
      <c r="P16" s="110"/>
      <c r="Q16" s="111">
        <f>E16+G16+I16+K16+M16+O16</f>
        <v>0</v>
      </c>
      <c r="R16" s="105" t="e">
        <f t="shared" si="1"/>
        <v>#DIV/0!</v>
      </c>
    </row>
    <row r="17" spans="1:18" ht="18.75" customHeight="1" x14ac:dyDescent="0.2">
      <c r="A17" s="98"/>
      <c r="B17" s="200"/>
      <c r="C17" s="201"/>
      <c r="D17" s="106"/>
      <c r="E17" s="107"/>
      <c r="F17" s="108"/>
      <c r="G17" s="109"/>
      <c r="H17" s="110"/>
      <c r="I17" s="107"/>
      <c r="J17" s="108"/>
      <c r="K17" s="109"/>
      <c r="L17" s="110"/>
      <c r="M17" s="107"/>
      <c r="N17" s="108"/>
      <c r="O17" s="109"/>
      <c r="P17" s="110"/>
      <c r="Q17" s="111">
        <f t="shared" si="0"/>
        <v>0</v>
      </c>
      <c r="R17" s="105" t="e">
        <f t="shared" si="1"/>
        <v>#DIV/0!</v>
      </c>
    </row>
    <row r="18" spans="1:18" ht="18.75" customHeight="1" x14ac:dyDescent="0.2">
      <c r="A18" s="98"/>
      <c r="B18" s="200"/>
      <c r="C18" s="201"/>
      <c r="D18" s="106"/>
      <c r="E18" s="107"/>
      <c r="F18" s="108"/>
      <c r="G18" s="109"/>
      <c r="H18" s="110"/>
      <c r="I18" s="107"/>
      <c r="J18" s="108"/>
      <c r="K18" s="109"/>
      <c r="L18" s="110"/>
      <c r="M18" s="107"/>
      <c r="N18" s="108"/>
      <c r="O18" s="109"/>
      <c r="P18" s="110"/>
      <c r="Q18" s="111">
        <f t="shared" si="0"/>
        <v>0</v>
      </c>
      <c r="R18" s="105" t="e">
        <f t="shared" si="1"/>
        <v>#DIV/0!</v>
      </c>
    </row>
    <row r="19" spans="1:18" ht="18.75" customHeight="1" x14ac:dyDescent="0.2">
      <c r="A19" s="98"/>
      <c r="B19" s="200"/>
      <c r="C19" s="201"/>
      <c r="D19" s="106"/>
      <c r="E19" s="107"/>
      <c r="F19" s="108"/>
      <c r="G19" s="109"/>
      <c r="H19" s="110"/>
      <c r="I19" s="107"/>
      <c r="J19" s="108"/>
      <c r="K19" s="109"/>
      <c r="L19" s="110"/>
      <c r="M19" s="107"/>
      <c r="N19" s="108"/>
      <c r="O19" s="109"/>
      <c r="P19" s="110"/>
      <c r="Q19" s="111">
        <f t="shared" si="0"/>
        <v>0</v>
      </c>
      <c r="R19" s="105" t="e">
        <f t="shared" si="1"/>
        <v>#DIV/0!</v>
      </c>
    </row>
    <row r="20" spans="1:18" ht="18.75" customHeight="1" x14ac:dyDescent="0.2">
      <c r="A20" s="98"/>
      <c r="B20" s="200"/>
      <c r="C20" s="201"/>
      <c r="D20" s="106"/>
      <c r="E20" s="107"/>
      <c r="F20" s="108"/>
      <c r="G20" s="109"/>
      <c r="H20" s="110"/>
      <c r="I20" s="107"/>
      <c r="J20" s="108"/>
      <c r="K20" s="109"/>
      <c r="L20" s="110"/>
      <c r="M20" s="107"/>
      <c r="N20" s="108"/>
      <c r="O20" s="109"/>
      <c r="P20" s="110"/>
      <c r="Q20" s="111">
        <f t="shared" si="0"/>
        <v>0</v>
      </c>
      <c r="R20" s="105" t="e">
        <f t="shared" si="1"/>
        <v>#DIV/0!</v>
      </c>
    </row>
    <row r="21" spans="1:18" ht="18.75" customHeight="1" x14ac:dyDescent="0.2">
      <c r="A21" s="98"/>
      <c r="B21" s="200"/>
      <c r="C21" s="201"/>
      <c r="D21" s="106"/>
      <c r="E21" s="107"/>
      <c r="F21" s="108"/>
      <c r="G21" s="109"/>
      <c r="H21" s="110"/>
      <c r="I21" s="107"/>
      <c r="J21" s="108"/>
      <c r="K21" s="109"/>
      <c r="L21" s="110"/>
      <c r="M21" s="107"/>
      <c r="N21" s="108"/>
      <c r="O21" s="109"/>
      <c r="P21" s="110"/>
      <c r="Q21" s="111">
        <f t="shared" si="0"/>
        <v>0</v>
      </c>
      <c r="R21" s="105" t="e">
        <f t="shared" si="1"/>
        <v>#DIV/0!</v>
      </c>
    </row>
    <row r="22" spans="1:18" ht="18.75" customHeight="1" x14ac:dyDescent="0.2">
      <c r="A22" s="98"/>
      <c r="B22" s="200"/>
      <c r="C22" s="201"/>
      <c r="D22" s="106"/>
      <c r="E22" s="107"/>
      <c r="F22" s="108"/>
      <c r="G22" s="109"/>
      <c r="H22" s="110"/>
      <c r="I22" s="107"/>
      <c r="J22" s="108"/>
      <c r="K22" s="109"/>
      <c r="L22" s="110"/>
      <c r="M22" s="107"/>
      <c r="N22" s="108"/>
      <c r="O22" s="109"/>
      <c r="P22" s="110"/>
      <c r="Q22" s="111">
        <f t="shared" si="0"/>
        <v>0</v>
      </c>
      <c r="R22" s="105" t="e">
        <f t="shared" si="1"/>
        <v>#DIV/0!</v>
      </c>
    </row>
    <row r="23" spans="1:18" ht="18.75" customHeight="1" x14ac:dyDescent="0.2">
      <c r="A23" s="98"/>
      <c r="B23" s="200"/>
      <c r="C23" s="201"/>
      <c r="D23" s="106"/>
      <c r="E23" s="107"/>
      <c r="F23" s="108"/>
      <c r="G23" s="109"/>
      <c r="H23" s="110"/>
      <c r="I23" s="107"/>
      <c r="J23" s="108"/>
      <c r="K23" s="109"/>
      <c r="L23" s="110"/>
      <c r="M23" s="107"/>
      <c r="N23" s="108"/>
      <c r="O23" s="109"/>
      <c r="P23" s="110"/>
      <c r="Q23" s="111">
        <f t="shared" si="0"/>
        <v>0</v>
      </c>
      <c r="R23" s="105" t="e">
        <f t="shared" si="1"/>
        <v>#DIV/0!</v>
      </c>
    </row>
    <row r="24" spans="1:18" ht="18.75" customHeight="1" x14ac:dyDescent="0.2">
      <c r="A24" s="98"/>
      <c r="B24" s="200"/>
      <c r="C24" s="201"/>
      <c r="D24" s="106"/>
      <c r="E24" s="107"/>
      <c r="F24" s="108"/>
      <c r="G24" s="109"/>
      <c r="H24" s="110"/>
      <c r="I24" s="107"/>
      <c r="J24" s="108"/>
      <c r="K24" s="109"/>
      <c r="L24" s="110"/>
      <c r="M24" s="107"/>
      <c r="N24" s="108"/>
      <c r="O24" s="109"/>
      <c r="P24" s="110"/>
      <c r="Q24" s="111">
        <f t="shared" si="0"/>
        <v>0</v>
      </c>
      <c r="R24" s="105" t="e">
        <f t="shared" si="1"/>
        <v>#DIV/0!</v>
      </c>
    </row>
    <row r="25" spans="1:18" ht="18.75" customHeight="1" x14ac:dyDescent="0.2">
      <c r="A25" s="98"/>
      <c r="B25" s="200"/>
      <c r="C25" s="201"/>
      <c r="D25" s="106"/>
      <c r="E25" s="107"/>
      <c r="F25" s="108"/>
      <c r="G25" s="109"/>
      <c r="H25" s="110"/>
      <c r="I25" s="107"/>
      <c r="J25" s="108"/>
      <c r="K25" s="109"/>
      <c r="L25" s="110"/>
      <c r="M25" s="107"/>
      <c r="N25" s="108"/>
      <c r="O25" s="109"/>
      <c r="P25" s="110"/>
      <c r="Q25" s="111">
        <f t="shared" si="0"/>
        <v>0</v>
      </c>
      <c r="R25" s="105" t="e">
        <f t="shared" si="1"/>
        <v>#DIV/0!</v>
      </c>
    </row>
    <row r="26" spans="1:18" ht="18.75" customHeight="1" x14ac:dyDescent="0.2">
      <c r="A26" s="98"/>
      <c r="B26" s="200"/>
      <c r="C26" s="201"/>
      <c r="D26" s="106"/>
      <c r="E26" s="107"/>
      <c r="F26" s="108"/>
      <c r="G26" s="109"/>
      <c r="H26" s="110"/>
      <c r="I26" s="107"/>
      <c r="J26" s="108"/>
      <c r="K26" s="109"/>
      <c r="L26" s="110"/>
      <c r="M26" s="107"/>
      <c r="N26" s="108"/>
      <c r="O26" s="109"/>
      <c r="P26" s="110"/>
      <c r="Q26" s="111">
        <f t="shared" si="0"/>
        <v>0</v>
      </c>
      <c r="R26" s="105" t="e">
        <f t="shared" si="1"/>
        <v>#DIV/0!</v>
      </c>
    </row>
    <row r="27" spans="1:18" ht="18.75" customHeight="1" thickBot="1" x14ac:dyDescent="0.25">
      <c r="A27" s="98"/>
      <c r="B27" s="202"/>
      <c r="C27" s="203"/>
      <c r="D27" s="99"/>
      <c r="E27" s="100"/>
      <c r="F27" s="101"/>
      <c r="G27" s="102"/>
      <c r="H27" s="103"/>
      <c r="I27" s="100"/>
      <c r="J27" s="101"/>
      <c r="K27" s="102"/>
      <c r="L27" s="103"/>
      <c r="M27" s="100"/>
      <c r="N27" s="101"/>
      <c r="O27" s="102"/>
      <c r="P27" s="103"/>
      <c r="Q27" s="112">
        <f t="shared" si="0"/>
        <v>0</v>
      </c>
      <c r="R27" s="105" t="e">
        <f t="shared" si="1"/>
        <v>#DIV/0!</v>
      </c>
    </row>
    <row r="28" spans="1:18" ht="18.75" customHeight="1" thickTop="1" x14ac:dyDescent="0.2">
      <c r="A28" s="98"/>
      <c r="B28" s="194" t="s">
        <v>67</v>
      </c>
      <c r="C28" s="195"/>
      <c r="D28" s="113">
        <f t="shared" ref="D28:Q28" si="2">SUM(D8:D27)</f>
        <v>2740</v>
      </c>
      <c r="E28" s="114">
        <f t="shared" si="2"/>
        <v>787</v>
      </c>
      <c r="F28" s="115">
        <f t="shared" si="2"/>
        <v>10</v>
      </c>
      <c r="G28" s="116">
        <f t="shared" si="2"/>
        <v>0</v>
      </c>
      <c r="H28" s="117">
        <f t="shared" si="2"/>
        <v>0</v>
      </c>
      <c r="I28" s="114">
        <f t="shared" si="2"/>
        <v>0</v>
      </c>
      <c r="J28" s="115">
        <f t="shared" si="2"/>
        <v>0</v>
      </c>
      <c r="K28" s="116">
        <f t="shared" si="2"/>
        <v>0</v>
      </c>
      <c r="L28" s="117">
        <f t="shared" si="2"/>
        <v>0</v>
      </c>
      <c r="M28" s="114">
        <f t="shared" si="2"/>
        <v>0</v>
      </c>
      <c r="N28" s="115">
        <f t="shared" si="2"/>
        <v>0</v>
      </c>
      <c r="O28" s="116">
        <f t="shared" si="2"/>
        <v>0</v>
      </c>
      <c r="P28" s="117">
        <f t="shared" si="2"/>
        <v>0</v>
      </c>
      <c r="Q28" s="118">
        <f t="shared" si="2"/>
        <v>787</v>
      </c>
      <c r="R28" s="119">
        <f>Q28/D28</f>
        <v>0.28722627737226275</v>
      </c>
    </row>
    <row r="29" spans="1:18" ht="6.75" customHeight="1" x14ac:dyDescent="0.2">
      <c r="A29" s="98"/>
      <c r="B29" s="98"/>
      <c r="C29" s="98"/>
      <c r="D29" s="120"/>
      <c r="E29" s="120"/>
      <c r="F29" s="120"/>
      <c r="G29" s="120"/>
      <c r="H29" s="120"/>
      <c r="I29" s="120"/>
      <c r="J29" s="120"/>
      <c r="K29" s="120"/>
      <c r="L29" s="120"/>
      <c r="M29" s="120"/>
      <c r="N29" s="120"/>
      <c r="O29" s="120"/>
      <c r="P29" s="120"/>
      <c r="Q29" s="120"/>
      <c r="R29" s="120"/>
    </row>
  </sheetData>
  <mergeCells count="34">
    <mergeCell ref="B18:C18"/>
    <mergeCell ref="B8:C8"/>
    <mergeCell ref="B9:C9"/>
    <mergeCell ref="B10:C10"/>
    <mergeCell ref="B11:C11"/>
    <mergeCell ref="B12:C12"/>
    <mergeCell ref="B28:C28"/>
    <mergeCell ref="B6:C7"/>
    <mergeCell ref="B23:C23"/>
    <mergeCell ref="B24:C24"/>
    <mergeCell ref="B25:C25"/>
    <mergeCell ref="B26:C26"/>
    <mergeCell ref="B16:C16"/>
    <mergeCell ref="B19:C19"/>
    <mergeCell ref="B20:C20"/>
    <mergeCell ref="B21:C21"/>
    <mergeCell ref="B27:C27"/>
    <mergeCell ref="B22:C22"/>
    <mergeCell ref="B13:C13"/>
    <mergeCell ref="B14:C14"/>
    <mergeCell ref="B15:C15"/>
    <mergeCell ref="B17:C17"/>
    <mergeCell ref="F1:R1"/>
    <mergeCell ref="K2:L2"/>
    <mergeCell ref="D6:D7"/>
    <mergeCell ref="E6:F6"/>
    <mergeCell ref="G6:H6"/>
    <mergeCell ref="I6:J6"/>
    <mergeCell ref="K6:L6"/>
    <mergeCell ref="M6:N6"/>
    <mergeCell ref="O6:P6"/>
    <mergeCell ref="Q6:Q7"/>
    <mergeCell ref="R6:R7"/>
    <mergeCell ref="A4:R4"/>
  </mergeCells>
  <phoneticPr fontId="1"/>
  <printOptions horizontalCentered="1"/>
  <pageMargins left="0.25" right="0.25"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G150"/>
  <sheetViews>
    <sheetView view="pageBreakPreview" topLeftCell="A129" zoomScaleNormal="100" zoomScaleSheetLayoutView="100" workbookViewId="0">
      <selection activeCell="C139" sqref="C139"/>
    </sheetView>
  </sheetViews>
  <sheetFormatPr defaultColWidth="9" defaultRowHeight="14" x14ac:dyDescent="0.2"/>
  <cols>
    <col min="1" max="1" width="2.4531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127" t="s">
        <v>177</v>
      </c>
    </row>
    <row r="2" spans="1:7" ht="18.75" customHeight="1" x14ac:dyDescent="0.2">
      <c r="F2" s="127" t="s">
        <v>32</v>
      </c>
      <c r="G2" s="1" t="s">
        <v>140</v>
      </c>
    </row>
    <row r="3" spans="1:7" ht="18.75" customHeight="1" x14ac:dyDescent="0.2">
      <c r="A3" s="209" t="s">
        <v>95</v>
      </c>
      <c r="B3" s="209"/>
      <c r="C3" s="209"/>
      <c r="D3" s="209"/>
      <c r="E3" s="209"/>
      <c r="F3" s="209"/>
      <c r="G3" s="209"/>
    </row>
    <row r="4" spans="1:7" ht="18.75" customHeight="1" x14ac:dyDescent="0.2">
      <c r="A4" s="1" t="s">
        <v>7</v>
      </c>
      <c r="B4" s="1" t="s">
        <v>94</v>
      </c>
    </row>
    <row r="5" spans="1:7" s="128" customFormat="1" ht="18.75" customHeight="1" x14ac:dyDescent="0.2">
      <c r="B5" s="129" t="s">
        <v>74</v>
      </c>
      <c r="C5" s="206" t="s">
        <v>106</v>
      </c>
      <c r="D5" s="207"/>
      <c r="E5" s="207"/>
      <c r="F5" s="207"/>
      <c r="G5" s="208"/>
    </row>
    <row r="6" spans="1:7" s="128" customFormat="1" ht="45" customHeight="1" x14ac:dyDescent="0.2">
      <c r="B6" s="210" t="s">
        <v>109</v>
      </c>
      <c r="C6" s="212" t="s">
        <v>145</v>
      </c>
      <c r="D6" s="213"/>
      <c r="E6" s="213"/>
      <c r="F6" s="213"/>
      <c r="G6" s="214"/>
    </row>
    <row r="7" spans="1:7" s="128" customFormat="1" ht="22.5" customHeight="1" x14ac:dyDescent="0.2">
      <c r="B7" s="211"/>
      <c r="C7" s="215"/>
      <c r="D7" s="216"/>
      <c r="E7" s="216"/>
      <c r="F7" s="216"/>
      <c r="G7" s="217"/>
    </row>
    <row r="8" spans="1:7" s="128" customFormat="1" ht="22.5" customHeight="1" x14ac:dyDescent="0.2">
      <c r="B8" s="211"/>
      <c r="C8" s="215"/>
      <c r="D8" s="216"/>
      <c r="E8" s="216"/>
      <c r="F8" s="216"/>
      <c r="G8" s="217"/>
    </row>
    <row r="9" spans="1:7" s="128" customFormat="1" ht="21.5" customHeight="1" x14ac:dyDescent="0.2">
      <c r="B9" s="211"/>
      <c r="C9" s="218"/>
      <c r="D9" s="219"/>
      <c r="E9" s="219"/>
      <c r="F9" s="219"/>
      <c r="G9" s="220"/>
    </row>
    <row r="10" spans="1:7" s="128" customFormat="1" ht="18.75" customHeight="1" x14ac:dyDescent="0.2">
      <c r="B10" s="211"/>
      <c r="C10" s="74" t="s">
        <v>107</v>
      </c>
      <c r="D10" s="221" t="s">
        <v>108</v>
      </c>
      <c r="E10" s="222"/>
      <c r="F10" s="222"/>
      <c r="G10" s="223"/>
    </row>
    <row r="11" spans="1:7" s="128" customFormat="1" ht="18.75" customHeight="1" x14ac:dyDescent="0.2">
      <c r="B11" s="211"/>
      <c r="C11" s="131" t="s">
        <v>137</v>
      </c>
      <c r="D11" s="224" t="s">
        <v>143</v>
      </c>
      <c r="E11" s="225"/>
      <c r="F11" s="225"/>
      <c r="G11" s="226"/>
    </row>
    <row r="12" spans="1:7" s="128" customFormat="1" ht="18.75" customHeight="1" x14ac:dyDescent="0.2">
      <c r="B12" s="211"/>
      <c r="C12" s="131" t="s">
        <v>138</v>
      </c>
      <c r="D12" s="227" t="s">
        <v>153</v>
      </c>
      <c r="E12" s="228"/>
      <c r="F12" s="228"/>
      <c r="G12" s="229"/>
    </row>
    <row r="13" spans="1:7" s="128" customFormat="1" ht="18.75" customHeight="1" x14ac:dyDescent="0.2">
      <c r="B13" s="211"/>
      <c r="C13" s="126"/>
      <c r="D13" s="230"/>
      <c r="E13" s="231"/>
      <c r="F13" s="231"/>
      <c r="G13" s="232"/>
    </row>
    <row r="14" spans="1:7" s="128" customFormat="1" ht="18.75" customHeight="1" x14ac:dyDescent="0.2">
      <c r="B14" s="211"/>
      <c r="C14" s="126"/>
      <c r="D14" s="233"/>
      <c r="E14" s="234"/>
      <c r="F14" s="234"/>
      <c r="G14" s="235"/>
    </row>
    <row r="15" spans="1:7" s="128" customFormat="1" ht="18.75" customHeight="1" x14ac:dyDescent="0.2">
      <c r="B15" s="211"/>
      <c r="C15" s="129"/>
      <c r="D15" s="206"/>
      <c r="E15" s="207"/>
      <c r="F15" s="207"/>
      <c r="G15" s="208"/>
    </row>
    <row r="16" spans="1:7" s="128" customFormat="1" ht="18.75" customHeight="1" x14ac:dyDescent="0.2">
      <c r="B16" s="211"/>
      <c r="C16" s="129"/>
      <c r="D16" s="206"/>
      <c r="E16" s="207"/>
      <c r="F16" s="207"/>
      <c r="G16" s="208"/>
    </row>
    <row r="17" spans="2:7" s="128" customFormat="1" ht="18.75" customHeight="1" x14ac:dyDescent="0.2">
      <c r="B17" s="211"/>
      <c r="C17" s="129"/>
      <c r="D17" s="206"/>
      <c r="E17" s="207"/>
      <c r="F17" s="207"/>
      <c r="G17" s="208"/>
    </row>
    <row r="18" spans="2:7" s="128" customFormat="1" ht="18.75" customHeight="1" x14ac:dyDescent="0.2">
      <c r="B18" s="211"/>
      <c r="C18" s="129"/>
      <c r="D18" s="206"/>
      <c r="E18" s="207"/>
      <c r="F18" s="207"/>
      <c r="G18" s="208"/>
    </row>
    <row r="19" spans="2:7" s="128" customFormat="1" ht="18.75" customHeight="1" x14ac:dyDescent="0.2">
      <c r="B19" s="211"/>
      <c r="C19" s="129"/>
      <c r="D19" s="206"/>
      <c r="E19" s="207"/>
      <c r="F19" s="207"/>
      <c r="G19" s="208"/>
    </row>
    <row r="20" spans="2:7" s="128" customFormat="1" ht="18.75" customHeight="1" x14ac:dyDescent="0.2">
      <c r="B20" s="211"/>
      <c r="C20" s="129"/>
      <c r="D20" s="206"/>
      <c r="E20" s="207"/>
      <c r="F20" s="207"/>
      <c r="G20" s="208"/>
    </row>
    <row r="21" spans="2:7" s="128" customFormat="1" ht="18.75" customHeight="1" x14ac:dyDescent="0.2">
      <c r="B21" s="211"/>
      <c r="C21" s="129"/>
      <c r="D21" s="206"/>
      <c r="E21" s="207"/>
      <c r="F21" s="207"/>
      <c r="G21" s="208"/>
    </row>
    <row r="22" spans="2:7" s="128" customFormat="1" ht="18.75" customHeight="1" x14ac:dyDescent="0.2">
      <c r="B22" s="211"/>
      <c r="C22" s="129"/>
      <c r="D22" s="206"/>
      <c r="E22" s="207"/>
      <c r="F22" s="207"/>
      <c r="G22" s="208"/>
    </row>
    <row r="23" spans="2:7" s="128" customFormat="1" ht="18.75" customHeight="1" x14ac:dyDescent="0.2">
      <c r="B23" s="211"/>
      <c r="C23" s="129"/>
      <c r="D23" s="206"/>
      <c r="E23" s="207"/>
      <c r="F23" s="207"/>
      <c r="G23" s="208"/>
    </row>
    <row r="24" spans="2:7" s="128" customFormat="1" ht="18.75" customHeight="1" x14ac:dyDescent="0.2">
      <c r="B24" s="211"/>
      <c r="C24" s="129"/>
      <c r="D24" s="206"/>
      <c r="E24" s="207"/>
      <c r="F24" s="207"/>
      <c r="G24" s="208"/>
    </row>
    <row r="25" spans="2:7" s="128" customFormat="1" ht="18.75" customHeight="1" x14ac:dyDescent="0.2">
      <c r="B25" s="211"/>
      <c r="C25" s="129"/>
      <c r="D25" s="206"/>
      <c r="E25" s="207"/>
      <c r="F25" s="207"/>
      <c r="G25" s="208"/>
    </row>
    <row r="26" spans="2:7" ht="18.75" customHeight="1" x14ac:dyDescent="0.2">
      <c r="B26" s="210" t="s">
        <v>110</v>
      </c>
      <c r="C26" s="206" t="s">
        <v>106</v>
      </c>
      <c r="D26" s="207"/>
      <c r="E26" s="207"/>
      <c r="F26" s="207"/>
      <c r="G26" s="208"/>
    </row>
    <row r="27" spans="2:7" ht="37.5" customHeight="1" x14ac:dyDescent="0.2">
      <c r="B27" s="211"/>
      <c r="C27" s="237" t="s">
        <v>146</v>
      </c>
      <c r="D27" s="238"/>
      <c r="E27" s="238"/>
      <c r="F27" s="238"/>
      <c r="G27" s="239"/>
    </row>
    <row r="28" spans="2:7" ht="37.5" customHeight="1" x14ac:dyDescent="0.2">
      <c r="B28" s="211"/>
      <c r="C28" s="240"/>
      <c r="D28" s="241"/>
      <c r="E28" s="241"/>
      <c r="F28" s="241"/>
      <c r="G28" s="242"/>
    </row>
    <row r="29" spans="2:7" ht="21" customHeight="1" x14ac:dyDescent="0.2">
      <c r="B29" s="211"/>
      <c r="C29" s="240"/>
      <c r="D29" s="241"/>
      <c r="E29" s="241"/>
      <c r="F29" s="241"/>
      <c r="G29" s="242"/>
    </row>
    <row r="30" spans="2:7" ht="21" customHeight="1" x14ac:dyDescent="0.2">
      <c r="B30" s="211"/>
      <c r="C30" s="240"/>
      <c r="D30" s="241"/>
      <c r="E30" s="241"/>
      <c r="F30" s="241"/>
      <c r="G30" s="242"/>
    </row>
    <row r="31" spans="2:7" ht="21" customHeight="1" x14ac:dyDescent="0.2">
      <c r="B31" s="211"/>
      <c r="C31" s="243"/>
      <c r="D31" s="244"/>
      <c r="E31" s="244"/>
      <c r="F31" s="244"/>
      <c r="G31" s="245"/>
    </row>
    <row r="32" spans="2:7" ht="18.75" customHeight="1" x14ac:dyDescent="0.2">
      <c r="B32" s="211"/>
      <c r="C32" s="74" t="s">
        <v>107</v>
      </c>
      <c r="D32" s="206" t="s">
        <v>108</v>
      </c>
      <c r="E32" s="207"/>
      <c r="F32" s="207"/>
      <c r="G32" s="208"/>
    </row>
    <row r="33" spans="2:7" ht="18.75" customHeight="1" x14ac:dyDescent="0.2">
      <c r="B33" s="211"/>
      <c r="C33" s="129" t="s">
        <v>134</v>
      </c>
      <c r="D33" s="246" t="s">
        <v>157</v>
      </c>
      <c r="E33" s="247"/>
      <c r="F33" s="247"/>
      <c r="G33" s="248"/>
    </row>
    <row r="34" spans="2:7" ht="18.75" customHeight="1" x14ac:dyDescent="0.2">
      <c r="B34" s="211"/>
      <c r="C34" s="129"/>
      <c r="D34" s="249"/>
      <c r="E34" s="250"/>
      <c r="F34" s="250"/>
      <c r="G34" s="251"/>
    </row>
    <row r="35" spans="2:7" ht="18.75" customHeight="1" x14ac:dyDescent="0.2">
      <c r="B35" s="211"/>
      <c r="C35" s="129"/>
      <c r="D35" s="249"/>
      <c r="E35" s="250"/>
      <c r="F35" s="250"/>
      <c r="G35" s="251"/>
    </row>
    <row r="36" spans="2:7" ht="18.75" customHeight="1" x14ac:dyDescent="0.2">
      <c r="B36" s="211"/>
      <c r="C36" s="129"/>
      <c r="D36" s="249"/>
      <c r="E36" s="250"/>
      <c r="F36" s="250"/>
      <c r="G36" s="251"/>
    </row>
    <row r="37" spans="2:7" ht="18.75" customHeight="1" x14ac:dyDescent="0.2">
      <c r="B37" s="211"/>
      <c r="C37" s="129"/>
      <c r="D37" s="249"/>
      <c r="E37" s="250"/>
      <c r="F37" s="250"/>
      <c r="G37" s="251"/>
    </row>
    <row r="38" spans="2:7" ht="18.75" customHeight="1" x14ac:dyDescent="0.2">
      <c r="B38" s="211"/>
      <c r="C38" s="129"/>
      <c r="D38" s="249"/>
      <c r="E38" s="250"/>
      <c r="F38" s="250"/>
      <c r="G38" s="251"/>
    </row>
    <row r="39" spans="2:7" ht="18.75" customHeight="1" x14ac:dyDescent="0.2">
      <c r="B39" s="211"/>
      <c r="C39" s="129"/>
      <c r="D39" s="249"/>
      <c r="E39" s="250"/>
      <c r="F39" s="250"/>
      <c r="G39" s="251"/>
    </row>
    <row r="40" spans="2:7" ht="18.75" customHeight="1" x14ac:dyDescent="0.2">
      <c r="B40" s="211"/>
      <c r="C40" s="129"/>
      <c r="D40" s="249"/>
      <c r="E40" s="250"/>
      <c r="F40" s="250"/>
      <c r="G40" s="251"/>
    </row>
    <row r="41" spans="2:7" ht="18.75" customHeight="1" x14ac:dyDescent="0.2">
      <c r="B41" s="211"/>
      <c r="C41" s="129"/>
      <c r="D41" s="249"/>
      <c r="E41" s="250"/>
      <c r="F41" s="250"/>
      <c r="G41" s="251"/>
    </row>
    <row r="42" spans="2:7" ht="18.75" customHeight="1" x14ac:dyDescent="0.2">
      <c r="B42" s="211"/>
      <c r="C42" s="129"/>
      <c r="D42" s="249"/>
      <c r="E42" s="250"/>
      <c r="F42" s="250"/>
      <c r="G42" s="251"/>
    </row>
    <row r="43" spans="2:7" ht="18.75" customHeight="1" x14ac:dyDescent="0.2">
      <c r="B43" s="211"/>
      <c r="C43" s="129"/>
      <c r="D43" s="249"/>
      <c r="E43" s="250"/>
      <c r="F43" s="250"/>
      <c r="G43" s="251"/>
    </row>
    <row r="44" spans="2:7" ht="18.75" customHeight="1" x14ac:dyDescent="0.2">
      <c r="B44" s="211"/>
      <c r="C44" s="129"/>
      <c r="D44" s="249"/>
      <c r="E44" s="250"/>
      <c r="F44" s="250"/>
      <c r="G44" s="251"/>
    </row>
    <row r="45" spans="2:7" ht="18.75" customHeight="1" x14ac:dyDescent="0.2">
      <c r="B45" s="211"/>
      <c r="C45" s="129"/>
      <c r="D45" s="249"/>
      <c r="E45" s="250"/>
      <c r="F45" s="250"/>
      <c r="G45" s="251"/>
    </row>
    <row r="46" spans="2:7" ht="18.75" customHeight="1" x14ac:dyDescent="0.2">
      <c r="B46" s="211"/>
      <c r="C46" s="129"/>
      <c r="D46" s="249"/>
      <c r="E46" s="250"/>
      <c r="F46" s="250"/>
      <c r="G46" s="251"/>
    </row>
    <row r="47" spans="2:7" ht="18.75" customHeight="1" x14ac:dyDescent="0.2">
      <c r="B47" s="211"/>
      <c r="C47" s="129"/>
      <c r="D47" s="249"/>
      <c r="E47" s="250"/>
      <c r="F47" s="250"/>
      <c r="G47" s="251"/>
    </row>
    <row r="48" spans="2:7" ht="18.75" customHeight="1" x14ac:dyDescent="0.2">
      <c r="B48" s="211"/>
      <c r="C48" s="129"/>
      <c r="D48" s="249"/>
      <c r="E48" s="250"/>
      <c r="F48" s="250"/>
      <c r="G48" s="251"/>
    </row>
    <row r="49" spans="2:7" ht="18.75" customHeight="1" x14ac:dyDescent="0.2">
      <c r="B49" s="211"/>
      <c r="C49" s="129"/>
      <c r="D49" s="249"/>
      <c r="E49" s="250"/>
      <c r="F49" s="250"/>
      <c r="G49" s="251"/>
    </row>
    <row r="50" spans="2:7" ht="18.75" customHeight="1" x14ac:dyDescent="0.2">
      <c r="B50" s="236"/>
      <c r="C50" s="129"/>
      <c r="D50" s="249"/>
      <c r="E50" s="250"/>
      <c r="F50" s="250"/>
      <c r="G50" s="251"/>
    </row>
    <row r="51" spans="2:7" ht="18.75" customHeight="1" x14ac:dyDescent="0.2">
      <c r="B51" s="210" t="s">
        <v>112</v>
      </c>
      <c r="C51" s="206" t="s">
        <v>106</v>
      </c>
      <c r="D51" s="207"/>
      <c r="E51" s="207"/>
      <c r="F51" s="207"/>
      <c r="G51" s="208"/>
    </row>
    <row r="52" spans="2:7" ht="37.5" customHeight="1" x14ac:dyDescent="0.2">
      <c r="B52" s="211"/>
      <c r="C52" s="237" t="s">
        <v>150</v>
      </c>
      <c r="D52" s="238"/>
      <c r="E52" s="238"/>
      <c r="F52" s="238"/>
      <c r="G52" s="239"/>
    </row>
    <row r="53" spans="2:7" ht="37.5" customHeight="1" x14ac:dyDescent="0.2">
      <c r="B53" s="211"/>
      <c r="C53" s="240"/>
      <c r="D53" s="241"/>
      <c r="E53" s="241"/>
      <c r="F53" s="241"/>
      <c r="G53" s="242"/>
    </row>
    <row r="54" spans="2:7" ht="21.5" customHeight="1" x14ac:dyDescent="0.2">
      <c r="B54" s="211"/>
      <c r="C54" s="240"/>
      <c r="D54" s="241"/>
      <c r="E54" s="241"/>
      <c r="F54" s="241"/>
      <c r="G54" s="242"/>
    </row>
    <row r="55" spans="2:7" ht="21.5" customHeight="1" x14ac:dyDescent="0.2">
      <c r="B55" s="211"/>
      <c r="C55" s="240"/>
      <c r="D55" s="241"/>
      <c r="E55" s="241"/>
      <c r="F55" s="241"/>
      <c r="G55" s="242"/>
    </row>
    <row r="56" spans="2:7" ht="21.5" customHeight="1" x14ac:dyDescent="0.2">
      <c r="B56" s="211"/>
      <c r="C56" s="243"/>
      <c r="D56" s="244"/>
      <c r="E56" s="244"/>
      <c r="F56" s="244"/>
      <c r="G56" s="245"/>
    </row>
    <row r="57" spans="2:7" ht="18.75" customHeight="1" x14ac:dyDescent="0.2">
      <c r="B57" s="211"/>
      <c r="C57" s="74" t="s">
        <v>107</v>
      </c>
      <c r="D57" s="206" t="s">
        <v>108</v>
      </c>
      <c r="E57" s="207"/>
      <c r="F57" s="207"/>
      <c r="G57" s="208"/>
    </row>
    <row r="58" spans="2:7" ht="18.75" customHeight="1" x14ac:dyDescent="0.2">
      <c r="B58" s="211"/>
      <c r="C58" s="130" t="s">
        <v>137</v>
      </c>
      <c r="D58" s="246" t="s">
        <v>147</v>
      </c>
      <c r="E58" s="247"/>
      <c r="F58" s="247"/>
      <c r="G58" s="248"/>
    </row>
    <row r="59" spans="2:7" ht="18.75" customHeight="1" x14ac:dyDescent="0.2">
      <c r="B59" s="211"/>
      <c r="C59" s="130" t="s">
        <v>134</v>
      </c>
      <c r="D59" s="246" t="s">
        <v>148</v>
      </c>
      <c r="E59" s="247"/>
      <c r="F59" s="247"/>
      <c r="G59" s="248"/>
    </row>
    <row r="60" spans="2:7" ht="18.75" customHeight="1" x14ac:dyDescent="0.2">
      <c r="B60" s="211"/>
      <c r="C60" s="130" t="s">
        <v>138</v>
      </c>
      <c r="D60" s="246" t="s">
        <v>158</v>
      </c>
      <c r="E60" s="247"/>
      <c r="F60" s="247"/>
      <c r="G60" s="248"/>
    </row>
    <row r="61" spans="2:7" ht="18.75" customHeight="1" x14ac:dyDescent="0.2">
      <c r="B61" s="211"/>
      <c r="C61" s="129"/>
      <c r="D61" s="249"/>
      <c r="E61" s="250"/>
      <c r="F61" s="250"/>
      <c r="G61" s="251"/>
    </row>
    <row r="62" spans="2:7" ht="18.75" customHeight="1" x14ac:dyDescent="0.2">
      <c r="B62" s="211"/>
      <c r="C62" s="129"/>
      <c r="D62" s="249"/>
      <c r="E62" s="250"/>
      <c r="F62" s="250"/>
      <c r="G62" s="251"/>
    </row>
    <row r="63" spans="2:7" ht="18.75" customHeight="1" x14ac:dyDescent="0.2">
      <c r="B63" s="211"/>
      <c r="C63" s="129"/>
      <c r="D63" s="249"/>
      <c r="E63" s="250"/>
      <c r="F63" s="250"/>
      <c r="G63" s="251"/>
    </row>
    <row r="64" spans="2:7" ht="18.75" customHeight="1" x14ac:dyDescent="0.2">
      <c r="B64" s="211"/>
      <c r="C64" s="129"/>
      <c r="D64" s="249"/>
      <c r="E64" s="250"/>
      <c r="F64" s="250"/>
      <c r="G64" s="251"/>
    </row>
    <row r="65" spans="2:7" ht="18.75" customHeight="1" x14ac:dyDescent="0.2">
      <c r="B65" s="211"/>
      <c r="C65" s="129"/>
      <c r="D65" s="249"/>
      <c r="E65" s="250"/>
      <c r="F65" s="250"/>
      <c r="G65" s="251"/>
    </row>
    <row r="66" spans="2:7" ht="18.75" customHeight="1" x14ac:dyDescent="0.2">
      <c r="B66" s="211"/>
      <c r="C66" s="129"/>
      <c r="D66" s="249"/>
      <c r="E66" s="250"/>
      <c r="F66" s="250"/>
      <c r="G66" s="251"/>
    </row>
    <row r="67" spans="2:7" ht="18.75" customHeight="1" x14ac:dyDescent="0.2">
      <c r="B67" s="211"/>
      <c r="C67" s="129"/>
      <c r="D67" s="249"/>
      <c r="E67" s="250"/>
      <c r="F67" s="250"/>
      <c r="G67" s="251"/>
    </row>
    <row r="68" spans="2:7" ht="18.75" customHeight="1" x14ac:dyDescent="0.2">
      <c r="B68" s="211"/>
      <c r="C68" s="129"/>
      <c r="D68" s="249"/>
      <c r="E68" s="250"/>
      <c r="F68" s="250"/>
      <c r="G68" s="251"/>
    </row>
    <row r="69" spans="2:7" ht="18.75" customHeight="1" x14ac:dyDescent="0.2">
      <c r="B69" s="211"/>
      <c r="C69" s="129"/>
      <c r="D69" s="249"/>
      <c r="E69" s="250"/>
      <c r="F69" s="250"/>
      <c r="G69" s="251"/>
    </row>
    <row r="70" spans="2:7" ht="18.75" customHeight="1" x14ac:dyDescent="0.2">
      <c r="B70" s="211"/>
      <c r="C70" s="129"/>
      <c r="D70" s="249"/>
      <c r="E70" s="250"/>
      <c r="F70" s="250"/>
      <c r="G70" s="251"/>
    </row>
    <row r="71" spans="2:7" ht="18.75" customHeight="1" x14ac:dyDescent="0.2">
      <c r="B71" s="211"/>
      <c r="C71" s="129"/>
      <c r="D71" s="249"/>
      <c r="E71" s="250"/>
      <c r="F71" s="250"/>
      <c r="G71" s="251"/>
    </row>
    <row r="72" spans="2:7" ht="18.75" customHeight="1" x14ac:dyDescent="0.2">
      <c r="B72" s="211"/>
      <c r="C72" s="129"/>
      <c r="D72" s="249"/>
      <c r="E72" s="250"/>
      <c r="F72" s="250"/>
      <c r="G72" s="251"/>
    </row>
    <row r="73" spans="2:7" ht="18.75" customHeight="1" x14ac:dyDescent="0.2">
      <c r="B73" s="211"/>
      <c r="C73" s="129"/>
      <c r="D73" s="249"/>
      <c r="E73" s="250"/>
      <c r="F73" s="250"/>
      <c r="G73" s="251"/>
    </row>
    <row r="74" spans="2:7" ht="18.75" customHeight="1" x14ac:dyDescent="0.2">
      <c r="B74" s="211"/>
      <c r="C74" s="129"/>
      <c r="D74" s="249"/>
      <c r="E74" s="250"/>
      <c r="F74" s="250"/>
      <c r="G74" s="251"/>
    </row>
    <row r="75" spans="2:7" ht="18.75" customHeight="1" x14ac:dyDescent="0.2">
      <c r="B75" s="211"/>
      <c r="C75" s="129"/>
      <c r="D75" s="249"/>
      <c r="E75" s="250"/>
      <c r="F75" s="250"/>
      <c r="G75" s="251"/>
    </row>
    <row r="76" spans="2:7" ht="18.75" customHeight="1" x14ac:dyDescent="0.2">
      <c r="B76" s="210" t="s">
        <v>111</v>
      </c>
      <c r="C76" s="206" t="s">
        <v>106</v>
      </c>
      <c r="D76" s="207"/>
      <c r="E76" s="207"/>
      <c r="F76" s="207"/>
      <c r="G76" s="208"/>
    </row>
    <row r="77" spans="2:7" ht="37.5" customHeight="1" x14ac:dyDescent="0.2">
      <c r="B77" s="211"/>
      <c r="C77" s="252" t="s">
        <v>151</v>
      </c>
      <c r="D77" s="253"/>
      <c r="E77" s="253"/>
      <c r="F77" s="253"/>
      <c r="G77" s="254"/>
    </row>
    <row r="78" spans="2:7" ht="37.5" customHeight="1" x14ac:dyDescent="0.2">
      <c r="B78" s="211"/>
      <c r="C78" s="255"/>
      <c r="D78" s="256"/>
      <c r="E78" s="256"/>
      <c r="F78" s="256"/>
      <c r="G78" s="257"/>
    </row>
    <row r="79" spans="2:7" ht="18.5" customHeight="1" x14ac:dyDescent="0.2">
      <c r="B79" s="211"/>
      <c r="C79" s="255"/>
      <c r="D79" s="256"/>
      <c r="E79" s="256"/>
      <c r="F79" s="256"/>
      <c r="G79" s="257"/>
    </row>
    <row r="80" spans="2:7" ht="18.5" customHeight="1" x14ac:dyDescent="0.2">
      <c r="B80" s="211"/>
      <c r="C80" s="255"/>
      <c r="D80" s="256"/>
      <c r="E80" s="256"/>
      <c r="F80" s="256"/>
      <c r="G80" s="257"/>
    </row>
    <row r="81" spans="2:7" ht="18.5" customHeight="1" x14ac:dyDescent="0.2">
      <c r="B81" s="211"/>
      <c r="C81" s="258"/>
      <c r="D81" s="259"/>
      <c r="E81" s="259"/>
      <c r="F81" s="259"/>
      <c r="G81" s="260"/>
    </row>
    <row r="82" spans="2:7" ht="18.75" customHeight="1" x14ac:dyDescent="0.2">
      <c r="B82" s="211"/>
      <c r="C82" s="74" t="s">
        <v>107</v>
      </c>
      <c r="D82" s="206" t="s">
        <v>108</v>
      </c>
      <c r="E82" s="207"/>
      <c r="F82" s="207"/>
      <c r="G82" s="208"/>
    </row>
    <row r="83" spans="2:7" ht="18.75" customHeight="1" x14ac:dyDescent="0.2">
      <c r="B83" s="211"/>
      <c r="C83" s="129" t="s">
        <v>137</v>
      </c>
      <c r="D83" s="261" t="s">
        <v>149</v>
      </c>
      <c r="E83" s="262"/>
      <c r="F83" s="262"/>
      <c r="G83" s="263"/>
    </row>
    <row r="84" spans="2:7" ht="18.75" customHeight="1" x14ac:dyDescent="0.2">
      <c r="B84" s="211"/>
      <c r="C84" s="129" t="s">
        <v>138</v>
      </c>
      <c r="D84" s="249" t="s">
        <v>155</v>
      </c>
      <c r="E84" s="250"/>
      <c r="F84" s="250"/>
      <c r="G84" s="251"/>
    </row>
    <row r="85" spans="2:7" ht="18.75" customHeight="1" x14ac:dyDescent="0.2">
      <c r="B85" s="211"/>
      <c r="C85" s="129"/>
      <c r="D85" s="249"/>
      <c r="E85" s="250"/>
      <c r="F85" s="250"/>
      <c r="G85" s="251"/>
    </row>
    <row r="86" spans="2:7" ht="18.75" customHeight="1" x14ac:dyDescent="0.2">
      <c r="B86" s="211"/>
      <c r="C86" s="129"/>
      <c r="D86" s="249"/>
      <c r="E86" s="250"/>
      <c r="F86" s="250"/>
      <c r="G86" s="251"/>
    </row>
    <row r="87" spans="2:7" ht="18.75" customHeight="1" x14ac:dyDescent="0.2">
      <c r="B87" s="211"/>
      <c r="C87" s="129"/>
      <c r="D87" s="249"/>
      <c r="E87" s="250"/>
      <c r="F87" s="250"/>
      <c r="G87" s="251"/>
    </row>
    <row r="88" spans="2:7" ht="18.75" customHeight="1" x14ac:dyDescent="0.2">
      <c r="B88" s="211"/>
      <c r="C88" s="129"/>
      <c r="D88" s="249"/>
      <c r="E88" s="250"/>
      <c r="F88" s="250"/>
      <c r="G88" s="251"/>
    </row>
    <row r="89" spans="2:7" ht="18.75" customHeight="1" x14ac:dyDescent="0.2">
      <c r="B89" s="211"/>
      <c r="C89" s="129"/>
      <c r="D89" s="249"/>
      <c r="E89" s="250"/>
      <c r="F89" s="250"/>
      <c r="G89" s="251"/>
    </row>
    <row r="90" spans="2:7" ht="18.75" customHeight="1" x14ac:dyDescent="0.2">
      <c r="B90" s="211"/>
      <c r="C90" s="129"/>
      <c r="D90" s="249"/>
      <c r="E90" s="250"/>
      <c r="F90" s="250"/>
      <c r="G90" s="251"/>
    </row>
    <row r="91" spans="2:7" ht="18.75" customHeight="1" x14ac:dyDescent="0.2">
      <c r="B91" s="211"/>
      <c r="C91" s="129"/>
      <c r="D91" s="249"/>
      <c r="E91" s="250"/>
      <c r="F91" s="250"/>
      <c r="G91" s="251"/>
    </row>
    <row r="92" spans="2:7" ht="18.75" customHeight="1" x14ac:dyDescent="0.2">
      <c r="B92" s="211"/>
      <c r="C92" s="129"/>
      <c r="D92" s="249"/>
      <c r="E92" s="250"/>
      <c r="F92" s="250"/>
      <c r="G92" s="251"/>
    </row>
    <row r="93" spans="2:7" ht="18.75" customHeight="1" x14ac:dyDescent="0.2">
      <c r="B93" s="211"/>
      <c r="C93" s="129"/>
      <c r="D93" s="249"/>
      <c r="E93" s="250"/>
      <c r="F93" s="250"/>
      <c r="G93" s="251"/>
    </row>
    <row r="94" spans="2:7" ht="18.75" customHeight="1" x14ac:dyDescent="0.2">
      <c r="B94" s="211"/>
      <c r="C94" s="129"/>
      <c r="D94" s="249"/>
      <c r="E94" s="250"/>
      <c r="F94" s="250"/>
      <c r="G94" s="251"/>
    </row>
    <row r="95" spans="2:7" ht="18.75" customHeight="1" x14ac:dyDescent="0.2">
      <c r="B95" s="211"/>
      <c r="C95" s="129"/>
      <c r="D95" s="249"/>
      <c r="E95" s="250"/>
      <c r="F95" s="250"/>
      <c r="G95" s="251"/>
    </row>
    <row r="96" spans="2:7" ht="18.75" customHeight="1" x14ac:dyDescent="0.2">
      <c r="B96" s="211"/>
      <c r="C96" s="129"/>
      <c r="D96" s="249"/>
      <c r="E96" s="250"/>
      <c r="F96" s="250"/>
      <c r="G96" s="251"/>
    </row>
    <row r="97" spans="2:7" ht="18.75" customHeight="1" x14ac:dyDescent="0.2">
      <c r="B97" s="211"/>
      <c r="C97" s="129"/>
      <c r="D97" s="249"/>
      <c r="E97" s="250"/>
      <c r="F97" s="250"/>
      <c r="G97" s="251"/>
    </row>
    <row r="98" spans="2:7" ht="18.75" customHeight="1" x14ac:dyDescent="0.2">
      <c r="B98" s="211"/>
      <c r="C98" s="129"/>
      <c r="D98" s="249"/>
      <c r="E98" s="250"/>
      <c r="F98" s="250"/>
      <c r="G98" s="251"/>
    </row>
    <row r="99" spans="2:7" ht="18.75" customHeight="1" x14ac:dyDescent="0.2">
      <c r="B99" s="211"/>
      <c r="C99" s="129"/>
      <c r="D99" s="249"/>
      <c r="E99" s="250"/>
      <c r="F99" s="250"/>
      <c r="G99" s="251"/>
    </row>
    <row r="100" spans="2:7" ht="18.75" customHeight="1" x14ac:dyDescent="0.2">
      <c r="B100" s="211"/>
      <c r="C100" s="129"/>
      <c r="D100" s="249"/>
      <c r="E100" s="250"/>
      <c r="F100" s="250"/>
      <c r="G100" s="251"/>
    </row>
    <row r="101" spans="2:7" ht="18.75" customHeight="1" x14ac:dyDescent="0.2">
      <c r="B101" s="210" t="s">
        <v>113</v>
      </c>
      <c r="C101" s="206" t="s">
        <v>106</v>
      </c>
      <c r="D101" s="207"/>
      <c r="E101" s="207"/>
      <c r="F101" s="207"/>
      <c r="G101" s="208"/>
    </row>
    <row r="102" spans="2:7" ht="37.5" customHeight="1" x14ac:dyDescent="0.2">
      <c r="B102" s="211"/>
      <c r="C102" s="237" t="s">
        <v>156</v>
      </c>
      <c r="D102" s="238"/>
      <c r="E102" s="238"/>
      <c r="F102" s="238"/>
      <c r="G102" s="239"/>
    </row>
    <row r="103" spans="2:7" ht="37.5" customHeight="1" x14ac:dyDescent="0.2">
      <c r="B103" s="211"/>
      <c r="C103" s="240"/>
      <c r="D103" s="241"/>
      <c r="E103" s="241"/>
      <c r="F103" s="241"/>
      <c r="G103" s="242"/>
    </row>
    <row r="104" spans="2:7" ht="20" customHeight="1" x14ac:dyDescent="0.2">
      <c r="B104" s="211"/>
      <c r="C104" s="240"/>
      <c r="D104" s="241"/>
      <c r="E104" s="241"/>
      <c r="F104" s="241"/>
      <c r="G104" s="242"/>
    </row>
    <row r="105" spans="2:7" ht="20" customHeight="1" x14ac:dyDescent="0.2">
      <c r="B105" s="211"/>
      <c r="C105" s="240"/>
      <c r="D105" s="241"/>
      <c r="E105" s="241"/>
      <c r="F105" s="241"/>
      <c r="G105" s="242"/>
    </row>
    <row r="106" spans="2:7" ht="20" customHeight="1" x14ac:dyDescent="0.2">
      <c r="B106" s="211"/>
      <c r="C106" s="243"/>
      <c r="D106" s="244"/>
      <c r="E106" s="244"/>
      <c r="F106" s="244"/>
      <c r="G106" s="245"/>
    </row>
    <row r="107" spans="2:7" ht="18.75" customHeight="1" x14ac:dyDescent="0.2">
      <c r="B107" s="211"/>
      <c r="C107" s="74" t="s">
        <v>107</v>
      </c>
      <c r="D107" s="206" t="s">
        <v>108</v>
      </c>
      <c r="E107" s="207"/>
      <c r="F107" s="207"/>
      <c r="G107" s="208"/>
    </row>
    <row r="108" spans="2:7" ht="18.75" customHeight="1" x14ac:dyDescent="0.2">
      <c r="B108" s="211"/>
      <c r="C108" s="129" t="s">
        <v>134</v>
      </c>
      <c r="D108" s="246" t="s">
        <v>154</v>
      </c>
      <c r="E108" s="247"/>
      <c r="F108" s="247"/>
      <c r="G108" s="248"/>
    </row>
    <row r="109" spans="2:7" ht="18.75" customHeight="1" x14ac:dyDescent="0.2">
      <c r="B109" s="211"/>
      <c r="C109" s="129"/>
      <c r="D109" s="246"/>
      <c r="E109" s="247"/>
      <c r="F109" s="247"/>
      <c r="G109" s="248"/>
    </row>
    <row r="110" spans="2:7" ht="18.75" customHeight="1" x14ac:dyDescent="0.2">
      <c r="B110" s="211"/>
      <c r="C110" s="129"/>
      <c r="D110" s="246"/>
      <c r="E110" s="247"/>
      <c r="F110" s="247"/>
      <c r="G110" s="248"/>
    </row>
    <row r="111" spans="2:7" ht="18.75" customHeight="1" x14ac:dyDescent="0.2">
      <c r="B111" s="211"/>
      <c r="C111" s="129"/>
      <c r="D111" s="246"/>
      <c r="E111" s="247"/>
      <c r="F111" s="247"/>
      <c r="G111" s="248"/>
    </row>
    <row r="112" spans="2:7" ht="18.75" customHeight="1" x14ac:dyDescent="0.2">
      <c r="B112" s="211"/>
      <c r="C112" s="129"/>
      <c r="D112" s="249"/>
      <c r="E112" s="250"/>
      <c r="F112" s="250"/>
      <c r="G112" s="251"/>
    </row>
    <row r="113" spans="1:7" ht="18.75" customHeight="1" x14ac:dyDescent="0.2">
      <c r="B113" s="211"/>
      <c r="C113" s="129"/>
      <c r="D113" s="249"/>
      <c r="E113" s="250"/>
      <c r="F113" s="250"/>
      <c r="G113" s="251"/>
    </row>
    <row r="114" spans="1:7" ht="18.75" customHeight="1" x14ac:dyDescent="0.2">
      <c r="B114" s="211"/>
      <c r="C114" s="129"/>
      <c r="D114" s="249"/>
      <c r="E114" s="250"/>
      <c r="F114" s="250"/>
      <c r="G114" s="251"/>
    </row>
    <row r="115" spans="1:7" ht="18.75" customHeight="1" x14ac:dyDescent="0.2">
      <c r="B115" s="211"/>
      <c r="C115" s="129"/>
      <c r="D115" s="249"/>
      <c r="E115" s="250"/>
      <c r="F115" s="250"/>
      <c r="G115" s="251"/>
    </row>
    <row r="116" spans="1:7" ht="18.75" customHeight="1" x14ac:dyDescent="0.2">
      <c r="B116" s="211"/>
      <c r="C116" s="129"/>
      <c r="D116" s="249"/>
      <c r="E116" s="250"/>
      <c r="F116" s="250"/>
      <c r="G116" s="251"/>
    </row>
    <row r="117" spans="1:7" ht="18.75" customHeight="1" x14ac:dyDescent="0.2">
      <c r="B117" s="211"/>
      <c r="C117" s="129"/>
      <c r="D117" s="249"/>
      <c r="E117" s="250"/>
      <c r="F117" s="250"/>
      <c r="G117" s="251"/>
    </row>
    <row r="118" spans="1:7" ht="18.75" customHeight="1" x14ac:dyDescent="0.2">
      <c r="B118" s="211"/>
      <c r="C118" s="129"/>
      <c r="D118" s="249"/>
      <c r="E118" s="250"/>
      <c r="F118" s="250"/>
      <c r="G118" s="251"/>
    </row>
    <row r="119" spans="1:7" ht="18.75" customHeight="1" x14ac:dyDescent="0.2">
      <c r="B119" s="211"/>
      <c r="C119" s="129"/>
      <c r="D119" s="249"/>
      <c r="E119" s="250"/>
      <c r="F119" s="250"/>
      <c r="G119" s="251"/>
    </row>
    <row r="120" spans="1:7" ht="18.75" customHeight="1" x14ac:dyDescent="0.2">
      <c r="B120" s="211"/>
      <c r="C120" s="129"/>
      <c r="D120" s="249"/>
      <c r="E120" s="250"/>
      <c r="F120" s="250"/>
      <c r="G120" s="251"/>
    </row>
    <row r="121" spans="1:7" ht="18.75" customHeight="1" x14ac:dyDescent="0.2">
      <c r="B121" s="211"/>
      <c r="C121" s="129"/>
      <c r="D121" s="249"/>
      <c r="E121" s="250"/>
      <c r="F121" s="250"/>
      <c r="G121" s="251"/>
    </row>
    <row r="122" spans="1:7" ht="18.75" customHeight="1" x14ac:dyDescent="0.2">
      <c r="B122" s="211"/>
      <c r="C122" s="129"/>
      <c r="D122" s="249"/>
      <c r="E122" s="250"/>
      <c r="F122" s="250"/>
      <c r="G122" s="251"/>
    </row>
    <row r="123" spans="1:7" ht="18.75" customHeight="1" x14ac:dyDescent="0.2">
      <c r="B123" s="211"/>
      <c r="C123" s="129"/>
      <c r="D123" s="249"/>
      <c r="E123" s="250"/>
      <c r="F123" s="250"/>
      <c r="G123" s="251"/>
    </row>
    <row r="124" spans="1:7" ht="18.75" customHeight="1" x14ac:dyDescent="0.2">
      <c r="B124" s="211"/>
      <c r="C124" s="129"/>
      <c r="D124" s="249"/>
      <c r="E124" s="250"/>
      <c r="F124" s="250"/>
      <c r="G124" s="251"/>
    </row>
    <row r="125" spans="1:7" ht="18.75" customHeight="1" x14ac:dyDescent="0.2">
      <c r="B125" s="211"/>
      <c r="C125" s="129"/>
      <c r="D125" s="249"/>
      <c r="E125" s="250"/>
      <c r="F125" s="250"/>
      <c r="G125" s="251"/>
    </row>
    <row r="126" spans="1:7" ht="18.75" customHeight="1" x14ac:dyDescent="0.2">
      <c r="A126" s="1" t="s">
        <v>12</v>
      </c>
      <c r="B126" s="1" t="s">
        <v>104</v>
      </c>
    </row>
    <row r="127" spans="1:7" ht="22.5" customHeight="1" x14ac:dyDescent="0.2">
      <c r="B127" s="129" t="s">
        <v>74</v>
      </c>
      <c r="C127" s="206" t="s">
        <v>103</v>
      </c>
      <c r="D127" s="207"/>
      <c r="E127" s="207"/>
      <c r="F127" s="207"/>
      <c r="G127" s="208"/>
    </row>
    <row r="128" spans="1:7" ht="45" customHeight="1" x14ac:dyDescent="0.2">
      <c r="B128" s="77" t="s">
        <v>76</v>
      </c>
      <c r="C128" s="264" t="s">
        <v>134</v>
      </c>
      <c r="D128" s="265"/>
      <c r="E128" s="265"/>
      <c r="F128" s="265"/>
      <c r="G128" s="266"/>
    </row>
    <row r="129" spans="1:7" ht="45" customHeight="1" x14ac:dyDescent="0.2">
      <c r="B129" s="77" t="s">
        <v>77</v>
      </c>
      <c r="C129" s="264" t="s">
        <v>135</v>
      </c>
      <c r="D129" s="265"/>
      <c r="E129" s="265"/>
      <c r="F129" s="265"/>
      <c r="G129" s="266"/>
    </row>
    <row r="130" spans="1:7" ht="45" customHeight="1" x14ac:dyDescent="0.2">
      <c r="B130" s="77" t="s">
        <v>78</v>
      </c>
      <c r="C130" s="264" t="s">
        <v>136</v>
      </c>
      <c r="D130" s="265"/>
      <c r="E130" s="265"/>
      <c r="F130" s="265"/>
      <c r="G130" s="266"/>
    </row>
    <row r="131" spans="1:7" ht="27.5" customHeight="1" x14ac:dyDescent="0.2">
      <c r="B131" s="77" t="s">
        <v>79</v>
      </c>
      <c r="C131" s="264" t="s">
        <v>134</v>
      </c>
      <c r="D131" s="265"/>
      <c r="E131" s="265"/>
      <c r="F131" s="265"/>
      <c r="G131" s="266"/>
    </row>
    <row r="132" spans="1:7" ht="30" customHeight="1" x14ac:dyDescent="0.2">
      <c r="B132" s="77" t="s">
        <v>80</v>
      </c>
      <c r="C132" s="264" t="s">
        <v>134</v>
      </c>
      <c r="D132" s="265"/>
      <c r="E132" s="265"/>
      <c r="F132" s="265"/>
      <c r="G132" s="266"/>
    </row>
    <row r="133" spans="1:7" ht="37.5" customHeight="1" x14ac:dyDescent="0.2">
      <c r="B133" s="77" t="s">
        <v>81</v>
      </c>
      <c r="C133" s="264" t="s">
        <v>138</v>
      </c>
      <c r="D133" s="265"/>
      <c r="E133" s="265"/>
      <c r="F133" s="265"/>
      <c r="G133" s="266"/>
    </row>
    <row r="134" spans="1:7" ht="45" customHeight="1" x14ac:dyDescent="0.2">
      <c r="B134" s="77" t="s">
        <v>82</v>
      </c>
      <c r="C134" s="264" t="s">
        <v>134</v>
      </c>
      <c r="D134" s="265"/>
      <c r="E134" s="265"/>
      <c r="F134" s="265"/>
      <c r="G134" s="266"/>
    </row>
    <row r="135" spans="1:7" ht="45" customHeight="1" x14ac:dyDescent="0.2">
      <c r="B135" s="77" t="s">
        <v>83</v>
      </c>
      <c r="C135" s="264" t="s">
        <v>134</v>
      </c>
      <c r="D135" s="265"/>
      <c r="E135" s="265"/>
      <c r="F135" s="265"/>
      <c r="G135" s="266"/>
    </row>
    <row r="136" spans="1:7" ht="27" customHeight="1" x14ac:dyDescent="0.2">
      <c r="B136" s="77" t="s">
        <v>84</v>
      </c>
      <c r="C136" s="264"/>
      <c r="D136" s="265"/>
      <c r="E136" s="265"/>
      <c r="F136" s="265"/>
      <c r="G136" s="266"/>
    </row>
    <row r="137" spans="1:7" ht="7.5" customHeight="1" x14ac:dyDescent="0.2"/>
    <row r="138" spans="1:7" ht="18.75" customHeight="1" x14ac:dyDescent="0.2">
      <c r="A138" s="1" t="s">
        <v>13</v>
      </c>
      <c r="B138" s="1" t="s">
        <v>98</v>
      </c>
      <c r="E138" s="267" t="s">
        <v>204</v>
      </c>
      <c r="F138" s="268"/>
      <c r="G138" s="269"/>
    </row>
    <row r="139" spans="1:7" ht="7.5" customHeight="1" x14ac:dyDescent="0.2"/>
    <row r="140" spans="1:7" ht="18.75" customHeight="1" x14ac:dyDescent="0.2">
      <c r="A140" s="1" t="s">
        <v>17</v>
      </c>
      <c r="B140" s="1" t="s">
        <v>100</v>
      </c>
    </row>
    <row r="141" spans="1:7" ht="18.75" customHeight="1" x14ac:dyDescent="0.2">
      <c r="B141" s="173" t="s">
        <v>152</v>
      </c>
      <c r="C141" s="174"/>
      <c r="D141" s="174"/>
      <c r="E141" s="174"/>
      <c r="F141" s="174"/>
      <c r="G141" s="175"/>
    </row>
    <row r="142" spans="1:7" ht="18.75" customHeight="1" x14ac:dyDescent="0.2">
      <c r="B142" s="176"/>
      <c r="C142" s="177"/>
      <c r="D142" s="177"/>
      <c r="E142" s="177"/>
      <c r="F142" s="177"/>
      <c r="G142" s="178"/>
    </row>
    <row r="143" spans="1:7" ht="18.75" customHeight="1" x14ac:dyDescent="0.2">
      <c r="B143" s="176"/>
      <c r="C143" s="177"/>
      <c r="D143" s="177"/>
      <c r="E143" s="177"/>
      <c r="F143" s="177"/>
      <c r="G143" s="178"/>
    </row>
    <row r="144" spans="1:7" ht="18.75" customHeight="1" x14ac:dyDescent="0.2">
      <c r="B144" s="179"/>
      <c r="C144" s="180"/>
      <c r="D144" s="180"/>
      <c r="E144" s="180"/>
      <c r="F144" s="180"/>
      <c r="G144" s="181"/>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C135:G135"/>
    <mergeCell ref="C136:G136"/>
    <mergeCell ref="E138:G138"/>
    <mergeCell ref="B141:G144"/>
    <mergeCell ref="C129:G129"/>
    <mergeCell ref="C130:G130"/>
    <mergeCell ref="C131:G131"/>
    <mergeCell ref="C132:G132"/>
    <mergeCell ref="C133:G133"/>
    <mergeCell ref="C134:G134"/>
    <mergeCell ref="D123:G123"/>
    <mergeCell ref="D124:G124"/>
    <mergeCell ref="D125:G125"/>
    <mergeCell ref="C127:G127"/>
    <mergeCell ref="C128:G128"/>
    <mergeCell ref="D116:G116"/>
    <mergeCell ref="D117:G117"/>
    <mergeCell ref="D118:G118"/>
    <mergeCell ref="D119:G119"/>
    <mergeCell ref="D120:G120"/>
    <mergeCell ref="D121:G121"/>
    <mergeCell ref="B101:B125"/>
    <mergeCell ref="C101:G101"/>
    <mergeCell ref="C102:G106"/>
    <mergeCell ref="D107:G107"/>
    <mergeCell ref="D108:G108"/>
    <mergeCell ref="D109:G109"/>
    <mergeCell ref="D91:G91"/>
    <mergeCell ref="D92:G92"/>
    <mergeCell ref="D93:G93"/>
    <mergeCell ref="D94:G94"/>
    <mergeCell ref="D95:G95"/>
    <mergeCell ref="D96:G96"/>
    <mergeCell ref="B76:B100"/>
    <mergeCell ref="D110:G110"/>
    <mergeCell ref="D111:G111"/>
    <mergeCell ref="D112:G112"/>
    <mergeCell ref="D113:G113"/>
    <mergeCell ref="D114:G114"/>
    <mergeCell ref="D115:G115"/>
    <mergeCell ref="D97:G97"/>
    <mergeCell ref="D98:G98"/>
    <mergeCell ref="D99:G99"/>
    <mergeCell ref="D100:G100"/>
    <mergeCell ref="D122:G122"/>
    <mergeCell ref="D85:G85"/>
    <mergeCell ref="D86:G86"/>
    <mergeCell ref="D87:G87"/>
    <mergeCell ref="D88:G88"/>
    <mergeCell ref="D89:G89"/>
    <mergeCell ref="D90:G90"/>
    <mergeCell ref="D72:G72"/>
    <mergeCell ref="D73:G73"/>
    <mergeCell ref="D74:G74"/>
    <mergeCell ref="D75:G75"/>
    <mergeCell ref="C76:G76"/>
    <mergeCell ref="C77:G81"/>
    <mergeCell ref="D82:G82"/>
    <mergeCell ref="D83:G83"/>
    <mergeCell ref="D84:G84"/>
    <mergeCell ref="B51:B75"/>
    <mergeCell ref="C51:G51"/>
    <mergeCell ref="C52:G56"/>
    <mergeCell ref="D57:G57"/>
    <mergeCell ref="D58:G58"/>
    <mergeCell ref="D59:G59"/>
    <mergeCell ref="D66:G66"/>
    <mergeCell ref="D67:G67"/>
    <mergeCell ref="D68:G68"/>
    <mergeCell ref="D69:G69"/>
    <mergeCell ref="D70:G70"/>
    <mergeCell ref="D71:G71"/>
    <mergeCell ref="D60:G60"/>
    <mergeCell ref="D61:G61"/>
    <mergeCell ref="D62:G62"/>
    <mergeCell ref="D63:G63"/>
    <mergeCell ref="D64:G64"/>
    <mergeCell ref="D65:G65"/>
    <mergeCell ref="B26:B50"/>
    <mergeCell ref="C26:G26"/>
    <mergeCell ref="C27:G31"/>
    <mergeCell ref="D32:G32"/>
    <mergeCell ref="D33:G33"/>
    <mergeCell ref="D34:G34"/>
    <mergeCell ref="D41:G41"/>
    <mergeCell ref="D42:G42"/>
    <mergeCell ref="D43:G43"/>
    <mergeCell ref="D44:G44"/>
    <mergeCell ref="D45:G45"/>
    <mergeCell ref="D46:G46"/>
    <mergeCell ref="D35:G35"/>
    <mergeCell ref="D36:G36"/>
    <mergeCell ref="D37:G37"/>
    <mergeCell ref="D38:G38"/>
    <mergeCell ref="D39:G39"/>
    <mergeCell ref="D40:G40"/>
    <mergeCell ref="D47:G47"/>
    <mergeCell ref="D48:G48"/>
    <mergeCell ref="D49:G49"/>
    <mergeCell ref="D50:G50"/>
    <mergeCell ref="D16:G16"/>
    <mergeCell ref="D17:G17"/>
    <mergeCell ref="D18:G18"/>
    <mergeCell ref="D19:G19"/>
    <mergeCell ref="D20:G20"/>
    <mergeCell ref="D21:G21"/>
    <mergeCell ref="A3:G3"/>
    <mergeCell ref="C5:G5"/>
    <mergeCell ref="B6:B25"/>
    <mergeCell ref="C6:G9"/>
    <mergeCell ref="D10:G10"/>
    <mergeCell ref="D11:G11"/>
    <mergeCell ref="D12:G12"/>
    <mergeCell ref="D13:G13"/>
    <mergeCell ref="D14:G14"/>
    <mergeCell ref="D15:G15"/>
    <mergeCell ref="D22:G22"/>
    <mergeCell ref="D23:G23"/>
    <mergeCell ref="D24:G24"/>
    <mergeCell ref="D25:G25"/>
  </mergeCells>
  <phoneticPr fontId="1"/>
  <hyperlinks>
    <hyperlink ref="E138" r:id="rId1" xr:uid="{A8124A25-ACB9-46C8-BC54-76285B0B6B94}"/>
  </hyperlinks>
  <printOptions horizontalCentered="1"/>
  <pageMargins left="0.25" right="0.25" top="0.75" bottom="0.75" header="0.3" footer="0.3"/>
  <pageSetup paperSize="9"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150"/>
  <sheetViews>
    <sheetView view="pageBreakPreview" topLeftCell="A127" zoomScaleNormal="100" zoomScaleSheetLayoutView="100" workbookViewId="0">
      <selection activeCell="E139" sqref="E139"/>
    </sheetView>
  </sheetViews>
  <sheetFormatPr defaultColWidth="9" defaultRowHeight="14" x14ac:dyDescent="0.2"/>
  <cols>
    <col min="1" max="1" width="2.453125" style="1" customWidth="1"/>
    <col min="2" max="2" width="19" style="1" customWidth="1"/>
    <col min="3" max="3" width="25" style="1" customWidth="1"/>
    <col min="4" max="4" width="10" style="1" customWidth="1"/>
    <col min="5" max="7" width="25" style="1" customWidth="1"/>
    <col min="8" max="16384" width="9" style="1"/>
  </cols>
  <sheetData>
    <row r="1" spans="1:7" ht="18.75" customHeight="1" x14ac:dyDescent="0.2">
      <c r="G1" s="55" t="s">
        <v>178</v>
      </c>
    </row>
    <row r="2" spans="1:7" ht="18.75" customHeight="1" x14ac:dyDescent="0.2">
      <c r="F2" s="55" t="s">
        <v>75</v>
      </c>
      <c r="G2" s="1" t="s">
        <v>140</v>
      </c>
    </row>
    <row r="3" spans="1:7" ht="18.75" customHeight="1" x14ac:dyDescent="0.2">
      <c r="A3" s="209" t="s">
        <v>95</v>
      </c>
      <c r="B3" s="209"/>
      <c r="C3" s="209"/>
      <c r="D3" s="209"/>
      <c r="E3" s="209"/>
      <c r="F3" s="209"/>
      <c r="G3" s="209"/>
    </row>
    <row r="4" spans="1:7" ht="18.75" customHeight="1" x14ac:dyDescent="0.2">
      <c r="A4" s="1" t="s">
        <v>7</v>
      </c>
      <c r="B4" s="1" t="s">
        <v>94</v>
      </c>
    </row>
    <row r="5" spans="1:7" s="54" customFormat="1" ht="18.75" customHeight="1" x14ac:dyDescent="0.2">
      <c r="B5" s="76" t="s">
        <v>74</v>
      </c>
      <c r="C5" s="206" t="s">
        <v>106</v>
      </c>
      <c r="D5" s="207"/>
      <c r="E5" s="207"/>
      <c r="F5" s="207"/>
      <c r="G5" s="208"/>
    </row>
    <row r="6" spans="1:7" s="73" customFormat="1" ht="45" customHeight="1" x14ac:dyDescent="0.2">
      <c r="B6" s="210" t="s">
        <v>109</v>
      </c>
      <c r="C6" s="212" t="s">
        <v>145</v>
      </c>
      <c r="D6" s="213"/>
      <c r="E6" s="213"/>
      <c r="F6" s="213"/>
      <c r="G6" s="214"/>
    </row>
    <row r="7" spans="1:7" s="73" customFormat="1" ht="45" customHeight="1" x14ac:dyDescent="0.2">
      <c r="B7" s="211"/>
      <c r="C7" s="215"/>
      <c r="D7" s="216"/>
      <c r="E7" s="216"/>
      <c r="F7" s="216"/>
      <c r="G7" s="217"/>
    </row>
    <row r="8" spans="1:7" s="73" customFormat="1" ht="10" customHeight="1" x14ac:dyDescent="0.2">
      <c r="B8" s="211"/>
      <c r="C8" s="215"/>
      <c r="D8" s="216"/>
      <c r="E8" s="216"/>
      <c r="F8" s="216"/>
      <c r="G8" s="217"/>
    </row>
    <row r="9" spans="1:7" s="73" customFormat="1" ht="10" customHeight="1" x14ac:dyDescent="0.2">
      <c r="B9" s="211"/>
      <c r="C9" s="218"/>
      <c r="D9" s="219"/>
      <c r="E9" s="219"/>
      <c r="F9" s="219"/>
      <c r="G9" s="220"/>
    </row>
    <row r="10" spans="1:7" s="75" customFormat="1" ht="18.75" customHeight="1" x14ac:dyDescent="0.2">
      <c r="B10" s="211"/>
      <c r="C10" s="74" t="s">
        <v>107</v>
      </c>
      <c r="D10" s="221" t="s">
        <v>108</v>
      </c>
      <c r="E10" s="222"/>
      <c r="F10" s="222"/>
      <c r="G10" s="223"/>
    </row>
    <row r="11" spans="1:7" s="73" customFormat="1" ht="18.75" customHeight="1" x14ac:dyDescent="0.2">
      <c r="B11" s="211"/>
      <c r="C11" s="131" t="s">
        <v>137</v>
      </c>
      <c r="D11" s="224" t="s">
        <v>143</v>
      </c>
      <c r="E11" s="225"/>
      <c r="F11" s="225"/>
      <c r="G11" s="226"/>
    </row>
    <row r="12" spans="1:7" s="75" customFormat="1" ht="18.75" customHeight="1" x14ac:dyDescent="0.2">
      <c r="B12" s="211"/>
      <c r="C12" s="131"/>
      <c r="D12" s="227"/>
      <c r="E12" s="228"/>
      <c r="F12" s="228"/>
      <c r="G12" s="229"/>
    </row>
    <row r="13" spans="1:7" s="75" customFormat="1" ht="18.75" customHeight="1" x14ac:dyDescent="0.2">
      <c r="B13" s="211"/>
      <c r="C13" s="78"/>
      <c r="D13" s="233"/>
      <c r="E13" s="234"/>
      <c r="F13" s="234"/>
      <c r="G13" s="235"/>
    </row>
    <row r="14" spans="1:7" s="75" customFormat="1" ht="18.75" customHeight="1" x14ac:dyDescent="0.2">
      <c r="B14" s="211"/>
      <c r="C14" s="78"/>
      <c r="D14" s="233"/>
      <c r="E14" s="234"/>
      <c r="F14" s="234"/>
      <c r="G14" s="235"/>
    </row>
    <row r="15" spans="1:7" s="80" customFormat="1" ht="18.75" customHeight="1" x14ac:dyDescent="0.2">
      <c r="B15" s="211"/>
      <c r="C15" s="81"/>
      <c r="D15" s="206"/>
      <c r="E15" s="207"/>
      <c r="F15" s="207"/>
      <c r="G15" s="208"/>
    </row>
    <row r="16" spans="1:7" s="80" customFormat="1" ht="18.75" customHeight="1" x14ac:dyDescent="0.2">
      <c r="B16" s="211"/>
      <c r="C16" s="81"/>
      <c r="D16" s="206"/>
      <c r="E16" s="207"/>
      <c r="F16" s="207"/>
      <c r="G16" s="208"/>
    </row>
    <row r="17" spans="2:7" s="80" customFormat="1" ht="18.75" customHeight="1" x14ac:dyDescent="0.2">
      <c r="B17" s="211"/>
      <c r="C17" s="81"/>
      <c r="D17" s="206"/>
      <c r="E17" s="207"/>
      <c r="F17" s="207"/>
      <c r="G17" s="208"/>
    </row>
    <row r="18" spans="2:7" s="80" customFormat="1" ht="18.75" customHeight="1" x14ac:dyDescent="0.2">
      <c r="B18" s="211"/>
      <c r="C18" s="81"/>
      <c r="D18" s="206"/>
      <c r="E18" s="207"/>
      <c r="F18" s="207"/>
      <c r="G18" s="208"/>
    </row>
    <row r="19" spans="2:7" s="80" customFormat="1" ht="18.75" customHeight="1" x14ac:dyDescent="0.2">
      <c r="B19" s="211"/>
      <c r="C19" s="81"/>
      <c r="D19" s="206"/>
      <c r="E19" s="207"/>
      <c r="F19" s="207"/>
      <c r="G19" s="208"/>
    </row>
    <row r="20" spans="2:7" s="80" customFormat="1" ht="18.75" customHeight="1" x14ac:dyDescent="0.2">
      <c r="B20" s="211"/>
      <c r="C20" s="81"/>
      <c r="D20" s="206"/>
      <c r="E20" s="207"/>
      <c r="F20" s="207"/>
      <c r="G20" s="208"/>
    </row>
    <row r="21" spans="2:7" s="80" customFormat="1" ht="18.75" customHeight="1" x14ac:dyDescent="0.2">
      <c r="B21" s="211"/>
      <c r="C21" s="81"/>
      <c r="D21" s="206"/>
      <c r="E21" s="207"/>
      <c r="F21" s="207"/>
      <c r="G21" s="208"/>
    </row>
    <row r="22" spans="2:7" s="80" customFormat="1" ht="18.75" customHeight="1" x14ac:dyDescent="0.2">
      <c r="B22" s="211"/>
      <c r="C22" s="81"/>
      <c r="D22" s="206"/>
      <c r="E22" s="207"/>
      <c r="F22" s="207"/>
      <c r="G22" s="208"/>
    </row>
    <row r="23" spans="2:7" s="80" customFormat="1" ht="18.75" customHeight="1" x14ac:dyDescent="0.2">
      <c r="B23" s="211"/>
      <c r="C23" s="81"/>
      <c r="D23" s="206"/>
      <c r="E23" s="207"/>
      <c r="F23" s="207"/>
      <c r="G23" s="208"/>
    </row>
    <row r="24" spans="2:7" s="80" customFormat="1" ht="18.75" customHeight="1" x14ac:dyDescent="0.2">
      <c r="B24" s="211"/>
      <c r="C24" s="81"/>
      <c r="D24" s="206"/>
      <c r="E24" s="207"/>
      <c r="F24" s="207"/>
      <c r="G24" s="208"/>
    </row>
    <row r="25" spans="2:7" s="75" customFormat="1" ht="18.75" customHeight="1" x14ac:dyDescent="0.2">
      <c r="B25" s="211"/>
      <c r="C25" s="76"/>
      <c r="D25" s="206"/>
      <c r="E25" s="207"/>
      <c r="F25" s="207"/>
      <c r="G25" s="208"/>
    </row>
    <row r="26" spans="2:7" ht="18.75" customHeight="1" x14ac:dyDescent="0.2">
      <c r="B26" s="210" t="s">
        <v>110</v>
      </c>
      <c r="C26" s="206" t="s">
        <v>106</v>
      </c>
      <c r="D26" s="207"/>
      <c r="E26" s="207"/>
      <c r="F26" s="207"/>
      <c r="G26" s="208"/>
    </row>
    <row r="27" spans="2:7" ht="37.5" customHeight="1" x14ac:dyDescent="0.2">
      <c r="B27" s="211"/>
      <c r="C27" s="237" t="s">
        <v>146</v>
      </c>
      <c r="D27" s="238"/>
      <c r="E27" s="238"/>
      <c r="F27" s="238"/>
      <c r="G27" s="239"/>
    </row>
    <row r="28" spans="2:7" ht="37.5" customHeight="1" x14ac:dyDescent="0.2">
      <c r="B28" s="211"/>
      <c r="C28" s="240"/>
      <c r="D28" s="241"/>
      <c r="E28" s="241"/>
      <c r="F28" s="241"/>
      <c r="G28" s="242"/>
    </row>
    <row r="29" spans="2:7" ht="19" customHeight="1" x14ac:dyDescent="0.2">
      <c r="B29" s="211"/>
      <c r="C29" s="240"/>
      <c r="D29" s="241"/>
      <c r="E29" s="241"/>
      <c r="F29" s="241"/>
      <c r="G29" s="242"/>
    </row>
    <row r="30" spans="2:7" ht="19" customHeight="1" x14ac:dyDescent="0.2">
      <c r="B30" s="211"/>
      <c r="C30" s="240"/>
      <c r="D30" s="241"/>
      <c r="E30" s="241"/>
      <c r="F30" s="241"/>
      <c r="G30" s="242"/>
    </row>
    <row r="31" spans="2:7" ht="19" customHeight="1" x14ac:dyDescent="0.2">
      <c r="B31" s="211"/>
      <c r="C31" s="243"/>
      <c r="D31" s="244"/>
      <c r="E31" s="244"/>
      <c r="F31" s="244"/>
      <c r="G31" s="245"/>
    </row>
    <row r="32" spans="2:7" ht="18.75" customHeight="1" x14ac:dyDescent="0.2">
      <c r="B32" s="211"/>
      <c r="C32" s="74" t="s">
        <v>107</v>
      </c>
      <c r="D32" s="206" t="s">
        <v>108</v>
      </c>
      <c r="E32" s="207"/>
      <c r="F32" s="207"/>
      <c r="G32" s="208"/>
    </row>
    <row r="33" spans="2:7" ht="18.75" customHeight="1" x14ac:dyDescent="0.2">
      <c r="B33" s="211"/>
      <c r="C33" s="76" t="s">
        <v>134</v>
      </c>
      <c r="D33" s="246" t="s">
        <v>144</v>
      </c>
      <c r="E33" s="247"/>
      <c r="F33" s="247"/>
      <c r="G33" s="248"/>
    </row>
    <row r="34" spans="2:7" ht="18.75" customHeight="1" x14ac:dyDescent="0.2">
      <c r="B34" s="211"/>
      <c r="C34" s="76"/>
      <c r="D34" s="249"/>
      <c r="E34" s="250"/>
      <c r="F34" s="250"/>
      <c r="G34" s="251"/>
    </row>
    <row r="35" spans="2:7" ht="18.75" customHeight="1" x14ac:dyDescent="0.2">
      <c r="B35" s="211"/>
      <c r="C35" s="76"/>
      <c r="D35" s="249"/>
      <c r="E35" s="250"/>
      <c r="F35" s="250"/>
      <c r="G35" s="251"/>
    </row>
    <row r="36" spans="2:7" ht="18.75" customHeight="1" x14ac:dyDescent="0.2">
      <c r="B36" s="211"/>
      <c r="C36" s="76"/>
      <c r="D36" s="249"/>
      <c r="E36" s="250"/>
      <c r="F36" s="250"/>
      <c r="G36" s="251"/>
    </row>
    <row r="37" spans="2:7" ht="18.75" customHeight="1" x14ac:dyDescent="0.2">
      <c r="B37" s="211"/>
      <c r="C37" s="76"/>
      <c r="D37" s="249"/>
      <c r="E37" s="250"/>
      <c r="F37" s="250"/>
      <c r="G37" s="251"/>
    </row>
    <row r="38" spans="2:7" ht="18.75" customHeight="1" x14ac:dyDescent="0.2">
      <c r="B38" s="211"/>
      <c r="C38" s="76"/>
      <c r="D38" s="249"/>
      <c r="E38" s="250"/>
      <c r="F38" s="250"/>
      <c r="G38" s="251"/>
    </row>
    <row r="39" spans="2:7" ht="18.75" customHeight="1" x14ac:dyDescent="0.2">
      <c r="B39" s="211"/>
      <c r="C39" s="76"/>
      <c r="D39" s="249"/>
      <c r="E39" s="250"/>
      <c r="F39" s="250"/>
      <c r="G39" s="251"/>
    </row>
    <row r="40" spans="2:7" ht="18.75" customHeight="1" x14ac:dyDescent="0.2">
      <c r="B40" s="211"/>
      <c r="C40" s="76"/>
      <c r="D40" s="249"/>
      <c r="E40" s="250"/>
      <c r="F40" s="250"/>
      <c r="G40" s="251"/>
    </row>
    <row r="41" spans="2:7" ht="18.75" customHeight="1" x14ac:dyDescent="0.2">
      <c r="B41" s="211"/>
      <c r="C41" s="76"/>
      <c r="D41" s="249"/>
      <c r="E41" s="250"/>
      <c r="F41" s="250"/>
      <c r="G41" s="251"/>
    </row>
    <row r="42" spans="2:7" ht="18.75" customHeight="1" x14ac:dyDescent="0.2">
      <c r="B42" s="211"/>
      <c r="C42" s="76"/>
      <c r="D42" s="249"/>
      <c r="E42" s="250"/>
      <c r="F42" s="250"/>
      <c r="G42" s="251"/>
    </row>
    <row r="43" spans="2:7" ht="18.75" customHeight="1" x14ac:dyDescent="0.2">
      <c r="B43" s="211"/>
      <c r="C43" s="76"/>
      <c r="D43" s="249"/>
      <c r="E43" s="250"/>
      <c r="F43" s="250"/>
      <c r="G43" s="251"/>
    </row>
    <row r="44" spans="2:7" ht="18.75" customHeight="1" x14ac:dyDescent="0.2">
      <c r="B44" s="211"/>
      <c r="C44" s="76"/>
      <c r="D44" s="249"/>
      <c r="E44" s="250"/>
      <c r="F44" s="250"/>
      <c r="G44" s="251"/>
    </row>
    <row r="45" spans="2:7" ht="18.75" customHeight="1" x14ac:dyDescent="0.2">
      <c r="B45" s="211"/>
      <c r="C45" s="76"/>
      <c r="D45" s="249"/>
      <c r="E45" s="250"/>
      <c r="F45" s="250"/>
      <c r="G45" s="251"/>
    </row>
    <row r="46" spans="2:7" ht="18.75" customHeight="1" x14ac:dyDescent="0.2">
      <c r="B46" s="211"/>
      <c r="C46" s="76"/>
      <c r="D46" s="249"/>
      <c r="E46" s="250"/>
      <c r="F46" s="250"/>
      <c r="G46" s="251"/>
    </row>
    <row r="47" spans="2:7" ht="18.75" customHeight="1" x14ac:dyDescent="0.2">
      <c r="B47" s="211"/>
      <c r="C47" s="76"/>
      <c r="D47" s="249"/>
      <c r="E47" s="250"/>
      <c r="F47" s="250"/>
      <c r="G47" s="251"/>
    </row>
    <row r="48" spans="2:7" ht="18.75" customHeight="1" x14ac:dyDescent="0.2">
      <c r="B48" s="211"/>
      <c r="C48" s="76"/>
      <c r="D48" s="249"/>
      <c r="E48" s="250"/>
      <c r="F48" s="250"/>
      <c r="G48" s="251"/>
    </row>
    <row r="49" spans="2:7" ht="18.75" customHeight="1" x14ac:dyDescent="0.2">
      <c r="B49" s="211"/>
      <c r="C49" s="76"/>
      <c r="D49" s="249"/>
      <c r="E49" s="250"/>
      <c r="F49" s="250"/>
      <c r="G49" s="251"/>
    </row>
    <row r="50" spans="2:7" ht="18.75" customHeight="1" x14ac:dyDescent="0.2">
      <c r="B50" s="236"/>
      <c r="C50" s="76"/>
      <c r="D50" s="249"/>
      <c r="E50" s="250"/>
      <c r="F50" s="250"/>
      <c r="G50" s="251"/>
    </row>
    <row r="51" spans="2:7" ht="18.75" customHeight="1" x14ac:dyDescent="0.2">
      <c r="B51" s="210" t="s">
        <v>112</v>
      </c>
      <c r="C51" s="206" t="s">
        <v>106</v>
      </c>
      <c r="D51" s="207"/>
      <c r="E51" s="207"/>
      <c r="F51" s="207"/>
      <c r="G51" s="208"/>
    </row>
    <row r="52" spans="2:7" ht="37.5" customHeight="1" x14ac:dyDescent="0.2">
      <c r="B52" s="211"/>
      <c r="C52" s="237" t="s">
        <v>150</v>
      </c>
      <c r="D52" s="238"/>
      <c r="E52" s="238"/>
      <c r="F52" s="238"/>
      <c r="G52" s="239"/>
    </row>
    <row r="53" spans="2:7" ht="37.5" customHeight="1" x14ac:dyDescent="0.2">
      <c r="B53" s="211"/>
      <c r="C53" s="240"/>
      <c r="D53" s="241"/>
      <c r="E53" s="241"/>
      <c r="F53" s="241"/>
      <c r="G53" s="242"/>
    </row>
    <row r="54" spans="2:7" ht="17.5" customHeight="1" x14ac:dyDescent="0.2">
      <c r="B54" s="211"/>
      <c r="C54" s="240"/>
      <c r="D54" s="241"/>
      <c r="E54" s="241"/>
      <c r="F54" s="241"/>
      <c r="G54" s="242"/>
    </row>
    <row r="55" spans="2:7" ht="17.5" customHeight="1" x14ac:dyDescent="0.2">
      <c r="B55" s="211"/>
      <c r="C55" s="240"/>
      <c r="D55" s="241"/>
      <c r="E55" s="241"/>
      <c r="F55" s="241"/>
      <c r="G55" s="242"/>
    </row>
    <row r="56" spans="2:7" ht="17.5" customHeight="1" x14ac:dyDescent="0.2">
      <c r="B56" s="211"/>
      <c r="C56" s="243"/>
      <c r="D56" s="244"/>
      <c r="E56" s="244"/>
      <c r="F56" s="244"/>
      <c r="G56" s="245"/>
    </row>
    <row r="57" spans="2:7" ht="18.75" customHeight="1" x14ac:dyDescent="0.2">
      <c r="B57" s="211"/>
      <c r="C57" s="74" t="s">
        <v>107</v>
      </c>
      <c r="D57" s="206" t="s">
        <v>108</v>
      </c>
      <c r="E57" s="207"/>
      <c r="F57" s="207"/>
      <c r="G57" s="208"/>
    </row>
    <row r="58" spans="2:7" ht="18.75" customHeight="1" x14ac:dyDescent="0.2">
      <c r="B58" s="211"/>
      <c r="C58" s="130" t="s">
        <v>137</v>
      </c>
      <c r="D58" s="246" t="s">
        <v>147</v>
      </c>
      <c r="E58" s="247"/>
      <c r="F58" s="247"/>
      <c r="G58" s="248"/>
    </row>
    <row r="59" spans="2:7" ht="18.75" customHeight="1" x14ac:dyDescent="0.2">
      <c r="B59" s="211"/>
      <c r="C59" s="130" t="s">
        <v>134</v>
      </c>
      <c r="D59" s="246" t="s">
        <v>148</v>
      </c>
      <c r="E59" s="247"/>
      <c r="F59" s="247"/>
      <c r="G59" s="248"/>
    </row>
    <row r="60" spans="2:7" ht="18.75" customHeight="1" x14ac:dyDescent="0.2">
      <c r="B60" s="211"/>
      <c r="C60" s="87"/>
      <c r="D60" s="249"/>
      <c r="E60" s="250"/>
      <c r="F60" s="250"/>
      <c r="G60" s="251"/>
    </row>
    <row r="61" spans="2:7" ht="18.75" customHeight="1" x14ac:dyDescent="0.2">
      <c r="B61" s="211"/>
      <c r="C61" s="87"/>
      <c r="D61" s="249"/>
      <c r="E61" s="250"/>
      <c r="F61" s="250"/>
      <c r="G61" s="251"/>
    </row>
    <row r="62" spans="2:7" ht="18.75" customHeight="1" x14ac:dyDescent="0.2">
      <c r="B62" s="211"/>
      <c r="C62" s="87"/>
      <c r="D62" s="249"/>
      <c r="E62" s="250"/>
      <c r="F62" s="250"/>
      <c r="G62" s="251"/>
    </row>
    <row r="63" spans="2:7" ht="18.75" customHeight="1" x14ac:dyDescent="0.2">
      <c r="B63" s="211"/>
      <c r="C63" s="87"/>
      <c r="D63" s="249"/>
      <c r="E63" s="250"/>
      <c r="F63" s="250"/>
      <c r="G63" s="251"/>
    </row>
    <row r="64" spans="2:7" ht="18.75" customHeight="1" x14ac:dyDescent="0.2">
      <c r="B64" s="211"/>
      <c r="C64" s="87"/>
      <c r="D64" s="249"/>
      <c r="E64" s="250"/>
      <c r="F64" s="250"/>
      <c r="G64" s="251"/>
    </row>
    <row r="65" spans="2:7" ht="18.75" customHeight="1" x14ac:dyDescent="0.2">
      <c r="B65" s="211"/>
      <c r="C65" s="87"/>
      <c r="D65" s="249"/>
      <c r="E65" s="250"/>
      <c r="F65" s="250"/>
      <c r="G65" s="251"/>
    </row>
    <row r="66" spans="2:7" ht="18.75" customHeight="1" x14ac:dyDescent="0.2">
      <c r="B66" s="211"/>
      <c r="C66" s="87"/>
      <c r="D66" s="249"/>
      <c r="E66" s="250"/>
      <c r="F66" s="250"/>
      <c r="G66" s="251"/>
    </row>
    <row r="67" spans="2:7" ht="18.75" customHeight="1" x14ac:dyDescent="0.2">
      <c r="B67" s="211"/>
      <c r="C67" s="87"/>
      <c r="D67" s="249"/>
      <c r="E67" s="250"/>
      <c r="F67" s="250"/>
      <c r="G67" s="251"/>
    </row>
    <row r="68" spans="2:7" ht="18.75" customHeight="1" x14ac:dyDescent="0.2">
      <c r="B68" s="211"/>
      <c r="C68" s="87"/>
      <c r="D68" s="249"/>
      <c r="E68" s="250"/>
      <c r="F68" s="250"/>
      <c r="G68" s="251"/>
    </row>
    <row r="69" spans="2:7" ht="18.75" customHeight="1" x14ac:dyDescent="0.2">
      <c r="B69" s="211"/>
      <c r="C69" s="87"/>
      <c r="D69" s="249"/>
      <c r="E69" s="250"/>
      <c r="F69" s="250"/>
      <c r="G69" s="251"/>
    </row>
    <row r="70" spans="2:7" ht="18.75" customHeight="1" x14ac:dyDescent="0.2">
      <c r="B70" s="211"/>
      <c r="C70" s="87"/>
      <c r="D70" s="249"/>
      <c r="E70" s="250"/>
      <c r="F70" s="250"/>
      <c r="G70" s="251"/>
    </row>
    <row r="71" spans="2:7" ht="18.75" customHeight="1" x14ac:dyDescent="0.2">
      <c r="B71" s="211"/>
      <c r="C71" s="87"/>
      <c r="D71" s="249"/>
      <c r="E71" s="250"/>
      <c r="F71" s="250"/>
      <c r="G71" s="251"/>
    </row>
    <row r="72" spans="2:7" ht="18.75" customHeight="1" x14ac:dyDescent="0.2">
      <c r="B72" s="211"/>
      <c r="C72" s="87"/>
      <c r="D72" s="249"/>
      <c r="E72" s="250"/>
      <c r="F72" s="250"/>
      <c r="G72" s="251"/>
    </row>
    <row r="73" spans="2:7" ht="18.75" customHeight="1" x14ac:dyDescent="0.2">
      <c r="B73" s="211"/>
      <c r="C73" s="87"/>
      <c r="D73" s="249"/>
      <c r="E73" s="250"/>
      <c r="F73" s="250"/>
      <c r="G73" s="251"/>
    </row>
    <row r="74" spans="2:7" ht="18.75" customHeight="1" x14ac:dyDescent="0.2">
      <c r="B74" s="211"/>
      <c r="C74" s="76"/>
      <c r="D74" s="249"/>
      <c r="E74" s="250"/>
      <c r="F74" s="250"/>
      <c r="G74" s="251"/>
    </row>
    <row r="75" spans="2:7" ht="18.75" customHeight="1" x14ac:dyDescent="0.2">
      <c r="B75" s="211"/>
      <c r="C75" s="76"/>
      <c r="D75" s="249"/>
      <c r="E75" s="250"/>
      <c r="F75" s="250"/>
      <c r="G75" s="251"/>
    </row>
    <row r="76" spans="2:7" ht="18.75" customHeight="1" x14ac:dyDescent="0.2">
      <c r="B76" s="210" t="s">
        <v>111</v>
      </c>
      <c r="C76" s="206" t="s">
        <v>106</v>
      </c>
      <c r="D76" s="207"/>
      <c r="E76" s="207"/>
      <c r="F76" s="207"/>
      <c r="G76" s="208"/>
    </row>
    <row r="77" spans="2:7" ht="37.5" customHeight="1" x14ac:dyDescent="0.2">
      <c r="B77" s="211"/>
      <c r="C77" s="252" t="s">
        <v>151</v>
      </c>
      <c r="D77" s="253"/>
      <c r="E77" s="253"/>
      <c r="F77" s="253"/>
      <c r="G77" s="254"/>
    </row>
    <row r="78" spans="2:7" ht="37.5" customHeight="1" x14ac:dyDescent="0.2">
      <c r="B78" s="211"/>
      <c r="C78" s="255"/>
      <c r="D78" s="256"/>
      <c r="E78" s="256"/>
      <c r="F78" s="256"/>
      <c r="G78" s="257"/>
    </row>
    <row r="79" spans="2:7" ht="17.5" customHeight="1" x14ac:dyDescent="0.2">
      <c r="B79" s="211"/>
      <c r="C79" s="255"/>
      <c r="D79" s="256"/>
      <c r="E79" s="256"/>
      <c r="F79" s="256"/>
      <c r="G79" s="257"/>
    </row>
    <row r="80" spans="2:7" ht="17.5" customHeight="1" x14ac:dyDescent="0.2">
      <c r="B80" s="211"/>
      <c r="C80" s="255"/>
      <c r="D80" s="256"/>
      <c r="E80" s="256"/>
      <c r="F80" s="256"/>
      <c r="G80" s="257"/>
    </row>
    <row r="81" spans="2:7" ht="17.5" customHeight="1" x14ac:dyDescent="0.2">
      <c r="B81" s="211"/>
      <c r="C81" s="258"/>
      <c r="D81" s="259"/>
      <c r="E81" s="259"/>
      <c r="F81" s="259"/>
      <c r="G81" s="260"/>
    </row>
    <row r="82" spans="2:7" ht="18.75" customHeight="1" x14ac:dyDescent="0.2">
      <c r="B82" s="211"/>
      <c r="C82" s="74" t="s">
        <v>107</v>
      </c>
      <c r="D82" s="206" t="s">
        <v>108</v>
      </c>
      <c r="E82" s="207"/>
      <c r="F82" s="207"/>
      <c r="G82" s="208"/>
    </row>
    <row r="83" spans="2:7" ht="18.75" customHeight="1" x14ac:dyDescent="0.2">
      <c r="B83" s="211"/>
      <c r="C83" s="130" t="s">
        <v>137</v>
      </c>
      <c r="D83" s="261" t="s">
        <v>149</v>
      </c>
      <c r="E83" s="262"/>
      <c r="F83" s="262"/>
      <c r="G83" s="263"/>
    </row>
    <row r="84" spans="2:7" ht="18.75" customHeight="1" x14ac:dyDescent="0.2">
      <c r="B84" s="211"/>
      <c r="C84" s="130"/>
      <c r="D84" s="246"/>
      <c r="E84" s="247"/>
      <c r="F84" s="247"/>
      <c r="G84" s="248"/>
    </row>
    <row r="85" spans="2:7" ht="18.75" customHeight="1" x14ac:dyDescent="0.2">
      <c r="B85" s="211"/>
      <c r="C85" s="87"/>
      <c r="D85" s="249"/>
      <c r="E85" s="250"/>
      <c r="F85" s="250"/>
      <c r="G85" s="251"/>
    </row>
    <row r="86" spans="2:7" ht="18.75" customHeight="1" x14ac:dyDescent="0.2">
      <c r="B86" s="211"/>
      <c r="C86" s="87"/>
      <c r="D86" s="249"/>
      <c r="E86" s="250"/>
      <c r="F86" s="250"/>
      <c r="G86" s="251"/>
    </row>
    <row r="87" spans="2:7" ht="18.75" customHeight="1" x14ac:dyDescent="0.2">
      <c r="B87" s="211"/>
      <c r="C87" s="87"/>
      <c r="D87" s="249"/>
      <c r="E87" s="250"/>
      <c r="F87" s="250"/>
      <c r="G87" s="251"/>
    </row>
    <row r="88" spans="2:7" ht="18.75" customHeight="1" x14ac:dyDescent="0.2">
      <c r="B88" s="211"/>
      <c r="C88" s="87"/>
      <c r="D88" s="249"/>
      <c r="E88" s="250"/>
      <c r="F88" s="250"/>
      <c r="G88" s="251"/>
    </row>
    <row r="89" spans="2:7" ht="18.75" customHeight="1" x14ac:dyDescent="0.2">
      <c r="B89" s="211"/>
      <c r="C89" s="87"/>
      <c r="D89" s="249"/>
      <c r="E89" s="250"/>
      <c r="F89" s="250"/>
      <c r="G89" s="251"/>
    </row>
    <row r="90" spans="2:7" ht="18.75" customHeight="1" x14ac:dyDescent="0.2">
      <c r="B90" s="211"/>
      <c r="C90" s="87"/>
      <c r="D90" s="249"/>
      <c r="E90" s="250"/>
      <c r="F90" s="250"/>
      <c r="G90" s="251"/>
    </row>
    <row r="91" spans="2:7" ht="18.75" customHeight="1" x14ac:dyDescent="0.2">
      <c r="B91" s="211"/>
      <c r="C91" s="87"/>
      <c r="D91" s="249"/>
      <c r="E91" s="250"/>
      <c r="F91" s="250"/>
      <c r="G91" s="251"/>
    </row>
    <row r="92" spans="2:7" ht="18.75" customHeight="1" x14ac:dyDescent="0.2">
      <c r="B92" s="211"/>
      <c r="C92" s="87"/>
      <c r="D92" s="249"/>
      <c r="E92" s="250"/>
      <c r="F92" s="250"/>
      <c r="G92" s="251"/>
    </row>
    <row r="93" spans="2:7" ht="18.75" customHeight="1" x14ac:dyDescent="0.2">
      <c r="B93" s="211"/>
      <c r="C93" s="87"/>
      <c r="D93" s="249"/>
      <c r="E93" s="250"/>
      <c r="F93" s="250"/>
      <c r="G93" s="251"/>
    </row>
    <row r="94" spans="2:7" ht="18.75" customHeight="1" x14ac:dyDescent="0.2">
      <c r="B94" s="211"/>
      <c r="C94" s="87"/>
      <c r="D94" s="249"/>
      <c r="E94" s="250"/>
      <c r="F94" s="250"/>
      <c r="G94" s="251"/>
    </row>
    <row r="95" spans="2:7" ht="18.75" customHeight="1" x14ac:dyDescent="0.2">
      <c r="B95" s="211"/>
      <c r="C95" s="87"/>
      <c r="D95" s="249"/>
      <c r="E95" s="250"/>
      <c r="F95" s="250"/>
      <c r="G95" s="251"/>
    </row>
    <row r="96" spans="2:7" ht="18.75" customHeight="1" x14ac:dyDescent="0.2">
      <c r="B96" s="211"/>
      <c r="C96" s="87"/>
      <c r="D96" s="249"/>
      <c r="E96" s="250"/>
      <c r="F96" s="250"/>
      <c r="G96" s="251"/>
    </row>
    <row r="97" spans="2:7" ht="18.75" customHeight="1" x14ac:dyDescent="0.2">
      <c r="B97" s="211"/>
      <c r="C97" s="87"/>
      <c r="D97" s="249"/>
      <c r="E97" s="250"/>
      <c r="F97" s="250"/>
      <c r="G97" s="251"/>
    </row>
    <row r="98" spans="2:7" ht="18.75" customHeight="1" x14ac:dyDescent="0.2">
      <c r="B98" s="211"/>
      <c r="C98" s="87"/>
      <c r="D98" s="249"/>
      <c r="E98" s="250"/>
      <c r="F98" s="250"/>
      <c r="G98" s="251"/>
    </row>
    <row r="99" spans="2:7" ht="18.75" customHeight="1" x14ac:dyDescent="0.2">
      <c r="B99" s="211"/>
      <c r="C99" s="87"/>
      <c r="D99" s="249"/>
      <c r="E99" s="250"/>
      <c r="F99" s="250"/>
      <c r="G99" s="251"/>
    </row>
    <row r="100" spans="2:7" ht="18.75" customHeight="1" x14ac:dyDescent="0.2">
      <c r="B100" s="211"/>
      <c r="C100" s="76"/>
      <c r="D100" s="249"/>
      <c r="E100" s="250"/>
      <c r="F100" s="250"/>
      <c r="G100" s="251"/>
    </row>
    <row r="101" spans="2:7" ht="18.75" customHeight="1" x14ac:dyDescent="0.2">
      <c r="B101" s="210" t="s">
        <v>113</v>
      </c>
      <c r="C101" s="206" t="s">
        <v>106</v>
      </c>
      <c r="D101" s="207"/>
      <c r="E101" s="207"/>
      <c r="F101" s="207"/>
      <c r="G101" s="208"/>
    </row>
    <row r="102" spans="2:7" ht="37.5" customHeight="1" x14ac:dyDescent="0.2">
      <c r="B102" s="211"/>
      <c r="C102" s="237" t="s">
        <v>156</v>
      </c>
      <c r="D102" s="238"/>
      <c r="E102" s="238"/>
      <c r="F102" s="238"/>
      <c r="G102" s="239"/>
    </row>
    <row r="103" spans="2:7" ht="37.5" customHeight="1" x14ac:dyDescent="0.2">
      <c r="B103" s="211"/>
      <c r="C103" s="240"/>
      <c r="D103" s="241"/>
      <c r="E103" s="241"/>
      <c r="F103" s="241"/>
      <c r="G103" s="242"/>
    </row>
    <row r="104" spans="2:7" ht="22" customHeight="1" x14ac:dyDescent="0.2">
      <c r="B104" s="211"/>
      <c r="C104" s="240"/>
      <c r="D104" s="241"/>
      <c r="E104" s="241"/>
      <c r="F104" s="241"/>
      <c r="G104" s="242"/>
    </row>
    <row r="105" spans="2:7" ht="22" customHeight="1" x14ac:dyDescent="0.2">
      <c r="B105" s="211"/>
      <c r="C105" s="240"/>
      <c r="D105" s="241"/>
      <c r="E105" s="241"/>
      <c r="F105" s="241"/>
      <c r="G105" s="242"/>
    </row>
    <row r="106" spans="2:7" ht="22" customHeight="1" x14ac:dyDescent="0.2">
      <c r="B106" s="211"/>
      <c r="C106" s="243"/>
      <c r="D106" s="244"/>
      <c r="E106" s="244"/>
      <c r="F106" s="244"/>
      <c r="G106" s="245"/>
    </row>
    <row r="107" spans="2:7" ht="18.75" customHeight="1" x14ac:dyDescent="0.2">
      <c r="B107" s="211"/>
      <c r="C107" s="74" t="s">
        <v>107</v>
      </c>
      <c r="D107" s="206" t="s">
        <v>108</v>
      </c>
      <c r="E107" s="207"/>
      <c r="F107" s="207"/>
      <c r="G107" s="208"/>
    </row>
    <row r="108" spans="2:7" ht="18.75" customHeight="1" x14ac:dyDescent="0.2">
      <c r="B108" s="211"/>
      <c r="C108" s="130" t="s">
        <v>134</v>
      </c>
      <c r="D108" s="246" t="s">
        <v>154</v>
      </c>
      <c r="E108" s="247"/>
      <c r="F108" s="247"/>
      <c r="G108" s="248"/>
    </row>
    <row r="109" spans="2:7" ht="18.75" customHeight="1" x14ac:dyDescent="0.2">
      <c r="B109" s="211"/>
      <c r="C109" s="129"/>
      <c r="D109" s="246"/>
      <c r="E109" s="247"/>
      <c r="F109" s="247"/>
      <c r="G109" s="248"/>
    </row>
    <row r="110" spans="2:7" ht="18.75" customHeight="1" x14ac:dyDescent="0.2">
      <c r="B110" s="211"/>
      <c r="C110" s="87"/>
      <c r="D110" s="249"/>
      <c r="E110" s="250"/>
      <c r="F110" s="250"/>
      <c r="G110" s="251"/>
    </row>
    <row r="111" spans="2:7" ht="18.75" customHeight="1" x14ac:dyDescent="0.2">
      <c r="B111" s="211"/>
      <c r="C111" s="87"/>
      <c r="D111" s="249"/>
      <c r="E111" s="250"/>
      <c r="F111" s="250"/>
      <c r="G111" s="251"/>
    </row>
    <row r="112" spans="2:7" ht="18.75" customHeight="1" x14ac:dyDescent="0.2">
      <c r="B112" s="211"/>
      <c r="C112" s="87"/>
      <c r="D112" s="249"/>
      <c r="E112" s="250"/>
      <c r="F112" s="250"/>
      <c r="G112" s="251"/>
    </row>
    <row r="113" spans="1:7" ht="18.75" customHeight="1" x14ac:dyDescent="0.2">
      <c r="B113" s="211"/>
      <c r="C113" s="87"/>
      <c r="D113" s="249"/>
      <c r="E113" s="250"/>
      <c r="F113" s="250"/>
      <c r="G113" s="251"/>
    </row>
    <row r="114" spans="1:7" ht="18.75" customHeight="1" x14ac:dyDescent="0.2">
      <c r="B114" s="211"/>
      <c r="C114" s="87"/>
      <c r="D114" s="249"/>
      <c r="E114" s="250"/>
      <c r="F114" s="250"/>
      <c r="G114" s="251"/>
    </row>
    <row r="115" spans="1:7" ht="18.75" customHeight="1" x14ac:dyDescent="0.2">
      <c r="B115" s="211"/>
      <c r="C115" s="87"/>
      <c r="D115" s="249"/>
      <c r="E115" s="250"/>
      <c r="F115" s="250"/>
      <c r="G115" s="251"/>
    </row>
    <row r="116" spans="1:7" ht="18.75" customHeight="1" x14ac:dyDescent="0.2">
      <c r="B116" s="211"/>
      <c r="C116" s="87"/>
      <c r="D116" s="249"/>
      <c r="E116" s="250"/>
      <c r="F116" s="250"/>
      <c r="G116" s="251"/>
    </row>
    <row r="117" spans="1:7" ht="18.75" customHeight="1" x14ac:dyDescent="0.2">
      <c r="B117" s="211"/>
      <c r="C117" s="87"/>
      <c r="D117" s="249"/>
      <c r="E117" s="250"/>
      <c r="F117" s="250"/>
      <c r="G117" s="251"/>
    </row>
    <row r="118" spans="1:7" ht="18.75" customHeight="1" x14ac:dyDescent="0.2">
      <c r="B118" s="211"/>
      <c r="C118" s="87"/>
      <c r="D118" s="249"/>
      <c r="E118" s="250"/>
      <c r="F118" s="250"/>
      <c r="G118" s="251"/>
    </row>
    <row r="119" spans="1:7" ht="18.75" customHeight="1" x14ac:dyDescent="0.2">
      <c r="B119" s="211"/>
      <c r="C119" s="87"/>
      <c r="D119" s="249"/>
      <c r="E119" s="250"/>
      <c r="F119" s="250"/>
      <c r="G119" s="251"/>
    </row>
    <row r="120" spans="1:7" ht="18.75" customHeight="1" x14ac:dyDescent="0.2">
      <c r="B120" s="211"/>
      <c r="C120" s="87"/>
      <c r="D120" s="249"/>
      <c r="E120" s="250"/>
      <c r="F120" s="250"/>
      <c r="G120" s="251"/>
    </row>
    <row r="121" spans="1:7" ht="18.75" customHeight="1" x14ac:dyDescent="0.2">
      <c r="B121" s="211"/>
      <c r="C121" s="87"/>
      <c r="D121" s="249"/>
      <c r="E121" s="250"/>
      <c r="F121" s="250"/>
      <c r="G121" s="251"/>
    </row>
    <row r="122" spans="1:7" ht="18.75" customHeight="1" x14ac:dyDescent="0.2">
      <c r="B122" s="211"/>
      <c r="C122" s="87"/>
      <c r="D122" s="249"/>
      <c r="E122" s="250"/>
      <c r="F122" s="250"/>
      <c r="G122" s="251"/>
    </row>
    <row r="123" spans="1:7" ht="18.75" customHeight="1" x14ac:dyDescent="0.2">
      <c r="B123" s="211"/>
      <c r="C123" s="87"/>
      <c r="D123" s="249"/>
      <c r="E123" s="250"/>
      <c r="F123" s="250"/>
      <c r="G123" s="251"/>
    </row>
    <row r="124" spans="1:7" ht="18.75" customHeight="1" x14ac:dyDescent="0.2">
      <c r="B124" s="211"/>
      <c r="C124" s="87"/>
      <c r="D124" s="249"/>
      <c r="E124" s="250"/>
      <c r="F124" s="250"/>
      <c r="G124" s="251"/>
    </row>
    <row r="125" spans="1:7" ht="18.75" customHeight="1" x14ac:dyDescent="0.2">
      <c r="B125" s="211"/>
      <c r="C125" s="76"/>
      <c r="D125" s="249"/>
      <c r="E125" s="250"/>
      <c r="F125" s="250"/>
      <c r="G125" s="251"/>
    </row>
    <row r="126" spans="1:7" ht="18.75" customHeight="1" x14ac:dyDescent="0.2">
      <c r="A126" s="1" t="s">
        <v>12</v>
      </c>
      <c r="B126" s="1" t="s">
        <v>104</v>
      </c>
    </row>
    <row r="127" spans="1:7" ht="22.5" customHeight="1" x14ac:dyDescent="0.2">
      <c r="B127" s="76" t="s">
        <v>74</v>
      </c>
      <c r="C127" s="206" t="s">
        <v>103</v>
      </c>
      <c r="D127" s="207"/>
      <c r="E127" s="207"/>
      <c r="F127" s="207"/>
      <c r="G127" s="208"/>
    </row>
    <row r="128" spans="1:7" ht="45" customHeight="1" x14ac:dyDescent="0.2">
      <c r="B128" s="77" t="s">
        <v>76</v>
      </c>
      <c r="C128" s="264" t="s">
        <v>134</v>
      </c>
      <c r="D128" s="265"/>
      <c r="E128" s="265"/>
      <c r="F128" s="265"/>
      <c r="G128" s="266"/>
    </row>
    <row r="129" spans="1:7" ht="45" customHeight="1" x14ac:dyDescent="0.2">
      <c r="B129" s="77" t="s">
        <v>77</v>
      </c>
      <c r="C129" s="264" t="s">
        <v>135</v>
      </c>
      <c r="D129" s="265"/>
      <c r="E129" s="265"/>
      <c r="F129" s="265"/>
      <c r="G129" s="266"/>
    </row>
    <row r="130" spans="1:7" ht="45" customHeight="1" x14ac:dyDescent="0.2">
      <c r="B130" s="77" t="s">
        <v>78</v>
      </c>
      <c r="C130" s="264" t="s">
        <v>136</v>
      </c>
      <c r="D130" s="265"/>
      <c r="E130" s="265"/>
      <c r="F130" s="265"/>
      <c r="G130" s="266"/>
    </row>
    <row r="131" spans="1:7" ht="36" customHeight="1" x14ac:dyDescent="0.2">
      <c r="B131" s="77" t="s">
        <v>79</v>
      </c>
      <c r="C131" s="264" t="s">
        <v>134</v>
      </c>
      <c r="D131" s="265"/>
      <c r="E131" s="265"/>
      <c r="F131" s="265"/>
      <c r="G131" s="266"/>
    </row>
    <row r="132" spans="1:7" ht="36" customHeight="1" x14ac:dyDescent="0.2">
      <c r="B132" s="77" t="s">
        <v>80</v>
      </c>
      <c r="C132" s="264" t="s">
        <v>134</v>
      </c>
      <c r="D132" s="265"/>
      <c r="E132" s="265"/>
      <c r="F132" s="265"/>
      <c r="G132" s="266"/>
    </row>
    <row r="133" spans="1:7" ht="45" customHeight="1" x14ac:dyDescent="0.2">
      <c r="B133" s="77" t="s">
        <v>81</v>
      </c>
      <c r="C133" s="264" t="s">
        <v>138</v>
      </c>
      <c r="D133" s="265"/>
      <c r="E133" s="265"/>
      <c r="F133" s="265"/>
      <c r="G133" s="266"/>
    </row>
    <row r="134" spans="1:7" ht="22.5" customHeight="1" x14ac:dyDescent="0.2">
      <c r="B134" s="77" t="s">
        <v>82</v>
      </c>
      <c r="C134" s="264" t="s">
        <v>134</v>
      </c>
      <c r="D134" s="265"/>
      <c r="E134" s="265"/>
      <c r="F134" s="265"/>
      <c r="G134" s="266"/>
    </row>
    <row r="135" spans="1:7" ht="45" customHeight="1" x14ac:dyDescent="0.2">
      <c r="B135" s="77" t="s">
        <v>83</v>
      </c>
      <c r="C135" s="264" t="s">
        <v>134</v>
      </c>
      <c r="D135" s="265"/>
      <c r="E135" s="265"/>
      <c r="F135" s="265"/>
      <c r="G135" s="266"/>
    </row>
    <row r="136" spans="1:7" ht="20.5" customHeight="1" x14ac:dyDescent="0.2">
      <c r="B136" s="77" t="s">
        <v>84</v>
      </c>
      <c r="C136" s="264"/>
      <c r="D136" s="265"/>
      <c r="E136" s="265"/>
      <c r="F136" s="265"/>
      <c r="G136" s="266"/>
    </row>
    <row r="137" spans="1:7" ht="7.5" customHeight="1" x14ac:dyDescent="0.2"/>
    <row r="138" spans="1:7" ht="18.75" customHeight="1" x14ac:dyDescent="0.2">
      <c r="A138" s="1" t="s">
        <v>97</v>
      </c>
      <c r="B138" s="1" t="s">
        <v>98</v>
      </c>
      <c r="E138" s="267" t="s">
        <v>204</v>
      </c>
      <c r="F138" s="268"/>
      <c r="G138" s="269"/>
    </row>
    <row r="139" spans="1:7" ht="7.5" customHeight="1" x14ac:dyDescent="0.2"/>
    <row r="140" spans="1:7" ht="18.75" customHeight="1" x14ac:dyDescent="0.2">
      <c r="A140" s="1" t="s">
        <v>99</v>
      </c>
      <c r="B140" s="1" t="s">
        <v>100</v>
      </c>
    </row>
    <row r="141" spans="1:7" ht="18.75" customHeight="1" x14ac:dyDescent="0.2">
      <c r="B141" s="173" t="s">
        <v>152</v>
      </c>
      <c r="C141" s="174"/>
      <c r="D141" s="174"/>
      <c r="E141" s="174"/>
      <c r="F141" s="174"/>
      <c r="G141" s="175"/>
    </row>
    <row r="142" spans="1:7" ht="18.75" customHeight="1" x14ac:dyDescent="0.2">
      <c r="B142" s="176"/>
      <c r="C142" s="177"/>
      <c r="D142" s="177"/>
      <c r="E142" s="177"/>
      <c r="F142" s="177"/>
      <c r="G142" s="178"/>
    </row>
    <row r="143" spans="1:7" ht="18.75" customHeight="1" x14ac:dyDescent="0.2">
      <c r="B143" s="176"/>
      <c r="C143" s="177"/>
      <c r="D143" s="177"/>
      <c r="E143" s="177"/>
      <c r="F143" s="177"/>
      <c r="G143" s="178"/>
    </row>
    <row r="144" spans="1:7" ht="18.75" customHeight="1" x14ac:dyDescent="0.2">
      <c r="B144" s="179"/>
      <c r="C144" s="180"/>
      <c r="D144" s="180"/>
      <c r="E144" s="180"/>
      <c r="F144" s="180"/>
      <c r="G144" s="181"/>
    </row>
    <row r="145" ht="18.75" customHeight="1" x14ac:dyDescent="0.2"/>
    <row r="146" ht="18.75" customHeight="1" x14ac:dyDescent="0.2"/>
    <row r="147" ht="18.75" customHeight="1" x14ac:dyDescent="0.2"/>
    <row r="148" ht="18.75" customHeight="1" x14ac:dyDescent="0.2"/>
    <row r="149" ht="18.75" customHeight="1" x14ac:dyDescent="0.2"/>
    <row r="150" ht="18.75" customHeight="1" x14ac:dyDescent="0.2"/>
  </sheetData>
  <mergeCells count="120">
    <mergeCell ref="D10:G10"/>
    <mergeCell ref="D11:G11"/>
    <mergeCell ref="D12:G12"/>
    <mergeCell ref="D13:G13"/>
    <mergeCell ref="D14:G14"/>
    <mergeCell ref="D25:G25"/>
    <mergeCell ref="D24:G24"/>
    <mergeCell ref="D17:G17"/>
    <mergeCell ref="D18:G18"/>
    <mergeCell ref="D15:G15"/>
    <mergeCell ref="D16:G16"/>
    <mergeCell ref="D22:G22"/>
    <mergeCell ref="D23:G23"/>
    <mergeCell ref="D19:G19"/>
    <mergeCell ref="D20:G20"/>
    <mergeCell ref="D21:G21"/>
    <mergeCell ref="B51:B75"/>
    <mergeCell ref="C51:G51"/>
    <mergeCell ref="C52:G56"/>
    <mergeCell ref="B76:B100"/>
    <mergeCell ref="C76:G76"/>
    <mergeCell ref="C77:G81"/>
    <mergeCell ref="D82:G82"/>
    <mergeCell ref="D100:G100"/>
    <mergeCell ref="B101:B125"/>
    <mergeCell ref="C101:G101"/>
    <mergeCell ref="C102:G106"/>
    <mergeCell ref="D107:G107"/>
    <mergeCell ref="D125:G125"/>
    <mergeCell ref="D57:G57"/>
    <mergeCell ref="D74:G74"/>
    <mergeCell ref="D75:G75"/>
    <mergeCell ref="D70:G70"/>
    <mergeCell ref="D71:G71"/>
    <mergeCell ref="D66:G66"/>
    <mergeCell ref="D67:G67"/>
    <mergeCell ref="D68:G68"/>
    <mergeCell ref="D69:G69"/>
    <mergeCell ref="D58:G58"/>
    <mergeCell ref="D59:G59"/>
    <mergeCell ref="B26:B50"/>
    <mergeCell ref="C26:G26"/>
    <mergeCell ref="C27:G31"/>
    <mergeCell ref="D32:G32"/>
    <mergeCell ref="D33:G33"/>
    <mergeCell ref="D42:G42"/>
    <mergeCell ref="D43:G43"/>
    <mergeCell ref="D44:G44"/>
    <mergeCell ref="D45:G45"/>
    <mergeCell ref="D46:G46"/>
    <mergeCell ref="D47:G47"/>
    <mergeCell ref="D48:G48"/>
    <mergeCell ref="D49:G49"/>
    <mergeCell ref="D50:G50"/>
    <mergeCell ref="A3:G3"/>
    <mergeCell ref="C5:G5"/>
    <mergeCell ref="C6:G9"/>
    <mergeCell ref="B141:G144"/>
    <mergeCell ref="E138:G138"/>
    <mergeCell ref="C127:G127"/>
    <mergeCell ref="C133:G133"/>
    <mergeCell ref="C134:G134"/>
    <mergeCell ref="C135:G135"/>
    <mergeCell ref="C136:G136"/>
    <mergeCell ref="C128:G128"/>
    <mergeCell ref="B6:B25"/>
    <mergeCell ref="C129:G129"/>
    <mergeCell ref="C130:G130"/>
    <mergeCell ref="C131:G131"/>
    <mergeCell ref="C132:G132"/>
    <mergeCell ref="D34:G34"/>
    <mergeCell ref="D35:G35"/>
    <mergeCell ref="D36:G36"/>
    <mergeCell ref="D37:G37"/>
    <mergeCell ref="D38:G38"/>
    <mergeCell ref="D39:G39"/>
    <mergeCell ref="D40:G40"/>
    <mergeCell ref="D41:G41"/>
    <mergeCell ref="D60:G60"/>
    <mergeCell ref="D61:G61"/>
    <mergeCell ref="D62:G62"/>
    <mergeCell ref="D63:G63"/>
    <mergeCell ref="D64:G64"/>
    <mergeCell ref="D65:G65"/>
    <mergeCell ref="D73:G73"/>
    <mergeCell ref="D72:G72"/>
    <mergeCell ref="D99:G99"/>
    <mergeCell ref="D95:G95"/>
    <mergeCell ref="D96:G96"/>
    <mergeCell ref="D91:G91"/>
    <mergeCell ref="D92:G92"/>
    <mergeCell ref="D93:G93"/>
    <mergeCell ref="D94:G94"/>
    <mergeCell ref="D83:G83"/>
    <mergeCell ref="D84:G84"/>
    <mergeCell ref="D85:G85"/>
    <mergeCell ref="D86:G86"/>
    <mergeCell ref="D87:G87"/>
    <mergeCell ref="D88:G88"/>
    <mergeCell ref="D89:G89"/>
    <mergeCell ref="D90:G90"/>
    <mergeCell ref="D98:G98"/>
    <mergeCell ref="D97:G97"/>
    <mergeCell ref="D124:G124"/>
    <mergeCell ref="D120:G120"/>
    <mergeCell ref="D123:G123"/>
    <mergeCell ref="D116:G116"/>
    <mergeCell ref="D117:G117"/>
    <mergeCell ref="D118:G118"/>
    <mergeCell ref="D119:G119"/>
    <mergeCell ref="D108:G108"/>
    <mergeCell ref="D109:G109"/>
    <mergeCell ref="D110:G110"/>
    <mergeCell ref="D111:G111"/>
    <mergeCell ref="D112:G112"/>
    <mergeCell ref="D113:G113"/>
    <mergeCell ref="D114:G114"/>
    <mergeCell ref="D115:G115"/>
    <mergeCell ref="D121:G121"/>
    <mergeCell ref="D122:G122"/>
  </mergeCells>
  <phoneticPr fontId="1"/>
  <hyperlinks>
    <hyperlink ref="E138" r:id="rId1" xr:uid="{ABB542D3-32B3-40BD-8126-8AD99374E76C}"/>
  </hyperlinks>
  <printOptions horizontalCentered="1"/>
  <pageMargins left="0.25" right="0.25" top="0.75" bottom="0.75" header="0.3" footer="0.3"/>
  <pageSetup paperSize="9"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F148"/>
  <sheetViews>
    <sheetView showZeros="0" view="pageBreakPreview" zoomScale="104" zoomScaleNormal="100" zoomScaleSheetLayoutView="104" workbookViewId="0">
      <selection activeCell="B10" sqref="B10:E14"/>
    </sheetView>
  </sheetViews>
  <sheetFormatPr defaultColWidth="11.36328125" defaultRowHeight="18.75" customHeight="1" x14ac:dyDescent="0.2"/>
  <cols>
    <col min="1" max="1" width="2.7265625" style="2" customWidth="1"/>
    <col min="2" max="2" width="54.26953125" style="1" customWidth="1"/>
    <col min="3" max="3" width="1.26953125" style="1" customWidth="1"/>
    <col min="4" max="4" width="22.453125" style="1" customWidth="1"/>
    <col min="5" max="5" width="6.26953125" style="1" customWidth="1"/>
    <col min="6" max="16384" width="11.36328125" style="1"/>
  </cols>
  <sheetData>
    <row r="1" spans="1:5" ht="18.75" customHeight="1" x14ac:dyDescent="0.2">
      <c r="E1" s="56" t="s">
        <v>105</v>
      </c>
    </row>
    <row r="2" spans="1:5" ht="18.75" customHeight="1" x14ac:dyDescent="0.2">
      <c r="B2" s="56" t="s">
        <v>87</v>
      </c>
      <c r="C2" s="56" t="s">
        <v>8</v>
      </c>
      <c r="D2" s="280" t="s">
        <v>179</v>
      </c>
      <c r="E2" s="280"/>
    </row>
    <row r="3" spans="1:5" ht="7.5" customHeight="1" x14ac:dyDescent="0.2">
      <c r="B3" s="56"/>
      <c r="C3" s="56"/>
      <c r="D3" s="57"/>
      <c r="E3" s="57"/>
    </row>
    <row r="4" spans="1:5" ht="18.75" customHeight="1" x14ac:dyDescent="0.2">
      <c r="B4" s="193" t="s">
        <v>85</v>
      </c>
      <c r="C4" s="193"/>
      <c r="D4" s="193"/>
      <c r="E4" s="193"/>
    </row>
    <row r="5" spans="1:5" ht="7.5" customHeight="1" x14ac:dyDescent="0.2">
      <c r="B5" s="58"/>
      <c r="C5" s="58"/>
      <c r="D5" s="58"/>
      <c r="E5" s="58"/>
    </row>
    <row r="6" spans="1:5" ht="18.75" customHeight="1" x14ac:dyDescent="0.2">
      <c r="A6" s="15" t="s">
        <v>7</v>
      </c>
      <c r="B6" s="5" t="s">
        <v>190</v>
      </c>
      <c r="C6" s="66"/>
      <c r="D6" s="66"/>
      <c r="E6" s="66"/>
    </row>
    <row r="7" spans="1:5" ht="18.75" customHeight="1" x14ac:dyDescent="0.2">
      <c r="A7" s="15"/>
      <c r="B7" s="146" t="s">
        <v>192</v>
      </c>
      <c r="C7" s="147"/>
      <c r="D7" s="147"/>
      <c r="E7" s="182"/>
    </row>
    <row r="8" spans="1:5" ht="7.5" customHeight="1" x14ac:dyDescent="0.2">
      <c r="B8" s="66"/>
      <c r="C8" s="66"/>
      <c r="D8" s="66"/>
      <c r="E8" s="66"/>
    </row>
    <row r="9" spans="1:5" s="5" customFormat="1" ht="18.75" customHeight="1" x14ac:dyDescent="0.2">
      <c r="A9" s="15" t="s">
        <v>12</v>
      </c>
      <c r="B9" s="15" t="s">
        <v>46</v>
      </c>
      <c r="C9" s="15"/>
      <c r="D9" s="15"/>
      <c r="E9" s="15"/>
    </row>
    <row r="10" spans="1:5" s="10" customFormat="1" ht="18.75" customHeight="1" x14ac:dyDescent="0.2">
      <c r="A10" s="9"/>
      <c r="B10" s="270" t="s">
        <v>193</v>
      </c>
      <c r="C10" s="271"/>
      <c r="D10" s="271"/>
      <c r="E10" s="272"/>
    </row>
    <row r="11" spans="1:5" s="10" customFormat="1" ht="18.75" customHeight="1" x14ac:dyDescent="0.2">
      <c r="A11" s="9"/>
      <c r="B11" s="273"/>
      <c r="C11" s="274"/>
      <c r="D11" s="274"/>
      <c r="E11" s="275"/>
    </row>
    <row r="12" spans="1:5" s="10" customFormat="1" ht="18.75" customHeight="1" x14ac:dyDescent="0.2">
      <c r="A12" s="9"/>
      <c r="B12" s="273"/>
      <c r="C12" s="274"/>
      <c r="D12" s="274"/>
      <c r="E12" s="275"/>
    </row>
    <row r="13" spans="1:5" s="10" customFormat="1" ht="33" customHeight="1" x14ac:dyDescent="0.2">
      <c r="A13" s="9"/>
      <c r="B13" s="273"/>
      <c r="C13" s="274"/>
      <c r="D13" s="274"/>
      <c r="E13" s="275"/>
    </row>
    <row r="14" spans="1:5" s="10" customFormat="1" ht="29.25" customHeight="1" x14ac:dyDescent="0.2">
      <c r="A14" s="9"/>
      <c r="B14" s="276"/>
      <c r="C14" s="277"/>
      <c r="D14" s="277"/>
      <c r="E14" s="278"/>
    </row>
    <row r="15" spans="1:5" s="10" customFormat="1" ht="12" customHeight="1" x14ac:dyDescent="0.2">
      <c r="A15" s="9"/>
      <c r="B15" s="9"/>
      <c r="C15" s="9"/>
      <c r="D15" s="9"/>
      <c r="E15" s="9"/>
    </row>
    <row r="16" spans="1:5" s="5" customFormat="1" ht="18.75" customHeight="1" x14ac:dyDescent="0.2">
      <c r="A16" s="11" t="s">
        <v>13</v>
      </c>
      <c r="B16" s="11" t="s">
        <v>19</v>
      </c>
      <c r="C16" s="11"/>
      <c r="D16" s="11"/>
      <c r="E16" s="11"/>
    </row>
    <row r="17" spans="1:6" s="10" customFormat="1" ht="18.75" customHeight="1" x14ac:dyDescent="0.2">
      <c r="A17" s="9"/>
      <c r="B17" s="270" t="s">
        <v>200</v>
      </c>
      <c r="C17" s="271"/>
      <c r="D17" s="271"/>
      <c r="E17" s="272"/>
    </row>
    <row r="18" spans="1:6" s="10" customFormat="1" ht="18.75" customHeight="1" x14ac:dyDescent="0.2">
      <c r="A18" s="9"/>
      <c r="B18" s="273"/>
      <c r="C18" s="274"/>
      <c r="D18" s="274"/>
      <c r="E18" s="275"/>
    </row>
    <row r="19" spans="1:6" s="10" customFormat="1" ht="18.75" customHeight="1" x14ac:dyDescent="0.2">
      <c r="A19" s="9"/>
      <c r="B19" s="273"/>
      <c r="C19" s="274"/>
      <c r="D19" s="274"/>
      <c r="E19" s="275"/>
    </row>
    <row r="20" spans="1:6" s="10" customFormat="1" ht="18.75" customHeight="1" x14ac:dyDescent="0.2">
      <c r="A20" s="9"/>
      <c r="B20" s="273"/>
      <c r="C20" s="274"/>
      <c r="D20" s="274"/>
      <c r="E20" s="275"/>
    </row>
    <row r="21" spans="1:6" s="10" customFormat="1" ht="18.75" customHeight="1" x14ac:dyDescent="0.2">
      <c r="A21" s="9"/>
      <c r="B21" s="273"/>
      <c r="C21" s="274"/>
      <c r="D21" s="274"/>
      <c r="E21" s="275"/>
    </row>
    <row r="22" spans="1:6" s="10" customFormat="1" ht="15" customHeight="1" x14ac:dyDescent="0.2">
      <c r="A22" s="9"/>
      <c r="B22" s="273"/>
      <c r="C22" s="274"/>
      <c r="D22" s="274"/>
      <c r="E22" s="275"/>
    </row>
    <row r="23" spans="1:6" s="10" customFormat="1" ht="15" customHeight="1" x14ac:dyDescent="0.2">
      <c r="A23" s="9"/>
      <c r="B23" s="273"/>
      <c r="C23" s="274"/>
      <c r="D23" s="274"/>
      <c r="E23" s="275"/>
    </row>
    <row r="24" spans="1:6" s="10" customFormat="1" ht="15" customHeight="1" x14ac:dyDescent="0.2">
      <c r="A24" s="9"/>
      <c r="B24" s="273"/>
      <c r="C24" s="274"/>
      <c r="D24" s="274"/>
      <c r="E24" s="275"/>
    </row>
    <row r="25" spans="1:6" s="10" customFormat="1" ht="15" customHeight="1" x14ac:dyDescent="0.2">
      <c r="A25" s="9"/>
      <c r="B25" s="273"/>
      <c r="C25" s="274"/>
      <c r="D25" s="274"/>
      <c r="E25" s="275"/>
    </row>
    <row r="26" spans="1:6" s="10" customFormat="1" ht="15" customHeight="1" x14ac:dyDescent="0.2">
      <c r="A26" s="9"/>
      <c r="B26" s="273"/>
      <c r="C26" s="274"/>
      <c r="D26" s="274"/>
      <c r="E26" s="275"/>
    </row>
    <row r="27" spans="1:6" s="10" customFormat="1" ht="15" customHeight="1" x14ac:dyDescent="0.2">
      <c r="A27" s="9"/>
      <c r="B27" s="273"/>
      <c r="C27" s="274"/>
      <c r="D27" s="274"/>
      <c r="E27" s="275"/>
    </row>
    <row r="28" spans="1:6" s="10" customFormat="1" ht="15" customHeight="1" x14ac:dyDescent="0.2">
      <c r="A28" s="9"/>
      <c r="B28" s="276"/>
      <c r="C28" s="277"/>
      <c r="D28" s="277"/>
      <c r="E28" s="278"/>
    </row>
    <row r="29" spans="1:6" ht="7.5" customHeight="1" x14ac:dyDescent="0.2">
      <c r="A29" s="8"/>
      <c r="B29" s="8"/>
      <c r="C29" s="8"/>
      <c r="D29" s="8"/>
      <c r="E29" s="8"/>
    </row>
    <row r="30" spans="1:6" s="5" customFormat="1" ht="18.75" customHeight="1" x14ac:dyDescent="0.2">
      <c r="A30" s="15" t="s">
        <v>17</v>
      </c>
      <c r="B30" s="15" t="s">
        <v>30</v>
      </c>
      <c r="C30" s="15"/>
      <c r="D30" s="15"/>
      <c r="E30" s="15"/>
    </row>
    <row r="31" spans="1:6" s="5" customFormat="1" ht="18.75" customHeight="1" x14ac:dyDescent="0.2">
      <c r="A31" s="15"/>
      <c r="B31" s="270" t="s">
        <v>195</v>
      </c>
      <c r="C31" s="271"/>
      <c r="D31" s="271"/>
      <c r="E31" s="272"/>
      <c r="F31" s="10"/>
    </row>
    <row r="32" spans="1:6" s="5" customFormat="1" ht="18.75" customHeight="1" x14ac:dyDescent="0.2">
      <c r="A32" s="15"/>
      <c r="B32" s="273"/>
      <c r="C32" s="274"/>
      <c r="D32" s="274"/>
      <c r="E32" s="275"/>
    </row>
    <row r="33" spans="1:6" s="5" customFormat="1" ht="18.75" customHeight="1" x14ac:dyDescent="0.2">
      <c r="A33" s="15"/>
      <c r="B33" s="273"/>
      <c r="C33" s="274"/>
      <c r="D33" s="274"/>
      <c r="E33" s="275"/>
    </row>
    <row r="34" spans="1:6" s="5" customFormat="1" ht="18.75" customHeight="1" x14ac:dyDescent="0.2">
      <c r="A34" s="15"/>
      <c r="B34" s="273"/>
      <c r="C34" s="274"/>
      <c r="D34" s="274"/>
      <c r="E34" s="275"/>
    </row>
    <row r="35" spans="1:6" s="5" customFormat="1" ht="18.75" customHeight="1" x14ac:dyDescent="0.2">
      <c r="A35" s="15"/>
      <c r="B35" s="273"/>
      <c r="C35" s="274"/>
      <c r="D35" s="274"/>
      <c r="E35" s="275"/>
    </row>
    <row r="36" spans="1:6" s="5" customFormat="1" ht="18.75" customHeight="1" x14ac:dyDescent="0.2">
      <c r="A36" s="15"/>
      <c r="B36" s="273"/>
      <c r="C36" s="274"/>
      <c r="D36" s="274"/>
      <c r="E36" s="275"/>
    </row>
    <row r="37" spans="1:6" s="5" customFormat="1" ht="18.75" customHeight="1" x14ac:dyDescent="0.2">
      <c r="A37" s="15"/>
      <c r="B37" s="273"/>
      <c r="C37" s="274"/>
      <c r="D37" s="274"/>
      <c r="E37" s="275"/>
    </row>
    <row r="38" spans="1:6" s="5" customFormat="1" ht="18.75" customHeight="1" x14ac:dyDescent="0.2">
      <c r="A38" s="15"/>
      <c r="B38" s="273"/>
      <c r="C38" s="274"/>
      <c r="D38" s="274"/>
      <c r="E38" s="275"/>
    </row>
    <row r="39" spans="1:6" s="5" customFormat="1" ht="18.75" customHeight="1" x14ac:dyDescent="0.2">
      <c r="A39" s="15"/>
      <c r="B39" s="273"/>
      <c r="C39" s="274"/>
      <c r="D39" s="274"/>
      <c r="E39" s="275"/>
    </row>
    <row r="40" spans="1:6" s="5" customFormat="1" ht="18.75" customHeight="1" x14ac:dyDescent="0.2">
      <c r="A40" s="15"/>
      <c r="B40" s="273"/>
      <c r="C40" s="274"/>
      <c r="D40" s="274"/>
      <c r="E40" s="275"/>
    </row>
    <row r="41" spans="1:6" s="5" customFormat="1" ht="18.75" customHeight="1" x14ac:dyDescent="0.2">
      <c r="A41" s="15"/>
      <c r="B41" s="273"/>
      <c r="C41" s="274"/>
      <c r="D41" s="274"/>
      <c r="E41" s="275"/>
    </row>
    <row r="42" spans="1:6" s="5" customFormat="1" ht="11" customHeight="1" x14ac:dyDescent="0.2">
      <c r="A42" s="15"/>
      <c r="B42" s="273"/>
      <c r="C42" s="274"/>
      <c r="D42" s="274"/>
      <c r="E42" s="275"/>
    </row>
    <row r="43" spans="1:6" s="5" customFormat="1" ht="11" customHeight="1" x14ac:dyDescent="0.2">
      <c r="A43" s="15"/>
      <c r="B43" s="273"/>
      <c r="C43" s="274"/>
      <c r="D43" s="274"/>
      <c r="E43" s="275"/>
    </row>
    <row r="44" spans="1:6" s="5" customFormat="1" ht="11" customHeight="1" x14ac:dyDescent="0.2">
      <c r="A44" s="15"/>
      <c r="B44" s="273"/>
      <c r="C44" s="274"/>
      <c r="D44" s="274"/>
      <c r="E44" s="275"/>
    </row>
    <row r="45" spans="1:6" ht="11" customHeight="1" x14ac:dyDescent="0.2">
      <c r="A45" s="8"/>
      <c r="B45" s="273"/>
      <c r="C45" s="274"/>
      <c r="D45" s="274"/>
      <c r="E45" s="275"/>
    </row>
    <row r="46" spans="1:6" ht="11" customHeight="1" x14ac:dyDescent="0.2">
      <c r="A46" s="8"/>
      <c r="B46" s="276"/>
      <c r="C46" s="277"/>
      <c r="D46" s="277"/>
      <c r="E46" s="278"/>
    </row>
    <row r="47" spans="1:6" s="5" customFormat="1" ht="18.75" customHeight="1" x14ac:dyDescent="0.2">
      <c r="A47" s="7" t="s">
        <v>14</v>
      </c>
      <c r="B47" s="15" t="s">
        <v>191</v>
      </c>
      <c r="C47" s="7"/>
      <c r="D47" s="7"/>
      <c r="E47" s="7"/>
    </row>
    <row r="48" spans="1:6" ht="18.75" customHeight="1" x14ac:dyDescent="0.2">
      <c r="A48" s="8"/>
      <c r="B48" s="270" t="s">
        <v>194</v>
      </c>
      <c r="C48" s="281"/>
      <c r="D48" s="281"/>
      <c r="E48" s="282"/>
      <c r="F48" s="10"/>
    </row>
    <row r="49" spans="1:5" ht="18.75" customHeight="1" x14ac:dyDescent="0.2">
      <c r="A49" s="8"/>
      <c r="B49" s="283"/>
      <c r="C49" s="284"/>
      <c r="D49" s="284"/>
      <c r="E49" s="285"/>
    </row>
    <row r="50" spans="1:5" ht="18.75" customHeight="1" x14ac:dyDescent="0.2">
      <c r="A50" s="8"/>
      <c r="B50" s="283"/>
      <c r="C50" s="284"/>
      <c r="D50" s="284"/>
      <c r="E50" s="285"/>
    </row>
    <row r="51" spans="1:5" ht="18.75" customHeight="1" x14ac:dyDescent="0.2">
      <c r="A51" s="8"/>
      <c r="B51" s="283"/>
      <c r="C51" s="284"/>
      <c r="D51" s="284"/>
      <c r="E51" s="285"/>
    </row>
    <row r="52" spans="1:5" ht="18.75" customHeight="1" x14ac:dyDescent="0.2">
      <c r="A52" s="8"/>
      <c r="B52" s="283"/>
      <c r="C52" s="284"/>
      <c r="D52" s="284"/>
      <c r="E52" s="285"/>
    </row>
    <row r="53" spans="1:5" ht="18.75" customHeight="1" x14ac:dyDescent="0.2">
      <c r="A53" s="8"/>
      <c r="B53" s="283"/>
      <c r="C53" s="284"/>
      <c r="D53" s="284"/>
      <c r="E53" s="285"/>
    </row>
    <row r="54" spans="1:5" ht="18.75" customHeight="1" x14ac:dyDescent="0.2">
      <c r="A54" s="8"/>
      <c r="B54" s="283"/>
      <c r="C54" s="284"/>
      <c r="D54" s="284"/>
      <c r="E54" s="285"/>
    </row>
    <row r="55" spans="1:5" ht="18.75" customHeight="1" x14ac:dyDescent="0.2">
      <c r="A55" s="8"/>
      <c r="B55" s="283"/>
      <c r="C55" s="284"/>
      <c r="D55" s="284"/>
      <c r="E55" s="285"/>
    </row>
    <row r="56" spans="1:5" ht="15" customHeight="1" x14ac:dyDescent="0.2">
      <c r="A56" s="8"/>
      <c r="B56" s="283"/>
      <c r="C56" s="284"/>
      <c r="D56" s="284"/>
      <c r="E56" s="285"/>
    </row>
    <row r="57" spans="1:5" ht="15" customHeight="1" x14ac:dyDescent="0.2">
      <c r="A57" s="8"/>
      <c r="B57" s="283"/>
      <c r="C57" s="284"/>
      <c r="D57" s="284"/>
      <c r="E57" s="285"/>
    </row>
    <row r="58" spans="1:5" ht="15" customHeight="1" x14ac:dyDescent="0.2">
      <c r="A58" s="8"/>
      <c r="B58" s="283"/>
      <c r="C58" s="284"/>
      <c r="D58" s="284"/>
      <c r="E58" s="285"/>
    </row>
    <row r="59" spans="1:5" ht="15" customHeight="1" x14ac:dyDescent="0.2">
      <c r="A59" s="8"/>
      <c r="B59" s="283"/>
      <c r="C59" s="284"/>
      <c r="D59" s="284"/>
      <c r="E59" s="285"/>
    </row>
    <row r="60" spans="1:5" ht="15" customHeight="1" x14ac:dyDescent="0.2">
      <c r="A60" s="8"/>
      <c r="B60" s="283"/>
      <c r="C60" s="284"/>
      <c r="D60" s="284"/>
      <c r="E60" s="285"/>
    </row>
    <row r="61" spans="1:5" ht="15" customHeight="1" x14ac:dyDescent="0.2">
      <c r="A61" s="8"/>
      <c r="B61" s="283"/>
      <c r="C61" s="284"/>
      <c r="D61" s="284"/>
      <c r="E61" s="285"/>
    </row>
    <row r="62" spans="1:5" ht="15" customHeight="1" x14ac:dyDescent="0.2">
      <c r="A62" s="8"/>
      <c r="B62" s="283"/>
      <c r="C62" s="284"/>
      <c r="D62" s="284"/>
      <c r="E62" s="285"/>
    </row>
    <row r="63" spans="1:5" ht="15" customHeight="1" x14ac:dyDescent="0.2">
      <c r="A63" s="8"/>
      <c r="B63" s="283"/>
      <c r="C63" s="284"/>
      <c r="D63" s="284"/>
      <c r="E63" s="285"/>
    </row>
    <row r="64" spans="1:5" ht="15" customHeight="1" x14ac:dyDescent="0.2">
      <c r="A64" s="8"/>
      <c r="B64" s="283"/>
      <c r="C64" s="284"/>
      <c r="D64" s="284"/>
      <c r="E64" s="285"/>
    </row>
    <row r="65" spans="1:6" ht="15" customHeight="1" x14ac:dyDescent="0.2">
      <c r="A65" s="8"/>
      <c r="B65" s="283"/>
      <c r="C65" s="284"/>
      <c r="D65" s="284"/>
      <c r="E65" s="285"/>
    </row>
    <row r="66" spans="1:6" ht="15" customHeight="1" x14ac:dyDescent="0.2">
      <c r="A66" s="8"/>
      <c r="B66" s="283"/>
      <c r="C66" s="284"/>
      <c r="D66" s="284"/>
      <c r="E66" s="285"/>
    </row>
    <row r="67" spans="1:6" ht="15" customHeight="1" x14ac:dyDescent="0.2">
      <c r="A67" s="8"/>
      <c r="B67" s="283"/>
      <c r="C67" s="284"/>
      <c r="D67" s="284"/>
      <c r="E67" s="285"/>
    </row>
    <row r="68" spans="1:6" ht="15" customHeight="1" x14ac:dyDescent="0.2">
      <c r="A68" s="8"/>
      <c r="B68" s="286"/>
      <c r="C68" s="287"/>
      <c r="D68" s="287"/>
      <c r="E68" s="288"/>
    </row>
    <row r="69" spans="1:6" ht="7.5" customHeight="1" x14ac:dyDescent="0.2">
      <c r="A69" s="8"/>
      <c r="B69" s="8"/>
      <c r="C69" s="8"/>
      <c r="D69" s="8"/>
      <c r="E69" s="8"/>
    </row>
    <row r="70" spans="1:6" s="5" customFormat="1" ht="18.75" customHeight="1" x14ac:dyDescent="0.2">
      <c r="A70" s="15" t="s">
        <v>18</v>
      </c>
      <c r="B70" s="15" t="s">
        <v>96</v>
      </c>
      <c r="C70" s="15"/>
      <c r="D70" s="15"/>
      <c r="E70" s="15"/>
    </row>
    <row r="71" spans="1:6" s="5" customFormat="1" ht="18.75" customHeight="1" x14ac:dyDescent="0.2">
      <c r="A71" s="15"/>
      <c r="B71" s="270" t="s">
        <v>184</v>
      </c>
      <c r="C71" s="271"/>
      <c r="D71" s="271"/>
      <c r="E71" s="272"/>
      <c r="F71" s="10"/>
    </row>
    <row r="72" spans="1:6" s="5" customFormat="1" ht="18.75" customHeight="1" x14ac:dyDescent="0.2">
      <c r="A72" s="15"/>
      <c r="B72" s="273"/>
      <c r="C72" s="274"/>
      <c r="D72" s="274"/>
      <c r="E72" s="275"/>
    </row>
    <row r="73" spans="1:6" s="5" customFormat="1" ht="18.75" customHeight="1" x14ac:dyDescent="0.2">
      <c r="A73" s="15"/>
      <c r="B73" s="273"/>
      <c r="C73" s="274"/>
      <c r="D73" s="274"/>
      <c r="E73" s="275"/>
    </row>
    <row r="74" spans="1:6" s="5" customFormat="1" ht="18.75" customHeight="1" x14ac:dyDescent="0.2">
      <c r="A74" s="15"/>
      <c r="B74" s="273"/>
      <c r="C74" s="274"/>
      <c r="D74" s="274"/>
      <c r="E74" s="275"/>
    </row>
    <row r="75" spans="1:6" s="5" customFormat="1" ht="18.75" customHeight="1" x14ac:dyDescent="0.2">
      <c r="A75" s="15"/>
      <c r="B75" s="273"/>
      <c r="C75" s="274"/>
      <c r="D75" s="274"/>
      <c r="E75" s="275"/>
    </row>
    <row r="76" spans="1:6" s="5" customFormat="1" ht="18.75" customHeight="1" x14ac:dyDescent="0.2">
      <c r="A76" s="15"/>
      <c r="B76" s="273"/>
      <c r="C76" s="274"/>
      <c r="D76" s="274"/>
      <c r="E76" s="275"/>
    </row>
    <row r="77" spans="1:6" s="5" customFormat="1" ht="18.75" customHeight="1" x14ac:dyDescent="0.2">
      <c r="A77" s="15"/>
      <c r="B77" s="273"/>
      <c r="C77" s="274"/>
      <c r="D77" s="274"/>
      <c r="E77" s="275"/>
    </row>
    <row r="78" spans="1:6" s="5" customFormat="1" ht="18.75" customHeight="1" x14ac:dyDescent="0.2">
      <c r="A78" s="15"/>
      <c r="B78" s="273"/>
      <c r="C78" s="274"/>
      <c r="D78" s="274"/>
      <c r="E78" s="275"/>
    </row>
    <row r="79" spans="1:6" s="5" customFormat="1" ht="18.75" customHeight="1" x14ac:dyDescent="0.2">
      <c r="A79" s="15"/>
      <c r="B79" s="273"/>
      <c r="C79" s="274"/>
      <c r="D79" s="274"/>
      <c r="E79" s="275"/>
    </row>
    <row r="80" spans="1:6" s="5" customFormat="1" ht="18.75" customHeight="1" x14ac:dyDescent="0.2">
      <c r="A80" s="15"/>
      <c r="B80" s="273"/>
      <c r="C80" s="274"/>
      <c r="D80" s="274"/>
      <c r="E80" s="275"/>
    </row>
    <row r="81" spans="1:6" s="5" customFormat="1" ht="18.75" customHeight="1" x14ac:dyDescent="0.2">
      <c r="A81" s="15"/>
      <c r="B81" s="273"/>
      <c r="C81" s="274"/>
      <c r="D81" s="274"/>
      <c r="E81" s="275"/>
    </row>
    <row r="82" spans="1:6" s="5" customFormat="1" ht="18.75" customHeight="1" x14ac:dyDescent="0.2">
      <c r="A82" s="15"/>
      <c r="B82" s="273"/>
      <c r="C82" s="274"/>
      <c r="D82" s="274"/>
      <c r="E82" s="275"/>
    </row>
    <row r="83" spans="1:6" s="5" customFormat="1" ht="18.75" customHeight="1" x14ac:dyDescent="0.2">
      <c r="A83" s="15"/>
      <c r="B83" s="273"/>
      <c r="C83" s="274"/>
      <c r="D83" s="274"/>
      <c r="E83" s="275"/>
    </row>
    <row r="84" spans="1:6" s="5" customFormat="1" ht="18.75" customHeight="1" x14ac:dyDescent="0.2">
      <c r="A84" s="15"/>
      <c r="B84" s="273"/>
      <c r="C84" s="274"/>
      <c r="D84" s="274"/>
      <c r="E84" s="275"/>
    </row>
    <row r="85" spans="1:6" s="5" customFormat="1" ht="18.75" customHeight="1" x14ac:dyDescent="0.2">
      <c r="A85" s="15"/>
      <c r="B85" s="273"/>
      <c r="C85" s="274"/>
      <c r="D85" s="274"/>
      <c r="E85" s="275"/>
    </row>
    <row r="86" spans="1:6" s="5" customFormat="1" ht="18.75" customHeight="1" x14ac:dyDescent="0.2">
      <c r="A86" s="15"/>
      <c r="B86" s="273"/>
      <c r="C86" s="274"/>
      <c r="D86" s="274"/>
      <c r="E86" s="275"/>
    </row>
    <row r="87" spans="1:6" s="5" customFormat="1" ht="18.75" customHeight="1" x14ac:dyDescent="0.2">
      <c r="A87" s="15"/>
      <c r="B87" s="273"/>
      <c r="C87" s="274"/>
      <c r="D87" s="274"/>
      <c r="E87" s="275"/>
    </row>
    <row r="88" spans="1:6" ht="18.75" customHeight="1" x14ac:dyDescent="0.2">
      <c r="A88" s="8"/>
      <c r="B88" s="273"/>
      <c r="C88" s="274"/>
      <c r="D88" s="274"/>
      <c r="E88" s="275"/>
    </row>
    <row r="89" spans="1:6" ht="18.75" customHeight="1" x14ac:dyDescent="0.2">
      <c r="A89" s="8"/>
      <c r="B89" s="276"/>
      <c r="C89" s="277"/>
      <c r="D89" s="277"/>
      <c r="E89" s="278"/>
    </row>
    <row r="90" spans="1:6" ht="7.5" customHeight="1" x14ac:dyDescent="0.2">
      <c r="A90" s="8"/>
      <c r="B90" s="8"/>
      <c r="C90" s="8"/>
      <c r="D90" s="8"/>
      <c r="E90" s="8"/>
    </row>
    <row r="91" spans="1:6" s="5" customFormat="1" ht="18.75" customHeight="1" x14ac:dyDescent="0.2">
      <c r="A91" s="15" t="s">
        <v>15</v>
      </c>
      <c r="B91" s="15" t="s">
        <v>34</v>
      </c>
      <c r="C91" s="15"/>
      <c r="D91" s="15"/>
      <c r="E91" s="15"/>
    </row>
    <row r="92" spans="1:6" s="5" customFormat="1" ht="18.75" customHeight="1" x14ac:dyDescent="0.2">
      <c r="A92" s="15"/>
      <c r="B92" s="270" t="s">
        <v>185</v>
      </c>
      <c r="C92" s="271"/>
      <c r="D92" s="271"/>
      <c r="E92" s="272"/>
      <c r="F92" s="10"/>
    </row>
    <row r="93" spans="1:6" s="5" customFormat="1" ht="18.75" customHeight="1" x14ac:dyDescent="0.2">
      <c r="A93" s="15"/>
      <c r="B93" s="273"/>
      <c r="C93" s="274"/>
      <c r="D93" s="274"/>
      <c r="E93" s="275"/>
    </row>
    <row r="94" spans="1:6" s="5" customFormat="1" ht="18.75" customHeight="1" x14ac:dyDescent="0.2">
      <c r="A94" s="15"/>
      <c r="B94" s="273"/>
      <c r="C94" s="274"/>
      <c r="D94" s="274"/>
      <c r="E94" s="275"/>
    </row>
    <row r="95" spans="1:6" s="5" customFormat="1" ht="18.75" customHeight="1" x14ac:dyDescent="0.2">
      <c r="A95" s="15"/>
      <c r="B95" s="273"/>
      <c r="C95" s="274"/>
      <c r="D95" s="274"/>
      <c r="E95" s="275"/>
    </row>
    <row r="96" spans="1:6" s="5" customFormat="1" ht="18.75" customHeight="1" x14ac:dyDescent="0.2">
      <c r="A96" s="15"/>
      <c r="B96" s="273"/>
      <c r="C96" s="274"/>
      <c r="D96" s="274"/>
      <c r="E96" s="275"/>
    </row>
    <row r="97" spans="1:5" s="5" customFormat="1" ht="18.75" customHeight="1" x14ac:dyDescent="0.2">
      <c r="A97" s="15"/>
      <c r="B97" s="273"/>
      <c r="C97" s="274"/>
      <c r="D97" s="274"/>
      <c r="E97" s="275"/>
    </row>
    <row r="98" spans="1:5" s="5" customFormat="1" ht="18.75" customHeight="1" x14ac:dyDescent="0.2">
      <c r="A98" s="15"/>
      <c r="B98" s="273"/>
      <c r="C98" s="274"/>
      <c r="D98" s="274"/>
      <c r="E98" s="275"/>
    </row>
    <row r="99" spans="1:5" s="5" customFormat="1" ht="17" customHeight="1" x14ac:dyDescent="0.2">
      <c r="A99" s="15"/>
      <c r="B99" s="273"/>
      <c r="C99" s="274"/>
      <c r="D99" s="274"/>
      <c r="E99" s="275"/>
    </row>
    <row r="100" spans="1:5" s="5" customFormat="1" ht="17" customHeight="1" x14ac:dyDescent="0.2">
      <c r="A100" s="15"/>
      <c r="B100" s="273"/>
      <c r="C100" s="274"/>
      <c r="D100" s="274"/>
      <c r="E100" s="275"/>
    </row>
    <row r="101" spans="1:5" s="5" customFormat="1" ht="17" customHeight="1" x14ac:dyDescent="0.2">
      <c r="A101" s="15"/>
      <c r="B101" s="273"/>
      <c r="C101" s="274"/>
      <c r="D101" s="274"/>
      <c r="E101" s="275"/>
    </row>
    <row r="102" spans="1:5" s="5" customFormat="1" ht="17" customHeight="1" x14ac:dyDescent="0.2">
      <c r="A102" s="15"/>
      <c r="B102" s="273"/>
      <c r="C102" s="274"/>
      <c r="D102" s="274"/>
      <c r="E102" s="275"/>
    </row>
    <row r="103" spans="1:5" s="5" customFormat="1" ht="17" customHeight="1" x14ac:dyDescent="0.2">
      <c r="A103" s="15"/>
      <c r="B103" s="273"/>
      <c r="C103" s="274"/>
      <c r="D103" s="274"/>
      <c r="E103" s="275"/>
    </row>
    <row r="104" spans="1:5" s="5" customFormat="1" ht="17" customHeight="1" x14ac:dyDescent="0.2">
      <c r="A104" s="15"/>
      <c r="B104" s="273"/>
      <c r="C104" s="274"/>
      <c r="D104" s="274"/>
      <c r="E104" s="275"/>
    </row>
    <row r="105" spans="1:5" s="5" customFormat="1" ht="17" customHeight="1" x14ac:dyDescent="0.2">
      <c r="A105" s="15"/>
      <c r="B105" s="273"/>
      <c r="C105" s="274"/>
      <c r="D105" s="274"/>
      <c r="E105" s="275"/>
    </row>
    <row r="106" spans="1:5" s="5" customFormat="1" ht="17" customHeight="1" x14ac:dyDescent="0.2">
      <c r="A106" s="15"/>
      <c r="B106" s="273"/>
      <c r="C106" s="274"/>
      <c r="D106" s="274"/>
      <c r="E106" s="275"/>
    </row>
    <row r="107" spans="1:5" s="5" customFormat="1" ht="17" customHeight="1" x14ac:dyDescent="0.2">
      <c r="A107" s="15"/>
      <c r="B107" s="273"/>
      <c r="C107" s="274"/>
      <c r="D107" s="274"/>
      <c r="E107" s="275"/>
    </row>
    <row r="108" spans="1:5" s="5" customFormat="1" ht="17" customHeight="1" x14ac:dyDescent="0.2">
      <c r="A108" s="15"/>
      <c r="B108" s="273"/>
      <c r="C108" s="274"/>
      <c r="D108" s="274"/>
      <c r="E108" s="275"/>
    </row>
    <row r="109" spans="1:5" s="5" customFormat="1" ht="17" customHeight="1" x14ac:dyDescent="0.2">
      <c r="A109" s="15"/>
      <c r="B109" s="273"/>
      <c r="C109" s="274"/>
      <c r="D109" s="274"/>
      <c r="E109" s="275"/>
    </row>
    <row r="110" spans="1:5" ht="17" customHeight="1" x14ac:dyDescent="0.2">
      <c r="A110" s="8"/>
      <c r="B110" s="273"/>
      <c r="C110" s="274"/>
      <c r="D110" s="274"/>
      <c r="E110" s="275"/>
    </row>
    <row r="111" spans="1:5" ht="17" customHeight="1" x14ac:dyDescent="0.2">
      <c r="A111" s="8"/>
      <c r="B111" s="276"/>
      <c r="C111" s="277"/>
      <c r="D111" s="277"/>
      <c r="E111" s="278"/>
    </row>
    <row r="112" spans="1:5" ht="7.5" customHeight="1" x14ac:dyDescent="0.2">
      <c r="A112" s="8"/>
      <c r="B112" s="8"/>
      <c r="C112" s="8"/>
      <c r="D112" s="8"/>
      <c r="E112" s="8"/>
    </row>
    <row r="113" spans="1:6" s="5" customFormat="1" ht="18.75" customHeight="1" x14ac:dyDescent="0.2">
      <c r="A113" s="15" t="s">
        <v>62</v>
      </c>
      <c r="B113" s="279" t="s">
        <v>132</v>
      </c>
      <c r="C113" s="279"/>
      <c r="D113" s="279"/>
      <c r="E113" s="279"/>
    </row>
    <row r="114" spans="1:6" ht="18.75" customHeight="1" x14ac:dyDescent="0.2">
      <c r="A114" s="8"/>
      <c r="B114" s="270" t="s">
        <v>196</v>
      </c>
      <c r="C114" s="271"/>
      <c r="D114" s="271"/>
      <c r="E114" s="272"/>
      <c r="F114" s="10"/>
    </row>
    <row r="115" spans="1:6" ht="18.75" customHeight="1" x14ac:dyDescent="0.2">
      <c r="A115" s="8"/>
      <c r="B115" s="273"/>
      <c r="C115" s="274"/>
      <c r="D115" s="274"/>
      <c r="E115" s="275"/>
    </row>
    <row r="116" spans="1:6" ht="18.75" customHeight="1" x14ac:dyDescent="0.2">
      <c r="A116" s="8"/>
      <c r="B116" s="273"/>
      <c r="C116" s="274"/>
      <c r="D116" s="274"/>
      <c r="E116" s="275"/>
    </row>
    <row r="117" spans="1:6" ht="18.75" customHeight="1" x14ac:dyDescent="0.2">
      <c r="A117" s="8"/>
      <c r="B117" s="273"/>
      <c r="C117" s="274"/>
      <c r="D117" s="274"/>
      <c r="E117" s="275"/>
    </row>
    <row r="118" spans="1:6" ht="18.75" customHeight="1" x14ac:dyDescent="0.2">
      <c r="A118" s="8"/>
      <c r="B118" s="273"/>
      <c r="C118" s="274"/>
      <c r="D118" s="274"/>
      <c r="E118" s="275"/>
    </row>
    <row r="119" spans="1:6" ht="18.75" customHeight="1" x14ac:dyDescent="0.2">
      <c r="A119" s="8"/>
      <c r="B119" s="273"/>
      <c r="C119" s="274"/>
      <c r="D119" s="274"/>
      <c r="E119" s="275"/>
    </row>
    <row r="120" spans="1:6" ht="18.75" customHeight="1" x14ac:dyDescent="0.2">
      <c r="A120" s="8"/>
      <c r="B120" s="273"/>
      <c r="C120" s="274"/>
      <c r="D120" s="274"/>
      <c r="E120" s="275"/>
    </row>
    <row r="121" spans="1:6" ht="18.75" customHeight="1" x14ac:dyDescent="0.2">
      <c r="A121" s="8"/>
      <c r="B121" s="273"/>
      <c r="C121" s="274"/>
      <c r="D121" s="274"/>
      <c r="E121" s="275"/>
    </row>
    <row r="122" spans="1:6" ht="18.75" customHeight="1" x14ac:dyDescent="0.2">
      <c r="A122" s="8"/>
      <c r="B122" s="273"/>
      <c r="C122" s="274"/>
      <c r="D122" s="274"/>
      <c r="E122" s="275"/>
    </row>
    <row r="123" spans="1:6" ht="18.75" customHeight="1" x14ac:dyDescent="0.2">
      <c r="A123" s="8"/>
      <c r="B123" s="273"/>
      <c r="C123" s="274"/>
      <c r="D123" s="274"/>
      <c r="E123" s="275"/>
    </row>
    <row r="124" spans="1:6" ht="18.75" customHeight="1" x14ac:dyDescent="0.2">
      <c r="A124" s="8"/>
      <c r="B124" s="273"/>
      <c r="C124" s="274"/>
      <c r="D124" s="274"/>
      <c r="E124" s="275"/>
    </row>
    <row r="125" spans="1:6" ht="18.75" customHeight="1" x14ac:dyDescent="0.2">
      <c r="A125" s="8"/>
      <c r="B125" s="273"/>
      <c r="C125" s="274"/>
      <c r="D125" s="274"/>
      <c r="E125" s="275"/>
    </row>
    <row r="126" spans="1:6" ht="18.75" customHeight="1" x14ac:dyDescent="0.2">
      <c r="A126" s="8"/>
      <c r="B126" s="273"/>
      <c r="C126" s="274"/>
      <c r="D126" s="274"/>
      <c r="E126" s="275"/>
    </row>
    <row r="127" spans="1:6" ht="18.75" customHeight="1" x14ac:dyDescent="0.2">
      <c r="A127" s="8"/>
      <c r="B127" s="273"/>
      <c r="C127" s="274"/>
      <c r="D127" s="274"/>
      <c r="E127" s="275"/>
    </row>
    <row r="128" spans="1:6" ht="18.75" customHeight="1" x14ac:dyDescent="0.2">
      <c r="A128" s="8"/>
      <c r="B128" s="273"/>
      <c r="C128" s="274"/>
      <c r="D128" s="274"/>
      <c r="E128" s="275"/>
    </row>
    <row r="129" spans="1:5" ht="18.75" customHeight="1" x14ac:dyDescent="0.2">
      <c r="A129" s="8"/>
      <c r="B129" s="273"/>
      <c r="C129" s="274"/>
      <c r="D129" s="274"/>
      <c r="E129" s="275"/>
    </row>
    <row r="130" spans="1:5" ht="18.75" customHeight="1" x14ac:dyDescent="0.2">
      <c r="A130" s="8"/>
      <c r="B130" s="273"/>
      <c r="C130" s="274"/>
      <c r="D130" s="274"/>
      <c r="E130" s="275"/>
    </row>
    <row r="131" spans="1:5" ht="18.75" customHeight="1" x14ac:dyDescent="0.2">
      <c r="A131" s="8"/>
      <c r="B131" s="273"/>
      <c r="C131" s="274"/>
      <c r="D131" s="274"/>
      <c r="E131" s="275"/>
    </row>
    <row r="132" spans="1:5" ht="18.75" customHeight="1" x14ac:dyDescent="0.2">
      <c r="A132" s="8"/>
      <c r="B132" s="273"/>
      <c r="C132" s="274"/>
      <c r="D132" s="274"/>
      <c r="E132" s="275"/>
    </row>
    <row r="133" spans="1:5" ht="18.75" customHeight="1" x14ac:dyDescent="0.2">
      <c r="A133" s="8"/>
      <c r="B133" s="276"/>
      <c r="C133" s="277"/>
      <c r="D133" s="277"/>
      <c r="E133" s="278"/>
    </row>
    <row r="134" spans="1:5" ht="7.5" customHeight="1" x14ac:dyDescent="0.2">
      <c r="A134" s="8"/>
      <c r="B134" s="12"/>
      <c r="C134" s="12"/>
      <c r="D134" s="12"/>
      <c r="E134" s="12"/>
    </row>
    <row r="135" spans="1:5" ht="18.75" customHeight="1" x14ac:dyDescent="0.2">
      <c r="A135" s="8"/>
      <c r="B135" s="8"/>
      <c r="C135" s="8"/>
      <c r="D135" s="8"/>
      <c r="E135" s="8"/>
    </row>
    <row r="136" spans="1:5" ht="18.75" customHeight="1" x14ac:dyDescent="0.2">
      <c r="A136" s="8"/>
      <c r="B136" s="8"/>
      <c r="C136" s="8"/>
      <c r="D136" s="8"/>
      <c r="E136" s="8"/>
    </row>
    <row r="137" spans="1:5" ht="18.75" customHeight="1" x14ac:dyDescent="0.2">
      <c r="A137" s="8"/>
      <c r="B137" s="8"/>
      <c r="C137" s="8"/>
      <c r="D137" s="8"/>
      <c r="E137" s="8"/>
    </row>
    <row r="138" spans="1:5" ht="18.75" customHeight="1" x14ac:dyDescent="0.2">
      <c r="A138" s="8"/>
      <c r="B138" s="8"/>
      <c r="C138" s="8"/>
      <c r="D138" s="8"/>
      <c r="E138" s="8"/>
    </row>
    <row r="139" spans="1:5" ht="18.75" customHeight="1" x14ac:dyDescent="0.2">
      <c r="A139" s="8"/>
      <c r="B139" s="8"/>
      <c r="C139" s="8"/>
      <c r="D139" s="8"/>
      <c r="E139" s="8"/>
    </row>
    <row r="140" spans="1:5" ht="18.75" customHeight="1" x14ac:dyDescent="0.2">
      <c r="A140" s="8"/>
      <c r="B140" s="8"/>
      <c r="C140" s="8"/>
      <c r="D140" s="8"/>
      <c r="E140" s="8"/>
    </row>
    <row r="141" spans="1:5" ht="18.75" customHeight="1" x14ac:dyDescent="0.2">
      <c r="A141" s="8"/>
      <c r="B141" s="8"/>
      <c r="C141" s="8"/>
      <c r="D141" s="8"/>
      <c r="E141" s="8"/>
    </row>
    <row r="142" spans="1:5" ht="18.75" customHeight="1" x14ac:dyDescent="0.2">
      <c r="A142" s="8"/>
      <c r="B142" s="8"/>
      <c r="C142" s="8"/>
      <c r="D142" s="8"/>
      <c r="E142" s="8"/>
    </row>
    <row r="143" spans="1:5" ht="18.75" customHeight="1" x14ac:dyDescent="0.2">
      <c r="A143" s="8"/>
      <c r="B143" s="8"/>
      <c r="C143" s="8"/>
      <c r="D143" s="8"/>
      <c r="E143" s="8"/>
    </row>
    <row r="144" spans="1:5" ht="18.75" customHeight="1" x14ac:dyDescent="0.2">
      <c r="A144" s="8"/>
      <c r="B144" s="8"/>
      <c r="C144" s="8"/>
      <c r="D144" s="8"/>
      <c r="E144" s="8"/>
    </row>
    <row r="145" spans="1:5" ht="18.75" customHeight="1" x14ac:dyDescent="0.2">
      <c r="A145" s="8"/>
      <c r="B145" s="8"/>
      <c r="C145" s="8"/>
      <c r="D145" s="8"/>
      <c r="E145" s="8"/>
    </row>
    <row r="146" spans="1:5" ht="18.75" customHeight="1" x14ac:dyDescent="0.2">
      <c r="A146" s="8"/>
      <c r="B146" s="8"/>
      <c r="C146" s="8"/>
      <c r="D146" s="8"/>
      <c r="E146" s="8"/>
    </row>
    <row r="147" spans="1:5" ht="14" x14ac:dyDescent="0.2">
      <c r="A147" s="8"/>
      <c r="B147" s="8"/>
      <c r="C147" s="8"/>
      <c r="D147" s="8"/>
      <c r="E147" s="8"/>
    </row>
    <row r="148" spans="1:5" ht="7.5" customHeight="1" x14ac:dyDescent="0.2">
      <c r="A148" s="4"/>
      <c r="B148" s="4"/>
      <c r="C148" s="4"/>
      <c r="D148" s="4"/>
      <c r="E148" s="4"/>
    </row>
  </sheetData>
  <mergeCells count="11">
    <mergeCell ref="B71:E89"/>
    <mergeCell ref="B92:E111"/>
    <mergeCell ref="B113:E113"/>
    <mergeCell ref="B114:E133"/>
    <mergeCell ref="D2:E2"/>
    <mergeCell ref="B4:E4"/>
    <mergeCell ref="B10:E14"/>
    <mergeCell ref="B17:E28"/>
    <mergeCell ref="B31:E46"/>
    <mergeCell ref="B48:E68"/>
    <mergeCell ref="B7:E7"/>
  </mergeCells>
  <phoneticPr fontId="1"/>
  <printOptions horizontalCentered="1"/>
  <pageMargins left="0.25" right="0.25" top="0.75" bottom="0.75" header="0.3" footer="0.3"/>
  <pageSetup paperSize="9" orientation="portrait" r:id="rId1"/>
  <rowBreaks count="1" manualBreakCount="1">
    <brk id="90" max="4"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J28"/>
  <sheetViews>
    <sheetView showZeros="0" view="pageBreakPreview" topLeftCell="A7" zoomScaleNormal="100" zoomScaleSheetLayoutView="100" workbookViewId="0">
      <selection activeCell="E8" sqref="E8:J8"/>
    </sheetView>
  </sheetViews>
  <sheetFormatPr defaultColWidth="11.36328125" defaultRowHeight="22.5" customHeight="1" x14ac:dyDescent="0.2"/>
  <cols>
    <col min="1" max="3" width="2.453125" style="1" customWidth="1"/>
    <col min="4" max="4" width="22.453125" style="1" customWidth="1"/>
    <col min="5" max="5" width="21.26953125" style="1" customWidth="1"/>
    <col min="6" max="7" width="7.453125" style="1" customWidth="1"/>
    <col min="8" max="8" width="32.453125" style="1" customWidth="1"/>
    <col min="9" max="9" width="24.90625" style="1" customWidth="1"/>
    <col min="10" max="10" width="6.26953125" style="1" customWidth="1"/>
    <col min="11" max="11" width="4.08984375" style="1" customWidth="1"/>
    <col min="12" max="16384" width="11.36328125" style="1"/>
  </cols>
  <sheetData>
    <row r="1" spans="1:10" ht="18.75" customHeight="1" x14ac:dyDescent="0.2">
      <c r="J1" s="56" t="s">
        <v>9</v>
      </c>
    </row>
    <row r="2" spans="1:10" ht="18.75" customHeight="1" x14ac:dyDescent="0.2">
      <c r="D2" s="56"/>
      <c r="H2" s="56" t="s">
        <v>31</v>
      </c>
      <c r="I2" s="280" t="s">
        <v>176</v>
      </c>
      <c r="J2" s="280"/>
    </row>
    <row r="3" spans="1:10" ht="18.75" customHeight="1" x14ac:dyDescent="0.2">
      <c r="A3" s="193" t="s">
        <v>50</v>
      </c>
      <c r="B3" s="193"/>
      <c r="C3" s="193"/>
      <c r="D3" s="193"/>
      <c r="E3" s="193"/>
      <c r="F3" s="193"/>
      <c r="G3" s="193"/>
      <c r="H3" s="193"/>
      <c r="I3" s="193"/>
      <c r="J3" s="193"/>
    </row>
    <row r="4" spans="1:10" ht="7.5" customHeight="1" x14ac:dyDescent="0.2">
      <c r="B4" s="59"/>
      <c r="C4" s="59"/>
      <c r="D4" s="297"/>
      <c r="E4" s="298"/>
      <c r="F4" s="298"/>
      <c r="G4" s="298"/>
      <c r="H4" s="298"/>
      <c r="I4" s="298"/>
      <c r="J4" s="298"/>
    </row>
    <row r="5" spans="1:10" ht="18.75" customHeight="1" x14ac:dyDescent="0.2">
      <c r="A5" s="1" t="s">
        <v>7</v>
      </c>
      <c r="B5" s="5" t="s">
        <v>48</v>
      </c>
      <c r="C5" s="59"/>
      <c r="D5" s="59"/>
      <c r="E5" s="60"/>
      <c r="F5" s="64"/>
      <c r="G5" s="67"/>
      <c r="H5" s="64"/>
      <c r="I5" s="60"/>
      <c r="J5" s="60"/>
    </row>
    <row r="6" spans="1:10" ht="18.75" customHeight="1" x14ac:dyDescent="0.2">
      <c r="B6" s="206" t="s">
        <v>45</v>
      </c>
      <c r="C6" s="207"/>
      <c r="D6" s="208"/>
      <c r="E6" s="152" t="s">
        <v>47</v>
      </c>
      <c r="F6" s="152"/>
      <c r="G6" s="152"/>
      <c r="H6" s="152"/>
      <c r="I6" s="152"/>
      <c r="J6" s="153"/>
    </row>
    <row r="7" spans="1:10" ht="18.75" customHeight="1" x14ac:dyDescent="0.2">
      <c r="B7" s="6" t="s">
        <v>35</v>
      </c>
      <c r="C7" s="8"/>
      <c r="D7" s="19"/>
      <c r="E7" s="3"/>
      <c r="F7" s="3"/>
      <c r="G7" s="3"/>
      <c r="H7" s="3"/>
      <c r="I7" s="16"/>
      <c r="J7" s="17"/>
    </row>
    <row r="8" spans="1:10" ht="202.5" customHeight="1" x14ac:dyDescent="0.2">
      <c r="B8" s="18"/>
      <c r="C8" s="292" t="s">
        <v>36</v>
      </c>
      <c r="D8" s="293"/>
      <c r="E8" s="294" t="s">
        <v>210</v>
      </c>
      <c r="F8" s="295"/>
      <c r="G8" s="295"/>
      <c r="H8" s="295"/>
      <c r="I8" s="295"/>
      <c r="J8" s="296"/>
    </row>
    <row r="9" spans="1:10" ht="202.5" customHeight="1" x14ac:dyDescent="0.2">
      <c r="B9" s="18"/>
      <c r="C9" s="302" t="s">
        <v>37</v>
      </c>
      <c r="D9" s="303"/>
      <c r="E9" s="294" t="s">
        <v>189</v>
      </c>
      <c r="F9" s="295"/>
      <c r="G9" s="295"/>
      <c r="H9" s="295"/>
      <c r="I9" s="295"/>
      <c r="J9" s="296"/>
    </row>
    <row r="10" spans="1:10" ht="172.5" customHeight="1" x14ac:dyDescent="0.2">
      <c r="B10" s="18"/>
      <c r="C10" s="292" t="s">
        <v>38</v>
      </c>
      <c r="D10" s="293"/>
      <c r="E10" s="294" t="s">
        <v>180</v>
      </c>
      <c r="F10" s="295"/>
      <c r="G10" s="295"/>
      <c r="H10" s="295"/>
      <c r="I10" s="295"/>
      <c r="J10" s="296"/>
    </row>
    <row r="11" spans="1:10" ht="172.5" customHeight="1" x14ac:dyDescent="0.2">
      <c r="B11" s="18"/>
      <c r="C11" s="292" t="s">
        <v>39</v>
      </c>
      <c r="D11" s="293"/>
      <c r="E11" s="294" t="s">
        <v>181</v>
      </c>
      <c r="F11" s="295"/>
      <c r="G11" s="295"/>
      <c r="H11" s="295"/>
      <c r="I11" s="295"/>
      <c r="J11" s="296"/>
    </row>
    <row r="12" spans="1:10" ht="172.5" customHeight="1" x14ac:dyDescent="0.2">
      <c r="B12" s="18"/>
      <c r="C12" s="292" t="s">
        <v>40</v>
      </c>
      <c r="D12" s="293"/>
      <c r="E12" s="294" t="s">
        <v>182</v>
      </c>
      <c r="F12" s="295"/>
      <c r="G12" s="295"/>
      <c r="H12" s="295"/>
      <c r="I12" s="295"/>
      <c r="J12" s="296"/>
    </row>
    <row r="13" spans="1:10" ht="18.75" customHeight="1" x14ac:dyDescent="0.2">
      <c r="B13" s="21" t="s">
        <v>41</v>
      </c>
      <c r="C13" s="61"/>
      <c r="D13" s="20"/>
      <c r="E13" s="85"/>
      <c r="F13" s="85"/>
      <c r="G13" s="85"/>
      <c r="H13" s="85"/>
      <c r="I13" s="85"/>
      <c r="J13" s="86"/>
    </row>
    <row r="14" spans="1:10" ht="255" customHeight="1" x14ac:dyDescent="0.2">
      <c r="B14" s="18"/>
      <c r="C14" s="292" t="s">
        <v>42</v>
      </c>
      <c r="D14" s="293"/>
      <c r="E14" s="295" t="s">
        <v>159</v>
      </c>
      <c r="F14" s="295"/>
      <c r="G14" s="295"/>
      <c r="H14" s="295"/>
      <c r="I14" s="295"/>
      <c r="J14" s="296"/>
    </row>
    <row r="15" spans="1:10" ht="255" customHeight="1" x14ac:dyDescent="0.2">
      <c r="B15" s="18"/>
      <c r="C15" s="304" t="s">
        <v>43</v>
      </c>
      <c r="D15" s="305"/>
      <c r="E15" s="306" t="s">
        <v>183</v>
      </c>
      <c r="F15" s="306"/>
      <c r="G15" s="306"/>
      <c r="H15" s="306"/>
      <c r="I15" s="306"/>
      <c r="J15" s="307"/>
    </row>
    <row r="16" spans="1:10" ht="232.5" customHeight="1" x14ac:dyDescent="0.2">
      <c r="B16" s="308" t="s">
        <v>44</v>
      </c>
      <c r="C16" s="309"/>
      <c r="D16" s="293"/>
      <c r="E16" s="295" t="s">
        <v>202</v>
      </c>
      <c r="F16" s="295"/>
      <c r="G16" s="295"/>
      <c r="H16" s="295"/>
      <c r="I16" s="295"/>
      <c r="J16" s="296"/>
    </row>
    <row r="17" spans="1:10" ht="232.5" customHeight="1" x14ac:dyDescent="0.2">
      <c r="A17" s="84"/>
      <c r="B17" s="299" t="s">
        <v>86</v>
      </c>
      <c r="C17" s="300"/>
      <c r="D17" s="301"/>
      <c r="E17" s="287" t="s">
        <v>203</v>
      </c>
      <c r="F17" s="287"/>
      <c r="G17" s="287"/>
      <c r="H17" s="287"/>
      <c r="I17" s="287"/>
      <c r="J17" s="288"/>
    </row>
    <row r="18" spans="1:10" ht="7.5" customHeight="1" x14ac:dyDescent="0.2">
      <c r="B18" s="59"/>
      <c r="C18" s="59"/>
      <c r="D18" s="59"/>
      <c r="E18" s="60"/>
      <c r="F18" s="64"/>
      <c r="G18" s="67"/>
      <c r="H18" s="64"/>
      <c r="I18" s="60"/>
      <c r="J18" s="60"/>
    </row>
    <row r="19" spans="1:10" ht="18.75" customHeight="1" x14ac:dyDescent="0.2">
      <c r="B19" s="5"/>
      <c r="C19" s="82"/>
      <c r="D19" s="82"/>
      <c r="E19" s="83"/>
      <c r="F19" s="68"/>
      <c r="G19" s="68"/>
      <c r="H19" s="93" t="s">
        <v>114</v>
      </c>
      <c r="I19" s="88"/>
      <c r="J19" s="89"/>
    </row>
    <row r="20" spans="1:10" ht="18.75" customHeight="1" x14ac:dyDescent="0.2">
      <c r="A20" s="3" t="s">
        <v>12</v>
      </c>
      <c r="B20" s="90" t="s">
        <v>49</v>
      </c>
      <c r="C20" s="91"/>
      <c r="D20" s="91"/>
      <c r="E20" s="92"/>
      <c r="F20" s="133" t="s">
        <v>201</v>
      </c>
      <c r="G20" s="68"/>
      <c r="H20" s="289" t="s">
        <v>204</v>
      </c>
      <c r="I20" s="290"/>
      <c r="J20" s="291"/>
    </row>
    <row r="21" spans="1:10" ht="22.5" customHeight="1" x14ac:dyDescent="0.2">
      <c r="B21" s="59"/>
      <c r="C21" s="59"/>
      <c r="D21" s="59"/>
      <c r="E21" s="60"/>
      <c r="F21" s="64"/>
      <c r="G21" s="67"/>
      <c r="H21" s="64"/>
      <c r="I21" s="60"/>
      <c r="J21" s="60"/>
    </row>
    <row r="22" spans="1:10" ht="22.5" customHeight="1" x14ac:dyDescent="0.2">
      <c r="B22" s="59"/>
      <c r="C22" s="59"/>
      <c r="D22" s="59"/>
      <c r="E22" s="60"/>
      <c r="F22" s="64"/>
      <c r="G22" s="67"/>
      <c r="H22" s="64"/>
      <c r="I22" s="60"/>
      <c r="J22" s="60"/>
    </row>
    <row r="23" spans="1:10" ht="22.5" customHeight="1" x14ac:dyDescent="0.2">
      <c r="B23" s="59"/>
      <c r="C23" s="59"/>
      <c r="D23" s="59"/>
      <c r="E23" s="60"/>
      <c r="F23" s="64"/>
      <c r="G23" s="67"/>
      <c r="H23" s="64"/>
      <c r="I23" s="60"/>
      <c r="J23" s="60"/>
    </row>
    <row r="24" spans="1:10" ht="22.5" customHeight="1" x14ac:dyDescent="0.2">
      <c r="B24" s="59"/>
      <c r="C24" s="59"/>
      <c r="D24" s="59"/>
      <c r="E24" s="60"/>
      <c r="F24" s="64"/>
      <c r="G24" s="67"/>
      <c r="H24" s="64"/>
      <c r="I24" s="60"/>
      <c r="J24" s="60"/>
    </row>
    <row r="25" spans="1:10" ht="22.5" customHeight="1" x14ac:dyDescent="0.2">
      <c r="B25" s="59"/>
      <c r="C25" s="59"/>
      <c r="D25" s="59"/>
      <c r="E25" s="60"/>
      <c r="F25" s="64"/>
      <c r="G25" s="67"/>
      <c r="H25" s="64"/>
      <c r="I25" s="60"/>
      <c r="J25" s="60"/>
    </row>
    <row r="26" spans="1:10" ht="22.5" customHeight="1" x14ac:dyDescent="0.2">
      <c r="B26" s="14"/>
      <c r="C26" s="14"/>
      <c r="D26" s="14"/>
      <c r="E26" s="14"/>
      <c r="F26" s="14"/>
      <c r="G26" s="14"/>
      <c r="H26" s="14"/>
      <c r="I26" s="14"/>
      <c r="J26" s="14"/>
    </row>
    <row r="27" spans="1:10" ht="22.5" customHeight="1" x14ac:dyDescent="0.2">
      <c r="B27" s="14"/>
      <c r="C27" s="14"/>
      <c r="D27" s="14"/>
      <c r="E27" s="14"/>
      <c r="F27" s="14"/>
      <c r="G27" s="14"/>
      <c r="H27" s="14"/>
      <c r="I27" s="14"/>
      <c r="J27" s="14"/>
    </row>
    <row r="28" spans="1:10" ht="22.5" customHeight="1" x14ac:dyDescent="0.2">
      <c r="B28" s="14"/>
      <c r="C28" s="14"/>
      <c r="D28" s="14"/>
      <c r="E28" s="14"/>
      <c r="F28" s="14"/>
      <c r="G28" s="14"/>
      <c r="H28" s="14"/>
      <c r="I28" s="14"/>
      <c r="J28" s="14"/>
    </row>
  </sheetData>
  <mergeCells count="24">
    <mergeCell ref="B17:D17"/>
    <mergeCell ref="C9:D9"/>
    <mergeCell ref="C14:D14"/>
    <mergeCell ref="E14:J14"/>
    <mergeCell ref="C15:D15"/>
    <mergeCell ref="E15:J15"/>
    <mergeCell ref="B16:D16"/>
    <mergeCell ref="E16:J16"/>
    <mergeCell ref="H20:J20"/>
    <mergeCell ref="C12:D12"/>
    <mergeCell ref="E12:J12"/>
    <mergeCell ref="I2:J2"/>
    <mergeCell ref="A3:J3"/>
    <mergeCell ref="D4:J4"/>
    <mergeCell ref="B6:D6"/>
    <mergeCell ref="E6:J6"/>
    <mergeCell ref="C8:D8"/>
    <mergeCell ref="E8:J8"/>
    <mergeCell ref="E9:J9"/>
    <mergeCell ref="C10:D10"/>
    <mergeCell ref="E10:J10"/>
    <mergeCell ref="C11:D11"/>
    <mergeCell ref="E11:J11"/>
    <mergeCell ref="E17:J17"/>
  </mergeCells>
  <phoneticPr fontId="1"/>
  <dataValidations disablePrompts="1" count="2">
    <dataValidation type="list" allowBlank="1" showInputMessage="1" showErrorMessage="1" sqref="F19:G19" xr:uid="{00000000-0002-0000-0700-000000000000}">
      <formula1>#REF!</formula1>
    </dataValidation>
    <dataValidation type="list" allowBlank="1" showInputMessage="1" showErrorMessage="1" sqref="F20" xr:uid="{00000000-0002-0000-0700-000001000000}">
      <formula1>"有,無,予定"</formula1>
    </dataValidation>
  </dataValidations>
  <hyperlinks>
    <hyperlink ref="H20" r:id="rId1" xr:uid="{A58A4E2B-D7F3-4496-B799-7964449B043A}"/>
  </hyperlinks>
  <printOptions horizontalCentered="1"/>
  <pageMargins left="0.25" right="0.25" top="0.75" bottom="0.75" header="0.3" footer="0.3"/>
  <pageSetup paperSize="9" orientation="landscape"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F131"/>
  <sheetViews>
    <sheetView showZeros="0" view="pageBreakPreview" zoomScaleNormal="100" zoomScaleSheetLayoutView="100" workbookViewId="0">
      <selection activeCell="J115" sqref="J115"/>
    </sheetView>
  </sheetViews>
  <sheetFormatPr defaultColWidth="11.36328125" defaultRowHeight="18.75" customHeight="1" x14ac:dyDescent="0.2"/>
  <cols>
    <col min="1" max="1" width="2.453125" style="1" customWidth="1"/>
    <col min="2" max="2" width="15" style="1" customWidth="1"/>
    <col min="3" max="3" width="37.453125" style="1" customWidth="1"/>
    <col min="4" max="4" width="1.26953125" style="1" customWidth="1"/>
    <col min="5" max="5" width="21.08984375" style="1" customWidth="1"/>
    <col min="6" max="6" width="8.7265625" style="1" customWidth="1"/>
    <col min="7" max="7" width="2.26953125" style="1" customWidth="1"/>
    <col min="8" max="8" width="2.08984375" style="1" customWidth="1"/>
    <col min="9" max="16384" width="11.36328125" style="1"/>
  </cols>
  <sheetData>
    <row r="1" spans="1:6" ht="18.75" customHeight="1" x14ac:dyDescent="0.2">
      <c r="E1" s="183" t="s">
        <v>16</v>
      </c>
      <c r="F1" s="183"/>
    </row>
    <row r="2" spans="1:6" ht="18.75" customHeight="1" x14ac:dyDescent="0.2">
      <c r="C2" s="23" t="s">
        <v>87</v>
      </c>
      <c r="D2" s="23" t="s">
        <v>8</v>
      </c>
      <c r="E2" s="310" t="s">
        <v>160</v>
      </c>
      <c r="F2" s="310"/>
    </row>
    <row r="3" spans="1:6" ht="7.5" customHeight="1" x14ac:dyDescent="0.2">
      <c r="C3" s="23"/>
      <c r="D3" s="23"/>
      <c r="E3" s="22"/>
      <c r="F3" s="22"/>
    </row>
    <row r="4" spans="1:6" ht="18.75" customHeight="1" x14ac:dyDescent="0.2">
      <c r="A4" s="193" t="s">
        <v>124</v>
      </c>
      <c r="B4" s="193"/>
      <c r="C4" s="193"/>
      <c r="D4" s="193"/>
      <c r="E4" s="193"/>
      <c r="F4" s="193"/>
    </row>
    <row r="5" spans="1:6" ht="7.5" customHeight="1" x14ac:dyDescent="0.2">
      <c r="A5" s="24"/>
      <c r="B5" s="24"/>
      <c r="C5" s="24"/>
      <c r="D5" s="24"/>
      <c r="E5" s="24"/>
      <c r="F5" s="24"/>
    </row>
    <row r="6" spans="1:6" ht="18.75" customHeight="1" x14ac:dyDescent="0.2">
      <c r="A6" s="24" t="s">
        <v>7</v>
      </c>
      <c r="B6" s="5" t="s">
        <v>33</v>
      </c>
      <c r="C6" s="24"/>
      <c r="D6" s="24"/>
      <c r="E6" s="24"/>
      <c r="F6" s="24"/>
    </row>
    <row r="7" spans="1:6" ht="17" customHeight="1" x14ac:dyDescent="0.2">
      <c r="A7" s="24"/>
      <c r="B7" s="270" t="s">
        <v>161</v>
      </c>
      <c r="C7" s="271"/>
      <c r="D7" s="271"/>
      <c r="E7" s="271"/>
      <c r="F7" s="272"/>
    </row>
    <row r="8" spans="1:6" ht="17" customHeight="1" x14ac:dyDescent="0.2">
      <c r="A8" s="58"/>
      <c r="B8" s="273"/>
      <c r="C8" s="274"/>
      <c r="D8" s="274"/>
      <c r="E8" s="274"/>
      <c r="F8" s="275"/>
    </row>
    <row r="9" spans="1:6" ht="17" customHeight="1" x14ac:dyDescent="0.2">
      <c r="A9" s="58"/>
      <c r="B9" s="273"/>
      <c r="C9" s="274"/>
      <c r="D9" s="274"/>
      <c r="E9" s="274"/>
      <c r="F9" s="275"/>
    </row>
    <row r="10" spans="1:6" ht="17" customHeight="1" x14ac:dyDescent="0.2">
      <c r="A10" s="58"/>
      <c r="B10" s="273"/>
      <c r="C10" s="274"/>
      <c r="D10" s="274"/>
      <c r="E10" s="274"/>
      <c r="F10" s="275"/>
    </row>
    <row r="11" spans="1:6" ht="17" customHeight="1" x14ac:dyDescent="0.2">
      <c r="A11" s="58"/>
      <c r="B11" s="273"/>
      <c r="C11" s="274"/>
      <c r="D11" s="274"/>
      <c r="E11" s="274"/>
      <c r="F11" s="275"/>
    </row>
    <row r="12" spans="1:6" ht="17" customHeight="1" x14ac:dyDescent="0.2">
      <c r="A12" s="58"/>
      <c r="B12" s="273"/>
      <c r="C12" s="274"/>
      <c r="D12" s="274"/>
      <c r="E12" s="274"/>
      <c r="F12" s="275"/>
    </row>
    <row r="13" spans="1:6" ht="17" customHeight="1" x14ac:dyDescent="0.2">
      <c r="A13" s="58"/>
      <c r="B13" s="273"/>
      <c r="C13" s="274"/>
      <c r="D13" s="274"/>
      <c r="E13" s="274"/>
      <c r="F13" s="275"/>
    </row>
    <row r="14" spans="1:6" ht="17" customHeight="1" x14ac:dyDescent="0.2">
      <c r="A14" s="58"/>
      <c r="B14" s="273"/>
      <c r="C14" s="274"/>
      <c r="D14" s="274"/>
      <c r="E14" s="274"/>
      <c r="F14" s="275"/>
    </row>
    <row r="15" spans="1:6" ht="17" customHeight="1" x14ac:dyDescent="0.2">
      <c r="A15" s="58"/>
      <c r="B15" s="273"/>
      <c r="C15" s="274"/>
      <c r="D15" s="274"/>
      <c r="E15" s="274"/>
      <c r="F15" s="275"/>
    </row>
    <row r="16" spans="1:6" ht="17" customHeight="1" x14ac:dyDescent="0.2">
      <c r="A16" s="58"/>
      <c r="B16" s="273"/>
      <c r="C16" s="274"/>
      <c r="D16" s="274"/>
      <c r="E16" s="274"/>
      <c r="F16" s="275"/>
    </row>
    <row r="17" spans="1:6" ht="17" customHeight="1" x14ac:dyDescent="0.2">
      <c r="A17" s="58"/>
      <c r="B17" s="273"/>
      <c r="C17" s="274"/>
      <c r="D17" s="274"/>
      <c r="E17" s="274"/>
      <c r="F17" s="275"/>
    </row>
    <row r="18" spans="1:6" ht="17" customHeight="1" x14ac:dyDescent="0.2">
      <c r="A18" s="58"/>
      <c r="B18" s="273"/>
      <c r="C18" s="274"/>
      <c r="D18" s="274"/>
      <c r="E18" s="274"/>
      <c r="F18" s="275"/>
    </row>
    <row r="19" spans="1:6" ht="17" customHeight="1" x14ac:dyDescent="0.2">
      <c r="A19" s="58"/>
      <c r="B19" s="273"/>
      <c r="C19" s="274"/>
      <c r="D19" s="274"/>
      <c r="E19" s="274"/>
      <c r="F19" s="275"/>
    </row>
    <row r="20" spans="1:6" ht="17" customHeight="1" x14ac:dyDescent="0.2">
      <c r="A20" s="58"/>
      <c r="B20" s="273"/>
      <c r="C20" s="274"/>
      <c r="D20" s="274"/>
      <c r="E20" s="274"/>
      <c r="F20" s="275"/>
    </row>
    <row r="21" spans="1:6" ht="17" customHeight="1" x14ac:dyDescent="0.2">
      <c r="A21" s="58"/>
      <c r="B21" s="273"/>
      <c r="C21" s="274"/>
      <c r="D21" s="274"/>
      <c r="E21" s="274"/>
      <c r="F21" s="275"/>
    </row>
    <row r="22" spans="1:6" ht="17" customHeight="1" x14ac:dyDescent="0.2">
      <c r="A22" s="58"/>
      <c r="B22" s="273"/>
      <c r="C22" s="274"/>
      <c r="D22" s="274"/>
      <c r="E22" s="274"/>
      <c r="F22" s="275"/>
    </row>
    <row r="23" spans="1:6" ht="17" customHeight="1" x14ac:dyDescent="0.2">
      <c r="A23" s="58"/>
      <c r="B23" s="273"/>
      <c r="C23" s="274"/>
      <c r="D23" s="274"/>
      <c r="E23" s="274"/>
      <c r="F23" s="275"/>
    </row>
    <row r="24" spans="1:6" ht="17" customHeight="1" x14ac:dyDescent="0.2">
      <c r="A24" s="58"/>
      <c r="B24" s="273"/>
      <c r="C24" s="274"/>
      <c r="D24" s="274"/>
      <c r="E24" s="274"/>
      <c r="F24" s="275"/>
    </row>
    <row r="25" spans="1:6" ht="17" customHeight="1" x14ac:dyDescent="0.2">
      <c r="A25" s="58"/>
      <c r="B25" s="273"/>
      <c r="C25" s="274"/>
      <c r="D25" s="274"/>
      <c r="E25" s="274"/>
      <c r="F25" s="275"/>
    </row>
    <row r="26" spans="1:6" ht="17" customHeight="1" x14ac:dyDescent="0.2">
      <c r="A26" s="58"/>
      <c r="B26" s="273"/>
      <c r="C26" s="274"/>
      <c r="D26" s="274"/>
      <c r="E26" s="274"/>
      <c r="F26" s="275"/>
    </row>
    <row r="27" spans="1:6" ht="17" customHeight="1" x14ac:dyDescent="0.2">
      <c r="A27" s="58"/>
      <c r="B27" s="273"/>
      <c r="C27" s="274"/>
      <c r="D27" s="274"/>
      <c r="E27" s="274"/>
      <c r="F27" s="275"/>
    </row>
    <row r="28" spans="1:6" ht="17" customHeight="1" x14ac:dyDescent="0.2">
      <c r="A28" s="24"/>
      <c r="B28" s="273"/>
      <c r="C28" s="274"/>
      <c r="D28" s="274"/>
      <c r="E28" s="274"/>
      <c r="F28" s="275"/>
    </row>
    <row r="29" spans="1:6" ht="17" customHeight="1" x14ac:dyDescent="0.2">
      <c r="A29" s="24"/>
      <c r="B29" s="273"/>
      <c r="C29" s="274"/>
      <c r="D29" s="274"/>
      <c r="E29" s="274"/>
      <c r="F29" s="275"/>
    </row>
    <row r="30" spans="1:6" ht="17" customHeight="1" x14ac:dyDescent="0.2">
      <c r="A30" s="24"/>
      <c r="B30" s="273"/>
      <c r="C30" s="274"/>
      <c r="D30" s="274"/>
      <c r="E30" s="274"/>
      <c r="F30" s="275"/>
    </row>
    <row r="31" spans="1:6" ht="17" customHeight="1" x14ac:dyDescent="0.2">
      <c r="A31" s="24"/>
      <c r="B31" s="273"/>
      <c r="C31" s="274"/>
      <c r="D31" s="274"/>
      <c r="E31" s="274"/>
      <c r="F31" s="275"/>
    </row>
    <row r="32" spans="1:6" ht="17" customHeight="1" x14ac:dyDescent="0.2">
      <c r="A32" s="24"/>
      <c r="B32" s="273"/>
      <c r="C32" s="274"/>
      <c r="D32" s="274"/>
      <c r="E32" s="274"/>
      <c r="F32" s="275"/>
    </row>
    <row r="33" spans="1:6" ht="17" customHeight="1" x14ac:dyDescent="0.2">
      <c r="A33" s="24"/>
      <c r="B33" s="273"/>
      <c r="C33" s="274"/>
      <c r="D33" s="274"/>
      <c r="E33" s="274"/>
      <c r="F33" s="275"/>
    </row>
    <row r="34" spans="1:6" ht="17" customHeight="1" x14ac:dyDescent="0.2">
      <c r="A34" s="24"/>
      <c r="B34" s="273"/>
      <c r="C34" s="274"/>
      <c r="D34" s="274"/>
      <c r="E34" s="274"/>
      <c r="F34" s="275"/>
    </row>
    <row r="35" spans="1:6" ht="17" customHeight="1" x14ac:dyDescent="0.2">
      <c r="A35" s="24"/>
      <c r="B35" s="273"/>
      <c r="C35" s="274"/>
      <c r="D35" s="274"/>
      <c r="E35" s="274"/>
      <c r="F35" s="275"/>
    </row>
    <row r="36" spans="1:6" ht="17" customHeight="1" x14ac:dyDescent="0.2">
      <c r="A36" s="24"/>
      <c r="B36" s="273"/>
      <c r="C36" s="274"/>
      <c r="D36" s="274"/>
      <c r="E36" s="274"/>
      <c r="F36" s="275"/>
    </row>
    <row r="37" spans="1:6" ht="17" customHeight="1" x14ac:dyDescent="0.2">
      <c r="A37" s="24"/>
      <c r="B37" s="273"/>
      <c r="C37" s="274"/>
      <c r="D37" s="274"/>
      <c r="E37" s="274"/>
      <c r="F37" s="275"/>
    </row>
    <row r="38" spans="1:6" ht="17" customHeight="1" x14ac:dyDescent="0.2">
      <c r="A38" s="24"/>
      <c r="B38" s="273"/>
      <c r="C38" s="274"/>
      <c r="D38" s="274"/>
      <c r="E38" s="274"/>
      <c r="F38" s="275"/>
    </row>
    <row r="39" spans="1:6" ht="17" customHeight="1" x14ac:dyDescent="0.2">
      <c r="A39" s="24"/>
      <c r="B39" s="273"/>
      <c r="C39" s="274"/>
      <c r="D39" s="274"/>
      <c r="E39" s="274"/>
      <c r="F39" s="275"/>
    </row>
    <row r="40" spans="1:6" ht="17" customHeight="1" x14ac:dyDescent="0.2">
      <c r="A40" s="24"/>
      <c r="B40" s="273"/>
      <c r="C40" s="274"/>
      <c r="D40" s="274"/>
      <c r="E40" s="274"/>
      <c r="F40" s="275"/>
    </row>
    <row r="41" spans="1:6" ht="17" customHeight="1" x14ac:dyDescent="0.2">
      <c r="A41" s="24"/>
      <c r="B41" s="273"/>
      <c r="C41" s="274"/>
      <c r="D41" s="274"/>
      <c r="E41" s="274"/>
      <c r="F41" s="275"/>
    </row>
    <row r="42" spans="1:6" ht="17" customHeight="1" x14ac:dyDescent="0.2">
      <c r="A42" s="24"/>
      <c r="B42" s="273"/>
      <c r="C42" s="274"/>
      <c r="D42" s="274"/>
      <c r="E42" s="274"/>
      <c r="F42" s="275"/>
    </row>
    <row r="43" spans="1:6" ht="17" customHeight="1" x14ac:dyDescent="0.2">
      <c r="A43" s="24"/>
      <c r="B43" s="273"/>
      <c r="C43" s="274"/>
      <c r="D43" s="274"/>
      <c r="E43" s="274"/>
      <c r="F43" s="275"/>
    </row>
    <row r="44" spans="1:6" ht="17" customHeight="1" x14ac:dyDescent="0.2">
      <c r="A44" s="24"/>
      <c r="B44" s="276"/>
      <c r="C44" s="277"/>
      <c r="D44" s="277"/>
      <c r="E44" s="277"/>
      <c r="F44" s="278"/>
    </row>
    <row r="45" spans="1:6" ht="18.75" customHeight="1" x14ac:dyDescent="0.2">
      <c r="A45" s="24" t="s">
        <v>12</v>
      </c>
      <c r="B45" s="5" t="s">
        <v>92</v>
      </c>
      <c r="C45" s="24"/>
      <c r="D45" s="24"/>
      <c r="E45" s="24"/>
      <c r="F45" s="24"/>
    </row>
    <row r="46" spans="1:6" ht="18.75" customHeight="1" x14ac:dyDescent="0.2">
      <c r="A46" s="24"/>
      <c r="B46" s="270" t="s">
        <v>162</v>
      </c>
      <c r="C46" s="271"/>
      <c r="D46" s="271"/>
      <c r="E46" s="271"/>
      <c r="F46" s="272"/>
    </row>
    <row r="47" spans="1:6" ht="18.75" customHeight="1" x14ac:dyDescent="0.2">
      <c r="A47" s="58"/>
      <c r="B47" s="273"/>
      <c r="C47" s="274"/>
      <c r="D47" s="274"/>
      <c r="E47" s="274"/>
      <c r="F47" s="275"/>
    </row>
    <row r="48" spans="1:6" ht="18.75" customHeight="1" x14ac:dyDescent="0.2">
      <c r="A48" s="58"/>
      <c r="B48" s="273"/>
      <c r="C48" s="274"/>
      <c r="D48" s="274"/>
      <c r="E48" s="274"/>
      <c r="F48" s="275"/>
    </row>
    <row r="49" spans="1:6" ht="18.75" customHeight="1" x14ac:dyDescent="0.2">
      <c r="A49" s="58"/>
      <c r="B49" s="273"/>
      <c r="C49" s="274"/>
      <c r="D49" s="274"/>
      <c r="E49" s="274"/>
      <c r="F49" s="275"/>
    </row>
    <row r="50" spans="1:6" ht="18.75" customHeight="1" x14ac:dyDescent="0.2">
      <c r="A50" s="58"/>
      <c r="B50" s="273"/>
      <c r="C50" s="274"/>
      <c r="D50" s="274"/>
      <c r="E50" s="274"/>
      <c r="F50" s="275"/>
    </row>
    <row r="51" spans="1:6" ht="18.75" customHeight="1" x14ac:dyDescent="0.2">
      <c r="A51" s="58"/>
      <c r="B51" s="273"/>
      <c r="C51" s="274"/>
      <c r="D51" s="274"/>
      <c r="E51" s="274"/>
      <c r="F51" s="275"/>
    </row>
    <row r="52" spans="1:6" ht="18.75" customHeight="1" x14ac:dyDescent="0.2">
      <c r="A52" s="58"/>
      <c r="B52" s="273"/>
      <c r="C52" s="274"/>
      <c r="D52" s="274"/>
      <c r="E52" s="274"/>
      <c r="F52" s="275"/>
    </row>
    <row r="53" spans="1:6" ht="18.75" customHeight="1" x14ac:dyDescent="0.2">
      <c r="A53" s="58"/>
      <c r="B53" s="273"/>
      <c r="C53" s="274"/>
      <c r="D53" s="274"/>
      <c r="E53" s="274"/>
      <c r="F53" s="275"/>
    </row>
    <row r="54" spans="1:6" ht="18.75" customHeight="1" x14ac:dyDescent="0.2">
      <c r="A54" s="58"/>
      <c r="B54" s="273"/>
      <c r="C54" s="274"/>
      <c r="D54" s="274"/>
      <c r="E54" s="274"/>
      <c r="F54" s="275"/>
    </row>
    <row r="55" spans="1:6" ht="18.75" customHeight="1" x14ac:dyDescent="0.2">
      <c r="A55" s="58"/>
      <c r="B55" s="273"/>
      <c r="C55" s="274"/>
      <c r="D55" s="274"/>
      <c r="E55" s="274"/>
      <c r="F55" s="275"/>
    </row>
    <row r="56" spans="1:6" ht="18.75" customHeight="1" x14ac:dyDescent="0.2">
      <c r="A56" s="58"/>
      <c r="B56" s="273"/>
      <c r="C56" s="274"/>
      <c r="D56" s="274"/>
      <c r="E56" s="274"/>
      <c r="F56" s="275"/>
    </row>
    <row r="57" spans="1:6" ht="18.75" customHeight="1" x14ac:dyDescent="0.2">
      <c r="A57" s="58"/>
      <c r="B57" s="273"/>
      <c r="C57" s="274"/>
      <c r="D57" s="274"/>
      <c r="E57" s="274"/>
      <c r="F57" s="275"/>
    </row>
    <row r="58" spans="1:6" ht="18.75" customHeight="1" x14ac:dyDescent="0.2">
      <c r="A58" s="58"/>
      <c r="B58" s="273"/>
      <c r="C58" s="274"/>
      <c r="D58" s="274"/>
      <c r="E58" s="274"/>
      <c r="F58" s="275"/>
    </row>
    <row r="59" spans="1:6" ht="18.75" customHeight="1" x14ac:dyDescent="0.2">
      <c r="A59" s="58"/>
      <c r="B59" s="273"/>
      <c r="C59" s="274"/>
      <c r="D59" s="274"/>
      <c r="E59" s="274"/>
      <c r="F59" s="275"/>
    </row>
    <row r="60" spans="1:6" ht="18.75" customHeight="1" x14ac:dyDescent="0.2">
      <c r="A60" s="58"/>
      <c r="B60" s="273"/>
      <c r="C60" s="274"/>
      <c r="D60" s="274"/>
      <c r="E60" s="274"/>
      <c r="F60" s="275"/>
    </row>
    <row r="61" spans="1:6" ht="18.75" customHeight="1" x14ac:dyDescent="0.2">
      <c r="A61" s="58"/>
      <c r="B61" s="273"/>
      <c r="C61" s="274"/>
      <c r="D61" s="274"/>
      <c r="E61" s="274"/>
      <c r="F61" s="275"/>
    </row>
    <row r="62" spans="1:6" ht="18.75" customHeight="1" x14ac:dyDescent="0.2">
      <c r="A62" s="58"/>
      <c r="B62" s="273"/>
      <c r="C62" s="274"/>
      <c r="D62" s="274"/>
      <c r="E62" s="274"/>
      <c r="F62" s="275"/>
    </row>
    <row r="63" spans="1:6" ht="16" customHeight="1" x14ac:dyDescent="0.2">
      <c r="A63" s="58"/>
      <c r="B63" s="273"/>
      <c r="C63" s="274"/>
      <c r="D63" s="274"/>
      <c r="E63" s="274"/>
      <c r="F63" s="275"/>
    </row>
    <row r="64" spans="1:6" ht="16" customHeight="1" x14ac:dyDescent="0.2">
      <c r="A64" s="58"/>
      <c r="B64" s="273"/>
      <c r="C64" s="274"/>
      <c r="D64" s="274"/>
      <c r="E64" s="274"/>
      <c r="F64" s="275"/>
    </row>
    <row r="65" spans="1:6" ht="16" customHeight="1" x14ac:dyDescent="0.2">
      <c r="A65" s="58"/>
      <c r="B65" s="273"/>
      <c r="C65" s="274"/>
      <c r="D65" s="274"/>
      <c r="E65" s="274"/>
      <c r="F65" s="275"/>
    </row>
    <row r="66" spans="1:6" ht="16" customHeight="1" x14ac:dyDescent="0.2">
      <c r="A66" s="58"/>
      <c r="B66" s="273"/>
      <c r="C66" s="274"/>
      <c r="D66" s="274"/>
      <c r="E66" s="274"/>
      <c r="F66" s="275"/>
    </row>
    <row r="67" spans="1:6" ht="16" customHeight="1" x14ac:dyDescent="0.2">
      <c r="A67" s="58"/>
      <c r="B67" s="273"/>
      <c r="C67" s="274"/>
      <c r="D67" s="274"/>
      <c r="E67" s="274"/>
      <c r="F67" s="275"/>
    </row>
    <row r="68" spans="1:6" ht="16" customHeight="1" x14ac:dyDescent="0.2">
      <c r="A68" s="58"/>
      <c r="B68" s="273"/>
      <c r="C68" s="274"/>
      <c r="D68" s="274"/>
      <c r="E68" s="274"/>
      <c r="F68" s="275"/>
    </row>
    <row r="69" spans="1:6" ht="16" customHeight="1" x14ac:dyDescent="0.2">
      <c r="A69" s="58"/>
      <c r="B69" s="273"/>
      <c r="C69" s="274"/>
      <c r="D69" s="274"/>
      <c r="E69" s="274"/>
      <c r="F69" s="275"/>
    </row>
    <row r="70" spans="1:6" ht="16" customHeight="1" x14ac:dyDescent="0.2">
      <c r="A70" s="24"/>
      <c r="B70" s="273"/>
      <c r="C70" s="274"/>
      <c r="D70" s="274"/>
      <c r="E70" s="274"/>
      <c r="F70" s="275"/>
    </row>
    <row r="71" spans="1:6" ht="16" customHeight="1" x14ac:dyDescent="0.2">
      <c r="A71" s="24"/>
      <c r="B71" s="273"/>
      <c r="C71" s="274"/>
      <c r="D71" s="274"/>
      <c r="E71" s="274"/>
      <c r="F71" s="275"/>
    </row>
    <row r="72" spans="1:6" ht="16" customHeight="1" x14ac:dyDescent="0.2">
      <c r="A72" s="24"/>
      <c r="B72" s="273"/>
      <c r="C72" s="274"/>
      <c r="D72" s="274"/>
      <c r="E72" s="274"/>
      <c r="F72" s="275"/>
    </row>
    <row r="73" spans="1:6" ht="16" customHeight="1" x14ac:dyDescent="0.2">
      <c r="A73" s="24"/>
      <c r="B73" s="273"/>
      <c r="C73" s="274"/>
      <c r="D73" s="274"/>
      <c r="E73" s="274"/>
      <c r="F73" s="275"/>
    </row>
    <row r="74" spans="1:6" ht="16" customHeight="1" x14ac:dyDescent="0.2">
      <c r="A74" s="24"/>
      <c r="B74" s="273"/>
      <c r="C74" s="274"/>
      <c r="D74" s="274"/>
      <c r="E74" s="274"/>
      <c r="F74" s="275"/>
    </row>
    <row r="75" spans="1:6" ht="16" customHeight="1" x14ac:dyDescent="0.2">
      <c r="A75" s="24"/>
      <c r="B75" s="273"/>
      <c r="C75" s="274"/>
      <c r="D75" s="274"/>
      <c r="E75" s="274"/>
      <c r="F75" s="275"/>
    </row>
    <row r="76" spans="1:6" ht="16" customHeight="1" x14ac:dyDescent="0.2">
      <c r="A76" s="24"/>
      <c r="B76" s="273"/>
      <c r="C76" s="274"/>
      <c r="D76" s="274"/>
      <c r="E76" s="274"/>
      <c r="F76" s="275"/>
    </row>
    <row r="77" spans="1:6" ht="16" customHeight="1" x14ac:dyDescent="0.2">
      <c r="A77" s="24"/>
      <c r="B77" s="273"/>
      <c r="C77" s="274"/>
      <c r="D77" s="274"/>
      <c r="E77" s="274"/>
      <c r="F77" s="275"/>
    </row>
    <row r="78" spans="1:6" ht="16" customHeight="1" x14ac:dyDescent="0.2">
      <c r="A78" s="24"/>
      <c r="B78" s="273"/>
      <c r="C78" s="274"/>
      <c r="D78" s="274"/>
      <c r="E78" s="274"/>
      <c r="F78" s="275"/>
    </row>
    <row r="79" spans="1:6" ht="16" customHeight="1" x14ac:dyDescent="0.2">
      <c r="A79" s="24"/>
      <c r="B79" s="273"/>
      <c r="C79" s="274"/>
      <c r="D79" s="274"/>
      <c r="E79" s="274"/>
      <c r="F79" s="275"/>
    </row>
    <row r="80" spans="1:6" ht="16" customHeight="1" x14ac:dyDescent="0.2">
      <c r="A80" s="24"/>
      <c r="B80" s="273"/>
      <c r="C80" s="274"/>
      <c r="D80" s="274"/>
      <c r="E80" s="274"/>
      <c r="F80" s="275"/>
    </row>
    <row r="81" spans="1:6" ht="16" customHeight="1" x14ac:dyDescent="0.2">
      <c r="A81" s="24"/>
      <c r="B81" s="273"/>
      <c r="C81" s="274"/>
      <c r="D81" s="274"/>
      <c r="E81" s="274"/>
      <c r="F81" s="275"/>
    </row>
    <row r="82" spans="1:6" ht="16" customHeight="1" x14ac:dyDescent="0.2">
      <c r="A82" s="24"/>
      <c r="B82" s="273"/>
      <c r="C82" s="274"/>
      <c r="D82" s="274"/>
      <c r="E82" s="274"/>
      <c r="F82" s="275"/>
    </row>
    <row r="83" spans="1:6" ht="16" customHeight="1" x14ac:dyDescent="0.2">
      <c r="A83" s="58"/>
      <c r="B83" s="273"/>
      <c r="C83" s="274"/>
      <c r="D83" s="274"/>
      <c r="E83" s="274"/>
      <c r="F83" s="275"/>
    </row>
    <row r="84" spans="1:6" ht="16" customHeight="1" x14ac:dyDescent="0.2">
      <c r="A84" s="24"/>
      <c r="B84" s="273"/>
      <c r="C84" s="274"/>
      <c r="D84" s="274"/>
      <c r="E84" s="274"/>
      <c r="F84" s="275"/>
    </row>
    <row r="85" spans="1:6" ht="16" customHeight="1" x14ac:dyDescent="0.2">
      <c r="A85" s="24"/>
      <c r="B85" s="273"/>
      <c r="C85" s="274"/>
      <c r="D85" s="274"/>
      <c r="E85" s="274"/>
      <c r="F85" s="275"/>
    </row>
    <row r="86" spans="1:6" ht="16" customHeight="1" x14ac:dyDescent="0.2">
      <c r="A86" s="24"/>
      <c r="B86" s="273"/>
      <c r="C86" s="274"/>
      <c r="D86" s="274"/>
      <c r="E86" s="274"/>
      <c r="F86" s="275"/>
    </row>
    <row r="87" spans="1:6" ht="16" customHeight="1" x14ac:dyDescent="0.2">
      <c r="A87" s="24"/>
      <c r="B87" s="276"/>
      <c r="C87" s="277"/>
      <c r="D87" s="277"/>
      <c r="E87" s="277"/>
      <c r="F87" s="278"/>
    </row>
    <row r="88" spans="1:6" s="13" customFormat="1" ht="18.75" customHeight="1" x14ac:dyDescent="0.2">
      <c r="A88" s="5" t="s">
        <v>13</v>
      </c>
      <c r="B88" s="5" t="s">
        <v>93</v>
      </c>
      <c r="C88" s="5"/>
      <c r="D88" s="5"/>
      <c r="E88" s="5"/>
      <c r="F88" s="5"/>
    </row>
    <row r="89" spans="1:6" ht="18.75" customHeight="1" x14ac:dyDescent="0.2">
      <c r="A89" s="24"/>
      <c r="B89" s="270" t="s">
        <v>163</v>
      </c>
      <c r="C89" s="271"/>
      <c r="D89" s="271"/>
      <c r="E89" s="271"/>
      <c r="F89" s="272"/>
    </row>
    <row r="90" spans="1:6" ht="18.75" customHeight="1" x14ac:dyDescent="0.2">
      <c r="A90" s="24"/>
      <c r="B90" s="273"/>
      <c r="C90" s="274"/>
      <c r="D90" s="274"/>
      <c r="E90" s="274"/>
      <c r="F90" s="275"/>
    </row>
    <row r="91" spans="1:6" ht="18.75" customHeight="1" x14ac:dyDescent="0.2">
      <c r="A91" s="58"/>
      <c r="B91" s="273"/>
      <c r="C91" s="274"/>
      <c r="D91" s="274"/>
      <c r="E91" s="274"/>
      <c r="F91" s="275"/>
    </row>
    <row r="92" spans="1:6" ht="18.75" customHeight="1" x14ac:dyDescent="0.2">
      <c r="A92" s="58"/>
      <c r="B92" s="273"/>
      <c r="C92" s="274"/>
      <c r="D92" s="274"/>
      <c r="E92" s="274"/>
      <c r="F92" s="275"/>
    </row>
    <row r="93" spans="1:6" ht="18.75" customHeight="1" x14ac:dyDescent="0.2">
      <c r="A93" s="58"/>
      <c r="B93" s="273"/>
      <c r="C93" s="274"/>
      <c r="D93" s="274"/>
      <c r="E93" s="274"/>
      <c r="F93" s="275"/>
    </row>
    <row r="94" spans="1:6" ht="18.75" customHeight="1" x14ac:dyDescent="0.2">
      <c r="A94" s="58"/>
      <c r="B94" s="273"/>
      <c r="C94" s="274"/>
      <c r="D94" s="274"/>
      <c r="E94" s="274"/>
      <c r="F94" s="275"/>
    </row>
    <row r="95" spans="1:6" ht="18.75" customHeight="1" x14ac:dyDescent="0.2">
      <c r="A95" s="58"/>
      <c r="B95" s="273"/>
      <c r="C95" s="274"/>
      <c r="D95" s="274"/>
      <c r="E95" s="274"/>
      <c r="F95" s="275"/>
    </row>
    <row r="96" spans="1:6" ht="18.75" customHeight="1" x14ac:dyDescent="0.2">
      <c r="A96" s="58"/>
      <c r="B96" s="273"/>
      <c r="C96" s="274"/>
      <c r="D96" s="274"/>
      <c r="E96" s="274"/>
      <c r="F96" s="275"/>
    </row>
    <row r="97" spans="1:6" ht="18.75" customHeight="1" x14ac:dyDescent="0.2">
      <c r="A97" s="58"/>
      <c r="B97" s="273"/>
      <c r="C97" s="274"/>
      <c r="D97" s="274"/>
      <c r="E97" s="274"/>
      <c r="F97" s="275"/>
    </row>
    <row r="98" spans="1:6" ht="18.75" customHeight="1" x14ac:dyDescent="0.2">
      <c r="A98" s="58"/>
      <c r="B98" s="273"/>
      <c r="C98" s="274"/>
      <c r="D98" s="274"/>
      <c r="E98" s="274"/>
      <c r="F98" s="275"/>
    </row>
    <row r="99" spans="1:6" ht="18.75" customHeight="1" x14ac:dyDescent="0.2">
      <c r="A99" s="58"/>
      <c r="B99" s="273"/>
      <c r="C99" s="274"/>
      <c r="D99" s="274"/>
      <c r="E99" s="274"/>
      <c r="F99" s="275"/>
    </row>
    <row r="100" spans="1:6" ht="18.75" customHeight="1" x14ac:dyDescent="0.2">
      <c r="A100" s="58"/>
      <c r="B100" s="273"/>
      <c r="C100" s="274"/>
      <c r="D100" s="274"/>
      <c r="E100" s="274"/>
      <c r="F100" s="275"/>
    </row>
    <row r="101" spans="1:6" ht="18.75" customHeight="1" x14ac:dyDescent="0.2">
      <c r="A101" s="58"/>
      <c r="B101" s="273"/>
      <c r="C101" s="274"/>
      <c r="D101" s="274"/>
      <c r="E101" s="274"/>
      <c r="F101" s="275"/>
    </row>
    <row r="102" spans="1:6" ht="18.75" customHeight="1" x14ac:dyDescent="0.2">
      <c r="A102" s="58"/>
      <c r="B102" s="273"/>
      <c r="C102" s="274"/>
      <c r="D102" s="274"/>
      <c r="E102" s="274"/>
      <c r="F102" s="275"/>
    </row>
    <row r="103" spans="1:6" ht="18.75" customHeight="1" x14ac:dyDescent="0.2">
      <c r="A103" s="58"/>
      <c r="B103" s="273"/>
      <c r="C103" s="274"/>
      <c r="D103" s="274"/>
      <c r="E103" s="274"/>
      <c r="F103" s="275"/>
    </row>
    <row r="104" spans="1:6" ht="18.75" customHeight="1" x14ac:dyDescent="0.2">
      <c r="A104" s="58"/>
      <c r="B104" s="273"/>
      <c r="C104" s="274"/>
      <c r="D104" s="274"/>
      <c r="E104" s="274"/>
      <c r="F104" s="275"/>
    </row>
    <row r="105" spans="1:6" ht="18.75" customHeight="1" x14ac:dyDescent="0.2">
      <c r="A105" s="58"/>
      <c r="B105" s="273"/>
      <c r="C105" s="274"/>
      <c r="D105" s="274"/>
      <c r="E105" s="274"/>
      <c r="F105" s="275"/>
    </row>
    <row r="106" spans="1:6" ht="18.75" customHeight="1" x14ac:dyDescent="0.2">
      <c r="A106" s="58"/>
      <c r="B106" s="273"/>
      <c r="C106" s="274"/>
      <c r="D106" s="274"/>
      <c r="E106" s="274"/>
      <c r="F106" s="275"/>
    </row>
    <row r="107" spans="1:6" ht="18.75" customHeight="1" x14ac:dyDescent="0.2">
      <c r="A107" s="58"/>
      <c r="B107" s="273"/>
      <c r="C107" s="274"/>
      <c r="D107" s="274"/>
      <c r="E107" s="274"/>
      <c r="F107" s="275"/>
    </row>
    <row r="108" spans="1:6" ht="18.75" customHeight="1" x14ac:dyDescent="0.2">
      <c r="A108" s="58"/>
      <c r="B108" s="273"/>
      <c r="C108" s="274"/>
      <c r="D108" s="274"/>
      <c r="E108" s="274"/>
      <c r="F108" s="275"/>
    </row>
    <row r="109" spans="1:6" ht="18.75" customHeight="1" x14ac:dyDescent="0.2">
      <c r="A109" s="58"/>
      <c r="B109" s="273"/>
      <c r="C109" s="274"/>
      <c r="D109" s="274"/>
      <c r="E109" s="274"/>
      <c r="F109" s="275"/>
    </row>
    <row r="110" spans="1:6" ht="18.75" customHeight="1" x14ac:dyDescent="0.2">
      <c r="A110" s="58"/>
      <c r="B110" s="273"/>
      <c r="C110" s="274"/>
      <c r="D110" s="274"/>
      <c r="E110" s="274"/>
      <c r="F110" s="275"/>
    </row>
    <row r="111" spans="1:6" ht="18.75" customHeight="1" x14ac:dyDescent="0.2">
      <c r="A111" s="58"/>
      <c r="B111" s="273"/>
      <c r="C111" s="274"/>
      <c r="D111" s="274"/>
      <c r="E111" s="274"/>
      <c r="F111" s="275"/>
    </row>
    <row r="112" spans="1:6" ht="18.75" customHeight="1" x14ac:dyDescent="0.2">
      <c r="A112" s="58"/>
      <c r="B112" s="273"/>
      <c r="C112" s="274"/>
      <c r="D112" s="274"/>
      <c r="E112" s="274"/>
      <c r="F112" s="275"/>
    </row>
    <row r="113" spans="1:6" ht="18.75" customHeight="1" x14ac:dyDescent="0.2">
      <c r="A113" s="58"/>
      <c r="B113" s="273"/>
      <c r="C113" s="274"/>
      <c r="D113" s="274"/>
      <c r="E113" s="274"/>
      <c r="F113" s="275"/>
    </row>
    <row r="114" spans="1:6" ht="18.75" customHeight="1" x14ac:dyDescent="0.2">
      <c r="A114" s="58"/>
      <c r="B114" s="273"/>
      <c r="C114" s="274"/>
      <c r="D114" s="274"/>
      <c r="E114" s="274"/>
      <c r="F114" s="275"/>
    </row>
    <row r="115" spans="1:6" ht="15" customHeight="1" x14ac:dyDescent="0.2">
      <c r="A115" s="24"/>
      <c r="B115" s="273"/>
      <c r="C115" s="274"/>
      <c r="D115" s="274"/>
      <c r="E115" s="274"/>
      <c r="F115" s="275"/>
    </row>
    <row r="116" spans="1:6" ht="15" customHeight="1" x14ac:dyDescent="0.2">
      <c r="A116" s="24"/>
      <c r="B116" s="273"/>
      <c r="C116" s="274"/>
      <c r="D116" s="274"/>
      <c r="E116" s="274"/>
      <c r="F116" s="275"/>
    </row>
    <row r="117" spans="1:6" ht="15" customHeight="1" x14ac:dyDescent="0.2">
      <c r="A117" s="24"/>
      <c r="B117" s="273"/>
      <c r="C117" s="274"/>
      <c r="D117" s="274"/>
      <c r="E117" s="274"/>
      <c r="F117" s="275"/>
    </row>
    <row r="118" spans="1:6" ht="15" customHeight="1" x14ac:dyDescent="0.2">
      <c r="A118" s="24"/>
      <c r="B118" s="273"/>
      <c r="C118" s="274"/>
      <c r="D118" s="274"/>
      <c r="E118" s="274"/>
      <c r="F118" s="275"/>
    </row>
    <row r="119" spans="1:6" ht="15" customHeight="1" x14ac:dyDescent="0.2">
      <c r="A119" s="24"/>
      <c r="B119" s="273"/>
      <c r="C119" s="274"/>
      <c r="D119" s="274"/>
      <c r="E119" s="274"/>
      <c r="F119" s="275"/>
    </row>
    <row r="120" spans="1:6" ht="15" customHeight="1" x14ac:dyDescent="0.2">
      <c r="A120" s="24"/>
      <c r="B120" s="273"/>
      <c r="C120" s="274"/>
      <c r="D120" s="274"/>
      <c r="E120" s="274"/>
      <c r="F120" s="275"/>
    </row>
    <row r="121" spans="1:6" ht="15" customHeight="1" x14ac:dyDescent="0.2">
      <c r="A121" s="24"/>
      <c r="B121" s="273"/>
      <c r="C121" s="274"/>
      <c r="D121" s="274"/>
      <c r="E121" s="274"/>
      <c r="F121" s="275"/>
    </row>
    <row r="122" spans="1:6" ht="15" customHeight="1" x14ac:dyDescent="0.2">
      <c r="A122" s="24"/>
      <c r="B122" s="273"/>
      <c r="C122" s="274"/>
      <c r="D122" s="274"/>
      <c r="E122" s="274"/>
      <c r="F122" s="275"/>
    </row>
    <row r="123" spans="1:6" ht="15" customHeight="1" x14ac:dyDescent="0.2">
      <c r="A123" s="24"/>
      <c r="B123" s="273"/>
      <c r="C123" s="274"/>
      <c r="D123" s="274"/>
      <c r="E123" s="274"/>
      <c r="F123" s="275"/>
    </row>
    <row r="124" spans="1:6" ht="15" customHeight="1" x14ac:dyDescent="0.2">
      <c r="A124" s="24"/>
      <c r="B124" s="273"/>
      <c r="C124" s="274"/>
      <c r="D124" s="274"/>
      <c r="E124" s="274"/>
      <c r="F124" s="275"/>
    </row>
    <row r="125" spans="1:6" ht="15" customHeight="1" x14ac:dyDescent="0.2">
      <c r="A125" s="24"/>
      <c r="B125" s="273"/>
      <c r="C125" s="274"/>
      <c r="D125" s="274"/>
      <c r="E125" s="274"/>
      <c r="F125" s="275"/>
    </row>
    <row r="126" spans="1:6" ht="15" customHeight="1" x14ac:dyDescent="0.2">
      <c r="A126" s="24"/>
      <c r="B126" s="273"/>
      <c r="C126" s="274"/>
      <c r="D126" s="274"/>
      <c r="E126" s="274"/>
      <c r="F126" s="275"/>
    </row>
    <row r="127" spans="1:6" ht="15" customHeight="1" x14ac:dyDescent="0.2">
      <c r="A127" s="24"/>
      <c r="B127" s="273"/>
      <c r="C127" s="274"/>
      <c r="D127" s="274"/>
      <c r="E127" s="274"/>
      <c r="F127" s="275"/>
    </row>
    <row r="128" spans="1:6" ht="15" customHeight="1" x14ac:dyDescent="0.2">
      <c r="A128" s="24"/>
      <c r="B128" s="273"/>
      <c r="C128" s="274"/>
      <c r="D128" s="274"/>
      <c r="E128" s="274"/>
      <c r="F128" s="275"/>
    </row>
    <row r="129" spans="1:6" ht="15" customHeight="1" x14ac:dyDescent="0.2">
      <c r="A129" s="24"/>
      <c r="B129" s="273"/>
      <c r="C129" s="274"/>
      <c r="D129" s="274"/>
      <c r="E129" s="274"/>
      <c r="F129" s="275"/>
    </row>
    <row r="130" spans="1:6" ht="15" customHeight="1" x14ac:dyDescent="0.2">
      <c r="A130" s="24"/>
      <c r="B130" s="276"/>
      <c r="C130" s="277"/>
      <c r="D130" s="277"/>
      <c r="E130" s="277"/>
      <c r="F130" s="278"/>
    </row>
    <row r="131" spans="1:6" ht="15" customHeight="1" x14ac:dyDescent="0.2"/>
  </sheetData>
  <mergeCells count="6">
    <mergeCell ref="B89:F130"/>
    <mergeCell ref="E1:F1"/>
    <mergeCell ref="E2:F2"/>
    <mergeCell ref="A4:F4"/>
    <mergeCell ref="B7:F44"/>
    <mergeCell ref="B46:F87"/>
  </mergeCells>
  <phoneticPr fontId="1"/>
  <printOptions horizontalCentered="1"/>
  <pageMargins left="0.25" right="0.25" top="0.75" bottom="0.75" header="0.3" footer="0.3"/>
  <pageSetup paperSize="9" orientation="portrait" r:id="rId1"/>
  <rowBreaks count="2" manualBreakCount="2">
    <brk id="44" max="5" man="1"/>
    <brk id="87"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9</vt:i4>
      </vt:variant>
    </vt:vector>
  </HeadingPairs>
  <TitlesOfParts>
    <vt:vector size="18" baseType="lpstr">
      <vt:lpstr>様式１　大学等概要</vt:lpstr>
      <vt:lpstr>様式２－１　プログラムを構成する授業科目</vt:lpstr>
      <vt:lpstr>様式２－２　プログラムを構成する授業科目</vt:lpstr>
      <vt:lpstr>様式３　履修者等数の実績</vt:lpstr>
      <vt:lpstr>様式4－１　プログラムの授業内容・概要 </vt:lpstr>
      <vt:lpstr>様式4－２　プログラムの授業内容・概要</vt:lpstr>
      <vt:lpstr>様式５　教育の質・履修者数を向上させるための体制・計画</vt:lpstr>
      <vt:lpstr>様式６　自己点検・評価</vt:lpstr>
      <vt:lpstr>様式７　特色ある取組</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'様式4－１　プログラムの授業内容・概要 '!Print_Area</vt:lpstr>
      <vt:lpstr>'様式4－２　プログラムの授業内容・概要'!Print_Area</vt:lpstr>
      <vt:lpstr>'様式５　教育の質・履修者数を向上させるための体制・計画'!Print_Area</vt:lpstr>
      <vt:lpstr>'様式６　自己点検・評価'!Print_Area</vt:lpstr>
      <vt:lpstr>'様式７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n-hanayama</cp:lastModifiedBy>
  <cp:lastPrinted>2021-06-29T04:34:40Z</cp:lastPrinted>
  <dcterms:created xsi:type="dcterms:W3CDTF">2011-06-14T05:32:50Z</dcterms:created>
  <dcterms:modified xsi:type="dcterms:W3CDTF">2021-07-13T08:33:16Z</dcterms:modified>
</cp:coreProperties>
</file>