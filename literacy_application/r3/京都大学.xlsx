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17"/>
  <workbookPr codeName="ThisWorkbook" defaultThemeVersion="124226"/>
  <mc:AlternateContent xmlns:mc="http://schemas.openxmlformats.org/markup-compatibility/2006">
    <mc:Choice Requires="x15">
      <x15ac:absPath xmlns:x15ac="http://schemas.microsoft.com/office/spreadsheetml/2010/11/ac" url="\\tfsv.vpc.adm.kyoto-u.ac.jp\840教務企画課$\030教育企画掛\16 データサイエンス\20210514〆　「数理・データサイエンス・ＡＩ教育プログラム認定制度（リテラシーレベル）」におけるプログラム認定の申請の開始について\05_再提出\再提出資料\"/>
    </mc:Choice>
  </mc:AlternateContent>
  <xr:revisionPtr revIDLastSave="0" documentId="13_ncr:1_{C07B346B-BD9D-49CA-823A-C3CF94BC3CCE}" xr6:coauthVersionLast="47" xr6:coauthVersionMax="47" xr10:uidLastSave="{00000000-0000-0000-0000-000000000000}"/>
  <bookViews>
    <workbookView xWindow="0" yWindow="0" windowWidth="28800" windowHeight="11760" tabRatio="885" xr2:uid="{00000000-000D-0000-FFFF-FFFF00000000}"/>
  </bookViews>
  <sheets>
    <sheet name="様式１　大学等概要" sheetId="8" r:id="rId1"/>
    <sheet name="様式２－１　プログラムを構成する授業科目" sheetId="9" r:id="rId2"/>
    <sheet name="様式３　履修者等数の実績" sheetId="37" r:id="rId3"/>
    <sheet name="様式4－1　プログラムの授業内容・概要" sheetId="38" r:id="rId4"/>
    <sheet name="様式５　教育の質・履修者数を向上させるための体制・計画" sheetId="39" r:id="rId5"/>
    <sheet name="様式６　自己点検・評価" sheetId="40" r:id="rId6"/>
    <sheet name="様式７　特色ある取組" sheetId="41" r:id="rId7"/>
  </sheets>
  <definedNames>
    <definedName name="_xlnm._FilterDatabase" localSheetId="1" hidden="1">'様式２－１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'様式２－１　プログラムを構成する授業科目'!$A$1:$I$44</definedName>
    <definedName name="_xlnm.Print_Area" localSheetId="2">'様式３　履修者等数の実績'!$A$1:$R$38</definedName>
    <definedName name="_xlnm.Print_Area" localSheetId="3">'様式4－1　プログラムの授業内容・概要'!$A$1:$G$144</definedName>
    <definedName name="_xlnm.Print_Area" localSheetId="4">'様式５　教育の質・履修者数を向上させるための体制・計画'!$A$1:$E$134</definedName>
    <definedName name="_xlnm.Print_Area" localSheetId="5">'様式６　自己点検・評価'!$A$1:$J$20</definedName>
    <definedName name="_xlnm.Print_Area" localSheetId="6">'様式７　特色ある取組'!$A$1:$F$130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0" i="37" l="1"/>
  <c r="O30" i="37"/>
  <c r="N30" i="37"/>
  <c r="M30" i="37"/>
  <c r="L30" i="37"/>
  <c r="K30" i="37"/>
  <c r="J30" i="37"/>
  <c r="I30" i="37"/>
  <c r="H30" i="37"/>
  <c r="G30" i="37"/>
  <c r="F30" i="37"/>
  <c r="E30" i="37"/>
  <c r="Q29" i="37"/>
  <c r="R29" i="37" s="1"/>
  <c r="Q28" i="37"/>
  <c r="R28" i="37" s="1"/>
  <c r="Q27" i="37"/>
  <c r="R27" i="37" s="1"/>
  <c r="Q26" i="37"/>
  <c r="R26" i="37" s="1"/>
  <c r="Q25" i="37"/>
  <c r="R25" i="37" s="1"/>
  <c r="Q24" i="37"/>
  <c r="R24" i="37" s="1"/>
  <c r="Q23" i="37"/>
  <c r="R23" i="37" s="1"/>
  <c r="Q22" i="37"/>
  <c r="R22" i="37" s="1"/>
  <c r="Q21" i="37"/>
  <c r="R21" i="37" s="1"/>
  <c r="Q20" i="37"/>
  <c r="R20" i="37" s="1"/>
  <c r="Q19" i="37"/>
  <c r="R19" i="37" s="1"/>
  <c r="Q18" i="37"/>
  <c r="R18" i="37" s="1"/>
  <c r="Q17" i="37"/>
  <c r="R17" i="37" s="1"/>
  <c r="Q16" i="37"/>
  <c r="R16" i="37" s="1"/>
  <c r="Q15" i="37"/>
  <c r="R15" i="37" s="1"/>
  <c r="Q14" i="37"/>
  <c r="R14" i="37" s="1"/>
  <c r="Q13" i="37"/>
  <c r="R13" i="37" s="1"/>
  <c r="Q12" i="37"/>
  <c r="R12" i="37" s="1"/>
  <c r="Q11" i="37"/>
  <c r="R11" i="37" s="1"/>
  <c r="Q10" i="37"/>
  <c r="R10" i="37" s="1"/>
  <c r="Q9" i="37"/>
  <c r="R9" i="37" s="1"/>
  <c r="Q8" i="37"/>
  <c r="R8" i="37" s="1"/>
  <c r="Q30" i="37" l="1"/>
  <c r="R30" i="37" s="1"/>
</calcChain>
</file>

<file path=xl/sharedStrings.xml><?xml version="1.0" encoding="utf-8"?>
<sst xmlns="http://schemas.openxmlformats.org/spreadsheetml/2006/main" count="320" uniqueCount="237">
  <si>
    <t>様式１</t>
    <rPh sb="0" eb="2">
      <t>ヨウシキ</t>
    </rPh>
    <phoneticPr fontId="2"/>
  </si>
  <si>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2"/>
  </si>
  <si>
    <t>①</t>
    <phoneticPr fontId="2"/>
  </si>
  <si>
    <t>学校名</t>
    <rPh sb="0" eb="2">
      <t>ガッコウ</t>
    </rPh>
    <rPh sb="2" eb="3">
      <t>メイ</t>
    </rPh>
    <phoneticPr fontId="2"/>
  </si>
  <si>
    <t>京都大学</t>
    <rPh sb="0" eb="4">
      <t xml:space="preserve">キョウトダイガク </t>
    </rPh>
    <phoneticPr fontId="2"/>
  </si>
  <si>
    <t>②</t>
    <phoneticPr fontId="2"/>
  </si>
  <si>
    <t>大学等の設置者</t>
  </si>
  <si>
    <t>国立大学法人京都大学</t>
    <phoneticPr fontId="2"/>
  </si>
  <si>
    <t>③</t>
    <phoneticPr fontId="2"/>
  </si>
  <si>
    <t>設置形態</t>
  </si>
  <si>
    <t>国立大学</t>
  </si>
  <si>
    <t>④</t>
    <phoneticPr fontId="2"/>
  </si>
  <si>
    <t>所在地</t>
    <phoneticPr fontId="2"/>
  </si>
  <si>
    <t>京都府京都市左京区吉田本町</t>
    <phoneticPr fontId="2"/>
  </si>
  <si>
    <t>⑤</t>
    <phoneticPr fontId="2"/>
  </si>
  <si>
    <t>申請するプログラム又は授業科目名称</t>
    <rPh sb="0" eb="2">
      <t>シンセイ</t>
    </rPh>
    <rPh sb="9" eb="10">
      <t>マタ</t>
    </rPh>
    <rPh sb="11" eb="13">
      <t>ジュギョウ</t>
    </rPh>
    <rPh sb="13" eb="15">
      <t>カモク</t>
    </rPh>
    <rPh sb="15" eb="17">
      <t>メイショウ</t>
    </rPh>
    <phoneticPr fontId="2"/>
  </si>
  <si>
    <t>統計入門</t>
    <rPh sb="0" eb="4">
      <t xml:space="preserve">トウケイニュウモン </t>
    </rPh>
    <phoneticPr fontId="2"/>
  </si>
  <si>
    <t>⑥</t>
    <phoneticPr fontId="2"/>
  </si>
  <si>
    <t>プログラムの開設年度</t>
    <rPh sb="6" eb="8">
      <t>カイセツ</t>
    </rPh>
    <rPh sb="8" eb="10">
      <t>ネンド</t>
    </rPh>
    <phoneticPr fontId="2"/>
  </si>
  <si>
    <t>平成27年度</t>
    <rPh sb="0" eb="2">
      <t>ヘイセイ</t>
    </rPh>
    <rPh sb="4" eb="6">
      <t>ネンド</t>
    </rPh>
    <phoneticPr fontId="2"/>
  </si>
  <si>
    <t>⑦</t>
    <phoneticPr fontId="2"/>
  </si>
  <si>
    <t>教員数</t>
    <rPh sb="0" eb="2">
      <t>キョウイン</t>
    </rPh>
    <rPh sb="2" eb="3">
      <t>スウ</t>
    </rPh>
    <phoneticPr fontId="2"/>
  </si>
  <si>
    <t>（常勤）</t>
    <rPh sb="1" eb="3">
      <t>ジョウキン</t>
    </rPh>
    <phoneticPr fontId="2"/>
  </si>
  <si>
    <t>人</t>
    <rPh sb="0" eb="1">
      <t>ニン</t>
    </rPh>
    <phoneticPr fontId="2"/>
  </si>
  <si>
    <t>（非常勤）</t>
    <rPh sb="1" eb="4">
      <t>ヒジョウキン</t>
    </rPh>
    <phoneticPr fontId="2"/>
  </si>
  <si>
    <t>⑧</t>
    <phoneticPr fontId="2"/>
  </si>
  <si>
    <t>プログラムの授業を教えている教員数</t>
    <rPh sb="6" eb="8">
      <t>ジュギョウ</t>
    </rPh>
    <rPh sb="9" eb="10">
      <t>オシ</t>
    </rPh>
    <rPh sb="14" eb="16">
      <t>キョウイン</t>
    </rPh>
    <rPh sb="16" eb="17">
      <t>スウ</t>
    </rPh>
    <phoneticPr fontId="2"/>
  </si>
  <si>
    <t>⑨</t>
    <phoneticPr fontId="2"/>
  </si>
  <si>
    <t>全学部・学科の入学定員</t>
    <rPh sb="0" eb="1">
      <t>ゼン</t>
    </rPh>
    <rPh sb="4" eb="6">
      <t>ガッカ</t>
    </rPh>
    <rPh sb="7" eb="9">
      <t>ニュウガク</t>
    </rPh>
    <rPh sb="9" eb="11">
      <t>テイイン</t>
    </rPh>
    <phoneticPr fontId="2"/>
  </si>
  <si>
    <t>人</t>
  </si>
  <si>
    <t>⑩</t>
    <phoneticPr fontId="2"/>
  </si>
  <si>
    <t>全学部・学科の学生数（学年別）</t>
    <rPh sb="0" eb="1">
      <t>ゼン</t>
    </rPh>
    <rPh sb="4" eb="6">
      <t>ガッカ</t>
    </rPh>
    <rPh sb="7" eb="10">
      <t>ガクセイスウ</t>
    </rPh>
    <rPh sb="11" eb="13">
      <t>ガクネン</t>
    </rPh>
    <rPh sb="13" eb="14">
      <t>ベツ</t>
    </rPh>
    <phoneticPr fontId="2"/>
  </si>
  <si>
    <t>総数</t>
    <rPh sb="0" eb="2">
      <t>ソウスウ</t>
    </rPh>
    <phoneticPr fontId="2"/>
  </si>
  <si>
    <t>１年次</t>
    <rPh sb="1" eb="2">
      <t>ネン</t>
    </rPh>
    <rPh sb="2" eb="3">
      <t>ツギ</t>
    </rPh>
    <phoneticPr fontId="2"/>
  </si>
  <si>
    <t>２年次</t>
    <rPh sb="1" eb="2">
      <t>ネン</t>
    </rPh>
    <rPh sb="2" eb="3">
      <t>ツギ</t>
    </rPh>
    <phoneticPr fontId="2"/>
  </si>
  <si>
    <t>３年次</t>
    <rPh sb="1" eb="2">
      <t>ネン</t>
    </rPh>
    <rPh sb="2" eb="3">
      <t>ツギ</t>
    </rPh>
    <phoneticPr fontId="2"/>
  </si>
  <si>
    <t>４年次</t>
    <rPh sb="1" eb="2">
      <t>ネン</t>
    </rPh>
    <rPh sb="2" eb="3">
      <t>ツギ</t>
    </rPh>
    <phoneticPr fontId="2"/>
  </si>
  <si>
    <t>５年次</t>
    <rPh sb="1" eb="2">
      <t>ネン</t>
    </rPh>
    <rPh sb="2" eb="3">
      <t>ツギ</t>
    </rPh>
    <phoneticPr fontId="2"/>
  </si>
  <si>
    <t>６年次</t>
    <rPh sb="1" eb="2">
      <t>ネン</t>
    </rPh>
    <rPh sb="2" eb="3">
      <t>ツギ</t>
    </rPh>
    <phoneticPr fontId="2"/>
  </si>
  <si>
    <t>⑪</t>
    <phoneticPr fontId="2"/>
  </si>
  <si>
    <t>プログラムの運営責任者</t>
    <phoneticPr fontId="2"/>
  </si>
  <si>
    <t>（責任者名）</t>
    <rPh sb="1" eb="4">
      <t>セキニンシャ</t>
    </rPh>
    <rPh sb="4" eb="5">
      <t>メイ</t>
    </rPh>
    <phoneticPr fontId="2"/>
  </si>
  <si>
    <t>宮川　恒</t>
    <rPh sb="0" eb="2">
      <t xml:space="preserve">ミヤガワ </t>
    </rPh>
    <phoneticPr fontId="2"/>
  </si>
  <si>
    <t>（役職名）</t>
    <rPh sb="1" eb="4">
      <t>ヤクショクメイ</t>
    </rPh>
    <phoneticPr fontId="2"/>
  </si>
  <si>
    <t>国際高等教育院長</t>
    <rPh sb="0" eb="8">
      <t xml:space="preserve">コクサイコウトウキョウイクインチョウ </t>
    </rPh>
    <phoneticPr fontId="2"/>
  </si>
  <si>
    <t>⑫</t>
    <phoneticPr fontId="2"/>
  </si>
  <si>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2"/>
  </si>
  <si>
    <t>京都大学国際高等教育院附属データ科学イノベーション教育研究センター企画評価委員会</t>
    <rPh sb="0" eb="2">
      <t>キョウト</t>
    </rPh>
    <rPh sb="2" eb="4">
      <t>ダイガク</t>
    </rPh>
    <rPh sb="4" eb="11">
      <t>コクサイコウトウキョウイクイン</t>
    </rPh>
    <rPh sb="11" eb="13">
      <t>フゾク</t>
    </rPh>
    <rPh sb="16" eb="29">
      <t>カガクイノベーションキョウイクケンキュウ</t>
    </rPh>
    <rPh sb="33" eb="40">
      <t>キカクヒョウカイインカイ</t>
    </rPh>
    <phoneticPr fontId="2"/>
  </si>
  <si>
    <t>山本　章博</t>
    <rPh sb="0" eb="2">
      <t>ヤマモト</t>
    </rPh>
    <rPh sb="3" eb="5">
      <t>アキヒロ</t>
    </rPh>
    <phoneticPr fontId="2"/>
  </si>
  <si>
    <t>委員長</t>
    <rPh sb="0" eb="3">
      <t>イインチョウ</t>
    </rPh>
    <phoneticPr fontId="2"/>
  </si>
  <si>
    <t>⑬</t>
    <phoneticPr fontId="2"/>
  </si>
  <si>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2"/>
  </si>
  <si>
    <t>山本　章博</t>
    <rPh sb="0" eb="2">
      <t xml:space="preserve">ヤマモト </t>
    </rPh>
    <phoneticPr fontId="2"/>
  </si>
  <si>
    <t>⑭</t>
    <phoneticPr fontId="2"/>
  </si>
  <si>
    <t>申請する認定プログラム</t>
    <rPh sb="0" eb="2">
      <t>シンセイ</t>
    </rPh>
    <rPh sb="4" eb="6">
      <t>ニンテイ</t>
    </rPh>
    <phoneticPr fontId="2"/>
  </si>
  <si>
    <t>認定教育プログラム</t>
  </si>
  <si>
    <t>連絡先</t>
    <rPh sb="0" eb="3">
      <t>レンラクサキ</t>
    </rPh>
    <phoneticPr fontId="2"/>
  </si>
  <si>
    <t>所属部署名</t>
    <rPh sb="0" eb="2">
      <t>ショゾク</t>
    </rPh>
    <rPh sb="2" eb="4">
      <t>ブショ</t>
    </rPh>
    <rPh sb="4" eb="5">
      <t>メイ</t>
    </rPh>
    <phoneticPr fontId="2"/>
  </si>
  <si>
    <t>教育推進・学生支援部教務企画課</t>
    <rPh sb="0" eb="2">
      <t>キョウイク</t>
    </rPh>
    <rPh sb="2" eb="4">
      <t>スイシン</t>
    </rPh>
    <rPh sb="5" eb="10">
      <t>ガクセイシエンブ</t>
    </rPh>
    <rPh sb="10" eb="12">
      <t>キョウム</t>
    </rPh>
    <rPh sb="12" eb="15">
      <t>キカクカ</t>
    </rPh>
    <phoneticPr fontId="2"/>
  </si>
  <si>
    <t>担当者名</t>
    <rPh sb="0" eb="2">
      <t>タントウ</t>
    </rPh>
    <rPh sb="2" eb="3">
      <t>シャ</t>
    </rPh>
    <rPh sb="3" eb="4">
      <t>メイ</t>
    </rPh>
    <phoneticPr fontId="2"/>
  </si>
  <si>
    <t>田代　隆之</t>
    <rPh sb="0" eb="2">
      <t>タシロ</t>
    </rPh>
    <rPh sb="3" eb="5">
      <t>タカユキ</t>
    </rPh>
    <phoneticPr fontId="2"/>
  </si>
  <si>
    <t>E-mail</t>
  </si>
  <si>
    <t>ksui-kkikaku-kyom01@mail2.adm.kyoto-u.ac.jp</t>
  </si>
  <si>
    <t>電話番号</t>
  </si>
  <si>
    <t>075-753-2430</t>
  </si>
  <si>
    <t>様式２－１</t>
    <rPh sb="0" eb="2">
      <t>ヨウシキ</t>
    </rPh>
    <phoneticPr fontId="2"/>
  </si>
  <si>
    <t>学校名：</t>
    <rPh sb="0" eb="2">
      <t>ガッコウ</t>
    </rPh>
    <rPh sb="2" eb="3">
      <t>メイ</t>
    </rPh>
    <phoneticPr fontId="2"/>
  </si>
  <si>
    <t>プログラムを構成する授業科目について</t>
    <phoneticPr fontId="2"/>
  </si>
  <si>
    <t>教育プログラムの修了要件</t>
    <rPh sb="8" eb="10">
      <t>シュウリョウ</t>
    </rPh>
    <phoneticPr fontId="2"/>
  </si>
  <si>
    <t>学部・学科によって、修了要件は相違しない</t>
  </si>
  <si>
    <t>具体的な修了要件</t>
    <rPh sb="0" eb="3">
      <t>グタイテキ</t>
    </rPh>
    <rPh sb="4" eb="6">
      <t>シュウリョウ</t>
    </rPh>
    <rPh sb="6" eb="8">
      <t>ヨウケン</t>
    </rPh>
    <phoneticPr fontId="2"/>
  </si>
  <si>
    <t>プログラムを構成する『統計入門』の単位(2単位)を修得すること</t>
    <rPh sb="6" eb="8">
      <t>コウセイ</t>
    </rPh>
    <rPh sb="11" eb="13">
      <t>トウケイ</t>
    </rPh>
    <rPh sb="13" eb="15">
      <t>ニュウモン</t>
    </rPh>
    <rPh sb="17" eb="19">
      <t>タンイ</t>
    </rPh>
    <rPh sb="21" eb="23">
      <t>タンイ</t>
    </rPh>
    <rPh sb="25" eb="27">
      <t>シュウトク</t>
    </rPh>
    <phoneticPr fontId="2"/>
  </si>
  <si>
    <t>　</t>
    <phoneticPr fontId="2"/>
  </si>
  <si>
    <t>授業科目名称</t>
    <rPh sb="0" eb="2">
      <t>ジュギョウ</t>
    </rPh>
    <rPh sb="2" eb="4">
      <t>カモク</t>
    </rPh>
    <rPh sb="4" eb="6">
      <t>メイショウ</t>
    </rPh>
    <phoneticPr fontId="2"/>
  </si>
  <si>
    <t>統計入門</t>
    <rPh sb="0" eb="2">
      <t>トウケイ</t>
    </rPh>
    <rPh sb="2" eb="4">
      <t>ニュウモン</t>
    </rPh>
    <phoneticPr fontId="2"/>
  </si>
  <si>
    <t>様式３</t>
    <rPh sb="0" eb="2">
      <t>ヨウシキ</t>
    </rPh>
    <phoneticPr fontId="2"/>
  </si>
  <si>
    <t>学校名：</t>
    <rPh sb="0" eb="2">
      <t>ガッコウ</t>
    </rPh>
    <phoneticPr fontId="2"/>
  </si>
  <si>
    <t>京都大学</t>
    <rPh sb="0" eb="4">
      <t>キョウトダイガク</t>
    </rPh>
    <phoneticPr fontId="2"/>
  </si>
  <si>
    <t>プログラムの履修者数等の実績について</t>
    <phoneticPr fontId="2"/>
  </si>
  <si>
    <t>学部・学科名称</t>
    <rPh sb="0" eb="2">
      <t>ガクブ</t>
    </rPh>
    <rPh sb="3" eb="5">
      <t>ガッカ</t>
    </rPh>
    <rPh sb="5" eb="7">
      <t>メイショウ</t>
    </rPh>
    <phoneticPr fontId="2"/>
  </si>
  <si>
    <t>収容
定員（＊）</t>
    <rPh sb="0" eb="2">
      <t>シュウヨウ</t>
    </rPh>
    <rPh sb="3" eb="5">
      <t>テイイン</t>
    </rPh>
    <phoneticPr fontId="2"/>
  </si>
  <si>
    <t>令和2年度</t>
    <rPh sb="0" eb="2">
      <t>レイワ</t>
    </rPh>
    <rPh sb="3" eb="5">
      <t>ネンド</t>
    </rPh>
    <phoneticPr fontId="2"/>
  </si>
  <si>
    <t>令和元年度</t>
    <rPh sb="0" eb="2">
      <t>レイワ</t>
    </rPh>
    <rPh sb="2" eb="3">
      <t>ゲン</t>
    </rPh>
    <rPh sb="3" eb="5">
      <t>ネンド</t>
    </rPh>
    <phoneticPr fontId="2"/>
  </si>
  <si>
    <t>平成30年度</t>
    <rPh sb="0" eb="2">
      <t>ヘイセイ</t>
    </rPh>
    <rPh sb="4" eb="6">
      <t>ネンド</t>
    </rPh>
    <phoneticPr fontId="2"/>
  </si>
  <si>
    <t>平成29年度</t>
    <rPh sb="0" eb="2">
      <t>ヘイセイ</t>
    </rPh>
    <rPh sb="4" eb="6">
      <t>ネンド</t>
    </rPh>
    <phoneticPr fontId="2"/>
  </si>
  <si>
    <t>平成28年度</t>
    <rPh sb="0" eb="2">
      <t>ヘイセイ</t>
    </rPh>
    <rPh sb="4" eb="6">
      <t>ネンド</t>
    </rPh>
    <phoneticPr fontId="2"/>
  </si>
  <si>
    <t>履修者数
合計</t>
    <rPh sb="0" eb="2">
      <t>リシュウ</t>
    </rPh>
    <rPh sb="2" eb="3">
      <t>シャ</t>
    </rPh>
    <rPh sb="3" eb="4">
      <t>スウ</t>
    </rPh>
    <rPh sb="5" eb="7">
      <t>ゴウケイ</t>
    </rPh>
    <phoneticPr fontId="2"/>
  </si>
  <si>
    <t>履修率</t>
    <rPh sb="0" eb="2">
      <t>リシュウ</t>
    </rPh>
    <rPh sb="2" eb="3">
      <t>リツ</t>
    </rPh>
    <phoneticPr fontId="2"/>
  </si>
  <si>
    <t>履修者数</t>
    <rPh sb="0" eb="2">
      <t>リシュウ</t>
    </rPh>
    <rPh sb="2" eb="3">
      <t>シャ</t>
    </rPh>
    <rPh sb="3" eb="4">
      <t>スウ</t>
    </rPh>
    <phoneticPr fontId="2"/>
  </si>
  <si>
    <t>修了者数</t>
    <rPh sb="0" eb="3">
      <t>シュウリョウシャ</t>
    </rPh>
    <rPh sb="3" eb="4">
      <t>スウ</t>
    </rPh>
    <phoneticPr fontId="2"/>
  </si>
  <si>
    <t>総合人間学部（その他）</t>
    <rPh sb="0" eb="2">
      <t>ソウゴウ</t>
    </rPh>
    <rPh sb="2" eb="4">
      <t>ニンゲン</t>
    </rPh>
    <rPh sb="4" eb="6">
      <t>ガクブ</t>
    </rPh>
    <rPh sb="9" eb="10">
      <t>タ</t>
    </rPh>
    <phoneticPr fontId="2"/>
  </si>
  <si>
    <t>文学部（人文科学）</t>
    <rPh sb="0" eb="3">
      <t>ブンガクブ</t>
    </rPh>
    <rPh sb="4" eb="6">
      <t>ジンブン</t>
    </rPh>
    <rPh sb="6" eb="8">
      <t>カガク</t>
    </rPh>
    <phoneticPr fontId="2"/>
  </si>
  <si>
    <t>教育学部（教育）</t>
    <rPh sb="0" eb="2">
      <t>キョウイク</t>
    </rPh>
    <rPh sb="2" eb="4">
      <t>ガクブ</t>
    </rPh>
    <rPh sb="5" eb="7">
      <t>キョウイク</t>
    </rPh>
    <phoneticPr fontId="2"/>
  </si>
  <si>
    <t>法学部（社会科学）</t>
    <rPh sb="0" eb="3">
      <t>ホウガクブ</t>
    </rPh>
    <rPh sb="4" eb="6">
      <t>シャカイ</t>
    </rPh>
    <phoneticPr fontId="2"/>
  </si>
  <si>
    <t>経済学部（社会科学）</t>
    <rPh sb="0" eb="2">
      <t>ケイザイ</t>
    </rPh>
    <rPh sb="2" eb="4">
      <t>ガクブ</t>
    </rPh>
    <phoneticPr fontId="2"/>
  </si>
  <si>
    <t>理学部（理学）</t>
    <rPh sb="0" eb="3">
      <t>リガクブ</t>
    </rPh>
    <rPh sb="4" eb="6">
      <t>リガク</t>
    </rPh>
    <phoneticPr fontId="2"/>
  </si>
  <si>
    <t>医学部医学科（保健）</t>
    <rPh sb="0" eb="2">
      <t>イガク</t>
    </rPh>
    <rPh sb="2" eb="3">
      <t>ブ</t>
    </rPh>
    <rPh sb="3" eb="4">
      <t>イ</t>
    </rPh>
    <rPh sb="4" eb="6">
      <t>ガッカ</t>
    </rPh>
    <rPh sb="7" eb="9">
      <t>ホケン</t>
    </rPh>
    <phoneticPr fontId="2"/>
  </si>
  <si>
    <t>医学部人間健康科学科（保健）</t>
    <rPh sb="0" eb="2">
      <t>イガク</t>
    </rPh>
    <rPh sb="2" eb="3">
      <t>ブ</t>
    </rPh>
    <rPh sb="3" eb="5">
      <t>ニンゲン</t>
    </rPh>
    <rPh sb="5" eb="7">
      <t>ケンコウ</t>
    </rPh>
    <rPh sb="7" eb="9">
      <t>カガク</t>
    </rPh>
    <rPh sb="9" eb="10">
      <t>カ</t>
    </rPh>
    <phoneticPr fontId="2"/>
  </si>
  <si>
    <t>薬学部（保健）</t>
    <rPh sb="0" eb="3">
      <t>ヤクガクブ</t>
    </rPh>
    <phoneticPr fontId="2"/>
  </si>
  <si>
    <t>薬学部薬学科（保健）</t>
    <rPh sb="0" eb="3">
      <t>ヤクガクブ</t>
    </rPh>
    <rPh sb="3" eb="4">
      <t>クスリ</t>
    </rPh>
    <rPh sb="4" eb="6">
      <t>ガッカ</t>
    </rPh>
    <phoneticPr fontId="2"/>
  </si>
  <si>
    <t>薬学部薬科学科（保健）</t>
    <rPh sb="0" eb="3">
      <t>ヤクガクブ</t>
    </rPh>
    <rPh sb="4" eb="5">
      <t>カ</t>
    </rPh>
    <phoneticPr fontId="2"/>
  </si>
  <si>
    <t>工学部（工学）</t>
    <rPh sb="0" eb="3">
      <t>コウガクブ</t>
    </rPh>
    <rPh sb="4" eb="5">
      <t>コウ</t>
    </rPh>
    <rPh sb="5" eb="6">
      <t>ガク</t>
    </rPh>
    <phoneticPr fontId="2"/>
  </si>
  <si>
    <t>農学部（農学）</t>
    <rPh sb="0" eb="3">
      <t>ノウガクブ</t>
    </rPh>
    <rPh sb="4" eb="5">
      <t>ノウ</t>
    </rPh>
    <phoneticPr fontId="2"/>
  </si>
  <si>
    <t>合　計</t>
    <phoneticPr fontId="2"/>
  </si>
  <si>
    <t>（＊）2020年度現在の収容定員数。</t>
    <rPh sb="7" eb="8">
      <t>ネン</t>
    </rPh>
    <rPh sb="8" eb="9">
      <t>ド</t>
    </rPh>
    <rPh sb="9" eb="11">
      <t>ゲンザイ</t>
    </rPh>
    <rPh sb="12" eb="14">
      <t>シュウヨウ</t>
    </rPh>
    <rPh sb="14" eb="16">
      <t>テイイン</t>
    </rPh>
    <rPh sb="16" eb="17">
      <t>スウ</t>
    </rPh>
    <phoneticPr fontId="2"/>
  </si>
  <si>
    <t>（＊）薬学部はH30より4年次に学科振分けを行うこととなった。</t>
    <rPh sb="3" eb="6">
      <t>ヤクガクブ</t>
    </rPh>
    <rPh sb="13" eb="15">
      <t>ネンジ</t>
    </rPh>
    <rPh sb="16" eb="18">
      <t>ガッカ</t>
    </rPh>
    <rPh sb="18" eb="20">
      <t>フリワ</t>
    </rPh>
    <rPh sb="22" eb="23">
      <t>オコナ</t>
    </rPh>
    <phoneticPr fontId="2"/>
  </si>
  <si>
    <t>（＊）統計入門は学部生向け科目のため、学部生のみ集計（院生・聴講生は除く）。</t>
    <rPh sb="3" eb="5">
      <t>トウケイ</t>
    </rPh>
    <rPh sb="5" eb="7">
      <t>ニュウモン</t>
    </rPh>
    <rPh sb="8" eb="10">
      <t>ガクブ</t>
    </rPh>
    <rPh sb="10" eb="11">
      <t>セイ</t>
    </rPh>
    <rPh sb="11" eb="12">
      <t>ム</t>
    </rPh>
    <rPh sb="13" eb="15">
      <t>カモク</t>
    </rPh>
    <rPh sb="19" eb="21">
      <t>ガクブ</t>
    </rPh>
    <rPh sb="21" eb="22">
      <t>セイ</t>
    </rPh>
    <rPh sb="24" eb="26">
      <t>シュウケイ</t>
    </rPh>
    <rPh sb="27" eb="29">
      <t>インセイ</t>
    </rPh>
    <rPh sb="30" eb="33">
      <t>チョウコウセイ</t>
    </rPh>
    <rPh sb="34" eb="35">
      <t>ノゾ</t>
    </rPh>
    <phoneticPr fontId="2"/>
  </si>
  <si>
    <t>（＊）修了者は2021年4月現在のデータに基づく。</t>
    <rPh sb="3" eb="5">
      <t>シュウリョウ</t>
    </rPh>
    <rPh sb="5" eb="6">
      <t>シャ</t>
    </rPh>
    <rPh sb="11" eb="12">
      <t>ネン</t>
    </rPh>
    <rPh sb="13" eb="14">
      <t>ガツ</t>
    </rPh>
    <rPh sb="14" eb="16">
      <t>ゲンザイ</t>
    </rPh>
    <rPh sb="21" eb="22">
      <t>モト</t>
    </rPh>
    <phoneticPr fontId="2"/>
  </si>
  <si>
    <t>（＊）履修者は履修確定当初人数。履修取消や中途退学者等は反映していない。</t>
    <rPh sb="3" eb="5">
      <t>リシュウ</t>
    </rPh>
    <rPh sb="5" eb="6">
      <t>シャ</t>
    </rPh>
    <rPh sb="7" eb="9">
      <t>リシュウ</t>
    </rPh>
    <rPh sb="9" eb="11">
      <t>カクテイ</t>
    </rPh>
    <rPh sb="11" eb="13">
      <t>トウショ</t>
    </rPh>
    <rPh sb="13" eb="15">
      <t>ニンズウ</t>
    </rPh>
    <rPh sb="16" eb="18">
      <t>リシュウ</t>
    </rPh>
    <rPh sb="18" eb="20">
      <t>トリケシ</t>
    </rPh>
    <rPh sb="21" eb="23">
      <t>チュウト</t>
    </rPh>
    <rPh sb="23" eb="25">
      <t>タイガク</t>
    </rPh>
    <rPh sb="25" eb="26">
      <t>シャ</t>
    </rPh>
    <rPh sb="26" eb="27">
      <t>トウ</t>
    </rPh>
    <rPh sb="28" eb="30">
      <t>ハンエイ</t>
    </rPh>
    <phoneticPr fontId="2"/>
  </si>
  <si>
    <t>（＊）修了者は履修取消・不合格者（不受験者も含む）は除く。</t>
    <rPh sb="3" eb="5">
      <t>シュウリョウ</t>
    </rPh>
    <rPh sb="5" eb="6">
      <t>シャ</t>
    </rPh>
    <rPh sb="7" eb="9">
      <t>リシュウ</t>
    </rPh>
    <rPh sb="9" eb="11">
      <t>トリケシ</t>
    </rPh>
    <rPh sb="12" eb="15">
      <t>フゴウカク</t>
    </rPh>
    <rPh sb="15" eb="16">
      <t>シャ</t>
    </rPh>
    <rPh sb="17" eb="18">
      <t>フ</t>
    </rPh>
    <rPh sb="18" eb="20">
      <t>ジュケン</t>
    </rPh>
    <rPh sb="20" eb="21">
      <t>シャ</t>
    </rPh>
    <rPh sb="22" eb="23">
      <t>フク</t>
    </rPh>
    <rPh sb="26" eb="27">
      <t>ノゾ</t>
    </rPh>
    <phoneticPr fontId="2"/>
  </si>
  <si>
    <t>注1) 医学部医学科及び薬学部薬学科は6年制</t>
    <rPh sb="10" eb="11">
      <t>オヨ</t>
    </rPh>
    <rPh sb="12" eb="15">
      <t>ヤクガクブ</t>
    </rPh>
    <rPh sb="15" eb="18">
      <t>ヤクガッカ</t>
    </rPh>
    <rPh sb="20" eb="22">
      <t>ネンセイ</t>
    </rPh>
    <phoneticPr fontId="2"/>
  </si>
  <si>
    <t>注2) 医学部医学科の履修率が100%を超えているが，これは本プログラムの科目「統計入門」が導入された平成27年度に配当学年以外の学生の履修が多かったためである</t>
    <phoneticPr fontId="2"/>
  </si>
  <si>
    <t>様式４－1</t>
    <rPh sb="0" eb="2">
      <t>ヨウシキ</t>
    </rPh>
    <phoneticPr fontId="2"/>
  </si>
  <si>
    <t>京都大学</t>
    <phoneticPr fontId="2"/>
  </si>
  <si>
    <t>プログラムの授業内容・概要</t>
    <rPh sb="6" eb="8">
      <t>ジュギョウ</t>
    </rPh>
    <rPh sb="8" eb="10">
      <t>ナイヨウ</t>
    </rPh>
    <rPh sb="11" eb="13">
      <t>ガイヨウ</t>
    </rPh>
    <phoneticPr fontId="2"/>
  </si>
  <si>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2"/>
  </si>
  <si>
    <t>授業に含まれている内容・要素</t>
    <rPh sb="0" eb="2">
      <t>ジュギョウ</t>
    </rPh>
    <rPh sb="3" eb="4">
      <t>フク</t>
    </rPh>
    <rPh sb="9" eb="11">
      <t>ナイヨウ</t>
    </rPh>
    <rPh sb="12" eb="14">
      <t>ヨウソ</t>
    </rPh>
    <phoneticPr fontId="2"/>
  </si>
  <si>
    <t>授業概要</t>
    <rPh sb="0" eb="2">
      <t>ジュギョウ</t>
    </rPh>
    <rPh sb="2" eb="4">
      <t>ガイヨウ</t>
    </rPh>
    <phoneticPr fontId="2"/>
  </si>
  <si>
    <t>（１）現在進行中の社会変化（第４次産業革命、Society 5.0、データ駆動型社会等）に深く寄与しているものであり、それが自らの生活と密接に結びついている
※モデルカリキュラム導入１－１、導入１－６が該当</t>
    <phoneticPr fontId="2"/>
  </si>
  <si>
    <t xml:space="preserve">基幹大学の学生として，「今後の社会を進行させるための研究・生活・社会/経済活動」に不可欠な統計手法に関して、データを集計・分析し、理解する力を養う必要があること，統計手法は実験、試験、調査などの結果を用いた実証研究を行う上でなくてはならないものであること，生活のため•生活に関わる様々な効果やリスクがデータとともに語られ、生活者としても統計に対するリテラシーが求められること，社会・経済活動のため•情報技術の発展により日々膨大なデータが生成されるようになり、その有効活用が求められるていることなどを説明する．　
具体的な事例として，京都大学で開発され2011年 衆議院会議録作成システムに採用された音声認識技術は，数理・データサイエンス・AIを結集していることを説明する．
令和2年度よりコロナ禍対策を兼ねて，全学ガイダンス動画「ビッグデータの時代データ科学を学ぼう」，学内MOOC「統計の入門」を予習教材として学習することを学生に求めている．
【シラバス該当部分】統計に関する知識は、実験、試験、調査などの結果を用いた実証研究を行う上でなくてはならないものである。生活に関わるさまざまな効果やリスクがデータとともに語られ、生活者としても統計に対するリテラシーが求められるようになった。企業活動では、情報技術の発展によって、日々膨大なデータが生成されており、その活用が求められるようになった。本講は、研究や、生活、社会・経済活動に不可欠な統計を、集計・分析し、理解する力を養うことを目的とする。
</t>
    <rPh sb="47" eb="49">
      <t>シュホウ</t>
    </rPh>
    <rPh sb="73" eb="75">
      <t>ヒツヨウ</t>
    </rPh>
    <rPh sb="249" eb="251">
      <t>セツメイ</t>
    </rPh>
    <rPh sb="256" eb="259">
      <t>グタイテキ</t>
    </rPh>
    <rPh sb="260" eb="262">
      <t>ジレイ</t>
    </rPh>
    <rPh sb="294" eb="296">
      <t>サイヨウ</t>
    </rPh>
    <rPh sb="307" eb="309">
      <t>スウリ</t>
    </rPh>
    <rPh sb="322" eb="324">
      <t>ケッシュウ</t>
    </rPh>
    <rPh sb="331" eb="333">
      <t>セツメイ</t>
    </rPh>
    <rPh sb="337" eb="339">
      <t>レイワ</t>
    </rPh>
    <rPh sb="340" eb="342">
      <t>ネンド</t>
    </rPh>
    <rPh sb="347" eb="348">
      <t>カ</t>
    </rPh>
    <rPh sb="348" eb="350">
      <t>タイサク</t>
    </rPh>
    <rPh sb="351" eb="352">
      <t>カ</t>
    </rPh>
    <rPh sb="399" eb="403">
      <t>ヨシュウキョウザイ</t>
    </rPh>
    <phoneticPr fontId="2"/>
  </si>
  <si>
    <t>左記の「授業に含まれている内容・要素」に対応する当該プログラムの授業概要を記載してください。記載に</t>
  </si>
  <si>
    <t>あたっては「数理・データサイエンス・ＡＩ（リテラシーレベル）モデルカリキュラム」のキーワード（知</t>
  </si>
  <si>
    <t>識・スキル）を参照してください。（以下同様）</t>
  </si>
  <si>
    <t>講義テーマ</t>
    <rPh sb="0" eb="2">
      <t>コウギ</t>
    </rPh>
    <phoneticPr fontId="2"/>
  </si>
  <si>
    <t>概要と導入（1）、統計と統計学の利用（14）</t>
    <phoneticPr fontId="2"/>
  </si>
  <si>
    <t>左記の「授業に含まれている内容・要素」に対応する、当該プログラムを構成する「授業科⽬名称」を記載し</t>
  </si>
  <si>
    <t>てください。また、該当部分の講義について講義テーマを記載し、（ ）内にその科⽬内の何回⽬の講義にお</t>
  </si>
  <si>
    <t>いて実施したのかを記載してください。（以下同様）</t>
  </si>
  <si>
    <t>（２）「社会で活用されているデータ」や「データの活用領域」は非常に広範囲であって、日常生活や社会の課題を解決する有用なツールになり得るもの
※モデルカリキュラム導入１－２、導入１－３が該当</t>
    <phoneticPr fontId="2"/>
  </si>
  <si>
    <t xml:space="preserve">統計の利用例として，政府統計, テレビの視聴率, 内閣支持率, 薬効評価, Webサービス開発, マーケティングなどを具体的に提示した上で，経済・物理・疫学・生物・インターネット・マーケティングなどあらゆる分野で活用されていることを説明する．
【シラバスの該当部分】統計に関する知識は、実験、試験、調査などの結果を用いた実証研究を行う上でなくてはならないものである。生活に関　わるさまざまな効果やリスクがデータとともに語られ、生活者としても統計に対するリテラシーが求められるようになった。企業活動では、情報技術の発展によって、日々膨大なデータが生成されており、その活用が求められるようになった。本講は、研究や、生活、社会・経済活動に不可欠な統計を、集計・分析し、理解する力を養うことを目的とする。
</t>
    <rPh sb="59" eb="62">
      <t>グタイテキ</t>
    </rPh>
    <rPh sb="63" eb="65">
      <t>テイジ</t>
    </rPh>
    <rPh sb="67" eb="68">
      <t>ウエ</t>
    </rPh>
    <rPh sb="103" eb="105">
      <t>ブンヤ</t>
    </rPh>
    <rPh sb="106" eb="108">
      <t>カツヨウ</t>
    </rPh>
    <rPh sb="116" eb="118">
      <t>セツメイ</t>
    </rPh>
    <phoneticPr fontId="2"/>
  </si>
  <si>
    <t>授業科目名称</t>
    <rPh sb="0" eb="2">
      <t>ジュギョウ</t>
    </rPh>
    <rPh sb="2" eb="6">
      <t>カモクメイショウ</t>
    </rPh>
    <phoneticPr fontId="2"/>
  </si>
  <si>
    <t>統計入門</t>
    <phoneticPr fontId="2"/>
  </si>
  <si>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2"/>
  </si>
  <si>
    <t xml:space="preserve">京都大学独自の数理・データサイエンス・AIと個々の領域との価値創造取り組み例として，京都大学医学部附属病院での位置・データ自動収集環境を紹介し，請求漏れ防止による増収と医療スタッフの業務軽減という２つを同時に成し遂げ，夜間の術後事務処理という孤独で辛い作業からの解放が高く評価されていることを紹介する．
【シラバスの該当部分】統計に関する知識は、実験、試験、調査などの結果を用いた実証研究を行う上でなくてはならないものである。生活に関　わるさまざまな効果やリスクがデータとともに語られ、生活者としても統計に対するリテラシーが求められるようになった。企業活動では、情報技術の発展によって、日々膨大なデータが生成されており、その活用が求められるようになった。本講は、研究や、生活、社会・経済活動に不可欠な統計を、集計・分析し、理解する力を養うことを目的とする。
</t>
    <rPh sb="0" eb="4">
      <t>キョウトダイガク</t>
    </rPh>
    <rPh sb="4" eb="6">
      <t>ドクジ</t>
    </rPh>
    <rPh sb="7" eb="9">
      <t>スウリ</t>
    </rPh>
    <rPh sb="22" eb="24">
      <t>ココ</t>
    </rPh>
    <rPh sb="25" eb="27">
      <t>リョウイキ</t>
    </rPh>
    <rPh sb="29" eb="33">
      <t>カチソウゾウ</t>
    </rPh>
    <rPh sb="33" eb="34">
      <t>ト</t>
    </rPh>
    <rPh sb="35" eb="36">
      <t>ク</t>
    </rPh>
    <rPh sb="37" eb="38">
      <t>レイ</t>
    </rPh>
    <rPh sb="55" eb="57">
      <t>イチ</t>
    </rPh>
    <rPh sb="61" eb="63">
      <t>ジドウ</t>
    </rPh>
    <rPh sb="63" eb="65">
      <t>シュウシュウ</t>
    </rPh>
    <rPh sb="65" eb="67">
      <t>カンキョウ</t>
    </rPh>
    <rPh sb="68" eb="70">
      <t>ショウカイ</t>
    </rPh>
    <rPh sb="101" eb="103">
      <t>ドウジ</t>
    </rPh>
    <rPh sb="104" eb="105">
      <t>ナ</t>
    </rPh>
    <rPh sb="106" eb="107">
      <t>ト</t>
    </rPh>
    <rPh sb="146" eb="148">
      <t>ショウカイ</t>
    </rPh>
    <phoneticPr fontId="2"/>
  </si>
  <si>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2"/>
  </si>
  <si>
    <t>研究・調査におけるデータ収集についてアンケートを例にして，個人情報，データ倫理，情報漏洩等に関する問題点を提示した後，現在根拠とされている原則について言及する．
令和2年度よりコロナ禍対策を兼ねて，動画教材「情報倫理デジタルビデオ小品集7」を自宅学習教材として学習することを学生に求めている．
【シラバスの該当部分】統計に関する知識は、実験、試験、調査などの結果を用いた実証研究を行う上でなくてはならないものである。生活に関　わるさまざまな効果やリスクがデータとともに語られ、生活者としても統計に対するリテラシーが求められるようになった。企業活動では、情報技術の発展によって、日々膨大なデータが生成されており、その活用が求められるようになった。本講は、研究や、生活、社会・経済活動に不可欠な統計を、集計・分析し、理解する力を養うことを目的とする。</t>
    <rPh sb="12" eb="14">
      <t>シュウシュウ</t>
    </rPh>
    <rPh sb="24" eb="25">
      <t>レイ</t>
    </rPh>
    <rPh sb="46" eb="47">
      <t>カン</t>
    </rPh>
    <rPh sb="121" eb="125">
      <t>ジタクガクシュウ</t>
    </rPh>
    <phoneticPr fontId="2"/>
  </si>
  <si>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2"/>
  </si>
  <si>
    <t>二元分割表（２×２クロス集計表）の独立性の検定と関連性の強さの推定を主な題材として、統計データの収集、チェック、集計、分析、結果の解釈という一連の過程について解説し、統計データの発生、仮説検定と推定の考え方に関する理解を深める。クラス(指定学部・学科がある場合はその学部・学科の特色)によりJMP，Excel，Pythonのいずれかによる演習を必ず取り入れている．</t>
    <rPh sb="118" eb="120">
      <t>シテイ</t>
    </rPh>
    <rPh sb="120" eb="122">
      <t>ガクブ</t>
    </rPh>
    <rPh sb="123" eb="125">
      <t>ガッカ</t>
    </rPh>
    <rPh sb="128" eb="130">
      <t>バアイ</t>
    </rPh>
    <rPh sb="169" eb="171">
      <t>エンシュウ</t>
    </rPh>
    <rPh sb="172" eb="173">
      <t>カナラ</t>
    </rPh>
    <rPh sb="174" eb="175">
      <t>ト</t>
    </rPh>
    <rPh sb="176" eb="177">
      <t>イ</t>
    </rPh>
    <phoneticPr fontId="2"/>
  </si>
  <si>
    <t>データの確認と要約（2〜3），二元分割表と検定(4〜5），さまざまな確率分布と統計的検定の考え方（6〜7），二元分割表のリスク比・オッズ比・リスク差（8〜9），中心極限定理、区間推定（10〜11），t分布、検定・推定と標本規模（12〜13），発展的内容（15）</t>
    <phoneticPr fontId="2"/>
  </si>
  <si>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2"/>
  </si>
  <si>
    <t>統計及び数理基礎</t>
    <rPh sb="0" eb="2">
      <t>トウケイ</t>
    </rPh>
    <rPh sb="2" eb="3">
      <t>オヨ</t>
    </rPh>
    <rPh sb="4" eb="6">
      <t>スウリ</t>
    </rPh>
    <rPh sb="6" eb="8">
      <t>キソ</t>
    </rPh>
    <phoneticPr fontId="2"/>
  </si>
  <si>
    <t>アルゴリズム基礎</t>
    <rPh sb="6" eb="8">
      <t>キソ</t>
    </rPh>
    <phoneticPr fontId="2"/>
  </si>
  <si>
    <t>データ構造とプログラミング基礎</t>
    <rPh sb="3" eb="5">
      <t>コウゾウ</t>
    </rPh>
    <rPh sb="13" eb="15">
      <t>キソ</t>
    </rPh>
    <phoneticPr fontId="2"/>
  </si>
  <si>
    <t>時系列データ解析</t>
    <rPh sb="0" eb="3">
      <t>ジケイレツ</t>
    </rPh>
    <rPh sb="6" eb="8">
      <t>カイセキ</t>
    </rPh>
    <phoneticPr fontId="2"/>
  </si>
  <si>
    <t>テキスト解析</t>
    <rPh sb="4" eb="6">
      <t>カイセキ</t>
    </rPh>
    <phoneticPr fontId="2"/>
  </si>
  <si>
    <t>画像解析</t>
    <rPh sb="0" eb="2">
      <t>ガゾウ</t>
    </rPh>
    <rPh sb="2" eb="4">
      <t>カイセキ</t>
    </rPh>
    <phoneticPr fontId="2"/>
  </si>
  <si>
    <t>データハンドリング</t>
    <phoneticPr fontId="2"/>
  </si>
  <si>
    <t>データ活用実践（教師あり学習）</t>
    <rPh sb="3" eb="5">
      <t>カツヨウ</t>
    </rPh>
    <rPh sb="5" eb="7">
      <t>ジッセン</t>
    </rPh>
    <rPh sb="8" eb="10">
      <t>キョウシ</t>
    </rPh>
    <rPh sb="12" eb="14">
      <t>ガクシュウ</t>
    </rPh>
    <phoneticPr fontId="2"/>
  </si>
  <si>
    <t>その他</t>
    <rPh sb="2" eb="3">
      <t>タ</t>
    </rPh>
    <phoneticPr fontId="2"/>
  </si>
  <si>
    <t>プログラムの授業内容等を公表しているアドレス</t>
    <rPh sb="6" eb="8">
      <t>ジュギョウ</t>
    </rPh>
    <rPh sb="8" eb="10">
      <t>ナイヨウ</t>
    </rPh>
    <rPh sb="10" eb="11">
      <t>トウ</t>
    </rPh>
    <rPh sb="12" eb="14">
      <t>コウヒョウ</t>
    </rPh>
    <phoneticPr fontId="2"/>
  </si>
  <si>
    <t>https://ds.k.kyoto-u.ac.jp/ds/literacylevel.html</t>
    <phoneticPr fontId="2"/>
  </si>
  <si>
    <t>プログラムの学修成果（学生等が身に付けられる能力等）</t>
  </si>
  <si>
    <t>研究や、生活、社会・経済活動に不可欠な統計手法である「データを、集計・分析し、理解する力」を涵養する</t>
    <rPh sb="19" eb="21">
      <t>トウケイ</t>
    </rPh>
    <rPh sb="21" eb="23">
      <t>シュホウ</t>
    </rPh>
    <rPh sb="46" eb="48">
      <t>カンヨウ</t>
    </rPh>
    <phoneticPr fontId="2"/>
  </si>
  <si>
    <t>様式５</t>
    <rPh sb="0" eb="2">
      <t>ヨウシキ</t>
    </rPh>
    <phoneticPr fontId="2"/>
  </si>
  <si>
    <t>学校名</t>
    <rPh sb="0" eb="3">
      <t>ガッコウメイ</t>
    </rPh>
    <phoneticPr fontId="2"/>
  </si>
  <si>
    <t>：</t>
    <phoneticPr fontId="2"/>
  </si>
  <si>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2"/>
  </si>
  <si>
    <t>プログラムを改善・進化させるための体制を定める規則名称</t>
    <phoneticPr fontId="2"/>
  </si>
  <si>
    <t>京都大学国際高等教育院附属データ科学イノベーション教育研究センター運営委員会規程</t>
    <rPh sb="0" eb="13">
      <t>キョウトダイガクコクサイコウトウキョウイクインフゾク</t>
    </rPh>
    <rPh sb="16" eb="29">
      <t>カガクイノベーションキョウイクケンキュウ</t>
    </rPh>
    <phoneticPr fontId="2"/>
  </si>
  <si>
    <t>記載例</t>
    <rPh sb="0" eb="3">
      <t xml:space="preserve">キサイレイ </t>
    </rPh>
    <phoneticPr fontId="2"/>
  </si>
  <si>
    <t>○○（センターの設置規則、委員会の設置規則等）</t>
  </si>
  <si>
    <t>体制の目的</t>
    <rPh sb="0" eb="2">
      <t>タイセイ</t>
    </rPh>
    <rPh sb="3" eb="5">
      <t>モクテキ</t>
    </rPh>
    <phoneticPr fontId="2"/>
  </si>
  <si>
    <t xml:space="preserve">附属データ科学イノベーション教育研究センターーが行う教育及び研究に関し必要な事項を審議するため。
</t>
    <phoneticPr fontId="2"/>
  </si>
  <si>
    <t>データを活用し社会の課題を発見、解決できる人材を育成することを目的に、数理・データサイエン</t>
  </si>
  <si>
    <t>ス・AI教育の全学的な普及、関連科目の整備を行い、学内共同施設としてセンターを設置。本セン</t>
  </si>
  <si>
    <t>ターでは・・・　　（400字以内）</t>
  </si>
  <si>
    <t>具体的な構成員</t>
    <rPh sb="0" eb="3">
      <t>グタイテキ</t>
    </rPh>
    <rPh sb="4" eb="7">
      <t>コウセイイン</t>
    </rPh>
    <phoneticPr fontId="2"/>
  </si>
  <si>
    <t>国際高等教育院附属データ科学イノベーション教育研究センター長　 山本　章博
国際高等教育院附属データ科学イノベーション教育研究センター教授　林　和則
国際高等教育院附属データ科学イノベーション教育研究センター教授　田村　寛
国際高等教育院附属データ科学イノベーション教育研究センター教授　原　尚幸
国際高等教育院特定教授 佐藤　亨
国際高等教育院教授　宍倉　光広
国際高等教育院教授  田島　敬史
国際高等教育院教授　仲村　匡司
国際高等教育院教授　喜多　一
教育学研究科教授　髙橋　雄介
理学研究科教授　田口　聡
理学研究科教授　國府　寛司
理学研究科教授　日野　正訓
医学研究科教授　佐藤　俊哉
工学研究科教授　竹脇　出
情報学研究科教授  鹿島　久嗣
情報学研究科教授  木上　淳
文学研究科教授　太郎丸　博
法学研究科教授　川濵　昇
経済学研究科教授　松井　啓之
薬学研究科教授　金子　周司
人間・環境学研究科教授　浅野　耕太
地球環境学堂准教授　吉野　章</t>
    <phoneticPr fontId="2"/>
  </si>
  <si>
    <t>履修者数・履修率の向上に向けた計画</t>
    <rPh sb="5" eb="7">
      <t>リシュウ</t>
    </rPh>
    <rPh sb="7" eb="8">
      <t>リツ</t>
    </rPh>
    <phoneticPr fontId="2"/>
  </si>
  <si>
    <t xml:space="preserve">各年度の履修者数の目標を以下のとおりとする。（（　）内は履修率。）	
令和３年度　1300名　（46％）               
令和４年度　1450名　（51％）               
令和５年度　1600名　（57％）               
令和６年度　1750名　（62％）               
令和７年度　1900名　（67％）
目標を実現するために、全学共通教育で提供されるデータサイエンス関連科目についてさらなる周知を図るとともに，本教育プログラムの授業科目「統計入門」の卒業要件への追加や必修化について各学部に働きかけている．なお，全学共通科目を採用せずに独自に専門科目としてデータサイエンス・リテラシー科目を開講している学部・学科(経済学部，工学部情報学科など)や，全学共通科目であってもより数理的な内容である「数理統計」を採用している学部・学科(理学部の一部・農学部など)もあるため，今後はそれらの学部との調整を行い，「統計入門」がより適切な学部・学科については「統計入門」に切り替えるように働きかける計画である．
</t>
    <rPh sb="196" eb="200">
      <t xml:space="preserve">ゼンガクキョウツウカモクデ </t>
    </rPh>
    <rPh sb="200" eb="202">
      <t xml:space="preserve">キョウイクデ </t>
    </rPh>
    <rPh sb="203" eb="205">
      <t xml:space="preserve">テイキョウサレル </t>
    </rPh>
    <rPh sb="228" eb="230">
      <t xml:space="preserve">シュウチヲ </t>
    </rPh>
    <rPh sb="231" eb="232">
      <t xml:space="preserve">ハカルトトモニ </t>
    </rPh>
    <rPh sb="238" eb="241">
      <t xml:space="preserve">ホンキョウイククロブラム </t>
    </rPh>
    <rPh sb="247" eb="251">
      <t xml:space="preserve">ジュギョウカモク </t>
    </rPh>
    <rPh sb="252" eb="256">
      <t xml:space="preserve">トウケイニュウモンヲ </t>
    </rPh>
    <rPh sb="258" eb="262">
      <t xml:space="preserve">ソツギョウヨウケンヘノ </t>
    </rPh>
    <rPh sb="264" eb="266">
      <t xml:space="preserve">ツイカヤ </t>
    </rPh>
    <rPh sb="267" eb="270">
      <t xml:space="preserve">ヒッシュウカ </t>
    </rPh>
    <rPh sb="274" eb="275">
      <t xml:space="preserve">カクブ </t>
    </rPh>
    <rPh sb="275" eb="277">
      <t xml:space="preserve">ガクブ </t>
    </rPh>
    <rPh sb="278" eb="279">
      <t xml:space="preserve">ハタラキカケテイル </t>
    </rPh>
    <rPh sb="289" eb="291">
      <t>ゼンガク</t>
    </rPh>
    <rPh sb="291" eb="295">
      <t>キョウツウカモク</t>
    </rPh>
    <rPh sb="296" eb="298">
      <t>サイヨウ</t>
    </rPh>
    <rPh sb="301" eb="303">
      <t>ドクジ</t>
    </rPh>
    <rPh sb="304" eb="308">
      <t>センモンカモク</t>
    </rPh>
    <rPh sb="325" eb="327">
      <t>カモク</t>
    </rPh>
    <rPh sb="328" eb="330">
      <t>カイコウ</t>
    </rPh>
    <rPh sb="340" eb="344">
      <t>ケイザイガクブ</t>
    </rPh>
    <rPh sb="370" eb="373">
      <t>スウリテキ</t>
    </rPh>
    <rPh sb="374" eb="376">
      <t>ナイヨウ</t>
    </rPh>
    <rPh sb="380" eb="382">
      <t>スウリ</t>
    </rPh>
    <rPh sb="382" eb="384">
      <t>トウケイ</t>
    </rPh>
    <rPh sb="386" eb="388">
      <t>サイヨウ</t>
    </rPh>
    <rPh sb="392" eb="394">
      <t>ガクブ</t>
    </rPh>
    <rPh sb="395" eb="397">
      <t>ガッカ</t>
    </rPh>
    <rPh sb="398" eb="401">
      <t>リガクブ</t>
    </rPh>
    <rPh sb="402" eb="404">
      <t>イチブ</t>
    </rPh>
    <rPh sb="417" eb="419">
      <t>コンゴ</t>
    </rPh>
    <rPh sb="424" eb="426">
      <t>ガクブ</t>
    </rPh>
    <rPh sb="428" eb="430">
      <t>チョウセイ</t>
    </rPh>
    <rPh sb="431" eb="432">
      <t>オコナ</t>
    </rPh>
    <rPh sb="435" eb="439">
      <t>トウケイニュウモン</t>
    </rPh>
    <rPh sb="443" eb="445">
      <t>テキセツ</t>
    </rPh>
    <rPh sb="446" eb="448">
      <t>ガクブ</t>
    </rPh>
    <rPh sb="449" eb="451">
      <t>ガッカ</t>
    </rPh>
    <rPh sb="457" eb="461">
      <t>トウケイニュウモン</t>
    </rPh>
    <rPh sb="463" eb="464">
      <t>キ</t>
    </rPh>
    <rPh sb="465" eb="466">
      <t>カ</t>
    </rPh>
    <rPh sb="471" eb="472">
      <t>ハタラ</t>
    </rPh>
    <rPh sb="476" eb="478">
      <t>ケイカク</t>
    </rPh>
    <phoneticPr fontId="2"/>
  </si>
  <si>
    <t>各年度の履修者数の目標を以下のとおりとする。（（　）内は履修率。）</t>
  </si>
  <si>
    <t>令和３年度　○○名　（○○％）</t>
  </si>
  <si>
    <t>令和４年度　○○名　（○○％）</t>
  </si>
  <si>
    <t>令和５年度　○○名　（○○％）</t>
  </si>
  <si>
    <t>令和６年度　○○名　（○○％）</t>
  </si>
  <si>
    <t>令和７年度　○○名　（○○％）</t>
  </si>
  <si>
    <t>目標を実現するために、令和３年度より、授業時間内外での学習指導、質問を受け付ける仕組みや</t>
  </si>
  <si>
    <t>教育上の工夫、学生指導・支援等の学修サポートを数理・データサイエンス・AI教育研究センターに</t>
  </si>
  <si>
    <t>て実施し、学生のプログラム履修を促進している。また、令和４年度よりプログラムを構成する科目</t>
  </si>
  <si>
    <t>○○を全学必修にする計画である。・・・　（500字以内）</t>
  </si>
  <si>
    <t>学部・学科に関係なく希望する学生全員が受講可能となるような必要な体制・取組等</t>
    <rPh sb="29" eb="31">
      <t>ヒツヨウ</t>
    </rPh>
    <rPh sb="32" eb="34">
      <t>タイセイ</t>
    </rPh>
    <rPh sb="35" eb="37">
      <t>トリクミ</t>
    </rPh>
    <rPh sb="37" eb="38">
      <t>トウ</t>
    </rPh>
    <phoneticPr fontId="2"/>
  </si>
  <si>
    <r>
      <rPr>
        <sz val="12"/>
        <rFont val="ＭＳ Ｐゴシック"/>
        <family val="3"/>
        <charset val="128"/>
        <scheme val="minor"/>
      </rPr>
      <t>本教育プログラムの授業科目「統計入門」は，各学部・学科の提供科目ではなく全学共通科目として提供されている．令和２年度は前期８クラス，後期５クラスの並列開講することにより希望する学生全員が受講可能な体制とした．京都大学の理念である「対話を根幹とした自学自習」に沿うべく，国際高等教育院データ科学イノベーション教育研究センター所属の教員だけでなく，情報学研究科所属の教員も担当することでクラス数を確保している．令和３年度は担当教員数とコロナ感染防止対策による１クラスの人数制限により，クラス数を変動させることはあるが，他研究科（学部）教員の応援を得ながら，十分なクラス数を確保することにより，卒業要件に「統計入門」の単位取得が組み込まれている学部・学科の学生はもちろん，そうでない学部・学科の学生も希望すれば受講が可能とする．
京都大学では，全学部で入学試験の個別学力試験（二次試験）で数学を課しており，さらに文学部を除く文系学部でも理系入試を実施していることから，逆に文系学生の中には高校数学IIIの不足に不安を感じる学生も多いことから，「数理・データサイエンスのための数学入門I・II」を補填科目として開講している．</t>
    </r>
    <r>
      <rPr>
        <sz val="12"/>
        <rFont val="ＭＳ Ｐゴシック"/>
        <family val="2"/>
        <charset val="128"/>
        <scheme val="minor"/>
      </rPr>
      <t xml:space="preserve">
</t>
    </r>
    <r>
      <rPr>
        <sz val="12"/>
        <rFont val="ＭＳ Ｐゴシック"/>
        <family val="3"/>
        <charset val="128"/>
      </rPr>
      <t/>
    </r>
    <rPh sb="0" eb="1">
      <t xml:space="preserve">ホンプログラム </t>
    </rPh>
    <rPh sb="1" eb="3">
      <t xml:space="preserve">キョウイク </t>
    </rPh>
    <rPh sb="9" eb="13">
      <t xml:space="preserve">ジュギョウカモク </t>
    </rPh>
    <rPh sb="21" eb="24">
      <t xml:space="preserve">カクガクブ </t>
    </rPh>
    <rPh sb="25" eb="27">
      <t xml:space="preserve">ガッカデハナク </t>
    </rPh>
    <rPh sb="28" eb="32">
      <t xml:space="preserve">テイキョウカモク </t>
    </rPh>
    <rPh sb="36" eb="42">
      <t xml:space="preserve">ゼンガクキョウツウカモク </t>
    </rPh>
    <rPh sb="45" eb="47">
      <t xml:space="preserve">テイキョウサレテイル </t>
    </rPh>
    <rPh sb="75" eb="77">
      <t>カイコウ</t>
    </rPh>
    <rPh sb="93" eb="97">
      <t>ジュコウカノウ</t>
    </rPh>
    <rPh sb="98" eb="100">
      <t>タイセイ</t>
    </rPh>
    <rPh sb="129" eb="130">
      <t>ソ</t>
    </rPh>
    <rPh sb="134" eb="141">
      <t>コクサイコウトウキョウイクイン</t>
    </rPh>
    <rPh sb="144" eb="146">
      <t>カガク</t>
    </rPh>
    <rPh sb="153" eb="157">
      <t>キョウイクケンキュウ</t>
    </rPh>
    <rPh sb="161" eb="163">
      <t>ショゾク</t>
    </rPh>
    <rPh sb="164" eb="166">
      <t>キョウイン</t>
    </rPh>
    <rPh sb="172" eb="178">
      <t>ジョウホウガクケンキュウカ</t>
    </rPh>
    <rPh sb="178" eb="180">
      <t>ショゾク</t>
    </rPh>
    <rPh sb="181" eb="183">
      <t>キョウイン</t>
    </rPh>
    <rPh sb="184" eb="186">
      <t>タントウ</t>
    </rPh>
    <rPh sb="194" eb="195">
      <t>スウ</t>
    </rPh>
    <rPh sb="196" eb="198">
      <t>カクホ</t>
    </rPh>
    <rPh sb="203" eb="205">
      <t>レイワ</t>
    </rPh>
    <rPh sb="209" eb="213">
      <t>タントウキョウイン</t>
    </rPh>
    <rPh sb="213" eb="214">
      <t>スウ</t>
    </rPh>
    <rPh sb="218" eb="222">
      <t>カンセンボウシ</t>
    </rPh>
    <rPh sb="222" eb="224">
      <t>タイサク</t>
    </rPh>
    <rPh sb="232" eb="234">
      <t>ニンズウ</t>
    </rPh>
    <rPh sb="234" eb="236">
      <t>セイゲン</t>
    </rPh>
    <rPh sb="243" eb="244">
      <t>スウ</t>
    </rPh>
    <rPh sb="276" eb="278">
      <t>ジュウブン</t>
    </rPh>
    <rPh sb="282" eb="283">
      <t>スウ</t>
    </rPh>
    <rPh sb="284" eb="286">
      <t>カクホ</t>
    </rPh>
    <rPh sb="294" eb="298">
      <t xml:space="preserve">ソツギョウヨウケンニ </t>
    </rPh>
    <rPh sb="306" eb="310">
      <t xml:space="preserve">タンイシュトクガ </t>
    </rPh>
    <rPh sb="311" eb="312">
      <t xml:space="preserve">クミコマレテイルガクブ </t>
    </rPh>
    <rPh sb="322" eb="324">
      <t xml:space="preserve">ガッカ </t>
    </rPh>
    <rPh sb="325" eb="327">
      <t xml:space="preserve">ガクセイ </t>
    </rPh>
    <rPh sb="338" eb="340">
      <t xml:space="preserve">ガクブ </t>
    </rPh>
    <rPh sb="341" eb="343">
      <t xml:space="preserve">ガッカノ </t>
    </rPh>
    <rPh sb="344" eb="346">
      <t xml:space="preserve">ガクセイニタイシテモ </t>
    </rPh>
    <rPh sb="347" eb="349">
      <t xml:space="preserve">キボウスレバ </t>
    </rPh>
    <rPh sb="352" eb="354">
      <t xml:space="preserve">ジュコウガ </t>
    </rPh>
    <rPh sb="355" eb="357">
      <t xml:space="preserve">カノウデアル </t>
    </rPh>
    <rPh sb="362" eb="366">
      <t>キョウトダイガク</t>
    </rPh>
    <rPh sb="369" eb="372">
      <t>ゼンガクブ</t>
    </rPh>
    <rPh sb="373" eb="377">
      <t>ニュウガクシケン</t>
    </rPh>
    <rPh sb="378" eb="384">
      <t>コベツガクリョクシケン</t>
    </rPh>
    <rPh sb="385" eb="389">
      <t>ニジシケン</t>
    </rPh>
    <rPh sb="391" eb="393">
      <t>スウガク</t>
    </rPh>
    <rPh sb="394" eb="395">
      <t>カ</t>
    </rPh>
    <rPh sb="403" eb="406">
      <t>ブンガクブ</t>
    </rPh>
    <rPh sb="407" eb="408">
      <t>ノゾ</t>
    </rPh>
    <rPh sb="409" eb="413">
      <t>ブンケイガクブ</t>
    </rPh>
    <rPh sb="415" eb="419">
      <t>リケイニュウシ</t>
    </rPh>
    <rPh sb="420" eb="422">
      <t>ジッシ</t>
    </rPh>
    <rPh sb="431" eb="432">
      <t>ギャク</t>
    </rPh>
    <rPh sb="433" eb="437">
      <t>ブンケイガクセイ</t>
    </rPh>
    <rPh sb="438" eb="439">
      <t>ナカ</t>
    </rPh>
    <rPh sb="441" eb="444">
      <t>コウコウスウ</t>
    </rPh>
    <rPh sb="444" eb="445">
      <t>ガク</t>
    </rPh>
    <rPh sb="449" eb="451">
      <t>フソク</t>
    </rPh>
    <rPh sb="452" eb="454">
      <t>フアン</t>
    </rPh>
    <rPh sb="455" eb="456">
      <t>カン</t>
    </rPh>
    <rPh sb="458" eb="460">
      <t>ガクセイ</t>
    </rPh>
    <rPh sb="461" eb="462">
      <t>オオ</t>
    </rPh>
    <rPh sb="469" eb="471">
      <t>スウリ</t>
    </rPh>
    <rPh sb="484" eb="488">
      <t>スウガクニュウモン</t>
    </rPh>
    <rPh sb="501" eb="503">
      <t>カイコウ</t>
    </rPh>
    <phoneticPr fontId="2"/>
  </si>
  <si>
    <t>記載例</t>
    <rPh sb="0" eb="1">
      <t xml:space="preserve">キサイレイ </t>
    </rPh>
    <phoneticPr fontId="2"/>
  </si>
  <si>
    <t>センターの設置により全学的な教育コンテンツを作成支援し、プログラムの基礎部分である科目○○</t>
  </si>
  <si>
    <t>については全学生が受講できるようオンデマンド教材を整備するとともに、各学部に担当者を配置</t>
  </si>
  <si>
    <t>し、全学的な履修を支援・促進している。・・・　　（400字以内）</t>
  </si>
  <si>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2"/>
  </si>
  <si>
    <r>
      <rPr>
        <sz val="12"/>
        <rFont val="ＭＳ Ｐゴシック"/>
        <family val="3"/>
        <charset val="128"/>
        <scheme val="minor"/>
      </rPr>
      <t>本学の入学試験合格者全員に合格後の手続き案内を送付する際に，京都大学全学共通教育で提供されているデータサイエンス教育（今回申請する本教育プログラムの授業科目「統計入門」を含む）について紹介するチラシを同封し，全合格者に対して本教育プログラムの存在を周知している．また，全学の新入生ガイダンスにおいても，文理問わずデータサイエンスを学ぶことが重要であることや京都大学全学共通教育で提供しているデータサイエンス関連科目の内容について説明し，ガイダンスに出席できなかった学生にも周知するためにガイダンスの動画をデータ科学イノベーション教育研究センターのホームページで公開している．さらに，学生にデータサイエンスを身近に感じてもらうための様々なユースケースを想定した短い宣伝動画を複数作成し，データ科学イノベーション教育研究センターのホームページで公開している．なお関連科目「続・統計入門」（前期・後期1クラス)は令和3年度より「統計と人工知能」と改称した．</t>
    </r>
    <r>
      <rPr>
        <sz val="12"/>
        <rFont val="ＭＳ Ｐゴシック"/>
        <family val="2"/>
        <charset val="128"/>
        <scheme val="minor"/>
      </rPr>
      <t xml:space="preserve">
</t>
    </r>
    <r>
      <rPr>
        <sz val="12"/>
        <rFont val="ＭＳ Ｐゴシック"/>
        <family val="3"/>
        <charset val="128"/>
      </rPr>
      <t/>
    </r>
    <rPh sb="0" eb="2">
      <t xml:space="preserve">ホンガクノ </t>
    </rPh>
    <rPh sb="3" eb="5">
      <t xml:space="preserve">ホンガクノ </t>
    </rPh>
    <rPh sb="6" eb="10">
      <t xml:space="preserve">ニュウガクシケン </t>
    </rPh>
    <rPh sb="10" eb="13">
      <t xml:space="preserve">ゴウカクシャ </t>
    </rPh>
    <rPh sb="13" eb="15">
      <t xml:space="preserve">ゼンインニ </t>
    </rPh>
    <rPh sb="16" eb="19">
      <t xml:space="preserve">ゴウカクゴノ </t>
    </rPh>
    <rPh sb="23" eb="25">
      <t xml:space="preserve">アンナイ </t>
    </rPh>
    <rPh sb="26" eb="28">
      <t xml:space="preserve">ソウフスルサイ </t>
    </rPh>
    <rPh sb="30" eb="34">
      <t xml:space="preserve">キョウトダイガク </t>
    </rPh>
    <rPh sb="37" eb="41">
      <t xml:space="preserve">キョウトダイガクノ </t>
    </rPh>
    <rPh sb="41" eb="43">
      <t xml:space="preserve">テイキョウサレテイル </t>
    </rPh>
    <rPh sb="48" eb="53">
      <t xml:space="preserve">コクサイコウトウキョウイクインデノ </t>
    </rPh>
    <rPh sb="53" eb="54">
      <t xml:space="preserve">イン </t>
    </rPh>
    <rPh sb="55" eb="57">
      <t xml:space="preserve">テイキョウサレル </t>
    </rPh>
    <rPh sb="72" eb="75">
      <t xml:space="preserve">コンカイ </t>
    </rPh>
    <rPh sb="75" eb="77">
      <t xml:space="preserve">シンセイスル </t>
    </rPh>
    <rPh sb="79" eb="83">
      <t xml:space="preserve">ジュギョウカモク </t>
    </rPh>
    <rPh sb="84" eb="88">
      <t xml:space="preserve">トウケイニュウモン </t>
    </rPh>
    <rPh sb="90" eb="91">
      <t xml:space="preserve">フクム </t>
    </rPh>
    <rPh sb="97" eb="99">
      <t xml:space="preserve">ショウカイスル </t>
    </rPh>
    <rPh sb="105" eb="107">
      <t xml:space="preserve">キョウイク </t>
    </rPh>
    <rPh sb="108" eb="112">
      <t xml:space="preserve">ニュウガクシケン </t>
    </rPh>
    <rPh sb="112" eb="115">
      <t xml:space="preserve">ゴウカクシャニタイシテ </t>
    </rPh>
    <rPh sb="119" eb="120">
      <t xml:space="preserve">ホンプログラム </t>
    </rPh>
    <rPh sb="128" eb="133">
      <t xml:space="preserve">ソンザイヲ </t>
    </rPh>
    <rPh sb="134" eb="136">
      <t xml:space="preserve">シュウチシテイル </t>
    </rPh>
    <rPh sb="137" eb="140">
      <t>シンニュウセイ</t>
    </rPh>
    <rPh sb="144" eb="146">
      <t xml:space="preserve">ゼンガクノ </t>
    </rPh>
    <rPh sb="158" eb="161">
      <t xml:space="preserve">ブンリトワズ </t>
    </rPh>
    <rPh sb="172" eb="173">
      <t xml:space="preserve">マナブ </t>
    </rPh>
    <rPh sb="177" eb="178">
      <t xml:space="preserve">ジュウヨウセイヤ </t>
    </rPh>
    <rPh sb="178" eb="182">
      <t xml:space="preserve">キョウトダイガク </t>
    </rPh>
    <rPh sb="216" eb="218">
      <t xml:space="preserve">シュッセキデキナカッタガクセイニ </t>
    </rPh>
    <rPh sb="228" eb="230">
      <t xml:space="preserve">シュウチデキルヨウニ </t>
    </rPh>
    <rPh sb="249" eb="251">
      <t xml:space="preserve">ナイヨウニツイテ </t>
    </rPh>
    <rPh sb="255" eb="257">
      <t xml:space="preserve">セツメイシ </t>
    </rPh>
    <rPh sb="266" eb="268">
      <t xml:space="preserve">ガクセイニ </t>
    </rPh>
    <rPh sb="272" eb="274">
      <t xml:space="preserve">コウカイシテイル </t>
    </rPh>
    <rPh sb="285" eb="287">
      <t xml:space="preserve">ミジカニカンジテモラウ </t>
    </rPh>
    <rPh sb="297" eb="298">
      <t xml:space="preserve">サマザマナ </t>
    </rPh>
    <rPh sb="307" eb="309">
      <t xml:space="preserve">ソウテイシタ </t>
    </rPh>
    <rPh sb="311" eb="312">
      <t xml:space="preserve">ミジカイセンデンドウガヲ </t>
    </rPh>
    <rPh sb="318" eb="322">
      <t xml:space="preserve">フクスウサクセイシ </t>
    </rPh>
    <rPh sb="336" eb="340">
      <t xml:space="preserve">キョウイクケンキュウセンターノ </t>
    </rPh>
    <rPh sb="346" eb="348">
      <t xml:space="preserve">モジ </t>
    </rPh>
    <rPh sb="352" eb="354">
      <t xml:space="preserve">モジマデ </t>
    </rPh>
    <rPh sb="354" eb="356">
      <t xml:space="preserve">イナイ </t>
    </rPh>
    <rPh sb="367" eb="369">
      <t xml:space="preserve">コウカイシテイル </t>
    </rPh>
    <rPh sb="379" eb="383">
      <t>カンレンカモク</t>
    </rPh>
    <rPh sb="384" eb="385">
      <t>ゾク</t>
    </rPh>
    <rPh sb="386" eb="390">
      <t>トウケイニュウモン</t>
    </rPh>
    <rPh sb="392" eb="394">
      <t>ゼンキ</t>
    </rPh>
    <rPh sb="395" eb="397">
      <t>コウキ</t>
    </rPh>
    <rPh sb="403" eb="405">
      <t>レイワ</t>
    </rPh>
    <rPh sb="406" eb="408">
      <t>ネンド</t>
    </rPh>
    <rPh sb="411" eb="413">
      <t>トウケイ</t>
    </rPh>
    <phoneticPr fontId="2"/>
  </si>
  <si>
    <t>入学後のガイダンス、SNSでの周知や、本学のWEBサイトホームページトップ画面にプログラム専用</t>
  </si>
  <si>
    <t>ページへのリンクを掲載して、学生が情報を受け取りやすい環境を整備している。</t>
  </si>
  <si>
    <t>・・・　　（400字以内）</t>
  </si>
  <si>
    <t>できる限り多くの学生が履修・修得できるようなサポート体制</t>
    <rPh sb="26" eb="28">
      <t>タイセイ</t>
    </rPh>
    <phoneticPr fontId="2"/>
  </si>
  <si>
    <r>
      <rPr>
        <sz val="12"/>
        <rFont val="ＭＳ Ｐゴシック"/>
        <family val="3"/>
        <charset val="128"/>
      </rPr>
      <t>本教育プログラムの授業科目「統計入門」について，講義動画をアーカイブとして蓄積し本学の学習支援システム(LMS)であるPandAで公開することにより，多くの学生がいつでもオンデマンドで講義を視聴することが可能な環境を用意している．さらに，「統計入門」の講義のエッセンスを凝縮したショートバージョンの動画教材「統計の入門」を作成し，学内向けのオンライン教材(MOOC)提供支援環境　KoALA上で公開することにより，本学の全学生がこれを受講することを可能にしている．</t>
    </r>
    <r>
      <rPr>
        <sz val="12"/>
        <rFont val="ＭＳ Ｐゴシック"/>
        <family val="2"/>
        <charset val="128"/>
      </rPr>
      <t xml:space="preserve">
</t>
    </r>
    <r>
      <rPr>
        <sz val="12"/>
        <rFont val="ＭＳ Ｐゴシック"/>
        <family val="3"/>
        <charset val="128"/>
      </rPr>
      <t xml:space="preserve">
</t>
    </r>
    <rPh sb="0" eb="3">
      <t xml:space="preserve">ホンキョウイクプログラムノ </t>
    </rPh>
    <rPh sb="9" eb="13">
      <t xml:space="preserve">ジュギョウカモク </t>
    </rPh>
    <rPh sb="14" eb="18">
      <t xml:space="preserve">トウケイニュウモン </t>
    </rPh>
    <rPh sb="24" eb="28">
      <t xml:space="preserve">コウギドウガヲ </t>
    </rPh>
    <rPh sb="37" eb="39">
      <t xml:space="preserve">チクセキシ </t>
    </rPh>
    <rPh sb="40" eb="42">
      <t xml:space="preserve">ホンガクノ </t>
    </rPh>
    <rPh sb="43" eb="47">
      <t xml:space="preserve">ガクシュウシエンシステム </t>
    </rPh>
    <rPh sb="65" eb="67">
      <t xml:space="preserve">コウカイスルコトニヨリ </t>
    </rPh>
    <rPh sb="75" eb="76">
      <t xml:space="preserve">オオクノガクセイガ </t>
    </rPh>
    <rPh sb="92" eb="94">
      <t xml:space="preserve">コウギノ </t>
    </rPh>
    <rPh sb="95" eb="97">
      <t xml:space="preserve">シチョウスルコトガ </t>
    </rPh>
    <rPh sb="102" eb="104">
      <t xml:space="preserve">カノウナ </t>
    </rPh>
    <rPh sb="105" eb="107">
      <t xml:space="preserve">カンキョウヲ </t>
    </rPh>
    <rPh sb="108" eb="110">
      <t xml:space="preserve">ヨウイシテイル </t>
    </rPh>
    <rPh sb="120" eb="122">
      <t xml:space="preserve">トウケイノニュウモン </t>
    </rPh>
    <rPh sb="122" eb="124">
      <t xml:space="preserve">ニュウモン </t>
    </rPh>
    <rPh sb="126" eb="128">
      <t xml:space="preserve">コウギノ </t>
    </rPh>
    <rPh sb="135" eb="137">
      <t xml:space="preserve">ギョウシュクシタ </t>
    </rPh>
    <rPh sb="149" eb="153">
      <t xml:space="preserve">ドウガキョウザイ </t>
    </rPh>
    <rPh sb="154" eb="156">
      <t xml:space="preserve">トウケイノ </t>
    </rPh>
    <rPh sb="157" eb="159">
      <t xml:space="preserve">ニュウモン </t>
    </rPh>
    <rPh sb="161" eb="163">
      <t xml:space="preserve">サクセイシ </t>
    </rPh>
    <rPh sb="165" eb="168">
      <t xml:space="preserve">ガクナイムケノ </t>
    </rPh>
    <rPh sb="183" eb="185">
      <t xml:space="preserve">テイキョウ </t>
    </rPh>
    <rPh sb="185" eb="189">
      <t xml:space="preserve">シエンカンキョウ </t>
    </rPh>
    <rPh sb="195" eb="196">
      <t xml:space="preserve">ジョウデ </t>
    </rPh>
    <rPh sb="197" eb="199">
      <t xml:space="preserve">コウカイスルコトニヨリ </t>
    </rPh>
    <rPh sb="207" eb="209">
      <t xml:space="preserve">ホンガクノ </t>
    </rPh>
    <rPh sb="210" eb="213">
      <t xml:space="preserve">ゼンガクセイガ </t>
    </rPh>
    <rPh sb="217" eb="219">
      <t xml:space="preserve">ジュコウスルコトヲ </t>
    </rPh>
    <rPh sb="224" eb="226">
      <t xml:space="preserve">カノウニシテイル </t>
    </rPh>
    <phoneticPr fontId="2"/>
  </si>
  <si>
    <t>本教育プログラムの授業について、LMSにアーカイブを蓄積し、多くの学生がいつでも講義の閲覧が</t>
  </si>
  <si>
    <t>可能な環境を構築している。</t>
  </si>
  <si>
    <t>授業時間内外で学習指導、質問を受け付ける具体的な仕組み</t>
    <rPh sb="20" eb="23">
      <t>グタイテキ</t>
    </rPh>
    <phoneticPr fontId="2"/>
  </si>
  <si>
    <t xml:space="preserve">本教育プログラムの授業科目「統計入門」の履修登録者は，電子メールおよび学習支援システム(LMS)PandAを通じていつでも質問することができ，当該履修者の「統計入門」担当教員から返答する体制を構築している．
</t>
    <rPh sb="54" eb="55">
      <t xml:space="preserve">ツウジテ </t>
    </rPh>
    <rPh sb="57" eb="61">
      <t xml:space="preserve">タントウキョウインニ </t>
    </rPh>
    <rPh sb="66" eb="68">
      <t xml:space="preserve">シツモンスルコトガ </t>
    </rPh>
    <rPh sb="71" eb="76">
      <t xml:space="preserve">トウガイリシュウシャノ </t>
    </rPh>
    <rPh sb="89" eb="91">
      <t xml:space="preserve">ヘントウスル </t>
    </rPh>
    <rPh sb="93" eb="95">
      <t xml:space="preserve">タイセイヲ </t>
    </rPh>
    <rPh sb="96" eb="98">
      <t xml:space="preserve">コウチクシテイル </t>
    </rPh>
    <phoneticPr fontId="2"/>
  </si>
  <si>
    <t>本教育プログラムについての履修をLMSにて管理し、学生は授業時間以外に不明点等をシステムを</t>
  </si>
  <si>
    <t>通じて確認することができ、質問はセンターの教員を通じて返答する体制を整備している。</t>
  </si>
  <si>
    <t>様式６</t>
    <rPh sb="0" eb="2">
      <t>ヨウシキ</t>
    </rPh>
    <phoneticPr fontId="2"/>
  </si>
  <si>
    <t>学校名：</t>
    <rPh sb="0" eb="3">
      <t>ガッコウメイ</t>
    </rPh>
    <phoneticPr fontId="2"/>
  </si>
  <si>
    <t>自己点検・評価について</t>
    <rPh sb="0" eb="2">
      <t>ジコ</t>
    </rPh>
    <rPh sb="2" eb="4">
      <t>テンケン</t>
    </rPh>
    <rPh sb="5" eb="7">
      <t>ヒョウカ</t>
    </rPh>
    <phoneticPr fontId="2"/>
  </si>
  <si>
    <t>自己点検・評価体制における意見等</t>
    <rPh sb="15" eb="16">
      <t>トウ</t>
    </rPh>
    <phoneticPr fontId="2"/>
  </si>
  <si>
    <t>自己点検・評価の視点</t>
    <rPh sb="0" eb="2">
      <t>ジコ</t>
    </rPh>
    <rPh sb="2" eb="4">
      <t>テンケン</t>
    </rPh>
    <rPh sb="5" eb="7">
      <t>ヒョウカ</t>
    </rPh>
    <rPh sb="8" eb="10">
      <t>シテン</t>
    </rPh>
    <phoneticPr fontId="2"/>
  </si>
  <si>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2"/>
  </si>
  <si>
    <t>学内からの視点</t>
    <rPh sb="0" eb="2">
      <t>ガクナイ</t>
    </rPh>
    <rPh sb="5" eb="7">
      <t>シテン</t>
    </rPh>
    <phoneticPr fontId="2"/>
  </si>
  <si>
    <t>プログラムの履修・修得状況</t>
    <rPh sb="6" eb="8">
      <t>リシュウ</t>
    </rPh>
    <rPh sb="9" eb="11">
      <t>シュウトク</t>
    </rPh>
    <rPh sb="11" eb="13">
      <t>ジョウキョウ</t>
    </rPh>
    <phoneticPr fontId="2"/>
  </si>
  <si>
    <r>
      <t xml:space="preserve">データ科学イノベーション教育研究センター及びデータ科学イノベーション教育研究センター企画評価委員会・データ科学部会において、本教育プログラムの授業科目「統計入門」の各講義担当者のクラスの履修・修得状況について随時報告することで、講義の問題点や改善方法について担当者間で情報を共有することができる。
</t>
    </r>
    <r>
      <rPr>
        <sz val="12"/>
        <color rgb="FF00B0F0"/>
        <rFont val="ＭＳ Ｐゴシック"/>
        <family val="2"/>
        <charset val="128"/>
        <scheme val="minor"/>
      </rPr>
      <t/>
    </r>
    <rPh sb="18" eb="21">
      <t xml:space="preserve">キニュウレイ </t>
    </rPh>
    <rPh sb="25" eb="38">
      <t>カガクイノベーションキョウイクケンキュウ</t>
    </rPh>
    <rPh sb="42" eb="49">
      <t>キカクヒョウカイインカイ</t>
    </rPh>
    <rPh sb="62" eb="65">
      <t xml:space="preserve">ホンキョウイクプログラム </t>
    </rPh>
    <rPh sb="71" eb="75">
      <t xml:space="preserve">ジュギョウカモク </t>
    </rPh>
    <rPh sb="76" eb="80">
      <t xml:space="preserve">トウケイニュウモン </t>
    </rPh>
    <rPh sb="82" eb="83">
      <t xml:space="preserve">カクタントウシャノ </t>
    </rPh>
    <rPh sb="83" eb="88">
      <t xml:space="preserve">コウギタントウシャノ </t>
    </rPh>
    <rPh sb="93" eb="95">
      <t xml:space="preserve">リシュウ </t>
    </rPh>
    <rPh sb="96" eb="98">
      <t xml:space="preserve">シュウトク </t>
    </rPh>
    <rPh sb="98" eb="100">
      <t xml:space="preserve">シュウトクジョウキョウニツイテ </t>
    </rPh>
    <rPh sb="104" eb="106">
      <t xml:space="preserve">ズイジ </t>
    </rPh>
    <rPh sb="106" eb="108">
      <t xml:space="preserve">ホウコクスルコトデ </t>
    </rPh>
    <rPh sb="114" eb="116">
      <t xml:space="preserve">コウギノ </t>
    </rPh>
    <rPh sb="117" eb="120">
      <t xml:space="preserve">モンダイテンヤ </t>
    </rPh>
    <rPh sb="121" eb="125">
      <t xml:space="preserve">カイゼンホウホウニツイテ </t>
    </rPh>
    <rPh sb="129" eb="132">
      <t xml:space="preserve">タントウシャカンデ </t>
    </rPh>
    <rPh sb="132" eb="133">
      <t xml:space="preserve">カンデ </t>
    </rPh>
    <rPh sb="134" eb="136">
      <t xml:space="preserve">ジョウホウヲ </t>
    </rPh>
    <rPh sb="137" eb="139">
      <t xml:space="preserve">キョウユウスルコトガ </t>
    </rPh>
    <phoneticPr fontId="2"/>
  </si>
  <si>
    <t>学修成果</t>
    <rPh sb="0" eb="2">
      <t>ガクシュウ</t>
    </rPh>
    <rPh sb="2" eb="4">
      <t>セイカ</t>
    </rPh>
    <phoneticPr fontId="2"/>
  </si>
  <si>
    <t xml:space="preserve">本教育プログラムの授業科目「統計入門」の全受講者の成績分布について、データ科学イノベーション教育研究センター及びデータ科学イノベーション教育研究センター企画評価委員会・データ科学部会において分析することで、その結果を本教育プログラムの評価・改善に活用している。
</t>
    <rPh sb="25" eb="29">
      <t xml:space="preserve">セイセキブンプニツイテ </t>
    </rPh>
    <rPh sb="34" eb="35">
      <t xml:space="preserve">トウタツモクヒョウノ </t>
    </rPh>
    <rPh sb="36" eb="39">
      <t xml:space="preserve">タッセイドヤ </t>
    </rPh>
    <rPh sb="40" eb="42">
      <t xml:space="preserve">ガクセイノ </t>
    </rPh>
    <rPh sb="43" eb="46">
      <t xml:space="preserve">リカイドヲ </t>
    </rPh>
    <rPh sb="47" eb="49">
      <t xml:space="preserve">チョウサシテオリ </t>
    </rPh>
    <rPh sb="114" eb="118">
      <t>ガクシュウセイカ</t>
    </rPh>
    <rPh sb="118" eb="119">
      <t xml:space="preserve">ヒョウカ </t>
    </rPh>
    <rPh sb="120" eb="122">
      <t xml:space="preserve">カイゼンニ </t>
    </rPh>
    <rPh sb="123" eb="125">
      <t xml:space="preserve">カツヨウシテイル </t>
    </rPh>
    <phoneticPr fontId="2"/>
  </si>
  <si>
    <t xml:space="preserve">
</t>
    <phoneticPr fontId="2"/>
  </si>
  <si>
    <t>学生アンケート等を通じた学生の内容の理解度</t>
    <rPh sb="0" eb="2">
      <t>ガクセイ</t>
    </rPh>
    <rPh sb="7" eb="8">
      <t>トウ</t>
    </rPh>
    <rPh sb="9" eb="10">
      <t>ツウ</t>
    </rPh>
    <rPh sb="12" eb="14">
      <t>ガクセイ</t>
    </rPh>
    <rPh sb="15" eb="17">
      <t>ナイヨウ</t>
    </rPh>
    <rPh sb="18" eb="21">
      <t>リカイド</t>
    </rPh>
    <phoneticPr fontId="2"/>
  </si>
  <si>
    <r>
      <rPr>
        <sz val="12"/>
        <rFont val="ＭＳ Ｐゴシック"/>
        <family val="3"/>
        <charset val="128"/>
      </rPr>
      <t>本教育プログラムの授業科目「統計入門」の全受講者に対して授業アンケートを実施して到達目標の達成度や学生の理解度を調査しており、その結果をデータ科学イノベーション教育研究センター及びデータ科学イノベーション教育研究センター企画評価委員会・データ科学部会において分析している。</t>
    </r>
    <r>
      <rPr>
        <sz val="12"/>
        <rFont val="ＭＳ Ｐゴシック"/>
        <family val="3"/>
        <charset val="128"/>
        <scheme val="minor"/>
      </rPr>
      <t xml:space="preserve">
</t>
    </r>
    <rPh sb="27" eb="29">
      <t xml:space="preserve">ジッシシテイル </t>
    </rPh>
    <rPh sb="74" eb="78">
      <t xml:space="preserve">コウギジタイニタイスル </t>
    </rPh>
    <rPh sb="82" eb="84">
      <t xml:space="preserve">ヒョウカモ </t>
    </rPh>
    <rPh sb="84" eb="86">
      <t xml:space="preserve">コウモクモ </t>
    </rPh>
    <rPh sb="87" eb="88">
      <t xml:space="preserve">フクマレテオリ </t>
    </rPh>
    <rPh sb="129" eb="131">
      <t xml:space="preserve">ブンセキシテイル </t>
    </rPh>
    <phoneticPr fontId="2"/>
  </si>
  <si>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2"/>
  </si>
  <si>
    <r>
      <rPr>
        <sz val="12"/>
        <rFont val="ＭＳ Ｐゴシック"/>
        <family val="3"/>
        <charset val="128"/>
      </rPr>
      <t>本教育プログラムの授業科目「統計入門」の全受講者に対して実施している授業アンケートでは、「この授業は自分にとって意義のある授業と感じた」かどうかなど、講義自体に対する評価項目も含まれており、その回答結果を後輩等他の学生への本教育プログラムの授業科目「統計入門」履修推奨に活用することが可能である。</t>
    </r>
    <r>
      <rPr>
        <sz val="12"/>
        <rFont val="ＭＳ Ｐゴシック"/>
        <family val="3"/>
        <charset val="128"/>
        <scheme val="minor"/>
      </rPr>
      <t xml:space="preserve">
</t>
    </r>
    <rPh sb="28" eb="30">
      <t xml:space="preserve">ジッシシテイル </t>
    </rPh>
    <rPh sb="75" eb="79">
      <t xml:space="preserve">コウギジタイニタイスル </t>
    </rPh>
    <rPh sb="83" eb="85">
      <t xml:space="preserve">ヒョウカモ </t>
    </rPh>
    <rPh sb="85" eb="87">
      <t xml:space="preserve">コウモクモ </t>
    </rPh>
    <rPh sb="88" eb="89">
      <t xml:space="preserve">フクマレテオリ </t>
    </rPh>
    <rPh sb="102" eb="104">
      <t xml:space="preserve">コウハイガクセイ </t>
    </rPh>
    <rPh sb="104" eb="105">
      <t xml:space="preserve">ナド </t>
    </rPh>
    <rPh sb="105" eb="106">
      <t xml:space="preserve">ホカノ </t>
    </rPh>
    <rPh sb="107" eb="109">
      <t xml:space="preserve">ガクセイヘノ </t>
    </rPh>
    <rPh sb="111" eb="112">
      <t xml:space="preserve">ホンプログラムノ </t>
    </rPh>
    <rPh sb="112" eb="114">
      <t xml:space="preserve">キョウイク </t>
    </rPh>
    <rPh sb="120" eb="124">
      <t xml:space="preserve">ジュギョウカモク </t>
    </rPh>
    <rPh sb="125" eb="129">
      <t xml:space="preserve">トウケイニュウモン </t>
    </rPh>
    <rPh sb="130" eb="132">
      <t xml:space="preserve">リシュウ </t>
    </rPh>
    <rPh sb="132" eb="134">
      <t xml:space="preserve">スイショウニ </t>
    </rPh>
    <rPh sb="135" eb="137">
      <t xml:space="preserve">カツヨウスルコトガ </t>
    </rPh>
    <rPh sb="142" eb="144">
      <t xml:space="preserve">カノウデアル </t>
    </rPh>
    <phoneticPr fontId="2"/>
  </si>
  <si>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2"/>
  </si>
  <si>
    <t xml:space="preserve">本教育プログラムの授業科目「統計入門」は、それが全学共通科目として導入された平成27年度以降、当初の３年間は各年度の履修者数が800名程度であったが、全学向けの広報などの結果、直近の３年間で1,200名弱まで履修者数が増加しており、これは各年度の入学者数およそ2,800名の40%以上に相当する。ただし、「統計入門」を必修科目としている学部は医学部のみであることなど改善の余地があり、さらなる履修者数、履修率の向上に向けて取り組んでいる。
</t>
    <rPh sb="0" eb="3">
      <t xml:space="preserve">ホンキョウイクプログラム </t>
    </rPh>
    <rPh sb="9" eb="13">
      <t xml:space="preserve">ジュギョウカモク </t>
    </rPh>
    <rPh sb="14" eb="18">
      <t xml:space="preserve">トウケイニュウモン </t>
    </rPh>
    <rPh sb="24" eb="30">
      <t xml:space="preserve">ゼンガクキョウツウカモクトシテ </t>
    </rPh>
    <rPh sb="33" eb="35">
      <t xml:space="preserve">ドウニュウサレタ </t>
    </rPh>
    <rPh sb="38" eb="40">
      <t xml:space="preserve">ヘイセイ </t>
    </rPh>
    <rPh sb="44" eb="46">
      <t xml:space="preserve">イコウ </t>
    </rPh>
    <rPh sb="47" eb="49">
      <t xml:space="preserve">トウショノ </t>
    </rPh>
    <rPh sb="54" eb="57">
      <t xml:space="preserve">カクネンドノ </t>
    </rPh>
    <rPh sb="58" eb="62">
      <t xml:space="preserve">リシュウシャスウガ </t>
    </rPh>
    <rPh sb="66" eb="69">
      <t xml:space="preserve">メイテイドデアッタガ </t>
    </rPh>
    <rPh sb="75" eb="78">
      <t xml:space="preserve">ゼンガクムケノ </t>
    </rPh>
    <rPh sb="80" eb="82">
      <t xml:space="preserve">コウホウ </t>
    </rPh>
    <rPh sb="85" eb="87">
      <t xml:space="preserve">ケッカ </t>
    </rPh>
    <rPh sb="88" eb="90">
      <t xml:space="preserve">チョッキンノ </t>
    </rPh>
    <rPh sb="100" eb="101">
      <t xml:space="preserve">メイ </t>
    </rPh>
    <rPh sb="101" eb="102">
      <t xml:space="preserve">ジャク </t>
    </rPh>
    <rPh sb="104" eb="108">
      <t xml:space="preserve">リシュウシャスウガ </t>
    </rPh>
    <rPh sb="109" eb="111">
      <t xml:space="preserve">ゾウカシテイル </t>
    </rPh>
    <rPh sb="119" eb="122">
      <t xml:space="preserve">カクネンドノ </t>
    </rPh>
    <rPh sb="123" eb="127">
      <t xml:space="preserve">ニュウガクシャスウ </t>
    </rPh>
    <rPh sb="135" eb="136">
      <t xml:space="preserve">メイ </t>
    </rPh>
    <rPh sb="140" eb="142">
      <t xml:space="preserve">イジョウノ </t>
    </rPh>
    <rPh sb="143" eb="145">
      <t xml:space="preserve">ソウトウスル </t>
    </rPh>
    <rPh sb="153" eb="157">
      <t xml:space="preserve">トウケイニュウモン </t>
    </rPh>
    <rPh sb="159" eb="163">
      <t xml:space="preserve">ヒッシュウカモクトシテイルガクブハ </t>
    </rPh>
    <rPh sb="171" eb="174">
      <t xml:space="preserve">イガクブノミ </t>
    </rPh>
    <rPh sb="183" eb="185">
      <t xml:space="preserve">カイゼンノ </t>
    </rPh>
    <rPh sb="186" eb="188">
      <t xml:space="preserve">ヨチガ </t>
    </rPh>
    <rPh sb="196" eb="200">
      <t xml:space="preserve">リシュウシャスウ </t>
    </rPh>
    <rPh sb="201" eb="204">
      <t xml:space="preserve">リシュウリツノ </t>
    </rPh>
    <rPh sb="205" eb="207">
      <t xml:space="preserve">コウジョウノ </t>
    </rPh>
    <rPh sb="208" eb="209">
      <t xml:space="preserve">ムケテ </t>
    </rPh>
    <rPh sb="211" eb="212">
      <t xml:space="preserve">トリクンデイル </t>
    </rPh>
    <phoneticPr fontId="2"/>
  </si>
  <si>
    <t>学外からの視点</t>
    <rPh sb="0" eb="2">
      <t>ガクガイ</t>
    </rPh>
    <rPh sb="5" eb="7">
      <t>シテン</t>
    </rPh>
    <phoneticPr fontId="2"/>
  </si>
  <si>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2"/>
  </si>
  <si>
    <r>
      <rPr>
        <sz val="12"/>
        <rFont val="ＭＳ Ｐゴシック"/>
        <family val="3"/>
        <charset val="128"/>
      </rPr>
      <t>本教育プログラムは単一の授業科目「統計入門」のみで構成されており、その単位取得状況は教務情報として全ての卒業生について記録されているため、卒業生の調査を実施することで「統計入門」の単位取得者の卒業後の進路や社会での活躍状況について把握することが可能である。</t>
    </r>
    <r>
      <rPr>
        <sz val="12"/>
        <rFont val="ＭＳ Ｐゴシック"/>
        <family val="3"/>
        <charset val="128"/>
        <scheme val="minor"/>
      </rPr>
      <t xml:space="preserve">
</t>
    </r>
    <rPh sb="9" eb="11">
      <t xml:space="preserve">タンイツノ </t>
    </rPh>
    <rPh sb="25" eb="27">
      <t xml:space="preserve">コウセイサレテオリ </t>
    </rPh>
    <rPh sb="42" eb="46">
      <t xml:space="preserve">キョウムジョウホウトシテ </t>
    </rPh>
    <rPh sb="49" eb="50">
      <t xml:space="preserve">スベテノ </t>
    </rPh>
    <rPh sb="52" eb="55">
      <t xml:space="preserve">ソツギョウセイニツイテ </t>
    </rPh>
    <rPh sb="59" eb="61">
      <t xml:space="preserve">キロクサレテイルタメ </t>
    </rPh>
    <rPh sb="69" eb="72">
      <t xml:space="preserve">ソツギョウセイノ </t>
    </rPh>
    <rPh sb="73" eb="75">
      <t xml:space="preserve">チョウサヲ </t>
    </rPh>
    <rPh sb="76" eb="78">
      <t xml:space="preserve">ジッシスルコトデ </t>
    </rPh>
    <rPh sb="90" eb="95">
      <t xml:space="preserve">タンイシュトクシャト </t>
    </rPh>
    <rPh sb="96" eb="99">
      <t xml:space="preserve">ソツギョウゴノ </t>
    </rPh>
    <rPh sb="100" eb="102">
      <t xml:space="preserve">シンロヤ </t>
    </rPh>
    <rPh sb="103" eb="105">
      <t xml:space="preserve">シャカイデノ </t>
    </rPh>
    <rPh sb="107" eb="111">
      <t xml:space="preserve">カツヤクジョウキョウニツイテ </t>
    </rPh>
    <rPh sb="115" eb="117">
      <t xml:space="preserve">ハアクスルコトガ </t>
    </rPh>
    <rPh sb="122" eb="124">
      <t xml:space="preserve">カノウデアル </t>
    </rPh>
    <phoneticPr fontId="2"/>
  </si>
  <si>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2"/>
  </si>
  <si>
    <r>
      <rPr>
        <sz val="12"/>
        <rFont val="ＭＳ Ｐゴシック"/>
        <family val="3"/>
        <charset val="128"/>
      </rPr>
      <t>データ科学イノベーション教育研究センターは京都大学の全学共通教育におけるデータサイエンス教育を担うとともに、多くの企業とデータサイエンススクールを実施したり、共同研究を行っており、それらの企業との交流の中で産業界の視点からの意見を収集することで本教育プログラムの改善に役立てている。</t>
    </r>
    <r>
      <rPr>
        <sz val="12"/>
        <rFont val="ＭＳ Ｐゴシック"/>
        <family val="3"/>
        <charset val="128"/>
        <scheme val="minor"/>
      </rPr>
      <t xml:space="preserve">
</t>
    </r>
    <rPh sb="21" eb="25">
      <t xml:space="preserve">キョウトダイガクノ </t>
    </rPh>
    <rPh sb="26" eb="32">
      <t xml:space="preserve">ゼンガクキョウツウキョウイクニオケル </t>
    </rPh>
    <rPh sb="47" eb="48">
      <t xml:space="preserve">ニナウトトモニ </t>
    </rPh>
    <rPh sb="54" eb="55">
      <t xml:space="preserve">オオクノ </t>
    </rPh>
    <rPh sb="57" eb="59">
      <t xml:space="preserve">キギョウト </t>
    </rPh>
    <rPh sb="73" eb="75">
      <t xml:space="preserve">ジッシシタリ </t>
    </rPh>
    <rPh sb="79" eb="83">
      <t xml:space="preserve">キョウドウケンキュウヲ </t>
    </rPh>
    <rPh sb="84" eb="85">
      <t xml:space="preserve">オコナッテオリ </t>
    </rPh>
    <rPh sb="98" eb="100">
      <t xml:space="preserve">コウリュウノナカデ </t>
    </rPh>
    <rPh sb="103" eb="106">
      <t xml:space="preserve">サンギョウカイノ </t>
    </rPh>
    <rPh sb="107" eb="109">
      <t xml:space="preserve">シテンデノ </t>
    </rPh>
    <rPh sb="112" eb="114">
      <t xml:space="preserve">イケンヲ </t>
    </rPh>
    <rPh sb="115" eb="117">
      <t xml:space="preserve">シュウシュウシ </t>
    </rPh>
    <rPh sb="122" eb="125">
      <t xml:space="preserve">ホンキョウイクプログラムノ </t>
    </rPh>
    <rPh sb="131" eb="133">
      <t xml:space="preserve">カイゼンヲ </t>
    </rPh>
    <rPh sb="134" eb="136">
      <t xml:space="preserve">ヤクダテテイル </t>
    </rPh>
    <phoneticPr fontId="2"/>
  </si>
  <si>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2"/>
  </si>
  <si>
    <r>
      <rPr>
        <sz val="12"/>
        <rFont val="ＭＳ Ｐゴシック"/>
        <family val="3"/>
        <charset val="128"/>
      </rPr>
      <t>全学ガイダンスにおいて本学の全学共通教育で提供されるデータサイエンス教育に関する説明時間を確保し、文理問わず数理・データサイエンス・ＡＩを学ぶことの重要性について全入学生に説明している。さらに、本教育プログラムの授業科目「統計入門」の概要と導入（第１回）においても、モデルカリキュラムのリテラシーレベルを参考にその内容に準じた講義を時事的なトピックを交えながら行っており、その教材を「統計入門」の担当者間で共有している。</t>
    </r>
    <r>
      <rPr>
        <sz val="12"/>
        <rFont val="ＭＳ Ｐゴシック"/>
        <family val="3"/>
        <charset val="128"/>
        <scheme val="minor"/>
      </rPr>
      <t xml:space="preserve">
</t>
    </r>
    <rPh sb="0" eb="2">
      <t xml:space="preserve">ゼンガクガイダンスニオイテ </t>
    </rPh>
    <rPh sb="11" eb="13">
      <t xml:space="preserve">ホンガクノ </t>
    </rPh>
    <rPh sb="14" eb="20">
      <t xml:space="preserve">ゼンガクキョウツウキョウイクデ </t>
    </rPh>
    <rPh sb="21" eb="23">
      <t xml:space="preserve">テイキョウサレル </t>
    </rPh>
    <rPh sb="34" eb="36">
      <t xml:space="preserve">キョウイクニカンスル </t>
    </rPh>
    <rPh sb="40" eb="44">
      <t xml:space="preserve">セツメイジカンヲ </t>
    </rPh>
    <rPh sb="45" eb="47">
      <t xml:space="preserve">カクホシ </t>
    </rPh>
    <rPh sb="49" eb="52">
      <t xml:space="preserve">ブンリトワズ </t>
    </rPh>
    <rPh sb="54" eb="57">
      <t xml:space="preserve">ホンキョウイクプログラム </t>
    </rPh>
    <rPh sb="63" eb="67">
      <t xml:space="preserve">ジュギョウカモク </t>
    </rPh>
    <rPh sb="108" eb="109">
      <t xml:space="preserve">ダイ１カイ </t>
    </rPh>
    <rPh sb="136" eb="138">
      <t xml:space="preserve">サンコウニ </t>
    </rPh>
    <rPh sb="145" eb="146">
      <t xml:space="preserve">ジュンジタ </t>
    </rPh>
    <rPh sb="148" eb="150">
      <t xml:space="preserve">コウギヲ </t>
    </rPh>
    <rPh sb="151" eb="152">
      <t xml:space="preserve">オコナッテイル </t>
    </rPh>
    <rPh sb="166" eb="169">
      <t xml:space="preserve">ジジテキナ </t>
    </rPh>
    <rPh sb="175" eb="176">
      <t xml:space="preserve">マジエナガラ </t>
    </rPh>
    <rPh sb="188" eb="190">
      <t xml:space="preserve">キョウザイ </t>
    </rPh>
    <rPh sb="192" eb="196">
      <t xml:space="preserve">トウケイニュウモンオ </t>
    </rPh>
    <rPh sb="198" eb="202">
      <t xml:space="preserve">タントウシャカンデ </t>
    </rPh>
    <rPh sb="203" eb="205">
      <t xml:space="preserve">キョウユウシテイル </t>
    </rPh>
    <phoneticPr fontId="2"/>
  </si>
  <si>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2"/>
  </si>
  <si>
    <r>
      <rPr>
        <sz val="12"/>
        <rFont val="ＭＳ Ｐゴシック"/>
        <family val="3"/>
        <charset val="128"/>
      </rPr>
      <t>本教育プログラムの授業科目「統計入門」のエッセンスを凝縮した動画教材「統計の入門」をJMOOC公認のプラットフォームであるgaccoで公開し、広く学外の方に提供している。令和２年度は11、844人の受講者があり、多くの質問や感想が寄せられた。その内容をデータ科学イノベーション教育研究センターで分析し、本教育プログラムの改善に役立てている。</t>
    </r>
    <r>
      <rPr>
        <sz val="12"/>
        <rFont val="ＭＳ Ｐゴシック"/>
        <family val="3"/>
        <charset val="128"/>
        <scheme val="minor"/>
      </rPr>
      <t xml:space="preserve">
</t>
    </r>
    <rPh sb="26" eb="28">
      <t xml:space="preserve">ギョウシュクシタ </t>
    </rPh>
    <rPh sb="30" eb="34">
      <t xml:space="preserve">ドウガキョウザイ </t>
    </rPh>
    <rPh sb="35" eb="37">
      <t xml:space="preserve">トウケイノ </t>
    </rPh>
    <rPh sb="38" eb="40">
      <t xml:space="preserve">ニュウモン </t>
    </rPh>
    <rPh sb="47" eb="49">
      <t xml:space="preserve">コウニンノ </t>
    </rPh>
    <rPh sb="67" eb="69">
      <t xml:space="preserve">コウカイシ </t>
    </rPh>
    <rPh sb="71" eb="72">
      <t xml:space="preserve">ヒロク </t>
    </rPh>
    <rPh sb="73" eb="75">
      <t xml:space="preserve">ガクガイノ </t>
    </rPh>
    <rPh sb="76" eb="77">
      <t xml:space="preserve">カタニ </t>
    </rPh>
    <rPh sb="78" eb="80">
      <t xml:space="preserve">テイキョウシテイル </t>
    </rPh>
    <rPh sb="85" eb="87">
      <t xml:space="preserve">レイワ </t>
    </rPh>
    <rPh sb="97" eb="98">
      <t xml:space="preserve">ニンノ </t>
    </rPh>
    <rPh sb="99" eb="102">
      <t xml:space="preserve">ジュコウシャガ </t>
    </rPh>
    <rPh sb="106" eb="107">
      <t xml:space="preserve">オオクノ </t>
    </rPh>
    <rPh sb="109" eb="111">
      <t xml:space="preserve">シツモンヤ </t>
    </rPh>
    <rPh sb="112" eb="114">
      <t xml:space="preserve">カンソウガ </t>
    </rPh>
    <rPh sb="115" eb="116">
      <t xml:space="preserve">ヨセラレタ </t>
    </rPh>
    <rPh sb="147" eb="149">
      <t xml:space="preserve">ブンセキシ </t>
    </rPh>
    <phoneticPr fontId="2"/>
  </si>
  <si>
    <t>※公表している場合のアドレス</t>
    <rPh sb="1" eb="3">
      <t>コウヒョウ</t>
    </rPh>
    <rPh sb="7" eb="9">
      <t>バアイ</t>
    </rPh>
    <phoneticPr fontId="2"/>
  </si>
  <si>
    <t>自己点検・評価体制における意見等の公表の有無</t>
    <rPh sb="17" eb="19">
      <t>コウヒョウ</t>
    </rPh>
    <rPh sb="20" eb="22">
      <t>ウム</t>
    </rPh>
    <phoneticPr fontId="2"/>
  </si>
  <si>
    <t>有</t>
  </si>
  <si>
    <t>様式７</t>
    <rPh sb="0" eb="2">
      <t>ヨウシキ</t>
    </rPh>
    <phoneticPr fontId="2"/>
  </si>
  <si>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2"/>
  </si>
  <si>
    <t>授業内容</t>
    <rPh sb="0" eb="2">
      <t>ジュギョウ</t>
    </rPh>
    <rPh sb="2" eb="4">
      <t>ナイヨウ</t>
    </rPh>
    <phoneticPr fontId="2"/>
  </si>
  <si>
    <t xml:space="preserve">「統計入門」の履修者数を合計した数の割合が、プラスへの申請条件である５０％以上を超える方策が確定した段階で申請する計画であるが，現状を記載しておく．
各学部・学科における履修制度の違い，時間割編成，CAP制度に加えて昨年から発生しているコロナ感染対策のための教室人数制限と遠隔講義対応など，制約が多い現状において，一人でも多くの学生にデータサイエンスを学ぶ機会を提供する
１．MOOC「統計の入門」：「統計入門」の内容を縮約したものであるが，すべての内容を網羅している．学内の学生は自由に受講できる．「統計入門」の受講者には，予習に用いることを勧めている．
２．大学院向け「データ科学概観」：大学院生で学部時代にデータ科学を十分学べなかった学生を対象とした「統計入門」の内容に関する演習中心の集中講義（５月から６月の毎週日曜）．令和３年度に講義内容のビデオ収録が完了すれば，オンデマンド自習教材として大学院学生以外も受講可能にする計画である．
２．課外学習「データサイエンス基礎講座」：京大の子会社の協力を得て，データサイエンスの基礎に関するオンデマンド型とオンサイト型のハイブリッド講座を提供している．有料ではあるが，「統計入門」の受講者は，復習とその内容を活用した資格取得（統計検定)対策に用いることができる．
３．課外学習「データサイエンス・スクール」：京大附属病院および学内に数多く設置されている研究所・研究科に加えて企業から講師を招き，多様な分野におけるデータサイエンスに関する最新の話題を演習付きでわかりやすく講述する集中講義を開講している．
</t>
    <rPh sb="1" eb="5">
      <t>トウケイニュウモン</t>
    </rPh>
    <rPh sb="64" eb="66">
      <t>ゲンジョウ</t>
    </rPh>
    <rPh sb="67" eb="69">
      <t>キサイ</t>
    </rPh>
    <rPh sb="106" eb="107">
      <t>クワ</t>
    </rPh>
    <rPh sb="109" eb="111">
      <t>サクネン</t>
    </rPh>
    <rPh sb="130" eb="136">
      <t>キョウシツニンズウセイゲン</t>
    </rPh>
    <rPh sb="137" eb="141">
      <t>エンカクコウギ</t>
    </rPh>
    <rPh sb="141" eb="143">
      <t>タイオウ</t>
    </rPh>
    <rPh sb="146" eb="148">
      <t>セイヤク</t>
    </rPh>
    <rPh sb="149" eb="150">
      <t>オオ</t>
    </rPh>
    <rPh sb="151" eb="153">
      <t>ゲンジョウ</t>
    </rPh>
    <rPh sb="158" eb="160">
      <t>ヒトリ</t>
    </rPh>
    <rPh sb="162" eb="163">
      <t>オオ</t>
    </rPh>
    <rPh sb="165" eb="167">
      <t>ガクセイ</t>
    </rPh>
    <rPh sb="177" eb="178">
      <t>マナ</t>
    </rPh>
    <rPh sb="179" eb="181">
      <t>キカイ</t>
    </rPh>
    <rPh sb="182" eb="184">
      <t>テイキョウ</t>
    </rPh>
    <rPh sb="195" eb="197">
      <t>トウケイ</t>
    </rPh>
    <rPh sb="198" eb="200">
      <t>ニュウモン</t>
    </rPh>
    <rPh sb="203" eb="207">
      <t>トウケイニュウモン</t>
    </rPh>
    <rPh sb="227" eb="229">
      <t>ナイヨウ</t>
    </rPh>
    <rPh sb="237" eb="239">
      <t>ガクナイ</t>
    </rPh>
    <rPh sb="240" eb="242">
      <t>ガクセイ</t>
    </rPh>
    <rPh sb="243" eb="245">
      <t>ジユウ</t>
    </rPh>
    <rPh sb="246" eb="248">
      <t>ジュコウ</t>
    </rPh>
    <rPh sb="259" eb="262">
      <t>ジュコウシャ</t>
    </rPh>
    <rPh sb="265" eb="267">
      <t>ヨシュウ</t>
    </rPh>
    <rPh sb="268" eb="269">
      <t>モチ</t>
    </rPh>
    <rPh sb="274" eb="275">
      <t>スス</t>
    </rPh>
    <rPh sb="284" eb="287">
      <t>ダイガクイン</t>
    </rPh>
    <rPh sb="287" eb="288">
      <t>ム</t>
    </rPh>
    <rPh sb="293" eb="297">
      <t>カガクガイカン</t>
    </rPh>
    <rPh sb="299" eb="302">
      <t>ダイガクイン</t>
    </rPh>
    <rPh sb="302" eb="303">
      <t>セイ</t>
    </rPh>
    <rPh sb="304" eb="306">
      <t>ガクブ</t>
    </rPh>
    <rPh sb="306" eb="308">
      <t>ジダイ</t>
    </rPh>
    <rPh sb="312" eb="314">
      <t>カガク</t>
    </rPh>
    <rPh sb="315" eb="318">
      <t>ジュウブンマナ</t>
    </rPh>
    <rPh sb="323" eb="325">
      <t>ガクセイ</t>
    </rPh>
    <rPh sb="326" eb="328">
      <t>タイショウ</t>
    </rPh>
    <rPh sb="338" eb="340">
      <t>ナイヨウ</t>
    </rPh>
    <rPh sb="341" eb="342">
      <t>カン</t>
    </rPh>
    <rPh sb="344" eb="348">
      <t>エンシュウチュウシン</t>
    </rPh>
    <rPh sb="349" eb="353">
      <t>シュウチュウコウギ</t>
    </rPh>
    <rPh sb="355" eb="356">
      <t>ガツ</t>
    </rPh>
    <rPh sb="359" eb="360">
      <t>ガツ</t>
    </rPh>
    <rPh sb="361" eb="365">
      <t>マイシュウニチヨウ</t>
    </rPh>
    <rPh sb="367" eb="369">
      <t>レイワ</t>
    </rPh>
    <rPh sb="370" eb="372">
      <t>ネンド</t>
    </rPh>
    <rPh sb="373" eb="377">
      <t>コウギナイヨウ</t>
    </rPh>
    <rPh sb="381" eb="383">
      <t>シュウロク</t>
    </rPh>
    <rPh sb="384" eb="386">
      <t>カンリョウ</t>
    </rPh>
    <rPh sb="396" eb="400">
      <t>ジシュウキョウザイ</t>
    </rPh>
    <rPh sb="428" eb="432">
      <t>カガイガクシュウ</t>
    </rPh>
    <rPh sb="441" eb="445">
      <t>キソコウザ</t>
    </rPh>
    <rPh sb="447" eb="449">
      <t>キョウダイ</t>
    </rPh>
    <rPh sb="450" eb="453">
      <t>コガイシャ</t>
    </rPh>
    <rPh sb="454" eb="456">
      <t>キョウリョク</t>
    </rPh>
    <rPh sb="457" eb="458">
      <t>エ</t>
    </rPh>
    <rPh sb="472" eb="473">
      <t>カン</t>
    </rPh>
    <rPh sb="481" eb="482">
      <t>ガタ</t>
    </rPh>
    <rPh sb="488" eb="489">
      <t>ガタ</t>
    </rPh>
    <rPh sb="496" eb="498">
      <t>コウザ</t>
    </rPh>
    <rPh sb="499" eb="501">
      <t>テイキョウ</t>
    </rPh>
    <rPh sb="506" eb="508">
      <t>ユウリョウ</t>
    </rPh>
    <rPh sb="526" eb="528">
      <t>フクシュウ</t>
    </rPh>
    <rPh sb="531" eb="533">
      <t>ナイヨウ</t>
    </rPh>
    <rPh sb="534" eb="536">
      <t>カツヨウ</t>
    </rPh>
    <rPh sb="538" eb="542">
      <t>シカクシュトク</t>
    </rPh>
    <rPh sb="543" eb="547">
      <t>トウケイケンテイ</t>
    </rPh>
    <rPh sb="548" eb="550">
      <t>タイサク</t>
    </rPh>
    <rPh sb="585" eb="587">
      <t>キョウダイ</t>
    </rPh>
    <rPh sb="594" eb="596">
      <t>ガクナイ</t>
    </rPh>
    <rPh sb="597" eb="599">
      <t>カズオオ</t>
    </rPh>
    <rPh sb="600" eb="602">
      <t>セッチ</t>
    </rPh>
    <rPh sb="607" eb="609">
      <t>ケンキュウ</t>
    </rPh>
    <rPh sb="609" eb="610">
      <t>ショ</t>
    </rPh>
    <rPh sb="611" eb="614">
      <t>ケンキュウカ</t>
    </rPh>
    <rPh sb="615" eb="616">
      <t>クワ</t>
    </rPh>
    <rPh sb="618" eb="620">
      <t>キギョウ</t>
    </rPh>
    <rPh sb="622" eb="624">
      <t>コウシ</t>
    </rPh>
    <rPh sb="625" eb="626">
      <t>マネ</t>
    </rPh>
    <rPh sb="646" eb="647">
      <t>カン</t>
    </rPh>
    <rPh sb="649" eb="651">
      <t>サイシン</t>
    </rPh>
    <rPh sb="652" eb="654">
      <t>ワダイ</t>
    </rPh>
    <rPh sb="655" eb="658">
      <t>エンシュウツ</t>
    </rPh>
    <phoneticPr fontId="2"/>
  </si>
  <si>
    <t>学生への学習支援</t>
    <rPh sb="0" eb="2">
      <t>ガクセイ</t>
    </rPh>
    <rPh sb="4" eb="6">
      <t>ガクシュウ</t>
    </rPh>
    <rPh sb="6" eb="8">
      <t>シエン</t>
    </rPh>
    <phoneticPr fontId="2"/>
  </si>
  <si>
    <t>各学生が履修計画を立てる際には，各学部・学科における履修制度の違い，時間割編成，CAP制度に加えて昨年から発生しているコロナ感染対策のための教室人数制限と遠隔講義対応など，制約が多い現状において，一人でも多くの学生にデータサイエンスを学ぶ機会を提供している</t>
    <phoneticPr fontId="2"/>
  </si>
  <si>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2"/>
  </si>
  <si>
    <t xml:space="preserve">課外学習「データサイエンス・スクール」では，京大附属病院および学内に数多く設置されている研究所・研究科に加えて，京都府内の企業や京大卒業生が活躍する企業から講師を招き，多様な分野におけるデータサイエンスに関する最新の話題を演習付きでわかりやすく講述する集中講義を開講している．
令和３年度より地域SSHへのデータサイエンスに関する講義と演習の提供を開始するとともに，京都府教育委員会の教員に対する「AI」をテーマにした研修，京都府下の学校でのデータサイエンスに関する「出前授業」の実施を予定している．さらに，京都府教員・職員に対するデータサイエンス研修を提供するように調整中である．
京大ハイデルベルク事務所が中心となり構成されたドイツ３大学，国内３大学からなるHekksagonネットワーク下に設置されたデータサイエンス部会において，両国のデータサイエンス教育に関する情報交換を行うとともに，ドイツ国内でサマースクールが開催される際には講師と学生を派遣している．
</t>
    <rPh sb="52" eb="53">
      <t>クワ</t>
    </rPh>
    <rPh sb="59" eb="60">
      <t>ナイ</t>
    </rPh>
    <rPh sb="64" eb="66">
      <t>キョウダイ</t>
    </rPh>
    <rPh sb="66" eb="69">
      <t>ソツギョウセイ</t>
    </rPh>
    <rPh sb="70" eb="72">
      <t>カツヤク</t>
    </rPh>
    <rPh sb="74" eb="76">
      <t>キギョウ</t>
    </rPh>
    <rPh sb="84" eb="86">
      <t>タヨウ</t>
    </rPh>
    <rPh sb="87" eb="89">
      <t>ブンヤ</t>
    </rPh>
    <rPh sb="140" eb="142">
      <t>レイワ</t>
    </rPh>
    <rPh sb="143" eb="145">
      <t>ネンド</t>
    </rPh>
    <rPh sb="147" eb="149">
      <t>チイキ</t>
    </rPh>
    <rPh sb="163" eb="164">
      <t>カン</t>
    </rPh>
    <rPh sb="166" eb="168">
      <t>コウギ</t>
    </rPh>
    <rPh sb="169" eb="171">
      <t>エンシュウ</t>
    </rPh>
    <rPh sb="172" eb="174">
      <t>テイキョウ</t>
    </rPh>
    <rPh sb="175" eb="177">
      <t>カイシ</t>
    </rPh>
    <rPh sb="196" eb="197">
      <t>タイ</t>
    </rPh>
    <rPh sb="210" eb="212">
      <t>ケンシュウ</t>
    </rPh>
    <rPh sb="255" eb="258">
      <t>キョウトフ</t>
    </rPh>
    <rPh sb="258" eb="260">
      <t>キョウイン</t>
    </rPh>
    <rPh sb="261" eb="263">
      <t>ショクイン</t>
    </rPh>
    <rPh sb="264" eb="265">
      <t>タイ</t>
    </rPh>
    <rPh sb="275" eb="277">
      <t>ケンシュウ</t>
    </rPh>
    <rPh sb="278" eb="280">
      <t>テイキョウ</t>
    </rPh>
    <rPh sb="285" eb="288">
      <t>チョウセイチュウ</t>
    </rPh>
    <rPh sb="294" eb="296">
      <t>キョウダイ</t>
    </rPh>
    <rPh sb="303" eb="306">
      <t>ジムショ</t>
    </rPh>
    <rPh sb="307" eb="309">
      <t>チュウシン</t>
    </rPh>
    <rPh sb="312" eb="314">
      <t>コウセイ</t>
    </rPh>
    <rPh sb="321" eb="323">
      <t>ダイガク</t>
    </rPh>
    <rPh sb="324" eb="326">
      <t>コクナイ</t>
    </rPh>
    <rPh sb="327" eb="329">
      <t>ダイガク</t>
    </rPh>
    <rPh sb="348" eb="349">
      <t>カ</t>
    </rPh>
    <rPh sb="350" eb="352">
      <t>セッチ</t>
    </rPh>
    <rPh sb="370" eb="372">
      <t>リョウコク</t>
    </rPh>
    <rPh sb="384" eb="385">
      <t>カン</t>
    </rPh>
    <rPh sb="387" eb="391">
      <t>ジョウホウコウカン</t>
    </rPh>
    <rPh sb="392" eb="393">
      <t>オコナ</t>
    </rPh>
    <rPh sb="402" eb="404">
      <t>コクナイ</t>
    </rPh>
    <rPh sb="413" eb="415">
      <t>カイサイ</t>
    </rPh>
    <rPh sb="418" eb="419">
      <t>サイ</t>
    </rPh>
    <rPh sb="421" eb="423">
      <t>コウシ</t>
    </rPh>
    <rPh sb="424" eb="426">
      <t>ガクセイ</t>
    </rPh>
    <rPh sb="427" eb="429">
      <t>ハケン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</si>
</sst>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_);\(#,##0\)"/>
  </numFmts>
  <fonts count="27">
    <font>
      <sz val="11"/>
      <color theme="1"/>
      <name val="ＭＳ Ｐゴシック"/>
      <family val="2"/>
      <charset val="128"/>
      <scheme val="minor"/>
    </font>
    <font>
      <sz val="12"/>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11"/>
      <color theme="1"/>
      <name val="ＭＳ Ｐゴシック"/>
      <family val="3"/>
      <charset val="128"/>
      <scheme val="minor"/>
    </font>
    <font>
      <sz val="12"/>
      <color rgb="FF00B0F0"/>
      <name val="ＭＳ Ｐゴシック"/>
      <family val="3"/>
      <charset val="128"/>
    </font>
    <font>
      <sz val="11"/>
      <color rgb="FF00B0F0"/>
      <name val="Helvetica"/>
      <family val="2"/>
    </font>
    <font>
      <sz val="12"/>
      <color rgb="FF00B0F0"/>
      <name val="ＭＳ Ｐゴシック"/>
      <family val="2"/>
      <charset val="128"/>
      <scheme val="minor"/>
    </font>
    <font>
      <sz val="9"/>
      <color rgb="FF00B0F0"/>
      <name val="Helvetica"/>
      <family val="2"/>
    </font>
    <font>
      <sz val="12"/>
      <color rgb="FF00B0F0"/>
      <name val="ＭＳ Ｐゴシック"/>
      <family val="3"/>
      <charset val="128"/>
      <scheme val="minor"/>
    </font>
    <font>
      <sz val="12"/>
      <name val="ＭＳ Ｐゴシック"/>
      <family val="3"/>
      <charset val="128"/>
    </font>
    <font>
      <sz val="10"/>
      <name val="ＭＳ Ｐゴシック"/>
      <family val="3"/>
      <charset val="128"/>
      <scheme val="minor"/>
    </font>
    <font>
      <sz val="7"/>
      <name val="ＭＳ Ｐゴシック"/>
      <family val="3"/>
      <charset val="128"/>
      <scheme val="minor"/>
    </font>
    <font>
      <sz val="9"/>
      <name val="ＭＳ Ｐゴシック"/>
      <family val="3"/>
      <charset val="128"/>
      <scheme val="minor"/>
    </font>
    <font>
      <sz val="11"/>
      <name val="ＭＳ Ｐゴシック"/>
      <family val="3"/>
      <charset val="128"/>
      <scheme val="minor"/>
    </font>
    <font>
      <sz val="10"/>
      <color theme="1"/>
      <name val="ＭＳ Ｐゴシック"/>
      <family val="2"/>
      <charset val="128"/>
      <scheme val="minor"/>
    </font>
    <font>
      <sz val="9"/>
      <name val="ＭＳ Ｐゴシック"/>
      <family val="2"/>
      <charset val="128"/>
      <scheme val="minor"/>
    </font>
    <font>
      <sz val="12"/>
      <name val="ＭＳ Ｐゴシック"/>
      <family val="2"/>
      <charset val="128"/>
    </font>
    <font>
      <sz val="10"/>
      <name val="ＭＳ Ｐゴシック"/>
      <family val="2"/>
      <charset val="128"/>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4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style="thin">
        <color auto="1"/>
      </right>
      <top/>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18">
    <xf numFmtId="0" fontId="0" fillId="0" borderId="0" xfId="0">
      <alignment vertical="center"/>
    </xf>
    <xf numFmtId="0" fontId="4" fillId="0" borderId="0" xfId="0" applyFont="1">
      <alignment vertical="center"/>
    </xf>
    <xf numFmtId="0" fontId="4" fillId="0" borderId="0" xfId="0" applyFont="1" applyBorder="1" applyAlignment="1">
      <alignment vertical="center" wrapText="1"/>
    </xf>
    <xf numFmtId="0" fontId="3" fillId="0" borderId="0" xfId="0" applyFont="1" applyAlignment="1">
      <alignment vertical="center"/>
    </xf>
    <xf numFmtId="0" fontId="4" fillId="0" borderId="0" xfId="0" applyFont="1" applyBorder="1" applyAlignment="1">
      <alignment vertical="top" wrapText="1"/>
    </xf>
    <xf numFmtId="0" fontId="3" fillId="0" borderId="0" xfId="0" applyFont="1" applyBorder="1" applyAlignment="1">
      <alignment vertical="top" wrapText="1"/>
    </xf>
    <xf numFmtId="0" fontId="3" fillId="0" borderId="0" xfId="0" applyFont="1">
      <alignment vertical="center"/>
    </xf>
    <xf numFmtId="0" fontId="3" fillId="0" borderId="0" xfId="0" applyFont="1" applyBorder="1" applyAlignment="1">
      <alignment vertical="center"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176" fontId="8" fillId="0" borderId="0" xfId="0" applyNumberFormat="1" applyFont="1" applyBorder="1">
      <alignment vertical="center"/>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1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0" xfId="0" applyFont="1" applyAlignment="1">
      <alignment horizontal="right" vertical="center"/>
    </xf>
    <xf numFmtId="0" fontId="8" fillId="0" borderId="6" xfId="0" applyFont="1" applyBorder="1" applyAlignment="1">
      <alignment vertical="center" shrinkToFit="1"/>
    </xf>
    <xf numFmtId="0" fontId="4" fillId="0" borderId="21" xfId="0" applyFont="1" applyBorder="1" applyAlignment="1">
      <alignment vertical="top" wrapText="1"/>
    </xf>
    <xf numFmtId="0" fontId="8" fillId="0" borderId="1" xfId="0" applyFont="1" applyBorder="1" applyAlignment="1">
      <alignment vertical="center" shrinkToFit="1"/>
    </xf>
    <xf numFmtId="0" fontId="9" fillId="0" borderId="0" xfId="0" applyFont="1" applyFill="1">
      <alignment vertical="center"/>
    </xf>
    <xf numFmtId="0" fontId="10" fillId="0" borderId="0" xfId="0" applyFont="1">
      <alignment vertical="center"/>
    </xf>
    <xf numFmtId="0" fontId="3" fillId="0" borderId="0" xfId="0" applyFont="1" applyAlignment="1">
      <alignment vertical="center" shrinkToFit="1"/>
    </xf>
    <xf numFmtId="0" fontId="12" fillId="0" borderId="0" xfId="0" applyFont="1">
      <alignment vertical="center"/>
    </xf>
    <xf numFmtId="0" fontId="3" fillId="0" borderId="0" xfId="0" applyFont="1" applyBorder="1" applyAlignment="1">
      <alignment vertical="center" shrinkToFit="1"/>
    </xf>
    <xf numFmtId="0" fontId="8" fillId="0" borderId="0" xfId="0" applyFont="1" applyBorder="1" applyAlignment="1">
      <alignment horizontal="center" vertical="center"/>
    </xf>
    <xf numFmtId="0" fontId="10" fillId="0" borderId="0" xfId="0" applyFont="1" applyAlignment="1">
      <alignment vertical="center" wrapText="1"/>
    </xf>
    <xf numFmtId="0" fontId="10" fillId="0" borderId="0" xfId="0" applyFont="1" applyAlignment="1">
      <alignment vertical="center"/>
    </xf>
    <xf numFmtId="0" fontId="14" fillId="0" borderId="0" xfId="0" applyFont="1">
      <alignment vertical="center"/>
    </xf>
    <xf numFmtId="0" fontId="15" fillId="0" borderId="0" xfId="0" applyFont="1">
      <alignment vertical="center"/>
    </xf>
    <xf numFmtId="0" fontId="16" fillId="0" borderId="0" xfId="0" applyFont="1">
      <alignment vertical="center"/>
    </xf>
    <xf numFmtId="0" fontId="17" fillId="0" borderId="0" xfId="0" applyFont="1">
      <alignment vertical="center"/>
    </xf>
    <xf numFmtId="0" fontId="17" fillId="0" borderId="0" xfId="0" applyFont="1" applyAlignment="1">
      <alignment vertical="center"/>
    </xf>
    <xf numFmtId="0" fontId="13" fillId="0" borderId="0" xfId="0" applyFont="1" applyAlignment="1">
      <alignment vertical="center"/>
    </xf>
    <xf numFmtId="0" fontId="15" fillId="0" borderId="0" xfId="0" applyFont="1" applyAlignment="1">
      <alignment vertical="center"/>
    </xf>
    <xf numFmtId="0" fontId="15" fillId="0" borderId="0" xfId="0" applyFont="1" applyAlignment="1">
      <alignment vertical="center" wrapText="1"/>
    </xf>
    <xf numFmtId="0" fontId="8" fillId="0" borderId="0" xfId="0" applyFont="1" applyFill="1" applyAlignment="1">
      <alignment horizontal="center" vertical="center"/>
    </xf>
    <xf numFmtId="176" fontId="8" fillId="0" borderId="0" xfId="0" applyNumberFormat="1" applyFont="1" applyFill="1" applyBorder="1">
      <alignment vertical="center"/>
    </xf>
    <xf numFmtId="0" fontId="8" fillId="0" borderId="0" xfId="0" applyFont="1" applyFill="1" applyBorder="1">
      <alignment vertical="center"/>
    </xf>
    <xf numFmtId="0" fontId="8" fillId="0" borderId="0" xfId="0" applyFont="1" applyFill="1" applyBorder="1" applyAlignment="1">
      <alignment vertical="center"/>
    </xf>
    <xf numFmtId="176" fontId="8" fillId="0" borderId="0" xfId="0" applyNumberFormat="1" applyFont="1" applyFill="1" applyAlignment="1">
      <alignment vertical="center" wrapText="1"/>
    </xf>
    <xf numFmtId="0" fontId="8" fillId="0" borderId="0" xfId="0" applyFont="1" applyFill="1">
      <alignment vertical="center"/>
    </xf>
    <xf numFmtId="0" fontId="1" fillId="0" borderId="11" xfId="0" applyFont="1" applyBorder="1" applyAlignment="1">
      <alignment horizontal="center" vertical="center"/>
    </xf>
    <xf numFmtId="0" fontId="1" fillId="0" borderId="0" xfId="0" applyFont="1">
      <alignment vertical="center"/>
    </xf>
    <xf numFmtId="0" fontId="20" fillId="0" borderId="11" xfId="0" applyFont="1" applyBorder="1" applyAlignment="1">
      <alignment horizontal="center" vertical="center"/>
    </xf>
    <xf numFmtId="0" fontId="20" fillId="0" borderId="30" xfId="0" applyFont="1" applyBorder="1" applyAlignment="1">
      <alignment horizontal="center" vertical="center" wrapText="1"/>
    </xf>
    <xf numFmtId="0" fontId="20" fillId="0" borderId="31" xfId="0" applyFont="1" applyBorder="1" applyAlignment="1">
      <alignment horizontal="center" vertical="center"/>
    </xf>
    <xf numFmtId="0" fontId="20" fillId="0" borderId="12" xfId="0" applyFont="1" applyBorder="1" applyAlignment="1">
      <alignment horizontal="center" vertical="center" wrapText="1"/>
    </xf>
    <xf numFmtId="177" fontId="8" fillId="0" borderId="5" xfId="0" applyNumberFormat="1" applyFont="1" applyBorder="1" applyAlignment="1">
      <alignment vertical="center"/>
    </xf>
    <xf numFmtId="176" fontId="8" fillId="0" borderId="5" xfId="0" applyNumberFormat="1" applyFont="1" applyFill="1" applyBorder="1" applyAlignment="1">
      <alignment vertical="center" shrinkToFit="1"/>
    </xf>
    <xf numFmtId="176" fontId="8" fillId="0" borderId="32" xfId="0" applyNumberFormat="1" applyFont="1" applyFill="1" applyBorder="1" applyAlignment="1">
      <alignment vertical="center" shrinkToFit="1"/>
    </xf>
    <xf numFmtId="176" fontId="8" fillId="0" borderId="33" xfId="0" applyNumberFormat="1" applyFont="1" applyFill="1" applyBorder="1" applyAlignment="1">
      <alignment vertical="center" shrinkToFit="1"/>
    </xf>
    <xf numFmtId="176" fontId="8" fillId="0" borderId="10" xfId="0" applyNumberFormat="1" applyFont="1" applyFill="1" applyBorder="1" applyAlignment="1">
      <alignment vertical="center" shrinkToFit="1"/>
    </xf>
    <xf numFmtId="176" fontId="8" fillId="0" borderId="14" xfId="0" applyNumberFormat="1" applyFont="1" applyFill="1" applyBorder="1" applyAlignment="1">
      <alignment vertical="center" shrinkToFit="1"/>
    </xf>
    <xf numFmtId="9" fontId="8" fillId="0" borderId="10" xfId="0" applyNumberFormat="1" applyFont="1" applyFill="1" applyBorder="1" applyAlignment="1">
      <alignment vertical="center" shrinkToFit="1"/>
    </xf>
    <xf numFmtId="177" fontId="8" fillId="0" borderId="20" xfId="0" applyNumberFormat="1" applyFont="1" applyBorder="1" applyAlignment="1">
      <alignment vertical="center"/>
    </xf>
    <xf numFmtId="176" fontId="8" fillId="0" borderId="20" xfId="0" applyNumberFormat="1" applyFont="1" applyFill="1" applyBorder="1" applyAlignment="1">
      <alignment vertical="center" shrinkToFit="1"/>
    </xf>
    <xf numFmtId="176" fontId="8" fillId="0" borderId="34" xfId="0" applyNumberFormat="1" applyFont="1" applyFill="1" applyBorder="1" applyAlignment="1">
      <alignment vertical="center" shrinkToFit="1"/>
    </xf>
    <xf numFmtId="176" fontId="8" fillId="0" borderId="35" xfId="0" applyNumberFormat="1" applyFont="1" applyFill="1" applyBorder="1" applyAlignment="1">
      <alignment vertical="center" shrinkToFit="1"/>
    </xf>
    <xf numFmtId="176" fontId="8" fillId="0" borderId="19" xfId="0" applyNumberFormat="1" applyFont="1" applyFill="1" applyBorder="1" applyAlignment="1">
      <alignment vertical="center" shrinkToFit="1"/>
    </xf>
    <xf numFmtId="176" fontId="8" fillId="0" borderId="25" xfId="0" applyNumberFormat="1" applyFont="1" applyFill="1" applyBorder="1" applyAlignment="1">
      <alignment vertical="center" shrinkToFit="1"/>
    </xf>
    <xf numFmtId="177" fontId="8" fillId="0" borderId="20" xfId="0" applyNumberFormat="1" applyFont="1" applyFill="1" applyBorder="1" applyAlignment="1">
      <alignment vertical="center"/>
    </xf>
    <xf numFmtId="176" fontId="8" fillId="2" borderId="35" xfId="0" applyNumberFormat="1" applyFont="1" applyFill="1" applyBorder="1" applyAlignment="1">
      <alignment vertical="center" shrinkToFit="1"/>
    </xf>
    <xf numFmtId="176" fontId="8" fillId="2" borderId="19" xfId="0" applyNumberFormat="1" applyFont="1" applyFill="1" applyBorder="1" applyAlignment="1">
      <alignment vertical="center" shrinkToFit="1"/>
    </xf>
    <xf numFmtId="176" fontId="8" fillId="2" borderId="20" xfId="0" applyNumberFormat="1" applyFont="1" applyFill="1" applyBorder="1" applyAlignment="1">
      <alignment vertical="center" shrinkToFit="1"/>
    </xf>
    <xf numFmtId="176" fontId="8" fillId="2" borderId="34" xfId="0" applyNumberFormat="1" applyFont="1" applyFill="1" applyBorder="1" applyAlignment="1">
      <alignment vertical="center" shrinkToFit="1"/>
    </xf>
    <xf numFmtId="176" fontId="8" fillId="0" borderId="25" xfId="0" applyNumberFormat="1" applyFont="1" applyBorder="1" applyAlignment="1">
      <alignment vertical="center" shrinkToFit="1"/>
    </xf>
    <xf numFmtId="9" fontId="8" fillId="0" borderId="10" xfId="0" applyNumberFormat="1" applyFont="1" applyBorder="1" applyAlignment="1">
      <alignment vertical="center" shrinkToFit="1"/>
    </xf>
    <xf numFmtId="176" fontId="8" fillId="0" borderId="20" xfId="0" applyNumberFormat="1" applyFont="1" applyBorder="1" applyAlignment="1">
      <alignment vertical="center" shrinkToFit="1"/>
    </xf>
    <xf numFmtId="176" fontId="8" fillId="0" borderId="34" xfId="0" applyNumberFormat="1" applyFont="1" applyBorder="1" applyAlignment="1">
      <alignment vertical="center" shrinkToFit="1"/>
    </xf>
    <xf numFmtId="176" fontId="8" fillId="0" borderId="35" xfId="0" applyNumberFormat="1" applyFont="1" applyBorder="1" applyAlignment="1">
      <alignment vertical="center" shrinkToFit="1"/>
    </xf>
    <xf numFmtId="176" fontId="8" fillId="0" borderId="19" xfId="0" applyNumberFormat="1" applyFont="1" applyBorder="1" applyAlignment="1">
      <alignment vertical="center" shrinkToFit="1"/>
    </xf>
    <xf numFmtId="176" fontId="8" fillId="0" borderId="5" xfId="0" applyNumberFormat="1" applyFont="1" applyBorder="1" applyAlignment="1">
      <alignment vertical="center" shrinkToFit="1"/>
    </xf>
    <xf numFmtId="176" fontId="8" fillId="0" borderId="32" xfId="0" applyNumberFormat="1" applyFont="1" applyBorder="1" applyAlignment="1">
      <alignment vertical="center" shrinkToFit="1"/>
    </xf>
    <xf numFmtId="176" fontId="8" fillId="0" borderId="33" xfId="0" applyNumberFormat="1" applyFont="1" applyBorder="1" applyAlignment="1">
      <alignment vertical="center" shrinkToFit="1"/>
    </xf>
    <xf numFmtId="176" fontId="8" fillId="0" borderId="10" xfId="0" applyNumberFormat="1" applyFont="1" applyBorder="1" applyAlignment="1">
      <alignment vertical="center" shrinkToFit="1"/>
    </xf>
    <xf numFmtId="177" fontId="8" fillId="0" borderId="26" xfId="0" applyNumberFormat="1" applyFont="1" applyBorder="1" applyAlignment="1">
      <alignment vertical="center"/>
    </xf>
    <xf numFmtId="176" fontId="8" fillId="0" borderId="26" xfId="0" applyNumberFormat="1" applyFont="1" applyBorder="1" applyAlignment="1">
      <alignment vertical="center" shrinkToFit="1"/>
    </xf>
    <xf numFmtId="176" fontId="8" fillId="0" borderId="36" xfId="0" applyNumberFormat="1" applyFont="1" applyBorder="1" applyAlignment="1">
      <alignment vertical="center" shrinkToFit="1"/>
    </xf>
    <xf numFmtId="176" fontId="8" fillId="0" borderId="37" xfId="0" applyNumberFormat="1" applyFont="1" applyBorder="1" applyAlignment="1">
      <alignment vertical="center" shrinkToFit="1"/>
    </xf>
    <xf numFmtId="176" fontId="8" fillId="0" borderId="28" xfId="0" applyNumberFormat="1" applyFont="1" applyBorder="1" applyAlignment="1">
      <alignment vertical="center" shrinkToFit="1"/>
    </xf>
    <xf numFmtId="176" fontId="8" fillId="0" borderId="29" xfId="0" applyNumberFormat="1" applyFont="1" applyBorder="1" applyAlignment="1">
      <alignment vertical="center" shrinkToFit="1"/>
    </xf>
    <xf numFmtId="9" fontId="8" fillId="0" borderId="28" xfId="0" applyNumberFormat="1" applyFont="1" applyBorder="1" applyAlignment="1">
      <alignment vertical="center" shrinkToFit="1"/>
    </xf>
    <xf numFmtId="176" fontId="21" fillId="0" borderId="0" xfId="0" applyNumberFormat="1" applyFont="1" applyBorder="1" applyAlignment="1">
      <alignment vertical="center" shrinkToFit="1"/>
    </xf>
    <xf numFmtId="177" fontId="8" fillId="0" borderId="0" xfId="0" applyNumberFormat="1" applyFont="1">
      <alignment vertical="center"/>
    </xf>
    <xf numFmtId="0" fontId="8" fillId="3" borderId="1" xfId="0" applyFont="1" applyFill="1" applyBorder="1">
      <alignment vertical="center"/>
    </xf>
    <xf numFmtId="0" fontId="8" fillId="3" borderId="2" xfId="0" applyFont="1" applyFill="1" applyBorder="1">
      <alignment vertical="center"/>
    </xf>
    <xf numFmtId="0" fontId="8" fillId="3" borderId="4" xfId="0" applyFont="1" applyFill="1" applyBorder="1">
      <alignment vertical="center"/>
    </xf>
    <xf numFmtId="0" fontId="8" fillId="0" borderId="10" xfId="0" applyFont="1" applyBorder="1" applyAlignment="1">
      <alignment vertical="center" shrinkToFit="1"/>
    </xf>
    <xf numFmtId="176" fontId="8" fillId="0" borderId="3" xfId="0" applyNumberFormat="1" applyFont="1" applyFill="1" applyBorder="1" applyAlignment="1">
      <alignment vertical="center" shrinkToFit="1"/>
    </xf>
    <xf numFmtId="176" fontId="8" fillId="0" borderId="0" xfId="0" applyNumberFormat="1" applyFont="1" applyFill="1" applyAlignment="1">
      <alignment vertical="center"/>
    </xf>
    <xf numFmtId="0" fontId="9" fillId="0" borderId="0" xfId="0" applyFont="1" applyAlignment="1">
      <alignment vertical="center" wrapText="1"/>
    </xf>
    <xf numFmtId="0" fontId="23" fillId="0" borderId="0" xfId="0" applyFont="1">
      <alignment vertical="center"/>
    </xf>
    <xf numFmtId="0" fontId="8" fillId="0" borderId="0" xfId="0" applyFont="1" applyBorder="1" applyAlignment="1">
      <alignment vertical="top" wrapText="1"/>
    </xf>
    <xf numFmtId="0" fontId="1" fillId="0" borderId="2" xfId="0" applyFont="1" applyBorder="1" applyAlignment="1">
      <alignment vertical="center" shrinkToFit="1"/>
    </xf>
    <xf numFmtId="0" fontId="1" fillId="0" borderId="0" xfId="0" applyFont="1" applyAlignment="1">
      <alignment horizontal="center" vertical="center"/>
    </xf>
    <xf numFmtId="0" fontId="8" fillId="0" borderId="1" xfId="0" applyFont="1" applyBorder="1" applyAlignment="1">
      <alignment vertical="center" wrapText="1"/>
    </xf>
    <xf numFmtId="0" fontId="8" fillId="0" borderId="0" xfId="0" applyFont="1" applyBorder="1" applyAlignment="1">
      <alignment vertical="center" wrapText="1"/>
    </xf>
    <xf numFmtId="0" fontId="21" fillId="0" borderId="0" xfId="0" applyFont="1" applyBorder="1" applyAlignment="1">
      <alignment vertical="top" wrapText="1"/>
    </xf>
    <xf numFmtId="0" fontId="1" fillId="0" borderId="0" xfId="0" applyFont="1" applyBorder="1" applyAlignment="1">
      <alignment vertical="center"/>
    </xf>
    <xf numFmtId="0" fontId="1" fillId="0" borderId="0" xfId="0" applyFont="1" applyBorder="1" applyAlignment="1">
      <alignment vertical="center" wrapText="1"/>
    </xf>
    <xf numFmtId="0" fontId="1" fillId="0" borderId="5" xfId="0" applyFont="1" applyBorder="1">
      <alignment vertical="center"/>
    </xf>
    <xf numFmtId="0" fontId="1" fillId="0" borderId="17" xfId="0" applyFont="1" applyBorder="1">
      <alignment vertical="center"/>
    </xf>
    <xf numFmtId="0" fontId="1" fillId="0" borderId="0" xfId="0" applyFont="1" applyBorder="1" applyAlignment="1">
      <alignment vertical="top" wrapText="1"/>
    </xf>
    <xf numFmtId="0" fontId="1" fillId="0" borderId="0" xfId="0" applyFont="1" applyAlignment="1">
      <alignment vertical="center"/>
    </xf>
    <xf numFmtId="0" fontId="21" fillId="0" borderId="21" xfId="0" applyFont="1" applyBorder="1" applyAlignment="1">
      <alignment vertical="top" shrinkToFit="1"/>
    </xf>
    <xf numFmtId="0" fontId="21" fillId="0" borderId="19" xfId="0" applyFont="1" applyBorder="1" applyAlignment="1">
      <alignment vertical="top" shrinkToFit="1"/>
    </xf>
    <xf numFmtId="0" fontId="21" fillId="0" borderId="0" xfId="0" applyFont="1" applyAlignment="1">
      <alignment vertical="top" wrapText="1"/>
    </xf>
    <xf numFmtId="0" fontId="21" fillId="0" borderId="10" xfId="0" applyFont="1" applyBorder="1" applyAlignment="1">
      <alignment vertical="top" wrapText="1"/>
    </xf>
    <xf numFmtId="0" fontId="8" fillId="0" borderId="0" xfId="0" applyFont="1" applyAlignment="1">
      <alignment vertical="center" wrapText="1"/>
    </xf>
    <xf numFmtId="0" fontId="22" fillId="0" borderId="0" xfId="2" applyNumberFormat="1" applyFont="1" applyBorder="1" applyAlignment="1">
      <alignment vertical="center" shrinkToFit="1"/>
    </xf>
    <xf numFmtId="0" fontId="21" fillId="0" borderId="0" xfId="0" applyFont="1" applyBorder="1" applyAlignment="1">
      <alignment vertical="center" shrinkToFit="1"/>
    </xf>
    <xf numFmtId="0" fontId="21" fillId="0" borderId="10" xfId="0" applyFont="1" applyBorder="1" applyAlignment="1">
      <alignment vertical="center" shrinkToFit="1"/>
    </xf>
    <xf numFmtId="0" fontId="9" fillId="0" borderId="0" xfId="0" applyFont="1" applyAlignment="1">
      <alignment horizontal="center" vertical="center"/>
    </xf>
    <xf numFmtId="0" fontId="9" fillId="0" borderId="0" xfId="0" applyFont="1" applyBorder="1" applyAlignment="1">
      <alignment vertical="center"/>
    </xf>
    <xf numFmtId="0" fontId="24" fillId="0" borderId="0" xfId="0" applyFont="1" applyBorder="1" applyAlignment="1">
      <alignment vertical="top" wrapText="1"/>
    </xf>
    <xf numFmtId="0" fontId="9" fillId="0" borderId="0" xfId="0" applyFont="1" applyBorder="1" applyAlignment="1">
      <alignment vertical="center" wrapText="1"/>
    </xf>
    <xf numFmtId="0" fontId="24" fillId="0" borderId="0" xfId="0" applyFont="1" applyBorder="1" applyAlignment="1">
      <alignment vertical="top" shrinkToFit="1"/>
    </xf>
    <xf numFmtId="0" fontId="24" fillId="0" borderId="0" xfId="0" applyFont="1" applyBorder="1" applyAlignment="1">
      <alignment vertical="center" wrapText="1"/>
    </xf>
    <xf numFmtId="0" fontId="26" fillId="0" borderId="0" xfId="0" applyFont="1">
      <alignment vertical="center"/>
    </xf>
    <xf numFmtId="0" fontId="1" fillId="0" borderId="0" xfId="0" applyFont="1" applyFill="1" applyBorder="1">
      <alignment vertical="center"/>
    </xf>
    <xf numFmtId="0" fontId="3" fillId="0" borderId="0" xfId="0" applyFont="1" applyFill="1" applyBorder="1" applyAlignment="1">
      <alignment vertical="center"/>
    </xf>
    <xf numFmtId="0" fontId="4" fillId="0" borderId="0" xfId="0" applyFont="1" applyFill="1" applyBorder="1" applyAlignment="1">
      <alignment vertical="top" wrapText="1"/>
    </xf>
    <xf numFmtId="0" fontId="21" fillId="0" borderId="0" xfId="0" applyFont="1" applyFill="1" applyBorder="1" applyAlignment="1">
      <alignment vertical="top" wrapText="1"/>
    </xf>
    <xf numFmtId="0" fontId="8" fillId="0" borderId="1" xfId="0" applyFont="1" applyFill="1" applyBorder="1" applyAlignment="1">
      <alignment vertical="center" wrapText="1"/>
    </xf>
    <xf numFmtId="0" fontId="8" fillId="0" borderId="0" xfId="0" applyFont="1" applyFill="1" applyAlignment="1">
      <alignment vertical="center" wrapText="1"/>
    </xf>
    <xf numFmtId="0" fontId="1" fillId="0" borderId="0" xfId="0" applyFont="1" applyFill="1">
      <alignment vertical="center"/>
    </xf>
    <xf numFmtId="0" fontId="8" fillId="0" borderId="0" xfId="0" applyFont="1" applyFill="1" applyBorder="1" applyAlignment="1">
      <alignment horizontal="center" vertical="center"/>
    </xf>
    <xf numFmtId="0" fontId="8" fillId="0" borderId="2" xfId="0" applyFont="1" applyBorder="1" applyAlignment="1">
      <alignment horizontal="center" vertical="center" shrinkToFit="1"/>
    </xf>
    <xf numFmtId="0" fontId="9" fillId="0" borderId="0" xfId="0" applyFont="1" applyAlignment="1">
      <alignment horizontal="right" vertical="center"/>
    </xf>
    <xf numFmtId="0" fontId="8" fillId="0" borderId="0" xfId="0" applyFont="1" applyBorder="1" applyAlignment="1">
      <alignment horizontal="center" vertical="center" shrinkToFit="1"/>
    </xf>
    <xf numFmtId="0" fontId="8" fillId="0" borderId="0" xfId="0" applyFont="1" applyAlignment="1">
      <alignment horizontal="center" vertical="center"/>
    </xf>
    <xf numFmtId="0" fontId="8" fillId="0" borderId="2" xfId="0" applyFont="1" applyBorder="1" applyAlignment="1">
      <alignment vertical="center" shrinkToFit="1"/>
    </xf>
    <xf numFmtId="0" fontId="8" fillId="0" borderId="0" xfId="0" applyFont="1" applyBorder="1" applyAlignment="1">
      <alignment vertical="center" shrinkToFit="1"/>
    </xf>
    <xf numFmtId="0" fontId="1" fillId="0" borderId="0" xfId="0" applyFont="1" applyAlignment="1">
      <alignment horizontal="right" vertical="center"/>
    </xf>
    <xf numFmtId="0" fontId="3" fillId="0" borderId="0" xfId="0" applyFont="1" applyAlignment="1">
      <alignment horizontal="center" vertical="center"/>
    </xf>
    <xf numFmtId="0" fontId="8" fillId="0" borderId="11" xfId="0" applyFont="1" applyBorder="1" applyAlignment="1">
      <alignment horizontal="center" vertical="center"/>
    </xf>
    <xf numFmtId="0" fontId="11" fillId="0" borderId="2" xfId="0" applyFont="1" applyBorder="1" applyAlignment="1">
      <alignment horizontal="center" vertical="center" shrinkToFit="1"/>
    </xf>
    <xf numFmtId="0" fontId="1" fillId="0" borderId="0" xfId="0" applyFont="1" applyAlignment="1">
      <alignment horizontal="center" vertical="center"/>
    </xf>
    <xf numFmtId="0" fontId="4" fillId="0" borderId="0" xfId="0" applyFont="1" applyAlignment="1">
      <alignment vertical="top" wrapText="1"/>
    </xf>
    <xf numFmtId="0" fontId="8" fillId="3" borderId="2" xfId="0" applyFont="1" applyFill="1" applyBorder="1" applyAlignment="1">
      <alignment vertical="center" shrinkToFit="1"/>
    </xf>
    <xf numFmtId="0" fontId="8" fillId="3" borderId="3" xfId="0" applyFont="1" applyFill="1" applyBorder="1" applyAlignment="1">
      <alignment vertical="center" shrinkToFit="1"/>
    </xf>
    <xf numFmtId="49" fontId="8" fillId="3" borderId="2" xfId="1" applyNumberFormat="1" applyFont="1" applyFill="1" applyBorder="1" applyAlignment="1">
      <alignment horizontal="center" vertical="center" shrinkToFit="1"/>
    </xf>
    <xf numFmtId="49" fontId="8" fillId="3" borderId="3" xfId="1" applyNumberFormat="1" applyFont="1" applyFill="1" applyBorder="1" applyAlignment="1">
      <alignment horizontal="center" vertical="center" shrinkToFit="1"/>
    </xf>
    <xf numFmtId="49" fontId="8" fillId="3" borderId="4" xfId="1" applyNumberFormat="1" applyFont="1" applyFill="1" applyBorder="1" applyAlignment="1">
      <alignment horizontal="center" vertical="center" shrinkToFit="1"/>
    </xf>
    <xf numFmtId="0" fontId="8" fillId="3" borderId="2" xfId="0" applyFont="1" applyFill="1" applyBorder="1" applyAlignment="1">
      <alignment horizontal="center" vertical="center" shrinkToFit="1"/>
    </xf>
    <xf numFmtId="0" fontId="8" fillId="3" borderId="3" xfId="0" applyFont="1" applyFill="1" applyBorder="1" applyAlignment="1">
      <alignment horizontal="center" vertical="center" shrinkToFit="1"/>
    </xf>
    <xf numFmtId="0" fontId="8" fillId="3" borderId="4" xfId="0" applyFont="1" applyFill="1" applyBorder="1" applyAlignment="1">
      <alignment horizontal="center" vertical="center" shrinkToFit="1"/>
    </xf>
    <xf numFmtId="0" fontId="8" fillId="0" borderId="0" xfId="0" applyFont="1" applyBorder="1" applyAlignment="1">
      <alignmen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0" fontId="8" fillId="0" borderId="0" xfId="0" applyFont="1" applyFill="1" applyBorder="1" applyAlignment="1">
      <alignment horizontal="center" vertical="center"/>
    </xf>
    <xf numFmtId="176" fontId="8" fillId="0" borderId="2" xfId="0" applyNumberFormat="1" applyFont="1" applyFill="1" applyBorder="1" applyAlignment="1">
      <alignment horizontal="center" vertical="center" shrinkToFit="1"/>
    </xf>
    <xf numFmtId="176" fontId="8" fillId="0" borderId="4" xfId="0" applyNumberFormat="1" applyFont="1" applyFill="1" applyBorder="1" applyAlignment="1">
      <alignment horizontal="center"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9"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8" fillId="0" borderId="0" xfId="0" applyFont="1" applyBorder="1" applyAlignment="1">
      <alignment horizontal="center" vertical="center" shrinkToFit="1"/>
    </xf>
    <xf numFmtId="0" fontId="8" fillId="0" borderId="0" xfId="0" applyFont="1" applyAlignment="1">
      <alignment horizontal="center" vertical="center"/>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4" xfId="0" applyFont="1" applyBorder="1" applyAlignment="1">
      <alignment vertical="center" shrinkToFit="1"/>
    </xf>
    <xf numFmtId="0" fontId="11" fillId="0" borderId="2" xfId="0" applyFont="1" applyBorder="1" applyAlignment="1">
      <alignment vertical="center" shrinkToFit="1"/>
    </xf>
    <xf numFmtId="0" fontId="11" fillId="0" borderId="3" xfId="0" applyFont="1" applyBorder="1" applyAlignment="1">
      <alignment vertical="center" shrinkToFit="1"/>
    </xf>
    <xf numFmtId="0" fontId="11" fillId="0" borderId="4" xfId="0" applyFont="1" applyBorder="1" applyAlignment="1">
      <alignment vertical="center" shrinkToFit="1"/>
    </xf>
    <xf numFmtId="0" fontId="3" fillId="0" borderId="7" xfId="0" applyFont="1" applyFill="1" applyBorder="1" applyAlignment="1">
      <alignment vertical="top" wrapText="1"/>
    </xf>
    <xf numFmtId="0" fontId="3" fillId="0" borderId="8" xfId="0" applyFont="1" applyFill="1" applyBorder="1" applyAlignment="1">
      <alignment vertical="top" wrapText="1"/>
    </xf>
    <xf numFmtId="0" fontId="3" fillId="0" borderId="9" xfId="0" applyFont="1" applyFill="1" applyBorder="1" applyAlignment="1">
      <alignment vertical="top" wrapText="1"/>
    </xf>
    <xf numFmtId="0" fontId="3" fillId="0" borderId="5" xfId="0" applyFont="1" applyFill="1" applyBorder="1" applyAlignment="1">
      <alignment vertical="top" wrapText="1"/>
    </xf>
    <xf numFmtId="0" fontId="3" fillId="0" borderId="0" xfId="0" applyFont="1" applyFill="1" applyBorder="1" applyAlignment="1">
      <alignment vertical="top" wrapText="1"/>
    </xf>
    <xf numFmtId="0" fontId="3" fillId="0" borderId="10" xfId="0" applyFont="1" applyFill="1" applyBorder="1" applyAlignment="1">
      <alignment vertical="top" wrapText="1"/>
    </xf>
    <xf numFmtId="0" fontId="3" fillId="0" borderId="11" xfId="0" applyFont="1" applyFill="1" applyBorder="1" applyAlignment="1">
      <alignment vertical="top" wrapText="1"/>
    </xf>
    <xf numFmtId="0" fontId="3" fillId="0" borderId="6" xfId="0" applyFont="1" applyFill="1" applyBorder="1" applyAlignment="1">
      <alignment vertical="top" wrapText="1"/>
    </xf>
    <xf numFmtId="0" fontId="3" fillId="0" borderId="12" xfId="0" applyFont="1" applyFill="1" applyBorder="1" applyAlignment="1">
      <alignment vertical="top" wrapText="1"/>
    </xf>
    <xf numFmtId="0" fontId="8" fillId="0" borderId="0" xfId="0" applyFont="1" applyAlignment="1">
      <alignment vertical="center" shrinkToFit="1"/>
    </xf>
    <xf numFmtId="0" fontId="8" fillId="0" borderId="20" xfId="0" applyFont="1" applyBorder="1" applyAlignment="1">
      <alignment vertical="center" shrinkToFit="1"/>
    </xf>
    <xf numFmtId="0" fontId="8" fillId="0" borderId="19"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26" xfId="0" applyFont="1" applyBorder="1" applyAlignment="1">
      <alignment horizontal="center" vertical="center" shrinkToFit="1"/>
    </xf>
    <xf numFmtId="0" fontId="8" fillId="0" borderId="27" xfId="0" applyFont="1" applyBorder="1" applyAlignment="1">
      <alignment horizontal="center" vertical="center" shrinkToFit="1"/>
    </xf>
    <xf numFmtId="0" fontId="8" fillId="0" borderId="20" xfId="0" applyFont="1" applyFill="1" applyBorder="1" applyAlignment="1">
      <alignment vertical="center" shrinkToFit="1"/>
    </xf>
    <xf numFmtId="0" fontId="8" fillId="0" borderId="19" xfId="0" applyFont="1" applyFill="1" applyBorder="1" applyAlignment="1">
      <alignment vertical="center" shrinkToFit="1"/>
    </xf>
    <xf numFmtId="0" fontId="1" fillId="0" borderId="0" xfId="0" applyFont="1" applyAlignment="1">
      <alignment horizontal="right" vertical="center"/>
    </xf>
    <xf numFmtId="0" fontId="3" fillId="0" borderId="0" xfId="0" applyFont="1" applyAlignment="1">
      <alignment horizontal="left" vertical="center" shrinkToFit="1"/>
    </xf>
    <xf numFmtId="0" fontId="3" fillId="0" borderId="0" xfId="0" applyFont="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11" xfId="0" applyFont="1" applyBorder="1" applyAlignment="1">
      <alignment horizontal="center" vertical="center"/>
    </xf>
    <xf numFmtId="0" fontId="8" fillId="0" borderId="6" xfId="0" applyFont="1" applyBorder="1" applyAlignment="1">
      <alignment horizontal="center" vertical="center"/>
    </xf>
    <xf numFmtId="0" fontId="19" fillId="0" borderId="7" xfId="0" applyFont="1" applyBorder="1" applyAlignment="1">
      <alignment horizontal="center" vertical="center" wrapText="1"/>
    </xf>
    <xf numFmtId="0" fontId="19" fillId="0" borderId="11" xfId="0" applyFont="1" applyBorder="1" applyAlignment="1">
      <alignment horizontal="center" vertical="center"/>
    </xf>
    <xf numFmtId="0" fontId="8" fillId="0" borderId="14" xfId="0" applyFont="1" applyBorder="1" applyAlignment="1">
      <alignment horizontal="center" vertical="center"/>
    </xf>
    <xf numFmtId="0" fontId="8" fillId="0" borderId="15" xfId="0" applyFont="1" applyBorder="1" applyAlignment="1">
      <alignment horizontal="center" vertical="center"/>
    </xf>
    <xf numFmtId="0" fontId="8" fillId="0" borderId="38" xfId="0" applyFont="1" applyBorder="1" applyAlignment="1">
      <alignment horizontal="center" vertical="center"/>
    </xf>
    <xf numFmtId="0" fontId="20" fillId="0" borderId="16" xfId="0" applyFont="1" applyBorder="1" applyAlignment="1">
      <alignment horizontal="center" vertical="center" wrapText="1"/>
    </xf>
    <xf numFmtId="0" fontId="20" fillId="0" borderId="13" xfId="0" applyFont="1" applyBorder="1" applyAlignment="1">
      <alignment horizontal="center" vertical="center"/>
    </xf>
    <xf numFmtId="0" fontId="19" fillId="0" borderId="9" xfId="0" applyFont="1" applyBorder="1" applyAlignment="1">
      <alignment horizontal="center" vertical="center"/>
    </xf>
    <xf numFmtId="0" fontId="19" fillId="0" borderId="12" xfId="0" applyFont="1" applyBorder="1" applyAlignment="1">
      <alignment horizontal="center" vertical="center"/>
    </xf>
    <xf numFmtId="0" fontId="8" fillId="0" borderId="15" xfId="0" applyFont="1" applyBorder="1" applyAlignment="1">
      <alignment vertical="center" shrinkToFit="1"/>
    </xf>
    <xf numFmtId="0" fontId="8" fillId="0" borderId="38" xfId="0" applyFont="1" applyBorder="1" applyAlignment="1">
      <alignment vertical="center" shrinkToFit="1"/>
    </xf>
    <xf numFmtId="0" fontId="1" fillId="0" borderId="0" xfId="0" applyFont="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Border="1" applyAlignment="1">
      <alignment horizontal="left" vertical="top" wrapText="1"/>
    </xf>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0" fontId="8" fillId="0" borderId="6" xfId="0" applyFont="1" applyBorder="1" applyAlignment="1">
      <alignment horizontal="left" vertical="top" wrapText="1"/>
    </xf>
    <xf numFmtId="0" fontId="8" fillId="0" borderId="12" xfId="0" applyFont="1" applyBorder="1" applyAlignment="1">
      <alignment horizontal="left" vertical="top" wrapText="1"/>
    </xf>
    <xf numFmtId="0" fontId="3" fillId="0" borderId="16" xfId="0" applyFont="1" applyBorder="1" applyAlignment="1">
      <alignment vertical="center" wrapText="1"/>
    </xf>
    <xf numFmtId="0" fontId="3" fillId="0" borderId="39" xfId="0" applyFont="1" applyBorder="1" applyAlignment="1">
      <alignment vertical="center" wrapText="1"/>
    </xf>
    <xf numFmtId="0" fontId="8" fillId="0" borderId="16" xfId="0" applyFont="1" applyBorder="1" applyAlignment="1">
      <alignment vertical="center" wrapText="1"/>
    </xf>
    <xf numFmtId="0" fontId="8" fillId="0" borderId="39" xfId="0" applyFont="1" applyBorder="1" applyAlignment="1">
      <alignment vertical="center" wrapText="1"/>
    </xf>
    <xf numFmtId="0" fontId="8" fillId="0" borderId="13" xfId="0" applyFont="1" applyBorder="1" applyAlignment="1">
      <alignment vertical="center" wrapText="1"/>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7" xfId="0" applyFont="1" applyBorder="1" applyAlignment="1">
      <alignment vertical="top"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Border="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7" fillId="0" borderId="2" xfId="2" applyFill="1" applyBorder="1" applyAlignment="1">
      <alignment vertical="center" shrinkToFit="1"/>
    </xf>
    <xf numFmtId="0" fontId="8" fillId="0" borderId="3" xfId="0" applyFont="1" applyFill="1" applyBorder="1" applyAlignment="1">
      <alignment vertical="center" shrinkToFit="1"/>
    </xf>
    <xf numFmtId="0" fontId="8" fillId="0" borderId="4" xfId="0" applyFont="1" applyFill="1" applyBorder="1" applyAlignment="1">
      <alignment vertical="center" shrinkToFit="1"/>
    </xf>
    <xf numFmtId="0" fontId="18" fillId="0" borderId="2" xfId="0" applyFont="1" applyBorder="1" applyAlignment="1">
      <alignment vertical="center" shrinkToFit="1"/>
    </xf>
    <xf numFmtId="0" fontId="8" fillId="0" borderId="2" xfId="0" applyFont="1" applyBorder="1" applyAlignment="1">
      <alignment horizontal="left" vertical="center" wrapText="1" shrinkToFit="1"/>
    </xf>
    <xf numFmtId="0" fontId="8" fillId="0" borderId="3" xfId="0" applyFont="1" applyBorder="1" applyAlignment="1">
      <alignment horizontal="left" vertical="center" wrapText="1" shrinkToFit="1"/>
    </xf>
    <xf numFmtId="0" fontId="8" fillId="0" borderId="4" xfId="0" applyFont="1" applyBorder="1" applyAlignment="1">
      <alignment horizontal="left" vertical="center" wrapText="1" shrinkToFit="1"/>
    </xf>
    <xf numFmtId="0" fontId="1" fillId="0" borderId="2" xfId="0" applyFont="1" applyFill="1" applyBorder="1" applyAlignment="1">
      <alignment horizontal="center" vertical="center" shrinkToFit="1"/>
    </xf>
    <xf numFmtId="0" fontId="1" fillId="0" borderId="3" xfId="0" applyFont="1" applyFill="1" applyBorder="1" applyAlignment="1">
      <alignment horizontal="center" vertical="center" shrinkToFit="1"/>
    </xf>
    <xf numFmtId="0" fontId="1" fillId="0" borderId="4" xfId="0" applyFont="1" applyFill="1" applyBorder="1" applyAlignment="1">
      <alignment horizontal="center" vertical="center" shrinkToFit="1"/>
    </xf>
    <xf numFmtId="0" fontId="11" fillId="0" borderId="2" xfId="0" applyFont="1" applyBorder="1" applyAlignment="1">
      <alignment horizontal="center" vertical="center" shrinkToFit="1"/>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18" fillId="0" borderId="2" xfId="0" applyFont="1" applyBorder="1" applyAlignment="1">
      <alignment horizontal="center" vertical="center"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Border="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18" fillId="0" borderId="7" xfId="0" applyFont="1" applyBorder="1" applyAlignment="1">
      <alignment vertical="top" wrapText="1" shrinkToFit="1"/>
    </xf>
    <xf numFmtId="0" fontId="9" fillId="0" borderId="6" xfId="0" applyFont="1" applyBorder="1" applyAlignment="1">
      <alignment vertical="center"/>
    </xf>
    <xf numFmtId="0" fontId="18" fillId="0" borderId="7" xfId="0" applyFont="1" applyFill="1" applyBorder="1" applyAlignment="1">
      <alignment vertical="top" wrapText="1" shrinkToFit="1"/>
    </xf>
    <xf numFmtId="0" fontId="8" fillId="0" borderId="8" xfId="0" applyFont="1" applyFill="1" applyBorder="1" applyAlignment="1">
      <alignment vertical="top" shrinkToFit="1"/>
    </xf>
    <xf numFmtId="0" fontId="8" fillId="0" borderId="9" xfId="0" applyFont="1" applyFill="1" applyBorder="1" applyAlignment="1">
      <alignment vertical="top" shrinkToFit="1"/>
    </xf>
    <xf numFmtId="0" fontId="8" fillId="0" borderId="5" xfId="0" applyFont="1" applyFill="1" applyBorder="1" applyAlignment="1">
      <alignment vertical="top" shrinkToFit="1"/>
    </xf>
    <xf numFmtId="0" fontId="8" fillId="0" borderId="0" xfId="0" applyFont="1" applyFill="1" applyBorder="1" applyAlignment="1">
      <alignment vertical="top" shrinkToFit="1"/>
    </xf>
    <xf numFmtId="0" fontId="8" fillId="0" borderId="10" xfId="0" applyFont="1" applyFill="1" applyBorder="1" applyAlignment="1">
      <alignment vertical="top" shrinkToFit="1"/>
    </xf>
    <xf numFmtId="0" fontId="8" fillId="0" borderId="11" xfId="0" applyFont="1" applyFill="1" applyBorder="1" applyAlignment="1">
      <alignment vertical="top" shrinkToFit="1"/>
    </xf>
    <xf numFmtId="0" fontId="8" fillId="0" borderId="6" xfId="0" applyFont="1" applyFill="1" applyBorder="1" applyAlignment="1">
      <alignment vertical="top" shrinkToFit="1"/>
    </xf>
    <xf numFmtId="0" fontId="8" fillId="0" borderId="12" xfId="0" applyFont="1" applyFill="1" applyBorder="1" applyAlignment="1">
      <alignment vertical="top" shrinkToFit="1"/>
    </xf>
    <xf numFmtId="0" fontId="9" fillId="0" borderId="0" xfId="0" applyFont="1" applyAlignment="1">
      <alignment vertical="center" shrinkToFit="1"/>
    </xf>
    <xf numFmtId="0" fontId="1" fillId="0" borderId="20" xfId="0" applyFont="1" applyBorder="1" applyAlignment="1">
      <alignment vertical="center" wrapText="1"/>
    </xf>
    <xf numFmtId="0" fontId="1" fillId="0" borderId="21" xfId="0" applyFont="1" applyBorder="1" applyAlignment="1">
      <alignment vertical="center" wrapText="1"/>
    </xf>
    <xf numFmtId="0" fontId="1" fillId="0" borderId="19" xfId="0" applyFont="1" applyBorder="1" applyAlignment="1">
      <alignment vertical="center" wrapText="1"/>
    </xf>
    <xf numFmtId="0" fontId="8" fillId="0" borderId="21" xfId="0" applyFont="1" applyBorder="1" applyAlignment="1">
      <alignment vertical="top" wrapText="1" shrinkToFit="1"/>
    </xf>
    <xf numFmtId="0" fontId="8" fillId="0" borderId="19" xfId="0" applyFont="1" applyBorder="1" applyAlignment="1">
      <alignment vertical="top" wrapText="1" shrinkToFit="1"/>
    </xf>
    <xf numFmtId="0" fontId="1" fillId="0" borderId="11" xfId="0" applyFont="1" applyBorder="1" applyAlignment="1">
      <alignment vertical="center" wrapText="1"/>
    </xf>
    <xf numFmtId="0" fontId="1" fillId="0" borderId="6" xfId="0" applyFont="1" applyBorder="1" applyAlignment="1">
      <alignment vertical="center" wrapText="1"/>
    </xf>
    <xf numFmtId="0" fontId="1" fillId="0" borderId="12" xfId="0" applyFont="1" applyBorder="1" applyAlignment="1">
      <alignment vertical="center" wrapText="1"/>
    </xf>
    <xf numFmtId="0" fontId="7" fillId="0" borderId="2" xfId="2" applyFill="1" applyBorder="1" applyAlignment="1">
      <alignment horizontal="left" vertical="center" shrinkToFit="1"/>
    </xf>
    <xf numFmtId="0" fontId="21" fillId="0" borderId="3" xfId="0" applyFont="1" applyFill="1" applyBorder="1" applyAlignment="1">
      <alignment horizontal="left" vertical="center" shrinkToFit="1"/>
    </xf>
    <xf numFmtId="0" fontId="21" fillId="0" borderId="4" xfId="0" applyFont="1" applyFill="1" applyBorder="1" applyAlignment="1">
      <alignment horizontal="left" vertical="center" shrinkToFit="1"/>
    </xf>
    <xf numFmtId="0" fontId="1" fillId="0" borderId="18" xfId="0" applyFont="1" applyBorder="1" applyAlignment="1">
      <alignment vertical="center" wrapText="1"/>
    </xf>
    <xf numFmtId="0" fontId="8" fillId="0" borderId="20" xfId="0" applyFont="1" applyBorder="1" applyAlignment="1">
      <alignment vertical="top" wrapText="1" shrinkToFit="1"/>
    </xf>
    <xf numFmtId="0" fontId="1" fillId="0" borderId="22" xfId="0" applyFont="1" applyBorder="1" applyAlignment="1">
      <alignment vertical="center" wrapText="1"/>
    </xf>
    <xf numFmtId="0" fontId="1" fillId="0" borderId="23" xfId="0" applyFont="1" applyBorder="1" applyAlignment="1">
      <alignment vertical="center" wrapText="1"/>
    </xf>
    <xf numFmtId="0" fontId="8" fillId="0" borderId="24" xfId="0" applyFont="1" applyBorder="1" applyAlignment="1">
      <alignment vertical="top" wrapText="1" shrinkToFit="1"/>
    </xf>
    <xf numFmtId="0" fontId="8" fillId="0" borderId="23" xfId="0" applyFont="1" applyBorder="1" applyAlignment="1">
      <alignment vertical="top" wrapText="1" shrinkToFit="1"/>
    </xf>
    <xf numFmtId="0" fontId="1" fillId="0" borderId="18" xfId="0" applyFont="1" applyBorder="1" applyAlignment="1">
      <alignment vertical="center"/>
    </xf>
    <xf numFmtId="0" fontId="0" fillId="0" borderId="19" xfId="0" applyBorder="1" applyAlignment="1">
      <alignment vertical="center"/>
    </xf>
    <xf numFmtId="0" fontId="18" fillId="0" borderId="20" xfId="0" applyFont="1" applyBorder="1" applyAlignment="1">
      <alignment vertical="top" wrapText="1" shrinkToFit="1"/>
    </xf>
    <xf numFmtId="0" fontId="8" fillId="0" borderId="20" xfId="0" applyFont="1" applyFill="1" applyBorder="1" applyAlignment="1">
      <alignment vertical="top" wrapText="1" shrinkToFit="1"/>
    </xf>
    <xf numFmtId="0" fontId="8" fillId="0" borderId="21" xfId="0" applyFont="1" applyFill="1" applyBorder="1" applyAlignment="1">
      <alignment vertical="top" wrapText="1" shrinkToFit="1"/>
    </xf>
    <xf numFmtId="0" fontId="8" fillId="0" borderId="19" xfId="0" applyFont="1" applyFill="1" applyBorder="1" applyAlignment="1">
      <alignment vertical="top" wrapText="1" shrinkToFit="1"/>
    </xf>
    <xf numFmtId="0" fontId="4" fillId="0" borderId="0" xfId="0" applyFont="1" applyAlignment="1">
      <alignment vertical="top" wrapText="1"/>
    </xf>
    <xf numFmtId="0" fontId="5" fillId="0" borderId="0" xfId="0" applyFont="1" applyAlignment="1">
      <alignment vertical="top" wrapText="1"/>
    </xf>
    <xf numFmtId="0" fontId="7" fillId="3" borderId="2" xfId="2" applyFill="1" applyBorder="1" applyAlignment="1">
      <alignment vertical="center"/>
    </xf>
    <xf numFmtId="0" fontId="22" fillId="3" borderId="3" xfId="0" applyFont="1" applyFill="1" applyBorder="1" applyAlignment="1">
      <alignment vertical="center"/>
    </xf>
    <xf numFmtId="0" fontId="22" fillId="3" borderId="4" xfId="0" applyFont="1" applyFill="1" applyBorder="1" applyAlignment="1">
      <alignment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sui-kkikaku-kyom01@mail2.adm.kyoto-u.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ds.k.kyoto-u.ac.jp/ds/literacylevel.html"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ds.k.kyoto-u.ac.jp/ds/literacylevel.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O47"/>
  <sheetViews>
    <sheetView tabSelected="1" topLeftCell="A19" zoomScaleNormal="100" workbookViewId="0">
      <selection activeCell="R39" sqref="R39"/>
    </sheetView>
  </sheetViews>
  <sheetFormatPr defaultColWidth="9" defaultRowHeight="18.75" customHeight="1"/>
  <cols>
    <col min="1" max="1" width="2.5" style="12" customWidth="1"/>
    <col min="2" max="2" width="12.5" style="12" customWidth="1"/>
    <col min="3" max="8" width="6.125" style="12" customWidth="1"/>
    <col min="9" max="9" width="2.5" style="12" customWidth="1"/>
    <col min="10" max="10" width="10" style="12" customWidth="1"/>
    <col min="11" max="11" width="2.5" style="12" customWidth="1"/>
    <col min="12" max="12" width="7.5" style="12" customWidth="1"/>
    <col min="13" max="13" width="2.5" style="12" customWidth="1"/>
    <col min="14" max="14" width="7.5" style="12" customWidth="1"/>
    <col min="15" max="16384" width="9" style="12"/>
  </cols>
  <sheetData>
    <row r="1" spans="1:14" ht="22.5" customHeight="1">
      <c r="M1" s="171" t="s">
        <v>0</v>
      </c>
      <c r="N1" s="171"/>
    </row>
    <row r="2" spans="1:14" ht="22.5" customHeight="1">
      <c r="A2" s="176" t="s">
        <v>1</v>
      </c>
      <c r="B2" s="176"/>
      <c r="C2" s="176"/>
      <c r="D2" s="176"/>
      <c r="E2" s="176"/>
      <c r="F2" s="176"/>
      <c r="G2" s="176"/>
      <c r="H2" s="176"/>
      <c r="I2" s="176"/>
      <c r="J2" s="176"/>
      <c r="K2" s="176"/>
      <c r="L2" s="176"/>
      <c r="M2" s="176"/>
      <c r="N2" s="176"/>
    </row>
    <row r="3" spans="1:14" ht="22.5" customHeight="1"/>
    <row r="4" spans="1:14" ht="22.5" customHeight="1">
      <c r="A4" s="12" t="s">
        <v>2</v>
      </c>
      <c r="B4" s="14" t="s">
        <v>3</v>
      </c>
      <c r="C4" s="159" t="s">
        <v>4</v>
      </c>
      <c r="D4" s="160"/>
      <c r="E4" s="160"/>
      <c r="F4" s="160"/>
      <c r="G4" s="160"/>
      <c r="H4" s="160"/>
      <c r="I4" s="160"/>
      <c r="J4" s="160"/>
      <c r="K4" s="160"/>
      <c r="L4" s="160"/>
      <c r="M4" s="160"/>
      <c r="N4" s="161"/>
    </row>
    <row r="5" spans="1:14" ht="7.5" customHeight="1">
      <c r="B5" s="14"/>
      <c r="C5" s="14"/>
      <c r="D5" s="14"/>
      <c r="E5" s="15"/>
      <c r="F5" s="141"/>
      <c r="G5" s="141"/>
      <c r="H5" s="141"/>
      <c r="I5" s="141"/>
      <c r="J5" s="141"/>
      <c r="K5" s="141"/>
      <c r="L5" s="141"/>
      <c r="M5" s="141"/>
      <c r="N5" s="141"/>
    </row>
    <row r="6" spans="1:14" ht="22.5" customHeight="1">
      <c r="A6" s="12" t="s">
        <v>5</v>
      </c>
      <c r="B6" s="14" t="s">
        <v>6</v>
      </c>
      <c r="C6" s="14"/>
      <c r="D6" s="159" t="s">
        <v>7</v>
      </c>
      <c r="E6" s="160"/>
      <c r="F6" s="160"/>
      <c r="G6" s="160"/>
      <c r="H6" s="160"/>
      <c r="I6" s="160"/>
      <c r="J6" s="160"/>
      <c r="K6" s="160"/>
      <c r="L6" s="160"/>
      <c r="M6" s="160"/>
      <c r="N6" s="161"/>
    </row>
    <row r="7" spans="1:14" ht="7.5" customHeight="1">
      <c r="B7" s="14"/>
      <c r="C7" s="14"/>
      <c r="D7" s="14"/>
      <c r="E7" s="15"/>
      <c r="F7" s="141"/>
      <c r="G7" s="141"/>
      <c r="H7" s="141"/>
      <c r="I7" s="141"/>
      <c r="J7" s="141"/>
      <c r="K7" s="141"/>
      <c r="L7" s="141"/>
      <c r="M7" s="141"/>
      <c r="N7" s="141"/>
    </row>
    <row r="8" spans="1:14" ht="22.5" customHeight="1">
      <c r="A8" s="16" t="s">
        <v>8</v>
      </c>
      <c r="B8" s="17" t="s">
        <v>9</v>
      </c>
      <c r="C8" s="159" t="s">
        <v>10</v>
      </c>
      <c r="D8" s="160"/>
      <c r="E8" s="161"/>
      <c r="F8" s="141"/>
      <c r="G8" s="175"/>
      <c r="H8" s="175"/>
      <c r="I8" s="175"/>
      <c r="J8" s="141"/>
      <c r="K8" s="141"/>
      <c r="L8" s="141"/>
      <c r="M8" s="141"/>
      <c r="N8" s="141"/>
    </row>
    <row r="9" spans="1:14" ht="7.5" customHeight="1">
      <c r="B9" s="14"/>
      <c r="C9" s="14"/>
      <c r="D9" s="14"/>
      <c r="E9" s="15"/>
      <c r="F9" s="141"/>
      <c r="G9" s="141"/>
      <c r="H9" s="141"/>
      <c r="I9" s="141"/>
      <c r="J9" s="141"/>
      <c r="K9" s="141"/>
      <c r="L9" s="141"/>
      <c r="M9" s="141"/>
      <c r="N9" s="141"/>
    </row>
    <row r="10" spans="1:14" ht="22.5" customHeight="1">
      <c r="A10" s="12" t="s">
        <v>11</v>
      </c>
      <c r="B10" s="14" t="s">
        <v>12</v>
      </c>
      <c r="C10" s="159" t="s">
        <v>13</v>
      </c>
      <c r="D10" s="160"/>
      <c r="E10" s="160"/>
      <c r="F10" s="160"/>
      <c r="G10" s="160"/>
      <c r="H10" s="160"/>
      <c r="I10" s="160"/>
      <c r="J10" s="160"/>
      <c r="K10" s="160"/>
      <c r="L10" s="160"/>
      <c r="M10" s="160"/>
      <c r="N10" s="161"/>
    </row>
    <row r="11" spans="1:14" ht="7.5" customHeight="1">
      <c r="B11" s="14"/>
      <c r="C11" s="14"/>
      <c r="D11" s="14"/>
      <c r="E11" s="15"/>
      <c r="F11" s="141"/>
      <c r="G11" s="141"/>
      <c r="H11" s="141"/>
      <c r="I11" s="141"/>
      <c r="J11" s="141"/>
      <c r="K11" s="141"/>
      <c r="L11" s="141"/>
      <c r="M11" s="141"/>
      <c r="N11" s="141"/>
    </row>
    <row r="12" spans="1:14" ht="22.5" customHeight="1">
      <c r="A12" s="12" t="s">
        <v>14</v>
      </c>
      <c r="B12" s="14" t="s">
        <v>15</v>
      </c>
      <c r="C12" s="14"/>
      <c r="D12" s="14"/>
      <c r="E12" s="141"/>
      <c r="F12" s="96"/>
      <c r="G12" s="177" t="s">
        <v>16</v>
      </c>
      <c r="H12" s="178"/>
      <c r="I12" s="178"/>
      <c r="J12" s="178"/>
      <c r="K12" s="178"/>
      <c r="L12" s="178"/>
      <c r="M12" s="178"/>
      <c r="N12" s="179"/>
    </row>
    <row r="13" spans="1:14" ht="7.5" customHeight="1">
      <c r="B13" s="15"/>
      <c r="C13" s="15"/>
      <c r="D13" s="15"/>
      <c r="E13" s="15"/>
      <c r="F13" s="141"/>
      <c r="G13" s="141"/>
      <c r="H13" s="141"/>
      <c r="I13" s="141"/>
      <c r="J13" s="141"/>
      <c r="K13" s="141"/>
      <c r="L13" s="141"/>
      <c r="M13" s="141"/>
      <c r="N13" s="141"/>
    </row>
    <row r="14" spans="1:14" ht="22.5" customHeight="1">
      <c r="A14" s="12" t="s">
        <v>17</v>
      </c>
      <c r="B14" s="15" t="s">
        <v>18</v>
      </c>
      <c r="C14" s="15"/>
      <c r="D14" s="15"/>
      <c r="E14" s="15"/>
      <c r="F14" s="159" t="s">
        <v>19</v>
      </c>
      <c r="G14" s="160"/>
      <c r="H14" s="161"/>
      <c r="I14" s="141"/>
      <c r="J14" s="141"/>
      <c r="K14" s="141"/>
      <c r="L14" s="141"/>
      <c r="M14" s="141"/>
      <c r="N14" s="141"/>
    </row>
    <row r="15" spans="1:14" ht="7.5" customHeight="1">
      <c r="B15" s="15"/>
      <c r="C15" s="15"/>
      <c r="D15" s="15"/>
      <c r="E15" s="15"/>
      <c r="F15" s="141"/>
      <c r="G15" s="141"/>
      <c r="H15" s="141"/>
      <c r="I15" s="141"/>
      <c r="J15" s="141"/>
      <c r="K15" s="141"/>
      <c r="L15" s="141"/>
      <c r="M15" s="141"/>
      <c r="N15" s="141"/>
    </row>
    <row r="16" spans="1:14" ht="22.5" customHeight="1">
      <c r="A16" s="12" t="s">
        <v>20</v>
      </c>
      <c r="B16" s="12" t="s">
        <v>21</v>
      </c>
      <c r="C16" s="172" t="s">
        <v>22</v>
      </c>
      <c r="D16" s="173"/>
      <c r="E16" s="157">
        <v>3430</v>
      </c>
      <c r="F16" s="158"/>
      <c r="G16" s="18" t="s">
        <v>23</v>
      </c>
      <c r="I16" s="172" t="s">
        <v>24</v>
      </c>
      <c r="J16" s="173"/>
      <c r="K16" s="157">
        <v>1649</v>
      </c>
      <c r="L16" s="174"/>
      <c r="M16" s="158"/>
      <c r="N16" s="19" t="s">
        <v>23</v>
      </c>
    </row>
    <row r="17" spans="1:15" ht="7.5" customHeight="1">
      <c r="F17" s="20"/>
      <c r="G17" s="20"/>
      <c r="H17" s="20"/>
      <c r="I17" s="20"/>
      <c r="J17" s="20"/>
      <c r="K17" s="20"/>
      <c r="L17" s="20"/>
      <c r="M17" s="19"/>
      <c r="N17" s="19"/>
    </row>
    <row r="18" spans="1:15" ht="22.5" customHeight="1">
      <c r="A18" s="12" t="s">
        <v>25</v>
      </c>
      <c r="B18" s="12" t="s">
        <v>26</v>
      </c>
      <c r="F18" s="20"/>
      <c r="G18" s="20"/>
      <c r="H18" s="20"/>
      <c r="I18" s="20"/>
      <c r="J18" s="20"/>
      <c r="K18" s="165">
        <v>10</v>
      </c>
      <c r="L18" s="166"/>
      <c r="M18" s="167"/>
      <c r="N18" s="19" t="s">
        <v>23</v>
      </c>
    </row>
    <row r="19" spans="1:15" ht="7.5" customHeight="1">
      <c r="F19" s="20"/>
      <c r="G19" s="20"/>
      <c r="H19" s="20"/>
      <c r="I19" s="20"/>
      <c r="J19" s="20"/>
      <c r="K19" s="20"/>
      <c r="L19" s="20"/>
      <c r="M19" s="19"/>
      <c r="N19" s="19"/>
    </row>
    <row r="20" spans="1:15" ht="22.5" customHeight="1">
      <c r="A20" s="12" t="s">
        <v>27</v>
      </c>
      <c r="B20" s="12" t="s">
        <v>28</v>
      </c>
      <c r="D20" s="13"/>
      <c r="E20" s="157">
        <v>2823</v>
      </c>
      <c r="F20" s="158"/>
      <c r="G20" s="21" t="s">
        <v>29</v>
      </c>
      <c r="H20" s="20"/>
      <c r="K20" s="156"/>
      <c r="L20" s="156"/>
      <c r="M20" s="156"/>
      <c r="N20" s="156"/>
    </row>
    <row r="21" spans="1:15" ht="7.5" customHeight="1">
      <c r="E21" s="11"/>
      <c r="F21" s="20"/>
      <c r="G21" s="20"/>
      <c r="L21" s="33"/>
      <c r="M21" s="33"/>
      <c r="N21" s="22"/>
    </row>
    <row r="22" spans="1:15" ht="22.5" customHeight="1">
      <c r="A22" s="12" t="s">
        <v>30</v>
      </c>
      <c r="B22" s="12" t="s">
        <v>31</v>
      </c>
      <c r="E22" s="11"/>
      <c r="F22" s="20"/>
      <c r="G22" s="20"/>
      <c r="H22" s="12" t="s">
        <v>32</v>
      </c>
      <c r="J22" s="165">
        <v>12958</v>
      </c>
      <c r="K22" s="166"/>
      <c r="L22" s="167"/>
      <c r="M22" s="33" t="s">
        <v>23</v>
      </c>
      <c r="N22" s="22"/>
    </row>
    <row r="23" spans="1:15" ht="7.5" customHeight="1">
      <c r="E23" s="11"/>
      <c r="F23" s="20"/>
      <c r="G23" s="20"/>
      <c r="L23" s="33"/>
      <c r="M23" s="33"/>
      <c r="N23" s="22"/>
    </row>
    <row r="24" spans="1:15" ht="22.5" customHeight="1">
      <c r="B24" s="44" t="s">
        <v>33</v>
      </c>
      <c r="C24" s="163">
        <v>2911</v>
      </c>
      <c r="D24" s="164"/>
      <c r="E24" s="45" t="s">
        <v>23</v>
      </c>
      <c r="F24" s="46"/>
      <c r="G24" s="162" t="s">
        <v>34</v>
      </c>
      <c r="H24" s="162"/>
      <c r="I24" s="163">
        <v>2929</v>
      </c>
      <c r="J24" s="164"/>
      <c r="K24" s="47" t="s">
        <v>23</v>
      </c>
      <c r="L24" s="49"/>
      <c r="M24" s="135"/>
      <c r="N24" s="48"/>
      <c r="O24" s="49"/>
    </row>
    <row r="25" spans="1:15" ht="7.5" customHeight="1">
      <c r="B25" s="44"/>
      <c r="C25" s="97"/>
      <c r="D25" s="97"/>
      <c r="E25" s="45"/>
      <c r="F25" s="46"/>
      <c r="G25" s="135"/>
      <c r="H25" s="135"/>
      <c r="I25" s="97"/>
      <c r="J25" s="97"/>
      <c r="K25" s="47"/>
      <c r="L25" s="49"/>
      <c r="M25" s="135"/>
      <c r="N25" s="48"/>
      <c r="O25" s="49"/>
    </row>
    <row r="26" spans="1:15" ht="22.5" customHeight="1">
      <c r="B26" s="44" t="s">
        <v>35</v>
      </c>
      <c r="C26" s="163">
        <v>2953</v>
      </c>
      <c r="D26" s="164"/>
      <c r="E26" s="45" t="s">
        <v>23</v>
      </c>
      <c r="F26" s="46"/>
      <c r="G26" s="162" t="s">
        <v>36</v>
      </c>
      <c r="H26" s="162"/>
      <c r="I26" s="163">
        <v>3883</v>
      </c>
      <c r="J26" s="164"/>
      <c r="K26" s="47" t="s">
        <v>23</v>
      </c>
      <c r="L26" s="49"/>
      <c r="M26" s="135"/>
      <c r="N26" s="98"/>
      <c r="O26" s="28"/>
    </row>
    <row r="27" spans="1:15" ht="7.5" customHeight="1">
      <c r="B27" s="44"/>
      <c r="C27" s="97"/>
      <c r="D27" s="97"/>
      <c r="E27" s="45"/>
      <c r="F27" s="46"/>
      <c r="G27" s="135"/>
      <c r="H27" s="135"/>
      <c r="I27" s="97"/>
      <c r="J27" s="97"/>
      <c r="K27" s="47"/>
      <c r="L27" s="49"/>
      <c r="M27" s="135"/>
      <c r="N27" s="48"/>
      <c r="O27" s="28"/>
    </row>
    <row r="28" spans="1:15" ht="22.5" customHeight="1">
      <c r="B28" s="44" t="s">
        <v>37</v>
      </c>
      <c r="C28" s="163">
        <v>140</v>
      </c>
      <c r="D28" s="164"/>
      <c r="E28" s="45" t="s">
        <v>23</v>
      </c>
      <c r="F28" s="46"/>
      <c r="G28" s="162" t="s">
        <v>38</v>
      </c>
      <c r="H28" s="162"/>
      <c r="I28" s="163">
        <v>142</v>
      </c>
      <c r="J28" s="164"/>
      <c r="K28" s="47" t="s">
        <v>23</v>
      </c>
      <c r="L28" s="49"/>
      <c r="M28" s="135"/>
      <c r="N28" s="48"/>
      <c r="O28" s="28"/>
    </row>
    <row r="29" spans="1:15" ht="7.5" customHeight="1">
      <c r="F29" s="20"/>
      <c r="G29" s="20"/>
      <c r="M29" s="23"/>
      <c r="N29" s="23"/>
    </row>
    <row r="30" spans="1:15" ht="22.5" customHeight="1">
      <c r="A30" s="12" t="s">
        <v>39</v>
      </c>
      <c r="B30" s="14" t="s">
        <v>40</v>
      </c>
      <c r="C30" s="14"/>
      <c r="D30" s="14"/>
      <c r="E30" s="14"/>
      <c r="F30" s="16"/>
      <c r="G30" s="141"/>
      <c r="H30" s="141"/>
      <c r="I30" s="141"/>
      <c r="J30" s="25"/>
      <c r="K30" s="25"/>
      <c r="L30" s="25"/>
      <c r="M30" s="25"/>
      <c r="N30" s="25"/>
    </row>
    <row r="31" spans="1:15" s="13" customFormat="1" ht="22.5" customHeight="1">
      <c r="B31" s="168" t="s">
        <v>41</v>
      </c>
      <c r="C31" s="168"/>
      <c r="D31" s="159" t="s">
        <v>42</v>
      </c>
      <c r="E31" s="160"/>
      <c r="F31" s="160"/>
      <c r="G31" s="169" t="s">
        <v>43</v>
      </c>
      <c r="H31" s="168"/>
      <c r="I31" s="170"/>
      <c r="J31" s="159" t="s">
        <v>44</v>
      </c>
      <c r="K31" s="160"/>
      <c r="L31" s="160"/>
      <c r="M31" s="160"/>
      <c r="N31" s="161"/>
    </row>
    <row r="32" spans="1:15" ht="7.5" customHeight="1">
      <c r="F32" s="20"/>
      <c r="G32" s="20"/>
      <c r="M32" s="23"/>
      <c r="N32" s="23"/>
    </row>
    <row r="33" spans="1:14" ht="22.5" customHeight="1">
      <c r="A33" s="12" t="s">
        <v>45</v>
      </c>
      <c r="B33" s="14" t="s">
        <v>46</v>
      </c>
      <c r="C33" s="14"/>
      <c r="D33" s="14"/>
      <c r="E33" s="14"/>
      <c r="F33" s="16"/>
      <c r="G33" s="25"/>
      <c r="H33" s="25"/>
      <c r="I33" s="25"/>
      <c r="J33" s="25"/>
      <c r="K33" s="25"/>
      <c r="L33" s="25"/>
      <c r="M33" s="25"/>
      <c r="N33" s="25"/>
    </row>
    <row r="34" spans="1:14" ht="22.5" customHeight="1">
      <c r="B34" s="159" t="s">
        <v>47</v>
      </c>
      <c r="C34" s="160"/>
      <c r="D34" s="160"/>
      <c r="E34" s="160"/>
      <c r="F34" s="160"/>
      <c r="G34" s="160"/>
      <c r="H34" s="160"/>
      <c r="I34" s="160"/>
      <c r="J34" s="160"/>
      <c r="K34" s="160"/>
      <c r="L34" s="160"/>
      <c r="M34" s="160"/>
      <c r="N34" s="161"/>
    </row>
    <row r="35" spans="1:14" ht="7.5" customHeight="1">
      <c r="B35" s="138"/>
      <c r="C35" s="138"/>
      <c r="D35" s="138"/>
      <c r="E35" s="138"/>
      <c r="F35" s="138"/>
      <c r="G35" s="138"/>
      <c r="H35" s="138"/>
      <c r="I35" s="138"/>
      <c r="J35" s="138"/>
      <c r="K35" s="138"/>
      <c r="L35" s="138"/>
      <c r="M35" s="138"/>
      <c r="N35" s="138"/>
    </row>
    <row r="36" spans="1:14" s="13" customFormat="1" ht="22.5" customHeight="1">
      <c r="B36" s="168" t="s">
        <v>41</v>
      </c>
      <c r="C36" s="168"/>
      <c r="D36" s="159" t="s">
        <v>48</v>
      </c>
      <c r="E36" s="160"/>
      <c r="F36" s="160"/>
      <c r="G36" s="169" t="s">
        <v>43</v>
      </c>
      <c r="H36" s="168"/>
      <c r="I36" s="170"/>
      <c r="J36" s="159" t="s">
        <v>49</v>
      </c>
      <c r="K36" s="160"/>
      <c r="L36" s="160"/>
      <c r="M36" s="160"/>
      <c r="N36" s="161"/>
    </row>
    <row r="37" spans="1:14" ht="7.5" customHeight="1">
      <c r="F37" s="141"/>
      <c r="G37" s="141"/>
      <c r="H37" s="141"/>
      <c r="I37" s="141"/>
      <c r="J37" s="141"/>
      <c r="K37" s="141"/>
      <c r="L37" s="141"/>
      <c r="M37" s="141"/>
      <c r="N37" s="141"/>
    </row>
    <row r="38" spans="1:14" ht="22.5" customHeight="1">
      <c r="A38" s="12" t="s">
        <v>50</v>
      </c>
      <c r="B38" s="12" t="s">
        <v>51</v>
      </c>
      <c r="M38" s="23"/>
      <c r="N38" s="23"/>
    </row>
    <row r="39" spans="1:14" ht="22.5" customHeight="1">
      <c r="B39" s="159" t="s">
        <v>47</v>
      </c>
      <c r="C39" s="160"/>
      <c r="D39" s="160"/>
      <c r="E39" s="160"/>
      <c r="F39" s="160"/>
      <c r="G39" s="160"/>
      <c r="H39" s="160"/>
      <c r="I39" s="160"/>
      <c r="J39" s="160"/>
      <c r="K39" s="160"/>
      <c r="L39" s="160"/>
      <c r="M39" s="160"/>
      <c r="N39" s="161"/>
    </row>
    <row r="40" spans="1:14" ht="7.5" customHeight="1">
      <c r="F40" s="141"/>
      <c r="G40" s="141"/>
      <c r="H40" s="141"/>
      <c r="I40" s="141"/>
      <c r="J40" s="141"/>
      <c r="K40" s="141"/>
      <c r="L40" s="141"/>
      <c r="M40" s="141"/>
      <c r="N40" s="141"/>
    </row>
    <row r="41" spans="1:14" s="13" customFormat="1" ht="22.5" customHeight="1">
      <c r="B41" s="168" t="s">
        <v>41</v>
      </c>
      <c r="C41" s="168"/>
      <c r="D41" s="153" t="s">
        <v>52</v>
      </c>
      <c r="E41" s="154"/>
      <c r="F41" s="154"/>
      <c r="G41" s="169" t="s">
        <v>43</v>
      </c>
      <c r="H41" s="168"/>
      <c r="I41" s="170"/>
      <c r="J41" s="159" t="s">
        <v>49</v>
      </c>
      <c r="K41" s="160"/>
      <c r="L41" s="160"/>
      <c r="M41" s="160"/>
      <c r="N41" s="161"/>
    </row>
    <row r="42" spans="1:14" ht="7.5" customHeight="1">
      <c r="F42" s="141"/>
      <c r="G42" s="141"/>
      <c r="H42" s="141"/>
      <c r="I42" s="141"/>
      <c r="J42" s="141"/>
      <c r="K42" s="141"/>
      <c r="L42" s="141"/>
      <c r="M42" s="141"/>
      <c r="N42" s="141"/>
    </row>
    <row r="43" spans="1:14" ht="22.5" customHeight="1">
      <c r="A43" s="12" t="s">
        <v>53</v>
      </c>
      <c r="B43" s="49" t="s">
        <v>54</v>
      </c>
      <c r="E43" s="96"/>
      <c r="F43" s="159" t="s">
        <v>55</v>
      </c>
      <c r="G43" s="160"/>
      <c r="H43" s="160"/>
      <c r="I43" s="160"/>
      <c r="J43" s="160"/>
      <c r="K43" s="160"/>
      <c r="L43" s="160"/>
      <c r="M43" s="160"/>
      <c r="N43" s="161"/>
    </row>
    <row r="44" spans="1:14" ht="7.5" customHeight="1">
      <c r="F44" s="141"/>
      <c r="G44" s="141"/>
      <c r="H44" s="141"/>
      <c r="I44" s="141"/>
      <c r="J44" s="141"/>
      <c r="K44" s="141"/>
      <c r="L44" s="141"/>
      <c r="M44" s="141"/>
      <c r="N44" s="141"/>
    </row>
    <row r="45" spans="1:14" ht="22.5" customHeight="1">
      <c r="A45" s="12" t="s">
        <v>56</v>
      </c>
    </row>
    <row r="46" spans="1:14" ht="22.5" customHeight="1">
      <c r="B46" s="93" t="s">
        <v>57</v>
      </c>
      <c r="C46" s="148" t="s">
        <v>58</v>
      </c>
      <c r="D46" s="149"/>
      <c r="E46" s="149"/>
      <c r="F46" s="149"/>
      <c r="G46" s="149"/>
      <c r="H46" s="149"/>
      <c r="I46" s="94" t="s">
        <v>59</v>
      </c>
      <c r="J46" s="95"/>
      <c r="K46" s="153" t="s">
        <v>60</v>
      </c>
      <c r="L46" s="154"/>
      <c r="M46" s="154"/>
      <c r="N46" s="155"/>
    </row>
    <row r="47" spans="1:14" ht="22.5" customHeight="1">
      <c r="B47" s="93" t="s">
        <v>61</v>
      </c>
      <c r="C47" s="315" t="s">
        <v>62</v>
      </c>
      <c r="D47" s="316"/>
      <c r="E47" s="316"/>
      <c r="F47" s="316"/>
      <c r="G47" s="316"/>
      <c r="H47" s="317"/>
      <c r="I47" s="94" t="s">
        <v>63</v>
      </c>
      <c r="J47" s="95"/>
      <c r="K47" s="150" t="s">
        <v>64</v>
      </c>
      <c r="L47" s="151"/>
      <c r="M47" s="151"/>
      <c r="N47" s="152"/>
    </row>
  </sheetData>
  <mergeCells count="45">
    <mergeCell ref="B41:C41"/>
    <mergeCell ref="D41:F41"/>
    <mergeCell ref="C26:D26"/>
    <mergeCell ref="G41:I41"/>
    <mergeCell ref="F43:N43"/>
    <mergeCell ref="J31:N31"/>
    <mergeCell ref="G12:N12"/>
    <mergeCell ref="G26:H26"/>
    <mergeCell ref="I26:J26"/>
    <mergeCell ref="B36:C36"/>
    <mergeCell ref="J36:N36"/>
    <mergeCell ref="D36:F36"/>
    <mergeCell ref="G36:I36"/>
    <mergeCell ref="C28:D28"/>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C47:H47"/>
    <mergeCell ref="C46:H46"/>
    <mergeCell ref="K47:N47"/>
    <mergeCell ref="K46:N46"/>
    <mergeCell ref="K20:N20"/>
    <mergeCell ref="E20:F20"/>
    <mergeCell ref="J41:N41"/>
    <mergeCell ref="B34:N34"/>
    <mergeCell ref="B39:N39"/>
    <mergeCell ref="G28:H28"/>
    <mergeCell ref="I28:J28"/>
    <mergeCell ref="J22:L22"/>
    <mergeCell ref="G24:H24"/>
    <mergeCell ref="B31:C31"/>
    <mergeCell ref="D31:F31"/>
    <mergeCell ref="G31:I31"/>
  </mergeCells>
  <phoneticPr fontId="2"/>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hyperlinks>
    <hyperlink ref="C47" r:id="rId1" xr:uid="{00000000-0004-0000-0000-00000000000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J44"/>
  <sheetViews>
    <sheetView showZeros="0" zoomScaleNormal="100" workbookViewId="0">
      <selection activeCell="B9" sqref="B9:I16"/>
    </sheetView>
  </sheetViews>
  <sheetFormatPr defaultColWidth="9" defaultRowHeight="18.75" customHeight="1"/>
  <cols>
    <col min="1" max="2" width="2.5" style="12" customWidth="1"/>
    <col min="3" max="3" width="20" style="12" customWidth="1"/>
    <col min="4" max="4" width="8.625" style="12" customWidth="1"/>
    <col min="5" max="5" width="7.5" style="12" customWidth="1"/>
    <col min="6" max="6" width="2.5" style="12" customWidth="1"/>
    <col min="7" max="7" width="15" style="12" customWidth="1"/>
    <col min="8" max="8" width="12.5" style="12" customWidth="1"/>
    <col min="9" max="9" width="11.125" style="12" customWidth="1"/>
    <col min="10" max="16384" width="9" style="12"/>
  </cols>
  <sheetData>
    <row r="1" spans="1:9" ht="18.75" customHeight="1">
      <c r="A1" s="99"/>
      <c r="I1" s="137" t="s">
        <v>65</v>
      </c>
    </row>
    <row r="2" spans="1:9" ht="18.75" customHeight="1">
      <c r="G2" s="24" t="s">
        <v>66</v>
      </c>
      <c r="H2" s="192" t="s">
        <v>4</v>
      </c>
      <c r="I2" s="192"/>
    </row>
    <row r="3" spans="1:9" ht="7.5" customHeight="1"/>
    <row r="4" spans="1:9" ht="18.75" customHeight="1">
      <c r="A4" s="176" t="s">
        <v>67</v>
      </c>
      <c r="B4" s="176"/>
      <c r="C4" s="176"/>
      <c r="D4" s="176"/>
      <c r="E4" s="176"/>
      <c r="F4" s="176"/>
      <c r="G4" s="176"/>
      <c r="H4" s="176"/>
      <c r="I4" s="176"/>
    </row>
    <row r="5" spans="1:9" ht="7.5" customHeight="1">
      <c r="C5" s="139"/>
      <c r="D5" s="139"/>
      <c r="E5" s="139"/>
      <c r="F5" s="139"/>
      <c r="G5" s="139"/>
      <c r="H5" s="139"/>
      <c r="I5" s="139"/>
    </row>
    <row r="6" spans="1:9" ht="18.75" customHeight="1">
      <c r="A6" s="12" t="s">
        <v>2</v>
      </c>
      <c r="B6" s="12" t="s">
        <v>68</v>
      </c>
      <c r="C6" s="139"/>
      <c r="D6" s="139"/>
      <c r="E6" s="165" t="s">
        <v>69</v>
      </c>
      <c r="F6" s="166"/>
      <c r="G6" s="166"/>
      <c r="H6" s="166"/>
      <c r="I6" s="167"/>
    </row>
    <row r="7" spans="1:9" ht="7.5" customHeight="1">
      <c r="C7" s="139"/>
      <c r="D7" s="139"/>
      <c r="F7" s="33"/>
      <c r="G7" s="33"/>
      <c r="H7" s="33"/>
      <c r="I7" s="33"/>
    </row>
    <row r="8" spans="1:9" ht="18.75" customHeight="1">
      <c r="A8" s="12" t="s">
        <v>5</v>
      </c>
      <c r="B8" s="12" t="s">
        <v>70</v>
      </c>
      <c r="C8" s="139"/>
      <c r="D8" s="139"/>
      <c r="E8" s="139"/>
      <c r="F8" s="139"/>
      <c r="G8" s="139"/>
      <c r="H8" s="139"/>
      <c r="I8" s="139"/>
    </row>
    <row r="9" spans="1:9" ht="18.75" customHeight="1">
      <c r="B9" s="183" t="s">
        <v>71</v>
      </c>
      <c r="C9" s="184"/>
      <c r="D9" s="184"/>
      <c r="E9" s="184"/>
      <c r="F9" s="184"/>
      <c r="G9" s="184"/>
      <c r="H9" s="184"/>
      <c r="I9" s="185"/>
    </row>
    <row r="10" spans="1:9" ht="18.75" customHeight="1">
      <c r="B10" s="186"/>
      <c r="C10" s="187"/>
      <c r="D10" s="187"/>
      <c r="E10" s="187"/>
      <c r="F10" s="187"/>
      <c r="G10" s="187"/>
      <c r="H10" s="187"/>
      <c r="I10" s="188"/>
    </row>
    <row r="11" spans="1:9" ht="18.75" customHeight="1">
      <c r="B11" s="186"/>
      <c r="C11" s="187"/>
      <c r="D11" s="187"/>
      <c r="E11" s="187"/>
      <c r="F11" s="187"/>
      <c r="G11" s="187"/>
      <c r="H11" s="187"/>
      <c r="I11" s="188"/>
    </row>
    <row r="12" spans="1:9" ht="18.75" customHeight="1">
      <c r="B12" s="186"/>
      <c r="C12" s="187"/>
      <c r="D12" s="187"/>
      <c r="E12" s="187"/>
      <c r="F12" s="187"/>
      <c r="G12" s="187"/>
      <c r="H12" s="187"/>
      <c r="I12" s="188"/>
    </row>
    <row r="13" spans="1:9" ht="18.75" customHeight="1">
      <c r="B13" s="186"/>
      <c r="C13" s="187"/>
      <c r="D13" s="187"/>
      <c r="E13" s="187"/>
      <c r="F13" s="187"/>
      <c r="G13" s="187"/>
      <c r="H13" s="187"/>
      <c r="I13" s="188"/>
    </row>
    <row r="14" spans="1:9" ht="18.75" customHeight="1">
      <c r="B14" s="186"/>
      <c r="C14" s="187"/>
      <c r="D14" s="187"/>
      <c r="E14" s="187"/>
      <c r="F14" s="187"/>
      <c r="G14" s="187"/>
      <c r="H14" s="187"/>
      <c r="I14" s="188"/>
    </row>
    <row r="15" spans="1:9" ht="18.75" customHeight="1">
      <c r="B15" s="186"/>
      <c r="C15" s="187"/>
      <c r="D15" s="187"/>
      <c r="E15" s="187"/>
      <c r="F15" s="187"/>
      <c r="G15" s="187"/>
      <c r="H15" s="187"/>
      <c r="I15" s="188"/>
    </row>
    <row r="16" spans="1:9" ht="101.25" customHeight="1">
      <c r="B16" s="189"/>
      <c r="C16" s="190"/>
      <c r="D16" s="190"/>
      <c r="E16" s="190"/>
      <c r="F16" s="190"/>
      <c r="G16" s="190"/>
      <c r="H16" s="190"/>
      <c r="I16" s="191"/>
    </row>
    <row r="17" spans="1:10" ht="7.5" customHeight="1">
      <c r="B17" s="12" t="s">
        <v>72</v>
      </c>
      <c r="C17" s="139"/>
      <c r="D17" s="139"/>
      <c r="E17" s="139"/>
      <c r="F17" s="139"/>
      <c r="G17" s="139"/>
      <c r="H17" s="139"/>
      <c r="I17" s="139"/>
    </row>
    <row r="18" spans="1:10" ht="18.75" customHeight="1">
      <c r="A18" s="139" t="s">
        <v>8</v>
      </c>
      <c r="B18" s="14" t="s">
        <v>73</v>
      </c>
      <c r="C18" s="14"/>
      <c r="D18" s="14"/>
      <c r="E18" s="14"/>
      <c r="F18" s="139"/>
      <c r="G18" s="139"/>
      <c r="H18" s="139"/>
      <c r="I18" s="139"/>
      <c r="J18" s="139"/>
    </row>
    <row r="19" spans="1:10" ht="18.75" customHeight="1">
      <c r="A19" s="165" t="s">
        <v>73</v>
      </c>
      <c r="B19" s="166"/>
      <c r="C19" s="166"/>
      <c r="D19" s="166"/>
      <c r="E19" s="167"/>
      <c r="F19" s="159" t="s">
        <v>73</v>
      </c>
      <c r="G19" s="160"/>
      <c r="H19" s="160"/>
      <c r="I19" s="161"/>
    </row>
    <row r="20" spans="1:10" ht="18.75" customHeight="1">
      <c r="A20" s="27">
        <v>1</v>
      </c>
      <c r="B20" s="177" t="s">
        <v>74</v>
      </c>
      <c r="C20" s="178"/>
      <c r="D20" s="178"/>
      <c r="E20" s="179"/>
      <c r="F20" s="27">
        <v>26</v>
      </c>
      <c r="G20" s="177"/>
      <c r="H20" s="178"/>
      <c r="I20" s="179"/>
    </row>
    <row r="21" spans="1:10" ht="18.75" customHeight="1">
      <c r="A21" s="27">
        <v>2</v>
      </c>
      <c r="B21" s="177"/>
      <c r="C21" s="178"/>
      <c r="D21" s="178"/>
      <c r="E21" s="179"/>
      <c r="F21" s="27">
        <v>27</v>
      </c>
      <c r="G21" s="177"/>
      <c r="H21" s="178"/>
      <c r="I21" s="179"/>
    </row>
    <row r="22" spans="1:10" ht="18.75" customHeight="1">
      <c r="A22" s="27">
        <v>3</v>
      </c>
      <c r="B22" s="177"/>
      <c r="C22" s="178"/>
      <c r="D22" s="178"/>
      <c r="E22" s="179"/>
      <c r="F22" s="27">
        <v>28</v>
      </c>
      <c r="G22" s="177"/>
      <c r="H22" s="178"/>
      <c r="I22" s="179"/>
    </row>
    <row r="23" spans="1:10" ht="18.75" customHeight="1">
      <c r="A23" s="27">
        <v>4</v>
      </c>
      <c r="B23" s="177"/>
      <c r="C23" s="178"/>
      <c r="D23" s="178"/>
      <c r="E23" s="179"/>
      <c r="F23" s="27">
        <v>29</v>
      </c>
      <c r="G23" s="177"/>
      <c r="H23" s="178"/>
      <c r="I23" s="179"/>
    </row>
    <row r="24" spans="1:10" ht="18.75" customHeight="1">
      <c r="A24" s="27">
        <v>5</v>
      </c>
      <c r="B24" s="177"/>
      <c r="C24" s="178"/>
      <c r="D24" s="178"/>
      <c r="E24" s="179"/>
      <c r="F24" s="27">
        <v>30</v>
      </c>
      <c r="G24" s="177"/>
      <c r="H24" s="178"/>
      <c r="I24" s="179"/>
    </row>
    <row r="25" spans="1:10" ht="18.75" customHeight="1">
      <c r="A25" s="27">
        <v>6</v>
      </c>
      <c r="B25" s="180"/>
      <c r="C25" s="181"/>
      <c r="D25" s="181"/>
      <c r="E25" s="182"/>
      <c r="F25" s="27">
        <v>31</v>
      </c>
      <c r="G25" s="177"/>
      <c r="H25" s="178"/>
      <c r="I25" s="179"/>
    </row>
    <row r="26" spans="1:10" ht="18.75" customHeight="1">
      <c r="A26" s="27">
        <v>7</v>
      </c>
      <c r="B26" s="180"/>
      <c r="C26" s="181"/>
      <c r="D26" s="181"/>
      <c r="E26" s="182"/>
      <c r="F26" s="27">
        <v>32</v>
      </c>
      <c r="G26" s="177"/>
      <c r="H26" s="178"/>
      <c r="I26" s="179"/>
    </row>
    <row r="27" spans="1:10" ht="18.75" customHeight="1">
      <c r="A27" s="27">
        <v>8</v>
      </c>
      <c r="B27" s="180"/>
      <c r="C27" s="181"/>
      <c r="D27" s="181"/>
      <c r="E27" s="182"/>
      <c r="F27" s="27">
        <v>33</v>
      </c>
      <c r="G27" s="177"/>
      <c r="H27" s="178"/>
      <c r="I27" s="179"/>
    </row>
    <row r="28" spans="1:10" ht="18.75" customHeight="1">
      <c r="A28" s="27">
        <v>9</v>
      </c>
      <c r="B28" s="180"/>
      <c r="C28" s="181"/>
      <c r="D28" s="181"/>
      <c r="E28" s="182"/>
      <c r="F28" s="27">
        <v>34</v>
      </c>
      <c r="G28" s="177"/>
      <c r="H28" s="178"/>
      <c r="I28" s="179"/>
    </row>
    <row r="29" spans="1:10" ht="18.75" customHeight="1">
      <c r="A29" s="27">
        <v>10</v>
      </c>
      <c r="B29" s="180"/>
      <c r="C29" s="181"/>
      <c r="D29" s="181"/>
      <c r="E29" s="182"/>
      <c r="F29" s="27">
        <v>35</v>
      </c>
      <c r="G29" s="177"/>
      <c r="H29" s="178"/>
      <c r="I29" s="179"/>
    </row>
    <row r="30" spans="1:10" ht="18.75" customHeight="1">
      <c r="A30" s="27">
        <v>11</v>
      </c>
      <c r="B30" s="177"/>
      <c r="C30" s="178"/>
      <c r="D30" s="178"/>
      <c r="E30" s="179"/>
      <c r="F30" s="27">
        <v>36</v>
      </c>
      <c r="G30" s="177"/>
      <c r="H30" s="178"/>
      <c r="I30" s="179"/>
    </row>
    <row r="31" spans="1:10" ht="18.75" customHeight="1">
      <c r="A31" s="27">
        <v>12</v>
      </c>
      <c r="B31" s="177"/>
      <c r="C31" s="178"/>
      <c r="D31" s="178"/>
      <c r="E31" s="179"/>
      <c r="F31" s="27">
        <v>37</v>
      </c>
      <c r="G31" s="177"/>
      <c r="H31" s="178"/>
      <c r="I31" s="179"/>
    </row>
    <row r="32" spans="1:10" ht="18.75" customHeight="1">
      <c r="A32" s="27">
        <v>13</v>
      </c>
      <c r="B32" s="177"/>
      <c r="C32" s="178"/>
      <c r="D32" s="178"/>
      <c r="E32" s="179"/>
      <c r="F32" s="27">
        <v>38</v>
      </c>
      <c r="G32" s="177"/>
      <c r="H32" s="178"/>
      <c r="I32" s="179"/>
    </row>
    <row r="33" spans="1:9" ht="18.75" customHeight="1">
      <c r="A33" s="27">
        <v>14</v>
      </c>
      <c r="B33" s="177"/>
      <c r="C33" s="178"/>
      <c r="D33" s="178"/>
      <c r="E33" s="179"/>
      <c r="F33" s="27">
        <v>39</v>
      </c>
      <c r="G33" s="177"/>
      <c r="H33" s="178"/>
      <c r="I33" s="179"/>
    </row>
    <row r="34" spans="1:9" ht="18.75" customHeight="1">
      <c r="A34" s="27">
        <v>15</v>
      </c>
      <c r="B34" s="177"/>
      <c r="C34" s="178"/>
      <c r="D34" s="178"/>
      <c r="E34" s="179"/>
      <c r="F34" s="27">
        <v>40</v>
      </c>
      <c r="G34" s="177"/>
      <c r="H34" s="178"/>
      <c r="I34" s="179"/>
    </row>
    <row r="35" spans="1:9" ht="18.75" customHeight="1">
      <c r="A35" s="27">
        <v>16</v>
      </c>
      <c r="B35" s="177"/>
      <c r="C35" s="178"/>
      <c r="D35" s="178"/>
      <c r="E35" s="179"/>
      <c r="F35" s="27">
        <v>41</v>
      </c>
      <c r="G35" s="177"/>
      <c r="H35" s="178"/>
      <c r="I35" s="179"/>
    </row>
    <row r="36" spans="1:9" ht="18.75" customHeight="1">
      <c r="A36" s="27">
        <v>17</v>
      </c>
      <c r="B36" s="177"/>
      <c r="C36" s="178"/>
      <c r="D36" s="178"/>
      <c r="E36" s="179"/>
      <c r="F36" s="27">
        <v>42</v>
      </c>
      <c r="G36" s="177"/>
      <c r="H36" s="178"/>
      <c r="I36" s="179"/>
    </row>
    <row r="37" spans="1:9" ht="18.75" customHeight="1">
      <c r="A37" s="27">
        <v>18</v>
      </c>
      <c r="B37" s="177"/>
      <c r="C37" s="178"/>
      <c r="D37" s="178"/>
      <c r="E37" s="179"/>
      <c r="F37" s="27">
        <v>43</v>
      </c>
      <c r="G37" s="177"/>
      <c r="H37" s="178"/>
      <c r="I37" s="179"/>
    </row>
    <row r="38" spans="1:9" ht="18.75" customHeight="1">
      <c r="A38" s="27">
        <v>19</v>
      </c>
      <c r="B38" s="177"/>
      <c r="C38" s="178"/>
      <c r="D38" s="178"/>
      <c r="E38" s="179"/>
      <c r="F38" s="27">
        <v>44</v>
      </c>
      <c r="G38" s="177"/>
      <c r="H38" s="178"/>
      <c r="I38" s="179"/>
    </row>
    <row r="39" spans="1:9" ht="18.75" customHeight="1">
      <c r="A39" s="27">
        <v>20</v>
      </c>
      <c r="B39" s="177"/>
      <c r="C39" s="178"/>
      <c r="D39" s="178"/>
      <c r="E39" s="179"/>
      <c r="F39" s="27">
        <v>45</v>
      </c>
      <c r="G39" s="177"/>
      <c r="H39" s="178"/>
      <c r="I39" s="179"/>
    </row>
    <row r="40" spans="1:9" ht="18.75" customHeight="1">
      <c r="A40" s="27">
        <v>21</v>
      </c>
      <c r="B40" s="177"/>
      <c r="C40" s="178"/>
      <c r="D40" s="178"/>
      <c r="E40" s="179"/>
      <c r="F40" s="27">
        <v>46</v>
      </c>
      <c r="G40" s="177"/>
      <c r="H40" s="178"/>
      <c r="I40" s="179"/>
    </row>
    <row r="41" spans="1:9" ht="18.75" customHeight="1">
      <c r="A41" s="27">
        <v>22</v>
      </c>
      <c r="B41" s="177"/>
      <c r="C41" s="178"/>
      <c r="D41" s="178"/>
      <c r="E41" s="179"/>
      <c r="F41" s="27">
        <v>47</v>
      </c>
      <c r="G41" s="177"/>
      <c r="H41" s="178"/>
      <c r="I41" s="179"/>
    </row>
    <row r="42" spans="1:9" ht="18.75" customHeight="1">
      <c r="A42" s="27">
        <v>23</v>
      </c>
      <c r="B42" s="177"/>
      <c r="C42" s="178"/>
      <c r="D42" s="178"/>
      <c r="E42" s="179"/>
      <c r="F42" s="27">
        <v>48</v>
      </c>
      <c r="G42" s="177"/>
      <c r="H42" s="178"/>
      <c r="I42" s="179"/>
    </row>
    <row r="43" spans="1:9" ht="18.75" customHeight="1">
      <c r="A43" s="27">
        <v>24</v>
      </c>
      <c r="B43" s="177"/>
      <c r="C43" s="178"/>
      <c r="D43" s="178"/>
      <c r="E43" s="179"/>
      <c r="F43" s="27">
        <v>49</v>
      </c>
      <c r="G43" s="177"/>
      <c r="H43" s="178"/>
      <c r="I43" s="179"/>
    </row>
    <row r="44" spans="1:9" ht="18.75" customHeight="1">
      <c r="A44" s="27">
        <v>25</v>
      </c>
      <c r="B44" s="177"/>
      <c r="C44" s="178"/>
      <c r="D44" s="178"/>
      <c r="E44" s="179"/>
      <c r="F44" s="27">
        <v>50</v>
      </c>
      <c r="G44" s="177"/>
      <c r="H44" s="178"/>
      <c r="I44" s="179"/>
    </row>
  </sheetData>
  <mergeCells count="56">
    <mergeCell ref="G44:I44"/>
    <mergeCell ref="G39:I39"/>
    <mergeCell ref="G40:I40"/>
    <mergeCell ref="G41:I41"/>
    <mergeCell ref="G42:I42"/>
    <mergeCell ref="G43:I43"/>
    <mergeCell ref="G34:I34"/>
    <mergeCell ref="G35:I35"/>
    <mergeCell ref="G36:I36"/>
    <mergeCell ref="G37:I37"/>
    <mergeCell ref="G38:I38"/>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B35:E35"/>
    <mergeCell ref="B36:E36"/>
    <mergeCell ref="B37:E37"/>
    <mergeCell ref="B38:E38"/>
    <mergeCell ref="B29:E29"/>
    <mergeCell ref="B30:E30"/>
    <mergeCell ref="B31:E31"/>
    <mergeCell ref="B32:E32"/>
    <mergeCell ref="B33:E33"/>
    <mergeCell ref="E6:I6"/>
    <mergeCell ref="H2:I2"/>
    <mergeCell ref="A4:I4"/>
    <mergeCell ref="A19:E19"/>
    <mergeCell ref="F19:I19"/>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s>
  <phoneticPr fontId="2"/>
  <dataValidations count="2">
    <dataValidation type="list" allowBlank="1" showInputMessage="1" showErrorMessage="1" sqref="F7:I7" xr:uid="{00000000-0002-0000-0100-000000000000}">
      <formula1>"学部等によって、認定要件は相違する,学部等によって、認定要件は相違しない"</formula1>
    </dataValidation>
    <dataValidation type="list" allowBlank="1" showInputMessage="1" showErrorMessage="1" sqref="E6:I6" xr:uid="{00000000-0002-0000-01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scale="9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38"/>
  <sheetViews>
    <sheetView zoomScaleNormal="100" workbookViewId="0">
      <pane xSplit="3" ySplit="7" topLeftCell="D8" activePane="bottomRight" state="frozen"/>
      <selection pane="bottomRight" activeCell="D41" sqref="D41"/>
      <selection pane="bottomLeft" activeCell="A8" sqref="A8"/>
      <selection pane="topRight" activeCell="D1" sqref="D1"/>
    </sheetView>
  </sheetViews>
  <sheetFormatPr defaultRowHeight="18.75" customHeight="1"/>
  <cols>
    <col min="1" max="1" width="2.5" style="51" customWidth="1"/>
    <col min="2" max="2" width="12.5" style="51" customWidth="1"/>
    <col min="3" max="3" width="21" style="51" customWidth="1"/>
    <col min="4" max="4" width="7.875" style="51" customWidth="1"/>
    <col min="5" max="18" width="6.25" style="51" customWidth="1"/>
    <col min="19" max="16384" width="9" style="51"/>
  </cols>
  <sheetData>
    <row r="1" spans="1:20" ht="18.75" customHeight="1">
      <c r="F1" s="201" t="s">
        <v>75</v>
      </c>
      <c r="G1" s="201"/>
      <c r="H1" s="201"/>
      <c r="I1" s="201"/>
      <c r="J1" s="201"/>
      <c r="K1" s="201"/>
      <c r="L1" s="201"/>
      <c r="M1" s="201"/>
      <c r="N1" s="201"/>
      <c r="O1" s="201"/>
      <c r="P1" s="201"/>
      <c r="Q1" s="201"/>
      <c r="R1" s="201"/>
    </row>
    <row r="2" spans="1:20" ht="18.75" customHeight="1">
      <c r="D2" s="30"/>
      <c r="E2" s="30"/>
      <c r="F2" s="30"/>
      <c r="G2" s="30"/>
      <c r="H2" s="30"/>
      <c r="I2" s="30"/>
      <c r="J2" s="30"/>
      <c r="K2" s="201" t="s">
        <v>76</v>
      </c>
      <c r="L2" s="201"/>
      <c r="M2" s="202" t="s">
        <v>77</v>
      </c>
      <c r="N2" s="202"/>
      <c r="O2" s="30"/>
      <c r="P2" s="30"/>
      <c r="Q2" s="30"/>
      <c r="R2" s="30"/>
    </row>
    <row r="3" spans="1:20" ht="7.5" customHeight="1"/>
    <row r="4" spans="1:20" ht="18.75" customHeight="1">
      <c r="A4" s="203" t="s">
        <v>78</v>
      </c>
      <c r="B4" s="203"/>
      <c r="C4" s="203"/>
      <c r="D4" s="203"/>
      <c r="E4" s="203"/>
      <c r="F4" s="203"/>
      <c r="G4" s="203"/>
      <c r="H4" s="203"/>
      <c r="I4" s="203"/>
      <c r="J4" s="203"/>
      <c r="K4" s="203"/>
      <c r="L4" s="203"/>
      <c r="M4" s="203"/>
      <c r="N4" s="203"/>
      <c r="O4" s="203"/>
      <c r="P4" s="203"/>
      <c r="Q4" s="203"/>
      <c r="R4" s="203"/>
      <c r="S4" s="3"/>
    </row>
    <row r="5" spans="1:20" ht="16.5" customHeight="1">
      <c r="A5" s="143"/>
      <c r="B5" s="143"/>
      <c r="C5" s="143"/>
      <c r="D5" s="143"/>
      <c r="E5" s="143"/>
      <c r="F5" s="143"/>
      <c r="G5" s="143"/>
      <c r="H5" s="143"/>
      <c r="I5" s="143"/>
      <c r="J5" s="143"/>
      <c r="K5" s="143"/>
      <c r="L5" s="143"/>
      <c r="M5" s="143"/>
      <c r="N5" s="143"/>
      <c r="O5" s="143"/>
      <c r="P5" s="143"/>
      <c r="Q5" s="143"/>
      <c r="R5" s="143"/>
    </row>
    <row r="6" spans="1:20" ht="18.75" customHeight="1">
      <c r="B6" s="204" t="s">
        <v>79</v>
      </c>
      <c r="C6" s="205"/>
      <c r="D6" s="208" t="s">
        <v>80</v>
      </c>
      <c r="E6" s="210" t="s">
        <v>81</v>
      </c>
      <c r="F6" s="210"/>
      <c r="G6" s="210" t="s">
        <v>82</v>
      </c>
      <c r="H6" s="210"/>
      <c r="I6" s="211" t="s">
        <v>83</v>
      </c>
      <c r="J6" s="212"/>
      <c r="K6" s="211" t="s">
        <v>84</v>
      </c>
      <c r="L6" s="212"/>
      <c r="M6" s="211" t="s">
        <v>85</v>
      </c>
      <c r="N6" s="212"/>
      <c r="O6" s="211" t="s">
        <v>19</v>
      </c>
      <c r="P6" s="212"/>
      <c r="Q6" s="213" t="s">
        <v>86</v>
      </c>
      <c r="R6" s="215" t="s">
        <v>87</v>
      </c>
      <c r="T6" s="31"/>
    </row>
    <row r="7" spans="1:20" ht="18.75" customHeight="1">
      <c r="B7" s="206"/>
      <c r="C7" s="207"/>
      <c r="D7" s="209"/>
      <c r="E7" s="52" t="s">
        <v>88</v>
      </c>
      <c r="F7" s="53" t="s">
        <v>89</v>
      </c>
      <c r="G7" s="54" t="s">
        <v>88</v>
      </c>
      <c r="H7" s="55" t="s">
        <v>89</v>
      </c>
      <c r="I7" s="52" t="s">
        <v>88</v>
      </c>
      <c r="J7" s="53" t="s">
        <v>89</v>
      </c>
      <c r="K7" s="54" t="s">
        <v>88</v>
      </c>
      <c r="L7" s="55" t="s">
        <v>89</v>
      </c>
      <c r="M7" s="52" t="s">
        <v>88</v>
      </c>
      <c r="N7" s="53" t="s">
        <v>89</v>
      </c>
      <c r="O7" s="54" t="s">
        <v>88</v>
      </c>
      <c r="P7" s="55" t="s">
        <v>89</v>
      </c>
      <c r="Q7" s="214"/>
      <c r="R7" s="216"/>
      <c r="T7" s="31"/>
    </row>
    <row r="8" spans="1:20" ht="18.75" customHeight="1">
      <c r="A8" s="32"/>
      <c r="B8" s="217" t="s">
        <v>90</v>
      </c>
      <c r="C8" s="218"/>
      <c r="D8" s="56">
        <v>480</v>
      </c>
      <c r="E8" s="57">
        <v>90</v>
      </c>
      <c r="F8" s="58">
        <v>54</v>
      </c>
      <c r="G8" s="59">
        <v>64</v>
      </c>
      <c r="H8" s="60">
        <v>43</v>
      </c>
      <c r="I8" s="57">
        <v>61</v>
      </c>
      <c r="J8" s="58">
        <v>37</v>
      </c>
      <c r="K8" s="59">
        <v>52</v>
      </c>
      <c r="L8" s="60">
        <v>25</v>
      </c>
      <c r="M8" s="57"/>
      <c r="N8" s="58"/>
      <c r="O8" s="59"/>
      <c r="P8" s="60"/>
      <c r="Q8" s="61">
        <f>E8+G8+I8+K8+M8+O8</f>
        <v>267</v>
      </c>
      <c r="R8" s="62">
        <f>Q8/D8</f>
        <v>0.55625000000000002</v>
      </c>
    </row>
    <row r="9" spans="1:20" ht="18.75" customHeight="1">
      <c r="A9" s="32"/>
      <c r="B9" s="193" t="s">
        <v>91</v>
      </c>
      <c r="C9" s="194"/>
      <c r="D9" s="63">
        <v>880</v>
      </c>
      <c r="E9" s="64">
        <v>76</v>
      </c>
      <c r="F9" s="65">
        <v>44</v>
      </c>
      <c r="G9" s="66">
        <v>41</v>
      </c>
      <c r="H9" s="67">
        <v>24</v>
      </c>
      <c r="I9" s="64">
        <v>34</v>
      </c>
      <c r="J9" s="65">
        <v>23</v>
      </c>
      <c r="K9" s="66">
        <v>18</v>
      </c>
      <c r="L9" s="67">
        <v>7</v>
      </c>
      <c r="M9" s="64"/>
      <c r="N9" s="65"/>
      <c r="O9" s="66"/>
      <c r="P9" s="67"/>
      <c r="Q9" s="68">
        <f t="shared" ref="Q9:Q29" si="0">E9+G9+I9+K9+M9+O9</f>
        <v>169</v>
      </c>
      <c r="R9" s="62">
        <f t="shared" ref="R9:R29" si="1">Q9/D9</f>
        <v>0.19204545454545455</v>
      </c>
    </row>
    <row r="10" spans="1:20" ht="18.75" customHeight="1">
      <c r="A10" s="32"/>
      <c r="B10" s="193" t="s">
        <v>92</v>
      </c>
      <c r="C10" s="194"/>
      <c r="D10" s="63">
        <v>260</v>
      </c>
      <c r="E10" s="64">
        <v>48</v>
      </c>
      <c r="F10" s="65">
        <v>39</v>
      </c>
      <c r="G10" s="66">
        <v>45</v>
      </c>
      <c r="H10" s="67">
        <v>36</v>
      </c>
      <c r="I10" s="64">
        <v>49</v>
      </c>
      <c r="J10" s="65">
        <v>37</v>
      </c>
      <c r="K10" s="66">
        <v>30</v>
      </c>
      <c r="L10" s="67">
        <v>23</v>
      </c>
      <c r="M10" s="64"/>
      <c r="N10" s="65"/>
      <c r="O10" s="66"/>
      <c r="P10" s="67"/>
      <c r="Q10" s="68">
        <f t="shared" si="0"/>
        <v>172</v>
      </c>
      <c r="R10" s="62">
        <f t="shared" si="1"/>
        <v>0.66153846153846152</v>
      </c>
    </row>
    <row r="11" spans="1:20" ht="18.75" customHeight="1">
      <c r="A11" s="32"/>
      <c r="B11" s="193" t="s">
        <v>93</v>
      </c>
      <c r="C11" s="194"/>
      <c r="D11" s="63">
        <v>1340</v>
      </c>
      <c r="E11" s="64">
        <v>42</v>
      </c>
      <c r="F11" s="65">
        <v>28</v>
      </c>
      <c r="G11" s="66">
        <v>49</v>
      </c>
      <c r="H11" s="67">
        <v>26</v>
      </c>
      <c r="I11" s="64">
        <v>33</v>
      </c>
      <c r="J11" s="65">
        <v>22</v>
      </c>
      <c r="K11" s="66">
        <v>15</v>
      </c>
      <c r="L11" s="67">
        <v>6</v>
      </c>
      <c r="M11" s="64"/>
      <c r="N11" s="65"/>
      <c r="O11" s="66"/>
      <c r="P11" s="67"/>
      <c r="Q11" s="68">
        <f t="shared" si="0"/>
        <v>139</v>
      </c>
      <c r="R11" s="62">
        <f t="shared" si="1"/>
        <v>0.10373134328358209</v>
      </c>
    </row>
    <row r="12" spans="1:20" ht="18.75" customHeight="1">
      <c r="A12" s="32"/>
      <c r="B12" s="193" t="s">
        <v>94</v>
      </c>
      <c r="C12" s="194"/>
      <c r="D12" s="63">
        <v>1000</v>
      </c>
      <c r="E12" s="64">
        <v>34</v>
      </c>
      <c r="F12" s="65">
        <v>19</v>
      </c>
      <c r="G12" s="66">
        <v>31</v>
      </c>
      <c r="H12" s="67">
        <v>10</v>
      </c>
      <c r="I12" s="64">
        <v>17</v>
      </c>
      <c r="J12" s="65">
        <v>6</v>
      </c>
      <c r="K12" s="66">
        <v>11</v>
      </c>
      <c r="L12" s="67">
        <v>5</v>
      </c>
      <c r="M12" s="64"/>
      <c r="N12" s="65"/>
      <c r="O12" s="66"/>
      <c r="P12" s="67"/>
      <c r="Q12" s="68">
        <f t="shared" si="0"/>
        <v>93</v>
      </c>
      <c r="R12" s="62">
        <f>Q12/D12</f>
        <v>9.2999999999999999E-2</v>
      </c>
    </row>
    <row r="13" spans="1:20" ht="18.75" customHeight="1">
      <c r="A13" s="32"/>
      <c r="B13" s="193" t="s">
        <v>95</v>
      </c>
      <c r="C13" s="194"/>
      <c r="D13" s="63">
        <v>1244</v>
      </c>
      <c r="E13" s="64">
        <v>263</v>
      </c>
      <c r="F13" s="65">
        <v>182</v>
      </c>
      <c r="G13" s="66">
        <v>192</v>
      </c>
      <c r="H13" s="67">
        <v>104</v>
      </c>
      <c r="I13" s="64">
        <v>205</v>
      </c>
      <c r="J13" s="65">
        <v>115</v>
      </c>
      <c r="K13" s="66">
        <v>179</v>
      </c>
      <c r="L13" s="67">
        <v>85</v>
      </c>
      <c r="M13" s="64"/>
      <c r="N13" s="65"/>
      <c r="O13" s="66"/>
      <c r="P13" s="67"/>
      <c r="Q13" s="68">
        <f t="shared" si="0"/>
        <v>839</v>
      </c>
      <c r="R13" s="62">
        <f t="shared" si="1"/>
        <v>0.67443729903536975</v>
      </c>
    </row>
    <row r="14" spans="1:20" ht="18.75" customHeight="1">
      <c r="A14" s="32"/>
      <c r="B14" s="193" t="s">
        <v>96</v>
      </c>
      <c r="C14" s="194"/>
      <c r="D14" s="63">
        <v>642</v>
      </c>
      <c r="E14" s="64">
        <v>112</v>
      </c>
      <c r="F14" s="65">
        <v>108</v>
      </c>
      <c r="G14" s="66">
        <v>111</v>
      </c>
      <c r="H14" s="67">
        <v>107</v>
      </c>
      <c r="I14" s="64">
        <v>115</v>
      </c>
      <c r="J14" s="65">
        <v>112</v>
      </c>
      <c r="K14" s="66">
        <v>119</v>
      </c>
      <c r="L14" s="67">
        <v>111</v>
      </c>
      <c r="M14" s="64">
        <v>123</v>
      </c>
      <c r="N14" s="65">
        <v>115</v>
      </c>
      <c r="O14" s="66">
        <v>254</v>
      </c>
      <c r="P14" s="67">
        <v>222</v>
      </c>
      <c r="Q14" s="68">
        <f t="shared" si="0"/>
        <v>834</v>
      </c>
      <c r="R14" s="62">
        <f t="shared" si="1"/>
        <v>1.2990654205607477</v>
      </c>
    </row>
    <row r="15" spans="1:20" ht="18.75" customHeight="1">
      <c r="A15" s="32"/>
      <c r="B15" s="193" t="s">
        <v>97</v>
      </c>
      <c r="C15" s="194"/>
      <c r="D15" s="63">
        <v>451</v>
      </c>
      <c r="E15" s="64">
        <v>50</v>
      </c>
      <c r="F15" s="65">
        <v>45</v>
      </c>
      <c r="G15" s="66">
        <v>29</v>
      </c>
      <c r="H15" s="67">
        <v>20</v>
      </c>
      <c r="I15" s="64">
        <v>28</v>
      </c>
      <c r="J15" s="65">
        <v>22</v>
      </c>
      <c r="K15" s="66">
        <v>46</v>
      </c>
      <c r="L15" s="67">
        <v>29</v>
      </c>
      <c r="M15" s="64"/>
      <c r="N15" s="65"/>
      <c r="O15" s="66"/>
      <c r="P15" s="67"/>
      <c r="Q15" s="68">
        <f t="shared" si="0"/>
        <v>153</v>
      </c>
      <c r="R15" s="62">
        <f t="shared" si="1"/>
        <v>0.3392461197339246</v>
      </c>
    </row>
    <row r="16" spans="1:20" ht="18.75" customHeight="1">
      <c r="A16" s="32"/>
      <c r="B16" s="199" t="s">
        <v>98</v>
      </c>
      <c r="C16" s="200"/>
      <c r="D16" s="69">
        <v>380</v>
      </c>
      <c r="E16" s="64">
        <v>85</v>
      </c>
      <c r="F16" s="65">
        <v>46</v>
      </c>
      <c r="G16" s="66">
        <v>38</v>
      </c>
      <c r="H16" s="67">
        <v>26</v>
      </c>
      <c r="I16" s="64">
        <v>86</v>
      </c>
      <c r="J16" s="65">
        <v>68</v>
      </c>
      <c r="K16" s="70"/>
      <c r="L16" s="71"/>
      <c r="M16" s="72"/>
      <c r="N16" s="73"/>
      <c r="O16" s="70"/>
      <c r="P16" s="71"/>
      <c r="Q16" s="74">
        <f t="shared" si="0"/>
        <v>209</v>
      </c>
      <c r="R16" s="75">
        <f t="shared" si="1"/>
        <v>0.55000000000000004</v>
      </c>
    </row>
    <row r="17" spans="1:18" ht="18.75" customHeight="1">
      <c r="A17" s="32"/>
      <c r="B17" s="199" t="s">
        <v>99</v>
      </c>
      <c r="C17" s="200"/>
      <c r="D17" s="69">
        <v>135</v>
      </c>
      <c r="E17" s="72"/>
      <c r="F17" s="73"/>
      <c r="G17" s="70"/>
      <c r="H17" s="71"/>
      <c r="I17" s="72"/>
      <c r="J17" s="73"/>
      <c r="K17" s="66">
        <v>27</v>
      </c>
      <c r="L17" s="67">
        <v>24</v>
      </c>
      <c r="M17" s="64">
        <v>24</v>
      </c>
      <c r="N17" s="65">
        <v>15</v>
      </c>
      <c r="O17" s="66">
        <v>29</v>
      </c>
      <c r="P17" s="67">
        <v>29</v>
      </c>
      <c r="Q17" s="68">
        <f t="shared" si="0"/>
        <v>80</v>
      </c>
      <c r="R17" s="62">
        <f t="shared" si="1"/>
        <v>0.59259259259259256</v>
      </c>
    </row>
    <row r="18" spans="1:18" ht="18.75" customHeight="1">
      <c r="A18" s="32"/>
      <c r="B18" s="199" t="s">
        <v>100</v>
      </c>
      <c r="C18" s="200"/>
      <c r="D18" s="69">
        <v>245</v>
      </c>
      <c r="E18" s="72"/>
      <c r="F18" s="73"/>
      <c r="G18" s="70"/>
      <c r="H18" s="71"/>
      <c r="I18" s="72"/>
      <c r="J18" s="73"/>
      <c r="K18" s="66">
        <v>49</v>
      </c>
      <c r="L18" s="67">
        <v>37</v>
      </c>
      <c r="M18" s="64"/>
      <c r="N18" s="65"/>
      <c r="O18" s="66"/>
      <c r="P18" s="67"/>
      <c r="Q18" s="68">
        <f t="shared" si="0"/>
        <v>49</v>
      </c>
      <c r="R18" s="62">
        <f t="shared" si="1"/>
        <v>0.2</v>
      </c>
    </row>
    <row r="19" spans="1:18" ht="18.75" customHeight="1">
      <c r="A19" s="32"/>
      <c r="B19" s="193" t="s">
        <v>101</v>
      </c>
      <c r="C19" s="194"/>
      <c r="D19" s="63">
        <v>3820</v>
      </c>
      <c r="E19" s="64">
        <v>333</v>
      </c>
      <c r="F19" s="65">
        <v>222</v>
      </c>
      <c r="G19" s="66">
        <v>367</v>
      </c>
      <c r="H19" s="67">
        <v>241</v>
      </c>
      <c r="I19" s="64">
        <v>297</v>
      </c>
      <c r="J19" s="65">
        <v>185</v>
      </c>
      <c r="K19" s="66">
        <v>240</v>
      </c>
      <c r="L19" s="67">
        <v>142</v>
      </c>
      <c r="M19" s="64"/>
      <c r="N19" s="65"/>
      <c r="O19" s="66"/>
      <c r="P19" s="67"/>
      <c r="Q19" s="68">
        <f t="shared" si="0"/>
        <v>1237</v>
      </c>
      <c r="R19" s="62">
        <f t="shared" si="1"/>
        <v>0.32382198952879582</v>
      </c>
    </row>
    <row r="20" spans="1:18" ht="18.75" customHeight="1" thickBot="1">
      <c r="A20" s="32"/>
      <c r="B20" s="193" t="s">
        <v>102</v>
      </c>
      <c r="C20" s="194"/>
      <c r="D20" s="63">
        <v>1200</v>
      </c>
      <c r="E20" s="64">
        <v>44</v>
      </c>
      <c r="F20" s="65">
        <v>28</v>
      </c>
      <c r="G20" s="66">
        <v>37</v>
      </c>
      <c r="H20" s="67">
        <v>20</v>
      </c>
      <c r="I20" s="64">
        <v>23</v>
      </c>
      <c r="J20" s="65">
        <v>10</v>
      </c>
      <c r="K20" s="66">
        <v>11</v>
      </c>
      <c r="L20" s="67">
        <v>6</v>
      </c>
      <c r="M20" s="64"/>
      <c r="N20" s="65"/>
      <c r="O20" s="66"/>
      <c r="P20" s="67"/>
      <c r="Q20" s="68">
        <f t="shared" si="0"/>
        <v>115</v>
      </c>
      <c r="R20" s="62">
        <f t="shared" si="1"/>
        <v>9.583333333333334E-2</v>
      </c>
    </row>
    <row r="21" spans="1:18" ht="18.75" hidden="1" customHeight="1">
      <c r="A21" s="32"/>
      <c r="B21" s="193"/>
      <c r="C21" s="194"/>
      <c r="D21" s="63"/>
      <c r="E21" s="76"/>
      <c r="F21" s="77"/>
      <c r="G21" s="78"/>
      <c r="H21" s="79"/>
      <c r="I21" s="76"/>
      <c r="J21" s="77"/>
      <c r="K21" s="78"/>
      <c r="L21" s="79"/>
      <c r="M21" s="76"/>
      <c r="N21" s="77"/>
      <c r="O21" s="78"/>
      <c r="P21" s="79"/>
      <c r="Q21" s="74">
        <f t="shared" si="0"/>
        <v>0</v>
      </c>
      <c r="R21" s="75" t="e">
        <f t="shared" si="1"/>
        <v>#DIV/0!</v>
      </c>
    </row>
    <row r="22" spans="1:18" ht="18.75" hidden="1" customHeight="1">
      <c r="A22" s="32"/>
      <c r="B22" s="193"/>
      <c r="C22" s="194"/>
      <c r="D22" s="63"/>
      <c r="E22" s="76"/>
      <c r="F22" s="77"/>
      <c r="G22" s="78"/>
      <c r="H22" s="79"/>
      <c r="I22" s="76"/>
      <c r="J22" s="77"/>
      <c r="K22" s="78"/>
      <c r="L22" s="79"/>
      <c r="M22" s="76"/>
      <c r="N22" s="77"/>
      <c r="O22" s="78"/>
      <c r="P22" s="79"/>
      <c r="Q22" s="74">
        <f t="shared" si="0"/>
        <v>0</v>
      </c>
      <c r="R22" s="75" t="e">
        <f t="shared" si="1"/>
        <v>#DIV/0!</v>
      </c>
    </row>
    <row r="23" spans="1:18" ht="18.75" hidden="1" customHeight="1">
      <c r="A23" s="32"/>
      <c r="B23" s="193"/>
      <c r="C23" s="194"/>
      <c r="D23" s="63"/>
      <c r="E23" s="76"/>
      <c r="F23" s="77"/>
      <c r="G23" s="78"/>
      <c r="H23" s="79"/>
      <c r="I23" s="76"/>
      <c r="J23" s="77"/>
      <c r="K23" s="78"/>
      <c r="L23" s="79"/>
      <c r="M23" s="76"/>
      <c r="N23" s="77"/>
      <c r="O23" s="78"/>
      <c r="P23" s="79"/>
      <c r="Q23" s="74">
        <f t="shared" si="0"/>
        <v>0</v>
      </c>
      <c r="R23" s="75" t="e">
        <f t="shared" si="1"/>
        <v>#DIV/0!</v>
      </c>
    </row>
    <row r="24" spans="1:18" ht="18.75" hidden="1" customHeight="1">
      <c r="A24" s="32"/>
      <c r="B24" s="193"/>
      <c r="C24" s="194"/>
      <c r="D24" s="63"/>
      <c r="E24" s="76"/>
      <c r="F24" s="77"/>
      <c r="G24" s="78"/>
      <c r="H24" s="79"/>
      <c r="I24" s="76"/>
      <c r="J24" s="77"/>
      <c r="K24" s="78"/>
      <c r="L24" s="79"/>
      <c r="M24" s="76"/>
      <c r="N24" s="77"/>
      <c r="O24" s="78"/>
      <c r="P24" s="79"/>
      <c r="Q24" s="74">
        <f t="shared" si="0"/>
        <v>0</v>
      </c>
      <c r="R24" s="75" t="e">
        <f t="shared" si="1"/>
        <v>#DIV/0!</v>
      </c>
    </row>
    <row r="25" spans="1:18" ht="18.75" hidden="1" customHeight="1">
      <c r="A25" s="32"/>
      <c r="B25" s="193"/>
      <c r="C25" s="194"/>
      <c r="D25" s="63"/>
      <c r="E25" s="76"/>
      <c r="F25" s="77"/>
      <c r="G25" s="78"/>
      <c r="H25" s="79"/>
      <c r="I25" s="76"/>
      <c r="J25" s="77"/>
      <c r="K25" s="78"/>
      <c r="L25" s="79"/>
      <c r="M25" s="76"/>
      <c r="N25" s="77"/>
      <c r="O25" s="78"/>
      <c r="P25" s="79"/>
      <c r="Q25" s="74">
        <f t="shared" si="0"/>
        <v>0</v>
      </c>
      <c r="R25" s="75" t="e">
        <f t="shared" si="1"/>
        <v>#DIV/0!</v>
      </c>
    </row>
    <row r="26" spans="1:18" ht="18.75" hidden="1" customHeight="1">
      <c r="A26" s="32"/>
      <c r="B26" s="193"/>
      <c r="C26" s="194"/>
      <c r="D26" s="63"/>
      <c r="E26" s="76"/>
      <c r="F26" s="77"/>
      <c r="G26" s="78"/>
      <c r="H26" s="79"/>
      <c r="I26" s="76"/>
      <c r="J26" s="77"/>
      <c r="K26" s="78"/>
      <c r="L26" s="79"/>
      <c r="M26" s="76"/>
      <c r="N26" s="77"/>
      <c r="O26" s="78"/>
      <c r="P26" s="79"/>
      <c r="Q26" s="74">
        <f t="shared" si="0"/>
        <v>0</v>
      </c>
      <c r="R26" s="75" t="e">
        <f t="shared" si="1"/>
        <v>#DIV/0!</v>
      </c>
    </row>
    <row r="27" spans="1:18" ht="18.75" hidden="1" customHeight="1">
      <c r="A27" s="32"/>
      <c r="B27" s="193"/>
      <c r="C27" s="194"/>
      <c r="D27" s="63"/>
      <c r="E27" s="76"/>
      <c r="F27" s="77"/>
      <c r="G27" s="78"/>
      <c r="H27" s="79"/>
      <c r="I27" s="76"/>
      <c r="J27" s="77"/>
      <c r="K27" s="78"/>
      <c r="L27" s="79"/>
      <c r="M27" s="76"/>
      <c r="N27" s="77"/>
      <c r="O27" s="78"/>
      <c r="P27" s="79"/>
      <c r="Q27" s="74">
        <f t="shared" si="0"/>
        <v>0</v>
      </c>
      <c r="R27" s="75" t="e">
        <f t="shared" si="1"/>
        <v>#DIV/0!</v>
      </c>
    </row>
    <row r="28" spans="1:18" ht="18.75" hidden="1" customHeight="1">
      <c r="A28" s="32"/>
      <c r="B28" s="193"/>
      <c r="C28" s="194"/>
      <c r="D28" s="63"/>
      <c r="E28" s="76"/>
      <c r="F28" s="77"/>
      <c r="G28" s="78"/>
      <c r="H28" s="79"/>
      <c r="I28" s="76"/>
      <c r="J28" s="77"/>
      <c r="K28" s="78"/>
      <c r="L28" s="79"/>
      <c r="M28" s="76"/>
      <c r="N28" s="77"/>
      <c r="O28" s="78"/>
      <c r="P28" s="79"/>
      <c r="Q28" s="74">
        <f t="shared" si="0"/>
        <v>0</v>
      </c>
      <c r="R28" s="75" t="e">
        <f t="shared" si="1"/>
        <v>#DIV/0!</v>
      </c>
    </row>
    <row r="29" spans="1:18" ht="18.75" hidden="1" customHeight="1" thickBot="1">
      <c r="A29" s="32"/>
      <c r="B29" s="195"/>
      <c r="C29" s="196"/>
      <c r="D29" s="56"/>
      <c r="E29" s="80"/>
      <c r="F29" s="81"/>
      <c r="G29" s="82"/>
      <c r="H29" s="83"/>
      <c r="I29" s="80"/>
      <c r="J29" s="81"/>
      <c r="K29" s="82"/>
      <c r="L29" s="83"/>
      <c r="M29" s="80"/>
      <c r="N29" s="81"/>
      <c r="O29" s="82"/>
      <c r="P29" s="83"/>
      <c r="Q29" s="74">
        <f t="shared" si="0"/>
        <v>0</v>
      </c>
      <c r="R29" s="75" t="e">
        <f t="shared" si="1"/>
        <v>#DIV/0!</v>
      </c>
    </row>
    <row r="30" spans="1:18" ht="18.75" customHeight="1" thickTop="1">
      <c r="A30" s="32"/>
      <c r="B30" s="197" t="s">
        <v>103</v>
      </c>
      <c r="C30" s="198"/>
      <c r="D30" s="84">
        <v>11697</v>
      </c>
      <c r="E30" s="85">
        <f t="shared" ref="E30:Q30" si="2">SUM(E8:E29)</f>
        <v>1177</v>
      </c>
      <c r="F30" s="86">
        <f t="shared" si="2"/>
        <v>815</v>
      </c>
      <c r="G30" s="87">
        <f t="shared" si="2"/>
        <v>1004</v>
      </c>
      <c r="H30" s="88">
        <f t="shared" si="2"/>
        <v>657</v>
      </c>
      <c r="I30" s="85">
        <f t="shared" si="2"/>
        <v>948</v>
      </c>
      <c r="J30" s="86">
        <f t="shared" si="2"/>
        <v>637</v>
      </c>
      <c r="K30" s="87">
        <f t="shared" si="2"/>
        <v>797</v>
      </c>
      <c r="L30" s="86">
        <f t="shared" si="2"/>
        <v>500</v>
      </c>
      <c r="M30" s="85">
        <f t="shared" si="2"/>
        <v>147</v>
      </c>
      <c r="N30" s="86">
        <f t="shared" si="2"/>
        <v>130</v>
      </c>
      <c r="O30" s="87">
        <f t="shared" si="2"/>
        <v>283</v>
      </c>
      <c r="P30" s="88">
        <f t="shared" si="2"/>
        <v>251</v>
      </c>
      <c r="Q30" s="89">
        <f t="shared" si="2"/>
        <v>4356</v>
      </c>
      <c r="R30" s="90">
        <f>Q30/D30</f>
        <v>0.37240318030264169</v>
      </c>
    </row>
    <row r="31" spans="1:18" ht="6.75" customHeight="1">
      <c r="A31" s="32"/>
      <c r="B31" s="141"/>
      <c r="C31" s="141"/>
      <c r="D31" s="91"/>
      <c r="E31" s="91"/>
      <c r="F31" s="91"/>
      <c r="G31" s="91"/>
      <c r="H31" s="91"/>
      <c r="I31" s="91"/>
      <c r="J31" s="91"/>
      <c r="K31" s="91"/>
      <c r="L31" s="91"/>
      <c r="M31" s="91"/>
      <c r="N31" s="91"/>
      <c r="O31" s="91"/>
      <c r="P31" s="91"/>
      <c r="Q31" s="91"/>
      <c r="R31" s="91"/>
    </row>
    <row r="32" spans="1:18" ht="18.75" customHeight="1">
      <c r="B32" s="13" t="s">
        <v>104</v>
      </c>
      <c r="C32" s="13"/>
      <c r="D32" s="92"/>
      <c r="E32" s="13"/>
      <c r="F32" s="13"/>
      <c r="G32" s="13"/>
      <c r="H32" s="13"/>
      <c r="I32" s="13"/>
      <c r="J32" s="13" t="s">
        <v>105</v>
      </c>
      <c r="K32" s="13"/>
      <c r="L32" s="13"/>
      <c r="M32" s="13"/>
      <c r="N32" s="13"/>
      <c r="O32" s="13"/>
      <c r="P32" s="13"/>
      <c r="Q32" s="13"/>
      <c r="R32" s="13"/>
    </row>
    <row r="33" spans="2:18" ht="18.75" customHeight="1">
      <c r="B33" s="13" t="s">
        <v>106</v>
      </c>
      <c r="C33" s="13"/>
      <c r="D33" s="13"/>
      <c r="E33" s="13"/>
      <c r="F33" s="13"/>
      <c r="G33" s="13"/>
      <c r="H33" s="13"/>
      <c r="I33" s="13"/>
      <c r="J33" s="13" t="s">
        <v>107</v>
      </c>
      <c r="K33" s="13"/>
      <c r="L33" s="13"/>
      <c r="M33" s="13"/>
      <c r="N33" s="13"/>
      <c r="O33" s="13"/>
      <c r="P33" s="13"/>
      <c r="Q33" s="13"/>
      <c r="R33" s="13"/>
    </row>
    <row r="34" spans="2:18" ht="18.75" customHeight="1">
      <c r="B34" s="13" t="s">
        <v>108</v>
      </c>
      <c r="C34" s="13"/>
      <c r="D34" s="13"/>
      <c r="E34" s="13"/>
      <c r="F34" s="13"/>
      <c r="G34" s="13"/>
      <c r="H34" s="13"/>
      <c r="I34" s="13"/>
      <c r="J34" s="13"/>
      <c r="K34" s="13"/>
      <c r="L34" s="13"/>
      <c r="M34" s="13"/>
      <c r="N34" s="13"/>
      <c r="O34" s="13"/>
      <c r="P34" s="13"/>
      <c r="Q34" s="13"/>
      <c r="R34" s="13"/>
    </row>
    <row r="35" spans="2:18" ht="18.75" customHeight="1">
      <c r="B35" s="13" t="s">
        <v>109</v>
      </c>
      <c r="C35" s="13"/>
      <c r="D35" s="13"/>
      <c r="E35" s="13"/>
      <c r="F35" s="13"/>
      <c r="G35" s="13"/>
      <c r="H35" s="13"/>
      <c r="I35" s="13"/>
      <c r="J35" s="13"/>
      <c r="K35" s="13"/>
      <c r="L35" s="13"/>
      <c r="M35" s="13"/>
      <c r="N35" s="13"/>
      <c r="O35" s="13"/>
      <c r="P35" s="13"/>
      <c r="Q35" s="13"/>
      <c r="R35" s="13"/>
    </row>
    <row r="37" spans="2:18" ht="18.75" customHeight="1">
      <c r="B37" s="127" t="s">
        <v>110</v>
      </c>
    </row>
    <row r="38" spans="2:18" ht="18.75" customHeight="1">
      <c r="B38" s="100" t="s">
        <v>111</v>
      </c>
    </row>
  </sheetData>
  <mergeCells count="37">
    <mergeCell ref="B9:C9"/>
    <mergeCell ref="F1:R1"/>
    <mergeCell ref="K2:L2"/>
    <mergeCell ref="M2:N2"/>
    <mergeCell ref="A4:R4"/>
    <mergeCell ref="B6:C7"/>
    <mergeCell ref="D6:D7"/>
    <mergeCell ref="E6:F6"/>
    <mergeCell ref="G6:H6"/>
    <mergeCell ref="I6:J6"/>
    <mergeCell ref="K6:L6"/>
    <mergeCell ref="M6:N6"/>
    <mergeCell ref="O6:P6"/>
    <mergeCell ref="Q6:Q7"/>
    <mergeCell ref="R6:R7"/>
    <mergeCell ref="B8:C8"/>
    <mergeCell ref="B21:C21"/>
    <mergeCell ref="B10:C10"/>
    <mergeCell ref="B11:C11"/>
    <mergeCell ref="B12:C12"/>
    <mergeCell ref="B13:C13"/>
    <mergeCell ref="B14:C14"/>
    <mergeCell ref="B15:C15"/>
    <mergeCell ref="B16:C16"/>
    <mergeCell ref="B17:C17"/>
    <mergeCell ref="B18:C18"/>
    <mergeCell ref="B19:C19"/>
    <mergeCell ref="B20:C20"/>
    <mergeCell ref="B28:C28"/>
    <mergeCell ref="B29:C29"/>
    <mergeCell ref="B30:C30"/>
    <mergeCell ref="B22:C22"/>
    <mergeCell ref="B23:C23"/>
    <mergeCell ref="B24:C24"/>
    <mergeCell ref="B25:C25"/>
    <mergeCell ref="B26:C26"/>
    <mergeCell ref="B27:C27"/>
  </mergeCells>
  <phoneticPr fontId="2"/>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150"/>
  <sheetViews>
    <sheetView view="pageBreakPreview" topLeftCell="C134" zoomScaleNormal="100" zoomScaleSheetLayoutView="100" workbookViewId="0">
      <selection activeCell="B141" sqref="B141:G144"/>
    </sheetView>
  </sheetViews>
  <sheetFormatPr defaultColWidth="9" defaultRowHeight="14.25"/>
  <cols>
    <col min="1" max="1" width="2.5" style="51" customWidth="1"/>
    <col min="2" max="2" width="19" style="51" customWidth="1"/>
    <col min="3" max="3" width="25" style="51" customWidth="1"/>
    <col min="4" max="4" width="10" style="51" customWidth="1"/>
    <col min="5" max="7" width="25" style="51" customWidth="1"/>
    <col min="8" max="16384" width="9" style="51"/>
  </cols>
  <sheetData>
    <row r="1" spans="1:9" ht="18.75" customHeight="1">
      <c r="G1" s="142" t="s">
        <v>112</v>
      </c>
    </row>
    <row r="2" spans="1:9" ht="18.75" customHeight="1">
      <c r="F2" s="142" t="s">
        <v>66</v>
      </c>
      <c r="G2" s="51" t="s">
        <v>113</v>
      </c>
    </row>
    <row r="3" spans="1:9" ht="18.75" customHeight="1">
      <c r="A3" s="219" t="s">
        <v>114</v>
      </c>
      <c r="B3" s="219"/>
      <c r="C3" s="219"/>
      <c r="D3" s="219"/>
      <c r="E3" s="219"/>
      <c r="F3" s="219"/>
      <c r="G3" s="219"/>
    </row>
    <row r="4" spans="1:9" ht="18.75" customHeight="1">
      <c r="A4" s="51" t="s">
        <v>2</v>
      </c>
      <c r="B4" s="51" t="s">
        <v>115</v>
      </c>
    </row>
    <row r="5" spans="1:9" s="103" customFormat="1" ht="18.75" customHeight="1">
      <c r="A5" s="146"/>
      <c r="B5" s="102" t="s">
        <v>116</v>
      </c>
      <c r="C5" s="220" t="s">
        <v>117</v>
      </c>
      <c r="D5" s="221"/>
      <c r="E5" s="221"/>
      <c r="F5" s="221"/>
      <c r="G5" s="222"/>
      <c r="H5" s="146"/>
      <c r="I5" s="146"/>
    </row>
    <row r="6" spans="1:9" s="103" customFormat="1" ht="45" customHeight="1">
      <c r="A6" s="146"/>
      <c r="B6" s="232" t="s">
        <v>118</v>
      </c>
      <c r="C6" s="223" t="s">
        <v>119</v>
      </c>
      <c r="D6" s="224"/>
      <c r="E6" s="224"/>
      <c r="F6" s="224"/>
      <c r="G6" s="225"/>
      <c r="H6" s="146"/>
      <c r="I6" s="146"/>
    </row>
    <row r="7" spans="1:9" s="103" customFormat="1" ht="45" customHeight="1">
      <c r="A7" s="146"/>
      <c r="B7" s="233"/>
      <c r="C7" s="226"/>
      <c r="D7" s="227"/>
      <c r="E7" s="227"/>
      <c r="F7" s="227"/>
      <c r="G7" s="228"/>
      <c r="H7" s="146"/>
      <c r="I7" s="38" t="s">
        <v>120</v>
      </c>
    </row>
    <row r="8" spans="1:9" s="103" customFormat="1" ht="54.75" customHeight="1">
      <c r="A8" s="146"/>
      <c r="B8" s="233"/>
      <c r="C8" s="226"/>
      <c r="D8" s="227"/>
      <c r="E8" s="227"/>
      <c r="F8" s="227"/>
      <c r="G8" s="228"/>
      <c r="H8" s="146"/>
      <c r="I8" s="38" t="s">
        <v>121</v>
      </c>
    </row>
    <row r="9" spans="1:9" s="103" customFormat="1" ht="66" customHeight="1">
      <c r="A9" s="146"/>
      <c r="B9" s="233"/>
      <c r="C9" s="229"/>
      <c r="D9" s="230"/>
      <c r="E9" s="230"/>
      <c r="F9" s="230"/>
      <c r="G9" s="231"/>
      <c r="H9" s="146"/>
      <c r="I9" s="38" t="s">
        <v>122</v>
      </c>
    </row>
    <row r="10" spans="1:9" s="103" customFormat="1" ht="18.75" customHeight="1">
      <c r="A10" s="146"/>
      <c r="B10" s="233"/>
      <c r="C10" s="50"/>
      <c r="D10" s="262" t="s">
        <v>123</v>
      </c>
      <c r="E10" s="263"/>
      <c r="F10" s="263"/>
      <c r="G10" s="264"/>
      <c r="H10" s="146"/>
      <c r="I10" s="146"/>
    </row>
    <row r="11" spans="1:9" s="103" customFormat="1" ht="18.75" customHeight="1">
      <c r="A11" s="146"/>
      <c r="B11" s="233"/>
      <c r="C11" s="136" t="s">
        <v>16</v>
      </c>
      <c r="D11" s="159" t="s">
        <v>124</v>
      </c>
      <c r="E11" s="160"/>
      <c r="F11" s="160"/>
      <c r="G11" s="161"/>
      <c r="H11" s="146"/>
      <c r="I11" s="146"/>
    </row>
    <row r="12" spans="1:9" s="103" customFormat="1" ht="18.75" customHeight="1">
      <c r="A12" s="146"/>
      <c r="B12" s="233"/>
      <c r="C12" s="145"/>
      <c r="D12" s="265"/>
      <c r="E12" s="266"/>
      <c r="F12" s="266"/>
      <c r="G12" s="267"/>
      <c r="H12" s="146"/>
      <c r="I12" s="38" t="s">
        <v>125</v>
      </c>
    </row>
    <row r="13" spans="1:9" s="103" customFormat="1" ht="18.75" customHeight="1">
      <c r="A13" s="146"/>
      <c r="B13" s="233"/>
      <c r="C13" s="145"/>
      <c r="D13" s="265"/>
      <c r="E13" s="266"/>
      <c r="F13" s="266"/>
      <c r="G13" s="267"/>
      <c r="H13" s="146"/>
      <c r="I13" s="38" t="s">
        <v>126</v>
      </c>
    </row>
    <row r="14" spans="1:9" s="103" customFormat="1" ht="18.75" customHeight="1">
      <c r="A14" s="146"/>
      <c r="B14" s="233"/>
      <c r="C14" s="145"/>
      <c r="D14" s="265"/>
      <c r="E14" s="266"/>
      <c r="F14" s="266"/>
      <c r="G14" s="267"/>
      <c r="H14" s="146"/>
      <c r="I14" s="38" t="s">
        <v>127</v>
      </c>
    </row>
    <row r="15" spans="1:9" s="103" customFormat="1" ht="18.75" customHeight="1">
      <c r="A15" s="146"/>
      <c r="B15" s="233"/>
      <c r="C15" s="102"/>
      <c r="D15" s="220"/>
      <c r="E15" s="221"/>
      <c r="F15" s="221"/>
      <c r="G15" s="222"/>
      <c r="H15" s="146"/>
      <c r="I15" s="146"/>
    </row>
    <row r="16" spans="1:9" s="103" customFormat="1" ht="18.75" customHeight="1">
      <c r="A16" s="146"/>
      <c r="B16" s="233"/>
      <c r="C16" s="102"/>
      <c r="D16" s="220"/>
      <c r="E16" s="221"/>
      <c r="F16" s="221"/>
      <c r="G16" s="222"/>
      <c r="H16" s="146"/>
      <c r="I16" s="146"/>
    </row>
    <row r="17" spans="2:7" s="103" customFormat="1" ht="18.75" customHeight="1">
      <c r="B17" s="233"/>
      <c r="C17" s="102"/>
      <c r="D17" s="220"/>
      <c r="E17" s="221"/>
      <c r="F17" s="221"/>
      <c r="G17" s="222"/>
    </row>
    <row r="18" spans="2:7" s="103" customFormat="1" ht="18.75" customHeight="1">
      <c r="B18" s="233"/>
      <c r="C18" s="102"/>
      <c r="D18" s="220"/>
      <c r="E18" s="221"/>
      <c r="F18" s="221"/>
      <c r="G18" s="222"/>
    </row>
    <row r="19" spans="2:7" s="103" customFormat="1" ht="18.75" customHeight="1">
      <c r="B19" s="233"/>
      <c r="C19" s="102"/>
      <c r="D19" s="220"/>
      <c r="E19" s="221"/>
      <c r="F19" s="221"/>
      <c r="G19" s="222"/>
    </row>
    <row r="20" spans="2:7" s="103" customFormat="1" ht="18.75" customHeight="1">
      <c r="B20" s="233"/>
      <c r="C20" s="102"/>
      <c r="D20" s="220"/>
      <c r="E20" s="221"/>
      <c r="F20" s="221"/>
      <c r="G20" s="222"/>
    </row>
    <row r="21" spans="2:7" s="103" customFormat="1" ht="18.75" customHeight="1">
      <c r="B21" s="233"/>
      <c r="C21" s="102"/>
      <c r="D21" s="220"/>
      <c r="E21" s="221"/>
      <c r="F21" s="221"/>
      <c r="G21" s="222"/>
    </row>
    <row r="22" spans="2:7" s="103" customFormat="1" ht="18.75" customHeight="1">
      <c r="B22" s="233"/>
      <c r="C22" s="102"/>
      <c r="D22" s="220"/>
      <c r="E22" s="221"/>
      <c r="F22" s="221"/>
      <c r="G22" s="222"/>
    </row>
    <row r="23" spans="2:7" s="103" customFormat="1" ht="18.75" customHeight="1">
      <c r="B23" s="233"/>
      <c r="C23" s="102"/>
      <c r="D23" s="220"/>
      <c r="E23" s="221"/>
      <c r="F23" s="221"/>
      <c r="G23" s="222"/>
    </row>
    <row r="24" spans="2:7" s="103" customFormat="1" ht="18.75" customHeight="1">
      <c r="B24" s="233"/>
      <c r="C24" s="102"/>
      <c r="D24" s="220"/>
      <c r="E24" s="221"/>
      <c r="F24" s="221"/>
      <c r="G24" s="222"/>
    </row>
    <row r="25" spans="2:7" s="103" customFormat="1" ht="18.75" customHeight="1">
      <c r="B25" s="233"/>
      <c r="C25" s="102"/>
      <c r="D25" s="220"/>
      <c r="E25" s="221"/>
      <c r="F25" s="221"/>
      <c r="G25" s="222"/>
    </row>
    <row r="26" spans="2:7" ht="18.75" customHeight="1">
      <c r="B26" s="234" t="s">
        <v>128</v>
      </c>
      <c r="C26" s="165" t="s">
        <v>117</v>
      </c>
      <c r="D26" s="166"/>
      <c r="E26" s="166"/>
      <c r="F26" s="166"/>
      <c r="G26" s="167"/>
    </row>
    <row r="27" spans="2:7" ht="37.5" customHeight="1">
      <c r="B27" s="235"/>
      <c r="C27" s="237" t="s">
        <v>129</v>
      </c>
      <c r="D27" s="238"/>
      <c r="E27" s="238"/>
      <c r="F27" s="238"/>
      <c r="G27" s="239"/>
    </row>
    <row r="28" spans="2:7" ht="37.5" customHeight="1">
      <c r="B28" s="235"/>
      <c r="C28" s="240"/>
      <c r="D28" s="241"/>
      <c r="E28" s="241"/>
      <c r="F28" s="241"/>
      <c r="G28" s="242"/>
    </row>
    <row r="29" spans="2:7" ht="37.5" customHeight="1">
      <c r="B29" s="235"/>
      <c r="C29" s="240"/>
      <c r="D29" s="241"/>
      <c r="E29" s="241"/>
      <c r="F29" s="241"/>
      <c r="G29" s="242"/>
    </row>
    <row r="30" spans="2:7" ht="37.5" customHeight="1">
      <c r="B30" s="235"/>
      <c r="C30" s="240"/>
      <c r="D30" s="241"/>
      <c r="E30" s="241"/>
      <c r="F30" s="241"/>
      <c r="G30" s="242"/>
    </row>
    <row r="31" spans="2:7" ht="37.5" customHeight="1">
      <c r="B31" s="235"/>
      <c r="C31" s="243"/>
      <c r="D31" s="244"/>
      <c r="E31" s="244"/>
      <c r="F31" s="244"/>
      <c r="G31" s="245"/>
    </row>
    <row r="32" spans="2:7" ht="18.75" customHeight="1">
      <c r="B32" s="235"/>
      <c r="C32" s="144" t="s">
        <v>130</v>
      </c>
      <c r="D32" s="165" t="s">
        <v>123</v>
      </c>
      <c r="E32" s="166"/>
      <c r="F32" s="166"/>
      <c r="G32" s="167"/>
    </row>
    <row r="33" spans="2:7" ht="18.75" customHeight="1">
      <c r="B33" s="235"/>
      <c r="C33" s="136" t="s">
        <v>131</v>
      </c>
      <c r="D33" s="159" t="s">
        <v>124</v>
      </c>
      <c r="E33" s="160"/>
      <c r="F33" s="160"/>
      <c r="G33" s="161"/>
    </row>
    <row r="34" spans="2:7" ht="18.75" customHeight="1">
      <c r="B34" s="235"/>
      <c r="C34" s="140"/>
      <c r="D34" s="159"/>
      <c r="E34" s="160"/>
      <c r="F34" s="160"/>
      <c r="G34" s="161"/>
    </row>
    <row r="35" spans="2:7" ht="18.75" customHeight="1">
      <c r="B35" s="235"/>
      <c r="C35" s="140"/>
      <c r="D35" s="159"/>
      <c r="E35" s="160"/>
      <c r="F35" s="160"/>
      <c r="G35" s="161"/>
    </row>
    <row r="36" spans="2:7" ht="18.75" customHeight="1">
      <c r="B36" s="235"/>
      <c r="C36" s="140"/>
      <c r="D36" s="159"/>
      <c r="E36" s="160"/>
      <c r="F36" s="160"/>
      <c r="G36" s="161"/>
    </row>
    <row r="37" spans="2:7" ht="18.75" customHeight="1">
      <c r="B37" s="235"/>
      <c r="C37" s="140"/>
      <c r="D37" s="159"/>
      <c r="E37" s="160"/>
      <c r="F37" s="160"/>
      <c r="G37" s="161"/>
    </row>
    <row r="38" spans="2:7" ht="18.75" customHeight="1">
      <c r="B38" s="235"/>
      <c r="C38" s="140"/>
      <c r="D38" s="159"/>
      <c r="E38" s="160"/>
      <c r="F38" s="160"/>
      <c r="G38" s="161"/>
    </row>
    <row r="39" spans="2:7" ht="18.75" customHeight="1">
      <c r="B39" s="235"/>
      <c r="C39" s="140"/>
      <c r="D39" s="159"/>
      <c r="E39" s="160"/>
      <c r="F39" s="160"/>
      <c r="G39" s="161"/>
    </row>
    <row r="40" spans="2:7" ht="18.75" customHeight="1">
      <c r="B40" s="235"/>
      <c r="C40" s="140"/>
      <c r="D40" s="159"/>
      <c r="E40" s="160"/>
      <c r="F40" s="160"/>
      <c r="G40" s="161"/>
    </row>
    <row r="41" spans="2:7" ht="18.75" customHeight="1">
      <c r="B41" s="235"/>
      <c r="C41" s="140"/>
      <c r="D41" s="159"/>
      <c r="E41" s="160"/>
      <c r="F41" s="160"/>
      <c r="G41" s="161"/>
    </row>
    <row r="42" spans="2:7" ht="18.75" customHeight="1">
      <c r="B42" s="235"/>
      <c r="C42" s="140"/>
      <c r="D42" s="159"/>
      <c r="E42" s="160"/>
      <c r="F42" s="160"/>
      <c r="G42" s="161"/>
    </row>
    <row r="43" spans="2:7" ht="18.75" customHeight="1">
      <c r="B43" s="235"/>
      <c r="C43" s="140"/>
      <c r="D43" s="159"/>
      <c r="E43" s="160"/>
      <c r="F43" s="160"/>
      <c r="G43" s="161"/>
    </row>
    <row r="44" spans="2:7" ht="18.75" customHeight="1">
      <c r="B44" s="235"/>
      <c r="C44" s="140"/>
      <c r="D44" s="159"/>
      <c r="E44" s="160"/>
      <c r="F44" s="160"/>
      <c r="G44" s="161"/>
    </row>
    <row r="45" spans="2:7" ht="18.75" customHeight="1">
      <c r="B45" s="235"/>
      <c r="C45" s="140"/>
      <c r="D45" s="159"/>
      <c r="E45" s="160"/>
      <c r="F45" s="160"/>
      <c r="G45" s="161"/>
    </row>
    <row r="46" spans="2:7" ht="18.75" customHeight="1">
      <c r="B46" s="235"/>
      <c r="C46" s="140"/>
      <c r="D46" s="159"/>
      <c r="E46" s="160"/>
      <c r="F46" s="160"/>
      <c r="G46" s="161"/>
    </row>
    <row r="47" spans="2:7" ht="18.75" customHeight="1">
      <c r="B47" s="235"/>
      <c r="C47" s="140"/>
      <c r="D47" s="159"/>
      <c r="E47" s="160"/>
      <c r="F47" s="160"/>
      <c r="G47" s="161"/>
    </row>
    <row r="48" spans="2:7" ht="18.75" customHeight="1">
      <c r="B48" s="235"/>
      <c r="C48" s="140"/>
      <c r="D48" s="159"/>
      <c r="E48" s="160"/>
      <c r="F48" s="160"/>
      <c r="G48" s="161"/>
    </row>
    <row r="49" spans="2:7" ht="18.75" customHeight="1">
      <c r="B49" s="235"/>
      <c r="C49" s="140"/>
      <c r="D49" s="159"/>
      <c r="E49" s="160"/>
      <c r="F49" s="160"/>
      <c r="G49" s="161"/>
    </row>
    <row r="50" spans="2:7" ht="18.75" customHeight="1">
      <c r="B50" s="236"/>
      <c r="C50" s="140"/>
      <c r="D50" s="159"/>
      <c r="E50" s="160"/>
      <c r="F50" s="160"/>
      <c r="G50" s="161"/>
    </row>
    <row r="51" spans="2:7" ht="18.75" customHeight="1">
      <c r="B51" s="234" t="s">
        <v>132</v>
      </c>
      <c r="C51" s="165" t="s">
        <v>117</v>
      </c>
      <c r="D51" s="166"/>
      <c r="E51" s="166"/>
      <c r="F51" s="166"/>
      <c r="G51" s="167"/>
    </row>
    <row r="52" spans="2:7" ht="37.5" customHeight="1">
      <c r="B52" s="235"/>
      <c r="C52" s="237" t="s">
        <v>133</v>
      </c>
      <c r="D52" s="238"/>
      <c r="E52" s="238"/>
      <c r="F52" s="238"/>
      <c r="G52" s="239"/>
    </row>
    <row r="53" spans="2:7" ht="37.5" customHeight="1">
      <c r="B53" s="235"/>
      <c r="C53" s="240"/>
      <c r="D53" s="241"/>
      <c r="E53" s="241"/>
      <c r="F53" s="241"/>
      <c r="G53" s="242"/>
    </row>
    <row r="54" spans="2:7" ht="37.5" customHeight="1">
      <c r="B54" s="235"/>
      <c r="C54" s="240"/>
      <c r="D54" s="241"/>
      <c r="E54" s="241"/>
      <c r="F54" s="241"/>
      <c r="G54" s="242"/>
    </row>
    <row r="55" spans="2:7" ht="37.5" customHeight="1">
      <c r="B55" s="235"/>
      <c r="C55" s="240"/>
      <c r="D55" s="241"/>
      <c r="E55" s="241"/>
      <c r="F55" s="241"/>
      <c r="G55" s="242"/>
    </row>
    <row r="56" spans="2:7" ht="37.5" customHeight="1">
      <c r="B56" s="235"/>
      <c r="C56" s="243"/>
      <c r="D56" s="244"/>
      <c r="E56" s="244"/>
      <c r="F56" s="244"/>
      <c r="G56" s="245"/>
    </row>
    <row r="57" spans="2:7" ht="18.75" customHeight="1">
      <c r="B57" s="235"/>
      <c r="C57" s="144" t="s">
        <v>130</v>
      </c>
      <c r="D57" s="165" t="s">
        <v>123</v>
      </c>
      <c r="E57" s="166"/>
      <c r="F57" s="166"/>
      <c r="G57" s="167"/>
    </row>
    <row r="58" spans="2:7" ht="18.75" customHeight="1">
      <c r="B58" s="235"/>
      <c r="C58" s="136" t="s">
        <v>131</v>
      </c>
      <c r="D58" s="268" t="s">
        <v>124</v>
      </c>
      <c r="E58" s="160"/>
      <c r="F58" s="160"/>
      <c r="G58" s="161"/>
    </row>
    <row r="59" spans="2:7" ht="18.75" customHeight="1">
      <c r="B59" s="235"/>
      <c r="C59" s="140"/>
      <c r="D59" s="159"/>
      <c r="E59" s="160"/>
      <c r="F59" s="160"/>
      <c r="G59" s="161"/>
    </row>
    <row r="60" spans="2:7" ht="18.75" customHeight="1">
      <c r="B60" s="235"/>
      <c r="C60" s="140"/>
      <c r="D60" s="159"/>
      <c r="E60" s="160"/>
      <c r="F60" s="160"/>
      <c r="G60" s="161"/>
    </row>
    <row r="61" spans="2:7" ht="18.75" customHeight="1">
      <c r="B61" s="235"/>
      <c r="C61" s="140"/>
      <c r="D61" s="159"/>
      <c r="E61" s="160"/>
      <c r="F61" s="160"/>
      <c r="G61" s="161"/>
    </row>
    <row r="62" spans="2:7" ht="18.75" customHeight="1">
      <c r="B62" s="235"/>
      <c r="C62" s="140"/>
      <c r="D62" s="159"/>
      <c r="E62" s="160"/>
      <c r="F62" s="160"/>
      <c r="G62" s="161"/>
    </row>
    <row r="63" spans="2:7" ht="18.75" customHeight="1">
      <c r="B63" s="235"/>
      <c r="C63" s="140"/>
      <c r="D63" s="159"/>
      <c r="E63" s="160"/>
      <c r="F63" s="160"/>
      <c r="G63" s="161"/>
    </row>
    <row r="64" spans="2:7" ht="18.75" customHeight="1">
      <c r="B64" s="235"/>
      <c r="C64" s="140"/>
      <c r="D64" s="159"/>
      <c r="E64" s="160"/>
      <c r="F64" s="160"/>
      <c r="G64" s="161"/>
    </row>
    <row r="65" spans="2:7" ht="18.75" customHeight="1">
      <c r="B65" s="235"/>
      <c r="C65" s="140"/>
      <c r="D65" s="159"/>
      <c r="E65" s="160"/>
      <c r="F65" s="160"/>
      <c r="G65" s="161"/>
    </row>
    <row r="66" spans="2:7" ht="18.75" customHeight="1">
      <c r="B66" s="235"/>
      <c r="C66" s="140"/>
      <c r="D66" s="159"/>
      <c r="E66" s="160"/>
      <c r="F66" s="160"/>
      <c r="G66" s="161"/>
    </row>
    <row r="67" spans="2:7" ht="18.75" customHeight="1">
      <c r="B67" s="235"/>
      <c r="C67" s="140"/>
      <c r="D67" s="159"/>
      <c r="E67" s="160"/>
      <c r="F67" s="160"/>
      <c r="G67" s="161"/>
    </row>
    <row r="68" spans="2:7" ht="18.75" customHeight="1">
      <c r="B68" s="235"/>
      <c r="C68" s="140"/>
      <c r="D68" s="159"/>
      <c r="E68" s="160"/>
      <c r="F68" s="160"/>
      <c r="G68" s="161"/>
    </row>
    <row r="69" spans="2:7" ht="18.75" customHeight="1">
      <c r="B69" s="235"/>
      <c r="C69" s="140"/>
      <c r="D69" s="159"/>
      <c r="E69" s="160"/>
      <c r="F69" s="160"/>
      <c r="G69" s="161"/>
    </row>
    <row r="70" spans="2:7" ht="18.75" customHeight="1">
      <c r="B70" s="235"/>
      <c r="C70" s="140"/>
      <c r="D70" s="159"/>
      <c r="E70" s="160"/>
      <c r="F70" s="160"/>
      <c r="G70" s="161"/>
    </row>
    <row r="71" spans="2:7" ht="18.75" customHeight="1">
      <c r="B71" s="235"/>
      <c r="C71" s="140"/>
      <c r="D71" s="159"/>
      <c r="E71" s="160"/>
      <c r="F71" s="160"/>
      <c r="G71" s="161"/>
    </row>
    <row r="72" spans="2:7" ht="18.75" customHeight="1">
      <c r="B72" s="235"/>
      <c r="C72" s="140"/>
      <c r="D72" s="159"/>
      <c r="E72" s="160"/>
      <c r="F72" s="160"/>
      <c r="G72" s="161"/>
    </row>
    <row r="73" spans="2:7" ht="18.75" customHeight="1">
      <c r="B73" s="235"/>
      <c r="C73" s="140"/>
      <c r="D73" s="159"/>
      <c r="E73" s="160"/>
      <c r="F73" s="160"/>
      <c r="G73" s="161"/>
    </row>
    <row r="74" spans="2:7" ht="18.75" customHeight="1">
      <c r="B74" s="235"/>
      <c r="C74" s="140"/>
      <c r="D74" s="159"/>
      <c r="E74" s="160"/>
      <c r="F74" s="160"/>
      <c r="G74" s="161"/>
    </row>
    <row r="75" spans="2:7" ht="18.75" customHeight="1">
      <c r="B75" s="235"/>
      <c r="C75" s="140"/>
      <c r="D75" s="159"/>
      <c r="E75" s="160"/>
      <c r="F75" s="160"/>
      <c r="G75" s="161"/>
    </row>
    <row r="76" spans="2:7" ht="18.75" customHeight="1">
      <c r="B76" s="234" t="s">
        <v>134</v>
      </c>
      <c r="C76" s="165" t="s">
        <v>117</v>
      </c>
      <c r="D76" s="166"/>
      <c r="E76" s="166"/>
      <c r="F76" s="166"/>
      <c r="G76" s="167"/>
    </row>
    <row r="77" spans="2:7" ht="37.5" customHeight="1">
      <c r="B77" s="235"/>
      <c r="C77" s="237" t="s">
        <v>135</v>
      </c>
      <c r="D77" s="238"/>
      <c r="E77" s="238"/>
      <c r="F77" s="238"/>
      <c r="G77" s="239"/>
    </row>
    <row r="78" spans="2:7" ht="37.5" customHeight="1">
      <c r="B78" s="235"/>
      <c r="C78" s="240"/>
      <c r="D78" s="241"/>
      <c r="E78" s="241"/>
      <c r="F78" s="241"/>
      <c r="G78" s="242"/>
    </row>
    <row r="79" spans="2:7" ht="37.5" customHeight="1">
      <c r="B79" s="235"/>
      <c r="C79" s="240"/>
      <c r="D79" s="241"/>
      <c r="E79" s="241"/>
      <c r="F79" s="241"/>
      <c r="G79" s="242"/>
    </row>
    <row r="80" spans="2:7" ht="37.5" customHeight="1">
      <c r="B80" s="235"/>
      <c r="C80" s="240"/>
      <c r="D80" s="241"/>
      <c r="E80" s="241"/>
      <c r="F80" s="241"/>
      <c r="G80" s="242"/>
    </row>
    <row r="81" spans="2:7" ht="37.5" customHeight="1">
      <c r="B81" s="235"/>
      <c r="C81" s="243"/>
      <c r="D81" s="244"/>
      <c r="E81" s="244"/>
      <c r="F81" s="244"/>
      <c r="G81" s="245"/>
    </row>
    <row r="82" spans="2:7" ht="18.75" customHeight="1">
      <c r="B82" s="235"/>
      <c r="C82" s="144" t="s">
        <v>130</v>
      </c>
      <c r="D82" s="165" t="s">
        <v>123</v>
      </c>
      <c r="E82" s="166"/>
      <c r="F82" s="166"/>
      <c r="G82" s="167"/>
    </row>
    <row r="83" spans="2:7" ht="18.75" customHeight="1">
      <c r="B83" s="235"/>
      <c r="C83" s="136" t="s">
        <v>131</v>
      </c>
      <c r="D83" s="159" t="s">
        <v>124</v>
      </c>
      <c r="E83" s="160"/>
      <c r="F83" s="160"/>
      <c r="G83" s="161"/>
    </row>
    <row r="84" spans="2:7" ht="18.75" customHeight="1">
      <c r="B84" s="235"/>
      <c r="C84" s="140"/>
      <c r="D84" s="159"/>
      <c r="E84" s="160"/>
      <c r="F84" s="160"/>
      <c r="G84" s="161"/>
    </row>
    <row r="85" spans="2:7" ht="18.75" customHeight="1">
      <c r="B85" s="235"/>
      <c r="C85" s="140"/>
      <c r="D85" s="159"/>
      <c r="E85" s="160"/>
      <c r="F85" s="160"/>
      <c r="G85" s="161"/>
    </row>
    <row r="86" spans="2:7" ht="18.75" customHeight="1">
      <c r="B86" s="235"/>
      <c r="C86" s="140"/>
      <c r="D86" s="159"/>
      <c r="E86" s="160"/>
      <c r="F86" s="160"/>
      <c r="G86" s="161"/>
    </row>
    <row r="87" spans="2:7" ht="18.75" customHeight="1">
      <c r="B87" s="235"/>
      <c r="C87" s="140"/>
      <c r="D87" s="159"/>
      <c r="E87" s="160"/>
      <c r="F87" s="160"/>
      <c r="G87" s="161"/>
    </row>
    <row r="88" spans="2:7" ht="18.75" customHeight="1">
      <c r="B88" s="235"/>
      <c r="C88" s="140"/>
      <c r="D88" s="159"/>
      <c r="E88" s="160"/>
      <c r="F88" s="160"/>
      <c r="G88" s="161"/>
    </row>
    <row r="89" spans="2:7" ht="18.75" customHeight="1">
      <c r="B89" s="235"/>
      <c r="C89" s="140"/>
      <c r="D89" s="159"/>
      <c r="E89" s="160"/>
      <c r="F89" s="160"/>
      <c r="G89" s="161"/>
    </row>
    <row r="90" spans="2:7" ht="18.75" customHeight="1">
      <c r="B90" s="235"/>
      <c r="C90" s="140"/>
      <c r="D90" s="159"/>
      <c r="E90" s="160"/>
      <c r="F90" s="160"/>
      <c r="G90" s="161"/>
    </row>
    <row r="91" spans="2:7" ht="18.75" customHeight="1">
      <c r="B91" s="235"/>
      <c r="C91" s="140"/>
      <c r="D91" s="159"/>
      <c r="E91" s="160"/>
      <c r="F91" s="160"/>
      <c r="G91" s="161"/>
    </row>
    <row r="92" spans="2:7" ht="18.75" customHeight="1">
      <c r="B92" s="235"/>
      <c r="C92" s="140"/>
      <c r="D92" s="159"/>
      <c r="E92" s="160"/>
      <c r="F92" s="160"/>
      <c r="G92" s="161"/>
    </row>
    <row r="93" spans="2:7" ht="18.75" customHeight="1">
      <c r="B93" s="235"/>
      <c r="C93" s="140"/>
      <c r="D93" s="159"/>
      <c r="E93" s="160"/>
      <c r="F93" s="160"/>
      <c r="G93" s="161"/>
    </row>
    <row r="94" spans="2:7" ht="18.75" customHeight="1">
      <c r="B94" s="235"/>
      <c r="C94" s="140"/>
      <c r="D94" s="159"/>
      <c r="E94" s="160"/>
      <c r="F94" s="160"/>
      <c r="G94" s="161"/>
    </row>
    <row r="95" spans="2:7" ht="18.75" customHeight="1">
      <c r="B95" s="235"/>
      <c r="C95" s="140"/>
      <c r="D95" s="159"/>
      <c r="E95" s="160"/>
      <c r="F95" s="160"/>
      <c r="G95" s="161"/>
    </row>
    <row r="96" spans="2:7" ht="18.75" customHeight="1">
      <c r="B96" s="235"/>
      <c r="C96" s="140"/>
      <c r="D96" s="159"/>
      <c r="E96" s="160"/>
      <c r="F96" s="160"/>
      <c r="G96" s="161"/>
    </row>
    <row r="97" spans="2:7" ht="18.75" customHeight="1">
      <c r="B97" s="235"/>
      <c r="C97" s="140"/>
      <c r="D97" s="159"/>
      <c r="E97" s="160"/>
      <c r="F97" s="160"/>
      <c r="G97" s="161"/>
    </row>
    <row r="98" spans="2:7" ht="18.75" customHeight="1">
      <c r="B98" s="235"/>
      <c r="C98" s="140"/>
      <c r="D98" s="159"/>
      <c r="E98" s="160"/>
      <c r="F98" s="160"/>
      <c r="G98" s="161"/>
    </row>
    <row r="99" spans="2:7" ht="18.75" customHeight="1">
      <c r="B99" s="235"/>
      <c r="C99" s="140"/>
      <c r="D99" s="159"/>
      <c r="E99" s="160"/>
      <c r="F99" s="160"/>
      <c r="G99" s="161"/>
    </row>
    <row r="100" spans="2:7" ht="18.75" customHeight="1">
      <c r="B100" s="235"/>
      <c r="C100" s="140"/>
      <c r="D100" s="159"/>
      <c r="E100" s="160"/>
      <c r="F100" s="160"/>
      <c r="G100" s="161"/>
    </row>
    <row r="101" spans="2:7" ht="18.75" customHeight="1">
      <c r="B101" s="234" t="s">
        <v>136</v>
      </c>
      <c r="C101" s="165" t="s">
        <v>117</v>
      </c>
      <c r="D101" s="166"/>
      <c r="E101" s="166"/>
      <c r="F101" s="166"/>
      <c r="G101" s="167"/>
    </row>
    <row r="102" spans="2:7" ht="37.5" customHeight="1">
      <c r="B102" s="235"/>
      <c r="C102" s="237" t="s">
        <v>137</v>
      </c>
      <c r="D102" s="238"/>
      <c r="E102" s="238"/>
      <c r="F102" s="238"/>
      <c r="G102" s="239"/>
    </row>
    <row r="103" spans="2:7" ht="37.5" customHeight="1">
      <c r="B103" s="235"/>
      <c r="C103" s="240"/>
      <c r="D103" s="241"/>
      <c r="E103" s="241"/>
      <c r="F103" s="241"/>
      <c r="G103" s="242"/>
    </row>
    <row r="104" spans="2:7" ht="37.5" customHeight="1">
      <c r="B104" s="235"/>
      <c r="C104" s="240"/>
      <c r="D104" s="241"/>
      <c r="E104" s="241"/>
      <c r="F104" s="241"/>
      <c r="G104" s="242"/>
    </row>
    <row r="105" spans="2:7" ht="37.5" customHeight="1">
      <c r="B105" s="235"/>
      <c r="C105" s="240"/>
      <c r="D105" s="241"/>
      <c r="E105" s="241"/>
      <c r="F105" s="241"/>
      <c r="G105" s="242"/>
    </row>
    <row r="106" spans="2:7" ht="37.5" customHeight="1">
      <c r="B106" s="235"/>
      <c r="C106" s="243"/>
      <c r="D106" s="244"/>
      <c r="E106" s="244"/>
      <c r="F106" s="244"/>
      <c r="G106" s="245"/>
    </row>
    <row r="107" spans="2:7" ht="18.75" customHeight="1">
      <c r="B107" s="235"/>
      <c r="C107" s="144"/>
      <c r="D107" s="165" t="s">
        <v>123</v>
      </c>
      <c r="E107" s="166"/>
      <c r="F107" s="166"/>
      <c r="G107" s="167"/>
    </row>
    <row r="108" spans="2:7" ht="68.099999999999994" customHeight="1">
      <c r="B108" s="235"/>
      <c r="C108" s="136" t="s">
        <v>131</v>
      </c>
      <c r="D108" s="259" t="s">
        <v>138</v>
      </c>
      <c r="E108" s="260"/>
      <c r="F108" s="260"/>
      <c r="G108" s="261"/>
    </row>
    <row r="109" spans="2:7" ht="18.75" customHeight="1">
      <c r="B109" s="235"/>
      <c r="C109" s="140"/>
      <c r="D109" s="159"/>
      <c r="E109" s="160"/>
      <c r="F109" s="160"/>
      <c r="G109" s="161"/>
    </row>
    <row r="110" spans="2:7" ht="18.75" customHeight="1">
      <c r="B110" s="235"/>
      <c r="C110" s="140"/>
      <c r="D110" s="159"/>
      <c r="E110" s="160"/>
      <c r="F110" s="160"/>
      <c r="G110" s="161"/>
    </row>
    <row r="111" spans="2:7" ht="18.75" customHeight="1">
      <c r="B111" s="235"/>
      <c r="C111" s="140"/>
      <c r="D111" s="159"/>
      <c r="E111" s="160"/>
      <c r="F111" s="160"/>
      <c r="G111" s="161"/>
    </row>
    <row r="112" spans="2:7" ht="18.75" customHeight="1">
      <c r="B112" s="235"/>
      <c r="C112" s="140"/>
      <c r="D112" s="159"/>
      <c r="E112" s="160"/>
      <c r="F112" s="160"/>
      <c r="G112" s="161"/>
    </row>
    <row r="113" spans="1:7" ht="18.75" customHeight="1">
      <c r="B113" s="235"/>
      <c r="C113" s="140"/>
      <c r="D113" s="159"/>
      <c r="E113" s="160"/>
      <c r="F113" s="160"/>
      <c r="G113" s="161"/>
    </row>
    <row r="114" spans="1:7" ht="18.75" customHeight="1">
      <c r="B114" s="235"/>
      <c r="C114" s="140"/>
      <c r="D114" s="165"/>
      <c r="E114" s="166"/>
      <c r="F114" s="166"/>
      <c r="G114" s="167"/>
    </row>
    <row r="115" spans="1:7" ht="18.75" customHeight="1">
      <c r="B115" s="235"/>
      <c r="C115" s="140"/>
      <c r="D115" s="159"/>
      <c r="E115" s="160"/>
      <c r="F115" s="160"/>
      <c r="G115" s="161"/>
    </row>
    <row r="116" spans="1:7" ht="18.75" customHeight="1">
      <c r="B116" s="235"/>
      <c r="C116" s="140"/>
      <c r="D116" s="159"/>
      <c r="E116" s="160"/>
      <c r="F116" s="160"/>
      <c r="G116" s="161"/>
    </row>
    <row r="117" spans="1:7" ht="18.75" customHeight="1">
      <c r="B117" s="235"/>
      <c r="C117" s="140"/>
      <c r="D117" s="159"/>
      <c r="E117" s="160"/>
      <c r="F117" s="160"/>
      <c r="G117" s="161"/>
    </row>
    <row r="118" spans="1:7" ht="18.75" customHeight="1">
      <c r="B118" s="235"/>
      <c r="C118" s="140"/>
      <c r="D118" s="159"/>
      <c r="E118" s="160"/>
      <c r="F118" s="160"/>
      <c r="G118" s="161"/>
    </row>
    <row r="119" spans="1:7" ht="18.75" customHeight="1">
      <c r="B119" s="235"/>
      <c r="C119" s="140"/>
      <c r="D119" s="159"/>
      <c r="E119" s="160"/>
      <c r="F119" s="160"/>
      <c r="G119" s="161"/>
    </row>
    <row r="120" spans="1:7" ht="18.75" customHeight="1">
      <c r="B120" s="235"/>
      <c r="C120" s="140"/>
      <c r="D120" s="159"/>
      <c r="E120" s="160"/>
      <c r="F120" s="160"/>
      <c r="G120" s="161"/>
    </row>
    <row r="121" spans="1:7" ht="18.75" customHeight="1">
      <c r="B121" s="235"/>
      <c r="C121" s="140"/>
      <c r="D121" s="159"/>
      <c r="E121" s="160"/>
      <c r="F121" s="160"/>
      <c r="G121" s="161"/>
    </row>
    <row r="122" spans="1:7" ht="18.75" customHeight="1">
      <c r="B122" s="235"/>
      <c r="C122" s="140"/>
      <c r="D122" s="159"/>
      <c r="E122" s="160"/>
      <c r="F122" s="160"/>
      <c r="G122" s="161"/>
    </row>
    <row r="123" spans="1:7" ht="18.75" customHeight="1">
      <c r="B123" s="235"/>
      <c r="C123" s="140"/>
      <c r="D123" s="159"/>
      <c r="E123" s="160"/>
      <c r="F123" s="160"/>
      <c r="G123" s="161"/>
    </row>
    <row r="124" spans="1:7" ht="18.75" customHeight="1">
      <c r="B124" s="235"/>
      <c r="C124" s="140"/>
      <c r="D124" s="159"/>
      <c r="E124" s="160"/>
      <c r="F124" s="160"/>
      <c r="G124" s="161"/>
    </row>
    <row r="125" spans="1:7" ht="18.75" customHeight="1">
      <c r="B125" s="235"/>
      <c r="C125" s="140"/>
      <c r="D125" s="159"/>
      <c r="E125" s="160"/>
      <c r="F125" s="160"/>
      <c r="G125" s="161"/>
    </row>
    <row r="126" spans="1:7" ht="18.75" customHeight="1">
      <c r="A126" s="51" t="s">
        <v>5</v>
      </c>
      <c r="B126" s="13" t="s">
        <v>139</v>
      </c>
      <c r="C126" s="13"/>
      <c r="D126" s="13"/>
      <c r="E126" s="13"/>
      <c r="F126" s="13"/>
      <c r="G126" s="13"/>
    </row>
    <row r="127" spans="1:7" ht="22.5" customHeight="1">
      <c r="B127" s="140" t="s">
        <v>116</v>
      </c>
      <c r="C127" s="165" t="s">
        <v>73</v>
      </c>
      <c r="D127" s="166"/>
      <c r="E127" s="166"/>
      <c r="F127" s="166"/>
      <c r="G127" s="167"/>
    </row>
    <row r="128" spans="1:7" ht="45" customHeight="1">
      <c r="B128" s="104" t="s">
        <v>140</v>
      </c>
      <c r="C128" s="258" t="s">
        <v>131</v>
      </c>
      <c r="D128" s="178"/>
      <c r="E128" s="178"/>
      <c r="F128" s="178"/>
      <c r="G128" s="179"/>
    </row>
    <row r="129" spans="1:7" ht="45" customHeight="1">
      <c r="B129" s="104" t="s">
        <v>141</v>
      </c>
      <c r="C129" s="177"/>
      <c r="D129" s="178"/>
      <c r="E129" s="178"/>
      <c r="F129" s="178"/>
      <c r="G129" s="179"/>
    </row>
    <row r="130" spans="1:7" ht="45" customHeight="1">
      <c r="B130" s="104" t="s">
        <v>142</v>
      </c>
      <c r="C130" s="177"/>
      <c r="D130" s="178"/>
      <c r="E130" s="178"/>
      <c r="F130" s="178"/>
      <c r="G130" s="179"/>
    </row>
    <row r="131" spans="1:7" ht="45" customHeight="1">
      <c r="B131" s="104" t="s">
        <v>143</v>
      </c>
      <c r="C131" s="177"/>
      <c r="D131" s="178"/>
      <c r="E131" s="178"/>
      <c r="F131" s="178"/>
      <c r="G131" s="179"/>
    </row>
    <row r="132" spans="1:7" ht="45" customHeight="1">
      <c r="B132" s="104" t="s">
        <v>144</v>
      </c>
      <c r="C132" s="177"/>
      <c r="D132" s="178"/>
      <c r="E132" s="178"/>
      <c r="F132" s="178"/>
      <c r="G132" s="179"/>
    </row>
    <row r="133" spans="1:7" ht="45" customHeight="1">
      <c r="B133" s="104" t="s">
        <v>145</v>
      </c>
      <c r="C133" s="177"/>
      <c r="D133" s="178"/>
      <c r="E133" s="178"/>
      <c r="F133" s="178"/>
      <c r="G133" s="179"/>
    </row>
    <row r="134" spans="1:7" ht="45" customHeight="1">
      <c r="B134" s="104" t="s">
        <v>146</v>
      </c>
      <c r="C134" s="177"/>
      <c r="D134" s="178"/>
      <c r="E134" s="178"/>
      <c r="F134" s="178"/>
      <c r="G134" s="179"/>
    </row>
    <row r="135" spans="1:7" ht="45" customHeight="1">
      <c r="B135" s="104" t="s">
        <v>147</v>
      </c>
      <c r="C135" s="177"/>
      <c r="D135" s="178"/>
      <c r="E135" s="178"/>
      <c r="F135" s="178"/>
      <c r="G135" s="179"/>
    </row>
    <row r="136" spans="1:7" ht="45" customHeight="1">
      <c r="B136" s="104" t="s">
        <v>148</v>
      </c>
      <c r="C136" s="177"/>
      <c r="D136" s="178"/>
      <c r="E136" s="178"/>
      <c r="F136" s="178"/>
      <c r="G136" s="179"/>
    </row>
    <row r="137" spans="1:7" ht="7.5" customHeight="1">
      <c r="B137" s="13"/>
      <c r="C137" s="13"/>
      <c r="D137" s="13"/>
      <c r="E137" s="13"/>
      <c r="F137" s="13"/>
      <c r="G137" s="13"/>
    </row>
    <row r="138" spans="1:7" ht="18.75" customHeight="1">
      <c r="A138" s="51" t="s">
        <v>8</v>
      </c>
      <c r="B138" s="13" t="s">
        <v>149</v>
      </c>
      <c r="C138" s="13"/>
      <c r="D138" s="13"/>
      <c r="E138" s="255" t="s">
        <v>150</v>
      </c>
      <c r="F138" s="256"/>
      <c r="G138" s="257"/>
    </row>
    <row r="139" spans="1:7" ht="7.5" customHeight="1">
      <c r="B139" s="13"/>
      <c r="C139" s="13"/>
      <c r="D139" s="13"/>
      <c r="E139" s="13"/>
      <c r="F139" s="13"/>
      <c r="G139" s="13"/>
    </row>
    <row r="140" spans="1:7" ht="18.75" customHeight="1">
      <c r="A140" s="51" t="s">
        <v>11</v>
      </c>
      <c r="B140" s="13" t="s">
        <v>151</v>
      </c>
      <c r="C140" s="13"/>
      <c r="D140" s="13"/>
      <c r="E140" s="13"/>
      <c r="F140" s="13"/>
      <c r="G140" s="13"/>
    </row>
    <row r="141" spans="1:7" ht="18.75" customHeight="1">
      <c r="B141" s="246" t="s">
        <v>152</v>
      </c>
      <c r="C141" s="247"/>
      <c r="D141" s="247"/>
      <c r="E141" s="247"/>
      <c r="F141" s="247"/>
      <c r="G141" s="248"/>
    </row>
    <row r="142" spans="1:7" ht="18.75" customHeight="1">
      <c r="B142" s="249"/>
      <c r="C142" s="250"/>
      <c r="D142" s="250"/>
      <c r="E142" s="250"/>
      <c r="F142" s="250"/>
      <c r="G142" s="251"/>
    </row>
    <row r="143" spans="1:7" ht="18.75" customHeight="1">
      <c r="B143" s="249"/>
      <c r="C143" s="250"/>
      <c r="D143" s="250"/>
      <c r="E143" s="250"/>
      <c r="F143" s="250"/>
      <c r="G143" s="251"/>
    </row>
    <row r="144" spans="1:7" ht="18.75" customHeight="1">
      <c r="B144" s="252"/>
      <c r="C144" s="253"/>
      <c r="D144" s="253"/>
      <c r="E144" s="253"/>
      <c r="F144" s="253"/>
      <c r="G144" s="254"/>
    </row>
    <row r="145" spans="2:7" ht="18.75" customHeight="1">
      <c r="B145" s="13"/>
      <c r="C145" s="13"/>
      <c r="D145" s="13"/>
      <c r="E145" s="13"/>
      <c r="F145" s="13"/>
      <c r="G145" s="13"/>
    </row>
    <row r="146" spans="2:7" ht="18.75" customHeight="1"/>
    <row r="147" spans="2:7" ht="18.75" customHeight="1"/>
    <row r="148" spans="2:7" ht="18.75" customHeight="1"/>
    <row r="149" spans="2:7" ht="18.75" customHeight="1"/>
    <row r="150" spans="2:7" ht="18.75" customHeight="1"/>
  </sheetData>
  <mergeCells count="120">
    <mergeCell ref="B76:B100"/>
    <mergeCell ref="C76:G76"/>
    <mergeCell ref="C77:G81"/>
    <mergeCell ref="D82:G82"/>
    <mergeCell ref="D100:G100"/>
    <mergeCell ref="D59:G59"/>
    <mergeCell ref="D33:G33"/>
    <mergeCell ref="D42:G42"/>
    <mergeCell ref="D43:G43"/>
    <mergeCell ref="D44:G44"/>
    <mergeCell ref="D45:G45"/>
    <mergeCell ref="D41:G41"/>
    <mergeCell ref="D89:G89"/>
    <mergeCell ref="D90:G90"/>
    <mergeCell ref="D98:G98"/>
    <mergeCell ref="D85:G85"/>
    <mergeCell ref="D86:G86"/>
    <mergeCell ref="D87:G87"/>
    <mergeCell ref="D88:G88"/>
    <mergeCell ref="D91:G91"/>
    <mergeCell ref="D92:G92"/>
    <mergeCell ref="D93:G93"/>
    <mergeCell ref="D94:G94"/>
    <mergeCell ref="D75:G75"/>
    <mergeCell ref="D121:G121"/>
    <mergeCell ref="D97:G97"/>
    <mergeCell ref="D10:G10"/>
    <mergeCell ref="D11:G11"/>
    <mergeCell ref="D12:G12"/>
    <mergeCell ref="D13:G13"/>
    <mergeCell ref="D14:G14"/>
    <mergeCell ref="D25:G25"/>
    <mergeCell ref="D24:G24"/>
    <mergeCell ref="D17:G17"/>
    <mergeCell ref="D32:G32"/>
    <mergeCell ref="D18:G18"/>
    <mergeCell ref="D15:G15"/>
    <mergeCell ref="D16:G16"/>
    <mergeCell ref="D22:G22"/>
    <mergeCell ref="D23:G23"/>
    <mergeCell ref="D19:G19"/>
    <mergeCell ref="D20:G20"/>
    <mergeCell ref="D21:G21"/>
    <mergeCell ref="D58:G58"/>
    <mergeCell ref="D70:G70"/>
    <mergeCell ref="D71:G71"/>
    <mergeCell ref="D95:G95"/>
    <mergeCell ref="D96:G96"/>
    <mergeCell ref="B101:B125"/>
    <mergeCell ref="C101:G101"/>
    <mergeCell ref="C102:G106"/>
    <mergeCell ref="D107:G107"/>
    <mergeCell ref="D125:G125"/>
    <mergeCell ref="D46:G46"/>
    <mergeCell ref="D47:G47"/>
    <mergeCell ref="D48:G48"/>
    <mergeCell ref="D49:G49"/>
    <mergeCell ref="D50:G50"/>
    <mergeCell ref="B51:B75"/>
    <mergeCell ref="C51:G51"/>
    <mergeCell ref="C52:G56"/>
    <mergeCell ref="D57:G57"/>
    <mergeCell ref="D74:G74"/>
    <mergeCell ref="D122:G122"/>
    <mergeCell ref="D114:G114"/>
    <mergeCell ref="D110:G110"/>
    <mergeCell ref="D111:G111"/>
    <mergeCell ref="D112:G112"/>
    <mergeCell ref="D113:G113"/>
    <mergeCell ref="D115:G115"/>
    <mergeCell ref="D108:G108"/>
    <mergeCell ref="D99:G99"/>
    <mergeCell ref="D40:G40"/>
    <mergeCell ref="D66:G66"/>
    <mergeCell ref="D67:G67"/>
    <mergeCell ref="D68:G68"/>
    <mergeCell ref="D69:G69"/>
    <mergeCell ref="B141:G144"/>
    <mergeCell ref="E138:G138"/>
    <mergeCell ref="C127:G127"/>
    <mergeCell ref="C133:G133"/>
    <mergeCell ref="C134:G134"/>
    <mergeCell ref="C135:G135"/>
    <mergeCell ref="C136:G136"/>
    <mergeCell ref="C128:G128"/>
    <mergeCell ref="C129:G129"/>
    <mergeCell ref="C130:G130"/>
    <mergeCell ref="C131:G131"/>
    <mergeCell ref="C132:G132"/>
    <mergeCell ref="D124:G124"/>
    <mergeCell ref="D120:G120"/>
    <mergeCell ref="D123:G123"/>
    <mergeCell ref="D116:G116"/>
    <mergeCell ref="D117:G117"/>
    <mergeCell ref="D118:G118"/>
    <mergeCell ref="D119:G119"/>
    <mergeCell ref="D109:G109"/>
    <mergeCell ref="A3:G3"/>
    <mergeCell ref="C5:G5"/>
    <mergeCell ref="C6:G9"/>
    <mergeCell ref="B6:B25"/>
    <mergeCell ref="B26:B50"/>
    <mergeCell ref="C26:G26"/>
    <mergeCell ref="C27:G31"/>
    <mergeCell ref="D83:G83"/>
    <mergeCell ref="D84:G84"/>
    <mergeCell ref="D60:G60"/>
    <mergeCell ref="D61:G61"/>
    <mergeCell ref="D62:G62"/>
    <mergeCell ref="D63:G63"/>
    <mergeCell ref="D64:G64"/>
    <mergeCell ref="D65:G65"/>
    <mergeCell ref="D73:G73"/>
    <mergeCell ref="D72:G72"/>
    <mergeCell ref="D34:G34"/>
    <mergeCell ref="D35:G35"/>
    <mergeCell ref="D36:G36"/>
    <mergeCell ref="D37:G37"/>
    <mergeCell ref="D38:G38"/>
    <mergeCell ref="D39:G39"/>
  </mergeCells>
  <phoneticPr fontId="2"/>
  <hyperlinks>
    <hyperlink ref="E138" r:id="rId1" xr:uid="{00000000-0004-0000-0300-000000000000}"/>
  </hyperlinks>
  <printOptions horizontalCentered="1"/>
  <pageMargins left="0.78740157480314965" right="0.78740157480314965" top="0.39370078740157483" bottom="0.19685039370078741" header="0.31496062992125984" footer="0.31496062992125984"/>
  <pageSetup paperSize="9" scale="49" fitToHeight="2" orientation="portrait" r:id="rId2"/>
  <rowBreaks count="1" manualBreakCount="1">
    <brk id="75"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G148"/>
  <sheetViews>
    <sheetView showZeros="0" topLeftCell="A10" zoomScaleNormal="100" workbookViewId="0">
      <selection activeCell="H19" sqref="H19"/>
    </sheetView>
  </sheetViews>
  <sheetFormatPr defaultColWidth="11.375" defaultRowHeight="18.75" customHeight="1"/>
  <cols>
    <col min="1" max="1" width="2.625" style="1" customWidth="1"/>
    <col min="2" max="2" width="54.125" style="12" customWidth="1"/>
    <col min="3" max="3" width="1.125" style="12" customWidth="1"/>
    <col min="4" max="4" width="22.5" style="12" customWidth="1"/>
    <col min="5" max="5" width="6.125" style="12" customWidth="1"/>
    <col min="6" max="16384" width="11.375" style="51"/>
  </cols>
  <sheetData>
    <row r="1" spans="1:7" ht="18.75" customHeight="1">
      <c r="E1" s="137" t="s">
        <v>153</v>
      </c>
    </row>
    <row r="2" spans="1:7" ht="18.75" customHeight="1">
      <c r="B2" s="137" t="s">
        <v>154</v>
      </c>
      <c r="C2" s="137" t="s">
        <v>155</v>
      </c>
      <c r="D2" s="289" t="s">
        <v>113</v>
      </c>
      <c r="E2" s="289"/>
    </row>
    <row r="3" spans="1:7" ht="7.5" customHeight="1">
      <c r="B3" s="137"/>
      <c r="C3" s="137"/>
      <c r="D3" s="121"/>
      <c r="E3" s="121"/>
    </row>
    <row r="4" spans="1:7" ht="18.75" customHeight="1">
      <c r="B4" s="176" t="s">
        <v>156</v>
      </c>
      <c r="C4" s="176"/>
      <c r="D4" s="176"/>
      <c r="E4" s="176"/>
    </row>
    <row r="5" spans="1:7" ht="7.5" customHeight="1">
      <c r="B5" s="139"/>
      <c r="C5" s="139"/>
      <c r="D5" s="139"/>
      <c r="E5" s="139"/>
    </row>
    <row r="6" spans="1:7" ht="18.75" customHeight="1">
      <c r="A6" s="107" t="s">
        <v>2</v>
      </c>
      <c r="B6" s="14" t="s">
        <v>157</v>
      </c>
      <c r="C6" s="139"/>
      <c r="D6" s="139"/>
      <c r="E6" s="139"/>
    </row>
    <row r="7" spans="1:7" ht="18.75" customHeight="1">
      <c r="A7" s="107"/>
      <c r="B7" s="177" t="s">
        <v>158</v>
      </c>
      <c r="C7" s="178"/>
      <c r="D7" s="178"/>
      <c r="E7" s="179"/>
      <c r="F7" s="39" t="s">
        <v>159</v>
      </c>
      <c r="G7" s="36" t="s">
        <v>160</v>
      </c>
    </row>
    <row r="8" spans="1:7" ht="7.5" customHeight="1">
      <c r="B8" s="139"/>
      <c r="C8" s="139"/>
      <c r="D8" s="139"/>
      <c r="E8" s="139"/>
    </row>
    <row r="9" spans="1:7" s="3" customFormat="1" ht="18.75" customHeight="1">
      <c r="A9" s="107" t="s">
        <v>5</v>
      </c>
      <c r="B9" s="122" t="s">
        <v>161</v>
      </c>
      <c r="C9" s="122"/>
      <c r="D9" s="122"/>
      <c r="E9" s="122"/>
    </row>
    <row r="10" spans="1:7" s="6" customFormat="1" ht="18.75" customHeight="1">
      <c r="A10" s="5"/>
      <c r="B10" s="269" t="s">
        <v>162</v>
      </c>
      <c r="C10" s="247"/>
      <c r="D10" s="247"/>
      <c r="E10" s="248"/>
    </row>
    <row r="11" spans="1:7" s="6" customFormat="1" ht="18.75" customHeight="1">
      <c r="A11" s="5"/>
      <c r="B11" s="249"/>
      <c r="C11" s="250"/>
      <c r="D11" s="250"/>
      <c r="E11" s="251"/>
      <c r="F11" s="39" t="s">
        <v>159</v>
      </c>
    </row>
    <row r="12" spans="1:7" s="6" customFormat="1" ht="18.75" customHeight="1">
      <c r="A12" s="5"/>
      <c r="B12" s="249"/>
      <c r="C12" s="250"/>
      <c r="D12" s="250"/>
      <c r="E12" s="251"/>
      <c r="F12" s="36" t="s">
        <v>163</v>
      </c>
    </row>
    <row r="13" spans="1:7" s="6" customFormat="1" ht="18.75" customHeight="1">
      <c r="A13" s="5"/>
      <c r="B13" s="249"/>
      <c r="C13" s="250"/>
      <c r="D13" s="250"/>
      <c r="E13" s="251"/>
      <c r="F13" s="36" t="s">
        <v>164</v>
      </c>
    </row>
    <row r="14" spans="1:7" s="6" customFormat="1" ht="66.95" customHeight="1">
      <c r="A14" s="5"/>
      <c r="B14" s="252"/>
      <c r="C14" s="253"/>
      <c r="D14" s="253"/>
      <c r="E14" s="254"/>
      <c r="F14" s="36" t="s">
        <v>165</v>
      </c>
    </row>
    <row r="15" spans="1:7" s="6" customFormat="1" ht="7.5" customHeight="1">
      <c r="A15" s="5"/>
      <c r="B15" s="101"/>
      <c r="C15" s="101"/>
      <c r="D15" s="101"/>
      <c r="E15" s="101"/>
    </row>
    <row r="16" spans="1:7" s="3" customFormat="1" ht="18.75" customHeight="1">
      <c r="A16" s="7" t="s">
        <v>8</v>
      </c>
      <c r="B16" s="105" t="s">
        <v>166</v>
      </c>
      <c r="C16" s="105"/>
      <c r="D16" s="105"/>
      <c r="E16" s="105"/>
    </row>
    <row r="17" spans="1:5" s="6" customFormat="1" ht="18.75" customHeight="1">
      <c r="A17" s="5"/>
      <c r="B17" s="269" t="s">
        <v>167</v>
      </c>
      <c r="C17" s="247"/>
      <c r="D17" s="247"/>
      <c r="E17" s="248"/>
    </row>
    <row r="18" spans="1:5" s="6" customFormat="1" ht="18.75" customHeight="1">
      <c r="A18" s="5"/>
      <c r="B18" s="249"/>
      <c r="C18" s="250"/>
      <c r="D18" s="250"/>
      <c r="E18" s="251"/>
    </row>
    <row r="19" spans="1:5" s="6" customFormat="1" ht="18.75" customHeight="1">
      <c r="A19" s="5"/>
      <c r="B19" s="249"/>
      <c r="C19" s="250"/>
      <c r="D19" s="250"/>
      <c r="E19" s="251"/>
    </row>
    <row r="20" spans="1:5" s="6" customFormat="1" ht="18.75" customHeight="1">
      <c r="A20" s="5"/>
      <c r="B20" s="249"/>
      <c r="C20" s="250"/>
      <c r="D20" s="250"/>
      <c r="E20" s="251"/>
    </row>
    <row r="21" spans="1:5" s="6" customFormat="1" ht="18.75" customHeight="1">
      <c r="A21" s="5"/>
      <c r="B21" s="249"/>
      <c r="C21" s="250"/>
      <c r="D21" s="250"/>
      <c r="E21" s="251"/>
    </row>
    <row r="22" spans="1:5" s="6" customFormat="1" ht="18.75" customHeight="1">
      <c r="A22" s="5"/>
      <c r="B22" s="249"/>
      <c r="C22" s="250"/>
      <c r="D22" s="250"/>
      <c r="E22" s="251"/>
    </row>
    <row r="23" spans="1:5" s="6" customFormat="1" ht="18.75" customHeight="1">
      <c r="A23" s="5"/>
      <c r="B23" s="249"/>
      <c r="C23" s="250"/>
      <c r="D23" s="250"/>
      <c r="E23" s="251"/>
    </row>
    <row r="24" spans="1:5" s="6" customFormat="1" ht="18.75" customHeight="1">
      <c r="A24" s="5"/>
      <c r="B24" s="249"/>
      <c r="C24" s="250"/>
      <c r="D24" s="250"/>
      <c r="E24" s="251"/>
    </row>
    <row r="25" spans="1:5" s="6" customFormat="1" ht="18.75" customHeight="1">
      <c r="A25" s="5"/>
      <c r="B25" s="249"/>
      <c r="C25" s="250"/>
      <c r="D25" s="250"/>
      <c r="E25" s="251"/>
    </row>
    <row r="26" spans="1:5" s="6" customFormat="1" ht="18.75" customHeight="1">
      <c r="A26" s="5"/>
      <c r="B26" s="249"/>
      <c r="C26" s="250"/>
      <c r="D26" s="250"/>
      <c r="E26" s="251"/>
    </row>
    <row r="27" spans="1:5" s="6" customFormat="1" ht="18.75" customHeight="1">
      <c r="A27" s="5"/>
      <c r="B27" s="249"/>
      <c r="C27" s="250"/>
      <c r="D27" s="250"/>
      <c r="E27" s="251"/>
    </row>
    <row r="28" spans="1:5" s="6" customFormat="1" ht="275.10000000000002" customHeight="1">
      <c r="A28" s="5"/>
      <c r="B28" s="252"/>
      <c r="C28" s="253"/>
      <c r="D28" s="253"/>
      <c r="E28" s="254"/>
    </row>
    <row r="29" spans="1:5" ht="7.5" customHeight="1">
      <c r="A29" s="4"/>
      <c r="B29" s="123"/>
      <c r="C29" s="123"/>
      <c r="D29" s="123"/>
      <c r="E29" s="123"/>
    </row>
    <row r="30" spans="1:5" s="3" customFormat="1" ht="18.75" customHeight="1">
      <c r="A30" s="107" t="s">
        <v>11</v>
      </c>
      <c r="B30" s="122" t="s">
        <v>168</v>
      </c>
      <c r="C30" s="122"/>
      <c r="D30" s="122"/>
      <c r="E30" s="122"/>
    </row>
    <row r="31" spans="1:5" s="3" customFormat="1" ht="18.75" customHeight="1">
      <c r="A31" s="107"/>
      <c r="B31" s="280" t="s">
        <v>169</v>
      </c>
      <c r="C31" s="281"/>
      <c r="D31" s="281"/>
      <c r="E31" s="282"/>
    </row>
    <row r="32" spans="1:5" s="3" customFormat="1" ht="18.75" customHeight="1">
      <c r="A32" s="107"/>
      <c r="B32" s="283"/>
      <c r="C32" s="284"/>
      <c r="D32" s="284"/>
      <c r="E32" s="285"/>
    </row>
    <row r="33" spans="1:6" s="3" customFormat="1" ht="18.75" customHeight="1">
      <c r="A33" s="107"/>
      <c r="B33" s="283"/>
      <c r="C33" s="284"/>
      <c r="D33" s="284"/>
      <c r="E33" s="285"/>
      <c r="F33" s="40" t="s">
        <v>159</v>
      </c>
    </row>
    <row r="34" spans="1:6" s="3" customFormat="1" ht="18.75" customHeight="1">
      <c r="A34" s="107"/>
      <c r="B34" s="283"/>
      <c r="C34" s="284"/>
      <c r="D34" s="284"/>
      <c r="E34" s="285"/>
      <c r="F34" s="36" t="s">
        <v>170</v>
      </c>
    </row>
    <row r="35" spans="1:6" s="3" customFormat="1" ht="18.75" customHeight="1">
      <c r="A35" s="107"/>
      <c r="B35" s="283"/>
      <c r="C35" s="284"/>
      <c r="D35" s="284"/>
      <c r="E35" s="285"/>
      <c r="F35" s="36" t="s">
        <v>171</v>
      </c>
    </row>
    <row r="36" spans="1:6" s="3" customFormat="1" ht="18.75" customHeight="1">
      <c r="A36" s="107"/>
      <c r="B36" s="283"/>
      <c r="C36" s="284"/>
      <c r="D36" s="284"/>
      <c r="E36" s="285"/>
      <c r="F36" s="36" t="s">
        <v>172</v>
      </c>
    </row>
    <row r="37" spans="1:6" s="3" customFormat="1" ht="18.75" customHeight="1">
      <c r="A37" s="107"/>
      <c r="B37" s="283"/>
      <c r="C37" s="284"/>
      <c r="D37" s="284"/>
      <c r="E37" s="285"/>
      <c r="F37" s="36" t="s">
        <v>173</v>
      </c>
    </row>
    <row r="38" spans="1:6" s="3" customFormat="1" ht="18.75" customHeight="1">
      <c r="A38" s="107"/>
      <c r="B38" s="283"/>
      <c r="C38" s="284"/>
      <c r="D38" s="284"/>
      <c r="E38" s="285"/>
      <c r="F38" s="36" t="s">
        <v>174</v>
      </c>
    </row>
    <row r="39" spans="1:6" s="3" customFormat="1" ht="18.75" customHeight="1">
      <c r="A39" s="107"/>
      <c r="B39" s="283"/>
      <c r="C39" s="284"/>
      <c r="D39" s="284"/>
      <c r="E39" s="285"/>
      <c r="F39" s="36" t="s">
        <v>175</v>
      </c>
    </row>
    <row r="40" spans="1:6" s="3" customFormat="1" ht="18.75" customHeight="1">
      <c r="A40" s="107"/>
      <c r="B40" s="283"/>
      <c r="C40" s="284"/>
      <c r="D40" s="284"/>
      <c r="E40" s="285"/>
      <c r="F40" s="36" t="s">
        <v>176</v>
      </c>
    </row>
    <row r="41" spans="1:6" s="3" customFormat="1" ht="18.75" customHeight="1">
      <c r="A41" s="107"/>
      <c r="B41" s="283"/>
      <c r="C41" s="284"/>
      <c r="D41" s="284"/>
      <c r="E41" s="285"/>
      <c r="F41" s="36" t="s">
        <v>177</v>
      </c>
    </row>
    <row r="42" spans="1:6" s="3" customFormat="1" ht="18.75" customHeight="1">
      <c r="A42" s="107"/>
      <c r="B42" s="283"/>
      <c r="C42" s="284"/>
      <c r="D42" s="284"/>
      <c r="E42" s="285"/>
      <c r="F42" s="36" t="s">
        <v>178</v>
      </c>
    </row>
    <row r="43" spans="1:6" s="3" customFormat="1" ht="18.75" customHeight="1">
      <c r="A43" s="107"/>
      <c r="B43" s="283"/>
      <c r="C43" s="284"/>
      <c r="D43" s="284"/>
      <c r="E43" s="285"/>
      <c r="F43" s="36" t="s">
        <v>179</v>
      </c>
    </row>
    <row r="44" spans="1:6" s="3" customFormat="1" ht="18.75" customHeight="1">
      <c r="A44" s="107"/>
      <c r="B44" s="283"/>
      <c r="C44" s="284"/>
      <c r="D44" s="284"/>
      <c r="E44" s="285"/>
    </row>
    <row r="45" spans="1:6" ht="18.75" customHeight="1">
      <c r="A45" s="4"/>
      <c r="B45" s="283"/>
      <c r="C45" s="284"/>
      <c r="D45" s="284"/>
      <c r="E45" s="285"/>
    </row>
    <row r="46" spans="1:6" ht="18.75" customHeight="1">
      <c r="A46" s="4"/>
      <c r="B46" s="286"/>
      <c r="C46" s="287"/>
      <c r="D46" s="287"/>
      <c r="E46" s="288"/>
    </row>
    <row r="47" spans="1:6" s="3" customFormat="1" ht="18.75" customHeight="1">
      <c r="A47" s="108" t="s">
        <v>14</v>
      </c>
      <c r="B47" s="122" t="s">
        <v>180</v>
      </c>
      <c r="C47" s="124"/>
      <c r="D47" s="124"/>
      <c r="E47" s="124"/>
    </row>
    <row r="48" spans="1:6" ht="18.75" customHeight="1">
      <c r="A48" s="4"/>
      <c r="B48" s="269" t="s">
        <v>181</v>
      </c>
      <c r="C48" s="270"/>
      <c r="D48" s="270"/>
      <c r="E48" s="271"/>
    </row>
    <row r="49" spans="1:6" ht="18.75" customHeight="1">
      <c r="A49" s="4"/>
      <c r="B49" s="272"/>
      <c r="C49" s="273"/>
      <c r="D49" s="273"/>
      <c r="E49" s="274"/>
    </row>
    <row r="50" spans="1:6" ht="18.75" customHeight="1">
      <c r="A50" s="4"/>
      <c r="B50" s="272"/>
      <c r="C50" s="273"/>
      <c r="D50" s="273"/>
      <c r="E50" s="274"/>
      <c r="F50" s="37" t="s">
        <v>182</v>
      </c>
    </row>
    <row r="51" spans="1:6" ht="18.75" customHeight="1">
      <c r="A51" s="4"/>
      <c r="B51" s="272"/>
      <c r="C51" s="273"/>
      <c r="D51" s="273"/>
      <c r="E51" s="274"/>
      <c r="F51" s="36" t="s">
        <v>183</v>
      </c>
    </row>
    <row r="52" spans="1:6" ht="18.75" customHeight="1">
      <c r="A52" s="4"/>
      <c r="B52" s="272"/>
      <c r="C52" s="273"/>
      <c r="D52" s="273"/>
      <c r="E52" s="274"/>
      <c r="F52" s="36" t="s">
        <v>184</v>
      </c>
    </row>
    <row r="53" spans="1:6" ht="18.75" customHeight="1">
      <c r="A53" s="4"/>
      <c r="B53" s="272"/>
      <c r="C53" s="273"/>
      <c r="D53" s="273"/>
      <c r="E53" s="274"/>
      <c r="F53" s="36" t="s">
        <v>185</v>
      </c>
    </row>
    <row r="54" spans="1:6" ht="18.75" customHeight="1">
      <c r="A54" s="4"/>
      <c r="B54" s="272"/>
      <c r="C54" s="273"/>
      <c r="D54" s="273"/>
      <c r="E54" s="274"/>
    </row>
    <row r="55" spans="1:6" ht="18.75" customHeight="1">
      <c r="A55" s="4"/>
      <c r="B55" s="272"/>
      <c r="C55" s="273"/>
      <c r="D55" s="273"/>
      <c r="E55" s="274"/>
    </row>
    <row r="56" spans="1:6" ht="18.75" customHeight="1">
      <c r="A56" s="4"/>
      <c r="B56" s="272"/>
      <c r="C56" s="273"/>
      <c r="D56" s="273"/>
      <c r="E56" s="274"/>
    </row>
    <row r="57" spans="1:6" ht="18.75" customHeight="1">
      <c r="A57" s="4"/>
      <c r="B57" s="272"/>
      <c r="C57" s="273"/>
      <c r="D57" s="273"/>
      <c r="E57" s="274"/>
    </row>
    <row r="58" spans="1:6" ht="18.75" customHeight="1">
      <c r="A58" s="4"/>
      <c r="B58" s="272"/>
      <c r="C58" s="273"/>
      <c r="D58" s="273"/>
      <c r="E58" s="274"/>
    </row>
    <row r="59" spans="1:6" ht="18.75" customHeight="1">
      <c r="A59" s="4"/>
      <c r="B59" s="272"/>
      <c r="C59" s="273"/>
      <c r="D59" s="273"/>
      <c r="E59" s="274"/>
    </row>
    <row r="60" spans="1:6" ht="18.75" customHeight="1">
      <c r="A60" s="4"/>
      <c r="B60" s="272"/>
      <c r="C60" s="273"/>
      <c r="D60" s="273"/>
      <c r="E60" s="274"/>
    </row>
    <row r="61" spans="1:6" ht="18.75" customHeight="1">
      <c r="A61" s="4"/>
      <c r="B61" s="272"/>
      <c r="C61" s="273"/>
      <c r="D61" s="273"/>
      <c r="E61" s="274"/>
    </row>
    <row r="62" spans="1:6" ht="18.75" customHeight="1">
      <c r="A62" s="4"/>
      <c r="B62" s="272"/>
      <c r="C62" s="273"/>
      <c r="D62" s="273"/>
      <c r="E62" s="274"/>
    </row>
    <row r="63" spans="1:6" ht="18.75" customHeight="1">
      <c r="A63" s="4"/>
      <c r="B63" s="272"/>
      <c r="C63" s="273"/>
      <c r="D63" s="273"/>
      <c r="E63" s="274"/>
    </row>
    <row r="64" spans="1:6" ht="18.75" customHeight="1">
      <c r="A64" s="4"/>
      <c r="B64" s="272"/>
      <c r="C64" s="273"/>
      <c r="D64" s="273"/>
      <c r="E64" s="274"/>
    </row>
    <row r="65" spans="1:7" ht="18.75" customHeight="1">
      <c r="A65" s="4"/>
      <c r="B65" s="272"/>
      <c r="C65" s="273"/>
      <c r="D65" s="273"/>
      <c r="E65" s="274"/>
    </row>
    <row r="66" spans="1:7" ht="18.75" customHeight="1">
      <c r="A66" s="4"/>
      <c r="B66" s="272"/>
      <c r="C66" s="273"/>
      <c r="D66" s="273"/>
      <c r="E66" s="274"/>
    </row>
    <row r="67" spans="1:7" ht="18.75" customHeight="1">
      <c r="A67" s="4"/>
      <c r="B67" s="272"/>
      <c r="C67" s="273"/>
      <c r="D67" s="273"/>
      <c r="E67" s="274"/>
    </row>
    <row r="68" spans="1:7" ht="18.75" customHeight="1">
      <c r="A68" s="4"/>
      <c r="B68" s="275"/>
      <c r="C68" s="276"/>
      <c r="D68" s="276"/>
      <c r="E68" s="277"/>
    </row>
    <row r="69" spans="1:7" ht="7.5" customHeight="1">
      <c r="A69" s="4"/>
      <c r="B69" s="123"/>
      <c r="C69" s="123"/>
      <c r="D69" s="123"/>
      <c r="E69" s="123"/>
    </row>
    <row r="70" spans="1:7" s="3" customFormat="1" ht="18.75" customHeight="1">
      <c r="A70" s="107" t="s">
        <v>17</v>
      </c>
      <c r="B70" s="122" t="s">
        <v>186</v>
      </c>
      <c r="C70" s="122"/>
      <c r="D70" s="122"/>
      <c r="E70" s="122"/>
    </row>
    <row r="71" spans="1:7" s="3" customFormat="1" ht="18.75" customHeight="1">
      <c r="A71" s="107"/>
      <c r="B71" s="269" t="s">
        <v>187</v>
      </c>
      <c r="C71" s="247"/>
      <c r="D71" s="247"/>
      <c r="E71" s="248"/>
    </row>
    <row r="72" spans="1:7" s="3" customFormat="1" ht="18.75" customHeight="1">
      <c r="A72" s="107"/>
      <c r="B72" s="249"/>
      <c r="C72" s="250"/>
      <c r="D72" s="250"/>
      <c r="E72" s="251"/>
      <c r="G72" s="35"/>
    </row>
    <row r="73" spans="1:7" s="3" customFormat="1" ht="18.75" customHeight="1">
      <c r="A73" s="107"/>
      <c r="B73" s="249"/>
      <c r="C73" s="250"/>
      <c r="D73" s="250"/>
      <c r="E73" s="251"/>
      <c r="F73" s="40" t="s">
        <v>159</v>
      </c>
      <c r="G73" s="35"/>
    </row>
    <row r="74" spans="1:7" s="3" customFormat="1" ht="18.75" customHeight="1">
      <c r="A74" s="107"/>
      <c r="B74" s="249"/>
      <c r="C74" s="250"/>
      <c r="D74" s="250"/>
      <c r="E74" s="251"/>
      <c r="F74" s="36" t="s">
        <v>188</v>
      </c>
      <c r="G74" s="35"/>
    </row>
    <row r="75" spans="1:7" s="3" customFormat="1" ht="18.75" customHeight="1">
      <c r="A75" s="107"/>
      <c r="B75" s="249"/>
      <c r="C75" s="250"/>
      <c r="D75" s="250"/>
      <c r="E75" s="251"/>
      <c r="F75" s="36" t="s">
        <v>189</v>
      </c>
      <c r="G75" s="35"/>
    </row>
    <row r="76" spans="1:7" s="3" customFormat="1" ht="18.75" customHeight="1">
      <c r="A76" s="107"/>
      <c r="B76" s="249"/>
      <c r="C76" s="250"/>
      <c r="D76" s="250"/>
      <c r="E76" s="251"/>
      <c r="F76" s="36" t="s">
        <v>190</v>
      </c>
    </row>
    <row r="77" spans="1:7" s="3" customFormat="1" ht="18.75" customHeight="1">
      <c r="A77" s="107"/>
      <c r="B77" s="249"/>
      <c r="C77" s="250"/>
      <c r="D77" s="250"/>
      <c r="E77" s="251"/>
    </row>
    <row r="78" spans="1:7" s="3" customFormat="1" ht="18.75" customHeight="1">
      <c r="A78" s="107"/>
      <c r="B78" s="249"/>
      <c r="C78" s="250"/>
      <c r="D78" s="250"/>
      <c r="E78" s="251"/>
    </row>
    <row r="79" spans="1:7" s="3" customFormat="1" ht="18.75" customHeight="1">
      <c r="A79" s="107"/>
      <c r="B79" s="249"/>
      <c r="C79" s="250"/>
      <c r="D79" s="250"/>
      <c r="E79" s="251"/>
    </row>
    <row r="80" spans="1:7" s="3" customFormat="1" ht="18.75" customHeight="1">
      <c r="A80" s="107"/>
      <c r="B80" s="249"/>
      <c r="C80" s="250"/>
      <c r="D80" s="250"/>
      <c r="E80" s="251"/>
    </row>
    <row r="81" spans="1:6" s="3" customFormat="1" ht="18.75" customHeight="1">
      <c r="A81" s="107"/>
      <c r="B81" s="249"/>
      <c r="C81" s="250"/>
      <c r="D81" s="250"/>
      <c r="E81" s="251"/>
    </row>
    <row r="82" spans="1:6" s="3" customFormat="1" ht="18.75" customHeight="1">
      <c r="A82" s="107"/>
      <c r="B82" s="249"/>
      <c r="C82" s="250"/>
      <c r="D82" s="250"/>
      <c r="E82" s="251"/>
    </row>
    <row r="83" spans="1:6" s="3" customFormat="1" ht="18.75" customHeight="1">
      <c r="A83" s="107"/>
      <c r="B83" s="249"/>
      <c r="C83" s="250"/>
      <c r="D83" s="250"/>
      <c r="E83" s="251"/>
    </row>
    <row r="84" spans="1:6" s="3" customFormat="1" ht="18.75" customHeight="1">
      <c r="A84" s="107"/>
      <c r="B84" s="249"/>
      <c r="C84" s="250"/>
      <c r="D84" s="250"/>
      <c r="E84" s="251"/>
    </row>
    <row r="85" spans="1:6" s="3" customFormat="1" ht="18.75" customHeight="1">
      <c r="A85" s="107"/>
      <c r="B85" s="249"/>
      <c r="C85" s="250"/>
      <c r="D85" s="250"/>
      <c r="E85" s="251"/>
    </row>
    <row r="86" spans="1:6" s="3" customFormat="1" ht="18.75" customHeight="1">
      <c r="A86" s="107"/>
      <c r="B86" s="249"/>
      <c r="C86" s="250"/>
      <c r="D86" s="250"/>
      <c r="E86" s="251"/>
    </row>
    <row r="87" spans="1:6" s="3" customFormat="1" ht="18.75" customHeight="1">
      <c r="A87" s="107"/>
      <c r="B87" s="249"/>
      <c r="C87" s="250"/>
      <c r="D87" s="250"/>
      <c r="E87" s="251"/>
    </row>
    <row r="88" spans="1:6" ht="18.75" customHeight="1">
      <c r="A88" s="4"/>
      <c r="B88" s="249"/>
      <c r="C88" s="250"/>
      <c r="D88" s="250"/>
      <c r="E88" s="251"/>
    </row>
    <row r="89" spans="1:6" ht="18.75" customHeight="1">
      <c r="A89" s="4"/>
      <c r="B89" s="252"/>
      <c r="C89" s="253"/>
      <c r="D89" s="253"/>
      <c r="E89" s="254"/>
    </row>
    <row r="90" spans="1:6" ht="7.5" customHeight="1">
      <c r="A90" s="4"/>
      <c r="B90" s="123"/>
      <c r="C90" s="123"/>
      <c r="D90" s="123"/>
      <c r="E90" s="123"/>
    </row>
    <row r="91" spans="1:6" s="3" customFormat="1" ht="18.75" customHeight="1">
      <c r="A91" s="107" t="s">
        <v>20</v>
      </c>
      <c r="B91" s="122" t="s">
        <v>191</v>
      </c>
      <c r="C91" s="122"/>
      <c r="D91" s="122"/>
      <c r="E91" s="122"/>
    </row>
    <row r="92" spans="1:6" s="3" customFormat="1" ht="18.75" customHeight="1">
      <c r="A92" s="107"/>
      <c r="B92" s="278" t="s">
        <v>192</v>
      </c>
      <c r="C92" s="247"/>
      <c r="D92" s="247"/>
      <c r="E92" s="248"/>
    </row>
    <row r="93" spans="1:6" s="3" customFormat="1" ht="18.75" customHeight="1">
      <c r="A93" s="107"/>
      <c r="B93" s="249"/>
      <c r="C93" s="250"/>
      <c r="D93" s="250"/>
      <c r="E93" s="251"/>
    </row>
    <row r="94" spans="1:6" s="3" customFormat="1" ht="18.75" customHeight="1">
      <c r="A94" s="107"/>
      <c r="B94" s="249"/>
      <c r="C94" s="250"/>
      <c r="D94" s="250"/>
      <c r="E94" s="251"/>
      <c r="F94" s="40" t="s">
        <v>159</v>
      </c>
    </row>
    <row r="95" spans="1:6" s="3" customFormat="1" ht="18.75" customHeight="1">
      <c r="A95" s="107"/>
      <c r="B95" s="249"/>
      <c r="C95" s="250"/>
      <c r="D95" s="250"/>
      <c r="E95" s="251"/>
      <c r="F95" s="36" t="s">
        <v>193</v>
      </c>
    </row>
    <row r="96" spans="1:6" s="3" customFormat="1" ht="18.75" customHeight="1">
      <c r="A96" s="107"/>
      <c r="B96" s="249"/>
      <c r="C96" s="250"/>
      <c r="D96" s="250"/>
      <c r="E96" s="251"/>
      <c r="F96" s="36" t="s">
        <v>194</v>
      </c>
    </row>
    <row r="97" spans="1:6" s="3" customFormat="1" ht="18.75" customHeight="1">
      <c r="A97" s="107"/>
      <c r="B97" s="249"/>
      <c r="C97" s="250"/>
      <c r="D97" s="250"/>
      <c r="E97" s="251"/>
      <c r="F97" s="36" t="s">
        <v>190</v>
      </c>
    </row>
    <row r="98" spans="1:6" s="3" customFormat="1" ht="18.75" customHeight="1">
      <c r="A98" s="107"/>
      <c r="B98" s="249"/>
      <c r="C98" s="250"/>
      <c r="D98" s="250"/>
      <c r="E98" s="251"/>
    </row>
    <row r="99" spans="1:6" s="3" customFormat="1" ht="18.75" customHeight="1">
      <c r="A99" s="107"/>
      <c r="B99" s="249"/>
      <c r="C99" s="250"/>
      <c r="D99" s="250"/>
      <c r="E99" s="251"/>
    </row>
    <row r="100" spans="1:6" s="3" customFormat="1" ht="18.75" customHeight="1">
      <c r="A100" s="107"/>
      <c r="B100" s="249"/>
      <c r="C100" s="250"/>
      <c r="D100" s="250"/>
      <c r="E100" s="251"/>
    </row>
    <row r="101" spans="1:6" s="3" customFormat="1" ht="18.75" customHeight="1">
      <c r="A101" s="107"/>
      <c r="B101" s="249"/>
      <c r="C101" s="250"/>
      <c r="D101" s="250"/>
      <c r="E101" s="251"/>
    </row>
    <row r="102" spans="1:6" s="3" customFormat="1" ht="18.75" customHeight="1">
      <c r="A102" s="107"/>
      <c r="B102" s="249"/>
      <c r="C102" s="250"/>
      <c r="D102" s="250"/>
      <c r="E102" s="251"/>
    </row>
    <row r="103" spans="1:6" s="3" customFormat="1" ht="18.75" customHeight="1">
      <c r="A103" s="107"/>
      <c r="B103" s="249"/>
      <c r="C103" s="250"/>
      <c r="D103" s="250"/>
      <c r="E103" s="251"/>
    </row>
    <row r="104" spans="1:6" s="3" customFormat="1" ht="18.75" customHeight="1">
      <c r="A104" s="107"/>
      <c r="B104" s="249"/>
      <c r="C104" s="250"/>
      <c r="D104" s="250"/>
      <c r="E104" s="251"/>
    </row>
    <row r="105" spans="1:6" s="3" customFormat="1" ht="18.75" customHeight="1">
      <c r="A105" s="107"/>
      <c r="B105" s="249"/>
      <c r="C105" s="250"/>
      <c r="D105" s="250"/>
      <c r="E105" s="251"/>
    </row>
    <row r="106" spans="1:6" s="3" customFormat="1" ht="18.75" customHeight="1">
      <c r="A106" s="107"/>
      <c r="B106" s="249"/>
      <c r="C106" s="250"/>
      <c r="D106" s="250"/>
      <c r="E106" s="251"/>
    </row>
    <row r="107" spans="1:6" s="3" customFormat="1" ht="18.75" customHeight="1">
      <c r="A107" s="107"/>
      <c r="B107" s="249"/>
      <c r="C107" s="250"/>
      <c r="D107" s="250"/>
      <c r="E107" s="251"/>
    </row>
    <row r="108" spans="1:6" s="3" customFormat="1" ht="18.75" customHeight="1">
      <c r="A108" s="107"/>
      <c r="B108" s="249"/>
      <c r="C108" s="250"/>
      <c r="D108" s="250"/>
      <c r="E108" s="251"/>
    </row>
    <row r="109" spans="1:6" s="3" customFormat="1" ht="18.75" customHeight="1">
      <c r="A109" s="107"/>
      <c r="B109" s="249"/>
      <c r="C109" s="250"/>
      <c r="D109" s="250"/>
      <c r="E109" s="251"/>
    </row>
    <row r="110" spans="1:6" ht="18.75" customHeight="1">
      <c r="A110" s="4"/>
      <c r="B110" s="249"/>
      <c r="C110" s="250"/>
      <c r="D110" s="250"/>
      <c r="E110" s="251"/>
    </row>
    <row r="111" spans="1:6" ht="18.75" customHeight="1">
      <c r="A111" s="4"/>
      <c r="B111" s="252"/>
      <c r="C111" s="253"/>
      <c r="D111" s="253"/>
      <c r="E111" s="254"/>
    </row>
    <row r="112" spans="1:6" ht="7.5" customHeight="1">
      <c r="A112" s="4"/>
      <c r="B112" s="123"/>
      <c r="C112" s="123"/>
      <c r="D112" s="123"/>
      <c r="E112" s="123"/>
    </row>
    <row r="113" spans="1:6" s="3" customFormat="1" ht="18.75" customHeight="1">
      <c r="A113" s="107" t="s">
        <v>25</v>
      </c>
      <c r="B113" s="279" t="s">
        <v>195</v>
      </c>
      <c r="C113" s="279"/>
      <c r="D113" s="279"/>
      <c r="E113" s="279"/>
    </row>
    <row r="114" spans="1:6" ht="18.75" customHeight="1">
      <c r="A114" s="4"/>
      <c r="B114" s="278" t="s">
        <v>196</v>
      </c>
      <c r="C114" s="247"/>
      <c r="D114" s="247"/>
      <c r="E114" s="248"/>
    </row>
    <row r="115" spans="1:6" ht="18.75" customHeight="1">
      <c r="A115" s="4"/>
      <c r="B115" s="249"/>
      <c r="C115" s="250"/>
      <c r="D115" s="250"/>
      <c r="E115" s="251"/>
    </row>
    <row r="116" spans="1:6" ht="18.75" customHeight="1">
      <c r="A116" s="4"/>
      <c r="B116" s="249"/>
      <c r="C116" s="250"/>
      <c r="D116" s="250"/>
      <c r="E116" s="251"/>
      <c r="F116" s="37" t="s">
        <v>159</v>
      </c>
    </row>
    <row r="117" spans="1:6" ht="18.75" customHeight="1">
      <c r="A117" s="4"/>
      <c r="B117" s="249"/>
      <c r="C117" s="250"/>
      <c r="D117" s="250"/>
      <c r="E117" s="251"/>
      <c r="F117" s="36" t="s">
        <v>197</v>
      </c>
    </row>
    <row r="118" spans="1:6" ht="18.75" customHeight="1">
      <c r="A118" s="4"/>
      <c r="B118" s="249"/>
      <c r="C118" s="250"/>
      <c r="D118" s="250"/>
      <c r="E118" s="251"/>
      <c r="F118" s="36" t="s">
        <v>198</v>
      </c>
    </row>
    <row r="119" spans="1:6" ht="18.75" customHeight="1">
      <c r="A119" s="4"/>
      <c r="B119" s="249"/>
      <c r="C119" s="250"/>
      <c r="D119" s="250"/>
      <c r="E119" s="251"/>
      <c r="F119" s="36" t="s">
        <v>190</v>
      </c>
    </row>
    <row r="120" spans="1:6" ht="18.75" customHeight="1">
      <c r="A120" s="4"/>
      <c r="B120" s="249"/>
      <c r="C120" s="250"/>
      <c r="D120" s="250"/>
      <c r="E120" s="251"/>
    </row>
    <row r="121" spans="1:6" ht="18.75" customHeight="1">
      <c r="A121" s="4"/>
      <c r="B121" s="249"/>
      <c r="C121" s="250"/>
      <c r="D121" s="250"/>
      <c r="E121" s="251"/>
    </row>
    <row r="122" spans="1:6" ht="18.75" customHeight="1">
      <c r="A122" s="4"/>
      <c r="B122" s="249"/>
      <c r="C122" s="250"/>
      <c r="D122" s="250"/>
      <c r="E122" s="251"/>
    </row>
    <row r="123" spans="1:6" ht="18.75" customHeight="1">
      <c r="A123" s="4"/>
      <c r="B123" s="249"/>
      <c r="C123" s="250"/>
      <c r="D123" s="250"/>
      <c r="E123" s="251"/>
    </row>
    <row r="124" spans="1:6" ht="18.75" customHeight="1">
      <c r="A124" s="4"/>
      <c r="B124" s="249"/>
      <c r="C124" s="250"/>
      <c r="D124" s="250"/>
      <c r="E124" s="251"/>
    </row>
    <row r="125" spans="1:6" ht="18.75" customHeight="1">
      <c r="A125" s="4"/>
      <c r="B125" s="249"/>
      <c r="C125" s="250"/>
      <c r="D125" s="250"/>
      <c r="E125" s="251"/>
    </row>
    <row r="126" spans="1:6" ht="18.75" customHeight="1">
      <c r="A126" s="4"/>
      <c r="B126" s="249"/>
      <c r="C126" s="250"/>
      <c r="D126" s="250"/>
      <c r="E126" s="251"/>
    </row>
    <row r="127" spans="1:6" ht="18.75" customHeight="1">
      <c r="A127" s="4"/>
      <c r="B127" s="249"/>
      <c r="C127" s="250"/>
      <c r="D127" s="250"/>
      <c r="E127" s="251"/>
    </row>
    <row r="128" spans="1:6" ht="18.75" customHeight="1">
      <c r="A128" s="4"/>
      <c r="B128" s="249"/>
      <c r="C128" s="250"/>
      <c r="D128" s="250"/>
      <c r="E128" s="251"/>
    </row>
    <row r="129" spans="1:5" ht="18.75" customHeight="1">
      <c r="A129" s="4"/>
      <c r="B129" s="249"/>
      <c r="C129" s="250"/>
      <c r="D129" s="250"/>
      <c r="E129" s="251"/>
    </row>
    <row r="130" spans="1:5" ht="18.75" customHeight="1">
      <c r="A130" s="4"/>
      <c r="B130" s="249"/>
      <c r="C130" s="250"/>
      <c r="D130" s="250"/>
      <c r="E130" s="251"/>
    </row>
    <row r="131" spans="1:5" ht="18.75" customHeight="1">
      <c r="A131" s="4"/>
      <c r="B131" s="249"/>
      <c r="C131" s="250"/>
      <c r="D131" s="250"/>
      <c r="E131" s="251"/>
    </row>
    <row r="132" spans="1:5" ht="18.75" customHeight="1">
      <c r="A132" s="4"/>
      <c r="B132" s="249"/>
      <c r="C132" s="250"/>
      <c r="D132" s="250"/>
      <c r="E132" s="251"/>
    </row>
    <row r="133" spans="1:5" ht="18.75" customHeight="1">
      <c r="A133" s="4"/>
      <c r="B133" s="252"/>
      <c r="C133" s="253"/>
      <c r="D133" s="253"/>
      <c r="E133" s="254"/>
    </row>
    <row r="134" spans="1:5" ht="7.5" customHeight="1">
      <c r="A134" s="4"/>
      <c r="B134" s="125"/>
      <c r="C134" s="125"/>
      <c r="D134" s="125"/>
      <c r="E134" s="125"/>
    </row>
    <row r="135" spans="1:5" ht="18.75" customHeight="1">
      <c r="A135" s="4"/>
      <c r="B135" s="123"/>
      <c r="C135" s="123"/>
      <c r="D135" s="123"/>
      <c r="E135" s="123"/>
    </row>
    <row r="136" spans="1:5" ht="18.75" customHeight="1">
      <c r="A136" s="4"/>
      <c r="B136" s="123"/>
      <c r="C136" s="123"/>
      <c r="D136" s="123"/>
      <c r="E136" s="123"/>
    </row>
    <row r="137" spans="1:5" ht="18.75" customHeight="1">
      <c r="A137" s="4"/>
      <c r="B137" s="123"/>
      <c r="C137" s="123"/>
      <c r="D137" s="123"/>
      <c r="E137" s="123"/>
    </row>
    <row r="138" spans="1:5" ht="18.75" customHeight="1">
      <c r="A138" s="4"/>
      <c r="B138" s="123"/>
      <c r="C138" s="123"/>
      <c r="D138" s="123"/>
      <c r="E138" s="123"/>
    </row>
    <row r="139" spans="1:5" ht="18.75" customHeight="1">
      <c r="A139" s="4"/>
      <c r="B139" s="123"/>
      <c r="C139" s="123"/>
      <c r="D139" s="123"/>
      <c r="E139" s="123"/>
    </row>
    <row r="140" spans="1:5" ht="18.75" customHeight="1">
      <c r="A140" s="4"/>
      <c r="B140" s="123"/>
      <c r="C140" s="123"/>
      <c r="D140" s="123"/>
      <c r="E140" s="123"/>
    </row>
    <row r="141" spans="1:5" ht="18.75" customHeight="1">
      <c r="A141" s="4"/>
      <c r="B141" s="123"/>
      <c r="C141" s="123"/>
      <c r="D141" s="123"/>
      <c r="E141" s="123"/>
    </row>
    <row r="142" spans="1:5" ht="18.75" customHeight="1">
      <c r="A142" s="4"/>
      <c r="B142" s="123"/>
      <c r="C142" s="123"/>
      <c r="D142" s="123"/>
      <c r="E142" s="123"/>
    </row>
    <row r="143" spans="1:5" ht="18.75" customHeight="1">
      <c r="A143" s="4"/>
      <c r="B143" s="123"/>
      <c r="C143" s="123"/>
      <c r="D143" s="123"/>
      <c r="E143" s="123"/>
    </row>
    <row r="144" spans="1:5" ht="18.75" customHeight="1">
      <c r="A144" s="4"/>
      <c r="B144" s="123"/>
      <c r="C144" s="123"/>
      <c r="D144" s="123"/>
      <c r="E144" s="123"/>
    </row>
    <row r="145" spans="1:5" ht="18.75" customHeight="1">
      <c r="A145" s="4"/>
      <c r="B145" s="123"/>
      <c r="C145" s="123"/>
      <c r="D145" s="123"/>
      <c r="E145" s="123"/>
    </row>
    <row r="146" spans="1:5" ht="18.75" customHeight="1">
      <c r="A146" s="4"/>
      <c r="B146" s="123"/>
      <c r="C146" s="123"/>
      <c r="D146" s="123"/>
      <c r="E146" s="123"/>
    </row>
    <row r="147" spans="1:5" ht="14.25">
      <c r="A147" s="4"/>
      <c r="B147" s="123"/>
      <c r="C147" s="123"/>
      <c r="D147" s="123"/>
      <c r="E147" s="123"/>
    </row>
    <row r="148" spans="1:5" ht="7.5" customHeight="1">
      <c r="A148" s="2"/>
      <c r="B148" s="126"/>
      <c r="C148" s="126"/>
      <c r="D148" s="126"/>
      <c r="E148" s="126"/>
    </row>
  </sheetData>
  <mergeCells count="11">
    <mergeCell ref="B31:E46"/>
    <mergeCell ref="D2:E2"/>
    <mergeCell ref="B4:E4"/>
    <mergeCell ref="B7:E7"/>
    <mergeCell ref="B10:E14"/>
    <mergeCell ref="B17:E28"/>
    <mergeCell ref="B48:E68"/>
    <mergeCell ref="B71:E89"/>
    <mergeCell ref="B92:E111"/>
    <mergeCell ref="B113:E113"/>
    <mergeCell ref="B114:E133"/>
  </mergeCells>
  <phoneticPr fontId="2"/>
  <printOptions horizontalCentered="1"/>
  <pageMargins left="0.78740157480314965" right="0.78740157480314965" top="0.78740157480314965" bottom="0.78740157480314965" header="0.31496062992125984" footer="0.31496062992125984"/>
  <pageSetup paperSize="9" scale="88" fitToHeight="3"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O28"/>
  <sheetViews>
    <sheetView showZeros="0" view="pageBreakPreview" topLeftCell="A16" zoomScale="70" zoomScaleNormal="100" zoomScaleSheetLayoutView="70" workbookViewId="0">
      <selection activeCell="E17" sqref="E17:J17"/>
    </sheetView>
  </sheetViews>
  <sheetFormatPr defaultColWidth="11.375" defaultRowHeight="22.5" customHeight="1"/>
  <cols>
    <col min="1" max="3" width="2.5" style="51" customWidth="1"/>
    <col min="4" max="4" width="22.5" style="51" customWidth="1"/>
    <col min="5" max="5" width="21.125" style="12" customWidth="1"/>
    <col min="6" max="7" width="7.5" style="12" customWidth="1"/>
    <col min="8" max="8" width="32.5" style="12" customWidth="1"/>
    <col min="9" max="9" width="24.875" style="12" customWidth="1"/>
    <col min="10" max="10" width="6.125" style="12" customWidth="1"/>
    <col min="11" max="11" width="4.125" style="51" customWidth="1"/>
    <col min="12" max="16384" width="11.375" style="51"/>
  </cols>
  <sheetData>
    <row r="1" spans="1:15" ht="18.75" customHeight="1">
      <c r="J1" s="137" t="s">
        <v>199</v>
      </c>
    </row>
    <row r="2" spans="1:15" ht="18.75" customHeight="1">
      <c r="D2" s="142"/>
      <c r="H2" s="137" t="s">
        <v>200</v>
      </c>
      <c r="I2" s="192" t="s">
        <v>113</v>
      </c>
      <c r="J2" s="192"/>
    </row>
    <row r="3" spans="1:15" ht="18.75" customHeight="1">
      <c r="A3" s="203" t="s">
        <v>201</v>
      </c>
      <c r="B3" s="203"/>
      <c r="C3" s="203"/>
      <c r="D3" s="203"/>
      <c r="E3" s="203"/>
      <c r="F3" s="203"/>
      <c r="G3" s="203"/>
      <c r="H3" s="203"/>
      <c r="I3" s="203"/>
      <c r="J3" s="203"/>
    </row>
    <row r="4" spans="1:15" ht="7.5" customHeight="1">
      <c r="B4" s="147"/>
      <c r="C4" s="147"/>
      <c r="D4" s="313"/>
      <c r="E4" s="314"/>
      <c r="F4" s="314"/>
      <c r="G4" s="314"/>
      <c r="H4" s="314"/>
      <c r="I4" s="314"/>
      <c r="J4" s="314"/>
    </row>
    <row r="5" spans="1:15" ht="18.75" customHeight="1">
      <c r="A5" s="51" t="s">
        <v>2</v>
      </c>
      <c r="B5" s="3" t="s">
        <v>202</v>
      </c>
      <c r="C5" s="147"/>
      <c r="D5" s="147"/>
      <c r="E5" s="115"/>
      <c r="F5" s="115"/>
      <c r="G5" s="115"/>
      <c r="H5" s="115"/>
      <c r="I5" s="115"/>
      <c r="J5" s="115"/>
    </row>
    <row r="6" spans="1:15" ht="18.75" customHeight="1">
      <c r="B6" s="220" t="s">
        <v>203</v>
      </c>
      <c r="C6" s="221"/>
      <c r="D6" s="222"/>
      <c r="E6" s="166" t="s">
        <v>204</v>
      </c>
      <c r="F6" s="166"/>
      <c r="G6" s="166"/>
      <c r="H6" s="166"/>
      <c r="I6" s="166"/>
      <c r="J6" s="167"/>
    </row>
    <row r="7" spans="1:15" ht="18.75" customHeight="1">
      <c r="B7" s="109" t="s">
        <v>205</v>
      </c>
      <c r="C7" s="4"/>
      <c r="D7" s="9"/>
      <c r="E7" s="20"/>
      <c r="F7" s="20"/>
      <c r="G7" s="20"/>
      <c r="H7" s="20"/>
      <c r="I7" s="106"/>
      <c r="J7" s="116"/>
    </row>
    <row r="8" spans="1:15" ht="202.5" customHeight="1">
      <c r="B8" s="8"/>
      <c r="C8" s="301" t="s">
        <v>206</v>
      </c>
      <c r="D8" s="292"/>
      <c r="E8" s="302" t="s">
        <v>207</v>
      </c>
      <c r="F8" s="293"/>
      <c r="G8" s="293"/>
      <c r="H8" s="293"/>
      <c r="I8" s="293"/>
      <c r="J8" s="294"/>
      <c r="L8" s="41"/>
      <c r="O8" s="34"/>
    </row>
    <row r="9" spans="1:15" ht="202.5" customHeight="1">
      <c r="B9" s="8"/>
      <c r="C9" s="307" t="s">
        <v>208</v>
      </c>
      <c r="D9" s="308"/>
      <c r="E9" s="309" t="s">
        <v>209</v>
      </c>
      <c r="F9" s="293"/>
      <c r="G9" s="293"/>
      <c r="H9" s="293"/>
      <c r="I9" s="293"/>
      <c r="J9" s="294"/>
      <c r="L9" s="43" t="s">
        <v>210</v>
      </c>
    </row>
    <row r="10" spans="1:15" ht="172.5" customHeight="1">
      <c r="B10" s="8"/>
      <c r="C10" s="301" t="s">
        <v>211</v>
      </c>
      <c r="D10" s="292"/>
      <c r="E10" s="302" t="s">
        <v>212</v>
      </c>
      <c r="F10" s="293"/>
      <c r="G10" s="293"/>
      <c r="H10" s="293"/>
      <c r="I10" s="293"/>
      <c r="J10" s="294"/>
      <c r="L10" s="42"/>
    </row>
    <row r="11" spans="1:15" ht="172.5" customHeight="1">
      <c r="B11" s="8"/>
      <c r="C11" s="301" t="s">
        <v>213</v>
      </c>
      <c r="D11" s="292"/>
      <c r="E11" s="310" t="s">
        <v>214</v>
      </c>
      <c r="F11" s="311"/>
      <c r="G11" s="311"/>
      <c r="H11" s="311"/>
      <c r="I11" s="311"/>
      <c r="J11" s="312"/>
      <c r="L11" s="35"/>
    </row>
    <row r="12" spans="1:15" ht="172.5" customHeight="1">
      <c r="B12" s="8"/>
      <c r="C12" s="301" t="s">
        <v>215</v>
      </c>
      <c r="D12" s="292"/>
      <c r="E12" s="302" t="s">
        <v>216</v>
      </c>
      <c r="F12" s="293"/>
      <c r="G12" s="293"/>
      <c r="H12" s="293"/>
      <c r="I12" s="293"/>
      <c r="J12" s="294"/>
      <c r="L12" s="42"/>
    </row>
    <row r="13" spans="1:15" ht="18.75" customHeight="1">
      <c r="B13" s="110" t="s">
        <v>217</v>
      </c>
      <c r="C13" s="26"/>
      <c r="D13" s="10"/>
      <c r="E13" s="113"/>
      <c r="F13" s="113"/>
      <c r="G13" s="113"/>
      <c r="H13" s="113"/>
      <c r="I13" s="113"/>
      <c r="J13" s="114"/>
    </row>
    <row r="14" spans="1:15" ht="255" customHeight="1">
      <c r="B14" s="8"/>
      <c r="C14" s="301" t="s">
        <v>218</v>
      </c>
      <c r="D14" s="292"/>
      <c r="E14" s="293" t="s">
        <v>219</v>
      </c>
      <c r="F14" s="293"/>
      <c r="G14" s="293"/>
      <c r="H14" s="293"/>
      <c r="I14" s="293"/>
      <c r="J14" s="294"/>
      <c r="L14" s="35"/>
    </row>
    <row r="15" spans="1:15" ht="255" customHeight="1">
      <c r="B15" s="8"/>
      <c r="C15" s="303" t="s">
        <v>220</v>
      </c>
      <c r="D15" s="304"/>
      <c r="E15" s="305" t="s">
        <v>221</v>
      </c>
      <c r="F15" s="305"/>
      <c r="G15" s="305"/>
      <c r="H15" s="305"/>
      <c r="I15" s="305"/>
      <c r="J15" s="306"/>
      <c r="L15" s="42"/>
    </row>
    <row r="16" spans="1:15" ht="232.5" customHeight="1">
      <c r="A16" s="134"/>
      <c r="B16" s="290" t="s">
        <v>222</v>
      </c>
      <c r="C16" s="291"/>
      <c r="D16" s="292"/>
      <c r="E16" s="293" t="s">
        <v>223</v>
      </c>
      <c r="F16" s="293"/>
      <c r="G16" s="293"/>
      <c r="H16" s="293"/>
      <c r="I16" s="293"/>
      <c r="J16" s="294"/>
      <c r="L16" s="42"/>
    </row>
    <row r="17" spans="1:12" ht="232.5" customHeight="1">
      <c r="A17" s="29"/>
      <c r="B17" s="295" t="s">
        <v>224</v>
      </c>
      <c r="C17" s="296"/>
      <c r="D17" s="297"/>
      <c r="E17" s="276" t="s">
        <v>225</v>
      </c>
      <c r="F17" s="276"/>
      <c r="G17" s="276"/>
      <c r="H17" s="276"/>
      <c r="I17" s="276"/>
      <c r="J17" s="277"/>
      <c r="L17" s="42"/>
    </row>
    <row r="18" spans="1:12" ht="7.5" customHeight="1">
      <c r="B18" s="147"/>
      <c r="C18" s="147"/>
      <c r="D18" s="147"/>
      <c r="E18" s="115"/>
      <c r="F18" s="115"/>
      <c r="G18" s="115"/>
      <c r="H18" s="115"/>
      <c r="I18" s="115"/>
      <c r="J18" s="115"/>
    </row>
    <row r="19" spans="1:12" ht="18.75" customHeight="1">
      <c r="B19" s="3"/>
      <c r="C19" s="147"/>
      <c r="D19" s="147"/>
      <c r="E19" s="115"/>
      <c r="F19" s="117"/>
      <c r="G19" s="117"/>
      <c r="H19" s="118" t="s">
        <v>226</v>
      </c>
      <c r="I19" s="119"/>
      <c r="J19" s="120"/>
    </row>
    <row r="20" spans="1:12" ht="18.75" customHeight="1">
      <c r="A20" s="128" t="s">
        <v>5</v>
      </c>
      <c r="B20" s="129" t="s">
        <v>227</v>
      </c>
      <c r="C20" s="130"/>
      <c r="D20" s="130"/>
      <c r="E20" s="131"/>
      <c r="F20" s="132" t="s">
        <v>228</v>
      </c>
      <c r="G20" s="133"/>
      <c r="H20" s="298" t="s">
        <v>150</v>
      </c>
      <c r="I20" s="299"/>
      <c r="J20" s="300"/>
    </row>
    <row r="21" spans="1:12" ht="22.5" customHeight="1">
      <c r="B21" s="147"/>
      <c r="C21" s="147"/>
      <c r="D21" s="147"/>
      <c r="E21" s="115"/>
      <c r="F21" s="115"/>
      <c r="G21" s="115"/>
      <c r="H21" s="115"/>
      <c r="I21" s="115"/>
      <c r="J21" s="115"/>
    </row>
    <row r="22" spans="1:12" ht="22.5" customHeight="1">
      <c r="B22" s="147"/>
      <c r="C22" s="147"/>
      <c r="D22" s="147"/>
      <c r="E22" s="115"/>
      <c r="F22" s="115"/>
      <c r="G22" s="115"/>
      <c r="H22" s="115"/>
      <c r="I22" s="115"/>
      <c r="J22" s="115"/>
    </row>
    <row r="23" spans="1:12" ht="22.5" customHeight="1">
      <c r="B23" s="147"/>
      <c r="C23" s="147"/>
      <c r="D23" s="147"/>
      <c r="E23" s="115"/>
      <c r="F23" s="115"/>
      <c r="G23" s="115"/>
      <c r="H23" s="115"/>
      <c r="I23" s="115"/>
      <c r="J23" s="115"/>
    </row>
    <row r="24" spans="1:12" ht="22.5" customHeight="1">
      <c r="B24" s="147"/>
      <c r="C24" s="147"/>
      <c r="D24" s="147"/>
      <c r="E24" s="115"/>
      <c r="F24" s="115"/>
      <c r="G24" s="115"/>
      <c r="H24" s="115"/>
      <c r="I24" s="115"/>
      <c r="J24" s="115"/>
    </row>
    <row r="25" spans="1:12" ht="22.5" customHeight="1">
      <c r="B25" s="147"/>
      <c r="C25" s="147"/>
      <c r="D25" s="147"/>
      <c r="E25" s="115"/>
      <c r="F25" s="115"/>
      <c r="G25" s="115"/>
      <c r="H25" s="115"/>
      <c r="I25" s="115"/>
      <c r="J25" s="115"/>
    </row>
    <row r="26" spans="1:12" ht="22.5" customHeight="1">
      <c r="B26" s="111"/>
      <c r="C26" s="111"/>
      <c r="D26" s="111"/>
      <c r="E26" s="101"/>
      <c r="F26" s="101"/>
      <c r="G26" s="101"/>
      <c r="H26" s="101"/>
      <c r="I26" s="101"/>
      <c r="J26" s="101"/>
    </row>
    <row r="27" spans="1:12" ht="22.5" customHeight="1">
      <c r="B27" s="111"/>
      <c r="C27" s="111"/>
      <c r="D27" s="111"/>
      <c r="E27" s="101"/>
      <c r="F27" s="101"/>
      <c r="G27" s="101"/>
      <c r="H27" s="101"/>
      <c r="I27" s="101"/>
      <c r="J27" s="101"/>
    </row>
    <row r="28" spans="1:12" ht="22.5" customHeight="1">
      <c r="B28" s="111"/>
      <c r="C28" s="111"/>
      <c r="D28" s="111"/>
      <c r="E28" s="101"/>
      <c r="F28" s="101"/>
      <c r="G28" s="101"/>
      <c r="H28" s="101"/>
      <c r="I28" s="101"/>
      <c r="J28" s="101"/>
    </row>
  </sheetData>
  <mergeCells count="24">
    <mergeCell ref="C8:D8"/>
    <mergeCell ref="E8:J8"/>
    <mergeCell ref="I2:J2"/>
    <mergeCell ref="A3:J3"/>
    <mergeCell ref="D4:J4"/>
    <mergeCell ref="B6:D6"/>
    <mergeCell ref="E6:J6"/>
    <mergeCell ref="C9:D9"/>
    <mergeCell ref="E9:J9"/>
    <mergeCell ref="C10:D10"/>
    <mergeCell ref="E10:J10"/>
    <mergeCell ref="C11:D11"/>
    <mergeCell ref="E11:J11"/>
    <mergeCell ref="C12:D12"/>
    <mergeCell ref="E12:J12"/>
    <mergeCell ref="C14:D14"/>
    <mergeCell ref="E14:J14"/>
    <mergeCell ref="C15:D15"/>
    <mergeCell ref="E15:J15"/>
    <mergeCell ref="B16:D16"/>
    <mergeCell ref="E16:J16"/>
    <mergeCell ref="B17:D17"/>
    <mergeCell ref="E17:J17"/>
    <mergeCell ref="H20:J20"/>
  </mergeCells>
  <phoneticPr fontId="2"/>
  <dataValidations count="2">
    <dataValidation type="list" allowBlank="1" showInputMessage="1" showErrorMessage="1" sqref="F20" xr:uid="{00000000-0002-0000-0500-000000000000}">
      <formula1>"有,無,予定"</formula1>
    </dataValidation>
    <dataValidation type="list" allowBlank="1" showInputMessage="1" showErrorMessage="1" sqref="F19:G19" xr:uid="{00000000-0002-0000-0500-000001000000}">
      <formula1>#REF!</formula1>
    </dataValidation>
  </dataValidations>
  <hyperlinks>
    <hyperlink ref="H20" r:id="rId1" xr:uid="{00000000-0004-0000-0500-000000000000}"/>
  </hyperlinks>
  <printOptions horizontalCentered="1"/>
  <pageMargins left="0.78740157480314965" right="0.78740157480314965" top="0.78740157480314965" bottom="0.78740157480314965" header="0.31496062992125984" footer="0.31496062992125984"/>
  <pageSetup paperSize="9" scale="65" fitToHeight="2"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130"/>
  <sheetViews>
    <sheetView showZeros="0" topLeftCell="A70" workbookViewId="0">
      <selection activeCell="M91" sqref="M91"/>
    </sheetView>
  </sheetViews>
  <sheetFormatPr defaultColWidth="11.375" defaultRowHeight="18.75" customHeight="1"/>
  <cols>
    <col min="1" max="1" width="2.5" style="51" customWidth="1"/>
    <col min="2" max="2" width="15" style="12" customWidth="1"/>
    <col min="3" max="3" width="37.5" style="12" customWidth="1"/>
    <col min="4" max="4" width="1.125" style="12" customWidth="1"/>
    <col min="5" max="5" width="21.125" style="12" customWidth="1"/>
    <col min="6" max="6" width="8.625" style="12" customWidth="1"/>
    <col min="7" max="8" width="2.125" style="51" customWidth="1"/>
    <col min="9" max="16384" width="11.375" style="51"/>
  </cols>
  <sheetData>
    <row r="1" spans="1:6" ht="18.75" customHeight="1">
      <c r="E1" s="171" t="s">
        <v>229</v>
      </c>
      <c r="F1" s="171"/>
    </row>
    <row r="2" spans="1:6" ht="18.75" customHeight="1">
      <c r="C2" s="24" t="s">
        <v>154</v>
      </c>
      <c r="D2" s="24" t="s">
        <v>155</v>
      </c>
      <c r="E2" s="176" t="s">
        <v>113</v>
      </c>
      <c r="F2" s="176"/>
    </row>
    <row r="3" spans="1:6" ht="7.5" customHeight="1">
      <c r="C3" s="24"/>
      <c r="D3" s="24"/>
      <c r="E3" s="139"/>
      <c r="F3" s="139"/>
    </row>
    <row r="4" spans="1:6" ht="18.75" customHeight="1">
      <c r="A4" s="203" t="s">
        <v>230</v>
      </c>
      <c r="B4" s="203"/>
      <c r="C4" s="203"/>
      <c r="D4" s="203"/>
      <c r="E4" s="203"/>
      <c r="F4" s="203"/>
    </row>
    <row r="5" spans="1:6" ht="7.5" customHeight="1">
      <c r="A5" s="143"/>
      <c r="B5" s="139"/>
      <c r="C5" s="139"/>
      <c r="D5" s="139"/>
      <c r="E5" s="139"/>
      <c r="F5" s="139"/>
    </row>
    <row r="6" spans="1:6" ht="18.75" customHeight="1">
      <c r="A6" s="143" t="s">
        <v>2</v>
      </c>
      <c r="B6" s="14" t="s">
        <v>231</v>
      </c>
      <c r="C6" s="139"/>
      <c r="D6" s="139"/>
      <c r="E6" s="139"/>
      <c r="F6" s="139"/>
    </row>
    <row r="7" spans="1:6" ht="18.75" customHeight="1">
      <c r="A7" s="143"/>
      <c r="B7" s="278" t="s">
        <v>232</v>
      </c>
      <c r="C7" s="247"/>
      <c r="D7" s="247"/>
      <c r="E7" s="247"/>
      <c r="F7" s="248"/>
    </row>
    <row r="8" spans="1:6" ht="18.75" customHeight="1">
      <c r="A8" s="143"/>
      <c r="B8" s="249"/>
      <c r="C8" s="250"/>
      <c r="D8" s="250"/>
      <c r="E8" s="250"/>
      <c r="F8" s="251"/>
    </row>
    <row r="9" spans="1:6" ht="18.75" customHeight="1">
      <c r="A9" s="143"/>
      <c r="B9" s="249"/>
      <c r="C9" s="250"/>
      <c r="D9" s="250"/>
      <c r="E9" s="250"/>
      <c r="F9" s="251"/>
    </row>
    <row r="10" spans="1:6" ht="18.75" customHeight="1">
      <c r="A10" s="143"/>
      <c r="B10" s="249"/>
      <c r="C10" s="250"/>
      <c r="D10" s="250"/>
      <c r="E10" s="250"/>
      <c r="F10" s="251"/>
    </row>
    <row r="11" spans="1:6" ht="18.75" customHeight="1">
      <c r="A11" s="143"/>
      <c r="B11" s="249"/>
      <c r="C11" s="250"/>
      <c r="D11" s="250"/>
      <c r="E11" s="250"/>
      <c r="F11" s="251"/>
    </row>
    <row r="12" spans="1:6" ht="18.75" customHeight="1">
      <c r="A12" s="143"/>
      <c r="B12" s="249"/>
      <c r="C12" s="250"/>
      <c r="D12" s="250"/>
      <c r="E12" s="250"/>
      <c r="F12" s="251"/>
    </row>
    <row r="13" spans="1:6" ht="18.75" customHeight="1">
      <c r="A13" s="143"/>
      <c r="B13" s="249"/>
      <c r="C13" s="250"/>
      <c r="D13" s="250"/>
      <c r="E13" s="250"/>
      <c r="F13" s="251"/>
    </row>
    <row r="14" spans="1:6" ht="18.75" customHeight="1">
      <c r="A14" s="143"/>
      <c r="B14" s="249"/>
      <c r="C14" s="250"/>
      <c r="D14" s="250"/>
      <c r="E14" s="250"/>
      <c r="F14" s="251"/>
    </row>
    <row r="15" spans="1:6" ht="18.75" customHeight="1">
      <c r="A15" s="143"/>
      <c r="B15" s="249"/>
      <c r="C15" s="250"/>
      <c r="D15" s="250"/>
      <c r="E15" s="250"/>
      <c r="F15" s="251"/>
    </row>
    <row r="16" spans="1:6" ht="18.75" customHeight="1">
      <c r="A16" s="143"/>
      <c r="B16" s="249"/>
      <c r="C16" s="250"/>
      <c r="D16" s="250"/>
      <c r="E16" s="250"/>
      <c r="F16" s="251"/>
    </row>
    <row r="17" spans="1:6" ht="18.75" customHeight="1">
      <c r="A17" s="143"/>
      <c r="B17" s="249"/>
      <c r="C17" s="250"/>
      <c r="D17" s="250"/>
      <c r="E17" s="250"/>
      <c r="F17" s="251"/>
    </row>
    <row r="18" spans="1:6" ht="18.75" customHeight="1">
      <c r="A18" s="143"/>
      <c r="B18" s="249"/>
      <c r="C18" s="250"/>
      <c r="D18" s="250"/>
      <c r="E18" s="250"/>
      <c r="F18" s="251"/>
    </row>
    <row r="19" spans="1:6" ht="18.75" customHeight="1">
      <c r="A19" s="143"/>
      <c r="B19" s="249"/>
      <c r="C19" s="250"/>
      <c r="D19" s="250"/>
      <c r="E19" s="250"/>
      <c r="F19" s="251"/>
    </row>
    <row r="20" spans="1:6" ht="18.75" customHeight="1">
      <c r="A20" s="143"/>
      <c r="B20" s="249"/>
      <c r="C20" s="250"/>
      <c r="D20" s="250"/>
      <c r="E20" s="250"/>
      <c r="F20" s="251"/>
    </row>
    <row r="21" spans="1:6" ht="18.75" customHeight="1">
      <c r="A21" s="143"/>
      <c r="B21" s="249"/>
      <c r="C21" s="250"/>
      <c r="D21" s="250"/>
      <c r="E21" s="250"/>
      <c r="F21" s="251"/>
    </row>
    <row r="22" spans="1:6" ht="18.75" customHeight="1">
      <c r="A22" s="143"/>
      <c r="B22" s="249"/>
      <c r="C22" s="250"/>
      <c r="D22" s="250"/>
      <c r="E22" s="250"/>
      <c r="F22" s="251"/>
    </row>
    <row r="23" spans="1:6" ht="18.75" customHeight="1">
      <c r="A23" s="143"/>
      <c r="B23" s="249"/>
      <c r="C23" s="250"/>
      <c r="D23" s="250"/>
      <c r="E23" s="250"/>
      <c r="F23" s="251"/>
    </row>
    <row r="24" spans="1:6" ht="18.75" customHeight="1">
      <c r="A24" s="143"/>
      <c r="B24" s="249"/>
      <c r="C24" s="250"/>
      <c r="D24" s="250"/>
      <c r="E24" s="250"/>
      <c r="F24" s="251"/>
    </row>
    <row r="25" spans="1:6" ht="18.75" customHeight="1">
      <c r="A25" s="143"/>
      <c r="B25" s="249"/>
      <c r="C25" s="250"/>
      <c r="D25" s="250"/>
      <c r="E25" s="250"/>
      <c r="F25" s="251"/>
    </row>
    <row r="26" spans="1:6" ht="18.75" customHeight="1">
      <c r="A26" s="143"/>
      <c r="B26" s="249"/>
      <c r="C26" s="250"/>
      <c r="D26" s="250"/>
      <c r="E26" s="250"/>
      <c r="F26" s="251"/>
    </row>
    <row r="27" spans="1:6" ht="18.75" customHeight="1">
      <c r="A27" s="143"/>
      <c r="B27" s="249"/>
      <c r="C27" s="250"/>
      <c r="D27" s="250"/>
      <c r="E27" s="250"/>
      <c r="F27" s="251"/>
    </row>
    <row r="28" spans="1:6" ht="18.75" customHeight="1">
      <c r="A28" s="143"/>
      <c r="B28" s="249"/>
      <c r="C28" s="250"/>
      <c r="D28" s="250"/>
      <c r="E28" s="250"/>
      <c r="F28" s="251"/>
    </row>
    <row r="29" spans="1:6" ht="18.75" customHeight="1">
      <c r="A29" s="143"/>
      <c r="B29" s="249"/>
      <c r="C29" s="250"/>
      <c r="D29" s="250"/>
      <c r="E29" s="250"/>
      <c r="F29" s="251"/>
    </row>
    <row r="30" spans="1:6" ht="18.75" customHeight="1">
      <c r="A30" s="143"/>
      <c r="B30" s="249"/>
      <c r="C30" s="250"/>
      <c r="D30" s="250"/>
      <c r="E30" s="250"/>
      <c r="F30" s="251"/>
    </row>
    <row r="31" spans="1:6" ht="18.75" customHeight="1">
      <c r="A31" s="143"/>
      <c r="B31" s="249"/>
      <c r="C31" s="250"/>
      <c r="D31" s="250"/>
      <c r="E31" s="250"/>
      <c r="F31" s="251"/>
    </row>
    <row r="32" spans="1:6" ht="18.75" customHeight="1">
      <c r="A32" s="143"/>
      <c r="B32" s="249"/>
      <c r="C32" s="250"/>
      <c r="D32" s="250"/>
      <c r="E32" s="250"/>
      <c r="F32" s="251"/>
    </row>
    <row r="33" spans="1:6" ht="18.75" customHeight="1">
      <c r="A33" s="143"/>
      <c r="B33" s="249"/>
      <c r="C33" s="250"/>
      <c r="D33" s="250"/>
      <c r="E33" s="250"/>
      <c r="F33" s="251"/>
    </row>
    <row r="34" spans="1:6" ht="18.75" customHeight="1">
      <c r="A34" s="143"/>
      <c r="B34" s="249"/>
      <c r="C34" s="250"/>
      <c r="D34" s="250"/>
      <c r="E34" s="250"/>
      <c r="F34" s="251"/>
    </row>
    <row r="35" spans="1:6" ht="18.75" customHeight="1">
      <c r="A35" s="143"/>
      <c r="B35" s="249"/>
      <c r="C35" s="250"/>
      <c r="D35" s="250"/>
      <c r="E35" s="250"/>
      <c r="F35" s="251"/>
    </row>
    <row r="36" spans="1:6" ht="18.75" customHeight="1">
      <c r="A36" s="143"/>
      <c r="B36" s="249"/>
      <c r="C36" s="250"/>
      <c r="D36" s="250"/>
      <c r="E36" s="250"/>
      <c r="F36" s="251"/>
    </row>
    <row r="37" spans="1:6" ht="18.75" customHeight="1">
      <c r="A37" s="143"/>
      <c r="B37" s="249"/>
      <c r="C37" s="250"/>
      <c r="D37" s="250"/>
      <c r="E37" s="250"/>
      <c r="F37" s="251"/>
    </row>
    <row r="38" spans="1:6" ht="18.75" customHeight="1">
      <c r="A38" s="143"/>
      <c r="B38" s="249"/>
      <c r="C38" s="250"/>
      <c r="D38" s="250"/>
      <c r="E38" s="250"/>
      <c r="F38" s="251"/>
    </row>
    <row r="39" spans="1:6" ht="18.75" customHeight="1">
      <c r="A39" s="143"/>
      <c r="B39" s="249"/>
      <c r="C39" s="250"/>
      <c r="D39" s="250"/>
      <c r="E39" s="250"/>
      <c r="F39" s="251"/>
    </row>
    <row r="40" spans="1:6" ht="18.75" customHeight="1">
      <c r="A40" s="143"/>
      <c r="B40" s="249"/>
      <c r="C40" s="250"/>
      <c r="D40" s="250"/>
      <c r="E40" s="250"/>
      <c r="F40" s="251"/>
    </row>
    <row r="41" spans="1:6" ht="18.75" customHeight="1">
      <c r="A41" s="143"/>
      <c r="B41" s="249"/>
      <c r="C41" s="250"/>
      <c r="D41" s="250"/>
      <c r="E41" s="250"/>
      <c r="F41" s="251"/>
    </row>
    <row r="42" spans="1:6" ht="18.75" customHeight="1">
      <c r="A42" s="143"/>
      <c r="B42" s="249"/>
      <c r="C42" s="250"/>
      <c r="D42" s="250"/>
      <c r="E42" s="250"/>
      <c r="F42" s="251"/>
    </row>
    <row r="43" spans="1:6" ht="18.75" customHeight="1">
      <c r="A43" s="143"/>
      <c r="B43" s="249"/>
      <c r="C43" s="250"/>
      <c r="D43" s="250"/>
      <c r="E43" s="250"/>
      <c r="F43" s="251"/>
    </row>
    <row r="44" spans="1:6" ht="18.75" customHeight="1">
      <c r="A44" s="143"/>
      <c r="B44" s="252"/>
      <c r="C44" s="253"/>
      <c r="D44" s="253"/>
      <c r="E44" s="253"/>
      <c r="F44" s="254"/>
    </row>
    <row r="45" spans="1:6" ht="21" customHeight="1">
      <c r="A45" s="143" t="s">
        <v>5</v>
      </c>
      <c r="B45" s="14" t="s">
        <v>233</v>
      </c>
      <c r="C45" s="139"/>
      <c r="D45" s="139"/>
      <c r="E45" s="139"/>
      <c r="F45" s="139"/>
    </row>
    <row r="46" spans="1:6" ht="18.75" customHeight="1">
      <c r="A46" s="143"/>
      <c r="B46" s="269" t="s">
        <v>234</v>
      </c>
      <c r="C46" s="270"/>
      <c r="D46" s="270"/>
      <c r="E46" s="270"/>
      <c r="F46" s="271"/>
    </row>
    <row r="47" spans="1:6" ht="18.75" customHeight="1">
      <c r="A47" s="143"/>
      <c r="B47" s="272"/>
      <c r="C47" s="273"/>
      <c r="D47" s="273"/>
      <c r="E47" s="273"/>
      <c r="F47" s="274"/>
    </row>
    <row r="48" spans="1:6" ht="18.75" customHeight="1">
      <c r="A48" s="143"/>
      <c r="B48" s="272"/>
      <c r="C48" s="273"/>
      <c r="D48" s="273"/>
      <c r="E48" s="273"/>
      <c r="F48" s="274"/>
    </row>
    <row r="49" spans="1:6" ht="18.75" customHeight="1">
      <c r="A49" s="143"/>
      <c r="B49" s="272"/>
      <c r="C49" s="273"/>
      <c r="D49" s="273"/>
      <c r="E49" s="273"/>
      <c r="F49" s="274"/>
    </row>
    <row r="50" spans="1:6" ht="18.75" customHeight="1">
      <c r="A50" s="143"/>
      <c r="B50" s="272"/>
      <c r="C50" s="273"/>
      <c r="D50" s="273"/>
      <c r="E50" s="273"/>
      <c r="F50" s="274"/>
    </row>
    <row r="51" spans="1:6" ht="18.75" customHeight="1">
      <c r="A51" s="143"/>
      <c r="B51" s="272"/>
      <c r="C51" s="273"/>
      <c r="D51" s="273"/>
      <c r="E51" s="273"/>
      <c r="F51" s="274"/>
    </row>
    <row r="52" spans="1:6" ht="18.75" customHeight="1">
      <c r="A52" s="143"/>
      <c r="B52" s="272"/>
      <c r="C52" s="273"/>
      <c r="D52" s="273"/>
      <c r="E52" s="273"/>
      <c r="F52" s="274"/>
    </row>
    <row r="53" spans="1:6" ht="18.75" customHeight="1">
      <c r="A53" s="143"/>
      <c r="B53" s="272"/>
      <c r="C53" s="273"/>
      <c r="D53" s="273"/>
      <c r="E53" s="273"/>
      <c r="F53" s="274"/>
    </row>
    <row r="54" spans="1:6" ht="18.75" customHeight="1">
      <c r="A54" s="143"/>
      <c r="B54" s="272"/>
      <c r="C54" s="273"/>
      <c r="D54" s="273"/>
      <c r="E54" s="273"/>
      <c r="F54" s="274"/>
    </row>
    <row r="55" spans="1:6" ht="18.75" customHeight="1">
      <c r="A55" s="143"/>
      <c r="B55" s="272"/>
      <c r="C55" s="273"/>
      <c r="D55" s="273"/>
      <c r="E55" s="273"/>
      <c r="F55" s="274"/>
    </row>
    <row r="56" spans="1:6" ht="18.75" customHeight="1">
      <c r="A56" s="143"/>
      <c r="B56" s="272"/>
      <c r="C56" s="273"/>
      <c r="D56" s="273"/>
      <c r="E56" s="273"/>
      <c r="F56" s="274"/>
    </row>
    <row r="57" spans="1:6" ht="18.75" customHeight="1">
      <c r="A57" s="143"/>
      <c r="B57" s="272"/>
      <c r="C57" s="273"/>
      <c r="D57" s="273"/>
      <c r="E57" s="273"/>
      <c r="F57" s="274"/>
    </row>
    <row r="58" spans="1:6" ht="18.75" customHeight="1">
      <c r="A58" s="143"/>
      <c r="B58" s="272"/>
      <c r="C58" s="273"/>
      <c r="D58" s="273"/>
      <c r="E58" s="273"/>
      <c r="F58" s="274"/>
    </row>
    <row r="59" spans="1:6" ht="18.75" customHeight="1">
      <c r="A59" s="143"/>
      <c r="B59" s="272"/>
      <c r="C59" s="273"/>
      <c r="D59" s="273"/>
      <c r="E59" s="273"/>
      <c r="F59" s="274"/>
    </row>
    <row r="60" spans="1:6" ht="18.75" customHeight="1">
      <c r="A60" s="143"/>
      <c r="B60" s="272"/>
      <c r="C60" s="273"/>
      <c r="D60" s="273"/>
      <c r="E60" s="273"/>
      <c r="F60" s="274"/>
    </row>
    <row r="61" spans="1:6" ht="18.75" customHeight="1">
      <c r="A61" s="143"/>
      <c r="B61" s="272"/>
      <c r="C61" s="273"/>
      <c r="D61" s="273"/>
      <c r="E61" s="273"/>
      <c r="F61" s="274"/>
    </row>
    <row r="62" spans="1:6" ht="18.75" customHeight="1">
      <c r="A62" s="143"/>
      <c r="B62" s="272"/>
      <c r="C62" s="273"/>
      <c r="D62" s="273"/>
      <c r="E62" s="273"/>
      <c r="F62" s="274"/>
    </row>
    <row r="63" spans="1:6" ht="18.75" customHeight="1">
      <c r="A63" s="143"/>
      <c r="B63" s="272"/>
      <c r="C63" s="273"/>
      <c r="D63" s="273"/>
      <c r="E63" s="273"/>
      <c r="F63" s="274"/>
    </row>
    <row r="64" spans="1:6" ht="18.75" customHeight="1">
      <c r="A64" s="143"/>
      <c r="B64" s="272"/>
      <c r="C64" s="273"/>
      <c r="D64" s="273"/>
      <c r="E64" s="273"/>
      <c r="F64" s="274"/>
    </row>
    <row r="65" spans="1:6" ht="18.75" customHeight="1">
      <c r="A65" s="143"/>
      <c r="B65" s="272"/>
      <c r="C65" s="273"/>
      <c r="D65" s="273"/>
      <c r="E65" s="273"/>
      <c r="F65" s="274"/>
    </row>
    <row r="66" spans="1:6" ht="18.75" customHeight="1">
      <c r="A66" s="143"/>
      <c r="B66" s="272"/>
      <c r="C66" s="273"/>
      <c r="D66" s="273"/>
      <c r="E66" s="273"/>
      <c r="F66" s="274"/>
    </row>
    <row r="67" spans="1:6" ht="18.75" customHeight="1">
      <c r="A67" s="143"/>
      <c r="B67" s="272"/>
      <c r="C67" s="273"/>
      <c r="D67" s="273"/>
      <c r="E67" s="273"/>
      <c r="F67" s="274"/>
    </row>
    <row r="68" spans="1:6" ht="18.75" customHeight="1">
      <c r="A68" s="143"/>
      <c r="B68" s="272"/>
      <c r="C68" s="273"/>
      <c r="D68" s="273"/>
      <c r="E68" s="273"/>
      <c r="F68" s="274"/>
    </row>
    <row r="69" spans="1:6" ht="18.75" customHeight="1">
      <c r="A69" s="143"/>
      <c r="B69" s="272"/>
      <c r="C69" s="273"/>
      <c r="D69" s="273"/>
      <c r="E69" s="273"/>
      <c r="F69" s="274"/>
    </row>
    <row r="70" spans="1:6" ht="18.75" customHeight="1">
      <c r="A70" s="143"/>
      <c r="B70" s="272"/>
      <c r="C70" s="273"/>
      <c r="D70" s="273"/>
      <c r="E70" s="273"/>
      <c r="F70" s="274"/>
    </row>
    <row r="71" spans="1:6" ht="18.75" customHeight="1">
      <c r="A71" s="143"/>
      <c r="B71" s="272"/>
      <c r="C71" s="273"/>
      <c r="D71" s="273"/>
      <c r="E71" s="273"/>
      <c r="F71" s="274"/>
    </row>
    <row r="72" spans="1:6" ht="18.75" customHeight="1">
      <c r="A72" s="143"/>
      <c r="B72" s="272"/>
      <c r="C72" s="273"/>
      <c r="D72" s="273"/>
      <c r="E72" s="273"/>
      <c r="F72" s="274"/>
    </row>
    <row r="73" spans="1:6" ht="18.75" customHeight="1">
      <c r="A73" s="143"/>
      <c r="B73" s="272"/>
      <c r="C73" s="273"/>
      <c r="D73" s="273"/>
      <c r="E73" s="273"/>
      <c r="F73" s="274"/>
    </row>
    <row r="74" spans="1:6" ht="18.75" customHeight="1">
      <c r="A74" s="143"/>
      <c r="B74" s="272"/>
      <c r="C74" s="273"/>
      <c r="D74" s="273"/>
      <c r="E74" s="273"/>
      <c r="F74" s="274"/>
    </row>
    <row r="75" spans="1:6" ht="18.75" customHeight="1">
      <c r="A75" s="143"/>
      <c r="B75" s="272"/>
      <c r="C75" s="273"/>
      <c r="D75" s="273"/>
      <c r="E75" s="273"/>
      <c r="F75" s="274"/>
    </row>
    <row r="76" spans="1:6" ht="18.75" customHeight="1">
      <c r="A76" s="143"/>
      <c r="B76" s="272"/>
      <c r="C76" s="273"/>
      <c r="D76" s="273"/>
      <c r="E76" s="273"/>
      <c r="F76" s="274"/>
    </row>
    <row r="77" spans="1:6" ht="18.75" customHeight="1">
      <c r="A77" s="143"/>
      <c r="B77" s="272"/>
      <c r="C77" s="273"/>
      <c r="D77" s="273"/>
      <c r="E77" s="273"/>
      <c r="F77" s="274"/>
    </row>
    <row r="78" spans="1:6" ht="18.75" customHeight="1">
      <c r="A78" s="143"/>
      <c r="B78" s="272"/>
      <c r="C78" s="273"/>
      <c r="D78" s="273"/>
      <c r="E78" s="273"/>
      <c r="F78" s="274"/>
    </row>
    <row r="79" spans="1:6" ht="18.75" customHeight="1">
      <c r="A79" s="143"/>
      <c r="B79" s="272"/>
      <c r="C79" s="273"/>
      <c r="D79" s="273"/>
      <c r="E79" s="273"/>
      <c r="F79" s="274"/>
    </row>
    <row r="80" spans="1:6" ht="18.75" customHeight="1">
      <c r="A80" s="143"/>
      <c r="B80" s="272"/>
      <c r="C80" s="273"/>
      <c r="D80" s="273"/>
      <c r="E80" s="273"/>
      <c r="F80" s="274"/>
    </row>
    <row r="81" spans="1:6" ht="18.75" customHeight="1">
      <c r="A81" s="143"/>
      <c r="B81" s="272"/>
      <c r="C81" s="273"/>
      <c r="D81" s="273"/>
      <c r="E81" s="273"/>
      <c r="F81" s="274"/>
    </row>
    <row r="82" spans="1:6" ht="18.75" customHeight="1">
      <c r="A82" s="143"/>
      <c r="B82" s="272"/>
      <c r="C82" s="273"/>
      <c r="D82" s="273"/>
      <c r="E82" s="273"/>
      <c r="F82" s="274"/>
    </row>
    <row r="83" spans="1:6" ht="18.75" customHeight="1">
      <c r="A83" s="143"/>
      <c r="B83" s="272"/>
      <c r="C83" s="273"/>
      <c r="D83" s="273"/>
      <c r="E83" s="273"/>
      <c r="F83" s="274"/>
    </row>
    <row r="84" spans="1:6" ht="18.75" customHeight="1">
      <c r="A84" s="143"/>
      <c r="B84" s="272"/>
      <c r="C84" s="273"/>
      <c r="D84" s="273"/>
      <c r="E84" s="273"/>
      <c r="F84" s="274"/>
    </row>
    <row r="85" spans="1:6" ht="18.75" customHeight="1">
      <c r="A85" s="143"/>
      <c r="B85" s="272"/>
      <c r="C85" s="273"/>
      <c r="D85" s="273"/>
      <c r="E85" s="273"/>
      <c r="F85" s="274"/>
    </row>
    <row r="86" spans="1:6" ht="11.25" customHeight="1">
      <c r="A86" s="143"/>
      <c r="B86" s="272"/>
      <c r="C86" s="273"/>
      <c r="D86" s="273"/>
      <c r="E86" s="273"/>
      <c r="F86" s="274"/>
    </row>
    <row r="87" spans="1:6" ht="12.75" customHeight="1">
      <c r="A87" s="143"/>
      <c r="B87" s="275"/>
      <c r="C87" s="276"/>
      <c r="D87" s="276"/>
      <c r="E87" s="276"/>
      <c r="F87" s="277"/>
    </row>
    <row r="88" spans="1:6" s="112" customFormat="1" ht="18.75" customHeight="1">
      <c r="A88" s="3" t="s">
        <v>8</v>
      </c>
      <c r="B88" s="14" t="s">
        <v>235</v>
      </c>
      <c r="C88" s="14"/>
      <c r="D88" s="14"/>
      <c r="E88" s="14"/>
      <c r="F88" s="14"/>
    </row>
    <row r="89" spans="1:6" ht="18.75" customHeight="1">
      <c r="A89" s="143"/>
      <c r="B89" s="269" t="s">
        <v>236</v>
      </c>
      <c r="C89" s="247"/>
      <c r="D89" s="247"/>
      <c r="E89" s="247"/>
      <c r="F89" s="248"/>
    </row>
    <row r="90" spans="1:6" ht="18.75" customHeight="1">
      <c r="A90" s="143"/>
      <c r="B90" s="249"/>
      <c r="C90" s="250"/>
      <c r="D90" s="250"/>
      <c r="E90" s="250"/>
      <c r="F90" s="251"/>
    </row>
    <row r="91" spans="1:6" ht="18.75" customHeight="1">
      <c r="A91" s="143"/>
      <c r="B91" s="249"/>
      <c r="C91" s="250"/>
      <c r="D91" s="250"/>
      <c r="E91" s="250"/>
      <c r="F91" s="251"/>
    </row>
    <row r="92" spans="1:6" ht="18.75" customHeight="1">
      <c r="A92" s="143"/>
      <c r="B92" s="249"/>
      <c r="C92" s="250"/>
      <c r="D92" s="250"/>
      <c r="E92" s="250"/>
      <c r="F92" s="251"/>
    </row>
    <row r="93" spans="1:6" ht="18.75" customHeight="1">
      <c r="A93" s="143"/>
      <c r="B93" s="249"/>
      <c r="C93" s="250"/>
      <c r="D93" s="250"/>
      <c r="E93" s="250"/>
      <c r="F93" s="251"/>
    </row>
    <row r="94" spans="1:6" ht="18.75" customHeight="1">
      <c r="A94" s="143"/>
      <c r="B94" s="249"/>
      <c r="C94" s="250"/>
      <c r="D94" s="250"/>
      <c r="E94" s="250"/>
      <c r="F94" s="251"/>
    </row>
    <row r="95" spans="1:6" ht="18.75" customHeight="1">
      <c r="A95" s="143"/>
      <c r="B95" s="249"/>
      <c r="C95" s="250"/>
      <c r="D95" s="250"/>
      <c r="E95" s="250"/>
      <c r="F95" s="251"/>
    </row>
    <row r="96" spans="1:6" ht="18.75" customHeight="1">
      <c r="A96" s="143"/>
      <c r="B96" s="249"/>
      <c r="C96" s="250"/>
      <c r="D96" s="250"/>
      <c r="E96" s="250"/>
      <c r="F96" s="251"/>
    </row>
    <row r="97" spans="1:6" ht="18.75" customHeight="1">
      <c r="A97" s="143"/>
      <c r="B97" s="249"/>
      <c r="C97" s="250"/>
      <c r="D97" s="250"/>
      <c r="E97" s="250"/>
      <c r="F97" s="251"/>
    </row>
    <row r="98" spans="1:6" ht="18.75" customHeight="1">
      <c r="A98" s="143"/>
      <c r="B98" s="249"/>
      <c r="C98" s="250"/>
      <c r="D98" s="250"/>
      <c r="E98" s="250"/>
      <c r="F98" s="251"/>
    </row>
    <row r="99" spans="1:6" ht="18.75" customHeight="1">
      <c r="A99" s="143"/>
      <c r="B99" s="249"/>
      <c r="C99" s="250"/>
      <c r="D99" s="250"/>
      <c r="E99" s="250"/>
      <c r="F99" s="251"/>
    </row>
    <row r="100" spans="1:6" ht="18.75" customHeight="1">
      <c r="A100" s="143"/>
      <c r="B100" s="249"/>
      <c r="C100" s="250"/>
      <c r="D100" s="250"/>
      <c r="E100" s="250"/>
      <c r="F100" s="251"/>
    </row>
    <row r="101" spans="1:6" ht="18.75" customHeight="1">
      <c r="A101" s="143"/>
      <c r="B101" s="249"/>
      <c r="C101" s="250"/>
      <c r="D101" s="250"/>
      <c r="E101" s="250"/>
      <c r="F101" s="251"/>
    </row>
    <row r="102" spans="1:6" ht="18.75" customHeight="1">
      <c r="A102" s="143"/>
      <c r="B102" s="249"/>
      <c r="C102" s="250"/>
      <c r="D102" s="250"/>
      <c r="E102" s="250"/>
      <c r="F102" s="251"/>
    </row>
    <row r="103" spans="1:6" ht="18.75" customHeight="1">
      <c r="A103" s="143"/>
      <c r="B103" s="249"/>
      <c r="C103" s="250"/>
      <c r="D103" s="250"/>
      <c r="E103" s="250"/>
      <c r="F103" s="251"/>
    </row>
    <row r="104" spans="1:6" ht="18.75" customHeight="1">
      <c r="A104" s="143"/>
      <c r="B104" s="249"/>
      <c r="C104" s="250"/>
      <c r="D104" s="250"/>
      <c r="E104" s="250"/>
      <c r="F104" s="251"/>
    </row>
    <row r="105" spans="1:6" ht="18.75" customHeight="1">
      <c r="A105" s="143"/>
      <c r="B105" s="249"/>
      <c r="C105" s="250"/>
      <c r="D105" s="250"/>
      <c r="E105" s="250"/>
      <c r="F105" s="251"/>
    </row>
    <row r="106" spans="1:6" ht="18.75" customHeight="1">
      <c r="A106" s="143"/>
      <c r="B106" s="249"/>
      <c r="C106" s="250"/>
      <c r="D106" s="250"/>
      <c r="E106" s="250"/>
      <c r="F106" s="251"/>
    </row>
    <row r="107" spans="1:6" ht="18.75" customHeight="1">
      <c r="A107" s="143"/>
      <c r="B107" s="249"/>
      <c r="C107" s="250"/>
      <c r="D107" s="250"/>
      <c r="E107" s="250"/>
      <c r="F107" s="251"/>
    </row>
    <row r="108" spans="1:6" ht="18.75" customHeight="1">
      <c r="A108" s="143"/>
      <c r="B108" s="249"/>
      <c r="C108" s="250"/>
      <c r="D108" s="250"/>
      <c r="E108" s="250"/>
      <c r="F108" s="251"/>
    </row>
    <row r="109" spans="1:6" ht="18.75" customHeight="1">
      <c r="A109" s="143"/>
      <c r="B109" s="249"/>
      <c r="C109" s="250"/>
      <c r="D109" s="250"/>
      <c r="E109" s="250"/>
      <c r="F109" s="251"/>
    </row>
    <row r="110" spans="1:6" ht="18.75" customHeight="1">
      <c r="A110" s="143"/>
      <c r="B110" s="249"/>
      <c r="C110" s="250"/>
      <c r="D110" s="250"/>
      <c r="E110" s="250"/>
      <c r="F110" s="251"/>
    </row>
    <row r="111" spans="1:6" ht="18.75" customHeight="1">
      <c r="A111" s="143"/>
      <c r="B111" s="249"/>
      <c r="C111" s="250"/>
      <c r="D111" s="250"/>
      <c r="E111" s="250"/>
      <c r="F111" s="251"/>
    </row>
    <row r="112" spans="1:6" ht="18.75" customHeight="1">
      <c r="A112" s="143"/>
      <c r="B112" s="249"/>
      <c r="C112" s="250"/>
      <c r="D112" s="250"/>
      <c r="E112" s="250"/>
      <c r="F112" s="251"/>
    </row>
    <row r="113" spans="1:6" ht="18.75" customHeight="1">
      <c r="A113" s="143"/>
      <c r="B113" s="249"/>
      <c r="C113" s="250"/>
      <c r="D113" s="250"/>
      <c r="E113" s="250"/>
      <c r="F113" s="251"/>
    </row>
    <row r="114" spans="1:6" ht="18.75" customHeight="1">
      <c r="A114" s="143"/>
      <c r="B114" s="249"/>
      <c r="C114" s="250"/>
      <c r="D114" s="250"/>
      <c r="E114" s="250"/>
      <c r="F114" s="251"/>
    </row>
    <row r="115" spans="1:6" ht="18.75" customHeight="1">
      <c r="A115" s="143"/>
      <c r="B115" s="249"/>
      <c r="C115" s="250"/>
      <c r="D115" s="250"/>
      <c r="E115" s="250"/>
      <c r="F115" s="251"/>
    </row>
    <row r="116" spans="1:6" ht="18.75" customHeight="1">
      <c r="A116" s="143"/>
      <c r="B116" s="249"/>
      <c r="C116" s="250"/>
      <c r="D116" s="250"/>
      <c r="E116" s="250"/>
      <c r="F116" s="251"/>
    </row>
    <row r="117" spans="1:6" ht="18.75" customHeight="1">
      <c r="A117" s="143"/>
      <c r="B117" s="249"/>
      <c r="C117" s="250"/>
      <c r="D117" s="250"/>
      <c r="E117" s="250"/>
      <c r="F117" s="251"/>
    </row>
    <row r="118" spans="1:6" ht="18.75" customHeight="1">
      <c r="A118" s="143"/>
      <c r="B118" s="249"/>
      <c r="C118" s="250"/>
      <c r="D118" s="250"/>
      <c r="E118" s="250"/>
      <c r="F118" s="251"/>
    </row>
    <row r="119" spans="1:6" ht="18.75" customHeight="1">
      <c r="A119" s="143"/>
      <c r="B119" s="249"/>
      <c r="C119" s="250"/>
      <c r="D119" s="250"/>
      <c r="E119" s="250"/>
      <c r="F119" s="251"/>
    </row>
    <row r="120" spans="1:6" ht="18.75" customHeight="1">
      <c r="A120" s="143"/>
      <c r="B120" s="249"/>
      <c r="C120" s="250"/>
      <c r="D120" s="250"/>
      <c r="E120" s="250"/>
      <c r="F120" s="251"/>
    </row>
    <row r="121" spans="1:6" ht="18.75" customHeight="1">
      <c r="A121" s="143"/>
      <c r="B121" s="249"/>
      <c r="C121" s="250"/>
      <c r="D121" s="250"/>
      <c r="E121" s="250"/>
      <c r="F121" s="251"/>
    </row>
    <row r="122" spans="1:6" ht="18.75" customHeight="1">
      <c r="A122" s="143"/>
      <c r="B122" s="249"/>
      <c r="C122" s="250"/>
      <c r="D122" s="250"/>
      <c r="E122" s="250"/>
      <c r="F122" s="251"/>
    </row>
    <row r="123" spans="1:6" ht="18.75" customHeight="1">
      <c r="A123" s="143"/>
      <c r="B123" s="249"/>
      <c r="C123" s="250"/>
      <c r="D123" s="250"/>
      <c r="E123" s="250"/>
      <c r="F123" s="251"/>
    </row>
    <row r="124" spans="1:6" ht="18.75" customHeight="1">
      <c r="A124" s="143"/>
      <c r="B124" s="249"/>
      <c r="C124" s="250"/>
      <c r="D124" s="250"/>
      <c r="E124" s="250"/>
      <c r="F124" s="251"/>
    </row>
    <row r="125" spans="1:6" ht="18.75" customHeight="1">
      <c r="A125" s="143"/>
      <c r="B125" s="249"/>
      <c r="C125" s="250"/>
      <c r="D125" s="250"/>
      <c r="E125" s="250"/>
      <c r="F125" s="251"/>
    </row>
    <row r="126" spans="1:6" ht="18.75" customHeight="1">
      <c r="A126" s="143"/>
      <c r="B126" s="249"/>
      <c r="C126" s="250"/>
      <c r="D126" s="250"/>
      <c r="E126" s="250"/>
      <c r="F126" s="251"/>
    </row>
    <row r="127" spans="1:6" ht="18.75" customHeight="1">
      <c r="A127" s="143"/>
      <c r="B127" s="249"/>
      <c r="C127" s="250"/>
      <c r="D127" s="250"/>
      <c r="E127" s="250"/>
      <c r="F127" s="251"/>
    </row>
    <row r="128" spans="1:6" ht="18.75" customHeight="1">
      <c r="A128" s="143"/>
      <c r="B128" s="249"/>
      <c r="C128" s="250"/>
      <c r="D128" s="250"/>
      <c r="E128" s="250"/>
      <c r="F128" s="251"/>
    </row>
    <row r="129" spans="1:6" ht="18.75" customHeight="1">
      <c r="A129" s="143"/>
      <c r="B129" s="249"/>
      <c r="C129" s="250"/>
      <c r="D129" s="250"/>
      <c r="E129" s="250"/>
      <c r="F129" s="251"/>
    </row>
    <row r="130" spans="1:6" ht="18.75" customHeight="1">
      <c r="A130" s="143"/>
      <c r="B130" s="252"/>
      <c r="C130" s="253"/>
      <c r="D130" s="253"/>
      <c r="E130" s="253"/>
      <c r="F130" s="254"/>
    </row>
  </sheetData>
  <mergeCells count="6">
    <mergeCell ref="B89:F130"/>
    <mergeCell ref="E1:F1"/>
    <mergeCell ref="E2:F2"/>
    <mergeCell ref="A4:F4"/>
    <mergeCell ref="B7:F44"/>
    <mergeCell ref="B46:F87"/>
  </mergeCells>
  <phoneticPr fontId="2"/>
  <printOptions horizontalCentered="1"/>
  <pageMargins left="0.78740157480314965" right="0.78740157480314965" top="0.78740157480314965" bottom="0.78740157480314965"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木谷慎一</cp:lastModifiedBy>
  <cp:revision/>
  <dcterms:created xsi:type="dcterms:W3CDTF">2011-06-14T05:32:50Z</dcterms:created>
  <dcterms:modified xsi:type="dcterms:W3CDTF">2022-02-22T09:47:57Z</dcterms:modified>
  <cp:category/>
  <cp:contentStatus/>
</cp:coreProperties>
</file>